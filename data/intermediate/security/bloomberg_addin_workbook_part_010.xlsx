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urity_List" sheetId="1" r:id="rId1"/>
    <sheet name="NB_1981_Odyssey Therapeutics In" sheetId="2" r:id="rId2"/>
    <sheet name="NB_1982_Orion Energy Systems In" sheetId="3" r:id="rId3"/>
    <sheet name="NB_1983_Omega Flex Inc. Common " sheetId="4" r:id="rId4"/>
    <sheet name="NB_1984_OGE Energy Corp Common " sheetId="5" r:id="rId5"/>
    <sheet name="NB_1985_Oragenics Inc. Common S" sheetId="6" r:id="rId6"/>
    <sheet name="NB_1986_Organon &amp; Co. Common St" sheetId="7" r:id="rId7"/>
    <sheet name="NB_1987_ONE Gas Inc. Common Sto" sheetId="8" r:id="rId8"/>
    <sheet name="NB_1988_O-I Glass Inc. Common S" sheetId="9" r:id="rId9"/>
    <sheet name="NB_1989_Oceaneering Internation" sheetId="10" r:id="rId10"/>
    <sheet name="NB_1990_Oil States Internationa" sheetId="11" r:id="rId11"/>
    <sheet name="NB_1991_ONEOK Inc. Common Stock" sheetId="12" r:id="rId12"/>
    <sheet name="NB_1992_Oklo Inc. Class A commo" sheetId="13" r:id="rId13"/>
    <sheet name="NB_1993_Okta Inc. Class A Commo" sheetId="14" r:id="rId14"/>
    <sheet name="NB_1994_OnKure Therapeutics Inc" sheetId="15" r:id="rId15"/>
    <sheet name="NB_1995_The OLB Group Inc. Comm" sheetId="16" r:id="rId16"/>
    <sheet name="NB_1996_Universal Display Corpo" sheetId="17" r:id="rId17"/>
    <sheet name="NB_1997_Ollie's Bargain Outlet " sheetId="18" r:id="rId18"/>
    <sheet name="NB_1998_Olema Pharmaceuticals I" sheetId="19" r:id="rId19"/>
    <sheet name="NB_1999_Olin Corporation Common" sheetId="20" r:id="rId20"/>
    <sheet name="NB_2000_Olenox Industries Inc. " sheetId="21" r:id="rId21"/>
    <sheet name="NB_2001_Outset Medical Inc. Com" sheetId="22" r:id="rId22"/>
    <sheet name="NB_2002_Omnicom Group Inc. Comm" sheetId="23" r:id="rId23"/>
    <sheet name="NB_2003_Omnicell Inc. Common St" sheetId="24" r:id="rId24"/>
    <sheet name="NB_2004_Omada Health Inc. Commo" sheetId="25" r:id="rId25"/>
    <sheet name="NB_2005_Omeros Corporation Comm" sheetId="26" r:id="rId26"/>
    <sheet name="NB_2006_Odyssey Marine Explorat" sheetId="27" r:id="rId27"/>
    <sheet name="NB_2007_ON Semiconductor Corpor" sheetId="28" r:id="rId28"/>
    <sheet name="NB_2008_Onconetix Inc. Common S" sheetId="29" r:id="rId29"/>
    <sheet name="NB_2009_Ondas Inc. Common Stock" sheetId="30" r:id="rId30"/>
    <sheet name="NB_2010_OneWater Marine Inc. Cl" sheetId="31" r:id="rId31"/>
    <sheet name="NB_2011_Onfolio Holdings Inc. C" sheetId="32" r:id="rId32"/>
    <sheet name="NB_2012_Onfolio Holdings Inc. W" sheetId="33" r:id="rId33"/>
    <sheet name="NB_2013_Onterris Inc. Common St" sheetId="34" r:id="rId34"/>
    <sheet name="NB_2014_Onto Innovation Inc. Co" sheetId="35" r:id="rId35"/>
    <sheet name="NB_2015_Ooma Inc. Common Stock" sheetId="36" r:id="rId36"/>
    <sheet name="NB_2016_OPAL Fuels Inc. Class A" sheetId="37" r:id="rId37"/>
    <sheet name="NB_2017_Option Care Health Inc." sheetId="38" r:id="rId38"/>
    <sheet name="NB_2018_OPKO Health Inc. Common" sheetId="39" r:id="rId39"/>
    <sheet name="NB_2019_OPENLANE Inc. Common St" sheetId="40" r:id="rId40"/>
    <sheet name="NB_2020_OptimizeRx Corporation " sheetId="41" r:id="rId41"/>
    <sheet name="NB_2021_Ocean Power Technologie" sheetId="42" r:id="rId42"/>
    <sheet name="NB_2022_Optimum Communications " sheetId="43" r:id="rId43"/>
    <sheet name="NB_2023_Syntec Optics Holdings " sheetId="44" r:id="rId44"/>
    <sheet name="NB_2024_Syntec Optics Holdings " sheetId="45" r:id="rId45"/>
    <sheet name="NB_2025_Optex Systems Holdings " sheetId="46" r:id="rId46"/>
    <sheet name="NB_2026_Ormat Technologies Inc." sheetId="47" r:id="rId47"/>
    <sheet name="NB_2027_Oracle Corporation Comm" sheetId="48" r:id="rId48"/>
    <sheet name="NB_2028_Organogenesis Holdings " sheetId="49" r:id="rId49"/>
    <sheet name="NB_2029_Oric Pharmaceuticals In" sheetId="50" r:id="rId50"/>
    <sheet name="NB_2030_Oruka Therapeutics Inc." sheetId="51" r:id="rId51"/>
    <sheet name="NB_2031_O'Reilly Automotive Inc" sheetId="52" r:id="rId52"/>
    <sheet name="NB_2032_Orion Group Holdings In" sheetId="53" r:id="rId53"/>
    <sheet name="NB_2033_Oscar Health Inc. Class" sheetId="54" r:id="rId54"/>
    <sheet name="NB_2034_OSI Systems Inc. Common" sheetId="55" r:id="rId55"/>
    <sheet name="NB_2035_Oshkosh Corporation (Ho" sheetId="56" r:id="rId56"/>
    <sheet name="NB_2036_OneSpan Inc. Common Sto" sheetId="57" r:id="rId57"/>
    <sheet name="NB_2037_One Stop Systems Inc. C" sheetId="58" r:id="rId58"/>
    <sheet name="NB_2038_OraSure Technologies In" sheetId="59" r:id="rId59"/>
    <sheet name="NB_2039_Otis Worldwide Corporat" sheetId="60" r:id="rId60"/>
    <sheet name="NB_2040_Outlook Therapeutics In" sheetId="61" r:id="rId61"/>
    <sheet name="NB_2041_Otter Tail Corporation " sheetId="62" r:id="rId62"/>
    <sheet name="NB_2042_Ouster Inc. Common Stoc" sheetId="63" r:id="rId63"/>
    <sheet name="NB_2043_Ovid Therapeutics Inc. " sheetId="64" r:id="rId64"/>
    <sheet name="NB_2044_Owlet Inc. Class A Comm" sheetId="65" r:id="rId65"/>
    <sheet name="NB_2045_Oxford Industries Inc. " sheetId="66" r:id="rId66"/>
    <sheet name="NB_2046_Oxford Square Capital C" sheetId="67" r:id="rId67"/>
    <sheet name="NB_2047_Occidental Petroleum Co" sheetId="68" r:id="rId68"/>
    <sheet name="NB_2048_Everpure Inc. Class A c" sheetId="69" r:id="rId69"/>
    <sheet name="NB_2049_Plains All American Pip" sheetId="70" r:id="rId70"/>
    <sheet name="NB_2050_Paradium.AI Inc. Common" sheetId="71" r:id="rId71"/>
    <sheet name="NB_2051_Pacific Biosciences of " sheetId="72" r:id="rId72"/>
    <sheet name="NB_2052_Ranpak Holdings Corp Cl" sheetId="73" r:id="rId73"/>
    <sheet name="NB_2053_PACS Group Inc. Common " sheetId="74" r:id="rId74"/>
    <sheet name="NB_2054_Penske Automotive Group" sheetId="75" r:id="rId75"/>
    <sheet name="NB_2055_Plains GP Holdings L.P." sheetId="76" r:id="rId76"/>
    <sheet name="NB_2056_Phibro Animal Health Co" sheetId="77" r:id="rId77"/>
    <sheet name="NB_2057_Proficient Auto Logisti" sheetId="78" r:id="rId78"/>
    <sheet name="NB_2058_Palisade Bio Inc. Commo" sheetId="79" r:id="rId79"/>
    <sheet name="NB_2059_PAMT CORP Common Stock" sheetId="80" r:id="rId80"/>
    <sheet name="NB_2060_Pangaea Logistics Solut" sheetId="81" r:id="rId81"/>
    <sheet name="NB_2061_Palo Alto Networks Inc." sheetId="82" r:id="rId82"/>
    <sheet name="NB_2062_Banzai International In" sheetId="83" r:id="rId83"/>
    <sheet name="NB_2063_Banzai International In" sheetId="84" r:id="rId84"/>
    <sheet name="NB_2064_Park Dental Partners In" sheetId="85" r:id="rId85"/>
    <sheet name="NB_2065_Par Pacific Holdings In" sheetId="86" r:id="rId86"/>
    <sheet name="NB_2066_Passage Bio Inc. Common" sheetId="87" r:id="rId87"/>
    <sheet name="NB_2067_UiPath Inc. Class A Com" sheetId="88" r:id="rId88"/>
    <sheet name="NB_2068_Patrick Industries Inc." sheetId="89" r:id="rId89"/>
    <sheet name="NB_2069_PAVmed Inc. Common Stoc" sheetId="90" r:id="rId90"/>
    <sheet name="NB_2070_Paymentus Holdings Inc." sheetId="91" r:id="rId91"/>
    <sheet name="NB_2071_Paycom Software Inc. Co" sheetId="92" r:id="rId92"/>
    <sheet name="NB_2072_Payoneer Global Inc. Co" sheetId="93" r:id="rId93"/>
    <sheet name="NB_2073_Paysign Inc. Common Sto" sheetId="94" r:id="rId94"/>
    <sheet name="NB_2074_Paychex Inc. Common Sto" sheetId="95" r:id="rId95"/>
    <sheet name="NB_2075_PBF Energy Inc. Class A" sheetId="96" r:id="rId96"/>
    <sheet name="NB_2076_Prestige Consumer Healt" sheetId="97" r:id="rId97"/>
    <sheet name="NB_2077_Parabilis Medicines Inc" sheetId="98" r:id="rId98"/>
    <sheet name="NB_2078_Permian Basin Royalty T" sheetId="99" r:id="rId99"/>
    <sheet name="NB_2079_Puma Biotechnology Inc " sheetId="100" r:id="rId100"/>
    <sheet name="NB_2080_PACCAR Inc. Common Stoc" sheetId="101" r:id="rId101"/>
    <sheet name="NB_2081_Pacific Gas &amp; Electric " sheetId="102" r:id="rId102"/>
    <sheet name="NB_2082_Procore Technologies In" sheetId="103" r:id="rId103"/>
    <sheet name="NB_2083_Pacira BioSciences Inc." sheetId="104" r:id="rId104"/>
    <sheet name="NB_2084_Processa Pharmaceutical" sheetId="105" r:id="rId105"/>
    <sheet name="NB_2085_PureCycle Technologies " sheetId="106" r:id="rId106"/>
    <sheet name="NB_2086_PureCycle Technologies " sheetId="107" r:id="rId107"/>
    <sheet name="NB_2087_PureCycle Technologies " sheetId="108" r:id="rId108"/>
    <sheet name="NB_2088_Paylocity Holding Corpo" sheetId="109" r:id="rId109"/>
    <sheet name="NB_2089_Vaxcyte Inc. Common Sto" sheetId="110" r:id="rId110"/>
    <sheet name="NB_2090_Pure Cycle Corporation " sheetId="111" r:id="rId111"/>
    <sheet name="NB_2091_PagerDuty Inc. Common S" sheetId="112" r:id="rId112"/>
    <sheet name="NB_2092_Pro-Dex Inc. Common Sto" sheetId="113" r:id="rId113"/>
    <sheet name="NB_2093_PDF Solutions Inc. Comm" sheetId="114" r:id="rId114"/>
    <sheet name="NB_2094_PDS Biotechnology Corpo" sheetId="115" r:id="rId115"/>
    <sheet name="NB_2095_Palladyne AI Corp. Comm" sheetId="116" r:id="rId116"/>
    <sheet name="NB_2096_Palladyne AI Corp Warra" sheetId="117" r:id="rId117"/>
    <sheet name="NB_2097_Pedevco Corp. Common St" sheetId="118" r:id="rId118"/>
    <sheet name="NB_2098_Public Service Enterpri" sheetId="119" r:id="rId119"/>
    <sheet name="NB_2099_Pegasystems Inc. Common" sheetId="120" r:id="rId120"/>
    <sheet name="NB_2100_Penumbra Inc. Common St" sheetId="121" r:id="rId121"/>
    <sheet name="NB_2101_Penguin Solutions Inc. " sheetId="122" r:id="rId122"/>
    <sheet name="NB_2102_PENN Entertainment Inc." sheetId="123" r:id="rId123"/>
    <sheet name="NB_2103_PepsiCo Inc. Common Sto" sheetId="124" r:id="rId124"/>
    <sheet name="NB_2104_PepGen Inc. Common Stoc" sheetId="125" r:id="rId125"/>
    <sheet name="NB_2105_Perma-Fix Environmental" sheetId="126" r:id="rId126"/>
    <sheet name="NB_2106_PetMed Express Inc. Com" sheetId="127" r:id="rId127"/>
    <sheet name="NB_2107_Pfizer Inc. Common Stoc" sheetId="128" r:id="rId128"/>
    <sheet name="NB_2108_Performance Food Group " sheetId="129" r:id="rId129"/>
    <sheet name="NB_2109_Profusa Inc. Common Sto" sheetId="130" r:id="rId130"/>
    <sheet name="NB_2110_Procter &amp; Gamble Compan" sheetId="131" r:id="rId131"/>
    <sheet name="NB_2111_Precigen Inc. Common St" sheetId="132" r:id="rId132"/>
    <sheet name="NB_2112_Progyny Inc. Common Sto" sheetId="133" r:id="rId133"/>
    <sheet name="NB_2113_Parker-Hannifin Corpora" sheetId="134" r:id="rId134"/>
    <sheet name="NB_2114_Phathom Pharmaceuticals" sheetId="135" r:id="rId135"/>
    <sheet name="NB_2115_PHINIA Inc. Common Stoc" sheetId="136" r:id="rId136"/>
    <sheet name="NB_2116_Phio Pharmaceuticals Co" sheetId="137" r:id="rId137"/>
    <sheet name="NB_2117_PulteGroup Inc. Common " sheetId="138" r:id="rId138"/>
    <sheet name="NB_2118_Phreesia Inc. Common St" sheetId="139" r:id="rId139"/>
    <sheet name="NB_2119_Impinj Inc. Common Stoc" sheetId="140" r:id="rId140"/>
    <sheet name="NB_2120_Polaris Inc. Common Sto" sheetId="141" r:id="rId141"/>
    <sheet name="NB_2121_P3 Health Partners Inc." sheetId="142" r:id="rId142"/>
    <sheet name="NB_2122_P3 Health Partners Inc." sheetId="143" r:id="rId143"/>
    <sheet name="NB_2123_Pinterest Inc. Class A " sheetId="144" r:id="rId144"/>
    <sheet name="NB_2124_Park Hotels &amp; Resorts I" sheetId="145" r:id="rId145"/>
    <sheet name="NB_2125_Park Aerospace Corp. Co" sheetId="146" r:id="rId146"/>
    <sheet name="NB_2126_Packaging Corporation o" sheetId="147" r:id="rId147"/>
    <sheet name="NB_2127_Park-Ohio Holdings Corp" sheetId="148" r:id="rId148"/>
    <sheet name="NB_2128_Planet Labs PBC Class A" sheetId="149" r:id="rId149"/>
    <sheet name="NB_2129_Photronics Inc. Common " sheetId="150" r:id="rId150"/>
    <sheet name="NB_2130_Dave &amp; Buster's Enterta" sheetId="151" r:id="rId151"/>
    <sheet name="NB_2131_Playboy Inc. Common Sto" sheetId="152" r:id="rId152"/>
    <sheet name="NB_2132_Children's Place Inc. (" sheetId="153" r:id="rId153"/>
    <sheet name="NB_2133_Planet Fitness Inc. Com" sheetId="154" r:id="rId154"/>
    <sheet name="NB_2134_Douglas Dynamics Inc. C" sheetId="155" r:id="rId155"/>
    <sheet name="NB_2135_Preformed Line Products" sheetId="156" r:id="rId156"/>
    <sheet name="NB_2136_Pliant Therapeutics Inc" sheetId="157" r:id="rId157"/>
    <sheet name="NB_2137_Pulse Biosciences Inc C" sheetId="158" r:id="rId158"/>
    <sheet name="NB_2138_Palantir Technologies I" sheetId="159" r:id="rId159"/>
    <sheet name="NB_2139_Plug Power Inc. Common " sheetId="160" r:id="rId160"/>
    <sheet name="NB_2140_ePlus inc. Common Stock" sheetId="161" r:id="rId161"/>
    <sheet name="NB_2141_Plexus Corp. Common Sto" sheetId="162" r:id="rId162"/>
    <sheet name="NB_2142_Polaryx Therapeutics In" sheetId="163" r:id="rId163"/>
    <sheet name="NB_2143_Philip Morris Internati" sheetId="164" r:id="rId164"/>
    <sheet name="NB_2144_PharmaCyte  Biotech Inc" sheetId="165" r:id="rId165"/>
    <sheet name="NB_2145_CPI Card Group Inc. Com" sheetId="166" r:id="rId166"/>
    <sheet name="NB_2146_PMV Pharmaceuticals Inc" sheetId="167" r:id="rId167"/>
    <sheet name="NB_2147_PrimeEnergy Resources C" sheetId="168" r:id="rId168"/>
    <sheet name="NB_2148_The Pennant Group Inc. " sheetId="169" r:id="rId169"/>
    <sheet name="NB_2149_Pinnacle West Capital C" sheetId="170" r:id="rId170"/>
    <sheet name="NB_2150_Precision Optics Corpor" sheetId="171" r:id="rId171"/>
    <sheet name="NB_2151_PodcastOne Inc. Common " sheetId="172" r:id="rId172"/>
    <sheet name="NB_2152_Insulet Corporation Com" sheetId="173" r:id="rId173"/>
    <sheet name="NB_2153_Pool Corporation Common" sheetId="174" r:id="rId174"/>
    <sheet name="NB_2154_Portland General Electr" sheetId="175" r:id="rId175"/>
    <sheet name="NB_2155_Post Holdings Inc. Comm" sheetId="176" r:id="rId176"/>
    <sheet name="NB_2156_Power Integrations Inc." sheetId="177" r:id="rId177"/>
    <sheet name="NB_2157_Powell Industries Inc. " sheetId="178" r:id="rId178"/>
    <sheet name="NB_2158_Outdoor Holding Company" sheetId="179" r:id="rId179"/>
    <sheet name="NB_2159_Outdoor Holding Company" sheetId="180" r:id="rId180"/>
    <sheet name="NB_2160_Pilgrim's Pride Corpora" sheetId="181" r:id="rId181"/>
    <sheet name="NB_2161_PPG Industries Inc. Com" sheetId="182" r:id="rId182"/>
    <sheet name="NB_2162_Perma-Pipe Internationa" sheetId="183" r:id="rId183"/>
    <sheet name="NB_2163_PPL Corporation Common " sheetId="184" r:id="rId184"/>
    <sheet name="NB_2164_PPL Corporation Corpora" sheetId="185" r:id="rId185"/>
    <sheet name="NB_2165_People Incorporated Com" sheetId="186" r:id="rId186"/>
    <sheet name="NB_2166_Permian Resources Corpo" sheetId="187" r:id="rId187"/>
    <sheet name="NB_2167_Praxis Precision Medici" sheetId="188" r:id="rId188"/>
    <sheet name="NB_2168_Porch Group Inc. Common" sheetId="189" r:id="rId189"/>
    <sheet name="NB_2169_PROCEPT BioRobotics Cor" sheetId="190" r:id="rId190"/>
    <sheet name="NB_2170_PROG Holdings Inc. Comm" sheetId="191" r:id="rId191"/>
    <sheet name="NB_2171_Perrigo Company plc Ord" sheetId="192" r:id="rId192"/>
    <sheet name="NB_2172_Progress Software Corpo" sheetId="193" r:id="rId193"/>
    <sheet name="NB_2173_Primoris Services Corpo" sheetId="194" r:id="rId194"/>
    <sheet name="NB_2174_United Parks &amp; Resorts " sheetId="195" r:id="rId195"/>
    <sheet name="NB_2175_Proto Labs Inc. Common " sheetId="196" r:id="rId196"/>
    <sheet name="NB_2176_Prelude Therapeutics In" sheetId="197" r:id="rId197"/>
    <sheet name="NB_2177_Primo Brands Corporatio" sheetId="198" r:id="rId198"/>
    <sheet name="NB_2178_Prime Medicine Inc. Com" sheetId="199" r:id="rId199"/>
    <sheet name="NB_2179_ProKidney Corp. Class A" sheetId="200" r:id="rId200"/>
    <sheet name="NB_2180_Prairie Operating Co. C" sheetId="201" r:id="rId201"/>
    <sheet name="NB_2181_Purple Innovation Inc. " sheetId="202" r:id="rId202"/>
    <sheet name="NB_2182_Precipio Inc.  Common S" sheetId="203" r:id="rId203"/>
    <sheet name="NB_2183_Peraso Inc. Common Stoc" sheetId="204" r:id="rId204"/>
    <sheet name="NB_2184_Pursuit Attractions and" sheetId="205" r:id="rId205"/>
    <sheet name="NB_2185_PermRock Royalty Trust " sheetId="206" r:id="rId206"/>
    <sheet name="NB_2186_Prothena Corporation pl" sheetId="207" r:id="rId207"/>
    <sheet name="NB_2187_Priority Technology Hol" sheetId="208" r:id="rId208"/>
    <sheet name="NB_2188_CarParts.com Inc. Commo" sheetId="209" r:id="rId209"/>
    <sheet name="NB_2189_Privia Health Group Inc" sheetId="210" r:id="rId210"/>
    <sheet name="NB_2190_Power Solutions Interna" sheetId="211" r:id="rId211"/>
    <sheet name="NB_2191_Paramount Skydance Corp" sheetId="212" r:id="rId212"/>
    <sheet name="NB_2192_PriceSmart Inc. Common " sheetId="213" r:id="rId213"/>
    <sheet name="NB_2193_Parsons Corporation Com" sheetId="214" r:id="rId214"/>
    <sheet name="NB_2194_Personalis Inc. Common " sheetId="215" r:id="rId215"/>
    <sheet name="NB_2195_Phillips 66 Common Stoc" sheetId="216" r:id="rId216"/>
    <sheet name="NB_2196_PTC Inc. Common Stock" sheetId="217" r:id="rId217"/>
    <sheet name="NB_2197_PTC Therapeutics Inc. C" sheetId="218" r:id="rId218"/>
    <sheet name="NB_2198_Patterson-UTI Energy In" sheetId="219" r:id="rId219"/>
    <sheet name="NB_2199_Protagonist Therapeutic" sheetId="220" r:id="rId220"/>
    <sheet name="NB_2200_Portillo's Inc. Class A" sheetId="221" r:id="rId221"/>
    <sheet name="NB_2201_Palatin Technologies In" sheetId="222" r:id="rId222"/>
    <sheet name="NB_2202_Peloton Interactive Inc" sheetId="223" r:id="rId223"/>
    <sheet name="NB_2203_Pattern Group Inc. Seri" sheetId="224" r:id="rId224"/>
    <sheet name="NB_2204_PubMatic Inc. Class A C" sheetId="225" r:id="rId225"/>
    <sheet name="NB_2205_Pulmatrix Inc. Common S" sheetId="226" r:id="rId226"/>
    <sheet name="NB_2206_ProPetro Holding Corp. " sheetId="227" r:id="rId227"/>
    <sheet name="NB_2207_Aureus Greenway Holding" sheetId="228" r:id="rId228"/>
    <sheet name="NB_2208_PVH Corp. Common Stock" sheetId="229" r:id="rId229"/>
    <sheet name="NB_2209_Permianville Royalty Tr" sheetId="230" r:id="rId230"/>
    <sheet name="NB_2210_Palvella Therapeutics I" sheetId="231" r:id="rId231"/>
    <sheet name="NB_2211_Quanta Services Inc. Co" sheetId="232" r:id="rId232"/>
    <sheet name="NB_2212_Pixelworks Inc.  Common" sheetId="233" r:id="rId233"/>
    <sheet name="NB_2213_PayPal Holdings Inc. Co" sheetId="234" r:id="rId234"/>
    <sheet name="NB_2214_Pyxis Oncology Inc. Com" sheetId="235" r:id="rId235"/>
    <sheet name="NB_2215_Paramount Gold Nevada C" sheetId="236" r:id="rId236"/>
    <sheet name="NB_2216_Papa John's Internation" sheetId="237" r:id="rId237"/>
    <sheet name="NB_2217_Qnity Electronics Inc. " sheetId="238" r:id="rId238"/>
    <sheet name="NB_2218_D-Wave Quantum Inc. Com" sheetId="239" r:id="rId239"/>
    <sheet name="NB_2219_QC Technologies Inc. Co" sheetId="240" r:id="rId240"/>
    <sheet name="NB_2220_QUALCOMM Incorporated C" sheetId="241" r:id="rId241"/>
    <sheet name="NB_2221_QuidelOrtho Corporation" sheetId="242" r:id="rId242"/>
    <sheet name="NB_2222_Qualys Inc. Common Stoc" sheetId="243" r:id="rId243"/>
    <sheet name="NB_2223_Quantum Corporation Com" sheetId="244" r:id="rId244"/>
    <sheet name="NB_2224_QumulusAI Inc. Common S" sheetId="245" r:id="rId245"/>
    <sheet name="NB_2225_Quince Therapeutics Inc" sheetId="246" r:id="rId246"/>
    <sheet name="NB_2226_Quanome Technologies In" sheetId="247" r:id="rId247"/>
    <sheet name="NB_2227_QuinStreet Inc. Common " sheetId="248" r:id="rId248"/>
    <sheet name="NB_2228_Quantinuum Inc. Class A" sheetId="249" r:id="rId249"/>
    <sheet name="NB_2229_Quest Resource Holding " sheetId="250" r:id="rId250"/>
    <sheet name="NB_2230_Qorvo Inc. Common Stock" sheetId="251" r:id="rId251"/>
  </sheets>
  <calcPr calcId="124519" fullCalcOnLoad="1"/>
</workbook>
</file>

<file path=xl/sharedStrings.xml><?xml version="1.0" encoding="utf-8"?>
<sst xmlns="http://schemas.openxmlformats.org/spreadsheetml/2006/main" count="15763" uniqueCount="1158">
  <si>
    <t>company_id</t>
  </si>
  <si>
    <t>company_type</t>
  </si>
  <si>
    <t>bankruptcy_date</t>
  </si>
  <si>
    <t>ticker</t>
  </si>
  <si>
    <t>name</t>
  </si>
  <si>
    <t>Sector</t>
  </si>
  <si>
    <t>Industry</t>
  </si>
  <si>
    <t>bloomberg_identifier</t>
  </si>
  <si>
    <t>prediction_date</t>
  </si>
  <si>
    <t>start_date</t>
  </si>
  <si>
    <t>end_date</t>
  </si>
  <si>
    <t>bloomberg_sector</t>
  </si>
  <si>
    <t>bloomberg_industry</t>
  </si>
  <si>
    <t>NB_1981</t>
  </si>
  <si>
    <t>nonbankrupt</t>
  </si>
  <si>
    <t/>
  </si>
  <si>
    <t>ODTX</t>
  </si>
  <si>
    <t>Odyssey Therapeutics Inc. Common Stock</t>
  </si>
  <si>
    <t>Health Care</t>
  </si>
  <si>
    <t>Biotechnology: Biological Products (No Diagnostic Substances)</t>
  </si>
  <si>
    <t>ODTX US Equity</t>
  </si>
  <si>
    <t>1993-06-18</t>
  </si>
  <si>
    <t>2026-05-02</t>
  </si>
  <si>
    <t>NB_1982</t>
  </si>
  <si>
    <t>OESX</t>
  </si>
  <si>
    <t>Orion Energy Systems Inc. Common Stock</t>
  </si>
  <si>
    <t>Consumer Discretionary</t>
  </si>
  <si>
    <t>Building Products</t>
  </si>
  <si>
    <t>OESX US Equity</t>
  </si>
  <si>
    <t>NB_1983</t>
  </si>
  <si>
    <t>OFLX</t>
  </si>
  <si>
    <t>Omega Flex Inc. Common Stock</t>
  </si>
  <si>
    <t>Industrials</t>
  </si>
  <si>
    <t>Industrial Specialties</t>
  </si>
  <si>
    <t>OFLX US Equity</t>
  </si>
  <si>
    <t>NB_1984</t>
  </si>
  <si>
    <t>OGE</t>
  </si>
  <si>
    <t>OGE Energy Corp Common Stock</t>
  </si>
  <si>
    <t>Utilities</t>
  </si>
  <si>
    <t>Electric Utilities: Central</t>
  </si>
  <si>
    <t>OGE US Equity</t>
  </si>
  <si>
    <t>NB_1985</t>
  </si>
  <si>
    <t>OGEN</t>
  </si>
  <si>
    <t>Oragenics Inc. Common Stock</t>
  </si>
  <si>
    <t>Biotechnology: Pharmaceutical Preparations</t>
  </si>
  <si>
    <t>OGEN US Equity</t>
  </si>
  <si>
    <t>NB_1986</t>
  </si>
  <si>
    <t>OGN</t>
  </si>
  <si>
    <t>Organon &amp; Co. Common Stock</t>
  </si>
  <si>
    <t>OGN US Equity</t>
  </si>
  <si>
    <t>NB_1987</t>
  </si>
  <si>
    <t>OGS</t>
  </si>
  <si>
    <t>ONE Gas Inc. Common Stock</t>
  </si>
  <si>
    <t>Oil/Gas Transmission</t>
  </si>
  <si>
    <t>OGS US Equity</t>
  </si>
  <si>
    <t>NB_1988</t>
  </si>
  <si>
    <t>OI</t>
  </si>
  <si>
    <t>O-I Glass Inc. Common Stock</t>
  </si>
  <si>
    <t>Containers/Packaging</t>
  </si>
  <si>
    <t>OI US Equity</t>
  </si>
  <si>
    <t>NB_1989</t>
  </si>
  <si>
    <t>OII</t>
  </si>
  <si>
    <t>Oceaneering International Inc. Common Stock</t>
  </si>
  <si>
    <t>Energy</t>
  </si>
  <si>
    <t>Oilfield Services/Equipment</t>
  </si>
  <si>
    <t>OII US Equity</t>
  </si>
  <si>
    <t>NB_1990</t>
  </si>
  <si>
    <t>OIS</t>
  </si>
  <si>
    <t>Oil States International Inc. Common Stock</t>
  </si>
  <si>
    <t>Oil and Gas Field Machinery</t>
  </si>
  <si>
    <t>OIS US Equity</t>
  </si>
  <si>
    <t>NB_1991</t>
  </si>
  <si>
    <t>OKE</t>
  </si>
  <si>
    <t>ONEOK Inc. Common Stock</t>
  </si>
  <si>
    <t>Oil &amp; Gas Production</t>
  </si>
  <si>
    <t>OKE US Equity</t>
  </si>
  <si>
    <t>NB_1992</t>
  </si>
  <si>
    <t>OKLO</t>
  </si>
  <si>
    <t>Oklo Inc. Class A common stock</t>
  </si>
  <si>
    <t>OKLO US Equity</t>
  </si>
  <si>
    <t>NB_1993</t>
  </si>
  <si>
    <t>OKTA</t>
  </si>
  <si>
    <t>Okta Inc. Class A Common Stock</t>
  </si>
  <si>
    <t>Technology</t>
  </si>
  <si>
    <t>Computer Software: Prepackaged Software</t>
  </si>
  <si>
    <t>OKTA US Equity</t>
  </si>
  <si>
    <t>NB_1994</t>
  </si>
  <si>
    <t>OKUR</t>
  </si>
  <si>
    <t>OnKure Therapeutics Inc. Class A Common Stock</t>
  </si>
  <si>
    <t>OKUR US Equity</t>
  </si>
  <si>
    <t>NB_1995</t>
  </si>
  <si>
    <t>OLB</t>
  </si>
  <si>
    <t>The OLB Group Inc. Common Stock</t>
  </si>
  <si>
    <t>Business Services</t>
  </si>
  <si>
    <t>OLB US Equity</t>
  </si>
  <si>
    <t>NB_1996</t>
  </si>
  <si>
    <t>OLED</t>
  </si>
  <si>
    <t>Universal Display Corporation Common Stock</t>
  </si>
  <si>
    <t>Electrical Products</t>
  </si>
  <si>
    <t>OLED US Equity</t>
  </si>
  <si>
    <t>NB_1997</t>
  </si>
  <si>
    <t>OLLI</t>
  </si>
  <si>
    <t>Ollie's Bargain Outlet Holdings Inc. Common Stock</t>
  </si>
  <si>
    <t>Department/Specialty Retail Stores</t>
  </si>
  <si>
    <t>OLLI US Equity</t>
  </si>
  <si>
    <t>NB_1998</t>
  </si>
  <si>
    <t>OLMA</t>
  </si>
  <si>
    <t>Olema Pharmaceuticals Inc. Common Stock</t>
  </si>
  <si>
    <t>OLMA US Equity</t>
  </si>
  <si>
    <t>NB_1999</t>
  </si>
  <si>
    <t>OLN</t>
  </si>
  <si>
    <t>Olin Corporation Common Stock</t>
  </si>
  <si>
    <t>Major Chemicals</t>
  </si>
  <si>
    <t>OLN US Equity</t>
  </si>
  <si>
    <t>NB_2000</t>
  </si>
  <si>
    <t>OLOX</t>
  </si>
  <si>
    <t>Olenox Industries Inc. Common Stock</t>
  </si>
  <si>
    <t>RETAIL: Building Materials</t>
  </si>
  <si>
    <t>OLOX US Equity</t>
  </si>
  <si>
    <t>NB_2001</t>
  </si>
  <si>
    <t>OM</t>
  </si>
  <si>
    <t>Outset Medical Inc. Common Stock</t>
  </si>
  <si>
    <t>Biotechnology: Electromedical &amp; Electrotherapeutic Apparatus</t>
  </si>
  <si>
    <t>OM US Equity</t>
  </si>
  <si>
    <t>NB_2002</t>
  </si>
  <si>
    <t>OMC</t>
  </si>
  <si>
    <t>Omnicom Group Inc. Common Stock</t>
  </si>
  <si>
    <t>Advertising</t>
  </si>
  <si>
    <t>OMC US Equity</t>
  </si>
  <si>
    <t>NB_2003</t>
  </si>
  <si>
    <t>OMCL</t>
  </si>
  <si>
    <t>Omnicell Inc. Common Stock ($0.001 par value)</t>
  </si>
  <si>
    <t>Computer Manufacturing</t>
  </si>
  <si>
    <t>OMCL US Equity</t>
  </si>
  <si>
    <t>NB_2004</t>
  </si>
  <si>
    <t>OMDA</t>
  </si>
  <si>
    <t>Omada Health Inc. Common Stock</t>
  </si>
  <si>
    <t>Medical/Nursing Services</t>
  </si>
  <si>
    <t>OMDA US Equity</t>
  </si>
  <si>
    <t>NB_2005</t>
  </si>
  <si>
    <t>OMER</t>
  </si>
  <si>
    <t>Omeros Corporation Common Stock</t>
  </si>
  <si>
    <t>OMER US Equity</t>
  </si>
  <si>
    <t>NB_2006</t>
  </si>
  <si>
    <t>OMEX</t>
  </si>
  <si>
    <t>Odyssey Marine Exploration Inc. Common Stock</t>
  </si>
  <si>
    <t>Marine Transportation</t>
  </si>
  <si>
    <t>OMEX US Equity</t>
  </si>
  <si>
    <t>NB_2007</t>
  </si>
  <si>
    <t>ON</t>
  </si>
  <si>
    <t>ON Semiconductor Corporation Common Stock</t>
  </si>
  <si>
    <t>Semiconductors</t>
  </si>
  <si>
    <t>ON US Equity</t>
  </si>
  <si>
    <t>NB_2008</t>
  </si>
  <si>
    <t>ONCO</t>
  </si>
  <si>
    <t>Onconetix Inc. Common Stock</t>
  </si>
  <si>
    <t>ONCO US Equity</t>
  </si>
  <si>
    <t>NB_2009</t>
  </si>
  <si>
    <t>ONDS</t>
  </si>
  <si>
    <t>Ondas Inc. Common Stock</t>
  </si>
  <si>
    <t>Radio And Television Broadcasting And Communications Equipment</t>
  </si>
  <si>
    <t>ONDS US Equity</t>
  </si>
  <si>
    <t>NB_2010</t>
  </si>
  <si>
    <t>ONEW</t>
  </si>
  <si>
    <t>OneWater Marine Inc. Class A Common Stock</t>
  </si>
  <si>
    <t>Auto &amp; Home Supply Stores</t>
  </si>
  <si>
    <t>ONEW US Equity</t>
  </si>
  <si>
    <t>NB_2011</t>
  </si>
  <si>
    <t>ONFO</t>
  </si>
  <si>
    <t>Onfolio Holdings Inc. Common Stock</t>
  </si>
  <si>
    <t>EDP Services</t>
  </si>
  <si>
    <t>ONFO US Equity</t>
  </si>
  <si>
    <t>NB_2012</t>
  </si>
  <si>
    <t>ONFOW</t>
  </si>
  <si>
    <t>Onfolio Holdings Inc. Warrant</t>
  </si>
  <si>
    <t>ONFOW US Equity</t>
  </si>
  <si>
    <t>NB_2013</t>
  </si>
  <si>
    <t>ONT</t>
  </si>
  <si>
    <t>Onterris Inc. Common Stock</t>
  </si>
  <si>
    <t>Professional Services</t>
  </si>
  <si>
    <t>ONT US Equity</t>
  </si>
  <si>
    <t>NB_2014</t>
  </si>
  <si>
    <t>ONTO</t>
  </si>
  <si>
    <t>Onto Innovation Inc. Common Stock</t>
  </si>
  <si>
    <t>Industrial Machinery/Components</t>
  </si>
  <si>
    <t>ONTO US Equity</t>
  </si>
  <si>
    <t>NB_2015</t>
  </si>
  <si>
    <t>OOMA</t>
  </si>
  <si>
    <t>Ooma Inc. Common Stock</t>
  </si>
  <si>
    <t>OOMA US Equity</t>
  </si>
  <si>
    <t>NB_2016</t>
  </si>
  <si>
    <t>OPAL</t>
  </si>
  <si>
    <t>OPAL Fuels Inc. Class A Common Stock</t>
  </si>
  <si>
    <t>Natural Gas Distribution</t>
  </si>
  <si>
    <t>OPAL US Equity</t>
  </si>
  <si>
    <t>NB_2017</t>
  </si>
  <si>
    <t>OPCH</t>
  </si>
  <si>
    <t>Option Care Health Inc. Common Stock</t>
  </si>
  <si>
    <t>OPCH US Equity</t>
  </si>
  <si>
    <t>NB_2018</t>
  </si>
  <si>
    <t>OPK</t>
  </si>
  <si>
    <t>OPKO Health Inc. Common Stock</t>
  </si>
  <si>
    <t>OPK US Equity</t>
  </si>
  <si>
    <t>NB_2019</t>
  </si>
  <si>
    <t>OPLN</t>
  </si>
  <si>
    <t>OPENLANE Inc. Common Stock</t>
  </si>
  <si>
    <t>Retail-Auto Dealers and Gas Stations</t>
  </si>
  <si>
    <t>OPLN US Equity</t>
  </si>
  <si>
    <t>NB_2020</t>
  </si>
  <si>
    <t>OPRX</t>
  </si>
  <si>
    <t>OptimizeRx Corporation Common Stock</t>
  </si>
  <si>
    <t>OPRX US Equity</t>
  </si>
  <si>
    <t>NB_2021</t>
  </si>
  <si>
    <t>OPTT</t>
  </si>
  <si>
    <t>Ocean Power Technologies Inc. Common Stock</t>
  </si>
  <si>
    <t>OPTT US Equity</t>
  </si>
  <si>
    <t>NB_2022</t>
  </si>
  <si>
    <t>OPTU</t>
  </si>
  <si>
    <t>Optimum Communications Inc. Class A common stock</t>
  </si>
  <si>
    <t>Telecommunications</t>
  </si>
  <si>
    <t>Cable &amp; Other Pay Television Services</t>
  </si>
  <si>
    <t>OPTU US Equity</t>
  </si>
  <si>
    <t>NB_2023</t>
  </si>
  <si>
    <t>OPTX</t>
  </si>
  <si>
    <t>Syntec Optics Holdings Inc. Class A Common Stock</t>
  </si>
  <si>
    <t>Electronic Components</t>
  </si>
  <si>
    <t>OPTX US Equity</t>
  </si>
  <si>
    <t>NB_2024</t>
  </si>
  <si>
    <t>OPTXW</t>
  </si>
  <si>
    <t>Syntec Optics Holdings Inc. Warrant</t>
  </si>
  <si>
    <t>OPTXW US Equity</t>
  </si>
  <si>
    <t>NB_2025</t>
  </si>
  <si>
    <t>OPXS</t>
  </si>
  <si>
    <t>Optex Systems Holdings Inc. Common Stock</t>
  </si>
  <si>
    <t>OPXS US Equity</t>
  </si>
  <si>
    <t>NB_2026</t>
  </si>
  <si>
    <t>ORA</t>
  </si>
  <si>
    <t>Ormat Technologies Inc. Common Stock</t>
  </si>
  <si>
    <t>ORA US Equity</t>
  </si>
  <si>
    <t>NB_2027</t>
  </si>
  <si>
    <t>ORCL</t>
  </si>
  <si>
    <t>Oracle Corporation Common Stock</t>
  </si>
  <si>
    <t>ORCL US Equity</t>
  </si>
  <si>
    <t>NB_2028</t>
  </si>
  <si>
    <t>ORGO</t>
  </si>
  <si>
    <t>Organogenesis Holdings Inc. Class A Common Stock</t>
  </si>
  <si>
    <t>ORGO US Equity</t>
  </si>
  <si>
    <t>NB_2029</t>
  </si>
  <si>
    <t>ORIC</t>
  </si>
  <si>
    <t>Oric Pharmaceuticals Inc. Common Stock</t>
  </si>
  <si>
    <t>ORIC US Equity</t>
  </si>
  <si>
    <t>NB_2030</t>
  </si>
  <si>
    <t>ORKA</t>
  </si>
  <si>
    <t>Oruka Therapeutics Inc. Common Stock</t>
  </si>
  <si>
    <t>Biotechnology: In Vitro &amp; In Vivo Diagnostic Substances</t>
  </si>
  <si>
    <t>ORKA US Equity</t>
  </si>
  <si>
    <t>NB_2031</t>
  </si>
  <si>
    <t>ORLY</t>
  </si>
  <si>
    <t>O'Reilly Automotive Inc. Common Stock</t>
  </si>
  <si>
    <t>ORLY US Equity</t>
  </si>
  <si>
    <t>NB_2032</t>
  </si>
  <si>
    <t>ORN</t>
  </si>
  <si>
    <t>Orion Group Holdings Inc. Common</t>
  </si>
  <si>
    <t>Military/Government/Technical</t>
  </si>
  <si>
    <t>ORN US Equity</t>
  </si>
  <si>
    <t>NB_2033</t>
  </si>
  <si>
    <t>OSCR</t>
  </si>
  <si>
    <t>Oscar Health Inc. Class A Common Stock</t>
  </si>
  <si>
    <t>Medical Specialities</t>
  </si>
  <si>
    <t>OSCR US Equity</t>
  </si>
  <si>
    <t>NB_2034</t>
  </si>
  <si>
    <t>OSIS</t>
  </si>
  <si>
    <t>OSI Systems Inc. Common Stock (DE)</t>
  </si>
  <si>
    <t>OSIS US Equity</t>
  </si>
  <si>
    <t>NB_2035</t>
  </si>
  <si>
    <t>OSK</t>
  </si>
  <si>
    <t>Oshkosh Corporation (Holding Company)Common Stock</t>
  </si>
  <si>
    <t>Auto Manufacturing</t>
  </si>
  <si>
    <t>OSK US Equity</t>
  </si>
  <si>
    <t>NB_2036</t>
  </si>
  <si>
    <t>OSPN</t>
  </si>
  <si>
    <t>OneSpan Inc. Common Stock</t>
  </si>
  <si>
    <t>OSPN US Equity</t>
  </si>
  <si>
    <t>NB_2037</t>
  </si>
  <si>
    <t>OSS</t>
  </si>
  <si>
    <t>One Stop Systems Inc. Common Stock</t>
  </si>
  <si>
    <t>OSS US Equity</t>
  </si>
  <si>
    <t>NB_2038</t>
  </si>
  <si>
    <t>OSUR</t>
  </si>
  <si>
    <t>OraSure Technologies Inc. Common Stock</t>
  </si>
  <si>
    <t>Medical/Dental Instruments</t>
  </si>
  <si>
    <t>OSUR US Equity</t>
  </si>
  <si>
    <t>NB_2039</t>
  </si>
  <si>
    <t>OTIS</t>
  </si>
  <si>
    <t>Otis Worldwide Corporation Common Stock</t>
  </si>
  <si>
    <t>Consumer Electronics/Appliances</t>
  </si>
  <si>
    <t>OTIS US Equity</t>
  </si>
  <si>
    <t>NB_2040</t>
  </si>
  <si>
    <t>OTLK</t>
  </si>
  <si>
    <t>Outlook Therapeutics Inc. Common Stock</t>
  </si>
  <si>
    <t>OTLK US Equity</t>
  </si>
  <si>
    <t>NB_2041</t>
  </si>
  <si>
    <t>OTTR</t>
  </si>
  <si>
    <t>Otter Tail Corporation Common Stock</t>
  </si>
  <si>
    <t>OTTR US Equity</t>
  </si>
  <si>
    <t>NB_2042</t>
  </si>
  <si>
    <t>OUST</t>
  </si>
  <si>
    <t>Ouster Inc. Common Stock</t>
  </si>
  <si>
    <t>OUST US Equity</t>
  </si>
  <si>
    <t>NB_2043</t>
  </si>
  <si>
    <t>OVID</t>
  </si>
  <si>
    <t>Ovid Therapeutics Inc. Common Stock</t>
  </si>
  <si>
    <t>OVID US Equity</t>
  </si>
  <si>
    <t>NB_2044</t>
  </si>
  <si>
    <t>OWLT</t>
  </si>
  <si>
    <t>Owlet Inc. Class A Common Stock</t>
  </si>
  <si>
    <t>OWLT US Equity</t>
  </si>
  <si>
    <t>NB_2045</t>
  </si>
  <si>
    <t>OXM</t>
  </si>
  <si>
    <t>Oxford Industries Inc. Common Stock</t>
  </si>
  <si>
    <t>Garments and Clothing</t>
  </si>
  <si>
    <t>OXM US Equity</t>
  </si>
  <si>
    <t>NB_2046</t>
  </si>
  <si>
    <t>OXSQG</t>
  </si>
  <si>
    <t>Oxford Square Capital Corp. 5.50% Notes due 2028</t>
  </si>
  <si>
    <t>Other Consumer Services</t>
  </si>
  <si>
    <t>OXSQG US Equity</t>
  </si>
  <si>
    <t>NB_2047</t>
  </si>
  <si>
    <t>OXY</t>
  </si>
  <si>
    <t>Occidental Petroleum Corporation Common Stock</t>
  </si>
  <si>
    <t>OXY US Equity</t>
  </si>
  <si>
    <t>NB_2048</t>
  </si>
  <si>
    <t>P</t>
  </si>
  <si>
    <t>Everpure Inc. Class A common stock</t>
  </si>
  <si>
    <t>P US Equity</t>
  </si>
  <si>
    <t>NB_2049</t>
  </si>
  <si>
    <t>PAA</t>
  </si>
  <si>
    <t>Plains All American Pipeline L.P. Common Units representing Limited Partner Interests</t>
  </si>
  <si>
    <t>PAA US Equity</t>
  </si>
  <si>
    <t>NB_2050</t>
  </si>
  <si>
    <t>PAAI</t>
  </si>
  <si>
    <t>Paradium.AI Inc. Common Stock</t>
  </si>
  <si>
    <t>PAAI US Equity</t>
  </si>
  <si>
    <t>NB_2051</t>
  </si>
  <si>
    <t>PACB</t>
  </si>
  <si>
    <t>Pacific Biosciences of California Inc. Common Stock</t>
  </si>
  <si>
    <t>Biotechnology: Laboratory Analytical Instruments</t>
  </si>
  <si>
    <t>PACB US Equity</t>
  </si>
  <si>
    <t>NB_2052</t>
  </si>
  <si>
    <t>PACK</t>
  </si>
  <si>
    <t>Ranpak Holdings Corp Class A Common Stock</t>
  </si>
  <si>
    <t>PACK US Equity</t>
  </si>
  <si>
    <t>NB_2053</t>
  </si>
  <si>
    <t>PACS</t>
  </si>
  <si>
    <t>PACS Group Inc. Common Stock</t>
  </si>
  <si>
    <t>Hospital/Nursing Management</t>
  </si>
  <si>
    <t>PACS US Equity</t>
  </si>
  <si>
    <t>NB_2054</t>
  </si>
  <si>
    <t>PAG</t>
  </si>
  <si>
    <t>Penske Automotive Group Inc. Common Stock</t>
  </si>
  <si>
    <t>PAG US Equity</t>
  </si>
  <si>
    <t>NB_2055</t>
  </si>
  <si>
    <t>PAGP</t>
  </si>
  <si>
    <t>Plains GP Holdings L.P. Class A Units representing Limited Partner Interests</t>
  </si>
  <si>
    <t>PAGP US Equity</t>
  </si>
  <si>
    <t>NB_2056</t>
  </si>
  <si>
    <t>PAHC</t>
  </si>
  <si>
    <t>Phibro Animal Health Corporation Class A Common Stock</t>
  </si>
  <si>
    <t>PAHC US Equity</t>
  </si>
  <si>
    <t>NB_2057</t>
  </si>
  <si>
    <t>PAL</t>
  </si>
  <si>
    <t>Proficient Auto Logistics Inc. Common Stock</t>
  </si>
  <si>
    <t>Transportation Services</t>
  </si>
  <si>
    <t>PAL US Equity</t>
  </si>
  <si>
    <t>NB_2058</t>
  </si>
  <si>
    <t>PALI</t>
  </si>
  <si>
    <t>Palisade Bio Inc. Common Stock</t>
  </si>
  <si>
    <t>PALI US Equity</t>
  </si>
  <si>
    <t>NB_2059</t>
  </si>
  <si>
    <t>PAMT</t>
  </si>
  <si>
    <t>PAMT CORP Common Stock</t>
  </si>
  <si>
    <t>Trucking Freight/Courier Services</t>
  </si>
  <si>
    <t>PAMT US Equity</t>
  </si>
  <si>
    <t>NB_2060</t>
  </si>
  <si>
    <t>PANL</t>
  </si>
  <si>
    <t>Pangaea Logistics Solutions Ltd. Common Shares</t>
  </si>
  <si>
    <t>PANL US Equity</t>
  </si>
  <si>
    <t>NB_2061</t>
  </si>
  <si>
    <t>PANW</t>
  </si>
  <si>
    <t>Palo Alto Networks Inc. Common Stock</t>
  </si>
  <si>
    <t>Computer peripheral equipment</t>
  </si>
  <si>
    <t>PANW US Equity</t>
  </si>
  <si>
    <t>NB_2062</t>
  </si>
  <si>
    <t>PARA</t>
  </si>
  <si>
    <t>Banzai International Inc. Class A Common Stock</t>
  </si>
  <si>
    <t>Broadcasting</t>
  </si>
  <si>
    <t>PARA US Equity</t>
  </si>
  <si>
    <t>NB_2063</t>
  </si>
  <si>
    <t>PARAW</t>
  </si>
  <si>
    <t>Banzai International Inc. Warrant</t>
  </si>
  <si>
    <t>PARAW US Equity</t>
  </si>
  <si>
    <t>NB_2064</t>
  </si>
  <si>
    <t>PARK</t>
  </si>
  <si>
    <t>Park Dental Partners Inc. Common Stock</t>
  </si>
  <si>
    <t>Misc Health and Biotechnology Services</t>
  </si>
  <si>
    <t>PARK US Equity</t>
  </si>
  <si>
    <t>NB_2065</t>
  </si>
  <si>
    <t>PARR</t>
  </si>
  <si>
    <t>Par Pacific Holdings Inc.  Common Stock</t>
  </si>
  <si>
    <t>PARR US Equity</t>
  </si>
  <si>
    <t>NB_2066</t>
  </si>
  <si>
    <t>PASG</t>
  </si>
  <si>
    <t>Passage Bio Inc. Common Stock</t>
  </si>
  <si>
    <t>PASG US Equity</t>
  </si>
  <si>
    <t>NB_2067</t>
  </si>
  <si>
    <t>PATH</t>
  </si>
  <si>
    <t>UiPath Inc. Class A Common Stock</t>
  </si>
  <si>
    <t>PATH US Equity</t>
  </si>
  <si>
    <t>NB_2068</t>
  </si>
  <si>
    <t>PATK</t>
  </si>
  <si>
    <t>Patrick Industries Inc. Common Stock</t>
  </si>
  <si>
    <t>Auto Parts:O.E.M.</t>
  </si>
  <si>
    <t>PATK US Equity</t>
  </si>
  <si>
    <t>NB_2069</t>
  </si>
  <si>
    <t>PAVM</t>
  </si>
  <si>
    <t>PAVmed Inc. Common Stock</t>
  </si>
  <si>
    <t>PAVM US Equity</t>
  </si>
  <si>
    <t>NB_2070</t>
  </si>
  <si>
    <t>PAY</t>
  </si>
  <si>
    <t>Paymentus Holdings Inc. Class A Common Stock</t>
  </si>
  <si>
    <t>PAY US Equity</t>
  </si>
  <si>
    <t>NB_2071</t>
  </si>
  <si>
    <t>PAYC</t>
  </si>
  <si>
    <t>Paycom Software Inc. Common Stock</t>
  </si>
  <si>
    <t>PAYC US Equity</t>
  </si>
  <si>
    <t>NB_2072</t>
  </si>
  <si>
    <t>PAYO</t>
  </si>
  <si>
    <t>Payoneer Global Inc. Common Stock</t>
  </si>
  <si>
    <t>PAYO US Equity</t>
  </si>
  <si>
    <t>NB_2073</t>
  </si>
  <si>
    <t>PAYS</t>
  </si>
  <si>
    <t>Paysign Inc. Common Stock</t>
  </si>
  <si>
    <t>PAYS US Equity</t>
  </si>
  <si>
    <t>NB_2074</t>
  </si>
  <si>
    <t>PAYX</t>
  </si>
  <si>
    <t>Paychex Inc. Common Stock</t>
  </si>
  <si>
    <t>Diversified Commercial Services</t>
  </si>
  <si>
    <t>PAYX US Equity</t>
  </si>
  <si>
    <t>NB_2075</t>
  </si>
  <si>
    <t>PBF</t>
  </si>
  <si>
    <t>PBF Energy Inc. Class A Common Stock</t>
  </si>
  <si>
    <t>Integrated oil Companies</t>
  </si>
  <si>
    <t>PBF US Equity</t>
  </si>
  <si>
    <t>NB_2076</t>
  </si>
  <si>
    <t>PBH</t>
  </si>
  <si>
    <t>Prestige Consumer Healthcare Inc. Common Stock</t>
  </si>
  <si>
    <t>PBH US Equity</t>
  </si>
  <si>
    <t>NB_2077</t>
  </si>
  <si>
    <t>PBLS</t>
  </si>
  <si>
    <t>Parabilis Medicines Inc. Common Stock</t>
  </si>
  <si>
    <t>PBLS US Equity</t>
  </si>
  <si>
    <t>NB_2078</t>
  </si>
  <si>
    <t>PBT</t>
  </si>
  <si>
    <t>Permian Basin Royalty Trust Common Stock</t>
  </si>
  <si>
    <t>PBT US Equity</t>
  </si>
  <si>
    <t>NB_2079</t>
  </si>
  <si>
    <t>PBYI</t>
  </si>
  <si>
    <t>Puma Biotechnology Inc Common Stock</t>
  </si>
  <si>
    <t>PBYI US Equity</t>
  </si>
  <si>
    <t>NB_2080</t>
  </si>
  <si>
    <t>PCAR</t>
  </si>
  <si>
    <t>PACCAR Inc. Common Stock</t>
  </si>
  <si>
    <t>PCAR US Equity</t>
  </si>
  <si>
    <t>NB_2081</t>
  </si>
  <si>
    <t>PCG</t>
  </si>
  <si>
    <t>Pacific Gas &amp; Electric Co. Common Stock</t>
  </si>
  <si>
    <t>Power Generation</t>
  </si>
  <si>
    <t>PCG US Equity</t>
  </si>
  <si>
    <t>NB_2082</t>
  </si>
  <si>
    <t>PCOR</t>
  </si>
  <si>
    <t>Procore Technologies Inc. Common Stock</t>
  </si>
  <si>
    <t>PCOR US Equity</t>
  </si>
  <si>
    <t>NB_2083</t>
  </si>
  <si>
    <t>PCRX</t>
  </si>
  <si>
    <t>Pacira BioSciences Inc. Common Stock</t>
  </si>
  <si>
    <t>PCRX US Equity</t>
  </si>
  <si>
    <t>NB_2084</t>
  </si>
  <si>
    <t>PCSA</t>
  </si>
  <si>
    <t>Processa Pharmaceuticals Inc. Common Stock</t>
  </si>
  <si>
    <t>PCSA US Equity</t>
  </si>
  <si>
    <t>NB_2085</t>
  </si>
  <si>
    <t>PCT</t>
  </si>
  <si>
    <t>PureCycle Technologies Inc. Common stock</t>
  </si>
  <si>
    <t>PCT US Equity</t>
  </si>
  <si>
    <t>NB_2086</t>
  </si>
  <si>
    <t>PCTTU</t>
  </si>
  <si>
    <t>PureCycle Technologies Inc. Unit</t>
  </si>
  <si>
    <t>PCTTU US Equity</t>
  </si>
  <si>
    <t>NB_2087</t>
  </si>
  <si>
    <t>PCTTW</t>
  </si>
  <si>
    <t>PureCycle Technologies Inc. Warrant</t>
  </si>
  <si>
    <t>PCTTW US Equity</t>
  </si>
  <si>
    <t>NB_2088</t>
  </si>
  <si>
    <t>PCTY</t>
  </si>
  <si>
    <t>Paylocity Holding Corporation Common Stock</t>
  </si>
  <si>
    <t>PCTY US Equity</t>
  </si>
  <si>
    <t>NB_2089</t>
  </si>
  <si>
    <t>PCVX</t>
  </si>
  <si>
    <t>Vaxcyte Inc. Common Stock</t>
  </si>
  <si>
    <t>PCVX US Equity</t>
  </si>
  <si>
    <t>NB_2090</t>
  </si>
  <si>
    <t>PCYO</t>
  </si>
  <si>
    <t>Pure Cycle Corporation Common Stock</t>
  </si>
  <si>
    <t>Water Supply</t>
  </si>
  <si>
    <t>PCYO US Equity</t>
  </si>
  <si>
    <t>NB_2091</t>
  </si>
  <si>
    <t>PD</t>
  </si>
  <si>
    <t>PagerDuty Inc. Common Stock</t>
  </si>
  <si>
    <t>PD US Equity</t>
  </si>
  <si>
    <t>NB_2092</t>
  </si>
  <si>
    <t>PDEX</t>
  </si>
  <si>
    <t>Pro-Dex Inc. Common Stock</t>
  </si>
  <si>
    <t>PDEX US Equity</t>
  </si>
  <si>
    <t>NB_2093</t>
  </si>
  <si>
    <t>PDFS</t>
  </si>
  <si>
    <t>PDF Solutions Inc. Common Stock</t>
  </si>
  <si>
    <t>PDFS US Equity</t>
  </si>
  <si>
    <t>NB_2094</t>
  </si>
  <si>
    <t>PDSB</t>
  </si>
  <si>
    <t>PDS Biotechnology Corporation Common Stock</t>
  </si>
  <si>
    <t>PDSB US Equity</t>
  </si>
  <si>
    <t>NB_2095</t>
  </si>
  <si>
    <t>PDYN</t>
  </si>
  <si>
    <t>Palladyne AI Corp. Common Stock</t>
  </si>
  <si>
    <t>PDYN US Equity</t>
  </si>
  <si>
    <t>NB_2096</t>
  </si>
  <si>
    <t>PDYNW</t>
  </si>
  <si>
    <t>Palladyne AI Corp Warrants</t>
  </si>
  <si>
    <t>PDYNW US Equity</t>
  </si>
  <si>
    <t>NB_2097</t>
  </si>
  <si>
    <t>PED</t>
  </si>
  <si>
    <t>Pedevco Corp. Common Stock</t>
  </si>
  <si>
    <t>PED US Equity</t>
  </si>
  <si>
    <t>NB_2098</t>
  </si>
  <si>
    <t>PEG</t>
  </si>
  <si>
    <t>Public Service Enterprise Group Incorporated Common Stock</t>
  </si>
  <si>
    <t>PEG US Equity</t>
  </si>
  <si>
    <t>NB_2099</t>
  </si>
  <si>
    <t>PEGA</t>
  </si>
  <si>
    <t>Pegasystems Inc. Common Stock</t>
  </si>
  <si>
    <t>PEGA US Equity</t>
  </si>
  <si>
    <t>NB_2100</t>
  </si>
  <si>
    <t>PEN</t>
  </si>
  <si>
    <t>Penumbra Inc. Common Stock</t>
  </si>
  <si>
    <t>PEN US Equity</t>
  </si>
  <si>
    <t>NB_2101</t>
  </si>
  <si>
    <t>PENG</t>
  </si>
  <si>
    <t>Penguin Solutions Inc. Common Stock</t>
  </si>
  <si>
    <t>PENG US Equity</t>
  </si>
  <si>
    <t>NB_2102</t>
  </si>
  <si>
    <t>PENN</t>
  </si>
  <si>
    <t>PENN Entertainment Inc. Common Stock</t>
  </si>
  <si>
    <t>Hotels/Resorts</t>
  </si>
  <si>
    <t>PENN US Equity</t>
  </si>
  <si>
    <t>NB_2103</t>
  </si>
  <si>
    <t>PEP</t>
  </si>
  <si>
    <t>PepsiCo Inc. Common Stock</t>
  </si>
  <si>
    <t>Consumer Staples</t>
  </si>
  <si>
    <t>Beverages (Production/Distribution)</t>
  </si>
  <si>
    <t>PEP US Equity</t>
  </si>
  <si>
    <t>NB_2104</t>
  </si>
  <si>
    <t>PEPG</t>
  </si>
  <si>
    <t>PepGen Inc. Common Stock</t>
  </si>
  <si>
    <t>PEPG US Equity</t>
  </si>
  <si>
    <t>NB_2105</t>
  </si>
  <si>
    <t>PESI</t>
  </si>
  <si>
    <t>Perma-Fix Environmental Services Inc. Common Stock</t>
  </si>
  <si>
    <t>Environmental Services</t>
  </si>
  <si>
    <t>PESI US Equity</t>
  </si>
  <si>
    <t>NB_2106</t>
  </si>
  <si>
    <t>PETS</t>
  </si>
  <si>
    <t>PetMed Express Inc. Common Stock</t>
  </si>
  <si>
    <t>Retail-Drug Stores and Proprietary Stores</t>
  </si>
  <si>
    <t>PETS US Equity</t>
  </si>
  <si>
    <t>NB_2107</t>
  </si>
  <si>
    <t>PFE</t>
  </si>
  <si>
    <t>Pfizer Inc. Common Stock</t>
  </si>
  <si>
    <t>PFE US Equity</t>
  </si>
  <si>
    <t>NB_2108</t>
  </si>
  <si>
    <t>PFGC</t>
  </si>
  <si>
    <t>Performance Food Group Company Common Stock</t>
  </si>
  <si>
    <t>Food Distributors</t>
  </si>
  <si>
    <t>PFGC US Equity</t>
  </si>
  <si>
    <t>NB_2109</t>
  </si>
  <si>
    <t>PFSA</t>
  </si>
  <si>
    <t>Profusa Inc. Common Stock</t>
  </si>
  <si>
    <t>PFSA US Equity</t>
  </si>
  <si>
    <t>NB_2110</t>
  </si>
  <si>
    <t>PG</t>
  </si>
  <si>
    <t>Procter &amp; Gamble Company (The) Common Stock</t>
  </si>
  <si>
    <t>Package Goods/Cosmetics</t>
  </si>
  <si>
    <t>PG US Equity</t>
  </si>
  <si>
    <t>NB_2111</t>
  </si>
  <si>
    <t>PGEN</t>
  </si>
  <si>
    <t>Precigen Inc. Common Stock</t>
  </si>
  <si>
    <t>PGEN US Equity</t>
  </si>
  <si>
    <t>NB_2112</t>
  </si>
  <si>
    <t>PGNY</t>
  </si>
  <si>
    <t>Progyny Inc. Common Stock</t>
  </si>
  <si>
    <t>PGNY US Equity</t>
  </si>
  <si>
    <t>NB_2113</t>
  </si>
  <si>
    <t>PH</t>
  </si>
  <si>
    <t>Parker-Hannifin Corporation Common Stock</t>
  </si>
  <si>
    <t>Metal Fabrications</t>
  </si>
  <si>
    <t>PH US Equity</t>
  </si>
  <si>
    <t>NB_2114</t>
  </si>
  <si>
    <t>PHAT</t>
  </si>
  <si>
    <t>Phathom Pharmaceuticals Inc. Common Stock</t>
  </si>
  <si>
    <t>PHAT US Equity</t>
  </si>
  <si>
    <t>NB_2115</t>
  </si>
  <si>
    <t>PHIN</t>
  </si>
  <si>
    <t>PHINIA Inc. Common Stock</t>
  </si>
  <si>
    <t>PHIN US Equity</t>
  </si>
  <si>
    <t>NB_2116</t>
  </si>
  <si>
    <t>PHIO</t>
  </si>
  <si>
    <t>Phio Pharmaceuticals Corp. Common Stock</t>
  </si>
  <si>
    <t>PHIO US Equity</t>
  </si>
  <si>
    <t>NB_2117</t>
  </si>
  <si>
    <t>PHM</t>
  </si>
  <si>
    <t>PulteGroup Inc. Common Stock</t>
  </si>
  <si>
    <t>Homebuilding</t>
  </si>
  <si>
    <t>PHM US Equity</t>
  </si>
  <si>
    <t>NB_2118</t>
  </si>
  <si>
    <t>PHR</t>
  </si>
  <si>
    <t>Phreesia Inc. Common Stock</t>
  </si>
  <si>
    <t>PHR US Equity</t>
  </si>
  <si>
    <t>NB_2119</t>
  </si>
  <si>
    <t>PI</t>
  </si>
  <si>
    <t>Impinj Inc. Common Stock</t>
  </si>
  <si>
    <t>PI US Equity</t>
  </si>
  <si>
    <t>NB_2120</t>
  </si>
  <si>
    <t>PII</t>
  </si>
  <si>
    <t>Polaris Inc. Common Stock</t>
  </si>
  <si>
    <t>PII US Equity</t>
  </si>
  <si>
    <t>NB_2121</t>
  </si>
  <si>
    <t>PIII</t>
  </si>
  <si>
    <t>P3 Health Partners Inc. Class A Common Stock</t>
  </si>
  <si>
    <t>PIII US Equity</t>
  </si>
  <si>
    <t>NB_2122</t>
  </si>
  <si>
    <t>PIIIW</t>
  </si>
  <si>
    <t>P3 Health Partners Inc. Warrant</t>
  </si>
  <si>
    <t>PIIIW US Equity</t>
  </si>
  <si>
    <t>NB_2123</t>
  </si>
  <si>
    <t>PINS</t>
  </si>
  <si>
    <t>Pinterest Inc. Class A Common Stock</t>
  </si>
  <si>
    <t>Computer Software: Programming Data Processing</t>
  </si>
  <si>
    <t>PINS US Equity</t>
  </si>
  <si>
    <t>NB_2124</t>
  </si>
  <si>
    <t>PK</t>
  </si>
  <si>
    <t>Park Hotels &amp; Resorts Inc. Common Stock</t>
  </si>
  <si>
    <t>PK US Equity</t>
  </si>
  <si>
    <t>NB_2125</t>
  </si>
  <si>
    <t>PKE</t>
  </si>
  <si>
    <t>Park Aerospace Corp. Common Stock</t>
  </si>
  <si>
    <t>PKE US Equity</t>
  </si>
  <si>
    <t>NB_2126</t>
  </si>
  <si>
    <t>PKG</t>
  </si>
  <si>
    <t>Packaging Corporation of America Common Stock</t>
  </si>
  <si>
    <t>PKG US Equity</t>
  </si>
  <si>
    <t>NB_2127</t>
  </si>
  <si>
    <t>PKOH</t>
  </si>
  <si>
    <t>Park-Ohio Holdings Corp. Common Stock</t>
  </si>
  <si>
    <t>PKOH US Equity</t>
  </si>
  <si>
    <t>NB_2128</t>
  </si>
  <si>
    <t>PL</t>
  </si>
  <si>
    <t>Planet Labs PBC Class A Common Stock</t>
  </si>
  <si>
    <t>PL US Equity</t>
  </si>
  <si>
    <t>NB_2129</t>
  </si>
  <si>
    <t>PLAB</t>
  </si>
  <si>
    <t>Photronics Inc. Common Stock</t>
  </si>
  <si>
    <t>PLAB US Equity</t>
  </si>
  <si>
    <t>NB_2130</t>
  </si>
  <si>
    <t>PLAY</t>
  </si>
  <si>
    <t>Dave &amp; Buster's Entertainment Inc. Common Stock</t>
  </si>
  <si>
    <t>Restaurants</t>
  </si>
  <si>
    <t>PLAY US Equity</t>
  </si>
  <si>
    <t>NB_2131</t>
  </si>
  <si>
    <t>PLBY</t>
  </si>
  <si>
    <t>Playboy Inc. Common Stock</t>
  </si>
  <si>
    <t>Other Specialty Stores</t>
  </si>
  <si>
    <t>PLBY US Equity</t>
  </si>
  <si>
    <t>NB_2132</t>
  </si>
  <si>
    <t>PLCE</t>
  </si>
  <si>
    <t>Children's Place Inc. (The) Common Stock</t>
  </si>
  <si>
    <t>Clothing/Shoe/Accessory Stores</t>
  </si>
  <si>
    <t>PLCE US Equity</t>
  </si>
  <si>
    <t>NB_2133</t>
  </si>
  <si>
    <t>PLNT</t>
  </si>
  <si>
    <t>Planet Fitness Inc. Common Stock</t>
  </si>
  <si>
    <t>PLNT US Equity</t>
  </si>
  <si>
    <t>NB_2134</t>
  </si>
  <si>
    <t>PLOW</t>
  </si>
  <si>
    <t>Douglas Dynamics Inc. Common Stock</t>
  </si>
  <si>
    <t>Construction/Ag Equipment/Trucks</t>
  </si>
  <si>
    <t>PLOW US Equity</t>
  </si>
  <si>
    <t>NB_2135</t>
  </si>
  <si>
    <t>PLPC</t>
  </si>
  <si>
    <t>Preformed Line Products Company Common Stock</t>
  </si>
  <si>
    <t>Water Sewer Pipeline Comm &amp; Power Line Construction</t>
  </si>
  <si>
    <t>PLPC US Equity</t>
  </si>
  <si>
    <t>NB_2136</t>
  </si>
  <si>
    <t>PLRX</t>
  </si>
  <si>
    <t>Pliant Therapeutics Inc. Common Stock</t>
  </si>
  <si>
    <t>PLRX US Equity</t>
  </si>
  <si>
    <t>NB_2137</t>
  </si>
  <si>
    <t>PLSE</t>
  </si>
  <si>
    <t>Pulse Biosciences Inc Common Stock (DE)</t>
  </si>
  <si>
    <t>PLSE US Equity</t>
  </si>
  <si>
    <t>NB_2138</t>
  </si>
  <si>
    <t>PLTR</t>
  </si>
  <si>
    <t>Palantir Technologies Inc. Class A Common Stock</t>
  </si>
  <si>
    <t>PLTR US Equity</t>
  </si>
  <si>
    <t>NB_2139</t>
  </si>
  <si>
    <t>PLUG</t>
  </si>
  <si>
    <t>Plug Power Inc. Common Stock</t>
  </si>
  <si>
    <t>PLUG US Equity</t>
  </si>
  <si>
    <t>NB_2140</t>
  </si>
  <si>
    <t>PLUS</t>
  </si>
  <si>
    <t>ePlus inc. Common Stock</t>
  </si>
  <si>
    <t>Retail: Computer Software &amp; Peripheral Equipment</t>
  </si>
  <si>
    <t>PLUS US Equity</t>
  </si>
  <si>
    <t>NB_2141</t>
  </si>
  <si>
    <t>PLXS</t>
  </si>
  <si>
    <t>Plexus Corp. Common Stock</t>
  </si>
  <si>
    <t>PLXS US Equity</t>
  </si>
  <si>
    <t>NB_2142</t>
  </si>
  <si>
    <t>PLYX</t>
  </si>
  <si>
    <t>Polaryx Therapeutics Inc. Common Stock</t>
  </si>
  <si>
    <t>PLYX US Equity</t>
  </si>
  <si>
    <t>NB_2143</t>
  </si>
  <si>
    <t>PM</t>
  </si>
  <si>
    <t>Philip Morris International Inc Common Stock</t>
  </si>
  <si>
    <t>Medicinal Chemicals and Botanical Products</t>
  </si>
  <si>
    <t>PM US Equity</t>
  </si>
  <si>
    <t>NB_2144</t>
  </si>
  <si>
    <t>PMCB</t>
  </si>
  <si>
    <t>PharmaCyte  Biotech Inc. Common Stock</t>
  </si>
  <si>
    <t>PMCB US Equity</t>
  </si>
  <si>
    <t>NB_2145</t>
  </si>
  <si>
    <t>PMTS</t>
  </si>
  <si>
    <t>CPI Card Group Inc. Common Stock</t>
  </si>
  <si>
    <t>Publishing</t>
  </si>
  <si>
    <t>PMTS US Equity</t>
  </si>
  <si>
    <t>NB_2146</t>
  </si>
  <si>
    <t>PMVP</t>
  </si>
  <si>
    <t>PMV Pharmaceuticals Inc. Common Stock</t>
  </si>
  <si>
    <t>PMVP US Equity</t>
  </si>
  <si>
    <t>NB_2147</t>
  </si>
  <si>
    <t>PNRG</t>
  </si>
  <si>
    <t>PrimeEnergy Resources Corporation Common Stock</t>
  </si>
  <si>
    <t>PNRG US Equity</t>
  </si>
  <si>
    <t>NB_2148</t>
  </si>
  <si>
    <t>PNTG</t>
  </si>
  <si>
    <t>The Pennant Group Inc. Common Stock</t>
  </si>
  <si>
    <t>PNTG US Equity</t>
  </si>
  <si>
    <t>NB_2149</t>
  </si>
  <si>
    <t>PNW</t>
  </si>
  <si>
    <t>Pinnacle West Capital Corporation Common Stock</t>
  </si>
  <si>
    <t>PNW US Equity</t>
  </si>
  <si>
    <t>NB_2150</t>
  </si>
  <si>
    <t>POCI</t>
  </si>
  <si>
    <t>Precision Optics Corporation Inc. Common stock</t>
  </si>
  <si>
    <t>POCI US Equity</t>
  </si>
  <si>
    <t>NB_2151</t>
  </si>
  <si>
    <t>PODC</t>
  </si>
  <si>
    <t>PodcastOne Inc. Common Stock</t>
  </si>
  <si>
    <t>PODC US Equity</t>
  </si>
  <si>
    <t>NB_2152</t>
  </si>
  <si>
    <t>PODD</t>
  </si>
  <si>
    <t>Insulet Corporation Common Stock</t>
  </si>
  <si>
    <t>PODD US Equity</t>
  </si>
  <si>
    <t>NB_2153</t>
  </si>
  <si>
    <t>POOL</t>
  </si>
  <si>
    <t>Pool Corporation Common Stock</t>
  </si>
  <si>
    <t>POOL US Equity</t>
  </si>
  <si>
    <t>NB_2154</t>
  </si>
  <si>
    <t>POR</t>
  </si>
  <si>
    <t>Portland General Electric Co Common Stock</t>
  </si>
  <si>
    <t>POR US Equity</t>
  </si>
  <si>
    <t>NB_2155</t>
  </si>
  <si>
    <t>POST</t>
  </si>
  <si>
    <t>Post Holdings Inc. Common Stock</t>
  </si>
  <si>
    <t>Packaged Foods</t>
  </si>
  <si>
    <t>POST US Equity</t>
  </si>
  <si>
    <t>NB_2156</t>
  </si>
  <si>
    <t>POWI</t>
  </si>
  <si>
    <t>Power Integrations Inc. Common Stock</t>
  </si>
  <si>
    <t>POWI US Equity</t>
  </si>
  <si>
    <t>NB_2157</t>
  </si>
  <si>
    <t>POWL</t>
  </si>
  <si>
    <t>Powell Industries Inc. Common Stock</t>
  </si>
  <si>
    <t>POWL US Equity</t>
  </si>
  <si>
    <t>NB_2158</t>
  </si>
  <si>
    <t>POWW</t>
  </si>
  <si>
    <t>Outdoor Holding Company Common Stock</t>
  </si>
  <si>
    <t>Ordnance And Accessories</t>
  </si>
  <si>
    <t>POWW US Equity</t>
  </si>
  <si>
    <t>NB_2159</t>
  </si>
  <si>
    <t>POWWP</t>
  </si>
  <si>
    <t>Outdoor Holding Company 8.75% Series A Cumulative Redeemable Perpetual Preferred Stock</t>
  </si>
  <si>
    <t>POWWP US Equity</t>
  </si>
  <si>
    <t>NB_2160</t>
  </si>
  <si>
    <t>PPC</t>
  </si>
  <si>
    <t>Pilgrim's Pride Corporation Common Stock</t>
  </si>
  <si>
    <t>Meat/Poultry/Fish</t>
  </si>
  <si>
    <t>PPC US Equity</t>
  </si>
  <si>
    <t>NB_2161</t>
  </si>
  <si>
    <t>PPG</t>
  </si>
  <si>
    <t>PPG Industries Inc. Common Stock</t>
  </si>
  <si>
    <t>Paints/Coatings</t>
  </si>
  <si>
    <t>PPG US Equity</t>
  </si>
  <si>
    <t>NB_2162</t>
  </si>
  <si>
    <t>PPIH</t>
  </si>
  <si>
    <t>Perma-Pipe International Holdings Inc. Common Stock</t>
  </si>
  <si>
    <t>Pollution Control Equipment</t>
  </si>
  <si>
    <t>PPIH US Equity</t>
  </si>
  <si>
    <t>NB_2163</t>
  </si>
  <si>
    <t>PPL</t>
  </si>
  <si>
    <t>PPL Corporation Common Stock</t>
  </si>
  <si>
    <t>PPL US Equity</t>
  </si>
  <si>
    <t>NB_2164</t>
  </si>
  <si>
    <t>PPLC</t>
  </si>
  <si>
    <t>PPL Corporation Corporate Units</t>
  </si>
  <si>
    <t>PPLC US Equity</t>
  </si>
  <si>
    <t>NB_2165</t>
  </si>
  <si>
    <t>PPLI</t>
  </si>
  <si>
    <t>People Incorporated Common Stock</t>
  </si>
  <si>
    <t>PPLI US Equity</t>
  </si>
  <si>
    <t>NB_2166</t>
  </si>
  <si>
    <t>PR</t>
  </si>
  <si>
    <t>Permian Resources Corporation Class A Common Stock</t>
  </si>
  <si>
    <t>PR US Equity</t>
  </si>
  <si>
    <t>NB_2167</t>
  </si>
  <si>
    <t>PRAX</t>
  </si>
  <si>
    <t>Praxis Precision Medicines Inc. Common Stock</t>
  </si>
  <si>
    <t>PRAX US Equity</t>
  </si>
  <si>
    <t>NB_2168</t>
  </si>
  <si>
    <t>PRCH</t>
  </si>
  <si>
    <t>Porch Group Inc. Common Stock</t>
  </si>
  <si>
    <t>PRCH US Equity</t>
  </si>
  <si>
    <t>NB_2169</t>
  </si>
  <si>
    <t>PRCT</t>
  </si>
  <si>
    <t>PROCEPT BioRobotics Corporation Common Stock</t>
  </si>
  <si>
    <t>PRCT US Equity</t>
  </si>
  <si>
    <t>NB_2170</t>
  </si>
  <si>
    <t>PRG</t>
  </si>
  <si>
    <t>PROG Holdings Inc. Common Stock</t>
  </si>
  <si>
    <t>PRG US Equity</t>
  </si>
  <si>
    <t>NB_2171</t>
  </si>
  <si>
    <t>PRGO</t>
  </si>
  <si>
    <t>Perrigo Company plc Ordinary Shares</t>
  </si>
  <si>
    <t>PRGO US Equity</t>
  </si>
  <si>
    <t>NB_2172</t>
  </si>
  <si>
    <t>PRGS</t>
  </si>
  <si>
    <t>Progress Software Corporation Common Stock (DE)</t>
  </si>
  <si>
    <t>PRGS US Equity</t>
  </si>
  <si>
    <t>NB_2173</t>
  </si>
  <si>
    <t>PRIM</t>
  </si>
  <si>
    <t>Primoris Services Corporation Common Stock</t>
  </si>
  <si>
    <t>PRIM US Equity</t>
  </si>
  <si>
    <t>NB_2174</t>
  </si>
  <si>
    <t>PRKS</t>
  </si>
  <si>
    <t>United Parks &amp; Resorts Inc. Common Stock</t>
  </si>
  <si>
    <t>Services-Misc. Amusement &amp; Recreation</t>
  </si>
  <si>
    <t>PRKS US Equity</t>
  </si>
  <si>
    <t>NB_2175</t>
  </si>
  <si>
    <t>PRLB</t>
  </si>
  <si>
    <t>Proto Labs Inc. Common stock</t>
  </si>
  <si>
    <t>PRLB US Equity</t>
  </si>
  <si>
    <t>NB_2176</t>
  </si>
  <si>
    <t>PRLD</t>
  </si>
  <si>
    <t>Prelude Therapeutics Incorporated Common Stock</t>
  </si>
  <si>
    <t>PRLD US Equity</t>
  </si>
  <si>
    <t>NB_2177</t>
  </si>
  <si>
    <t>PRMB</t>
  </si>
  <si>
    <t>Primo Brands Corporation Class A Common Stock</t>
  </si>
  <si>
    <t>PRMB US Equity</t>
  </si>
  <si>
    <t>NB_2178</t>
  </si>
  <si>
    <t>PRME</t>
  </si>
  <si>
    <t>Prime Medicine Inc. Common Stock</t>
  </si>
  <si>
    <t>PRME US Equity</t>
  </si>
  <si>
    <t>NB_2179</t>
  </si>
  <si>
    <t>PROK</t>
  </si>
  <si>
    <t>ProKidney Corp. Class A Ordinary Shares</t>
  </si>
  <si>
    <t>PROK US Equity</t>
  </si>
  <si>
    <t>NB_2180</t>
  </si>
  <si>
    <t>PROP</t>
  </si>
  <si>
    <t>Prairie Operating Co. Common Stock</t>
  </si>
  <si>
    <t>PROP US Equity</t>
  </si>
  <si>
    <t>NB_2181</t>
  </si>
  <si>
    <t>PRPL</t>
  </si>
  <si>
    <t>Purple Innovation Inc. Common Stock</t>
  </si>
  <si>
    <t>Home Furnishings</t>
  </si>
  <si>
    <t>PRPL US Equity</t>
  </si>
  <si>
    <t>NB_2182</t>
  </si>
  <si>
    <t>PRPO</t>
  </si>
  <si>
    <t>Precipio Inc.  Common Stock</t>
  </si>
  <si>
    <t>PRPO US Equity</t>
  </si>
  <si>
    <t>NB_2183</t>
  </si>
  <si>
    <t>PRSO</t>
  </si>
  <si>
    <t>Peraso Inc. Common Stock</t>
  </si>
  <si>
    <t>PRSO US Equity</t>
  </si>
  <si>
    <t>NB_2184</t>
  </si>
  <si>
    <t>PRSU</t>
  </si>
  <si>
    <t>Pursuit Attractions and Hospitality Inc. Common Stock</t>
  </si>
  <si>
    <t>PRSU US Equity</t>
  </si>
  <si>
    <t>NB_2185</t>
  </si>
  <si>
    <t>PRT</t>
  </si>
  <si>
    <t>PermRock Royalty Trust Units of Beneficial Interest</t>
  </si>
  <si>
    <t>PRT US Equity</t>
  </si>
  <si>
    <t>NB_2186</t>
  </si>
  <si>
    <t>PRTA</t>
  </si>
  <si>
    <t>Prothena Corporation plc Ordinary Shares</t>
  </si>
  <si>
    <t>PRTA US Equity</t>
  </si>
  <si>
    <t>NB_2187</t>
  </si>
  <si>
    <t>PRTH</t>
  </si>
  <si>
    <t>Priority Technology Holdings Inc. Common Stock</t>
  </si>
  <si>
    <t>PRTH US Equity</t>
  </si>
  <si>
    <t>NB_2188</t>
  </si>
  <si>
    <t>PRTS</t>
  </si>
  <si>
    <t>CarParts.com Inc. Common Stock</t>
  </si>
  <si>
    <t>PRTS US Equity</t>
  </si>
  <si>
    <t>NB_2189</t>
  </si>
  <si>
    <t>PRVA</t>
  </si>
  <si>
    <t>Privia Health Group Inc. Common Stock</t>
  </si>
  <si>
    <t>PRVA US Equity</t>
  </si>
  <si>
    <t>NB_2190</t>
  </si>
  <si>
    <t>PSIX</t>
  </si>
  <si>
    <t>Power Solutions International Inc. Common Stock</t>
  </si>
  <si>
    <t>PSIX US Equity</t>
  </si>
  <si>
    <t>NB_2191</t>
  </si>
  <si>
    <t>PSKY</t>
  </si>
  <si>
    <t>Paramount Skydance Corporation Class B Common Stock</t>
  </si>
  <si>
    <t>PSKY US Equity</t>
  </si>
  <si>
    <t>NB_2192</t>
  </si>
  <si>
    <t>PSMT</t>
  </si>
  <si>
    <t>PriceSmart Inc. Common Stock</t>
  </si>
  <si>
    <t>PSMT US Equity</t>
  </si>
  <si>
    <t>NB_2193</t>
  </si>
  <si>
    <t>PSN</t>
  </si>
  <si>
    <t>Parsons Corporation Common Stock</t>
  </si>
  <si>
    <t>PSN US Equity</t>
  </si>
  <si>
    <t>NB_2194</t>
  </si>
  <si>
    <t>PSNL</t>
  </si>
  <si>
    <t>Personalis Inc. Common Stock</t>
  </si>
  <si>
    <t>PSNL US Equity</t>
  </si>
  <si>
    <t>NB_2195</t>
  </si>
  <si>
    <t>PSX</t>
  </si>
  <si>
    <t>Phillips 66 Common Stock</t>
  </si>
  <si>
    <t>PSX US Equity</t>
  </si>
  <si>
    <t>NB_2196</t>
  </si>
  <si>
    <t>PTC</t>
  </si>
  <si>
    <t>PTC Inc. Common Stock</t>
  </si>
  <si>
    <t>PTC US Equity</t>
  </si>
  <si>
    <t>NB_2197</t>
  </si>
  <si>
    <t>PTCT</t>
  </si>
  <si>
    <t>PTC Therapeutics Inc. Common Stock</t>
  </si>
  <si>
    <t>PTCT US Equity</t>
  </si>
  <si>
    <t>NB_2198</t>
  </si>
  <si>
    <t>PTEN</t>
  </si>
  <si>
    <t>Patterson-UTI Energy Inc. Common Stock</t>
  </si>
  <si>
    <t>PTEN US Equity</t>
  </si>
  <si>
    <t>NB_2199</t>
  </si>
  <si>
    <t>PTGX</t>
  </si>
  <si>
    <t>Protagonist Therapeutics Inc. Common Stock</t>
  </si>
  <si>
    <t>PTGX US Equity</t>
  </si>
  <si>
    <t>NB_2200</t>
  </si>
  <si>
    <t>PTLO</t>
  </si>
  <si>
    <t>Portillo's Inc. Class A Common Stock</t>
  </si>
  <si>
    <t>PTLO US Equity</t>
  </si>
  <si>
    <t>NB_2201</t>
  </si>
  <si>
    <t>PTN</t>
  </si>
  <si>
    <t>Palatin Technologies Inc. Common Stock</t>
  </si>
  <si>
    <t>PTN US Equity</t>
  </si>
  <si>
    <t>NB_2202</t>
  </si>
  <si>
    <t>PTON</t>
  </si>
  <si>
    <t>Peloton Interactive Inc. Class A Common Stock</t>
  </si>
  <si>
    <t>Recreational Games/Products/Toys</t>
  </si>
  <si>
    <t>PTON US Equity</t>
  </si>
  <si>
    <t>NB_2203</t>
  </si>
  <si>
    <t>PTRN</t>
  </si>
  <si>
    <t>Pattern Group Inc. Series A Common Stock</t>
  </si>
  <si>
    <t>Catalog/Specialty Distribution</t>
  </si>
  <si>
    <t>PTRN US Equity</t>
  </si>
  <si>
    <t>NB_2204</t>
  </si>
  <si>
    <t>PUBM</t>
  </si>
  <si>
    <t>PubMatic Inc. Class A Common Stock</t>
  </si>
  <si>
    <t>PUBM US Equity</t>
  </si>
  <si>
    <t>NB_2205</t>
  </si>
  <si>
    <t>PULM</t>
  </si>
  <si>
    <t>Pulmatrix Inc. Common Stock</t>
  </si>
  <si>
    <t>PULM US Equity</t>
  </si>
  <si>
    <t>NB_2206</t>
  </si>
  <si>
    <t>PUMP</t>
  </si>
  <si>
    <t>ProPetro Holding Corp. Common Stock</t>
  </si>
  <si>
    <t>PUMP US Equity</t>
  </si>
  <si>
    <t>NB_2207</t>
  </si>
  <si>
    <t>PUSA</t>
  </si>
  <si>
    <t>Aureus Greenway Holdings Inc. Common Stock</t>
  </si>
  <si>
    <t>PUSA US Equity</t>
  </si>
  <si>
    <t>NB_2208</t>
  </si>
  <si>
    <t>PVH</t>
  </si>
  <si>
    <t>PVH Corp. Common Stock</t>
  </si>
  <si>
    <t>PVH US Equity</t>
  </si>
  <si>
    <t>NB_2209</t>
  </si>
  <si>
    <t>PVL</t>
  </si>
  <si>
    <t>Permianville Royalty Trust Units of Beneficial Interest</t>
  </si>
  <si>
    <t>PVL US Equity</t>
  </si>
  <si>
    <t>NB_2210</t>
  </si>
  <si>
    <t>PVLA</t>
  </si>
  <si>
    <t>Palvella Therapeutics Inc. Common Stock</t>
  </si>
  <si>
    <t>PVLA US Equity</t>
  </si>
  <si>
    <t>NB_2211</t>
  </si>
  <si>
    <t>PWR</t>
  </si>
  <si>
    <t>Quanta Services Inc. Common Stock</t>
  </si>
  <si>
    <t>Engineering &amp; Construction</t>
  </si>
  <si>
    <t>PWR US Equity</t>
  </si>
  <si>
    <t>NB_2212</t>
  </si>
  <si>
    <t>PXLW</t>
  </si>
  <si>
    <t>Pixelworks Inc.  Common Stock</t>
  </si>
  <si>
    <t>PXLW US Equity</t>
  </si>
  <si>
    <t>NB_2213</t>
  </si>
  <si>
    <t>PYPL</t>
  </si>
  <si>
    <t>PayPal Holdings Inc. Common Stock</t>
  </si>
  <si>
    <t>PYPL US Equity</t>
  </si>
  <si>
    <t>NB_2214</t>
  </si>
  <si>
    <t>PYXS</t>
  </si>
  <si>
    <t>Pyxis Oncology Inc. Common Stock</t>
  </si>
  <si>
    <t>PYXS US Equity</t>
  </si>
  <si>
    <t>NB_2215</t>
  </si>
  <si>
    <t>PZG</t>
  </si>
  <si>
    <t>Paramount Gold Nevada Corp. Common Stock</t>
  </si>
  <si>
    <t>Basic Materials</t>
  </si>
  <si>
    <t>Metal Mining</t>
  </si>
  <si>
    <t>PZG US Equity</t>
  </si>
  <si>
    <t>NB_2216</t>
  </si>
  <si>
    <t>PZZA</t>
  </si>
  <si>
    <t>Papa John's International Inc. Common Stock</t>
  </si>
  <si>
    <t>PZZA US Equity</t>
  </si>
  <si>
    <t>NB_2217</t>
  </si>
  <si>
    <t>Q</t>
  </si>
  <si>
    <t>Qnity Electronics Inc. Common Stock</t>
  </si>
  <si>
    <t>Q US Equity</t>
  </si>
  <si>
    <t>NB_2218</t>
  </si>
  <si>
    <t>QBTS</t>
  </si>
  <si>
    <t>D-Wave Quantum Inc. Common Stock</t>
  </si>
  <si>
    <t>QBTS US Equity</t>
  </si>
  <si>
    <t>NB_2219</t>
  </si>
  <si>
    <t>QCLS</t>
  </si>
  <si>
    <t>Q/C Technologies Inc. Common Stock</t>
  </si>
  <si>
    <t>QCLS US Equity</t>
  </si>
  <si>
    <t>NB_2220</t>
  </si>
  <si>
    <t>QCOM</t>
  </si>
  <si>
    <t>QUALCOMM Incorporated Common Stock</t>
  </si>
  <si>
    <t>QCOM US Equity</t>
  </si>
  <si>
    <t>NB_2221</t>
  </si>
  <si>
    <t>QDEL</t>
  </si>
  <si>
    <t>QuidelOrtho Corporation Common Stock</t>
  </si>
  <si>
    <t>QDEL US Equity</t>
  </si>
  <si>
    <t>NB_2222</t>
  </si>
  <si>
    <t>QLYS</t>
  </si>
  <si>
    <t>Qualys Inc. Common Stock</t>
  </si>
  <si>
    <t>QLYS US Equity</t>
  </si>
  <si>
    <t>NB_2223</t>
  </si>
  <si>
    <t>QMCO</t>
  </si>
  <si>
    <t>Quantum Corporation Common Stock</t>
  </si>
  <si>
    <t>QMCO US Equity</t>
  </si>
  <si>
    <t>NB_2224</t>
  </si>
  <si>
    <t>QMLS</t>
  </si>
  <si>
    <t>QumulusAI Inc. Common Stock</t>
  </si>
  <si>
    <t>QMLS US Equity</t>
  </si>
  <si>
    <t>NB_2225</t>
  </si>
  <si>
    <t>QNCX</t>
  </si>
  <si>
    <t>Quince Therapeutics Inc. Common Stock</t>
  </si>
  <si>
    <t>QNCX US Equity</t>
  </si>
  <si>
    <t>NB_2226</t>
  </si>
  <si>
    <t>QNME</t>
  </si>
  <si>
    <t>Quanome Technologies Inc. Common Stock</t>
  </si>
  <si>
    <t>Integrated Freight &amp; Logistics</t>
  </si>
  <si>
    <t>QNME US Equity</t>
  </si>
  <si>
    <t>NB_2227</t>
  </si>
  <si>
    <t>QNST</t>
  </si>
  <si>
    <t>QuinStreet Inc. Common Stock</t>
  </si>
  <si>
    <t>QNST US Equity</t>
  </si>
  <si>
    <t>NB_2228</t>
  </si>
  <si>
    <t>QNT</t>
  </si>
  <si>
    <t>Quantinuum Inc. Class A Common Stock</t>
  </si>
  <si>
    <t>QNT US Equity</t>
  </si>
  <si>
    <t>NB_2229</t>
  </si>
  <si>
    <t>QRHC</t>
  </si>
  <si>
    <t>Quest Resource Holding Corporation Common Stock</t>
  </si>
  <si>
    <t>QRHC US Equity</t>
  </si>
  <si>
    <t>NB_2230</t>
  </si>
  <si>
    <t>QRVO</t>
  </si>
  <si>
    <t>Qorvo Inc. Common Stock</t>
  </si>
  <si>
    <t>QRVO US Equity</t>
  </si>
  <si>
    <t>total_assets_Date</t>
  </si>
  <si>
    <t>total_assets_Value</t>
  </si>
  <si>
    <t>total_liabilities_Date</t>
  </si>
  <si>
    <t>total_liabilities_Value</t>
  </si>
  <si>
    <t>total_debt_Date</t>
  </si>
  <si>
    <t>total_debt_Value</t>
  </si>
  <si>
    <t>short_term_debt_Date</t>
  </si>
  <si>
    <t>short_term_debt_Value</t>
  </si>
  <si>
    <t>long_term_debt_Date</t>
  </si>
  <si>
    <t>long_term_debt_Value</t>
  </si>
  <si>
    <t>cash_short_term_investments_Date</t>
  </si>
  <si>
    <t>cash_short_term_investments_Value</t>
  </si>
  <si>
    <t>current_assets_Date</t>
  </si>
  <si>
    <t>current_assets_Value</t>
  </si>
  <si>
    <t>current_liabilities_Date</t>
  </si>
  <si>
    <t>current_liabilities_Value</t>
  </si>
  <si>
    <t>shareholders_equity_Date</t>
  </si>
  <si>
    <t>shareholders_equity_Value</t>
  </si>
  <si>
    <t>accounts_receivable_Date</t>
  </si>
  <si>
    <t>accounts_receivable_Value</t>
  </si>
  <si>
    <t>inventory_Date</t>
  </si>
  <si>
    <t>inventory_Value</t>
  </si>
  <si>
    <t>working_capital_Date</t>
  </si>
  <si>
    <t>working_capital_Value</t>
  </si>
  <si>
    <t>revenue_Date</t>
  </si>
  <si>
    <t>revenue_Value</t>
  </si>
  <si>
    <t>ebit_Date</t>
  </si>
  <si>
    <t>ebit_Value</t>
  </si>
  <si>
    <t>ebitda_Date</t>
  </si>
  <si>
    <t>ebitda_Value</t>
  </si>
  <si>
    <t>net_income_Date</t>
  </si>
  <si>
    <t>net_income_Value</t>
  </si>
  <si>
    <t>interest_expense_Date</t>
  </si>
  <si>
    <t>interest_expense_Value</t>
  </si>
  <si>
    <t>depreciation_amortization_Date</t>
  </si>
  <si>
    <t>depreciation_amortization_Value</t>
  </si>
  <si>
    <t>operating_cash_flow_Date</t>
  </si>
  <si>
    <t>operating_cash_flow_Value</t>
  </si>
  <si>
    <t>capital_expenditures_Date</t>
  </si>
  <si>
    <t>capital_expenditures_Value</t>
  </si>
  <si>
    <t>free_cash_flow_Date</t>
  </si>
  <si>
    <t>free_cash_flow_Value</t>
  </si>
  <si>
    <t>adjusted_price_Date</t>
  </si>
  <si>
    <t>adjusted_price_Value</t>
  </si>
  <si>
    <t>market_cap_Date</t>
  </si>
  <si>
    <t>market_cap_Value</t>
  </si>
  <si>
    <t>shares_outstanding_Date</t>
  </si>
  <si>
    <t>shares_outstanding_Value</t>
  </si>
  <si>
    <t>volume_Date</t>
  </si>
  <si>
    <t>volume_Value</t>
  </si>
  <si>
    <t>turnover_Date</t>
  </si>
  <si>
    <t>turnover_Value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</si>
</sst>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theme" Target="theme/theme1.xml"/><Relationship Id="rId253" Type="http://schemas.openxmlformats.org/officeDocument/2006/relationships/styles" Target="styles.xml"/><Relationship Id="rId25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cols>
    <col min="1" max="11" width="18.7109375" customWidth="1"/>
    <col min="12" max="13" width="32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15</v>
      </c>
      <c r="J2" t="s">
        <v>21</v>
      </c>
      <c r="K2" t="s">
        <v>22</v>
      </c>
      <c r="L2">
        <f>BDP($H2,"BICS_LEVEL_1_SECTOR_NAME")</f>
        <v/>
      </c>
      <c r="M2">
        <f>BDP($H2,"BICS_LEVEL_3_INDUSTRY_NAME")</f>
        <v/>
      </c>
    </row>
    <row r="3" spans="1:13">
      <c r="A3" t="s">
        <v>23</v>
      </c>
      <c r="B3" t="s">
        <v>14</v>
      </c>
      <c r="C3" t="s">
        <v>15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15</v>
      </c>
      <c r="J3" t="s">
        <v>21</v>
      </c>
      <c r="K3" t="s">
        <v>22</v>
      </c>
      <c r="L3">
        <f>BDP($H3,"BICS_LEVEL_1_SECTOR_NAME")</f>
        <v/>
      </c>
      <c r="M3">
        <f>BDP($H3,"BICS_LEVEL_3_INDUSTRY_NAME")</f>
        <v/>
      </c>
    </row>
    <row r="4" spans="1:13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15</v>
      </c>
      <c r="J4" t="s">
        <v>21</v>
      </c>
      <c r="K4" t="s">
        <v>22</v>
      </c>
      <c r="L4">
        <f>BDP($H4,"BICS_LEVEL_1_SECTOR_NAME")</f>
        <v/>
      </c>
      <c r="M4">
        <f>BDP($H4,"BICS_LEVEL_3_INDUSTRY_NAME")</f>
        <v/>
      </c>
    </row>
    <row r="5" spans="1:13">
      <c r="A5" t="s">
        <v>35</v>
      </c>
      <c r="B5" t="s">
        <v>14</v>
      </c>
      <c r="C5" t="s">
        <v>15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15</v>
      </c>
      <c r="J5" t="s">
        <v>21</v>
      </c>
      <c r="K5" t="s">
        <v>22</v>
      </c>
      <c r="L5">
        <f>BDP($H5,"BICS_LEVEL_1_SECTOR_NAME")</f>
        <v/>
      </c>
      <c r="M5">
        <f>BDP($H5,"BICS_LEVEL_3_INDUSTRY_NAME")</f>
        <v/>
      </c>
    </row>
    <row r="6" spans="1:13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15</v>
      </c>
      <c r="J6" t="s">
        <v>21</v>
      </c>
      <c r="K6" t="s">
        <v>22</v>
      </c>
      <c r="L6">
        <f>BDP($H6,"BICS_LEVEL_1_SECTOR_NAME")</f>
        <v/>
      </c>
      <c r="M6">
        <f>BDP($H6,"BICS_LEVEL_3_INDUSTRY_NAME")</f>
        <v/>
      </c>
    </row>
    <row r="7" spans="1:13">
      <c r="A7" t="s">
        <v>46</v>
      </c>
      <c r="B7" t="s">
        <v>14</v>
      </c>
      <c r="C7" t="s">
        <v>15</v>
      </c>
      <c r="D7" t="s">
        <v>47</v>
      </c>
      <c r="E7" t="s">
        <v>48</v>
      </c>
      <c r="F7" t="s">
        <v>18</v>
      </c>
      <c r="G7" t="s">
        <v>44</v>
      </c>
      <c r="H7" t="s">
        <v>49</v>
      </c>
      <c r="I7" t="s">
        <v>15</v>
      </c>
      <c r="J7" t="s">
        <v>21</v>
      </c>
      <c r="K7" t="s">
        <v>22</v>
      </c>
      <c r="L7">
        <f>BDP($H7,"BICS_LEVEL_1_SECTOR_NAME")</f>
        <v/>
      </c>
      <c r="M7">
        <f>BDP($H7,"BICS_LEVEL_3_INDUSTRY_NAME")</f>
        <v/>
      </c>
    </row>
    <row r="8" spans="1:13">
      <c r="A8" t="s">
        <v>50</v>
      </c>
      <c r="B8" t="s">
        <v>14</v>
      </c>
      <c r="C8" t="s">
        <v>15</v>
      </c>
      <c r="D8" t="s">
        <v>51</v>
      </c>
      <c r="E8" t="s">
        <v>52</v>
      </c>
      <c r="F8" t="s">
        <v>38</v>
      </c>
      <c r="G8" t="s">
        <v>53</v>
      </c>
      <c r="H8" t="s">
        <v>54</v>
      </c>
      <c r="I8" t="s">
        <v>15</v>
      </c>
      <c r="J8" t="s">
        <v>21</v>
      </c>
      <c r="K8" t="s">
        <v>22</v>
      </c>
      <c r="L8">
        <f>BDP($H8,"BICS_LEVEL_1_SECTOR_NAME")</f>
        <v/>
      </c>
      <c r="M8">
        <f>BDP($H8,"BICS_LEVEL_3_INDUSTRY_NAME")</f>
        <v/>
      </c>
    </row>
    <row r="9" spans="1:13">
      <c r="A9" t="s">
        <v>55</v>
      </c>
      <c r="B9" t="s">
        <v>14</v>
      </c>
      <c r="C9" t="s">
        <v>15</v>
      </c>
      <c r="D9" t="s">
        <v>56</v>
      </c>
      <c r="E9" t="s">
        <v>57</v>
      </c>
      <c r="F9" t="s">
        <v>26</v>
      </c>
      <c r="G9" t="s">
        <v>58</v>
      </c>
      <c r="H9" t="s">
        <v>59</v>
      </c>
      <c r="I9" t="s">
        <v>15</v>
      </c>
      <c r="J9" t="s">
        <v>21</v>
      </c>
      <c r="K9" t="s">
        <v>22</v>
      </c>
      <c r="L9">
        <f>BDP($H9,"BICS_LEVEL_1_SECTOR_NAME")</f>
        <v/>
      </c>
      <c r="M9">
        <f>BDP($H9,"BICS_LEVEL_3_INDUSTRY_NAME")</f>
        <v/>
      </c>
    </row>
    <row r="10" spans="1:13">
      <c r="A10" t="s">
        <v>60</v>
      </c>
      <c r="B10" t="s">
        <v>14</v>
      </c>
      <c r="C10" t="s">
        <v>15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15</v>
      </c>
      <c r="J10" t="s">
        <v>21</v>
      </c>
      <c r="K10" t="s">
        <v>22</v>
      </c>
      <c r="L10">
        <f>BDP($H10,"BICS_LEVEL_1_SECTOR_NAME")</f>
        <v/>
      </c>
      <c r="M10">
        <f>BDP($H10,"BICS_LEVEL_3_INDUSTRY_NAME")</f>
        <v/>
      </c>
    </row>
    <row r="11" spans="1:13">
      <c r="A11" t="s">
        <v>66</v>
      </c>
      <c r="B11" t="s">
        <v>14</v>
      </c>
      <c r="C11" t="s">
        <v>15</v>
      </c>
      <c r="D11" t="s">
        <v>67</v>
      </c>
      <c r="E11" t="s">
        <v>68</v>
      </c>
      <c r="F11" t="s">
        <v>26</v>
      </c>
      <c r="G11" t="s">
        <v>69</v>
      </c>
      <c r="H11" t="s">
        <v>70</v>
      </c>
      <c r="I11" t="s">
        <v>15</v>
      </c>
      <c r="J11" t="s">
        <v>21</v>
      </c>
      <c r="K11" t="s">
        <v>22</v>
      </c>
      <c r="L11">
        <f>BDP($H11,"BICS_LEVEL_1_SECTOR_NAME")</f>
        <v/>
      </c>
      <c r="M11">
        <f>BDP($H11,"BICS_LEVEL_3_INDUSTRY_NAME")</f>
        <v/>
      </c>
    </row>
    <row r="12" spans="1:13">
      <c r="A12" t="s">
        <v>71</v>
      </c>
      <c r="B12" t="s">
        <v>14</v>
      </c>
      <c r="C12" t="s">
        <v>15</v>
      </c>
      <c r="D12" t="s">
        <v>72</v>
      </c>
      <c r="E12" t="s">
        <v>73</v>
      </c>
      <c r="F12" t="s">
        <v>38</v>
      </c>
      <c r="G12" t="s">
        <v>74</v>
      </c>
      <c r="H12" t="s">
        <v>75</v>
      </c>
      <c r="I12" t="s">
        <v>15</v>
      </c>
      <c r="J12" t="s">
        <v>21</v>
      </c>
      <c r="K12" t="s">
        <v>22</v>
      </c>
      <c r="L12">
        <f>BDP($H12,"BICS_LEVEL_1_SECTOR_NAME")</f>
        <v/>
      </c>
      <c r="M12">
        <f>BDP($H12,"BICS_LEVEL_3_INDUSTRY_NAME")</f>
        <v/>
      </c>
    </row>
    <row r="13" spans="1:13">
      <c r="A13" t="s">
        <v>76</v>
      </c>
      <c r="B13" t="s">
        <v>14</v>
      </c>
      <c r="C13" t="s">
        <v>15</v>
      </c>
      <c r="D13" t="s">
        <v>77</v>
      </c>
      <c r="E13" t="s">
        <v>78</v>
      </c>
      <c r="F13" t="s">
        <v>38</v>
      </c>
      <c r="G13" t="s">
        <v>39</v>
      </c>
      <c r="H13" t="s">
        <v>79</v>
      </c>
      <c r="I13" t="s">
        <v>15</v>
      </c>
      <c r="J13" t="s">
        <v>21</v>
      </c>
      <c r="K13" t="s">
        <v>22</v>
      </c>
      <c r="L13">
        <f>BDP($H13,"BICS_LEVEL_1_SECTOR_NAME")</f>
        <v/>
      </c>
      <c r="M13">
        <f>BDP($H13,"BICS_LEVEL_3_INDUSTRY_NAME")</f>
        <v/>
      </c>
    </row>
    <row r="14" spans="1:13">
      <c r="A14" t="s">
        <v>80</v>
      </c>
      <c r="B14" t="s">
        <v>14</v>
      </c>
      <c r="C14" t="s">
        <v>15</v>
      </c>
      <c r="D14" t="s">
        <v>81</v>
      </c>
      <c r="E14" t="s">
        <v>82</v>
      </c>
      <c r="F14" t="s">
        <v>83</v>
      </c>
      <c r="G14" t="s">
        <v>84</v>
      </c>
      <c r="H14" t="s">
        <v>85</v>
      </c>
      <c r="I14" t="s">
        <v>15</v>
      </c>
      <c r="J14" t="s">
        <v>21</v>
      </c>
      <c r="K14" t="s">
        <v>22</v>
      </c>
      <c r="L14">
        <f>BDP($H14,"BICS_LEVEL_1_SECTOR_NAME")</f>
        <v/>
      </c>
      <c r="M14">
        <f>BDP($H14,"BICS_LEVEL_3_INDUSTRY_NAME")</f>
        <v/>
      </c>
    </row>
    <row r="15" spans="1:13">
      <c r="A15" t="s">
        <v>86</v>
      </c>
      <c r="B15" t="s">
        <v>14</v>
      </c>
      <c r="C15" t="s">
        <v>15</v>
      </c>
      <c r="D15" t="s">
        <v>87</v>
      </c>
      <c r="E15" t="s">
        <v>88</v>
      </c>
      <c r="F15" t="s">
        <v>18</v>
      </c>
      <c r="G15" t="s">
        <v>44</v>
      </c>
      <c r="H15" t="s">
        <v>89</v>
      </c>
      <c r="I15" t="s">
        <v>15</v>
      </c>
      <c r="J15" t="s">
        <v>21</v>
      </c>
      <c r="K15" t="s">
        <v>22</v>
      </c>
      <c r="L15">
        <f>BDP($H15,"BICS_LEVEL_1_SECTOR_NAME")</f>
        <v/>
      </c>
      <c r="M15">
        <f>BDP($H15,"BICS_LEVEL_3_INDUSTRY_NAME")</f>
        <v/>
      </c>
    </row>
    <row r="16" spans="1:13">
      <c r="A16" t="s">
        <v>90</v>
      </c>
      <c r="B16" t="s">
        <v>14</v>
      </c>
      <c r="C16" t="s">
        <v>15</v>
      </c>
      <c r="D16" t="s">
        <v>91</v>
      </c>
      <c r="E16" t="s">
        <v>92</v>
      </c>
      <c r="F16" t="s">
        <v>26</v>
      </c>
      <c r="G16" t="s">
        <v>93</v>
      </c>
      <c r="H16" t="s">
        <v>94</v>
      </c>
      <c r="I16" t="s">
        <v>15</v>
      </c>
      <c r="J16" t="s">
        <v>21</v>
      </c>
      <c r="K16" t="s">
        <v>22</v>
      </c>
      <c r="L16">
        <f>BDP($H16,"BICS_LEVEL_1_SECTOR_NAME")</f>
        <v/>
      </c>
      <c r="M16">
        <f>BDP($H16,"BICS_LEVEL_3_INDUSTRY_NAME")</f>
        <v/>
      </c>
    </row>
    <row r="17" spans="1:13">
      <c r="A17" t="s">
        <v>95</v>
      </c>
      <c r="B17" t="s">
        <v>14</v>
      </c>
      <c r="C17" t="s">
        <v>15</v>
      </c>
      <c r="D17" t="s">
        <v>96</v>
      </c>
      <c r="E17" t="s">
        <v>97</v>
      </c>
      <c r="F17" t="s">
        <v>83</v>
      </c>
      <c r="G17" t="s">
        <v>98</v>
      </c>
      <c r="H17" t="s">
        <v>99</v>
      </c>
      <c r="I17" t="s">
        <v>15</v>
      </c>
      <c r="J17" t="s">
        <v>21</v>
      </c>
      <c r="K17" t="s">
        <v>22</v>
      </c>
      <c r="L17">
        <f>BDP($H17,"BICS_LEVEL_1_SECTOR_NAME")</f>
        <v/>
      </c>
      <c r="M17">
        <f>BDP($H17,"BICS_LEVEL_3_INDUSTRY_NAME")</f>
        <v/>
      </c>
    </row>
    <row r="18" spans="1:13">
      <c r="A18" t="s">
        <v>100</v>
      </c>
      <c r="B18" t="s">
        <v>14</v>
      </c>
      <c r="C18" t="s">
        <v>15</v>
      </c>
      <c r="D18" t="s">
        <v>101</v>
      </c>
      <c r="E18" t="s">
        <v>102</v>
      </c>
      <c r="F18" t="s">
        <v>26</v>
      </c>
      <c r="G18" t="s">
        <v>103</v>
      </c>
      <c r="H18" t="s">
        <v>104</v>
      </c>
      <c r="I18" t="s">
        <v>15</v>
      </c>
      <c r="J18" t="s">
        <v>21</v>
      </c>
      <c r="K18" t="s">
        <v>22</v>
      </c>
      <c r="L18">
        <f>BDP($H18,"BICS_LEVEL_1_SECTOR_NAME")</f>
        <v/>
      </c>
      <c r="M18">
        <f>BDP($H18,"BICS_LEVEL_3_INDUSTRY_NAME")</f>
        <v/>
      </c>
    </row>
    <row r="19" spans="1:13">
      <c r="A19" t="s">
        <v>105</v>
      </c>
      <c r="B19" t="s">
        <v>14</v>
      </c>
      <c r="C19" t="s">
        <v>15</v>
      </c>
      <c r="D19" t="s">
        <v>106</v>
      </c>
      <c r="E19" t="s">
        <v>107</v>
      </c>
      <c r="F19" t="s">
        <v>18</v>
      </c>
      <c r="G19" t="s">
        <v>44</v>
      </c>
      <c r="H19" t="s">
        <v>108</v>
      </c>
      <c r="I19" t="s">
        <v>15</v>
      </c>
      <c r="J19" t="s">
        <v>21</v>
      </c>
      <c r="K19" t="s">
        <v>22</v>
      </c>
      <c r="L19">
        <f>BDP($H19,"BICS_LEVEL_1_SECTOR_NAME")</f>
        <v/>
      </c>
      <c r="M19">
        <f>BDP($H19,"BICS_LEVEL_3_INDUSTRY_NAME")</f>
        <v/>
      </c>
    </row>
    <row r="20" spans="1:13">
      <c r="A20" t="s">
        <v>109</v>
      </c>
      <c r="B20" t="s">
        <v>14</v>
      </c>
      <c r="C20" t="s">
        <v>15</v>
      </c>
      <c r="D20" t="s">
        <v>110</v>
      </c>
      <c r="E20" t="s">
        <v>111</v>
      </c>
      <c r="F20" t="s">
        <v>32</v>
      </c>
      <c r="G20" t="s">
        <v>112</v>
      </c>
      <c r="H20" t="s">
        <v>113</v>
      </c>
      <c r="I20" t="s">
        <v>15</v>
      </c>
      <c r="J20" t="s">
        <v>21</v>
      </c>
      <c r="K20" t="s">
        <v>22</v>
      </c>
      <c r="L20">
        <f>BDP($H20,"BICS_LEVEL_1_SECTOR_NAME")</f>
        <v/>
      </c>
      <c r="M20">
        <f>BDP($H20,"BICS_LEVEL_3_INDUSTRY_NAME")</f>
        <v/>
      </c>
    </row>
    <row r="21" spans="1:13">
      <c r="A21" t="s">
        <v>114</v>
      </c>
      <c r="B21" t="s">
        <v>14</v>
      </c>
      <c r="C21" t="s">
        <v>15</v>
      </c>
      <c r="D21" t="s">
        <v>115</v>
      </c>
      <c r="E21" t="s">
        <v>116</v>
      </c>
      <c r="F21" t="s">
        <v>26</v>
      </c>
      <c r="G21" t="s">
        <v>117</v>
      </c>
      <c r="H21" t="s">
        <v>118</v>
      </c>
      <c r="I21" t="s">
        <v>15</v>
      </c>
      <c r="J21" t="s">
        <v>21</v>
      </c>
      <c r="K21" t="s">
        <v>22</v>
      </c>
      <c r="L21">
        <f>BDP($H21,"BICS_LEVEL_1_SECTOR_NAME")</f>
        <v/>
      </c>
      <c r="M21">
        <f>BDP($H21,"BICS_LEVEL_3_INDUSTRY_NAME")</f>
        <v/>
      </c>
    </row>
    <row r="22" spans="1:13">
      <c r="A22" t="s">
        <v>119</v>
      </c>
      <c r="B22" t="s">
        <v>14</v>
      </c>
      <c r="C22" t="s">
        <v>15</v>
      </c>
      <c r="D22" t="s">
        <v>120</v>
      </c>
      <c r="E22" t="s">
        <v>121</v>
      </c>
      <c r="F22" t="s">
        <v>18</v>
      </c>
      <c r="G22" t="s">
        <v>122</v>
      </c>
      <c r="H22" t="s">
        <v>123</v>
      </c>
      <c r="I22" t="s">
        <v>15</v>
      </c>
      <c r="J22" t="s">
        <v>21</v>
      </c>
      <c r="K22" t="s">
        <v>22</v>
      </c>
      <c r="L22">
        <f>BDP($H22,"BICS_LEVEL_1_SECTOR_NAME")</f>
        <v/>
      </c>
      <c r="M22">
        <f>BDP($H22,"BICS_LEVEL_3_INDUSTRY_NAME")</f>
        <v/>
      </c>
    </row>
    <row r="23" spans="1:13">
      <c r="A23" t="s">
        <v>124</v>
      </c>
      <c r="B23" t="s">
        <v>14</v>
      </c>
      <c r="C23" t="s">
        <v>15</v>
      </c>
      <c r="D23" t="s">
        <v>125</v>
      </c>
      <c r="E23" t="s">
        <v>126</v>
      </c>
      <c r="F23" t="s">
        <v>26</v>
      </c>
      <c r="G23" t="s">
        <v>127</v>
      </c>
      <c r="H23" t="s">
        <v>128</v>
      </c>
      <c r="I23" t="s">
        <v>15</v>
      </c>
      <c r="J23" t="s">
        <v>21</v>
      </c>
      <c r="K23" t="s">
        <v>22</v>
      </c>
      <c r="L23">
        <f>BDP($H23,"BICS_LEVEL_1_SECTOR_NAME")</f>
        <v/>
      </c>
      <c r="M23">
        <f>BDP($H23,"BICS_LEVEL_3_INDUSTRY_NAME")</f>
        <v/>
      </c>
    </row>
    <row r="24" spans="1:13">
      <c r="A24" t="s">
        <v>129</v>
      </c>
      <c r="B24" t="s">
        <v>14</v>
      </c>
      <c r="C24" t="s">
        <v>15</v>
      </c>
      <c r="D24" t="s">
        <v>130</v>
      </c>
      <c r="E24" t="s">
        <v>131</v>
      </c>
      <c r="F24" t="s">
        <v>83</v>
      </c>
      <c r="G24" t="s">
        <v>132</v>
      </c>
      <c r="H24" t="s">
        <v>133</v>
      </c>
      <c r="I24" t="s">
        <v>15</v>
      </c>
      <c r="J24" t="s">
        <v>21</v>
      </c>
      <c r="K24" t="s">
        <v>22</v>
      </c>
      <c r="L24">
        <f>BDP($H24,"BICS_LEVEL_1_SECTOR_NAME")</f>
        <v/>
      </c>
      <c r="M24">
        <f>BDP($H24,"BICS_LEVEL_3_INDUSTRY_NAME")</f>
        <v/>
      </c>
    </row>
    <row r="25" spans="1:13">
      <c r="A25" t="s">
        <v>134</v>
      </c>
      <c r="B25" t="s">
        <v>14</v>
      </c>
      <c r="C25" t="s">
        <v>15</v>
      </c>
      <c r="D25" t="s">
        <v>135</v>
      </c>
      <c r="E25" t="s">
        <v>136</v>
      </c>
      <c r="F25" t="s">
        <v>18</v>
      </c>
      <c r="G25" t="s">
        <v>137</v>
      </c>
      <c r="H25" t="s">
        <v>138</v>
      </c>
      <c r="I25" t="s">
        <v>15</v>
      </c>
      <c r="J25" t="s">
        <v>21</v>
      </c>
      <c r="K25" t="s">
        <v>22</v>
      </c>
      <c r="L25">
        <f>BDP($H25,"BICS_LEVEL_1_SECTOR_NAME")</f>
        <v/>
      </c>
      <c r="M25">
        <f>BDP($H25,"BICS_LEVEL_3_INDUSTRY_NAME")</f>
        <v/>
      </c>
    </row>
    <row r="26" spans="1:13">
      <c r="A26" t="s">
        <v>139</v>
      </c>
      <c r="B26" t="s">
        <v>14</v>
      </c>
      <c r="C26" t="s">
        <v>15</v>
      </c>
      <c r="D26" t="s">
        <v>140</v>
      </c>
      <c r="E26" t="s">
        <v>141</v>
      </c>
      <c r="F26" t="s">
        <v>18</v>
      </c>
      <c r="G26" t="s">
        <v>44</v>
      </c>
      <c r="H26" t="s">
        <v>142</v>
      </c>
      <c r="I26" t="s">
        <v>15</v>
      </c>
      <c r="J26" t="s">
        <v>21</v>
      </c>
      <c r="K26" t="s">
        <v>22</v>
      </c>
      <c r="L26">
        <f>BDP($H26,"BICS_LEVEL_1_SECTOR_NAME")</f>
        <v/>
      </c>
      <c r="M26">
        <f>BDP($H26,"BICS_LEVEL_3_INDUSTRY_NAME")</f>
        <v/>
      </c>
    </row>
    <row r="27" spans="1:13">
      <c r="A27" t="s">
        <v>143</v>
      </c>
      <c r="B27" t="s">
        <v>14</v>
      </c>
      <c r="C27" t="s">
        <v>15</v>
      </c>
      <c r="D27" t="s">
        <v>144</v>
      </c>
      <c r="E27" t="s">
        <v>145</v>
      </c>
      <c r="F27" t="s">
        <v>26</v>
      </c>
      <c r="G27" t="s">
        <v>146</v>
      </c>
      <c r="H27" t="s">
        <v>147</v>
      </c>
      <c r="I27" t="s">
        <v>15</v>
      </c>
      <c r="J27" t="s">
        <v>21</v>
      </c>
      <c r="K27" t="s">
        <v>22</v>
      </c>
      <c r="L27">
        <f>BDP($H27,"BICS_LEVEL_1_SECTOR_NAME")</f>
        <v/>
      </c>
      <c r="M27">
        <f>BDP($H27,"BICS_LEVEL_3_INDUSTRY_NAME")</f>
        <v/>
      </c>
    </row>
    <row r="28" spans="1:13">
      <c r="A28" t="s">
        <v>148</v>
      </c>
      <c r="B28" t="s">
        <v>14</v>
      </c>
      <c r="C28" t="s">
        <v>15</v>
      </c>
      <c r="D28" t="s">
        <v>149</v>
      </c>
      <c r="E28" t="s">
        <v>150</v>
      </c>
      <c r="F28" t="s">
        <v>83</v>
      </c>
      <c r="G28" t="s">
        <v>151</v>
      </c>
      <c r="H28" t="s">
        <v>152</v>
      </c>
      <c r="I28" t="s">
        <v>15</v>
      </c>
      <c r="J28" t="s">
        <v>21</v>
      </c>
      <c r="K28" t="s">
        <v>22</v>
      </c>
      <c r="L28">
        <f>BDP($H28,"BICS_LEVEL_1_SECTOR_NAME")</f>
        <v/>
      </c>
      <c r="M28">
        <f>BDP($H28,"BICS_LEVEL_3_INDUSTRY_NAME")</f>
        <v/>
      </c>
    </row>
    <row r="29" spans="1:13">
      <c r="A29" t="s">
        <v>153</v>
      </c>
      <c r="B29" t="s">
        <v>14</v>
      </c>
      <c r="C29" t="s">
        <v>15</v>
      </c>
      <c r="D29" t="s">
        <v>154</v>
      </c>
      <c r="E29" t="s">
        <v>155</v>
      </c>
      <c r="F29" t="s">
        <v>18</v>
      </c>
      <c r="G29" t="s">
        <v>44</v>
      </c>
      <c r="H29" t="s">
        <v>156</v>
      </c>
      <c r="I29" t="s">
        <v>15</v>
      </c>
      <c r="J29" t="s">
        <v>21</v>
      </c>
      <c r="K29" t="s">
        <v>22</v>
      </c>
      <c r="L29">
        <f>BDP($H29,"BICS_LEVEL_1_SECTOR_NAME")</f>
        <v/>
      </c>
      <c r="M29">
        <f>BDP($H29,"BICS_LEVEL_3_INDUSTRY_NAME")</f>
        <v/>
      </c>
    </row>
    <row r="30" spans="1:13">
      <c r="A30" t="s">
        <v>157</v>
      </c>
      <c r="B30" t="s">
        <v>14</v>
      </c>
      <c r="C30" t="s">
        <v>15</v>
      </c>
      <c r="D30" t="s">
        <v>158</v>
      </c>
      <c r="E30" t="s">
        <v>159</v>
      </c>
      <c r="F30" t="s">
        <v>83</v>
      </c>
      <c r="G30" t="s">
        <v>160</v>
      </c>
      <c r="H30" t="s">
        <v>161</v>
      </c>
      <c r="I30" t="s">
        <v>15</v>
      </c>
      <c r="J30" t="s">
        <v>21</v>
      </c>
      <c r="K30" t="s">
        <v>22</v>
      </c>
      <c r="L30">
        <f>BDP($H30,"BICS_LEVEL_1_SECTOR_NAME")</f>
        <v/>
      </c>
      <c r="M30">
        <f>BDP($H30,"BICS_LEVEL_3_INDUSTRY_NAME")</f>
        <v/>
      </c>
    </row>
    <row r="31" spans="1:13">
      <c r="A31" t="s">
        <v>162</v>
      </c>
      <c r="B31" t="s">
        <v>14</v>
      </c>
      <c r="C31" t="s">
        <v>15</v>
      </c>
      <c r="D31" t="s">
        <v>163</v>
      </c>
      <c r="E31" t="s">
        <v>164</v>
      </c>
      <c r="F31" t="s">
        <v>26</v>
      </c>
      <c r="G31" t="s">
        <v>165</v>
      </c>
      <c r="H31" t="s">
        <v>166</v>
      </c>
      <c r="I31" t="s">
        <v>15</v>
      </c>
      <c r="J31" t="s">
        <v>21</v>
      </c>
      <c r="K31" t="s">
        <v>22</v>
      </c>
      <c r="L31">
        <f>BDP($H31,"BICS_LEVEL_1_SECTOR_NAME")</f>
        <v/>
      </c>
      <c r="M31">
        <f>BDP($H31,"BICS_LEVEL_3_INDUSTRY_NAME")</f>
        <v/>
      </c>
    </row>
    <row r="32" spans="1:13">
      <c r="A32" t="s">
        <v>167</v>
      </c>
      <c r="B32" t="s">
        <v>14</v>
      </c>
      <c r="C32" t="s">
        <v>15</v>
      </c>
      <c r="D32" t="s">
        <v>168</v>
      </c>
      <c r="E32" t="s">
        <v>169</v>
      </c>
      <c r="F32" t="s">
        <v>83</v>
      </c>
      <c r="G32" t="s">
        <v>170</v>
      </c>
      <c r="H32" t="s">
        <v>171</v>
      </c>
      <c r="I32" t="s">
        <v>15</v>
      </c>
      <c r="J32" t="s">
        <v>21</v>
      </c>
      <c r="K32" t="s">
        <v>22</v>
      </c>
      <c r="L32">
        <f>BDP($H32,"BICS_LEVEL_1_SECTOR_NAME")</f>
        <v/>
      </c>
      <c r="M32">
        <f>BDP($H32,"BICS_LEVEL_3_INDUSTRY_NAME")</f>
        <v/>
      </c>
    </row>
    <row r="33" spans="1:13">
      <c r="A33" t="s">
        <v>172</v>
      </c>
      <c r="B33" t="s">
        <v>14</v>
      </c>
      <c r="C33" t="s">
        <v>15</v>
      </c>
      <c r="D33" t="s">
        <v>173</v>
      </c>
      <c r="E33" t="s">
        <v>174</v>
      </c>
      <c r="F33" t="s">
        <v>83</v>
      </c>
      <c r="G33" t="s">
        <v>170</v>
      </c>
      <c r="H33" t="s">
        <v>175</v>
      </c>
      <c r="I33" t="s">
        <v>15</v>
      </c>
      <c r="J33" t="s">
        <v>21</v>
      </c>
      <c r="K33" t="s">
        <v>22</v>
      </c>
      <c r="L33">
        <f>BDP($H33,"BICS_LEVEL_1_SECTOR_NAME")</f>
        <v/>
      </c>
      <c r="M33">
        <f>BDP($H33,"BICS_LEVEL_3_INDUSTRY_NAME")</f>
        <v/>
      </c>
    </row>
    <row r="34" spans="1:13">
      <c r="A34" t="s">
        <v>176</v>
      </c>
      <c r="B34" t="s">
        <v>14</v>
      </c>
      <c r="C34" t="s">
        <v>15</v>
      </c>
      <c r="D34" t="s">
        <v>177</v>
      </c>
      <c r="E34" t="s">
        <v>178</v>
      </c>
      <c r="F34" t="s">
        <v>26</v>
      </c>
      <c r="G34" t="s">
        <v>179</v>
      </c>
      <c r="H34" t="s">
        <v>180</v>
      </c>
      <c r="I34" t="s">
        <v>15</v>
      </c>
      <c r="J34" t="s">
        <v>21</v>
      </c>
      <c r="K34" t="s">
        <v>22</v>
      </c>
      <c r="L34">
        <f>BDP($H34,"BICS_LEVEL_1_SECTOR_NAME")</f>
        <v/>
      </c>
      <c r="M34">
        <f>BDP($H34,"BICS_LEVEL_3_INDUSTRY_NAME")</f>
        <v/>
      </c>
    </row>
    <row r="35" spans="1:13">
      <c r="A35" t="s">
        <v>181</v>
      </c>
      <c r="B35" t="s">
        <v>14</v>
      </c>
      <c r="C35" t="s">
        <v>15</v>
      </c>
      <c r="D35" t="s">
        <v>182</v>
      </c>
      <c r="E35" t="s">
        <v>183</v>
      </c>
      <c r="F35" t="s">
        <v>32</v>
      </c>
      <c r="G35" t="s">
        <v>184</v>
      </c>
      <c r="H35" t="s">
        <v>185</v>
      </c>
      <c r="I35" t="s">
        <v>15</v>
      </c>
      <c r="J35" t="s">
        <v>21</v>
      </c>
      <c r="K35" t="s">
        <v>22</v>
      </c>
      <c r="L35">
        <f>BDP($H35,"BICS_LEVEL_1_SECTOR_NAME")</f>
        <v/>
      </c>
      <c r="M35">
        <f>BDP($H35,"BICS_LEVEL_3_INDUSTRY_NAME")</f>
        <v/>
      </c>
    </row>
    <row r="36" spans="1:13">
      <c r="A36" t="s">
        <v>186</v>
      </c>
      <c r="B36" t="s">
        <v>14</v>
      </c>
      <c r="C36" t="s">
        <v>15</v>
      </c>
      <c r="D36" t="s">
        <v>187</v>
      </c>
      <c r="E36" t="s">
        <v>188</v>
      </c>
      <c r="F36" t="s">
        <v>83</v>
      </c>
      <c r="G36" t="s">
        <v>170</v>
      </c>
      <c r="H36" t="s">
        <v>189</v>
      </c>
      <c r="I36" t="s">
        <v>15</v>
      </c>
      <c r="J36" t="s">
        <v>21</v>
      </c>
      <c r="K36" t="s">
        <v>22</v>
      </c>
      <c r="L36">
        <f>BDP($H36,"BICS_LEVEL_1_SECTOR_NAME")</f>
        <v/>
      </c>
      <c r="M36">
        <f>BDP($H36,"BICS_LEVEL_3_INDUSTRY_NAME")</f>
        <v/>
      </c>
    </row>
    <row r="37" spans="1:13">
      <c r="A37" t="s">
        <v>190</v>
      </c>
      <c r="B37" t="s">
        <v>14</v>
      </c>
      <c r="C37" t="s">
        <v>15</v>
      </c>
      <c r="D37" t="s">
        <v>191</v>
      </c>
      <c r="E37" t="s">
        <v>192</v>
      </c>
      <c r="F37" t="s">
        <v>38</v>
      </c>
      <c r="G37" t="s">
        <v>193</v>
      </c>
      <c r="H37" t="s">
        <v>194</v>
      </c>
      <c r="I37" t="s">
        <v>15</v>
      </c>
      <c r="J37" t="s">
        <v>21</v>
      </c>
      <c r="K37" t="s">
        <v>22</v>
      </c>
      <c r="L37">
        <f>BDP($H37,"BICS_LEVEL_1_SECTOR_NAME")</f>
        <v/>
      </c>
      <c r="M37">
        <f>BDP($H37,"BICS_LEVEL_3_INDUSTRY_NAME")</f>
        <v/>
      </c>
    </row>
    <row r="38" spans="1:13">
      <c r="A38" t="s">
        <v>195</v>
      </c>
      <c r="B38" t="s">
        <v>14</v>
      </c>
      <c r="C38" t="s">
        <v>15</v>
      </c>
      <c r="D38" t="s">
        <v>196</v>
      </c>
      <c r="E38" t="s">
        <v>197</v>
      </c>
      <c r="F38" t="s">
        <v>18</v>
      </c>
      <c r="G38" t="s">
        <v>137</v>
      </c>
      <c r="H38" t="s">
        <v>198</v>
      </c>
      <c r="I38" t="s">
        <v>15</v>
      </c>
      <c r="J38" t="s">
        <v>21</v>
      </c>
      <c r="K38" t="s">
        <v>22</v>
      </c>
      <c r="L38">
        <f>BDP($H38,"BICS_LEVEL_1_SECTOR_NAME")</f>
        <v/>
      </c>
      <c r="M38">
        <f>BDP($H38,"BICS_LEVEL_3_INDUSTRY_NAME")</f>
        <v/>
      </c>
    </row>
    <row r="39" spans="1:13">
      <c r="A39" t="s">
        <v>199</v>
      </c>
      <c r="B39" t="s">
        <v>14</v>
      </c>
      <c r="C39" t="s">
        <v>15</v>
      </c>
      <c r="D39" t="s">
        <v>200</v>
      </c>
      <c r="E39" t="s">
        <v>201</v>
      </c>
      <c r="F39" t="s">
        <v>18</v>
      </c>
      <c r="G39" t="s">
        <v>44</v>
      </c>
      <c r="H39" t="s">
        <v>202</v>
      </c>
      <c r="I39" t="s">
        <v>15</v>
      </c>
      <c r="J39" t="s">
        <v>21</v>
      </c>
      <c r="K39" t="s">
        <v>22</v>
      </c>
      <c r="L39">
        <f>BDP($H39,"BICS_LEVEL_1_SECTOR_NAME")</f>
        <v/>
      </c>
      <c r="M39">
        <f>BDP($H39,"BICS_LEVEL_3_INDUSTRY_NAME")</f>
        <v/>
      </c>
    </row>
    <row r="40" spans="1:13">
      <c r="A40" t="s">
        <v>203</v>
      </c>
      <c r="B40" t="s">
        <v>14</v>
      </c>
      <c r="C40" t="s">
        <v>15</v>
      </c>
      <c r="D40" t="s">
        <v>204</v>
      </c>
      <c r="E40" t="s">
        <v>205</v>
      </c>
      <c r="F40" t="s">
        <v>26</v>
      </c>
      <c r="G40" t="s">
        <v>206</v>
      </c>
      <c r="H40" t="s">
        <v>207</v>
      </c>
      <c r="I40" t="s">
        <v>15</v>
      </c>
      <c r="J40" t="s">
        <v>21</v>
      </c>
      <c r="K40" t="s">
        <v>22</v>
      </c>
      <c r="L40">
        <f>BDP($H40,"BICS_LEVEL_1_SECTOR_NAME")</f>
        <v/>
      </c>
      <c r="M40">
        <f>BDP($H40,"BICS_LEVEL_3_INDUSTRY_NAME")</f>
        <v/>
      </c>
    </row>
    <row r="41" spans="1:13">
      <c r="A41" t="s">
        <v>208</v>
      </c>
      <c r="B41" t="s">
        <v>14</v>
      </c>
      <c r="C41" t="s">
        <v>15</v>
      </c>
      <c r="D41" t="s">
        <v>209</v>
      </c>
      <c r="E41" t="s">
        <v>210</v>
      </c>
      <c r="F41" t="s">
        <v>26</v>
      </c>
      <c r="G41" t="s">
        <v>93</v>
      </c>
      <c r="H41" t="s">
        <v>211</v>
      </c>
      <c r="I41" t="s">
        <v>15</v>
      </c>
      <c r="J41" t="s">
        <v>21</v>
      </c>
      <c r="K41" t="s">
        <v>22</v>
      </c>
      <c r="L41">
        <f>BDP($H41,"BICS_LEVEL_1_SECTOR_NAME")</f>
        <v/>
      </c>
      <c r="M41">
        <f>BDP($H41,"BICS_LEVEL_3_INDUSTRY_NAME")</f>
        <v/>
      </c>
    </row>
    <row r="42" spans="1:13">
      <c r="A42" t="s">
        <v>212</v>
      </c>
      <c r="B42" t="s">
        <v>14</v>
      </c>
      <c r="C42" t="s">
        <v>15</v>
      </c>
      <c r="D42" t="s">
        <v>213</v>
      </c>
      <c r="E42" t="s">
        <v>214</v>
      </c>
      <c r="F42" t="s">
        <v>38</v>
      </c>
      <c r="G42" t="s">
        <v>39</v>
      </c>
      <c r="H42" t="s">
        <v>215</v>
      </c>
      <c r="I42" t="s">
        <v>15</v>
      </c>
      <c r="J42" t="s">
        <v>21</v>
      </c>
      <c r="K42" t="s">
        <v>22</v>
      </c>
      <c r="L42">
        <f>BDP($H42,"BICS_LEVEL_1_SECTOR_NAME")</f>
        <v/>
      </c>
      <c r="M42">
        <f>BDP($H42,"BICS_LEVEL_3_INDUSTRY_NAME")</f>
        <v/>
      </c>
    </row>
    <row r="43" spans="1:13">
      <c r="A43" t="s">
        <v>216</v>
      </c>
      <c r="B43" t="s">
        <v>14</v>
      </c>
      <c r="C43" t="s">
        <v>15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15</v>
      </c>
      <c r="J43" t="s">
        <v>21</v>
      </c>
      <c r="K43" t="s">
        <v>22</v>
      </c>
      <c r="L43">
        <f>BDP($H43,"BICS_LEVEL_1_SECTOR_NAME")</f>
        <v/>
      </c>
      <c r="M43">
        <f>BDP($H43,"BICS_LEVEL_3_INDUSTRY_NAME")</f>
        <v/>
      </c>
    </row>
    <row r="44" spans="1:13">
      <c r="A44" t="s">
        <v>222</v>
      </c>
      <c r="B44" t="s">
        <v>14</v>
      </c>
      <c r="C44" t="s">
        <v>15</v>
      </c>
      <c r="D44" t="s">
        <v>223</v>
      </c>
      <c r="E44" t="s">
        <v>224</v>
      </c>
      <c r="F44" t="s">
        <v>83</v>
      </c>
      <c r="G44" t="s">
        <v>225</v>
      </c>
      <c r="H44" t="s">
        <v>226</v>
      </c>
      <c r="I44" t="s">
        <v>15</v>
      </c>
      <c r="J44" t="s">
        <v>21</v>
      </c>
      <c r="K44" t="s">
        <v>22</v>
      </c>
      <c r="L44">
        <f>BDP($H44,"BICS_LEVEL_1_SECTOR_NAME")</f>
        <v/>
      </c>
      <c r="M44">
        <f>BDP($H44,"BICS_LEVEL_3_INDUSTRY_NAME")</f>
        <v/>
      </c>
    </row>
    <row r="45" spans="1:13">
      <c r="A45" t="s">
        <v>227</v>
      </c>
      <c r="B45" t="s">
        <v>14</v>
      </c>
      <c r="C45" t="s">
        <v>15</v>
      </c>
      <c r="D45" t="s">
        <v>228</v>
      </c>
      <c r="E45" t="s">
        <v>229</v>
      </c>
      <c r="F45" t="s">
        <v>83</v>
      </c>
      <c r="G45" t="s">
        <v>225</v>
      </c>
      <c r="H45" t="s">
        <v>230</v>
      </c>
      <c r="I45" t="s">
        <v>15</v>
      </c>
      <c r="J45" t="s">
        <v>21</v>
      </c>
      <c r="K45" t="s">
        <v>22</v>
      </c>
      <c r="L45">
        <f>BDP($H45,"BICS_LEVEL_1_SECTOR_NAME")</f>
        <v/>
      </c>
      <c r="M45">
        <f>BDP($H45,"BICS_LEVEL_3_INDUSTRY_NAME")</f>
        <v/>
      </c>
    </row>
    <row r="46" spans="1:13">
      <c r="A46" t="s">
        <v>231</v>
      </c>
      <c r="B46" t="s">
        <v>14</v>
      </c>
      <c r="C46" t="s">
        <v>15</v>
      </c>
      <c r="D46" t="s">
        <v>232</v>
      </c>
      <c r="E46" t="s">
        <v>233</v>
      </c>
      <c r="F46" t="s">
        <v>83</v>
      </c>
      <c r="G46" t="s">
        <v>225</v>
      </c>
      <c r="H46" t="s">
        <v>234</v>
      </c>
      <c r="I46" t="s">
        <v>15</v>
      </c>
      <c r="J46" t="s">
        <v>21</v>
      </c>
      <c r="K46" t="s">
        <v>22</v>
      </c>
      <c r="L46">
        <f>BDP($H46,"BICS_LEVEL_1_SECTOR_NAME")</f>
        <v/>
      </c>
      <c r="M46">
        <f>BDP($H46,"BICS_LEVEL_3_INDUSTRY_NAME")</f>
        <v/>
      </c>
    </row>
    <row r="47" spans="1:13">
      <c r="A47" t="s">
        <v>235</v>
      </c>
      <c r="B47" t="s">
        <v>14</v>
      </c>
      <c r="C47" t="s">
        <v>15</v>
      </c>
      <c r="D47" t="s">
        <v>236</v>
      </c>
      <c r="E47" t="s">
        <v>237</v>
      </c>
      <c r="F47" t="s">
        <v>38</v>
      </c>
      <c r="G47" t="s">
        <v>39</v>
      </c>
      <c r="H47" t="s">
        <v>238</v>
      </c>
      <c r="I47" t="s">
        <v>15</v>
      </c>
      <c r="J47" t="s">
        <v>21</v>
      </c>
      <c r="K47" t="s">
        <v>22</v>
      </c>
      <c r="L47">
        <f>BDP($H47,"BICS_LEVEL_1_SECTOR_NAME")</f>
        <v/>
      </c>
      <c r="M47">
        <f>BDP($H47,"BICS_LEVEL_3_INDUSTRY_NAME")</f>
        <v/>
      </c>
    </row>
    <row r="48" spans="1:13">
      <c r="A48" t="s">
        <v>239</v>
      </c>
      <c r="B48" t="s">
        <v>14</v>
      </c>
      <c r="C48" t="s">
        <v>15</v>
      </c>
      <c r="D48" t="s">
        <v>240</v>
      </c>
      <c r="E48" t="s">
        <v>241</v>
      </c>
      <c r="F48" t="s">
        <v>83</v>
      </c>
      <c r="G48" t="s">
        <v>84</v>
      </c>
      <c r="H48" t="s">
        <v>242</v>
      </c>
      <c r="I48" t="s">
        <v>15</v>
      </c>
      <c r="J48" t="s">
        <v>21</v>
      </c>
      <c r="K48" t="s">
        <v>22</v>
      </c>
      <c r="L48">
        <f>BDP($H48,"BICS_LEVEL_1_SECTOR_NAME")</f>
        <v/>
      </c>
      <c r="M48">
        <f>BDP($H48,"BICS_LEVEL_3_INDUSTRY_NAME")</f>
        <v/>
      </c>
    </row>
    <row r="49" spans="1:13">
      <c r="A49" t="s">
        <v>243</v>
      </c>
      <c r="B49" t="s">
        <v>14</v>
      </c>
      <c r="C49" t="s">
        <v>15</v>
      </c>
      <c r="D49" t="s">
        <v>244</v>
      </c>
      <c r="E49" t="s">
        <v>245</v>
      </c>
      <c r="F49" t="s">
        <v>18</v>
      </c>
      <c r="G49" t="s">
        <v>44</v>
      </c>
      <c r="H49" t="s">
        <v>246</v>
      </c>
      <c r="I49" t="s">
        <v>15</v>
      </c>
      <c r="J49" t="s">
        <v>21</v>
      </c>
      <c r="K49" t="s">
        <v>22</v>
      </c>
      <c r="L49">
        <f>BDP($H49,"BICS_LEVEL_1_SECTOR_NAME")</f>
        <v/>
      </c>
      <c r="M49">
        <f>BDP($H49,"BICS_LEVEL_3_INDUSTRY_NAME")</f>
        <v/>
      </c>
    </row>
    <row r="50" spans="1:13">
      <c r="A50" t="s">
        <v>247</v>
      </c>
      <c r="B50" t="s">
        <v>14</v>
      </c>
      <c r="C50" t="s">
        <v>15</v>
      </c>
      <c r="D50" t="s">
        <v>248</v>
      </c>
      <c r="E50" t="s">
        <v>249</v>
      </c>
      <c r="F50" t="s">
        <v>18</v>
      </c>
      <c r="G50" t="s">
        <v>44</v>
      </c>
      <c r="H50" t="s">
        <v>250</v>
      </c>
      <c r="I50" t="s">
        <v>15</v>
      </c>
      <c r="J50" t="s">
        <v>21</v>
      </c>
      <c r="K50" t="s">
        <v>22</v>
      </c>
      <c r="L50">
        <f>BDP($H50,"BICS_LEVEL_1_SECTOR_NAME")</f>
        <v/>
      </c>
      <c r="M50">
        <f>BDP($H50,"BICS_LEVEL_3_INDUSTRY_NAME")</f>
        <v/>
      </c>
    </row>
    <row r="51" spans="1:13">
      <c r="A51" t="s">
        <v>251</v>
      </c>
      <c r="B51" t="s">
        <v>14</v>
      </c>
      <c r="C51" t="s">
        <v>15</v>
      </c>
      <c r="D51" t="s">
        <v>252</v>
      </c>
      <c r="E51" t="s">
        <v>253</v>
      </c>
      <c r="F51" t="s">
        <v>18</v>
      </c>
      <c r="G51" t="s">
        <v>254</v>
      </c>
      <c r="H51" t="s">
        <v>255</v>
      </c>
      <c r="I51" t="s">
        <v>15</v>
      </c>
      <c r="J51" t="s">
        <v>21</v>
      </c>
      <c r="K51" t="s">
        <v>22</v>
      </c>
      <c r="L51">
        <f>BDP($H51,"BICS_LEVEL_1_SECTOR_NAME")</f>
        <v/>
      </c>
      <c r="M51">
        <f>BDP($H51,"BICS_LEVEL_3_INDUSTRY_NAME")</f>
        <v/>
      </c>
    </row>
    <row r="52" spans="1:13">
      <c r="A52" t="s">
        <v>256</v>
      </c>
      <c r="B52" t="s">
        <v>14</v>
      </c>
      <c r="C52" t="s">
        <v>15</v>
      </c>
      <c r="D52" t="s">
        <v>257</v>
      </c>
      <c r="E52" t="s">
        <v>258</v>
      </c>
      <c r="F52" t="s">
        <v>26</v>
      </c>
      <c r="G52" t="s">
        <v>165</v>
      </c>
      <c r="H52" t="s">
        <v>259</v>
      </c>
      <c r="I52" t="s">
        <v>15</v>
      </c>
      <c r="J52" t="s">
        <v>21</v>
      </c>
      <c r="K52" t="s">
        <v>22</v>
      </c>
      <c r="L52">
        <f>BDP($H52,"BICS_LEVEL_1_SECTOR_NAME")</f>
        <v/>
      </c>
      <c r="M52">
        <f>BDP($H52,"BICS_LEVEL_3_INDUSTRY_NAME")</f>
        <v/>
      </c>
    </row>
    <row r="53" spans="1:13">
      <c r="A53" t="s">
        <v>260</v>
      </c>
      <c r="B53" t="s">
        <v>14</v>
      </c>
      <c r="C53" t="s">
        <v>15</v>
      </c>
      <c r="D53" t="s">
        <v>261</v>
      </c>
      <c r="E53" t="s">
        <v>262</v>
      </c>
      <c r="F53" t="s">
        <v>32</v>
      </c>
      <c r="G53" t="s">
        <v>263</v>
      </c>
      <c r="H53" t="s">
        <v>264</v>
      </c>
      <c r="I53" t="s">
        <v>15</v>
      </c>
      <c r="J53" t="s">
        <v>21</v>
      </c>
      <c r="K53" t="s">
        <v>22</v>
      </c>
      <c r="L53">
        <f>BDP($H53,"BICS_LEVEL_1_SECTOR_NAME")</f>
        <v/>
      </c>
      <c r="M53">
        <f>BDP($H53,"BICS_LEVEL_3_INDUSTRY_NAME")</f>
        <v/>
      </c>
    </row>
    <row r="54" spans="1:13">
      <c r="A54" t="s">
        <v>265</v>
      </c>
      <c r="B54" t="s">
        <v>14</v>
      </c>
      <c r="C54" t="s">
        <v>15</v>
      </c>
      <c r="D54" t="s">
        <v>266</v>
      </c>
      <c r="E54" t="s">
        <v>267</v>
      </c>
      <c r="F54" t="s">
        <v>18</v>
      </c>
      <c r="G54" t="s">
        <v>268</v>
      </c>
      <c r="H54" t="s">
        <v>269</v>
      </c>
      <c r="I54" t="s">
        <v>15</v>
      </c>
      <c r="J54" t="s">
        <v>21</v>
      </c>
      <c r="K54" t="s">
        <v>22</v>
      </c>
      <c r="L54">
        <f>BDP($H54,"BICS_LEVEL_1_SECTOR_NAME")</f>
        <v/>
      </c>
      <c r="M54">
        <f>BDP($H54,"BICS_LEVEL_3_INDUSTRY_NAME")</f>
        <v/>
      </c>
    </row>
    <row r="55" spans="1:13">
      <c r="A55" t="s">
        <v>270</v>
      </c>
      <c r="B55" t="s">
        <v>14</v>
      </c>
      <c r="C55" t="s">
        <v>15</v>
      </c>
      <c r="D55" t="s">
        <v>271</v>
      </c>
      <c r="E55" t="s">
        <v>272</v>
      </c>
      <c r="F55" t="s">
        <v>83</v>
      </c>
      <c r="G55" t="s">
        <v>151</v>
      </c>
      <c r="H55" t="s">
        <v>273</v>
      </c>
      <c r="I55" t="s">
        <v>15</v>
      </c>
      <c r="J55" t="s">
        <v>21</v>
      </c>
      <c r="K55" t="s">
        <v>22</v>
      </c>
      <c r="L55">
        <f>BDP($H55,"BICS_LEVEL_1_SECTOR_NAME")</f>
        <v/>
      </c>
      <c r="M55">
        <f>BDP($H55,"BICS_LEVEL_3_INDUSTRY_NAME")</f>
        <v/>
      </c>
    </row>
    <row r="56" spans="1:13">
      <c r="A56" t="s">
        <v>274</v>
      </c>
      <c r="B56" t="s">
        <v>14</v>
      </c>
      <c r="C56" t="s">
        <v>15</v>
      </c>
      <c r="D56" t="s">
        <v>275</v>
      </c>
      <c r="E56" t="s">
        <v>276</v>
      </c>
      <c r="F56" t="s">
        <v>32</v>
      </c>
      <c r="G56" t="s">
        <v>277</v>
      </c>
      <c r="H56" t="s">
        <v>278</v>
      </c>
      <c r="I56" t="s">
        <v>15</v>
      </c>
      <c r="J56" t="s">
        <v>21</v>
      </c>
      <c r="K56" t="s">
        <v>22</v>
      </c>
      <c r="L56">
        <f>BDP($H56,"BICS_LEVEL_1_SECTOR_NAME")</f>
        <v/>
      </c>
      <c r="M56">
        <f>BDP($H56,"BICS_LEVEL_3_INDUSTRY_NAME")</f>
        <v/>
      </c>
    </row>
    <row r="57" spans="1:13">
      <c r="A57" t="s">
        <v>279</v>
      </c>
      <c r="B57" t="s">
        <v>14</v>
      </c>
      <c r="C57" t="s">
        <v>15</v>
      </c>
      <c r="D57" t="s">
        <v>280</v>
      </c>
      <c r="E57" t="s">
        <v>281</v>
      </c>
      <c r="F57" t="s">
        <v>83</v>
      </c>
      <c r="G57" t="s">
        <v>170</v>
      </c>
      <c r="H57" t="s">
        <v>282</v>
      </c>
      <c r="I57" t="s">
        <v>15</v>
      </c>
      <c r="J57" t="s">
        <v>21</v>
      </c>
      <c r="K57" t="s">
        <v>22</v>
      </c>
      <c r="L57">
        <f>BDP($H57,"BICS_LEVEL_1_SECTOR_NAME")</f>
        <v/>
      </c>
      <c r="M57">
        <f>BDP($H57,"BICS_LEVEL_3_INDUSTRY_NAME")</f>
        <v/>
      </c>
    </row>
    <row r="58" spans="1:13">
      <c r="A58" t="s">
        <v>283</v>
      </c>
      <c r="B58" t="s">
        <v>14</v>
      </c>
      <c r="C58" t="s">
        <v>15</v>
      </c>
      <c r="D58" t="s">
        <v>284</v>
      </c>
      <c r="E58" t="s">
        <v>285</v>
      </c>
      <c r="F58" t="s">
        <v>83</v>
      </c>
      <c r="G58" t="s">
        <v>132</v>
      </c>
      <c r="H58" t="s">
        <v>286</v>
      </c>
      <c r="I58" t="s">
        <v>15</v>
      </c>
      <c r="J58" t="s">
        <v>21</v>
      </c>
      <c r="K58" t="s">
        <v>22</v>
      </c>
      <c r="L58">
        <f>BDP($H58,"BICS_LEVEL_1_SECTOR_NAME")</f>
        <v/>
      </c>
      <c r="M58">
        <f>BDP($H58,"BICS_LEVEL_3_INDUSTRY_NAME")</f>
        <v/>
      </c>
    </row>
    <row r="59" spans="1:13">
      <c r="A59" t="s">
        <v>287</v>
      </c>
      <c r="B59" t="s">
        <v>14</v>
      </c>
      <c r="C59" t="s">
        <v>15</v>
      </c>
      <c r="D59" t="s">
        <v>288</v>
      </c>
      <c r="E59" t="s">
        <v>289</v>
      </c>
      <c r="F59" t="s">
        <v>18</v>
      </c>
      <c r="G59" t="s">
        <v>290</v>
      </c>
      <c r="H59" t="s">
        <v>291</v>
      </c>
      <c r="I59" t="s">
        <v>15</v>
      </c>
      <c r="J59" t="s">
        <v>21</v>
      </c>
      <c r="K59" t="s">
        <v>22</v>
      </c>
      <c r="L59">
        <f>BDP($H59,"BICS_LEVEL_1_SECTOR_NAME")</f>
        <v/>
      </c>
      <c r="M59">
        <f>BDP($H59,"BICS_LEVEL_3_INDUSTRY_NAME")</f>
        <v/>
      </c>
    </row>
    <row r="60" spans="1:13">
      <c r="A60" t="s">
        <v>292</v>
      </c>
      <c r="B60" t="s">
        <v>14</v>
      </c>
      <c r="C60" t="s">
        <v>15</v>
      </c>
      <c r="D60" t="s">
        <v>293</v>
      </c>
      <c r="E60" t="s">
        <v>294</v>
      </c>
      <c r="F60" t="s">
        <v>83</v>
      </c>
      <c r="G60" t="s">
        <v>295</v>
      </c>
      <c r="H60" t="s">
        <v>296</v>
      </c>
      <c r="I60" t="s">
        <v>15</v>
      </c>
      <c r="J60" t="s">
        <v>21</v>
      </c>
      <c r="K60" t="s">
        <v>22</v>
      </c>
      <c r="L60">
        <f>BDP($H60,"BICS_LEVEL_1_SECTOR_NAME")</f>
        <v/>
      </c>
      <c r="M60">
        <f>BDP($H60,"BICS_LEVEL_3_INDUSTRY_NAME")</f>
        <v/>
      </c>
    </row>
    <row r="61" spans="1:13">
      <c r="A61" t="s">
        <v>297</v>
      </c>
      <c r="B61" t="s">
        <v>14</v>
      </c>
      <c r="C61" t="s">
        <v>15</v>
      </c>
      <c r="D61" t="s">
        <v>298</v>
      </c>
      <c r="E61" t="s">
        <v>299</v>
      </c>
      <c r="F61" t="s">
        <v>18</v>
      </c>
      <c r="G61" t="s">
        <v>19</v>
      </c>
      <c r="H61" t="s">
        <v>300</v>
      </c>
      <c r="I61" t="s">
        <v>15</v>
      </c>
      <c r="J61" t="s">
        <v>21</v>
      </c>
      <c r="K61" t="s">
        <v>22</v>
      </c>
      <c r="L61">
        <f>BDP($H61,"BICS_LEVEL_1_SECTOR_NAME")</f>
        <v/>
      </c>
      <c r="M61">
        <f>BDP($H61,"BICS_LEVEL_3_INDUSTRY_NAME")</f>
        <v/>
      </c>
    </row>
    <row r="62" spans="1:13">
      <c r="A62" t="s">
        <v>301</v>
      </c>
      <c r="B62" t="s">
        <v>14</v>
      </c>
      <c r="C62" t="s">
        <v>15</v>
      </c>
      <c r="D62" t="s">
        <v>302</v>
      </c>
      <c r="E62" t="s">
        <v>303</v>
      </c>
      <c r="F62" t="s">
        <v>38</v>
      </c>
      <c r="G62" t="s">
        <v>39</v>
      </c>
      <c r="H62" t="s">
        <v>304</v>
      </c>
      <c r="I62" t="s">
        <v>15</v>
      </c>
      <c r="J62" t="s">
        <v>21</v>
      </c>
      <c r="K62" t="s">
        <v>22</v>
      </c>
      <c r="L62">
        <f>BDP($H62,"BICS_LEVEL_1_SECTOR_NAME")</f>
        <v/>
      </c>
      <c r="M62">
        <f>BDP($H62,"BICS_LEVEL_3_INDUSTRY_NAME")</f>
        <v/>
      </c>
    </row>
    <row r="63" spans="1:13">
      <c r="A63" t="s">
        <v>305</v>
      </c>
      <c r="B63" t="s">
        <v>14</v>
      </c>
      <c r="C63" t="s">
        <v>15</v>
      </c>
      <c r="D63" t="s">
        <v>306</v>
      </c>
      <c r="E63" t="s">
        <v>307</v>
      </c>
      <c r="F63" t="s">
        <v>32</v>
      </c>
      <c r="G63" t="s">
        <v>184</v>
      </c>
      <c r="H63" t="s">
        <v>308</v>
      </c>
      <c r="I63" t="s">
        <v>15</v>
      </c>
      <c r="J63" t="s">
        <v>21</v>
      </c>
      <c r="K63" t="s">
        <v>22</v>
      </c>
      <c r="L63">
        <f>BDP($H63,"BICS_LEVEL_1_SECTOR_NAME")</f>
        <v/>
      </c>
      <c r="M63">
        <f>BDP($H63,"BICS_LEVEL_3_INDUSTRY_NAME")</f>
        <v/>
      </c>
    </row>
    <row r="64" spans="1:13">
      <c r="A64" t="s">
        <v>309</v>
      </c>
      <c r="B64" t="s">
        <v>14</v>
      </c>
      <c r="C64" t="s">
        <v>15</v>
      </c>
      <c r="D64" t="s">
        <v>310</v>
      </c>
      <c r="E64" t="s">
        <v>311</v>
      </c>
      <c r="F64" t="s">
        <v>18</v>
      </c>
      <c r="G64" t="s">
        <v>44</v>
      </c>
      <c r="H64" t="s">
        <v>312</v>
      </c>
      <c r="I64" t="s">
        <v>15</v>
      </c>
      <c r="J64" t="s">
        <v>21</v>
      </c>
      <c r="K64" t="s">
        <v>22</v>
      </c>
      <c r="L64">
        <f>BDP($H64,"BICS_LEVEL_1_SECTOR_NAME")</f>
        <v/>
      </c>
      <c r="M64">
        <f>BDP($H64,"BICS_LEVEL_3_INDUSTRY_NAME")</f>
        <v/>
      </c>
    </row>
    <row r="65" spans="1:13">
      <c r="A65" t="s">
        <v>313</v>
      </c>
      <c r="B65" t="s">
        <v>14</v>
      </c>
      <c r="C65" t="s">
        <v>15</v>
      </c>
      <c r="D65" t="s">
        <v>314</v>
      </c>
      <c r="E65" t="s">
        <v>315</v>
      </c>
      <c r="F65" t="s">
        <v>32</v>
      </c>
      <c r="G65" t="s">
        <v>184</v>
      </c>
      <c r="H65" t="s">
        <v>316</v>
      </c>
      <c r="I65" t="s">
        <v>15</v>
      </c>
      <c r="J65" t="s">
        <v>21</v>
      </c>
      <c r="K65" t="s">
        <v>22</v>
      </c>
      <c r="L65">
        <f>BDP($H65,"BICS_LEVEL_1_SECTOR_NAME")</f>
        <v/>
      </c>
      <c r="M65">
        <f>BDP($H65,"BICS_LEVEL_3_INDUSTRY_NAME")</f>
        <v/>
      </c>
    </row>
    <row r="66" spans="1:13">
      <c r="A66" t="s">
        <v>317</v>
      </c>
      <c r="B66" t="s">
        <v>14</v>
      </c>
      <c r="C66" t="s">
        <v>15</v>
      </c>
      <c r="D66" t="s">
        <v>318</v>
      </c>
      <c r="E66" t="s">
        <v>319</v>
      </c>
      <c r="F66" t="s">
        <v>32</v>
      </c>
      <c r="G66" t="s">
        <v>320</v>
      </c>
      <c r="H66" t="s">
        <v>321</v>
      </c>
      <c r="I66" t="s">
        <v>15</v>
      </c>
      <c r="J66" t="s">
        <v>21</v>
      </c>
      <c r="K66" t="s">
        <v>22</v>
      </c>
      <c r="L66">
        <f>BDP($H66,"BICS_LEVEL_1_SECTOR_NAME")</f>
        <v/>
      </c>
      <c r="M66">
        <f>BDP($H66,"BICS_LEVEL_3_INDUSTRY_NAME")</f>
        <v/>
      </c>
    </row>
    <row r="67" spans="1:13">
      <c r="A67" t="s">
        <v>322</v>
      </c>
      <c r="B67" t="s">
        <v>14</v>
      </c>
      <c r="C67" t="s">
        <v>15</v>
      </c>
      <c r="D67" t="s">
        <v>323</v>
      </c>
      <c r="E67" t="s">
        <v>324</v>
      </c>
      <c r="F67" t="s">
        <v>26</v>
      </c>
      <c r="G67" t="s">
        <v>325</v>
      </c>
      <c r="H67" t="s">
        <v>326</v>
      </c>
      <c r="I67" t="s">
        <v>15</v>
      </c>
      <c r="J67" t="s">
        <v>21</v>
      </c>
      <c r="K67" t="s">
        <v>22</v>
      </c>
      <c r="L67">
        <f>BDP($H67,"BICS_LEVEL_1_SECTOR_NAME")</f>
        <v/>
      </c>
      <c r="M67">
        <f>BDP($H67,"BICS_LEVEL_3_INDUSTRY_NAME")</f>
        <v/>
      </c>
    </row>
    <row r="68" spans="1:13">
      <c r="A68" t="s">
        <v>327</v>
      </c>
      <c r="B68" t="s">
        <v>14</v>
      </c>
      <c r="C68" t="s">
        <v>15</v>
      </c>
      <c r="D68" t="s">
        <v>328</v>
      </c>
      <c r="E68" t="s">
        <v>329</v>
      </c>
      <c r="F68" t="s">
        <v>63</v>
      </c>
      <c r="G68" t="s">
        <v>74</v>
      </c>
      <c r="H68" t="s">
        <v>330</v>
      </c>
      <c r="I68" t="s">
        <v>15</v>
      </c>
      <c r="J68" t="s">
        <v>21</v>
      </c>
      <c r="K68" t="s">
        <v>22</v>
      </c>
      <c r="L68">
        <f>BDP($H68,"BICS_LEVEL_1_SECTOR_NAME")</f>
        <v/>
      </c>
      <c r="M68">
        <f>BDP($H68,"BICS_LEVEL_3_INDUSTRY_NAME")</f>
        <v/>
      </c>
    </row>
    <row r="69" spans="1:13">
      <c r="A69" t="s">
        <v>331</v>
      </c>
      <c r="B69" t="s">
        <v>14</v>
      </c>
      <c r="C69" t="s">
        <v>15</v>
      </c>
      <c r="D69" t="s">
        <v>332</v>
      </c>
      <c r="E69" t="s">
        <v>333</v>
      </c>
      <c r="F69" t="s">
        <v>83</v>
      </c>
      <c r="G69" t="s">
        <v>225</v>
      </c>
      <c r="H69" t="s">
        <v>334</v>
      </c>
      <c r="I69" t="s">
        <v>15</v>
      </c>
      <c r="J69" t="s">
        <v>21</v>
      </c>
      <c r="K69" t="s">
        <v>22</v>
      </c>
      <c r="L69">
        <f>BDP($H69,"BICS_LEVEL_1_SECTOR_NAME")</f>
        <v/>
      </c>
      <c r="M69">
        <f>BDP($H69,"BICS_LEVEL_3_INDUSTRY_NAME")</f>
        <v/>
      </c>
    </row>
    <row r="70" spans="1:13">
      <c r="A70" t="s">
        <v>335</v>
      </c>
      <c r="B70" t="s">
        <v>14</v>
      </c>
      <c r="C70" t="s">
        <v>15</v>
      </c>
      <c r="D70" t="s">
        <v>336</v>
      </c>
      <c r="E70" t="s">
        <v>337</v>
      </c>
      <c r="F70" t="s">
        <v>63</v>
      </c>
      <c r="G70" t="s">
        <v>193</v>
      </c>
      <c r="H70" t="s">
        <v>338</v>
      </c>
      <c r="I70" t="s">
        <v>15</v>
      </c>
      <c r="J70" t="s">
        <v>21</v>
      </c>
      <c r="K70" t="s">
        <v>22</v>
      </c>
      <c r="L70">
        <f>BDP($H70,"BICS_LEVEL_1_SECTOR_NAME")</f>
        <v/>
      </c>
      <c r="M70">
        <f>BDP($H70,"BICS_LEVEL_3_INDUSTRY_NAME")</f>
        <v/>
      </c>
    </row>
    <row r="71" spans="1:13">
      <c r="A71" t="s">
        <v>339</v>
      </c>
      <c r="B71" t="s">
        <v>14</v>
      </c>
      <c r="C71" t="s">
        <v>15</v>
      </c>
      <c r="D71" t="s">
        <v>340</v>
      </c>
      <c r="E71" t="s">
        <v>341</v>
      </c>
      <c r="F71" t="s">
        <v>83</v>
      </c>
      <c r="G71" t="s">
        <v>170</v>
      </c>
      <c r="H71" t="s">
        <v>342</v>
      </c>
      <c r="I71" t="s">
        <v>15</v>
      </c>
      <c r="J71" t="s">
        <v>21</v>
      </c>
      <c r="K71" t="s">
        <v>22</v>
      </c>
      <c r="L71">
        <f>BDP($H71,"BICS_LEVEL_1_SECTOR_NAME")</f>
        <v/>
      </c>
      <c r="M71">
        <f>BDP($H71,"BICS_LEVEL_3_INDUSTRY_NAME")</f>
        <v/>
      </c>
    </row>
    <row r="72" spans="1:13">
      <c r="A72" t="s">
        <v>343</v>
      </c>
      <c r="B72" t="s">
        <v>14</v>
      </c>
      <c r="C72" t="s">
        <v>15</v>
      </c>
      <c r="D72" t="s">
        <v>344</v>
      </c>
      <c r="E72" t="s">
        <v>345</v>
      </c>
      <c r="F72" t="s">
        <v>32</v>
      </c>
      <c r="G72" t="s">
        <v>346</v>
      </c>
      <c r="H72" t="s">
        <v>347</v>
      </c>
      <c r="I72" t="s">
        <v>15</v>
      </c>
      <c r="J72" t="s">
        <v>21</v>
      </c>
      <c r="K72" t="s">
        <v>22</v>
      </c>
      <c r="L72">
        <f>BDP($H72,"BICS_LEVEL_1_SECTOR_NAME")</f>
        <v/>
      </c>
      <c r="M72">
        <f>BDP($H72,"BICS_LEVEL_3_INDUSTRY_NAME")</f>
        <v/>
      </c>
    </row>
    <row r="73" spans="1:13">
      <c r="A73" t="s">
        <v>348</v>
      </c>
      <c r="B73" t="s">
        <v>14</v>
      </c>
      <c r="C73" t="s">
        <v>15</v>
      </c>
      <c r="D73" t="s">
        <v>349</v>
      </c>
      <c r="E73" t="s">
        <v>350</v>
      </c>
      <c r="F73" t="s">
        <v>26</v>
      </c>
      <c r="G73" t="s">
        <v>58</v>
      </c>
      <c r="H73" t="s">
        <v>351</v>
      </c>
      <c r="I73" t="s">
        <v>15</v>
      </c>
      <c r="J73" t="s">
        <v>21</v>
      </c>
      <c r="K73" t="s">
        <v>22</v>
      </c>
      <c r="L73">
        <f>BDP($H73,"BICS_LEVEL_1_SECTOR_NAME")</f>
        <v/>
      </c>
      <c r="M73">
        <f>BDP($H73,"BICS_LEVEL_3_INDUSTRY_NAME")</f>
        <v/>
      </c>
    </row>
    <row r="74" spans="1:13">
      <c r="A74" t="s">
        <v>352</v>
      </c>
      <c r="B74" t="s">
        <v>14</v>
      </c>
      <c r="C74" t="s">
        <v>15</v>
      </c>
      <c r="D74" t="s">
        <v>353</v>
      </c>
      <c r="E74" t="s">
        <v>354</v>
      </c>
      <c r="F74" t="s">
        <v>18</v>
      </c>
      <c r="G74" t="s">
        <v>355</v>
      </c>
      <c r="H74" t="s">
        <v>356</v>
      </c>
      <c r="I74" t="s">
        <v>15</v>
      </c>
      <c r="J74" t="s">
        <v>21</v>
      </c>
      <c r="K74" t="s">
        <v>22</v>
      </c>
      <c r="L74">
        <f>BDP($H74,"BICS_LEVEL_1_SECTOR_NAME")</f>
        <v/>
      </c>
      <c r="M74">
        <f>BDP($H74,"BICS_LEVEL_3_INDUSTRY_NAME")</f>
        <v/>
      </c>
    </row>
    <row r="75" spans="1:13">
      <c r="A75" t="s">
        <v>357</v>
      </c>
      <c r="B75" t="s">
        <v>14</v>
      </c>
      <c r="C75" t="s">
        <v>15</v>
      </c>
      <c r="D75" t="s">
        <v>358</v>
      </c>
      <c r="E75" t="s">
        <v>359</v>
      </c>
      <c r="F75" t="s">
        <v>26</v>
      </c>
      <c r="G75" t="s">
        <v>206</v>
      </c>
      <c r="H75" t="s">
        <v>360</v>
      </c>
      <c r="I75" t="s">
        <v>15</v>
      </c>
      <c r="J75" t="s">
        <v>21</v>
      </c>
      <c r="K75" t="s">
        <v>22</v>
      </c>
      <c r="L75">
        <f>BDP($H75,"BICS_LEVEL_1_SECTOR_NAME")</f>
        <v/>
      </c>
      <c r="M75">
        <f>BDP($H75,"BICS_LEVEL_3_INDUSTRY_NAME")</f>
        <v/>
      </c>
    </row>
    <row r="76" spans="1:13">
      <c r="A76" t="s">
        <v>361</v>
      </c>
      <c r="B76" t="s">
        <v>14</v>
      </c>
      <c r="C76" t="s">
        <v>15</v>
      </c>
      <c r="D76" t="s">
        <v>362</v>
      </c>
      <c r="E76" t="s">
        <v>363</v>
      </c>
      <c r="F76" t="s">
        <v>63</v>
      </c>
      <c r="G76" t="s">
        <v>193</v>
      </c>
      <c r="H76" t="s">
        <v>364</v>
      </c>
      <c r="I76" t="s">
        <v>15</v>
      </c>
      <c r="J76" t="s">
        <v>21</v>
      </c>
      <c r="K76" t="s">
        <v>22</v>
      </c>
      <c r="L76">
        <f>BDP($H76,"BICS_LEVEL_1_SECTOR_NAME")</f>
        <v/>
      </c>
      <c r="M76">
        <f>BDP($H76,"BICS_LEVEL_3_INDUSTRY_NAME")</f>
        <v/>
      </c>
    </row>
    <row r="77" spans="1:13">
      <c r="A77" t="s">
        <v>365</v>
      </c>
      <c r="B77" t="s">
        <v>14</v>
      </c>
      <c r="C77" t="s">
        <v>15</v>
      </c>
      <c r="D77" t="s">
        <v>366</v>
      </c>
      <c r="E77" t="s">
        <v>367</v>
      </c>
      <c r="F77" t="s">
        <v>18</v>
      </c>
      <c r="G77" t="s">
        <v>44</v>
      </c>
      <c r="H77" t="s">
        <v>368</v>
      </c>
      <c r="I77" t="s">
        <v>15</v>
      </c>
      <c r="J77" t="s">
        <v>21</v>
      </c>
      <c r="K77" t="s">
        <v>22</v>
      </c>
      <c r="L77">
        <f>BDP($H77,"BICS_LEVEL_1_SECTOR_NAME")</f>
        <v/>
      </c>
      <c r="M77">
        <f>BDP($H77,"BICS_LEVEL_3_INDUSTRY_NAME")</f>
        <v/>
      </c>
    </row>
    <row r="78" spans="1:13">
      <c r="A78" t="s">
        <v>369</v>
      </c>
      <c r="B78" t="s">
        <v>14</v>
      </c>
      <c r="C78" t="s">
        <v>15</v>
      </c>
      <c r="D78" t="s">
        <v>370</v>
      </c>
      <c r="E78" t="s">
        <v>371</v>
      </c>
      <c r="F78" t="s">
        <v>26</v>
      </c>
      <c r="G78" t="s">
        <v>372</v>
      </c>
      <c r="H78" t="s">
        <v>373</v>
      </c>
      <c r="I78" t="s">
        <v>15</v>
      </c>
      <c r="J78" t="s">
        <v>21</v>
      </c>
      <c r="K78" t="s">
        <v>22</v>
      </c>
      <c r="L78">
        <f>BDP($H78,"BICS_LEVEL_1_SECTOR_NAME")</f>
        <v/>
      </c>
      <c r="M78">
        <f>BDP($H78,"BICS_LEVEL_3_INDUSTRY_NAME")</f>
        <v/>
      </c>
    </row>
    <row r="79" spans="1:13">
      <c r="A79" t="s">
        <v>374</v>
      </c>
      <c r="B79" t="s">
        <v>14</v>
      </c>
      <c r="C79" t="s">
        <v>15</v>
      </c>
      <c r="D79" t="s">
        <v>375</v>
      </c>
      <c r="E79" t="s">
        <v>376</v>
      </c>
      <c r="F79" t="s">
        <v>18</v>
      </c>
      <c r="G79" t="s">
        <v>19</v>
      </c>
      <c r="H79" t="s">
        <v>377</v>
      </c>
      <c r="I79" t="s">
        <v>15</v>
      </c>
      <c r="J79" t="s">
        <v>21</v>
      </c>
      <c r="K79" t="s">
        <v>22</v>
      </c>
      <c r="L79">
        <f>BDP($H79,"BICS_LEVEL_1_SECTOR_NAME")</f>
        <v/>
      </c>
      <c r="M79">
        <f>BDP($H79,"BICS_LEVEL_3_INDUSTRY_NAME")</f>
        <v/>
      </c>
    </row>
    <row r="80" spans="1:13">
      <c r="A80" t="s">
        <v>378</v>
      </c>
      <c r="B80" t="s">
        <v>14</v>
      </c>
      <c r="C80" t="s">
        <v>15</v>
      </c>
      <c r="D80" t="s">
        <v>379</v>
      </c>
      <c r="E80" t="s">
        <v>380</v>
      </c>
      <c r="F80" t="s">
        <v>32</v>
      </c>
      <c r="G80" t="s">
        <v>381</v>
      </c>
      <c r="H80" t="s">
        <v>382</v>
      </c>
      <c r="I80" t="s">
        <v>15</v>
      </c>
      <c r="J80" t="s">
        <v>21</v>
      </c>
      <c r="K80" t="s">
        <v>22</v>
      </c>
      <c r="L80">
        <f>BDP($H80,"BICS_LEVEL_1_SECTOR_NAME")</f>
        <v/>
      </c>
      <c r="M80">
        <f>BDP($H80,"BICS_LEVEL_3_INDUSTRY_NAME")</f>
        <v/>
      </c>
    </row>
    <row r="81" spans="1:13">
      <c r="A81" t="s">
        <v>383</v>
      </c>
      <c r="B81" t="s">
        <v>14</v>
      </c>
      <c r="C81" t="s">
        <v>15</v>
      </c>
      <c r="D81" t="s">
        <v>384</v>
      </c>
      <c r="E81" t="s">
        <v>385</v>
      </c>
      <c r="F81" t="s">
        <v>26</v>
      </c>
      <c r="G81" t="s">
        <v>146</v>
      </c>
      <c r="H81" t="s">
        <v>386</v>
      </c>
      <c r="I81" t="s">
        <v>15</v>
      </c>
      <c r="J81" t="s">
        <v>21</v>
      </c>
      <c r="K81" t="s">
        <v>22</v>
      </c>
      <c r="L81">
        <f>BDP($H81,"BICS_LEVEL_1_SECTOR_NAME")</f>
        <v/>
      </c>
      <c r="M81">
        <f>BDP($H81,"BICS_LEVEL_3_INDUSTRY_NAME")</f>
        <v/>
      </c>
    </row>
    <row r="82" spans="1:13">
      <c r="A82" t="s">
        <v>387</v>
      </c>
      <c r="B82" t="s">
        <v>14</v>
      </c>
      <c r="C82" t="s">
        <v>15</v>
      </c>
      <c r="D82" t="s">
        <v>388</v>
      </c>
      <c r="E82" t="s">
        <v>389</v>
      </c>
      <c r="F82" t="s">
        <v>83</v>
      </c>
      <c r="G82" t="s">
        <v>390</v>
      </c>
      <c r="H82" t="s">
        <v>391</v>
      </c>
      <c r="I82" t="s">
        <v>15</v>
      </c>
      <c r="J82" t="s">
        <v>21</v>
      </c>
      <c r="K82" t="s">
        <v>22</v>
      </c>
      <c r="L82">
        <f>BDP($H82,"BICS_LEVEL_1_SECTOR_NAME")</f>
        <v/>
      </c>
      <c r="M82">
        <f>BDP($H82,"BICS_LEVEL_3_INDUSTRY_NAME")</f>
        <v/>
      </c>
    </row>
    <row r="83" spans="1:13">
      <c r="A83" t="s">
        <v>392</v>
      </c>
      <c r="B83" t="s">
        <v>14</v>
      </c>
      <c r="C83" t="s">
        <v>15</v>
      </c>
      <c r="D83" t="s">
        <v>393</v>
      </c>
      <c r="E83" t="s">
        <v>394</v>
      </c>
      <c r="F83" t="s">
        <v>32</v>
      </c>
      <c r="G83" t="s">
        <v>395</v>
      </c>
      <c r="H83" t="s">
        <v>396</v>
      </c>
      <c r="I83" t="s">
        <v>15</v>
      </c>
      <c r="J83" t="s">
        <v>21</v>
      </c>
      <c r="K83" t="s">
        <v>22</v>
      </c>
      <c r="L83">
        <f>BDP($H83,"BICS_LEVEL_1_SECTOR_NAME")</f>
        <v/>
      </c>
      <c r="M83">
        <f>BDP($H83,"BICS_LEVEL_3_INDUSTRY_NAME")</f>
        <v/>
      </c>
    </row>
    <row r="84" spans="1:13">
      <c r="A84" t="s">
        <v>397</v>
      </c>
      <c r="B84" t="s">
        <v>14</v>
      </c>
      <c r="C84" t="s">
        <v>15</v>
      </c>
      <c r="D84" t="s">
        <v>398</v>
      </c>
      <c r="E84" t="s">
        <v>399</v>
      </c>
      <c r="F84" t="s">
        <v>83</v>
      </c>
      <c r="G84" t="s">
        <v>84</v>
      </c>
      <c r="H84" t="s">
        <v>400</v>
      </c>
      <c r="I84" t="s">
        <v>15</v>
      </c>
      <c r="J84" t="s">
        <v>21</v>
      </c>
      <c r="K84" t="s">
        <v>22</v>
      </c>
      <c r="L84">
        <f>BDP($H84,"BICS_LEVEL_1_SECTOR_NAME")</f>
        <v/>
      </c>
      <c r="M84">
        <f>BDP($H84,"BICS_LEVEL_3_INDUSTRY_NAME")</f>
        <v/>
      </c>
    </row>
    <row r="85" spans="1:13">
      <c r="A85" t="s">
        <v>401</v>
      </c>
      <c r="B85" t="s">
        <v>14</v>
      </c>
      <c r="C85" t="s">
        <v>15</v>
      </c>
      <c r="D85" t="s">
        <v>402</v>
      </c>
      <c r="E85" t="s">
        <v>403</v>
      </c>
      <c r="F85" t="s">
        <v>18</v>
      </c>
      <c r="G85" t="s">
        <v>404</v>
      </c>
      <c r="H85" t="s">
        <v>405</v>
      </c>
      <c r="I85" t="s">
        <v>15</v>
      </c>
      <c r="J85" t="s">
        <v>21</v>
      </c>
      <c r="K85" t="s">
        <v>22</v>
      </c>
      <c r="L85">
        <f>BDP($H85,"BICS_LEVEL_1_SECTOR_NAME")</f>
        <v/>
      </c>
      <c r="M85">
        <f>BDP($H85,"BICS_LEVEL_3_INDUSTRY_NAME")</f>
        <v/>
      </c>
    </row>
    <row r="86" spans="1:13">
      <c r="A86" t="s">
        <v>406</v>
      </c>
      <c r="B86" t="s">
        <v>14</v>
      </c>
      <c r="C86" t="s">
        <v>15</v>
      </c>
      <c r="D86" t="s">
        <v>407</v>
      </c>
      <c r="E86" t="s">
        <v>408</v>
      </c>
      <c r="F86" t="s">
        <v>63</v>
      </c>
      <c r="G86" t="s">
        <v>74</v>
      </c>
      <c r="H86" t="s">
        <v>409</v>
      </c>
      <c r="I86" t="s">
        <v>15</v>
      </c>
      <c r="J86" t="s">
        <v>21</v>
      </c>
      <c r="K86" t="s">
        <v>22</v>
      </c>
      <c r="L86">
        <f>BDP($H86,"BICS_LEVEL_1_SECTOR_NAME")</f>
        <v/>
      </c>
      <c r="M86">
        <f>BDP($H86,"BICS_LEVEL_3_INDUSTRY_NAME")</f>
        <v/>
      </c>
    </row>
    <row r="87" spans="1:13">
      <c r="A87" t="s">
        <v>410</v>
      </c>
      <c r="B87" t="s">
        <v>14</v>
      </c>
      <c r="C87" t="s">
        <v>15</v>
      </c>
      <c r="D87" t="s">
        <v>411</v>
      </c>
      <c r="E87" t="s">
        <v>412</v>
      </c>
      <c r="F87" t="s">
        <v>18</v>
      </c>
      <c r="G87" t="s">
        <v>19</v>
      </c>
      <c r="H87" t="s">
        <v>413</v>
      </c>
      <c r="I87" t="s">
        <v>15</v>
      </c>
      <c r="J87" t="s">
        <v>21</v>
      </c>
      <c r="K87" t="s">
        <v>22</v>
      </c>
      <c r="L87">
        <f>BDP($H87,"BICS_LEVEL_1_SECTOR_NAME")</f>
        <v/>
      </c>
      <c r="M87">
        <f>BDP($H87,"BICS_LEVEL_3_INDUSTRY_NAME")</f>
        <v/>
      </c>
    </row>
    <row r="88" spans="1:13">
      <c r="A88" t="s">
        <v>414</v>
      </c>
      <c r="B88" t="s">
        <v>14</v>
      </c>
      <c r="C88" t="s">
        <v>15</v>
      </c>
      <c r="D88" t="s">
        <v>415</v>
      </c>
      <c r="E88" t="s">
        <v>416</v>
      </c>
      <c r="F88" t="s">
        <v>83</v>
      </c>
      <c r="G88" t="s">
        <v>84</v>
      </c>
      <c r="H88" t="s">
        <v>417</v>
      </c>
      <c r="I88" t="s">
        <v>15</v>
      </c>
      <c r="J88" t="s">
        <v>21</v>
      </c>
      <c r="K88" t="s">
        <v>22</v>
      </c>
      <c r="L88">
        <f>BDP($H88,"BICS_LEVEL_1_SECTOR_NAME")</f>
        <v/>
      </c>
      <c r="M88">
        <f>BDP($H88,"BICS_LEVEL_3_INDUSTRY_NAME")</f>
        <v/>
      </c>
    </row>
    <row r="89" spans="1:13">
      <c r="A89" t="s">
        <v>418</v>
      </c>
      <c r="B89" t="s">
        <v>14</v>
      </c>
      <c r="C89" t="s">
        <v>15</v>
      </c>
      <c r="D89" t="s">
        <v>419</v>
      </c>
      <c r="E89" t="s">
        <v>420</v>
      </c>
      <c r="F89" t="s">
        <v>26</v>
      </c>
      <c r="G89" t="s">
        <v>421</v>
      </c>
      <c r="H89" t="s">
        <v>422</v>
      </c>
      <c r="I89" t="s">
        <v>15</v>
      </c>
      <c r="J89" t="s">
        <v>21</v>
      </c>
      <c r="K89" t="s">
        <v>22</v>
      </c>
      <c r="L89">
        <f>BDP($H89,"BICS_LEVEL_1_SECTOR_NAME")</f>
        <v/>
      </c>
      <c r="M89">
        <f>BDP($H89,"BICS_LEVEL_3_INDUSTRY_NAME")</f>
        <v/>
      </c>
    </row>
    <row r="90" spans="1:13">
      <c r="A90" t="s">
        <v>423</v>
      </c>
      <c r="B90" t="s">
        <v>14</v>
      </c>
      <c r="C90" t="s">
        <v>15</v>
      </c>
      <c r="D90" t="s">
        <v>424</v>
      </c>
      <c r="E90" t="s">
        <v>425</v>
      </c>
      <c r="F90" t="s">
        <v>18</v>
      </c>
      <c r="G90" t="s">
        <v>290</v>
      </c>
      <c r="H90" t="s">
        <v>426</v>
      </c>
      <c r="I90" t="s">
        <v>15</v>
      </c>
      <c r="J90" t="s">
        <v>21</v>
      </c>
      <c r="K90" t="s">
        <v>22</v>
      </c>
      <c r="L90">
        <f>BDP($H90,"BICS_LEVEL_1_SECTOR_NAME")</f>
        <v/>
      </c>
      <c r="M90">
        <f>BDP($H90,"BICS_LEVEL_3_INDUSTRY_NAME")</f>
        <v/>
      </c>
    </row>
    <row r="91" spans="1:13">
      <c r="A91" t="s">
        <v>427</v>
      </c>
      <c r="B91" t="s">
        <v>14</v>
      </c>
      <c r="C91" t="s">
        <v>15</v>
      </c>
      <c r="D91" t="s">
        <v>428</v>
      </c>
      <c r="E91" t="s">
        <v>429</v>
      </c>
      <c r="F91" t="s">
        <v>26</v>
      </c>
      <c r="G91" t="s">
        <v>93</v>
      </c>
      <c r="H91" t="s">
        <v>430</v>
      </c>
      <c r="I91" t="s">
        <v>15</v>
      </c>
      <c r="J91" t="s">
        <v>21</v>
      </c>
      <c r="K91" t="s">
        <v>22</v>
      </c>
      <c r="L91">
        <f>BDP($H91,"BICS_LEVEL_1_SECTOR_NAME")</f>
        <v/>
      </c>
      <c r="M91">
        <f>BDP($H91,"BICS_LEVEL_3_INDUSTRY_NAME")</f>
        <v/>
      </c>
    </row>
    <row r="92" spans="1:13">
      <c r="A92" t="s">
        <v>431</v>
      </c>
      <c r="B92" t="s">
        <v>14</v>
      </c>
      <c r="C92" t="s">
        <v>15</v>
      </c>
      <c r="D92" t="s">
        <v>432</v>
      </c>
      <c r="E92" t="s">
        <v>433</v>
      </c>
      <c r="F92" t="s">
        <v>83</v>
      </c>
      <c r="G92" t="s">
        <v>84</v>
      </c>
      <c r="H92" t="s">
        <v>434</v>
      </c>
      <c r="I92" t="s">
        <v>15</v>
      </c>
      <c r="J92" t="s">
        <v>21</v>
      </c>
      <c r="K92" t="s">
        <v>22</v>
      </c>
      <c r="L92">
        <f>BDP($H92,"BICS_LEVEL_1_SECTOR_NAME")</f>
        <v/>
      </c>
      <c r="M92">
        <f>BDP($H92,"BICS_LEVEL_3_INDUSTRY_NAME")</f>
        <v/>
      </c>
    </row>
    <row r="93" spans="1:13">
      <c r="A93" t="s">
        <v>435</v>
      </c>
      <c r="B93" t="s">
        <v>14</v>
      </c>
      <c r="C93" t="s">
        <v>15</v>
      </c>
      <c r="D93" t="s">
        <v>436</v>
      </c>
      <c r="E93" t="s">
        <v>437</v>
      </c>
      <c r="F93" t="s">
        <v>26</v>
      </c>
      <c r="G93" t="s">
        <v>93</v>
      </c>
      <c r="H93" t="s">
        <v>438</v>
      </c>
      <c r="I93" t="s">
        <v>15</v>
      </c>
      <c r="J93" t="s">
        <v>21</v>
      </c>
      <c r="K93" t="s">
        <v>22</v>
      </c>
      <c r="L93">
        <f>BDP($H93,"BICS_LEVEL_1_SECTOR_NAME")</f>
        <v/>
      </c>
      <c r="M93">
        <f>BDP($H93,"BICS_LEVEL_3_INDUSTRY_NAME")</f>
        <v/>
      </c>
    </row>
    <row r="94" spans="1:13">
      <c r="A94" t="s">
        <v>439</v>
      </c>
      <c r="B94" t="s">
        <v>14</v>
      </c>
      <c r="C94" t="s">
        <v>15</v>
      </c>
      <c r="D94" t="s">
        <v>440</v>
      </c>
      <c r="E94" t="s">
        <v>441</v>
      </c>
      <c r="F94" t="s">
        <v>83</v>
      </c>
      <c r="G94" t="s">
        <v>170</v>
      </c>
      <c r="H94" t="s">
        <v>442</v>
      </c>
      <c r="I94" t="s">
        <v>15</v>
      </c>
      <c r="J94" t="s">
        <v>21</v>
      </c>
      <c r="K94" t="s">
        <v>22</v>
      </c>
      <c r="L94">
        <f>BDP($H94,"BICS_LEVEL_1_SECTOR_NAME")</f>
        <v/>
      </c>
      <c r="M94">
        <f>BDP($H94,"BICS_LEVEL_3_INDUSTRY_NAME")</f>
        <v/>
      </c>
    </row>
    <row r="95" spans="1:13">
      <c r="A95" t="s">
        <v>443</v>
      </c>
      <c r="B95" t="s">
        <v>14</v>
      </c>
      <c r="C95" t="s">
        <v>15</v>
      </c>
      <c r="D95" t="s">
        <v>444</v>
      </c>
      <c r="E95" t="s">
        <v>445</v>
      </c>
      <c r="F95" t="s">
        <v>32</v>
      </c>
      <c r="G95" t="s">
        <v>446</v>
      </c>
      <c r="H95" t="s">
        <v>447</v>
      </c>
      <c r="I95" t="s">
        <v>15</v>
      </c>
      <c r="J95" t="s">
        <v>21</v>
      </c>
      <c r="K95" t="s">
        <v>22</v>
      </c>
      <c r="L95">
        <f>BDP($H95,"BICS_LEVEL_1_SECTOR_NAME")</f>
        <v/>
      </c>
      <c r="M95">
        <f>BDP($H95,"BICS_LEVEL_3_INDUSTRY_NAME")</f>
        <v/>
      </c>
    </row>
    <row r="96" spans="1:13">
      <c r="A96" t="s">
        <v>448</v>
      </c>
      <c r="B96" t="s">
        <v>14</v>
      </c>
      <c r="C96" t="s">
        <v>15</v>
      </c>
      <c r="D96" t="s">
        <v>449</v>
      </c>
      <c r="E96" t="s">
        <v>450</v>
      </c>
      <c r="F96" t="s">
        <v>63</v>
      </c>
      <c r="G96" t="s">
        <v>451</v>
      </c>
      <c r="H96" t="s">
        <v>452</v>
      </c>
      <c r="I96" t="s">
        <v>15</v>
      </c>
      <c r="J96" t="s">
        <v>21</v>
      </c>
      <c r="K96" t="s">
        <v>22</v>
      </c>
      <c r="L96">
        <f>BDP($H96,"BICS_LEVEL_1_SECTOR_NAME")</f>
        <v/>
      </c>
      <c r="M96">
        <f>BDP($H96,"BICS_LEVEL_3_INDUSTRY_NAME")</f>
        <v/>
      </c>
    </row>
    <row r="97" spans="1:13">
      <c r="A97" t="s">
        <v>453</v>
      </c>
      <c r="B97" t="s">
        <v>14</v>
      </c>
      <c r="C97" t="s">
        <v>15</v>
      </c>
      <c r="D97" t="s">
        <v>454</v>
      </c>
      <c r="E97" t="s">
        <v>455</v>
      </c>
      <c r="F97" t="s">
        <v>18</v>
      </c>
      <c r="G97" t="s">
        <v>44</v>
      </c>
      <c r="H97" t="s">
        <v>456</v>
      </c>
      <c r="I97" t="s">
        <v>15</v>
      </c>
      <c r="J97" t="s">
        <v>21</v>
      </c>
      <c r="K97" t="s">
        <v>22</v>
      </c>
      <c r="L97">
        <f>BDP($H97,"BICS_LEVEL_1_SECTOR_NAME")</f>
        <v/>
      </c>
      <c r="M97">
        <f>BDP($H97,"BICS_LEVEL_3_INDUSTRY_NAME")</f>
        <v/>
      </c>
    </row>
    <row r="98" spans="1:13">
      <c r="A98" t="s">
        <v>457</v>
      </c>
      <c r="B98" t="s">
        <v>14</v>
      </c>
      <c r="C98" t="s">
        <v>15</v>
      </c>
      <c r="D98" t="s">
        <v>458</v>
      </c>
      <c r="E98" t="s">
        <v>459</v>
      </c>
      <c r="F98" t="s">
        <v>18</v>
      </c>
      <c r="G98" t="s">
        <v>44</v>
      </c>
      <c r="H98" t="s">
        <v>460</v>
      </c>
      <c r="I98" t="s">
        <v>15</v>
      </c>
      <c r="J98" t="s">
        <v>21</v>
      </c>
      <c r="K98" t="s">
        <v>22</v>
      </c>
      <c r="L98">
        <f>BDP($H98,"BICS_LEVEL_1_SECTOR_NAME")</f>
        <v/>
      </c>
      <c r="M98">
        <f>BDP($H98,"BICS_LEVEL_3_INDUSTRY_NAME")</f>
        <v/>
      </c>
    </row>
    <row r="99" spans="1:13">
      <c r="A99" t="s">
        <v>461</v>
      </c>
      <c r="B99" t="s">
        <v>14</v>
      </c>
      <c r="C99" t="s">
        <v>15</v>
      </c>
      <c r="D99" t="s">
        <v>462</v>
      </c>
      <c r="E99" t="s">
        <v>463</v>
      </c>
      <c r="F99" t="s">
        <v>63</v>
      </c>
      <c r="G99" t="s">
        <v>74</v>
      </c>
      <c r="H99" t="s">
        <v>464</v>
      </c>
      <c r="I99" t="s">
        <v>15</v>
      </c>
      <c r="J99" t="s">
        <v>21</v>
      </c>
      <c r="K99" t="s">
        <v>22</v>
      </c>
      <c r="L99">
        <f>BDP($H99,"BICS_LEVEL_1_SECTOR_NAME")</f>
        <v/>
      </c>
      <c r="M99">
        <f>BDP($H99,"BICS_LEVEL_3_INDUSTRY_NAME")</f>
        <v/>
      </c>
    </row>
    <row r="100" spans="1:13">
      <c r="A100" t="s">
        <v>465</v>
      </c>
      <c r="B100" t="s">
        <v>14</v>
      </c>
      <c r="C100" t="s">
        <v>15</v>
      </c>
      <c r="D100" t="s">
        <v>466</v>
      </c>
      <c r="E100" t="s">
        <v>467</v>
      </c>
      <c r="F100" t="s">
        <v>18</v>
      </c>
      <c r="G100" t="s">
        <v>44</v>
      </c>
      <c r="H100" t="s">
        <v>468</v>
      </c>
      <c r="I100" t="s">
        <v>15</v>
      </c>
      <c r="J100" t="s">
        <v>21</v>
      </c>
      <c r="K100" t="s">
        <v>22</v>
      </c>
      <c r="L100">
        <f>BDP($H100,"BICS_LEVEL_1_SECTOR_NAME")</f>
        <v/>
      </c>
      <c r="M100">
        <f>BDP($H100,"BICS_LEVEL_3_INDUSTRY_NAME")</f>
        <v/>
      </c>
    </row>
    <row r="101" spans="1:13">
      <c r="A101" t="s">
        <v>469</v>
      </c>
      <c r="B101" t="s">
        <v>14</v>
      </c>
      <c r="C101" t="s">
        <v>15</v>
      </c>
      <c r="D101" t="s">
        <v>470</v>
      </c>
      <c r="E101" t="s">
        <v>471</v>
      </c>
      <c r="F101" t="s">
        <v>32</v>
      </c>
      <c r="G101" t="s">
        <v>277</v>
      </c>
      <c r="H101" t="s">
        <v>472</v>
      </c>
      <c r="I101" t="s">
        <v>15</v>
      </c>
      <c r="J101" t="s">
        <v>21</v>
      </c>
      <c r="K101" t="s">
        <v>22</v>
      </c>
      <c r="L101">
        <f>BDP($H101,"BICS_LEVEL_1_SECTOR_NAME")</f>
        <v/>
      </c>
      <c r="M101">
        <f>BDP($H101,"BICS_LEVEL_3_INDUSTRY_NAME")</f>
        <v/>
      </c>
    </row>
    <row r="102" spans="1:13">
      <c r="A102" t="s">
        <v>473</v>
      </c>
      <c r="B102" t="s">
        <v>14</v>
      </c>
      <c r="C102" t="s">
        <v>15</v>
      </c>
      <c r="D102" t="s">
        <v>474</v>
      </c>
      <c r="E102" t="s">
        <v>475</v>
      </c>
      <c r="F102" t="s">
        <v>38</v>
      </c>
      <c r="G102" t="s">
        <v>476</v>
      </c>
      <c r="H102" t="s">
        <v>477</v>
      </c>
      <c r="I102" t="s">
        <v>15</v>
      </c>
      <c r="J102" t="s">
        <v>21</v>
      </c>
      <c r="K102" t="s">
        <v>22</v>
      </c>
      <c r="L102">
        <f>BDP($H102,"BICS_LEVEL_1_SECTOR_NAME")</f>
        <v/>
      </c>
      <c r="M102">
        <f>BDP($H102,"BICS_LEVEL_3_INDUSTRY_NAME")</f>
        <v/>
      </c>
    </row>
    <row r="103" spans="1:13">
      <c r="A103" t="s">
        <v>478</v>
      </c>
      <c r="B103" t="s">
        <v>14</v>
      </c>
      <c r="C103" t="s">
        <v>15</v>
      </c>
      <c r="D103" t="s">
        <v>479</v>
      </c>
      <c r="E103" t="s">
        <v>480</v>
      </c>
      <c r="F103" t="s">
        <v>83</v>
      </c>
      <c r="G103" t="s">
        <v>84</v>
      </c>
      <c r="H103" t="s">
        <v>481</v>
      </c>
      <c r="I103" t="s">
        <v>15</v>
      </c>
      <c r="J103" t="s">
        <v>21</v>
      </c>
      <c r="K103" t="s">
        <v>22</v>
      </c>
      <c r="L103">
        <f>BDP($H103,"BICS_LEVEL_1_SECTOR_NAME")</f>
        <v/>
      </c>
      <c r="M103">
        <f>BDP($H103,"BICS_LEVEL_3_INDUSTRY_NAME")</f>
        <v/>
      </c>
    </row>
    <row r="104" spans="1:13">
      <c r="A104" t="s">
        <v>482</v>
      </c>
      <c r="B104" t="s">
        <v>14</v>
      </c>
      <c r="C104" t="s">
        <v>15</v>
      </c>
      <c r="D104" t="s">
        <v>483</v>
      </c>
      <c r="E104" t="s">
        <v>484</v>
      </c>
      <c r="F104" t="s">
        <v>18</v>
      </c>
      <c r="G104" t="s">
        <v>44</v>
      </c>
      <c r="H104" t="s">
        <v>485</v>
      </c>
      <c r="I104" t="s">
        <v>15</v>
      </c>
      <c r="J104" t="s">
        <v>21</v>
      </c>
      <c r="K104" t="s">
        <v>22</v>
      </c>
      <c r="L104">
        <f>BDP($H104,"BICS_LEVEL_1_SECTOR_NAME")</f>
        <v/>
      </c>
      <c r="M104">
        <f>BDP($H104,"BICS_LEVEL_3_INDUSTRY_NAME")</f>
        <v/>
      </c>
    </row>
    <row r="105" spans="1:13">
      <c r="A105" t="s">
        <v>486</v>
      </c>
      <c r="B105" t="s">
        <v>14</v>
      </c>
      <c r="C105" t="s">
        <v>15</v>
      </c>
      <c r="D105" t="s">
        <v>487</v>
      </c>
      <c r="E105" t="s">
        <v>488</v>
      </c>
      <c r="F105" t="s">
        <v>18</v>
      </c>
      <c r="G105" t="s">
        <v>44</v>
      </c>
      <c r="H105" t="s">
        <v>489</v>
      </c>
      <c r="I105" t="s">
        <v>15</v>
      </c>
      <c r="J105" t="s">
        <v>21</v>
      </c>
      <c r="K105" t="s">
        <v>22</v>
      </c>
      <c r="L105">
        <f>BDP($H105,"BICS_LEVEL_1_SECTOR_NAME")</f>
        <v/>
      </c>
      <c r="M105">
        <f>BDP($H105,"BICS_LEVEL_3_INDUSTRY_NAME")</f>
        <v/>
      </c>
    </row>
    <row r="106" spans="1:13">
      <c r="A106" t="s">
        <v>490</v>
      </c>
      <c r="B106" t="s">
        <v>14</v>
      </c>
      <c r="C106" t="s">
        <v>15</v>
      </c>
      <c r="D106" t="s">
        <v>491</v>
      </c>
      <c r="E106" t="s">
        <v>492</v>
      </c>
      <c r="F106" t="s">
        <v>32</v>
      </c>
      <c r="G106" t="s">
        <v>112</v>
      </c>
      <c r="H106" t="s">
        <v>493</v>
      </c>
      <c r="I106" t="s">
        <v>15</v>
      </c>
      <c r="J106" t="s">
        <v>21</v>
      </c>
      <c r="K106" t="s">
        <v>22</v>
      </c>
      <c r="L106">
        <f>BDP($H106,"BICS_LEVEL_1_SECTOR_NAME")</f>
        <v/>
      </c>
      <c r="M106">
        <f>BDP($H106,"BICS_LEVEL_3_INDUSTRY_NAME")</f>
        <v/>
      </c>
    </row>
    <row r="107" spans="1:13">
      <c r="A107" t="s">
        <v>494</v>
      </c>
      <c r="B107" t="s">
        <v>14</v>
      </c>
      <c r="C107" t="s">
        <v>15</v>
      </c>
      <c r="D107" t="s">
        <v>495</v>
      </c>
      <c r="E107" t="s">
        <v>496</v>
      </c>
      <c r="F107" t="s">
        <v>32</v>
      </c>
      <c r="G107" t="s">
        <v>112</v>
      </c>
      <c r="H107" t="s">
        <v>497</v>
      </c>
      <c r="I107" t="s">
        <v>15</v>
      </c>
      <c r="J107" t="s">
        <v>21</v>
      </c>
      <c r="K107" t="s">
        <v>22</v>
      </c>
      <c r="L107">
        <f>BDP($H107,"BICS_LEVEL_1_SECTOR_NAME")</f>
        <v/>
      </c>
      <c r="M107">
        <f>BDP($H107,"BICS_LEVEL_3_INDUSTRY_NAME")</f>
        <v/>
      </c>
    </row>
    <row r="108" spans="1:13">
      <c r="A108" t="s">
        <v>498</v>
      </c>
      <c r="B108" t="s">
        <v>14</v>
      </c>
      <c r="C108" t="s">
        <v>15</v>
      </c>
      <c r="D108" t="s">
        <v>499</v>
      </c>
      <c r="E108" t="s">
        <v>500</v>
      </c>
      <c r="F108" t="s">
        <v>32</v>
      </c>
      <c r="G108" t="s">
        <v>112</v>
      </c>
      <c r="H108" t="s">
        <v>501</v>
      </c>
      <c r="I108" t="s">
        <v>15</v>
      </c>
      <c r="J108" t="s">
        <v>21</v>
      </c>
      <c r="K108" t="s">
        <v>22</v>
      </c>
      <c r="L108">
        <f>BDP($H108,"BICS_LEVEL_1_SECTOR_NAME")</f>
        <v/>
      </c>
      <c r="M108">
        <f>BDP($H108,"BICS_LEVEL_3_INDUSTRY_NAME")</f>
        <v/>
      </c>
    </row>
    <row r="109" spans="1:13">
      <c r="A109" t="s">
        <v>502</v>
      </c>
      <c r="B109" t="s">
        <v>14</v>
      </c>
      <c r="C109" t="s">
        <v>15</v>
      </c>
      <c r="D109" t="s">
        <v>503</v>
      </c>
      <c r="E109" t="s">
        <v>504</v>
      </c>
      <c r="F109" t="s">
        <v>83</v>
      </c>
      <c r="G109" t="s">
        <v>84</v>
      </c>
      <c r="H109" t="s">
        <v>505</v>
      </c>
      <c r="I109" t="s">
        <v>15</v>
      </c>
      <c r="J109" t="s">
        <v>21</v>
      </c>
      <c r="K109" t="s">
        <v>22</v>
      </c>
      <c r="L109">
        <f>BDP($H109,"BICS_LEVEL_1_SECTOR_NAME")</f>
        <v/>
      </c>
      <c r="M109">
        <f>BDP($H109,"BICS_LEVEL_3_INDUSTRY_NAME")</f>
        <v/>
      </c>
    </row>
    <row r="110" spans="1:13">
      <c r="A110" t="s">
        <v>506</v>
      </c>
      <c r="B110" t="s">
        <v>14</v>
      </c>
      <c r="C110" t="s">
        <v>15</v>
      </c>
      <c r="D110" t="s">
        <v>507</v>
      </c>
      <c r="E110" t="s">
        <v>508</v>
      </c>
      <c r="F110" t="s">
        <v>18</v>
      </c>
      <c r="G110" t="s">
        <v>19</v>
      </c>
      <c r="H110" t="s">
        <v>509</v>
      </c>
      <c r="I110" t="s">
        <v>15</v>
      </c>
      <c r="J110" t="s">
        <v>21</v>
      </c>
      <c r="K110" t="s">
        <v>22</v>
      </c>
      <c r="L110">
        <f>BDP($H110,"BICS_LEVEL_1_SECTOR_NAME")</f>
        <v/>
      </c>
      <c r="M110">
        <f>BDP($H110,"BICS_LEVEL_3_INDUSTRY_NAME")</f>
        <v/>
      </c>
    </row>
    <row r="111" spans="1:13">
      <c r="A111" t="s">
        <v>510</v>
      </c>
      <c r="B111" t="s">
        <v>14</v>
      </c>
      <c r="C111" t="s">
        <v>15</v>
      </c>
      <c r="D111" t="s">
        <v>511</v>
      </c>
      <c r="E111" t="s">
        <v>512</v>
      </c>
      <c r="F111" t="s">
        <v>38</v>
      </c>
      <c r="G111" t="s">
        <v>513</v>
      </c>
      <c r="H111" t="s">
        <v>514</v>
      </c>
      <c r="I111" t="s">
        <v>15</v>
      </c>
      <c r="J111" t="s">
        <v>21</v>
      </c>
      <c r="K111" t="s">
        <v>22</v>
      </c>
      <c r="L111">
        <f>BDP($H111,"BICS_LEVEL_1_SECTOR_NAME")</f>
        <v/>
      </c>
      <c r="M111">
        <f>BDP($H111,"BICS_LEVEL_3_INDUSTRY_NAME")</f>
        <v/>
      </c>
    </row>
    <row r="112" spans="1:13">
      <c r="A112" t="s">
        <v>515</v>
      </c>
      <c r="B112" t="s">
        <v>14</v>
      </c>
      <c r="C112" t="s">
        <v>15</v>
      </c>
      <c r="D112" t="s">
        <v>516</v>
      </c>
      <c r="E112" t="s">
        <v>517</v>
      </c>
      <c r="F112" t="s">
        <v>83</v>
      </c>
      <c r="G112" t="s">
        <v>84</v>
      </c>
      <c r="H112" t="s">
        <v>518</v>
      </c>
      <c r="I112" t="s">
        <v>15</v>
      </c>
      <c r="J112" t="s">
        <v>21</v>
      </c>
      <c r="K112" t="s">
        <v>22</v>
      </c>
      <c r="L112">
        <f>BDP($H112,"BICS_LEVEL_1_SECTOR_NAME")</f>
        <v/>
      </c>
      <c r="M112">
        <f>BDP($H112,"BICS_LEVEL_3_INDUSTRY_NAME")</f>
        <v/>
      </c>
    </row>
    <row r="113" spans="1:13">
      <c r="A113" t="s">
        <v>519</v>
      </c>
      <c r="B113" t="s">
        <v>14</v>
      </c>
      <c r="C113" t="s">
        <v>15</v>
      </c>
      <c r="D113" t="s">
        <v>520</v>
      </c>
      <c r="E113" t="s">
        <v>521</v>
      </c>
      <c r="F113" t="s">
        <v>18</v>
      </c>
      <c r="G113" t="s">
        <v>290</v>
      </c>
      <c r="H113" t="s">
        <v>522</v>
      </c>
      <c r="I113" t="s">
        <v>15</v>
      </c>
      <c r="J113" t="s">
        <v>21</v>
      </c>
      <c r="K113" t="s">
        <v>22</v>
      </c>
      <c r="L113">
        <f>BDP($H113,"BICS_LEVEL_1_SECTOR_NAME")</f>
        <v/>
      </c>
      <c r="M113">
        <f>BDP($H113,"BICS_LEVEL_3_INDUSTRY_NAME")</f>
        <v/>
      </c>
    </row>
    <row r="114" spans="1:13">
      <c r="A114" t="s">
        <v>523</v>
      </c>
      <c r="B114" t="s">
        <v>14</v>
      </c>
      <c r="C114" t="s">
        <v>15</v>
      </c>
      <c r="D114" t="s">
        <v>524</v>
      </c>
      <c r="E114" t="s">
        <v>525</v>
      </c>
      <c r="F114" t="s">
        <v>83</v>
      </c>
      <c r="G114" t="s">
        <v>84</v>
      </c>
      <c r="H114" t="s">
        <v>526</v>
      </c>
      <c r="I114" t="s">
        <v>15</v>
      </c>
      <c r="J114" t="s">
        <v>21</v>
      </c>
      <c r="K114" t="s">
        <v>22</v>
      </c>
      <c r="L114">
        <f>BDP($H114,"BICS_LEVEL_1_SECTOR_NAME")</f>
        <v/>
      </c>
      <c r="M114">
        <f>BDP($H114,"BICS_LEVEL_3_INDUSTRY_NAME")</f>
        <v/>
      </c>
    </row>
    <row r="115" spans="1:13">
      <c r="A115" t="s">
        <v>527</v>
      </c>
      <c r="B115" t="s">
        <v>14</v>
      </c>
      <c r="C115" t="s">
        <v>15</v>
      </c>
      <c r="D115" t="s">
        <v>528</v>
      </c>
      <c r="E115" t="s">
        <v>529</v>
      </c>
      <c r="F115" t="s">
        <v>18</v>
      </c>
      <c r="G115" t="s">
        <v>44</v>
      </c>
      <c r="H115" t="s">
        <v>530</v>
      </c>
      <c r="I115" t="s">
        <v>15</v>
      </c>
      <c r="J115" t="s">
        <v>21</v>
      </c>
      <c r="K115" t="s">
        <v>22</v>
      </c>
      <c r="L115">
        <f>BDP($H115,"BICS_LEVEL_1_SECTOR_NAME")</f>
        <v/>
      </c>
      <c r="M115">
        <f>BDP($H115,"BICS_LEVEL_3_INDUSTRY_NAME")</f>
        <v/>
      </c>
    </row>
    <row r="116" spans="1:13">
      <c r="A116" t="s">
        <v>531</v>
      </c>
      <c r="B116" t="s">
        <v>14</v>
      </c>
      <c r="C116" t="s">
        <v>15</v>
      </c>
      <c r="D116" t="s">
        <v>532</v>
      </c>
      <c r="E116" t="s">
        <v>533</v>
      </c>
      <c r="F116" t="s">
        <v>83</v>
      </c>
      <c r="G116" t="s">
        <v>84</v>
      </c>
      <c r="H116" t="s">
        <v>534</v>
      </c>
      <c r="I116" t="s">
        <v>15</v>
      </c>
      <c r="J116" t="s">
        <v>21</v>
      </c>
      <c r="K116" t="s">
        <v>22</v>
      </c>
      <c r="L116">
        <f>BDP($H116,"BICS_LEVEL_1_SECTOR_NAME")</f>
        <v/>
      </c>
      <c r="M116">
        <f>BDP($H116,"BICS_LEVEL_3_INDUSTRY_NAME")</f>
        <v/>
      </c>
    </row>
    <row r="117" spans="1:13">
      <c r="A117" t="s">
        <v>535</v>
      </c>
      <c r="B117" t="s">
        <v>14</v>
      </c>
      <c r="C117" t="s">
        <v>15</v>
      </c>
      <c r="D117" t="s">
        <v>536</v>
      </c>
      <c r="E117" t="s">
        <v>537</v>
      </c>
      <c r="F117" t="s">
        <v>83</v>
      </c>
      <c r="G117" t="s">
        <v>84</v>
      </c>
      <c r="H117" t="s">
        <v>538</v>
      </c>
      <c r="I117" t="s">
        <v>15</v>
      </c>
      <c r="J117" t="s">
        <v>21</v>
      </c>
      <c r="K117" t="s">
        <v>22</v>
      </c>
      <c r="L117">
        <f>BDP($H117,"BICS_LEVEL_1_SECTOR_NAME")</f>
        <v/>
      </c>
      <c r="M117">
        <f>BDP($H117,"BICS_LEVEL_3_INDUSTRY_NAME")</f>
        <v/>
      </c>
    </row>
    <row r="118" spans="1:13">
      <c r="A118" t="s">
        <v>539</v>
      </c>
      <c r="B118" t="s">
        <v>14</v>
      </c>
      <c r="C118" t="s">
        <v>15</v>
      </c>
      <c r="D118" t="s">
        <v>540</v>
      </c>
      <c r="E118" t="s">
        <v>541</v>
      </c>
      <c r="F118" t="s">
        <v>63</v>
      </c>
      <c r="G118" t="s">
        <v>74</v>
      </c>
      <c r="H118" t="s">
        <v>542</v>
      </c>
      <c r="I118" t="s">
        <v>15</v>
      </c>
      <c r="J118" t="s">
        <v>21</v>
      </c>
      <c r="K118" t="s">
        <v>22</v>
      </c>
      <c r="L118">
        <f>BDP($H118,"BICS_LEVEL_1_SECTOR_NAME")</f>
        <v/>
      </c>
      <c r="M118">
        <f>BDP($H118,"BICS_LEVEL_3_INDUSTRY_NAME")</f>
        <v/>
      </c>
    </row>
    <row r="119" spans="1:13">
      <c r="A119" t="s">
        <v>543</v>
      </c>
      <c r="B119" t="s">
        <v>14</v>
      </c>
      <c r="C119" t="s">
        <v>15</v>
      </c>
      <c r="D119" t="s">
        <v>544</v>
      </c>
      <c r="E119" t="s">
        <v>545</v>
      </c>
      <c r="F119" t="s">
        <v>38</v>
      </c>
      <c r="G119" t="s">
        <v>476</v>
      </c>
      <c r="H119" t="s">
        <v>546</v>
      </c>
      <c r="I119" t="s">
        <v>15</v>
      </c>
      <c r="J119" t="s">
        <v>21</v>
      </c>
      <c r="K119" t="s">
        <v>22</v>
      </c>
      <c r="L119">
        <f>BDP($H119,"BICS_LEVEL_1_SECTOR_NAME")</f>
        <v/>
      </c>
      <c r="M119">
        <f>BDP($H119,"BICS_LEVEL_3_INDUSTRY_NAME")</f>
        <v/>
      </c>
    </row>
    <row r="120" spans="1:13">
      <c r="A120" t="s">
        <v>547</v>
      </c>
      <c r="B120" t="s">
        <v>14</v>
      </c>
      <c r="C120" t="s">
        <v>15</v>
      </c>
      <c r="D120" t="s">
        <v>548</v>
      </c>
      <c r="E120" t="s">
        <v>549</v>
      </c>
      <c r="F120" t="s">
        <v>83</v>
      </c>
      <c r="G120" t="s">
        <v>170</v>
      </c>
      <c r="H120" t="s">
        <v>550</v>
      </c>
      <c r="I120" t="s">
        <v>15</v>
      </c>
      <c r="J120" t="s">
        <v>21</v>
      </c>
      <c r="K120" t="s">
        <v>22</v>
      </c>
      <c r="L120">
        <f>BDP($H120,"BICS_LEVEL_1_SECTOR_NAME")</f>
        <v/>
      </c>
      <c r="M120">
        <f>BDP($H120,"BICS_LEVEL_3_INDUSTRY_NAME")</f>
        <v/>
      </c>
    </row>
    <row r="121" spans="1:13">
      <c r="A121" t="s">
        <v>551</v>
      </c>
      <c r="B121" t="s">
        <v>14</v>
      </c>
      <c r="C121" t="s">
        <v>15</v>
      </c>
      <c r="D121" t="s">
        <v>552</v>
      </c>
      <c r="E121" t="s">
        <v>553</v>
      </c>
      <c r="F121" t="s">
        <v>18</v>
      </c>
      <c r="G121" t="s">
        <v>290</v>
      </c>
      <c r="H121" t="s">
        <v>554</v>
      </c>
      <c r="I121" t="s">
        <v>15</v>
      </c>
      <c r="J121" t="s">
        <v>21</v>
      </c>
      <c r="K121" t="s">
        <v>22</v>
      </c>
      <c r="L121">
        <f>BDP($H121,"BICS_LEVEL_1_SECTOR_NAME")</f>
        <v/>
      </c>
      <c r="M121">
        <f>BDP($H121,"BICS_LEVEL_3_INDUSTRY_NAME")</f>
        <v/>
      </c>
    </row>
    <row r="122" spans="1:13">
      <c r="A122" t="s">
        <v>555</v>
      </c>
      <c r="B122" t="s">
        <v>14</v>
      </c>
      <c r="C122" t="s">
        <v>15</v>
      </c>
      <c r="D122" t="s">
        <v>556</v>
      </c>
      <c r="E122" t="s">
        <v>557</v>
      </c>
      <c r="F122" t="s">
        <v>83</v>
      </c>
      <c r="G122" t="s">
        <v>151</v>
      </c>
      <c r="H122" t="s">
        <v>558</v>
      </c>
      <c r="I122" t="s">
        <v>15</v>
      </c>
      <c r="J122" t="s">
        <v>21</v>
      </c>
      <c r="K122" t="s">
        <v>22</v>
      </c>
      <c r="L122">
        <f>BDP($H122,"BICS_LEVEL_1_SECTOR_NAME")</f>
        <v/>
      </c>
      <c r="M122">
        <f>BDP($H122,"BICS_LEVEL_3_INDUSTRY_NAME")</f>
        <v/>
      </c>
    </row>
    <row r="123" spans="1:13">
      <c r="A123" t="s">
        <v>559</v>
      </c>
      <c r="B123" t="s">
        <v>14</v>
      </c>
      <c r="C123" t="s">
        <v>15</v>
      </c>
      <c r="D123" t="s">
        <v>560</v>
      </c>
      <c r="E123" t="s">
        <v>561</v>
      </c>
      <c r="F123" t="s">
        <v>26</v>
      </c>
      <c r="G123" t="s">
        <v>562</v>
      </c>
      <c r="H123" t="s">
        <v>563</v>
      </c>
      <c r="I123" t="s">
        <v>15</v>
      </c>
      <c r="J123" t="s">
        <v>21</v>
      </c>
      <c r="K123" t="s">
        <v>22</v>
      </c>
      <c r="L123">
        <f>BDP($H123,"BICS_LEVEL_1_SECTOR_NAME")</f>
        <v/>
      </c>
      <c r="M123">
        <f>BDP($H123,"BICS_LEVEL_3_INDUSTRY_NAME")</f>
        <v/>
      </c>
    </row>
    <row r="124" spans="1:13">
      <c r="A124" t="s">
        <v>564</v>
      </c>
      <c r="B124" t="s">
        <v>14</v>
      </c>
      <c r="C124" t="s">
        <v>15</v>
      </c>
      <c r="D124" t="s">
        <v>565</v>
      </c>
      <c r="E124" t="s">
        <v>566</v>
      </c>
      <c r="F124" t="s">
        <v>567</v>
      </c>
      <c r="G124" t="s">
        <v>568</v>
      </c>
      <c r="H124" t="s">
        <v>569</v>
      </c>
      <c r="I124" t="s">
        <v>15</v>
      </c>
      <c r="J124" t="s">
        <v>21</v>
      </c>
      <c r="K124" t="s">
        <v>22</v>
      </c>
      <c r="L124">
        <f>BDP($H124,"BICS_LEVEL_1_SECTOR_NAME")</f>
        <v/>
      </c>
      <c r="M124">
        <f>BDP($H124,"BICS_LEVEL_3_INDUSTRY_NAME")</f>
        <v/>
      </c>
    </row>
    <row r="125" spans="1:13">
      <c r="A125" t="s">
        <v>570</v>
      </c>
      <c r="B125" t="s">
        <v>14</v>
      </c>
      <c r="C125" t="s">
        <v>15</v>
      </c>
      <c r="D125" t="s">
        <v>571</v>
      </c>
      <c r="E125" t="s">
        <v>572</v>
      </c>
      <c r="F125" t="s">
        <v>18</v>
      </c>
      <c r="G125" t="s">
        <v>44</v>
      </c>
      <c r="H125" t="s">
        <v>573</v>
      </c>
      <c r="I125" t="s">
        <v>15</v>
      </c>
      <c r="J125" t="s">
        <v>21</v>
      </c>
      <c r="K125" t="s">
        <v>22</v>
      </c>
      <c r="L125">
        <f>BDP($H125,"BICS_LEVEL_1_SECTOR_NAME")</f>
        <v/>
      </c>
      <c r="M125">
        <f>BDP($H125,"BICS_LEVEL_3_INDUSTRY_NAME")</f>
        <v/>
      </c>
    </row>
    <row r="126" spans="1:13">
      <c r="A126" t="s">
        <v>574</v>
      </c>
      <c r="B126" t="s">
        <v>14</v>
      </c>
      <c r="C126" t="s">
        <v>15</v>
      </c>
      <c r="D126" t="s">
        <v>575</v>
      </c>
      <c r="E126" t="s">
        <v>576</v>
      </c>
      <c r="F126" t="s">
        <v>32</v>
      </c>
      <c r="G126" t="s">
        <v>577</v>
      </c>
      <c r="H126" t="s">
        <v>578</v>
      </c>
      <c r="I126" t="s">
        <v>15</v>
      </c>
      <c r="J126" t="s">
        <v>21</v>
      </c>
      <c r="K126" t="s">
        <v>22</v>
      </c>
      <c r="L126">
        <f>BDP($H126,"BICS_LEVEL_1_SECTOR_NAME")</f>
        <v/>
      </c>
      <c r="M126">
        <f>BDP($H126,"BICS_LEVEL_3_INDUSTRY_NAME")</f>
        <v/>
      </c>
    </row>
    <row r="127" spans="1:13">
      <c r="A127" t="s">
        <v>579</v>
      </c>
      <c r="B127" t="s">
        <v>14</v>
      </c>
      <c r="C127" t="s">
        <v>15</v>
      </c>
      <c r="D127" t="s">
        <v>580</v>
      </c>
      <c r="E127" t="s">
        <v>581</v>
      </c>
      <c r="F127" t="s">
        <v>567</v>
      </c>
      <c r="G127" t="s">
        <v>582</v>
      </c>
      <c r="H127" t="s">
        <v>583</v>
      </c>
      <c r="I127" t="s">
        <v>15</v>
      </c>
      <c r="J127" t="s">
        <v>21</v>
      </c>
      <c r="K127" t="s">
        <v>22</v>
      </c>
      <c r="L127">
        <f>BDP($H127,"BICS_LEVEL_1_SECTOR_NAME")</f>
        <v/>
      </c>
      <c r="M127">
        <f>BDP($H127,"BICS_LEVEL_3_INDUSTRY_NAME")</f>
        <v/>
      </c>
    </row>
    <row r="128" spans="1:13">
      <c r="A128" t="s">
        <v>584</v>
      </c>
      <c r="B128" t="s">
        <v>14</v>
      </c>
      <c r="C128" t="s">
        <v>15</v>
      </c>
      <c r="D128" t="s">
        <v>585</v>
      </c>
      <c r="E128" t="s">
        <v>586</v>
      </c>
      <c r="F128" t="s">
        <v>18</v>
      </c>
      <c r="G128" t="s">
        <v>44</v>
      </c>
      <c r="H128" t="s">
        <v>587</v>
      </c>
      <c r="I128" t="s">
        <v>15</v>
      </c>
      <c r="J128" t="s">
        <v>21</v>
      </c>
      <c r="K128" t="s">
        <v>22</v>
      </c>
      <c r="L128">
        <f>BDP($H128,"BICS_LEVEL_1_SECTOR_NAME")</f>
        <v/>
      </c>
      <c r="M128">
        <f>BDP($H128,"BICS_LEVEL_3_INDUSTRY_NAME")</f>
        <v/>
      </c>
    </row>
    <row r="129" spans="1:13">
      <c r="A129" t="s">
        <v>588</v>
      </c>
      <c r="B129" t="s">
        <v>14</v>
      </c>
      <c r="C129" t="s">
        <v>15</v>
      </c>
      <c r="D129" t="s">
        <v>589</v>
      </c>
      <c r="E129" t="s">
        <v>590</v>
      </c>
      <c r="F129" t="s">
        <v>26</v>
      </c>
      <c r="G129" t="s">
        <v>591</v>
      </c>
      <c r="H129" t="s">
        <v>592</v>
      </c>
      <c r="I129" t="s">
        <v>15</v>
      </c>
      <c r="J129" t="s">
        <v>21</v>
      </c>
      <c r="K129" t="s">
        <v>22</v>
      </c>
      <c r="L129">
        <f>BDP($H129,"BICS_LEVEL_1_SECTOR_NAME")</f>
        <v/>
      </c>
      <c r="M129">
        <f>BDP($H129,"BICS_LEVEL_3_INDUSTRY_NAME")</f>
        <v/>
      </c>
    </row>
    <row r="130" spans="1:13">
      <c r="A130" t="s">
        <v>593</v>
      </c>
      <c r="B130" t="s">
        <v>14</v>
      </c>
      <c r="C130" t="s">
        <v>15</v>
      </c>
      <c r="D130" t="s">
        <v>594</v>
      </c>
      <c r="E130" t="s">
        <v>595</v>
      </c>
      <c r="F130" t="s">
        <v>18</v>
      </c>
      <c r="G130" t="s">
        <v>290</v>
      </c>
      <c r="H130" t="s">
        <v>596</v>
      </c>
      <c r="I130" t="s">
        <v>15</v>
      </c>
      <c r="J130" t="s">
        <v>21</v>
      </c>
      <c r="K130" t="s">
        <v>22</v>
      </c>
      <c r="L130">
        <f>BDP($H130,"BICS_LEVEL_1_SECTOR_NAME")</f>
        <v/>
      </c>
      <c r="M130">
        <f>BDP($H130,"BICS_LEVEL_3_INDUSTRY_NAME")</f>
        <v/>
      </c>
    </row>
    <row r="131" spans="1:13">
      <c r="A131" t="s">
        <v>597</v>
      </c>
      <c r="B131" t="s">
        <v>14</v>
      </c>
      <c r="C131" t="s">
        <v>15</v>
      </c>
      <c r="D131" t="s">
        <v>598</v>
      </c>
      <c r="E131" t="s">
        <v>599</v>
      </c>
      <c r="F131" t="s">
        <v>26</v>
      </c>
      <c r="G131" t="s">
        <v>600</v>
      </c>
      <c r="H131" t="s">
        <v>601</v>
      </c>
      <c r="I131" t="s">
        <v>15</v>
      </c>
      <c r="J131" t="s">
        <v>21</v>
      </c>
      <c r="K131" t="s">
        <v>22</v>
      </c>
      <c r="L131">
        <f>BDP($H131,"BICS_LEVEL_1_SECTOR_NAME")</f>
        <v/>
      </c>
      <c r="M131">
        <f>BDP($H131,"BICS_LEVEL_3_INDUSTRY_NAME")</f>
        <v/>
      </c>
    </row>
    <row r="132" spans="1:13">
      <c r="A132" t="s">
        <v>602</v>
      </c>
      <c r="B132" t="s">
        <v>14</v>
      </c>
      <c r="C132" t="s">
        <v>15</v>
      </c>
      <c r="D132" t="s">
        <v>603</v>
      </c>
      <c r="E132" t="s">
        <v>604</v>
      </c>
      <c r="F132" t="s">
        <v>18</v>
      </c>
      <c r="G132" t="s">
        <v>44</v>
      </c>
      <c r="H132" t="s">
        <v>605</v>
      </c>
      <c r="I132" t="s">
        <v>15</v>
      </c>
      <c r="J132" t="s">
        <v>21</v>
      </c>
      <c r="K132" t="s">
        <v>22</v>
      </c>
      <c r="L132">
        <f>BDP($H132,"BICS_LEVEL_1_SECTOR_NAME")</f>
        <v/>
      </c>
      <c r="M132">
        <f>BDP($H132,"BICS_LEVEL_3_INDUSTRY_NAME")</f>
        <v/>
      </c>
    </row>
    <row r="133" spans="1:13">
      <c r="A133" t="s">
        <v>606</v>
      </c>
      <c r="B133" t="s">
        <v>14</v>
      </c>
      <c r="C133" t="s">
        <v>15</v>
      </c>
      <c r="D133" t="s">
        <v>607</v>
      </c>
      <c r="E133" t="s">
        <v>608</v>
      </c>
      <c r="F133" t="s">
        <v>18</v>
      </c>
      <c r="G133" t="s">
        <v>404</v>
      </c>
      <c r="H133" t="s">
        <v>609</v>
      </c>
      <c r="I133" t="s">
        <v>15</v>
      </c>
      <c r="J133" t="s">
        <v>21</v>
      </c>
      <c r="K133" t="s">
        <v>22</v>
      </c>
      <c r="L133">
        <f>BDP($H133,"BICS_LEVEL_1_SECTOR_NAME")</f>
        <v/>
      </c>
      <c r="M133">
        <f>BDP($H133,"BICS_LEVEL_3_INDUSTRY_NAME")</f>
        <v/>
      </c>
    </row>
    <row r="134" spans="1:13">
      <c r="A134" t="s">
        <v>610</v>
      </c>
      <c r="B134" t="s">
        <v>14</v>
      </c>
      <c r="C134" t="s">
        <v>15</v>
      </c>
      <c r="D134" t="s">
        <v>611</v>
      </c>
      <c r="E134" t="s">
        <v>612</v>
      </c>
      <c r="F134" t="s">
        <v>32</v>
      </c>
      <c r="G134" t="s">
        <v>613</v>
      </c>
      <c r="H134" t="s">
        <v>614</v>
      </c>
      <c r="I134" t="s">
        <v>15</v>
      </c>
      <c r="J134" t="s">
        <v>21</v>
      </c>
      <c r="K134" t="s">
        <v>22</v>
      </c>
      <c r="L134">
        <f>BDP($H134,"BICS_LEVEL_1_SECTOR_NAME")</f>
        <v/>
      </c>
      <c r="M134">
        <f>BDP($H134,"BICS_LEVEL_3_INDUSTRY_NAME")</f>
        <v/>
      </c>
    </row>
    <row r="135" spans="1:13">
      <c r="A135" t="s">
        <v>615</v>
      </c>
      <c r="B135" t="s">
        <v>14</v>
      </c>
      <c r="C135" t="s">
        <v>15</v>
      </c>
      <c r="D135" t="s">
        <v>616</v>
      </c>
      <c r="E135" t="s">
        <v>617</v>
      </c>
      <c r="F135" t="s">
        <v>18</v>
      </c>
      <c r="G135" t="s">
        <v>44</v>
      </c>
      <c r="H135" t="s">
        <v>618</v>
      </c>
      <c r="I135" t="s">
        <v>15</v>
      </c>
      <c r="J135" t="s">
        <v>21</v>
      </c>
      <c r="K135" t="s">
        <v>22</v>
      </c>
      <c r="L135">
        <f>BDP($H135,"BICS_LEVEL_1_SECTOR_NAME")</f>
        <v/>
      </c>
      <c r="M135">
        <f>BDP($H135,"BICS_LEVEL_3_INDUSTRY_NAME")</f>
        <v/>
      </c>
    </row>
    <row r="136" spans="1:13">
      <c r="A136" t="s">
        <v>619</v>
      </c>
      <c r="B136" t="s">
        <v>14</v>
      </c>
      <c r="C136" t="s">
        <v>15</v>
      </c>
      <c r="D136" t="s">
        <v>620</v>
      </c>
      <c r="E136" t="s">
        <v>621</v>
      </c>
      <c r="F136" t="s">
        <v>26</v>
      </c>
      <c r="G136" t="s">
        <v>421</v>
      </c>
      <c r="H136" t="s">
        <v>622</v>
      </c>
      <c r="I136" t="s">
        <v>15</v>
      </c>
      <c r="J136" t="s">
        <v>21</v>
      </c>
      <c r="K136" t="s">
        <v>22</v>
      </c>
      <c r="L136">
        <f>BDP($H136,"BICS_LEVEL_1_SECTOR_NAME")</f>
        <v/>
      </c>
      <c r="M136">
        <f>BDP($H136,"BICS_LEVEL_3_INDUSTRY_NAME")</f>
        <v/>
      </c>
    </row>
    <row r="137" spans="1:13">
      <c r="A137" t="s">
        <v>623</v>
      </c>
      <c r="B137" t="s">
        <v>14</v>
      </c>
      <c r="C137" t="s">
        <v>15</v>
      </c>
      <c r="D137" t="s">
        <v>624</v>
      </c>
      <c r="E137" t="s">
        <v>625</v>
      </c>
      <c r="F137" t="s">
        <v>18</v>
      </c>
      <c r="G137" t="s">
        <v>44</v>
      </c>
      <c r="H137" t="s">
        <v>626</v>
      </c>
      <c r="I137" t="s">
        <v>15</v>
      </c>
      <c r="J137" t="s">
        <v>21</v>
      </c>
      <c r="K137" t="s">
        <v>22</v>
      </c>
      <c r="L137">
        <f>BDP($H137,"BICS_LEVEL_1_SECTOR_NAME")</f>
        <v/>
      </c>
      <c r="M137">
        <f>BDP($H137,"BICS_LEVEL_3_INDUSTRY_NAME")</f>
        <v/>
      </c>
    </row>
    <row r="138" spans="1:13">
      <c r="A138" t="s">
        <v>627</v>
      </c>
      <c r="B138" t="s">
        <v>14</v>
      </c>
      <c r="C138" t="s">
        <v>15</v>
      </c>
      <c r="D138" t="s">
        <v>628</v>
      </c>
      <c r="E138" t="s">
        <v>629</v>
      </c>
      <c r="F138" t="s">
        <v>26</v>
      </c>
      <c r="G138" t="s">
        <v>630</v>
      </c>
      <c r="H138" t="s">
        <v>631</v>
      </c>
      <c r="I138" t="s">
        <v>15</v>
      </c>
      <c r="J138" t="s">
        <v>21</v>
      </c>
      <c r="K138" t="s">
        <v>22</v>
      </c>
      <c r="L138">
        <f>BDP($H138,"BICS_LEVEL_1_SECTOR_NAME")</f>
        <v/>
      </c>
      <c r="M138">
        <f>BDP($H138,"BICS_LEVEL_3_INDUSTRY_NAME")</f>
        <v/>
      </c>
    </row>
    <row r="139" spans="1:13">
      <c r="A139" t="s">
        <v>632</v>
      </c>
      <c r="B139" t="s">
        <v>14</v>
      </c>
      <c r="C139" t="s">
        <v>15</v>
      </c>
      <c r="D139" t="s">
        <v>633</v>
      </c>
      <c r="E139" t="s">
        <v>634</v>
      </c>
      <c r="F139" t="s">
        <v>26</v>
      </c>
      <c r="G139" t="s">
        <v>93</v>
      </c>
      <c r="H139" t="s">
        <v>635</v>
      </c>
      <c r="I139" t="s">
        <v>15</v>
      </c>
      <c r="J139" t="s">
        <v>21</v>
      </c>
      <c r="K139" t="s">
        <v>22</v>
      </c>
      <c r="L139">
        <f>BDP($H139,"BICS_LEVEL_1_SECTOR_NAME")</f>
        <v/>
      </c>
      <c r="M139">
        <f>BDP($H139,"BICS_LEVEL_3_INDUSTRY_NAME")</f>
        <v/>
      </c>
    </row>
    <row r="140" spans="1:13">
      <c r="A140" t="s">
        <v>636</v>
      </c>
      <c r="B140" t="s">
        <v>14</v>
      </c>
      <c r="C140" t="s">
        <v>15</v>
      </c>
      <c r="D140" t="s">
        <v>637</v>
      </c>
      <c r="E140" t="s">
        <v>638</v>
      </c>
      <c r="F140" t="s">
        <v>83</v>
      </c>
      <c r="G140" t="s">
        <v>184</v>
      </c>
      <c r="H140" t="s">
        <v>639</v>
      </c>
      <c r="I140" t="s">
        <v>15</v>
      </c>
      <c r="J140" t="s">
        <v>21</v>
      </c>
      <c r="K140" t="s">
        <v>22</v>
      </c>
      <c r="L140">
        <f>BDP($H140,"BICS_LEVEL_1_SECTOR_NAME")</f>
        <v/>
      </c>
      <c r="M140">
        <f>BDP($H140,"BICS_LEVEL_3_INDUSTRY_NAME")</f>
        <v/>
      </c>
    </row>
    <row r="141" spans="1:13">
      <c r="A141" t="s">
        <v>640</v>
      </c>
      <c r="B141" t="s">
        <v>14</v>
      </c>
      <c r="C141" t="s">
        <v>15</v>
      </c>
      <c r="D141" t="s">
        <v>641</v>
      </c>
      <c r="E141" t="s">
        <v>642</v>
      </c>
      <c r="F141" t="s">
        <v>26</v>
      </c>
      <c r="G141" t="s">
        <v>33</v>
      </c>
      <c r="H141" t="s">
        <v>643</v>
      </c>
      <c r="I141" t="s">
        <v>15</v>
      </c>
      <c r="J141" t="s">
        <v>21</v>
      </c>
      <c r="K141" t="s">
        <v>22</v>
      </c>
      <c r="L141">
        <f>BDP($H141,"BICS_LEVEL_1_SECTOR_NAME")</f>
        <v/>
      </c>
      <c r="M141">
        <f>BDP($H141,"BICS_LEVEL_3_INDUSTRY_NAME")</f>
        <v/>
      </c>
    </row>
    <row r="142" spans="1:13">
      <c r="A142" t="s">
        <v>644</v>
      </c>
      <c r="B142" t="s">
        <v>14</v>
      </c>
      <c r="C142" t="s">
        <v>15</v>
      </c>
      <c r="D142" t="s">
        <v>645</v>
      </c>
      <c r="E142" t="s">
        <v>646</v>
      </c>
      <c r="F142" t="s">
        <v>18</v>
      </c>
      <c r="G142" t="s">
        <v>137</v>
      </c>
      <c r="H142" t="s">
        <v>647</v>
      </c>
      <c r="I142" t="s">
        <v>15</v>
      </c>
      <c r="J142" t="s">
        <v>21</v>
      </c>
      <c r="K142" t="s">
        <v>22</v>
      </c>
      <c r="L142">
        <f>BDP($H142,"BICS_LEVEL_1_SECTOR_NAME")</f>
        <v/>
      </c>
      <c r="M142">
        <f>BDP($H142,"BICS_LEVEL_3_INDUSTRY_NAME")</f>
        <v/>
      </c>
    </row>
    <row r="143" spans="1:13">
      <c r="A143" t="s">
        <v>648</v>
      </c>
      <c r="B143" t="s">
        <v>14</v>
      </c>
      <c r="C143" t="s">
        <v>15</v>
      </c>
      <c r="D143" t="s">
        <v>649</v>
      </c>
      <c r="E143" t="s">
        <v>650</v>
      </c>
      <c r="F143" t="s">
        <v>18</v>
      </c>
      <c r="G143" t="s">
        <v>137</v>
      </c>
      <c r="H143" t="s">
        <v>651</v>
      </c>
      <c r="I143" t="s">
        <v>15</v>
      </c>
      <c r="J143" t="s">
        <v>21</v>
      </c>
      <c r="K143" t="s">
        <v>22</v>
      </c>
      <c r="L143">
        <f>BDP($H143,"BICS_LEVEL_1_SECTOR_NAME")</f>
        <v/>
      </c>
      <c r="M143">
        <f>BDP($H143,"BICS_LEVEL_3_INDUSTRY_NAME")</f>
        <v/>
      </c>
    </row>
    <row r="144" spans="1:13">
      <c r="A144" t="s">
        <v>652</v>
      </c>
      <c r="B144" t="s">
        <v>14</v>
      </c>
      <c r="C144" t="s">
        <v>15</v>
      </c>
      <c r="D144" t="s">
        <v>653</v>
      </c>
      <c r="E144" t="s">
        <v>654</v>
      </c>
      <c r="F144" t="s">
        <v>83</v>
      </c>
      <c r="G144" t="s">
        <v>655</v>
      </c>
      <c r="H144" t="s">
        <v>656</v>
      </c>
      <c r="I144" t="s">
        <v>15</v>
      </c>
      <c r="J144" t="s">
        <v>21</v>
      </c>
      <c r="K144" t="s">
        <v>22</v>
      </c>
      <c r="L144">
        <f>BDP($H144,"BICS_LEVEL_1_SECTOR_NAME")</f>
        <v/>
      </c>
      <c r="M144">
        <f>BDP($H144,"BICS_LEVEL_3_INDUSTRY_NAME")</f>
        <v/>
      </c>
    </row>
    <row r="145" spans="1:13">
      <c r="A145" t="s">
        <v>657</v>
      </c>
      <c r="B145" t="s">
        <v>14</v>
      </c>
      <c r="C145" t="s">
        <v>15</v>
      </c>
      <c r="D145" t="s">
        <v>658</v>
      </c>
      <c r="E145" t="s">
        <v>659</v>
      </c>
      <c r="F145" t="s">
        <v>26</v>
      </c>
      <c r="G145" t="s">
        <v>562</v>
      </c>
      <c r="H145" t="s">
        <v>660</v>
      </c>
      <c r="I145" t="s">
        <v>15</v>
      </c>
      <c r="J145" t="s">
        <v>21</v>
      </c>
      <c r="K145" t="s">
        <v>22</v>
      </c>
      <c r="L145">
        <f>BDP($H145,"BICS_LEVEL_1_SECTOR_NAME")</f>
        <v/>
      </c>
      <c r="M145">
        <f>BDP($H145,"BICS_LEVEL_3_INDUSTRY_NAME")</f>
        <v/>
      </c>
    </row>
    <row r="146" spans="1:13">
      <c r="A146" t="s">
        <v>661</v>
      </c>
      <c r="B146" t="s">
        <v>14</v>
      </c>
      <c r="C146" t="s">
        <v>15</v>
      </c>
      <c r="D146" t="s">
        <v>662</v>
      </c>
      <c r="E146" t="s">
        <v>663</v>
      </c>
      <c r="F146" t="s">
        <v>32</v>
      </c>
      <c r="G146" t="s">
        <v>263</v>
      </c>
      <c r="H146" t="s">
        <v>664</v>
      </c>
      <c r="I146" t="s">
        <v>15</v>
      </c>
      <c r="J146" t="s">
        <v>21</v>
      </c>
      <c r="K146" t="s">
        <v>22</v>
      </c>
      <c r="L146">
        <f>BDP($H146,"BICS_LEVEL_1_SECTOR_NAME")</f>
        <v/>
      </c>
      <c r="M146">
        <f>BDP($H146,"BICS_LEVEL_3_INDUSTRY_NAME")</f>
        <v/>
      </c>
    </row>
    <row r="147" spans="1:13">
      <c r="A147" t="s">
        <v>665</v>
      </c>
      <c r="B147" t="s">
        <v>14</v>
      </c>
      <c r="C147" t="s">
        <v>15</v>
      </c>
      <c r="D147" t="s">
        <v>666</v>
      </c>
      <c r="E147" t="s">
        <v>667</v>
      </c>
      <c r="F147" t="s">
        <v>26</v>
      </c>
      <c r="G147" t="s">
        <v>58</v>
      </c>
      <c r="H147" t="s">
        <v>668</v>
      </c>
      <c r="I147" t="s">
        <v>15</v>
      </c>
      <c r="J147" t="s">
        <v>21</v>
      </c>
      <c r="K147" t="s">
        <v>22</v>
      </c>
      <c r="L147">
        <f>BDP($H147,"BICS_LEVEL_1_SECTOR_NAME")</f>
        <v/>
      </c>
      <c r="M147">
        <f>BDP($H147,"BICS_LEVEL_3_INDUSTRY_NAME")</f>
        <v/>
      </c>
    </row>
    <row r="148" spans="1:13">
      <c r="A148" t="s">
        <v>669</v>
      </c>
      <c r="B148" t="s">
        <v>14</v>
      </c>
      <c r="C148" t="s">
        <v>15</v>
      </c>
      <c r="D148" t="s">
        <v>670</v>
      </c>
      <c r="E148" t="s">
        <v>671</v>
      </c>
      <c r="F148" t="s">
        <v>32</v>
      </c>
      <c r="G148" t="s">
        <v>33</v>
      </c>
      <c r="H148" t="s">
        <v>672</v>
      </c>
      <c r="I148" t="s">
        <v>15</v>
      </c>
      <c r="J148" t="s">
        <v>21</v>
      </c>
      <c r="K148" t="s">
        <v>22</v>
      </c>
      <c r="L148">
        <f>BDP($H148,"BICS_LEVEL_1_SECTOR_NAME")</f>
        <v/>
      </c>
      <c r="M148">
        <f>BDP($H148,"BICS_LEVEL_3_INDUSTRY_NAME")</f>
        <v/>
      </c>
    </row>
    <row r="149" spans="1:13">
      <c r="A149" t="s">
        <v>673</v>
      </c>
      <c r="B149" t="s">
        <v>14</v>
      </c>
      <c r="C149" t="s">
        <v>15</v>
      </c>
      <c r="D149" t="s">
        <v>674</v>
      </c>
      <c r="E149" t="s">
        <v>675</v>
      </c>
      <c r="F149" t="s">
        <v>83</v>
      </c>
      <c r="G149" t="s">
        <v>160</v>
      </c>
      <c r="H149" t="s">
        <v>676</v>
      </c>
      <c r="I149" t="s">
        <v>15</v>
      </c>
      <c r="J149" t="s">
        <v>21</v>
      </c>
      <c r="K149" t="s">
        <v>22</v>
      </c>
      <c r="L149">
        <f>BDP($H149,"BICS_LEVEL_1_SECTOR_NAME")</f>
        <v/>
      </c>
      <c r="M149">
        <f>BDP($H149,"BICS_LEVEL_3_INDUSTRY_NAME")</f>
        <v/>
      </c>
    </row>
    <row r="150" spans="1:13">
      <c r="A150" t="s">
        <v>677</v>
      </c>
      <c r="B150" t="s">
        <v>14</v>
      </c>
      <c r="C150" t="s">
        <v>15</v>
      </c>
      <c r="D150" t="s">
        <v>678</v>
      </c>
      <c r="E150" t="s">
        <v>679</v>
      </c>
      <c r="F150" t="s">
        <v>83</v>
      </c>
      <c r="G150" t="s">
        <v>151</v>
      </c>
      <c r="H150" t="s">
        <v>680</v>
      </c>
      <c r="I150" t="s">
        <v>15</v>
      </c>
      <c r="J150" t="s">
        <v>21</v>
      </c>
      <c r="K150" t="s">
        <v>22</v>
      </c>
      <c r="L150">
        <f>BDP($H150,"BICS_LEVEL_1_SECTOR_NAME")</f>
        <v/>
      </c>
      <c r="M150">
        <f>BDP($H150,"BICS_LEVEL_3_INDUSTRY_NAME")</f>
        <v/>
      </c>
    </row>
    <row r="151" spans="1:13">
      <c r="A151" t="s">
        <v>681</v>
      </c>
      <c r="B151" t="s">
        <v>14</v>
      </c>
      <c r="C151" t="s">
        <v>15</v>
      </c>
      <c r="D151" t="s">
        <v>682</v>
      </c>
      <c r="E151" t="s">
        <v>683</v>
      </c>
      <c r="F151" t="s">
        <v>26</v>
      </c>
      <c r="G151" t="s">
        <v>684</v>
      </c>
      <c r="H151" t="s">
        <v>685</v>
      </c>
      <c r="I151" t="s">
        <v>15</v>
      </c>
      <c r="J151" t="s">
        <v>21</v>
      </c>
      <c r="K151" t="s">
        <v>22</v>
      </c>
      <c r="L151">
        <f>BDP($H151,"BICS_LEVEL_1_SECTOR_NAME")</f>
        <v/>
      </c>
      <c r="M151">
        <f>BDP($H151,"BICS_LEVEL_3_INDUSTRY_NAME")</f>
        <v/>
      </c>
    </row>
    <row r="152" spans="1:13">
      <c r="A152" t="s">
        <v>686</v>
      </c>
      <c r="B152" t="s">
        <v>14</v>
      </c>
      <c r="C152" t="s">
        <v>15</v>
      </c>
      <c r="D152" t="s">
        <v>687</v>
      </c>
      <c r="E152" t="s">
        <v>688</v>
      </c>
      <c r="F152" t="s">
        <v>26</v>
      </c>
      <c r="G152" t="s">
        <v>689</v>
      </c>
      <c r="H152" t="s">
        <v>690</v>
      </c>
      <c r="I152" t="s">
        <v>15</v>
      </c>
      <c r="J152" t="s">
        <v>21</v>
      </c>
      <c r="K152" t="s">
        <v>22</v>
      </c>
      <c r="L152">
        <f>BDP($H152,"BICS_LEVEL_1_SECTOR_NAME")</f>
        <v/>
      </c>
      <c r="M152">
        <f>BDP($H152,"BICS_LEVEL_3_INDUSTRY_NAME")</f>
        <v/>
      </c>
    </row>
    <row r="153" spans="1:13">
      <c r="A153" t="s">
        <v>691</v>
      </c>
      <c r="B153" t="s">
        <v>14</v>
      </c>
      <c r="C153" t="s">
        <v>15</v>
      </c>
      <c r="D153" t="s">
        <v>692</v>
      </c>
      <c r="E153" t="s">
        <v>693</v>
      </c>
      <c r="F153" t="s">
        <v>26</v>
      </c>
      <c r="G153" t="s">
        <v>694</v>
      </c>
      <c r="H153" t="s">
        <v>695</v>
      </c>
      <c r="I153" t="s">
        <v>15</v>
      </c>
      <c r="J153" t="s">
        <v>21</v>
      </c>
      <c r="K153" t="s">
        <v>22</v>
      </c>
      <c r="L153">
        <f>BDP($H153,"BICS_LEVEL_1_SECTOR_NAME")</f>
        <v/>
      </c>
      <c r="M153">
        <f>BDP($H153,"BICS_LEVEL_3_INDUSTRY_NAME")</f>
        <v/>
      </c>
    </row>
    <row r="154" spans="1:13">
      <c r="A154" t="s">
        <v>696</v>
      </c>
      <c r="B154" t="s">
        <v>14</v>
      </c>
      <c r="C154" t="s">
        <v>15</v>
      </c>
      <c r="D154" t="s">
        <v>697</v>
      </c>
      <c r="E154" t="s">
        <v>698</v>
      </c>
      <c r="F154" t="s">
        <v>26</v>
      </c>
      <c r="G154" t="s">
        <v>562</v>
      </c>
      <c r="H154" t="s">
        <v>699</v>
      </c>
      <c r="I154" t="s">
        <v>15</v>
      </c>
      <c r="J154" t="s">
        <v>21</v>
      </c>
      <c r="K154" t="s">
        <v>22</v>
      </c>
      <c r="L154">
        <f>BDP($H154,"BICS_LEVEL_1_SECTOR_NAME")</f>
        <v/>
      </c>
      <c r="M154">
        <f>BDP($H154,"BICS_LEVEL_3_INDUSTRY_NAME")</f>
        <v/>
      </c>
    </row>
    <row r="155" spans="1:13">
      <c r="A155" t="s">
        <v>700</v>
      </c>
      <c r="B155" t="s">
        <v>14</v>
      </c>
      <c r="C155" t="s">
        <v>15</v>
      </c>
      <c r="D155" t="s">
        <v>701</v>
      </c>
      <c r="E155" t="s">
        <v>702</v>
      </c>
      <c r="F155" t="s">
        <v>32</v>
      </c>
      <c r="G155" t="s">
        <v>703</v>
      </c>
      <c r="H155" t="s">
        <v>704</v>
      </c>
      <c r="I155" t="s">
        <v>15</v>
      </c>
      <c r="J155" t="s">
        <v>21</v>
      </c>
      <c r="K155" t="s">
        <v>22</v>
      </c>
      <c r="L155">
        <f>BDP($H155,"BICS_LEVEL_1_SECTOR_NAME")</f>
        <v/>
      </c>
      <c r="M155">
        <f>BDP($H155,"BICS_LEVEL_3_INDUSTRY_NAME")</f>
        <v/>
      </c>
    </row>
    <row r="156" spans="1:13">
      <c r="A156" t="s">
        <v>705</v>
      </c>
      <c r="B156" t="s">
        <v>14</v>
      </c>
      <c r="C156" t="s">
        <v>15</v>
      </c>
      <c r="D156" t="s">
        <v>706</v>
      </c>
      <c r="E156" t="s">
        <v>707</v>
      </c>
      <c r="F156" t="s">
        <v>32</v>
      </c>
      <c r="G156" t="s">
        <v>708</v>
      </c>
      <c r="H156" t="s">
        <v>709</v>
      </c>
      <c r="I156" t="s">
        <v>15</v>
      </c>
      <c r="J156" t="s">
        <v>21</v>
      </c>
      <c r="K156" t="s">
        <v>22</v>
      </c>
      <c r="L156">
        <f>BDP($H156,"BICS_LEVEL_1_SECTOR_NAME")</f>
        <v/>
      </c>
      <c r="M156">
        <f>BDP($H156,"BICS_LEVEL_3_INDUSTRY_NAME")</f>
        <v/>
      </c>
    </row>
    <row r="157" spans="1:13">
      <c r="A157" t="s">
        <v>710</v>
      </c>
      <c r="B157" t="s">
        <v>14</v>
      </c>
      <c r="C157" t="s">
        <v>15</v>
      </c>
      <c r="D157" t="s">
        <v>711</v>
      </c>
      <c r="E157" t="s">
        <v>712</v>
      </c>
      <c r="F157" t="s">
        <v>18</v>
      </c>
      <c r="G157" t="s">
        <v>44</v>
      </c>
      <c r="H157" t="s">
        <v>713</v>
      </c>
      <c r="I157" t="s">
        <v>15</v>
      </c>
      <c r="J157" t="s">
        <v>21</v>
      </c>
      <c r="K157" t="s">
        <v>22</v>
      </c>
      <c r="L157">
        <f>BDP($H157,"BICS_LEVEL_1_SECTOR_NAME")</f>
        <v/>
      </c>
      <c r="M157">
        <f>BDP($H157,"BICS_LEVEL_3_INDUSTRY_NAME")</f>
        <v/>
      </c>
    </row>
    <row r="158" spans="1:13">
      <c r="A158" t="s">
        <v>714</v>
      </c>
      <c r="B158" t="s">
        <v>14</v>
      </c>
      <c r="C158" t="s">
        <v>15</v>
      </c>
      <c r="D158" t="s">
        <v>715</v>
      </c>
      <c r="E158" t="s">
        <v>716</v>
      </c>
      <c r="F158" t="s">
        <v>18</v>
      </c>
      <c r="G158" t="s">
        <v>290</v>
      </c>
      <c r="H158" t="s">
        <v>717</v>
      </c>
      <c r="I158" t="s">
        <v>15</v>
      </c>
      <c r="J158" t="s">
        <v>21</v>
      </c>
      <c r="K158" t="s">
        <v>22</v>
      </c>
      <c r="L158">
        <f>BDP($H158,"BICS_LEVEL_1_SECTOR_NAME")</f>
        <v/>
      </c>
      <c r="M158">
        <f>BDP($H158,"BICS_LEVEL_3_INDUSTRY_NAME")</f>
        <v/>
      </c>
    </row>
    <row r="159" spans="1:13">
      <c r="A159" t="s">
        <v>718</v>
      </c>
      <c r="B159" t="s">
        <v>14</v>
      </c>
      <c r="C159" t="s">
        <v>15</v>
      </c>
      <c r="D159" t="s">
        <v>719</v>
      </c>
      <c r="E159" t="s">
        <v>720</v>
      </c>
      <c r="F159" t="s">
        <v>83</v>
      </c>
      <c r="G159" t="s">
        <v>84</v>
      </c>
      <c r="H159" t="s">
        <v>721</v>
      </c>
      <c r="I159" t="s">
        <v>15</v>
      </c>
      <c r="J159" t="s">
        <v>21</v>
      </c>
      <c r="K159" t="s">
        <v>22</v>
      </c>
      <c r="L159">
        <f>BDP($H159,"BICS_LEVEL_1_SECTOR_NAME")</f>
        <v/>
      </c>
      <c r="M159">
        <f>BDP($H159,"BICS_LEVEL_3_INDUSTRY_NAME")</f>
        <v/>
      </c>
    </row>
    <row r="160" spans="1:13">
      <c r="A160" t="s">
        <v>722</v>
      </c>
      <c r="B160" t="s">
        <v>14</v>
      </c>
      <c r="C160" t="s">
        <v>15</v>
      </c>
      <c r="D160" t="s">
        <v>723</v>
      </c>
      <c r="E160" t="s">
        <v>724</v>
      </c>
      <c r="F160" t="s">
        <v>63</v>
      </c>
      <c r="G160" t="s">
        <v>184</v>
      </c>
      <c r="H160" t="s">
        <v>725</v>
      </c>
      <c r="I160" t="s">
        <v>15</v>
      </c>
      <c r="J160" t="s">
        <v>21</v>
      </c>
      <c r="K160" t="s">
        <v>22</v>
      </c>
      <c r="L160">
        <f>BDP($H160,"BICS_LEVEL_1_SECTOR_NAME")</f>
        <v/>
      </c>
      <c r="M160">
        <f>BDP($H160,"BICS_LEVEL_3_INDUSTRY_NAME")</f>
        <v/>
      </c>
    </row>
    <row r="161" spans="1:13">
      <c r="A161" t="s">
        <v>726</v>
      </c>
      <c r="B161" t="s">
        <v>14</v>
      </c>
      <c r="C161" t="s">
        <v>15</v>
      </c>
      <c r="D161" t="s">
        <v>727</v>
      </c>
      <c r="E161" t="s">
        <v>728</v>
      </c>
      <c r="F161" t="s">
        <v>83</v>
      </c>
      <c r="G161" t="s">
        <v>729</v>
      </c>
      <c r="H161" t="s">
        <v>730</v>
      </c>
      <c r="I161" t="s">
        <v>15</v>
      </c>
      <c r="J161" t="s">
        <v>21</v>
      </c>
      <c r="K161" t="s">
        <v>22</v>
      </c>
      <c r="L161">
        <f>BDP($H161,"BICS_LEVEL_1_SECTOR_NAME")</f>
        <v/>
      </c>
      <c r="M161">
        <f>BDP($H161,"BICS_LEVEL_3_INDUSTRY_NAME")</f>
        <v/>
      </c>
    </row>
    <row r="162" spans="1:13">
      <c r="A162" t="s">
        <v>731</v>
      </c>
      <c r="B162" t="s">
        <v>14</v>
      </c>
      <c r="C162" t="s">
        <v>15</v>
      </c>
      <c r="D162" t="s">
        <v>732</v>
      </c>
      <c r="E162" t="s">
        <v>733</v>
      </c>
      <c r="F162" t="s">
        <v>83</v>
      </c>
      <c r="G162" t="s">
        <v>98</v>
      </c>
      <c r="H162" t="s">
        <v>734</v>
      </c>
      <c r="I162" t="s">
        <v>15</v>
      </c>
      <c r="J162" t="s">
        <v>21</v>
      </c>
      <c r="K162" t="s">
        <v>22</v>
      </c>
      <c r="L162">
        <f>BDP($H162,"BICS_LEVEL_1_SECTOR_NAME")</f>
        <v/>
      </c>
      <c r="M162">
        <f>BDP($H162,"BICS_LEVEL_3_INDUSTRY_NAME")</f>
        <v/>
      </c>
    </row>
    <row r="163" spans="1:13">
      <c r="A163" t="s">
        <v>735</v>
      </c>
      <c r="B163" t="s">
        <v>14</v>
      </c>
      <c r="C163" t="s">
        <v>15</v>
      </c>
      <c r="D163" t="s">
        <v>736</v>
      </c>
      <c r="E163" t="s">
        <v>737</v>
      </c>
      <c r="F163" t="s">
        <v>18</v>
      </c>
      <c r="G163" t="s">
        <v>44</v>
      </c>
      <c r="H163" t="s">
        <v>738</v>
      </c>
      <c r="I163" t="s">
        <v>15</v>
      </c>
      <c r="J163" t="s">
        <v>21</v>
      </c>
      <c r="K163" t="s">
        <v>22</v>
      </c>
      <c r="L163">
        <f>BDP($H163,"BICS_LEVEL_1_SECTOR_NAME")</f>
        <v/>
      </c>
      <c r="M163">
        <f>BDP($H163,"BICS_LEVEL_3_INDUSTRY_NAME")</f>
        <v/>
      </c>
    </row>
    <row r="164" spans="1:13">
      <c r="A164" t="s">
        <v>739</v>
      </c>
      <c r="B164" t="s">
        <v>14</v>
      </c>
      <c r="C164" t="s">
        <v>15</v>
      </c>
      <c r="D164" t="s">
        <v>740</v>
      </c>
      <c r="E164" t="s">
        <v>741</v>
      </c>
      <c r="F164" t="s">
        <v>18</v>
      </c>
      <c r="G164" t="s">
        <v>742</v>
      </c>
      <c r="H164" t="s">
        <v>743</v>
      </c>
      <c r="I164" t="s">
        <v>15</v>
      </c>
      <c r="J164" t="s">
        <v>21</v>
      </c>
      <c r="K164" t="s">
        <v>22</v>
      </c>
      <c r="L164">
        <f>BDP($H164,"BICS_LEVEL_1_SECTOR_NAME")</f>
        <v/>
      </c>
      <c r="M164">
        <f>BDP($H164,"BICS_LEVEL_3_INDUSTRY_NAME")</f>
        <v/>
      </c>
    </row>
    <row r="165" spans="1:13">
      <c r="A165" t="s">
        <v>744</v>
      </c>
      <c r="B165" t="s">
        <v>14</v>
      </c>
      <c r="C165" t="s">
        <v>15</v>
      </c>
      <c r="D165" t="s">
        <v>745</v>
      </c>
      <c r="E165" t="s">
        <v>746</v>
      </c>
      <c r="F165" t="s">
        <v>18</v>
      </c>
      <c r="G165" t="s">
        <v>19</v>
      </c>
      <c r="H165" t="s">
        <v>747</v>
      </c>
      <c r="I165" t="s">
        <v>15</v>
      </c>
      <c r="J165" t="s">
        <v>21</v>
      </c>
      <c r="K165" t="s">
        <v>22</v>
      </c>
      <c r="L165">
        <f>BDP($H165,"BICS_LEVEL_1_SECTOR_NAME")</f>
        <v/>
      </c>
      <c r="M165">
        <f>BDP($H165,"BICS_LEVEL_3_INDUSTRY_NAME")</f>
        <v/>
      </c>
    </row>
    <row r="166" spans="1:13">
      <c r="A166" t="s">
        <v>748</v>
      </c>
      <c r="B166" t="s">
        <v>14</v>
      </c>
      <c r="C166" t="s">
        <v>15</v>
      </c>
      <c r="D166" t="s">
        <v>749</v>
      </c>
      <c r="E166" t="s">
        <v>750</v>
      </c>
      <c r="F166" t="s">
        <v>26</v>
      </c>
      <c r="G166" t="s">
        <v>751</v>
      </c>
      <c r="H166" t="s">
        <v>752</v>
      </c>
      <c r="I166" t="s">
        <v>15</v>
      </c>
      <c r="J166" t="s">
        <v>21</v>
      </c>
      <c r="K166" t="s">
        <v>22</v>
      </c>
      <c r="L166">
        <f>BDP($H166,"BICS_LEVEL_1_SECTOR_NAME")</f>
        <v/>
      </c>
      <c r="M166">
        <f>BDP($H166,"BICS_LEVEL_3_INDUSTRY_NAME")</f>
        <v/>
      </c>
    </row>
    <row r="167" spans="1:13">
      <c r="A167" t="s">
        <v>753</v>
      </c>
      <c r="B167" t="s">
        <v>14</v>
      </c>
      <c r="C167" t="s">
        <v>15</v>
      </c>
      <c r="D167" t="s">
        <v>754</v>
      </c>
      <c r="E167" t="s">
        <v>755</v>
      </c>
      <c r="F167" t="s">
        <v>18</v>
      </c>
      <c r="G167" t="s">
        <v>44</v>
      </c>
      <c r="H167" t="s">
        <v>756</v>
      </c>
      <c r="I167" t="s">
        <v>15</v>
      </c>
      <c r="J167" t="s">
        <v>21</v>
      </c>
      <c r="K167" t="s">
        <v>22</v>
      </c>
      <c r="L167">
        <f>BDP($H167,"BICS_LEVEL_1_SECTOR_NAME")</f>
        <v/>
      </c>
      <c r="M167">
        <f>BDP($H167,"BICS_LEVEL_3_INDUSTRY_NAME")</f>
        <v/>
      </c>
    </row>
    <row r="168" spans="1:13">
      <c r="A168" t="s">
        <v>757</v>
      </c>
      <c r="B168" t="s">
        <v>14</v>
      </c>
      <c r="C168" t="s">
        <v>15</v>
      </c>
      <c r="D168" t="s">
        <v>758</v>
      </c>
      <c r="E168" t="s">
        <v>759</v>
      </c>
      <c r="F168" t="s">
        <v>63</v>
      </c>
      <c r="G168" t="s">
        <v>74</v>
      </c>
      <c r="H168" t="s">
        <v>760</v>
      </c>
      <c r="I168" t="s">
        <v>15</v>
      </c>
      <c r="J168" t="s">
        <v>21</v>
      </c>
      <c r="K168" t="s">
        <v>22</v>
      </c>
      <c r="L168">
        <f>BDP($H168,"BICS_LEVEL_1_SECTOR_NAME")</f>
        <v/>
      </c>
      <c r="M168">
        <f>BDP($H168,"BICS_LEVEL_3_INDUSTRY_NAME")</f>
        <v/>
      </c>
    </row>
    <row r="169" spans="1:13">
      <c r="A169" t="s">
        <v>761</v>
      </c>
      <c r="B169" t="s">
        <v>14</v>
      </c>
      <c r="C169" t="s">
        <v>15</v>
      </c>
      <c r="D169" t="s">
        <v>762</v>
      </c>
      <c r="E169" t="s">
        <v>763</v>
      </c>
      <c r="F169" t="s">
        <v>18</v>
      </c>
      <c r="G169" t="s">
        <v>137</v>
      </c>
      <c r="H169" t="s">
        <v>764</v>
      </c>
      <c r="I169" t="s">
        <v>15</v>
      </c>
      <c r="J169" t="s">
        <v>21</v>
      </c>
      <c r="K169" t="s">
        <v>22</v>
      </c>
      <c r="L169">
        <f>BDP($H169,"BICS_LEVEL_1_SECTOR_NAME")</f>
        <v/>
      </c>
      <c r="M169">
        <f>BDP($H169,"BICS_LEVEL_3_INDUSTRY_NAME")</f>
        <v/>
      </c>
    </row>
    <row r="170" spans="1:13">
      <c r="A170" t="s">
        <v>765</v>
      </c>
      <c r="B170" t="s">
        <v>14</v>
      </c>
      <c r="C170" t="s">
        <v>15</v>
      </c>
      <c r="D170" t="s">
        <v>766</v>
      </c>
      <c r="E170" t="s">
        <v>767</v>
      </c>
      <c r="F170" t="s">
        <v>38</v>
      </c>
      <c r="G170" t="s">
        <v>39</v>
      </c>
      <c r="H170" t="s">
        <v>768</v>
      </c>
      <c r="I170" t="s">
        <v>15</v>
      </c>
      <c r="J170" t="s">
        <v>21</v>
      </c>
      <c r="K170" t="s">
        <v>22</v>
      </c>
      <c r="L170">
        <f>BDP($H170,"BICS_LEVEL_1_SECTOR_NAME")</f>
        <v/>
      </c>
      <c r="M170">
        <f>BDP($H170,"BICS_LEVEL_3_INDUSTRY_NAME")</f>
        <v/>
      </c>
    </row>
    <row r="171" spans="1:13">
      <c r="A171" t="s">
        <v>769</v>
      </c>
      <c r="B171" t="s">
        <v>14</v>
      </c>
      <c r="C171" t="s">
        <v>15</v>
      </c>
      <c r="D171" t="s">
        <v>770</v>
      </c>
      <c r="E171" t="s">
        <v>771</v>
      </c>
      <c r="F171" t="s">
        <v>18</v>
      </c>
      <c r="G171" t="s">
        <v>122</v>
      </c>
      <c r="H171" t="s">
        <v>772</v>
      </c>
      <c r="I171" t="s">
        <v>15</v>
      </c>
      <c r="J171" t="s">
        <v>21</v>
      </c>
      <c r="K171" t="s">
        <v>22</v>
      </c>
      <c r="L171">
        <f>BDP($H171,"BICS_LEVEL_1_SECTOR_NAME")</f>
        <v/>
      </c>
      <c r="M171">
        <f>BDP($H171,"BICS_LEVEL_3_INDUSTRY_NAME")</f>
        <v/>
      </c>
    </row>
    <row r="172" spans="1:13">
      <c r="A172" t="s">
        <v>773</v>
      </c>
      <c r="B172" t="s">
        <v>14</v>
      </c>
      <c r="C172" t="s">
        <v>15</v>
      </c>
      <c r="D172" t="s">
        <v>774</v>
      </c>
      <c r="E172" t="s">
        <v>775</v>
      </c>
      <c r="F172" t="s">
        <v>83</v>
      </c>
      <c r="G172" t="s">
        <v>655</v>
      </c>
      <c r="H172" t="s">
        <v>776</v>
      </c>
      <c r="I172" t="s">
        <v>15</v>
      </c>
      <c r="J172" t="s">
        <v>21</v>
      </c>
      <c r="K172" t="s">
        <v>22</v>
      </c>
      <c r="L172">
        <f>BDP($H172,"BICS_LEVEL_1_SECTOR_NAME")</f>
        <v/>
      </c>
      <c r="M172">
        <f>BDP($H172,"BICS_LEVEL_3_INDUSTRY_NAME")</f>
        <v/>
      </c>
    </row>
    <row r="173" spans="1:13">
      <c r="A173" t="s">
        <v>777</v>
      </c>
      <c r="B173" t="s">
        <v>14</v>
      </c>
      <c r="C173" t="s">
        <v>15</v>
      </c>
      <c r="D173" t="s">
        <v>778</v>
      </c>
      <c r="E173" t="s">
        <v>779</v>
      </c>
      <c r="F173" t="s">
        <v>18</v>
      </c>
      <c r="G173" t="s">
        <v>290</v>
      </c>
      <c r="H173" t="s">
        <v>780</v>
      </c>
      <c r="I173" t="s">
        <v>15</v>
      </c>
      <c r="J173" t="s">
        <v>21</v>
      </c>
      <c r="K173" t="s">
        <v>22</v>
      </c>
      <c r="L173">
        <f>BDP($H173,"BICS_LEVEL_1_SECTOR_NAME")</f>
        <v/>
      </c>
      <c r="M173">
        <f>BDP($H173,"BICS_LEVEL_3_INDUSTRY_NAME")</f>
        <v/>
      </c>
    </row>
    <row r="174" spans="1:13">
      <c r="A174" t="s">
        <v>781</v>
      </c>
      <c r="B174" t="s">
        <v>14</v>
      </c>
      <c r="C174" t="s">
        <v>15</v>
      </c>
      <c r="D174" t="s">
        <v>782</v>
      </c>
      <c r="E174" t="s">
        <v>783</v>
      </c>
      <c r="F174" t="s">
        <v>26</v>
      </c>
      <c r="G174" t="s">
        <v>33</v>
      </c>
      <c r="H174" t="s">
        <v>784</v>
      </c>
      <c r="I174" t="s">
        <v>15</v>
      </c>
      <c r="J174" t="s">
        <v>21</v>
      </c>
      <c r="K174" t="s">
        <v>22</v>
      </c>
      <c r="L174">
        <f>BDP($H174,"BICS_LEVEL_1_SECTOR_NAME")</f>
        <v/>
      </c>
      <c r="M174">
        <f>BDP($H174,"BICS_LEVEL_3_INDUSTRY_NAME")</f>
        <v/>
      </c>
    </row>
    <row r="175" spans="1:13">
      <c r="A175" t="s">
        <v>785</v>
      </c>
      <c r="B175" t="s">
        <v>14</v>
      </c>
      <c r="C175" t="s">
        <v>15</v>
      </c>
      <c r="D175" t="s">
        <v>786</v>
      </c>
      <c r="E175" t="s">
        <v>787</v>
      </c>
      <c r="F175" t="s">
        <v>38</v>
      </c>
      <c r="G175" t="s">
        <v>39</v>
      </c>
      <c r="H175" t="s">
        <v>788</v>
      </c>
      <c r="I175" t="s">
        <v>15</v>
      </c>
      <c r="J175" t="s">
        <v>21</v>
      </c>
      <c r="K175" t="s">
        <v>22</v>
      </c>
      <c r="L175">
        <f>BDP($H175,"BICS_LEVEL_1_SECTOR_NAME")</f>
        <v/>
      </c>
      <c r="M175">
        <f>BDP($H175,"BICS_LEVEL_3_INDUSTRY_NAME")</f>
        <v/>
      </c>
    </row>
    <row r="176" spans="1:13">
      <c r="A176" t="s">
        <v>789</v>
      </c>
      <c r="B176" t="s">
        <v>14</v>
      </c>
      <c r="C176" t="s">
        <v>15</v>
      </c>
      <c r="D176" t="s">
        <v>790</v>
      </c>
      <c r="E176" t="s">
        <v>791</v>
      </c>
      <c r="F176" t="s">
        <v>567</v>
      </c>
      <c r="G176" t="s">
        <v>792</v>
      </c>
      <c r="H176" t="s">
        <v>793</v>
      </c>
      <c r="I176" t="s">
        <v>15</v>
      </c>
      <c r="J176" t="s">
        <v>21</v>
      </c>
      <c r="K176" t="s">
        <v>22</v>
      </c>
      <c r="L176">
        <f>BDP($H176,"BICS_LEVEL_1_SECTOR_NAME")</f>
        <v/>
      </c>
      <c r="M176">
        <f>BDP($H176,"BICS_LEVEL_3_INDUSTRY_NAME")</f>
        <v/>
      </c>
    </row>
    <row r="177" spans="1:13">
      <c r="A177" t="s">
        <v>794</v>
      </c>
      <c r="B177" t="s">
        <v>14</v>
      </c>
      <c r="C177" t="s">
        <v>15</v>
      </c>
      <c r="D177" t="s">
        <v>795</v>
      </c>
      <c r="E177" t="s">
        <v>796</v>
      </c>
      <c r="F177" t="s">
        <v>83</v>
      </c>
      <c r="G177" t="s">
        <v>151</v>
      </c>
      <c r="H177" t="s">
        <v>797</v>
      </c>
      <c r="I177" t="s">
        <v>15</v>
      </c>
      <c r="J177" t="s">
        <v>21</v>
      </c>
      <c r="K177" t="s">
        <v>22</v>
      </c>
      <c r="L177">
        <f>BDP($H177,"BICS_LEVEL_1_SECTOR_NAME")</f>
        <v/>
      </c>
      <c r="M177">
        <f>BDP($H177,"BICS_LEVEL_3_INDUSTRY_NAME")</f>
        <v/>
      </c>
    </row>
    <row r="178" spans="1:13">
      <c r="A178" t="s">
        <v>798</v>
      </c>
      <c r="B178" t="s">
        <v>14</v>
      </c>
      <c r="C178" t="s">
        <v>15</v>
      </c>
      <c r="D178" t="s">
        <v>799</v>
      </c>
      <c r="E178" t="s">
        <v>800</v>
      </c>
      <c r="F178" t="s">
        <v>63</v>
      </c>
      <c r="G178" t="s">
        <v>98</v>
      </c>
      <c r="H178" t="s">
        <v>801</v>
      </c>
      <c r="I178" t="s">
        <v>15</v>
      </c>
      <c r="J178" t="s">
        <v>21</v>
      </c>
      <c r="K178" t="s">
        <v>22</v>
      </c>
      <c r="L178">
        <f>BDP($H178,"BICS_LEVEL_1_SECTOR_NAME")</f>
        <v/>
      </c>
      <c r="M178">
        <f>BDP($H178,"BICS_LEVEL_3_INDUSTRY_NAME")</f>
        <v/>
      </c>
    </row>
    <row r="179" spans="1:13">
      <c r="A179" t="s">
        <v>802</v>
      </c>
      <c r="B179" t="s">
        <v>14</v>
      </c>
      <c r="C179" t="s">
        <v>15</v>
      </c>
      <c r="D179" t="s">
        <v>803</v>
      </c>
      <c r="E179" t="s">
        <v>804</v>
      </c>
      <c r="F179" t="s">
        <v>32</v>
      </c>
      <c r="G179" t="s">
        <v>805</v>
      </c>
      <c r="H179" t="s">
        <v>806</v>
      </c>
      <c r="I179" t="s">
        <v>15</v>
      </c>
      <c r="J179" t="s">
        <v>21</v>
      </c>
      <c r="K179" t="s">
        <v>22</v>
      </c>
      <c r="L179">
        <f>BDP($H179,"BICS_LEVEL_1_SECTOR_NAME")</f>
        <v/>
      </c>
      <c r="M179">
        <f>BDP($H179,"BICS_LEVEL_3_INDUSTRY_NAME")</f>
        <v/>
      </c>
    </row>
    <row r="180" spans="1:13">
      <c r="A180" t="s">
        <v>807</v>
      </c>
      <c r="B180" t="s">
        <v>14</v>
      </c>
      <c r="C180" t="s">
        <v>15</v>
      </c>
      <c r="D180" t="s">
        <v>808</v>
      </c>
      <c r="E180" t="s">
        <v>809</v>
      </c>
      <c r="F180" t="s">
        <v>32</v>
      </c>
      <c r="G180" t="s">
        <v>805</v>
      </c>
      <c r="H180" t="s">
        <v>810</v>
      </c>
      <c r="I180" t="s">
        <v>15</v>
      </c>
      <c r="J180" t="s">
        <v>21</v>
      </c>
      <c r="K180" t="s">
        <v>22</v>
      </c>
      <c r="L180">
        <f>BDP($H180,"BICS_LEVEL_1_SECTOR_NAME")</f>
        <v/>
      </c>
      <c r="M180">
        <f>BDP($H180,"BICS_LEVEL_3_INDUSTRY_NAME")</f>
        <v/>
      </c>
    </row>
    <row r="181" spans="1:13">
      <c r="A181" t="s">
        <v>811</v>
      </c>
      <c r="B181" t="s">
        <v>14</v>
      </c>
      <c r="C181" t="s">
        <v>15</v>
      </c>
      <c r="D181" t="s">
        <v>812</v>
      </c>
      <c r="E181" t="s">
        <v>813</v>
      </c>
      <c r="F181" t="s">
        <v>567</v>
      </c>
      <c r="G181" t="s">
        <v>814</v>
      </c>
      <c r="H181" t="s">
        <v>815</v>
      </c>
      <c r="I181" t="s">
        <v>15</v>
      </c>
      <c r="J181" t="s">
        <v>21</v>
      </c>
      <c r="K181" t="s">
        <v>22</v>
      </c>
      <c r="L181">
        <f>BDP($H181,"BICS_LEVEL_1_SECTOR_NAME")</f>
        <v/>
      </c>
      <c r="M181">
        <f>BDP($H181,"BICS_LEVEL_3_INDUSTRY_NAME")</f>
        <v/>
      </c>
    </row>
    <row r="182" spans="1:13">
      <c r="A182" t="s">
        <v>816</v>
      </c>
      <c r="B182" t="s">
        <v>14</v>
      </c>
      <c r="C182" t="s">
        <v>15</v>
      </c>
      <c r="D182" t="s">
        <v>817</v>
      </c>
      <c r="E182" t="s">
        <v>818</v>
      </c>
      <c r="F182" t="s">
        <v>26</v>
      </c>
      <c r="G182" t="s">
        <v>819</v>
      </c>
      <c r="H182" t="s">
        <v>820</v>
      </c>
      <c r="I182" t="s">
        <v>15</v>
      </c>
      <c r="J182" t="s">
        <v>21</v>
      </c>
      <c r="K182" t="s">
        <v>22</v>
      </c>
      <c r="L182">
        <f>BDP($H182,"BICS_LEVEL_1_SECTOR_NAME")</f>
        <v/>
      </c>
      <c r="M182">
        <f>BDP($H182,"BICS_LEVEL_3_INDUSTRY_NAME")</f>
        <v/>
      </c>
    </row>
    <row r="183" spans="1:13">
      <c r="A183" t="s">
        <v>821</v>
      </c>
      <c r="B183" t="s">
        <v>14</v>
      </c>
      <c r="C183" t="s">
        <v>15</v>
      </c>
      <c r="D183" t="s">
        <v>822</v>
      </c>
      <c r="E183" t="s">
        <v>823</v>
      </c>
      <c r="F183" t="s">
        <v>32</v>
      </c>
      <c r="G183" t="s">
        <v>824</v>
      </c>
      <c r="H183" t="s">
        <v>825</v>
      </c>
      <c r="I183" t="s">
        <v>15</v>
      </c>
      <c r="J183" t="s">
        <v>21</v>
      </c>
      <c r="K183" t="s">
        <v>22</v>
      </c>
      <c r="L183">
        <f>BDP($H183,"BICS_LEVEL_1_SECTOR_NAME")</f>
        <v/>
      </c>
      <c r="M183">
        <f>BDP($H183,"BICS_LEVEL_3_INDUSTRY_NAME")</f>
        <v/>
      </c>
    </row>
    <row r="184" spans="1:13">
      <c r="A184" t="s">
        <v>826</v>
      </c>
      <c r="B184" t="s">
        <v>14</v>
      </c>
      <c r="C184" t="s">
        <v>15</v>
      </c>
      <c r="D184" t="s">
        <v>827</v>
      </c>
      <c r="E184" t="s">
        <v>828</v>
      </c>
      <c r="F184" t="s">
        <v>38</v>
      </c>
      <c r="G184" t="s">
        <v>39</v>
      </c>
      <c r="H184" t="s">
        <v>829</v>
      </c>
      <c r="I184" t="s">
        <v>15</v>
      </c>
      <c r="J184" t="s">
        <v>21</v>
      </c>
      <c r="K184" t="s">
        <v>22</v>
      </c>
      <c r="L184">
        <f>BDP($H184,"BICS_LEVEL_1_SECTOR_NAME")</f>
        <v/>
      </c>
      <c r="M184">
        <f>BDP($H184,"BICS_LEVEL_3_INDUSTRY_NAME")</f>
        <v/>
      </c>
    </row>
    <row r="185" spans="1:13">
      <c r="A185" t="s">
        <v>830</v>
      </c>
      <c r="B185" t="s">
        <v>14</v>
      </c>
      <c r="C185" t="s">
        <v>15</v>
      </c>
      <c r="D185" t="s">
        <v>831</v>
      </c>
      <c r="E185" t="s">
        <v>832</v>
      </c>
      <c r="F185" t="s">
        <v>38</v>
      </c>
      <c r="G185" t="s">
        <v>39</v>
      </c>
      <c r="H185" t="s">
        <v>833</v>
      </c>
      <c r="I185" t="s">
        <v>15</v>
      </c>
      <c r="J185" t="s">
        <v>21</v>
      </c>
      <c r="K185" t="s">
        <v>22</v>
      </c>
      <c r="L185">
        <f>BDP($H185,"BICS_LEVEL_1_SECTOR_NAME")</f>
        <v/>
      </c>
      <c r="M185">
        <f>BDP($H185,"BICS_LEVEL_3_INDUSTRY_NAME")</f>
        <v/>
      </c>
    </row>
    <row r="186" spans="1:13">
      <c r="A186" t="s">
        <v>834</v>
      </c>
      <c r="B186" t="s">
        <v>14</v>
      </c>
      <c r="C186" t="s">
        <v>15</v>
      </c>
      <c r="D186" t="s">
        <v>835</v>
      </c>
      <c r="E186" t="s">
        <v>836</v>
      </c>
      <c r="F186" t="s">
        <v>83</v>
      </c>
      <c r="G186" t="s">
        <v>655</v>
      </c>
      <c r="H186" t="s">
        <v>837</v>
      </c>
      <c r="I186" t="s">
        <v>15</v>
      </c>
      <c r="J186" t="s">
        <v>21</v>
      </c>
      <c r="K186" t="s">
        <v>22</v>
      </c>
      <c r="L186">
        <f>BDP($H186,"BICS_LEVEL_1_SECTOR_NAME")</f>
        <v/>
      </c>
      <c r="M186">
        <f>BDP($H186,"BICS_LEVEL_3_INDUSTRY_NAME")</f>
        <v/>
      </c>
    </row>
    <row r="187" spans="1:13">
      <c r="A187" t="s">
        <v>838</v>
      </c>
      <c r="B187" t="s">
        <v>14</v>
      </c>
      <c r="C187" t="s">
        <v>15</v>
      </c>
      <c r="D187" t="s">
        <v>839</v>
      </c>
      <c r="E187" t="s">
        <v>840</v>
      </c>
      <c r="F187" t="s">
        <v>63</v>
      </c>
      <c r="G187" t="s">
        <v>74</v>
      </c>
      <c r="H187" t="s">
        <v>841</v>
      </c>
      <c r="I187" t="s">
        <v>15</v>
      </c>
      <c r="J187" t="s">
        <v>21</v>
      </c>
      <c r="K187" t="s">
        <v>22</v>
      </c>
      <c r="L187">
        <f>BDP($H187,"BICS_LEVEL_1_SECTOR_NAME")</f>
        <v/>
      </c>
      <c r="M187">
        <f>BDP($H187,"BICS_LEVEL_3_INDUSTRY_NAME")</f>
        <v/>
      </c>
    </row>
    <row r="188" spans="1:13">
      <c r="A188" t="s">
        <v>842</v>
      </c>
      <c r="B188" t="s">
        <v>14</v>
      </c>
      <c r="C188" t="s">
        <v>15</v>
      </c>
      <c r="D188" t="s">
        <v>843</v>
      </c>
      <c r="E188" t="s">
        <v>844</v>
      </c>
      <c r="F188" t="s">
        <v>18</v>
      </c>
      <c r="G188" t="s">
        <v>44</v>
      </c>
      <c r="H188" t="s">
        <v>845</v>
      </c>
      <c r="I188" t="s">
        <v>15</v>
      </c>
      <c r="J188" t="s">
        <v>21</v>
      </c>
      <c r="K188" t="s">
        <v>22</v>
      </c>
      <c r="L188">
        <f>BDP($H188,"BICS_LEVEL_1_SECTOR_NAME")</f>
        <v/>
      </c>
      <c r="M188">
        <f>BDP($H188,"BICS_LEVEL_3_INDUSTRY_NAME")</f>
        <v/>
      </c>
    </row>
    <row r="189" spans="1:13">
      <c r="A189" t="s">
        <v>846</v>
      </c>
      <c r="B189" t="s">
        <v>14</v>
      </c>
      <c r="C189" t="s">
        <v>15</v>
      </c>
      <c r="D189" t="s">
        <v>847</v>
      </c>
      <c r="E189" t="s">
        <v>848</v>
      </c>
      <c r="F189" t="s">
        <v>83</v>
      </c>
      <c r="G189" t="s">
        <v>84</v>
      </c>
      <c r="H189" t="s">
        <v>849</v>
      </c>
      <c r="I189" t="s">
        <v>15</v>
      </c>
      <c r="J189" t="s">
        <v>21</v>
      </c>
      <c r="K189" t="s">
        <v>22</v>
      </c>
      <c r="L189">
        <f>BDP($H189,"BICS_LEVEL_1_SECTOR_NAME")</f>
        <v/>
      </c>
      <c r="M189">
        <f>BDP($H189,"BICS_LEVEL_3_INDUSTRY_NAME")</f>
        <v/>
      </c>
    </row>
    <row r="190" spans="1:13">
      <c r="A190" t="s">
        <v>850</v>
      </c>
      <c r="B190" t="s">
        <v>14</v>
      </c>
      <c r="C190" t="s">
        <v>15</v>
      </c>
      <c r="D190" t="s">
        <v>851</v>
      </c>
      <c r="E190" t="s">
        <v>852</v>
      </c>
      <c r="F190" t="s">
        <v>18</v>
      </c>
      <c r="G190" t="s">
        <v>290</v>
      </c>
      <c r="H190" t="s">
        <v>853</v>
      </c>
      <c r="I190" t="s">
        <v>15</v>
      </c>
      <c r="J190" t="s">
        <v>21</v>
      </c>
      <c r="K190" t="s">
        <v>22</v>
      </c>
      <c r="L190">
        <f>BDP($H190,"BICS_LEVEL_1_SECTOR_NAME")</f>
        <v/>
      </c>
      <c r="M190">
        <f>BDP($H190,"BICS_LEVEL_3_INDUSTRY_NAME")</f>
        <v/>
      </c>
    </row>
    <row r="191" spans="1:13">
      <c r="A191" t="s">
        <v>854</v>
      </c>
      <c r="B191" t="s">
        <v>14</v>
      </c>
      <c r="C191" t="s">
        <v>15</v>
      </c>
      <c r="D191" t="s">
        <v>855</v>
      </c>
      <c r="E191" t="s">
        <v>856</v>
      </c>
      <c r="F191" t="s">
        <v>26</v>
      </c>
      <c r="G191" t="s">
        <v>446</v>
      </c>
      <c r="H191" t="s">
        <v>857</v>
      </c>
      <c r="I191" t="s">
        <v>15</v>
      </c>
      <c r="J191" t="s">
        <v>21</v>
      </c>
      <c r="K191" t="s">
        <v>22</v>
      </c>
      <c r="L191">
        <f>BDP($H191,"BICS_LEVEL_1_SECTOR_NAME")</f>
        <v/>
      </c>
      <c r="M191">
        <f>BDP($H191,"BICS_LEVEL_3_INDUSTRY_NAME")</f>
        <v/>
      </c>
    </row>
    <row r="192" spans="1:13">
      <c r="A192" t="s">
        <v>858</v>
      </c>
      <c r="B192" t="s">
        <v>14</v>
      </c>
      <c r="C192" t="s">
        <v>15</v>
      </c>
      <c r="D192" t="s">
        <v>859</v>
      </c>
      <c r="E192" t="s">
        <v>860</v>
      </c>
      <c r="F192" t="s">
        <v>18</v>
      </c>
      <c r="G192" t="s">
        <v>44</v>
      </c>
      <c r="H192" t="s">
        <v>861</v>
      </c>
      <c r="I192" t="s">
        <v>15</v>
      </c>
      <c r="J192" t="s">
        <v>21</v>
      </c>
      <c r="K192" t="s">
        <v>22</v>
      </c>
      <c r="L192">
        <f>BDP($H192,"BICS_LEVEL_1_SECTOR_NAME")</f>
        <v/>
      </c>
      <c r="M192">
        <f>BDP($H192,"BICS_LEVEL_3_INDUSTRY_NAME")</f>
        <v/>
      </c>
    </row>
    <row r="193" spans="1:13">
      <c r="A193" t="s">
        <v>862</v>
      </c>
      <c r="B193" t="s">
        <v>14</v>
      </c>
      <c r="C193" t="s">
        <v>15</v>
      </c>
      <c r="D193" t="s">
        <v>863</v>
      </c>
      <c r="E193" t="s">
        <v>864</v>
      </c>
      <c r="F193" t="s">
        <v>83</v>
      </c>
      <c r="G193" t="s">
        <v>84</v>
      </c>
      <c r="H193" t="s">
        <v>865</v>
      </c>
      <c r="I193" t="s">
        <v>15</v>
      </c>
      <c r="J193" t="s">
        <v>21</v>
      </c>
      <c r="K193" t="s">
        <v>22</v>
      </c>
      <c r="L193">
        <f>BDP($H193,"BICS_LEVEL_1_SECTOR_NAME")</f>
        <v/>
      </c>
      <c r="M193">
        <f>BDP($H193,"BICS_LEVEL_3_INDUSTRY_NAME")</f>
        <v/>
      </c>
    </row>
    <row r="194" spans="1:13">
      <c r="A194" t="s">
        <v>866</v>
      </c>
      <c r="B194" t="s">
        <v>14</v>
      </c>
      <c r="C194" t="s">
        <v>15</v>
      </c>
      <c r="D194" t="s">
        <v>867</v>
      </c>
      <c r="E194" t="s">
        <v>868</v>
      </c>
      <c r="F194" t="s">
        <v>32</v>
      </c>
      <c r="G194" t="s">
        <v>708</v>
      </c>
      <c r="H194" t="s">
        <v>869</v>
      </c>
      <c r="I194" t="s">
        <v>15</v>
      </c>
      <c r="J194" t="s">
        <v>21</v>
      </c>
      <c r="K194" t="s">
        <v>22</v>
      </c>
      <c r="L194">
        <f>BDP($H194,"BICS_LEVEL_1_SECTOR_NAME")</f>
        <v/>
      </c>
      <c r="M194">
        <f>BDP($H194,"BICS_LEVEL_3_INDUSTRY_NAME")</f>
        <v/>
      </c>
    </row>
    <row r="195" spans="1:13">
      <c r="A195" t="s">
        <v>870</v>
      </c>
      <c r="B195" t="s">
        <v>14</v>
      </c>
      <c r="C195" t="s">
        <v>15</v>
      </c>
      <c r="D195" t="s">
        <v>871</v>
      </c>
      <c r="E195" t="s">
        <v>872</v>
      </c>
      <c r="F195" t="s">
        <v>26</v>
      </c>
      <c r="G195" t="s">
        <v>873</v>
      </c>
      <c r="H195" t="s">
        <v>874</v>
      </c>
      <c r="I195" t="s">
        <v>15</v>
      </c>
      <c r="J195" t="s">
        <v>21</v>
      </c>
      <c r="K195" t="s">
        <v>22</v>
      </c>
      <c r="L195">
        <f>BDP($H195,"BICS_LEVEL_1_SECTOR_NAME")</f>
        <v/>
      </c>
      <c r="M195">
        <f>BDP($H195,"BICS_LEVEL_3_INDUSTRY_NAME")</f>
        <v/>
      </c>
    </row>
    <row r="196" spans="1:13">
      <c r="A196" t="s">
        <v>875</v>
      </c>
      <c r="B196" t="s">
        <v>14</v>
      </c>
      <c r="C196" t="s">
        <v>15</v>
      </c>
      <c r="D196" t="s">
        <v>876</v>
      </c>
      <c r="E196" t="s">
        <v>877</v>
      </c>
      <c r="F196" t="s">
        <v>32</v>
      </c>
      <c r="G196" t="s">
        <v>613</v>
      </c>
      <c r="H196" t="s">
        <v>878</v>
      </c>
      <c r="I196" t="s">
        <v>15</v>
      </c>
      <c r="J196" t="s">
        <v>21</v>
      </c>
      <c r="K196" t="s">
        <v>22</v>
      </c>
      <c r="L196">
        <f>BDP($H196,"BICS_LEVEL_1_SECTOR_NAME")</f>
        <v/>
      </c>
      <c r="M196">
        <f>BDP($H196,"BICS_LEVEL_3_INDUSTRY_NAME")</f>
        <v/>
      </c>
    </row>
    <row r="197" spans="1:13">
      <c r="A197" t="s">
        <v>879</v>
      </c>
      <c r="B197" t="s">
        <v>14</v>
      </c>
      <c r="C197" t="s">
        <v>15</v>
      </c>
      <c r="D197" t="s">
        <v>880</v>
      </c>
      <c r="E197" t="s">
        <v>881</v>
      </c>
      <c r="F197" t="s">
        <v>18</v>
      </c>
      <c r="G197" t="s">
        <v>44</v>
      </c>
      <c r="H197" t="s">
        <v>882</v>
      </c>
      <c r="I197" t="s">
        <v>15</v>
      </c>
      <c r="J197" t="s">
        <v>21</v>
      </c>
      <c r="K197" t="s">
        <v>22</v>
      </c>
      <c r="L197">
        <f>BDP($H197,"BICS_LEVEL_1_SECTOR_NAME")</f>
        <v/>
      </c>
      <c r="M197">
        <f>BDP($H197,"BICS_LEVEL_3_INDUSTRY_NAME")</f>
        <v/>
      </c>
    </row>
    <row r="198" spans="1:13">
      <c r="A198" t="s">
        <v>883</v>
      </c>
      <c r="B198" t="s">
        <v>14</v>
      </c>
      <c r="C198" t="s">
        <v>15</v>
      </c>
      <c r="D198" t="s">
        <v>884</v>
      </c>
      <c r="E198" t="s">
        <v>885</v>
      </c>
      <c r="F198" t="s">
        <v>567</v>
      </c>
      <c r="G198" t="s">
        <v>568</v>
      </c>
      <c r="H198" t="s">
        <v>886</v>
      </c>
      <c r="I198" t="s">
        <v>15</v>
      </c>
      <c r="J198" t="s">
        <v>21</v>
      </c>
      <c r="K198" t="s">
        <v>22</v>
      </c>
      <c r="L198">
        <f>BDP($H198,"BICS_LEVEL_1_SECTOR_NAME")</f>
        <v/>
      </c>
      <c r="M198">
        <f>BDP($H198,"BICS_LEVEL_3_INDUSTRY_NAME")</f>
        <v/>
      </c>
    </row>
    <row r="199" spans="1:13">
      <c r="A199" t="s">
        <v>887</v>
      </c>
      <c r="B199" t="s">
        <v>14</v>
      </c>
      <c r="C199" t="s">
        <v>15</v>
      </c>
      <c r="D199" t="s">
        <v>888</v>
      </c>
      <c r="E199" t="s">
        <v>889</v>
      </c>
      <c r="F199" t="s">
        <v>18</v>
      </c>
      <c r="G199" t="s">
        <v>19</v>
      </c>
      <c r="H199" t="s">
        <v>890</v>
      </c>
      <c r="I199" t="s">
        <v>15</v>
      </c>
      <c r="J199" t="s">
        <v>21</v>
      </c>
      <c r="K199" t="s">
        <v>22</v>
      </c>
      <c r="L199">
        <f>BDP($H199,"BICS_LEVEL_1_SECTOR_NAME")</f>
        <v/>
      </c>
      <c r="M199">
        <f>BDP($H199,"BICS_LEVEL_3_INDUSTRY_NAME")</f>
        <v/>
      </c>
    </row>
    <row r="200" spans="1:13">
      <c r="A200" t="s">
        <v>891</v>
      </c>
      <c r="B200" t="s">
        <v>14</v>
      </c>
      <c r="C200" t="s">
        <v>15</v>
      </c>
      <c r="D200" t="s">
        <v>892</v>
      </c>
      <c r="E200" t="s">
        <v>893</v>
      </c>
      <c r="F200" t="s">
        <v>18</v>
      </c>
      <c r="G200" t="s">
        <v>19</v>
      </c>
      <c r="H200" t="s">
        <v>894</v>
      </c>
      <c r="I200" t="s">
        <v>15</v>
      </c>
      <c r="J200" t="s">
        <v>21</v>
      </c>
      <c r="K200" t="s">
        <v>22</v>
      </c>
      <c r="L200">
        <f>BDP($H200,"BICS_LEVEL_1_SECTOR_NAME")</f>
        <v/>
      </c>
      <c r="M200">
        <f>BDP($H200,"BICS_LEVEL_3_INDUSTRY_NAME")</f>
        <v/>
      </c>
    </row>
    <row r="201" spans="1:13">
      <c r="A201" t="s">
        <v>895</v>
      </c>
      <c r="B201" t="s">
        <v>14</v>
      </c>
      <c r="C201" t="s">
        <v>15</v>
      </c>
      <c r="D201" t="s">
        <v>896</v>
      </c>
      <c r="E201" t="s">
        <v>897</v>
      </c>
      <c r="F201" t="s">
        <v>63</v>
      </c>
      <c r="G201" t="s">
        <v>74</v>
      </c>
      <c r="H201" t="s">
        <v>898</v>
      </c>
      <c r="I201" t="s">
        <v>15</v>
      </c>
      <c r="J201" t="s">
        <v>21</v>
      </c>
      <c r="K201" t="s">
        <v>22</v>
      </c>
      <c r="L201">
        <f>BDP($H201,"BICS_LEVEL_1_SECTOR_NAME")</f>
        <v/>
      </c>
      <c r="M201">
        <f>BDP($H201,"BICS_LEVEL_3_INDUSTRY_NAME")</f>
        <v/>
      </c>
    </row>
    <row r="202" spans="1:13">
      <c r="A202" t="s">
        <v>899</v>
      </c>
      <c r="B202" t="s">
        <v>14</v>
      </c>
      <c r="C202" t="s">
        <v>15</v>
      </c>
      <c r="D202" t="s">
        <v>900</v>
      </c>
      <c r="E202" t="s">
        <v>901</v>
      </c>
      <c r="F202" t="s">
        <v>26</v>
      </c>
      <c r="G202" t="s">
        <v>902</v>
      </c>
      <c r="H202" t="s">
        <v>903</v>
      </c>
      <c r="I202" t="s">
        <v>15</v>
      </c>
      <c r="J202" t="s">
        <v>21</v>
      </c>
      <c r="K202" t="s">
        <v>22</v>
      </c>
      <c r="L202">
        <f>BDP($H202,"BICS_LEVEL_1_SECTOR_NAME")</f>
        <v/>
      </c>
      <c r="M202">
        <f>BDP($H202,"BICS_LEVEL_3_INDUSTRY_NAME")</f>
        <v/>
      </c>
    </row>
    <row r="203" spans="1:13">
      <c r="A203" t="s">
        <v>904</v>
      </c>
      <c r="B203" t="s">
        <v>14</v>
      </c>
      <c r="C203" t="s">
        <v>15</v>
      </c>
      <c r="D203" t="s">
        <v>905</v>
      </c>
      <c r="E203" t="s">
        <v>906</v>
      </c>
      <c r="F203" t="s">
        <v>32</v>
      </c>
      <c r="G203" t="s">
        <v>346</v>
      </c>
      <c r="H203" t="s">
        <v>907</v>
      </c>
      <c r="I203" t="s">
        <v>15</v>
      </c>
      <c r="J203" t="s">
        <v>21</v>
      </c>
      <c r="K203" t="s">
        <v>22</v>
      </c>
      <c r="L203">
        <f>BDP($H203,"BICS_LEVEL_1_SECTOR_NAME")</f>
        <v/>
      </c>
      <c r="M203">
        <f>BDP($H203,"BICS_LEVEL_3_INDUSTRY_NAME")</f>
        <v/>
      </c>
    </row>
    <row r="204" spans="1:13">
      <c r="A204" t="s">
        <v>908</v>
      </c>
      <c r="B204" t="s">
        <v>14</v>
      </c>
      <c r="C204" t="s">
        <v>15</v>
      </c>
      <c r="D204" t="s">
        <v>909</v>
      </c>
      <c r="E204" t="s">
        <v>910</v>
      </c>
      <c r="F204" t="s">
        <v>83</v>
      </c>
      <c r="G204" t="s">
        <v>151</v>
      </c>
      <c r="H204" t="s">
        <v>911</v>
      </c>
      <c r="I204" t="s">
        <v>15</v>
      </c>
      <c r="J204" t="s">
        <v>21</v>
      </c>
      <c r="K204" t="s">
        <v>22</v>
      </c>
      <c r="L204">
        <f>BDP($H204,"BICS_LEVEL_1_SECTOR_NAME")</f>
        <v/>
      </c>
      <c r="M204">
        <f>BDP($H204,"BICS_LEVEL_3_INDUSTRY_NAME")</f>
        <v/>
      </c>
    </row>
    <row r="205" spans="1:13">
      <c r="A205" t="s">
        <v>912</v>
      </c>
      <c r="B205" t="s">
        <v>14</v>
      </c>
      <c r="C205" t="s">
        <v>15</v>
      </c>
      <c r="D205" t="s">
        <v>913</v>
      </c>
      <c r="E205" t="s">
        <v>914</v>
      </c>
      <c r="F205" t="s">
        <v>26</v>
      </c>
      <c r="G205" t="s">
        <v>873</v>
      </c>
      <c r="H205" t="s">
        <v>915</v>
      </c>
      <c r="I205" t="s">
        <v>15</v>
      </c>
      <c r="J205" t="s">
        <v>21</v>
      </c>
      <c r="K205" t="s">
        <v>22</v>
      </c>
      <c r="L205">
        <f>BDP($H205,"BICS_LEVEL_1_SECTOR_NAME")</f>
        <v/>
      </c>
      <c r="M205">
        <f>BDP($H205,"BICS_LEVEL_3_INDUSTRY_NAME")</f>
        <v/>
      </c>
    </row>
    <row r="206" spans="1:13">
      <c r="A206" t="s">
        <v>916</v>
      </c>
      <c r="B206" t="s">
        <v>14</v>
      </c>
      <c r="C206" t="s">
        <v>15</v>
      </c>
      <c r="D206" t="s">
        <v>917</v>
      </c>
      <c r="E206" t="s">
        <v>918</v>
      </c>
      <c r="F206" t="s">
        <v>63</v>
      </c>
      <c r="G206" t="s">
        <v>74</v>
      </c>
      <c r="H206" t="s">
        <v>919</v>
      </c>
      <c r="I206" t="s">
        <v>15</v>
      </c>
      <c r="J206" t="s">
        <v>21</v>
      </c>
      <c r="K206" t="s">
        <v>22</v>
      </c>
      <c r="L206">
        <f>BDP($H206,"BICS_LEVEL_1_SECTOR_NAME")</f>
        <v/>
      </c>
      <c r="M206">
        <f>BDP($H206,"BICS_LEVEL_3_INDUSTRY_NAME")</f>
        <v/>
      </c>
    </row>
    <row r="207" spans="1:13">
      <c r="A207" t="s">
        <v>920</v>
      </c>
      <c r="B207" t="s">
        <v>14</v>
      </c>
      <c r="C207" t="s">
        <v>15</v>
      </c>
      <c r="D207" t="s">
        <v>921</v>
      </c>
      <c r="E207" t="s">
        <v>922</v>
      </c>
      <c r="F207" t="s">
        <v>18</v>
      </c>
      <c r="G207" t="s">
        <v>44</v>
      </c>
      <c r="H207" t="s">
        <v>923</v>
      </c>
      <c r="I207" t="s">
        <v>15</v>
      </c>
      <c r="J207" t="s">
        <v>21</v>
      </c>
      <c r="K207" t="s">
        <v>22</v>
      </c>
      <c r="L207">
        <f>BDP($H207,"BICS_LEVEL_1_SECTOR_NAME")</f>
        <v/>
      </c>
      <c r="M207">
        <f>BDP($H207,"BICS_LEVEL_3_INDUSTRY_NAME")</f>
        <v/>
      </c>
    </row>
    <row r="208" spans="1:13">
      <c r="A208" t="s">
        <v>924</v>
      </c>
      <c r="B208" t="s">
        <v>14</v>
      </c>
      <c r="C208" t="s">
        <v>15</v>
      </c>
      <c r="D208" t="s">
        <v>925</v>
      </c>
      <c r="E208" t="s">
        <v>926</v>
      </c>
      <c r="F208" t="s">
        <v>26</v>
      </c>
      <c r="G208" t="s">
        <v>93</v>
      </c>
      <c r="H208" t="s">
        <v>927</v>
      </c>
      <c r="I208" t="s">
        <v>15</v>
      </c>
      <c r="J208" t="s">
        <v>21</v>
      </c>
      <c r="K208" t="s">
        <v>22</v>
      </c>
      <c r="L208">
        <f>BDP($H208,"BICS_LEVEL_1_SECTOR_NAME")</f>
        <v/>
      </c>
      <c r="M208">
        <f>BDP($H208,"BICS_LEVEL_3_INDUSTRY_NAME")</f>
        <v/>
      </c>
    </row>
    <row r="209" spans="1:13">
      <c r="A209" t="s">
        <v>928</v>
      </c>
      <c r="B209" t="s">
        <v>14</v>
      </c>
      <c r="C209" t="s">
        <v>15</v>
      </c>
      <c r="D209" t="s">
        <v>929</v>
      </c>
      <c r="E209" t="s">
        <v>930</v>
      </c>
      <c r="F209" t="s">
        <v>26</v>
      </c>
      <c r="G209" t="s">
        <v>165</v>
      </c>
      <c r="H209" t="s">
        <v>931</v>
      </c>
      <c r="I209" t="s">
        <v>15</v>
      </c>
      <c r="J209" t="s">
        <v>21</v>
      </c>
      <c r="K209" t="s">
        <v>22</v>
      </c>
      <c r="L209">
        <f>BDP($H209,"BICS_LEVEL_1_SECTOR_NAME")</f>
        <v/>
      </c>
      <c r="M209">
        <f>BDP($H209,"BICS_LEVEL_3_INDUSTRY_NAME")</f>
        <v/>
      </c>
    </row>
    <row r="210" spans="1:13">
      <c r="A210" t="s">
        <v>932</v>
      </c>
      <c r="B210" t="s">
        <v>14</v>
      </c>
      <c r="C210" t="s">
        <v>15</v>
      </c>
      <c r="D210" t="s">
        <v>933</v>
      </c>
      <c r="E210" t="s">
        <v>934</v>
      </c>
      <c r="F210" t="s">
        <v>18</v>
      </c>
      <c r="G210" t="s">
        <v>137</v>
      </c>
      <c r="H210" t="s">
        <v>935</v>
      </c>
      <c r="I210" t="s">
        <v>15</v>
      </c>
      <c r="J210" t="s">
        <v>21</v>
      </c>
      <c r="K210" t="s">
        <v>22</v>
      </c>
      <c r="L210">
        <f>BDP($H210,"BICS_LEVEL_1_SECTOR_NAME")</f>
        <v/>
      </c>
      <c r="M210">
        <f>BDP($H210,"BICS_LEVEL_3_INDUSTRY_NAME")</f>
        <v/>
      </c>
    </row>
    <row r="211" spans="1:13">
      <c r="A211" t="s">
        <v>936</v>
      </c>
      <c r="B211" t="s">
        <v>14</v>
      </c>
      <c r="C211" t="s">
        <v>15</v>
      </c>
      <c r="D211" t="s">
        <v>937</v>
      </c>
      <c r="E211" t="s">
        <v>938</v>
      </c>
      <c r="F211" t="s">
        <v>32</v>
      </c>
      <c r="G211" t="s">
        <v>184</v>
      </c>
      <c r="H211" t="s">
        <v>939</v>
      </c>
      <c r="I211" t="s">
        <v>15</v>
      </c>
      <c r="J211" t="s">
        <v>21</v>
      </c>
      <c r="K211" t="s">
        <v>22</v>
      </c>
      <c r="L211">
        <f>BDP($H211,"BICS_LEVEL_1_SECTOR_NAME")</f>
        <v/>
      </c>
      <c r="M211">
        <f>BDP($H211,"BICS_LEVEL_3_INDUSTRY_NAME")</f>
        <v/>
      </c>
    </row>
    <row r="212" spans="1:13">
      <c r="A212" t="s">
        <v>940</v>
      </c>
      <c r="B212" t="s">
        <v>14</v>
      </c>
      <c r="C212" t="s">
        <v>15</v>
      </c>
      <c r="D212" t="s">
        <v>941</v>
      </c>
      <c r="E212" t="s">
        <v>942</v>
      </c>
      <c r="F212" t="s">
        <v>32</v>
      </c>
      <c r="G212" t="s">
        <v>395</v>
      </c>
      <c r="H212" t="s">
        <v>943</v>
      </c>
      <c r="I212" t="s">
        <v>15</v>
      </c>
      <c r="J212" t="s">
        <v>21</v>
      </c>
      <c r="K212" t="s">
        <v>22</v>
      </c>
      <c r="L212">
        <f>BDP($H212,"BICS_LEVEL_1_SECTOR_NAME")</f>
        <v/>
      </c>
      <c r="M212">
        <f>BDP($H212,"BICS_LEVEL_3_INDUSTRY_NAME")</f>
        <v/>
      </c>
    </row>
    <row r="213" spans="1:13">
      <c r="A213" t="s">
        <v>944</v>
      </c>
      <c r="B213" t="s">
        <v>14</v>
      </c>
      <c r="C213" t="s">
        <v>15</v>
      </c>
      <c r="D213" t="s">
        <v>945</v>
      </c>
      <c r="E213" t="s">
        <v>946</v>
      </c>
      <c r="F213" t="s">
        <v>26</v>
      </c>
      <c r="G213" t="s">
        <v>103</v>
      </c>
      <c r="H213" t="s">
        <v>947</v>
      </c>
      <c r="I213" t="s">
        <v>15</v>
      </c>
      <c r="J213" t="s">
        <v>21</v>
      </c>
      <c r="K213" t="s">
        <v>22</v>
      </c>
      <c r="L213">
        <f>BDP($H213,"BICS_LEVEL_1_SECTOR_NAME")</f>
        <v/>
      </c>
      <c r="M213">
        <f>BDP($H213,"BICS_LEVEL_3_INDUSTRY_NAME")</f>
        <v/>
      </c>
    </row>
    <row r="214" spans="1:13">
      <c r="A214" t="s">
        <v>948</v>
      </c>
      <c r="B214" t="s">
        <v>14</v>
      </c>
      <c r="C214" t="s">
        <v>15</v>
      </c>
      <c r="D214" t="s">
        <v>949</v>
      </c>
      <c r="E214" t="s">
        <v>950</v>
      </c>
      <c r="F214" t="s">
        <v>83</v>
      </c>
      <c r="G214" t="s">
        <v>170</v>
      </c>
      <c r="H214" t="s">
        <v>951</v>
      </c>
      <c r="I214" t="s">
        <v>15</v>
      </c>
      <c r="J214" t="s">
        <v>21</v>
      </c>
      <c r="K214" t="s">
        <v>22</v>
      </c>
      <c r="L214">
        <f>BDP($H214,"BICS_LEVEL_1_SECTOR_NAME")</f>
        <v/>
      </c>
      <c r="M214">
        <f>BDP($H214,"BICS_LEVEL_3_INDUSTRY_NAME")</f>
        <v/>
      </c>
    </row>
    <row r="215" spans="1:13">
      <c r="A215" t="s">
        <v>952</v>
      </c>
      <c r="B215" t="s">
        <v>14</v>
      </c>
      <c r="C215" t="s">
        <v>15</v>
      </c>
      <c r="D215" t="s">
        <v>953</v>
      </c>
      <c r="E215" t="s">
        <v>954</v>
      </c>
      <c r="F215" t="s">
        <v>18</v>
      </c>
      <c r="G215" t="s">
        <v>268</v>
      </c>
      <c r="H215" t="s">
        <v>955</v>
      </c>
      <c r="I215" t="s">
        <v>15</v>
      </c>
      <c r="J215" t="s">
        <v>21</v>
      </c>
      <c r="K215" t="s">
        <v>22</v>
      </c>
      <c r="L215">
        <f>BDP($H215,"BICS_LEVEL_1_SECTOR_NAME")</f>
        <v/>
      </c>
      <c r="M215">
        <f>BDP($H215,"BICS_LEVEL_3_INDUSTRY_NAME")</f>
        <v/>
      </c>
    </row>
    <row r="216" spans="1:13">
      <c r="A216" t="s">
        <v>956</v>
      </c>
      <c r="B216" t="s">
        <v>14</v>
      </c>
      <c r="C216" t="s">
        <v>15</v>
      </c>
      <c r="D216" t="s">
        <v>957</v>
      </c>
      <c r="E216" t="s">
        <v>958</v>
      </c>
      <c r="F216" t="s">
        <v>63</v>
      </c>
      <c r="G216" t="s">
        <v>451</v>
      </c>
      <c r="H216" t="s">
        <v>959</v>
      </c>
      <c r="I216" t="s">
        <v>15</v>
      </c>
      <c r="J216" t="s">
        <v>21</v>
      </c>
      <c r="K216" t="s">
        <v>22</v>
      </c>
      <c r="L216">
        <f>BDP($H216,"BICS_LEVEL_1_SECTOR_NAME")</f>
        <v/>
      </c>
      <c r="M216">
        <f>BDP($H216,"BICS_LEVEL_3_INDUSTRY_NAME")</f>
        <v/>
      </c>
    </row>
    <row r="217" spans="1:13">
      <c r="A217" t="s">
        <v>960</v>
      </c>
      <c r="B217" t="s">
        <v>14</v>
      </c>
      <c r="C217" t="s">
        <v>15</v>
      </c>
      <c r="D217" t="s">
        <v>961</v>
      </c>
      <c r="E217" t="s">
        <v>962</v>
      </c>
      <c r="F217" t="s">
        <v>83</v>
      </c>
      <c r="G217" t="s">
        <v>84</v>
      </c>
      <c r="H217" t="s">
        <v>963</v>
      </c>
      <c r="I217" t="s">
        <v>15</v>
      </c>
      <c r="J217" t="s">
        <v>21</v>
      </c>
      <c r="K217" t="s">
        <v>22</v>
      </c>
      <c r="L217">
        <f>BDP($H217,"BICS_LEVEL_1_SECTOR_NAME")</f>
        <v/>
      </c>
      <c r="M217">
        <f>BDP($H217,"BICS_LEVEL_3_INDUSTRY_NAME")</f>
        <v/>
      </c>
    </row>
    <row r="218" spans="1:13">
      <c r="A218" t="s">
        <v>964</v>
      </c>
      <c r="B218" t="s">
        <v>14</v>
      </c>
      <c r="C218" t="s">
        <v>15</v>
      </c>
      <c r="D218" t="s">
        <v>965</v>
      </c>
      <c r="E218" t="s">
        <v>966</v>
      </c>
      <c r="F218" t="s">
        <v>18</v>
      </c>
      <c r="G218" t="s">
        <v>44</v>
      </c>
      <c r="H218" t="s">
        <v>967</v>
      </c>
      <c r="I218" t="s">
        <v>15</v>
      </c>
      <c r="J218" t="s">
        <v>21</v>
      </c>
      <c r="K218" t="s">
        <v>22</v>
      </c>
      <c r="L218">
        <f>BDP($H218,"BICS_LEVEL_1_SECTOR_NAME")</f>
        <v/>
      </c>
      <c r="M218">
        <f>BDP($H218,"BICS_LEVEL_3_INDUSTRY_NAME")</f>
        <v/>
      </c>
    </row>
    <row r="219" spans="1:13">
      <c r="A219" t="s">
        <v>968</v>
      </c>
      <c r="B219" t="s">
        <v>14</v>
      </c>
      <c r="C219" t="s">
        <v>15</v>
      </c>
      <c r="D219" t="s">
        <v>969</v>
      </c>
      <c r="E219" t="s">
        <v>970</v>
      </c>
      <c r="F219" t="s">
        <v>63</v>
      </c>
      <c r="G219" t="s">
        <v>74</v>
      </c>
      <c r="H219" t="s">
        <v>971</v>
      </c>
      <c r="I219" t="s">
        <v>15</v>
      </c>
      <c r="J219" t="s">
        <v>21</v>
      </c>
      <c r="K219" t="s">
        <v>22</v>
      </c>
      <c r="L219">
        <f>BDP($H219,"BICS_LEVEL_1_SECTOR_NAME")</f>
        <v/>
      </c>
      <c r="M219">
        <f>BDP($H219,"BICS_LEVEL_3_INDUSTRY_NAME")</f>
        <v/>
      </c>
    </row>
    <row r="220" spans="1:13">
      <c r="A220" t="s">
        <v>972</v>
      </c>
      <c r="B220" t="s">
        <v>14</v>
      </c>
      <c r="C220" t="s">
        <v>15</v>
      </c>
      <c r="D220" t="s">
        <v>973</v>
      </c>
      <c r="E220" t="s">
        <v>974</v>
      </c>
      <c r="F220" t="s">
        <v>18</v>
      </c>
      <c r="G220" t="s">
        <v>44</v>
      </c>
      <c r="H220" t="s">
        <v>975</v>
      </c>
      <c r="I220" t="s">
        <v>15</v>
      </c>
      <c r="J220" t="s">
        <v>21</v>
      </c>
      <c r="K220" t="s">
        <v>22</v>
      </c>
      <c r="L220">
        <f>BDP($H220,"BICS_LEVEL_1_SECTOR_NAME")</f>
        <v/>
      </c>
      <c r="M220">
        <f>BDP($H220,"BICS_LEVEL_3_INDUSTRY_NAME")</f>
        <v/>
      </c>
    </row>
    <row r="221" spans="1:13">
      <c r="A221" t="s">
        <v>976</v>
      </c>
      <c r="B221" t="s">
        <v>14</v>
      </c>
      <c r="C221" t="s">
        <v>15</v>
      </c>
      <c r="D221" t="s">
        <v>977</v>
      </c>
      <c r="E221" t="s">
        <v>978</v>
      </c>
      <c r="F221" t="s">
        <v>26</v>
      </c>
      <c r="G221" t="s">
        <v>684</v>
      </c>
      <c r="H221" t="s">
        <v>979</v>
      </c>
      <c r="I221" t="s">
        <v>15</v>
      </c>
      <c r="J221" t="s">
        <v>21</v>
      </c>
      <c r="K221" t="s">
        <v>22</v>
      </c>
      <c r="L221">
        <f>BDP($H221,"BICS_LEVEL_1_SECTOR_NAME")</f>
        <v/>
      </c>
      <c r="M221">
        <f>BDP($H221,"BICS_LEVEL_3_INDUSTRY_NAME")</f>
        <v/>
      </c>
    </row>
    <row r="222" spans="1:13">
      <c r="A222" t="s">
        <v>980</v>
      </c>
      <c r="B222" t="s">
        <v>14</v>
      </c>
      <c r="C222" t="s">
        <v>15</v>
      </c>
      <c r="D222" t="s">
        <v>981</v>
      </c>
      <c r="E222" t="s">
        <v>982</v>
      </c>
      <c r="F222" t="s">
        <v>18</v>
      </c>
      <c r="G222" t="s">
        <v>44</v>
      </c>
      <c r="H222" t="s">
        <v>983</v>
      </c>
      <c r="I222" t="s">
        <v>15</v>
      </c>
      <c r="J222" t="s">
        <v>21</v>
      </c>
      <c r="K222" t="s">
        <v>22</v>
      </c>
      <c r="L222">
        <f>BDP($H222,"BICS_LEVEL_1_SECTOR_NAME")</f>
        <v/>
      </c>
      <c r="M222">
        <f>BDP($H222,"BICS_LEVEL_3_INDUSTRY_NAME")</f>
        <v/>
      </c>
    </row>
    <row r="223" spans="1:13">
      <c r="A223" t="s">
        <v>984</v>
      </c>
      <c r="B223" t="s">
        <v>14</v>
      </c>
      <c r="C223" t="s">
        <v>15</v>
      </c>
      <c r="D223" t="s">
        <v>985</v>
      </c>
      <c r="E223" t="s">
        <v>986</v>
      </c>
      <c r="F223" t="s">
        <v>26</v>
      </c>
      <c r="G223" t="s">
        <v>987</v>
      </c>
      <c r="H223" t="s">
        <v>988</v>
      </c>
      <c r="I223" t="s">
        <v>15</v>
      </c>
      <c r="J223" t="s">
        <v>21</v>
      </c>
      <c r="K223" t="s">
        <v>22</v>
      </c>
      <c r="L223">
        <f>BDP($H223,"BICS_LEVEL_1_SECTOR_NAME")</f>
        <v/>
      </c>
      <c r="M223">
        <f>BDP($H223,"BICS_LEVEL_3_INDUSTRY_NAME")</f>
        <v/>
      </c>
    </row>
    <row r="224" spans="1:13">
      <c r="A224" t="s">
        <v>989</v>
      </c>
      <c r="B224" t="s">
        <v>14</v>
      </c>
      <c r="C224" t="s">
        <v>15</v>
      </c>
      <c r="D224" t="s">
        <v>990</v>
      </c>
      <c r="E224" t="s">
        <v>991</v>
      </c>
      <c r="F224" t="s">
        <v>26</v>
      </c>
      <c r="G224" t="s">
        <v>992</v>
      </c>
      <c r="H224" t="s">
        <v>993</v>
      </c>
      <c r="I224" t="s">
        <v>15</v>
      </c>
      <c r="J224" t="s">
        <v>21</v>
      </c>
      <c r="K224" t="s">
        <v>22</v>
      </c>
      <c r="L224">
        <f>BDP($H224,"BICS_LEVEL_1_SECTOR_NAME")</f>
        <v/>
      </c>
      <c r="M224">
        <f>BDP($H224,"BICS_LEVEL_3_INDUSTRY_NAME")</f>
        <v/>
      </c>
    </row>
    <row r="225" spans="1:13">
      <c r="A225" t="s">
        <v>994</v>
      </c>
      <c r="B225" t="s">
        <v>14</v>
      </c>
      <c r="C225" t="s">
        <v>15</v>
      </c>
      <c r="D225" t="s">
        <v>995</v>
      </c>
      <c r="E225" t="s">
        <v>996</v>
      </c>
      <c r="F225" t="s">
        <v>83</v>
      </c>
      <c r="G225" t="s">
        <v>655</v>
      </c>
      <c r="H225" t="s">
        <v>997</v>
      </c>
      <c r="I225" t="s">
        <v>15</v>
      </c>
      <c r="J225" t="s">
        <v>21</v>
      </c>
      <c r="K225" t="s">
        <v>22</v>
      </c>
      <c r="L225">
        <f>BDP($H225,"BICS_LEVEL_1_SECTOR_NAME")</f>
        <v/>
      </c>
      <c r="M225">
        <f>BDP($H225,"BICS_LEVEL_3_INDUSTRY_NAME")</f>
        <v/>
      </c>
    </row>
    <row r="226" spans="1:13">
      <c r="A226" t="s">
        <v>998</v>
      </c>
      <c r="B226" t="s">
        <v>14</v>
      </c>
      <c r="C226" t="s">
        <v>15</v>
      </c>
      <c r="D226" t="s">
        <v>999</v>
      </c>
      <c r="E226" t="s">
        <v>1000</v>
      </c>
      <c r="F226" t="s">
        <v>18</v>
      </c>
      <c r="G226" t="s">
        <v>44</v>
      </c>
      <c r="H226" t="s">
        <v>1001</v>
      </c>
      <c r="I226" t="s">
        <v>15</v>
      </c>
      <c r="J226" t="s">
        <v>21</v>
      </c>
      <c r="K226" t="s">
        <v>22</v>
      </c>
      <c r="L226">
        <f>BDP($H226,"BICS_LEVEL_1_SECTOR_NAME")</f>
        <v/>
      </c>
      <c r="M226">
        <f>BDP($H226,"BICS_LEVEL_3_INDUSTRY_NAME")</f>
        <v/>
      </c>
    </row>
    <row r="227" spans="1:13">
      <c r="A227" t="s">
        <v>1002</v>
      </c>
      <c r="B227" t="s">
        <v>14</v>
      </c>
      <c r="C227" t="s">
        <v>15</v>
      </c>
      <c r="D227" t="s">
        <v>1003</v>
      </c>
      <c r="E227" t="s">
        <v>1004</v>
      </c>
      <c r="F227" t="s">
        <v>63</v>
      </c>
      <c r="G227" t="s">
        <v>64</v>
      </c>
      <c r="H227" t="s">
        <v>1005</v>
      </c>
      <c r="I227" t="s">
        <v>15</v>
      </c>
      <c r="J227" t="s">
        <v>21</v>
      </c>
      <c r="K227" t="s">
        <v>22</v>
      </c>
      <c r="L227">
        <f>BDP($H227,"BICS_LEVEL_1_SECTOR_NAME")</f>
        <v/>
      </c>
      <c r="M227">
        <f>BDP($H227,"BICS_LEVEL_3_INDUSTRY_NAME")</f>
        <v/>
      </c>
    </row>
    <row r="228" spans="1:13">
      <c r="A228" t="s">
        <v>1006</v>
      </c>
      <c r="B228" t="s">
        <v>14</v>
      </c>
      <c r="C228" t="s">
        <v>15</v>
      </c>
      <c r="D228" t="s">
        <v>1007</v>
      </c>
      <c r="E228" t="s">
        <v>1008</v>
      </c>
      <c r="F228" t="s">
        <v>26</v>
      </c>
      <c r="G228" t="s">
        <v>562</v>
      </c>
      <c r="H228" t="s">
        <v>1009</v>
      </c>
      <c r="I228" t="s">
        <v>15</v>
      </c>
      <c r="J228" t="s">
        <v>21</v>
      </c>
      <c r="K228" t="s">
        <v>22</v>
      </c>
      <c r="L228">
        <f>BDP($H228,"BICS_LEVEL_1_SECTOR_NAME")</f>
        <v/>
      </c>
      <c r="M228">
        <f>BDP($H228,"BICS_LEVEL_3_INDUSTRY_NAME")</f>
        <v/>
      </c>
    </row>
    <row r="229" spans="1:13">
      <c r="A229" t="s">
        <v>1010</v>
      </c>
      <c r="B229" t="s">
        <v>14</v>
      </c>
      <c r="C229" t="s">
        <v>15</v>
      </c>
      <c r="D229" t="s">
        <v>1011</v>
      </c>
      <c r="E229" t="s">
        <v>1012</v>
      </c>
      <c r="F229" t="s">
        <v>32</v>
      </c>
      <c r="G229" t="s">
        <v>320</v>
      </c>
      <c r="H229" t="s">
        <v>1013</v>
      </c>
      <c r="I229" t="s">
        <v>15</v>
      </c>
      <c r="J229" t="s">
        <v>21</v>
      </c>
      <c r="K229" t="s">
        <v>22</v>
      </c>
      <c r="L229">
        <f>BDP($H229,"BICS_LEVEL_1_SECTOR_NAME")</f>
        <v/>
      </c>
      <c r="M229">
        <f>BDP($H229,"BICS_LEVEL_3_INDUSTRY_NAME")</f>
        <v/>
      </c>
    </row>
    <row r="230" spans="1:13">
      <c r="A230" t="s">
        <v>1014</v>
      </c>
      <c r="B230" t="s">
        <v>14</v>
      </c>
      <c r="C230" t="s">
        <v>15</v>
      </c>
      <c r="D230" t="s">
        <v>1015</v>
      </c>
      <c r="E230" t="s">
        <v>1016</v>
      </c>
      <c r="F230" t="s">
        <v>63</v>
      </c>
      <c r="G230" t="s">
        <v>74</v>
      </c>
      <c r="H230" t="s">
        <v>1017</v>
      </c>
      <c r="I230" t="s">
        <v>15</v>
      </c>
      <c r="J230" t="s">
        <v>21</v>
      </c>
      <c r="K230" t="s">
        <v>22</v>
      </c>
      <c r="L230">
        <f>BDP($H230,"BICS_LEVEL_1_SECTOR_NAME")</f>
        <v/>
      </c>
      <c r="M230">
        <f>BDP($H230,"BICS_LEVEL_3_INDUSTRY_NAME")</f>
        <v/>
      </c>
    </row>
    <row r="231" spans="1:13">
      <c r="A231" t="s">
        <v>1018</v>
      </c>
      <c r="B231" t="s">
        <v>14</v>
      </c>
      <c r="C231" t="s">
        <v>15</v>
      </c>
      <c r="D231" t="s">
        <v>1019</v>
      </c>
      <c r="E231" t="s">
        <v>1020</v>
      </c>
      <c r="F231" t="s">
        <v>18</v>
      </c>
      <c r="G231" t="s">
        <v>44</v>
      </c>
      <c r="H231" t="s">
        <v>1021</v>
      </c>
      <c r="I231" t="s">
        <v>15</v>
      </c>
      <c r="J231" t="s">
        <v>21</v>
      </c>
      <c r="K231" t="s">
        <v>22</v>
      </c>
      <c r="L231">
        <f>BDP($H231,"BICS_LEVEL_1_SECTOR_NAME")</f>
        <v/>
      </c>
      <c r="M231">
        <f>BDP($H231,"BICS_LEVEL_3_INDUSTRY_NAME")</f>
        <v/>
      </c>
    </row>
    <row r="232" spans="1:13">
      <c r="A232" t="s">
        <v>1022</v>
      </c>
      <c r="B232" t="s">
        <v>14</v>
      </c>
      <c r="C232" t="s">
        <v>15</v>
      </c>
      <c r="D232" t="s">
        <v>1023</v>
      </c>
      <c r="E232" t="s">
        <v>1024</v>
      </c>
      <c r="F232" t="s">
        <v>32</v>
      </c>
      <c r="G232" t="s">
        <v>1025</v>
      </c>
      <c r="H232" t="s">
        <v>1026</v>
      </c>
      <c r="I232" t="s">
        <v>15</v>
      </c>
      <c r="J232" t="s">
        <v>21</v>
      </c>
      <c r="K232" t="s">
        <v>22</v>
      </c>
      <c r="L232">
        <f>BDP($H232,"BICS_LEVEL_1_SECTOR_NAME")</f>
        <v/>
      </c>
      <c r="M232">
        <f>BDP($H232,"BICS_LEVEL_3_INDUSTRY_NAME")</f>
        <v/>
      </c>
    </row>
    <row r="233" spans="1:13">
      <c r="A233" t="s">
        <v>1027</v>
      </c>
      <c r="B233" t="s">
        <v>14</v>
      </c>
      <c r="C233" t="s">
        <v>15</v>
      </c>
      <c r="D233" t="s">
        <v>1028</v>
      </c>
      <c r="E233" t="s">
        <v>1029</v>
      </c>
      <c r="F233" t="s">
        <v>83</v>
      </c>
      <c r="G233" t="s">
        <v>84</v>
      </c>
      <c r="H233" t="s">
        <v>1030</v>
      </c>
      <c r="I233" t="s">
        <v>15</v>
      </c>
      <c r="J233" t="s">
        <v>21</v>
      </c>
      <c r="K233" t="s">
        <v>22</v>
      </c>
      <c r="L233">
        <f>BDP($H233,"BICS_LEVEL_1_SECTOR_NAME")</f>
        <v/>
      </c>
      <c r="M233">
        <f>BDP($H233,"BICS_LEVEL_3_INDUSTRY_NAME")</f>
        <v/>
      </c>
    </row>
    <row r="234" spans="1:13">
      <c r="A234" t="s">
        <v>1031</v>
      </c>
      <c r="B234" t="s">
        <v>14</v>
      </c>
      <c r="C234" t="s">
        <v>15</v>
      </c>
      <c r="D234" t="s">
        <v>1032</v>
      </c>
      <c r="E234" t="s">
        <v>1033</v>
      </c>
      <c r="F234" t="s">
        <v>32</v>
      </c>
      <c r="G234" t="s">
        <v>446</v>
      </c>
      <c r="H234" t="s">
        <v>1034</v>
      </c>
      <c r="I234" t="s">
        <v>15</v>
      </c>
      <c r="J234" t="s">
        <v>21</v>
      </c>
      <c r="K234" t="s">
        <v>22</v>
      </c>
      <c r="L234">
        <f>BDP($H234,"BICS_LEVEL_1_SECTOR_NAME")</f>
        <v/>
      </c>
      <c r="M234">
        <f>BDP($H234,"BICS_LEVEL_3_INDUSTRY_NAME")</f>
        <v/>
      </c>
    </row>
    <row r="235" spans="1:13">
      <c r="A235" t="s">
        <v>1035</v>
      </c>
      <c r="B235" t="s">
        <v>14</v>
      </c>
      <c r="C235" t="s">
        <v>15</v>
      </c>
      <c r="D235" t="s">
        <v>1036</v>
      </c>
      <c r="E235" t="s">
        <v>1037</v>
      </c>
      <c r="F235" t="s">
        <v>18</v>
      </c>
      <c r="G235" t="s">
        <v>44</v>
      </c>
      <c r="H235" t="s">
        <v>1038</v>
      </c>
      <c r="I235" t="s">
        <v>15</v>
      </c>
      <c r="J235" t="s">
        <v>21</v>
      </c>
      <c r="K235" t="s">
        <v>22</v>
      </c>
      <c r="L235">
        <f>BDP($H235,"BICS_LEVEL_1_SECTOR_NAME")</f>
        <v/>
      </c>
      <c r="M235">
        <f>BDP($H235,"BICS_LEVEL_3_INDUSTRY_NAME")</f>
        <v/>
      </c>
    </row>
    <row r="236" spans="1:13">
      <c r="A236" t="s">
        <v>1039</v>
      </c>
      <c r="B236" t="s">
        <v>14</v>
      </c>
      <c r="C236" t="s">
        <v>15</v>
      </c>
      <c r="D236" t="s">
        <v>1040</v>
      </c>
      <c r="E236" t="s">
        <v>1041</v>
      </c>
      <c r="F236" t="s">
        <v>1042</v>
      </c>
      <c r="G236" t="s">
        <v>1043</v>
      </c>
      <c r="H236" t="s">
        <v>1044</v>
      </c>
      <c r="I236" t="s">
        <v>15</v>
      </c>
      <c r="J236" t="s">
        <v>21</v>
      </c>
      <c r="K236" t="s">
        <v>22</v>
      </c>
      <c r="L236">
        <f>BDP($H236,"BICS_LEVEL_1_SECTOR_NAME")</f>
        <v/>
      </c>
      <c r="M236">
        <f>BDP($H236,"BICS_LEVEL_3_INDUSTRY_NAME")</f>
        <v/>
      </c>
    </row>
    <row r="237" spans="1:13">
      <c r="A237" t="s">
        <v>1045</v>
      </c>
      <c r="B237" t="s">
        <v>14</v>
      </c>
      <c r="C237" t="s">
        <v>15</v>
      </c>
      <c r="D237" t="s">
        <v>1046</v>
      </c>
      <c r="E237" t="s">
        <v>1047</v>
      </c>
      <c r="F237" t="s">
        <v>26</v>
      </c>
      <c r="G237" t="s">
        <v>684</v>
      </c>
      <c r="H237" t="s">
        <v>1048</v>
      </c>
      <c r="I237" t="s">
        <v>15</v>
      </c>
      <c r="J237" t="s">
        <v>21</v>
      </c>
      <c r="K237" t="s">
        <v>22</v>
      </c>
      <c r="L237">
        <f>BDP($H237,"BICS_LEVEL_1_SECTOR_NAME")</f>
        <v/>
      </c>
      <c r="M237">
        <f>BDP($H237,"BICS_LEVEL_3_INDUSTRY_NAME")</f>
        <v/>
      </c>
    </row>
    <row r="238" spans="1:13">
      <c r="A238" t="s">
        <v>1049</v>
      </c>
      <c r="B238" t="s">
        <v>14</v>
      </c>
      <c r="C238" t="s">
        <v>15</v>
      </c>
      <c r="D238" t="s">
        <v>1050</v>
      </c>
      <c r="E238" t="s">
        <v>1051</v>
      </c>
      <c r="F238" t="s">
        <v>83</v>
      </c>
      <c r="G238" t="s">
        <v>151</v>
      </c>
      <c r="H238" t="s">
        <v>1052</v>
      </c>
      <c r="I238" t="s">
        <v>15</v>
      </c>
      <c r="J238" t="s">
        <v>21</v>
      </c>
      <c r="K238" t="s">
        <v>22</v>
      </c>
      <c r="L238">
        <f>BDP($H238,"BICS_LEVEL_1_SECTOR_NAME")</f>
        <v/>
      </c>
      <c r="M238">
        <f>BDP($H238,"BICS_LEVEL_3_INDUSTRY_NAME")</f>
        <v/>
      </c>
    </row>
    <row r="239" spans="1:13">
      <c r="A239" t="s">
        <v>1053</v>
      </c>
      <c r="B239" t="s">
        <v>14</v>
      </c>
      <c r="C239" t="s">
        <v>15</v>
      </c>
      <c r="D239" t="s">
        <v>1054</v>
      </c>
      <c r="E239" t="s">
        <v>1055</v>
      </c>
      <c r="F239" t="s">
        <v>83</v>
      </c>
      <c r="G239" t="s">
        <v>170</v>
      </c>
      <c r="H239" t="s">
        <v>1056</v>
      </c>
      <c r="I239" t="s">
        <v>15</v>
      </c>
      <c r="J239" t="s">
        <v>21</v>
      </c>
      <c r="K239" t="s">
        <v>22</v>
      </c>
      <c r="L239">
        <f>BDP($H239,"BICS_LEVEL_1_SECTOR_NAME")</f>
        <v/>
      </c>
      <c r="M239">
        <f>BDP($H239,"BICS_LEVEL_3_INDUSTRY_NAME")</f>
        <v/>
      </c>
    </row>
    <row r="240" spans="1:13">
      <c r="A240" t="s">
        <v>1057</v>
      </c>
      <c r="B240" t="s">
        <v>14</v>
      </c>
      <c r="C240" t="s">
        <v>15</v>
      </c>
      <c r="D240" t="s">
        <v>1058</v>
      </c>
      <c r="E240" t="s">
        <v>1059</v>
      </c>
      <c r="F240" t="s">
        <v>18</v>
      </c>
      <c r="G240" t="s">
        <v>254</v>
      </c>
      <c r="H240" t="s">
        <v>1060</v>
      </c>
      <c r="I240" t="s">
        <v>15</v>
      </c>
      <c r="J240" t="s">
        <v>21</v>
      </c>
      <c r="K240" t="s">
        <v>22</v>
      </c>
      <c r="L240">
        <f>BDP($H240,"BICS_LEVEL_1_SECTOR_NAME")</f>
        <v/>
      </c>
      <c r="M240">
        <f>BDP($H240,"BICS_LEVEL_3_INDUSTRY_NAME")</f>
        <v/>
      </c>
    </row>
    <row r="241" spans="1:13">
      <c r="A241" t="s">
        <v>1061</v>
      </c>
      <c r="B241" t="s">
        <v>14</v>
      </c>
      <c r="C241" t="s">
        <v>15</v>
      </c>
      <c r="D241" t="s">
        <v>1062</v>
      </c>
      <c r="E241" t="s">
        <v>1063</v>
      </c>
      <c r="F241" t="s">
        <v>83</v>
      </c>
      <c r="G241" t="s">
        <v>160</v>
      </c>
      <c r="H241" t="s">
        <v>1064</v>
      </c>
      <c r="I241" t="s">
        <v>15</v>
      </c>
      <c r="J241" t="s">
        <v>21</v>
      </c>
      <c r="K241" t="s">
        <v>22</v>
      </c>
      <c r="L241">
        <f>BDP($H241,"BICS_LEVEL_1_SECTOR_NAME")</f>
        <v/>
      </c>
      <c r="M241">
        <f>BDP($H241,"BICS_LEVEL_3_INDUSTRY_NAME")</f>
        <v/>
      </c>
    </row>
    <row r="242" spans="1:13">
      <c r="A242" t="s">
        <v>1065</v>
      </c>
      <c r="B242" t="s">
        <v>14</v>
      </c>
      <c r="C242" t="s">
        <v>15</v>
      </c>
      <c r="D242" t="s">
        <v>1066</v>
      </c>
      <c r="E242" t="s">
        <v>1067</v>
      </c>
      <c r="F242" t="s">
        <v>18</v>
      </c>
      <c r="G242" t="s">
        <v>254</v>
      </c>
      <c r="H242" t="s">
        <v>1068</v>
      </c>
      <c r="I242" t="s">
        <v>15</v>
      </c>
      <c r="J242" t="s">
        <v>21</v>
      </c>
      <c r="K242" t="s">
        <v>22</v>
      </c>
      <c r="L242">
        <f>BDP($H242,"BICS_LEVEL_1_SECTOR_NAME")</f>
        <v/>
      </c>
      <c r="M242">
        <f>BDP($H242,"BICS_LEVEL_3_INDUSTRY_NAME")</f>
        <v/>
      </c>
    </row>
    <row r="243" spans="1:13">
      <c r="A243" t="s">
        <v>1069</v>
      </c>
      <c r="B243" t="s">
        <v>14</v>
      </c>
      <c r="C243" t="s">
        <v>15</v>
      </c>
      <c r="D243" t="s">
        <v>1070</v>
      </c>
      <c r="E243" t="s">
        <v>1071</v>
      </c>
      <c r="F243" t="s">
        <v>83</v>
      </c>
      <c r="G243" t="s">
        <v>84</v>
      </c>
      <c r="H243" t="s">
        <v>1072</v>
      </c>
      <c r="I243" t="s">
        <v>15</v>
      </c>
      <c r="J243" t="s">
        <v>21</v>
      </c>
      <c r="K243" t="s">
        <v>22</v>
      </c>
      <c r="L243">
        <f>BDP($H243,"BICS_LEVEL_1_SECTOR_NAME")</f>
        <v/>
      </c>
      <c r="M243">
        <f>BDP($H243,"BICS_LEVEL_3_INDUSTRY_NAME")</f>
        <v/>
      </c>
    </row>
    <row r="244" spans="1:13">
      <c r="A244" t="s">
        <v>1073</v>
      </c>
      <c r="B244" t="s">
        <v>14</v>
      </c>
      <c r="C244" t="s">
        <v>15</v>
      </c>
      <c r="D244" t="s">
        <v>1074</v>
      </c>
      <c r="E244" t="s">
        <v>1075</v>
      </c>
      <c r="F244" t="s">
        <v>83</v>
      </c>
      <c r="G244" t="s">
        <v>225</v>
      </c>
      <c r="H244" t="s">
        <v>1076</v>
      </c>
      <c r="I244" t="s">
        <v>15</v>
      </c>
      <c r="J244" t="s">
        <v>21</v>
      </c>
      <c r="K244" t="s">
        <v>22</v>
      </c>
      <c r="L244">
        <f>BDP($H244,"BICS_LEVEL_1_SECTOR_NAME")</f>
        <v/>
      </c>
      <c r="M244">
        <f>BDP($H244,"BICS_LEVEL_3_INDUSTRY_NAME")</f>
        <v/>
      </c>
    </row>
    <row r="245" spans="1:13">
      <c r="A245" t="s">
        <v>1077</v>
      </c>
      <c r="B245" t="s">
        <v>14</v>
      </c>
      <c r="C245" t="s">
        <v>15</v>
      </c>
      <c r="D245" t="s">
        <v>1078</v>
      </c>
      <c r="E245" t="s">
        <v>1079</v>
      </c>
      <c r="F245" t="s">
        <v>83</v>
      </c>
      <c r="G245" t="s">
        <v>170</v>
      </c>
      <c r="H245" t="s">
        <v>1080</v>
      </c>
      <c r="I245" t="s">
        <v>15</v>
      </c>
      <c r="J245" t="s">
        <v>21</v>
      </c>
      <c r="K245" t="s">
        <v>22</v>
      </c>
      <c r="L245">
        <f>BDP($H245,"BICS_LEVEL_1_SECTOR_NAME")</f>
        <v/>
      </c>
      <c r="M245">
        <f>BDP($H245,"BICS_LEVEL_3_INDUSTRY_NAME")</f>
        <v/>
      </c>
    </row>
    <row r="246" spans="1:13">
      <c r="A246" t="s">
        <v>1081</v>
      </c>
      <c r="B246" t="s">
        <v>14</v>
      </c>
      <c r="C246" t="s">
        <v>15</v>
      </c>
      <c r="D246" t="s">
        <v>1082</v>
      </c>
      <c r="E246" t="s">
        <v>1083</v>
      </c>
      <c r="F246" t="s">
        <v>18</v>
      </c>
      <c r="G246" t="s">
        <v>19</v>
      </c>
      <c r="H246" t="s">
        <v>1084</v>
      </c>
      <c r="I246" t="s">
        <v>15</v>
      </c>
      <c r="J246" t="s">
        <v>21</v>
      </c>
      <c r="K246" t="s">
        <v>22</v>
      </c>
      <c r="L246">
        <f>BDP($H246,"BICS_LEVEL_1_SECTOR_NAME")</f>
        <v/>
      </c>
      <c r="M246">
        <f>BDP($H246,"BICS_LEVEL_3_INDUSTRY_NAME")</f>
        <v/>
      </c>
    </row>
    <row r="247" spans="1:13">
      <c r="A247" t="s">
        <v>1085</v>
      </c>
      <c r="B247" t="s">
        <v>14</v>
      </c>
      <c r="C247" t="s">
        <v>15</v>
      </c>
      <c r="D247" t="s">
        <v>1086</v>
      </c>
      <c r="E247" t="s">
        <v>1087</v>
      </c>
      <c r="F247" t="s">
        <v>32</v>
      </c>
      <c r="G247" t="s">
        <v>1088</v>
      </c>
      <c r="H247" t="s">
        <v>1089</v>
      </c>
      <c r="I247" t="s">
        <v>15</v>
      </c>
      <c r="J247" t="s">
        <v>21</v>
      </c>
      <c r="K247" t="s">
        <v>22</v>
      </c>
      <c r="L247">
        <f>BDP($H247,"BICS_LEVEL_1_SECTOR_NAME")</f>
        <v/>
      </c>
      <c r="M247">
        <f>BDP($H247,"BICS_LEVEL_3_INDUSTRY_NAME")</f>
        <v/>
      </c>
    </row>
    <row r="248" spans="1:13">
      <c r="A248" t="s">
        <v>1090</v>
      </c>
      <c r="B248" t="s">
        <v>14</v>
      </c>
      <c r="C248" t="s">
        <v>15</v>
      </c>
      <c r="D248" t="s">
        <v>1091</v>
      </c>
      <c r="E248" t="s">
        <v>1092</v>
      </c>
      <c r="F248" t="s">
        <v>26</v>
      </c>
      <c r="G248" t="s">
        <v>93</v>
      </c>
      <c r="H248" t="s">
        <v>1093</v>
      </c>
      <c r="I248" t="s">
        <v>15</v>
      </c>
      <c r="J248" t="s">
        <v>21</v>
      </c>
      <c r="K248" t="s">
        <v>22</v>
      </c>
      <c r="L248">
        <f>BDP($H248,"BICS_LEVEL_1_SECTOR_NAME")</f>
        <v/>
      </c>
      <c r="M248">
        <f>BDP($H248,"BICS_LEVEL_3_INDUSTRY_NAME")</f>
        <v/>
      </c>
    </row>
    <row r="249" spans="1:13">
      <c r="A249" t="s">
        <v>1094</v>
      </c>
      <c r="B249" t="s">
        <v>14</v>
      </c>
      <c r="C249" t="s">
        <v>15</v>
      </c>
      <c r="D249" t="s">
        <v>1095</v>
      </c>
      <c r="E249" t="s">
        <v>1096</v>
      </c>
      <c r="F249" t="s">
        <v>83</v>
      </c>
      <c r="G249" t="s">
        <v>170</v>
      </c>
      <c r="H249" t="s">
        <v>1097</v>
      </c>
      <c r="I249" t="s">
        <v>15</v>
      </c>
      <c r="J249" t="s">
        <v>21</v>
      </c>
      <c r="K249" t="s">
        <v>22</v>
      </c>
      <c r="L249">
        <f>BDP($H249,"BICS_LEVEL_1_SECTOR_NAME")</f>
        <v/>
      </c>
      <c r="M249">
        <f>BDP($H249,"BICS_LEVEL_3_INDUSTRY_NAME")</f>
        <v/>
      </c>
    </row>
    <row r="250" spans="1:13">
      <c r="A250" t="s">
        <v>1098</v>
      </c>
      <c r="B250" t="s">
        <v>14</v>
      </c>
      <c r="C250" t="s">
        <v>15</v>
      </c>
      <c r="D250" t="s">
        <v>1099</v>
      </c>
      <c r="E250" t="s">
        <v>1100</v>
      </c>
      <c r="F250" t="s">
        <v>38</v>
      </c>
      <c r="G250" t="s">
        <v>577</v>
      </c>
      <c r="H250" t="s">
        <v>1101</v>
      </c>
      <c r="I250" t="s">
        <v>15</v>
      </c>
      <c r="J250" t="s">
        <v>21</v>
      </c>
      <c r="K250" t="s">
        <v>22</v>
      </c>
      <c r="L250">
        <f>BDP($H250,"BICS_LEVEL_1_SECTOR_NAME")</f>
        <v/>
      </c>
      <c r="M250">
        <f>BDP($H250,"BICS_LEVEL_3_INDUSTRY_NAME")</f>
        <v/>
      </c>
    </row>
    <row r="251" spans="1:13">
      <c r="A251" t="s">
        <v>1102</v>
      </c>
      <c r="B251" t="s">
        <v>14</v>
      </c>
      <c r="C251" t="s">
        <v>15</v>
      </c>
      <c r="D251" t="s">
        <v>1103</v>
      </c>
      <c r="E251" t="s">
        <v>1104</v>
      </c>
      <c r="F251" t="s">
        <v>83</v>
      </c>
      <c r="G251" t="s">
        <v>151</v>
      </c>
      <c r="H251" t="s">
        <v>1105</v>
      </c>
      <c r="I251" t="s">
        <v>15</v>
      </c>
      <c r="J251" t="s">
        <v>21</v>
      </c>
      <c r="K251" t="s">
        <v>22</v>
      </c>
      <c r="L251">
        <f>BDP($H251,"BICS_LEVEL_1_SECTOR_NAME")</f>
        <v/>
      </c>
      <c r="M251">
        <f>BDP($H251,"BICS_LEVEL_3_INDUSTRY_NAME")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BDH("ODTX US Equity","BS_TOT_ASSET","1993-06-18","2026-05-02","Per=Y","Days=T","Dir=V")</f>
        <v>0</v>
      </c>
      <c r="C2">
        <f>BDH("ODTX US Equity","BS_TOT_LIAB2","1993-06-18","2026-05-02","Per=Y","Days=T","Dir=V")</f>
        <v>0</v>
      </c>
      <c r="E2">
        <f>BDH("ODTX US Equity","SHORT_AND_LONG_TERM_DEBT","1993-06-18","2026-05-02","Per=Y","Days=T","Dir=V")</f>
        <v>0</v>
      </c>
      <c r="G2">
        <f>BDH("ODTX US Equity","BS_ST_BORROW","1993-06-18","2026-05-02","Per=Y","Days=T","Dir=V")</f>
        <v>0</v>
      </c>
      <c r="I2">
        <f>BDH("ODTX US Equity","BS_LT_BORROW","1993-06-18","2026-05-02","Per=Y","Days=T","Dir=V")</f>
        <v>0</v>
      </c>
      <c r="K2">
        <f>BDH("ODTX US Equity","BS_CASH_NEAR_CASH_ITEM","1993-06-18","2026-05-02","Per=Y","Days=T","Dir=V")</f>
        <v>0</v>
      </c>
      <c r="M2">
        <f>BDH("ODTX US Equity","BS_CUR_ASSET_REPORT","1993-06-18","2026-05-02","Per=Y","Days=T","Dir=V")</f>
        <v>0</v>
      </c>
      <c r="O2">
        <f>BDH("ODTX US Equity","BS_CUR_LIAB","1993-06-18","2026-05-02","Per=Y","Days=T","Dir=V")</f>
        <v>0</v>
      </c>
      <c r="Q2">
        <f>BDH("ODTX US Equity","BS_SHAREHOLDER_EQY_ENDING_PERIOD","1993-06-18","2026-05-02","Per=Y","Days=T","Dir=V")</f>
        <v>0</v>
      </c>
      <c r="S2">
        <f>BDH("ODTX US Equity","BS_ACCT_NOTE_RCV","1993-06-18","2026-05-02","Per=Y","Days=T","Dir=V")</f>
        <v>0</v>
      </c>
      <c r="U2">
        <f>BDH("ODTX US Equity","BS_INVENTORIES","1993-06-18","2026-05-02","Per=Y","Days=T","Dir=V")</f>
        <v>0</v>
      </c>
      <c r="W2">
        <f>BDH("ODTX US Equity","WORKING_CAPITAL","1993-06-18","2026-05-02","Per=Y","Days=T","Dir=V")</f>
        <v>0</v>
      </c>
      <c r="Y2">
        <f>BDH("ODTX US Equity","SALES_REV_TURN","1993-06-18","2026-05-02","Per=Y","Days=T","Dir=V")</f>
        <v>0</v>
      </c>
      <c r="AA2">
        <f>BDH("ODTX US Equity","EBIT","1993-06-18","2026-05-02","Per=Y","Days=T","Dir=V")</f>
        <v>0</v>
      </c>
      <c r="AC2">
        <f>BDH("ODTX US Equity","EBITDA","1993-06-18","2026-05-02","Per=Y","Days=T","Dir=V")</f>
        <v>0</v>
      </c>
      <c r="AE2">
        <f>BDH("ODTX US Equity","NET_INCOME","1993-06-18","2026-05-02","Per=Y","Days=T","Dir=V")</f>
        <v>0</v>
      </c>
      <c r="AG2">
        <f>BDH("ODTX US Equity","IS_INT_EXPENSE","1993-06-18","2026-05-02","Per=Y","Days=T","Dir=V")</f>
        <v>0</v>
      </c>
      <c r="AI2">
        <f>BDH("ODTX US Equity","IS_DEPR_EXP","1993-06-18","2026-05-02","Per=Y","Days=T","Dir=V")</f>
        <v>0</v>
      </c>
      <c r="AK2">
        <f>BDH("ODTX US Equity","CF_CASH_FROM_OPER","1993-06-18","2026-05-02","Per=Y","Days=T","Dir=V")</f>
        <v>0</v>
      </c>
      <c r="AM2">
        <f>BDH("ODTX US Equity","CAPITAL_EXPEND","1993-06-18","2026-05-02","Per=Y","Days=T","Dir=V")</f>
        <v>0</v>
      </c>
      <c r="AO2">
        <f>BDH("ODTX US Equity","CF_FREE_CASH_FLOW","1993-06-18","2026-05-02","Per=Y","Days=T","Dir=V")</f>
        <v>0</v>
      </c>
      <c r="AQ2">
        <f>BDH("ODTX US Equity","PX_LAST","1993-06-18","2026-05-02","Per=M","Days=T","Dir=V")</f>
        <v>0</v>
      </c>
      <c r="AS2">
        <f>BDH("ODTX US Equity","CUR_MKT_CAP","1993-06-18","2026-05-02","Per=M","Days=T","Dir=V")</f>
        <v>0</v>
      </c>
      <c r="AU2">
        <f>BDH("ODTX US Equity","EQY_SH_OUT","1993-06-18","2026-05-02","Per=M","Days=T","Dir=V")</f>
        <v>0</v>
      </c>
      <c r="AW2">
        <f>BDH("ODTX US Equity","PX_VOLUME","1993-06-18","2026-05-02","Per=M","Days=T","Dir=V")</f>
        <v>0</v>
      </c>
      <c r="AY2">
        <f>BDH("ODTX US Equity","TURNOVER","1993-06-18","2026-05-02","Per=M","Days=T","Dir=V")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BDH("OESX US Equity","BS_TOT_ASSET","1993-06-18","2026-05-02","Per=Y","Days=T","Dir=V")</f>
        <v>0</v>
      </c>
      <c r="C2">
        <f>BDH("OESX US Equity","BS_TOT_LIAB2","1993-06-18","2026-05-02","Per=Y","Days=T","Dir=V")</f>
        <v>0</v>
      </c>
      <c r="E2">
        <f>BDH("OESX US Equity","SHORT_AND_LONG_TERM_DEBT","1993-06-18","2026-05-02","Per=Y","Days=T","Dir=V")</f>
        <v>0</v>
      </c>
      <c r="G2">
        <f>BDH("OESX US Equity","BS_ST_BORROW","1993-06-18","2026-05-02","Per=Y","Days=T","Dir=V")</f>
        <v>0</v>
      </c>
      <c r="I2">
        <f>BDH("OESX US Equity","BS_LT_BORROW","1993-06-18","2026-05-02","Per=Y","Days=T","Dir=V")</f>
        <v>0</v>
      </c>
      <c r="K2">
        <f>BDH("OESX US Equity","BS_CASH_NEAR_CASH_ITEM","1993-06-18","2026-05-02","Per=Y","Days=T","Dir=V")</f>
        <v>0</v>
      </c>
      <c r="M2">
        <f>BDH("OESX US Equity","BS_CUR_ASSET_REPORT","1993-06-18","2026-05-02","Per=Y","Days=T","Dir=V")</f>
        <v>0</v>
      </c>
      <c r="O2">
        <f>BDH("OESX US Equity","BS_CUR_LIAB","1993-06-18","2026-05-02","Per=Y","Days=T","Dir=V")</f>
        <v>0</v>
      </c>
      <c r="Q2">
        <f>BDH("OESX US Equity","BS_SHAREHOLDER_EQY_ENDING_PERIOD","1993-06-18","2026-05-02","Per=Y","Days=T","Dir=V")</f>
        <v>0</v>
      </c>
      <c r="S2">
        <f>BDH("OESX US Equity","BS_ACCT_NOTE_RCV","1993-06-18","2026-05-02","Per=Y","Days=T","Dir=V")</f>
        <v>0</v>
      </c>
      <c r="U2">
        <f>BDH("OESX US Equity","BS_INVENTORIES","1993-06-18","2026-05-02","Per=Y","Days=T","Dir=V")</f>
        <v>0</v>
      </c>
      <c r="W2">
        <f>BDH("OESX US Equity","WORKING_CAPITAL","1993-06-18","2026-05-02","Per=Y","Days=T","Dir=V")</f>
        <v>0</v>
      </c>
      <c r="Y2">
        <f>BDH("OESX US Equity","SALES_REV_TURN","1993-06-18","2026-05-02","Per=Y","Days=T","Dir=V")</f>
        <v>0</v>
      </c>
      <c r="AA2">
        <f>BDH("OESX US Equity","EBIT","1993-06-18","2026-05-02","Per=Y","Days=T","Dir=V")</f>
        <v>0</v>
      </c>
      <c r="AC2">
        <f>BDH("OESX US Equity","EBITDA","1993-06-18","2026-05-02","Per=Y","Days=T","Dir=V")</f>
        <v>0</v>
      </c>
      <c r="AE2">
        <f>BDH("OESX US Equity","NET_INCOME","1993-06-18","2026-05-02","Per=Y","Days=T","Dir=V")</f>
        <v>0</v>
      </c>
      <c r="AG2">
        <f>BDH("OESX US Equity","IS_INT_EXPENSE","1993-06-18","2026-05-02","Per=Y","Days=T","Dir=V")</f>
        <v>0</v>
      </c>
      <c r="AI2">
        <f>BDH("OESX US Equity","IS_DEPR_EXP","1993-06-18","2026-05-02","Per=Y","Days=T","Dir=V")</f>
        <v>0</v>
      </c>
      <c r="AK2">
        <f>BDH("OESX US Equity","CF_CASH_FROM_OPER","1993-06-18","2026-05-02","Per=Y","Days=T","Dir=V")</f>
        <v>0</v>
      </c>
      <c r="AM2">
        <f>BDH("OESX US Equity","CAPITAL_EXPEND","1993-06-18","2026-05-02","Per=Y","Days=T","Dir=V")</f>
        <v>0</v>
      </c>
      <c r="AO2">
        <f>BDH("OESX US Equity","CF_FREE_CASH_FLOW","1993-06-18","2026-05-02","Per=Y","Days=T","Dir=V")</f>
        <v>0</v>
      </c>
      <c r="AQ2">
        <f>BDH("OESX US Equity","PX_LAST","1993-06-18","2026-05-02","Per=M","Days=T","Dir=V")</f>
        <v>0</v>
      </c>
      <c r="AS2">
        <f>BDH("OESX US Equity","CUR_MKT_CAP","1993-06-18","2026-05-02","Per=M","Days=T","Dir=V")</f>
        <v>0</v>
      </c>
      <c r="AU2">
        <f>BDH("OESX US Equity","EQY_SH_OUT","1993-06-18","2026-05-02","Per=M","Days=T","Dir=V")</f>
        <v>0</v>
      </c>
      <c r="AW2">
        <f>BDH("OESX US Equity","PX_VOLUME","1993-06-18","2026-05-02","Per=M","Days=T","Dir=V")</f>
        <v>0</v>
      </c>
      <c r="AY2">
        <f>BDH("OESX US Equity","TURNOVER","1993-06-18","2026-05-02","Per=M","Days=T","Dir=V")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BDH("OFLX US Equity","BS_TOT_ASSET","1993-06-18","2026-05-02","Per=Y","Days=T","Dir=V")</f>
        <v>0</v>
      </c>
      <c r="C2">
        <f>BDH("OFLX US Equity","BS_TOT_LIAB2","1993-06-18","2026-05-02","Per=Y","Days=T","Dir=V")</f>
        <v>0</v>
      </c>
      <c r="E2">
        <f>BDH("OFLX US Equity","SHORT_AND_LONG_TERM_DEBT","1993-06-18","2026-05-02","Per=Y","Days=T","Dir=V")</f>
        <v>0</v>
      </c>
      <c r="G2">
        <f>BDH("OFLX US Equity","BS_ST_BORROW","1993-06-18","2026-05-02","Per=Y","Days=T","Dir=V")</f>
        <v>0</v>
      </c>
      <c r="I2">
        <f>BDH("OFLX US Equity","BS_LT_BORROW","1993-06-18","2026-05-02","Per=Y","Days=T","Dir=V")</f>
        <v>0</v>
      </c>
      <c r="K2">
        <f>BDH("OFLX US Equity","BS_CASH_NEAR_CASH_ITEM","1993-06-18","2026-05-02","Per=Y","Days=T","Dir=V")</f>
        <v>0</v>
      </c>
      <c r="M2">
        <f>BDH("OFLX US Equity","BS_CUR_ASSET_REPORT","1993-06-18","2026-05-02","Per=Y","Days=T","Dir=V")</f>
        <v>0</v>
      </c>
      <c r="O2">
        <f>BDH("OFLX US Equity","BS_CUR_LIAB","1993-06-18","2026-05-02","Per=Y","Days=T","Dir=V")</f>
        <v>0</v>
      </c>
      <c r="Q2">
        <f>BDH("OFLX US Equity","BS_SHAREHOLDER_EQY_ENDING_PERIOD","1993-06-18","2026-05-02","Per=Y","Days=T","Dir=V")</f>
        <v>0</v>
      </c>
      <c r="S2">
        <f>BDH("OFLX US Equity","BS_ACCT_NOTE_RCV","1993-06-18","2026-05-02","Per=Y","Days=T","Dir=V")</f>
        <v>0</v>
      </c>
      <c r="U2">
        <f>BDH("OFLX US Equity","BS_INVENTORIES","1993-06-18","2026-05-02","Per=Y","Days=T","Dir=V")</f>
        <v>0</v>
      </c>
      <c r="W2">
        <f>BDH("OFLX US Equity","WORKING_CAPITAL","1993-06-18","2026-05-02","Per=Y","Days=T","Dir=V")</f>
        <v>0</v>
      </c>
      <c r="Y2">
        <f>BDH("OFLX US Equity","SALES_REV_TURN","1993-06-18","2026-05-02","Per=Y","Days=T","Dir=V")</f>
        <v>0</v>
      </c>
      <c r="AA2">
        <f>BDH("OFLX US Equity","EBIT","1993-06-18","2026-05-02","Per=Y","Days=T","Dir=V")</f>
        <v>0</v>
      </c>
      <c r="AC2">
        <f>BDH("OFLX US Equity","EBITDA","1993-06-18","2026-05-02","Per=Y","Days=T","Dir=V")</f>
        <v>0</v>
      </c>
      <c r="AE2">
        <f>BDH("OFLX US Equity","NET_INCOME","1993-06-18","2026-05-02","Per=Y","Days=T","Dir=V")</f>
        <v>0</v>
      </c>
      <c r="AG2">
        <f>BDH("OFLX US Equity","IS_INT_EXPENSE","1993-06-18","2026-05-02","Per=Y","Days=T","Dir=V")</f>
        <v>0</v>
      </c>
      <c r="AI2">
        <f>BDH("OFLX US Equity","IS_DEPR_EXP","1993-06-18","2026-05-02","Per=Y","Days=T","Dir=V")</f>
        <v>0</v>
      </c>
      <c r="AK2">
        <f>BDH("OFLX US Equity","CF_CASH_FROM_OPER","1993-06-18","2026-05-02","Per=Y","Days=T","Dir=V")</f>
        <v>0</v>
      </c>
      <c r="AM2">
        <f>BDH("OFLX US Equity","CAPITAL_EXPEND","1993-06-18","2026-05-02","Per=Y","Days=T","Dir=V")</f>
        <v>0</v>
      </c>
      <c r="AO2">
        <f>BDH("OFLX US Equity","CF_FREE_CASH_FLOW","1993-06-18","2026-05-02","Per=Y","Days=T","Dir=V")</f>
        <v>0</v>
      </c>
      <c r="AQ2">
        <f>BDH("OFLX US Equity","PX_LAST","1993-06-18","2026-05-02","Per=M","Days=T","Dir=V")</f>
        <v>0</v>
      </c>
      <c r="AS2">
        <f>BDH("OFLX US Equity","CUR_MKT_CAP","1993-06-18","2026-05-02","Per=M","Days=T","Dir=V")</f>
        <v>0</v>
      </c>
      <c r="AU2">
        <f>BDH("OFLX US Equity","EQY_SH_OUT","1993-06-18","2026-05-02","Per=M","Days=T","Dir=V")</f>
        <v>0</v>
      </c>
      <c r="AW2">
        <f>BDH("OFLX US Equity","PX_VOLUME","1993-06-18","2026-05-02","Per=M","Days=T","Dir=V")</f>
        <v>0</v>
      </c>
      <c r="AY2">
        <f>BDH("OFLX US Equity","TURNOVER","1993-06-18","2026-05-02","Per=M","Days=T","Dir=V")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BDH("OGE US Equity","BS_TOT_ASSET","1993-06-18","2026-05-02","Per=Y","Days=T","Dir=V")</f>
        <v>0</v>
      </c>
      <c r="C2">
        <f>BDH("OGE US Equity","BS_TOT_LIAB2","1993-06-18","2026-05-02","Per=Y","Days=T","Dir=V")</f>
        <v>0</v>
      </c>
      <c r="E2">
        <f>BDH("OGE US Equity","SHORT_AND_LONG_TERM_DEBT","1993-06-18","2026-05-02","Per=Y","Days=T","Dir=V")</f>
        <v>0</v>
      </c>
      <c r="G2">
        <f>BDH("OGE US Equity","BS_ST_BORROW","1993-06-18","2026-05-02","Per=Y","Days=T","Dir=V")</f>
        <v>0</v>
      </c>
      <c r="I2">
        <f>BDH("OGE US Equity","BS_LT_BORROW","1993-06-18","2026-05-02","Per=Y","Days=T","Dir=V")</f>
        <v>0</v>
      </c>
      <c r="K2">
        <f>BDH("OGE US Equity","BS_CASH_NEAR_CASH_ITEM","1993-06-18","2026-05-02","Per=Y","Days=T","Dir=V")</f>
        <v>0</v>
      </c>
      <c r="M2">
        <f>BDH("OGE US Equity","BS_CUR_ASSET_REPORT","1993-06-18","2026-05-02","Per=Y","Days=T","Dir=V")</f>
        <v>0</v>
      </c>
      <c r="O2">
        <f>BDH("OGE US Equity","BS_CUR_LIAB","1993-06-18","2026-05-02","Per=Y","Days=T","Dir=V")</f>
        <v>0</v>
      </c>
      <c r="Q2">
        <f>BDH("OGE US Equity","BS_SHAREHOLDER_EQY_ENDING_PERIOD","1993-06-18","2026-05-02","Per=Y","Days=T","Dir=V")</f>
        <v>0</v>
      </c>
      <c r="S2">
        <f>BDH("OGE US Equity","BS_ACCT_NOTE_RCV","1993-06-18","2026-05-02","Per=Y","Days=T","Dir=V")</f>
        <v>0</v>
      </c>
      <c r="U2">
        <f>BDH("OGE US Equity","BS_INVENTORIES","1993-06-18","2026-05-02","Per=Y","Days=T","Dir=V")</f>
        <v>0</v>
      </c>
      <c r="W2">
        <f>BDH("OGE US Equity","WORKING_CAPITAL","1993-06-18","2026-05-02","Per=Y","Days=T","Dir=V")</f>
        <v>0</v>
      </c>
      <c r="Y2">
        <f>BDH("OGE US Equity","SALES_REV_TURN","1993-06-18","2026-05-02","Per=Y","Days=T","Dir=V")</f>
        <v>0</v>
      </c>
      <c r="AA2">
        <f>BDH("OGE US Equity","EBIT","1993-06-18","2026-05-02","Per=Y","Days=T","Dir=V")</f>
        <v>0</v>
      </c>
      <c r="AC2">
        <f>BDH("OGE US Equity","EBITDA","1993-06-18","2026-05-02","Per=Y","Days=T","Dir=V")</f>
        <v>0</v>
      </c>
      <c r="AE2">
        <f>BDH("OGE US Equity","NET_INCOME","1993-06-18","2026-05-02","Per=Y","Days=T","Dir=V")</f>
        <v>0</v>
      </c>
      <c r="AG2">
        <f>BDH("OGE US Equity","IS_INT_EXPENSE","1993-06-18","2026-05-02","Per=Y","Days=T","Dir=V")</f>
        <v>0</v>
      </c>
      <c r="AI2">
        <f>BDH("OGE US Equity","IS_DEPR_EXP","1993-06-18","2026-05-02","Per=Y","Days=T","Dir=V")</f>
        <v>0</v>
      </c>
      <c r="AK2">
        <f>BDH("OGE US Equity","CF_CASH_FROM_OPER","1993-06-18","2026-05-02","Per=Y","Days=T","Dir=V")</f>
        <v>0</v>
      </c>
      <c r="AM2">
        <f>BDH("OGE US Equity","CAPITAL_EXPEND","1993-06-18","2026-05-02","Per=Y","Days=T","Dir=V")</f>
        <v>0</v>
      </c>
      <c r="AO2">
        <f>BDH("OGE US Equity","CF_FREE_CASH_FLOW","1993-06-18","2026-05-02","Per=Y","Days=T","Dir=V")</f>
        <v>0</v>
      </c>
      <c r="AQ2">
        <f>BDH("OGE US Equity","PX_LAST","1993-06-18","2026-05-02","Per=M","Days=T","Dir=V")</f>
        <v>0</v>
      </c>
      <c r="AS2">
        <f>BDH("OGE US Equity","CUR_MKT_CAP","1993-06-18","2026-05-02","Per=M","Days=T","Dir=V")</f>
        <v>0</v>
      </c>
      <c r="AU2">
        <f>BDH("OGE US Equity","EQY_SH_OUT","1993-06-18","2026-05-02","Per=M","Days=T","Dir=V")</f>
        <v>0</v>
      </c>
      <c r="AW2">
        <f>BDH("OGE US Equity","PX_VOLUME","1993-06-18","2026-05-02","Per=M","Days=T","Dir=V")</f>
        <v>0</v>
      </c>
      <c r="AY2">
        <f>BDH("OGE US Equity","TURNOVER","1993-06-18","2026-05-02","Per=M","Days=T","Dir=V")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BDH("OGEN US Equity","BS_TOT_ASSET","1993-06-18","2026-05-02","Per=Y","Days=T","Dir=V")</f>
        <v>0</v>
      </c>
      <c r="C2">
        <f>BDH("OGEN US Equity","BS_TOT_LIAB2","1993-06-18","2026-05-02","Per=Y","Days=T","Dir=V")</f>
        <v>0</v>
      </c>
      <c r="E2">
        <f>BDH("OGEN US Equity","SHORT_AND_LONG_TERM_DEBT","1993-06-18","2026-05-02","Per=Y","Days=T","Dir=V")</f>
        <v>0</v>
      </c>
      <c r="G2">
        <f>BDH("OGEN US Equity","BS_ST_BORROW","1993-06-18","2026-05-02","Per=Y","Days=T","Dir=V")</f>
        <v>0</v>
      </c>
      <c r="I2">
        <f>BDH("OGEN US Equity","BS_LT_BORROW","1993-06-18","2026-05-02","Per=Y","Days=T","Dir=V")</f>
        <v>0</v>
      </c>
      <c r="K2">
        <f>BDH("OGEN US Equity","BS_CASH_NEAR_CASH_ITEM","1993-06-18","2026-05-02","Per=Y","Days=T","Dir=V")</f>
        <v>0</v>
      </c>
      <c r="M2">
        <f>BDH("OGEN US Equity","BS_CUR_ASSET_REPORT","1993-06-18","2026-05-02","Per=Y","Days=T","Dir=V")</f>
        <v>0</v>
      </c>
      <c r="O2">
        <f>BDH("OGEN US Equity","BS_CUR_LIAB","1993-06-18","2026-05-02","Per=Y","Days=T","Dir=V")</f>
        <v>0</v>
      </c>
      <c r="Q2">
        <f>BDH("OGEN US Equity","BS_SHAREHOLDER_EQY_ENDING_PERIOD","1993-06-18","2026-05-02","Per=Y","Days=T","Dir=V")</f>
        <v>0</v>
      </c>
      <c r="S2">
        <f>BDH("OGEN US Equity","BS_ACCT_NOTE_RCV","1993-06-18","2026-05-02","Per=Y","Days=T","Dir=V")</f>
        <v>0</v>
      </c>
      <c r="U2">
        <f>BDH("OGEN US Equity","BS_INVENTORIES","1993-06-18","2026-05-02","Per=Y","Days=T","Dir=V")</f>
        <v>0</v>
      </c>
      <c r="W2">
        <f>BDH("OGEN US Equity","WORKING_CAPITAL","1993-06-18","2026-05-02","Per=Y","Days=T","Dir=V")</f>
        <v>0</v>
      </c>
      <c r="Y2">
        <f>BDH("OGEN US Equity","SALES_REV_TURN","1993-06-18","2026-05-02","Per=Y","Days=T","Dir=V")</f>
        <v>0</v>
      </c>
      <c r="AA2">
        <f>BDH("OGEN US Equity","EBIT","1993-06-18","2026-05-02","Per=Y","Days=T","Dir=V")</f>
        <v>0</v>
      </c>
      <c r="AC2">
        <f>BDH("OGEN US Equity","EBITDA","1993-06-18","2026-05-02","Per=Y","Days=T","Dir=V")</f>
        <v>0</v>
      </c>
      <c r="AE2">
        <f>BDH("OGEN US Equity","NET_INCOME","1993-06-18","2026-05-02","Per=Y","Days=T","Dir=V")</f>
        <v>0</v>
      </c>
      <c r="AG2">
        <f>BDH("OGEN US Equity","IS_INT_EXPENSE","1993-06-18","2026-05-02","Per=Y","Days=T","Dir=V")</f>
        <v>0</v>
      </c>
      <c r="AI2">
        <f>BDH("OGEN US Equity","IS_DEPR_EXP","1993-06-18","2026-05-02","Per=Y","Days=T","Dir=V")</f>
        <v>0</v>
      </c>
      <c r="AK2">
        <f>BDH("OGEN US Equity","CF_CASH_FROM_OPER","1993-06-18","2026-05-02","Per=Y","Days=T","Dir=V")</f>
        <v>0</v>
      </c>
      <c r="AM2">
        <f>BDH("OGEN US Equity","CAPITAL_EXPEND","1993-06-18","2026-05-02","Per=Y","Days=T","Dir=V")</f>
        <v>0</v>
      </c>
      <c r="AO2">
        <f>BDH("OGEN US Equity","CF_FREE_CASH_FLOW","1993-06-18","2026-05-02","Per=Y","Days=T","Dir=V")</f>
        <v>0</v>
      </c>
      <c r="AQ2">
        <f>BDH("OGEN US Equity","PX_LAST","1993-06-18","2026-05-02","Per=M","Days=T","Dir=V")</f>
        <v>0</v>
      </c>
      <c r="AS2">
        <f>BDH("OGEN US Equity","CUR_MKT_CAP","1993-06-18","2026-05-02","Per=M","Days=T","Dir=V")</f>
        <v>0</v>
      </c>
      <c r="AU2">
        <f>BDH("OGEN US Equity","EQY_SH_OUT","1993-06-18","2026-05-02","Per=M","Days=T","Dir=V")</f>
        <v>0</v>
      </c>
      <c r="AW2">
        <f>BDH("OGEN US Equity","PX_VOLUME","1993-06-18","2026-05-02","Per=M","Days=T","Dir=V")</f>
        <v>0</v>
      </c>
      <c r="AY2">
        <f>BDH("OGEN US Equity","TURNOVER","1993-06-18","2026-05-02","Per=M","Days=T","Dir=V")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BDH("OGN US Equity","BS_TOT_ASSET","1993-06-18","2026-05-02","Per=Y","Days=T","Dir=V")</f>
        <v>0</v>
      </c>
      <c r="C2">
        <f>BDH("OGN US Equity","BS_TOT_LIAB2","1993-06-18","2026-05-02","Per=Y","Days=T","Dir=V")</f>
        <v>0</v>
      </c>
      <c r="E2">
        <f>BDH("OGN US Equity","SHORT_AND_LONG_TERM_DEBT","1993-06-18","2026-05-02","Per=Y","Days=T","Dir=V")</f>
        <v>0</v>
      </c>
      <c r="G2">
        <f>BDH("OGN US Equity","BS_ST_BORROW","1993-06-18","2026-05-02","Per=Y","Days=T","Dir=V")</f>
        <v>0</v>
      </c>
      <c r="I2">
        <f>BDH("OGN US Equity","BS_LT_BORROW","1993-06-18","2026-05-02","Per=Y","Days=T","Dir=V")</f>
        <v>0</v>
      </c>
      <c r="K2">
        <f>BDH("OGN US Equity","BS_CASH_NEAR_CASH_ITEM","1993-06-18","2026-05-02","Per=Y","Days=T","Dir=V")</f>
        <v>0</v>
      </c>
      <c r="M2">
        <f>BDH("OGN US Equity","BS_CUR_ASSET_REPORT","1993-06-18","2026-05-02","Per=Y","Days=T","Dir=V")</f>
        <v>0</v>
      </c>
      <c r="O2">
        <f>BDH("OGN US Equity","BS_CUR_LIAB","1993-06-18","2026-05-02","Per=Y","Days=T","Dir=V")</f>
        <v>0</v>
      </c>
      <c r="Q2">
        <f>BDH("OGN US Equity","BS_SHAREHOLDER_EQY_ENDING_PERIOD","1993-06-18","2026-05-02","Per=Y","Days=T","Dir=V")</f>
        <v>0</v>
      </c>
      <c r="S2">
        <f>BDH("OGN US Equity","BS_ACCT_NOTE_RCV","1993-06-18","2026-05-02","Per=Y","Days=T","Dir=V")</f>
        <v>0</v>
      </c>
      <c r="U2">
        <f>BDH("OGN US Equity","BS_INVENTORIES","1993-06-18","2026-05-02","Per=Y","Days=T","Dir=V")</f>
        <v>0</v>
      </c>
      <c r="W2">
        <f>BDH("OGN US Equity","WORKING_CAPITAL","1993-06-18","2026-05-02","Per=Y","Days=T","Dir=V")</f>
        <v>0</v>
      </c>
      <c r="Y2">
        <f>BDH("OGN US Equity","SALES_REV_TURN","1993-06-18","2026-05-02","Per=Y","Days=T","Dir=V")</f>
        <v>0</v>
      </c>
      <c r="AA2">
        <f>BDH("OGN US Equity","EBIT","1993-06-18","2026-05-02","Per=Y","Days=T","Dir=V")</f>
        <v>0</v>
      </c>
      <c r="AC2">
        <f>BDH("OGN US Equity","EBITDA","1993-06-18","2026-05-02","Per=Y","Days=T","Dir=V")</f>
        <v>0</v>
      </c>
      <c r="AE2">
        <f>BDH("OGN US Equity","NET_INCOME","1993-06-18","2026-05-02","Per=Y","Days=T","Dir=V")</f>
        <v>0</v>
      </c>
      <c r="AG2">
        <f>BDH("OGN US Equity","IS_INT_EXPENSE","1993-06-18","2026-05-02","Per=Y","Days=T","Dir=V")</f>
        <v>0</v>
      </c>
      <c r="AI2">
        <f>BDH("OGN US Equity","IS_DEPR_EXP","1993-06-18","2026-05-02","Per=Y","Days=T","Dir=V")</f>
        <v>0</v>
      </c>
      <c r="AK2">
        <f>BDH("OGN US Equity","CF_CASH_FROM_OPER","1993-06-18","2026-05-02","Per=Y","Days=T","Dir=V")</f>
        <v>0</v>
      </c>
      <c r="AM2">
        <f>BDH("OGN US Equity","CAPITAL_EXPEND","1993-06-18","2026-05-02","Per=Y","Days=T","Dir=V")</f>
        <v>0</v>
      </c>
      <c r="AO2">
        <f>BDH("OGN US Equity","CF_FREE_CASH_FLOW","1993-06-18","2026-05-02","Per=Y","Days=T","Dir=V")</f>
        <v>0</v>
      </c>
      <c r="AQ2">
        <f>BDH("OGN US Equity","PX_LAST","1993-06-18","2026-05-02","Per=M","Days=T","Dir=V")</f>
        <v>0</v>
      </c>
      <c r="AS2">
        <f>BDH("OGN US Equity","CUR_MKT_CAP","1993-06-18","2026-05-02","Per=M","Days=T","Dir=V")</f>
        <v>0</v>
      </c>
      <c r="AU2">
        <f>BDH("OGN US Equity","EQY_SH_OUT","1993-06-18","2026-05-02","Per=M","Days=T","Dir=V")</f>
        <v>0</v>
      </c>
      <c r="AW2">
        <f>BDH("OGN US Equity","PX_VOLUME","1993-06-18","2026-05-02","Per=M","Days=T","Dir=V")</f>
        <v>0</v>
      </c>
      <c r="AY2">
        <f>BDH("OGN US Equity","TURNOVER","1993-06-18","2026-05-02","Per=M","Days=T","Dir=V")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BDH("OGS US Equity","BS_TOT_ASSET","1993-06-18","2026-05-02","Per=Y","Days=T","Dir=V")</f>
        <v>0</v>
      </c>
      <c r="C2">
        <f>BDH("OGS US Equity","BS_TOT_LIAB2","1993-06-18","2026-05-02","Per=Y","Days=T","Dir=V")</f>
        <v>0</v>
      </c>
      <c r="E2">
        <f>BDH("OGS US Equity","SHORT_AND_LONG_TERM_DEBT","1993-06-18","2026-05-02","Per=Y","Days=T","Dir=V")</f>
        <v>0</v>
      </c>
      <c r="G2">
        <f>BDH("OGS US Equity","BS_ST_BORROW","1993-06-18","2026-05-02","Per=Y","Days=T","Dir=V")</f>
        <v>0</v>
      </c>
      <c r="I2">
        <f>BDH("OGS US Equity","BS_LT_BORROW","1993-06-18","2026-05-02","Per=Y","Days=T","Dir=V")</f>
        <v>0</v>
      </c>
      <c r="K2">
        <f>BDH("OGS US Equity","BS_CASH_NEAR_CASH_ITEM","1993-06-18","2026-05-02","Per=Y","Days=T","Dir=V")</f>
        <v>0</v>
      </c>
      <c r="M2">
        <f>BDH("OGS US Equity","BS_CUR_ASSET_REPORT","1993-06-18","2026-05-02","Per=Y","Days=T","Dir=V")</f>
        <v>0</v>
      </c>
      <c r="O2">
        <f>BDH("OGS US Equity","BS_CUR_LIAB","1993-06-18","2026-05-02","Per=Y","Days=T","Dir=V")</f>
        <v>0</v>
      </c>
      <c r="Q2">
        <f>BDH("OGS US Equity","BS_SHAREHOLDER_EQY_ENDING_PERIOD","1993-06-18","2026-05-02","Per=Y","Days=T","Dir=V")</f>
        <v>0</v>
      </c>
      <c r="S2">
        <f>BDH("OGS US Equity","BS_ACCT_NOTE_RCV","1993-06-18","2026-05-02","Per=Y","Days=T","Dir=V")</f>
        <v>0</v>
      </c>
      <c r="U2">
        <f>BDH("OGS US Equity","BS_INVENTORIES","1993-06-18","2026-05-02","Per=Y","Days=T","Dir=V")</f>
        <v>0</v>
      </c>
      <c r="W2">
        <f>BDH("OGS US Equity","WORKING_CAPITAL","1993-06-18","2026-05-02","Per=Y","Days=T","Dir=V")</f>
        <v>0</v>
      </c>
      <c r="Y2">
        <f>BDH("OGS US Equity","SALES_REV_TURN","1993-06-18","2026-05-02","Per=Y","Days=T","Dir=V")</f>
        <v>0</v>
      </c>
      <c r="AA2">
        <f>BDH("OGS US Equity","EBIT","1993-06-18","2026-05-02","Per=Y","Days=T","Dir=V")</f>
        <v>0</v>
      </c>
      <c r="AC2">
        <f>BDH("OGS US Equity","EBITDA","1993-06-18","2026-05-02","Per=Y","Days=T","Dir=V")</f>
        <v>0</v>
      </c>
      <c r="AE2">
        <f>BDH("OGS US Equity","NET_INCOME","1993-06-18","2026-05-02","Per=Y","Days=T","Dir=V")</f>
        <v>0</v>
      </c>
      <c r="AG2">
        <f>BDH("OGS US Equity","IS_INT_EXPENSE","1993-06-18","2026-05-02","Per=Y","Days=T","Dir=V")</f>
        <v>0</v>
      </c>
      <c r="AI2">
        <f>BDH("OGS US Equity","IS_DEPR_EXP","1993-06-18","2026-05-02","Per=Y","Days=T","Dir=V")</f>
        <v>0</v>
      </c>
      <c r="AK2">
        <f>BDH("OGS US Equity","CF_CASH_FROM_OPER","1993-06-18","2026-05-02","Per=Y","Days=T","Dir=V")</f>
        <v>0</v>
      </c>
      <c r="AM2">
        <f>BDH("OGS US Equity","CAPITAL_EXPEND","1993-06-18","2026-05-02","Per=Y","Days=T","Dir=V")</f>
        <v>0</v>
      </c>
      <c r="AO2">
        <f>BDH("OGS US Equity","CF_FREE_CASH_FLOW","1993-06-18","2026-05-02","Per=Y","Days=T","Dir=V")</f>
        <v>0</v>
      </c>
      <c r="AQ2">
        <f>BDH("OGS US Equity","PX_LAST","1993-06-18","2026-05-02","Per=M","Days=T","Dir=V")</f>
        <v>0</v>
      </c>
      <c r="AS2">
        <f>BDH("OGS US Equity","CUR_MKT_CAP","1993-06-18","2026-05-02","Per=M","Days=T","Dir=V")</f>
        <v>0</v>
      </c>
      <c r="AU2">
        <f>BDH("OGS US Equity","EQY_SH_OUT","1993-06-18","2026-05-02","Per=M","Days=T","Dir=V")</f>
        <v>0</v>
      </c>
      <c r="AW2">
        <f>BDH("OGS US Equity","PX_VOLUME","1993-06-18","2026-05-02","Per=M","Days=T","Dir=V")</f>
        <v>0</v>
      </c>
      <c r="AY2">
        <f>BDH("OGS US Equity","TURNOVER","1993-06-18","2026-05-02","Per=M","Days=T","Dir=V")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BDH("OI US Equity","BS_TOT_ASSET","1993-06-18","2026-05-02","Per=Y","Days=T","Dir=V")</f>
        <v>0</v>
      </c>
      <c r="C2">
        <f>BDH("OI US Equity","BS_TOT_LIAB2","1993-06-18","2026-05-02","Per=Y","Days=T","Dir=V")</f>
        <v>0</v>
      </c>
      <c r="E2">
        <f>BDH("OI US Equity","SHORT_AND_LONG_TERM_DEBT","1993-06-18","2026-05-02","Per=Y","Days=T","Dir=V")</f>
        <v>0</v>
      </c>
      <c r="G2">
        <f>BDH("OI US Equity","BS_ST_BORROW","1993-06-18","2026-05-02","Per=Y","Days=T","Dir=V")</f>
        <v>0</v>
      </c>
      <c r="I2">
        <f>BDH("OI US Equity","BS_LT_BORROW","1993-06-18","2026-05-02","Per=Y","Days=T","Dir=V")</f>
        <v>0</v>
      </c>
      <c r="K2">
        <f>BDH("OI US Equity","BS_CASH_NEAR_CASH_ITEM","1993-06-18","2026-05-02","Per=Y","Days=T","Dir=V")</f>
        <v>0</v>
      </c>
      <c r="M2">
        <f>BDH("OI US Equity","BS_CUR_ASSET_REPORT","1993-06-18","2026-05-02","Per=Y","Days=T","Dir=V")</f>
        <v>0</v>
      </c>
      <c r="O2">
        <f>BDH("OI US Equity","BS_CUR_LIAB","1993-06-18","2026-05-02","Per=Y","Days=T","Dir=V")</f>
        <v>0</v>
      </c>
      <c r="Q2">
        <f>BDH("OI US Equity","BS_SHAREHOLDER_EQY_ENDING_PERIOD","1993-06-18","2026-05-02","Per=Y","Days=T","Dir=V")</f>
        <v>0</v>
      </c>
      <c r="S2">
        <f>BDH("OI US Equity","BS_ACCT_NOTE_RCV","1993-06-18","2026-05-02","Per=Y","Days=T","Dir=V")</f>
        <v>0</v>
      </c>
      <c r="U2">
        <f>BDH("OI US Equity","BS_INVENTORIES","1993-06-18","2026-05-02","Per=Y","Days=T","Dir=V")</f>
        <v>0</v>
      </c>
      <c r="W2">
        <f>BDH("OI US Equity","WORKING_CAPITAL","1993-06-18","2026-05-02","Per=Y","Days=T","Dir=V")</f>
        <v>0</v>
      </c>
      <c r="Y2">
        <f>BDH("OI US Equity","SALES_REV_TURN","1993-06-18","2026-05-02","Per=Y","Days=T","Dir=V")</f>
        <v>0</v>
      </c>
      <c r="AA2">
        <f>BDH("OI US Equity","EBIT","1993-06-18","2026-05-02","Per=Y","Days=T","Dir=V")</f>
        <v>0</v>
      </c>
      <c r="AC2">
        <f>BDH("OI US Equity","EBITDA","1993-06-18","2026-05-02","Per=Y","Days=T","Dir=V")</f>
        <v>0</v>
      </c>
      <c r="AE2">
        <f>BDH("OI US Equity","NET_INCOME","1993-06-18","2026-05-02","Per=Y","Days=T","Dir=V")</f>
        <v>0</v>
      </c>
      <c r="AG2">
        <f>BDH("OI US Equity","IS_INT_EXPENSE","1993-06-18","2026-05-02","Per=Y","Days=T","Dir=V")</f>
        <v>0</v>
      </c>
      <c r="AI2">
        <f>BDH("OI US Equity","IS_DEPR_EXP","1993-06-18","2026-05-02","Per=Y","Days=T","Dir=V")</f>
        <v>0</v>
      </c>
      <c r="AK2">
        <f>BDH("OI US Equity","CF_CASH_FROM_OPER","1993-06-18","2026-05-02","Per=Y","Days=T","Dir=V")</f>
        <v>0</v>
      </c>
      <c r="AM2">
        <f>BDH("OI US Equity","CAPITAL_EXPEND","1993-06-18","2026-05-02","Per=Y","Days=T","Dir=V")</f>
        <v>0</v>
      </c>
      <c r="AO2">
        <f>BDH("OI US Equity","CF_FREE_CASH_FLOW","1993-06-18","2026-05-02","Per=Y","Days=T","Dir=V")</f>
        <v>0</v>
      </c>
      <c r="AQ2">
        <f>BDH("OI US Equity","PX_LAST","1993-06-18","2026-05-02","Per=M","Days=T","Dir=V")</f>
        <v>0</v>
      </c>
      <c r="AS2">
        <f>BDH("OI US Equity","CUR_MKT_CAP","1993-06-18","2026-05-02","Per=M","Days=T","Dir=V")</f>
        <v>0</v>
      </c>
      <c r="AU2">
        <f>BDH("OI US Equity","EQY_SH_OUT","1993-06-18","2026-05-02","Per=M","Days=T","Dir=V")</f>
        <v>0</v>
      </c>
      <c r="AW2">
        <f>BDH("OI US Equity","PX_VOLUME","1993-06-18","2026-05-02","Per=M","Days=T","Dir=V")</f>
        <v>0</v>
      </c>
      <c r="AY2">
        <f>BDH("OI US Equity","TURNOVER","1993-06-18","2026-05-02","Per=M","Days=T","Dir=V")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BDH("OII US Equity","BS_TOT_ASSET","1993-06-18","2026-05-02","Per=Y","Days=T","Dir=V")</f>
        <v>0</v>
      </c>
      <c r="C2">
        <f>BDH("OII US Equity","BS_TOT_LIAB2","1993-06-18","2026-05-02","Per=Y","Days=T","Dir=V")</f>
        <v>0</v>
      </c>
      <c r="E2">
        <f>BDH("OII US Equity","SHORT_AND_LONG_TERM_DEBT","1993-06-18","2026-05-02","Per=Y","Days=T","Dir=V")</f>
        <v>0</v>
      </c>
      <c r="G2">
        <f>BDH("OII US Equity","BS_ST_BORROW","1993-06-18","2026-05-02","Per=Y","Days=T","Dir=V")</f>
        <v>0</v>
      </c>
      <c r="I2">
        <f>BDH("OII US Equity","BS_LT_BORROW","1993-06-18","2026-05-02","Per=Y","Days=T","Dir=V")</f>
        <v>0</v>
      </c>
      <c r="K2">
        <f>BDH("OII US Equity","BS_CASH_NEAR_CASH_ITEM","1993-06-18","2026-05-02","Per=Y","Days=T","Dir=V")</f>
        <v>0</v>
      </c>
      <c r="M2">
        <f>BDH("OII US Equity","BS_CUR_ASSET_REPORT","1993-06-18","2026-05-02","Per=Y","Days=T","Dir=V")</f>
        <v>0</v>
      </c>
      <c r="O2">
        <f>BDH("OII US Equity","BS_CUR_LIAB","1993-06-18","2026-05-02","Per=Y","Days=T","Dir=V")</f>
        <v>0</v>
      </c>
      <c r="Q2">
        <f>BDH("OII US Equity","BS_SHAREHOLDER_EQY_ENDING_PERIOD","1993-06-18","2026-05-02","Per=Y","Days=T","Dir=V")</f>
        <v>0</v>
      </c>
      <c r="S2">
        <f>BDH("OII US Equity","BS_ACCT_NOTE_RCV","1993-06-18","2026-05-02","Per=Y","Days=T","Dir=V")</f>
        <v>0</v>
      </c>
      <c r="U2">
        <f>BDH("OII US Equity","BS_INVENTORIES","1993-06-18","2026-05-02","Per=Y","Days=T","Dir=V")</f>
        <v>0</v>
      </c>
      <c r="W2">
        <f>BDH("OII US Equity","WORKING_CAPITAL","1993-06-18","2026-05-02","Per=Y","Days=T","Dir=V")</f>
        <v>0</v>
      </c>
      <c r="Y2">
        <f>BDH("OII US Equity","SALES_REV_TURN","1993-06-18","2026-05-02","Per=Y","Days=T","Dir=V")</f>
        <v>0</v>
      </c>
      <c r="AA2">
        <f>BDH("OII US Equity","EBIT","1993-06-18","2026-05-02","Per=Y","Days=T","Dir=V")</f>
        <v>0</v>
      </c>
      <c r="AC2">
        <f>BDH("OII US Equity","EBITDA","1993-06-18","2026-05-02","Per=Y","Days=T","Dir=V")</f>
        <v>0</v>
      </c>
      <c r="AE2">
        <f>BDH("OII US Equity","NET_INCOME","1993-06-18","2026-05-02","Per=Y","Days=T","Dir=V")</f>
        <v>0</v>
      </c>
      <c r="AG2">
        <f>BDH("OII US Equity","IS_INT_EXPENSE","1993-06-18","2026-05-02","Per=Y","Days=T","Dir=V")</f>
        <v>0</v>
      </c>
      <c r="AI2">
        <f>BDH("OII US Equity","IS_DEPR_EXP","1993-06-18","2026-05-02","Per=Y","Days=T","Dir=V")</f>
        <v>0</v>
      </c>
      <c r="AK2">
        <f>BDH("OII US Equity","CF_CASH_FROM_OPER","1993-06-18","2026-05-02","Per=Y","Days=T","Dir=V")</f>
        <v>0</v>
      </c>
      <c r="AM2">
        <f>BDH("OII US Equity","CAPITAL_EXPEND","1993-06-18","2026-05-02","Per=Y","Days=T","Dir=V")</f>
        <v>0</v>
      </c>
      <c r="AO2">
        <f>BDH("OII US Equity","CF_FREE_CASH_FLOW","1993-06-18","2026-05-02","Per=Y","Days=T","Dir=V")</f>
        <v>0</v>
      </c>
      <c r="AQ2">
        <f>BDH("OII US Equity","PX_LAST","1993-06-18","2026-05-02","Per=M","Days=T","Dir=V")</f>
        <v>0</v>
      </c>
      <c r="AS2">
        <f>BDH("OII US Equity","CUR_MKT_CAP","1993-06-18","2026-05-02","Per=M","Days=T","Dir=V")</f>
        <v>0</v>
      </c>
      <c r="AU2">
        <f>BDH("OII US Equity","EQY_SH_OUT","1993-06-18","2026-05-02","Per=M","Days=T","Dir=V")</f>
        <v>0</v>
      </c>
      <c r="AW2">
        <f>BDH("OII US Equity","PX_VOLUME","1993-06-18","2026-05-02","Per=M","Days=T","Dir=V")</f>
        <v>0</v>
      </c>
      <c r="AY2">
        <f>BDH("OII US Equity","TURNOVER","1993-06-18","2026-05-02","Per=M","Days=T","Dir=V")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BDH("OIS US Equity","BS_TOT_ASSET","1993-06-18","2026-05-02","Per=Y","Days=T","Dir=V")</f>
        <v>0</v>
      </c>
      <c r="C2">
        <f>BDH("OIS US Equity","BS_TOT_LIAB2","1993-06-18","2026-05-02","Per=Y","Days=T","Dir=V")</f>
        <v>0</v>
      </c>
      <c r="E2">
        <f>BDH("OIS US Equity","SHORT_AND_LONG_TERM_DEBT","1993-06-18","2026-05-02","Per=Y","Days=T","Dir=V")</f>
        <v>0</v>
      </c>
      <c r="G2">
        <f>BDH("OIS US Equity","BS_ST_BORROW","1993-06-18","2026-05-02","Per=Y","Days=T","Dir=V")</f>
        <v>0</v>
      </c>
      <c r="I2">
        <f>BDH("OIS US Equity","BS_LT_BORROW","1993-06-18","2026-05-02","Per=Y","Days=T","Dir=V")</f>
        <v>0</v>
      </c>
      <c r="K2">
        <f>BDH("OIS US Equity","BS_CASH_NEAR_CASH_ITEM","1993-06-18","2026-05-02","Per=Y","Days=T","Dir=V")</f>
        <v>0</v>
      </c>
      <c r="M2">
        <f>BDH("OIS US Equity","BS_CUR_ASSET_REPORT","1993-06-18","2026-05-02","Per=Y","Days=T","Dir=V")</f>
        <v>0</v>
      </c>
      <c r="O2">
        <f>BDH("OIS US Equity","BS_CUR_LIAB","1993-06-18","2026-05-02","Per=Y","Days=T","Dir=V")</f>
        <v>0</v>
      </c>
      <c r="Q2">
        <f>BDH("OIS US Equity","BS_SHAREHOLDER_EQY_ENDING_PERIOD","1993-06-18","2026-05-02","Per=Y","Days=T","Dir=V")</f>
        <v>0</v>
      </c>
      <c r="S2">
        <f>BDH("OIS US Equity","BS_ACCT_NOTE_RCV","1993-06-18","2026-05-02","Per=Y","Days=T","Dir=V")</f>
        <v>0</v>
      </c>
      <c r="U2">
        <f>BDH("OIS US Equity","BS_INVENTORIES","1993-06-18","2026-05-02","Per=Y","Days=T","Dir=V")</f>
        <v>0</v>
      </c>
      <c r="W2">
        <f>BDH("OIS US Equity","WORKING_CAPITAL","1993-06-18","2026-05-02","Per=Y","Days=T","Dir=V")</f>
        <v>0</v>
      </c>
      <c r="Y2">
        <f>BDH("OIS US Equity","SALES_REV_TURN","1993-06-18","2026-05-02","Per=Y","Days=T","Dir=V")</f>
        <v>0</v>
      </c>
      <c r="AA2">
        <f>BDH("OIS US Equity","EBIT","1993-06-18","2026-05-02","Per=Y","Days=T","Dir=V")</f>
        <v>0</v>
      </c>
      <c r="AC2">
        <f>BDH("OIS US Equity","EBITDA","1993-06-18","2026-05-02","Per=Y","Days=T","Dir=V")</f>
        <v>0</v>
      </c>
      <c r="AE2">
        <f>BDH("OIS US Equity","NET_INCOME","1993-06-18","2026-05-02","Per=Y","Days=T","Dir=V")</f>
        <v>0</v>
      </c>
      <c r="AG2">
        <f>BDH("OIS US Equity","IS_INT_EXPENSE","1993-06-18","2026-05-02","Per=Y","Days=T","Dir=V")</f>
        <v>0</v>
      </c>
      <c r="AI2">
        <f>BDH("OIS US Equity","IS_DEPR_EXP","1993-06-18","2026-05-02","Per=Y","Days=T","Dir=V")</f>
        <v>0</v>
      </c>
      <c r="AK2">
        <f>BDH("OIS US Equity","CF_CASH_FROM_OPER","1993-06-18","2026-05-02","Per=Y","Days=T","Dir=V")</f>
        <v>0</v>
      </c>
      <c r="AM2">
        <f>BDH("OIS US Equity","CAPITAL_EXPEND","1993-06-18","2026-05-02","Per=Y","Days=T","Dir=V")</f>
        <v>0</v>
      </c>
      <c r="AO2">
        <f>BDH("OIS US Equity","CF_FREE_CASH_FLOW","1993-06-18","2026-05-02","Per=Y","Days=T","Dir=V")</f>
        <v>0</v>
      </c>
      <c r="AQ2">
        <f>BDH("OIS US Equity","PX_LAST","1993-06-18","2026-05-02","Per=M","Days=T","Dir=V")</f>
        <v>0</v>
      </c>
      <c r="AS2">
        <f>BDH("OIS US Equity","CUR_MKT_CAP","1993-06-18","2026-05-02","Per=M","Days=T","Dir=V")</f>
        <v>0</v>
      </c>
      <c r="AU2">
        <f>BDH("OIS US Equity","EQY_SH_OUT","1993-06-18","2026-05-02","Per=M","Days=T","Dir=V")</f>
        <v>0</v>
      </c>
      <c r="AW2">
        <f>BDH("OIS US Equity","PX_VOLUME","1993-06-18","2026-05-02","Per=M","Days=T","Dir=V")</f>
        <v>0</v>
      </c>
      <c r="AY2">
        <f>BDH("OIS US Equity","TURNOVER","1993-06-18","2026-05-02","Per=M","Days=T","Dir=V")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BDH("OKE US Equity","BS_TOT_ASSET","1993-06-18","2026-05-02","Per=Y","Days=T","Dir=V")</f>
        <v>0</v>
      </c>
      <c r="C2">
        <f>BDH("OKE US Equity","BS_TOT_LIAB2","1993-06-18","2026-05-02","Per=Y","Days=T","Dir=V")</f>
        <v>0</v>
      </c>
      <c r="E2">
        <f>BDH("OKE US Equity","SHORT_AND_LONG_TERM_DEBT","1993-06-18","2026-05-02","Per=Y","Days=T","Dir=V")</f>
        <v>0</v>
      </c>
      <c r="G2">
        <f>BDH("OKE US Equity","BS_ST_BORROW","1993-06-18","2026-05-02","Per=Y","Days=T","Dir=V")</f>
        <v>0</v>
      </c>
      <c r="I2">
        <f>BDH("OKE US Equity","BS_LT_BORROW","1993-06-18","2026-05-02","Per=Y","Days=T","Dir=V")</f>
        <v>0</v>
      </c>
      <c r="K2">
        <f>BDH("OKE US Equity","BS_CASH_NEAR_CASH_ITEM","1993-06-18","2026-05-02","Per=Y","Days=T","Dir=V")</f>
        <v>0</v>
      </c>
      <c r="M2">
        <f>BDH("OKE US Equity","BS_CUR_ASSET_REPORT","1993-06-18","2026-05-02","Per=Y","Days=T","Dir=V")</f>
        <v>0</v>
      </c>
      <c r="O2">
        <f>BDH("OKE US Equity","BS_CUR_LIAB","1993-06-18","2026-05-02","Per=Y","Days=T","Dir=V")</f>
        <v>0</v>
      </c>
      <c r="Q2">
        <f>BDH("OKE US Equity","BS_SHAREHOLDER_EQY_ENDING_PERIOD","1993-06-18","2026-05-02","Per=Y","Days=T","Dir=V")</f>
        <v>0</v>
      </c>
      <c r="S2">
        <f>BDH("OKE US Equity","BS_ACCT_NOTE_RCV","1993-06-18","2026-05-02","Per=Y","Days=T","Dir=V")</f>
        <v>0</v>
      </c>
      <c r="U2">
        <f>BDH("OKE US Equity","BS_INVENTORIES","1993-06-18","2026-05-02","Per=Y","Days=T","Dir=V")</f>
        <v>0</v>
      </c>
      <c r="W2">
        <f>BDH("OKE US Equity","WORKING_CAPITAL","1993-06-18","2026-05-02","Per=Y","Days=T","Dir=V")</f>
        <v>0</v>
      </c>
      <c r="Y2">
        <f>BDH("OKE US Equity","SALES_REV_TURN","1993-06-18","2026-05-02","Per=Y","Days=T","Dir=V")</f>
        <v>0</v>
      </c>
      <c r="AA2">
        <f>BDH("OKE US Equity","EBIT","1993-06-18","2026-05-02","Per=Y","Days=T","Dir=V")</f>
        <v>0</v>
      </c>
      <c r="AC2">
        <f>BDH("OKE US Equity","EBITDA","1993-06-18","2026-05-02","Per=Y","Days=T","Dir=V")</f>
        <v>0</v>
      </c>
      <c r="AE2">
        <f>BDH("OKE US Equity","NET_INCOME","1993-06-18","2026-05-02","Per=Y","Days=T","Dir=V")</f>
        <v>0</v>
      </c>
      <c r="AG2">
        <f>BDH("OKE US Equity","IS_INT_EXPENSE","1993-06-18","2026-05-02","Per=Y","Days=T","Dir=V")</f>
        <v>0</v>
      </c>
      <c r="AI2">
        <f>BDH("OKE US Equity","IS_DEPR_EXP","1993-06-18","2026-05-02","Per=Y","Days=T","Dir=V")</f>
        <v>0</v>
      </c>
      <c r="AK2">
        <f>BDH("OKE US Equity","CF_CASH_FROM_OPER","1993-06-18","2026-05-02","Per=Y","Days=T","Dir=V")</f>
        <v>0</v>
      </c>
      <c r="AM2">
        <f>BDH("OKE US Equity","CAPITAL_EXPEND","1993-06-18","2026-05-02","Per=Y","Days=T","Dir=V")</f>
        <v>0</v>
      </c>
      <c r="AO2">
        <f>BDH("OKE US Equity","CF_FREE_CASH_FLOW","1993-06-18","2026-05-02","Per=Y","Days=T","Dir=V")</f>
        <v>0</v>
      </c>
      <c r="AQ2">
        <f>BDH("OKE US Equity","PX_LAST","1993-06-18","2026-05-02","Per=M","Days=T","Dir=V")</f>
        <v>0</v>
      </c>
      <c r="AS2">
        <f>BDH("OKE US Equity","CUR_MKT_CAP","1993-06-18","2026-05-02","Per=M","Days=T","Dir=V")</f>
        <v>0</v>
      </c>
      <c r="AU2">
        <f>BDH("OKE US Equity","EQY_SH_OUT","1993-06-18","2026-05-02","Per=M","Days=T","Dir=V")</f>
        <v>0</v>
      </c>
      <c r="AW2">
        <f>BDH("OKE US Equity","PX_VOLUME","1993-06-18","2026-05-02","Per=M","Days=T","Dir=V")</f>
        <v>0</v>
      </c>
      <c r="AY2">
        <f>BDH("OKE US Equity","TURNOVER","1993-06-18","2026-05-02","Per=M","Days=T","Dir=V")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BDH("OKLO US Equity","BS_TOT_ASSET","1993-06-18","2026-05-02","Per=Y","Days=T","Dir=V")</f>
        <v>0</v>
      </c>
      <c r="C2">
        <f>BDH("OKLO US Equity","BS_TOT_LIAB2","1993-06-18","2026-05-02","Per=Y","Days=T","Dir=V")</f>
        <v>0</v>
      </c>
      <c r="E2">
        <f>BDH("OKLO US Equity","SHORT_AND_LONG_TERM_DEBT","1993-06-18","2026-05-02","Per=Y","Days=T","Dir=V")</f>
        <v>0</v>
      </c>
      <c r="G2">
        <f>BDH("OKLO US Equity","BS_ST_BORROW","1993-06-18","2026-05-02","Per=Y","Days=T","Dir=V")</f>
        <v>0</v>
      </c>
      <c r="I2">
        <f>BDH("OKLO US Equity","BS_LT_BORROW","1993-06-18","2026-05-02","Per=Y","Days=T","Dir=V")</f>
        <v>0</v>
      </c>
      <c r="K2">
        <f>BDH("OKLO US Equity","BS_CASH_NEAR_CASH_ITEM","1993-06-18","2026-05-02","Per=Y","Days=T","Dir=V")</f>
        <v>0</v>
      </c>
      <c r="M2">
        <f>BDH("OKLO US Equity","BS_CUR_ASSET_REPORT","1993-06-18","2026-05-02","Per=Y","Days=T","Dir=V")</f>
        <v>0</v>
      </c>
      <c r="O2">
        <f>BDH("OKLO US Equity","BS_CUR_LIAB","1993-06-18","2026-05-02","Per=Y","Days=T","Dir=V")</f>
        <v>0</v>
      </c>
      <c r="Q2">
        <f>BDH("OKLO US Equity","BS_SHAREHOLDER_EQY_ENDING_PERIOD","1993-06-18","2026-05-02","Per=Y","Days=T","Dir=V")</f>
        <v>0</v>
      </c>
      <c r="S2">
        <f>BDH("OKLO US Equity","BS_ACCT_NOTE_RCV","1993-06-18","2026-05-02","Per=Y","Days=T","Dir=V")</f>
        <v>0</v>
      </c>
      <c r="U2">
        <f>BDH("OKLO US Equity","BS_INVENTORIES","1993-06-18","2026-05-02","Per=Y","Days=T","Dir=V")</f>
        <v>0</v>
      </c>
      <c r="W2">
        <f>BDH("OKLO US Equity","WORKING_CAPITAL","1993-06-18","2026-05-02","Per=Y","Days=T","Dir=V")</f>
        <v>0</v>
      </c>
      <c r="Y2">
        <f>BDH("OKLO US Equity","SALES_REV_TURN","1993-06-18","2026-05-02","Per=Y","Days=T","Dir=V")</f>
        <v>0</v>
      </c>
      <c r="AA2">
        <f>BDH("OKLO US Equity","EBIT","1993-06-18","2026-05-02","Per=Y","Days=T","Dir=V")</f>
        <v>0</v>
      </c>
      <c r="AC2">
        <f>BDH("OKLO US Equity","EBITDA","1993-06-18","2026-05-02","Per=Y","Days=T","Dir=V")</f>
        <v>0</v>
      </c>
      <c r="AE2">
        <f>BDH("OKLO US Equity","NET_INCOME","1993-06-18","2026-05-02","Per=Y","Days=T","Dir=V")</f>
        <v>0</v>
      </c>
      <c r="AG2">
        <f>BDH("OKLO US Equity","IS_INT_EXPENSE","1993-06-18","2026-05-02","Per=Y","Days=T","Dir=V")</f>
        <v>0</v>
      </c>
      <c r="AI2">
        <f>BDH("OKLO US Equity","IS_DEPR_EXP","1993-06-18","2026-05-02","Per=Y","Days=T","Dir=V")</f>
        <v>0</v>
      </c>
      <c r="AK2">
        <f>BDH("OKLO US Equity","CF_CASH_FROM_OPER","1993-06-18","2026-05-02","Per=Y","Days=T","Dir=V")</f>
        <v>0</v>
      </c>
      <c r="AM2">
        <f>BDH("OKLO US Equity","CAPITAL_EXPEND","1993-06-18","2026-05-02","Per=Y","Days=T","Dir=V")</f>
        <v>0</v>
      </c>
      <c r="AO2">
        <f>BDH("OKLO US Equity","CF_FREE_CASH_FLOW","1993-06-18","2026-05-02","Per=Y","Days=T","Dir=V")</f>
        <v>0</v>
      </c>
      <c r="AQ2">
        <f>BDH("OKLO US Equity","PX_LAST","1993-06-18","2026-05-02","Per=M","Days=T","Dir=V")</f>
        <v>0</v>
      </c>
      <c r="AS2">
        <f>BDH("OKLO US Equity","CUR_MKT_CAP","1993-06-18","2026-05-02","Per=M","Days=T","Dir=V")</f>
        <v>0</v>
      </c>
      <c r="AU2">
        <f>BDH("OKLO US Equity","EQY_SH_OUT","1993-06-18","2026-05-02","Per=M","Days=T","Dir=V")</f>
        <v>0</v>
      </c>
      <c r="AW2">
        <f>BDH("OKLO US Equity","PX_VOLUME","1993-06-18","2026-05-02","Per=M","Days=T","Dir=V")</f>
        <v>0</v>
      </c>
      <c r="AY2">
        <f>BDH("OKLO US Equity","TURNOVER","1993-06-18","2026-05-02","Per=M","Days=T","Dir=V")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BDH("OKTA US Equity","BS_TOT_ASSET","1993-06-18","2026-05-02","Per=Y","Days=T","Dir=V")</f>
        <v>0</v>
      </c>
      <c r="C2">
        <f>BDH("OKTA US Equity","BS_TOT_LIAB2","1993-06-18","2026-05-02","Per=Y","Days=T","Dir=V")</f>
        <v>0</v>
      </c>
      <c r="E2">
        <f>BDH("OKTA US Equity","SHORT_AND_LONG_TERM_DEBT","1993-06-18","2026-05-02","Per=Y","Days=T","Dir=V")</f>
        <v>0</v>
      </c>
      <c r="G2">
        <f>BDH("OKTA US Equity","BS_ST_BORROW","1993-06-18","2026-05-02","Per=Y","Days=T","Dir=V")</f>
        <v>0</v>
      </c>
      <c r="I2">
        <f>BDH("OKTA US Equity","BS_LT_BORROW","1993-06-18","2026-05-02","Per=Y","Days=T","Dir=V")</f>
        <v>0</v>
      </c>
      <c r="K2">
        <f>BDH("OKTA US Equity","BS_CASH_NEAR_CASH_ITEM","1993-06-18","2026-05-02","Per=Y","Days=T","Dir=V")</f>
        <v>0</v>
      </c>
      <c r="M2">
        <f>BDH("OKTA US Equity","BS_CUR_ASSET_REPORT","1993-06-18","2026-05-02","Per=Y","Days=T","Dir=V")</f>
        <v>0</v>
      </c>
      <c r="O2">
        <f>BDH("OKTA US Equity","BS_CUR_LIAB","1993-06-18","2026-05-02","Per=Y","Days=T","Dir=V")</f>
        <v>0</v>
      </c>
      <c r="Q2">
        <f>BDH("OKTA US Equity","BS_SHAREHOLDER_EQY_ENDING_PERIOD","1993-06-18","2026-05-02","Per=Y","Days=T","Dir=V")</f>
        <v>0</v>
      </c>
      <c r="S2">
        <f>BDH("OKTA US Equity","BS_ACCT_NOTE_RCV","1993-06-18","2026-05-02","Per=Y","Days=T","Dir=V")</f>
        <v>0</v>
      </c>
      <c r="U2">
        <f>BDH("OKTA US Equity","BS_INVENTORIES","1993-06-18","2026-05-02","Per=Y","Days=T","Dir=V")</f>
        <v>0</v>
      </c>
      <c r="W2">
        <f>BDH("OKTA US Equity","WORKING_CAPITAL","1993-06-18","2026-05-02","Per=Y","Days=T","Dir=V")</f>
        <v>0</v>
      </c>
      <c r="Y2">
        <f>BDH("OKTA US Equity","SALES_REV_TURN","1993-06-18","2026-05-02","Per=Y","Days=T","Dir=V")</f>
        <v>0</v>
      </c>
      <c r="AA2">
        <f>BDH("OKTA US Equity","EBIT","1993-06-18","2026-05-02","Per=Y","Days=T","Dir=V")</f>
        <v>0</v>
      </c>
      <c r="AC2">
        <f>BDH("OKTA US Equity","EBITDA","1993-06-18","2026-05-02","Per=Y","Days=T","Dir=V")</f>
        <v>0</v>
      </c>
      <c r="AE2">
        <f>BDH("OKTA US Equity","NET_INCOME","1993-06-18","2026-05-02","Per=Y","Days=T","Dir=V")</f>
        <v>0</v>
      </c>
      <c r="AG2">
        <f>BDH("OKTA US Equity","IS_INT_EXPENSE","1993-06-18","2026-05-02","Per=Y","Days=T","Dir=V")</f>
        <v>0</v>
      </c>
      <c r="AI2">
        <f>BDH("OKTA US Equity","IS_DEPR_EXP","1993-06-18","2026-05-02","Per=Y","Days=T","Dir=V")</f>
        <v>0</v>
      </c>
      <c r="AK2">
        <f>BDH("OKTA US Equity","CF_CASH_FROM_OPER","1993-06-18","2026-05-02","Per=Y","Days=T","Dir=V")</f>
        <v>0</v>
      </c>
      <c r="AM2">
        <f>BDH("OKTA US Equity","CAPITAL_EXPEND","1993-06-18","2026-05-02","Per=Y","Days=T","Dir=V")</f>
        <v>0</v>
      </c>
      <c r="AO2">
        <f>BDH("OKTA US Equity","CF_FREE_CASH_FLOW","1993-06-18","2026-05-02","Per=Y","Days=T","Dir=V")</f>
        <v>0</v>
      </c>
      <c r="AQ2">
        <f>BDH("OKTA US Equity","PX_LAST","1993-06-18","2026-05-02","Per=M","Days=T","Dir=V")</f>
        <v>0</v>
      </c>
      <c r="AS2">
        <f>BDH("OKTA US Equity","CUR_MKT_CAP","1993-06-18","2026-05-02","Per=M","Days=T","Dir=V")</f>
        <v>0</v>
      </c>
      <c r="AU2">
        <f>BDH("OKTA US Equity","EQY_SH_OUT","1993-06-18","2026-05-02","Per=M","Days=T","Dir=V")</f>
        <v>0</v>
      </c>
      <c r="AW2">
        <f>BDH("OKTA US Equity","PX_VOLUME","1993-06-18","2026-05-02","Per=M","Days=T","Dir=V")</f>
        <v>0</v>
      </c>
      <c r="AY2">
        <f>BDH("OKTA US Equity","TURNOVER","1993-06-18","2026-05-02","Per=M","Days=T","Dir=V")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BDH("OKUR US Equity","BS_TOT_ASSET","1993-06-18","2026-05-02","Per=Y","Days=T","Dir=V")</f>
        <v>0</v>
      </c>
      <c r="C2">
        <f>BDH("OKUR US Equity","BS_TOT_LIAB2","1993-06-18","2026-05-02","Per=Y","Days=T","Dir=V")</f>
        <v>0</v>
      </c>
      <c r="E2">
        <f>BDH("OKUR US Equity","SHORT_AND_LONG_TERM_DEBT","1993-06-18","2026-05-02","Per=Y","Days=T","Dir=V")</f>
        <v>0</v>
      </c>
      <c r="G2">
        <f>BDH("OKUR US Equity","BS_ST_BORROW","1993-06-18","2026-05-02","Per=Y","Days=T","Dir=V")</f>
        <v>0</v>
      </c>
      <c r="I2">
        <f>BDH("OKUR US Equity","BS_LT_BORROW","1993-06-18","2026-05-02","Per=Y","Days=T","Dir=V")</f>
        <v>0</v>
      </c>
      <c r="K2">
        <f>BDH("OKUR US Equity","BS_CASH_NEAR_CASH_ITEM","1993-06-18","2026-05-02","Per=Y","Days=T","Dir=V")</f>
        <v>0</v>
      </c>
      <c r="M2">
        <f>BDH("OKUR US Equity","BS_CUR_ASSET_REPORT","1993-06-18","2026-05-02","Per=Y","Days=T","Dir=V")</f>
        <v>0</v>
      </c>
      <c r="O2">
        <f>BDH("OKUR US Equity","BS_CUR_LIAB","1993-06-18","2026-05-02","Per=Y","Days=T","Dir=V")</f>
        <v>0</v>
      </c>
      <c r="Q2">
        <f>BDH("OKUR US Equity","BS_SHAREHOLDER_EQY_ENDING_PERIOD","1993-06-18","2026-05-02","Per=Y","Days=T","Dir=V")</f>
        <v>0</v>
      </c>
      <c r="S2">
        <f>BDH("OKUR US Equity","BS_ACCT_NOTE_RCV","1993-06-18","2026-05-02","Per=Y","Days=T","Dir=V")</f>
        <v>0</v>
      </c>
      <c r="U2">
        <f>BDH("OKUR US Equity","BS_INVENTORIES","1993-06-18","2026-05-02","Per=Y","Days=T","Dir=V")</f>
        <v>0</v>
      </c>
      <c r="W2">
        <f>BDH("OKUR US Equity","WORKING_CAPITAL","1993-06-18","2026-05-02","Per=Y","Days=T","Dir=V")</f>
        <v>0</v>
      </c>
      <c r="Y2">
        <f>BDH("OKUR US Equity","SALES_REV_TURN","1993-06-18","2026-05-02","Per=Y","Days=T","Dir=V")</f>
        <v>0</v>
      </c>
      <c r="AA2">
        <f>BDH("OKUR US Equity","EBIT","1993-06-18","2026-05-02","Per=Y","Days=T","Dir=V")</f>
        <v>0</v>
      </c>
      <c r="AC2">
        <f>BDH("OKUR US Equity","EBITDA","1993-06-18","2026-05-02","Per=Y","Days=T","Dir=V")</f>
        <v>0</v>
      </c>
      <c r="AE2">
        <f>BDH("OKUR US Equity","NET_INCOME","1993-06-18","2026-05-02","Per=Y","Days=T","Dir=V")</f>
        <v>0</v>
      </c>
      <c r="AG2">
        <f>BDH("OKUR US Equity","IS_INT_EXPENSE","1993-06-18","2026-05-02","Per=Y","Days=T","Dir=V")</f>
        <v>0</v>
      </c>
      <c r="AI2">
        <f>BDH("OKUR US Equity","IS_DEPR_EXP","1993-06-18","2026-05-02","Per=Y","Days=T","Dir=V")</f>
        <v>0</v>
      </c>
      <c r="AK2">
        <f>BDH("OKUR US Equity","CF_CASH_FROM_OPER","1993-06-18","2026-05-02","Per=Y","Days=T","Dir=V")</f>
        <v>0</v>
      </c>
      <c r="AM2">
        <f>BDH("OKUR US Equity","CAPITAL_EXPEND","1993-06-18","2026-05-02","Per=Y","Days=T","Dir=V")</f>
        <v>0</v>
      </c>
      <c r="AO2">
        <f>BDH("OKUR US Equity","CF_FREE_CASH_FLOW","1993-06-18","2026-05-02","Per=Y","Days=T","Dir=V")</f>
        <v>0</v>
      </c>
      <c r="AQ2">
        <f>BDH("OKUR US Equity","PX_LAST","1993-06-18","2026-05-02","Per=M","Days=T","Dir=V")</f>
        <v>0</v>
      </c>
      <c r="AS2">
        <f>BDH("OKUR US Equity","CUR_MKT_CAP","1993-06-18","2026-05-02","Per=M","Days=T","Dir=V")</f>
        <v>0</v>
      </c>
      <c r="AU2">
        <f>BDH("OKUR US Equity","EQY_SH_OUT","1993-06-18","2026-05-02","Per=M","Days=T","Dir=V")</f>
        <v>0</v>
      </c>
      <c r="AW2">
        <f>BDH("OKUR US Equity","PX_VOLUME","1993-06-18","2026-05-02","Per=M","Days=T","Dir=V")</f>
        <v>0</v>
      </c>
      <c r="AY2">
        <f>BDH("OKUR US Equity","TURNOVER","1993-06-18","2026-05-02","Per=M","Days=T","Dir=V")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BDH("OLB US Equity","BS_TOT_ASSET","1993-06-18","2026-05-02","Per=Y","Days=T","Dir=V")</f>
        <v>0</v>
      </c>
      <c r="C2">
        <f>BDH("OLB US Equity","BS_TOT_LIAB2","1993-06-18","2026-05-02","Per=Y","Days=T","Dir=V")</f>
        <v>0</v>
      </c>
      <c r="E2">
        <f>BDH("OLB US Equity","SHORT_AND_LONG_TERM_DEBT","1993-06-18","2026-05-02","Per=Y","Days=T","Dir=V")</f>
        <v>0</v>
      </c>
      <c r="G2">
        <f>BDH("OLB US Equity","BS_ST_BORROW","1993-06-18","2026-05-02","Per=Y","Days=T","Dir=V")</f>
        <v>0</v>
      </c>
      <c r="I2">
        <f>BDH("OLB US Equity","BS_LT_BORROW","1993-06-18","2026-05-02","Per=Y","Days=T","Dir=V")</f>
        <v>0</v>
      </c>
      <c r="K2">
        <f>BDH("OLB US Equity","BS_CASH_NEAR_CASH_ITEM","1993-06-18","2026-05-02","Per=Y","Days=T","Dir=V")</f>
        <v>0</v>
      </c>
      <c r="M2">
        <f>BDH("OLB US Equity","BS_CUR_ASSET_REPORT","1993-06-18","2026-05-02","Per=Y","Days=T","Dir=V")</f>
        <v>0</v>
      </c>
      <c r="O2">
        <f>BDH("OLB US Equity","BS_CUR_LIAB","1993-06-18","2026-05-02","Per=Y","Days=T","Dir=V")</f>
        <v>0</v>
      </c>
      <c r="Q2">
        <f>BDH("OLB US Equity","BS_SHAREHOLDER_EQY_ENDING_PERIOD","1993-06-18","2026-05-02","Per=Y","Days=T","Dir=V")</f>
        <v>0</v>
      </c>
      <c r="S2">
        <f>BDH("OLB US Equity","BS_ACCT_NOTE_RCV","1993-06-18","2026-05-02","Per=Y","Days=T","Dir=V")</f>
        <v>0</v>
      </c>
      <c r="U2">
        <f>BDH("OLB US Equity","BS_INVENTORIES","1993-06-18","2026-05-02","Per=Y","Days=T","Dir=V")</f>
        <v>0</v>
      </c>
      <c r="W2">
        <f>BDH("OLB US Equity","WORKING_CAPITAL","1993-06-18","2026-05-02","Per=Y","Days=T","Dir=V")</f>
        <v>0</v>
      </c>
      <c r="Y2">
        <f>BDH("OLB US Equity","SALES_REV_TURN","1993-06-18","2026-05-02","Per=Y","Days=T","Dir=V")</f>
        <v>0</v>
      </c>
      <c r="AA2">
        <f>BDH("OLB US Equity","EBIT","1993-06-18","2026-05-02","Per=Y","Days=T","Dir=V")</f>
        <v>0</v>
      </c>
      <c r="AC2">
        <f>BDH("OLB US Equity","EBITDA","1993-06-18","2026-05-02","Per=Y","Days=T","Dir=V")</f>
        <v>0</v>
      </c>
      <c r="AE2">
        <f>BDH("OLB US Equity","NET_INCOME","1993-06-18","2026-05-02","Per=Y","Days=T","Dir=V")</f>
        <v>0</v>
      </c>
      <c r="AG2">
        <f>BDH("OLB US Equity","IS_INT_EXPENSE","1993-06-18","2026-05-02","Per=Y","Days=T","Dir=V")</f>
        <v>0</v>
      </c>
      <c r="AI2">
        <f>BDH("OLB US Equity","IS_DEPR_EXP","1993-06-18","2026-05-02","Per=Y","Days=T","Dir=V")</f>
        <v>0</v>
      </c>
      <c r="AK2">
        <f>BDH("OLB US Equity","CF_CASH_FROM_OPER","1993-06-18","2026-05-02","Per=Y","Days=T","Dir=V")</f>
        <v>0</v>
      </c>
      <c r="AM2">
        <f>BDH("OLB US Equity","CAPITAL_EXPEND","1993-06-18","2026-05-02","Per=Y","Days=T","Dir=V")</f>
        <v>0</v>
      </c>
      <c r="AO2">
        <f>BDH("OLB US Equity","CF_FREE_CASH_FLOW","1993-06-18","2026-05-02","Per=Y","Days=T","Dir=V")</f>
        <v>0</v>
      </c>
      <c r="AQ2">
        <f>BDH("OLB US Equity","PX_LAST","1993-06-18","2026-05-02","Per=M","Days=T","Dir=V")</f>
        <v>0</v>
      </c>
      <c r="AS2">
        <f>BDH("OLB US Equity","CUR_MKT_CAP","1993-06-18","2026-05-02","Per=M","Days=T","Dir=V")</f>
        <v>0</v>
      </c>
      <c r="AU2">
        <f>BDH("OLB US Equity","EQY_SH_OUT","1993-06-18","2026-05-02","Per=M","Days=T","Dir=V")</f>
        <v>0</v>
      </c>
      <c r="AW2">
        <f>BDH("OLB US Equity","PX_VOLUME","1993-06-18","2026-05-02","Per=M","Days=T","Dir=V")</f>
        <v>0</v>
      </c>
      <c r="AY2">
        <f>BDH("OLB US Equity","TURNOVER","1993-06-18","2026-05-02","Per=M","Days=T","Dir=V")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BDH("OLED US Equity","BS_TOT_ASSET","1993-06-18","2026-05-02","Per=Y","Days=T","Dir=V")</f>
        <v>0</v>
      </c>
      <c r="C2">
        <f>BDH("OLED US Equity","BS_TOT_LIAB2","1993-06-18","2026-05-02","Per=Y","Days=T","Dir=V")</f>
        <v>0</v>
      </c>
      <c r="E2">
        <f>BDH("OLED US Equity","SHORT_AND_LONG_TERM_DEBT","1993-06-18","2026-05-02","Per=Y","Days=T","Dir=V")</f>
        <v>0</v>
      </c>
      <c r="G2">
        <f>BDH("OLED US Equity","BS_ST_BORROW","1993-06-18","2026-05-02","Per=Y","Days=T","Dir=V")</f>
        <v>0</v>
      </c>
      <c r="I2">
        <f>BDH("OLED US Equity","BS_LT_BORROW","1993-06-18","2026-05-02","Per=Y","Days=T","Dir=V")</f>
        <v>0</v>
      </c>
      <c r="K2">
        <f>BDH("OLED US Equity","BS_CASH_NEAR_CASH_ITEM","1993-06-18","2026-05-02","Per=Y","Days=T","Dir=V")</f>
        <v>0</v>
      </c>
      <c r="M2">
        <f>BDH("OLED US Equity","BS_CUR_ASSET_REPORT","1993-06-18","2026-05-02","Per=Y","Days=T","Dir=V")</f>
        <v>0</v>
      </c>
      <c r="O2">
        <f>BDH("OLED US Equity","BS_CUR_LIAB","1993-06-18","2026-05-02","Per=Y","Days=T","Dir=V")</f>
        <v>0</v>
      </c>
      <c r="Q2">
        <f>BDH("OLED US Equity","BS_SHAREHOLDER_EQY_ENDING_PERIOD","1993-06-18","2026-05-02","Per=Y","Days=T","Dir=V")</f>
        <v>0</v>
      </c>
      <c r="S2">
        <f>BDH("OLED US Equity","BS_ACCT_NOTE_RCV","1993-06-18","2026-05-02","Per=Y","Days=T","Dir=V")</f>
        <v>0</v>
      </c>
      <c r="U2">
        <f>BDH("OLED US Equity","BS_INVENTORIES","1993-06-18","2026-05-02","Per=Y","Days=T","Dir=V")</f>
        <v>0</v>
      </c>
      <c r="W2">
        <f>BDH("OLED US Equity","WORKING_CAPITAL","1993-06-18","2026-05-02","Per=Y","Days=T","Dir=V")</f>
        <v>0</v>
      </c>
      <c r="Y2">
        <f>BDH("OLED US Equity","SALES_REV_TURN","1993-06-18","2026-05-02","Per=Y","Days=T","Dir=V")</f>
        <v>0</v>
      </c>
      <c r="AA2">
        <f>BDH("OLED US Equity","EBIT","1993-06-18","2026-05-02","Per=Y","Days=T","Dir=V")</f>
        <v>0</v>
      </c>
      <c r="AC2">
        <f>BDH("OLED US Equity","EBITDA","1993-06-18","2026-05-02","Per=Y","Days=T","Dir=V")</f>
        <v>0</v>
      </c>
      <c r="AE2">
        <f>BDH("OLED US Equity","NET_INCOME","1993-06-18","2026-05-02","Per=Y","Days=T","Dir=V")</f>
        <v>0</v>
      </c>
      <c r="AG2">
        <f>BDH("OLED US Equity","IS_INT_EXPENSE","1993-06-18","2026-05-02","Per=Y","Days=T","Dir=V")</f>
        <v>0</v>
      </c>
      <c r="AI2">
        <f>BDH("OLED US Equity","IS_DEPR_EXP","1993-06-18","2026-05-02","Per=Y","Days=T","Dir=V")</f>
        <v>0</v>
      </c>
      <c r="AK2">
        <f>BDH("OLED US Equity","CF_CASH_FROM_OPER","1993-06-18","2026-05-02","Per=Y","Days=T","Dir=V")</f>
        <v>0</v>
      </c>
      <c r="AM2">
        <f>BDH("OLED US Equity","CAPITAL_EXPEND","1993-06-18","2026-05-02","Per=Y","Days=T","Dir=V")</f>
        <v>0</v>
      </c>
      <c r="AO2">
        <f>BDH("OLED US Equity","CF_FREE_CASH_FLOW","1993-06-18","2026-05-02","Per=Y","Days=T","Dir=V")</f>
        <v>0</v>
      </c>
      <c r="AQ2">
        <f>BDH("OLED US Equity","PX_LAST","1993-06-18","2026-05-02","Per=M","Days=T","Dir=V")</f>
        <v>0</v>
      </c>
      <c r="AS2">
        <f>BDH("OLED US Equity","CUR_MKT_CAP","1993-06-18","2026-05-02","Per=M","Days=T","Dir=V")</f>
        <v>0</v>
      </c>
      <c r="AU2">
        <f>BDH("OLED US Equity","EQY_SH_OUT","1993-06-18","2026-05-02","Per=M","Days=T","Dir=V")</f>
        <v>0</v>
      </c>
      <c r="AW2">
        <f>BDH("OLED US Equity","PX_VOLUME","1993-06-18","2026-05-02","Per=M","Days=T","Dir=V")</f>
        <v>0</v>
      </c>
      <c r="AY2">
        <f>BDH("OLED US Equity","TURNOVER","1993-06-18","2026-05-02","Per=M","Days=T","Dir=V")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BDH("OLLI US Equity","BS_TOT_ASSET","1993-06-18","2026-05-02","Per=Y","Days=T","Dir=V")</f>
        <v>0</v>
      </c>
      <c r="C2">
        <f>BDH("OLLI US Equity","BS_TOT_LIAB2","1993-06-18","2026-05-02","Per=Y","Days=T","Dir=V")</f>
        <v>0</v>
      </c>
      <c r="E2">
        <f>BDH("OLLI US Equity","SHORT_AND_LONG_TERM_DEBT","1993-06-18","2026-05-02","Per=Y","Days=T","Dir=V")</f>
        <v>0</v>
      </c>
      <c r="G2">
        <f>BDH("OLLI US Equity","BS_ST_BORROW","1993-06-18","2026-05-02","Per=Y","Days=T","Dir=V")</f>
        <v>0</v>
      </c>
      <c r="I2">
        <f>BDH("OLLI US Equity","BS_LT_BORROW","1993-06-18","2026-05-02","Per=Y","Days=T","Dir=V")</f>
        <v>0</v>
      </c>
      <c r="K2">
        <f>BDH("OLLI US Equity","BS_CASH_NEAR_CASH_ITEM","1993-06-18","2026-05-02","Per=Y","Days=T","Dir=V")</f>
        <v>0</v>
      </c>
      <c r="M2">
        <f>BDH("OLLI US Equity","BS_CUR_ASSET_REPORT","1993-06-18","2026-05-02","Per=Y","Days=T","Dir=V")</f>
        <v>0</v>
      </c>
      <c r="O2">
        <f>BDH("OLLI US Equity","BS_CUR_LIAB","1993-06-18","2026-05-02","Per=Y","Days=T","Dir=V")</f>
        <v>0</v>
      </c>
      <c r="Q2">
        <f>BDH("OLLI US Equity","BS_SHAREHOLDER_EQY_ENDING_PERIOD","1993-06-18","2026-05-02","Per=Y","Days=T","Dir=V")</f>
        <v>0</v>
      </c>
      <c r="S2">
        <f>BDH("OLLI US Equity","BS_ACCT_NOTE_RCV","1993-06-18","2026-05-02","Per=Y","Days=T","Dir=V")</f>
        <v>0</v>
      </c>
      <c r="U2">
        <f>BDH("OLLI US Equity","BS_INVENTORIES","1993-06-18","2026-05-02","Per=Y","Days=T","Dir=V")</f>
        <v>0</v>
      </c>
      <c r="W2">
        <f>BDH("OLLI US Equity","WORKING_CAPITAL","1993-06-18","2026-05-02","Per=Y","Days=T","Dir=V")</f>
        <v>0</v>
      </c>
      <c r="Y2">
        <f>BDH("OLLI US Equity","SALES_REV_TURN","1993-06-18","2026-05-02","Per=Y","Days=T","Dir=V")</f>
        <v>0</v>
      </c>
      <c r="AA2">
        <f>BDH("OLLI US Equity","EBIT","1993-06-18","2026-05-02","Per=Y","Days=T","Dir=V")</f>
        <v>0</v>
      </c>
      <c r="AC2">
        <f>BDH("OLLI US Equity","EBITDA","1993-06-18","2026-05-02","Per=Y","Days=T","Dir=V")</f>
        <v>0</v>
      </c>
      <c r="AE2">
        <f>BDH("OLLI US Equity","NET_INCOME","1993-06-18","2026-05-02","Per=Y","Days=T","Dir=V")</f>
        <v>0</v>
      </c>
      <c r="AG2">
        <f>BDH("OLLI US Equity","IS_INT_EXPENSE","1993-06-18","2026-05-02","Per=Y","Days=T","Dir=V")</f>
        <v>0</v>
      </c>
      <c r="AI2">
        <f>BDH("OLLI US Equity","IS_DEPR_EXP","1993-06-18","2026-05-02","Per=Y","Days=T","Dir=V")</f>
        <v>0</v>
      </c>
      <c r="AK2">
        <f>BDH("OLLI US Equity","CF_CASH_FROM_OPER","1993-06-18","2026-05-02","Per=Y","Days=T","Dir=V")</f>
        <v>0</v>
      </c>
      <c r="AM2">
        <f>BDH("OLLI US Equity","CAPITAL_EXPEND","1993-06-18","2026-05-02","Per=Y","Days=T","Dir=V")</f>
        <v>0</v>
      </c>
      <c r="AO2">
        <f>BDH("OLLI US Equity","CF_FREE_CASH_FLOW","1993-06-18","2026-05-02","Per=Y","Days=T","Dir=V")</f>
        <v>0</v>
      </c>
      <c r="AQ2">
        <f>BDH("OLLI US Equity","PX_LAST","1993-06-18","2026-05-02","Per=M","Days=T","Dir=V")</f>
        <v>0</v>
      </c>
      <c r="AS2">
        <f>BDH("OLLI US Equity","CUR_MKT_CAP","1993-06-18","2026-05-02","Per=M","Days=T","Dir=V")</f>
        <v>0</v>
      </c>
      <c r="AU2">
        <f>BDH("OLLI US Equity","EQY_SH_OUT","1993-06-18","2026-05-02","Per=M","Days=T","Dir=V")</f>
        <v>0</v>
      </c>
      <c r="AW2">
        <f>BDH("OLLI US Equity","PX_VOLUME","1993-06-18","2026-05-02","Per=M","Days=T","Dir=V")</f>
        <v>0</v>
      </c>
      <c r="AY2">
        <f>BDH("OLLI US Equity","TURNOVER","1993-06-18","2026-05-02","Per=M","Days=T","Dir=V")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BDH("OLMA US Equity","BS_TOT_ASSET","1993-06-18","2026-05-02","Per=Y","Days=T","Dir=V")</f>
        <v>0</v>
      </c>
      <c r="C2">
        <f>BDH("OLMA US Equity","BS_TOT_LIAB2","1993-06-18","2026-05-02","Per=Y","Days=T","Dir=V")</f>
        <v>0</v>
      </c>
      <c r="E2">
        <f>BDH("OLMA US Equity","SHORT_AND_LONG_TERM_DEBT","1993-06-18","2026-05-02","Per=Y","Days=T","Dir=V")</f>
        <v>0</v>
      </c>
      <c r="G2">
        <f>BDH("OLMA US Equity","BS_ST_BORROW","1993-06-18","2026-05-02","Per=Y","Days=T","Dir=V")</f>
        <v>0</v>
      </c>
      <c r="I2">
        <f>BDH("OLMA US Equity","BS_LT_BORROW","1993-06-18","2026-05-02","Per=Y","Days=T","Dir=V")</f>
        <v>0</v>
      </c>
      <c r="K2">
        <f>BDH("OLMA US Equity","BS_CASH_NEAR_CASH_ITEM","1993-06-18","2026-05-02","Per=Y","Days=T","Dir=V")</f>
        <v>0</v>
      </c>
      <c r="M2">
        <f>BDH("OLMA US Equity","BS_CUR_ASSET_REPORT","1993-06-18","2026-05-02","Per=Y","Days=T","Dir=V")</f>
        <v>0</v>
      </c>
      <c r="O2">
        <f>BDH("OLMA US Equity","BS_CUR_LIAB","1993-06-18","2026-05-02","Per=Y","Days=T","Dir=V")</f>
        <v>0</v>
      </c>
      <c r="Q2">
        <f>BDH("OLMA US Equity","BS_SHAREHOLDER_EQY_ENDING_PERIOD","1993-06-18","2026-05-02","Per=Y","Days=T","Dir=V")</f>
        <v>0</v>
      </c>
      <c r="S2">
        <f>BDH("OLMA US Equity","BS_ACCT_NOTE_RCV","1993-06-18","2026-05-02","Per=Y","Days=T","Dir=V")</f>
        <v>0</v>
      </c>
      <c r="U2">
        <f>BDH("OLMA US Equity","BS_INVENTORIES","1993-06-18","2026-05-02","Per=Y","Days=T","Dir=V")</f>
        <v>0</v>
      </c>
      <c r="W2">
        <f>BDH("OLMA US Equity","WORKING_CAPITAL","1993-06-18","2026-05-02","Per=Y","Days=T","Dir=V")</f>
        <v>0</v>
      </c>
      <c r="Y2">
        <f>BDH("OLMA US Equity","SALES_REV_TURN","1993-06-18","2026-05-02","Per=Y","Days=T","Dir=V")</f>
        <v>0</v>
      </c>
      <c r="AA2">
        <f>BDH("OLMA US Equity","EBIT","1993-06-18","2026-05-02","Per=Y","Days=T","Dir=V")</f>
        <v>0</v>
      </c>
      <c r="AC2">
        <f>BDH("OLMA US Equity","EBITDA","1993-06-18","2026-05-02","Per=Y","Days=T","Dir=V")</f>
        <v>0</v>
      </c>
      <c r="AE2">
        <f>BDH("OLMA US Equity","NET_INCOME","1993-06-18","2026-05-02","Per=Y","Days=T","Dir=V")</f>
        <v>0</v>
      </c>
      <c r="AG2">
        <f>BDH("OLMA US Equity","IS_INT_EXPENSE","1993-06-18","2026-05-02","Per=Y","Days=T","Dir=V")</f>
        <v>0</v>
      </c>
      <c r="AI2">
        <f>BDH("OLMA US Equity","IS_DEPR_EXP","1993-06-18","2026-05-02","Per=Y","Days=T","Dir=V")</f>
        <v>0</v>
      </c>
      <c r="AK2">
        <f>BDH("OLMA US Equity","CF_CASH_FROM_OPER","1993-06-18","2026-05-02","Per=Y","Days=T","Dir=V")</f>
        <v>0</v>
      </c>
      <c r="AM2">
        <f>BDH("OLMA US Equity","CAPITAL_EXPEND","1993-06-18","2026-05-02","Per=Y","Days=T","Dir=V")</f>
        <v>0</v>
      </c>
      <c r="AO2">
        <f>BDH("OLMA US Equity","CF_FREE_CASH_FLOW","1993-06-18","2026-05-02","Per=Y","Days=T","Dir=V")</f>
        <v>0</v>
      </c>
      <c r="AQ2">
        <f>BDH("OLMA US Equity","PX_LAST","1993-06-18","2026-05-02","Per=M","Days=T","Dir=V")</f>
        <v>0</v>
      </c>
      <c r="AS2">
        <f>BDH("OLMA US Equity","CUR_MKT_CAP","1993-06-18","2026-05-02","Per=M","Days=T","Dir=V")</f>
        <v>0</v>
      </c>
      <c r="AU2">
        <f>BDH("OLMA US Equity","EQY_SH_OUT","1993-06-18","2026-05-02","Per=M","Days=T","Dir=V")</f>
        <v>0</v>
      </c>
      <c r="AW2">
        <f>BDH("OLMA US Equity","PX_VOLUME","1993-06-18","2026-05-02","Per=M","Days=T","Dir=V")</f>
        <v>0</v>
      </c>
      <c r="AY2">
        <f>BDH("OLMA US Equity","TURNOVER","1993-06-18","2026-05-02","Per=M","Days=T","Dir=V")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BDH("OLN US Equity","BS_TOT_ASSET","1993-06-18","2026-05-02","Per=Y","Days=T","Dir=V")</f>
        <v>0</v>
      </c>
      <c r="C2">
        <f>BDH("OLN US Equity","BS_TOT_LIAB2","1993-06-18","2026-05-02","Per=Y","Days=T","Dir=V")</f>
        <v>0</v>
      </c>
      <c r="E2">
        <f>BDH("OLN US Equity","SHORT_AND_LONG_TERM_DEBT","1993-06-18","2026-05-02","Per=Y","Days=T","Dir=V")</f>
        <v>0</v>
      </c>
      <c r="G2">
        <f>BDH("OLN US Equity","BS_ST_BORROW","1993-06-18","2026-05-02","Per=Y","Days=T","Dir=V")</f>
        <v>0</v>
      </c>
      <c r="I2">
        <f>BDH("OLN US Equity","BS_LT_BORROW","1993-06-18","2026-05-02","Per=Y","Days=T","Dir=V")</f>
        <v>0</v>
      </c>
      <c r="K2">
        <f>BDH("OLN US Equity","BS_CASH_NEAR_CASH_ITEM","1993-06-18","2026-05-02","Per=Y","Days=T","Dir=V")</f>
        <v>0</v>
      </c>
      <c r="M2">
        <f>BDH("OLN US Equity","BS_CUR_ASSET_REPORT","1993-06-18","2026-05-02","Per=Y","Days=T","Dir=V")</f>
        <v>0</v>
      </c>
      <c r="O2">
        <f>BDH("OLN US Equity","BS_CUR_LIAB","1993-06-18","2026-05-02","Per=Y","Days=T","Dir=V")</f>
        <v>0</v>
      </c>
      <c r="Q2">
        <f>BDH("OLN US Equity","BS_SHAREHOLDER_EQY_ENDING_PERIOD","1993-06-18","2026-05-02","Per=Y","Days=T","Dir=V")</f>
        <v>0</v>
      </c>
      <c r="S2">
        <f>BDH("OLN US Equity","BS_ACCT_NOTE_RCV","1993-06-18","2026-05-02","Per=Y","Days=T","Dir=V")</f>
        <v>0</v>
      </c>
      <c r="U2">
        <f>BDH("OLN US Equity","BS_INVENTORIES","1993-06-18","2026-05-02","Per=Y","Days=T","Dir=V")</f>
        <v>0</v>
      </c>
      <c r="W2">
        <f>BDH("OLN US Equity","WORKING_CAPITAL","1993-06-18","2026-05-02","Per=Y","Days=T","Dir=V")</f>
        <v>0</v>
      </c>
      <c r="Y2">
        <f>BDH("OLN US Equity","SALES_REV_TURN","1993-06-18","2026-05-02","Per=Y","Days=T","Dir=V")</f>
        <v>0</v>
      </c>
      <c r="AA2">
        <f>BDH("OLN US Equity","EBIT","1993-06-18","2026-05-02","Per=Y","Days=T","Dir=V")</f>
        <v>0</v>
      </c>
      <c r="AC2">
        <f>BDH("OLN US Equity","EBITDA","1993-06-18","2026-05-02","Per=Y","Days=T","Dir=V")</f>
        <v>0</v>
      </c>
      <c r="AE2">
        <f>BDH("OLN US Equity","NET_INCOME","1993-06-18","2026-05-02","Per=Y","Days=T","Dir=V")</f>
        <v>0</v>
      </c>
      <c r="AG2">
        <f>BDH("OLN US Equity","IS_INT_EXPENSE","1993-06-18","2026-05-02","Per=Y","Days=T","Dir=V")</f>
        <v>0</v>
      </c>
      <c r="AI2">
        <f>BDH("OLN US Equity","IS_DEPR_EXP","1993-06-18","2026-05-02","Per=Y","Days=T","Dir=V")</f>
        <v>0</v>
      </c>
      <c r="AK2">
        <f>BDH("OLN US Equity","CF_CASH_FROM_OPER","1993-06-18","2026-05-02","Per=Y","Days=T","Dir=V")</f>
        <v>0</v>
      </c>
      <c r="AM2">
        <f>BDH("OLN US Equity","CAPITAL_EXPEND","1993-06-18","2026-05-02","Per=Y","Days=T","Dir=V")</f>
        <v>0</v>
      </c>
      <c r="AO2">
        <f>BDH("OLN US Equity","CF_FREE_CASH_FLOW","1993-06-18","2026-05-02","Per=Y","Days=T","Dir=V")</f>
        <v>0</v>
      </c>
      <c r="AQ2">
        <f>BDH("OLN US Equity","PX_LAST","1993-06-18","2026-05-02","Per=M","Days=T","Dir=V")</f>
        <v>0</v>
      </c>
      <c r="AS2">
        <f>BDH("OLN US Equity","CUR_MKT_CAP","1993-06-18","2026-05-02","Per=M","Days=T","Dir=V")</f>
        <v>0</v>
      </c>
      <c r="AU2">
        <f>BDH("OLN US Equity","EQY_SH_OUT","1993-06-18","2026-05-02","Per=M","Days=T","Dir=V")</f>
        <v>0</v>
      </c>
      <c r="AW2">
        <f>BDH("OLN US Equity","PX_VOLUME","1993-06-18","2026-05-02","Per=M","Days=T","Dir=V")</f>
        <v>0</v>
      </c>
      <c r="AY2">
        <f>BDH("OLN US Equity","TURNOVER","1993-06-18","2026-05-02","Per=M","Days=T","Dir=V")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BDH("OLOX US Equity","BS_TOT_ASSET","1993-06-18","2026-05-02","Per=Y","Days=T","Dir=V")</f>
        <v>0</v>
      </c>
      <c r="C2">
        <f>BDH("OLOX US Equity","BS_TOT_LIAB2","1993-06-18","2026-05-02","Per=Y","Days=T","Dir=V")</f>
        <v>0</v>
      </c>
      <c r="E2">
        <f>BDH("OLOX US Equity","SHORT_AND_LONG_TERM_DEBT","1993-06-18","2026-05-02","Per=Y","Days=T","Dir=V")</f>
        <v>0</v>
      </c>
      <c r="G2">
        <f>BDH("OLOX US Equity","BS_ST_BORROW","1993-06-18","2026-05-02","Per=Y","Days=T","Dir=V")</f>
        <v>0</v>
      </c>
      <c r="I2">
        <f>BDH("OLOX US Equity","BS_LT_BORROW","1993-06-18","2026-05-02","Per=Y","Days=T","Dir=V")</f>
        <v>0</v>
      </c>
      <c r="K2">
        <f>BDH("OLOX US Equity","BS_CASH_NEAR_CASH_ITEM","1993-06-18","2026-05-02","Per=Y","Days=T","Dir=V")</f>
        <v>0</v>
      </c>
      <c r="M2">
        <f>BDH("OLOX US Equity","BS_CUR_ASSET_REPORT","1993-06-18","2026-05-02","Per=Y","Days=T","Dir=V")</f>
        <v>0</v>
      </c>
      <c r="O2">
        <f>BDH("OLOX US Equity","BS_CUR_LIAB","1993-06-18","2026-05-02","Per=Y","Days=T","Dir=V")</f>
        <v>0</v>
      </c>
      <c r="Q2">
        <f>BDH("OLOX US Equity","BS_SHAREHOLDER_EQY_ENDING_PERIOD","1993-06-18","2026-05-02","Per=Y","Days=T","Dir=V")</f>
        <v>0</v>
      </c>
      <c r="S2">
        <f>BDH("OLOX US Equity","BS_ACCT_NOTE_RCV","1993-06-18","2026-05-02","Per=Y","Days=T","Dir=V")</f>
        <v>0</v>
      </c>
      <c r="U2">
        <f>BDH("OLOX US Equity","BS_INVENTORIES","1993-06-18","2026-05-02","Per=Y","Days=T","Dir=V")</f>
        <v>0</v>
      </c>
      <c r="W2">
        <f>BDH("OLOX US Equity","WORKING_CAPITAL","1993-06-18","2026-05-02","Per=Y","Days=T","Dir=V")</f>
        <v>0</v>
      </c>
      <c r="Y2">
        <f>BDH("OLOX US Equity","SALES_REV_TURN","1993-06-18","2026-05-02","Per=Y","Days=T","Dir=V")</f>
        <v>0</v>
      </c>
      <c r="AA2">
        <f>BDH("OLOX US Equity","EBIT","1993-06-18","2026-05-02","Per=Y","Days=T","Dir=V")</f>
        <v>0</v>
      </c>
      <c r="AC2">
        <f>BDH("OLOX US Equity","EBITDA","1993-06-18","2026-05-02","Per=Y","Days=T","Dir=V")</f>
        <v>0</v>
      </c>
      <c r="AE2">
        <f>BDH("OLOX US Equity","NET_INCOME","1993-06-18","2026-05-02","Per=Y","Days=T","Dir=V")</f>
        <v>0</v>
      </c>
      <c r="AG2">
        <f>BDH("OLOX US Equity","IS_INT_EXPENSE","1993-06-18","2026-05-02","Per=Y","Days=T","Dir=V")</f>
        <v>0</v>
      </c>
      <c r="AI2">
        <f>BDH("OLOX US Equity","IS_DEPR_EXP","1993-06-18","2026-05-02","Per=Y","Days=T","Dir=V")</f>
        <v>0</v>
      </c>
      <c r="AK2">
        <f>BDH("OLOX US Equity","CF_CASH_FROM_OPER","1993-06-18","2026-05-02","Per=Y","Days=T","Dir=V")</f>
        <v>0</v>
      </c>
      <c r="AM2">
        <f>BDH("OLOX US Equity","CAPITAL_EXPEND","1993-06-18","2026-05-02","Per=Y","Days=T","Dir=V")</f>
        <v>0</v>
      </c>
      <c r="AO2">
        <f>BDH("OLOX US Equity","CF_FREE_CASH_FLOW","1993-06-18","2026-05-02","Per=Y","Days=T","Dir=V")</f>
        <v>0</v>
      </c>
      <c r="AQ2">
        <f>BDH("OLOX US Equity","PX_LAST","1993-06-18","2026-05-02","Per=M","Days=T","Dir=V")</f>
        <v>0</v>
      </c>
      <c r="AS2">
        <f>BDH("OLOX US Equity","CUR_MKT_CAP","1993-06-18","2026-05-02","Per=M","Days=T","Dir=V")</f>
        <v>0</v>
      </c>
      <c r="AU2">
        <f>BDH("OLOX US Equity","EQY_SH_OUT","1993-06-18","2026-05-02","Per=M","Days=T","Dir=V")</f>
        <v>0</v>
      </c>
      <c r="AW2">
        <f>BDH("OLOX US Equity","PX_VOLUME","1993-06-18","2026-05-02","Per=M","Days=T","Dir=V")</f>
        <v>0</v>
      </c>
      <c r="AY2">
        <f>BDH("OLOX US Equity","TURNOVER","1993-06-18","2026-05-02","Per=M","Days=T","Dir=V")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 US Equity","BS_TOT_ASSET","1993-06-18","2026-05-02","Per=Y","Days=T","Dir=V")</f>
        <v>0</v>
      </c>
      <c r="C2">
        <f>BDH("OM US Equity","BS_TOT_LIAB2","1993-06-18","2026-05-02","Per=Y","Days=T","Dir=V")</f>
        <v>0</v>
      </c>
      <c r="E2">
        <f>BDH("OM US Equity","SHORT_AND_LONG_TERM_DEBT","1993-06-18","2026-05-02","Per=Y","Days=T","Dir=V")</f>
        <v>0</v>
      </c>
      <c r="G2">
        <f>BDH("OM US Equity","BS_ST_BORROW","1993-06-18","2026-05-02","Per=Y","Days=T","Dir=V")</f>
        <v>0</v>
      </c>
      <c r="I2">
        <f>BDH("OM US Equity","BS_LT_BORROW","1993-06-18","2026-05-02","Per=Y","Days=T","Dir=V")</f>
        <v>0</v>
      </c>
      <c r="K2">
        <f>BDH("OM US Equity","BS_CASH_NEAR_CASH_ITEM","1993-06-18","2026-05-02","Per=Y","Days=T","Dir=V")</f>
        <v>0</v>
      </c>
      <c r="M2">
        <f>BDH("OM US Equity","BS_CUR_ASSET_REPORT","1993-06-18","2026-05-02","Per=Y","Days=T","Dir=V")</f>
        <v>0</v>
      </c>
      <c r="O2">
        <f>BDH("OM US Equity","BS_CUR_LIAB","1993-06-18","2026-05-02","Per=Y","Days=T","Dir=V")</f>
        <v>0</v>
      </c>
      <c r="Q2">
        <f>BDH("OM US Equity","BS_SHAREHOLDER_EQY_ENDING_PERIOD","1993-06-18","2026-05-02","Per=Y","Days=T","Dir=V")</f>
        <v>0</v>
      </c>
      <c r="S2">
        <f>BDH("OM US Equity","BS_ACCT_NOTE_RCV","1993-06-18","2026-05-02","Per=Y","Days=T","Dir=V")</f>
        <v>0</v>
      </c>
      <c r="U2">
        <f>BDH("OM US Equity","BS_INVENTORIES","1993-06-18","2026-05-02","Per=Y","Days=T","Dir=V")</f>
        <v>0</v>
      </c>
      <c r="W2">
        <f>BDH("OM US Equity","WORKING_CAPITAL","1993-06-18","2026-05-02","Per=Y","Days=T","Dir=V")</f>
        <v>0</v>
      </c>
      <c r="Y2">
        <f>BDH("OM US Equity","SALES_REV_TURN","1993-06-18","2026-05-02","Per=Y","Days=T","Dir=V")</f>
        <v>0</v>
      </c>
      <c r="AA2">
        <f>BDH("OM US Equity","EBIT","1993-06-18","2026-05-02","Per=Y","Days=T","Dir=V")</f>
        <v>0</v>
      </c>
      <c r="AC2">
        <f>BDH("OM US Equity","EBITDA","1993-06-18","2026-05-02","Per=Y","Days=T","Dir=V")</f>
        <v>0</v>
      </c>
      <c r="AE2">
        <f>BDH("OM US Equity","NET_INCOME","1993-06-18","2026-05-02","Per=Y","Days=T","Dir=V")</f>
        <v>0</v>
      </c>
      <c r="AG2">
        <f>BDH("OM US Equity","IS_INT_EXPENSE","1993-06-18","2026-05-02","Per=Y","Days=T","Dir=V")</f>
        <v>0</v>
      </c>
      <c r="AI2">
        <f>BDH("OM US Equity","IS_DEPR_EXP","1993-06-18","2026-05-02","Per=Y","Days=T","Dir=V")</f>
        <v>0</v>
      </c>
      <c r="AK2">
        <f>BDH("OM US Equity","CF_CASH_FROM_OPER","1993-06-18","2026-05-02","Per=Y","Days=T","Dir=V")</f>
        <v>0</v>
      </c>
      <c r="AM2">
        <f>BDH("OM US Equity","CAPITAL_EXPEND","1993-06-18","2026-05-02","Per=Y","Days=T","Dir=V")</f>
        <v>0</v>
      </c>
      <c r="AO2">
        <f>BDH("OM US Equity","CF_FREE_CASH_FLOW","1993-06-18","2026-05-02","Per=Y","Days=T","Dir=V")</f>
        <v>0</v>
      </c>
      <c r="AQ2">
        <f>BDH("OM US Equity","PX_LAST","1993-06-18","2026-05-02","Per=M","Days=T","Dir=V")</f>
        <v>0</v>
      </c>
      <c r="AS2">
        <f>BDH("OM US Equity","CUR_MKT_CAP","1993-06-18","2026-05-02","Per=M","Days=T","Dir=V")</f>
        <v>0</v>
      </c>
      <c r="AU2">
        <f>BDH("OM US Equity","EQY_SH_OUT","1993-06-18","2026-05-02","Per=M","Days=T","Dir=V")</f>
        <v>0</v>
      </c>
      <c r="AW2">
        <f>BDH("OM US Equity","PX_VOLUME","1993-06-18","2026-05-02","Per=M","Days=T","Dir=V")</f>
        <v>0</v>
      </c>
      <c r="AY2">
        <f>BDH("OM US Equity","TURNOVER","1993-06-18","2026-05-02","Per=M","Days=T","Dir=V")</f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BDH("OMC US Equity","BS_TOT_ASSET","1993-06-18","2026-05-02","Per=Y","Days=T","Dir=V")</f>
        <v>0</v>
      </c>
      <c r="C2">
        <f>BDH("OMC US Equity","BS_TOT_LIAB2","1993-06-18","2026-05-02","Per=Y","Days=T","Dir=V")</f>
        <v>0</v>
      </c>
      <c r="E2">
        <f>BDH("OMC US Equity","SHORT_AND_LONG_TERM_DEBT","1993-06-18","2026-05-02","Per=Y","Days=T","Dir=V")</f>
        <v>0</v>
      </c>
      <c r="G2">
        <f>BDH("OMC US Equity","BS_ST_BORROW","1993-06-18","2026-05-02","Per=Y","Days=T","Dir=V")</f>
        <v>0</v>
      </c>
      <c r="I2">
        <f>BDH("OMC US Equity","BS_LT_BORROW","1993-06-18","2026-05-02","Per=Y","Days=T","Dir=V")</f>
        <v>0</v>
      </c>
      <c r="K2">
        <f>BDH("OMC US Equity","BS_CASH_NEAR_CASH_ITEM","1993-06-18","2026-05-02","Per=Y","Days=T","Dir=V")</f>
        <v>0</v>
      </c>
      <c r="M2">
        <f>BDH("OMC US Equity","BS_CUR_ASSET_REPORT","1993-06-18","2026-05-02","Per=Y","Days=T","Dir=V")</f>
        <v>0</v>
      </c>
      <c r="O2">
        <f>BDH("OMC US Equity","BS_CUR_LIAB","1993-06-18","2026-05-02","Per=Y","Days=T","Dir=V")</f>
        <v>0</v>
      </c>
      <c r="Q2">
        <f>BDH("OMC US Equity","BS_SHAREHOLDER_EQY_ENDING_PERIOD","1993-06-18","2026-05-02","Per=Y","Days=T","Dir=V")</f>
        <v>0</v>
      </c>
      <c r="S2">
        <f>BDH("OMC US Equity","BS_ACCT_NOTE_RCV","1993-06-18","2026-05-02","Per=Y","Days=T","Dir=V")</f>
        <v>0</v>
      </c>
      <c r="U2">
        <f>BDH("OMC US Equity","BS_INVENTORIES","1993-06-18","2026-05-02","Per=Y","Days=T","Dir=V")</f>
        <v>0</v>
      </c>
      <c r="W2">
        <f>BDH("OMC US Equity","WORKING_CAPITAL","1993-06-18","2026-05-02","Per=Y","Days=T","Dir=V")</f>
        <v>0</v>
      </c>
      <c r="Y2">
        <f>BDH("OMC US Equity","SALES_REV_TURN","1993-06-18","2026-05-02","Per=Y","Days=T","Dir=V")</f>
        <v>0</v>
      </c>
      <c r="AA2">
        <f>BDH("OMC US Equity","EBIT","1993-06-18","2026-05-02","Per=Y","Days=T","Dir=V")</f>
        <v>0</v>
      </c>
      <c r="AC2">
        <f>BDH("OMC US Equity","EBITDA","1993-06-18","2026-05-02","Per=Y","Days=T","Dir=V")</f>
        <v>0</v>
      </c>
      <c r="AE2">
        <f>BDH("OMC US Equity","NET_INCOME","1993-06-18","2026-05-02","Per=Y","Days=T","Dir=V")</f>
        <v>0</v>
      </c>
      <c r="AG2">
        <f>BDH("OMC US Equity","IS_INT_EXPENSE","1993-06-18","2026-05-02","Per=Y","Days=T","Dir=V")</f>
        <v>0</v>
      </c>
      <c r="AI2">
        <f>BDH("OMC US Equity","IS_DEPR_EXP","1993-06-18","2026-05-02","Per=Y","Days=T","Dir=V")</f>
        <v>0</v>
      </c>
      <c r="AK2">
        <f>BDH("OMC US Equity","CF_CASH_FROM_OPER","1993-06-18","2026-05-02","Per=Y","Days=T","Dir=V")</f>
        <v>0</v>
      </c>
      <c r="AM2">
        <f>BDH("OMC US Equity","CAPITAL_EXPEND","1993-06-18","2026-05-02","Per=Y","Days=T","Dir=V")</f>
        <v>0</v>
      </c>
      <c r="AO2">
        <f>BDH("OMC US Equity","CF_FREE_CASH_FLOW","1993-06-18","2026-05-02","Per=Y","Days=T","Dir=V")</f>
        <v>0</v>
      </c>
      <c r="AQ2">
        <f>BDH("OMC US Equity","PX_LAST","1993-06-18","2026-05-02","Per=M","Days=T","Dir=V")</f>
        <v>0</v>
      </c>
      <c r="AS2">
        <f>BDH("OMC US Equity","CUR_MKT_CAP","1993-06-18","2026-05-02","Per=M","Days=T","Dir=V")</f>
        <v>0</v>
      </c>
      <c r="AU2">
        <f>BDH("OMC US Equity","EQY_SH_OUT","1993-06-18","2026-05-02","Per=M","Days=T","Dir=V")</f>
        <v>0</v>
      </c>
      <c r="AW2">
        <f>BDH("OMC US Equity","PX_VOLUME","1993-06-18","2026-05-02","Per=M","Days=T","Dir=V")</f>
        <v>0</v>
      </c>
      <c r="AY2">
        <f>BDH("OMC US Equity","TURNOVER","1993-06-18","2026-05-02","Per=M","Days=T","Dir=V")</f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BDH("OMCL US Equity","BS_TOT_ASSET","1993-06-18","2026-05-02","Per=Y","Days=T","Dir=V")</f>
        <v>0</v>
      </c>
      <c r="C2">
        <f>BDH("OMCL US Equity","BS_TOT_LIAB2","1993-06-18","2026-05-02","Per=Y","Days=T","Dir=V")</f>
        <v>0</v>
      </c>
      <c r="E2">
        <f>BDH("OMCL US Equity","SHORT_AND_LONG_TERM_DEBT","1993-06-18","2026-05-02","Per=Y","Days=T","Dir=V")</f>
        <v>0</v>
      </c>
      <c r="G2">
        <f>BDH("OMCL US Equity","BS_ST_BORROW","1993-06-18","2026-05-02","Per=Y","Days=T","Dir=V")</f>
        <v>0</v>
      </c>
      <c r="I2">
        <f>BDH("OMCL US Equity","BS_LT_BORROW","1993-06-18","2026-05-02","Per=Y","Days=T","Dir=V")</f>
        <v>0</v>
      </c>
      <c r="K2">
        <f>BDH("OMCL US Equity","BS_CASH_NEAR_CASH_ITEM","1993-06-18","2026-05-02","Per=Y","Days=T","Dir=V")</f>
        <v>0</v>
      </c>
      <c r="M2">
        <f>BDH("OMCL US Equity","BS_CUR_ASSET_REPORT","1993-06-18","2026-05-02","Per=Y","Days=T","Dir=V")</f>
        <v>0</v>
      </c>
      <c r="O2">
        <f>BDH("OMCL US Equity","BS_CUR_LIAB","1993-06-18","2026-05-02","Per=Y","Days=T","Dir=V")</f>
        <v>0</v>
      </c>
      <c r="Q2">
        <f>BDH("OMCL US Equity","BS_SHAREHOLDER_EQY_ENDING_PERIOD","1993-06-18","2026-05-02","Per=Y","Days=T","Dir=V")</f>
        <v>0</v>
      </c>
      <c r="S2">
        <f>BDH("OMCL US Equity","BS_ACCT_NOTE_RCV","1993-06-18","2026-05-02","Per=Y","Days=T","Dir=V")</f>
        <v>0</v>
      </c>
      <c r="U2">
        <f>BDH("OMCL US Equity","BS_INVENTORIES","1993-06-18","2026-05-02","Per=Y","Days=T","Dir=V")</f>
        <v>0</v>
      </c>
      <c r="W2">
        <f>BDH("OMCL US Equity","WORKING_CAPITAL","1993-06-18","2026-05-02","Per=Y","Days=T","Dir=V")</f>
        <v>0</v>
      </c>
      <c r="Y2">
        <f>BDH("OMCL US Equity","SALES_REV_TURN","1993-06-18","2026-05-02","Per=Y","Days=T","Dir=V")</f>
        <v>0</v>
      </c>
      <c r="AA2">
        <f>BDH("OMCL US Equity","EBIT","1993-06-18","2026-05-02","Per=Y","Days=T","Dir=V")</f>
        <v>0</v>
      </c>
      <c r="AC2">
        <f>BDH("OMCL US Equity","EBITDA","1993-06-18","2026-05-02","Per=Y","Days=T","Dir=V")</f>
        <v>0</v>
      </c>
      <c r="AE2">
        <f>BDH("OMCL US Equity","NET_INCOME","1993-06-18","2026-05-02","Per=Y","Days=T","Dir=V")</f>
        <v>0</v>
      </c>
      <c r="AG2">
        <f>BDH("OMCL US Equity","IS_INT_EXPENSE","1993-06-18","2026-05-02","Per=Y","Days=T","Dir=V")</f>
        <v>0</v>
      </c>
      <c r="AI2">
        <f>BDH("OMCL US Equity","IS_DEPR_EXP","1993-06-18","2026-05-02","Per=Y","Days=T","Dir=V")</f>
        <v>0</v>
      </c>
      <c r="AK2">
        <f>BDH("OMCL US Equity","CF_CASH_FROM_OPER","1993-06-18","2026-05-02","Per=Y","Days=T","Dir=V")</f>
        <v>0</v>
      </c>
      <c r="AM2">
        <f>BDH("OMCL US Equity","CAPITAL_EXPEND","1993-06-18","2026-05-02","Per=Y","Days=T","Dir=V")</f>
        <v>0</v>
      </c>
      <c r="AO2">
        <f>BDH("OMCL US Equity","CF_FREE_CASH_FLOW","1993-06-18","2026-05-02","Per=Y","Days=T","Dir=V")</f>
        <v>0</v>
      </c>
      <c r="AQ2">
        <f>BDH("OMCL US Equity","PX_LAST","1993-06-18","2026-05-02","Per=M","Days=T","Dir=V")</f>
        <v>0</v>
      </c>
      <c r="AS2">
        <f>BDH("OMCL US Equity","CUR_MKT_CAP","1993-06-18","2026-05-02","Per=M","Days=T","Dir=V")</f>
        <v>0</v>
      </c>
      <c r="AU2">
        <f>BDH("OMCL US Equity","EQY_SH_OUT","1993-06-18","2026-05-02","Per=M","Days=T","Dir=V")</f>
        <v>0</v>
      </c>
      <c r="AW2">
        <f>BDH("OMCL US Equity","PX_VOLUME","1993-06-18","2026-05-02","Per=M","Days=T","Dir=V")</f>
        <v>0</v>
      </c>
      <c r="AY2">
        <f>BDH("OMCL US Equity","TURNOVER","1993-06-18","2026-05-02","Per=M","Days=T","Dir=V")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BDH("OMDA US Equity","BS_TOT_ASSET","1993-06-18","2026-05-02","Per=Y","Days=T","Dir=V")</f>
        <v>0</v>
      </c>
      <c r="C2">
        <f>BDH("OMDA US Equity","BS_TOT_LIAB2","1993-06-18","2026-05-02","Per=Y","Days=T","Dir=V")</f>
        <v>0</v>
      </c>
      <c r="E2">
        <f>BDH("OMDA US Equity","SHORT_AND_LONG_TERM_DEBT","1993-06-18","2026-05-02","Per=Y","Days=T","Dir=V")</f>
        <v>0</v>
      </c>
      <c r="G2">
        <f>BDH("OMDA US Equity","BS_ST_BORROW","1993-06-18","2026-05-02","Per=Y","Days=T","Dir=V")</f>
        <v>0</v>
      </c>
      <c r="I2">
        <f>BDH("OMDA US Equity","BS_LT_BORROW","1993-06-18","2026-05-02","Per=Y","Days=T","Dir=V")</f>
        <v>0</v>
      </c>
      <c r="K2">
        <f>BDH("OMDA US Equity","BS_CASH_NEAR_CASH_ITEM","1993-06-18","2026-05-02","Per=Y","Days=T","Dir=V")</f>
        <v>0</v>
      </c>
      <c r="M2">
        <f>BDH("OMDA US Equity","BS_CUR_ASSET_REPORT","1993-06-18","2026-05-02","Per=Y","Days=T","Dir=V")</f>
        <v>0</v>
      </c>
      <c r="O2">
        <f>BDH("OMDA US Equity","BS_CUR_LIAB","1993-06-18","2026-05-02","Per=Y","Days=T","Dir=V")</f>
        <v>0</v>
      </c>
      <c r="Q2">
        <f>BDH("OMDA US Equity","BS_SHAREHOLDER_EQY_ENDING_PERIOD","1993-06-18","2026-05-02","Per=Y","Days=T","Dir=V")</f>
        <v>0</v>
      </c>
      <c r="S2">
        <f>BDH("OMDA US Equity","BS_ACCT_NOTE_RCV","1993-06-18","2026-05-02","Per=Y","Days=T","Dir=V")</f>
        <v>0</v>
      </c>
      <c r="U2">
        <f>BDH("OMDA US Equity","BS_INVENTORIES","1993-06-18","2026-05-02","Per=Y","Days=T","Dir=V")</f>
        <v>0</v>
      </c>
      <c r="W2">
        <f>BDH("OMDA US Equity","WORKING_CAPITAL","1993-06-18","2026-05-02","Per=Y","Days=T","Dir=V")</f>
        <v>0</v>
      </c>
      <c r="Y2">
        <f>BDH("OMDA US Equity","SALES_REV_TURN","1993-06-18","2026-05-02","Per=Y","Days=T","Dir=V")</f>
        <v>0</v>
      </c>
      <c r="AA2">
        <f>BDH("OMDA US Equity","EBIT","1993-06-18","2026-05-02","Per=Y","Days=T","Dir=V")</f>
        <v>0</v>
      </c>
      <c r="AC2">
        <f>BDH("OMDA US Equity","EBITDA","1993-06-18","2026-05-02","Per=Y","Days=T","Dir=V")</f>
        <v>0</v>
      </c>
      <c r="AE2">
        <f>BDH("OMDA US Equity","NET_INCOME","1993-06-18","2026-05-02","Per=Y","Days=T","Dir=V")</f>
        <v>0</v>
      </c>
      <c r="AG2">
        <f>BDH("OMDA US Equity","IS_INT_EXPENSE","1993-06-18","2026-05-02","Per=Y","Days=T","Dir=V")</f>
        <v>0</v>
      </c>
      <c r="AI2">
        <f>BDH("OMDA US Equity","IS_DEPR_EXP","1993-06-18","2026-05-02","Per=Y","Days=T","Dir=V")</f>
        <v>0</v>
      </c>
      <c r="AK2">
        <f>BDH("OMDA US Equity","CF_CASH_FROM_OPER","1993-06-18","2026-05-02","Per=Y","Days=T","Dir=V")</f>
        <v>0</v>
      </c>
      <c r="AM2">
        <f>BDH("OMDA US Equity","CAPITAL_EXPEND","1993-06-18","2026-05-02","Per=Y","Days=T","Dir=V")</f>
        <v>0</v>
      </c>
      <c r="AO2">
        <f>BDH("OMDA US Equity","CF_FREE_CASH_FLOW","1993-06-18","2026-05-02","Per=Y","Days=T","Dir=V")</f>
        <v>0</v>
      </c>
      <c r="AQ2">
        <f>BDH("OMDA US Equity","PX_LAST","1993-06-18","2026-05-02","Per=M","Days=T","Dir=V")</f>
        <v>0</v>
      </c>
      <c r="AS2">
        <f>BDH("OMDA US Equity","CUR_MKT_CAP","1993-06-18","2026-05-02","Per=M","Days=T","Dir=V")</f>
        <v>0</v>
      </c>
      <c r="AU2">
        <f>BDH("OMDA US Equity","EQY_SH_OUT","1993-06-18","2026-05-02","Per=M","Days=T","Dir=V")</f>
        <v>0</v>
      </c>
      <c r="AW2">
        <f>BDH("OMDA US Equity","PX_VOLUME","1993-06-18","2026-05-02","Per=M","Days=T","Dir=V")</f>
        <v>0</v>
      </c>
      <c r="AY2">
        <f>BDH("OMDA US Equity","TURNOVER","1993-06-18","2026-05-02","Per=M","Days=T","Dir=V")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BDH("OMER US Equity","BS_TOT_ASSET","1993-06-18","2026-05-02","Per=Y","Days=T","Dir=V")</f>
        <v>0</v>
      </c>
      <c r="C2">
        <f>BDH("OMER US Equity","BS_TOT_LIAB2","1993-06-18","2026-05-02","Per=Y","Days=T","Dir=V")</f>
        <v>0</v>
      </c>
      <c r="E2">
        <f>BDH("OMER US Equity","SHORT_AND_LONG_TERM_DEBT","1993-06-18","2026-05-02","Per=Y","Days=T","Dir=V")</f>
        <v>0</v>
      </c>
      <c r="G2">
        <f>BDH("OMER US Equity","BS_ST_BORROW","1993-06-18","2026-05-02","Per=Y","Days=T","Dir=V")</f>
        <v>0</v>
      </c>
      <c r="I2">
        <f>BDH("OMER US Equity","BS_LT_BORROW","1993-06-18","2026-05-02","Per=Y","Days=T","Dir=V")</f>
        <v>0</v>
      </c>
      <c r="K2">
        <f>BDH("OMER US Equity","BS_CASH_NEAR_CASH_ITEM","1993-06-18","2026-05-02","Per=Y","Days=T","Dir=V")</f>
        <v>0</v>
      </c>
      <c r="M2">
        <f>BDH("OMER US Equity","BS_CUR_ASSET_REPORT","1993-06-18","2026-05-02","Per=Y","Days=T","Dir=V")</f>
        <v>0</v>
      </c>
      <c r="O2">
        <f>BDH("OMER US Equity","BS_CUR_LIAB","1993-06-18","2026-05-02","Per=Y","Days=T","Dir=V")</f>
        <v>0</v>
      </c>
      <c r="Q2">
        <f>BDH("OMER US Equity","BS_SHAREHOLDER_EQY_ENDING_PERIOD","1993-06-18","2026-05-02","Per=Y","Days=T","Dir=V")</f>
        <v>0</v>
      </c>
      <c r="S2">
        <f>BDH("OMER US Equity","BS_ACCT_NOTE_RCV","1993-06-18","2026-05-02","Per=Y","Days=T","Dir=V")</f>
        <v>0</v>
      </c>
      <c r="U2">
        <f>BDH("OMER US Equity","BS_INVENTORIES","1993-06-18","2026-05-02","Per=Y","Days=T","Dir=V")</f>
        <v>0</v>
      </c>
      <c r="W2">
        <f>BDH("OMER US Equity","WORKING_CAPITAL","1993-06-18","2026-05-02","Per=Y","Days=T","Dir=V")</f>
        <v>0</v>
      </c>
      <c r="Y2">
        <f>BDH("OMER US Equity","SALES_REV_TURN","1993-06-18","2026-05-02","Per=Y","Days=T","Dir=V")</f>
        <v>0</v>
      </c>
      <c r="AA2">
        <f>BDH("OMER US Equity","EBIT","1993-06-18","2026-05-02","Per=Y","Days=T","Dir=V")</f>
        <v>0</v>
      </c>
      <c r="AC2">
        <f>BDH("OMER US Equity","EBITDA","1993-06-18","2026-05-02","Per=Y","Days=T","Dir=V")</f>
        <v>0</v>
      </c>
      <c r="AE2">
        <f>BDH("OMER US Equity","NET_INCOME","1993-06-18","2026-05-02","Per=Y","Days=T","Dir=V")</f>
        <v>0</v>
      </c>
      <c r="AG2">
        <f>BDH("OMER US Equity","IS_INT_EXPENSE","1993-06-18","2026-05-02","Per=Y","Days=T","Dir=V")</f>
        <v>0</v>
      </c>
      <c r="AI2">
        <f>BDH("OMER US Equity","IS_DEPR_EXP","1993-06-18","2026-05-02","Per=Y","Days=T","Dir=V")</f>
        <v>0</v>
      </c>
      <c r="AK2">
        <f>BDH("OMER US Equity","CF_CASH_FROM_OPER","1993-06-18","2026-05-02","Per=Y","Days=T","Dir=V")</f>
        <v>0</v>
      </c>
      <c r="AM2">
        <f>BDH("OMER US Equity","CAPITAL_EXPEND","1993-06-18","2026-05-02","Per=Y","Days=T","Dir=V")</f>
        <v>0</v>
      </c>
      <c r="AO2">
        <f>BDH("OMER US Equity","CF_FREE_CASH_FLOW","1993-06-18","2026-05-02","Per=Y","Days=T","Dir=V")</f>
        <v>0</v>
      </c>
      <c r="AQ2">
        <f>BDH("OMER US Equity","PX_LAST","1993-06-18","2026-05-02","Per=M","Days=T","Dir=V")</f>
        <v>0</v>
      </c>
      <c r="AS2">
        <f>BDH("OMER US Equity","CUR_MKT_CAP","1993-06-18","2026-05-02","Per=M","Days=T","Dir=V")</f>
        <v>0</v>
      </c>
      <c r="AU2">
        <f>BDH("OMER US Equity","EQY_SH_OUT","1993-06-18","2026-05-02","Per=M","Days=T","Dir=V")</f>
        <v>0</v>
      </c>
      <c r="AW2">
        <f>BDH("OMER US Equity","PX_VOLUME","1993-06-18","2026-05-02","Per=M","Days=T","Dir=V")</f>
        <v>0</v>
      </c>
      <c r="AY2">
        <f>BDH("OMER US Equity","TURNOVER","1993-06-18","2026-05-02","Per=M","Days=T","Dir=V")</f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BDH("OMEX US Equity","BS_TOT_ASSET","1993-06-18","2026-05-02","Per=Y","Days=T","Dir=V")</f>
        <v>0</v>
      </c>
      <c r="C2">
        <f>BDH("OMEX US Equity","BS_TOT_LIAB2","1993-06-18","2026-05-02","Per=Y","Days=T","Dir=V")</f>
        <v>0</v>
      </c>
      <c r="E2">
        <f>BDH("OMEX US Equity","SHORT_AND_LONG_TERM_DEBT","1993-06-18","2026-05-02","Per=Y","Days=T","Dir=V")</f>
        <v>0</v>
      </c>
      <c r="G2">
        <f>BDH("OMEX US Equity","BS_ST_BORROW","1993-06-18","2026-05-02","Per=Y","Days=T","Dir=V")</f>
        <v>0</v>
      </c>
      <c r="I2">
        <f>BDH("OMEX US Equity","BS_LT_BORROW","1993-06-18","2026-05-02","Per=Y","Days=T","Dir=V")</f>
        <v>0</v>
      </c>
      <c r="K2">
        <f>BDH("OMEX US Equity","BS_CASH_NEAR_CASH_ITEM","1993-06-18","2026-05-02","Per=Y","Days=T","Dir=V")</f>
        <v>0</v>
      </c>
      <c r="M2">
        <f>BDH("OMEX US Equity","BS_CUR_ASSET_REPORT","1993-06-18","2026-05-02","Per=Y","Days=T","Dir=V")</f>
        <v>0</v>
      </c>
      <c r="O2">
        <f>BDH("OMEX US Equity","BS_CUR_LIAB","1993-06-18","2026-05-02","Per=Y","Days=T","Dir=V")</f>
        <v>0</v>
      </c>
      <c r="Q2">
        <f>BDH("OMEX US Equity","BS_SHAREHOLDER_EQY_ENDING_PERIOD","1993-06-18","2026-05-02","Per=Y","Days=T","Dir=V")</f>
        <v>0</v>
      </c>
      <c r="S2">
        <f>BDH("OMEX US Equity","BS_ACCT_NOTE_RCV","1993-06-18","2026-05-02","Per=Y","Days=T","Dir=V")</f>
        <v>0</v>
      </c>
      <c r="U2">
        <f>BDH("OMEX US Equity","BS_INVENTORIES","1993-06-18","2026-05-02","Per=Y","Days=T","Dir=V")</f>
        <v>0</v>
      </c>
      <c r="W2">
        <f>BDH("OMEX US Equity","WORKING_CAPITAL","1993-06-18","2026-05-02","Per=Y","Days=T","Dir=V")</f>
        <v>0</v>
      </c>
      <c r="Y2">
        <f>BDH("OMEX US Equity","SALES_REV_TURN","1993-06-18","2026-05-02","Per=Y","Days=T","Dir=V")</f>
        <v>0</v>
      </c>
      <c r="AA2">
        <f>BDH("OMEX US Equity","EBIT","1993-06-18","2026-05-02","Per=Y","Days=T","Dir=V")</f>
        <v>0</v>
      </c>
      <c r="AC2">
        <f>BDH("OMEX US Equity","EBITDA","1993-06-18","2026-05-02","Per=Y","Days=T","Dir=V")</f>
        <v>0</v>
      </c>
      <c r="AE2">
        <f>BDH("OMEX US Equity","NET_INCOME","1993-06-18","2026-05-02","Per=Y","Days=T","Dir=V")</f>
        <v>0</v>
      </c>
      <c r="AG2">
        <f>BDH("OMEX US Equity","IS_INT_EXPENSE","1993-06-18","2026-05-02","Per=Y","Days=T","Dir=V")</f>
        <v>0</v>
      </c>
      <c r="AI2">
        <f>BDH("OMEX US Equity","IS_DEPR_EXP","1993-06-18","2026-05-02","Per=Y","Days=T","Dir=V")</f>
        <v>0</v>
      </c>
      <c r="AK2">
        <f>BDH("OMEX US Equity","CF_CASH_FROM_OPER","1993-06-18","2026-05-02","Per=Y","Days=T","Dir=V")</f>
        <v>0</v>
      </c>
      <c r="AM2">
        <f>BDH("OMEX US Equity","CAPITAL_EXPEND","1993-06-18","2026-05-02","Per=Y","Days=T","Dir=V")</f>
        <v>0</v>
      </c>
      <c r="AO2">
        <f>BDH("OMEX US Equity","CF_FREE_CASH_FLOW","1993-06-18","2026-05-02","Per=Y","Days=T","Dir=V")</f>
        <v>0</v>
      </c>
      <c r="AQ2">
        <f>BDH("OMEX US Equity","PX_LAST","1993-06-18","2026-05-02","Per=M","Days=T","Dir=V")</f>
        <v>0</v>
      </c>
      <c r="AS2">
        <f>BDH("OMEX US Equity","CUR_MKT_CAP","1993-06-18","2026-05-02","Per=M","Days=T","Dir=V")</f>
        <v>0</v>
      </c>
      <c r="AU2">
        <f>BDH("OMEX US Equity","EQY_SH_OUT","1993-06-18","2026-05-02","Per=M","Days=T","Dir=V")</f>
        <v>0</v>
      </c>
      <c r="AW2">
        <f>BDH("OMEX US Equity","PX_VOLUME","1993-06-18","2026-05-02","Per=M","Days=T","Dir=V")</f>
        <v>0</v>
      </c>
      <c r="AY2">
        <f>BDH("OMEX US Equity","TURNOVER","1993-06-18","2026-05-02","Per=M","Days=T","Dir=V")</f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 US Equity","BS_TOT_ASSET","1993-06-18","2026-05-02","Per=Y","Days=T","Dir=V")</f>
        <v>0</v>
      </c>
      <c r="C2">
        <f>BDH("ON US Equity","BS_TOT_LIAB2","1993-06-18","2026-05-02","Per=Y","Days=T","Dir=V")</f>
        <v>0</v>
      </c>
      <c r="E2">
        <f>BDH("ON US Equity","SHORT_AND_LONG_TERM_DEBT","1993-06-18","2026-05-02","Per=Y","Days=T","Dir=V")</f>
        <v>0</v>
      </c>
      <c r="G2">
        <f>BDH("ON US Equity","BS_ST_BORROW","1993-06-18","2026-05-02","Per=Y","Days=T","Dir=V")</f>
        <v>0</v>
      </c>
      <c r="I2">
        <f>BDH("ON US Equity","BS_LT_BORROW","1993-06-18","2026-05-02","Per=Y","Days=T","Dir=V")</f>
        <v>0</v>
      </c>
      <c r="K2">
        <f>BDH("ON US Equity","BS_CASH_NEAR_CASH_ITEM","1993-06-18","2026-05-02","Per=Y","Days=T","Dir=V")</f>
        <v>0</v>
      </c>
      <c r="M2">
        <f>BDH("ON US Equity","BS_CUR_ASSET_REPORT","1993-06-18","2026-05-02","Per=Y","Days=T","Dir=V")</f>
        <v>0</v>
      </c>
      <c r="O2">
        <f>BDH("ON US Equity","BS_CUR_LIAB","1993-06-18","2026-05-02","Per=Y","Days=T","Dir=V")</f>
        <v>0</v>
      </c>
      <c r="Q2">
        <f>BDH("ON US Equity","BS_SHAREHOLDER_EQY_ENDING_PERIOD","1993-06-18","2026-05-02","Per=Y","Days=T","Dir=V")</f>
        <v>0</v>
      </c>
      <c r="S2">
        <f>BDH("ON US Equity","BS_ACCT_NOTE_RCV","1993-06-18","2026-05-02","Per=Y","Days=T","Dir=V")</f>
        <v>0</v>
      </c>
      <c r="U2">
        <f>BDH("ON US Equity","BS_INVENTORIES","1993-06-18","2026-05-02","Per=Y","Days=T","Dir=V")</f>
        <v>0</v>
      </c>
      <c r="W2">
        <f>BDH("ON US Equity","WORKING_CAPITAL","1993-06-18","2026-05-02","Per=Y","Days=T","Dir=V")</f>
        <v>0</v>
      </c>
      <c r="Y2">
        <f>BDH("ON US Equity","SALES_REV_TURN","1993-06-18","2026-05-02","Per=Y","Days=T","Dir=V")</f>
        <v>0</v>
      </c>
      <c r="AA2">
        <f>BDH("ON US Equity","EBIT","1993-06-18","2026-05-02","Per=Y","Days=T","Dir=V")</f>
        <v>0</v>
      </c>
      <c r="AC2">
        <f>BDH("ON US Equity","EBITDA","1993-06-18","2026-05-02","Per=Y","Days=T","Dir=V")</f>
        <v>0</v>
      </c>
      <c r="AE2">
        <f>BDH("ON US Equity","NET_INCOME","1993-06-18","2026-05-02","Per=Y","Days=T","Dir=V")</f>
        <v>0</v>
      </c>
      <c r="AG2">
        <f>BDH("ON US Equity","IS_INT_EXPENSE","1993-06-18","2026-05-02","Per=Y","Days=T","Dir=V")</f>
        <v>0</v>
      </c>
      <c r="AI2">
        <f>BDH("ON US Equity","IS_DEPR_EXP","1993-06-18","2026-05-02","Per=Y","Days=T","Dir=V")</f>
        <v>0</v>
      </c>
      <c r="AK2">
        <f>BDH("ON US Equity","CF_CASH_FROM_OPER","1993-06-18","2026-05-02","Per=Y","Days=T","Dir=V")</f>
        <v>0</v>
      </c>
      <c r="AM2">
        <f>BDH("ON US Equity","CAPITAL_EXPEND","1993-06-18","2026-05-02","Per=Y","Days=T","Dir=V")</f>
        <v>0</v>
      </c>
      <c r="AO2">
        <f>BDH("ON US Equity","CF_FREE_CASH_FLOW","1993-06-18","2026-05-02","Per=Y","Days=T","Dir=V")</f>
        <v>0</v>
      </c>
      <c r="AQ2">
        <f>BDH("ON US Equity","PX_LAST","1993-06-18","2026-05-02","Per=M","Days=T","Dir=V")</f>
        <v>0</v>
      </c>
      <c r="AS2">
        <f>BDH("ON US Equity","CUR_MKT_CAP","1993-06-18","2026-05-02","Per=M","Days=T","Dir=V")</f>
        <v>0</v>
      </c>
      <c r="AU2">
        <f>BDH("ON US Equity","EQY_SH_OUT","1993-06-18","2026-05-02","Per=M","Days=T","Dir=V")</f>
        <v>0</v>
      </c>
      <c r="AW2">
        <f>BDH("ON US Equity","PX_VOLUME","1993-06-18","2026-05-02","Per=M","Days=T","Dir=V")</f>
        <v>0</v>
      </c>
      <c r="AY2">
        <f>BDH("ON US Equity","TURNOVER","1993-06-18","2026-05-02","Per=M","Days=T","Dir=V")</f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BDH("ONCO US Equity","BS_TOT_ASSET","1993-06-18","2026-05-02","Per=Y","Days=T","Dir=V")</f>
        <v>0</v>
      </c>
      <c r="C2">
        <f>BDH("ONCO US Equity","BS_TOT_LIAB2","1993-06-18","2026-05-02","Per=Y","Days=T","Dir=V")</f>
        <v>0</v>
      </c>
      <c r="E2">
        <f>BDH("ONCO US Equity","SHORT_AND_LONG_TERM_DEBT","1993-06-18","2026-05-02","Per=Y","Days=T","Dir=V")</f>
        <v>0</v>
      </c>
      <c r="G2">
        <f>BDH("ONCO US Equity","BS_ST_BORROW","1993-06-18","2026-05-02","Per=Y","Days=T","Dir=V")</f>
        <v>0</v>
      </c>
      <c r="I2">
        <f>BDH("ONCO US Equity","BS_LT_BORROW","1993-06-18","2026-05-02","Per=Y","Days=T","Dir=V")</f>
        <v>0</v>
      </c>
      <c r="K2">
        <f>BDH("ONCO US Equity","BS_CASH_NEAR_CASH_ITEM","1993-06-18","2026-05-02","Per=Y","Days=T","Dir=V")</f>
        <v>0</v>
      </c>
      <c r="M2">
        <f>BDH("ONCO US Equity","BS_CUR_ASSET_REPORT","1993-06-18","2026-05-02","Per=Y","Days=T","Dir=V")</f>
        <v>0</v>
      </c>
      <c r="O2">
        <f>BDH("ONCO US Equity","BS_CUR_LIAB","1993-06-18","2026-05-02","Per=Y","Days=T","Dir=V")</f>
        <v>0</v>
      </c>
      <c r="Q2">
        <f>BDH("ONCO US Equity","BS_SHAREHOLDER_EQY_ENDING_PERIOD","1993-06-18","2026-05-02","Per=Y","Days=T","Dir=V")</f>
        <v>0</v>
      </c>
      <c r="S2">
        <f>BDH("ONCO US Equity","BS_ACCT_NOTE_RCV","1993-06-18","2026-05-02","Per=Y","Days=T","Dir=V")</f>
        <v>0</v>
      </c>
      <c r="U2">
        <f>BDH("ONCO US Equity","BS_INVENTORIES","1993-06-18","2026-05-02","Per=Y","Days=T","Dir=V")</f>
        <v>0</v>
      </c>
      <c r="W2">
        <f>BDH("ONCO US Equity","WORKING_CAPITAL","1993-06-18","2026-05-02","Per=Y","Days=T","Dir=V")</f>
        <v>0</v>
      </c>
      <c r="Y2">
        <f>BDH("ONCO US Equity","SALES_REV_TURN","1993-06-18","2026-05-02","Per=Y","Days=T","Dir=V")</f>
        <v>0</v>
      </c>
      <c r="AA2">
        <f>BDH("ONCO US Equity","EBIT","1993-06-18","2026-05-02","Per=Y","Days=T","Dir=V")</f>
        <v>0</v>
      </c>
      <c r="AC2">
        <f>BDH("ONCO US Equity","EBITDA","1993-06-18","2026-05-02","Per=Y","Days=T","Dir=V")</f>
        <v>0</v>
      </c>
      <c r="AE2">
        <f>BDH("ONCO US Equity","NET_INCOME","1993-06-18","2026-05-02","Per=Y","Days=T","Dir=V")</f>
        <v>0</v>
      </c>
      <c r="AG2">
        <f>BDH("ONCO US Equity","IS_INT_EXPENSE","1993-06-18","2026-05-02","Per=Y","Days=T","Dir=V")</f>
        <v>0</v>
      </c>
      <c r="AI2">
        <f>BDH("ONCO US Equity","IS_DEPR_EXP","1993-06-18","2026-05-02","Per=Y","Days=T","Dir=V")</f>
        <v>0</v>
      </c>
      <c r="AK2">
        <f>BDH("ONCO US Equity","CF_CASH_FROM_OPER","1993-06-18","2026-05-02","Per=Y","Days=T","Dir=V")</f>
        <v>0</v>
      </c>
      <c r="AM2">
        <f>BDH("ONCO US Equity","CAPITAL_EXPEND","1993-06-18","2026-05-02","Per=Y","Days=T","Dir=V")</f>
        <v>0</v>
      </c>
      <c r="AO2">
        <f>BDH("ONCO US Equity","CF_FREE_CASH_FLOW","1993-06-18","2026-05-02","Per=Y","Days=T","Dir=V")</f>
        <v>0</v>
      </c>
      <c r="AQ2">
        <f>BDH("ONCO US Equity","PX_LAST","1993-06-18","2026-05-02","Per=M","Days=T","Dir=V")</f>
        <v>0</v>
      </c>
      <c r="AS2">
        <f>BDH("ONCO US Equity","CUR_MKT_CAP","1993-06-18","2026-05-02","Per=M","Days=T","Dir=V")</f>
        <v>0</v>
      </c>
      <c r="AU2">
        <f>BDH("ONCO US Equity","EQY_SH_OUT","1993-06-18","2026-05-02","Per=M","Days=T","Dir=V")</f>
        <v>0</v>
      </c>
      <c r="AW2">
        <f>BDH("ONCO US Equity","PX_VOLUME","1993-06-18","2026-05-02","Per=M","Days=T","Dir=V")</f>
        <v>0</v>
      </c>
      <c r="AY2">
        <f>BDH("ONCO US Equity","TURNOVER","1993-06-18","2026-05-02","Per=M","Days=T","Dir=V")</f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BDH("ONDS US Equity","BS_TOT_ASSET","1993-06-18","2026-05-02","Per=Y","Days=T","Dir=V")</f>
        <v>0</v>
      </c>
      <c r="C2">
        <f>BDH("ONDS US Equity","BS_TOT_LIAB2","1993-06-18","2026-05-02","Per=Y","Days=T","Dir=V")</f>
        <v>0</v>
      </c>
      <c r="E2">
        <f>BDH("ONDS US Equity","SHORT_AND_LONG_TERM_DEBT","1993-06-18","2026-05-02","Per=Y","Days=T","Dir=V")</f>
        <v>0</v>
      </c>
      <c r="G2">
        <f>BDH("ONDS US Equity","BS_ST_BORROW","1993-06-18","2026-05-02","Per=Y","Days=T","Dir=V")</f>
        <v>0</v>
      </c>
      <c r="I2">
        <f>BDH("ONDS US Equity","BS_LT_BORROW","1993-06-18","2026-05-02","Per=Y","Days=T","Dir=V")</f>
        <v>0</v>
      </c>
      <c r="K2">
        <f>BDH("ONDS US Equity","BS_CASH_NEAR_CASH_ITEM","1993-06-18","2026-05-02","Per=Y","Days=T","Dir=V")</f>
        <v>0</v>
      </c>
      <c r="M2">
        <f>BDH("ONDS US Equity","BS_CUR_ASSET_REPORT","1993-06-18","2026-05-02","Per=Y","Days=T","Dir=V")</f>
        <v>0</v>
      </c>
      <c r="O2">
        <f>BDH("ONDS US Equity","BS_CUR_LIAB","1993-06-18","2026-05-02","Per=Y","Days=T","Dir=V")</f>
        <v>0</v>
      </c>
      <c r="Q2">
        <f>BDH("ONDS US Equity","BS_SHAREHOLDER_EQY_ENDING_PERIOD","1993-06-18","2026-05-02","Per=Y","Days=T","Dir=V")</f>
        <v>0</v>
      </c>
      <c r="S2">
        <f>BDH("ONDS US Equity","BS_ACCT_NOTE_RCV","1993-06-18","2026-05-02","Per=Y","Days=T","Dir=V")</f>
        <v>0</v>
      </c>
      <c r="U2">
        <f>BDH("ONDS US Equity","BS_INVENTORIES","1993-06-18","2026-05-02","Per=Y","Days=T","Dir=V")</f>
        <v>0</v>
      </c>
      <c r="W2">
        <f>BDH("ONDS US Equity","WORKING_CAPITAL","1993-06-18","2026-05-02","Per=Y","Days=T","Dir=V")</f>
        <v>0</v>
      </c>
      <c r="Y2">
        <f>BDH("ONDS US Equity","SALES_REV_TURN","1993-06-18","2026-05-02","Per=Y","Days=T","Dir=V")</f>
        <v>0</v>
      </c>
      <c r="AA2">
        <f>BDH("ONDS US Equity","EBIT","1993-06-18","2026-05-02","Per=Y","Days=T","Dir=V")</f>
        <v>0</v>
      </c>
      <c r="AC2">
        <f>BDH("ONDS US Equity","EBITDA","1993-06-18","2026-05-02","Per=Y","Days=T","Dir=V")</f>
        <v>0</v>
      </c>
      <c r="AE2">
        <f>BDH("ONDS US Equity","NET_INCOME","1993-06-18","2026-05-02","Per=Y","Days=T","Dir=V")</f>
        <v>0</v>
      </c>
      <c r="AG2">
        <f>BDH("ONDS US Equity","IS_INT_EXPENSE","1993-06-18","2026-05-02","Per=Y","Days=T","Dir=V")</f>
        <v>0</v>
      </c>
      <c r="AI2">
        <f>BDH("ONDS US Equity","IS_DEPR_EXP","1993-06-18","2026-05-02","Per=Y","Days=T","Dir=V")</f>
        <v>0</v>
      </c>
      <c r="AK2">
        <f>BDH("ONDS US Equity","CF_CASH_FROM_OPER","1993-06-18","2026-05-02","Per=Y","Days=T","Dir=V")</f>
        <v>0</v>
      </c>
      <c r="AM2">
        <f>BDH("ONDS US Equity","CAPITAL_EXPEND","1993-06-18","2026-05-02","Per=Y","Days=T","Dir=V")</f>
        <v>0</v>
      </c>
      <c r="AO2">
        <f>BDH("ONDS US Equity","CF_FREE_CASH_FLOW","1993-06-18","2026-05-02","Per=Y","Days=T","Dir=V")</f>
        <v>0</v>
      </c>
      <c r="AQ2">
        <f>BDH("ONDS US Equity","PX_LAST","1993-06-18","2026-05-02","Per=M","Days=T","Dir=V")</f>
        <v>0</v>
      </c>
      <c r="AS2">
        <f>BDH("ONDS US Equity","CUR_MKT_CAP","1993-06-18","2026-05-02","Per=M","Days=T","Dir=V")</f>
        <v>0</v>
      </c>
      <c r="AU2">
        <f>BDH("ONDS US Equity","EQY_SH_OUT","1993-06-18","2026-05-02","Per=M","Days=T","Dir=V")</f>
        <v>0</v>
      </c>
      <c r="AW2">
        <f>BDH("ONDS US Equity","PX_VOLUME","1993-06-18","2026-05-02","Per=M","Days=T","Dir=V")</f>
        <v>0</v>
      </c>
      <c r="AY2">
        <f>BDH("ONDS US Equity","TURNOVER","1993-06-18","2026-05-02","Per=M","Days=T","Dir=V")</f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BDH("ONEW US Equity","BS_TOT_ASSET","1993-06-18","2026-05-02","Per=Y","Days=T","Dir=V")</f>
        <v>0</v>
      </c>
      <c r="C2">
        <f>BDH("ONEW US Equity","BS_TOT_LIAB2","1993-06-18","2026-05-02","Per=Y","Days=T","Dir=V")</f>
        <v>0</v>
      </c>
      <c r="E2">
        <f>BDH("ONEW US Equity","SHORT_AND_LONG_TERM_DEBT","1993-06-18","2026-05-02","Per=Y","Days=T","Dir=V")</f>
        <v>0</v>
      </c>
      <c r="G2">
        <f>BDH("ONEW US Equity","BS_ST_BORROW","1993-06-18","2026-05-02","Per=Y","Days=T","Dir=V")</f>
        <v>0</v>
      </c>
      <c r="I2">
        <f>BDH("ONEW US Equity","BS_LT_BORROW","1993-06-18","2026-05-02","Per=Y","Days=T","Dir=V")</f>
        <v>0</v>
      </c>
      <c r="K2">
        <f>BDH("ONEW US Equity","BS_CASH_NEAR_CASH_ITEM","1993-06-18","2026-05-02","Per=Y","Days=T","Dir=V")</f>
        <v>0</v>
      </c>
      <c r="M2">
        <f>BDH("ONEW US Equity","BS_CUR_ASSET_REPORT","1993-06-18","2026-05-02","Per=Y","Days=T","Dir=V")</f>
        <v>0</v>
      </c>
      <c r="O2">
        <f>BDH("ONEW US Equity","BS_CUR_LIAB","1993-06-18","2026-05-02","Per=Y","Days=T","Dir=V")</f>
        <v>0</v>
      </c>
      <c r="Q2">
        <f>BDH("ONEW US Equity","BS_SHAREHOLDER_EQY_ENDING_PERIOD","1993-06-18","2026-05-02","Per=Y","Days=T","Dir=V")</f>
        <v>0</v>
      </c>
      <c r="S2">
        <f>BDH("ONEW US Equity","BS_ACCT_NOTE_RCV","1993-06-18","2026-05-02","Per=Y","Days=T","Dir=V")</f>
        <v>0</v>
      </c>
      <c r="U2">
        <f>BDH("ONEW US Equity","BS_INVENTORIES","1993-06-18","2026-05-02","Per=Y","Days=T","Dir=V")</f>
        <v>0</v>
      </c>
      <c r="W2">
        <f>BDH("ONEW US Equity","WORKING_CAPITAL","1993-06-18","2026-05-02","Per=Y","Days=T","Dir=V")</f>
        <v>0</v>
      </c>
      <c r="Y2">
        <f>BDH("ONEW US Equity","SALES_REV_TURN","1993-06-18","2026-05-02","Per=Y","Days=T","Dir=V")</f>
        <v>0</v>
      </c>
      <c r="AA2">
        <f>BDH("ONEW US Equity","EBIT","1993-06-18","2026-05-02","Per=Y","Days=T","Dir=V")</f>
        <v>0</v>
      </c>
      <c r="AC2">
        <f>BDH("ONEW US Equity","EBITDA","1993-06-18","2026-05-02","Per=Y","Days=T","Dir=V")</f>
        <v>0</v>
      </c>
      <c r="AE2">
        <f>BDH("ONEW US Equity","NET_INCOME","1993-06-18","2026-05-02","Per=Y","Days=T","Dir=V")</f>
        <v>0</v>
      </c>
      <c r="AG2">
        <f>BDH("ONEW US Equity","IS_INT_EXPENSE","1993-06-18","2026-05-02","Per=Y","Days=T","Dir=V")</f>
        <v>0</v>
      </c>
      <c r="AI2">
        <f>BDH("ONEW US Equity","IS_DEPR_EXP","1993-06-18","2026-05-02","Per=Y","Days=T","Dir=V")</f>
        <v>0</v>
      </c>
      <c r="AK2">
        <f>BDH("ONEW US Equity","CF_CASH_FROM_OPER","1993-06-18","2026-05-02","Per=Y","Days=T","Dir=V")</f>
        <v>0</v>
      </c>
      <c r="AM2">
        <f>BDH("ONEW US Equity","CAPITAL_EXPEND","1993-06-18","2026-05-02","Per=Y","Days=T","Dir=V")</f>
        <v>0</v>
      </c>
      <c r="AO2">
        <f>BDH("ONEW US Equity","CF_FREE_CASH_FLOW","1993-06-18","2026-05-02","Per=Y","Days=T","Dir=V")</f>
        <v>0</v>
      </c>
      <c r="AQ2">
        <f>BDH("ONEW US Equity","PX_LAST","1993-06-18","2026-05-02","Per=M","Days=T","Dir=V")</f>
        <v>0</v>
      </c>
      <c r="AS2">
        <f>BDH("ONEW US Equity","CUR_MKT_CAP","1993-06-18","2026-05-02","Per=M","Days=T","Dir=V")</f>
        <v>0</v>
      </c>
      <c r="AU2">
        <f>BDH("ONEW US Equity","EQY_SH_OUT","1993-06-18","2026-05-02","Per=M","Days=T","Dir=V")</f>
        <v>0</v>
      </c>
      <c r="AW2">
        <f>BDH("ONEW US Equity","PX_VOLUME","1993-06-18","2026-05-02","Per=M","Days=T","Dir=V")</f>
        <v>0</v>
      </c>
      <c r="AY2">
        <f>BDH("ONEW US Equity","TURNOVER","1993-06-18","2026-05-02","Per=M","Days=T","Dir=V")</f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BDH("ONFO US Equity","BS_TOT_ASSET","1993-06-18","2026-05-02","Per=Y","Days=T","Dir=V")</f>
        <v>0</v>
      </c>
      <c r="C2">
        <f>BDH("ONFO US Equity","BS_TOT_LIAB2","1993-06-18","2026-05-02","Per=Y","Days=T","Dir=V")</f>
        <v>0</v>
      </c>
      <c r="E2">
        <f>BDH("ONFO US Equity","SHORT_AND_LONG_TERM_DEBT","1993-06-18","2026-05-02","Per=Y","Days=T","Dir=V")</f>
        <v>0</v>
      </c>
      <c r="G2">
        <f>BDH("ONFO US Equity","BS_ST_BORROW","1993-06-18","2026-05-02","Per=Y","Days=T","Dir=V")</f>
        <v>0</v>
      </c>
      <c r="I2">
        <f>BDH("ONFO US Equity","BS_LT_BORROW","1993-06-18","2026-05-02","Per=Y","Days=T","Dir=V")</f>
        <v>0</v>
      </c>
      <c r="K2">
        <f>BDH("ONFO US Equity","BS_CASH_NEAR_CASH_ITEM","1993-06-18","2026-05-02","Per=Y","Days=T","Dir=V")</f>
        <v>0</v>
      </c>
      <c r="M2">
        <f>BDH("ONFO US Equity","BS_CUR_ASSET_REPORT","1993-06-18","2026-05-02","Per=Y","Days=T","Dir=V")</f>
        <v>0</v>
      </c>
      <c r="O2">
        <f>BDH("ONFO US Equity","BS_CUR_LIAB","1993-06-18","2026-05-02","Per=Y","Days=T","Dir=V")</f>
        <v>0</v>
      </c>
      <c r="Q2">
        <f>BDH("ONFO US Equity","BS_SHAREHOLDER_EQY_ENDING_PERIOD","1993-06-18","2026-05-02","Per=Y","Days=T","Dir=V")</f>
        <v>0</v>
      </c>
      <c r="S2">
        <f>BDH("ONFO US Equity","BS_ACCT_NOTE_RCV","1993-06-18","2026-05-02","Per=Y","Days=T","Dir=V")</f>
        <v>0</v>
      </c>
      <c r="U2">
        <f>BDH("ONFO US Equity","BS_INVENTORIES","1993-06-18","2026-05-02","Per=Y","Days=T","Dir=V")</f>
        <v>0</v>
      </c>
      <c r="W2">
        <f>BDH("ONFO US Equity","WORKING_CAPITAL","1993-06-18","2026-05-02","Per=Y","Days=T","Dir=V")</f>
        <v>0</v>
      </c>
      <c r="Y2">
        <f>BDH("ONFO US Equity","SALES_REV_TURN","1993-06-18","2026-05-02","Per=Y","Days=T","Dir=V")</f>
        <v>0</v>
      </c>
      <c r="AA2">
        <f>BDH("ONFO US Equity","EBIT","1993-06-18","2026-05-02","Per=Y","Days=T","Dir=V")</f>
        <v>0</v>
      </c>
      <c r="AC2">
        <f>BDH("ONFO US Equity","EBITDA","1993-06-18","2026-05-02","Per=Y","Days=T","Dir=V")</f>
        <v>0</v>
      </c>
      <c r="AE2">
        <f>BDH("ONFO US Equity","NET_INCOME","1993-06-18","2026-05-02","Per=Y","Days=T","Dir=V")</f>
        <v>0</v>
      </c>
      <c r="AG2">
        <f>BDH("ONFO US Equity","IS_INT_EXPENSE","1993-06-18","2026-05-02","Per=Y","Days=T","Dir=V")</f>
        <v>0</v>
      </c>
      <c r="AI2">
        <f>BDH("ONFO US Equity","IS_DEPR_EXP","1993-06-18","2026-05-02","Per=Y","Days=T","Dir=V")</f>
        <v>0</v>
      </c>
      <c r="AK2">
        <f>BDH("ONFO US Equity","CF_CASH_FROM_OPER","1993-06-18","2026-05-02","Per=Y","Days=T","Dir=V")</f>
        <v>0</v>
      </c>
      <c r="AM2">
        <f>BDH("ONFO US Equity","CAPITAL_EXPEND","1993-06-18","2026-05-02","Per=Y","Days=T","Dir=V")</f>
        <v>0</v>
      </c>
      <c r="AO2">
        <f>BDH("ONFO US Equity","CF_FREE_CASH_FLOW","1993-06-18","2026-05-02","Per=Y","Days=T","Dir=V")</f>
        <v>0</v>
      </c>
      <c r="AQ2">
        <f>BDH("ONFO US Equity","PX_LAST","1993-06-18","2026-05-02","Per=M","Days=T","Dir=V")</f>
        <v>0</v>
      </c>
      <c r="AS2">
        <f>BDH("ONFO US Equity","CUR_MKT_CAP","1993-06-18","2026-05-02","Per=M","Days=T","Dir=V")</f>
        <v>0</v>
      </c>
      <c r="AU2">
        <f>BDH("ONFO US Equity","EQY_SH_OUT","1993-06-18","2026-05-02","Per=M","Days=T","Dir=V")</f>
        <v>0</v>
      </c>
      <c r="AW2">
        <f>BDH("ONFO US Equity","PX_VOLUME","1993-06-18","2026-05-02","Per=M","Days=T","Dir=V")</f>
        <v>0</v>
      </c>
      <c r="AY2">
        <f>BDH("ONFO US Equity","TURNOVER","1993-06-18","2026-05-02","Per=M","Days=T","Dir=V")</f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BDH("ONFOW US Equity","BS_TOT_ASSET","1993-06-18","2026-05-02","Per=Y","Days=T","Dir=V")</f>
        <v>0</v>
      </c>
      <c r="C2">
        <f>BDH("ONFOW US Equity","BS_TOT_LIAB2","1993-06-18","2026-05-02","Per=Y","Days=T","Dir=V")</f>
        <v>0</v>
      </c>
      <c r="E2">
        <f>BDH("ONFOW US Equity","SHORT_AND_LONG_TERM_DEBT","1993-06-18","2026-05-02","Per=Y","Days=T","Dir=V")</f>
        <v>0</v>
      </c>
      <c r="G2">
        <f>BDH("ONFOW US Equity","BS_ST_BORROW","1993-06-18","2026-05-02","Per=Y","Days=T","Dir=V")</f>
        <v>0</v>
      </c>
      <c r="I2">
        <f>BDH("ONFOW US Equity","BS_LT_BORROW","1993-06-18","2026-05-02","Per=Y","Days=T","Dir=V")</f>
        <v>0</v>
      </c>
      <c r="K2">
        <f>BDH("ONFOW US Equity","BS_CASH_NEAR_CASH_ITEM","1993-06-18","2026-05-02","Per=Y","Days=T","Dir=V")</f>
        <v>0</v>
      </c>
      <c r="M2">
        <f>BDH("ONFOW US Equity","BS_CUR_ASSET_REPORT","1993-06-18","2026-05-02","Per=Y","Days=T","Dir=V")</f>
        <v>0</v>
      </c>
      <c r="O2">
        <f>BDH("ONFOW US Equity","BS_CUR_LIAB","1993-06-18","2026-05-02","Per=Y","Days=T","Dir=V")</f>
        <v>0</v>
      </c>
      <c r="Q2">
        <f>BDH("ONFOW US Equity","BS_SHAREHOLDER_EQY_ENDING_PERIOD","1993-06-18","2026-05-02","Per=Y","Days=T","Dir=V")</f>
        <v>0</v>
      </c>
      <c r="S2">
        <f>BDH("ONFOW US Equity","BS_ACCT_NOTE_RCV","1993-06-18","2026-05-02","Per=Y","Days=T","Dir=V")</f>
        <v>0</v>
      </c>
      <c r="U2">
        <f>BDH("ONFOW US Equity","BS_INVENTORIES","1993-06-18","2026-05-02","Per=Y","Days=T","Dir=V")</f>
        <v>0</v>
      </c>
      <c r="W2">
        <f>BDH("ONFOW US Equity","WORKING_CAPITAL","1993-06-18","2026-05-02","Per=Y","Days=T","Dir=V")</f>
        <v>0</v>
      </c>
      <c r="Y2">
        <f>BDH("ONFOW US Equity","SALES_REV_TURN","1993-06-18","2026-05-02","Per=Y","Days=T","Dir=V")</f>
        <v>0</v>
      </c>
      <c r="AA2">
        <f>BDH("ONFOW US Equity","EBIT","1993-06-18","2026-05-02","Per=Y","Days=T","Dir=V")</f>
        <v>0</v>
      </c>
      <c r="AC2">
        <f>BDH("ONFOW US Equity","EBITDA","1993-06-18","2026-05-02","Per=Y","Days=T","Dir=V")</f>
        <v>0</v>
      </c>
      <c r="AE2">
        <f>BDH("ONFOW US Equity","NET_INCOME","1993-06-18","2026-05-02","Per=Y","Days=T","Dir=V")</f>
        <v>0</v>
      </c>
      <c r="AG2">
        <f>BDH("ONFOW US Equity","IS_INT_EXPENSE","1993-06-18","2026-05-02","Per=Y","Days=T","Dir=V")</f>
        <v>0</v>
      </c>
      <c r="AI2">
        <f>BDH("ONFOW US Equity","IS_DEPR_EXP","1993-06-18","2026-05-02","Per=Y","Days=T","Dir=V")</f>
        <v>0</v>
      </c>
      <c r="AK2">
        <f>BDH("ONFOW US Equity","CF_CASH_FROM_OPER","1993-06-18","2026-05-02","Per=Y","Days=T","Dir=V")</f>
        <v>0</v>
      </c>
      <c r="AM2">
        <f>BDH("ONFOW US Equity","CAPITAL_EXPEND","1993-06-18","2026-05-02","Per=Y","Days=T","Dir=V")</f>
        <v>0</v>
      </c>
      <c r="AO2">
        <f>BDH("ONFOW US Equity","CF_FREE_CASH_FLOW","1993-06-18","2026-05-02","Per=Y","Days=T","Dir=V")</f>
        <v>0</v>
      </c>
      <c r="AQ2">
        <f>BDH("ONFOW US Equity","PX_LAST","1993-06-18","2026-05-02","Per=M","Days=T","Dir=V")</f>
        <v>0</v>
      </c>
      <c r="AS2">
        <f>BDH("ONFOW US Equity","CUR_MKT_CAP","1993-06-18","2026-05-02","Per=M","Days=T","Dir=V")</f>
        <v>0</v>
      </c>
      <c r="AU2">
        <f>BDH("ONFOW US Equity","EQY_SH_OUT","1993-06-18","2026-05-02","Per=M","Days=T","Dir=V")</f>
        <v>0</v>
      </c>
      <c r="AW2">
        <f>BDH("ONFOW US Equity","PX_VOLUME","1993-06-18","2026-05-02","Per=M","Days=T","Dir=V")</f>
        <v>0</v>
      </c>
      <c r="AY2">
        <f>BDH("ONFOW US Equity","TURNOVER","1993-06-18","2026-05-02","Per=M","Days=T","Dir=V")</f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BDH("ONT US Equity","BS_TOT_ASSET","1993-06-18","2026-05-02","Per=Y","Days=T","Dir=V")</f>
        <v>0</v>
      </c>
      <c r="C2">
        <f>BDH("ONT US Equity","BS_TOT_LIAB2","1993-06-18","2026-05-02","Per=Y","Days=T","Dir=V")</f>
        <v>0</v>
      </c>
      <c r="E2">
        <f>BDH("ONT US Equity","SHORT_AND_LONG_TERM_DEBT","1993-06-18","2026-05-02","Per=Y","Days=T","Dir=V")</f>
        <v>0</v>
      </c>
      <c r="G2">
        <f>BDH("ONT US Equity","BS_ST_BORROW","1993-06-18","2026-05-02","Per=Y","Days=T","Dir=V")</f>
        <v>0</v>
      </c>
      <c r="I2">
        <f>BDH("ONT US Equity","BS_LT_BORROW","1993-06-18","2026-05-02","Per=Y","Days=T","Dir=V")</f>
        <v>0</v>
      </c>
      <c r="K2">
        <f>BDH("ONT US Equity","BS_CASH_NEAR_CASH_ITEM","1993-06-18","2026-05-02","Per=Y","Days=T","Dir=V")</f>
        <v>0</v>
      </c>
      <c r="M2">
        <f>BDH("ONT US Equity","BS_CUR_ASSET_REPORT","1993-06-18","2026-05-02","Per=Y","Days=T","Dir=V")</f>
        <v>0</v>
      </c>
      <c r="O2">
        <f>BDH("ONT US Equity","BS_CUR_LIAB","1993-06-18","2026-05-02","Per=Y","Days=T","Dir=V")</f>
        <v>0</v>
      </c>
      <c r="Q2">
        <f>BDH("ONT US Equity","BS_SHAREHOLDER_EQY_ENDING_PERIOD","1993-06-18","2026-05-02","Per=Y","Days=T","Dir=V")</f>
        <v>0</v>
      </c>
      <c r="S2">
        <f>BDH("ONT US Equity","BS_ACCT_NOTE_RCV","1993-06-18","2026-05-02","Per=Y","Days=T","Dir=V")</f>
        <v>0</v>
      </c>
      <c r="U2">
        <f>BDH("ONT US Equity","BS_INVENTORIES","1993-06-18","2026-05-02","Per=Y","Days=T","Dir=V")</f>
        <v>0</v>
      </c>
      <c r="W2">
        <f>BDH("ONT US Equity","WORKING_CAPITAL","1993-06-18","2026-05-02","Per=Y","Days=T","Dir=V")</f>
        <v>0</v>
      </c>
      <c r="Y2">
        <f>BDH("ONT US Equity","SALES_REV_TURN","1993-06-18","2026-05-02","Per=Y","Days=T","Dir=V")</f>
        <v>0</v>
      </c>
      <c r="AA2">
        <f>BDH("ONT US Equity","EBIT","1993-06-18","2026-05-02","Per=Y","Days=T","Dir=V")</f>
        <v>0</v>
      </c>
      <c r="AC2">
        <f>BDH("ONT US Equity","EBITDA","1993-06-18","2026-05-02","Per=Y","Days=T","Dir=V")</f>
        <v>0</v>
      </c>
      <c r="AE2">
        <f>BDH("ONT US Equity","NET_INCOME","1993-06-18","2026-05-02","Per=Y","Days=T","Dir=V")</f>
        <v>0</v>
      </c>
      <c r="AG2">
        <f>BDH("ONT US Equity","IS_INT_EXPENSE","1993-06-18","2026-05-02","Per=Y","Days=T","Dir=V")</f>
        <v>0</v>
      </c>
      <c r="AI2">
        <f>BDH("ONT US Equity","IS_DEPR_EXP","1993-06-18","2026-05-02","Per=Y","Days=T","Dir=V")</f>
        <v>0</v>
      </c>
      <c r="AK2">
        <f>BDH("ONT US Equity","CF_CASH_FROM_OPER","1993-06-18","2026-05-02","Per=Y","Days=T","Dir=V")</f>
        <v>0</v>
      </c>
      <c r="AM2">
        <f>BDH("ONT US Equity","CAPITAL_EXPEND","1993-06-18","2026-05-02","Per=Y","Days=T","Dir=V")</f>
        <v>0</v>
      </c>
      <c r="AO2">
        <f>BDH("ONT US Equity","CF_FREE_CASH_FLOW","1993-06-18","2026-05-02","Per=Y","Days=T","Dir=V")</f>
        <v>0</v>
      </c>
      <c r="AQ2">
        <f>BDH("ONT US Equity","PX_LAST","1993-06-18","2026-05-02","Per=M","Days=T","Dir=V")</f>
        <v>0</v>
      </c>
      <c r="AS2">
        <f>BDH("ONT US Equity","CUR_MKT_CAP","1993-06-18","2026-05-02","Per=M","Days=T","Dir=V")</f>
        <v>0</v>
      </c>
      <c r="AU2">
        <f>BDH("ONT US Equity","EQY_SH_OUT","1993-06-18","2026-05-02","Per=M","Days=T","Dir=V")</f>
        <v>0</v>
      </c>
      <c r="AW2">
        <f>BDH("ONT US Equity","PX_VOLUME","1993-06-18","2026-05-02","Per=M","Days=T","Dir=V")</f>
        <v>0</v>
      </c>
      <c r="AY2">
        <f>BDH("ONT US Equity","TURNOVER","1993-06-18","2026-05-02","Per=M","Days=T","Dir=V")</f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BDH("ONTO US Equity","BS_TOT_ASSET","1993-06-18","2026-05-02","Per=Y","Days=T","Dir=V")</f>
        <v>0</v>
      </c>
      <c r="C2">
        <f>BDH("ONTO US Equity","BS_TOT_LIAB2","1993-06-18","2026-05-02","Per=Y","Days=T","Dir=V")</f>
        <v>0</v>
      </c>
      <c r="E2">
        <f>BDH("ONTO US Equity","SHORT_AND_LONG_TERM_DEBT","1993-06-18","2026-05-02","Per=Y","Days=T","Dir=V")</f>
        <v>0</v>
      </c>
      <c r="G2">
        <f>BDH("ONTO US Equity","BS_ST_BORROW","1993-06-18","2026-05-02","Per=Y","Days=T","Dir=V")</f>
        <v>0</v>
      </c>
      <c r="I2">
        <f>BDH("ONTO US Equity","BS_LT_BORROW","1993-06-18","2026-05-02","Per=Y","Days=T","Dir=V")</f>
        <v>0</v>
      </c>
      <c r="K2">
        <f>BDH("ONTO US Equity","BS_CASH_NEAR_CASH_ITEM","1993-06-18","2026-05-02","Per=Y","Days=T","Dir=V")</f>
        <v>0</v>
      </c>
      <c r="M2">
        <f>BDH("ONTO US Equity","BS_CUR_ASSET_REPORT","1993-06-18","2026-05-02","Per=Y","Days=T","Dir=V")</f>
        <v>0</v>
      </c>
      <c r="O2">
        <f>BDH("ONTO US Equity","BS_CUR_LIAB","1993-06-18","2026-05-02","Per=Y","Days=T","Dir=V")</f>
        <v>0</v>
      </c>
      <c r="Q2">
        <f>BDH("ONTO US Equity","BS_SHAREHOLDER_EQY_ENDING_PERIOD","1993-06-18","2026-05-02","Per=Y","Days=T","Dir=V")</f>
        <v>0</v>
      </c>
      <c r="S2">
        <f>BDH("ONTO US Equity","BS_ACCT_NOTE_RCV","1993-06-18","2026-05-02","Per=Y","Days=T","Dir=V")</f>
        <v>0</v>
      </c>
      <c r="U2">
        <f>BDH("ONTO US Equity","BS_INVENTORIES","1993-06-18","2026-05-02","Per=Y","Days=T","Dir=V")</f>
        <v>0</v>
      </c>
      <c r="W2">
        <f>BDH("ONTO US Equity","WORKING_CAPITAL","1993-06-18","2026-05-02","Per=Y","Days=T","Dir=V")</f>
        <v>0</v>
      </c>
      <c r="Y2">
        <f>BDH("ONTO US Equity","SALES_REV_TURN","1993-06-18","2026-05-02","Per=Y","Days=T","Dir=V")</f>
        <v>0</v>
      </c>
      <c r="AA2">
        <f>BDH("ONTO US Equity","EBIT","1993-06-18","2026-05-02","Per=Y","Days=T","Dir=V")</f>
        <v>0</v>
      </c>
      <c r="AC2">
        <f>BDH("ONTO US Equity","EBITDA","1993-06-18","2026-05-02","Per=Y","Days=T","Dir=V")</f>
        <v>0</v>
      </c>
      <c r="AE2">
        <f>BDH("ONTO US Equity","NET_INCOME","1993-06-18","2026-05-02","Per=Y","Days=T","Dir=V")</f>
        <v>0</v>
      </c>
      <c r="AG2">
        <f>BDH("ONTO US Equity","IS_INT_EXPENSE","1993-06-18","2026-05-02","Per=Y","Days=T","Dir=V")</f>
        <v>0</v>
      </c>
      <c r="AI2">
        <f>BDH("ONTO US Equity","IS_DEPR_EXP","1993-06-18","2026-05-02","Per=Y","Days=T","Dir=V")</f>
        <v>0</v>
      </c>
      <c r="AK2">
        <f>BDH("ONTO US Equity","CF_CASH_FROM_OPER","1993-06-18","2026-05-02","Per=Y","Days=T","Dir=V")</f>
        <v>0</v>
      </c>
      <c r="AM2">
        <f>BDH("ONTO US Equity","CAPITAL_EXPEND","1993-06-18","2026-05-02","Per=Y","Days=T","Dir=V")</f>
        <v>0</v>
      </c>
      <c r="AO2">
        <f>BDH("ONTO US Equity","CF_FREE_CASH_FLOW","1993-06-18","2026-05-02","Per=Y","Days=T","Dir=V")</f>
        <v>0</v>
      </c>
      <c r="AQ2">
        <f>BDH("ONTO US Equity","PX_LAST","1993-06-18","2026-05-02","Per=M","Days=T","Dir=V")</f>
        <v>0</v>
      </c>
      <c r="AS2">
        <f>BDH("ONTO US Equity","CUR_MKT_CAP","1993-06-18","2026-05-02","Per=M","Days=T","Dir=V")</f>
        <v>0</v>
      </c>
      <c r="AU2">
        <f>BDH("ONTO US Equity","EQY_SH_OUT","1993-06-18","2026-05-02","Per=M","Days=T","Dir=V")</f>
        <v>0</v>
      </c>
      <c r="AW2">
        <f>BDH("ONTO US Equity","PX_VOLUME","1993-06-18","2026-05-02","Per=M","Days=T","Dir=V")</f>
        <v>0</v>
      </c>
      <c r="AY2">
        <f>BDH("ONTO US Equity","TURNOVER","1993-06-18","2026-05-02","Per=M","Days=T","Dir=V")</f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BDH("OOMA US Equity","BS_TOT_ASSET","1993-06-18","2026-05-02","Per=Y","Days=T","Dir=V")</f>
        <v>0</v>
      </c>
      <c r="C2">
        <f>BDH("OOMA US Equity","BS_TOT_LIAB2","1993-06-18","2026-05-02","Per=Y","Days=T","Dir=V")</f>
        <v>0</v>
      </c>
      <c r="E2">
        <f>BDH("OOMA US Equity","SHORT_AND_LONG_TERM_DEBT","1993-06-18","2026-05-02","Per=Y","Days=T","Dir=V")</f>
        <v>0</v>
      </c>
      <c r="G2">
        <f>BDH("OOMA US Equity","BS_ST_BORROW","1993-06-18","2026-05-02","Per=Y","Days=T","Dir=V")</f>
        <v>0</v>
      </c>
      <c r="I2">
        <f>BDH("OOMA US Equity","BS_LT_BORROW","1993-06-18","2026-05-02","Per=Y","Days=T","Dir=V")</f>
        <v>0</v>
      </c>
      <c r="K2">
        <f>BDH("OOMA US Equity","BS_CASH_NEAR_CASH_ITEM","1993-06-18","2026-05-02","Per=Y","Days=T","Dir=V")</f>
        <v>0</v>
      </c>
      <c r="M2">
        <f>BDH("OOMA US Equity","BS_CUR_ASSET_REPORT","1993-06-18","2026-05-02","Per=Y","Days=T","Dir=V")</f>
        <v>0</v>
      </c>
      <c r="O2">
        <f>BDH("OOMA US Equity","BS_CUR_LIAB","1993-06-18","2026-05-02","Per=Y","Days=T","Dir=V")</f>
        <v>0</v>
      </c>
      <c r="Q2">
        <f>BDH("OOMA US Equity","BS_SHAREHOLDER_EQY_ENDING_PERIOD","1993-06-18","2026-05-02","Per=Y","Days=T","Dir=V")</f>
        <v>0</v>
      </c>
      <c r="S2">
        <f>BDH("OOMA US Equity","BS_ACCT_NOTE_RCV","1993-06-18","2026-05-02","Per=Y","Days=T","Dir=V")</f>
        <v>0</v>
      </c>
      <c r="U2">
        <f>BDH("OOMA US Equity","BS_INVENTORIES","1993-06-18","2026-05-02","Per=Y","Days=T","Dir=V")</f>
        <v>0</v>
      </c>
      <c r="W2">
        <f>BDH("OOMA US Equity","WORKING_CAPITAL","1993-06-18","2026-05-02","Per=Y","Days=T","Dir=V")</f>
        <v>0</v>
      </c>
      <c r="Y2">
        <f>BDH("OOMA US Equity","SALES_REV_TURN","1993-06-18","2026-05-02","Per=Y","Days=T","Dir=V")</f>
        <v>0</v>
      </c>
      <c r="AA2">
        <f>BDH("OOMA US Equity","EBIT","1993-06-18","2026-05-02","Per=Y","Days=T","Dir=V")</f>
        <v>0</v>
      </c>
      <c r="AC2">
        <f>BDH("OOMA US Equity","EBITDA","1993-06-18","2026-05-02","Per=Y","Days=T","Dir=V")</f>
        <v>0</v>
      </c>
      <c r="AE2">
        <f>BDH("OOMA US Equity","NET_INCOME","1993-06-18","2026-05-02","Per=Y","Days=T","Dir=V")</f>
        <v>0</v>
      </c>
      <c r="AG2">
        <f>BDH("OOMA US Equity","IS_INT_EXPENSE","1993-06-18","2026-05-02","Per=Y","Days=T","Dir=V")</f>
        <v>0</v>
      </c>
      <c r="AI2">
        <f>BDH("OOMA US Equity","IS_DEPR_EXP","1993-06-18","2026-05-02","Per=Y","Days=T","Dir=V")</f>
        <v>0</v>
      </c>
      <c r="AK2">
        <f>BDH("OOMA US Equity","CF_CASH_FROM_OPER","1993-06-18","2026-05-02","Per=Y","Days=T","Dir=V")</f>
        <v>0</v>
      </c>
      <c r="AM2">
        <f>BDH("OOMA US Equity","CAPITAL_EXPEND","1993-06-18","2026-05-02","Per=Y","Days=T","Dir=V")</f>
        <v>0</v>
      </c>
      <c r="AO2">
        <f>BDH("OOMA US Equity","CF_FREE_CASH_FLOW","1993-06-18","2026-05-02","Per=Y","Days=T","Dir=V")</f>
        <v>0</v>
      </c>
      <c r="AQ2">
        <f>BDH("OOMA US Equity","PX_LAST","1993-06-18","2026-05-02","Per=M","Days=T","Dir=V")</f>
        <v>0</v>
      </c>
      <c r="AS2">
        <f>BDH("OOMA US Equity","CUR_MKT_CAP","1993-06-18","2026-05-02","Per=M","Days=T","Dir=V")</f>
        <v>0</v>
      </c>
      <c r="AU2">
        <f>BDH("OOMA US Equity","EQY_SH_OUT","1993-06-18","2026-05-02","Per=M","Days=T","Dir=V")</f>
        <v>0</v>
      </c>
      <c r="AW2">
        <f>BDH("OOMA US Equity","PX_VOLUME","1993-06-18","2026-05-02","Per=M","Days=T","Dir=V")</f>
        <v>0</v>
      </c>
      <c r="AY2">
        <f>BDH("OOMA US Equity","TURNOVER","1993-06-18","2026-05-02","Per=M","Days=T","Dir=V")</f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BDH("OPAL US Equity","BS_TOT_ASSET","1993-06-18","2026-05-02","Per=Y","Days=T","Dir=V")</f>
        <v>0</v>
      </c>
      <c r="C2">
        <f>BDH("OPAL US Equity","BS_TOT_LIAB2","1993-06-18","2026-05-02","Per=Y","Days=T","Dir=V")</f>
        <v>0</v>
      </c>
      <c r="E2">
        <f>BDH("OPAL US Equity","SHORT_AND_LONG_TERM_DEBT","1993-06-18","2026-05-02","Per=Y","Days=T","Dir=V")</f>
        <v>0</v>
      </c>
      <c r="G2">
        <f>BDH("OPAL US Equity","BS_ST_BORROW","1993-06-18","2026-05-02","Per=Y","Days=T","Dir=V")</f>
        <v>0</v>
      </c>
      <c r="I2">
        <f>BDH("OPAL US Equity","BS_LT_BORROW","1993-06-18","2026-05-02","Per=Y","Days=T","Dir=V")</f>
        <v>0</v>
      </c>
      <c r="K2">
        <f>BDH("OPAL US Equity","BS_CASH_NEAR_CASH_ITEM","1993-06-18","2026-05-02","Per=Y","Days=T","Dir=V")</f>
        <v>0</v>
      </c>
      <c r="M2">
        <f>BDH("OPAL US Equity","BS_CUR_ASSET_REPORT","1993-06-18","2026-05-02","Per=Y","Days=T","Dir=V")</f>
        <v>0</v>
      </c>
      <c r="O2">
        <f>BDH("OPAL US Equity","BS_CUR_LIAB","1993-06-18","2026-05-02","Per=Y","Days=T","Dir=V")</f>
        <v>0</v>
      </c>
      <c r="Q2">
        <f>BDH("OPAL US Equity","BS_SHAREHOLDER_EQY_ENDING_PERIOD","1993-06-18","2026-05-02","Per=Y","Days=T","Dir=V")</f>
        <v>0</v>
      </c>
      <c r="S2">
        <f>BDH("OPAL US Equity","BS_ACCT_NOTE_RCV","1993-06-18","2026-05-02","Per=Y","Days=T","Dir=V")</f>
        <v>0</v>
      </c>
      <c r="U2">
        <f>BDH("OPAL US Equity","BS_INVENTORIES","1993-06-18","2026-05-02","Per=Y","Days=T","Dir=V")</f>
        <v>0</v>
      </c>
      <c r="W2">
        <f>BDH("OPAL US Equity","WORKING_CAPITAL","1993-06-18","2026-05-02","Per=Y","Days=T","Dir=V")</f>
        <v>0</v>
      </c>
      <c r="Y2">
        <f>BDH("OPAL US Equity","SALES_REV_TURN","1993-06-18","2026-05-02","Per=Y","Days=T","Dir=V")</f>
        <v>0</v>
      </c>
      <c r="AA2">
        <f>BDH("OPAL US Equity","EBIT","1993-06-18","2026-05-02","Per=Y","Days=T","Dir=V")</f>
        <v>0</v>
      </c>
      <c r="AC2">
        <f>BDH("OPAL US Equity","EBITDA","1993-06-18","2026-05-02","Per=Y","Days=T","Dir=V")</f>
        <v>0</v>
      </c>
      <c r="AE2">
        <f>BDH("OPAL US Equity","NET_INCOME","1993-06-18","2026-05-02","Per=Y","Days=T","Dir=V")</f>
        <v>0</v>
      </c>
      <c r="AG2">
        <f>BDH("OPAL US Equity","IS_INT_EXPENSE","1993-06-18","2026-05-02","Per=Y","Days=T","Dir=V")</f>
        <v>0</v>
      </c>
      <c r="AI2">
        <f>BDH("OPAL US Equity","IS_DEPR_EXP","1993-06-18","2026-05-02","Per=Y","Days=T","Dir=V")</f>
        <v>0</v>
      </c>
      <c r="AK2">
        <f>BDH("OPAL US Equity","CF_CASH_FROM_OPER","1993-06-18","2026-05-02","Per=Y","Days=T","Dir=V")</f>
        <v>0</v>
      </c>
      <c r="AM2">
        <f>BDH("OPAL US Equity","CAPITAL_EXPEND","1993-06-18","2026-05-02","Per=Y","Days=T","Dir=V")</f>
        <v>0</v>
      </c>
      <c r="AO2">
        <f>BDH("OPAL US Equity","CF_FREE_CASH_FLOW","1993-06-18","2026-05-02","Per=Y","Days=T","Dir=V")</f>
        <v>0</v>
      </c>
      <c r="AQ2">
        <f>BDH("OPAL US Equity","PX_LAST","1993-06-18","2026-05-02","Per=M","Days=T","Dir=V")</f>
        <v>0</v>
      </c>
      <c r="AS2">
        <f>BDH("OPAL US Equity","CUR_MKT_CAP","1993-06-18","2026-05-02","Per=M","Days=T","Dir=V")</f>
        <v>0</v>
      </c>
      <c r="AU2">
        <f>BDH("OPAL US Equity","EQY_SH_OUT","1993-06-18","2026-05-02","Per=M","Days=T","Dir=V")</f>
        <v>0</v>
      </c>
      <c r="AW2">
        <f>BDH("OPAL US Equity","PX_VOLUME","1993-06-18","2026-05-02","Per=M","Days=T","Dir=V")</f>
        <v>0</v>
      </c>
      <c r="AY2">
        <f>BDH("OPAL US Equity","TURNOVER","1993-06-18","2026-05-02","Per=M","Days=T","Dir=V")</f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BDH("OPCH US Equity","BS_TOT_ASSET","1993-06-18","2026-05-02","Per=Y","Days=T","Dir=V")</f>
        <v>0</v>
      </c>
      <c r="C2">
        <f>BDH("OPCH US Equity","BS_TOT_LIAB2","1993-06-18","2026-05-02","Per=Y","Days=T","Dir=V")</f>
        <v>0</v>
      </c>
      <c r="E2">
        <f>BDH("OPCH US Equity","SHORT_AND_LONG_TERM_DEBT","1993-06-18","2026-05-02","Per=Y","Days=T","Dir=V")</f>
        <v>0</v>
      </c>
      <c r="G2">
        <f>BDH("OPCH US Equity","BS_ST_BORROW","1993-06-18","2026-05-02","Per=Y","Days=T","Dir=V")</f>
        <v>0</v>
      </c>
      <c r="I2">
        <f>BDH("OPCH US Equity","BS_LT_BORROW","1993-06-18","2026-05-02","Per=Y","Days=T","Dir=V")</f>
        <v>0</v>
      </c>
      <c r="K2">
        <f>BDH("OPCH US Equity","BS_CASH_NEAR_CASH_ITEM","1993-06-18","2026-05-02","Per=Y","Days=T","Dir=V")</f>
        <v>0</v>
      </c>
      <c r="M2">
        <f>BDH("OPCH US Equity","BS_CUR_ASSET_REPORT","1993-06-18","2026-05-02","Per=Y","Days=T","Dir=V")</f>
        <v>0</v>
      </c>
      <c r="O2">
        <f>BDH("OPCH US Equity","BS_CUR_LIAB","1993-06-18","2026-05-02","Per=Y","Days=T","Dir=V")</f>
        <v>0</v>
      </c>
      <c r="Q2">
        <f>BDH("OPCH US Equity","BS_SHAREHOLDER_EQY_ENDING_PERIOD","1993-06-18","2026-05-02","Per=Y","Days=T","Dir=V")</f>
        <v>0</v>
      </c>
      <c r="S2">
        <f>BDH("OPCH US Equity","BS_ACCT_NOTE_RCV","1993-06-18","2026-05-02","Per=Y","Days=T","Dir=V")</f>
        <v>0</v>
      </c>
      <c r="U2">
        <f>BDH("OPCH US Equity","BS_INVENTORIES","1993-06-18","2026-05-02","Per=Y","Days=T","Dir=V")</f>
        <v>0</v>
      </c>
      <c r="W2">
        <f>BDH("OPCH US Equity","WORKING_CAPITAL","1993-06-18","2026-05-02","Per=Y","Days=T","Dir=V")</f>
        <v>0</v>
      </c>
      <c r="Y2">
        <f>BDH("OPCH US Equity","SALES_REV_TURN","1993-06-18","2026-05-02","Per=Y","Days=T","Dir=V")</f>
        <v>0</v>
      </c>
      <c r="AA2">
        <f>BDH("OPCH US Equity","EBIT","1993-06-18","2026-05-02","Per=Y","Days=T","Dir=V")</f>
        <v>0</v>
      </c>
      <c r="AC2">
        <f>BDH("OPCH US Equity","EBITDA","1993-06-18","2026-05-02","Per=Y","Days=T","Dir=V")</f>
        <v>0</v>
      </c>
      <c r="AE2">
        <f>BDH("OPCH US Equity","NET_INCOME","1993-06-18","2026-05-02","Per=Y","Days=T","Dir=V")</f>
        <v>0</v>
      </c>
      <c r="AG2">
        <f>BDH("OPCH US Equity","IS_INT_EXPENSE","1993-06-18","2026-05-02","Per=Y","Days=T","Dir=V")</f>
        <v>0</v>
      </c>
      <c r="AI2">
        <f>BDH("OPCH US Equity","IS_DEPR_EXP","1993-06-18","2026-05-02","Per=Y","Days=T","Dir=V")</f>
        <v>0</v>
      </c>
      <c r="AK2">
        <f>BDH("OPCH US Equity","CF_CASH_FROM_OPER","1993-06-18","2026-05-02","Per=Y","Days=T","Dir=V")</f>
        <v>0</v>
      </c>
      <c r="AM2">
        <f>BDH("OPCH US Equity","CAPITAL_EXPEND","1993-06-18","2026-05-02","Per=Y","Days=T","Dir=V")</f>
        <v>0</v>
      </c>
      <c r="AO2">
        <f>BDH("OPCH US Equity","CF_FREE_CASH_FLOW","1993-06-18","2026-05-02","Per=Y","Days=T","Dir=V")</f>
        <v>0</v>
      </c>
      <c r="AQ2">
        <f>BDH("OPCH US Equity","PX_LAST","1993-06-18","2026-05-02","Per=M","Days=T","Dir=V")</f>
        <v>0</v>
      </c>
      <c r="AS2">
        <f>BDH("OPCH US Equity","CUR_MKT_CAP","1993-06-18","2026-05-02","Per=M","Days=T","Dir=V")</f>
        <v>0</v>
      </c>
      <c r="AU2">
        <f>BDH("OPCH US Equity","EQY_SH_OUT","1993-06-18","2026-05-02","Per=M","Days=T","Dir=V")</f>
        <v>0</v>
      </c>
      <c r="AW2">
        <f>BDH("OPCH US Equity","PX_VOLUME","1993-06-18","2026-05-02","Per=M","Days=T","Dir=V")</f>
        <v>0</v>
      </c>
      <c r="AY2">
        <f>BDH("OPCH US Equity","TURNOVER","1993-06-18","2026-05-02","Per=M","Days=T","Dir=V")</f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BDH("OPK US Equity","BS_TOT_ASSET","1993-06-18","2026-05-02","Per=Y","Days=T","Dir=V")</f>
        <v>0</v>
      </c>
      <c r="C2">
        <f>BDH("OPK US Equity","BS_TOT_LIAB2","1993-06-18","2026-05-02","Per=Y","Days=T","Dir=V")</f>
        <v>0</v>
      </c>
      <c r="E2">
        <f>BDH("OPK US Equity","SHORT_AND_LONG_TERM_DEBT","1993-06-18","2026-05-02","Per=Y","Days=T","Dir=V")</f>
        <v>0</v>
      </c>
      <c r="G2">
        <f>BDH("OPK US Equity","BS_ST_BORROW","1993-06-18","2026-05-02","Per=Y","Days=T","Dir=V")</f>
        <v>0</v>
      </c>
      <c r="I2">
        <f>BDH("OPK US Equity","BS_LT_BORROW","1993-06-18","2026-05-02","Per=Y","Days=T","Dir=V")</f>
        <v>0</v>
      </c>
      <c r="K2">
        <f>BDH("OPK US Equity","BS_CASH_NEAR_CASH_ITEM","1993-06-18","2026-05-02","Per=Y","Days=T","Dir=V")</f>
        <v>0</v>
      </c>
      <c r="M2">
        <f>BDH("OPK US Equity","BS_CUR_ASSET_REPORT","1993-06-18","2026-05-02","Per=Y","Days=T","Dir=V")</f>
        <v>0</v>
      </c>
      <c r="O2">
        <f>BDH("OPK US Equity","BS_CUR_LIAB","1993-06-18","2026-05-02","Per=Y","Days=T","Dir=V")</f>
        <v>0</v>
      </c>
      <c r="Q2">
        <f>BDH("OPK US Equity","BS_SHAREHOLDER_EQY_ENDING_PERIOD","1993-06-18","2026-05-02","Per=Y","Days=T","Dir=V")</f>
        <v>0</v>
      </c>
      <c r="S2">
        <f>BDH("OPK US Equity","BS_ACCT_NOTE_RCV","1993-06-18","2026-05-02","Per=Y","Days=T","Dir=V")</f>
        <v>0</v>
      </c>
      <c r="U2">
        <f>BDH("OPK US Equity","BS_INVENTORIES","1993-06-18","2026-05-02","Per=Y","Days=T","Dir=V")</f>
        <v>0</v>
      </c>
      <c r="W2">
        <f>BDH("OPK US Equity","WORKING_CAPITAL","1993-06-18","2026-05-02","Per=Y","Days=T","Dir=V")</f>
        <v>0</v>
      </c>
      <c r="Y2">
        <f>BDH("OPK US Equity","SALES_REV_TURN","1993-06-18","2026-05-02","Per=Y","Days=T","Dir=V")</f>
        <v>0</v>
      </c>
      <c r="AA2">
        <f>BDH("OPK US Equity","EBIT","1993-06-18","2026-05-02","Per=Y","Days=T","Dir=V")</f>
        <v>0</v>
      </c>
      <c r="AC2">
        <f>BDH("OPK US Equity","EBITDA","1993-06-18","2026-05-02","Per=Y","Days=T","Dir=V")</f>
        <v>0</v>
      </c>
      <c r="AE2">
        <f>BDH("OPK US Equity","NET_INCOME","1993-06-18","2026-05-02","Per=Y","Days=T","Dir=V")</f>
        <v>0</v>
      </c>
      <c r="AG2">
        <f>BDH("OPK US Equity","IS_INT_EXPENSE","1993-06-18","2026-05-02","Per=Y","Days=T","Dir=V")</f>
        <v>0</v>
      </c>
      <c r="AI2">
        <f>BDH("OPK US Equity","IS_DEPR_EXP","1993-06-18","2026-05-02","Per=Y","Days=T","Dir=V")</f>
        <v>0</v>
      </c>
      <c r="AK2">
        <f>BDH("OPK US Equity","CF_CASH_FROM_OPER","1993-06-18","2026-05-02","Per=Y","Days=T","Dir=V")</f>
        <v>0</v>
      </c>
      <c r="AM2">
        <f>BDH("OPK US Equity","CAPITAL_EXPEND","1993-06-18","2026-05-02","Per=Y","Days=T","Dir=V")</f>
        <v>0</v>
      </c>
      <c r="AO2">
        <f>BDH("OPK US Equity","CF_FREE_CASH_FLOW","1993-06-18","2026-05-02","Per=Y","Days=T","Dir=V")</f>
        <v>0</v>
      </c>
      <c r="AQ2">
        <f>BDH("OPK US Equity","PX_LAST","1993-06-18","2026-05-02","Per=M","Days=T","Dir=V")</f>
        <v>0</v>
      </c>
      <c r="AS2">
        <f>BDH("OPK US Equity","CUR_MKT_CAP","1993-06-18","2026-05-02","Per=M","Days=T","Dir=V")</f>
        <v>0</v>
      </c>
      <c r="AU2">
        <f>BDH("OPK US Equity","EQY_SH_OUT","1993-06-18","2026-05-02","Per=M","Days=T","Dir=V")</f>
        <v>0</v>
      </c>
      <c r="AW2">
        <f>BDH("OPK US Equity","PX_VOLUME","1993-06-18","2026-05-02","Per=M","Days=T","Dir=V")</f>
        <v>0</v>
      </c>
      <c r="AY2">
        <f>BDH("OPK US Equity","TURNOVER","1993-06-18","2026-05-02","Per=M","Days=T","Dir=V")</f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BDH("OPLN US Equity","BS_TOT_ASSET","1993-06-18","2026-05-02","Per=Y","Days=T","Dir=V")</f>
        <v>0</v>
      </c>
      <c r="C2">
        <f>BDH("OPLN US Equity","BS_TOT_LIAB2","1993-06-18","2026-05-02","Per=Y","Days=T","Dir=V")</f>
        <v>0</v>
      </c>
      <c r="E2">
        <f>BDH("OPLN US Equity","SHORT_AND_LONG_TERM_DEBT","1993-06-18","2026-05-02","Per=Y","Days=T","Dir=V")</f>
        <v>0</v>
      </c>
      <c r="G2">
        <f>BDH("OPLN US Equity","BS_ST_BORROW","1993-06-18","2026-05-02","Per=Y","Days=T","Dir=V")</f>
        <v>0</v>
      </c>
      <c r="I2">
        <f>BDH("OPLN US Equity","BS_LT_BORROW","1993-06-18","2026-05-02","Per=Y","Days=T","Dir=V")</f>
        <v>0</v>
      </c>
      <c r="K2">
        <f>BDH("OPLN US Equity","BS_CASH_NEAR_CASH_ITEM","1993-06-18","2026-05-02","Per=Y","Days=T","Dir=V")</f>
        <v>0</v>
      </c>
      <c r="M2">
        <f>BDH("OPLN US Equity","BS_CUR_ASSET_REPORT","1993-06-18","2026-05-02","Per=Y","Days=T","Dir=V")</f>
        <v>0</v>
      </c>
      <c r="O2">
        <f>BDH("OPLN US Equity","BS_CUR_LIAB","1993-06-18","2026-05-02","Per=Y","Days=T","Dir=V")</f>
        <v>0</v>
      </c>
      <c r="Q2">
        <f>BDH("OPLN US Equity","BS_SHAREHOLDER_EQY_ENDING_PERIOD","1993-06-18","2026-05-02","Per=Y","Days=T","Dir=V")</f>
        <v>0</v>
      </c>
      <c r="S2">
        <f>BDH("OPLN US Equity","BS_ACCT_NOTE_RCV","1993-06-18","2026-05-02","Per=Y","Days=T","Dir=V")</f>
        <v>0</v>
      </c>
      <c r="U2">
        <f>BDH("OPLN US Equity","BS_INVENTORIES","1993-06-18","2026-05-02","Per=Y","Days=T","Dir=V")</f>
        <v>0</v>
      </c>
      <c r="W2">
        <f>BDH("OPLN US Equity","WORKING_CAPITAL","1993-06-18","2026-05-02","Per=Y","Days=T","Dir=V")</f>
        <v>0</v>
      </c>
      <c r="Y2">
        <f>BDH("OPLN US Equity","SALES_REV_TURN","1993-06-18","2026-05-02","Per=Y","Days=T","Dir=V")</f>
        <v>0</v>
      </c>
      <c r="AA2">
        <f>BDH("OPLN US Equity","EBIT","1993-06-18","2026-05-02","Per=Y","Days=T","Dir=V")</f>
        <v>0</v>
      </c>
      <c r="AC2">
        <f>BDH("OPLN US Equity","EBITDA","1993-06-18","2026-05-02","Per=Y","Days=T","Dir=V")</f>
        <v>0</v>
      </c>
      <c r="AE2">
        <f>BDH("OPLN US Equity","NET_INCOME","1993-06-18","2026-05-02","Per=Y","Days=T","Dir=V")</f>
        <v>0</v>
      </c>
      <c r="AG2">
        <f>BDH("OPLN US Equity","IS_INT_EXPENSE","1993-06-18","2026-05-02","Per=Y","Days=T","Dir=V")</f>
        <v>0</v>
      </c>
      <c r="AI2">
        <f>BDH("OPLN US Equity","IS_DEPR_EXP","1993-06-18","2026-05-02","Per=Y","Days=T","Dir=V")</f>
        <v>0</v>
      </c>
      <c r="AK2">
        <f>BDH("OPLN US Equity","CF_CASH_FROM_OPER","1993-06-18","2026-05-02","Per=Y","Days=T","Dir=V")</f>
        <v>0</v>
      </c>
      <c r="AM2">
        <f>BDH("OPLN US Equity","CAPITAL_EXPEND","1993-06-18","2026-05-02","Per=Y","Days=T","Dir=V")</f>
        <v>0</v>
      </c>
      <c r="AO2">
        <f>BDH("OPLN US Equity","CF_FREE_CASH_FLOW","1993-06-18","2026-05-02","Per=Y","Days=T","Dir=V")</f>
        <v>0</v>
      </c>
      <c r="AQ2">
        <f>BDH("OPLN US Equity","PX_LAST","1993-06-18","2026-05-02","Per=M","Days=T","Dir=V")</f>
        <v>0</v>
      </c>
      <c r="AS2">
        <f>BDH("OPLN US Equity","CUR_MKT_CAP","1993-06-18","2026-05-02","Per=M","Days=T","Dir=V")</f>
        <v>0</v>
      </c>
      <c r="AU2">
        <f>BDH("OPLN US Equity","EQY_SH_OUT","1993-06-18","2026-05-02","Per=M","Days=T","Dir=V")</f>
        <v>0</v>
      </c>
      <c r="AW2">
        <f>BDH("OPLN US Equity","PX_VOLUME","1993-06-18","2026-05-02","Per=M","Days=T","Dir=V")</f>
        <v>0</v>
      </c>
      <c r="AY2">
        <f>BDH("OPLN US Equity","TURNOVER","1993-06-18","2026-05-02","Per=M","Days=T","Dir=V")</f>
        <v>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BDH("OPRX US Equity","BS_TOT_ASSET","1993-06-18","2026-05-02","Per=Y","Days=T","Dir=V")</f>
        <v>0</v>
      </c>
      <c r="C2">
        <f>BDH("OPRX US Equity","BS_TOT_LIAB2","1993-06-18","2026-05-02","Per=Y","Days=T","Dir=V")</f>
        <v>0</v>
      </c>
      <c r="E2">
        <f>BDH("OPRX US Equity","SHORT_AND_LONG_TERM_DEBT","1993-06-18","2026-05-02","Per=Y","Days=T","Dir=V")</f>
        <v>0</v>
      </c>
      <c r="G2">
        <f>BDH("OPRX US Equity","BS_ST_BORROW","1993-06-18","2026-05-02","Per=Y","Days=T","Dir=V")</f>
        <v>0</v>
      </c>
      <c r="I2">
        <f>BDH("OPRX US Equity","BS_LT_BORROW","1993-06-18","2026-05-02","Per=Y","Days=T","Dir=V")</f>
        <v>0</v>
      </c>
      <c r="K2">
        <f>BDH("OPRX US Equity","BS_CASH_NEAR_CASH_ITEM","1993-06-18","2026-05-02","Per=Y","Days=T","Dir=V")</f>
        <v>0</v>
      </c>
      <c r="M2">
        <f>BDH("OPRX US Equity","BS_CUR_ASSET_REPORT","1993-06-18","2026-05-02","Per=Y","Days=T","Dir=V")</f>
        <v>0</v>
      </c>
      <c r="O2">
        <f>BDH("OPRX US Equity","BS_CUR_LIAB","1993-06-18","2026-05-02","Per=Y","Days=T","Dir=V")</f>
        <v>0</v>
      </c>
      <c r="Q2">
        <f>BDH("OPRX US Equity","BS_SHAREHOLDER_EQY_ENDING_PERIOD","1993-06-18","2026-05-02","Per=Y","Days=T","Dir=V")</f>
        <v>0</v>
      </c>
      <c r="S2">
        <f>BDH("OPRX US Equity","BS_ACCT_NOTE_RCV","1993-06-18","2026-05-02","Per=Y","Days=T","Dir=V")</f>
        <v>0</v>
      </c>
      <c r="U2">
        <f>BDH("OPRX US Equity","BS_INVENTORIES","1993-06-18","2026-05-02","Per=Y","Days=T","Dir=V")</f>
        <v>0</v>
      </c>
      <c r="W2">
        <f>BDH("OPRX US Equity","WORKING_CAPITAL","1993-06-18","2026-05-02","Per=Y","Days=T","Dir=V")</f>
        <v>0</v>
      </c>
      <c r="Y2">
        <f>BDH("OPRX US Equity","SALES_REV_TURN","1993-06-18","2026-05-02","Per=Y","Days=T","Dir=V")</f>
        <v>0</v>
      </c>
      <c r="AA2">
        <f>BDH("OPRX US Equity","EBIT","1993-06-18","2026-05-02","Per=Y","Days=T","Dir=V")</f>
        <v>0</v>
      </c>
      <c r="AC2">
        <f>BDH("OPRX US Equity","EBITDA","1993-06-18","2026-05-02","Per=Y","Days=T","Dir=V")</f>
        <v>0</v>
      </c>
      <c r="AE2">
        <f>BDH("OPRX US Equity","NET_INCOME","1993-06-18","2026-05-02","Per=Y","Days=T","Dir=V")</f>
        <v>0</v>
      </c>
      <c r="AG2">
        <f>BDH("OPRX US Equity","IS_INT_EXPENSE","1993-06-18","2026-05-02","Per=Y","Days=T","Dir=V")</f>
        <v>0</v>
      </c>
      <c r="AI2">
        <f>BDH("OPRX US Equity","IS_DEPR_EXP","1993-06-18","2026-05-02","Per=Y","Days=T","Dir=V")</f>
        <v>0</v>
      </c>
      <c r="AK2">
        <f>BDH("OPRX US Equity","CF_CASH_FROM_OPER","1993-06-18","2026-05-02","Per=Y","Days=T","Dir=V")</f>
        <v>0</v>
      </c>
      <c r="AM2">
        <f>BDH("OPRX US Equity","CAPITAL_EXPEND","1993-06-18","2026-05-02","Per=Y","Days=T","Dir=V")</f>
        <v>0</v>
      </c>
      <c r="AO2">
        <f>BDH("OPRX US Equity","CF_FREE_CASH_FLOW","1993-06-18","2026-05-02","Per=Y","Days=T","Dir=V")</f>
        <v>0</v>
      </c>
      <c r="AQ2">
        <f>BDH("OPRX US Equity","PX_LAST","1993-06-18","2026-05-02","Per=M","Days=T","Dir=V")</f>
        <v>0</v>
      </c>
      <c r="AS2">
        <f>BDH("OPRX US Equity","CUR_MKT_CAP","1993-06-18","2026-05-02","Per=M","Days=T","Dir=V")</f>
        <v>0</v>
      </c>
      <c r="AU2">
        <f>BDH("OPRX US Equity","EQY_SH_OUT","1993-06-18","2026-05-02","Per=M","Days=T","Dir=V")</f>
        <v>0</v>
      </c>
      <c r="AW2">
        <f>BDH("OPRX US Equity","PX_VOLUME","1993-06-18","2026-05-02","Per=M","Days=T","Dir=V")</f>
        <v>0</v>
      </c>
      <c r="AY2">
        <f>BDH("OPRX US Equity","TURNOVER","1993-06-18","2026-05-02","Per=M","Days=T","Dir=V")</f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BDH("OPTT US Equity","BS_TOT_ASSET","1993-06-18","2026-05-02","Per=Y","Days=T","Dir=V")</f>
        <v>0</v>
      </c>
      <c r="C2">
        <f>BDH("OPTT US Equity","BS_TOT_LIAB2","1993-06-18","2026-05-02","Per=Y","Days=T","Dir=V")</f>
        <v>0</v>
      </c>
      <c r="E2">
        <f>BDH("OPTT US Equity","SHORT_AND_LONG_TERM_DEBT","1993-06-18","2026-05-02","Per=Y","Days=T","Dir=V")</f>
        <v>0</v>
      </c>
      <c r="G2">
        <f>BDH("OPTT US Equity","BS_ST_BORROW","1993-06-18","2026-05-02","Per=Y","Days=T","Dir=V")</f>
        <v>0</v>
      </c>
      <c r="I2">
        <f>BDH("OPTT US Equity","BS_LT_BORROW","1993-06-18","2026-05-02","Per=Y","Days=T","Dir=V")</f>
        <v>0</v>
      </c>
      <c r="K2">
        <f>BDH("OPTT US Equity","BS_CASH_NEAR_CASH_ITEM","1993-06-18","2026-05-02","Per=Y","Days=T","Dir=V")</f>
        <v>0</v>
      </c>
      <c r="M2">
        <f>BDH("OPTT US Equity","BS_CUR_ASSET_REPORT","1993-06-18","2026-05-02","Per=Y","Days=T","Dir=V")</f>
        <v>0</v>
      </c>
      <c r="O2">
        <f>BDH("OPTT US Equity","BS_CUR_LIAB","1993-06-18","2026-05-02","Per=Y","Days=T","Dir=V")</f>
        <v>0</v>
      </c>
      <c r="Q2">
        <f>BDH("OPTT US Equity","BS_SHAREHOLDER_EQY_ENDING_PERIOD","1993-06-18","2026-05-02","Per=Y","Days=T","Dir=V")</f>
        <v>0</v>
      </c>
      <c r="S2">
        <f>BDH("OPTT US Equity","BS_ACCT_NOTE_RCV","1993-06-18","2026-05-02","Per=Y","Days=T","Dir=V")</f>
        <v>0</v>
      </c>
      <c r="U2">
        <f>BDH("OPTT US Equity","BS_INVENTORIES","1993-06-18","2026-05-02","Per=Y","Days=T","Dir=V")</f>
        <v>0</v>
      </c>
      <c r="W2">
        <f>BDH("OPTT US Equity","WORKING_CAPITAL","1993-06-18","2026-05-02","Per=Y","Days=T","Dir=V")</f>
        <v>0</v>
      </c>
      <c r="Y2">
        <f>BDH("OPTT US Equity","SALES_REV_TURN","1993-06-18","2026-05-02","Per=Y","Days=T","Dir=V")</f>
        <v>0</v>
      </c>
      <c r="AA2">
        <f>BDH("OPTT US Equity","EBIT","1993-06-18","2026-05-02","Per=Y","Days=T","Dir=V")</f>
        <v>0</v>
      </c>
      <c r="AC2">
        <f>BDH("OPTT US Equity","EBITDA","1993-06-18","2026-05-02","Per=Y","Days=T","Dir=V")</f>
        <v>0</v>
      </c>
      <c r="AE2">
        <f>BDH("OPTT US Equity","NET_INCOME","1993-06-18","2026-05-02","Per=Y","Days=T","Dir=V")</f>
        <v>0</v>
      </c>
      <c r="AG2">
        <f>BDH("OPTT US Equity","IS_INT_EXPENSE","1993-06-18","2026-05-02","Per=Y","Days=T","Dir=V")</f>
        <v>0</v>
      </c>
      <c r="AI2">
        <f>BDH("OPTT US Equity","IS_DEPR_EXP","1993-06-18","2026-05-02","Per=Y","Days=T","Dir=V")</f>
        <v>0</v>
      </c>
      <c r="AK2">
        <f>BDH("OPTT US Equity","CF_CASH_FROM_OPER","1993-06-18","2026-05-02","Per=Y","Days=T","Dir=V")</f>
        <v>0</v>
      </c>
      <c r="AM2">
        <f>BDH("OPTT US Equity","CAPITAL_EXPEND","1993-06-18","2026-05-02","Per=Y","Days=T","Dir=V")</f>
        <v>0</v>
      </c>
      <c r="AO2">
        <f>BDH("OPTT US Equity","CF_FREE_CASH_FLOW","1993-06-18","2026-05-02","Per=Y","Days=T","Dir=V")</f>
        <v>0</v>
      </c>
      <c r="AQ2">
        <f>BDH("OPTT US Equity","PX_LAST","1993-06-18","2026-05-02","Per=M","Days=T","Dir=V")</f>
        <v>0</v>
      </c>
      <c r="AS2">
        <f>BDH("OPTT US Equity","CUR_MKT_CAP","1993-06-18","2026-05-02","Per=M","Days=T","Dir=V")</f>
        <v>0</v>
      </c>
      <c r="AU2">
        <f>BDH("OPTT US Equity","EQY_SH_OUT","1993-06-18","2026-05-02","Per=M","Days=T","Dir=V")</f>
        <v>0</v>
      </c>
      <c r="AW2">
        <f>BDH("OPTT US Equity","PX_VOLUME","1993-06-18","2026-05-02","Per=M","Days=T","Dir=V")</f>
        <v>0</v>
      </c>
      <c r="AY2">
        <f>BDH("OPTT US Equity","TURNOVER","1993-06-18","2026-05-02","Per=M","Days=T","Dir=V")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BDH("OPTU US Equity","BS_TOT_ASSET","1993-06-18","2026-05-02","Per=Y","Days=T","Dir=V")</f>
        <v>0</v>
      </c>
      <c r="C2">
        <f>BDH("OPTU US Equity","BS_TOT_LIAB2","1993-06-18","2026-05-02","Per=Y","Days=T","Dir=V")</f>
        <v>0</v>
      </c>
      <c r="E2">
        <f>BDH("OPTU US Equity","SHORT_AND_LONG_TERM_DEBT","1993-06-18","2026-05-02","Per=Y","Days=T","Dir=V")</f>
        <v>0</v>
      </c>
      <c r="G2">
        <f>BDH("OPTU US Equity","BS_ST_BORROW","1993-06-18","2026-05-02","Per=Y","Days=T","Dir=V")</f>
        <v>0</v>
      </c>
      <c r="I2">
        <f>BDH("OPTU US Equity","BS_LT_BORROW","1993-06-18","2026-05-02","Per=Y","Days=T","Dir=V")</f>
        <v>0</v>
      </c>
      <c r="K2">
        <f>BDH("OPTU US Equity","BS_CASH_NEAR_CASH_ITEM","1993-06-18","2026-05-02","Per=Y","Days=T","Dir=V")</f>
        <v>0</v>
      </c>
      <c r="M2">
        <f>BDH("OPTU US Equity","BS_CUR_ASSET_REPORT","1993-06-18","2026-05-02","Per=Y","Days=T","Dir=V")</f>
        <v>0</v>
      </c>
      <c r="O2">
        <f>BDH("OPTU US Equity","BS_CUR_LIAB","1993-06-18","2026-05-02","Per=Y","Days=T","Dir=V")</f>
        <v>0</v>
      </c>
      <c r="Q2">
        <f>BDH("OPTU US Equity","BS_SHAREHOLDER_EQY_ENDING_PERIOD","1993-06-18","2026-05-02","Per=Y","Days=T","Dir=V")</f>
        <v>0</v>
      </c>
      <c r="S2">
        <f>BDH("OPTU US Equity","BS_ACCT_NOTE_RCV","1993-06-18","2026-05-02","Per=Y","Days=T","Dir=V")</f>
        <v>0</v>
      </c>
      <c r="U2">
        <f>BDH("OPTU US Equity","BS_INVENTORIES","1993-06-18","2026-05-02","Per=Y","Days=T","Dir=V")</f>
        <v>0</v>
      </c>
      <c r="W2">
        <f>BDH("OPTU US Equity","WORKING_CAPITAL","1993-06-18","2026-05-02","Per=Y","Days=T","Dir=V")</f>
        <v>0</v>
      </c>
      <c r="Y2">
        <f>BDH("OPTU US Equity","SALES_REV_TURN","1993-06-18","2026-05-02","Per=Y","Days=T","Dir=V")</f>
        <v>0</v>
      </c>
      <c r="AA2">
        <f>BDH("OPTU US Equity","EBIT","1993-06-18","2026-05-02","Per=Y","Days=T","Dir=V")</f>
        <v>0</v>
      </c>
      <c r="AC2">
        <f>BDH("OPTU US Equity","EBITDA","1993-06-18","2026-05-02","Per=Y","Days=T","Dir=V")</f>
        <v>0</v>
      </c>
      <c r="AE2">
        <f>BDH("OPTU US Equity","NET_INCOME","1993-06-18","2026-05-02","Per=Y","Days=T","Dir=V")</f>
        <v>0</v>
      </c>
      <c r="AG2">
        <f>BDH("OPTU US Equity","IS_INT_EXPENSE","1993-06-18","2026-05-02","Per=Y","Days=T","Dir=V")</f>
        <v>0</v>
      </c>
      <c r="AI2">
        <f>BDH("OPTU US Equity","IS_DEPR_EXP","1993-06-18","2026-05-02","Per=Y","Days=T","Dir=V")</f>
        <v>0</v>
      </c>
      <c r="AK2">
        <f>BDH("OPTU US Equity","CF_CASH_FROM_OPER","1993-06-18","2026-05-02","Per=Y","Days=T","Dir=V")</f>
        <v>0</v>
      </c>
      <c r="AM2">
        <f>BDH("OPTU US Equity","CAPITAL_EXPEND","1993-06-18","2026-05-02","Per=Y","Days=T","Dir=V")</f>
        <v>0</v>
      </c>
      <c r="AO2">
        <f>BDH("OPTU US Equity","CF_FREE_CASH_FLOW","1993-06-18","2026-05-02","Per=Y","Days=T","Dir=V")</f>
        <v>0</v>
      </c>
      <c r="AQ2">
        <f>BDH("OPTU US Equity","PX_LAST","1993-06-18","2026-05-02","Per=M","Days=T","Dir=V")</f>
        <v>0</v>
      </c>
      <c r="AS2">
        <f>BDH("OPTU US Equity","CUR_MKT_CAP","1993-06-18","2026-05-02","Per=M","Days=T","Dir=V")</f>
        <v>0</v>
      </c>
      <c r="AU2">
        <f>BDH("OPTU US Equity","EQY_SH_OUT","1993-06-18","2026-05-02","Per=M","Days=T","Dir=V")</f>
        <v>0</v>
      </c>
      <c r="AW2">
        <f>BDH("OPTU US Equity","PX_VOLUME","1993-06-18","2026-05-02","Per=M","Days=T","Dir=V")</f>
        <v>0</v>
      </c>
      <c r="AY2">
        <f>BDH("OPTU US Equity","TURNOVER","1993-06-18","2026-05-02","Per=M","Days=T","Dir=V")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BDH("OPTX US Equity","BS_TOT_ASSET","1993-06-18","2026-05-02","Per=Y","Days=T","Dir=V")</f>
        <v>0</v>
      </c>
      <c r="C2">
        <f>BDH("OPTX US Equity","BS_TOT_LIAB2","1993-06-18","2026-05-02","Per=Y","Days=T","Dir=V")</f>
        <v>0</v>
      </c>
      <c r="E2">
        <f>BDH("OPTX US Equity","SHORT_AND_LONG_TERM_DEBT","1993-06-18","2026-05-02","Per=Y","Days=T","Dir=V")</f>
        <v>0</v>
      </c>
      <c r="G2">
        <f>BDH("OPTX US Equity","BS_ST_BORROW","1993-06-18","2026-05-02","Per=Y","Days=T","Dir=V")</f>
        <v>0</v>
      </c>
      <c r="I2">
        <f>BDH("OPTX US Equity","BS_LT_BORROW","1993-06-18","2026-05-02","Per=Y","Days=T","Dir=V")</f>
        <v>0</v>
      </c>
      <c r="K2">
        <f>BDH("OPTX US Equity","BS_CASH_NEAR_CASH_ITEM","1993-06-18","2026-05-02","Per=Y","Days=T","Dir=V")</f>
        <v>0</v>
      </c>
      <c r="M2">
        <f>BDH("OPTX US Equity","BS_CUR_ASSET_REPORT","1993-06-18","2026-05-02","Per=Y","Days=T","Dir=V")</f>
        <v>0</v>
      </c>
      <c r="O2">
        <f>BDH("OPTX US Equity","BS_CUR_LIAB","1993-06-18","2026-05-02","Per=Y","Days=T","Dir=V")</f>
        <v>0</v>
      </c>
      <c r="Q2">
        <f>BDH("OPTX US Equity","BS_SHAREHOLDER_EQY_ENDING_PERIOD","1993-06-18","2026-05-02","Per=Y","Days=T","Dir=V")</f>
        <v>0</v>
      </c>
      <c r="S2">
        <f>BDH("OPTX US Equity","BS_ACCT_NOTE_RCV","1993-06-18","2026-05-02","Per=Y","Days=T","Dir=V")</f>
        <v>0</v>
      </c>
      <c r="U2">
        <f>BDH("OPTX US Equity","BS_INVENTORIES","1993-06-18","2026-05-02","Per=Y","Days=T","Dir=V")</f>
        <v>0</v>
      </c>
      <c r="W2">
        <f>BDH("OPTX US Equity","WORKING_CAPITAL","1993-06-18","2026-05-02","Per=Y","Days=T","Dir=V")</f>
        <v>0</v>
      </c>
      <c r="Y2">
        <f>BDH("OPTX US Equity","SALES_REV_TURN","1993-06-18","2026-05-02","Per=Y","Days=T","Dir=V")</f>
        <v>0</v>
      </c>
      <c r="AA2">
        <f>BDH("OPTX US Equity","EBIT","1993-06-18","2026-05-02","Per=Y","Days=T","Dir=V")</f>
        <v>0</v>
      </c>
      <c r="AC2">
        <f>BDH("OPTX US Equity","EBITDA","1993-06-18","2026-05-02","Per=Y","Days=T","Dir=V")</f>
        <v>0</v>
      </c>
      <c r="AE2">
        <f>BDH("OPTX US Equity","NET_INCOME","1993-06-18","2026-05-02","Per=Y","Days=T","Dir=V")</f>
        <v>0</v>
      </c>
      <c r="AG2">
        <f>BDH("OPTX US Equity","IS_INT_EXPENSE","1993-06-18","2026-05-02","Per=Y","Days=T","Dir=V")</f>
        <v>0</v>
      </c>
      <c r="AI2">
        <f>BDH("OPTX US Equity","IS_DEPR_EXP","1993-06-18","2026-05-02","Per=Y","Days=T","Dir=V")</f>
        <v>0</v>
      </c>
      <c r="AK2">
        <f>BDH("OPTX US Equity","CF_CASH_FROM_OPER","1993-06-18","2026-05-02","Per=Y","Days=T","Dir=V")</f>
        <v>0</v>
      </c>
      <c r="AM2">
        <f>BDH("OPTX US Equity","CAPITAL_EXPEND","1993-06-18","2026-05-02","Per=Y","Days=T","Dir=V")</f>
        <v>0</v>
      </c>
      <c r="AO2">
        <f>BDH("OPTX US Equity","CF_FREE_CASH_FLOW","1993-06-18","2026-05-02","Per=Y","Days=T","Dir=V")</f>
        <v>0</v>
      </c>
      <c r="AQ2">
        <f>BDH("OPTX US Equity","PX_LAST","1993-06-18","2026-05-02","Per=M","Days=T","Dir=V")</f>
        <v>0</v>
      </c>
      <c r="AS2">
        <f>BDH("OPTX US Equity","CUR_MKT_CAP","1993-06-18","2026-05-02","Per=M","Days=T","Dir=V")</f>
        <v>0</v>
      </c>
      <c r="AU2">
        <f>BDH("OPTX US Equity","EQY_SH_OUT","1993-06-18","2026-05-02","Per=M","Days=T","Dir=V")</f>
        <v>0</v>
      </c>
      <c r="AW2">
        <f>BDH("OPTX US Equity","PX_VOLUME","1993-06-18","2026-05-02","Per=M","Days=T","Dir=V")</f>
        <v>0</v>
      </c>
      <c r="AY2">
        <f>BDH("OPTX US Equity","TURNOVER","1993-06-18","2026-05-02","Per=M","Days=T","Dir=V")</f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BDH("OPTXW US Equity","BS_TOT_ASSET","1993-06-18","2026-05-02","Per=Y","Days=T","Dir=V")</f>
        <v>0</v>
      </c>
      <c r="C2">
        <f>BDH("OPTXW US Equity","BS_TOT_LIAB2","1993-06-18","2026-05-02","Per=Y","Days=T","Dir=V")</f>
        <v>0</v>
      </c>
      <c r="E2">
        <f>BDH("OPTXW US Equity","SHORT_AND_LONG_TERM_DEBT","1993-06-18","2026-05-02","Per=Y","Days=T","Dir=V")</f>
        <v>0</v>
      </c>
      <c r="G2">
        <f>BDH("OPTXW US Equity","BS_ST_BORROW","1993-06-18","2026-05-02","Per=Y","Days=T","Dir=V")</f>
        <v>0</v>
      </c>
      <c r="I2">
        <f>BDH("OPTXW US Equity","BS_LT_BORROW","1993-06-18","2026-05-02","Per=Y","Days=T","Dir=V")</f>
        <v>0</v>
      </c>
      <c r="K2">
        <f>BDH("OPTXW US Equity","BS_CASH_NEAR_CASH_ITEM","1993-06-18","2026-05-02","Per=Y","Days=T","Dir=V")</f>
        <v>0</v>
      </c>
      <c r="M2">
        <f>BDH("OPTXW US Equity","BS_CUR_ASSET_REPORT","1993-06-18","2026-05-02","Per=Y","Days=T","Dir=V")</f>
        <v>0</v>
      </c>
      <c r="O2">
        <f>BDH("OPTXW US Equity","BS_CUR_LIAB","1993-06-18","2026-05-02","Per=Y","Days=T","Dir=V")</f>
        <v>0</v>
      </c>
      <c r="Q2">
        <f>BDH("OPTXW US Equity","BS_SHAREHOLDER_EQY_ENDING_PERIOD","1993-06-18","2026-05-02","Per=Y","Days=T","Dir=V")</f>
        <v>0</v>
      </c>
      <c r="S2">
        <f>BDH("OPTXW US Equity","BS_ACCT_NOTE_RCV","1993-06-18","2026-05-02","Per=Y","Days=T","Dir=V")</f>
        <v>0</v>
      </c>
      <c r="U2">
        <f>BDH("OPTXW US Equity","BS_INVENTORIES","1993-06-18","2026-05-02","Per=Y","Days=T","Dir=V")</f>
        <v>0</v>
      </c>
      <c r="W2">
        <f>BDH("OPTXW US Equity","WORKING_CAPITAL","1993-06-18","2026-05-02","Per=Y","Days=T","Dir=V")</f>
        <v>0</v>
      </c>
      <c r="Y2">
        <f>BDH("OPTXW US Equity","SALES_REV_TURN","1993-06-18","2026-05-02","Per=Y","Days=T","Dir=V")</f>
        <v>0</v>
      </c>
      <c r="AA2">
        <f>BDH("OPTXW US Equity","EBIT","1993-06-18","2026-05-02","Per=Y","Days=T","Dir=V")</f>
        <v>0</v>
      </c>
      <c r="AC2">
        <f>BDH("OPTXW US Equity","EBITDA","1993-06-18","2026-05-02","Per=Y","Days=T","Dir=V")</f>
        <v>0</v>
      </c>
      <c r="AE2">
        <f>BDH("OPTXW US Equity","NET_INCOME","1993-06-18","2026-05-02","Per=Y","Days=T","Dir=V")</f>
        <v>0</v>
      </c>
      <c r="AG2">
        <f>BDH("OPTXW US Equity","IS_INT_EXPENSE","1993-06-18","2026-05-02","Per=Y","Days=T","Dir=V")</f>
        <v>0</v>
      </c>
      <c r="AI2">
        <f>BDH("OPTXW US Equity","IS_DEPR_EXP","1993-06-18","2026-05-02","Per=Y","Days=T","Dir=V")</f>
        <v>0</v>
      </c>
      <c r="AK2">
        <f>BDH("OPTXW US Equity","CF_CASH_FROM_OPER","1993-06-18","2026-05-02","Per=Y","Days=T","Dir=V")</f>
        <v>0</v>
      </c>
      <c r="AM2">
        <f>BDH("OPTXW US Equity","CAPITAL_EXPEND","1993-06-18","2026-05-02","Per=Y","Days=T","Dir=V")</f>
        <v>0</v>
      </c>
      <c r="AO2">
        <f>BDH("OPTXW US Equity","CF_FREE_CASH_FLOW","1993-06-18","2026-05-02","Per=Y","Days=T","Dir=V")</f>
        <v>0</v>
      </c>
      <c r="AQ2">
        <f>BDH("OPTXW US Equity","PX_LAST","1993-06-18","2026-05-02","Per=M","Days=T","Dir=V")</f>
        <v>0</v>
      </c>
      <c r="AS2">
        <f>BDH("OPTXW US Equity","CUR_MKT_CAP","1993-06-18","2026-05-02","Per=M","Days=T","Dir=V")</f>
        <v>0</v>
      </c>
      <c r="AU2">
        <f>BDH("OPTXW US Equity","EQY_SH_OUT","1993-06-18","2026-05-02","Per=M","Days=T","Dir=V")</f>
        <v>0</v>
      </c>
      <c r="AW2">
        <f>BDH("OPTXW US Equity","PX_VOLUME","1993-06-18","2026-05-02","Per=M","Days=T","Dir=V")</f>
        <v>0</v>
      </c>
      <c r="AY2">
        <f>BDH("OPTXW US Equity","TURNOVER","1993-06-18","2026-05-02","Per=M","Days=T","Dir=V")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BDH("OPXS US Equity","BS_TOT_ASSET","1993-06-18","2026-05-02","Per=Y","Days=T","Dir=V")</f>
        <v>0</v>
      </c>
      <c r="C2">
        <f>BDH("OPXS US Equity","BS_TOT_LIAB2","1993-06-18","2026-05-02","Per=Y","Days=T","Dir=V")</f>
        <v>0</v>
      </c>
      <c r="E2">
        <f>BDH("OPXS US Equity","SHORT_AND_LONG_TERM_DEBT","1993-06-18","2026-05-02","Per=Y","Days=T","Dir=V")</f>
        <v>0</v>
      </c>
      <c r="G2">
        <f>BDH("OPXS US Equity","BS_ST_BORROW","1993-06-18","2026-05-02","Per=Y","Days=T","Dir=V")</f>
        <v>0</v>
      </c>
      <c r="I2">
        <f>BDH("OPXS US Equity","BS_LT_BORROW","1993-06-18","2026-05-02","Per=Y","Days=T","Dir=V")</f>
        <v>0</v>
      </c>
      <c r="K2">
        <f>BDH("OPXS US Equity","BS_CASH_NEAR_CASH_ITEM","1993-06-18","2026-05-02","Per=Y","Days=T","Dir=V")</f>
        <v>0</v>
      </c>
      <c r="M2">
        <f>BDH("OPXS US Equity","BS_CUR_ASSET_REPORT","1993-06-18","2026-05-02","Per=Y","Days=T","Dir=V")</f>
        <v>0</v>
      </c>
      <c r="O2">
        <f>BDH("OPXS US Equity","BS_CUR_LIAB","1993-06-18","2026-05-02","Per=Y","Days=T","Dir=V")</f>
        <v>0</v>
      </c>
      <c r="Q2">
        <f>BDH("OPXS US Equity","BS_SHAREHOLDER_EQY_ENDING_PERIOD","1993-06-18","2026-05-02","Per=Y","Days=T","Dir=V")</f>
        <v>0</v>
      </c>
      <c r="S2">
        <f>BDH("OPXS US Equity","BS_ACCT_NOTE_RCV","1993-06-18","2026-05-02","Per=Y","Days=T","Dir=V")</f>
        <v>0</v>
      </c>
      <c r="U2">
        <f>BDH("OPXS US Equity","BS_INVENTORIES","1993-06-18","2026-05-02","Per=Y","Days=T","Dir=V")</f>
        <v>0</v>
      </c>
      <c r="W2">
        <f>BDH("OPXS US Equity","WORKING_CAPITAL","1993-06-18","2026-05-02","Per=Y","Days=T","Dir=V")</f>
        <v>0</v>
      </c>
      <c r="Y2">
        <f>BDH("OPXS US Equity","SALES_REV_TURN","1993-06-18","2026-05-02","Per=Y","Days=T","Dir=V")</f>
        <v>0</v>
      </c>
      <c r="AA2">
        <f>BDH("OPXS US Equity","EBIT","1993-06-18","2026-05-02","Per=Y","Days=T","Dir=V")</f>
        <v>0</v>
      </c>
      <c r="AC2">
        <f>BDH("OPXS US Equity","EBITDA","1993-06-18","2026-05-02","Per=Y","Days=T","Dir=V")</f>
        <v>0</v>
      </c>
      <c r="AE2">
        <f>BDH("OPXS US Equity","NET_INCOME","1993-06-18","2026-05-02","Per=Y","Days=T","Dir=V")</f>
        <v>0</v>
      </c>
      <c r="AG2">
        <f>BDH("OPXS US Equity","IS_INT_EXPENSE","1993-06-18","2026-05-02","Per=Y","Days=T","Dir=V")</f>
        <v>0</v>
      </c>
      <c r="AI2">
        <f>BDH("OPXS US Equity","IS_DEPR_EXP","1993-06-18","2026-05-02","Per=Y","Days=T","Dir=V")</f>
        <v>0</v>
      </c>
      <c r="AK2">
        <f>BDH("OPXS US Equity","CF_CASH_FROM_OPER","1993-06-18","2026-05-02","Per=Y","Days=T","Dir=V")</f>
        <v>0</v>
      </c>
      <c r="AM2">
        <f>BDH("OPXS US Equity","CAPITAL_EXPEND","1993-06-18","2026-05-02","Per=Y","Days=T","Dir=V")</f>
        <v>0</v>
      </c>
      <c r="AO2">
        <f>BDH("OPXS US Equity","CF_FREE_CASH_FLOW","1993-06-18","2026-05-02","Per=Y","Days=T","Dir=V")</f>
        <v>0</v>
      </c>
      <c r="AQ2">
        <f>BDH("OPXS US Equity","PX_LAST","1993-06-18","2026-05-02","Per=M","Days=T","Dir=V")</f>
        <v>0</v>
      </c>
      <c r="AS2">
        <f>BDH("OPXS US Equity","CUR_MKT_CAP","1993-06-18","2026-05-02","Per=M","Days=T","Dir=V")</f>
        <v>0</v>
      </c>
      <c r="AU2">
        <f>BDH("OPXS US Equity","EQY_SH_OUT","1993-06-18","2026-05-02","Per=M","Days=T","Dir=V")</f>
        <v>0</v>
      </c>
      <c r="AW2">
        <f>BDH("OPXS US Equity","PX_VOLUME","1993-06-18","2026-05-02","Per=M","Days=T","Dir=V")</f>
        <v>0</v>
      </c>
      <c r="AY2">
        <f>BDH("OPXS US Equity","TURNOVER","1993-06-18","2026-05-02","Per=M","Days=T","Dir=V")</f>
        <v>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BDH("ORA US Equity","BS_TOT_ASSET","1993-06-18","2026-05-02","Per=Y","Days=T","Dir=V")</f>
        <v>0</v>
      </c>
      <c r="C2">
        <f>BDH("ORA US Equity","BS_TOT_LIAB2","1993-06-18","2026-05-02","Per=Y","Days=T","Dir=V")</f>
        <v>0</v>
      </c>
      <c r="E2">
        <f>BDH("ORA US Equity","SHORT_AND_LONG_TERM_DEBT","1993-06-18","2026-05-02","Per=Y","Days=T","Dir=V")</f>
        <v>0</v>
      </c>
      <c r="G2">
        <f>BDH("ORA US Equity","BS_ST_BORROW","1993-06-18","2026-05-02","Per=Y","Days=T","Dir=V")</f>
        <v>0</v>
      </c>
      <c r="I2">
        <f>BDH("ORA US Equity","BS_LT_BORROW","1993-06-18","2026-05-02","Per=Y","Days=T","Dir=V")</f>
        <v>0</v>
      </c>
      <c r="K2">
        <f>BDH("ORA US Equity","BS_CASH_NEAR_CASH_ITEM","1993-06-18","2026-05-02","Per=Y","Days=T","Dir=V")</f>
        <v>0</v>
      </c>
      <c r="M2">
        <f>BDH("ORA US Equity","BS_CUR_ASSET_REPORT","1993-06-18","2026-05-02","Per=Y","Days=T","Dir=V")</f>
        <v>0</v>
      </c>
      <c r="O2">
        <f>BDH("ORA US Equity","BS_CUR_LIAB","1993-06-18","2026-05-02","Per=Y","Days=T","Dir=V")</f>
        <v>0</v>
      </c>
      <c r="Q2">
        <f>BDH("ORA US Equity","BS_SHAREHOLDER_EQY_ENDING_PERIOD","1993-06-18","2026-05-02","Per=Y","Days=T","Dir=V")</f>
        <v>0</v>
      </c>
      <c r="S2">
        <f>BDH("ORA US Equity","BS_ACCT_NOTE_RCV","1993-06-18","2026-05-02","Per=Y","Days=T","Dir=V")</f>
        <v>0</v>
      </c>
      <c r="U2">
        <f>BDH("ORA US Equity","BS_INVENTORIES","1993-06-18","2026-05-02","Per=Y","Days=T","Dir=V")</f>
        <v>0</v>
      </c>
      <c r="W2">
        <f>BDH("ORA US Equity","WORKING_CAPITAL","1993-06-18","2026-05-02","Per=Y","Days=T","Dir=V")</f>
        <v>0</v>
      </c>
      <c r="Y2">
        <f>BDH("ORA US Equity","SALES_REV_TURN","1993-06-18","2026-05-02","Per=Y","Days=T","Dir=V")</f>
        <v>0</v>
      </c>
      <c r="AA2">
        <f>BDH("ORA US Equity","EBIT","1993-06-18","2026-05-02","Per=Y","Days=T","Dir=V")</f>
        <v>0</v>
      </c>
      <c r="AC2">
        <f>BDH("ORA US Equity","EBITDA","1993-06-18","2026-05-02","Per=Y","Days=T","Dir=V")</f>
        <v>0</v>
      </c>
      <c r="AE2">
        <f>BDH("ORA US Equity","NET_INCOME","1993-06-18","2026-05-02","Per=Y","Days=T","Dir=V")</f>
        <v>0</v>
      </c>
      <c r="AG2">
        <f>BDH("ORA US Equity","IS_INT_EXPENSE","1993-06-18","2026-05-02","Per=Y","Days=T","Dir=V")</f>
        <v>0</v>
      </c>
      <c r="AI2">
        <f>BDH("ORA US Equity","IS_DEPR_EXP","1993-06-18","2026-05-02","Per=Y","Days=T","Dir=V")</f>
        <v>0</v>
      </c>
      <c r="AK2">
        <f>BDH("ORA US Equity","CF_CASH_FROM_OPER","1993-06-18","2026-05-02","Per=Y","Days=T","Dir=V")</f>
        <v>0</v>
      </c>
      <c r="AM2">
        <f>BDH("ORA US Equity","CAPITAL_EXPEND","1993-06-18","2026-05-02","Per=Y","Days=T","Dir=V")</f>
        <v>0</v>
      </c>
      <c r="AO2">
        <f>BDH("ORA US Equity","CF_FREE_CASH_FLOW","1993-06-18","2026-05-02","Per=Y","Days=T","Dir=V")</f>
        <v>0</v>
      </c>
      <c r="AQ2">
        <f>BDH("ORA US Equity","PX_LAST","1993-06-18","2026-05-02","Per=M","Days=T","Dir=V")</f>
        <v>0</v>
      </c>
      <c r="AS2">
        <f>BDH("ORA US Equity","CUR_MKT_CAP","1993-06-18","2026-05-02","Per=M","Days=T","Dir=V")</f>
        <v>0</v>
      </c>
      <c r="AU2">
        <f>BDH("ORA US Equity","EQY_SH_OUT","1993-06-18","2026-05-02","Per=M","Days=T","Dir=V")</f>
        <v>0</v>
      </c>
      <c r="AW2">
        <f>BDH("ORA US Equity","PX_VOLUME","1993-06-18","2026-05-02","Per=M","Days=T","Dir=V")</f>
        <v>0</v>
      </c>
      <c r="AY2">
        <f>BDH("ORA US Equity","TURNOVER","1993-06-18","2026-05-02","Per=M","Days=T","Dir=V")</f>
        <v>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BDH("ORCL US Equity","BS_TOT_ASSET","1993-06-18","2026-05-02","Per=Y","Days=T","Dir=V")</f>
        <v>0</v>
      </c>
      <c r="C2">
        <f>BDH("ORCL US Equity","BS_TOT_LIAB2","1993-06-18","2026-05-02","Per=Y","Days=T","Dir=V")</f>
        <v>0</v>
      </c>
      <c r="E2">
        <f>BDH("ORCL US Equity","SHORT_AND_LONG_TERM_DEBT","1993-06-18","2026-05-02","Per=Y","Days=T","Dir=V")</f>
        <v>0</v>
      </c>
      <c r="G2">
        <f>BDH("ORCL US Equity","BS_ST_BORROW","1993-06-18","2026-05-02","Per=Y","Days=T","Dir=V")</f>
        <v>0</v>
      </c>
      <c r="I2">
        <f>BDH("ORCL US Equity","BS_LT_BORROW","1993-06-18","2026-05-02","Per=Y","Days=T","Dir=V")</f>
        <v>0</v>
      </c>
      <c r="K2">
        <f>BDH("ORCL US Equity","BS_CASH_NEAR_CASH_ITEM","1993-06-18","2026-05-02","Per=Y","Days=T","Dir=V")</f>
        <v>0</v>
      </c>
      <c r="M2">
        <f>BDH("ORCL US Equity","BS_CUR_ASSET_REPORT","1993-06-18","2026-05-02","Per=Y","Days=T","Dir=V")</f>
        <v>0</v>
      </c>
      <c r="O2">
        <f>BDH("ORCL US Equity","BS_CUR_LIAB","1993-06-18","2026-05-02","Per=Y","Days=T","Dir=V")</f>
        <v>0</v>
      </c>
      <c r="Q2">
        <f>BDH("ORCL US Equity","BS_SHAREHOLDER_EQY_ENDING_PERIOD","1993-06-18","2026-05-02","Per=Y","Days=T","Dir=V")</f>
        <v>0</v>
      </c>
      <c r="S2">
        <f>BDH("ORCL US Equity","BS_ACCT_NOTE_RCV","1993-06-18","2026-05-02","Per=Y","Days=T","Dir=V")</f>
        <v>0</v>
      </c>
      <c r="U2">
        <f>BDH("ORCL US Equity","BS_INVENTORIES","1993-06-18","2026-05-02","Per=Y","Days=T","Dir=V")</f>
        <v>0</v>
      </c>
      <c r="W2">
        <f>BDH("ORCL US Equity","WORKING_CAPITAL","1993-06-18","2026-05-02","Per=Y","Days=T","Dir=V")</f>
        <v>0</v>
      </c>
      <c r="Y2">
        <f>BDH("ORCL US Equity","SALES_REV_TURN","1993-06-18","2026-05-02","Per=Y","Days=T","Dir=V")</f>
        <v>0</v>
      </c>
      <c r="AA2">
        <f>BDH("ORCL US Equity","EBIT","1993-06-18","2026-05-02","Per=Y","Days=T","Dir=V")</f>
        <v>0</v>
      </c>
      <c r="AC2">
        <f>BDH("ORCL US Equity","EBITDA","1993-06-18","2026-05-02","Per=Y","Days=T","Dir=V")</f>
        <v>0</v>
      </c>
      <c r="AE2">
        <f>BDH("ORCL US Equity","NET_INCOME","1993-06-18","2026-05-02","Per=Y","Days=T","Dir=V")</f>
        <v>0</v>
      </c>
      <c r="AG2">
        <f>BDH("ORCL US Equity","IS_INT_EXPENSE","1993-06-18","2026-05-02","Per=Y","Days=T","Dir=V")</f>
        <v>0</v>
      </c>
      <c r="AI2">
        <f>BDH("ORCL US Equity","IS_DEPR_EXP","1993-06-18","2026-05-02","Per=Y","Days=T","Dir=V")</f>
        <v>0</v>
      </c>
      <c r="AK2">
        <f>BDH("ORCL US Equity","CF_CASH_FROM_OPER","1993-06-18","2026-05-02","Per=Y","Days=T","Dir=V")</f>
        <v>0</v>
      </c>
      <c r="AM2">
        <f>BDH("ORCL US Equity","CAPITAL_EXPEND","1993-06-18","2026-05-02","Per=Y","Days=T","Dir=V")</f>
        <v>0</v>
      </c>
      <c r="AO2">
        <f>BDH("ORCL US Equity","CF_FREE_CASH_FLOW","1993-06-18","2026-05-02","Per=Y","Days=T","Dir=V")</f>
        <v>0</v>
      </c>
      <c r="AQ2">
        <f>BDH("ORCL US Equity","PX_LAST","1993-06-18","2026-05-02","Per=M","Days=T","Dir=V")</f>
        <v>0</v>
      </c>
      <c r="AS2">
        <f>BDH("ORCL US Equity","CUR_MKT_CAP","1993-06-18","2026-05-02","Per=M","Days=T","Dir=V")</f>
        <v>0</v>
      </c>
      <c r="AU2">
        <f>BDH("ORCL US Equity","EQY_SH_OUT","1993-06-18","2026-05-02","Per=M","Days=T","Dir=V")</f>
        <v>0</v>
      </c>
      <c r="AW2">
        <f>BDH("ORCL US Equity","PX_VOLUME","1993-06-18","2026-05-02","Per=M","Days=T","Dir=V")</f>
        <v>0</v>
      </c>
      <c r="AY2">
        <f>BDH("ORCL US Equity","TURNOVER","1993-06-18","2026-05-02","Per=M","Days=T","Dir=V")</f>
        <v>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BDH("ORGO US Equity","BS_TOT_ASSET","1993-06-18","2026-05-02","Per=Y","Days=T","Dir=V")</f>
        <v>0</v>
      </c>
      <c r="C2">
        <f>BDH("ORGO US Equity","BS_TOT_LIAB2","1993-06-18","2026-05-02","Per=Y","Days=T","Dir=V")</f>
        <v>0</v>
      </c>
      <c r="E2">
        <f>BDH("ORGO US Equity","SHORT_AND_LONG_TERM_DEBT","1993-06-18","2026-05-02","Per=Y","Days=T","Dir=V")</f>
        <v>0</v>
      </c>
      <c r="G2">
        <f>BDH("ORGO US Equity","BS_ST_BORROW","1993-06-18","2026-05-02","Per=Y","Days=T","Dir=V")</f>
        <v>0</v>
      </c>
      <c r="I2">
        <f>BDH("ORGO US Equity","BS_LT_BORROW","1993-06-18","2026-05-02","Per=Y","Days=T","Dir=V")</f>
        <v>0</v>
      </c>
      <c r="K2">
        <f>BDH("ORGO US Equity","BS_CASH_NEAR_CASH_ITEM","1993-06-18","2026-05-02","Per=Y","Days=T","Dir=V")</f>
        <v>0</v>
      </c>
      <c r="M2">
        <f>BDH("ORGO US Equity","BS_CUR_ASSET_REPORT","1993-06-18","2026-05-02","Per=Y","Days=T","Dir=V")</f>
        <v>0</v>
      </c>
      <c r="O2">
        <f>BDH("ORGO US Equity","BS_CUR_LIAB","1993-06-18","2026-05-02","Per=Y","Days=T","Dir=V")</f>
        <v>0</v>
      </c>
      <c r="Q2">
        <f>BDH("ORGO US Equity","BS_SHAREHOLDER_EQY_ENDING_PERIOD","1993-06-18","2026-05-02","Per=Y","Days=T","Dir=V")</f>
        <v>0</v>
      </c>
      <c r="S2">
        <f>BDH("ORGO US Equity","BS_ACCT_NOTE_RCV","1993-06-18","2026-05-02","Per=Y","Days=T","Dir=V")</f>
        <v>0</v>
      </c>
      <c r="U2">
        <f>BDH("ORGO US Equity","BS_INVENTORIES","1993-06-18","2026-05-02","Per=Y","Days=T","Dir=V")</f>
        <v>0</v>
      </c>
      <c r="W2">
        <f>BDH("ORGO US Equity","WORKING_CAPITAL","1993-06-18","2026-05-02","Per=Y","Days=T","Dir=V")</f>
        <v>0</v>
      </c>
      <c r="Y2">
        <f>BDH("ORGO US Equity","SALES_REV_TURN","1993-06-18","2026-05-02","Per=Y","Days=T","Dir=V")</f>
        <v>0</v>
      </c>
      <c r="AA2">
        <f>BDH("ORGO US Equity","EBIT","1993-06-18","2026-05-02","Per=Y","Days=T","Dir=V")</f>
        <v>0</v>
      </c>
      <c r="AC2">
        <f>BDH("ORGO US Equity","EBITDA","1993-06-18","2026-05-02","Per=Y","Days=T","Dir=V")</f>
        <v>0</v>
      </c>
      <c r="AE2">
        <f>BDH("ORGO US Equity","NET_INCOME","1993-06-18","2026-05-02","Per=Y","Days=T","Dir=V")</f>
        <v>0</v>
      </c>
      <c r="AG2">
        <f>BDH("ORGO US Equity","IS_INT_EXPENSE","1993-06-18","2026-05-02","Per=Y","Days=T","Dir=V")</f>
        <v>0</v>
      </c>
      <c r="AI2">
        <f>BDH("ORGO US Equity","IS_DEPR_EXP","1993-06-18","2026-05-02","Per=Y","Days=T","Dir=V")</f>
        <v>0</v>
      </c>
      <c r="AK2">
        <f>BDH("ORGO US Equity","CF_CASH_FROM_OPER","1993-06-18","2026-05-02","Per=Y","Days=T","Dir=V")</f>
        <v>0</v>
      </c>
      <c r="AM2">
        <f>BDH("ORGO US Equity","CAPITAL_EXPEND","1993-06-18","2026-05-02","Per=Y","Days=T","Dir=V")</f>
        <v>0</v>
      </c>
      <c r="AO2">
        <f>BDH("ORGO US Equity","CF_FREE_CASH_FLOW","1993-06-18","2026-05-02","Per=Y","Days=T","Dir=V")</f>
        <v>0</v>
      </c>
      <c r="AQ2">
        <f>BDH("ORGO US Equity","PX_LAST","1993-06-18","2026-05-02","Per=M","Days=T","Dir=V")</f>
        <v>0</v>
      </c>
      <c r="AS2">
        <f>BDH("ORGO US Equity","CUR_MKT_CAP","1993-06-18","2026-05-02","Per=M","Days=T","Dir=V")</f>
        <v>0</v>
      </c>
      <c r="AU2">
        <f>BDH("ORGO US Equity","EQY_SH_OUT","1993-06-18","2026-05-02","Per=M","Days=T","Dir=V")</f>
        <v>0</v>
      </c>
      <c r="AW2">
        <f>BDH("ORGO US Equity","PX_VOLUME","1993-06-18","2026-05-02","Per=M","Days=T","Dir=V")</f>
        <v>0</v>
      </c>
      <c r="AY2">
        <f>BDH("ORGO US Equity","TURNOVER","1993-06-18","2026-05-02","Per=M","Days=T","Dir=V")</f>
        <v>0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BDH("ORIC US Equity","BS_TOT_ASSET","1993-06-18","2026-05-02","Per=Y","Days=T","Dir=V")</f>
        <v>0</v>
      </c>
      <c r="C2">
        <f>BDH("ORIC US Equity","BS_TOT_LIAB2","1993-06-18","2026-05-02","Per=Y","Days=T","Dir=V")</f>
        <v>0</v>
      </c>
      <c r="E2">
        <f>BDH("ORIC US Equity","SHORT_AND_LONG_TERM_DEBT","1993-06-18","2026-05-02","Per=Y","Days=T","Dir=V")</f>
        <v>0</v>
      </c>
      <c r="G2">
        <f>BDH("ORIC US Equity","BS_ST_BORROW","1993-06-18","2026-05-02","Per=Y","Days=T","Dir=V")</f>
        <v>0</v>
      </c>
      <c r="I2">
        <f>BDH("ORIC US Equity","BS_LT_BORROW","1993-06-18","2026-05-02","Per=Y","Days=T","Dir=V")</f>
        <v>0</v>
      </c>
      <c r="K2">
        <f>BDH("ORIC US Equity","BS_CASH_NEAR_CASH_ITEM","1993-06-18","2026-05-02","Per=Y","Days=T","Dir=V")</f>
        <v>0</v>
      </c>
      <c r="M2">
        <f>BDH("ORIC US Equity","BS_CUR_ASSET_REPORT","1993-06-18","2026-05-02","Per=Y","Days=T","Dir=V")</f>
        <v>0</v>
      </c>
      <c r="O2">
        <f>BDH("ORIC US Equity","BS_CUR_LIAB","1993-06-18","2026-05-02","Per=Y","Days=T","Dir=V")</f>
        <v>0</v>
      </c>
      <c r="Q2">
        <f>BDH("ORIC US Equity","BS_SHAREHOLDER_EQY_ENDING_PERIOD","1993-06-18","2026-05-02","Per=Y","Days=T","Dir=V")</f>
        <v>0</v>
      </c>
      <c r="S2">
        <f>BDH("ORIC US Equity","BS_ACCT_NOTE_RCV","1993-06-18","2026-05-02","Per=Y","Days=T","Dir=V")</f>
        <v>0</v>
      </c>
      <c r="U2">
        <f>BDH("ORIC US Equity","BS_INVENTORIES","1993-06-18","2026-05-02","Per=Y","Days=T","Dir=V")</f>
        <v>0</v>
      </c>
      <c r="W2">
        <f>BDH("ORIC US Equity","WORKING_CAPITAL","1993-06-18","2026-05-02","Per=Y","Days=T","Dir=V")</f>
        <v>0</v>
      </c>
      <c r="Y2">
        <f>BDH("ORIC US Equity","SALES_REV_TURN","1993-06-18","2026-05-02","Per=Y","Days=T","Dir=V")</f>
        <v>0</v>
      </c>
      <c r="AA2">
        <f>BDH("ORIC US Equity","EBIT","1993-06-18","2026-05-02","Per=Y","Days=T","Dir=V")</f>
        <v>0</v>
      </c>
      <c r="AC2">
        <f>BDH("ORIC US Equity","EBITDA","1993-06-18","2026-05-02","Per=Y","Days=T","Dir=V")</f>
        <v>0</v>
      </c>
      <c r="AE2">
        <f>BDH("ORIC US Equity","NET_INCOME","1993-06-18","2026-05-02","Per=Y","Days=T","Dir=V")</f>
        <v>0</v>
      </c>
      <c r="AG2">
        <f>BDH("ORIC US Equity","IS_INT_EXPENSE","1993-06-18","2026-05-02","Per=Y","Days=T","Dir=V")</f>
        <v>0</v>
      </c>
      <c r="AI2">
        <f>BDH("ORIC US Equity","IS_DEPR_EXP","1993-06-18","2026-05-02","Per=Y","Days=T","Dir=V")</f>
        <v>0</v>
      </c>
      <c r="AK2">
        <f>BDH("ORIC US Equity","CF_CASH_FROM_OPER","1993-06-18","2026-05-02","Per=Y","Days=T","Dir=V")</f>
        <v>0</v>
      </c>
      <c r="AM2">
        <f>BDH("ORIC US Equity","CAPITAL_EXPEND","1993-06-18","2026-05-02","Per=Y","Days=T","Dir=V")</f>
        <v>0</v>
      </c>
      <c r="AO2">
        <f>BDH("ORIC US Equity","CF_FREE_CASH_FLOW","1993-06-18","2026-05-02","Per=Y","Days=T","Dir=V")</f>
        <v>0</v>
      </c>
      <c r="AQ2">
        <f>BDH("ORIC US Equity","PX_LAST","1993-06-18","2026-05-02","Per=M","Days=T","Dir=V")</f>
        <v>0</v>
      </c>
      <c r="AS2">
        <f>BDH("ORIC US Equity","CUR_MKT_CAP","1993-06-18","2026-05-02","Per=M","Days=T","Dir=V")</f>
        <v>0</v>
      </c>
      <c r="AU2">
        <f>BDH("ORIC US Equity","EQY_SH_OUT","1993-06-18","2026-05-02","Per=M","Days=T","Dir=V")</f>
        <v>0</v>
      </c>
      <c r="AW2">
        <f>BDH("ORIC US Equity","PX_VOLUME","1993-06-18","2026-05-02","Per=M","Days=T","Dir=V")</f>
        <v>0</v>
      </c>
      <c r="AY2">
        <f>BDH("ORIC US Equity","TURNOVER","1993-06-18","2026-05-02","Per=M","Days=T","Dir=V")</f>
        <v>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BDH("ORKA US Equity","BS_TOT_ASSET","1993-06-18","2026-05-02","Per=Y","Days=T","Dir=V")</f>
        <v>0</v>
      </c>
      <c r="C2">
        <f>BDH("ORKA US Equity","BS_TOT_LIAB2","1993-06-18","2026-05-02","Per=Y","Days=T","Dir=V")</f>
        <v>0</v>
      </c>
      <c r="E2">
        <f>BDH("ORKA US Equity","SHORT_AND_LONG_TERM_DEBT","1993-06-18","2026-05-02","Per=Y","Days=T","Dir=V")</f>
        <v>0</v>
      </c>
      <c r="G2">
        <f>BDH("ORKA US Equity","BS_ST_BORROW","1993-06-18","2026-05-02","Per=Y","Days=T","Dir=V")</f>
        <v>0</v>
      </c>
      <c r="I2">
        <f>BDH("ORKA US Equity","BS_LT_BORROW","1993-06-18","2026-05-02","Per=Y","Days=T","Dir=V")</f>
        <v>0</v>
      </c>
      <c r="K2">
        <f>BDH("ORKA US Equity","BS_CASH_NEAR_CASH_ITEM","1993-06-18","2026-05-02","Per=Y","Days=T","Dir=V")</f>
        <v>0</v>
      </c>
      <c r="M2">
        <f>BDH("ORKA US Equity","BS_CUR_ASSET_REPORT","1993-06-18","2026-05-02","Per=Y","Days=T","Dir=V")</f>
        <v>0</v>
      </c>
      <c r="O2">
        <f>BDH("ORKA US Equity","BS_CUR_LIAB","1993-06-18","2026-05-02","Per=Y","Days=T","Dir=V")</f>
        <v>0</v>
      </c>
      <c r="Q2">
        <f>BDH("ORKA US Equity","BS_SHAREHOLDER_EQY_ENDING_PERIOD","1993-06-18","2026-05-02","Per=Y","Days=T","Dir=V")</f>
        <v>0</v>
      </c>
      <c r="S2">
        <f>BDH("ORKA US Equity","BS_ACCT_NOTE_RCV","1993-06-18","2026-05-02","Per=Y","Days=T","Dir=V")</f>
        <v>0</v>
      </c>
      <c r="U2">
        <f>BDH("ORKA US Equity","BS_INVENTORIES","1993-06-18","2026-05-02","Per=Y","Days=T","Dir=V")</f>
        <v>0</v>
      </c>
      <c r="W2">
        <f>BDH("ORKA US Equity","WORKING_CAPITAL","1993-06-18","2026-05-02","Per=Y","Days=T","Dir=V")</f>
        <v>0</v>
      </c>
      <c r="Y2">
        <f>BDH("ORKA US Equity","SALES_REV_TURN","1993-06-18","2026-05-02","Per=Y","Days=T","Dir=V")</f>
        <v>0</v>
      </c>
      <c r="AA2">
        <f>BDH("ORKA US Equity","EBIT","1993-06-18","2026-05-02","Per=Y","Days=T","Dir=V")</f>
        <v>0</v>
      </c>
      <c r="AC2">
        <f>BDH("ORKA US Equity","EBITDA","1993-06-18","2026-05-02","Per=Y","Days=T","Dir=V")</f>
        <v>0</v>
      </c>
      <c r="AE2">
        <f>BDH("ORKA US Equity","NET_INCOME","1993-06-18","2026-05-02","Per=Y","Days=T","Dir=V")</f>
        <v>0</v>
      </c>
      <c r="AG2">
        <f>BDH("ORKA US Equity","IS_INT_EXPENSE","1993-06-18","2026-05-02","Per=Y","Days=T","Dir=V")</f>
        <v>0</v>
      </c>
      <c r="AI2">
        <f>BDH("ORKA US Equity","IS_DEPR_EXP","1993-06-18","2026-05-02","Per=Y","Days=T","Dir=V")</f>
        <v>0</v>
      </c>
      <c r="AK2">
        <f>BDH("ORKA US Equity","CF_CASH_FROM_OPER","1993-06-18","2026-05-02","Per=Y","Days=T","Dir=V")</f>
        <v>0</v>
      </c>
      <c r="AM2">
        <f>BDH("ORKA US Equity","CAPITAL_EXPEND","1993-06-18","2026-05-02","Per=Y","Days=T","Dir=V")</f>
        <v>0</v>
      </c>
      <c r="AO2">
        <f>BDH("ORKA US Equity","CF_FREE_CASH_FLOW","1993-06-18","2026-05-02","Per=Y","Days=T","Dir=V")</f>
        <v>0</v>
      </c>
      <c r="AQ2">
        <f>BDH("ORKA US Equity","PX_LAST","1993-06-18","2026-05-02","Per=M","Days=T","Dir=V")</f>
        <v>0</v>
      </c>
      <c r="AS2">
        <f>BDH("ORKA US Equity","CUR_MKT_CAP","1993-06-18","2026-05-02","Per=M","Days=T","Dir=V")</f>
        <v>0</v>
      </c>
      <c r="AU2">
        <f>BDH("ORKA US Equity","EQY_SH_OUT","1993-06-18","2026-05-02","Per=M","Days=T","Dir=V")</f>
        <v>0</v>
      </c>
      <c r="AW2">
        <f>BDH("ORKA US Equity","PX_VOLUME","1993-06-18","2026-05-02","Per=M","Days=T","Dir=V")</f>
        <v>0</v>
      </c>
      <c r="AY2">
        <f>BDH("ORKA US Equity","TURNOVER","1993-06-18","2026-05-02","Per=M","Days=T","Dir=V")</f>
        <v>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BDH("ORLY US Equity","BS_TOT_ASSET","1993-06-18","2026-05-02","Per=Y","Days=T","Dir=V")</f>
        <v>0</v>
      </c>
      <c r="C2">
        <f>BDH("ORLY US Equity","BS_TOT_LIAB2","1993-06-18","2026-05-02","Per=Y","Days=T","Dir=V")</f>
        <v>0</v>
      </c>
      <c r="E2">
        <f>BDH("ORLY US Equity","SHORT_AND_LONG_TERM_DEBT","1993-06-18","2026-05-02","Per=Y","Days=T","Dir=V")</f>
        <v>0</v>
      </c>
      <c r="G2">
        <f>BDH("ORLY US Equity","BS_ST_BORROW","1993-06-18","2026-05-02","Per=Y","Days=T","Dir=V")</f>
        <v>0</v>
      </c>
      <c r="I2">
        <f>BDH("ORLY US Equity","BS_LT_BORROW","1993-06-18","2026-05-02","Per=Y","Days=T","Dir=V")</f>
        <v>0</v>
      </c>
      <c r="K2">
        <f>BDH("ORLY US Equity","BS_CASH_NEAR_CASH_ITEM","1993-06-18","2026-05-02","Per=Y","Days=T","Dir=V")</f>
        <v>0</v>
      </c>
      <c r="M2">
        <f>BDH("ORLY US Equity","BS_CUR_ASSET_REPORT","1993-06-18","2026-05-02","Per=Y","Days=T","Dir=V")</f>
        <v>0</v>
      </c>
      <c r="O2">
        <f>BDH("ORLY US Equity","BS_CUR_LIAB","1993-06-18","2026-05-02","Per=Y","Days=T","Dir=V")</f>
        <v>0</v>
      </c>
      <c r="Q2">
        <f>BDH("ORLY US Equity","BS_SHAREHOLDER_EQY_ENDING_PERIOD","1993-06-18","2026-05-02","Per=Y","Days=T","Dir=V")</f>
        <v>0</v>
      </c>
      <c r="S2">
        <f>BDH("ORLY US Equity","BS_ACCT_NOTE_RCV","1993-06-18","2026-05-02","Per=Y","Days=T","Dir=V")</f>
        <v>0</v>
      </c>
      <c r="U2">
        <f>BDH("ORLY US Equity","BS_INVENTORIES","1993-06-18","2026-05-02","Per=Y","Days=T","Dir=V")</f>
        <v>0</v>
      </c>
      <c r="W2">
        <f>BDH("ORLY US Equity","WORKING_CAPITAL","1993-06-18","2026-05-02","Per=Y","Days=T","Dir=V")</f>
        <v>0</v>
      </c>
      <c r="Y2">
        <f>BDH("ORLY US Equity","SALES_REV_TURN","1993-06-18","2026-05-02","Per=Y","Days=T","Dir=V")</f>
        <v>0</v>
      </c>
      <c r="AA2">
        <f>BDH("ORLY US Equity","EBIT","1993-06-18","2026-05-02","Per=Y","Days=T","Dir=V")</f>
        <v>0</v>
      </c>
      <c r="AC2">
        <f>BDH("ORLY US Equity","EBITDA","1993-06-18","2026-05-02","Per=Y","Days=T","Dir=V")</f>
        <v>0</v>
      </c>
      <c r="AE2">
        <f>BDH("ORLY US Equity","NET_INCOME","1993-06-18","2026-05-02","Per=Y","Days=T","Dir=V")</f>
        <v>0</v>
      </c>
      <c r="AG2">
        <f>BDH("ORLY US Equity","IS_INT_EXPENSE","1993-06-18","2026-05-02","Per=Y","Days=T","Dir=V")</f>
        <v>0</v>
      </c>
      <c r="AI2">
        <f>BDH("ORLY US Equity","IS_DEPR_EXP","1993-06-18","2026-05-02","Per=Y","Days=T","Dir=V")</f>
        <v>0</v>
      </c>
      <c r="AK2">
        <f>BDH("ORLY US Equity","CF_CASH_FROM_OPER","1993-06-18","2026-05-02","Per=Y","Days=T","Dir=V")</f>
        <v>0</v>
      </c>
      <c r="AM2">
        <f>BDH("ORLY US Equity","CAPITAL_EXPEND","1993-06-18","2026-05-02","Per=Y","Days=T","Dir=V")</f>
        <v>0</v>
      </c>
      <c r="AO2">
        <f>BDH("ORLY US Equity","CF_FREE_CASH_FLOW","1993-06-18","2026-05-02","Per=Y","Days=T","Dir=V")</f>
        <v>0</v>
      </c>
      <c r="AQ2">
        <f>BDH("ORLY US Equity","PX_LAST","1993-06-18","2026-05-02","Per=M","Days=T","Dir=V")</f>
        <v>0</v>
      </c>
      <c r="AS2">
        <f>BDH("ORLY US Equity","CUR_MKT_CAP","1993-06-18","2026-05-02","Per=M","Days=T","Dir=V")</f>
        <v>0</v>
      </c>
      <c r="AU2">
        <f>BDH("ORLY US Equity","EQY_SH_OUT","1993-06-18","2026-05-02","Per=M","Days=T","Dir=V")</f>
        <v>0</v>
      </c>
      <c r="AW2">
        <f>BDH("ORLY US Equity","PX_VOLUME","1993-06-18","2026-05-02","Per=M","Days=T","Dir=V")</f>
        <v>0</v>
      </c>
      <c r="AY2">
        <f>BDH("ORLY US Equity","TURNOVER","1993-06-18","2026-05-02","Per=M","Days=T","Dir=V")</f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BDH("ORN US Equity","BS_TOT_ASSET","1993-06-18","2026-05-02","Per=Y","Days=T","Dir=V")</f>
        <v>0</v>
      </c>
      <c r="C2">
        <f>BDH("ORN US Equity","BS_TOT_LIAB2","1993-06-18","2026-05-02","Per=Y","Days=T","Dir=V")</f>
        <v>0</v>
      </c>
      <c r="E2">
        <f>BDH("ORN US Equity","SHORT_AND_LONG_TERM_DEBT","1993-06-18","2026-05-02","Per=Y","Days=T","Dir=V")</f>
        <v>0</v>
      </c>
      <c r="G2">
        <f>BDH("ORN US Equity","BS_ST_BORROW","1993-06-18","2026-05-02","Per=Y","Days=T","Dir=V")</f>
        <v>0</v>
      </c>
      <c r="I2">
        <f>BDH("ORN US Equity","BS_LT_BORROW","1993-06-18","2026-05-02","Per=Y","Days=T","Dir=V")</f>
        <v>0</v>
      </c>
      <c r="K2">
        <f>BDH("ORN US Equity","BS_CASH_NEAR_CASH_ITEM","1993-06-18","2026-05-02","Per=Y","Days=T","Dir=V")</f>
        <v>0</v>
      </c>
      <c r="M2">
        <f>BDH("ORN US Equity","BS_CUR_ASSET_REPORT","1993-06-18","2026-05-02","Per=Y","Days=T","Dir=V")</f>
        <v>0</v>
      </c>
      <c r="O2">
        <f>BDH("ORN US Equity","BS_CUR_LIAB","1993-06-18","2026-05-02","Per=Y","Days=T","Dir=V")</f>
        <v>0</v>
      </c>
      <c r="Q2">
        <f>BDH("ORN US Equity","BS_SHAREHOLDER_EQY_ENDING_PERIOD","1993-06-18","2026-05-02","Per=Y","Days=T","Dir=V")</f>
        <v>0</v>
      </c>
      <c r="S2">
        <f>BDH("ORN US Equity","BS_ACCT_NOTE_RCV","1993-06-18","2026-05-02","Per=Y","Days=T","Dir=V")</f>
        <v>0</v>
      </c>
      <c r="U2">
        <f>BDH("ORN US Equity","BS_INVENTORIES","1993-06-18","2026-05-02","Per=Y","Days=T","Dir=V")</f>
        <v>0</v>
      </c>
      <c r="W2">
        <f>BDH("ORN US Equity","WORKING_CAPITAL","1993-06-18","2026-05-02","Per=Y","Days=T","Dir=V")</f>
        <v>0</v>
      </c>
      <c r="Y2">
        <f>BDH("ORN US Equity","SALES_REV_TURN","1993-06-18","2026-05-02","Per=Y","Days=T","Dir=V")</f>
        <v>0</v>
      </c>
      <c r="AA2">
        <f>BDH("ORN US Equity","EBIT","1993-06-18","2026-05-02","Per=Y","Days=T","Dir=V")</f>
        <v>0</v>
      </c>
      <c r="AC2">
        <f>BDH("ORN US Equity","EBITDA","1993-06-18","2026-05-02","Per=Y","Days=T","Dir=V")</f>
        <v>0</v>
      </c>
      <c r="AE2">
        <f>BDH("ORN US Equity","NET_INCOME","1993-06-18","2026-05-02","Per=Y","Days=T","Dir=V")</f>
        <v>0</v>
      </c>
      <c r="AG2">
        <f>BDH("ORN US Equity","IS_INT_EXPENSE","1993-06-18","2026-05-02","Per=Y","Days=T","Dir=V")</f>
        <v>0</v>
      </c>
      <c r="AI2">
        <f>BDH("ORN US Equity","IS_DEPR_EXP","1993-06-18","2026-05-02","Per=Y","Days=T","Dir=V")</f>
        <v>0</v>
      </c>
      <c r="AK2">
        <f>BDH("ORN US Equity","CF_CASH_FROM_OPER","1993-06-18","2026-05-02","Per=Y","Days=T","Dir=V")</f>
        <v>0</v>
      </c>
      <c r="AM2">
        <f>BDH("ORN US Equity","CAPITAL_EXPEND","1993-06-18","2026-05-02","Per=Y","Days=T","Dir=V")</f>
        <v>0</v>
      </c>
      <c r="AO2">
        <f>BDH("ORN US Equity","CF_FREE_CASH_FLOW","1993-06-18","2026-05-02","Per=Y","Days=T","Dir=V")</f>
        <v>0</v>
      </c>
      <c r="AQ2">
        <f>BDH("ORN US Equity","PX_LAST","1993-06-18","2026-05-02","Per=M","Days=T","Dir=V")</f>
        <v>0</v>
      </c>
      <c r="AS2">
        <f>BDH("ORN US Equity","CUR_MKT_CAP","1993-06-18","2026-05-02","Per=M","Days=T","Dir=V")</f>
        <v>0</v>
      </c>
      <c r="AU2">
        <f>BDH("ORN US Equity","EQY_SH_OUT","1993-06-18","2026-05-02","Per=M","Days=T","Dir=V")</f>
        <v>0</v>
      </c>
      <c r="AW2">
        <f>BDH("ORN US Equity","PX_VOLUME","1993-06-18","2026-05-02","Per=M","Days=T","Dir=V")</f>
        <v>0</v>
      </c>
      <c r="AY2">
        <f>BDH("ORN US Equity","TURNOVER","1993-06-18","2026-05-02","Per=M","Days=T","Dir=V")</f>
        <v>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BDH("OSCR US Equity","BS_TOT_ASSET","1993-06-18","2026-05-02","Per=Y","Days=T","Dir=V")</f>
        <v>0</v>
      </c>
      <c r="C2">
        <f>BDH("OSCR US Equity","BS_TOT_LIAB2","1993-06-18","2026-05-02","Per=Y","Days=T","Dir=V")</f>
        <v>0</v>
      </c>
      <c r="E2">
        <f>BDH("OSCR US Equity","SHORT_AND_LONG_TERM_DEBT","1993-06-18","2026-05-02","Per=Y","Days=T","Dir=V")</f>
        <v>0</v>
      </c>
      <c r="G2">
        <f>BDH("OSCR US Equity","BS_ST_BORROW","1993-06-18","2026-05-02","Per=Y","Days=T","Dir=V")</f>
        <v>0</v>
      </c>
      <c r="I2">
        <f>BDH("OSCR US Equity","BS_LT_BORROW","1993-06-18","2026-05-02","Per=Y","Days=T","Dir=V")</f>
        <v>0</v>
      </c>
      <c r="K2">
        <f>BDH("OSCR US Equity","BS_CASH_NEAR_CASH_ITEM","1993-06-18","2026-05-02","Per=Y","Days=T","Dir=V")</f>
        <v>0</v>
      </c>
      <c r="M2">
        <f>BDH("OSCR US Equity","BS_CUR_ASSET_REPORT","1993-06-18","2026-05-02","Per=Y","Days=T","Dir=V")</f>
        <v>0</v>
      </c>
      <c r="O2">
        <f>BDH("OSCR US Equity","BS_CUR_LIAB","1993-06-18","2026-05-02","Per=Y","Days=T","Dir=V")</f>
        <v>0</v>
      </c>
      <c r="Q2">
        <f>BDH("OSCR US Equity","BS_SHAREHOLDER_EQY_ENDING_PERIOD","1993-06-18","2026-05-02","Per=Y","Days=T","Dir=V")</f>
        <v>0</v>
      </c>
      <c r="S2">
        <f>BDH("OSCR US Equity","BS_ACCT_NOTE_RCV","1993-06-18","2026-05-02","Per=Y","Days=T","Dir=V")</f>
        <v>0</v>
      </c>
      <c r="U2">
        <f>BDH("OSCR US Equity","BS_INVENTORIES","1993-06-18","2026-05-02","Per=Y","Days=T","Dir=V")</f>
        <v>0</v>
      </c>
      <c r="W2">
        <f>BDH("OSCR US Equity","WORKING_CAPITAL","1993-06-18","2026-05-02","Per=Y","Days=T","Dir=V")</f>
        <v>0</v>
      </c>
      <c r="Y2">
        <f>BDH("OSCR US Equity","SALES_REV_TURN","1993-06-18","2026-05-02","Per=Y","Days=T","Dir=V")</f>
        <v>0</v>
      </c>
      <c r="AA2">
        <f>BDH("OSCR US Equity","EBIT","1993-06-18","2026-05-02","Per=Y","Days=T","Dir=V")</f>
        <v>0</v>
      </c>
      <c r="AC2">
        <f>BDH("OSCR US Equity","EBITDA","1993-06-18","2026-05-02","Per=Y","Days=T","Dir=V")</f>
        <v>0</v>
      </c>
      <c r="AE2">
        <f>BDH("OSCR US Equity","NET_INCOME","1993-06-18","2026-05-02","Per=Y","Days=T","Dir=V")</f>
        <v>0</v>
      </c>
      <c r="AG2">
        <f>BDH("OSCR US Equity","IS_INT_EXPENSE","1993-06-18","2026-05-02","Per=Y","Days=T","Dir=V")</f>
        <v>0</v>
      </c>
      <c r="AI2">
        <f>BDH("OSCR US Equity","IS_DEPR_EXP","1993-06-18","2026-05-02","Per=Y","Days=T","Dir=V")</f>
        <v>0</v>
      </c>
      <c r="AK2">
        <f>BDH("OSCR US Equity","CF_CASH_FROM_OPER","1993-06-18","2026-05-02","Per=Y","Days=T","Dir=V")</f>
        <v>0</v>
      </c>
      <c r="AM2">
        <f>BDH("OSCR US Equity","CAPITAL_EXPEND","1993-06-18","2026-05-02","Per=Y","Days=T","Dir=V")</f>
        <v>0</v>
      </c>
      <c r="AO2">
        <f>BDH("OSCR US Equity","CF_FREE_CASH_FLOW","1993-06-18","2026-05-02","Per=Y","Days=T","Dir=V")</f>
        <v>0</v>
      </c>
      <c r="AQ2">
        <f>BDH("OSCR US Equity","PX_LAST","1993-06-18","2026-05-02","Per=M","Days=T","Dir=V")</f>
        <v>0</v>
      </c>
      <c r="AS2">
        <f>BDH("OSCR US Equity","CUR_MKT_CAP","1993-06-18","2026-05-02","Per=M","Days=T","Dir=V")</f>
        <v>0</v>
      </c>
      <c r="AU2">
        <f>BDH("OSCR US Equity","EQY_SH_OUT","1993-06-18","2026-05-02","Per=M","Days=T","Dir=V")</f>
        <v>0</v>
      </c>
      <c r="AW2">
        <f>BDH("OSCR US Equity","PX_VOLUME","1993-06-18","2026-05-02","Per=M","Days=T","Dir=V")</f>
        <v>0</v>
      </c>
      <c r="AY2">
        <f>BDH("OSCR US Equity","TURNOVER","1993-06-18","2026-05-02","Per=M","Days=T","Dir=V")</f>
        <v>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BDH("OSIS US Equity","BS_TOT_ASSET","1993-06-18","2026-05-02","Per=Y","Days=T","Dir=V")</f>
        <v>0</v>
      </c>
      <c r="C2">
        <f>BDH("OSIS US Equity","BS_TOT_LIAB2","1993-06-18","2026-05-02","Per=Y","Days=T","Dir=V")</f>
        <v>0</v>
      </c>
      <c r="E2">
        <f>BDH("OSIS US Equity","SHORT_AND_LONG_TERM_DEBT","1993-06-18","2026-05-02","Per=Y","Days=T","Dir=V")</f>
        <v>0</v>
      </c>
      <c r="G2">
        <f>BDH("OSIS US Equity","BS_ST_BORROW","1993-06-18","2026-05-02","Per=Y","Days=T","Dir=V")</f>
        <v>0</v>
      </c>
      <c r="I2">
        <f>BDH("OSIS US Equity","BS_LT_BORROW","1993-06-18","2026-05-02","Per=Y","Days=T","Dir=V")</f>
        <v>0</v>
      </c>
      <c r="K2">
        <f>BDH("OSIS US Equity","BS_CASH_NEAR_CASH_ITEM","1993-06-18","2026-05-02","Per=Y","Days=T","Dir=V")</f>
        <v>0</v>
      </c>
      <c r="M2">
        <f>BDH("OSIS US Equity","BS_CUR_ASSET_REPORT","1993-06-18","2026-05-02","Per=Y","Days=T","Dir=V")</f>
        <v>0</v>
      </c>
      <c r="O2">
        <f>BDH("OSIS US Equity","BS_CUR_LIAB","1993-06-18","2026-05-02","Per=Y","Days=T","Dir=V")</f>
        <v>0</v>
      </c>
      <c r="Q2">
        <f>BDH("OSIS US Equity","BS_SHAREHOLDER_EQY_ENDING_PERIOD","1993-06-18","2026-05-02","Per=Y","Days=T","Dir=V")</f>
        <v>0</v>
      </c>
      <c r="S2">
        <f>BDH("OSIS US Equity","BS_ACCT_NOTE_RCV","1993-06-18","2026-05-02","Per=Y","Days=T","Dir=V")</f>
        <v>0</v>
      </c>
      <c r="U2">
        <f>BDH("OSIS US Equity","BS_INVENTORIES","1993-06-18","2026-05-02","Per=Y","Days=T","Dir=V")</f>
        <v>0</v>
      </c>
      <c r="W2">
        <f>BDH("OSIS US Equity","WORKING_CAPITAL","1993-06-18","2026-05-02","Per=Y","Days=T","Dir=V")</f>
        <v>0</v>
      </c>
      <c r="Y2">
        <f>BDH("OSIS US Equity","SALES_REV_TURN","1993-06-18","2026-05-02","Per=Y","Days=T","Dir=V")</f>
        <v>0</v>
      </c>
      <c r="AA2">
        <f>BDH("OSIS US Equity","EBIT","1993-06-18","2026-05-02","Per=Y","Days=T","Dir=V")</f>
        <v>0</v>
      </c>
      <c r="AC2">
        <f>BDH("OSIS US Equity","EBITDA","1993-06-18","2026-05-02","Per=Y","Days=T","Dir=V")</f>
        <v>0</v>
      </c>
      <c r="AE2">
        <f>BDH("OSIS US Equity","NET_INCOME","1993-06-18","2026-05-02","Per=Y","Days=T","Dir=V")</f>
        <v>0</v>
      </c>
      <c r="AG2">
        <f>BDH("OSIS US Equity","IS_INT_EXPENSE","1993-06-18","2026-05-02","Per=Y","Days=T","Dir=V")</f>
        <v>0</v>
      </c>
      <c r="AI2">
        <f>BDH("OSIS US Equity","IS_DEPR_EXP","1993-06-18","2026-05-02","Per=Y","Days=T","Dir=V")</f>
        <v>0</v>
      </c>
      <c r="AK2">
        <f>BDH("OSIS US Equity","CF_CASH_FROM_OPER","1993-06-18","2026-05-02","Per=Y","Days=T","Dir=V")</f>
        <v>0</v>
      </c>
      <c r="AM2">
        <f>BDH("OSIS US Equity","CAPITAL_EXPEND","1993-06-18","2026-05-02","Per=Y","Days=T","Dir=V")</f>
        <v>0</v>
      </c>
      <c r="AO2">
        <f>BDH("OSIS US Equity","CF_FREE_CASH_FLOW","1993-06-18","2026-05-02","Per=Y","Days=T","Dir=V")</f>
        <v>0</v>
      </c>
      <c r="AQ2">
        <f>BDH("OSIS US Equity","PX_LAST","1993-06-18","2026-05-02","Per=M","Days=T","Dir=V")</f>
        <v>0</v>
      </c>
      <c r="AS2">
        <f>BDH("OSIS US Equity","CUR_MKT_CAP","1993-06-18","2026-05-02","Per=M","Days=T","Dir=V")</f>
        <v>0</v>
      </c>
      <c r="AU2">
        <f>BDH("OSIS US Equity","EQY_SH_OUT","1993-06-18","2026-05-02","Per=M","Days=T","Dir=V")</f>
        <v>0</v>
      </c>
      <c r="AW2">
        <f>BDH("OSIS US Equity","PX_VOLUME","1993-06-18","2026-05-02","Per=M","Days=T","Dir=V")</f>
        <v>0</v>
      </c>
      <c r="AY2">
        <f>BDH("OSIS US Equity","TURNOVER","1993-06-18","2026-05-02","Per=M","Days=T","Dir=V")</f>
        <v>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BDH("OSK US Equity","BS_TOT_ASSET","1993-06-18","2026-05-02","Per=Y","Days=T","Dir=V")</f>
        <v>0</v>
      </c>
      <c r="C2">
        <f>BDH("OSK US Equity","BS_TOT_LIAB2","1993-06-18","2026-05-02","Per=Y","Days=T","Dir=V")</f>
        <v>0</v>
      </c>
      <c r="E2">
        <f>BDH("OSK US Equity","SHORT_AND_LONG_TERM_DEBT","1993-06-18","2026-05-02","Per=Y","Days=T","Dir=V")</f>
        <v>0</v>
      </c>
      <c r="G2">
        <f>BDH("OSK US Equity","BS_ST_BORROW","1993-06-18","2026-05-02","Per=Y","Days=T","Dir=V")</f>
        <v>0</v>
      </c>
      <c r="I2">
        <f>BDH("OSK US Equity","BS_LT_BORROW","1993-06-18","2026-05-02","Per=Y","Days=T","Dir=V")</f>
        <v>0</v>
      </c>
      <c r="K2">
        <f>BDH("OSK US Equity","BS_CASH_NEAR_CASH_ITEM","1993-06-18","2026-05-02","Per=Y","Days=T","Dir=V")</f>
        <v>0</v>
      </c>
      <c r="M2">
        <f>BDH("OSK US Equity","BS_CUR_ASSET_REPORT","1993-06-18","2026-05-02","Per=Y","Days=T","Dir=V")</f>
        <v>0</v>
      </c>
      <c r="O2">
        <f>BDH("OSK US Equity","BS_CUR_LIAB","1993-06-18","2026-05-02","Per=Y","Days=T","Dir=V")</f>
        <v>0</v>
      </c>
      <c r="Q2">
        <f>BDH("OSK US Equity","BS_SHAREHOLDER_EQY_ENDING_PERIOD","1993-06-18","2026-05-02","Per=Y","Days=T","Dir=V")</f>
        <v>0</v>
      </c>
      <c r="S2">
        <f>BDH("OSK US Equity","BS_ACCT_NOTE_RCV","1993-06-18","2026-05-02","Per=Y","Days=T","Dir=V")</f>
        <v>0</v>
      </c>
      <c r="U2">
        <f>BDH("OSK US Equity","BS_INVENTORIES","1993-06-18","2026-05-02","Per=Y","Days=T","Dir=V")</f>
        <v>0</v>
      </c>
      <c r="W2">
        <f>BDH("OSK US Equity","WORKING_CAPITAL","1993-06-18","2026-05-02","Per=Y","Days=T","Dir=V")</f>
        <v>0</v>
      </c>
      <c r="Y2">
        <f>BDH("OSK US Equity","SALES_REV_TURN","1993-06-18","2026-05-02","Per=Y","Days=T","Dir=V")</f>
        <v>0</v>
      </c>
      <c r="AA2">
        <f>BDH("OSK US Equity","EBIT","1993-06-18","2026-05-02","Per=Y","Days=T","Dir=V")</f>
        <v>0</v>
      </c>
      <c r="AC2">
        <f>BDH("OSK US Equity","EBITDA","1993-06-18","2026-05-02","Per=Y","Days=T","Dir=V")</f>
        <v>0</v>
      </c>
      <c r="AE2">
        <f>BDH("OSK US Equity","NET_INCOME","1993-06-18","2026-05-02","Per=Y","Days=T","Dir=V")</f>
        <v>0</v>
      </c>
      <c r="AG2">
        <f>BDH("OSK US Equity","IS_INT_EXPENSE","1993-06-18","2026-05-02","Per=Y","Days=T","Dir=V")</f>
        <v>0</v>
      </c>
      <c r="AI2">
        <f>BDH("OSK US Equity","IS_DEPR_EXP","1993-06-18","2026-05-02","Per=Y","Days=T","Dir=V")</f>
        <v>0</v>
      </c>
      <c r="AK2">
        <f>BDH("OSK US Equity","CF_CASH_FROM_OPER","1993-06-18","2026-05-02","Per=Y","Days=T","Dir=V")</f>
        <v>0</v>
      </c>
      <c r="AM2">
        <f>BDH("OSK US Equity","CAPITAL_EXPEND","1993-06-18","2026-05-02","Per=Y","Days=T","Dir=V")</f>
        <v>0</v>
      </c>
      <c r="AO2">
        <f>BDH("OSK US Equity","CF_FREE_CASH_FLOW","1993-06-18","2026-05-02","Per=Y","Days=T","Dir=V")</f>
        <v>0</v>
      </c>
      <c r="AQ2">
        <f>BDH("OSK US Equity","PX_LAST","1993-06-18","2026-05-02","Per=M","Days=T","Dir=V")</f>
        <v>0</v>
      </c>
      <c r="AS2">
        <f>BDH("OSK US Equity","CUR_MKT_CAP","1993-06-18","2026-05-02","Per=M","Days=T","Dir=V")</f>
        <v>0</v>
      </c>
      <c r="AU2">
        <f>BDH("OSK US Equity","EQY_SH_OUT","1993-06-18","2026-05-02","Per=M","Days=T","Dir=V")</f>
        <v>0</v>
      </c>
      <c r="AW2">
        <f>BDH("OSK US Equity","PX_VOLUME","1993-06-18","2026-05-02","Per=M","Days=T","Dir=V")</f>
        <v>0</v>
      </c>
      <c r="AY2">
        <f>BDH("OSK US Equity","TURNOVER","1993-06-18","2026-05-02","Per=M","Days=T","Dir=V")</f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BDH("OSPN US Equity","BS_TOT_ASSET","1993-06-18","2026-05-02","Per=Y","Days=T","Dir=V")</f>
        <v>0</v>
      </c>
      <c r="C2">
        <f>BDH("OSPN US Equity","BS_TOT_LIAB2","1993-06-18","2026-05-02","Per=Y","Days=T","Dir=V")</f>
        <v>0</v>
      </c>
      <c r="E2">
        <f>BDH("OSPN US Equity","SHORT_AND_LONG_TERM_DEBT","1993-06-18","2026-05-02","Per=Y","Days=T","Dir=V")</f>
        <v>0</v>
      </c>
      <c r="G2">
        <f>BDH("OSPN US Equity","BS_ST_BORROW","1993-06-18","2026-05-02","Per=Y","Days=T","Dir=V")</f>
        <v>0</v>
      </c>
      <c r="I2">
        <f>BDH("OSPN US Equity","BS_LT_BORROW","1993-06-18","2026-05-02","Per=Y","Days=T","Dir=V")</f>
        <v>0</v>
      </c>
      <c r="K2">
        <f>BDH("OSPN US Equity","BS_CASH_NEAR_CASH_ITEM","1993-06-18","2026-05-02","Per=Y","Days=T","Dir=V")</f>
        <v>0</v>
      </c>
      <c r="M2">
        <f>BDH("OSPN US Equity","BS_CUR_ASSET_REPORT","1993-06-18","2026-05-02","Per=Y","Days=T","Dir=V")</f>
        <v>0</v>
      </c>
      <c r="O2">
        <f>BDH("OSPN US Equity","BS_CUR_LIAB","1993-06-18","2026-05-02","Per=Y","Days=T","Dir=V")</f>
        <v>0</v>
      </c>
      <c r="Q2">
        <f>BDH("OSPN US Equity","BS_SHAREHOLDER_EQY_ENDING_PERIOD","1993-06-18","2026-05-02","Per=Y","Days=T","Dir=V")</f>
        <v>0</v>
      </c>
      <c r="S2">
        <f>BDH("OSPN US Equity","BS_ACCT_NOTE_RCV","1993-06-18","2026-05-02","Per=Y","Days=T","Dir=V")</f>
        <v>0</v>
      </c>
      <c r="U2">
        <f>BDH("OSPN US Equity","BS_INVENTORIES","1993-06-18","2026-05-02","Per=Y","Days=T","Dir=V")</f>
        <v>0</v>
      </c>
      <c r="W2">
        <f>BDH("OSPN US Equity","WORKING_CAPITAL","1993-06-18","2026-05-02","Per=Y","Days=T","Dir=V")</f>
        <v>0</v>
      </c>
      <c r="Y2">
        <f>BDH("OSPN US Equity","SALES_REV_TURN","1993-06-18","2026-05-02","Per=Y","Days=T","Dir=V")</f>
        <v>0</v>
      </c>
      <c r="AA2">
        <f>BDH("OSPN US Equity","EBIT","1993-06-18","2026-05-02","Per=Y","Days=T","Dir=V")</f>
        <v>0</v>
      </c>
      <c r="AC2">
        <f>BDH("OSPN US Equity","EBITDA","1993-06-18","2026-05-02","Per=Y","Days=T","Dir=V")</f>
        <v>0</v>
      </c>
      <c r="AE2">
        <f>BDH("OSPN US Equity","NET_INCOME","1993-06-18","2026-05-02","Per=Y","Days=T","Dir=V")</f>
        <v>0</v>
      </c>
      <c r="AG2">
        <f>BDH("OSPN US Equity","IS_INT_EXPENSE","1993-06-18","2026-05-02","Per=Y","Days=T","Dir=V")</f>
        <v>0</v>
      </c>
      <c r="AI2">
        <f>BDH("OSPN US Equity","IS_DEPR_EXP","1993-06-18","2026-05-02","Per=Y","Days=T","Dir=V")</f>
        <v>0</v>
      </c>
      <c r="AK2">
        <f>BDH("OSPN US Equity","CF_CASH_FROM_OPER","1993-06-18","2026-05-02","Per=Y","Days=T","Dir=V")</f>
        <v>0</v>
      </c>
      <c r="AM2">
        <f>BDH("OSPN US Equity","CAPITAL_EXPEND","1993-06-18","2026-05-02","Per=Y","Days=T","Dir=V")</f>
        <v>0</v>
      </c>
      <c r="AO2">
        <f>BDH("OSPN US Equity","CF_FREE_CASH_FLOW","1993-06-18","2026-05-02","Per=Y","Days=T","Dir=V")</f>
        <v>0</v>
      </c>
      <c r="AQ2">
        <f>BDH("OSPN US Equity","PX_LAST","1993-06-18","2026-05-02","Per=M","Days=T","Dir=V")</f>
        <v>0</v>
      </c>
      <c r="AS2">
        <f>BDH("OSPN US Equity","CUR_MKT_CAP","1993-06-18","2026-05-02","Per=M","Days=T","Dir=V")</f>
        <v>0</v>
      </c>
      <c r="AU2">
        <f>BDH("OSPN US Equity","EQY_SH_OUT","1993-06-18","2026-05-02","Per=M","Days=T","Dir=V")</f>
        <v>0</v>
      </c>
      <c r="AW2">
        <f>BDH("OSPN US Equity","PX_VOLUME","1993-06-18","2026-05-02","Per=M","Days=T","Dir=V")</f>
        <v>0</v>
      </c>
      <c r="AY2">
        <f>BDH("OSPN US Equity","TURNOVER","1993-06-18","2026-05-02","Per=M","Days=T","Dir=V")</f>
        <v>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BDH("OSS US Equity","BS_TOT_ASSET","1993-06-18","2026-05-02","Per=Y","Days=T","Dir=V")</f>
        <v>0</v>
      </c>
      <c r="C2">
        <f>BDH("OSS US Equity","BS_TOT_LIAB2","1993-06-18","2026-05-02","Per=Y","Days=T","Dir=V")</f>
        <v>0</v>
      </c>
      <c r="E2">
        <f>BDH("OSS US Equity","SHORT_AND_LONG_TERM_DEBT","1993-06-18","2026-05-02","Per=Y","Days=T","Dir=V")</f>
        <v>0</v>
      </c>
      <c r="G2">
        <f>BDH("OSS US Equity","BS_ST_BORROW","1993-06-18","2026-05-02","Per=Y","Days=T","Dir=V")</f>
        <v>0</v>
      </c>
      <c r="I2">
        <f>BDH("OSS US Equity","BS_LT_BORROW","1993-06-18","2026-05-02","Per=Y","Days=T","Dir=V")</f>
        <v>0</v>
      </c>
      <c r="K2">
        <f>BDH("OSS US Equity","BS_CASH_NEAR_CASH_ITEM","1993-06-18","2026-05-02","Per=Y","Days=T","Dir=V")</f>
        <v>0</v>
      </c>
      <c r="M2">
        <f>BDH("OSS US Equity","BS_CUR_ASSET_REPORT","1993-06-18","2026-05-02","Per=Y","Days=T","Dir=V")</f>
        <v>0</v>
      </c>
      <c r="O2">
        <f>BDH("OSS US Equity","BS_CUR_LIAB","1993-06-18","2026-05-02","Per=Y","Days=T","Dir=V")</f>
        <v>0</v>
      </c>
      <c r="Q2">
        <f>BDH("OSS US Equity","BS_SHAREHOLDER_EQY_ENDING_PERIOD","1993-06-18","2026-05-02","Per=Y","Days=T","Dir=V")</f>
        <v>0</v>
      </c>
      <c r="S2">
        <f>BDH("OSS US Equity","BS_ACCT_NOTE_RCV","1993-06-18","2026-05-02","Per=Y","Days=T","Dir=V")</f>
        <v>0</v>
      </c>
      <c r="U2">
        <f>BDH("OSS US Equity","BS_INVENTORIES","1993-06-18","2026-05-02","Per=Y","Days=T","Dir=V")</f>
        <v>0</v>
      </c>
      <c r="W2">
        <f>BDH("OSS US Equity","WORKING_CAPITAL","1993-06-18","2026-05-02","Per=Y","Days=T","Dir=V")</f>
        <v>0</v>
      </c>
      <c r="Y2">
        <f>BDH("OSS US Equity","SALES_REV_TURN","1993-06-18","2026-05-02","Per=Y","Days=T","Dir=V")</f>
        <v>0</v>
      </c>
      <c r="AA2">
        <f>BDH("OSS US Equity","EBIT","1993-06-18","2026-05-02","Per=Y","Days=T","Dir=V")</f>
        <v>0</v>
      </c>
      <c r="AC2">
        <f>BDH("OSS US Equity","EBITDA","1993-06-18","2026-05-02","Per=Y","Days=T","Dir=V")</f>
        <v>0</v>
      </c>
      <c r="AE2">
        <f>BDH("OSS US Equity","NET_INCOME","1993-06-18","2026-05-02","Per=Y","Days=T","Dir=V")</f>
        <v>0</v>
      </c>
      <c r="AG2">
        <f>BDH("OSS US Equity","IS_INT_EXPENSE","1993-06-18","2026-05-02","Per=Y","Days=T","Dir=V")</f>
        <v>0</v>
      </c>
      <c r="AI2">
        <f>BDH("OSS US Equity","IS_DEPR_EXP","1993-06-18","2026-05-02","Per=Y","Days=T","Dir=V")</f>
        <v>0</v>
      </c>
      <c r="AK2">
        <f>BDH("OSS US Equity","CF_CASH_FROM_OPER","1993-06-18","2026-05-02","Per=Y","Days=T","Dir=V")</f>
        <v>0</v>
      </c>
      <c r="AM2">
        <f>BDH("OSS US Equity","CAPITAL_EXPEND","1993-06-18","2026-05-02","Per=Y","Days=T","Dir=V")</f>
        <v>0</v>
      </c>
      <c r="AO2">
        <f>BDH("OSS US Equity","CF_FREE_CASH_FLOW","1993-06-18","2026-05-02","Per=Y","Days=T","Dir=V")</f>
        <v>0</v>
      </c>
      <c r="AQ2">
        <f>BDH("OSS US Equity","PX_LAST","1993-06-18","2026-05-02","Per=M","Days=T","Dir=V")</f>
        <v>0</v>
      </c>
      <c r="AS2">
        <f>BDH("OSS US Equity","CUR_MKT_CAP","1993-06-18","2026-05-02","Per=M","Days=T","Dir=V")</f>
        <v>0</v>
      </c>
      <c r="AU2">
        <f>BDH("OSS US Equity","EQY_SH_OUT","1993-06-18","2026-05-02","Per=M","Days=T","Dir=V")</f>
        <v>0</v>
      </c>
      <c r="AW2">
        <f>BDH("OSS US Equity","PX_VOLUME","1993-06-18","2026-05-02","Per=M","Days=T","Dir=V")</f>
        <v>0</v>
      </c>
      <c r="AY2">
        <f>BDH("OSS US Equity","TURNOVER","1993-06-18","2026-05-02","Per=M","Days=T","Dir=V")</f>
        <v>0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BDH("OSUR US Equity","BS_TOT_ASSET","1993-06-18","2026-05-02","Per=Y","Days=T","Dir=V")</f>
        <v>0</v>
      </c>
      <c r="C2">
        <f>BDH("OSUR US Equity","BS_TOT_LIAB2","1993-06-18","2026-05-02","Per=Y","Days=T","Dir=V")</f>
        <v>0</v>
      </c>
      <c r="E2">
        <f>BDH("OSUR US Equity","SHORT_AND_LONG_TERM_DEBT","1993-06-18","2026-05-02","Per=Y","Days=T","Dir=V")</f>
        <v>0</v>
      </c>
      <c r="G2">
        <f>BDH("OSUR US Equity","BS_ST_BORROW","1993-06-18","2026-05-02","Per=Y","Days=T","Dir=V")</f>
        <v>0</v>
      </c>
      <c r="I2">
        <f>BDH("OSUR US Equity","BS_LT_BORROW","1993-06-18","2026-05-02","Per=Y","Days=T","Dir=V")</f>
        <v>0</v>
      </c>
      <c r="K2">
        <f>BDH("OSUR US Equity","BS_CASH_NEAR_CASH_ITEM","1993-06-18","2026-05-02","Per=Y","Days=T","Dir=V")</f>
        <v>0</v>
      </c>
      <c r="M2">
        <f>BDH("OSUR US Equity","BS_CUR_ASSET_REPORT","1993-06-18","2026-05-02","Per=Y","Days=T","Dir=V")</f>
        <v>0</v>
      </c>
      <c r="O2">
        <f>BDH("OSUR US Equity","BS_CUR_LIAB","1993-06-18","2026-05-02","Per=Y","Days=T","Dir=V")</f>
        <v>0</v>
      </c>
      <c r="Q2">
        <f>BDH("OSUR US Equity","BS_SHAREHOLDER_EQY_ENDING_PERIOD","1993-06-18","2026-05-02","Per=Y","Days=T","Dir=V")</f>
        <v>0</v>
      </c>
      <c r="S2">
        <f>BDH("OSUR US Equity","BS_ACCT_NOTE_RCV","1993-06-18","2026-05-02","Per=Y","Days=T","Dir=V")</f>
        <v>0</v>
      </c>
      <c r="U2">
        <f>BDH("OSUR US Equity","BS_INVENTORIES","1993-06-18","2026-05-02","Per=Y","Days=T","Dir=V")</f>
        <v>0</v>
      </c>
      <c r="W2">
        <f>BDH("OSUR US Equity","WORKING_CAPITAL","1993-06-18","2026-05-02","Per=Y","Days=T","Dir=V")</f>
        <v>0</v>
      </c>
      <c r="Y2">
        <f>BDH("OSUR US Equity","SALES_REV_TURN","1993-06-18","2026-05-02","Per=Y","Days=T","Dir=V")</f>
        <v>0</v>
      </c>
      <c r="AA2">
        <f>BDH("OSUR US Equity","EBIT","1993-06-18","2026-05-02","Per=Y","Days=T","Dir=V")</f>
        <v>0</v>
      </c>
      <c r="AC2">
        <f>BDH("OSUR US Equity","EBITDA","1993-06-18","2026-05-02","Per=Y","Days=T","Dir=V")</f>
        <v>0</v>
      </c>
      <c r="AE2">
        <f>BDH("OSUR US Equity","NET_INCOME","1993-06-18","2026-05-02","Per=Y","Days=T","Dir=V")</f>
        <v>0</v>
      </c>
      <c r="AG2">
        <f>BDH("OSUR US Equity","IS_INT_EXPENSE","1993-06-18","2026-05-02","Per=Y","Days=T","Dir=V")</f>
        <v>0</v>
      </c>
      <c r="AI2">
        <f>BDH("OSUR US Equity","IS_DEPR_EXP","1993-06-18","2026-05-02","Per=Y","Days=T","Dir=V")</f>
        <v>0</v>
      </c>
      <c r="AK2">
        <f>BDH("OSUR US Equity","CF_CASH_FROM_OPER","1993-06-18","2026-05-02","Per=Y","Days=T","Dir=V")</f>
        <v>0</v>
      </c>
      <c r="AM2">
        <f>BDH("OSUR US Equity","CAPITAL_EXPEND","1993-06-18","2026-05-02","Per=Y","Days=T","Dir=V")</f>
        <v>0</v>
      </c>
      <c r="AO2">
        <f>BDH("OSUR US Equity","CF_FREE_CASH_FLOW","1993-06-18","2026-05-02","Per=Y","Days=T","Dir=V")</f>
        <v>0</v>
      </c>
      <c r="AQ2">
        <f>BDH("OSUR US Equity","PX_LAST","1993-06-18","2026-05-02","Per=M","Days=T","Dir=V")</f>
        <v>0</v>
      </c>
      <c r="AS2">
        <f>BDH("OSUR US Equity","CUR_MKT_CAP","1993-06-18","2026-05-02","Per=M","Days=T","Dir=V")</f>
        <v>0</v>
      </c>
      <c r="AU2">
        <f>BDH("OSUR US Equity","EQY_SH_OUT","1993-06-18","2026-05-02","Per=M","Days=T","Dir=V")</f>
        <v>0</v>
      </c>
      <c r="AW2">
        <f>BDH("OSUR US Equity","PX_VOLUME","1993-06-18","2026-05-02","Per=M","Days=T","Dir=V")</f>
        <v>0</v>
      </c>
      <c r="AY2">
        <f>BDH("OSUR US Equity","TURNOVER","1993-06-18","2026-05-02","Per=M","Days=T","Dir=V")</f>
        <v>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BDH("OTIS US Equity","BS_TOT_ASSET","1993-06-18","2026-05-02","Per=Y","Days=T","Dir=V")</f>
        <v>0</v>
      </c>
      <c r="C2">
        <f>BDH("OTIS US Equity","BS_TOT_LIAB2","1993-06-18","2026-05-02","Per=Y","Days=T","Dir=V")</f>
        <v>0</v>
      </c>
      <c r="E2">
        <f>BDH("OTIS US Equity","SHORT_AND_LONG_TERM_DEBT","1993-06-18","2026-05-02","Per=Y","Days=T","Dir=V")</f>
        <v>0</v>
      </c>
      <c r="G2">
        <f>BDH("OTIS US Equity","BS_ST_BORROW","1993-06-18","2026-05-02","Per=Y","Days=T","Dir=V")</f>
        <v>0</v>
      </c>
      <c r="I2">
        <f>BDH("OTIS US Equity","BS_LT_BORROW","1993-06-18","2026-05-02","Per=Y","Days=T","Dir=V")</f>
        <v>0</v>
      </c>
      <c r="K2">
        <f>BDH("OTIS US Equity","BS_CASH_NEAR_CASH_ITEM","1993-06-18","2026-05-02","Per=Y","Days=T","Dir=V")</f>
        <v>0</v>
      </c>
      <c r="M2">
        <f>BDH("OTIS US Equity","BS_CUR_ASSET_REPORT","1993-06-18","2026-05-02","Per=Y","Days=T","Dir=V")</f>
        <v>0</v>
      </c>
      <c r="O2">
        <f>BDH("OTIS US Equity","BS_CUR_LIAB","1993-06-18","2026-05-02","Per=Y","Days=T","Dir=V")</f>
        <v>0</v>
      </c>
      <c r="Q2">
        <f>BDH("OTIS US Equity","BS_SHAREHOLDER_EQY_ENDING_PERIOD","1993-06-18","2026-05-02","Per=Y","Days=T","Dir=V")</f>
        <v>0</v>
      </c>
      <c r="S2">
        <f>BDH("OTIS US Equity","BS_ACCT_NOTE_RCV","1993-06-18","2026-05-02","Per=Y","Days=T","Dir=V")</f>
        <v>0</v>
      </c>
      <c r="U2">
        <f>BDH("OTIS US Equity","BS_INVENTORIES","1993-06-18","2026-05-02","Per=Y","Days=T","Dir=V")</f>
        <v>0</v>
      </c>
      <c r="W2">
        <f>BDH("OTIS US Equity","WORKING_CAPITAL","1993-06-18","2026-05-02","Per=Y","Days=T","Dir=V")</f>
        <v>0</v>
      </c>
      <c r="Y2">
        <f>BDH("OTIS US Equity","SALES_REV_TURN","1993-06-18","2026-05-02","Per=Y","Days=T","Dir=V")</f>
        <v>0</v>
      </c>
      <c r="AA2">
        <f>BDH("OTIS US Equity","EBIT","1993-06-18","2026-05-02","Per=Y","Days=T","Dir=V")</f>
        <v>0</v>
      </c>
      <c r="AC2">
        <f>BDH("OTIS US Equity","EBITDA","1993-06-18","2026-05-02","Per=Y","Days=T","Dir=V")</f>
        <v>0</v>
      </c>
      <c r="AE2">
        <f>BDH("OTIS US Equity","NET_INCOME","1993-06-18","2026-05-02","Per=Y","Days=T","Dir=V")</f>
        <v>0</v>
      </c>
      <c r="AG2">
        <f>BDH("OTIS US Equity","IS_INT_EXPENSE","1993-06-18","2026-05-02","Per=Y","Days=T","Dir=V")</f>
        <v>0</v>
      </c>
      <c r="AI2">
        <f>BDH("OTIS US Equity","IS_DEPR_EXP","1993-06-18","2026-05-02","Per=Y","Days=T","Dir=V")</f>
        <v>0</v>
      </c>
      <c r="AK2">
        <f>BDH("OTIS US Equity","CF_CASH_FROM_OPER","1993-06-18","2026-05-02","Per=Y","Days=T","Dir=V")</f>
        <v>0</v>
      </c>
      <c r="AM2">
        <f>BDH("OTIS US Equity","CAPITAL_EXPEND","1993-06-18","2026-05-02","Per=Y","Days=T","Dir=V")</f>
        <v>0</v>
      </c>
      <c r="AO2">
        <f>BDH("OTIS US Equity","CF_FREE_CASH_FLOW","1993-06-18","2026-05-02","Per=Y","Days=T","Dir=V")</f>
        <v>0</v>
      </c>
      <c r="AQ2">
        <f>BDH("OTIS US Equity","PX_LAST","1993-06-18","2026-05-02","Per=M","Days=T","Dir=V")</f>
        <v>0</v>
      </c>
      <c r="AS2">
        <f>BDH("OTIS US Equity","CUR_MKT_CAP","1993-06-18","2026-05-02","Per=M","Days=T","Dir=V")</f>
        <v>0</v>
      </c>
      <c r="AU2">
        <f>BDH("OTIS US Equity","EQY_SH_OUT","1993-06-18","2026-05-02","Per=M","Days=T","Dir=V")</f>
        <v>0</v>
      </c>
      <c r="AW2">
        <f>BDH("OTIS US Equity","PX_VOLUME","1993-06-18","2026-05-02","Per=M","Days=T","Dir=V")</f>
        <v>0</v>
      </c>
      <c r="AY2">
        <f>BDH("OTIS US Equity","TURNOVER","1993-06-18","2026-05-02","Per=M","Days=T","Dir=V")</f>
        <v>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BDH("OTLK US Equity","BS_TOT_ASSET","1993-06-18","2026-05-02","Per=Y","Days=T","Dir=V")</f>
        <v>0</v>
      </c>
      <c r="C2">
        <f>BDH("OTLK US Equity","BS_TOT_LIAB2","1993-06-18","2026-05-02","Per=Y","Days=T","Dir=V")</f>
        <v>0</v>
      </c>
      <c r="E2">
        <f>BDH("OTLK US Equity","SHORT_AND_LONG_TERM_DEBT","1993-06-18","2026-05-02","Per=Y","Days=T","Dir=V")</f>
        <v>0</v>
      </c>
      <c r="G2">
        <f>BDH("OTLK US Equity","BS_ST_BORROW","1993-06-18","2026-05-02","Per=Y","Days=T","Dir=V")</f>
        <v>0</v>
      </c>
      <c r="I2">
        <f>BDH("OTLK US Equity","BS_LT_BORROW","1993-06-18","2026-05-02","Per=Y","Days=T","Dir=V")</f>
        <v>0</v>
      </c>
      <c r="K2">
        <f>BDH("OTLK US Equity","BS_CASH_NEAR_CASH_ITEM","1993-06-18","2026-05-02","Per=Y","Days=T","Dir=V")</f>
        <v>0</v>
      </c>
      <c r="M2">
        <f>BDH("OTLK US Equity","BS_CUR_ASSET_REPORT","1993-06-18","2026-05-02","Per=Y","Days=T","Dir=V")</f>
        <v>0</v>
      </c>
      <c r="O2">
        <f>BDH("OTLK US Equity","BS_CUR_LIAB","1993-06-18","2026-05-02","Per=Y","Days=T","Dir=V")</f>
        <v>0</v>
      </c>
      <c r="Q2">
        <f>BDH("OTLK US Equity","BS_SHAREHOLDER_EQY_ENDING_PERIOD","1993-06-18","2026-05-02","Per=Y","Days=T","Dir=V")</f>
        <v>0</v>
      </c>
      <c r="S2">
        <f>BDH("OTLK US Equity","BS_ACCT_NOTE_RCV","1993-06-18","2026-05-02","Per=Y","Days=T","Dir=V")</f>
        <v>0</v>
      </c>
      <c r="U2">
        <f>BDH("OTLK US Equity","BS_INVENTORIES","1993-06-18","2026-05-02","Per=Y","Days=T","Dir=V")</f>
        <v>0</v>
      </c>
      <c r="W2">
        <f>BDH("OTLK US Equity","WORKING_CAPITAL","1993-06-18","2026-05-02","Per=Y","Days=T","Dir=V")</f>
        <v>0</v>
      </c>
      <c r="Y2">
        <f>BDH("OTLK US Equity","SALES_REV_TURN","1993-06-18","2026-05-02","Per=Y","Days=T","Dir=V")</f>
        <v>0</v>
      </c>
      <c r="AA2">
        <f>BDH("OTLK US Equity","EBIT","1993-06-18","2026-05-02","Per=Y","Days=T","Dir=V")</f>
        <v>0</v>
      </c>
      <c r="AC2">
        <f>BDH("OTLK US Equity","EBITDA","1993-06-18","2026-05-02","Per=Y","Days=T","Dir=V")</f>
        <v>0</v>
      </c>
      <c r="AE2">
        <f>BDH("OTLK US Equity","NET_INCOME","1993-06-18","2026-05-02","Per=Y","Days=T","Dir=V")</f>
        <v>0</v>
      </c>
      <c r="AG2">
        <f>BDH("OTLK US Equity","IS_INT_EXPENSE","1993-06-18","2026-05-02","Per=Y","Days=T","Dir=V")</f>
        <v>0</v>
      </c>
      <c r="AI2">
        <f>BDH("OTLK US Equity","IS_DEPR_EXP","1993-06-18","2026-05-02","Per=Y","Days=T","Dir=V")</f>
        <v>0</v>
      </c>
      <c r="AK2">
        <f>BDH("OTLK US Equity","CF_CASH_FROM_OPER","1993-06-18","2026-05-02","Per=Y","Days=T","Dir=V")</f>
        <v>0</v>
      </c>
      <c r="AM2">
        <f>BDH("OTLK US Equity","CAPITAL_EXPEND","1993-06-18","2026-05-02","Per=Y","Days=T","Dir=V")</f>
        <v>0</v>
      </c>
      <c r="AO2">
        <f>BDH("OTLK US Equity","CF_FREE_CASH_FLOW","1993-06-18","2026-05-02","Per=Y","Days=T","Dir=V")</f>
        <v>0</v>
      </c>
      <c r="AQ2">
        <f>BDH("OTLK US Equity","PX_LAST","1993-06-18","2026-05-02","Per=M","Days=T","Dir=V")</f>
        <v>0</v>
      </c>
      <c r="AS2">
        <f>BDH("OTLK US Equity","CUR_MKT_CAP","1993-06-18","2026-05-02","Per=M","Days=T","Dir=V")</f>
        <v>0</v>
      </c>
      <c r="AU2">
        <f>BDH("OTLK US Equity","EQY_SH_OUT","1993-06-18","2026-05-02","Per=M","Days=T","Dir=V")</f>
        <v>0</v>
      </c>
      <c r="AW2">
        <f>BDH("OTLK US Equity","PX_VOLUME","1993-06-18","2026-05-02","Per=M","Days=T","Dir=V")</f>
        <v>0</v>
      </c>
      <c r="AY2">
        <f>BDH("OTLK US Equity","TURNOVER","1993-06-18","2026-05-02","Per=M","Days=T","Dir=V")</f>
        <v>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BDH("OTTR US Equity","BS_TOT_ASSET","1993-06-18","2026-05-02","Per=Y","Days=T","Dir=V")</f>
        <v>0</v>
      </c>
      <c r="C2">
        <f>BDH("OTTR US Equity","BS_TOT_LIAB2","1993-06-18","2026-05-02","Per=Y","Days=T","Dir=V")</f>
        <v>0</v>
      </c>
      <c r="E2">
        <f>BDH("OTTR US Equity","SHORT_AND_LONG_TERM_DEBT","1993-06-18","2026-05-02","Per=Y","Days=T","Dir=V")</f>
        <v>0</v>
      </c>
      <c r="G2">
        <f>BDH("OTTR US Equity","BS_ST_BORROW","1993-06-18","2026-05-02","Per=Y","Days=T","Dir=V")</f>
        <v>0</v>
      </c>
      <c r="I2">
        <f>BDH("OTTR US Equity","BS_LT_BORROW","1993-06-18","2026-05-02","Per=Y","Days=T","Dir=V")</f>
        <v>0</v>
      </c>
      <c r="K2">
        <f>BDH("OTTR US Equity","BS_CASH_NEAR_CASH_ITEM","1993-06-18","2026-05-02","Per=Y","Days=T","Dir=V")</f>
        <v>0</v>
      </c>
      <c r="M2">
        <f>BDH("OTTR US Equity","BS_CUR_ASSET_REPORT","1993-06-18","2026-05-02","Per=Y","Days=T","Dir=V")</f>
        <v>0</v>
      </c>
      <c r="O2">
        <f>BDH("OTTR US Equity","BS_CUR_LIAB","1993-06-18","2026-05-02","Per=Y","Days=T","Dir=V")</f>
        <v>0</v>
      </c>
      <c r="Q2">
        <f>BDH("OTTR US Equity","BS_SHAREHOLDER_EQY_ENDING_PERIOD","1993-06-18","2026-05-02","Per=Y","Days=T","Dir=V")</f>
        <v>0</v>
      </c>
      <c r="S2">
        <f>BDH("OTTR US Equity","BS_ACCT_NOTE_RCV","1993-06-18","2026-05-02","Per=Y","Days=T","Dir=V")</f>
        <v>0</v>
      </c>
      <c r="U2">
        <f>BDH("OTTR US Equity","BS_INVENTORIES","1993-06-18","2026-05-02","Per=Y","Days=T","Dir=V")</f>
        <v>0</v>
      </c>
      <c r="W2">
        <f>BDH("OTTR US Equity","WORKING_CAPITAL","1993-06-18","2026-05-02","Per=Y","Days=T","Dir=V")</f>
        <v>0</v>
      </c>
      <c r="Y2">
        <f>BDH("OTTR US Equity","SALES_REV_TURN","1993-06-18","2026-05-02","Per=Y","Days=T","Dir=V")</f>
        <v>0</v>
      </c>
      <c r="AA2">
        <f>BDH("OTTR US Equity","EBIT","1993-06-18","2026-05-02","Per=Y","Days=T","Dir=V")</f>
        <v>0</v>
      </c>
      <c r="AC2">
        <f>BDH("OTTR US Equity","EBITDA","1993-06-18","2026-05-02","Per=Y","Days=T","Dir=V")</f>
        <v>0</v>
      </c>
      <c r="AE2">
        <f>BDH("OTTR US Equity","NET_INCOME","1993-06-18","2026-05-02","Per=Y","Days=T","Dir=V")</f>
        <v>0</v>
      </c>
      <c r="AG2">
        <f>BDH("OTTR US Equity","IS_INT_EXPENSE","1993-06-18","2026-05-02","Per=Y","Days=T","Dir=V")</f>
        <v>0</v>
      </c>
      <c r="AI2">
        <f>BDH("OTTR US Equity","IS_DEPR_EXP","1993-06-18","2026-05-02","Per=Y","Days=T","Dir=V")</f>
        <v>0</v>
      </c>
      <c r="AK2">
        <f>BDH("OTTR US Equity","CF_CASH_FROM_OPER","1993-06-18","2026-05-02","Per=Y","Days=T","Dir=V")</f>
        <v>0</v>
      </c>
      <c r="AM2">
        <f>BDH("OTTR US Equity","CAPITAL_EXPEND","1993-06-18","2026-05-02","Per=Y","Days=T","Dir=V")</f>
        <v>0</v>
      </c>
      <c r="AO2">
        <f>BDH("OTTR US Equity","CF_FREE_CASH_FLOW","1993-06-18","2026-05-02","Per=Y","Days=T","Dir=V")</f>
        <v>0</v>
      </c>
      <c r="AQ2">
        <f>BDH("OTTR US Equity","PX_LAST","1993-06-18","2026-05-02","Per=M","Days=T","Dir=V")</f>
        <v>0</v>
      </c>
      <c r="AS2">
        <f>BDH("OTTR US Equity","CUR_MKT_CAP","1993-06-18","2026-05-02","Per=M","Days=T","Dir=V")</f>
        <v>0</v>
      </c>
      <c r="AU2">
        <f>BDH("OTTR US Equity","EQY_SH_OUT","1993-06-18","2026-05-02","Per=M","Days=T","Dir=V")</f>
        <v>0</v>
      </c>
      <c r="AW2">
        <f>BDH("OTTR US Equity","PX_VOLUME","1993-06-18","2026-05-02","Per=M","Days=T","Dir=V")</f>
        <v>0</v>
      </c>
      <c r="AY2">
        <f>BDH("OTTR US Equity","TURNOVER","1993-06-18","2026-05-02","Per=M","Days=T","Dir=V")</f>
        <v>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BDH("OUST US Equity","BS_TOT_ASSET","1993-06-18","2026-05-02","Per=Y","Days=T","Dir=V")</f>
        <v>0</v>
      </c>
      <c r="C2">
        <f>BDH("OUST US Equity","BS_TOT_LIAB2","1993-06-18","2026-05-02","Per=Y","Days=T","Dir=V")</f>
        <v>0</v>
      </c>
      <c r="E2">
        <f>BDH("OUST US Equity","SHORT_AND_LONG_TERM_DEBT","1993-06-18","2026-05-02","Per=Y","Days=T","Dir=V")</f>
        <v>0</v>
      </c>
      <c r="G2">
        <f>BDH("OUST US Equity","BS_ST_BORROW","1993-06-18","2026-05-02","Per=Y","Days=T","Dir=V")</f>
        <v>0</v>
      </c>
      <c r="I2">
        <f>BDH("OUST US Equity","BS_LT_BORROW","1993-06-18","2026-05-02","Per=Y","Days=T","Dir=V")</f>
        <v>0</v>
      </c>
      <c r="K2">
        <f>BDH("OUST US Equity","BS_CASH_NEAR_CASH_ITEM","1993-06-18","2026-05-02","Per=Y","Days=T","Dir=V")</f>
        <v>0</v>
      </c>
      <c r="M2">
        <f>BDH("OUST US Equity","BS_CUR_ASSET_REPORT","1993-06-18","2026-05-02","Per=Y","Days=T","Dir=V")</f>
        <v>0</v>
      </c>
      <c r="O2">
        <f>BDH("OUST US Equity","BS_CUR_LIAB","1993-06-18","2026-05-02","Per=Y","Days=T","Dir=V")</f>
        <v>0</v>
      </c>
      <c r="Q2">
        <f>BDH("OUST US Equity","BS_SHAREHOLDER_EQY_ENDING_PERIOD","1993-06-18","2026-05-02","Per=Y","Days=T","Dir=V")</f>
        <v>0</v>
      </c>
      <c r="S2">
        <f>BDH("OUST US Equity","BS_ACCT_NOTE_RCV","1993-06-18","2026-05-02","Per=Y","Days=T","Dir=V")</f>
        <v>0</v>
      </c>
      <c r="U2">
        <f>BDH("OUST US Equity","BS_INVENTORIES","1993-06-18","2026-05-02","Per=Y","Days=T","Dir=V")</f>
        <v>0</v>
      </c>
      <c r="W2">
        <f>BDH("OUST US Equity","WORKING_CAPITAL","1993-06-18","2026-05-02","Per=Y","Days=T","Dir=V")</f>
        <v>0</v>
      </c>
      <c r="Y2">
        <f>BDH("OUST US Equity","SALES_REV_TURN","1993-06-18","2026-05-02","Per=Y","Days=T","Dir=V")</f>
        <v>0</v>
      </c>
      <c r="AA2">
        <f>BDH("OUST US Equity","EBIT","1993-06-18","2026-05-02","Per=Y","Days=T","Dir=V")</f>
        <v>0</v>
      </c>
      <c r="AC2">
        <f>BDH("OUST US Equity","EBITDA","1993-06-18","2026-05-02","Per=Y","Days=T","Dir=V")</f>
        <v>0</v>
      </c>
      <c r="AE2">
        <f>BDH("OUST US Equity","NET_INCOME","1993-06-18","2026-05-02","Per=Y","Days=T","Dir=V")</f>
        <v>0</v>
      </c>
      <c r="AG2">
        <f>BDH("OUST US Equity","IS_INT_EXPENSE","1993-06-18","2026-05-02","Per=Y","Days=T","Dir=V")</f>
        <v>0</v>
      </c>
      <c r="AI2">
        <f>BDH("OUST US Equity","IS_DEPR_EXP","1993-06-18","2026-05-02","Per=Y","Days=T","Dir=V")</f>
        <v>0</v>
      </c>
      <c r="AK2">
        <f>BDH("OUST US Equity","CF_CASH_FROM_OPER","1993-06-18","2026-05-02","Per=Y","Days=T","Dir=V")</f>
        <v>0</v>
      </c>
      <c r="AM2">
        <f>BDH("OUST US Equity","CAPITAL_EXPEND","1993-06-18","2026-05-02","Per=Y","Days=T","Dir=V")</f>
        <v>0</v>
      </c>
      <c r="AO2">
        <f>BDH("OUST US Equity","CF_FREE_CASH_FLOW","1993-06-18","2026-05-02","Per=Y","Days=T","Dir=V")</f>
        <v>0</v>
      </c>
      <c r="AQ2">
        <f>BDH("OUST US Equity","PX_LAST","1993-06-18","2026-05-02","Per=M","Days=T","Dir=V")</f>
        <v>0</v>
      </c>
      <c r="AS2">
        <f>BDH("OUST US Equity","CUR_MKT_CAP","1993-06-18","2026-05-02","Per=M","Days=T","Dir=V")</f>
        <v>0</v>
      </c>
      <c r="AU2">
        <f>BDH("OUST US Equity","EQY_SH_OUT","1993-06-18","2026-05-02","Per=M","Days=T","Dir=V")</f>
        <v>0</v>
      </c>
      <c r="AW2">
        <f>BDH("OUST US Equity","PX_VOLUME","1993-06-18","2026-05-02","Per=M","Days=T","Dir=V")</f>
        <v>0</v>
      </c>
      <c r="AY2">
        <f>BDH("OUST US Equity","TURNOVER","1993-06-18","2026-05-02","Per=M","Days=T","Dir=V")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BDH("OVID US Equity","BS_TOT_ASSET","1993-06-18","2026-05-02","Per=Y","Days=T","Dir=V")</f>
        <v>0</v>
      </c>
      <c r="C2">
        <f>BDH("OVID US Equity","BS_TOT_LIAB2","1993-06-18","2026-05-02","Per=Y","Days=T","Dir=V")</f>
        <v>0</v>
      </c>
      <c r="E2">
        <f>BDH("OVID US Equity","SHORT_AND_LONG_TERM_DEBT","1993-06-18","2026-05-02","Per=Y","Days=T","Dir=V")</f>
        <v>0</v>
      </c>
      <c r="G2">
        <f>BDH("OVID US Equity","BS_ST_BORROW","1993-06-18","2026-05-02","Per=Y","Days=T","Dir=V")</f>
        <v>0</v>
      </c>
      <c r="I2">
        <f>BDH("OVID US Equity","BS_LT_BORROW","1993-06-18","2026-05-02","Per=Y","Days=T","Dir=V")</f>
        <v>0</v>
      </c>
      <c r="K2">
        <f>BDH("OVID US Equity","BS_CASH_NEAR_CASH_ITEM","1993-06-18","2026-05-02","Per=Y","Days=T","Dir=V")</f>
        <v>0</v>
      </c>
      <c r="M2">
        <f>BDH("OVID US Equity","BS_CUR_ASSET_REPORT","1993-06-18","2026-05-02","Per=Y","Days=T","Dir=V")</f>
        <v>0</v>
      </c>
      <c r="O2">
        <f>BDH("OVID US Equity","BS_CUR_LIAB","1993-06-18","2026-05-02","Per=Y","Days=T","Dir=V")</f>
        <v>0</v>
      </c>
      <c r="Q2">
        <f>BDH("OVID US Equity","BS_SHAREHOLDER_EQY_ENDING_PERIOD","1993-06-18","2026-05-02","Per=Y","Days=T","Dir=V")</f>
        <v>0</v>
      </c>
      <c r="S2">
        <f>BDH("OVID US Equity","BS_ACCT_NOTE_RCV","1993-06-18","2026-05-02","Per=Y","Days=T","Dir=V")</f>
        <v>0</v>
      </c>
      <c r="U2">
        <f>BDH("OVID US Equity","BS_INVENTORIES","1993-06-18","2026-05-02","Per=Y","Days=T","Dir=V")</f>
        <v>0</v>
      </c>
      <c r="W2">
        <f>BDH("OVID US Equity","WORKING_CAPITAL","1993-06-18","2026-05-02","Per=Y","Days=T","Dir=V")</f>
        <v>0</v>
      </c>
      <c r="Y2">
        <f>BDH("OVID US Equity","SALES_REV_TURN","1993-06-18","2026-05-02","Per=Y","Days=T","Dir=V")</f>
        <v>0</v>
      </c>
      <c r="AA2">
        <f>BDH("OVID US Equity","EBIT","1993-06-18","2026-05-02","Per=Y","Days=T","Dir=V")</f>
        <v>0</v>
      </c>
      <c r="AC2">
        <f>BDH("OVID US Equity","EBITDA","1993-06-18","2026-05-02","Per=Y","Days=T","Dir=V")</f>
        <v>0</v>
      </c>
      <c r="AE2">
        <f>BDH("OVID US Equity","NET_INCOME","1993-06-18","2026-05-02","Per=Y","Days=T","Dir=V")</f>
        <v>0</v>
      </c>
      <c r="AG2">
        <f>BDH("OVID US Equity","IS_INT_EXPENSE","1993-06-18","2026-05-02","Per=Y","Days=T","Dir=V")</f>
        <v>0</v>
      </c>
      <c r="AI2">
        <f>BDH("OVID US Equity","IS_DEPR_EXP","1993-06-18","2026-05-02","Per=Y","Days=T","Dir=V")</f>
        <v>0</v>
      </c>
      <c r="AK2">
        <f>BDH("OVID US Equity","CF_CASH_FROM_OPER","1993-06-18","2026-05-02","Per=Y","Days=T","Dir=V")</f>
        <v>0</v>
      </c>
      <c r="AM2">
        <f>BDH("OVID US Equity","CAPITAL_EXPEND","1993-06-18","2026-05-02","Per=Y","Days=T","Dir=V")</f>
        <v>0</v>
      </c>
      <c r="AO2">
        <f>BDH("OVID US Equity","CF_FREE_CASH_FLOW","1993-06-18","2026-05-02","Per=Y","Days=T","Dir=V")</f>
        <v>0</v>
      </c>
      <c r="AQ2">
        <f>BDH("OVID US Equity","PX_LAST","1993-06-18","2026-05-02","Per=M","Days=T","Dir=V")</f>
        <v>0</v>
      </c>
      <c r="AS2">
        <f>BDH("OVID US Equity","CUR_MKT_CAP","1993-06-18","2026-05-02","Per=M","Days=T","Dir=V")</f>
        <v>0</v>
      </c>
      <c r="AU2">
        <f>BDH("OVID US Equity","EQY_SH_OUT","1993-06-18","2026-05-02","Per=M","Days=T","Dir=V")</f>
        <v>0</v>
      </c>
      <c r="AW2">
        <f>BDH("OVID US Equity","PX_VOLUME","1993-06-18","2026-05-02","Per=M","Days=T","Dir=V")</f>
        <v>0</v>
      </c>
      <c r="AY2">
        <f>BDH("OVID US Equity","TURNOVER","1993-06-18","2026-05-02","Per=M","Days=T","Dir=V")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BDH("OWLT US Equity","BS_TOT_ASSET","1993-06-18","2026-05-02","Per=Y","Days=T","Dir=V")</f>
        <v>0</v>
      </c>
      <c r="C2">
        <f>BDH("OWLT US Equity","BS_TOT_LIAB2","1993-06-18","2026-05-02","Per=Y","Days=T","Dir=V")</f>
        <v>0</v>
      </c>
      <c r="E2">
        <f>BDH("OWLT US Equity","SHORT_AND_LONG_TERM_DEBT","1993-06-18","2026-05-02","Per=Y","Days=T","Dir=V")</f>
        <v>0</v>
      </c>
      <c r="G2">
        <f>BDH("OWLT US Equity","BS_ST_BORROW","1993-06-18","2026-05-02","Per=Y","Days=T","Dir=V")</f>
        <v>0</v>
      </c>
      <c r="I2">
        <f>BDH("OWLT US Equity","BS_LT_BORROW","1993-06-18","2026-05-02","Per=Y","Days=T","Dir=V")</f>
        <v>0</v>
      </c>
      <c r="K2">
        <f>BDH("OWLT US Equity","BS_CASH_NEAR_CASH_ITEM","1993-06-18","2026-05-02","Per=Y","Days=T","Dir=V")</f>
        <v>0</v>
      </c>
      <c r="M2">
        <f>BDH("OWLT US Equity","BS_CUR_ASSET_REPORT","1993-06-18","2026-05-02","Per=Y","Days=T","Dir=V")</f>
        <v>0</v>
      </c>
      <c r="O2">
        <f>BDH("OWLT US Equity","BS_CUR_LIAB","1993-06-18","2026-05-02","Per=Y","Days=T","Dir=V")</f>
        <v>0</v>
      </c>
      <c r="Q2">
        <f>BDH("OWLT US Equity","BS_SHAREHOLDER_EQY_ENDING_PERIOD","1993-06-18","2026-05-02","Per=Y","Days=T","Dir=V")</f>
        <v>0</v>
      </c>
      <c r="S2">
        <f>BDH("OWLT US Equity","BS_ACCT_NOTE_RCV","1993-06-18","2026-05-02","Per=Y","Days=T","Dir=V")</f>
        <v>0</v>
      </c>
      <c r="U2">
        <f>BDH("OWLT US Equity","BS_INVENTORIES","1993-06-18","2026-05-02","Per=Y","Days=T","Dir=V")</f>
        <v>0</v>
      </c>
      <c r="W2">
        <f>BDH("OWLT US Equity","WORKING_CAPITAL","1993-06-18","2026-05-02","Per=Y","Days=T","Dir=V")</f>
        <v>0</v>
      </c>
      <c r="Y2">
        <f>BDH("OWLT US Equity","SALES_REV_TURN","1993-06-18","2026-05-02","Per=Y","Days=T","Dir=V")</f>
        <v>0</v>
      </c>
      <c r="AA2">
        <f>BDH("OWLT US Equity","EBIT","1993-06-18","2026-05-02","Per=Y","Days=T","Dir=V")</f>
        <v>0</v>
      </c>
      <c r="AC2">
        <f>BDH("OWLT US Equity","EBITDA","1993-06-18","2026-05-02","Per=Y","Days=T","Dir=V")</f>
        <v>0</v>
      </c>
      <c r="AE2">
        <f>BDH("OWLT US Equity","NET_INCOME","1993-06-18","2026-05-02","Per=Y","Days=T","Dir=V")</f>
        <v>0</v>
      </c>
      <c r="AG2">
        <f>BDH("OWLT US Equity","IS_INT_EXPENSE","1993-06-18","2026-05-02","Per=Y","Days=T","Dir=V")</f>
        <v>0</v>
      </c>
      <c r="AI2">
        <f>BDH("OWLT US Equity","IS_DEPR_EXP","1993-06-18","2026-05-02","Per=Y","Days=T","Dir=V")</f>
        <v>0</v>
      </c>
      <c r="AK2">
        <f>BDH("OWLT US Equity","CF_CASH_FROM_OPER","1993-06-18","2026-05-02","Per=Y","Days=T","Dir=V")</f>
        <v>0</v>
      </c>
      <c r="AM2">
        <f>BDH("OWLT US Equity","CAPITAL_EXPEND","1993-06-18","2026-05-02","Per=Y","Days=T","Dir=V")</f>
        <v>0</v>
      </c>
      <c r="AO2">
        <f>BDH("OWLT US Equity","CF_FREE_CASH_FLOW","1993-06-18","2026-05-02","Per=Y","Days=T","Dir=V")</f>
        <v>0</v>
      </c>
      <c r="AQ2">
        <f>BDH("OWLT US Equity","PX_LAST","1993-06-18","2026-05-02","Per=M","Days=T","Dir=V")</f>
        <v>0</v>
      </c>
      <c r="AS2">
        <f>BDH("OWLT US Equity","CUR_MKT_CAP","1993-06-18","2026-05-02","Per=M","Days=T","Dir=V")</f>
        <v>0</v>
      </c>
      <c r="AU2">
        <f>BDH("OWLT US Equity","EQY_SH_OUT","1993-06-18","2026-05-02","Per=M","Days=T","Dir=V")</f>
        <v>0</v>
      </c>
      <c r="AW2">
        <f>BDH("OWLT US Equity","PX_VOLUME","1993-06-18","2026-05-02","Per=M","Days=T","Dir=V")</f>
        <v>0</v>
      </c>
      <c r="AY2">
        <f>BDH("OWLT US Equity","TURNOVER","1993-06-18","2026-05-02","Per=M","Days=T","Dir=V")</f>
        <v>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BDH("OXM US Equity","BS_TOT_ASSET","1993-06-18","2026-05-02","Per=Y","Days=T","Dir=V")</f>
        <v>0</v>
      </c>
      <c r="C2">
        <f>BDH("OXM US Equity","BS_TOT_LIAB2","1993-06-18","2026-05-02","Per=Y","Days=T","Dir=V")</f>
        <v>0</v>
      </c>
      <c r="E2">
        <f>BDH("OXM US Equity","SHORT_AND_LONG_TERM_DEBT","1993-06-18","2026-05-02","Per=Y","Days=T","Dir=V")</f>
        <v>0</v>
      </c>
      <c r="G2">
        <f>BDH("OXM US Equity","BS_ST_BORROW","1993-06-18","2026-05-02","Per=Y","Days=T","Dir=V")</f>
        <v>0</v>
      </c>
      <c r="I2">
        <f>BDH("OXM US Equity","BS_LT_BORROW","1993-06-18","2026-05-02","Per=Y","Days=T","Dir=V")</f>
        <v>0</v>
      </c>
      <c r="K2">
        <f>BDH("OXM US Equity","BS_CASH_NEAR_CASH_ITEM","1993-06-18","2026-05-02","Per=Y","Days=T","Dir=V")</f>
        <v>0</v>
      </c>
      <c r="M2">
        <f>BDH("OXM US Equity","BS_CUR_ASSET_REPORT","1993-06-18","2026-05-02","Per=Y","Days=T","Dir=V")</f>
        <v>0</v>
      </c>
      <c r="O2">
        <f>BDH("OXM US Equity","BS_CUR_LIAB","1993-06-18","2026-05-02","Per=Y","Days=T","Dir=V")</f>
        <v>0</v>
      </c>
      <c r="Q2">
        <f>BDH("OXM US Equity","BS_SHAREHOLDER_EQY_ENDING_PERIOD","1993-06-18","2026-05-02","Per=Y","Days=T","Dir=V")</f>
        <v>0</v>
      </c>
      <c r="S2">
        <f>BDH("OXM US Equity","BS_ACCT_NOTE_RCV","1993-06-18","2026-05-02","Per=Y","Days=T","Dir=V")</f>
        <v>0</v>
      </c>
      <c r="U2">
        <f>BDH("OXM US Equity","BS_INVENTORIES","1993-06-18","2026-05-02","Per=Y","Days=T","Dir=V")</f>
        <v>0</v>
      </c>
      <c r="W2">
        <f>BDH("OXM US Equity","WORKING_CAPITAL","1993-06-18","2026-05-02","Per=Y","Days=T","Dir=V")</f>
        <v>0</v>
      </c>
      <c r="Y2">
        <f>BDH("OXM US Equity","SALES_REV_TURN","1993-06-18","2026-05-02","Per=Y","Days=T","Dir=V")</f>
        <v>0</v>
      </c>
      <c r="AA2">
        <f>BDH("OXM US Equity","EBIT","1993-06-18","2026-05-02","Per=Y","Days=T","Dir=V")</f>
        <v>0</v>
      </c>
      <c r="AC2">
        <f>BDH("OXM US Equity","EBITDA","1993-06-18","2026-05-02","Per=Y","Days=T","Dir=V")</f>
        <v>0</v>
      </c>
      <c r="AE2">
        <f>BDH("OXM US Equity","NET_INCOME","1993-06-18","2026-05-02","Per=Y","Days=T","Dir=V")</f>
        <v>0</v>
      </c>
      <c r="AG2">
        <f>BDH("OXM US Equity","IS_INT_EXPENSE","1993-06-18","2026-05-02","Per=Y","Days=T","Dir=V")</f>
        <v>0</v>
      </c>
      <c r="AI2">
        <f>BDH("OXM US Equity","IS_DEPR_EXP","1993-06-18","2026-05-02","Per=Y","Days=T","Dir=V")</f>
        <v>0</v>
      </c>
      <c r="AK2">
        <f>BDH("OXM US Equity","CF_CASH_FROM_OPER","1993-06-18","2026-05-02","Per=Y","Days=T","Dir=V")</f>
        <v>0</v>
      </c>
      <c r="AM2">
        <f>BDH("OXM US Equity","CAPITAL_EXPEND","1993-06-18","2026-05-02","Per=Y","Days=T","Dir=V")</f>
        <v>0</v>
      </c>
      <c r="AO2">
        <f>BDH("OXM US Equity","CF_FREE_CASH_FLOW","1993-06-18","2026-05-02","Per=Y","Days=T","Dir=V")</f>
        <v>0</v>
      </c>
      <c r="AQ2">
        <f>BDH("OXM US Equity","PX_LAST","1993-06-18","2026-05-02","Per=M","Days=T","Dir=V")</f>
        <v>0</v>
      </c>
      <c r="AS2">
        <f>BDH("OXM US Equity","CUR_MKT_CAP","1993-06-18","2026-05-02","Per=M","Days=T","Dir=V")</f>
        <v>0</v>
      </c>
      <c r="AU2">
        <f>BDH("OXM US Equity","EQY_SH_OUT","1993-06-18","2026-05-02","Per=M","Days=T","Dir=V")</f>
        <v>0</v>
      </c>
      <c r="AW2">
        <f>BDH("OXM US Equity","PX_VOLUME","1993-06-18","2026-05-02","Per=M","Days=T","Dir=V")</f>
        <v>0</v>
      </c>
      <c r="AY2">
        <f>BDH("OXM US Equity","TURNOVER","1993-06-18","2026-05-02","Per=M","Days=T","Dir=V")</f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BDH("OXSQG US Equity","BS_TOT_ASSET","1993-06-18","2026-05-02","Per=Y","Days=T","Dir=V")</f>
        <v>0</v>
      </c>
      <c r="C2">
        <f>BDH("OXSQG US Equity","BS_TOT_LIAB2","1993-06-18","2026-05-02","Per=Y","Days=T","Dir=V")</f>
        <v>0</v>
      </c>
      <c r="E2">
        <f>BDH("OXSQG US Equity","SHORT_AND_LONG_TERM_DEBT","1993-06-18","2026-05-02","Per=Y","Days=T","Dir=V")</f>
        <v>0</v>
      </c>
      <c r="G2">
        <f>BDH("OXSQG US Equity","BS_ST_BORROW","1993-06-18","2026-05-02","Per=Y","Days=T","Dir=V")</f>
        <v>0</v>
      </c>
      <c r="I2">
        <f>BDH("OXSQG US Equity","BS_LT_BORROW","1993-06-18","2026-05-02","Per=Y","Days=T","Dir=V")</f>
        <v>0</v>
      </c>
      <c r="K2">
        <f>BDH("OXSQG US Equity","BS_CASH_NEAR_CASH_ITEM","1993-06-18","2026-05-02","Per=Y","Days=T","Dir=V")</f>
        <v>0</v>
      </c>
      <c r="M2">
        <f>BDH("OXSQG US Equity","BS_CUR_ASSET_REPORT","1993-06-18","2026-05-02","Per=Y","Days=T","Dir=V")</f>
        <v>0</v>
      </c>
      <c r="O2">
        <f>BDH("OXSQG US Equity","BS_CUR_LIAB","1993-06-18","2026-05-02","Per=Y","Days=T","Dir=V")</f>
        <v>0</v>
      </c>
      <c r="Q2">
        <f>BDH("OXSQG US Equity","BS_SHAREHOLDER_EQY_ENDING_PERIOD","1993-06-18","2026-05-02","Per=Y","Days=T","Dir=V")</f>
        <v>0</v>
      </c>
      <c r="S2">
        <f>BDH("OXSQG US Equity","BS_ACCT_NOTE_RCV","1993-06-18","2026-05-02","Per=Y","Days=T","Dir=V")</f>
        <v>0</v>
      </c>
      <c r="U2">
        <f>BDH("OXSQG US Equity","BS_INVENTORIES","1993-06-18","2026-05-02","Per=Y","Days=T","Dir=V")</f>
        <v>0</v>
      </c>
      <c r="W2">
        <f>BDH("OXSQG US Equity","WORKING_CAPITAL","1993-06-18","2026-05-02","Per=Y","Days=T","Dir=V")</f>
        <v>0</v>
      </c>
      <c r="Y2">
        <f>BDH("OXSQG US Equity","SALES_REV_TURN","1993-06-18","2026-05-02","Per=Y","Days=T","Dir=V")</f>
        <v>0</v>
      </c>
      <c r="AA2">
        <f>BDH("OXSQG US Equity","EBIT","1993-06-18","2026-05-02","Per=Y","Days=T","Dir=V")</f>
        <v>0</v>
      </c>
      <c r="AC2">
        <f>BDH("OXSQG US Equity","EBITDA","1993-06-18","2026-05-02","Per=Y","Days=T","Dir=V")</f>
        <v>0</v>
      </c>
      <c r="AE2">
        <f>BDH("OXSQG US Equity","NET_INCOME","1993-06-18","2026-05-02","Per=Y","Days=T","Dir=V")</f>
        <v>0</v>
      </c>
      <c r="AG2">
        <f>BDH("OXSQG US Equity","IS_INT_EXPENSE","1993-06-18","2026-05-02","Per=Y","Days=T","Dir=V")</f>
        <v>0</v>
      </c>
      <c r="AI2">
        <f>BDH("OXSQG US Equity","IS_DEPR_EXP","1993-06-18","2026-05-02","Per=Y","Days=T","Dir=V")</f>
        <v>0</v>
      </c>
      <c r="AK2">
        <f>BDH("OXSQG US Equity","CF_CASH_FROM_OPER","1993-06-18","2026-05-02","Per=Y","Days=T","Dir=V")</f>
        <v>0</v>
      </c>
      <c r="AM2">
        <f>BDH("OXSQG US Equity","CAPITAL_EXPEND","1993-06-18","2026-05-02","Per=Y","Days=T","Dir=V")</f>
        <v>0</v>
      </c>
      <c r="AO2">
        <f>BDH("OXSQG US Equity","CF_FREE_CASH_FLOW","1993-06-18","2026-05-02","Per=Y","Days=T","Dir=V")</f>
        <v>0</v>
      </c>
      <c r="AQ2">
        <f>BDH("OXSQG US Equity","PX_LAST","1993-06-18","2026-05-02","Per=M","Days=T","Dir=V")</f>
        <v>0</v>
      </c>
      <c r="AS2">
        <f>BDH("OXSQG US Equity","CUR_MKT_CAP","1993-06-18","2026-05-02","Per=M","Days=T","Dir=V")</f>
        <v>0</v>
      </c>
      <c r="AU2">
        <f>BDH("OXSQG US Equity","EQY_SH_OUT","1993-06-18","2026-05-02","Per=M","Days=T","Dir=V")</f>
        <v>0</v>
      </c>
      <c r="AW2">
        <f>BDH("OXSQG US Equity","PX_VOLUME","1993-06-18","2026-05-02","Per=M","Days=T","Dir=V")</f>
        <v>0</v>
      </c>
      <c r="AY2">
        <f>BDH("OXSQG US Equity","TURNOVER","1993-06-18","2026-05-02","Per=M","Days=T","Dir=V")</f>
        <v>0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BDH("OXY US Equity","BS_TOT_ASSET","1993-06-18","2026-05-02","Per=Y","Days=T","Dir=V")</f>
        <v>0</v>
      </c>
      <c r="C2">
        <f>BDH("OXY US Equity","BS_TOT_LIAB2","1993-06-18","2026-05-02","Per=Y","Days=T","Dir=V")</f>
        <v>0</v>
      </c>
      <c r="E2">
        <f>BDH("OXY US Equity","SHORT_AND_LONG_TERM_DEBT","1993-06-18","2026-05-02","Per=Y","Days=T","Dir=V")</f>
        <v>0</v>
      </c>
      <c r="G2">
        <f>BDH("OXY US Equity","BS_ST_BORROW","1993-06-18","2026-05-02","Per=Y","Days=T","Dir=V")</f>
        <v>0</v>
      </c>
      <c r="I2">
        <f>BDH("OXY US Equity","BS_LT_BORROW","1993-06-18","2026-05-02","Per=Y","Days=T","Dir=V")</f>
        <v>0</v>
      </c>
      <c r="K2">
        <f>BDH("OXY US Equity","BS_CASH_NEAR_CASH_ITEM","1993-06-18","2026-05-02","Per=Y","Days=T","Dir=V")</f>
        <v>0</v>
      </c>
      <c r="M2">
        <f>BDH("OXY US Equity","BS_CUR_ASSET_REPORT","1993-06-18","2026-05-02","Per=Y","Days=T","Dir=V")</f>
        <v>0</v>
      </c>
      <c r="O2">
        <f>BDH("OXY US Equity","BS_CUR_LIAB","1993-06-18","2026-05-02","Per=Y","Days=T","Dir=V")</f>
        <v>0</v>
      </c>
      <c r="Q2">
        <f>BDH("OXY US Equity","BS_SHAREHOLDER_EQY_ENDING_PERIOD","1993-06-18","2026-05-02","Per=Y","Days=T","Dir=V")</f>
        <v>0</v>
      </c>
      <c r="S2">
        <f>BDH("OXY US Equity","BS_ACCT_NOTE_RCV","1993-06-18","2026-05-02","Per=Y","Days=T","Dir=V")</f>
        <v>0</v>
      </c>
      <c r="U2">
        <f>BDH("OXY US Equity","BS_INVENTORIES","1993-06-18","2026-05-02","Per=Y","Days=T","Dir=V")</f>
        <v>0</v>
      </c>
      <c r="W2">
        <f>BDH("OXY US Equity","WORKING_CAPITAL","1993-06-18","2026-05-02","Per=Y","Days=T","Dir=V")</f>
        <v>0</v>
      </c>
      <c r="Y2">
        <f>BDH("OXY US Equity","SALES_REV_TURN","1993-06-18","2026-05-02","Per=Y","Days=T","Dir=V")</f>
        <v>0</v>
      </c>
      <c r="AA2">
        <f>BDH("OXY US Equity","EBIT","1993-06-18","2026-05-02","Per=Y","Days=T","Dir=V")</f>
        <v>0</v>
      </c>
      <c r="AC2">
        <f>BDH("OXY US Equity","EBITDA","1993-06-18","2026-05-02","Per=Y","Days=T","Dir=V")</f>
        <v>0</v>
      </c>
      <c r="AE2">
        <f>BDH("OXY US Equity","NET_INCOME","1993-06-18","2026-05-02","Per=Y","Days=T","Dir=V")</f>
        <v>0</v>
      </c>
      <c r="AG2">
        <f>BDH("OXY US Equity","IS_INT_EXPENSE","1993-06-18","2026-05-02","Per=Y","Days=T","Dir=V")</f>
        <v>0</v>
      </c>
      <c r="AI2">
        <f>BDH("OXY US Equity","IS_DEPR_EXP","1993-06-18","2026-05-02","Per=Y","Days=T","Dir=V")</f>
        <v>0</v>
      </c>
      <c r="AK2">
        <f>BDH("OXY US Equity","CF_CASH_FROM_OPER","1993-06-18","2026-05-02","Per=Y","Days=T","Dir=V")</f>
        <v>0</v>
      </c>
      <c r="AM2">
        <f>BDH("OXY US Equity","CAPITAL_EXPEND","1993-06-18","2026-05-02","Per=Y","Days=T","Dir=V")</f>
        <v>0</v>
      </c>
      <c r="AO2">
        <f>BDH("OXY US Equity","CF_FREE_CASH_FLOW","1993-06-18","2026-05-02","Per=Y","Days=T","Dir=V")</f>
        <v>0</v>
      </c>
      <c r="AQ2">
        <f>BDH("OXY US Equity","PX_LAST","1993-06-18","2026-05-02","Per=M","Days=T","Dir=V")</f>
        <v>0</v>
      </c>
      <c r="AS2">
        <f>BDH("OXY US Equity","CUR_MKT_CAP","1993-06-18","2026-05-02","Per=M","Days=T","Dir=V")</f>
        <v>0</v>
      </c>
      <c r="AU2">
        <f>BDH("OXY US Equity","EQY_SH_OUT","1993-06-18","2026-05-02","Per=M","Days=T","Dir=V")</f>
        <v>0</v>
      </c>
      <c r="AW2">
        <f>BDH("OXY US Equity","PX_VOLUME","1993-06-18","2026-05-02","Per=M","Days=T","Dir=V")</f>
        <v>0</v>
      </c>
      <c r="AY2">
        <f>BDH("OXY US Equity","TURNOVER","1993-06-18","2026-05-02","Per=M","Days=T","Dir=V")</f>
        <v>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 US Equity","BS_TOT_ASSET","1993-06-18","2026-05-02","Per=Y","Days=T","Dir=V")</f>
        <v>0</v>
      </c>
      <c r="C2">
        <f>BDH("P US Equity","BS_TOT_LIAB2","1993-06-18","2026-05-02","Per=Y","Days=T","Dir=V")</f>
        <v>0</v>
      </c>
      <c r="E2">
        <f>BDH("P US Equity","SHORT_AND_LONG_TERM_DEBT","1993-06-18","2026-05-02","Per=Y","Days=T","Dir=V")</f>
        <v>0</v>
      </c>
      <c r="G2">
        <f>BDH("P US Equity","BS_ST_BORROW","1993-06-18","2026-05-02","Per=Y","Days=T","Dir=V")</f>
        <v>0</v>
      </c>
      <c r="I2">
        <f>BDH("P US Equity","BS_LT_BORROW","1993-06-18","2026-05-02","Per=Y","Days=T","Dir=V")</f>
        <v>0</v>
      </c>
      <c r="K2">
        <f>BDH("P US Equity","BS_CASH_NEAR_CASH_ITEM","1993-06-18","2026-05-02","Per=Y","Days=T","Dir=V")</f>
        <v>0</v>
      </c>
      <c r="M2">
        <f>BDH("P US Equity","BS_CUR_ASSET_REPORT","1993-06-18","2026-05-02","Per=Y","Days=T","Dir=V")</f>
        <v>0</v>
      </c>
      <c r="O2">
        <f>BDH("P US Equity","BS_CUR_LIAB","1993-06-18","2026-05-02","Per=Y","Days=T","Dir=V")</f>
        <v>0</v>
      </c>
      <c r="Q2">
        <f>BDH("P US Equity","BS_SHAREHOLDER_EQY_ENDING_PERIOD","1993-06-18","2026-05-02","Per=Y","Days=T","Dir=V")</f>
        <v>0</v>
      </c>
      <c r="S2">
        <f>BDH("P US Equity","BS_ACCT_NOTE_RCV","1993-06-18","2026-05-02","Per=Y","Days=T","Dir=V")</f>
        <v>0</v>
      </c>
      <c r="U2">
        <f>BDH("P US Equity","BS_INVENTORIES","1993-06-18","2026-05-02","Per=Y","Days=T","Dir=V")</f>
        <v>0</v>
      </c>
      <c r="W2">
        <f>BDH("P US Equity","WORKING_CAPITAL","1993-06-18","2026-05-02","Per=Y","Days=T","Dir=V")</f>
        <v>0</v>
      </c>
      <c r="Y2">
        <f>BDH("P US Equity","SALES_REV_TURN","1993-06-18","2026-05-02","Per=Y","Days=T","Dir=V")</f>
        <v>0</v>
      </c>
      <c r="AA2">
        <f>BDH("P US Equity","EBIT","1993-06-18","2026-05-02","Per=Y","Days=T","Dir=V")</f>
        <v>0</v>
      </c>
      <c r="AC2">
        <f>BDH("P US Equity","EBITDA","1993-06-18","2026-05-02","Per=Y","Days=T","Dir=V")</f>
        <v>0</v>
      </c>
      <c r="AE2">
        <f>BDH("P US Equity","NET_INCOME","1993-06-18","2026-05-02","Per=Y","Days=T","Dir=V")</f>
        <v>0</v>
      </c>
      <c r="AG2">
        <f>BDH("P US Equity","IS_INT_EXPENSE","1993-06-18","2026-05-02","Per=Y","Days=T","Dir=V")</f>
        <v>0</v>
      </c>
      <c r="AI2">
        <f>BDH("P US Equity","IS_DEPR_EXP","1993-06-18","2026-05-02","Per=Y","Days=T","Dir=V")</f>
        <v>0</v>
      </c>
      <c r="AK2">
        <f>BDH("P US Equity","CF_CASH_FROM_OPER","1993-06-18","2026-05-02","Per=Y","Days=T","Dir=V")</f>
        <v>0</v>
      </c>
      <c r="AM2">
        <f>BDH("P US Equity","CAPITAL_EXPEND","1993-06-18","2026-05-02","Per=Y","Days=T","Dir=V")</f>
        <v>0</v>
      </c>
      <c r="AO2">
        <f>BDH("P US Equity","CF_FREE_CASH_FLOW","1993-06-18","2026-05-02","Per=Y","Days=T","Dir=V")</f>
        <v>0</v>
      </c>
      <c r="AQ2">
        <f>BDH("P US Equity","PX_LAST","1993-06-18","2026-05-02","Per=M","Days=T","Dir=V")</f>
        <v>0</v>
      </c>
      <c r="AS2">
        <f>BDH("P US Equity","CUR_MKT_CAP","1993-06-18","2026-05-02","Per=M","Days=T","Dir=V")</f>
        <v>0</v>
      </c>
      <c r="AU2">
        <f>BDH("P US Equity","EQY_SH_OUT","1993-06-18","2026-05-02","Per=M","Days=T","Dir=V")</f>
        <v>0</v>
      </c>
      <c r="AW2">
        <f>BDH("P US Equity","PX_VOLUME","1993-06-18","2026-05-02","Per=M","Days=T","Dir=V")</f>
        <v>0</v>
      </c>
      <c r="AY2">
        <f>BDH("P US Equity","TURNOVER","1993-06-18","2026-05-02","Per=M","Days=T","Dir=V")</f>
        <v>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BDH("PAA US Equity","BS_TOT_ASSET","1993-06-18","2026-05-02","Per=Y","Days=T","Dir=V")</f>
        <v>0</v>
      </c>
      <c r="C2">
        <f>BDH("PAA US Equity","BS_TOT_LIAB2","1993-06-18","2026-05-02","Per=Y","Days=T","Dir=V")</f>
        <v>0</v>
      </c>
      <c r="E2">
        <f>BDH("PAA US Equity","SHORT_AND_LONG_TERM_DEBT","1993-06-18","2026-05-02","Per=Y","Days=T","Dir=V")</f>
        <v>0</v>
      </c>
      <c r="G2">
        <f>BDH("PAA US Equity","BS_ST_BORROW","1993-06-18","2026-05-02","Per=Y","Days=T","Dir=V")</f>
        <v>0</v>
      </c>
      <c r="I2">
        <f>BDH("PAA US Equity","BS_LT_BORROW","1993-06-18","2026-05-02","Per=Y","Days=T","Dir=V")</f>
        <v>0</v>
      </c>
      <c r="K2">
        <f>BDH("PAA US Equity","BS_CASH_NEAR_CASH_ITEM","1993-06-18","2026-05-02","Per=Y","Days=T","Dir=V")</f>
        <v>0</v>
      </c>
      <c r="M2">
        <f>BDH("PAA US Equity","BS_CUR_ASSET_REPORT","1993-06-18","2026-05-02","Per=Y","Days=T","Dir=V")</f>
        <v>0</v>
      </c>
      <c r="O2">
        <f>BDH("PAA US Equity","BS_CUR_LIAB","1993-06-18","2026-05-02","Per=Y","Days=T","Dir=V")</f>
        <v>0</v>
      </c>
      <c r="Q2">
        <f>BDH("PAA US Equity","BS_SHAREHOLDER_EQY_ENDING_PERIOD","1993-06-18","2026-05-02","Per=Y","Days=T","Dir=V")</f>
        <v>0</v>
      </c>
      <c r="S2">
        <f>BDH("PAA US Equity","BS_ACCT_NOTE_RCV","1993-06-18","2026-05-02","Per=Y","Days=T","Dir=V")</f>
        <v>0</v>
      </c>
      <c r="U2">
        <f>BDH("PAA US Equity","BS_INVENTORIES","1993-06-18","2026-05-02","Per=Y","Days=T","Dir=V")</f>
        <v>0</v>
      </c>
      <c r="W2">
        <f>BDH("PAA US Equity","WORKING_CAPITAL","1993-06-18","2026-05-02","Per=Y","Days=T","Dir=V")</f>
        <v>0</v>
      </c>
      <c r="Y2">
        <f>BDH("PAA US Equity","SALES_REV_TURN","1993-06-18","2026-05-02","Per=Y","Days=T","Dir=V")</f>
        <v>0</v>
      </c>
      <c r="AA2">
        <f>BDH("PAA US Equity","EBIT","1993-06-18","2026-05-02","Per=Y","Days=T","Dir=V")</f>
        <v>0</v>
      </c>
      <c r="AC2">
        <f>BDH("PAA US Equity","EBITDA","1993-06-18","2026-05-02","Per=Y","Days=T","Dir=V")</f>
        <v>0</v>
      </c>
      <c r="AE2">
        <f>BDH("PAA US Equity","NET_INCOME","1993-06-18","2026-05-02","Per=Y","Days=T","Dir=V")</f>
        <v>0</v>
      </c>
      <c r="AG2">
        <f>BDH("PAA US Equity","IS_INT_EXPENSE","1993-06-18","2026-05-02","Per=Y","Days=T","Dir=V")</f>
        <v>0</v>
      </c>
      <c r="AI2">
        <f>BDH("PAA US Equity","IS_DEPR_EXP","1993-06-18","2026-05-02","Per=Y","Days=T","Dir=V")</f>
        <v>0</v>
      </c>
      <c r="AK2">
        <f>BDH("PAA US Equity","CF_CASH_FROM_OPER","1993-06-18","2026-05-02","Per=Y","Days=T","Dir=V")</f>
        <v>0</v>
      </c>
      <c r="AM2">
        <f>BDH("PAA US Equity","CAPITAL_EXPEND","1993-06-18","2026-05-02","Per=Y","Days=T","Dir=V")</f>
        <v>0</v>
      </c>
      <c r="AO2">
        <f>BDH("PAA US Equity","CF_FREE_CASH_FLOW","1993-06-18","2026-05-02","Per=Y","Days=T","Dir=V")</f>
        <v>0</v>
      </c>
      <c r="AQ2">
        <f>BDH("PAA US Equity","PX_LAST","1993-06-18","2026-05-02","Per=M","Days=T","Dir=V")</f>
        <v>0</v>
      </c>
      <c r="AS2">
        <f>BDH("PAA US Equity","CUR_MKT_CAP","1993-06-18","2026-05-02","Per=M","Days=T","Dir=V")</f>
        <v>0</v>
      </c>
      <c r="AU2">
        <f>BDH("PAA US Equity","EQY_SH_OUT","1993-06-18","2026-05-02","Per=M","Days=T","Dir=V")</f>
        <v>0</v>
      </c>
      <c r="AW2">
        <f>BDH("PAA US Equity","PX_VOLUME","1993-06-18","2026-05-02","Per=M","Days=T","Dir=V")</f>
        <v>0</v>
      </c>
      <c r="AY2">
        <f>BDH("PAA US Equity","TURNOVER","1993-06-18","2026-05-02","Per=M","Days=T","Dir=V")</f>
        <v>0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BDH("PAAI US Equity","BS_TOT_ASSET","1993-06-18","2026-05-02","Per=Y","Days=T","Dir=V")</f>
        <v>0</v>
      </c>
      <c r="C2">
        <f>BDH("PAAI US Equity","BS_TOT_LIAB2","1993-06-18","2026-05-02","Per=Y","Days=T","Dir=V")</f>
        <v>0</v>
      </c>
      <c r="E2">
        <f>BDH("PAAI US Equity","SHORT_AND_LONG_TERM_DEBT","1993-06-18","2026-05-02","Per=Y","Days=T","Dir=V")</f>
        <v>0</v>
      </c>
      <c r="G2">
        <f>BDH("PAAI US Equity","BS_ST_BORROW","1993-06-18","2026-05-02","Per=Y","Days=T","Dir=V")</f>
        <v>0</v>
      </c>
      <c r="I2">
        <f>BDH("PAAI US Equity","BS_LT_BORROW","1993-06-18","2026-05-02","Per=Y","Days=T","Dir=V")</f>
        <v>0</v>
      </c>
      <c r="K2">
        <f>BDH("PAAI US Equity","BS_CASH_NEAR_CASH_ITEM","1993-06-18","2026-05-02","Per=Y","Days=T","Dir=V")</f>
        <v>0</v>
      </c>
      <c r="M2">
        <f>BDH("PAAI US Equity","BS_CUR_ASSET_REPORT","1993-06-18","2026-05-02","Per=Y","Days=T","Dir=V")</f>
        <v>0</v>
      </c>
      <c r="O2">
        <f>BDH("PAAI US Equity","BS_CUR_LIAB","1993-06-18","2026-05-02","Per=Y","Days=T","Dir=V")</f>
        <v>0</v>
      </c>
      <c r="Q2">
        <f>BDH("PAAI US Equity","BS_SHAREHOLDER_EQY_ENDING_PERIOD","1993-06-18","2026-05-02","Per=Y","Days=T","Dir=V")</f>
        <v>0</v>
      </c>
      <c r="S2">
        <f>BDH("PAAI US Equity","BS_ACCT_NOTE_RCV","1993-06-18","2026-05-02","Per=Y","Days=T","Dir=V")</f>
        <v>0</v>
      </c>
      <c r="U2">
        <f>BDH("PAAI US Equity","BS_INVENTORIES","1993-06-18","2026-05-02","Per=Y","Days=T","Dir=V")</f>
        <v>0</v>
      </c>
      <c r="W2">
        <f>BDH("PAAI US Equity","WORKING_CAPITAL","1993-06-18","2026-05-02","Per=Y","Days=T","Dir=V")</f>
        <v>0</v>
      </c>
      <c r="Y2">
        <f>BDH("PAAI US Equity","SALES_REV_TURN","1993-06-18","2026-05-02","Per=Y","Days=T","Dir=V")</f>
        <v>0</v>
      </c>
      <c r="AA2">
        <f>BDH("PAAI US Equity","EBIT","1993-06-18","2026-05-02","Per=Y","Days=T","Dir=V")</f>
        <v>0</v>
      </c>
      <c r="AC2">
        <f>BDH("PAAI US Equity","EBITDA","1993-06-18","2026-05-02","Per=Y","Days=T","Dir=V")</f>
        <v>0</v>
      </c>
      <c r="AE2">
        <f>BDH("PAAI US Equity","NET_INCOME","1993-06-18","2026-05-02","Per=Y","Days=T","Dir=V")</f>
        <v>0</v>
      </c>
      <c r="AG2">
        <f>BDH("PAAI US Equity","IS_INT_EXPENSE","1993-06-18","2026-05-02","Per=Y","Days=T","Dir=V")</f>
        <v>0</v>
      </c>
      <c r="AI2">
        <f>BDH("PAAI US Equity","IS_DEPR_EXP","1993-06-18","2026-05-02","Per=Y","Days=T","Dir=V")</f>
        <v>0</v>
      </c>
      <c r="AK2">
        <f>BDH("PAAI US Equity","CF_CASH_FROM_OPER","1993-06-18","2026-05-02","Per=Y","Days=T","Dir=V")</f>
        <v>0</v>
      </c>
      <c r="AM2">
        <f>BDH("PAAI US Equity","CAPITAL_EXPEND","1993-06-18","2026-05-02","Per=Y","Days=T","Dir=V")</f>
        <v>0</v>
      </c>
      <c r="AO2">
        <f>BDH("PAAI US Equity","CF_FREE_CASH_FLOW","1993-06-18","2026-05-02","Per=Y","Days=T","Dir=V")</f>
        <v>0</v>
      </c>
      <c r="AQ2">
        <f>BDH("PAAI US Equity","PX_LAST","1993-06-18","2026-05-02","Per=M","Days=T","Dir=V")</f>
        <v>0</v>
      </c>
      <c r="AS2">
        <f>BDH("PAAI US Equity","CUR_MKT_CAP","1993-06-18","2026-05-02","Per=M","Days=T","Dir=V")</f>
        <v>0</v>
      </c>
      <c r="AU2">
        <f>BDH("PAAI US Equity","EQY_SH_OUT","1993-06-18","2026-05-02","Per=M","Days=T","Dir=V")</f>
        <v>0</v>
      </c>
      <c r="AW2">
        <f>BDH("PAAI US Equity","PX_VOLUME","1993-06-18","2026-05-02","Per=M","Days=T","Dir=V")</f>
        <v>0</v>
      </c>
      <c r="AY2">
        <f>BDH("PAAI US Equity","TURNOVER","1993-06-18","2026-05-02","Per=M","Days=T","Dir=V")</f>
        <v>0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BDH("PACB US Equity","BS_TOT_ASSET","1993-06-18","2026-05-02","Per=Y","Days=T","Dir=V")</f>
        <v>0</v>
      </c>
      <c r="C2">
        <f>BDH("PACB US Equity","BS_TOT_LIAB2","1993-06-18","2026-05-02","Per=Y","Days=T","Dir=V")</f>
        <v>0</v>
      </c>
      <c r="E2">
        <f>BDH("PACB US Equity","SHORT_AND_LONG_TERM_DEBT","1993-06-18","2026-05-02","Per=Y","Days=T","Dir=V")</f>
        <v>0</v>
      </c>
      <c r="G2">
        <f>BDH("PACB US Equity","BS_ST_BORROW","1993-06-18","2026-05-02","Per=Y","Days=T","Dir=V")</f>
        <v>0</v>
      </c>
      <c r="I2">
        <f>BDH("PACB US Equity","BS_LT_BORROW","1993-06-18","2026-05-02","Per=Y","Days=T","Dir=V")</f>
        <v>0</v>
      </c>
      <c r="K2">
        <f>BDH("PACB US Equity","BS_CASH_NEAR_CASH_ITEM","1993-06-18","2026-05-02","Per=Y","Days=T","Dir=V")</f>
        <v>0</v>
      </c>
      <c r="M2">
        <f>BDH("PACB US Equity","BS_CUR_ASSET_REPORT","1993-06-18","2026-05-02","Per=Y","Days=T","Dir=V")</f>
        <v>0</v>
      </c>
      <c r="O2">
        <f>BDH("PACB US Equity","BS_CUR_LIAB","1993-06-18","2026-05-02","Per=Y","Days=T","Dir=V")</f>
        <v>0</v>
      </c>
      <c r="Q2">
        <f>BDH("PACB US Equity","BS_SHAREHOLDER_EQY_ENDING_PERIOD","1993-06-18","2026-05-02","Per=Y","Days=T","Dir=V")</f>
        <v>0</v>
      </c>
      <c r="S2">
        <f>BDH("PACB US Equity","BS_ACCT_NOTE_RCV","1993-06-18","2026-05-02","Per=Y","Days=T","Dir=V")</f>
        <v>0</v>
      </c>
      <c r="U2">
        <f>BDH("PACB US Equity","BS_INVENTORIES","1993-06-18","2026-05-02","Per=Y","Days=T","Dir=V")</f>
        <v>0</v>
      </c>
      <c r="W2">
        <f>BDH("PACB US Equity","WORKING_CAPITAL","1993-06-18","2026-05-02","Per=Y","Days=T","Dir=V")</f>
        <v>0</v>
      </c>
      <c r="Y2">
        <f>BDH("PACB US Equity","SALES_REV_TURN","1993-06-18","2026-05-02","Per=Y","Days=T","Dir=V")</f>
        <v>0</v>
      </c>
      <c r="AA2">
        <f>BDH("PACB US Equity","EBIT","1993-06-18","2026-05-02","Per=Y","Days=T","Dir=V")</f>
        <v>0</v>
      </c>
      <c r="AC2">
        <f>BDH("PACB US Equity","EBITDA","1993-06-18","2026-05-02","Per=Y","Days=T","Dir=V")</f>
        <v>0</v>
      </c>
      <c r="AE2">
        <f>BDH("PACB US Equity","NET_INCOME","1993-06-18","2026-05-02","Per=Y","Days=T","Dir=V")</f>
        <v>0</v>
      </c>
      <c r="AG2">
        <f>BDH("PACB US Equity","IS_INT_EXPENSE","1993-06-18","2026-05-02","Per=Y","Days=T","Dir=V")</f>
        <v>0</v>
      </c>
      <c r="AI2">
        <f>BDH("PACB US Equity","IS_DEPR_EXP","1993-06-18","2026-05-02","Per=Y","Days=T","Dir=V")</f>
        <v>0</v>
      </c>
      <c r="AK2">
        <f>BDH("PACB US Equity","CF_CASH_FROM_OPER","1993-06-18","2026-05-02","Per=Y","Days=T","Dir=V")</f>
        <v>0</v>
      </c>
      <c r="AM2">
        <f>BDH("PACB US Equity","CAPITAL_EXPEND","1993-06-18","2026-05-02","Per=Y","Days=T","Dir=V")</f>
        <v>0</v>
      </c>
      <c r="AO2">
        <f>BDH("PACB US Equity","CF_FREE_CASH_FLOW","1993-06-18","2026-05-02","Per=Y","Days=T","Dir=V")</f>
        <v>0</v>
      </c>
      <c r="AQ2">
        <f>BDH("PACB US Equity","PX_LAST","1993-06-18","2026-05-02","Per=M","Days=T","Dir=V")</f>
        <v>0</v>
      </c>
      <c r="AS2">
        <f>BDH("PACB US Equity","CUR_MKT_CAP","1993-06-18","2026-05-02","Per=M","Days=T","Dir=V")</f>
        <v>0</v>
      </c>
      <c r="AU2">
        <f>BDH("PACB US Equity","EQY_SH_OUT","1993-06-18","2026-05-02","Per=M","Days=T","Dir=V")</f>
        <v>0</v>
      </c>
      <c r="AW2">
        <f>BDH("PACB US Equity","PX_VOLUME","1993-06-18","2026-05-02","Per=M","Days=T","Dir=V")</f>
        <v>0</v>
      </c>
      <c r="AY2">
        <f>BDH("PACB US Equity","TURNOVER","1993-06-18","2026-05-02","Per=M","Days=T","Dir=V")</f>
        <v>0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BDH("PACK US Equity","BS_TOT_ASSET","1993-06-18","2026-05-02","Per=Y","Days=T","Dir=V")</f>
        <v>0</v>
      </c>
      <c r="C2">
        <f>BDH("PACK US Equity","BS_TOT_LIAB2","1993-06-18","2026-05-02","Per=Y","Days=T","Dir=V")</f>
        <v>0</v>
      </c>
      <c r="E2">
        <f>BDH("PACK US Equity","SHORT_AND_LONG_TERM_DEBT","1993-06-18","2026-05-02","Per=Y","Days=T","Dir=V")</f>
        <v>0</v>
      </c>
      <c r="G2">
        <f>BDH("PACK US Equity","BS_ST_BORROW","1993-06-18","2026-05-02","Per=Y","Days=T","Dir=V")</f>
        <v>0</v>
      </c>
      <c r="I2">
        <f>BDH("PACK US Equity","BS_LT_BORROW","1993-06-18","2026-05-02","Per=Y","Days=T","Dir=V")</f>
        <v>0</v>
      </c>
      <c r="K2">
        <f>BDH("PACK US Equity","BS_CASH_NEAR_CASH_ITEM","1993-06-18","2026-05-02","Per=Y","Days=T","Dir=V")</f>
        <v>0</v>
      </c>
      <c r="M2">
        <f>BDH("PACK US Equity","BS_CUR_ASSET_REPORT","1993-06-18","2026-05-02","Per=Y","Days=T","Dir=V")</f>
        <v>0</v>
      </c>
      <c r="O2">
        <f>BDH("PACK US Equity","BS_CUR_LIAB","1993-06-18","2026-05-02","Per=Y","Days=T","Dir=V")</f>
        <v>0</v>
      </c>
      <c r="Q2">
        <f>BDH("PACK US Equity","BS_SHAREHOLDER_EQY_ENDING_PERIOD","1993-06-18","2026-05-02","Per=Y","Days=T","Dir=V")</f>
        <v>0</v>
      </c>
      <c r="S2">
        <f>BDH("PACK US Equity","BS_ACCT_NOTE_RCV","1993-06-18","2026-05-02","Per=Y","Days=T","Dir=V")</f>
        <v>0</v>
      </c>
      <c r="U2">
        <f>BDH("PACK US Equity","BS_INVENTORIES","1993-06-18","2026-05-02","Per=Y","Days=T","Dir=V")</f>
        <v>0</v>
      </c>
      <c r="W2">
        <f>BDH("PACK US Equity","WORKING_CAPITAL","1993-06-18","2026-05-02","Per=Y","Days=T","Dir=V")</f>
        <v>0</v>
      </c>
      <c r="Y2">
        <f>BDH("PACK US Equity","SALES_REV_TURN","1993-06-18","2026-05-02","Per=Y","Days=T","Dir=V")</f>
        <v>0</v>
      </c>
      <c r="AA2">
        <f>BDH("PACK US Equity","EBIT","1993-06-18","2026-05-02","Per=Y","Days=T","Dir=V")</f>
        <v>0</v>
      </c>
      <c r="AC2">
        <f>BDH("PACK US Equity","EBITDA","1993-06-18","2026-05-02","Per=Y","Days=T","Dir=V")</f>
        <v>0</v>
      </c>
      <c r="AE2">
        <f>BDH("PACK US Equity","NET_INCOME","1993-06-18","2026-05-02","Per=Y","Days=T","Dir=V")</f>
        <v>0</v>
      </c>
      <c r="AG2">
        <f>BDH("PACK US Equity","IS_INT_EXPENSE","1993-06-18","2026-05-02","Per=Y","Days=T","Dir=V")</f>
        <v>0</v>
      </c>
      <c r="AI2">
        <f>BDH("PACK US Equity","IS_DEPR_EXP","1993-06-18","2026-05-02","Per=Y","Days=T","Dir=V")</f>
        <v>0</v>
      </c>
      <c r="AK2">
        <f>BDH("PACK US Equity","CF_CASH_FROM_OPER","1993-06-18","2026-05-02","Per=Y","Days=T","Dir=V")</f>
        <v>0</v>
      </c>
      <c r="AM2">
        <f>BDH("PACK US Equity","CAPITAL_EXPEND","1993-06-18","2026-05-02","Per=Y","Days=T","Dir=V")</f>
        <v>0</v>
      </c>
      <c r="AO2">
        <f>BDH("PACK US Equity","CF_FREE_CASH_FLOW","1993-06-18","2026-05-02","Per=Y","Days=T","Dir=V")</f>
        <v>0</v>
      </c>
      <c r="AQ2">
        <f>BDH("PACK US Equity","PX_LAST","1993-06-18","2026-05-02","Per=M","Days=T","Dir=V")</f>
        <v>0</v>
      </c>
      <c r="AS2">
        <f>BDH("PACK US Equity","CUR_MKT_CAP","1993-06-18","2026-05-02","Per=M","Days=T","Dir=V")</f>
        <v>0</v>
      </c>
      <c r="AU2">
        <f>BDH("PACK US Equity","EQY_SH_OUT","1993-06-18","2026-05-02","Per=M","Days=T","Dir=V")</f>
        <v>0</v>
      </c>
      <c r="AW2">
        <f>BDH("PACK US Equity","PX_VOLUME","1993-06-18","2026-05-02","Per=M","Days=T","Dir=V")</f>
        <v>0</v>
      </c>
      <c r="AY2">
        <f>BDH("PACK US Equity","TURNOVER","1993-06-18","2026-05-02","Per=M","Days=T","Dir=V")</f>
        <v>0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BDH("PACS US Equity","BS_TOT_ASSET","1993-06-18","2026-05-02","Per=Y","Days=T","Dir=V")</f>
        <v>0</v>
      </c>
      <c r="C2">
        <f>BDH("PACS US Equity","BS_TOT_LIAB2","1993-06-18","2026-05-02","Per=Y","Days=T","Dir=V")</f>
        <v>0</v>
      </c>
      <c r="E2">
        <f>BDH("PACS US Equity","SHORT_AND_LONG_TERM_DEBT","1993-06-18","2026-05-02","Per=Y","Days=T","Dir=V")</f>
        <v>0</v>
      </c>
      <c r="G2">
        <f>BDH("PACS US Equity","BS_ST_BORROW","1993-06-18","2026-05-02","Per=Y","Days=T","Dir=V")</f>
        <v>0</v>
      </c>
      <c r="I2">
        <f>BDH("PACS US Equity","BS_LT_BORROW","1993-06-18","2026-05-02","Per=Y","Days=T","Dir=V")</f>
        <v>0</v>
      </c>
      <c r="K2">
        <f>BDH("PACS US Equity","BS_CASH_NEAR_CASH_ITEM","1993-06-18","2026-05-02","Per=Y","Days=T","Dir=V")</f>
        <v>0</v>
      </c>
      <c r="M2">
        <f>BDH("PACS US Equity","BS_CUR_ASSET_REPORT","1993-06-18","2026-05-02","Per=Y","Days=T","Dir=V")</f>
        <v>0</v>
      </c>
      <c r="O2">
        <f>BDH("PACS US Equity","BS_CUR_LIAB","1993-06-18","2026-05-02","Per=Y","Days=T","Dir=V")</f>
        <v>0</v>
      </c>
      <c r="Q2">
        <f>BDH("PACS US Equity","BS_SHAREHOLDER_EQY_ENDING_PERIOD","1993-06-18","2026-05-02","Per=Y","Days=T","Dir=V")</f>
        <v>0</v>
      </c>
      <c r="S2">
        <f>BDH("PACS US Equity","BS_ACCT_NOTE_RCV","1993-06-18","2026-05-02","Per=Y","Days=T","Dir=V")</f>
        <v>0</v>
      </c>
      <c r="U2">
        <f>BDH("PACS US Equity","BS_INVENTORIES","1993-06-18","2026-05-02","Per=Y","Days=T","Dir=V")</f>
        <v>0</v>
      </c>
      <c r="W2">
        <f>BDH("PACS US Equity","WORKING_CAPITAL","1993-06-18","2026-05-02","Per=Y","Days=T","Dir=V")</f>
        <v>0</v>
      </c>
      <c r="Y2">
        <f>BDH("PACS US Equity","SALES_REV_TURN","1993-06-18","2026-05-02","Per=Y","Days=T","Dir=V")</f>
        <v>0</v>
      </c>
      <c r="AA2">
        <f>BDH("PACS US Equity","EBIT","1993-06-18","2026-05-02","Per=Y","Days=T","Dir=V")</f>
        <v>0</v>
      </c>
      <c r="AC2">
        <f>BDH("PACS US Equity","EBITDA","1993-06-18","2026-05-02","Per=Y","Days=T","Dir=V")</f>
        <v>0</v>
      </c>
      <c r="AE2">
        <f>BDH("PACS US Equity","NET_INCOME","1993-06-18","2026-05-02","Per=Y","Days=T","Dir=V")</f>
        <v>0</v>
      </c>
      <c r="AG2">
        <f>BDH("PACS US Equity","IS_INT_EXPENSE","1993-06-18","2026-05-02","Per=Y","Days=T","Dir=V")</f>
        <v>0</v>
      </c>
      <c r="AI2">
        <f>BDH("PACS US Equity","IS_DEPR_EXP","1993-06-18","2026-05-02","Per=Y","Days=T","Dir=V")</f>
        <v>0</v>
      </c>
      <c r="AK2">
        <f>BDH("PACS US Equity","CF_CASH_FROM_OPER","1993-06-18","2026-05-02","Per=Y","Days=T","Dir=V")</f>
        <v>0</v>
      </c>
      <c r="AM2">
        <f>BDH("PACS US Equity","CAPITAL_EXPEND","1993-06-18","2026-05-02","Per=Y","Days=T","Dir=V")</f>
        <v>0</v>
      </c>
      <c r="AO2">
        <f>BDH("PACS US Equity","CF_FREE_CASH_FLOW","1993-06-18","2026-05-02","Per=Y","Days=T","Dir=V")</f>
        <v>0</v>
      </c>
      <c r="AQ2">
        <f>BDH("PACS US Equity","PX_LAST","1993-06-18","2026-05-02","Per=M","Days=T","Dir=V")</f>
        <v>0</v>
      </c>
      <c r="AS2">
        <f>BDH("PACS US Equity","CUR_MKT_CAP","1993-06-18","2026-05-02","Per=M","Days=T","Dir=V")</f>
        <v>0</v>
      </c>
      <c r="AU2">
        <f>BDH("PACS US Equity","EQY_SH_OUT","1993-06-18","2026-05-02","Per=M","Days=T","Dir=V")</f>
        <v>0</v>
      </c>
      <c r="AW2">
        <f>BDH("PACS US Equity","PX_VOLUME","1993-06-18","2026-05-02","Per=M","Days=T","Dir=V")</f>
        <v>0</v>
      </c>
      <c r="AY2">
        <f>BDH("PACS US Equity","TURNOVER","1993-06-18","2026-05-02","Per=M","Days=T","Dir=V")</f>
        <v>0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BDH("PAG US Equity","BS_TOT_ASSET","1993-06-18","2026-05-02","Per=Y","Days=T","Dir=V")</f>
        <v>0</v>
      </c>
      <c r="C2">
        <f>BDH("PAG US Equity","BS_TOT_LIAB2","1993-06-18","2026-05-02","Per=Y","Days=T","Dir=V")</f>
        <v>0</v>
      </c>
      <c r="E2">
        <f>BDH("PAG US Equity","SHORT_AND_LONG_TERM_DEBT","1993-06-18","2026-05-02","Per=Y","Days=T","Dir=V")</f>
        <v>0</v>
      </c>
      <c r="G2">
        <f>BDH("PAG US Equity","BS_ST_BORROW","1993-06-18","2026-05-02","Per=Y","Days=T","Dir=V")</f>
        <v>0</v>
      </c>
      <c r="I2">
        <f>BDH("PAG US Equity","BS_LT_BORROW","1993-06-18","2026-05-02","Per=Y","Days=T","Dir=V")</f>
        <v>0</v>
      </c>
      <c r="K2">
        <f>BDH("PAG US Equity","BS_CASH_NEAR_CASH_ITEM","1993-06-18","2026-05-02","Per=Y","Days=T","Dir=V")</f>
        <v>0</v>
      </c>
      <c r="M2">
        <f>BDH("PAG US Equity","BS_CUR_ASSET_REPORT","1993-06-18","2026-05-02","Per=Y","Days=T","Dir=V")</f>
        <v>0</v>
      </c>
      <c r="O2">
        <f>BDH("PAG US Equity","BS_CUR_LIAB","1993-06-18","2026-05-02","Per=Y","Days=T","Dir=V")</f>
        <v>0</v>
      </c>
      <c r="Q2">
        <f>BDH("PAG US Equity","BS_SHAREHOLDER_EQY_ENDING_PERIOD","1993-06-18","2026-05-02","Per=Y","Days=T","Dir=V")</f>
        <v>0</v>
      </c>
      <c r="S2">
        <f>BDH("PAG US Equity","BS_ACCT_NOTE_RCV","1993-06-18","2026-05-02","Per=Y","Days=T","Dir=V")</f>
        <v>0</v>
      </c>
      <c r="U2">
        <f>BDH("PAG US Equity","BS_INVENTORIES","1993-06-18","2026-05-02","Per=Y","Days=T","Dir=V")</f>
        <v>0</v>
      </c>
      <c r="W2">
        <f>BDH("PAG US Equity","WORKING_CAPITAL","1993-06-18","2026-05-02","Per=Y","Days=T","Dir=V")</f>
        <v>0</v>
      </c>
      <c r="Y2">
        <f>BDH("PAG US Equity","SALES_REV_TURN","1993-06-18","2026-05-02","Per=Y","Days=T","Dir=V")</f>
        <v>0</v>
      </c>
      <c r="AA2">
        <f>BDH("PAG US Equity","EBIT","1993-06-18","2026-05-02","Per=Y","Days=T","Dir=V")</f>
        <v>0</v>
      </c>
      <c r="AC2">
        <f>BDH("PAG US Equity","EBITDA","1993-06-18","2026-05-02","Per=Y","Days=T","Dir=V")</f>
        <v>0</v>
      </c>
      <c r="AE2">
        <f>BDH("PAG US Equity","NET_INCOME","1993-06-18","2026-05-02","Per=Y","Days=T","Dir=V")</f>
        <v>0</v>
      </c>
      <c r="AG2">
        <f>BDH("PAG US Equity","IS_INT_EXPENSE","1993-06-18","2026-05-02","Per=Y","Days=T","Dir=V")</f>
        <v>0</v>
      </c>
      <c r="AI2">
        <f>BDH("PAG US Equity","IS_DEPR_EXP","1993-06-18","2026-05-02","Per=Y","Days=T","Dir=V")</f>
        <v>0</v>
      </c>
      <c r="AK2">
        <f>BDH("PAG US Equity","CF_CASH_FROM_OPER","1993-06-18","2026-05-02","Per=Y","Days=T","Dir=V")</f>
        <v>0</v>
      </c>
      <c r="AM2">
        <f>BDH("PAG US Equity","CAPITAL_EXPEND","1993-06-18","2026-05-02","Per=Y","Days=T","Dir=V")</f>
        <v>0</v>
      </c>
      <c r="AO2">
        <f>BDH("PAG US Equity","CF_FREE_CASH_FLOW","1993-06-18","2026-05-02","Per=Y","Days=T","Dir=V")</f>
        <v>0</v>
      </c>
      <c r="AQ2">
        <f>BDH("PAG US Equity","PX_LAST","1993-06-18","2026-05-02","Per=M","Days=T","Dir=V")</f>
        <v>0</v>
      </c>
      <c r="AS2">
        <f>BDH("PAG US Equity","CUR_MKT_CAP","1993-06-18","2026-05-02","Per=M","Days=T","Dir=V")</f>
        <v>0</v>
      </c>
      <c r="AU2">
        <f>BDH("PAG US Equity","EQY_SH_OUT","1993-06-18","2026-05-02","Per=M","Days=T","Dir=V")</f>
        <v>0</v>
      </c>
      <c r="AW2">
        <f>BDH("PAG US Equity","PX_VOLUME","1993-06-18","2026-05-02","Per=M","Days=T","Dir=V")</f>
        <v>0</v>
      </c>
      <c r="AY2">
        <f>BDH("PAG US Equity","TURNOVER","1993-06-18","2026-05-02","Per=M","Days=T","Dir=V")</f>
        <v>0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BDH("PAGP US Equity","BS_TOT_ASSET","1993-06-18","2026-05-02","Per=Y","Days=T","Dir=V")</f>
        <v>0</v>
      </c>
      <c r="C2">
        <f>BDH("PAGP US Equity","BS_TOT_LIAB2","1993-06-18","2026-05-02","Per=Y","Days=T","Dir=V")</f>
        <v>0</v>
      </c>
      <c r="E2">
        <f>BDH("PAGP US Equity","SHORT_AND_LONG_TERM_DEBT","1993-06-18","2026-05-02","Per=Y","Days=T","Dir=V")</f>
        <v>0</v>
      </c>
      <c r="G2">
        <f>BDH("PAGP US Equity","BS_ST_BORROW","1993-06-18","2026-05-02","Per=Y","Days=T","Dir=V")</f>
        <v>0</v>
      </c>
      <c r="I2">
        <f>BDH("PAGP US Equity","BS_LT_BORROW","1993-06-18","2026-05-02","Per=Y","Days=T","Dir=V")</f>
        <v>0</v>
      </c>
      <c r="K2">
        <f>BDH("PAGP US Equity","BS_CASH_NEAR_CASH_ITEM","1993-06-18","2026-05-02","Per=Y","Days=T","Dir=V")</f>
        <v>0</v>
      </c>
      <c r="M2">
        <f>BDH("PAGP US Equity","BS_CUR_ASSET_REPORT","1993-06-18","2026-05-02","Per=Y","Days=T","Dir=V")</f>
        <v>0</v>
      </c>
      <c r="O2">
        <f>BDH("PAGP US Equity","BS_CUR_LIAB","1993-06-18","2026-05-02","Per=Y","Days=T","Dir=V")</f>
        <v>0</v>
      </c>
      <c r="Q2">
        <f>BDH("PAGP US Equity","BS_SHAREHOLDER_EQY_ENDING_PERIOD","1993-06-18","2026-05-02","Per=Y","Days=T","Dir=V")</f>
        <v>0</v>
      </c>
      <c r="S2">
        <f>BDH("PAGP US Equity","BS_ACCT_NOTE_RCV","1993-06-18","2026-05-02","Per=Y","Days=T","Dir=V")</f>
        <v>0</v>
      </c>
      <c r="U2">
        <f>BDH("PAGP US Equity","BS_INVENTORIES","1993-06-18","2026-05-02","Per=Y","Days=T","Dir=V")</f>
        <v>0</v>
      </c>
      <c r="W2">
        <f>BDH("PAGP US Equity","WORKING_CAPITAL","1993-06-18","2026-05-02","Per=Y","Days=T","Dir=V")</f>
        <v>0</v>
      </c>
      <c r="Y2">
        <f>BDH("PAGP US Equity","SALES_REV_TURN","1993-06-18","2026-05-02","Per=Y","Days=T","Dir=V")</f>
        <v>0</v>
      </c>
      <c r="AA2">
        <f>BDH("PAGP US Equity","EBIT","1993-06-18","2026-05-02","Per=Y","Days=T","Dir=V")</f>
        <v>0</v>
      </c>
      <c r="AC2">
        <f>BDH("PAGP US Equity","EBITDA","1993-06-18","2026-05-02","Per=Y","Days=T","Dir=V")</f>
        <v>0</v>
      </c>
      <c r="AE2">
        <f>BDH("PAGP US Equity","NET_INCOME","1993-06-18","2026-05-02","Per=Y","Days=T","Dir=V")</f>
        <v>0</v>
      </c>
      <c r="AG2">
        <f>BDH("PAGP US Equity","IS_INT_EXPENSE","1993-06-18","2026-05-02","Per=Y","Days=T","Dir=V")</f>
        <v>0</v>
      </c>
      <c r="AI2">
        <f>BDH("PAGP US Equity","IS_DEPR_EXP","1993-06-18","2026-05-02","Per=Y","Days=T","Dir=V")</f>
        <v>0</v>
      </c>
      <c r="AK2">
        <f>BDH("PAGP US Equity","CF_CASH_FROM_OPER","1993-06-18","2026-05-02","Per=Y","Days=T","Dir=V")</f>
        <v>0</v>
      </c>
      <c r="AM2">
        <f>BDH("PAGP US Equity","CAPITAL_EXPEND","1993-06-18","2026-05-02","Per=Y","Days=T","Dir=V")</f>
        <v>0</v>
      </c>
      <c r="AO2">
        <f>BDH("PAGP US Equity","CF_FREE_CASH_FLOW","1993-06-18","2026-05-02","Per=Y","Days=T","Dir=V")</f>
        <v>0</v>
      </c>
      <c r="AQ2">
        <f>BDH("PAGP US Equity","PX_LAST","1993-06-18","2026-05-02","Per=M","Days=T","Dir=V")</f>
        <v>0</v>
      </c>
      <c r="AS2">
        <f>BDH("PAGP US Equity","CUR_MKT_CAP","1993-06-18","2026-05-02","Per=M","Days=T","Dir=V")</f>
        <v>0</v>
      </c>
      <c r="AU2">
        <f>BDH("PAGP US Equity","EQY_SH_OUT","1993-06-18","2026-05-02","Per=M","Days=T","Dir=V")</f>
        <v>0</v>
      </c>
      <c r="AW2">
        <f>BDH("PAGP US Equity","PX_VOLUME","1993-06-18","2026-05-02","Per=M","Days=T","Dir=V")</f>
        <v>0</v>
      </c>
      <c r="AY2">
        <f>BDH("PAGP US Equity","TURNOVER","1993-06-18","2026-05-02","Per=M","Days=T","Dir=V")</f>
        <v>0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BDH("PAHC US Equity","BS_TOT_ASSET","1993-06-18","2026-05-02","Per=Y","Days=T","Dir=V")</f>
        <v>0</v>
      </c>
      <c r="C2">
        <f>BDH("PAHC US Equity","BS_TOT_LIAB2","1993-06-18","2026-05-02","Per=Y","Days=T","Dir=V")</f>
        <v>0</v>
      </c>
      <c r="E2">
        <f>BDH("PAHC US Equity","SHORT_AND_LONG_TERM_DEBT","1993-06-18","2026-05-02","Per=Y","Days=T","Dir=V")</f>
        <v>0</v>
      </c>
      <c r="G2">
        <f>BDH("PAHC US Equity","BS_ST_BORROW","1993-06-18","2026-05-02","Per=Y","Days=T","Dir=V")</f>
        <v>0</v>
      </c>
      <c r="I2">
        <f>BDH("PAHC US Equity","BS_LT_BORROW","1993-06-18","2026-05-02","Per=Y","Days=T","Dir=V")</f>
        <v>0</v>
      </c>
      <c r="K2">
        <f>BDH("PAHC US Equity","BS_CASH_NEAR_CASH_ITEM","1993-06-18","2026-05-02","Per=Y","Days=T","Dir=V")</f>
        <v>0</v>
      </c>
      <c r="M2">
        <f>BDH("PAHC US Equity","BS_CUR_ASSET_REPORT","1993-06-18","2026-05-02","Per=Y","Days=T","Dir=V")</f>
        <v>0</v>
      </c>
      <c r="O2">
        <f>BDH("PAHC US Equity","BS_CUR_LIAB","1993-06-18","2026-05-02","Per=Y","Days=T","Dir=V")</f>
        <v>0</v>
      </c>
      <c r="Q2">
        <f>BDH("PAHC US Equity","BS_SHAREHOLDER_EQY_ENDING_PERIOD","1993-06-18","2026-05-02","Per=Y","Days=T","Dir=V")</f>
        <v>0</v>
      </c>
      <c r="S2">
        <f>BDH("PAHC US Equity","BS_ACCT_NOTE_RCV","1993-06-18","2026-05-02","Per=Y","Days=T","Dir=V")</f>
        <v>0</v>
      </c>
      <c r="U2">
        <f>BDH("PAHC US Equity","BS_INVENTORIES","1993-06-18","2026-05-02","Per=Y","Days=T","Dir=V")</f>
        <v>0</v>
      </c>
      <c r="W2">
        <f>BDH("PAHC US Equity","WORKING_CAPITAL","1993-06-18","2026-05-02","Per=Y","Days=T","Dir=V")</f>
        <v>0</v>
      </c>
      <c r="Y2">
        <f>BDH("PAHC US Equity","SALES_REV_TURN","1993-06-18","2026-05-02","Per=Y","Days=T","Dir=V")</f>
        <v>0</v>
      </c>
      <c r="AA2">
        <f>BDH("PAHC US Equity","EBIT","1993-06-18","2026-05-02","Per=Y","Days=T","Dir=V")</f>
        <v>0</v>
      </c>
      <c r="AC2">
        <f>BDH("PAHC US Equity","EBITDA","1993-06-18","2026-05-02","Per=Y","Days=T","Dir=V")</f>
        <v>0</v>
      </c>
      <c r="AE2">
        <f>BDH("PAHC US Equity","NET_INCOME","1993-06-18","2026-05-02","Per=Y","Days=T","Dir=V")</f>
        <v>0</v>
      </c>
      <c r="AG2">
        <f>BDH("PAHC US Equity","IS_INT_EXPENSE","1993-06-18","2026-05-02","Per=Y","Days=T","Dir=V")</f>
        <v>0</v>
      </c>
      <c r="AI2">
        <f>BDH("PAHC US Equity","IS_DEPR_EXP","1993-06-18","2026-05-02","Per=Y","Days=T","Dir=V")</f>
        <v>0</v>
      </c>
      <c r="AK2">
        <f>BDH("PAHC US Equity","CF_CASH_FROM_OPER","1993-06-18","2026-05-02","Per=Y","Days=T","Dir=V")</f>
        <v>0</v>
      </c>
      <c r="AM2">
        <f>BDH("PAHC US Equity","CAPITAL_EXPEND","1993-06-18","2026-05-02","Per=Y","Days=T","Dir=V")</f>
        <v>0</v>
      </c>
      <c r="AO2">
        <f>BDH("PAHC US Equity","CF_FREE_CASH_FLOW","1993-06-18","2026-05-02","Per=Y","Days=T","Dir=V")</f>
        <v>0</v>
      </c>
      <c r="AQ2">
        <f>BDH("PAHC US Equity","PX_LAST","1993-06-18","2026-05-02","Per=M","Days=T","Dir=V")</f>
        <v>0</v>
      </c>
      <c r="AS2">
        <f>BDH("PAHC US Equity","CUR_MKT_CAP","1993-06-18","2026-05-02","Per=M","Days=T","Dir=V")</f>
        <v>0</v>
      </c>
      <c r="AU2">
        <f>BDH("PAHC US Equity","EQY_SH_OUT","1993-06-18","2026-05-02","Per=M","Days=T","Dir=V")</f>
        <v>0</v>
      </c>
      <c r="AW2">
        <f>BDH("PAHC US Equity","PX_VOLUME","1993-06-18","2026-05-02","Per=M","Days=T","Dir=V")</f>
        <v>0</v>
      </c>
      <c r="AY2">
        <f>BDH("PAHC US Equity","TURNOVER","1993-06-18","2026-05-02","Per=M","Days=T","Dir=V")</f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BDH("PAL US Equity","BS_TOT_ASSET","1993-06-18","2026-05-02","Per=Y","Days=T","Dir=V")</f>
        <v>0</v>
      </c>
      <c r="C2">
        <f>BDH("PAL US Equity","BS_TOT_LIAB2","1993-06-18","2026-05-02","Per=Y","Days=T","Dir=V")</f>
        <v>0</v>
      </c>
      <c r="E2">
        <f>BDH("PAL US Equity","SHORT_AND_LONG_TERM_DEBT","1993-06-18","2026-05-02","Per=Y","Days=T","Dir=V")</f>
        <v>0</v>
      </c>
      <c r="G2">
        <f>BDH("PAL US Equity","BS_ST_BORROW","1993-06-18","2026-05-02","Per=Y","Days=T","Dir=V")</f>
        <v>0</v>
      </c>
      <c r="I2">
        <f>BDH("PAL US Equity","BS_LT_BORROW","1993-06-18","2026-05-02","Per=Y","Days=T","Dir=V")</f>
        <v>0</v>
      </c>
      <c r="K2">
        <f>BDH("PAL US Equity","BS_CASH_NEAR_CASH_ITEM","1993-06-18","2026-05-02","Per=Y","Days=T","Dir=V")</f>
        <v>0</v>
      </c>
      <c r="M2">
        <f>BDH("PAL US Equity","BS_CUR_ASSET_REPORT","1993-06-18","2026-05-02","Per=Y","Days=T","Dir=V")</f>
        <v>0</v>
      </c>
      <c r="O2">
        <f>BDH("PAL US Equity","BS_CUR_LIAB","1993-06-18","2026-05-02","Per=Y","Days=T","Dir=V")</f>
        <v>0</v>
      </c>
      <c r="Q2">
        <f>BDH("PAL US Equity","BS_SHAREHOLDER_EQY_ENDING_PERIOD","1993-06-18","2026-05-02","Per=Y","Days=T","Dir=V")</f>
        <v>0</v>
      </c>
      <c r="S2">
        <f>BDH("PAL US Equity","BS_ACCT_NOTE_RCV","1993-06-18","2026-05-02","Per=Y","Days=T","Dir=V")</f>
        <v>0</v>
      </c>
      <c r="U2">
        <f>BDH("PAL US Equity","BS_INVENTORIES","1993-06-18","2026-05-02","Per=Y","Days=T","Dir=V")</f>
        <v>0</v>
      </c>
      <c r="W2">
        <f>BDH("PAL US Equity","WORKING_CAPITAL","1993-06-18","2026-05-02","Per=Y","Days=T","Dir=V")</f>
        <v>0</v>
      </c>
      <c r="Y2">
        <f>BDH("PAL US Equity","SALES_REV_TURN","1993-06-18","2026-05-02","Per=Y","Days=T","Dir=V")</f>
        <v>0</v>
      </c>
      <c r="AA2">
        <f>BDH("PAL US Equity","EBIT","1993-06-18","2026-05-02","Per=Y","Days=T","Dir=V")</f>
        <v>0</v>
      </c>
      <c r="AC2">
        <f>BDH("PAL US Equity","EBITDA","1993-06-18","2026-05-02","Per=Y","Days=T","Dir=V")</f>
        <v>0</v>
      </c>
      <c r="AE2">
        <f>BDH("PAL US Equity","NET_INCOME","1993-06-18","2026-05-02","Per=Y","Days=T","Dir=V")</f>
        <v>0</v>
      </c>
      <c r="AG2">
        <f>BDH("PAL US Equity","IS_INT_EXPENSE","1993-06-18","2026-05-02","Per=Y","Days=T","Dir=V")</f>
        <v>0</v>
      </c>
      <c r="AI2">
        <f>BDH("PAL US Equity","IS_DEPR_EXP","1993-06-18","2026-05-02","Per=Y","Days=T","Dir=V")</f>
        <v>0</v>
      </c>
      <c r="AK2">
        <f>BDH("PAL US Equity","CF_CASH_FROM_OPER","1993-06-18","2026-05-02","Per=Y","Days=T","Dir=V")</f>
        <v>0</v>
      </c>
      <c r="AM2">
        <f>BDH("PAL US Equity","CAPITAL_EXPEND","1993-06-18","2026-05-02","Per=Y","Days=T","Dir=V")</f>
        <v>0</v>
      </c>
      <c r="AO2">
        <f>BDH("PAL US Equity","CF_FREE_CASH_FLOW","1993-06-18","2026-05-02","Per=Y","Days=T","Dir=V")</f>
        <v>0</v>
      </c>
      <c r="AQ2">
        <f>BDH("PAL US Equity","PX_LAST","1993-06-18","2026-05-02","Per=M","Days=T","Dir=V")</f>
        <v>0</v>
      </c>
      <c r="AS2">
        <f>BDH("PAL US Equity","CUR_MKT_CAP","1993-06-18","2026-05-02","Per=M","Days=T","Dir=V")</f>
        <v>0</v>
      </c>
      <c r="AU2">
        <f>BDH("PAL US Equity","EQY_SH_OUT","1993-06-18","2026-05-02","Per=M","Days=T","Dir=V")</f>
        <v>0</v>
      </c>
      <c r="AW2">
        <f>BDH("PAL US Equity","PX_VOLUME","1993-06-18","2026-05-02","Per=M","Days=T","Dir=V")</f>
        <v>0</v>
      </c>
      <c r="AY2">
        <f>BDH("PAL US Equity","TURNOVER","1993-06-18","2026-05-02","Per=M","Days=T","Dir=V")</f>
        <v>0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BDH("PALI US Equity","BS_TOT_ASSET","1993-06-18","2026-05-02","Per=Y","Days=T","Dir=V")</f>
        <v>0</v>
      </c>
      <c r="C2">
        <f>BDH("PALI US Equity","BS_TOT_LIAB2","1993-06-18","2026-05-02","Per=Y","Days=T","Dir=V")</f>
        <v>0</v>
      </c>
      <c r="E2">
        <f>BDH("PALI US Equity","SHORT_AND_LONG_TERM_DEBT","1993-06-18","2026-05-02","Per=Y","Days=T","Dir=V")</f>
        <v>0</v>
      </c>
      <c r="G2">
        <f>BDH("PALI US Equity","BS_ST_BORROW","1993-06-18","2026-05-02","Per=Y","Days=T","Dir=V")</f>
        <v>0</v>
      </c>
      <c r="I2">
        <f>BDH("PALI US Equity","BS_LT_BORROW","1993-06-18","2026-05-02","Per=Y","Days=T","Dir=V")</f>
        <v>0</v>
      </c>
      <c r="K2">
        <f>BDH("PALI US Equity","BS_CASH_NEAR_CASH_ITEM","1993-06-18","2026-05-02","Per=Y","Days=T","Dir=V")</f>
        <v>0</v>
      </c>
      <c r="M2">
        <f>BDH("PALI US Equity","BS_CUR_ASSET_REPORT","1993-06-18","2026-05-02","Per=Y","Days=T","Dir=V")</f>
        <v>0</v>
      </c>
      <c r="O2">
        <f>BDH("PALI US Equity","BS_CUR_LIAB","1993-06-18","2026-05-02","Per=Y","Days=T","Dir=V")</f>
        <v>0</v>
      </c>
      <c r="Q2">
        <f>BDH("PALI US Equity","BS_SHAREHOLDER_EQY_ENDING_PERIOD","1993-06-18","2026-05-02","Per=Y","Days=T","Dir=V")</f>
        <v>0</v>
      </c>
      <c r="S2">
        <f>BDH("PALI US Equity","BS_ACCT_NOTE_RCV","1993-06-18","2026-05-02","Per=Y","Days=T","Dir=V")</f>
        <v>0</v>
      </c>
      <c r="U2">
        <f>BDH("PALI US Equity","BS_INVENTORIES","1993-06-18","2026-05-02","Per=Y","Days=T","Dir=V")</f>
        <v>0</v>
      </c>
      <c r="W2">
        <f>BDH("PALI US Equity","WORKING_CAPITAL","1993-06-18","2026-05-02","Per=Y","Days=T","Dir=V")</f>
        <v>0</v>
      </c>
      <c r="Y2">
        <f>BDH("PALI US Equity","SALES_REV_TURN","1993-06-18","2026-05-02","Per=Y","Days=T","Dir=V")</f>
        <v>0</v>
      </c>
      <c r="AA2">
        <f>BDH("PALI US Equity","EBIT","1993-06-18","2026-05-02","Per=Y","Days=T","Dir=V")</f>
        <v>0</v>
      </c>
      <c r="AC2">
        <f>BDH("PALI US Equity","EBITDA","1993-06-18","2026-05-02","Per=Y","Days=T","Dir=V")</f>
        <v>0</v>
      </c>
      <c r="AE2">
        <f>BDH("PALI US Equity","NET_INCOME","1993-06-18","2026-05-02","Per=Y","Days=T","Dir=V")</f>
        <v>0</v>
      </c>
      <c r="AG2">
        <f>BDH("PALI US Equity","IS_INT_EXPENSE","1993-06-18","2026-05-02","Per=Y","Days=T","Dir=V")</f>
        <v>0</v>
      </c>
      <c r="AI2">
        <f>BDH("PALI US Equity","IS_DEPR_EXP","1993-06-18","2026-05-02","Per=Y","Days=T","Dir=V")</f>
        <v>0</v>
      </c>
      <c r="AK2">
        <f>BDH("PALI US Equity","CF_CASH_FROM_OPER","1993-06-18","2026-05-02","Per=Y","Days=T","Dir=V")</f>
        <v>0</v>
      </c>
      <c r="AM2">
        <f>BDH("PALI US Equity","CAPITAL_EXPEND","1993-06-18","2026-05-02","Per=Y","Days=T","Dir=V")</f>
        <v>0</v>
      </c>
      <c r="AO2">
        <f>BDH("PALI US Equity","CF_FREE_CASH_FLOW","1993-06-18","2026-05-02","Per=Y","Days=T","Dir=V")</f>
        <v>0</v>
      </c>
      <c r="AQ2">
        <f>BDH("PALI US Equity","PX_LAST","1993-06-18","2026-05-02","Per=M","Days=T","Dir=V")</f>
        <v>0</v>
      </c>
      <c r="AS2">
        <f>BDH("PALI US Equity","CUR_MKT_CAP","1993-06-18","2026-05-02","Per=M","Days=T","Dir=V")</f>
        <v>0</v>
      </c>
      <c r="AU2">
        <f>BDH("PALI US Equity","EQY_SH_OUT","1993-06-18","2026-05-02","Per=M","Days=T","Dir=V")</f>
        <v>0</v>
      </c>
      <c r="AW2">
        <f>BDH("PALI US Equity","PX_VOLUME","1993-06-18","2026-05-02","Per=M","Days=T","Dir=V")</f>
        <v>0</v>
      </c>
      <c r="AY2">
        <f>BDH("PALI US Equity","TURNOVER","1993-06-18","2026-05-02","Per=M","Days=T","Dir=V")</f>
        <v>0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BDH("PAMT US Equity","BS_TOT_ASSET","1993-06-18","2026-05-02","Per=Y","Days=T","Dir=V")</f>
        <v>0</v>
      </c>
      <c r="C2">
        <f>BDH("PAMT US Equity","BS_TOT_LIAB2","1993-06-18","2026-05-02","Per=Y","Days=T","Dir=V")</f>
        <v>0</v>
      </c>
      <c r="E2">
        <f>BDH("PAMT US Equity","SHORT_AND_LONG_TERM_DEBT","1993-06-18","2026-05-02","Per=Y","Days=T","Dir=V")</f>
        <v>0</v>
      </c>
      <c r="G2">
        <f>BDH("PAMT US Equity","BS_ST_BORROW","1993-06-18","2026-05-02","Per=Y","Days=T","Dir=V")</f>
        <v>0</v>
      </c>
      <c r="I2">
        <f>BDH("PAMT US Equity","BS_LT_BORROW","1993-06-18","2026-05-02","Per=Y","Days=T","Dir=V")</f>
        <v>0</v>
      </c>
      <c r="K2">
        <f>BDH("PAMT US Equity","BS_CASH_NEAR_CASH_ITEM","1993-06-18","2026-05-02","Per=Y","Days=T","Dir=V")</f>
        <v>0</v>
      </c>
      <c r="M2">
        <f>BDH("PAMT US Equity","BS_CUR_ASSET_REPORT","1993-06-18","2026-05-02","Per=Y","Days=T","Dir=V")</f>
        <v>0</v>
      </c>
      <c r="O2">
        <f>BDH("PAMT US Equity","BS_CUR_LIAB","1993-06-18","2026-05-02","Per=Y","Days=T","Dir=V")</f>
        <v>0</v>
      </c>
      <c r="Q2">
        <f>BDH("PAMT US Equity","BS_SHAREHOLDER_EQY_ENDING_PERIOD","1993-06-18","2026-05-02","Per=Y","Days=T","Dir=V")</f>
        <v>0</v>
      </c>
      <c r="S2">
        <f>BDH("PAMT US Equity","BS_ACCT_NOTE_RCV","1993-06-18","2026-05-02","Per=Y","Days=T","Dir=V")</f>
        <v>0</v>
      </c>
      <c r="U2">
        <f>BDH("PAMT US Equity","BS_INVENTORIES","1993-06-18","2026-05-02","Per=Y","Days=T","Dir=V")</f>
        <v>0</v>
      </c>
      <c r="W2">
        <f>BDH("PAMT US Equity","WORKING_CAPITAL","1993-06-18","2026-05-02","Per=Y","Days=T","Dir=V")</f>
        <v>0</v>
      </c>
      <c r="Y2">
        <f>BDH("PAMT US Equity","SALES_REV_TURN","1993-06-18","2026-05-02","Per=Y","Days=T","Dir=V")</f>
        <v>0</v>
      </c>
      <c r="AA2">
        <f>BDH("PAMT US Equity","EBIT","1993-06-18","2026-05-02","Per=Y","Days=T","Dir=V")</f>
        <v>0</v>
      </c>
      <c r="AC2">
        <f>BDH("PAMT US Equity","EBITDA","1993-06-18","2026-05-02","Per=Y","Days=T","Dir=V")</f>
        <v>0</v>
      </c>
      <c r="AE2">
        <f>BDH("PAMT US Equity","NET_INCOME","1993-06-18","2026-05-02","Per=Y","Days=T","Dir=V")</f>
        <v>0</v>
      </c>
      <c r="AG2">
        <f>BDH("PAMT US Equity","IS_INT_EXPENSE","1993-06-18","2026-05-02","Per=Y","Days=T","Dir=V")</f>
        <v>0</v>
      </c>
      <c r="AI2">
        <f>BDH("PAMT US Equity","IS_DEPR_EXP","1993-06-18","2026-05-02","Per=Y","Days=T","Dir=V")</f>
        <v>0</v>
      </c>
      <c r="AK2">
        <f>BDH("PAMT US Equity","CF_CASH_FROM_OPER","1993-06-18","2026-05-02","Per=Y","Days=T","Dir=V")</f>
        <v>0</v>
      </c>
      <c r="AM2">
        <f>BDH("PAMT US Equity","CAPITAL_EXPEND","1993-06-18","2026-05-02","Per=Y","Days=T","Dir=V")</f>
        <v>0</v>
      </c>
      <c r="AO2">
        <f>BDH("PAMT US Equity","CF_FREE_CASH_FLOW","1993-06-18","2026-05-02","Per=Y","Days=T","Dir=V")</f>
        <v>0</v>
      </c>
      <c r="AQ2">
        <f>BDH("PAMT US Equity","PX_LAST","1993-06-18","2026-05-02","Per=M","Days=T","Dir=V")</f>
        <v>0</v>
      </c>
      <c r="AS2">
        <f>BDH("PAMT US Equity","CUR_MKT_CAP","1993-06-18","2026-05-02","Per=M","Days=T","Dir=V")</f>
        <v>0</v>
      </c>
      <c r="AU2">
        <f>BDH("PAMT US Equity","EQY_SH_OUT","1993-06-18","2026-05-02","Per=M","Days=T","Dir=V")</f>
        <v>0</v>
      </c>
      <c r="AW2">
        <f>BDH("PAMT US Equity","PX_VOLUME","1993-06-18","2026-05-02","Per=M","Days=T","Dir=V")</f>
        <v>0</v>
      </c>
      <c r="AY2">
        <f>BDH("PAMT US Equity","TURNOVER","1993-06-18","2026-05-02","Per=M","Days=T","Dir=V")</f>
        <v>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BDH("PANL US Equity","BS_TOT_ASSET","1993-06-18","2026-05-02","Per=Y","Days=T","Dir=V")</f>
        <v>0</v>
      </c>
      <c r="C2">
        <f>BDH("PANL US Equity","BS_TOT_LIAB2","1993-06-18","2026-05-02","Per=Y","Days=T","Dir=V")</f>
        <v>0</v>
      </c>
      <c r="E2">
        <f>BDH("PANL US Equity","SHORT_AND_LONG_TERM_DEBT","1993-06-18","2026-05-02","Per=Y","Days=T","Dir=V")</f>
        <v>0</v>
      </c>
      <c r="G2">
        <f>BDH("PANL US Equity","BS_ST_BORROW","1993-06-18","2026-05-02","Per=Y","Days=T","Dir=V")</f>
        <v>0</v>
      </c>
      <c r="I2">
        <f>BDH("PANL US Equity","BS_LT_BORROW","1993-06-18","2026-05-02","Per=Y","Days=T","Dir=V")</f>
        <v>0</v>
      </c>
      <c r="K2">
        <f>BDH("PANL US Equity","BS_CASH_NEAR_CASH_ITEM","1993-06-18","2026-05-02","Per=Y","Days=T","Dir=V")</f>
        <v>0</v>
      </c>
      <c r="M2">
        <f>BDH("PANL US Equity","BS_CUR_ASSET_REPORT","1993-06-18","2026-05-02","Per=Y","Days=T","Dir=V")</f>
        <v>0</v>
      </c>
      <c r="O2">
        <f>BDH("PANL US Equity","BS_CUR_LIAB","1993-06-18","2026-05-02","Per=Y","Days=T","Dir=V")</f>
        <v>0</v>
      </c>
      <c r="Q2">
        <f>BDH("PANL US Equity","BS_SHAREHOLDER_EQY_ENDING_PERIOD","1993-06-18","2026-05-02","Per=Y","Days=T","Dir=V")</f>
        <v>0</v>
      </c>
      <c r="S2">
        <f>BDH("PANL US Equity","BS_ACCT_NOTE_RCV","1993-06-18","2026-05-02","Per=Y","Days=T","Dir=V")</f>
        <v>0</v>
      </c>
      <c r="U2">
        <f>BDH("PANL US Equity","BS_INVENTORIES","1993-06-18","2026-05-02","Per=Y","Days=T","Dir=V")</f>
        <v>0</v>
      </c>
      <c r="W2">
        <f>BDH("PANL US Equity","WORKING_CAPITAL","1993-06-18","2026-05-02","Per=Y","Days=T","Dir=V")</f>
        <v>0</v>
      </c>
      <c r="Y2">
        <f>BDH("PANL US Equity","SALES_REV_TURN","1993-06-18","2026-05-02","Per=Y","Days=T","Dir=V")</f>
        <v>0</v>
      </c>
      <c r="AA2">
        <f>BDH("PANL US Equity","EBIT","1993-06-18","2026-05-02","Per=Y","Days=T","Dir=V")</f>
        <v>0</v>
      </c>
      <c r="AC2">
        <f>BDH("PANL US Equity","EBITDA","1993-06-18","2026-05-02","Per=Y","Days=T","Dir=V")</f>
        <v>0</v>
      </c>
      <c r="AE2">
        <f>BDH("PANL US Equity","NET_INCOME","1993-06-18","2026-05-02","Per=Y","Days=T","Dir=V")</f>
        <v>0</v>
      </c>
      <c r="AG2">
        <f>BDH("PANL US Equity","IS_INT_EXPENSE","1993-06-18","2026-05-02","Per=Y","Days=T","Dir=V")</f>
        <v>0</v>
      </c>
      <c r="AI2">
        <f>BDH("PANL US Equity","IS_DEPR_EXP","1993-06-18","2026-05-02","Per=Y","Days=T","Dir=V")</f>
        <v>0</v>
      </c>
      <c r="AK2">
        <f>BDH("PANL US Equity","CF_CASH_FROM_OPER","1993-06-18","2026-05-02","Per=Y","Days=T","Dir=V")</f>
        <v>0</v>
      </c>
      <c r="AM2">
        <f>BDH("PANL US Equity","CAPITAL_EXPEND","1993-06-18","2026-05-02","Per=Y","Days=T","Dir=V")</f>
        <v>0</v>
      </c>
      <c r="AO2">
        <f>BDH("PANL US Equity","CF_FREE_CASH_FLOW","1993-06-18","2026-05-02","Per=Y","Days=T","Dir=V")</f>
        <v>0</v>
      </c>
      <c r="AQ2">
        <f>BDH("PANL US Equity","PX_LAST","1993-06-18","2026-05-02","Per=M","Days=T","Dir=V")</f>
        <v>0</v>
      </c>
      <c r="AS2">
        <f>BDH("PANL US Equity","CUR_MKT_CAP","1993-06-18","2026-05-02","Per=M","Days=T","Dir=V")</f>
        <v>0</v>
      </c>
      <c r="AU2">
        <f>BDH("PANL US Equity","EQY_SH_OUT","1993-06-18","2026-05-02","Per=M","Days=T","Dir=V")</f>
        <v>0</v>
      </c>
      <c r="AW2">
        <f>BDH("PANL US Equity","PX_VOLUME","1993-06-18","2026-05-02","Per=M","Days=T","Dir=V")</f>
        <v>0</v>
      </c>
      <c r="AY2">
        <f>BDH("PANL US Equity","TURNOVER","1993-06-18","2026-05-02","Per=M","Days=T","Dir=V")</f>
        <v>0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BDH("PANW US Equity","BS_TOT_ASSET","1993-06-18","2026-05-02","Per=Y","Days=T","Dir=V")</f>
        <v>0</v>
      </c>
      <c r="C2">
        <f>BDH("PANW US Equity","BS_TOT_LIAB2","1993-06-18","2026-05-02","Per=Y","Days=T","Dir=V")</f>
        <v>0</v>
      </c>
      <c r="E2">
        <f>BDH("PANW US Equity","SHORT_AND_LONG_TERM_DEBT","1993-06-18","2026-05-02","Per=Y","Days=T","Dir=V")</f>
        <v>0</v>
      </c>
      <c r="G2">
        <f>BDH("PANW US Equity","BS_ST_BORROW","1993-06-18","2026-05-02","Per=Y","Days=T","Dir=V")</f>
        <v>0</v>
      </c>
      <c r="I2">
        <f>BDH("PANW US Equity","BS_LT_BORROW","1993-06-18","2026-05-02","Per=Y","Days=T","Dir=V")</f>
        <v>0</v>
      </c>
      <c r="K2">
        <f>BDH("PANW US Equity","BS_CASH_NEAR_CASH_ITEM","1993-06-18","2026-05-02","Per=Y","Days=T","Dir=V")</f>
        <v>0</v>
      </c>
      <c r="M2">
        <f>BDH("PANW US Equity","BS_CUR_ASSET_REPORT","1993-06-18","2026-05-02","Per=Y","Days=T","Dir=V")</f>
        <v>0</v>
      </c>
      <c r="O2">
        <f>BDH("PANW US Equity","BS_CUR_LIAB","1993-06-18","2026-05-02","Per=Y","Days=T","Dir=V")</f>
        <v>0</v>
      </c>
      <c r="Q2">
        <f>BDH("PANW US Equity","BS_SHAREHOLDER_EQY_ENDING_PERIOD","1993-06-18","2026-05-02","Per=Y","Days=T","Dir=V")</f>
        <v>0</v>
      </c>
      <c r="S2">
        <f>BDH("PANW US Equity","BS_ACCT_NOTE_RCV","1993-06-18","2026-05-02","Per=Y","Days=T","Dir=V")</f>
        <v>0</v>
      </c>
      <c r="U2">
        <f>BDH("PANW US Equity","BS_INVENTORIES","1993-06-18","2026-05-02","Per=Y","Days=T","Dir=V")</f>
        <v>0</v>
      </c>
      <c r="W2">
        <f>BDH("PANW US Equity","WORKING_CAPITAL","1993-06-18","2026-05-02","Per=Y","Days=T","Dir=V")</f>
        <v>0</v>
      </c>
      <c r="Y2">
        <f>BDH("PANW US Equity","SALES_REV_TURN","1993-06-18","2026-05-02","Per=Y","Days=T","Dir=V")</f>
        <v>0</v>
      </c>
      <c r="AA2">
        <f>BDH("PANW US Equity","EBIT","1993-06-18","2026-05-02","Per=Y","Days=T","Dir=V")</f>
        <v>0</v>
      </c>
      <c r="AC2">
        <f>BDH("PANW US Equity","EBITDA","1993-06-18","2026-05-02","Per=Y","Days=T","Dir=V")</f>
        <v>0</v>
      </c>
      <c r="AE2">
        <f>BDH("PANW US Equity","NET_INCOME","1993-06-18","2026-05-02","Per=Y","Days=T","Dir=V")</f>
        <v>0</v>
      </c>
      <c r="AG2">
        <f>BDH("PANW US Equity","IS_INT_EXPENSE","1993-06-18","2026-05-02","Per=Y","Days=T","Dir=V")</f>
        <v>0</v>
      </c>
      <c r="AI2">
        <f>BDH("PANW US Equity","IS_DEPR_EXP","1993-06-18","2026-05-02","Per=Y","Days=T","Dir=V")</f>
        <v>0</v>
      </c>
      <c r="AK2">
        <f>BDH("PANW US Equity","CF_CASH_FROM_OPER","1993-06-18","2026-05-02","Per=Y","Days=T","Dir=V")</f>
        <v>0</v>
      </c>
      <c r="AM2">
        <f>BDH("PANW US Equity","CAPITAL_EXPEND","1993-06-18","2026-05-02","Per=Y","Days=T","Dir=V")</f>
        <v>0</v>
      </c>
      <c r="AO2">
        <f>BDH("PANW US Equity","CF_FREE_CASH_FLOW","1993-06-18","2026-05-02","Per=Y","Days=T","Dir=V")</f>
        <v>0</v>
      </c>
      <c r="AQ2">
        <f>BDH("PANW US Equity","PX_LAST","1993-06-18","2026-05-02","Per=M","Days=T","Dir=V")</f>
        <v>0</v>
      </c>
      <c r="AS2">
        <f>BDH("PANW US Equity","CUR_MKT_CAP","1993-06-18","2026-05-02","Per=M","Days=T","Dir=V")</f>
        <v>0</v>
      </c>
      <c r="AU2">
        <f>BDH("PANW US Equity","EQY_SH_OUT","1993-06-18","2026-05-02","Per=M","Days=T","Dir=V")</f>
        <v>0</v>
      </c>
      <c r="AW2">
        <f>BDH("PANW US Equity","PX_VOLUME","1993-06-18","2026-05-02","Per=M","Days=T","Dir=V")</f>
        <v>0</v>
      </c>
      <c r="AY2">
        <f>BDH("PANW US Equity","TURNOVER","1993-06-18","2026-05-02","Per=M","Days=T","Dir=V")</f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BDH("PARA US Equity","BS_TOT_ASSET","1993-06-18","2026-05-02","Per=Y","Days=T","Dir=V")</f>
        <v>0</v>
      </c>
      <c r="C2">
        <f>BDH("PARA US Equity","BS_TOT_LIAB2","1993-06-18","2026-05-02","Per=Y","Days=T","Dir=V")</f>
        <v>0</v>
      </c>
      <c r="E2">
        <f>BDH("PARA US Equity","SHORT_AND_LONG_TERM_DEBT","1993-06-18","2026-05-02","Per=Y","Days=T","Dir=V")</f>
        <v>0</v>
      </c>
      <c r="G2">
        <f>BDH("PARA US Equity","BS_ST_BORROW","1993-06-18","2026-05-02","Per=Y","Days=T","Dir=V")</f>
        <v>0</v>
      </c>
      <c r="I2">
        <f>BDH("PARA US Equity","BS_LT_BORROW","1993-06-18","2026-05-02","Per=Y","Days=T","Dir=V")</f>
        <v>0</v>
      </c>
      <c r="K2">
        <f>BDH("PARA US Equity","BS_CASH_NEAR_CASH_ITEM","1993-06-18","2026-05-02","Per=Y","Days=T","Dir=V")</f>
        <v>0</v>
      </c>
      <c r="M2">
        <f>BDH("PARA US Equity","BS_CUR_ASSET_REPORT","1993-06-18","2026-05-02","Per=Y","Days=T","Dir=V")</f>
        <v>0</v>
      </c>
      <c r="O2">
        <f>BDH("PARA US Equity","BS_CUR_LIAB","1993-06-18","2026-05-02","Per=Y","Days=T","Dir=V")</f>
        <v>0</v>
      </c>
      <c r="Q2">
        <f>BDH("PARA US Equity","BS_SHAREHOLDER_EQY_ENDING_PERIOD","1993-06-18","2026-05-02","Per=Y","Days=T","Dir=V")</f>
        <v>0</v>
      </c>
      <c r="S2">
        <f>BDH("PARA US Equity","BS_ACCT_NOTE_RCV","1993-06-18","2026-05-02","Per=Y","Days=T","Dir=V")</f>
        <v>0</v>
      </c>
      <c r="U2">
        <f>BDH("PARA US Equity","BS_INVENTORIES","1993-06-18","2026-05-02","Per=Y","Days=T","Dir=V")</f>
        <v>0</v>
      </c>
      <c r="W2">
        <f>BDH("PARA US Equity","WORKING_CAPITAL","1993-06-18","2026-05-02","Per=Y","Days=T","Dir=V")</f>
        <v>0</v>
      </c>
      <c r="Y2">
        <f>BDH("PARA US Equity","SALES_REV_TURN","1993-06-18","2026-05-02","Per=Y","Days=T","Dir=V")</f>
        <v>0</v>
      </c>
      <c r="AA2">
        <f>BDH("PARA US Equity","EBIT","1993-06-18","2026-05-02","Per=Y","Days=T","Dir=V")</f>
        <v>0</v>
      </c>
      <c r="AC2">
        <f>BDH("PARA US Equity","EBITDA","1993-06-18","2026-05-02","Per=Y","Days=T","Dir=V")</f>
        <v>0</v>
      </c>
      <c r="AE2">
        <f>BDH("PARA US Equity","NET_INCOME","1993-06-18","2026-05-02","Per=Y","Days=T","Dir=V")</f>
        <v>0</v>
      </c>
      <c r="AG2">
        <f>BDH("PARA US Equity","IS_INT_EXPENSE","1993-06-18","2026-05-02","Per=Y","Days=T","Dir=V")</f>
        <v>0</v>
      </c>
      <c r="AI2">
        <f>BDH("PARA US Equity","IS_DEPR_EXP","1993-06-18","2026-05-02","Per=Y","Days=T","Dir=V")</f>
        <v>0</v>
      </c>
      <c r="AK2">
        <f>BDH("PARA US Equity","CF_CASH_FROM_OPER","1993-06-18","2026-05-02","Per=Y","Days=T","Dir=V")</f>
        <v>0</v>
      </c>
      <c r="AM2">
        <f>BDH("PARA US Equity","CAPITAL_EXPEND","1993-06-18","2026-05-02","Per=Y","Days=T","Dir=V")</f>
        <v>0</v>
      </c>
      <c r="AO2">
        <f>BDH("PARA US Equity","CF_FREE_CASH_FLOW","1993-06-18","2026-05-02","Per=Y","Days=T","Dir=V")</f>
        <v>0</v>
      </c>
      <c r="AQ2">
        <f>BDH("PARA US Equity","PX_LAST","1993-06-18","2026-05-02","Per=M","Days=T","Dir=V")</f>
        <v>0</v>
      </c>
      <c r="AS2">
        <f>BDH("PARA US Equity","CUR_MKT_CAP","1993-06-18","2026-05-02","Per=M","Days=T","Dir=V")</f>
        <v>0</v>
      </c>
      <c r="AU2">
        <f>BDH("PARA US Equity","EQY_SH_OUT","1993-06-18","2026-05-02","Per=M","Days=T","Dir=V")</f>
        <v>0</v>
      </c>
      <c r="AW2">
        <f>BDH("PARA US Equity","PX_VOLUME","1993-06-18","2026-05-02","Per=M","Days=T","Dir=V")</f>
        <v>0</v>
      </c>
      <c r="AY2">
        <f>BDH("PARA US Equity","TURNOVER","1993-06-18","2026-05-02","Per=M","Days=T","Dir=V")</f>
        <v>0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BDH("PARAW US Equity","BS_TOT_ASSET","1993-06-18","2026-05-02","Per=Y","Days=T","Dir=V")</f>
        <v>0</v>
      </c>
      <c r="C2">
        <f>BDH("PARAW US Equity","BS_TOT_LIAB2","1993-06-18","2026-05-02","Per=Y","Days=T","Dir=V")</f>
        <v>0</v>
      </c>
      <c r="E2">
        <f>BDH("PARAW US Equity","SHORT_AND_LONG_TERM_DEBT","1993-06-18","2026-05-02","Per=Y","Days=T","Dir=V")</f>
        <v>0</v>
      </c>
      <c r="G2">
        <f>BDH("PARAW US Equity","BS_ST_BORROW","1993-06-18","2026-05-02","Per=Y","Days=T","Dir=V")</f>
        <v>0</v>
      </c>
      <c r="I2">
        <f>BDH("PARAW US Equity","BS_LT_BORROW","1993-06-18","2026-05-02","Per=Y","Days=T","Dir=V")</f>
        <v>0</v>
      </c>
      <c r="K2">
        <f>BDH("PARAW US Equity","BS_CASH_NEAR_CASH_ITEM","1993-06-18","2026-05-02","Per=Y","Days=T","Dir=V")</f>
        <v>0</v>
      </c>
      <c r="M2">
        <f>BDH("PARAW US Equity","BS_CUR_ASSET_REPORT","1993-06-18","2026-05-02","Per=Y","Days=T","Dir=V")</f>
        <v>0</v>
      </c>
      <c r="O2">
        <f>BDH("PARAW US Equity","BS_CUR_LIAB","1993-06-18","2026-05-02","Per=Y","Days=T","Dir=V")</f>
        <v>0</v>
      </c>
      <c r="Q2">
        <f>BDH("PARAW US Equity","BS_SHAREHOLDER_EQY_ENDING_PERIOD","1993-06-18","2026-05-02","Per=Y","Days=T","Dir=V")</f>
        <v>0</v>
      </c>
      <c r="S2">
        <f>BDH("PARAW US Equity","BS_ACCT_NOTE_RCV","1993-06-18","2026-05-02","Per=Y","Days=T","Dir=V")</f>
        <v>0</v>
      </c>
      <c r="U2">
        <f>BDH("PARAW US Equity","BS_INVENTORIES","1993-06-18","2026-05-02","Per=Y","Days=T","Dir=V")</f>
        <v>0</v>
      </c>
      <c r="W2">
        <f>BDH("PARAW US Equity","WORKING_CAPITAL","1993-06-18","2026-05-02","Per=Y","Days=T","Dir=V")</f>
        <v>0</v>
      </c>
      <c r="Y2">
        <f>BDH("PARAW US Equity","SALES_REV_TURN","1993-06-18","2026-05-02","Per=Y","Days=T","Dir=V")</f>
        <v>0</v>
      </c>
      <c r="AA2">
        <f>BDH("PARAW US Equity","EBIT","1993-06-18","2026-05-02","Per=Y","Days=T","Dir=V")</f>
        <v>0</v>
      </c>
      <c r="AC2">
        <f>BDH("PARAW US Equity","EBITDA","1993-06-18","2026-05-02","Per=Y","Days=T","Dir=V")</f>
        <v>0</v>
      </c>
      <c r="AE2">
        <f>BDH("PARAW US Equity","NET_INCOME","1993-06-18","2026-05-02","Per=Y","Days=T","Dir=V")</f>
        <v>0</v>
      </c>
      <c r="AG2">
        <f>BDH("PARAW US Equity","IS_INT_EXPENSE","1993-06-18","2026-05-02","Per=Y","Days=T","Dir=V")</f>
        <v>0</v>
      </c>
      <c r="AI2">
        <f>BDH("PARAW US Equity","IS_DEPR_EXP","1993-06-18","2026-05-02","Per=Y","Days=T","Dir=V")</f>
        <v>0</v>
      </c>
      <c r="AK2">
        <f>BDH("PARAW US Equity","CF_CASH_FROM_OPER","1993-06-18","2026-05-02","Per=Y","Days=T","Dir=V")</f>
        <v>0</v>
      </c>
      <c r="AM2">
        <f>BDH("PARAW US Equity","CAPITAL_EXPEND","1993-06-18","2026-05-02","Per=Y","Days=T","Dir=V")</f>
        <v>0</v>
      </c>
      <c r="AO2">
        <f>BDH("PARAW US Equity","CF_FREE_CASH_FLOW","1993-06-18","2026-05-02","Per=Y","Days=T","Dir=V")</f>
        <v>0</v>
      </c>
      <c r="AQ2">
        <f>BDH("PARAW US Equity","PX_LAST","1993-06-18","2026-05-02","Per=M","Days=T","Dir=V")</f>
        <v>0</v>
      </c>
      <c r="AS2">
        <f>BDH("PARAW US Equity","CUR_MKT_CAP","1993-06-18","2026-05-02","Per=M","Days=T","Dir=V")</f>
        <v>0</v>
      </c>
      <c r="AU2">
        <f>BDH("PARAW US Equity","EQY_SH_OUT","1993-06-18","2026-05-02","Per=M","Days=T","Dir=V")</f>
        <v>0</v>
      </c>
      <c r="AW2">
        <f>BDH("PARAW US Equity","PX_VOLUME","1993-06-18","2026-05-02","Per=M","Days=T","Dir=V")</f>
        <v>0</v>
      </c>
      <c r="AY2">
        <f>BDH("PARAW US Equity","TURNOVER","1993-06-18","2026-05-02","Per=M","Days=T","Dir=V")</f>
        <v>0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BDH("PARK US Equity","BS_TOT_ASSET","1993-06-18","2026-05-02","Per=Y","Days=T","Dir=V")</f>
        <v>0</v>
      </c>
      <c r="C2">
        <f>BDH("PARK US Equity","BS_TOT_LIAB2","1993-06-18","2026-05-02","Per=Y","Days=T","Dir=V")</f>
        <v>0</v>
      </c>
      <c r="E2">
        <f>BDH("PARK US Equity","SHORT_AND_LONG_TERM_DEBT","1993-06-18","2026-05-02","Per=Y","Days=T","Dir=V")</f>
        <v>0</v>
      </c>
      <c r="G2">
        <f>BDH("PARK US Equity","BS_ST_BORROW","1993-06-18","2026-05-02","Per=Y","Days=T","Dir=V")</f>
        <v>0</v>
      </c>
      <c r="I2">
        <f>BDH("PARK US Equity","BS_LT_BORROW","1993-06-18","2026-05-02","Per=Y","Days=T","Dir=V")</f>
        <v>0</v>
      </c>
      <c r="K2">
        <f>BDH("PARK US Equity","BS_CASH_NEAR_CASH_ITEM","1993-06-18","2026-05-02","Per=Y","Days=T","Dir=V")</f>
        <v>0</v>
      </c>
      <c r="M2">
        <f>BDH("PARK US Equity","BS_CUR_ASSET_REPORT","1993-06-18","2026-05-02","Per=Y","Days=T","Dir=V")</f>
        <v>0</v>
      </c>
      <c r="O2">
        <f>BDH("PARK US Equity","BS_CUR_LIAB","1993-06-18","2026-05-02","Per=Y","Days=T","Dir=V")</f>
        <v>0</v>
      </c>
      <c r="Q2">
        <f>BDH("PARK US Equity","BS_SHAREHOLDER_EQY_ENDING_PERIOD","1993-06-18","2026-05-02","Per=Y","Days=T","Dir=V")</f>
        <v>0</v>
      </c>
      <c r="S2">
        <f>BDH("PARK US Equity","BS_ACCT_NOTE_RCV","1993-06-18","2026-05-02","Per=Y","Days=T","Dir=V")</f>
        <v>0</v>
      </c>
      <c r="U2">
        <f>BDH("PARK US Equity","BS_INVENTORIES","1993-06-18","2026-05-02","Per=Y","Days=T","Dir=V")</f>
        <v>0</v>
      </c>
      <c r="W2">
        <f>BDH("PARK US Equity","WORKING_CAPITAL","1993-06-18","2026-05-02","Per=Y","Days=T","Dir=V")</f>
        <v>0</v>
      </c>
      <c r="Y2">
        <f>BDH("PARK US Equity","SALES_REV_TURN","1993-06-18","2026-05-02","Per=Y","Days=T","Dir=V")</f>
        <v>0</v>
      </c>
      <c r="AA2">
        <f>BDH("PARK US Equity","EBIT","1993-06-18","2026-05-02","Per=Y","Days=T","Dir=V")</f>
        <v>0</v>
      </c>
      <c r="AC2">
        <f>BDH("PARK US Equity","EBITDA","1993-06-18","2026-05-02","Per=Y","Days=T","Dir=V")</f>
        <v>0</v>
      </c>
      <c r="AE2">
        <f>BDH("PARK US Equity","NET_INCOME","1993-06-18","2026-05-02","Per=Y","Days=T","Dir=V")</f>
        <v>0</v>
      </c>
      <c r="AG2">
        <f>BDH("PARK US Equity","IS_INT_EXPENSE","1993-06-18","2026-05-02","Per=Y","Days=T","Dir=V")</f>
        <v>0</v>
      </c>
      <c r="AI2">
        <f>BDH("PARK US Equity","IS_DEPR_EXP","1993-06-18","2026-05-02","Per=Y","Days=T","Dir=V")</f>
        <v>0</v>
      </c>
      <c r="AK2">
        <f>BDH("PARK US Equity","CF_CASH_FROM_OPER","1993-06-18","2026-05-02","Per=Y","Days=T","Dir=V")</f>
        <v>0</v>
      </c>
      <c r="AM2">
        <f>BDH("PARK US Equity","CAPITAL_EXPEND","1993-06-18","2026-05-02","Per=Y","Days=T","Dir=V")</f>
        <v>0</v>
      </c>
      <c r="AO2">
        <f>BDH("PARK US Equity","CF_FREE_CASH_FLOW","1993-06-18","2026-05-02","Per=Y","Days=T","Dir=V")</f>
        <v>0</v>
      </c>
      <c r="AQ2">
        <f>BDH("PARK US Equity","PX_LAST","1993-06-18","2026-05-02","Per=M","Days=T","Dir=V")</f>
        <v>0</v>
      </c>
      <c r="AS2">
        <f>BDH("PARK US Equity","CUR_MKT_CAP","1993-06-18","2026-05-02","Per=M","Days=T","Dir=V")</f>
        <v>0</v>
      </c>
      <c r="AU2">
        <f>BDH("PARK US Equity","EQY_SH_OUT","1993-06-18","2026-05-02","Per=M","Days=T","Dir=V")</f>
        <v>0</v>
      </c>
      <c r="AW2">
        <f>BDH("PARK US Equity","PX_VOLUME","1993-06-18","2026-05-02","Per=M","Days=T","Dir=V")</f>
        <v>0</v>
      </c>
      <c r="AY2">
        <f>BDH("PARK US Equity","TURNOVER","1993-06-18","2026-05-02","Per=M","Days=T","Dir=V")</f>
        <v>0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BDH("PARR US Equity","BS_TOT_ASSET","1993-06-18","2026-05-02","Per=Y","Days=T","Dir=V")</f>
        <v>0</v>
      </c>
      <c r="C2">
        <f>BDH("PARR US Equity","BS_TOT_LIAB2","1993-06-18","2026-05-02","Per=Y","Days=T","Dir=V")</f>
        <v>0</v>
      </c>
      <c r="E2">
        <f>BDH("PARR US Equity","SHORT_AND_LONG_TERM_DEBT","1993-06-18","2026-05-02","Per=Y","Days=T","Dir=V")</f>
        <v>0</v>
      </c>
      <c r="G2">
        <f>BDH("PARR US Equity","BS_ST_BORROW","1993-06-18","2026-05-02","Per=Y","Days=T","Dir=V")</f>
        <v>0</v>
      </c>
      <c r="I2">
        <f>BDH("PARR US Equity","BS_LT_BORROW","1993-06-18","2026-05-02","Per=Y","Days=T","Dir=V")</f>
        <v>0</v>
      </c>
      <c r="K2">
        <f>BDH("PARR US Equity","BS_CASH_NEAR_CASH_ITEM","1993-06-18","2026-05-02","Per=Y","Days=T","Dir=V")</f>
        <v>0</v>
      </c>
      <c r="M2">
        <f>BDH("PARR US Equity","BS_CUR_ASSET_REPORT","1993-06-18","2026-05-02","Per=Y","Days=T","Dir=V")</f>
        <v>0</v>
      </c>
      <c r="O2">
        <f>BDH("PARR US Equity","BS_CUR_LIAB","1993-06-18","2026-05-02","Per=Y","Days=T","Dir=V")</f>
        <v>0</v>
      </c>
      <c r="Q2">
        <f>BDH("PARR US Equity","BS_SHAREHOLDER_EQY_ENDING_PERIOD","1993-06-18","2026-05-02","Per=Y","Days=T","Dir=V")</f>
        <v>0</v>
      </c>
      <c r="S2">
        <f>BDH("PARR US Equity","BS_ACCT_NOTE_RCV","1993-06-18","2026-05-02","Per=Y","Days=T","Dir=V")</f>
        <v>0</v>
      </c>
      <c r="U2">
        <f>BDH("PARR US Equity","BS_INVENTORIES","1993-06-18","2026-05-02","Per=Y","Days=T","Dir=V")</f>
        <v>0</v>
      </c>
      <c r="W2">
        <f>BDH("PARR US Equity","WORKING_CAPITAL","1993-06-18","2026-05-02","Per=Y","Days=T","Dir=V")</f>
        <v>0</v>
      </c>
      <c r="Y2">
        <f>BDH("PARR US Equity","SALES_REV_TURN","1993-06-18","2026-05-02","Per=Y","Days=T","Dir=V")</f>
        <v>0</v>
      </c>
      <c r="AA2">
        <f>BDH("PARR US Equity","EBIT","1993-06-18","2026-05-02","Per=Y","Days=T","Dir=V")</f>
        <v>0</v>
      </c>
      <c r="AC2">
        <f>BDH("PARR US Equity","EBITDA","1993-06-18","2026-05-02","Per=Y","Days=T","Dir=V")</f>
        <v>0</v>
      </c>
      <c r="AE2">
        <f>BDH("PARR US Equity","NET_INCOME","1993-06-18","2026-05-02","Per=Y","Days=T","Dir=V")</f>
        <v>0</v>
      </c>
      <c r="AG2">
        <f>BDH("PARR US Equity","IS_INT_EXPENSE","1993-06-18","2026-05-02","Per=Y","Days=T","Dir=V")</f>
        <v>0</v>
      </c>
      <c r="AI2">
        <f>BDH("PARR US Equity","IS_DEPR_EXP","1993-06-18","2026-05-02","Per=Y","Days=T","Dir=V")</f>
        <v>0</v>
      </c>
      <c r="AK2">
        <f>BDH("PARR US Equity","CF_CASH_FROM_OPER","1993-06-18","2026-05-02","Per=Y","Days=T","Dir=V")</f>
        <v>0</v>
      </c>
      <c r="AM2">
        <f>BDH("PARR US Equity","CAPITAL_EXPEND","1993-06-18","2026-05-02","Per=Y","Days=T","Dir=V")</f>
        <v>0</v>
      </c>
      <c r="AO2">
        <f>BDH("PARR US Equity","CF_FREE_CASH_FLOW","1993-06-18","2026-05-02","Per=Y","Days=T","Dir=V")</f>
        <v>0</v>
      </c>
      <c r="AQ2">
        <f>BDH("PARR US Equity","PX_LAST","1993-06-18","2026-05-02","Per=M","Days=T","Dir=V")</f>
        <v>0</v>
      </c>
      <c r="AS2">
        <f>BDH("PARR US Equity","CUR_MKT_CAP","1993-06-18","2026-05-02","Per=M","Days=T","Dir=V")</f>
        <v>0</v>
      </c>
      <c r="AU2">
        <f>BDH("PARR US Equity","EQY_SH_OUT","1993-06-18","2026-05-02","Per=M","Days=T","Dir=V")</f>
        <v>0</v>
      </c>
      <c r="AW2">
        <f>BDH("PARR US Equity","PX_VOLUME","1993-06-18","2026-05-02","Per=M","Days=T","Dir=V")</f>
        <v>0</v>
      </c>
      <c r="AY2">
        <f>BDH("PARR US Equity","TURNOVER","1993-06-18","2026-05-02","Per=M","Days=T","Dir=V")</f>
        <v>0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BDH("PASG US Equity","BS_TOT_ASSET","1993-06-18","2026-05-02","Per=Y","Days=T","Dir=V")</f>
        <v>0</v>
      </c>
      <c r="C2">
        <f>BDH("PASG US Equity","BS_TOT_LIAB2","1993-06-18","2026-05-02","Per=Y","Days=T","Dir=V")</f>
        <v>0</v>
      </c>
      <c r="E2">
        <f>BDH("PASG US Equity","SHORT_AND_LONG_TERM_DEBT","1993-06-18","2026-05-02","Per=Y","Days=T","Dir=V")</f>
        <v>0</v>
      </c>
      <c r="G2">
        <f>BDH("PASG US Equity","BS_ST_BORROW","1993-06-18","2026-05-02","Per=Y","Days=T","Dir=V")</f>
        <v>0</v>
      </c>
      <c r="I2">
        <f>BDH("PASG US Equity","BS_LT_BORROW","1993-06-18","2026-05-02","Per=Y","Days=T","Dir=V")</f>
        <v>0</v>
      </c>
      <c r="K2">
        <f>BDH("PASG US Equity","BS_CASH_NEAR_CASH_ITEM","1993-06-18","2026-05-02","Per=Y","Days=T","Dir=V")</f>
        <v>0</v>
      </c>
      <c r="M2">
        <f>BDH("PASG US Equity","BS_CUR_ASSET_REPORT","1993-06-18","2026-05-02","Per=Y","Days=T","Dir=V")</f>
        <v>0</v>
      </c>
      <c r="O2">
        <f>BDH("PASG US Equity","BS_CUR_LIAB","1993-06-18","2026-05-02","Per=Y","Days=T","Dir=V")</f>
        <v>0</v>
      </c>
      <c r="Q2">
        <f>BDH("PASG US Equity","BS_SHAREHOLDER_EQY_ENDING_PERIOD","1993-06-18","2026-05-02","Per=Y","Days=T","Dir=V")</f>
        <v>0</v>
      </c>
      <c r="S2">
        <f>BDH("PASG US Equity","BS_ACCT_NOTE_RCV","1993-06-18","2026-05-02","Per=Y","Days=T","Dir=V")</f>
        <v>0</v>
      </c>
      <c r="U2">
        <f>BDH("PASG US Equity","BS_INVENTORIES","1993-06-18","2026-05-02","Per=Y","Days=T","Dir=V")</f>
        <v>0</v>
      </c>
      <c r="W2">
        <f>BDH("PASG US Equity","WORKING_CAPITAL","1993-06-18","2026-05-02","Per=Y","Days=T","Dir=V")</f>
        <v>0</v>
      </c>
      <c r="Y2">
        <f>BDH("PASG US Equity","SALES_REV_TURN","1993-06-18","2026-05-02","Per=Y","Days=T","Dir=V")</f>
        <v>0</v>
      </c>
      <c r="AA2">
        <f>BDH("PASG US Equity","EBIT","1993-06-18","2026-05-02","Per=Y","Days=T","Dir=V")</f>
        <v>0</v>
      </c>
      <c r="AC2">
        <f>BDH("PASG US Equity","EBITDA","1993-06-18","2026-05-02","Per=Y","Days=T","Dir=V")</f>
        <v>0</v>
      </c>
      <c r="AE2">
        <f>BDH("PASG US Equity","NET_INCOME","1993-06-18","2026-05-02","Per=Y","Days=T","Dir=V")</f>
        <v>0</v>
      </c>
      <c r="AG2">
        <f>BDH("PASG US Equity","IS_INT_EXPENSE","1993-06-18","2026-05-02","Per=Y","Days=T","Dir=V")</f>
        <v>0</v>
      </c>
      <c r="AI2">
        <f>BDH("PASG US Equity","IS_DEPR_EXP","1993-06-18","2026-05-02","Per=Y","Days=T","Dir=V")</f>
        <v>0</v>
      </c>
      <c r="AK2">
        <f>BDH("PASG US Equity","CF_CASH_FROM_OPER","1993-06-18","2026-05-02","Per=Y","Days=T","Dir=V")</f>
        <v>0</v>
      </c>
      <c r="AM2">
        <f>BDH("PASG US Equity","CAPITAL_EXPEND","1993-06-18","2026-05-02","Per=Y","Days=T","Dir=V")</f>
        <v>0</v>
      </c>
      <c r="AO2">
        <f>BDH("PASG US Equity","CF_FREE_CASH_FLOW","1993-06-18","2026-05-02","Per=Y","Days=T","Dir=V")</f>
        <v>0</v>
      </c>
      <c r="AQ2">
        <f>BDH("PASG US Equity","PX_LAST","1993-06-18","2026-05-02","Per=M","Days=T","Dir=V")</f>
        <v>0</v>
      </c>
      <c r="AS2">
        <f>BDH("PASG US Equity","CUR_MKT_CAP","1993-06-18","2026-05-02","Per=M","Days=T","Dir=V")</f>
        <v>0</v>
      </c>
      <c r="AU2">
        <f>BDH("PASG US Equity","EQY_SH_OUT","1993-06-18","2026-05-02","Per=M","Days=T","Dir=V")</f>
        <v>0</v>
      </c>
      <c r="AW2">
        <f>BDH("PASG US Equity","PX_VOLUME","1993-06-18","2026-05-02","Per=M","Days=T","Dir=V")</f>
        <v>0</v>
      </c>
      <c r="AY2">
        <f>BDH("PASG US Equity","TURNOVER","1993-06-18","2026-05-02","Per=M","Days=T","Dir=V")</f>
        <v>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BDH("PATH US Equity","BS_TOT_ASSET","1993-06-18","2026-05-02","Per=Y","Days=T","Dir=V")</f>
        <v>0</v>
      </c>
      <c r="C2">
        <f>BDH("PATH US Equity","BS_TOT_LIAB2","1993-06-18","2026-05-02","Per=Y","Days=T","Dir=V")</f>
        <v>0</v>
      </c>
      <c r="E2">
        <f>BDH("PATH US Equity","SHORT_AND_LONG_TERM_DEBT","1993-06-18","2026-05-02","Per=Y","Days=T","Dir=V")</f>
        <v>0</v>
      </c>
      <c r="G2">
        <f>BDH("PATH US Equity","BS_ST_BORROW","1993-06-18","2026-05-02","Per=Y","Days=T","Dir=V")</f>
        <v>0</v>
      </c>
      <c r="I2">
        <f>BDH("PATH US Equity","BS_LT_BORROW","1993-06-18","2026-05-02","Per=Y","Days=T","Dir=V")</f>
        <v>0</v>
      </c>
      <c r="K2">
        <f>BDH("PATH US Equity","BS_CASH_NEAR_CASH_ITEM","1993-06-18","2026-05-02","Per=Y","Days=T","Dir=V")</f>
        <v>0</v>
      </c>
      <c r="M2">
        <f>BDH("PATH US Equity","BS_CUR_ASSET_REPORT","1993-06-18","2026-05-02","Per=Y","Days=T","Dir=V")</f>
        <v>0</v>
      </c>
      <c r="O2">
        <f>BDH("PATH US Equity","BS_CUR_LIAB","1993-06-18","2026-05-02","Per=Y","Days=T","Dir=V")</f>
        <v>0</v>
      </c>
      <c r="Q2">
        <f>BDH("PATH US Equity","BS_SHAREHOLDER_EQY_ENDING_PERIOD","1993-06-18","2026-05-02","Per=Y","Days=T","Dir=V")</f>
        <v>0</v>
      </c>
      <c r="S2">
        <f>BDH("PATH US Equity","BS_ACCT_NOTE_RCV","1993-06-18","2026-05-02","Per=Y","Days=T","Dir=V")</f>
        <v>0</v>
      </c>
      <c r="U2">
        <f>BDH("PATH US Equity","BS_INVENTORIES","1993-06-18","2026-05-02","Per=Y","Days=T","Dir=V")</f>
        <v>0</v>
      </c>
      <c r="W2">
        <f>BDH("PATH US Equity","WORKING_CAPITAL","1993-06-18","2026-05-02","Per=Y","Days=T","Dir=V")</f>
        <v>0</v>
      </c>
      <c r="Y2">
        <f>BDH("PATH US Equity","SALES_REV_TURN","1993-06-18","2026-05-02","Per=Y","Days=T","Dir=V")</f>
        <v>0</v>
      </c>
      <c r="AA2">
        <f>BDH("PATH US Equity","EBIT","1993-06-18","2026-05-02","Per=Y","Days=T","Dir=V")</f>
        <v>0</v>
      </c>
      <c r="AC2">
        <f>BDH("PATH US Equity","EBITDA","1993-06-18","2026-05-02","Per=Y","Days=T","Dir=V")</f>
        <v>0</v>
      </c>
      <c r="AE2">
        <f>BDH("PATH US Equity","NET_INCOME","1993-06-18","2026-05-02","Per=Y","Days=T","Dir=V")</f>
        <v>0</v>
      </c>
      <c r="AG2">
        <f>BDH("PATH US Equity","IS_INT_EXPENSE","1993-06-18","2026-05-02","Per=Y","Days=T","Dir=V")</f>
        <v>0</v>
      </c>
      <c r="AI2">
        <f>BDH("PATH US Equity","IS_DEPR_EXP","1993-06-18","2026-05-02","Per=Y","Days=T","Dir=V")</f>
        <v>0</v>
      </c>
      <c r="AK2">
        <f>BDH("PATH US Equity","CF_CASH_FROM_OPER","1993-06-18","2026-05-02","Per=Y","Days=T","Dir=V")</f>
        <v>0</v>
      </c>
      <c r="AM2">
        <f>BDH("PATH US Equity","CAPITAL_EXPEND","1993-06-18","2026-05-02","Per=Y","Days=T","Dir=V")</f>
        <v>0</v>
      </c>
      <c r="AO2">
        <f>BDH("PATH US Equity","CF_FREE_CASH_FLOW","1993-06-18","2026-05-02","Per=Y","Days=T","Dir=V")</f>
        <v>0</v>
      </c>
      <c r="AQ2">
        <f>BDH("PATH US Equity","PX_LAST","1993-06-18","2026-05-02","Per=M","Days=T","Dir=V")</f>
        <v>0</v>
      </c>
      <c r="AS2">
        <f>BDH("PATH US Equity","CUR_MKT_CAP","1993-06-18","2026-05-02","Per=M","Days=T","Dir=V")</f>
        <v>0</v>
      </c>
      <c r="AU2">
        <f>BDH("PATH US Equity","EQY_SH_OUT","1993-06-18","2026-05-02","Per=M","Days=T","Dir=V")</f>
        <v>0</v>
      </c>
      <c r="AW2">
        <f>BDH("PATH US Equity","PX_VOLUME","1993-06-18","2026-05-02","Per=M","Days=T","Dir=V")</f>
        <v>0</v>
      </c>
      <c r="AY2">
        <f>BDH("PATH US Equity","TURNOVER","1993-06-18","2026-05-02","Per=M","Days=T","Dir=V")</f>
        <v>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BDH("PATK US Equity","BS_TOT_ASSET","1993-06-18","2026-05-02","Per=Y","Days=T","Dir=V")</f>
        <v>0</v>
      </c>
      <c r="C2">
        <f>BDH("PATK US Equity","BS_TOT_LIAB2","1993-06-18","2026-05-02","Per=Y","Days=T","Dir=V")</f>
        <v>0</v>
      </c>
      <c r="E2">
        <f>BDH("PATK US Equity","SHORT_AND_LONG_TERM_DEBT","1993-06-18","2026-05-02","Per=Y","Days=T","Dir=V")</f>
        <v>0</v>
      </c>
      <c r="G2">
        <f>BDH("PATK US Equity","BS_ST_BORROW","1993-06-18","2026-05-02","Per=Y","Days=T","Dir=V")</f>
        <v>0</v>
      </c>
      <c r="I2">
        <f>BDH("PATK US Equity","BS_LT_BORROW","1993-06-18","2026-05-02","Per=Y","Days=T","Dir=V")</f>
        <v>0</v>
      </c>
      <c r="K2">
        <f>BDH("PATK US Equity","BS_CASH_NEAR_CASH_ITEM","1993-06-18","2026-05-02","Per=Y","Days=T","Dir=V")</f>
        <v>0</v>
      </c>
      <c r="M2">
        <f>BDH("PATK US Equity","BS_CUR_ASSET_REPORT","1993-06-18","2026-05-02","Per=Y","Days=T","Dir=V")</f>
        <v>0</v>
      </c>
      <c r="O2">
        <f>BDH("PATK US Equity","BS_CUR_LIAB","1993-06-18","2026-05-02","Per=Y","Days=T","Dir=V")</f>
        <v>0</v>
      </c>
      <c r="Q2">
        <f>BDH("PATK US Equity","BS_SHAREHOLDER_EQY_ENDING_PERIOD","1993-06-18","2026-05-02","Per=Y","Days=T","Dir=V")</f>
        <v>0</v>
      </c>
      <c r="S2">
        <f>BDH("PATK US Equity","BS_ACCT_NOTE_RCV","1993-06-18","2026-05-02","Per=Y","Days=T","Dir=V")</f>
        <v>0</v>
      </c>
      <c r="U2">
        <f>BDH("PATK US Equity","BS_INVENTORIES","1993-06-18","2026-05-02","Per=Y","Days=T","Dir=V")</f>
        <v>0</v>
      </c>
      <c r="W2">
        <f>BDH("PATK US Equity","WORKING_CAPITAL","1993-06-18","2026-05-02","Per=Y","Days=T","Dir=V")</f>
        <v>0</v>
      </c>
      <c r="Y2">
        <f>BDH("PATK US Equity","SALES_REV_TURN","1993-06-18","2026-05-02","Per=Y","Days=T","Dir=V")</f>
        <v>0</v>
      </c>
      <c r="AA2">
        <f>BDH("PATK US Equity","EBIT","1993-06-18","2026-05-02","Per=Y","Days=T","Dir=V")</f>
        <v>0</v>
      </c>
      <c r="AC2">
        <f>BDH("PATK US Equity","EBITDA","1993-06-18","2026-05-02","Per=Y","Days=T","Dir=V")</f>
        <v>0</v>
      </c>
      <c r="AE2">
        <f>BDH("PATK US Equity","NET_INCOME","1993-06-18","2026-05-02","Per=Y","Days=T","Dir=V")</f>
        <v>0</v>
      </c>
      <c r="AG2">
        <f>BDH("PATK US Equity","IS_INT_EXPENSE","1993-06-18","2026-05-02","Per=Y","Days=T","Dir=V")</f>
        <v>0</v>
      </c>
      <c r="AI2">
        <f>BDH("PATK US Equity","IS_DEPR_EXP","1993-06-18","2026-05-02","Per=Y","Days=T","Dir=V")</f>
        <v>0</v>
      </c>
      <c r="AK2">
        <f>BDH("PATK US Equity","CF_CASH_FROM_OPER","1993-06-18","2026-05-02","Per=Y","Days=T","Dir=V")</f>
        <v>0</v>
      </c>
      <c r="AM2">
        <f>BDH("PATK US Equity","CAPITAL_EXPEND","1993-06-18","2026-05-02","Per=Y","Days=T","Dir=V")</f>
        <v>0</v>
      </c>
      <c r="AO2">
        <f>BDH("PATK US Equity","CF_FREE_CASH_FLOW","1993-06-18","2026-05-02","Per=Y","Days=T","Dir=V")</f>
        <v>0</v>
      </c>
      <c r="AQ2">
        <f>BDH("PATK US Equity","PX_LAST","1993-06-18","2026-05-02","Per=M","Days=T","Dir=V")</f>
        <v>0</v>
      </c>
      <c r="AS2">
        <f>BDH("PATK US Equity","CUR_MKT_CAP","1993-06-18","2026-05-02","Per=M","Days=T","Dir=V")</f>
        <v>0</v>
      </c>
      <c r="AU2">
        <f>BDH("PATK US Equity","EQY_SH_OUT","1993-06-18","2026-05-02","Per=M","Days=T","Dir=V")</f>
        <v>0</v>
      </c>
      <c r="AW2">
        <f>BDH("PATK US Equity","PX_VOLUME","1993-06-18","2026-05-02","Per=M","Days=T","Dir=V")</f>
        <v>0</v>
      </c>
      <c r="AY2">
        <f>BDH("PATK US Equity","TURNOVER","1993-06-18","2026-05-02","Per=M","Days=T","Dir=V")</f>
        <v>0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BDH("PAVM US Equity","BS_TOT_ASSET","1993-06-18","2026-05-02","Per=Y","Days=T","Dir=V")</f>
        <v>0</v>
      </c>
      <c r="C2">
        <f>BDH("PAVM US Equity","BS_TOT_LIAB2","1993-06-18","2026-05-02","Per=Y","Days=T","Dir=V")</f>
        <v>0</v>
      </c>
      <c r="E2">
        <f>BDH("PAVM US Equity","SHORT_AND_LONG_TERM_DEBT","1993-06-18","2026-05-02","Per=Y","Days=T","Dir=V")</f>
        <v>0</v>
      </c>
      <c r="G2">
        <f>BDH("PAVM US Equity","BS_ST_BORROW","1993-06-18","2026-05-02","Per=Y","Days=T","Dir=V")</f>
        <v>0</v>
      </c>
      <c r="I2">
        <f>BDH("PAVM US Equity","BS_LT_BORROW","1993-06-18","2026-05-02","Per=Y","Days=T","Dir=V")</f>
        <v>0</v>
      </c>
      <c r="K2">
        <f>BDH("PAVM US Equity","BS_CASH_NEAR_CASH_ITEM","1993-06-18","2026-05-02","Per=Y","Days=T","Dir=V")</f>
        <v>0</v>
      </c>
      <c r="M2">
        <f>BDH("PAVM US Equity","BS_CUR_ASSET_REPORT","1993-06-18","2026-05-02","Per=Y","Days=T","Dir=V")</f>
        <v>0</v>
      </c>
      <c r="O2">
        <f>BDH("PAVM US Equity","BS_CUR_LIAB","1993-06-18","2026-05-02","Per=Y","Days=T","Dir=V")</f>
        <v>0</v>
      </c>
      <c r="Q2">
        <f>BDH("PAVM US Equity","BS_SHAREHOLDER_EQY_ENDING_PERIOD","1993-06-18","2026-05-02","Per=Y","Days=T","Dir=V")</f>
        <v>0</v>
      </c>
      <c r="S2">
        <f>BDH("PAVM US Equity","BS_ACCT_NOTE_RCV","1993-06-18","2026-05-02","Per=Y","Days=T","Dir=V")</f>
        <v>0</v>
      </c>
      <c r="U2">
        <f>BDH("PAVM US Equity","BS_INVENTORIES","1993-06-18","2026-05-02","Per=Y","Days=T","Dir=V")</f>
        <v>0</v>
      </c>
      <c r="W2">
        <f>BDH("PAVM US Equity","WORKING_CAPITAL","1993-06-18","2026-05-02","Per=Y","Days=T","Dir=V")</f>
        <v>0</v>
      </c>
      <c r="Y2">
        <f>BDH("PAVM US Equity","SALES_REV_TURN","1993-06-18","2026-05-02","Per=Y","Days=T","Dir=V")</f>
        <v>0</v>
      </c>
      <c r="AA2">
        <f>BDH("PAVM US Equity","EBIT","1993-06-18","2026-05-02","Per=Y","Days=T","Dir=V")</f>
        <v>0</v>
      </c>
      <c r="AC2">
        <f>BDH("PAVM US Equity","EBITDA","1993-06-18","2026-05-02","Per=Y","Days=T","Dir=V")</f>
        <v>0</v>
      </c>
      <c r="AE2">
        <f>BDH("PAVM US Equity","NET_INCOME","1993-06-18","2026-05-02","Per=Y","Days=T","Dir=V")</f>
        <v>0</v>
      </c>
      <c r="AG2">
        <f>BDH("PAVM US Equity","IS_INT_EXPENSE","1993-06-18","2026-05-02","Per=Y","Days=T","Dir=V")</f>
        <v>0</v>
      </c>
      <c r="AI2">
        <f>BDH("PAVM US Equity","IS_DEPR_EXP","1993-06-18","2026-05-02","Per=Y","Days=T","Dir=V")</f>
        <v>0</v>
      </c>
      <c r="AK2">
        <f>BDH("PAVM US Equity","CF_CASH_FROM_OPER","1993-06-18","2026-05-02","Per=Y","Days=T","Dir=V")</f>
        <v>0</v>
      </c>
      <c r="AM2">
        <f>BDH("PAVM US Equity","CAPITAL_EXPEND","1993-06-18","2026-05-02","Per=Y","Days=T","Dir=V")</f>
        <v>0</v>
      </c>
      <c r="AO2">
        <f>BDH("PAVM US Equity","CF_FREE_CASH_FLOW","1993-06-18","2026-05-02","Per=Y","Days=T","Dir=V")</f>
        <v>0</v>
      </c>
      <c r="AQ2">
        <f>BDH("PAVM US Equity","PX_LAST","1993-06-18","2026-05-02","Per=M","Days=T","Dir=V")</f>
        <v>0</v>
      </c>
      <c r="AS2">
        <f>BDH("PAVM US Equity","CUR_MKT_CAP","1993-06-18","2026-05-02","Per=M","Days=T","Dir=V")</f>
        <v>0</v>
      </c>
      <c r="AU2">
        <f>BDH("PAVM US Equity","EQY_SH_OUT","1993-06-18","2026-05-02","Per=M","Days=T","Dir=V")</f>
        <v>0</v>
      </c>
      <c r="AW2">
        <f>BDH("PAVM US Equity","PX_VOLUME","1993-06-18","2026-05-02","Per=M","Days=T","Dir=V")</f>
        <v>0</v>
      </c>
      <c r="AY2">
        <f>BDH("PAVM US Equity","TURNOVER","1993-06-18","2026-05-02","Per=M","Days=T","Dir=V")</f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BDH("PAY US Equity","BS_TOT_ASSET","1993-06-18","2026-05-02","Per=Y","Days=T","Dir=V")</f>
        <v>0</v>
      </c>
      <c r="C2">
        <f>BDH("PAY US Equity","BS_TOT_LIAB2","1993-06-18","2026-05-02","Per=Y","Days=T","Dir=V")</f>
        <v>0</v>
      </c>
      <c r="E2">
        <f>BDH("PAY US Equity","SHORT_AND_LONG_TERM_DEBT","1993-06-18","2026-05-02","Per=Y","Days=T","Dir=V")</f>
        <v>0</v>
      </c>
      <c r="G2">
        <f>BDH("PAY US Equity","BS_ST_BORROW","1993-06-18","2026-05-02","Per=Y","Days=T","Dir=V")</f>
        <v>0</v>
      </c>
      <c r="I2">
        <f>BDH("PAY US Equity","BS_LT_BORROW","1993-06-18","2026-05-02","Per=Y","Days=T","Dir=V")</f>
        <v>0</v>
      </c>
      <c r="K2">
        <f>BDH("PAY US Equity","BS_CASH_NEAR_CASH_ITEM","1993-06-18","2026-05-02","Per=Y","Days=T","Dir=V")</f>
        <v>0</v>
      </c>
      <c r="M2">
        <f>BDH("PAY US Equity","BS_CUR_ASSET_REPORT","1993-06-18","2026-05-02","Per=Y","Days=T","Dir=V")</f>
        <v>0</v>
      </c>
      <c r="O2">
        <f>BDH("PAY US Equity","BS_CUR_LIAB","1993-06-18","2026-05-02","Per=Y","Days=T","Dir=V")</f>
        <v>0</v>
      </c>
      <c r="Q2">
        <f>BDH("PAY US Equity","BS_SHAREHOLDER_EQY_ENDING_PERIOD","1993-06-18","2026-05-02","Per=Y","Days=T","Dir=V")</f>
        <v>0</v>
      </c>
      <c r="S2">
        <f>BDH("PAY US Equity","BS_ACCT_NOTE_RCV","1993-06-18","2026-05-02","Per=Y","Days=T","Dir=V")</f>
        <v>0</v>
      </c>
      <c r="U2">
        <f>BDH("PAY US Equity","BS_INVENTORIES","1993-06-18","2026-05-02","Per=Y","Days=T","Dir=V")</f>
        <v>0</v>
      </c>
      <c r="W2">
        <f>BDH("PAY US Equity","WORKING_CAPITAL","1993-06-18","2026-05-02","Per=Y","Days=T","Dir=V")</f>
        <v>0</v>
      </c>
      <c r="Y2">
        <f>BDH("PAY US Equity","SALES_REV_TURN","1993-06-18","2026-05-02","Per=Y","Days=T","Dir=V")</f>
        <v>0</v>
      </c>
      <c r="AA2">
        <f>BDH("PAY US Equity","EBIT","1993-06-18","2026-05-02","Per=Y","Days=T","Dir=V")</f>
        <v>0</v>
      </c>
      <c r="AC2">
        <f>BDH("PAY US Equity","EBITDA","1993-06-18","2026-05-02","Per=Y","Days=T","Dir=V")</f>
        <v>0</v>
      </c>
      <c r="AE2">
        <f>BDH("PAY US Equity","NET_INCOME","1993-06-18","2026-05-02","Per=Y","Days=T","Dir=V")</f>
        <v>0</v>
      </c>
      <c r="AG2">
        <f>BDH("PAY US Equity","IS_INT_EXPENSE","1993-06-18","2026-05-02","Per=Y","Days=T","Dir=V")</f>
        <v>0</v>
      </c>
      <c r="AI2">
        <f>BDH("PAY US Equity","IS_DEPR_EXP","1993-06-18","2026-05-02","Per=Y","Days=T","Dir=V")</f>
        <v>0</v>
      </c>
      <c r="AK2">
        <f>BDH("PAY US Equity","CF_CASH_FROM_OPER","1993-06-18","2026-05-02","Per=Y","Days=T","Dir=V")</f>
        <v>0</v>
      </c>
      <c r="AM2">
        <f>BDH("PAY US Equity","CAPITAL_EXPEND","1993-06-18","2026-05-02","Per=Y","Days=T","Dir=V")</f>
        <v>0</v>
      </c>
      <c r="AO2">
        <f>BDH("PAY US Equity","CF_FREE_CASH_FLOW","1993-06-18","2026-05-02","Per=Y","Days=T","Dir=V")</f>
        <v>0</v>
      </c>
      <c r="AQ2">
        <f>BDH("PAY US Equity","PX_LAST","1993-06-18","2026-05-02","Per=M","Days=T","Dir=V")</f>
        <v>0</v>
      </c>
      <c r="AS2">
        <f>BDH("PAY US Equity","CUR_MKT_CAP","1993-06-18","2026-05-02","Per=M","Days=T","Dir=V")</f>
        <v>0</v>
      </c>
      <c r="AU2">
        <f>BDH("PAY US Equity","EQY_SH_OUT","1993-06-18","2026-05-02","Per=M","Days=T","Dir=V")</f>
        <v>0</v>
      </c>
      <c r="AW2">
        <f>BDH("PAY US Equity","PX_VOLUME","1993-06-18","2026-05-02","Per=M","Days=T","Dir=V")</f>
        <v>0</v>
      </c>
      <c r="AY2">
        <f>BDH("PAY US Equity","TURNOVER","1993-06-18","2026-05-02","Per=M","Days=T","Dir=V")</f>
        <v>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BDH("PAYC US Equity","BS_TOT_ASSET","1993-06-18","2026-05-02","Per=Y","Days=T","Dir=V")</f>
        <v>0</v>
      </c>
      <c r="C2">
        <f>BDH("PAYC US Equity","BS_TOT_LIAB2","1993-06-18","2026-05-02","Per=Y","Days=T","Dir=V")</f>
        <v>0</v>
      </c>
      <c r="E2">
        <f>BDH("PAYC US Equity","SHORT_AND_LONG_TERM_DEBT","1993-06-18","2026-05-02","Per=Y","Days=T","Dir=V")</f>
        <v>0</v>
      </c>
      <c r="G2">
        <f>BDH("PAYC US Equity","BS_ST_BORROW","1993-06-18","2026-05-02","Per=Y","Days=T","Dir=V")</f>
        <v>0</v>
      </c>
      <c r="I2">
        <f>BDH("PAYC US Equity","BS_LT_BORROW","1993-06-18","2026-05-02","Per=Y","Days=T","Dir=V")</f>
        <v>0</v>
      </c>
      <c r="K2">
        <f>BDH("PAYC US Equity","BS_CASH_NEAR_CASH_ITEM","1993-06-18","2026-05-02","Per=Y","Days=T","Dir=V")</f>
        <v>0</v>
      </c>
      <c r="M2">
        <f>BDH("PAYC US Equity","BS_CUR_ASSET_REPORT","1993-06-18","2026-05-02","Per=Y","Days=T","Dir=V")</f>
        <v>0</v>
      </c>
      <c r="O2">
        <f>BDH("PAYC US Equity","BS_CUR_LIAB","1993-06-18","2026-05-02","Per=Y","Days=T","Dir=V")</f>
        <v>0</v>
      </c>
      <c r="Q2">
        <f>BDH("PAYC US Equity","BS_SHAREHOLDER_EQY_ENDING_PERIOD","1993-06-18","2026-05-02","Per=Y","Days=T","Dir=V")</f>
        <v>0</v>
      </c>
      <c r="S2">
        <f>BDH("PAYC US Equity","BS_ACCT_NOTE_RCV","1993-06-18","2026-05-02","Per=Y","Days=T","Dir=V")</f>
        <v>0</v>
      </c>
      <c r="U2">
        <f>BDH("PAYC US Equity","BS_INVENTORIES","1993-06-18","2026-05-02","Per=Y","Days=T","Dir=V")</f>
        <v>0</v>
      </c>
      <c r="W2">
        <f>BDH("PAYC US Equity","WORKING_CAPITAL","1993-06-18","2026-05-02","Per=Y","Days=T","Dir=V")</f>
        <v>0</v>
      </c>
      <c r="Y2">
        <f>BDH("PAYC US Equity","SALES_REV_TURN","1993-06-18","2026-05-02","Per=Y","Days=T","Dir=V")</f>
        <v>0</v>
      </c>
      <c r="AA2">
        <f>BDH("PAYC US Equity","EBIT","1993-06-18","2026-05-02","Per=Y","Days=T","Dir=V")</f>
        <v>0</v>
      </c>
      <c r="AC2">
        <f>BDH("PAYC US Equity","EBITDA","1993-06-18","2026-05-02","Per=Y","Days=T","Dir=V")</f>
        <v>0</v>
      </c>
      <c r="AE2">
        <f>BDH("PAYC US Equity","NET_INCOME","1993-06-18","2026-05-02","Per=Y","Days=T","Dir=V")</f>
        <v>0</v>
      </c>
      <c r="AG2">
        <f>BDH("PAYC US Equity","IS_INT_EXPENSE","1993-06-18","2026-05-02","Per=Y","Days=T","Dir=V")</f>
        <v>0</v>
      </c>
      <c r="AI2">
        <f>BDH("PAYC US Equity","IS_DEPR_EXP","1993-06-18","2026-05-02","Per=Y","Days=T","Dir=V")</f>
        <v>0</v>
      </c>
      <c r="AK2">
        <f>BDH("PAYC US Equity","CF_CASH_FROM_OPER","1993-06-18","2026-05-02","Per=Y","Days=T","Dir=V")</f>
        <v>0</v>
      </c>
      <c r="AM2">
        <f>BDH("PAYC US Equity","CAPITAL_EXPEND","1993-06-18","2026-05-02","Per=Y","Days=T","Dir=V")</f>
        <v>0</v>
      </c>
      <c r="AO2">
        <f>BDH("PAYC US Equity","CF_FREE_CASH_FLOW","1993-06-18","2026-05-02","Per=Y","Days=T","Dir=V")</f>
        <v>0</v>
      </c>
      <c r="AQ2">
        <f>BDH("PAYC US Equity","PX_LAST","1993-06-18","2026-05-02","Per=M","Days=T","Dir=V")</f>
        <v>0</v>
      </c>
      <c r="AS2">
        <f>BDH("PAYC US Equity","CUR_MKT_CAP","1993-06-18","2026-05-02","Per=M","Days=T","Dir=V")</f>
        <v>0</v>
      </c>
      <c r="AU2">
        <f>BDH("PAYC US Equity","EQY_SH_OUT","1993-06-18","2026-05-02","Per=M","Days=T","Dir=V")</f>
        <v>0</v>
      </c>
      <c r="AW2">
        <f>BDH("PAYC US Equity","PX_VOLUME","1993-06-18","2026-05-02","Per=M","Days=T","Dir=V")</f>
        <v>0</v>
      </c>
      <c r="AY2">
        <f>BDH("PAYC US Equity","TURNOVER","1993-06-18","2026-05-02","Per=M","Days=T","Dir=V")</f>
        <v>0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BDH("PAYO US Equity","BS_TOT_ASSET","1993-06-18","2026-05-02","Per=Y","Days=T","Dir=V")</f>
        <v>0</v>
      </c>
      <c r="C2">
        <f>BDH("PAYO US Equity","BS_TOT_LIAB2","1993-06-18","2026-05-02","Per=Y","Days=T","Dir=V")</f>
        <v>0</v>
      </c>
      <c r="E2">
        <f>BDH("PAYO US Equity","SHORT_AND_LONG_TERM_DEBT","1993-06-18","2026-05-02","Per=Y","Days=T","Dir=V")</f>
        <v>0</v>
      </c>
      <c r="G2">
        <f>BDH("PAYO US Equity","BS_ST_BORROW","1993-06-18","2026-05-02","Per=Y","Days=T","Dir=V")</f>
        <v>0</v>
      </c>
      <c r="I2">
        <f>BDH("PAYO US Equity","BS_LT_BORROW","1993-06-18","2026-05-02","Per=Y","Days=T","Dir=V")</f>
        <v>0</v>
      </c>
      <c r="K2">
        <f>BDH("PAYO US Equity","BS_CASH_NEAR_CASH_ITEM","1993-06-18","2026-05-02","Per=Y","Days=T","Dir=V")</f>
        <v>0</v>
      </c>
      <c r="M2">
        <f>BDH("PAYO US Equity","BS_CUR_ASSET_REPORT","1993-06-18","2026-05-02","Per=Y","Days=T","Dir=V")</f>
        <v>0</v>
      </c>
      <c r="O2">
        <f>BDH("PAYO US Equity","BS_CUR_LIAB","1993-06-18","2026-05-02","Per=Y","Days=T","Dir=V")</f>
        <v>0</v>
      </c>
      <c r="Q2">
        <f>BDH("PAYO US Equity","BS_SHAREHOLDER_EQY_ENDING_PERIOD","1993-06-18","2026-05-02","Per=Y","Days=T","Dir=V")</f>
        <v>0</v>
      </c>
      <c r="S2">
        <f>BDH("PAYO US Equity","BS_ACCT_NOTE_RCV","1993-06-18","2026-05-02","Per=Y","Days=T","Dir=V")</f>
        <v>0</v>
      </c>
      <c r="U2">
        <f>BDH("PAYO US Equity","BS_INVENTORIES","1993-06-18","2026-05-02","Per=Y","Days=T","Dir=V")</f>
        <v>0</v>
      </c>
      <c r="W2">
        <f>BDH("PAYO US Equity","WORKING_CAPITAL","1993-06-18","2026-05-02","Per=Y","Days=T","Dir=V")</f>
        <v>0</v>
      </c>
      <c r="Y2">
        <f>BDH("PAYO US Equity","SALES_REV_TURN","1993-06-18","2026-05-02","Per=Y","Days=T","Dir=V")</f>
        <v>0</v>
      </c>
      <c r="AA2">
        <f>BDH("PAYO US Equity","EBIT","1993-06-18","2026-05-02","Per=Y","Days=T","Dir=V")</f>
        <v>0</v>
      </c>
      <c r="AC2">
        <f>BDH("PAYO US Equity","EBITDA","1993-06-18","2026-05-02","Per=Y","Days=T","Dir=V")</f>
        <v>0</v>
      </c>
      <c r="AE2">
        <f>BDH("PAYO US Equity","NET_INCOME","1993-06-18","2026-05-02","Per=Y","Days=T","Dir=V")</f>
        <v>0</v>
      </c>
      <c r="AG2">
        <f>BDH("PAYO US Equity","IS_INT_EXPENSE","1993-06-18","2026-05-02","Per=Y","Days=T","Dir=V")</f>
        <v>0</v>
      </c>
      <c r="AI2">
        <f>BDH("PAYO US Equity","IS_DEPR_EXP","1993-06-18","2026-05-02","Per=Y","Days=T","Dir=V")</f>
        <v>0</v>
      </c>
      <c r="AK2">
        <f>BDH("PAYO US Equity","CF_CASH_FROM_OPER","1993-06-18","2026-05-02","Per=Y","Days=T","Dir=V")</f>
        <v>0</v>
      </c>
      <c r="AM2">
        <f>BDH("PAYO US Equity","CAPITAL_EXPEND","1993-06-18","2026-05-02","Per=Y","Days=T","Dir=V")</f>
        <v>0</v>
      </c>
      <c r="AO2">
        <f>BDH("PAYO US Equity","CF_FREE_CASH_FLOW","1993-06-18","2026-05-02","Per=Y","Days=T","Dir=V")</f>
        <v>0</v>
      </c>
      <c r="AQ2">
        <f>BDH("PAYO US Equity","PX_LAST","1993-06-18","2026-05-02","Per=M","Days=T","Dir=V")</f>
        <v>0</v>
      </c>
      <c r="AS2">
        <f>BDH("PAYO US Equity","CUR_MKT_CAP","1993-06-18","2026-05-02","Per=M","Days=T","Dir=V")</f>
        <v>0</v>
      </c>
      <c r="AU2">
        <f>BDH("PAYO US Equity","EQY_SH_OUT","1993-06-18","2026-05-02","Per=M","Days=T","Dir=V")</f>
        <v>0</v>
      </c>
      <c r="AW2">
        <f>BDH("PAYO US Equity","PX_VOLUME","1993-06-18","2026-05-02","Per=M","Days=T","Dir=V")</f>
        <v>0</v>
      </c>
      <c r="AY2">
        <f>BDH("PAYO US Equity","TURNOVER","1993-06-18","2026-05-02","Per=M","Days=T","Dir=V")</f>
        <v>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BDH("PAYS US Equity","BS_TOT_ASSET","1993-06-18","2026-05-02","Per=Y","Days=T","Dir=V")</f>
        <v>0</v>
      </c>
      <c r="C2">
        <f>BDH("PAYS US Equity","BS_TOT_LIAB2","1993-06-18","2026-05-02","Per=Y","Days=T","Dir=V")</f>
        <v>0</v>
      </c>
      <c r="E2">
        <f>BDH("PAYS US Equity","SHORT_AND_LONG_TERM_DEBT","1993-06-18","2026-05-02","Per=Y","Days=T","Dir=V")</f>
        <v>0</v>
      </c>
      <c r="G2">
        <f>BDH("PAYS US Equity","BS_ST_BORROW","1993-06-18","2026-05-02","Per=Y","Days=T","Dir=V")</f>
        <v>0</v>
      </c>
      <c r="I2">
        <f>BDH("PAYS US Equity","BS_LT_BORROW","1993-06-18","2026-05-02","Per=Y","Days=T","Dir=V")</f>
        <v>0</v>
      </c>
      <c r="K2">
        <f>BDH("PAYS US Equity","BS_CASH_NEAR_CASH_ITEM","1993-06-18","2026-05-02","Per=Y","Days=T","Dir=V")</f>
        <v>0</v>
      </c>
      <c r="M2">
        <f>BDH("PAYS US Equity","BS_CUR_ASSET_REPORT","1993-06-18","2026-05-02","Per=Y","Days=T","Dir=V")</f>
        <v>0</v>
      </c>
      <c r="O2">
        <f>BDH("PAYS US Equity","BS_CUR_LIAB","1993-06-18","2026-05-02","Per=Y","Days=T","Dir=V")</f>
        <v>0</v>
      </c>
      <c r="Q2">
        <f>BDH("PAYS US Equity","BS_SHAREHOLDER_EQY_ENDING_PERIOD","1993-06-18","2026-05-02","Per=Y","Days=T","Dir=V")</f>
        <v>0</v>
      </c>
      <c r="S2">
        <f>BDH("PAYS US Equity","BS_ACCT_NOTE_RCV","1993-06-18","2026-05-02","Per=Y","Days=T","Dir=V")</f>
        <v>0</v>
      </c>
      <c r="U2">
        <f>BDH("PAYS US Equity","BS_INVENTORIES","1993-06-18","2026-05-02","Per=Y","Days=T","Dir=V")</f>
        <v>0</v>
      </c>
      <c r="W2">
        <f>BDH("PAYS US Equity","WORKING_CAPITAL","1993-06-18","2026-05-02","Per=Y","Days=T","Dir=V")</f>
        <v>0</v>
      </c>
      <c r="Y2">
        <f>BDH("PAYS US Equity","SALES_REV_TURN","1993-06-18","2026-05-02","Per=Y","Days=T","Dir=V")</f>
        <v>0</v>
      </c>
      <c r="AA2">
        <f>BDH("PAYS US Equity","EBIT","1993-06-18","2026-05-02","Per=Y","Days=T","Dir=V")</f>
        <v>0</v>
      </c>
      <c r="AC2">
        <f>BDH("PAYS US Equity","EBITDA","1993-06-18","2026-05-02","Per=Y","Days=T","Dir=V")</f>
        <v>0</v>
      </c>
      <c r="AE2">
        <f>BDH("PAYS US Equity","NET_INCOME","1993-06-18","2026-05-02","Per=Y","Days=T","Dir=V")</f>
        <v>0</v>
      </c>
      <c r="AG2">
        <f>BDH("PAYS US Equity","IS_INT_EXPENSE","1993-06-18","2026-05-02","Per=Y","Days=T","Dir=V")</f>
        <v>0</v>
      </c>
      <c r="AI2">
        <f>BDH("PAYS US Equity","IS_DEPR_EXP","1993-06-18","2026-05-02","Per=Y","Days=T","Dir=V")</f>
        <v>0</v>
      </c>
      <c r="AK2">
        <f>BDH("PAYS US Equity","CF_CASH_FROM_OPER","1993-06-18","2026-05-02","Per=Y","Days=T","Dir=V")</f>
        <v>0</v>
      </c>
      <c r="AM2">
        <f>BDH("PAYS US Equity","CAPITAL_EXPEND","1993-06-18","2026-05-02","Per=Y","Days=T","Dir=V")</f>
        <v>0</v>
      </c>
      <c r="AO2">
        <f>BDH("PAYS US Equity","CF_FREE_CASH_FLOW","1993-06-18","2026-05-02","Per=Y","Days=T","Dir=V")</f>
        <v>0</v>
      </c>
      <c r="AQ2">
        <f>BDH("PAYS US Equity","PX_LAST","1993-06-18","2026-05-02","Per=M","Days=T","Dir=V")</f>
        <v>0</v>
      </c>
      <c r="AS2">
        <f>BDH("PAYS US Equity","CUR_MKT_CAP","1993-06-18","2026-05-02","Per=M","Days=T","Dir=V")</f>
        <v>0</v>
      </c>
      <c r="AU2">
        <f>BDH("PAYS US Equity","EQY_SH_OUT","1993-06-18","2026-05-02","Per=M","Days=T","Dir=V")</f>
        <v>0</v>
      </c>
      <c r="AW2">
        <f>BDH("PAYS US Equity","PX_VOLUME","1993-06-18","2026-05-02","Per=M","Days=T","Dir=V")</f>
        <v>0</v>
      </c>
      <c r="AY2">
        <f>BDH("PAYS US Equity","TURNOVER","1993-06-18","2026-05-02","Per=M","Days=T","Dir=V")</f>
        <v>0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BDH("PAYX US Equity","BS_TOT_ASSET","1993-06-18","2026-05-02","Per=Y","Days=T","Dir=V")</f>
        <v>0</v>
      </c>
      <c r="C2">
        <f>BDH("PAYX US Equity","BS_TOT_LIAB2","1993-06-18","2026-05-02","Per=Y","Days=T","Dir=V")</f>
        <v>0</v>
      </c>
      <c r="E2">
        <f>BDH("PAYX US Equity","SHORT_AND_LONG_TERM_DEBT","1993-06-18","2026-05-02","Per=Y","Days=T","Dir=V")</f>
        <v>0</v>
      </c>
      <c r="G2">
        <f>BDH("PAYX US Equity","BS_ST_BORROW","1993-06-18","2026-05-02","Per=Y","Days=T","Dir=V")</f>
        <v>0</v>
      </c>
      <c r="I2">
        <f>BDH("PAYX US Equity","BS_LT_BORROW","1993-06-18","2026-05-02","Per=Y","Days=T","Dir=V")</f>
        <v>0</v>
      </c>
      <c r="K2">
        <f>BDH("PAYX US Equity","BS_CASH_NEAR_CASH_ITEM","1993-06-18","2026-05-02","Per=Y","Days=T","Dir=V")</f>
        <v>0</v>
      </c>
      <c r="M2">
        <f>BDH("PAYX US Equity","BS_CUR_ASSET_REPORT","1993-06-18","2026-05-02","Per=Y","Days=T","Dir=V")</f>
        <v>0</v>
      </c>
      <c r="O2">
        <f>BDH("PAYX US Equity","BS_CUR_LIAB","1993-06-18","2026-05-02","Per=Y","Days=T","Dir=V")</f>
        <v>0</v>
      </c>
      <c r="Q2">
        <f>BDH("PAYX US Equity","BS_SHAREHOLDER_EQY_ENDING_PERIOD","1993-06-18","2026-05-02","Per=Y","Days=T","Dir=V")</f>
        <v>0</v>
      </c>
      <c r="S2">
        <f>BDH("PAYX US Equity","BS_ACCT_NOTE_RCV","1993-06-18","2026-05-02","Per=Y","Days=T","Dir=V")</f>
        <v>0</v>
      </c>
      <c r="U2">
        <f>BDH("PAYX US Equity","BS_INVENTORIES","1993-06-18","2026-05-02","Per=Y","Days=T","Dir=V")</f>
        <v>0</v>
      </c>
      <c r="W2">
        <f>BDH("PAYX US Equity","WORKING_CAPITAL","1993-06-18","2026-05-02","Per=Y","Days=T","Dir=V")</f>
        <v>0</v>
      </c>
      <c r="Y2">
        <f>BDH("PAYX US Equity","SALES_REV_TURN","1993-06-18","2026-05-02","Per=Y","Days=T","Dir=V")</f>
        <v>0</v>
      </c>
      <c r="AA2">
        <f>BDH("PAYX US Equity","EBIT","1993-06-18","2026-05-02","Per=Y","Days=T","Dir=V")</f>
        <v>0</v>
      </c>
      <c r="AC2">
        <f>BDH("PAYX US Equity","EBITDA","1993-06-18","2026-05-02","Per=Y","Days=T","Dir=V")</f>
        <v>0</v>
      </c>
      <c r="AE2">
        <f>BDH("PAYX US Equity","NET_INCOME","1993-06-18","2026-05-02","Per=Y","Days=T","Dir=V")</f>
        <v>0</v>
      </c>
      <c r="AG2">
        <f>BDH("PAYX US Equity","IS_INT_EXPENSE","1993-06-18","2026-05-02","Per=Y","Days=T","Dir=V")</f>
        <v>0</v>
      </c>
      <c r="AI2">
        <f>BDH("PAYX US Equity","IS_DEPR_EXP","1993-06-18","2026-05-02","Per=Y","Days=T","Dir=V")</f>
        <v>0</v>
      </c>
      <c r="AK2">
        <f>BDH("PAYX US Equity","CF_CASH_FROM_OPER","1993-06-18","2026-05-02","Per=Y","Days=T","Dir=V")</f>
        <v>0</v>
      </c>
      <c r="AM2">
        <f>BDH("PAYX US Equity","CAPITAL_EXPEND","1993-06-18","2026-05-02","Per=Y","Days=T","Dir=V")</f>
        <v>0</v>
      </c>
      <c r="AO2">
        <f>BDH("PAYX US Equity","CF_FREE_CASH_FLOW","1993-06-18","2026-05-02","Per=Y","Days=T","Dir=V")</f>
        <v>0</v>
      </c>
      <c r="AQ2">
        <f>BDH("PAYX US Equity","PX_LAST","1993-06-18","2026-05-02","Per=M","Days=T","Dir=V")</f>
        <v>0</v>
      </c>
      <c r="AS2">
        <f>BDH("PAYX US Equity","CUR_MKT_CAP","1993-06-18","2026-05-02","Per=M","Days=T","Dir=V")</f>
        <v>0</v>
      </c>
      <c r="AU2">
        <f>BDH("PAYX US Equity","EQY_SH_OUT","1993-06-18","2026-05-02","Per=M","Days=T","Dir=V")</f>
        <v>0</v>
      </c>
      <c r="AW2">
        <f>BDH("PAYX US Equity","PX_VOLUME","1993-06-18","2026-05-02","Per=M","Days=T","Dir=V")</f>
        <v>0</v>
      </c>
      <c r="AY2">
        <f>BDH("PAYX US Equity","TURNOVER","1993-06-18","2026-05-02","Per=M","Days=T","Dir=V")</f>
        <v>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BDH("PBF US Equity","BS_TOT_ASSET","1993-06-18","2026-05-02","Per=Y","Days=T","Dir=V")</f>
        <v>0</v>
      </c>
      <c r="C2">
        <f>BDH("PBF US Equity","BS_TOT_LIAB2","1993-06-18","2026-05-02","Per=Y","Days=T","Dir=V")</f>
        <v>0</v>
      </c>
      <c r="E2">
        <f>BDH("PBF US Equity","SHORT_AND_LONG_TERM_DEBT","1993-06-18","2026-05-02","Per=Y","Days=T","Dir=V")</f>
        <v>0</v>
      </c>
      <c r="G2">
        <f>BDH("PBF US Equity","BS_ST_BORROW","1993-06-18","2026-05-02","Per=Y","Days=T","Dir=V")</f>
        <v>0</v>
      </c>
      <c r="I2">
        <f>BDH("PBF US Equity","BS_LT_BORROW","1993-06-18","2026-05-02","Per=Y","Days=T","Dir=V")</f>
        <v>0</v>
      </c>
      <c r="K2">
        <f>BDH("PBF US Equity","BS_CASH_NEAR_CASH_ITEM","1993-06-18","2026-05-02","Per=Y","Days=T","Dir=V")</f>
        <v>0</v>
      </c>
      <c r="M2">
        <f>BDH("PBF US Equity","BS_CUR_ASSET_REPORT","1993-06-18","2026-05-02","Per=Y","Days=T","Dir=V")</f>
        <v>0</v>
      </c>
      <c r="O2">
        <f>BDH("PBF US Equity","BS_CUR_LIAB","1993-06-18","2026-05-02","Per=Y","Days=T","Dir=V")</f>
        <v>0</v>
      </c>
      <c r="Q2">
        <f>BDH("PBF US Equity","BS_SHAREHOLDER_EQY_ENDING_PERIOD","1993-06-18","2026-05-02","Per=Y","Days=T","Dir=V")</f>
        <v>0</v>
      </c>
      <c r="S2">
        <f>BDH("PBF US Equity","BS_ACCT_NOTE_RCV","1993-06-18","2026-05-02","Per=Y","Days=T","Dir=V")</f>
        <v>0</v>
      </c>
      <c r="U2">
        <f>BDH("PBF US Equity","BS_INVENTORIES","1993-06-18","2026-05-02","Per=Y","Days=T","Dir=V")</f>
        <v>0</v>
      </c>
      <c r="W2">
        <f>BDH("PBF US Equity","WORKING_CAPITAL","1993-06-18","2026-05-02","Per=Y","Days=T","Dir=V")</f>
        <v>0</v>
      </c>
      <c r="Y2">
        <f>BDH("PBF US Equity","SALES_REV_TURN","1993-06-18","2026-05-02","Per=Y","Days=T","Dir=V")</f>
        <v>0</v>
      </c>
      <c r="AA2">
        <f>BDH("PBF US Equity","EBIT","1993-06-18","2026-05-02","Per=Y","Days=T","Dir=V")</f>
        <v>0</v>
      </c>
      <c r="AC2">
        <f>BDH("PBF US Equity","EBITDA","1993-06-18","2026-05-02","Per=Y","Days=T","Dir=V")</f>
        <v>0</v>
      </c>
      <c r="AE2">
        <f>BDH("PBF US Equity","NET_INCOME","1993-06-18","2026-05-02","Per=Y","Days=T","Dir=V")</f>
        <v>0</v>
      </c>
      <c r="AG2">
        <f>BDH("PBF US Equity","IS_INT_EXPENSE","1993-06-18","2026-05-02","Per=Y","Days=T","Dir=V")</f>
        <v>0</v>
      </c>
      <c r="AI2">
        <f>BDH("PBF US Equity","IS_DEPR_EXP","1993-06-18","2026-05-02","Per=Y","Days=T","Dir=V")</f>
        <v>0</v>
      </c>
      <c r="AK2">
        <f>BDH("PBF US Equity","CF_CASH_FROM_OPER","1993-06-18","2026-05-02","Per=Y","Days=T","Dir=V")</f>
        <v>0</v>
      </c>
      <c r="AM2">
        <f>BDH("PBF US Equity","CAPITAL_EXPEND","1993-06-18","2026-05-02","Per=Y","Days=T","Dir=V")</f>
        <v>0</v>
      </c>
      <c r="AO2">
        <f>BDH("PBF US Equity","CF_FREE_CASH_FLOW","1993-06-18","2026-05-02","Per=Y","Days=T","Dir=V")</f>
        <v>0</v>
      </c>
      <c r="AQ2">
        <f>BDH("PBF US Equity","PX_LAST","1993-06-18","2026-05-02","Per=M","Days=T","Dir=V")</f>
        <v>0</v>
      </c>
      <c r="AS2">
        <f>BDH("PBF US Equity","CUR_MKT_CAP","1993-06-18","2026-05-02","Per=M","Days=T","Dir=V")</f>
        <v>0</v>
      </c>
      <c r="AU2">
        <f>BDH("PBF US Equity","EQY_SH_OUT","1993-06-18","2026-05-02","Per=M","Days=T","Dir=V")</f>
        <v>0</v>
      </c>
      <c r="AW2">
        <f>BDH("PBF US Equity","PX_VOLUME","1993-06-18","2026-05-02","Per=M","Days=T","Dir=V")</f>
        <v>0</v>
      </c>
      <c r="AY2">
        <f>BDH("PBF US Equity","TURNOVER","1993-06-18","2026-05-02","Per=M","Days=T","Dir=V")</f>
        <v>0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BDH("PBH US Equity","BS_TOT_ASSET","1993-06-18","2026-05-02","Per=Y","Days=T","Dir=V")</f>
        <v>0</v>
      </c>
      <c r="C2">
        <f>BDH("PBH US Equity","BS_TOT_LIAB2","1993-06-18","2026-05-02","Per=Y","Days=T","Dir=V")</f>
        <v>0</v>
      </c>
      <c r="E2">
        <f>BDH("PBH US Equity","SHORT_AND_LONG_TERM_DEBT","1993-06-18","2026-05-02","Per=Y","Days=T","Dir=V")</f>
        <v>0</v>
      </c>
      <c r="G2">
        <f>BDH("PBH US Equity","BS_ST_BORROW","1993-06-18","2026-05-02","Per=Y","Days=T","Dir=V")</f>
        <v>0</v>
      </c>
      <c r="I2">
        <f>BDH("PBH US Equity","BS_LT_BORROW","1993-06-18","2026-05-02","Per=Y","Days=T","Dir=V")</f>
        <v>0</v>
      </c>
      <c r="K2">
        <f>BDH("PBH US Equity","BS_CASH_NEAR_CASH_ITEM","1993-06-18","2026-05-02","Per=Y","Days=T","Dir=V")</f>
        <v>0</v>
      </c>
      <c r="M2">
        <f>BDH("PBH US Equity","BS_CUR_ASSET_REPORT","1993-06-18","2026-05-02","Per=Y","Days=T","Dir=V")</f>
        <v>0</v>
      </c>
      <c r="O2">
        <f>BDH("PBH US Equity","BS_CUR_LIAB","1993-06-18","2026-05-02","Per=Y","Days=T","Dir=V")</f>
        <v>0</v>
      </c>
      <c r="Q2">
        <f>BDH("PBH US Equity","BS_SHAREHOLDER_EQY_ENDING_PERIOD","1993-06-18","2026-05-02","Per=Y","Days=T","Dir=V")</f>
        <v>0</v>
      </c>
      <c r="S2">
        <f>BDH("PBH US Equity","BS_ACCT_NOTE_RCV","1993-06-18","2026-05-02","Per=Y","Days=T","Dir=V")</f>
        <v>0</v>
      </c>
      <c r="U2">
        <f>BDH("PBH US Equity","BS_INVENTORIES","1993-06-18","2026-05-02","Per=Y","Days=T","Dir=V")</f>
        <v>0</v>
      </c>
      <c r="W2">
        <f>BDH("PBH US Equity","WORKING_CAPITAL","1993-06-18","2026-05-02","Per=Y","Days=T","Dir=V")</f>
        <v>0</v>
      </c>
      <c r="Y2">
        <f>BDH("PBH US Equity","SALES_REV_TURN","1993-06-18","2026-05-02","Per=Y","Days=T","Dir=V")</f>
        <v>0</v>
      </c>
      <c r="AA2">
        <f>BDH("PBH US Equity","EBIT","1993-06-18","2026-05-02","Per=Y","Days=T","Dir=V")</f>
        <v>0</v>
      </c>
      <c r="AC2">
        <f>BDH("PBH US Equity","EBITDA","1993-06-18","2026-05-02","Per=Y","Days=T","Dir=V")</f>
        <v>0</v>
      </c>
      <c r="AE2">
        <f>BDH("PBH US Equity","NET_INCOME","1993-06-18","2026-05-02","Per=Y","Days=T","Dir=V")</f>
        <v>0</v>
      </c>
      <c r="AG2">
        <f>BDH("PBH US Equity","IS_INT_EXPENSE","1993-06-18","2026-05-02","Per=Y","Days=T","Dir=V")</f>
        <v>0</v>
      </c>
      <c r="AI2">
        <f>BDH("PBH US Equity","IS_DEPR_EXP","1993-06-18","2026-05-02","Per=Y","Days=T","Dir=V")</f>
        <v>0</v>
      </c>
      <c r="AK2">
        <f>BDH("PBH US Equity","CF_CASH_FROM_OPER","1993-06-18","2026-05-02","Per=Y","Days=T","Dir=V")</f>
        <v>0</v>
      </c>
      <c r="AM2">
        <f>BDH("PBH US Equity","CAPITAL_EXPEND","1993-06-18","2026-05-02","Per=Y","Days=T","Dir=V")</f>
        <v>0</v>
      </c>
      <c r="AO2">
        <f>BDH("PBH US Equity","CF_FREE_CASH_FLOW","1993-06-18","2026-05-02","Per=Y","Days=T","Dir=V")</f>
        <v>0</v>
      </c>
      <c r="AQ2">
        <f>BDH("PBH US Equity","PX_LAST","1993-06-18","2026-05-02","Per=M","Days=T","Dir=V")</f>
        <v>0</v>
      </c>
      <c r="AS2">
        <f>BDH("PBH US Equity","CUR_MKT_CAP","1993-06-18","2026-05-02","Per=M","Days=T","Dir=V")</f>
        <v>0</v>
      </c>
      <c r="AU2">
        <f>BDH("PBH US Equity","EQY_SH_OUT","1993-06-18","2026-05-02","Per=M","Days=T","Dir=V")</f>
        <v>0</v>
      </c>
      <c r="AW2">
        <f>BDH("PBH US Equity","PX_VOLUME","1993-06-18","2026-05-02","Per=M","Days=T","Dir=V")</f>
        <v>0</v>
      </c>
      <c r="AY2">
        <f>BDH("PBH US Equity","TURNOVER","1993-06-18","2026-05-02","Per=M","Days=T","Dir=V")</f>
        <v>0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BDH("PBLS US Equity","BS_TOT_ASSET","1993-06-18","2026-05-02","Per=Y","Days=T","Dir=V")</f>
        <v>0</v>
      </c>
      <c r="C2">
        <f>BDH("PBLS US Equity","BS_TOT_LIAB2","1993-06-18","2026-05-02","Per=Y","Days=T","Dir=V")</f>
        <v>0</v>
      </c>
      <c r="E2">
        <f>BDH("PBLS US Equity","SHORT_AND_LONG_TERM_DEBT","1993-06-18","2026-05-02","Per=Y","Days=T","Dir=V")</f>
        <v>0</v>
      </c>
      <c r="G2">
        <f>BDH("PBLS US Equity","BS_ST_BORROW","1993-06-18","2026-05-02","Per=Y","Days=T","Dir=V")</f>
        <v>0</v>
      </c>
      <c r="I2">
        <f>BDH("PBLS US Equity","BS_LT_BORROW","1993-06-18","2026-05-02","Per=Y","Days=T","Dir=V")</f>
        <v>0</v>
      </c>
      <c r="K2">
        <f>BDH("PBLS US Equity","BS_CASH_NEAR_CASH_ITEM","1993-06-18","2026-05-02","Per=Y","Days=T","Dir=V")</f>
        <v>0</v>
      </c>
      <c r="M2">
        <f>BDH("PBLS US Equity","BS_CUR_ASSET_REPORT","1993-06-18","2026-05-02","Per=Y","Days=T","Dir=V")</f>
        <v>0</v>
      </c>
      <c r="O2">
        <f>BDH("PBLS US Equity","BS_CUR_LIAB","1993-06-18","2026-05-02","Per=Y","Days=T","Dir=V")</f>
        <v>0</v>
      </c>
      <c r="Q2">
        <f>BDH("PBLS US Equity","BS_SHAREHOLDER_EQY_ENDING_PERIOD","1993-06-18","2026-05-02","Per=Y","Days=T","Dir=V")</f>
        <v>0</v>
      </c>
      <c r="S2">
        <f>BDH("PBLS US Equity","BS_ACCT_NOTE_RCV","1993-06-18","2026-05-02","Per=Y","Days=T","Dir=V")</f>
        <v>0</v>
      </c>
      <c r="U2">
        <f>BDH("PBLS US Equity","BS_INVENTORIES","1993-06-18","2026-05-02","Per=Y","Days=T","Dir=V")</f>
        <v>0</v>
      </c>
      <c r="W2">
        <f>BDH("PBLS US Equity","WORKING_CAPITAL","1993-06-18","2026-05-02","Per=Y","Days=T","Dir=V")</f>
        <v>0</v>
      </c>
      <c r="Y2">
        <f>BDH("PBLS US Equity","SALES_REV_TURN","1993-06-18","2026-05-02","Per=Y","Days=T","Dir=V")</f>
        <v>0</v>
      </c>
      <c r="AA2">
        <f>BDH("PBLS US Equity","EBIT","1993-06-18","2026-05-02","Per=Y","Days=T","Dir=V")</f>
        <v>0</v>
      </c>
      <c r="AC2">
        <f>BDH("PBLS US Equity","EBITDA","1993-06-18","2026-05-02","Per=Y","Days=T","Dir=V")</f>
        <v>0</v>
      </c>
      <c r="AE2">
        <f>BDH("PBLS US Equity","NET_INCOME","1993-06-18","2026-05-02","Per=Y","Days=T","Dir=V")</f>
        <v>0</v>
      </c>
      <c r="AG2">
        <f>BDH("PBLS US Equity","IS_INT_EXPENSE","1993-06-18","2026-05-02","Per=Y","Days=T","Dir=V")</f>
        <v>0</v>
      </c>
      <c r="AI2">
        <f>BDH("PBLS US Equity","IS_DEPR_EXP","1993-06-18","2026-05-02","Per=Y","Days=T","Dir=V")</f>
        <v>0</v>
      </c>
      <c r="AK2">
        <f>BDH("PBLS US Equity","CF_CASH_FROM_OPER","1993-06-18","2026-05-02","Per=Y","Days=T","Dir=V")</f>
        <v>0</v>
      </c>
      <c r="AM2">
        <f>BDH("PBLS US Equity","CAPITAL_EXPEND","1993-06-18","2026-05-02","Per=Y","Days=T","Dir=V")</f>
        <v>0</v>
      </c>
      <c r="AO2">
        <f>BDH("PBLS US Equity","CF_FREE_CASH_FLOW","1993-06-18","2026-05-02","Per=Y","Days=T","Dir=V")</f>
        <v>0</v>
      </c>
      <c r="AQ2">
        <f>BDH("PBLS US Equity","PX_LAST","1993-06-18","2026-05-02","Per=M","Days=T","Dir=V")</f>
        <v>0</v>
      </c>
      <c r="AS2">
        <f>BDH("PBLS US Equity","CUR_MKT_CAP","1993-06-18","2026-05-02","Per=M","Days=T","Dir=V")</f>
        <v>0</v>
      </c>
      <c r="AU2">
        <f>BDH("PBLS US Equity","EQY_SH_OUT","1993-06-18","2026-05-02","Per=M","Days=T","Dir=V")</f>
        <v>0</v>
      </c>
      <c r="AW2">
        <f>BDH("PBLS US Equity","PX_VOLUME","1993-06-18","2026-05-02","Per=M","Days=T","Dir=V")</f>
        <v>0</v>
      </c>
      <c r="AY2">
        <f>BDH("PBLS US Equity","TURNOVER","1993-06-18","2026-05-02","Per=M","Days=T","Dir=V")</f>
        <v>0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BDH("PBT US Equity","BS_TOT_ASSET","1993-06-18","2026-05-02","Per=Y","Days=T","Dir=V")</f>
        <v>0</v>
      </c>
      <c r="C2">
        <f>BDH("PBT US Equity","BS_TOT_LIAB2","1993-06-18","2026-05-02","Per=Y","Days=T","Dir=V")</f>
        <v>0</v>
      </c>
      <c r="E2">
        <f>BDH("PBT US Equity","SHORT_AND_LONG_TERM_DEBT","1993-06-18","2026-05-02","Per=Y","Days=T","Dir=V")</f>
        <v>0</v>
      </c>
      <c r="G2">
        <f>BDH("PBT US Equity","BS_ST_BORROW","1993-06-18","2026-05-02","Per=Y","Days=T","Dir=V")</f>
        <v>0</v>
      </c>
      <c r="I2">
        <f>BDH("PBT US Equity","BS_LT_BORROW","1993-06-18","2026-05-02","Per=Y","Days=T","Dir=V")</f>
        <v>0</v>
      </c>
      <c r="K2">
        <f>BDH("PBT US Equity","BS_CASH_NEAR_CASH_ITEM","1993-06-18","2026-05-02","Per=Y","Days=T","Dir=V")</f>
        <v>0</v>
      </c>
      <c r="M2">
        <f>BDH("PBT US Equity","BS_CUR_ASSET_REPORT","1993-06-18","2026-05-02","Per=Y","Days=T","Dir=V")</f>
        <v>0</v>
      </c>
      <c r="O2">
        <f>BDH("PBT US Equity","BS_CUR_LIAB","1993-06-18","2026-05-02","Per=Y","Days=T","Dir=V")</f>
        <v>0</v>
      </c>
      <c r="Q2">
        <f>BDH("PBT US Equity","BS_SHAREHOLDER_EQY_ENDING_PERIOD","1993-06-18","2026-05-02","Per=Y","Days=T","Dir=V")</f>
        <v>0</v>
      </c>
      <c r="S2">
        <f>BDH("PBT US Equity","BS_ACCT_NOTE_RCV","1993-06-18","2026-05-02","Per=Y","Days=T","Dir=V")</f>
        <v>0</v>
      </c>
      <c r="U2">
        <f>BDH("PBT US Equity","BS_INVENTORIES","1993-06-18","2026-05-02","Per=Y","Days=T","Dir=V")</f>
        <v>0</v>
      </c>
      <c r="W2">
        <f>BDH("PBT US Equity","WORKING_CAPITAL","1993-06-18","2026-05-02","Per=Y","Days=T","Dir=V")</f>
        <v>0</v>
      </c>
      <c r="Y2">
        <f>BDH("PBT US Equity","SALES_REV_TURN","1993-06-18","2026-05-02","Per=Y","Days=T","Dir=V")</f>
        <v>0</v>
      </c>
      <c r="AA2">
        <f>BDH("PBT US Equity","EBIT","1993-06-18","2026-05-02","Per=Y","Days=T","Dir=V")</f>
        <v>0</v>
      </c>
      <c r="AC2">
        <f>BDH("PBT US Equity","EBITDA","1993-06-18","2026-05-02","Per=Y","Days=T","Dir=V")</f>
        <v>0</v>
      </c>
      <c r="AE2">
        <f>BDH("PBT US Equity","NET_INCOME","1993-06-18","2026-05-02","Per=Y","Days=T","Dir=V")</f>
        <v>0</v>
      </c>
      <c r="AG2">
        <f>BDH("PBT US Equity","IS_INT_EXPENSE","1993-06-18","2026-05-02","Per=Y","Days=T","Dir=V")</f>
        <v>0</v>
      </c>
      <c r="AI2">
        <f>BDH("PBT US Equity","IS_DEPR_EXP","1993-06-18","2026-05-02","Per=Y","Days=T","Dir=V")</f>
        <v>0</v>
      </c>
      <c r="AK2">
        <f>BDH("PBT US Equity","CF_CASH_FROM_OPER","1993-06-18","2026-05-02","Per=Y","Days=T","Dir=V")</f>
        <v>0</v>
      </c>
      <c r="AM2">
        <f>BDH("PBT US Equity","CAPITAL_EXPEND","1993-06-18","2026-05-02","Per=Y","Days=T","Dir=V")</f>
        <v>0</v>
      </c>
      <c r="AO2">
        <f>BDH("PBT US Equity","CF_FREE_CASH_FLOW","1993-06-18","2026-05-02","Per=Y","Days=T","Dir=V")</f>
        <v>0</v>
      </c>
      <c r="AQ2">
        <f>BDH("PBT US Equity","PX_LAST","1993-06-18","2026-05-02","Per=M","Days=T","Dir=V")</f>
        <v>0</v>
      </c>
      <c r="AS2">
        <f>BDH("PBT US Equity","CUR_MKT_CAP","1993-06-18","2026-05-02","Per=M","Days=T","Dir=V")</f>
        <v>0</v>
      </c>
      <c r="AU2">
        <f>BDH("PBT US Equity","EQY_SH_OUT","1993-06-18","2026-05-02","Per=M","Days=T","Dir=V")</f>
        <v>0</v>
      </c>
      <c r="AW2">
        <f>BDH("PBT US Equity","PX_VOLUME","1993-06-18","2026-05-02","Per=M","Days=T","Dir=V")</f>
        <v>0</v>
      </c>
      <c r="AY2">
        <f>BDH("PBT US Equity","TURNOVER","1993-06-18","2026-05-02","Per=M","Days=T","Dir=V")</f>
        <v>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BDH("PBYI US Equity","BS_TOT_ASSET","1993-06-18","2026-05-02","Per=Y","Days=T","Dir=V")</f>
        <v>0</v>
      </c>
      <c r="C2">
        <f>BDH("PBYI US Equity","BS_TOT_LIAB2","1993-06-18","2026-05-02","Per=Y","Days=T","Dir=V")</f>
        <v>0</v>
      </c>
      <c r="E2">
        <f>BDH("PBYI US Equity","SHORT_AND_LONG_TERM_DEBT","1993-06-18","2026-05-02","Per=Y","Days=T","Dir=V")</f>
        <v>0</v>
      </c>
      <c r="G2">
        <f>BDH("PBYI US Equity","BS_ST_BORROW","1993-06-18","2026-05-02","Per=Y","Days=T","Dir=V")</f>
        <v>0</v>
      </c>
      <c r="I2">
        <f>BDH("PBYI US Equity","BS_LT_BORROW","1993-06-18","2026-05-02","Per=Y","Days=T","Dir=V")</f>
        <v>0</v>
      </c>
      <c r="K2">
        <f>BDH("PBYI US Equity","BS_CASH_NEAR_CASH_ITEM","1993-06-18","2026-05-02","Per=Y","Days=T","Dir=V")</f>
        <v>0</v>
      </c>
      <c r="M2">
        <f>BDH("PBYI US Equity","BS_CUR_ASSET_REPORT","1993-06-18","2026-05-02","Per=Y","Days=T","Dir=V")</f>
        <v>0</v>
      </c>
      <c r="O2">
        <f>BDH("PBYI US Equity","BS_CUR_LIAB","1993-06-18","2026-05-02","Per=Y","Days=T","Dir=V")</f>
        <v>0</v>
      </c>
      <c r="Q2">
        <f>BDH("PBYI US Equity","BS_SHAREHOLDER_EQY_ENDING_PERIOD","1993-06-18","2026-05-02","Per=Y","Days=T","Dir=V")</f>
        <v>0</v>
      </c>
      <c r="S2">
        <f>BDH("PBYI US Equity","BS_ACCT_NOTE_RCV","1993-06-18","2026-05-02","Per=Y","Days=T","Dir=V")</f>
        <v>0</v>
      </c>
      <c r="U2">
        <f>BDH("PBYI US Equity","BS_INVENTORIES","1993-06-18","2026-05-02","Per=Y","Days=T","Dir=V")</f>
        <v>0</v>
      </c>
      <c r="W2">
        <f>BDH("PBYI US Equity","WORKING_CAPITAL","1993-06-18","2026-05-02","Per=Y","Days=T","Dir=V")</f>
        <v>0</v>
      </c>
      <c r="Y2">
        <f>BDH("PBYI US Equity","SALES_REV_TURN","1993-06-18","2026-05-02","Per=Y","Days=T","Dir=V")</f>
        <v>0</v>
      </c>
      <c r="AA2">
        <f>BDH("PBYI US Equity","EBIT","1993-06-18","2026-05-02","Per=Y","Days=T","Dir=V")</f>
        <v>0</v>
      </c>
      <c r="AC2">
        <f>BDH("PBYI US Equity","EBITDA","1993-06-18","2026-05-02","Per=Y","Days=T","Dir=V")</f>
        <v>0</v>
      </c>
      <c r="AE2">
        <f>BDH("PBYI US Equity","NET_INCOME","1993-06-18","2026-05-02","Per=Y","Days=T","Dir=V")</f>
        <v>0</v>
      </c>
      <c r="AG2">
        <f>BDH("PBYI US Equity","IS_INT_EXPENSE","1993-06-18","2026-05-02","Per=Y","Days=T","Dir=V")</f>
        <v>0</v>
      </c>
      <c r="AI2">
        <f>BDH("PBYI US Equity","IS_DEPR_EXP","1993-06-18","2026-05-02","Per=Y","Days=T","Dir=V")</f>
        <v>0</v>
      </c>
      <c r="AK2">
        <f>BDH("PBYI US Equity","CF_CASH_FROM_OPER","1993-06-18","2026-05-02","Per=Y","Days=T","Dir=V")</f>
        <v>0</v>
      </c>
      <c r="AM2">
        <f>BDH("PBYI US Equity","CAPITAL_EXPEND","1993-06-18","2026-05-02","Per=Y","Days=T","Dir=V")</f>
        <v>0</v>
      </c>
      <c r="AO2">
        <f>BDH("PBYI US Equity","CF_FREE_CASH_FLOW","1993-06-18","2026-05-02","Per=Y","Days=T","Dir=V")</f>
        <v>0</v>
      </c>
      <c r="AQ2">
        <f>BDH("PBYI US Equity","PX_LAST","1993-06-18","2026-05-02","Per=M","Days=T","Dir=V")</f>
        <v>0</v>
      </c>
      <c r="AS2">
        <f>BDH("PBYI US Equity","CUR_MKT_CAP","1993-06-18","2026-05-02","Per=M","Days=T","Dir=V")</f>
        <v>0</v>
      </c>
      <c r="AU2">
        <f>BDH("PBYI US Equity","EQY_SH_OUT","1993-06-18","2026-05-02","Per=M","Days=T","Dir=V")</f>
        <v>0</v>
      </c>
      <c r="AW2">
        <f>BDH("PBYI US Equity","PX_VOLUME","1993-06-18","2026-05-02","Per=M","Days=T","Dir=V")</f>
        <v>0</v>
      </c>
      <c r="AY2">
        <f>BDH("PBYI US Equity","TURNOVER","1993-06-18","2026-05-02","Per=M","Days=T","Dir=V")</f>
        <v>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BDH("PCAR US Equity","BS_TOT_ASSET","1993-06-18","2026-05-02","Per=Y","Days=T","Dir=V")</f>
        <v>0</v>
      </c>
      <c r="C2">
        <f>BDH("PCAR US Equity","BS_TOT_LIAB2","1993-06-18","2026-05-02","Per=Y","Days=T","Dir=V")</f>
        <v>0</v>
      </c>
      <c r="E2">
        <f>BDH("PCAR US Equity","SHORT_AND_LONG_TERM_DEBT","1993-06-18","2026-05-02","Per=Y","Days=T","Dir=V")</f>
        <v>0</v>
      </c>
      <c r="G2">
        <f>BDH("PCAR US Equity","BS_ST_BORROW","1993-06-18","2026-05-02","Per=Y","Days=T","Dir=V")</f>
        <v>0</v>
      </c>
      <c r="I2">
        <f>BDH("PCAR US Equity","BS_LT_BORROW","1993-06-18","2026-05-02","Per=Y","Days=T","Dir=V")</f>
        <v>0</v>
      </c>
      <c r="K2">
        <f>BDH("PCAR US Equity","BS_CASH_NEAR_CASH_ITEM","1993-06-18","2026-05-02","Per=Y","Days=T","Dir=V")</f>
        <v>0</v>
      </c>
      <c r="M2">
        <f>BDH("PCAR US Equity","BS_CUR_ASSET_REPORT","1993-06-18","2026-05-02","Per=Y","Days=T","Dir=V")</f>
        <v>0</v>
      </c>
      <c r="O2">
        <f>BDH("PCAR US Equity","BS_CUR_LIAB","1993-06-18","2026-05-02","Per=Y","Days=T","Dir=V")</f>
        <v>0</v>
      </c>
      <c r="Q2">
        <f>BDH("PCAR US Equity","BS_SHAREHOLDER_EQY_ENDING_PERIOD","1993-06-18","2026-05-02","Per=Y","Days=T","Dir=V")</f>
        <v>0</v>
      </c>
      <c r="S2">
        <f>BDH("PCAR US Equity","BS_ACCT_NOTE_RCV","1993-06-18","2026-05-02","Per=Y","Days=T","Dir=V")</f>
        <v>0</v>
      </c>
      <c r="U2">
        <f>BDH("PCAR US Equity","BS_INVENTORIES","1993-06-18","2026-05-02","Per=Y","Days=T","Dir=V")</f>
        <v>0</v>
      </c>
      <c r="W2">
        <f>BDH("PCAR US Equity","WORKING_CAPITAL","1993-06-18","2026-05-02","Per=Y","Days=T","Dir=V")</f>
        <v>0</v>
      </c>
      <c r="Y2">
        <f>BDH("PCAR US Equity","SALES_REV_TURN","1993-06-18","2026-05-02","Per=Y","Days=T","Dir=V")</f>
        <v>0</v>
      </c>
      <c r="AA2">
        <f>BDH("PCAR US Equity","EBIT","1993-06-18","2026-05-02","Per=Y","Days=T","Dir=V")</f>
        <v>0</v>
      </c>
      <c r="AC2">
        <f>BDH("PCAR US Equity","EBITDA","1993-06-18","2026-05-02","Per=Y","Days=T","Dir=V")</f>
        <v>0</v>
      </c>
      <c r="AE2">
        <f>BDH("PCAR US Equity","NET_INCOME","1993-06-18","2026-05-02","Per=Y","Days=T","Dir=V")</f>
        <v>0</v>
      </c>
      <c r="AG2">
        <f>BDH("PCAR US Equity","IS_INT_EXPENSE","1993-06-18","2026-05-02","Per=Y","Days=T","Dir=V")</f>
        <v>0</v>
      </c>
      <c r="AI2">
        <f>BDH("PCAR US Equity","IS_DEPR_EXP","1993-06-18","2026-05-02","Per=Y","Days=T","Dir=V")</f>
        <v>0</v>
      </c>
      <c r="AK2">
        <f>BDH("PCAR US Equity","CF_CASH_FROM_OPER","1993-06-18","2026-05-02","Per=Y","Days=T","Dir=V")</f>
        <v>0</v>
      </c>
      <c r="AM2">
        <f>BDH("PCAR US Equity","CAPITAL_EXPEND","1993-06-18","2026-05-02","Per=Y","Days=T","Dir=V")</f>
        <v>0</v>
      </c>
      <c r="AO2">
        <f>BDH("PCAR US Equity","CF_FREE_CASH_FLOW","1993-06-18","2026-05-02","Per=Y","Days=T","Dir=V")</f>
        <v>0</v>
      </c>
      <c r="AQ2">
        <f>BDH("PCAR US Equity","PX_LAST","1993-06-18","2026-05-02","Per=M","Days=T","Dir=V")</f>
        <v>0</v>
      </c>
      <c r="AS2">
        <f>BDH("PCAR US Equity","CUR_MKT_CAP","1993-06-18","2026-05-02","Per=M","Days=T","Dir=V")</f>
        <v>0</v>
      </c>
      <c r="AU2">
        <f>BDH("PCAR US Equity","EQY_SH_OUT","1993-06-18","2026-05-02","Per=M","Days=T","Dir=V")</f>
        <v>0</v>
      </c>
      <c r="AW2">
        <f>BDH("PCAR US Equity","PX_VOLUME","1993-06-18","2026-05-02","Per=M","Days=T","Dir=V")</f>
        <v>0</v>
      </c>
      <c r="AY2">
        <f>BDH("PCAR US Equity","TURNOVER","1993-06-18","2026-05-02","Per=M","Days=T","Dir=V")</f>
        <v>0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BDH("PCG US Equity","BS_TOT_ASSET","1993-06-18","2026-05-02","Per=Y","Days=T","Dir=V")</f>
        <v>0</v>
      </c>
      <c r="C2">
        <f>BDH("PCG US Equity","BS_TOT_LIAB2","1993-06-18","2026-05-02","Per=Y","Days=T","Dir=V")</f>
        <v>0</v>
      </c>
      <c r="E2">
        <f>BDH("PCG US Equity","SHORT_AND_LONG_TERM_DEBT","1993-06-18","2026-05-02","Per=Y","Days=T","Dir=V")</f>
        <v>0</v>
      </c>
      <c r="G2">
        <f>BDH("PCG US Equity","BS_ST_BORROW","1993-06-18","2026-05-02","Per=Y","Days=T","Dir=V")</f>
        <v>0</v>
      </c>
      <c r="I2">
        <f>BDH("PCG US Equity","BS_LT_BORROW","1993-06-18","2026-05-02","Per=Y","Days=T","Dir=V")</f>
        <v>0</v>
      </c>
      <c r="K2">
        <f>BDH("PCG US Equity","BS_CASH_NEAR_CASH_ITEM","1993-06-18","2026-05-02","Per=Y","Days=T","Dir=V")</f>
        <v>0</v>
      </c>
      <c r="M2">
        <f>BDH("PCG US Equity","BS_CUR_ASSET_REPORT","1993-06-18","2026-05-02","Per=Y","Days=T","Dir=V")</f>
        <v>0</v>
      </c>
      <c r="O2">
        <f>BDH("PCG US Equity","BS_CUR_LIAB","1993-06-18","2026-05-02","Per=Y","Days=T","Dir=V")</f>
        <v>0</v>
      </c>
      <c r="Q2">
        <f>BDH("PCG US Equity","BS_SHAREHOLDER_EQY_ENDING_PERIOD","1993-06-18","2026-05-02","Per=Y","Days=T","Dir=V")</f>
        <v>0</v>
      </c>
      <c r="S2">
        <f>BDH("PCG US Equity","BS_ACCT_NOTE_RCV","1993-06-18","2026-05-02","Per=Y","Days=T","Dir=V")</f>
        <v>0</v>
      </c>
      <c r="U2">
        <f>BDH("PCG US Equity","BS_INVENTORIES","1993-06-18","2026-05-02","Per=Y","Days=T","Dir=V")</f>
        <v>0</v>
      </c>
      <c r="W2">
        <f>BDH("PCG US Equity","WORKING_CAPITAL","1993-06-18","2026-05-02","Per=Y","Days=T","Dir=V")</f>
        <v>0</v>
      </c>
      <c r="Y2">
        <f>BDH("PCG US Equity","SALES_REV_TURN","1993-06-18","2026-05-02","Per=Y","Days=T","Dir=V")</f>
        <v>0</v>
      </c>
      <c r="AA2">
        <f>BDH("PCG US Equity","EBIT","1993-06-18","2026-05-02","Per=Y","Days=T","Dir=V")</f>
        <v>0</v>
      </c>
      <c r="AC2">
        <f>BDH("PCG US Equity","EBITDA","1993-06-18","2026-05-02","Per=Y","Days=T","Dir=V")</f>
        <v>0</v>
      </c>
      <c r="AE2">
        <f>BDH("PCG US Equity","NET_INCOME","1993-06-18","2026-05-02","Per=Y","Days=T","Dir=V")</f>
        <v>0</v>
      </c>
      <c r="AG2">
        <f>BDH("PCG US Equity","IS_INT_EXPENSE","1993-06-18","2026-05-02","Per=Y","Days=T","Dir=V")</f>
        <v>0</v>
      </c>
      <c r="AI2">
        <f>BDH("PCG US Equity","IS_DEPR_EXP","1993-06-18","2026-05-02","Per=Y","Days=T","Dir=V")</f>
        <v>0</v>
      </c>
      <c r="AK2">
        <f>BDH("PCG US Equity","CF_CASH_FROM_OPER","1993-06-18","2026-05-02","Per=Y","Days=T","Dir=V")</f>
        <v>0</v>
      </c>
      <c r="AM2">
        <f>BDH("PCG US Equity","CAPITAL_EXPEND","1993-06-18","2026-05-02","Per=Y","Days=T","Dir=V")</f>
        <v>0</v>
      </c>
      <c r="AO2">
        <f>BDH("PCG US Equity","CF_FREE_CASH_FLOW","1993-06-18","2026-05-02","Per=Y","Days=T","Dir=V")</f>
        <v>0</v>
      </c>
      <c r="AQ2">
        <f>BDH("PCG US Equity","PX_LAST","1993-06-18","2026-05-02","Per=M","Days=T","Dir=V")</f>
        <v>0</v>
      </c>
      <c r="AS2">
        <f>BDH("PCG US Equity","CUR_MKT_CAP","1993-06-18","2026-05-02","Per=M","Days=T","Dir=V")</f>
        <v>0</v>
      </c>
      <c r="AU2">
        <f>BDH("PCG US Equity","EQY_SH_OUT","1993-06-18","2026-05-02","Per=M","Days=T","Dir=V")</f>
        <v>0</v>
      </c>
      <c r="AW2">
        <f>BDH("PCG US Equity","PX_VOLUME","1993-06-18","2026-05-02","Per=M","Days=T","Dir=V")</f>
        <v>0</v>
      </c>
      <c r="AY2">
        <f>BDH("PCG US Equity","TURNOVER","1993-06-18","2026-05-02","Per=M","Days=T","Dir=V")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BDH("PCOR US Equity","BS_TOT_ASSET","1993-06-18","2026-05-02","Per=Y","Days=T","Dir=V")</f>
        <v>0</v>
      </c>
      <c r="C2">
        <f>BDH("PCOR US Equity","BS_TOT_LIAB2","1993-06-18","2026-05-02","Per=Y","Days=T","Dir=V")</f>
        <v>0</v>
      </c>
      <c r="E2">
        <f>BDH("PCOR US Equity","SHORT_AND_LONG_TERM_DEBT","1993-06-18","2026-05-02","Per=Y","Days=T","Dir=V")</f>
        <v>0</v>
      </c>
      <c r="G2">
        <f>BDH("PCOR US Equity","BS_ST_BORROW","1993-06-18","2026-05-02","Per=Y","Days=T","Dir=V")</f>
        <v>0</v>
      </c>
      <c r="I2">
        <f>BDH("PCOR US Equity","BS_LT_BORROW","1993-06-18","2026-05-02","Per=Y","Days=T","Dir=V")</f>
        <v>0</v>
      </c>
      <c r="K2">
        <f>BDH("PCOR US Equity","BS_CASH_NEAR_CASH_ITEM","1993-06-18","2026-05-02","Per=Y","Days=T","Dir=V")</f>
        <v>0</v>
      </c>
      <c r="M2">
        <f>BDH("PCOR US Equity","BS_CUR_ASSET_REPORT","1993-06-18","2026-05-02","Per=Y","Days=T","Dir=V")</f>
        <v>0</v>
      </c>
      <c r="O2">
        <f>BDH("PCOR US Equity","BS_CUR_LIAB","1993-06-18","2026-05-02","Per=Y","Days=T","Dir=V")</f>
        <v>0</v>
      </c>
      <c r="Q2">
        <f>BDH("PCOR US Equity","BS_SHAREHOLDER_EQY_ENDING_PERIOD","1993-06-18","2026-05-02","Per=Y","Days=T","Dir=V")</f>
        <v>0</v>
      </c>
      <c r="S2">
        <f>BDH("PCOR US Equity","BS_ACCT_NOTE_RCV","1993-06-18","2026-05-02","Per=Y","Days=T","Dir=V")</f>
        <v>0</v>
      </c>
      <c r="U2">
        <f>BDH("PCOR US Equity","BS_INVENTORIES","1993-06-18","2026-05-02","Per=Y","Days=T","Dir=V")</f>
        <v>0</v>
      </c>
      <c r="W2">
        <f>BDH("PCOR US Equity","WORKING_CAPITAL","1993-06-18","2026-05-02","Per=Y","Days=T","Dir=V")</f>
        <v>0</v>
      </c>
      <c r="Y2">
        <f>BDH("PCOR US Equity","SALES_REV_TURN","1993-06-18","2026-05-02","Per=Y","Days=T","Dir=V")</f>
        <v>0</v>
      </c>
      <c r="AA2">
        <f>BDH("PCOR US Equity","EBIT","1993-06-18","2026-05-02","Per=Y","Days=T","Dir=V")</f>
        <v>0</v>
      </c>
      <c r="AC2">
        <f>BDH("PCOR US Equity","EBITDA","1993-06-18","2026-05-02","Per=Y","Days=T","Dir=V")</f>
        <v>0</v>
      </c>
      <c r="AE2">
        <f>BDH("PCOR US Equity","NET_INCOME","1993-06-18","2026-05-02","Per=Y","Days=T","Dir=V")</f>
        <v>0</v>
      </c>
      <c r="AG2">
        <f>BDH("PCOR US Equity","IS_INT_EXPENSE","1993-06-18","2026-05-02","Per=Y","Days=T","Dir=V")</f>
        <v>0</v>
      </c>
      <c r="AI2">
        <f>BDH("PCOR US Equity","IS_DEPR_EXP","1993-06-18","2026-05-02","Per=Y","Days=T","Dir=V")</f>
        <v>0</v>
      </c>
      <c r="AK2">
        <f>BDH("PCOR US Equity","CF_CASH_FROM_OPER","1993-06-18","2026-05-02","Per=Y","Days=T","Dir=V")</f>
        <v>0</v>
      </c>
      <c r="AM2">
        <f>BDH("PCOR US Equity","CAPITAL_EXPEND","1993-06-18","2026-05-02","Per=Y","Days=T","Dir=V")</f>
        <v>0</v>
      </c>
      <c r="AO2">
        <f>BDH("PCOR US Equity","CF_FREE_CASH_FLOW","1993-06-18","2026-05-02","Per=Y","Days=T","Dir=V")</f>
        <v>0</v>
      </c>
      <c r="AQ2">
        <f>BDH("PCOR US Equity","PX_LAST","1993-06-18","2026-05-02","Per=M","Days=T","Dir=V")</f>
        <v>0</v>
      </c>
      <c r="AS2">
        <f>BDH("PCOR US Equity","CUR_MKT_CAP","1993-06-18","2026-05-02","Per=M","Days=T","Dir=V")</f>
        <v>0</v>
      </c>
      <c r="AU2">
        <f>BDH("PCOR US Equity","EQY_SH_OUT","1993-06-18","2026-05-02","Per=M","Days=T","Dir=V")</f>
        <v>0</v>
      </c>
      <c r="AW2">
        <f>BDH("PCOR US Equity","PX_VOLUME","1993-06-18","2026-05-02","Per=M","Days=T","Dir=V")</f>
        <v>0</v>
      </c>
      <c r="AY2">
        <f>BDH("PCOR US Equity","TURNOVER","1993-06-18","2026-05-02","Per=M","Days=T","Dir=V")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BDH("PCRX US Equity","BS_TOT_ASSET","1993-06-18","2026-05-02","Per=Y","Days=T","Dir=V")</f>
        <v>0</v>
      </c>
      <c r="C2">
        <f>BDH("PCRX US Equity","BS_TOT_LIAB2","1993-06-18","2026-05-02","Per=Y","Days=T","Dir=V")</f>
        <v>0</v>
      </c>
      <c r="E2">
        <f>BDH("PCRX US Equity","SHORT_AND_LONG_TERM_DEBT","1993-06-18","2026-05-02","Per=Y","Days=T","Dir=V")</f>
        <v>0</v>
      </c>
      <c r="G2">
        <f>BDH("PCRX US Equity","BS_ST_BORROW","1993-06-18","2026-05-02","Per=Y","Days=T","Dir=V")</f>
        <v>0</v>
      </c>
      <c r="I2">
        <f>BDH("PCRX US Equity","BS_LT_BORROW","1993-06-18","2026-05-02","Per=Y","Days=T","Dir=V")</f>
        <v>0</v>
      </c>
      <c r="K2">
        <f>BDH("PCRX US Equity","BS_CASH_NEAR_CASH_ITEM","1993-06-18","2026-05-02","Per=Y","Days=T","Dir=V")</f>
        <v>0</v>
      </c>
      <c r="M2">
        <f>BDH("PCRX US Equity","BS_CUR_ASSET_REPORT","1993-06-18","2026-05-02","Per=Y","Days=T","Dir=V")</f>
        <v>0</v>
      </c>
      <c r="O2">
        <f>BDH("PCRX US Equity","BS_CUR_LIAB","1993-06-18","2026-05-02","Per=Y","Days=T","Dir=V")</f>
        <v>0</v>
      </c>
      <c r="Q2">
        <f>BDH("PCRX US Equity","BS_SHAREHOLDER_EQY_ENDING_PERIOD","1993-06-18","2026-05-02","Per=Y","Days=T","Dir=V")</f>
        <v>0</v>
      </c>
      <c r="S2">
        <f>BDH("PCRX US Equity","BS_ACCT_NOTE_RCV","1993-06-18","2026-05-02","Per=Y","Days=T","Dir=V")</f>
        <v>0</v>
      </c>
      <c r="U2">
        <f>BDH("PCRX US Equity","BS_INVENTORIES","1993-06-18","2026-05-02","Per=Y","Days=T","Dir=V")</f>
        <v>0</v>
      </c>
      <c r="W2">
        <f>BDH("PCRX US Equity","WORKING_CAPITAL","1993-06-18","2026-05-02","Per=Y","Days=T","Dir=V")</f>
        <v>0</v>
      </c>
      <c r="Y2">
        <f>BDH("PCRX US Equity","SALES_REV_TURN","1993-06-18","2026-05-02","Per=Y","Days=T","Dir=V")</f>
        <v>0</v>
      </c>
      <c r="AA2">
        <f>BDH("PCRX US Equity","EBIT","1993-06-18","2026-05-02","Per=Y","Days=T","Dir=V")</f>
        <v>0</v>
      </c>
      <c r="AC2">
        <f>BDH("PCRX US Equity","EBITDA","1993-06-18","2026-05-02","Per=Y","Days=T","Dir=V")</f>
        <v>0</v>
      </c>
      <c r="AE2">
        <f>BDH("PCRX US Equity","NET_INCOME","1993-06-18","2026-05-02","Per=Y","Days=T","Dir=V")</f>
        <v>0</v>
      </c>
      <c r="AG2">
        <f>BDH("PCRX US Equity","IS_INT_EXPENSE","1993-06-18","2026-05-02","Per=Y","Days=T","Dir=V")</f>
        <v>0</v>
      </c>
      <c r="AI2">
        <f>BDH("PCRX US Equity","IS_DEPR_EXP","1993-06-18","2026-05-02","Per=Y","Days=T","Dir=V")</f>
        <v>0</v>
      </c>
      <c r="AK2">
        <f>BDH("PCRX US Equity","CF_CASH_FROM_OPER","1993-06-18","2026-05-02","Per=Y","Days=T","Dir=V")</f>
        <v>0</v>
      </c>
      <c r="AM2">
        <f>BDH("PCRX US Equity","CAPITAL_EXPEND","1993-06-18","2026-05-02","Per=Y","Days=T","Dir=V")</f>
        <v>0</v>
      </c>
      <c r="AO2">
        <f>BDH("PCRX US Equity","CF_FREE_CASH_FLOW","1993-06-18","2026-05-02","Per=Y","Days=T","Dir=V")</f>
        <v>0</v>
      </c>
      <c r="AQ2">
        <f>BDH("PCRX US Equity","PX_LAST","1993-06-18","2026-05-02","Per=M","Days=T","Dir=V")</f>
        <v>0</v>
      </c>
      <c r="AS2">
        <f>BDH("PCRX US Equity","CUR_MKT_CAP","1993-06-18","2026-05-02","Per=M","Days=T","Dir=V")</f>
        <v>0</v>
      </c>
      <c r="AU2">
        <f>BDH("PCRX US Equity","EQY_SH_OUT","1993-06-18","2026-05-02","Per=M","Days=T","Dir=V")</f>
        <v>0</v>
      </c>
      <c r="AW2">
        <f>BDH("PCRX US Equity","PX_VOLUME","1993-06-18","2026-05-02","Per=M","Days=T","Dir=V")</f>
        <v>0</v>
      </c>
      <c r="AY2">
        <f>BDH("PCRX US Equity","TURNOVER","1993-06-18","2026-05-02","Per=M","Days=T","Dir=V")</f>
        <v>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BDH("PCSA US Equity","BS_TOT_ASSET","1993-06-18","2026-05-02","Per=Y","Days=T","Dir=V")</f>
        <v>0</v>
      </c>
      <c r="C2">
        <f>BDH("PCSA US Equity","BS_TOT_LIAB2","1993-06-18","2026-05-02","Per=Y","Days=T","Dir=V")</f>
        <v>0</v>
      </c>
      <c r="E2">
        <f>BDH("PCSA US Equity","SHORT_AND_LONG_TERM_DEBT","1993-06-18","2026-05-02","Per=Y","Days=T","Dir=V")</f>
        <v>0</v>
      </c>
      <c r="G2">
        <f>BDH("PCSA US Equity","BS_ST_BORROW","1993-06-18","2026-05-02","Per=Y","Days=T","Dir=V")</f>
        <v>0</v>
      </c>
      <c r="I2">
        <f>BDH("PCSA US Equity","BS_LT_BORROW","1993-06-18","2026-05-02","Per=Y","Days=T","Dir=V")</f>
        <v>0</v>
      </c>
      <c r="K2">
        <f>BDH("PCSA US Equity","BS_CASH_NEAR_CASH_ITEM","1993-06-18","2026-05-02","Per=Y","Days=T","Dir=V")</f>
        <v>0</v>
      </c>
      <c r="M2">
        <f>BDH("PCSA US Equity","BS_CUR_ASSET_REPORT","1993-06-18","2026-05-02","Per=Y","Days=T","Dir=V")</f>
        <v>0</v>
      </c>
      <c r="O2">
        <f>BDH("PCSA US Equity","BS_CUR_LIAB","1993-06-18","2026-05-02","Per=Y","Days=T","Dir=V")</f>
        <v>0</v>
      </c>
      <c r="Q2">
        <f>BDH("PCSA US Equity","BS_SHAREHOLDER_EQY_ENDING_PERIOD","1993-06-18","2026-05-02","Per=Y","Days=T","Dir=V")</f>
        <v>0</v>
      </c>
      <c r="S2">
        <f>BDH("PCSA US Equity","BS_ACCT_NOTE_RCV","1993-06-18","2026-05-02","Per=Y","Days=T","Dir=V")</f>
        <v>0</v>
      </c>
      <c r="U2">
        <f>BDH("PCSA US Equity","BS_INVENTORIES","1993-06-18","2026-05-02","Per=Y","Days=T","Dir=V")</f>
        <v>0</v>
      </c>
      <c r="W2">
        <f>BDH("PCSA US Equity","WORKING_CAPITAL","1993-06-18","2026-05-02","Per=Y","Days=T","Dir=V")</f>
        <v>0</v>
      </c>
      <c r="Y2">
        <f>BDH("PCSA US Equity","SALES_REV_TURN","1993-06-18","2026-05-02","Per=Y","Days=T","Dir=V")</f>
        <v>0</v>
      </c>
      <c r="AA2">
        <f>BDH("PCSA US Equity","EBIT","1993-06-18","2026-05-02","Per=Y","Days=T","Dir=V")</f>
        <v>0</v>
      </c>
      <c r="AC2">
        <f>BDH("PCSA US Equity","EBITDA","1993-06-18","2026-05-02","Per=Y","Days=T","Dir=V")</f>
        <v>0</v>
      </c>
      <c r="AE2">
        <f>BDH("PCSA US Equity","NET_INCOME","1993-06-18","2026-05-02","Per=Y","Days=T","Dir=V")</f>
        <v>0</v>
      </c>
      <c r="AG2">
        <f>BDH("PCSA US Equity","IS_INT_EXPENSE","1993-06-18","2026-05-02","Per=Y","Days=T","Dir=V")</f>
        <v>0</v>
      </c>
      <c r="AI2">
        <f>BDH("PCSA US Equity","IS_DEPR_EXP","1993-06-18","2026-05-02","Per=Y","Days=T","Dir=V")</f>
        <v>0</v>
      </c>
      <c r="AK2">
        <f>BDH("PCSA US Equity","CF_CASH_FROM_OPER","1993-06-18","2026-05-02","Per=Y","Days=T","Dir=V")</f>
        <v>0</v>
      </c>
      <c r="AM2">
        <f>BDH("PCSA US Equity","CAPITAL_EXPEND","1993-06-18","2026-05-02","Per=Y","Days=T","Dir=V")</f>
        <v>0</v>
      </c>
      <c r="AO2">
        <f>BDH("PCSA US Equity","CF_FREE_CASH_FLOW","1993-06-18","2026-05-02","Per=Y","Days=T","Dir=V")</f>
        <v>0</v>
      </c>
      <c r="AQ2">
        <f>BDH("PCSA US Equity","PX_LAST","1993-06-18","2026-05-02","Per=M","Days=T","Dir=V")</f>
        <v>0</v>
      </c>
      <c r="AS2">
        <f>BDH("PCSA US Equity","CUR_MKT_CAP","1993-06-18","2026-05-02","Per=M","Days=T","Dir=V")</f>
        <v>0</v>
      </c>
      <c r="AU2">
        <f>BDH("PCSA US Equity","EQY_SH_OUT","1993-06-18","2026-05-02","Per=M","Days=T","Dir=V")</f>
        <v>0</v>
      </c>
      <c r="AW2">
        <f>BDH("PCSA US Equity","PX_VOLUME","1993-06-18","2026-05-02","Per=M","Days=T","Dir=V")</f>
        <v>0</v>
      </c>
      <c r="AY2">
        <f>BDH("PCSA US Equity","TURNOVER","1993-06-18","2026-05-02","Per=M","Days=T","Dir=V")</f>
        <v>0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BDH("PCT US Equity","BS_TOT_ASSET","1993-06-18","2026-05-02","Per=Y","Days=T","Dir=V")</f>
        <v>0</v>
      </c>
      <c r="C2">
        <f>BDH("PCT US Equity","BS_TOT_LIAB2","1993-06-18","2026-05-02","Per=Y","Days=T","Dir=V")</f>
        <v>0</v>
      </c>
      <c r="E2">
        <f>BDH("PCT US Equity","SHORT_AND_LONG_TERM_DEBT","1993-06-18","2026-05-02","Per=Y","Days=T","Dir=V")</f>
        <v>0</v>
      </c>
      <c r="G2">
        <f>BDH("PCT US Equity","BS_ST_BORROW","1993-06-18","2026-05-02","Per=Y","Days=T","Dir=V")</f>
        <v>0</v>
      </c>
      <c r="I2">
        <f>BDH("PCT US Equity","BS_LT_BORROW","1993-06-18","2026-05-02","Per=Y","Days=T","Dir=V")</f>
        <v>0</v>
      </c>
      <c r="K2">
        <f>BDH("PCT US Equity","BS_CASH_NEAR_CASH_ITEM","1993-06-18","2026-05-02","Per=Y","Days=T","Dir=V")</f>
        <v>0</v>
      </c>
      <c r="M2">
        <f>BDH("PCT US Equity","BS_CUR_ASSET_REPORT","1993-06-18","2026-05-02","Per=Y","Days=T","Dir=V")</f>
        <v>0</v>
      </c>
      <c r="O2">
        <f>BDH("PCT US Equity","BS_CUR_LIAB","1993-06-18","2026-05-02","Per=Y","Days=T","Dir=V")</f>
        <v>0</v>
      </c>
      <c r="Q2">
        <f>BDH("PCT US Equity","BS_SHAREHOLDER_EQY_ENDING_PERIOD","1993-06-18","2026-05-02","Per=Y","Days=T","Dir=V")</f>
        <v>0</v>
      </c>
      <c r="S2">
        <f>BDH("PCT US Equity","BS_ACCT_NOTE_RCV","1993-06-18","2026-05-02","Per=Y","Days=T","Dir=V")</f>
        <v>0</v>
      </c>
      <c r="U2">
        <f>BDH("PCT US Equity","BS_INVENTORIES","1993-06-18","2026-05-02","Per=Y","Days=T","Dir=V")</f>
        <v>0</v>
      </c>
      <c r="W2">
        <f>BDH("PCT US Equity","WORKING_CAPITAL","1993-06-18","2026-05-02","Per=Y","Days=T","Dir=V")</f>
        <v>0</v>
      </c>
      <c r="Y2">
        <f>BDH("PCT US Equity","SALES_REV_TURN","1993-06-18","2026-05-02","Per=Y","Days=T","Dir=V")</f>
        <v>0</v>
      </c>
      <c r="AA2">
        <f>BDH("PCT US Equity","EBIT","1993-06-18","2026-05-02","Per=Y","Days=T","Dir=V")</f>
        <v>0</v>
      </c>
      <c r="AC2">
        <f>BDH("PCT US Equity","EBITDA","1993-06-18","2026-05-02","Per=Y","Days=T","Dir=V")</f>
        <v>0</v>
      </c>
      <c r="AE2">
        <f>BDH("PCT US Equity","NET_INCOME","1993-06-18","2026-05-02","Per=Y","Days=T","Dir=V")</f>
        <v>0</v>
      </c>
      <c r="AG2">
        <f>BDH("PCT US Equity","IS_INT_EXPENSE","1993-06-18","2026-05-02","Per=Y","Days=T","Dir=V")</f>
        <v>0</v>
      </c>
      <c r="AI2">
        <f>BDH("PCT US Equity","IS_DEPR_EXP","1993-06-18","2026-05-02","Per=Y","Days=T","Dir=V")</f>
        <v>0</v>
      </c>
      <c r="AK2">
        <f>BDH("PCT US Equity","CF_CASH_FROM_OPER","1993-06-18","2026-05-02","Per=Y","Days=T","Dir=V")</f>
        <v>0</v>
      </c>
      <c r="AM2">
        <f>BDH("PCT US Equity","CAPITAL_EXPEND","1993-06-18","2026-05-02","Per=Y","Days=T","Dir=V")</f>
        <v>0</v>
      </c>
      <c r="AO2">
        <f>BDH("PCT US Equity","CF_FREE_CASH_FLOW","1993-06-18","2026-05-02","Per=Y","Days=T","Dir=V")</f>
        <v>0</v>
      </c>
      <c r="AQ2">
        <f>BDH("PCT US Equity","PX_LAST","1993-06-18","2026-05-02","Per=M","Days=T","Dir=V")</f>
        <v>0</v>
      </c>
      <c r="AS2">
        <f>BDH("PCT US Equity","CUR_MKT_CAP","1993-06-18","2026-05-02","Per=M","Days=T","Dir=V")</f>
        <v>0</v>
      </c>
      <c r="AU2">
        <f>BDH("PCT US Equity","EQY_SH_OUT","1993-06-18","2026-05-02","Per=M","Days=T","Dir=V")</f>
        <v>0</v>
      </c>
      <c r="AW2">
        <f>BDH("PCT US Equity","PX_VOLUME","1993-06-18","2026-05-02","Per=M","Days=T","Dir=V")</f>
        <v>0</v>
      </c>
      <c r="AY2">
        <f>BDH("PCT US Equity","TURNOVER","1993-06-18","2026-05-02","Per=M","Days=T","Dir=V")</f>
        <v>0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BDH("PCTTU US Equity","BS_TOT_ASSET","1993-06-18","2026-05-02","Per=Y","Days=T","Dir=V")</f>
        <v>0</v>
      </c>
      <c r="C2">
        <f>BDH("PCTTU US Equity","BS_TOT_LIAB2","1993-06-18","2026-05-02","Per=Y","Days=T","Dir=V")</f>
        <v>0</v>
      </c>
      <c r="E2">
        <f>BDH("PCTTU US Equity","SHORT_AND_LONG_TERM_DEBT","1993-06-18","2026-05-02","Per=Y","Days=T","Dir=V")</f>
        <v>0</v>
      </c>
      <c r="G2">
        <f>BDH("PCTTU US Equity","BS_ST_BORROW","1993-06-18","2026-05-02","Per=Y","Days=T","Dir=V")</f>
        <v>0</v>
      </c>
      <c r="I2">
        <f>BDH("PCTTU US Equity","BS_LT_BORROW","1993-06-18","2026-05-02","Per=Y","Days=T","Dir=V")</f>
        <v>0</v>
      </c>
      <c r="K2">
        <f>BDH("PCTTU US Equity","BS_CASH_NEAR_CASH_ITEM","1993-06-18","2026-05-02","Per=Y","Days=T","Dir=V")</f>
        <v>0</v>
      </c>
      <c r="M2">
        <f>BDH("PCTTU US Equity","BS_CUR_ASSET_REPORT","1993-06-18","2026-05-02","Per=Y","Days=T","Dir=V")</f>
        <v>0</v>
      </c>
      <c r="O2">
        <f>BDH("PCTTU US Equity","BS_CUR_LIAB","1993-06-18","2026-05-02","Per=Y","Days=T","Dir=V")</f>
        <v>0</v>
      </c>
      <c r="Q2">
        <f>BDH("PCTTU US Equity","BS_SHAREHOLDER_EQY_ENDING_PERIOD","1993-06-18","2026-05-02","Per=Y","Days=T","Dir=V")</f>
        <v>0</v>
      </c>
      <c r="S2">
        <f>BDH("PCTTU US Equity","BS_ACCT_NOTE_RCV","1993-06-18","2026-05-02","Per=Y","Days=T","Dir=V")</f>
        <v>0</v>
      </c>
      <c r="U2">
        <f>BDH("PCTTU US Equity","BS_INVENTORIES","1993-06-18","2026-05-02","Per=Y","Days=T","Dir=V")</f>
        <v>0</v>
      </c>
      <c r="W2">
        <f>BDH("PCTTU US Equity","WORKING_CAPITAL","1993-06-18","2026-05-02","Per=Y","Days=T","Dir=V")</f>
        <v>0</v>
      </c>
      <c r="Y2">
        <f>BDH("PCTTU US Equity","SALES_REV_TURN","1993-06-18","2026-05-02","Per=Y","Days=T","Dir=V")</f>
        <v>0</v>
      </c>
      <c r="AA2">
        <f>BDH("PCTTU US Equity","EBIT","1993-06-18","2026-05-02","Per=Y","Days=T","Dir=V")</f>
        <v>0</v>
      </c>
      <c r="AC2">
        <f>BDH("PCTTU US Equity","EBITDA","1993-06-18","2026-05-02","Per=Y","Days=T","Dir=V")</f>
        <v>0</v>
      </c>
      <c r="AE2">
        <f>BDH("PCTTU US Equity","NET_INCOME","1993-06-18","2026-05-02","Per=Y","Days=T","Dir=V")</f>
        <v>0</v>
      </c>
      <c r="AG2">
        <f>BDH("PCTTU US Equity","IS_INT_EXPENSE","1993-06-18","2026-05-02","Per=Y","Days=T","Dir=V")</f>
        <v>0</v>
      </c>
      <c r="AI2">
        <f>BDH("PCTTU US Equity","IS_DEPR_EXP","1993-06-18","2026-05-02","Per=Y","Days=T","Dir=V")</f>
        <v>0</v>
      </c>
      <c r="AK2">
        <f>BDH("PCTTU US Equity","CF_CASH_FROM_OPER","1993-06-18","2026-05-02","Per=Y","Days=T","Dir=V")</f>
        <v>0</v>
      </c>
      <c r="AM2">
        <f>BDH("PCTTU US Equity","CAPITAL_EXPEND","1993-06-18","2026-05-02","Per=Y","Days=T","Dir=V")</f>
        <v>0</v>
      </c>
      <c r="AO2">
        <f>BDH("PCTTU US Equity","CF_FREE_CASH_FLOW","1993-06-18","2026-05-02","Per=Y","Days=T","Dir=V")</f>
        <v>0</v>
      </c>
      <c r="AQ2">
        <f>BDH("PCTTU US Equity","PX_LAST","1993-06-18","2026-05-02","Per=M","Days=T","Dir=V")</f>
        <v>0</v>
      </c>
      <c r="AS2">
        <f>BDH("PCTTU US Equity","CUR_MKT_CAP","1993-06-18","2026-05-02","Per=M","Days=T","Dir=V")</f>
        <v>0</v>
      </c>
      <c r="AU2">
        <f>BDH("PCTTU US Equity","EQY_SH_OUT","1993-06-18","2026-05-02","Per=M","Days=T","Dir=V")</f>
        <v>0</v>
      </c>
      <c r="AW2">
        <f>BDH("PCTTU US Equity","PX_VOLUME","1993-06-18","2026-05-02","Per=M","Days=T","Dir=V")</f>
        <v>0</v>
      </c>
      <c r="AY2">
        <f>BDH("PCTTU US Equity","TURNOVER","1993-06-18","2026-05-02","Per=M","Days=T","Dir=V")</f>
        <v>0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BDH("PCTTW US Equity","BS_TOT_ASSET","1993-06-18","2026-05-02","Per=Y","Days=T","Dir=V")</f>
        <v>0</v>
      </c>
      <c r="C2">
        <f>BDH("PCTTW US Equity","BS_TOT_LIAB2","1993-06-18","2026-05-02","Per=Y","Days=T","Dir=V")</f>
        <v>0</v>
      </c>
      <c r="E2">
        <f>BDH("PCTTW US Equity","SHORT_AND_LONG_TERM_DEBT","1993-06-18","2026-05-02","Per=Y","Days=T","Dir=V")</f>
        <v>0</v>
      </c>
      <c r="G2">
        <f>BDH("PCTTW US Equity","BS_ST_BORROW","1993-06-18","2026-05-02","Per=Y","Days=T","Dir=V")</f>
        <v>0</v>
      </c>
      <c r="I2">
        <f>BDH("PCTTW US Equity","BS_LT_BORROW","1993-06-18","2026-05-02","Per=Y","Days=T","Dir=V")</f>
        <v>0</v>
      </c>
      <c r="K2">
        <f>BDH("PCTTW US Equity","BS_CASH_NEAR_CASH_ITEM","1993-06-18","2026-05-02","Per=Y","Days=T","Dir=V")</f>
        <v>0</v>
      </c>
      <c r="M2">
        <f>BDH("PCTTW US Equity","BS_CUR_ASSET_REPORT","1993-06-18","2026-05-02","Per=Y","Days=T","Dir=V")</f>
        <v>0</v>
      </c>
      <c r="O2">
        <f>BDH("PCTTW US Equity","BS_CUR_LIAB","1993-06-18","2026-05-02","Per=Y","Days=T","Dir=V")</f>
        <v>0</v>
      </c>
      <c r="Q2">
        <f>BDH("PCTTW US Equity","BS_SHAREHOLDER_EQY_ENDING_PERIOD","1993-06-18","2026-05-02","Per=Y","Days=T","Dir=V")</f>
        <v>0</v>
      </c>
      <c r="S2">
        <f>BDH("PCTTW US Equity","BS_ACCT_NOTE_RCV","1993-06-18","2026-05-02","Per=Y","Days=T","Dir=V")</f>
        <v>0</v>
      </c>
      <c r="U2">
        <f>BDH("PCTTW US Equity","BS_INVENTORIES","1993-06-18","2026-05-02","Per=Y","Days=T","Dir=V")</f>
        <v>0</v>
      </c>
      <c r="W2">
        <f>BDH("PCTTW US Equity","WORKING_CAPITAL","1993-06-18","2026-05-02","Per=Y","Days=T","Dir=V")</f>
        <v>0</v>
      </c>
      <c r="Y2">
        <f>BDH("PCTTW US Equity","SALES_REV_TURN","1993-06-18","2026-05-02","Per=Y","Days=T","Dir=V")</f>
        <v>0</v>
      </c>
      <c r="AA2">
        <f>BDH("PCTTW US Equity","EBIT","1993-06-18","2026-05-02","Per=Y","Days=T","Dir=V")</f>
        <v>0</v>
      </c>
      <c r="AC2">
        <f>BDH("PCTTW US Equity","EBITDA","1993-06-18","2026-05-02","Per=Y","Days=T","Dir=V")</f>
        <v>0</v>
      </c>
      <c r="AE2">
        <f>BDH("PCTTW US Equity","NET_INCOME","1993-06-18","2026-05-02","Per=Y","Days=T","Dir=V")</f>
        <v>0</v>
      </c>
      <c r="AG2">
        <f>BDH("PCTTW US Equity","IS_INT_EXPENSE","1993-06-18","2026-05-02","Per=Y","Days=T","Dir=V")</f>
        <v>0</v>
      </c>
      <c r="AI2">
        <f>BDH("PCTTW US Equity","IS_DEPR_EXP","1993-06-18","2026-05-02","Per=Y","Days=T","Dir=V")</f>
        <v>0</v>
      </c>
      <c r="AK2">
        <f>BDH("PCTTW US Equity","CF_CASH_FROM_OPER","1993-06-18","2026-05-02","Per=Y","Days=T","Dir=V")</f>
        <v>0</v>
      </c>
      <c r="AM2">
        <f>BDH("PCTTW US Equity","CAPITAL_EXPEND","1993-06-18","2026-05-02","Per=Y","Days=T","Dir=V")</f>
        <v>0</v>
      </c>
      <c r="AO2">
        <f>BDH("PCTTW US Equity","CF_FREE_CASH_FLOW","1993-06-18","2026-05-02","Per=Y","Days=T","Dir=V")</f>
        <v>0</v>
      </c>
      <c r="AQ2">
        <f>BDH("PCTTW US Equity","PX_LAST","1993-06-18","2026-05-02","Per=M","Days=T","Dir=V")</f>
        <v>0</v>
      </c>
      <c r="AS2">
        <f>BDH("PCTTW US Equity","CUR_MKT_CAP","1993-06-18","2026-05-02","Per=M","Days=T","Dir=V")</f>
        <v>0</v>
      </c>
      <c r="AU2">
        <f>BDH("PCTTW US Equity","EQY_SH_OUT","1993-06-18","2026-05-02","Per=M","Days=T","Dir=V")</f>
        <v>0</v>
      </c>
      <c r="AW2">
        <f>BDH("PCTTW US Equity","PX_VOLUME","1993-06-18","2026-05-02","Per=M","Days=T","Dir=V")</f>
        <v>0</v>
      </c>
      <c r="AY2">
        <f>BDH("PCTTW US Equity","TURNOVER","1993-06-18","2026-05-02","Per=M","Days=T","Dir=V")</f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BDH("PCTY US Equity","BS_TOT_ASSET","1993-06-18","2026-05-02","Per=Y","Days=T","Dir=V")</f>
        <v>0</v>
      </c>
      <c r="C2">
        <f>BDH("PCTY US Equity","BS_TOT_LIAB2","1993-06-18","2026-05-02","Per=Y","Days=T","Dir=V")</f>
        <v>0</v>
      </c>
      <c r="E2">
        <f>BDH("PCTY US Equity","SHORT_AND_LONG_TERM_DEBT","1993-06-18","2026-05-02","Per=Y","Days=T","Dir=V")</f>
        <v>0</v>
      </c>
      <c r="G2">
        <f>BDH("PCTY US Equity","BS_ST_BORROW","1993-06-18","2026-05-02","Per=Y","Days=T","Dir=V")</f>
        <v>0</v>
      </c>
      <c r="I2">
        <f>BDH("PCTY US Equity","BS_LT_BORROW","1993-06-18","2026-05-02","Per=Y","Days=T","Dir=V")</f>
        <v>0</v>
      </c>
      <c r="K2">
        <f>BDH("PCTY US Equity","BS_CASH_NEAR_CASH_ITEM","1993-06-18","2026-05-02","Per=Y","Days=T","Dir=V")</f>
        <v>0</v>
      </c>
      <c r="M2">
        <f>BDH("PCTY US Equity","BS_CUR_ASSET_REPORT","1993-06-18","2026-05-02","Per=Y","Days=T","Dir=V")</f>
        <v>0</v>
      </c>
      <c r="O2">
        <f>BDH("PCTY US Equity","BS_CUR_LIAB","1993-06-18","2026-05-02","Per=Y","Days=T","Dir=V")</f>
        <v>0</v>
      </c>
      <c r="Q2">
        <f>BDH("PCTY US Equity","BS_SHAREHOLDER_EQY_ENDING_PERIOD","1993-06-18","2026-05-02","Per=Y","Days=T","Dir=V")</f>
        <v>0</v>
      </c>
      <c r="S2">
        <f>BDH("PCTY US Equity","BS_ACCT_NOTE_RCV","1993-06-18","2026-05-02","Per=Y","Days=T","Dir=V")</f>
        <v>0</v>
      </c>
      <c r="U2">
        <f>BDH("PCTY US Equity","BS_INVENTORIES","1993-06-18","2026-05-02","Per=Y","Days=T","Dir=V")</f>
        <v>0</v>
      </c>
      <c r="W2">
        <f>BDH("PCTY US Equity","WORKING_CAPITAL","1993-06-18","2026-05-02","Per=Y","Days=T","Dir=V")</f>
        <v>0</v>
      </c>
      <c r="Y2">
        <f>BDH("PCTY US Equity","SALES_REV_TURN","1993-06-18","2026-05-02","Per=Y","Days=T","Dir=V")</f>
        <v>0</v>
      </c>
      <c r="AA2">
        <f>BDH("PCTY US Equity","EBIT","1993-06-18","2026-05-02","Per=Y","Days=T","Dir=V")</f>
        <v>0</v>
      </c>
      <c r="AC2">
        <f>BDH("PCTY US Equity","EBITDA","1993-06-18","2026-05-02","Per=Y","Days=T","Dir=V")</f>
        <v>0</v>
      </c>
      <c r="AE2">
        <f>BDH("PCTY US Equity","NET_INCOME","1993-06-18","2026-05-02","Per=Y","Days=T","Dir=V")</f>
        <v>0</v>
      </c>
      <c r="AG2">
        <f>BDH("PCTY US Equity","IS_INT_EXPENSE","1993-06-18","2026-05-02","Per=Y","Days=T","Dir=V")</f>
        <v>0</v>
      </c>
      <c r="AI2">
        <f>BDH("PCTY US Equity","IS_DEPR_EXP","1993-06-18","2026-05-02","Per=Y","Days=T","Dir=V")</f>
        <v>0</v>
      </c>
      <c r="AK2">
        <f>BDH("PCTY US Equity","CF_CASH_FROM_OPER","1993-06-18","2026-05-02","Per=Y","Days=T","Dir=V")</f>
        <v>0</v>
      </c>
      <c r="AM2">
        <f>BDH("PCTY US Equity","CAPITAL_EXPEND","1993-06-18","2026-05-02","Per=Y","Days=T","Dir=V")</f>
        <v>0</v>
      </c>
      <c r="AO2">
        <f>BDH("PCTY US Equity","CF_FREE_CASH_FLOW","1993-06-18","2026-05-02","Per=Y","Days=T","Dir=V")</f>
        <v>0</v>
      </c>
      <c r="AQ2">
        <f>BDH("PCTY US Equity","PX_LAST","1993-06-18","2026-05-02","Per=M","Days=T","Dir=V")</f>
        <v>0</v>
      </c>
      <c r="AS2">
        <f>BDH("PCTY US Equity","CUR_MKT_CAP","1993-06-18","2026-05-02","Per=M","Days=T","Dir=V")</f>
        <v>0</v>
      </c>
      <c r="AU2">
        <f>BDH("PCTY US Equity","EQY_SH_OUT","1993-06-18","2026-05-02","Per=M","Days=T","Dir=V")</f>
        <v>0</v>
      </c>
      <c r="AW2">
        <f>BDH("PCTY US Equity","PX_VOLUME","1993-06-18","2026-05-02","Per=M","Days=T","Dir=V")</f>
        <v>0</v>
      </c>
      <c r="AY2">
        <f>BDH("PCTY US Equity","TURNOVER","1993-06-18","2026-05-02","Per=M","Days=T","Dir=V")</f>
        <v>0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BDH("PCVX US Equity","BS_TOT_ASSET","1993-06-18","2026-05-02","Per=Y","Days=T","Dir=V")</f>
        <v>0</v>
      </c>
      <c r="C2">
        <f>BDH("PCVX US Equity","BS_TOT_LIAB2","1993-06-18","2026-05-02","Per=Y","Days=T","Dir=V")</f>
        <v>0</v>
      </c>
      <c r="E2">
        <f>BDH("PCVX US Equity","SHORT_AND_LONG_TERM_DEBT","1993-06-18","2026-05-02","Per=Y","Days=T","Dir=V")</f>
        <v>0</v>
      </c>
      <c r="G2">
        <f>BDH("PCVX US Equity","BS_ST_BORROW","1993-06-18","2026-05-02","Per=Y","Days=T","Dir=V")</f>
        <v>0</v>
      </c>
      <c r="I2">
        <f>BDH("PCVX US Equity","BS_LT_BORROW","1993-06-18","2026-05-02","Per=Y","Days=T","Dir=V")</f>
        <v>0</v>
      </c>
      <c r="K2">
        <f>BDH("PCVX US Equity","BS_CASH_NEAR_CASH_ITEM","1993-06-18","2026-05-02","Per=Y","Days=T","Dir=V")</f>
        <v>0</v>
      </c>
      <c r="M2">
        <f>BDH("PCVX US Equity","BS_CUR_ASSET_REPORT","1993-06-18","2026-05-02","Per=Y","Days=T","Dir=V")</f>
        <v>0</v>
      </c>
      <c r="O2">
        <f>BDH("PCVX US Equity","BS_CUR_LIAB","1993-06-18","2026-05-02","Per=Y","Days=T","Dir=V")</f>
        <v>0</v>
      </c>
      <c r="Q2">
        <f>BDH("PCVX US Equity","BS_SHAREHOLDER_EQY_ENDING_PERIOD","1993-06-18","2026-05-02","Per=Y","Days=T","Dir=V")</f>
        <v>0</v>
      </c>
      <c r="S2">
        <f>BDH("PCVX US Equity","BS_ACCT_NOTE_RCV","1993-06-18","2026-05-02","Per=Y","Days=T","Dir=V")</f>
        <v>0</v>
      </c>
      <c r="U2">
        <f>BDH("PCVX US Equity","BS_INVENTORIES","1993-06-18","2026-05-02","Per=Y","Days=T","Dir=V")</f>
        <v>0</v>
      </c>
      <c r="W2">
        <f>BDH("PCVX US Equity","WORKING_CAPITAL","1993-06-18","2026-05-02","Per=Y","Days=T","Dir=V")</f>
        <v>0</v>
      </c>
      <c r="Y2">
        <f>BDH("PCVX US Equity","SALES_REV_TURN","1993-06-18","2026-05-02","Per=Y","Days=T","Dir=V")</f>
        <v>0</v>
      </c>
      <c r="AA2">
        <f>BDH("PCVX US Equity","EBIT","1993-06-18","2026-05-02","Per=Y","Days=T","Dir=V")</f>
        <v>0</v>
      </c>
      <c r="AC2">
        <f>BDH("PCVX US Equity","EBITDA","1993-06-18","2026-05-02","Per=Y","Days=T","Dir=V")</f>
        <v>0</v>
      </c>
      <c r="AE2">
        <f>BDH("PCVX US Equity","NET_INCOME","1993-06-18","2026-05-02","Per=Y","Days=T","Dir=V")</f>
        <v>0</v>
      </c>
      <c r="AG2">
        <f>BDH("PCVX US Equity","IS_INT_EXPENSE","1993-06-18","2026-05-02","Per=Y","Days=T","Dir=V")</f>
        <v>0</v>
      </c>
      <c r="AI2">
        <f>BDH("PCVX US Equity","IS_DEPR_EXP","1993-06-18","2026-05-02","Per=Y","Days=T","Dir=V")</f>
        <v>0</v>
      </c>
      <c r="AK2">
        <f>BDH("PCVX US Equity","CF_CASH_FROM_OPER","1993-06-18","2026-05-02","Per=Y","Days=T","Dir=V")</f>
        <v>0</v>
      </c>
      <c r="AM2">
        <f>BDH("PCVX US Equity","CAPITAL_EXPEND","1993-06-18","2026-05-02","Per=Y","Days=T","Dir=V")</f>
        <v>0</v>
      </c>
      <c r="AO2">
        <f>BDH("PCVX US Equity","CF_FREE_CASH_FLOW","1993-06-18","2026-05-02","Per=Y","Days=T","Dir=V")</f>
        <v>0</v>
      </c>
      <c r="AQ2">
        <f>BDH("PCVX US Equity","PX_LAST","1993-06-18","2026-05-02","Per=M","Days=T","Dir=V")</f>
        <v>0</v>
      </c>
      <c r="AS2">
        <f>BDH("PCVX US Equity","CUR_MKT_CAP","1993-06-18","2026-05-02","Per=M","Days=T","Dir=V")</f>
        <v>0</v>
      </c>
      <c r="AU2">
        <f>BDH("PCVX US Equity","EQY_SH_OUT","1993-06-18","2026-05-02","Per=M","Days=T","Dir=V")</f>
        <v>0</v>
      </c>
      <c r="AW2">
        <f>BDH("PCVX US Equity","PX_VOLUME","1993-06-18","2026-05-02","Per=M","Days=T","Dir=V")</f>
        <v>0</v>
      </c>
      <c r="AY2">
        <f>BDH("PCVX US Equity","TURNOVER","1993-06-18","2026-05-02","Per=M","Days=T","Dir=V")</f>
        <v>0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BDH("PCYO US Equity","BS_TOT_ASSET","1993-06-18","2026-05-02","Per=Y","Days=T","Dir=V")</f>
        <v>0</v>
      </c>
      <c r="C2">
        <f>BDH("PCYO US Equity","BS_TOT_LIAB2","1993-06-18","2026-05-02","Per=Y","Days=T","Dir=V")</f>
        <v>0</v>
      </c>
      <c r="E2">
        <f>BDH("PCYO US Equity","SHORT_AND_LONG_TERM_DEBT","1993-06-18","2026-05-02","Per=Y","Days=T","Dir=V")</f>
        <v>0</v>
      </c>
      <c r="G2">
        <f>BDH("PCYO US Equity","BS_ST_BORROW","1993-06-18","2026-05-02","Per=Y","Days=T","Dir=V")</f>
        <v>0</v>
      </c>
      <c r="I2">
        <f>BDH("PCYO US Equity","BS_LT_BORROW","1993-06-18","2026-05-02","Per=Y","Days=T","Dir=V")</f>
        <v>0</v>
      </c>
      <c r="K2">
        <f>BDH("PCYO US Equity","BS_CASH_NEAR_CASH_ITEM","1993-06-18","2026-05-02","Per=Y","Days=T","Dir=V")</f>
        <v>0</v>
      </c>
      <c r="M2">
        <f>BDH("PCYO US Equity","BS_CUR_ASSET_REPORT","1993-06-18","2026-05-02","Per=Y","Days=T","Dir=V")</f>
        <v>0</v>
      </c>
      <c r="O2">
        <f>BDH("PCYO US Equity","BS_CUR_LIAB","1993-06-18","2026-05-02","Per=Y","Days=T","Dir=V")</f>
        <v>0</v>
      </c>
      <c r="Q2">
        <f>BDH("PCYO US Equity","BS_SHAREHOLDER_EQY_ENDING_PERIOD","1993-06-18","2026-05-02","Per=Y","Days=T","Dir=V")</f>
        <v>0</v>
      </c>
      <c r="S2">
        <f>BDH("PCYO US Equity","BS_ACCT_NOTE_RCV","1993-06-18","2026-05-02","Per=Y","Days=T","Dir=V")</f>
        <v>0</v>
      </c>
      <c r="U2">
        <f>BDH("PCYO US Equity","BS_INVENTORIES","1993-06-18","2026-05-02","Per=Y","Days=T","Dir=V")</f>
        <v>0</v>
      </c>
      <c r="W2">
        <f>BDH("PCYO US Equity","WORKING_CAPITAL","1993-06-18","2026-05-02","Per=Y","Days=T","Dir=V")</f>
        <v>0</v>
      </c>
      <c r="Y2">
        <f>BDH("PCYO US Equity","SALES_REV_TURN","1993-06-18","2026-05-02","Per=Y","Days=T","Dir=V")</f>
        <v>0</v>
      </c>
      <c r="AA2">
        <f>BDH("PCYO US Equity","EBIT","1993-06-18","2026-05-02","Per=Y","Days=T","Dir=V")</f>
        <v>0</v>
      </c>
      <c r="AC2">
        <f>BDH("PCYO US Equity","EBITDA","1993-06-18","2026-05-02","Per=Y","Days=T","Dir=V")</f>
        <v>0</v>
      </c>
      <c r="AE2">
        <f>BDH("PCYO US Equity","NET_INCOME","1993-06-18","2026-05-02","Per=Y","Days=T","Dir=V")</f>
        <v>0</v>
      </c>
      <c r="AG2">
        <f>BDH("PCYO US Equity","IS_INT_EXPENSE","1993-06-18","2026-05-02","Per=Y","Days=T","Dir=V")</f>
        <v>0</v>
      </c>
      <c r="AI2">
        <f>BDH("PCYO US Equity","IS_DEPR_EXP","1993-06-18","2026-05-02","Per=Y","Days=T","Dir=V")</f>
        <v>0</v>
      </c>
      <c r="AK2">
        <f>BDH("PCYO US Equity","CF_CASH_FROM_OPER","1993-06-18","2026-05-02","Per=Y","Days=T","Dir=V")</f>
        <v>0</v>
      </c>
      <c r="AM2">
        <f>BDH("PCYO US Equity","CAPITAL_EXPEND","1993-06-18","2026-05-02","Per=Y","Days=T","Dir=V")</f>
        <v>0</v>
      </c>
      <c r="AO2">
        <f>BDH("PCYO US Equity","CF_FREE_CASH_FLOW","1993-06-18","2026-05-02","Per=Y","Days=T","Dir=V")</f>
        <v>0</v>
      </c>
      <c r="AQ2">
        <f>BDH("PCYO US Equity","PX_LAST","1993-06-18","2026-05-02","Per=M","Days=T","Dir=V")</f>
        <v>0</v>
      </c>
      <c r="AS2">
        <f>BDH("PCYO US Equity","CUR_MKT_CAP","1993-06-18","2026-05-02","Per=M","Days=T","Dir=V")</f>
        <v>0</v>
      </c>
      <c r="AU2">
        <f>BDH("PCYO US Equity","EQY_SH_OUT","1993-06-18","2026-05-02","Per=M","Days=T","Dir=V")</f>
        <v>0</v>
      </c>
      <c r="AW2">
        <f>BDH("PCYO US Equity","PX_VOLUME","1993-06-18","2026-05-02","Per=M","Days=T","Dir=V")</f>
        <v>0</v>
      </c>
      <c r="AY2">
        <f>BDH("PCYO US Equity","TURNOVER","1993-06-18","2026-05-02","Per=M","Days=T","Dir=V")</f>
        <v>0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 US Equity","BS_TOT_ASSET","1993-06-18","2026-05-02","Per=Y","Days=T","Dir=V")</f>
        <v>0</v>
      </c>
      <c r="C2">
        <f>BDH("PD US Equity","BS_TOT_LIAB2","1993-06-18","2026-05-02","Per=Y","Days=T","Dir=V")</f>
        <v>0</v>
      </c>
      <c r="E2">
        <f>BDH("PD US Equity","SHORT_AND_LONG_TERM_DEBT","1993-06-18","2026-05-02","Per=Y","Days=T","Dir=V")</f>
        <v>0</v>
      </c>
      <c r="G2">
        <f>BDH("PD US Equity","BS_ST_BORROW","1993-06-18","2026-05-02","Per=Y","Days=T","Dir=V")</f>
        <v>0</v>
      </c>
      <c r="I2">
        <f>BDH("PD US Equity","BS_LT_BORROW","1993-06-18","2026-05-02","Per=Y","Days=T","Dir=V")</f>
        <v>0</v>
      </c>
      <c r="K2">
        <f>BDH("PD US Equity","BS_CASH_NEAR_CASH_ITEM","1993-06-18","2026-05-02","Per=Y","Days=T","Dir=V")</f>
        <v>0</v>
      </c>
      <c r="M2">
        <f>BDH("PD US Equity","BS_CUR_ASSET_REPORT","1993-06-18","2026-05-02","Per=Y","Days=T","Dir=V")</f>
        <v>0</v>
      </c>
      <c r="O2">
        <f>BDH("PD US Equity","BS_CUR_LIAB","1993-06-18","2026-05-02","Per=Y","Days=T","Dir=V")</f>
        <v>0</v>
      </c>
      <c r="Q2">
        <f>BDH("PD US Equity","BS_SHAREHOLDER_EQY_ENDING_PERIOD","1993-06-18","2026-05-02","Per=Y","Days=T","Dir=V")</f>
        <v>0</v>
      </c>
      <c r="S2">
        <f>BDH("PD US Equity","BS_ACCT_NOTE_RCV","1993-06-18","2026-05-02","Per=Y","Days=T","Dir=V")</f>
        <v>0</v>
      </c>
      <c r="U2">
        <f>BDH("PD US Equity","BS_INVENTORIES","1993-06-18","2026-05-02","Per=Y","Days=T","Dir=V")</f>
        <v>0</v>
      </c>
      <c r="W2">
        <f>BDH("PD US Equity","WORKING_CAPITAL","1993-06-18","2026-05-02","Per=Y","Days=T","Dir=V")</f>
        <v>0</v>
      </c>
      <c r="Y2">
        <f>BDH("PD US Equity","SALES_REV_TURN","1993-06-18","2026-05-02","Per=Y","Days=T","Dir=V")</f>
        <v>0</v>
      </c>
      <c r="AA2">
        <f>BDH("PD US Equity","EBIT","1993-06-18","2026-05-02","Per=Y","Days=T","Dir=V")</f>
        <v>0</v>
      </c>
      <c r="AC2">
        <f>BDH("PD US Equity","EBITDA","1993-06-18","2026-05-02","Per=Y","Days=T","Dir=V")</f>
        <v>0</v>
      </c>
      <c r="AE2">
        <f>BDH("PD US Equity","NET_INCOME","1993-06-18","2026-05-02","Per=Y","Days=T","Dir=V")</f>
        <v>0</v>
      </c>
      <c r="AG2">
        <f>BDH("PD US Equity","IS_INT_EXPENSE","1993-06-18","2026-05-02","Per=Y","Days=T","Dir=V")</f>
        <v>0</v>
      </c>
      <c r="AI2">
        <f>BDH("PD US Equity","IS_DEPR_EXP","1993-06-18","2026-05-02","Per=Y","Days=T","Dir=V")</f>
        <v>0</v>
      </c>
      <c r="AK2">
        <f>BDH("PD US Equity","CF_CASH_FROM_OPER","1993-06-18","2026-05-02","Per=Y","Days=T","Dir=V")</f>
        <v>0</v>
      </c>
      <c r="AM2">
        <f>BDH("PD US Equity","CAPITAL_EXPEND","1993-06-18","2026-05-02","Per=Y","Days=T","Dir=V")</f>
        <v>0</v>
      </c>
      <c r="AO2">
        <f>BDH("PD US Equity","CF_FREE_CASH_FLOW","1993-06-18","2026-05-02","Per=Y","Days=T","Dir=V")</f>
        <v>0</v>
      </c>
      <c r="AQ2">
        <f>BDH("PD US Equity","PX_LAST","1993-06-18","2026-05-02","Per=M","Days=T","Dir=V")</f>
        <v>0</v>
      </c>
      <c r="AS2">
        <f>BDH("PD US Equity","CUR_MKT_CAP","1993-06-18","2026-05-02","Per=M","Days=T","Dir=V")</f>
        <v>0</v>
      </c>
      <c r="AU2">
        <f>BDH("PD US Equity","EQY_SH_OUT","1993-06-18","2026-05-02","Per=M","Days=T","Dir=V")</f>
        <v>0</v>
      </c>
      <c r="AW2">
        <f>BDH("PD US Equity","PX_VOLUME","1993-06-18","2026-05-02","Per=M","Days=T","Dir=V")</f>
        <v>0</v>
      </c>
      <c r="AY2">
        <f>BDH("PD US Equity","TURNOVER","1993-06-18","2026-05-02","Per=M","Days=T","Dir=V")</f>
        <v>0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BDH("PDEX US Equity","BS_TOT_ASSET","1993-06-18","2026-05-02","Per=Y","Days=T","Dir=V")</f>
        <v>0</v>
      </c>
      <c r="C2">
        <f>BDH("PDEX US Equity","BS_TOT_LIAB2","1993-06-18","2026-05-02","Per=Y","Days=T","Dir=V")</f>
        <v>0</v>
      </c>
      <c r="E2">
        <f>BDH("PDEX US Equity","SHORT_AND_LONG_TERM_DEBT","1993-06-18","2026-05-02","Per=Y","Days=T","Dir=V")</f>
        <v>0</v>
      </c>
      <c r="G2">
        <f>BDH("PDEX US Equity","BS_ST_BORROW","1993-06-18","2026-05-02","Per=Y","Days=T","Dir=V")</f>
        <v>0</v>
      </c>
      <c r="I2">
        <f>BDH("PDEX US Equity","BS_LT_BORROW","1993-06-18","2026-05-02","Per=Y","Days=T","Dir=V")</f>
        <v>0</v>
      </c>
      <c r="K2">
        <f>BDH("PDEX US Equity","BS_CASH_NEAR_CASH_ITEM","1993-06-18","2026-05-02","Per=Y","Days=T","Dir=V")</f>
        <v>0</v>
      </c>
      <c r="M2">
        <f>BDH("PDEX US Equity","BS_CUR_ASSET_REPORT","1993-06-18","2026-05-02","Per=Y","Days=T","Dir=V")</f>
        <v>0</v>
      </c>
      <c r="O2">
        <f>BDH("PDEX US Equity","BS_CUR_LIAB","1993-06-18","2026-05-02","Per=Y","Days=T","Dir=V")</f>
        <v>0</v>
      </c>
      <c r="Q2">
        <f>BDH("PDEX US Equity","BS_SHAREHOLDER_EQY_ENDING_PERIOD","1993-06-18","2026-05-02","Per=Y","Days=T","Dir=V")</f>
        <v>0</v>
      </c>
      <c r="S2">
        <f>BDH("PDEX US Equity","BS_ACCT_NOTE_RCV","1993-06-18","2026-05-02","Per=Y","Days=T","Dir=V")</f>
        <v>0</v>
      </c>
      <c r="U2">
        <f>BDH("PDEX US Equity","BS_INVENTORIES","1993-06-18","2026-05-02","Per=Y","Days=T","Dir=V")</f>
        <v>0</v>
      </c>
      <c r="W2">
        <f>BDH("PDEX US Equity","WORKING_CAPITAL","1993-06-18","2026-05-02","Per=Y","Days=T","Dir=V")</f>
        <v>0</v>
      </c>
      <c r="Y2">
        <f>BDH("PDEX US Equity","SALES_REV_TURN","1993-06-18","2026-05-02","Per=Y","Days=T","Dir=V")</f>
        <v>0</v>
      </c>
      <c r="AA2">
        <f>BDH("PDEX US Equity","EBIT","1993-06-18","2026-05-02","Per=Y","Days=T","Dir=V")</f>
        <v>0</v>
      </c>
      <c r="AC2">
        <f>BDH("PDEX US Equity","EBITDA","1993-06-18","2026-05-02","Per=Y","Days=T","Dir=V")</f>
        <v>0</v>
      </c>
      <c r="AE2">
        <f>BDH("PDEX US Equity","NET_INCOME","1993-06-18","2026-05-02","Per=Y","Days=T","Dir=V")</f>
        <v>0</v>
      </c>
      <c r="AG2">
        <f>BDH("PDEX US Equity","IS_INT_EXPENSE","1993-06-18","2026-05-02","Per=Y","Days=T","Dir=V")</f>
        <v>0</v>
      </c>
      <c r="AI2">
        <f>BDH("PDEX US Equity","IS_DEPR_EXP","1993-06-18","2026-05-02","Per=Y","Days=T","Dir=V")</f>
        <v>0</v>
      </c>
      <c r="AK2">
        <f>BDH("PDEX US Equity","CF_CASH_FROM_OPER","1993-06-18","2026-05-02","Per=Y","Days=T","Dir=V")</f>
        <v>0</v>
      </c>
      <c r="AM2">
        <f>BDH("PDEX US Equity","CAPITAL_EXPEND","1993-06-18","2026-05-02","Per=Y","Days=T","Dir=V")</f>
        <v>0</v>
      </c>
      <c r="AO2">
        <f>BDH("PDEX US Equity","CF_FREE_CASH_FLOW","1993-06-18","2026-05-02","Per=Y","Days=T","Dir=V")</f>
        <v>0</v>
      </c>
      <c r="AQ2">
        <f>BDH("PDEX US Equity","PX_LAST","1993-06-18","2026-05-02","Per=M","Days=T","Dir=V")</f>
        <v>0</v>
      </c>
      <c r="AS2">
        <f>BDH("PDEX US Equity","CUR_MKT_CAP","1993-06-18","2026-05-02","Per=M","Days=T","Dir=V")</f>
        <v>0</v>
      </c>
      <c r="AU2">
        <f>BDH("PDEX US Equity","EQY_SH_OUT","1993-06-18","2026-05-02","Per=M","Days=T","Dir=V")</f>
        <v>0</v>
      </c>
      <c r="AW2">
        <f>BDH("PDEX US Equity","PX_VOLUME","1993-06-18","2026-05-02","Per=M","Days=T","Dir=V")</f>
        <v>0</v>
      </c>
      <c r="AY2">
        <f>BDH("PDEX US Equity","TURNOVER","1993-06-18","2026-05-02","Per=M","Days=T","Dir=V")</f>
        <v>0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BDH("PDFS US Equity","BS_TOT_ASSET","1993-06-18","2026-05-02","Per=Y","Days=T","Dir=V")</f>
        <v>0</v>
      </c>
      <c r="C2">
        <f>BDH("PDFS US Equity","BS_TOT_LIAB2","1993-06-18","2026-05-02","Per=Y","Days=T","Dir=V")</f>
        <v>0</v>
      </c>
      <c r="E2">
        <f>BDH("PDFS US Equity","SHORT_AND_LONG_TERM_DEBT","1993-06-18","2026-05-02","Per=Y","Days=T","Dir=V")</f>
        <v>0</v>
      </c>
      <c r="G2">
        <f>BDH("PDFS US Equity","BS_ST_BORROW","1993-06-18","2026-05-02","Per=Y","Days=T","Dir=V")</f>
        <v>0</v>
      </c>
      <c r="I2">
        <f>BDH("PDFS US Equity","BS_LT_BORROW","1993-06-18","2026-05-02","Per=Y","Days=T","Dir=V")</f>
        <v>0</v>
      </c>
      <c r="K2">
        <f>BDH("PDFS US Equity","BS_CASH_NEAR_CASH_ITEM","1993-06-18","2026-05-02","Per=Y","Days=T","Dir=V")</f>
        <v>0</v>
      </c>
      <c r="M2">
        <f>BDH("PDFS US Equity","BS_CUR_ASSET_REPORT","1993-06-18","2026-05-02","Per=Y","Days=T","Dir=V")</f>
        <v>0</v>
      </c>
      <c r="O2">
        <f>BDH("PDFS US Equity","BS_CUR_LIAB","1993-06-18","2026-05-02","Per=Y","Days=T","Dir=V")</f>
        <v>0</v>
      </c>
      <c r="Q2">
        <f>BDH("PDFS US Equity","BS_SHAREHOLDER_EQY_ENDING_PERIOD","1993-06-18","2026-05-02","Per=Y","Days=T","Dir=V")</f>
        <v>0</v>
      </c>
      <c r="S2">
        <f>BDH("PDFS US Equity","BS_ACCT_NOTE_RCV","1993-06-18","2026-05-02","Per=Y","Days=T","Dir=V")</f>
        <v>0</v>
      </c>
      <c r="U2">
        <f>BDH("PDFS US Equity","BS_INVENTORIES","1993-06-18","2026-05-02","Per=Y","Days=T","Dir=V")</f>
        <v>0</v>
      </c>
      <c r="W2">
        <f>BDH("PDFS US Equity","WORKING_CAPITAL","1993-06-18","2026-05-02","Per=Y","Days=T","Dir=V")</f>
        <v>0</v>
      </c>
      <c r="Y2">
        <f>BDH("PDFS US Equity","SALES_REV_TURN","1993-06-18","2026-05-02","Per=Y","Days=T","Dir=V")</f>
        <v>0</v>
      </c>
      <c r="AA2">
        <f>BDH("PDFS US Equity","EBIT","1993-06-18","2026-05-02","Per=Y","Days=T","Dir=V")</f>
        <v>0</v>
      </c>
      <c r="AC2">
        <f>BDH("PDFS US Equity","EBITDA","1993-06-18","2026-05-02","Per=Y","Days=T","Dir=V")</f>
        <v>0</v>
      </c>
      <c r="AE2">
        <f>BDH("PDFS US Equity","NET_INCOME","1993-06-18","2026-05-02","Per=Y","Days=T","Dir=V")</f>
        <v>0</v>
      </c>
      <c r="AG2">
        <f>BDH("PDFS US Equity","IS_INT_EXPENSE","1993-06-18","2026-05-02","Per=Y","Days=T","Dir=V")</f>
        <v>0</v>
      </c>
      <c r="AI2">
        <f>BDH("PDFS US Equity","IS_DEPR_EXP","1993-06-18","2026-05-02","Per=Y","Days=T","Dir=V")</f>
        <v>0</v>
      </c>
      <c r="AK2">
        <f>BDH("PDFS US Equity","CF_CASH_FROM_OPER","1993-06-18","2026-05-02","Per=Y","Days=T","Dir=V")</f>
        <v>0</v>
      </c>
      <c r="AM2">
        <f>BDH("PDFS US Equity","CAPITAL_EXPEND","1993-06-18","2026-05-02","Per=Y","Days=T","Dir=V")</f>
        <v>0</v>
      </c>
      <c r="AO2">
        <f>BDH("PDFS US Equity","CF_FREE_CASH_FLOW","1993-06-18","2026-05-02","Per=Y","Days=T","Dir=V")</f>
        <v>0</v>
      </c>
      <c r="AQ2">
        <f>BDH("PDFS US Equity","PX_LAST","1993-06-18","2026-05-02","Per=M","Days=T","Dir=V")</f>
        <v>0</v>
      </c>
      <c r="AS2">
        <f>BDH("PDFS US Equity","CUR_MKT_CAP","1993-06-18","2026-05-02","Per=M","Days=T","Dir=V")</f>
        <v>0</v>
      </c>
      <c r="AU2">
        <f>BDH("PDFS US Equity","EQY_SH_OUT","1993-06-18","2026-05-02","Per=M","Days=T","Dir=V")</f>
        <v>0</v>
      </c>
      <c r="AW2">
        <f>BDH("PDFS US Equity","PX_VOLUME","1993-06-18","2026-05-02","Per=M","Days=T","Dir=V")</f>
        <v>0</v>
      </c>
      <c r="AY2">
        <f>BDH("PDFS US Equity","TURNOVER","1993-06-18","2026-05-02","Per=M","Days=T","Dir=V")</f>
        <v>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BDH("PDSB US Equity","BS_TOT_ASSET","1993-06-18","2026-05-02","Per=Y","Days=T","Dir=V")</f>
        <v>0</v>
      </c>
      <c r="C2">
        <f>BDH("PDSB US Equity","BS_TOT_LIAB2","1993-06-18","2026-05-02","Per=Y","Days=T","Dir=V")</f>
        <v>0</v>
      </c>
      <c r="E2">
        <f>BDH("PDSB US Equity","SHORT_AND_LONG_TERM_DEBT","1993-06-18","2026-05-02","Per=Y","Days=T","Dir=V")</f>
        <v>0</v>
      </c>
      <c r="G2">
        <f>BDH("PDSB US Equity","BS_ST_BORROW","1993-06-18","2026-05-02","Per=Y","Days=T","Dir=V")</f>
        <v>0</v>
      </c>
      <c r="I2">
        <f>BDH("PDSB US Equity","BS_LT_BORROW","1993-06-18","2026-05-02","Per=Y","Days=T","Dir=V")</f>
        <v>0</v>
      </c>
      <c r="K2">
        <f>BDH("PDSB US Equity","BS_CASH_NEAR_CASH_ITEM","1993-06-18","2026-05-02","Per=Y","Days=T","Dir=V")</f>
        <v>0</v>
      </c>
      <c r="M2">
        <f>BDH("PDSB US Equity","BS_CUR_ASSET_REPORT","1993-06-18","2026-05-02","Per=Y","Days=T","Dir=V")</f>
        <v>0</v>
      </c>
      <c r="O2">
        <f>BDH("PDSB US Equity","BS_CUR_LIAB","1993-06-18","2026-05-02","Per=Y","Days=T","Dir=V")</f>
        <v>0</v>
      </c>
      <c r="Q2">
        <f>BDH("PDSB US Equity","BS_SHAREHOLDER_EQY_ENDING_PERIOD","1993-06-18","2026-05-02","Per=Y","Days=T","Dir=V")</f>
        <v>0</v>
      </c>
      <c r="S2">
        <f>BDH("PDSB US Equity","BS_ACCT_NOTE_RCV","1993-06-18","2026-05-02","Per=Y","Days=T","Dir=V")</f>
        <v>0</v>
      </c>
      <c r="U2">
        <f>BDH("PDSB US Equity","BS_INVENTORIES","1993-06-18","2026-05-02","Per=Y","Days=T","Dir=V")</f>
        <v>0</v>
      </c>
      <c r="W2">
        <f>BDH("PDSB US Equity","WORKING_CAPITAL","1993-06-18","2026-05-02","Per=Y","Days=T","Dir=V")</f>
        <v>0</v>
      </c>
      <c r="Y2">
        <f>BDH("PDSB US Equity","SALES_REV_TURN","1993-06-18","2026-05-02","Per=Y","Days=T","Dir=V")</f>
        <v>0</v>
      </c>
      <c r="AA2">
        <f>BDH("PDSB US Equity","EBIT","1993-06-18","2026-05-02","Per=Y","Days=T","Dir=V")</f>
        <v>0</v>
      </c>
      <c r="AC2">
        <f>BDH("PDSB US Equity","EBITDA","1993-06-18","2026-05-02","Per=Y","Days=T","Dir=V")</f>
        <v>0</v>
      </c>
      <c r="AE2">
        <f>BDH("PDSB US Equity","NET_INCOME","1993-06-18","2026-05-02","Per=Y","Days=T","Dir=V")</f>
        <v>0</v>
      </c>
      <c r="AG2">
        <f>BDH("PDSB US Equity","IS_INT_EXPENSE","1993-06-18","2026-05-02","Per=Y","Days=T","Dir=V")</f>
        <v>0</v>
      </c>
      <c r="AI2">
        <f>BDH("PDSB US Equity","IS_DEPR_EXP","1993-06-18","2026-05-02","Per=Y","Days=T","Dir=V")</f>
        <v>0</v>
      </c>
      <c r="AK2">
        <f>BDH("PDSB US Equity","CF_CASH_FROM_OPER","1993-06-18","2026-05-02","Per=Y","Days=T","Dir=V")</f>
        <v>0</v>
      </c>
      <c r="AM2">
        <f>BDH("PDSB US Equity","CAPITAL_EXPEND","1993-06-18","2026-05-02","Per=Y","Days=T","Dir=V")</f>
        <v>0</v>
      </c>
      <c r="AO2">
        <f>BDH("PDSB US Equity","CF_FREE_CASH_FLOW","1993-06-18","2026-05-02","Per=Y","Days=T","Dir=V")</f>
        <v>0</v>
      </c>
      <c r="AQ2">
        <f>BDH("PDSB US Equity","PX_LAST","1993-06-18","2026-05-02","Per=M","Days=T","Dir=V")</f>
        <v>0</v>
      </c>
      <c r="AS2">
        <f>BDH("PDSB US Equity","CUR_MKT_CAP","1993-06-18","2026-05-02","Per=M","Days=T","Dir=V")</f>
        <v>0</v>
      </c>
      <c r="AU2">
        <f>BDH("PDSB US Equity","EQY_SH_OUT","1993-06-18","2026-05-02","Per=M","Days=T","Dir=V")</f>
        <v>0</v>
      </c>
      <c r="AW2">
        <f>BDH("PDSB US Equity","PX_VOLUME","1993-06-18","2026-05-02","Per=M","Days=T","Dir=V")</f>
        <v>0</v>
      </c>
      <c r="AY2">
        <f>BDH("PDSB US Equity","TURNOVER","1993-06-18","2026-05-02","Per=M","Days=T","Dir=V")</f>
        <v>0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BDH("PDYN US Equity","BS_TOT_ASSET","1993-06-18","2026-05-02","Per=Y","Days=T","Dir=V")</f>
        <v>0</v>
      </c>
      <c r="C2">
        <f>BDH("PDYN US Equity","BS_TOT_LIAB2","1993-06-18","2026-05-02","Per=Y","Days=T","Dir=V")</f>
        <v>0</v>
      </c>
      <c r="E2">
        <f>BDH("PDYN US Equity","SHORT_AND_LONG_TERM_DEBT","1993-06-18","2026-05-02","Per=Y","Days=T","Dir=V")</f>
        <v>0</v>
      </c>
      <c r="G2">
        <f>BDH("PDYN US Equity","BS_ST_BORROW","1993-06-18","2026-05-02","Per=Y","Days=T","Dir=V")</f>
        <v>0</v>
      </c>
      <c r="I2">
        <f>BDH("PDYN US Equity","BS_LT_BORROW","1993-06-18","2026-05-02","Per=Y","Days=T","Dir=V")</f>
        <v>0</v>
      </c>
      <c r="K2">
        <f>BDH("PDYN US Equity","BS_CASH_NEAR_CASH_ITEM","1993-06-18","2026-05-02","Per=Y","Days=T","Dir=V")</f>
        <v>0</v>
      </c>
      <c r="M2">
        <f>BDH("PDYN US Equity","BS_CUR_ASSET_REPORT","1993-06-18","2026-05-02","Per=Y","Days=T","Dir=V")</f>
        <v>0</v>
      </c>
      <c r="O2">
        <f>BDH("PDYN US Equity","BS_CUR_LIAB","1993-06-18","2026-05-02","Per=Y","Days=T","Dir=V")</f>
        <v>0</v>
      </c>
      <c r="Q2">
        <f>BDH("PDYN US Equity","BS_SHAREHOLDER_EQY_ENDING_PERIOD","1993-06-18","2026-05-02","Per=Y","Days=T","Dir=V")</f>
        <v>0</v>
      </c>
      <c r="S2">
        <f>BDH("PDYN US Equity","BS_ACCT_NOTE_RCV","1993-06-18","2026-05-02","Per=Y","Days=T","Dir=V")</f>
        <v>0</v>
      </c>
      <c r="U2">
        <f>BDH("PDYN US Equity","BS_INVENTORIES","1993-06-18","2026-05-02","Per=Y","Days=T","Dir=V")</f>
        <v>0</v>
      </c>
      <c r="W2">
        <f>BDH("PDYN US Equity","WORKING_CAPITAL","1993-06-18","2026-05-02","Per=Y","Days=T","Dir=V")</f>
        <v>0</v>
      </c>
      <c r="Y2">
        <f>BDH("PDYN US Equity","SALES_REV_TURN","1993-06-18","2026-05-02","Per=Y","Days=T","Dir=V")</f>
        <v>0</v>
      </c>
      <c r="AA2">
        <f>BDH("PDYN US Equity","EBIT","1993-06-18","2026-05-02","Per=Y","Days=T","Dir=V")</f>
        <v>0</v>
      </c>
      <c r="AC2">
        <f>BDH("PDYN US Equity","EBITDA","1993-06-18","2026-05-02","Per=Y","Days=T","Dir=V")</f>
        <v>0</v>
      </c>
      <c r="AE2">
        <f>BDH("PDYN US Equity","NET_INCOME","1993-06-18","2026-05-02","Per=Y","Days=T","Dir=V")</f>
        <v>0</v>
      </c>
      <c r="AG2">
        <f>BDH("PDYN US Equity","IS_INT_EXPENSE","1993-06-18","2026-05-02","Per=Y","Days=T","Dir=V")</f>
        <v>0</v>
      </c>
      <c r="AI2">
        <f>BDH("PDYN US Equity","IS_DEPR_EXP","1993-06-18","2026-05-02","Per=Y","Days=T","Dir=V")</f>
        <v>0</v>
      </c>
      <c r="AK2">
        <f>BDH("PDYN US Equity","CF_CASH_FROM_OPER","1993-06-18","2026-05-02","Per=Y","Days=T","Dir=V")</f>
        <v>0</v>
      </c>
      <c r="AM2">
        <f>BDH("PDYN US Equity","CAPITAL_EXPEND","1993-06-18","2026-05-02","Per=Y","Days=T","Dir=V")</f>
        <v>0</v>
      </c>
      <c r="AO2">
        <f>BDH("PDYN US Equity","CF_FREE_CASH_FLOW","1993-06-18","2026-05-02","Per=Y","Days=T","Dir=V")</f>
        <v>0</v>
      </c>
      <c r="AQ2">
        <f>BDH("PDYN US Equity","PX_LAST","1993-06-18","2026-05-02","Per=M","Days=T","Dir=V")</f>
        <v>0</v>
      </c>
      <c r="AS2">
        <f>BDH("PDYN US Equity","CUR_MKT_CAP","1993-06-18","2026-05-02","Per=M","Days=T","Dir=V")</f>
        <v>0</v>
      </c>
      <c r="AU2">
        <f>BDH("PDYN US Equity","EQY_SH_OUT","1993-06-18","2026-05-02","Per=M","Days=T","Dir=V")</f>
        <v>0</v>
      </c>
      <c r="AW2">
        <f>BDH("PDYN US Equity","PX_VOLUME","1993-06-18","2026-05-02","Per=M","Days=T","Dir=V")</f>
        <v>0</v>
      </c>
      <c r="AY2">
        <f>BDH("PDYN US Equity","TURNOVER","1993-06-18","2026-05-02","Per=M","Days=T","Dir=V")</f>
        <v>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BDH("PDYNW US Equity","BS_TOT_ASSET","1993-06-18","2026-05-02","Per=Y","Days=T","Dir=V")</f>
        <v>0</v>
      </c>
      <c r="C2">
        <f>BDH("PDYNW US Equity","BS_TOT_LIAB2","1993-06-18","2026-05-02","Per=Y","Days=T","Dir=V")</f>
        <v>0</v>
      </c>
      <c r="E2">
        <f>BDH("PDYNW US Equity","SHORT_AND_LONG_TERM_DEBT","1993-06-18","2026-05-02","Per=Y","Days=T","Dir=V")</f>
        <v>0</v>
      </c>
      <c r="G2">
        <f>BDH("PDYNW US Equity","BS_ST_BORROW","1993-06-18","2026-05-02","Per=Y","Days=T","Dir=V")</f>
        <v>0</v>
      </c>
      <c r="I2">
        <f>BDH("PDYNW US Equity","BS_LT_BORROW","1993-06-18","2026-05-02","Per=Y","Days=T","Dir=V")</f>
        <v>0</v>
      </c>
      <c r="K2">
        <f>BDH("PDYNW US Equity","BS_CASH_NEAR_CASH_ITEM","1993-06-18","2026-05-02","Per=Y","Days=T","Dir=V")</f>
        <v>0</v>
      </c>
      <c r="M2">
        <f>BDH("PDYNW US Equity","BS_CUR_ASSET_REPORT","1993-06-18","2026-05-02","Per=Y","Days=T","Dir=V")</f>
        <v>0</v>
      </c>
      <c r="O2">
        <f>BDH("PDYNW US Equity","BS_CUR_LIAB","1993-06-18","2026-05-02","Per=Y","Days=T","Dir=V")</f>
        <v>0</v>
      </c>
      <c r="Q2">
        <f>BDH("PDYNW US Equity","BS_SHAREHOLDER_EQY_ENDING_PERIOD","1993-06-18","2026-05-02","Per=Y","Days=T","Dir=V")</f>
        <v>0</v>
      </c>
      <c r="S2">
        <f>BDH("PDYNW US Equity","BS_ACCT_NOTE_RCV","1993-06-18","2026-05-02","Per=Y","Days=T","Dir=V")</f>
        <v>0</v>
      </c>
      <c r="U2">
        <f>BDH("PDYNW US Equity","BS_INVENTORIES","1993-06-18","2026-05-02","Per=Y","Days=T","Dir=V")</f>
        <v>0</v>
      </c>
      <c r="W2">
        <f>BDH("PDYNW US Equity","WORKING_CAPITAL","1993-06-18","2026-05-02","Per=Y","Days=T","Dir=V")</f>
        <v>0</v>
      </c>
      <c r="Y2">
        <f>BDH("PDYNW US Equity","SALES_REV_TURN","1993-06-18","2026-05-02","Per=Y","Days=T","Dir=V")</f>
        <v>0</v>
      </c>
      <c r="AA2">
        <f>BDH("PDYNW US Equity","EBIT","1993-06-18","2026-05-02","Per=Y","Days=T","Dir=V")</f>
        <v>0</v>
      </c>
      <c r="AC2">
        <f>BDH("PDYNW US Equity","EBITDA","1993-06-18","2026-05-02","Per=Y","Days=T","Dir=V")</f>
        <v>0</v>
      </c>
      <c r="AE2">
        <f>BDH("PDYNW US Equity","NET_INCOME","1993-06-18","2026-05-02","Per=Y","Days=T","Dir=V")</f>
        <v>0</v>
      </c>
      <c r="AG2">
        <f>BDH("PDYNW US Equity","IS_INT_EXPENSE","1993-06-18","2026-05-02","Per=Y","Days=T","Dir=V")</f>
        <v>0</v>
      </c>
      <c r="AI2">
        <f>BDH("PDYNW US Equity","IS_DEPR_EXP","1993-06-18","2026-05-02","Per=Y","Days=T","Dir=V")</f>
        <v>0</v>
      </c>
      <c r="AK2">
        <f>BDH("PDYNW US Equity","CF_CASH_FROM_OPER","1993-06-18","2026-05-02","Per=Y","Days=T","Dir=V")</f>
        <v>0</v>
      </c>
      <c r="AM2">
        <f>BDH("PDYNW US Equity","CAPITAL_EXPEND","1993-06-18","2026-05-02","Per=Y","Days=T","Dir=V")</f>
        <v>0</v>
      </c>
      <c r="AO2">
        <f>BDH("PDYNW US Equity","CF_FREE_CASH_FLOW","1993-06-18","2026-05-02","Per=Y","Days=T","Dir=V")</f>
        <v>0</v>
      </c>
      <c r="AQ2">
        <f>BDH("PDYNW US Equity","PX_LAST","1993-06-18","2026-05-02","Per=M","Days=T","Dir=V")</f>
        <v>0</v>
      </c>
      <c r="AS2">
        <f>BDH("PDYNW US Equity","CUR_MKT_CAP","1993-06-18","2026-05-02","Per=M","Days=T","Dir=V")</f>
        <v>0</v>
      </c>
      <c r="AU2">
        <f>BDH("PDYNW US Equity","EQY_SH_OUT","1993-06-18","2026-05-02","Per=M","Days=T","Dir=V")</f>
        <v>0</v>
      </c>
      <c r="AW2">
        <f>BDH("PDYNW US Equity","PX_VOLUME","1993-06-18","2026-05-02","Per=M","Days=T","Dir=V")</f>
        <v>0</v>
      </c>
      <c r="AY2">
        <f>BDH("PDYNW US Equity","TURNOVER","1993-06-18","2026-05-02","Per=M","Days=T","Dir=V")</f>
        <v>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BDH("PED US Equity","BS_TOT_ASSET","1993-06-18","2026-05-02","Per=Y","Days=T","Dir=V")</f>
        <v>0</v>
      </c>
      <c r="C2">
        <f>BDH("PED US Equity","BS_TOT_LIAB2","1993-06-18","2026-05-02","Per=Y","Days=T","Dir=V")</f>
        <v>0</v>
      </c>
      <c r="E2">
        <f>BDH("PED US Equity","SHORT_AND_LONG_TERM_DEBT","1993-06-18","2026-05-02","Per=Y","Days=T","Dir=V")</f>
        <v>0</v>
      </c>
      <c r="G2">
        <f>BDH("PED US Equity","BS_ST_BORROW","1993-06-18","2026-05-02","Per=Y","Days=T","Dir=V")</f>
        <v>0</v>
      </c>
      <c r="I2">
        <f>BDH("PED US Equity","BS_LT_BORROW","1993-06-18","2026-05-02","Per=Y","Days=T","Dir=V")</f>
        <v>0</v>
      </c>
      <c r="K2">
        <f>BDH("PED US Equity","BS_CASH_NEAR_CASH_ITEM","1993-06-18","2026-05-02","Per=Y","Days=T","Dir=V")</f>
        <v>0</v>
      </c>
      <c r="M2">
        <f>BDH("PED US Equity","BS_CUR_ASSET_REPORT","1993-06-18","2026-05-02","Per=Y","Days=T","Dir=V")</f>
        <v>0</v>
      </c>
      <c r="O2">
        <f>BDH("PED US Equity","BS_CUR_LIAB","1993-06-18","2026-05-02","Per=Y","Days=T","Dir=V")</f>
        <v>0</v>
      </c>
      <c r="Q2">
        <f>BDH("PED US Equity","BS_SHAREHOLDER_EQY_ENDING_PERIOD","1993-06-18","2026-05-02","Per=Y","Days=T","Dir=V")</f>
        <v>0</v>
      </c>
      <c r="S2">
        <f>BDH("PED US Equity","BS_ACCT_NOTE_RCV","1993-06-18","2026-05-02","Per=Y","Days=T","Dir=V")</f>
        <v>0</v>
      </c>
      <c r="U2">
        <f>BDH("PED US Equity","BS_INVENTORIES","1993-06-18","2026-05-02","Per=Y","Days=T","Dir=V")</f>
        <v>0</v>
      </c>
      <c r="W2">
        <f>BDH("PED US Equity","WORKING_CAPITAL","1993-06-18","2026-05-02","Per=Y","Days=T","Dir=V")</f>
        <v>0</v>
      </c>
      <c r="Y2">
        <f>BDH("PED US Equity","SALES_REV_TURN","1993-06-18","2026-05-02","Per=Y","Days=T","Dir=V")</f>
        <v>0</v>
      </c>
      <c r="AA2">
        <f>BDH("PED US Equity","EBIT","1993-06-18","2026-05-02","Per=Y","Days=T","Dir=V")</f>
        <v>0</v>
      </c>
      <c r="AC2">
        <f>BDH("PED US Equity","EBITDA","1993-06-18","2026-05-02","Per=Y","Days=T","Dir=V")</f>
        <v>0</v>
      </c>
      <c r="AE2">
        <f>BDH("PED US Equity","NET_INCOME","1993-06-18","2026-05-02","Per=Y","Days=T","Dir=V")</f>
        <v>0</v>
      </c>
      <c r="AG2">
        <f>BDH("PED US Equity","IS_INT_EXPENSE","1993-06-18","2026-05-02","Per=Y","Days=T","Dir=V")</f>
        <v>0</v>
      </c>
      <c r="AI2">
        <f>BDH("PED US Equity","IS_DEPR_EXP","1993-06-18","2026-05-02","Per=Y","Days=T","Dir=V")</f>
        <v>0</v>
      </c>
      <c r="AK2">
        <f>BDH("PED US Equity","CF_CASH_FROM_OPER","1993-06-18","2026-05-02","Per=Y","Days=T","Dir=V")</f>
        <v>0</v>
      </c>
      <c r="AM2">
        <f>BDH("PED US Equity","CAPITAL_EXPEND","1993-06-18","2026-05-02","Per=Y","Days=T","Dir=V")</f>
        <v>0</v>
      </c>
      <c r="AO2">
        <f>BDH("PED US Equity","CF_FREE_CASH_FLOW","1993-06-18","2026-05-02","Per=Y","Days=T","Dir=V")</f>
        <v>0</v>
      </c>
      <c r="AQ2">
        <f>BDH("PED US Equity","PX_LAST","1993-06-18","2026-05-02","Per=M","Days=T","Dir=V")</f>
        <v>0</v>
      </c>
      <c r="AS2">
        <f>BDH("PED US Equity","CUR_MKT_CAP","1993-06-18","2026-05-02","Per=M","Days=T","Dir=V")</f>
        <v>0</v>
      </c>
      <c r="AU2">
        <f>BDH("PED US Equity","EQY_SH_OUT","1993-06-18","2026-05-02","Per=M","Days=T","Dir=V")</f>
        <v>0</v>
      </c>
      <c r="AW2">
        <f>BDH("PED US Equity","PX_VOLUME","1993-06-18","2026-05-02","Per=M","Days=T","Dir=V")</f>
        <v>0</v>
      </c>
      <c r="AY2">
        <f>BDH("PED US Equity","TURNOVER","1993-06-18","2026-05-02","Per=M","Days=T","Dir=V")</f>
        <v>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BDH("PEG US Equity","BS_TOT_ASSET","1993-06-18","2026-05-02","Per=Y","Days=T","Dir=V")</f>
        <v>0</v>
      </c>
      <c r="C2">
        <f>BDH("PEG US Equity","BS_TOT_LIAB2","1993-06-18","2026-05-02","Per=Y","Days=T","Dir=V")</f>
        <v>0</v>
      </c>
      <c r="E2">
        <f>BDH("PEG US Equity","SHORT_AND_LONG_TERM_DEBT","1993-06-18","2026-05-02","Per=Y","Days=T","Dir=V")</f>
        <v>0</v>
      </c>
      <c r="G2">
        <f>BDH("PEG US Equity","BS_ST_BORROW","1993-06-18","2026-05-02","Per=Y","Days=T","Dir=V")</f>
        <v>0</v>
      </c>
      <c r="I2">
        <f>BDH("PEG US Equity","BS_LT_BORROW","1993-06-18","2026-05-02","Per=Y","Days=T","Dir=V")</f>
        <v>0</v>
      </c>
      <c r="K2">
        <f>BDH("PEG US Equity","BS_CASH_NEAR_CASH_ITEM","1993-06-18","2026-05-02","Per=Y","Days=T","Dir=V")</f>
        <v>0</v>
      </c>
      <c r="M2">
        <f>BDH("PEG US Equity","BS_CUR_ASSET_REPORT","1993-06-18","2026-05-02","Per=Y","Days=T","Dir=V")</f>
        <v>0</v>
      </c>
      <c r="O2">
        <f>BDH("PEG US Equity","BS_CUR_LIAB","1993-06-18","2026-05-02","Per=Y","Days=T","Dir=V")</f>
        <v>0</v>
      </c>
      <c r="Q2">
        <f>BDH("PEG US Equity","BS_SHAREHOLDER_EQY_ENDING_PERIOD","1993-06-18","2026-05-02","Per=Y","Days=T","Dir=V")</f>
        <v>0</v>
      </c>
      <c r="S2">
        <f>BDH("PEG US Equity","BS_ACCT_NOTE_RCV","1993-06-18","2026-05-02","Per=Y","Days=T","Dir=V")</f>
        <v>0</v>
      </c>
      <c r="U2">
        <f>BDH("PEG US Equity","BS_INVENTORIES","1993-06-18","2026-05-02","Per=Y","Days=T","Dir=V")</f>
        <v>0</v>
      </c>
      <c r="W2">
        <f>BDH("PEG US Equity","WORKING_CAPITAL","1993-06-18","2026-05-02","Per=Y","Days=T","Dir=V")</f>
        <v>0</v>
      </c>
      <c r="Y2">
        <f>BDH("PEG US Equity","SALES_REV_TURN","1993-06-18","2026-05-02","Per=Y","Days=T","Dir=V")</f>
        <v>0</v>
      </c>
      <c r="AA2">
        <f>BDH("PEG US Equity","EBIT","1993-06-18","2026-05-02","Per=Y","Days=T","Dir=V")</f>
        <v>0</v>
      </c>
      <c r="AC2">
        <f>BDH("PEG US Equity","EBITDA","1993-06-18","2026-05-02","Per=Y","Days=T","Dir=V")</f>
        <v>0</v>
      </c>
      <c r="AE2">
        <f>BDH("PEG US Equity","NET_INCOME","1993-06-18","2026-05-02","Per=Y","Days=T","Dir=V")</f>
        <v>0</v>
      </c>
      <c r="AG2">
        <f>BDH("PEG US Equity","IS_INT_EXPENSE","1993-06-18","2026-05-02","Per=Y","Days=T","Dir=V")</f>
        <v>0</v>
      </c>
      <c r="AI2">
        <f>BDH("PEG US Equity","IS_DEPR_EXP","1993-06-18","2026-05-02","Per=Y","Days=T","Dir=V")</f>
        <v>0</v>
      </c>
      <c r="AK2">
        <f>BDH("PEG US Equity","CF_CASH_FROM_OPER","1993-06-18","2026-05-02","Per=Y","Days=T","Dir=V")</f>
        <v>0</v>
      </c>
      <c r="AM2">
        <f>BDH("PEG US Equity","CAPITAL_EXPEND","1993-06-18","2026-05-02","Per=Y","Days=T","Dir=V")</f>
        <v>0</v>
      </c>
      <c r="AO2">
        <f>BDH("PEG US Equity","CF_FREE_CASH_FLOW","1993-06-18","2026-05-02","Per=Y","Days=T","Dir=V")</f>
        <v>0</v>
      </c>
      <c r="AQ2">
        <f>BDH("PEG US Equity","PX_LAST","1993-06-18","2026-05-02","Per=M","Days=T","Dir=V")</f>
        <v>0</v>
      </c>
      <c r="AS2">
        <f>BDH("PEG US Equity","CUR_MKT_CAP","1993-06-18","2026-05-02","Per=M","Days=T","Dir=V")</f>
        <v>0</v>
      </c>
      <c r="AU2">
        <f>BDH("PEG US Equity","EQY_SH_OUT","1993-06-18","2026-05-02","Per=M","Days=T","Dir=V")</f>
        <v>0</v>
      </c>
      <c r="AW2">
        <f>BDH("PEG US Equity","PX_VOLUME","1993-06-18","2026-05-02","Per=M","Days=T","Dir=V")</f>
        <v>0</v>
      </c>
      <c r="AY2">
        <f>BDH("PEG US Equity","TURNOVER","1993-06-18","2026-05-02","Per=M","Days=T","Dir=V")</f>
        <v>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BDH("PEGA US Equity","BS_TOT_ASSET","1993-06-18","2026-05-02","Per=Y","Days=T","Dir=V")</f>
        <v>0</v>
      </c>
      <c r="C2">
        <f>BDH("PEGA US Equity","BS_TOT_LIAB2","1993-06-18","2026-05-02","Per=Y","Days=T","Dir=V")</f>
        <v>0</v>
      </c>
      <c r="E2">
        <f>BDH("PEGA US Equity","SHORT_AND_LONG_TERM_DEBT","1993-06-18","2026-05-02","Per=Y","Days=T","Dir=V")</f>
        <v>0</v>
      </c>
      <c r="G2">
        <f>BDH("PEGA US Equity","BS_ST_BORROW","1993-06-18","2026-05-02","Per=Y","Days=T","Dir=V")</f>
        <v>0</v>
      </c>
      <c r="I2">
        <f>BDH("PEGA US Equity","BS_LT_BORROW","1993-06-18","2026-05-02","Per=Y","Days=T","Dir=V")</f>
        <v>0</v>
      </c>
      <c r="K2">
        <f>BDH("PEGA US Equity","BS_CASH_NEAR_CASH_ITEM","1993-06-18","2026-05-02","Per=Y","Days=T","Dir=V")</f>
        <v>0</v>
      </c>
      <c r="M2">
        <f>BDH("PEGA US Equity","BS_CUR_ASSET_REPORT","1993-06-18","2026-05-02","Per=Y","Days=T","Dir=V")</f>
        <v>0</v>
      </c>
      <c r="O2">
        <f>BDH("PEGA US Equity","BS_CUR_LIAB","1993-06-18","2026-05-02","Per=Y","Days=T","Dir=V")</f>
        <v>0</v>
      </c>
      <c r="Q2">
        <f>BDH("PEGA US Equity","BS_SHAREHOLDER_EQY_ENDING_PERIOD","1993-06-18","2026-05-02","Per=Y","Days=T","Dir=V")</f>
        <v>0</v>
      </c>
      <c r="S2">
        <f>BDH("PEGA US Equity","BS_ACCT_NOTE_RCV","1993-06-18","2026-05-02","Per=Y","Days=T","Dir=V")</f>
        <v>0</v>
      </c>
      <c r="U2">
        <f>BDH("PEGA US Equity","BS_INVENTORIES","1993-06-18","2026-05-02","Per=Y","Days=T","Dir=V")</f>
        <v>0</v>
      </c>
      <c r="W2">
        <f>BDH("PEGA US Equity","WORKING_CAPITAL","1993-06-18","2026-05-02","Per=Y","Days=T","Dir=V")</f>
        <v>0</v>
      </c>
      <c r="Y2">
        <f>BDH("PEGA US Equity","SALES_REV_TURN","1993-06-18","2026-05-02","Per=Y","Days=T","Dir=V")</f>
        <v>0</v>
      </c>
      <c r="AA2">
        <f>BDH("PEGA US Equity","EBIT","1993-06-18","2026-05-02","Per=Y","Days=T","Dir=V")</f>
        <v>0</v>
      </c>
      <c r="AC2">
        <f>BDH("PEGA US Equity","EBITDA","1993-06-18","2026-05-02","Per=Y","Days=T","Dir=V")</f>
        <v>0</v>
      </c>
      <c r="AE2">
        <f>BDH("PEGA US Equity","NET_INCOME","1993-06-18","2026-05-02","Per=Y","Days=T","Dir=V")</f>
        <v>0</v>
      </c>
      <c r="AG2">
        <f>BDH("PEGA US Equity","IS_INT_EXPENSE","1993-06-18","2026-05-02","Per=Y","Days=T","Dir=V")</f>
        <v>0</v>
      </c>
      <c r="AI2">
        <f>BDH("PEGA US Equity","IS_DEPR_EXP","1993-06-18","2026-05-02","Per=Y","Days=T","Dir=V")</f>
        <v>0</v>
      </c>
      <c r="AK2">
        <f>BDH("PEGA US Equity","CF_CASH_FROM_OPER","1993-06-18","2026-05-02","Per=Y","Days=T","Dir=V")</f>
        <v>0</v>
      </c>
      <c r="AM2">
        <f>BDH("PEGA US Equity","CAPITAL_EXPEND","1993-06-18","2026-05-02","Per=Y","Days=T","Dir=V")</f>
        <v>0</v>
      </c>
      <c r="AO2">
        <f>BDH("PEGA US Equity","CF_FREE_CASH_FLOW","1993-06-18","2026-05-02","Per=Y","Days=T","Dir=V")</f>
        <v>0</v>
      </c>
      <c r="AQ2">
        <f>BDH("PEGA US Equity","PX_LAST","1993-06-18","2026-05-02","Per=M","Days=T","Dir=V")</f>
        <v>0</v>
      </c>
      <c r="AS2">
        <f>BDH("PEGA US Equity","CUR_MKT_CAP","1993-06-18","2026-05-02","Per=M","Days=T","Dir=V")</f>
        <v>0</v>
      </c>
      <c r="AU2">
        <f>BDH("PEGA US Equity","EQY_SH_OUT","1993-06-18","2026-05-02","Per=M","Days=T","Dir=V")</f>
        <v>0</v>
      </c>
      <c r="AW2">
        <f>BDH("PEGA US Equity","PX_VOLUME","1993-06-18","2026-05-02","Per=M","Days=T","Dir=V")</f>
        <v>0</v>
      </c>
      <c r="AY2">
        <f>BDH("PEGA US Equity","TURNOVER","1993-06-18","2026-05-02","Per=M","Days=T","Dir=V")</f>
        <v>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BDH("PEN US Equity","BS_TOT_ASSET","1993-06-18","2026-05-02","Per=Y","Days=T","Dir=V")</f>
        <v>0</v>
      </c>
      <c r="C2">
        <f>BDH("PEN US Equity","BS_TOT_LIAB2","1993-06-18","2026-05-02","Per=Y","Days=T","Dir=V")</f>
        <v>0</v>
      </c>
      <c r="E2">
        <f>BDH("PEN US Equity","SHORT_AND_LONG_TERM_DEBT","1993-06-18","2026-05-02","Per=Y","Days=T","Dir=V")</f>
        <v>0</v>
      </c>
      <c r="G2">
        <f>BDH("PEN US Equity","BS_ST_BORROW","1993-06-18","2026-05-02","Per=Y","Days=T","Dir=V")</f>
        <v>0</v>
      </c>
      <c r="I2">
        <f>BDH("PEN US Equity","BS_LT_BORROW","1993-06-18","2026-05-02","Per=Y","Days=T","Dir=V")</f>
        <v>0</v>
      </c>
      <c r="K2">
        <f>BDH("PEN US Equity","BS_CASH_NEAR_CASH_ITEM","1993-06-18","2026-05-02","Per=Y","Days=T","Dir=V")</f>
        <v>0</v>
      </c>
      <c r="M2">
        <f>BDH("PEN US Equity","BS_CUR_ASSET_REPORT","1993-06-18","2026-05-02","Per=Y","Days=T","Dir=V")</f>
        <v>0</v>
      </c>
      <c r="O2">
        <f>BDH("PEN US Equity","BS_CUR_LIAB","1993-06-18","2026-05-02","Per=Y","Days=T","Dir=V")</f>
        <v>0</v>
      </c>
      <c r="Q2">
        <f>BDH("PEN US Equity","BS_SHAREHOLDER_EQY_ENDING_PERIOD","1993-06-18","2026-05-02","Per=Y","Days=T","Dir=V")</f>
        <v>0</v>
      </c>
      <c r="S2">
        <f>BDH("PEN US Equity","BS_ACCT_NOTE_RCV","1993-06-18","2026-05-02","Per=Y","Days=T","Dir=V")</f>
        <v>0</v>
      </c>
      <c r="U2">
        <f>BDH("PEN US Equity","BS_INVENTORIES","1993-06-18","2026-05-02","Per=Y","Days=T","Dir=V")</f>
        <v>0</v>
      </c>
      <c r="W2">
        <f>BDH("PEN US Equity","WORKING_CAPITAL","1993-06-18","2026-05-02","Per=Y","Days=T","Dir=V")</f>
        <v>0</v>
      </c>
      <c r="Y2">
        <f>BDH("PEN US Equity","SALES_REV_TURN","1993-06-18","2026-05-02","Per=Y","Days=T","Dir=V")</f>
        <v>0</v>
      </c>
      <c r="AA2">
        <f>BDH("PEN US Equity","EBIT","1993-06-18","2026-05-02","Per=Y","Days=T","Dir=V")</f>
        <v>0</v>
      </c>
      <c r="AC2">
        <f>BDH("PEN US Equity","EBITDA","1993-06-18","2026-05-02","Per=Y","Days=T","Dir=V")</f>
        <v>0</v>
      </c>
      <c r="AE2">
        <f>BDH("PEN US Equity","NET_INCOME","1993-06-18","2026-05-02","Per=Y","Days=T","Dir=V")</f>
        <v>0</v>
      </c>
      <c r="AG2">
        <f>BDH("PEN US Equity","IS_INT_EXPENSE","1993-06-18","2026-05-02","Per=Y","Days=T","Dir=V")</f>
        <v>0</v>
      </c>
      <c r="AI2">
        <f>BDH("PEN US Equity","IS_DEPR_EXP","1993-06-18","2026-05-02","Per=Y","Days=T","Dir=V")</f>
        <v>0</v>
      </c>
      <c r="AK2">
        <f>BDH("PEN US Equity","CF_CASH_FROM_OPER","1993-06-18","2026-05-02","Per=Y","Days=T","Dir=V")</f>
        <v>0</v>
      </c>
      <c r="AM2">
        <f>BDH("PEN US Equity","CAPITAL_EXPEND","1993-06-18","2026-05-02","Per=Y","Days=T","Dir=V")</f>
        <v>0</v>
      </c>
      <c r="AO2">
        <f>BDH("PEN US Equity","CF_FREE_CASH_FLOW","1993-06-18","2026-05-02","Per=Y","Days=T","Dir=V")</f>
        <v>0</v>
      </c>
      <c r="AQ2">
        <f>BDH("PEN US Equity","PX_LAST","1993-06-18","2026-05-02","Per=M","Days=T","Dir=V")</f>
        <v>0</v>
      </c>
      <c r="AS2">
        <f>BDH("PEN US Equity","CUR_MKT_CAP","1993-06-18","2026-05-02","Per=M","Days=T","Dir=V")</f>
        <v>0</v>
      </c>
      <c r="AU2">
        <f>BDH("PEN US Equity","EQY_SH_OUT","1993-06-18","2026-05-02","Per=M","Days=T","Dir=V")</f>
        <v>0</v>
      </c>
      <c r="AW2">
        <f>BDH("PEN US Equity","PX_VOLUME","1993-06-18","2026-05-02","Per=M","Days=T","Dir=V")</f>
        <v>0</v>
      </c>
      <c r="AY2">
        <f>BDH("PEN US Equity","TURNOVER","1993-06-18","2026-05-02","Per=M","Days=T","Dir=V")</f>
        <v>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BDH("PENG US Equity","BS_TOT_ASSET","1993-06-18","2026-05-02","Per=Y","Days=T","Dir=V")</f>
        <v>0</v>
      </c>
      <c r="C2">
        <f>BDH("PENG US Equity","BS_TOT_LIAB2","1993-06-18","2026-05-02","Per=Y","Days=T","Dir=V")</f>
        <v>0</v>
      </c>
      <c r="E2">
        <f>BDH("PENG US Equity","SHORT_AND_LONG_TERM_DEBT","1993-06-18","2026-05-02","Per=Y","Days=T","Dir=V")</f>
        <v>0</v>
      </c>
      <c r="G2">
        <f>BDH("PENG US Equity","BS_ST_BORROW","1993-06-18","2026-05-02","Per=Y","Days=T","Dir=V")</f>
        <v>0</v>
      </c>
      <c r="I2">
        <f>BDH("PENG US Equity","BS_LT_BORROW","1993-06-18","2026-05-02","Per=Y","Days=T","Dir=V")</f>
        <v>0</v>
      </c>
      <c r="K2">
        <f>BDH("PENG US Equity","BS_CASH_NEAR_CASH_ITEM","1993-06-18","2026-05-02","Per=Y","Days=T","Dir=V")</f>
        <v>0</v>
      </c>
      <c r="M2">
        <f>BDH("PENG US Equity","BS_CUR_ASSET_REPORT","1993-06-18","2026-05-02","Per=Y","Days=T","Dir=V")</f>
        <v>0</v>
      </c>
      <c r="O2">
        <f>BDH("PENG US Equity","BS_CUR_LIAB","1993-06-18","2026-05-02","Per=Y","Days=T","Dir=V")</f>
        <v>0</v>
      </c>
      <c r="Q2">
        <f>BDH("PENG US Equity","BS_SHAREHOLDER_EQY_ENDING_PERIOD","1993-06-18","2026-05-02","Per=Y","Days=T","Dir=V")</f>
        <v>0</v>
      </c>
      <c r="S2">
        <f>BDH("PENG US Equity","BS_ACCT_NOTE_RCV","1993-06-18","2026-05-02","Per=Y","Days=T","Dir=V")</f>
        <v>0</v>
      </c>
      <c r="U2">
        <f>BDH("PENG US Equity","BS_INVENTORIES","1993-06-18","2026-05-02","Per=Y","Days=T","Dir=V")</f>
        <v>0</v>
      </c>
      <c r="W2">
        <f>BDH("PENG US Equity","WORKING_CAPITAL","1993-06-18","2026-05-02","Per=Y","Days=T","Dir=V")</f>
        <v>0</v>
      </c>
      <c r="Y2">
        <f>BDH("PENG US Equity","SALES_REV_TURN","1993-06-18","2026-05-02","Per=Y","Days=T","Dir=V")</f>
        <v>0</v>
      </c>
      <c r="AA2">
        <f>BDH("PENG US Equity","EBIT","1993-06-18","2026-05-02","Per=Y","Days=T","Dir=V")</f>
        <v>0</v>
      </c>
      <c r="AC2">
        <f>BDH("PENG US Equity","EBITDA","1993-06-18","2026-05-02","Per=Y","Days=T","Dir=V")</f>
        <v>0</v>
      </c>
      <c r="AE2">
        <f>BDH("PENG US Equity","NET_INCOME","1993-06-18","2026-05-02","Per=Y","Days=T","Dir=V")</f>
        <v>0</v>
      </c>
      <c r="AG2">
        <f>BDH("PENG US Equity","IS_INT_EXPENSE","1993-06-18","2026-05-02","Per=Y","Days=T","Dir=V")</f>
        <v>0</v>
      </c>
      <c r="AI2">
        <f>BDH("PENG US Equity","IS_DEPR_EXP","1993-06-18","2026-05-02","Per=Y","Days=T","Dir=V")</f>
        <v>0</v>
      </c>
      <c r="AK2">
        <f>BDH("PENG US Equity","CF_CASH_FROM_OPER","1993-06-18","2026-05-02","Per=Y","Days=T","Dir=V")</f>
        <v>0</v>
      </c>
      <c r="AM2">
        <f>BDH("PENG US Equity","CAPITAL_EXPEND","1993-06-18","2026-05-02","Per=Y","Days=T","Dir=V")</f>
        <v>0</v>
      </c>
      <c r="AO2">
        <f>BDH("PENG US Equity","CF_FREE_CASH_FLOW","1993-06-18","2026-05-02","Per=Y","Days=T","Dir=V")</f>
        <v>0</v>
      </c>
      <c r="AQ2">
        <f>BDH("PENG US Equity","PX_LAST","1993-06-18","2026-05-02","Per=M","Days=T","Dir=V")</f>
        <v>0</v>
      </c>
      <c r="AS2">
        <f>BDH("PENG US Equity","CUR_MKT_CAP","1993-06-18","2026-05-02","Per=M","Days=T","Dir=V")</f>
        <v>0</v>
      </c>
      <c r="AU2">
        <f>BDH("PENG US Equity","EQY_SH_OUT","1993-06-18","2026-05-02","Per=M","Days=T","Dir=V")</f>
        <v>0</v>
      </c>
      <c r="AW2">
        <f>BDH("PENG US Equity","PX_VOLUME","1993-06-18","2026-05-02","Per=M","Days=T","Dir=V")</f>
        <v>0</v>
      </c>
      <c r="AY2">
        <f>BDH("PENG US Equity","TURNOVER","1993-06-18","2026-05-02","Per=M","Days=T","Dir=V")</f>
        <v>0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BDH("PENN US Equity","BS_TOT_ASSET","1993-06-18","2026-05-02","Per=Y","Days=T","Dir=V")</f>
        <v>0</v>
      </c>
      <c r="C2">
        <f>BDH("PENN US Equity","BS_TOT_LIAB2","1993-06-18","2026-05-02","Per=Y","Days=T","Dir=V")</f>
        <v>0</v>
      </c>
      <c r="E2">
        <f>BDH("PENN US Equity","SHORT_AND_LONG_TERM_DEBT","1993-06-18","2026-05-02","Per=Y","Days=T","Dir=V")</f>
        <v>0</v>
      </c>
      <c r="G2">
        <f>BDH("PENN US Equity","BS_ST_BORROW","1993-06-18","2026-05-02","Per=Y","Days=T","Dir=V")</f>
        <v>0</v>
      </c>
      <c r="I2">
        <f>BDH("PENN US Equity","BS_LT_BORROW","1993-06-18","2026-05-02","Per=Y","Days=T","Dir=V")</f>
        <v>0</v>
      </c>
      <c r="K2">
        <f>BDH("PENN US Equity","BS_CASH_NEAR_CASH_ITEM","1993-06-18","2026-05-02","Per=Y","Days=T","Dir=V")</f>
        <v>0</v>
      </c>
      <c r="M2">
        <f>BDH("PENN US Equity","BS_CUR_ASSET_REPORT","1993-06-18","2026-05-02","Per=Y","Days=T","Dir=V")</f>
        <v>0</v>
      </c>
      <c r="O2">
        <f>BDH("PENN US Equity","BS_CUR_LIAB","1993-06-18","2026-05-02","Per=Y","Days=T","Dir=V")</f>
        <v>0</v>
      </c>
      <c r="Q2">
        <f>BDH("PENN US Equity","BS_SHAREHOLDER_EQY_ENDING_PERIOD","1993-06-18","2026-05-02","Per=Y","Days=T","Dir=V")</f>
        <v>0</v>
      </c>
      <c r="S2">
        <f>BDH("PENN US Equity","BS_ACCT_NOTE_RCV","1993-06-18","2026-05-02","Per=Y","Days=T","Dir=V")</f>
        <v>0</v>
      </c>
      <c r="U2">
        <f>BDH("PENN US Equity","BS_INVENTORIES","1993-06-18","2026-05-02","Per=Y","Days=T","Dir=V")</f>
        <v>0</v>
      </c>
      <c r="W2">
        <f>BDH("PENN US Equity","WORKING_CAPITAL","1993-06-18","2026-05-02","Per=Y","Days=T","Dir=V")</f>
        <v>0</v>
      </c>
      <c r="Y2">
        <f>BDH("PENN US Equity","SALES_REV_TURN","1993-06-18","2026-05-02","Per=Y","Days=T","Dir=V")</f>
        <v>0</v>
      </c>
      <c r="AA2">
        <f>BDH("PENN US Equity","EBIT","1993-06-18","2026-05-02","Per=Y","Days=T","Dir=V")</f>
        <v>0</v>
      </c>
      <c r="AC2">
        <f>BDH("PENN US Equity","EBITDA","1993-06-18","2026-05-02","Per=Y","Days=T","Dir=V")</f>
        <v>0</v>
      </c>
      <c r="AE2">
        <f>BDH("PENN US Equity","NET_INCOME","1993-06-18","2026-05-02","Per=Y","Days=T","Dir=V")</f>
        <v>0</v>
      </c>
      <c r="AG2">
        <f>BDH("PENN US Equity","IS_INT_EXPENSE","1993-06-18","2026-05-02","Per=Y","Days=T","Dir=V")</f>
        <v>0</v>
      </c>
      <c r="AI2">
        <f>BDH("PENN US Equity","IS_DEPR_EXP","1993-06-18","2026-05-02","Per=Y","Days=T","Dir=V")</f>
        <v>0</v>
      </c>
      <c r="AK2">
        <f>BDH("PENN US Equity","CF_CASH_FROM_OPER","1993-06-18","2026-05-02","Per=Y","Days=T","Dir=V")</f>
        <v>0</v>
      </c>
      <c r="AM2">
        <f>BDH("PENN US Equity","CAPITAL_EXPEND","1993-06-18","2026-05-02","Per=Y","Days=T","Dir=V")</f>
        <v>0</v>
      </c>
      <c r="AO2">
        <f>BDH("PENN US Equity","CF_FREE_CASH_FLOW","1993-06-18","2026-05-02","Per=Y","Days=T","Dir=V")</f>
        <v>0</v>
      </c>
      <c r="AQ2">
        <f>BDH("PENN US Equity","PX_LAST","1993-06-18","2026-05-02","Per=M","Days=T","Dir=V")</f>
        <v>0</v>
      </c>
      <c r="AS2">
        <f>BDH("PENN US Equity","CUR_MKT_CAP","1993-06-18","2026-05-02","Per=M","Days=T","Dir=V")</f>
        <v>0</v>
      </c>
      <c r="AU2">
        <f>BDH("PENN US Equity","EQY_SH_OUT","1993-06-18","2026-05-02","Per=M","Days=T","Dir=V")</f>
        <v>0</v>
      </c>
      <c r="AW2">
        <f>BDH("PENN US Equity","PX_VOLUME","1993-06-18","2026-05-02","Per=M","Days=T","Dir=V")</f>
        <v>0</v>
      </c>
      <c r="AY2">
        <f>BDH("PENN US Equity","TURNOVER","1993-06-18","2026-05-02","Per=M","Days=T","Dir=V")</f>
        <v>0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BDH("PEP US Equity","BS_TOT_ASSET","1993-06-18","2026-05-02","Per=Y","Days=T","Dir=V")</f>
        <v>0</v>
      </c>
      <c r="C2">
        <f>BDH("PEP US Equity","BS_TOT_LIAB2","1993-06-18","2026-05-02","Per=Y","Days=T","Dir=V")</f>
        <v>0</v>
      </c>
      <c r="E2">
        <f>BDH("PEP US Equity","SHORT_AND_LONG_TERM_DEBT","1993-06-18","2026-05-02","Per=Y","Days=T","Dir=V")</f>
        <v>0</v>
      </c>
      <c r="G2">
        <f>BDH("PEP US Equity","BS_ST_BORROW","1993-06-18","2026-05-02","Per=Y","Days=T","Dir=V")</f>
        <v>0</v>
      </c>
      <c r="I2">
        <f>BDH("PEP US Equity","BS_LT_BORROW","1993-06-18","2026-05-02","Per=Y","Days=T","Dir=V")</f>
        <v>0</v>
      </c>
      <c r="K2">
        <f>BDH("PEP US Equity","BS_CASH_NEAR_CASH_ITEM","1993-06-18","2026-05-02","Per=Y","Days=T","Dir=V")</f>
        <v>0</v>
      </c>
      <c r="M2">
        <f>BDH("PEP US Equity","BS_CUR_ASSET_REPORT","1993-06-18","2026-05-02","Per=Y","Days=T","Dir=V")</f>
        <v>0</v>
      </c>
      <c r="O2">
        <f>BDH("PEP US Equity","BS_CUR_LIAB","1993-06-18","2026-05-02","Per=Y","Days=T","Dir=V")</f>
        <v>0</v>
      </c>
      <c r="Q2">
        <f>BDH("PEP US Equity","BS_SHAREHOLDER_EQY_ENDING_PERIOD","1993-06-18","2026-05-02","Per=Y","Days=T","Dir=V")</f>
        <v>0</v>
      </c>
      <c r="S2">
        <f>BDH("PEP US Equity","BS_ACCT_NOTE_RCV","1993-06-18","2026-05-02","Per=Y","Days=T","Dir=V")</f>
        <v>0</v>
      </c>
      <c r="U2">
        <f>BDH("PEP US Equity","BS_INVENTORIES","1993-06-18","2026-05-02","Per=Y","Days=T","Dir=V")</f>
        <v>0</v>
      </c>
      <c r="W2">
        <f>BDH("PEP US Equity","WORKING_CAPITAL","1993-06-18","2026-05-02","Per=Y","Days=T","Dir=V")</f>
        <v>0</v>
      </c>
      <c r="Y2">
        <f>BDH("PEP US Equity","SALES_REV_TURN","1993-06-18","2026-05-02","Per=Y","Days=T","Dir=V")</f>
        <v>0</v>
      </c>
      <c r="AA2">
        <f>BDH("PEP US Equity","EBIT","1993-06-18","2026-05-02","Per=Y","Days=T","Dir=V")</f>
        <v>0</v>
      </c>
      <c r="AC2">
        <f>BDH("PEP US Equity","EBITDA","1993-06-18","2026-05-02","Per=Y","Days=T","Dir=V")</f>
        <v>0</v>
      </c>
      <c r="AE2">
        <f>BDH("PEP US Equity","NET_INCOME","1993-06-18","2026-05-02","Per=Y","Days=T","Dir=V")</f>
        <v>0</v>
      </c>
      <c r="AG2">
        <f>BDH("PEP US Equity","IS_INT_EXPENSE","1993-06-18","2026-05-02","Per=Y","Days=T","Dir=V")</f>
        <v>0</v>
      </c>
      <c r="AI2">
        <f>BDH("PEP US Equity","IS_DEPR_EXP","1993-06-18","2026-05-02","Per=Y","Days=T","Dir=V")</f>
        <v>0</v>
      </c>
      <c r="AK2">
        <f>BDH("PEP US Equity","CF_CASH_FROM_OPER","1993-06-18","2026-05-02","Per=Y","Days=T","Dir=V")</f>
        <v>0</v>
      </c>
      <c r="AM2">
        <f>BDH("PEP US Equity","CAPITAL_EXPEND","1993-06-18","2026-05-02","Per=Y","Days=T","Dir=V")</f>
        <v>0</v>
      </c>
      <c r="AO2">
        <f>BDH("PEP US Equity","CF_FREE_CASH_FLOW","1993-06-18","2026-05-02","Per=Y","Days=T","Dir=V")</f>
        <v>0</v>
      </c>
      <c r="AQ2">
        <f>BDH("PEP US Equity","PX_LAST","1993-06-18","2026-05-02","Per=M","Days=T","Dir=V")</f>
        <v>0</v>
      </c>
      <c r="AS2">
        <f>BDH("PEP US Equity","CUR_MKT_CAP","1993-06-18","2026-05-02","Per=M","Days=T","Dir=V")</f>
        <v>0</v>
      </c>
      <c r="AU2">
        <f>BDH("PEP US Equity","EQY_SH_OUT","1993-06-18","2026-05-02","Per=M","Days=T","Dir=V")</f>
        <v>0</v>
      </c>
      <c r="AW2">
        <f>BDH("PEP US Equity","PX_VOLUME","1993-06-18","2026-05-02","Per=M","Days=T","Dir=V")</f>
        <v>0</v>
      </c>
      <c r="AY2">
        <f>BDH("PEP US Equity","TURNOVER","1993-06-18","2026-05-02","Per=M","Days=T","Dir=V")</f>
        <v>0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BDH("PEPG US Equity","BS_TOT_ASSET","1993-06-18","2026-05-02","Per=Y","Days=T","Dir=V")</f>
        <v>0</v>
      </c>
      <c r="C2">
        <f>BDH("PEPG US Equity","BS_TOT_LIAB2","1993-06-18","2026-05-02","Per=Y","Days=T","Dir=V")</f>
        <v>0</v>
      </c>
      <c r="E2">
        <f>BDH("PEPG US Equity","SHORT_AND_LONG_TERM_DEBT","1993-06-18","2026-05-02","Per=Y","Days=T","Dir=V")</f>
        <v>0</v>
      </c>
      <c r="G2">
        <f>BDH("PEPG US Equity","BS_ST_BORROW","1993-06-18","2026-05-02","Per=Y","Days=T","Dir=V")</f>
        <v>0</v>
      </c>
      <c r="I2">
        <f>BDH("PEPG US Equity","BS_LT_BORROW","1993-06-18","2026-05-02","Per=Y","Days=T","Dir=V")</f>
        <v>0</v>
      </c>
      <c r="K2">
        <f>BDH("PEPG US Equity","BS_CASH_NEAR_CASH_ITEM","1993-06-18","2026-05-02","Per=Y","Days=T","Dir=V")</f>
        <v>0</v>
      </c>
      <c r="M2">
        <f>BDH("PEPG US Equity","BS_CUR_ASSET_REPORT","1993-06-18","2026-05-02","Per=Y","Days=T","Dir=V")</f>
        <v>0</v>
      </c>
      <c r="O2">
        <f>BDH("PEPG US Equity","BS_CUR_LIAB","1993-06-18","2026-05-02","Per=Y","Days=T","Dir=V")</f>
        <v>0</v>
      </c>
      <c r="Q2">
        <f>BDH("PEPG US Equity","BS_SHAREHOLDER_EQY_ENDING_PERIOD","1993-06-18","2026-05-02","Per=Y","Days=T","Dir=V")</f>
        <v>0</v>
      </c>
      <c r="S2">
        <f>BDH("PEPG US Equity","BS_ACCT_NOTE_RCV","1993-06-18","2026-05-02","Per=Y","Days=T","Dir=V")</f>
        <v>0</v>
      </c>
      <c r="U2">
        <f>BDH("PEPG US Equity","BS_INVENTORIES","1993-06-18","2026-05-02","Per=Y","Days=T","Dir=V")</f>
        <v>0</v>
      </c>
      <c r="W2">
        <f>BDH("PEPG US Equity","WORKING_CAPITAL","1993-06-18","2026-05-02","Per=Y","Days=T","Dir=V")</f>
        <v>0</v>
      </c>
      <c r="Y2">
        <f>BDH("PEPG US Equity","SALES_REV_TURN","1993-06-18","2026-05-02","Per=Y","Days=T","Dir=V")</f>
        <v>0</v>
      </c>
      <c r="AA2">
        <f>BDH("PEPG US Equity","EBIT","1993-06-18","2026-05-02","Per=Y","Days=T","Dir=V")</f>
        <v>0</v>
      </c>
      <c r="AC2">
        <f>BDH("PEPG US Equity","EBITDA","1993-06-18","2026-05-02","Per=Y","Days=T","Dir=V")</f>
        <v>0</v>
      </c>
      <c r="AE2">
        <f>BDH("PEPG US Equity","NET_INCOME","1993-06-18","2026-05-02","Per=Y","Days=T","Dir=V")</f>
        <v>0</v>
      </c>
      <c r="AG2">
        <f>BDH("PEPG US Equity","IS_INT_EXPENSE","1993-06-18","2026-05-02","Per=Y","Days=T","Dir=V")</f>
        <v>0</v>
      </c>
      <c r="AI2">
        <f>BDH("PEPG US Equity","IS_DEPR_EXP","1993-06-18","2026-05-02","Per=Y","Days=T","Dir=V")</f>
        <v>0</v>
      </c>
      <c r="AK2">
        <f>BDH("PEPG US Equity","CF_CASH_FROM_OPER","1993-06-18","2026-05-02","Per=Y","Days=T","Dir=V")</f>
        <v>0</v>
      </c>
      <c r="AM2">
        <f>BDH("PEPG US Equity","CAPITAL_EXPEND","1993-06-18","2026-05-02","Per=Y","Days=T","Dir=V")</f>
        <v>0</v>
      </c>
      <c r="AO2">
        <f>BDH("PEPG US Equity","CF_FREE_CASH_FLOW","1993-06-18","2026-05-02","Per=Y","Days=T","Dir=V")</f>
        <v>0</v>
      </c>
      <c r="AQ2">
        <f>BDH("PEPG US Equity","PX_LAST","1993-06-18","2026-05-02","Per=M","Days=T","Dir=V")</f>
        <v>0</v>
      </c>
      <c r="AS2">
        <f>BDH("PEPG US Equity","CUR_MKT_CAP","1993-06-18","2026-05-02","Per=M","Days=T","Dir=V")</f>
        <v>0</v>
      </c>
      <c r="AU2">
        <f>BDH("PEPG US Equity","EQY_SH_OUT","1993-06-18","2026-05-02","Per=M","Days=T","Dir=V")</f>
        <v>0</v>
      </c>
      <c r="AW2">
        <f>BDH("PEPG US Equity","PX_VOLUME","1993-06-18","2026-05-02","Per=M","Days=T","Dir=V")</f>
        <v>0</v>
      </c>
      <c r="AY2">
        <f>BDH("PEPG US Equity","TURNOVER","1993-06-18","2026-05-02","Per=M","Days=T","Dir=V")</f>
        <v>0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BDH("PESI US Equity","BS_TOT_ASSET","1993-06-18","2026-05-02","Per=Y","Days=T","Dir=V")</f>
        <v>0</v>
      </c>
      <c r="C2">
        <f>BDH("PESI US Equity","BS_TOT_LIAB2","1993-06-18","2026-05-02","Per=Y","Days=T","Dir=V")</f>
        <v>0</v>
      </c>
      <c r="E2">
        <f>BDH("PESI US Equity","SHORT_AND_LONG_TERM_DEBT","1993-06-18","2026-05-02","Per=Y","Days=T","Dir=V")</f>
        <v>0</v>
      </c>
      <c r="G2">
        <f>BDH("PESI US Equity","BS_ST_BORROW","1993-06-18","2026-05-02","Per=Y","Days=T","Dir=V")</f>
        <v>0</v>
      </c>
      <c r="I2">
        <f>BDH("PESI US Equity","BS_LT_BORROW","1993-06-18","2026-05-02","Per=Y","Days=T","Dir=V")</f>
        <v>0</v>
      </c>
      <c r="K2">
        <f>BDH("PESI US Equity","BS_CASH_NEAR_CASH_ITEM","1993-06-18","2026-05-02","Per=Y","Days=T","Dir=V")</f>
        <v>0</v>
      </c>
      <c r="M2">
        <f>BDH("PESI US Equity","BS_CUR_ASSET_REPORT","1993-06-18","2026-05-02","Per=Y","Days=T","Dir=V")</f>
        <v>0</v>
      </c>
      <c r="O2">
        <f>BDH("PESI US Equity","BS_CUR_LIAB","1993-06-18","2026-05-02","Per=Y","Days=T","Dir=V")</f>
        <v>0</v>
      </c>
      <c r="Q2">
        <f>BDH("PESI US Equity","BS_SHAREHOLDER_EQY_ENDING_PERIOD","1993-06-18","2026-05-02","Per=Y","Days=T","Dir=V")</f>
        <v>0</v>
      </c>
      <c r="S2">
        <f>BDH("PESI US Equity","BS_ACCT_NOTE_RCV","1993-06-18","2026-05-02","Per=Y","Days=T","Dir=V")</f>
        <v>0</v>
      </c>
      <c r="U2">
        <f>BDH("PESI US Equity","BS_INVENTORIES","1993-06-18","2026-05-02","Per=Y","Days=T","Dir=V")</f>
        <v>0</v>
      </c>
      <c r="W2">
        <f>BDH("PESI US Equity","WORKING_CAPITAL","1993-06-18","2026-05-02","Per=Y","Days=T","Dir=V")</f>
        <v>0</v>
      </c>
      <c r="Y2">
        <f>BDH("PESI US Equity","SALES_REV_TURN","1993-06-18","2026-05-02","Per=Y","Days=T","Dir=V")</f>
        <v>0</v>
      </c>
      <c r="AA2">
        <f>BDH("PESI US Equity","EBIT","1993-06-18","2026-05-02","Per=Y","Days=T","Dir=V")</f>
        <v>0</v>
      </c>
      <c r="AC2">
        <f>BDH("PESI US Equity","EBITDA","1993-06-18","2026-05-02","Per=Y","Days=T","Dir=V")</f>
        <v>0</v>
      </c>
      <c r="AE2">
        <f>BDH("PESI US Equity","NET_INCOME","1993-06-18","2026-05-02","Per=Y","Days=T","Dir=V")</f>
        <v>0</v>
      </c>
      <c r="AG2">
        <f>BDH("PESI US Equity","IS_INT_EXPENSE","1993-06-18","2026-05-02","Per=Y","Days=T","Dir=V")</f>
        <v>0</v>
      </c>
      <c r="AI2">
        <f>BDH("PESI US Equity","IS_DEPR_EXP","1993-06-18","2026-05-02","Per=Y","Days=T","Dir=V")</f>
        <v>0</v>
      </c>
      <c r="AK2">
        <f>BDH("PESI US Equity","CF_CASH_FROM_OPER","1993-06-18","2026-05-02","Per=Y","Days=T","Dir=V")</f>
        <v>0</v>
      </c>
      <c r="AM2">
        <f>BDH("PESI US Equity","CAPITAL_EXPEND","1993-06-18","2026-05-02","Per=Y","Days=T","Dir=V")</f>
        <v>0</v>
      </c>
      <c r="AO2">
        <f>BDH("PESI US Equity","CF_FREE_CASH_FLOW","1993-06-18","2026-05-02","Per=Y","Days=T","Dir=V")</f>
        <v>0</v>
      </c>
      <c r="AQ2">
        <f>BDH("PESI US Equity","PX_LAST","1993-06-18","2026-05-02","Per=M","Days=T","Dir=V")</f>
        <v>0</v>
      </c>
      <c r="AS2">
        <f>BDH("PESI US Equity","CUR_MKT_CAP","1993-06-18","2026-05-02","Per=M","Days=T","Dir=V")</f>
        <v>0</v>
      </c>
      <c r="AU2">
        <f>BDH("PESI US Equity","EQY_SH_OUT","1993-06-18","2026-05-02","Per=M","Days=T","Dir=V")</f>
        <v>0</v>
      </c>
      <c r="AW2">
        <f>BDH("PESI US Equity","PX_VOLUME","1993-06-18","2026-05-02","Per=M","Days=T","Dir=V")</f>
        <v>0</v>
      </c>
      <c r="AY2">
        <f>BDH("PESI US Equity","TURNOVER","1993-06-18","2026-05-02","Per=M","Days=T","Dir=V")</f>
        <v>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BDH("PETS US Equity","BS_TOT_ASSET","1993-06-18","2026-05-02","Per=Y","Days=T","Dir=V")</f>
        <v>0</v>
      </c>
      <c r="C2">
        <f>BDH("PETS US Equity","BS_TOT_LIAB2","1993-06-18","2026-05-02","Per=Y","Days=T","Dir=V")</f>
        <v>0</v>
      </c>
      <c r="E2">
        <f>BDH("PETS US Equity","SHORT_AND_LONG_TERM_DEBT","1993-06-18","2026-05-02","Per=Y","Days=T","Dir=V")</f>
        <v>0</v>
      </c>
      <c r="G2">
        <f>BDH("PETS US Equity","BS_ST_BORROW","1993-06-18","2026-05-02","Per=Y","Days=T","Dir=V")</f>
        <v>0</v>
      </c>
      <c r="I2">
        <f>BDH("PETS US Equity","BS_LT_BORROW","1993-06-18","2026-05-02","Per=Y","Days=T","Dir=V")</f>
        <v>0</v>
      </c>
      <c r="K2">
        <f>BDH("PETS US Equity","BS_CASH_NEAR_CASH_ITEM","1993-06-18","2026-05-02","Per=Y","Days=T","Dir=V")</f>
        <v>0</v>
      </c>
      <c r="M2">
        <f>BDH("PETS US Equity","BS_CUR_ASSET_REPORT","1993-06-18","2026-05-02","Per=Y","Days=T","Dir=V")</f>
        <v>0</v>
      </c>
      <c r="O2">
        <f>BDH("PETS US Equity","BS_CUR_LIAB","1993-06-18","2026-05-02","Per=Y","Days=T","Dir=V")</f>
        <v>0</v>
      </c>
      <c r="Q2">
        <f>BDH("PETS US Equity","BS_SHAREHOLDER_EQY_ENDING_PERIOD","1993-06-18","2026-05-02","Per=Y","Days=T","Dir=V")</f>
        <v>0</v>
      </c>
      <c r="S2">
        <f>BDH("PETS US Equity","BS_ACCT_NOTE_RCV","1993-06-18","2026-05-02","Per=Y","Days=T","Dir=V")</f>
        <v>0</v>
      </c>
      <c r="U2">
        <f>BDH("PETS US Equity","BS_INVENTORIES","1993-06-18","2026-05-02","Per=Y","Days=T","Dir=V")</f>
        <v>0</v>
      </c>
      <c r="W2">
        <f>BDH("PETS US Equity","WORKING_CAPITAL","1993-06-18","2026-05-02","Per=Y","Days=T","Dir=V")</f>
        <v>0</v>
      </c>
      <c r="Y2">
        <f>BDH("PETS US Equity","SALES_REV_TURN","1993-06-18","2026-05-02","Per=Y","Days=T","Dir=V")</f>
        <v>0</v>
      </c>
      <c r="AA2">
        <f>BDH("PETS US Equity","EBIT","1993-06-18","2026-05-02","Per=Y","Days=T","Dir=V")</f>
        <v>0</v>
      </c>
      <c r="AC2">
        <f>BDH("PETS US Equity","EBITDA","1993-06-18","2026-05-02","Per=Y","Days=T","Dir=V")</f>
        <v>0</v>
      </c>
      <c r="AE2">
        <f>BDH("PETS US Equity","NET_INCOME","1993-06-18","2026-05-02","Per=Y","Days=T","Dir=V")</f>
        <v>0</v>
      </c>
      <c r="AG2">
        <f>BDH("PETS US Equity","IS_INT_EXPENSE","1993-06-18","2026-05-02","Per=Y","Days=T","Dir=V")</f>
        <v>0</v>
      </c>
      <c r="AI2">
        <f>BDH("PETS US Equity","IS_DEPR_EXP","1993-06-18","2026-05-02","Per=Y","Days=T","Dir=V")</f>
        <v>0</v>
      </c>
      <c r="AK2">
        <f>BDH("PETS US Equity","CF_CASH_FROM_OPER","1993-06-18","2026-05-02","Per=Y","Days=T","Dir=V")</f>
        <v>0</v>
      </c>
      <c r="AM2">
        <f>BDH("PETS US Equity","CAPITAL_EXPEND","1993-06-18","2026-05-02","Per=Y","Days=T","Dir=V")</f>
        <v>0</v>
      </c>
      <c r="AO2">
        <f>BDH("PETS US Equity","CF_FREE_CASH_FLOW","1993-06-18","2026-05-02","Per=Y","Days=T","Dir=V")</f>
        <v>0</v>
      </c>
      <c r="AQ2">
        <f>BDH("PETS US Equity","PX_LAST","1993-06-18","2026-05-02","Per=M","Days=T","Dir=V")</f>
        <v>0</v>
      </c>
      <c r="AS2">
        <f>BDH("PETS US Equity","CUR_MKT_CAP","1993-06-18","2026-05-02","Per=M","Days=T","Dir=V")</f>
        <v>0</v>
      </c>
      <c r="AU2">
        <f>BDH("PETS US Equity","EQY_SH_OUT","1993-06-18","2026-05-02","Per=M","Days=T","Dir=V")</f>
        <v>0</v>
      </c>
      <c r="AW2">
        <f>BDH("PETS US Equity","PX_VOLUME","1993-06-18","2026-05-02","Per=M","Days=T","Dir=V")</f>
        <v>0</v>
      </c>
      <c r="AY2">
        <f>BDH("PETS US Equity","TURNOVER","1993-06-18","2026-05-02","Per=M","Days=T","Dir=V")</f>
        <v>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BDH("PFE US Equity","BS_TOT_ASSET","1993-06-18","2026-05-02","Per=Y","Days=T","Dir=V")</f>
        <v>0</v>
      </c>
      <c r="C2">
        <f>BDH("PFE US Equity","BS_TOT_LIAB2","1993-06-18","2026-05-02","Per=Y","Days=T","Dir=V")</f>
        <v>0</v>
      </c>
      <c r="E2">
        <f>BDH("PFE US Equity","SHORT_AND_LONG_TERM_DEBT","1993-06-18","2026-05-02","Per=Y","Days=T","Dir=V")</f>
        <v>0</v>
      </c>
      <c r="G2">
        <f>BDH("PFE US Equity","BS_ST_BORROW","1993-06-18","2026-05-02","Per=Y","Days=T","Dir=V")</f>
        <v>0</v>
      </c>
      <c r="I2">
        <f>BDH("PFE US Equity","BS_LT_BORROW","1993-06-18","2026-05-02","Per=Y","Days=T","Dir=V")</f>
        <v>0</v>
      </c>
      <c r="K2">
        <f>BDH("PFE US Equity","BS_CASH_NEAR_CASH_ITEM","1993-06-18","2026-05-02","Per=Y","Days=T","Dir=V")</f>
        <v>0</v>
      </c>
      <c r="M2">
        <f>BDH("PFE US Equity","BS_CUR_ASSET_REPORT","1993-06-18","2026-05-02","Per=Y","Days=T","Dir=V")</f>
        <v>0</v>
      </c>
      <c r="O2">
        <f>BDH("PFE US Equity","BS_CUR_LIAB","1993-06-18","2026-05-02","Per=Y","Days=T","Dir=V")</f>
        <v>0</v>
      </c>
      <c r="Q2">
        <f>BDH("PFE US Equity","BS_SHAREHOLDER_EQY_ENDING_PERIOD","1993-06-18","2026-05-02","Per=Y","Days=T","Dir=V")</f>
        <v>0</v>
      </c>
      <c r="S2">
        <f>BDH("PFE US Equity","BS_ACCT_NOTE_RCV","1993-06-18","2026-05-02","Per=Y","Days=T","Dir=V")</f>
        <v>0</v>
      </c>
      <c r="U2">
        <f>BDH("PFE US Equity","BS_INVENTORIES","1993-06-18","2026-05-02","Per=Y","Days=T","Dir=V")</f>
        <v>0</v>
      </c>
      <c r="W2">
        <f>BDH("PFE US Equity","WORKING_CAPITAL","1993-06-18","2026-05-02","Per=Y","Days=T","Dir=V")</f>
        <v>0</v>
      </c>
      <c r="Y2">
        <f>BDH("PFE US Equity","SALES_REV_TURN","1993-06-18","2026-05-02","Per=Y","Days=T","Dir=V")</f>
        <v>0</v>
      </c>
      <c r="AA2">
        <f>BDH("PFE US Equity","EBIT","1993-06-18","2026-05-02","Per=Y","Days=T","Dir=V")</f>
        <v>0</v>
      </c>
      <c r="AC2">
        <f>BDH("PFE US Equity","EBITDA","1993-06-18","2026-05-02","Per=Y","Days=T","Dir=V")</f>
        <v>0</v>
      </c>
      <c r="AE2">
        <f>BDH("PFE US Equity","NET_INCOME","1993-06-18","2026-05-02","Per=Y","Days=T","Dir=V")</f>
        <v>0</v>
      </c>
      <c r="AG2">
        <f>BDH("PFE US Equity","IS_INT_EXPENSE","1993-06-18","2026-05-02","Per=Y","Days=T","Dir=V")</f>
        <v>0</v>
      </c>
      <c r="AI2">
        <f>BDH("PFE US Equity","IS_DEPR_EXP","1993-06-18","2026-05-02","Per=Y","Days=T","Dir=V")</f>
        <v>0</v>
      </c>
      <c r="AK2">
        <f>BDH("PFE US Equity","CF_CASH_FROM_OPER","1993-06-18","2026-05-02","Per=Y","Days=T","Dir=V")</f>
        <v>0</v>
      </c>
      <c r="AM2">
        <f>BDH("PFE US Equity","CAPITAL_EXPEND","1993-06-18","2026-05-02","Per=Y","Days=T","Dir=V")</f>
        <v>0</v>
      </c>
      <c r="AO2">
        <f>BDH("PFE US Equity","CF_FREE_CASH_FLOW","1993-06-18","2026-05-02","Per=Y","Days=T","Dir=V")</f>
        <v>0</v>
      </c>
      <c r="AQ2">
        <f>BDH("PFE US Equity","PX_LAST","1993-06-18","2026-05-02","Per=M","Days=T","Dir=V")</f>
        <v>0</v>
      </c>
      <c r="AS2">
        <f>BDH("PFE US Equity","CUR_MKT_CAP","1993-06-18","2026-05-02","Per=M","Days=T","Dir=V")</f>
        <v>0</v>
      </c>
      <c r="AU2">
        <f>BDH("PFE US Equity","EQY_SH_OUT","1993-06-18","2026-05-02","Per=M","Days=T","Dir=V")</f>
        <v>0</v>
      </c>
      <c r="AW2">
        <f>BDH("PFE US Equity","PX_VOLUME","1993-06-18","2026-05-02","Per=M","Days=T","Dir=V")</f>
        <v>0</v>
      </c>
      <c r="AY2">
        <f>BDH("PFE US Equity","TURNOVER","1993-06-18","2026-05-02","Per=M","Days=T","Dir=V")</f>
        <v>0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BDH("PFGC US Equity","BS_TOT_ASSET","1993-06-18","2026-05-02","Per=Y","Days=T","Dir=V")</f>
        <v>0</v>
      </c>
      <c r="C2">
        <f>BDH("PFGC US Equity","BS_TOT_LIAB2","1993-06-18","2026-05-02","Per=Y","Days=T","Dir=V")</f>
        <v>0</v>
      </c>
      <c r="E2">
        <f>BDH("PFGC US Equity","SHORT_AND_LONG_TERM_DEBT","1993-06-18","2026-05-02","Per=Y","Days=T","Dir=V")</f>
        <v>0</v>
      </c>
      <c r="G2">
        <f>BDH("PFGC US Equity","BS_ST_BORROW","1993-06-18","2026-05-02","Per=Y","Days=T","Dir=V")</f>
        <v>0</v>
      </c>
      <c r="I2">
        <f>BDH("PFGC US Equity","BS_LT_BORROW","1993-06-18","2026-05-02","Per=Y","Days=T","Dir=V")</f>
        <v>0</v>
      </c>
      <c r="K2">
        <f>BDH("PFGC US Equity","BS_CASH_NEAR_CASH_ITEM","1993-06-18","2026-05-02","Per=Y","Days=T","Dir=V")</f>
        <v>0</v>
      </c>
      <c r="M2">
        <f>BDH("PFGC US Equity","BS_CUR_ASSET_REPORT","1993-06-18","2026-05-02","Per=Y","Days=T","Dir=V")</f>
        <v>0</v>
      </c>
      <c r="O2">
        <f>BDH("PFGC US Equity","BS_CUR_LIAB","1993-06-18","2026-05-02","Per=Y","Days=T","Dir=V")</f>
        <v>0</v>
      </c>
      <c r="Q2">
        <f>BDH("PFGC US Equity","BS_SHAREHOLDER_EQY_ENDING_PERIOD","1993-06-18","2026-05-02","Per=Y","Days=T","Dir=V")</f>
        <v>0</v>
      </c>
      <c r="S2">
        <f>BDH("PFGC US Equity","BS_ACCT_NOTE_RCV","1993-06-18","2026-05-02","Per=Y","Days=T","Dir=V")</f>
        <v>0</v>
      </c>
      <c r="U2">
        <f>BDH("PFGC US Equity","BS_INVENTORIES","1993-06-18","2026-05-02","Per=Y","Days=T","Dir=V")</f>
        <v>0</v>
      </c>
      <c r="W2">
        <f>BDH("PFGC US Equity","WORKING_CAPITAL","1993-06-18","2026-05-02","Per=Y","Days=T","Dir=V")</f>
        <v>0</v>
      </c>
      <c r="Y2">
        <f>BDH("PFGC US Equity","SALES_REV_TURN","1993-06-18","2026-05-02","Per=Y","Days=T","Dir=V")</f>
        <v>0</v>
      </c>
      <c r="AA2">
        <f>BDH("PFGC US Equity","EBIT","1993-06-18","2026-05-02","Per=Y","Days=T","Dir=V")</f>
        <v>0</v>
      </c>
      <c r="AC2">
        <f>BDH("PFGC US Equity","EBITDA","1993-06-18","2026-05-02","Per=Y","Days=T","Dir=V")</f>
        <v>0</v>
      </c>
      <c r="AE2">
        <f>BDH("PFGC US Equity","NET_INCOME","1993-06-18","2026-05-02","Per=Y","Days=T","Dir=V")</f>
        <v>0</v>
      </c>
      <c r="AG2">
        <f>BDH("PFGC US Equity","IS_INT_EXPENSE","1993-06-18","2026-05-02","Per=Y","Days=T","Dir=V")</f>
        <v>0</v>
      </c>
      <c r="AI2">
        <f>BDH("PFGC US Equity","IS_DEPR_EXP","1993-06-18","2026-05-02","Per=Y","Days=T","Dir=V")</f>
        <v>0</v>
      </c>
      <c r="AK2">
        <f>BDH("PFGC US Equity","CF_CASH_FROM_OPER","1993-06-18","2026-05-02","Per=Y","Days=T","Dir=V")</f>
        <v>0</v>
      </c>
      <c r="AM2">
        <f>BDH("PFGC US Equity","CAPITAL_EXPEND","1993-06-18","2026-05-02","Per=Y","Days=T","Dir=V")</f>
        <v>0</v>
      </c>
      <c r="AO2">
        <f>BDH("PFGC US Equity","CF_FREE_CASH_FLOW","1993-06-18","2026-05-02","Per=Y","Days=T","Dir=V")</f>
        <v>0</v>
      </c>
      <c r="AQ2">
        <f>BDH("PFGC US Equity","PX_LAST","1993-06-18","2026-05-02","Per=M","Days=T","Dir=V")</f>
        <v>0</v>
      </c>
      <c r="AS2">
        <f>BDH("PFGC US Equity","CUR_MKT_CAP","1993-06-18","2026-05-02","Per=M","Days=T","Dir=V")</f>
        <v>0</v>
      </c>
      <c r="AU2">
        <f>BDH("PFGC US Equity","EQY_SH_OUT","1993-06-18","2026-05-02","Per=M","Days=T","Dir=V")</f>
        <v>0</v>
      </c>
      <c r="AW2">
        <f>BDH("PFGC US Equity","PX_VOLUME","1993-06-18","2026-05-02","Per=M","Days=T","Dir=V")</f>
        <v>0</v>
      </c>
      <c r="AY2">
        <f>BDH("PFGC US Equity","TURNOVER","1993-06-18","2026-05-02","Per=M","Days=T","Dir=V")</f>
        <v>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BDH("PFSA US Equity","BS_TOT_ASSET","1993-06-18","2026-05-02","Per=Y","Days=T","Dir=V")</f>
        <v>0</v>
      </c>
      <c r="C2">
        <f>BDH("PFSA US Equity","BS_TOT_LIAB2","1993-06-18","2026-05-02","Per=Y","Days=T","Dir=V")</f>
        <v>0</v>
      </c>
      <c r="E2">
        <f>BDH("PFSA US Equity","SHORT_AND_LONG_TERM_DEBT","1993-06-18","2026-05-02","Per=Y","Days=T","Dir=V")</f>
        <v>0</v>
      </c>
      <c r="G2">
        <f>BDH("PFSA US Equity","BS_ST_BORROW","1993-06-18","2026-05-02","Per=Y","Days=T","Dir=V")</f>
        <v>0</v>
      </c>
      <c r="I2">
        <f>BDH("PFSA US Equity","BS_LT_BORROW","1993-06-18","2026-05-02","Per=Y","Days=T","Dir=V")</f>
        <v>0</v>
      </c>
      <c r="K2">
        <f>BDH("PFSA US Equity","BS_CASH_NEAR_CASH_ITEM","1993-06-18","2026-05-02","Per=Y","Days=T","Dir=V")</f>
        <v>0</v>
      </c>
      <c r="M2">
        <f>BDH("PFSA US Equity","BS_CUR_ASSET_REPORT","1993-06-18","2026-05-02","Per=Y","Days=T","Dir=V")</f>
        <v>0</v>
      </c>
      <c r="O2">
        <f>BDH("PFSA US Equity","BS_CUR_LIAB","1993-06-18","2026-05-02","Per=Y","Days=T","Dir=V")</f>
        <v>0</v>
      </c>
      <c r="Q2">
        <f>BDH("PFSA US Equity","BS_SHAREHOLDER_EQY_ENDING_PERIOD","1993-06-18","2026-05-02","Per=Y","Days=T","Dir=V")</f>
        <v>0</v>
      </c>
      <c r="S2">
        <f>BDH("PFSA US Equity","BS_ACCT_NOTE_RCV","1993-06-18","2026-05-02","Per=Y","Days=T","Dir=V")</f>
        <v>0</v>
      </c>
      <c r="U2">
        <f>BDH("PFSA US Equity","BS_INVENTORIES","1993-06-18","2026-05-02","Per=Y","Days=T","Dir=V")</f>
        <v>0</v>
      </c>
      <c r="W2">
        <f>BDH("PFSA US Equity","WORKING_CAPITAL","1993-06-18","2026-05-02","Per=Y","Days=T","Dir=V")</f>
        <v>0</v>
      </c>
      <c r="Y2">
        <f>BDH("PFSA US Equity","SALES_REV_TURN","1993-06-18","2026-05-02","Per=Y","Days=T","Dir=V")</f>
        <v>0</v>
      </c>
      <c r="AA2">
        <f>BDH("PFSA US Equity","EBIT","1993-06-18","2026-05-02","Per=Y","Days=T","Dir=V")</f>
        <v>0</v>
      </c>
      <c r="AC2">
        <f>BDH("PFSA US Equity","EBITDA","1993-06-18","2026-05-02","Per=Y","Days=T","Dir=V")</f>
        <v>0</v>
      </c>
      <c r="AE2">
        <f>BDH("PFSA US Equity","NET_INCOME","1993-06-18","2026-05-02","Per=Y","Days=T","Dir=V")</f>
        <v>0</v>
      </c>
      <c r="AG2">
        <f>BDH("PFSA US Equity","IS_INT_EXPENSE","1993-06-18","2026-05-02","Per=Y","Days=T","Dir=V")</f>
        <v>0</v>
      </c>
      <c r="AI2">
        <f>BDH("PFSA US Equity","IS_DEPR_EXP","1993-06-18","2026-05-02","Per=Y","Days=T","Dir=V")</f>
        <v>0</v>
      </c>
      <c r="AK2">
        <f>BDH("PFSA US Equity","CF_CASH_FROM_OPER","1993-06-18","2026-05-02","Per=Y","Days=T","Dir=V")</f>
        <v>0</v>
      </c>
      <c r="AM2">
        <f>BDH("PFSA US Equity","CAPITAL_EXPEND","1993-06-18","2026-05-02","Per=Y","Days=T","Dir=V")</f>
        <v>0</v>
      </c>
      <c r="AO2">
        <f>BDH("PFSA US Equity","CF_FREE_CASH_FLOW","1993-06-18","2026-05-02","Per=Y","Days=T","Dir=V")</f>
        <v>0</v>
      </c>
      <c r="AQ2">
        <f>BDH("PFSA US Equity","PX_LAST","1993-06-18","2026-05-02","Per=M","Days=T","Dir=V")</f>
        <v>0</v>
      </c>
      <c r="AS2">
        <f>BDH("PFSA US Equity","CUR_MKT_CAP","1993-06-18","2026-05-02","Per=M","Days=T","Dir=V")</f>
        <v>0</v>
      </c>
      <c r="AU2">
        <f>BDH("PFSA US Equity","EQY_SH_OUT","1993-06-18","2026-05-02","Per=M","Days=T","Dir=V")</f>
        <v>0</v>
      </c>
      <c r="AW2">
        <f>BDH("PFSA US Equity","PX_VOLUME","1993-06-18","2026-05-02","Per=M","Days=T","Dir=V")</f>
        <v>0</v>
      </c>
      <c r="AY2">
        <f>BDH("PFSA US Equity","TURNOVER","1993-06-18","2026-05-02","Per=M","Days=T","Dir=V")</f>
        <v>0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BDH("PG US Equity","BS_TOT_ASSET","1993-06-18","2026-05-02","Per=Y","Days=T","Dir=V")</f>
        <v>0</v>
      </c>
      <c r="C2">
        <f>BDH("PG US Equity","BS_TOT_LIAB2","1993-06-18","2026-05-02","Per=Y","Days=T","Dir=V")</f>
        <v>0</v>
      </c>
      <c r="E2">
        <f>BDH("PG US Equity","SHORT_AND_LONG_TERM_DEBT","1993-06-18","2026-05-02","Per=Y","Days=T","Dir=V")</f>
        <v>0</v>
      </c>
      <c r="G2">
        <f>BDH("PG US Equity","BS_ST_BORROW","1993-06-18","2026-05-02","Per=Y","Days=T","Dir=V")</f>
        <v>0</v>
      </c>
      <c r="I2">
        <f>BDH("PG US Equity","BS_LT_BORROW","1993-06-18","2026-05-02","Per=Y","Days=T","Dir=V")</f>
        <v>0</v>
      </c>
      <c r="K2">
        <f>BDH("PG US Equity","BS_CASH_NEAR_CASH_ITEM","1993-06-18","2026-05-02","Per=Y","Days=T","Dir=V")</f>
        <v>0</v>
      </c>
      <c r="M2">
        <f>BDH("PG US Equity","BS_CUR_ASSET_REPORT","1993-06-18","2026-05-02","Per=Y","Days=T","Dir=V")</f>
        <v>0</v>
      </c>
      <c r="O2">
        <f>BDH("PG US Equity","BS_CUR_LIAB","1993-06-18","2026-05-02","Per=Y","Days=T","Dir=V")</f>
        <v>0</v>
      </c>
      <c r="Q2">
        <f>BDH("PG US Equity","BS_SHAREHOLDER_EQY_ENDING_PERIOD","1993-06-18","2026-05-02","Per=Y","Days=T","Dir=V")</f>
        <v>0</v>
      </c>
      <c r="S2">
        <f>BDH("PG US Equity","BS_ACCT_NOTE_RCV","1993-06-18","2026-05-02","Per=Y","Days=T","Dir=V")</f>
        <v>0</v>
      </c>
      <c r="U2">
        <f>BDH("PG US Equity","BS_INVENTORIES","1993-06-18","2026-05-02","Per=Y","Days=T","Dir=V")</f>
        <v>0</v>
      </c>
      <c r="W2">
        <f>BDH("PG US Equity","WORKING_CAPITAL","1993-06-18","2026-05-02","Per=Y","Days=T","Dir=V")</f>
        <v>0</v>
      </c>
      <c r="Y2">
        <f>BDH("PG US Equity","SALES_REV_TURN","1993-06-18","2026-05-02","Per=Y","Days=T","Dir=V")</f>
        <v>0</v>
      </c>
      <c r="AA2">
        <f>BDH("PG US Equity","EBIT","1993-06-18","2026-05-02","Per=Y","Days=T","Dir=V")</f>
        <v>0</v>
      </c>
      <c r="AC2">
        <f>BDH("PG US Equity","EBITDA","1993-06-18","2026-05-02","Per=Y","Days=T","Dir=V")</f>
        <v>0</v>
      </c>
      <c r="AE2">
        <f>BDH("PG US Equity","NET_INCOME","1993-06-18","2026-05-02","Per=Y","Days=T","Dir=V")</f>
        <v>0</v>
      </c>
      <c r="AG2">
        <f>BDH("PG US Equity","IS_INT_EXPENSE","1993-06-18","2026-05-02","Per=Y","Days=T","Dir=V")</f>
        <v>0</v>
      </c>
      <c r="AI2">
        <f>BDH("PG US Equity","IS_DEPR_EXP","1993-06-18","2026-05-02","Per=Y","Days=T","Dir=V")</f>
        <v>0</v>
      </c>
      <c r="AK2">
        <f>BDH("PG US Equity","CF_CASH_FROM_OPER","1993-06-18","2026-05-02","Per=Y","Days=T","Dir=V")</f>
        <v>0</v>
      </c>
      <c r="AM2">
        <f>BDH("PG US Equity","CAPITAL_EXPEND","1993-06-18","2026-05-02","Per=Y","Days=T","Dir=V")</f>
        <v>0</v>
      </c>
      <c r="AO2">
        <f>BDH("PG US Equity","CF_FREE_CASH_FLOW","1993-06-18","2026-05-02","Per=Y","Days=T","Dir=V")</f>
        <v>0</v>
      </c>
      <c r="AQ2">
        <f>BDH("PG US Equity","PX_LAST","1993-06-18","2026-05-02","Per=M","Days=T","Dir=V")</f>
        <v>0</v>
      </c>
      <c r="AS2">
        <f>BDH("PG US Equity","CUR_MKT_CAP","1993-06-18","2026-05-02","Per=M","Days=T","Dir=V")</f>
        <v>0</v>
      </c>
      <c r="AU2">
        <f>BDH("PG US Equity","EQY_SH_OUT","1993-06-18","2026-05-02","Per=M","Days=T","Dir=V")</f>
        <v>0</v>
      </c>
      <c r="AW2">
        <f>BDH("PG US Equity","PX_VOLUME","1993-06-18","2026-05-02","Per=M","Days=T","Dir=V")</f>
        <v>0</v>
      </c>
      <c r="AY2">
        <f>BDH("PG US Equity","TURNOVER","1993-06-18","2026-05-02","Per=M","Days=T","Dir=V")</f>
        <v>0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BDH("PGEN US Equity","BS_TOT_ASSET","1993-06-18","2026-05-02","Per=Y","Days=T","Dir=V")</f>
        <v>0</v>
      </c>
      <c r="C2">
        <f>BDH("PGEN US Equity","BS_TOT_LIAB2","1993-06-18","2026-05-02","Per=Y","Days=T","Dir=V")</f>
        <v>0</v>
      </c>
      <c r="E2">
        <f>BDH("PGEN US Equity","SHORT_AND_LONG_TERM_DEBT","1993-06-18","2026-05-02","Per=Y","Days=T","Dir=V")</f>
        <v>0</v>
      </c>
      <c r="G2">
        <f>BDH("PGEN US Equity","BS_ST_BORROW","1993-06-18","2026-05-02","Per=Y","Days=T","Dir=V")</f>
        <v>0</v>
      </c>
      <c r="I2">
        <f>BDH("PGEN US Equity","BS_LT_BORROW","1993-06-18","2026-05-02","Per=Y","Days=T","Dir=V")</f>
        <v>0</v>
      </c>
      <c r="K2">
        <f>BDH("PGEN US Equity","BS_CASH_NEAR_CASH_ITEM","1993-06-18","2026-05-02","Per=Y","Days=T","Dir=V")</f>
        <v>0</v>
      </c>
      <c r="M2">
        <f>BDH("PGEN US Equity","BS_CUR_ASSET_REPORT","1993-06-18","2026-05-02","Per=Y","Days=T","Dir=V")</f>
        <v>0</v>
      </c>
      <c r="O2">
        <f>BDH("PGEN US Equity","BS_CUR_LIAB","1993-06-18","2026-05-02","Per=Y","Days=T","Dir=V")</f>
        <v>0</v>
      </c>
      <c r="Q2">
        <f>BDH("PGEN US Equity","BS_SHAREHOLDER_EQY_ENDING_PERIOD","1993-06-18","2026-05-02","Per=Y","Days=T","Dir=V")</f>
        <v>0</v>
      </c>
      <c r="S2">
        <f>BDH("PGEN US Equity","BS_ACCT_NOTE_RCV","1993-06-18","2026-05-02","Per=Y","Days=T","Dir=V")</f>
        <v>0</v>
      </c>
      <c r="U2">
        <f>BDH("PGEN US Equity","BS_INVENTORIES","1993-06-18","2026-05-02","Per=Y","Days=T","Dir=V")</f>
        <v>0</v>
      </c>
      <c r="W2">
        <f>BDH("PGEN US Equity","WORKING_CAPITAL","1993-06-18","2026-05-02","Per=Y","Days=T","Dir=V")</f>
        <v>0</v>
      </c>
      <c r="Y2">
        <f>BDH("PGEN US Equity","SALES_REV_TURN","1993-06-18","2026-05-02","Per=Y","Days=T","Dir=V")</f>
        <v>0</v>
      </c>
      <c r="AA2">
        <f>BDH("PGEN US Equity","EBIT","1993-06-18","2026-05-02","Per=Y","Days=T","Dir=V")</f>
        <v>0</v>
      </c>
      <c r="AC2">
        <f>BDH("PGEN US Equity","EBITDA","1993-06-18","2026-05-02","Per=Y","Days=T","Dir=V")</f>
        <v>0</v>
      </c>
      <c r="AE2">
        <f>BDH("PGEN US Equity","NET_INCOME","1993-06-18","2026-05-02","Per=Y","Days=T","Dir=V")</f>
        <v>0</v>
      </c>
      <c r="AG2">
        <f>BDH("PGEN US Equity","IS_INT_EXPENSE","1993-06-18","2026-05-02","Per=Y","Days=T","Dir=V")</f>
        <v>0</v>
      </c>
      <c r="AI2">
        <f>BDH("PGEN US Equity","IS_DEPR_EXP","1993-06-18","2026-05-02","Per=Y","Days=T","Dir=V")</f>
        <v>0</v>
      </c>
      <c r="AK2">
        <f>BDH("PGEN US Equity","CF_CASH_FROM_OPER","1993-06-18","2026-05-02","Per=Y","Days=T","Dir=V")</f>
        <v>0</v>
      </c>
      <c r="AM2">
        <f>BDH("PGEN US Equity","CAPITAL_EXPEND","1993-06-18","2026-05-02","Per=Y","Days=T","Dir=V")</f>
        <v>0</v>
      </c>
      <c r="AO2">
        <f>BDH("PGEN US Equity","CF_FREE_CASH_FLOW","1993-06-18","2026-05-02","Per=Y","Days=T","Dir=V")</f>
        <v>0</v>
      </c>
      <c r="AQ2">
        <f>BDH("PGEN US Equity","PX_LAST","1993-06-18","2026-05-02","Per=M","Days=T","Dir=V")</f>
        <v>0</v>
      </c>
      <c r="AS2">
        <f>BDH("PGEN US Equity","CUR_MKT_CAP","1993-06-18","2026-05-02","Per=M","Days=T","Dir=V")</f>
        <v>0</v>
      </c>
      <c r="AU2">
        <f>BDH("PGEN US Equity","EQY_SH_OUT","1993-06-18","2026-05-02","Per=M","Days=T","Dir=V")</f>
        <v>0</v>
      </c>
      <c r="AW2">
        <f>BDH("PGEN US Equity","PX_VOLUME","1993-06-18","2026-05-02","Per=M","Days=T","Dir=V")</f>
        <v>0</v>
      </c>
      <c r="AY2">
        <f>BDH("PGEN US Equity","TURNOVER","1993-06-18","2026-05-02","Per=M","Days=T","Dir=V")</f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BDH("PGNY US Equity","BS_TOT_ASSET","1993-06-18","2026-05-02","Per=Y","Days=T","Dir=V")</f>
        <v>0</v>
      </c>
      <c r="C2">
        <f>BDH("PGNY US Equity","BS_TOT_LIAB2","1993-06-18","2026-05-02","Per=Y","Days=T","Dir=V")</f>
        <v>0</v>
      </c>
      <c r="E2">
        <f>BDH("PGNY US Equity","SHORT_AND_LONG_TERM_DEBT","1993-06-18","2026-05-02","Per=Y","Days=T","Dir=V")</f>
        <v>0</v>
      </c>
      <c r="G2">
        <f>BDH("PGNY US Equity","BS_ST_BORROW","1993-06-18","2026-05-02","Per=Y","Days=T","Dir=V")</f>
        <v>0</v>
      </c>
      <c r="I2">
        <f>BDH("PGNY US Equity","BS_LT_BORROW","1993-06-18","2026-05-02","Per=Y","Days=T","Dir=V")</f>
        <v>0</v>
      </c>
      <c r="K2">
        <f>BDH("PGNY US Equity","BS_CASH_NEAR_CASH_ITEM","1993-06-18","2026-05-02","Per=Y","Days=T","Dir=V")</f>
        <v>0</v>
      </c>
      <c r="M2">
        <f>BDH("PGNY US Equity","BS_CUR_ASSET_REPORT","1993-06-18","2026-05-02","Per=Y","Days=T","Dir=V")</f>
        <v>0</v>
      </c>
      <c r="O2">
        <f>BDH("PGNY US Equity","BS_CUR_LIAB","1993-06-18","2026-05-02","Per=Y","Days=T","Dir=V")</f>
        <v>0</v>
      </c>
      <c r="Q2">
        <f>BDH("PGNY US Equity","BS_SHAREHOLDER_EQY_ENDING_PERIOD","1993-06-18","2026-05-02","Per=Y","Days=T","Dir=V")</f>
        <v>0</v>
      </c>
      <c r="S2">
        <f>BDH("PGNY US Equity","BS_ACCT_NOTE_RCV","1993-06-18","2026-05-02","Per=Y","Days=T","Dir=V")</f>
        <v>0</v>
      </c>
      <c r="U2">
        <f>BDH("PGNY US Equity","BS_INVENTORIES","1993-06-18","2026-05-02","Per=Y","Days=T","Dir=V")</f>
        <v>0</v>
      </c>
      <c r="W2">
        <f>BDH("PGNY US Equity","WORKING_CAPITAL","1993-06-18","2026-05-02","Per=Y","Days=T","Dir=V")</f>
        <v>0</v>
      </c>
      <c r="Y2">
        <f>BDH("PGNY US Equity","SALES_REV_TURN","1993-06-18","2026-05-02","Per=Y","Days=T","Dir=V")</f>
        <v>0</v>
      </c>
      <c r="AA2">
        <f>BDH("PGNY US Equity","EBIT","1993-06-18","2026-05-02","Per=Y","Days=T","Dir=V")</f>
        <v>0</v>
      </c>
      <c r="AC2">
        <f>BDH("PGNY US Equity","EBITDA","1993-06-18","2026-05-02","Per=Y","Days=T","Dir=V")</f>
        <v>0</v>
      </c>
      <c r="AE2">
        <f>BDH("PGNY US Equity","NET_INCOME","1993-06-18","2026-05-02","Per=Y","Days=T","Dir=V")</f>
        <v>0</v>
      </c>
      <c r="AG2">
        <f>BDH("PGNY US Equity","IS_INT_EXPENSE","1993-06-18","2026-05-02","Per=Y","Days=T","Dir=V")</f>
        <v>0</v>
      </c>
      <c r="AI2">
        <f>BDH("PGNY US Equity","IS_DEPR_EXP","1993-06-18","2026-05-02","Per=Y","Days=T","Dir=V")</f>
        <v>0</v>
      </c>
      <c r="AK2">
        <f>BDH("PGNY US Equity","CF_CASH_FROM_OPER","1993-06-18","2026-05-02","Per=Y","Days=T","Dir=V")</f>
        <v>0</v>
      </c>
      <c r="AM2">
        <f>BDH("PGNY US Equity","CAPITAL_EXPEND","1993-06-18","2026-05-02","Per=Y","Days=T","Dir=V")</f>
        <v>0</v>
      </c>
      <c r="AO2">
        <f>BDH("PGNY US Equity","CF_FREE_CASH_FLOW","1993-06-18","2026-05-02","Per=Y","Days=T","Dir=V")</f>
        <v>0</v>
      </c>
      <c r="AQ2">
        <f>BDH("PGNY US Equity","PX_LAST","1993-06-18","2026-05-02","Per=M","Days=T","Dir=V")</f>
        <v>0</v>
      </c>
      <c r="AS2">
        <f>BDH("PGNY US Equity","CUR_MKT_CAP","1993-06-18","2026-05-02","Per=M","Days=T","Dir=V")</f>
        <v>0</v>
      </c>
      <c r="AU2">
        <f>BDH("PGNY US Equity","EQY_SH_OUT","1993-06-18","2026-05-02","Per=M","Days=T","Dir=V")</f>
        <v>0</v>
      </c>
      <c r="AW2">
        <f>BDH("PGNY US Equity","PX_VOLUME","1993-06-18","2026-05-02","Per=M","Days=T","Dir=V")</f>
        <v>0</v>
      </c>
      <c r="AY2">
        <f>BDH("PGNY US Equity","TURNOVER","1993-06-18","2026-05-02","Per=M","Days=T","Dir=V")</f>
        <v>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 US Equity","BS_TOT_ASSET","1993-06-18","2026-05-02","Per=Y","Days=T","Dir=V")</f>
        <v>0</v>
      </c>
      <c r="C2">
        <f>BDH("PH US Equity","BS_TOT_LIAB2","1993-06-18","2026-05-02","Per=Y","Days=T","Dir=V")</f>
        <v>0</v>
      </c>
      <c r="E2">
        <f>BDH("PH US Equity","SHORT_AND_LONG_TERM_DEBT","1993-06-18","2026-05-02","Per=Y","Days=T","Dir=V")</f>
        <v>0</v>
      </c>
      <c r="G2">
        <f>BDH("PH US Equity","BS_ST_BORROW","1993-06-18","2026-05-02","Per=Y","Days=T","Dir=V")</f>
        <v>0</v>
      </c>
      <c r="I2">
        <f>BDH("PH US Equity","BS_LT_BORROW","1993-06-18","2026-05-02","Per=Y","Days=T","Dir=V")</f>
        <v>0</v>
      </c>
      <c r="K2">
        <f>BDH("PH US Equity","BS_CASH_NEAR_CASH_ITEM","1993-06-18","2026-05-02","Per=Y","Days=T","Dir=V")</f>
        <v>0</v>
      </c>
      <c r="M2">
        <f>BDH("PH US Equity","BS_CUR_ASSET_REPORT","1993-06-18","2026-05-02","Per=Y","Days=T","Dir=V")</f>
        <v>0</v>
      </c>
      <c r="O2">
        <f>BDH("PH US Equity","BS_CUR_LIAB","1993-06-18","2026-05-02","Per=Y","Days=T","Dir=V")</f>
        <v>0</v>
      </c>
      <c r="Q2">
        <f>BDH("PH US Equity","BS_SHAREHOLDER_EQY_ENDING_PERIOD","1993-06-18","2026-05-02","Per=Y","Days=T","Dir=V")</f>
        <v>0</v>
      </c>
      <c r="S2">
        <f>BDH("PH US Equity","BS_ACCT_NOTE_RCV","1993-06-18","2026-05-02","Per=Y","Days=T","Dir=V")</f>
        <v>0</v>
      </c>
      <c r="U2">
        <f>BDH("PH US Equity","BS_INVENTORIES","1993-06-18","2026-05-02","Per=Y","Days=T","Dir=V")</f>
        <v>0</v>
      </c>
      <c r="W2">
        <f>BDH("PH US Equity","WORKING_CAPITAL","1993-06-18","2026-05-02","Per=Y","Days=T","Dir=V")</f>
        <v>0</v>
      </c>
      <c r="Y2">
        <f>BDH("PH US Equity","SALES_REV_TURN","1993-06-18","2026-05-02","Per=Y","Days=T","Dir=V")</f>
        <v>0</v>
      </c>
      <c r="AA2">
        <f>BDH("PH US Equity","EBIT","1993-06-18","2026-05-02","Per=Y","Days=T","Dir=V")</f>
        <v>0</v>
      </c>
      <c r="AC2">
        <f>BDH("PH US Equity","EBITDA","1993-06-18","2026-05-02","Per=Y","Days=T","Dir=V")</f>
        <v>0</v>
      </c>
      <c r="AE2">
        <f>BDH("PH US Equity","NET_INCOME","1993-06-18","2026-05-02","Per=Y","Days=T","Dir=V")</f>
        <v>0</v>
      </c>
      <c r="AG2">
        <f>BDH("PH US Equity","IS_INT_EXPENSE","1993-06-18","2026-05-02","Per=Y","Days=T","Dir=V")</f>
        <v>0</v>
      </c>
      <c r="AI2">
        <f>BDH("PH US Equity","IS_DEPR_EXP","1993-06-18","2026-05-02","Per=Y","Days=T","Dir=V")</f>
        <v>0</v>
      </c>
      <c r="AK2">
        <f>BDH("PH US Equity","CF_CASH_FROM_OPER","1993-06-18","2026-05-02","Per=Y","Days=T","Dir=V")</f>
        <v>0</v>
      </c>
      <c r="AM2">
        <f>BDH("PH US Equity","CAPITAL_EXPEND","1993-06-18","2026-05-02","Per=Y","Days=T","Dir=V")</f>
        <v>0</v>
      </c>
      <c r="AO2">
        <f>BDH("PH US Equity","CF_FREE_CASH_FLOW","1993-06-18","2026-05-02","Per=Y","Days=T","Dir=V")</f>
        <v>0</v>
      </c>
      <c r="AQ2">
        <f>BDH("PH US Equity","PX_LAST","1993-06-18","2026-05-02","Per=M","Days=T","Dir=V")</f>
        <v>0</v>
      </c>
      <c r="AS2">
        <f>BDH("PH US Equity","CUR_MKT_CAP","1993-06-18","2026-05-02","Per=M","Days=T","Dir=V")</f>
        <v>0</v>
      </c>
      <c r="AU2">
        <f>BDH("PH US Equity","EQY_SH_OUT","1993-06-18","2026-05-02","Per=M","Days=T","Dir=V")</f>
        <v>0</v>
      </c>
      <c r="AW2">
        <f>BDH("PH US Equity","PX_VOLUME","1993-06-18","2026-05-02","Per=M","Days=T","Dir=V")</f>
        <v>0</v>
      </c>
      <c r="AY2">
        <f>BDH("PH US Equity","TURNOVER","1993-06-18","2026-05-02","Per=M","Days=T","Dir=V")</f>
        <v>0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BDH("PHAT US Equity","BS_TOT_ASSET","1993-06-18","2026-05-02","Per=Y","Days=T","Dir=V")</f>
        <v>0</v>
      </c>
      <c r="C2">
        <f>BDH("PHAT US Equity","BS_TOT_LIAB2","1993-06-18","2026-05-02","Per=Y","Days=T","Dir=V")</f>
        <v>0</v>
      </c>
      <c r="E2">
        <f>BDH("PHAT US Equity","SHORT_AND_LONG_TERM_DEBT","1993-06-18","2026-05-02","Per=Y","Days=T","Dir=V")</f>
        <v>0</v>
      </c>
      <c r="G2">
        <f>BDH("PHAT US Equity","BS_ST_BORROW","1993-06-18","2026-05-02","Per=Y","Days=T","Dir=V")</f>
        <v>0</v>
      </c>
      <c r="I2">
        <f>BDH("PHAT US Equity","BS_LT_BORROW","1993-06-18","2026-05-02","Per=Y","Days=T","Dir=V")</f>
        <v>0</v>
      </c>
      <c r="K2">
        <f>BDH("PHAT US Equity","BS_CASH_NEAR_CASH_ITEM","1993-06-18","2026-05-02","Per=Y","Days=T","Dir=V")</f>
        <v>0</v>
      </c>
      <c r="M2">
        <f>BDH("PHAT US Equity","BS_CUR_ASSET_REPORT","1993-06-18","2026-05-02","Per=Y","Days=T","Dir=V")</f>
        <v>0</v>
      </c>
      <c r="O2">
        <f>BDH("PHAT US Equity","BS_CUR_LIAB","1993-06-18","2026-05-02","Per=Y","Days=T","Dir=V")</f>
        <v>0</v>
      </c>
      <c r="Q2">
        <f>BDH("PHAT US Equity","BS_SHAREHOLDER_EQY_ENDING_PERIOD","1993-06-18","2026-05-02","Per=Y","Days=T","Dir=V")</f>
        <v>0</v>
      </c>
      <c r="S2">
        <f>BDH("PHAT US Equity","BS_ACCT_NOTE_RCV","1993-06-18","2026-05-02","Per=Y","Days=T","Dir=V")</f>
        <v>0</v>
      </c>
      <c r="U2">
        <f>BDH("PHAT US Equity","BS_INVENTORIES","1993-06-18","2026-05-02","Per=Y","Days=T","Dir=V")</f>
        <v>0</v>
      </c>
      <c r="W2">
        <f>BDH("PHAT US Equity","WORKING_CAPITAL","1993-06-18","2026-05-02","Per=Y","Days=T","Dir=V")</f>
        <v>0</v>
      </c>
      <c r="Y2">
        <f>BDH("PHAT US Equity","SALES_REV_TURN","1993-06-18","2026-05-02","Per=Y","Days=T","Dir=V")</f>
        <v>0</v>
      </c>
      <c r="AA2">
        <f>BDH("PHAT US Equity","EBIT","1993-06-18","2026-05-02","Per=Y","Days=T","Dir=V")</f>
        <v>0</v>
      </c>
      <c r="AC2">
        <f>BDH("PHAT US Equity","EBITDA","1993-06-18","2026-05-02","Per=Y","Days=T","Dir=V")</f>
        <v>0</v>
      </c>
      <c r="AE2">
        <f>BDH("PHAT US Equity","NET_INCOME","1993-06-18","2026-05-02","Per=Y","Days=T","Dir=V")</f>
        <v>0</v>
      </c>
      <c r="AG2">
        <f>BDH("PHAT US Equity","IS_INT_EXPENSE","1993-06-18","2026-05-02","Per=Y","Days=T","Dir=V")</f>
        <v>0</v>
      </c>
      <c r="AI2">
        <f>BDH("PHAT US Equity","IS_DEPR_EXP","1993-06-18","2026-05-02","Per=Y","Days=T","Dir=V")</f>
        <v>0</v>
      </c>
      <c r="AK2">
        <f>BDH("PHAT US Equity","CF_CASH_FROM_OPER","1993-06-18","2026-05-02","Per=Y","Days=T","Dir=V")</f>
        <v>0</v>
      </c>
      <c r="AM2">
        <f>BDH("PHAT US Equity","CAPITAL_EXPEND","1993-06-18","2026-05-02","Per=Y","Days=T","Dir=V")</f>
        <v>0</v>
      </c>
      <c r="AO2">
        <f>BDH("PHAT US Equity","CF_FREE_CASH_FLOW","1993-06-18","2026-05-02","Per=Y","Days=T","Dir=V")</f>
        <v>0</v>
      </c>
      <c r="AQ2">
        <f>BDH("PHAT US Equity","PX_LAST","1993-06-18","2026-05-02","Per=M","Days=T","Dir=V")</f>
        <v>0</v>
      </c>
      <c r="AS2">
        <f>BDH("PHAT US Equity","CUR_MKT_CAP","1993-06-18","2026-05-02","Per=M","Days=T","Dir=V")</f>
        <v>0</v>
      </c>
      <c r="AU2">
        <f>BDH("PHAT US Equity","EQY_SH_OUT","1993-06-18","2026-05-02","Per=M","Days=T","Dir=V")</f>
        <v>0</v>
      </c>
      <c r="AW2">
        <f>BDH("PHAT US Equity","PX_VOLUME","1993-06-18","2026-05-02","Per=M","Days=T","Dir=V")</f>
        <v>0</v>
      </c>
      <c r="AY2">
        <f>BDH("PHAT US Equity","TURNOVER","1993-06-18","2026-05-02","Per=M","Days=T","Dir=V")</f>
        <v>0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BDH("PHIN US Equity","BS_TOT_ASSET","1993-06-18","2026-05-02","Per=Y","Days=T","Dir=V")</f>
        <v>0</v>
      </c>
      <c r="C2">
        <f>BDH("PHIN US Equity","BS_TOT_LIAB2","1993-06-18","2026-05-02","Per=Y","Days=T","Dir=V")</f>
        <v>0</v>
      </c>
      <c r="E2">
        <f>BDH("PHIN US Equity","SHORT_AND_LONG_TERM_DEBT","1993-06-18","2026-05-02","Per=Y","Days=T","Dir=V")</f>
        <v>0</v>
      </c>
      <c r="G2">
        <f>BDH("PHIN US Equity","BS_ST_BORROW","1993-06-18","2026-05-02","Per=Y","Days=T","Dir=V")</f>
        <v>0</v>
      </c>
      <c r="I2">
        <f>BDH("PHIN US Equity","BS_LT_BORROW","1993-06-18","2026-05-02","Per=Y","Days=T","Dir=V")</f>
        <v>0</v>
      </c>
      <c r="K2">
        <f>BDH("PHIN US Equity","BS_CASH_NEAR_CASH_ITEM","1993-06-18","2026-05-02","Per=Y","Days=T","Dir=V")</f>
        <v>0</v>
      </c>
      <c r="M2">
        <f>BDH("PHIN US Equity","BS_CUR_ASSET_REPORT","1993-06-18","2026-05-02","Per=Y","Days=T","Dir=V")</f>
        <v>0</v>
      </c>
      <c r="O2">
        <f>BDH("PHIN US Equity","BS_CUR_LIAB","1993-06-18","2026-05-02","Per=Y","Days=T","Dir=V")</f>
        <v>0</v>
      </c>
      <c r="Q2">
        <f>BDH("PHIN US Equity","BS_SHAREHOLDER_EQY_ENDING_PERIOD","1993-06-18","2026-05-02","Per=Y","Days=T","Dir=V")</f>
        <v>0</v>
      </c>
      <c r="S2">
        <f>BDH("PHIN US Equity","BS_ACCT_NOTE_RCV","1993-06-18","2026-05-02","Per=Y","Days=T","Dir=V")</f>
        <v>0</v>
      </c>
      <c r="U2">
        <f>BDH("PHIN US Equity","BS_INVENTORIES","1993-06-18","2026-05-02","Per=Y","Days=T","Dir=V")</f>
        <v>0</v>
      </c>
      <c r="W2">
        <f>BDH("PHIN US Equity","WORKING_CAPITAL","1993-06-18","2026-05-02","Per=Y","Days=T","Dir=V")</f>
        <v>0</v>
      </c>
      <c r="Y2">
        <f>BDH("PHIN US Equity","SALES_REV_TURN","1993-06-18","2026-05-02","Per=Y","Days=T","Dir=V")</f>
        <v>0</v>
      </c>
      <c r="AA2">
        <f>BDH("PHIN US Equity","EBIT","1993-06-18","2026-05-02","Per=Y","Days=T","Dir=V")</f>
        <v>0</v>
      </c>
      <c r="AC2">
        <f>BDH("PHIN US Equity","EBITDA","1993-06-18","2026-05-02","Per=Y","Days=T","Dir=V")</f>
        <v>0</v>
      </c>
      <c r="AE2">
        <f>BDH("PHIN US Equity","NET_INCOME","1993-06-18","2026-05-02","Per=Y","Days=T","Dir=V")</f>
        <v>0</v>
      </c>
      <c r="AG2">
        <f>BDH("PHIN US Equity","IS_INT_EXPENSE","1993-06-18","2026-05-02","Per=Y","Days=T","Dir=V")</f>
        <v>0</v>
      </c>
      <c r="AI2">
        <f>BDH("PHIN US Equity","IS_DEPR_EXP","1993-06-18","2026-05-02","Per=Y","Days=T","Dir=V")</f>
        <v>0</v>
      </c>
      <c r="AK2">
        <f>BDH("PHIN US Equity","CF_CASH_FROM_OPER","1993-06-18","2026-05-02","Per=Y","Days=T","Dir=V")</f>
        <v>0</v>
      </c>
      <c r="AM2">
        <f>BDH("PHIN US Equity","CAPITAL_EXPEND","1993-06-18","2026-05-02","Per=Y","Days=T","Dir=V")</f>
        <v>0</v>
      </c>
      <c r="AO2">
        <f>BDH("PHIN US Equity","CF_FREE_CASH_FLOW","1993-06-18","2026-05-02","Per=Y","Days=T","Dir=V")</f>
        <v>0</v>
      </c>
      <c r="AQ2">
        <f>BDH("PHIN US Equity","PX_LAST","1993-06-18","2026-05-02","Per=M","Days=T","Dir=V")</f>
        <v>0</v>
      </c>
      <c r="AS2">
        <f>BDH("PHIN US Equity","CUR_MKT_CAP","1993-06-18","2026-05-02","Per=M","Days=T","Dir=V")</f>
        <v>0</v>
      </c>
      <c r="AU2">
        <f>BDH("PHIN US Equity","EQY_SH_OUT","1993-06-18","2026-05-02","Per=M","Days=T","Dir=V")</f>
        <v>0</v>
      </c>
      <c r="AW2">
        <f>BDH("PHIN US Equity","PX_VOLUME","1993-06-18","2026-05-02","Per=M","Days=T","Dir=V")</f>
        <v>0</v>
      </c>
      <c r="AY2">
        <f>BDH("PHIN US Equity","TURNOVER","1993-06-18","2026-05-02","Per=M","Days=T","Dir=V")</f>
        <v>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BDH("PHIO US Equity","BS_TOT_ASSET","1993-06-18","2026-05-02","Per=Y","Days=T","Dir=V")</f>
        <v>0</v>
      </c>
      <c r="C2">
        <f>BDH("PHIO US Equity","BS_TOT_LIAB2","1993-06-18","2026-05-02","Per=Y","Days=T","Dir=V")</f>
        <v>0</v>
      </c>
      <c r="E2">
        <f>BDH("PHIO US Equity","SHORT_AND_LONG_TERM_DEBT","1993-06-18","2026-05-02","Per=Y","Days=T","Dir=V")</f>
        <v>0</v>
      </c>
      <c r="G2">
        <f>BDH("PHIO US Equity","BS_ST_BORROW","1993-06-18","2026-05-02","Per=Y","Days=T","Dir=V")</f>
        <v>0</v>
      </c>
      <c r="I2">
        <f>BDH("PHIO US Equity","BS_LT_BORROW","1993-06-18","2026-05-02","Per=Y","Days=T","Dir=V")</f>
        <v>0</v>
      </c>
      <c r="K2">
        <f>BDH("PHIO US Equity","BS_CASH_NEAR_CASH_ITEM","1993-06-18","2026-05-02","Per=Y","Days=T","Dir=V")</f>
        <v>0</v>
      </c>
      <c r="M2">
        <f>BDH("PHIO US Equity","BS_CUR_ASSET_REPORT","1993-06-18","2026-05-02","Per=Y","Days=T","Dir=V")</f>
        <v>0</v>
      </c>
      <c r="O2">
        <f>BDH("PHIO US Equity","BS_CUR_LIAB","1993-06-18","2026-05-02","Per=Y","Days=T","Dir=V")</f>
        <v>0</v>
      </c>
      <c r="Q2">
        <f>BDH("PHIO US Equity","BS_SHAREHOLDER_EQY_ENDING_PERIOD","1993-06-18","2026-05-02","Per=Y","Days=T","Dir=V")</f>
        <v>0</v>
      </c>
      <c r="S2">
        <f>BDH("PHIO US Equity","BS_ACCT_NOTE_RCV","1993-06-18","2026-05-02","Per=Y","Days=T","Dir=V")</f>
        <v>0</v>
      </c>
      <c r="U2">
        <f>BDH("PHIO US Equity","BS_INVENTORIES","1993-06-18","2026-05-02","Per=Y","Days=T","Dir=V")</f>
        <v>0</v>
      </c>
      <c r="W2">
        <f>BDH("PHIO US Equity","WORKING_CAPITAL","1993-06-18","2026-05-02","Per=Y","Days=T","Dir=V")</f>
        <v>0</v>
      </c>
      <c r="Y2">
        <f>BDH("PHIO US Equity","SALES_REV_TURN","1993-06-18","2026-05-02","Per=Y","Days=T","Dir=V")</f>
        <v>0</v>
      </c>
      <c r="AA2">
        <f>BDH("PHIO US Equity","EBIT","1993-06-18","2026-05-02","Per=Y","Days=T","Dir=V")</f>
        <v>0</v>
      </c>
      <c r="AC2">
        <f>BDH("PHIO US Equity","EBITDA","1993-06-18","2026-05-02","Per=Y","Days=T","Dir=V")</f>
        <v>0</v>
      </c>
      <c r="AE2">
        <f>BDH("PHIO US Equity","NET_INCOME","1993-06-18","2026-05-02","Per=Y","Days=T","Dir=V")</f>
        <v>0</v>
      </c>
      <c r="AG2">
        <f>BDH("PHIO US Equity","IS_INT_EXPENSE","1993-06-18","2026-05-02","Per=Y","Days=T","Dir=V")</f>
        <v>0</v>
      </c>
      <c r="AI2">
        <f>BDH("PHIO US Equity","IS_DEPR_EXP","1993-06-18","2026-05-02","Per=Y","Days=T","Dir=V")</f>
        <v>0</v>
      </c>
      <c r="AK2">
        <f>BDH("PHIO US Equity","CF_CASH_FROM_OPER","1993-06-18","2026-05-02","Per=Y","Days=T","Dir=V")</f>
        <v>0</v>
      </c>
      <c r="AM2">
        <f>BDH("PHIO US Equity","CAPITAL_EXPEND","1993-06-18","2026-05-02","Per=Y","Days=T","Dir=V")</f>
        <v>0</v>
      </c>
      <c r="AO2">
        <f>BDH("PHIO US Equity","CF_FREE_CASH_FLOW","1993-06-18","2026-05-02","Per=Y","Days=T","Dir=V")</f>
        <v>0</v>
      </c>
      <c r="AQ2">
        <f>BDH("PHIO US Equity","PX_LAST","1993-06-18","2026-05-02","Per=M","Days=T","Dir=V")</f>
        <v>0</v>
      </c>
      <c r="AS2">
        <f>BDH("PHIO US Equity","CUR_MKT_CAP","1993-06-18","2026-05-02","Per=M","Days=T","Dir=V")</f>
        <v>0</v>
      </c>
      <c r="AU2">
        <f>BDH("PHIO US Equity","EQY_SH_OUT","1993-06-18","2026-05-02","Per=M","Days=T","Dir=V")</f>
        <v>0</v>
      </c>
      <c r="AW2">
        <f>BDH("PHIO US Equity","PX_VOLUME","1993-06-18","2026-05-02","Per=M","Days=T","Dir=V")</f>
        <v>0</v>
      </c>
      <c r="AY2">
        <f>BDH("PHIO US Equity","TURNOVER","1993-06-18","2026-05-02","Per=M","Days=T","Dir=V")</f>
        <v>0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BDH("PHM US Equity","BS_TOT_ASSET","1993-06-18","2026-05-02","Per=Y","Days=T","Dir=V")</f>
        <v>0</v>
      </c>
      <c r="C2">
        <f>BDH("PHM US Equity","BS_TOT_LIAB2","1993-06-18","2026-05-02","Per=Y","Days=T","Dir=V")</f>
        <v>0</v>
      </c>
      <c r="E2">
        <f>BDH("PHM US Equity","SHORT_AND_LONG_TERM_DEBT","1993-06-18","2026-05-02","Per=Y","Days=T","Dir=V")</f>
        <v>0</v>
      </c>
      <c r="G2">
        <f>BDH("PHM US Equity","BS_ST_BORROW","1993-06-18","2026-05-02","Per=Y","Days=T","Dir=V")</f>
        <v>0</v>
      </c>
      <c r="I2">
        <f>BDH("PHM US Equity","BS_LT_BORROW","1993-06-18","2026-05-02","Per=Y","Days=T","Dir=V")</f>
        <v>0</v>
      </c>
      <c r="K2">
        <f>BDH("PHM US Equity","BS_CASH_NEAR_CASH_ITEM","1993-06-18","2026-05-02","Per=Y","Days=T","Dir=V")</f>
        <v>0</v>
      </c>
      <c r="M2">
        <f>BDH("PHM US Equity","BS_CUR_ASSET_REPORT","1993-06-18","2026-05-02","Per=Y","Days=T","Dir=V")</f>
        <v>0</v>
      </c>
      <c r="O2">
        <f>BDH("PHM US Equity","BS_CUR_LIAB","1993-06-18","2026-05-02","Per=Y","Days=T","Dir=V")</f>
        <v>0</v>
      </c>
      <c r="Q2">
        <f>BDH("PHM US Equity","BS_SHAREHOLDER_EQY_ENDING_PERIOD","1993-06-18","2026-05-02","Per=Y","Days=T","Dir=V")</f>
        <v>0</v>
      </c>
      <c r="S2">
        <f>BDH("PHM US Equity","BS_ACCT_NOTE_RCV","1993-06-18","2026-05-02","Per=Y","Days=T","Dir=V")</f>
        <v>0</v>
      </c>
      <c r="U2">
        <f>BDH("PHM US Equity","BS_INVENTORIES","1993-06-18","2026-05-02","Per=Y","Days=T","Dir=V")</f>
        <v>0</v>
      </c>
      <c r="W2">
        <f>BDH("PHM US Equity","WORKING_CAPITAL","1993-06-18","2026-05-02","Per=Y","Days=T","Dir=V")</f>
        <v>0</v>
      </c>
      <c r="Y2">
        <f>BDH("PHM US Equity","SALES_REV_TURN","1993-06-18","2026-05-02","Per=Y","Days=T","Dir=V")</f>
        <v>0</v>
      </c>
      <c r="AA2">
        <f>BDH("PHM US Equity","EBIT","1993-06-18","2026-05-02","Per=Y","Days=T","Dir=V")</f>
        <v>0</v>
      </c>
      <c r="AC2">
        <f>BDH("PHM US Equity","EBITDA","1993-06-18","2026-05-02","Per=Y","Days=T","Dir=V")</f>
        <v>0</v>
      </c>
      <c r="AE2">
        <f>BDH("PHM US Equity","NET_INCOME","1993-06-18","2026-05-02","Per=Y","Days=T","Dir=V")</f>
        <v>0</v>
      </c>
      <c r="AG2">
        <f>BDH("PHM US Equity","IS_INT_EXPENSE","1993-06-18","2026-05-02","Per=Y","Days=T","Dir=V")</f>
        <v>0</v>
      </c>
      <c r="AI2">
        <f>BDH("PHM US Equity","IS_DEPR_EXP","1993-06-18","2026-05-02","Per=Y","Days=T","Dir=V")</f>
        <v>0</v>
      </c>
      <c r="AK2">
        <f>BDH("PHM US Equity","CF_CASH_FROM_OPER","1993-06-18","2026-05-02","Per=Y","Days=T","Dir=V")</f>
        <v>0</v>
      </c>
      <c r="AM2">
        <f>BDH("PHM US Equity","CAPITAL_EXPEND","1993-06-18","2026-05-02","Per=Y","Days=T","Dir=V")</f>
        <v>0</v>
      </c>
      <c r="AO2">
        <f>BDH("PHM US Equity","CF_FREE_CASH_FLOW","1993-06-18","2026-05-02","Per=Y","Days=T","Dir=V")</f>
        <v>0</v>
      </c>
      <c r="AQ2">
        <f>BDH("PHM US Equity","PX_LAST","1993-06-18","2026-05-02","Per=M","Days=T","Dir=V")</f>
        <v>0</v>
      </c>
      <c r="AS2">
        <f>BDH("PHM US Equity","CUR_MKT_CAP","1993-06-18","2026-05-02","Per=M","Days=T","Dir=V")</f>
        <v>0</v>
      </c>
      <c r="AU2">
        <f>BDH("PHM US Equity","EQY_SH_OUT","1993-06-18","2026-05-02","Per=M","Days=T","Dir=V")</f>
        <v>0</v>
      </c>
      <c r="AW2">
        <f>BDH("PHM US Equity","PX_VOLUME","1993-06-18","2026-05-02","Per=M","Days=T","Dir=V")</f>
        <v>0</v>
      </c>
      <c r="AY2">
        <f>BDH("PHM US Equity","TURNOVER","1993-06-18","2026-05-02","Per=M","Days=T","Dir=V")</f>
        <v>0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BDH("PHR US Equity","BS_TOT_ASSET","1993-06-18","2026-05-02","Per=Y","Days=T","Dir=V")</f>
        <v>0</v>
      </c>
      <c r="C2">
        <f>BDH("PHR US Equity","BS_TOT_LIAB2","1993-06-18","2026-05-02","Per=Y","Days=T","Dir=V")</f>
        <v>0</v>
      </c>
      <c r="E2">
        <f>BDH("PHR US Equity","SHORT_AND_LONG_TERM_DEBT","1993-06-18","2026-05-02","Per=Y","Days=T","Dir=V")</f>
        <v>0</v>
      </c>
      <c r="G2">
        <f>BDH("PHR US Equity","BS_ST_BORROW","1993-06-18","2026-05-02","Per=Y","Days=T","Dir=V")</f>
        <v>0</v>
      </c>
      <c r="I2">
        <f>BDH("PHR US Equity","BS_LT_BORROW","1993-06-18","2026-05-02","Per=Y","Days=T","Dir=V")</f>
        <v>0</v>
      </c>
      <c r="K2">
        <f>BDH("PHR US Equity","BS_CASH_NEAR_CASH_ITEM","1993-06-18","2026-05-02","Per=Y","Days=T","Dir=V")</f>
        <v>0</v>
      </c>
      <c r="M2">
        <f>BDH("PHR US Equity","BS_CUR_ASSET_REPORT","1993-06-18","2026-05-02","Per=Y","Days=T","Dir=V")</f>
        <v>0</v>
      </c>
      <c r="O2">
        <f>BDH("PHR US Equity","BS_CUR_LIAB","1993-06-18","2026-05-02","Per=Y","Days=T","Dir=V")</f>
        <v>0</v>
      </c>
      <c r="Q2">
        <f>BDH("PHR US Equity","BS_SHAREHOLDER_EQY_ENDING_PERIOD","1993-06-18","2026-05-02","Per=Y","Days=T","Dir=V")</f>
        <v>0</v>
      </c>
      <c r="S2">
        <f>BDH("PHR US Equity","BS_ACCT_NOTE_RCV","1993-06-18","2026-05-02","Per=Y","Days=T","Dir=V")</f>
        <v>0</v>
      </c>
      <c r="U2">
        <f>BDH("PHR US Equity","BS_INVENTORIES","1993-06-18","2026-05-02","Per=Y","Days=T","Dir=V")</f>
        <v>0</v>
      </c>
      <c r="W2">
        <f>BDH("PHR US Equity","WORKING_CAPITAL","1993-06-18","2026-05-02","Per=Y","Days=T","Dir=V")</f>
        <v>0</v>
      </c>
      <c r="Y2">
        <f>BDH("PHR US Equity","SALES_REV_TURN","1993-06-18","2026-05-02","Per=Y","Days=T","Dir=V")</f>
        <v>0</v>
      </c>
      <c r="AA2">
        <f>BDH("PHR US Equity","EBIT","1993-06-18","2026-05-02","Per=Y","Days=T","Dir=V")</f>
        <v>0</v>
      </c>
      <c r="AC2">
        <f>BDH("PHR US Equity","EBITDA","1993-06-18","2026-05-02","Per=Y","Days=T","Dir=V")</f>
        <v>0</v>
      </c>
      <c r="AE2">
        <f>BDH("PHR US Equity","NET_INCOME","1993-06-18","2026-05-02","Per=Y","Days=T","Dir=V")</f>
        <v>0</v>
      </c>
      <c r="AG2">
        <f>BDH("PHR US Equity","IS_INT_EXPENSE","1993-06-18","2026-05-02","Per=Y","Days=T","Dir=V")</f>
        <v>0</v>
      </c>
      <c r="AI2">
        <f>BDH("PHR US Equity","IS_DEPR_EXP","1993-06-18","2026-05-02","Per=Y","Days=T","Dir=V")</f>
        <v>0</v>
      </c>
      <c r="AK2">
        <f>BDH("PHR US Equity","CF_CASH_FROM_OPER","1993-06-18","2026-05-02","Per=Y","Days=T","Dir=V")</f>
        <v>0</v>
      </c>
      <c r="AM2">
        <f>BDH("PHR US Equity","CAPITAL_EXPEND","1993-06-18","2026-05-02","Per=Y","Days=T","Dir=V")</f>
        <v>0</v>
      </c>
      <c r="AO2">
        <f>BDH("PHR US Equity","CF_FREE_CASH_FLOW","1993-06-18","2026-05-02","Per=Y","Days=T","Dir=V")</f>
        <v>0</v>
      </c>
      <c r="AQ2">
        <f>BDH("PHR US Equity","PX_LAST","1993-06-18","2026-05-02","Per=M","Days=T","Dir=V")</f>
        <v>0</v>
      </c>
      <c r="AS2">
        <f>BDH("PHR US Equity","CUR_MKT_CAP","1993-06-18","2026-05-02","Per=M","Days=T","Dir=V")</f>
        <v>0</v>
      </c>
      <c r="AU2">
        <f>BDH("PHR US Equity","EQY_SH_OUT","1993-06-18","2026-05-02","Per=M","Days=T","Dir=V")</f>
        <v>0</v>
      </c>
      <c r="AW2">
        <f>BDH("PHR US Equity","PX_VOLUME","1993-06-18","2026-05-02","Per=M","Days=T","Dir=V")</f>
        <v>0</v>
      </c>
      <c r="AY2">
        <f>BDH("PHR US Equity","TURNOVER","1993-06-18","2026-05-02","Per=M","Days=T","Dir=V")</f>
        <v>0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BDH("PI US Equity","BS_TOT_ASSET","1993-06-18","2026-05-02","Per=Y","Days=T","Dir=V")</f>
        <v>0</v>
      </c>
      <c r="C2">
        <f>BDH("PI US Equity","BS_TOT_LIAB2","1993-06-18","2026-05-02","Per=Y","Days=T","Dir=V")</f>
        <v>0</v>
      </c>
      <c r="E2">
        <f>BDH("PI US Equity","SHORT_AND_LONG_TERM_DEBT","1993-06-18","2026-05-02","Per=Y","Days=T","Dir=V")</f>
        <v>0</v>
      </c>
      <c r="G2">
        <f>BDH("PI US Equity","BS_ST_BORROW","1993-06-18","2026-05-02","Per=Y","Days=T","Dir=V")</f>
        <v>0</v>
      </c>
      <c r="I2">
        <f>BDH("PI US Equity","BS_LT_BORROW","1993-06-18","2026-05-02","Per=Y","Days=T","Dir=V")</f>
        <v>0</v>
      </c>
      <c r="K2">
        <f>BDH("PI US Equity","BS_CASH_NEAR_CASH_ITEM","1993-06-18","2026-05-02","Per=Y","Days=T","Dir=V")</f>
        <v>0</v>
      </c>
      <c r="M2">
        <f>BDH("PI US Equity","BS_CUR_ASSET_REPORT","1993-06-18","2026-05-02","Per=Y","Days=T","Dir=V")</f>
        <v>0</v>
      </c>
      <c r="O2">
        <f>BDH("PI US Equity","BS_CUR_LIAB","1993-06-18","2026-05-02","Per=Y","Days=T","Dir=V")</f>
        <v>0</v>
      </c>
      <c r="Q2">
        <f>BDH("PI US Equity","BS_SHAREHOLDER_EQY_ENDING_PERIOD","1993-06-18","2026-05-02","Per=Y","Days=T","Dir=V")</f>
        <v>0</v>
      </c>
      <c r="S2">
        <f>BDH("PI US Equity","BS_ACCT_NOTE_RCV","1993-06-18","2026-05-02","Per=Y","Days=T","Dir=V")</f>
        <v>0</v>
      </c>
      <c r="U2">
        <f>BDH("PI US Equity","BS_INVENTORIES","1993-06-18","2026-05-02","Per=Y","Days=T","Dir=V")</f>
        <v>0</v>
      </c>
      <c r="W2">
        <f>BDH("PI US Equity","WORKING_CAPITAL","1993-06-18","2026-05-02","Per=Y","Days=T","Dir=V")</f>
        <v>0</v>
      </c>
      <c r="Y2">
        <f>BDH("PI US Equity","SALES_REV_TURN","1993-06-18","2026-05-02","Per=Y","Days=T","Dir=V")</f>
        <v>0</v>
      </c>
      <c r="AA2">
        <f>BDH("PI US Equity","EBIT","1993-06-18","2026-05-02","Per=Y","Days=T","Dir=V")</f>
        <v>0</v>
      </c>
      <c r="AC2">
        <f>BDH("PI US Equity","EBITDA","1993-06-18","2026-05-02","Per=Y","Days=T","Dir=V")</f>
        <v>0</v>
      </c>
      <c r="AE2">
        <f>BDH("PI US Equity","NET_INCOME","1993-06-18","2026-05-02","Per=Y","Days=T","Dir=V")</f>
        <v>0</v>
      </c>
      <c r="AG2">
        <f>BDH("PI US Equity","IS_INT_EXPENSE","1993-06-18","2026-05-02","Per=Y","Days=T","Dir=V")</f>
        <v>0</v>
      </c>
      <c r="AI2">
        <f>BDH("PI US Equity","IS_DEPR_EXP","1993-06-18","2026-05-02","Per=Y","Days=T","Dir=V")</f>
        <v>0</v>
      </c>
      <c r="AK2">
        <f>BDH("PI US Equity","CF_CASH_FROM_OPER","1993-06-18","2026-05-02","Per=Y","Days=T","Dir=V")</f>
        <v>0</v>
      </c>
      <c r="AM2">
        <f>BDH("PI US Equity","CAPITAL_EXPEND","1993-06-18","2026-05-02","Per=Y","Days=T","Dir=V")</f>
        <v>0</v>
      </c>
      <c r="AO2">
        <f>BDH("PI US Equity","CF_FREE_CASH_FLOW","1993-06-18","2026-05-02","Per=Y","Days=T","Dir=V")</f>
        <v>0</v>
      </c>
      <c r="AQ2">
        <f>BDH("PI US Equity","PX_LAST","1993-06-18","2026-05-02","Per=M","Days=T","Dir=V")</f>
        <v>0</v>
      </c>
      <c r="AS2">
        <f>BDH("PI US Equity","CUR_MKT_CAP","1993-06-18","2026-05-02","Per=M","Days=T","Dir=V")</f>
        <v>0</v>
      </c>
      <c r="AU2">
        <f>BDH("PI US Equity","EQY_SH_OUT","1993-06-18","2026-05-02","Per=M","Days=T","Dir=V")</f>
        <v>0</v>
      </c>
      <c r="AW2">
        <f>BDH("PI US Equity","PX_VOLUME","1993-06-18","2026-05-02","Per=M","Days=T","Dir=V")</f>
        <v>0</v>
      </c>
      <c r="AY2">
        <f>BDH("PI US Equity","TURNOVER","1993-06-18","2026-05-02","Per=M","Days=T","Dir=V")</f>
        <v>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BDH("PII US Equity","BS_TOT_ASSET","1993-06-18","2026-05-02","Per=Y","Days=T","Dir=V")</f>
        <v>0</v>
      </c>
      <c r="C2">
        <f>BDH("PII US Equity","BS_TOT_LIAB2","1993-06-18","2026-05-02","Per=Y","Days=T","Dir=V")</f>
        <v>0</v>
      </c>
      <c r="E2">
        <f>BDH("PII US Equity","SHORT_AND_LONG_TERM_DEBT","1993-06-18","2026-05-02","Per=Y","Days=T","Dir=V")</f>
        <v>0</v>
      </c>
      <c r="G2">
        <f>BDH("PII US Equity","BS_ST_BORROW","1993-06-18","2026-05-02","Per=Y","Days=T","Dir=V")</f>
        <v>0</v>
      </c>
      <c r="I2">
        <f>BDH("PII US Equity","BS_LT_BORROW","1993-06-18","2026-05-02","Per=Y","Days=T","Dir=V")</f>
        <v>0</v>
      </c>
      <c r="K2">
        <f>BDH("PII US Equity","BS_CASH_NEAR_CASH_ITEM","1993-06-18","2026-05-02","Per=Y","Days=T","Dir=V")</f>
        <v>0</v>
      </c>
      <c r="M2">
        <f>BDH("PII US Equity","BS_CUR_ASSET_REPORT","1993-06-18","2026-05-02","Per=Y","Days=T","Dir=V")</f>
        <v>0</v>
      </c>
      <c r="O2">
        <f>BDH("PII US Equity","BS_CUR_LIAB","1993-06-18","2026-05-02","Per=Y","Days=T","Dir=V")</f>
        <v>0</v>
      </c>
      <c r="Q2">
        <f>BDH("PII US Equity","BS_SHAREHOLDER_EQY_ENDING_PERIOD","1993-06-18","2026-05-02","Per=Y","Days=T","Dir=V")</f>
        <v>0</v>
      </c>
      <c r="S2">
        <f>BDH("PII US Equity","BS_ACCT_NOTE_RCV","1993-06-18","2026-05-02","Per=Y","Days=T","Dir=V")</f>
        <v>0</v>
      </c>
      <c r="U2">
        <f>BDH("PII US Equity","BS_INVENTORIES","1993-06-18","2026-05-02","Per=Y","Days=T","Dir=V")</f>
        <v>0</v>
      </c>
      <c r="W2">
        <f>BDH("PII US Equity","WORKING_CAPITAL","1993-06-18","2026-05-02","Per=Y","Days=T","Dir=V")</f>
        <v>0</v>
      </c>
      <c r="Y2">
        <f>BDH("PII US Equity","SALES_REV_TURN","1993-06-18","2026-05-02","Per=Y","Days=T","Dir=V")</f>
        <v>0</v>
      </c>
      <c r="AA2">
        <f>BDH("PII US Equity","EBIT","1993-06-18","2026-05-02","Per=Y","Days=T","Dir=V")</f>
        <v>0</v>
      </c>
      <c r="AC2">
        <f>BDH("PII US Equity","EBITDA","1993-06-18","2026-05-02","Per=Y","Days=T","Dir=V")</f>
        <v>0</v>
      </c>
      <c r="AE2">
        <f>BDH("PII US Equity","NET_INCOME","1993-06-18","2026-05-02","Per=Y","Days=T","Dir=V")</f>
        <v>0</v>
      </c>
      <c r="AG2">
        <f>BDH("PII US Equity","IS_INT_EXPENSE","1993-06-18","2026-05-02","Per=Y","Days=T","Dir=V")</f>
        <v>0</v>
      </c>
      <c r="AI2">
        <f>BDH("PII US Equity","IS_DEPR_EXP","1993-06-18","2026-05-02","Per=Y","Days=T","Dir=V")</f>
        <v>0</v>
      </c>
      <c r="AK2">
        <f>BDH("PII US Equity","CF_CASH_FROM_OPER","1993-06-18","2026-05-02","Per=Y","Days=T","Dir=V")</f>
        <v>0</v>
      </c>
      <c r="AM2">
        <f>BDH("PII US Equity","CAPITAL_EXPEND","1993-06-18","2026-05-02","Per=Y","Days=T","Dir=V")</f>
        <v>0</v>
      </c>
      <c r="AO2">
        <f>BDH("PII US Equity","CF_FREE_CASH_FLOW","1993-06-18","2026-05-02","Per=Y","Days=T","Dir=V")</f>
        <v>0</v>
      </c>
      <c r="AQ2">
        <f>BDH("PII US Equity","PX_LAST","1993-06-18","2026-05-02","Per=M","Days=T","Dir=V")</f>
        <v>0</v>
      </c>
      <c r="AS2">
        <f>BDH("PII US Equity","CUR_MKT_CAP","1993-06-18","2026-05-02","Per=M","Days=T","Dir=V")</f>
        <v>0</v>
      </c>
      <c r="AU2">
        <f>BDH("PII US Equity","EQY_SH_OUT","1993-06-18","2026-05-02","Per=M","Days=T","Dir=V")</f>
        <v>0</v>
      </c>
      <c r="AW2">
        <f>BDH("PII US Equity","PX_VOLUME","1993-06-18","2026-05-02","Per=M","Days=T","Dir=V")</f>
        <v>0</v>
      </c>
      <c r="AY2">
        <f>BDH("PII US Equity","TURNOVER","1993-06-18","2026-05-02","Per=M","Days=T","Dir=V")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BDH("PIII US Equity","BS_TOT_ASSET","1993-06-18","2026-05-02","Per=Y","Days=T","Dir=V")</f>
        <v>0</v>
      </c>
      <c r="C2">
        <f>BDH("PIII US Equity","BS_TOT_LIAB2","1993-06-18","2026-05-02","Per=Y","Days=T","Dir=V")</f>
        <v>0</v>
      </c>
      <c r="E2">
        <f>BDH("PIII US Equity","SHORT_AND_LONG_TERM_DEBT","1993-06-18","2026-05-02","Per=Y","Days=T","Dir=V")</f>
        <v>0</v>
      </c>
      <c r="G2">
        <f>BDH("PIII US Equity","BS_ST_BORROW","1993-06-18","2026-05-02","Per=Y","Days=T","Dir=V")</f>
        <v>0</v>
      </c>
      <c r="I2">
        <f>BDH("PIII US Equity","BS_LT_BORROW","1993-06-18","2026-05-02","Per=Y","Days=T","Dir=V")</f>
        <v>0</v>
      </c>
      <c r="K2">
        <f>BDH("PIII US Equity","BS_CASH_NEAR_CASH_ITEM","1993-06-18","2026-05-02","Per=Y","Days=T","Dir=V")</f>
        <v>0</v>
      </c>
      <c r="M2">
        <f>BDH("PIII US Equity","BS_CUR_ASSET_REPORT","1993-06-18","2026-05-02","Per=Y","Days=T","Dir=V")</f>
        <v>0</v>
      </c>
      <c r="O2">
        <f>BDH("PIII US Equity","BS_CUR_LIAB","1993-06-18","2026-05-02","Per=Y","Days=T","Dir=V")</f>
        <v>0</v>
      </c>
      <c r="Q2">
        <f>BDH("PIII US Equity","BS_SHAREHOLDER_EQY_ENDING_PERIOD","1993-06-18","2026-05-02","Per=Y","Days=T","Dir=V")</f>
        <v>0</v>
      </c>
      <c r="S2">
        <f>BDH("PIII US Equity","BS_ACCT_NOTE_RCV","1993-06-18","2026-05-02","Per=Y","Days=T","Dir=V")</f>
        <v>0</v>
      </c>
      <c r="U2">
        <f>BDH("PIII US Equity","BS_INVENTORIES","1993-06-18","2026-05-02","Per=Y","Days=T","Dir=V")</f>
        <v>0</v>
      </c>
      <c r="W2">
        <f>BDH("PIII US Equity","WORKING_CAPITAL","1993-06-18","2026-05-02","Per=Y","Days=T","Dir=V")</f>
        <v>0</v>
      </c>
      <c r="Y2">
        <f>BDH("PIII US Equity","SALES_REV_TURN","1993-06-18","2026-05-02","Per=Y","Days=T","Dir=V")</f>
        <v>0</v>
      </c>
      <c r="AA2">
        <f>BDH("PIII US Equity","EBIT","1993-06-18","2026-05-02","Per=Y","Days=T","Dir=V")</f>
        <v>0</v>
      </c>
      <c r="AC2">
        <f>BDH("PIII US Equity","EBITDA","1993-06-18","2026-05-02","Per=Y","Days=T","Dir=V")</f>
        <v>0</v>
      </c>
      <c r="AE2">
        <f>BDH("PIII US Equity","NET_INCOME","1993-06-18","2026-05-02","Per=Y","Days=T","Dir=V")</f>
        <v>0</v>
      </c>
      <c r="AG2">
        <f>BDH("PIII US Equity","IS_INT_EXPENSE","1993-06-18","2026-05-02","Per=Y","Days=T","Dir=V")</f>
        <v>0</v>
      </c>
      <c r="AI2">
        <f>BDH("PIII US Equity","IS_DEPR_EXP","1993-06-18","2026-05-02","Per=Y","Days=T","Dir=V")</f>
        <v>0</v>
      </c>
      <c r="AK2">
        <f>BDH("PIII US Equity","CF_CASH_FROM_OPER","1993-06-18","2026-05-02","Per=Y","Days=T","Dir=V")</f>
        <v>0</v>
      </c>
      <c r="AM2">
        <f>BDH("PIII US Equity","CAPITAL_EXPEND","1993-06-18","2026-05-02","Per=Y","Days=T","Dir=V")</f>
        <v>0</v>
      </c>
      <c r="AO2">
        <f>BDH("PIII US Equity","CF_FREE_CASH_FLOW","1993-06-18","2026-05-02","Per=Y","Days=T","Dir=V")</f>
        <v>0</v>
      </c>
      <c r="AQ2">
        <f>BDH("PIII US Equity","PX_LAST","1993-06-18","2026-05-02","Per=M","Days=T","Dir=V")</f>
        <v>0</v>
      </c>
      <c r="AS2">
        <f>BDH("PIII US Equity","CUR_MKT_CAP","1993-06-18","2026-05-02","Per=M","Days=T","Dir=V")</f>
        <v>0</v>
      </c>
      <c r="AU2">
        <f>BDH("PIII US Equity","EQY_SH_OUT","1993-06-18","2026-05-02","Per=M","Days=T","Dir=V")</f>
        <v>0</v>
      </c>
      <c r="AW2">
        <f>BDH("PIII US Equity","PX_VOLUME","1993-06-18","2026-05-02","Per=M","Days=T","Dir=V")</f>
        <v>0</v>
      </c>
      <c r="AY2">
        <f>BDH("PIII US Equity","TURNOVER","1993-06-18","2026-05-02","Per=M","Days=T","Dir=V")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BDH("PIIIW US Equity","BS_TOT_ASSET","1993-06-18","2026-05-02","Per=Y","Days=T","Dir=V")</f>
        <v>0</v>
      </c>
      <c r="C2">
        <f>BDH("PIIIW US Equity","BS_TOT_LIAB2","1993-06-18","2026-05-02","Per=Y","Days=T","Dir=V")</f>
        <v>0</v>
      </c>
      <c r="E2">
        <f>BDH("PIIIW US Equity","SHORT_AND_LONG_TERM_DEBT","1993-06-18","2026-05-02","Per=Y","Days=T","Dir=V")</f>
        <v>0</v>
      </c>
      <c r="G2">
        <f>BDH("PIIIW US Equity","BS_ST_BORROW","1993-06-18","2026-05-02","Per=Y","Days=T","Dir=V")</f>
        <v>0</v>
      </c>
      <c r="I2">
        <f>BDH("PIIIW US Equity","BS_LT_BORROW","1993-06-18","2026-05-02","Per=Y","Days=T","Dir=V")</f>
        <v>0</v>
      </c>
      <c r="K2">
        <f>BDH("PIIIW US Equity","BS_CASH_NEAR_CASH_ITEM","1993-06-18","2026-05-02","Per=Y","Days=T","Dir=V")</f>
        <v>0</v>
      </c>
      <c r="M2">
        <f>BDH("PIIIW US Equity","BS_CUR_ASSET_REPORT","1993-06-18","2026-05-02","Per=Y","Days=T","Dir=V")</f>
        <v>0</v>
      </c>
      <c r="O2">
        <f>BDH("PIIIW US Equity","BS_CUR_LIAB","1993-06-18","2026-05-02","Per=Y","Days=T","Dir=V")</f>
        <v>0</v>
      </c>
      <c r="Q2">
        <f>BDH("PIIIW US Equity","BS_SHAREHOLDER_EQY_ENDING_PERIOD","1993-06-18","2026-05-02","Per=Y","Days=T","Dir=V")</f>
        <v>0</v>
      </c>
      <c r="S2">
        <f>BDH("PIIIW US Equity","BS_ACCT_NOTE_RCV","1993-06-18","2026-05-02","Per=Y","Days=T","Dir=V")</f>
        <v>0</v>
      </c>
      <c r="U2">
        <f>BDH("PIIIW US Equity","BS_INVENTORIES","1993-06-18","2026-05-02","Per=Y","Days=T","Dir=V")</f>
        <v>0</v>
      </c>
      <c r="W2">
        <f>BDH("PIIIW US Equity","WORKING_CAPITAL","1993-06-18","2026-05-02","Per=Y","Days=T","Dir=V")</f>
        <v>0</v>
      </c>
      <c r="Y2">
        <f>BDH("PIIIW US Equity","SALES_REV_TURN","1993-06-18","2026-05-02","Per=Y","Days=T","Dir=V")</f>
        <v>0</v>
      </c>
      <c r="AA2">
        <f>BDH("PIIIW US Equity","EBIT","1993-06-18","2026-05-02","Per=Y","Days=T","Dir=V")</f>
        <v>0</v>
      </c>
      <c r="AC2">
        <f>BDH("PIIIW US Equity","EBITDA","1993-06-18","2026-05-02","Per=Y","Days=T","Dir=V")</f>
        <v>0</v>
      </c>
      <c r="AE2">
        <f>BDH("PIIIW US Equity","NET_INCOME","1993-06-18","2026-05-02","Per=Y","Days=T","Dir=V")</f>
        <v>0</v>
      </c>
      <c r="AG2">
        <f>BDH("PIIIW US Equity","IS_INT_EXPENSE","1993-06-18","2026-05-02","Per=Y","Days=T","Dir=V")</f>
        <v>0</v>
      </c>
      <c r="AI2">
        <f>BDH("PIIIW US Equity","IS_DEPR_EXP","1993-06-18","2026-05-02","Per=Y","Days=T","Dir=V")</f>
        <v>0</v>
      </c>
      <c r="AK2">
        <f>BDH("PIIIW US Equity","CF_CASH_FROM_OPER","1993-06-18","2026-05-02","Per=Y","Days=T","Dir=V")</f>
        <v>0</v>
      </c>
      <c r="AM2">
        <f>BDH("PIIIW US Equity","CAPITAL_EXPEND","1993-06-18","2026-05-02","Per=Y","Days=T","Dir=V")</f>
        <v>0</v>
      </c>
      <c r="AO2">
        <f>BDH("PIIIW US Equity","CF_FREE_CASH_FLOW","1993-06-18","2026-05-02","Per=Y","Days=T","Dir=V")</f>
        <v>0</v>
      </c>
      <c r="AQ2">
        <f>BDH("PIIIW US Equity","PX_LAST","1993-06-18","2026-05-02","Per=M","Days=T","Dir=V")</f>
        <v>0</v>
      </c>
      <c r="AS2">
        <f>BDH("PIIIW US Equity","CUR_MKT_CAP","1993-06-18","2026-05-02","Per=M","Days=T","Dir=V")</f>
        <v>0</v>
      </c>
      <c r="AU2">
        <f>BDH("PIIIW US Equity","EQY_SH_OUT","1993-06-18","2026-05-02","Per=M","Days=T","Dir=V")</f>
        <v>0</v>
      </c>
      <c r="AW2">
        <f>BDH("PIIIW US Equity","PX_VOLUME","1993-06-18","2026-05-02","Per=M","Days=T","Dir=V")</f>
        <v>0</v>
      </c>
      <c r="AY2">
        <f>BDH("PIIIW US Equity","TURNOVER","1993-06-18","2026-05-02","Per=M","Days=T","Dir=V")</f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BDH("PINS US Equity","BS_TOT_ASSET","1993-06-18","2026-05-02","Per=Y","Days=T","Dir=V")</f>
        <v>0</v>
      </c>
      <c r="C2">
        <f>BDH("PINS US Equity","BS_TOT_LIAB2","1993-06-18","2026-05-02","Per=Y","Days=T","Dir=V")</f>
        <v>0</v>
      </c>
      <c r="E2">
        <f>BDH("PINS US Equity","SHORT_AND_LONG_TERM_DEBT","1993-06-18","2026-05-02","Per=Y","Days=T","Dir=V")</f>
        <v>0</v>
      </c>
      <c r="G2">
        <f>BDH("PINS US Equity","BS_ST_BORROW","1993-06-18","2026-05-02","Per=Y","Days=T","Dir=V")</f>
        <v>0</v>
      </c>
      <c r="I2">
        <f>BDH("PINS US Equity","BS_LT_BORROW","1993-06-18","2026-05-02","Per=Y","Days=T","Dir=V")</f>
        <v>0</v>
      </c>
      <c r="K2">
        <f>BDH("PINS US Equity","BS_CASH_NEAR_CASH_ITEM","1993-06-18","2026-05-02","Per=Y","Days=T","Dir=V")</f>
        <v>0</v>
      </c>
      <c r="M2">
        <f>BDH("PINS US Equity","BS_CUR_ASSET_REPORT","1993-06-18","2026-05-02","Per=Y","Days=T","Dir=V")</f>
        <v>0</v>
      </c>
      <c r="O2">
        <f>BDH("PINS US Equity","BS_CUR_LIAB","1993-06-18","2026-05-02","Per=Y","Days=T","Dir=V")</f>
        <v>0</v>
      </c>
      <c r="Q2">
        <f>BDH("PINS US Equity","BS_SHAREHOLDER_EQY_ENDING_PERIOD","1993-06-18","2026-05-02","Per=Y","Days=T","Dir=V")</f>
        <v>0</v>
      </c>
      <c r="S2">
        <f>BDH("PINS US Equity","BS_ACCT_NOTE_RCV","1993-06-18","2026-05-02","Per=Y","Days=T","Dir=V")</f>
        <v>0</v>
      </c>
      <c r="U2">
        <f>BDH("PINS US Equity","BS_INVENTORIES","1993-06-18","2026-05-02","Per=Y","Days=T","Dir=V")</f>
        <v>0</v>
      </c>
      <c r="W2">
        <f>BDH("PINS US Equity","WORKING_CAPITAL","1993-06-18","2026-05-02","Per=Y","Days=T","Dir=V")</f>
        <v>0</v>
      </c>
      <c r="Y2">
        <f>BDH("PINS US Equity","SALES_REV_TURN","1993-06-18","2026-05-02","Per=Y","Days=T","Dir=V")</f>
        <v>0</v>
      </c>
      <c r="AA2">
        <f>BDH("PINS US Equity","EBIT","1993-06-18","2026-05-02","Per=Y","Days=T","Dir=V")</f>
        <v>0</v>
      </c>
      <c r="AC2">
        <f>BDH("PINS US Equity","EBITDA","1993-06-18","2026-05-02","Per=Y","Days=T","Dir=V")</f>
        <v>0</v>
      </c>
      <c r="AE2">
        <f>BDH("PINS US Equity","NET_INCOME","1993-06-18","2026-05-02","Per=Y","Days=T","Dir=V")</f>
        <v>0</v>
      </c>
      <c r="AG2">
        <f>BDH("PINS US Equity","IS_INT_EXPENSE","1993-06-18","2026-05-02","Per=Y","Days=T","Dir=V")</f>
        <v>0</v>
      </c>
      <c r="AI2">
        <f>BDH("PINS US Equity","IS_DEPR_EXP","1993-06-18","2026-05-02","Per=Y","Days=T","Dir=V")</f>
        <v>0</v>
      </c>
      <c r="AK2">
        <f>BDH("PINS US Equity","CF_CASH_FROM_OPER","1993-06-18","2026-05-02","Per=Y","Days=T","Dir=V")</f>
        <v>0</v>
      </c>
      <c r="AM2">
        <f>BDH("PINS US Equity","CAPITAL_EXPEND","1993-06-18","2026-05-02","Per=Y","Days=T","Dir=V")</f>
        <v>0</v>
      </c>
      <c r="AO2">
        <f>BDH("PINS US Equity","CF_FREE_CASH_FLOW","1993-06-18","2026-05-02","Per=Y","Days=T","Dir=V")</f>
        <v>0</v>
      </c>
      <c r="AQ2">
        <f>BDH("PINS US Equity","PX_LAST","1993-06-18","2026-05-02","Per=M","Days=T","Dir=V")</f>
        <v>0</v>
      </c>
      <c r="AS2">
        <f>BDH("PINS US Equity","CUR_MKT_CAP","1993-06-18","2026-05-02","Per=M","Days=T","Dir=V")</f>
        <v>0</v>
      </c>
      <c r="AU2">
        <f>BDH("PINS US Equity","EQY_SH_OUT","1993-06-18","2026-05-02","Per=M","Days=T","Dir=V")</f>
        <v>0</v>
      </c>
      <c r="AW2">
        <f>BDH("PINS US Equity","PX_VOLUME","1993-06-18","2026-05-02","Per=M","Days=T","Dir=V")</f>
        <v>0</v>
      </c>
      <c r="AY2">
        <f>BDH("PINS US Equity","TURNOVER","1993-06-18","2026-05-02","Per=M","Days=T","Dir=V")</f>
        <v>0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BDH("PK US Equity","BS_TOT_ASSET","1993-06-18","2026-05-02","Per=Y","Days=T","Dir=V")</f>
        <v>0</v>
      </c>
      <c r="C2">
        <f>BDH("PK US Equity","BS_TOT_LIAB2","1993-06-18","2026-05-02","Per=Y","Days=T","Dir=V")</f>
        <v>0</v>
      </c>
      <c r="E2">
        <f>BDH("PK US Equity","SHORT_AND_LONG_TERM_DEBT","1993-06-18","2026-05-02","Per=Y","Days=T","Dir=V")</f>
        <v>0</v>
      </c>
      <c r="G2">
        <f>BDH("PK US Equity","BS_ST_BORROW","1993-06-18","2026-05-02","Per=Y","Days=T","Dir=V")</f>
        <v>0</v>
      </c>
      <c r="I2">
        <f>BDH("PK US Equity","BS_LT_BORROW","1993-06-18","2026-05-02","Per=Y","Days=T","Dir=V")</f>
        <v>0</v>
      </c>
      <c r="K2">
        <f>BDH("PK US Equity","BS_CASH_NEAR_CASH_ITEM","1993-06-18","2026-05-02","Per=Y","Days=T","Dir=V")</f>
        <v>0</v>
      </c>
      <c r="M2">
        <f>BDH("PK US Equity","BS_CUR_ASSET_REPORT","1993-06-18","2026-05-02","Per=Y","Days=T","Dir=V")</f>
        <v>0</v>
      </c>
      <c r="O2">
        <f>BDH("PK US Equity","BS_CUR_LIAB","1993-06-18","2026-05-02","Per=Y","Days=T","Dir=V")</f>
        <v>0</v>
      </c>
      <c r="Q2">
        <f>BDH("PK US Equity","BS_SHAREHOLDER_EQY_ENDING_PERIOD","1993-06-18","2026-05-02","Per=Y","Days=T","Dir=V")</f>
        <v>0</v>
      </c>
      <c r="S2">
        <f>BDH("PK US Equity","BS_ACCT_NOTE_RCV","1993-06-18","2026-05-02","Per=Y","Days=T","Dir=V")</f>
        <v>0</v>
      </c>
      <c r="U2">
        <f>BDH("PK US Equity","BS_INVENTORIES","1993-06-18","2026-05-02","Per=Y","Days=T","Dir=V")</f>
        <v>0</v>
      </c>
      <c r="W2">
        <f>BDH("PK US Equity","WORKING_CAPITAL","1993-06-18","2026-05-02","Per=Y","Days=T","Dir=V")</f>
        <v>0</v>
      </c>
      <c r="Y2">
        <f>BDH("PK US Equity","SALES_REV_TURN","1993-06-18","2026-05-02","Per=Y","Days=T","Dir=V")</f>
        <v>0</v>
      </c>
      <c r="AA2">
        <f>BDH("PK US Equity","EBIT","1993-06-18","2026-05-02","Per=Y","Days=T","Dir=V")</f>
        <v>0</v>
      </c>
      <c r="AC2">
        <f>BDH("PK US Equity","EBITDA","1993-06-18","2026-05-02","Per=Y","Days=T","Dir=V")</f>
        <v>0</v>
      </c>
      <c r="AE2">
        <f>BDH("PK US Equity","NET_INCOME","1993-06-18","2026-05-02","Per=Y","Days=T","Dir=V")</f>
        <v>0</v>
      </c>
      <c r="AG2">
        <f>BDH("PK US Equity","IS_INT_EXPENSE","1993-06-18","2026-05-02","Per=Y","Days=T","Dir=V")</f>
        <v>0</v>
      </c>
      <c r="AI2">
        <f>BDH("PK US Equity","IS_DEPR_EXP","1993-06-18","2026-05-02","Per=Y","Days=T","Dir=V")</f>
        <v>0</v>
      </c>
      <c r="AK2">
        <f>BDH("PK US Equity","CF_CASH_FROM_OPER","1993-06-18","2026-05-02","Per=Y","Days=T","Dir=V")</f>
        <v>0</v>
      </c>
      <c r="AM2">
        <f>BDH("PK US Equity","CAPITAL_EXPEND","1993-06-18","2026-05-02","Per=Y","Days=T","Dir=V")</f>
        <v>0</v>
      </c>
      <c r="AO2">
        <f>BDH("PK US Equity","CF_FREE_CASH_FLOW","1993-06-18","2026-05-02","Per=Y","Days=T","Dir=V")</f>
        <v>0</v>
      </c>
      <c r="AQ2">
        <f>BDH("PK US Equity","PX_LAST","1993-06-18","2026-05-02","Per=M","Days=T","Dir=V")</f>
        <v>0</v>
      </c>
      <c r="AS2">
        <f>BDH("PK US Equity","CUR_MKT_CAP","1993-06-18","2026-05-02","Per=M","Days=T","Dir=V")</f>
        <v>0</v>
      </c>
      <c r="AU2">
        <f>BDH("PK US Equity","EQY_SH_OUT","1993-06-18","2026-05-02","Per=M","Days=T","Dir=V")</f>
        <v>0</v>
      </c>
      <c r="AW2">
        <f>BDH("PK US Equity","PX_VOLUME","1993-06-18","2026-05-02","Per=M","Days=T","Dir=V")</f>
        <v>0</v>
      </c>
      <c r="AY2">
        <f>BDH("PK US Equity","TURNOVER","1993-06-18","2026-05-02","Per=M","Days=T","Dir=V")</f>
        <v>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BDH("PKE US Equity","BS_TOT_ASSET","1993-06-18","2026-05-02","Per=Y","Days=T","Dir=V")</f>
        <v>0</v>
      </c>
      <c r="C2">
        <f>BDH("PKE US Equity","BS_TOT_LIAB2","1993-06-18","2026-05-02","Per=Y","Days=T","Dir=V")</f>
        <v>0</v>
      </c>
      <c r="E2">
        <f>BDH("PKE US Equity","SHORT_AND_LONG_TERM_DEBT","1993-06-18","2026-05-02","Per=Y","Days=T","Dir=V")</f>
        <v>0</v>
      </c>
      <c r="G2">
        <f>BDH("PKE US Equity","BS_ST_BORROW","1993-06-18","2026-05-02","Per=Y","Days=T","Dir=V")</f>
        <v>0</v>
      </c>
      <c r="I2">
        <f>BDH("PKE US Equity","BS_LT_BORROW","1993-06-18","2026-05-02","Per=Y","Days=T","Dir=V")</f>
        <v>0</v>
      </c>
      <c r="K2">
        <f>BDH("PKE US Equity","BS_CASH_NEAR_CASH_ITEM","1993-06-18","2026-05-02","Per=Y","Days=T","Dir=V")</f>
        <v>0</v>
      </c>
      <c r="M2">
        <f>BDH("PKE US Equity","BS_CUR_ASSET_REPORT","1993-06-18","2026-05-02","Per=Y","Days=T","Dir=V")</f>
        <v>0</v>
      </c>
      <c r="O2">
        <f>BDH("PKE US Equity","BS_CUR_LIAB","1993-06-18","2026-05-02","Per=Y","Days=T","Dir=V")</f>
        <v>0</v>
      </c>
      <c r="Q2">
        <f>BDH("PKE US Equity","BS_SHAREHOLDER_EQY_ENDING_PERIOD","1993-06-18","2026-05-02","Per=Y","Days=T","Dir=V")</f>
        <v>0</v>
      </c>
      <c r="S2">
        <f>BDH("PKE US Equity","BS_ACCT_NOTE_RCV","1993-06-18","2026-05-02","Per=Y","Days=T","Dir=V")</f>
        <v>0</v>
      </c>
      <c r="U2">
        <f>BDH("PKE US Equity","BS_INVENTORIES","1993-06-18","2026-05-02","Per=Y","Days=T","Dir=V")</f>
        <v>0</v>
      </c>
      <c r="W2">
        <f>BDH("PKE US Equity","WORKING_CAPITAL","1993-06-18","2026-05-02","Per=Y","Days=T","Dir=V")</f>
        <v>0</v>
      </c>
      <c r="Y2">
        <f>BDH("PKE US Equity","SALES_REV_TURN","1993-06-18","2026-05-02","Per=Y","Days=T","Dir=V")</f>
        <v>0</v>
      </c>
      <c r="AA2">
        <f>BDH("PKE US Equity","EBIT","1993-06-18","2026-05-02","Per=Y","Days=T","Dir=V")</f>
        <v>0</v>
      </c>
      <c r="AC2">
        <f>BDH("PKE US Equity","EBITDA","1993-06-18","2026-05-02","Per=Y","Days=T","Dir=V")</f>
        <v>0</v>
      </c>
      <c r="AE2">
        <f>BDH("PKE US Equity","NET_INCOME","1993-06-18","2026-05-02","Per=Y","Days=T","Dir=V")</f>
        <v>0</v>
      </c>
      <c r="AG2">
        <f>BDH("PKE US Equity","IS_INT_EXPENSE","1993-06-18","2026-05-02","Per=Y","Days=T","Dir=V")</f>
        <v>0</v>
      </c>
      <c r="AI2">
        <f>BDH("PKE US Equity","IS_DEPR_EXP","1993-06-18","2026-05-02","Per=Y","Days=T","Dir=V")</f>
        <v>0</v>
      </c>
      <c r="AK2">
        <f>BDH("PKE US Equity","CF_CASH_FROM_OPER","1993-06-18","2026-05-02","Per=Y","Days=T","Dir=V")</f>
        <v>0</v>
      </c>
      <c r="AM2">
        <f>BDH("PKE US Equity","CAPITAL_EXPEND","1993-06-18","2026-05-02","Per=Y","Days=T","Dir=V")</f>
        <v>0</v>
      </c>
      <c r="AO2">
        <f>BDH("PKE US Equity","CF_FREE_CASH_FLOW","1993-06-18","2026-05-02","Per=Y","Days=T","Dir=V")</f>
        <v>0</v>
      </c>
      <c r="AQ2">
        <f>BDH("PKE US Equity","PX_LAST","1993-06-18","2026-05-02","Per=M","Days=T","Dir=V")</f>
        <v>0</v>
      </c>
      <c r="AS2">
        <f>BDH("PKE US Equity","CUR_MKT_CAP","1993-06-18","2026-05-02","Per=M","Days=T","Dir=V")</f>
        <v>0</v>
      </c>
      <c r="AU2">
        <f>BDH("PKE US Equity","EQY_SH_OUT","1993-06-18","2026-05-02","Per=M","Days=T","Dir=V")</f>
        <v>0</v>
      </c>
      <c r="AW2">
        <f>BDH("PKE US Equity","PX_VOLUME","1993-06-18","2026-05-02","Per=M","Days=T","Dir=V")</f>
        <v>0</v>
      </c>
      <c r="AY2">
        <f>BDH("PKE US Equity","TURNOVER","1993-06-18","2026-05-02","Per=M","Days=T","Dir=V")</f>
        <v>0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BDH("PKG US Equity","BS_TOT_ASSET","1993-06-18","2026-05-02","Per=Y","Days=T","Dir=V")</f>
        <v>0</v>
      </c>
      <c r="C2">
        <f>BDH("PKG US Equity","BS_TOT_LIAB2","1993-06-18","2026-05-02","Per=Y","Days=T","Dir=V")</f>
        <v>0</v>
      </c>
      <c r="E2">
        <f>BDH("PKG US Equity","SHORT_AND_LONG_TERM_DEBT","1993-06-18","2026-05-02","Per=Y","Days=T","Dir=V")</f>
        <v>0</v>
      </c>
      <c r="G2">
        <f>BDH("PKG US Equity","BS_ST_BORROW","1993-06-18","2026-05-02","Per=Y","Days=T","Dir=V")</f>
        <v>0</v>
      </c>
      <c r="I2">
        <f>BDH("PKG US Equity","BS_LT_BORROW","1993-06-18","2026-05-02","Per=Y","Days=T","Dir=V")</f>
        <v>0</v>
      </c>
      <c r="K2">
        <f>BDH("PKG US Equity","BS_CASH_NEAR_CASH_ITEM","1993-06-18","2026-05-02","Per=Y","Days=T","Dir=V")</f>
        <v>0</v>
      </c>
      <c r="M2">
        <f>BDH("PKG US Equity","BS_CUR_ASSET_REPORT","1993-06-18","2026-05-02","Per=Y","Days=T","Dir=V")</f>
        <v>0</v>
      </c>
      <c r="O2">
        <f>BDH("PKG US Equity","BS_CUR_LIAB","1993-06-18","2026-05-02","Per=Y","Days=T","Dir=V")</f>
        <v>0</v>
      </c>
      <c r="Q2">
        <f>BDH("PKG US Equity","BS_SHAREHOLDER_EQY_ENDING_PERIOD","1993-06-18","2026-05-02","Per=Y","Days=T","Dir=V")</f>
        <v>0</v>
      </c>
      <c r="S2">
        <f>BDH("PKG US Equity","BS_ACCT_NOTE_RCV","1993-06-18","2026-05-02","Per=Y","Days=T","Dir=V")</f>
        <v>0</v>
      </c>
      <c r="U2">
        <f>BDH("PKG US Equity","BS_INVENTORIES","1993-06-18","2026-05-02","Per=Y","Days=T","Dir=V")</f>
        <v>0</v>
      </c>
      <c r="W2">
        <f>BDH("PKG US Equity","WORKING_CAPITAL","1993-06-18","2026-05-02","Per=Y","Days=T","Dir=V")</f>
        <v>0</v>
      </c>
      <c r="Y2">
        <f>BDH("PKG US Equity","SALES_REV_TURN","1993-06-18","2026-05-02","Per=Y","Days=T","Dir=V")</f>
        <v>0</v>
      </c>
      <c r="AA2">
        <f>BDH("PKG US Equity","EBIT","1993-06-18","2026-05-02","Per=Y","Days=T","Dir=V")</f>
        <v>0</v>
      </c>
      <c r="AC2">
        <f>BDH("PKG US Equity","EBITDA","1993-06-18","2026-05-02","Per=Y","Days=T","Dir=V")</f>
        <v>0</v>
      </c>
      <c r="AE2">
        <f>BDH("PKG US Equity","NET_INCOME","1993-06-18","2026-05-02","Per=Y","Days=T","Dir=V")</f>
        <v>0</v>
      </c>
      <c r="AG2">
        <f>BDH("PKG US Equity","IS_INT_EXPENSE","1993-06-18","2026-05-02","Per=Y","Days=T","Dir=V")</f>
        <v>0</v>
      </c>
      <c r="AI2">
        <f>BDH("PKG US Equity","IS_DEPR_EXP","1993-06-18","2026-05-02","Per=Y","Days=T","Dir=V")</f>
        <v>0</v>
      </c>
      <c r="AK2">
        <f>BDH("PKG US Equity","CF_CASH_FROM_OPER","1993-06-18","2026-05-02","Per=Y","Days=T","Dir=V")</f>
        <v>0</v>
      </c>
      <c r="AM2">
        <f>BDH("PKG US Equity","CAPITAL_EXPEND","1993-06-18","2026-05-02","Per=Y","Days=T","Dir=V")</f>
        <v>0</v>
      </c>
      <c r="AO2">
        <f>BDH("PKG US Equity","CF_FREE_CASH_FLOW","1993-06-18","2026-05-02","Per=Y","Days=T","Dir=V")</f>
        <v>0</v>
      </c>
      <c r="AQ2">
        <f>BDH("PKG US Equity","PX_LAST","1993-06-18","2026-05-02","Per=M","Days=T","Dir=V")</f>
        <v>0</v>
      </c>
      <c r="AS2">
        <f>BDH("PKG US Equity","CUR_MKT_CAP","1993-06-18","2026-05-02","Per=M","Days=T","Dir=V")</f>
        <v>0</v>
      </c>
      <c r="AU2">
        <f>BDH("PKG US Equity","EQY_SH_OUT","1993-06-18","2026-05-02","Per=M","Days=T","Dir=V")</f>
        <v>0</v>
      </c>
      <c r="AW2">
        <f>BDH("PKG US Equity","PX_VOLUME","1993-06-18","2026-05-02","Per=M","Days=T","Dir=V")</f>
        <v>0</v>
      </c>
      <c r="AY2">
        <f>BDH("PKG US Equity","TURNOVER","1993-06-18","2026-05-02","Per=M","Days=T","Dir=V")</f>
        <v>0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BDH("PKOH US Equity","BS_TOT_ASSET","1993-06-18","2026-05-02","Per=Y","Days=T","Dir=V")</f>
        <v>0</v>
      </c>
      <c r="C2">
        <f>BDH("PKOH US Equity","BS_TOT_LIAB2","1993-06-18","2026-05-02","Per=Y","Days=T","Dir=V")</f>
        <v>0</v>
      </c>
      <c r="E2">
        <f>BDH("PKOH US Equity","SHORT_AND_LONG_TERM_DEBT","1993-06-18","2026-05-02","Per=Y","Days=T","Dir=V")</f>
        <v>0</v>
      </c>
      <c r="G2">
        <f>BDH("PKOH US Equity","BS_ST_BORROW","1993-06-18","2026-05-02","Per=Y","Days=T","Dir=V")</f>
        <v>0</v>
      </c>
      <c r="I2">
        <f>BDH("PKOH US Equity","BS_LT_BORROW","1993-06-18","2026-05-02","Per=Y","Days=T","Dir=V")</f>
        <v>0</v>
      </c>
      <c r="K2">
        <f>BDH("PKOH US Equity","BS_CASH_NEAR_CASH_ITEM","1993-06-18","2026-05-02","Per=Y","Days=T","Dir=V")</f>
        <v>0</v>
      </c>
      <c r="M2">
        <f>BDH("PKOH US Equity","BS_CUR_ASSET_REPORT","1993-06-18","2026-05-02","Per=Y","Days=T","Dir=V")</f>
        <v>0</v>
      </c>
      <c r="O2">
        <f>BDH("PKOH US Equity","BS_CUR_LIAB","1993-06-18","2026-05-02","Per=Y","Days=T","Dir=V")</f>
        <v>0</v>
      </c>
      <c r="Q2">
        <f>BDH("PKOH US Equity","BS_SHAREHOLDER_EQY_ENDING_PERIOD","1993-06-18","2026-05-02","Per=Y","Days=T","Dir=V")</f>
        <v>0</v>
      </c>
      <c r="S2">
        <f>BDH("PKOH US Equity","BS_ACCT_NOTE_RCV","1993-06-18","2026-05-02","Per=Y","Days=T","Dir=V")</f>
        <v>0</v>
      </c>
      <c r="U2">
        <f>BDH("PKOH US Equity","BS_INVENTORIES","1993-06-18","2026-05-02","Per=Y","Days=T","Dir=V")</f>
        <v>0</v>
      </c>
      <c r="W2">
        <f>BDH("PKOH US Equity","WORKING_CAPITAL","1993-06-18","2026-05-02","Per=Y","Days=T","Dir=V")</f>
        <v>0</v>
      </c>
      <c r="Y2">
        <f>BDH("PKOH US Equity","SALES_REV_TURN","1993-06-18","2026-05-02","Per=Y","Days=T","Dir=V")</f>
        <v>0</v>
      </c>
      <c r="AA2">
        <f>BDH("PKOH US Equity","EBIT","1993-06-18","2026-05-02","Per=Y","Days=T","Dir=V")</f>
        <v>0</v>
      </c>
      <c r="AC2">
        <f>BDH("PKOH US Equity","EBITDA","1993-06-18","2026-05-02","Per=Y","Days=T","Dir=V")</f>
        <v>0</v>
      </c>
      <c r="AE2">
        <f>BDH("PKOH US Equity","NET_INCOME","1993-06-18","2026-05-02","Per=Y","Days=T","Dir=V")</f>
        <v>0</v>
      </c>
      <c r="AG2">
        <f>BDH("PKOH US Equity","IS_INT_EXPENSE","1993-06-18","2026-05-02","Per=Y","Days=T","Dir=V")</f>
        <v>0</v>
      </c>
      <c r="AI2">
        <f>BDH("PKOH US Equity","IS_DEPR_EXP","1993-06-18","2026-05-02","Per=Y","Days=T","Dir=V")</f>
        <v>0</v>
      </c>
      <c r="AK2">
        <f>BDH("PKOH US Equity","CF_CASH_FROM_OPER","1993-06-18","2026-05-02","Per=Y","Days=T","Dir=V")</f>
        <v>0</v>
      </c>
      <c r="AM2">
        <f>BDH("PKOH US Equity","CAPITAL_EXPEND","1993-06-18","2026-05-02","Per=Y","Days=T","Dir=V")</f>
        <v>0</v>
      </c>
      <c r="AO2">
        <f>BDH("PKOH US Equity","CF_FREE_CASH_FLOW","1993-06-18","2026-05-02","Per=Y","Days=T","Dir=V")</f>
        <v>0</v>
      </c>
      <c r="AQ2">
        <f>BDH("PKOH US Equity","PX_LAST","1993-06-18","2026-05-02","Per=M","Days=T","Dir=V")</f>
        <v>0</v>
      </c>
      <c r="AS2">
        <f>BDH("PKOH US Equity","CUR_MKT_CAP","1993-06-18","2026-05-02","Per=M","Days=T","Dir=V")</f>
        <v>0</v>
      </c>
      <c r="AU2">
        <f>BDH("PKOH US Equity","EQY_SH_OUT","1993-06-18","2026-05-02","Per=M","Days=T","Dir=V")</f>
        <v>0</v>
      </c>
      <c r="AW2">
        <f>BDH("PKOH US Equity","PX_VOLUME","1993-06-18","2026-05-02","Per=M","Days=T","Dir=V")</f>
        <v>0</v>
      </c>
      <c r="AY2">
        <f>BDH("PKOH US Equity","TURNOVER","1993-06-18","2026-05-02","Per=M","Days=T","Dir=V")</f>
        <v>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 US Equity","BS_TOT_ASSET","1993-06-18","2026-05-02","Per=Y","Days=T","Dir=V")</f>
        <v>0</v>
      </c>
      <c r="C2">
        <f>BDH("PL US Equity","BS_TOT_LIAB2","1993-06-18","2026-05-02","Per=Y","Days=T","Dir=V")</f>
        <v>0</v>
      </c>
      <c r="E2">
        <f>BDH("PL US Equity","SHORT_AND_LONG_TERM_DEBT","1993-06-18","2026-05-02","Per=Y","Days=T","Dir=V")</f>
        <v>0</v>
      </c>
      <c r="G2">
        <f>BDH("PL US Equity","BS_ST_BORROW","1993-06-18","2026-05-02","Per=Y","Days=T","Dir=V")</f>
        <v>0</v>
      </c>
      <c r="I2">
        <f>BDH("PL US Equity","BS_LT_BORROW","1993-06-18","2026-05-02","Per=Y","Days=T","Dir=V")</f>
        <v>0</v>
      </c>
      <c r="K2">
        <f>BDH("PL US Equity","BS_CASH_NEAR_CASH_ITEM","1993-06-18","2026-05-02","Per=Y","Days=T","Dir=V")</f>
        <v>0</v>
      </c>
      <c r="M2">
        <f>BDH("PL US Equity","BS_CUR_ASSET_REPORT","1993-06-18","2026-05-02","Per=Y","Days=T","Dir=V")</f>
        <v>0</v>
      </c>
      <c r="O2">
        <f>BDH("PL US Equity","BS_CUR_LIAB","1993-06-18","2026-05-02","Per=Y","Days=T","Dir=V")</f>
        <v>0</v>
      </c>
      <c r="Q2">
        <f>BDH("PL US Equity","BS_SHAREHOLDER_EQY_ENDING_PERIOD","1993-06-18","2026-05-02","Per=Y","Days=T","Dir=V")</f>
        <v>0</v>
      </c>
      <c r="S2">
        <f>BDH("PL US Equity","BS_ACCT_NOTE_RCV","1993-06-18","2026-05-02","Per=Y","Days=T","Dir=V")</f>
        <v>0</v>
      </c>
      <c r="U2">
        <f>BDH("PL US Equity","BS_INVENTORIES","1993-06-18","2026-05-02","Per=Y","Days=T","Dir=V")</f>
        <v>0</v>
      </c>
      <c r="W2">
        <f>BDH("PL US Equity","WORKING_CAPITAL","1993-06-18","2026-05-02","Per=Y","Days=T","Dir=V")</f>
        <v>0</v>
      </c>
      <c r="Y2">
        <f>BDH("PL US Equity","SALES_REV_TURN","1993-06-18","2026-05-02","Per=Y","Days=T","Dir=V")</f>
        <v>0</v>
      </c>
      <c r="AA2">
        <f>BDH("PL US Equity","EBIT","1993-06-18","2026-05-02","Per=Y","Days=T","Dir=V")</f>
        <v>0</v>
      </c>
      <c r="AC2">
        <f>BDH("PL US Equity","EBITDA","1993-06-18","2026-05-02","Per=Y","Days=T","Dir=V")</f>
        <v>0</v>
      </c>
      <c r="AE2">
        <f>BDH("PL US Equity","NET_INCOME","1993-06-18","2026-05-02","Per=Y","Days=T","Dir=V")</f>
        <v>0</v>
      </c>
      <c r="AG2">
        <f>BDH("PL US Equity","IS_INT_EXPENSE","1993-06-18","2026-05-02","Per=Y","Days=T","Dir=V")</f>
        <v>0</v>
      </c>
      <c r="AI2">
        <f>BDH("PL US Equity","IS_DEPR_EXP","1993-06-18","2026-05-02","Per=Y","Days=T","Dir=V")</f>
        <v>0</v>
      </c>
      <c r="AK2">
        <f>BDH("PL US Equity","CF_CASH_FROM_OPER","1993-06-18","2026-05-02","Per=Y","Days=T","Dir=V")</f>
        <v>0</v>
      </c>
      <c r="AM2">
        <f>BDH("PL US Equity","CAPITAL_EXPEND","1993-06-18","2026-05-02","Per=Y","Days=T","Dir=V")</f>
        <v>0</v>
      </c>
      <c r="AO2">
        <f>BDH("PL US Equity","CF_FREE_CASH_FLOW","1993-06-18","2026-05-02","Per=Y","Days=T","Dir=V")</f>
        <v>0</v>
      </c>
      <c r="AQ2">
        <f>BDH("PL US Equity","PX_LAST","1993-06-18","2026-05-02","Per=M","Days=T","Dir=V")</f>
        <v>0</v>
      </c>
      <c r="AS2">
        <f>BDH("PL US Equity","CUR_MKT_CAP","1993-06-18","2026-05-02","Per=M","Days=T","Dir=V")</f>
        <v>0</v>
      </c>
      <c r="AU2">
        <f>BDH("PL US Equity","EQY_SH_OUT","1993-06-18","2026-05-02","Per=M","Days=T","Dir=V")</f>
        <v>0</v>
      </c>
      <c r="AW2">
        <f>BDH("PL US Equity","PX_VOLUME","1993-06-18","2026-05-02","Per=M","Days=T","Dir=V")</f>
        <v>0</v>
      </c>
      <c r="AY2">
        <f>BDH("PL US Equity","TURNOVER","1993-06-18","2026-05-02","Per=M","Days=T","Dir=V")</f>
        <v>0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BDH("PLAB US Equity","BS_TOT_ASSET","1993-06-18","2026-05-02","Per=Y","Days=T","Dir=V")</f>
        <v>0</v>
      </c>
      <c r="C2">
        <f>BDH("PLAB US Equity","BS_TOT_LIAB2","1993-06-18","2026-05-02","Per=Y","Days=T","Dir=V")</f>
        <v>0</v>
      </c>
      <c r="E2">
        <f>BDH("PLAB US Equity","SHORT_AND_LONG_TERM_DEBT","1993-06-18","2026-05-02","Per=Y","Days=T","Dir=V")</f>
        <v>0</v>
      </c>
      <c r="G2">
        <f>BDH("PLAB US Equity","BS_ST_BORROW","1993-06-18","2026-05-02","Per=Y","Days=T","Dir=V")</f>
        <v>0</v>
      </c>
      <c r="I2">
        <f>BDH("PLAB US Equity","BS_LT_BORROW","1993-06-18","2026-05-02","Per=Y","Days=T","Dir=V")</f>
        <v>0</v>
      </c>
      <c r="K2">
        <f>BDH("PLAB US Equity","BS_CASH_NEAR_CASH_ITEM","1993-06-18","2026-05-02","Per=Y","Days=T","Dir=V")</f>
        <v>0</v>
      </c>
      <c r="M2">
        <f>BDH("PLAB US Equity","BS_CUR_ASSET_REPORT","1993-06-18","2026-05-02","Per=Y","Days=T","Dir=V")</f>
        <v>0</v>
      </c>
      <c r="O2">
        <f>BDH("PLAB US Equity","BS_CUR_LIAB","1993-06-18","2026-05-02","Per=Y","Days=T","Dir=V")</f>
        <v>0</v>
      </c>
      <c r="Q2">
        <f>BDH("PLAB US Equity","BS_SHAREHOLDER_EQY_ENDING_PERIOD","1993-06-18","2026-05-02","Per=Y","Days=T","Dir=V")</f>
        <v>0</v>
      </c>
      <c r="S2">
        <f>BDH("PLAB US Equity","BS_ACCT_NOTE_RCV","1993-06-18","2026-05-02","Per=Y","Days=T","Dir=V")</f>
        <v>0</v>
      </c>
      <c r="U2">
        <f>BDH("PLAB US Equity","BS_INVENTORIES","1993-06-18","2026-05-02","Per=Y","Days=T","Dir=V")</f>
        <v>0</v>
      </c>
      <c r="W2">
        <f>BDH("PLAB US Equity","WORKING_CAPITAL","1993-06-18","2026-05-02","Per=Y","Days=T","Dir=V")</f>
        <v>0</v>
      </c>
      <c r="Y2">
        <f>BDH("PLAB US Equity","SALES_REV_TURN","1993-06-18","2026-05-02","Per=Y","Days=T","Dir=V")</f>
        <v>0</v>
      </c>
      <c r="AA2">
        <f>BDH("PLAB US Equity","EBIT","1993-06-18","2026-05-02","Per=Y","Days=T","Dir=V")</f>
        <v>0</v>
      </c>
      <c r="AC2">
        <f>BDH("PLAB US Equity","EBITDA","1993-06-18","2026-05-02","Per=Y","Days=T","Dir=V")</f>
        <v>0</v>
      </c>
      <c r="AE2">
        <f>BDH("PLAB US Equity","NET_INCOME","1993-06-18","2026-05-02","Per=Y","Days=T","Dir=V")</f>
        <v>0</v>
      </c>
      <c r="AG2">
        <f>BDH("PLAB US Equity","IS_INT_EXPENSE","1993-06-18","2026-05-02","Per=Y","Days=T","Dir=V")</f>
        <v>0</v>
      </c>
      <c r="AI2">
        <f>BDH("PLAB US Equity","IS_DEPR_EXP","1993-06-18","2026-05-02","Per=Y","Days=T","Dir=V")</f>
        <v>0</v>
      </c>
      <c r="AK2">
        <f>BDH("PLAB US Equity","CF_CASH_FROM_OPER","1993-06-18","2026-05-02","Per=Y","Days=T","Dir=V")</f>
        <v>0</v>
      </c>
      <c r="AM2">
        <f>BDH("PLAB US Equity","CAPITAL_EXPEND","1993-06-18","2026-05-02","Per=Y","Days=T","Dir=V")</f>
        <v>0</v>
      </c>
      <c r="AO2">
        <f>BDH("PLAB US Equity","CF_FREE_CASH_FLOW","1993-06-18","2026-05-02","Per=Y","Days=T","Dir=V")</f>
        <v>0</v>
      </c>
      <c r="AQ2">
        <f>BDH("PLAB US Equity","PX_LAST","1993-06-18","2026-05-02","Per=M","Days=T","Dir=V")</f>
        <v>0</v>
      </c>
      <c r="AS2">
        <f>BDH("PLAB US Equity","CUR_MKT_CAP","1993-06-18","2026-05-02","Per=M","Days=T","Dir=V")</f>
        <v>0</v>
      </c>
      <c r="AU2">
        <f>BDH("PLAB US Equity","EQY_SH_OUT","1993-06-18","2026-05-02","Per=M","Days=T","Dir=V")</f>
        <v>0</v>
      </c>
      <c r="AW2">
        <f>BDH("PLAB US Equity","PX_VOLUME","1993-06-18","2026-05-02","Per=M","Days=T","Dir=V")</f>
        <v>0</v>
      </c>
      <c r="AY2">
        <f>BDH("PLAB US Equity","TURNOVER","1993-06-18","2026-05-02","Per=M","Days=T","Dir=V")</f>
        <v>0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BDH("PLAY US Equity","BS_TOT_ASSET","1993-06-18","2026-05-02","Per=Y","Days=T","Dir=V")</f>
        <v>0</v>
      </c>
      <c r="C2">
        <f>BDH("PLAY US Equity","BS_TOT_LIAB2","1993-06-18","2026-05-02","Per=Y","Days=T","Dir=V")</f>
        <v>0</v>
      </c>
      <c r="E2">
        <f>BDH("PLAY US Equity","SHORT_AND_LONG_TERM_DEBT","1993-06-18","2026-05-02","Per=Y","Days=T","Dir=V")</f>
        <v>0</v>
      </c>
      <c r="G2">
        <f>BDH("PLAY US Equity","BS_ST_BORROW","1993-06-18","2026-05-02","Per=Y","Days=T","Dir=V")</f>
        <v>0</v>
      </c>
      <c r="I2">
        <f>BDH("PLAY US Equity","BS_LT_BORROW","1993-06-18","2026-05-02","Per=Y","Days=T","Dir=V")</f>
        <v>0</v>
      </c>
      <c r="K2">
        <f>BDH("PLAY US Equity","BS_CASH_NEAR_CASH_ITEM","1993-06-18","2026-05-02","Per=Y","Days=T","Dir=V")</f>
        <v>0</v>
      </c>
      <c r="M2">
        <f>BDH("PLAY US Equity","BS_CUR_ASSET_REPORT","1993-06-18","2026-05-02","Per=Y","Days=T","Dir=V")</f>
        <v>0</v>
      </c>
      <c r="O2">
        <f>BDH("PLAY US Equity","BS_CUR_LIAB","1993-06-18","2026-05-02","Per=Y","Days=T","Dir=V")</f>
        <v>0</v>
      </c>
      <c r="Q2">
        <f>BDH("PLAY US Equity","BS_SHAREHOLDER_EQY_ENDING_PERIOD","1993-06-18","2026-05-02","Per=Y","Days=T","Dir=V")</f>
        <v>0</v>
      </c>
      <c r="S2">
        <f>BDH("PLAY US Equity","BS_ACCT_NOTE_RCV","1993-06-18","2026-05-02","Per=Y","Days=T","Dir=V")</f>
        <v>0</v>
      </c>
      <c r="U2">
        <f>BDH("PLAY US Equity","BS_INVENTORIES","1993-06-18","2026-05-02","Per=Y","Days=T","Dir=V")</f>
        <v>0</v>
      </c>
      <c r="W2">
        <f>BDH("PLAY US Equity","WORKING_CAPITAL","1993-06-18","2026-05-02","Per=Y","Days=T","Dir=V")</f>
        <v>0</v>
      </c>
      <c r="Y2">
        <f>BDH("PLAY US Equity","SALES_REV_TURN","1993-06-18","2026-05-02","Per=Y","Days=T","Dir=V")</f>
        <v>0</v>
      </c>
      <c r="AA2">
        <f>BDH("PLAY US Equity","EBIT","1993-06-18","2026-05-02","Per=Y","Days=T","Dir=V")</f>
        <v>0</v>
      </c>
      <c r="AC2">
        <f>BDH("PLAY US Equity","EBITDA","1993-06-18","2026-05-02","Per=Y","Days=T","Dir=V")</f>
        <v>0</v>
      </c>
      <c r="AE2">
        <f>BDH("PLAY US Equity","NET_INCOME","1993-06-18","2026-05-02","Per=Y","Days=T","Dir=V")</f>
        <v>0</v>
      </c>
      <c r="AG2">
        <f>BDH("PLAY US Equity","IS_INT_EXPENSE","1993-06-18","2026-05-02","Per=Y","Days=T","Dir=V")</f>
        <v>0</v>
      </c>
      <c r="AI2">
        <f>BDH("PLAY US Equity","IS_DEPR_EXP","1993-06-18","2026-05-02","Per=Y","Days=T","Dir=V")</f>
        <v>0</v>
      </c>
      <c r="AK2">
        <f>BDH("PLAY US Equity","CF_CASH_FROM_OPER","1993-06-18","2026-05-02","Per=Y","Days=T","Dir=V")</f>
        <v>0</v>
      </c>
      <c r="AM2">
        <f>BDH("PLAY US Equity","CAPITAL_EXPEND","1993-06-18","2026-05-02","Per=Y","Days=T","Dir=V")</f>
        <v>0</v>
      </c>
      <c r="AO2">
        <f>BDH("PLAY US Equity","CF_FREE_CASH_FLOW","1993-06-18","2026-05-02","Per=Y","Days=T","Dir=V")</f>
        <v>0</v>
      </c>
      <c r="AQ2">
        <f>BDH("PLAY US Equity","PX_LAST","1993-06-18","2026-05-02","Per=M","Days=T","Dir=V")</f>
        <v>0</v>
      </c>
      <c r="AS2">
        <f>BDH("PLAY US Equity","CUR_MKT_CAP","1993-06-18","2026-05-02","Per=M","Days=T","Dir=V")</f>
        <v>0</v>
      </c>
      <c r="AU2">
        <f>BDH("PLAY US Equity","EQY_SH_OUT","1993-06-18","2026-05-02","Per=M","Days=T","Dir=V")</f>
        <v>0</v>
      </c>
      <c r="AW2">
        <f>BDH("PLAY US Equity","PX_VOLUME","1993-06-18","2026-05-02","Per=M","Days=T","Dir=V")</f>
        <v>0</v>
      </c>
      <c r="AY2">
        <f>BDH("PLAY US Equity","TURNOVER","1993-06-18","2026-05-02","Per=M","Days=T","Dir=V")</f>
        <v>0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BDH("PLBY US Equity","BS_TOT_ASSET","1993-06-18","2026-05-02","Per=Y","Days=T","Dir=V")</f>
        <v>0</v>
      </c>
      <c r="C2">
        <f>BDH("PLBY US Equity","BS_TOT_LIAB2","1993-06-18","2026-05-02","Per=Y","Days=T","Dir=V")</f>
        <v>0</v>
      </c>
      <c r="E2">
        <f>BDH("PLBY US Equity","SHORT_AND_LONG_TERM_DEBT","1993-06-18","2026-05-02","Per=Y","Days=T","Dir=V")</f>
        <v>0</v>
      </c>
      <c r="G2">
        <f>BDH("PLBY US Equity","BS_ST_BORROW","1993-06-18","2026-05-02","Per=Y","Days=T","Dir=V")</f>
        <v>0</v>
      </c>
      <c r="I2">
        <f>BDH("PLBY US Equity","BS_LT_BORROW","1993-06-18","2026-05-02","Per=Y","Days=T","Dir=V")</f>
        <v>0</v>
      </c>
      <c r="K2">
        <f>BDH("PLBY US Equity","BS_CASH_NEAR_CASH_ITEM","1993-06-18","2026-05-02","Per=Y","Days=T","Dir=V")</f>
        <v>0</v>
      </c>
      <c r="M2">
        <f>BDH("PLBY US Equity","BS_CUR_ASSET_REPORT","1993-06-18","2026-05-02","Per=Y","Days=T","Dir=V")</f>
        <v>0</v>
      </c>
      <c r="O2">
        <f>BDH("PLBY US Equity","BS_CUR_LIAB","1993-06-18","2026-05-02","Per=Y","Days=T","Dir=V")</f>
        <v>0</v>
      </c>
      <c r="Q2">
        <f>BDH("PLBY US Equity","BS_SHAREHOLDER_EQY_ENDING_PERIOD","1993-06-18","2026-05-02","Per=Y","Days=T","Dir=V")</f>
        <v>0</v>
      </c>
      <c r="S2">
        <f>BDH("PLBY US Equity","BS_ACCT_NOTE_RCV","1993-06-18","2026-05-02","Per=Y","Days=T","Dir=V")</f>
        <v>0</v>
      </c>
      <c r="U2">
        <f>BDH("PLBY US Equity","BS_INVENTORIES","1993-06-18","2026-05-02","Per=Y","Days=T","Dir=V")</f>
        <v>0</v>
      </c>
      <c r="W2">
        <f>BDH("PLBY US Equity","WORKING_CAPITAL","1993-06-18","2026-05-02","Per=Y","Days=T","Dir=V")</f>
        <v>0</v>
      </c>
      <c r="Y2">
        <f>BDH("PLBY US Equity","SALES_REV_TURN","1993-06-18","2026-05-02","Per=Y","Days=T","Dir=V")</f>
        <v>0</v>
      </c>
      <c r="AA2">
        <f>BDH("PLBY US Equity","EBIT","1993-06-18","2026-05-02","Per=Y","Days=T","Dir=V")</f>
        <v>0</v>
      </c>
      <c r="AC2">
        <f>BDH("PLBY US Equity","EBITDA","1993-06-18","2026-05-02","Per=Y","Days=T","Dir=V")</f>
        <v>0</v>
      </c>
      <c r="AE2">
        <f>BDH("PLBY US Equity","NET_INCOME","1993-06-18","2026-05-02","Per=Y","Days=T","Dir=V")</f>
        <v>0</v>
      </c>
      <c r="AG2">
        <f>BDH("PLBY US Equity","IS_INT_EXPENSE","1993-06-18","2026-05-02","Per=Y","Days=T","Dir=V")</f>
        <v>0</v>
      </c>
      <c r="AI2">
        <f>BDH("PLBY US Equity","IS_DEPR_EXP","1993-06-18","2026-05-02","Per=Y","Days=T","Dir=V")</f>
        <v>0</v>
      </c>
      <c r="AK2">
        <f>BDH("PLBY US Equity","CF_CASH_FROM_OPER","1993-06-18","2026-05-02","Per=Y","Days=T","Dir=V")</f>
        <v>0</v>
      </c>
      <c r="AM2">
        <f>BDH("PLBY US Equity","CAPITAL_EXPEND","1993-06-18","2026-05-02","Per=Y","Days=T","Dir=V")</f>
        <v>0</v>
      </c>
      <c r="AO2">
        <f>BDH("PLBY US Equity","CF_FREE_CASH_FLOW","1993-06-18","2026-05-02","Per=Y","Days=T","Dir=V")</f>
        <v>0</v>
      </c>
      <c r="AQ2">
        <f>BDH("PLBY US Equity","PX_LAST","1993-06-18","2026-05-02","Per=M","Days=T","Dir=V")</f>
        <v>0</v>
      </c>
      <c r="AS2">
        <f>BDH("PLBY US Equity","CUR_MKT_CAP","1993-06-18","2026-05-02","Per=M","Days=T","Dir=V")</f>
        <v>0</v>
      </c>
      <c r="AU2">
        <f>BDH("PLBY US Equity","EQY_SH_OUT","1993-06-18","2026-05-02","Per=M","Days=T","Dir=V")</f>
        <v>0</v>
      </c>
      <c r="AW2">
        <f>BDH("PLBY US Equity","PX_VOLUME","1993-06-18","2026-05-02","Per=M","Days=T","Dir=V")</f>
        <v>0</v>
      </c>
      <c r="AY2">
        <f>BDH("PLBY US Equity","TURNOVER","1993-06-18","2026-05-02","Per=M","Days=T","Dir=V")</f>
        <v>0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BDH("PLCE US Equity","BS_TOT_ASSET","1993-06-18","2026-05-02","Per=Y","Days=T","Dir=V")</f>
        <v>0</v>
      </c>
      <c r="C2">
        <f>BDH("PLCE US Equity","BS_TOT_LIAB2","1993-06-18","2026-05-02","Per=Y","Days=T","Dir=V")</f>
        <v>0</v>
      </c>
      <c r="E2">
        <f>BDH("PLCE US Equity","SHORT_AND_LONG_TERM_DEBT","1993-06-18","2026-05-02","Per=Y","Days=T","Dir=V")</f>
        <v>0</v>
      </c>
      <c r="G2">
        <f>BDH("PLCE US Equity","BS_ST_BORROW","1993-06-18","2026-05-02","Per=Y","Days=T","Dir=V")</f>
        <v>0</v>
      </c>
      <c r="I2">
        <f>BDH("PLCE US Equity","BS_LT_BORROW","1993-06-18","2026-05-02","Per=Y","Days=T","Dir=V")</f>
        <v>0</v>
      </c>
      <c r="K2">
        <f>BDH("PLCE US Equity","BS_CASH_NEAR_CASH_ITEM","1993-06-18","2026-05-02","Per=Y","Days=T","Dir=V")</f>
        <v>0</v>
      </c>
      <c r="M2">
        <f>BDH("PLCE US Equity","BS_CUR_ASSET_REPORT","1993-06-18","2026-05-02","Per=Y","Days=T","Dir=V")</f>
        <v>0</v>
      </c>
      <c r="O2">
        <f>BDH("PLCE US Equity","BS_CUR_LIAB","1993-06-18","2026-05-02","Per=Y","Days=T","Dir=V")</f>
        <v>0</v>
      </c>
      <c r="Q2">
        <f>BDH("PLCE US Equity","BS_SHAREHOLDER_EQY_ENDING_PERIOD","1993-06-18","2026-05-02","Per=Y","Days=T","Dir=V")</f>
        <v>0</v>
      </c>
      <c r="S2">
        <f>BDH("PLCE US Equity","BS_ACCT_NOTE_RCV","1993-06-18","2026-05-02","Per=Y","Days=T","Dir=V")</f>
        <v>0</v>
      </c>
      <c r="U2">
        <f>BDH("PLCE US Equity","BS_INVENTORIES","1993-06-18","2026-05-02","Per=Y","Days=T","Dir=V")</f>
        <v>0</v>
      </c>
      <c r="W2">
        <f>BDH("PLCE US Equity","WORKING_CAPITAL","1993-06-18","2026-05-02","Per=Y","Days=T","Dir=V")</f>
        <v>0</v>
      </c>
      <c r="Y2">
        <f>BDH("PLCE US Equity","SALES_REV_TURN","1993-06-18","2026-05-02","Per=Y","Days=T","Dir=V")</f>
        <v>0</v>
      </c>
      <c r="AA2">
        <f>BDH("PLCE US Equity","EBIT","1993-06-18","2026-05-02","Per=Y","Days=T","Dir=V")</f>
        <v>0</v>
      </c>
      <c r="AC2">
        <f>BDH("PLCE US Equity","EBITDA","1993-06-18","2026-05-02","Per=Y","Days=T","Dir=V")</f>
        <v>0</v>
      </c>
      <c r="AE2">
        <f>BDH("PLCE US Equity","NET_INCOME","1993-06-18","2026-05-02","Per=Y","Days=T","Dir=V")</f>
        <v>0</v>
      </c>
      <c r="AG2">
        <f>BDH("PLCE US Equity","IS_INT_EXPENSE","1993-06-18","2026-05-02","Per=Y","Days=T","Dir=V")</f>
        <v>0</v>
      </c>
      <c r="AI2">
        <f>BDH("PLCE US Equity","IS_DEPR_EXP","1993-06-18","2026-05-02","Per=Y","Days=T","Dir=V")</f>
        <v>0</v>
      </c>
      <c r="AK2">
        <f>BDH("PLCE US Equity","CF_CASH_FROM_OPER","1993-06-18","2026-05-02","Per=Y","Days=T","Dir=V")</f>
        <v>0</v>
      </c>
      <c r="AM2">
        <f>BDH("PLCE US Equity","CAPITAL_EXPEND","1993-06-18","2026-05-02","Per=Y","Days=T","Dir=V")</f>
        <v>0</v>
      </c>
      <c r="AO2">
        <f>BDH("PLCE US Equity","CF_FREE_CASH_FLOW","1993-06-18","2026-05-02","Per=Y","Days=T","Dir=V")</f>
        <v>0</v>
      </c>
      <c r="AQ2">
        <f>BDH("PLCE US Equity","PX_LAST","1993-06-18","2026-05-02","Per=M","Days=T","Dir=V")</f>
        <v>0</v>
      </c>
      <c r="AS2">
        <f>BDH("PLCE US Equity","CUR_MKT_CAP","1993-06-18","2026-05-02","Per=M","Days=T","Dir=V")</f>
        <v>0</v>
      </c>
      <c r="AU2">
        <f>BDH("PLCE US Equity","EQY_SH_OUT","1993-06-18","2026-05-02","Per=M","Days=T","Dir=V")</f>
        <v>0</v>
      </c>
      <c r="AW2">
        <f>BDH("PLCE US Equity","PX_VOLUME","1993-06-18","2026-05-02","Per=M","Days=T","Dir=V")</f>
        <v>0</v>
      </c>
      <c r="AY2">
        <f>BDH("PLCE US Equity","TURNOVER","1993-06-18","2026-05-02","Per=M","Days=T","Dir=V")</f>
        <v>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BDH("PLNT US Equity","BS_TOT_ASSET","1993-06-18","2026-05-02","Per=Y","Days=T","Dir=V")</f>
        <v>0</v>
      </c>
      <c r="C2">
        <f>BDH("PLNT US Equity","BS_TOT_LIAB2","1993-06-18","2026-05-02","Per=Y","Days=T","Dir=V")</f>
        <v>0</v>
      </c>
      <c r="E2">
        <f>BDH("PLNT US Equity","SHORT_AND_LONG_TERM_DEBT","1993-06-18","2026-05-02","Per=Y","Days=T","Dir=V")</f>
        <v>0</v>
      </c>
      <c r="G2">
        <f>BDH("PLNT US Equity","BS_ST_BORROW","1993-06-18","2026-05-02","Per=Y","Days=T","Dir=V")</f>
        <v>0</v>
      </c>
      <c r="I2">
        <f>BDH("PLNT US Equity","BS_LT_BORROW","1993-06-18","2026-05-02","Per=Y","Days=T","Dir=V")</f>
        <v>0</v>
      </c>
      <c r="K2">
        <f>BDH("PLNT US Equity","BS_CASH_NEAR_CASH_ITEM","1993-06-18","2026-05-02","Per=Y","Days=T","Dir=V")</f>
        <v>0</v>
      </c>
      <c r="M2">
        <f>BDH("PLNT US Equity","BS_CUR_ASSET_REPORT","1993-06-18","2026-05-02","Per=Y","Days=T","Dir=V")</f>
        <v>0</v>
      </c>
      <c r="O2">
        <f>BDH("PLNT US Equity","BS_CUR_LIAB","1993-06-18","2026-05-02","Per=Y","Days=T","Dir=V")</f>
        <v>0</v>
      </c>
      <c r="Q2">
        <f>BDH("PLNT US Equity","BS_SHAREHOLDER_EQY_ENDING_PERIOD","1993-06-18","2026-05-02","Per=Y","Days=T","Dir=V")</f>
        <v>0</v>
      </c>
      <c r="S2">
        <f>BDH("PLNT US Equity","BS_ACCT_NOTE_RCV","1993-06-18","2026-05-02","Per=Y","Days=T","Dir=V")</f>
        <v>0</v>
      </c>
      <c r="U2">
        <f>BDH("PLNT US Equity","BS_INVENTORIES","1993-06-18","2026-05-02","Per=Y","Days=T","Dir=V")</f>
        <v>0</v>
      </c>
      <c r="W2">
        <f>BDH("PLNT US Equity","WORKING_CAPITAL","1993-06-18","2026-05-02","Per=Y","Days=T","Dir=V")</f>
        <v>0</v>
      </c>
      <c r="Y2">
        <f>BDH("PLNT US Equity","SALES_REV_TURN","1993-06-18","2026-05-02","Per=Y","Days=T","Dir=V")</f>
        <v>0</v>
      </c>
      <c r="AA2">
        <f>BDH("PLNT US Equity","EBIT","1993-06-18","2026-05-02","Per=Y","Days=T","Dir=V")</f>
        <v>0</v>
      </c>
      <c r="AC2">
        <f>BDH("PLNT US Equity","EBITDA","1993-06-18","2026-05-02","Per=Y","Days=T","Dir=V")</f>
        <v>0</v>
      </c>
      <c r="AE2">
        <f>BDH("PLNT US Equity","NET_INCOME","1993-06-18","2026-05-02","Per=Y","Days=T","Dir=V")</f>
        <v>0</v>
      </c>
      <c r="AG2">
        <f>BDH("PLNT US Equity","IS_INT_EXPENSE","1993-06-18","2026-05-02","Per=Y","Days=T","Dir=V")</f>
        <v>0</v>
      </c>
      <c r="AI2">
        <f>BDH("PLNT US Equity","IS_DEPR_EXP","1993-06-18","2026-05-02","Per=Y","Days=T","Dir=V")</f>
        <v>0</v>
      </c>
      <c r="AK2">
        <f>BDH("PLNT US Equity","CF_CASH_FROM_OPER","1993-06-18","2026-05-02","Per=Y","Days=T","Dir=V")</f>
        <v>0</v>
      </c>
      <c r="AM2">
        <f>BDH("PLNT US Equity","CAPITAL_EXPEND","1993-06-18","2026-05-02","Per=Y","Days=T","Dir=V")</f>
        <v>0</v>
      </c>
      <c r="AO2">
        <f>BDH("PLNT US Equity","CF_FREE_CASH_FLOW","1993-06-18","2026-05-02","Per=Y","Days=T","Dir=V")</f>
        <v>0</v>
      </c>
      <c r="AQ2">
        <f>BDH("PLNT US Equity","PX_LAST","1993-06-18","2026-05-02","Per=M","Days=T","Dir=V")</f>
        <v>0</v>
      </c>
      <c r="AS2">
        <f>BDH("PLNT US Equity","CUR_MKT_CAP","1993-06-18","2026-05-02","Per=M","Days=T","Dir=V")</f>
        <v>0</v>
      </c>
      <c r="AU2">
        <f>BDH("PLNT US Equity","EQY_SH_OUT","1993-06-18","2026-05-02","Per=M","Days=T","Dir=V")</f>
        <v>0</v>
      </c>
      <c r="AW2">
        <f>BDH("PLNT US Equity","PX_VOLUME","1993-06-18","2026-05-02","Per=M","Days=T","Dir=V")</f>
        <v>0</v>
      </c>
      <c r="AY2">
        <f>BDH("PLNT US Equity","TURNOVER","1993-06-18","2026-05-02","Per=M","Days=T","Dir=V")</f>
        <v>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BDH("PLOW US Equity","BS_TOT_ASSET","1993-06-18","2026-05-02","Per=Y","Days=T","Dir=V")</f>
        <v>0</v>
      </c>
      <c r="C2">
        <f>BDH("PLOW US Equity","BS_TOT_LIAB2","1993-06-18","2026-05-02","Per=Y","Days=T","Dir=V")</f>
        <v>0</v>
      </c>
      <c r="E2">
        <f>BDH("PLOW US Equity","SHORT_AND_LONG_TERM_DEBT","1993-06-18","2026-05-02","Per=Y","Days=T","Dir=V")</f>
        <v>0</v>
      </c>
      <c r="G2">
        <f>BDH("PLOW US Equity","BS_ST_BORROW","1993-06-18","2026-05-02","Per=Y","Days=T","Dir=V")</f>
        <v>0</v>
      </c>
      <c r="I2">
        <f>BDH("PLOW US Equity","BS_LT_BORROW","1993-06-18","2026-05-02","Per=Y","Days=T","Dir=V")</f>
        <v>0</v>
      </c>
      <c r="K2">
        <f>BDH("PLOW US Equity","BS_CASH_NEAR_CASH_ITEM","1993-06-18","2026-05-02","Per=Y","Days=T","Dir=V")</f>
        <v>0</v>
      </c>
      <c r="M2">
        <f>BDH("PLOW US Equity","BS_CUR_ASSET_REPORT","1993-06-18","2026-05-02","Per=Y","Days=T","Dir=V")</f>
        <v>0</v>
      </c>
      <c r="O2">
        <f>BDH("PLOW US Equity","BS_CUR_LIAB","1993-06-18","2026-05-02","Per=Y","Days=T","Dir=V")</f>
        <v>0</v>
      </c>
      <c r="Q2">
        <f>BDH("PLOW US Equity","BS_SHAREHOLDER_EQY_ENDING_PERIOD","1993-06-18","2026-05-02","Per=Y","Days=T","Dir=V")</f>
        <v>0</v>
      </c>
      <c r="S2">
        <f>BDH("PLOW US Equity","BS_ACCT_NOTE_RCV","1993-06-18","2026-05-02","Per=Y","Days=T","Dir=V")</f>
        <v>0</v>
      </c>
      <c r="U2">
        <f>BDH("PLOW US Equity","BS_INVENTORIES","1993-06-18","2026-05-02","Per=Y","Days=T","Dir=V")</f>
        <v>0</v>
      </c>
      <c r="W2">
        <f>BDH("PLOW US Equity","WORKING_CAPITAL","1993-06-18","2026-05-02","Per=Y","Days=T","Dir=V")</f>
        <v>0</v>
      </c>
      <c r="Y2">
        <f>BDH("PLOW US Equity","SALES_REV_TURN","1993-06-18","2026-05-02","Per=Y","Days=T","Dir=V")</f>
        <v>0</v>
      </c>
      <c r="AA2">
        <f>BDH("PLOW US Equity","EBIT","1993-06-18","2026-05-02","Per=Y","Days=T","Dir=V")</f>
        <v>0</v>
      </c>
      <c r="AC2">
        <f>BDH("PLOW US Equity","EBITDA","1993-06-18","2026-05-02","Per=Y","Days=T","Dir=V")</f>
        <v>0</v>
      </c>
      <c r="AE2">
        <f>BDH("PLOW US Equity","NET_INCOME","1993-06-18","2026-05-02","Per=Y","Days=T","Dir=V")</f>
        <v>0</v>
      </c>
      <c r="AG2">
        <f>BDH("PLOW US Equity","IS_INT_EXPENSE","1993-06-18","2026-05-02","Per=Y","Days=T","Dir=V")</f>
        <v>0</v>
      </c>
      <c r="AI2">
        <f>BDH("PLOW US Equity","IS_DEPR_EXP","1993-06-18","2026-05-02","Per=Y","Days=T","Dir=V")</f>
        <v>0</v>
      </c>
      <c r="AK2">
        <f>BDH("PLOW US Equity","CF_CASH_FROM_OPER","1993-06-18","2026-05-02","Per=Y","Days=T","Dir=V")</f>
        <v>0</v>
      </c>
      <c r="AM2">
        <f>BDH("PLOW US Equity","CAPITAL_EXPEND","1993-06-18","2026-05-02","Per=Y","Days=T","Dir=V")</f>
        <v>0</v>
      </c>
      <c r="AO2">
        <f>BDH("PLOW US Equity","CF_FREE_CASH_FLOW","1993-06-18","2026-05-02","Per=Y","Days=T","Dir=V")</f>
        <v>0</v>
      </c>
      <c r="AQ2">
        <f>BDH("PLOW US Equity","PX_LAST","1993-06-18","2026-05-02","Per=M","Days=T","Dir=V")</f>
        <v>0</v>
      </c>
      <c r="AS2">
        <f>BDH("PLOW US Equity","CUR_MKT_CAP","1993-06-18","2026-05-02","Per=M","Days=T","Dir=V")</f>
        <v>0</v>
      </c>
      <c r="AU2">
        <f>BDH("PLOW US Equity","EQY_SH_OUT","1993-06-18","2026-05-02","Per=M","Days=T","Dir=V")</f>
        <v>0</v>
      </c>
      <c r="AW2">
        <f>BDH("PLOW US Equity","PX_VOLUME","1993-06-18","2026-05-02","Per=M","Days=T","Dir=V")</f>
        <v>0</v>
      </c>
      <c r="AY2">
        <f>BDH("PLOW US Equity","TURNOVER","1993-06-18","2026-05-02","Per=M","Days=T","Dir=V")</f>
        <v>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BDH("PLPC US Equity","BS_TOT_ASSET","1993-06-18","2026-05-02","Per=Y","Days=T","Dir=V")</f>
        <v>0</v>
      </c>
      <c r="C2">
        <f>BDH("PLPC US Equity","BS_TOT_LIAB2","1993-06-18","2026-05-02","Per=Y","Days=T","Dir=V")</f>
        <v>0</v>
      </c>
      <c r="E2">
        <f>BDH("PLPC US Equity","SHORT_AND_LONG_TERM_DEBT","1993-06-18","2026-05-02","Per=Y","Days=T","Dir=V")</f>
        <v>0</v>
      </c>
      <c r="G2">
        <f>BDH("PLPC US Equity","BS_ST_BORROW","1993-06-18","2026-05-02","Per=Y","Days=T","Dir=V")</f>
        <v>0</v>
      </c>
      <c r="I2">
        <f>BDH("PLPC US Equity","BS_LT_BORROW","1993-06-18","2026-05-02","Per=Y","Days=T","Dir=V")</f>
        <v>0</v>
      </c>
      <c r="K2">
        <f>BDH("PLPC US Equity","BS_CASH_NEAR_CASH_ITEM","1993-06-18","2026-05-02","Per=Y","Days=T","Dir=V")</f>
        <v>0</v>
      </c>
      <c r="M2">
        <f>BDH("PLPC US Equity","BS_CUR_ASSET_REPORT","1993-06-18","2026-05-02","Per=Y","Days=T","Dir=V")</f>
        <v>0</v>
      </c>
      <c r="O2">
        <f>BDH("PLPC US Equity","BS_CUR_LIAB","1993-06-18","2026-05-02","Per=Y","Days=T","Dir=V")</f>
        <v>0</v>
      </c>
      <c r="Q2">
        <f>BDH("PLPC US Equity","BS_SHAREHOLDER_EQY_ENDING_PERIOD","1993-06-18","2026-05-02","Per=Y","Days=T","Dir=V")</f>
        <v>0</v>
      </c>
      <c r="S2">
        <f>BDH("PLPC US Equity","BS_ACCT_NOTE_RCV","1993-06-18","2026-05-02","Per=Y","Days=T","Dir=V")</f>
        <v>0</v>
      </c>
      <c r="U2">
        <f>BDH("PLPC US Equity","BS_INVENTORIES","1993-06-18","2026-05-02","Per=Y","Days=T","Dir=V")</f>
        <v>0</v>
      </c>
      <c r="W2">
        <f>BDH("PLPC US Equity","WORKING_CAPITAL","1993-06-18","2026-05-02","Per=Y","Days=T","Dir=V")</f>
        <v>0</v>
      </c>
      <c r="Y2">
        <f>BDH("PLPC US Equity","SALES_REV_TURN","1993-06-18","2026-05-02","Per=Y","Days=T","Dir=V")</f>
        <v>0</v>
      </c>
      <c r="AA2">
        <f>BDH("PLPC US Equity","EBIT","1993-06-18","2026-05-02","Per=Y","Days=T","Dir=V")</f>
        <v>0</v>
      </c>
      <c r="AC2">
        <f>BDH("PLPC US Equity","EBITDA","1993-06-18","2026-05-02","Per=Y","Days=T","Dir=V")</f>
        <v>0</v>
      </c>
      <c r="AE2">
        <f>BDH("PLPC US Equity","NET_INCOME","1993-06-18","2026-05-02","Per=Y","Days=T","Dir=V")</f>
        <v>0</v>
      </c>
      <c r="AG2">
        <f>BDH("PLPC US Equity","IS_INT_EXPENSE","1993-06-18","2026-05-02","Per=Y","Days=T","Dir=V")</f>
        <v>0</v>
      </c>
      <c r="AI2">
        <f>BDH("PLPC US Equity","IS_DEPR_EXP","1993-06-18","2026-05-02","Per=Y","Days=T","Dir=V")</f>
        <v>0</v>
      </c>
      <c r="AK2">
        <f>BDH("PLPC US Equity","CF_CASH_FROM_OPER","1993-06-18","2026-05-02","Per=Y","Days=T","Dir=V")</f>
        <v>0</v>
      </c>
      <c r="AM2">
        <f>BDH("PLPC US Equity","CAPITAL_EXPEND","1993-06-18","2026-05-02","Per=Y","Days=T","Dir=V")</f>
        <v>0</v>
      </c>
      <c r="AO2">
        <f>BDH("PLPC US Equity","CF_FREE_CASH_FLOW","1993-06-18","2026-05-02","Per=Y","Days=T","Dir=V")</f>
        <v>0</v>
      </c>
      <c r="AQ2">
        <f>BDH("PLPC US Equity","PX_LAST","1993-06-18","2026-05-02","Per=M","Days=T","Dir=V")</f>
        <v>0</v>
      </c>
      <c r="AS2">
        <f>BDH("PLPC US Equity","CUR_MKT_CAP","1993-06-18","2026-05-02","Per=M","Days=T","Dir=V")</f>
        <v>0</v>
      </c>
      <c r="AU2">
        <f>BDH("PLPC US Equity","EQY_SH_OUT","1993-06-18","2026-05-02","Per=M","Days=T","Dir=V")</f>
        <v>0</v>
      </c>
      <c r="AW2">
        <f>BDH("PLPC US Equity","PX_VOLUME","1993-06-18","2026-05-02","Per=M","Days=T","Dir=V")</f>
        <v>0</v>
      </c>
      <c r="AY2">
        <f>BDH("PLPC US Equity","TURNOVER","1993-06-18","2026-05-02","Per=M","Days=T","Dir=V")</f>
        <v>0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BDH("PLRX US Equity","BS_TOT_ASSET","1993-06-18","2026-05-02","Per=Y","Days=T","Dir=V")</f>
        <v>0</v>
      </c>
      <c r="C2">
        <f>BDH("PLRX US Equity","BS_TOT_LIAB2","1993-06-18","2026-05-02","Per=Y","Days=T","Dir=V")</f>
        <v>0</v>
      </c>
      <c r="E2">
        <f>BDH("PLRX US Equity","SHORT_AND_LONG_TERM_DEBT","1993-06-18","2026-05-02","Per=Y","Days=T","Dir=V")</f>
        <v>0</v>
      </c>
      <c r="G2">
        <f>BDH("PLRX US Equity","BS_ST_BORROW","1993-06-18","2026-05-02","Per=Y","Days=T","Dir=V")</f>
        <v>0</v>
      </c>
      <c r="I2">
        <f>BDH("PLRX US Equity","BS_LT_BORROW","1993-06-18","2026-05-02","Per=Y","Days=T","Dir=V")</f>
        <v>0</v>
      </c>
      <c r="K2">
        <f>BDH("PLRX US Equity","BS_CASH_NEAR_CASH_ITEM","1993-06-18","2026-05-02","Per=Y","Days=T","Dir=V")</f>
        <v>0</v>
      </c>
      <c r="M2">
        <f>BDH("PLRX US Equity","BS_CUR_ASSET_REPORT","1993-06-18","2026-05-02","Per=Y","Days=T","Dir=V")</f>
        <v>0</v>
      </c>
      <c r="O2">
        <f>BDH("PLRX US Equity","BS_CUR_LIAB","1993-06-18","2026-05-02","Per=Y","Days=T","Dir=V")</f>
        <v>0</v>
      </c>
      <c r="Q2">
        <f>BDH("PLRX US Equity","BS_SHAREHOLDER_EQY_ENDING_PERIOD","1993-06-18","2026-05-02","Per=Y","Days=T","Dir=V")</f>
        <v>0</v>
      </c>
      <c r="S2">
        <f>BDH("PLRX US Equity","BS_ACCT_NOTE_RCV","1993-06-18","2026-05-02","Per=Y","Days=T","Dir=V")</f>
        <v>0</v>
      </c>
      <c r="U2">
        <f>BDH("PLRX US Equity","BS_INVENTORIES","1993-06-18","2026-05-02","Per=Y","Days=T","Dir=V")</f>
        <v>0</v>
      </c>
      <c r="W2">
        <f>BDH("PLRX US Equity","WORKING_CAPITAL","1993-06-18","2026-05-02","Per=Y","Days=T","Dir=V")</f>
        <v>0</v>
      </c>
      <c r="Y2">
        <f>BDH("PLRX US Equity","SALES_REV_TURN","1993-06-18","2026-05-02","Per=Y","Days=T","Dir=V")</f>
        <v>0</v>
      </c>
      <c r="AA2">
        <f>BDH("PLRX US Equity","EBIT","1993-06-18","2026-05-02","Per=Y","Days=T","Dir=V")</f>
        <v>0</v>
      </c>
      <c r="AC2">
        <f>BDH("PLRX US Equity","EBITDA","1993-06-18","2026-05-02","Per=Y","Days=T","Dir=V")</f>
        <v>0</v>
      </c>
      <c r="AE2">
        <f>BDH("PLRX US Equity","NET_INCOME","1993-06-18","2026-05-02","Per=Y","Days=T","Dir=V")</f>
        <v>0</v>
      </c>
      <c r="AG2">
        <f>BDH("PLRX US Equity","IS_INT_EXPENSE","1993-06-18","2026-05-02","Per=Y","Days=T","Dir=V")</f>
        <v>0</v>
      </c>
      <c r="AI2">
        <f>BDH("PLRX US Equity","IS_DEPR_EXP","1993-06-18","2026-05-02","Per=Y","Days=T","Dir=V")</f>
        <v>0</v>
      </c>
      <c r="AK2">
        <f>BDH("PLRX US Equity","CF_CASH_FROM_OPER","1993-06-18","2026-05-02","Per=Y","Days=T","Dir=V")</f>
        <v>0</v>
      </c>
      <c r="AM2">
        <f>BDH("PLRX US Equity","CAPITAL_EXPEND","1993-06-18","2026-05-02","Per=Y","Days=T","Dir=V")</f>
        <v>0</v>
      </c>
      <c r="AO2">
        <f>BDH("PLRX US Equity","CF_FREE_CASH_FLOW","1993-06-18","2026-05-02","Per=Y","Days=T","Dir=V")</f>
        <v>0</v>
      </c>
      <c r="AQ2">
        <f>BDH("PLRX US Equity","PX_LAST","1993-06-18","2026-05-02","Per=M","Days=T","Dir=V")</f>
        <v>0</v>
      </c>
      <c r="AS2">
        <f>BDH("PLRX US Equity","CUR_MKT_CAP","1993-06-18","2026-05-02","Per=M","Days=T","Dir=V")</f>
        <v>0</v>
      </c>
      <c r="AU2">
        <f>BDH("PLRX US Equity","EQY_SH_OUT","1993-06-18","2026-05-02","Per=M","Days=T","Dir=V")</f>
        <v>0</v>
      </c>
      <c r="AW2">
        <f>BDH("PLRX US Equity","PX_VOLUME","1993-06-18","2026-05-02","Per=M","Days=T","Dir=V")</f>
        <v>0</v>
      </c>
      <c r="AY2">
        <f>BDH("PLRX US Equity","TURNOVER","1993-06-18","2026-05-02","Per=M","Days=T","Dir=V")</f>
        <v>0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BDH("PLSE US Equity","BS_TOT_ASSET","1993-06-18","2026-05-02","Per=Y","Days=T","Dir=V")</f>
        <v>0</v>
      </c>
      <c r="C2">
        <f>BDH("PLSE US Equity","BS_TOT_LIAB2","1993-06-18","2026-05-02","Per=Y","Days=T","Dir=V")</f>
        <v>0</v>
      </c>
      <c r="E2">
        <f>BDH("PLSE US Equity","SHORT_AND_LONG_TERM_DEBT","1993-06-18","2026-05-02","Per=Y","Days=T","Dir=V")</f>
        <v>0</v>
      </c>
      <c r="G2">
        <f>BDH("PLSE US Equity","BS_ST_BORROW","1993-06-18","2026-05-02","Per=Y","Days=T","Dir=V")</f>
        <v>0</v>
      </c>
      <c r="I2">
        <f>BDH("PLSE US Equity","BS_LT_BORROW","1993-06-18","2026-05-02","Per=Y","Days=T","Dir=V")</f>
        <v>0</v>
      </c>
      <c r="K2">
        <f>BDH("PLSE US Equity","BS_CASH_NEAR_CASH_ITEM","1993-06-18","2026-05-02","Per=Y","Days=T","Dir=V")</f>
        <v>0</v>
      </c>
      <c r="M2">
        <f>BDH("PLSE US Equity","BS_CUR_ASSET_REPORT","1993-06-18","2026-05-02","Per=Y","Days=T","Dir=V")</f>
        <v>0</v>
      </c>
      <c r="O2">
        <f>BDH("PLSE US Equity","BS_CUR_LIAB","1993-06-18","2026-05-02","Per=Y","Days=T","Dir=V")</f>
        <v>0</v>
      </c>
      <c r="Q2">
        <f>BDH("PLSE US Equity","BS_SHAREHOLDER_EQY_ENDING_PERIOD","1993-06-18","2026-05-02","Per=Y","Days=T","Dir=V")</f>
        <v>0</v>
      </c>
      <c r="S2">
        <f>BDH("PLSE US Equity","BS_ACCT_NOTE_RCV","1993-06-18","2026-05-02","Per=Y","Days=T","Dir=V")</f>
        <v>0</v>
      </c>
      <c r="U2">
        <f>BDH("PLSE US Equity","BS_INVENTORIES","1993-06-18","2026-05-02","Per=Y","Days=T","Dir=V")</f>
        <v>0</v>
      </c>
      <c r="W2">
        <f>BDH("PLSE US Equity","WORKING_CAPITAL","1993-06-18","2026-05-02","Per=Y","Days=T","Dir=V")</f>
        <v>0</v>
      </c>
      <c r="Y2">
        <f>BDH("PLSE US Equity","SALES_REV_TURN","1993-06-18","2026-05-02","Per=Y","Days=T","Dir=V")</f>
        <v>0</v>
      </c>
      <c r="AA2">
        <f>BDH("PLSE US Equity","EBIT","1993-06-18","2026-05-02","Per=Y","Days=T","Dir=V")</f>
        <v>0</v>
      </c>
      <c r="AC2">
        <f>BDH("PLSE US Equity","EBITDA","1993-06-18","2026-05-02","Per=Y","Days=T","Dir=V")</f>
        <v>0</v>
      </c>
      <c r="AE2">
        <f>BDH("PLSE US Equity","NET_INCOME","1993-06-18","2026-05-02","Per=Y","Days=T","Dir=V")</f>
        <v>0</v>
      </c>
      <c r="AG2">
        <f>BDH("PLSE US Equity","IS_INT_EXPENSE","1993-06-18","2026-05-02","Per=Y","Days=T","Dir=V")</f>
        <v>0</v>
      </c>
      <c r="AI2">
        <f>BDH("PLSE US Equity","IS_DEPR_EXP","1993-06-18","2026-05-02","Per=Y","Days=T","Dir=V")</f>
        <v>0</v>
      </c>
      <c r="AK2">
        <f>BDH("PLSE US Equity","CF_CASH_FROM_OPER","1993-06-18","2026-05-02","Per=Y","Days=T","Dir=V")</f>
        <v>0</v>
      </c>
      <c r="AM2">
        <f>BDH("PLSE US Equity","CAPITAL_EXPEND","1993-06-18","2026-05-02","Per=Y","Days=T","Dir=V")</f>
        <v>0</v>
      </c>
      <c r="AO2">
        <f>BDH("PLSE US Equity","CF_FREE_CASH_FLOW","1993-06-18","2026-05-02","Per=Y","Days=T","Dir=V")</f>
        <v>0</v>
      </c>
      <c r="AQ2">
        <f>BDH("PLSE US Equity","PX_LAST","1993-06-18","2026-05-02","Per=M","Days=T","Dir=V")</f>
        <v>0</v>
      </c>
      <c r="AS2">
        <f>BDH("PLSE US Equity","CUR_MKT_CAP","1993-06-18","2026-05-02","Per=M","Days=T","Dir=V")</f>
        <v>0</v>
      </c>
      <c r="AU2">
        <f>BDH("PLSE US Equity","EQY_SH_OUT","1993-06-18","2026-05-02","Per=M","Days=T","Dir=V")</f>
        <v>0</v>
      </c>
      <c r="AW2">
        <f>BDH("PLSE US Equity","PX_VOLUME","1993-06-18","2026-05-02","Per=M","Days=T","Dir=V")</f>
        <v>0</v>
      </c>
      <c r="AY2">
        <f>BDH("PLSE US Equity","TURNOVER","1993-06-18","2026-05-02","Per=M","Days=T","Dir=V")</f>
        <v>0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BDH("PLTR US Equity","BS_TOT_ASSET","1993-06-18","2026-05-02","Per=Y","Days=T","Dir=V")</f>
        <v>0</v>
      </c>
      <c r="C2">
        <f>BDH("PLTR US Equity","BS_TOT_LIAB2","1993-06-18","2026-05-02","Per=Y","Days=T","Dir=V")</f>
        <v>0</v>
      </c>
      <c r="E2">
        <f>BDH("PLTR US Equity","SHORT_AND_LONG_TERM_DEBT","1993-06-18","2026-05-02","Per=Y","Days=T","Dir=V")</f>
        <v>0</v>
      </c>
      <c r="G2">
        <f>BDH("PLTR US Equity","BS_ST_BORROW","1993-06-18","2026-05-02","Per=Y","Days=T","Dir=V")</f>
        <v>0</v>
      </c>
      <c r="I2">
        <f>BDH("PLTR US Equity","BS_LT_BORROW","1993-06-18","2026-05-02","Per=Y","Days=T","Dir=V")</f>
        <v>0</v>
      </c>
      <c r="K2">
        <f>BDH("PLTR US Equity","BS_CASH_NEAR_CASH_ITEM","1993-06-18","2026-05-02","Per=Y","Days=T","Dir=V")</f>
        <v>0</v>
      </c>
      <c r="M2">
        <f>BDH("PLTR US Equity","BS_CUR_ASSET_REPORT","1993-06-18","2026-05-02","Per=Y","Days=T","Dir=V")</f>
        <v>0</v>
      </c>
      <c r="O2">
        <f>BDH("PLTR US Equity","BS_CUR_LIAB","1993-06-18","2026-05-02","Per=Y","Days=T","Dir=V")</f>
        <v>0</v>
      </c>
      <c r="Q2">
        <f>BDH("PLTR US Equity","BS_SHAREHOLDER_EQY_ENDING_PERIOD","1993-06-18","2026-05-02","Per=Y","Days=T","Dir=V")</f>
        <v>0</v>
      </c>
      <c r="S2">
        <f>BDH("PLTR US Equity","BS_ACCT_NOTE_RCV","1993-06-18","2026-05-02","Per=Y","Days=T","Dir=V")</f>
        <v>0</v>
      </c>
      <c r="U2">
        <f>BDH("PLTR US Equity","BS_INVENTORIES","1993-06-18","2026-05-02","Per=Y","Days=T","Dir=V")</f>
        <v>0</v>
      </c>
      <c r="W2">
        <f>BDH("PLTR US Equity","WORKING_CAPITAL","1993-06-18","2026-05-02","Per=Y","Days=T","Dir=V")</f>
        <v>0</v>
      </c>
      <c r="Y2">
        <f>BDH("PLTR US Equity","SALES_REV_TURN","1993-06-18","2026-05-02","Per=Y","Days=T","Dir=V")</f>
        <v>0</v>
      </c>
      <c r="AA2">
        <f>BDH("PLTR US Equity","EBIT","1993-06-18","2026-05-02","Per=Y","Days=T","Dir=V")</f>
        <v>0</v>
      </c>
      <c r="AC2">
        <f>BDH("PLTR US Equity","EBITDA","1993-06-18","2026-05-02","Per=Y","Days=T","Dir=V")</f>
        <v>0</v>
      </c>
      <c r="AE2">
        <f>BDH("PLTR US Equity","NET_INCOME","1993-06-18","2026-05-02","Per=Y","Days=T","Dir=V")</f>
        <v>0</v>
      </c>
      <c r="AG2">
        <f>BDH("PLTR US Equity","IS_INT_EXPENSE","1993-06-18","2026-05-02","Per=Y","Days=T","Dir=V")</f>
        <v>0</v>
      </c>
      <c r="AI2">
        <f>BDH("PLTR US Equity","IS_DEPR_EXP","1993-06-18","2026-05-02","Per=Y","Days=T","Dir=V")</f>
        <v>0</v>
      </c>
      <c r="AK2">
        <f>BDH("PLTR US Equity","CF_CASH_FROM_OPER","1993-06-18","2026-05-02","Per=Y","Days=T","Dir=V")</f>
        <v>0</v>
      </c>
      <c r="AM2">
        <f>BDH("PLTR US Equity","CAPITAL_EXPEND","1993-06-18","2026-05-02","Per=Y","Days=T","Dir=V")</f>
        <v>0</v>
      </c>
      <c r="AO2">
        <f>BDH("PLTR US Equity","CF_FREE_CASH_FLOW","1993-06-18","2026-05-02","Per=Y","Days=T","Dir=V")</f>
        <v>0</v>
      </c>
      <c r="AQ2">
        <f>BDH("PLTR US Equity","PX_LAST","1993-06-18","2026-05-02","Per=M","Days=T","Dir=V")</f>
        <v>0</v>
      </c>
      <c r="AS2">
        <f>BDH("PLTR US Equity","CUR_MKT_CAP","1993-06-18","2026-05-02","Per=M","Days=T","Dir=V")</f>
        <v>0</v>
      </c>
      <c r="AU2">
        <f>BDH("PLTR US Equity","EQY_SH_OUT","1993-06-18","2026-05-02","Per=M","Days=T","Dir=V")</f>
        <v>0</v>
      </c>
      <c r="AW2">
        <f>BDH("PLTR US Equity","PX_VOLUME","1993-06-18","2026-05-02","Per=M","Days=T","Dir=V")</f>
        <v>0</v>
      </c>
      <c r="AY2">
        <f>BDH("PLTR US Equity","TURNOVER","1993-06-18","2026-05-02","Per=M","Days=T","Dir=V")</f>
        <v>0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BDH("PLUG US Equity","BS_TOT_ASSET","1993-06-18","2026-05-02","Per=Y","Days=T","Dir=V")</f>
        <v>0</v>
      </c>
      <c r="C2">
        <f>BDH("PLUG US Equity","BS_TOT_LIAB2","1993-06-18","2026-05-02","Per=Y","Days=T","Dir=V")</f>
        <v>0</v>
      </c>
      <c r="E2">
        <f>BDH("PLUG US Equity","SHORT_AND_LONG_TERM_DEBT","1993-06-18","2026-05-02","Per=Y","Days=T","Dir=V")</f>
        <v>0</v>
      </c>
      <c r="G2">
        <f>BDH("PLUG US Equity","BS_ST_BORROW","1993-06-18","2026-05-02","Per=Y","Days=T","Dir=V")</f>
        <v>0</v>
      </c>
      <c r="I2">
        <f>BDH("PLUG US Equity","BS_LT_BORROW","1993-06-18","2026-05-02","Per=Y","Days=T","Dir=V")</f>
        <v>0</v>
      </c>
      <c r="K2">
        <f>BDH("PLUG US Equity","BS_CASH_NEAR_CASH_ITEM","1993-06-18","2026-05-02","Per=Y","Days=T","Dir=V")</f>
        <v>0</v>
      </c>
      <c r="M2">
        <f>BDH("PLUG US Equity","BS_CUR_ASSET_REPORT","1993-06-18","2026-05-02","Per=Y","Days=T","Dir=V")</f>
        <v>0</v>
      </c>
      <c r="O2">
        <f>BDH("PLUG US Equity","BS_CUR_LIAB","1993-06-18","2026-05-02","Per=Y","Days=T","Dir=V")</f>
        <v>0</v>
      </c>
      <c r="Q2">
        <f>BDH("PLUG US Equity","BS_SHAREHOLDER_EQY_ENDING_PERIOD","1993-06-18","2026-05-02","Per=Y","Days=T","Dir=V")</f>
        <v>0</v>
      </c>
      <c r="S2">
        <f>BDH("PLUG US Equity","BS_ACCT_NOTE_RCV","1993-06-18","2026-05-02","Per=Y","Days=T","Dir=V")</f>
        <v>0</v>
      </c>
      <c r="U2">
        <f>BDH("PLUG US Equity","BS_INVENTORIES","1993-06-18","2026-05-02","Per=Y","Days=T","Dir=V")</f>
        <v>0</v>
      </c>
      <c r="W2">
        <f>BDH("PLUG US Equity","WORKING_CAPITAL","1993-06-18","2026-05-02","Per=Y","Days=T","Dir=V")</f>
        <v>0</v>
      </c>
      <c r="Y2">
        <f>BDH("PLUG US Equity","SALES_REV_TURN","1993-06-18","2026-05-02","Per=Y","Days=T","Dir=V")</f>
        <v>0</v>
      </c>
      <c r="AA2">
        <f>BDH("PLUG US Equity","EBIT","1993-06-18","2026-05-02","Per=Y","Days=T","Dir=V")</f>
        <v>0</v>
      </c>
      <c r="AC2">
        <f>BDH("PLUG US Equity","EBITDA","1993-06-18","2026-05-02","Per=Y","Days=T","Dir=V")</f>
        <v>0</v>
      </c>
      <c r="AE2">
        <f>BDH("PLUG US Equity","NET_INCOME","1993-06-18","2026-05-02","Per=Y","Days=T","Dir=V")</f>
        <v>0</v>
      </c>
      <c r="AG2">
        <f>BDH("PLUG US Equity","IS_INT_EXPENSE","1993-06-18","2026-05-02","Per=Y","Days=T","Dir=V")</f>
        <v>0</v>
      </c>
      <c r="AI2">
        <f>BDH("PLUG US Equity","IS_DEPR_EXP","1993-06-18","2026-05-02","Per=Y","Days=T","Dir=V")</f>
        <v>0</v>
      </c>
      <c r="AK2">
        <f>BDH("PLUG US Equity","CF_CASH_FROM_OPER","1993-06-18","2026-05-02","Per=Y","Days=T","Dir=V")</f>
        <v>0</v>
      </c>
      <c r="AM2">
        <f>BDH("PLUG US Equity","CAPITAL_EXPEND","1993-06-18","2026-05-02","Per=Y","Days=T","Dir=V")</f>
        <v>0</v>
      </c>
      <c r="AO2">
        <f>BDH("PLUG US Equity","CF_FREE_CASH_FLOW","1993-06-18","2026-05-02","Per=Y","Days=T","Dir=V")</f>
        <v>0</v>
      </c>
      <c r="AQ2">
        <f>BDH("PLUG US Equity","PX_LAST","1993-06-18","2026-05-02","Per=M","Days=T","Dir=V")</f>
        <v>0</v>
      </c>
      <c r="AS2">
        <f>BDH("PLUG US Equity","CUR_MKT_CAP","1993-06-18","2026-05-02","Per=M","Days=T","Dir=V")</f>
        <v>0</v>
      </c>
      <c r="AU2">
        <f>BDH("PLUG US Equity","EQY_SH_OUT","1993-06-18","2026-05-02","Per=M","Days=T","Dir=V")</f>
        <v>0</v>
      </c>
      <c r="AW2">
        <f>BDH("PLUG US Equity","PX_VOLUME","1993-06-18","2026-05-02","Per=M","Days=T","Dir=V")</f>
        <v>0</v>
      </c>
      <c r="AY2">
        <f>BDH("PLUG US Equity","TURNOVER","1993-06-18","2026-05-02","Per=M","Days=T","Dir=V")</f>
        <v>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BDH("PLUS US Equity","BS_TOT_ASSET","1993-06-18","2026-05-02","Per=Y","Days=T","Dir=V")</f>
        <v>0</v>
      </c>
      <c r="C2">
        <f>BDH("PLUS US Equity","BS_TOT_LIAB2","1993-06-18","2026-05-02","Per=Y","Days=T","Dir=V")</f>
        <v>0</v>
      </c>
      <c r="E2">
        <f>BDH("PLUS US Equity","SHORT_AND_LONG_TERM_DEBT","1993-06-18","2026-05-02","Per=Y","Days=T","Dir=V")</f>
        <v>0</v>
      </c>
      <c r="G2">
        <f>BDH("PLUS US Equity","BS_ST_BORROW","1993-06-18","2026-05-02","Per=Y","Days=T","Dir=V")</f>
        <v>0</v>
      </c>
      <c r="I2">
        <f>BDH("PLUS US Equity","BS_LT_BORROW","1993-06-18","2026-05-02","Per=Y","Days=T","Dir=V")</f>
        <v>0</v>
      </c>
      <c r="K2">
        <f>BDH("PLUS US Equity","BS_CASH_NEAR_CASH_ITEM","1993-06-18","2026-05-02","Per=Y","Days=T","Dir=V")</f>
        <v>0</v>
      </c>
      <c r="M2">
        <f>BDH("PLUS US Equity","BS_CUR_ASSET_REPORT","1993-06-18","2026-05-02","Per=Y","Days=T","Dir=V")</f>
        <v>0</v>
      </c>
      <c r="O2">
        <f>BDH("PLUS US Equity","BS_CUR_LIAB","1993-06-18","2026-05-02","Per=Y","Days=T","Dir=V")</f>
        <v>0</v>
      </c>
      <c r="Q2">
        <f>BDH("PLUS US Equity","BS_SHAREHOLDER_EQY_ENDING_PERIOD","1993-06-18","2026-05-02","Per=Y","Days=T","Dir=V")</f>
        <v>0</v>
      </c>
      <c r="S2">
        <f>BDH("PLUS US Equity","BS_ACCT_NOTE_RCV","1993-06-18","2026-05-02","Per=Y","Days=T","Dir=V")</f>
        <v>0</v>
      </c>
      <c r="U2">
        <f>BDH("PLUS US Equity","BS_INVENTORIES","1993-06-18","2026-05-02","Per=Y","Days=T","Dir=V")</f>
        <v>0</v>
      </c>
      <c r="W2">
        <f>BDH("PLUS US Equity","WORKING_CAPITAL","1993-06-18","2026-05-02","Per=Y","Days=T","Dir=V")</f>
        <v>0</v>
      </c>
      <c r="Y2">
        <f>BDH("PLUS US Equity","SALES_REV_TURN","1993-06-18","2026-05-02","Per=Y","Days=T","Dir=V")</f>
        <v>0</v>
      </c>
      <c r="AA2">
        <f>BDH("PLUS US Equity","EBIT","1993-06-18","2026-05-02","Per=Y","Days=T","Dir=V")</f>
        <v>0</v>
      </c>
      <c r="AC2">
        <f>BDH("PLUS US Equity","EBITDA","1993-06-18","2026-05-02","Per=Y","Days=T","Dir=V")</f>
        <v>0</v>
      </c>
      <c r="AE2">
        <f>BDH("PLUS US Equity","NET_INCOME","1993-06-18","2026-05-02","Per=Y","Days=T","Dir=V")</f>
        <v>0</v>
      </c>
      <c r="AG2">
        <f>BDH("PLUS US Equity","IS_INT_EXPENSE","1993-06-18","2026-05-02","Per=Y","Days=T","Dir=V")</f>
        <v>0</v>
      </c>
      <c r="AI2">
        <f>BDH("PLUS US Equity","IS_DEPR_EXP","1993-06-18","2026-05-02","Per=Y","Days=T","Dir=V")</f>
        <v>0</v>
      </c>
      <c r="AK2">
        <f>BDH("PLUS US Equity","CF_CASH_FROM_OPER","1993-06-18","2026-05-02","Per=Y","Days=T","Dir=V")</f>
        <v>0</v>
      </c>
      <c r="AM2">
        <f>BDH("PLUS US Equity","CAPITAL_EXPEND","1993-06-18","2026-05-02","Per=Y","Days=T","Dir=V")</f>
        <v>0</v>
      </c>
      <c r="AO2">
        <f>BDH("PLUS US Equity","CF_FREE_CASH_FLOW","1993-06-18","2026-05-02","Per=Y","Days=T","Dir=V")</f>
        <v>0</v>
      </c>
      <c r="AQ2">
        <f>BDH("PLUS US Equity","PX_LAST","1993-06-18","2026-05-02","Per=M","Days=T","Dir=V")</f>
        <v>0</v>
      </c>
      <c r="AS2">
        <f>BDH("PLUS US Equity","CUR_MKT_CAP","1993-06-18","2026-05-02","Per=M","Days=T","Dir=V")</f>
        <v>0</v>
      </c>
      <c r="AU2">
        <f>BDH("PLUS US Equity","EQY_SH_OUT","1993-06-18","2026-05-02","Per=M","Days=T","Dir=V")</f>
        <v>0</v>
      </c>
      <c r="AW2">
        <f>BDH("PLUS US Equity","PX_VOLUME","1993-06-18","2026-05-02","Per=M","Days=T","Dir=V")</f>
        <v>0</v>
      </c>
      <c r="AY2">
        <f>BDH("PLUS US Equity","TURNOVER","1993-06-18","2026-05-02","Per=M","Days=T","Dir=V")</f>
        <v>0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BDH("PLXS US Equity","BS_TOT_ASSET","1993-06-18","2026-05-02","Per=Y","Days=T","Dir=V")</f>
        <v>0</v>
      </c>
      <c r="C2">
        <f>BDH("PLXS US Equity","BS_TOT_LIAB2","1993-06-18","2026-05-02","Per=Y","Days=T","Dir=V")</f>
        <v>0</v>
      </c>
      <c r="E2">
        <f>BDH("PLXS US Equity","SHORT_AND_LONG_TERM_DEBT","1993-06-18","2026-05-02","Per=Y","Days=T","Dir=V")</f>
        <v>0</v>
      </c>
      <c r="G2">
        <f>BDH("PLXS US Equity","BS_ST_BORROW","1993-06-18","2026-05-02","Per=Y","Days=T","Dir=V")</f>
        <v>0</v>
      </c>
      <c r="I2">
        <f>BDH("PLXS US Equity","BS_LT_BORROW","1993-06-18","2026-05-02","Per=Y","Days=T","Dir=V")</f>
        <v>0</v>
      </c>
      <c r="K2">
        <f>BDH("PLXS US Equity","BS_CASH_NEAR_CASH_ITEM","1993-06-18","2026-05-02","Per=Y","Days=T","Dir=V")</f>
        <v>0</v>
      </c>
      <c r="M2">
        <f>BDH("PLXS US Equity","BS_CUR_ASSET_REPORT","1993-06-18","2026-05-02","Per=Y","Days=T","Dir=V")</f>
        <v>0</v>
      </c>
      <c r="O2">
        <f>BDH("PLXS US Equity","BS_CUR_LIAB","1993-06-18","2026-05-02","Per=Y","Days=T","Dir=V")</f>
        <v>0</v>
      </c>
      <c r="Q2">
        <f>BDH("PLXS US Equity","BS_SHAREHOLDER_EQY_ENDING_PERIOD","1993-06-18","2026-05-02","Per=Y","Days=T","Dir=V")</f>
        <v>0</v>
      </c>
      <c r="S2">
        <f>BDH("PLXS US Equity","BS_ACCT_NOTE_RCV","1993-06-18","2026-05-02","Per=Y","Days=T","Dir=V")</f>
        <v>0</v>
      </c>
      <c r="U2">
        <f>BDH("PLXS US Equity","BS_INVENTORIES","1993-06-18","2026-05-02","Per=Y","Days=T","Dir=V")</f>
        <v>0</v>
      </c>
      <c r="W2">
        <f>BDH("PLXS US Equity","WORKING_CAPITAL","1993-06-18","2026-05-02","Per=Y","Days=T","Dir=V")</f>
        <v>0</v>
      </c>
      <c r="Y2">
        <f>BDH("PLXS US Equity","SALES_REV_TURN","1993-06-18","2026-05-02","Per=Y","Days=T","Dir=V")</f>
        <v>0</v>
      </c>
      <c r="AA2">
        <f>BDH("PLXS US Equity","EBIT","1993-06-18","2026-05-02","Per=Y","Days=T","Dir=V")</f>
        <v>0</v>
      </c>
      <c r="AC2">
        <f>BDH("PLXS US Equity","EBITDA","1993-06-18","2026-05-02","Per=Y","Days=T","Dir=V")</f>
        <v>0</v>
      </c>
      <c r="AE2">
        <f>BDH("PLXS US Equity","NET_INCOME","1993-06-18","2026-05-02","Per=Y","Days=T","Dir=V")</f>
        <v>0</v>
      </c>
      <c r="AG2">
        <f>BDH("PLXS US Equity","IS_INT_EXPENSE","1993-06-18","2026-05-02","Per=Y","Days=T","Dir=V")</f>
        <v>0</v>
      </c>
      <c r="AI2">
        <f>BDH("PLXS US Equity","IS_DEPR_EXP","1993-06-18","2026-05-02","Per=Y","Days=T","Dir=V")</f>
        <v>0</v>
      </c>
      <c r="AK2">
        <f>BDH("PLXS US Equity","CF_CASH_FROM_OPER","1993-06-18","2026-05-02","Per=Y","Days=T","Dir=V")</f>
        <v>0</v>
      </c>
      <c r="AM2">
        <f>BDH("PLXS US Equity","CAPITAL_EXPEND","1993-06-18","2026-05-02","Per=Y","Days=T","Dir=V")</f>
        <v>0</v>
      </c>
      <c r="AO2">
        <f>BDH("PLXS US Equity","CF_FREE_CASH_FLOW","1993-06-18","2026-05-02","Per=Y","Days=T","Dir=V")</f>
        <v>0</v>
      </c>
      <c r="AQ2">
        <f>BDH("PLXS US Equity","PX_LAST","1993-06-18","2026-05-02","Per=M","Days=T","Dir=V")</f>
        <v>0</v>
      </c>
      <c r="AS2">
        <f>BDH("PLXS US Equity","CUR_MKT_CAP","1993-06-18","2026-05-02","Per=M","Days=T","Dir=V")</f>
        <v>0</v>
      </c>
      <c r="AU2">
        <f>BDH("PLXS US Equity","EQY_SH_OUT","1993-06-18","2026-05-02","Per=M","Days=T","Dir=V")</f>
        <v>0</v>
      </c>
      <c r="AW2">
        <f>BDH("PLXS US Equity","PX_VOLUME","1993-06-18","2026-05-02","Per=M","Days=T","Dir=V")</f>
        <v>0</v>
      </c>
      <c r="AY2">
        <f>BDH("PLXS US Equity","TURNOVER","1993-06-18","2026-05-02","Per=M","Days=T","Dir=V")</f>
        <v>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BDH("PLYX US Equity","BS_TOT_ASSET","1993-06-18","2026-05-02","Per=Y","Days=T","Dir=V")</f>
        <v>0</v>
      </c>
      <c r="C2">
        <f>BDH("PLYX US Equity","BS_TOT_LIAB2","1993-06-18","2026-05-02","Per=Y","Days=T","Dir=V")</f>
        <v>0</v>
      </c>
      <c r="E2">
        <f>BDH("PLYX US Equity","SHORT_AND_LONG_TERM_DEBT","1993-06-18","2026-05-02","Per=Y","Days=T","Dir=V")</f>
        <v>0</v>
      </c>
      <c r="G2">
        <f>BDH("PLYX US Equity","BS_ST_BORROW","1993-06-18","2026-05-02","Per=Y","Days=T","Dir=V")</f>
        <v>0</v>
      </c>
      <c r="I2">
        <f>BDH("PLYX US Equity","BS_LT_BORROW","1993-06-18","2026-05-02","Per=Y","Days=T","Dir=V")</f>
        <v>0</v>
      </c>
      <c r="K2">
        <f>BDH("PLYX US Equity","BS_CASH_NEAR_CASH_ITEM","1993-06-18","2026-05-02","Per=Y","Days=T","Dir=V")</f>
        <v>0</v>
      </c>
      <c r="M2">
        <f>BDH("PLYX US Equity","BS_CUR_ASSET_REPORT","1993-06-18","2026-05-02","Per=Y","Days=T","Dir=V")</f>
        <v>0</v>
      </c>
      <c r="O2">
        <f>BDH("PLYX US Equity","BS_CUR_LIAB","1993-06-18","2026-05-02","Per=Y","Days=T","Dir=V")</f>
        <v>0</v>
      </c>
      <c r="Q2">
        <f>BDH("PLYX US Equity","BS_SHAREHOLDER_EQY_ENDING_PERIOD","1993-06-18","2026-05-02","Per=Y","Days=T","Dir=V")</f>
        <v>0</v>
      </c>
      <c r="S2">
        <f>BDH("PLYX US Equity","BS_ACCT_NOTE_RCV","1993-06-18","2026-05-02","Per=Y","Days=T","Dir=V")</f>
        <v>0</v>
      </c>
      <c r="U2">
        <f>BDH("PLYX US Equity","BS_INVENTORIES","1993-06-18","2026-05-02","Per=Y","Days=T","Dir=V")</f>
        <v>0</v>
      </c>
      <c r="W2">
        <f>BDH("PLYX US Equity","WORKING_CAPITAL","1993-06-18","2026-05-02","Per=Y","Days=T","Dir=V")</f>
        <v>0</v>
      </c>
      <c r="Y2">
        <f>BDH("PLYX US Equity","SALES_REV_TURN","1993-06-18","2026-05-02","Per=Y","Days=T","Dir=V")</f>
        <v>0</v>
      </c>
      <c r="AA2">
        <f>BDH("PLYX US Equity","EBIT","1993-06-18","2026-05-02","Per=Y","Days=T","Dir=V")</f>
        <v>0</v>
      </c>
      <c r="AC2">
        <f>BDH("PLYX US Equity","EBITDA","1993-06-18","2026-05-02","Per=Y","Days=T","Dir=V")</f>
        <v>0</v>
      </c>
      <c r="AE2">
        <f>BDH("PLYX US Equity","NET_INCOME","1993-06-18","2026-05-02","Per=Y","Days=T","Dir=V")</f>
        <v>0</v>
      </c>
      <c r="AG2">
        <f>BDH("PLYX US Equity","IS_INT_EXPENSE","1993-06-18","2026-05-02","Per=Y","Days=T","Dir=V")</f>
        <v>0</v>
      </c>
      <c r="AI2">
        <f>BDH("PLYX US Equity","IS_DEPR_EXP","1993-06-18","2026-05-02","Per=Y","Days=T","Dir=V")</f>
        <v>0</v>
      </c>
      <c r="AK2">
        <f>BDH("PLYX US Equity","CF_CASH_FROM_OPER","1993-06-18","2026-05-02","Per=Y","Days=T","Dir=V")</f>
        <v>0</v>
      </c>
      <c r="AM2">
        <f>BDH("PLYX US Equity","CAPITAL_EXPEND","1993-06-18","2026-05-02","Per=Y","Days=T","Dir=V")</f>
        <v>0</v>
      </c>
      <c r="AO2">
        <f>BDH("PLYX US Equity","CF_FREE_CASH_FLOW","1993-06-18","2026-05-02","Per=Y","Days=T","Dir=V")</f>
        <v>0</v>
      </c>
      <c r="AQ2">
        <f>BDH("PLYX US Equity","PX_LAST","1993-06-18","2026-05-02","Per=M","Days=T","Dir=V")</f>
        <v>0</v>
      </c>
      <c r="AS2">
        <f>BDH("PLYX US Equity","CUR_MKT_CAP","1993-06-18","2026-05-02","Per=M","Days=T","Dir=V")</f>
        <v>0</v>
      </c>
      <c r="AU2">
        <f>BDH("PLYX US Equity","EQY_SH_OUT","1993-06-18","2026-05-02","Per=M","Days=T","Dir=V")</f>
        <v>0</v>
      </c>
      <c r="AW2">
        <f>BDH("PLYX US Equity","PX_VOLUME","1993-06-18","2026-05-02","Per=M","Days=T","Dir=V")</f>
        <v>0</v>
      </c>
      <c r="AY2">
        <f>BDH("PLYX US Equity","TURNOVER","1993-06-18","2026-05-02","Per=M","Days=T","Dir=V")</f>
        <v>0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BDH("PM US Equity","BS_TOT_ASSET","1993-06-18","2026-05-02","Per=Y","Days=T","Dir=V")</f>
        <v>0</v>
      </c>
      <c r="C2">
        <f>BDH("PM US Equity","BS_TOT_LIAB2","1993-06-18","2026-05-02","Per=Y","Days=T","Dir=V")</f>
        <v>0</v>
      </c>
      <c r="E2">
        <f>BDH("PM US Equity","SHORT_AND_LONG_TERM_DEBT","1993-06-18","2026-05-02","Per=Y","Days=T","Dir=V")</f>
        <v>0</v>
      </c>
      <c r="G2">
        <f>BDH("PM US Equity","BS_ST_BORROW","1993-06-18","2026-05-02","Per=Y","Days=T","Dir=V")</f>
        <v>0</v>
      </c>
      <c r="I2">
        <f>BDH("PM US Equity","BS_LT_BORROW","1993-06-18","2026-05-02","Per=Y","Days=T","Dir=V")</f>
        <v>0</v>
      </c>
      <c r="K2">
        <f>BDH("PM US Equity","BS_CASH_NEAR_CASH_ITEM","1993-06-18","2026-05-02","Per=Y","Days=T","Dir=V")</f>
        <v>0</v>
      </c>
      <c r="M2">
        <f>BDH("PM US Equity","BS_CUR_ASSET_REPORT","1993-06-18","2026-05-02","Per=Y","Days=T","Dir=V")</f>
        <v>0</v>
      </c>
      <c r="O2">
        <f>BDH("PM US Equity","BS_CUR_LIAB","1993-06-18","2026-05-02","Per=Y","Days=T","Dir=V")</f>
        <v>0</v>
      </c>
      <c r="Q2">
        <f>BDH("PM US Equity","BS_SHAREHOLDER_EQY_ENDING_PERIOD","1993-06-18","2026-05-02","Per=Y","Days=T","Dir=V")</f>
        <v>0</v>
      </c>
      <c r="S2">
        <f>BDH("PM US Equity","BS_ACCT_NOTE_RCV","1993-06-18","2026-05-02","Per=Y","Days=T","Dir=V")</f>
        <v>0</v>
      </c>
      <c r="U2">
        <f>BDH("PM US Equity","BS_INVENTORIES","1993-06-18","2026-05-02","Per=Y","Days=T","Dir=V")</f>
        <v>0</v>
      </c>
      <c r="W2">
        <f>BDH("PM US Equity","WORKING_CAPITAL","1993-06-18","2026-05-02","Per=Y","Days=T","Dir=V")</f>
        <v>0</v>
      </c>
      <c r="Y2">
        <f>BDH("PM US Equity","SALES_REV_TURN","1993-06-18","2026-05-02","Per=Y","Days=T","Dir=V")</f>
        <v>0</v>
      </c>
      <c r="AA2">
        <f>BDH("PM US Equity","EBIT","1993-06-18","2026-05-02","Per=Y","Days=T","Dir=V")</f>
        <v>0</v>
      </c>
      <c r="AC2">
        <f>BDH("PM US Equity","EBITDA","1993-06-18","2026-05-02","Per=Y","Days=T","Dir=V")</f>
        <v>0</v>
      </c>
      <c r="AE2">
        <f>BDH("PM US Equity","NET_INCOME","1993-06-18","2026-05-02","Per=Y","Days=T","Dir=V")</f>
        <v>0</v>
      </c>
      <c r="AG2">
        <f>BDH("PM US Equity","IS_INT_EXPENSE","1993-06-18","2026-05-02","Per=Y","Days=T","Dir=V")</f>
        <v>0</v>
      </c>
      <c r="AI2">
        <f>BDH("PM US Equity","IS_DEPR_EXP","1993-06-18","2026-05-02","Per=Y","Days=T","Dir=V")</f>
        <v>0</v>
      </c>
      <c r="AK2">
        <f>BDH("PM US Equity","CF_CASH_FROM_OPER","1993-06-18","2026-05-02","Per=Y","Days=T","Dir=V")</f>
        <v>0</v>
      </c>
      <c r="AM2">
        <f>BDH("PM US Equity","CAPITAL_EXPEND","1993-06-18","2026-05-02","Per=Y","Days=T","Dir=V")</f>
        <v>0</v>
      </c>
      <c r="AO2">
        <f>BDH("PM US Equity","CF_FREE_CASH_FLOW","1993-06-18","2026-05-02","Per=Y","Days=T","Dir=V")</f>
        <v>0</v>
      </c>
      <c r="AQ2">
        <f>BDH("PM US Equity","PX_LAST","1993-06-18","2026-05-02","Per=M","Days=T","Dir=V")</f>
        <v>0</v>
      </c>
      <c r="AS2">
        <f>BDH("PM US Equity","CUR_MKT_CAP","1993-06-18","2026-05-02","Per=M","Days=T","Dir=V")</f>
        <v>0</v>
      </c>
      <c r="AU2">
        <f>BDH("PM US Equity","EQY_SH_OUT","1993-06-18","2026-05-02","Per=M","Days=T","Dir=V")</f>
        <v>0</v>
      </c>
      <c r="AW2">
        <f>BDH("PM US Equity","PX_VOLUME","1993-06-18","2026-05-02","Per=M","Days=T","Dir=V")</f>
        <v>0</v>
      </c>
      <c r="AY2">
        <f>BDH("PM US Equity","TURNOVER","1993-06-18","2026-05-02","Per=M","Days=T","Dir=V")</f>
        <v>0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BDH("PMCB US Equity","BS_TOT_ASSET","1993-06-18","2026-05-02","Per=Y","Days=T","Dir=V")</f>
        <v>0</v>
      </c>
      <c r="C2">
        <f>BDH("PMCB US Equity","BS_TOT_LIAB2","1993-06-18","2026-05-02","Per=Y","Days=T","Dir=V")</f>
        <v>0</v>
      </c>
      <c r="E2">
        <f>BDH("PMCB US Equity","SHORT_AND_LONG_TERM_DEBT","1993-06-18","2026-05-02","Per=Y","Days=T","Dir=V")</f>
        <v>0</v>
      </c>
      <c r="G2">
        <f>BDH("PMCB US Equity","BS_ST_BORROW","1993-06-18","2026-05-02","Per=Y","Days=T","Dir=V")</f>
        <v>0</v>
      </c>
      <c r="I2">
        <f>BDH("PMCB US Equity","BS_LT_BORROW","1993-06-18","2026-05-02","Per=Y","Days=T","Dir=V")</f>
        <v>0</v>
      </c>
      <c r="K2">
        <f>BDH("PMCB US Equity","BS_CASH_NEAR_CASH_ITEM","1993-06-18","2026-05-02","Per=Y","Days=T","Dir=V")</f>
        <v>0</v>
      </c>
      <c r="M2">
        <f>BDH("PMCB US Equity","BS_CUR_ASSET_REPORT","1993-06-18","2026-05-02","Per=Y","Days=T","Dir=V")</f>
        <v>0</v>
      </c>
      <c r="O2">
        <f>BDH("PMCB US Equity","BS_CUR_LIAB","1993-06-18","2026-05-02","Per=Y","Days=T","Dir=V")</f>
        <v>0</v>
      </c>
      <c r="Q2">
        <f>BDH("PMCB US Equity","BS_SHAREHOLDER_EQY_ENDING_PERIOD","1993-06-18","2026-05-02","Per=Y","Days=T","Dir=V")</f>
        <v>0</v>
      </c>
      <c r="S2">
        <f>BDH("PMCB US Equity","BS_ACCT_NOTE_RCV","1993-06-18","2026-05-02","Per=Y","Days=T","Dir=V")</f>
        <v>0</v>
      </c>
      <c r="U2">
        <f>BDH("PMCB US Equity","BS_INVENTORIES","1993-06-18","2026-05-02","Per=Y","Days=T","Dir=V")</f>
        <v>0</v>
      </c>
      <c r="W2">
        <f>BDH("PMCB US Equity","WORKING_CAPITAL","1993-06-18","2026-05-02","Per=Y","Days=T","Dir=V")</f>
        <v>0</v>
      </c>
      <c r="Y2">
        <f>BDH("PMCB US Equity","SALES_REV_TURN","1993-06-18","2026-05-02","Per=Y","Days=T","Dir=V")</f>
        <v>0</v>
      </c>
      <c r="AA2">
        <f>BDH("PMCB US Equity","EBIT","1993-06-18","2026-05-02","Per=Y","Days=T","Dir=V")</f>
        <v>0</v>
      </c>
      <c r="AC2">
        <f>BDH("PMCB US Equity","EBITDA","1993-06-18","2026-05-02","Per=Y","Days=T","Dir=V")</f>
        <v>0</v>
      </c>
      <c r="AE2">
        <f>BDH("PMCB US Equity","NET_INCOME","1993-06-18","2026-05-02","Per=Y","Days=T","Dir=V")</f>
        <v>0</v>
      </c>
      <c r="AG2">
        <f>BDH("PMCB US Equity","IS_INT_EXPENSE","1993-06-18","2026-05-02","Per=Y","Days=T","Dir=V")</f>
        <v>0</v>
      </c>
      <c r="AI2">
        <f>BDH("PMCB US Equity","IS_DEPR_EXP","1993-06-18","2026-05-02","Per=Y","Days=T","Dir=V")</f>
        <v>0</v>
      </c>
      <c r="AK2">
        <f>BDH("PMCB US Equity","CF_CASH_FROM_OPER","1993-06-18","2026-05-02","Per=Y","Days=T","Dir=V")</f>
        <v>0</v>
      </c>
      <c r="AM2">
        <f>BDH("PMCB US Equity","CAPITAL_EXPEND","1993-06-18","2026-05-02","Per=Y","Days=T","Dir=V")</f>
        <v>0</v>
      </c>
      <c r="AO2">
        <f>BDH("PMCB US Equity","CF_FREE_CASH_FLOW","1993-06-18","2026-05-02","Per=Y","Days=T","Dir=V")</f>
        <v>0</v>
      </c>
      <c r="AQ2">
        <f>BDH("PMCB US Equity","PX_LAST","1993-06-18","2026-05-02","Per=M","Days=T","Dir=V")</f>
        <v>0</v>
      </c>
      <c r="AS2">
        <f>BDH("PMCB US Equity","CUR_MKT_CAP","1993-06-18","2026-05-02","Per=M","Days=T","Dir=V")</f>
        <v>0</v>
      </c>
      <c r="AU2">
        <f>BDH("PMCB US Equity","EQY_SH_OUT","1993-06-18","2026-05-02","Per=M","Days=T","Dir=V")</f>
        <v>0</v>
      </c>
      <c r="AW2">
        <f>BDH("PMCB US Equity","PX_VOLUME","1993-06-18","2026-05-02","Per=M","Days=T","Dir=V")</f>
        <v>0</v>
      </c>
      <c r="AY2">
        <f>BDH("PMCB US Equity","TURNOVER","1993-06-18","2026-05-02","Per=M","Days=T","Dir=V")</f>
        <v>0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BDH("PMTS US Equity","BS_TOT_ASSET","1993-06-18","2026-05-02","Per=Y","Days=T","Dir=V")</f>
        <v>0</v>
      </c>
      <c r="C2">
        <f>BDH("PMTS US Equity","BS_TOT_LIAB2","1993-06-18","2026-05-02","Per=Y","Days=T","Dir=V")</f>
        <v>0</v>
      </c>
      <c r="E2">
        <f>BDH("PMTS US Equity","SHORT_AND_LONG_TERM_DEBT","1993-06-18","2026-05-02","Per=Y","Days=T","Dir=V")</f>
        <v>0</v>
      </c>
      <c r="G2">
        <f>BDH("PMTS US Equity","BS_ST_BORROW","1993-06-18","2026-05-02","Per=Y","Days=T","Dir=V")</f>
        <v>0</v>
      </c>
      <c r="I2">
        <f>BDH("PMTS US Equity","BS_LT_BORROW","1993-06-18","2026-05-02","Per=Y","Days=T","Dir=V")</f>
        <v>0</v>
      </c>
      <c r="K2">
        <f>BDH("PMTS US Equity","BS_CASH_NEAR_CASH_ITEM","1993-06-18","2026-05-02","Per=Y","Days=T","Dir=V")</f>
        <v>0</v>
      </c>
      <c r="M2">
        <f>BDH("PMTS US Equity","BS_CUR_ASSET_REPORT","1993-06-18","2026-05-02","Per=Y","Days=T","Dir=V")</f>
        <v>0</v>
      </c>
      <c r="O2">
        <f>BDH("PMTS US Equity","BS_CUR_LIAB","1993-06-18","2026-05-02","Per=Y","Days=T","Dir=V")</f>
        <v>0</v>
      </c>
      <c r="Q2">
        <f>BDH("PMTS US Equity","BS_SHAREHOLDER_EQY_ENDING_PERIOD","1993-06-18","2026-05-02","Per=Y","Days=T","Dir=V")</f>
        <v>0</v>
      </c>
      <c r="S2">
        <f>BDH("PMTS US Equity","BS_ACCT_NOTE_RCV","1993-06-18","2026-05-02","Per=Y","Days=T","Dir=V")</f>
        <v>0</v>
      </c>
      <c r="U2">
        <f>BDH("PMTS US Equity","BS_INVENTORIES","1993-06-18","2026-05-02","Per=Y","Days=T","Dir=V")</f>
        <v>0</v>
      </c>
      <c r="W2">
        <f>BDH("PMTS US Equity","WORKING_CAPITAL","1993-06-18","2026-05-02","Per=Y","Days=T","Dir=V")</f>
        <v>0</v>
      </c>
      <c r="Y2">
        <f>BDH("PMTS US Equity","SALES_REV_TURN","1993-06-18","2026-05-02","Per=Y","Days=T","Dir=V")</f>
        <v>0</v>
      </c>
      <c r="AA2">
        <f>BDH("PMTS US Equity","EBIT","1993-06-18","2026-05-02","Per=Y","Days=T","Dir=V")</f>
        <v>0</v>
      </c>
      <c r="AC2">
        <f>BDH("PMTS US Equity","EBITDA","1993-06-18","2026-05-02","Per=Y","Days=T","Dir=V")</f>
        <v>0</v>
      </c>
      <c r="AE2">
        <f>BDH("PMTS US Equity","NET_INCOME","1993-06-18","2026-05-02","Per=Y","Days=T","Dir=V")</f>
        <v>0</v>
      </c>
      <c r="AG2">
        <f>BDH("PMTS US Equity","IS_INT_EXPENSE","1993-06-18","2026-05-02","Per=Y","Days=T","Dir=V")</f>
        <v>0</v>
      </c>
      <c r="AI2">
        <f>BDH("PMTS US Equity","IS_DEPR_EXP","1993-06-18","2026-05-02","Per=Y","Days=T","Dir=V")</f>
        <v>0</v>
      </c>
      <c r="AK2">
        <f>BDH("PMTS US Equity","CF_CASH_FROM_OPER","1993-06-18","2026-05-02","Per=Y","Days=T","Dir=V")</f>
        <v>0</v>
      </c>
      <c r="AM2">
        <f>BDH("PMTS US Equity","CAPITAL_EXPEND","1993-06-18","2026-05-02","Per=Y","Days=T","Dir=V")</f>
        <v>0</v>
      </c>
      <c r="AO2">
        <f>BDH("PMTS US Equity","CF_FREE_CASH_FLOW","1993-06-18","2026-05-02","Per=Y","Days=T","Dir=V")</f>
        <v>0</v>
      </c>
      <c r="AQ2">
        <f>BDH("PMTS US Equity","PX_LAST","1993-06-18","2026-05-02","Per=M","Days=T","Dir=V")</f>
        <v>0</v>
      </c>
      <c r="AS2">
        <f>BDH("PMTS US Equity","CUR_MKT_CAP","1993-06-18","2026-05-02","Per=M","Days=T","Dir=V")</f>
        <v>0</v>
      </c>
      <c r="AU2">
        <f>BDH("PMTS US Equity","EQY_SH_OUT","1993-06-18","2026-05-02","Per=M","Days=T","Dir=V")</f>
        <v>0</v>
      </c>
      <c r="AW2">
        <f>BDH("PMTS US Equity","PX_VOLUME","1993-06-18","2026-05-02","Per=M","Days=T","Dir=V")</f>
        <v>0</v>
      </c>
      <c r="AY2">
        <f>BDH("PMTS US Equity","TURNOVER","1993-06-18","2026-05-02","Per=M","Days=T","Dir=V")</f>
        <v>0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BDH("PMVP US Equity","BS_TOT_ASSET","1993-06-18","2026-05-02","Per=Y","Days=T","Dir=V")</f>
        <v>0</v>
      </c>
      <c r="C2">
        <f>BDH("PMVP US Equity","BS_TOT_LIAB2","1993-06-18","2026-05-02","Per=Y","Days=T","Dir=V")</f>
        <v>0</v>
      </c>
      <c r="E2">
        <f>BDH("PMVP US Equity","SHORT_AND_LONG_TERM_DEBT","1993-06-18","2026-05-02","Per=Y","Days=T","Dir=V")</f>
        <v>0</v>
      </c>
      <c r="G2">
        <f>BDH("PMVP US Equity","BS_ST_BORROW","1993-06-18","2026-05-02","Per=Y","Days=T","Dir=V")</f>
        <v>0</v>
      </c>
      <c r="I2">
        <f>BDH("PMVP US Equity","BS_LT_BORROW","1993-06-18","2026-05-02","Per=Y","Days=T","Dir=V")</f>
        <v>0</v>
      </c>
      <c r="K2">
        <f>BDH("PMVP US Equity","BS_CASH_NEAR_CASH_ITEM","1993-06-18","2026-05-02","Per=Y","Days=T","Dir=V")</f>
        <v>0</v>
      </c>
      <c r="M2">
        <f>BDH("PMVP US Equity","BS_CUR_ASSET_REPORT","1993-06-18","2026-05-02","Per=Y","Days=T","Dir=V")</f>
        <v>0</v>
      </c>
      <c r="O2">
        <f>BDH("PMVP US Equity","BS_CUR_LIAB","1993-06-18","2026-05-02","Per=Y","Days=T","Dir=V")</f>
        <v>0</v>
      </c>
      <c r="Q2">
        <f>BDH("PMVP US Equity","BS_SHAREHOLDER_EQY_ENDING_PERIOD","1993-06-18","2026-05-02","Per=Y","Days=T","Dir=V")</f>
        <v>0</v>
      </c>
      <c r="S2">
        <f>BDH("PMVP US Equity","BS_ACCT_NOTE_RCV","1993-06-18","2026-05-02","Per=Y","Days=T","Dir=V")</f>
        <v>0</v>
      </c>
      <c r="U2">
        <f>BDH("PMVP US Equity","BS_INVENTORIES","1993-06-18","2026-05-02","Per=Y","Days=T","Dir=V")</f>
        <v>0</v>
      </c>
      <c r="W2">
        <f>BDH("PMVP US Equity","WORKING_CAPITAL","1993-06-18","2026-05-02","Per=Y","Days=T","Dir=V")</f>
        <v>0</v>
      </c>
      <c r="Y2">
        <f>BDH("PMVP US Equity","SALES_REV_TURN","1993-06-18","2026-05-02","Per=Y","Days=T","Dir=V")</f>
        <v>0</v>
      </c>
      <c r="AA2">
        <f>BDH("PMVP US Equity","EBIT","1993-06-18","2026-05-02","Per=Y","Days=T","Dir=V")</f>
        <v>0</v>
      </c>
      <c r="AC2">
        <f>BDH("PMVP US Equity","EBITDA","1993-06-18","2026-05-02","Per=Y","Days=T","Dir=V")</f>
        <v>0</v>
      </c>
      <c r="AE2">
        <f>BDH("PMVP US Equity","NET_INCOME","1993-06-18","2026-05-02","Per=Y","Days=T","Dir=V")</f>
        <v>0</v>
      </c>
      <c r="AG2">
        <f>BDH("PMVP US Equity","IS_INT_EXPENSE","1993-06-18","2026-05-02","Per=Y","Days=T","Dir=V")</f>
        <v>0</v>
      </c>
      <c r="AI2">
        <f>BDH("PMVP US Equity","IS_DEPR_EXP","1993-06-18","2026-05-02","Per=Y","Days=T","Dir=V")</f>
        <v>0</v>
      </c>
      <c r="AK2">
        <f>BDH("PMVP US Equity","CF_CASH_FROM_OPER","1993-06-18","2026-05-02","Per=Y","Days=T","Dir=V")</f>
        <v>0</v>
      </c>
      <c r="AM2">
        <f>BDH("PMVP US Equity","CAPITAL_EXPEND","1993-06-18","2026-05-02","Per=Y","Days=T","Dir=V")</f>
        <v>0</v>
      </c>
      <c r="AO2">
        <f>BDH("PMVP US Equity","CF_FREE_CASH_FLOW","1993-06-18","2026-05-02","Per=Y","Days=T","Dir=V")</f>
        <v>0</v>
      </c>
      <c r="AQ2">
        <f>BDH("PMVP US Equity","PX_LAST","1993-06-18","2026-05-02","Per=M","Days=T","Dir=V")</f>
        <v>0</v>
      </c>
      <c r="AS2">
        <f>BDH("PMVP US Equity","CUR_MKT_CAP","1993-06-18","2026-05-02","Per=M","Days=T","Dir=V")</f>
        <v>0</v>
      </c>
      <c r="AU2">
        <f>BDH("PMVP US Equity","EQY_SH_OUT","1993-06-18","2026-05-02","Per=M","Days=T","Dir=V")</f>
        <v>0</v>
      </c>
      <c r="AW2">
        <f>BDH("PMVP US Equity","PX_VOLUME","1993-06-18","2026-05-02","Per=M","Days=T","Dir=V")</f>
        <v>0</v>
      </c>
      <c r="AY2">
        <f>BDH("PMVP US Equity","TURNOVER","1993-06-18","2026-05-02","Per=M","Days=T","Dir=V")</f>
        <v>0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BDH("PNRG US Equity","BS_TOT_ASSET","1993-06-18","2026-05-02","Per=Y","Days=T","Dir=V")</f>
        <v>0</v>
      </c>
      <c r="C2">
        <f>BDH("PNRG US Equity","BS_TOT_LIAB2","1993-06-18","2026-05-02","Per=Y","Days=T","Dir=V")</f>
        <v>0</v>
      </c>
      <c r="E2">
        <f>BDH("PNRG US Equity","SHORT_AND_LONG_TERM_DEBT","1993-06-18","2026-05-02","Per=Y","Days=T","Dir=V")</f>
        <v>0</v>
      </c>
      <c r="G2">
        <f>BDH("PNRG US Equity","BS_ST_BORROW","1993-06-18","2026-05-02","Per=Y","Days=T","Dir=V")</f>
        <v>0</v>
      </c>
      <c r="I2">
        <f>BDH("PNRG US Equity","BS_LT_BORROW","1993-06-18","2026-05-02","Per=Y","Days=T","Dir=V")</f>
        <v>0</v>
      </c>
      <c r="K2">
        <f>BDH("PNRG US Equity","BS_CASH_NEAR_CASH_ITEM","1993-06-18","2026-05-02","Per=Y","Days=T","Dir=V")</f>
        <v>0</v>
      </c>
      <c r="M2">
        <f>BDH("PNRG US Equity","BS_CUR_ASSET_REPORT","1993-06-18","2026-05-02","Per=Y","Days=T","Dir=V")</f>
        <v>0</v>
      </c>
      <c r="O2">
        <f>BDH("PNRG US Equity","BS_CUR_LIAB","1993-06-18","2026-05-02","Per=Y","Days=T","Dir=V")</f>
        <v>0</v>
      </c>
      <c r="Q2">
        <f>BDH("PNRG US Equity","BS_SHAREHOLDER_EQY_ENDING_PERIOD","1993-06-18","2026-05-02","Per=Y","Days=T","Dir=V")</f>
        <v>0</v>
      </c>
      <c r="S2">
        <f>BDH("PNRG US Equity","BS_ACCT_NOTE_RCV","1993-06-18","2026-05-02","Per=Y","Days=T","Dir=V")</f>
        <v>0</v>
      </c>
      <c r="U2">
        <f>BDH("PNRG US Equity","BS_INVENTORIES","1993-06-18","2026-05-02","Per=Y","Days=T","Dir=V")</f>
        <v>0</v>
      </c>
      <c r="W2">
        <f>BDH("PNRG US Equity","WORKING_CAPITAL","1993-06-18","2026-05-02","Per=Y","Days=T","Dir=V")</f>
        <v>0</v>
      </c>
      <c r="Y2">
        <f>BDH("PNRG US Equity","SALES_REV_TURN","1993-06-18","2026-05-02","Per=Y","Days=T","Dir=V")</f>
        <v>0</v>
      </c>
      <c r="AA2">
        <f>BDH("PNRG US Equity","EBIT","1993-06-18","2026-05-02","Per=Y","Days=T","Dir=V")</f>
        <v>0</v>
      </c>
      <c r="AC2">
        <f>BDH("PNRG US Equity","EBITDA","1993-06-18","2026-05-02","Per=Y","Days=T","Dir=V")</f>
        <v>0</v>
      </c>
      <c r="AE2">
        <f>BDH("PNRG US Equity","NET_INCOME","1993-06-18","2026-05-02","Per=Y","Days=T","Dir=V")</f>
        <v>0</v>
      </c>
      <c r="AG2">
        <f>BDH("PNRG US Equity","IS_INT_EXPENSE","1993-06-18","2026-05-02","Per=Y","Days=T","Dir=V")</f>
        <v>0</v>
      </c>
      <c r="AI2">
        <f>BDH("PNRG US Equity","IS_DEPR_EXP","1993-06-18","2026-05-02","Per=Y","Days=T","Dir=V")</f>
        <v>0</v>
      </c>
      <c r="AK2">
        <f>BDH("PNRG US Equity","CF_CASH_FROM_OPER","1993-06-18","2026-05-02","Per=Y","Days=T","Dir=V")</f>
        <v>0</v>
      </c>
      <c r="AM2">
        <f>BDH("PNRG US Equity","CAPITAL_EXPEND","1993-06-18","2026-05-02","Per=Y","Days=T","Dir=V")</f>
        <v>0</v>
      </c>
      <c r="AO2">
        <f>BDH("PNRG US Equity","CF_FREE_CASH_FLOW","1993-06-18","2026-05-02","Per=Y","Days=T","Dir=V")</f>
        <v>0</v>
      </c>
      <c r="AQ2">
        <f>BDH("PNRG US Equity","PX_LAST","1993-06-18","2026-05-02","Per=M","Days=T","Dir=V")</f>
        <v>0</v>
      </c>
      <c r="AS2">
        <f>BDH("PNRG US Equity","CUR_MKT_CAP","1993-06-18","2026-05-02","Per=M","Days=T","Dir=V")</f>
        <v>0</v>
      </c>
      <c r="AU2">
        <f>BDH("PNRG US Equity","EQY_SH_OUT","1993-06-18","2026-05-02","Per=M","Days=T","Dir=V")</f>
        <v>0</v>
      </c>
      <c r="AW2">
        <f>BDH("PNRG US Equity","PX_VOLUME","1993-06-18","2026-05-02","Per=M","Days=T","Dir=V")</f>
        <v>0</v>
      </c>
      <c r="AY2">
        <f>BDH("PNRG US Equity","TURNOVER","1993-06-18","2026-05-02","Per=M","Days=T","Dir=V")</f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BDH("PNTG US Equity","BS_TOT_ASSET","1993-06-18","2026-05-02","Per=Y","Days=T","Dir=V")</f>
        <v>0</v>
      </c>
      <c r="C2">
        <f>BDH("PNTG US Equity","BS_TOT_LIAB2","1993-06-18","2026-05-02","Per=Y","Days=T","Dir=V")</f>
        <v>0</v>
      </c>
      <c r="E2">
        <f>BDH("PNTG US Equity","SHORT_AND_LONG_TERM_DEBT","1993-06-18","2026-05-02","Per=Y","Days=T","Dir=V")</f>
        <v>0</v>
      </c>
      <c r="G2">
        <f>BDH("PNTG US Equity","BS_ST_BORROW","1993-06-18","2026-05-02","Per=Y","Days=T","Dir=V")</f>
        <v>0</v>
      </c>
      <c r="I2">
        <f>BDH("PNTG US Equity","BS_LT_BORROW","1993-06-18","2026-05-02","Per=Y","Days=T","Dir=V")</f>
        <v>0</v>
      </c>
      <c r="K2">
        <f>BDH("PNTG US Equity","BS_CASH_NEAR_CASH_ITEM","1993-06-18","2026-05-02","Per=Y","Days=T","Dir=V")</f>
        <v>0</v>
      </c>
      <c r="M2">
        <f>BDH("PNTG US Equity","BS_CUR_ASSET_REPORT","1993-06-18","2026-05-02","Per=Y","Days=T","Dir=V")</f>
        <v>0</v>
      </c>
      <c r="O2">
        <f>BDH("PNTG US Equity","BS_CUR_LIAB","1993-06-18","2026-05-02","Per=Y","Days=T","Dir=V")</f>
        <v>0</v>
      </c>
      <c r="Q2">
        <f>BDH("PNTG US Equity","BS_SHAREHOLDER_EQY_ENDING_PERIOD","1993-06-18","2026-05-02","Per=Y","Days=T","Dir=V")</f>
        <v>0</v>
      </c>
      <c r="S2">
        <f>BDH("PNTG US Equity","BS_ACCT_NOTE_RCV","1993-06-18","2026-05-02","Per=Y","Days=T","Dir=V")</f>
        <v>0</v>
      </c>
      <c r="U2">
        <f>BDH("PNTG US Equity","BS_INVENTORIES","1993-06-18","2026-05-02","Per=Y","Days=T","Dir=V")</f>
        <v>0</v>
      </c>
      <c r="W2">
        <f>BDH("PNTG US Equity","WORKING_CAPITAL","1993-06-18","2026-05-02","Per=Y","Days=T","Dir=V")</f>
        <v>0</v>
      </c>
      <c r="Y2">
        <f>BDH("PNTG US Equity","SALES_REV_TURN","1993-06-18","2026-05-02","Per=Y","Days=T","Dir=V")</f>
        <v>0</v>
      </c>
      <c r="AA2">
        <f>BDH("PNTG US Equity","EBIT","1993-06-18","2026-05-02","Per=Y","Days=T","Dir=V")</f>
        <v>0</v>
      </c>
      <c r="AC2">
        <f>BDH("PNTG US Equity","EBITDA","1993-06-18","2026-05-02","Per=Y","Days=T","Dir=V")</f>
        <v>0</v>
      </c>
      <c r="AE2">
        <f>BDH("PNTG US Equity","NET_INCOME","1993-06-18","2026-05-02","Per=Y","Days=T","Dir=V")</f>
        <v>0</v>
      </c>
      <c r="AG2">
        <f>BDH("PNTG US Equity","IS_INT_EXPENSE","1993-06-18","2026-05-02","Per=Y","Days=T","Dir=V")</f>
        <v>0</v>
      </c>
      <c r="AI2">
        <f>BDH("PNTG US Equity","IS_DEPR_EXP","1993-06-18","2026-05-02","Per=Y","Days=T","Dir=V")</f>
        <v>0</v>
      </c>
      <c r="AK2">
        <f>BDH("PNTG US Equity","CF_CASH_FROM_OPER","1993-06-18","2026-05-02","Per=Y","Days=T","Dir=V")</f>
        <v>0</v>
      </c>
      <c r="AM2">
        <f>BDH("PNTG US Equity","CAPITAL_EXPEND","1993-06-18","2026-05-02","Per=Y","Days=T","Dir=V")</f>
        <v>0</v>
      </c>
      <c r="AO2">
        <f>BDH("PNTG US Equity","CF_FREE_CASH_FLOW","1993-06-18","2026-05-02","Per=Y","Days=T","Dir=V")</f>
        <v>0</v>
      </c>
      <c r="AQ2">
        <f>BDH("PNTG US Equity","PX_LAST","1993-06-18","2026-05-02","Per=M","Days=T","Dir=V")</f>
        <v>0</v>
      </c>
      <c r="AS2">
        <f>BDH("PNTG US Equity","CUR_MKT_CAP","1993-06-18","2026-05-02","Per=M","Days=T","Dir=V")</f>
        <v>0</v>
      </c>
      <c r="AU2">
        <f>BDH("PNTG US Equity","EQY_SH_OUT","1993-06-18","2026-05-02","Per=M","Days=T","Dir=V")</f>
        <v>0</v>
      </c>
      <c r="AW2">
        <f>BDH("PNTG US Equity","PX_VOLUME","1993-06-18","2026-05-02","Per=M","Days=T","Dir=V")</f>
        <v>0</v>
      </c>
      <c r="AY2">
        <f>BDH("PNTG US Equity","TURNOVER","1993-06-18","2026-05-02","Per=M","Days=T","Dir=V")</f>
        <v>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BDH("PNW US Equity","BS_TOT_ASSET","1993-06-18","2026-05-02","Per=Y","Days=T","Dir=V")</f>
        <v>0</v>
      </c>
      <c r="C2">
        <f>BDH("PNW US Equity","BS_TOT_LIAB2","1993-06-18","2026-05-02","Per=Y","Days=T","Dir=V")</f>
        <v>0</v>
      </c>
      <c r="E2">
        <f>BDH("PNW US Equity","SHORT_AND_LONG_TERM_DEBT","1993-06-18","2026-05-02","Per=Y","Days=T","Dir=V")</f>
        <v>0</v>
      </c>
      <c r="G2">
        <f>BDH("PNW US Equity","BS_ST_BORROW","1993-06-18","2026-05-02","Per=Y","Days=T","Dir=V")</f>
        <v>0</v>
      </c>
      <c r="I2">
        <f>BDH("PNW US Equity","BS_LT_BORROW","1993-06-18","2026-05-02","Per=Y","Days=T","Dir=V")</f>
        <v>0</v>
      </c>
      <c r="K2">
        <f>BDH("PNW US Equity","BS_CASH_NEAR_CASH_ITEM","1993-06-18","2026-05-02","Per=Y","Days=T","Dir=V")</f>
        <v>0</v>
      </c>
      <c r="M2">
        <f>BDH("PNW US Equity","BS_CUR_ASSET_REPORT","1993-06-18","2026-05-02","Per=Y","Days=T","Dir=V")</f>
        <v>0</v>
      </c>
      <c r="O2">
        <f>BDH("PNW US Equity","BS_CUR_LIAB","1993-06-18","2026-05-02","Per=Y","Days=T","Dir=V")</f>
        <v>0</v>
      </c>
      <c r="Q2">
        <f>BDH("PNW US Equity","BS_SHAREHOLDER_EQY_ENDING_PERIOD","1993-06-18","2026-05-02","Per=Y","Days=T","Dir=V")</f>
        <v>0</v>
      </c>
      <c r="S2">
        <f>BDH("PNW US Equity","BS_ACCT_NOTE_RCV","1993-06-18","2026-05-02","Per=Y","Days=T","Dir=V")</f>
        <v>0</v>
      </c>
      <c r="U2">
        <f>BDH("PNW US Equity","BS_INVENTORIES","1993-06-18","2026-05-02","Per=Y","Days=T","Dir=V")</f>
        <v>0</v>
      </c>
      <c r="W2">
        <f>BDH("PNW US Equity","WORKING_CAPITAL","1993-06-18","2026-05-02","Per=Y","Days=T","Dir=V")</f>
        <v>0</v>
      </c>
      <c r="Y2">
        <f>BDH("PNW US Equity","SALES_REV_TURN","1993-06-18","2026-05-02","Per=Y","Days=T","Dir=V")</f>
        <v>0</v>
      </c>
      <c r="AA2">
        <f>BDH("PNW US Equity","EBIT","1993-06-18","2026-05-02","Per=Y","Days=T","Dir=V")</f>
        <v>0</v>
      </c>
      <c r="AC2">
        <f>BDH("PNW US Equity","EBITDA","1993-06-18","2026-05-02","Per=Y","Days=T","Dir=V")</f>
        <v>0</v>
      </c>
      <c r="AE2">
        <f>BDH("PNW US Equity","NET_INCOME","1993-06-18","2026-05-02","Per=Y","Days=T","Dir=V")</f>
        <v>0</v>
      </c>
      <c r="AG2">
        <f>BDH("PNW US Equity","IS_INT_EXPENSE","1993-06-18","2026-05-02","Per=Y","Days=T","Dir=V")</f>
        <v>0</v>
      </c>
      <c r="AI2">
        <f>BDH("PNW US Equity","IS_DEPR_EXP","1993-06-18","2026-05-02","Per=Y","Days=T","Dir=V")</f>
        <v>0</v>
      </c>
      <c r="AK2">
        <f>BDH("PNW US Equity","CF_CASH_FROM_OPER","1993-06-18","2026-05-02","Per=Y","Days=T","Dir=V")</f>
        <v>0</v>
      </c>
      <c r="AM2">
        <f>BDH("PNW US Equity","CAPITAL_EXPEND","1993-06-18","2026-05-02","Per=Y","Days=T","Dir=V")</f>
        <v>0</v>
      </c>
      <c r="AO2">
        <f>BDH("PNW US Equity","CF_FREE_CASH_FLOW","1993-06-18","2026-05-02","Per=Y","Days=T","Dir=V")</f>
        <v>0</v>
      </c>
      <c r="AQ2">
        <f>BDH("PNW US Equity","PX_LAST","1993-06-18","2026-05-02","Per=M","Days=T","Dir=V")</f>
        <v>0</v>
      </c>
      <c r="AS2">
        <f>BDH("PNW US Equity","CUR_MKT_CAP","1993-06-18","2026-05-02","Per=M","Days=T","Dir=V")</f>
        <v>0</v>
      </c>
      <c r="AU2">
        <f>BDH("PNW US Equity","EQY_SH_OUT","1993-06-18","2026-05-02","Per=M","Days=T","Dir=V")</f>
        <v>0</v>
      </c>
      <c r="AW2">
        <f>BDH("PNW US Equity","PX_VOLUME","1993-06-18","2026-05-02","Per=M","Days=T","Dir=V")</f>
        <v>0</v>
      </c>
      <c r="AY2">
        <f>BDH("PNW US Equity","TURNOVER","1993-06-18","2026-05-02","Per=M","Days=T","Dir=V")</f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BDH("POCI US Equity","BS_TOT_ASSET","1993-06-18","2026-05-02","Per=Y","Days=T","Dir=V")</f>
        <v>0</v>
      </c>
      <c r="C2">
        <f>BDH("POCI US Equity","BS_TOT_LIAB2","1993-06-18","2026-05-02","Per=Y","Days=T","Dir=V")</f>
        <v>0</v>
      </c>
      <c r="E2">
        <f>BDH("POCI US Equity","SHORT_AND_LONG_TERM_DEBT","1993-06-18","2026-05-02","Per=Y","Days=T","Dir=V")</f>
        <v>0</v>
      </c>
      <c r="G2">
        <f>BDH("POCI US Equity","BS_ST_BORROW","1993-06-18","2026-05-02","Per=Y","Days=T","Dir=V")</f>
        <v>0</v>
      </c>
      <c r="I2">
        <f>BDH("POCI US Equity","BS_LT_BORROW","1993-06-18","2026-05-02","Per=Y","Days=T","Dir=V")</f>
        <v>0</v>
      </c>
      <c r="K2">
        <f>BDH("POCI US Equity","BS_CASH_NEAR_CASH_ITEM","1993-06-18","2026-05-02","Per=Y","Days=T","Dir=V")</f>
        <v>0</v>
      </c>
      <c r="M2">
        <f>BDH("POCI US Equity","BS_CUR_ASSET_REPORT","1993-06-18","2026-05-02","Per=Y","Days=T","Dir=V")</f>
        <v>0</v>
      </c>
      <c r="O2">
        <f>BDH("POCI US Equity","BS_CUR_LIAB","1993-06-18","2026-05-02","Per=Y","Days=T","Dir=V")</f>
        <v>0</v>
      </c>
      <c r="Q2">
        <f>BDH("POCI US Equity","BS_SHAREHOLDER_EQY_ENDING_PERIOD","1993-06-18","2026-05-02","Per=Y","Days=T","Dir=V")</f>
        <v>0</v>
      </c>
      <c r="S2">
        <f>BDH("POCI US Equity","BS_ACCT_NOTE_RCV","1993-06-18","2026-05-02","Per=Y","Days=T","Dir=V")</f>
        <v>0</v>
      </c>
      <c r="U2">
        <f>BDH("POCI US Equity","BS_INVENTORIES","1993-06-18","2026-05-02","Per=Y","Days=T","Dir=V")</f>
        <v>0</v>
      </c>
      <c r="W2">
        <f>BDH("POCI US Equity","WORKING_CAPITAL","1993-06-18","2026-05-02","Per=Y","Days=T","Dir=V")</f>
        <v>0</v>
      </c>
      <c r="Y2">
        <f>BDH("POCI US Equity","SALES_REV_TURN","1993-06-18","2026-05-02","Per=Y","Days=T","Dir=V")</f>
        <v>0</v>
      </c>
      <c r="AA2">
        <f>BDH("POCI US Equity","EBIT","1993-06-18","2026-05-02","Per=Y","Days=T","Dir=V")</f>
        <v>0</v>
      </c>
      <c r="AC2">
        <f>BDH("POCI US Equity","EBITDA","1993-06-18","2026-05-02","Per=Y","Days=T","Dir=V")</f>
        <v>0</v>
      </c>
      <c r="AE2">
        <f>BDH("POCI US Equity","NET_INCOME","1993-06-18","2026-05-02","Per=Y","Days=T","Dir=V")</f>
        <v>0</v>
      </c>
      <c r="AG2">
        <f>BDH("POCI US Equity","IS_INT_EXPENSE","1993-06-18","2026-05-02","Per=Y","Days=T","Dir=V")</f>
        <v>0</v>
      </c>
      <c r="AI2">
        <f>BDH("POCI US Equity","IS_DEPR_EXP","1993-06-18","2026-05-02","Per=Y","Days=T","Dir=V")</f>
        <v>0</v>
      </c>
      <c r="AK2">
        <f>BDH("POCI US Equity","CF_CASH_FROM_OPER","1993-06-18","2026-05-02","Per=Y","Days=T","Dir=V")</f>
        <v>0</v>
      </c>
      <c r="AM2">
        <f>BDH("POCI US Equity","CAPITAL_EXPEND","1993-06-18","2026-05-02","Per=Y","Days=T","Dir=V")</f>
        <v>0</v>
      </c>
      <c r="AO2">
        <f>BDH("POCI US Equity","CF_FREE_CASH_FLOW","1993-06-18","2026-05-02","Per=Y","Days=T","Dir=V")</f>
        <v>0</v>
      </c>
      <c r="AQ2">
        <f>BDH("POCI US Equity","PX_LAST","1993-06-18","2026-05-02","Per=M","Days=T","Dir=V")</f>
        <v>0</v>
      </c>
      <c r="AS2">
        <f>BDH("POCI US Equity","CUR_MKT_CAP","1993-06-18","2026-05-02","Per=M","Days=T","Dir=V")</f>
        <v>0</v>
      </c>
      <c r="AU2">
        <f>BDH("POCI US Equity","EQY_SH_OUT","1993-06-18","2026-05-02","Per=M","Days=T","Dir=V")</f>
        <v>0</v>
      </c>
      <c r="AW2">
        <f>BDH("POCI US Equity","PX_VOLUME","1993-06-18","2026-05-02","Per=M","Days=T","Dir=V")</f>
        <v>0</v>
      </c>
      <c r="AY2">
        <f>BDH("POCI US Equity","TURNOVER","1993-06-18","2026-05-02","Per=M","Days=T","Dir=V")</f>
        <v>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BDH("PODC US Equity","BS_TOT_ASSET","1993-06-18","2026-05-02","Per=Y","Days=T","Dir=V")</f>
        <v>0</v>
      </c>
      <c r="C2">
        <f>BDH("PODC US Equity","BS_TOT_LIAB2","1993-06-18","2026-05-02","Per=Y","Days=T","Dir=V")</f>
        <v>0</v>
      </c>
      <c r="E2">
        <f>BDH("PODC US Equity","SHORT_AND_LONG_TERM_DEBT","1993-06-18","2026-05-02","Per=Y","Days=T","Dir=V")</f>
        <v>0</v>
      </c>
      <c r="G2">
        <f>BDH("PODC US Equity","BS_ST_BORROW","1993-06-18","2026-05-02","Per=Y","Days=T","Dir=V")</f>
        <v>0</v>
      </c>
      <c r="I2">
        <f>BDH("PODC US Equity","BS_LT_BORROW","1993-06-18","2026-05-02","Per=Y","Days=T","Dir=V")</f>
        <v>0</v>
      </c>
      <c r="K2">
        <f>BDH("PODC US Equity","BS_CASH_NEAR_CASH_ITEM","1993-06-18","2026-05-02","Per=Y","Days=T","Dir=V")</f>
        <v>0</v>
      </c>
      <c r="M2">
        <f>BDH("PODC US Equity","BS_CUR_ASSET_REPORT","1993-06-18","2026-05-02","Per=Y","Days=T","Dir=V")</f>
        <v>0</v>
      </c>
      <c r="O2">
        <f>BDH("PODC US Equity","BS_CUR_LIAB","1993-06-18","2026-05-02","Per=Y","Days=T","Dir=V")</f>
        <v>0</v>
      </c>
      <c r="Q2">
        <f>BDH("PODC US Equity","BS_SHAREHOLDER_EQY_ENDING_PERIOD","1993-06-18","2026-05-02","Per=Y","Days=T","Dir=V")</f>
        <v>0</v>
      </c>
      <c r="S2">
        <f>BDH("PODC US Equity","BS_ACCT_NOTE_RCV","1993-06-18","2026-05-02","Per=Y","Days=T","Dir=V")</f>
        <v>0</v>
      </c>
      <c r="U2">
        <f>BDH("PODC US Equity","BS_INVENTORIES","1993-06-18","2026-05-02","Per=Y","Days=T","Dir=V")</f>
        <v>0</v>
      </c>
      <c r="W2">
        <f>BDH("PODC US Equity","WORKING_CAPITAL","1993-06-18","2026-05-02","Per=Y","Days=T","Dir=V")</f>
        <v>0</v>
      </c>
      <c r="Y2">
        <f>BDH("PODC US Equity","SALES_REV_TURN","1993-06-18","2026-05-02","Per=Y","Days=T","Dir=V")</f>
        <v>0</v>
      </c>
      <c r="AA2">
        <f>BDH("PODC US Equity","EBIT","1993-06-18","2026-05-02","Per=Y","Days=T","Dir=V")</f>
        <v>0</v>
      </c>
      <c r="AC2">
        <f>BDH("PODC US Equity","EBITDA","1993-06-18","2026-05-02","Per=Y","Days=T","Dir=V")</f>
        <v>0</v>
      </c>
      <c r="AE2">
        <f>BDH("PODC US Equity","NET_INCOME","1993-06-18","2026-05-02","Per=Y","Days=T","Dir=V")</f>
        <v>0</v>
      </c>
      <c r="AG2">
        <f>BDH("PODC US Equity","IS_INT_EXPENSE","1993-06-18","2026-05-02","Per=Y","Days=T","Dir=V")</f>
        <v>0</v>
      </c>
      <c r="AI2">
        <f>BDH("PODC US Equity","IS_DEPR_EXP","1993-06-18","2026-05-02","Per=Y","Days=T","Dir=V")</f>
        <v>0</v>
      </c>
      <c r="AK2">
        <f>BDH("PODC US Equity","CF_CASH_FROM_OPER","1993-06-18","2026-05-02","Per=Y","Days=T","Dir=V")</f>
        <v>0</v>
      </c>
      <c r="AM2">
        <f>BDH("PODC US Equity","CAPITAL_EXPEND","1993-06-18","2026-05-02","Per=Y","Days=T","Dir=V")</f>
        <v>0</v>
      </c>
      <c r="AO2">
        <f>BDH("PODC US Equity","CF_FREE_CASH_FLOW","1993-06-18","2026-05-02","Per=Y","Days=T","Dir=V")</f>
        <v>0</v>
      </c>
      <c r="AQ2">
        <f>BDH("PODC US Equity","PX_LAST","1993-06-18","2026-05-02","Per=M","Days=T","Dir=V")</f>
        <v>0</v>
      </c>
      <c r="AS2">
        <f>BDH("PODC US Equity","CUR_MKT_CAP","1993-06-18","2026-05-02","Per=M","Days=T","Dir=V")</f>
        <v>0</v>
      </c>
      <c r="AU2">
        <f>BDH("PODC US Equity","EQY_SH_OUT","1993-06-18","2026-05-02","Per=M","Days=T","Dir=V")</f>
        <v>0</v>
      </c>
      <c r="AW2">
        <f>BDH("PODC US Equity","PX_VOLUME","1993-06-18","2026-05-02","Per=M","Days=T","Dir=V")</f>
        <v>0</v>
      </c>
      <c r="AY2">
        <f>BDH("PODC US Equity","TURNOVER","1993-06-18","2026-05-02","Per=M","Days=T","Dir=V")</f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BDH("PODD US Equity","BS_TOT_ASSET","1993-06-18","2026-05-02","Per=Y","Days=T","Dir=V")</f>
        <v>0</v>
      </c>
      <c r="C2">
        <f>BDH("PODD US Equity","BS_TOT_LIAB2","1993-06-18","2026-05-02","Per=Y","Days=T","Dir=V")</f>
        <v>0</v>
      </c>
      <c r="E2">
        <f>BDH("PODD US Equity","SHORT_AND_LONG_TERM_DEBT","1993-06-18","2026-05-02","Per=Y","Days=T","Dir=V")</f>
        <v>0</v>
      </c>
      <c r="G2">
        <f>BDH("PODD US Equity","BS_ST_BORROW","1993-06-18","2026-05-02","Per=Y","Days=T","Dir=V")</f>
        <v>0</v>
      </c>
      <c r="I2">
        <f>BDH("PODD US Equity","BS_LT_BORROW","1993-06-18","2026-05-02","Per=Y","Days=T","Dir=V")</f>
        <v>0</v>
      </c>
      <c r="K2">
        <f>BDH("PODD US Equity","BS_CASH_NEAR_CASH_ITEM","1993-06-18","2026-05-02","Per=Y","Days=T","Dir=V")</f>
        <v>0</v>
      </c>
      <c r="M2">
        <f>BDH("PODD US Equity","BS_CUR_ASSET_REPORT","1993-06-18","2026-05-02","Per=Y","Days=T","Dir=V")</f>
        <v>0</v>
      </c>
      <c r="O2">
        <f>BDH("PODD US Equity","BS_CUR_LIAB","1993-06-18","2026-05-02","Per=Y","Days=T","Dir=V")</f>
        <v>0</v>
      </c>
      <c r="Q2">
        <f>BDH("PODD US Equity","BS_SHAREHOLDER_EQY_ENDING_PERIOD","1993-06-18","2026-05-02","Per=Y","Days=T","Dir=V")</f>
        <v>0</v>
      </c>
      <c r="S2">
        <f>BDH("PODD US Equity","BS_ACCT_NOTE_RCV","1993-06-18","2026-05-02","Per=Y","Days=T","Dir=V")</f>
        <v>0</v>
      </c>
      <c r="U2">
        <f>BDH("PODD US Equity","BS_INVENTORIES","1993-06-18","2026-05-02","Per=Y","Days=T","Dir=V")</f>
        <v>0</v>
      </c>
      <c r="W2">
        <f>BDH("PODD US Equity","WORKING_CAPITAL","1993-06-18","2026-05-02","Per=Y","Days=T","Dir=V")</f>
        <v>0</v>
      </c>
      <c r="Y2">
        <f>BDH("PODD US Equity","SALES_REV_TURN","1993-06-18","2026-05-02","Per=Y","Days=T","Dir=V")</f>
        <v>0</v>
      </c>
      <c r="AA2">
        <f>BDH("PODD US Equity","EBIT","1993-06-18","2026-05-02","Per=Y","Days=T","Dir=V")</f>
        <v>0</v>
      </c>
      <c r="AC2">
        <f>BDH("PODD US Equity","EBITDA","1993-06-18","2026-05-02","Per=Y","Days=T","Dir=V")</f>
        <v>0</v>
      </c>
      <c r="AE2">
        <f>BDH("PODD US Equity","NET_INCOME","1993-06-18","2026-05-02","Per=Y","Days=T","Dir=V")</f>
        <v>0</v>
      </c>
      <c r="AG2">
        <f>BDH("PODD US Equity","IS_INT_EXPENSE","1993-06-18","2026-05-02","Per=Y","Days=T","Dir=V")</f>
        <v>0</v>
      </c>
      <c r="AI2">
        <f>BDH("PODD US Equity","IS_DEPR_EXP","1993-06-18","2026-05-02","Per=Y","Days=T","Dir=V")</f>
        <v>0</v>
      </c>
      <c r="AK2">
        <f>BDH("PODD US Equity","CF_CASH_FROM_OPER","1993-06-18","2026-05-02","Per=Y","Days=T","Dir=V")</f>
        <v>0</v>
      </c>
      <c r="AM2">
        <f>BDH("PODD US Equity","CAPITAL_EXPEND","1993-06-18","2026-05-02","Per=Y","Days=T","Dir=V")</f>
        <v>0</v>
      </c>
      <c r="AO2">
        <f>BDH("PODD US Equity","CF_FREE_CASH_FLOW","1993-06-18","2026-05-02","Per=Y","Days=T","Dir=V")</f>
        <v>0</v>
      </c>
      <c r="AQ2">
        <f>BDH("PODD US Equity","PX_LAST","1993-06-18","2026-05-02","Per=M","Days=T","Dir=V")</f>
        <v>0</v>
      </c>
      <c r="AS2">
        <f>BDH("PODD US Equity","CUR_MKT_CAP","1993-06-18","2026-05-02","Per=M","Days=T","Dir=V")</f>
        <v>0</v>
      </c>
      <c r="AU2">
        <f>BDH("PODD US Equity","EQY_SH_OUT","1993-06-18","2026-05-02","Per=M","Days=T","Dir=V")</f>
        <v>0</v>
      </c>
      <c r="AW2">
        <f>BDH("PODD US Equity","PX_VOLUME","1993-06-18","2026-05-02","Per=M","Days=T","Dir=V")</f>
        <v>0</v>
      </c>
      <c r="AY2">
        <f>BDH("PODD US Equity","TURNOVER","1993-06-18","2026-05-02","Per=M","Days=T","Dir=V")</f>
        <v>0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BDH("POOL US Equity","BS_TOT_ASSET","1993-06-18","2026-05-02","Per=Y","Days=T","Dir=V")</f>
        <v>0</v>
      </c>
      <c r="C2">
        <f>BDH("POOL US Equity","BS_TOT_LIAB2","1993-06-18","2026-05-02","Per=Y","Days=T","Dir=V")</f>
        <v>0</v>
      </c>
      <c r="E2">
        <f>BDH("POOL US Equity","SHORT_AND_LONG_TERM_DEBT","1993-06-18","2026-05-02","Per=Y","Days=T","Dir=V")</f>
        <v>0</v>
      </c>
      <c r="G2">
        <f>BDH("POOL US Equity","BS_ST_BORROW","1993-06-18","2026-05-02","Per=Y","Days=T","Dir=V")</f>
        <v>0</v>
      </c>
      <c r="I2">
        <f>BDH("POOL US Equity","BS_LT_BORROW","1993-06-18","2026-05-02","Per=Y","Days=T","Dir=V")</f>
        <v>0</v>
      </c>
      <c r="K2">
        <f>BDH("POOL US Equity","BS_CASH_NEAR_CASH_ITEM","1993-06-18","2026-05-02","Per=Y","Days=T","Dir=V")</f>
        <v>0</v>
      </c>
      <c r="M2">
        <f>BDH("POOL US Equity","BS_CUR_ASSET_REPORT","1993-06-18","2026-05-02","Per=Y","Days=T","Dir=V")</f>
        <v>0</v>
      </c>
      <c r="O2">
        <f>BDH("POOL US Equity","BS_CUR_LIAB","1993-06-18","2026-05-02","Per=Y","Days=T","Dir=V")</f>
        <v>0</v>
      </c>
      <c r="Q2">
        <f>BDH("POOL US Equity","BS_SHAREHOLDER_EQY_ENDING_PERIOD","1993-06-18","2026-05-02","Per=Y","Days=T","Dir=V")</f>
        <v>0</v>
      </c>
      <c r="S2">
        <f>BDH("POOL US Equity","BS_ACCT_NOTE_RCV","1993-06-18","2026-05-02","Per=Y","Days=T","Dir=V")</f>
        <v>0</v>
      </c>
      <c r="U2">
        <f>BDH("POOL US Equity","BS_INVENTORIES","1993-06-18","2026-05-02","Per=Y","Days=T","Dir=V")</f>
        <v>0</v>
      </c>
      <c r="W2">
        <f>BDH("POOL US Equity","WORKING_CAPITAL","1993-06-18","2026-05-02","Per=Y","Days=T","Dir=V")</f>
        <v>0</v>
      </c>
      <c r="Y2">
        <f>BDH("POOL US Equity","SALES_REV_TURN","1993-06-18","2026-05-02","Per=Y","Days=T","Dir=V")</f>
        <v>0</v>
      </c>
      <c r="AA2">
        <f>BDH("POOL US Equity","EBIT","1993-06-18","2026-05-02","Per=Y","Days=T","Dir=V")</f>
        <v>0</v>
      </c>
      <c r="AC2">
        <f>BDH("POOL US Equity","EBITDA","1993-06-18","2026-05-02","Per=Y","Days=T","Dir=V")</f>
        <v>0</v>
      </c>
      <c r="AE2">
        <f>BDH("POOL US Equity","NET_INCOME","1993-06-18","2026-05-02","Per=Y","Days=T","Dir=V")</f>
        <v>0</v>
      </c>
      <c r="AG2">
        <f>BDH("POOL US Equity","IS_INT_EXPENSE","1993-06-18","2026-05-02","Per=Y","Days=T","Dir=V")</f>
        <v>0</v>
      </c>
      <c r="AI2">
        <f>BDH("POOL US Equity","IS_DEPR_EXP","1993-06-18","2026-05-02","Per=Y","Days=T","Dir=V")</f>
        <v>0</v>
      </c>
      <c r="AK2">
        <f>BDH("POOL US Equity","CF_CASH_FROM_OPER","1993-06-18","2026-05-02","Per=Y","Days=T","Dir=V")</f>
        <v>0</v>
      </c>
      <c r="AM2">
        <f>BDH("POOL US Equity","CAPITAL_EXPEND","1993-06-18","2026-05-02","Per=Y","Days=T","Dir=V")</f>
        <v>0</v>
      </c>
      <c r="AO2">
        <f>BDH("POOL US Equity","CF_FREE_CASH_FLOW","1993-06-18","2026-05-02","Per=Y","Days=T","Dir=V")</f>
        <v>0</v>
      </c>
      <c r="AQ2">
        <f>BDH("POOL US Equity","PX_LAST","1993-06-18","2026-05-02","Per=M","Days=T","Dir=V")</f>
        <v>0</v>
      </c>
      <c r="AS2">
        <f>BDH("POOL US Equity","CUR_MKT_CAP","1993-06-18","2026-05-02","Per=M","Days=T","Dir=V")</f>
        <v>0</v>
      </c>
      <c r="AU2">
        <f>BDH("POOL US Equity","EQY_SH_OUT","1993-06-18","2026-05-02","Per=M","Days=T","Dir=V")</f>
        <v>0</v>
      </c>
      <c r="AW2">
        <f>BDH("POOL US Equity","PX_VOLUME","1993-06-18","2026-05-02","Per=M","Days=T","Dir=V")</f>
        <v>0</v>
      </c>
      <c r="AY2">
        <f>BDH("POOL US Equity","TURNOVER","1993-06-18","2026-05-02","Per=M","Days=T","Dir=V")</f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BDH("POR US Equity","BS_TOT_ASSET","1993-06-18","2026-05-02","Per=Y","Days=T","Dir=V")</f>
        <v>0</v>
      </c>
      <c r="C2">
        <f>BDH("POR US Equity","BS_TOT_LIAB2","1993-06-18","2026-05-02","Per=Y","Days=T","Dir=V")</f>
        <v>0</v>
      </c>
      <c r="E2">
        <f>BDH("POR US Equity","SHORT_AND_LONG_TERM_DEBT","1993-06-18","2026-05-02","Per=Y","Days=T","Dir=V")</f>
        <v>0</v>
      </c>
      <c r="G2">
        <f>BDH("POR US Equity","BS_ST_BORROW","1993-06-18","2026-05-02","Per=Y","Days=T","Dir=V")</f>
        <v>0</v>
      </c>
      <c r="I2">
        <f>BDH("POR US Equity","BS_LT_BORROW","1993-06-18","2026-05-02","Per=Y","Days=T","Dir=V")</f>
        <v>0</v>
      </c>
      <c r="K2">
        <f>BDH("POR US Equity","BS_CASH_NEAR_CASH_ITEM","1993-06-18","2026-05-02","Per=Y","Days=T","Dir=V")</f>
        <v>0</v>
      </c>
      <c r="M2">
        <f>BDH("POR US Equity","BS_CUR_ASSET_REPORT","1993-06-18","2026-05-02","Per=Y","Days=T","Dir=V")</f>
        <v>0</v>
      </c>
      <c r="O2">
        <f>BDH("POR US Equity","BS_CUR_LIAB","1993-06-18","2026-05-02","Per=Y","Days=T","Dir=V")</f>
        <v>0</v>
      </c>
      <c r="Q2">
        <f>BDH("POR US Equity","BS_SHAREHOLDER_EQY_ENDING_PERIOD","1993-06-18","2026-05-02","Per=Y","Days=T","Dir=V")</f>
        <v>0</v>
      </c>
      <c r="S2">
        <f>BDH("POR US Equity","BS_ACCT_NOTE_RCV","1993-06-18","2026-05-02","Per=Y","Days=T","Dir=V")</f>
        <v>0</v>
      </c>
      <c r="U2">
        <f>BDH("POR US Equity","BS_INVENTORIES","1993-06-18","2026-05-02","Per=Y","Days=T","Dir=V")</f>
        <v>0</v>
      </c>
      <c r="W2">
        <f>BDH("POR US Equity","WORKING_CAPITAL","1993-06-18","2026-05-02","Per=Y","Days=T","Dir=V")</f>
        <v>0</v>
      </c>
      <c r="Y2">
        <f>BDH("POR US Equity","SALES_REV_TURN","1993-06-18","2026-05-02","Per=Y","Days=T","Dir=V")</f>
        <v>0</v>
      </c>
      <c r="AA2">
        <f>BDH("POR US Equity","EBIT","1993-06-18","2026-05-02","Per=Y","Days=T","Dir=V")</f>
        <v>0</v>
      </c>
      <c r="AC2">
        <f>BDH("POR US Equity","EBITDA","1993-06-18","2026-05-02","Per=Y","Days=T","Dir=V")</f>
        <v>0</v>
      </c>
      <c r="AE2">
        <f>BDH("POR US Equity","NET_INCOME","1993-06-18","2026-05-02","Per=Y","Days=T","Dir=V")</f>
        <v>0</v>
      </c>
      <c r="AG2">
        <f>BDH("POR US Equity","IS_INT_EXPENSE","1993-06-18","2026-05-02","Per=Y","Days=T","Dir=V")</f>
        <v>0</v>
      </c>
      <c r="AI2">
        <f>BDH("POR US Equity","IS_DEPR_EXP","1993-06-18","2026-05-02","Per=Y","Days=T","Dir=V")</f>
        <v>0</v>
      </c>
      <c r="AK2">
        <f>BDH("POR US Equity","CF_CASH_FROM_OPER","1993-06-18","2026-05-02","Per=Y","Days=T","Dir=V")</f>
        <v>0</v>
      </c>
      <c r="AM2">
        <f>BDH("POR US Equity","CAPITAL_EXPEND","1993-06-18","2026-05-02","Per=Y","Days=T","Dir=V")</f>
        <v>0</v>
      </c>
      <c r="AO2">
        <f>BDH("POR US Equity","CF_FREE_CASH_FLOW","1993-06-18","2026-05-02","Per=Y","Days=T","Dir=V")</f>
        <v>0</v>
      </c>
      <c r="AQ2">
        <f>BDH("POR US Equity","PX_LAST","1993-06-18","2026-05-02","Per=M","Days=T","Dir=V")</f>
        <v>0</v>
      </c>
      <c r="AS2">
        <f>BDH("POR US Equity","CUR_MKT_CAP","1993-06-18","2026-05-02","Per=M","Days=T","Dir=V")</f>
        <v>0</v>
      </c>
      <c r="AU2">
        <f>BDH("POR US Equity","EQY_SH_OUT","1993-06-18","2026-05-02","Per=M","Days=T","Dir=V")</f>
        <v>0</v>
      </c>
      <c r="AW2">
        <f>BDH("POR US Equity","PX_VOLUME","1993-06-18","2026-05-02","Per=M","Days=T","Dir=V")</f>
        <v>0</v>
      </c>
      <c r="AY2">
        <f>BDH("POR US Equity","TURNOVER","1993-06-18","2026-05-02","Per=M","Days=T","Dir=V")</f>
        <v>0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BDH("POST US Equity","BS_TOT_ASSET","1993-06-18","2026-05-02","Per=Y","Days=T","Dir=V")</f>
        <v>0</v>
      </c>
      <c r="C2">
        <f>BDH("POST US Equity","BS_TOT_LIAB2","1993-06-18","2026-05-02","Per=Y","Days=T","Dir=V")</f>
        <v>0</v>
      </c>
      <c r="E2">
        <f>BDH("POST US Equity","SHORT_AND_LONG_TERM_DEBT","1993-06-18","2026-05-02","Per=Y","Days=T","Dir=V")</f>
        <v>0</v>
      </c>
      <c r="G2">
        <f>BDH("POST US Equity","BS_ST_BORROW","1993-06-18","2026-05-02","Per=Y","Days=T","Dir=V")</f>
        <v>0</v>
      </c>
      <c r="I2">
        <f>BDH("POST US Equity","BS_LT_BORROW","1993-06-18","2026-05-02","Per=Y","Days=T","Dir=V")</f>
        <v>0</v>
      </c>
      <c r="K2">
        <f>BDH("POST US Equity","BS_CASH_NEAR_CASH_ITEM","1993-06-18","2026-05-02","Per=Y","Days=T","Dir=V")</f>
        <v>0</v>
      </c>
      <c r="M2">
        <f>BDH("POST US Equity","BS_CUR_ASSET_REPORT","1993-06-18","2026-05-02","Per=Y","Days=T","Dir=V")</f>
        <v>0</v>
      </c>
      <c r="O2">
        <f>BDH("POST US Equity","BS_CUR_LIAB","1993-06-18","2026-05-02","Per=Y","Days=T","Dir=V")</f>
        <v>0</v>
      </c>
      <c r="Q2">
        <f>BDH("POST US Equity","BS_SHAREHOLDER_EQY_ENDING_PERIOD","1993-06-18","2026-05-02","Per=Y","Days=T","Dir=V")</f>
        <v>0</v>
      </c>
      <c r="S2">
        <f>BDH("POST US Equity","BS_ACCT_NOTE_RCV","1993-06-18","2026-05-02","Per=Y","Days=T","Dir=V")</f>
        <v>0</v>
      </c>
      <c r="U2">
        <f>BDH("POST US Equity","BS_INVENTORIES","1993-06-18","2026-05-02","Per=Y","Days=T","Dir=V")</f>
        <v>0</v>
      </c>
      <c r="W2">
        <f>BDH("POST US Equity","WORKING_CAPITAL","1993-06-18","2026-05-02","Per=Y","Days=T","Dir=V")</f>
        <v>0</v>
      </c>
      <c r="Y2">
        <f>BDH("POST US Equity","SALES_REV_TURN","1993-06-18","2026-05-02","Per=Y","Days=T","Dir=V")</f>
        <v>0</v>
      </c>
      <c r="AA2">
        <f>BDH("POST US Equity","EBIT","1993-06-18","2026-05-02","Per=Y","Days=T","Dir=V")</f>
        <v>0</v>
      </c>
      <c r="AC2">
        <f>BDH("POST US Equity","EBITDA","1993-06-18","2026-05-02","Per=Y","Days=T","Dir=V")</f>
        <v>0</v>
      </c>
      <c r="AE2">
        <f>BDH("POST US Equity","NET_INCOME","1993-06-18","2026-05-02","Per=Y","Days=T","Dir=V")</f>
        <v>0</v>
      </c>
      <c r="AG2">
        <f>BDH("POST US Equity","IS_INT_EXPENSE","1993-06-18","2026-05-02","Per=Y","Days=T","Dir=V")</f>
        <v>0</v>
      </c>
      <c r="AI2">
        <f>BDH("POST US Equity","IS_DEPR_EXP","1993-06-18","2026-05-02","Per=Y","Days=T","Dir=V")</f>
        <v>0</v>
      </c>
      <c r="AK2">
        <f>BDH("POST US Equity","CF_CASH_FROM_OPER","1993-06-18","2026-05-02","Per=Y","Days=T","Dir=V")</f>
        <v>0</v>
      </c>
      <c r="AM2">
        <f>BDH("POST US Equity","CAPITAL_EXPEND","1993-06-18","2026-05-02","Per=Y","Days=T","Dir=V")</f>
        <v>0</v>
      </c>
      <c r="AO2">
        <f>BDH("POST US Equity","CF_FREE_CASH_FLOW","1993-06-18","2026-05-02","Per=Y","Days=T","Dir=V")</f>
        <v>0</v>
      </c>
      <c r="AQ2">
        <f>BDH("POST US Equity","PX_LAST","1993-06-18","2026-05-02","Per=M","Days=T","Dir=V")</f>
        <v>0</v>
      </c>
      <c r="AS2">
        <f>BDH("POST US Equity","CUR_MKT_CAP","1993-06-18","2026-05-02","Per=M","Days=T","Dir=V")</f>
        <v>0</v>
      </c>
      <c r="AU2">
        <f>BDH("POST US Equity","EQY_SH_OUT","1993-06-18","2026-05-02","Per=M","Days=T","Dir=V")</f>
        <v>0</v>
      </c>
      <c r="AW2">
        <f>BDH("POST US Equity","PX_VOLUME","1993-06-18","2026-05-02","Per=M","Days=T","Dir=V")</f>
        <v>0</v>
      </c>
      <c r="AY2">
        <f>BDH("POST US Equity","TURNOVER","1993-06-18","2026-05-02","Per=M","Days=T","Dir=V")</f>
        <v>0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BDH("POWI US Equity","BS_TOT_ASSET","1993-06-18","2026-05-02","Per=Y","Days=T","Dir=V")</f>
        <v>0</v>
      </c>
      <c r="C2">
        <f>BDH("POWI US Equity","BS_TOT_LIAB2","1993-06-18","2026-05-02","Per=Y","Days=T","Dir=V")</f>
        <v>0</v>
      </c>
      <c r="E2">
        <f>BDH("POWI US Equity","SHORT_AND_LONG_TERM_DEBT","1993-06-18","2026-05-02","Per=Y","Days=T","Dir=V")</f>
        <v>0</v>
      </c>
      <c r="G2">
        <f>BDH("POWI US Equity","BS_ST_BORROW","1993-06-18","2026-05-02","Per=Y","Days=T","Dir=V")</f>
        <v>0</v>
      </c>
      <c r="I2">
        <f>BDH("POWI US Equity","BS_LT_BORROW","1993-06-18","2026-05-02","Per=Y","Days=T","Dir=V")</f>
        <v>0</v>
      </c>
      <c r="K2">
        <f>BDH("POWI US Equity","BS_CASH_NEAR_CASH_ITEM","1993-06-18","2026-05-02","Per=Y","Days=T","Dir=V")</f>
        <v>0</v>
      </c>
      <c r="M2">
        <f>BDH("POWI US Equity","BS_CUR_ASSET_REPORT","1993-06-18","2026-05-02","Per=Y","Days=T","Dir=V")</f>
        <v>0</v>
      </c>
      <c r="O2">
        <f>BDH("POWI US Equity","BS_CUR_LIAB","1993-06-18","2026-05-02","Per=Y","Days=T","Dir=V")</f>
        <v>0</v>
      </c>
      <c r="Q2">
        <f>BDH("POWI US Equity","BS_SHAREHOLDER_EQY_ENDING_PERIOD","1993-06-18","2026-05-02","Per=Y","Days=T","Dir=V")</f>
        <v>0</v>
      </c>
      <c r="S2">
        <f>BDH("POWI US Equity","BS_ACCT_NOTE_RCV","1993-06-18","2026-05-02","Per=Y","Days=T","Dir=V")</f>
        <v>0</v>
      </c>
      <c r="U2">
        <f>BDH("POWI US Equity","BS_INVENTORIES","1993-06-18","2026-05-02","Per=Y","Days=T","Dir=V")</f>
        <v>0</v>
      </c>
      <c r="W2">
        <f>BDH("POWI US Equity","WORKING_CAPITAL","1993-06-18","2026-05-02","Per=Y","Days=T","Dir=V")</f>
        <v>0</v>
      </c>
      <c r="Y2">
        <f>BDH("POWI US Equity","SALES_REV_TURN","1993-06-18","2026-05-02","Per=Y","Days=T","Dir=V")</f>
        <v>0</v>
      </c>
      <c r="AA2">
        <f>BDH("POWI US Equity","EBIT","1993-06-18","2026-05-02","Per=Y","Days=T","Dir=V")</f>
        <v>0</v>
      </c>
      <c r="AC2">
        <f>BDH("POWI US Equity","EBITDA","1993-06-18","2026-05-02","Per=Y","Days=T","Dir=V")</f>
        <v>0</v>
      </c>
      <c r="AE2">
        <f>BDH("POWI US Equity","NET_INCOME","1993-06-18","2026-05-02","Per=Y","Days=T","Dir=V")</f>
        <v>0</v>
      </c>
      <c r="AG2">
        <f>BDH("POWI US Equity","IS_INT_EXPENSE","1993-06-18","2026-05-02","Per=Y","Days=T","Dir=V")</f>
        <v>0</v>
      </c>
      <c r="AI2">
        <f>BDH("POWI US Equity","IS_DEPR_EXP","1993-06-18","2026-05-02","Per=Y","Days=T","Dir=V")</f>
        <v>0</v>
      </c>
      <c r="AK2">
        <f>BDH("POWI US Equity","CF_CASH_FROM_OPER","1993-06-18","2026-05-02","Per=Y","Days=T","Dir=V")</f>
        <v>0</v>
      </c>
      <c r="AM2">
        <f>BDH("POWI US Equity","CAPITAL_EXPEND","1993-06-18","2026-05-02","Per=Y","Days=T","Dir=V")</f>
        <v>0</v>
      </c>
      <c r="AO2">
        <f>BDH("POWI US Equity","CF_FREE_CASH_FLOW","1993-06-18","2026-05-02","Per=Y","Days=T","Dir=V")</f>
        <v>0</v>
      </c>
      <c r="AQ2">
        <f>BDH("POWI US Equity","PX_LAST","1993-06-18","2026-05-02","Per=M","Days=T","Dir=V")</f>
        <v>0</v>
      </c>
      <c r="AS2">
        <f>BDH("POWI US Equity","CUR_MKT_CAP","1993-06-18","2026-05-02","Per=M","Days=T","Dir=V")</f>
        <v>0</v>
      </c>
      <c r="AU2">
        <f>BDH("POWI US Equity","EQY_SH_OUT","1993-06-18","2026-05-02","Per=M","Days=T","Dir=V")</f>
        <v>0</v>
      </c>
      <c r="AW2">
        <f>BDH("POWI US Equity","PX_VOLUME","1993-06-18","2026-05-02","Per=M","Days=T","Dir=V")</f>
        <v>0</v>
      </c>
      <c r="AY2">
        <f>BDH("POWI US Equity","TURNOVER","1993-06-18","2026-05-02","Per=M","Days=T","Dir=V")</f>
        <v>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BDH("POWL US Equity","BS_TOT_ASSET","1993-06-18","2026-05-02","Per=Y","Days=T","Dir=V")</f>
        <v>0</v>
      </c>
      <c r="C2">
        <f>BDH("POWL US Equity","BS_TOT_LIAB2","1993-06-18","2026-05-02","Per=Y","Days=T","Dir=V")</f>
        <v>0</v>
      </c>
      <c r="E2">
        <f>BDH("POWL US Equity","SHORT_AND_LONG_TERM_DEBT","1993-06-18","2026-05-02","Per=Y","Days=T","Dir=V")</f>
        <v>0</v>
      </c>
      <c r="G2">
        <f>BDH("POWL US Equity","BS_ST_BORROW","1993-06-18","2026-05-02","Per=Y","Days=T","Dir=V")</f>
        <v>0</v>
      </c>
      <c r="I2">
        <f>BDH("POWL US Equity","BS_LT_BORROW","1993-06-18","2026-05-02","Per=Y","Days=T","Dir=V")</f>
        <v>0</v>
      </c>
      <c r="K2">
        <f>BDH("POWL US Equity","BS_CASH_NEAR_CASH_ITEM","1993-06-18","2026-05-02","Per=Y","Days=T","Dir=V")</f>
        <v>0</v>
      </c>
      <c r="M2">
        <f>BDH("POWL US Equity","BS_CUR_ASSET_REPORT","1993-06-18","2026-05-02","Per=Y","Days=T","Dir=V")</f>
        <v>0</v>
      </c>
      <c r="O2">
        <f>BDH("POWL US Equity","BS_CUR_LIAB","1993-06-18","2026-05-02","Per=Y","Days=T","Dir=V")</f>
        <v>0</v>
      </c>
      <c r="Q2">
        <f>BDH("POWL US Equity","BS_SHAREHOLDER_EQY_ENDING_PERIOD","1993-06-18","2026-05-02","Per=Y","Days=T","Dir=V")</f>
        <v>0</v>
      </c>
      <c r="S2">
        <f>BDH("POWL US Equity","BS_ACCT_NOTE_RCV","1993-06-18","2026-05-02","Per=Y","Days=T","Dir=V")</f>
        <v>0</v>
      </c>
      <c r="U2">
        <f>BDH("POWL US Equity","BS_INVENTORIES","1993-06-18","2026-05-02","Per=Y","Days=T","Dir=V")</f>
        <v>0</v>
      </c>
      <c r="W2">
        <f>BDH("POWL US Equity","WORKING_CAPITAL","1993-06-18","2026-05-02","Per=Y","Days=T","Dir=V")</f>
        <v>0</v>
      </c>
      <c r="Y2">
        <f>BDH("POWL US Equity","SALES_REV_TURN","1993-06-18","2026-05-02","Per=Y","Days=T","Dir=V")</f>
        <v>0</v>
      </c>
      <c r="AA2">
        <f>BDH("POWL US Equity","EBIT","1993-06-18","2026-05-02","Per=Y","Days=T","Dir=V")</f>
        <v>0</v>
      </c>
      <c r="AC2">
        <f>BDH("POWL US Equity","EBITDA","1993-06-18","2026-05-02","Per=Y","Days=T","Dir=V")</f>
        <v>0</v>
      </c>
      <c r="AE2">
        <f>BDH("POWL US Equity","NET_INCOME","1993-06-18","2026-05-02","Per=Y","Days=T","Dir=V")</f>
        <v>0</v>
      </c>
      <c r="AG2">
        <f>BDH("POWL US Equity","IS_INT_EXPENSE","1993-06-18","2026-05-02","Per=Y","Days=T","Dir=V")</f>
        <v>0</v>
      </c>
      <c r="AI2">
        <f>BDH("POWL US Equity","IS_DEPR_EXP","1993-06-18","2026-05-02","Per=Y","Days=T","Dir=V")</f>
        <v>0</v>
      </c>
      <c r="AK2">
        <f>BDH("POWL US Equity","CF_CASH_FROM_OPER","1993-06-18","2026-05-02","Per=Y","Days=T","Dir=V")</f>
        <v>0</v>
      </c>
      <c r="AM2">
        <f>BDH("POWL US Equity","CAPITAL_EXPEND","1993-06-18","2026-05-02","Per=Y","Days=T","Dir=V")</f>
        <v>0</v>
      </c>
      <c r="AO2">
        <f>BDH("POWL US Equity","CF_FREE_CASH_FLOW","1993-06-18","2026-05-02","Per=Y","Days=T","Dir=V")</f>
        <v>0</v>
      </c>
      <c r="AQ2">
        <f>BDH("POWL US Equity","PX_LAST","1993-06-18","2026-05-02","Per=M","Days=T","Dir=V")</f>
        <v>0</v>
      </c>
      <c r="AS2">
        <f>BDH("POWL US Equity","CUR_MKT_CAP","1993-06-18","2026-05-02","Per=M","Days=T","Dir=V")</f>
        <v>0</v>
      </c>
      <c r="AU2">
        <f>BDH("POWL US Equity","EQY_SH_OUT","1993-06-18","2026-05-02","Per=M","Days=T","Dir=V")</f>
        <v>0</v>
      </c>
      <c r="AW2">
        <f>BDH("POWL US Equity","PX_VOLUME","1993-06-18","2026-05-02","Per=M","Days=T","Dir=V")</f>
        <v>0</v>
      </c>
      <c r="AY2">
        <f>BDH("POWL US Equity","TURNOVER","1993-06-18","2026-05-02","Per=M","Days=T","Dir=V")</f>
        <v>0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BDH("POWW US Equity","BS_TOT_ASSET","1993-06-18","2026-05-02","Per=Y","Days=T","Dir=V")</f>
        <v>0</v>
      </c>
      <c r="C2">
        <f>BDH("POWW US Equity","BS_TOT_LIAB2","1993-06-18","2026-05-02","Per=Y","Days=T","Dir=V")</f>
        <v>0</v>
      </c>
      <c r="E2">
        <f>BDH("POWW US Equity","SHORT_AND_LONG_TERM_DEBT","1993-06-18","2026-05-02","Per=Y","Days=T","Dir=V")</f>
        <v>0</v>
      </c>
      <c r="G2">
        <f>BDH("POWW US Equity","BS_ST_BORROW","1993-06-18","2026-05-02","Per=Y","Days=T","Dir=V")</f>
        <v>0</v>
      </c>
      <c r="I2">
        <f>BDH("POWW US Equity","BS_LT_BORROW","1993-06-18","2026-05-02","Per=Y","Days=T","Dir=V")</f>
        <v>0</v>
      </c>
      <c r="K2">
        <f>BDH("POWW US Equity","BS_CASH_NEAR_CASH_ITEM","1993-06-18","2026-05-02","Per=Y","Days=T","Dir=V")</f>
        <v>0</v>
      </c>
      <c r="M2">
        <f>BDH("POWW US Equity","BS_CUR_ASSET_REPORT","1993-06-18","2026-05-02","Per=Y","Days=T","Dir=V")</f>
        <v>0</v>
      </c>
      <c r="O2">
        <f>BDH("POWW US Equity","BS_CUR_LIAB","1993-06-18","2026-05-02","Per=Y","Days=T","Dir=V")</f>
        <v>0</v>
      </c>
      <c r="Q2">
        <f>BDH("POWW US Equity","BS_SHAREHOLDER_EQY_ENDING_PERIOD","1993-06-18","2026-05-02","Per=Y","Days=T","Dir=V")</f>
        <v>0</v>
      </c>
      <c r="S2">
        <f>BDH("POWW US Equity","BS_ACCT_NOTE_RCV","1993-06-18","2026-05-02","Per=Y","Days=T","Dir=V")</f>
        <v>0</v>
      </c>
      <c r="U2">
        <f>BDH("POWW US Equity","BS_INVENTORIES","1993-06-18","2026-05-02","Per=Y","Days=T","Dir=V")</f>
        <v>0</v>
      </c>
      <c r="W2">
        <f>BDH("POWW US Equity","WORKING_CAPITAL","1993-06-18","2026-05-02","Per=Y","Days=T","Dir=V")</f>
        <v>0</v>
      </c>
      <c r="Y2">
        <f>BDH("POWW US Equity","SALES_REV_TURN","1993-06-18","2026-05-02","Per=Y","Days=T","Dir=V")</f>
        <v>0</v>
      </c>
      <c r="AA2">
        <f>BDH("POWW US Equity","EBIT","1993-06-18","2026-05-02","Per=Y","Days=T","Dir=V")</f>
        <v>0</v>
      </c>
      <c r="AC2">
        <f>BDH("POWW US Equity","EBITDA","1993-06-18","2026-05-02","Per=Y","Days=T","Dir=V")</f>
        <v>0</v>
      </c>
      <c r="AE2">
        <f>BDH("POWW US Equity","NET_INCOME","1993-06-18","2026-05-02","Per=Y","Days=T","Dir=V")</f>
        <v>0</v>
      </c>
      <c r="AG2">
        <f>BDH("POWW US Equity","IS_INT_EXPENSE","1993-06-18","2026-05-02","Per=Y","Days=T","Dir=V")</f>
        <v>0</v>
      </c>
      <c r="AI2">
        <f>BDH("POWW US Equity","IS_DEPR_EXP","1993-06-18","2026-05-02","Per=Y","Days=T","Dir=V")</f>
        <v>0</v>
      </c>
      <c r="AK2">
        <f>BDH("POWW US Equity","CF_CASH_FROM_OPER","1993-06-18","2026-05-02","Per=Y","Days=T","Dir=V")</f>
        <v>0</v>
      </c>
      <c r="AM2">
        <f>BDH("POWW US Equity","CAPITAL_EXPEND","1993-06-18","2026-05-02","Per=Y","Days=T","Dir=V")</f>
        <v>0</v>
      </c>
      <c r="AO2">
        <f>BDH("POWW US Equity","CF_FREE_CASH_FLOW","1993-06-18","2026-05-02","Per=Y","Days=T","Dir=V")</f>
        <v>0</v>
      </c>
      <c r="AQ2">
        <f>BDH("POWW US Equity","PX_LAST","1993-06-18","2026-05-02","Per=M","Days=T","Dir=V")</f>
        <v>0</v>
      </c>
      <c r="AS2">
        <f>BDH("POWW US Equity","CUR_MKT_CAP","1993-06-18","2026-05-02","Per=M","Days=T","Dir=V")</f>
        <v>0</v>
      </c>
      <c r="AU2">
        <f>BDH("POWW US Equity","EQY_SH_OUT","1993-06-18","2026-05-02","Per=M","Days=T","Dir=V")</f>
        <v>0</v>
      </c>
      <c r="AW2">
        <f>BDH("POWW US Equity","PX_VOLUME","1993-06-18","2026-05-02","Per=M","Days=T","Dir=V")</f>
        <v>0</v>
      </c>
      <c r="AY2">
        <f>BDH("POWW US Equity","TURNOVER","1993-06-18","2026-05-02","Per=M","Days=T","Dir=V")</f>
        <v>0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BDH("POWWP US Equity","BS_TOT_ASSET","1993-06-18","2026-05-02","Per=Y","Days=T","Dir=V")</f>
        <v>0</v>
      </c>
      <c r="C2">
        <f>BDH("POWWP US Equity","BS_TOT_LIAB2","1993-06-18","2026-05-02","Per=Y","Days=T","Dir=V")</f>
        <v>0</v>
      </c>
      <c r="E2">
        <f>BDH("POWWP US Equity","SHORT_AND_LONG_TERM_DEBT","1993-06-18","2026-05-02","Per=Y","Days=T","Dir=V")</f>
        <v>0</v>
      </c>
      <c r="G2">
        <f>BDH("POWWP US Equity","BS_ST_BORROW","1993-06-18","2026-05-02","Per=Y","Days=T","Dir=V")</f>
        <v>0</v>
      </c>
      <c r="I2">
        <f>BDH("POWWP US Equity","BS_LT_BORROW","1993-06-18","2026-05-02","Per=Y","Days=T","Dir=V")</f>
        <v>0</v>
      </c>
      <c r="K2">
        <f>BDH("POWWP US Equity","BS_CASH_NEAR_CASH_ITEM","1993-06-18","2026-05-02","Per=Y","Days=T","Dir=V")</f>
        <v>0</v>
      </c>
      <c r="M2">
        <f>BDH("POWWP US Equity","BS_CUR_ASSET_REPORT","1993-06-18","2026-05-02","Per=Y","Days=T","Dir=V")</f>
        <v>0</v>
      </c>
      <c r="O2">
        <f>BDH("POWWP US Equity","BS_CUR_LIAB","1993-06-18","2026-05-02","Per=Y","Days=T","Dir=V")</f>
        <v>0</v>
      </c>
      <c r="Q2">
        <f>BDH("POWWP US Equity","BS_SHAREHOLDER_EQY_ENDING_PERIOD","1993-06-18","2026-05-02","Per=Y","Days=T","Dir=V")</f>
        <v>0</v>
      </c>
      <c r="S2">
        <f>BDH("POWWP US Equity","BS_ACCT_NOTE_RCV","1993-06-18","2026-05-02","Per=Y","Days=T","Dir=V")</f>
        <v>0</v>
      </c>
      <c r="U2">
        <f>BDH("POWWP US Equity","BS_INVENTORIES","1993-06-18","2026-05-02","Per=Y","Days=T","Dir=V")</f>
        <v>0</v>
      </c>
      <c r="W2">
        <f>BDH("POWWP US Equity","WORKING_CAPITAL","1993-06-18","2026-05-02","Per=Y","Days=T","Dir=V")</f>
        <v>0</v>
      </c>
      <c r="Y2">
        <f>BDH("POWWP US Equity","SALES_REV_TURN","1993-06-18","2026-05-02","Per=Y","Days=T","Dir=V")</f>
        <v>0</v>
      </c>
      <c r="AA2">
        <f>BDH("POWWP US Equity","EBIT","1993-06-18","2026-05-02","Per=Y","Days=T","Dir=V")</f>
        <v>0</v>
      </c>
      <c r="AC2">
        <f>BDH("POWWP US Equity","EBITDA","1993-06-18","2026-05-02","Per=Y","Days=T","Dir=V")</f>
        <v>0</v>
      </c>
      <c r="AE2">
        <f>BDH("POWWP US Equity","NET_INCOME","1993-06-18","2026-05-02","Per=Y","Days=T","Dir=V")</f>
        <v>0</v>
      </c>
      <c r="AG2">
        <f>BDH("POWWP US Equity","IS_INT_EXPENSE","1993-06-18","2026-05-02","Per=Y","Days=T","Dir=V")</f>
        <v>0</v>
      </c>
      <c r="AI2">
        <f>BDH("POWWP US Equity","IS_DEPR_EXP","1993-06-18","2026-05-02","Per=Y","Days=T","Dir=V")</f>
        <v>0</v>
      </c>
      <c r="AK2">
        <f>BDH("POWWP US Equity","CF_CASH_FROM_OPER","1993-06-18","2026-05-02","Per=Y","Days=T","Dir=V")</f>
        <v>0</v>
      </c>
      <c r="AM2">
        <f>BDH("POWWP US Equity","CAPITAL_EXPEND","1993-06-18","2026-05-02","Per=Y","Days=T","Dir=V")</f>
        <v>0</v>
      </c>
      <c r="AO2">
        <f>BDH("POWWP US Equity","CF_FREE_CASH_FLOW","1993-06-18","2026-05-02","Per=Y","Days=T","Dir=V")</f>
        <v>0</v>
      </c>
      <c r="AQ2">
        <f>BDH("POWWP US Equity","PX_LAST","1993-06-18","2026-05-02","Per=M","Days=T","Dir=V")</f>
        <v>0</v>
      </c>
      <c r="AS2">
        <f>BDH("POWWP US Equity","CUR_MKT_CAP","1993-06-18","2026-05-02","Per=M","Days=T","Dir=V")</f>
        <v>0</v>
      </c>
      <c r="AU2">
        <f>BDH("POWWP US Equity","EQY_SH_OUT","1993-06-18","2026-05-02","Per=M","Days=T","Dir=V")</f>
        <v>0</v>
      </c>
      <c r="AW2">
        <f>BDH("POWWP US Equity","PX_VOLUME","1993-06-18","2026-05-02","Per=M","Days=T","Dir=V")</f>
        <v>0</v>
      </c>
      <c r="AY2">
        <f>BDH("POWWP US Equity","TURNOVER","1993-06-18","2026-05-02","Per=M","Days=T","Dir=V")</f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BDH("PPC US Equity","BS_TOT_ASSET","1993-06-18","2026-05-02","Per=Y","Days=T","Dir=V")</f>
        <v>0</v>
      </c>
      <c r="C2">
        <f>BDH("PPC US Equity","BS_TOT_LIAB2","1993-06-18","2026-05-02","Per=Y","Days=T","Dir=V")</f>
        <v>0</v>
      </c>
      <c r="E2">
        <f>BDH("PPC US Equity","SHORT_AND_LONG_TERM_DEBT","1993-06-18","2026-05-02","Per=Y","Days=T","Dir=V")</f>
        <v>0</v>
      </c>
      <c r="G2">
        <f>BDH("PPC US Equity","BS_ST_BORROW","1993-06-18","2026-05-02","Per=Y","Days=T","Dir=V")</f>
        <v>0</v>
      </c>
      <c r="I2">
        <f>BDH("PPC US Equity","BS_LT_BORROW","1993-06-18","2026-05-02","Per=Y","Days=T","Dir=V")</f>
        <v>0</v>
      </c>
      <c r="K2">
        <f>BDH("PPC US Equity","BS_CASH_NEAR_CASH_ITEM","1993-06-18","2026-05-02","Per=Y","Days=T","Dir=V")</f>
        <v>0</v>
      </c>
      <c r="M2">
        <f>BDH("PPC US Equity","BS_CUR_ASSET_REPORT","1993-06-18","2026-05-02","Per=Y","Days=T","Dir=V")</f>
        <v>0</v>
      </c>
      <c r="O2">
        <f>BDH("PPC US Equity","BS_CUR_LIAB","1993-06-18","2026-05-02","Per=Y","Days=T","Dir=V")</f>
        <v>0</v>
      </c>
      <c r="Q2">
        <f>BDH("PPC US Equity","BS_SHAREHOLDER_EQY_ENDING_PERIOD","1993-06-18","2026-05-02","Per=Y","Days=T","Dir=V")</f>
        <v>0</v>
      </c>
      <c r="S2">
        <f>BDH("PPC US Equity","BS_ACCT_NOTE_RCV","1993-06-18","2026-05-02","Per=Y","Days=T","Dir=V")</f>
        <v>0</v>
      </c>
      <c r="U2">
        <f>BDH("PPC US Equity","BS_INVENTORIES","1993-06-18","2026-05-02","Per=Y","Days=T","Dir=V")</f>
        <v>0</v>
      </c>
      <c r="W2">
        <f>BDH("PPC US Equity","WORKING_CAPITAL","1993-06-18","2026-05-02","Per=Y","Days=T","Dir=V")</f>
        <v>0</v>
      </c>
      <c r="Y2">
        <f>BDH("PPC US Equity","SALES_REV_TURN","1993-06-18","2026-05-02","Per=Y","Days=T","Dir=V")</f>
        <v>0</v>
      </c>
      <c r="AA2">
        <f>BDH("PPC US Equity","EBIT","1993-06-18","2026-05-02","Per=Y","Days=T","Dir=V")</f>
        <v>0</v>
      </c>
      <c r="AC2">
        <f>BDH("PPC US Equity","EBITDA","1993-06-18","2026-05-02","Per=Y","Days=T","Dir=V")</f>
        <v>0</v>
      </c>
      <c r="AE2">
        <f>BDH("PPC US Equity","NET_INCOME","1993-06-18","2026-05-02","Per=Y","Days=T","Dir=V")</f>
        <v>0</v>
      </c>
      <c r="AG2">
        <f>BDH("PPC US Equity","IS_INT_EXPENSE","1993-06-18","2026-05-02","Per=Y","Days=T","Dir=V")</f>
        <v>0</v>
      </c>
      <c r="AI2">
        <f>BDH("PPC US Equity","IS_DEPR_EXP","1993-06-18","2026-05-02","Per=Y","Days=T","Dir=V")</f>
        <v>0</v>
      </c>
      <c r="AK2">
        <f>BDH("PPC US Equity","CF_CASH_FROM_OPER","1993-06-18","2026-05-02","Per=Y","Days=T","Dir=V")</f>
        <v>0</v>
      </c>
      <c r="AM2">
        <f>BDH("PPC US Equity","CAPITAL_EXPEND","1993-06-18","2026-05-02","Per=Y","Days=T","Dir=V")</f>
        <v>0</v>
      </c>
      <c r="AO2">
        <f>BDH("PPC US Equity","CF_FREE_CASH_FLOW","1993-06-18","2026-05-02","Per=Y","Days=T","Dir=V")</f>
        <v>0</v>
      </c>
      <c r="AQ2">
        <f>BDH("PPC US Equity","PX_LAST","1993-06-18","2026-05-02","Per=M","Days=T","Dir=V")</f>
        <v>0</v>
      </c>
      <c r="AS2">
        <f>BDH("PPC US Equity","CUR_MKT_CAP","1993-06-18","2026-05-02","Per=M","Days=T","Dir=V")</f>
        <v>0</v>
      </c>
      <c r="AU2">
        <f>BDH("PPC US Equity","EQY_SH_OUT","1993-06-18","2026-05-02","Per=M","Days=T","Dir=V")</f>
        <v>0</v>
      </c>
      <c r="AW2">
        <f>BDH("PPC US Equity","PX_VOLUME","1993-06-18","2026-05-02","Per=M","Days=T","Dir=V")</f>
        <v>0</v>
      </c>
      <c r="AY2">
        <f>BDH("PPC US Equity","TURNOVER","1993-06-18","2026-05-02","Per=M","Days=T","Dir=V")</f>
        <v>0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BDH("PPG US Equity","BS_TOT_ASSET","1993-06-18","2026-05-02","Per=Y","Days=T","Dir=V")</f>
        <v>0</v>
      </c>
      <c r="C2">
        <f>BDH("PPG US Equity","BS_TOT_LIAB2","1993-06-18","2026-05-02","Per=Y","Days=T","Dir=V")</f>
        <v>0</v>
      </c>
      <c r="E2">
        <f>BDH("PPG US Equity","SHORT_AND_LONG_TERM_DEBT","1993-06-18","2026-05-02","Per=Y","Days=T","Dir=V")</f>
        <v>0</v>
      </c>
      <c r="G2">
        <f>BDH("PPG US Equity","BS_ST_BORROW","1993-06-18","2026-05-02","Per=Y","Days=T","Dir=V")</f>
        <v>0</v>
      </c>
      <c r="I2">
        <f>BDH("PPG US Equity","BS_LT_BORROW","1993-06-18","2026-05-02","Per=Y","Days=T","Dir=V")</f>
        <v>0</v>
      </c>
      <c r="K2">
        <f>BDH("PPG US Equity","BS_CASH_NEAR_CASH_ITEM","1993-06-18","2026-05-02","Per=Y","Days=T","Dir=V")</f>
        <v>0</v>
      </c>
      <c r="M2">
        <f>BDH("PPG US Equity","BS_CUR_ASSET_REPORT","1993-06-18","2026-05-02","Per=Y","Days=T","Dir=V")</f>
        <v>0</v>
      </c>
      <c r="O2">
        <f>BDH("PPG US Equity","BS_CUR_LIAB","1993-06-18","2026-05-02","Per=Y","Days=T","Dir=V")</f>
        <v>0</v>
      </c>
      <c r="Q2">
        <f>BDH("PPG US Equity","BS_SHAREHOLDER_EQY_ENDING_PERIOD","1993-06-18","2026-05-02","Per=Y","Days=T","Dir=V")</f>
        <v>0</v>
      </c>
      <c r="S2">
        <f>BDH("PPG US Equity","BS_ACCT_NOTE_RCV","1993-06-18","2026-05-02","Per=Y","Days=T","Dir=V")</f>
        <v>0</v>
      </c>
      <c r="U2">
        <f>BDH("PPG US Equity","BS_INVENTORIES","1993-06-18","2026-05-02","Per=Y","Days=T","Dir=V")</f>
        <v>0</v>
      </c>
      <c r="W2">
        <f>BDH("PPG US Equity","WORKING_CAPITAL","1993-06-18","2026-05-02","Per=Y","Days=T","Dir=V")</f>
        <v>0</v>
      </c>
      <c r="Y2">
        <f>BDH("PPG US Equity","SALES_REV_TURN","1993-06-18","2026-05-02","Per=Y","Days=T","Dir=V")</f>
        <v>0</v>
      </c>
      <c r="AA2">
        <f>BDH("PPG US Equity","EBIT","1993-06-18","2026-05-02","Per=Y","Days=T","Dir=V")</f>
        <v>0</v>
      </c>
      <c r="AC2">
        <f>BDH("PPG US Equity","EBITDA","1993-06-18","2026-05-02","Per=Y","Days=T","Dir=V")</f>
        <v>0</v>
      </c>
      <c r="AE2">
        <f>BDH("PPG US Equity","NET_INCOME","1993-06-18","2026-05-02","Per=Y","Days=T","Dir=V")</f>
        <v>0</v>
      </c>
      <c r="AG2">
        <f>BDH("PPG US Equity","IS_INT_EXPENSE","1993-06-18","2026-05-02","Per=Y","Days=T","Dir=V")</f>
        <v>0</v>
      </c>
      <c r="AI2">
        <f>BDH("PPG US Equity","IS_DEPR_EXP","1993-06-18","2026-05-02","Per=Y","Days=T","Dir=V")</f>
        <v>0</v>
      </c>
      <c r="AK2">
        <f>BDH("PPG US Equity","CF_CASH_FROM_OPER","1993-06-18","2026-05-02","Per=Y","Days=T","Dir=V")</f>
        <v>0</v>
      </c>
      <c r="AM2">
        <f>BDH("PPG US Equity","CAPITAL_EXPEND","1993-06-18","2026-05-02","Per=Y","Days=T","Dir=V")</f>
        <v>0</v>
      </c>
      <c r="AO2">
        <f>BDH("PPG US Equity","CF_FREE_CASH_FLOW","1993-06-18","2026-05-02","Per=Y","Days=T","Dir=V")</f>
        <v>0</v>
      </c>
      <c r="AQ2">
        <f>BDH("PPG US Equity","PX_LAST","1993-06-18","2026-05-02","Per=M","Days=T","Dir=V")</f>
        <v>0</v>
      </c>
      <c r="AS2">
        <f>BDH("PPG US Equity","CUR_MKT_CAP","1993-06-18","2026-05-02","Per=M","Days=T","Dir=V")</f>
        <v>0</v>
      </c>
      <c r="AU2">
        <f>BDH("PPG US Equity","EQY_SH_OUT","1993-06-18","2026-05-02","Per=M","Days=T","Dir=V")</f>
        <v>0</v>
      </c>
      <c r="AW2">
        <f>BDH("PPG US Equity","PX_VOLUME","1993-06-18","2026-05-02","Per=M","Days=T","Dir=V")</f>
        <v>0</v>
      </c>
      <c r="AY2">
        <f>BDH("PPG US Equity","TURNOVER","1993-06-18","2026-05-02","Per=M","Days=T","Dir=V")</f>
        <v>0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BDH("PPIH US Equity","BS_TOT_ASSET","1993-06-18","2026-05-02","Per=Y","Days=T","Dir=V")</f>
        <v>0</v>
      </c>
      <c r="C2">
        <f>BDH("PPIH US Equity","BS_TOT_LIAB2","1993-06-18","2026-05-02","Per=Y","Days=T","Dir=V")</f>
        <v>0</v>
      </c>
      <c r="E2">
        <f>BDH("PPIH US Equity","SHORT_AND_LONG_TERM_DEBT","1993-06-18","2026-05-02","Per=Y","Days=T","Dir=V")</f>
        <v>0</v>
      </c>
      <c r="G2">
        <f>BDH("PPIH US Equity","BS_ST_BORROW","1993-06-18","2026-05-02","Per=Y","Days=T","Dir=V")</f>
        <v>0</v>
      </c>
      <c r="I2">
        <f>BDH("PPIH US Equity","BS_LT_BORROW","1993-06-18","2026-05-02","Per=Y","Days=T","Dir=V")</f>
        <v>0</v>
      </c>
      <c r="K2">
        <f>BDH("PPIH US Equity","BS_CASH_NEAR_CASH_ITEM","1993-06-18","2026-05-02","Per=Y","Days=T","Dir=V")</f>
        <v>0</v>
      </c>
      <c r="M2">
        <f>BDH("PPIH US Equity","BS_CUR_ASSET_REPORT","1993-06-18","2026-05-02","Per=Y","Days=T","Dir=V")</f>
        <v>0</v>
      </c>
      <c r="O2">
        <f>BDH("PPIH US Equity","BS_CUR_LIAB","1993-06-18","2026-05-02","Per=Y","Days=T","Dir=V")</f>
        <v>0</v>
      </c>
      <c r="Q2">
        <f>BDH("PPIH US Equity","BS_SHAREHOLDER_EQY_ENDING_PERIOD","1993-06-18","2026-05-02","Per=Y","Days=T","Dir=V")</f>
        <v>0</v>
      </c>
      <c r="S2">
        <f>BDH("PPIH US Equity","BS_ACCT_NOTE_RCV","1993-06-18","2026-05-02","Per=Y","Days=T","Dir=V")</f>
        <v>0</v>
      </c>
      <c r="U2">
        <f>BDH("PPIH US Equity","BS_INVENTORIES","1993-06-18","2026-05-02","Per=Y","Days=T","Dir=V")</f>
        <v>0</v>
      </c>
      <c r="W2">
        <f>BDH("PPIH US Equity","WORKING_CAPITAL","1993-06-18","2026-05-02","Per=Y","Days=T","Dir=V")</f>
        <v>0</v>
      </c>
      <c r="Y2">
        <f>BDH("PPIH US Equity","SALES_REV_TURN","1993-06-18","2026-05-02","Per=Y","Days=T","Dir=V")</f>
        <v>0</v>
      </c>
      <c r="AA2">
        <f>BDH("PPIH US Equity","EBIT","1993-06-18","2026-05-02","Per=Y","Days=T","Dir=V")</f>
        <v>0</v>
      </c>
      <c r="AC2">
        <f>BDH("PPIH US Equity","EBITDA","1993-06-18","2026-05-02","Per=Y","Days=T","Dir=V")</f>
        <v>0</v>
      </c>
      <c r="AE2">
        <f>BDH("PPIH US Equity","NET_INCOME","1993-06-18","2026-05-02","Per=Y","Days=T","Dir=V")</f>
        <v>0</v>
      </c>
      <c r="AG2">
        <f>BDH("PPIH US Equity","IS_INT_EXPENSE","1993-06-18","2026-05-02","Per=Y","Days=T","Dir=V")</f>
        <v>0</v>
      </c>
      <c r="AI2">
        <f>BDH("PPIH US Equity","IS_DEPR_EXP","1993-06-18","2026-05-02","Per=Y","Days=T","Dir=V")</f>
        <v>0</v>
      </c>
      <c r="AK2">
        <f>BDH("PPIH US Equity","CF_CASH_FROM_OPER","1993-06-18","2026-05-02","Per=Y","Days=T","Dir=V")</f>
        <v>0</v>
      </c>
      <c r="AM2">
        <f>BDH("PPIH US Equity","CAPITAL_EXPEND","1993-06-18","2026-05-02","Per=Y","Days=T","Dir=V")</f>
        <v>0</v>
      </c>
      <c r="AO2">
        <f>BDH("PPIH US Equity","CF_FREE_CASH_FLOW","1993-06-18","2026-05-02","Per=Y","Days=T","Dir=V")</f>
        <v>0</v>
      </c>
      <c r="AQ2">
        <f>BDH("PPIH US Equity","PX_LAST","1993-06-18","2026-05-02","Per=M","Days=T","Dir=V")</f>
        <v>0</v>
      </c>
      <c r="AS2">
        <f>BDH("PPIH US Equity","CUR_MKT_CAP","1993-06-18","2026-05-02","Per=M","Days=T","Dir=V")</f>
        <v>0</v>
      </c>
      <c r="AU2">
        <f>BDH("PPIH US Equity","EQY_SH_OUT","1993-06-18","2026-05-02","Per=M","Days=T","Dir=V")</f>
        <v>0</v>
      </c>
      <c r="AW2">
        <f>BDH("PPIH US Equity","PX_VOLUME","1993-06-18","2026-05-02","Per=M","Days=T","Dir=V")</f>
        <v>0</v>
      </c>
      <c r="AY2">
        <f>BDH("PPIH US Equity","TURNOVER","1993-06-18","2026-05-02","Per=M","Days=T","Dir=V")</f>
        <v>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BDH("PPL US Equity","BS_TOT_ASSET","1993-06-18","2026-05-02","Per=Y","Days=T","Dir=V")</f>
        <v>0</v>
      </c>
      <c r="C2">
        <f>BDH("PPL US Equity","BS_TOT_LIAB2","1993-06-18","2026-05-02","Per=Y","Days=T","Dir=V")</f>
        <v>0</v>
      </c>
      <c r="E2">
        <f>BDH("PPL US Equity","SHORT_AND_LONG_TERM_DEBT","1993-06-18","2026-05-02","Per=Y","Days=T","Dir=V")</f>
        <v>0</v>
      </c>
      <c r="G2">
        <f>BDH("PPL US Equity","BS_ST_BORROW","1993-06-18","2026-05-02","Per=Y","Days=T","Dir=V")</f>
        <v>0</v>
      </c>
      <c r="I2">
        <f>BDH("PPL US Equity","BS_LT_BORROW","1993-06-18","2026-05-02","Per=Y","Days=T","Dir=V")</f>
        <v>0</v>
      </c>
      <c r="K2">
        <f>BDH("PPL US Equity","BS_CASH_NEAR_CASH_ITEM","1993-06-18","2026-05-02","Per=Y","Days=T","Dir=V")</f>
        <v>0</v>
      </c>
      <c r="M2">
        <f>BDH("PPL US Equity","BS_CUR_ASSET_REPORT","1993-06-18","2026-05-02","Per=Y","Days=T","Dir=V")</f>
        <v>0</v>
      </c>
      <c r="O2">
        <f>BDH("PPL US Equity","BS_CUR_LIAB","1993-06-18","2026-05-02","Per=Y","Days=T","Dir=V")</f>
        <v>0</v>
      </c>
      <c r="Q2">
        <f>BDH("PPL US Equity","BS_SHAREHOLDER_EQY_ENDING_PERIOD","1993-06-18","2026-05-02","Per=Y","Days=T","Dir=V")</f>
        <v>0</v>
      </c>
      <c r="S2">
        <f>BDH("PPL US Equity","BS_ACCT_NOTE_RCV","1993-06-18","2026-05-02","Per=Y","Days=T","Dir=V")</f>
        <v>0</v>
      </c>
      <c r="U2">
        <f>BDH("PPL US Equity","BS_INVENTORIES","1993-06-18","2026-05-02","Per=Y","Days=T","Dir=V")</f>
        <v>0</v>
      </c>
      <c r="W2">
        <f>BDH("PPL US Equity","WORKING_CAPITAL","1993-06-18","2026-05-02","Per=Y","Days=T","Dir=V")</f>
        <v>0</v>
      </c>
      <c r="Y2">
        <f>BDH("PPL US Equity","SALES_REV_TURN","1993-06-18","2026-05-02","Per=Y","Days=T","Dir=V")</f>
        <v>0</v>
      </c>
      <c r="AA2">
        <f>BDH("PPL US Equity","EBIT","1993-06-18","2026-05-02","Per=Y","Days=T","Dir=V")</f>
        <v>0</v>
      </c>
      <c r="AC2">
        <f>BDH("PPL US Equity","EBITDA","1993-06-18","2026-05-02","Per=Y","Days=T","Dir=V")</f>
        <v>0</v>
      </c>
      <c r="AE2">
        <f>BDH("PPL US Equity","NET_INCOME","1993-06-18","2026-05-02","Per=Y","Days=T","Dir=V")</f>
        <v>0</v>
      </c>
      <c r="AG2">
        <f>BDH("PPL US Equity","IS_INT_EXPENSE","1993-06-18","2026-05-02","Per=Y","Days=T","Dir=V")</f>
        <v>0</v>
      </c>
      <c r="AI2">
        <f>BDH("PPL US Equity","IS_DEPR_EXP","1993-06-18","2026-05-02","Per=Y","Days=T","Dir=V")</f>
        <v>0</v>
      </c>
      <c r="AK2">
        <f>BDH("PPL US Equity","CF_CASH_FROM_OPER","1993-06-18","2026-05-02","Per=Y","Days=T","Dir=V")</f>
        <v>0</v>
      </c>
      <c r="AM2">
        <f>BDH("PPL US Equity","CAPITAL_EXPEND","1993-06-18","2026-05-02","Per=Y","Days=T","Dir=V")</f>
        <v>0</v>
      </c>
      <c r="AO2">
        <f>BDH("PPL US Equity","CF_FREE_CASH_FLOW","1993-06-18","2026-05-02","Per=Y","Days=T","Dir=V")</f>
        <v>0</v>
      </c>
      <c r="AQ2">
        <f>BDH("PPL US Equity","PX_LAST","1993-06-18","2026-05-02","Per=M","Days=T","Dir=V")</f>
        <v>0</v>
      </c>
      <c r="AS2">
        <f>BDH("PPL US Equity","CUR_MKT_CAP","1993-06-18","2026-05-02","Per=M","Days=T","Dir=V")</f>
        <v>0</v>
      </c>
      <c r="AU2">
        <f>BDH("PPL US Equity","EQY_SH_OUT","1993-06-18","2026-05-02","Per=M","Days=T","Dir=V")</f>
        <v>0</v>
      </c>
      <c r="AW2">
        <f>BDH("PPL US Equity","PX_VOLUME","1993-06-18","2026-05-02","Per=M","Days=T","Dir=V")</f>
        <v>0</v>
      </c>
      <c r="AY2">
        <f>BDH("PPL US Equity","TURNOVER","1993-06-18","2026-05-02","Per=M","Days=T","Dir=V")</f>
        <v>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BDH("PPLC US Equity","BS_TOT_ASSET","1993-06-18","2026-05-02","Per=Y","Days=T","Dir=V")</f>
        <v>0</v>
      </c>
      <c r="C2">
        <f>BDH("PPLC US Equity","BS_TOT_LIAB2","1993-06-18","2026-05-02","Per=Y","Days=T","Dir=V")</f>
        <v>0</v>
      </c>
      <c r="E2">
        <f>BDH("PPLC US Equity","SHORT_AND_LONG_TERM_DEBT","1993-06-18","2026-05-02","Per=Y","Days=T","Dir=V")</f>
        <v>0</v>
      </c>
      <c r="G2">
        <f>BDH("PPLC US Equity","BS_ST_BORROW","1993-06-18","2026-05-02","Per=Y","Days=T","Dir=V")</f>
        <v>0</v>
      </c>
      <c r="I2">
        <f>BDH("PPLC US Equity","BS_LT_BORROW","1993-06-18","2026-05-02","Per=Y","Days=T","Dir=V")</f>
        <v>0</v>
      </c>
      <c r="K2">
        <f>BDH("PPLC US Equity","BS_CASH_NEAR_CASH_ITEM","1993-06-18","2026-05-02","Per=Y","Days=T","Dir=V")</f>
        <v>0</v>
      </c>
      <c r="M2">
        <f>BDH("PPLC US Equity","BS_CUR_ASSET_REPORT","1993-06-18","2026-05-02","Per=Y","Days=T","Dir=V")</f>
        <v>0</v>
      </c>
      <c r="O2">
        <f>BDH("PPLC US Equity","BS_CUR_LIAB","1993-06-18","2026-05-02","Per=Y","Days=T","Dir=V")</f>
        <v>0</v>
      </c>
      <c r="Q2">
        <f>BDH("PPLC US Equity","BS_SHAREHOLDER_EQY_ENDING_PERIOD","1993-06-18","2026-05-02","Per=Y","Days=T","Dir=V")</f>
        <v>0</v>
      </c>
      <c r="S2">
        <f>BDH("PPLC US Equity","BS_ACCT_NOTE_RCV","1993-06-18","2026-05-02","Per=Y","Days=T","Dir=V")</f>
        <v>0</v>
      </c>
      <c r="U2">
        <f>BDH("PPLC US Equity","BS_INVENTORIES","1993-06-18","2026-05-02","Per=Y","Days=T","Dir=V")</f>
        <v>0</v>
      </c>
      <c r="W2">
        <f>BDH("PPLC US Equity","WORKING_CAPITAL","1993-06-18","2026-05-02","Per=Y","Days=T","Dir=V")</f>
        <v>0</v>
      </c>
      <c r="Y2">
        <f>BDH("PPLC US Equity","SALES_REV_TURN","1993-06-18","2026-05-02","Per=Y","Days=T","Dir=V")</f>
        <v>0</v>
      </c>
      <c r="AA2">
        <f>BDH("PPLC US Equity","EBIT","1993-06-18","2026-05-02","Per=Y","Days=T","Dir=V")</f>
        <v>0</v>
      </c>
      <c r="AC2">
        <f>BDH("PPLC US Equity","EBITDA","1993-06-18","2026-05-02","Per=Y","Days=T","Dir=V")</f>
        <v>0</v>
      </c>
      <c r="AE2">
        <f>BDH("PPLC US Equity","NET_INCOME","1993-06-18","2026-05-02","Per=Y","Days=T","Dir=V")</f>
        <v>0</v>
      </c>
      <c r="AG2">
        <f>BDH("PPLC US Equity","IS_INT_EXPENSE","1993-06-18","2026-05-02","Per=Y","Days=T","Dir=V")</f>
        <v>0</v>
      </c>
      <c r="AI2">
        <f>BDH("PPLC US Equity","IS_DEPR_EXP","1993-06-18","2026-05-02","Per=Y","Days=T","Dir=V")</f>
        <v>0</v>
      </c>
      <c r="AK2">
        <f>BDH("PPLC US Equity","CF_CASH_FROM_OPER","1993-06-18","2026-05-02","Per=Y","Days=T","Dir=V")</f>
        <v>0</v>
      </c>
      <c r="AM2">
        <f>BDH("PPLC US Equity","CAPITAL_EXPEND","1993-06-18","2026-05-02","Per=Y","Days=T","Dir=V")</f>
        <v>0</v>
      </c>
      <c r="AO2">
        <f>BDH("PPLC US Equity","CF_FREE_CASH_FLOW","1993-06-18","2026-05-02","Per=Y","Days=T","Dir=V")</f>
        <v>0</v>
      </c>
      <c r="AQ2">
        <f>BDH("PPLC US Equity","PX_LAST","1993-06-18","2026-05-02","Per=M","Days=T","Dir=V")</f>
        <v>0</v>
      </c>
      <c r="AS2">
        <f>BDH("PPLC US Equity","CUR_MKT_CAP","1993-06-18","2026-05-02","Per=M","Days=T","Dir=V")</f>
        <v>0</v>
      </c>
      <c r="AU2">
        <f>BDH("PPLC US Equity","EQY_SH_OUT","1993-06-18","2026-05-02","Per=M","Days=T","Dir=V")</f>
        <v>0</v>
      </c>
      <c r="AW2">
        <f>BDH("PPLC US Equity","PX_VOLUME","1993-06-18","2026-05-02","Per=M","Days=T","Dir=V")</f>
        <v>0</v>
      </c>
      <c r="AY2">
        <f>BDH("PPLC US Equity","TURNOVER","1993-06-18","2026-05-02","Per=M","Days=T","Dir=V")</f>
        <v>0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BDH("PPLI US Equity","BS_TOT_ASSET","1993-06-18","2026-05-02","Per=Y","Days=T","Dir=V")</f>
        <v>0</v>
      </c>
      <c r="C2">
        <f>BDH("PPLI US Equity","BS_TOT_LIAB2","1993-06-18","2026-05-02","Per=Y","Days=T","Dir=V")</f>
        <v>0</v>
      </c>
      <c r="E2">
        <f>BDH("PPLI US Equity","SHORT_AND_LONG_TERM_DEBT","1993-06-18","2026-05-02","Per=Y","Days=T","Dir=V")</f>
        <v>0</v>
      </c>
      <c r="G2">
        <f>BDH("PPLI US Equity","BS_ST_BORROW","1993-06-18","2026-05-02","Per=Y","Days=T","Dir=V")</f>
        <v>0</v>
      </c>
      <c r="I2">
        <f>BDH("PPLI US Equity","BS_LT_BORROW","1993-06-18","2026-05-02","Per=Y","Days=T","Dir=V")</f>
        <v>0</v>
      </c>
      <c r="K2">
        <f>BDH("PPLI US Equity","BS_CASH_NEAR_CASH_ITEM","1993-06-18","2026-05-02","Per=Y","Days=T","Dir=V")</f>
        <v>0</v>
      </c>
      <c r="M2">
        <f>BDH("PPLI US Equity","BS_CUR_ASSET_REPORT","1993-06-18","2026-05-02","Per=Y","Days=T","Dir=V")</f>
        <v>0</v>
      </c>
      <c r="O2">
        <f>BDH("PPLI US Equity","BS_CUR_LIAB","1993-06-18","2026-05-02","Per=Y","Days=T","Dir=V")</f>
        <v>0</v>
      </c>
      <c r="Q2">
        <f>BDH("PPLI US Equity","BS_SHAREHOLDER_EQY_ENDING_PERIOD","1993-06-18","2026-05-02","Per=Y","Days=T","Dir=V")</f>
        <v>0</v>
      </c>
      <c r="S2">
        <f>BDH("PPLI US Equity","BS_ACCT_NOTE_RCV","1993-06-18","2026-05-02","Per=Y","Days=T","Dir=V")</f>
        <v>0</v>
      </c>
      <c r="U2">
        <f>BDH("PPLI US Equity","BS_INVENTORIES","1993-06-18","2026-05-02","Per=Y","Days=T","Dir=V")</f>
        <v>0</v>
      </c>
      <c r="W2">
        <f>BDH("PPLI US Equity","WORKING_CAPITAL","1993-06-18","2026-05-02","Per=Y","Days=T","Dir=V")</f>
        <v>0</v>
      </c>
      <c r="Y2">
        <f>BDH("PPLI US Equity","SALES_REV_TURN","1993-06-18","2026-05-02","Per=Y","Days=T","Dir=V")</f>
        <v>0</v>
      </c>
      <c r="AA2">
        <f>BDH("PPLI US Equity","EBIT","1993-06-18","2026-05-02","Per=Y","Days=T","Dir=V")</f>
        <v>0</v>
      </c>
      <c r="AC2">
        <f>BDH("PPLI US Equity","EBITDA","1993-06-18","2026-05-02","Per=Y","Days=T","Dir=V")</f>
        <v>0</v>
      </c>
      <c r="AE2">
        <f>BDH("PPLI US Equity","NET_INCOME","1993-06-18","2026-05-02","Per=Y","Days=T","Dir=V")</f>
        <v>0</v>
      </c>
      <c r="AG2">
        <f>BDH("PPLI US Equity","IS_INT_EXPENSE","1993-06-18","2026-05-02","Per=Y","Days=T","Dir=V")</f>
        <v>0</v>
      </c>
      <c r="AI2">
        <f>BDH("PPLI US Equity","IS_DEPR_EXP","1993-06-18","2026-05-02","Per=Y","Days=T","Dir=V")</f>
        <v>0</v>
      </c>
      <c r="AK2">
        <f>BDH("PPLI US Equity","CF_CASH_FROM_OPER","1993-06-18","2026-05-02","Per=Y","Days=T","Dir=V")</f>
        <v>0</v>
      </c>
      <c r="AM2">
        <f>BDH("PPLI US Equity","CAPITAL_EXPEND","1993-06-18","2026-05-02","Per=Y","Days=T","Dir=V")</f>
        <v>0</v>
      </c>
      <c r="AO2">
        <f>BDH("PPLI US Equity","CF_FREE_CASH_FLOW","1993-06-18","2026-05-02","Per=Y","Days=T","Dir=V")</f>
        <v>0</v>
      </c>
      <c r="AQ2">
        <f>BDH("PPLI US Equity","PX_LAST","1993-06-18","2026-05-02","Per=M","Days=T","Dir=V")</f>
        <v>0</v>
      </c>
      <c r="AS2">
        <f>BDH("PPLI US Equity","CUR_MKT_CAP","1993-06-18","2026-05-02","Per=M","Days=T","Dir=V")</f>
        <v>0</v>
      </c>
      <c r="AU2">
        <f>BDH("PPLI US Equity","EQY_SH_OUT","1993-06-18","2026-05-02","Per=M","Days=T","Dir=V")</f>
        <v>0</v>
      </c>
      <c r="AW2">
        <f>BDH("PPLI US Equity","PX_VOLUME","1993-06-18","2026-05-02","Per=M","Days=T","Dir=V")</f>
        <v>0</v>
      </c>
      <c r="AY2">
        <f>BDH("PPLI US Equity","TURNOVER","1993-06-18","2026-05-02","Per=M","Days=T","Dir=V")</f>
        <v>0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 US Equity","BS_TOT_ASSET","1993-06-18","2026-05-02","Per=Y","Days=T","Dir=V")</f>
        <v>0</v>
      </c>
      <c r="C2">
        <f>BDH("PR US Equity","BS_TOT_LIAB2","1993-06-18","2026-05-02","Per=Y","Days=T","Dir=V")</f>
        <v>0</v>
      </c>
      <c r="E2">
        <f>BDH("PR US Equity","SHORT_AND_LONG_TERM_DEBT","1993-06-18","2026-05-02","Per=Y","Days=T","Dir=V")</f>
        <v>0</v>
      </c>
      <c r="G2">
        <f>BDH("PR US Equity","BS_ST_BORROW","1993-06-18","2026-05-02","Per=Y","Days=T","Dir=V")</f>
        <v>0</v>
      </c>
      <c r="I2">
        <f>BDH("PR US Equity","BS_LT_BORROW","1993-06-18","2026-05-02","Per=Y","Days=T","Dir=V")</f>
        <v>0</v>
      </c>
      <c r="K2">
        <f>BDH("PR US Equity","BS_CASH_NEAR_CASH_ITEM","1993-06-18","2026-05-02","Per=Y","Days=T","Dir=V")</f>
        <v>0</v>
      </c>
      <c r="M2">
        <f>BDH("PR US Equity","BS_CUR_ASSET_REPORT","1993-06-18","2026-05-02","Per=Y","Days=T","Dir=V")</f>
        <v>0</v>
      </c>
      <c r="O2">
        <f>BDH("PR US Equity","BS_CUR_LIAB","1993-06-18","2026-05-02","Per=Y","Days=T","Dir=V")</f>
        <v>0</v>
      </c>
      <c r="Q2">
        <f>BDH("PR US Equity","BS_SHAREHOLDER_EQY_ENDING_PERIOD","1993-06-18","2026-05-02","Per=Y","Days=T","Dir=V")</f>
        <v>0</v>
      </c>
      <c r="S2">
        <f>BDH("PR US Equity","BS_ACCT_NOTE_RCV","1993-06-18","2026-05-02","Per=Y","Days=T","Dir=V")</f>
        <v>0</v>
      </c>
      <c r="U2">
        <f>BDH("PR US Equity","BS_INVENTORIES","1993-06-18","2026-05-02","Per=Y","Days=T","Dir=V")</f>
        <v>0</v>
      </c>
      <c r="W2">
        <f>BDH("PR US Equity","WORKING_CAPITAL","1993-06-18","2026-05-02","Per=Y","Days=T","Dir=V")</f>
        <v>0</v>
      </c>
      <c r="Y2">
        <f>BDH("PR US Equity","SALES_REV_TURN","1993-06-18","2026-05-02","Per=Y","Days=T","Dir=V")</f>
        <v>0</v>
      </c>
      <c r="AA2">
        <f>BDH("PR US Equity","EBIT","1993-06-18","2026-05-02","Per=Y","Days=T","Dir=V")</f>
        <v>0</v>
      </c>
      <c r="AC2">
        <f>BDH("PR US Equity","EBITDA","1993-06-18","2026-05-02","Per=Y","Days=T","Dir=V")</f>
        <v>0</v>
      </c>
      <c r="AE2">
        <f>BDH("PR US Equity","NET_INCOME","1993-06-18","2026-05-02","Per=Y","Days=T","Dir=V")</f>
        <v>0</v>
      </c>
      <c r="AG2">
        <f>BDH("PR US Equity","IS_INT_EXPENSE","1993-06-18","2026-05-02","Per=Y","Days=T","Dir=V")</f>
        <v>0</v>
      </c>
      <c r="AI2">
        <f>BDH("PR US Equity","IS_DEPR_EXP","1993-06-18","2026-05-02","Per=Y","Days=T","Dir=V")</f>
        <v>0</v>
      </c>
      <c r="AK2">
        <f>BDH("PR US Equity","CF_CASH_FROM_OPER","1993-06-18","2026-05-02","Per=Y","Days=T","Dir=V")</f>
        <v>0</v>
      </c>
      <c r="AM2">
        <f>BDH("PR US Equity","CAPITAL_EXPEND","1993-06-18","2026-05-02","Per=Y","Days=T","Dir=V")</f>
        <v>0</v>
      </c>
      <c r="AO2">
        <f>BDH("PR US Equity","CF_FREE_CASH_FLOW","1993-06-18","2026-05-02","Per=Y","Days=T","Dir=V")</f>
        <v>0</v>
      </c>
      <c r="AQ2">
        <f>BDH("PR US Equity","PX_LAST","1993-06-18","2026-05-02","Per=M","Days=T","Dir=V")</f>
        <v>0</v>
      </c>
      <c r="AS2">
        <f>BDH("PR US Equity","CUR_MKT_CAP","1993-06-18","2026-05-02","Per=M","Days=T","Dir=V")</f>
        <v>0</v>
      </c>
      <c r="AU2">
        <f>BDH("PR US Equity","EQY_SH_OUT","1993-06-18","2026-05-02","Per=M","Days=T","Dir=V")</f>
        <v>0</v>
      </c>
      <c r="AW2">
        <f>BDH("PR US Equity","PX_VOLUME","1993-06-18","2026-05-02","Per=M","Days=T","Dir=V")</f>
        <v>0</v>
      </c>
      <c r="AY2">
        <f>BDH("PR US Equity","TURNOVER","1993-06-18","2026-05-02","Per=M","Days=T","Dir=V")</f>
        <v>0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BDH("PRAX US Equity","BS_TOT_ASSET","1993-06-18","2026-05-02","Per=Y","Days=T","Dir=V")</f>
        <v>0</v>
      </c>
      <c r="C2">
        <f>BDH("PRAX US Equity","BS_TOT_LIAB2","1993-06-18","2026-05-02","Per=Y","Days=T","Dir=V")</f>
        <v>0</v>
      </c>
      <c r="E2">
        <f>BDH("PRAX US Equity","SHORT_AND_LONG_TERM_DEBT","1993-06-18","2026-05-02","Per=Y","Days=T","Dir=V")</f>
        <v>0</v>
      </c>
      <c r="G2">
        <f>BDH("PRAX US Equity","BS_ST_BORROW","1993-06-18","2026-05-02","Per=Y","Days=T","Dir=V")</f>
        <v>0</v>
      </c>
      <c r="I2">
        <f>BDH("PRAX US Equity","BS_LT_BORROW","1993-06-18","2026-05-02","Per=Y","Days=T","Dir=V")</f>
        <v>0</v>
      </c>
      <c r="K2">
        <f>BDH("PRAX US Equity","BS_CASH_NEAR_CASH_ITEM","1993-06-18","2026-05-02","Per=Y","Days=T","Dir=V")</f>
        <v>0</v>
      </c>
      <c r="M2">
        <f>BDH("PRAX US Equity","BS_CUR_ASSET_REPORT","1993-06-18","2026-05-02","Per=Y","Days=T","Dir=V")</f>
        <v>0</v>
      </c>
      <c r="O2">
        <f>BDH("PRAX US Equity","BS_CUR_LIAB","1993-06-18","2026-05-02","Per=Y","Days=T","Dir=V")</f>
        <v>0</v>
      </c>
      <c r="Q2">
        <f>BDH("PRAX US Equity","BS_SHAREHOLDER_EQY_ENDING_PERIOD","1993-06-18","2026-05-02","Per=Y","Days=T","Dir=V")</f>
        <v>0</v>
      </c>
      <c r="S2">
        <f>BDH("PRAX US Equity","BS_ACCT_NOTE_RCV","1993-06-18","2026-05-02","Per=Y","Days=T","Dir=V")</f>
        <v>0</v>
      </c>
      <c r="U2">
        <f>BDH("PRAX US Equity","BS_INVENTORIES","1993-06-18","2026-05-02","Per=Y","Days=T","Dir=V")</f>
        <v>0</v>
      </c>
      <c r="W2">
        <f>BDH("PRAX US Equity","WORKING_CAPITAL","1993-06-18","2026-05-02","Per=Y","Days=T","Dir=V")</f>
        <v>0</v>
      </c>
      <c r="Y2">
        <f>BDH("PRAX US Equity","SALES_REV_TURN","1993-06-18","2026-05-02","Per=Y","Days=T","Dir=V")</f>
        <v>0</v>
      </c>
      <c r="AA2">
        <f>BDH("PRAX US Equity","EBIT","1993-06-18","2026-05-02","Per=Y","Days=T","Dir=V")</f>
        <v>0</v>
      </c>
      <c r="AC2">
        <f>BDH("PRAX US Equity","EBITDA","1993-06-18","2026-05-02","Per=Y","Days=T","Dir=V")</f>
        <v>0</v>
      </c>
      <c r="AE2">
        <f>BDH("PRAX US Equity","NET_INCOME","1993-06-18","2026-05-02","Per=Y","Days=T","Dir=V")</f>
        <v>0</v>
      </c>
      <c r="AG2">
        <f>BDH("PRAX US Equity","IS_INT_EXPENSE","1993-06-18","2026-05-02","Per=Y","Days=T","Dir=V")</f>
        <v>0</v>
      </c>
      <c r="AI2">
        <f>BDH("PRAX US Equity","IS_DEPR_EXP","1993-06-18","2026-05-02","Per=Y","Days=T","Dir=V")</f>
        <v>0</v>
      </c>
      <c r="AK2">
        <f>BDH("PRAX US Equity","CF_CASH_FROM_OPER","1993-06-18","2026-05-02","Per=Y","Days=T","Dir=V")</f>
        <v>0</v>
      </c>
      <c r="AM2">
        <f>BDH("PRAX US Equity","CAPITAL_EXPEND","1993-06-18","2026-05-02","Per=Y","Days=T","Dir=V")</f>
        <v>0</v>
      </c>
      <c r="AO2">
        <f>BDH("PRAX US Equity","CF_FREE_CASH_FLOW","1993-06-18","2026-05-02","Per=Y","Days=T","Dir=V")</f>
        <v>0</v>
      </c>
      <c r="AQ2">
        <f>BDH("PRAX US Equity","PX_LAST","1993-06-18","2026-05-02","Per=M","Days=T","Dir=V")</f>
        <v>0</v>
      </c>
      <c r="AS2">
        <f>BDH("PRAX US Equity","CUR_MKT_CAP","1993-06-18","2026-05-02","Per=M","Days=T","Dir=V")</f>
        <v>0</v>
      </c>
      <c r="AU2">
        <f>BDH("PRAX US Equity","EQY_SH_OUT","1993-06-18","2026-05-02","Per=M","Days=T","Dir=V")</f>
        <v>0</v>
      </c>
      <c r="AW2">
        <f>BDH("PRAX US Equity","PX_VOLUME","1993-06-18","2026-05-02","Per=M","Days=T","Dir=V")</f>
        <v>0</v>
      </c>
      <c r="AY2">
        <f>BDH("PRAX US Equity","TURNOVER","1993-06-18","2026-05-02","Per=M","Days=T","Dir=V")</f>
        <v>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BDH("PRCH US Equity","BS_TOT_ASSET","1993-06-18","2026-05-02","Per=Y","Days=T","Dir=V")</f>
        <v>0</v>
      </c>
      <c r="C2">
        <f>BDH("PRCH US Equity","BS_TOT_LIAB2","1993-06-18","2026-05-02","Per=Y","Days=T","Dir=V")</f>
        <v>0</v>
      </c>
      <c r="E2">
        <f>BDH("PRCH US Equity","SHORT_AND_LONG_TERM_DEBT","1993-06-18","2026-05-02","Per=Y","Days=T","Dir=V")</f>
        <v>0</v>
      </c>
      <c r="G2">
        <f>BDH("PRCH US Equity","BS_ST_BORROW","1993-06-18","2026-05-02","Per=Y","Days=T","Dir=V")</f>
        <v>0</v>
      </c>
      <c r="I2">
        <f>BDH("PRCH US Equity","BS_LT_BORROW","1993-06-18","2026-05-02","Per=Y","Days=T","Dir=V")</f>
        <v>0</v>
      </c>
      <c r="K2">
        <f>BDH("PRCH US Equity","BS_CASH_NEAR_CASH_ITEM","1993-06-18","2026-05-02","Per=Y","Days=T","Dir=V")</f>
        <v>0</v>
      </c>
      <c r="M2">
        <f>BDH("PRCH US Equity","BS_CUR_ASSET_REPORT","1993-06-18","2026-05-02","Per=Y","Days=T","Dir=V")</f>
        <v>0</v>
      </c>
      <c r="O2">
        <f>BDH("PRCH US Equity","BS_CUR_LIAB","1993-06-18","2026-05-02","Per=Y","Days=T","Dir=V")</f>
        <v>0</v>
      </c>
      <c r="Q2">
        <f>BDH("PRCH US Equity","BS_SHAREHOLDER_EQY_ENDING_PERIOD","1993-06-18","2026-05-02","Per=Y","Days=T","Dir=V")</f>
        <v>0</v>
      </c>
      <c r="S2">
        <f>BDH("PRCH US Equity","BS_ACCT_NOTE_RCV","1993-06-18","2026-05-02","Per=Y","Days=T","Dir=V")</f>
        <v>0</v>
      </c>
      <c r="U2">
        <f>BDH("PRCH US Equity","BS_INVENTORIES","1993-06-18","2026-05-02","Per=Y","Days=T","Dir=V")</f>
        <v>0</v>
      </c>
      <c r="W2">
        <f>BDH("PRCH US Equity","WORKING_CAPITAL","1993-06-18","2026-05-02","Per=Y","Days=T","Dir=V")</f>
        <v>0</v>
      </c>
      <c r="Y2">
        <f>BDH("PRCH US Equity","SALES_REV_TURN","1993-06-18","2026-05-02","Per=Y","Days=T","Dir=V")</f>
        <v>0</v>
      </c>
      <c r="AA2">
        <f>BDH("PRCH US Equity","EBIT","1993-06-18","2026-05-02","Per=Y","Days=T","Dir=V")</f>
        <v>0</v>
      </c>
      <c r="AC2">
        <f>BDH("PRCH US Equity","EBITDA","1993-06-18","2026-05-02","Per=Y","Days=T","Dir=V")</f>
        <v>0</v>
      </c>
      <c r="AE2">
        <f>BDH("PRCH US Equity","NET_INCOME","1993-06-18","2026-05-02","Per=Y","Days=T","Dir=V")</f>
        <v>0</v>
      </c>
      <c r="AG2">
        <f>BDH("PRCH US Equity","IS_INT_EXPENSE","1993-06-18","2026-05-02","Per=Y","Days=T","Dir=V")</f>
        <v>0</v>
      </c>
      <c r="AI2">
        <f>BDH("PRCH US Equity","IS_DEPR_EXP","1993-06-18","2026-05-02","Per=Y","Days=T","Dir=V")</f>
        <v>0</v>
      </c>
      <c r="AK2">
        <f>BDH("PRCH US Equity","CF_CASH_FROM_OPER","1993-06-18","2026-05-02","Per=Y","Days=T","Dir=V")</f>
        <v>0</v>
      </c>
      <c r="AM2">
        <f>BDH("PRCH US Equity","CAPITAL_EXPEND","1993-06-18","2026-05-02","Per=Y","Days=T","Dir=V")</f>
        <v>0</v>
      </c>
      <c r="AO2">
        <f>BDH("PRCH US Equity","CF_FREE_CASH_FLOW","1993-06-18","2026-05-02","Per=Y","Days=T","Dir=V")</f>
        <v>0</v>
      </c>
      <c r="AQ2">
        <f>BDH("PRCH US Equity","PX_LAST","1993-06-18","2026-05-02","Per=M","Days=T","Dir=V")</f>
        <v>0</v>
      </c>
      <c r="AS2">
        <f>BDH("PRCH US Equity","CUR_MKT_CAP","1993-06-18","2026-05-02","Per=M","Days=T","Dir=V")</f>
        <v>0</v>
      </c>
      <c r="AU2">
        <f>BDH("PRCH US Equity","EQY_SH_OUT","1993-06-18","2026-05-02","Per=M","Days=T","Dir=V")</f>
        <v>0</v>
      </c>
      <c r="AW2">
        <f>BDH("PRCH US Equity","PX_VOLUME","1993-06-18","2026-05-02","Per=M","Days=T","Dir=V")</f>
        <v>0</v>
      </c>
      <c r="AY2">
        <f>BDH("PRCH US Equity","TURNOVER","1993-06-18","2026-05-02","Per=M","Days=T","Dir=V")</f>
        <v>0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BDH("PRCT US Equity","BS_TOT_ASSET","1993-06-18","2026-05-02","Per=Y","Days=T","Dir=V")</f>
        <v>0</v>
      </c>
      <c r="C2">
        <f>BDH("PRCT US Equity","BS_TOT_LIAB2","1993-06-18","2026-05-02","Per=Y","Days=T","Dir=V")</f>
        <v>0</v>
      </c>
      <c r="E2">
        <f>BDH("PRCT US Equity","SHORT_AND_LONG_TERM_DEBT","1993-06-18","2026-05-02","Per=Y","Days=T","Dir=V")</f>
        <v>0</v>
      </c>
      <c r="G2">
        <f>BDH("PRCT US Equity","BS_ST_BORROW","1993-06-18","2026-05-02","Per=Y","Days=T","Dir=V")</f>
        <v>0</v>
      </c>
      <c r="I2">
        <f>BDH("PRCT US Equity","BS_LT_BORROW","1993-06-18","2026-05-02","Per=Y","Days=T","Dir=V")</f>
        <v>0</v>
      </c>
      <c r="K2">
        <f>BDH("PRCT US Equity","BS_CASH_NEAR_CASH_ITEM","1993-06-18","2026-05-02","Per=Y","Days=T","Dir=V")</f>
        <v>0</v>
      </c>
      <c r="M2">
        <f>BDH("PRCT US Equity","BS_CUR_ASSET_REPORT","1993-06-18","2026-05-02","Per=Y","Days=T","Dir=V")</f>
        <v>0</v>
      </c>
      <c r="O2">
        <f>BDH("PRCT US Equity","BS_CUR_LIAB","1993-06-18","2026-05-02","Per=Y","Days=T","Dir=V")</f>
        <v>0</v>
      </c>
      <c r="Q2">
        <f>BDH("PRCT US Equity","BS_SHAREHOLDER_EQY_ENDING_PERIOD","1993-06-18","2026-05-02","Per=Y","Days=T","Dir=V")</f>
        <v>0</v>
      </c>
      <c r="S2">
        <f>BDH("PRCT US Equity","BS_ACCT_NOTE_RCV","1993-06-18","2026-05-02","Per=Y","Days=T","Dir=V")</f>
        <v>0</v>
      </c>
      <c r="U2">
        <f>BDH("PRCT US Equity","BS_INVENTORIES","1993-06-18","2026-05-02","Per=Y","Days=T","Dir=V")</f>
        <v>0</v>
      </c>
      <c r="W2">
        <f>BDH("PRCT US Equity","WORKING_CAPITAL","1993-06-18","2026-05-02","Per=Y","Days=T","Dir=V")</f>
        <v>0</v>
      </c>
      <c r="Y2">
        <f>BDH("PRCT US Equity","SALES_REV_TURN","1993-06-18","2026-05-02","Per=Y","Days=T","Dir=V")</f>
        <v>0</v>
      </c>
      <c r="AA2">
        <f>BDH("PRCT US Equity","EBIT","1993-06-18","2026-05-02","Per=Y","Days=T","Dir=V")</f>
        <v>0</v>
      </c>
      <c r="AC2">
        <f>BDH("PRCT US Equity","EBITDA","1993-06-18","2026-05-02","Per=Y","Days=T","Dir=V")</f>
        <v>0</v>
      </c>
      <c r="AE2">
        <f>BDH("PRCT US Equity","NET_INCOME","1993-06-18","2026-05-02","Per=Y","Days=T","Dir=V")</f>
        <v>0</v>
      </c>
      <c r="AG2">
        <f>BDH("PRCT US Equity","IS_INT_EXPENSE","1993-06-18","2026-05-02","Per=Y","Days=T","Dir=V")</f>
        <v>0</v>
      </c>
      <c r="AI2">
        <f>BDH("PRCT US Equity","IS_DEPR_EXP","1993-06-18","2026-05-02","Per=Y","Days=T","Dir=V")</f>
        <v>0</v>
      </c>
      <c r="AK2">
        <f>BDH("PRCT US Equity","CF_CASH_FROM_OPER","1993-06-18","2026-05-02","Per=Y","Days=T","Dir=V")</f>
        <v>0</v>
      </c>
      <c r="AM2">
        <f>BDH("PRCT US Equity","CAPITAL_EXPEND","1993-06-18","2026-05-02","Per=Y","Days=T","Dir=V")</f>
        <v>0</v>
      </c>
      <c r="AO2">
        <f>BDH("PRCT US Equity","CF_FREE_CASH_FLOW","1993-06-18","2026-05-02","Per=Y","Days=T","Dir=V")</f>
        <v>0</v>
      </c>
      <c r="AQ2">
        <f>BDH("PRCT US Equity","PX_LAST","1993-06-18","2026-05-02","Per=M","Days=T","Dir=V")</f>
        <v>0</v>
      </c>
      <c r="AS2">
        <f>BDH("PRCT US Equity","CUR_MKT_CAP","1993-06-18","2026-05-02","Per=M","Days=T","Dir=V")</f>
        <v>0</v>
      </c>
      <c r="AU2">
        <f>BDH("PRCT US Equity","EQY_SH_OUT","1993-06-18","2026-05-02","Per=M","Days=T","Dir=V")</f>
        <v>0</v>
      </c>
      <c r="AW2">
        <f>BDH("PRCT US Equity","PX_VOLUME","1993-06-18","2026-05-02","Per=M","Days=T","Dir=V")</f>
        <v>0</v>
      </c>
      <c r="AY2">
        <f>BDH("PRCT US Equity","TURNOVER","1993-06-18","2026-05-02","Per=M","Days=T","Dir=V")</f>
        <v>0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BDH("PRG US Equity","BS_TOT_ASSET","1993-06-18","2026-05-02","Per=Y","Days=T","Dir=V")</f>
        <v>0</v>
      </c>
      <c r="C2">
        <f>BDH("PRG US Equity","BS_TOT_LIAB2","1993-06-18","2026-05-02","Per=Y","Days=T","Dir=V")</f>
        <v>0</v>
      </c>
      <c r="E2">
        <f>BDH("PRG US Equity","SHORT_AND_LONG_TERM_DEBT","1993-06-18","2026-05-02","Per=Y","Days=T","Dir=V")</f>
        <v>0</v>
      </c>
      <c r="G2">
        <f>BDH("PRG US Equity","BS_ST_BORROW","1993-06-18","2026-05-02","Per=Y","Days=T","Dir=V")</f>
        <v>0</v>
      </c>
      <c r="I2">
        <f>BDH("PRG US Equity","BS_LT_BORROW","1993-06-18","2026-05-02","Per=Y","Days=T","Dir=V")</f>
        <v>0</v>
      </c>
      <c r="K2">
        <f>BDH("PRG US Equity","BS_CASH_NEAR_CASH_ITEM","1993-06-18","2026-05-02","Per=Y","Days=T","Dir=V")</f>
        <v>0</v>
      </c>
      <c r="M2">
        <f>BDH("PRG US Equity","BS_CUR_ASSET_REPORT","1993-06-18","2026-05-02","Per=Y","Days=T","Dir=V")</f>
        <v>0</v>
      </c>
      <c r="O2">
        <f>BDH("PRG US Equity","BS_CUR_LIAB","1993-06-18","2026-05-02","Per=Y","Days=T","Dir=V")</f>
        <v>0</v>
      </c>
      <c r="Q2">
        <f>BDH("PRG US Equity","BS_SHAREHOLDER_EQY_ENDING_PERIOD","1993-06-18","2026-05-02","Per=Y","Days=T","Dir=V")</f>
        <v>0</v>
      </c>
      <c r="S2">
        <f>BDH("PRG US Equity","BS_ACCT_NOTE_RCV","1993-06-18","2026-05-02","Per=Y","Days=T","Dir=V")</f>
        <v>0</v>
      </c>
      <c r="U2">
        <f>BDH("PRG US Equity","BS_INVENTORIES","1993-06-18","2026-05-02","Per=Y","Days=T","Dir=V")</f>
        <v>0</v>
      </c>
      <c r="W2">
        <f>BDH("PRG US Equity","WORKING_CAPITAL","1993-06-18","2026-05-02","Per=Y","Days=T","Dir=V")</f>
        <v>0</v>
      </c>
      <c r="Y2">
        <f>BDH("PRG US Equity","SALES_REV_TURN","1993-06-18","2026-05-02","Per=Y","Days=T","Dir=V")</f>
        <v>0</v>
      </c>
      <c r="AA2">
        <f>BDH("PRG US Equity","EBIT","1993-06-18","2026-05-02","Per=Y","Days=T","Dir=V")</f>
        <v>0</v>
      </c>
      <c r="AC2">
        <f>BDH("PRG US Equity","EBITDA","1993-06-18","2026-05-02","Per=Y","Days=T","Dir=V")</f>
        <v>0</v>
      </c>
      <c r="AE2">
        <f>BDH("PRG US Equity","NET_INCOME","1993-06-18","2026-05-02","Per=Y","Days=T","Dir=V")</f>
        <v>0</v>
      </c>
      <c r="AG2">
        <f>BDH("PRG US Equity","IS_INT_EXPENSE","1993-06-18","2026-05-02","Per=Y","Days=T","Dir=V")</f>
        <v>0</v>
      </c>
      <c r="AI2">
        <f>BDH("PRG US Equity","IS_DEPR_EXP","1993-06-18","2026-05-02","Per=Y","Days=T","Dir=V")</f>
        <v>0</v>
      </c>
      <c r="AK2">
        <f>BDH("PRG US Equity","CF_CASH_FROM_OPER","1993-06-18","2026-05-02","Per=Y","Days=T","Dir=V")</f>
        <v>0</v>
      </c>
      <c r="AM2">
        <f>BDH("PRG US Equity","CAPITAL_EXPEND","1993-06-18","2026-05-02","Per=Y","Days=T","Dir=V")</f>
        <v>0</v>
      </c>
      <c r="AO2">
        <f>BDH("PRG US Equity","CF_FREE_CASH_FLOW","1993-06-18","2026-05-02","Per=Y","Days=T","Dir=V")</f>
        <v>0</v>
      </c>
      <c r="AQ2">
        <f>BDH("PRG US Equity","PX_LAST","1993-06-18","2026-05-02","Per=M","Days=T","Dir=V")</f>
        <v>0</v>
      </c>
      <c r="AS2">
        <f>BDH("PRG US Equity","CUR_MKT_CAP","1993-06-18","2026-05-02","Per=M","Days=T","Dir=V")</f>
        <v>0</v>
      </c>
      <c r="AU2">
        <f>BDH("PRG US Equity","EQY_SH_OUT","1993-06-18","2026-05-02","Per=M","Days=T","Dir=V")</f>
        <v>0</v>
      </c>
      <c r="AW2">
        <f>BDH("PRG US Equity","PX_VOLUME","1993-06-18","2026-05-02","Per=M","Days=T","Dir=V")</f>
        <v>0</v>
      </c>
      <c r="AY2">
        <f>BDH("PRG US Equity","TURNOVER","1993-06-18","2026-05-02","Per=M","Days=T","Dir=V")</f>
        <v>0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BDH("PRGO US Equity","BS_TOT_ASSET","1993-06-18","2026-05-02","Per=Y","Days=T","Dir=V")</f>
        <v>0</v>
      </c>
      <c r="C2">
        <f>BDH("PRGO US Equity","BS_TOT_LIAB2","1993-06-18","2026-05-02","Per=Y","Days=T","Dir=V")</f>
        <v>0</v>
      </c>
      <c r="E2">
        <f>BDH("PRGO US Equity","SHORT_AND_LONG_TERM_DEBT","1993-06-18","2026-05-02","Per=Y","Days=T","Dir=V")</f>
        <v>0</v>
      </c>
      <c r="G2">
        <f>BDH("PRGO US Equity","BS_ST_BORROW","1993-06-18","2026-05-02","Per=Y","Days=T","Dir=V")</f>
        <v>0</v>
      </c>
      <c r="I2">
        <f>BDH("PRGO US Equity","BS_LT_BORROW","1993-06-18","2026-05-02","Per=Y","Days=T","Dir=V")</f>
        <v>0</v>
      </c>
      <c r="K2">
        <f>BDH("PRGO US Equity","BS_CASH_NEAR_CASH_ITEM","1993-06-18","2026-05-02","Per=Y","Days=T","Dir=V")</f>
        <v>0</v>
      </c>
      <c r="M2">
        <f>BDH("PRGO US Equity","BS_CUR_ASSET_REPORT","1993-06-18","2026-05-02","Per=Y","Days=T","Dir=V")</f>
        <v>0</v>
      </c>
      <c r="O2">
        <f>BDH("PRGO US Equity","BS_CUR_LIAB","1993-06-18","2026-05-02","Per=Y","Days=T","Dir=V")</f>
        <v>0</v>
      </c>
      <c r="Q2">
        <f>BDH("PRGO US Equity","BS_SHAREHOLDER_EQY_ENDING_PERIOD","1993-06-18","2026-05-02","Per=Y","Days=T","Dir=V")</f>
        <v>0</v>
      </c>
      <c r="S2">
        <f>BDH("PRGO US Equity","BS_ACCT_NOTE_RCV","1993-06-18","2026-05-02","Per=Y","Days=T","Dir=V")</f>
        <v>0</v>
      </c>
      <c r="U2">
        <f>BDH("PRGO US Equity","BS_INVENTORIES","1993-06-18","2026-05-02","Per=Y","Days=T","Dir=V")</f>
        <v>0</v>
      </c>
      <c r="W2">
        <f>BDH("PRGO US Equity","WORKING_CAPITAL","1993-06-18","2026-05-02","Per=Y","Days=T","Dir=V")</f>
        <v>0</v>
      </c>
      <c r="Y2">
        <f>BDH("PRGO US Equity","SALES_REV_TURN","1993-06-18","2026-05-02","Per=Y","Days=T","Dir=V")</f>
        <v>0</v>
      </c>
      <c r="AA2">
        <f>BDH("PRGO US Equity","EBIT","1993-06-18","2026-05-02","Per=Y","Days=T","Dir=V")</f>
        <v>0</v>
      </c>
      <c r="AC2">
        <f>BDH("PRGO US Equity","EBITDA","1993-06-18","2026-05-02","Per=Y","Days=T","Dir=V")</f>
        <v>0</v>
      </c>
      <c r="AE2">
        <f>BDH("PRGO US Equity","NET_INCOME","1993-06-18","2026-05-02","Per=Y","Days=T","Dir=V")</f>
        <v>0</v>
      </c>
      <c r="AG2">
        <f>BDH("PRGO US Equity","IS_INT_EXPENSE","1993-06-18","2026-05-02","Per=Y","Days=T","Dir=V")</f>
        <v>0</v>
      </c>
      <c r="AI2">
        <f>BDH("PRGO US Equity","IS_DEPR_EXP","1993-06-18","2026-05-02","Per=Y","Days=T","Dir=V")</f>
        <v>0</v>
      </c>
      <c r="AK2">
        <f>BDH("PRGO US Equity","CF_CASH_FROM_OPER","1993-06-18","2026-05-02","Per=Y","Days=T","Dir=V")</f>
        <v>0</v>
      </c>
      <c r="AM2">
        <f>BDH("PRGO US Equity","CAPITAL_EXPEND","1993-06-18","2026-05-02","Per=Y","Days=T","Dir=V")</f>
        <v>0</v>
      </c>
      <c r="AO2">
        <f>BDH("PRGO US Equity","CF_FREE_CASH_FLOW","1993-06-18","2026-05-02","Per=Y","Days=T","Dir=V")</f>
        <v>0</v>
      </c>
      <c r="AQ2">
        <f>BDH("PRGO US Equity","PX_LAST","1993-06-18","2026-05-02","Per=M","Days=T","Dir=V")</f>
        <v>0</v>
      </c>
      <c r="AS2">
        <f>BDH("PRGO US Equity","CUR_MKT_CAP","1993-06-18","2026-05-02","Per=M","Days=T","Dir=V")</f>
        <v>0</v>
      </c>
      <c r="AU2">
        <f>BDH("PRGO US Equity","EQY_SH_OUT","1993-06-18","2026-05-02","Per=M","Days=T","Dir=V")</f>
        <v>0</v>
      </c>
      <c r="AW2">
        <f>BDH("PRGO US Equity","PX_VOLUME","1993-06-18","2026-05-02","Per=M","Days=T","Dir=V")</f>
        <v>0</v>
      </c>
      <c r="AY2">
        <f>BDH("PRGO US Equity","TURNOVER","1993-06-18","2026-05-02","Per=M","Days=T","Dir=V")</f>
        <v>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BDH("PRGS US Equity","BS_TOT_ASSET","1993-06-18","2026-05-02","Per=Y","Days=T","Dir=V")</f>
        <v>0</v>
      </c>
      <c r="C2">
        <f>BDH("PRGS US Equity","BS_TOT_LIAB2","1993-06-18","2026-05-02","Per=Y","Days=T","Dir=V")</f>
        <v>0</v>
      </c>
      <c r="E2">
        <f>BDH("PRGS US Equity","SHORT_AND_LONG_TERM_DEBT","1993-06-18","2026-05-02","Per=Y","Days=T","Dir=V")</f>
        <v>0</v>
      </c>
      <c r="G2">
        <f>BDH("PRGS US Equity","BS_ST_BORROW","1993-06-18","2026-05-02","Per=Y","Days=T","Dir=V")</f>
        <v>0</v>
      </c>
      <c r="I2">
        <f>BDH("PRGS US Equity","BS_LT_BORROW","1993-06-18","2026-05-02","Per=Y","Days=T","Dir=V")</f>
        <v>0</v>
      </c>
      <c r="K2">
        <f>BDH("PRGS US Equity","BS_CASH_NEAR_CASH_ITEM","1993-06-18","2026-05-02","Per=Y","Days=T","Dir=V")</f>
        <v>0</v>
      </c>
      <c r="M2">
        <f>BDH("PRGS US Equity","BS_CUR_ASSET_REPORT","1993-06-18","2026-05-02","Per=Y","Days=T","Dir=V")</f>
        <v>0</v>
      </c>
      <c r="O2">
        <f>BDH("PRGS US Equity","BS_CUR_LIAB","1993-06-18","2026-05-02","Per=Y","Days=T","Dir=V")</f>
        <v>0</v>
      </c>
      <c r="Q2">
        <f>BDH("PRGS US Equity","BS_SHAREHOLDER_EQY_ENDING_PERIOD","1993-06-18","2026-05-02","Per=Y","Days=T","Dir=V")</f>
        <v>0</v>
      </c>
      <c r="S2">
        <f>BDH("PRGS US Equity","BS_ACCT_NOTE_RCV","1993-06-18","2026-05-02","Per=Y","Days=T","Dir=V")</f>
        <v>0</v>
      </c>
      <c r="U2">
        <f>BDH("PRGS US Equity","BS_INVENTORIES","1993-06-18","2026-05-02","Per=Y","Days=T","Dir=V")</f>
        <v>0</v>
      </c>
      <c r="W2">
        <f>BDH("PRGS US Equity","WORKING_CAPITAL","1993-06-18","2026-05-02","Per=Y","Days=T","Dir=V")</f>
        <v>0</v>
      </c>
      <c r="Y2">
        <f>BDH("PRGS US Equity","SALES_REV_TURN","1993-06-18","2026-05-02","Per=Y","Days=T","Dir=V")</f>
        <v>0</v>
      </c>
      <c r="AA2">
        <f>BDH("PRGS US Equity","EBIT","1993-06-18","2026-05-02","Per=Y","Days=T","Dir=V")</f>
        <v>0</v>
      </c>
      <c r="AC2">
        <f>BDH("PRGS US Equity","EBITDA","1993-06-18","2026-05-02","Per=Y","Days=T","Dir=V")</f>
        <v>0</v>
      </c>
      <c r="AE2">
        <f>BDH("PRGS US Equity","NET_INCOME","1993-06-18","2026-05-02","Per=Y","Days=T","Dir=V")</f>
        <v>0</v>
      </c>
      <c r="AG2">
        <f>BDH("PRGS US Equity","IS_INT_EXPENSE","1993-06-18","2026-05-02","Per=Y","Days=T","Dir=V")</f>
        <v>0</v>
      </c>
      <c r="AI2">
        <f>BDH("PRGS US Equity","IS_DEPR_EXP","1993-06-18","2026-05-02","Per=Y","Days=T","Dir=V")</f>
        <v>0</v>
      </c>
      <c r="AK2">
        <f>BDH("PRGS US Equity","CF_CASH_FROM_OPER","1993-06-18","2026-05-02","Per=Y","Days=T","Dir=V")</f>
        <v>0</v>
      </c>
      <c r="AM2">
        <f>BDH("PRGS US Equity","CAPITAL_EXPEND","1993-06-18","2026-05-02","Per=Y","Days=T","Dir=V")</f>
        <v>0</v>
      </c>
      <c r="AO2">
        <f>BDH("PRGS US Equity","CF_FREE_CASH_FLOW","1993-06-18","2026-05-02","Per=Y","Days=T","Dir=V")</f>
        <v>0</v>
      </c>
      <c r="AQ2">
        <f>BDH("PRGS US Equity","PX_LAST","1993-06-18","2026-05-02","Per=M","Days=T","Dir=V")</f>
        <v>0</v>
      </c>
      <c r="AS2">
        <f>BDH("PRGS US Equity","CUR_MKT_CAP","1993-06-18","2026-05-02","Per=M","Days=T","Dir=V")</f>
        <v>0</v>
      </c>
      <c r="AU2">
        <f>BDH("PRGS US Equity","EQY_SH_OUT","1993-06-18","2026-05-02","Per=M","Days=T","Dir=V")</f>
        <v>0</v>
      </c>
      <c r="AW2">
        <f>BDH("PRGS US Equity","PX_VOLUME","1993-06-18","2026-05-02","Per=M","Days=T","Dir=V")</f>
        <v>0</v>
      </c>
      <c r="AY2">
        <f>BDH("PRGS US Equity","TURNOVER","1993-06-18","2026-05-02","Per=M","Days=T","Dir=V")</f>
        <v>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BDH("PRIM US Equity","BS_TOT_ASSET","1993-06-18","2026-05-02","Per=Y","Days=T","Dir=V")</f>
        <v>0</v>
      </c>
      <c r="C2">
        <f>BDH("PRIM US Equity","BS_TOT_LIAB2","1993-06-18","2026-05-02","Per=Y","Days=T","Dir=V")</f>
        <v>0</v>
      </c>
      <c r="E2">
        <f>BDH("PRIM US Equity","SHORT_AND_LONG_TERM_DEBT","1993-06-18","2026-05-02","Per=Y","Days=T","Dir=V")</f>
        <v>0</v>
      </c>
      <c r="G2">
        <f>BDH("PRIM US Equity","BS_ST_BORROW","1993-06-18","2026-05-02","Per=Y","Days=T","Dir=V")</f>
        <v>0</v>
      </c>
      <c r="I2">
        <f>BDH("PRIM US Equity","BS_LT_BORROW","1993-06-18","2026-05-02","Per=Y","Days=T","Dir=V")</f>
        <v>0</v>
      </c>
      <c r="K2">
        <f>BDH("PRIM US Equity","BS_CASH_NEAR_CASH_ITEM","1993-06-18","2026-05-02","Per=Y","Days=T","Dir=V")</f>
        <v>0</v>
      </c>
      <c r="M2">
        <f>BDH("PRIM US Equity","BS_CUR_ASSET_REPORT","1993-06-18","2026-05-02","Per=Y","Days=T","Dir=V")</f>
        <v>0</v>
      </c>
      <c r="O2">
        <f>BDH("PRIM US Equity","BS_CUR_LIAB","1993-06-18","2026-05-02","Per=Y","Days=T","Dir=V")</f>
        <v>0</v>
      </c>
      <c r="Q2">
        <f>BDH("PRIM US Equity","BS_SHAREHOLDER_EQY_ENDING_PERIOD","1993-06-18","2026-05-02","Per=Y","Days=T","Dir=V")</f>
        <v>0</v>
      </c>
      <c r="S2">
        <f>BDH("PRIM US Equity","BS_ACCT_NOTE_RCV","1993-06-18","2026-05-02","Per=Y","Days=T","Dir=V")</f>
        <v>0</v>
      </c>
      <c r="U2">
        <f>BDH("PRIM US Equity","BS_INVENTORIES","1993-06-18","2026-05-02","Per=Y","Days=T","Dir=V")</f>
        <v>0</v>
      </c>
      <c r="W2">
        <f>BDH("PRIM US Equity","WORKING_CAPITAL","1993-06-18","2026-05-02","Per=Y","Days=T","Dir=V")</f>
        <v>0</v>
      </c>
      <c r="Y2">
        <f>BDH("PRIM US Equity","SALES_REV_TURN","1993-06-18","2026-05-02","Per=Y","Days=T","Dir=V")</f>
        <v>0</v>
      </c>
      <c r="AA2">
        <f>BDH("PRIM US Equity","EBIT","1993-06-18","2026-05-02","Per=Y","Days=T","Dir=V")</f>
        <v>0</v>
      </c>
      <c r="AC2">
        <f>BDH("PRIM US Equity","EBITDA","1993-06-18","2026-05-02","Per=Y","Days=T","Dir=V")</f>
        <v>0</v>
      </c>
      <c r="AE2">
        <f>BDH("PRIM US Equity","NET_INCOME","1993-06-18","2026-05-02","Per=Y","Days=T","Dir=V")</f>
        <v>0</v>
      </c>
      <c r="AG2">
        <f>BDH("PRIM US Equity","IS_INT_EXPENSE","1993-06-18","2026-05-02","Per=Y","Days=T","Dir=V")</f>
        <v>0</v>
      </c>
      <c r="AI2">
        <f>BDH("PRIM US Equity","IS_DEPR_EXP","1993-06-18","2026-05-02","Per=Y","Days=T","Dir=V")</f>
        <v>0</v>
      </c>
      <c r="AK2">
        <f>BDH("PRIM US Equity","CF_CASH_FROM_OPER","1993-06-18","2026-05-02","Per=Y","Days=T","Dir=V")</f>
        <v>0</v>
      </c>
      <c r="AM2">
        <f>BDH("PRIM US Equity","CAPITAL_EXPEND","1993-06-18","2026-05-02","Per=Y","Days=T","Dir=V")</f>
        <v>0</v>
      </c>
      <c r="AO2">
        <f>BDH("PRIM US Equity","CF_FREE_CASH_FLOW","1993-06-18","2026-05-02","Per=Y","Days=T","Dir=V")</f>
        <v>0</v>
      </c>
      <c r="AQ2">
        <f>BDH("PRIM US Equity","PX_LAST","1993-06-18","2026-05-02","Per=M","Days=T","Dir=V")</f>
        <v>0</v>
      </c>
      <c r="AS2">
        <f>BDH("PRIM US Equity","CUR_MKT_CAP","1993-06-18","2026-05-02","Per=M","Days=T","Dir=V")</f>
        <v>0</v>
      </c>
      <c r="AU2">
        <f>BDH("PRIM US Equity","EQY_SH_OUT","1993-06-18","2026-05-02","Per=M","Days=T","Dir=V")</f>
        <v>0</v>
      </c>
      <c r="AW2">
        <f>BDH("PRIM US Equity","PX_VOLUME","1993-06-18","2026-05-02","Per=M","Days=T","Dir=V")</f>
        <v>0</v>
      </c>
      <c r="AY2">
        <f>BDH("PRIM US Equity","TURNOVER","1993-06-18","2026-05-02","Per=M","Days=T","Dir=V")</f>
        <v>0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BDH("PRKS US Equity","BS_TOT_ASSET","1993-06-18","2026-05-02","Per=Y","Days=T","Dir=V")</f>
        <v>0</v>
      </c>
      <c r="C2">
        <f>BDH("PRKS US Equity","BS_TOT_LIAB2","1993-06-18","2026-05-02","Per=Y","Days=T","Dir=V")</f>
        <v>0</v>
      </c>
      <c r="E2">
        <f>BDH("PRKS US Equity","SHORT_AND_LONG_TERM_DEBT","1993-06-18","2026-05-02","Per=Y","Days=T","Dir=V")</f>
        <v>0</v>
      </c>
      <c r="G2">
        <f>BDH("PRKS US Equity","BS_ST_BORROW","1993-06-18","2026-05-02","Per=Y","Days=T","Dir=V")</f>
        <v>0</v>
      </c>
      <c r="I2">
        <f>BDH("PRKS US Equity","BS_LT_BORROW","1993-06-18","2026-05-02","Per=Y","Days=T","Dir=V")</f>
        <v>0</v>
      </c>
      <c r="K2">
        <f>BDH("PRKS US Equity","BS_CASH_NEAR_CASH_ITEM","1993-06-18","2026-05-02","Per=Y","Days=T","Dir=V")</f>
        <v>0</v>
      </c>
      <c r="M2">
        <f>BDH("PRKS US Equity","BS_CUR_ASSET_REPORT","1993-06-18","2026-05-02","Per=Y","Days=T","Dir=V")</f>
        <v>0</v>
      </c>
      <c r="O2">
        <f>BDH("PRKS US Equity","BS_CUR_LIAB","1993-06-18","2026-05-02","Per=Y","Days=T","Dir=V")</f>
        <v>0</v>
      </c>
      <c r="Q2">
        <f>BDH("PRKS US Equity","BS_SHAREHOLDER_EQY_ENDING_PERIOD","1993-06-18","2026-05-02","Per=Y","Days=T","Dir=V")</f>
        <v>0</v>
      </c>
      <c r="S2">
        <f>BDH("PRKS US Equity","BS_ACCT_NOTE_RCV","1993-06-18","2026-05-02","Per=Y","Days=T","Dir=V")</f>
        <v>0</v>
      </c>
      <c r="U2">
        <f>BDH("PRKS US Equity","BS_INVENTORIES","1993-06-18","2026-05-02","Per=Y","Days=T","Dir=V")</f>
        <v>0</v>
      </c>
      <c r="W2">
        <f>BDH("PRKS US Equity","WORKING_CAPITAL","1993-06-18","2026-05-02","Per=Y","Days=T","Dir=V")</f>
        <v>0</v>
      </c>
      <c r="Y2">
        <f>BDH("PRKS US Equity","SALES_REV_TURN","1993-06-18","2026-05-02","Per=Y","Days=T","Dir=V")</f>
        <v>0</v>
      </c>
      <c r="AA2">
        <f>BDH("PRKS US Equity","EBIT","1993-06-18","2026-05-02","Per=Y","Days=T","Dir=V")</f>
        <v>0</v>
      </c>
      <c r="AC2">
        <f>BDH("PRKS US Equity","EBITDA","1993-06-18","2026-05-02","Per=Y","Days=T","Dir=V")</f>
        <v>0</v>
      </c>
      <c r="AE2">
        <f>BDH("PRKS US Equity","NET_INCOME","1993-06-18","2026-05-02","Per=Y","Days=T","Dir=V")</f>
        <v>0</v>
      </c>
      <c r="AG2">
        <f>BDH("PRKS US Equity","IS_INT_EXPENSE","1993-06-18","2026-05-02","Per=Y","Days=T","Dir=V")</f>
        <v>0</v>
      </c>
      <c r="AI2">
        <f>BDH("PRKS US Equity","IS_DEPR_EXP","1993-06-18","2026-05-02","Per=Y","Days=T","Dir=V")</f>
        <v>0</v>
      </c>
      <c r="AK2">
        <f>BDH("PRKS US Equity","CF_CASH_FROM_OPER","1993-06-18","2026-05-02","Per=Y","Days=T","Dir=V")</f>
        <v>0</v>
      </c>
      <c r="AM2">
        <f>BDH("PRKS US Equity","CAPITAL_EXPEND","1993-06-18","2026-05-02","Per=Y","Days=T","Dir=V")</f>
        <v>0</v>
      </c>
      <c r="AO2">
        <f>BDH("PRKS US Equity","CF_FREE_CASH_FLOW","1993-06-18","2026-05-02","Per=Y","Days=T","Dir=V")</f>
        <v>0</v>
      </c>
      <c r="AQ2">
        <f>BDH("PRKS US Equity","PX_LAST","1993-06-18","2026-05-02","Per=M","Days=T","Dir=V")</f>
        <v>0</v>
      </c>
      <c r="AS2">
        <f>BDH("PRKS US Equity","CUR_MKT_CAP","1993-06-18","2026-05-02","Per=M","Days=T","Dir=V")</f>
        <v>0</v>
      </c>
      <c r="AU2">
        <f>BDH("PRKS US Equity","EQY_SH_OUT","1993-06-18","2026-05-02","Per=M","Days=T","Dir=V")</f>
        <v>0</v>
      </c>
      <c r="AW2">
        <f>BDH("PRKS US Equity","PX_VOLUME","1993-06-18","2026-05-02","Per=M","Days=T","Dir=V")</f>
        <v>0</v>
      </c>
      <c r="AY2">
        <f>BDH("PRKS US Equity","TURNOVER","1993-06-18","2026-05-02","Per=M","Days=T","Dir=V")</f>
        <v>0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BDH("PRLB US Equity","BS_TOT_ASSET","1993-06-18","2026-05-02","Per=Y","Days=T","Dir=V")</f>
        <v>0</v>
      </c>
      <c r="C2">
        <f>BDH("PRLB US Equity","BS_TOT_LIAB2","1993-06-18","2026-05-02","Per=Y","Days=T","Dir=V")</f>
        <v>0</v>
      </c>
      <c r="E2">
        <f>BDH("PRLB US Equity","SHORT_AND_LONG_TERM_DEBT","1993-06-18","2026-05-02","Per=Y","Days=T","Dir=V")</f>
        <v>0</v>
      </c>
      <c r="G2">
        <f>BDH("PRLB US Equity","BS_ST_BORROW","1993-06-18","2026-05-02","Per=Y","Days=T","Dir=V")</f>
        <v>0</v>
      </c>
      <c r="I2">
        <f>BDH("PRLB US Equity","BS_LT_BORROW","1993-06-18","2026-05-02","Per=Y","Days=T","Dir=V")</f>
        <v>0</v>
      </c>
      <c r="K2">
        <f>BDH("PRLB US Equity","BS_CASH_NEAR_CASH_ITEM","1993-06-18","2026-05-02","Per=Y","Days=T","Dir=V")</f>
        <v>0</v>
      </c>
      <c r="M2">
        <f>BDH("PRLB US Equity","BS_CUR_ASSET_REPORT","1993-06-18","2026-05-02","Per=Y","Days=T","Dir=V")</f>
        <v>0</v>
      </c>
      <c r="O2">
        <f>BDH("PRLB US Equity","BS_CUR_LIAB","1993-06-18","2026-05-02","Per=Y","Days=T","Dir=V")</f>
        <v>0</v>
      </c>
      <c r="Q2">
        <f>BDH("PRLB US Equity","BS_SHAREHOLDER_EQY_ENDING_PERIOD","1993-06-18","2026-05-02","Per=Y","Days=T","Dir=V")</f>
        <v>0</v>
      </c>
      <c r="S2">
        <f>BDH("PRLB US Equity","BS_ACCT_NOTE_RCV","1993-06-18","2026-05-02","Per=Y","Days=T","Dir=V")</f>
        <v>0</v>
      </c>
      <c r="U2">
        <f>BDH("PRLB US Equity","BS_INVENTORIES","1993-06-18","2026-05-02","Per=Y","Days=T","Dir=V")</f>
        <v>0</v>
      </c>
      <c r="W2">
        <f>BDH("PRLB US Equity","WORKING_CAPITAL","1993-06-18","2026-05-02","Per=Y","Days=T","Dir=V")</f>
        <v>0</v>
      </c>
      <c r="Y2">
        <f>BDH("PRLB US Equity","SALES_REV_TURN","1993-06-18","2026-05-02","Per=Y","Days=T","Dir=V")</f>
        <v>0</v>
      </c>
      <c r="AA2">
        <f>BDH("PRLB US Equity","EBIT","1993-06-18","2026-05-02","Per=Y","Days=T","Dir=V")</f>
        <v>0</v>
      </c>
      <c r="AC2">
        <f>BDH("PRLB US Equity","EBITDA","1993-06-18","2026-05-02","Per=Y","Days=T","Dir=V")</f>
        <v>0</v>
      </c>
      <c r="AE2">
        <f>BDH("PRLB US Equity","NET_INCOME","1993-06-18","2026-05-02","Per=Y","Days=T","Dir=V")</f>
        <v>0</v>
      </c>
      <c r="AG2">
        <f>BDH("PRLB US Equity","IS_INT_EXPENSE","1993-06-18","2026-05-02","Per=Y","Days=T","Dir=V")</f>
        <v>0</v>
      </c>
      <c r="AI2">
        <f>BDH("PRLB US Equity","IS_DEPR_EXP","1993-06-18","2026-05-02","Per=Y","Days=T","Dir=V")</f>
        <v>0</v>
      </c>
      <c r="AK2">
        <f>BDH("PRLB US Equity","CF_CASH_FROM_OPER","1993-06-18","2026-05-02","Per=Y","Days=T","Dir=V")</f>
        <v>0</v>
      </c>
      <c r="AM2">
        <f>BDH("PRLB US Equity","CAPITAL_EXPEND","1993-06-18","2026-05-02","Per=Y","Days=T","Dir=V")</f>
        <v>0</v>
      </c>
      <c r="AO2">
        <f>BDH("PRLB US Equity","CF_FREE_CASH_FLOW","1993-06-18","2026-05-02","Per=Y","Days=T","Dir=V")</f>
        <v>0</v>
      </c>
      <c r="AQ2">
        <f>BDH("PRLB US Equity","PX_LAST","1993-06-18","2026-05-02","Per=M","Days=T","Dir=V")</f>
        <v>0</v>
      </c>
      <c r="AS2">
        <f>BDH("PRLB US Equity","CUR_MKT_CAP","1993-06-18","2026-05-02","Per=M","Days=T","Dir=V")</f>
        <v>0</v>
      </c>
      <c r="AU2">
        <f>BDH("PRLB US Equity","EQY_SH_OUT","1993-06-18","2026-05-02","Per=M","Days=T","Dir=V")</f>
        <v>0</v>
      </c>
      <c r="AW2">
        <f>BDH("PRLB US Equity","PX_VOLUME","1993-06-18","2026-05-02","Per=M","Days=T","Dir=V")</f>
        <v>0</v>
      </c>
      <c r="AY2">
        <f>BDH("PRLB US Equity","TURNOVER","1993-06-18","2026-05-02","Per=M","Days=T","Dir=V")</f>
        <v>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BDH("PRLD US Equity","BS_TOT_ASSET","1993-06-18","2026-05-02","Per=Y","Days=T","Dir=V")</f>
        <v>0</v>
      </c>
      <c r="C2">
        <f>BDH("PRLD US Equity","BS_TOT_LIAB2","1993-06-18","2026-05-02","Per=Y","Days=T","Dir=V")</f>
        <v>0</v>
      </c>
      <c r="E2">
        <f>BDH("PRLD US Equity","SHORT_AND_LONG_TERM_DEBT","1993-06-18","2026-05-02","Per=Y","Days=T","Dir=V")</f>
        <v>0</v>
      </c>
      <c r="G2">
        <f>BDH("PRLD US Equity","BS_ST_BORROW","1993-06-18","2026-05-02","Per=Y","Days=T","Dir=V")</f>
        <v>0</v>
      </c>
      <c r="I2">
        <f>BDH("PRLD US Equity","BS_LT_BORROW","1993-06-18","2026-05-02","Per=Y","Days=T","Dir=V")</f>
        <v>0</v>
      </c>
      <c r="K2">
        <f>BDH("PRLD US Equity","BS_CASH_NEAR_CASH_ITEM","1993-06-18","2026-05-02","Per=Y","Days=T","Dir=V")</f>
        <v>0</v>
      </c>
      <c r="M2">
        <f>BDH("PRLD US Equity","BS_CUR_ASSET_REPORT","1993-06-18","2026-05-02","Per=Y","Days=T","Dir=V")</f>
        <v>0</v>
      </c>
      <c r="O2">
        <f>BDH("PRLD US Equity","BS_CUR_LIAB","1993-06-18","2026-05-02","Per=Y","Days=T","Dir=V")</f>
        <v>0</v>
      </c>
      <c r="Q2">
        <f>BDH("PRLD US Equity","BS_SHAREHOLDER_EQY_ENDING_PERIOD","1993-06-18","2026-05-02","Per=Y","Days=T","Dir=V")</f>
        <v>0</v>
      </c>
      <c r="S2">
        <f>BDH("PRLD US Equity","BS_ACCT_NOTE_RCV","1993-06-18","2026-05-02","Per=Y","Days=T","Dir=V")</f>
        <v>0</v>
      </c>
      <c r="U2">
        <f>BDH("PRLD US Equity","BS_INVENTORIES","1993-06-18","2026-05-02","Per=Y","Days=T","Dir=V")</f>
        <v>0</v>
      </c>
      <c r="W2">
        <f>BDH("PRLD US Equity","WORKING_CAPITAL","1993-06-18","2026-05-02","Per=Y","Days=T","Dir=V")</f>
        <v>0</v>
      </c>
      <c r="Y2">
        <f>BDH("PRLD US Equity","SALES_REV_TURN","1993-06-18","2026-05-02","Per=Y","Days=T","Dir=V")</f>
        <v>0</v>
      </c>
      <c r="AA2">
        <f>BDH("PRLD US Equity","EBIT","1993-06-18","2026-05-02","Per=Y","Days=T","Dir=V")</f>
        <v>0</v>
      </c>
      <c r="AC2">
        <f>BDH("PRLD US Equity","EBITDA","1993-06-18","2026-05-02","Per=Y","Days=T","Dir=V")</f>
        <v>0</v>
      </c>
      <c r="AE2">
        <f>BDH("PRLD US Equity","NET_INCOME","1993-06-18","2026-05-02","Per=Y","Days=T","Dir=V")</f>
        <v>0</v>
      </c>
      <c r="AG2">
        <f>BDH("PRLD US Equity","IS_INT_EXPENSE","1993-06-18","2026-05-02","Per=Y","Days=T","Dir=V")</f>
        <v>0</v>
      </c>
      <c r="AI2">
        <f>BDH("PRLD US Equity","IS_DEPR_EXP","1993-06-18","2026-05-02","Per=Y","Days=T","Dir=V")</f>
        <v>0</v>
      </c>
      <c r="AK2">
        <f>BDH("PRLD US Equity","CF_CASH_FROM_OPER","1993-06-18","2026-05-02","Per=Y","Days=T","Dir=V")</f>
        <v>0</v>
      </c>
      <c r="AM2">
        <f>BDH("PRLD US Equity","CAPITAL_EXPEND","1993-06-18","2026-05-02","Per=Y","Days=T","Dir=V")</f>
        <v>0</v>
      </c>
      <c r="AO2">
        <f>BDH("PRLD US Equity","CF_FREE_CASH_FLOW","1993-06-18","2026-05-02","Per=Y","Days=T","Dir=V")</f>
        <v>0</v>
      </c>
      <c r="AQ2">
        <f>BDH("PRLD US Equity","PX_LAST","1993-06-18","2026-05-02","Per=M","Days=T","Dir=V")</f>
        <v>0</v>
      </c>
      <c r="AS2">
        <f>BDH("PRLD US Equity","CUR_MKT_CAP","1993-06-18","2026-05-02","Per=M","Days=T","Dir=V")</f>
        <v>0</v>
      </c>
      <c r="AU2">
        <f>BDH("PRLD US Equity","EQY_SH_OUT","1993-06-18","2026-05-02","Per=M","Days=T","Dir=V")</f>
        <v>0</v>
      </c>
      <c r="AW2">
        <f>BDH("PRLD US Equity","PX_VOLUME","1993-06-18","2026-05-02","Per=M","Days=T","Dir=V")</f>
        <v>0</v>
      </c>
      <c r="AY2">
        <f>BDH("PRLD US Equity","TURNOVER","1993-06-18","2026-05-02","Per=M","Days=T","Dir=V")</f>
        <v>0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BDH("PRMB US Equity","BS_TOT_ASSET","1993-06-18","2026-05-02","Per=Y","Days=T","Dir=V")</f>
        <v>0</v>
      </c>
      <c r="C2">
        <f>BDH("PRMB US Equity","BS_TOT_LIAB2","1993-06-18","2026-05-02","Per=Y","Days=T","Dir=V")</f>
        <v>0</v>
      </c>
      <c r="E2">
        <f>BDH("PRMB US Equity","SHORT_AND_LONG_TERM_DEBT","1993-06-18","2026-05-02","Per=Y","Days=T","Dir=V")</f>
        <v>0</v>
      </c>
      <c r="G2">
        <f>BDH("PRMB US Equity","BS_ST_BORROW","1993-06-18","2026-05-02","Per=Y","Days=T","Dir=V")</f>
        <v>0</v>
      </c>
      <c r="I2">
        <f>BDH("PRMB US Equity","BS_LT_BORROW","1993-06-18","2026-05-02","Per=Y","Days=T","Dir=V")</f>
        <v>0</v>
      </c>
      <c r="K2">
        <f>BDH("PRMB US Equity","BS_CASH_NEAR_CASH_ITEM","1993-06-18","2026-05-02","Per=Y","Days=T","Dir=V")</f>
        <v>0</v>
      </c>
      <c r="M2">
        <f>BDH("PRMB US Equity","BS_CUR_ASSET_REPORT","1993-06-18","2026-05-02","Per=Y","Days=T","Dir=V")</f>
        <v>0</v>
      </c>
      <c r="O2">
        <f>BDH("PRMB US Equity","BS_CUR_LIAB","1993-06-18","2026-05-02","Per=Y","Days=T","Dir=V")</f>
        <v>0</v>
      </c>
      <c r="Q2">
        <f>BDH("PRMB US Equity","BS_SHAREHOLDER_EQY_ENDING_PERIOD","1993-06-18","2026-05-02","Per=Y","Days=T","Dir=V")</f>
        <v>0</v>
      </c>
      <c r="S2">
        <f>BDH("PRMB US Equity","BS_ACCT_NOTE_RCV","1993-06-18","2026-05-02","Per=Y","Days=T","Dir=V")</f>
        <v>0</v>
      </c>
      <c r="U2">
        <f>BDH("PRMB US Equity","BS_INVENTORIES","1993-06-18","2026-05-02","Per=Y","Days=T","Dir=V")</f>
        <v>0</v>
      </c>
      <c r="W2">
        <f>BDH("PRMB US Equity","WORKING_CAPITAL","1993-06-18","2026-05-02","Per=Y","Days=T","Dir=V")</f>
        <v>0</v>
      </c>
      <c r="Y2">
        <f>BDH("PRMB US Equity","SALES_REV_TURN","1993-06-18","2026-05-02","Per=Y","Days=T","Dir=V")</f>
        <v>0</v>
      </c>
      <c r="AA2">
        <f>BDH("PRMB US Equity","EBIT","1993-06-18","2026-05-02","Per=Y","Days=T","Dir=V")</f>
        <v>0</v>
      </c>
      <c r="AC2">
        <f>BDH("PRMB US Equity","EBITDA","1993-06-18","2026-05-02","Per=Y","Days=T","Dir=V")</f>
        <v>0</v>
      </c>
      <c r="AE2">
        <f>BDH("PRMB US Equity","NET_INCOME","1993-06-18","2026-05-02","Per=Y","Days=T","Dir=V")</f>
        <v>0</v>
      </c>
      <c r="AG2">
        <f>BDH("PRMB US Equity","IS_INT_EXPENSE","1993-06-18","2026-05-02","Per=Y","Days=T","Dir=V")</f>
        <v>0</v>
      </c>
      <c r="AI2">
        <f>BDH("PRMB US Equity","IS_DEPR_EXP","1993-06-18","2026-05-02","Per=Y","Days=T","Dir=V")</f>
        <v>0</v>
      </c>
      <c r="AK2">
        <f>BDH("PRMB US Equity","CF_CASH_FROM_OPER","1993-06-18","2026-05-02","Per=Y","Days=T","Dir=V")</f>
        <v>0</v>
      </c>
      <c r="AM2">
        <f>BDH("PRMB US Equity","CAPITAL_EXPEND","1993-06-18","2026-05-02","Per=Y","Days=T","Dir=V")</f>
        <v>0</v>
      </c>
      <c r="AO2">
        <f>BDH("PRMB US Equity","CF_FREE_CASH_FLOW","1993-06-18","2026-05-02","Per=Y","Days=T","Dir=V")</f>
        <v>0</v>
      </c>
      <c r="AQ2">
        <f>BDH("PRMB US Equity","PX_LAST","1993-06-18","2026-05-02","Per=M","Days=T","Dir=V")</f>
        <v>0</v>
      </c>
      <c r="AS2">
        <f>BDH("PRMB US Equity","CUR_MKT_CAP","1993-06-18","2026-05-02","Per=M","Days=T","Dir=V")</f>
        <v>0</v>
      </c>
      <c r="AU2">
        <f>BDH("PRMB US Equity","EQY_SH_OUT","1993-06-18","2026-05-02","Per=M","Days=T","Dir=V")</f>
        <v>0</v>
      </c>
      <c r="AW2">
        <f>BDH("PRMB US Equity","PX_VOLUME","1993-06-18","2026-05-02","Per=M","Days=T","Dir=V")</f>
        <v>0</v>
      </c>
      <c r="AY2">
        <f>BDH("PRMB US Equity","TURNOVER","1993-06-18","2026-05-02","Per=M","Days=T","Dir=V")</f>
        <v>0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BDH("PRME US Equity","BS_TOT_ASSET","1993-06-18","2026-05-02","Per=Y","Days=T","Dir=V")</f>
        <v>0</v>
      </c>
      <c r="C2">
        <f>BDH("PRME US Equity","BS_TOT_LIAB2","1993-06-18","2026-05-02","Per=Y","Days=T","Dir=V")</f>
        <v>0</v>
      </c>
      <c r="E2">
        <f>BDH("PRME US Equity","SHORT_AND_LONG_TERM_DEBT","1993-06-18","2026-05-02","Per=Y","Days=T","Dir=V")</f>
        <v>0</v>
      </c>
      <c r="G2">
        <f>BDH("PRME US Equity","BS_ST_BORROW","1993-06-18","2026-05-02","Per=Y","Days=T","Dir=V")</f>
        <v>0</v>
      </c>
      <c r="I2">
        <f>BDH("PRME US Equity","BS_LT_BORROW","1993-06-18","2026-05-02","Per=Y","Days=T","Dir=V")</f>
        <v>0</v>
      </c>
      <c r="K2">
        <f>BDH("PRME US Equity","BS_CASH_NEAR_CASH_ITEM","1993-06-18","2026-05-02","Per=Y","Days=T","Dir=V")</f>
        <v>0</v>
      </c>
      <c r="M2">
        <f>BDH("PRME US Equity","BS_CUR_ASSET_REPORT","1993-06-18","2026-05-02","Per=Y","Days=T","Dir=V")</f>
        <v>0</v>
      </c>
      <c r="O2">
        <f>BDH("PRME US Equity","BS_CUR_LIAB","1993-06-18","2026-05-02","Per=Y","Days=T","Dir=V")</f>
        <v>0</v>
      </c>
      <c r="Q2">
        <f>BDH("PRME US Equity","BS_SHAREHOLDER_EQY_ENDING_PERIOD","1993-06-18","2026-05-02","Per=Y","Days=T","Dir=V")</f>
        <v>0</v>
      </c>
      <c r="S2">
        <f>BDH("PRME US Equity","BS_ACCT_NOTE_RCV","1993-06-18","2026-05-02","Per=Y","Days=T","Dir=V")</f>
        <v>0</v>
      </c>
      <c r="U2">
        <f>BDH("PRME US Equity","BS_INVENTORIES","1993-06-18","2026-05-02","Per=Y","Days=T","Dir=V")</f>
        <v>0</v>
      </c>
      <c r="W2">
        <f>BDH("PRME US Equity","WORKING_CAPITAL","1993-06-18","2026-05-02","Per=Y","Days=T","Dir=V")</f>
        <v>0</v>
      </c>
      <c r="Y2">
        <f>BDH("PRME US Equity","SALES_REV_TURN","1993-06-18","2026-05-02","Per=Y","Days=T","Dir=V")</f>
        <v>0</v>
      </c>
      <c r="AA2">
        <f>BDH("PRME US Equity","EBIT","1993-06-18","2026-05-02","Per=Y","Days=T","Dir=V")</f>
        <v>0</v>
      </c>
      <c r="AC2">
        <f>BDH("PRME US Equity","EBITDA","1993-06-18","2026-05-02","Per=Y","Days=T","Dir=V")</f>
        <v>0</v>
      </c>
      <c r="AE2">
        <f>BDH("PRME US Equity","NET_INCOME","1993-06-18","2026-05-02","Per=Y","Days=T","Dir=V")</f>
        <v>0</v>
      </c>
      <c r="AG2">
        <f>BDH("PRME US Equity","IS_INT_EXPENSE","1993-06-18","2026-05-02","Per=Y","Days=T","Dir=V")</f>
        <v>0</v>
      </c>
      <c r="AI2">
        <f>BDH("PRME US Equity","IS_DEPR_EXP","1993-06-18","2026-05-02","Per=Y","Days=T","Dir=V")</f>
        <v>0</v>
      </c>
      <c r="AK2">
        <f>BDH("PRME US Equity","CF_CASH_FROM_OPER","1993-06-18","2026-05-02","Per=Y","Days=T","Dir=V")</f>
        <v>0</v>
      </c>
      <c r="AM2">
        <f>BDH("PRME US Equity","CAPITAL_EXPEND","1993-06-18","2026-05-02","Per=Y","Days=T","Dir=V")</f>
        <v>0</v>
      </c>
      <c r="AO2">
        <f>BDH("PRME US Equity","CF_FREE_CASH_FLOW","1993-06-18","2026-05-02","Per=Y","Days=T","Dir=V")</f>
        <v>0</v>
      </c>
      <c r="AQ2">
        <f>BDH("PRME US Equity","PX_LAST","1993-06-18","2026-05-02","Per=M","Days=T","Dir=V")</f>
        <v>0</v>
      </c>
      <c r="AS2">
        <f>BDH("PRME US Equity","CUR_MKT_CAP","1993-06-18","2026-05-02","Per=M","Days=T","Dir=V")</f>
        <v>0</v>
      </c>
      <c r="AU2">
        <f>BDH("PRME US Equity","EQY_SH_OUT","1993-06-18","2026-05-02","Per=M","Days=T","Dir=V")</f>
        <v>0</v>
      </c>
      <c r="AW2">
        <f>BDH("PRME US Equity","PX_VOLUME","1993-06-18","2026-05-02","Per=M","Days=T","Dir=V")</f>
        <v>0</v>
      </c>
      <c r="AY2">
        <f>BDH("PRME US Equity","TURNOVER","1993-06-18","2026-05-02","Per=M","Days=T","Dir=V")</f>
        <v>0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BDH("PROK US Equity","BS_TOT_ASSET","1993-06-18","2026-05-02","Per=Y","Days=T","Dir=V")</f>
        <v>0</v>
      </c>
      <c r="C2">
        <f>BDH("PROK US Equity","BS_TOT_LIAB2","1993-06-18","2026-05-02","Per=Y","Days=T","Dir=V")</f>
        <v>0</v>
      </c>
      <c r="E2">
        <f>BDH("PROK US Equity","SHORT_AND_LONG_TERM_DEBT","1993-06-18","2026-05-02","Per=Y","Days=T","Dir=V")</f>
        <v>0</v>
      </c>
      <c r="G2">
        <f>BDH("PROK US Equity","BS_ST_BORROW","1993-06-18","2026-05-02","Per=Y","Days=T","Dir=V")</f>
        <v>0</v>
      </c>
      <c r="I2">
        <f>BDH("PROK US Equity","BS_LT_BORROW","1993-06-18","2026-05-02","Per=Y","Days=T","Dir=V")</f>
        <v>0</v>
      </c>
      <c r="K2">
        <f>BDH("PROK US Equity","BS_CASH_NEAR_CASH_ITEM","1993-06-18","2026-05-02","Per=Y","Days=T","Dir=V")</f>
        <v>0</v>
      </c>
      <c r="M2">
        <f>BDH("PROK US Equity","BS_CUR_ASSET_REPORT","1993-06-18","2026-05-02","Per=Y","Days=T","Dir=V")</f>
        <v>0</v>
      </c>
      <c r="O2">
        <f>BDH("PROK US Equity","BS_CUR_LIAB","1993-06-18","2026-05-02","Per=Y","Days=T","Dir=V")</f>
        <v>0</v>
      </c>
      <c r="Q2">
        <f>BDH("PROK US Equity","BS_SHAREHOLDER_EQY_ENDING_PERIOD","1993-06-18","2026-05-02","Per=Y","Days=T","Dir=V")</f>
        <v>0</v>
      </c>
      <c r="S2">
        <f>BDH("PROK US Equity","BS_ACCT_NOTE_RCV","1993-06-18","2026-05-02","Per=Y","Days=T","Dir=V")</f>
        <v>0</v>
      </c>
      <c r="U2">
        <f>BDH("PROK US Equity","BS_INVENTORIES","1993-06-18","2026-05-02","Per=Y","Days=T","Dir=V")</f>
        <v>0</v>
      </c>
      <c r="W2">
        <f>BDH("PROK US Equity","WORKING_CAPITAL","1993-06-18","2026-05-02","Per=Y","Days=T","Dir=V")</f>
        <v>0</v>
      </c>
      <c r="Y2">
        <f>BDH("PROK US Equity","SALES_REV_TURN","1993-06-18","2026-05-02","Per=Y","Days=T","Dir=V")</f>
        <v>0</v>
      </c>
      <c r="AA2">
        <f>BDH("PROK US Equity","EBIT","1993-06-18","2026-05-02","Per=Y","Days=T","Dir=V")</f>
        <v>0</v>
      </c>
      <c r="AC2">
        <f>BDH("PROK US Equity","EBITDA","1993-06-18","2026-05-02","Per=Y","Days=T","Dir=V")</f>
        <v>0</v>
      </c>
      <c r="AE2">
        <f>BDH("PROK US Equity","NET_INCOME","1993-06-18","2026-05-02","Per=Y","Days=T","Dir=V")</f>
        <v>0</v>
      </c>
      <c r="AG2">
        <f>BDH("PROK US Equity","IS_INT_EXPENSE","1993-06-18","2026-05-02","Per=Y","Days=T","Dir=V")</f>
        <v>0</v>
      </c>
      <c r="AI2">
        <f>BDH("PROK US Equity","IS_DEPR_EXP","1993-06-18","2026-05-02","Per=Y","Days=T","Dir=V")</f>
        <v>0</v>
      </c>
      <c r="AK2">
        <f>BDH("PROK US Equity","CF_CASH_FROM_OPER","1993-06-18","2026-05-02","Per=Y","Days=T","Dir=V")</f>
        <v>0</v>
      </c>
      <c r="AM2">
        <f>BDH("PROK US Equity","CAPITAL_EXPEND","1993-06-18","2026-05-02","Per=Y","Days=T","Dir=V")</f>
        <v>0</v>
      </c>
      <c r="AO2">
        <f>BDH("PROK US Equity","CF_FREE_CASH_FLOW","1993-06-18","2026-05-02","Per=Y","Days=T","Dir=V")</f>
        <v>0</v>
      </c>
      <c r="AQ2">
        <f>BDH("PROK US Equity","PX_LAST","1993-06-18","2026-05-02","Per=M","Days=T","Dir=V")</f>
        <v>0</v>
      </c>
      <c r="AS2">
        <f>BDH("PROK US Equity","CUR_MKT_CAP","1993-06-18","2026-05-02","Per=M","Days=T","Dir=V")</f>
        <v>0</v>
      </c>
      <c r="AU2">
        <f>BDH("PROK US Equity","EQY_SH_OUT","1993-06-18","2026-05-02","Per=M","Days=T","Dir=V")</f>
        <v>0</v>
      </c>
      <c r="AW2">
        <f>BDH("PROK US Equity","PX_VOLUME","1993-06-18","2026-05-02","Per=M","Days=T","Dir=V")</f>
        <v>0</v>
      </c>
      <c r="AY2">
        <f>BDH("PROK US Equity","TURNOVER","1993-06-18","2026-05-02","Per=M","Days=T","Dir=V")</f>
        <v>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BDH("PROP US Equity","BS_TOT_ASSET","1993-06-18","2026-05-02","Per=Y","Days=T","Dir=V")</f>
        <v>0</v>
      </c>
      <c r="C2">
        <f>BDH("PROP US Equity","BS_TOT_LIAB2","1993-06-18","2026-05-02","Per=Y","Days=T","Dir=V")</f>
        <v>0</v>
      </c>
      <c r="E2">
        <f>BDH("PROP US Equity","SHORT_AND_LONG_TERM_DEBT","1993-06-18","2026-05-02","Per=Y","Days=T","Dir=V")</f>
        <v>0</v>
      </c>
      <c r="G2">
        <f>BDH("PROP US Equity","BS_ST_BORROW","1993-06-18","2026-05-02","Per=Y","Days=T","Dir=V")</f>
        <v>0</v>
      </c>
      <c r="I2">
        <f>BDH("PROP US Equity","BS_LT_BORROW","1993-06-18","2026-05-02","Per=Y","Days=T","Dir=V")</f>
        <v>0</v>
      </c>
      <c r="K2">
        <f>BDH("PROP US Equity","BS_CASH_NEAR_CASH_ITEM","1993-06-18","2026-05-02","Per=Y","Days=T","Dir=V")</f>
        <v>0</v>
      </c>
      <c r="M2">
        <f>BDH("PROP US Equity","BS_CUR_ASSET_REPORT","1993-06-18","2026-05-02","Per=Y","Days=T","Dir=V")</f>
        <v>0</v>
      </c>
      <c r="O2">
        <f>BDH("PROP US Equity","BS_CUR_LIAB","1993-06-18","2026-05-02","Per=Y","Days=T","Dir=V")</f>
        <v>0</v>
      </c>
      <c r="Q2">
        <f>BDH("PROP US Equity","BS_SHAREHOLDER_EQY_ENDING_PERIOD","1993-06-18","2026-05-02","Per=Y","Days=T","Dir=V")</f>
        <v>0</v>
      </c>
      <c r="S2">
        <f>BDH("PROP US Equity","BS_ACCT_NOTE_RCV","1993-06-18","2026-05-02","Per=Y","Days=T","Dir=V")</f>
        <v>0</v>
      </c>
      <c r="U2">
        <f>BDH("PROP US Equity","BS_INVENTORIES","1993-06-18","2026-05-02","Per=Y","Days=T","Dir=V")</f>
        <v>0</v>
      </c>
      <c r="W2">
        <f>BDH("PROP US Equity","WORKING_CAPITAL","1993-06-18","2026-05-02","Per=Y","Days=T","Dir=V")</f>
        <v>0</v>
      </c>
      <c r="Y2">
        <f>BDH("PROP US Equity","SALES_REV_TURN","1993-06-18","2026-05-02","Per=Y","Days=T","Dir=V")</f>
        <v>0</v>
      </c>
      <c r="AA2">
        <f>BDH("PROP US Equity","EBIT","1993-06-18","2026-05-02","Per=Y","Days=T","Dir=V")</f>
        <v>0</v>
      </c>
      <c r="AC2">
        <f>BDH("PROP US Equity","EBITDA","1993-06-18","2026-05-02","Per=Y","Days=T","Dir=V")</f>
        <v>0</v>
      </c>
      <c r="AE2">
        <f>BDH("PROP US Equity","NET_INCOME","1993-06-18","2026-05-02","Per=Y","Days=T","Dir=V")</f>
        <v>0</v>
      </c>
      <c r="AG2">
        <f>BDH("PROP US Equity","IS_INT_EXPENSE","1993-06-18","2026-05-02","Per=Y","Days=T","Dir=V")</f>
        <v>0</v>
      </c>
      <c r="AI2">
        <f>BDH("PROP US Equity","IS_DEPR_EXP","1993-06-18","2026-05-02","Per=Y","Days=T","Dir=V")</f>
        <v>0</v>
      </c>
      <c r="AK2">
        <f>BDH("PROP US Equity","CF_CASH_FROM_OPER","1993-06-18","2026-05-02","Per=Y","Days=T","Dir=V")</f>
        <v>0</v>
      </c>
      <c r="AM2">
        <f>BDH("PROP US Equity","CAPITAL_EXPEND","1993-06-18","2026-05-02","Per=Y","Days=T","Dir=V")</f>
        <v>0</v>
      </c>
      <c r="AO2">
        <f>BDH("PROP US Equity","CF_FREE_CASH_FLOW","1993-06-18","2026-05-02","Per=Y","Days=T","Dir=V")</f>
        <v>0</v>
      </c>
      <c r="AQ2">
        <f>BDH("PROP US Equity","PX_LAST","1993-06-18","2026-05-02","Per=M","Days=T","Dir=V")</f>
        <v>0</v>
      </c>
      <c r="AS2">
        <f>BDH("PROP US Equity","CUR_MKT_CAP","1993-06-18","2026-05-02","Per=M","Days=T","Dir=V")</f>
        <v>0</v>
      </c>
      <c r="AU2">
        <f>BDH("PROP US Equity","EQY_SH_OUT","1993-06-18","2026-05-02","Per=M","Days=T","Dir=V")</f>
        <v>0</v>
      </c>
      <c r="AW2">
        <f>BDH("PROP US Equity","PX_VOLUME","1993-06-18","2026-05-02","Per=M","Days=T","Dir=V")</f>
        <v>0</v>
      </c>
      <c r="AY2">
        <f>BDH("PROP US Equity","TURNOVER","1993-06-18","2026-05-02","Per=M","Days=T","Dir=V")</f>
        <v>0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BDH("PRPL US Equity","BS_TOT_ASSET","1993-06-18","2026-05-02","Per=Y","Days=T","Dir=V")</f>
        <v>0</v>
      </c>
      <c r="C2">
        <f>BDH("PRPL US Equity","BS_TOT_LIAB2","1993-06-18","2026-05-02","Per=Y","Days=T","Dir=V")</f>
        <v>0</v>
      </c>
      <c r="E2">
        <f>BDH("PRPL US Equity","SHORT_AND_LONG_TERM_DEBT","1993-06-18","2026-05-02","Per=Y","Days=T","Dir=V")</f>
        <v>0</v>
      </c>
      <c r="G2">
        <f>BDH("PRPL US Equity","BS_ST_BORROW","1993-06-18","2026-05-02","Per=Y","Days=T","Dir=V")</f>
        <v>0</v>
      </c>
      <c r="I2">
        <f>BDH("PRPL US Equity","BS_LT_BORROW","1993-06-18","2026-05-02","Per=Y","Days=T","Dir=V")</f>
        <v>0</v>
      </c>
      <c r="K2">
        <f>BDH("PRPL US Equity","BS_CASH_NEAR_CASH_ITEM","1993-06-18","2026-05-02","Per=Y","Days=T","Dir=V")</f>
        <v>0</v>
      </c>
      <c r="M2">
        <f>BDH("PRPL US Equity","BS_CUR_ASSET_REPORT","1993-06-18","2026-05-02","Per=Y","Days=T","Dir=V")</f>
        <v>0</v>
      </c>
      <c r="O2">
        <f>BDH("PRPL US Equity","BS_CUR_LIAB","1993-06-18","2026-05-02","Per=Y","Days=T","Dir=V")</f>
        <v>0</v>
      </c>
      <c r="Q2">
        <f>BDH("PRPL US Equity","BS_SHAREHOLDER_EQY_ENDING_PERIOD","1993-06-18","2026-05-02","Per=Y","Days=T","Dir=V")</f>
        <v>0</v>
      </c>
      <c r="S2">
        <f>BDH("PRPL US Equity","BS_ACCT_NOTE_RCV","1993-06-18","2026-05-02","Per=Y","Days=T","Dir=V")</f>
        <v>0</v>
      </c>
      <c r="U2">
        <f>BDH("PRPL US Equity","BS_INVENTORIES","1993-06-18","2026-05-02","Per=Y","Days=T","Dir=V")</f>
        <v>0</v>
      </c>
      <c r="W2">
        <f>BDH("PRPL US Equity","WORKING_CAPITAL","1993-06-18","2026-05-02","Per=Y","Days=T","Dir=V")</f>
        <v>0</v>
      </c>
      <c r="Y2">
        <f>BDH("PRPL US Equity","SALES_REV_TURN","1993-06-18","2026-05-02","Per=Y","Days=T","Dir=V")</f>
        <v>0</v>
      </c>
      <c r="AA2">
        <f>BDH("PRPL US Equity","EBIT","1993-06-18","2026-05-02","Per=Y","Days=T","Dir=V")</f>
        <v>0</v>
      </c>
      <c r="AC2">
        <f>BDH("PRPL US Equity","EBITDA","1993-06-18","2026-05-02","Per=Y","Days=T","Dir=V")</f>
        <v>0</v>
      </c>
      <c r="AE2">
        <f>BDH("PRPL US Equity","NET_INCOME","1993-06-18","2026-05-02","Per=Y","Days=T","Dir=V")</f>
        <v>0</v>
      </c>
      <c r="AG2">
        <f>BDH("PRPL US Equity","IS_INT_EXPENSE","1993-06-18","2026-05-02","Per=Y","Days=T","Dir=V")</f>
        <v>0</v>
      </c>
      <c r="AI2">
        <f>BDH("PRPL US Equity","IS_DEPR_EXP","1993-06-18","2026-05-02","Per=Y","Days=T","Dir=V")</f>
        <v>0</v>
      </c>
      <c r="AK2">
        <f>BDH("PRPL US Equity","CF_CASH_FROM_OPER","1993-06-18","2026-05-02","Per=Y","Days=T","Dir=V")</f>
        <v>0</v>
      </c>
      <c r="AM2">
        <f>BDH("PRPL US Equity","CAPITAL_EXPEND","1993-06-18","2026-05-02","Per=Y","Days=T","Dir=V")</f>
        <v>0</v>
      </c>
      <c r="AO2">
        <f>BDH("PRPL US Equity","CF_FREE_CASH_FLOW","1993-06-18","2026-05-02","Per=Y","Days=T","Dir=V")</f>
        <v>0</v>
      </c>
      <c r="AQ2">
        <f>BDH("PRPL US Equity","PX_LAST","1993-06-18","2026-05-02","Per=M","Days=T","Dir=V")</f>
        <v>0</v>
      </c>
      <c r="AS2">
        <f>BDH("PRPL US Equity","CUR_MKT_CAP","1993-06-18","2026-05-02","Per=M","Days=T","Dir=V")</f>
        <v>0</v>
      </c>
      <c r="AU2">
        <f>BDH("PRPL US Equity","EQY_SH_OUT","1993-06-18","2026-05-02","Per=M","Days=T","Dir=V")</f>
        <v>0</v>
      </c>
      <c r="AW2">
        <f>BDH("PRPL US Equity","PX_VOLUME","1993-06-18","2026-05-02","Per=M","Days=T","Dir=V")</f>
        <v>0</v>
      </c>
      <c r="AY2">
        <f>BDH("PRPL US Equity","TURNOVER","1993-06-18","2026-05-02","Per=M","Days=T","Dir=V")</f>
        <v>0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BDH("PRPO US Equity","BS_TOT_ASSET","1993-06-18","2026-05-02","Per=Y","Days=T","Dir=V")</f>
        <v>0</v>
      </c>
      <c r="C2">
        <f>BDH("PRPO US Equity","BS_TOT_LIAB2","1993-06-18","2026-05-02","Per=Y","Days=T","Dir=V")</f>
        <v>0</v>
      </c>
      <c r="E2">
        <f>BDH("PRPO US Equity","SHORT_AND_LONG_TERM_DEBT","1993-06-18","2026-05-02","Per=Y","Days=T","Dir=V")</f>
        <v>0</v>
      </c>
      <c r="G2">
        <f>BDH("PRPO US Equity","BS_ST_BORROW","1993-06-18","2026-05-02","Per=Y","Days=T","Dir=V")</f>
        <v>0</v>
      </c>
      <c r="I2">
        <f>BDH("PRPO US Equity","BS_LT_BORROW","1993-06-18","2026-05-02","Per=Y","Days=T","Dir=V")</f>
        <v>0</v>
      </c>
      <c r="K2">
        <f>BDH("PRPO US Equity","BS_CASH_NEAR_CASH_ITEM","1993-06-18","2026-05-02","Per=Y","Days=T","Dir=V")</f>
        <v>0</v>
      </c>
      <c r="M2">
        <f>BDH("PRPO US Equity","BS_CUR_ASSET_REPORT","1993-06-18","2026-05-02","Per=Y","Days=T","Dir=V")</f>
        <v>0</v>
      </c>
      <c r="O2">
        <f>BDH("PRPO US Equity","BS_CUR_LIAB","1993-06-18","2026-05-02","Per=Y","Days=T","Dir=V")</f>
        <v>0</v>
      </c>
      <c r="Q2">
        <f>BDH("PRPO US Equity","BS_SHAREHOLDER_EQY_ENDING_PERIOD","1993-06-18","2026-05-02","Per=Y","Days=T","Dir=V")</f>
        <v>0</v>
      </c>
      <c r="S2">
        <f>BDH("PRPO US Equity","BS_ACCT_NOTE_RCV","1993-06-18","2026-05-02","Per=Y","Days=T","Dir=V")</f>
        <v>0</v>
      </c>
      <c r="U2">
        <f>BDH("PRPO US Equity","BS_INVENTORIES","1993-06-18","2026-05-02","Per=Y","Days=T","Dir=V")</f>
        <v>0</v>
      </c>
      <c r="W2">
        <f>BDH("PRPO US Equity","WORKING_CAPITAL","1993-06-18","2026-05-02","Per=Y","Days=T","Dir=V")</f>
        <v>0</v>
      </c>
      <c r="Y2">
        <f>BDH("PRPO US Equity","SALES_REV_TURN","1993-06-18","2026-05-02","Per=Y","Days=T","Dir=V")</f>
        <v>0</v>
      </c>
      <c r="AA2">
        <f>BDH("PRPO US Equity","EBIT","1993-06-18","2026-05-02","Per=Y","Days=T","Dir=V")</f>
        <v>0</v>
      </c>
      <c r="AC2">
        <f>BDH("PRPO US Equity","EBITDA","1993-06-18","2026-05-02","Per=Y","Days=T","Dir=V")</f>
        <v>0</v>
      </c>
      <c r="AE2">
        <f>BDH("PRPO US Equity","NET_INCOME","1993-06-18","2026-05-02","Per=Y","Days=T","Dir=V")</f>
        <v>0</v>
      </c>
      <c r="AG2">
        <f>BDH("PRPO US Equity","IS_INT_EXPENSE","1993-06-18","2026-05-02","Per=Y","Days=T","Dir=V")</f>
        <v>0</v>
      </c>
      <c r="AI2">
        <f>BDH("PRPO US Equity","IS_DEPR_EXP","1993-06-18","2026-05-02","Per=Y","Days=T","Dir=V")</f>
        <v>0</v>
      </c>
      <c r="AK2">
        <f>BDH("PRPO US Equity","CF_CASH_FROM_OPER","1993-06-18","2026-05-02","Per=Y","Days=T","Dir=V")</f>
        <v>0</v>
      </c>
      <c r="AM2">
        <f>BDH("PRPO US Equity","CAPITAL_EXPEND","1993-06-18","2026-05-02","Per=Y","Days=T","Dir=V")</f>
        <v>0</v>
      </c>
      <c r="AO2">
        <f>BDH("PRPO US Equity","CF_FREE_CASH_FLOW","1993-06-18","2026-05-02","Per=Y","Days=T","Dir=V")</f>
        <v>0</v>
      </c>
      <c r="AQ2">
        <f>BDH("PRPO US Equity","PX_LAST","1993-06-18","2026-05-02","Per=M","Days=T","Dir=V")</f>
        <v>0</v>
      </c>
      <c r="AS2">
        <f>BDH("PRPO US Equity","CUR_MKT_CAP","1993-06-18","2026-05-02","Per=M","Days=T","Dir=V")</f>
        <v>0</v>
      </c>
      <c r="AU2">
        <f>BDH("PRPO US Equity","EQY_SH_OUT","1993-06-18","2026-05-02","Per=M","Days=T","Dir=V")</f>
        <v>0</v>
      </c>
      <c r="AW2">
        <f>BDH("PRPO US Equity","PX_VOLUME","1993-06-18","2026-05-02","Per=M","Days=T","Dir=V")</f>
        <v>0</v>
      </c>
      <c r="AY2">
        <f>BDH("PRPO US Equity","TURNOVER","1993-06-18","2026-05-02","Per=M","Days=T","Dir=V")</f>
        <v>0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BDH("PRSO US Equity","BS_TOT_ASSET","1993-06-18","2026-05-02","Per=Y","Days=T","Dir=V")</f>
        <v>0</v>
      </c>
      <c r="C2">
        <f>BDH("PRSO US Equity","BS_TOT_LIAB2","1993-06-18","2026-05-02","Per=Y","Days=T","Dir=V")</f>
        <v>0</v>
      </c>
      <c r="E2">
        <f>BDH("PRSO US Equity","SHORT_AND_LONG_TERM_DEBT","1993-06-18","2026-05-02","Per=Y","Days=T","Dir=V")</f>
        <v>0</v>
      </c>
      <c r="G2">
        <f>BDH("PRSO US Equity","BS_ST_BORROW","1993-06-18","2026-05-02","Per=Y","Days=T","Dir=V")</f>
        <v>0</v>
      </c>
      <c r="I2">
        <f>BDH("PRSO US Equity","BS_LT_BORROW","1993-06-18","2026-05-02","Per=Y","Days=T","Dir=V")</f>
        <v>0</v>
      </c>
      <c r="K2">
        <f>BDH("PRSO US Equity","BS_CASH_NEAR_CASH_ITEM","1993-06-18","2026-05-02","Per=Y","Days=T","Dir=V")</f>
        <v>0</v>
      </c>
      <c r="M2">
        <f>BDH("PRSO US Equity","BS_CUR_ASSET_REPORT","1993-06-18","2026-05-02","Per=Y","Days=T","Dir=V")</f>
        <v>0</v>
      </c>
      <c r="O2">
        <f>BDH("PRSO US Equity","BS_CUR_LIAB","1993-06-18","2026-05-02","Per=Y","Days=T","Dir=V")</f>
        <v>0</v>
      </c>
      <c r="Q2">
        <f>BDH("PRSO US Equity","BS_SHAREHOLDER_EQY_ENDING_PERIOD","1993-06-18","2026-05-02","Per=Y","Days=T","Dir=V")</f>
        <v>0</v>
      </c>
      <c r="S2">
        <f>BDH("PRSO US Equity","BS_ACCT_NOTE_RCV","1993-06-18","2026-05-02","Per=Y","Days=T","Dir=V")</f>
        <v>0</v>
      </c>
      <c r="U2">
        <f>BDH("PRSO US Equity","BS_INVENTORIES","1993-06-18","2026-05-02","Per=Y","Days=T","Dir=V")</f>
        <v>0</v>
      </c>
      <c r="W2">
        <f>BDH("PRSO US Equity","WORKING_CAPITAL","1993-06-18","2026-05-02","Per=Y","Days=T","Dir=V")</f>
        <v>0</v>
      </c>
      <c r="Y2">
        <f>BDH("PRSO US Equity","SALES_REV_TURN","1993-06-18","2026-05-02","Per=Y","Days=T","Dir=V")</f>
        <v>0</v>
      </c>
      <c r="AA2">
        <f>BDH("PRSO US Equity","EBIT","1993-06-18","2026-05-02","Per=Y","Days=T","Dir=V")</f>
        <v>0</v>
      </c>
      <c r="AC2">
        <f>BDH("PRSO US Equity","EBITDA","1993-06-18","2026-05-02","Per=Y","Days=T","Dir=V")</f>
        <v>0</v>
      </c>
      <c r="AE2">
        <f>BDH("PRSO US Equity","NET_INCOME","1993-06-18","2026-05-02","Per=Y","Days=T","Dir=V")</f>
        <v>0</v>
      </c>
      <c r="AG2">
        <f>BDH("PRSO US Equity","IS_INT_EXPENSE","1993-06-18","2026-05-02","Per=Y","Days=T","Dir=V")</f>
        <v>0</v>
      </c>
      <c r="AI2">
        <f>BDH("PRSO US Equity","IS_DEPR_EXP","1993-06-18","2026-05-02","Per=Y","Days=T","Dir=V")</f>
        <v>0</v>
      </c>
      <c r="AK2">
        <f>BDH("PRSO US Equity","CF_CASH_FROM_OPER","1993-06-18","2026-05-02","Per=Y","Days=T","Dir=V")</f>
        <v>0</v>
      </c>
      <c r="AM2">
        <f>BDH("PRSO US Equity","CAPITAL_EXPEND","1993-06-18","2026-05-02","Per=Y","Days=T","Dir=V")</f>
        <v>0</v>
      </c>
      <c r="AO2">
        <f>BDH("PRSO US Equity","CF_FREE_CASH_FLOW","1993-06-18","2026-05-02","Per=Y","Days=T","Dir=V")</f>
        <v>0</v>
      </c>
      <c r="AQ2">
        <f>BDH("PRSO US Equity","PX_LAST","1993-06-18","2026-05-02","Per=M","Days=T","Dir=V")</f>
        <v>0</v>
      </c>
      <c r="AS2">
        <f>BDH("PRSO US Equity","CUR_MKT_CAP","1993-06-18","2026-05-02","Per=M","Days=T","Dir=V")</f>
        <v>0</v>
      </c>
      <c r="AU2">
        <f>BDH("PRSO US Equity","EQY_SH_OUT","1993-06-18","2026-05-02","Per=M","Days=T","Dir=V")</f>
        <v>0</v>
      </c>
      <c r="AW2">
        <f>BDH("PRSO US Equity","PX_VOLUME","1993-06-18","2026-05-02","Per=M","Days=T","Dir=V")</f>
        <v>0</v>
      </c>
      <c r="AY2">
        <f>BDH("PRSO US Equity","TURNOVER","1993-06-18","2026-05-02","Per=M","Days=T","Dir=V")</f>
        <v>0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BDH("PRSU US Equity","BS_TOT_ASSET","1993-06-18","2026-05-02","Per=Y","Days=T","Dir=V")</f>
        <v>0</v>
      </c>
      <c r="C2">
        <f>BDH("PRSU US Equity","BS_TOT_LIAB2","1993-06-18","2026-05-02","Per=Y","Days=T","Dir=V")</f>
        <v>0</v>
      </c>
      <c r="E2">
        <f>BDH("PRSU US Equity","SHORT_AND_LONG_TERM_DEBT","1993-06-18","2026-05-02","Per=Y","Days=T","Dir=V")</f>
        <v>0</v>
      </c>
      <c r="G2">
        <f>BDH("PRSU US Equity","BS_ST_BORROW","1993-06-18","2026-05-02","Per=Y","Days=T","Dir=V")</f>
        <v>0</v>
      </c>
      <c r="I2">
        <f>BDH("PRSU US Equity","BS_LT_BORROW","1993-06-18","2026-05-02","Per=Y","Days=T","Dir=V")</f>
        <v>0</v>
      </c>
      <c r="K2">
        <f>BDH("PRSU US Equity","BS_CASH_NEAR_CASH_ITEM","1993-06-18","2026-05-02","Per=Y","Days=T","Dir=V")</f>
        <v>0</v>
      </c>
      <c r="M2">
        <f>BDH("PRSU US Equity","BS_CUR_ASSET_REPORT","1993-06-18","2026-05-02","Per=Y","Days=T","Dir=V")</f>
        <v>0</v>
      </c>
      <c r="O2">
        <f>BDH("PRSU US Equity","BS_CUR_LIAB","1993-06-18","2026-05-02","Per=Y","Days=T","Dir=V")</f>
        <v>0</v>
      </c>
      <c r="Q2">
        <f>BDH("PRSU US Equity","BS_SHAREHOLDER_EQY_ENDING_PERIOD","1993-06-18","2026-05-02","Per=Y","Days=T","Dir=V")</f>
        <v>0</v>
      </c>
      <c r="S2">
        <f>BDH("PRSU US Equity","BS_ACCT_NOTE_RCV","1993-06-18","2026-05-02","Per=Y","Days=T","Dir=V")</f>
        <v>0</v>
      </c>
      <c r="U2">
        <f>BDH("PRSU US Equity","BS_INVENTORIES","1993-06-18","2026-05-02","Per=Y","Days=T","Dir=V")</f>
        <v>0</v>
      </c>
      <c r="W2">
        <f>BDH("PRSU US Equity","WORKING_CAPITAL","1993-06-18","2026-05-02","Per=Y","Days=T","Dir=V")</f>
        <v>0</v>
      </c>
      <c r="Y2">
        <f>BDH("PRSU US Equity","SALES_REV_TURN","1993-06-18","2026-05-02","Per=Y","Days=T","Dir=V")</f>
        <v>0</v>
      </c>
      <c r="AA2">
        <f>BDH("PRSU US Equity","EBIT","1993-06-18","2026-05-02","Per=Y","Days=T","Dir=V")</f>
        <v>0</v>
      </c>
      <c r="AC2">
        <f>BDH("PRSU US Equity","EBITDA","1993-06-18","2026-05-02","Per=Y","Days=T","Dir=V")</f>
        <v>0</v>
      </c>
      <c r="AE2">
        <f>BDH("PRSU US Equity","NET_INCOME","1993-06-18","2026-05-02","Per=Y","Days=T","Dir=V")</f>
        <v>0</v>
      </c>
      <c r="AG2">
        <f>BDH("PRSU US Equity","IS_INT_EXPENSE","1993-06-18","2026-05-02","Per=Y","Days=T","Dir=V")</f>
        <v>0</v>
      </c>
      <c r="AI2">
        <f>BDH("PRSU US Equity","IS_DEPR_EXP","1993-06-18","2026-05-02","Per=Y","Days=T","Dir=V")</f>
        <v>0</v>
      </c>
      <c r="AK2">
        <f>BDH("PRSU US Equity","CF_CASH_FROM_OPER","1993-06-18","2026-05-02","Per=Y","Days=T","Dir=V")</f>
        <v>0</v>
      </c>
      <c r="AM2">
        <f>BDH("PRSU US Equity","CAPITAL_EXPEND","1993-06-18","2026-05-02","Per=Y","Days=T","Dir=V")</f>
        <v>0</v>
      </c>
      <c r="AO2">
        <f>BDH("PRSU US Equity","CF_FREE_CASH_FLOW","1993-06-18","2026-05-02","Per=Y","Days=T","Dir=V")</f>
        <v>0</v>
      </c>
      <c r="AQ2">
        <f>BDH("PRSU US Equity","PX_LAST","1993-06-18","2026-05-02","Per=M","Days=T","Dir=V")</f>
        <v>0</v>
      </c>
      <c r="AS2">
        <f>BDH("PRSU US Equity","CUR_MKT_CAP","1993-06-18","2026-05-02","Per=M","Days=T","Dir=V")</f>
        <v>0</v>
      </c>
      <c r="AU2">
        <f>BDH("PRSU US Equity","EQY_SH_OUT","1993-06-18","2026-05-02","Per=M","Days=T","Dir=V")</f>
        <v>0</v>
      </c>
      <c r="AW2">
        <f>BDH("PRSU US Equity","PX_VOLUME","1993-06-18","2026-05-02","Per=M","Days=T","Dir=V")</f>
        <v>0</v>
      </c>
      <c r="AY2">
        <f>BDH("PRSU US Equity","TURNOVER","1993-06-18","2026-05-02","Per=M","Days=T","Dir=V")</f>
        <v>0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BDH("PRT US Equity","BS_TOT_ASSET","1993-06-18","2026-05-02","Per=Y","Days=T","Dir=V")</f>
        <v>0</v>
      </c>
      <c r="C2">
        <f>BDH("PRT US Equity","BS_TOT_LIAB2","1993-06-18","2026-05-02","Per=Y","Days=T","Dir=V")</f>
        <v>0</v>
      </c>
      <c r="E2">
        <f>BDH("PRT US Equity","SHORT_AND_LONG_TERM_DEBT","1993-06-18","2026-05-02","Per=Y","Days=T","Dir=V")</f>
        <v>0</v>
      </c>
      <c r="G2">
        <f>BDH("PRT US Equity","BS_ST_BORROW","1993-06-18","2026-05-02","Per=Y","Days=T","Dir=V")</f>
        <v>0</v>
      </c>
      <c r="I2">
        <f>BDH("PRT US Equity","BS_LT_BORROW","1993-06-18","2026-05-02","Per=Y","Days=T","Dir=V")</f>
        <v>0</v>
      </c>
      <c r="K2">
        <f>BDH("PRT US Equity","BS_CASH_NEAR_CASH_ITEM","1993-06-18","2026-05-02","Per=Y","Days=T","Dir=V")</f>
        <v>0</v>
      </c>
      <c r="M2">
        <f>BDH("PRT US Equity","BS_CUR_ASSET_REPORT","1993-06-18","2026-05-02","Per=Y","Days=T","Dir=V")</f>
        <v>0</v>
      </c>
      <c r="O2">
        <f>BDH("PRT US Equity","BS_CUR_LIAB","1993-06-18","2026-05-02","Per=Y","Days=T","Dir=V")</f>
        <v>0</v>
      </c>
      <c r="Q2">
        <f>BDH("PRT US Equity","BS_SHAREHOLDER_EQY_ENDING_PERIOD","1993-06-18","2026-05-02","Per=Y","Days=T","Dir=V")</f>
        <v>0</v>
      </c>
      <c r="S2">
        <f>BDH("PRT US Equity","BS_ACCT_NOTE_RCV","1993-06-18","2026-05-02","Per=Y","Days=T","Dir=V")</f>
        <v>0</v>
      </c>
      <c r="U2">
        <f>BDH("PRT US Equity","BS_INVENTORIES","1993-06-18","2026-05-02","Per=Y","Days=T","Dir=V")</f>
        <v>0</v>
      </c>
      <c r="W2">
        <f>BDH("PRT US Equity","WORKING_CAPITAL","1993-06-18","2026-05-02","Per=Y","Days=T","Dir=V")</f>
        <v>0</v>
      </c>
      <c r="Y2">
        <f>BDH("PRT US Equity","SALES_REV_TURN","1993-06-18","2026-05-02","Per=Y","Days=T","Dir=V")</f>
        <v>0</v>
      </c>
      <c r="AA2">
        <f>BDH("PRT US Equity","EBIT","1993-06-18","2026-05-02","Per=Y","Days=T","Dir=V")</f>
        <v>0</v>
      </c>
      <c r="AC2">
        <f>BDH("PRT US Equity","EBITDA","1993-06-18","2026-05-02","Per=Y","Days=T","Dir=V")</f>
        <v>0</v>
      </c>
      <c r="AE2">
        <f>BDH("PRT US Equity","NET_INCOME","1993-06-18","2026-05-02","Per=Y","Days=T","Dir=V")</f>
        <v>0</v>
      </c>
      <c r="AG2">
        <f>BDH("PRT US Equity","IS_INT_EXPENSE","1993-06-18","2026-05-02","Per=Y","Days=T","Dir=V")</f>
        <v>0</v>
      </c>
      <c r="AI2">
        <f>BDH("PRT US Equity","IS_DEPR_EXP","1993-06-18","2026-05-02","Per=Y","Days=T","Dir=V")</f>
        <v>0</v>
      </c>
      <c r="AK2">
        <f>BDH("PRT US Equity","CF_CASH_FROM_OPER","1993-06-18","2026-05-02","Per=Y","Days=T","Dir=V")</f>
        <v>0</v>
      </c>
      <c r="AM2">
        <f>BDH("PRT US Equity","CAPITAL_EXPEND","1993-06-18","2026-05-02","Per=Y","Days=T","Dir=V")</f>
        <v>0</v>
      </c>
      <c r="AO2">
        <f>BDH("PRT US Equity","CF_FREE_CASH_FLOW","1993-06-18","2026-05-02","Per=Y","Days=T","Dir=V")</f>
        <v>0</v>
      </c>
      <c r="AQ2">
        <f>BDH("PRT US Equity","PX_LAST","1993-06-18","2026-05-02","Per=M","Days=T","Dir=V")</f>
        <v>0</v>
      </c>
      <c r="AS2">
        <f>BDH("PRT US Equity","CUR_MKT_CAP","1993-06-18","2026-05-02","Per=M","Days=T","Dir=V")</f>
        <v>0</v>
      </c>
      <c r="AU2">
        <f>BDH("PRT US Equity","EQY_SH_OUT","1993-06-18","2026-05-02","Per=M","Days=T","Dir=V")</f>
        <v>0</v>
      </c>
      <c r="AW2">
        <f>BDH("PRT US Equity","PX_VOLUME","1993-06-18","2026-05-02","Per=M","Days=T","Dir=V")</f>
        <v>0</v>
      </c>
      <c r="AY2">
        <f>BDH("PRT US Equity","TURNOVER","1993-06-18","2026-05-02","Per=M","Days=T","Dir=V")</f>
        <v>0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BDH("PRTA US Equity","BS_TOT_ASSET","1993-06-18","2026-05-02","Per=Y","Days=T","Dir=V")</f>
        <v>0</v>
      </c>
      <c r="C2">
        <f>BDH("PRTA US Equity","BS_TOT_LIAB2","1993-06-18","2026-05-02","Per=Y","Days=T","Dir=V")</f>
        <v>0</v>
      </c>
      <c r="E2">
        <f>BDH("PRTA US Equity","SHORT_AND_LONG_TERM_DEBT","1993-06-18","2026-05-02","Per=Y","Days=T","Dir=V")</f>
        <v>0</v>
      </c>
      <c r="G2">
        <f>BDH("PRTA US Equity","BS_ST_BORROW","1993-06-18","2026-05-02","Per=Y","Days=T","Dir=V")</f>
        <v>0</v>
      </c>
      <c r="I2">
        <f>BDH("PRTA US Equity","BS_LT_BORROW","1993-06-18","2026-05-02","Per=Y","Days=T","Dir=V")</f>
        <v>0</v>
      </c>
      <c r="K2">
        <f>BDH("PRTA US Equity","BS_CASH_NEAR_CASH_ITEM","1993-06-18","2026-05-02","Per=Y","Days=T","Dir=V")</f>
        <v>0</v>
      </c>
      <c r="M2">
        <f>BDH("PRTA US Equity","BS_CUR_ASSET_REPORT","1993-06-18","2026-05-02","Per=Y","Days=T","Dir=V")</f>
        <v>0</v>
      </c>
      <c r="O2">
        <f>BDH("PRTA US Equity","BS_CUR_LIAB","1993-06-18","2026-05-02","Per=Y","Days=T","Dir=V")</f>
        <v>0</v>
      </c>
      <c r="Q2">
        <f>BDH("PRTA US Equity","BS_SHAREHOLDER_EQY_ENDING_PERIOD","1993-06-18","2026-05-02","Per=Y","Days=T","Dir=V")</f>
        <v>0</v>
      </c>
      <c r="S2">
        <f>BDH("PRTA US Equity","BS_ACCT_NOTE_RCV","1993-06-18","2026-05-02","Per=Y","Days=T","Dir=V")</f>
        <v>0</v>
      </c>
      <c r="U2">
        <f>BDH("PRTA US Equity","BS_INVENTORIES","1993-06-18","2026-05-02","Per=Y","Days=T","Dir=V")</f>
        <v>0</v>
      </c>
      <c r="W2">
        <f>BDH("PRTA US Equity","WORKING_CAPITAL","1993-06-18","2026-05-02","Per=Y","Days=T","Dir=V")</f>
        <v>0</v>
      </c>
      <c r="Y2">
        <f>BDH("PRTA US Equity","SALES_REV_TURN","1993-06-18","2026-05-02","Per=Y","Days=T","Dir=V")</f>
        <v>0</v>
      </c>
      <c r="AA2">
        <f>BDH("PRTA US Equity","EBIT","1993-06-18","2026-05-02","Per=Y","Days=T","Dir=V")</f>
        <v>0</v>
      </c>
      <c r="AC2">
        <f>BDH("PRTA US Equity","EBITDA","1993-06-18","2026-05-02","Per=Y","Days=T","Dir=V")</f>
        <v>0</v>
      </c>
      <c r="AE2">
        <f>BDH("PRTA US Equity","NET_INCOME","1993-06-18","2026-05-02","Per=Y","Days=T","Dir=V")</f>
        <v>0</v>
      </c>
      <c r="AG2">
        <f>BDH("PRTA US Equity","IS_INT_EXPENSE","1993-06-18","2026-05-02","Per=Y","Days=T","Dir=V")</f>
        <v>0</v>
      </c>
      <c r="AI2">
        <f>BDH("PRTA US Equity","IS_DEPR_EXP","1993-06-18","2026-05-02","Per=Y","Days=T","Dir=V")</f>
        <v>0</v>
      </c>
      <c r="AK2">
        <f>BDH("PRTA US Equity","CF_CASH_FROM_OPER","1993-06-18","2026-05-02","Per=Y","Days=T","Dir=V")</f>
        <v>0</v>
      </c>
      <c r="AM2">
        <f>BDH("PRTA US Equity","CAPITAL_EXPEND","1993-06-18","2026-05-02","Per=Y","Days=T","Dir=V")</f>
        <v>0</v>
      </c>
      <c r="AO2">
        <f>BDH("PRTA US Equity","CF_FREE_CASH_FLOW","1993-06-18","2026-05-02","Per=Y","Days=T","Dir=V")</f>
        <v>0</v>
      </c>
      <c r="AQ2">
        <f>BDH("PRTA US Equity","PX_LAST","1993-06-18","2026-05-02","Per=M","Days=T","Dir=V")</f>
        <v>0</v>
      </c>
      <c r="AS2">
        <f>BDH("PRTA US Equity","CUR_MKT_CAP","1993-06-18","2026-05-02","Per=M","Days=T","Dir=V")</f>
        <v>0</v>
      </c>
      <c r="AU2">
        <f>BDH("PRTA US Equity","EQY_SH_OUT","1993-06-18","2026-05-02","Per=M","Days=T","Dir=V")</f>
        <v>0</v>
      </c>
      <c r="AW2">
        <f>BDH("PRTA US Equity","PX_VOLUME","1993-06-18","2026-05-02","Per=M","Days=T","Dir=V")</f>
        <v>0</v>
      </c>
      <c r="AY2">
        <f>BDH("PRTA US Equity","TURNOVER","1993-06-18","2026-05-02","Per=M","Days=T","Dir=V")</f>
        <v>0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BDH("PRTH US Equity","BS_TOT_ASSET","1993-06-18","2026-05-02","Per=Y","Days=T","Dir=V")</f>
        <v>0</v>
      </c>
      <c r="C2">
        <f>BDH("PRTH US Equity","BS_TOT_LIAB2","1993-06-18","2026-05-02","Per=Y","Days=T","Dir=V")</f>
        <v>0</v>
      </c>
      <c r="E2">
        <f>BDH("PRTH US Equity","SHORT_AND_LONG_TERM_DEBT","1993-06-18","2026-05-02","Per=Y","Days=T","Dir=V")</f>
        <v>0</v>
      </c>
      <c r="G2">
        <f>BDH("PRTH US Equity","BS_ST_BORROW","1993-06-18","2026-05-02","Per=Y","Days=T","Dir=V")</f>
        <v>0</v>
      </c>
      <c r="I2">
        <f>BDH("PRTH US Equity","BS_LT_BORROW","1993-06-18","2026-05-02","Per=Y","Days=T","Dir=V")</f>
        <v>0</v>
      </c>
      <c r="K2">
        <f>BDH("PRTH US Equity","BS_CASH_NEAR_CASH_ITEM","1993-06-18","2026-05-02","Per=Y","Days=T","Dir=V")</f>
        <v>0</v>
      </c>
      <c r="M2">
        <f>BDH("PRTH US Equity","BS_CUR_ASSET_REPORT","1993-06-18","2026-05-02","Per=Y","Days=T","Dir=V")</f>
        <v>0</v>
      </c>
      <c r="O2">
        <f>BDH("PRTH US Equity","BS_CUR_LIAB","1993-06-18","2026-05-02","Per=Y","Days=T","Dir=V")</f>
        <v>0</v>
      </c>
      <c r="Q2">
        <f>BDH("PRTH US Equity","BS_SHAREHOLDER_EQY_ENDING_PERIOD","1993-06-18","2026-05-02","Per=Y","Days=T","Dir=V")</f>
        <v>0</v>
      </c>
      <c r="S2">
        <f>BDH("PRTH US Equity","BS_ACCT_NOTE_RCV","1993-06-18","2026-05-02","Per=Y","Days=T","Dir=V")</f>
        <v>0</v>
      </c>
      <c r="U2">
        <f>BDH("PRTH US Equity","BS_INVENTORIES","1993-06-18","2026-05-02","Per=Y","Days=T","Dir=V")</f>
        <v>0</v>
      </c>
      <c r="W2">
        <f>BDH("PRTH US Equity","WORKING_CAPITAL","1993-06-18","2026-05-02","Per=Y","Days=T","Dir=V")</f>
        <v>0</v>
      </c>
      <c r="Y2">
        <f>BDH("PRTH US Equity","SALES_REV_TURN","1993-06-18","2026-05-02","Per=Y","Days=T","Dir=V")</f>
        <v>0</v>
      </c>
      <c r="AA2">
        <f>BDH("PRTH US Equity","EBIT","1993-06-18","2026-05-02","Per=Y","Days=T","Dir=V")</f>
        <v>0</v>
      </c>
      <c r="AC2">
        <f>BDH("PRTH US Equity","EBITDA","1993-06-18","2026-05-02","Per=Y","Days=T","Dir=V")</f>
        <v>0</v>
      </c>
      <c r="AE2">
        <f>BDH("PRTH US Equity","NET_INCOME","1993-06-18","2026-05-02","Per=Y","Days=T","Dir=V")</f>
        <v>0</v>
      </c>
      <c r="AG2">
        <f>BDH("PRTH US Equity","IS_INT_EXPENSE","1993-06-18","2026-05-02","Per=Y","Days=T","Dir=V")</f>
        <v>0</v>
      </c>
      <c r="AI2">
        <f>BDH("PRTH US Equity","IS_DEPR_EXP","1993-06-18","2026-05-02","Per=Y","Days=T","Dir=V")</f>
        <v>0</v>
      </c>
      <c r="AK2">
        <f>BDH("PRTH US Equity","CF_CASH_FROM_OPER","1993-06-18","2026-05-02","Per=Y","Days=T","Dir=V")</f>
        <v>0</v>
      </c>
      <c r="AM2">
        <f>BDH("PRTH US Equity","CAPITAL_EXPEND","1993-06-18","2026-05-02","Per=Y","Days=T","Dir=V")</f>
        <v>0</v>
      </c>
      <c r="AO2">
        <f>BDH("PRTH US Equity","CF_FREE_CASH_FLOW","1993-06-18","2026-05-02","Per=Y","Days=T","Dir=V")</f>
        <v>0</v>
      </c>
      <c r="AQ2">
        <f>BDH("PRTH US Equity","PX_LAST","1993-06-18","2026-05-02","Per=M","Days=T","Dir=V")</f>
        <v>0</v>
      </c>
      <c r="AS2">
        <f>BDH("PRTH US Equity","CUR_MKT_CAP","1993-06-18","2026-05-02","Per=M","Days=T","Dir=V")</f>
        <v>0</v>
      </c>
      <c r="AU2">
        <f>BDH("PRTH US Equity","EQY_SH_OUT","1993-06-18","2026-05-02","Per=M","Days=T","Dir=V")</f>
        <v>0</v>
      </c>
      <c r="AW2">
        <f>BDH("PRTH US Equity","PX_VOLUME","1993-06-18","2026-05-02","Per=M","Days=T","Dir=V")</f>
        <v>0</v>
      </c>
      <c r="AY2">
        <f>BDH("PRTH US Equity","TURNOVER","1993-06-18","2026-05-02","Per=M","Days=T","Dir=V")</f>
        <v>0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BDH("PRTS US Equity","BS_TOT_ASSET","1993-06-18","2026-05-02","Per=Y","Days=T","Dir=V")</f>
        <v>0</v>
      </c>
      <c r="C2">
        <f>BDH("PRTS US Equity","BS_TOT_LIAB2","1993-06-18","2026-05-02","Per=Y","Days=T","Dir=V")</f>
        <v>0</v>
      </c>
      <c r="E2">
        <f>BDH("PRTS US Equity","SHORT_AND_LONG_TERM_DEBT","1993-06-18","2026-05-02","Per=Y","Days=T","Dir=V")</f>
        <v>0</v>
      </c>
      <c r="G2">
        <f>BDH("PRTS US Equity","BS_ST_BORROW","1993-06-18","2026-05-02","Per=Y","Days=T","Dir=V")</f>
        <v>0</v>
      </c>
      <c r="I2">
        <f>BDH("PRTS US Equity","BS_LT_BORROW","1993-06-18","2026-05-02","Per=Y","Days=T","Dir=V")</f>
        <v>0</v>
      </c>
      <c r="K2">
        <f>BDH("PRTS US Equity","BS_CASH_NEAR_CASH_ITEM","1993-06-18","2026-05-02","Per=Y","Days=T","Dir=V")</f>
        <v>0</v>
      </c>
      <c r="M2">
        <f>BDH("PRTS US Equity","BS_CUR_ASSET_REPORT","1993-06-18","2026-05-02","Per=Y","Days=T","Dir=V")</f>
        <v>0</v>
      </c>
      <c r="O2">
        <f>BDH("PRTS US Equity","BS_CUR_LIAB","1993-06-18","2026-05-02","Per=Y","Days=T","Dir=V")</f>
        <v>0</v>
      </c>
      <c r="Q2">
        <f>BDH("PRTS US Equity","BS_SHAREHOLDER_EQY_ENDING_PERIOD","1993-06-18","2026-05-02","Per=Y","Days=T","Dir=V")</f>
        <v>0</v>
      </c>
      <c r="S2">
        <f>BDH("PRTS US Equity","BS_ACCT_NOTE_RCV","1993-06-18","2026-05-02","Per=Y","Days=T","Dir=V")</f>
        <v>0</v>
      </c>
      <c r="U2">
        <f>BDH("PRTS US Equity","BS_INVENTORIES","1993-06-18","2026-05-02","Per=Y","Days=T","Dir=V")</f>
        <v>0</v>
      </c>
      <c r="W2">
        <f>BDH("PRTS US Equity","WORKING_CAPITAL","1993-06-18","2026-05-02","Per=Y","Days=T","Dir=V")</f>
        <v>0</v>
      </c>
      <c r="Y2">
        <f>BDH("PRTS US Equity","SALES_REV_TURN","1993-06-18","2026-05-02","Per=Y","Days=T","Dir=V")</f>
        <v>0</v>
      </c>
      <c r="AA2">
        <f>BDH("PRTS US Equity","EBIT","1993-06-18","2026-05-02","Per=Y","Days=T","Dir=V")</f>
        <v>0</v>
      </c>
      <c r="AC2">
        <f>BDH("PRTS US Equity","EBITDA","1993-06-18","2026-05-02","Per=Y","Days=T","Dir=V")</f>
        <v>0</v>
      </c>
      <c r="AE2">
        <f>BDH("PRTS US Equity","NET_INCOME","1993-06-18","2026-05-02","Per=Y","Days=T","Dir=V")</f>
        <v>0</v>
      </c>
      <c r="AG2">
        <f>BDH("PRTS US Equity","IS_INT_EXPENSE","1993-06-18","2026-05-02","Per=Y","Days=T","Dir=V")</f>
        <v>0</v>
      </c>
      <c r="AI2">
        <f>BDH("PRTS US Equity","IS_DEPR_EXP","1993-06-18","2026-05-02","Per=Y","Days=T","Dir=V")</f>
        <v>0</v>
      </c>
      <c r="AK2">
        <f>BDH("PRTS US Equity","CF_CASH_FROM_OPER","1993-06-18","2026-05-02","Per=Y","Days=T","Dir=V")</f>
        <v>0</v>
      </c>
      <c r="AM2">
        <f>BDH("PRTS US Equity","CAPITAL_EXPEND","1993-06-18","2026-05-02","Per=Y","Days=T","Dir=V")</f>
        <v>0</v>
      </c>
      <c r="AO2">
        <f>BDH("PRTS US Equity","CF_FREE_CASH_FLOW","1993-06-18","2026-05-02","Per=Y","Days=T","Dir=V")</f>
        <v>0</v>
      </c>
      <c r="AQ2">
        <f>BDH("PRTS US Equity","PX_LAST","1993-06-18","2026-05-02","Per=M","Days=T","Dir=V")</f>
        <v>0</v>
      </c>
      <c r="AS2">
        <f>BDH("PRTS US Equity","CUR_MKT_CAP","1993-06-18","2026-05-02","Per=M","Days=T","Dir=V")</f>
        <v>0</v>
      </c>
      <c r="AU2">
        <f>BDH("PRTS US Equity","EQY_SH_OUT","1993-06-18","2026-05-02","Per=M","Days=T","Dir=V")</f>
        <v>0</v>
      </c>
      <c r="AW2">
        <f>BDH("PRTS US Equity","PX_VOLUME","1993-06-18","2026-05-02","Per=M","Days=T","Dir=V")</f>
        <v>0</v>
      </c>
      <c r="AY2">
        <f>BDH("PRTS US Equity","TURNOVER","1993-06-18","2026-05-02","Per=M","Days=T","Dir=V")</f>
        <v>0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BDH("PRVA US Equity","BS_TOT_ASSET","1993-06-18","2026-05-02","Per=Y","Days=T","Dir=V")</f>
        <v>0</v>
      </c>
      <c r="C2">
        <f>BDH("PRVA US Equity","BS_TOT_LIAB2","1993-06-18","2026-05-02","Per=Y","Days=T","Dir=V")</f>
        <v>0</v>
      </c>
      <c r="E2">
        <f>BDH("PRVA US Equity","SHORT_AND_LONG_TERM_DEBT","1993-06-18","2026-05-02","Per=Y","Days=T","Dir=V")</f>
        <v>0</v>
      </c>
      <c r="G2">
        <f>BDH("PRVA US Equity","BS_ST_BORROW","1993-06-18","2026-05-02","Per=Y","Days=T","Dir=V")</f>
        <v>0</v>
      </c>
      <c r="I2">
        <f>BDH("PRVA US Equity","BS_LT_BORROW","1993-06-18","2026-05-02","Per=Y","Days=T","Dir=V")</f>
        <v>0</v>
      </c>
      <c r="K2">
        <f>BDH("PRVA US Equity","BS_CASH_NEAR_CASH_ITEM","1993-06-18","2026-05-02","Per=Y","Days=T","Dir=V")</f>
        <v>0</v>
      </c>
      <c r="M2">
        <f>BDH("PRVA US Equity","BS_CUR_ASSET_REPORT","1993-06-18","2026-05-02","Per=Y","Days=T","Dir=V")</f>
        <v>0</v>
      </c>
      <c r="O2">
        <f>BDH("PRVA US Equity","BS_CUR_LIAB","1993-06-18","2026-05-02","Per=Y","Days=T","Dir=V")</f>
        <v>0</v>
      </c>
      <c r="Q2">
        <f>BDH("PRVA US Equity","BS_SHAREHOLDER_EQY_ENDING_PERIOD","1993-06-18","2026-05-02","Per=Y","Days=T","Dir=V")</f>
        <v>0</v>
      </c>
      <c r="S2">
        <f>BDH("PRVA US Equity","BS_ACCT_NOTE_RCV","1993-06-18","2026-05-02","Per=Y","Days=T","Dir=V")</f>
        <v>0</v>
      </c>
      <c r="U2">
        <f>BDH("PRVA US Equity","BS_INVENTORIES","1993-06-18","2026-05-02","Per=Y","Days=T","Dir=V")</f>
        <v>0</v>
      </c>
      <c r="W2">
        <f>BDH("PRVA US Equity","WORKING_CAPITAL","1993-06-18","2026-05-02","Per=Y","Days=T","Dir=V")</f>
        <v>0</v>
      </c>
      <c r="Y2">
        <f>BDH("PRVA US Equity","SALES_REV_TURN","1993-06-18","2026-05-02","Per=Y","Days=T","Dir=V")</f>
        <v>0</v>
      </c>
      <c r="AA2">
        <f>BDH("PRVA US Equity","EBIT","1993-06-18","2026-05-02","Per=Y","Days=T","Dir=V")</f>
        <v>0</v>
      </c>
      <c r="AC2">
        <f>BDH("PRVA US Equity","EBITDA","1993-06-18","2026-05-02","Per=Y","Days=T","Dir=V")</f>
        <v>0</v>
      </c>
      <c r="AE2">
        <f>BDH("PRVA US Equity","NET_INCOME","1993-06-18","2026-05-02","Per=Y","Days=T","Dir=V")</f>
        <v>0</v>
      </c>
      <c r="AG2">
        <f>BDH("PRVA US Equity","IS_INT_EXPENSE","1993-06-18","2026-05-02","Per=Y","Days=T","Dir=V")</f>
        <v>0</v>
      </c>
      <c r="AI2">
        <f>BDH("PRVA US Equity","IS_DEPR_EXP","1993-06-18","2026-05-02","Per=Y","Days=T","Dir=V")</f>
        <v>0</v>
      </c>
      <c r="AK2">
        <f>BDH("PRVA US Equity","CF_CASH_FROM_OPER","1993-06-18","2026-05-02","Per=Y","Days=T","Dir=V")</f>
        <v>0</v>
      </c>
      <c r="AM2">
        <f>BDH("PRVA US Equity","CAPITAL_EXPEND","1993-06-18","2026-05-02","Per=Y","Days=T","Dir=V")</f>
        <v>0</v>
      </c>
      <c r="AO2">
        <f>BDH("PRVA US Equity","CF_FREE_CASH_FLOW","1993-06-18","2026-05-02","Per=Y","Days=T","Dir=V")</f>
        <v>0</v>
      </c>
      <c r="AQ2">
        <f>BDH("PRVA US Equity","PX_LAST","1993-06-18","2026-05-02","Per=M","Days=T","Dir=V")</f>
        <v>0</v>
      </c>
      <c r="AS2">
        <f>BDH("PRVA US Equity","CUR_MKT_CAP","1993-06-18","2026-05-02","Per=M","Days=T","Dir=V")</f>
        <v>0</v>
      </c>
      <c r="AU2">
        <f>BDH("PRVA US Equity","EQY_SH_OUT","1993-06-18","2026-05-02","Per=M","Days=T","Dir=V")</f>
        <v>0</v>
      </c>
      <c r="AW2">
        <f>BDH("PRVA US Equity","PX_VOLUME","1993-06-18","2026-05-02","Per=M","Days=T","Dir=V")</f>
        <v>0</v>
      </c>
      <c r="AY2">
        <f>BDH("PRVA US Equity","TURNOVER","1993-06-18","2026-05-02","Per=M","Days=T","Dir=V")</f>
        <v>0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BDH("PSIX US Equity","BS_TOT_ASSET","1993-06-18","2026-05-02","Per=Y","Days=T","Dir=V")</f>
        <v>0</v>
      </c>
      <c r="C2">
        <f>BDH("PSIX US Equity","BS_TOT_LIAB2","1993-06-18","2026-05-02","Per=Y","Days=T","Dir=V")</f>
        <v>0</v>
      </c>
      <c r="E2">
        <f>BDH("PSIX US Equity","SHORT_AND_LONG_TERM_DEBT","1993-06-18","2026-05-02","Per=Y","Days=T","Dir=V")</f>
        <v>0</v>
      </c>
      <c r="G2">
        <f>BDH("PSIX US Equity","BS_ST_BORROW","1993-06-18","2026-05-02","Per=Y","Days=T","Dir=V")</f>
        <v>0</v>
      </c>
      <c r="I2">
        <f>BDH("PSIX US Equity","BS_LT_BORROW","1993-06-18","2026-05-02","Per=Y","Days=T","Dir=V")</f>
        <v>0</v>
      </c>
      <c r="K2">
        <f>BDH("PSIX US Equity","BS_CASH_NEAR_CASH_ITEM","1993-06-18","2026-05-02","Per=Y","Days=T","Dir=V")</f>
        <v>0</v>
      </c>
      <c r="M2">
        <f>BDH("PSIX US Equity","BS_CUR_ASSET_REPORT","1993-06-18","2026-05-02","Per=Y","Days=T","Dir=V")</f>
        <v>0</v>
      </c>
      <c r="O2">
        <f>BDH("PSIX US Equity","BS_CUR_LIAB","1993-06-18","2026-05-02","Per=Y","Days=T","Dir=V")</f>
        <v>0</v>
      </c>
      <c r="Q2">
        <f>BDH("PSIX US Equity","BS_SHAREHOLDER_EQY_ENDING_PERIOD","1993-06-18","2026-05-02","Per=Y","Days=T","Dir=V")</f>
        <v>0</v>
      </c>
      <c r="S2">
        <f>BDH("PSIX US Equity","BS_ACCT_NOTE_RCV","1993-06-18","2026-05-02","Per=Y","Days=T","Dir=V")</f>
        <v>0</v>
      </c>
      <c r="U2">
        <f>BDH("PSIX US Equity","BS_INVENTORIES","1993-06-18","2026-05-02","Per=Y","Days=T","Dir=V")</f>
        <v>0</v>
      </c>
      <c r="W2">
        <f>BDH("PSIX US Equity","WORKING_CAPITAL","1993-06-18","2026-05-02","Per=Y","Days=T","Dir=V")</f>
        <v>0</v>
      </c>
      <c r="Y2">
        <f>BDH("PSIX US Equity","SALES_REV_TURN","1993-06-18","2026-05-02","Per=Y","Days=T","Dir=V")</f>
        <v>0</v>
      </c>
      <c r="AA2">
        <f>BDH("PSIX US Equity","EBIT","1993-06-18","2026-05-02","Per=Y","Days=T","Dir=V")</f>
        <v>0</v>
      </c>
      <c r="AC2">
        <f>BDH("PSIX US Equity","EBITDA","1993-06-18","2026-05-02","Per=Y","Days=T","Dir=V")</f>
        <v>0</v>
      </c>
      <c r="AE2">
        <f>BDH("PSIX US Equity","NET_INCOME","1993-06-18","2026-05-02","Per=Y","Days=T","Dir=V")</f>
        <v>0</v>
      </c>
      <c r="AG2">
        <f>BDH("PSIX US Equity","IS_INT_EXPENSE","1993-06-18","2026-05-02","Per=Y","Days=T","Dir=V")</f>
        <v>0</v>
      </c>
      <c r="AI2">
        <f>BDH("PSIX US Equity","IS_DEPR_EXP","1993-06-18","2026-05-02","Per=Y","Days=T","Dir=V")</f>
        <v>0</v>
      </c>
      <c r="AK2">
        <f>BDH("PSIX US Equity","CF_CASH_FROM_OPER","1993-06-18","2026-05-02","Per=Y","Days=T","Dir=V")</f>
        <v>0</v>
      </c>
      <c r="AM2">
        <f>BDH("PSIX US Equity","CAPITAL_EXPEND","1993-06-18","2026-05-02","Per=Y","Days=T","Dir=V")</f>
        <v>0</v>
      </c>
      <c r="AO2">
        <f>BDH("PSIX US Equity","CF_FREE_CASH_FLOW","1993-06-18","2026-05-02","Per=Y","Days=T","Dir=V")</f>
        <v>0</v>
      </c>
      <c r="AQ2">
        <f>BDH("PSIX US Equity","PX_LAST","1993-06-18","2026-05-02","Per=M","Days=T","Dir=V")</f>
        <v>0</v>
      </c>
      <c r="AS2">
        <f>BDH("PSIX US Equity","CUR_MKT_CAP","1993-06-18","2026-05-02","Per=M","Days=T","Dir=V")</f>
        <v>0</v>
      </c>
      <c r="AU2">
        <f>BDH("PSIX US Equity","EQY_SH_OUT","1993-06-18","2026-05-02","Per=M","Days=T","Dir=V")</f>
        <v>0</v>
      </c>
      <c r="AW2">
        <f>BDH("PSIX US Equity","PX_VOLUME","1993-06-18","2026-05-02","Per=M","Days=T","Dir=V")</f>
        <v>0</v>
      </c>
      <c r="AY2">
        <f>BDH("PSIX US Equity","TURNOVER","1993-06-18","2026-05-02","Per=M","Days=T","Dir=V")</f>
        <v>0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BDH("PSKY US Equity","BS_TOT_ASSET","1993-06-18","2026-05-02","Per=Y","Days=T","Dir=V")</f>
        <v>0</v>
      </c>
      <c r="C2">
        <f>BDH("PSKY US Equity","BS_TOT_LIAB2","1993-06-18","2026-05-02","Per=Y","Days=T","Dir=V")</f>
        <v>0</v>
      </c>
      <c r="E2">
        <f>BDH("PSKY US Equity","SHORT_AND_LONG_TERM_DEBT","1993-06-18","2026-05-02","Per=Y","Days=T","Dir=V")</f>
        <v>0</v>
      </c>
      <c r="G2">
        <f>BDH("PSKY US Equity","BS_ST_BORROW","1993-06-18","2026-05-02","Per=Y","Days=T","Dir=V")</f>
        <v>0</v>
      </c>
      <c r="I2">
        <f>BDH("PSKY US Equity","BS_LT_BORROW","1993-06-18","2026-05-02","Per=Y","Days=T","Dir=V")</f>
        <v>0</v>
      </c>
      <c r="K2">
        <f>BDH("PSKY US Equity","BS_CASH_NEAR_CASH_ITEM","1993-06-18","2026-05-02","Per=Y","Days=T","Dir=V")</f>
        <v>0</v>
      </c>
      <c r="M2">
        <f>BDH("PSKY US Equity","BS_CUR_ASSET_REPORT","1993-06-18","2026-05-02","Per=Y","Days=T","Dir=V")</f>
        <v>0</v>
      </c>
      <c r="O2">
        <f>BDH("PSKY US Equity","BS_CUR_LIAB","1993-06-18","2026-05-02","Per=Y","Days=T","Dir=V")</f>
        <v>0</v>
      </c>
      <c r="Q2">
        <f>BDH("PSKY US Equity","BS_SHAREHOLDER_EQY_ENDING_PERIOD","1993-06-18","2026-05-02","Per=Y","Days=T","Dir=V")</f>
        <v>0</v>
      </c>
      <c r="S2">
        <f>BDH("PSKY US Equity","BS_ACCT_NOTE_RCV","1993-06-18","2026-05-02","Per=Y","Days=T","Dir=V")</f>
        <v>0</v>
      </c>
      <c r="U2">
        <f>BDH("PSKY US Equity","BS_INVENTORIES","1993-06-18","2026-05-02","Per=Y","Days=T","Dir=V")</f>
        <v>0</v>
      </c>
      <c r="W2">
        <f>BDH("PSKY US Equity","WORKING_CAPITAL","1993-06-18","2026-05-02","Per=Y","Days=T","Dir=V")</f>
        <v>0</v>
      </c>
      <c r="Y2">
        <f>BDH("PSKY US Equity","SALES_REV_TURN","1993-06-18","2026-05-02","Per=Y","Days=T","Dir=V")</f>
        <v>0</v>
      </c>
      <c r="AA2">
        <f>BDH("PSKY US Equity","EBIT","1993-06-18","2026-05-02","Per=Y","Days=T","Dir=V")</f>
        <v>0</v>
      </c>
      <c r="AC2">
        <f>BDH("PSKY US Equity","EBITDA","1993-06-18","2026-05-02","Per=Y","Days=T","Dir=V")</f>
        <v>0</v>
      </c>
      <c r="AE2">
        <f>BDH("PSKY US Equity","NET_INCOME","1993-06-18","2026-05-02","Per=Y","Days=T","Dir=V")</f>
        <v>0</v>
      </c>
      <c r="AG2">
        <f>BDH("PSKY US Equity","IS_INT_EXPENSE","1993-06-18","2026-05-02","Per=Y","Days=T","Dir=V")</f>
        <v>0</v>
      </c>
      <c r="AI2">
        <f>BDH("PSKY US Equity","IS_DEPR_EXP","1993-06-18","2026-05-02","Per=Y","Days=T","Dir=V")</f>
        <v>0</v>
      </c>
      <c r="AK2">
        <f>BDH("PSKY US Equity","CF_CASH_FROM_OPER","1993-06-18","2026-05-02","Per=Y","Days=T","Dir=V")</f>
        <v>0</v>
      </c>
      <c r="AM2">
        <f>BDH("PSKY US Equity","CAPITAL_EXPEND","1993-06-18","2026-05-02","Per=Y","Days=T","Dir=V")</f>
        <v>0</v>
      </c>
      <c r="AO2">
        <f>BDH("PSKY US Equity","CF_FREE_CASH_FLOW","1993-06-18","2026-05-02","Per=Y","Days=T","Dir=V")</f>
        <v>0</v>
      </c>
      <c r="AQ2">
        <f>BDH("PSKY US Equity","PX_LAST","1993-06-18","2026-05-02","Per=M","Days=T","Dir=V")</f>
        <v>0</v>
      </c>
      <c r="AS2">
        <f>BDH("PSKY US Equity","CUR_MKT_CAP","1993-06-18","2026-05-02","Per=M","Days=T","Dir=V")</f>
        <v>0</v>
      </c>
      <c r="AU2">
        <f>BDH("PSKY US Equity","EQY_SH_OUT","1993-06-18","2026-05-02","Per=M","Days=T","Dir=V")</f>
        <v>0</v>
      </c>
      <c r="AW2">
        <f>BDH("PSKY US Equity","PX_VOLUME","1993-06-18","2026-05-02","Per=M","Days=T","Dir=V")</f>
        <v>0</v>
      </c>
      <c r="AY2">
        <f>BDH("PSKY US Equity","TURNOVER","1993-06-18","2026-05-02","Per=M","Days=T","Dir=V")</f>
        <v>0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BDH("PSMT US Equity","BS_TOT_ASSET","1993-06-18","2026-05-02","Per=Y","Days=T","Dir=V")</f>
        <v>0</v>
      </c>
      <c r="C2">
        <f>BDH("PSMT US Equity","BS_TOT_LIAB2","1993-06-18","2026-05-02","Per=Y","Days=T","Dir=V")</f>
        <v>0</v>
      </c>
      <c r="E2">
        <f>BDH("PSMT US Equity","SHORT_AND_LONG_TERM_DEBT","1993-06-18","2026-05-02","Per=Y","Days=T","Dir=V")</f>
        <v>0</v>
      </c>
      <c r="G2">
        <f>BDH("PSMT US Equity","BS_ST_BORROW","1993-06-18","2026-05-02","Per=Y","Days=T","Dir=V")</f>
        <v>0</v>
      </c>
      <c r="I2">
        <f>BDH("PSMT US Equity","BS_LT_BORROW","1993-06-18","2026-05-02","Per=Y","Days=T","Dir=V")</f>
        <v>0</v>
      </c>
      <c r="K2">
        <f>BDH("PSMT US Equity","BS_CASH_NEAR_CASH_ITEM","1993-06-18","2026-05-02","Per=Y","Days=T","Dir=V")</f>
        <v>0</v>
      </c>
      <c r="M2">
        <f>BDH("PSMT US Equity","BS_CUR_ASSET_REPORT","1993-06-18","2026-05-02","Per=Y","Days=T","Dir=V")</f>
        <v>0</v>
      </c>
      <c r="O2">
        <f>BDH("PSMT US Equity","BS_CUR_LIAB","1993-06-18","2026-05-02","Per=Y","Days=T","Dir=V")</f>
        <v>0</v>
      </c>
      <c r="Q2">
        <f>BDH("PSMT US Equity","BS_SHAREHOLDER_EQY_ENDING_PERIOD","1993-06-18","2026-05-02","Per=Y","Days=T","Dir=V")</f>
        <v>0</v>
      </c>
      <c r="S2">
        <f>BDH("PSMT US Equity","BS_ACCT_NOTE_RCV","1993-06-18","2026-05-02","Per=Y","Days=T","Dir=V")</f>
        <v>0</v>
      </c>
      <c r="U2">
        <f>BDH("PSMT US Equity","BS_INVENTORIES","1993-06-18","2026-05-02","Per=Y","Days=T","Dir=V")</f>
        <v>0</v>
      </c>
      <c r="W2">
        <f>BDH("PSMT US Equity","WORKING_CAPITAL","1993-06-18","2026-05-02","Per=Y","Days=T","Dir=V")</f>
        <v>0</v>
      </c>
      <c r="Y2">
        <f>BDH("PSMT US Equity","SALES_REV_TURN","1993-06-18","2026-05-02","Per=Y","Days=T","Dir=V")</f>
        <v>0</v>
      </c>
      <c r="AA2">
        <f>BDH("PSMT US Equity","EBIT","1993-06-18","2026-05-02","Per=Y","Days=T","Dir=V")</f>
        <v>0</v>
      </c>
      <c r="AC2">
        <f>BDH("PSMT US Equity","EBITDA","1993-06-18","2026-05-02","Per=Y","Days=T","Dir=V")</f>
        <v>0</v>
      </c>
      <c r="AE2">
        <f>BDH("PSMT US Equity","NET_INCOME","1993-06-18","2026-05-02","Per=Y","Days=T","Dir=V")</f>
        <v>0</v>
      </c>
      <c r="AG2">
        <f>BDH("PSMT US Equity","IS_INT_EXPENSE","1993-06-18","2026-05-02","Per=Y","Days=T","Dir=V")</f>
        <v>0</v>
      </c>
      <c r="AI2">
        <f>BDH("PSMT US Equity","IS_DEPR_EXP","1993-06-18","2026-05-02","Per=Y","Days=T","Dir=V")</f>
        <v>0</v>
      </c>
      <c r="AK2">
        <f>BDH("PSMT US Equity","CF_CASH_FROM_OPER","1993-06-18","2026-05-02","Per=Y","Days=T","Dir=V")</f>
        <v>0</v>
      </c>
      <c r="AM2">
        <f>BDH("PSMT US Equity","CAPITAL_EXPEND","1993-06-18","2026-05-02","Per=Y","Days=T","Dir=V")</f>
        <v>0</v>
      </c>
      <c r="AO2">
        <f>BDH("PSMT US Equity","CF_FREE_CASH_FLOW","1993-06-18","2026-05-02","Per=Y","Days=T","Dir=V")</f>
        <v>0</v>
      </c>
      <c r="AQ2">
        <f>BDH("PSMT US Equity","PX_LAST","1993-06-18","2026-05-02","Per=M","Days=T","Dir=V")</f>
        <v>0</v>
      </c>
      <c r="AS2">
        <f>BDH("PSMT US Equity","CUR_MKT_CAP","1993-06-18","2026-05-02","Per=M","Days=T","Dir=V")</f>
        <v>0</v>
      </c>
      <c r="AU2">
        <f>BDH("PSMT US Equity","EQY_SH_OUT","1993-06-18","2026-05-02","Per=M","Days=T","Dir=V")</f>
        <v>0</v>
      </c>
      <c r="AW2">
        <f>BDH("PSMT US Equity","PX_VOLUME","1993-06-18","2026-05-02","Per=M","Days=T","Dir=V")</f>
        <v>0</v>
      </c>
      <c r="AY2">
        <f>BDH("PSMT US Equity","TURNOVER","1993-06-18","2026-05-02","Per=M","Days=T","Dir=V")</f>
        <v>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BDH("PSN US Equity","BS_TOT_ASSET","1993-06-18","2026-05-02","Per=Y","Days=T","Dir=V")</f>
        <v>0</v>
      </c>
      <c r="C2">
        <f>BDH("PSN US Equity","BS_TOT_LIAB2","1993-06-18","2026-05-02","Per=Y","Days=T","Dir=V")</f>
        <v>0</v>
      </c>
      <c r="E2">
        <f>BDH("PSN US Equity","SHORT_AND_LONG_TERM_DEBT","1993-06-18","2026-05-02","Per=Y","Days=T","Dir=V")</f>
        <v>0</v>
      </c>
      <c r="G2">
        <f>BDH("PSN US Equity","BS_ST_BORROW","1993-06-18","2026-05-02","Per=Y","Days=T","Dir=V")</f>
        <v>0</v>
      </c>
      <c r="I2">
        <f>BDH("PSN US Equity","BS_LT_BORROW","1993-06-18","2026-05-02","Per=Y","Days=T","Dir=V")</f>
        <v>0</v>
      </c>
      <c r="K2">
        <f>BDH("PSN US Equity","BS_CASH_NEAR_CASH_ITEM","1993-06-18","2026-05-02","Per=Y","Days=T","Dir=V")</f>
        <v>0</v>
      </c>
      <c r="M2">
        <f>BDH("PSN US Equity","BS_CUR_ASSET_REPORT","1993-06-18","2026-05-02","Per=Y","Days=T","Dir=V")</f>
        <v>0</v>
      </c>
      <c r="O2">
        <f>BDH("PSN US Equity","BS_CUR_LIAB","1993-06-18","2026-05-02","Per=Y","Days=T","Dir=V")</f>
        <v>0</v>
      </c>
      <c r="Q2">
        <f>BDH("PSN US Equity","BS_SHAREHOLDER_EQY_ENDING_PERIOD","1993-06-18","2026-05-02","Per=Y","Days=T","Dir=V")</f>
        <v>0</v>
      </c>
      <c r="S2">
        <f>BDH("PSN US Equity","BS_ACCT_NOTE_RCV","1993-06-18","2026-05-02","Per=Y","Days=T","Dir=V")</f>
        <v>0</v>
      </c>
      <c r="U2">
        <f>BDH("PSN US Equity","BS_INVENTORIES","1993-06-18","2026-05-02","Per=Y","Days=T","Dir=V")</f>
        <v>0</v>
      </c>
      <c r="W2">
        <f>BDH("PSN US Equity","WORKING_CAPITAL","1993-06-18","2026-05-02","Per=Y","Days=T","Dir=V")</f>
        <v>0</v>
      </c>
      <c r="Y2">
        <f>BDH("PSN US Equity","SALES_REV_TURN","1993-06-18","2026-05-02","Per=Y","Days=T","Dir=V")</f>
        <v>0</v>
      </c>
      <c r="AA2">
        <f>BDH("PSN US Equity","EBIT","1993-06-18","2026-05-02","Per=Y","Days=T","Dir=V")</f>
        <v>0</v>
      </c>
      <c r="AC2">
        <f>BDH("PSN US Equity","EBITDA","1993-06-18","2026-05-02","Per=Y","Days=T","Dir=V")</f>
        <v>0</v>
      </c>
      <c r="AE2">
        <f>BDH("PSN US Equity","NET_INCOME","1993-06-18","2026-05-02","Per=Y","Days=T","Dir=V")</f>
        <v>0</v>
      </c>
      <c r="AG2">
        <f>BDH("PSN US Equity","IS_INT_EXPENSE","1993-06-18","2026-05-02","Per=Y","Days=T","Dir=V")</f>
        <v>0</v>
      </c>
      <c r="AI2">
        <f>BDH("PSN US Equity","IS_DEPR_EXP","1993-06-18","2026-05-02","Per=Y","Days=T","Dir=V")</f>
        <v>0</v>
      </c>
      <c r="AK2">
        <f>BDH("PSN US Equity","CF_CASH_FROM_OPER","1993-06-18","2026-05-02","Per=Y","Days=T","Dir=V")</f>
        <v>0</v>
      </c>
      <c r="AM2">
        <f>BDH("PSN US Equity","CAPITAL_EXPEND","1993-06-18","2026-05-02","Per=Y","Days=T","Dir=V")</f>
        <v>0</v>
      </c>
      <c r="AO2">
        <f>BDH("PSN US Equity","CF_FREE_CASH_FLOW","1993-06-18","2026-05-02","Per=Y","Days=T","Dir=V")</f>
        <v>0</v>
      </c>
      <c r="AQ2">
        <f>BDH("PSN US Equity","PX_LAST","1993-06-18","2026-05-02","Per=M","Days=T","Dir=V")</f>
        <v>0</v>
      </c>
      <c r="AS2">
        <f>BDH("PSN US Equity","CUR_MKT_CAP","1993-06-18","2026-05-02","Per=M","Days=T","Dir=V")</f>
        <v>0</v>
      </c>
      <c r="AU2">
        <f>BDH("PSN US Equity","EQY_SH_OUT","1993-06-18","2026-05-02","Per=M","Days=T","Dir=V")</f>
        <v>0</v>
      </c>
      <c r="AW2">
        <f>BDH("PSN US Equity","PX_VOLUME","1993-06-18","2026-05-02","Per=M","Days=T","Dir=V")</f>
        <v>0</v>
      </c>
      <c r="AY2">
        <f>BDH("PSN US Equity","TURNOVER","1993-06-18","2026-05-02","Per=M","Days=T","Dir=V")</f>
        <v>0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BDH("PSNL US Equity","BS_TOT_ASSET","1993-06-18","2026-05-02","Per=Y","Days=T","Dir=V")</f>
        <v>0</v>
      </c>
      <c r="C2">
        <f>BDH("PSNL US Equity","BS_TOT_LIAB2","1993-06-18","2026-05-02","Per=Y","Days=T","Dir=V")</f>
        <v>0</v>
      </c>
      <c r="E2">
        <f>BDH("PSNL US Equity","SHORT_AND_LONG_TERM_DEBT","1993-06-18","2026-05-02","Per=Y","Days=T","Dir=V")</f>
        <v>0</v>
      </c>
      <c r="G2">
        <f>BDH("PSNL US Equity","BS_ST_BORROW","1993-06-18","2026-05-02","Per=Y","Days=T","Dir=V")</f>
        <v>0</v>
      </c>
      <c r="I2">
        <f>BDH("PSNL US Equity","BS_LT_BORROW","1993-06-18","2026-05-02","Per=Y","Days=T","Dir=V")</f>
        <v>0</v>
      </c>
      <c r="K2">
        <f>BDH("PSNL US Equity","BS_CASH_NEAR_CASH_ITEM","1993-06-18","2026-05-02","Per=Y","Days=T","Dir=V")</f>
        <v>0</v>
      </c>
      <c r="M2">
        <f>BDH("PSNL US Equity","BS_CUR_ASSET_REPORT","1993-06-18","2026-05-02","Per=Y","Days=T","Dir=V")</f>
        <v>0</v>
      </c>
      <c r="O2">
        <f>BDH("PSNL US Equity","BS_CUR_LIAB","1993-06-18","2026-05-02","Per=Y","Days=T","Dir=V")</f>
        <v>0</v>
      </c>
      <c r="Q2">
        <f>BDH("PSNL US Equity","BS_SHAREHOLDER_EQY_ENDING_PERIOD","1993-06-18","2026-05-02","Per=Y","Days=T","Dir=V")</f>
        <v>0</v>
      </c>
      <c r="S2">
        <f>BDH("PSNL US Equity","BS_ACCT_NOTE_RCV","1993-06-18","2026-05-02","Per=Y","Days=T","Dir=V")</f>
        <v>0</v>
      </c>
      <c r="U2">
        <f>BDH("PSNL US Equity","BS_INVENTORIES","1993-06-18","2026-05-02","Per=Y","Days=T","Dir=V")</f>
        <v>0</v>
      </c>
      <c r="W2">
        <f>BDH("PSNL US Equity","WORKING_CAPITAL","1993-06-18","2026-05-02","Per=Y","Days=T","Dir=V")</f>
        <v>0</v>
      </c>
      <c r="Y2">
        <f>BDH("PSNL US Equity","SALES_REV_TURN","1993-06-18","2026-05-02","Per=Y","Days=T","Dir=V")</f>
        <v>0</v>
      </c>
      <c r="AA2">
        <f>BDH("PSNL US Equity","EBIT","1993-06-18","2026-05-02","Per=Y","Days=T","Dir=V")</f>
        <v>0</v>
      </c>
      <c r="AC2">
        <f>BDH("PSNL US Equity","EBITDA","1993-06-18","2026-05-02","Per=Y","Days=T","Dir=V")</f>
        <v>0</v>
      </c>
      <c r="AE2">
        <f>BDH("PSNL US Equity","NET_INCOME","1993-06-18","2026-05-02","Per=Y","Days=T","Dir=V")</f>
        <v>0</v>
      </c>
      <c r="AG2">
        <f>BDH("PSNL US Equity","IS_INT_EXPENSE","1993-06-18","2026-05-02","Per=Y","Days=T","Dir=V")</f>
        <v>0</v>
      </c>
      <c r="AI2">
        <f>BDH("PSNL US Equity","IS_DEPR_EXP","1993-06-18","2026-05-02","Per=Y","Days=T","Dir=V")</f>
        <v>0</v>
      </c>
      <c r="AK2">
        <f>BDH("PSNL US Equity","CF_CASH_FROM_OPER","1993-06-18","2026-05-02","Per=Y","Days=T","Dir=V")</f>
        <v>0</v>
      </c>
      <c r="AM2">
        <f>BDH("PSNL US Equity","CAPITAL_EXPEND","1993-06-18","2026-05-02","Per=Y","Days=T","Dir=V")</f>
        <v>0</v>
      </c>
      <c r="AO2">
        <f>BDH("PSNL US Equity","CF_FREE_CASH_FLOW","1993-06-18","2026-05-02","Per=Y","Days=T","Dir=V")</f>
        <v>0</v>
      </c>
      <c r="AQ2">
        <f>BDH("PSNL US Equity","PX_LAST","1993-06-18","2026-05-02","Per=M","Days=T","Dir=V")</f>
        <v>0</v>
      </c>
      <c r="AS2">
        <f>BDH("PSNL US Equity","CUR_MKT_CAP","1993-06-18","2026-05-02","Per=M","Days=T","Dir=V")</f>
        <v>0</v>
      </c>
      <c r="AU2">
        <f>BDH("PSNL US Equity","EQY_SH_OUT","1993-06-18","2026-05-02","Per=M","Days=T","Dir=V")</f>
        <v>0</v>
      </c>
      <c r="AW2">
        <f>BDH("PSNL US Equity","PX_VOLUME","1993-06-18","2026-05-02","Per=M","Days=T","Dir=V")</f>
        <v>0</v>
      </c>
      <c r="AY2">
        <f>BDH("PSNL US Equity","TURNOVER","1993-06-18","2026-05-02","Per=M","Days=T","Dir=V")</f>
        <v>0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BDH("PSX US Equity","BS_TOT_ASSET","1993-06-18","2026-05-02","Per=Y","Days=T","Dir=V")</f>
        <v>0</v>
      </c>
      <c r="C2">
        <f>BDH("PSX US Equity","BS_TOT_LIAB2","1993-06-18","2026-05-02","Per=Y","Days=T","Dir=V")</f>
        <v>0</v>
      </c>
      <c r="E2">
        <f>BDH("PSX US Equity","SHORT_AND_LONG_TERM_DEBT","1993-06-18","2026-05-02","Per=Y","Days=T","Dir=V")</f>
        <v>0</v>
      </c>
      <c r="G2">
        <f>BDH("PSX US Equity","BS_ST_BORROW","1993-06-18","2026-05-02","Per=Y","Days=T","Dir=V")</f>
        <v>0</v>
      </c>
      <c r="I2">
        <f>BDH("PSX US Equity","BS_LT_BORROW","1993-06-18","2026-05-02","Per=Y","Days=T","Dir=V")</f>
        <v>0</v>
      </c>
      <c r="K2">
        <f>BDH("PSX US Equity","BS_CASH_NEAR_CASH_ITEM","1993-06-18","2026-05-02","Per=Y","Days=T","Dir=V")</f>
        <v>0</v>
      </c>
      <c r="M2">
        <f>BDH("PSX US Equity","BS_CUR_ASSET_REPORT","1993-06-18","2026-05-02","Per=Y","Days=T","Dir=V")</f>
        <v>0</v>
      </c>
      <c r="O2">
        <f>BDH("PSX US Equity","BS_CUR_LIAB","1993-06-18","2026-05-02","Per=Y","Days=T","Dir=V")</f>
        <v>0</v>
      </c>
      <c r="Q2">
        <f>BDH("PSX US Equity","BS_SHAREHOLDER_EQY_ENDING_PERIOD","1993-06-18","2026-05-02","Per=Y","Days=T","Dir=V")</f>
        <v>0</v>
      </c>
      <c r="S2">
        <f>BDH("PSX US Equity","BS_ACCT_NOTE_RCV","1993-06-18","2026-05-02","Per=Y","Days=T","Dir=V")</f>
        <v>0</v>
      </c>
      <c r="U2">
        <f>BDH("PSX US Equity","BS_INVENTORIES","1993-06-18","2026-05-02","Per=Y","Days=T","Dir=V")</f>
        <v>0</v>
      </c>
      <c r="W2">
        <f>BDH("PSX US Equity","WORKING_CAPITAL","1993-06-18","2026-05-02","Per=Y","Days=T","Dir=V")</f>
        <v>0</v>
      </c>
      <c r="Y2">
        <f>BDH("PSX US Equity","SALES_REV_TURN","1993-06-18","2026-05-02","Per=Y","Days=T","Dir=V")</f>
        <v>0</v>
      </c>
      <c r="AA2">
        <f>BDH("PSX US Equity","EBIT","1993-06-18","2026-05-02","Per=Y","Days=T","Dir=V")</f>
        <v>0</v>
      </c>
      <c r="AC2">
        <f>BDH("PSX US Equity","EBITDA","1993-06-18","2026-05-02","Per=Y","Days=T","Dir=V")</f>
        <v>0</v>
      </c>
      <c r="AE2">
        <f>BDH("PSX US Equity","NET_INCOME","1993-06-18","2026-05-02","Per=Y","Days=T","Dir=V")</f>
        <v>0</v>
      </c>
      <c r="AG2">
        <f>BDH("PSX US Equity","IS_INT_EXPENSE","1993-06-18","2026-05-02","Per=Y","Days=T","Dir=V")</f>
        <v>0</v>
      </c>
      <c r="AI2">
        <f>BDH("PSX US Equity","IS_DEPR_EXP","1993-06-18","2026-05-02","Per=Y","Days=T","Dir=V")</f>
        <v>0</v>
      </c>
      <c r="AK2">
        <f>BDH("PSX US Equity","CF_CASH_FROM_OPER","1993-06-18","2026-05-02","Per=Y","Days=T","Dir=V")</f>
        <v>0</v>
      </c>
      <c r="AM2">
        <f>BDH("PSX US Equity","CAPITAL_EXPEND","1993-06-18","2026-05-02","Per=Y","Days=T","Dir=V")</f>
        <v>0</v>
      </c>
      <c r="AO2">
        <f>BDH("PSX US Equity","CF_FREE_CASH_FLOW","1993-06-18","2026-05-02","Per=Y","Days=T","Dir=V")</f>
        <v>0</v>
      </c>
      <c r="AQ2">
        <f>BDH("PSX US Equity","PX_LAST","1993-06-18","2026-05-02","Per=M","Days=T","Dir=V")</f>
        <v>0</v>
      </c>
      <c r="AS2">
        <f>BDH("PSX US Equity","CUR_MKT_CAP","1993-06-18","2026-05-02","Per=M","Days=T","Dir=V")</f>
        <v>0</v>
      </c>
      <c r="AU2">
        <f>BDH("PSX US Equity","EQY_SH_OUT","1993-06-18","2026-05-02","Per=M","Days=T","Dir=V")</f>
        <v>0</v>
      </c>
      <c r="AW2">
        <f>BDH("PSX US Equity","PX_VOLUME","1993-06-18","2026-05-02","Per=M","Days=T","Dir=V")</f>
        <v>0</v>
      </c>
      <c r="AY2">
        <f>BDH("PSX US Equity","TURNOVER","1993-06-18","2026-05-02","Per=M","Days=T","Dir=V")</f>
        <v>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BDH("PTC US Equity","BS_TOT_ASSET","1993-06-18","2026-05-02","Per=Y","Days=T","Dir=V")</f>
        <v>0</v>
      </c>
      <c r="C2">
        <f>BDH("PTC US Equity","BS_TOT_LIAB2","1993-06-18","2026-05-02","Per=Y","Days=T","Dir=V")</f>
        <v>0</v>
      </c>
      <c r="E2">
        <f>BDH("PTC US Equity","SHORT_AND_LONG_TERM_DEBT","1993-06-18","2026-05-02","Per=Y","Days=T","Dir=V")</f>
        <v>0</v>
      </c>
      <c r="G2">
        <f>BDH("PTC US Equity","BS_ST_BORROW","1993-06-18","2026-05-02","Per=Y","Days=T","Dir=V")</f>
        <v>0</v>
      </c>
      <c r="I2">
        <f>BDH("PTC US Equity","BS_LT_BORROW","1993-06-18","2026-05-02","Per=Y","Days=T","Dir=V")</f>
        <v>0</v>
      </c>
      <c r="K2">
        <f>BDH("PTC US Equity","BS_CASH_NEAR_CASH_ITEM","1993-06-18","2026-05-02","Per=Y","Days=T","Dir=V")</f>
        <v>0</v>
      </c>
      <c r="M2">
        <f>BDH("PTC US Equity","BS_CUR_ASSET_REPORT","1993-06-18","2026-05-02","Per=Y","Days=T","Dir=V")</f>
        <v>0</v>
      </c>
      <c r="O2">
        <f>BDH("PTC US Equity","BS_CUR_LIAB","1993-06-18","2026-05-02","Per=Y","Days=T","Dir=V")</f>
        <v>0</v>
      </c>
      <c r="Q2">
        <f>BDH("PTC US Equity","BS_SHAREHOLDER_EQY_ENDING_PERIOD","1993-06-18","2026-05-02","Per=Y","Days=T","Dir=V")</f>
        <v>0</v>
      </c>
      <c r="S2">
        <f>BDH("PTC US Equity","BS_ACCT_NOTE_RCV","1993-06-18","2026-05-02","Per=Y","Days=T","Dir=V")</f>
        <v>0</v>
      </c>
      <c r="U2">
        <f>BDH("PTC US Equity","BS_INVENTORIES","1993-06-18","2026-05-02","Per=Y","Days=T","Dir=V")</f>
        <v>0</v>
      </c>
      <c r="W2">
        <f>BDH("PTC US Equity","WORKING_CAPITAL","1993-06-18","2026-05-02","Per=Y","Days=T","Dir=V")</f>
        <v>0</v>
      </c>
      <c r="Y2">
        <f>BDH("PTC US Equity","SALES_REV_TURN","1993-06-18","2026-05-02","Per=Y","Days=T","Dir=V")</f>
        <v>0</v>
      </c>
      <c r="AA2">
        <f>BDH("PTC US Equity","EBIT","1993-06-18","2026-05-02","Per=Y","Days=T","Dir=V")</f>
        <v>0</v>
      </c>
      <c r="AC2">
        <f>BDH("PTC US Equity","EBITDA","1993-06-18","2026-05-02","Per=Y","Days=T","Dir=V")</f>
        <v>0</v>
      </c>
      <c r="AE2">
        <f>BDH("PTC US Equity","NET_INCOME","1993-06-18","2026-05-02","Per=Y","Days=T","Dir=V")</f>
        <v>0</v>
      </c>
      <c r="AG2">
        <f>BDH("PTC US Equity","IS_INT_EXPENSE","1993-06-18","2026-05-02","Per=Y","Days=T","Dir=V")</f>
        <v>0</v>
      </c>
      <c r="AI2">
        <f>BDH("PTC US Equity","IS_DEPR_EXP","1993-06-18","2026-05-02","Per=Y","Days=T","Dir=V")</f>
        <v>0</v>
      </c>
      <c r="AK2">
        <f>BDH("PTC US Equity","CF_CASH_FROM_OPER","1993-06-18","2026-05-02","Per=Y","Days=T","Dir=V")</f>
        <v>0</v>
      </c>
      <c r="AM2">
        <f>BDH("PTC US Equity","CAPITAL_EXPEND","1993-06-18","2026-05-02","Per=Y","Days=T","Dir=V")</f>
        <v>0</v>
      </c>
      <c r="AO2">
        <f>BDH("PTC US Equity","CF_FREE_CASH_FLOW","1993-06-18","2026-05-02","Per=Y","Days=T","Dir=V")</f>
        <v>0</v>
      </c>
      <c r="AQ2">
        <f>BDH("PTC US Equity","PX_LAST","1993-06-18","2026-05-02","Per=M","Days=T","Dir=V")</f>
        <v>0</v>
      </c>
      <c r="AS2">
        <f>BDH("PTC US Equity","CUR_MKT_CAP","1993-06-18","2026-05-02","Per=M","Days=T","Dir=V")</f>
        <v>0</v>
      </c>
      <c r="AU2">
        <f>BDH("PTC US Equity","EQY_SH_OUT","1993-06-18","2026-05-02","Per=M","Days=T","Dir=V")</f>
        <v>0</v>
      </c>
      <c r="AW2">
        <f>BDH("PTC US Equity","PX_VOLUME","1993-06-18","2026-05-02","Per=M","Days=T","Dir=V")</f>
        <v>0</v>
      </c>
      <c r="AY2">
        <f>BDH("PTC US Equity","TURNOVER","1993-06-18","2026-05-02","Per=M","Days=T","Dir=V")</f>
        <v>0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BDH("PTCT US Equity","BS_TOT_ASSET","1993-06-18","2026-05-02","Per=Y","Days=T","Dir=V")</f>
        <v>0</v>
      </c>
      <c r="C2">
        <f>BDH("PTCT US Equity","BS_TOT_LIAB2","1993-06-18","2026-05-02","Per=Y","Days=T","Dir=V")</f>
        <v>0</v>
      </c>
      <c r="E2">
        <f>BDH("PTCT US Equity","SHORT_AND_LONG_TERM_DEBT","1993-06-18","2026-05-02","Per=Y","Days=T","Dir=V")</f>
        <v>0</v>
      </c>
      <c r="G2">
        <f>BDH("PTCT US Equity","BS_ST_BORROW","1993-06-18","2026-05-02","Per=Y","Days=T","Dir=V")</f>
        <v>0</v>
      </c>
      <c r="I2">
        <f>BDH("PTCT US Equity","BS_LT_BORROW","1993-06-18","2026-05-02","Per=Y","Days=T","Dir=V")</f>
        <v>0</v>
      </c>
      <c r="K2">
        <f>BDH("PTCT US Equity","BS_CASH_NEAR_CASH_ITEM","1993-06-18","2026-05-02","Per=Y","Days=T","Dir=V")</f>
        <v>0</v>
      </c>
      <c r="M2">
        <f>BDH("PTCT US Equity","BS_CUR_ASSET_REPORT","1993-06-18","2026-05-02","Per=Y","Days=T","Dir=V")</f>
        <v>0</v>
      </c>
      <c r="O2">
        <f>BDH("PTCT US Equity","BS_CUR_LIAB","1993-06-18","2026-05-02","Per=Y","Days=T","Dir=V")</f>
        <v>0</v>
      </c>
      <c r="Q2">
        <f>BDH("PTCT US Equity","BS_SHAREHOLDER_EQY_ENDING_PERIOD","1993-06-18","2026-05-02","Per=Y","Days=T","Dir=V")</f>
        <v>0</v>
      </c>
      <c r="S2">
        <f>BDH("PTCT US Equity","BS_ACCT_NOTE_RCV","1993-06-18","2026-05-02","Per=Y","Days=T","Dir=V")</f>
        <v>0</v>
      </c>
      <c r="U2">
        <f>BDH("PTCT US Equity","BS_INVENTORIES","1993-06-18","2026-05-02","Per=Y","Days=T","Dir=V")</f>
        <v>0</v>
      </c>
      <c r="W2">
        <f>BDH("PTCT US Equity","WORKING_CAPITAL","1993-06-18","2026-05-02","Per=Y","Days=T","Dir=V")</f>
        <v>0</v>
      </c>
      <c r="Y2">
        <f>BDH("PTCT US Equity","SALES_REV_TURN","1993-06-18","2026-05-02","Per=Y","Days=T","Dir=V")</f>
        <v>0</v>
      </c>
      <c r="AA2">
        <f>BDH("PTCT US Equity","EBIT","1993-06-18","2026-05-02","Per=Y","Days=T","Dir=V")</f>
        <v>0</v>
      </c>
      <c r="AC2">
        <f>BDH("PTCT US Equity","EBITDA","1993-06-18","2026-05-02","Per=Y","Days=T","Dir=V")</f>
        <v>0</v>
      </c>
      <c r="AE2">
        <f>BDH("PTCT US Equity","NET_INCOME","1993-06-18","2026-05-02","Per=Y","Days=T","Dir=V")</f>
        <v>0</v>
      </c>
      <c r="AG2">
        <f>BDH("PTCT US Equity","IS_INT_EXPENSE","1993-06-18","2026-05-02","Per=Y","Days=T","Dir=V")</f>
        <v>0</v>
      </c>
      <c r="AI2">
        <f>BDH("PTCT US Equity","IS_DEPR_EXP","1993-06-18","2026-05-02","Per=Y","Days=T","Dir=V")</f>
        <v>0</v>
      </c>
      <c r="AK2">
        <f>BDH("PTCT US Equity","CF_CASH_FROM_OPER","1993-06-18","2026-05-02","Per=Y","Days=T","Dir=V")</f>
        <v>0</v>
      </c>
      <c r="AM2">
        <f>BDH("PTCT US Equity","CAPITAL_EXPEND","1993-06-18","2026-05-02","Per=Y","Days=T","Dir=V")</f>
        <v>0</v>
      </c>
      <c r="AO2">
        <f>BDH("PTCT US Equity","CF_FREE_CASH_FLOW","1993-06-18","2026-05-02","Per=Y","Days=T","Dir=V")</f>
        <v>0</v>
      </c>
      <c r="AQ2">
        <f>BDH("PTCT US Equity","PX_LAST","1993-06-18","2026-05-02","Per=M","Days=T","Dir=V")</f>
        <v>0</v>
      </c>
      <c r="AS2">
        <f>BDH("PTCT US Equity","CUR_MKT_CAP","1993-06-18","2026-05-02","Per=M","Days=T","Dir=V")</f>
        <v>0</v>
      </c>
      <c r="AU2">
        <f>BDH("PTCT US Equity","EQY_SH_OUT","1993-06-18","2026-05-02","Per=M","Days=T","Dir=V")</f>
        <v>0</v>
      </c>
      <c r="AW2">
        <f>BDH("PTCT US Equity","PX_VOLUME","1993-06-18","2026-05-02","Per=M","Days=T","Dir=V")</f>
        <v>0</v>
      </c>
      <c r="AY2">
        <f>BDH("PTCT US Equity","TURNOVER","1993-06-18","2026-05-02","Per=M","Days=T","Dir=V")</f>
        <v>0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BDH("PTEN US Equity","BS_TOT_ASSET","1993-06-18","2026-05-02","Per=Y","Days=T","Dir=V")</f>
        <v>0</v>
      </c>
      <c r="C2">
        <f>BDH("PTEN US Equity","BS_TOT_LIAB2","1993-06-18","2026-05-02","Per=Y","Days=T","Dir=V")</f>
        <v>0</v>
      </c>
      <c r="E2">
        <f>BDH("PTEN US Equity","SHORT_AND_LONG_TERM_DEBT","1993-06-18","2026-05-02","Per=Y","Days=T","Dir=V")</f>
        <v>0</v>
      </c>
      <c r="G2">
        <f>BDH("PTEN US Equity","BS_ST_BORROW","1993-06-18","2026-05-02","Per=Y","Days=T","Dir=V")</f>
        <v>0</v>
      </c>
      <c r="I2">
        <f>BDH("PTEN US Equity","BS_LT_BORROW","1993-06-18","2026-05-02","Per=Y","Days=T","Dir=V")</f>
        <v>0</v>
      </c>
      <c r="K2">
        <f>BDH("PTEN US Equity","BS_CASH_NEAR_CASH_ITEM","1993-06-18","2026-05-02","Per=Y","Days=T","Dir=V")</f>
        <v>0</v>
      </c>
      <c r="M2">
        <f>BDH("PTEN US Equity","BS_CUR_ASSET_REPORT","1993-06-18","2026-05-02","Per=Y","Days=T","Dir=V")</f>
        <v>0</v>
      </c>
      <c r="O2">
        <f>BDH("PTEN US Equity","BS_CUR_LIAB","1993-06-18","2026-05-02","Per=Y","Days=T","Dir=V")</f>
        <v>0</v>
      </c>
      <c r="Q2">
        <f>BDH("PTEN US Equity","BS_SHAREHOLDER_EQY_ENDING_PERIOD","1993-06-18","2026-05-02","Per=Y","Days=T","Dir=V")</f>
        <v>0</v>
      </c>
      <c r="S2">
        <f>BDH("PTEN US Equity","BS_ACCT_NOTE_RCV","1993-06-18","2026-05-02","Per=Y","Days=T","Dir=V")</f>
        <v>0</v>
      </c>
      <c r="U2">
        <f>BDH("PTEN US Equity","BS_INVENTORIES","1993-06-18","2026-05-02","Per=Y","Days=T","Dir=V")</f>
        <v>0</v>
      </c>
      <c r="W2">
        <f>BDH("PTEN US Equity","WORKING_CAPITAL","1993-06-18","2026-05-02","Per=Y","Days=T","Dir=V")</f>
        <v>0</v>
      </c>
      <c r="Y2">
        <f>BDH("PTEN US Equity","SALES_REV_TURN","1993-06-18","2026-05-02","Per=Y","Days=T","Dir=V")</f>
        <v>0</v>
      </c>
      <c r="AA2">
        <f>BDH("PTEN US Equity","EBIT","1993-06-18","2026-05-02","Per=Y","Days=T","Dir=V")</f>
        <v>0</v>
      </c>
      <c r="AC2">
        <f>BDH("PTEN US Equity","EBITDA","1993-06-18","2026-05-02","Per=Y","Days=T","Dir=V")</f>
        <v>0</v>
      </c>
      <c r="AE2">
        <f>BDH("PTEN US Equity","NET_INCOME","1993-06-18","2026-05-02","Per=Y","Days=T","Dir=V")</f>
        <v>0</v>
      </c>
      <c r="AG2">
        <f>BDH("PTEN US Equity","IS_INT_EXPENSE","1993-06-18","2026-05-02","Per=Y","Days=T","Dir=V")</f>
        <v>0</v>
      </c>
      <c r="AI2">
        <f>BDH("PTEN US Equity","IS_DEPR_EXP","1993-06-18","2026-05-02","Per=Y","Days=T","Dir=V")</f>
        <v>0</v>
      </c>
      <c r="AK2">
        <f>BDH("PTEN US Equity","CF_CASH_FROM_OPER","1993-06-18","2026-05-02","Per=Y","Days=T","Dir=V")</f>
        <v>0</v>
      </c>
      <c r="AM2">
        <f>BDH("PTEN US Equity","CAPITAL_EXPEND","1993-06-18","2026-05-02","Per=Y","Days=T","Dir=V")</f>
        <v>0</v>
      </c>
      <c r="AO2">
        <f>BDH("PTEN US Equity","CF_FREE_CASH_FLOW","1993-06-18","2026-05-02","Per=Y","Days=T","Dir=V")</f>
        <v>0</v>
      </c>
      <c r="AQ2">
        <f>BDH("PTEN US Equity","PX_LAST","1993-06-18","2026-05-02","Per=M","Days=T","Dir=V")</f>
        <v>0</v>
      </c>
      <c r="AS2">
        <f>BDH("PTEN US Equity","CUR_MKT_CAP","1993-06-18","2026-05-02","Per=M","Days=T","Dir=V")</f>
        <v>0</v>
      </c>
      <c r="AU2">
        <f>BDH("PTEN US Equity","EQY_SH_OUT","1993-06-18","2026-05-02","Per=M","Days=T","Dir=V")</f>
        <v>0</v>
      </c>
      <c r="AW2">
        <f>BDH("PTEN US Equity","PX_VOLUME","1993-06-18","2026-05-02","Per=M","Days=T","Dir=V")</f>
        <v>0</v>
      </c>
      <c r="AY2">
        <f>BDH("PTEN US Equity","TURNOVER","1993-06-18","2026-05-02","Per=M","Days=T","Dir=V")</f>
        <v>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BDH("PTGX US Equity","BS_TOT_ASSET","1993-06-18","2026-05-02","Per=Y","Days=T","Dir=V")</f>
        <v>0</v>
      </c>
      <c r="C2">
        <f>BDH("PTGX US Equity","BS_TOT_LIAB2","1993-06-18","2026-05-02","Per=Y","Days=T","Dir=V")</f>
        <v>0</v>
      </c>
      <c r="E2">
        <f>BDH("PTGX US Equity","SHORT_AND_LONG_TERM_DEBT","1993-06-18","2026-05-02","Per=Y","Days=T","Dir=V")</f>
        <v>0</v>
      </c>
      <c r="G2">
        <f>BDH("PTGX US Equity","BS_ST_BORROW","1993-06-18","2026-05-02","Per=Y","Days=T","Dir=V")</f>
        <v>0</v>
      </c>
      <c r="I2">
        <f>BDH("PTGX US Equity","BS_LT_BORROW","1993-06-18","2026-05-02","Per=Y","Days=T","Dir=V")</f>
        <v>0</v>
      </c>
      <c r="K2">
        <f>BDH("PTGX US Equity","BS_CASH_NEAR_CASH_ITEM","1993-06-18","2026-05-02","Per=Y","Days=T","Dir=V")</f>
        <v>0</v>
      </c>
      <c r="M2">
        <f>BDH("PTGX US Equity","BS_CUR_ASSET_REPORT","1993-06-18","2026-05-02","Per=Y","Days=T","Dir=V")</f>
        <v>0</v>
      </c>
      <c r="O2">
        <f>BDH("PTGX US Equity","BS_CUR_LIAB","1993-06-18","2026-05-02","Per=Y","Days=T","Dir=V")</f>
        <v>0</v>
      </c>
      <c r="Q2">
        <f>BDH("PTGX US Equity","BS_SHAREHOLDER_EQY_ENDING_PERIOD","1993-06-18","2026-05-02","Per=Y","Days=T","Dir=V")</f>
        <v>0</v>
      </c>
      <c r="S2">
        <f>BDH("PTGX US Equity","BS_ACCT_NOTE_RCV","1993-06-18","2026-05-02","Per=Y","Days=T","Dir=V")</f>
        <v>0</v>
      </c>
      <c r="U2">
        <f>BDH("PTGX US Equity","BS_INVENTORIES","1993-06-18","2026-05-02","Per=Y","Days=T","Dir=V")</f>
        <v>0</v>
      </c>
      <c r="W2">
        <f>BDH("PTGX US Equity","WORKING_CAPITAL","1993-06-18","2026-05-02","Per=Y","Days=T","Dir=V")</f>
        <v>0</v>
      </c>
      <c r="Y2">
        <f>BDH("PTGX US Equity","SALES_REV_TURN","1993-06-18","2026-05-02","Per=Y","Days=T","Dir=V")</f>
        <v>0</v>
      </c>
      <c r="AA2">
        <f>BDH("PTGX US Equity","EBIT","1993-06-18","2026-05-02","Per=Y","Days=T","Dir=V")</f>
        <v>0</v>
      </c>
      <c r="AC2">
        <f>BDH("PTGX US Equity","EBITDA","1993-06-18","2026-05-02","Per=Y","Days=T","Dir=V")</f>
        <v>0</v>
      </c>
      <c r="AE2">
        <f>BDH("PTGX US Equity","NET_INCOME","1993-06-18","2026-05-02","Per=Y","Days=T","Dir=V")</f>
        <v>0</v>
      </c>
      <c r="AG2">
        <f>BDH("PTGX US Equity","IS_INT_EXPENSE","1993-06-18","2026-05-02","Per=Y","Days=T","Dir=V")</f>
        <v>0</v>
      </c>
      <c r="AI2">
        <f>BDH("PTGX US Equity","IS_DEPR_EXP","1993-06-18","2026-05-02","Per=Y","Days=T","Dir=V")</f>
        <v>0</v>
      </c>
      <c r="AK2">
        <f>BDH("PTGX US Equity","CF_CASH_FROM_OPER","1993-06-18","2026-05-02","Per=Y","Days=T","Dir=V")</f>
        <v>0</v>
      </c>
      <c r="AM2">
        <f>BDH("PTGX US Equity","CAPITAL_EXPEND","1993-06-18","2026-05-02","Per=Y","Days=T","Dir=V")</f>
        <v>0</v>
      </c>
      <c r="AO2">
        <f>BDH("PTGX US Equity","CF_FREE_CASH_FLOW","1993-06-18","2026-05-02","Per=Y","Days=T","Dir=V")</f>
        <v>0</v>
      </c>
      <c r="AQ2">
        <f>BDH("PTGX US Equity","PX_LAST","1993-06-18","2026-05-02","Per=M","Days=T","Dir=V")</f>
        <v>0</v>
      </c>
      <c r="AS2">
        <f>BDH("PTGX US Equity","CUR_MKT_CAP","1993-06-18","2026-05-02","Per=M","Days=T","Dir=V")</f>
        <v>0</v>
      </c>
      <c r="AU2">
        <f>BDH("PTGX US Equity","EQY_SH_OUT","1993-06-18","2026-05-02","Per=M","Days=T","Dir=V")</f>
        <v>0</v>
      </c>
      <c r="AW2">
        <f>BDH("PTGX US Equity","PX_VOLUME","1993-06-18","2026-05-02","Per=M","Days=T","Dir=V")</f>
        <v>0</v>
      </c>
      <c r="AY2">
        <f>BDH("PTGX US Equity","TURNOVER","1993-06-18","2026-05-02","Per=M","Days=T","Dir=V")</f>
        <v>0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BDH("PTLO US Equity","BS_TOT_ASSET","1993-06-18","2026-05-02","Per=Y","Days=T","Dir=V")</f>
        <v>0</v>
      </c>
      <c r="C2">
        <f>BDH("PTLO US Equity","BS_TOT_LIAB2","1993-06-18","2026-05-02","Per=Y","Days=T","Dir=V")</f>
        <v>0</v>
      </c>
      <c r="E2">
        <f>BDH("PTLO US Equity","SHORT_AND_LONG_TERM_DEBT","1993-06-18","2026-05-02","Per=Y","Days=T","Dir=V")</f>
        <v>0</v>
      </c>
      <c r="G2">
        <f>BDH("PTLO US Equity","BS_ST_BORROW","1993-06-18","2026-05-02","Per=Y","Days=T","Dir=V")</f>
        <v>0</v>
      </c>
      <c r="I2">
        <f>BDH("PTLO US Equity","BS_LT_BORROW","1993-06-18","2026-05-02","Per=Y","Days=T","Dir=V")</f>
        <v>0</v>
      </c>
      <c r="K2">
        <f>BDH("PTLO US Equity","BS_CASH_NEAR_CASH_ITEM","1993-06-18","2026-05-02","Per=Y","Days=T","Dir=V")</f>
        <v>0</v>
      </c>
      <c r="M2">
        <f>BDH("PTLO US Equity","BS_CUR_ASSET_REPORT","1993-06-18","2026-05-02","Per=Y","Days=T","Dir=V")</f>
        <v>0</v>
      </c>
      <c r="O2">
        <f>BDH("PTLO US Equity","BS_CUR_LIAB","1993-06-18","2026-05-02","Per=Y","Days=T","Dir=V")</f>
        <v>0</v>
      </c>
      <c r="Q2">
        <f>BDH("PTLO US Equity","BS_SHAREHOLDER_EQY_ENDING_PERIOD","1993-06-18","2026-05-02","Per=Y","Days=T","Dir=V")</f>
        <v>0</v>
      </c>
      <c r="S2">
        <f>BDH("PTLO US Equity","BS_ACCT_NOTE_RCV","1993-06-18","2026-05-02","Per=Y","Days=T","Dir=V")</f>
        <v>0</v>
      </c>
      <c r="U2">
        <f>BDH("PTLO US Equity","BS_INVENTORIES","1993-06-18","2026-05-02","Per=Y","Days=T","Dir=V")</f>
        <v>0</v>
      </c>
      <c r="W2">
        <f>BDH("PTLO US Equity","WORKING_CAPITAL","1993-06-18","2026-05-02","Per=Y","Days=T","Dir=V")</f>
        <v>0</v>
      </c>
      <c r="Y2">
        <f>BDH("PTLO US Equity","SALES_REV_TURN","1993-06-18","2026-05-02","Per=Y","Days=T","Dir=V")</f>
        <v>0</v>
      </c>
      <c r="AA2">
        <f>BDH("PTLO US Equity","EBIT","1993-06-18","2026-05-02","Per=Y","Days=T","Dir=V")</f>
        <v>0</v>
      </c>
      <c r="AC2">
        <f>BDH("PTLO US Equity","EBITDA","1993-06-18","2026-05-02","Per=Y","Days=T","Dir=V")</f>
        <v>0</v>
      </c>
      <c r="AE2">
        <f>BDH("PTLO US Equity","NET_INCOME","1993-06-18","2026-05-02","Per=Y","Days=T","Dir=V")</f>
        <v>0</v>
      </c>
      <c r="AG2">
        <f>BDH("PTLO US Equity","IS_INT_EXPENSE","1993-06-18","2026-05-02","Per=Y","Days=T","Dir=V")</f>
        <v>0</v>
      </c>
      <c r="AI2">
        <f>BDH("PTLO US Equity","IS_DEPR_EXP","1993-06-18","2026-05-02","Per=Y","Days=T","Dir=V")</f>
        <v>0</v>
      </c>
      <c r="AK2">
        <f>BDH("PTLO US Equity","CF_CASH_FROM_OPER","1993-06-18","2026-05-02","Per=Y","Days=T","Dir=V")</f>
        <v>0</v>
      </c>
      <c r="AM2">
        <f>BDH("PTLO US Equity","CAPITAL_EXPEND","1993-06-18","2026-05-02","Per=Y","Days=T","Dir=V")</f>
        <v>0</v>
      </c>
      <c r="AO2">
        <f>BDH("PTLO US Equity","CF_FREE_CASH_FLOW","1993-06-18","2026-05-02","Per=Y","Days=T","Dir=V")</f>
        <v>0</v>
      </c>
      <c r="AQ2">
        <f>BDH("PTLO US Equity","PX_LAST","1993-06-18","2026-05-02","Per=M","Days=T","Dir=V")</f>
        <v>0</v>
      </c>
      <c r="AS2">
        <f>BDH("PTLO US Equity","CUR_MKT_CAP","1993-06-18","2026-05-02","Per=M","Days=T","Dir=V")</f>
        <v>0</v>
      </c>
      <c r="AU2">
        <f>BDH("PTLO US Equity","EQY_SH_OUT","1993-06-18","2026-05-02","Per=M","Days=T","Dir=V")</f>
        <v>0</v>
      </c>
      <c r="AW2">
        <f>BDH("PTLO US Equity","PX_VOLUME","1993-06-18","2026-05-02","Per=M","Days=T","Dir=V")</f>
        <v>0</v>
      </c>
      <c r="AY2">
        <f>BDH("PTLO US Equity","TURNOVER","1993-06-18","2026-05-02","Per=M","Days=T","Dir=V")</f>
        <v>0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BDH("PTN US Equity","BS_TOT_ASSET","1993-06-18","2026-05-02","Per=Y","Days=T","Dir=V")</f>
        <v>0</v>
      </c>
      <c r="C2">
        <f>BDH("PTN US Equity","BS_TOT_LIAB2","1993-06-18","2026-05-02","Per=Y","Days=T","Dir=V")</f>
        <v>0</v>
      </c>
      <c r="E2">
        <f>BDH("PTN US Equity","SHORT_AND_LONG_TERM_DEBT","1993-06-18","2026-05-02","Per=Y","Days=T","Dir=V")</f>
        <v>0</v>
      </c>
      <c r="G2">
        <f>BDH("PTN US Equity","BS_ST_BORROW","1993-06-18","2026-05-02","Per=Y","Days=T","Dir=V")</f>
        <v>0</v>
      </c>
      <c r="I2">
        <f>BDH("PTN US Equity","BS_LT_BORROW","1993-06-18","2026-05-02","Per=Y","Days=T","Dir=V")</f>
        <v>0</v>
      </c>
      <c r="K2">
        <f>BDH("PTN US Equity","BS_CASH_NEAR_CASH_ITEM","1993-06-18","2026-05-02","Per=Y","Days=T","Dir=V")</f>
        <v>0</v>
      </c>
      <c r="M2">
        <f>BDH("PTN US Equity","BS_CUR_ASSET_REPORT","1993-06-18","2026-05-02","Per=Y","Days=T","Dir=V")</f>
        <v>0</v>
      </c>
      <c r="O2">
        <f>BDH("PTN US Equity","BS_CUR_LIAB","1993-06-18","2026-05-02","Per=Y","Days=T","Dir=V")</f>
        <v>0</v>
      </c>
      <c r="Q2">
        <f>BDH("PTN US Equity","BS_SHAREHOLDER_EQY_ENDING_PERIOD","1993-06-18","2026-05-02","Per=Y","Days=T","Dir=V")</f>
        <v>0</v>
      </c>
      <c r="S2">
        <f>BDH("PTN US Equity","BS_ACCT_NOTE_RCV","1993-06-18","2026-05-02","Per=Y","Days=T","Dir=V")</f>
        <v>0</v>
      </c>
      <c r="U2">
        <f>BDH("PTN US Equity","BS_INVENTORIES","1993-06-18","2026-05-02","Per=Y","Days=T","Dir=V")</f>
        <v>0</v>
      </c>
      <c r="W2">
        <f>BDH("PTN US Equity","WORKING_CAPITAL","1993-06-18","2026-05-02","Per=Y","Days=T","Dir=V")</f>
        <v>0</v>
      </c>
      <c r="Y2">
        <f>BDH("PTN US Equity","SALES_REV_TURN","1993-06-18","2026-05-02","Per=Y","Days=T","Dir=V")</f>
        <v>0</v>
      </c>
      <c r="AA2">
        <f>BDH("PTN US Equity","EBIT","1993-06-18","2026-05-02","Per=Y","Days=T","Dir=V")</f>
        <v>0</v>
      </c>
      <c r="AC2">
        <f>BDH("PTN US Equity","EBITDA","1993-06-18","2026-05-02","Per=Y","Days=T","Dir=V")</f>
        <v>0</v>
      </c>
      <c r="AE2">
        <f>BDH("PTN US Equity","NET_INCOME","1993-06-18","2026-05-02","Per=Y","Days=T","Dir=V")</f>
        <v>0</v>
      </c>
      <c r="AG2">
        <f>BDH("PTN US Equity","IS_INT_EXPENSE","1993-06-18","2026-05-02","Per=Y","Days=T","Dir=V")</f>
        <v>0</v>
      </c>
      <c r="AI2">
        <f>BDH("PTN US Equity","IS_DEPR_EXP","1993-06-18","2026-05-02","Per=Y","Days=T","Dir=V")</f>
        <v>0</v>
      </c>
      <c r="AK2">
        <f>BDH("PTN US Equity","CF_CASH_FROM_OPER","1993-06-18","2026-05-02","Per=Y","Days=T","Dir=V")</f>
        <v>0</v>
      </c>
      <c r="AM2">
        <f>BDH("PTN US Equity","CAPITAL_EXPEND","1993-06-18","2026-05-02","Per=Y","Days=T","Dir=V")</f>
        <v>0</v>
      </c>
      <c r="AO2">
        <f>BDH("PTN US Equity","CF_FREE_CASH_FLOW","1993-06-18","2026-05-02","Per=Y","Days=T","Dir=V")</f>
        <v>0</v>
      </c>
      <c r="AQ2">
        <f>BDH("PTN US Equity","PX_LAST","1993-06-18","2026-05-02","Per=M","Days=T","Dir=V")</f>
        <v>0</v>
      </c>
      <c r="AS2">
        <f>BDH("PTN US Equity","CUR_MKT_CAP","1993-06-18","2026-05-02","Per=M","Days=T","Dir=V")</f>
        <v>0</v>
      </c>
      <c r="AU2">
        <f>BDH("PTN US Equity","EQY_SH_OUT","1993-06-18","2026-05-02","Per=M","Days=T","Dir=V")</f>
        <v>0</v>
      </c>
      <c r="AW2">
        <f>BDH("PTN US Equity","PX_VOLUME","1993-06-18","2026-05-02","Per=M","Days=T","Dir=V")</f>
        <v>0</v>
      </c>
      <c r="AY2">
        <f>BDH("PTN US Equity","TURNOVER","1993-06-18","2026-05-02","Per=M","Days=T","Dir=V")</f>
        <v>0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BDH("PTON US Equity","BS_TOT_ASSET","1993-06-18","2026-05-02","Per=Y","Days=T","Dir=V")</f>
        <v>0</v>
      </c>
      <c r="C2">
        <f>BDH("PTON US Equity","BS_TOT_LIAB2","1993-06-18","2026-05-02","Per=Y","Days=T","Dir=V")</f>
        <v>0</v>
      </c>
      <c r="E2">
        <f>BDH("PTON US Equity","SHORT_AND_LONG_TERM_DEBT","1993-06-18","2026-05-02","Per=Y","Days=T","Dir=V")</f>
        <v>0</v>
      </c>
      <c r="G2">
        <f>BDH("PTON US Equity","BS_ST_BORROW","1993-06-18","2026-05-02","Per=Y","Days=T","Dir=V")</f>
        <v>0</v>
      </c>
      <c r="I2">
        <f>BDH("PTON US Equity","BS_LT_BORROW","1993-06-18","2026-05-02","Per=Y","Days=T","Dir=V")</f>
        <v>0</v>
      </c>
      <c r="K2">
        <f>BDH("PTON US Equity","BS_CASH_NEAR_CASH_ITEM","1993-06-18","2026-05-02","Per=Y","Days=T","Dir=V")</f>
        <v>0</v>
      </c>
      <c r="M2">
        <f>BDH("PTON US Equity","BS_CUR_ASSET_REPORT","1993-06-18","2026-05-02","Per=Y","Days=T","Dir=V")</f>
        <v>0</v>
      </c>
      <c r="O2">
        <f>BDH("PTON US Equity","BS_CUR_LIAB","1993-06-18","2026-05-02","Per=Y","Days=T","Dir=V")</f>
        <v>0</v>
      </c>
      <c r="Q2">
        <f>BDH("PTON US Equity","BS_SHAREHOLDER_EQY_ENDING_PERIOD","1993-06-18","2026-05-02","Per=Y","Days=T","Dir=V")</f>
        <v>0</v>
      </c>
      <c r="S2">
        <f>BDH("PTON US Equity","BS_ACCT_NOTE_RCV","1993-06-18","2026-05-02","Per=Y","Days=T","Dir=V")</f>
        <v>0</v>
      </c>
      <c r="U2">
        <f>BDH("PTON US Equity","BS_INVENTORIES","1993-06-18","2026-05-02","Per=Y","Days=T","Dir=V")</f>
        <v>0</v>
      </c>
      <c r="W2">
        <f>BDH("PTON US Equity","WORKING_CAPITAL","1993-06-18","2026-05-02","Per=Y","Days=T","Dir=V")</f>
        <v>0</v>
      </c>
      <c r="Y2">
        <f>BDH("PTON US Equity","SALES_REV_TURN","1993-06-18","2026-05-02","Per=Y","Days=T","Dir=V")</f>
        <v>0</v>
      </c>
      <c r="AA2">
        <f>BDH("PTON US Equity","EBIT","1993-06-18","2026-05-02","Per=Y","Days=T","Dir=V")</f>
        <v>0</v>
      </c>
      <c r="AC2">
        <f>BDH("PTON US Equity","EBITDA","1993-06-18","2026-05-02","Per=Y","Days=T","Dir=V")</f>
        <v>0</v>
      </c>
      <c r="AE2">
        <f>BDH("PTON US Equity","NET_INCOME","1993-06-18","2026-05-02","Per=Y","Days=T","Dir=V")</f>
        <v>0</v>
      </c>
      <c r="AG2">
        <f>BDH("PTON US Equity","IS_INT_EXPENSE","1993-06-18","2026-05-02","Per=Y","Days=T","Dir=V")</f>
        <v>0</v>
      </c>
      <c r="AI2">
        <f>BDH("PTON US Equity","IS_DEPR_EXP","1993-06-18","2026-05-02","Per=Y","Days=T","Dir=V")</f>
        <v>0</v>
      </c>
      <c r="AK2">
        <f>BDH("PTON US Equity","CF_CASH_FROM_OPER","1993-06-18","2026-05-02","Per=Y","Days=T","Dir=V")</f>
        <v>0</v>
      </c>
      <c r="AM2">
        <f>BDH("PTON US Equity","CAPITAL_EXPEND","1993-06-18","2026-05-02","Per=Y","Days=T","Dir=V")</f>
        <v>0</v>
      </c>
      <c r="AO2">
        <f>BDH("PTON US Equity","CF_FREE_CASH_FLOW","1993-06-18","2026-05-02","Per=Y","Days=T","Dir=V")</f>
        <v>0</v>
      </c>
      <c r="AQ2">
        <f>BDH("PTON US Equity","PX_LAST","1993-06-18","2026-05-02","Per=M","Days=T","Dir=V")</f>
        <v>0</v>
      </c>
      <c r="AS2">
        <f>BDH("PTON US Equity","CUR_MKT_CAP","1993-06-18","2026-05-02","Per=M","Days=T","Dir=V")</f>
        <v>0</v>
      </c>
      <c r="AU2">
        <f>BDH("PTON US Equity","EQY_SH_OUT","1993-06-18","2026-05-02","Per=M","Days=T","Dir=V")</f>
        <v>0</v>
      </c>
      <c r="AW2">
        <f>BDH("PTON US Equity","PX_VOLUME","1993-06-18","2026-05-02","Per=M","Days=T","Dir=V")</f>
        <v>0</v>
      </c>
      <c r="AY2">
        <f>BDH("PTON US Equity","TURNOVER","1993-06-18","2026-05-02","Per=M","Days=T","Dir=V")</f>
        <v>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BDH("PTRN US Equity","BS_TOT_ASSET","1993-06-18","2026-05-02","Per=Y","Days=T","Dir=V")</f>
        <v>0</v>
      </c>
      <c r="C2">
        <f>BDH("PTRN US Equity","BS_TOT_LIAB2","1993-06-18","2026-05-02","Per=Y","Days=T","Dir=V")</f>
        <v>0</v>
      </c>
      <c r="E2">
        <f>BDH("PTRN US Equity","SHORT_AND_LONG_TERM_DEBT","1993-06-18","2026-05-02","Per=Y","Days=T","Dir=V")</f>
        <v>0</v>
      </c>
      <c r="G2">
        <f>BDH("PTRN US Equity","BS_ST_BORROW","1993-06-18","2026-05-02","Per=Y","Days=T","Dir=V")</f>
        <v>0</v>
      </c>
      <c r="I2">
        <f>BDH("PTRN US Equity","BS_LT_BORROW","1993-06-18","2026-05-02","Per=Y","Days=T","Dir=V")</f>
        <v>0</v>
      </c>
      <c r="K2">
        <f>BDH("PTRN US Equity","BS_CASH_NEAR_CASH_ITEM","1993-06-18","2026-05-02","Per=Y","Days=T","Dir=V")</f>
        <v>0</v>
      </c>
      <c r="M2">
        <f>BDH("PTRN US Equity","BS_CUR_ASSET_REPORT","1993-06-18","2026-05-02","Per=Y","Days=T","Dir=V")</f>
        <v>0</v>
      </c>
      <c r="O2">
        <f>BDH("PTRN US Equity","BS_CUR_LIAB","1993-06-18","2026-05-02","Per=Y","Days=T","Dir=V")</f>
        <v>0</v>
      </c>
      <c r="Q2">
        <f>BDH("PTRN US Equity","BS_SHAREHOLDER_EQY_ENDING_PERIOD","1993-06-18","2026-05-02","Per=Y","Days=T","Dir=V")</f>
        <v>0</v>
      </c>
      <c r="S2">
        <f>BDH("PTRN US Equity","BS_ACCT_NOTE_RCV","1993-06-18","2026-05-02","Per=Y","Days=T","Dir=V")</f>
        <v>0</v>
      </c>
      <c r="U2">
        <f>BDH("PTRN US Equity","BS_INVENTORIES","1993-06-18","2026-05-02","Per=Y","Days=T","Dir=V")</f>
        <v>0</v>
      </c>
      <c r="W2">
        <f>BDH("PTRN US Equity","WORKING_CAPITAL","1993-06-18","2026-05-02","Per=Y","Days=T","Dir=V")</f>
        <v>0</v>
      </c>
      <c r="Y2">
        <f>BDH("PTRN US Equity","SALES_REV_TURN","1993-06-18","2026-05-02","Per=Y","Days=T","Dir=V")</f>
        <v>0</v>
      </c>
      <c r="AA2">
        <f>BDH("PTRN US Equity","EBIT","1993-06-18","2026-05-02","Per=Y","Days=T","Dir=V")</f>
        <v>0</v>
      </c>
      <c r="AC2">
        <f>BDH("PTRN US Equity","EBITDA","1993-06-18","2026-05-02","Per=Y","Days=T","Dir=V")</f>
        <v>0</v>
      </c>
      <c r="AE2">
        <f>BDH("PTRN US Equity","NET_INCOME","1993-06-18","2026-05-02","Per=Y","Days=T","Dir=V")</f>
        <v>0</v>
      </c>
      <c r="AG2">
        <f>BDH("PTRN US Equity","IS_INT_EXPENSE","1993-06-18","2026-05-02","Per=Y","Days=T","Dir=V")</f>
        <v>0</v>
      </c>
      <c r="AI2">
        <f>BDH("PTRN US Equity","IS_DEPR_EXP","1993-06-18","2026-05-02","Per=Y","Days=T","Dir=V")</f>
        <v>0</v>
      </c>
      <c r="AK2">
        <f>BDH("PTRN US Equity","CF_CASH_FROM_OPER","1993-06-18","2026-05-02","Per=Y","Days=T","Dir=V")</f>
        <v>0</v>
      </c>
      <c r="AM2">
        <f>BDH("PTRN US Equity","CAPITAL_EXPEND","1993-06-18","2026-05-02","Per=Y","Days=T","Dir=V")</f>
        <v>0</v>
      </c>
      <c r="AO2">
        <f>BDH("PTRN US Equity","CF_FREE_CASH_FLOW","1993-06-18","2026-05-02","Per=Y","Days=T","Dir=V")</f>
        <v>0</v>
      </c>
      <c r="AQ2">
        <f>BDH("PTRN US Equity","PX_LAST","1993-06-18","2026-05-02","Per=M","Days=T","Dir=V")</f>
        <v>0</v>
      </c>
      <c r="AS2">
        <f>BDH("PTRN US Equity","CUR_MKT_CAP","1993-06-18","2026-05-02","Per=M","Days=T","Dir=V")</f>
        <v>0</v>
      </c>
      <c r="AU2">
        <f>BDH("PTRN US Equity","EQY_SH_OUT","1993-06-18","2026-05-02","Per=M","Days=T","Dir=V")</f>
        <v>0</v>
      </c>
      <c r="AW2">
        <f>BDH("PTRN US Equity","PX_VOLUME","1993-06-18","2026-05-02","Per=M","Days=T","Dir=V")</f>
        <v>0</v>
      </c>
      <c r="AY2">
        <f>BDH("PTRN US Equity","TURNOVER","1993-06-18","2026-05-02","Per=M","Days=T","Dir=V")</f>
        <v>0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BDH("PUBM US Equity","BS_TOT_ASSET","1993-06-18","2026-05-02","Per=Y","Days=T","Dir=V")</f>
        <v>0</v>
      </c>
      <c r="C2">
        <f>BDH("PUBM US Equity","BS_TOT_LIAB2","1993-06-18","2026-05-02","Per=Y","Days=T","Dir=V")</f>
        <v>0</v>
      </c>
      <c r="E2">
        <f>BDH("PUBM US Equity","SHORT_AND_LONG_TERM_DEBT","1993-06-18","2026-05-02","Per=Y","Days=T","Dir=V")</f>
        <v>0</v>
      </c>
      <c r="G2">
        <f>BDH("PUBM US Equity","BS_ST_BORROW","1993-06-18","2026-05-02","Per=Y","Days=T","Dir=V")</f>
        <v>0</v>
      </c>
      <c r="I2">
        <f>BDH("PUBM US Equity","BS_LT_BORROW","1993-06-18","2026-05-02","Per=Y","Days=T","Dir=V")</f>
        <v>0</v>
      </c>
      <c r="K2">
        <f>BDH("PUBM US Equity","BS_CASH_NEAR_CASH_ITEM","1993-06-18","2026-05-02","Per=Y","Days=T","Dir=V")</f>
        <v>0</v>
      </c>
      <c r="M2">
        <f>BDH("PUBM US Equity","BS_CUR_ASSET_REPORT","1993-06-18","2026-05-02","Per=Y","Days=T","Dir=V")</f>
        <v>0</v>
      </c>
      <c r="O2">
        <f>BDH("PUBM US Equity","BS_CUR_LIAB","1993-06-18","2026-05-02","Per=Y","Days=T","Dir=V")</f>
        <v>0</v>
      </c>
      <c r="Q2">
        <f>BDH("PUBM US Equity","BS_SHAREHOLDER_EQY_ENDING_PERIOD","1993-06-18","2026-05-02","Per=Y","Days=T","Dir=V")</f>
        <v>0</v>
      </c>
      <c r="S2">
        <f>BDH("PUBM US Equity","BS_ACCT_NOTE_RCV","1993-06-18","2026-05-02","Per=Y","Days=T","Dir=V")</f>
        <v>0</v>
      </c>
      <c r="U2">
        <f>BDH("PUBM US Equity","BS_INVENTORIES","1993-06-18","2026-05-02","Per=Y","Days=T","Dir=V")</f>
        <v>0</v>
      </c>
      <c r="W2">
        <f>BDH("PUBM US Equity","WORKING_CAPITAL","1993-06-18","2026-05-02","Per=Y","Days=T","Dir=V")</f>
        <v>0</v>
      </c>
      <c r="Y2">
        <f>BDH("PUBM US Equity","SALES_REV_TURN","1993-06-18","2026-05-02","Per=Y","Days=T","Dir=V")</f>
        <v>0</v>
      </c>
      <c r="AA2">
        <f>BDH("PUBM US Equity","EBIT","1993-06-18","2026-05-02","Per=Y","Days=T","Dir=V")</f>
        <v>0</v>
      </c>
      <c r="AC2">
        <f>BDH("PUBM US Equity","EBITDA","1993-06-18","2026-05-02","Per=Y","Days=T","Dir=V")</f>
        <v>0</v>
      </c>
      <c r="AE2">
        <f>BDH("PUBM US Equity","NET_INCOME","1993-06-18","2026-05-02","Per=Y","Days=T","Dir=V")</f>
        <v>0</v>
      </c>
      <c r="AG2">
        <f>BDH("PUBM US Equity","IS_INT_EXPENSE","1993-06-18","2026-05-02","Per=Y","Days=T","Dir=V")</f>
        <v>0</v>
      </c>
      <c r="AI2">
        <f>BDH("PUBM US Equity","IS_DEPR_EXP","1993-06-18","2026-05-02","Per=Y","Days=T","Dir=V")</f>
        <v>0</v>
      </c>
      <c r="AK2">
        <f>BDH("PUBM US Equity","CF_CASH_FROM_OPER","1993-06-18","2026-05-02","Per=Y","Days=T","Dir=V")</f>
        <v>0</v>
      </c>
      <c r="AM2">
        <f>BDH("PUBM US Equity","CAPITAL_EXPEND","1993-06-18","2026-05-02","Per=Y","Days=T","Dir=V")</f>
        <v>0</v>
      </c>
      <c r="AO2">
        <f>BDH("PUBM US Equity","CF_FREE_CASH_FLOW","1993-06-18","2026-05-02","Per=Y","Days=T","Dir=V")</f>
        <v>0</v>
      </c>
      <c r="AQ2">
        <f>BDH("PUBM US Equity","PX_LAST","1993-06-18","2026-05-02","Per=M","Days=T","Dir=V")</f>
        <v>0</v>
      </c>
      <c r="AS2">
        <f>BDH("PUBM US Equity","CUR_MKT_CAP","1993-06-18","2026-05-02","Per=M","Days=T","Dir=V")</f>
        <v>0</v>
      </c>
      <c r="AU2">
        <f>BDH("PUBM US Equity","EQY_SH_OUT","1993-06-18","2026-05-02","Per=M","Days=T","Dir=V")</f>
        <v>0</v>
      </c>
      <c r="AW2">
        <f>BDH("PUBM US Equity","PX_VOLUME","1993-06-18","2026-05-02","Per=M","Days=T","Dir=V")</f>
        <v>0</v>
      </c>
      <c r="AY2">
        <f>BDH("PUBM US Equity","TURNOVER","1993-06-18","2026-05-02","Per=M","Days=T","Dir=V")</f>
        <v>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BDH("PULM US Equity","BS_TOT_ASSET","1993-06-18","2026-05-02","Per=Y","Days=T","Dir=V")</f>
        <v>0</v>
      </c>
      <c r="C2">
        <f>BDH("PULM US Equity","BS_TOT_LIAB2","1993-06-18","2026-05-02","Per=Y","Days=T","Dir=V")</f>
        <v>0</v>
      </c>
      <c r="E2">
        <f>BDH("PULM US Equity","SHORT_AND_LONG_TERM_DEBT","1993-06-18","2026-05-02","Per=Y","Days=T","Dir=V")</f>
        <v>0</v>
      </c>
      <c r="G2">
        <f>BDH("PULM US Equity","BS_ST_BORROW","1993-06-18","2026-05-02","Per=Y","Days=T","Dir=V")</f>
        <v>0</v>
      </c>
      <c r="I2">
        <f>BDH("PULM US Equity","BS_LT_BORROW","1993-06-18","2026-05-02","Per=Y","Days=T","Dir=V")</f>
        <v>0</v>
      </c>
      <c r="K2">
        <f>BDH("PULM US Equity","BS_CASH_NEAR_CASH_ITEM","1993-06-18","2026-05-02","Per=Y","Days=T","Dir=V")</f>
        <v>0</v>
      </c>
      <c r="M2">
        <f>BDH("PULM US Equity","BS_CUR_ASSET_REPORT","1993-06-18","2026-05-02","Per=Y","Days=T","Dir=V")</f>
        <v>0</v>
      </c>
      <c r="O2">
        <f>BDH("PULM US Equity","BS_CUR_LIAB","1993-06-18","2026-05-02","Per=Y","Days=T","Dir=V")</f>
        <v>0</v>
      </c>
      <c r="Q2">
        <f>BDH("PULM US Equity","BS_SHAREHOLDER_EQY_ENDING_PERIOD","1993-06-18","2026-05-02","Per=Y","Days=T","Dir=V")</f>
        <v>0</v>
      </c>
      <c r="S2">
        <f>BDH("PULM US Equity","BS_ACCT_NOTE_RCV","1993-06-18","2026-05-02","Per=Y","Days=T","Dir=V")</f>
        <v>0</v>
      </c>
      <c r="U2">
        <f>BDH("PULM US Equity","BS_INVENTORIES","1993-06-18","2026-05-02","Per=Y","Days=T","Dir=V")</f>
        <v>0</v>
      </c>
      <c r="W2">
        <f>BDH("PULM US Equity","WORKING_CAPITAL","1993-06-18","2026-05-02","Per=Y","Days=T","Dir=V")</f>
        <v>0</v>
      </c>
      <c r="Y2">
        <f>BDH("PULM US Equity","SALES_REV_TURN","1993-06-18","2026-05-02","Per=Y","Days=T","Dir=V")</f>
        <v>0</v>
      </c>
      <c r="AA2">
        <f>BDH("PULM US Equity","EBIT","1993-06-18","2026-05-02","Per=Y","Days=T","Dir=V")</f>
        <v>0</v>
      </c>
      <c r="AC2">
        <f>BDH("PULM US Equity","EBITDA","1993-06-18","2026-05-02","Per=Y","Days=T","Dir=V")</f>
        <v>0</v>
      </c>
      <c r="AE2">
        <f>BDH("PULM US Equity","NET_INCOME","1993-06-18","2026-05-02","Per=Y","Days=T","Dir=V")</f>
        <v>0</v>
      </c>
      <c r="AG2">
        <f>BDH("PULM US Equity","IS_INT_EXPENSE","1993-06-18","2026-05-02","Per=Y","Days=T","Dir=V")</f>
        <v>0</v>
      </c>
      <c r="AI2">
        <f>BDH("PULM US Equity","IS_DEPR_EXP","1993-06-18","2026-05-02","Per=Y","Days=T","Dir=V")</f>
        <v>0</v>
      </c>
      <c r="AK2">
        <f>BDH("PULM US Equity","CF_CASH_FROM_OPER","1993-06-18","2026-05-02","Per=Y","Days=T","Dir=V")</f>
        <v>0</v>
      </c>
      <c r="AM2">
        <f>BDH("PULM US Equity","CAPITAL_EXPEND","1993-06-18","2026-05-02","Per=Y","Days=T","Dir=V")</f>
        <v>0</v>
      </c>
      <c r="AO2">
        <f>BDH("PULM US Equity","CF_FREE_CASH_FLOW","1993-06-18","2026-05-02","Per=Y","Days=T","Dir=V")</f>
        <v>0</v>
      </c>
      <c r="AQ2">
        <f>BDH("PULM US Equity","PX_LAST","1993-06-18","2026-05-02","Per=M","Days=T","Dir=V")</f>
        <v>0</v>
      </c>
      <c r="AS2">
        <f>BDH("PULM US Equity","CUR_MKT_CAP","1993-06-18","2026-05-02","Per=M","Days=T","Dir=V")</f>
        <v>0</v>
      </c>
      <c r="AU2">
        <f>BDH("PULM US Equity","EQY_SH_OUT","1993-06-18","2026-05-02","Per=M","Days=T","Dir=V")</f>
        <v>0</v>
      </c>
      <c r="AW2">
        <f>BDH("PULM US Equity","PX_VOLUME","1993-06-18","2026-05-02","Per=M","Days=T","Dir=V")</f>
        <v>0</v>
      </c>
      <c r="AY2">
        <f>BDH("PULM US Equity","TURNOVER","1993-06-18","2026-05-02","Per=M","Days=T","Dir=V")</f>
        <v>0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BDH("PUMP US Equity","BS_TOT_ASSET","1993-06-18","2026-05-02","Per=Y","Days=T","Dir=V")</f>
        <v>0</v>
      </c>
      <c r="C2">
        <f>BDH("PUMP US Equity","BS_TOT_LIAB2","1993-06-18","2026-05-02","Per=Y","Days=T","Dir=V")</f>
        <v>0</v>
      </c>
      <c r="E2">
        <f>BDH("PUMP US Equity","SHORT_AND_LONG_TERM_DEBT","1993-06-18","2026-05-02","Per=Y","Days=T","Dir=V")</f>
        <v>0</v>
      </c>
      <c r="G2">
        <f>BDH("PUMP US Equity","BS_ST_BORROW","1993-06-18","2026-05-02","Per=Y","Days=T","Dir=V")</f>
        <v>0</v>
      </c>
      <c r="I2">
        <f>BDH("PUMP US Equity","BS_LT_BORROW","1993-06-18","2026-05-02","Per=Y","Days=T","Dir=V")</f>
        <v>0</v>
      </c>
      <c r="K2">
        <f>BDH("PUMP US Equity","BS_CASH_NEAR_CASH_ITEM","1993-06-18","2026-05-02","Per=Y","Days=T","Dir=V")</f>
        <v>0</v>
      </c>
      <c r="M2">
        <f>BDH("PUMP US Equity","BS_CUR_ASSET_REPORT","1993-06-18","2026-05-02","Per=Y","Days=T","Dir=V")</f>
        <v>0</v>
      </c>
      <c r="O2">
        <f>BDH("PUMP US Equity","BS_CUR_LIAB","1993-06-18","2026-05-02","Per=Y","Days=T","Dir=V")</f>
        <v>0</v>
      </c>
      <c r="Q2">
        <f>BDH("PUMP US Equity","BS_SHAREHOLDER_EQY_ENDING_PERIOD","1993-06-18","2026-05-02","Per=Y","Days=T","Dir=V")</f>
        <v>0</v>
      </c>
      <c r="S2">
        <f>BDH("PUMP US Equity","BS_ACCT_NOTE_RCV","1993-06-18","2026-05-02","Per=Y","Days=T","Dir=V")</f>
        <v>0</v>
      </c>
      <c r="U2">
        <f>BDH("PUMP US Equity","BS_INVENTORIES","1993-06-18","2026-05-02","Per=Y","Days=T","Dir=V")</f>
        <v>0</v>
      </c>
      <c r="W2">
        <f>BDH("PUMP US Equity","WORKING_CAPITAL","1993-06-18","2026-05-02","Per=Y","Days=T","Dir=V")</f>
        <v>0</v>
      </c>
      <c r="Y2">
        <f>BDH("PUMP US Equity","SALES_REV_TURN","1993-06-18","2026-05-02","Per=Y","Days=T","Dir=V")</f>
        <v>0</v>
      </c>
      <c r="AA2">
        <f>BDH("PUMP US Equity","EBIT","1993-06-18","2026-05-02","Per=Y","Days=T","Dir=V")</f>
        <v>0</v>
      </c>
      <c r="AC2">
        <f>BDH("PUMP US Equity","EBITDA","1993-06-18","2026-05-02","Per=Y","Days=T","Dir=V")</f>
        <v>0</v>
      </c>
      <c r="AE2">
        <f>BDH("PUMP US Equity","NET_INCOME","1993-06-18","2026-05-02","Per=Y","Days=T","Dir=V")</f>
        <v>0</v>
      </c>
      <c r="AG2">
        <f>BDH("PUMP US Equity","IS_INT_EXPENSE","1993-06-18","2026-05-02","Per=Y","Days=T","Dir=V")</f>
        <v>0</v>
      </c>
      <c r="AI2">
        <f>BDH("PUMP US Equity","IS_DEPR_EXP","1993-06-18","2026-05-02","Per=Y","Days=T","Dir=V")</f>
        <v>0</v>
      </c>
      <c r="AK2">
        <f>BDH("PUMP US Equity","CF_CASH_FROM_OPER","1993-06-18","2026-05-02","Per=Y","Days=T","Dir=V")</f>
        <v>0</v>
      </c>
      <c r="AM2">
        <f>BDH("PUMP US Equity","CAPITAL_EXPEND","1993-06-18","2026-05-02","Per=Y","Days=T","Dir=V")</f>
        <v>0</v>
      </c>
      <c r="AO2">
        <f>BDH("PUMP US Equity","CF_FREE_CASH_FLOW","1993-06-18","2026-05-02","Per=Y","Days=T","Dir=V")</f>
        <v>0</v>
      </c>
      <c r="AQ2">
        <f>BDH("PUMP US Equity","PX_LAST","1993-06-18","2026-05-02","Per=M","Days=T","Dir=V")</f>
        <v>0</v>
      </c>
      <c r="AS2">
        <f>BDH("PUMP US Equity","CUR_MKT_CAP","1993-06-18","2026-05-02","Per=M","Days=T","Dir=V")</f>
        <v>0</v>
      </c>
      <c r="AU2">
        <f>BDH("PUMP US Equity","EQY_SH_OUT","1993-06-18","2026-05-02","Per=M","Days=T","Dir=V")</f>
        <v>0</v>
      </c>
      <c r="AW2">
        <f>BDH("PUMP US Equity","PX_VOLUME","1993-06-18","2026-05-02","Per=M","Days=T","Dir=V")</f>
        <v>0</v>
      </c>
      <c r="AY2">
        <f>BDH("PUMP US Equity","TURNOVER","1993-06-18","2026-05-02","Per=M","Days=T","Dir=V")</f>
        <v>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BDH("PUSA US Equity","BS_TOT_ASSET","1993-06-18","2026-05-02","Per=Y","Days=T","Dir=V")</f>
        <v>0</v>
      </c>
      <c r="C2">
        <f>BDH("PUSA US Equity","BS_TOT_LIAB2","1993-06-18","2026-05-02","Per=Y","Days=T","Dir=V")</f>
        <v>0</v>
      </c>
      <c r="E2">
        <f>BDH("PUSA US Equity","SHORT_AND_LONG_TERM_DEBT","1993-06-18","2026-05-02","Per=Y","Days=T","Dir=V")</f>
        <v>0</v>
      </c>
      <c r="G2">
        <f>BDH("PUSA US Equity","BS_ST_BORROW","1993-06-18","2026-05-02","Per=Y","Days=T","Dir=V")</f>
        <v>0</v>
      </c>
      <c r="I2">
        <f>BDH("PUSA US Equity","BS_LT_BORROW","1993-06-18","2026-05-02","Per=Y","Days=T","Dir=V")</f>
        <v>0</v>
      </c>
      <c r="K2">
        <f>BDH("PUSA US Equity","BS_CASH_NEAR_CASH_ITEM","1993-06-18","2026-05-02","Per=Y","Days=T","Dir=V")</f>
        <v>0</v>
      </c>
      <c r="M2">
        <f>BDH("PUSA US Equity","BS_CUR_ASSET_REPORT","1993-06-18","2026-05-02","Per=Y","Days=T","Dir=V")</f>
        <v>0</v>
      </c>
      <c r="O2">
        <f>BDH("PUSA US Equity","BS_CUR_LIAB","1993-06-18","2026-05-02","Per=Y","Days=T","Dir=V")</f>
        <v>0</v>
      </c>
      <c r="Q2">
        <f>BDH("PUSA US Equity","BS_SHAREHOLDER_EQY_ENDING_PERIOD","1993-06-18","2026-05-02","Per=Y","Days=T","Dir=V")</f>
        <v>0</v>
      </c>
      <c r="S2">
        <f>BDH("PUSA US Equity","BS_ACCT_NOTE_RCV","1993-06-18","2026-05-02","Per=Y","Days=T","Dir=V")</f>
        <v>0</v>
      </c>
      <c r="U2">
        <f>BDH("PUSA US Equity","BS_INVENTORIES","1993-06-18","2026-05-02","Per=Y","Days=T","Dir=V")</f>
        <v>0</v>
      </c>
      <c r="W2">
        <f>BDH("PUSA US Equity","WORKING_CAPITAL","1993-06-18","2026-05-02","Per=Y","Days=T","Dir=V")</f>
        <v>0</v>
      </c>
      <c r="Y2">
        <f>BDH("PUSA US Equity","SALES_REV_TURN","1993-06-18","2026-05-02","Per=Y","Days=T","Dir=V")</f>
        <v>0</v>
      </c>
      <c r="AA2">
        <f>BDH("PUSA US Equity","EBIT","1993-06-18","2026-05-02","Per=Y","Days=T","Dir=V")</f>
        <v>0</v>
      </c>
      <c r="AC2">
        <f>BDH("PUSA US Equity","EBITDA","1993-06-18","2026-05-02","Per=Y","Days=T","Dir=V")</f>
        <v>0</v>
      </c>
      <c r="AE2">
        <f>BDH("PUSA US Equity","NET_INCOME","1993-06-18","2026-05-02","Per=Y","Days=T","Dir=V")</f>
        <v>0</v>
      </c>
      <c r="AG2">
        <f>BDH("PUSA US Equity","IS_INT_EXPENSE","1993-06-18","2026-05-02","Per=Y","Days=T","Dir=V")</f>
        <v>0</v>
      </c>
      <c r="AI2">
        <f>BDH("PUSA US Equity","IS_DEPR_EXP","1993-06-18","2026-05-02","Per=Y","Days=T","Dir=V")</f>
        <v>0</v>
      </c>
      <c r="AK2">
        <f>BDH("PUSA US Equity","CF_CASH_FROM_OPER","1993-06-18","2026-05-02","Per=Y","Days=T","Dir=V")</f>
        <v>0</v>
      </c>
      <c r="AM2">
        <f>BDH("PUSA US Equity","CAPITAL_EXPEND","1993-06-18","2026-05-02","Per=Y","Days=T","Dir=V")</f>
        <v>0</v>
      </c>
      <c r="AO2">
        <f>BDH("PUSA US Equity","CF_FREE_CASH_FLOW","1993-06-18","2026-05-02","Per=Y","Days=T","Dir=V")</f>
        <v>0</v>
      </c>
      <c r="AQ2">
        <f>BDH("PUSA US Equity","PX_LAST","1993-06-18","2026-05-02","Per=M","Days=T","Dir=V")</f>
        <v>0</v>
      </c>
      <c r="AS2">
        <f>BDH("PUSA US Equity","CUR_MKT_CAP","1993-06-18","2026-05-02","Per=M","Days=T","Dir=V")</f>
        <v>0</v>
      </c>
      <c r="AU2">
        <f>BDH("PUSA US Equity","EQY_SH_OUT","1993-06-18","2026-05-02","Per=M","Days=T","Dir=V")</f>
        <v>0</v>
      </c>
      <c r="AW2">
        <f>BDH("PUSA US Equity","PX_VOLUME","1993-06-18","2026-05-02","Per=M","Days=T","Dir=V")</f>
        <v>0</v>
      </c>
      <c r="AY2">
        <f>BDH("PUSA US Equity","TURNOVER","1993-06-18","2026-05-02","Per=M","Days=T","Dir=V")</f>
        <v>0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BDH("PVH US Equity","BS_TOT_ASSET","1993-06-18","2026-05-02","Per=Y","Days=T","Dir=V")</f>
        <v>0</v>
      </c>
      <c r="C2">
        <f>BDH("PVH US Equity","BS_TOT_LIAB2","1993-06-18","2026-05-02","Per=Y","Days=T","Dir=V")</f>
        <v>0</v>
      </c>
      <c r="E2">
        <f>BDH("PVH US Equity","SHORT_AND_LONG_TERM_DEBT","1993-06-18","2026-05-02","Per=Y","Days=T","Dir=V")</f>
        <v>0</v>
      </c>
      <c r="G2">
        <f>BDH("PVH US Equity","BS_ST_BORROW","1993-06-18","2026-05-02","Per=Y","Days=T","Dir=V")</f>
        <v>0</v>
      </c>
      <c r="I2">
        <f>BDH("PVH US Equity","BS_LT_BORROW","1993-06-18","2026-05-02","Per=Y","Days=T","Dir=V")</f>
        <v>0</v>
      </c>
      <c r="K2">
        <f>BDH("PVH US Equity","BS_CASH_NEAR_CASH_ITEM","1993-06-18","2026-05-02","Per=Y","Days=T","Dir=V")</f>
        <v>0</v>
      </c>
      <c r="M2">
        <f>BDH("PVH US Equity","BS_CUR_ASSET_REPORT","1993-06-18","2026-05-02","Per=Y","Days=T","Dir=V")</f>
        <v>0</v>
      </c>
      <c r="O2">
        <f>BDH("PVH US Equity","BS_CUR_LIAB","1993-06-18","2026-05-02","Per=Y","Days=T","Dir=V")</f>
        <v>0</v>
      </c>
      <c r="Q2">
        <f>BDH("PVH US Equity","BS_SHAREHOLDER_EQY_ENDING_PERIOD","1993-06-18","2026-05-02","Per=Y","Days=T","Dir=V")</f>
        <v>0</v>
      </c>
      <c r="S2">
        <f>BDH("PVH US Equity","BS_ACCT_NOTE_RCV","1993-06-18","2026-05-02","Per=Y","Days=T","Dir=V")</f>
        <v>0</v>
      </c>
      <c r="U2">
        <f>BDH("PVH US Equity","BS_INVENTORIES","1993-06-18","2026-05-02","Per=Y","Days=T","Dir=V")</f>
        <v>0</v>
      </c>
      <c r="W2">
        <f>BDH("PVH US Equity","WORKING_CAPITAL","1993-06-18","2026-05-02","Per=Y","Days=T","Dir=V")</f>
        <v>0</v>
      </c>
      <c r="Y2">
        <f>BDH("PVH US Equity","SALES_REV_TURN","1993-06-18","2026-05-02","Per=Y","Days=T","Dir=V")</f>
        <v>0</v>
      </c>
      <c r="AA2">
        <f>BDH("PVH US Equity","EBIT","1993-06-18","2026-05-02","Per=Y","Days=T","Dir=V")</f>
        <v>0</v>
      </c>
      <c r="AC2">
        <f>BDH("PVH US Equity","EBITDA","1993-06-18","2026-05-02","Per=Y","Days=T","Dir=V")</f>
        <v>0</v>
      </c>
      <c r="AE2">
        <f>BDH("PVH US Equity","NET_INCOME","1993-06-18","2026-05-02","Per=Y","Days=T","Dir=V")</f>
        <v>0</v>
      </c>
      <c r="AG2">
        <f>BDH("PVH US Equity","IS_INT_EXPENSE","1993-06-18","2026-05-02","Per=Y","Days=T","Dir=V")</f>
        <v>0</v>
      </c>
      <c r="AI2">
        <f>BDH("PVH US Equity","IS_DEPR_EXP","1993-06-18","2026-05-02","Per=Y","Days=T","Dir=V")</f>
        <v>0</v>
      </c>
      <c r="AK2">
        <f>BDH("PVH US Equity","CF_CASH_FROM_OPER","1993-06-18","2026-05-02","Per=Y","Days=T","Dir=V")</f>
        <v>0</v>
      </c>
      <c r="AM2">
        <f>BDH("PVH US Equity","CAPITAL_EXPEND","1993-06-18","2026-05-02","Per=Y","Days=T","Dir=V")</f>
        <v>0</v>
      </c>
      <c r="AO2">
        <f>BDH("PVH US Equity","CF_FREE_CASH_FLOW","1993-06-18","2026-05-02","Per=Y","Days=T","Dir=V")</f>
        <v>0</v>
      </c>
      <c r="AQ2">
        <f>BDH("PVH US Equity","PX_LAST","1993-06-18","2026-05-02","Per=M","Days=T","Dir=V")</f>
        <v>0</v>
      </c>
      <c r="AS2">
        <f>BDH("PVH US Equity","CUR_MKT_CAP","1993-06-18","2026-05-02","Per=M","Days=T","Dir=V")</f>
        <v>0</v>
      </c>
      <c r="AU2">
        <f>BDH("PVH US Equity","EQY_SH_OUT","1993-06-18","2026-05-02","Per=M","Days=T","Dir=V")</f>
        <v>0</v>
      </c>
      <c r="AW2">
        <f>BDH("PVH US Equity","PX_VOLUME","1993-06-18","2026-05-02","Per=M","Days=T","Dir=V")</f>
        <v>0</v>
      </c>
      <c r="AY2">
        <f>BDH("PVH US Equity","TURNOVER","1993-06-18","2026-05-02","Per=M","Days=T","Dir=V")</f>
        <v>0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BDH("PVL US Equity","BS_TOT_ASSET","1993-06-18","2026-05-02","Per=Y","Days=T","Dir=V")</f>
        <v>0</v>
      </c>
      <c r="C2">
        <f>BDH("PVL US Equity","BS_TOT_LIAB2","1993-06-18","2026-05-02","Per=Y","Days=T","Dir=V")</f>
        <v>0</v>
      </c>
      <c r="E2">
        <f>BDH("PVL US Equity","SHORT_AND_LONG_TERM_DEBT","1993-06-18","2026-05-02","Per=Y","Days=T","Dir=V")</f>
        <v>0</v>
      </c>
      <c r="G2">
        <f>BDH("PVL US Equity","BS_ST_BORROW","1993-06-18","2026-05-02","Per=Y","Days=T","Dir=V")</f>
        <v>0</v>
      </c>
      <c r="I2">
        <f>BDH("PVL US Equity","BS_LT_BORROW","1993-06-18","2026-05-02","Per=Y","Days=T","Dir=V")</f>
        <v>0</v>
      </c>
      <c r="K2">
        <f>BDH("PVL US Equity","BS_CASH_NEAR_CASH_ITEM","1993-06-18","2026-05-02","Per=Y","Days=T","Dir=V")</f>
        <v>0</v>
      </c>
      <c r="M2">
        <f>BDH("PVL US Equity","BS_CUR_ASSET_REPORT","1993-06-18","2026-05-02","Per=Y","Days=T","Dir=V")</f>
        <v>0</v>
      </c>
      <c r="O2">
        <f>BDH("PVL US Equity","BS_CUR_LIAB","1993-06-18","2026-05-02","Per=Y","Days=T","Dir=V")</f>
        <v>0</v>
      </c>
      <c r="Q2">
        <f>BDH("PVL US Equity","BS_SHAREHOLDER_EQY_ENDING_PERIOD","1993-06-18","2026-05-02","Per=Y","Days=T","Dir=V")</f>
        <v>0</v>
      </c>
      <c r="S2">
        <f>BDH("PVL US Equity","BS_ACCT_NOTE_RCV","1993-06-18","2026-05-02","Per=Y","Days=T","Dir=V")</f>
        <v>0</v>
      </c>
      <c r="U2">
        <f>BDH("PVL US Equity","BS_INVENTORIES","1993-06-18","2026-05-02","Per=Y","Days=T","Dir=V")</f>
        <v>0</v>
      </c>
      <c r="W2">
        <f>BDH("PVL US Equity","WORKING_CAPITAL","1993-06-18","2026-05-02","Per=Y","Days=T","Dir=V")</f>
        <v>0</v>
      </c>
      <c r="Y2">
        <f>BDH("PVL US Equity","SALES_REV_TURN","1993-06-18","2026-05-02","Per=Y","Days=T","Dir=V")</f>
        <v>0</v>
      </c>
      <c r="AA2">
        <f>BDH("PVL US Equity","EBIT","1993-06-18","2026-05-02","Per=Y","Days=T","Dir=V")</f>
        <v>0</v>
      </c>
      <c r="AC2">
        <f>BDH("PVL US Equity","EBITDA","1993-06-18","2026-05-02","Per=Y","Days=T","Dir=V")</f>
        <v>0</v>
      </c>
      <c r="AE2">
        <f>BDH("PVL US Equity","NET_INCOME","1993-06-18","2026-05-02","Per=Y","Days=T","Dir=V")</f>
        <v>0</v>
      </c>
      <c r="AG2">
        <f>BDH("PVL US Equity","IS_INT_EXPENSE","1993-06-18","2026-05-02","Per=Y","Days=T","Dir=V")</f>
        <v>0</v>
      </c>
      <c r="AI2">
        <f>BDH("PVL US Equity","IS_DEPR_EXP","1993-06-18","2026-05-02","Per=Y","Days=T","Dir=V")</f>
        <v>0</v>
      </c>
      <c r="AK2">
        <f>BDH("PVL US Equity","CF_CASH_FROM_OPER","1993-06-18","2026-05-02","Per=Y","Days=T","Dir=V")</f>
        <v>0</v>
      </c>
      <c r="AM2">
        <f>BDH("PVL US Equity","CAPITAL_EXPEND","1993-06-18","2026-05-02","Per=Y","Days=T","Dir=V")</f>
        <v>0</v>
      </c>
      <c r="AO2">
        <f>BDH("PVL US Equity","CF_FREE_CASH_FLOW","1993-06-18","2026-05-02","Per=Y","Days=T","Dir=V")</f>
        <v>0</v>
      </c>
      <c r="AQ2">
        <f>BDH("PVL US Equity","PX_LAST","1993-06-18","2026-05-02","Per=M","Days=T","Dir=V")</f>
        <v>0</v>
      </c>
      <c r="AS2">
        <f>BDH("PVL US Equity","CUR_MKT_CAP","1993-06-18","2026-05-02","Per=M","Days=T","Dir=V")</f>
        <v>0</v>
      </c>
      <c r="AU2">
        <f>BDH("PVL US Equity","EQY_SH_OUT","1993-06-18","2026-05-02","Per=M","Days=T","Dir=V")</f>
        <v>0</v>
      </c>
      <c r="AW2">
        <f>BDH("PVL US Equity","PX_VOLUME","1993-06-18","2026-05-02","Per=M","Days=T","Dir=V")</f>
        <v>0</v>
      </c>
      <c r="AY2">
        <f>BDH("PVL US Equity","TURNOVER","1993-06-18","2026-05-02","Per=M","Days=T","Dir=V")</f>
        <v>0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BDH("PVLA US Equity","BS_TOT_ASSET","1993-06-18","2026-05-02","Per=Y","Days=T","Dir=V")</f>
        <v>0</v>
      </c>
      <c r="C2">
        <f>BDH("PVLA US Equity","BS_TOT_LIAB2","1993-06-18","2026-05-02","Per=Y","Days=T","Dir=V")</f>
        <v>0</v>
      </c>
      <c r="E2">
        <f>BDH("PVLA US Equity","SHORT_AND_LONG_TERM_DEBT","1993-06-18","2026-05-02","Per=Y","Days=T","Dir=V")</f>
        <v>0</v>
      </c>
      <c r="G2">
        <f>BDH("PVLA US Equity","BS_ST_BORROW","1993-06-18","2026-05-02","Per=Y","Days=T","Dir=V")</f>
        <v>0</v>
      </c>
      <c r="I2">
        <f>BDH("PVLA US Equity","BS_LT_BORROW","1993-06-18","2026-05-02","Per=Y","Days=T","Dir=V")</f>
        <v>0</v>
      </c>
      <c r="K2">
        <f>BDH("PVLA US Equity","BS_CASH_NEAR_CASH_ITEM","1993-06-18","2026-05-02","Per=Y","Days=T","Dir=V")</f>
        <v>0</v>
      </c>
      <c r="M2">
        <f>BDH("PVLA US Equity","BS_CUR_ASSET_REPORT","1993-06-18","2026-05-02","Per=Y","Days=T","Dir=V")</f>
        <v>0</v>
      </c>
      <c r="O2">
        <f>BDH("PVLA US Equity","BS_CUR_LIAB","1993-06-18","2026-05-02","Per=Y","Days=T","Dir=V")</f>
        <v>0</v>
      </c>
      <c r="Q2">
        <f>BDH("PVLA US Equity","BS_SHAREHOLDER_EQY_ENDING_PERIOD","1993-06-18","2026-05-02","Per=Y","Days=T","Dir=V")</f>
        <v>0</v>
      </c>
      <c r="S2">
        <f>BDH("PVLA US Equity","BS_ACCT_NOTE_RCV","1993-06-18","2026-05-02","Per=Y","Days=T","Dir=V")</f>
        <v>0</v>
      </c>
      <c r="U2">
        <f>BDH("PVLA US Equity","BS_INVENTORIES","1993-06-18","2026-05-02","Per=Y","Days=T","Dir=V")</f>
        <v>0</v>
      </c>
      <c r="W2">
        <f>BDH("PVLA US Equity","WORKING_CAPITAL","1993-06-18","2026-05-02","Per=Y","Days=T","Dir=V")</f>
        <v>0</v>
      </c>
      <c r="Y2">
        <f>BDH("PVLA US Equity","SALES_REV_TURN","1993-06-18","2026-05-02","Per=Y","Days=T","Dir=V")</f>
        <v>0</v>
      </c>
      <c r="AA2">
        <f>BDH("PVLA US Equity","EBIT","1993-06-18","2026-05-02","Per=Y","Days=T","Dir=V")</f>
        <v>0</v>
      </c>
      <c r="AC2">
        <f>BDH("PVLA US Equity","EBITDA","1993-06-18","2026-05-02","Per=Y","Days=T","Dir=V")</f>
        <v>0</v>
      </c>
      <c r="AE2">
        <f>BDH("PVLA US Equity","NET_INCOME","1993-06-18","2026-05-02","Per=Y","Days=T","Dir=V")</f>
        <v>0</v>
      </c>
      <c r="AG2">
        <f>BDH("PVLA US Equity","IS_INT_EXPENSE","1993-06-18","2026-05-02","Per=Y","Days=T","Dir=V")</f>
        <v>0</v>
      </c>
      <c r="AI2">
        <f>BDH("PVLA US Equity","IS_DEPR_EXP","1993-06-18","2026-05-02","Per=Y","Days=T","Dir=V")</f>
        <v>0</v>
      </c>
      <c r="AK2">
        <f>BDH("PVLA US Equity","CF_CASH_FROM_OPER","1993-06-18","2026-05-02","Per=Y","Days=T","Dir=V")</f>
        <v>0</v>
      </c>
      <c r="AM2">
        <f>BDH("PVLA US Equity","CAPITAL_EXPEND","1993-06-18","2026-05-02","Per=Y","Days=T","Dir=V")</f>
        <v>0</v>
      </c>
      <c r="AO2">
        <f>BDH("PVLA US Equity","CF_FREE_CASH_FLOW","1993-06-18","2026-05-02","Per=Y","Days=T","Dir=V")</f>
        <v>0</v>
      </c>
      <c r="AQ2">
        <f>BDH("PVLA US Equity","PX_LAST","1993-06-18","2026-05-02","Per=M","Days=T","Dir=V")</f>
        <v>0</v>
      </c>
      <c r="AS2">
        <f>BDH("PVLA US Equity","CUR_MKT_CAP","1993-06-18","2026-05-02","Per=M","Days=T","Dir=V")</f>
        <v>0</v>
      </c>
      <c r="AU2">
        <f>BDH("PVLA US Equity","EQY_SH_OUT","1993-06-18","2026-05-02","Per=M","Days=T","Dir=V")</f>
        <v>0</v>
      </c>
      <c r="AW2">
        <f>BDH("PVLA US Equity","PX_VOLUME","1993-06-18","2026-05-02","Per=M","Days=T","Dir=V")</f>
        <v>0</v>
      </c>
      <c r="AY2">
        <f>BDH("PVLA US Equity","TURNOVER","1993-06-18","2026-05-02","Per=M","Days=T","Dir=V")</f>
        <v>0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BDH("PWR US Equity","BS_TOT_ASSET","1993-06-18","2026-05-02","Per=Y","Days=T","Dir=V")</f>
        <v>0</v>
      </c>
      <c r="C2">
        <f>BDH("PWR US Equity","BS_TOT_LIAB2","1993-06-18","2026-05-02","Per=Y","Days=T","Dir=V")</f>
        <v>0</v>
      </c>
      <c r="E2">
        <f>BDH("PWR US Equity","SHORT_AND_LONG_TERM_DEBT","1993-06-18","2026-05-02","Per=Y","Days=T","Dir=V")</f>
        <v>0</v>
      </c>
      <c r="G2">
        <f>BDH("PWR US Equity","BS_ST_BORROW","1993-06-18","2026-05-02","Per=Y","Days=T","Dir=V")</f>
        <v>0</v>
      </c>
      <c r="I2">
        <f>BDH("PWR US Equity","BS_LT_BORROW","1993-06-18","2026-05-02","Per=Y","Days=T","Dir=V")</f>
        <v>0</v>
      </c>
      <c r="K2">
        <f>BDH("PWR US Equity","BS_CASH_NEAR_CASH_ITEM","1993-06-18","2026-05-02","Per=Y","Days=T","Dir=V")</f>
        <v>0</v>
      </c>
      <c r="M2">
        <f>BDH("PWR US Equity","BS_CUR_ASSET_REPORT","1993-06-18","2026-05-02","Per=Y","Days=T","Dir=V")</f>
        <v>0</v>
      </c>
      <c r="O2">
        <f>BDH("PWR US Equity","BS_CUR_LIAB","1993-06-18","2026-05-02","Per=Y","Days=T","Dir=V")</f>
        <v>0</v>
      </c>
      <c r="Q2">
        <f>BDH("PWR US Equity","BS_SHAREHOLDER_EQY_ENDING_PERIOD","1993-06-18","2026-05-02","Per=Y","Days=T","Dir=V")</f>
        <v>0</v>
      </c>
      <c r="S2">
        <f>BDH("PWR US Equity","BS_ACCT_NOTE_RCV","1993-06-18","2026-05-02","Per=Y","Days=T","Dir=V")</f>
        <v>0</v>
      </c>
      <c r="U2">
        <f>BDH("PWR US Equity","BS_INVENTORIES","1993-06-18","2026-05-02","Per=Y","Days=T","Dir=V")</f>
        <v>0</v>
      </c>
      <c r="W2">
        <f>BDH("PWR US Equity","WORKING_CAPITAL","1993-06-18","2026-05-02","Per=Y","Days=T","Dir=V")</f>
        <v>0</v>
      </c>
      <c r="Y2">
        <f>BDH("PWR US Equity","SALES_REV_TURN","1993-06-18","2026-05-02","Per=Y","Days=T","Dir=V")</f>
        <v>0</v>
      </c>
      <c r="AA2">
        <f>BDH("PWR US Equity","EBIT","1993-06-18","2026-05-02","Per=Y","Days=T","Dir=V")</f>
        <v>0</v>
      </c>
      <c r="AC2">
        <f>BDH("PWR US Equity","EBITDA","1993-06-18","2026-05-02","Per=Y","Days=T","Dir=V")</f>
        <v>0</v>
      </c>
      <c r="AE2">
        <f>BDH("PWR US Equity","NET_INCOME","1993-06-18","2026-05-02","Per=Y","Days=T","Dir=V")</f>
        <v>0</v>
      </c>
      <c r="AG2">
        <f>BDH("PWR US Equity","IS_INT_EXPENSE","1993-06-18","2026-05-02","Per=Y","Days=T","Dir=V")</f>
        <v>0</v>
      </c>
      <c r="AI2">
        <f>BDH("PWR US Equity","IS_DEPR_EXP","1993-06-18","2026-05-02","Per=Y","Days=T","Dir=V")</f>
        <v>0</v>
      </c>
      <c r="AK2">
        <f>BDH("PWR US Equity","CF_CASH_FROM_OPER","1993-06-18","2026-05-02","Per=Y","Days=T","Dir=V")</f>
        <v>0</v>
      </c>
      <c r="AM2">
        <f>BDH("PWR US Equity","CAPITAL_EXPEND","1993-06-18","2026-05-02","Per=Y","Days=T","Dir=V")</f>
        <v>0</v>
      </c>
      <c r="AO2">
        <f>BDH("PWR US Equity","CF_FREE_CASH_FLOW","1993-06-18","2026-05-02","Per=Y","Days=T","Dir=V")</f>
        <v>0</v>
      </c>
      <c r="AQ2">
        <f>BDH("PWR US Equity","PX_LAST","1993-06-18","2026-05-02","Per=M","Days=T","Dir=V")</f>
        <v>0</v>
      </c>
      <c r="AS2">
        <f>BDH("PWR US Equity","CUR_MKT_CAP","1993-06-18","2026-05-02","Per=M","Days=T","Dir=V")</f>
        <v>0</v>
      </c>
      <c r="AU2">
        <f>BDH("PWR US Equity","EQY_SH_OUT","1993-06-18","2026-05-02","Per=M","Days=T","Dir=V")</f>
        <v>0</v>
      </c>
      <c r="AW2">
        <f>BDH("PWR US Equity","PX_VOLUME","1993-06-18","2026-05-02","Per=M","Days=T","Dir=V")</f>
        <v>0</v>
      </c>
      <c r="AY2">
        <f>BDH("PWR US Equity","TURNOVER","1993-06-18","2026-05-02","Per=M","Days=T","Dir=V")</f>
        <v>0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BDH("PXLW US Equity","BS_TOT_ASSET","1993-06-18","2026-05-02","Per=Y","Days=T","Dir=V")</f>
        <v>0</v>
      </c>
      <c r="C2">
        <f>BDH("PXLW US Equity","BS_TOT_LIAB2","1993-06-18","2026-05-02","Per=Y","Days=T","Dir=V")</f>
        <v>0</v>
      </c>
      <c r="E2">
        <f>BDH("PXLW US Equity","SHORT_AND_LONG_TERM_DEBT","1993-06-18","2026-05-02","Per=Y","Days=T","Dir=V")</f>
        <v>0</v>
      </c>
      <c r="G2">
        <f>BDH("PXLW US Equity","BS_ST_BORROW","1993-06-18","2026-05-02","Per=Y","Days=T","Dir=V")</f>
        <v>0</v>
      </c>
      <c r="I2">
        <f>BDH("PXLW US Equity","BS_LT_BORROW","1993-06-18","2026-05-02","Per=Y","Days=T","Dir=V")</f>
        <v>0</v>
      </c>
      <c r="K2">
        <f>BDH("PXLW US Equity","BS_CASH_NEAR_CASH_ITEM","1993-06-18","2026-05-02","Per=Y","Days=T","Dir=V")</f>
        <v>0</v>
      </c>
      <c r="M2">
        <f>BDH("PXLW US Equity","BS_CUR_ASSET_REPORT","1993-06-18","2026-05-02","Per=Y","Days=T","Dir=V")</f>
        <v>0</v>
      </c>
      <c r="O2">
        <f>BDH("PXLW US Equity","BS_CUR_LIAB","1993-06-18","2026-05-02","Per=Y","Days=T","Dir=V")</f>
        <v>0</v>
      </c>
      <c r="Q2">
        <f>BDH("PXLW US Equity","BS_SHAREHOLDER_EQY_ENDING_PERIOD","1993-06-18","2026-05-02","Per=Y","Days=T","Dir=V")</f>
        <v>0</v>
      </c>
      <c r="S2">
        <f>BDH("PXLW US Equity","BS_ACCT_NOTE_RCV","1993-06-18","2026-05-02","Per=Y","Days=T","Dir=V")</f>
        <v>0</v>
      </c>
      <c r="U2">
        <f>BDH("PXLW US Equity","BS_INVENTORIES","1993-06-18","2026-05-02","Per=Y","Days=T","Dir=V")</f>
        <v>0</v>
      </c>
      <c r="W2">
        <f>BDH("PXLW US Equity","WORKING_CAPITAL","1993-06-18","2026-05-02","Per=Y","Days=T","Dir=V")</f>
        <v>0</v>
      </c>
      <c r="Y2">
        <f>BDH("PXLW US Equity","SALES_REV_TURN","1993-06-18","2026-05-02","Per=Y","Days=T","Dir=V")</f>
        <v>0</v>
      </c>
      <c r="AA2">
        <f>BDH("PXLW US Equity","EBIT","1993-06-18","2026-05-02","Per=Y","Days=T","Dir=V")</f>
        <v>0</v>
      </c>
      <c r="AC2">
        <f>BDH("PXLW US Equity","EBITDA","1993-06-18","2026-05-02","Per=Y","Days=T","Dir=V")</f>
        <v>0</v>
      </c>
      <c r="AE2">
        <f>BDH("PXLW US Equity","NET_INCOME","1993-06-18","2026-05-02","Per=Y","Days=T","Dir=V")</f>
        <v>0</v>
      </c>
      <c r="AG2">
        <f>BDH("PXLW US Equity","IS_INT_EXPENSE","1993-06-18","2026-05-02","Per=Y","Days=T","Dir=V")</f>
        <v>0</v>
      </c>
      <c r="AI2">
        <f>BDH("PXLW US Equity","IS_DEPR_EXP","1993-06-18","2026-05-02","Per=Y","Days=T","Dir=V")</f>
        <v>0</v>
      </c>
      <c r="AK2">
        <f>BDH("PXLW US Equity","CF_CASH_FROM_OPER","1993-06-18","2026-05-02","Per=Y","Days=T","Dir=V")</f>
        <v>0</v>
      </c>
      <c r="AM2">
        <f>BDH("PXLW US Equity","CAPITAL_EXPEND","1993-06-18","2026-05-02","Per=Y","Days=T","Dir=V")</f>
        <v>0</v>
      </c>
      <c r="AO2">
        <f>BDH("PXLW US Equity","CF_FREE_CASH_FLOW","1993-06-18","2026-05-02","Per=Y","Days=T","Dir=V")</f>
        <v>0</v>
      </c>
      <c r="AQ2">
        <f>BDH("PXLW US Equity","PX_LAST","1993-06-18","2026-05-02","Per=M","Days=T","Dir=V")</f>
        <v>0</v>
      </c>
      <c r="AS2">
        <f>BDH("PXLW US Equity","CUR_MKT_CAP","1993-06-18","2026-05-02","Per=M","Days=T","Dir=V")</f>
        <v>0</v>
      </c>
      <c r="AU2">
        <f>BDH("PXLW US Equity","EQY_SH_OUT","1993-06-18","2026-05-02","Per=M","Days=T","Dir=V")</f>
        <v>0</v>
      </c>
      <c r="AW2">
        <f>BDH("PXLW US Equity","PX_VOLUME","1993-06-18","2026-05-02","Per=M","Days=T","Dir=V")</f>
        <v>0</v>
      </c>
      <c r="AY2">
        <f>BDH("PXLW US Equity","TURNOVER","1993-06-18","2026-05-02","Per=M","Days=T","Dir=V")</f>
        <v>0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BDH("PYPL US Equity","BS_TOT_ASSET","1993-06-18","2026-05-02","Per=Y","Days=T","Dir=V")</f>
        <v>0</v>
      </c>
      <c r="C2">
        <f>BDH("PYPL US Equity","BS_TOT_LIAB2","1993-06-18","2026-05-02","Per=Y","Days=T","Dir=V")</f>
        <v>0</v>
      </c>
      <c r="E2">
        <f>BDH("PYPL US Equity","SHORT_AND_LONG_TERM_DEBT","1993-06-18","2026-05-02","Per=Y","Days=T","Dir=V")</f>
        <v>0</v>
      </c>
      <c r="G2">
        <f>BDH("PYPL US Equity","BS_ST_BORROW","1993-06-18","2026-05-02","Per=Y","Days=T","Dir=V")</f>
        <v>0</v>
      </c>
      <c r="I2">
        <f>BDH("PYPL US Equity","BS_LT_BORROW","1993-06-18","2026-05-02","Per=Y","Days=T","Dir=V")</f>
        <v>0</v>
      </c>
      <c r="K2">
        <f>BDH("PYPL US Equity","BS_CASH_NEAR_CASH_ITEM","1993-06-18","2026-05-02","Per=Y","Days=T","Dir=V")</f>
        <v>0</v>
      </c>
      <c r="M2">
        <f>BDH("PYPL US Equity","BS_CUR_ASSET_REPORT","1993-06-18","2026-05-02","Per=Y","Days=T","Dir=V")</f>
        <v>0</v>
      </c>
      <c r="O2">
        <f>BDH("PYPL US Equity","BS_CUR_LIAB","1993-06-18","2026-05-02","Per=Y","Days=T","Dir=V")</f>
        <v>0</v>
      </c>
      <c r="Q2">
        <f>BDH("PYPL US Equity","BS_SHAREHOLDER_EQY_ENDING_PERIOD","1993-06-18","2026-05-02","Per=Y","Days=T","Dir=V")</f>
        <v>0</v>
      </c>
      <c r="S2">
        <f>BDH("PYPL US Equity","BS_ACCT_NOTE_RCV","1993-06-18","2026-05-02","Per=Y","Days=T","Dir=V")</f>
        <v>0</v>
      </c>
      <c r="U2">
        <f>BDH("PYPL US Equity","BS_INVENTORIES","1993-06-18","2026-05-02","Per=Y","Days=T","Dir=V")</f>
        <v>0</v>
      </c>
      <c r="W2">
        <f>BDH("PYPL US Equity","WORKING_CAPITAL","1993-06-18","2026-05-02","Per=Y","Days=T","Dir=V")</f>
        <v>0</v>
      </c>
      <c r="Y2">
        <f>BDH("PYPL US Equity","SALES_REV_TURN","1993-06-18","2026-05-02","Per=Y","Days=T","Dir=V")</f>
        <v>0</v>
      </c>
      <c r="AA2">
        <f>BDH("PYPL US Equity","EBIT","1993-06-18","2026-05-02","Per=Y","Days=T","Dir=V")</f>
        <v>0</v>
      </c>
      <c r="AC2">
        <f>BDH("PYPL US Equity","EBITDA","1993-06-18","2026-05-02","Per=Y","Days=T","Dir=V")</f>
        <v>0</v>
      </c>
      <c r="AE2">
        <f>BDH("PYPL US Equity","NET_INCOME","1993-06-18","2026-05-02","Per=Y","Days=T","Dir=V")</f>
        <v>0</v>
      </c>
      <c r="AG2">
        <f>BDH("PYPL US Equity","IS_INT_EXPENSE","1993-06-18","2026-05-02","Per=Y","Days=T","Dir=V")</f>
        <v>0</v>
      </c>
      <c r="AI2">
        <f>BDH("PYPL US Equity","IS_DEPR_EXP","1993-06-18","2026-05-02","Per=Y","Days=T","Dir=V")</f>
        <v>0</v>
      </c>
      <c r="AK2">
        <f>BDH("PYPL US Equity","CF_CASH_FROM_OPER","1993-06-18","2026-05-02","Per=Y","Days=T","Dir=V")</f>
        <v>0</v>
      </c>
      <c r="AM2">
        <f>BDH("PYPL US Equity","CAPITAL_EXPEND","1993-06-18","2026-05-02","Per=Y","Days=T","Dir=V")</f>
        <v>0</v>
      </c>
      <c r="AO2">
        <f>BDH("PYPL US Equity","CF_FREE_CASH_FLOW","1993-06-18","2026-05-02","Per=Y","Days=T","Dir=V")</f>
        <v>0</v>
      </c>
      <c r="AQ2">
        <f>BDH("PYPL US Equity","PX_LAST","1993-06-18","2026-05-02","Per=M","Days=T","Dir=V")</f>
        <v>0</v>
      </c>
      <c r="AS2">
        <f>BDH("PYPL US Equity","CUR_MKT_CAP","1993-06-18","2026-05-02","Per=M","Days=T","Dir=V")</f>
        <v>0</v>
      </c>
      <c r="AU2">
        <f>BDH("PYPL US Equity","EQY_SH_OUT","1993-06-18","2026-05-02","Per=M","Days=T","Dir=V")</f>
        <v>0</v>
      </c>
      <c r="AW2">
        <f>BDH("PYPL US Equity","PX_VOLUME","1993-06-18","2026-05-02","Per=M","Days=T","Dir=V")</f>
        <v>0</v>
      </c>
      <c r="AY2">
        <f>BDH("PYPL US Equity","TURNOVER","1993-06-18","2026-05-02","Per=M","Days=T","Dir=V")</f>
        <v>0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BDH("PYXS US Equity","BS_TOT_ASSET","1993-06-18","2026-05-02","Per=Y","Days=T","Dir=V")</f>
        <v>0</v>
      </c>
      <c r="C2">
        <f>BDH("PYXS US Equity","BS_TOT_LIAB2","1993-06-18","2026-05-02","Per=Y","Days=T","Dir=V")</f>
        <v>0</v>
      </c>
      <c r="E2">
        <f>BDH("PYXS US Equity","SHORT_AND_LONG_TERM_DEBT","1993-06-18","2026-05-02","Per=Y","Days=T","Dir=V")</f>
        <v>0</v>
      </c>
      <c r="G2">
        <f>BDH("PYXS US Equity","BS_ST_BORROW","1993-06-18","2026-05-02","Per=Y","Days=T","Dir=V")</f>
        <v>0</v>
      </c>
      <c r="I2">
        <f>BDH("PYXS US Equity","BS_LT_BORROW","1993-06-18","2026-05-02","Per=Y","Days=T","Dir=V")</f>
        <v>0</v>
      </c>
      <c r="K2">
        <f>BDH("PYXS US Equity","BS_CASH_NEAR_CASH_ITEM","1993-06-18","2026-05-02","Per=Y","Days=T","Dir=V")</f>
        <v>0</v>
      </c>
      <c r="M2">
        <f>BDH("PYXS US Equity","BS_CUR_ASSET_REPORT","1993-06-18","2026-05-02","Per=Y","Days=T","Dir=V")</f>
        <v>0</v>
      </c>
      <c r="O2">
        <f>BDH("PYXS US Equity","BS_CUR_LIAB","1993-06-18","2026-05-02","Per=Y","Days=T","Dir=V")</f>
        <v>0</v>
      </c>
      <c r="Q2">
        <f>BDH("PYXS US Equity","BS_SHAREHOLDER_EQY_ENDING_PERIOD","1993-06-18","2026-05-02","Per=Y","Days=T","Dir=V")</f>
        <v>0</v>
      </c>
      <c r="S2">
        <f>BDH("PYXS US Equity","BS_ACCT_NOTE_RCV","1993-06-18","2026-05-02","Per=Y","Days=T","Dir=V")</f>
        <v>0</v>
      </c>
      <c r="U2">
        <f>BDH("PYXS US Equity","BS_INVENTORIES","1993-06-18","2026-05-02","Per=Y","Days=T","Dir=V")</f>
        <v>0</v>
      </c>
      <c r="W2">
        <f>BDH("PYXS US Equity","WORKING_CAPITAL","1993-06-18","2026-05-02","Per=Y","Days=T","Dir=V")</f>
        <v>0</v>
      </c>
      <c r="Y2">
        <f>BDH("PYXS US Equity","SALES_REV_TURN","1993-06-18","2026-05-02","Per=Y","Days=T","Dir=V")</f>
        <v>0</v>
      </c>
      <c r="AA2">
        <f>BDH("PYXS US Equity","EBIT","1993-06-18","2026-05-02","Per=Y","Days=T","Dir=V")</f>
        <v>0</v>
      </c>
      <c r="AC2">
        <f>BDH("PYXS US Equity","EBITDA","1993-06-18","2026-05-02","Per=Y","Days=T","Dir=V")</f>
        <v>0</v>
      </c>
      <c r="AE2">
        <f>BDH("PYXS US Equity","NET_INCOME","1993-06-18","2026-05-02","Per=Y","Days=T","Dir=V")</f>
        <v>0</v>
      </c>
      <c r="AG2">
        <f>BDH("PYXS US Equity","IS_INT_EXPENSE","1993-06-18","2026-05-02","Per=Y","Days=T","Dir=V")</f>
        <v>0</v>
      </c>
      <c r="AI2">
        <f>BDH("PYXS US Equity","IS_DEPR_EXP","1993-06-18","2026-05-02","Per=Y","Days=T","Dir=V")</f>
        <v>0</v>
      </c>
      <c r="AK2">
        <f>BDH("PYXS US Equity","CF_CASH_FROM_OPER","1993-06-18","2026-05-02","Per=Y","Days=T","Dir=V")</f>
        <v>0</v>
      </c>
      <c r="AM2">
        <f>BDH("PYXS US Equity","CAPITAL_EXPEND","1993-06-18","2026-05-02","Per=Y","Days=T","Dir=V")</f>
        <v>0</v>
      </c>
      <c r="AO2">
        <f>BDH("PYXS US Equity","CF_FREE_CASH_FLOW","1993-06-18","2026-05-02","Per=Y","Days=T","Dir=V")</f>
        <v>0</v>
      </c>
      <c r="AQ2">
        <f>BDH("PYXS US Equity","PX_LAST","1993-06-18","2026-05-02","Per=M","Days=T","Dir=V")</f>
        <v>0</v>
      </c>
      <c r="AS2">
        <f>BDH("PYXS US Equity","CUR_MKT_CAP","1993-06-18","2026-05-02","Per=M","Days=T","Dir=V")</f>
        <v>0</v>
      </c>
      <c r="AU2">
        <f>BDH("PYXS US Equity","EQY_SH_OUT","1993-06-18","2026-05-02","Per=M","Days=T","Dir=V")</f>
        <v>0</v>
      </c>
      <c r="AW2">
        <f>BDH("PYXS US Equity","PX_VOLUME","1993-06-18","2026-05-02","Per=M","Days=T","Dir=V")</f>
        <v>0</v>
      </c>
      <c r="AY2">
        <f>BDH("PYXS US Equity","TURNOVER","1993-06-18","2026-05-02","Per=M","Days=T","Dir=V")</f>
        <v>0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BDH("PZG US Equity","BS_TOT_ASSET","1993-06-18","2026-05-02","Per=Y","Days=T","Dir=V")</f>
        <v>0</v>
      </c>
      <c r="C2">
        <f>BDH("PZG US Equity","BS_TOT_LIAB2","1993-06-18","2026-05-02","Per=Y","Days=T","Dir=V")</f>
        <v>0</v>
      </c>
      <c r="E2">
        <f>BDH("PZG US Equity","SHORT_AND_LONG_TERM_DEBT","1993-06-18","2026-05-02","Per=Y","Days=T","Dir=V")</f>
        <v>0</v>
      </c>
      <c r="G2">
        <f>BDH("PZG US Equity","BS_ST_BORROW","1993-06-18","2026-05-02","Per=Y","Days=T","Dir=V")</f>
        <v>0</v>
      </c>
      <c r="I2">
        <f>BDH("PZG US Equity","BS_LT_BORROW","1993-06-18","2026-05-02","Per=Y","Days=T","Dir=V")</f>
        <v>0</v>
      </c>
      <c r="K2">
        <f>BDH("PZG US Equity","BS_CASH_NEAR_CASH_ITEM","1993-06-18","2026-05-02","Per=Y","Days=T","Dir=V")</f>
        <v>0</v>
      </c>
      <c r="M2">
        <f>BDH("PZG US Equity","BS_CUR_ASSET_REPORT","1993-06-18","2026-05-02","Per=Y","Days=T","Dir=V")</f>
        <v>0</v>
      </c>
      <c r="O2">
        <f>BDH("PZG US Equity","BS_CUR_LIAB","1993-06-18","2026-05-02","Per=Y","Days=T","Dir=V")</f>
        <v>0</v>
      </c>
      <c r="Q2">
        <f>BDH("PZG US Equity","BS_SHAREHOLDER_EQY_ENDING_PERIOD","1993-06-18","2026-05-02","Per=Y","Days=T","Dir=V")</f>
        <v>0</v>
      </c>
      <c r="S2">
        <f>BDH("PZG US Equity","BS_ACCT_NOTE_RCV","1993-06-18","2026-05-02","Per=Y","Days=T","Dir=V")</f>
        <v>0</v>
      </c>
      <c r="U2">
        <f>BDH("PZG US Equity","BS_INVENTORIES","1993-06-18","2026-05-02","Per=Y","Days=T","Dir=V")</f>
        <v>0</v>
      </c>
      <c r="W2">
        <f>BDH("PZG US Equity","WORKING_CAPITAL","1993-06-18","2026-05-02","Per=Y","Days=T","Dir=V")</f>
        <v>0</v>
      </c>
      <c r="Y2">
        <f>BDH("PZG US Equity","SALES_REV_TURN","1993-06-18","2026-05-02","Per=Y","Days=T","Dir=V")</f>
        <v>0</v>
      </c>
      <c r="AA2">
        <f>BDH("PZG US Equity","EBIT","1993-06-18","2026-05-02","Per=Y","Days=T","Dir=V")</f>
        <v>0</v>
      </c>
      <c r="AC2">
        <f>BDH("PZG US Equity","EBITDA","1993-06-18","2026-05-02","Per=Y","Days=T","Dir=V")</f>
        <v>0</v>
      </c>
      <c r="AE2">
        <f>BDH("PZG US Equity","NET_INCOME","1993-06-18","2026-05-02","Per=Y","Days=T","Dir=V")</f>
        <v>0</v>
      </c>
      <c r="AG2">
        <f>BDH("PZG US Equity","IS_INT_EXPENSE","1993-06-18","2026-05-02","Per=Y","Days=T","Dir=V")</f>
        <v>0</v>
      </c>
      <c r="AI2">
        <f>BDH("PZG US Equity","IS_DEPR_EXP","1993-06-18","2026-05-02","Per=Y","Days=T","Dir=V")</f>
        <v>0</v>
      </c>
      <c r="AK2">
        <f>BDH("PZG US Equity","CF_CASH_FROM_OPER","1993-06-18","2026-05-02","Per=Y","Days=T","Dir=V")</f>
        <v>0</v>
      </c>
      <c r="AM2">
        <f>BDH("PZG US Equity","CAPITAL_EXPEND","1993-06-18","2026-05-02","Per=Y","Days=T","Dir=V")</f>
        <v>0</v>
      </c>
      <c r="AO2">
        <f>BDH("PZG US Equity","CF_FREE_CASH_FLOW","1993-06-18","2026-05-02","Per=Y","Days=T","Dir=V")</f>
        <v>0</v>
      </c>
      <c r="AQ2">
        <f>BDH("PZG US Equity","PX_LAST","1993-06-18","2026-05-02","Per=M","Days=T","Dir=V")</f>
        <v>0</v>
      </c>
      <c r="AS2">
        <f>BDH("PZG US Equity","CUR_MKT_CAP","1993-06-18","2026-05-02","Per=M","Days=T","Dir=V")</f>
        <v>0</v>
      </c>
      <c r="AU2">
        <f>BDH("PZG US Equity","EQY_SH_OUT","1993-06-18","2026-05-02","Per=M","Days=T","Dir=V")</f>
        <v>0</v>
      </c>
      <c r="AW2">
        <f>BDH("PZG US Equity","PX_VOLUME","1993-06-18","2026-05-02","Per=M","Days=T","Dir=V")</f>
        <v>0</v>
      </c>
      <c r="AY2">
        <f>BDH("PZG US Equity","TURNOVER","1993-06-18","2026-05-02","Per=M","Days=T","Dir=V")</f>
        <v>0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BDH("PZZA US Equity","BS_TOT_ASSET","1993-06-18","2026-05-02","Per=Y","Days=T","Dir=V")</f>
        <v>0</v>
      </c>
      <c r="C2">
        <f>BDH("PZZA US Equity","BS_TOT_LIAB2","1993-06-18","2026-05-02","Per=Y","Days=T","Dir=V")</f>
        <v>0</v>
      </c>
      <c r="E2">
        <f>BDH("PZZA US Equity","SHORT_AND_LONG_TERM_DEBT","1993-06-18","2026-05-02","Per=Y","Days=T","Dir=V")</f>
        <v>0</v>
      </c>
      <c r="G2">
        <f>BDH("PZZA US Equity","BS_ST_BORROW","1993-06-18","2026-05-02","Per=Y","Days=T","Dir=V")</f>
        <v>0</v>
      </c>
      <c r="I2">
        <f>BDH("PZZA US Equity","BS_LT_BORROW","1993-06-18","2026-05-02","Per=Y","Days=T","Dir=V")</f>
        <v>0</v>
      </c>
      <c r="K2">
        <f>BDH("PZZA US Equity","BS_CASH_NEAR_CASH_ITEM","1993-06-18","2026-05-02","Per=Y","Days=T","Dir=V")</f>
        <v>0</v>
      </c>
      <c r="M2">
        <f>BDH("PZZA US Equity","BS_CUR_ASSET_REPORT","1993-06-18","2026-05-02","Per=Y","Days=T","Dir=V")</f>
        <v>0</v>
      </c>
      <c r="O2">
        <f>BDH("PZZA US Equity","BS_CUR_LIAB","1993-06-18","2026-05-02","Per=Y","Days=T","Dir=V")</f>
        <v>0</v>
      </c>
      <c r="Q2">
        <f>BDH("PZZA US Equity","BS_SHAREHOLDER_EQY_ENDING_PERIOD","1993-06-18","2026-05-02","Per=Y","Days=T","Dir=V")</f>
        <v>0</v>
      </c>
      <c r="S2">
        <f>BDH("PZZA US Equity","BS_ACCT_NOTE_RCV","1993-06-18","2026-05-02","Per=Y","Days=T","Dir=V")</f>
        <v>0</v>
      </c>
      <c r="U2">
        <f>BDH("PZZA US Equity","BS_INVENTORIES","1993-06-18","2026-05-02","Per=Y","Days=T","Dir=V")</f>
        <v>0</v>
      </c>
      <c r="W2">
        <f>BDH("PZZA US Equity","WORKING_CAPITAL","1993-06-18","2026-05-02","Per=Y","Days=T","Dir=V")</f>
        <v>0</v>
      </c>
      <c r="Y2">
        <f>BDH("PZZA US Equity","SALES_REV_TURN","1993-06-18","2026-05-02","Per=Y","Days=T","Dir=V")</f>
        <v>0</v>
      </c>
      <c r="AA2">
        <f>BDH("PZZA US Equity","EBIT","1993-06-18","2026-05-02","Per=Y","Days=T","Dir=V")</f>
        <v>0</v>
      </c>
      <c r="AC2">
        <f>BDH("PZZA US Equity","EBITDA","1993-06-18","2026-05-02","Per=Y","Days=T","Dir=V")</f>
        <v>0</v>
      </c>
      <c r="AE2">
        <f>BDH("PZZA US Equity","NET_INCOME","1993-06-18","2026-05-02","Per=Y","Days=T","Dir=V")</f>
        <v>0</v>
      </c>
      <c r="AG2">
        <f>BDH("PZZA US Equity","IS_INT_EXPENSE","1993-06-18","2026-05-02","Per=Y","Days=T","Dir=V")</f>
        <v>0</v>
      </c>
      <c r="AI2">
        <f>BDH("PZZA US Equity","IS_DEPR_EXP","1993-06-18","2026-05-02","Per=Y","Days=T","Dir=V")</f>
        <v>0</v>
      </c>
      <c r="AK2">
        <f>BDH("PZZA US Equity","CF_CASH_FROM_OPER","1993-06-18","2026-05-02","Per=Y","Days=T","Dir=V")</f>
        <v>0</v>
      </c>
      <c r="AM2">
        <f>BDH("PZZA US Equity","CAPITAL_EXPEND","1993-06-18","2026-05-02","Per=Y","Days=T","Dir=V")</f>
        <v>0</v>
      </c>
      <c r="AO2">
        <f>BDH("PZZA US Equity","CF_FREE_CASH_FLOW","1993-06-18","2026-05-02","Per=Y","Days=T","Dir=V")</f>
        <v>0</v>
      </c>
      <c r="AQ2">
        <f>BDH("PZZA US Equity","PX_LAST","1993-06-18","2026-05-02","Per=M","Days=T","Dir=V")</f>
        <v>0</v>
      </c>
      <c r="AS2">
        <f>BDH("PZZA US Equity","CUR_MKT_CAP","1993-06-18","2026-05-02","Per=M","Days=T","Dir=V")</f>
        <v>0</v>
      </c>
      <c r="AU2">
        <f>BDH("PZZA US Equity","EQY_SH_OUT","1993-06-18","2026-05-02","Per=M","Days=T","Dir=V")</f>
        <v>0</v>
      </c>
      <c r="AW2">
        <f>BDH("PZZA US Equity","PX_VOLUME","1993-06-18","2026-05-02","Per=M","Days=T","Dir=V")</f>
        <v>0</v>
      </c>
      <c r="AY2">
        <f>BDH("PZZA US Equity","TURNOVER","1993-06-18","2026-05-02","Per=M","Days=T","Dir=V")</f>
        <v>0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 US Equity","BS_TOT_ASSET","1993-06-18","2026-05-02","Per=Y","Days=T","Dir=V")</f>
        <v>0</v>
      </c>
      <c r="C2">
        <f>BDH("Q US Equity","BS_TOT_LIAB2","1993-06-18","2026-05-02","Per=Y","Days=T","Dir=V")</f>
        <v>0</v>
      </c>
      <c r="E2">
        <f>BDH("Q US Equity","SHORT_AND_LONG_TERM_DEBT","1993-06-18","2026-05-02","Per=Y","Days=T","Dir=V")</f>
        <v>0</v>
      </c>
      <c r="G2">
        <f>BDH("Q US Equity","BS_ST_BORROW","1993-06-18","2026-05-02","Per=Y","Days=T","Dir=V")</f>
        <v>0</v>
      </c>
      <c r="I2">
        <f>BDH("Q US Equity","BS_LT_BORROW","1993-06-18","2026-05-02","Per=Y","Days=T","Dir=V")</f>
        <v>0</v>
      </c>
      <c r="K2">
        <f>BDH("Q US Equity","BS_CASH_NEAR_CASH_ITEM","1993-06-18","2026-05-02","Per=Y","Days=T","Dir=V")</f>
        <v>0</v>
      </c>
      <c r="M2">
        <f>BDH("Q US Equity","BS_CUR_ASSET_REPORT","1993-06-18","2026-05-02","Per=Y","Days=T","Dir=V")</f>
        <v>0</v>
      </c>
      <c r="O2">
        <f>BDH("Q US Equity","BS_CUR_LIAB","1993-06-18","2026-05-02","Per=Y","Days=T","Dir=V")</f>
        <v>0</v>
      </c>
      <c r="Q2">
        <f>BDH("Q US Equity","BS_SHAREHOLDER_EQY_ENDING_PERIOD","1993-06-18","2026-05-02","Per=Y","Days=T","Dir=V")</f>
        <v>0</v>
      </c>
      <c r="S2">
        <f>BDH("Q US Equity","BS_ACCT_NOTE_RCV","1993-06-18","2026-05-02","Per=Y","Days=T","Dir=V")</f>
        <v>0</v>
      </c>
      <c r="U2">
        <f>BDH("Q US Equity","BS_INVENTORIES","1993-06-18","2026-05-02","Per=Y","Days=T","Dir=V")</f>
        <v>0</v>
      </c>
      <c r="W2">
        <f>BDH("Q US Equity","WORKING_CAPITAL","1993-06-18","2026-05-02","Per=Y","Days=T","Dir=V")</f>
        <v>0</v>
      </c>
      <c r="Y2">
        <f>BDH("Q US Equity","SALES_REV_TURN","1993-06-18","2026-05-02","Per=Y","Days=T","Dir=V")</f>
        <v>0</v>
      </c>
      <c r="AA2">
        <f>BDH("Q US Equity","EBIT","1993-06-18","2026-05-02","Per=Y","Days=T","Dir=V")</f>
        <v>0</v>
      </c>
      <c r="AC2">
        <f>BDH("Q US Equity","EBITDA","1993-06-18","2026-05-02","Per=Y","Days=T","Dir=V")</f>
        <v>0</v>
      </c>
      <c r="AE2">
        <f>BDH("Q US Equity","NET_INCOME","1993-06-18","2026-05-02","Per=Y","Days=T","Dir=V")</f>
        <v>0</v>
      </c>
      <c r="AG2">
        <f>BDH("Q US Equity","IS_INT_EXPENSE","1993-06-18","2026-05-02","Per=Y","Days=T","Dir=V")</f>
        <v>0</v>
      </c>
      <c r="AI2">
        <f>BDH("Q US Equity","IS_DEPR_EXP","1993-06-18","2026-05-02","Per=Y","Days=T","Dir=V")</f>
        <v>0</v>
      </c>
      <c r="AK2">
        <f>BDH("Q US Equity","CF_CASH_FROM_OPER","1993-06-18","2026-05-02","Per=Y","Days=T","Dir=V")</f>
        <v>0</v>
      </c>
      <c r="AM2">
        <f>BDH("Q US Equity","CAPITAL_EXPEND","1993-06-18","2026-05-02","Per=Y","Days=T","Dir=V")</f>
        <v>0</v>
      </c>
      <c r="AO2">
        <f>BDH("Q US Equity","CF_FREE_CASH_FLOW","1993-06-18","2026-05-02","Per=Y","Days=T","Dir=V")</f>
        <v>0</v>
      </c>
      <c r="AQ2">
        <f>BDH("Q US Equity","PX_LAST","1993-06-18","2026-05-02","Per=M","Days=T","Dir=V")</f>
        <v>0</v>
      </c>
      <c r="AS2">
        <f>BDH("Q US Equity","CUR_MKT_CAP","1993-06-18","2026-05-02","Per=M","Days=T","Dir=V")</f>
        <v>0</v>
      </c>
      <c r="AU2">
        <f>BDH("Q US Equity","EQY_SH_OUT","1993-06-18","2026-05-02","Per=M","Days=T","Dir=V")</f>
        <v>0</v>
      </c>
      <c r="AW2">
        <f>BDH("Q US Equity","PX_VOLUME","1993-06-18","2026-05-02","Per=M","Days=T","Dir=V")</f>
        <v>0</v>
      </c>
      <c r="AY2">
        <f>BDH("Q US Equity","TURNOVER","1993-06-18","2026-05-02","Per=M","Days=T","Dir=V")</f>
        <v>0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BDH("QBTS US Equity","BS_TOT_ASSET","1993-06-18","2026-05-02","Per=Y","Days=T","Dir=V")</f>
        <v>0</v>
      </c>
      <c r="C2">
        <f>BDH("QBTS US Equity","BS_TOT_LIAB2","1993-06-18","2026-05-02","Per=Y","Days=T","Dir=V")</f>
        <v>0</v>
      </c>
      <c r="E2">
        <f>BDH("QBTS US Equity","SHORT_AND_LONG_TERM_DEBT","1993-06-18","2026-05-02","Per=Y","Days=T","Dir=V")</f>
        <v>0</v>
      </c>
      <c r="G2">
        <f>BDH("QBTS US Equity","BS_ST_BORROW","1993-06-18","2026-05-02","Per=Y","Days=T","Dir=V")</f>
        <v>0</v>
      </c>
      <c r="I2">
        <f>BDH("QBTS US Equity","BS_LT_BORROW","1993-06-18","2026-05-02","Per=Y","Days=T","Dir=V")</f>
        <v>0</v>
      </c>
      <c r="K2">
        <f>BDH("QBTS US Equity","BS_CASH_NEAR_CASH_ITEM","1993-06-18","2026-05-02","Per=Y","Days=T","Dir=V")</f>
        <v>0</v>
      </c>
      <c r="M2">
        <f>BDH("QBTS US Equity","BS_CUR_ASSET_REPORT","1993-06-18","2026-05-02","Per=Y","Days=T","Dir=V")</f>
        <v>0</v>
      </c>
      <c r="O2">
        <f>BDH("QBTS US Equity","BS_CUR_LIAB","1993-06-18","2026-05-02","Per=Y","Days=T","Dir=V")</f>
        <v>0</v>
      </c>
      <c r="Q2">
        <f>BDH("QBTS US Equity","BS_SHAREHOLDER_EQY_ENDING_PERIOD","1993-06-18","2026-05-02","Per=Y","Days=T","Dir=V")</f>
        <v>0</v>
      </c>
      <c r="S2">
        <f>BDH("QBTS US Equity","BS_ACCT_NOTE_RCV","1993-06-18","2026-05-02","Per=Y","Days=T","Dir=V")</f>
        <v>0</v>
      </c>
      <c r="U2">
        <f>BDH("QBTS US Equity","BS_INVENTORIES","1993-06-18","2026-05-02","Per=Y","Days=T","Dir=V")</f>
        <v>0</v>
      </c>
      <c r="W2">
        <f>BDH("QBTS US Equity","WORKING_CAPITAL","1993-06-18","2026-05-02","Per=Y","Days=T","Dir=V")</f>
        <v>0</v>
      </c>
      <c r="Y2">
        <f>BDH("QBTS US Equity","SALES_REV_TURN","1993-06-18","2026-05-02","Per=Y","Days=T","Dir=V")</f>
        <v>0</v>
      </c>
      <c r="AA2">
        <f>BDH("QBTS US Equity","EBIT","1993-06-18","2026-05-02","Per=Y","Days=T","Dir=V")</f>
        <v>0</v>
      </c>
      <c r="AC2">
        <f>BDH("QBTS US Equity","EBITDA","1993-06-18","2026-05-02","Per=Y","Days=T","Dir=V")</f>
        <v>0</v>
      </c>
      <c r="AE2">
        <f>BDH("QBTS US Equity","NET_INCOME","1993-06-18","2026-05-02","Per=Y","Days=T","Dir=V")</f>
        <v>0</v>
      </c>
      <c r="AG2">
        <f>BDH("QBTS US Equity","IS_INT_EXPENSE","1993-06-18","2026-05-02","Per=Y","Days=T","Dir=V")</f>
        <v>0</v>
      </c>
      <c r="AI2">
        <f>BDH("QBTS US Equity","IS_DEPR_EXP","1993-06-18","2026-05-02","Per=Y","Days=T","Dir=V")</f>
        <v>0</v>
      </c>
      <c r="AK2">
        <f>BDH("QBTS US Equity","CF_CASH_FROM_OPER","1993-06-18","2026-05-02","Per=Y","Days=T","Dir=V")</f>
        <v>0</v>
      </c>
      <c r="AM2">
        <f>BDH("QBTS US Equity","CAPITAL_EXPEND","1993-06-18","2026-05-02","Per=Y","Days=T","Dir=V")</f>
        <v>0</v>
      </c>
      <c r="AO2">
        <f>BDH("QBTS US Equity","CF_FREE_CASH_FLOW","1993-06-18","2026-05-02","Per=Y","Days=T","Dir=V")</f>
        <v>0</v>
      </c>
      <c r="AQ2">
        <f>BDH("QBTS US Equity","PX_LAST","1993-06-18","2026-05-02","Per=M","Days=T","Dir=V")</f>
        <v>0</v>
      </c>
      <c r="AS2">
        <f>BDH("QBTS US Equity","CUR_MKT_CAP","1993-06-18","2026-05-02","Per=M","Days=T","Dir=V")</f>
        <v>0</v>
      </c>
      <c r="AU2">
        <f>BDH("QBTS US Equity","EQY_SH_OUT","1993-06-18","2026-05-02","Per=M","Days=T","Dir=V")</f>
        <v>0</v>
      </c>
      <c r="AW2">
        <f>BDH("QBTS US Equity","PX_VOLUME","1993-06-18","2026-05-02","Per=M","Days=T","Dir=V")</f>
        <v>0</v>
      </c>
      <c r="AY2">
        <f>BDH("QBTS US Equity","TURNOVER","1993-06-18","2026-05-02","Per=M","Days=T","Dir=V")</f>
        <v>0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BDH("QCLS US Equity","BS_TOT_ASSET","1993-06-18","2026-05-02","Per=Y","Days=T","Dir=V")</f>
        <v>0</v>
      </c>
      <c r="C2">
        <f>BDH("QCLS US Equity","BS_TOT_LIAB2","1993-06-18","2026-05-02","Per=Y","Days=T","Dir=V")</f>
        <v>0</v>
      </c>
      <c r="E2">
        <f>BDH("QCLS US Equity","SHORT_AND_LONG_TERM_DEBT","1993-06-18","2026-05-02","Per=Y","Days=T","Dir=V")</f>
        <v>0</v>
      </c>
      <c r="G2">
        <f>BDH("QCLS US Equity","BS_ST_BORROW","1993-06-18","2026-05-02","Per=Y","Days=T","Dir=V")</f>
        <v>0</v>
      </c>
      <c r="I2">
        <f>BDH("QCLS US Equity","BS_LT_BORROW","1993-06-18","2026-05-02","Per=Y","Days=T","Dir=V")</f>
        <v>0</v>
      </c>
      <c r="K2">
        <f>BDH("QCLS US Equity","BS_CASH_NEAR_CASH_ITEM","1993-06-18","2026-05-02","Per=Y","Days=T","Dir=V")</f>
        <v>0</v>
      </c>
      <c r="M2">
        <f>BDH("QCLS US Equity","BS_CUR_ASSET_REPORT","1993-06-18","2026-05-02","Per=Y","Days=T","Dir=V")</f>
        <v>0</v>
      </c>
      <c r="O2">
        <f>BDH("QCLS US Equity","BS_CUR_LIAB","1993-06-18","2026-05-02","Per=Y","Days=T","Dir=V")</f>
        <v>0</v>
      </c>
      <c r="Q2">
        <f>BDH("QCLS US Equity","BS_SHAREHOLDER_EQY_ENDING_PERIOD","1993-06-18","2026-05-02","Per=Y","Days=T","Dir=V")</f>
        <v>0</v>
      </c>
      <c r="S2">
        <f>BDH("QCLS US Equity","BS_ACCT_NOTE_RCV","1993-06-18","2026-05-02","Per=Y","Days=T","Dir=V")</f>
        <v>0</v>
      </c>
      <c r="U2">
        <f>BDH("QCLS US Equity","BS_INVENTORIES","1993-06-18","2026-05-02","Per=Y","Days=T","Dir=V")</f>
        <v>0</v>
      </c>
      <c r="W2">
        <f>BDH("QCLS US Equity","WORKING_CAPITAL","1993-06-18","2026-05-02","Per=Y","Days=T","Dir=V")</f>
        <v>0</v>
      </c>
      <c r="Y2">
        <f>BDH("QCLS US Equity","SALES_REV_TURN","1993-06-18","2026-05-02","Per=Y","Days=T","Dir=V")</f>
        <v>0</v>
      </c>
      <c r="AA2">
        <f>BDH("QCLS US Equity","EBIT","1993-06-18","2026-05-02","Per=Y","Days=T","Dir=V")</f>
        <v>0</v>
      </c>
      <c r="AC2">
        <f>BDH("QCLS US Equity","EBITDA","1993-06-18","2026-05-02","Per=Y","Days=T","Dir=V")</f>
        <v>0</v>
      </c>
      <c r="AE2">
        <f>BDH("QCLS US Equity","NET_INCOME","1993-06-18","2026-05-02","Per=Y","Days=T","Dir=V")</f>
        <v>0</v>
      </c>
      <c r="AG2">
        <f>BDH("QCLS US Equity","IS_INT_EXPENSE","1993-06-18","2026-05-02","Per=Y","Days=T","Dir=V")</f>
        <v>0</v>
      </c>
      <c r="AI2">
        <f>BDH("QCLS US Equity","IS_DEPR_EXP","1993-06-18","2026-05-02","Per=Y","Days=T","Dir=V")</f>
        <v>0</v>
      </c>
      <c r="AK2">
        <f>BDH("QCLS US Equity","CF_CASH_FROM_OPER","1993-06-18","2026-05-02","Per=Y","Days=T","Dir=V")</f>
        <v>0</v>
      </c>
      <c r="AM2">
        <f>BDH("QCLS US Equity","CAPITAL_EXPEND","1993-06-18","2026-05-02","Per=Y","Days=T","Dir=V")</f>
        <v>0</v>
      </c>
      <c r="AO2">
        <f>BDH("QCLS US Equity","CF_FREE_CASH_FLOW","1993-06-18","2026-05-02","Per=Y","Days=T","Dir=V")</f>
        <v>0</v>
      </c>
      <c r="AQ2">
        <f>BDH("QCLS US Equity","PX_LAST","1993-06-18","2026-05-02","Per=M","Days=T","Dir=V")</f>
        <v>0</v>
      </c>
      <c r="AS2">
        <f>BDH("QCLS US Equity","CUR_MKT_CAP","1993-06-18","2026-05-02","Per=M","Days=T","Dir=V")</f>
        <v>0</v>
      </c>
      <c r="AU2">
        <f>BDH("QCLS US Equity","EQY_SH_OUT","1993-06-18","2026-05-02","Per=M","Days=T","Dir=V")</f>
        <v>0</v>
      </c>
      <c r="AW2">
        <f>BDH("QCLS US Equity","PX_VOLUME","1993-06-18","2026-05-02","Per=M","Days=T","Dir=V")</f>
        <v>0</v>
      </c>
      <c r="AY2">
        <f>BDH("QCLS US Equity","TURNOVER","1993-06-18","2026-05-02","Per=M","Days=T","Dir=V")</f>
        <v>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BDH("QCOM US Equity","BS_TOT_ASSET","1993-06-18","2026-05-02","Per=Y","Days=T","Dir=V")</f>
        <v>0</v>
      </c>
      <c r="C2">
        <f>BDH("QCOM US Equity","BS_TOT_LIAB2","1993-06-18","2026-05-02","Per=Y","Days=T","Dir=V")</f>
        <v>0</v>
      </c>
      <c r="E2">
        <f>BDH("QCOM US Equity","SHORT_AND_LONG_TERM_DEBT","1993-06-18","2026-05-02","Per=Y","Days=T","Dir=V")</f>
        <v>0</v>
      </c>
      <c r="G2">
        <f>BDH("QCOM US Equity","BS_ST_BORROW","1993-06-18","2026-05-02","Per=Y","Days=T","Dir=V")</f>
        <v>0</v>
      </c>
      <c r="I2">
        <f>BDH("QCOM US Equity","BS_LT_BORROW","1993-06-18","2026-05-02","Per=Y","Days=T","Dir=V")</f>
        <v>0</v>
      </c>
      <c r="K2">
        <f>BDH("QCOM US Equity","BS_CASH_NEAR_CASH_ITEM","1993-06-18","2026-05-02","Per=Y","Days=T","Dir=V")</f>
        <v>0</v>
      </c>
      <c r="M2">
        <f>BDH("QCOM US Equity","BS_CUR_ASSET_REPORT","1993-06-18","2026-05-02","Per=Y","Days=T","Dir=V")</f>
        <v>0</v>
      </c>
      <c r="O2">
        <f>BDH("QCOM US Equity","BS_CUR_LIAB","1993-06-18","2026-05-02","Per=Y","Days=T","Dir=V")</f>
        <v>0</v>
      </c>
      <c r="Q2">
        <f>BDH("QCOM US Equity","BS_SHAREHOLDER_EQY_ENDING_PERIOD","1993-06-18","2026-05-02","Per=Y","Days=T","Dir=V")</f>
        <v>0</v>
      </c>
      <c r="S2">
        <f>BDH("QCOM US Equity","BS_ACCT_NOTE_RCV","1993-06-18","2026-05-02","Per=Y","Days=T","Dir=V")</f>
        <v>0</v>
      </c>
      <c r="U2">
        <f>BDH("QCOM US Equity","BS_INVENTORIES","1993-06-18","2026-05-02","Per=Y","Days=T","Dir=V")</f>
        <v>0</v>
      </c>
      <c r="W2">
        <f>BDH("QCOM US Equity","WORKING_CAPITAL","1993-06-18","2026-05-02","Per=Y","Days=T","Dir=V")</f>
        <v>0</v>
      </c>
      <c r="Y2">
        <f>BDH("QCOM US Equity","SALES_REV_TURN","1993-06-18","2026-05-02","Per=Y","Days=T","Dir=V")</f>
        <v>0</v>
      </c>
      <c r="AA2">
        <f>BDH("QCOM US Equity","EBIT","1993-06-18","2026-05-02","Per=Y","Days=T","Dir=V")</f>
        <v>0</v>
      </c>
      <c r="AC2">
        <f>BDH("QCOM US Equity","EBITDA","1993-06-18","2026-05-02","Per=Y","Days=T","Dir=V")</f>
        <v>0</v>
      </c>
      <c r="AE2">
        <f>BDH("QCOM US Equity","NET_INCOME","1993-06-18","2026-05-02","Per=Y","Days=T","Dir=V")</f>
        <v>0</v>
      </c>
      <c r="AG2">
        <f>BDH("QCOM US Equity","IS_INT_EXPENSE","1993-06-18","2026-05-02","Per=Y","Days=T","Dir=V")</f>
        <v>0</v>
      </c>
      <c r="AI2">
        <f>BDH("QCOM US Equity","IS_DEPR_EXP","1993-06-18","2026-05-02","Per=Y","Days=T","Dir=V")</f>
        <v>0</v>
      </c>
      <c r="AK2">
        <f>BDH("QCOM US Equity","CF_CASH_FROM_OPER","1993-06-18","2026-05-02","Per=Y","Days=T","Dir=V")</f>
        <v>0</v>
      </c>
      <c r="AM2">
        <f>BDH("QCOM US Equity","CAPITAL_EXPEND","1993-06-18","2026-05-02","Per=Y","Days=T","Dir=V")</f>
        <v>0</v>
      </c>
      <c r="AO2">
        <f>BDH("QCOM US Equity","CF_FREE_CASH_FLOW","1993-06-18","2026-05-02","Per=Y","Days=T","Dir=V")</f>
        <v>0</v>
      </c>
      <c r="AQ2">
        <f>BDH("QCOM US Equity","PX_LAST","1993-06-18","2026-05-02","Per=M","Days=T","Dir=V")</f>
        <v>0</v>
      </c>
      <c r="AS2">
        <f>BDH("QCOM US Equity","CUR_MKT_CAP","1993-06-18","2026-05-02","Per=M","Days=T","Dir=V")</f>
        <v>0</v>
      </c>
      <c r="AU2">
        <f>BDH("QCOM US Equity","EQY_SH_OUT","1993-06-18","2026-05-02","Per=M","Days=T","Dir=V")</f>
        <v>0</v>
      </c>
      <c r="AW2">
        <f>BDH("QCOM US Equity","PX_VOLUME","1993-06-18","2026-05-02","Per=M","Days=T","Dir=V")</f>
        <v>0</v>
      </c>
      <c r="AY2">
        <f>BDH("QCOM US Equity","TURNOVER","1993-06-18","2026-05-02","Per=M","Days=T","Dir=V")</f>
        <v>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BDH("QDEL US Equity","BS_TOT_ASSET","1993-06-18","2026-05-02","Per=Y","Days=T","Dir=V")</f>
        <v>0</v>
      </c>
      <c r="C2">
        <f>BDH("QDEL US Equity","BS_TOT_LIAB2","1993-06-18","2026-05-02","Per=Y","Days=T","Dir=V")</f>
        <v>0</v>
      </c>
      <c r="E2">
        <f>BDH("QDEL US Equity","SHORT_AND_LONG_TERM_DEBT","1993-06-18","2026-05-02","Per=Y","Days=T","Dir=V")</f>
        <v>0</v>
      </c>
      <c r="G2">
        <f>BDH("QDEL US Equity","BS_ST_BORROW","1993-06-18","2026-05-02","Per=Y","Days=T","Dir=V")</f>
        <v>0</v>
      </c>
      <c r="I2">
        <f>BDH("QDEL US Equity","BS_LT_BORROW","1993-06-18","2026-05-02","Per=Y","Days=T","Dir=V")</f>
        <v>0</v>
      </c>
      <c r="K2">
        <f>BDH("QDEL US Equity","BS_CASH_NEAR_CASH_ITEM","1993-06-18","2026-05-02","Per=Y","Days=T","Dir=V")</f>
        <v>0</v>
      </c>
      <c r="M2">
        <f>BDH("QDEL US Equity","BS_CUR_ASSET_REPORT","1993-06-18","2026-05-02","Per=Y","Days=T","Dir=V")</f>
        <v>0</v>
      </c>
      <c r="O2">
        <f>BDH("QDEL US Equity","BS_CUR_LIAB","1993-06-18","2026-05-02","Per=Y","Days=T","Dir=V")</f>
        <v>0</v>
      </c>
      <c r="Q2">
        <f>BDH("QDEL US Equity","BS_SHAREHOLDER_EQY_ENDING_PERIOD","1993-06-18","2026-05-02","Per=Y","Days=T","Dir=V")</f>
        <v>0</v>
      </c>
      <c r="S2">
        <f>BDH("QDEL US Equity","BS_ACCT_NOTE_RCV","1993-06-18","2026-05-02","Per=Y","Days=T","Dir=V")</f>
        <v>0</v>
      </c>
      <c r="U2">
        <f>BDH("QDEL US Equity","BS_INVENTORIES","1993-06-18","2026-05-02","Per=Y","Days=T","Dir=V")</f>
        <v>0</v>
      </c>
      <c r="W2">
        <f>BDH("QDEL US Equity","WORKING_CAPITAL","1993-06-18","2026-05-02","Per=Y","Days=T","Dir=V")</f>
        <v>0</v>
      </c>
      <c r="Y2">
        <f>BDH("QDEL US Equity","SALES_REV_TURN","1993-06-18","2026-05-02","Per=Y","Days=T","Dir=V")</f>
        <v>0</v>
      </c>
      <c r="AA2">
        <f>BDH("QDEL US Equity","EBIT","1993-06-18","2026-05-02","Per=Y","Days=T","Dir=V")</f>
        <v>0</v>
      </c>
      <c r="AC2">
        <f>BDH("QDEL US Equity","EBITDA","1993-06-18","2026-05-02","Per=Y","Days=T","Dir=V")</f>
        <v>0</v>
      </c>
      <c r="AE2">
        <f>BDH("QDEL US Equity","NET_INCOME","1993-06-18","2026-05-02","Per=Y","Days=T","Dir=V")</f>
        <v>0</v>
      </c>
      <c r="AG2">
        <f>BDH("QDEL US Equity","IS_INT_EXPENSE","1993-06-18","2026-05-02","Per=Y","Days=T","Dir=V")</f>
        <v>0</v>
      </c>
      <c r="AI2">
        <f>BDH("QDEL US Equity","IS_DEPR_EXP","1993-06-18","2026-05-02","Per=Y","Days=T","Dir=V")</f>
        <v>0</v>
      </c>
      <c r="AK2">
        <f>BDH("QDEL US Equity","CF_CASH_FROM_OPER","1993-06-18","2026-05-02","Per=Y","Days=T","Dir=V")</f>
        <v>0</v>
      </c>
      <c r="AM2">
        <f>BDH("QDEL US Equity","CAPITAL_EXPEND","1993-06-18","2026-05-02","Per=Y","Days=T","Dir=V")</f>
        <v>0</v>
      </c>
      <c r="AO2">
        <f>BDH("QDEL US Equity","CF_FREE_CASH_FLOW","1993-06-18","2026-05-02","Per=Y","Days=T","Dir=V")</f>
        <v>0</v>
      </c>
      <c r="AQ2">
        <f>BDH("QDEL US Equity","PX_LAST","1993-06-18","2026-05-02","Per=M","Days=T","Dir=V")</f>
        <v>0</v>
      </c>
      <c r="AS2">
        <f>BDH("QDEL US Equity","CUR_MKT_CAP","1993-06-18","2026-05-02","Per=M","Days=T","Dir=V")</f>
        <v>0</v>
      </c>
      <c r="AU2">
        <f>BDH("QDEL US Equity","EQY_SH_OUT","1993-06-18","2026-05-02","Per=M","Days=T","Dir=V")</f>
        <v>0</v>
      </c>
      <c r="AW2">
        <f>BDH("QDEL US Equity","PX_VOLUME","1993-06-18","2026-05-02","Per=M","Days=T","Dir=V")</f>
        <v>0</v>
      </c>
      <c r="AY2">
        <f>BDH("QDEL US Equity","TURNOVER","1993-06-18","2026-05-02","Per=M","Days=T","Dir=V")</f>
        <v>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BDH("QLYS US Equity","BS_TOT_ASSET","1993-06-18","2026-05-02","Per=Y","Days=T","Dir=V")</f>
        <v>0</v>
      </c>
      <c r="C2">
        <f>BDH("QLYS US Equity","BS_TOT_LIAB2","1993-06-18","2026-05-02","Per=Y","Days=T","Dir=V")</f>
        <v>0</v>
      </c>
      <c r="E2">
        <f>BDH("QLYS US Equity","SHORT_AND_LONG_TERM_DEBT","1993-06-18","2026-05-02","Per=Y","Days=T","Dir=V")</f>
        <v>0</v>
      </c>
      <c r="G2">
        <f>BDH("QLYS US Equity","BS_ST_BORROW","1993-06-18","2026-05-02","Per=Y","Days=T","Dir=V")</f>
        <v>0</v>
      </c>
      <c r="I2">
        <f>BDH("QLYS US Equity","BS_LT_BORROW","1993-06-18","2026-05-02","Per=Y","Days=T","Dir=V")</f>
        <v>0</v>
      </c>
      <c r="K2">
        <f>BDH("QLYS US Equity","BS_CASH_NEAR_CASH_ITEM","1993-06-18","2026-05-02","Per=Y","Days=T","Dir=V")</f>
        <v>0</v>
      </c>
      <c r="M2">
        <f>BDH("QLYS US Equity","BS_CUR_ASSET_REPORT","1993-06-18","2026-05-02","Per=Y","Days=T","Dir=V")</f>
        <v>0</v>
      </c>
      <c r="O2">
        <f>BDH("QLYS US Equity","BS_CUR_LIAB","1993-06-18","2026-05-02","Per=Y","Days=T","Dir=V")</f>
        <v>0</v>
      </c>
      <c r="Q2">
        <f>BDH("QLYS US Equity","BS_SHAREHOLDER_EQY_ENDING_PERIOD","1993-06-18","2026-05-02","Per=Y","Days=T","Dir=V")</f>
        <v>0</v>
      </c>
      <c r="S2">
        <f>BDH("QLYS US Equity","BS_ACCT_NOTE_RCV","1993-06-18","2026-05-02","Per=Y","Days=T","Dir=V")</f>
        <v>0</v>
      </c>
      <c r="U2">
        <f>BDH("QLYS US Equity","BS_INVENTORIES","1993-06-18","2026-05-02","Per=Y","Days=T","Dir=V")</f>
        <v>0</v>
      </c>
      <c r="W2">
        <f>BDH("QLYS US Equity","WORKING_CAPITAL","1993-06-18","2026-05-02","Per=Y","Days=T","Dir=V")</f>
        <v>0</v>
      </c>
      <c r="Y2">
        <f>BDH("QLYS US Equity","SALES_REV_TURN","1993-06-18","2026-05-02","Per=Y","Days=T","Dir=V")</f>
        <v>0</v>
      </c>
      <c r="AA2">
        <f>BDH("QLYS US Equity","EBIT","1993-06-18","2026-05-02","Per=Y","Days=T","Dir=V")</f>
        <v>0</v>
      </c>
      <c r="AC2">
        <f>BDH("QLYS US Equity","EBITDA","1993-06-18","2026-05-02","Per=Y","Days=T","Dir=V")</f>
        <v>0</v>
      </c>
      <c r="AE2">
        <f>BDH("QLYS US Equity","NET_INCOME","1993-06-18","2026-05-02","Per=Y","Days=T","Dir=V")</f>
        <v>0</v>
      </c>
      <c r="AG2">
        <f>BDH("QLYS US Equity","IS_INT_EXPENSE","1993-06-18","2026-05-02","Per=Y","Days=T","Dir=V")</f>
        <v>0</v>
      </c>
      <c r="AI2">
        <f>BDH("QLYS US Equity","IS_DEPR_EXP","1993-06-18","2026-05-02","Per=Y","Days=T","Dir=V")</f>
        <v>0</v>
      </c>
      <c r="AK2">
        <f>BDH("QLYS US Equity","CF_CASH_FROM_OPER","1993-06-18","2026-05-02","Per=Y","Days=T","Dir=V")</f>
        <v>0</v>
      </c>
      <c r="AM2">
        <f>BDH("QLYS US Equity","CAPITAL_EXPEND","1993-06-18","2026-05-02","Per=Y","Days=T","Dir=V")</f>
        <v>0</v>
      </c>
      <c r="AO2">
        <f>BDH("QLYS US Equity","CF_FREE_CASH_FLOW","1993-06-18","2026-05-02","Per=Y","Days=T","Dir=V")</f>
        <v>0</v>
      </c>
      <c r="AQ2">
        <f>BDH("QLYS US Equity","PX_LAST","1993-06-18","2026-05-02","Per=M","Days=T","Dir=V")</f>
        <v>0</v>
      </c>
      <c r="AS2">
        <f>BDH("QLYS US Equity","CUR_MKT_CAP","1993-06-18","2026-05-02","Per=M","Days=T","Dir=V")</f>
        <v>0</v>
      </c>
      <c r="AU2">
        <f>BDH("QLYS US Equity","EQY_SH_OUT","1993-06-18","2026-05-02","Per=M","Days=T","Dir=V")</f>
        <v>0</v>
      </c>
      <c r="AW2">
        <f>BDH("QLYS US Equity","PX_VOLUME","1993-06-18","2026-05-02","Per=M","Days=T","Dir=V")</f>
        <v>0</v>
      </c>
      <c r="AY2">
        <f>BDH("QLYS US Equity","TURNOVER","1993-06-18","2026-05-02","Per=M","Days=T","Dir=V")</f>
        <v>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BDH("QMCO US Equity","BS_TOT_ASSET","1993-06-18","2026-05-02","Per=Y","Days=T","Dir=V")</f>
        <v>0</v>
      </c>
      <c r="C2">
        <f>BDH("QMCO US Equity","BS_TOT_LIAB2","1993-06-18","2026-05-02","Per=Y","Days=T","Dir=V")</f>
        <v>0</v>
      </c>
      <c r="E2">
        <f>BDH("QMCO US Equity","SHORT_AND_LONG_TERM_DEBT","1993-06-18","2026-05-02","Per=Y","Days=T","Dir=V")</f>
        <v>0</v>
      </c>
      <c r="G2">
        <f>BDH("QMCO US Equity","BS_ST_BORROW","1993-06-18","2026-05-02","Per=Y","Days=T","Dir=V")</f>
        <v>0</v>
      </c>
      <c r="I2">
        <f>BDH("QMCO US Equity","BS_LT_BORROW","1993-06-18","2026-05-02","Per=Y","Days=T","Dir=V")</f>
        <v>0</v>
      </c>
      <c r="K2">
        <f>BDH("QMCO US Equity","BS_CASH_NEAR_CASH_ITEM","1993-06-18","2026-05-02","Per=Y","Days=T","Dir=V")</f>
        <v>0</v>
      </c>
      <c r="M2">
        <f>BDH("QMCO US Equity","BS_CUR_ASSET_REPORT","1993-06-18","2026-05-02","Per=Y","Days=T","Dir=V")</f>
        <v>0</v>
      </c>
      <c r="O2">
        <f>BDH("QMCO US Equity","BS_CUR_LIAB","1993-06-18","2026-05-02","Per=Y","Days=T","Dir=V")</f>
        <v>0</v>
      </c>
      <c r="Q2">
        <f>BDH("QMCO US Equity","BS_SHAREHOLDER_EQY_ENDING_PERIOD","1993-06-18","2026-05-02","Per=Y","Days=T","Dir=V")</f>
        <v>0</v>
      </c>
      <c r="S2">
        <f>BDH("QMCO US Equity","BS_ACCT_NOTE_RCV","1993-06-18","2026-05-02","Per=Y","Days=T","Dir=V")</f>
        <v>0</v>
      </c>
      <c r="U2">
        <f>BDH("QMCO US Equity","BS_INVENTORIES","1993-06-18","2026-05-02","Per=Y","Days=T","Dir=V")</f>
        <v>0</v>
      </c>
      <c r="W2">
        <f>BDH("QMCO US Equity","WORKING_CAPITAL","1993-06-18","2026-05-02","Per=Y","Days=T","Dir=V")</f>
        <v>0</v>
      </c>
      <c r="Y2">
        <f>BDH("QMCO US Equity","SALES_REV_TURN","1993-06-18","2026-05-02","Per=Y","Days=T","Dir=V")</f>
        <v>0</v>
      </c>
      <c r="AA2">
        <f>BDH("QMCO US Equity","EBIT","1993-06-18","2026-05-02","Per=Y","Days=T","Dir=V")</f>
        <v>0</v>
      </c>
      <c r="AC2">
        <f>BDH("QMCO US Equity","EBITDA","1993-06-18","2026-05-02","Per=Y","Days=T","Dir=V")</f>
        <v>0</v>
      </c>
      <c r="AE2">
        <f>BDH("QMCO US Equity","NET_INCOME","1993-06-18","2026-05-02","Per=Y","Days=T","Dir=V")</f>
        <v>0</v>
      </c>
      <c r="AG2">
        <f>BDH("QMCO US Equity","IS_INT_EXPENSE","1993-06-18","2026-05-02","Per=Y","Days=T","Dir=V")</f>
        <v>0</v>
      </c>
      <c r="AI2">
        <f>BDH("QMCO US Equity","IS_DEPR_EXP","1993-06-18","2026-05-02","Per=Y","Days=T","Dir=V")</f>
        <v>0</v>
      </c>
      <c r="AK2">
        <f>BDH("QMCO US Equity","CF_CASH_FROM_OPER","1993-06-18","2026-05-02","Per=Y","Days=T","Dir=V")</f>
        <v>0</v>
      </c>
      <c r="AM2">
        <f>BDH("QMCO US Equity","CAPITAL_EXPEND","1993-06-18","2026-05-02","Per=Y","Days=T","Dir=V")</f>
        <v>0</v>
      </c>
      <c r="AO2">
        <f>BDH("QMCO US Equity","CF_FREE_CASH_FLOW","1993-06-18","2026-05-02","Per=Y","Days=T","Dir=V")</f>
        <v>0</v>
      </c>
      <c r="AQ2">
        <f>BDH("QMCO US Equity","PX_LAST","1993-06-18","2026-05-02","Per=M","Days=T","Dir=V")</f>
        <v>0</v>
      </c>
      <c r="AS2">
        <f>BDH("QMCO US Equity","CUR_MKT_CAP","1993-06-18","2026-05-02","Per=M","Days=T","Dir=V")</f>
        <v>0</v>
      </c>
      <c r="AU2">
        <f>BDH("QMCO US Equity","EQY_SH_OUT","1993-06-18","2026-05-02","Per=M","Days=T","Dir=V")</f>
        <v>0</v>
      </c>
      <c r="AW2">
        <f>BDH("QMCO US Equity","PX_VOLUME","1993-06-18","2026-05-02","Per=M","Days=T","Dir=V")</f>
        <v>0</v>
      </c>
      <c r="AY2">
        <f>BDH("QMCO US Equity","TURNOVER","1993-06-18","2026-05-02","Per=M","Days=T","Dir=V")</f>
        <v>0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BDH("QMLS US Equity","BS_TOT_ASSET","1993-06-18","2026-05-02","Per=Y","Days=T","Dir=V")</f>
        <v>0</v>
      </c>
      <c r="C2">
        <f>BDH("QMLS US Equity","BS_TOT_LIAB2","1993-06-18","2026-05-02","Per=Y","Days=T","Dir=V")</f>
        <v>0</v>
      </c>
      <c r="E2">
        <f>BDH("QMLS US Equity","SHORT_AND_LONG_TERM_DEBT","1993-06-18","2026-05-02","Per=Y","Days=T","Dir=V")</f>
        <v>0</v>
      </c>
      <c r="G2">
        <f>BDH("QMLS US Equity","BS_ST_BORROW","1993-06-18","2026-05-02","Per=Y","Days=T","Dir=V")</f>
        <v>0</v>
      </c>
      <c r="I2">
        <f>BDH("QMLS US Equity","BS_LT_BORROW","1993-06-18","2026-05-02","Per=Y","Days=T","Dir=V")</f>
        <v>0</v>
      </c>
      <c r="K2">
        <f>BDH("QMLS US Equity","BS_CASH_NEAR_CASH_ITEM","1993-06-18","2026-05-02","Per=Y","Days=T","Dir=V")</f>
        <v>0</v>
      </c>
      <c r="M2">
        <f>BDH("QMLS US Equity","BS_CUR_ASSET_REPORT","1993-06-18","2026-05-02","Per=Y","Days=T","Dir=V")</f>
        <v>0</v>
      </c>
      <c r="O2">
        <f>BDH("QMLS US Equity","BS_CUR_LIAB","1993-06-18","2026-05-02","Per=Y","Days=T","Dir=V")</f>
        <v>0</v>
      </c>
      <c r="Q2">
        <f>BDH("QMLS US Equity","BS_SHAREHOLDER_EQY_ENDING_PERIOD","1993-06-18","2026-05-02","Per=Y","Days=T","Dir=V")</f>
        <v>0</v>
      </c>
      <c r="S2">
        <f>BDH("QMLS US Equity","BS_ACCT_NOTE_RCV","1993-06-18","2026-05-02","Per=Y","Days=T","Dir=V")</f>
        <v>0</v>
      </c>
      <c r="U2">
        <f>BDH("QMLS US Equity","BS_INVENTORIES","1993-06-18","2026-05-02","Per=Y","Days=T","Dir=V")</f>
        <v>0</v>
      </c>
      <c r="W2">
        <f>BDH("QMLS US Equity","WORKING_CAPITAL","1993-06-18","2026-05-02","Per=Y","Days=T","Dir=V")</f>
        <v>0</v>
      </c>
      <c r="Y2">
        <f>BDH("QMLS US Equity","SALES_REV_TURN","1993-06-18","2026-05-02","Per=Y","Days=T","Dir=V")</f>
        <v>0</v>
      </c>
      <c r="AA2">
        <f>BDH("QMLS US Equity","EBIT","1993-06-18","2026-05-02","Per=Y","Days=T","Dir=V")</f>
        <v>0</v>
      </c>
      <c r="AC2">
        <f>BDH("QMLS US Equity","EBITDA","1993-06-18","2026-05-02","Per=Y","Days=T","Dir=V")</f>
        <v>0</v>
      </c>
      <c r="AE2">
        <f>BDH("QMLS US Equity","NET_INCOME","1993-06-18","2026-05-02","Per=Y","Days=T","Dir=V")</f>
        <v>0</v>
      </c>
      <c r="AG2">
        <f>BDH("QMLS US Equity","IS_INT_EXPENSE","1993-06-18","2026-05-02","Per=Y","Days=T","Dir=V")</f>
        <v>0</v>
      </c>
      <c r="AI2">
        <f>BDH("QMLS US Equity","IS_DEPR_EXP","1993-06-18","2026-05-02","Per=Y","Days=T","Dir=V")</f>
        <v>0</v>
      </c>
      <c r="AK2">
        <f>BDH("QMLS US Equity","CF_CASH_FROM_OPER","1993-06-18","2026-05-02","Per=Y","Days=T","Dir=V")</f>
        <v>0</v>
      </c>
      <c r="AM2">
        <f>BDH("QMLS US Equity","CAPITAL_EXPEND","1993-06-18","2026-05-02","Per=Y","Days=T","Dir=V")</f>
        <v>0</v>
      </c>
      <c r="AO2">
        <f>BDH("QMLS US Equity","CF_FREE_CASH_FLOW","1993-06-18","2026-05-02","Per=Y","Days=T","Dir=V")</f>
        <v>0</v>
      </c>
      <c r="AQ2">
        <f>BDH("QMLS US Equity","PX_LAST","1993-06-18","2026-05-02","Per=M","Days=T","Dir=V")</f>
        <v>0</v>
      </c>
      <c r="AS2">
        <f>BDH("QMLS US Equity","CUR_MKT_CAP","1993-06-18","2026-05-02","Per=M","Days=T","Dir=V")</f>
        <v>0</v>
      </c>
      <c r="AU2">
        <f>BDH("QMLS US Equity","EQY_SH_OUT","1993-06-18","2026-05-02","Per=M","Days=T","Dir=V")</f>
        <v>0</v>
      </c>
      <c r="AW2">
        <f>BDH("QMLS US Equity","PX_VOLUME","1993-06-18","2026-05-02","Per=M","Days=T","Dir=V")</f>
        <v>0</v>
      </c>
      <c r="AY2">
        <f>BDH("QMLS US Equity","TURNOVER","1993-06-18","2026-05-02","Per=M","Days=T","Dir=V")</f>
        <v>0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BDH("QNCX US Equity","BS_TOT_ASSET","1993-06-18","2026-05-02","Per=Y","Days=T","Dir=V")</f>
        <v>0</v>
      </c>
      <c r="C2">
        <f>BDH("QNCX US Equity","BS_TOT_LIAB2","1993-06-18","2026-05-02","Per=Y","Days=T","Dir=V")</f>
        <v>0</v>
      </c>
      <c r="E2">
        <f>BDH("QNCX US Equity","SHORT_AND_LONG_TERM_DEBT","1993-06-18","2026-05-02","Per=Y","Days=T","Dir=V")</f>
        <v>0</v>
      </c>
      <c r="G2">
        <f>BDH("QNCX US Equity","BS_ST_BORROW","1993-06-18","2026-05-02","Per=Y","Days=T","Dir=V")</f>
        <v>0</v>
      </c>
      <c r="I2">
        <f>BDH("QNCX US Equity","BS_LT_BORROW","1993-06-18","2026-05-02","Per=Y","Days=T","Dir=V")</f>
        <v>0</v>
      </c>
      <c r="K2">
        <f>BDH("QNCX US Equity","BS_CASH_NEAR_CASH_ITEM","1993-06-18","2026-05-02","Per=Y","Days=T","Dir=V")</f>
        <v>0</v>
      </c>
      <c r="M2">
        <f>BDH("QNCX US Equity","BS_CUR_ASSET_REPORT","1993-06-18","2026-05-02","Per=Y","Days=T","Dir=V")</f>
        <v>0</v>
      </c>
      <c r="O2">
        <f>BDH("QNCX US Equity","BS_CUR_LIAB","1993-06-18","2026-05-02","Per=Y","Days=T","Dir=V")</f>
        <v>0</v>
      </c>
      <c r="Q2">
        <f>BDH("QNCX US Equity","BS_SHAREHOLDER_EQY_ENDING_PERIOD","1993-06-18","2026-05-02","Per=Y","Days=T","Dir=V")</f>
        <v>0</v>
      </c>
      <c r="S2">
        <f>BDH("QNCX US Equity","BS_ACCT_NOTE_RCV","1993-06-18","2026-05-02","Per=Y","Days=T","Dir=V")</f>
        <v>0</v>
      </c>
      <c r="U2">
        <f>BDH("QNCX US Equity","BS_INVENTORIES","1993-06-18","2026-05-02","Per=Y","Days=T","Dir=V")</f>
        <v>0</v>
      </c>
      <c r="W2">
        <f>BDH("QNCX US Equity","WORKING_CAPITAL","1993-06-18","2026-05-02","Per=Y","Days=T","Dir=V")</f>
        <v>0</v>
      </c>
      <c r="Y2">
        <f>BDH("QNCX US Equity","SALES_REV_TURN","1993-06-18","2026-05-02","Per=Y","Days=T","Dir=V")</f>
        <v>0</v>
      </c>
      <c r="AA2">
        <f>BDH("QNCX US Equity","EBIT","1993-06-18","2026-05-02","Per=Y","Days=T","Dir=V")</f>
        <v>0</v>
      </c>
      <c r="AC2">
        <f>BDH("QNCX US Equity","EBITDA","1993-06-18","2026-05-02","Per=Y","Days=T","Dir=V")</f>
        <v>0</v>
      </c>
      <c r="AE2">
        <f>BDH("QNCX US Equity","NET_INCOME","1993-06-18","2026-05-02","Per=Y","Days=T","Dir=V")</f>
        <v>0</v>
      </c>
      <c r="AG2">
        <f>BDH("QNCX US Equity","IS_INT_EXPENSE","1993-06-18","2026-05-02","Per=Y","Days=T","Dir=V")</f>
        <v>0</v>
      </c>
      <c r="AI2">
        <f>BDH("QNCX US Equity","IS_DEPR_EXP","1993-06-18","2026-05-02","Per=Y","Days=T","Dir=V")</f>
        <v>0</v>
      </c>
      <c r="AK2">
        <f>BDH("QNCX US Equity","CF_CASH_FROM_OPER","1993-06-18","2026-05-02","Per=Y","Days=T","Dir=V")</f>
        <v>0</v>
      </c>
      <c r="AM2">
        <f>BDH("QNCX US Equity","CAPITAL_EXPEND","1993-06-18","2026-05-02","Per=Y","Days=T","Dir=V")</f>
        <v>0</v>
      </c>
      <c r="AO2">
        <f>BDH("QNCX US Equity","CF_FREE_CASH_FLOW","1993-06-18","2026-05-02","Per=Y","Days=T","Dir=V")</f>
        <v>0</v>
      </c>
      <c r="AQ2">
        <f>BDH("QNCX US Equity","PX_LAST","1993-06-18","2026-05-02","Per=M","Days=T","Dir=V")</f>
        <v>0</v>
      </c>
      <c r="AS2">
        <f>BDH("QNCX US Equity","CUR_MKT_CAP","1993-06-18","2026-05-02","Per=M","Days=T","Dir=V")</f>
        <v>0</v>
      </c>
      <c r="AU2">
        <f>BDH("QNCX US Equity","EQY_SH_OUT","1993-06-18","2026-05-02","Per=M","Days=T","Dir=V")</f>
        <v>0</v>
      </c>
      <c r="AW2">
        <f>BDH("QNCX US Equity","PX_VOLUME","1993-06-18","2026-05-02","Per=M","Days=T","Dir=V")</f>
        <v>0</v>
      </c>
      <c r="AY2">
        <f>BDH("QNCX US Equity","TURNOVER","1993-06-18","2026-05-02","Per=M","Days=T","Dir=V")</f>
        <v>0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BDH("QNME US Equity","BS_TOT_ASSET","1993-06-18","2026-05-02","Per=Y","Days=T","Dir=V")</f>
        <v>0</v>
      </c>
      <c r="C2">
        <f>BDH("QNME US Equity","BS_TOT_LIAB2","1993-06-18","2026-05-02","Per=Y","Days=T","Dir=V")</f>
        <v>0</v>
      </c>
      <c r="E2">
        <f>BDH("QNME US Equity","SHORT_AND_LONG_TERM_DEBT","1993-06-18","2026-05-02","Per=Y","Days=T","Dir=V")</f>
        <v>0</v>
      </c>
      <c r="G2">
        <f>BDH("QNME US Equity","BS_ST_BORROW","1993-06-18","2026-05-02","Per=Y","Days=T","Dir=V")</f>
        <v>0</v>
      </c>
      <c r="I2">
        <f>BDH("QNME US Equity","BS_LT_BORROW","1993-06-18","2026-05-02","Per=Y","Days=T","Dir=V")</f>
        <v>0</v>
      </c>
      <c r="K2">
        <f>BDH("QNME US Equity","BS_CASH_NEAR_CASH_ITEM","1993-06-18","2026-05-02","Per=Y","Days=T","Dir=V")</f>
        <v>0</v>
      </c>
      <c r="M2">
        <f>BDH("QNME US Equity","BS_CUR_ASSET_REPORT","1993-06-18","2026-05-02","Per=Y","Days=T","Dir=V")</f>
        <v>0</v>
      </c>
      <c r="O2">
        <f>BDH("QNME US Equity","BS_CUR_LIAB","1993-06-18","2026-05-02","Per=Y","Days=T","Dir=V")</f>
        <v>0</v>
      </c>
      <c r="Q2">
        <f>BDH("QNME US Equity","BS_SHAREHOLDER_EQY_ENDING_PERIOD","1993-06-18","2026-05-02","Per=Y","Days=T","Dir=V")</f>
        <v>0</v>
      </c>
      <c r="S2">
        <f>BDH("QNME US Equity","BS_ACCT_NOTE_RCV","1993-06-18","2026-05-02","Per=Y","Days=T","Dir=V")</f>
        <v>0</v>
      </c>
      <c r="U2">
        <f>BDH("QNME US Equity","BS_INVENTORIES","1993-06-18","2026-05-02","Per=Y","Days=T","Dir=V")</f>
        <v>0</v>
      </c>
      <c r="W2">
        <f>BDH("QNME US Equity","WORKING_CAPITAL","1993-06-18","2026-05-02","Per=Y","Days=T","Dir=V")</f>
        <v>0</v>
      </c>
      <c r="Y2">
        <f>BDH("QNME US Equity","SALES_REV_TURN","1993-06-18","2026-05-02","Per=Y","Days=T","Dir=V")</f>
        <v>0</v>
      </c>
      <c r="AA2">
        <f>BDH("QNME US Equity","EBIT","1993-06-18","2026-05-02","Per=Y","Days=T","Dir=V")</f>
        <v>0</v>
      </c>
      <c r="AC2">
        <f>BDH("QNME US Equity","EBITDA","1993-06-18","2026-05-02","Per=Y","Days=T","Dir=V")</f>
        <v>0</v>
      </c>
      <c r="AE2">
        <f>BDH("QNME US Equity","NET_INCOME","1993-06-18","2026-05-02","Per=Y","Days=T","Dir=V")</f>
        <v>0</v>
      </c>
      <c r="AG2">
        <f>BDH("QNME US Equity","IS_INT_EXPENSE","1993-06-18","2026-05-02","Per=Y","Days=T","Dir=V")</f>
        <v>0</v>
      </c>
      <c r="AI2">
        <f>BDH("QNME US Equity","IS_DEPR_EXP","1993-06-18","2026-05-02","Per=Y","Days=T","Dir=V")</f>
        <v>0</v>
      </c>
      <c r="AK2">
        <f>BDH("QNME US Equity","CF_CASH_FROM_OPER","1993-06-18","2026-05-02","Per=Y","Days=T","Dir=V")</f>
        <v>0</v>
      </c>
      <c r="AM2">
        <f>BDH("QNME US Equity","CAPITAL_EXPEND","1993-06-18","2026-05-02","Per=Y","Days=T","Dir=V")</f>
        <v>0</v>
      </c>
      <c r="AO2">
        <f>BDH("QNME US Equity","CF_FREE_CASH_FLOW","1993-06-18","2026-05-02","Per=Y","Days=T","Dir=V")</f>
        <v>0</v>
      </c>
      <c r="AQ2">
        <f>BDH("QNME US Equity","PX_LAST","1993-06-18","2026-05-02","Per=M","Days=T","Dir=V")</f>
        <v>0</v>
      </c>
      <c r="AS2">
        <f>BDH("QNME US Equity","CUR_MKT_CAP","1993-06-18","2026-05-02","Per=M","Days=T","Dir=V")</f>
        <v>0</v>
      </c>
      <c r="AU2">
        <f>BDH("QNME US Equity","EQY_SH_OUT","1993-06-18","2026-05-02","Per=M","Days=T","Dir=V")</f>
        <v>0</v>
      </c>
      <c r="AW2">
        <f>BDH("QNME US Equity","PX_VOLUME","1993-06-18","2026-05-02","Per=M","Days=T","Dir=V")</f>
        <v>0</v>
      </c>
      <c r="AY2">
        <f>BDH("QNME US Equity","TURNOVER","1993-06-18","2026-05-02","Per=M","Days=T","Dir=V")</f>
        <v>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BDH("QNST US Equity","BS_TOT_ASSET","1993-06-18","2026-05-02","Per=Y","Days=T","Dir=V")</f>
        <v>0</v>
      </c>
      <c r="C2">
        <f>BDH("QNST US Equity","BS_TOT_LIAB2","1993-06-18","2026-05-02","Per=Y","Days=T","Dir=V")</f>
        <v>0</v>
      </c>
      <c r="E2">
        <f>BDH("QNST US Equity","SHORT_AND_LONG_TERM_DEBT","1993-06-18","2026-05-02","Per=Y","Days=T","Dir=V")</f>
        <v>0</v>
      </c>
      <c r="G2">
        <f>BDH("QNST US Equity","BS_ST_BORROW","1993-06-18","2026-05-02","Per=Y","Days=T","Dir=V")</f>
        <v>0</v>
      </c>
      <c r="I2">
        <f>BDH("QNST US Equity","BS_LT_BORROW","1993-06-18","2026-05-02","Per=Y","Days=T","Dir=V")</f>
        <v>0</v>
      </c>
      <c r="K2">
        <f>BDH("QNST US Equity","BS_CASH_NEAR_CASH_ITEM","1993-06-18","2026-05-02","Per=Y","Days=T","Dir=V")</f>
        <v>0</v>
      </c>
      <c r="M2">
        <f>BDH("QNST US Equity","BS_CUR_ASSET_REPORT","1993-06-18","2026-05-02","Per=Y","Days=T","Dir=V")</f>
        <v>0</v>
      </c>
      <c r="O2">
        <f>BDH("QNST US Equity","BS_CUR_LIAB","1993-06-18","2026-05-02","Per=Y","Days=T","Dir=V")</f>
        <v>0</v>
      </c>
      <c r="Q2">
        <f>BDH("QNST US Equity","BS_SHAREHOLDER_EQY_ENDING_PERIOD","1993-06-18","2026-05-02","Per=Y","Days=T","Dir=V")</f>
        <v>0</v>
      </c>
      <c r="S2">
        <f>BDH("QNST US Equity","BS_ACCT_NOTE_RCV","1993-06-18","2026-05-02","Per=Y","Days=T","Dir=V")</f>
        <v>0</v>
      </c>
      <c r="U2">
        <f>BDH("QNST US Equity","BS_INVENTORIES","1993-06-18","2026-05-02","Per=Y","Days=T","Dir=V")</f>
        <v>0</v>
      </c>
      <c r="W2">
        <f>BDH("QNST US Equity","WORKING_CAPITAL","1993-06-18","2026-05-02","Per=Y","Days=T","Dir=V")</f>
        <v>0</v>
      </c>
      <c r="Y2">
        <f>BDH("QNST US Equity","SALES_REV_TURN","1993-06-18","2026-05-02","Per=Y","Days=T","Dir=V")</f>
        <v>0</v>
      </c>
      <c r="AA2">
        <f>BDH("QNST US Equity","EBIT","1993-06-18","2026-05-02","Per=Y","Days=T","Dir=V")</f>
        <v>0</v>
      </c>
      <c r="AC2">
        <f>BDH("QNST US Equity","EBITDA","1993-06-18","2026-05-02","Per=Y","Days=T","Dir=V")</f>
        <v>0</v>
      </c>
      <c r="AE2">
        <f>BDH("QNST US Equity","NET_INCOME","1993-06-18","2026-05-02","Per=Y","Days=T","Dir=V")</f>
        <v>0</v>
      </c>
      <c r="AG2">
        <f>BDH("QNST US Equity","IS_INT_EXPENSE","1993-06-18","2026-05-02","Per=Y","Days=T","Dir=V")</f>
        <v>0</v>
      </c>
      <c r="AI2">
        <f>BDH("QNST US Equity","IS_DEPR_EXP","1993-06-18","2026-05-02","Per=Y","Days=T","Dir=V")</f>
        <v>0</v>
      </c>
      <c r="AK2">
        <f>BDH("QNST US Equity","CF_CASH_FROM_OPER","1993-06-18","2026-05-02","Per=Y","Days=T","Dir=V")</f>
        <v>0</v>
      </c>
      <c r="AM2">
        <f>BDH("QNST US Equity","CAPITAL_EXPEND","1993-06-18","2026-05-02","Per=Y","Days=T","Dir=V")</f>
        <v>0</v>
      </c>
      <c r="AO2">
        <f>BDH("QNST US Equity","CF_FREE_CASH_FLOW","1993-06-18","2026-05-02","Per=Y","Days=T","Dir=V")</f>
        <v>0</v>
      </c>
      <c r="AQ2">
        <f>BDH("QNST US Equity","PX_LAST","1993-06-18","2026-05-02","Per=M","Days=T","Dir=V")</f>
        <v>0</v>
      </c>
      <c r="AS2">
        <f>BDH("QNST US Equity","CUR_MKT_CAP","1993-06-18","2026-05-02","Per=M","Days=T","Dir=V")</f>
        <v>0</v>
      </c>
      <c r="AU2">
        <f>BDH("QNST US Equity","EQY_SH_OUT","1993-06-18","2026-05-02","Per=M","Days=T","Dir=V")</f>
        <v>0</v>
      </c>
      <c r="AW2">
        <f>BDH("QNST US Equity","PX_VOLUME","1993-06-18","2026-05-02","Per=M","Days=T","Dir=V")</f>
        <v>0</v>
      </c>
      <c r="AY2">
        <f>BDH("QNST US Equity","TURNOVER","1993-06-18","2026-05-02","Per=M","Days=T","Dir=V")</f>
        <v>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BDH("QNT US Equity","BS_TOT_ASSET","1993-06-18","2026-05-02","Per=Y","Days=T","Dir=V")</f>
        <v>0</v>
      </c>
      <c r="C2">
        <f>BDH("QNT US Equity","BS_TOT_LIAB2","1993-06-18","2026-05-02","Per=Y","Days=T","Dir=V")</f>
        <v>0</v>
      </c>
      <c r="E2">
        <f>BDH("QNT US Equity","SHORT_AND_LONG_TERM_DEBT","1993-06-18","2026-05-02","Per=Y","Days=T","Dir=V")</f>
        <v>0</v>
      </c>
      <c r="G2">
        <f>BDH("QNT US Equity","BS_ST_BORROW","1993-06-18","2026-05-02","Per=Y","Days=T","Dir=V")</f>
        <v>0</v>
      </c>
      <c r="I2">
        <f>BDH("QNT US Equity","BS_LT_BORROW","1993-06-18","2026-05-02","Per=Y","Days=T","Dir=V")</f>
        <v>0</v>
      </c>
      <c r="K2">
        <f>BDH("QNT US Equity","BS_CASH_NEAR_CASH_ITEM","1993-06-18","2026-05-02","Per=Y","Days=T","Dir=V")</f>
        <v>0</v>
      </c>
      <c r="M2">
        <f>BDH("QNT US Equity","BS_CUR_ASSET_REPORT","1993-06-18","2026-05-02","Per=Y","Days=T","Dir=V")</f>
        <v>0</v>
      </c>
      <c r="O2">
        <f>BDH("QNT US Equity","BS_CUR_LIAB","1993-06-18","2026-05-02","Per=Y","Days=T","Dir=V")</f>
        <v>0</v>
      </c>
      <c r="Q2">
        <f>BDH("QNT US Equity","BS_SHAREHOLDER_EQY_ENDING_PERIOD","1993-06-18","2026-05-02","Per=Y","Days=T","Dir=V")</f>
        <v>0</v>
      </c>
      <c r="S2">
        <f>BDH("QNT US Equity","BS_ACCT_NOTE_RCV","1993-06-18","2026-05-02","Per=Y","Days=T","Dir=V")</f>
        <v>0</v>
      </c>
      <c r="U2">
        <f>BDH("QNT US Equity","BS_INVENTORIES","1993-06-18","2026-05-02","Per=Y","Days=T","Dir=V")</f>
        <v>0</v>
      </c>
      <c r="W2">
        <f>BDH("QNT US Equity","WORKING_CAPITAL","1993-06-18","2026-05-02","Per=Y","Days=T","Dir=V")</f>
        <v>0</v>
      </c>
      <c r="Y2">
        <f>BDH("QNT US Equity","SALES_REV_TURN","1993-06-18","2026-05-02","Per=Y","Days=T","Dir=V")</f>
        <v>0</v>
      </c>
      <c r="AA2">
        <f>BDH("QNT US Equity","EBIT","1993-06-18","2026-05-02","Per=Y","Days=T","Dir=V")</f>
        <v>0</v>
      </c>
      <c r="AC2">
        <f>BDH("QNT US Equity","EBITDA","1993-06-18","2026-05-02","Per=Y","Days=T","Dir=V")</f>
        <v>0</v>
      </c>
      <c r="AE2">
        <f>BDH("QNT US Equity","NET_INCOME","1993-06-18","2026-05-02","Per=Y","Days=T","Dir=V")</f>
        <v>0</v>
      </c>
      <c r="AG2">
        <f>BDH("QNT US Equity","IS_INT_EXPENSE","1993-06-18","2026-05-02","Per=Y","Days=T","Dir=V")</f>
        <v>0</v>
      </c>
      <c r="AI2">
        <f>BDH("QNT US Equity","IS_DEPR_EXP","1993-06-18","2026-05-02","Per=Y","Days=T","Dir=V")</f>
        <v>0</v>
      </c>
      <c r="AK2">
        <f>BDH("QNT US Equity","CF_CASH_FROM_OPER","1993-06-18","2026-05-02","Per=Y","Days=T","Dir=V")</f>
        <v>0</v>
      </c>
      <c r="AM2">
        <f>BDH("QNT US Equity","CAPITAL_EXPEND","1993-06-18","2026-05-02","Per=Y","Days=T","Dir=V")</f>
        <v>0</v>
      </c>
      <c r="AO2">
        <f>BDH("QNT US Equity","CF_FREE_CASH_FLOW","1993-06-18","2026-05-02","Per=Y","Days=T","Dir=V")</f>
        <v>0</v>
      </c>
      <c r="AQ2">
        <f>BDH("QNT US Equity","PX_LAST","1993-06-18","2026-05-02","Per=M","Days=T","Dir=V")</f>
        <v>0</v>
      </c>
      <c r="AS2">
        <f>BDH("QNT US Equity","CUR_MKT_CAP","1993-06-18","2026-05-02","Per=M","Days=T","Dir=V")</f>
        <v>0</v>
      </c>
      <c r="AU2">
        <f>BDH("QNT US Equity","EQY_SH_OUT","1993-06-18","2026-05-02","Per=M","Days=T","Dir=V")</f>
        <v>0</v>
      </c>
      <c r="AW2">
        <f>BDH("QNT US Equity","PX_VOLUME","1993-06-18","2026-05-02","Per=M","Days=T","Dir=V")</f>
        <v>0</v>
      </c>
      <c r="AY2">
        <f>BDH("QNT US Equity","TURNOVER","1993-06-18","2026-05-02","Per=M","Days=T","Dir=V")</f>
        <v>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BDH("QRHC US Equity","BS_TOT_ASSET","1993-06-18","2026-05-02","Per=Y","Days=T","Dir=V")</f>
        <v>0</v>
      </c>
      <c r="C2">
        <f>BDH("QRHC US Equity","BS_TOT_LIAB2","1993-06-18","2026-05-02","Per=Y","Days=T","Dir=V")</f>
        <v>0</v>
      </c>
      <c r="E2">
        <f>BDH("QRHC US Equity","SHORT_AND_LONG_TERM_DEBT","1993-06-18","2026-05-02","Per=Y","Days=T","Dir=V")</f>
        <v>0</v>
      </c>
      <c r="G2">
        <f>BDH("QRHC US Equity","BS_ST_BORROW","1993-06-18","2026-05-02","Per=Y","Days=T","Dir=V")</f>
        <v>0</v>
      </c>
      <c r="I2">
        <f>BDH("QRHC US Equity","BS_LT_BORROW","1993-06-18","2026-05-02","Per=Y","Days=T","Dir=V")</f>
        <v>0</v>
      </c>
      <c r="K2">
        <f>BDH("QRHC US Equity","BS_CASH_NEAR_CASH_ITEM","1993-06-18","2026-05-02","Per=Y","Days=T","Dir=V")</f>
        <v>0</v>
      </c>
      <c r="M2">
        <f>BDH("QRHC US Equity","BS_CUR_ASSET_REPORT","1993-06-18","2026-05-02","Per=Y","Days=T","Dir=V")</f>
        <v>0</v>
      </c>
      <c r="O2">
        <f>BDH("QRHC US Equity","BS_CUR_LIAB","1993-06-18","2026-05-02","Per=Y","Days=T","Dir=V")</f>
        <v>0</v>
      </c>
      <c r="Q2">
        <f>BDH("QRHC US Equity","BS_SHAREHOLDER_EQY_ENDING_PERIOD","1993-06-18","2026-05-02","Per=Y","Days=T","Dir=V")</f>
        <v>0</v>
      </c>
      <c r="S2">
        <f>BDH("QRHC US Equity","BS_ACCT_NOTE_RCV","1993-06-18","2026-05-02","Per=Y","Days=T","Dir=V")</f>
        <v>0</v>
      </c>
      <c r="U2">
        <f>BDH("QRHC US Equity","BS_INVENTORIES","1993-06-18","2026-05-02","Per=Y","Days=T","Dir=V")</f>
        <v>0</v>
      </c>
      <c r="W2">
        <f>BDH("QRHC US Equity","WORKING_CAPITAL","1993-06-18","2026-05-02","Per=Y","Days=T","Dir=V")</f>
        <v>0</v>
      </c>
      <c r="Y2">
        <f>BDH("QRHC US Equity","SALES_REV_TURN","1993-06-18","2026-05-02","Per=Y","Days=T","Dir=V")</f>
        <v>0</v>
      </c>
      <c r="AA2">
        <f>BDH("QRHC US Equity","EBIT","1993-06-18","2026-05-02","Per=Y","Days=T","Dir=V")</f>
        <v>0</v>
      </c>
      <c r="AC2">
        <f>BDH("QRHC US Equity","EBITDA","1993-06-18","2026-05-02","Per=Y","Days=T","Dir=V")</f>
        <v>0</v>
      </c>
      <c r="AE2">
        <f>BDH("QRHC US Equity","NET_INCOME","1993-06-18","2026-05-02","Per=Y","Days=T","Dir=V")</f>
        <v>0</v>
      </c>
      <c r="AG2">
        <f>BDH("QRHC US Equity","IS_INT_EXPENSE","1993-06-18","2026-05-02","Per=Y","Days=T","Dir=V")</f>
        <v>0</v>
      </c>
      <c r="AI2">
        <f>BDH("QRHC US Equity","IS_DEPR_EXP","1993-06-18","2026-05-02","Per=Y","Days=T","Dir=V")</f>
        <v>0</v>
      </c>
      <c r="AK2">
        <f>BDH("QRHC US Equity","CF_CASH_FROM_OPER","1993-06-18","2026-05-02","Per=Y","Days=T","Dir=V")</f>
        <v>0</v>
      </c>
      <c r="AM2">
        <f>BDH("QRHC US Equity","CAPITAL_EXPEND","1993-06-18","2026-05-02","Per=Y","Days=T","Dir=V")</f>
        <v>0</v>
      </c>
      <c r="AO2">
        <f>BDH("QRHC US Equity","CF_FREE_CASH_FLOW","1993-06-18","2026-05-02","Per=Y","Days=T","Dir=V")</f>
        <v>0</v>
      </c>
      <c r="AQ2">
        <f>BDH("QRHC US Equity","PX_LAST","1993-06-18","2026-05-02","Per=M","Days=T","Dir=V")</f>
        <v>0</v>
      </c>
      <c r="AS2">
        <f>BDH("QRHC US Equity","CUR_MKT_CAP","1993-06-18","2026-05-02","Per=M","Days=T","Dir=V")</f>
        <v>0</v>
      </c>
      <c r="AU2">
        <f>BDH("QRHC US Equity","EQY_SH_OUT","1993-06-18","2026-05-02","Per=M","Days=T","Dir=V")</f>
        <v>0</v>
      </c>
      <c r="AW2">
        <f>BDH("QRHC US Equity","PX_VOLUME","1993-06-18","2026-05-02","Per=M","Days=T","Dir=V")</f>
        <v>0</v>
      </c>
      <c r="AY2">
        <f>BDH("QRHC US Equity","TURNOVER","1993-06-18","2026-05-02","Per=M","Days=T","Dir=V")</f>
        <v>0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cols>
    <col min="1" max="52" width="16.7109375" customWidth="1"/>
  </cols>
  <sheetData>
    <row r="1" spans="1:52">
      <c r="A1" t="s">
        <v>1106</v>
      </c>
      <c r="B1" t="s">
        <v>1107</v>
      </c>
      <c r="C1" t="s">
        <v>1108</v>
      </c>
      <c r="D1" t="s">
        <v>1109</v>
      </c>
      <c r="E1" t="s">
        <v>1110</v>
      </c>
      <c r="F1" t="s">
        <v>1111</v>
      </c>
      <c r="G1" t="s">
        <v>1112</v>
      </c>
      <c r="H1" t="s">
        <v>1113</v>
      </c>
      <c r="I1" t="s">
        <v>1114</v>
      </c>
      <c r="J1" t="s">
        <v>1115</v>
      </c>
      <c r="K1" t="s">
        <v>1116</v>
      </c>
      <c r="L1" t="s">
        <v>1117</v>
      </c>
      <c r="M1" t="s">
        <v>1118</v>
      </c>
      <c r="N1" t="s">
        <v>1119</v>
      </c>
      <c r="O1" t="s">
        <v>1120</v>
      </c>
      <c r="P1" t="s">
        <v>1121</v>
      </c>
      <c r="Q1" t="s">
        <v>1122</v>
      </c>
      <c r="R1" t="s">
        <v>1123</v>
      </c>
      <c r="S1" t="s">
        <v>1124</v>
      </c>
      <c r="T1" t="s">
        <v>1125</v>
      </c>
      <c r="U1" t="s">
        <v>1126</v>
      </c>
      <c r="V1" t="s">
        <v>1127</v>
      </c>
      <c r="W1" t="s">
        <v>1128</v>
      </c>
      <c r="X1" t="s">
        <v>1129</v>
      </c>
      <c r="Y1" t="s">
        <v>1130</v>
      </c>
      <c r="Z1" t="s">
        <v>1131</v>
      </c>
      <c r="AA1" t="s">
        <v>1132</v>
      </c>
      <c r="AB1" t="s">
        <v>1133</v>
      </c>
      <c r="AC1" t="s">
        <v>1134</v>
      </c>
      <c r="AD1" t="s">
        <v>1135</v>
      </c>
      <c r="AE1" t="s">
        <v>1136</v>
      </c>
      <c r="AF1" t="s">
        <v>1137</v>
      </c>
      <c r="AG1" t="s">
        <v>1138</v>
      </c>
      <c r="AH1" t="s">
        <v>1139</v>
      </c>
      <c r="AI1" t="s">
        <v>1140</v>
      </c>
      <c r="AJ1" t="s">
        <v>1141</v>
      </c>
      <c r="AK1" t="s">
        <v>1142</v>
      </c>
      <c r="AL1" t="s">
        <v>1143</v>
      </c>
      <c r="AM1" t="s">
        <v>1144</v>
      </c>
      <c r="AN1" t="s">
        <v>1145</v>
      </c>
      <c r="AO1" t="s">
        <v>1146</v>
      </c>
      <c r="AP1" t="s">
        <v>1147</v>
      </c>
      <c r="AQ1" t="s">
        <v>1148</v>
      </c>
      <c r="AR1" t="s">
        <v>1149</v>
      </c>
      <c r="AS1" t="s">
        <v>1150</v>
      </c>
      <c r="AT1" t="s">
        <v>1151</v>
      </c>
      <c r="AU1" t="s">
        <v>1152</v>
      </c>
      <c r="AV1" t="s">
        <v>1153</v>
      </c>
      <c r="AW1" t="s">
        <v>1154</v>
      </c>
      <c r="AX1" t="s">
        <v>1155</v>
      </c>
      <c r="AY1" t="s">
        <v>1156</v>
      </c>
      <c r="AZ1" t="s">
        <v>1157</v>
      </c>
    </row>
    <row r="2" spans="1:52">
      <c r="A2">
        <f>BDH("QRVO US Equity","BS_TOT_ASSET","1993-06-18","2026-05-02","Per=Y","Days=T","Dir=V")</f>
        <v>0</v>
      </c>
      <c r="C2">
        <f>BDH("QRVO US Equity","BS_TOT_LIAB2","1993-06-18","2026-05-02","Per=Y","Days=T","Dir=V")</f>
        <v>0</v>
      </c>
      <c r="E2">
        <f>BDH("QRVO US Equity","SHORT_AND_LONG_TERM_DEBT","1993-06-18","2026-05-02","Per=Y","Days=T","Dir=V")</f>
        <v>0</v>
      </c>
      <c r="G2">
        <f>BDH("QRVO US Equity","BS_ST_BORROW","1993-06-18","2026-05-02","Per=Y","Days=T","Dir=V")</f>
        <v>0</v>
      </c>
      <c r="I2">
        <f>BDH("QRVO US Equity","BS_LT_BORROW","1993-06-18","2026-05-02","Per=Y","Days=T","Dir=V")</f>
        <v>0</v>
      </c>
      <c r="K2">
        <f>BDH("QRVO US Equity","BS_CASH_NEAR_CASH_ITEM","1993-06-18","2026-05-02","Per=Y","Days=T","Dir=V")</f>
        <v>0</v>
      </c>
      <c r="M2">
        <f>BDH("QRVO US Equity","BS_CUR_ASSET_REPORT","1993-06-18","2026-05-02","Per=Y","Days=T","Dir=V")</f>
        <v>0</v>
      </c>
      <c r="O2">
        <f>BDH("QRVO US Equity","BS_CUR_LIAB","1993-06-18","2026-05-02","Per=Y","Days=T","Dir=V")</f>
        <v>0</v>
      </c>
      <c r="Q2">
        <f>BDH("QRVO US Equity","BS_SHAREHOLDER_EQY_ENDING_PERIOD","1993-06-18","2026-05-02","Per=Y","Days=T","Dir=V")</f>
        <v>0</v>
      </c>
      <c r="S2">
        <f>BDH("QRVO US Equity","BS_ACCT_NOTE_RCV","1993-06-18","2026-05-02","Per=Y","Days=T","Dir=V")</f>
        <v>0</v>
      </c>
      <c r="U2">
        <f>BDH("QRVO US Equity","BS_INVENTORIES","1993-06-18","2026-05-02","Per=Y","Days=T","Dir=V")</f>
        <v>0</v>
      </c>
      <c r="W2">
        <f>BDH("QRVO US Equity","WORKING_CAPITAL","1993-06-18","2026-05-02","Per=Y","Days=T","Dir=V")</f>
        <v>0</v>
      </c>
      <c r="Y2">
        <f>BDH("QRVO US Equity","SALES_REV_TURN","1993-06-18","2026-05-02","Per=Y","Days=T","Dir=V")</f>
        <v>0</v>
      </c>
      <c r="AA2">
        <f>BDH("QRVO US Equity","EBIT","1993-06-18","2026-05-02","Per=Y","Days=T","Dir=V")</f>
        <v>0</v>
      </c>
      <c r="AC2">
        <f>BDH("QRVO US Equity","EBITDA","1993-06-18","2026-05-02","Per=Y","Days=T","Dir=V")</f>
        <v>0</v>
      </c>
      <c r="AE2">
        <f>BDH("QRVO US Equity","NET_INCOME","1993-06-18","2026-05-02","Per=Y","Days=T","Dir=V")</f>
        <v>0</v>
      </c>
      <c r="AG2">
        <f>BDH("QRVO US Equity","IS_INT_EXPENSE","1993-06-18","2026-05-02","Per=Y","Days=T","Dir=V")</f>
        <v>0</v>
      </c>
      <c r="AI2">
        <f>BDH("QRVO US Equity","IS_DEPR_EXP","1993-06-18","2026-05-02","Per=Y","Days=T","Dir=V")</f>
        <v>0</v>
      </c>
      <c r="AK2">
        <f>BDH("QRVO US Equity","CF_CASH_FROM_OPER","1993-06-18","2026-05-02","Per=Y","Days=T","Dir=V")</f>
        <v>0</v>
      </c>
      <c r="AM2">
        <f>BDH("QRVO US Equity","CAPITAL_EXPEND","1993-06-18","2026-05-02","Per=Y","Days=T","Dir=V")</f>
        <v>0</v>
      </c>
      <c r="AO2">
        <f>BDH("QRVO US Equity","CF_FREE_CASH_FLOW","1993-06-18","2026-05-02","Per=Y","Days=T","Dir=V")</f>
        <v>0</v>
      </c>
      <c r="AQ2">
        <f>BDH("QRVO US Equity","PX_LAST","1993-06-18","2026-05-02","Per=M","Days=T","Dir=V")</f>
        <v>0</v>
      </c>
      <c r="AS2">
        <f>BDH("QRVO US Equity","CUR_MKT_CAP","1993-06-18","2026-05-02","Per=M","Days=T","Dir=V")</f>
        <v>0</v>
      </c>
      <c r="AU2">
        <f>BDH("QRVO US Equity","EQY_SH_OUT","1993-06-18","2026-05-02","Per=M","Days=T","Dir=V")</f>
        <v>0</v>
      </c>
      <c r="AW2">
        <f>BDH("QRVO US Equity","PX_VOLUME","1993-06-18","2026-05-02","Per=M","Days=T","Dir=V")</f>
        <v>0</v>
      </c>
      <c r="AY2">
        <f>BDH("QRVO US Equity","TURNOVER","1993-06-18","2026-05-02","Per=M","Days=T","Dir=V")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251</vt:i4>
      </vt:variant>
    </vt:vector>
  </HeadingPairs>
  <TitlesOfParts>
    <vt:vector size="251" baseType="lpstr">
      <vt:lpstr>Security_List</vt:lpstr>
      <vt:lpstr>NB_1981_Odyssey Therapeutics In</vt:lpstr>
      <vt:lpstr>NB_1982_Orion Energy Systems In</vt:lpstr>
      <vt:lpstr>NB_1983_Omega Flex Inc. Common </vt:lpstr>
      <vt:lpstr>NB_1984_OGE Energy Corp Common </vt:lpstr>
      <vt:lpstr>NB_1985_Oragenics Inc. Common S</vt:lpstr>
      <vt:lpstr>NB_1986_Organon &amp; Co. Common St</vt:lpstr>
      <vt:lpstr>NB_1987_ONE Gas Inc. Common Sto</vt:lpstr>
      <vt:lpstr>NB_1988_O-I Glass Inc. Common S</vt:lpstr>
      <vt:lpstr>NB_1989_Oceaneering Internation</vt:lpstr>
      <vt:lpstr>NB_1990_Oil States Internationa</vt:lpstr>
      <vt:lpstr>NB_1991_ONEOK Inc. Common Stock</vt:lpstr>
      <vt:lpstr>NB_1992_Oklo Inc. Class A commo</vt:lpstr>
      <vt:lpstr>NB_1993_Okta Inc. Class A Commo</vt:lpstr>
      <vt:lpstr>NB_1994_OnKure Therapeutics Inc</vt:lpstr>
      <vt:lpstr>NB_1995_The OLB Group Inc. Comm</vt:lpstr>
      <vt:lpstr>NB_1996_Universal Display Corpo</vt:lpstr>
      <vt:lpstr>NB_1997_Ollie's Bargain Outlet </vt:lpstr>
      <vt:lpstr>NB_1998_Olema Pharmaceuticals I</vt:lpstr>
      <vt:lpstr>NB_1999_Olin Corporation Common</vt:lpstr>
      <vt:lpstr>NB_2000_Olenox Industries Inc. </vt:lpstr>
      <vt:lpstr>NB_2001_Outset Medical Inc. Com</vt:lpstr>
      <vt:lpstr>NB_2002_Omnicom Group Inc. Comm</vt:lpstr>
      <vt:lpstr>NB_2003_Omnicell Inc. Common St</vt:lpstr>
      <vt:lpstr>NB_2004_Omada Health Inc. Commo</vt:lpstr>
      <vt:lpstr>NB_2005_Omeros Corporation Comm</vt:lpstr>
      <vt:lpstr>NB_2006_Odyssey Marine Explorat</vt:lpstr>
      <vt:lpstr>NB_2007_ON Semiconductor Corpor</vt:lpstr>
      <vt:lpstr>NB_2008_Onconetix Inc. Common S</vt:lpstr>
      <vt:lpstr>NB_2009_Ondas Inc. Common Stock</vt:lpstr>
      <vt:lpstr>NB_2010_OneWater Marine Inc. Cl</vt:lpstr>
      <vt:lpstr>NB_2011_Onfolio Holdings Inc. C</vt:lpstr>
      <vt:lpstr>NB_2012_Onfolio Holdings Inc. W</vt:lpstr>
      <vt:lpstr>NB_2013_Onterris Inc. Common St</vt:lpstr>
      <vt:lpstr>NB_2014_Onto Innovation Inc. Co</vt:lpstr>
      <vt:lpstr>NB_2015_Ooma Inc. Common Stock</vt:lpstr>
      <vt:lpstr>NB_2016_OPAL Fuels Inc. Class A</vt:lpstr>
      <vt:lpstr>NB_2017_Option Care Health Inc.</vt:lpstr>
      <vt:lpstr>NB_2018_OPKO Health Inc. Common</vt:lpstr>
      <vt:lpstr>NB_2019_OPENLANE Inc. Common St</vt:lpstr>
      <vt:lpstr>NB_2020_OptimizeRx Corporation </vt:lpstr>
      <vt:lpstr>NB_2021_Ocean Power Technologie</vt:lpstr>
      <vt:lpstr>NB_2022_Optimum Communications </vt:lpstr>
      <vt:lpstr>NB_2023_Syntec Optics Holdings </vt:lpstr>
      <vt:lpstr>NB_2024_Syntec Optics Holdings </vt:lpstr>
      <vt:lpstr>NB_2025_Optex Systems Holdings </vt:lpstr>
      <vt:lpstr>NB_2026_Ormat Technologies Inc.</vt:lpstr>
      <vt:lpstr>NB_2027_Oracle Corporation Comm</vt:lpstr>
      <vt:lpstr>NB_2028_Organogenesis Holdings </vt:lpstr>
      <vt:lpstr>NB_2029_Oric Pharmaceuticals In</vt:lpstr>
      <vt:lpstr>NB_2030_Oruka Therapeutics Inc.</vt:lpstr>
      <vt:lpstr>NB_2031_O'Reilly Automotive Inc</vt:lpstr>
      <vt:lpstr>NB_2032_Orion Group Holdings In</vt:lpstr>
      <vt:lpstr>NB_2033_Oscar Health Inc. Class</vt:lpstr>
      <vt:lpstr>NB_2034_OSI Systems Inc. Common</vt:lpstr>
      <vt:lpstr>NB_2035_Oshkosh Corporation (Ho</vt:lpstr>
      <vt:lpstr>NB_2036_OneSpan Inc. Common Sto</vt:lpstr>
      <vt:lpstr>NB_2037_One Stop Systems Inc. C</vt:lpstr>
      <vt:lpstr>NB_2038_OraSure Technologies In</vt:lpstr>
      <vt:lpstr>NB_2039_Otis Worldwide Corporat</vt:lpstr>
      <vt:lpstr>NB_2040_Outlook Therapeutics In</vt:lpstr>
      <vt:lpstr>NB_2041_Otter Tail Corporation </vt:lpstr>
      <vt:lpstr>NB_2042_Ouster Inc. Common Stoc</vt:lpstr>
      <vt:lpstr>NB_2043_Ovid Therapeutics Inc. </vt:lpstr>
      <vt:lpstr>NB_2044_Owlet Inc. Class A Comm</vt:lpstr>
      <vt:lpstr>NB_2045_Oxford Industries Inc. </vt:lpstr>
      <vt:lpstr>NB_2046_Oxford Square Capital C</vt:lpstr>
      <vt:lpstr>NB_2047_Occidental Petroleum Co</vt:lpstr>
      <vt:lpstr>NB_2048_Everpure Inc. Class A c</vt:lpstr>
      <vt:lpstr>NB_2049_Plains All American Pip</vt:lpstr>
      <vt:lpstr>NB_2050_Paradium.AI Inc. Common</vt:lpstr>
      <vt:lpstr>NB_2051_Pacific Biosciences of </vt:lpstr>
      <vt:lpstr>NB_2052_Ranpak Holdings Corp Cl</vt:lpstr>
      <vt:lpstr>NB_2053_PACS Group Inc. Common </vt:lpstr>
      <vt:lpstr>NB_2054_Penske Automotive Group</vt:lpstr>
      <vt:lpstr>NB_2055_Plains GP Holdings L.P.</vt:lpstr>
      <vt:lpstr>NB_2056_Phibro Animal Health Co</vt:lpstr>
      <vt:lpstr>NB_2057_Proficient Auto Logisti</vt:lpstr>
      <vt:lpstr>NB_2058_Palisade Bio Inc. Commo</vt:lpstr>
      <vt:lpstr>NB_2059_PAMT CORP Common Stock</vt:lpstr>
      <vt:lpstr>NB_2060_Pangaea Logistics Solut</vt:lpstr>
      <vt:lpstr>NB_2061_Palo Alto Networks Inc.</vt:lpstr>
      <vt:lpstr>NB_2062_Banzai International In</vt:lpstr>
      <vt:lpstr>NB_2063_Banzai International In</vt:lpstr>
      <vt:lpstr>NB_2064_Park Dental Partners In</vt:lpstr>
      <vt:lpstr>NB_2065_Par Pacific Holdings In</vt:lpstr>
      <vt:lpstr>NB_2066_Passage Bio Inc. Common</vt:lpstr>
      <vt:lpstr>NB_2067_UiPath Inc. Class A Com</vt:lpstr>
      <vt:lpstr>NB_2068_Patrick Industries Inc.</vt:lpstr>
      <vt:lpstr>NB_2069_PAVmed Inc. Common Stoc</vt:lpstr>
      <vt:lpstr>NB_2070_Paymentus Holdings Inc.</vt:lpstr>
      <vt:lpstr>NB_2071_Paycom Software Inc. Co</vt:lpstr>
      <vt:lpstr>NB_2072_Payoneer Global Inc. Co</vt:lpstr>
      <vt:lpstr>NB_2073_Paysign Inc. Common Sto</vt:lpstr>
      <vt:lpstr>NB_2074_Paychex Inc. Common Sto</vt:lpstr>
      <vt:lpstr>NB_2075_PBF Energy Inc. Class A</vt:lpstr>
      <vt:lpstr>NB_2076_Prestige Consumer Healt</vt:lpstr>
      <vt:lpstr>NB_2077_Parabilis Medicines Inc</vt:lpstr>
      <vt:lpstr>NB_2078_Permian Basin Royalty T</vt:lpstr>
      <vt:lpstr>NB_2079_Puma Biotechnology Inc </vt:lpstr>
      <vt:lpstr>NB_2080_PACCAR Inc. Common Stoc</vt:lpstr>
      <vt:lpstr>NB_2081_Pacific Gas &amp; Electric </vt:lpstr>
      <vt:lpstr>NB_2082_Procore Technologies In</vt:lpstr>
      <vt:lpstr>NB_2083_Pacira BioSciences Inc.</vt:lpstr>
      <vt:lpstr>NB_2084_Processa Pharmaceutical</vt:lpstr>
      <vt:lpstr>NB_2085_PureCycle Technologies </vt:lpstr>
      <vt:lpstr>NB_2086_PureCycle Technologies </vt:lpstr>
      <vt:lpstr>NB_2087_PureCycle Technologies </vt:lpstr>
      <vt:lpstr>NB_2088_Paylocity Holding Corpo</vt:lpstr>
      <vt:lpstr>NB_2089_Vaxcyte Inc. Common Sto</vt:lpstr>
      <vt:lpstr>NB_2090_Pure Cycle Corporation </vt:lpstr>
      <vt:lpstr>NB_2091_PagerDuty Inc. Common S</vt:lpstr>
      <vt:lpstr>NB_2092_Pro-Dex Inc. Common Sto</vt:lpstr>
      <vt:lpstr>NB_2093_PDF Solutions Inc. Comm</vt:lpstr>
      <vt:lpstr>NB_2094_PDS Biotechnology Corpo</vt:lpstr>
      <vt:lpstr>NB_2095_Palladyne AI Corp. Comm</vt:lpstr>
      <vt:lpstr>NB_2096_Palladyne AI Corp Warra</vt:lpstr>
      <vt:lpstr>NB_2097_Pedevco Corp. Common St</vt:lpstr>
      <vt:lpstr>NB_2098_Public Service Enterpri</vt:lpstr>
      <vt:lpstr>NB_2099_Pegasystems Inc. Common</vt:lpstr>
      <vt:lpstr>NB_2100_Penumbra Inc. Common St</vt:lpstr>
      <vt:lpstr>NB_2101_Penguin Solutions Inc. </vt:lpstr>
      <vt:lpstr>NB_2102_PENN Entertainment Inc.</vt:lpstr>
      <vt:lpstr>NB_2103_PepsiCo Inc. Common Sto</vt:lpstr>
      <vt:lpstr>NB_2104_PepGen Inc. Common Stoc</vt:lpstr>
      <vt:lpstr>NB_2105_Perma-Fix Environmental</vt:lpstr>
      <vt:lpstr>NB_2106_PetMed Express Inc. Com</vt:lpstr>
      <vt:lpstr>NB_2107_Pfizer Inc. Common Stoc</vt:lpstr>
      <vt:lpstr>NB_2108_Performance Food Group </vt:lpstr>
      <vt:lpstr>NB_2109_Profusa Inc. Common Sto</vt:lpstr>
      <vt:lpstr>NB_2110_Procter &amp; Gamble Compan</vt:lpstr>
      <vt:lpstr>NB_2111_Precigen Inc. Common St</vt:lpstr>
      <vt:lpstr>NB_2112_Progyny Inc. Common Sto</vt:lpstr>
      <vt:lpstr>NB_2113_Parker-Hannifin Corpora</vt:lpstr>
      <vt:lpstr>NB_2114_Phathom Pharmaceuticals</vt:lpstr>
      <vt:lpstr>NB_2115_PHINIA Inc. Common Stoc</vt:lpstr>
      <vt:lpstr>NB_2116_Phio Pharmaceuticals Co</vt:lpstr>
      <vt:lpstr>NB_2117_PulteGroup Inc. Common </vt:lpstr>
      <vt:lpstr>NB_2118_Phreesia Inc. Common St</vt:lpstr>
      <vt:lpstr>NB_2119_Impinj Inc. Common Stoc</vt:lpstr>
      <vt:lpstr>NB_2120_Polaris Inc. Common Sto</vt:lpstr>
      <vt:lpstr>NB_2121_P3 Health Partners Inc.</vt:lpstr>
      <vt:lpstr>NB_2122_P3 Health Partners Inc.</vt:lpstr>
      <vt:lpstr>NB_2123_Pinterest Inc. Class A </vt:lpstr>
      <vt:lpstr>NB_2124_Park Hotels &amp; Resorts I</vt:lpstr>
      <vt:lpstr>NB_2125_Park Aerospace Corp. Co</vt:lpstr>
      <vt:lpstr>NB_2126_Packaging Corporation o</vt:lpstr>
      <vt:lpstr>NB_2127_Park-Ohio Holdings Corp</vt:lpstr>
      <vt:lpstr>NB_2128_Planet Labs PBC Class A</vt:lpstr>
      <vt:lpstr>NB_2129_Photronics Inc. Common </vt:lpstr>
      <vt:lpstr>NB_2130_Dave &amp; Buster's Enterta</vt:lpstr>
      <vt:lpstr>NB_2131_Playboy Inc. Common Sto</vt:lpstr>
      <vt:lpstr>NB_2132_Children's Place Inc. (</vt:lpstr>
      <vt:lpstr>NB_2133_Planet Fitness Inc. Com</vt:lpstr>
      <vt:lpstr>NB_2134_Douglas Dynamics Inc. C</vt:lpstr>
      <vt:lpstr>NB_2135_Preformed Line Products</vt:lpstr>
      <vt:lpstr>NB_2136_Pliant Therapeutics Inc</vt:lpstr>
      <vt:lpstr>NB_2137_Pulse Biosciences Inc C</vt:lpstr>
      <vt:lpstr>NB_2138_Palantir Technologies I</vt:lpstr>
      <vt:lpstr>NB_2139_Plug Power Inc. Common </vt:lpstr>
      <vt:lpstr>NB_2140_ePlus inc. Common Stock</vt:lpstr>
      <vt:lpstr>NB_2141_Plexus Corp. Common Sto</vt:lpstr>
      <vt:lpstr>NB_2142_Polaryx Therapeutics In</vt:lpstr>
      <vt:lpstr>NB_2143_Philip Morris Internati</vt:lpstr>
      <vt:lpstr>NB_2144_PharmaCyte  Biotech Inc</vt:lpstr>
      <vt:lpstr>NB_2145_CPI Card Group Inc. Com</vt:lpstr>
      <vt:lpstr>NB_2146_PMV Pharmaceuticals Inc</vt:lpstr>
      <vt:lpstr>NB_2147_PrimeEnergy Resources C</vt:lpstr>
      <vt:lpstr>NB_2148_The Pennant Group Inc. </vt:lpstr>
      <vt:lpstr>NB_2149_Pinnacle West Capital C</vt:lpstr>
      <vt:lpstr>NB_2150_Precision Optics Corpor</vt:lpstr>
      <vt:lpstr>NB_2151_PodcastOne Inc. Common </vt:lpstr>
      <vt:lpstr>NB_2152_Insulet Corporation Com</vt:lpstr>
      <vt:lpstr>NB_2153_Pool Corporation Common</vt:lpstr>
      <vt:lpstr>NB_2154_Portland General Electr</vt:lpstr>
      <vt:lpstr>NB_2155_Post Holdings Inc. Comm</vt:lpstr>
      <vt:lpstr>NB_2156_Power Integrations Inc.</vt:lpstr>
      <vt:lpstr>NB_2157_Powell Industries Inc. </vt:lpstr>
      <vt:lpstr>NB_2158_Outdoor Holding Company</vt:lpstr>
      <vt:lpstr>NB_2159_Outdoor Holding Company</vt:lpstr>
      <vt:lpstr>NB_2160_Pilgrim's Pride Corpora</vt:lpstr>
      <vt:lpstr>NB_2161_PPG Industries Inc. Com</vt:lpstr>
      <vt:lpstr>NB_2162_Perma-Pipe Internationa</vt:lpstr>
      <vt:lpstr>NB_2163_PPL Corporation Common </vt:lpstr>
      <vt:lpstr>NB_2164_PPL Corporation Corpora</vt:lpstr>
      <vt:lpstr>NB_2165_People Incorporated Com</vt:lpstr>
      <vt:lpstr>NB_2166_Permian Resources Corpo</vt:lpstr>
      <vt:lpstr>NB_2167_Praxis Precision Medici</vt:lpstr>
      <vt:lpstr>NB_2168_Porch Group Inc. Common</vt:lpstr>
      <vt:lpstr>NB_2169_PROCEPT BioRobotics Cor</vt:lpstr>
      <vt:lpstr>NB_2170_PROG Holdings Inc. Comm</vt:lpstr>
      <vt:lpstr>NB_2171_Perrigo Company plc Ord</vt:lpstr>
      <vt:lpstr>NB_2172_Progress Software Corpo</vt:lpstr>
      <vt:lpstr>NB_2173_Primoris Services Corpo</vt:lpstr>
      <vt:lpstr>NB_2174_United Parks &amp; Resorts </vt:lpstr>
      <vt:lpstr>NB_2175_Proto Labs Inc. Common </vt:lpstr>
      <vt:lpstr>NB_2176_Prelude Therapeutics In</vt:lpstr>
      <vt:lpstr>NB_2177_Primo Brands Corporatio</vt:lpstr>
      <vt:lpstr>NB_2178_Prime Medicine Inc. Com</vt:lpstr>
      <vt:lpstr>NB_2179_ProKidney Corp. Class A</vt:lpstr>
      <vt:lpstr>NB_2180_Prairie Operating Co. C</vt:lpstr>
      <vt:lpstr>NB_2181_Purple Innovation Inc. </vt:lpstr>
      <vt:lpstr>NB_2182_Precipio Inc.  Common S</vt:lpstr>
      <vt:lpstr>NB_2183_Peraso Inc. Common Stoc</vt:lpstr>
      <vt:lpstr>NB_2184_Pursuit Attractions and</vt:lpstr>
      <vt:lpstr>NB_2185_PermRock Royalty Trust </vt:lpstr>
      <vt:lpstr>NB_2186_Prothena Corporation pl</vt:lpstr>
      <vt:lpstr>NB_2187_Priority Technology Hol</vt:lpstr>
      <vt:lpstr>NB_2188_CarParts.com Inc. Commo</vt:lpstr>
      <vt:lpstr>NB_2189_Privia Health Group Inc</vt:lpstr>
      <vt:lpstr>NB_2190_Power Solutions Interna</vt:lpstr>
      <vt:lpstr>NB_2191_Paramount Skydance Corp</vt:lpstr>
      <vt:lpstr>NB_2192_PriceSmart Inc. Common </vt:lpstr>
      <vt:lpstr>NB_2193_Parsons Corporation Com</vt:lpstr>
      <vt:lpstr>NB_2194_Personalis Inc. Common </vt:lpstr>
      <vt:lpstr>NB_2195_Phillips 66 Common Stoc</vt:lpstr>
      <vt:lpstr>NB_2196_PTC Inc. Common Stock</vt:lpstr>
      <vt:lpstr>NB_2197_PTC Therapeutics Inc. C</vt:lpstr>
      <vt:lpstr>NB_2198_Patterson-UTI Energy In</vt:lpstr>
      <vt:lpstr>NB_2199_Protagonist Therapeutic</vt:lpstr>
      <vt:lpstr>NB_2200_Portillo's Inc. Class A</vt:lpstr>
      <vt:lpstr>NB_2201_Palatin Technologies In</vt:lpstr>
      <vt:lpstr>NB_2202_Peloton Interactive Inc</vt:lpstr>
      <vt:lpstr>NB_2203_Pattern Group Inc. Seri</vt:lpstr>
      <vt:lpstr>NB_2204_PubMatic Inc. Class A C</vt:lpstr>
      <vt:lpstr>NB_2205_Pulmatrix Inc. Common S</vt:lpstr>
      <vt:lpstr>NB_2206_ProPetro Holding Corp. </vt:lpstr>
      <vt:lpstr>NB_2207_Aureus Greenway Holding</vt:lpstr>
      <vt:lpstr>NB_2208_PVH Corp. Common Stock</vt:lpstr>
      <vt:lpstr>NB_2209_Permianville Royalty Tr</vt:lpstr>
      <vt:lpstr>NB_2210_Palvella Therapeutics I</vt:lpstr>
      <vt:lpstr>NB_2211_Quanta Services Inc. Co</vt:lpstr>
      <vt:lpstr>NB_2212_Pixelworks Inc.  Common</vt:lpstr>
      <vt:lpstr>NB_2213_PayPal Holdings Inc. Co</vt:lpstr>
      <vt:lpstr>NB_2214_Pyxis Oncology Inc. Com</vt:lpstr>
      <vt:lpstr>NB_2215_Paramount Gold Nevada C</vt:lpstr>
      <vt:lpstr>NB_2216_Papa John's Internation</vt:lpstr>
      <vt:lpstr>NB_2217_Qnity Electronics Inc. </vt:lpstr>
      <vt:lpstr>NB_2218_D-Wave Quantum Inc. Com</vt:lpstr>
      <vt:lpstr>NB_2219_QC Technologies Inc. Co</vt:lpstr>
      <vt:lpstr>NB_2220_QUALCOMM Incorporated C</vt:lpstr>
      <vt:lpstr>NB_2221_QuidelOrtho Corporation</vt:lpstr>
      <vt:lpstr>NB_2222_Qualys Inc. Common Stoc</vt:lpstr>
      <vt:lpstr>NB_2223_Quantum Corporation Com</vt:lpstr>
      <vt:lpstr>NB_2224_QumulusAI Inc. Common S</vt:lpstr>
      <vt:lpstr>NB_2225_Quince Therapeutics Inc</vt:lpstr>
      <vt:lpstr>NB_2226_Quanome Technologies In</vt:lpstr>
      <vt:lpstr>NB_2227_QuinStreet Inc. Common </vt:lpstr>
      <vt:lpstr>NB_2228_Quantinuum Inc. Class A</vt:lpstr>
      <vt:lpstr>NB_2229_Quest Resource Holding </vt:lpstr>
      <vt:lpstr>NB_2230_Qorvo Inc. Common 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2026-10-05T19:45:17Z</dcterms:created>
  <dcterms:modified xsi:type="dcterms:W3CDTF">2026-10-05T19:45:17Z</dcterms:modified>
</cp:coreProperties>
</file>