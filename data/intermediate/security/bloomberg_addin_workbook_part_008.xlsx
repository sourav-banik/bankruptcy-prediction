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NB_1481_Kelly Services Inc. Cla" sheetId="2" r:id="rId2"/>
    <sheet name="NB_1482_Kewaunee Scientific Cor" sheetId="3" r:id="rId3"/>
    <sheet name="NB_1483_Kirby Corporation Commo" sheetId="4" r:id="rId4"/>
    <sheet name="NB_1484_Keysight Technologies I" sheetId="5" r:id="rId5"/>
    <sheet name="NB_1485_Kforce Inc. Common Stoc" sheetId="6" r:id="rId6"/>
    <sheet name="NB_1486_Korn Ferry Common Stock" sheetId="7" r:id="rId7"/>
    <sheet name="NB_1487_Kolibri Global Energy I" sheetId="8" r:id="rId8"/>
    <sheet name="NB_1488_Kodiak Gas Services Inc" sheetId="9" r:id="rId9"/>
    <sheet name="NB_1489_The Kraft Heinz Company" sheetId="10" r:id="rId10"/>
    <sheet name="NB_1490_OrthoPediatrics Corp. C" sheetId="11" r:id="rId11"/>
    <sheet name="NB_1491_Nauticus Robotics Inc. " sheetId="12" r:id="rId12"/>
    <sheet name="NB_1492_Nauticus Robotics Inc. " sheetId="13" r:id="rId13"/>
    <sheet name="NB_1493_KLA Corporation Common " sheetId="14" r:id="rId14"/>
    <sheet name="NB_1494_KinderCare Learning Com" sheetId="15" r:id="rId15"/>
    <sheet name="NB_1495_Kailera Therapeutics In" sheetId="16" r:id="rId16"/>
    <sheet name="NB_1496_Kalaris Therapeutics In" sheetId="17" r:id="rId17"/>
    <sheet name="NB_1497_Kaltura Inc. Common Sto" sheetId="18" r:id="rId18"/>
    <sheet name="NB_1498_KLX Energy Services Hol" sheetId="19" r:id="rId19"/>
    <sheet name="NB_1499_Kimberly-Clark Corporat" sheetId="20" r:id="rId20"/>
    <sheet name="NB_1500_Kinder Morgan Inc. Comm" sheetId="21" r:id="rId21"/>
    <sheet name="NB_1501_Kennametal Inc. Common " sheetId="22" r:id="rId22"/>
    <sheet name="NB_1502_Kestra Medical Technolo" sheetId="23" r:id="rId23"/>
    <sheet name="NB_1503_CarMax Inc" sheetId="24" r:id="rId24"/>
    <sheet name="NB_1504_Knowles Corporation Com" sheetId="25" r:id="rId25"/>
    <sheet name="NB_1505_Knife Riv Holding Co. C" sheetId="26" r:id="rId26"/>
    <sheet name="NB_1506_Kiniksa Pharmaceuticals" sheetId="27" r:id="rId27"/>
    <sheet name="NB_1507_Kinetik Holdings Inc. C" sheetId="28" r:id="rId28"/>
    <sheet name="NB_1508_Knight-Swift Transporta" sheetId="29" r:id="rId29"/>
    <sheet name="NB_1509_Coca-Cola Company (The)" sheetId="30" r:id="rId30"/>
    <sheet name="NB_1510_Kodiak Sciences Inc Com" sheetId="31" r:id="rId31"/>
    <sheet name="NB_1511_Eastman Kodak Company C" sheetId="32" r:id="rId32"/>
    <sheet name="NB_1512_Koppers Holdings Inc. C" sheetId="33" r:id="rId33"/>
    <sheet name="NB_1513_Kopin Corporation Commo" sheetId="34" r:id="rId34"/>
    <sheet name="NB_1514_Koss Corporation Common" sheetId="35" r:id="rId35"/>
    <sheet name="NB_1515_Katapult Holdings Inc. " sheetId="36" r:id="rId36"/>
    <sheet name="NB_1516_Kiora Pharmaceuticals I" sheetId="37" r:id="rId37"/>
    <sheet name="NB_1517_Karyopharm Therapeutics" sheetId="38" r:id="rId38"/>
    <sheet name="NB_1518_Kroger Company (The) Co" sheetId="39" r:id="rId39"/>
    <sheet name="NB_1519_KORU Medical Systems In" sheetId="40" r:id="rId40"/>
    <sheet name="NB_1520_Karman Holdings Inc. Co" sheetId="41" r:id="rId41"/>
    <sheet name="NB_1521_Kronos Worldwide Inc Co" sheetId="42" r:id="rId42"/>
    <sheet name="NB_1522_Keros Therapeutics Inc." sheetId="43" r:id="rId43"/>
    <sheet name="NB_1523_Kimbell Royalty Partner" sheetId="44" r:id="rId44"/>
    <sheet name="NB_1524_Korro Bio Inc. Common S" sheetId="45" r:id="rId45"/>
    <sheet name="NB_1525_Korsana Biosciences Inc" sheetId="46" r:id="rId46"/>
    <sheet name="NB_1526_Karat Packaging Inc. Co" sheetId="47" r:id="rId47"/>
    <sheet name="NB_1527_Kura Sushi USA Inc. Cla" sheetId="48" r:id="rId48"/>
    <sheet name="NB_1528_Krystal Biotech Inc. Co" sheetId="49" r:id="rId49"/>
    <sheet name="NB_1529_Knightscope Inc. Class " sheetId="50" r:id="rId50"/>
    <sheet name="NB_1530_Kohl's Corporation Comm" sheetId="51" r:id="rId51"/>
    <sheet name="NB_1531_Kontoor Brands Inc. Com" sheetId="52" r:id="rId52"/>
    <sheet name="NB_1532_Key Tronic Corporation " sheetId="53" r:id="rId53"/>
    <sheet name="NB_1533_Kratos Defense &amp; Securi" sheetId="54" r:id="rId54"/>
    <sheet name="NB_1534_Pasithea Therapeutics C" sheetId="55" r:id="rId55"/>
    <sheet name="NB_1535_KULR Technology Group I" sheetId="56" r:id="rId56"/>
    <sheet name="NB_1536_Kura Oncology Inc. Comm" sheetId="57" r:id="rId57"/>
    <sheet name="NB_1537_Kustom Entertainment In" sheetId="58" r:id="rId58"/>
    <sheet name="NB_1538_KVH Industries Inc. Com" sheetId="59" r:id="rId59"/>
    <sheet name="NB_1539_Kenvue Inc. Common Stoc" sheetId="60" r:id="rId60"/>
    <sheet name="NB_1540_Klaviyo Inc. Series A C" sheetId="61" r:id="rId61"/>
    <sheet name="NB_1541_Quaker Houghton Common " sheetId="62" r:id="rId62"/>
    <sheet name="NB_1542_Kymera Therapeutics Inc" sheetId="63" r:id="rId63"/>
    <sheet name="NB_1543_Kyntra Bio Inc. Common " sheetId="64" r:id="rId64"/>
    <sheet name="NB_1544_Kyverna Therapeutics In" sheetId="65" r:id="rId65"/>
    <sheet name="NB_1545_Standard BioTools Inc. " sheetId="66" r:id="rId66"/>
    <sheet name="NB_1546_Lakewood-Amedex Biother" sheetId="67" r:id="rId67"/>
    <sheet name="NB_1547_Lithia Motors Inc. Comm" sheetId="68" r:id="rId68"/>
    <sheet name="NB_1548_Lakeland Industries Inc" sheetId="69" r:id="rId69"/>
    <sheet name="NB_1549_nLIGHT Inc. Common Stoc" sheetId="70" r:id="rId70"/>
    <sheet name="NB_1550_CS Disco Inc. Common St" sheetId="71" r:id="rId71"/>
    <sheet name="NB_1551_Liberty Energy Inc. Cla" sheetId="72" r:id="rId72"/>
    <sheet name="NB_1552_LB Pharmaceuticals Inc " sheetId="73" r:id="rId73"/>
    <sheet name="NB_1553_Lucid Group Inc. Common" sheetId="74" r:id="rId74"/>
    <sheet name="NB_1554_LCI Industries" sheetId="75" r:id="rId75"/>
    <sheet name="NB_1555_Lineage Cell Therapeuti" sheetId="76" r:id="rId76"/>
    <sheet name="NB_1556_Lifetime Brands Inc. Co" sheetId="77" r:id="rId77"/>
    <sheet name="NB_1557_Leidos Holdings Inc. Co" sheetId="78" r:id="rId78"/>
    <sheet name="NB_1558_Lands' End Inc. Common " sheetId="79" r:id="rId79"/>
    <sheet name="NB_1559_Lear Corporation Common" sheetId="80" r:id="rId80"/>
    <sheet name="NB_1560_Lincoln Electric Holdin" sheetId="81" r:id="rId81"/>
    <sheet name="NB_1561_Lee Enterprises Incorpo" sheetId="82" r:id="rId82"/>
    <sheet name="NB_1562_Legacy Housing Corporat" sheetId="83" r:id="rId83"/>
    <sheet name="NB_1563_Legend Biotech Corporat" sheetId="84" r:id="rId84"/>
    <sheet name="NB_1564_Lennar Corporation Clas" sheetId="85" r:id="rId85"/>
    <sheet name="NB_1565_LENZ Therapeutics Inc. " sheetId="86" r:id="rId86"/>
    <sheet name="NB_1566_Leslie's Inc. Common St" sheetId="87" r:id="rId87"/>
    <sheet name="NB_1567_Centrus Energy Corp. Cl" sheetId="88" r:id="rId88"/>
    <sheet name="NB_1568_Levi Strauss &amp; Co Class" sheetId="89" r:id="rId89"/>
    <sheet name="NB_1569_Lifecore Biomedical Inc" sheetId="90" r:id="rId90"/>
    <sheet name="NB_1570_LifeMD Inc. Common Stoc" sheetId="91" r:id="rId91"/>
    <sheet name="NB_1571_LifeMD Inc. 8.875% Seri" sheetId="92" r:id="rId92"/>
    <sheet name="NB_1572_LifeStance Health Group" sheetId="93" r:id="rId93"/>
    <sheet name="NB_1573_Liftoff Mobile Inc. Com" sheetId="94" r:id="rId94"/>
    <sheet name="NB_1574_Littelfuse Inc. Common " sheetId="95" r:id="rId95"/>
    <sheet name="NB_1575_Lifevantage Corporation" sheetId="96" r:id="rId96"/>
    <sheet name="NB_1576_LGI Homes Inc. Common S" sheetId="97" r:id="rId97"/>
    <sheet name="NB_1577_LGL Group Inc. (The) Co" sheetId="98" r:id="rId98"/>
    <sheet name="NB_1578_Legence Corp. Class A C" sheetId="99" r:id="rId99"/>
    <sheet name="NB_1579_Ligand Pharmaceuticals " sheetId="100" r:id="rId100"/>
    <sheet name="NB_1580_Longeveron Inc. Class A" sheetId="101" r:id="rId101"/>
    <sheet name="NB_1581_Labcorp Holdings Inc. C" sheetId="102" r:id="rId102"/>
    <sheet name="NB_1582_L3Harris Technologies I" sheetId="103" r:id="rId103"/>
    <sheet name="NB_1583_AEye Inc. Class A Commo" sheetId="104" r:id="rId104"/>
    <sheet name="NB_1584_Life360 Inc. Common Sto" sheetId="105" r:id="rId105"/>
    <sheet name="NB_1585_Lennox International In" sheetId="106" r:id="rId106"/>
    <sheet name="NB_1586_Liberty Latin America L" sheetId="107" r:id="rId107"/>
    <sheet name="NB_1587_Liberty Latin America L" sheetId="108" r:id="rId108"/>
    <sheet name="NB_1588_Liberty Latin America L" sheetId="109" r:id="rId109"/>
    <sheet name="NB_1589_Neutron Holdings Inc. C" sheetId="110" r:id="rId110"/>
    <sheet name="NB_1590_Liminatus Pharma Inc. C" sheetId="111" r:id="rId111"/>
    <sheet name="NB_1591_Linde plc Ordinary Shar" sheetId="112" r:id="rId112"/>
    <sheet name="NB_1592_Lindblad Expeditions Ho" sheetId="113" r:id="rId113"/>
    <sheet name="NB_1593_Interlink Electronics I" sheetId="114" r:id="rId114"/>
    <sheet name="NB_1594_Lumentum Holdings Inc. " sheetId="115" r:id="rId115"/>
    <sheet name="NB_1595_Lite Strategy Inc. Comm" sheetId="116" r:id="rId116"/>
    <sheet name="NB_1596_Live Ventures Incorpora" sheetId="117" r:id="rId117"/>
    <sheet name="NB_1597_LKQ Corporation Common " sheetId="118" r:id="rId118"/>
    <sheet name="NB_1598_Eli Lilly and Company C" sheetId="119" r:id="rId119"/>
    <sheet name="NB_1599_Liberty Live Holdings I" sheetId="120" r:id="rId120"/>
    <sheet name="NB_1600_Liberty Live Holdings I" sheetId="121" r:id="rId121"/>
    <sheet name="NB_1601_LeMaitre Vascular Inc. " sheetId="122" r:id="rId122"/>
    <sheet name="NB_1602_Limbach Holdings Inc. C" sheetId="123" r:id="rId123"/>
    <sheet name="NB_1603_Limoneira Co Common Sto" sheetId="124" r:id="rId124"/>
    <sheet name="NB_1604_Lumexa Imaging Holdings" sheetId="125" r:id="rId125"/>
    <sheet name="NB_1605_Lockheed Martin Corpora" sheetId="126" r:id="rId126"/>
    <sheet name="NB_1606_Lunai Bioworks Inc. Com" sheetId="127" r:id="rId127"/>
    <sheet name="NB_1607_Cheniere Energy Inc. Co" sheetId="128" r:id="rId128"/>
    <sheet name="NB_1608_Lindsay Corporation Com" sheetId="129" r:id="rId129"/>
    <sheet name="NB_1609_LENSAR Inc. Common Stoc" sheetId="130" r:id="rId130"/>
    <sheet name="NB_1610_Alliant Energy Corporat" sheetId="131" r:id="rId131"/>
    <sheet name="NB_1611_Lantheus Holdings Inc. " sheetId="132" r:id="rId132"/>
    <sheet name="NB_1612_LanzaTech Global Inc. C" sheetId="133" r:id="rId133"/>
    <sheet name="NB_1613_Loar Holdings Inc. Comm" sheetId="134" r:id="rId134"/>
    <sheet name="NB_1614_Local Bounti Corporatio" sheetId="135" r:id="rId135"/>
    <sheet name="NB_1615_El Pollo Loco Holdings " sheetId="136" r:id="rId136"/>
    <sheet name="NB_1616_Comstock Inc. Common St" sheetId="137" r:id="rId137"/>
    <sheet name="NB_1617_Logitech International " sheetId="138" r:id="rId138"/>
    <sheet name="NB_1618_LeonaBio Inc. Common St" sheetId="139" r:id="rId139"/>
    <sheet name="NB_1619_The Lovesac Company Com" sheetId="140" r:id="rId140"/>
    <sheet name="NB_1620_Lowe's Companies Inc. C" sheetId="141" r:id="rId141"/>
    <sheet name="NB_1621_Lipocine Inc. Common St" sheetId="142" r:id="rId142"/>
    <sheet name="NB_1622_Dorian LPG Ltd. Common " sheetId="143" r:id="rId143"/>
    <sheet name="NB_1623_LightPath Technologies " sheetId="144" r:id="rId144"/>
    <sheet name="NB_1624_Louisiana-Pacific Corpo" sheetId="145" r:id="rId145"/>
    <sheet name="NB_1625_Liquidia Corporation Co" sheetId="146" r:id="rId146"/>
    <sheet name="NB_1626_Liquidity Services Inc." sheetId="147" r:id="rId147"/>
    <sheet name="NB_1627_Lam Research Corporatio" sheetId="148" r:id="rId148"/>
    <sheet name="NB_1628_Larimar Therapeutics In" sheetId="149" r:id="rId149"/>
    <sheet name="NB_1629_Lattice Semiconductor C" sheetId="150" r:id="rId150"/>
    <sheet name="NB_1630_Lisata Therapeutics Inc" sheetId="151" r:id="rId151"/>
    <sheet name="NB_1631_Landstar System Inc. Co" sheetId="152" r:id="rId152"/>
    <sheet name="NB_1632_Lightbridge Corporation" sheetId="153" r:id="rId153"/>
    <sheet name="NB_1633_Latigo Biotherapeutics " sheetId="154" r:id="rId154"/>
    <sheet name="NB_1634_Life Time Group Holding" sheetId="155" r:id="rId155"/>
    <sheet name="NB_1635_Lantern Pharma Inc. Com" sheetId="156" r:id="rId156"/>
    <sheet name="NB_1636_Lantronix Inc. Common S" sheetId="157" r:id="rId157"/>
    <sheet name="NB_1637_Sports Entertainment Ga" sheetId="158" r:id="rId158"/>
    <sheet name="NB_1638_Lucid Diagnostics Inc. " sheetId="159" r:id="rId159"/>
    <sheet name="NB_1639_Lucky Strike Entertainm" sheetId="160" r:id="rId160"/>
    <sheet name="NB_1640_Innovative Eyewear Inc." sheetId="161" r:id="rId161"/>
    <sheet name="NB_1641_Innovative Eyewear Inc." sheetId="162" r:id="rId162"/>
    <sheet name="NB_1642_Lumen Technologies Inc." sheetId="163" r:id="rId163"/>
    <sheet name="NB_1643_Pulmonx Corporation Com" sheetId="164" r:id="rId164"/>
    <sheet name="NB_1644_Intuitive Machines Inc." sheetId="165" r:id="rId165"/>
    <sheet name="NB_1645_Southwest Airlines Comp" sheetId="166" r:id="rId166"/>
    <sheet name="NB_1646_Lulu's Fashion Lounge H" sheetId="167" r:id="rId167"/>
    <sheet name="NB_1647_LiveOne Inc. Common Sto" sheetId="168" r:id="rId168"/>
    <sheet name="NB_1648_Las Vegas Sands Corp. C" sheetId="169" r:id="rId169"/>
    <sheet name="NB_1649_LiveWire Group Inc. Com" sheetId="170" r:id="rId170"/>
    <sheet name="NB_1650_Lamb Weston Holdings In" sheetId="171" r:id="rId171"/>
    <sheet name="NB_1651_Lifeway Foods Inc. Comm" sheetId="172" r:id="rId172"/>
    <sheet name="NB_1652_Lightwave Logic Inc. Co" sheetId="173" r:id="rId173"/>
    <sheet name="NB_1653_Lexeo Therapeutics Inc." sheetId="174" r:id="rId174"/>
    <sheet name="NB_1654_Lexicon Pharmaceuticals" sheetId="175" r:id="rId175"/>
    <sheet name="NB_1655_LSB Industries Inc. Com" sheetId="176" r:id="rId176"/>
    <sheet name="NB_1656_Lyell Immunopharma Inc." sheetId="177" r:id="rId177"/>
    <sheet name="NB_1657_Lyft Inc. Class A Commo" sheetId="178" r:id="rId178"/>
    <sheet name="NB_1658_LSI Industries Inc. Com" sheetId="179" r:id="rId179"/>
    <sheet name="NB_1659_Live Nation Entertainme" sheetId="180" r:id="rId180"/>
    <sheet name="NB_1660_LegalZoom.com Inc. Comm" sheetId="181" r:id="rId181"/>
    <sheet name="NB_1661_La-Z-Boy Incorporated C" sheetId="182" r:id="rId182"/>
    <sheet name="NB_1662_Macy's Inc Common Stock" sheetId="183" r:id="rId183"/>
    <sheet name="NB_1663_Mastercard Incorporated" sheetId="184" r:id="rId184"/>
    <sheet name="NB_1664_Magnera Corporation Com" sheetId="185" r:id="rId185"/>
    <sheet name="NB_1665_Mama's Creations Inc. C" sheetId="186" r:id="rId186"/>
    <sheet name="NB_1666_Massimo Group Common St" sheetId="187" r:id="rId187"/>
    <sheet name="NB_1667_ManpowerGroup Common St" sheetId="188" r:id="rId188"/>
    <sheet name="NB_1668_Manhattan Associates In" sheetId="189" r:id="rId189"/>
    <sheet name="NB_1669_Marriott International " sheetId="190" r:id="rId190"/>
    <sheet name="NB_1670_Marine Petroleum Trust " sheetId="191" r:id="rId191"/>
    <sheet name="NB_1671_Masco Corporation Commo" sheetId="192" r:id="rId192"/>
    <sheet name="NB_1672_908 Devices Inc. Common" sheetId="193" r:id="rId193"/>
    <sheet name="NB_1673_Mattel Inc. Common Stoc" sheetId="194" r:id="rId194"/>
    <sheet name="NB_1674_Mativ Holdings Inc. Com" sheetId="195" r:id="rId195"/>
    <sheet name="NB_1675_Matthews International " sheetId="196" r:id="rId196"/>
    <sheet name="NB_1676_Matson Inc. Common Stoc" sheetId="197" r:id="rId197"/>
    <sheet name="NB_1677_MediaAlpha Inc. Class A" sheetId="198" r:id="rId198"/>
    <sheet name="NB_1678_Maze Therapeutics Inc. " sheetId="199" r:id="rId199"/>
    <sheet name="NB_1679_MasterBrand Inc. Common" sheetId="200" r:id="rId200"/>
    <sheet name="NB_1680_Mobility Global Inc. Co" sheetId="201" r:id="rId201"/>
    <sheet name="NB_1681_Mustang Bio Inc. Common" sheetId="202" r:id="rId202"/>
    <sheet name="NB_1682_Moleculin Biotech Inc. " sheetId="203" r:id="rId203"/>
    <sheet name="NB_1683_Malibu Boats Inc. Class" sheetId="204" r:id="rId204"/>
    <sheet name="NB_1684_MBX Biosciences Inc. Co" sheetId="205" r:id="rId205"/>
    <sheet name="NB_1685_McDonald's Corporation " sheetId="206" r:id="rId206"/>
    <sheet name="NB_1686_MasterCraft Boat Holdin" sheetId="207" r:id="rId207"/>
    <sheet name="NB_1687_Yorkville Acquisition C" sheetId="208" r:id="rId208"/>
    <sheet name="NB_1688_Microchip Technology In" sheetId="209" r:id="rId209"/>
    <sheet name="NB_1689_Microchip Technology In" sheetId="210" r:id="rId210"/>
    <sheet name="NB_1690_Marchex Inc. Class B Co" sheetId="211" r:id="rId211"/>
    <sheet name="NB_1691_McKesson Corporation Co" sheetId="212" r:id="rId212"/>
    <sheet name="NB_1692_Seres Therapeutics Inc." sheetId="213" r:id="rId213"/>
    <sheet name="NB_1693_Monarch Casino &amp; Resort" sheetId="214" r:id="rId214"/>
    <sheet name="NB_1694_Marcus Corporation (The" sheetId="215" r:id="rId215"/>
    <sheet name="NB_1695_Pediatrix Medical Group" sheetId="216" r:id="rId216"/>
    <sheet name="NB_1696_Spectral AI Inc. Class " sheetId="217" r:id="rId217"/>
    <sheet name="NB_1697_Spectral AI Inc. Warran" sheetId="218" r:id="rId218"/>
    <sheet name="NB_1698_MongoDB Inc. Class A Co" sheetId="219" r:id="rId219"/>
    <sheet name="NB_1699_Madrigal Pharmaceutical" sheetId="220" r:id="rId220"/>
    <sheet name="NB_1700_Mediaco Holding Inc. Cl" sheetId="221" r:id="rId221"/>
    <sheet name="NB_1701_Medline Inc. Class A Co" sheetId="222" r:id="rId222"/>
    <sheet name="NB_1702_Mondelez International " sheetId="223" r:id="rId223"/>
    <sheet name="NB_1703_Medtronic plc. Ordinary" sheetId="224" r:id="rId224"/>
    <sheet name="NB_1704_MDU Resources Group Inc" sheetId="225" r:id="rId225"/>
    <sheet name="NB_1705_MiMedx Group Inc Common" sheetId="226" r:id="rId226"/>
    <sheet name="NB_1706_Mayville Engineering Co" sheetId="227" r:id="rId227"/>
    <sheet name="NB_1707_MEDIFAST INC Common Sto" sheetId="228" r:id="rId228"/>
    <sheet name="NB_1708_Medpace Holdings Inc. C" sheetId="229" r:id="rId229"/>
    <sheet name="NB_1709_DataMeds AI Inc. Common" sheetId="230" r:id="rId230"/>
    <sheet name="NB_1710_Methode Electronics Inc" sheetId="231" r:id="rId231"/>
    <sheet name="NB_1711_Meta Platforms Inc. Cla" sheetId="232" r:id="rId232"/>
    <sheet name="NB_1712_Ramaco Resources Inc. C" sheetId="233" r:id="rId233"/>
    <sheet name="NB_1713_Ramaco Resources Inc. C" sheetId="234" r:id="rId234"/>
    <sheet name="NB_1714_Ramaco Resources Inc. 8" sheetId="235" r:id="rId235"/>
    <sheet name="NB_1715_Ramaco Resources Inc. 8" sheetId="236" r:id="rId236"/>
    <sheet name="NB_1716_Midera Food Processing " sheetId="237" r:id="rId237"/>
    <sheet name="NB_1717_Mistras Group Inc Commo" sheetId="238" r:id="rId238"/>
    <sheet name="NB_1718_MGE Energy Inc" sheetId="239" r:id="rId239"/>
    <sheet name="NB_1719_MGM Resorts Internation" sheetId="240" r:id="rId240"/>
    <sheet name="NB_1720_Magnite Inc. Common Sto" sheetId="241" r:id="rId241"/>
    <sheet name="NB_1721_MacroGenics Inc. Common" sheetId="242" r:id="rId242"/>
    <sheet name="NB_1722_MGP Ingredients Inc." sheetId="243" r:id="rId243"/>
    <sheet name="NB_1723_McGrath RentCorp Common" sheetId="244" r:id="rId244"/>
    <sheet name="NB_1724_Mangoceuticals Inc. Com" sheetId="245" r:id="rId245"/>
    <sheet name="NB_1725_MeiraGTx Holdings plc O" sheetId="246" r:id="rId246"/>
    <sheet name="NB_1726_Metagenomi Therapeutics" sheetId="247" r:id="rId247"/>
    <sheet name="NB_1727_Magnolia Oil &amp; Gas Corp" sheetId="248" r:id="rId248"/>
    <sheet name="NB_1728_Mastech Digital Inc Com" sheetId="249" r:id="rId249"/>
    <sheet name="NB_1729_Mohawk Industries Inc. " sheetId="250" r:id="rId250"/>
    <sheet name="NB_1730_MI Homes Inc. Common St" sheetId="251" r:id="rId251"/>
  </sheets>
  <calcPr calcId="124519" fullCalcOnLoad="1"/>
</workbook>
</file>

<file path=xl/sharedStrings.xml><?xml version="1.0" encoding="utf-8"?>
<sst xmlns="http://schemas.openxmlformats.org/spreadsheetml/2006/main" count="15763" uniqueCount="1156">
  <si>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</si>
  <si>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</si>
  <si>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</si>
  <si>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</si>
  <si>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</si>
  <si>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</si>
  <si>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</si>
  <si>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</si>
  <si>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</si>
  <si>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</si>
  <si>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</si>
  <si>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bloomberg_sector</t>
  </si>
  <si>
    <t>bloomberg_industry</t>
  </si>
  <si>
    <t>NB_1481</t>
  </si>
  <si>
    <t>nonbankrupt</t>
  </si>
  <si>
    <t/>
  </si>
  <si>
    <t>KELYB</t>
  </si>
  <si>
    <t>Kelly Services Inc. Class B Common Stock</t>
  </si>
  <si>
    <t>Consumer Discretionary</t>
  </si>
  <si>
    <t>Professional Services</t>
  </si>
  <si>
    <t>KELYB US Equity</t>
  </si>
  <si>
    <t>1993-06-18</t>
  </si>
  <si>
    <t>2026-05-02</t>
  </si>
  <si>
    <t>NB_1482</t>
  </si>
  <si>
    <t>KEQU</t>
  </si>
  <si>
    <t>Kewaunee Scientific Corporation Common Stock</t>
  </si>
  <si>
    <t>Industrials</t>
  </si>
  <si>
    <t>Medical Specialities</t>
  </si>
  <si>
    <t>KEQU US Equity</t>
  </si>
  <si>
    <t>NB_1483</t>
  </si>
  <si>
    <t>KEX</t>
  </si>
  <si>
    <t>Kirby Corporation Common Stock</t>
  </si>
  <si>
    <t>Marine Transportation</t>
  </si>
  <si>
    <t>KEX US Equity</t>
  </si>
  <si>
    <t>NB_1484</t>
  </si>
  <si>
    <t>KEYS</t>
  </si>
  <si>
    <t>Keysight Technologies Inc. Common Stock</t>
  </si>
  <si>
    <t>Industrial Machinery/Components</t>
  </si>
  <si>
    <t>KEYS US Equity</t>
  </si>
  <si>
    <t>NB_1485</t>
  </si>
  <si>
    <t>KFRC</t>
  </si>
  <si>
    <t>Kforce Inc. Common Stock</t>
  </si>
  <si>
    <t>KFRC US Equity</t>
  </si>
  <si>
    <t>NB_1486</t>
  </si>
  <si>
    <t>KFY</t>
  </si>
  <si>
    <t>Korn Ferry Common Stock</t>
  </si>
  <si>
    <t>Diversified Commercial Services</t>
  </si>
  <si>
    <t>KFY US Equity</t>
  </si>
  <si>
    <t>NB_1487</t>
  </si>
  <si>
    <t>KGEI</t>
  </si>
  <si>
    <t>Kolibri Global Energy Inc. Common stock</t>
  </si>
  <si>
    <t>Energy</t>
  </si>
  <si>
    <t>Oil &amp; Gas Production</t>
  </si>
  <si>
    <t>KGEI US Equity</t>
  </si>
  <si>
    <t>NB_1488</t>
  </si>
  <si>
    <t>KGS</t>
  </si>
  <si>
    <t>Kodiak Gas Services Inc. Common Stock</t>
  </si>
  <si>
    <t>Utilities</t>
  </si>
  <si>
    <t>Natural Gas Distribution</t>
  </si>
  <si>
    <t>KGS US Equity</t>
  </si>
  <si>
    <t>NB_1489</t>
  </si>
  <si>
    <t>KHC</t>
  </si>
  <si>
    <t>The Kraft Heinz Company Common Stock</t>
  </si>
  <si>
    <t>Consumer Staples</t>
  </si>
  <si>
    <t>Packaged Foods</t>
  </si>
  <si>
    <t>KHC US Equity</t>
  </si>
  <si>
    <t>NB_1490</t>
  </si>
  <si>
    <t>KIDS</t>
  </si>
  <si>
    <t>OrthoPediatrics Corp. Common Stock</t>
  </si>
  <si>
    <t>Health Care</t>
  </si>
  <si>
    <t>Medical/Dental Instruments</t>
  </si>
  <si>
    <t>KIDS US Equity</t>
  </si>
  <si>
    <t>NB_1491</t>
  </si>
  <si>
    <t>KITT</t>
  </si>
  <si>
    <t>Nauticus Robotics Inc. Common stock</t>
  </si>
  <si>
    <t>KITT US Equity</t>
  </si>
  <si>
    <t>NB_1492</t>
  </si>
  <si>
    <t>KITTW</t>
  </si>
  <si>
    <t>Nauticus Robotics Inc. Warrant</t>
  </si>
  <si>
    <t>KITTW US Equity</t>
  </si>
  <si>
    <t>NB_1493</t>
  </si>
  <si>
    <t>KLAC</t>
  </si>
  <si>
    <t>KLA Corporation Common Stock</t>
  </si>
  <si>
    <t>Technology</t>
  </si>
  <si>
    <t>Electronic Components</t>
  </si>
  <si>
    <t>KLAC US Equity</t>
  </si>
  <si>
    <t>NB_1494</t>
  </si>
  <si>
    <t>KLC</t>
  </si>
  <si>
    <t>KinderCare Learning Companies Inc. Common Stock</t>
  </si>
  <si>
    <t>Other Consumer Services</t>
  </si>
  <si>
    <t>KLC US Equity</t>
  </si>
  <si>
    <t>NB_1495</t>
  </si>
  <si>
    <t>KLRA</t>
  </si>
  <si>
    <t>Kailera Therapeutics Inc. Common Stock</t>
  </si>
  <si>
    <t>Biotechnology: Pharmaceutical Preparations</t>
  </si>
  <si>
    <t>KLRA US Equity</t>
  </si>
  <si>
    <t>NB_1496</t>
  </si>
  <si>
    <t>KLRS</t>
  </si>
  <si>
    <t>Kalaris Therapeutics Inc. Common Stock</t>
  </si>
  <si>
    <t>Biotechnology: Biological Products (No Diagnostic Substances)</t>
  </si>
  <si>
    <t>KLRS US Equity</t>
  </si>
  <si>
    <t>NB_1497</t>
  </si>
  <si>
    <t>KLTR</t>
  </si>
  <si>
    <t>Kaltura Inc. Common Stock</t>
  </si>
  <si>
    <t>Computer Software: Prepackaged Software</t>
  </si>
  <si>
    <t>KLTR US Equity</t>
  </si>
  <si>
    <t>NB_1498</t>
  </si>
  <si>
    <t>KLXE</t>
  </si>
  <si>
    <t>KLX Energy Services Holdings Inc. Common Stock</t>
  </si>
  <si>
    <t>Oilfield Services/Equipment</t>
  </si>
  <si>
    <t>KLXE US Equity</t>
  </si>
  <si>
    <t>NB_1499</t>
  </si>
  <si>
    <t>KMB</t>
  </si>
  <si>
    <t>Kimberly-Clark Corporation Common Stock</t>
  </si>
  <si>
    <t>Containers/Packaging</t>
  </si>
  <si>
    <t>KMB US Equity</t>
  </si>
  <si>
    <t>NB_1500</t>
  </si>
  <si>
    <t>KMI</t>
  </si>
  <si>
    <t>Kinder Morgan Inc. Common Stock</t>
  </si>
  <si>
    <t>KMI US Equity</t>
  </si>
  <si>
    <t>NB_1501</t>
  </si>
  <si>
    <t>KMT</t>
  </si>
  <si>
    <t>Kennametal Inc. Common Stock</t>
  </si>
  <si>
    <t>KMT US Equity</t>
  </si>
  <si>
    <t>NB_1502</t>
  </si>
  <si>
    <t>KMTS</t>
  </si>
  <si>
    <t>Kestra Medical Technologies Ltd. Common Stock</t>
  </si>
  <si>
    <t>KMTS US Equity</t>
  </si>
  <si>
    <t>NB_1503</t>
  </si>
  <si>
    <t>KMX</t>
  </si>
  <si>
    <t>CarMax Inc</t>
  </si>
  <si>
    <t>Retail-Auto Dealers and Gas Stations</t>
  </si>
  <si>
    <t>KMX US Equity</t>
  </si>
  <si>
    <t>NB_1504</t>
  </si>
  <si>
    <t>KN</t>
  </si>
  <si>
    <t>Knowles Corporation Common Stock</t>
  </si>
  <si>
    <t>Consumer Electronics/Appliances</t>
  </si>
  <si>
    <t>KN US Equity</t>
  </si>
  <si>
    <t>NB_1505</t>
  </si>
  <si>
    <t>KNF</t>
  </si>
  <si>
    <t>Knife Riv Holding Co. Common Stock</t>
  </si>
  <si>
    <t>Mining &amp; Quarrying of Nonmetallic Minerals (No Fuels)</t>
  </si>
  <si>
    <t>KNF US Equity</t>
  </si>
  <si>
    <t>NB_1506</t>
  </si>
  <si>
    <t>KNSA</t>
  </si>
  <si>
    <t>Kiniksa Pharmaceuticals International plc Class A Ordinary Shares</t>
  </si>
  <si>
    <t>KNSA US Equity</t>
  </si>
  <si>
    <t>NB_1507</t>
  </si>
  <si>
    <t>KNTK</t>
  </si>
  <si>
    <t>Kinetik Holdings Inc. Class A Common Stock</t>
  </si>
  <si>
    <t>KNTK US Equity</t>
  </si>
  <si>
    <t>NB_1508</t>
  </si>
  <si>
    <t>KNX</t>
  </si>
  <si>
    <t>Knight-Swift Transportation Holdings Inc.</t>
  </si>
  <si>
    <t>Trucking Freight/Courier Services</t>
  </si>
  <si>
    <t>KNX US Equity</t>
  </si>
  <si>
    <t>NB_1509</t>
  </si>
  <si>
    <t>KO</t>
  </si>
  <si>
    <t>Coca-Cola Company (The) Common Stock</t>
  </si>
  <si>
    <t>Beverages (Production/Distribution)</t>
  </si>
  <si>
    <t>KO US Equity</t>
  </si>
  <si>
    <t>NB_1510</t>
  </si>
  <si>
    <t>KOD</t>
  </si>
  <si>
    <t>Kodiak Sciences Inc Common Stock</t>
  </si>
  <si>
    <t>KOD US Equity</t>
  </si>
  <si>
    <t>NB_1511</t>
  </si>
  <si>
    <t>KODK</t>
  </si>
  <si>
    <t>Eastman Kodak Company Common New</t>
  </si>
  <si>
    <t>KODK US Equity</t>
  </si>
  <si>
    <t>NB_1512</t>
  </si>
  <si>
    <t>KOP</t>
  </si>
  <si>
    <t>Koppers Holdings Inc. Common Stock</t>
  </si>
  <si>
    <t>Basic Materials</t>
  </si>
  <si>
    <t>Forest Products</t>
  </si>
  <si>
    <t>KOP US Equity</t>
  </si>
  <si>
    <t>NB_1513</t>
  </si>
  <si>
    <t>KOPN</t>
  </si>
  <si>
    <t>Kopin Corporation Common Stock</t>
  </si>
  <si>
    <t>Semiconductors</t>
  </si>
  <si>
    <t>KOPN US Equity</t>
  </si>
  <si>
    <t>NB_1514</t>
  </si>
  <si>
    <t>KOSS</t>
  </si>
  <si>
    <t>Koss Corporation Common Stock</t>
  </si>
  <si>
    <t>KOSS US Equity</t>
  </si>
  <si>
    <t>NB_1515</t>
  </si>
  <si>
    <t>KPLT</t>
  </si>
  <si>
    <t>Katapult Holdings Inc. Common Stock</t>
  </si>
  <si>
    <t>KPLT US Equity</t>
  </si>
  <si>
    <t>NB_1516</t>
  </si>
  <si>
    <t>KPRX</t>
  </si>
  <si>
    <t>Kiora Pharmaceuticals Inc.  Common Stock</t>
  </si>
  <si>
    <t>KPRX US Equity</t>
  </si>
  <si>
    <t>NB_1517</t>
  </si>
  <si>
    <t>KPTI</t>
  </si>
  <si>
    <t>Karyopharm Therapeutics Inc. Common Stock</t>
  </si>
  <si>
    <t>KPTI US Equity</t>
  </si>
  <si>
    <t>NB_1518</t>
  </si>
  <si>
    <t>KR</t>
  </si>
  <si>
    <t>Kroger Company (The) Common Stock</t>
  </si>
  <si>
    <t>Food Chains</t>
  </si>
  <si>
    <t>KR US Equity</t>
  </si>
  <si>
    <t>NB_1519</t>
  </si>
  <si>
    <t>KRMD</t>
  </si>
  <si>
    <t>KORU Medical Systems Inc. Common Stock (DE)</t>
  </si>
  <si>
    <t>KRMD US Equity</t>
  </si>
  <si>
    <t>NB_1520</t>
  </si>
  <si>
    <t>KRMN</t>
  </si>
  <si>
    <t>Karman Holdings Inc. Common Stock</t>
  </si>
  <si>
    <t>Military/Government/Technical</t>
  </si>
  <si>
    <t>KRMN US Equity</t>
  </si>
  <si>
    <t>NB_1521</t>
  </si>
  <si>
    <t>KRO</t>
  </si>
  <si>
    <t>Kronos Worldwide Inc Common Stock</t>
  </si>
  <si>
    <t>Major Chemicals</t>
  </si>
  <si>
    <t>KRO US Equity</t>
  </si>
  <si>
    <t>NB_1522</t>
  </si>
  <si>
    <t>KROS</t>
  </si>
  <si>
    <t>Keros Therapeutics Inc. Common Stock</t>
  </si>
  <si>
    <t>KROS US Equity</t>
  </si>
  <si>
    <t>NB_1523</t>
  </si>
  <si>
    <t>KRP</t>
  </si>
  <si>
    <t>Kimbell Royalty Partners Common Units Representing Limited Partner Interests</t>
  </si>
  <si>
    <t>KRP US Equity</t>
  </si>
  <si>
    <t>NB_1524</t>
  </si>
  <si>
    <t>KRRO</t>
  </si>
  <si>
    <t>Korro Bio Inc. Common Stock</t>
  </si>
  <si>
    <t>KRRO US Equity</t>
  </si>
  <si>
    <t>NB_1525</t>
  </si>
  <si>
    <t>KRSA</t>
  </si>
  <si>
    <t>Korsana Biosciences Inc. Common Stock</t>
  </si>
  <si>
    <t>KRSA US Equity</t>
  </si>
  <si>
    <t>NB_1526</t>
  </si>
  <si>
    <t>KRT</t>
  </si>
  <si>
    <t>Karat Packaging Inc. Common Stock</t>
  </si>
  <si>
    <t>Plastic Products</t>
  </si>
  <si>
    <t>KRT US Equity</t>
  </si>
  <si>
    <t>NB_1527</t>
  </si>
  <si>
    <t>KRUS</t>
  </si>
  <si>
    <t>Kura Sushi USA Inc. Class A Common Stock</t>
  </si>
  <si>
    <t>Restaurants</t>
  </si>
  <si>
    <t>KRUS US Equity</t>
  </si>
  <si>
    <t>NB_1528</t>
  </si>
  <si>
    <t>KRYS</t>
  </si>
  <si>
    <t>Krystal Biotech Inc. Common Stock</t>
  </si>
  <si>
    <t>KRYS US Equity</t>
  </si>
  <si>
    <t>NB_1529</t>
  </si>
  <si>
    <t>KSCP</t>
  </si>
  <si>
    <t>Knightscope Inc. Class A Common Stock</t>
  </si>
  <si>
    <t>Telecommunications</t>
  </si>
  <si>
    <t>Telecommunications Equipment</t>
  </si>
  <si>
    <t>KSCP US Equity</t>
  </si>
  <si>
    <t>NB_1530</t>
  </si>
  <si>
    <t>KSS</t>
  </si>
  <si>
    <t>Kohl's Corporation Common Stock</t>
  </si>
  <si>
    <t>Department/Specialty Retail Stores</t>
  </si>
  <si>
    <t>KSS US Equity</t>
  </si>
  <si>
    <t>NB_1531</t>
  </si>
  <si>
    <t>KTB</t>
  </si>
  <si>
    <t>Kontoor Brands Inc. Common Stock</t>
  </si>
  <si>
    <t>Garments and Clothing</t>
  </si>
  <si>
    <t>KTB US Equity</t>
  </si>
  <si>
    <t>NB_1532</t>
  </si>
  <si>
    <t>KTCC</t>
  </si>
  <si>
    <t>Key Tronic Corporation Common Stock</t>
  </si>
  <si>
    <t>Electrical Products</t>
  </si>
  <si>
    <t>KTCC US Equity</t>
  </si>
  <si>
    <t>NB_1533</t>
  </si>
  <si>
    <t>KTOS</t>
  </si>
  <si>
    <t>Kratos Defense &amp; Security Solutions Inc. Common Stock</t>
  </si>
  <si>
    <t>KTOS US Equity</t>
  </si>
  <si>
    <t>NB_1534</t>
  </si>
  <si>
    <t>KTTA</t>
  </si>
  <si>
    <t>Pasithea Therapeutics Corp. Common Stock</t>
  </si>
  <si>
    <t>KTTA US Equity</t>
  </si>
  <si>
    <t>NB_1535</t>
  </si>
  <si>
    <t>KULR</t>
  </si>
  <si>
    <t>KULR Technology Group Inc. Common Stock</t>
  </si>
  <si>
    <t>KULR US Equity</t>
  </si>
  <si>
    <t>NB_1536</t>
  </si>
  <si>
    <t>KURA</t>
  </si>
  <si>
    <t>Kura Oncology Inc. Common Stock</t>
  </si>
  <si>
    <t>KURA US Equity</t>
  </si>
  <si>
    <t>NB_1537</t>
  </si>
  <si>
    <t>KUST</t>
  </si>
  <si>
    <t>Kustom Entertainment Inc. Common Stock</t>
  </si>
  <si>
    <t>Radio And Television Broadcasting And Communications Equipment</t>
  </si>
  <si>
    <t>KUST US Equity</t>
  </si>
  <si>
    <t>NB_1538</t>
  </si>
  <si>
    <t>KVHI</t>
  </si>
  <si>
    <t>KVH Industries Inc. Common Stock</t>
  </si>
  <si>
    <t>KVHI US Equity</t>
  </si>
  <si>
    <t>NB_1539</t>
  </si>
  <si>
    <t>KVUE</t>
  </si>
  <si>
    <t>Kenvue Inc. Common Stock</t>
  </si>
  <si>
    <t>Package Goods/Cosmetics</t>
  </si>
  <si>
    <t>KVUE US Equity</t>
  </si>
  <si>
    <t>NB_1540</t>
  </si>
  <si>
    <t>KVYO</t>
  </si>
  <si>
    <t>Klaviyo Inc. Series A Common Stock</t>
  </si>
  <si>
    <t>KVYO US Equity</t>
  </si>
  <si>
    <t>NB_1541</t>
  </si>
  <si>
    <t>KWR</t>
  </si>
  <si>
    <t>Quaker Houghton Common Stock</t>
  </si>
  <si>
    <t>KWR US Equity</t>
  </si>
  <si>
    <t>NB_1542</t>
  </si>
  <si>
    <t>KYMR</t>
  </si>
  <si>
    <t>Kymera Therapeutics Inc. Common Stock</t>
  </si>
  <si>
    <t>KYMR US Equity</t>
  </si>
  <si>
    <t>NB_1543</t>
  </si>
  <si>
    <t>KYNB</t>
  </si>
  <si>
    <t>Kyntra Bio Inc. Common Stock</t>
  </si>
  <si>
    <t>KYNB US Equity</t>
  </si>
  <si>
    <t>NB_1544</t>
  </si>
  <si>
    <t>KYTX</t>
  </si>
  <si>
    <t>Kyverna Therapeutics Inc. Common Stock</t>
  </si>
  <si>
    <t>KYTX US Equity</t>
  </si>
  <si>
    <t>NB_1545</t>
  </si>
  <si>
    <t>LAB</t>
  </si>
  <si>
    <t>Standard BioTools Inc. Common Stock</t>
  </si>
  <si>
    <t>Biotechnology: Laboratory Analytical Instruments</t>
  </si>
  <si>
    <t>LAB US Equity</t>
  </si>
  <si>
    <t>NB_1546</t>
  </si>
  <si>
    <t>LABT</t>
  </si>
  <si>
    <t>Lakewood-Amedex Biotherapeutics Inc. Common Stock</t>
  </si>
  <si>
    <t>LABT US Equity</t>
  </si>
  <si>
    <t>NB_1547</t>
  </si>
  <si>
    <t>LAD</t>
  </si>
  <si>
    <t>Lithia Motors Inc. Common Stock</t>
  </si>
  <si>
    <t>LAD US Equity</t>
  </si>
  <si>
    <t>NB_1548</t>
  </si>
  <si>
    <t>LAKE</t>
  </si>
  <si>
    <t>Lakeland Industries Inc. Common Stock</t>
  </si>
  <si>
    <t>Industrial Specialties</t>
  </si>
  <si>
    <t>LAKE US Equity</t>
  </si>
  <si>
    <t>NB_1549</t>
  </si>
  <si>
    <t>LASR</t>
  </si>
  <si>
    <t>nLIGHT Inc. Common Stock</t>
  </si>
  <si>
    <t>LASR US Equity</t>
  </si>
  <si>
    <t>NB_1550</t>
  </si>
  <si>
    <t>LAW</t>
  </si>
  <si>
    <t>CS Disco Inc. Common Stock</t>
  </si>
  <si>
    <t>LAW US Equity</t>
  </si>
  <si>
    <t>NB_1551</t>
  </si>
  <si>
    <t>LBRT</t>
  </si>
  <si>
    <t>Liberty Energy Inc. Class A common stock</t>
  </si>
  <si>
    <t>LBRT US Equity</t>
  </si>
  <si>
    <t>NB_1552</t>
  </si>
  <si>
    <t>LBRX</t>
  </si>
  <si>
    <t>LB Pharmaceuticals Inc Common Stock</t>
  </si>
  <si>
    <t>LBRX US Equity</t>
  </si>
  <si>
    <t>NB_1553</t>
  </si>
  <si>
    <t>LCID</t>
  </si>
  <si>
    <t>Lucid Group Inc. Common Stock</t>
  </si>
  <si>
    <t>Auto Manufacturing</t>
  </si>
  <si>
    <t>LCID US Equity</t>
  </si>
  <si>
    <t>NB_1554</t>
  </si>
  <si>
    <t>LCII</t>
  </si>
  <si>
    <t>LCI Industries</t>
  </si>
  <si>
    <t>Auto Parts:O.E.M.</t>
  </si>
  <si>
    <t>LCII US Equity</t>
  </si>
  <si>
    <t>NB_1555</t>
  </si>
  <si>
    <t>LCTX</t>
  </si>
  <si>
    <t>Lineage Cell Therapeutics Inc. Common Stock</t>
  </si>
  <si>
    <t>LCTX US Equity</t>
  </si>
  <si>
    <t>NB_1556</t>
  </si>
  <si>
    <t>LCUT</t>
  </si>
  <si>
    <t>Lifetime Brands Inc. Common Stock</t>
  </si>
  <si>
    <t>LCUT US Equity</t>
  </si>
  <si>
    <t>NB_1557</t>
  </si>
  <si>
    <t>LDOS</t>
  </si>
  <si>
    <t>Leidos Holdings Inc. Common Stock</t>
  </si>
  <si>
    <t>EDP Services</t>
  </si>
  <si>
    <t>LDOS US Equity</t>
  </si>
  <si>
    <t>NB_1558</t>
  </si>
  <si>
    <t>LE</t>
  </si>
  <si>
    <t>Lands' End Inc. Common Stock</t>
  </si>
  <si>
    <t>Clothing/Shoe/Accessory Stores</t>
  </si>
  <si>
    <t>LE US Equity</t>
  </si>
  <si>
    <t>NB_1559</t>
  </si>
  <si>
    <t>LEA</t>
  </si>
  <si>
    <t>Lear Corporation Common Stock</t>
  </si>
  <si>
    <t>LEA US Equity</t>
  </si>
  <si>
    <t>NB_1560</t>
  </si>
  <si>
    <t>LECO</t>
  </si>
  <si>
    <t>Lincoln Electric Holdings Inc. Common Shares</t>
  </si>
  <si>
    <t>LECO US Equity</t>
  </si>
  <si>
    <t>NB_1561</t>
  </si>
  <si>
    <t>LEE</t>
  </si>
  <si>
    <t>Lee Enterprises Incorporated Common Stock</t>
  </si>
  <si>
    <t>Newspapers/Magazines</t>
  </si>
  <si>
    <t>LEE US Equity</t>
  </si>
  <si>
    <t>NB_1562</t>
  </si>
  <si>
    <t>LEGH</t>
  </si>
  <si>
    <t>Legacy Housing Corporation Common Stock (TX)</t>
  </si>
  <si>
    <t>Homebuilding</t>
  </si>
  <si>
    <t>LEGH US Equity</t>
  </si>
  <si>
    <t>NB_1563</t>
  </si>
  <si>
    <t>LEGN</t>
  </si>
  <si>
    <t>Legend Biotech Corporation American Depositary Shares</t>
  </si>
  <si>
    <t>LEGN US Equity</t>
  </si>
  <si>
    <t>NB_1564</t>
  </si>
  <si>
    <t>LEN</t>
  </si>
  <si>
    <t>Lennar Corporation Class A Common Stock</t>
  </si>
  <si>
    <t>LEN US Equity</t>
  </si>
  <si>
    <t>NB_1565</t>
  </si>
  <si>
    <t>LENZ</t>
  </si>
  <si>
    <t>LENZ Therapeutics Inc. Common Stock</t>
  </si>
  <si>
    <t>LENZ US Equity</t>
  </si>
  <si>
    <t>NB_1566</t>
  </si>
  <si>
    <t>LESL</t>
  </si>
  <si>
    <t>Leslie's Inc. Common Stock</t>
  </si>
  <si>
    <t>Other Specialty Stores</t>
  </si>
  <si>
    <t>LESL US Equity</t>
  </si>
  <si>
    <t>NB_1567</t>
  </si>
  <si>
    <t>LEU</t>
  </si>
  <si>
    <t>Centrus Energy Corp. Class A Common Stock</t>
  </si>
  <si>
    <t>LEU US Equity</t>
  </si>
  <si>
    <t>NB_1568</t>
  </si>
  <si>
    <t>LEVI</t>
  </si>
  <si>
    <t>Levi Strauss &amp; Co Class A Common Stock</t>
  </si>
  <si>
    <t>Apparel</t>
  </si>
  <si>
    <t>LEVI US Equity</t>
  </si>
  <si>
    <t>NB_1569</t>
  </si>
  <si>
    <t>LFCR</t>
  </si>
  <si>
    <t>Lifecore Biomedical Inc. Common Stock</t>
  </si>
  <si>
    <t>LFCR US Equity</t>
  </si>
  <si>
    <t>NB_1570</t>
  </si>
  <si>
    <t>LFMD</t>
  </si>
  <si>
    <t>LifeMD Inc. Common Stock</t>
  </si>
  <si>
    <t>Medical/Nursing Services</t>
  </si>
  <si>
    <t>LFMD US Equity</t>
  </si>
  <si>
    <t>NB_1571</t>
  </si>
  <si>
    <t>LFMDP</t>
  </si>
  <si>
    <t>LifeMD Inc. 8.875% Series A Cumulative Perpetual Preferred Stock</t>
  </si>
  <si>
    <t>LFMDP US Equity</t>
  </si>
  <si>
    <t>NB_1572</t>
  </si>
  <si>
    <t>LFST</t>
  </si>
  <si>
    <t>LifeStance Health Group Inc. Common Stock</t>
  </si>
  <si>
    <t>LFST US Equity</t>
  </si>
  <si>
    <t>NB_1573</t>
  </si>
  <si>
    <t>LFTO</t>
  </si>
  <si>
    <t>Liftoff Mobile Inc. Common Stock</t>
  </si>
  <si>
    <t>LFTO US Equity</t>
  </si>
  <si>
    <t>NB_1574</t>
  </si>
  <si>
    <t>LFUS</t>
  </si>
  <si>
    <t>Littelfuse Inc. Common Stock</t>
  </si>
  <si>
    <t>LFUS US Equity</t>
  </si>
  <si>
    <t>NB_1575</t>
  </si>
  <si>
    <t>LFVN</t>
  </si>
  <si>
    <t>Lifevantage Corporation Common Stock (Delaware)</t>
  </si>
  <si>
    <t>LFVN US Equity</t>
  </si>
  <si>
    <t>NB_1576</t>
  </si>
  <si>
    <t>LGIH</t>
  </si>
  <si>
    <t>LGI Homes Inc. Common Stock</t>
  </si>
  <si>
    <t>LGIH US Equity</t>
  </si>
  <si>
    <t>NB_1577</t>
  </si>
  <si>
    <t>LGL</t>
  </si>
  <si>
    <t>LGL Group Inc. (The) Common Stock</t>
  </si>
  <si>
    <t>LGL US Equity</t>
  </si>
  <si>
    <t>NB_1578</t>
  </si>
  <si>
    <t>LGN</t>
  </si>
  <si>
    <t>Legence Corp. Class A Common stock</t>
  </si>
  <si>
    <t>Engineering &amp; Construction</t>
  </si>
  <si>
    <t>LGN US Equity</t>
  </si>
  <si>
    <t>NB_1579</t>
  </si>
  <si>
    <t>LGND</t>
  </si>
  <si>
    <t>Ligand Pharmaceuticals Incorporated Common Stock</t>
  </si>
  <si>
    <t>LGND US Equity</t>
  </si>
  <si>
    <t>NB_1580</t>
  </si>
  <si>
    <t>LGVN</t>
  </si>
  <si>
    <t>Longeveron Inc. Class A Common Stock</t>
  </si>
  <si>
    <t>LGVN US Equity</t>
  </si>
  <si>
    <t>NB_1581</t>
  </si>
  <si>
    <t>LH</t>
  </si>
  <si>
    <t>Labcorp Holdings Inc. Common Stock</t>
  </si>
  <si>
    <t>LH US Equity</t>
  </si>
  <si>
    <t>NB_1582</t>
  </si>
  <si>
    <t>LHX</t>
  </si>
  <si>
    <t>L3Harris Technologies Inc. Common Stock</t>
  </si>
  <si>
    <t>LHX US Equity</t>
  </si>
  <si>
    <t>NB_1583</t>
  </si>
  <si>
    <t>LIDR</t>
  </si>
  <si>
    <t>AEye Inc. Class A Common Stock</t>
  </si>
  <si>
    <t>LIDR US Equity</t>
  </si>
  <si>
    <t>NB_1584</t>
  </si>
  <si>
    <t>LIF</t>
  </si>
  <si>
    <t>Life360 Inc. Common Stock</t>
  </si>
  <si>
    <t>LIF US Equity</t>
  </si>
  <si>
    <t>NB_1585</t>
  </si>
  <si>
    <t>LII</t>
  </si>
  <si>
    <t>Lennox International Inc. Common Stock</t>
  </si>
  <si>
    <t>LII US Equity</t>
  </si>
  <si>
    <t>NB_1586</t>
  </si>
  <si>
    <t>LILA</t>
  </si>
  <si>
    <t>Liberty Latin America Ltd. Class A Common Stock</t>
  </si>
  <si>
    <t>Cable &amp; Other Pay Television Services</t>
  </si>
  <si>
    <t>LILA US Equity</t>
  </si>
  <si>
    <t>NB_1587</t>
  </si>
  <si>
    <t>LILAK</t>
  </si>
  <si>
    <t>Liberty Latin America Ltd. Class C Common Stock</t>
  </si>
  <si>
    <t>LILAK US Equity</t>
  </si>
  <si>
    <t>NB_1588</t>
  </si>
  <si>
    <t>LILAP</t>
  </si>
  <si>
    <t>Liberty Latin America Ltd. 9.0% Fixed Rate Cumulative Perpetual Redeemable Series A Preference Shares</t>
  </si>
  <si>
    <t>LILAP US Equity</t>
  </si>
  <si>
    <t>NB_1589</t>
  </si>
  <si>
    <t>LIME</t>
  </si>
  <si>
    <t>Neutron Holdings Inc. Common Stock</t>
  </si>
  <si>
    <t>LIME US Equity</t>
  </si>
  <si>
    <t>NB_1590</t>
  </si>
  <si>
    <t>LIMN</t>
  </si>
  <si>
    <t>Liminatus Pharma Inc. Class A Common Stock</t>
  </si>
  <si>
    <t>LIMN US Equity</t>
  </si>
  <si>
    <t>NB_1591</t>
  </si>
  <si>
    <t>LIN</t>
  </si>
  <si>
    <t>Linde plc Ordinary Shares</t>
  </si>
  <si>
    <t>LIN US Equity</t>
  </si>
  <si>
    <t>NB_1592</t>
  </si>
  <si>
    <t>LIND</t>
  </si>
  <si>
    <t>Lindblad Expeditions Holdings Inc. Common Stock</t>
  </si>
  <si>
    <t>Transportation Services</t>
  </si>
  <si>
    <t>LIND US Equity</t>
  </si>
  <si>
    <t>NB_1593</t>
  </si>
  <si>
    <t>LINK</t>
  </si>
  <si>
    <t>Interlink Electronics Inc. Common Stock</t>
  </si>
  <si>
    <t>Computer peripheral equipment</t>
  </si>
  <si>
    <t>LINK US Equity</t>
  </si>
  <si>
    <t>NB_1594</t>
  </si>
  <si>
    <t>LITE</t>
  </si>
  <si>
    <t>Lumentum Holdings Inc. Common Stock</t>
  </si>
  <si>
    <t>LITE US Equity</t>
  </si>
  <si>
    <t>NB_1595</t>
  </si>
  <si>
    <t>LITS</t>
  </si>
  <si>
    <t>Lite Strategy Inc. Common Stock</t>
  </si>
  <si>
    <t>LITS US Equity</t>
  </si>
  <si>
    <t>NB_1596</t>
  </si>
  <si>
    <t>LIVE</t>
  </si>
  <si>
    <t>Live Ventures Incorporated Common Stock</t>
  </si>
  <si>
    <t>LIVE US Equity</t>
  </si>
  <si>
    <t>NB_1597</t>
  </si>
  <si>
    <t>LKQ</t>
  </si>
  <si>
    <t>LKQ Corporation Common Stock</t>
  </si>
  <si>
    <t>Motor Vehicles</t>
  </si>
  <si>
    <t>LKQ US Equity</t>
  </si>
  <si>
    <t>NB_1598</t>
  </si>
  <si>
    <t>LLY</t>
  </si>
  <si>
    <t>Eli Lilly and Company Common Stock</t>
  </si>
  <si>
    <t>LLY US Equity</t>
  </si>
  <si>
    <t>NB_1599</t>
  </si>
  <si>
    <t>LLYVA</t>
  </si>
  <si>
    <t>Liberty Live Holdings Inc. Series A Liberty Live Group Common Stock</t>
  </si>
  <si>
    <t>Services-Misc. Amusement &amp; Recreation</t>
  </si>
  <si>
    <t>LLYVA US Equity</t>
  </si>
  <si>
    <t>NB_1600</t>
  </si>
  <si>
    <t>LLYVK</t>
  </si>
  <si>
    <t>Liberty Live Holdings Inc. Series C Liberty Live Group Common Stock</t>
  </si>
  <si>
    <t>LLYVK US Equity</t>
  </si>
  <si>
    <t>NB_1601</t>
  </si>
  <si>
    <t>LMAT</t>
  </si>
  <si>
    <t>LeMaitre Vascular Inc. Common Stock</t>
  </si>
  <si>
    <t>LMAT US Equity</t>
  </si>
  <si>
    <t>NB_1602</t>
  </si>
  <si>
    <t>LMB</t>
  </si>
  <si>
    <t>Limbach Holdings Inc. Common Stock</t>
  </si>
  <si>
    <t>LMB US Equity</t>
  </si>
  <si>
    <t>NB_1603</t>
  </si>
  <si>
    <t>LMNR</t>
  </si>
  <si>
    <t>Limoneira Co Common Stock</t>
  </si>
  <si>
    <t>Farming/Seeds/Milling</t>
  </si>
  <si>
    <t>LMNR US Equity</t>
  </si>
  <si>
    <t>NB_1604</t>
  </si>
  <si>
    <t>LMRI</t>
  </si>
  <si>
    <t>Lumexa Imaging Holdings Inc. Common Stock</t>
  </si>
  <si>
    <t>LMRI US Equity</t>
  </si>
  <si>
    <t>NB_1605</t>
  </si>
  <si>
    <t>LMT</t>
  </si>
  <si>
    <t>Lockheed Martin Corporation Common Stock</t>
  </si>
  <si>
    <t>LMT US Equity</t>
  </si>
  <si>
    <t>NB_1606</t>
  </si>
  <si>
    <t>LNAI</t>
  </si>
  <si>
    <t>Lunai Bioworks Inc. Common Stock</t>
  </si>
  <si>
    <t>LNAI US Equity</t>
  </si>
  <si>
    <t>NB_1607</t>
  </si>
  <si>
    <t>LNG</t>
  </si>
  <si>
    <t>Cheniere Energy Inc. Common Stock</t>
  </si>
  <si>
    <t>Oil/Gas Transmission</t>
  </si>
  <si>
    <t>LNG US Equity</t>
  </si>
  <si>
    <t>NB_1608</t>
  </si>
  <si>
    <t>LNN</t>
  </si>
  <si>
    <t>Lindsay Corporation Common Stock</t>
  </si>
  <si>
    <t>LNN US Equity</t>
  </si>
  <si>
    <t>NB_1609</t>
  </si>
  <si>
    <t>LNSR</t>
  </si>
  <si>
    <t>LENSAR Inc. Common Stock</t>
  </si>
  <si>
    <t>LNSR US Equity</t>
  </si>
  <si>
    <t>NB_1610</t>
  </si>
  <si>
    <t>LNT</t>
  </si>
  <si>
    <t>Alliant Energy Corporation Common Stock</t>
  </si>
  <si>
    <t>Power Generation</t>
  </si>
  <si>
    <t>LNT US Equity</t>
  </si>
  <si>
    <t>NB_1611</t>
  </si>
  <si>
    <t>LNTH</t>
  </si>
  <si>
    <t>Lantheus Holdings Inc. Common Stock</t>
  </si>
  <si>
    <t>Biotechnology: In Vitro &amp; In Vivo Diagnostic Substances</t>
  </si>
  <si>
    <t>LNTH US Equity</t>
  </si>
  <si>
    <t>NB_1612</t>
  </si>
  <si>
    <t>LNZA</t>
  </si>
  <si>
    <t>LanzaTech Global Inc. Common Stock</t>
  </si>
  <si>
    <t>LNZA US Equity</t>
  </si>
  <si>
    <t>NB_1613</t>
  </si>
  <si>
    <t>LOAR</t>
  </si>
  <si>
    <t>Loar Holdings Inc. Common Stock</t>
  </si>
  <si>
    <t>LOAR US Equity</t>
  </si>
  <si>
    <t>NB_1614</t>
  </si>
  <si>
    <t>LOCL</t>
  </si>
  <si>
    <t>Local Bounti Corporation Common Stock</t>
  </si>
  <si>
    <t>LOCL US Equity</t>
  </si>
  <si>
    <t>NB_1615</t>
  </si>
  <si>
    <t>LOCO</t>
  </si>
  <si>
    <t>El Pollo Loco Holdings Inc. Common Stock</t>
  </si>
  <si>
    <t>LOCO US Equity</t>
  </si>
  <si>
    <t>NB_1616</t>
  </si>
  <si>
    <t>LODE</t>
  </si>
  <si>
    <t>Comstock Inc. Common Stock</t>
  </si>
  <si>
    <t>LODE US Equity</t>
  </si>
  <si>
    <t>NB_1617</t>
  </si>
  <si>
    <t>LOGI</t>
  </si>
  <si>
    <t>Logitech International S.A. Ordinary Shares</t>
  </si>
  <si>
    <t>LOGI US Equity</t>
  </si>
  <si>
    <t>NB_1618</t>
  </si>
  <si>
    <t>LONA</t>
  </si>
  <si>
    <t>LeonaBio Inc. Common Stock</t>
  </si>
  <si>
    <t>LONA US Equity</t>
  </si>
  <si>
    <t>NB_1619</t>
  </si>
  <si>
    <t>LOVE</t>
  </si>
  <si>
    <t>The Lovesac Company Common Stock</t>
  </si>
  <si>
    <t>LOVE US Equity</t>
  </si>
  <si>
    <t>NB_1620</t>
  </si>
  <si>
    <t>LOW</t>
  </si>
  <si>
    <t>Lowe's Companies Inc. Common Stock</t>
  </si>
  <si>
    <t>RETAIL: Building Materials</t>
  </si>
  <si>
    <t>LOW US Equity</t>
  </si>
  <si>
    <t>NB_1621</t>
  </si>
  <si>
    <t>LPCN</t>
  </si>
  <si>
    <t>Lipocine Inc. Common Stock</t>
  </si>
  <si>
    <t>LPCN US Equity</t>
  </si>
  <si>
    <t>NB_1622</t>
  </si>
  <si>
    <t>LPG</t>
  </si>
  <si>
    <t>Dorian LPG Ltd. Common Stock</t>
  </si>
  <si>
    <t>LPG US Equity</t>
  </si>
  <si>
    <t>NB_1623</t>
  </si>
  <si>
    <t>LPTH</t>
  </si>
  <si>
    <t>LightPath Technologies Inc. Class A Common Stock</t>
  </si>
  <si>
    <t>LPTH US Equity</t>
  </si>
  <si>
    <t>NB_1624</t>
  </si>
  <si>
    <t>LPX</t>
  </si>
  <si>
    <t>Louisiana-Pacific Corporation Common Stock</t>
  </si>
  <si>
    <t>LPX US Equity</t>
  </si>
  <si>
    <t>NB_1625</t>
  </si>
  <si>
    <t>LQDA</t>
  </si>
  <si>
    <t>Liquidia Corporation Common Stock</t>
  </si>
  <si>
    <t>LQDA US Equity</t>
  </si>
  <si>
    <t>NB_1626</t>
  </si>
  <si>
    <t>LQDT</t>
  </si>
  <si>
    <t>Liquidity Services Inc. Common Stock</t>
  </si>
  <si>
    <t>Business Services</t>
  </si>
  <si>
    <t>LQDT US Equity</t>
  </si>
  <si>
    <t>NB_1627</t>
  </si>
  <si>
    <t>LRCX</t>
  </si>
  <si>
    <t>Lam Research Corporation Common Stock</t>
  </si>
  <si>
    <t>LRCX US Equity</t>
  </si>
  <si>
    <t>NB_1628</t>
  </si>
  <si>
    <t>LRMR</t>
  </si>
  <si>
    <t>Larimar Therapeutics Inc. Common Stock</t>
  </si>
  <si>
    <t>LRMR US Equity</t>
  </si>
  <si>
    <t>NB_1629</t>
  </si>
  <si>
    <t>LSCC</t>
  </si>
  <si>
    <t>Lattice Semiconductor Corporation Common Stock</t>
  </si>
  <si>
    <t>LSCC US Equity</t>
  </si>
  <si>
    <t>NB_1630</t>
  </si>
  <si>
    <t>LSTA</t>
  </si>
  <si>
    <t>Lisata Therapeutics Inc. Common Stock</t>
  </si>
  <si>
    <t>LSTA US Equity</t>
  </si>
  <si>
    <t>NB_1631</t>
  </si>
  <si>
    <t>LSTR</t>
  </si>
  <si>
    <t>Landstar System Inc. Common Stock</t>
  </si>
  <si>
    <t>LSTR US Equity</t>
  </si>
  <si>
    <t>NB_1632</t>
  </si>
  <si>
    <t>LTBR</t>
  </si>
  <si>
    <t>Lightbridge Corporation Common Stock</t>
  </si>
  <si>
    <t>LTBR US Equity</t>
  </si>
  <si>
    <t>NB_1633</t>
  </si>
  <si>
    <t>LTGO</t>
  </si>
  <si>
    <t>Latigo Biotherapeutics Inc. Common Stock</t>
  </si>
  <si>
    <t>LTGO US Equity</t>
  </si>
  <si>
    <t>NB_1634</t>
  </si>
  <si>
    <t>LTH</t>
  </si>
  <si>
    <t>Life Time Group Holdings Inc. Common Stock</t>
  </si>
  <si>
    <t>Hotels/Resorts</t>
  </si>
  <si>
    <t>LTH US Equity</t>
  </si>
  <si>
    <t>NB_1635</t>
  </si>
  <si>
    <t>LTRN</t>
  </si>
  <si>
    <t>Lantern Pharma Inc. Common Stock</t>
  </si>
  <si>
    <t>LTRN US Equity</t>
  </si>
  <si>
    <t>NB_1636</t>
  </si>
  <si>
    <t>LTRX</t>
  </si>
  <si>
    <t>Lantronix Inc. Common Stock</t>
  </si>
  <si>
    <t>Computer Communications Equipment</t>
  </si>
  <si>
    <t>LTRX US Equity</t>
  </si>
  <si>
    <t>NB_1637</t>
  </si>
  <si>
    <t>LTRYW</t>
  </si>
  <si>
    <t>Sports Entertainment Gaming Global Corporation Warrants</t>
  </si>
  <si>
    <t>LTRYW US Equity</t>
  </si>
  <si>
    <t>NB_1638</t>
  </si>
  <si>
    <t>LUCD</t>
  </si>
  <si>
    <t>Lucid Diagnostics Inc. Common Stock</t>
  </si>
  <si>
    <t>LUCD US Equity</t>
  </si>
  <si>
    <t>NB_1639</t>
  </si>
  <si>
    <t>LUCK</t>
  </si>
  <si>
    <t>Lucky Strike Entertainment Corporation Class A Common Stock</t>
  </si>
  <si>
    <t>LUCK US Equity</t>
  </si>
  <si>
    <t>NB_1640</t>
  </si>
  <si>
    <t>LUCY</t>
  </si>
  <si>
    <t>Innovative Eyewear Inc. Common Stock</t>
  </si>
  <si>
    <t>Ophthalmic Goods</t>
  </si>
  <si>
    <t>LUCY US Equity</t>
  </si>
  <si>
    <t>NB_1641</t>
  </si>
  <si>
    <t>LUCYW</t>
  </si>
  <si>
    <t>Innovative Eyewear Inc. Series A Warrants 8/16/27</t>
  </si>
  <si>
    <t>LUCYW US Equity</t>
  </si>
  <si>
    <t>NB_1642</t>
  </si>
  <si>
    <t>LUMN</t>
  </si>
  <si>
    <t>Lumen Technologies Inc. Common Stock</t>
  </si>
  <si>
    <t>LUMN US Equity</t>
  </si>
  <si>
    <t>NB_1643</t>
  </si>
  <si>
    <t>LUNG</t>
  </si>
  <si>
    <t>Pulmonx Corporation Common Stock</t>
  </si>
  <si>
    <t>LUNG US Equity</t>
  </si>
  <si>
    <t>NB_1644</t>
  </si>
  <si>
    <t>LUNR</t>
  </si>
  <si>
    <t>Intuitive Machines Inc. Class A Common Stock</t>
  </si>
  <si>
    <t>LUNR US Equity</t>
  </si>
  <si>
    <t>NB_1645</t>
  </si>
  <si>
    <t>LUV</t>
  </si>
  <si>
    <t>Southwest Airlines Company Common Stock</t>
  </si>
  <si>
    <t>Air Freight/Delivery Services</t>
  </si>
  <si>
    <t>LUV US Equity</t>
  </si>
  <si>
    <t>NB_1646</t>
  </si>
  <si>
    <t>LVLU</t>
  </si>
  <si>
    <t>Lulu's Fashion Lounge Holdings Inc. Common Stock</t>
  </si>
  <si>
    <t>Catalog/Specialty Distribution</t>
  </si>
  <si>
    <t>LVLU US Equity</t>
  </si>
  <si>
    <t>NB_1647</t>
  </si>
  <si>
    <t>LVO</t>
  </si>
  <si>
    <t>LiveOne Inc. Common Stock</t>
  </si>
  <si>
    <t>LVO US Equity</t>
  </si>
  <si>
    <t>NB_1648</t>
  </si>
  <si>
    <t>LVS</t>
  </si>
  <si>
    <t>Las Vegas Sands Corp. Common Stock</t>
  </si>
  <si>
    <t>LVS US Equity</t>
  </si>
  <si>
    <t>NB_1649</t>
  </si>
  <si>
    <t>LVWR</t>
  </si>
  <si>
    <t>LiveWire Group Inc. Common Stock</t>
  </si>
  <si>
    <t>LVWR US Equity</t>
  </si>
  <si>
    <t>NB_1650</t>
  </si>
  <si>
    <t>LW</t>
  </si>
  <si>
    <t>Lamb Weston Holdings Inc. Common Stock</t>
  </si>
  <si>
    <t>LW US Equity</t>
  </si>
  <si>
    <t>NB_1651</t>
  </si>
  <si>
    <t>LWAY</t>
  </si>
  <si>
    <t>Lifeway Foods Inc. Common Stock</t>
  </si>
  <si>
    <t>LWAY US Equity</t>
  </si>
  <si>
    <t>NB_1652</t>
  </si>
  <si>
    <t>LWLG</t>
  </si>
  <si>
    <t>Lightwave Logic Inc. Common Stock</t>
  </si>
  <si>
    <t>LWLG US Equity</t>
  </si>
  <si>
    <t>NB_1653</t>
  </si>
  <si>
    <t>LXEO</t>
  </si>
  <si>
    <t>Lexeo Therapeutics Inc. Common Stock</t>
  </si>
  <si>
    <t>LXEO US Equity</t>
  </si>
  <si>
    <t>NB_1654</t>
  </si>
  <si>
    <t>LXRX</t>
  </si>
  <si>
    <t>Lexicon Pharmaceuticals Inc. Common Stock</t>
  </si>
  <si>
    <t>LXRX US Equity</t>
  </si>
  <si>
    <t>NB_1655</t>
  </si>
  <si>
    <t>LXU</t>
  </si>
  <si>
    <t>LSB Industries Inc. Common Stock</t>
  </si>
  <si>
    <t>LXU US Equity</t>
  </si>
  <si>
    <t>NB_1656</t>
  </si>
  <si>
    <t>LYEL</t>
  </si>
  <si>
    <t>Lyell Immunopharma Inc. Common Stock</t>
  </si>
  <si>
    <t>LYEL US Equity</t>
  </si>
  <si>
    <t>NB_1657</t>
  </si>
  <si>
    <t>LYFT</t>
  </si>
  <si>
    <t>Lyft Inc. Class A Common Stock</t>
  </si>
  <si>
    <t>LYFT US Equity</t>
  </si>
  <si>
    <t>NB_1658</t>
  </si>
  <si>
    <t>LYTS</t>
  </si>
  <si>
    <t>LSI Industries Inc. Common Stock</t>
  </si>
  <si>
    <t>Building Products</t>
  </si>
  <si>
    <t>LYTS US Equity</t>
  </si>
  <si>
    <t>NB_1659</t>
  </si>
  <si>
    <t>LYV</t>
  </si>
  <si>
    <t>Live Nation Entertainment Inc. Common Stock</t>
  </si>
  <si>
    <t>LYV US Equity</t>
  </si>
  <si>
    <t>NB_1660</t>
  </si>
  <si>
    <t>LZ</t>
  </si>
  <si>
    <t>LegalZoom.com Inc. Common Stock</t>
  </si>
  <si>
    <t>LZ US Equity</t>
  </si>
  <si>
    <t>NB_1661</t>
  </si>
  <si>
    <t>LZB</t>
  </si>
  <si>
    <t>La-Z-Boy Incorporated Common Stock</t>
  </si>
  <si>
    <t>Home Furnishings</t>
  </si>
  <si>
    <t>LZB US Equity</t>
  </si>
  <si>
    <t>NB_1662</t>
  </si>
  <si>
    <t>M</t>
  </si>
  <si>
    <t>Macy's Inc Common Stock</t>
  </si>
  <si>
    <t>M US Equity</t>
  </si>
  <si>
    <t>NB_1663</t>
  </si>
  <si>
    <t>MA</t>
  </si>
  <si>
    <t>Mastercard Incorporated Common Stock</t>
  </si>
  <si>
    <t>MA US Equity</t>
  </si>
  <si>
    <t>NB_1664</t>
  </si>
  <si>
    <t>MAGN</t>
  </si>
  <si>
    <t>Magnera Corporation Common Stock</t>
  </si>
  <si>
    <t>Paper</t>
  </si>
  <si>
    <t>MAGN US Equity</t>
  </si>
  <si>
    <t>NB_1665</t>
  </si>
  <si>
    <t>MAMA</t>
  </si>
  <si>
    <t>Mama's Creations Inc. Common Stock</t>
  </si>
  <si>
    <t>Specialty Foods</t>
  </si>
  <si>
    <t>MAMA US Equity</t>
  </si>
  <si>
    <t>NB_1666</t>
  </si>
  <si>
    <t>MAMO</t>
  </si>
  <si>
    <t>Massimo Group Common Stock</t>
  </si>
  <si>
    <t>MAMO US Equity</t>
  </si>
  <si>
    <t>NB_1667</t>
  </si>
  <si>
    <t>MAN</t>
  </si>
  <si>
    <t>ManpowerGroup Common Stock</t>
  </si>
  <si>
    <t>MAN US Equity</t>
  </si>
  <si>
    <t>NB_1668</t>
  </si>
  <si>
    <t>MANH</t>
  </si>
  <si>
    <t>Manhattan Associates Inc. Common Stock</t>
  </si>
  <si>
    <t>MANH US Equity</t>
  </si>
  <si>
    <t>NB_1669</t>
  </si>
  <si>
    <t>MAR</t>
  </si>
  <si>
    <t>Marriott International Class A Common Stock</t>
  </si>
  <si>
    <t>MAR US Equity</t>
  </si>
  <si>
    <t>NB_1670</t>
  </si>
  <si>
    <t>MARPS</t>
  </si>
  <si>
    <t>Marine Petroleum Trust Units of Beneficial Interest</t>
  </si>
  <si>
    <t>MARPS US Equity</t>
  </si>
  <si>
    <t>NB_1671</t>
  </si>
  <si>
    <t>MAS</t>
  </si>
  <si>
    <t>Masco Corporation Common Stock</t>
  </si>
  <si>
    <t>MAS US Equity</t>
  </si>
  <si>
    <t>NB_1672</t>
  </si>
  <si>
    <t>MASS</t>
  </si>
  <si>
    <t>908 Devices Inc. Common Stock</t>
  </si>
  <si>
    <t>MASS US Equity</t>
  </si>
  <si>
    <t>NB_1673</t>
  </si>
  <si>
    <t>MAT</t>
  </si>
  <si>
    <t>Mattel Inc. Common Stock</t>
  </si>
  <si>
    <t>Recreational Games/Products/Toys</t>
  </si>
  <si>
    <t>MAT US Equity</t>
  </si>
  <si>
    <t>NB_1674</t>
  </si>
  <si>
    <t>MATV</t>
  </si>
  <si>
    <t>Mativ Holdings Inc. Common Stock</t>
  </si>
  <si>
    <t>MATV US Equity</t>
  </si>
  <si>
    <t>NB_1675</t>
  </si>
  <si>
    <t>MATW</t>
  </si>
  <si>
    <t>Matthews International Corporation Class A Common Stock</t>
  </si>
  <si>
    <t>Metal Fabrications</t>
  </si>
  <si>
    <t>MATW US Equity</t>
  </si>
  <si>
    <t>NB_1676</t>
  </si>
  <si>
    <t>MATX</t>
  </si>
  <si>
    <t>Matson Inc. Common Stock</t>
  </si>
  <si>
    <t>MATX US Equity</t>
  </si>
  <si>
    <t>NB_1677</t>
  </si>
  <si>
    <t>MAX</t>
  </si>
  <si>
    <t>MediaAlpha Inc. Class A Common Stock</t>
  </si>
  <si>
    <t>MAX US Equity</t>
  </si>
  <si>
    <t>NB_1678</t>
  </si>
  <si>
    <t>MAZE</t>
  </si>
  <si>
    <t>Maze Therapeutics Inc. Common Stock</t>
  </si>
  <si>
    <t>MAZE US Equity</t>
  </si>
  <si>
    <t>NB_1679</t>
  </si>
  <si>
    <t>MBC</t>
  </si>
  <si>
    <t>MasterBrand Inc. Common Stock</t>
  </si>
  <si>
    <t>MBC US Equity</t>
  </si>
  <si>
    <t>NB_1680</t>
  </si>
  <si>
    <t>MBGL</t>
  </si>
  <si>
    <t>Mobility Global Inc. Common Stock</t>
  </si>
  <si>
    <t>MBGL US Equity</t>
  </si>
  <si>
    <t>NB_1681</t>
  </si>
  <si>
    <t>MBIO</t>
  </si>
  <si>
    <t>Mustang Bio Inc. Common Stock</t>
  </si>
  <si>
    <t>MBIO US Equity</t>
  </si>
  <si>
    <t>NB_1682</t>
  </si>
  <si>
    <t>MBRX</t>
  </si>
  <si>
    <t>Moleculin Biotech Inc. Common Stock</t>
  </si>
  <si>
    <t>MBRX US Equity</t>
  </si>
  <si>
    <t>NB_1683</t>
  </si>
  <si>
    <t>MBUU</t>
  </si>
  <si>
    <t>Malibu Boats Inc. Class A Common Stock</t>
  </si>
  <si>
    <t>MBUU US Equity</t>
  </si>
  <si>
    <t>NB_1684</t>
  </si>
  <si>
    <t>MBX</t>
  </si>
  <si>
    <t>MBX Biosciences Inc. Common Stock</t>
  </si>
  <si>
    <t>MBX US Equity</t>
  </si>
  <si>
    <t>NB_1685</t>
  </si>
  <si>
    <t>MCD</t>
  </si>
  <si>
    <t>McDonald's Corporation Common Stock</t>
  </si>
  <si>
    <t>MCD US Equity</t>
  </si>
  <si>
    <t>NB_1686</t>
  </si>
  <si>
    <t>MCFT</t>
  </si>
  <si>
    <t>MasterCraft Boat Holdings Inc. Common Stock</t>
  </si>
  <si>
    <t>MCFT US Equity</t>
  </si>
  <si>
    <t>NB_1687</t>
  </si>
  <si>
    <t>MCGA</t>
  </si>
  <si>
    <t>Yorkville Acquisition Corp. Class A Ordinary Share</t>
  </si>
  <si>
    <t>Electric Utilities: Central</t>
  </si>
  <si>
    <t>MCGA US Equity</t>
  </si>
  <si>
    <t>NB_1688</t>
  </si>
  <si>
    <t>MCHP</t>
  </si>
  <si>
    <t>Microchip Technology Incorporated Common Stock</t>
  </si>
  <si>
    <t>MCHP US Equity</t>
  </si>
  <si>
    <t>NB_1689</t>
  </si>
  <si>
    <t>MCHPP</t>
  </si>
  <si>
    <t>Microchip Technology Incorporated Depositary Shares Each Representing a 1/20th Interest in a Share of 7.50% Series A Mandatory Convertible Preferred Stock</t>
  </si>
  <si>
    <t>MCHPP US Equity</t>
  </si>
  <si>
    <t>NB_1690</t>
  </si>
  <si>
    <t>MCHX</t>
  </si>
  <si>
    <t>Marchex Inc. Class B Common Stock</t>
  </si>
  <si>
    <t>MCHX US Equity</t>
  </si>
  <si>
    <t>NB_1691</t>
  </si>
  <si>
    <t>MCK</t>
  </si>
  <si>
    <t>McKesson Corporation Common Stock</t>
  </si>
  <si>
    <t>Other Pharmaceuticals</t>
  </si>
  <si>
    <t>MCK US Equity</t>
  </si>
  <si>
    <t>NB_1692</t>
  </si>
  <si>
    <t>MCRB</t>
  </si>
  <si>
    <t>Seres Therapeutics Inc. Common Stock</t>
  </si>
  <si>
    <t>MCRB US Equity</t>
  </si>
  <si>
    <t>NB_1693</t>
  </si>
  <si>
    <t>MCRI</t>
  </si>
  <si>
    <t>Monarch Casino &amp; Resort Inc. Common Stock</t>
  </si>
  <si>
    <t>MCRI US Equity</t>
  </si>
  <si>
    <t>NB_1694</t>
  </si>
  <si>
    <t>MCS</t>
  </si>
  <si>
    <t>Marcus Corporation (The) Common Stock</t>
  </si>
  <si>
    <t>Movies/Entertainment</t>
  </si>
  <si>
    <t>MCS US Equity</t>
  </si>
  <si>
    <t>NB_1695</t>
  </si>
  <si>
    <t>MD</t>
  </si>
  <si>
    <t>Pediatrix Medical Group Inc. Common Stock</t>
  </si>
  <si>
    <t>Hospital/Nursing Management</t>
  </si>
  <si>
    <t>MD US Equity</t>
  </si>
  <si>
    <t>NB_1696</t>
  </si>
  <si>
    <t>MDAI</t>
  </si>
  <si>
    <t>Spectral AI Inc. Class A Common Stock</t>
  </si>
  <si>
    <t>MDAI US Equity</t>
  </si>
  <si>
    <t>NB_1697</t>
  </si>
  <si>
    <t>MDAIW</t>
  </si>
  <si>
    <t>Spectral AI Inc. Warrants</t>
  </si>
  <si>
    <t>MDAIW US Equity</t>
  </si>
  <si>
    <t>NB_1698</t>
  </si>
  <si>
    <t>MDB</t>
  </si>
  <si>
    <t>MongoDB Inc. Class A Common Stock</t>
  </si>
  <si>
    <t>MDB US Equity</t>
  </si>
  <si>
    <t>NB_1699</t>
  </si>
  <si>
    <t>MDGL</t>
  </si>
  <si>
    <t>Madrigal Pharmaceuticals Inc. Common Stock</t>
  </si>
  <si>
    <t>MDGL US Equity</t>
  </si>
  <si>
    <t>NB_1700</t>
  </si>
  <si>
    <t>MDIA</t>
  </si>
  <si>
    <t>Mediaco Holding Inc. Class A Common Stock</t>
  </si>
  <si>
    <t>Broadcasting</t>
  </si>
  <si>
    <t>MDIA US Equity</t>
  </si>
  <si>
    <t>NB_1701</t>
  </si>
  <si>
    <t>MDLN</t>
  </si>
  <si>
    <t>Medline Inc. Class A Common Stock</t>
  </si>
  <si>
    <t>MDLN US Equity</t>
  </si>
  <si>
    <t>NB_1702</t>
  </si>
  <si>
    <t>MDLZ</t>
  </si>
  <si>
    <t>Mondelez International Inc. Class A Common Stock</t>
  </si>
  <si>
    <t>MDLZ US Equity</t>
  </si>
  <si>
    <t>NB_1703</t>
  </si>
  <si>
    <t>MDT</t>
  </si>
  <si>
    <t>Medtronic plc. Ordinary Shares</t>
  </si>
  <si>
    <t>Biotechnology: Electromedical &amp; Electrotherapeutic Apparatus</t>
  </si>
  <si>
    <t>MDT US Equity</t>
  </si>
  <si>
    <t>NB_1704</t>
  </si>
  <si>
    <t>MDU</t>
  </si>
  <si>
    <t>MDU Resources Group Inc. Common Stock (Holding Company)</t>
  </si>
  <si>
    <t>MDU US Equity</t>
  </si>
  <si>
    <t>NB_1705</t>
  </si>
  <si>
    <t>MDXG</t>
  </si>
  <si>
    <t>MiMedx Group Inc Common Stock</t>
  </si>
  <si>
    <t>MDXG US Equity</t>
  </si>
  <si>
    <t>NB_1706</t>
  </si>
  <si>
    <t>MEC</t>
  </si>
  <si>
    <t>Mayville Engineering Company Inc. Common Stock</t>
  </si>
  <si>
    <t>MEC US Equity</t>
  </si>
  <si>
    <t>NB_1707</t>
  </si>
  <si>
    <t>MED</t>
  </si>
  <si>
    <t>MEDIFAST INC Common Stock</t>
  </si>
  <si>
    <t>MED US Equity</t>
  </si>
  <si>
    <t>NB_1708</t>
  </si>
  <si>
    <t>MEDP</t>
  </si>
  <si>
    <t>Medpace Holdings Inc. Common Stock</t>
  </si>
  <si>
    <t>Biotechnology: Commercial Physical &amp; Biological Resarch</t>
  </si>
  <si>
    <t>MEDP US Equity</t>
  </si>
  <si>
    <t>NB_1709</t>
  </si>
  <si>
    <t>MEDS</t>
  </si>
  <si>
    <t>DataMeds AI Inc. Common Stock</t>
  </si>
  <si>
    <t>MEDS US Equity</t>
  </si>
  <si>
    <t>NB_1710</t>
  </si>
  <si>
    <t>MEI</t>
  </si>
  <si>
    <t>Methode Electronics Inc. Common Stock</t>
  </si>
  <si>
    <t>MEI US Equity</t>
  </si>
  <si>
    <t>NB_1711</t>
  </si>
  <si>
    <t>META</t>
  </si>
  <si>
    <t>Meta Platforms Inc. Class A Common Stock</t>
  </si>
  <si>
    <t>Computer Software: Programming Data Processing</t>
  </si>
  <si>
    <t>META US Equity</t>
  </si>
  <si>
    <t>NB_1712</t>
  </si>
  <si>
    <t>METC</t>
  </si>
  <si>
    <t>Ramaco Resources Inc. Class A Common Stock</t>
  </si>
  <si>
    <t>Coal Mining</t>
  </si>
  <si>
    <t>METC US Equity</t>
  </si>
  <si>
    <t>NB_1713</t>
  </si>
  <si>
    <t>METCB</t>
  </si>
  <si>
    <t>Ramaco Resources Inc. Class B Common Stock</t>
  </si>
  <si>
    <t>METCB US Equity</t>
  </si>
  <si>
    <t>NB_1714</t>
  </si>
  <si>
    <t>METCI</t>
  </si>
  <si>
    <t>Ramaco Resources Inc. 8.250% Senior Notes due 2030</t>
  </si>
  <si>
    <t>METCI US Equity</t>
  </si>
  <si>
    <t>NB_1715</t>
  </si>
  <si>
    <t>METCZ</t>
  </si>
  <si>
    <t>Ramaco Resources Inc. 8.375% Senior Notes due 2029</t>
  </si>
  <si>
    <t>METCZ US Equity</t>
  </si>
  <si>
    <t>NB_1716</t>
  </si>
  <si>
    <t>MFP</t>
  </si>
  <si>
    <t>Midera Food Processing Inc. Common Stock</t>
  </si>
  <si>
    <t>MFP US Equity</t>
  </si>
  <si>
    <t>NB_1717</t>
  </si>
  <si>
    <t>MG</t>
  </si>
  <si>
    <t>Mistras Group Inc Common Stock</t>
  </si>
  <si>
    <t>MG US Equity</t>
  </si>
  <si>
    <t>NB_1718</t>
  </si>
  <si>
    <t>MGEE</t>
  </si>
  <si>
    <t>MGE Energy Inc</t>
  </si>
  <si>
    <t>MGEE US Equity</t>
  </si>
  <si>
    <t>NB_1719</t>
  </si>
  <si>
    <t>MGM</t>
  </si>
  <si>
    <t>MGM Resorts International Common Stock</t>
  </si>
  <si>
    <t>MGM US Equity</t>
  </si>
  <si>
    <t>NB_1720</t>
  </si>
  <si>
    <t>MGNI</t>
  </si>
  <si>
    <t>Magnite Inc. Common Stock</t>
  </si>
  <si>
    <t>MGNI US Equity</t>
  </si>
  <si>
    <t>NB_1721</t>
  </si>
  <si>
    <t>MGNX</t>
  </si>
  <si>
    <t>MacroGenics Inc. Common Stock</t>
  </si>
  <si>
    <t>MGNX US Equity</t>
  </si>
  <si>
    <t>NB_1722</t>
  </si>
  <si>
    <t>MGPI</t>
  </si>
  <si>
    <t>MGP Ingredients Inc.</t>
  </si>
  <si>
    <t>MGPI US Equity</t>
  </si>
  <si>
    <t>NB_1723</t>
  </si>
  <si>
    <t>MGRC</t>
  </si>
  <si>
    <t>McGrath RentCorp Common Stock</t>
  </si>
  <si>
    <t>MGRC US Equity</t>
  </si>
  <si>
    <t>NB_1724</t>
  </si>
  <si>
    <t>MGRX</t>
  </si>
  <si>
    <t>Mangoceuticals Inc. Common Stock</t>
  </si>
  <si>
    <t>Misc Health and Biotechnology Services</t>
  </si>
  <si>
    <t>MGRX US Equity</t>
  </si>
  <si>
    <t>NB_1725</t>
  </si>
  <si>
    <t>MGTX</t>
  </si>
  <si>
    <t>MeiraGTx Holdings plc Ordinary Shares</t>
  </si>
  <si>
    <t>MGTX US Equity</t>
  </si>
  <si>
    <t>NB_1726</t>
  </si>
  <si>
    <t>MGX</t>
  </si>
  <si>
    <t>Metagenomi Therapeutics Inc. Common Stock</t>
  </si>
  <si>
    <t>MGX US Equity</t>
  </si>
  <si>
    <t>NB_1727</t>
  </si>
  <si>
    <t>MGY</t>
  </si>
  <si>
    <t>Magnolia Oil &amp; Gas Corporation Class A Common Stock</t>
  </si>
  <si>
    <t>MGY US Equity</t>
  </si>
  <si>
    <t>NB_1728</t>
  </si>
  <si>
    <t>MHH</t>
  </si>
  <si>
    <t>Mastech Digital Inc Common Stock</t>
  </si>
  <si>
    <t>MHH US Equity</t>
  </si>
  <si>
    <t>NB_1729</t>
  </si>
  <si>
    <t>MHK</t>
  </si>
  <si>
    <t>Mohawk Industries Inc. Common Stock</t>
  </si>
  <si>
    <t>MHK US Equity</t>
  </si>
  <si>
    <t>NB_1730</t>
  </si>
  <si>
    <t>MHO</t>
  </si>
  <si>
    <t>M/I Homes Inc. Common Stock</t>
  </si>
  <si>
    <t>MHO US Equity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</si>
  <si>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</si>
  <si>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</si>
  <si>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</si>
  <si>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</si>
  <si>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</si>
  <si>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</si>
  <si>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</si>
  <si>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</si>
  <si>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</si>
  <si>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</si>
  <si>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</si>
  <si>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</si>
  <si>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</si>
  <si>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</si>
  <si>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</si>
  <si>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</si>
  <si>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</si>
  <si>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</si>
  <si>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</si>
  <si>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</si>
  <si>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</si>
  <si>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</si>
  <si>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</si>
  <si>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</si>
  <si>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</si>
  <si>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</si>
  <si>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</si>
  <si>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</si>
  <si>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</si>
  <si>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</si>
  <si>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</si>
  <si>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</si>
  <si>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</si>
  <si>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</si>
  <si>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</si>
  <si>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</si>
  <si>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</si>
  <si>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</si>
  <si>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</si>
  <si>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</si>
  <si>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</si>
  <si>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</si>
  <si>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</si>
  <si>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</si>
  <si>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</si>
  <si>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</si>
  <si>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</si>
  <si>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</si>
  <si>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volume_Date</t>
  </si>
  <si>
    <t>volume_Value</t>
  </si>
  <si>
    <t>turnover_Date</t>
  </si>
  <si>
    <t>turnover_Value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</si>
</sst>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theme" Target="theme/theme1.xml"/><Relationship Id="rId253" Type="http://schemas.openxmlformats.org/officeDocument/2006/relationships/styles" Target="styles.xml"/><Relationship Id="rId2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51"/>
  <sheetViews>
    <sheetView tabSelected="1" workbookViewId="0"/>
  </sheetViews>
  <sheetFormatPr defaultRowHeight="15"/>
  <cols>
    <col min="1" max="11" width="18.7109375" customWidth="1"/>
    <col min="12" max="13" width="32.710937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15</v>
      </c>
      <c r="J2" t="s">
        <v>21</v>
      </c>
      <c r="K2" t="s">
        <v>22</v>
      </c>
      <c r="L2">
        <f>BDP($H2,"BICS_LEVEL_1_SECTOR_NAME")</f>
        <v/>
      </c>
      <c r="M2">
        <f>BDP($H2,"BICS_LEVEL_3_INDUSTRY_NAME")</f>
        <v/>
      </c>
    </row>
    <row r="3" spans="1:13">
      <c r="A3" t="s">
        <v>23</v>
      </c>
      <c r="B3" t="s">
        <v>14</v>
      </c>
      <c r="C3" t="s">
        <v>15</v>
      </c>
      <c r="D3" t="s">
        <v>24</v>
      </c>
      <c r="E3" t="s">
        <v>25</v>
      </c>
      <c r="F3" t="s">
        <v>26</v>
      </c>
      <c r="G3" t="s">
        <v>27</v>
      </c>
      <c r="H3" t="s">
        <v>28</v>
      </c>
      <c r="I3" t="s">
        <v>15</v>
      </c>
      <c r="J3" t="s">
        <v>21</v>
      </c>
      <c r="K3" t="s">
        <v>22</v>
      </c>
      <c r="L3">
        <f>BDP($H3,"BICS_LEVEL_1_SECTOR_NAME")</f>
        <v/>
      </c>
      <c r="M3">
        <f>BDP($H3,"BICS_LEVEL_3_INDUSTRY_NAME")</f>
        <v/>
      </c>
    </row>
    <row r="4" spans="1:13">
      <c r="A4" t="s">
        <v>29</v>
      </c>
      <c r="B4" t="s">
        <v>14</v>
      </c>
      <c r="C4" t="s">
        <v>15</v>
      </c>
      <c r="D4" t="s">
        <v>30</v>
      </c>
      <c r="E4" t="s">
        <v>31</v>
      </c>
      <c r="F4" t="s">
        <v>18</v>
      </c>
      <c r="G4" t="s">
        <v>32</v>
      </c>
      <c r="H4" t="s">
        <v>33</v>
      </c>
      <c r="I4" t="s">
        <v>15</v>
      </c>
      <c r="J4" t="s">
        <v>21</v>
      </c>
      <c r="K4" t="s">
        <v>22</v>
      </c>
      <c r="L4">
        <f>BDP($H4,"BICS_LEVEL_1_SECTOR_NAME")</f>
        <v/>
      </c>
      <c r="M4">
        <f>BDP($H4,"BICS_LEVEL_3_INDUSTRY_NAME")</f>
        <v/>
      </c>
    </row>
    <row r="5" spans="1:13">
      <c r="A5" t="s">
        <v>34</v>
      </c>
      <c r="B5" t="s">
        <v>14</v>
      </c>
      <c r="C5" t="s">
        <v>15</v>
      </c>
      <c r="D5" t="s">
        <v>35</v>
      </c>
      <c r="E5" t="s">
        <v>36</v>
      </c>
      <c r="F5" t="s">
        <v>26</v>
      </c>
      <c r="G5" t="s">
        <v>37</v>
      </c>
      <c r="H5" t="s">
        <v>38</v>
      </c>
      <c r="I5" t="s">
        <v>15</v>
      </c>
      <c r="J5" t="s">
        <v>21</v>
      </c>
      <c r="K5" t="s">
        <v>22</v>
      </c>
      <c r="L5">
        <f>BDP($H5,"BICS_LEVEL_1_SECTOR_NAME")</f>
        <v/>
      </c>
      <c r="M5">
        <f>BDP($H5,"BICS_LEVEL_3_INDUSTRY_NAME")</f>
        <v/>
      </c>
    </row>
    <row r="6" spans="1:13">
      <c r="A6" t="s">
        <v>39</v>
      </c>
      <c r="B6" t="s">
        <v>14</v>
      </c>
      <c r="C6" t="s">
        <v>15</v>
      </c>
      <c r="D6" t="s">
        <v>40</v>
      </c>
      <c r="E6" t="s">
        <v>41</v>
      </c>
      <c r="F6" t="s">
        <v>18</v>
      </c>
      <c r="G6" t="s">
        <v>19</v>
      </c>
      <c r="H6" t="s">
        <v>42</v>
      </c>
      <c r="I6" t="s">
        <v>15</v>
      </c>
      <c r="J6" t="s">
        <v>21</v>
      </c>
      <c r="K6" t="s">
        <v>22</v>
      </c>
      <c r="L6">
        <f>BDP($H6,"BICS_LEVEL_1_SECTOR_NAME")</f>
        <v/>
      </c>
      <c r="M6">
        <f>BDP($H6,"BICS_LEVEL_3_INDUSTRY_NAME")</f>
        <v/>
      </c>
    </row>
    <row r="7" spans="1:13">
      <c r="A7" t="s">
        <v>43</v>
      </c>
      <c r="B7" t="s">
        <v>14</v>
      </c>
      <c r="C7" t="s">
        <v>15</v>
      </c>
      <c r="D7" t="s">
        <v>44</v>
      </c>
      <c r="E7" t="s">
        <v>45</v>
      </c>
      <c r="F7" t="s">
        <v>18</v>
      </c>
      <c r="G7" t="s">
        <v>46</v>
      </c>
      <c r="H7" t="s">
        <v>47</v>
      </c>
      <c r="I7" t="s">
        <v>15</v>
      </c>
      <c r="J7" t="s">
        <v>21</v>
      </c>
      <c r="K7" t="s">
        <v>22</v>
      </c>
      <c r="L7">
        <f>BDP($H7,"BICS_LEVEL_1_SECTOR_NAME")</f>
        <v/>
      </c>
      <c r="M7">
        <f>BDP($H7,"BICS_LEVEL_3_INDUSTRY_NAME")</f>
        <v/>
      </c>
    </row>
    <row r="8" spans="1:13">
      <c r="A8" t="s">
        <v>48</v>
      </c>
      <c r="B8" t="s">
        <v>14</v>
      </c>
      <c r="C8" t="s">
        <v>15</v>
      </c>
      <c r="D8" t="s">
        <v>49</v>
      </c>
      <c r="E8" t="s">
        <v>50</v>
      </c>
      <c r="F8" t="s">
        <v>51</v>
      </c>
      <c r="G8" t="s">
        <v>52</v>
      </c>
      <c r="H8" t="s">
        <v>53</v>
      </c>
      <c r="I8" t="s">
        <v>15</v>
      </c>
      <c r="J8" t="s">
        <v>21</v>
      </c>
      <c r="K8" t="s">
        <v>22</v>
      </c>
      <c r="L8">
        <f>BDP($H8,"BICS_LEVEL_1_SECTOR_NAME")</f>
        <v/>
      </c>
      <c r="M8">
        <f>BDP($H8,"BICS_LEVEL_3_INDUSTRY_NAME")</f>
        <v/>
      </c>
    </row>
    <row r="9" spans="1:13">
      <c r="A9" t="s">
        <v>54</v>
      </c>
      <c r="B9" t="s">
        <v>14</v>
      </c>
      <c r="C9" t="s">
        <v>15</v>
      </c>
      <c r="D9" t="s">
        <v>55</v>
      </c>
      <c r="E9" t="s">
        <v>56</v>
      </c>
      <c r="F9" t="s">
        <v>57</v>
      </c>
      <c r="G9" t="s">
        <v>58</v>
      </c>
      <c r="H9" t="s">
        <v>59</v>
      </c>
      <c r="I9" t="s">
        <v>15</v>
      </c>
      <c r="J9" t="s">
        <v>21</v>
      </c>
      <c r="K9" t="s">
        <v>22</v>
      </c>
      <c r="L9">
        <f>BDP($H9,"BICS_LEVEL_1_SECTOR_NAME")</f>
        <v/>
      </c>
      <c r="M9">
        <f>BDP($H9,"BICS_LEVEL_3_INDUSTRY_NAME")</f>
        <v/>
      </c>
    </row>
    <row r="10" spans="1:13">
      <c r="A10" t="s">
        <v>60</v>
      </c>
      <c r="B10" t="s">
        <v>14</v>
      </c>
      <c r="C10" t="s">
        <v>15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15</v>
      </c>
      <c r="J10" t="s">
        <v>21</v>
      </c>
      <c r="K10" t="s">
        <v>22</v>
      </c>
      <c r="L10">
        <f>BDP($H10,"BICS_LEVEL_1_SECTOR_NAME")</f>
        <v/>
      </c>
      <c r="M10">
        <f>BDP($H10,"BICS_LEVEL_3_INDUSTRY_NAME")</f>
        <v/>
      </c>
    </row>
    <row r="11" spans="1:13">
      <c r="A11" t="s">
        <v>66</v>
      </c>
      <c r="B11" t="s">
        <v>14</v>
      </c>
      <c r="C11" t="s">
        <v>15</v>
      </c>
      <c r="D11" t="s">
        <v>67</v>
      </c>
      <c r="E11" t="s">
        <v>68</v>
      </c>
      <c r="F11" t="s">
        <v>69</v>
      </c>
      <c r="G11" t="s">
        <v>70</v>
      </c>
      <c r="H11" t="s">
        <v>71</v>
      </c>
      <c r="I11" t="s">
        <v>15</v>
      </c>
      <c r="J11" t="s">
        <v>21</v>
      </c>
      <c r="K11" t="s">
        <v>22</v>
      </c>
      <c r="L11">
        <f>BDP($H11,"BICS_LEVEL_1_SECTOR_NAME")</f>
        <v/>
      </c>
      <c r="M11">
        <f>BDP($H11,"BICS_LEVEL_3_INDUSTRY_NAME")</f>
        <v/>
      </c>
    </row>
    <row r="12" spans="1:13">
      <c r="A12" t="s">
        <v>72</v>
      </c>
      <c r="B12" t="s">
        <v>14</v>
      </c>
      <c r="C12" t="s">
        <v>15</v>
      </c>
      <c r="D12" t="s">
        <v>73</v>
      </c>
      <c r="E12" t="s">
        <v>74</v>
      </c>
      <c r="F12" t="s">
        <v>26</v>
      </c>
      <c r="G12" t="s">
        <v>37</v>
      </c>
      <c r="H12" t="s">
        <v>75</v>
      </c>
      <c r="I12" t="s">
        <v>15</v>
      </c>
      <c r="J12" t="s">
        <v>21</v>
      </c>
      <c r="K12" t="s">
        <v>22</v>
      </c>
      <c r="L12">
        <f>BDP($H12,"BICS_LEVEL_1_SECTOR_NAME")</f>
        <v/>
      </c>
      <c r="M12">
        <f>BDP($H12,"BICS_LEVEL_3_INDUSTRY_NAME")</f>
        <v/>
      </c>
    </row>
    <row r="13" spans="1:13">
      <c r="A13" t="s">
        <v>76</v>
      </c>
      <c r="B13" t="s">
        <v>14</v>
      </c>
      <c r="C13" t="s">
        <v>15</v>
      </c>
      <c r="D13" t="s">
        <v>77</v>
      </c>
      <c r="E13" t="s">
        <v>78</v>
      </c>
      <c r="F13" t="s">
        <v>26</v>
      </c>
      <c r="G13" t="s">
        <v>37</v>
      </c>
      <c r="H13" t="s">
        <v>79</v>
      </c>
      <c r="I13" t="s">
        <v>15</v>
      </c>
      <c r="J13" t="s">
        <v>21</v>
      </c>
      <c r="K13" t="s">
        <v>22</v>
      </c>
      <c r="L13">
        <f>BDP($H13,"BICS_LEVEL_1_SECTOR_NAME")</f>
        <v/>
      </c>
      <c r="M13">
        <f>BDP($H13,"BICS_LEVEL_3_INDUSTRY_NAME")</f>
        <v/>
      </c>
    </row>
    <row r="14" spans="1:13">
      <c r="A14" t="s">
        <v>80</v>
      </c>
      <c r="B14" t="s">
        <v>14</v>
      </c>
      <c r="C14" t="s">
        <v>15</v>
      </c>
      <c r="D14" t="s">
        <v>81</v>
      </c>
      <c r="E14" t="s">
        <v>82</v>
      </c>
      <c r="F14" t="s">
        <v>83</v>
      </c>
      <c r="G14" t="s">
        <v>84</v>
      </c>
      <c r="H14" t="s">
        <v>85</v>
      </c>
      <c r="I14" t="s">
        <v>15</v>
      </c>
      <c r="J14" t="s">
        <v>21</v>
      </c>
      <c r="K14" t="s">
        <v>22</v>
      </c>
      <c r="L14">
        <f>BDP($H14,"BICS_LEVEL_1_SECTOR_NAME")</f>
        <v/>
      </c>
      <c r="M14">
        <f>BDP($H14,"BICS_LEVEL_3_INDUSTRY_NAME")</f>
        <v/>
      </c>
    </row>
    <row r="15" spans="1:13">
      <c r="A15" t="s">
        <v>86</v>
      </c>
      <c r="B15" t="s">
        <v>14</v>
      </c>
      <c r="C15" t="s">
        <v>15</v>
      </c>
      <c r="D15" t="s">
        <v>87</v>
      </c>
      <c r="E15" t="s">
        <v>88</v>
      </c>
      <c r="F15" t="s">
        <v>18</v>
      </c>
      <c r="G15" t="s">
        <v>89</v>
      </c>
      <c r="H15" t="s">
        <v>90</v>
      </c>
      <c r="I15" t="s">
        <v>15</v>
      </c>
      <c r="J15" t="s">
        <v>21</v>
      </c>
      <c r="K15" t="s">
        <v>22</v>
      </c>
      <c r="L15">
        <f>BDP($H15,"BICS_LEVEL_1_SECTOR_NAME")</f>
        <v/>
      </c>
      <c r="M15">
        <f>BDP($H15,"BICS_LEVEL_3_INDUSTRY_NAME")</f>
        <v/>
      </c>
    </row>
    <row r="16" spans="1:13">
      <c r="A16" t="s">
        <v>91</v>
      </c>
      <c r="B16" t="s">
        <v>14</v>
      </c>
      <c r="C16" t="s">
        <v>15</v>
      </c>
      <c r="D16" t="s">
        <v>92</v>
      </c>
      <c r="E16" t="s">
        <v>93</v>
      </c>
      <c r="F16" t="s">
        <v>69</v>
      </c>
      <c r="G16" t="s">
        <v>94</v>
      </c>
      <c r="H16" t="s">
        <v>95</v>
      </c>
      <c r="I16" t="s">
        <v>15</v>
      </c>
      <c r="J16" t="s">
        <v>21</v>
      </c>
      <c r="K16" t="s">
        <v>22</v>
      </c>
      <c r="L16">
        <f>BDP($H16,"BICS_LEVEL_1_SECTOR_NAME")</f>
        <v/>
      </c>
      <c r="M16">
        <f>BDP($H16,"BICS_LEVEL_3_INDUSTRY_NAME")</f>
        <v/>
      </c>
    </row>
    <row r="17" spans="1:13">
      <c r="A17" t="s">
        <v>96</v>
      </c>
      <c r="B17" t="s">
        <v>14</v>
      </c>
      <c r="C17" t="s">
        <v>15</v>
      </c>
      <c r="D17" t="s">
        <v>97</v>
      </c>
      <c r="E17" t="s">
        <v>98</v>
      </c>
      <c r="F17" t="s">
        <v>69</v>
      </c>
      <c r="G17" t="s">
        <v>99</v>
      </c>
      <c r="H17" t="s">
        <v>100</v>
      </c>
      <c r="I17" t="s">
        <v>15</v>
      </c>
      <c r="J17" t="s">
        <v>21</v>
      </c>
      <c r="K17" t="s">
        <v>22</v>
      </c>
      <c r="L17">
        <f>BDP($H17,"BICS_LEVEL_1_SECTOR_NAME")</f>
        <v/>
      </c>
      <c r="M17">
        <f>BDP($H17,"BICS_LEVEL_3_INDUSTRY_NAME")</f>
        <v/>
      </c>
    </row>
    <row r="18" spans="1:13">
      <c r="A18" t="s">
        <v>101</v>
      </c>
      <c r="B18" t="s">
        <v>14</v>
      </c>
      <c r="C18" t="s">
        <v>15</v>
      </c>
      <c r="D18" t="s">
        <v>102</v>
      </c>
      <c r="E18" t="s">
        <v>103</v>
      </c>
      <c r="F18" t="s">
        <v>83</v>
      </c>
      <c r="G18" t="s">
        <v>104</v>
      </c>
      <c r="H18" t="s">
        <v>105</v>
      </c>
      <c r="I18" t="s">
        <v>15</v>
      </c>
      <c r="J18" t="s">
        <v>21</v>
      </c>
      <c r="K18" t="s">
        <v>22</v>
      </c>
      <c r="L18">
        <f>BDP($H18,"BICS_LEVEL_1_SECTOR_NAME")</f>
        <v/>
      </c>
      <c r="M18">
        <f>BDP($H18,"BICS_LEVEL_3_INDUSTRY_NAME")</f>
        <v/>
      </c>
    </row>
    <row r="19" spans="1:13">
      <c r="A19" t="s">
        <v>106</v>
      </c>
      <c r="B19" t="s">
        <v>14</v>
      </c>
      <c r="C19" t="s">
        <v>15</v>
      </c>
      <c r="D19" t="s">
        <v>107</v>
      </c>
      <c r="E19" t="s">
        <v>108</v>
      </c>
      <c r="F19" t="s">
        <v>51</v>
      </c>
      <c r="G19" t="s">
        <v>109</v>
      </c>
      <c r="H19" t="s">
        <v>110</v>
      </c>
      <c r="I19" t="s">
        <v>15</v>
      </c>
      <c r="J19" t="s">
        <v>21</v>
      </c>
      <c r="K19" t="s">
        <v>22</v>
      </c>
      <c r="L19">
        <f>BDP($H19,"BICS_LEVEL_1_SECTOR_NAME")</f>
        <v/>
      </c>
      <c r="M19">
        <f>BDP($H19,"BICS_LEVEL_3_INDUSTRY_NAME")</f>
        <v/>
      </c>
    </row>
    <row r="20" spans="1:13">
      <c r="A20" t="s">
        <v>111</v>
      </c>
      <c r="B20" t="s">
        <v>14</v>
      </c>
      <c r="C20" t="s">
        <v>15</v>
      </c>
      <c r="D20" t="s">
        <v>112</v>
      </c>
      <c r="E20" t="s">
        <v>113</v>
      </c>
      <c r="F20" t="s">
        <v>18</v>
      </c>
      <c r="G20" t="s">
        <v>114</v>
      </c>
      <c r="H20" t="s">
        <v>115</v>
      </c>
      <c r="I20" t="s">
        <v>15</v>
      </c>
      <c r="J20" t="s">
        <v>21</v>
      </c>
      <c r="K20" t="s">
        <v>22</v>
      </c>
      <c r="L20">
        <f>BDP($H20,"BICS_LEVEL_1_SECTOR_NAME")</f>
        <v/>
      </c>
      <c r="M20">
        <f>BDP($H20,"BICS_LEVEL_3_INDUSTRY_NAME")</f>
        <v/>
      </c>
    </row>
    <row r="21" spans="1:13">
      <c r="A21" t="s">
        <v>116</v>
      </c>
      <c r="B21" t="s">
        <v>14</v>
      </c>
      <c r="C21" t="s">
        <v>15</v>
      </c>
      <c r="D21" t="s">
        <v>117</v>
      </c>
      <c r="E21" t="s">
        <v>118</v>
      </c>
      <c r="F21" t="s">
        <v>57</v>
      </c>
      <c r="G21" t="s">
        <v>58</v>
      </c>
      <c r="H21" t="s">
        <v>119</v>
      </c>
      <c r="I21" t="s">
        <v>15</v>
      </c>
      <c r="J21" t="s">
        <v>21</v>
      </c>
      <c r="K21" t="s">
        <v>22</v>
      </c>
      <c r="L21">
        <f>BDP($H21,"BICS_LEVEL_1_SECTOR_NAME")</f>
        <v/>
      </c>
      <c r="M21">
        <f>BDP($H21,"BICS_LEVEL_3_INDUSTRY_NAME")</f>
        <v/>
      </c>
    </row>
    <row r="22" spans="1:13">
      <c r="A22" t="s">
        <v>120</v>
      </c>
      <c r="B22" t="s">
        <v>14</v>
      </c>
      <c r="C22" t="s">
        <v>15</v>
      </c>
      <c r="D22" t="s">
        <v>121</v>
      </c>
      <c r="E22" t="s">
        <v>122</v>
      </c>
      <c r="F22" t="s">
        <v>26</v>
      </c>
      <c r="G22" t="s">
        <v>37</v>
      </c>
      <c r="H22" t="s">
        <v>123</v>
      </c>
      <c r="I22" t="s">
        <v>15</v>
      </c>
      <c r="J22" t="s">
        <v>21</v>
      </c>
      <c r="K22" t="s">
        <v>22</v>
      </c>
      <c r="L22">
        <f>BDP($H22,"BICS_LEVEL_1_SECTOR_NAME")</f>
        <v/>
      </c>
      <c r="M22">
        <f>BDP($H22,"BICS_LEVEL_3_INDUSTRY_NAME")</f>
        <v/>
      </c>
    </row>
    <row r="23" spans="1:13">
      <c r="A23" t="s">
        <v>124</v>
      </c>
      <c r="B23" t="s">
        <v>14</v>
      </c>
      <c r="C23" t="s">
        <v>15</v>
      </c>
      <c r="D23" t="s">
        <v>125</v>
      </c>
      <c r="E23" t="s">
        <v>126</v>
      </c>
      <c r="F23" t="s">
        <v>69</v>
      </c>
      <c r="G23" t="s">
        <v>70</v>
      </c>
      <c r="H23" t="s">
        <v>127</v>
      </c>
      <c r="I23" t="s">
        <v>15</v>
      </c>
      <c r="J23" t="s">
        <v>21</v>
      </c>
      <c r="K23" t="s">
        <v>22</v>
      </c>
      <c r="L23">
        <f>BDP($H23,"BICS_LEVEL_1_SECTOR_NAME")</f>
        <v/>
      </c>
      <c r="M23">
        <f>BDP($H23,"BICS_LEVEL_3_INDUSTRY_NAME")</f>
        <v/>
      </c>
    </row>
    <row r="24" spans="1:13">
      <c r="A24" t="s">
        <v>128</v>
      </c>
      <c r="B24" t="s">
        <v>14</v>
      </c>
      <c r="C24" t="s">
        <v>15</v>
      </c>
      <c r="D24" t="s">
        <v>129</v>
      </c>
      <c r="E24" t="s">
        <v>130</v>
      </c>
      <c r="F24" t="s">
        <v>18</v>
      </c>
      <c r="G24" t="s">
        <v>131</v>
      </c>
      <c r="H24" t="s">
        <v>132</v>
      </c>
      <c r="I24" t="s">
        <v>15</v>
      </c>
      <c r="J24" t="s">
        <v>21</v>
      </c>
      <c r="K24" t="s">
        <v>22</v>
      </c>
      <c r="L24">
        <f>BDP($H24,"BICS_LEVEL_1_SECTOR_NAME")</f>
        <v/>
      </c>
      <c r="M24">
        <f>BDP($H24,"BICS_LEVEL_3_INDUSTRY_NAME")</f>
        <v/>
      </c>
    </row>
    <row r="25" spans="1:13">
      <c r="A25" t="s">
        <v>133</v>
      </c>
      <c r="B25" t="s">
        <v>14</v>
      </c>
      <c r="C25" t="s">
        <v>15</v>
      </c>
      <c r="D25" t="s">
        <v>134</v>
      </c>
      <c r="E25" t="s">
        <v>135</v>
      </c>
      <c r="F25" t="s">
        <v>63</v>
      </c>
      <c r="G25" t="s">
        <v>136</v>
      </c>
      <c r="H25" t="s">
        <v>137</v>
      </c>
      <c r="I25" t="s">
        <v>15</v>
      </c>
      <c r="J25" t="s">
        <v>21</v>
      </c>
      <c r="K25" t="s">
        <v>22</v>
      </c>
      <c r="L25">
        <f>BDP($H25,"BICS_LEVEL_1_SECTOR_NAME")</f>
        <v/>
      </c>
      <c r="M25">
        <f>BDP($H25,"BICS_LEVEL_3_INDUSTRY_NAME")</f>
        <v/>
      </c>
    </row>
    <row r="26" spans="1:13">
      <c r="A26" t="s">
        <v>138</v>
      </c>
      <c r="B26" t="s">
        <v>14</v>
      </c>
      <c r="C26" t="s">
        <v>15</v>
      </c>
      <c r="D26" t="s">
        <v>139</v>
      </c>
      <c r="E26" t="s">
        <v>140</v>
      </c>
      <c r="F26" t="s">
        <v>26</v>
      </c>
      <c r="G26" t="s">
        <v>141</v>
      </c>
      <c r="H26" t="s">
        <v>142</v>
      </c>
      <c r="I26" t="s">
        <v>15</v>
      </c>
      <c r="J26" t="s">
        <v>21</v>
      </c>
      <c r="K26" t="s">
        <v>22</v>
      </c>
      <c r="L26">
        <f>BDP($H26,"BICS_LEVEL_1_SECTOR_NAME")</f>
        <v/>
      </c>
      <c r="M26">
        <f>BDP($H26,"BICS_LEVEL_3_INDUSTRY_NAME")</f>
        <v/>
      </c>
    </row>
    <row r="27" spans="1:13">
      <c r="A27" t="s">
        <v>143</v>
      </c>
      <c r="B27" t="s">
        <v>14</v>
      </c>
      <c r="C27" t="s">
        <v>15</v>
      </c>
      <c r="D27" t="s">
        <v>144</v>
      </c>
      <c r="E27" t="s">
        <v>145</v>
      </c>
      <c r="F27" t="s">
        <v>69</v>
      </c>
      <c r="G27" t="s">
        <v>94</v>
      </c>
      <c r="H27" t="s">
        <v>146</v>
      </c>
      <c r="I27" t="s">
        <v>15</v>
      </c>
      <c r="J27" t="s">
        <v>21</v>
      </c>
      <c r="K27" t="s">
        <v>22</v>
      </c>
      <c r="L27">
        <f>BDP($H27,"BICS_LEVEL_1_SECTOR_NAME")</f>
        <v/>
      </c>
      <c r="M27">
        <f>BDP($H27,"BICS_LEVEL_3_INDUSTRY_NAME")</f>
        <v/>
      </c>
    </row>
    <row r="28" spans="1:13">
      <c r="A28" t="s">
        <v>147</v>
      </c>
      <c r="B28" t="s">
        <v>14</v>
      </c>
      <c r="C28" t="s">
        <v>15</v>
      </c>
      <c r="D28" t="s">
        <v>148</v>
      </c>
      <c r="E28" t="s">
        <v>149</v>
      </c>
      <c r="F28" t="s">
        <v>57</v>
      </c>
      <c r="G28" t="s">
        <v>58</v>
      </c>
      <c r="H28" t="s">
        <v>150</v>
      </c>
      <c r="I28" t="s">
        <v>15</v>
      </c>
      <c r="J28" t="s">
        <v>21</v>
      </c>
      <c r="K28" t="s">
        <v>22</v>
      </c>
      <c r="L28">
        <f>BDP($H28,"BICS_LEVEL_1_SECTOR_NAME")</f>
        <v/>
      </c>
      <c r="M28">
        <f>BDP($H28,"BICS_LEVEL_3_INDUSTRY_NAME")</f>
        <v/>
      </c>
    </row>
    <row r="29" spans="1:13">
      <c r="A29" t="s">
        <v>151</v>
      </c>
      <c r="B29" t="s">
        <v>14</v>
      </c>
      <c r="C29" t="s">
        <v>15</v>
      </c>
      <c r="D29" t="s">
        <v>152</v>
      </c>
      <c r="E29" t="s">
        <v>153</v>
      </c>
      <c r="F29" t="s">
        <v>26</v>
      </c>
      <c r="G29" t="s">
        <v>154</v>
      </c>
      <c r="H29" t="s">
        <v>155</v>
      </c>
      <c r="I29" t="s">
        <v>15</v>
      </c>
      <c r="J29" t="s">
        <v>21</v>
      </c>
      <c r="K29" t="s">
        <v>22</v>
      </c>
      <c r="L29">
        <f>BDP($H29,"BICS_LEVEL_1_SECTOR_NAME")</f>
        <v/>
      </c>
      <c r="M29">
        <f>BDP($H29,"BICS_LEVEL_3_INDUSTRY_NAME")</f>
        <v/>
      </c>
    </row>
    <row r="30" spans="1:13">
      <c r="A30" t="s">
        <v>156</v>
      </c>
      <c r="B30" t="s">
        <v>14</v>
      </c>
      <c r="C30" t="s">
        <v>15</v>
      </c>
      <c r="D30" t="s">
        <v>157</v>
      </c>
      <c r="E30" t="s">
        <v>158</v>
      </c>
      <c r="F30" t="s">
        <v>63</v>
      </c>
      <c r="G30" t="s">
        <v>159</v>
      </c>
      <c r="H30" t="s">
        <v>160</v>
      </c>
      <c r="I30" t="s">
        <v>15</v>
      </c>
      <c r="J30" t="s">
        <v>21</v>
      </c>
      <c r="K30" t="s">
        <v>22</v>
      </c>
      <c r="L30">
        <f>BDP($H30,"BICS_LEVEL_1_SECTOR_NAME")</f>
        <v/>
      </c>
      <c r="M30">
        <f>BDP($H30,"BICS_LEVEL_3_INDUSTRY_NAME")</f>
        <v/>
      </c>
    </row>
    <row r="31" spans="1:13">
      <c r="A31" t="s">
        <v>161</v>
      </c>
      <c r="B31" t="s">
        <v>14</v>
      </c>
      <c r="C31" t="s">
        <v>15</v>
      </c>
      <c r="D31" t="s">
        <v>162</v>
      </c>
      <c r="E31" t="s">
        <v>163</v>
      </c>
      <c r="F31" t="s">
        <v>69</v>
      </c>
      <c r="G31" t="s">
        <v>99</v>
      </c>
      <c r="H31" t="s">
        <v>164</v>
      </c>
      <c r="I31" t="s">
        <v>15</v>
      </c>
      <c r="J31" t="s">
        <v>21</v>
      </c>
      <c r="K31" t="s">
        <v>22</v>
      </c>
      <c r="L31">
        <f>BDP($H31,"BICS_LEVEL_1_SECTOR_NAME")</f>
        <v/>
      </c>
      <c r="M31">
        <f>BDP($H31,"BICS_LEVEL_3_INDUSTRY_NAME")</f>
        <v/>
      </c>
    </row>
    <row r="32" spans="1:13">
      <c r="A32" t="s">
        <v>165</v>
      </c>
      <c r="B32" t="s">
        <v>14</v>
      </c>
      <c r="C32" t="s">
        <v>15</v>
      </c>
      <c r="D32" t="s">
        <v>166</v>
      </c>
      <c r="E32" t="s">
        <v>167</v>
      </c>
      <c r="F32" t="s">
        <v>18</v>
      </c>
      <c r="G32" t="s">
        <v>37</v>
      </c>
      <c r="H32" t="s">
        <v>168</v>
      </c>
      <c r="I32" t="s">
        <v>15</v>
      </c>
      <c r="J32" t="s">
        <v>21</v>
      </c>
      <c r="K32" t="s">
        <v>22</v>
      </c>
      <c r="L32">
        <f>BDP($H32,"BICS_LEVEL_1_SECTOR_NAME")</f>
        <v/>
      </c>
      <c r="M32">
        <f>BDP($H32,"BICS_LEVEL_3_INDUSTRY_NAME")</f>
        <v/>
      </c>
    </row>
    <row r="33" spans="1:13">
      <c r="A33" t="s">
        <v>169</v>
      </c>
      <c r="B33" t="s">
        <v>14</v>
      </c>
      <c r="C33" t="s">
        <v>15</v>
      </c>
      <c r="D33" t="s">
        <v>170</v>
      </c>
      <c r="E33" t="s">
        <v>171</v>
      </c>
      <c r="F33" t="s">
        <v>172</v>
      </c>
      <c r="G33" t="s">
        <v>173</v>
      </c>
      <c r="H33" t="s">
        <v>174</v>
      </c>
      <c r="I33" t="s">
        <v>15</v>
      </c>
      <c r="J33" t="s">
        <v>21</v>
      </c>
      <c r="K33" t="s">
        <v>22</v>
      </c>
      <c r="L33">
        <f>BDP($H33,"BICS_LEVEL_1_SECTOR_NAME")</f>
        <v/>
      </c>
      <c r="M33">
        <f>BDP($H33,"BICS_LEVEL_3_INDUSTRY_NAME")</f>
        <v/>
      </c>
    </row>
    <row r="34" spans="1:13">
      <c r="A34" t="s">
        <v>175</v>
      </c>
      <c r="B34" t="s">
        <v>14</v>
      </c>
      <c r="C34" t="s">
        <v>15</v>
      </c>
      <c r="D34" t="s">
        <v>176</v>
      </c>
      <c r="E34" t="s">
        <v>177</v>
      </c>
      <c r="F34" t="s">
        <v>83</v>
      </c>
      <c r="G34" t="s">
        <v>178</v>
      </c>
      <c r="H34" t="s">
        <v>179</v>
      </c>
      <c r="I34" t="s">
        <v>15</v>
      </c>
      <c r="J34" t="s">
        <v>21</v>
      </c>
      <c r="K34" t="s">
        <v>22</v>
      </c>
      <c r="L34">
        <f>BDP($H34,"BICS_LEVEL_1_SECTOR_NAME")</f>
        <v/>
      </c>
      <c r="M34">
        <f>BDP($H34,"BICS_LEVEL_3_INDUSTRY_NAME")</f>
        <v/>
      </c>
    </row>
    <row r="35" spans="1:13">
      <c r="A35" t="s">
        <v>180</v>
      </c>
      <c r="B35" t="s">
        <v>14</v>
      </c>
      <c r="C35" t="s">
        <v>15</v>
      </c>
      <c r="D35" t="s">
        <v>181</v>
      </c>
      <c r="E35" t="s">
        <v>182</v>
      </c>
      <c r="F35" t="s">
        <v>63</v>
      </c>
      <c r="G35" t="s">
        <v>136</v>
      </c>
      <c r="H35" t="s">
        <v>183</v>
      </c>
      <c r="I35" t="s">
        <v>15</v>
      </c>
      <c r="J35" t="s">
        <v>21</v>
      </c>
      <c r="K35" t="s">
        <v>22</v>
      </c>
      <c r="L35">
        <f>BDP($H35,"BICS_LEVEL_1_SECTOR_NAME")</f>
        <v/>
      </c>
      <c r="M35">
        <f>BDP($H35,"BICS_LEVEL_3_INDUSTRY_NAME")</f>
        <v/>
      </c>
    </row>
    <row r="36" spans="1:13">
      <c r="A36" t="s">
        <v>184</v>
      </c>
      <c r="B36" t="s">
        <v>14</v>
      </c>
      <c r="C36" t="s">
        <v>15</v>
      </c>
      <c r="D36" t="s">
        <v>185</v>
      </c>
      <c r="E36" t="s">
        <v>186</v>
      </c>
      <c r="F36" t="s">
        <v>18</v>
      </c>
      <c r="G36" t="s">
        <v>46</v>
      </c>
      <c r="H36" t="s">
        <v>187</v>
      </c>
      <c r="I36" t="s">
        <v>15</v>
      </c>
      <c r="J36" t="s">
        <v>21</v>
      </c>
      <c r="K36" t="s">
        <v>22</v>
      </c>
      <c r="L36">
        <f>BDP($H36,"BICS_LEVEL_1_SECTOR_NAME")</f>
        <v/>
      </c>
      <c r="M36">
        <f>BDP($H36,"BICS_LEVEL_3_INDUSTRY_NAME")</f>
        <v/>
      </c>
    </row>
    <row r="37" spans="1:13">
      <c r="A37" t="s">
        <v>188</v>
      </c>
      <c r="B37" t="s">
        <v>14</v>
      </c>
      <c r="C37" t="s">
        <v>15</v>
      </c>
      <c r="D37" t="s">
        <v>189</v>
      </c>
      <c r="E37" t="s">
        <v>190</v>
      </c>
      <c r="F37" t="s">
        <v>69</v>
      </c>
      <c r="G37" t="s">
        <v>94</v>
      </c>
      <c r="H37" t="s">
        <v>191</v>
      </c>
      <c r="I37" t="s">
        <v>15</v>
      </c>
      <c r="J37" t="s">
        <v>21</v>
      </c>
      <c r="K37" t="s">
        <v>22</v>
      </c>
      <c r="L37">
        <f>BDP($H37,"BICS_LEVEL_1_SECTOR_NAME")</f>
        <v/>
      </c>
      <c r="M37">
        <f>BDP($H37,"BICS_LEVEL_3_INDUSTRY_NAME")</f>
        <v/>
      </c>
    </row>
    <row r="38" spans="1:13">
      <c r="A38" t="s">
        <v>192</v>
      </c>
      <c r="B38" t="s">
        <v>14</v>
      </c>
      <c r="C38" t="s">
        <v>15</v>
      </c>
      <c r="D38" t="s">
        <v>193</v>
      </c>
      <c r="E38" t="s">
        <v>194</v>
      </c>
      <c r="F38" t="s">
        <v>69</v>
      </c>
      <c r="G38" t="s">
        <v>94</v>
      </c>
      <c r="H38" t="s">
        <v>195</v>
      </c>
      <c r="I38" t="s">
        <v>15</v>
      </c>
      <c r="J38" t="s">
        <v>21</v>
      </c>
      <c r="K38" t="s">
        <v>22</v>
      </c>
      <c r="L38">
        <f>BDP($H38,"BICS_LEVEL_1_SECTOR_NAME")</f>
        <v/>
      </c>
      <c r="M38">
        <f>BDP($H38,"BICS_LEVEL_3_INDUSTRY_NAME")</f>
        <v/>
      </c>
    </row>
    <row r="39" spans="1:13">
      <c r="A39" t="s">
        <v>196</v>
      </c>
      <c r="B39" t="s">
        <v>14</v>
      </c>
      <c r="C39" t="s">
        <v>15</v>
      </c>
      <c r="D39" t="s">
        <v>197</v>
      </c>
      <c r="E39" t="s">
        <v>198</v>
      </c>
      <c r="F39" t="s">
        <v>63</v>
      </c>
      <c r="G39" t="s">
        <v>199</v>
      </c>
      <c r="H39" t="s">
        <v>200</v>
      </c>
      <c r="I39" t="s">
        <v>15</v>
      </c>
      <c r="J39" t="s">
        <v>21</v>
      </c>
      <c r="K39" t="s">
        <v>22</v>
      </c>
      <c r="L39">
        <f>BDP($H39,"BICS_LEVEL_1_SECTOR_NAME")</f>
        <v/>
      </c>
      <c r="M39">
        <f>BDP($H39,"BICS_LEVEL_3_INDUSTRY_NAME")</f>
        <v/>
      </c>
    </row>
    <row r="40" spans="1:13">
      <c r="A40" t="s">
        <v>201</v>
      </c>
      <c r="B40" t="s">
        <v>14</v>
      </c>
      <c r="C40" t="s">
        <v>15</v>
      </c>
      <c r="D40" t="s">
        <v>202</v>
      </c>
      <c r="E40" t="s">
        <v>203</v>
      </c>
      <c r="F40" t="s">
        <v>69</v>
      </c>
      <c r="G40" t="s">
        <v>70</v>
      </c>
      <c r="H40" t="s">
        <v>204</v>
      </c>
      <c r="I40" t="s">
        <v>15</v>
      </c>
      <c r="J40" t="s">
        <v>21</v>
      </c>
      <c r="K40" t="s">
        <v>22</v>
      </c>
      <c r="L40">
        <f>BDP($H40,"BICS_LEVEL_1_SECTOR_NAME")</f>
        <v/>
      </c>
      <c r="M40">
        <f>BDP($H40,"BICS_LEVEL_3_INDUSTRY_NAME")</f>
        <v/>
      </c>
    </row>
    <row r="41" spans="1:13">
      <c r="A41" t="s">
        <v>205</v>
      </c>
      <c r="B41" t="s">
        <v>14</v>
      </c>
      <c r="C41" t="s">
        <v>15</v>
      </c>
      <c r="D41" t="s">
        <v>206</v>
      </c>
      <c r="E41" t="s">
        <v>207</v>
      </c>
      <c r="F41" t="s">
        <v>26</v>
      </c>
      <c r="G41" t="s">
        <v>208</v>
      </c>
      <c r="H41" t="s">
        <v>209</v>
      </c>
      <c r="I41" t="s">
        <v>15</v>
      </c>
      <c r="J41" t="s">
        <v>21</v>
      </c>
      <c r="K41" t="s">
        <v>22</v>
      </c>
      <c r="L41">
        <f>BDP($H41,"BICS_LEVEL_1_SECTOR_NAME")</f>
        <v/>
      </c>
      <c r="M41">
        <f>BDP($H41,"BICS_LEVEL_3_INDUSTRY_NAME")</f>
        <v/>
      </c>
    </row>
    <row r="42" spans="1:13">
      <c r="A42" t="s">
        <v>210</v>
      </c>
      <c r="B42" t="s">
        <v>14</v>
      </c>
      <c r="C42" t="s">
        <v>15</v>
      </c>
      <c r="D42" t="s">
        <v>211</v>
      </c>
      <c r="E42" t="s">
        <v>212</v>
      </c>
      <c r="F42" t="s">
        <v>172</v>
      </c>
      <c r="G42" t="s">
        <v>213</v>
      </c>
      <c r="H42" t="s">
        <v>214</v>
      </c>
      <c r="I42" t="s">
        <v>15</v>
      </c>
      <c r="J42" t="s">
        <v>21</v>
      </c>
      <c r="K42" t="s">
        <v>22</v>
      </c>
      <c r="L42">
        <f>BDP($H42,"BICS_LEVEL_1_SECTOR_NAME")</f>
        <v/>
      </c>
      <c r="M42">
        <f>BDP($H42,"BICS_LEVEL_3_INDUSTRY_NAME")</f>
        <v/>
      </c>
    </row>
    <row r="43" spans="1:13">
      <c r="A43" t="s">
        <v>215</v>
      </c>
      <c r="B43" t="s">
        <v>14</v>
      </c>
      <c r="C43" t="s">
        <v>15</v>
      </c>
      <c r="D43" t="s">
        <v>216</v>
      </c>
      <c r="E43" t="s">
        <v>217</v>
      </c>
      <c r="F43" t="s">
        <v>69</v>
      </c>
      <c r="G43" t="s">
        <v>94</v>
      </c>
      <c r="H43" t="s">
        <v>218</v>
      </c>
      <c r="I43" t="s">
        <v>15</v>
      </c>
      <c r="J43" t="s">
        <v>21</v>
      </c>
      <c r="K43" t="s">
        <v>22</v>
      </c>
      <c r="L43">
        <f>BDP($H43,"BICS_LEVEL_1_SECTOR_NAME")</f>
        <v/>
      </c>
      <c r="M43">
        <f>BDP($H43,"BICS_LEVEL_3_INDUSTRY_NAME")</f>
        <v/>
      </c>
    </row>
    <row r="44" spans="1:13">
      <c r="A44" t="s">
        <v>219</v>
      </c>
      <c r="B44" t="s">
        <v>14</v>
      </c>
      <c r="C44" t="s">
        <v>15</v>
      </c>
      <c r="D44" t="s">
        <v>220</v>
      </c>
      <c r="E44" t="s">
        <v>221</v>
      </c>
      <c r="F44" t="s">
        <v>51</v>
      </c>
      <c r="G44" t="s">
        <v>52</v>
      </c>
      <c r="H44" t="s">
        <v>222</v>
      </c>
      <c r="I44" t="s">
        <v>15</v>
      </c>
      <c r="J44" t="s">
        <v>21</v>
      </c>
      <c r="K44" t="s">
        <v>22</v>
      </c>
      <c r="L44">
        <f>BDP($H44,"BICS_LEVEL_1_SECTOR_NAME")</f>
        <v/>
      </c>
      <c r="M44">
        <f>BDP($H44,"BICS_LEVEL_3_INDUSTRY_NAME")</f>
        <v/>
      </c>
    </row>
    <row r="45" spans="1:13">
      <c r="A45" t="s">
        <v>223</v>
      </c>
      <c r="B45" t="s">
        <v>14</v>
      </c>
      <c r="C45" t="s">
        <v>15</v>
      </c>
      <c r="D45" t="s">
        <v>224</v>
      </c>
      <c r="E45" t="s">
        <v>225</v>
      </c>
      <c r="F45" t="s">
        <v>69</v>
      </c>
      <c r="G45" t="s">
        <v>94</v>
      </c>
      <c r="H45" t="s">
        <v>226</v>
      </c>
      <c r="I45" t="s">
        <v>15</v>
      </c>
      <c r="J45" t="s">
        <v>21</v>
      </c>
      <c r="K45" t="s">
        <v>22</v>
      </c>
      <c r="L45">
        <f>BDP($H45,"BICS_LEVEL_1_SECTOR_NAME")</f>
        <v/>
      </c>
      <c r="M45">
        <f>BDP($H45,"BICS_LEVEL_3_INDUSTRY_NAME")</f>
        <v/>
      </c>
    </row>
    <row r="46" spans="1:13">
      <c r="A46" t="s">
        <v>227</v>
      </c>
      <c r="B46" t="s">
        <v>14</v>
      </c>
      <c r="C46" t="s">
        <v>15</v>
      </c>
      <c r="D46" t="s">
        <v>228</v>
      </c>
      <c r="E46" t="s">
        <v>229</v>
      </c>
      <c r="F46" t="s">
        <v>69</v>
      </c>
      <c r="G46" t="s">
        <v>94</v>
      </c>
      <c r="H46" t="s">
        <v>230</v>
      </c>
      <c r="I46" t="s">
        <v>15</v>
      </c>
      <c r="J46" t="s">
        <v>21</v>
      </c>
      <c r="K46" t="s">
        <v>22</v>
      </c>
      <c r="L46">
        <f>BDP($H46,"BICS_LEVEL_1_SECTOR_NAME")</f>
        <v/>
      </c>
      <c r="M46">
        <f>BDP($H46,"BICS_LEVEL_3_INDUSTRY_NAME")</f>
        <v/>
      </c>
    </row>
    <row r="47" spans="1:13">
      <c r="A47" t="s">
        <v>231</v>
      </c>
      <c r="B47" t="s">
        <v>14</v>
      </c>
      <c r="C47" t="s">
        <v>15</v>
      </c>
      <c r="D47" t="s">
        <v>232</v>
      </c>
      <c r="E47" t="s">
        <v>233</v>
      </c>
      <c r="F47" t="s">
        <v>26</v>
      </c>
      <c r="G47" t="s">
        <v>234</v>
      </c>
      <c r="H47" t="s">
        <v>235</v>
      </c>
      <c r="I47" t="s">
        <v>15</v>
      </c>
      <c r="J47" t="s">
        <v>21</v>
      </c>
      <c r="K47" t="s">
        <v>22</v>
      </c>
      <c r="L47">
        <f>BDP($H47,"BICS_LEVEL_1_SECTOR_NAME")</f>
        <v/>
      </c>
      <c r="M47">
        <f>BDP($H47,"BICS_LEVEL_3_INDUSTRY_NAME")</f>
        <v/>
      </c>
    </row>
    <row r="48" spans="1:13">
      <c r="A48" t="s">
        <v>236</v>
      </c>
      <c r="B48" t="s">
        <v>14</v>
      </c>
      <c r="C48" t="s">
        <v>15</v>
      </c>
      <c r="D48" t="s">
        <v>237</v>
      </c>
      <c r="E48" t="s">
        <v>238</v>
      </c>
      <c r="F48" t="s">
        <v>18</v>
      </c>
      <c r="G48" t="s">
        <v>239</v>
      </c>
      <c r="H48" t="s">
        <v>240</v>
      </c>
      <c r="I48" t="s">
        <v>15</v>
      </c>
      <c r="J48" t="s">
        <v>21</v>
      </c>
      <c r="K48" t="s">
        <v>22</v>
      </c>
      <c r="L48">
        <f>BDP($H48,"BICS_LEVEL_1_SECTOR_NAME")</f>
        <v/>
      </c>
      <c r="M48">
        <f>BDP($H48,"BICS_LEVEL_3_INDUSTRY_NAME")</f>
        <v/>
      </c>
    </row>
    <row r="49" spans="1:13">
      <c r="A49" t="s">
        <v>241</v>
      </c>
      <c r="B49" t="s">
        <v>14</v>
      </c>
      <c r="C49" t="s">
        <v>15</v>
      </c>
      <c r="D49" t="s">
        <v>242</v>
      </c>
      <c r="E49" t="s">
        <v>243</v>
      </c>
      <c r="F49" t="s">
        <v>69</v>
      </c>
      <c r="G49" t="s">
        <v>99</v>
      </c>
      <c r="H49" t="s">
        <v>244</v>
      </c>
      <c r="I49" t="s">
        <v>15</v>
      </c>
      <c r="J49" t="s">
        <v>21</v>
      </c>
      <c r="K49" t="s">
        <v>22</v>
      </c>
      <c r="L49">
        <f>BDP($H49,"BICS_LEVEL_1_SECTOR_NAME")</f>
        <v/>
      </c>
      <c r="M49">
        <f>BDP($H49,"BICS_LEVEL_3_INDUSTRY_NAME")</f>
        <v/>
      </c>
    </row>
    <row r="50" spans="1:13">
      <c r="A50" t="s">
        <v>245</v>
      </c>
      <c r="B50" t="s">
        <v>14</v>
      </c>
      <c r="C50" t="s">
        <v>15</v>
      </c>
      <c r="D50" t="s">
        <v>246</v>
      </c>
      <c r="E50" t="s">
        <v>247</v>
      </c>
      <c r="F50" t="s">
        <v>248</v>
      </c>
      <c r="G50" t="s">
        <v>249</v>
      </c>
      <c r="H50" t="s">
        <v>250</v>
      </c>
      <c r="I50" t="s">
        <v>15</v>
      </c>
      <c r="J50" t="s">
        <v>21</v>
      </c>
      <c r="K50" t="s">
        <v>22</v>
      </c>
      <c r="L50">
        <f>BDP($H50,"BICS_LEVEL_1_SECTOR_NAME")</f>
        <v/>
      </c>
      <c r="M50">
        <f>BDP($H50,"BICS_LEVEL_3_INDUSTRY_NAME")</f>
        <v/>
      </c>
    </row>
    <row r="51" spans="1:13">
      <c r="A51" t="s">
        <v>251</v>
      </c>
      <c r="B51" t="s">
        <v>14</v>
      </c>
      <c r="C51" t="s">
        <v>15</v>
      </c>
      <c r="D51" t="s">
        <v>252</v>
      </c>
      <c r="E51" t="s">
        <v>253</v>
      </c>
      <c r="F51" t="s">
        <v>18</v>
      </c>
      <c r="G51" t="s">
        <v>254</v>
      </c>
      <c r="H51" t="s">
        <v>255</v>
      </c>
      <c r="I51" t="s">
        <v>15</v>
      </c>
      <c r="J51" t="s">
        <v>21</v>
      </c>
      <c r="K51" t="s">
        <v>22</v>
      </c>
      <c r="L51">
        <f>BDP($H51,"BICS_LEVEL_1_SECTOR_NAME")</f>
        <v/>
      </c>
      <c r="M51">
        <f>BDP($H51,"BICS_LEVEL_3_INDUSTRY_NAME")</f>
        <v/>
      </c>
    </row>
    <row r="52" spans="1:13">
      <c r="A52" t="s">
        <v>256</v>
      </c>
      <c r="B52" t="s">
        <v>14</v>
      </c>
      <c r="C52" t="s">
        <v>15</v>
      </c>
      <c r="D52" t="s">
        <v>257</v>
      </c>
      <c r="E52" t="s">
        <v>258</v>
      </c>
      <c r="F52" t="s">
        <v>26</v>
      </c>
      <c r="G52" t="s">
        <v>259</v>
      </c>
      <c r="H52" t="s">
        <v>260</v>
      </c>
      <c r="I52" t="s">
        <v>15</v>
      </c>
      <c r="J52" t="s">
        <v>21</v>
      </c>
      <c r="K52" t="s">
        <v>22</v>
      </c>
      <c r="L52">
        <f>BDP($H52,"BICS_LEVEL_1_SECTOR_NAME")</f>
        <v/>
      </c>
      <c r="M52">
        <f>BDP($H52,"BICS_LEVEL_3_INDUSTRY_NAME")</f>
        <v/>
      </c>
    </row>
    <row r="53" spans="1:13">
      <c r="A53" t="s">
        <v>261</v>
      </c>
      <c r="B53" t="s">
        <v>14</v>
      </c>
      <c r="C53" t="s">
        <v>15</v>
      </c>
      <c r="D53" t="s">
        <v>262</v>
      </c>
      <c r="E53" t="s">
        <v>263</v>
      </c>
      <c r="F53" t="s">
        <v>83</v>
      </c>
      <c r="G53" t="s">
        <v>264</v>
      </c>
      <c r="H53" t="s">
        <v>265</v>
      </c>
      <c r="I53" t="s">
        <v>15</v>
      </c>
      <c r="J53" t="s">
        <v>21</v>
      </c>
      <c r="K53" t="s">
        <v>22</v>
      </c>
      <c r="L53">
        <f>BDP($H53,"BICS_LEVEL_1_SECTOR_NAME")</f>
        <v/>
      </c>
      <c r="M53">
        <f>BDP($H53,"BICS_LEVEL_3_INDUSTRY_NAME")</f>
        <v/>
      </c>
    </row>
    <row r="54" spans="1:13">
      <c r="A54" t="s">
        <v>266</v>
      </c>
      <c r="B54" t="s">
        <v>14</v>
      </c>
      <c r="C54" t="s">
        <v>15</v>
      </c>
      <c r="D54" t="s">
        <v>267</v>
      </c>
      <c r="E54" t="s">
        <v>268</v>
      </c>
      <c r="F54" t="s">
        <v>26</v>
      </c>
      <c r="G54" t="s">
        <v>208</v>
      </c>
      <c r="H54" t="s">
        <v>269</v>
      </c>
      <c r="I54" t="s">
        <v>15</v>
      </c>
      <c r="J54" t="s">
        <v>21</v>
      </c>
      <c r="K54" t="s">
        <v>22</v>
      </c>
      <c r="L54">
        <f>BDP($H54,"BICS_LEVEL_1_SECTOR_NAME")</f>
        <v/>
      </c>
      <c r="M54">
        <f>BDP($H54,"BICS_LEVEL_3_INDUSTRY_NAME")</f>
        <v/>
      </c>
    </row>
    <row r="55" spans="1:13">
      <c r="A55" t="s">
        <v>270</v>
      </c>
      <c r="B55" t="s">
        <v>14</v>
      </c>
      <c r="C55" t="s">
        <v>15</v>
      </c>
      <c r="D55" t="s">
        <v>271</v>
      </c>
      <c r="E55" t="s">
        <v>272</v>
      </c>
      <c r="F55" t="s">
        <v>69</v>
      </c>
      <c r="G55" t="s">
        <v>94</v>
      </c>
      <c r="H55" t="s">
        <v>273</v>
      </c>
      <c r="I55" t="s">
        <v>15</v>
      </c>
      <c r="J55" t="s">
        <v>21</v>
      </c>
      <c r="K55" t="s">
        <v>22</v>
      </c>
      <c r="L55">
        <f>BDP($H55,"BICS_LEVEL_1_SECTOR_NAME")</f>
        <v/>
      </c>
      <c r="M55">
        <f>BDP($H55,"BICS_LEVEL_3_INDUSTRY_NAME")</f>
        <v/>
      </c>
    </row>
    <row r="56" spans="1:13">
      <c r="A56" t="s">
        <v>274</v>
      </c>
      <c r="B56" t="s">
        <v>14</v>
      </c>
      <c r="C56" t="s">
        <v>15</v>
      </c>
      <c r="D56" t="s">
        <v>275</v>
      </c>
      <c r="E56" t="s">
        <v>276</v>
      </c>
      <c r="F56" t="s">
        <v>83</v>
      </c>
      <c r="G56" t="s">
        <v>264</v>
      </c>
      <c r="H56" t="s">
        <v>277</v>
      </c>
      <c r="I56" t="s">
        <v>15</v>
      </c>
      <c r="J56" t="s">
        <v>21</v>
      </c>
      <c r="K56" t="s">
        <v>22</v>
      </c>
      <c r="L56">
        <f>BDP($H56,"BICS_LEVEL_1_SECTOR_NAME")</f>
        <v/>
      </c>
      <c r="M56">
        <f>BDP($H56,"BICS_LEVEL_3_INDUSTRY_NAME")</f>
        <v/>
      </c>
    </row>
    <row r="57" spans="1:13">
      <c r="A57" t="s">
        <v>278</v>
      </c>
      <c r="B57" t="s">
        <v>14</v>
      </c>
      <c r="C57" t="s">
        <v>15</v>
      </c>
      <c r="D57" t="s">
        <v>279</v>
      </c>
      <c r="E57" t="s">
        <v>280</v>
      </c>
      <c r="F57" t="s">
        <v>69</v>
      </c>
      <c r="G57" t="s">
        <v>94</v>
      </c>
      <c r="H57" t="s">
        <v>281</v>
      </c>
      <c r="I57" t="s">
        <v>15</v>
      </c>
      <c r="J57" t="s">
        <v>21</v>
      </c>
      <c r="K57" t="s">
        <v>22</v>
      </c>
      <c r="L57">
        <f>BDP($H57,"BICS_LEVEL_1_SECTOR_NAME")</f>
        <v/>
      </c>
      <c r="M57">
        <f>BDP($H57,"BICS_LEVEL_3_INDUSTRY_NAME")</f>
        <v/>
      </c>
    </row>
    <row r="58" spans="1:13">
      <c r="A58" t="s">
        <v>282</v>
      </c>
      <c r="B58" t="s">
        <v>14</v>
      </c>
      <c r="C58" t="s">
        <v>15</v>
      </c>
      <c r="D58" t="s">
        <v>283</v>
      </c>
      <c r="E58" t="s">
        <v>284</v>
      </c>
      <c r="F58" t="s">
        <v>83</v>
      </c>
      <c r="G58" t="s">
        <v>285</v>
      </c>
      <c r="H58" t="s">
        <v>286</v>
      </c>
      <c r="I58" t="s">
        <v>15</v>
      </c>
      <c r="J58" t="s">
        <v>21</v>
      </c>
      <c r="K58" t="s">
        <v>22</v>
      </c>
      <c r="L58">
        <f>BDP($H58,"BICS_LEVEL_1_SECTOR_NAME")</f>
        <v/>
      </c>
      <c r="M58">
        <f>BDP($H58,"BICS_LEVEL_3_INDUSTRY_NAME")</f>
        <v/>
      </c>
    </row>
    <row r="59" spans="1:13">
      <c r="A59" t="s">
        <v>287</v>
      </c>
      <c r="B59" t="s">
        <v>14</v>
      </c>
      <c r="C59" t="s">
        <v>15</v>
      </c>
      <c r="D59" t="s">
        <v>288</v>
      </c>
      <c r="E59" t="s">
        <v>289</v>
      </c>
      <c r="F59" t="s">
        <v>18</v>
      </c>
      <c r="G59" t="s">
        <v>249</v>
      </c>
      <c r="H59" t="s">
        <v>290</v>
      </c>
      <c r="I59" t="s">
        <v>15</v>
      </c>
      <c r="J59" t="s">
        <v>21</v>
      </c>
      <c r="K59" t="s">
        <v>22</v>
      </c>
      <c r="L59">
        <f>BDP($H59,"BICS_LEVEL_1_SECTOR_NAME")</f>
        <v/>
      </c>
      <c r="M59">
        <f>BDP($H59,"BICS_LEVEL_3_INDUSTRY_NAME")</f>
        <v/>
      </c>
    </row>
    <row r="60" spans="1:13">
      <c r="A60" t="s">
        <v>291</v>
      </c>
      <c r="B60" t="s">
        <v>14</v>
      </c>
      <c r="C60" t="s">
        <v>15</v>
      </c>
      <c r="D60" t="s">
        <v>292</v>
      </c>
      <c r="E60" t="s">
        <v>293</v>
      </c>
      <c r="F60" t="s">
        <v>18</v>
      </c>
      <c r="G60" t="s">
        <v>294</v>
      </c>
      <c r="H60" t="s">
        <v>295</v>
      </c>
      <c r="I60" t="s">
        <v>15</v>
      </c>
      <c r="J60" t="s">
        <v>21</v>
      </c>
      <c r="K60" t="s">
        <v>22</v>
      </c>
      <c r="L60">
        <f>BDP($H60,"BICS_LEVEL_1_SECTOR_NAME")</f>
        <v/>
      </c>
      <c r="M60">
        <f>BDP($H60,"BICS_LEVEL_3_INDUSTRY_NAME")</f>
        <v/>
      </c>
    </row>
    <row r="61" spans="1:13">
      <c r="A61" t="s">
        <v>296</v>
      </c>
      <c r="B61" t="s">
        <v>14</v>
      </c>
      <c r="C61" t="s">
        <v>15</v>
      </c>
      <c r="D61" t="s">
        <v>297</v>
      </c>
      <c r="E61" t="s">
        <v>298</v>
      </c>
      <c r="F61" t="s">
        <v>83</v>
      </c>
      <c r="G61" t="s">
        <v>104</v>
      </c>
      <c r="H61" t="s">
        <v>299</v>
      </c>
      <c r="I61" t="s">
        <v>15</v>
      </c>
      <c r="J61" t="s">
        <v>21</v>
      </c>
      <c r="K61" t="s">
        <v>22</v>
      </c>
      <c r="L61">
        <f>BDP($H61,"BICS_LEVEL_1_SECTOR_NAME")</f>
        <v/>
      </c>
      <c r="M61">
        <f>BDP($H61,"BICS_LEVEL_3_INDUSTRY_NAME")</f>
        <v/>
      </c>
    </row>
    <row r="62" spans="1:13">
      <c r="A62" t="s">
        <v>300</v>
      </c>
      <c r="B62" t="s">
        <v>14</v>
      </c>
      <c r="C62" t="s">
        <v>15</v>
      </c>
      <c r="D62" t="s">
        <v>301</v>
      </c>
      <c r="E62" t="s">
        <v>302</v>
      </c>
      <c r="F62" t="s">
        <v>26</v>
      </c>
      <c r="G62" t="s">
        <v>213</v>
      </c>
      <c r="H62" t="s">
        <v>303</v>
      </c>
      <c r="I62" t="s">
        <v>15</v>
      </c>
      <c r="J62" t="s">
        <v>21</v>
      </c>
      <c r="K62" t="s">
        <v>22</v>
      </c>
      <c r="L62">
        <f>BDP($H62,"BICS_LEVEL_1_SECTOR_NAME")</f>
        <v/>
      </c>
      <c r="M62">
        <f>BDP($H62,"BICS_LEVEL_3_INDUSTRY_NAME")</f>
        <v/>
      </c>
    </row>
    <row r="63" spans="1:13">
      <c r="A63" t="s">
        <v>304</v>
      </c>
      <c r="B63" t="s">
        <v>14</v>
      </c>
      <c r="C63" t="s">
        <v>15</v>
      </c>
      <c r="D63" t="s">
        <v>305</v>
      </c>
      <c r="E63" t="s">
        <v>306</v>
      </c>
      <c r="F63" t="s">
        <v>69</v>
      </c>
      <c r="G63" t="s">
        <v>99</v>
      </c>
      <c r="H63" t="s">
        <v>307</v>
      </c>
      <c r="I63" t="s">
        <v>15</v>
      </c>
      <c r="J63" t="s">
        <v>21</v>
      </c>
      <c r="K63" t="s">
        <v>22</v>
      </c>
      <c r="L63">
        <f>BDP($H63,"BICS_LEVEL_1_SECTOR_NAME")</f>
        <v/>
      </c>
      <c r="M63">
        <f>BDP($H63,"BICS_LEVEL_3_INDUSTRY_NAME")</f>
        <v/>
      </c>
    </row>
    <row r="64" spans="1:13">
      <c r="A64" t="s">
        <v>308</v>
      </c>
      <c r="B64" t="s">
        <v>14</v>
      </c>
      <c r="C64" t="s">
        <v>15</v>
      </c>
      <c r="D64" t="s">
        <v>309</v>
      </c>
      <c r="E64" t="s">
        <v>310</v>
      </c>
      <c r="F64" t="s">
        <v>69</v>
      </c>
      <c r="G64" t="s">
        <v>94</v>
      </c>
      <c r="H64" t="s">
        <v>311</v>
      </c>
      <c r="I64" t="s">
        <v>15</v>
      </c>
      <c r="J64" t="s">
        <v>21</v>
      </c>
      <c r="K64" t="s">
        <v>22</v>
      </c>
      <c r="L64">
        <f>BDP($H64,"BICS_LEVEL_1_SECTOR_NAME")</f>
        <v/>
      </c>
      <c r="M64">
        <f>BDP($H64,"BICS_LEVEL_3_INDUSTRY_NAME")</f>
        <v/>
      </c>
    </row>
    <row r="65" spans="1:13">
      <c r="A65" t="s">
        <v>312</v>
      </c>
      <c r="B65" t="s">
        <v>14</v>
      </c>
      <c r="C65" t="s">
        <v>15</v>
      </c>
      <c r="D65" t="s">
        <v>313</v>
      </c>
      <c r="E65" t="s">
        <v>314</v>
      </c>
      <c r="F65" t="s">
        <v>69</v>
      </c>
      <c r="G65" t="s">
        <v>99</v>
      </c>
      <c r="H65" t="s">
        <v>315</v>
      </c>
      <c r="I65" t="s">
        <v>15</v>
      </c>
      <c r="J65" t="s">
        <v>21</v>
      </c>
      <c r="K65" t="s">
        <v>22</v>
      </c>
      <c r="L65">
        <f>BDP($H65,"BICS_LEVEL_1_SECTOR_NAME")</f>
        <v/>
      </c>
      <c r="M65">
        <f>BDP($H65,"BICS_LEVEL_3_INDUSTRY_NAME")</f>
        <v/>
      </c>
    </row>
    <row r="66" spans="1:13">
      <c r="A66" t="s">
        <v>316</v>
      </c>
      <c r="B66" t="s">
        <v>14</v>
      </c>
      <c r="C66" t="s">
        <v>15</v>
      </c>
      <c r="D66" t="s">
        <v>317</v>
      </c>
      <c r="E66" t="s">
        <v>318</v>
      </c>
      <c r="F66" t="s">
        <v>26</v>
      </c>
      <c r="G66" t="s">
        <v>319</v>
      </c>
      <c r="H66" t="s">
        <v>320</v>
      </c>
      <c r="I66" t="s">
        <v>15</v>
      </c>
      <c r="J66" t="s">
        <v>21</v>
      </c>
      <c r="K66" t="s">
        <v>22</v>
      </c>
      <c r="L66">
        <f>BDP($H66,"BICS_LEVEL_1_SECTOR_NAME")</f>
        <v/>
      </c>
      <c r="M66">
        <f>BDP($H66,"BICS_LEVEL_3_INDUSTRY_NAME")</f>
        <v/>
      </c>
    </row>
    <row r="67" spans="1:13">
      <c r="A67" t="s">
        <v>321</v>
      </c>
      <c r="B67" t="s">
        <v>14</v>
      </c>
      <c r="C67" t="s">
        <v>15</v>
      </c>
      <c r="D67" t="s">
        <v>322</v>
      </c>
      <c r="E67" t="s">
        <v>323</v>
      </c>
      <c r="F67" t="s">
        <v>69</v>
      </c>
      <c r="G67" t="s">
        <v>94</v>
      </c>
      <c r="H67" t="s">
        <v>324</v>
      </c>
      <c r="I67" t="s">
        <v>15</v>
      </c>
      <c r="J67" t="s">
        <v>21</v>
      </c>
      <c r="K67" t="s">
        <v>22</v>
      </c>
      <c r="L67">
        <f>BDP($H67,"BICS_LEVEL_1_SECTOR_NAME")</f>
        <v/>
      </c>
      <c r="M67">
        <f>BDP($H67,"BICS_LEVEL_3_INDUSTRY_NAME")</f>
        <v/>
      </c>
    </row>
    <row r="68" spans="1:13">
      <c r="A68" t="s">
        <v>325</v>
      </c>
      <c r="B68" t="s">
        <v>14</v>
      </c>
      <c r="C68" t="s">
        <v>15</v>
      </c>
      <c r="D68" t="s">
        <v>326</v>
      </c>
      <c r="E68" t="s">
        <v>327</v>
      </c>
      <c r="F68" t="s">
        <v>18</v>
      </c>
      <c r="G68" t="s">
        <v>131</v>
      </c>
      <c r="H68" t="s">
        <v>328</v>
      </c>
      <c r="I68" t="s">
        <v>15</v>
      </c>
      <c r="J68" t="s">
        <v>21</v>
      </c>
      <c r="K68" t="s">
        <v>22</v>
      </c>
      <c r="L68">
        <f>BDP($H68,"BICS_LEVEL_1_SECTOR_NAME")</f>
        <v/>
      </c>
      <c r="M68">
        <f>BDP($H68,"BICS_LEVEL_3_INDUSTRY_NAME")</f>
        <v/>
      </c>
    </row>
    <row r="69" spans="1:13">
      <c r="A69" t="s">
        <v>329</v>
      </c>
      <c r="B69" t="s">
        <v>14</v>
      </c>
      <c r="C69" t="s">
        <v>15</v>
      </c>
      <c r="D69" t="s">
        <v>330</v>
      </c>
      <c r="E69" t="s">
        <v>331</v>
      </c>
      <c r="F69" t="s">
        <v>69</v>
      </c>
      <c r="G69" t="s">
        <v>332</v>
      </c>
      <c r="H69" t="s">
        <v>333</v>
      </c>
      <c r="I69" t="s">
        <v>15</v>
      </c>
      <c r="J69" t="s">
        <v>21</v>
      </c>
      <c r="K69" t="s">
        <v>22</v>
      </c>
      <c r="L69">
        <f>BDP($H69,"BICS_LEVEL_1_SECTOR_NAME")</f>
        <v/>
      </c>
      <c r="M69">
        <f>BDP($H69,"BICS_LEVEL_3_INDUSTRY_NAME")</f>
        <v/>
      </c>
    </row>
    <row r="70" spans="1:13">
      <c r="A70" t="s">
        <v>334</v>
      </c>
      <c r="B70" t="s">
        <v>14</v>
      </c>
      <c r="C70" t="s">
        <v>15</v>
      </c>
      <c r="D70" t="s">
        <v>335</v>
      </c>
      <c r="E70" t="s">
        <v>336</v>
      </c>
      <c r="F70" t="s">
        <v>83</v>
      </c>
      <c r="G70" t="s">
        <v>178</v>
      </c>
      <c r="H70" t="s">
        <v>337</v>
      </c>
      <c r="I70" t="s">
        <v>15</v>
      </c>
      <c r="J70" t="s">
        <v>21</v>
      </c>
      <c r="K70" t="s">
        <v>22</v>
      </c>
      <c r="L70">
        <f>BDP($H70,"BICS_LEVEL_1_SECTOR_NAME")</f>
        <v/>
      </c>
      <c r="M70">
        <f>BDP($H70,"BICS_LEVEL_3_INDUSTRY_NAME")</f>
        <v/>
      </c>
    </row>
    <row r="71" spans="1:13">
      <c r="A71" t="s">
        <v>338</v>
      </c>
      <c r="B71" t="s">
        <v>14</v>
      </c>
      <c r="C71" t="s">
        <v>15</v>
      </c>
      <c r="D71" t="s">
        <v>339</v>
      </c>
      <c r="E71" t="s">
        <v>340</v>
      </c>
      <c r="F71" t="s">
        <v>83</v>
      </c>
      <c r="G71" t="s">
        <v>104</v>
      </c>
      <c r="H71" t="s">
        <v>341</v>
      </c>
      <c r="I71" t="s">
        <v>15</v>
      </c>
      <c r="J71" t="s">
        <v>21</v>
      </c>
      <c r="K71" t="s">
        <v>22</v>
      </c>
      <c r="L71">
        <f>BDP($H71,"BICS_LEVEL_1_SECTOR_NAME")</f>
        <v/>
      </c>
      <c r="M71">
        <f>BDP($H71,"BICS_LEVEL_3_INDUSTRY_NAME")</f>
        <v/>
      </c>
    </row>
    <row r="72" spans="1:13">
      <c r="A72" t="s">
        <v>342</v>
      </c>
      <c r="B72" t="s">
        <v>14</v>
      </c>
      <c r="C72" t="s">
        <v>15</v>
      </c>
      <c r="D72" t="s">
        <v>343</v>
      </c>
      <c r="E72" t="s">
        <v>344</v>
      </c>
      <c r="F72" t="s">
        <v>51</v>
      </c>
      <c r="G72" t="s">
        <v>109</v>
      </c>
      <c r="H72" t="s">
        <v>345</v>
      </c>
      <c r="I72" t="s">
        <v>15</v>
      </c>
      <c r="J72" t="s">
        <v>21</v>
      </c>
      <c r="K72" t="s">
        <v>22</v>
      </c>
      <c r="L72">
        <f>BDP($H72,"BICS_LEVEL_1_SECTOR_NAME")</f>
        <v/>
      </c>
      <c r="M72">
        <f>BDP($H72,"BICS_LEVEL_3_INDUSTRY_NAME")</f>
        <v/>
      </c>
    </row>
    <row r="73" spans="1:13">
      <c r="A73" t="s">
        <v>346</v>
      </c>
      <c r="B73" t="s">
        <v>14</v>
      </c>
      <c r="C73" t="s">
        <v>15</v>
      </c>
      <c r="D73" t="s">
        <v>347</v>
      </c>
      <c r="E73" t="s">
        <v>348</v>
      </c>
      <c r="F73" t="s">
        <v>69</v>
      </c>
      <c r="G73" t="s">
        <v>94</v>
      </c>
      <c r="H73" t="s">
        <v>349</v>
      </c>
      <c r="I73" t="s">
        <v>15</v>
      </c>
      <c r="J73" t="s">
        <v>21</v>
      </c>
      <c r="K73" t="s">
        <v>22</v>
      </c>
      <c r="L73">
        <f>BDP($H73,"BICS_LEVEL_1_SECTOR_NAME")</f>
        <v/>
      </c>
      <c r="M73">
        <f>BDP($H73,"BICS_LEVEL_3_INDUSTRY_NAME")</f>
        <v/>
      </c>
    </row>
    <row r="74" spans="1:13">
      <c r="A74" t="s">
        <v>350</v>
      </c>
      <c r="B74" t="s">
        <v>14</v>
      </c>
      <c r="C74" t="s">
        <v>15</v>
      </c>
      <c r="D74" t="s">
        <v>351</v>
      </c>
      <c r="E74" t="s">
        <v>352</v>
      </c>
      <c r="F74" t="s">
        <v>26</v>
      </c>
      <c r="G74" t="s">
        <v>353</v>
      </c>
      <c r="H74" t="s">
        <v>354</v>
      </c>
      <c r="I74" t="s">
        <v>15</v>
      </c>
      <c r="J74" t="s">
        <v>21</v>
      </c>
      <c r="K74" t="s">
        <v>22</v>
      </c>
      <c r="L74">
        <f>BDP($H74,"BICS_LEVEL_1_SECTOR_NAME")</f>
        <v/>
      </c>
      <c r="M74">
        <f>BDP($H74,"BICS_LEVEL_3_INDUSTRY_NAME")</f>
        <v/>
      </c>
    </row>
    <row r="75" spans="1:13">
      <c r="A75" t="s">
        <v>355</v>
      </c>
      <c r="B75" t="s">
        <v>14</v>
      </c>
      <c r="C75" t="s">
        <v>15</v>
      </c>
      <c r="D75" t="s">
        <v>356</v>
      </c>
      <c r="E75" t="s">
        <v>357</v>
      </c>
      <c r="F75" t="s">
        <v>18</v>
      </c>
      <c r="G75" t="s">
        <v>358</v>
      </c>
      <c r="H75" t="s">
        <v>359</v>
      </c>
      <c r="I75" t="s">
        <v>15</v>
      </c>
      <c r="J75" t="s">
        <v>21</v>
      </c>
      <c r="K75" t="s">
        <v>22</v>
      </c>
      <c r="L75">
        <f>BDP($H75,"BICS_LEVEL_1_SECTOR_NAME")</f>
        <v/>
      </c>
      <c r="M75">
        <f>BDP($H75,"BICS_LEVEL_3_INDUSTRY_NAME")</f>
        <v/>
      </c>
    </row>
    <row r="76" spans="1:13">
      <c r="A76" t="s">
        <v>360</v>
      </c>
      <c r="B76" t="s">
        <v>14</v>
      </c>
      <c r="C76" t="s">
        <v>15</v>
      </c>
      <c r="D76" t="s">
        <v>361</v>
      </c>
      <c r="E76" t="s">
        <v>362</v>
      </c>
      <c r="F76" t="s">
        <v>69</v>
      </c>
      <c r="G76" t="s">
        <v>99</v>
      </c>
      <c r="H76" t="s">
        <v>363</v>
      </c>
      <c r="I76" t="s">
        <v>15</v>
      </c>
      <c r="J76" t="s">
        <v>21</v>
      </c>
      <c r="K76" t="s">
        <v>22</v>
      </c>
      <c r="L76">
        <f>BDP($H76,"BICS_LEVEL_1_SECTOR_NAME")</f>
        <v/>
      </c>
      <c r="M76">
        <f>BDP($H76,"BICS_LEVEL_3_INDUSTRY_NAME")</f>
        <v/>
      </c>
    </row>
    <row r="77" spans="1:13">
      <c r="A77" t="s">
        <v>364</v>
      </c>
      <c r="B77" t="s">
        <v>14</v>
      </c>
      <c r="C77" t="s">
        <v>15</v>
      </c>
      <c r="D77" t="s">
        <v>365</v>
      </c>
      <c r="E77" t="s">
        <v>366</v>
      </c>
      <c r="F77" t="s">
        <v>18</v>
      </c>
      <c r="G77" t="s">
        <v>37</v>
      </c>
      <c r="H77" t="s">
        <v>367</v>
      </c>
      <c r="I77" t="s">
        <v>15</v>
      </c>
      <c r="J77" t="s">
        <v>21</v>
      </c>
      <c r="K77" t="s">
        <v>22</v>
      </c>
      <c r="L77">
        <f>BDP($H77,"BICS_LEVEL_1_SECTOR_NAME")</f>
        <v/>
      </c>
      <c r="M77">
        <f>BDP($H77,"BICS_LEVEL_3_INDUSTRY_NAME")</f>
        <v/>
      </c>
    </row>
    <row r="78" spans="1:13">
      <c r="A78" t="s">
        <v>368</v>
      </c>
      <c r="B78" t="s">
        <v>14</v>
      </c>
      <c r="C78" t="s">
        <v>15</v>
      </c>
      <c r="D78" t="s">
        <v>369</v>
      </c>
      <c r="E78" t="s">
        <v>370</v>
      </c>
      <c r="F78" t="s">
        <v>83</v>
      </c>
      <c r="G78" t="s">
        <v>371</v>
      </c>
      <c r="H78" t="s">
        <v>372</v>
      </c>
      <c r="I78" t="s">
        <v>15</v>
      </c>
      <c r="J78" t="s">
        <v>21</v>
      </c>
      <c r="K78" t="s">
        <v>22</v>
      </c>
      <c r="L78">
        <f>BDP($H78,"BICS_LEVEL_1_SECTOR_NAME")</f>
        <v/>
      </c>
      <c r="M78">
        <f>BDP($H78,"BICS_LEVEL_3_INDUSTRY_NAME")</f>
        <v/>
      </c>
    </row>
    <row r="79" spans="1:13">
      <c r="A79" t="s">
        <v>373</v>
      </c>
      <c r="B79" t="s">
        <v>14</v>
      </c>
      <c r="C79" t="s">
        <v>15</v>
      </c>
      <c r="D79" t="s">
        <v>374</v>
      </c>
      <c r="E79" t="s">
        <v>375</v>
      </c>
      <c r="F79" t="s">
        <v>18</v>
      </c>
      <c r="G79" t="s">
        <v>376</v>
      </c>
      <c r="H79" t="s">
        <v>377</v>
      </c>
      <c r="I79" t="s">
        <v>15</v>
      </c>
      <c r="J79" t="s">
        <v>21</v>
      </c>
      <c r="K79" t="s">
        <v>22</v>
      </c>
      <c r="L79">
        <f>BDP($H79,"BICS_LEVEL_1_SECTOR_NAME")</f>
        <v/>
      </c>
      <c r="M79">
        <f>BDP($H79,"BICS_LEVEL_3_INDUSTRY_NAME")</f>
        <v/>
      </c>
    </row>
    <row r="80" spans="1:13">
      <c r="A80" t="s">
        <v>378</v>
      </c>
      <c r="B80" t="s">
        <v>14</v>
      </c>
      <c r="C80" t="s">
        <v>15</v>
      </c>
      <c r="D80" t="s">
        <v>379</v>
      </c>
      <c r="E80" t="s">
        <v>380</v>
      </c>
      <c r="F80" t="s">
        <v>18</v>
      </c>
      <c r="G80" t="s">
        <v>358</v>
      </c>
      <c r="H80" t="s">
        <v>381</v>
      </c>
      <c r="I80" t="s">
        <v>15</v>
      </c>
      <c r="J80" t="s">
        <v>21</v>
      </c>
      <c r="K80" t="s">
        <v>22</v>
      </c>
      <c r="L80">
        <f>BDP($H80,"BICS_LEVEL_1_SECTOR_NAME")</f>
        <v/>
      </c>
      <c r="M80">
        <f>BDP($H80,"BICS_LEVEL_3_INDUSTRY_NAME")</f>
        <v/>
      </c>
    </row>
    <row r="81" spans="1:13">
      <c r="A81" t="s">
        <v>382</v>
      </c>
      <c r="B81" t="s">
        <v>14</v>
      </c>
      <c r="C81" t="s">
        <v>15</v>
      </c>
      <c r="D81" t="s">
        <v>383</v>
      </c>
      <c r="E81" t="s">
        <v>384</v>
      </c>
      <c r="F81" t="s">
        <v>26</v>
      </c>
      <c r="G81" t="s">
        <v>37</v>
      </c>
      <c r="H81" t="s">
        <v>385</v>
      </c>
      <c r="I81" t="s">
        <v>15</v>
      </c>
      <c r="J81" t="s">
        <v>21</v>
      </c>
      <c r="K81" t="s">
        <v>22</v>
      </c>
      <c r="L81">
        <f>BDP($H81,"BICS_LEVEL_1_SECTOR_NAME")</f>
        <v/>
      </c>
      <c r="M81">
        <f>BDP($H81,"BICS_LEVEL_3_INDUSTRY_NAME")</f>
        <v/>
      </c>
    </row>
    <row r="82" spans="1:13">
      <c r="A82" t="s">
        <v>386</v>
      </c>
      <c r="B82" t="s">
        <v>14</v>
      </c>
      <c r="C82" t="s">
        <v>15</v>
      </c>
      <c r="D82" t="s">
        <v>387</v>
      </c>
      <c r="E82" t="s">
        <v>388</v>
      </c>
      <c r="F82" t="s">
        <v>18</v>
      </c>
      <c r="G82" t="s">
        <v>389</v>
      </c>
      <c r="H82" t="s">
        <v>390</v>
      </c>
      <c r="I82" t="s">
        <v>15</v>
      </c>
      <c r="J82" t="s">
        <v>21</v>
      </c>
      <c r="K82" t="s">
        <v>22</v>
      </c>
      <c r="L82">
        <f>BDP($H82,"BICS_LEVEL_1_SECTOR_NAME")</f>
        <v/>
      </c>
      <c r="M82">
        <f>BDP($H82,"BICS_LEVEL_3_INDUSTRY_NAME")</f>
        <v/>
      </c>
    </row>
    <row r="83" spans="1:13">
      <c r="A83" t="s">
        <v>391</v>
      </c>
      <c r="B83" t="s">
        <v>14</v>
      </c>
      <c r="C83" t="s">
        <v>15</v>
      </c>
      <c r="D83" t="s">
        <v>392</v>
      </c>
      <c r="E83" t="s">
        <v>393</v>
      </c>
      <c r="F83" t="s">
        <v>18</v>
      </c>
      <c r="G83" t="s">
        <v>394</v>
      </c>
      <c r="H83" t="s">
        <v>395</v>
      </c>
      <c r="I83" t="s">
        <v>15</v>
      </c>
      <c r="J83" t="s">
        <v>21</v>
      </c>
      <c r="K83" t="s">
        <v>22</v>
      </c>
      <c r="L83">
        <f>BDP($H83,"BICS_LEVEL_1_SECTOR_NAME")</f>
        <v/>
      </c>
      <c r="M83">
        <f>BDP($H83,"BICS_LEVEL_3_INDUSTRY_NAME")</f>
        <v/>
      </c>
    </row>
    <row r="84" spans="1:13">
      <c r="A84" t="s">
        <v>396</v>
      </c>
      <c r="B84" t="s">
        <v>14</v>
      </c>
      <c r="C84" t="s">
        <v>15</v>
      </c>
      <c r="D84" t="s">
        <v>397</v>
      </c>
      <c r="E84" t="s">
        <v>398</v>
      </c>
      <c r="F84" t="s">
        <v>69</v>
      </c>
      <c r="G84" t="s">
        <v>94</v>
      </c>
      <c r="H84" t="s">
        <v>399</v>
      </c>
      <c r="I84" t="s">
        <v>15</v>
      </c>
      <c r="J84" t="s">
        <v>21</v>
      </c>
      <c r="K84" t="s">
        <v>22</v>
      </c>
      <c r="L84">
        <f>BDP($H84,"BICS_LEVEL_1_SECTOR_NAME")</f>
        <v/>
      </c>
      <c r="M84">
        <f>BDP($H84,"BICS_LEVEL_3_INDUSTRY_NAME")</f>
        <v/>
      </c>
    </row>
    <row r="85" spans="1:13">
      <c r="A85" t="s">
        <v>400</v>
      </c>
      <c r="B85" t="s">
        <v>14</v>
      </c>
      <c r="C85" t="s">
        <v>15</v>
      </c>
      <c r="D85" t="s">
        <v>401</v>
      </c>
      <c r="E85" t="s">
        <v>402</v>
      </c>
      <c r="F85" t="s">
        <v>18</v>
      </c>
      <c r="G85" t="s">
        <v>394</v>
      </c>
      <c r="H85" t="s">
        <v>403</v>
      </c>
      <c r="I85" t="s">
        <v>15</v>
      </c>
      <c r="J85" t="s">
        <v>21</v>
      </c>
      <c r="K85" t="s">
        <v>22</v>
      </c>
      <c r="L85">
        <f>BDP($H85,"BICS_LEVEL_1_SECTOR_NAME")</f>
        <v/>
      </c>
      <c r="M85">
        <f>BDP($H85,"BICS_LEVEL_3_INDUSTRY_NAME")</f>
        <v/>
      </c>
    </row>
    <row r="86" spans="1:13">
      <c r="A86" t="s">
        <v>404</v>
      </c>
      <c r="B86" t="s">
        <v>14</v>
      </c>
      <c r="C86" t="s">
        <v>15</v>
      </c>
      <c r="D86" t="s">
        <v>405</v>
      </c>
      <c r="E86" t="s">
        <v>406</v>
      </c>
      <c r="F86" t="s">
        <v>69</v>
      </c>
      <c r="G86" t="s">
        <v>99</v>
      </c>
      <c r="H86" t="s">
        <v>407</v>
      </c>
      <c r="I86" t="s">
        <v>15</v>
      </c>
      <c r="J86" t="s">
        <v>21</v>
      </c>
      <c r="K86" t="s">
        <v>22</v>
      </c>
      <c r="L86">
        <f>BDP($H86,"BICS_LEVEL_1_SECTOR_NAME")</f>
        <v/>
      </c>
      <c r="M86">
        <f>BDP($H86,"BICS_LEVEL_3_INDUSTRY_NAME")</f>
        <v/>
      </c>
    </row>
    <row r="87" spans="1:13">
      <c r="A87" t="s">
        <v>408</v>
      </c>
      <c r="B87" t="s">
        <v>14</v>
      </c>
      <c r="C87" t="s">
        <v>15</v>
      </c>
      <c r="D87" t="s">
        <v>409</v>
      </c>
      <c r="E87" t="s">
        <v>410</v>
      </c>
      <c r="F87" t="s">
        <v>18</v>
      </c>
      <c r="G87" t="s">
        <v>411</v>
      </c>
      <c r="H87" t="s">
        <v>412</v>
      </c>
      <c r="I87" t="s">
        <v>15</v>
      </c>
      <c r="J87" t="s">
        <v>21</v>
      </c>
      <c r="K87" t="s">
        <v>22</v>
      </c>
      <c r="L87">
        <f>BDP($H87,"BICS_LEVEL_1_SECTOR_NAME")</f>
        <v/>
      </c>
      <c r="M87">
        <f>BDP($H87,"BICS_LEVEL_3_INDUSTRY_NAME")</f>
        <v/>
      </c>
    </row>
    <row r="88" spans="1:13">
      <c r="A88" t="s">
        <v>413</v>
      </c>
      <c r="B88" t="s">
        <v>14</v>
      </c>
      <c r="C88" t="s">
        <v>15</v>
      </c>
      <c r="D88" t="s">
        <v>414</v>
      </c>
      <c r="E88" t="s">
        <v>415</v>
      </c>
      <c r="F88" t="s">
        <v>26</v>
      </c>
      <c r="G88" t="s">
        <v>141</v>
      </c>
      <c r="H88" t="s">
        <v>416</v>
      </c>
      <c r="I88" t="s">
        <v>15</v>
      </c>
      <c r="J88" t="s">
        <v>21</v>
      </c>
      <c r="K88" t="s">
        <v>22</v>
      </c>
      <c r="L88">
        <f>BDP($H88,"BICS_LEVEL_1_SECTOR_NAME")</f>
        <v/>
      </c>
      <c r="M88">
        <f>BDP($H88,"BICS_LEVEL_3_INDUSTRY_NAME")</f>
        <v/>
      </c>
    </row>
    <row r="89" spans="1:13">
      <c r="A89" t="s">
        <v>417</v>
      </c>
      <c r="B89" t="s">
        <v>14</v>
      </c>
      <c r="C89" t="s">
        <v>15</v>
      </c>
      <c r="D89" t="s">
        <v>418</v>
      </c>
      <c r="E89" t="s">
        <v>419</v>
      </c>
      <c r="F89" t="s">
        <v>18</v>
      </c>
      <c r="G89" t="s">
        <v>420</v>
      </c>
      <c r="H89" t="s">
        <v>421</v>
      </c>
      <c r="I89" t="s">
        <v>15</v>
      </c>
      <c r="J89" t="s">
        <v>21</v>
      </c>
      <c r="K89" t="s">
        <v>22</v>
      </c>
      <c r="L89">
        <f>BDP($H89,"BICS_LEVEL_1_SECTOR_NAME")</f>
        <v/>
      </c>
      <c r="M89">
        <f>BDP($H89,"BICS_LEVEL_3_INDUSTRY_NAME")</f>
        <v/>
      </c>
    </row>
    <row r="90" spans="1:13">
      <c r="A90" t="s">
        <v>422</v>
      </c>
      <c r="B90" t="s">
        <v>14</v>
      </c>
      <c r="C90" t="s">
        <v>15</v>
      </c>
      <c r="D90" t="s">
        <v>423</v>
      </c>
      <c r="E90" t="s">
        <v>424</v>
      </c>
      <c r="F90" t="s">
        <v>69</v>
      </c>
      <c r="G90" t="s">
        <v>94</v>
      </c>
      <c r="H90" t="s">
        <v>425</v>
      </c>
      <c r="I90" t="s">
        <v>15</v>
      </c>
      <c r="J90" t="s">
        <v>21</v>
      </c>
      <c r="K90" t="s">
        <v>22</v>
      </c>
      <c r="L90">
        <f>BDP($H90,"BICS_LEVEL_1_SECTOR_NAME")</f>
        <v/>
      </c>
      <c r="M90">
        <f>BDP($H90,"BICS_LEVEL_3_INDUSTRY_NAME")</f>
        <v/>
      </c>
    </row>
    <row r="91" spans="1:13">
      <c r="A91" t="s">
        <v>426</v>
      </c>
      <c r="B91" t="s">
        <v>14</v>
      </c>
      <c r="C91" t="s">
        <v>15</v>
      </c>
      <c r="D91" t="s">
        <v>427</v>
      </c>
      <c r="E91" t="s">
        <v>428</v>
      </c>
      <c r="F91" t="s">
        <v>69</v>
      </c>
      <c r="G91" t="s">
        <v>429</v>
      </c>
      <c r="H91" t="s">
        <v>430</v>
      </c>
      <c r="I91" t="s">
        <v>15</v>
      </c>
      <c r="J91" t="s">
        <v>21</v>
      </c>
      <c r="K91" t="s">
        <v>22</v>
      </c>
      <c r="L91">
        <f>BDP($H91,"BICS_LEVEL_1_SECTOR_NAME")</f>
        <v/>
      </c>
      <c r="M91">
        <f>BDP($H91,"BICS_LEVEL_3_INDUSTRY_NAME")</f>
        <v/>
      </c>
    </row>
    <row r="92" spans="1:13">
      <c r="A92" t="s">
        <v>431</v>
      </c>
      <c r="B92" t="s">
        <v>14</v>
      </c>
      <c r="C92" t="s">
        <v>15</v>
      </c>
      <c r="D92" t="s">
        <v>432</v>
      </c>
      <c r="E92" t="s">
        <v>433</v>
      </c>
      <c r="F92" t="s">
        <v>69</v>
      </c>
      <c r="G92" t="s">
        <v>429</v>
      </c>
      <c r="H92" t="s">
        <v>434</v>
      </c>
      <c r="I92" t="s">
        <v>15</v>
      </c>
      <c r="J92" t="s">
        <v>21</v>
      </c>
      <c r="K92" t="s">
        <v>22</v>
      </c>
      <c r="L92">
        <f>BDP($H92,"BICS_LEVEL_1_SECTOR_NAME")</f>
        <v/>
      </c>
      <c r="M92">
        <f>BDP($H92,"BICS_LEVEL_3_INDUSTRY_NAME")</f>
        <v/>
      </c>
    </row>
    <row r="93" spans="1:13">
      <c r="A93" t="s">
        <v>435</v>
      </c>
      <c r="B93" t="s">
        <v>14</v>
      </c>
      <c r="C93" t="s">
        <v>15</v>
      </c>
      <c r="D93" t="s">
        <v>436</v>
      </c>
      <c r="E93" t="s">
        <v>437</v>
      </c>
      <c r="F93" t="s">
        <v>69</v>
      </c>
      <c r="G93" t="s">
        <v>429</v>
      </c>
      <c r="H93" t="s">
        <v>438</v>
      </c>
      <c r="I93" t="s">
        <v>15</v>
      </c>
      <c r="J93" t="s">
        <v>21</v>
      </c>
      <c r="K93" t="s">
        <v>22</v>
      </c>
      <c r="L93">
        <f>BDP($H93,"BICS_LEVEL_1_SECTOR_NAME")</f>
        <v/>
      </c>
      <c r="M93">
        <f>BDP($H93,"BICS_LEVEL_3_INDUSTRY_NAME")</f>
        <v/>
      </c>
    </row>
    <row r="94" spans="1:13">
      <c r="A94" t="s">
        <v>439</v>
      </c>
      <c r="B94" t="s">
        <v>14</v>
      </c>
      <c r="C94" t="s">
        <v>15</v>
      </c>
      <c r="D94" t="s">
        <v>440</v>
      </c>
      <c r="E94" t="s">
        <v>441</v>
      </c>
      <c r="F94" t="s">
        <v>83</v>
      </c>
      <c r="G94" t="s">
        <v>371</v>
      </c>
      <c r="H94" t="s">
        <v>442</v>
      </c>
      <c r="I94" t="s">
        <v>15</v>
      </c>
      <c r="J94" t="s">
        <v>21</v>
      </c>
      <c r="K94" t="s">
        <v>22</v>
      </c>
      <c r="L94">
        <f>BDP($H94,"BICS_LEVEL_1_SECTOR_NAME")</f>
        <v/>
      </c>
      <c r="M94">
        <f>BDP($H94,"BICS_LEVEL_3_INDUSTRY_NAME")</f>
        <v/>
      </c>
    </row>
    <row r="95" spans="1:13">
      <c r="A95" t="s">
        <v>443</v>
      </c>
      <c r="B95" t="s">
        <v>14</v>
      </c>
      <c r="C95" t="s">
        <v>15</v>
      </c>
      <c r="D95" t="s">
        <v>444</v>
      </c>
      <c r="E95" t="s">
        <v>445</v>
      </c>
      <c r="F95" t="s">
        <v>51</v>
      </c>
      <c r="G95" t="s">
        <v>264</v>
      </c>
      <c r="H95" t="s">
        <v>446</v>
      </c>
      <c r="I95" t="s">
        <v>15</v>
      </c>
      <c r="J95" t="s">
        <v>21</v>
      </c>
      <c r="K95" t="s">
        <v>22</v>
      </c>
      <c r="L95">
        <f>BDP($H95,"BICS_LEVEL_1_SECTOR_NAME")</f>
        <v/>
      </c>
      <c r="M95">
        <f>BDP($H95,"BICS_LEVEL_3_INDUSTRY_NAME")</f>
        <v/>
      </c>
    </row>
    <row r="96" spans="1:13">
      <c r="A96" t="s">
        <v>447</v>
      </c>
      <c r="B96" t="s">
        <v>14</v>
      </c>
      <c r="C96" t="s">
        <v>15</v>
      </c>
      <c r="D96" t="s">
        <v>448</v>
      </c>
      <c r="E96" t="s">
        <v>449</v>
      </c>
      <c r="F96" t="s">
        <v>69</v>
      </c>
      <c r="G96" t="s">
        <v>94</v>
      </c>
      <c r="H96" t="s">
        <v>450</v>
      </c>
      <c r="I96" t="s">
        <v>15</v>
      </c>
      <c r="J96" t="s">
        <v>21</v>
      </c>
      <c r="K96" t="s">
        <v>22</v>
      </c>
      <c r="L96">
        <f>BDP($H96,"BICS_LEVEL_1_SECTOR_NAME")</f>
        <v/>
      </c>
      <c r="M96">
        <f>BDP($H96,"BICS_LEVEL_3_INDUSTRY_NAME")</f>
        <v/>
      </c>
    </row>
    <row r="97" spans="1:13">
      <c r="A97" t="s">
        <v>451</v>
      </c>
      <c r="B97" t="s">
        <v>14</v>
      </c>
      <c r="C97" t="s">
        <v>15</v>
      </c>
      <c r="D97" t="s">
        <v>452</v>
      </c>
      <c r="E97" t="s">
        <v>453</v>
      </c>
      <c r="F97" t="s">
        <v>18</v>
      </c>
      <c r="G97" t="s">
        <v>394</v>
      </c>
      <c r="H97" t="s">
        <v>454</v>
      </c>
      <c r="I97" t="s">
        <v>15</v>
      </c>
      <c r="J97" t="s">
        <v>21</v>
      </c>
      <c r="K97" t="s">
        <v>22</v>
      </c>
      <c r="L97">
        <f>BDP($H97,"BICS_LEVEL_1_SECTOR_NAME")</f>
        <v/>
      </c>
      <c r="M97">
        <f>BDP($H97,"BICS_LEVEL_3_INDUSTRY_NAME")</f>
        <v/>
      </c>
    </row>
    <row r="98" spans="1:13">
      <c r="A98" t="s">
        <v>455</v>
      </c>
      <c r="B98" t="s">
        <v>14</v>
      </c>
      <c r="C98" t="s">
        <v>15</v>
      </c>
      <c r="D98" t="s">
        <v>456</v>
      </c>
      <c r="E98" t="s">
        <v>457</v>
      </c>
      <c r="F98" t="s">
        <v>83</v>
      </c>
      <c r="G98" t="s">
        <v>37</v>
      </c>
      <c r="H98" t="s">
        <v>458</v>
      </c>
      <c r="I98" t="s">
        <v>15</v>
      </c>
      <c r="J98" t="s">
        <v>21</v>
      </c>
      <c r="K98" t="s">
        <v>22</v>
      </c>
      <c r="L98">
        <f>BDP($H98,"BICS_LEVEL_1_SECTOR_NAME")</f>
        <v/>
      </c>
      <c r="M98">
        <f>BDP($H98,"BICS_LEVEL_3_INDUSTRY_NAME")</f>
        <v/>
      </c>
    </row>
    <row r="99" spans="1:13">
      <c r="A99" t="s">
        <v>459</v>
      </c>
      <c r="B99" t="s">
        <v>14</v>
      </c>
      <c r="C99" t="s">
        <v>15</v>
      </c>
      <c r="D99" t="s">
        <v>460</v>
      </c>
      <c r="E99" t="s">
        <v>461</v>
      </c>
      <c r="F99" t="s">
        <v>18</v>
      </c>
      <c r="G99" t="s">
        <v>462</v>
      </c>
      <c r="H99" t="s">
        <v>463</v>
      </c>
      <c r="I99" t="s">
        <v>15</v>
      </c>
      <c r="J99" t="s">
        <v>21</v>
      </c>
      <c r="K99" t="s">
        <v>22</v>
      </c>
      <c r="L99">
        <f>BDP($H99,"BICS_LEVEL_1_SECTOR_NAME")</f>
        <v/>
      </c>
      <c r="M99">
        <f>BDP($H99,"BICS_LEVEL_3_INDUSTRY_NAME")</f>
        <v/>
      </c>
    </row>
    <row r="100" spans="1:13">
      <c r="A100" t="s">
        <v>464</v>
      </c>
      <c r="B100" t="s">
        <v>14</v>
      </c>
      <c r="C100" t="s">
        <v>15</v>
      </c>
      <c r="D100" t="s">
        <v>465</v>
      </c>
      <c r="E100" t="s">
        <v>466</v>
      </c>
      <c r="F100" t="s">
        <v>69</v>
      </c>
      <c r="G100" t="s">
        <v>94</v>
      </c>
      <c r="H100" t="s">
        <v>467</v>
      </c>
      <c r="I100" t="s">
        <v>15</v>
      </c>
      <c r="J100" t="s">
        <v>21</v>
      </c>
      <c r="K100" t="s">
        <v>22</v>
      </c>
      <c r="L100">
        <f>BDP($H100,"BICS_LEVEL_1_SECTOR_NAME")</f>
        <v/>
      </c>
      <c r="M100">
        <f>BDP($H100,"BICS_LEVEL_3_INDUSTRY_NAME")</f>
        <v/>
      </c>
    </row>
    <row r="101" spans="1:13">
      <c r="A101" t="s">
        <v>468</v>
      </c>
      <c r="B101" t="s">
        <v>14</v>
      </c>
      <c r="C101" t="s">
        <v>15</v>
      </c>
      <c r="D101" t="s">
        <v>469</v>
      </c>
      <c r="E101" t="s">
        <v>470</v>
      </c>
      <c r="F101" t="s">
        <v>69</v>
      </c>
      <c r="G101" t="s">
        <v>94</v>
      </c>
      <c r="H101" t="s">
        <v>471</v>
      </c>
      <c r="I101" t="s">
        <v>15</v>
      </c>
      <c r="J101" t="s">
        <v>21</v>
      </c>
      <c r="K101" t="s">
        <v>22</v>
      </c>
      <c r="L101">
        <f>BDP($H101,"BICS_LEVEL_1_SECTOR_NAME")</f>
        <v/>
      </c>
      <c r="M101">
        <f>BDP($H101,"BICS_LEVEL_3_INDUSTRY_NAME")</f>
        <v/>
      </c>
    </row>
    <row r="102" spans="1:13">
      <c r="A102" t="s">
        <v>472</v>
      </c>
      <c r="B102" t="s">
        <v>14</v>
      </c>
      <c r="C102" t="s">
        <v>15</v>
      </c>
      <c r="D102" t="s">
        <v>473</v>
      </c>
      <c r="E102" t="s">
        <v>474</v>
      </c>
      <c r="F102" t="s">
        <v>69</v>
      </c>
      <c r="G102" t="s">
        <v>27</v>
      </c>
      <c r="H102" t="s">
        <v>475</v>
      </c>
      <c r="I102" t="s">
        <v>15</v>
      </c>
      <c r="J102" t="s">
        <v>21</v>
      </c>
      <c r="K102" t="s">
        <v>22</v>
      </c>
      <c r="L102">
        <f>BDP($H102,"BICS_LEVEL_1_SECTOR_NAME")</f>
        <v/>
      </c>
      <c r="M102">
        <f>BDP($H102,"BICS_LEVEL_3_INDUSTRY_NAME")</f>
        <v/>
      </c>
    </row>
    <row r="103" spans="1:13">
      <c r="A103" t="s">
        <v>476</v>
      </c>
      <c r="B103" t="s">
        <v>14</v>
      </c>
      <c r="C103" t="s">
        <v>15</v>
      </c>
      <c r="D103" t="s">
        <v>477</v>
      </c>
      <c r="E103" t="s">
        <v>478</v>
      </c>
      <c r="F103" t="s">
        <v>26</v>
      </c>
      <c r="G103" t="s">
        <v>37</v>
      </c>
      <c r="H103" t="s">
        <v>479</v>
      </c>
      <c r="I103" t="s">
        <v>15</v>
      </c>
      <c r="J103" t="s">
        <v>21</v>
      </c>
      <c r="K103" t="s">
        <v>22</v>
      </c>
      <c r="L103">
        <f>BDP($H103,"BICS_LEVEL_1_SECTOR_NAME")</f>
        <v/>
      </c>
      <c r="M103">
        <f>BDP($H103,"BICS_LEVEL_3_INDUSTRY_NAME")</f>
        <v/>
      </c>
    </row>
    <row r="104" spans="1:13">
      <c r="A104" t="s">
        <v>480</v>
      </c>
      <c r="B104" t="s">
        <v>14</v>
      </c>
      <c r="C104" t="s">
        <v>15</v>
      </c>
      <c r="D104" t="s">
        <v>481</v>
      </c>
      <c r="E104" t="s">
        <v>482</v>
      </c>
      <c r="F104" t="s">
        <v>18</v>
      </c>
      <c r="G104" t="s">
        <v>358</v>
      </c>
      <c r="H104" t="s">
        <v>483</v>
      </c>
      <c r="I104" t="s">
        <v>15</v>
      </c>
      <c r="J104" t="s">
        <v>21</v>
      </c>
      <c r="K104" t="s">
        <v>22</v>
      </c>
      <c r="L104">
        <f>BDP($H104,"BICS_LEVEL_1_SECTOR_NAME")</f>
        <v/>
      </c>
      <c r="M104">
        <f>BDP($H104,"BICS_LEVEL_3_INDUSTRY_NAME")</f>
        <v/>
      </c>
    </row>
    <row r="105" spans="1:13">
      <c r="A105" t="s">
        <v>484</v>
      </c>
      <c r="B105" t="s">
        <v>14</v>
      </c>
      <c r="C105" t="s">
        <v>15</v>
      </c>
      <c r="D105" t="s">
        <v>485</v>
      </c>
      <c r="E105" t="s">
        <v>486</v>
      </c>
      <c r="F105" t="s">
        <v>83</v>
      </c>
      <c r="G105" t="s">
        <v>371</v>
      </c>
      <c r="H105" t="s">
        <v>487</v>
      </c>
      <c r="I105" t="s">
        <v>15</v>
      </c>
      <c r="J105" t="s">
        <v>21</v>
      </c>
      <c r="K105" t="s">
        <v>22</v>
      </c>
      <c r="L105">
        <f>BDP($H105,"BICS_LEVEL_1_SECTOR_NAME")</f>
        <v/>
      </c>
      <c r="M105">
        <f>BDP($H105,"BICS_LEVEL_3_INDUSTRY_NAME")</f>
        <v/>
      </c>
    </row>
    <row r="106" spans="1:13">
      <c r="A106" t="s">
        <v>488</v>
      </c>
      <c r="B106" t="s">
        <v>14</v>
      </c>
      <c r="C106" t="s">
        <v>15</v>
      </c>
      <c r="D106" t="s">
        <v>489</v>
      </c>
      <c r="E106" t="s">
        <v>490</v>
      </c>
      <c r="F106" t="s">
        <v>26</v>
      </c>
      <c r="G106" t="s">
        <v>37</v>
      </c>
      <c r="H106" t="s">
        <v>491</v>
      </c>
      <c r="I106" t="s">
        <v>15</v>
      </c>
      <c r="J106" t="s">
        <v>21</v>
      </c>
      <c r="K106" t="s">
        <v>22</v>
      </c>
      <c r="L106">
        <f>BDP($H106,"BICS_LEVEL_1_SECTOR_NAME")</f>
        <v/>
      </c>
      <c r="M106">
        <f>BDP($H106,"BICS_LEVEL_3_INDUSTRY_NAME")</f>
        <v/>
      </c>
    </row>
    <row r="107" spans="1:13">
      <c r="A107" t="s">
        <v>492</v>
      </c>
      <c r="B107" t="s">
        <v>14</v>
      </c>
      <c r="C107" t="s">
        <v>15</v>
      </c>
      <c r="D107" t="s">
        <v>493</v>
      </c>
      <c r="E107" t="s">
        <v>494</v>
      </c>
      <c r="F107" t="s">
        <v>248</v>
      </c>
      <c r="G107" t="s">
        <v>495</v>
      </c>
      <c r="H107" t="s">
        <v>496</v>
      </c>
      <c r="I107" t="s">
        <v>15</v>
      </c>
      <c r="J107" t="s">
        <v>21</v>
      </c>
      <c r="K107" t="s">
        <v>22</v>
      </c>
      <c r="L107">
        <f>BDP($H107,"BICS_LEVEL_1_SECTOR_NAME")</f>
        <v/>
      </c>
      <c r="M107">
        <f>BDP($H107,"BICS_LEVEL_3_INDUSTRY_NAME")</f>
        <v/>
      </c>
    </row>
    <row r="108" spans="1:13">
      <c r="A108" t="s">
        <v>497</v>
      </c>
      <c r="B108" t="s">
        <v>14</v>
      </c>
      <c r="C108" t="s">
        <v>15</v>
      </c>
      <c r="D108" t="s">
        <v>498</v>
      </c>
      <c r="E108" t="s">
        <v>499</v>
      </c>
      <c r="F108" t="s">
        <v>248</v>
      </c>
      <c r="G108" t="s">
        <v>495</v>
      </c>
      <c r="H108" t="s">
        <v>500</v>
      </c>
      <c r="I108" t="s">
        <v>15</v>
      </c>
      <c r="J108" t="s">
        <v>21</v>
      </c>
      <c r="K108" t="s">
        <v>22</v>
      </c>
      <c r="L108">
        <f>BDP($H108,"BICS_LEVEL_1_SECTOR_NAME")</f>
        <v/>
      </c>
      <c r="M108">
        <f>BDP($H108,"BICS_LEVEL_3_INDUSTRY_NAME")</f>
        <v/>
      </c>
    </row>
    <row r="109" spans="1:13">
      <c r="A109" t="s">
        <v>501</v>
      </c>
      <c r="B109" t="s">
        <v>14</v>
      </c>
      <c r="C109" t="s">
        <v>15</v>
      </c>
      <c r="D109" t="s">
        <v>502</v>
      </c>
      <c r="E109" t="s">
        <v>503</v>
      </c>
      <c r="F109" t="s">
        <v>248</v>
      </c>
      <c r="G109" t="s">
        <v>495</v>
      </c>
      <c r="H109" t="s">
        <v>504</v>
      </c>
      <c r="I109" t="s">
        <v>15</v>
      </c>
      <c r="J109" t="s">
        <v>21</v>
      </c>
      <c r="K109" t="s">
        <v>22</v>
      </c>
      <c r="L109">
        <f>BDP($H109,"BICS_LEVEL_1_SECTOR_NAME")</f>
        <v/>
      </c>
      <c r="M109">
        <f>BDP($H109,"BICS_LEVEL_3_INDUSTRY_NAME")</f>
        <v/>
      </c>
    </row>
    <row r="110" spans="1:13">
      <c r="A110" t="s">
        <v>505</v>
      </c>
      <c r="B110" t="s">
        <v>14</v>
      </c>
      <c r="C110" t="s">
        <v>15</v>
      </c>
      <c r="D110" t="s">
        <v>506</v>
      </c>
      <c r="E110" t="s">
        <v>507</v>
      </c>
      <c r="F110" t="s">
        <v>83</v>
      </c>
      <c r="G110" t="s">
        <v>104</v>
      </c>
      <c r="H110" t="s">
        <v>508</v>
      </c>
      <c r="I110" t="s">
        <v>15</v>
      </c>
      <c r="J110" t="s">
        <v>21</v>
      </c>
      <c r="K110" t="s">
        <v>22</v>
      </c>
      <c r="L110">
        <f>BDP($H110,"BICS_LEVEL_1_SECTOR_NAME")</f>
        <v/>
      </c>
      <c r="M110">
        <f>BDP($H110,"BICS_LEVEL_3_INDUSTRY_NAME")</f>
        <v/>
      </c>
    </row>
    <row r="111" spans="1:13">
      <c r="A111" t="s">
        <v>509</v>
      </c>
      <c r="B111" t="s">
        <v>14</v>
      </c>
      <c r="C111" t="s">
        <v>15</v>
      </c>
      <c r="D111" t="s">
        <v>510</v>
      </c>
      <c r="E111" t="s">
        <v>511</v>
      </c>
      <c r="F111" t="s">
        <v>69</v>
      </c>
      <c r="G111" t="s">
        <v>99</v>
      </c>
      <c r="H111" t="s">
        <v>512</v>
      </c>
      <c r="I111" t="s">
        <v>15</v>
      </c>
      <c r="J111" t="s">
        <v>21</v>
      </c>
      <c r="K111" t="s">
        <v>22</v>
      </c>
      <c r="L111">
        <f>BDP($H111,"BICS_LEVEL_1_SECTOR_NAME")</f>
        <v/>
      </c>
      <c r="M111">
        <f>BDP($H111,"BICS_LEVEL_3_INDUSTRY_NAME")</f>
        <v/>
      </c>
    </row>
    <row r="112" spans="1:13">
      <c r="A112" t="s">
        <v>513</v>
      </c>
      <c r="B112" t="s">
        <v>14</v>
      </c>
      <c r="C112" t="s">
        <v>15</v>
      </c>
      <c r="D112" t="s">
        <v>514</v>
      </c>
      <c r="E112" t="s">
        <v>515</v>
      </c>
      <c r="F112" t="s">
        <v>172</v>
      </c>
      <c r="G112" t="s">
        <v>213</v>
      </c>
      <c r="H112" t="s">
        <v>516</v>
      </c>
      <c r="I112" t="s">
        <v>15</v>
      </c>
      <c r="J112" t="s">
        <v>21</v>
      </c>
      <c r="K112" t="s">
        <v>22</v>
      </c>
      <c r="L112">
        <f>BDP($H112,"BICS_LEVEL_1_SECTOR_NAME")</f>
        <v/>
      </c>
      <c r="M112">
        <f>BDP($H112,"BICS_LEVEL_3_INDUSTRY_NAME")</f>
        <v/>
      </c>
    </row>
    <row r="113" spans="1:13">
      <c r="A113" t="s">
        <v>517</v>
      </c>
      <c r="B113" t="s">
        <v>14</v>
      </c>
      <c r="C113" t="s">
        <v>15</v>
      </c>
      <c r="D113" t="s">
        <v>518</v>
      </c>
      <c r="E113" t="s">
        <v>519</v>
      </c>
      <c r="F113" t="s">
        <v>18</v>
      </c>
      <c r="G113" t="s">
        <v>520</v>
      </c>
      <c r="H113" t="s">
        <v>521</v>
      </c>
      <c r="I113" t="s">
        <v>15</v>
      </c>
      <c r="J113" t="s">
        <v>21</v>
      </c>
      <c r="K113" t="s">
        <v>22</v>
      </c>
      <c r="L113">
        <f>BDP($H113,"BICS_LEVEL_1_SECTOR_NAME")</f>
        <v/>
      </c>
      <c r="M113">
        <f>BDP($H113,"BICS_LEVEL_3_INDUSTRY_NAME")</f>
        <v/>
      </c>
    </row>
    <row r="114" spans="1:13">
      <c r="A114" t="s">
        <v>522</v>
      </c>
      <c r="B114" t="s">
        <v>14</v>
      </c>
      <c r="C114" t="s">
        <v>15</v>
      </c>
      <c r="D114" t="s">
        <v>523</v>
      </c>
      <c r="E114" t="s">
        <v>524</v>
      </c>
      <c r="F114" t="s">
        <v>83</v>
      </c>
      <c r="G114" t="s">
        <v>525</v>
      </c>
      <c r="H114" t="s">
        <v>526</v>
      </c>
      <c r="I114" t="s">
        <v>15</v>
      </c>
      <c r="J114" t="s">
        <v>21</v>
      </c>
      <c r="K114" t="s">
        <v>22</v>
      </c>
      <c r="L114">
        <f>BDP($H114,"BICS_LEVEL_1_SECTOR_NAME")</f>
        <v/>
      </c>
      <c r="M114">
        <f>BDP($H114,"BICS_LEVEL_3_INDUSTRY_NAME")</f>
        <v/>
      </c>
    </row>
    <row r="115" spans="1:13">
      <c r="A115" t="s">
        <v>527</v>
      </c>
      <c r="B115" t="s">
        <v>14</v>
      </c>
      <c r="C115" t="s">
        <v>15</v>
      </c>
      <c r="D115" t="s">
        <v>528</v>
      </c>
      <c r="E115" t="s">
        <v>529</v>
      </c>
      <c r="F115" t="s">
        <v>248</v>
      </c>
      <c r="G115" t="s">
        <v>249</v>
      </c>
      <c r="H115" t="s">
        <v>530</v>
      </c>
      <c r="I115" t="s">
        <v>15</v>
      </c>
      <c r="J115" t="s">
        <v>21</v>
      </c>
      <c r="K115" t="s">
        <v>22</v>
      </c>
      <c r="L115">
        <f>BDP($H115,"BICS_LEVEL_1_SECTOR_NAME")</f>
        <v/>
      </c>
      <c r="M115">
        <f>BDP($H115,"BICS_LEVEL_3_INDUSTRY_NAME")</f>
        <v/>
      </c>
    </row>
    <row r="116" spans="1:13">
      <c r="A116" t="s">
        <v>531</v>
      </c>
      <c r="B116" t="s">
        <v>14</v>
      </c>
      <c r="C116" t="s">
        <v>15</v>
      </c>
      <c r="D116" t="s">
        <v>532</v>
      </c>
      <c r="E116" t="s">
        <v>533</v>
      </c>
      <c r="F116" t="s">
        <v>69</v>
      </c>
      <c r="G116" t="s">
        <v>94</v>
      </c>
      <c r="H116" t="s">
        <v>534</v>
      </c>
      <c r="I116" t="s">
        <v>15</v>
      </c>
      <c r="J116" t="s">
        <v>21</v>
      </c>
      <c r="K116" t="s">
        <v>22</v>
      </c>
      <c r="L116">
        <f>BDP($H116,"BICS_LEVEL_1_SECTOR_NAME")</f>
        <v/>
      </c>
      <c r="M116">
        <f>BDP($H116,"BICS_LEVEL_3_INDUSTRY_NAME")</f>
        <v/>
      </c>
    </row>
    <row r="117" spans="1:13">
      <c r="A117" t="s">
        <v>535</v>
      </c>
      <c r="B117" t="s">
        <v>14</v>
      </c>
      <c r="C117" t="s">
        <v>15</v>
      </c>
      <c r="D117" t="s">
        <v>536</v>
      </c>
      <c r="E117" t="s">
        <v>537</v>
      </c>
      <c r="F117" t="s">
        <v>18</v>
      </c>
      <c r="G117" t="s">
        <v>411</v>
      </c>
      <c r="H117" t="s">
        <v>538</v>
      </c>
      <c r="I117" t="s">
        <v>15</v>
      </c>
      <c r="J117" t="s">
        <v>21</v>
      </c>
      <c r="K117" t="s">
        <v>22</v>
      </c>
      <c r="L117">
        <f>BDP($H117,"BICS_LEVEL_1_SECTOR_NAME")</f>
        <v/>
      </c>
      <c r="M117">
        <f>BDP($H117,"BICS_LEVEL_3_INDUSTRY_NAME")</f>
        <v/>
      </c>
    </row>
    <row r="118" spans="1:13">
      <c r="A118" t="s">
        <v>539</v>
      </c>
      <c r="B118" t="s">
        <v>14</v>
      </c>
      <c r="C118" t="s">
        <v>15</v>
      </c>
      <c r="D118" t="s">
        <v>540</v>
      </c>
      <c r="E118" t="s">
        <v>541</v>
      </c>
      <c r="F118" t="s">
        <v>18</v>
      </c>
      <c r="G118" t="s">
        <v>542</v>
      </c>
      <c r="H118" t="s">
        <v>543</v>
      </c>
      <c r="I118" t="s">
        <v>15</v>
      </c>
      <c r="J118" t="s">
        <v>21</v>
      </c>
      <c r="K118" t="s">
        <v>22</v>
      </c>
      <c r="L118">
        <f>BDP($H118,"BICS_LEVEL_1_SECTOR_NAME")</f>
        <v/>
      </c>
      <c r="M118">
        <f>BDP($H118,"BICS_LEVEL_3_INDUSTRY_NAME")</f>
        <v/>
      </c>
    </row>
    <row r="119" spans="1:13">
      <c r="A119" t="s">
        <v>544</v>
      </c>
      <c r="B119" t="s">
        <v>14</v>
      </c>
      <c r="C119" t="s">
        <v>15</v>
      </c>
      <c r="D119" t="s">
        <v>545</v>
      </c>
      <c r="E119" t="s">
        <v>546</v>
      </c>
      <c r="F119" t="s">
        <v>69</v>
      </c>
      <c r="G119" t="s">
        <v>94</v>
      </c>
      <c r="H119" t="s">
        <v>547</v>
      </c>
      <c r="I119" t="s">
        <v>15</v>
      </c>
      <c r="J119" t="s">
        <v>21</v>
      </c>
      <c r="K119" t="s">
        <v>22</v>
      </c>
      <c r="L119">
        <f>BDP($H119,"BICS_LEVEL_1_SECTOR_NAME")</f>
        <v/>
      </c>
      <c r="M119">
        <f>BDP($H119,"BICS_LEVEL_3_INDUSTRY_NAME")</f>
        <v/>
      </c>
    </row>
    <row r="120" spans="1:13">
      <c r="A120" t="s">
        <v>548</v>
      </c>
      <c r="B120" t="s">
        <v>14</v>
      </c>
      <c r="C120" t="s">
        <v>15</v>
      </c>
      <c r="D120" t="s">
        <v>549</v>
      </c>
      <c r="E120" t="s">
        <v>550</v>
      </c>
      <c r="F120" t="s">
        <v>18</v>
      </c>
      <c r="G120" t="s">
        <v>551</v>
      </c>
      <c r="H120" t="s">
        <v>552</v>
      </c>
      <c r="I120" t="s">
        <v>15</v>
      </c>
      <c r="J120" t="s">
        <v>21</v>
      </c>
      <c r="K120" t="s">
        <v>22</v>
      </c>
      <c r="L120">
        <f>BDP($H120,"BICS_LEVEL_1_SECTOR_NAME")</f>
        <v/>
      </c>
      <c r="M120">
        <f>BDP($H120,"BICS_LEVEL_3_INDUSTRY_NAME")</f>
        <v/>
      </c>
    </row>
    <row r="121" spans="1:13">
      <c r="A121" t="s">
        <v>553</v>
      </c>
      <c r="B121" t="s">
        <v>14</v>
      </c>
      <c r="C121" t="s">
        <v>15</v>
      </c>
      <c r="D121" t="s">
        <v>554</v>
      </c>
      <c r="E121" t="s">
        <v>555</v>
      </c>
      <c r="F121" t="s">
        <v>18</v>
      </c>
      <c r="G121" t="s">
        <v>551</v>
      </c>
      <c r="H121" t="s">
        <v>556</v>
      </c>
      <c r="I121" t="s">
        <v>15</v>
      </c>
      <c r="J121" t="s">
        <v>21</v>
      </c>
      <c r="K121" t="s">
        <v>22</v>
      </c>
      <c r="L121">
        <f>BDP($H121,"BICS_LEVEL_1_SECTOR_NAME")</f>
        <v/>
      </c>
      <c r="M121">
        <f>BDP($H121,"BICS_LEVEL_3_INDUSTRY_NAME")</f>
        <v/>
      </c>
    </row>
    <row r="122" spans="1:13">
      <c r="A122" t="s">
        <v>557</v>
      </c>
      <c r="B122" t="s">
        <v>14</v>
      </c>
      <c r="C122" t="s">
        <v>15</v>
      </c>
      <c r="D122" t="s">
        <v>558</v>
      </c>
      <c r="E122" t="s">
        <v>559</v>
      </c>
      <c r="F122" t="s">
        <v>69</v>
      </c>
      <c r="G122" t="s">
        <v>70</v>
      </c>
      <c r="H122" t="s">
        <v>560</v>
      </c>
      <c r="I122" t="s">
        <v>15</v>
      </c>
      <c r="J122" t="s">
        <v>21</v>
      </c>
      <c r="K122" t="s">
        <v>22</v>
      </c>
      <c r="L122">
        <f>BDP($H122,"BICS_LEVEL_1_SECTOR_NAME")</f>
        <v/>
      </c>
      <c r="M122">
        <f>BDP($H122,"BICS_LEVEL_3_INDUSTRY_NAME")</f>
        <v/>
      </c>
    </row>
    <row r="123" spans="1:13">
      <c r="A123" t="s">
        <v>561</v>
      </c>
      <c r="B123" t="s">
        <v>14</v>
      </c>
      <c r="C123" t="s">
        <v>15</v>
      </c>
      <c r="D123" t="s">
        <v>562</v>
      </c>
      <c r="E123" t="s">
        <v>563</v>
      </c>
      <c r="F123" t="s">
        <v>18</v>
      </c>
      <c r="G123" t="s">
        <v>462</v>
      </c>
      <c r="H123" t="s">
        <v>564</v>
      </c>
      <c r="I123" t="s">
        <v>15</v>
      </c>
      <c r="J123" t="s">
        <v>21</v>
      </c>
      <c r="K123" t="s">
        <v>22</v>
      </c>
      <c r="L123">
        <f>BDP($H123,"BICS_LEVEL_1_SECTOR_NAME")</f>
        <v/>
      </c>
      <c r="M123">
        <f>BDP($H123,"BICS_LEVEL_3_INDUSTRY_NAME")</f>
        <v/>
      </c>
    </row>
    <row r="124" spans="1:13">
      <c r="A124" t="s">
        <v>565</v>
      </c>
      <c r="B124" t="s">
        <v>14</v>
      </c>
      <c r="C124" t="s">
        <v>15</v>
      </c>
      <c r="D124" t="s">
        <v>566</v>
      </c>
      <c r="E124" t="s">
        <v>567</v>
      </c>
      <c r="F124" t="s">
        <v>63</v>
      </c>
      <c r="G124" t="s">
        <v>568</v>
      </c>
      <c r="H124" t="s">
        <v>569</v>
      </c>
      <c r="I124" t="s">
        <v>15</v>
      </c>
      <c r="J124" t="s">
        <v>21</v>
      </c>
      <c r="K124" t="s">
        <v>22</v>
      </c>
      <c r="L124">
        <f>BDP($H124,"BICS_LEVEL_1_SECTOR_NAME")</f>
        <v/>
      </c>
      <c r="M124">
        <f>BDP($H124,"BICS_LEVEL_3_INDUSTRY_NAME")</f>
        <v/>
      </c>
    </row>
    <row r="125" spans="1:13">
      <c r="A125" t="s">
        <v>570</v>
      </c>
      <c r="B125" t="s">
        <v>14</v>
      </c>
      <c r="C125" t="s">
        <v>15</v>
      </c>
      <c r="D125" t="s">
        <v>571</v>
      </c>
      <c r="E125" t="s">
        <v>572</v>
      </c>
      <c r="F125" t="s">
        <v>69</v>
      </c>
      <c r="G125" t="s">
        <v>27</v>
      </c>
      <c r="H125" t="s">
        <v>573</v>
      </c>
      <c r="I125" t="s">
        <v>15</v>
      </c>
      <c r="J125" t="s">
        <v>21</v>
      </c>
      <c r="K125" t="s">
        <v>22</v>
      </c>
      <c r="L125">
        <f>BDP($H125,"BICS_LEVEL_1_SECTOR_NAME")</f>
        <v/>
      </c>
      <c r="M125">
        <f>BDP($H125,"BICS_LEVEL_3_INDUSTRY_NAME")</f>
        <v/>
      </c>
    </row>
    <row r="126" spans="1:13">
      <c r="A126" t="s">
        <v>574</v>
      </c>
      <c r="B126" t="s">
        <v>14</v>
      </c>
      <c r="C126" t="s">
        <v>15</v>
      </c>
      <c r="D126" t="s">
        <v>575</v>
      </c>
      <c r="E126" t="s">
        <v>576</v>
      </c>
      <c r="F126" t="s">
        <v>26</v>
      </c>
      <c r="G126" t="s">
        <v>208</v>
      </c>
      <c r="H126" t="s">
        <v>577</v>
      </c>
      <c r="I126" t="s">
        <v>15</v>
      </c>
      <c r="J126" t="s">
        <v>21</v>
      </c>
      <c r="K126" t="s">
        <v>22</v>
      </c>
      <c r="L126">
        <f>BDP($H126,"BICS_LEVEL_1_SECTOR_NAME")</f>
        <v/>
      </c>
      <c r="M126">
        <f>BDP($H126,"BICS_LEVEL_3_INDUSTRY_NAME")</f>
        <v/>
      </c>
    </row>
    <row r="127" spans="1:13">
      <c r="A127" t="s">
        <v>578</v>
      </c>
      <c r="B127" t="s">
        <v>14</v>
      </c>
      <c r="C127" t="s">
        <v>15</v>
      </c>
      <c r="D127" t="s">
        <v>579</v>
      </c>
      <c r="E127" t="s">
        <v>580</v>
      </c>
      <c r="F127" t="s">
        <v>69</v>
      </c>
      <c r="G127" t="s">
        <v>94</v>
      </c>
      <c r="H127" t="s">
        <v>581</v>
      </c>
      <c r="I127" t="s">
        <v>15</v>
      </c>
      <c r="J127" t="s">
        <v>21</v>
      </c>
      <c r="K127" t="s">
        <v>22</v>
      </c>
      <c r="L127">
        <f>BDP($H127,"BICS_LEVEL_1_SECTOR_NAME")</f>
        <v/>
      </c>
      <c r="M127">
        <f>BDP($H127,"BICS_LEVEL_3_INDUSTRY_NAME")</f>
        <v/>
      </c>
    </row>
    <row r="128" spans="1:13">
      <c r="A128" t="s">
        <v>582</v>
      </c>
      <c r="B128" t="s">
        <v>14</v>
      </c>
      <c r="C128" t="s">
        <v>15</v>
      </c>
      <c r="D128" t="s">
        <v>583</v>
      </c>
      <c r="E128" t="s">
        <v>584</v>
      </c>
      <c r="F128" t="s">
        <v>57</v>
      </c>
      <c r="G128" t="s">
        <v>585</v>
      </c>
      <c r="H128" t="s">
        <v>586</v>
      </c>
      <c r="I128" t="s">
        <v>15</v>
      </c>
      <c r="J128" t="s">
        <v>21</v>
      </c>
      <c r="K128" t="s">
        <v>22</v>
      </c>
      <c r="L128">
        <f>BDP($H128,"BICS_LEVEL_1_SECTOR_NAME")</f>
        <v/>
      </c>
      <c r="M128">
        <f>BDP($H128,"BICS_LEVEL_3_INDUSTRY_NAME")</f>
        <v/>
      </c>
    </row>
    <row r="129" spans="1:13">
      <c r="A129" t="s">
        <v>587</v>
      </c>
      <c r="B129" t="s">
        <v>14</v>
      </c>
      <c r="C129" t="s">
        <v>15</v>
      </c>
      <c r="D129" t="s">
        <v>588</v>
      </c>
      <c r="E129" t="s">
        <v>589</v>
      </c>
      <c r="F129" t="s">
        <v>26</v>
      </c>
      <c r="G129" t="s">
        <v>37</v>
      </c>
      <c r="H129" t="s">
        <v>590</v>
      </c>
      <c r="I129" t="s">
        <v>15</v>
      </c>
      <c r="J129" t="s">
        <v>21</v>
      </c>
      <c r="K129" t="s">
        <v>22</v>
      </c>
      <c r="L129">
        <f>BDP($H129,"BICS_LEVEL_1_SECTOR_NAME")</f>
        <v/>
      </c>
      <c r="M129">
        <f>BDP($H129,"BICS_LEVEL_3_INDUSTRY_NAME")</f>
        <v/>
      </c>
    </row>
    <row r="130" spans="1:13">
      <c r="A130" t="s">
        <v>591</v>
      </c>
      <c r="B130" t="s">
        <v>14</v>
      </c>
      <c r="C130" t="s">
        <v>15</v>
      </c>
      <c r="D130" t="s">
        <v>592</v>
      </c>
      <c r="E130" t="s">
        <v>593</v>
      </c>
      <c r="F130" t="s">
        <v>69</v>
      </c>
      <c r="G130" t="s">
        <v>70</v>
      </c>
      <c r="H130" t="s">
        <v>594</v>
      </c>
      <c r="I130" t="s">
        <v>15</v>
      </c>
      <c r="J130" t="s">
        <v>21</v>
      </c>
      <c r="K130" t="s">
        <v>22</v>
      </c>
      <c r="L130">
        <f>BDP($H130,"BICS_LEVEL_1_SECTOR_NAME")</f>
        <v/>
      </c>
      <c r="M130">
        <f>BDP($H130,"BICS_LEVEL_3_INDUSTRY_NAME")</f>
        <v/>
      </c>
    </row>
    <row r="131" spans="1:13">
      <c r="A131" t="s">
        <v>595</v>
      </c>
      <c r="B131" t="s">
        <v>14</v>
      </c>
      <c r="C131" t="s">
        <v>15</v>
      </c>
      <c r="D131" t="s">
        <v>596</v>
      </c>
      <c r="E131" t="s">
        <v>597</v>
      </c>
      <c r="F131" t="s">
        <v>57</v>
      </c>
      <c r="G131" t="s">
        <v>598</v>
      </c>
      <c r="H131" t="s">
        <v>599</v>
      </c>
      <c r="I131" t="s">
        <v>15</v>
      </c>
      <c r="J131" t="s">
        <v>21</v>
      </c>
      <c r="K131" t="s">
        <v>22</v>
      </c>
      <c r="L131">
        <f>BDP($H131,"BICS_LEVEL_1_SECTOR_NAME")</f>
        <v/>
      </c>
      <c r="M131">
        <f>BDP($H131,"BICS_LEVEL_3_INDUSTRY_NAME")</f>
        <v/>
      </c>
    </row>
    <row r="132" spans="1:13">
      <c r="A132" t="s">
        <v>600</v>
      </c>
      <c r="B132" t="s">
        <v>14</v>
      </c>
      <c r="C132" t="s">
        <v>15</v>
      </c>
      <c r="D132" t="s">
        <v>601</v>
      </c>
      <c r="E132" t="s">
        <v>602</v>
      </c>
      <c r="F132" t="s">
        <v>69</v>
      </c>
      <c r="G132" t="s">
        <v>603</v>
      </c>
      <c r="H132" t="s">
        <v>604</v>
      </c>
      <c r="I132" t="s">
        <v>15</v>
      </c>
      <c r="J132" t="s">
        <v>21</v>
      </c>
      <c r="K132" t="s">
        <v>22</v>
      </c>
      <c r="L132">
        <f>BDP($H132,"BICS_LEVEL_1_SECTOR_NAME")</f>
        <v/>
      </c>
      <c r="M132">
        <f>BDP($H132,"BICS_LEVEL_3_INDUSTRY_NAME")</f>
        <v/>
      </c>
    </row>
    <row r="133" spans="1:13">
      <c r="A133" t="s">
        <v>605</v>
      </c>
      <c r="B133" t="s">
        <v>14</v>
      </c>
      <c r="C133" t="s">
        <v>15</v>
      </c>
      <c r="D133" t="s">
        <v>606</v>
      </c>
      <c r="E133" t="s">
        <v>607</v>
      </c>
      <c r="F133" t="s">
        <v>26</v>
      </c>
      <c r="G133" t="s">
        <v>213</v>
      </c>
      <c r="H133" t="s">
        <v>608</v>
      </c>
      <c r="I133" t="s">
        <v>15</v>
      </c>
      <c r="J133" t="s">
        <v>21</v>
      </c>
      <c r="K133" t="s">
        <v>22</v>
      </c>
      <c r="L133">
        <f>BDP($H133,"BICS_LEVEL_1_SECTOR_NAME")</f>
        <v/>
      </c>
      <c r="M133">
        <f>BDP($H133,"BICS_LEVEL_3_INDUSTRY_NAME")</f>
        <v/>
      </c>
    </row>
    <row r="134" spans="1:13">
      <c r="A134" t="s">
        <v>609</v>
      </c>
      <c r="B134" t="s">
        <v>14</v>
      </c>
      <c r="C134" t="s">
        <v>15</v>
      </c>
      <c r="D134" t="s">
        <v>610</v>
      </c>
      <c r="E134" t="s">
        <v>611</v>
      </c>
      <c r="F134" t="s">
        <v>26</v>
      </c>
      <c r="G134" t="s">
        <v>208</v>
      </c>
      <c r="H134" t="s">
        <v>612</v>
      </c>
      <c r="I134" t="s">
        <v>15</v>
      </c>
      <c r="J134" t="s">
        <v>21</v>
      </c>
      <c r="K134" t="s">
        <v>22</v>
      </c>
      <c r="L134">
        <f>BDP($H134,"BICS_LEVEL_1_SECTOR_NAME")</f>
        <v/>
      </c>
      <c r="M134">
        <f>BDP($H134,"BICS_LEVEL_3_INDUSTRY_NAME")</f>
        <v/>
      </c>
    </row>
    <row r="135" spans="1:13">
      <c r="A135" t="s">
        <v>613</v>
      </c>
      <c r="B135" t="s">
        <v>14</v>
      </c>
      <c r="C135" t="s">
        <v>15</v>
      </c>
      <c r="D135" t="s">
        <v>614</v>
      </c>
      <c r="E135" t="s">
        <v>615</v>
      </c>
      <c r="F135" t="s">
        <v>63</v>
      </c>
      <c r="G135" t="s">
        <v>568</v>
      </c>
      <c r="H135" t="s">
        <v>616</v>
      </c>
      <c r="I135" t="s">
        <v>15</v>
      </c>
      <c r="J135" t="s">
        <v>21</v>
      </c>
      <c r="K135" t="s">
        <v>22</v>
      </c>
      <c r="L135">
        <f>BDP($H135,"BICS_LEVEL_1_SECTOR_NAME")</f>
        <v/>
      </c>
      <c r="M135">
        <f>BDP($H135,"BICS_LEVEL_3_INDUSTRY_NAME")</f>
        <v/>
      </c>
    </row>
    <row r="136" spans="1:13">
      <c r="A136" t="s">
        <v>617</v>
      </c>
      <c r="B136" t="s">
        <v>14</v>
      </c>
      <c r="C136" t="s">
        <v>15</v>
      </c>
      <c r="D136" t="s">
        <v>618</v>
      </c>
      <c r="E136" t="s">
        <v>619</v>
      </c>
      <c r="F136" t="s">
        <v>18</v>
      </c>
      <c r="G136" t="s">
        <v>239</v>
      </c>
      <c r="H136" t="s">
        <v>620</v>
      </c>
      <c r="I136" t="s">
        <v>15</v>
      </c>
      <c r="J136" t="s">
        <v>21</v>
      </c>
      <c r="K136" t="s">
        <v>22</v>
      </c>
      <c r="L136">
        <f>BDP($H136,"BICS_LEVEL_1_SECTOR_NAME")</f>
        <v/>
      </c>
      <c r="M136">
        <f>BDP($H136,"BICS_LEVEL_3_INDUSTRY_NAME")</f>
        <v/>
      </c>
    </row>
    <row r="137" spans="1:13">
      <c r="A137" t="s">
        <v>621</v>
      </c>
      <c r="B137" t="s">
        <v>14</v>
      </c>
      <c r="C137" t="s">
        <v>15</v>
      </c>
      <c r="D137" t="s">
        <v>622</v>
      </c>
      <c r="E137" t="s">
        <v>623</v>
      </c>
      <c r="F137" t="s">
        <v>26</v>
      </c>
      <c r="G137" t="s">
        <v>213</v>
      </c>
      <c r="H137" t="s">
        <v>624</v>
      </c>
      <c r="I137" t="s">
        <v>15</v>
      </c>
      <c r="J137" t="s">
        <v>21</v>
      </c>
      <c r="K137" t="s">
        <v>22</v>
      </c>
      <c r="L137">
        <f>BDP($H137,"BICS_LEVEL_1_SECTOR_NAME")</f>
        <v/>
      </c>
      <c r="M137">
        <f>BDP($H137,"BICS_LEVEL_3_INDUSTRY_NAME")</f>
        <v/>
      </c>
    </row>
    <row r="138" spans="1:13">
      <c r="A138" t="s">
        <v>625</v>
      </c>
      <c r="B138" t="s">
        <v>14</v>
      </c>
      <c r="C138" t="s">
        <v>15</v>
      </c>
      <c r="D138" t="s">
        <v>626</v>
      </c>
      <c r="E138" t="s">
        <v>627</v>
      </c>
      <c r="F138" t="s">
        <v>83</v>
      </c>
      <c r="G138" t="s">
        <v>525</v>
      </c>
      <c r="H138" t="s">
        <v>628</v>
      </c>
      <c r="I138" t="s">
        <v>15</v>
      </c>
      <c r="J138" t="s">
        <v>21</v>
      </c>
      <c r="K138" t="s">
        <v>22</v>
      </c>
      <c r="L138">
        <f>BDP($H138,"BICS_LEVEL_1_SECTOR_NAME")</f>
        <v/>
      </c>
      <c r="M138">
        <f>BDP($H138,"BICS_LEVEL_3_INDUSTRY_NAME")</f>
        <v/>
      </c>
    </row>
    <row r="139" spans="1:13">
      <c r="A139" t="s">
        <v>629</v>
      </c>
      <c r="B139" t="s">
        <v>14</v>
      </c>
      <c r="C139" t="s">
        <v>15</v>
      </c>
      <c r="D139" t="s">
        <v>630</v>
      </c>
      <c r="E139" t="s">
        <v>631</v>
      </c>
      <c r="F139" t="s">
        <v>69</v>
      </c>
      <c r="G139" t="s">
        <v>99</v>
      </c>
      <c r="H139" t="s">
        <v>632</v>
      </c>
      <c r="I139" t="s">
        <v>15</v>
      </c>
      <c r="J139" t="s">
        <v>21</v>
      </c>
      <c r="K139" t="s">
        <v>22</v>
      </c>
      <c r="L139">
        <f>BDP($H139,"BICS_LEVEL_1_SECTOR_NAME")</f>
        <v/>
      </c>
      <c r="M139">
        <f>BDP($H139,"BICS_LEVEL_3_INDUSTRY_NAME")</f>
        <v/>
      </c>
    </row>
    <row r="140" spans="1:13">
      <c r="A140" t="s">
        <v>633</v>
      </c>
      <c r="B140" t="s">
        <v>14</v>
      </c>
      <c r="C140" t="s">
        <v>15</v>
      </c>
      <c r="D140" t="s">
        <v>634</v>
      </c>
      <c r="E140" t="s">
        <v>635</v>
      </c>
      <c r="F140" t="s">
        <v>18</v>
      </c>
      <c r="G140" t="s">
        <v>411</v>
      </c>
      <c r="H140" t="s">
        <v>636</v>
      </c>
      <c r="I140" t="s">
        <v>15</v>
      </c>
      <c r="J140" t="s">
        <v>21</v>
      </c>
      <c r="K140" t="s">
        <v>22</v>
      </c>
      <c r="L140">
        <f>BDP($H140,"BICS_LEVEL_1_SECTOR_NAME")</f>
        <v/>
      </c>
      <c r="M140">
        <f>BDP($H140,"BICS_LEVEL_3_INDUSTRY_NAME")</f>
        <v/>
      </c>
    </row>
    <row r="141" spans="1:13">
      <c r="A141" t="s">
        <v>637</v>
      </c>
      <c r="B141" t="s">
        <v>14</v>
      </c>
      <c r="C141" t="s">
        <v>15</v>
      </c>
      <c r="D141" t="s">
        <v>638</v>
      </c>
      <c r="E141" t="s">
        <v>639</v>
      </c>
      <c r="F141" t="s">
        <v>18</v>
      </c>
      <c r="G141" t="s">
        <v>640</v>
      </c>
      <c r="H141" t="s">
        <v>641</v>
      </c>
      <c r="I141" t="s">
        <v>15</v>
      </c>
      <c r="J141" t="s">
        <v>21</v>
      </c>
      <c r="K141" t="s">
        <v>22</v>
      </c>
      <c r="L141">
        <f>BDP($H141,"BICS_LEVEL_1_SECTOR_NAME")</f>
        <v/>
      </c>
      <c r="M141">
        <f>BDP($H141,"BICS_LEVEL_3_INDUSTRY_NAME")</f>
        <v/>
      </c>
    </row>
    <row r="142" spans="1:13">
      <c r="A142" t="s">
        <v>642</v>
      </c>
      <c r="B142" t="s">
        <v>14</v>
      </c>
      <c r="C142" t="s">
        <v>15</v>
      </c>
      <c r="D142" t="s">
        <v>643</v>
      </c>
      <c r="E142" t="s">
        <v>644</v>
      </c>
      <c r="F142" t="s">
        <v>69</v>
      </c>
      <c r="G142" t="s">
        <v>94</v>
      </c>
      <c r="H142" t="s">
        <v>645</v>
      </c>
      <c r="I142" t="s">
        <v>15</v>
      </c>
      <c r="J142" t="s">
        <v>21</v>
      </c>
      <c r="K142" t="s">
        <v>22</v>
      </c>
      <c r="L142">
        <f>BDP($H142,"BICS_LEVEL_1_SECTOR_NAME")</f>
        <v/>
      </c>
      <c r="M142">
        <f>BDP($H142,"BICS_LEVEL_3_INDUSTRY_NAME")</f>
        <v/>
      </c>
    </row>
    <row r="143" spans="1:13">
      <c r="A143" t="s">
        <v>646</v>
      </c>
      <c r="B143" t="s">
        <v>14</v>
      </c>
      <c r="C143" t="s">
        <v>15</v>
      </c>
      <c r="D143" t="s">
        <v>647</v>
      </c>
      <c r="E143" t="s">
        <v>648</v>
      </c>
      <c r="F143" t="s">
        <v>18</v>
      </c>
      <c r="G143" t="s">
        <v>32</v>
      </c>
      <c r="H143" t="s">
        <v>649</v>
      </c>
      <c r="I143" t="s">
        <v>15</v>
      </c>
      <c r="J143" t="s">
        <v>21</v>
      </c>
      <c r="K143" t="s">
        <v>22</v>
      </c>
      <c r="L143">
        <f>BDP($H143,"BICS_LEVEL_1_SECTOR_NAME")</f>
        <v/>
      </c>
      <c r="M143">
        <f>BDP($H143,"BICS_LEVEL_3_INDUSTRY_NAME")</f>
        <v/>
      </c>
    </row>
    <row r="144" spans="1:13">
      <c r="A144" t="s">
        <v>650</v>
      </c>
      <c r="B144" t="s">
        <v>14</v>
      </c>
      <c r="C144" t="s">
        <v>15</v>
      </c>
      <c r="D144" t="s">
        <v>651</v>
      </c>
      <c r="E144" t="s">
        <v>652</v>
      </c>
      <c r="F144" t="s">
        <v>83</v>
      </c>
      <c r="G144" t="s">
        <v>178</v>
      </c>
      <c r="H144" t="s">
        <v>653</v>
      </c>
      <c r="I144" t="s">
        <v>15</v>
      </c>
      <c r="J144" t="s">
        <v>21</v>
      </c>
      <c r="K144" t="s">
        <v>22</v>
      </c>
      <c r="L144">
        <f>BDP($H144,"BICS_LEVEL_1_SECTOR_NAME")</f>
        <v/>
      </c>
      <c r="M144">
        <f>BDP($H144,"BICS_LEVEL_3_INDUSTRY_NAME")</f>
        <v/>
      </c>
    </row>
    <row r="145" spans="1:13">
      <c r="A145" t="s">
        <v>654</v>
      </c>
      <c r="B145" t="s">
        <v>14</v>
      </c>
      <c r="C145" t="s">
        <v>15</v>
      </c>
      <c r="D145" t="s">
        <v>655</v>
      </c>
      <c r="E145" t="s">
        <v>656</v>
      </c>
      <c r="F145" t="s">
        <v>172</v>
      </c>
      <c r="G145" t="s">
        <v>173</v>
      </c>
      <c r="H145" t="s">
        <v>657</v>
      </c>
      <c r="I145" t="s">
        <v>15</v>
      </c>
      <c r="J145" t="s">
        <v>21</v>
      </c>
      <c r="K145" t="s">
        <v>22</v>
      </c>
      <c r="L145">
        <f>BDP($H145,"BICS_LEVEL_1_SECTOR_NAME")</f>
        <v/>
      </c>
      <c r="M145">
        <f>BDP($H145,"BICS_LEVEL_3_INDUSTRY_NAME")</f>
        <v/>
      </c>
    </row>
    <row r="146" spans="1:13">
      <c r="A146" t="s">
        <v>658</v>
      </c>
      <c r="B146" t="s">
        <v>14</v>
      </c>
      <c r="C146" t="s">
        <v>15</v>
      </c>
      <c r="D146" t="s">
        <v>659</v>
      </c>
      <c r="E146" t="s">
        <v>660</v>
      </c>
      <c r="F146" t="s">
        <v>69</v>
      </c>
      <c r="G146" t="s">
        <v>94</v>
      </c>
      <c r="H146" t="s">
        <v>661</v>
      </c>
      <c r="I146" t="s">
        <v>15</v>
      </c>
      <c r="J146" t="s">
        <v>21</v>
      </c>
      <c r="K146" t="s">
        <v>22</v>
      </c>
      <c r="L146">
        <f>BDP($H146,"BICS_LEVEL_1_SECTOR_NAME")</f>
        <v/>
      </c>
      <c r="M146">
        <f>BDP($H146,"BICS_LEVEL_3_INDUSTRY_NAME")</f>
        <v/>
      </c>
    </row>
    <row r="147" spans="1:13">
      <c r="A147" t="s">
        <v>662</v>
      </c>
      <c r="B147" t="s">
        <v>14</v>
      </c>
      <c r="C147" t="s">
        <v>15</v>
      </c>
      <c r="D147" t="s">
        <v>663</v>
      </c>
      <c r="E147" t="s">
        <v>664</v>
      </c>
      <c r="F147" t="s">
        <v>18</v>
      </c>
      <c r="G147" t="s">
        <v>665</v>
      </c>
      <c r="H147" t="s">
        <v>666</v>
      </c>
      <c r="I147" t="s">
        <v>15</v>
      </c>
      <c r="J147" t="s">
        <v>21</v>
      </c>
      <c r="K147" t="s">
        <v>22</v>
      </c>
      <c r="L147">
        <f>BDP($H147,"BICS_LEVEL_1_SECTOR_NAME")</f>
        <v/>
      </c>
      <c r="M147">
        <f>BDP($H147,"BICS_LEVEL_3_INDUSTRY_NAME")</f>
        <v/>
      </c>
    </row>
    <row r="148" spans="1:13">
      <c r="A148" t="s">
        <v>667</v>
      </c>
      <c r="B148" t="s">
        <v>14</v>
      </c>
      <c r="C148" t="s">
        <v>15</v>
      </c>
      <c r="D148" t="s">
        <v>668</v>
      </c>
      <c r="E148" t="s">
        <v>669</v>
      </c>
      <c r="F148" t="s">
        <v>83</v>
      </c>
      <c r="G148" t="s">
        <v>37</v>
      </c>
      <c r="H148" t="s">
        <v>670</v>
      </c>
      <c r="I148" t="s">
        <v>15</v>
      </c>
      <c r="J148" t="s">
        <v>21</v>
      </c>
      <c r="K148" t="s">
        <v>22</v>
      </c>
      <c r="L148">
        <f>BDP($H148,"BICS_LEVEL_1_SECTOR_NAME")</f>
        <v/>
      </c>
      <c r="M148">
        <f>BDP($H148,"BICS_LEVEL_3_INDUSTRY_NAME")</f>
        <v/>
      </c>
    </row>
    <row r="149" spans="1:13">
      <c r="A149" t="s">
        <v>671</v>
      </c>
      <c r="B149" t="s">
        <v>14</v>
      </c>
      <c r="C149" t="s">
        <v>15</v>
      </c>
      <c r="D149" t="s">
        <v>672</v>
      </c>
      <c r="E149" t="s">
        <v>673</v>
      </c>
      <c r="F149" t="s">
        <v>69</v>
      </c>
      <c r="G149" t="s">
        <v>94</v>
      </c>
      <c r="H149" t="s">
        <v>674</v>
      </c>
      <c r="I149" t="s">
        <v>15</v>
      </c>
      <c r="J149" t="s">
        <v>21</v>
      </c>
      <c r="K149" t="s">
        <v>22</v>
      </c>
      <c r="L149">
        <f>BDP($H149,"BICS_LEVEL_1_SECTOR_NAME")</f>
        <v/>
      </c>
      <c r="M149">
        <f>BDP($H149,"BICS_LEVEL_3_INDUSTRY_NAME")</f>
        <v/>
      </c>
    </row>
    <row r="150" spans="1:13">
      <c r="A150" t="s">
        <v>675</v>
      </c>
      <c r="B150" t="s">
        <v>14</v>
      </c>
      <c r="C150" t="s">
        <v>15</v>
      </c>
      <c r="D150" t="s">
        <v>676</v>
      </c>
      <c r="E150" t="s">
        <v>677</v>
      </c>
      <c r="F150" t="s">
        <v>83</v>
      </c>
      <c r="G150" t="s">
        <v>178</v>
      </c>
      <c r="H150" t="s">
        <v>678</v>
      </c>
      <c r="I150" t="s">
        <v>15</v>
      </c>
      <c r="J150" t="s">
        <v>21</v>
      </c>
      <c r="K150" t="s">
        <v>22</v>
      </c>
      <c r="L150">
        <f>BDP($H150,"BICS_LEVEL_1_SECTOR_NAME")</f>
        <v/>
      </c>
      <c r="M150">
        <f>BDP($H150,"BICS_LEVEL_3_INDUSTRY_NAME")</f>
        <v/>
      </c>
    </row>
    <row r="151" spans="1:13">
      <c r="A151" t="s">
        <v>679</v>
      </c>
      <c r="B151" t="s">
        <v>14</v>
      </c>
      <c r="C151" t="s">
        <v>15</v>
      </c>
      <c r="D151" t="s">
        <v>680</v>
      </c>
      <c r="E151" t="s">
        <v>681</v>
      </c>
      <c r="F151" t="s">
        <v>69</v>
      </c>
      <c r="G151" t="s">
        <v>94</v>
      </c>
      <c r="H151" t="s">
        <v>682</v>
      </c>
      <c r="I151" t="s">
        <v>15</v>
      </c>
      <c r="J151" t="s">
        <v>21</v>
      </c>
      <c r="K151" t="s">
        <v>22</v>
      </c>
      <c r="L151">
        <f>BDP($H151,"BICS_LEVEL_1_SECTOR_NAME")</f>
        <v/>
      </c>
      <c r="M151">
        <f>BDP($H151,"BICS_LEVEL_3_INDUSTRY_NAME")</f>
        <v/>
      </c>
    </row>
    <row r="152" spans="1:13">
      <c r="A152" t="s">
        <v>683</v>
      </c>
      <c r="B152" t="s">
        <v>14</v>
      </c>
      <c r="C152" t="s">
        <v>15</v>
      </c>
      <c r="D152" t="s">
        <v>684</v>
      </c>
      <c r="E152" t="s">
        <v>685</v>
      </c>
      <c r="F152" t="s">
        <v>26</v>
      </c>
      <c r="G152" t="s">
        <v>154</v>
      </c>
      <c r="H152" t="s">
        <v>686</v>
      </c>
      <c r="I152" t="s">
        <v>15</v>
      </c>
      <c r="J152" t="s">
        <v>21</v>
      </c>
      <c r="K152" t="s">
        <v>22</v>
      </c>
      <c r="L152">
        <f>BDP($H152,"BICS_LEVEL_1_SECTOR_NAME")</f>
        <v/>
      </c>
      <c r="M152">
        <f>BDP($H152,"BICS_LEVEL_3_INDUSTRY_NAME")</f>
        <v/>
      </c>
    </row>
    <row r="153" spans="1:13">
      <c r="A153" t="s">
        <v>687</v>
      </c>
      <c r="B153" t="s">
        <v>14</v>
      </c>
      <c r="C153" t="s">
        <v>15</v>
      </c>
      <c r="D153" t="s">
        <v>688</v>
      </c>
      <c r="E153" t="s">
        <v>689</v>
      </c>
      <c r="F153" t="s">
        <v>172</v>
      </c>
      <c r="G153" t="s">
        <v>213</v>
      </c>
      <c r="H153" t="s">
        <v>690</v>
      </c>
      <c r="I153" t="s">
        <v>15</v>
      </c>
      <c r="J153" t="s">
        <v>21</v>
      </c>
      <c r="K153" t="s">
        <v>22</v>
      </c>
      <c r="L153">
        <f>BDP($H153,"BICS_LEVEL_1_SECTOR_NAME")</f>
        <v/>
      </c>
      <c r="M153">
        <f>BDP($H153,"BICS_LEVEL_3_INDUSTRY_NAME")</f>
        <v/>
      </c>
    </row>
    <row r="154" spans="1:13">
      <c r="A154" t="s">
        <v>691</v>
      </c>
      <c r="B154" t="s">
        <v>14</v>
      </c>
      <c r="C154" t="s">
        <v>15</v>
      </c>
      <c r="D154" t="s">
        <v>692</v>
      </c>
      <c r="E154" t="s">
        <v>693</v>
      </c>
      <c r="F154" t="s">
        <v>69</v>
      </c>
      <c r="G154" t="s">
        <v>94</v>
      </c>
      <c r="H154" t="s">
        <v>694</v>
      </c>
      <c r="I154" t="s">
        <v>15</v>
      </c>
      <c r="J154" t="s">
        <v>21</v>
      </c>
      <c r="K154" t="s">
        <v>22</v>
      </c>
      <c r="L154">
        <f>BDP($H154,"BICS_LEVEL_1_SECTOR_NAME")</f>
        <v/>
      </c>
      <c r="M154">
        <f>BDP($H154,"BICS_LEVEL_3_INDUSTRY_NAME")</f>
        <v/>
      </c>
    </row>
    <row r="155" spans="1:13">
      <c r="A155" t="s">
        <v>695</v>
      </c>
      <c r="B155" t="s">
        <v>14</v>
      </c>
      <c r="C155" t="s">
        <v>15</v>
      </c>
      <c r="D155" t="s">
        <v>696</v>
      </c>
      <c r="E155" t="s">
        <v>697</v>
      </c>
      <c r="F155" t="s">
        <v>18</v>
      </c>
      <c r="G155" t="s">
        <v>698</v>
      </c>
      <c r="H155" t="s">
        <v>699</v>
      </c>
      <c r="I155" t="s">
        <v>15</v>
      </c>
      <c r="J155" t="s">
        <v>21</v>
      </c>
      <c r="K155" t="s">
        <v>22</v>
      </c>
      <c r="L155">
        <f>BDP($H155,"BICS_LEVEL_1_SECTOR_NAME")</f>
        <v/>
      </c>
      <c r="M155">
        <f>BDP($H155,"BICS_LEVEL_3_INDUSTRY_NAME")</f>
        <v/>
      </c>
    </row>
    <row r="156" spans="1:13">
      <c r="A156" t="s">
        <v>700</v>
      </c>
      <c r="B156" t="s">
        <v>14</v>
      </c>
      <c r="C156" t="s">
        <v>15</v>
      </c>
      <c r="D156" t="s">
        <v>701</v>
      </c>
      <c r="E156" t="s">
        <v>702</v>
      </c>
      <c r="F156" t="s">
        <v>69</v>
      </c>
      <c r="G156" t="s">
        <v>94</v>
      </c>
      <c r="H156" t="s">
        <v>703</v>
      </c>
      <c r="I156" t="s">
        <v>15</v>
      </c>
      <c r="J156" t="s">
        <v>21</v>
      </c>
      <c r="K156" t="s">
        <v>22</v>
      </c>
      <c r="L156">
        <f>BDP($H156,"BICS_LEVEL_1_SECTOR_NAME")</f>
        <v/>
      </c>
      <c r="M156">
        <f>BDP($H156,"BICS_LEVEL_3_INDUSTRY_NAME")</f>
        <v/>
      </c>
    </row>
    <row r="157" spans="1:13">
      <c r="A157" t="s">
        <v>704</v>
      </c>
      <c r="B157" t="s">
        <v>14</v>
      </c>
      <c r="C157" t="s">
        <v>15</v>
      </c>
      <c r="D157" t="s">
        <v>705</v>
      </c>
      <c r="E157" t="s">
        <v>706</v>
      </c>
      <c r="F157" t="s">
        <v>248</v>
      </c>
      <c r="G157" t="s">
        <v>707</v>
      </c>
      <c r="H157" t="s">
        <v>708</v>
      </c>
      <c r="I157" t="s">
        <v>15</v>
      </c>
      <c r="J157" t="s">
        <v>21</v>
      </c>
      <c r="K157" t="s">
        <v>22</v>
      </c>
      <c r="L157">
        <f>BDP($H157,"BICS_LEVEL_1_SECTOR_NAME")</f>
        <v/>
      </c>
      <c r="M157">
        <f>BDP($H157,"BICS_LEVEL_3_INDUSTRY_NAME")</f>
        <v/>
      </c>
    </row>
    <row r="158" spans="1:13">
      <c r="A158" t="s">
        <v>709</v>
      </c>
      <c r="B158" t="s">
        <v>14</v>
      </c>
      <c r="C158" t="s">
        <v>15</v>
      </c>
      <c r="D158" t="s">
        <v>710</v>
      </c>
      <c r="E158" t="s">
        <v>711</v>
      </c>
      <c r="F158" t="s">
        <v>83</v>
      </c>
      <c r="G158" t="s">
        <v>104</v>
      </c>
      <c r="H158" t="s">
        <v>712</v>
      </c>
      <c r="I158" t="s">
        <v>15</v>
      </c>
      <c r="J158" t="s">
        <v>21</v>
      </c>
      <c r="K158" t="s">
        <v>22</v>
      </c>
      <c r="L158">
        <f>BDP($H158,"BICS_LEVEL_1_SECTOR_NAME")</f>
        <v/>
      </c>
      <c r="M158">
        <f>BDP($H158,"BICS_LEVEL_3_INDUSTRY_NAME")</f>
        <v/>
      </c>
    </row>
    <row r="159" spans="1:13">
      <c r="A159" t="s">
        <v>713</v>
      </c>
      <c r="B159" t="s">
        <v>14</v>
      </c>
      <c r="C159" t="s">
        <v>15</v>
      </c>
      <c r="D159" t="s">
        <v>714</v>
      </c>
      <c r="E159" t="s">
        <v>715</v>
      </c>
      <c r="F159" t="s">
        <v>69</v>
      </c>
      <c r="G159" t="s">
        <v>70</v>
      </c>
      <c r="H159" t="s">
        <v>716</v>
      </c>
      <c r="I159" t="s">
        <v>15</v>
      </c>
      <c r="J159" t="s">
        <v>21</v>
      </c>
      <c r="K159" t="s">
        <v>22</v>
      </c>
      <c r="L159">
        <f>BDP($H159,"BICS_LEVEL_1_SECTOR_NAME")</f>
        <v/>
      </c>
      <c r="M159">
        <f>BDP($H159,"BICS_LEVEL_3_INDUSTRY_NAME")</f>
        <v/>
      </c>
    </row>
    <row r="160" spans="1:13">
      <c r="A160" t="s">
        <v>717</v>
      </c>
      <c r="B160" t="s">
        <v>14</v>
      </c>
      <c r="C160" t="s">
        <v>15</v>
      </c>
      <c r="D160" t="s">
        <v>718</v>
      </c>
      <c r="E160" t="s">
        <v>719</v>
      </c>
      <c r="F160" t="s">
        <v>18</v>
      </c>
      <c r="G160" t="s">
        <v>551</v>
      </c>
      <c r="H160" t="s">
        <v>720</v>
      </c>
      <c r="I160" t="s">
        <v>15</v>
      </c>
      <c r="J160" t="s">
        <v>21</v>
      </c>
      <c r="K160" t="s">
        <v>22</v>
      </c>
      <c r="L160">
        <f>BDP($H160,"BICS_LEVEL_1_SECTOR_NAME")</f>
        <v/>
      </c>
      <c r="M160">
        <f>BDP($H160,"BICS_LEVEL_3_INDUSTRY_NAME")</f>
        <v/>
      </c>
    </row>
    <row r="161" spans="1:13">
      <c r="A161" t="s">
        <v>721</v>
      </c>
      <c r="B161" t="s">
        <v>14</v>
      </c>
      <c r="C161" t="s">
        <v>15</v>
      </c>
      <c r="D161" t="s">
        <v>722</v>
      </c>
      <c r="E161" t="s">
        <v>723</v>
      </c>
      <c r="F161" t="s">
        <v>69</v>
      </c>
      <c r="G161" t="s">
        <v>724</v>
      </c>
      <c r="H161" t="s">
        <v>725</v>
      </c>
      <c r="I161" t="s">
        <v>15</v>
      </c>
      <c r="J161" t="s">
        <v>21</v>
      </c>
      <c r="K161" t="s">
        <v>22</v>
      </c>
      <c r="L161">
        <f>BDP($H161,"BICS_LEVEL_1_SECTOR_NAME")</f>
        <v/>
      </c>
      <c r="M161">
        <f>BDP($H161,"BICS_LEVEL_3_INDUSTRY_NAME")</f>
        <v/>
      </c>
    </row>
    <row r="162" spans="1:13">
      <c r="A162" t="s">
        <v>726</v>
      </c>
      <c r="B162" t="s">
        <v>14</v>
      </c>
      <c r="C162" t="s">
        <v>15</v>
      </c>
      <c r="D162" t="s">
        <v>727</v>
      </c>
      <c r="E162" t="s">
        <v>728</v>
      </c>
      <c r="F162" t="s">
        <v>69</v>
      </c>
      <c r="G162" t="s">
        <v>724</v>
      </c>
      <c r="H162" t="s">
        <v>729</v>
      </c>
      <c r="I162" t="s">
        <v>15</v>
      </c>
      <c r="J162" t="s">
        <v>21</v>
      </c>
      <c r="K162" t="s">
        <v>22</v>
      </c>
      <c r="L162">
        <f>BDP($H162,"BICS_LEVEL_1_SECTOR_NAME")</f>
        <v/>
      </c>
      <c r="M162">
        <f>BDP($H162,"BICS_LEVEL_3_INDUSTRY_NAME")</f>
        <v/>
      </c>
    </row>
    <row r="163" spans="1:13">
      <c r="A163" t="s">
        <v>730</v>
      </c>
      <c r="B163" t="s">
        <v>14</v>
      </c>
      <c r="C163" t="s">
        <v>15</v>
      </c>
      <c r="D163" t="s">
        <v>731</v>
      </c>
      <c r="E163" t="s">
        <v>732</v>
      </c>
      <c r="F163" t="s">
        <v>248</v>
      </c>
      <c r="G163" t="s">
        <v>249</v>
      </c>
      <c r="H163" t="s">
        <v>733</v>
      </c>
      <c r="I163" t="s">
        <v>15</v>
      </c>
      <c r="J163" t="s">
        <v>21</v>
      </c>
      <c r="K163" t="s">
        <v>22</v>
      </c>
      <c r="L163">
        <f>BDP($H163,"BICS_LEVEL_1_SECTOR_NAME")</f>
        <v/>
      </c>
      <c r="M163">
        <f>BDP($H163,"BICS_LEVEL_3_INDUSTRY_NAME")</f>
        <v/>
      </c>
    </row>
    <row r="164" spans="1:13">
      <c r="A164" t="s">
        <v>734</v>
      </c>
      <c r="B164" t="s">
        <v>14</v>
      </c>
      <c r="C164" t="s">
        <v>15</v>
      </c>
      <c r="D164" t="s">
        <v>735</v>
      </c>
      <c r="E164" t="s">
        <v>736</v>
      </c>
      <c r="F164" t="s">
        <v>69</v>
      </c>
      <c r="G164" t="s">
        <v>70</v>
      </c>
      <c r="H164" t="s">
        <v>737</v>
      </c>
      <c r="I164" t="s">
        <v>15</v>
      </c>
      <c r="J164" t="s">
        <v>21</v>
      </c>
      <c r="K164" t="s">
        <v>22</v>
      </c>
      <c r="L164">
        <f>BDP($H164,"BICS_LEVEL_1_SECTOR_NAME")</f>
        <v/>
      </c>
      <c r="M164">
        <f>BDP($H164,"BICS_LEVEL_3_INDUSTRY_NAME")</f>
        <v/>
      </c>
    </row>
    <row r="165" spans="1:13">
      <c r="A165" t="s">
        <v>738</v>
      </c>
      <c r="B165" t="s">
        <v>14</v>
      </c>
      <c r="C165" t="s">
        <v>15</v>
      </c>
      <c r="D165" t="s">
        <v>739</v>
      </c>
      <c r="E165" t="s">
        <v>740</v>
      </c>
      <c r="F165" t="s">
        <v>26</v>
      </c>
      <c r="G165" t="s">
        <v>37</v>
      </c>
      <c r="H165" t="s">
        <v>741</v>
      </c>
      <c r="I165" t="s">
        <v>15</v>
      </c>
      <c r="J165" t="s">
        <v>21</v>
      </c>
      <c r="K165" t="s">
        <v>22</v>
      </c>
      <c r="L165">
        <f>BDP($H165,"BICS_LEVEL_1_SECTOR_NAME")</f>
        <v/>
      </c>
      <c r="M165">
        <f>BDP($H165,"BICS_LEVEL_3_INDUSTRY_NAME")</f>
        <v/>
      </c>
    </row>
    <row r="166" spans="1:13">
      <c r="A166" t="s">
        <v>742</v>
      </c>
      <c r="B166" t="s">
        <v>14</v>
      </c>
      <c r="C166" t="s">
        <v>15</v>
      </c>
      <c r="D166" t="s">
        <v>743</v>
      </c>
      <c r="E166" t="s">
        <v>744</v>
      </c>
      <c r="F166" t="s">
        <v>18</v>
      </c>
      <c r="G166" t="s">
        <v>745</v>
      </c>
      <c r="H166" t="s">
        <v>746</v>
      </c>
      <c r="I166" t="s">
        <v>15</v>
      </c>
      <c r="J166" t="s">
        <v>21</v>
      </c>
      <c r="K166" t="s">
        <v>22</v>
      </c>
      <c r="L166">
        <f>BDP($H166,"BICS_LEVEL_1_SECTOR_NAME")</f>
        <v/>
      </c>
      <c r="M166">
        <f>BDP($H166,"BICS_LEVEL_3_INDUSTRY_NAME")</f>
        <v/>
      </c>
    </row>
    <row r="167" spans="1:13">
      <c r="A167" t="s">
        <v>747</v>
      </c>
      <c r="B167" t="s">
        <v>14</v>
      </c>
      <c r="C167" t="s">
        <v>15</v>
      </c>
      <c r="D167" t="s">
        <v>748</v>
      </c>
      <c r="E167" t="s">
        <v>749</v>
      </c>
      <c r="F167" t="s">
        <v>18</v>
      </c>
      <c r="G167" t="s">
        <v>750</v>
      </c>
      <c r="H167" t="s">
        <v>751</v>
      </c>
      <c r="I167" t="s">
        <v>15</v>
      </c>
      <c r="J167" t="s">
        <v>21</v>
      </c>
      <c r="K167" t="s">
        <v>22</v>
      </c>
      <c r="L167">
        <f>BDP($H167,"BICS_LEVEL_1_SECTOR_NAME")</f>
        <v/>
      </c>
      <c r="M167">
        <f>BDP($H167,"BICS_LEVEL_3_INDUSTRY_NAME")</f>
        <v/>
      </c>
    </row>
    <row r="168" spans="1:13">
      <c r="A168" t="s">
        <v>752</v>
      </c>
      <c r="B168" t="s">
        <v>14</v>
      </c>
      <c r="C168" t="s">
        <v>15</v>
      </c>
      <c r="D168" t="s">
        <v>753</v>
      </c>
      <c r="E168" t="s">
        <v>754</v>
      </c>
      <c r="F168" t="s">
        <v>18</v>
      </c>
      <c r="G168" t="s">
        <v>239</v>
      </c>
      <c r="H168" t="s">
        <v>755</v>
      </c>
      <c r="I168" t="s">
        <v>15</v>
      </c>
      <c r="J168" t="s">
        <v>21</v>
      </c>
      <c r="K168" t="s">
        <v>22</v>
      </c>
      <c r="L168">
        <f>BDP($H168,"BICS_LEVEL_1_SECTOR_NAME")</f>
        <v/>
      </c>
      <c r="M168">
        <f>BDP($H168,"BICS_LEVEL_3_INDUSTRY_NAME")</f>
        <v/>
      </c>
    </row>
    <row r="169" spans="1:13">
      <c r="A169" t="s">
        <v>756</v>
      </c>
      <c r="B169" t="s">
        <v>14</v>
      </c>
      <c r="C169" t="s">
        <v>15</v>
      </c>
      <c r="D169" t="s">
        <v>757</v>
      </c>
      <c r="E169" t="s">
        <v>758</v>
      </c>
      <c r="F169" t="s">
        <v>18</v>
      </c>
      <c r="G169" t="s">
        <v>698</v>
      </c>
      <c r="H169" t="s">
        <v>759</v>
      </c>
      <c r="I169" t="s">
        <v>15</v>
      </c>
      <c r="J169" t="s">
        <v>21</v>
      </c>
      <c r="K169" t="s">
        <v>22</v>
      </c>
      <c r="L169">
        <f>BDP($H169,"BICS_LEVEL_1_SECTOR_NAME")</f>
        <v/>
      </c>
      <c r="M169">
        <f>BDP($H169,"BICS_LEVEL_3_INDUSTRY_NAME")</f>
        <v/>
      </c>
    </row>
    <row r="170" spans="1:13">
      <c r="A170" t="s">
        <v>760</v>
      </c>
      <c r="B170" t="s">
        <v>14</v>
      </c>
      <c r="C170" t="s">
        <v>15</v>
      </c>
      <c r="D170" t="s">
        <v>761</v>
      </c>
      <c r="E170" t="s">
        <v>762</v>
      </c>
      <c r="F170" t="s">
        <v>18</v>
      </c>
      <c r="G170" t="s">
        <v>542</v>
      </c>
      <c r="H170" t="s">
        <v>763</v>
      </c>
      <c r="I170" t="s">
        <v>15</v>
      </c>
      <c r="J170" t="s">
        <v>21</v>
      </c>
      <c r="K170" t="s">
        <v>22</v>
      </c>
      <c r="L170">
        <f>BDP($H170,"BICS_LEVEL_1_SECTOR_NAME")</f>
        <v/>
      </c>
      <c r="M170">
        <f>BDP($H170,"BICS_LEVEL_3_INDUSTRY_NAME")</f>
        <v/>
      </c>
    </row>
    <row r="171" spans="1:13">
      <c r="A171" t="s">
        <v>764</v>
      </c>
      <c r="B171" t="s">
        <v>14</v>
      </c>
      <c r="C171" t="s">
        <v>15</v>
      </c>
      <c r="D171" t="s">
        <v>765</v>
      </c>
      <c r="E171" t="s">
        <v>766</v>
      </c>
      <c r="F171" t="s">
        <v>63</v>
      </c>
      <c r="G171" t="s">
        <v>64</v>
      </c>
      <c r="H171" t="s">
        <v>767</v>
      </c>
      <c r="I171" t="s">
        <v>15</v>
      </c>
      <c r="J171" t="s">
        <v>21</v>
      </c>
      <c r="K171" t="s">
        <v>22</v>
      </c>
      <c r="L171">
        <f>BDP($H171,"BICS_LEVEL_1_SECTOR_NAME")</f>
        <v/>
      </c>
      <c r="M171">
        <f>BDP($H171,"BICS_LEVEL_3_INDUSTRY_NAME")</f>
        <v/>
      </c>
    </row>
    <row r="172" spans="1:13">
      <c r="A172" t="s">
        <v>768</v>
      </c>
      <c r="B172" t="s">
        <v>14</v>
      </c>
      <c r="C172" t="s">
        <v>15</v>
      </c>
      <c r="D172" t="s">
        <v>769</v>
      </c>
      <c r="E172" t="s">
        <v>770</v>
      </c>
      <c r="F172" t="s">
        <v>63</v>
      </c>
      <c r="G172" t="s">
        <v>64</v>
      </c>
      <c r="H172" t="s">
        <v>771</v>
      </c>
      <c r="I172" t="s">
        <v>15</v>
      </c>
      <c r="J172" t="s">
        <v>21</v>
      </c>
      <c r="K172" t="s">
        <v>22</v>
      </c>
      <c r="L172">
        <f>BDP($H172,"BICS_LEVEL_1_SECTOR_NAME")</f>
        <v/>
      </c>
      <c r="M172">
        <f>BDP($H172,"BICS_LEVEL_3_INDUSTRY_NAME")</f>
        <v/>
      </c>
    </row>
    <row r="173" spans="1:13">
      <c r="A173" t="s">
        <v>772</v>
      </c>
      <c r="B173" t="s">
        <v>14</v>
      </c>
      <c r="C173" t="s">
        <v>15</v>
      </c>
      <c r="D173" t="s">
        <v>773</v>
      </c>
      <c r="E173" t="s">
        <v>774</v>
      </c>
      <c r="F173" t="s">
        <v>26</v>
      </c>
      <c r="G173" t="s">
        <v>114</v>
      </c>
      <c r="H173" t="s">
        <v>775</v>
      </c>
      <c r="I173" t="s">
        <v>15</v>
      </c>
      <c r="J173" t="s">
        <v>21</v>
      </c>
      <c r="K173" t="s">
        <v>22</v>
      </c>
      <c r="L173">
        <f>BDP($H173,"BICS_LEVEL_1_SECTOR_NAME")</f>
        <v/>
      </c>
      <c r="M173">
        <f>BDP($H173,"BICS_LEVEL_3_INDUSTRY_NAME")</f>
        <v/>
      </c>
    </row>
    <row r="174" spans="1:13">
      <c r="A174" t="s">
        <v>776</v>
      </c>
      <c r="B174" t="s">
        <v>14</v>
      </c>
      <c r="C174" t="s">
        <v>15</v>
      </c>
      <c r="D174" t="s">
        <v>777</v>
      </c>
      <c r="E174" t="s">
        <v>778</v>
      </c>
      <c r="F174" t="s">
        <v>69</v>
      </c>
      <c r="G174" t="s">
        <v>99</v>
      </c>
      <c r="H174" t="s">
        <v>779</v>
      </c>
      <c r="I174" t="s">
        <v>15</v>
      </c>
      <c r="J174" t="s">
        <v>21</v>
      </c>
      <c r="K174" t="s">
        <v>22</v>
      </c>
      <c r="L174">
        <f>BDP($H174,"BICS_LEVEL_1_SECTOR_NAME")</f>
        <v/>
      </c>
      <c r="M174">
        <f>BDP($H174,"BICS_LEVEL_3_INDUSTRY_NAME")</f>
        <v/>
      </c>
    </row>
    <row r="175" spans="1:13">
      <c r="A175" t="s">
        <v>780</v>
      </c>
      <c r="B175" t="s">
        <v>14</v>
      </c>
      <c r="C175" t="s">
        <v>15</v>
      </c>
      <c r="D175" t="s">
        <v>781</v>
      </c>
      <c r="E175" t="s">
        <v>782</v>
      </c>
      <c r="F175" t="s">
        <v>69</v>
      </c>
      <c r="G175" t="s">
        <v>94</v>
      </c>
      <c r="H175" t="s">
        <v>783</v>
      </c>
      <c r="I175" t="s">
        <v>15</v>
      </c>
      <c r="J175" t="s">
        <v>21</v>
      </c>
      <c r="K175" t="s">
        <v>22</v>
      </c>
      <c r="L175">
        <f>BDP($H175,"BICS_LEVEL_1_SECTOR_NAME")</f>
        <v/>
      </c>
      <c r="M175">
        <f>BDP($H175,"BICS_LEVEL_3_INDUSTRY_NAME")</f>
        <v/>
      </c>
    </row>
    <row r="176" spans="1:13">
      <c r="A176" t="s">
        <v>784</v>
      </c>
      <c r="B176" t="s">
        <v>14</v>
      </c>
      <c r="C176" t="s">
        <v>15</v>
      </c>
      <c r="D176" t="s">
        <v>785</v>
      </c>
      <c r="E176" t="s">
        <v>786</v>
      </c>
      <c r="F176" t="s">
        <v>172</v>
      </c>
      <c r="G176" t="s">
        <v>213</v>
      </c>
      <c r="H176" t="s">
        <v>787</v>
      </c>
      <c r="I176" t="s">
        <v>15</v>
      </c>
      <c r="J176" t="s">
        <v>21</v>
      </c>
      <c r="K176" t="s">
        <v>22</v>
      </c>
      <c r="L176">
        <f>BDP($H176,"BICS_LEVEL_1_SECTOR_NAME")</f>
        <v/>
      </c>
      <c r="M176">
        <f>BDP($H176,"BICS_LEVEL_3_INDUSTRY_NAME")</f>
        <v/>
      </c>
    </row>
    <row r="177" spans="1:13">
      <c r="A177" t="s">
        <v>788</v>
      </c>
      <c r="B177" t="s">
        <v>14</v>
      </c>
      <c r="C177" t="s">
        <v>15</v>
      </c>
      <c r="D177" t="s">
        <v>789</v>
      </c>
      <c r="E177" t="s">
        <v>790</v>
      </c>
      <c r="F177" t="s">
        <v>69</v>
      </c>
      <c r="G177" t="s">
        <v>94</v>
      </c>
      <c r="H177" t="s">
        <v>791</v>
      </c>
      <c r="I177" t="s">
        <v>15</v>
      </c>
      <c r="J177" t="s">
        <v>21</v>
      </c>
      <c r="K177" t="s">
        <v>22</v>
      </c>
      <c r="L177">
        <f>BDP($H177,"BICS_LEVEL_1_SECTOR_NAME")</f>
        <v/>
      </c>
      <c r="M177">
        <f>BDP($H177,"BICS_LEVEL_3_INDUSTRY_NAME")</f>
        <v/>
      </c>
    </row>
    <row r="178" spans="1:13">
      <c r="A178" t="s">
        <v>792</v>
      </c>
      <c r="B178" t="s">
        <v>14</v>
      </c>
      <c r="C178" t="s">
        <v>15</v>
      </c>
      <c r="D178" t="s">
        <v>793</v>
      </c>
      <c r="E178" t="s">
        <v>794</v>
      </c>
      <c r="F178" t="s">
        <v>18</v>
      </c>
      <c r="G178" t="s">
        <v>665</v>
      </c>
      <c r="H178" t="s">
        <v>795</v>
      </c>
      <c r="I178" t="s">
        <v>15</v>
      </c>
      <c r="J178" t="s">
        <v>21</v>
      </c>
      <c r="K178" t="s">
        <v>22</v>
      </c>
      <c r="L178">
        <f>BDP($H178,"BICS_LEVEL_1_SECTOR_NAME")</f>
        <v/>
      </c>
      <c r="M178">
        <f>BDP($H178,"BICS_LEVEL_3_INDUSTRY_NAME")</f>
        <v/>
      </c>
    </row>
    <row r="179" spans="1:13">
      <c r="A179" t="s">
        <v>796</v>
      </c>
      <c r="B179" t="s">
        <v>14</v>
      </c>
      <c r="C179" t="s">
        <v>15</v>
      </c>
      <c r="D179" t="s">
        <v>797</v>
      </c>
      <c r="E179" t="s">
        <v>798</v>
      </c>
      <c r="F179" t="s">
        <v>18</v>
      </c>
      <c r="G179" t="s">
        <v>799</v>
      </c>
      <c r="H179" t="s">
        <v>800</v>
      </c>
      <c r="I179" t="s">
        <v>15</v>
      </c>
      <c r="J179" t="s">
        <v>21</v>
      </c>
      <c r="K179" t="s">
        <v>22</v>
      </c>
      <c r="L179">
        <f>BDP($H179,"BICS_LEVEL_1_SECTOR_NAME")</f>
        <v/>
      </c>
      <c r="M179">
        <f>BDP($H179,"BICS_LEVEL_3_INDUSTRY_NAME")</f>
        <v/>
      </c>
    </row>
    <row r="180" spans="1:13">
      <c r="A180" t="s">
        <v>801</v>
      </c>
      <c r="B180" t="s">
        <v>14</v>
      </c>
      <c r="C180" t="s">
        <v>15</v>
      </c>
      <c r="D180" t="s">
        <v>802</v>
      </c>
      <c r="E180" t="s">
        <v>803</v>
      </c>
      <c r="F180" t="s">
        <v>18</v>
      </c>
      <c r="G180" t="s">
        <v>551</v>
      </c>
      <c r="H180" t="s">
        <v>804</v>
      </c>
      <c r="I180" t="s">
        <v>15</v>
      </c>
      <c r="J180" t="s">
        <v>21</v>
      </c>
      <c r="K180" t="s">
        <v>22</v>
      </c>
      <c r="L180">
        <f>BDP($H180,"BICS_LEVEL_1_SECTOR_NAME")</f>
        <v/>
      </c>
      <c r="M180">
        <f>BDP($H180,"BICS_LEVEL_3_INDUSTRY_NAME")</f>
        <v/>
      </c>
    </row>
    <row r="181" spans="1:13">
      <c r="A181" t="s">
        <v>805</v>
      </c>
      <c r="B181" t="s">
        <v>14</v>
      </c>
      <c r="C181" t="s">
        <v>15</v>
      </c>
      <c r="D181" t="s">
        <v>806</v>
      </c>
      <c r="E181" t="s">
        <v>807</v>
      </c>
      <c r="F181" t="s">
        <v>83</v>
      </c>
      <c r="G181" t="s">
        <v>371</v>
      </c>
      <c r="H181" t="s">
        <v>808</v>
      </c>
      <c r="I181" t="s">
        <v>15</v>
      </c>
      <c r="J181" t="s">
        <v>21</v>
      </c>
      <c r="K181" t="s">
        <v>22</v>
      </c>
      <c r="L181">
        <f>BDP($H181,"BICS_LEVEL_1_SECTOR_NAME")</f>
        <v/>
      </c>
      <c r="M181">
        <f>BDP($H181,"BICS_LEVEL_3_INDUSTRY_NAME")</f>
        <v/>
      </c>
    </row>
    <row r="182" spans="1:13">
      <c r="A182" t="s">
        <v>809</v>
      </c>
      <c r="B182" t="s">
        <v>14</v>
      </c>
      <c r="C182" t="s">
        <v>15</v>
      </c>
      <c r="D182" t="s">
        <v>810</v>
      </c>
      <c r="E182" t="s">
        <v>811</v>
      </c>
      <c r="F182" t="s">
        <v>18</v>
      </c>
      <c r="G182" t="s">
        <v>812</v>
      </c>
      <c r="H182" t="s">
        <v>813</v>
      </c>
      <c r="I182" t="s">
        <v>15</v>
      </c>
      <c r="J182" t="s">
        <v>21</v>
      </c>
      <c r="K182" t="s">
        <v>22</v>
      </c>
      <c r="L182">
        <f>BDP($H182,"BICS_LEVEL_1_SECTOR_NAME")</f>
        <v/>
      </c>
      <c r="M182">
        <f>BDP($H182,"BICS_LEVEL_3_INDUSTRY_NAME")</f>
        <v/>
      </c>
    </row>
    <row r="183" spans="1:13">
      <c r="A183" t="s">
        <v>814</v>
      </c>
      <c r="B183" t="s">
        <v>14</v>
      </c>
      <c r="C183" t="s">
        <v>15</v>
      </c>
      <c r="D183" t="s">
        <v>815</v>
      </c>
      <c r="E183" t="s">
        <v>816</v>
      </c>
      <c r="F183" t="s">
        <v>18</v>
      </c>
      <c r="G183" t="s">
        <v>254</v>
      </c>
      <c r="H183" t="s">
        <v>817</v>
      </c>
      <c r="I183" t="s">
        <v>15</v>
      </c>
      <c r="J183" t="s">
        <v>21</v>
      </c>
      <c r="K183" t="s">
        <v>22</v>
      </c>
      <c r="L183">
        <f>BDP($H183,"BICS_LEVEL_1_SECTOR_NAME")</f>
        <v/>
      </c>
      <c r="M183">
        <f>BDP($H183,"BICS_LEVEL_3_INDUSTRY_NAME")</f>
        <v/>
      </c>
    </row>
    <row r="184" spans="1:13">
      <c r="A184" t="s">
        <v>818</v>
      </c>
      <c r="B184" t="s">
        <v>14</v>
      </c>
      <c r="C184" t="s">
        <v>15</v>
      </c>
      <c r="D184" t="s">
        <v>819</v>
      </c>
      <c r="E184" t="s">
        <v>820</v>
      </c>
      <c r="F184" t="s">
        <v>18</v>
      </c>
      <c r="G184" t="s">
        <v>665</v>
      </c>
      <c r="H184" t="s">
        <v>821</v>
      </c>
      <c r="I184" t="s">
        <v>15</v>
      </c>
      <c r="J184" t="s">
        <v>21</v>
      </c>
      <c r="K184" t="s">
        <v>22</v>
      </c>
      <c r="L184">
        <f>BDP($H184,"BICS_LEVEL_1_SECTOR_NAME")</f>
        <v/>
      </c>
      <c r="M184">
        <f>BDP($H184,"BICS_LEVEL_3_INDUSTRY_NAME")</f>
        <v/>
      </c>
    </row>
    <row r="185" spans="1:13">
      <c r="A185" t="s">
        <v>822</v>
      </c>
      <c r="B185" t="s">
        <v>14</v>
      </c>
      <c r="C185" t="s">
        <v>15</v>
      </c>
      <c r="D185" t="s">
        <v>823</v>
      </c>
      <c r="E185" t="s">
        <v>824</v>
      </c>
      <c r="F185" t="s">
        <v>172</v>
      </c>
      <c r="G185" t="s">
        <v>825</v>
      </c>
      <c r="H185" t="s">
        <v>826</v>
      </c>
      <c r="I185" t="s">
        <v>15</v>
      </c>
      <c r="J185" t="s">
        <v>21</v>
      </c>
      <c r="K185" t="s">
        <v>22</v>
      </c>
      <c r="L185">
        <f>BDP($H185,"BICS_LEVEL_1_SECTOR_NAME")</f>
        <v/>
      </c>
      <c r="M185">
        <f>BDP($H185,"BICS_LEVEL_3_INDUSTRY_NAME")</f>
        <v/>
      </c>
    </row>
    <row r="186" spans="1:13">
      <c r="A186" t="s">
        <v>827</v>
      </c>
      <c r="B186" t="s">
        <v>14</v>
      </c>
      <c r="C186" t="s">
        <v>15</v>
      </c>
      <c r="D186" t="s">
        <v>828</v>
      </c>
      <c r="E186" t="s">
        <v>829</v>
      </c>
      <c r="F186" t="s">
        <v>63</v>
      </c>
      <c r="G186" t="s">
        <v>830</v>
      </c>
      <c r="H186" t="s">
        <v>831</v>
      </c>
      <c r="I186" t="s">
        <v>15</v>
      </c>
      <c r="J186" t="s">
        <v>21</v>
      </c>
      <c r="K186" t="s">
        <v>22</v>
      </c>
      <c r="L186">
        <f>BDP($H186,"BICS_LEVEL_1_SECTOR_NAME")</f>
        <v/>
      </c>
      <c r="M186">
        <f>BDP($H186,"BICS_LEVEL_3_INDUSTRY_NAME")</f>
        <v/>
      </c>
    </row>
    <row r="187" spans="1:13">
      <c r="A187" t="s">
        <v>832</v>
      </c>
      <c r="B187" t="s">
        <v>14</v>
      </c>
      <c r="C187" t="s">
        <v>15</v>
      </c>
      <c r="D187" t="s">
        <v>833</v>
      </c>
      <c r="E187" t="s">
        <v>834</v>
      </c>
      <c r="F187" t="s">
        <v>18</v>
      </c>
      <c r="G187" t="s">
        <v>332</v>
      </c>
      <c r="H187" t="s">
        <v>835</v>
      </c>
      <c r="I187" t="s">
        <v>15</v>
      </c>
      <c r="J187" t="s">
        <v>21</v>
      </c>
      <c r="K187" t="s">
        <v>22</v>
      </c>
      <c r="L187">
        <f>BDP($H187,"BICS_LEVEL_1_SECTOR_NAME")</f>
        <v/>
      </c>
      <c r="M187">
        <f>BDP($H187,"BICS_LEVEL_3_INDUSTRY_NAME")</f>
        <v/>
      </c>
    </row>
    <row r="188" spans="1:13">
      <c r="A188" t="s">
        <v>836</v>
      </c>
      <c r="B188" t="s">
        <v>14</v>
      </c>
      <c r="C188" t="s">
        <v>15</v>
      </c>
      <c r="D188" t="s">
        <v>837</v>
      </c>
      <c r="E188" t="s">
        <v>838</v>
      </c>
      <c r="F188" t="s">
        <v>18</v>
      </c>
      <c r="G188" t="s">
        <v>19</v>
      </c>
      <c r="H188" t="s">
        <v>839</v>
      </c>
      <c r="I188" t="s">
        <v>15</v>
      </c>
      <c r="J188" t="s">
        <v>21</v>
      </c>
      <c r="K188" t="s">
        <v>22</v>
      </c>
      <c r="L188">
        <f>BDP($H188,"BICS_LEVEL_1_SECTOR_NAME")</f>
        <v/>
      </c>
      <c r="M188">
        <f>BDP($H188,"BICS_LEVEL_3_INDUSTRY_NAME")</f>
        <v/>
      </c>
    </row>
    <row r="189" spans="1:13">
      <c r="A189" t="s">
        <v>840</v>
      </c>
      <c r="B189" t="s">
        <v>14</v>
      </c>
      <c r="C189" t="s">
        <v>15</v>
      </c>
      <c r="D189" t="s">
        <v>841</v>
      </c>
      <c r="E189" t="s">
        <v>842</v>
      </c>
      <c r="F189" t="s">
        <v>83</v>
      </c>
      <c r="G189" t="s">
        <v>104</v>
      </c>
      <c r="H189" t="s">
        <v>843</v>
      </c>
      <c r="I189" t="s">
        <v>15</v>
      </c>
      <c r="J189" t="s">
        <v>21</v>
      </c>
      <c r="K189" t="s">
        <v>22</v>
      </c>
      <c r="L189">
        <f>BDP($H189,"BICS_LEVEL_1_SECTOR_NAME")</f>
        <v/>
      </c>
      <c r="M189">
        <f>BDP($H189,"BICS_LEVEL_3_INDUSTRY_NAME")</f>
        <v/>
      </c>
    </row>
    <row r="190" spans="1:13">
      <c r="A190" t="s">
        <v>844</v>
      </c>
      <c r="B190" t="s">
        <v>14</v>
      </c>
      <c r="C190" t="s">
        <v>15</v>
      </c>
      <c r="D190" t="s">
        <v>845</v>
      </c>
      <c r="E190" t="s">
        <v>846</v>
      </c>
      <c r="F190" t="s">
        <v>18</v>
      </c>
      <c r="G190" t="s">
        <v>698</v>
      </c>
      <c r="H190" t="s">
        <v>847</v>
      </c>
      <c r="I190" t="s">
        <v>15</v>
      </c>
      <c r="J190" t="s">
        <v>21</v>
      </c>
      <c r="K190" t="s">
        <v>22</v>
      </c>
      <c r="L190">
        <f>BDP($H190,"BICS_LEVEL_1_SECTOR_NAME")</f>
        <v/>
      </c>
      <c r="M190">
        <f>BDP($H190,"BICS_LEVEL_3_INDUSTRY_NAME")</f>
        <v/>
      </c>
    </row>
    <row r="191" spans="1:13">
      <c r="A191" t="s">
        <v>848</v>
      </c>
      <c r="B191" t="s">
        <v>14</v>
      </c>
      <c r="C191" t="s">
        <v>15</v>
      </c>
      <c r="D191" t="s">
        <v>849</v>
      </c>
      <c r="E191" t="s">
        <v>850</v>
      </c>
      <c r="F191" t="s">
        <v>51</v>
      </c>
      <c r="G191" t="s">
        <v>52</v>
      </c>
      <c r="H191" t="s">
        <v>851</v>
      </c>
      <c r="I191" t="s">
        <v>15</v>
      </c>
      <c r="J191" t="s">
        <v>21</v>
      </c>
      <c r="K191" t="s">
        <v>22</v>
      </c>
      <c r="L191">
        <f>BDP($H191,"BICS_LEVEL_1_SECTOR_NAME")</f>
        <v/>
      </c>
      <c r="M191">
        <f>BDP($H191,"BICS_LEVEL_3_INDUSTRY_NAME")</f>
        <v/>
      </c>
    </row>
    <row r="192" spans="1:13">
      <c r="A192" t="s">
        <v>852</v>
      </c>
      <c r="B192" t="s">
        <v>14</v>
      </c>
      <c r="C192" t="s">
        <v>15</v>
      </c>
      <c r="D192" t="s">
        <v>853</v>
      </c>
      <c r="E192" t="s">
        <v>854</v>
      </c>
      <c r="F192" t="s">
        <v>26</v>
      </c>
      <c r="G192" t="s">
        <v>332</v>
      </c>
      <c r="H192" t="s">
        <v>855</v>
      </c>
      <c r="I192" t="s">
        <v>15</v>
      </c>
      <c r="J192" t="s">
        <v>21</v>
      </c>
      <c r="K192" t="s">
        <v>22</v>
      </c>
      <c r="L192">
        <f>BDP($H192,"BICS_LEVEL_1_SECTOR_NAME")</f>
        <v/>
      </c>
      <c r="M192">
        <f>BDP($H192,"BICS_LEVEL_3_INDUSTRY_NAME")</f>
        <v/>
      </c>
    </row>
    <row r="193" spans="1:13">
      <c r="A193" t="s">
        <v>856</v>
      </c>
      <c r="B193" t="s">
        <v>14</v>
      </c>
      <c r="C193" t="s">
        <v>15</v>
      </c>
      <c r="D193" t="s">
        <v>857</v>
      </c>
      <c r="E193" t="s">
        <v>858</v>
      </c>
      <c r="F193" t="s">
        <v>26</v>
      </c>
      <c r="G193" t="s">
        <v>37</v>
      </c>
      <c r="H193" t="s">
        <v>859</v>
      </c>
      <c r="I193" t="s">
        <v>15</v>
      </c>
      <c r="J193" t="s">
        <v>21</v>
      </c>
      <c r="K193" t="s">
        <v>22</v>
      </c>
      <c r="L193">
        <f>BDP($H193,"BICS_LEVEL_1_SECTOR_NAME")</f>
        <v/>
      </c>
      <c r="M193">
        <f>BDP($H193,"BICS_LEVEL_3_INDUSTRY_NAME")</f>
        <v/>
      </c>
    </row>
    <row r="194" spans="1:13">
      <c r="A194" t="s">
        <v>860</v>
      </c>
      <c r="B194" t="s">
        <v>14</v>
      </c>
      <c r="C194" t="s">
        <v>15</v>
      </c>
      <c r="D194" t="s">
        <v>861</v>
      </c>
      <c r="E194" t="s">
        <v>862</v>
      </c>
      <c r="F194" t="s">
        <v>18</v>
      </c>
      <c r="G194" t="s">
        <v>863</v>
      </c>
      <c r="H194" t="s">
        <v>864</v>
      </c>
      <c r="I194" t="s">
        <v>15</v>
      </c>
      <c r="J194" t="s">
        <v>21</v>
      </c>
      <c r="K194" t="s">
        <v>22</v>
      </c>
      <c r="L194">
        <f>BDP($H194,"BICS_LEVEL_1_SECTOR_NAME")</f>
        <v/>
      </c>
      <c r="M194">
        <f>BDP($H194,"BICS_LEVEL_3_INDUSTRY_NAME")</f>
        <v/>
      </c>
    </row>
    <row r="195" spans="1:13">
      <c r="A195" t="s">
        <v>865</v>
      </c>
      <c r="B195" t="s">
        <v>14</v>
      </c>
      <c r="C195" t="s">
        <v>15</v>
      </c>
      <c r="D195" t="s">
        <v>866</v>
      </c>
      <c r="E195" t="s">
        <v>867</v>
      </c>
      <c r="F195" t="s">
        <v>172</v>
      </c>
      <c r="G195" t="s">
        <v>825</v>
      </c>
      <c r="H195" t="s">
        <v>868</v>
      </c>
      <c r="I195" t="s">
        <v>15</v>
      </c>
      <c r="J195" t="s">
        <v>21</v>
      </c>
      <c r="K195" t="s">
        <v>22</v>
      </c>
      <c r="L195">
        <f>BDP($H195,"BICS_LEVEL_1_SECTOR_NAME")</f>
        <v/>
      </c>
      <c r="M195">
        <f>BDP($H195,"BICS_LEVEL_3_INDUSTRY_NAME")</f>
        <v/>
      </c>
    </row>
    <row r="196" spans="1:13">
      <c r="A196" t="s">
        <v>869</v>
      </c>
      <c r="B196" t="s">
        <v>14</v>
      </c>
      <c r="C196" t="s">
        <v>15</v>
      </c>
      <c r="D196" t="s">
        <v>870</v>
      </c>
      <c r="E196" t="s">
        <v>871</v>
      </c>
      <c r="F196" t="s">
        <v>248</v>
      </c>
      <c r="G196" t="s">
        <v>872</v>
      </c>
      <c r="H196" t="s">
        <v>873</v>
      </c>
      <c r="I196" t="s">
        <v>15</v>
      </c>
      <c r="J196" t="s">
        <v>21</v>
      </c>
      <c r="K196" t="s">
        <v>22</v>
      </c>
      <c r="L196">
        <f>BDP($H196,"BICS_LEVEL_1_SECTOR_NAME")</f>
        <v/>
      </c>
      <c r="M196">
        <f>BDP($H196,"BICS_LEVEL_3_INDUSTRY_NAME")</f>
        <v/>
      </c>
    </row>
    <row r="197" spans="1:13">
      <c r="A197" t="s">
        <v>874</v>
      </c>
      <c r="B197" t="s">
        <v>14</v>
      </c>
      <c r="C197" t="s">
        <v>15</v>
      </c>
      <c r="D197" t="s">
        <v>875</v>
      </c>
      <c r="E197" t="s">
        <v>876</v>
      </c>
      <c r="F197" t="s">
        <v>18</v>
      </c>
      <c r="G197" t="s">
        <v>32</v>
      </c>
      <c r="H197" t="s">
        <v>877</v>
      </c>
      <c r="I197" t="s">
        <v>15</v>
      </c>
      <c r="J197" t="s">
        <v>21</v>
      </c>
      <c r="K197" t="s">
        <v>22</v>
      </c>
      <c r="L197">
        <f>BDP($H197,"BICS_LEVEL_1_SECTOR_NAME")</f>
        <v/>
      </c>
      <c r="M197">
        <f>BDP($H197,"BICS_LEVEL_3_INDUSTRY_NAME")</f>
        <v/>
      </c>
    </row>
    <row r="198" spans="1:13">
      <c r="A198" t="s">
        <v>878</v>
      </c>
      <c r="B198" t="s">
        <v>14</v>
      </c>
      <c r="C198" t="s">
        <v>15</v>
      </c>
      <c r="D198" t="s">
        <v>879</v>
      </c>
      <c r="E198" t="s">
        <v>880</v>
      </c>
      <c r="F198" t="s">
        <v>18</v>
      </c>
      <c r="G198" t="s">
        <v>665</v>
      </c>
      <c r="H198" t="s">
        <v>881</v>
      </c>
      <c r="I198" t="s">
        <v>15</v>
      </c>
      <c r="J198" t="s">
        <v>21</v>
      </c>
      <c r="K198" t="s">
        <v>22</v>
      </c>
      <c r="L198">
        <f>BDP($H198,"BICS_LEVEL_1_SECTOR_NAME")</f>
        <v/>
      </c>
      <c r="M198">
        <f>BDP($H198,"BICS_LEVEL_3_INDUSTRY_NAME")</f>
        <v/>
      </c>
    </row>
    <row r="199" spans="1:13">
      <c r="A199" t="s">
        <v>882</v>
      </c>
      <c r="B199" t="s">
        <v>14</v>
      </c>
      <c r="C199" t="s">
        <v>15</v>
      </c>
      <c r="D199" t="s">
        <v>883</v>
      </c>
      <c r="E199" t="s">
        <v>884</v>
      </c>
      <c r="F199" t="s">
        <v>69</v>
      </c>
      <c r="G199" t="s">
        <v>99</v>
      </c>
      <c r="H199" t="s">
        <v>885</v>
      </c>
      <c r="I199" t="s">
        <v>15</v>
      </c>
      <c r="J199" t="s">
        <v>21</v>
      </c>
      <c r="K199" t="s">
        <v>22</v>
      </c>
      <c r="L199">
        <f>BDP($H199,"BICS_LEVEL_1_SECTOR_NAME")</f>
        <v/>
      </c>
      <c r="M199">
        <f>BDP($H199,"BICS_LEVEL_3_INDUSTRY_NAME")</f>
        <v/>
      </c>
    </row>
    <row r="200" spans="1:13">
      <c r="A200" t="s">
        <v>886</v>
      </c>
      <c r="B200" t="s">
        <v>14</v>
      </c>
      <c r="C200" t="s">
        <v>15</v>
      </c>
      <c r="D200" t="s">
        <v>887</v>
      </c>
      <c r="E200" t="s">
        <v>888</v>
      </c>
      <c r="F200" t="s">
        <v>18</v>
      </c>
      <c r="G200" t="s">
        <v>812</v>
      </c>
      <c r="H200" t="s">
        <v>889</v>
      </c>
      <c r="I200" t="s">
        <v>15</v>
      </c>
      <c r="J200" t="s">
        <v>21</v>
      </c>
      <c r="K200" t="s">
        <v>22</v>
      </c>
      <c r="L200">
        <f>BDP($H200,"BICS_LEVEL_1_SECTOR_NAME")</f>
        <v/>
      </c>
      <c r="M200">
        <f>BDP($H200,"BICS_LEVEL_3_INDUSTRY_NAME")</f>
        <v/>
      </c>
    </row>
    <row r="201" spans="1:13">
      <c r="A201" t="s">
        <v>890</v>
      </c>
      <c r="B201" t="s">
        <v>14</v>
      </c>
      <c r="C201" t="s">
        <v>15</v>
      </c>
      <c r="D201" t="s">
        <v>891</v>
      </c>
      <c r="E201" t="s">
        <v>892</v>
      </c>
      <c r="F201" t="s">
        <v>18</v>
      </c>
      <c r="G201" t="s">
        <v>665</v>
      </c>
      <c r="H201" t="s">
        <v>893</v>
      </c>
      <c r="I201" t="s">
        <v>15</v>
      </c>
      <c r="J201" t="s">
        <v>21</v>
      </c>
      <c r="K201" t="s">
        <v>22</v>
      </c>
      <c r="L201">
        <f>BDP($H201,"BICS_LEVEL_1_SECTOR_NAME")</f>
        <v/>
      </c>
      <c r="M201">
        <f>BDP($H201,"BICS_LEVEL_3_INDUSTRY_NAME")</f>
        <v/>
      </c>
    </row>
    <row r="202" spans="1:13">
      <c r="A202" t="s">
        <v>894</v>
      </c>
      <c r="B202" t="s">
        <v>14</v>
      </c>
      <c r="C202" t="s">
        <v>15</v>
      </c>
      <c r="D202" t="s">
        <v>895</v>
      </c>
      <c r="E202" t="s">
        <v>896</v>
      </c>
      <c r="F202" t="s">
        <v>69</v>
      </c>
      <c r="G202" t="s">
        <v>94</v>
      </c>
      <c r="H202" t="s">
        <v>897</v>
      </c>
      <c r="I202" t="s">
        <v>15</v>
      </c>
      <c r="J202" t="s">
        <v>21</v>
      </c>
      <c r="K202" t="s">
        <v>22</v>
      </c>
      <c r="L202">
        <f>BDP($H202,"BICS_LEVEL_1_SECTOR_NAME")</f>
        <v/>
      </c>
      <c r="M202">
        <f>BDP($H202,"BICS_LEVEL_3_INDUSTRY_NAME")</f>
        <v/>
      </c>
    </row>
    <row r="203" spans="1:13">
      <c r="A203" t="s">
        <v>898</v>
      </c>
      <c r="B203" t="s">
        <v>14</v>
      </c>
      <c r="C203" t="s">
        <v>15</v>
      </c>
      <c r="D203" t="s">
        <v>899</v>
      </c>
      <c r="E203" t="s">
        <v>900</v>
      </c>
      <c r="F203" t="s">
        <v>69</v>
      </c>
      <c r="G203" t="s">
        <v>94</v>
      </c>
      <c r="H203" t="s">
        <v>901</v>
      </c>
      <c r="I203" t="s">
        <v>15</v>
      </c>
      <c r="J203" t="s">
        <v>21</v>
      </c>
      <c r="K203" t="s">
        <v>22</v>
      </c>
      <c r="L203">
        <f>BDP($H203,"BICS_LEVEL_1_SECTOR_NAME")</f>
        <v/>
      </c>
      <c r="M203">
        <f>BDP($H203,"BICS_LEVEL_3_INDUSTRY_NAME")</f>
        <v/>
      </c>
    </row>
    <row r="204" spans="1:13">
      <c r="A204" t="s">
        <v>902</v>
      </c>
      <c r="B204" t="s">
        <v>14</v>
      </c>
      <c r="C204" t="s">
        <v>15</v>
      </c>
      <c r="D204" t="s">
        <v>903</v>
      </c>
      <c r="E204" t="s">
        <v>904</v>
      </c>
      <c r="F204" t="s">
        <v>26</v>
      </c>
      <c r="G204" t="s">
        <v>32</v>
      </c>
      <c r="H204" t="s">
        <v>905</v>
      </c>
      <c r="I204" t="s">
        <v>15</v>
      </c>
      <c r="J204" t="s">
        <v>21</v>
      </c>
      <c r="K204" t="s">
        <v>22</v>
      </c>
      <c r="L204">
        <f>BDP($H204,"BICS_LEVEL_1_SECTOR_NAME")</f>
        <v/>
      </c>
      <c r="M204">
        <f>BDP($H204,"BICS_LEVEL_3_INDUSTRY_NAME")</f>
        <v/>
      </c>
    </row>
    <row r="205" spans="1:13">
      <c r="A205" t="s">
        <v>906</v>
      </c>
      <c r="B205" t="s">
        <v>14</v>
      </c>
      <c r="C205" t="s">
        <v>15</v>
      </c>
      <c r="D205" t="s">
        <v>907</v>
      </c>
      <c r="E205" t="s">
        <v>908</v>
      </c>
      <c r="F205" t="s">
        <v>69</v>
      </c>
      <c r="G205" t="s">
        <v>94</v>
      </c>
      <c r="H205" t="s">
        <v>909</v>
      </c>
      <c r="I205" t="s">
        <v>15</v>
      </c>
      <c r="J205" t="s">
        <v>21</v>
      </c>
      <c r="K205" t="s">
        <v>22</v>
      </c>
      <c r="L205">
        <f>BDP($H205,"BICS_LEVEL_1_SECTOR_NAME")</f>
        <v/>
      </c>
      <c r="M205">
        <f>BDP($H205,"BICS_LEVEL_3_INDUSTRY_NAME")</f>
        <v/>
      </c>
    </row>
    <row r="206" spans="1:13">
      <c r="A206" t="s">
        <v>910</v>
      </c>
      <c r="B206" t="s">
        <v>14</v>
      </c>
      <c r="C206" t="s">
        <v>15</v>
      </c>
      <c r="D206" t="s">
        <v>911</v>
      </c>
      <c r="E206" t="s">
        <v>912</v>
      </c>
      <c r="F206" t="s">
        <v>18</v>
      </c>
      <c r="G206" t="s">
        <v>239</v>
      </c>
      <c r="H206" t="s">
        <v>913</v>
      </c>
      <c r="I206" t="s">
        <v>15</v>
      </c>
      <c r="J206" t="s">
        <v>21</v>
      </c>
      <c r="K206" t="s">
        <v>22</v>
      </c>
      <c r="L206">
        <f>BDP($H206,"BICS_LEVEL_1_SECTOR_NAME")</f>
        <v/>
      </c>
      <c r="M206">
        <f>BDP($H206,"BICS_LEVEL_3_INDUSTRY_NAME")</f>
        <v/>
      </c>
    </row>
    <row r="207" spans="1:13">
      <c r="A207" t="s">
        <v>914</v>
      </c>
      <c r="B207" t="s">
        <v>14</v>
      </c>
      <c r="C207" t="s">
        <v>15</v>
      </c>
      <c r="D207" t="s">
        <v>915</v>
      </c>
      <c r="E207" t="s">
        <v>916</v>
      </c>
      <c r="F207" t="s">
        <v>26</v>
      </c>
      <c r="G207" t="s">
        <v>32</v>
      </c>
      <c r="H207" t="s">
        <v>917</v>
      </c>
      <c r="I207" t="s">
        <v>15</v>
      </c>
      <c r="J207" t="s">
        <v>21</v>
      </c>
      <c r="K207" t="s">
        <v>22</v>
      </c>
      <c r="L207">
        <f>BDP($H207,"BICS_LEVEL_1_SECTOR_NAME")</f>
        <v/>
      </c>
      <c r="M207">
        <f>BDP($H207,"BICS_LEVEL_3_INDUSTRY_NAME")</f>
        <v/>
      </c>
    </row>
    <row r="208" spans="1:13">
      <c r="A208" t="s">
        <v>918</v>
      </c>
      <c r="B208" t="s">
        <v>14</v>
      </c>
      <c r="C208" t="s">
        <v>15</v>
      </c>
      <c r="D208" t="s">
        <v>919</v>
      </c>
      <c r="E208" t="s">
        <v>920</v>
      </c>
      <c r="F208" t="s">
        <v>57</v>
      </c>
      <c r="G208" t="s">
        <v>921</v>
      </c>
      <c r="H208" t="s">
        <v>922</v>
      </c>
      <c r="I208" t="s">
        <v>15</v>
      </c>
      <c r="J208" t="s">
        <v>21</v>
      </c>
      <c r="K208" t="s">
        <v>22</v>
      </c>
      <c r="L208">
        <f>BDP($H208,"BICS_LEVEL_1_SECTOR_NAME")</f>
        <v/>
      </c>
      <c r="M208">
        <f>BDP($H208,"BICS_LEVEL_3_INDUSTRY_NAME")</f>
        <v/>
      </c>
    </row>
    <row r="209" spans="1:13">
      <c r="A209" t="s">
        <v>923</v>
      </c>
      <c r="B209" t="s">
        <v>14</v>
      </c>
      <c r="C209" t="s">
        <v>15</v>
      </c>
      <c r="D209" t="s">
        <v>924</v>
      </c>
      <c r="E209" t="s">
        <v>925</v>
      </c>
      <c r="F209" t="s">
        <v>83</v>
      </c>
      <c r="G209" t="s">
        <v>178</v>
      </c>
      <c r="H209" t="s">
        <v>926</v>
      </c>
      <c r="I209" t="s">
        <v>15</v>
      </c>
      <c r="J209" t="s">
        <v>21</v>
      </c>
      <c r="K209" t="s">
        <v>22</v>
      </c>
      <c r="L209">
        <f>BDP($H209,"BICS_LEVEL_1_SECTOR_NAME")</f>
        <v/>
      </c>
      <c r="M209">
        <f>BDP($H209,"BICS_LEVEL_3_INDUSTRY_NAME")</f>
        <v/>
      </c>
    </row>
    <row r="210" spans="1:13">
      <c r="A210" t="s">
        <v>927</v>
      </c>
      <c r="B210" t="s">
        <v>14</v>
      </c>
      <c r="C210" t="s">
        <v>15</v>
      </c>
      <c r="D210" t="s">
        <v>928</v>
      </c>
      <c r="E210" t="s">
        <v>929</v>
      </c>
      <c r="F210" t="s">
        <v>83</v>
      </c>
      <c r="G210" t="s">
        <v>178</v>
      </c>
      <c r="H210" t="s">
        <v>930</v>
      </c>
      <c r="I210" t="s">
        <v>15</v>
      </c>
      <c r="J210" t="s">
        <v>21</v>
      </c>
      <c r="K210" t="s">
        <v>22</v>
      </c>
      <c r="L210">
        <f>BDP($H210,"BICS_LEVEL_1_SECTOR_NAME")</f>
        <v/>
      </c>
      <c r="M210">
        <f>BDP($H210,"BICS_LEVEL_3_INDUSTRY_NAME")</f>
        <v/>
      </c>
    </row>
    <row r="211" spans="1:13">
      <c r="A211" t="s">
        <v>931</v>
      </c>
      <c r="B211" t="s">
        <v>14</v>
      </c>
      <c r="C211" t="s">
        <v>15</v>
      </c>
      <c r="D211" t="s">
        <v>932</v>
      </c>
      <c r="E211" t="s">
        <v>933</v>
      </c>
      <c r="F211" t="s">
        <v>83</v>
      </c>
      <c r="G211" t="s">
        <v>104</v>
      </c>
      <c r="H211" t="s">
        <v>934</v>
      </c>
      <c r="I211" t="s">
        <v>15</v>
      </c>
      <c r="J211" t="s">
        <v>21</v>
      </c>
      <c r="K211" t="s">
        <v>22</v>
      </c>
      <c r="L211">
        <f>BDP($H211,"BICS_LEVEL_1_SECTOR_NAME")</f>
        <v/>
      </c>
      <c r="M211">
        <f>BDP($H211,"BICS_LEVEL_3_INDUSTRY_NAME")</f>
        <v/>
      </c>
    </row>
    <row r="212" spans="1:13">
      <c r="A212" t="s">
        <v>935</v>
      </c>
      <c r="B212" t="s">
        <v>14</v>
      </c>
      <c r="C212" t="s">
        <v>15</v>
      </c>
      <c r="D212" t="s">
        <v>936</v>
      </c>
      <c r="E212" t="s">
        <v>937</v>
      </c>
      <c r="F212" t="s">
        <v>69</v>
      </c>
      <c r="G212" t="s">
        <v>938</v>
      </c>
      <c r="H212" t="s">
        <v>939</v>
      </c>
      <c r="I212" t="s">
        <v>15</v>
      </c>
      <c r="J212" t="s">
        <v>21</v>
      </c>
      <c r="K212" t="s">
        <v>22</v>
      </c>
      <c r="L212">
        <f>BDP($H212,"BICS_LEVEL_1_SECTOR_NAME")</f>
        <v/>
      </c>
      <c r="M212">
        <f>BDP($H212,"BICS_LEVEL_3_INDUSTRY_NAME")</f>
        <v/>
      </c>
    </row>
    <row r="213" spans="1:13">
      <c r="A213" t="s">
        <v>940</v>
      </c>
      <c r="B213" t="s">
        <v>14</v>
      </c>
      <c r="C213" t="s">
        <v>15</v>
      </c>
      <c r="D213" t="s">
        <v>941</v>
      </c>
      <c r="E213" t="s">
        <v>942</v>
      </c>
      <c r="F213" t="s">
        <v>69</v>
      </c>
      <c r="G213" t="s">
        <v>94</v>
      </c>
      <c r="H213" t="s">
        <v>943</v>
      </c>
      <c r="I213" t="s">
        <v>15</v>
      </c>
      <c r="J213" t="s">
        <v>21</v>
      </c>
      <c r="K213" t="s">
        <v>22</v>
      </c>
      <c r="L213">
        <f>BDP($H213,"BICS_LEVEL_1_SECTOR_NAME")</f>
        <v/>
      </c>
      <c r="M213">
        <f>BDP($H213,"BICS_LEVEL_3_INDUSTRY_NAME")</f>
        <v/>
      </c>
    </row>
    <row r="214" spans="1:13">
      <c r="A214" t="s">
        <v>944</v>
      </c>
      <c r="B214" t="s">
        <v>14</v>
      </c>
      <c r="C214" t="s">
        <v>15</v>
      </c>
      <c r="D214" t="s">
        <v>945</v>
      </c>
      <c r="E214" t="s">
        <v>946</v>
      </c>
      <c r="F214" t="s">
        <v>18</v>
      </c>
      <c r="G214" t="s">
        <v>698</v>
      </c>
      <c r="H214" t="s">
        <v>947</v>
      </c>
      <c r="I214" t="s">
        <v>15</v>
      </c>
      <c r="J214" t="s">
        <v>21</v>
      </c>
      <c r="K214" t="s">
        <v>22</v>
      </c>
      <c r="L214">
        <f>BDP($H214,"BICS_LEVEL_1_SECTOR_NAME")</f>
        <v/>
      </c>
      <c r="M214">
        <f>BDP($H214,"BICS_LEVEL_3_INDUSTRY_NAME")</f>
        <v/>
      </c>
    </row>
    <row r="215" spans="1:13">
      <c r="A215" t="s">
        <v>948</v>
      </c>
      <c r="B215" t="s">
        <v>14</v>
      </c>
      <c r="C215" t="s">
        <v>15</v>
      </c>
      <c r="D215" t="s">
        <v>949</v>
      </c>
      <c r="E215" t="s">
        <v>950</v>
      </c>
      <c r="F215" t="s">
        <v>18</v>
      </c>
      <c r="G215" t="s">
        <v>951</v>
      </c>
      <c r="H215" t="s">
        <v>952</v>
      </c>
      <c r="I215" t="s">
        <v>15</v>
      </c>
      <c r="J215" t="s">
        <v>21</v>
      </c>
      <c r="K215" t="s">
        <v>22</v>
      </c>
      <c r="L215">
        <f>BDP($H215,"BICS_LEVEL_1_SECTOR_NAME")</f>
        <v/>
      </c>
      <c r="M215">
        <f>BDP($H215,"BICS_LEVEL_3_INDUSTRY_NAME")</f>
        <v/>
      </c>
    </row>
    <row r="216" spans="1:13">
      <c r="A216" t="s">
        <v>953</v>
      </c>
      <c r="B216" t="s">
        <v>14</v>
      </c>
      <c r="C216" t="s">
        <v>15</v>
      </c>
      <c r="D216" t="s">
        <v>954</v>
      </c>
      <c r="E216" t="s">
        <v>955</v>
      </c>
      <c r="F216" t="s">
        <v>69</v>
      </c>
      <c r="G216" t="s">
        <v>956</v>
      </c>
      <c r="H216" t="s">
        <v>957</v>
      </c>
      <c r="I216" t="s">
        <v>15</v>
      </c>
      <c r="J216" t="s">
        <v>21</v>
      </c>
      <c r="K216" t="s">
        <v>22</v>
      </c>
      <c r="L216">
        <f>BDP($H216,"BICS_LEVEL_1_SECTOR_NAME")</f>
        <v/>
      </c>
      <c r="M216">
        <f>BDP($H216,"BICS_LEVEL_3_INDUSTRY_NAME")</f>
        <v/>
      </c>
    </row>
    <row r="217" spans="1:13">
      <c r="A217" t="s">
        <v>958</v>
      </c>
      <c r="B217" t="s">
        <v>14</v>
      </c>
      <c r="C217" t="s">
        <v>15</v>
      </c>
      <c r="D217" t="s">
        <v>959</v>
      </c>
      <c r="E217" t="s">
        <v>960</v>
      </c>
      <c r="F217" t="s">
        <v>69</v>
      </c>
      <c r="G217" t="s">
        <v>70</v>
      </c>
      <c r="H217" t="s">
        <v>961</v>
      </c>
      <c r="I217" t="s">
        <v>15</v>
      </c>
      <c r="J217" t="s">
        <v>21</v>
      </c>
      <c r="K217" t="s">
        <v>22</v>
      </c>
      <c r="L217">
        <f>BDP($H217,"BICS_LEVEL_1_SECTOR_NAME")</f>
        <v/>
      </c>
      <c r="M217">
        <f>BDP($H217,"BICS_LEVEL_3_INDUSTRY_NAME")</f>
        <v/>
      </c>
    </row>
    <row r="218" spans="1:13">
      <c r="A218" t="s">
        <v>962</v>
      </c>
      <c r="B218" t="s">
        <v>14</v>
      </c>
      <c r="C218" t="s">
        <v>15</v>
      </c>
      <c r="D218" t="s">
        <v>963</v>
      </c>
      <c r="E218" t="s">
        <v>964</v>
      </c>
      <c r="F218" t="s">
        <v>69</v>
      </c>
      <c r="G218" t="s">
        <v>70</v>
      </c>
      <c r="H218" t="s">
        <v>965</v>
      </c>
      <c r="I218" t="s">
        <v>15</v>
      </c>
      <c r="J218" t="s">
        <v>21</v>
      </c>
      <c r="K218" t="s">
        <v>22</v>
      </c>
      <c r="L218">
        <f>BDP($H218,"BICS_LEVEL_1_SECTOR_NAME")</f>
        <v/>
      </c>
      <c r="M218">
        <f>BDP($H218,"BICS_LEVEL_3_INDUSTRY_NAME")</f>
        <v/>
      </c>
    </row>
    <row r="219" spans="1:13">
      <c r="A219" t="s">
        <v>966</v>
      </c>
      <c r="B219" t="s">
        <v>14</v>
      </c>
      <c r="C219" t="s">
        <v>15</v>
      </c>
      <c r="D219" t="s">
        <v>967</v>
      </c>
      <c r="E219" t="s">
        <v>968</v>
      </c>
      <c r="F219" t="s">
        <v>83</v>
      </c>
      <c r="G219" t="s">
        <v>104</v>
      </c>
      <c r="H219" t="s">
        <v>969</v>
      </c>
      <c r="I219" t="s">
        <v>15</v>
      </c>
      <c r="J219" t="s">
        <v>21</v>
      </c>
      <c r="K219" t="s">
        <v>22</v>
      </c>
      <c r="L219">
        <f>BDP($H219,"BICS_LEVEL_1_SECTOR_NAME")</f>
        <v/>
      </c>
      <c r="M219">
        <f>BDP($H219,"BICS_LEVEL_3_INDUSTRY_NAME")</f>
        <v/>
      </c>
    </row>
    <row r="220" spans="1:13">
      <c r="A220" t="s">
        <v>970</v>
      </c>
      <c r="B220" t="s">
        <v>14</v>
      </c>
      <c r="C220" t="s">
        <v>15</v>
      </c>
      <c r="D220" t="s">
        <v>971</v>
      </c>
      <c r="E220" t="s">
        <v>972</v>
      </c>
      <c r="F220" t="s">
        <v>69</v>
      </c>
      <c r="G220" t="s">
        <v>94</v>
      </c>
      <c r="H220" t="s">
        <v>973</v>
      </c>
      <c r="I220" t="s">
        <v>15</v>
      </c>
      <c r="J220" t="s">
        <v>21</v>
      </c>
      <c r="K220" t="s">
        <v>22</v>
      </c>
      <c r="L220">
        <f>BDP($H220,"BICS_LEVEL_1_SECTOR_NAME")</f>
        <v/>
      </c>
      <c r="M220">
        <f>BDP($H220,"BICS_LEVEL_3_INDUSTRY_NAME")</f>
        <v/>
      </c>
    </row>
    <row r="221" spans="1:13">
      <c r="A221" t="s">
        <v>974</v>
      </c>
      <c r="B221" t="s">
        <v>14</v>
      </c>
      <c r="C221" t="s">
        <v>15</v>
      </c>
      <c r="D221" t="s">
        <v>975</v>
      </c>
      <c r="E221" t="s">
        <v>976</v>
      </c>
      <c r="F221" t="s">
        <v>18</v>
      </c>
      <c r="G221" t="s">
        <v>977</v>
      </c>
      <c r="H221" t="s">
        <v>978</v>
      </c>
      <c r="I221" t="s">
        <v>15</v>
      </c>
      <c r="J221" t="s">
        <v>21</v>
      </c>
      <c r="K221" t="s">
        <v>22</v>
      </c>
      <c r="L221">
        <f>BDP($H221,"BICS_LEVEL_1_SECTOR_NAME")</f>
        <v/>
      </c>
      <c r="M221">
        <f>BDP($H221,"BICS_LEVEL_3_INDUSTRY_NAME")</f>
        <v/>
      </c>
    </row>
    <row r="222" spans="1:13">
      <c r="A222" t="s">
        <v>979</v>
      </c>
      <c r="B222" t="s">
        <v>14</v>
      </c>
      <c r="C222" t="s">
        <v>15</v>
      </c>
      <c r="D222" t="s">
        <v>980</v>
      </c>
      <c r="E222" t="s">
        <v>981</v>
      </c>
      <c r="F222" t="s">
        <v>69</v>
      </c>
      <c r="G222" t="s">
        <v>70</v>
      </c>
      <c r="H222" t="s">
        <v>982</v>
      </c>
      <c r="I222" t="s">
        <v>15</v>
      </c>
      <c r="J222" t="s">
        <v>21</v>
      </c>
      <c r="K222" t="s">
        <v>22</v>
      </c>
      <c r="L222">
        <f>BDP($H222,"BICS_LEVEL_1_SECTOR_NAME")</f>
        <v/>
      </c>
      <c r="M222">
        <f>BDP($H222,"BICS_LEVEL_3_INDUSTRY_NAME")</f>
        <v/>
      </c>
    </row>
    <row r="223" spans="1:13">
      <c r="A223" t="s">
        <v>983</v>
      </c>
      <c r="B223" t="s">
        <v>14</v>
      </c>
      <c r="C223" t="s">
        <v>15</v>
      </c>
      <c r="D223" t="s">
        <v>984</v>
      </c>
      <c r="E223" t="s">
        <v>985</v>
      </c>
      <c r="F223" t="s">
        <v>63</v>
      </c>
      <c r="G223" t="s">
        <v>64</v>
      </c>
      <c r="H223" t="s">
        <v>986</v>
      </c>
      <c r="I223" t="s">
        <v>15</v>
      </c>
      <c r="J223" t="s">
        <v>21</v>
      </c>
      <c r="K223" t="s">
        <v>22</v>
      </c>
      <c r="L223">
        <f>BDP($H223,"BICS_LEVEL_1_SECTOR_NAME")</f>
        <v/>
      </c>
      <c r="M223">
        <f>BDP($H223,"BICS_LEVEL_3_INDUSTRY_NAME")</f>
        <v/>
      </c>
    </row>
    <row r="224" spans="1:13">
      <c r="A224" t="s">
        <v>987</v>
      </c>
      <c r="B224" t="s">
        <v>14</v>
      </c>
      <c r="C224" t="s">
        <v>15</v>
      </c>
      <c r="D224" t="s">
        <v>988</v>
      </c>
      <c r="E224" t="s">
        <v>989</v>
      </c>
      <c r="F224" t="s">
        <v>69</v>
      </c>
      <c r="G224" t="s">
        <v>990</v>
      </c>
      <c r="H224" t="s">
        <v>991</v>
      </c>
      <c r="I224" t="s">
        <v>15</v>
      </c>
      <c r="J224" t="s">
        <v>21</v>
      </c>
      <c r="K224" t="s">
        <v>22</v>
      </c>
      <c r="L224">
        <f>BDP($H224,"BICS_LEVEL_1_SECTOR_NAME")</f>
        <v/>
      </c>
      <c r="M224">
        <f>BDP($H224,"BICS_LEVEL_3_INDUSTRY_NAME")</f>
        <v/>
      </c>
    </row>
    <row r="225" spans="1:13">
      <c r="A225" t="s">
        <v>992</v>
      </c>
      <c r="B225" t="s">
        <v>14</v>
      </c>
      <c r="C225" t="s">
        <v>15</v>
      </c>
      <c r="D225" t="s">
        <v>993</v>
      </c>
      <c r="E225" t="s">
        <v>994</v>
      </c>
      <c r="F225" t="s">
        <v>26</v>
      </c>
      <c r="G225" t="s">
        <v>141</v>
      </c>
      <c r="H225" t="s">
        <v>995</v>
      </c>
      <c r="I225" t="s">
        <v>15</v>
      </c>
      <c r="J225" t="s">
        <v>21</v>
      </c>
      <c r="K225" t="s">
        <v>22</v>
      </c>
      <c r="L225">
        <f>BDP($H225,"BICS_LEVEL_1_SECTOR_NAME")</f>
        <v/>
      </c>
      <c r="M225">
        <f>BDP($H225,"BICS_LEVEL_3_INDUSTRY_NAME")</f>
        <v/>
      </c>
    </row>
    <row r="226" spans="1:13">
      <c r="A226" t="s">
        <v>996</v>
      </c>
      <c r="B226" t="s">
        <v>14</v>
      </c>
      <c r="C226" t="s">
        <v>15</v>
      </c>
      <c r="D226" t="s">
        <v>997</v>
      </c>
      <c r="E226" t="s">
        <v>998</v>
      </c>
      <c r="F226" t="s">
        <v>69</v>
      </c>
      <c r="G226" t="s">
        <v>70</v>
      </c>
      <c r="H226" t="s">
        <v>999</v>
      </c>
      <c r="I226" t="s">
        <v>15</v>
      </c>
      <c r="J226" t="s">
        <v>21</v>
      </c>
      <c r="K226" t="s">
        <v>22</v>
      </c>
      <c r="L226">
        <f>BDP($H226,"BICS_LEVEL_1_SECTOR_NAME")</f>
        <v/>
      </c>
      <c r="M226">
        <f>BDP($H226,"BICS_LEVEL_3_INDUSTRY_NAME")</f>
        <v/>
      </c>
    </row>
    <row r="227" spans="1:13">
      <c r="A227" t="s">
        <v>1000</v>
      </c>
      <c r="B227" t="s">
        <v>14</v>
      </c>
      <c r="C227" t="s">
        <v>15</v>
      </c>
      <c r="D227" t="s">
        <v>1001</v>
      </c>
      <c r="E227" t="s">
        <v>1002</v>
      </c>
      <c r="F227" t="s">
        <v>26</v>
      </c>
      <c r="G227" t="s">
        <v>332</v>
      </c>
      <c r="H227" t="s">
        <v>1003</v>
      </c>
      <c r="I227" t="s">
        <v>15</v>
      </c>
      <c r="J227" t="s">
        <v>21</v>
      </c>
      <c r="K227" t="s">
        <v>22</v>
      </c>
      <c r="L227">
        <f>BDP($H227,"BICS_LEVEL_1_SECTOR_NAME")</f>
        <v/>
      </c>
      <c r="M227">
        <f>BDP($H227,"BICS_LEVEL_3_INDUSTRY_NAME")</f>
        <v/>
      </c>
    </row>
    <row r="228" spans="1:13">
      <c r="A228" t="s">
        <v>1004</v>
      </c>
      <c r="B228" t="s">
        <v>14</v>
      </c>
      <c r="C228" t="s">
        <v>15</v>
      </c>
      <c r="D228" t="s">
        <v>1005</v>
      </c>
      <c r="E228" t="s">
        <v>1006</v>
      </c>
      <c r="F228" t="s">
        <v>63</v>
      </c>
      <c r="G228" t="s">
        <v>64</v>
      </c>
      <c r="H228" t="s">
        <v>1007</v>
      </c>
      <c r="I228" t="s">
        <v>15</v>
      </c>
      <c r="J228" t="s">
        <v>21</v>
      </c>
      <c r="K228" t="s">
        <v>22</v>
      </c>
      <c r="L228">
        <f>BDP($H228,"BICS_LEVEL_1_SECTOR_NAME")</f>
        <v/>
      </c>
      <c r="M228">
        <f>BDP($H228,"BICS_LEVEL_3_INDUSTRY_NAME")</f>
        <v/>
      </c>
    </row>
    <row r="229" spans="1:13">
      <c r="A229" t="s">
        <v>1008</v>
      </c>
      <c r="B229" t="s">
        <v>14</v>
      </c>
      <c r="C229" t="s">
        <v>15</v>
      </c>
      <c r="D229" t="s">
        <v>1009</v>
      </c>
      <c r="E229" t="s">
        <v>1010</v>
      </c>
      <c r="F229" t="s">
        <v>69</v>
      </c>
      <c r="G229" t="s">
        <v>1011</v>
      </c>
      <c r="H229" t="s">
        <v>1012</v>
      </c>
      <c r="I229" t="s">
        <v>15</v>
      </c>
      <c r="J229" t="s">
        <v>21</v>
      </c>
      <c r="K229" t="s">
        <v>22</v>
      </c>
      <c r="L229">
        <f>BDP($H229,"BICS_LEVEL_1_SECTOR_NAME")</f>
        <v/>
      </c>
      <c r="M229">
        <f>BDP($H229,"BICS_LEVEL_3_INDUSTRY_NAME")</f>
        <v/>
      </c>
    </row>
    <row r="230" spans="1:13">
      <c r="A230" t="s">
        <v>1013</v>
      </c>
      <c r="B230" t="s">
        <v>14</v>
      </c>
      <c r="C230" t="s">
        <v>15</v>
      </c>
      <c r="D230" t="s">
        <v>1014</v>
      </c>
      <c r="E230" t="s">
        <v>1015</v>
      </c>
      <c r="F230" t="s">
        <v>69</v>
      </c>
      <c r="G230" t="s">
        <v>938</v>
      </c>
      <c r="H230" t="s">
        <v>1016</v>
      </c>
      <c r="I230" t="s">
        <v>15</v>
      </c>
      <c r="J230" t="s">
        <v>21</v>
      </c>
      <c r="K230" t="s">
        <v>22</v>
      </c>
      <c r="L230">
        <f>BDP($H230,"BICS_LEVEL_1_SECTOR_NAME")</f>
        <v/>
      </c>
      <c r="M230">
        <f>BDP($H230,"BICS_LEVEL_3_INDUSTRY_NAME")</f>
        <v/>
      </c>
    </row>
    <row r="231" spans="1:13">
      <c r="A231" t="s">
        <v>1017</v>
      </c>
      <c r="B231" t="s">
        <v>14</v>
      </c>
      <c r="C231" t="s">
        <v>15</v>
      </c>
      <c r="D231" t="s">
        <v>1018</v>
      </c>
      <c r="E231" t="s">
        <v>1019</v>
      </c>
      <c r="F231" t="s">
        <v>83</v>
      </c>
      <c r="G231" t="s">
        <v>264</v>
      </c>
      <c r="H231" t="s">
        <v>1020</v>
      </c>
      <c r="I231" t="s">
        <v>15</v>
      </c>
      <c r="J231" t="s">
        <v>21</v>
      </c>
      <c r="K231" t="s">
        <v>22</v>
      </c>
      <c r="L231">
        <f>BDP($H231,"BICS_LEVEL_1_SECTOR_NAME")</f>
        <v/>
      </c>
      <c r="M231">
        <f>BDP($H231,"BICS_LEVEL_3_INDUSTRY_NAME")</f>
        <v/>
      </c>
    </row>
    <row r="232" spans="1:13">
      <c r="A232" t="s">
        <v>1021</v>
      </c>
      <c r="B232" t="s">
        <v>14</v>
      </c>
      <c r="C232" t="s">
        <v>15</v>
      </c>
      <c r="D232" t="s">
        <v>1022</v>
      </c>
      <c r="E232" t="s">
        <v>1023</v>
      </c>
      <c r="F232" t="s">
        <v>83</v>
      </c>
      <c r="G232" t="s">
        <v>1024</v>
      </c>
      <c r="H232" t="s">
        <v>1025</v>
      </c>
      <c r="I232" t="s">
        <v>15</v>
      </c>
      <c r="J232" t="s">
        <v>21</v>
      </c>
      <c r="K232" t="s">
        <v>22</v>
      </c>
      <c r="L232">
        <f>BDP($H232,"BICS_LEVEL_1_SECTOR_NAME")</f>
        <v/>
      </c>
      <c r="M232">
        <f>BDP($H232,"BICS_LEVEL_3_INDUSTRY_NAME")</f>
        <v/>
      </c>
    </row>
    <row r="233" spans="1:13">
      <c r="A233" t="s">
        <v>1026</v>
      </c>
      <c r="B233" t="s">
        <v>14</v>
      </c>
      <c r="C233" t="s">
        <v>15</v>
      </c>
      <c r="D233" t="s">
        <v>1027</v>
      </c>
      <c r="E233" t="s">
        <v>1028</v>
      </c>
      <c r="F233" t="s">
        <v>51</v>
      </c>
      <c r="G233" t="s">
        <v>1029</v>
      </c>
      <c r="H233" t="s">
        <v>1030</v>
      </c>
      <c r="I233" t="s">
        <v>15</v>
      </c>
      <c r="J233" t="s">
        <v>21</v>
      </c>
      <c r="K233" t="s">
        <v>22</v>
      </c>
      <c r="L233">
        <f>BDP($H233,"BICS_LEVEL_1_SECTOR_NAME")</f>
        <v/>
      </c>
      <c r="M233">
        <f>BDP($H233,"BICS_LEVEL_3_INDUSTRY_NAME")</f>
        <v/>
      </c>
    </row>
    <row r="234" spans="1:13">
      <c r="A234" t="s">
        <v>1031</v>
      </c>
      <c r="B234" t="s">
        <v>14</v>
      </c>
      <c r="C234" t="s">
        <v>15</v>
      </c>
      <c r="D234" t="s">
        <v>1032</v>
      </c>
      <c r="E234" t="s">
        <v>1033</v>
      </c>
      <c r="F234" t="s">
        <v>51</v>
      </c>
      <c r="G234" t="s">
        <v>1029</v>
      </c>
      <c r="H234" t="s">
        <v>1034</v>
      </c>
      <c r="I234" t="s">
        <v>15</v>
      </c>
      <c r="J234" t="s">
        <v>21</v>
      </c>
      <c r="K234" t="s">
        <v>22</v>
      </c>
      <c r="L234">
        <f>BDP($H234,"BICS_LEVEL_1_SECTOR_NAME")</f>
        <v/>
      </c>
      <c r="M234">
        <f>BDP($H234,"BICS_LEVEL_3_INDUSTRY_NAME")</f>
        <v/>
      </c>
    </row>
    <row r="235" spans="1:13">
      <c r="A235" t="s">
        <v>1035</v>
      </c>
      <c r="B235" t="s">
        <v>14</v>
      </c>
      <c r="C235" t="s">
        <v>15</v>
      </c>
      <c r="D235" t="s">
        <v>1036</v>
      </c>
      <c r="E235" t="s">
        <v>1037</v>
      </c>
      <c r="F235" t="s">
        <v>51</v>
      </c>
      <c r="G235" t="s">
        <v>1029</v>
      </c>
      <c r="H235" t="s">
        <v>1038</v>
      </c>
      <c r="I235" t="s">
        <v>15</v>
      </c>
      <c r="J235" t="s">
        <v>21</v>
      </c>
      <c r="K235" t="s">
        <v>22</v>
      </c>
      <c r="L235">
        <f>BDP($H235,"BICS_LEVEL_1_SECTOR_NAME")</f>
        <v/>
      </c>
      <c r="M235">
        <f>BDP($H235,"BICS_LEVEL_3_INDUSTRY_NAME")</f>
        <v/>
      </c>
    </row>
    <row r="236" spans="1:13">
      <c r="A236" t="s">
        <v>1039</v>
      </c>
      <c r="B236" t="s">
        <v>14</v>
      </c>
      <c r="C236" t="s">
        <v>15</v>
      </c>
      <c r="D236" t="s">
        <v>1040</v>
      </c>
      <c r="E236" t="s">
        <v>1041</v>
      </c>
      <c r="F236" t="s">
        <v>51</v>
      </c>
      <c r="G236" t="s">
        <v>1029</v>
      </c>
      <c r="H236" t="s">
        <v>1042</v>
      </c>
      <c r="I236" t="s">
        <v>15</v>
      </c>
      <c r="J236" t="s">
        <v>21</v>
      </c>
      <c r="K236" t="s">
        <v>22</v>
      </c>
      <c r="L236">
        <f>BDP($H236,"BICS_LEVEL_1_SECTOR_NAME")</f>
        <v/>
      </c>
      <c r="M236">
        <f>BDP($H236,"BICS_LEVEL_3_INDUSTRY_NAME")</f>
        <v/>
      </c>
    </row>
    <row r="237" spans="1:13">
      <c r="A237" t="s">
        <v>1043</v>
      </c>
      <c r="B237" t="s">
        <v>14</v>
      </c>
      <c r="C237" t="s">
        <v>15</v>
      </c>
      <c r="D237" t="s">
        <v>1044</v>
      </c>
      <c r="E237" t="s">
        <v>1045</v>
      </c>
      <c r="F237" t="s">
        <v>26</v>
      </c>
      <c r="G237" t="s">
        <v>37</v>
      </c>
      <c r="H237" t="s">
        <v>1046</v>
      </c>
      <c r="I237" t="s">
        <v>15</v>
      </c>
      <c r="J237" t="s">
        <v>21</v>
      </c>
      <c r="K237" t="s">
        <v>22</v>
      </c>
      <c r="L237">
        <f>BDP($H237,"BICS_LEVEL_1_SECTOR_NAME")</f>
        <v/>
      </c>
      <c r="M237">
        <f>BDP($H237,"BICS_LEVEL_3_INDUSTRY_NAME")</f>
        <v/>
      </c>
    </row>
    <row r="238" spans="1:13">
      <c r="A238" t="s">
        <v>1047</v>
      </c>
      <c r="B238" t="s">
        <v>14</v>
      </c>
      <c r="C238" t="s">
        <v>15</v>
      </c>
      <c r="D238" t="s">
        <v>1048</v>
      </c>
      <c r="E238" t="s">
        <v>1049</v>
      </c>
      <c r="F238" t="s">
        <v>18</v>
      </c>
      <c r="G238" t="s">
        <v>208</v>
      </c>
      <c r="H238" t="s">
        <v>1050</v>
      </c>
      <c r="I238" t="s">
        <v>15</v>
      </c>
      <c r="J238" t="s">
        <v>21</v>
      </c>
      <c r="K238" t="s">
        <v>22</v>
      </c>
      <c r="L238">
        <f>BDP($H238,"BICS_LEVEL_1_SECTOR_NAME")</f>
        <v/>
      </c>
      <c r="M238">
        <f>BDP($H238,"BICS_LEVEL_3_INDUSTRY_NAME")</f>
        <v/>
      </c>
    </row>
    <row r="239" spans="1:13">
      <c r="A239" t="s">
        <v>1051</v>
      </c>
      <c r="B239" t="s">
        <v>14</v>
      </c>
      <c r="C239" t="s">
        <v>15</v>
      </c>
      <c r="D239" t="s">
        <v>1052</v>
      </c>
      <c r="E239" t="s">
        <v>1053</v>
      </c>
      <c r="F239" t="s">
        <v>51</v>
      </c>
      <c r="G239" t="s">
        <v>921</v>
      </c>
      <c r="H239" t="s">
        <v>1054</v>
      </c>
      <c r="I239" t="s">
        <v>15</v>
      </c>
      <c r="J239" t="s">
        <v>21</v>
      </c>
      <c r="K239" t="s">
        <v>22</v>
      </c>
      <c r="L239">
        <f>BDP($H239,"BICS_LEVEL_1_SECTOR_NAME")</f>
        <v/>
      </c>
      <c r="M239">
        <f>BDP($H239,"BICS_LEVEL_3_INDUSTRY_NAME")</f>
        <v/>
      </c>
    </row>
    <row r="240" spans="1:13">
      <c r="A240" t="s">
        <v>1055</v>
      </c>
      <c r="B240" t="s">
        <v>14</v>
      </c>
      <c r="C240" t="s">
        <v>15</v>
      </c>
      <c r="D240" t="s">
        <v>1056</v>
      </c>
      <c r="E240" t="s">
        <v>1057</v>
      </c>
      <c r="F240" t="s">
        <v>18</v>
      </c>
      <c r="G240" t="s">
        <v>698</v>
      </c>
      <c r="H240" t="s">
        <v>1058</v>
      </c>
      <c r="I240" t="s">
        <v>15</v>
      </c>
      <c r="J240" t="s">
        <v>21</v>
      </c>
      <c r="K240" t="s">
        <v>22</v>
      </c>
      <c r="L240">
        <f>BDP($H240,"BICS_LEVEL_1_SECTOR_NAME")</f>
        <v/>
      </c>
      <c r="M240">
        <f>BDP($H240,"BICS_LEVEL_3_INDUSTRY_NAME")</f>
        <v/>
      </c>
    </row>
    <row r="241" spans="1:13">
      <c r="A241" t="s">
        <v>1059</v>
      </c>
      <c r="B241" t="s">
        <v>14</v>
      </c>
      <c r="C241" t="s">
        <v>15</v>
      </c>
      <c r="D241" t="s">
        <v>1060</v>
      </c>
      <c r="E241" t="s">
        <v>1061</v>
      </c>
      <c r="F241" t="s">
        <v>83</v>
      </c>
      <c r="G241" t="s">
        <v>1024</v>
      </c>
      <c r="H241" t="s">
        <v>1062</v>
      </c>
      <c r="I241" t="s">
        <v>15</v>
      </c>
      <c r="J241" t="s">
        <v>21</v>
      </c>
      <c r="K241" t="s">
        <v>22</v>
      </c>
      <c r="L241">
        <f>BDP($H241,"BICS_LEVEL_1_SECTOR_NAME")</f>
        <v/>
      </c>
      <c r="M241">
        <f>BDP($H241,"BICS_LEVEL_3_INDUSTRY_NAME")</f>
        <v/>
      </c>
    </row>
    <row r="242" spans="1:13">
      <c r="A242" t="s">
        <v>1063</v>
      </c>
      <c r="B242" t="s">
        <v>14</v>
      </c>
      <c r="C242" t="s">
        <v>15</v>
      </c>
      <c r="D242" t="s">
        <v>1064</v>
      </c>
      <c r="E242" t="s">
        <v>1065</v>
      </c>
      <c r="F242" t="s">
        <v>69</v>
      </c>
      <c r="G242" t="s">
        <v>94</v>
      </c>
      <c r="H242" t="s">
        <v>1066</v>
      </c>
      <c r="I242" t="s">
        <v>15</v>
      </c>
      <c r="J242" t="s">
        <v>21</v>
      </c>
      <c r="K242" t="s">
        <v>22</v>
      </c>
      <c r="L242">
        <f>BDP($H242,"BICS_LEVEL_1_SECTOR_NAME")</f>
        <v/>
      </c>
      <c r="M242">
        <f>BDP($H242,"BICS_LEVEL_3_INDUSTRY_NAME")</f>
        <v/>
      </c>
    </row>
    <row r="243" spans="1:13">
      <c r="A243" t="s">
        <v>1067</v>
      </c>
      <c r="B243" t="s">
        <v>14</v>
      </c>
      <c r="C243" t="s">
        <v>15</v>
      </c>
      <c r="D243" t="s">
        <v>1068</v>
      </c>
      <c r="E243" t="s">
        <v>1069</v>
      </c>
      <c r="F243" t="s">
        <v>63</v>
      </c>
      <c r="G243" t="s">
        <v>159</v>
      </c>
      <c r="H243" t="s">
        <v>1070</v>
      </c>
      <c r="I243" t="s">
        <v>15</v>
      </c>
      <c r="J243" t="s">
        <v>21</v>
      </c>
      <c r="K243" t="s">
        <v>22</v>
      </c>
      <c r="L243">
        <f>BDP($H243,"BICS_LEVEL_1_SECTOR_NAME")</f>
        <v/>
      </c>
      <c r="M243">
        <f>BDP($H243,"BICS_LEVEL_3_INDUSTRY_NAME")</f>
        <v/>
      </c>
    </row>
    <row r="244" spans="1:13">
      <c r="A244" t="s">
        <v>1071</v>
      </c>
      <c r="B244" t="s">
        <v>14</v>
      </c>
      <c r="C244" t="s">
        <v>15</v>
      </c>
      <c r="D244" t="s">
        <v>1072</v>
      </c>
      <c r="E244" t="s">
        <v>1073</v>
      </c>
      <c r="F244" t="s">
        <v>18</v>
      </c>
      <c r="G244" t="s">
        <v>46</v>
      </c>
      <c r="H244" t="s">
        <v>1074</v>
      </c>
      <c r="I244" t="s">
        <v>15</v>
      </c>
      <c r="J244" t="s">
        <v>21</v>
      </c>
      <c r="K244" t="s">
        <v>22</v>
      </c>
      <c r="L244">
        <f>BDP($H244,"BICS_LEVEL_1_SECTOR_NAME")</f>
        <v/>
      </c>
      <c r="M244">
        <f>BDP($H244,"BICS_LEVEL_3_INDUSTRY_NAME")</f>
        <v/>
      </c>
    </row>
    <row r="245" spans="1:13">
      <c r="A245" t="s">
        <v>1075</v>
      </c>
      <c r="B245" t="s">
        <v>14</v>
      </c>
      <c r="C245" t="s">
        <v>15</v>
      </c>
      <c r="D245" t="s">
        <v>1076</v>
      </c>
      <c r="E245" t="s">
        <v>1077</v>
      </c>
      <c r="F245" t="s">
        <v>69</v>
      </c>
      <c r="G245" t="s">
        <v>1078</v>
      </c>
      <c r="H245" t="s">
        <v>1079</v>
      </c>
      <c r="I245" t="s">
        <v>15</v>
      </c>
      <c r="J245" t="s">
        <v>21</v>
      </c>
      <c r="K245" t="s">
        <v>22</v>
      </c>
      <c r="L245">
        <f>BDP($H245,"BICS_LEVEL_1_SECTOR_NAME")</f>
        <v/>
      </c>
      <c r="M245">
        <f>BDP($H245,"BICS_LEVEL_3_INDUSTRY_NAME")</f>
        <v/>
      </c>
    </row>
    <row r="246" spans="1:13">
      <c r="A246" t="s">
        <v>1080</v>
      </c>
      <c r="B246" t="s">
        <v>14</v>
      </c>
      <c r="C246" t="s">
        <v>15</v>
      </c>
      <c r="D246" t="s">
        <v>1081</v>
      </c>
      <c r="E246" t="s">
        <v>1082</v>
      </c>
      <c r="F246" t="s">
        <v>69</v>
      </c>
      <c r="G246" t="s">
        <v>99</v>
      </c>
      <c r="H246" t="s">
        <v>1083</v>
      </c>
      <c r="I246" t="s">
        <v>15</v>
      </c>
      <c r="J246" t="s">
        <v>21</v>
      </c>
      <c r="K246" t="s">
        <v>22</v>
      </c>
      <c r="L246">
        <f>BDP($H246,"BICS_LEVEL_1_SECTOR_NAME")</f>
        <v/>
      </c>
      <c r="M246">
        <f>BDP($H246,"BICS_LEVEL_3_INDUSTRY_NAME")</f>
        <v/>
      </c>
    </row>
    <row r="247" spans="1:13">
      <c r="A247" t="s">
        <v>1084</v>
      </c>
      <c r="B247" t="s">
        <v>14</v>
      </c>
      <c r="C247" t="s">
        <v>15</v>
      </c>
      <c r="D247" t="s">
        <v>1085</v>
      </c>
      <c r="E247" t="s">
        <v>1086</v>
      </c>
      <c r="F247" t="s">
        <v>69</v>
      </c>
      <c r="G247" t="s">
        <v>99</v>
      </c>
      <c r="H247" t="s">
        <v>1087</v>
      </c>
      <c r="I247" t="s">
        <v>15</v>
      </c>
      <c r="J247" t="s">
        <v>21</v>
      </c>
      <c r="K247" t="s">
        <v>22</v>
      </c>
      <c r="L247">
        <f>BDP($H247,"BICS_LEVEL_1_SECTOR_NAME")</f>
        <v/>
      </c>
      <c r="M247">
        <f>BDP($H247,"BICS_LEVEL_3_INDUSTRY_NAME")</f>
        <v/>
      </c>
    </row>
    <row r="248" spans="1:13">
      <c r="A248" t="s">
        <v>1088</v>
      </c>
      <c r="B248" t="s">
        <v>14</v>
      </c>
      <c r="C248" t="s">
        <v>15</v>
      </c>
      <c r="D248" t="s">
        <v>1089</v>
      </c>
      <c r="E248" t="s">
        <v>1090</v>
      </c>
      <c r="F248" t="s">
        <v>51</v>
      </c>
      <c r="G248" t="s">
        <v>52</v>
      </c>
      <c r="H248" t="s">
        <v>1091</v>
      </c>
      <c r="I248" t="s">
        <v>15</v>
      </c>
      <c r="J248" t="s">
        <v>21</v>
      </c>
      <c r="K248" t="s">
        <v>22</v>
      </c>
      <c r="L248">
        <f>BDP($H248,"BICS_LEVEL_1_SECTOR_NAME")</f>
        <v/>
      </c>
      <c r="M248">
        <f>BDP($H248,"BICS_LEVEL_3_INDUSTRY_NAME")</f>
        <v/>
      </c>
    </row>
    <row r="249" spans="1:13">
      <c r="A249" t="s">
        <v>1092</v>
      </c>
      <c r="B249" t="s">
        <v>14</v>
      </c>
      <c r="C249" t="s">
        <v>15</v>
      </c>
      <c r="D249" t="s">
        <v>1093</v>
      </c>
      <c r="E249" t="s">
        <v>1094</v>
      </c>
      <c r="F249" t="s">
        <v>18</v>
      </c>
      <c r="G249" t="s">
        <v>19</v>
      </c>
      <c r="H249" t="s">
        <v>1095</v>
      </c>
      <c r="I249" t="s">
        <v>15</v>
      </c>
      <c r="J249" t="s">
        <v>21</v>
      </c>
      <c r="K249" t="s">
        <v>22</v>
      </c>
      <c r="L249">
        <f>BDP($H249,"BICS_LEVEL_1_SECTOR_NAME")</f>
        <v/>
      </c>
      <c r="M249">
        <f>BDP($H249,"BICS_LEVEL_3_INDUSTRY_NAME")</f>
        <v/>
      </c>
    </row>
    <row r="250" spans="1:13">
      <c r="A250" t="s">
        <v>1096</v>
      </c>
      <c r="B250" t="s">
        <v>14</v>
      </c>
      <c r="C250" t="s">
        <v>15</v>
      </c>
      <c r="D250" t="s">
        <v>1097</v>
      </c>
      <c r="E250" t="s">
        <v>1098</v>
      </c>
      <c r="F250" t="s">
        <v>18</v>
      </c>
      <c r="G250" t="s">
        <v>812</v>
      </c>
      <c r="H250" t="s">
        <v>1099</v>
      </c>
      <c r="I250" t="s">
        <v>15</v>
      </c>
      <c r="J250" t="s">
        <v>21</v>
      </c>
      <c r="K250" t="s">
        <v>22</v>
      </c>
      <c r="L250">
        <f>BDP($H250,"BICS_LEVEL_1_SECTOR_NAME")</f>
        <v/>
      </c>
      <c r="M250">
        <f>BDP($H250,"BICS_LEVEL_3_INDUSTRY_NAME")</f>
        <v/>
      </c>
    </row>
    <row r="251" spans="1:13">
      <c r="A251" t="s">
        <v>1100</v>
      </c>
      <c r="B251" t="s">
        <v>14</v>
      </c>
      <c r="C251" t="s">
        <v>15</v>
      </c>
      <c r="D251" t="s">
        <v>1101</v>
      </c>
      <c r="E251" t="s">
        <v>1102</v>
      </c>
      <c r="F251" t="s">
        <v>18</v>
      </c>
      <c r="G251" t="s">
        <v>394</v>
      </c>
      <c r="H251" t="s">
        <v>1103</v>
      </c>
      <c r="I251" t="s">
        <v>15</v>
      </c>
      <c r="J251" t="s">
        <v>21</v>
      </c>
      <c r="K251" t="s">
        <v>22</v>
      </c>
      <c r="L251">
        <f>BDP($H251,"BICS_LEVEL_1_SECTOR_NAME")</f>
        <v/>
      </c>
      <c r="M251">
        <f>BDP($H251,"BICS_LEVEL_3_INDUSTRY_NAME")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BDH("KELYB US Equity","BS_TOT_ASSET","1993-06-18","2026-05-02","Per=Y","Days=T","Dir=V")</f>
        <v>0</v>
      </c>
      <c r="C2">
        <f>BDH("KELYB US Equity","BS_TOT_LIAB2","1993-06-18","2026-05-02","Per=Y","Days=T","Dir=V")</f>
        <v>0</v>
      </c>
      <c r="E2">
        <f>BDH("KELYB US Equity","SHORT_AND_LONG_TERM_DEBT","1993-06-18","2026-05-02","Per=Y","Days=T","Dir=V")</f>
        <v>0</v>
      </c>
      <c r="G2">
        <f>BDH("KELYB US Equity","BS_ST_BORROW","1993-06-18","2026-05-02","Per=Y","Days=T","Dir=V")</f>
        <v>0</v>
      </c>
      <c r="I2">
        <f>BDH("KELYB US Equity","BS_LT_BORROW","1993-06-18","2026-05-02","Per=Y","Days=T","Dir=V")</f>
        <v>0</v>
      </c>
      <c r="K2">
        <f>BDH("KELYB US Equity","BS_CASH_NEAR_CASH_ITEM","1993-06-18","2026-05-02","Per=Y","Days=T","Dir=V")</f>
        <v>0</v>
      </c>
      <c r="M2">
        <f>BDH("KELYB US Equity","BS_CUR_ASSET_REPORT","1993-06-18","2026-05-02","Per=Y","Days=T","Dir=V")</f>
        <v>0</v>
      </c>
      <c r="O2">
        <f>BDH("KELYB US Equity","BS_CUR_LIAB","1993-06-18","2026-05-02","Per=Y","Days=T","Dir=V")</f>
        <v>0</v>
      </c>
      <c r="Q2">
        <f>BDH("KELYB US Equity","BS_SHAREHOLDER_EQY_ENDING_PERIOD","1993-06-18","2026-05-02","Per=Y","Days=T","Dir=V")</f>
        <v>0</v>
      </c>
      <c r="S2">
        <f>BDH("KELYB US Equity","BS_ACCT_NOTE_RCV","1993-06-18","2026-05-02","Per=Y","Days=T","Dir=V")</f>
        <v>0</v>
      </c>
      <c r="U2">
        <f>BDH("KELYB US Equity","BS_INVENTORIES","1993-06-18","2026-05-02","Per=Y","Days=T","Dir=V")</f>
        <v>0</v>
      </c>
      <c r="W2">
        <f>BDH("KELYB US Equity","WORKING_CAPITAL","1993-06-18","2026-05-02","Per=Y","Days=T","Dir=V")</f>
        <v>0</v>
      </c>
      <c r="Y2">
        <f>BDH("KELYB US Equity","SALES_REV_TURN","1993-06-18","2026-05-02","Per=Y","Days=T","Dir=V")</f>
        <v>0</v>
      </c>
      <c r="AA2">
        <f>BDH("KELYB US Equity","EBIT","1993-06-18","2026-05-02","Per=Y","Days=T","Dir=V")</f>
        <v>0</v>
      </c>
      <c r="AC2">
        <f>BDH("KELYB US Equity","EBITDA","1993-06-18","2026-05-02","Per=Y","Days=T","Dir=V")</f>
        <v>0</v>
      </c>
      <c r="AE2">
        <f>BDH("KELYB US Equity","NET_INCOME","1993-06-18","2026-05-02","Per=Y","Days=T","Dir=V")</f>
        <v>0</v>
      </c>
      <c r="AG2">
        <f>BDH("KELYB US Equity","IS_INT_EXPENSE","1993-06-18","2026-05-02","Per=Y","Days=T","Dir=V")</f>
        <v>0</v>
      </c>
      <c r="AI2">
        <f>BDH("KELYB US Equity","IS_DEPR_EXP","1993-06-18","2026-05-02","Per=Y","Days=T","Dir=V")</f>
        <v>0</v>
      </c>
      <c r="AK2">
        <f>BDH("KELYB US Equity","CF_CASH_FROM_OPER","1993-06-18","2026-05-02","Per=Y","Days=T","Dir=V")</f>
        <v>0</v>
      </c>
      <c r="AM2">
        <f>BDH("KELYB US Equity","CAPITAL_EXPEND","1993-06-18","2026-05-02","Per=Y","Days=T","Dir=V")</f>
        <v>0</v>
      </c>
      <c r="AO2">
        <f>BDH("KELYB US Equity","CF_FREE_CASH_FLOW","1993-06-18","2026-05-02","Per=Y","Days=T","Dir=V")</f>
        <v>0</v>
      </c>
      <c r="AQ2">
        <f>BDH("KELYB US Equity","PX_LAST","1993-06-18","2026-05-02","Per=M","Days=T","Dir=V")</f>
        <v>0</v>
      </c>
      <c r="AS2">
        <f>BDH("KELYB US Equity","CUR_MKT_CAP","1993-06-18","2026-05-02","Per=M","Days=T","Dir=V")</f>
        <v>0</v>
      </c>
      <c r="AU2">
        <f>BDH("KELYB US Equity","EQY_SH_OUT","1993-06-18","2026-05-02","Per=M","Days=T","Dir=V")</f>
        <v>0</v>
      </c>
      <c r="AW2">
        <f>BDH("KELYB US Equity","PX_VOLUME","1993-06-18","2026-05-02","Per=M","Days=T","Dir=V")</f>
        <v>0</v>
      </c>
      <c r="AY2">
        <f>BDH("KELYB US Equity","TURNOVER","1993-06-18","2026-05-02","Per=M","Days=T","Dir=V")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BDH("KEQU US Equity","BS_TOT_ASSET","1993-06-18","2026-05-02","Per=Y","Days=T","Dir=V")</f>
        <v>0</v>
      </c>
      <c r="C2">
        <f>BDH("KEQU US Equity","BS_TOT_LIAB2","1993-06-18","2026-05-02","Per=Y","Days=T","Dir=V")</f>
        <v>0</v>
      </c>
      <c r="E2">
        <f>BDH("KEQU US Equity","SHORT_AND_LONG_TERM_DEBT","1993-06-18","2026-05-02","Per=Y","Days=T","Dir=V")</f>
        <v>0</v>
      </c>
      <c r="G2">
        <f>BDH("KEQU US Equity","BS_ST_BORROW","1993-06-18","2026-05-02","Per=Y","Days=T","Dir=V")</f>
        <v>0</v>
      </c>
      <c r="I2">
        <f>BDH("KEQU US Equity","BS_LT_BORROW","1993-06-18","2026-05-02","Per=Y","Days=T","Dir=V")</f>
        <v>0</v>
      </c>
      <c r="K2">
        <f>BDH("KEQU US Equity","BS_CASH_NEAR_CASH_ITEM","1993-06-18","2026-05-02","Per=Y","Days=T","Dir=V")</f>
        <v>0</v>
      </c>
      <c r="M2">
        <f>BDH("KEQU US Equity","BS_CUR_ASSET_REPORT","1993-06-18","2026-05-02","Per=Y","Days=T","Dir=V")</f>
        <v>0</v>
      </c>
      <c r="O2">
        <f>BDH("KEQU US Equity","BS_CUR_LIAB","1993-06-18","2026-05-02","Per=Y","Days=T","Dir=V")</f>
        <v>0</v>
      </c>
      <c r="Q2">
        <f>BDH("KEQU US Equity","BS_SHAREHOLDER_EQY_ENDING_PERIOD","1993-06-18","2026-05-02","Per=Y","Days=T","Dir=V")</f>
        <v>0</v>
      </c>
      <c r="S2">
        <f>BDH("KEQU US Equity","BS_ACCT_NOTE_RCV","1993-06-18","2026-05-02","Per=Y","Days=T","Dir=V")</f>
        <v>0</v>
      </c>
      <c r="U2">
        <f>BDH("KEQU US Equity","BS_INVENTORIES","1993-06-18","2026-05-02","Per=Y","Days=T","Dir=V")</f>
        <v>0</v>
      </c>
      <c r="W2">
        <f>BDH("KEQU US Equity","WORKING_CAPITAL","1993-06-18","2026-05-02","Per=Y","Days=T","Dir=V")</f>
        <v>0</v>
      </c>
      <c r="Y2">
        <f>BDH("KEQU US Equity","SALES_REV_TURN","1993-06-18","2026-05-02","Per=Y","Days=T","Dir=V")</f>
        <v>0</v>
      </c>
      <c r="AA2">
        <f>BDH("KEQU US Equity","EBIT","1993-06-18","2026-05-02","Per=Y","Days=T","Dir=V")</f>
        <v>0</v>
      </c>
      <c r="AC2">
        <f>BDH("KEQU US Equity","EBITDA","1993-06-18","2026-05-02","Per=Y","Days=T","Dir=V")</f>
        <v>0</v>
      </c>
      <c r="AE2">
        <f>BDH("KEQU US Equity","NET_INCOME","1993-06-18","2026-05-02","Per=Y","Days=T","Dir=V")</f>
        <v>0</v>
      </c>
      <c r="AG2">
        <f>BDH("KEQU US Equity","IS_INT_EXPENSE","1993-06-18","2026-05-02","Per=Y","Days=T","Dir=V")</f>
        <v>0</v>
      </c>
      <c r="AI2">
        <f>BDH("KEQU US Equity","IS_DEPR_EXP","1993-06-18","2026-05-02","Per=Y","Days=T","Dir=V")</f>
        <v>0</v>
      </c>
      <c r="AK2">
        <f>BDH("KEQU US Equity","CF_CASH_FROM_OPER","1993-06-18","2026-05-02","Per=Y","Days=T","Dir=V")</f>
        <v>0</v>
      </c>
      <c r="AM2">
        <f>BDH("KEQU US Equity","CAPITAL_EXPEND","1993-06-18","2026-05-02","Per=Y","Days=T","Dir=V")</f>
        <v>0</v>
      </c>
      <c r="AO2">
        <f>BDH("KEQU US Equity","CF_FREE_CASH_FLOW","1993-06-18","2026-05-02","Per=Y","Days=T","Dir=V")</f>
        <v>0</v>
      </c>
      <c r="AQ2">
        <f>BDH("KEQU US Equity","PX_LAST","1993-06-18","2026-05-02","Per=M","Days=T","Dir=V")</f>
        <v>0</v>
      </c>
      <c r="AS2">
        <f>BDH("KEQU US Equity","CUR_MKT_CAP","1993-06-18","2026-05-02","Per=M","Days=T","Dir=V")</f>
        <v>0</v>
      </c>
      <c r="AU2">
        <f>BDH("KEQU US Equity","EQY_SH_OUT","1993-06-18","2026-05-02","Per=M","Days=T","Dir=V")</f>
        <v>0</v>
      </c>
      <c r="AW2">
        <f>BDH("KEQU US Equity","PX_VOLUME","1993-06-18","2026-05-02","Per=M","Days=T","Dir=V")</f>
        <v>0</v>
      </c>
      <c r="AY2">
        <f>BDH("KEQU US Equity","TURNOVER","1993-06-18","2026-05-02","Per=M","Days=T","Dir=V")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BDH("KEX US Equity","BS_TOT_ASSET","1993-06-18","2026-05-02","Per=Y","Days=T","Dir=V")</f>
        <v>0</v>
      </c>
      <c r="C2">
        <f>BDH("KEX US Equity","BS_TOT_LIAB2","1993-06-18","2026-05-02","Per=Y","Days=T","Dir=V")</f>
        <v>0</v>
      </c>
      <c r="E2">
        <f>BDH("KEX US Equity","SHORT_AND_LONG_TERM_DEBT","1993-06-18","2026-05-02","Per=Y","Days=T","Dir=V")</f>
        <v>0</v>
      </c>
      <c r="G2">
        <f>BDH("KEX US Equity","BS_ST_BORROW","1993-06-18","2026-05-02","Per=Y","Days=T","Dir=V")</f>
        <v>0</v>
      </c>
      <c r="I2">
        <f>BDH("KEX US Equity","BS_LT_BORROW","1993-06-18","2026-05-02","Per=Y","Days=T","Dir=V")</f>
        <v>0</v>
      </c>
      <c r="K2">
        <f>BDH("KEX US Equity","BS_CASH_NEAR_CASH_ITEM","1993-06-18","2026-05-02","Per=Y","Days=T","Dir=V")</f>
        <v>0</v>
      </c>
      <c r="M2">
        <f>BDH("KEX US Equity","BS_CUR_ASSET_REPORT","1993-06-18","2026-05-02","Per=Y","Days=T","Dir=V")</f>
        <v>0</v>
      </c>
      <c r="O2">
        <f>BDH("KEX US Equity","BS_CUR_LIAB","1993-06-18","2026-05-02","Per=Y","Days=T","Dir=V")</f>
        <v>0</v>
      </c>
      <c r="Q2">
        <f>BDH("KEX US Equity","BS_SHAREHOLDER_EQY_ENDING_PERIOD","1993-06-18","2026-05-02","Per=Y","Days=T","Dir=V")</f>
        <v>0</v>
      </c>
      <c r="S2">
        <f>BDH("KEX US Equity","BS_ACCT_NOTE_RCV","1993-06-18","2026-05-02","Per=Y","Days=T","Dir=V")</f>
        <v>0</v>
      </c>
      <c r="U2">
        <f>BDH("KEX US Equity","BS_INVENTORIES","1993-06-18","2026-05-02","Per=Y","Days=T","Dir=V")</f>
        <v>0</v>
      </c>
      <c r="W2">
        <f>BDH("KEX US Equity","WORKING_CAPITAL","1993-06-18","2026-05-02","Per=Y","Days=T","Dir=V")</f>
        <v>0</v>
      </c>
      <c r="Y2">
        <f>BDH("KEX US Equity","SALES_REV_TURN","1993-06-18","2026-05-02","Per=Y","Days=T","Dir=V")</f>
        <v>0</v>
      </c>
      <c r="AA2">
        <f>BDH("KEX US Equity","EBIT","1993-06-18","2026-05-02","Per=Y","Days=T","Dir=V")</f>
        <v>0</v>
      </c>
      <c r="AC2">
        <f>BDH("KEX US Equity","EBITDA","1993-06-18","2026-05-02","Per=Y","Days=T","Dir=V")</f>
        <v>0</v>
      </c>
      <c r="AE2">
        <f>BDH("KEX US Equity","NET_INCOME","1993-06-18","2026-05-02","Per=Y","Days=T","Dir=V")</f>
        <v>0</v>
      </c>
      <c r="AG2">
        <f>BDH("KEX US Equity","IS_INT_EXPENSE","1993-06-18","2026-05-02","Per=Y","Days=T","Dir=V")</f>
        <v>0</v>
      </c>
      <c r="AI2">
        <f>BDH("KEX US Equity","IS_DEPR_EXP","1993-06-18","2026-05-02","Per=Y","Days=T","Dir=V")</f>
        <v>0</v>
      </c>
      <c r="AK2">
        <f>BDH("KEX US Equity","CF_CASH_FROM_OPER","1993-06-18","2026-05-02","Per=Y","Days=T","Dir=V")</f>
        <v>0</v>
      </c>
      <c r="AM2">
        <f>BDH("KEX US Equity","CAPITAL_EXPEND","1993-06-18","2026-05-02","Per=Y","Days=T","Dir=V")</f>
        <v>0</v>
      </c>
      <c r="AO2">
        <f>BDH("KEX US Equity","CF_FREE_CASH_FLOW","1993-06-18","2026-05-02","Per=Y","Days=T","Dir=V")</f>
        <v>0</v>
      </c>
      <c r="AQ2">
        <f>BDH("KEX US Equity","PX_LAST","1993-06-18","2026-05-02","Per=M","Days=T","Dir=V")</f>
        <v>0</v>
      </c>
      <c r="AS2">
        <f>BDH("KEX US Equity","CUR_MKT_CAP","1993-06-18","2026-05-02","Per=M","Days=T","Dir=V")</f>
        <v>0</v>
      </c>
      <c r="AU2">
        <f>BDH("KEX US Equity","EQY_SH_OUT","1993-06-18","2026-05-02","Per=M","Days=T","Dir=V")</f>
        <v>0</v>
      </c>
      <c r="AW2">
        <f>BDH("KEX US Equity","PX_VOLUME","1993-06-18","2026-05-02","Per=M","Days=T","Dir=V")</f>
        <v>0</v>
      </c>
      <c r="AY2">
        <f>BDH("KEX US Equity","TURNOVER","1993-06-18","2026-05-02","Per=M","Days=T","Dir=V")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BDH("KEYS US Equity","BS_TOT_ASSET","1993-06-18","2026-05-02","Per=Y","Days=T","Dir=V")</f>
        <v>0</v>
      </c>
      <c r="C2">
        <f>BDH("KEYS US Equity","BS_TOT_LIAB2","1993-06-18","2026-05-02","Per=Y","Days=T","Dir=V")</f>
        <v>0</v>
      </c>
      <c r="E2">
        <f>BDH("KEYS US Equity","SHORT_AND_LONG_TERM_DEBT","1993-06-18","2026-05-02","Per=Y","Days=T","Dir=V")</f>
        <v>0</v>
      </c>
      <c r="G2">
        <f>BDH("KEYS US Equity","BS_ST_BORROW","1993-06-18","2026-05-02","Per=Y","Days=T","Dir=V")</f>
        <v>0</v>
      </c>
      <c r="I2">
        <f>BDH("KEYS US Equity","BS_LT_BORROW","1993-06-18","2026-05-02","Per=Y","Days=T","Dir=V")</f>
        <v>0</v>
      </c>
      <c r="K2">
        <f>BDH("KEYS US Equity","BS_CASH_NEAR_CASH_ITEM","1993-06-18","2026-05-02","Per=Y","Days=T","Dir=V")</f>
        <v>0</v>
      </c>
      <c r="M2">
        <f>BDH("KEYS US Equity","BS_CUR_ASSET_REPORT","1993-06-18","2026-05-02","Per=Y","Days=T","Dir=V")</f>
        <v>0</v>
      </c>
      <c r="O2">
        <f>BDH("KEYS US Equity","BS_CUR_LIAB","1993-06-18","2026-05-02","Per=Y","Days=T","Dir=V")</f>
        <v>0</v>
      </c>
      <c r="Q2">
        <f>BDH("KEYS US Equity","BS_SHAREHOLDER_EQY_ENDING_PERIOD","1993-06-18","2026-05-02","Per=Y","Days=T","Dir=V")</f>
        <v>0</v>
      </c>
      <c r="S2">
        <f>BDH("KEYS US Equity","BS_ACCT_NOTE_RCV","1993-06-18","2026-05-02","Per=Y","Days=T","Dir=V")</f>
        <v>0</v>
      </c>
      <c r="U2">
        <f>BDH("KEYS US Equity","BS_INVENTORIES","1993-06-18","2026-05-02","Per=Y","Days=T","Dir=V")</f>
        <v>0</v>
      </c>
      <c r="W2">
        <f>BDH("KEYS US Equity","WORKING_CAPITAL","1993-06-18","2026-05-02","Per=Y","Days=T","Dir=V")</f>
        <v>0</v>
      </c>
      <c r="Y2">
        <f>BDH("KEYS US Equity","SALES_REV_TURN","1993-06-18","2026-05-02","Per=Y","Days=T","Dir=V")</f>
        <v>0</v>
      </c>
      <c r="AA2">
        <f>BDH("KEYS US Equity","EBIT","1993-06-18","2026-05-02","Per=Y","Days=T","Dir=V")</f>
        <v>0</v>
      </c>
      <c r="AC2">
        <f>BDH("KEYS US Equity","EBITDA","1993-06-18","2026-05-02","Per=Y","Days=T","Dir=V")</f>
        <v>0</v>
      </c>
      <c r="AE2">
        <f>BDH("KEYS US Equity","NET_INCOME","1993-06-18","2026-05-02","Per=Y","Days=T","Dir=V")</f>
        <v>0</v>
      </c>
      <c r="AG2">
        <f>BDH("KEYS US Equity","IS_INT_EXPENSE","1993-06-18","2026-05-02","Per=Y","Days=T","Dir=V")</f>
        <v>0</v>
      </c>
      <c r="AI2">
        <f>BDH("KEYS US Equity","IS_DEPR_EXP","1993-06-18","2026-05-02","Per=Y","Days=T","Dir=V")</f>
        <v>0</v>
      </c>
      <c r="AK2">
        <f>BDH("KEYS US Equity","CF_CASH_FROM_OPER","1993-06-18","2026-05-02","Per=Y","Days=T","Dir=V")</f>
        <v>0</v>
      </c>
      <c r="AM2">
        <f>BDH("KEYS US Equity","CAPITAL_EXPEND","1993-06-18","2026-05-02","Per=Y","Days=T","Dir=V")</f>
        <v>0</v>
      </c>
      <c r="AO2">
        <f>BDH("KEYS US Equity","CF_FREE_CASH_FLOW","1993-06-18","2026-05-02","Per=Y","Days=T","Dir=V")</f>
        <v>0</v>
      </c>
      <c r="AQ2">
        <f>BDH("KEYS US Equity","PX_LAST","1993-06-18","2026-05-02","Per=M","Days=T","Dir=V")</f>
        <v>0</v>
      </c>
      <c r="AS2">
        <f>BDH("KEYS US Equity","CUR_MKT_CAP","1993-06-18","2026-05-02","Per=M","Days=T","Dir=V")</f>
        <v>0</v>
      </c>
      <c r="AU2">
        <f>BDH("KEYS US Equity","EQY_SH_OUT","1993-06-18","2026-05-02","Per=M","Days=T","Dir=V")</f>
        <v>0</v>
      </c>
      <c r="AW2">
        <f>BDH("KEYS US Equity","PX_VOLUME","1993-06-18","2026-05-02","Per=M","Days=T","Dir=V")</f>
        <v>0</v>
      </c>
      <c r="AY2">
        <f>BDH("KEYS US Equity","TURNOVER","1993-06-18","2026-05-02","Per=M","Days=T","Dir=V")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BDH("KFRC US Equity","BS_TOT_ASSET","1993-06-18","2026-05-02","Per=Y","Days=T","Dir=V")</f>
        <v>0</v>
      </c>
      <c r="C2">
        <f>BDH("KFRC US Equity","BS_TOT_LIAB2","1993-06-18","2026-05-02","Per=Y","Days=T","Dir=V")</f>
        <v>0</v>
      </c>
      <c r="E2">
        <f>BDH("KFRC US Equity","SHORT_AND_LONG_TERM_DEBT","1993-06-18","2026-05-02","Per=Y","Days=T","Dir=V")</f>
        <v>0</v>
      </c>
      <c r="G2">
        <f>BDH("KFRC US Equity","BS_ST_BORROW","1993-06-18","2026-05-02","Per=Y","Days=T","Dir=V")</f>
        <v>0</v>
      </c>
      <c r="I2">
        <f>BDH("KFRC US Equity","BS_LT_BORROW","1993-06-18","2026-05-02","Per=Y","Days=T","Dir=V")</f>
        <v>0</v>
      </c>
      <c r="K2">
        <f>BDH("KFRC US Equity","BS_CASH_NEAR_CASH_ITEM","1993-06-18","2026-05-02","Per=Y","Days=T","Dir=V")</f>
        <v>0</v>
      </c>
      <c r="M2">
        <f>BDH("KFRC US Equity","BS_CUR_ASSET_REPORT","1993-06-18","2026-05-02","Per=Y","Days=T","Dir=V")</f>
        <v>0</v>
      </c>
      <c r="O2">
        <f>BDH("KFRC US Equity","BS_CUR_LIAB","1993-06-18","2026-05-02","Per=Y","Days=T","Dir=V")</f>
        <v>0</v>
      </c>
      <c r="Q2">
        <f>BDH("KFRC US Equity","BS_SHAREHOLDER_EQY_ENDING_PERIOD","1993-06-18","2026-05-02","Per=Y","Days=T","Dir=V")</f>
        <v>0</v>
      </c>
      <c r="S2">
        <f>BDH("KFRC US Equity","BS_ACCT_NOTE_RCV","1993-06-18","2026-05-02","Per=Y","Days=T","Dir=V")</f>
        <v>0</v>
      </c>
      <c r="U2">
        <f>BDH("KFRC US Equity","BS_INVENTORIES","1993-06-18","2026-05-02","Per=Y","Days=T","Dir=V")</f>
        <v>0</v>
      </c>
      <c r="W2">
        <f>BDH("KFRC US Equity","WORKING_CAPITAL","1993-06-18","2026-05-02","Per=Y","Days=T","Dir=V")</f>
        <v>0</v>
      </c>
      <c r="Y2">
        <f>BDH("KFRC US Equity","SALES_REV_TURN","1993-06-18","2026-05-02","Per=Y","Days=T","Dir=V")</f>
        <v>0</v>
      </c>
      <c r="AA2">
        <f>BDH("KFRC US Equity","EBIT","1993-06-18","2026-05-02","Per=Y","Days=T","Dir=V")</f>
        <v>0</v>
      </c>
      <c r="AC2">
        <f>BDH("KFRC US Equity","EBITDA","1993-06-18","2026-05-02","Per=Y","Days=T","Dir=V")</f>
        <v>0</v>
      </c>
      <c r="AE2">
        <f>BDH("KFRC US Equity","NET_INCOME","1993-06-18","2026-05-02","Per=Y","Days=T","Dir=V")</f>
        <v>0</v>
      </c>
      <c r="AG2">
        <f>BDH("KFRC US Equity","IS_INT_EXPENSE","1993-06-18","2026-05-02","Per=Y","Days=T","Dir=V")</f>
        <v>0</v>
      </c>
      <c r="AI2">
        <f>BDH("KFRC US Equity","IS_DEPR_EXP","1993-06-18","2026-05-02","Per=Y","Days=T","Dir=V")</f>
        <v>0</v>
      </c>
      <c r="AK2">
        <f>BDH("KFRC US Equity","CF_CASH_FROM_OPER","1993-06-18","2026-05-02","Per=Y","Days=T","Dir=V")</f>
        <v>0</v>
      </c>
      <c r="AM2">
        <f>BDH("KFRC US Equity","CAPITAL_EXPEND","1993-06-18","2026-05-02","Per=Y","Days=T","Dir=V")</f>
        <v>0</v>
      </c>
      <c r="AO2">
        <f>BDH("KFRC US Equity","CF_FREE_CASH_FLOW","1993-06-18","2026-05-02","Per=Y","Days=T","Dir=V")</f>
        <v>0</v>
      </c>
      <c r="AQ2">
        <f>BDH("KFRC US Equity","PX_LAST","1993-06-18","2026-05-02","Per=M","Days=T","Dir=V")</f>
        <v>0</v>
      </c>
      <c r="AS2">
        <f>BDH("KFRC US Equity","CUR_MKT_CAP","1993-06-18","2026-05-02","Per=M","Days=T","Dir=V")</f>
        <v>0</v>
      </c>
      <c r="AU2">
        <f>BDH("KFRC US Equity","EQY_SH_OUT","1993-06-18","2026-05-02","Per=M","Days=T","Dir=V")</f>
        <v>0</v>
      </c>
      <c r="AW2">
        <f>BDH("KFRC US Equity","PX_VOLUME","1993-06-18","2026-05-02","Per=M","Days=T","Dir=V")</f>
        <v>0</v>
      </c>
      <c r="AY2">
        <f>BDH("KFRC US Equity","TURNOVER","1993-06-18","2026-05-02","Per=M","Days=T","Dir=V")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BDH("KFY US Equity","BS_TOT_ASSET","1993-06-18","2026-05-02","Per=Y","Days=T","Dir=V")</f>
        <v>0</v>
      </c>
      <c r="C2">
        <f>BDH("KFY US Equity","BS_TOT_LIAB2","1993-06-18","2026-05-02","Per=Y","Days=T","Dir=V")</f>
        <v>0</v>
      </c>
      <c r="E2">
        <f>BDH("KFY US Equity","SHORT_AND_LONG_TERM_DEBT","1993-06-18","2026-05-02","Per=Y","Days=T","Dir=V")</f>
        <v>0</v>
      </c>
      <c r="G2">
        <f>BDH("KFY US Equity","BS_ST_BORROW","1993-06-18","2026-05-02","Per=Y","Days=T","Dir=V")</f>
        <v>0</v>
      </c>
      <c r="I2">
        <f>BDH("KFY US Equity","BS_LT_BORROW","1993-06-18","2026-05-02","Per=Y","Days=T","Dir=V")</f>
        <v>0</v>
      </c>
      <c r="K2">
        <f>BDH("KFY US Equity","BS_CASH_NEAR_CASH_ITEM","1993-06-18","2026-05-02","Per=Y","Days=T","Dir=V")</f>
        <v>0</v>
      </c>
      <c r="M2">
        <f>BDH("KFY US Equity","BS_CUR_ASSET_REPORT","1993-06-18","2026-05-02","Per=Y","Days=T","Dir=V")</f>
        <v>0</v>
      </c>
      <c r="O2">
        <f>BDH("KFY US Equity","BS_CUR_LIAB","1993-06-18","2026-05-02","Per=Y","Days=T","Dir=V")</f>
        <v>0</v>
      </c>
      <c r="Q2">
        <f>BDH("KFY US Equity","BS_SHAREHOLDER_EQY_ENDING_PERIOD","1993-06-18","2026-05-02","Per=Y","Days=T","Dir=V")</f>
        <v>0</v>
      </c>
      <c r="S2">
        <f>BDH("KFY US Equity","BS_ACCT_NOTE_RCV","1993-06-18","2026-05-02","Per=Y","Days=T","Dir=V")</f>
        <v>0</v>
      </c>
      <c r="U2">
        <f>BDH("KFY US Equity","BS_INVENTORIES","1993-06-18","2026-05-02","Per=Y","Days=T","Dir=V")</f>
        <v>0</v>
      </c>
      <c r="W2">
        <f>BDH("KFY US Equity","WORKING_CAPITAL","1993-06-18","2026-05-02","Per=Y","Days=T","Dir=V")</f>
        <v>0</v>
      </c>
      <c r="Y2">
        <f>BDH("KFY US Equity","SALES_REV_TURN","1993-06-18","2026-05-02","Per=Y","Days=T","Dir=V")</f>
        <v>0</v>
      </c>
      <c r="AA2">
        <f>BDH("KFY US Equity","EBIT","1993-06-18","2026-05-02","Per=Y","Days=T","Dir=V")</f>
        <v>0</v>
      </c>
      <c r="AC2">
        <f>BDH("KFY US Equity","EBITDA","1993-06-18","2026-05-02","Per=Y","Days=T","Dir=V")</f>
        <v>0</v>
      </c>
      <c r="AE2">
        <f>BDH("KFY US Equity","NET_INCOME","1993-06-18","2026-05-02","Per=Y","Days=T","Dir=V")</f>
        <v>0</v>
      </c>
      <c r="AG2">
        <f>BDH("KFY US Equity","IS_INT_EXPENSE","1993-06-18","2026-05-02","Per=Y","Days=T","Dir=V")</f>
        <v>0</v>
      </c>
      <c r="AI2">
        <f>BDH("KFY US Equity","IS_DEPR_EXP","1993-06-18","2026-05-02","Per=Y","Days=T","Dir=V")</f>
        <v>0</v>
      </c>
      <c r="AK2">
        <f>BDH("KFY US Equity","CF_CASH_FROM_OPER","1993-06-18","2026-05-02","Per=Y","Days=T","Dir=V")</f>
        <v>0</v>
      </c>
      <c r="AM2">
        <f>BDH("KFY US Equity","CAPITAL_EXPEND","1993-06-18","2026-05-02","Per=Y","Days=T","Dir=V")</f>
        <v>0</v>
      </c>
      <c r="AO2">
        <f>BDH("KFY US Equity","CF_FREE_CASH_FLOW","1993-06-18","2026-05-02","Per=Y","Days=T","Dir=V")</f>
        <v>0</v>
      </c>
      <c r="AQ2">
        <f>BDH("KFY US Equity","PX_LAST","1993-06-18","2026-05-02","Per=M","Days=T","Dir=V")</f>
        <v>0</v>
      </c>
      <c r="AS2">
        <f>BDH("KFY US Equity","CUR_MKT_CAP","1993-06-18","2026-05-02","Per=M","Days=T","Dir=V")</f>
        <v>0</v>
      </c>
      <c r="AU2">
        <f>BDH("KFY US Equity","EQY_SH_OUT","1993-06-18","2026-05-02","Per=M","Days=T","Dir=V")</f>
        <v>0</v>
      </c>
      <c r="AW2">
        <f>BDH("KFY US Equity","PX_VOLUME","1993-06-18","2026-05-02","Per=M","Days=T","Dir=V")</f>
        <v>0</v>
      </c>
      <c r="AY2">
        <f>BDH("KFY US Equity","TURNOVER","1993-06-18","2026-05-02","Per=M","Days=T","Dir=V")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BDH("KGEI US Equity","BS_TOT_ASSET","1993-06-18","2026-05-02","Per=Y","Days=T","Dir=V")</f>
        <v>0</v>
      </c>
      <c r="C2">
        <f>BDH("KGEI US Equity","BS_TOT_LIAB2","1993-06-18","2026-05-02","Per=Y","Days=T","Dir=V")</f>
        <v>0</v>
      </c>
      <c r="E2">
        <f>BDH("KGEI US Equity","SHORT_AND_LONG_TERM_DEBT","1993-06-18","2026-05-02","Per=Y","Days=T","Dir=V")</f>
        <v>0</v>
      </c>
      <c r="G2">
        <f>BDH("KGEI US Equity","BS_ST_BORROW","1993-06-18","2026-05-02","Per=Y","Days=T","Dir=V")</f>
        <v>0</v>
      </c>
      <c r="I2">
        <f>BDH("KGEI US Equity","BS_LT_BORROW","1993-06-18","2026-05-02","Per=Y","Days=T","Dir=V")</f>
        <v>0</v>
      </c>
      <c r="K2">
        <f>BDH("KGEI US Equity","BS_CASH_NEAR_CASH_ITEM","1993-06-18","2026-05-02","Per=Y","Days=T","Dir=V")</f>
        <v>0</v>
      </c>
      <c r="M2">
        <f>BDH("KGEI US Equity","BS_CUR_ASSET_REPORT","1993-06-18","2026-05-02","Per=Y","Days=T","Dir=V")</f>
        <v>0</v>
      </c>
      <c r="O2">
        <f>BDH("KGEI US Equity","BS_CUR_LIAB","1993-06-18","2026-05-02","Per=Y","Days=T","Dir=V")</f>
        <v>0</v>
      </c>
      <c r="Q2">
        <f>BDH("KGEI US Equity","BS_SHAREHOLDER_EQY_ENDING_PERIOD","1993-06-18","2026-05-02","Per=Y","Days=T","Dir=V")</f>
        <v>0</v>
      </c>
      <c r="S2">
        <f>BDH("KGEI US Equity","BS_ACCT_NOTE_RCV","1993-06-18","2026-05-02","Per=Y","Days=T","Dir=V")</f>
        <v>0</v>
      </c>
      <c r="U2">
        <f>BDH("KGEI US Equity","BS_INVENTORIES","1993-06-18","2026-05-02","Per=Y","Days=T","Dir=V")</f>
        <v>0</v>
      </c>
      <c r="W2">
        <f>BDH("KGEI US Equity","WORKING_CAPITAL","1993-06-18","2026-05-02","Per=Y","Days=T","Dir=V")</f>
        <v>0</v>
      </c>
      <c r="Y2">
        <f>BDH("KGEI US Equity","SALES_REV_TURN","1993-06-18","2026-05-02","Per=Y","Days=T","Dir=V")</f>
        <v>0</v>
      </c>
      <c r="AA2">
        <f>BDH("KGEI US Equity","EBIT","1993-06-18","2026-05-02","Per=Y","Days=T","Dir=V")</f>
        <v>0</v>
      </c>
      <c r="AC2">
        <f>BDH("KGEI US Equity","EBITDA","1993-06-18","2026-05-02","Per=Y","Days=T","Dir=V")</f>
        <v>0</v>
      </c>
      <c r="AE2">
        <f>BDH("KGEI US Equity","NET_INCOME","1993-06-18","2026-05-02","Per=Y","Days=T","Dir=V")</f>
        <v>0</v>
      </c>
      <c r="AG2">
        <f>BDH("KGEI US Equity","IS_INT_EXPENSE","1993-06-18","2026-05-02","Per=Y","Days=T","Dir=V")</f>
        <v>0</v>
      </c>
      <c r="AI2">
        <f>BDH("KGEI US Equity","IS_DEPR_EXP","1993-06-18","2026-05-02","Per=Y","Days=T","Dir=V")</f>
        <v>0</v>
      </c>
      <c r="AK2">
        <f>BDH("KGEI US Equity","CF_CASH_FROM_OPER","1993-06-18","2026-05-02","Per=Y","Days=T","Dir=V")</f>
        <v>0</v>
      </c>
      <c r="AM2">
        <f>BDH("KGEI US Equity","CAPITAL_EXPEND","1993-06-18","2026-05-02","Per=Y","Days=T","Dir=V")</f>
        <v>0</v>
      </c>
      <c r="AO2">
        <f>BDH("KGEI US Equity","CF_FREE_CASH_FLOW","1993-06-18","2026-05-02","Per=Y","Days=T","Dir=V")</f>
        <v>0</v>
      </c>
      <c r="AQ2">
        <f>BDH("KGEI US Equity","PX_LAST","1993-06-18","2026-05-02","Per=M","Days=T","Dir=V")</f>
        <v>0</v>
      </c>
      <c r="AS2">
        <f>BDH("KGEI US Equity","CUR_MKT_CAP","1993-06-18","2026-05-02","Per=M","Days=T","Dir=V")</f>
        <v>0</v>
      </c>
      <c r="AU2">
        <f>BDH("KGEI US Equity","EQY_SH_OUT","1993-06-18","2026-05-02","Per=M","Days=T","Dir=V")</f>
        <v>0</v>
      </c>
      <c r="AW2">
        <f>BDH("KGEI US Equity","PX_VOLUME","1993-06-18","2026-05-02","Per=M","Days=T","Dir=V")</f>
        <v>0</v>
      </c>
      <c r="AY2">
        <f>BDH("KGEI US Equity","TURNOVER","1993-06-18","2026-05-02","Per=M","Days=T","Dir=V")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BDH("KGS US Equity","BS_TOT_ASSET","1993-06-18","2026-05-02","Per=Y","Days=T","Dir=V")</f>
        <v>0</v>
      </c>
      <c r="C2">
        <f>BDH("KGS US Equity","BS_TOT_LIAB2","1993-06-18","2026-05-02","Per=Y","Days=T","Dir=V")</f>
        <v>0</v>
      </c>
      <c r="E2">
        <f>BDH("KGS US Equity","SHORT_AND_LONG_TERM_DEBT","1993-06-18","2026-05-02","Per=Y","Days=T","Dir=V")</f>
        <v>0</v>
      </c>
      <c r="G2">
        <f>BDH("KGS US Equity","BS_ST_BORROW","1993-06-18","2026-05-02","Per=Y","Days=T","Dir=V")</f>
        <v>0</v>
      </c>
      <c r="I2">
        <f>BDH("KGS US Equity","BS_LT_BORROW","1993-06-18","2026-05-02","Per=Y","Days=T","Dir=V")</f>
        <v>0</v>
      </c>
      <c r="K2">
        <f>BDH("KGS US Equity","BS_CASH_NEAR_CASH_ITEM","1993-06-18","2026-05-02","Per=Y","Days=T","Dir=V")</f>
        <v>0</v>
      </c>
      <c r="M2">
        <f>BDH("KGS US Equity","BS_CUR_ASSET_REPORT","1993-06-18","2026-05-02","Per=Y","Days=T","Dir=V")</f>
        <v>0</v>
      </c>
      <c r="O2">
        <f>BDH("KGS US Equity","BS_CUR_LIAB","1993-06-18","2026-05-02","Per=Y","Days=T","Dir=V")</f>
        <v>0</v>
      </c>
      <c r="Q2">
        <f>BDH("KGS US Equity","BS_SHAREHOLDER_EQY_ENDING_PERIOD","1993-06-18","2026-05-02","Per=Y","Days=T","Dir=V")</f>
        <v>0</v>
      </c>
      <c r="S2">
        <f>BDH("KGS US Equity","BS_ACCT_NOTE_RCV","1993-06-18","2026-05-02","Per=Y","Days=T","Dir=V")</f>
        <v>0</v>
      </c>
      <c r="U2">
        <f>BDH("KGS US Equity","BS_INVENTORIES","1993-06-18","2026-05-02","Per=Y","Days=T","Dir=V")</f>
        <v>0</v>
      </c>
      <c r="W2">
        <f>BDH("KGS US Equity","WORKING_CAPITAL","1993-06-18","2026-05-02","Per=Y","Days=T","Dir=V")</f>
        <v>0</v>
      </c>
      <c r="Y2">
        <f>BDH("KGS US Equity","SALES_REV_TURN","1993-06-18","2026-05-02","Per=Y","Days=T","Dir=V")</f>
        <v>0</v>
      </c>
      <c r="AA2">
        <f>BDH("KGS US Equity","EBIT","1993-06-18","2026-05-02","Per=Y","Days=T","Dir=V")</f>
        <v>0</v>
      </c>
      <c r="AC2">
        <f>BDH("KGS US Equity","EBITDA","1993-06-18","2026-05-02","Per=Y","Days=T","Dir=V")</f>
        <v>0</v>
      </c>
      <c r="AE2">
        <f>BDH("KGS US Equity","NET_INCOME","1993-06-18","2026-05-02","Per=Y","Days=T","Dir=V")</f>
        <v>0</v>
      </c>
      <c r="AG2">
        <f>BDH("KGS US Equity","IS_INT_EXPENSE","1993-06-18","2026-05-02","Per=Y","Days=T","Dir=V")</f>
        <v>0</v>
      </c>
      <c r="AI2">
        <f>BDH("KGS US Equity","IS_DEPR_EXP","1993-06-18","2026-05-02","Per=Y","Days=T","Dir=V")</f>
        <v>0</v>
      </c>
      <c r="AK2">
        <f>BDH("KGS US Equity","CF_CASH_FROM_OPER","1993-06-18","2026-05-02","Per=Y","Days=T","Dir=V")</f>
        <v>0</v>
      </c>
      <c r="AM2">
        <f>BDH("KGS US Equity","CAPITAL_EXPEND","1993-06-18","2026-05-02","Per=Y","Days=T","Dir=V")</f>
        <v>0</v>
      </c>
      <c r="AO2">
        <f>BDH("KGS US Equity","CF_FREE_CASH_FLOW","1993-06-18","2026-05-02","Per=Y","Days=T","Dir=V")</f>
        <v>0</v>
      </c>
      <c r="AQ2">
        <f>BDH("KGS US Equity","PX_LAST","1993-06-18","2026-05-02","Per=M","Days=T","Dir=V")</f>
        <v>0</v>
      </c>
      <c r="AS2">
        <f>BDH("KGS US Equity","CUR_MKT_CAP","1993-06-18","2026-05-02","Per=M","Days=T","Dir=V")</f>
        <v>0</v>
      </c>
      <c r="AU2">
        <f>BDH("KGS US Equity","EQY_SH_OUT","1993-06-18","2026-05-02","Per=M","Days=T","Dir=V")</f>
        <v>0</v>
      </c>
      <c r="AW2">
        <f>BDH("KGS US Equity","PX_VOLUME","1993-06-18","2026-05-02","Per=M","Days=T","Dir=V")</f>
        <v>0</v>
      </c>
      <c r="AY2">
        <f>BDH("KGS US Equity","TURNOVER","1993-06-18","2026-05-02","Per=M","Days=T","Dir=V")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BDH("KHC US Equity","BS_TOT_ASSET","1993-06-18","2026-05-02","Per=Y","Days=T","Dir=V")</f>
        <v>0</v>
      </c>
      <c r="C2">
        <f>BDH("KHC US Equity","BS_TOT_LIAB2","1993-06-18","2026-05-02","Per=Y","Days=T","Dir=V")</f>
        <v>0</v>
      </c>
      <c r="E2">
        <f>BDH("KHC US Equity","SHORT_AND_LONG_TERM_DEBT","1993-06-18","2026-05-02","Per=Y","Days=T","Dir=V")</f>
        <v>0</v>
      </c>
      <c r="G2">
        <f>BDH("KHC US Equity","BS_ST_BORROW","1993-06-18","2026-05-02","Per=Y","Days=T","Dir=V")</f>
        <v>0</v>
      </c>
      <c r="I2">
        <f>BDH("KHC US Equity","BS_LT_BORROW","1993-06-18","2026-05-02","Per=Y","Days=T","Dir=V")</f>
        <v>0</v>
      </c>
      <c r="K2">
        <f>BDH("KHC US Equity","BS_CASH_NEAR_CASH_ITEM","1993-06-18","2026-05-02","Per=Y","Days=T","Dir=V")</f>
        <v>0</v>
      </c>
      <c r="M2">
        <f>BDH("KHC US Equity","BS_CUR_ASSET_REPORT","1993-06-18","2026-05-02","Per=Y","Days=T","Dir=V")</f>
        <v>0</v>
      </c>
      <c r="O2">
        <f>BDH("KHC US Equity","BS_CUR_LIAB","1993-06-18","2026-05-02","Per=Y","Days=T","Dir=V")</f>
        <v>0</v>
      </c>
      <c r="Q2">
        <f>BDH("KHC US Equity","BS_SHAREHOLDER_EQY_ENDING_PERIOD","1993-06-18","2026-05-02","Per=Y","Days=T","Dir=V")</f>
        <v>0</v>
      </c>
      <c r="S2">
        <f>BDH("KHC US Equity","BS_ACCT_NOTE_RCV","1993-06-18","2026-05-02","Per=Y","Days=T","Dir=V")</f>
        <v>0</v>
      </c>
      <c r="U2">
        <f>BDH("KHC US Equity","BS_INVENTORIES","1993-06-18","2026-05-02","Per=Y","Days=T","Dir=V")</f>
        <v>0</v>
      </c>
      <c r="W2">
        <f>BDH("KHC US Equity","WORKING_CAPITAL","1993-06-18","2026-05-02","Per=Y","Days=T","Dir=V")</f>
        <v>0</v>
      </c>
      <c r="Y2">
        <f>BDH("KHC US Equity","SALES_REV_TURN","1993-06-18","2026-05-02","Per=Y","Days=T","Dir=V")</f>
        <v>0</v>
      </c>
      <c r="AA2">
        <f>BDH("KHC US Equity","EBIT","1993-06-18","2026-05-02","Per=Y","Days=T","Dir=V")</f>
        <v>0</v>
      </c>
      <c r="AC2">
        <f>BDH("KHC US Equity","EBITDA","1993-06-18","2026-05-02","Per=Y","Days=T","Dir=V")</f>
        <v>0</v>
      </c>
      <c r="AE2">
        <f>BDH("KHC US Equity","NET_INCOME","1993-06-18","2026-05-02","Per=Y","Days=T","Dir=V")</f>
        <v>0</v>
      </c>
      <c r="AG2">
        <f>BDH("KHC US Equity","IS_INT_EXPENSE","1993-06-18","2026-05-02","Per=Y","Days=T","Dir=V")</f>
        <v>0</v>
      </c>
      <c r="AI2">
        <f>BDH("KHC US Equity","IS_DEPR_EXP","1993-06-18","2026-05-02","Per=Y","Days=T","Dir=V")</f>
        <v>0</v>
      </c>
      <c r="AK2">
        <f>BDH("KHC US Equity","CF_CASH_FROM_OPER","1993-06-18","2026-05-02","Per=Y","Days=T","Dir=V")</f>
        <v>0</v>
      </c>
      <c r="AM2">
        <f>BDH("KHC US Equity","CAPITAL_EXPEND","1993-06-18","2026-05-02","Per=Y","Days=T","Dir=V")</f>
        <v>0</v>
      </c>
      <c r="AO2">
        <f>BDH("KHC US Equity","CF_FREE_CASH_FLOW","1993-06-18","2026-05-02","Per=Y","Days=T","Dir=V")</f>
        <v>0</v>
      </c>
      <c r="AQ2">
        <f>BDH("KHC US Equity","PX_LAST","1993-06-18","2026-05-02","Per=M","Days=T","Dir=V")</f>
        <v>0</v>
      </c>
      <c r="AS2">
        <f>BDH("KHC US Equity","CUR_MKT_CAP","1993-06-18","2026-05-02","Per=M","Days=T","Dir=V")</f>
        <v>0</v>
      </c>
      <c r="AU2">
        <f>BDH("KHC US Equity","EQY_SH_OUT","1993-06-18","2026-05-02","Per=M","Days=T","Dir=V")</f>
        <v>0</v>
      </c>
      <c r="AW2">
        <f>BDH("KHC US Equity","PX_VOLUME","1993-06-18","2026-05-02","Per=M","Days=T","Dir=V")</f>
        <v>0</v>
      </c>
      <c r="AY2">
        <f>BDH("KHC US Equity","TURNOVER","1993-06-18","2026-05-02","Per=M","Days=T","Dir=V")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BDH("KIDS US Equity","BS_TOT_ASSET","1993-06-18","2026-05-02","Per=Y","Days=T","Dir=V")</f>
        <v>0</v>
      </c>
      <c r="C2">
        <f>BDH("KIDS US Equity","BS_TOT_LIAB2","1993-06-18","2026-05-02","Per=Y","Days=T","Dir=V")</f>
        <v>0</v>
      </c>
      <c r="E2">
        <f>BDH("KIDS US Equity","SHORT_AND_LONG_TERM_DEBT","1993-06-18","2026-05-02","Per=Y","Days=T","Dir=V")</f>
        <v>0</v>
      </c>
      <c r="G2">
        <f>BDH("KIDS US Equity","BS_ST_BORROW","1993-06-18","2026-05-02","Per=Y","Days=T","Dir=V")</f>
        <v>0</v>
      </c>
      <c r="I2">
        <f>BDH("KIDS US Equity","BS_LT_BORROW","1993-06-18","2026-05-02","Per=Y","Days=T","Dir=V")</f>
        <v>0</v>
      </c>
      <c r="K2">
        <f>BDH("KIDS US Equity","BS_CASH_NEAR_CASH_ITEM","1993-06-18","2026-05-02","Per=Y","Days=T","Dir=V")</f>
        <v>0</v>
      </c>
      <c r="M2">
        <f>BDH("KIDS US Equity","BS_CUR_ASSET_REPORT","1993-06-18","2026-05-02","Per=Y","Days=T","Dir=V")</f>
        <v>0</v>
      </c>
      <c r="O2">
        <f>BDH("KIDS US Equity","BS_CUR_LIAB","1993-06-18","2026-05-02","Per=Y","Days=T","Dir=V")</f>
        <v>0</v>
      </c>
      <c r="Q2">
        <f>BDH("KIDS US Equity","BS_SHAREHOLDER_EQY_ENDING_PERIOD","1993-06-18","2026-05-02","Per=Y","Days=T","Dir=V")</f>
        <v>0</v>
      </c>
      <c r="S2">
        <f>BDH("KIDS US Equity","BS_ACCT_NOTE_RCV","1993-06-18","2026-05-02","Per=Y","Days=T","Dir=V")</f>
        <v>0</v>
      </c>
      <c r="U2">
        <f>BDH("KIDS US Equity","BS_INVENTORIES","1993-06-18","2026-05-02","Per=Y","Days=T","Dir=V")</f>
        <v>0</v>
      </c>
      <c r="W2">
        <f>BDH("KIDS US Equity","WORKING_CAPITAL","1993-06-18","2026-05-02","Per=Y","Days=T","Dir=V")</f>
        <v>0</v>
      </c>
      <c r="Y2">
        <f>BDH("KIDS US Equity","SALES_REV_TURN","1993-06-18","2026-05-02","Per=Y","Days=T","Dir=V")</f>
        <v>0</v>
      </c>
      <c r="AA2">
        <f>BDH("KIDS US Equity","EBIT","1993-06-18","2026-05-02","Per=Y","Days=T","Dir=V")</f>
        <v>0</v>
      </c>
      <c r="AC2">
        <f>BDH("KIDS US Equity","EBITDA","1993-06-18","2026-05-02","Per=Y","Days=T","Dir=V")</f>
        <v>0</v>
      </c>
      <c r="AE2">
        <f>BDH("KIDS US Equity","NET_INCOME","1993-06-18","2026-05-02","Per=Y","Days=T","Dir=V")</f>
        <v>0</v>
      </c>
      <c r="AG2">
        <f>BDH("KIDS US Equity","IS_INT_EXPENSE","1993-06-18","2026-05-02","Per=Y","Days=T","Dir=V")</f>
        <v>0</v>
      </c>
      <c r="AI2">
        <f>BDH("KIDS US Equity","IS_DEPR_EXP","1993-06-18","2026-05-02","Per=Y","Days=T","Dir=V")</f>
        <v>0</v>
      </c>
      <c r="AK2">
        <f>BDH("KIDS US Equity","CF_CASH_FROM_OPER","1993-06-18","2026-05-02","Per=Y","Days=T","Dir=V")</f>
        <v>0</v>
      </c>
      <c r="AM2">
        <f>BDH("KIDS US Equity","CAPITAL_EXPEND","1993-06-18","2026-05-02","Per=Y","Days=T","Dir=V")</f>
        <v>0</v>
      </c>
      <c r="AO2">
        <f>BDH("KIDS US Equity","CF_FREE_CASH_FLOW","1993-06-18","2026-05-02","Per=Y","Days=T","Dir=V")</f>
        <v>0</v>
      </c>
      <c r="AQ2">
        <f>BDH("KIDS US Equity","PX_LAST","1993-06-18","2026-05-02","Per=M","Days=T","Dir=V")</f>
        <v>0</v>
      </c>
      <c r="AS2">
        <f>BDH("KIDS US Equity","CUR_MKT_CAP","1993-06-18","2026-05-02","Per=M","Days=T","Dir=V")</f>
        <v>0</v>
      </c>
      <c r="AU2">
        <f>BDH("KIDS US Equity","EQY_SH_OUT","1993-06-18","2026-05-02","Per=M","Days=T","Dir=V")</f>
        <v>0</v>
      </c>
      <c r="AW2">
        <f>BDH("KIDS US Equity","PX_VOLUME","1993-06-18","2026-05-02","Per=M","Days=T","Dir=V")</f>
        <v>0</v>
      </c>
      <c r="AY2">
        <f>BDH("KIDS US Equity","TURNOVER","1993-06-18","2026-05-02","Per=M","Days=T","Dir=V")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BDH("KITT US Equity","BS_TOT_ASSET","1993-06-18","2026-05-02","Per=Y","Days=T","Dir=V")</f>
        <v>0</v>
      </c>
      <c r="C2">
        <f>BDH("KITT US Equity","BS_TOT_LIAB2","1993-06-18","2026-05-02","Per=Y","Days=T","Dir=V")</f>
        <v>0</v>
      </c>
      <c r="E2">
        <f>BDH("KITT US Equity","SHORT_AND_LONG_TERM_DEBT","1993-06-18","2026-05-02","Per=Y","Days=T","Dir=V")</f>
        <v>0</v>
      </c>
      <c r="G2">
        <f>BDH("KITT US Equity","BS_ST_BORROW","1993-06-18","2026-05-02","Per=Y","Days=T","Dir=V")</f>
        <v>0</v>
      </c>
      <c r="I2">
        <f>BDH("KITT US Equity","BS_LT_BORROW","1993-06-18","2026-05-02","Per=Y","Days=T","Dir=V")</f>
        <v>0</v>
      </c>
      <c r="K2">
        <f>BDH("KITT US Equity","BS_CASH_NEAR_CASH_ITEM","1993-06-18","2026-05-02","Per=Y","Days=T","Dir=V")</f>
        <v>0</v>
      </c>
      <c r="M2">
        <f>BDH("KITT US Equity","BS_CUR_ASSET_REPORT","1993-06-18","2026-05-02","Per=Y","Days=T","Dir=V")</f>
        <v>0</v>
      </c>
      <c r="O2">
        <f>BDH("KITT US Equity","BS_CUR_LIAB","1993-06-18","2026-05-02","Per=Y","Days=T","Dir=V")</f>
        <v>0</v>
      </c>
      <c r="Q2">
        <f>BDH("KITT US Equity","BS_SHAREHOLDER_EQY_ENDING_PERIOD","1993-06-18","2026-05-02","Per=Y","Days=T","Dir=V")</f>
        <v>0</v>
      </c>
      <c r="S2">
        <f>BDH("KITT US Equity","BS_ACCT_NOTE_RCV","1993-06-18","2026-05-02","Per=Y","Days=T","Dir=V")</f>
        <v>0</v>
      </c>
      <c r="U2">
        <f>BDH("KITT US Equity","BS_INVENTORIES","1993-06-18","2026-05-02","Per=Y","Days=T","Dir=V")</f>
        <v>0</v>
      </c>
      <c r="W2">
        <f>BDH("KITT US Equity","WORKING_CAPITAL","1993-06-18","2026-05-02","Per=Y","Days=T","Dir=V")</f>
        <v>0</v>
      </c>
      <c r="Y2">
        <f>BDH("KITT US Equity","SALES_REV_TURN","1993-06-18","2026-05-02","Per=Y","Days=T","Dir=V")</f>
        <v>0</v>
      </c>
      <c r="AA2">
        <f>BDH("KITT US Equity","EBIT","1993-06-18","2026-05-02","Per=Y","Days=T","Dir=V")</f>
        <v>0</v>
      </c>
      <c r="AC2">
        <f>BDH("KITT US Equity","EBITDA","1993-06-18","2026-05-02","Per=Y","Days=T","Dir=V")</f>
        <v>0</v>
      </c>
      <c r="AE2">
        <f>BDH("KITT US Equity","NET_INCOME","1993-06-18","2026-05-02","Per=Y","Days=T","Dir=V")</f>
        <v>0</v>
      </c>
      <c r="AG2">
        <f>BDH("KITT US Equity","IS_INT_EXPENSE","1993-06-18","2026-05-02","Per=Y","Days=T","Dir=V")</f>
        <v>0</v>
      </c>
      <c r="AI2">
        <f>BDH("KITT US Equity","IS_DEPR_EXP","1993-06-18","2026-05-02","Per=Y","Days=T","Dir=V")</f>
        <v>0</v>
      </c>
      <c r="AK2">
        <f>BDH("KITT US Equity","CF_CASH_FROM_OPER","1993-06-18","2026-05-02","Per=Y","Days=T","Dir=V")</f>
        <v>0</v>
      </c>
      <c r="AM2">
        <f>BDH("KITT US Equity","CAPITAL_EXPEND","1993-06-18","2026-05-02","Per=Y","Days=T","Dir=V")</f>
        <v>0</v>
      </c>
      <c r="AO2">
        <f>BDH("KITT US Equity","CF_FREE_CASH_FLOW","1993-06-18","2026-05-02","Per=Y","Days=T","Dir=V")</f>
        <v>0</v>
      </c>
      <c r="AQ2">
        <f>BDH("KITT US Equity","PX_LAST","1993-06-18","2026-05-02","Per=M","Days=T","Dir=V")</f>
        <v>0</v>
      </c>
      <c r="AS2">
        <f>BDH("KITT US Equity","CUR_MKT_CAP","1993-06-18","2026-05-02","Per=M","Days=T","Dir=V")</f>
        <v>0</v>
      </c>
      <c r="AU2">
        <f>BDH("KITT US Equity","EQY_SH_OUT","1993-06-18","2026-05-02","Per=M","Days=T","Dir=V")</f>
        <v>0</v>
      </c>
      <c r="AW2">
        <f>BDH("KITT US Equity","PX_VOLUME","1993-06-18","2026-05-02","Per=M","Days=T","Dir=V")</f>
        <v>0</v>
      </c>
      <c r="AY2">
        <f>BDH("KITT US Equity","TURNOVER","1993-06-18","2026-05-02","Per=M","Days=T","Dir=V")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BDH("KITTW US Equity","BS_TOT_ASSET","1993-06-18","2026-05-02","Per=Y","Days=T","Dir=V")</f>
        <v>0</v>
      </c>
      <c r="C2">
        <f>BDH("KITTW US Equity","BS_TOT_LIAB2","1993-06-18","2026-05-02","Per=Y","Days=T","Dir=V")</f>
        <v>0</v>
      </c>
      <c r="E2">
        <f>BDH("KITTW US Equity","SHORT_AND_LONG_TERM_DEBT","1993-06-18","2026-05-02","Per=Y","Days=T","Dir=V")</f>
        <v>0</v>
      </c>
      <c r="G2">
        <f>BDH("KITTW US Equity","BS_ST_BORROW","1993-06-18","2026-05-02","Per=Y","Days=T","Dir=V")</f>
        <v>0</v>
      </c>
      <c r="I2">
        <f>BDH("KITTW US Equity","BS_LT_BORROW","1993-06-18","2026-05-02","Per=Y","Days=T","Dir=V")</f>
        <v>0</v>
      </c>
      <c r="K2">
        <f>BDH("KITTW US Equity","BS_CASH_NEAR_CASH_ITEM","1993-06-18","2026-05-02","Per=Y","Days=T","Dir=V")</f>
        <v>0</v>
      </c>
      <c r="M2">
        <f>BDH("KITTW US Equity","BS_CUR_ASSET_REPORT","1993-06-18","2026-05-02","Per=Y","Days=T","Dir=V")</f>
        <v>0</v>
      </c>
      <c r="O2">
        <f>BDH("KITTW US Equity","BS_CUR_LIAB","1993-06-18","2026-05-02","Per=Y","Days=T","Dir=V")</f>
        <v>0</v>
      </c>
      <c r="Q2">
        <f>BDH("KITTW US Equity","BS_SHAREHOLDER_EQY_ENDING_PERIOD","1993-06-18","2026-05-02","Per=Y","Days=T","Dir=V")</f>
        <v>0</v>
      </c>
      <c r="S2">
        <f>BDH("KITTW US Equity","BS_ACCT_NOTE_RCV","1993-06-18","2026-05-02","Per=Y","Days=T","Dir=V")</f>
        <v>0</v>
      </c>
      <c r="U2">
        <f>BDH("KITTW US Equity","BS_INVENTORIES","1993-06-18","2026-05-02","Per=Y","Days=T","Dir=V")</f>
        <v>0</v>
      </c>
      <c r="W2">
        <f>BDH("KITTW US Equity","WORKING_CAPITAL","1993-06-18","2026-05-02","Per=Y","Days=T","Dir=V")</f>
        <v>0</v>
      </c>
      <c r="Y2">
        <f>BDH("KITTW US Equity","SALES_REV_TURN","1993-06-18","2026-05-02","Per=Y","Days=T","Dir=V")</f>
        <v>0</v>
      </c>
      <c r="AA2">
        <f>BDH("KITTW US Equity","EBIT","1993-06-18","2026-05-02","Per=Y","Days=T","Dir=V")</f>
        <v>0</v>
      </c>
      <c r="AC2">
        <f>BDH("KITTW US Equity","EBITDA","1993-06-18","2026-05-02","Per=Y","Days=T","Dir=V")</f>
        <v>0</v>
      </c>
      <c r="AE2">
        <f>BDH("KITTW US Equity","NET_INCOME","1993-06-18","2026-05-02","Per=Y","Days=T","Dir=V")</f>
        <v>0</v>
      </c>
      <c r="AG2">
        <f>BDH("KITTW US Equity","IS_INT_EXPENSE","1993-06-18","2026-05-02","Per=Y","Days=T","Dir=V")</f>
        <v>0</v>
      </c>
      <c r="AI2">
        <f>BDH("KITTW US Equity","IS_DEPR_EXP","1993-06-18","2026-05-02","Per=Y","Days=T","Dir=V")</f>
        <v>0</v>
      </c>
      <c r="AK2">
        <f>BDH("KITTW US Equity","CF_CASH_FROM_OPER","1993-06-18","2026-05-02","Per=Y","Days=T","Dir=V")</f>
        <v>0</v>
      </c>
      <c r="AM2">
        <f>BDH("KITTW US Equity","CAPITAL_EXPEND","1993-06-18","2026-05-02","Per=Y","Days=T","Dir=V")</f>
        <v>0</v>
      </c>
      <c r="AO2">
        <f>BDH("KITTW US Equity","CF_FREE_CASH_FLOW","1993-06-18","2026-05-02","Per=Y","Days=T","Dir=V")</f>
        <v>0</v>
      </c>
      <c r="AQ2">
        <f>BDH("KITTW US Equity","PX_LAST","1993-06-18","2026-05-02","Per=M","Days=T","Dir=V")</f>
        <v>0</v>
      </c>
      <c r="AS2">
        <f>BDH("KITTW US Equity","CUR_MKT_CAP","1993-06-18","2026-05-02","Per=M","Days=T","Dir=V")</f>
        <v>0</v>
      </c>
      <c r="AU2">
        <f>BDH("KITTW US Equity","EQY_SH_OUT","1993-06-18","2026-05-02","Per=M","Days=T","Dir=V")</f>
        <v>0</v>
      </c>
      <c r="AW2">
        <f>BDH("KITTW US Equity","PX_VOLUME","1993-06-18","2026-05-02","Per=M","Days=T","Dir=V")</f>
        <v>0</v>
      </c>
      <c r="AY2">
        <f>BDH("KITTW US Equity","TURNOVER","1993-06-18","2026-05-02","Per=M","Days=T","Dir=V")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BDH("KLAC US Equity","BS_TOT_ASSET","1993-06-18","2026-05-02","Per=Y","Days=T","Dir=V")</f>
        <v>0</v>
      </c>
      <c r="C2">
        <f>BDH("KLAC US Equity","BS_TOT_LIAB2","1993-06-18","2026-05-02","Per=Y","Days=T","Dir=V")</f>
        <v>0</v>
      </c>
      <c r="E2">
        <f>BDH("KLAC US Equity","SHORT_AND_LONG_TERM_DEBT","1993-06-18","2026-05-02","Per=Y","Days=T","Dir=V")</f>
        <v>0</v>
      </c>
      <c r="G2">
        <f>BDH("KLAC US Equity","BS_ST_BORROW","1993-06-18","2026-05-02","Per=Y","Days=T","Dir=V")</f>
        <v>0</v>
      </c>
      <c r="I2">
        <f>BDH("KLAC US Equity","BS_LT_BORROW","1993-06-18","2026-05-02","Per=Y","Days=T","Dir=V")</f>
        <v>0</v>
      </c>
      <c r="K2">
        <f>BDH("KLAC US Equity","BS_CASH_NEAR_CASH_ITEM","1993-06-18","2026-05-02","Per=Y","Days=T","Dir=V")</f>
        <v>0</v>
      </c>
      <c r="M2">
        <f>BDH("KLAC US Equity","BS_CUR_ASSET_REPORT","1993-06-18","2026-05-02","Per=Y","Days=T","Dir=V")</f>
        <v>0</v>
      </c>
      <c r="O2">
        <f>BDH("KLAC US Equity","BS_CUR_LIAB","1993-06-18","2026-05-02","Per=Y","Days=T","Dir=V")</f>
        <v>0</v>
      </c>
      <c r="Q2">
        <f>BDH("KLAC US Equity","BS_SHAREHOLDER_EQY_ENDING_PERIOD","1993-06-18","2026-05-02","Per=Y","Days=T","Dir=V")</f>
        <v>0</v>
      </c>
      <c r="S2">
        <f>BDH("KLAC US Equity","BS_ACCT_NOTE_RCV","1993-06-18","2026-05-02","Per=Y","Days=T","Dir=V")</f>
        <v>0</v>
      </c>
      <c r="U2">
        <f>BDH("KLAC US Equity","BS_INVENTORIES","1993-06-18","2026-05-02","Per=Y","Days=T","Dir=V")</f>
        <v>0</v>
      </c>
      <c r="W2">
        <f>BDH("KLAC US Equity","WORKING_CAPITAL","1993-06-18","2026-05-02","Per=Y","Days=T","Dir=V")</f>
        <v>0</v>
      </c>
      <c r="Y2">
        <f>BDH("KLAC US Equity","SALES_REV_TURN","1993-06-18","2026-05-02","Per=Y","Days=T","Dir=V")</f>
        <v>0</v>
      </c>
      <c r="AA2">
        <f>BDH("KLAC US Equity","EBIT","1993-06-18","2026-05-02","Per=Y","Days=T","Dir=V")</f>
        <v>0</v>
      </c>
      <c r="AC2">
        <f>BDH("KLAC US Equity","EBITDA","1993-06-18","2026-05-02","Per=Y","Days=T","Dir=V")</f>
        <v>0</v>
      </c>
      <c r="AE2">
        <f>BDH("KLAC US Equity","NET_INCOME","1993-06-18","2026-05-02","Per=Y","Days=T","Dir=V")</f>
        <v>0</v>
      </c>
      <c r="AG2">
        <f>BDH("KLAC US Equity","IS_INT_EXPENSE","1993-06-18","2026-05-02","Per=Y","Days=T","Dir=V")</f>
        <v>0</v>
      </c>
      <c r="AI2">
        <f>BDH("KLAC US Equity","IS_DEPR_EXP","1993-06-18","2026-05-02","Per=Y","Days=T","Dir=V")</f>
        <v>0</v>
      </c>
      <c r="AK2">
        <f>BDH("KLAC US Equity","CF_CASH_FROM_OPER","1993-06-18","2026-05-02","Per=Y","Days=T","Dir=V")</f>
        <v>0</v>
      </c>
      <c r="AM2">
        <f>BDH("KLAC US Equity","CAPITAL_EXPEND","1993-06-18","2026-05-02","Per=Y","Days=T","Dir=V")</f>
        <v>0</v>
      </c>
      <c r="AO2">
        <f>BDH("KLAC US Equity","CF_FREE_CASH_FLOW","1993-06-18","2026-05-02","Per=Y","Days=T","Dir=V")</f>
        <v>0</v>
      </c>
      <c r="AQ2">
        <f>BDH("KLAC US Equity","PX_LAST","1993-06-18","2026-05-02","Per=M","Days=T","Dir=V")</f>
        <v>0</v>
      </c>
      <c r="AS2">
        <f>BDH("KLAC US Equity","CUR_MKT_CAP","1993-06-18","2026-05-02","Per=M","Days=T","Dir=V")</f>
        <v>0</v>
      </c>
      <c r="AU2">
        <f>BDH("KLAC US Equity","EQY_SH_OUT","1993-06-18","2026-05-02","Per=M","Days=T","Dir=V")</f>
        <v>0</v>
      </c>
      <c r="AW2">
        <f>BDH("KLAC US Equity","PX_VOLUME","1993-06-18","2026-05-02","Per=M","Days=T","Dir=V")</f>
        <v>0</v>
      </c>
      <c r="AY2">
        <f>BDH("KLAC US Equity","TURNOVER","1993-06-18","2026-05-02","Per=M","Days=T","Dir=V")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BDH("KLC US Equity","BS_TOT_ASSET","1993-06-18","2026-05-02","Per=Y","Days=T","Dir=V")</f>
        <v>0</v>
      </c>
      <c r="C2">
        <f>BDH("KLC US Equity","BS_TOT_LIAB2","1993-06-18","2026-05-02","Per=Y","Days=T","Dir=V")</f>
        <v>0</v>
      </c>
      <c r="E2">
        <f>BDH("KLC US Equity","SHORT_AND_LONG_TERM_DEBT","1993-06-18","2026-05-02","Per=Y","Days=T","Dir=V")</f>
        <v>0</v>
      </c>
      <c r="G2">
        <f>BDH("KLC US Equity","BS_ST_BORROW","1993-06-18","2026-05-02","Per=Y","Days=T","Dir=V")</f>
        <v>0</v>
      </c>
      <c r="I2">
        <f>BDH("KLC US Equity","BS_LT_BORROW","1993-06-18","2026-05-02","Per=Y","Days=T","Dir=V")</f>
        <v>0</v>
      </c>
      <c r="K2">
        <f>BDH("KLC US Equity","BS_CASH_NEAR_CASH_ITEM","1993-06-18","2026-05-02","Per=Y","Days=T","Dir=V")</f>
        <v>0</v>
      </c>
      <c r="M2">
        <f>BDH("KLC US Equity","BS_CUR_ASSET_REPORT","1993-06-18","2026-05-02","Per=Y","Days=T","Dir=V")</f>
        <v>0</v>
      </c>
      <c r="O2">
        <f>BDH("KLC US Equity","BS_CUR_LIAB","1993-06-18","2026-05-02","Per=Y","Days=T","Dir=V")</f>
        <v>0</v>
      </c>
      <c r="Q2">
        <f>BDH("KLC US Equity","BS_SHAREHOLDER_EQY_ENDING_PERIOD","1993-06-18","2026-05-02","Per=Y","Days=T","Dir=V")</f>
        <v>0</v>
      </c>
      <c r="S2">
        <f>BDH("KLC US Equity","BS_ACCT_NOTE_RCV","1993-06-18","2026-05-02","Per=Y","Days=T","Dir=V")</f>
        <v>0</v>
      </c>
      <c r="U2">
        <f>BDH("KLC US Equity","BS_INVENTORIES","1993-06-18","2026-05-02","Per=Y","Days=T","Dir=V")</f>
        <v>0</v>
      </c>
      <c r="W2">
        <f>BDH("KLC US Equity","WORKING_CAPITAL","1993-06-18","2026-05-02","Per=Y","Days=T","Dir=V")</f>
        <v>0</v>
      </c>
      <c r="Y2">
        <f>BDH("KLC US Equity","SALES_REV_TURN","1993-06-18","2026-05-02","Per=Y","Days=T","Dir=V")</f>
        <v>0</v>
      </c>
      <c r="AA2">
        <f>BDH("KLC US Equity","EBIT","1993-06-18","2026-05-02","Per=Y","Days=T","Dir=V")</f>
        <v>0</v>
      </c>
      <c r="AC2">
        <f>BDH("KLC US Equity","EBITDA","1993-06-18","2026-05-02","Per=Y","Days=T","Dir=V")</f>
        <v>0</v>
      </c>
      <c r="AE2">
        <f>BDH("KLC US Equity","NET_INCOME","1993-06-18","2026-05-02","Per=Y","Days=T","Dir=V")</f>
        <v>0</v>
      </c>
      <c r="AG2">
        <f>BDH("KLC US Equity","IS_INT_EXPENSE","1993-06-18","2026-05-02","Per=Y","Days=T","Dir=V")</f>
        <v>0</v>
      </c>
      <c r="AI2">
        <f>BDH("KLC US Equity","IS_DEPR_EXP","1993-06-18","2026-05-02","Per=Y","Days=T","Dir=V")</f>
        <v>0</v>
      </c>
      <c r="AK2">
        <f>BDH("KLC US Equity","CF_CASH_FROM_OPER","1993-06-18","2026-05-02","Per=Y","Days=T","Dir=V")</f>
        <v>0</v>
      </c>
      <c r="AM2">
        <f>BDH("KLC US Equity","CAPITAL_EXPEND","1993-06-18","2026-05-02","Per=Y","Days=T","Dir=V")</f>
        <v>0</v>
      </c>
      <c r="AO2">
        <f>BDH("KLC US Equity","CF_FREE_CASH_FLOW","1993-06-18","2026-05-02","Per=Y","Days=T","Dir=V")</f>
        <v>0</v>
      </c>
      <c r="AQ2">
        <f>BDH("KLC US Equity","PX_LAST","1993-06-18","2026-05-02","Per=M","Days=T","Dir=V")</f>
        <v>0</v>
      </c>
      <c r="AS2">
        <f>BDH("KLC US Equity","CUR_MKT_CAP","1993-06-18","2026-05-02","Per=M","Days=T","Dir=V")</f>
        <v>0</v>
      </c>
      <c r="AU2">
        <f>BDH("KLC US Equity","EQY_SH_OUT","1993-06-18","2026-05-02","Per=M","Days=T","Dir=V")</f>
        <v>0</v>
      </c>
      <c r="AW2">
        <f>BDH("KLC US Equity","PX_VOLUME","1993-06-18","2026-05-02","Per=M","Days=T","Dir=V")</f>
        <v>0</v>
      </c>
      <c r="AY2">
        <f>BDH("KLC US Equity","TURNOVER","1993-06-18","2026-05-02","Per=M","Days=T","Dir=V")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BDH("KLRA US Equity","BS_TOT_ASSET","1993-06-18","2026-05-02","Per=Y","Days=T","Dir=V")</f>
        <v>0</v>
      </c>
      <c r="C2">
        <f>BDH("KLRA US Equity","BS_TOT_LIAB2","1993-06-18","2026-05-02","Per=Y","Days=T","Dir=V")</f>
        <v>0</v>
      </c>
      <c r="E2">
        <f>BDH("KLRA US Equity","SHORT_AND_LONG_TERM_DEBT","1993-06-18","2026-05-02","Per=Y","Days=T","Dir=V")</f>
        <v>0</v>
      </c>
      <c r="G2">
        <f>BDH("KLRA US Equity","BS_ST_BORROW","1993-06-18","2026-05-02","Per=Y","Days=T","Dir=V")</f>
        <v>0</v>
      </c>
      <c r="I2">
        <f>BDH("KLRA US Equity","BS_LT_BORROW","1993-06-18","2026-05-02","Per=Y","Days=T","Dir=V")</f>
        <v>0</v>
      </c>
      <c r="K2">
        <f>BDH("KLRA US Equity","BS_CASH_NEAR_CASH_ITEM","1993-06-18","2026-05-02","Per=Y","Days=T","Dir=V")</f>
        <v>0</v>
      </c>
      <c r="M2">
        <f>BDH("KLRA US Equity","BS_CUR_ASSET_REPORT","1993-06-18","2026-05-02","Per=Y","Days=T","Dir=V")</f>
        <v>0</v>
      </c>
      <c r="O2">
        <f>BDH("KLRA US Equity","BS_CUR_LIAB","1993-06-18","2026-05-02","Per=Y","Days=T","Dir=V")</f>
        <v>0</v>
      </c>
      <c r="Q2">
        <f>BDH("KLRA US Equity","BS_SHAREHOLDER_EQY_ENDING_PERIOD","1993-06-18","2026-05-02","Per=Y","Days=T","Dir=V")</f>
        <v>0</v>
      </c>
      <c r="S2">
        <f>BDH("KLRA US Equity","BS_ACCT_NOTE_RCV","1993-06-18","2026-05-02","Per=Y","Days=T","Dir=V")</f>
        <v>0</v>
      </c>
      <c r="U2">
        <f>BDH("KLRA US Equity","BS_INVENTORIES","1993-06-18","2026-05-02","Per=Y","Days=T","Dir=V")</f>
        <v>0</v>
      </c>
      <c r="W2">
        <f>BDH("KLRA US Equity","WORKING_CAPITAL","1993-06-18","2026-05-02","Per=Y","Days=T","Dir=V")</f>
        <v>0</v>
      </c>
      <c r="Y2">
        <f>BDH("KLRA US Equity","SALES_REV_TURN","1993-06-18","2026-05-02","Per=Y","Days=T","Dir=V")</f>
        <v>0</v>
      </c>
      <c r="AA2">
        <f>BDH("KLRA US Equity","EBIT","1993-06-18","2026-05-02","Per=Y","Days=T","Dir=V")</f>
        <v>0</v>
      </c>
      <c r="AC2">
        <f>BDH("KLRA US Equity","EBITDA","1993-06-18","2026-05-02","Per=Y","Days=T","Dir=V")</f>
        <v>0</v>
      </c>
      <c r="AE2">
        <f>BDH("KLRA US Equity","NET_INCOME","1993-06-18","2026-05-02","Per=Y","Days=T","Dir=V")</f>
        <v>0</v>
      </c>
      <c r="AG2">
        <f>BDH("KLRA US Equity","IS_INT_EXPENSE","1993-06-18","2026-05-02","Per=Y","Days=T","Dir=V")</f>
        <v>0</v>
      </c>
      <c r="AI2">
        <f>BDH("KLRA US Equity","IS_DEPR_EXP","1993-06-18","2026-05-02","Per=Y","Days=T","Dir=V")</f>
        <v>0</v>
      </c>
      <c r="AK2">
        <f>BDH("KLRA US Equity","CF_CASH_FROM_OPER","1993-06-18","2026-05-02","Per=Y","Days=T","Dir=V")</f>
        <v>0</v>
      </c>
      <c r="AM2">
        <f>BDH("KLRA US Equity","CAPITAL_EXPEND","1993-06-18","2026-05-02","Per=Y","Days=T","Dir=V")</f>
        <v>0</v>
      </c>
      <c r="AO2">
        <f>BDH("KLRA US Equity","CF_FREE_CASH_FLOW","1993-06-18","2026-05-02","Per=Y","Days=T","Dir=V")</f>
        <v>0</v>
      </c>
      <c r="AQ2">
        <f>BDH("KLRA US Equity","PX_LAST","1993-06-18","2026-05-02","Per=M","Days=T","Dir=V")</f>
        <v>0</v>
      </c>
      <c r="AS2">
        <f>BDH("KLRA US Equity","CUR_MKT_CAP","1993-06-18","2026-05-02","Per=M","Days=T","Dir=V")</f>
        <v>0</v>
      </c>
      <c r="AU2">
        <f>BDH("KLRA US Equity","EQY_SH_OUT","1993-06-18","2026-05-02","Per=M","Days=T","Dir=V")</f>
        <v>0</v>
      </c>
      <c r="AW2">
        <f>BDH("KLRA US Equity","PX_VOLUME","1993-06-18","2026-05-02","Per=M","Days=T","Dir=V")</f>
        <v>0</v>
      </c>
      <c r="AY2">
        <f>BDH("KLRA US Equity","TURNOVER","1993-06-18","2026-05-02","Per=M","Days=T","Dir=V")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BDH("KLRS US Equity","BS_TOT_ASSET","1993-06-18","2026-05-02","Per=Y","Days=T","Dir=V")</f>
        <v>0</v>
      </c>
      <c r="C2">
        <f>BDH("KLRS US Equity","BS_TOT_LIAB2","1993-06-18","2026-05-02","Per=Y","Days=T","Dir=V")</f>
        <v>0</v>
      </c>
      <c r="E2">
        <f>BDH("KLRS US Equity","SHORT_AND_LONG_TERM_DEBT","1993-06-18","2026-05-02","Per=Y","Days=T","Dir=V")</f>
        <v>0</v>
      </c>
      <c r="G2">
        <f>BDH("KLRS US Equity","BS_ST_BORROW","1993-06-18","2026-05-02","Per=Y","Days=T","Dir=V")</f>
        <v>0</v>
      </c>
      <c r="I2">
        <f>BDH("KLRS US Equity","BS_LT_BORROW","1993-06-18","2026-05-02","Per=Y","Days=T","Dir=V")</f>
        <v>0</v>
      </c>
      <c r="K2">
        <f>BDH("KLRS US Equity","BS_CASH_NEAR_CASH_ITEM","1993-06-18","2026-05-02","Per=Y","Days=T","Dir=V")</f>
        <v>0</v>
      </c>
      <c r="M2">
        <f>BDH("KLRS US Equity","BS_CUR_ASSET_REPORT","1993-06-18","2026-05-02","Per=Y","Days=T","Dir=V")</f>
        <v>0</v>
      </c>
      <c r="O2">
        <f>BDH("KLRS US Equity","BS_CUR_LIAB","1993-06-18","2026-05-02","Per=Y","Days=T","Dir=V")</f>
        <v>0</v>
      </c>
      <c r="Q2">
        <f>BDH("KLRS US Equity","BS_SHAREHOLDER_EQY_ENDING_PERIOD","1993-06-18","2026-05-02","Per=Y","Days=T","Dir=V")</f>
        <v>0</v>
      </c>
      <c r="S2">
        <f>BDH("KLRS US Equity","BS_ACCT_NOTE_RCV","1993-06-18","2026-05-02","Per=Y","Days=T","Dir=V")</f>
        <v>0</v>
      </c>
      <c r="U2">
        <f>BDH("KLRS US Equity","BS_INVENTORIES","1993-06-18","2026-05-02","Per=Y","Days=T","Dir=V")</f>
        <v>0</v>
      </c>
      <c r="W2">
        <f>BDH("KLRS US Equity","WORKING_CAPITAL","1993-06-18","2026-05-02","Per=Y","Days=T","Dir=V")</f>
        <v>0</v>
      </c>
      <c r="Y2">
        <f>BDH("KLRS US Equity","SALES_REV_TURN","1993-06-18","2026-05-02","Per=Y","Days=T","Dir=V")</f>
        <v>0</v>
      </c>
      <c r="AA2">
        <f>BDH("KLRS US Equity","EBIT","1993-06-18","2026-05-02","Per=Y","Days=T","Dir=V")</f>
        <v>0</v>
      </c>
      <c r="AC2">
        <f>BDH("KLRS US Equity","EBITDA","1993-06-18","2026-05-02","Per=Y","Days=T","Dir=V")</f>
        <v>0</v>
      </c>
      <c r="AE2">
        <f>BDH("KLRS US Equity","NET_INCOME","1993-06-18","2026-05-02","Per=Y","Days=T","Dir=V")</f>
        <v>0</v>
      </c>
      <c r="AG2">
        <f>BDH("KLRS US Equity","IS_INT_EXPENSE","1993-06-18","2026-05-02","Per=Y","Days=T","Dir=V")</f>
        <v>0</v>
      </c>
      <c r="AI2">
        <f>BDH("KLRS US Equity","IS_DEPR_EXP","1993-06-18","2026-05-02","Per=Y","Days=T","Dir=V")</f>
        <v>0</v>
      </c>
      <c r="AK2">
        <f>BDH("KLRS US Equity","CF_CASH_FROM_OPER","1993-06-18","2026-05-02","Per=Y","Days=T","Dir=V")</f>
        <v>0</v>
      </c>
      <c r="AM2">
        <f>BDH("KLRS US Equity","CAPITAL_EXPEND","1993-06-18","2026-05-02","Per=Y","Days=T","Dir=V")</f>
        <v>0</v>
      </c>
      <c r="AO2">
        <f>BDH("KLRS US Equity","CF_FREE_CASH_FLOW","1993-06-18","2026-05-02","Per=Y","Days=T","Dir=V")</f>
        <v>0</v>
      </c>
      <c r="AQ2">
        <f>BDH("KLRS US Equity","PX_LAST","1993-06-18","2026-05-02","Per=M","Days=T","Dir=V")</f>
        <v>0</v>
      </c>
      <c r="AS2">
        <f>BDH("KLRS US Equity","CUR_MKT_CAP","1993-06-18","2026-05-02","Per=M","Days=T","Dir=V")</f>
        <v>0</v>
      </c>
      <c r="AU2">
        <f>BDH("KLRS US Equity","EQY_SH_OUT","1993-06-18","2026-05-02","Per=M","Days=T","Dir=V")</f>
        <v>0</v>
      </c>
      <c r="AW2">
        <f>BDH("KLRS US Equity","PX_VOLUME","1993-06-18","2026-05-02","Per=M","Days=T","Dir=V")</f>
        <v>0</v>
      </c>
      <c r="AY2">
        <f>BDH("KLRS US Equity","TURNOVER","1993-06-18","2026-05-02","Per=M","Days=T","Dir=V")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BDH("KLTR US Equity","BS_TOT_ASSET","1993-06-18","2026-05-02","Per=Y","Days=T","Dir=V")</f>
        <v>0</v>
      </c>
      <c r="C2">
        <f>BDH("KLTR US Equity","BS_TOT_LIAB2","1993-06-18","2026-05-02","Per=Y","Days=T","Dir=V")</f>
        <v>0</v>
      </c>
      <c r="E2">
        <f>BDH("KLTR US Equity","SHORT_AND_LONG_TERM_DEBT","1993-06-18","2026-05-02","Per=Y","Days=T","Dir=V")</f>
        <v>0</v>
      </c>
      <c r="G2">
        <f>BDH("KLTR US Equity","BS_ST_BORROW","1993-06-18","2026-05-02","Per=Y","Days=T","Dir=V")</f>
        <v>0</v>
      </c>
      <c r="I2">
        <f>BDH("KLTR US Equity","BS_LT_BORROW","1993-06-18","2026-05-02","Per=Y","Days=T","Dir=V")</f>
        <v>0</v>
      </c>
      <c r="K2">
        <f>BDH("KLTR US Equity","BS_CASH_NEAR_CASH_ITEM","1993-06-18","2026-05-02","Per=Y","Days=T","Dir=V")</f>
        <v>0</v>
      </c>
      <c r="M2">
        <f>BDH("KLTR US Equity","BS_CUR_ASSET_REPORT","1993-06-18","2026-05-02","Per=Y","Days=T","Dir=V")</f>
        <v>0</v>
      </c>
      <c r="O2">
        <f>BDH("KLTR US Equity","BS_CUR_LIAB","1993-06-18","2026-05-02","Per=Y","Days=T","Dir=V")</f>
        <v>0</v>
      </c>
      <c r="Q2">
        <f>BDH("KLTR US Equity","BS_SHAREHOLDER_EQY_ENDING_PERIOD","1993-06-18","2026-05-02","Per=Y","Days=T","Dir=V")</f>
        <v>0</v>
      </c>
      <c r="S2">
        <f>BDH("KLTR US Equity","BS_ACCT_NOTE_RCV","1993-06-18","2026-05-02","Per=Y","Days=T","Dir=V")</f>
        <v>0</v>
      </c>
      <c r="U2">
        <f>BDH("KLTR US Equity","BS_INVENTORIES","1993-06-18","2026-05-02","Per=Y","Days=T","Dir=V")</f>
        <v>0</v>
      </c>
      <c r="W2">
        <f>BDH("KLTR US Equity","WORKING_CAPITAL","1993-06-18","2026-05-02","Per=Y","Days=T","Dir=V")</f>
        <v>0</v>
      </c>
      <c r="Y2">
        <f>BDH("KLTR US Equity","SALES_REV_TURN","1993-06-18","2026-05-02","Per=Y","Days=T","Dir=V")</f>
        <v>0</v>
      </c>
      <c r="AA2">
        <f>BDH("KLTR US Equity","EBIT","1993-06-18","2026-05-02","Per=Y","Days=T","Dir=V")</f>
        <v>0</v>
      </c>
      <c r="AC2">
        <f>BDH("KLTR US Equity","EBITDA","1993-06-18","2026-05-02","Per=Y","Days=T","Dir=V")</f>
        <v>0</v>
      </c>
      <c r="AE2">
        <f>BDH("KLTR US Equity","NET_INCOME","1993-06-18","2026-05-02","Per=Y","Days=T","Dir=V")</f>
        <v>0</v>
      </c>
      <c r="AG2">
        <f>BDH("KLTR US Equity","IS_INT_EXPENSE","1993-06-18","2026-05-02","Per=Y","Days=T","Dir=V")</f>
        <v>0</v>
      </c>
      <c r="AI2">
        <f>BDH("KLTR US Equity","IS_DEPR_EXP","1993-06-18","2026-05-02","Per=Y","Days=T","Dir=V")</f>
        <v>0</v>
      </c>
      <c r="AK2">
        <f>BDH("KLTR US Equity","CF_CASH_FROM_OPER","1993-06-18","2026-05-02","Per=Y","Days=T","Dir=V")</f>
        <v>0</v>
      </c>
      <c r="AM2">
        <f>BDH("KLTR US Equity","CAPITAL_EXPEND","1993-06-18","2026-05-02","Per=Y","Days=T","Dir=V")</f>
        <v>0</v>
      </c>
      <c r="AO2">
        <f>BDH("KLTR US Equity","CF_FREE_CASH_FLOW","1993-06-18","2026-05-02","Per=Y","Days=T","Dir=V")</f>
        <v>0</v>
      </c>
      <c r="AQ2">
        <f>BDH("KLTR US Equity","PX_LAST","1993-06-18","2026-05-02","Per=M","Days=T","Dir=V")</f>
        <v>0</v>
      </c>
      <c r="AS2">
        <f>BDH("KLTR US Equity","CUR_MKT_CAP","1993-06-18","2026-05-02","Per=M","Days=T","Dir=V")</f>
        <v>0</v>
      </c>
      <c r="AU2">
        <f>BDH("KLTR US Equity","EQY_SH_OUT","1993-06-18","2026-05-02","Per=M","Days=T","Dir=V")</f>
        <v>0</v>
      </c>
      <c r="AW2">
        <f>BDH("KLTR US Equity","PX_VOLUME","1993-06-18","2026-05-02","Per=M","Days=T","Dir=V")</f>
        <v>0</v>
      </c>
      <c r="AY2">
        <f>BDH("KLTR US Equity","TURNOVER","1993-06-18","2026-05-02","Per=M","Days=T","Dir=V")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BDH("KLXE US Equity","BS_TOT_ASSET","1993-06-18","2026-05-02","Per=Y","Days=T","Dir=V")</f>
        <v>0</v>
      </c>
      <c r="C2">
        <f>BDH("KLXE US Equity","BS_TOT_LIAB2","1993-06-18","2026-05-02","Per=Y","Days=T","Dir=V")</f>
        <v>0</v>
      </c>
      <c r="E2">
        <f>BDH("KLXE US Equity","SHORT_AND_LONG_TERM_DEBT","1993-06-18","2026-05-02","Per=Y","Days=T","Dir=V")</f>
        <v>0</v>
      </c>
      <c r="G2">
        <f>BDH("KLXE US Equity","BS_ST_BORROW","1993-06-18","2026-05-02","Per=Y","Days=T","Dir=V")</f>
        <v>0</v>
      </c>
      <c r="I2">
        <f>BDH("KLXE US Equity","BS_LT_BORROW","1993-06-18","2026-05-02","Per=Y","Days=T","Dir=V")</f>
        <v>0</v>
      </c>
      <c r="K2">
        <f>BDH("KLXE US Equity","BS_CASH_NEAR_CASH_ITEM","1993-06-18","2026-05-02","Per=Y","Days=T","Dir=V")</f>
        <v>0</v>
      </c>
      <c r="M2">
        <f>BDH("KLXE US Equity","BS_CUR_ASSET_REPORT","1993-06-18","2026-05-02","Per=Y","Days=T","Dir=V")</f>
        <v>0</v>
      </c>
      <c r="O2">
        <f>BDH("KLXE US Equity","BS_CUR_LIAB","1993-06-18","2026-05-02","Per=Y","Days=T","Dir=V")</f>
        <v>0</v>
      </c>
      <c r="Q2">
        <f>BDH("KLXE US Equity","BS_SHAREHOLDER_EQY_ENDING_PERIOD","1993-06-18","2026-05-02","Per=Y","Days=T","Dir=V")</f>
        <v>0</v>
      </c>
      <c r="S2">
        <f>BDH("KLXE US Equity","BS_ACCT_NOTE_RCV","1993-06-18","2026-05-02","Per=Y","Days=T","Dir=V")</f>
        <v>0</v>
      </c>
      <c r="U2">
        <f>BDH("KLXE US Equity","BS_INVENTORIES","1993-06-18","2026-05-02","Per=Y","Days=T","Dir=V")</f>
        <v>0</v>
      </c>
      <c r="W2">
        <f>BDH("KLXE US Equity","WORKING_CAPITAL","1993-06-18","2026-05-02","Per=Y","Days=T","Dir=V")</f>
        <v>0</v>
      </c>
      <c r="Y2">
        <f>BDH("KLXE US Equity","SALES_REV_TURN","1993-06-18","2026-05-02","Per=Y","Days=T","Dir=V")</f>
        <v>0</v>
      </c>
      <c r="AA2">
        <f>BDH("KLXE US Equity","EBIT","1993-06-18","2026-05-02","Per=Y","Days=T","Dir=V")</f>
        <v>0</v>
      </c>
      <c r="AC2">
        <f>BDH("KLXE US Equity","EBITDA","1993-06-18","2026-05-02","Per=Y","Days=T","Dir=V")</f>
        <v>0</v>
      </c>
      <c r="AE2">
        <f>BDH("KLXE US Equity","NET_INCOME","1993-06-18","2026-05-02","Per=Y","Days=T","Dir=V")</f>
        <v>0</v>
      </c>
      <c r="AG2">
        <f>BDH("KLXE US Equity","IS_INT_EXPENSE","1993-06-18","2026-05-02","Per=Y","Days=T","Dir=V")</f>
        <v>0</v>
      </c>
      <c r="AI2">
        <f>BDH("KLXE US Equity","IS_DEPR_EXP","1993-06-18","2026-05-02","Per=Y","Days=T","Dir=V")</f>
        <v>0</v>
      </c>
      <c r="AK2">
        <f>BDH("KLXE US Equity","CF_CASH_FROM_OPER","1993-06-18","2026-05-02","Per=Y","Days=T","Dir=V")</f>
        <v>0</v>
      </c>
      <c r="AM2">
        <f>BDH("KLXE US Equity","CAPITAL_EXPEND","1993-06-18","2026-05-02","Per=Y","Days=T","Dir=V")</f>
        <v>0</v>
      </c>
      <c r="AO2">
        <f>BDH("KLXE US Equity","CF_FREE_CASH_FLOW","1993-06-18","2026-05-02","Per=Y","Days=T","Dir=V")</f>
        <v>0</v>
      </c>
      <c r="AQ2">
        <f>BDH("KLXE US Equity","PX_LAST","1993-06-18","2026-05-02","Per=M","Days=T","Dir=V")</f>
        <v>0</v>
      </c>
      <c r="AS2">
        <f>BDH("KLXE US Equity","CUR_MKT_CAP","1993-06-18","2026-05-02","Per=M","Days=T","Dir=V")</f>
        <v>0</v>
      </c>
      <c r="AU2">
        <f>BDH("KLXE US Equity","EQY_SH_OUT","1993-06-18","2026-05-02","Per=M","Days=T","Dir=V")</f>
        <v>0</v>
      </c>
      <c r="AW2">
        <f>BDH("KLXE US Equity","PX_VOLUME","1993-06-18","2026-05-02","Per=M","Days=T","Dir=V")</f>
        <v>0</v>
      </c>
      <c r="AY2">
        <f>BDH("KLXE US Equity","TURNOVER","1993-06-18","2026-05-02","Per=M","Days=T","Dir=V")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BDH("KMB US Equity","BS_TOT_ASSET","1993-06-18","2026-05-02","Per=Y","Days=T","Dir=V")</f>
        <v>0</v>
      </c>
      <c r="C2">
        <f>BDH("KMB US Equity","BS_TOT_LIAB2","1993-06-18","2026-05-02","Per=Y","Days=T","Dir=V")</f>
        <v>0</v>
      </c>
      <c r="E2">
        <f>BDH("KMB US Equity","SHORT_AND_LONG_TERM_DEBT","1993-06-18","2026-05-02","Per=Y","Days=T","Dir=V")</f>
        <v>0</v>
      </c>
      <c r="G2">
        <f>BDH("KMB US Equity","BS_ST_BORROW","1993-06-18","2026-05-02","Per=Y","Days=T","Dir=V")</f>
        <v>0</v>
      </c>
      <c r="I2">
        <f>BDH("KMB US Equity","BS_LT_BORROW","1993-06-18","2026-05-02","Per=Y","Days=T","Dir=V")</f>
        <v>0</v>
      </c>
      <c r="K2">
        <f>BDH("KMB US Equity","BS_CASH_NEAR_CASH_ITEM","1993-06-18","2026-05-02","Per=Y","Days=T","Dir=V")</f>
        <v>0</v>
      </c>
      <c r="M2">
        <f>BDH("KMB US Equity","BS_CUR_ASSET_REPORT","1993-06-18","2026-05-02","Per=Y","Days=T","Dir=V")</f>
        <v>0</v>
      </c>
      <c r="O2">
        <f>BDH("KMB US Equity","BS_CUR_LIAB","1993-06-18","2026-05-02","Per=Y","Days=T","Dir=V")</f>
        <v>0</v>
      </c>
      <c r="Q2">
        <f>BDH("KMB US Equity","BS_SHAREHOLDER_EQY_ENDING_PERIOD","1993-06-18","2026-05-02","Per=Y","Days=T","Dir=V")</f>
        <v>0</v>
      </c>
      <c r="S2">
        <f>BDH("KMB US Equity","BS_ACCT_NOTE_RCV","1993-06-18","2026-05-02","Per=Y","Days=T","Dir=V")</f>
        <v>0</v>
      </c>
      <c r="U2">
        <f>BDH("KMB US Equity","BS_INVENTORIES","1993-06-18","2026-05-02","Per=Y","Days=T","Dir=V")</f>
        <v>0</v>
      </c>
      <c r="W2">
        <f>BDH("KMB US Equity","WORKING_CAPITAL","1993-06-18","2026-05-02","Per=Y","Days=T","Dir=V")</f>
        <v>0</v>
      </c>
      <c r="Y2">
        <f>BDH("KMB US Equity","SALES_REV_TURN","1993-06-18","2026-05-02","Per=Y","Days=T","Dir=V")</f>
        <v>0</v>
      </c>
      <c r="AA2">
        <f>BDH("KMB US Equity","EBIT","1993-06-18","2026-05-02","Per=Y","Days=T","Dir=V")</f>
        <v>0</v>
      </c>
      <c r="AC2">
        <f>BDH("KMB US Equity","EBITDA","1993-06-18","2026-05-02","Per=Y","Days=T","Dir=V")</f>
        <v>0</v>
      </c>
      <c r="AE2">
        <f>BDH("KMB US Equity","NET_INCOME","1993-06-18","2026-05-02","Per=Y","Days=T","Dir=V")</f>
        <v>0</v>
      </c>
      <c r="AG2">
        <f>BDH("KMB US Equity","IS_INT_EXPENSE","1993-06-18","2026-05-02","Per=Y","Days=T","Dir=V")</f>
        <v>0</v>
      </c>
      <c r="AI2">
        <f>BDH("KMB US Equity","IS_DEPR_EXP","1993-06-18","2026-05-02","Per=Y","Days=T","Dir=V")</f>
        <v>0</v>
      </c>
      <c r="AK2">
        <f>BDH("KMB US Equity","CF_CASH_FROM_OPER","1993-06-18","2026-05-02","Per=Y","Days=T","Dir=V")</f>
        <v>0</v>
      </c>
      <c r="AM2">
        <f>BDH("KMB US Equity","CAPITAL_EXPEND","1993-06-18","2026-05-02","Per=Y","Days=T","Dir=V")</f>
        <v>0</v>
      </c>
      <c r="AO2">
        <f>BDH("KMB US Equity","CF_FREE_CASH_FLOW","1993-06-18","2026-05-02","Per=Y","Days=T","Dir=V")</f>
        <v>0</v>
      </c>
      <c r="AQ2">
        <f>BDH("KMB US Equity","PX_LAST","1993-06-18","2026-05-02","Per=M","Days=T","Dir=V")</f>
        <v>0</v>
      </c>
      <c r="AS2">
        <f>BDH("KMB US Equity","CUR_MKT_CAP","1993-06-18","2026-05-02","Per=M","Days=T","Dir=V")</f>
        <v>0</v>
      </c>
      <c r="AU2">
        <f>BDH("KMB US Equity","EQY_SH_OUT","1993-06-18","2026-05-02","Per=M","Days=T","Dir=V")</f>
        <v>0</v>
      </c>
      <c r="AW2">
        <f>BDH("KMB US Equity","PX_VOLUME","1993-06-18","2026-05-02","Per=M","Days=T","Dir=V")</f>
        <v>0</v>
      </c>
      <c r="AY2">
        <f>BDH("KMB US Equity","TURNOVER","1993-06-18","2026-05-02","Per=M","Days=T","Dir=V")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BDH("KMI US Equity","BS_TOT_ASSET","1993-06-18","2026-05-02","Per=Y","Days=T","Dir=V")</f>
        <v>0</v>
      </c>
      <c r="C2">
        <f>BDH("KMI US Equity","BS_TOT_LIAB2","1993-06-18","2026-05-02","Per=Y","Days=T","Dir=V")</f>
        <v>0</v>
      </c>
      <c r="E2">
        <f>BDH("KMI US Equity","SHORT_AND_LONG_TERM_DEBT","1993-06-18","2026-05-02","Per=Y","Days=T","Dir=V")</f>
        <v>0</v>
      </c>
      <c r="G2">
        <f>BDH("KMI US Equity","BS_ST_BORROW","1993-06-18","2026-05-02","Per=Y","Days=T","Dir=V")</f>
        <v>0</v>
      </c>
      <c r="I2">
        <f>BDH("KMI US Equity","BS_LT_BORROW","1993-06-18","2026-05-02","Per=Y","Days=T","Dir=V")</f>
        <v>0</v>
      </c>
      <c r="K2">
        <f>BDH("KMI US Equity","BS_CASH_NEAR_CASH_ITEM","1993-06-18","2026-05-02","Per=Y","Days=T","Dir=V")</f>
        <v>0</v>
      </c>
      <c r="M2">
        <f>BDH("KMI US Equity","BS_CUR_ASSET_REPORT","1993-06-18","2026-05-02","Per=Y","Days=T","Dir=V")</f>
        <v>0</v>
      </c>
      <c r="O2">
        <f>BDH("KMI US Equity","BS_CUR_LIAB","1993-06-18","2026-05-02","Per=Y","Days=T","Dir=V")</f>
        <v>0</v>
      </c>
      <c r="Q2">
        <f>BDH("KMI US Equity","BS_SHAREHOLDER_EQY_ENDING_PERIOD","1993-06-18","2026-05-02","Per=Y","Days=T","Dir=V")</f>
        <v>0</v>
      </c>
      <c r="S2">
        <f>BDH("KMI US Equity","BS_ACCT_NOTE_RCV","1993-06-18","2026-05-02","Per=Y","Days=T","Dir=V")</f>
        <v>0</v>
      </c>
      <c r="U2">
        <f>BDH("KMI US Equity","BS_INVENTORIES","1993-06-18","2026-05-02","Per=Y","Days=T","Dir=V")</f>
        <v>0</v>
      </c>
      <c r="W2">
        <f>BDH("KMI US Equity","WORKING_CAPITAL","1993-06-18","2026-05-02","Per=Y","Days=T","Dir=V")</f>
        <v>0</v>
      </c>
      <c r="Y2">
        <f>BDH("KMI US Equity","SALES_REV_TURN","1993-06-18","2026-05-02","Per=Y","Days=T","Dir=V")</f>
        <v>0</v>
      </c>
      <c r="AA2">
        <f>BDH("KMI US Equity","EBIT","1993-06-18","2026-05-02","Per=Y","Days=T","Dir=V")</f>
        <v>0</v>
      </c>
      <c r="AC2">
        <f>BDH("KMI US Equity","EBITDA","1993-06-18","2026-05-02","Per=Y","Days=T","Dir=V")</f>
        <v>0</v>
      </c>
      <c r="AE2">
        <f>BDH("KMI US Equity","NET_INCOME","1993-06-18","2026-05-02","Per=Y","Days=T","Dir=V")</f>
        <v>0</v>
      </c>
      <c r="AG2">
        <f>BDH("KMI US Equity","IS_INT_EXPENSE","1993-06-18","2026-05-02","Per=Y","Days=T","Dir=V")</f>
        <v>0</v>
      </c>
      <c r="AI2">
        <f>BDH("KMI US Equity","IS_DEPR_EXP","1993-06-18","2026-05-02","Per=Y","Days=T","Dir=V")</f>
        <v>0</v>
      </c>
      <c r="AK2">
        <f>BDH("KMI US Equity","CF_CASH_FROM_OPER","1993-06-18","2026-05-02","Per=Y","Days=T","Dir=V")</f>
        <v>0</v>
      </c>
      <c r="AM2">
        <f>BDH("KMI US Equity","CAPITAL_EXPEND","1993-06-18","2026-05-02","Per=Y","Days=T","Dir=V")</f>
        <v>0</v>
      </c>
      <c r="AO2">
        <f>BDH("KMI US Equity","CF_FREE_CASH_FLOW","1993-06-18","2026-05-02","Per=Y","Days=T","Dir=V")</f>
        <v>0</v>
      </c>
      <c r="AQ2">
        <f>BDH("KMI US Equity","PX_LAST","1993-06-18","2026-05-02","Per=M","Days=T","Dir=V")</f>
        <v>0</v>
      </c>
      <c r="AS2">
        <f>BDH("KMI US Equity","CUR_MKT_CAP","1993-06-18","2026-05-02","Per=M","Days=T","Dir=V")</f>
        <v>0</v>
      </c>
      <c r="AU2">
        <f>BDH("KMI US Equity","EQY_SH_OUT","1993-06-18","2026-05-02","Per=M","Days=T","Dir=V")</f>
        <v>0</v>
      </c>
      <c r="AW2">
        <f>BDH("KMI US Equity","PX_VOLUME","1993-06-18","2026-05-02","Per=M","Days=T","Dir=V")</f>
        <v>0</v>
      </c>
      <c r="AY2">
        <f>BDH("KMI US Equity","TURNOVER","1993-06-18","2026-05-02","Per=M","Days=T","Dir=V")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BDH("KMT US Equity","BS_TOT_ASSET","1993-06-18","2026-05-02","Per=Y","Days=T","Dir=V")</f>
        <v>0</v>
      </c>
      <c r="C2">
        <f>BDH("KMT US Equity","BS_TOT_LIAB2","1993-06-18","2026-05-02","Per=Y","Days=T","Dir=V")</f>
        <v>0</v>
      </c>
      <c r="E2">
        <f>BDH("KMT US Equity","SHORT_AND_LONG_TERM_DEBT","1993-06-18","2026-05-02","Per=Y","Days=T","Dir=V")</f>
        <v>0</v>
      </c>
      <c r="G2">
        <f>BDH("KMT US Equity","BS_ST_BORROW","1993-06-18","2026-05-02","Per=Y","Days=T","Dir=V")</f>
        <v>0</v>
      </c>
      <c r="I2">
        <f>BDH("KMT US Equity","BS_LT_BORROW","1993-06-18","2026-05-02","Per=Y","Days=T","Dir=V")</f>
        <v>0</v>
      </c>
      <c r="K2">
        <f>BDH("KMT US Equity","BS_CASH_NEAR_CASH_ITEM","1993-06-18","2026-05-02","Per=Y","Days=T","Dir=V")</f>
        <v>0</v>
      </c>
      <c r="M2">
        <f>BDH("KMT US Equity","BS_CUR_ASSET_REPORT","1993-06-18","2026-05-02","Per=Y","Days=T","Dir=V")</f>
        <v>0</v>
      </c>
      <c r="O2">
        <f>BDH("KMT US Equity","BS_CUR_LIAB","1993-06-18","2026-05-02","Per=Y","Days=T","Dir=V")</f>
        <v>0</v>
      </c>
      <c r="Q2">
        <f>BDH("KMT US Equity","BS_SHAREHOLDER_EQY_ENDING_PERIOD","1993-06-18","2026-05-02","Per=Y","Days=T","Dir=V")</f>
        <v>0</v>
      </c>
      <c r="S2">
        <f>BDH("KMT US Equity","BS_ACCT_NOTE_RCV","1993-06-18","2026-05-02","Per=Y","Days=T","Dir=V")</f>
        <v>0</v>
      </c>
      <c r="U2">
        <f>BDH("KMT US Equity","BS_INVENTORIES","1993-06-18","2026-05-02","Per=Y","Days=T","Dir=V")</f>
        <v>0</v>
      </c>
      <c r="W2">
        <f>BDH("KMT US Equity","WORKING_CAPITAL","1993-06-18","2026-05-02","Per=Y","Days=T","Dir=V")</f>
        <v>0</v>
      </c>
      <c r="Y2">
        <f>BDH("KMT US Equity","SALES_REV_TURN","1993-06-18","2026-05-02","Per=Y","Days=T","Dir=V")</f>
        <v>0</v>
      </c>
      <c r="AA2">
        <f>BDH("KMT US Equity","EBIT","1993-06-18","2026-05-02","Per=Y","Days=T","Dir=V")</f>
        <v>0</v>
      </c>
      <c r="AC2">
        <f>BDH("KMT US Equity","EBITDA","1993-06-18","2026-05-02","Per=Y","Days=T","Dir=V")</f>
        <v>0</v>
      </c>
      <c r="AE2">
        <f>BDH("KMT US Equity","NET_INCOME","1993-06-18","2026-05-02","Per=Y","Days=T","Dir=V")</f>
        <v>0</v>
      </c>
      <c r="AG2">
        <f>BDH("KMT US Equity","IS_INT_EXPENSE","1993-06-18","2026-05-02","Per=Y","Days=T","Dir=V")</f>
        <v>0</v>
      </c>
      <c r="AI2">
        <f>BDH("KMT US Equity","IS_DEPR_EXP","1993-06-18","2026-05-02","Per=Y","Days=T","Dir=V")</f>
        <v>0</v>
      </c>
      <c r="AK2">
        <f>BDH("KMT US Equity","CF_CASH_FROM_OPER","1993-06-18","2026-05-02","Per=Y","Days=T","Dir=V")</f>
        <v>0</v>
      </c>
      <c r="AM2">
        <f>BDH("KMT US Equity","CAPITAL_EXPEND","1993-06-18","2026-05-02","Per=Y","Days=T","Dir=V")</f>
        <v>0</v>
      </c>
      <c r="AO2">
        <f>BDH("KMT US Equity","CF_FREE_CASH_FLOW","1993-06-18","2026-05-02","Per=Y","Days=T","Dir=V")</f>
        <v>0</v>
      </c>
      <c r="AQ2">
        <f>BDH("KMT US Equity","PX_LAST","1993-06-18","2026-05-02","Per=M","Days=T","Dir=V")</f>
        <v>0</v>
      </c>
      <c r="AS2">
        <f>BDH("KMT US Equity","CUR_MKT_CAP","1993-06-18","2026-05-02","Per=M","Days=T","Dir=V")</f>
        <v>0</v>
      </c>
      <c r="AU2">
        <f>BDH("KMT US Equity","EQY_SH_OUT","1993-06-18","2026-05-02","Per=M","Days=T","Dir=V")</f>
        <v>0</v>
      </c>
      <c r="AW2">
        <f>BDH("KMT US Equity","PX_VOLUME","1993-06-18","2026-05-02","Per=M","Days=T","Dir=V")</f>
        <v>0</v>
      </c>
      <c r="AY2">
        <f>BDH("KMT US Equity","TURNOVER","1993-06-18","2026-05-02","Per=M","Days=T","Dir=V")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BDH("KMTS US Equity","BS_TOT_ASSET","1993-06-18","2026-05-02","Per=Y","Days=T","Dir=V")</f>
        <v>0</v>
      </c>
      <c r="C2">
        <f>BDH("KMTS US Equity","BS_TOT_LIAB2","1993-06-18","2026-05-02","Per=Y","Days=T","Dir=V")</f>
        <v>0</v>
      </c>
      <c r="E2">
        <f>BDH("KMTS US Equity","SHORT_AND_LONG_TERM_DEBT","1993-06-18","2026-05-02","Per=Y","Days=T","Dir=V")</f>
        <v>0</v>
      </c>
      <c r="G2">
        <f>BDH("KMTS US Equity","BS_ST_BORROW","1993-06-18","2026-05-02","Per=Y","Days=T","Dir=V")</f>
        <v>0</v>
      </c>
      <c r="I2">
        <f>BDH("KMTS US Equity","BS_LT_BORROW","1993-06-18","2026-05-02","Per=Y","Days=T","Dir=V")</f>
        <v>0</v>
      </c>
      <c r="K2">
        <f>BDH("KMTS US Equity","BS_CASH_NEAR_CASH_ITEM","1993-06-18","2026-05-02","Per=Y","Days=T","Dir=V")</f>
        <v>0</v>
      </c>
      <c r="M2">
        <f>BDH("KMTS US Equity","BS_CUR_ASSET_REPORT","1993-06-18","2026-05-02","Per=Y","Days=T","Dir=V")</f>
        <v>0</v>
      </c>
      <c r="O2">
        <f>BDH("KMTS US Equity","BS_CUR_LIAB","1993-06-18","2026-05-02","Per=Y","Days=T","Dir=V")</f>
        <v>0</v>
      </c>
      <c r="Q2">
        <f>BDH("KMTS US Equity","BS_SHAREHOLDER_EQY_ENDING_PERIOD","1993-06-18","2026-05-02","Per=Y","Days=T","Dir=V")</f>
        <v>0</v>
      </c>
      <c r="S2">
        <f>BDH("KMTS US Equity","BS_ACCT_NOTE_RCV","1993-06-18","2026-05-02","Per=Y","Days=T","Dir=V")</f>
        <v>0</v>
      </c>
      <c r="U2">
        <f>BDH("KMTS US Equity","BS_INVENTORIES","1993-06-18","2026-05-02","Per=Y","Days=T","Dir=V")</f>
        <v>0</v>
      </c>
      <c r="W2">
        <f>BDH("KMTS US Equity","WORKING_CAPITAL","1993-06-18","2026-05-02","Per=Y","Days=T","Dir=V")</f>
        <v>0</v>
      </c>
      <c r="Y2">
        <f>BDH("KMTS US Equity","SALES_REV_TURN","1993-06-18","2026-05-02","Per=Y","Days=T","Dir=V")</f>
        <v>0</v>
      </c>
      <c r="AA2">
        <f>BDH("KMTS US Equity","EBIT","1993-06-18","2026-05-02","Per=Y","Days=T","Dir=V")</f>
        <v>0</v>
      </c>
      <c r="AC2">
        <f>BDH("KMTS US Equity","EBITDA","1993-06-18","2026-05-02","Per=Y","Days=T","Dir=V")</f>
        <v>0</v>
      </c>
      <c r="AE2">
        <f>BDH("KMTS US Equity","NET_INCOME","1993-06-18","2026-05-02","Per=Y","Days=T","Dir=V")</f>
        <v>0</v>
      </c>
      <c r="AG2">
        <f>BDH("KMTS US Equity","IS_INT_EXPENSE","1993-06-18","2026-05-02","Per=Y","Days=T","Dir=V")</f>
        <v>0</v>
      </c>
      <c r="AI2">
        <f>BDH("KMTS US Equity","IS_DEPR_EXP","1993-06-18","2026-05-02","Per=Y","Days=T","Dir=V")</f>
        <v>0</v>
      </c>
      <c r="AK2">
        <f>BDH("KMTS US Equity","CF_CASH_FROM_OPER","1993-06-18","2026-05-02","Per=Y","Days=T","Dir=V")</f>
        <v>0</v>
      </c>
      <c r="AM2">
        <f>BDH("KMTS US Equity","CAPITAL_EXPEND","1993-06-18","2026-05-02","Per=Y","Days=T","Dir=V")</f>
        <v>0</v>
      </c>
      <c r="AO2">
        <f>BDH("KMTS US Equity","CF_FREE_CASH_FLOW","1993-06-18","2026-05-02","Per=Y","Days=T","Dir=V")</f>
        <v>0</v>
      </c>
      <c r="AQ2">
        <f>BDH("KMTS US Equity","PX_LAST","1993-06-18","2026-05-02","Per=M","Days=T","Dir=V")</f>
        <v>0</v>
      </c>
      <c r="AS2">
        <f>BDH("KMTS US Equity","CUR_MKT_CAP","1993-06-18","2026-05-02","Per=M","Days=T","Dir=V")</f>
        <v>0</v>
      </c>
      <c r="AU2">
        <f>BDH("KMTS US Equity","EQY_SH_OUT","1993-06-18","2026-05-02","Per=M","Days=T","Dir=V")</f>
        <v>0</v>
      </c>
      <c r="AW2">
        <f>BDH("KMTS US Equity","PX_VOLUME","1993-06-18","2026-05-02","Per=M","Days=T","Dir=V")</f>
        <v>0</v>
      </c>
      <c r="AY2">
        <f>BDH("KMTS US Equity","TURNOVER","1993-06-18","2026-05-02","Per=M","Days=T","Dir=V")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BDH("KMX US Equity","BS_TOT_ASSET","1993-06-18","2026-05-02","Per=Y","Days=T","Dir=V")</f>
        <v>0</v>
      </c>
      <c r="C2">
        <f>BDH("KMX US Equity","BS_TOT_LIAB2","1993-06-18","2026-05-02","Per=Y","Days=T","Dir=V")</f>
        <v>0</v>
      </c>
      <c r="E2">
        <f>BDH("KMX US Equity","SHORT_AND_LONG_TERM_DEBT","1993-06-18","2026-05-02","Per=Y","Days=T","Dir=V")</f>
        <v>0</v>
      </c>
      <c r="G2">
        <f>BDH("KMX US Equity","BS_ST_BORROW","1993-06-18","2026-05-02","Per=Y","Days=T","Dir=V")</f>
        <v>0</v>
      </c>
      <c r="I2">
        <f>BDH("KMX US Equity","BS_LT_BORROW","1993-06-18","2026-05-02","Per=Y","Days=T","Dir=V")</f>
        <v>0</v>
      </c>
      <c r="K2">
        <f>BDH("KMX US Equity","BS_CASH_NEAR_CASH_ITEM","1993-06-18","2026-05-02","Per=Y","Days=T","Dir=V")</f>
        <v>0</v>
      </c>
      <c r="M2">
        <f>BDH("KMX US Equity","BS_CUR_ASSET_REPORT","1993-06-18","2026-05-02","Per=Y","Days=T","Dir=V")</f>
        <v>0</v>
      </c>
      <c r="O2">
        <f>BDH("KMX US Equity","BS_CUR_LIAB","1993-06-18","2026-05-02","Per=Y","Days=T","Dir=V")</f>
        <v>0</v>
      </c>
      <c r="Q2">
        <f>BDH("KMX US Equity","BS_SHAREHOLDER_EQY_ENDING_PERIOD","1993-06-18","2026-05-02","Per=Y","Days=T","Dir=V")</f>
        <v>0</v>
      </c>
      <c r="S2">
        <f>BDH("KMX US Equity","BS_ACCT_NOTE_RCV","1993-06-18","2026-05-02","Per=Y","Days=T","Dir=V")</f>
        <v>0</v>
      </c>
      <c r="U2">
        <f>BDH("KMX US Equity","BS_INVENTORIES","1993-06-18","2026-05-02","Per=Y","Days=T","Dir=V")</f>
        <v>0</v>
      </c>
      <c r="W2">
        <f>BDH("KMX US Equity","WORKING_CAPITAL","1993-06-18","2026-05-02","Per=Y","Days=T","Dir=V")</f>
        <v>0</v>
      </c>
      <c r="Y2">
        <f>BDH("KMX US Equity","SALES_REV_TURN","1993-06-18","2026-05-02","Per=Y","Days=T","Dir=V")</f>
        <v>0</v>
      </c>
      <c r="AA2">
        <f>BDH("KMX US Equity","EBIT","1993-06-18","2026-05-02","Per=Y","Days=T","Dir=V")</f>
        <v>0</v>
      </c>
      <c r="AC2">
        <f>BDH("KMX US Equity","EBITDA","1993-06-18","2026-05-02","Per=Y","Days=T","Dir=V")</f>
        <v>0</v>
      </c>
      <c r="AE2">
        <f>BDH("KMX US Equity","NET_INCOME","1993-06-18","2026-05-02","Per=Y","Days=T","Dir=V")</f>
        <v>0</v>
      </c>
      <c r="AG2">
        <f>BDH("KMX US Equity","IS_INT_EXPENSE","1993-06-18","2026-05-02","Per=Y","Days=T","Dir=V")</f>
        <v>0</v>
      </c>
      <c r="AI2">
        <f>BDH("KMX US Equity","IS_DEPR_EXP","1993-06-18","2026-05-02","Per=Y","Days=T","Dir=V")</f>
        <v>0</v>
      </c>
      <c r="AK2">
        <f>BDH("KMX US Equity","CF_CASH_FROM_OPER","1993-06-18","2026-05-02","Per=Y","Days=T","Dir=V")</f>
        <v>0</v>
      </c>
      <c r="AM2">
        <f>BDH("KMX US Equity","CAPITAL_EXPEND","1993-06-18","2026-05-02","Per=Y","Days=T","Dir=V")</f>
        <v>0</v>
      </c>
      <c r="AO2">
        <f>BDH("KMX US Equity","CF_FREE_CASH_FLOW","1993-06-18","2026-05-02","Per=Y","Days=T","Dir=V")</f>
        <v>0</v>
      </c>
      <c r="AQ2">
        <f>BDH("KMX US Equity","PX_LAST","1993-06-18","2026-05-02","Per=M","Days=T","Dir=V")</f>
        <v>0</v>
      </c>
      <c r="AS2">
        <f>BDH("KMX US Equity","CUR_MKT_CAP","1993-06-18","2026-05-02","Per=M","Days=T","Dir=V")</f>
        <v>0</v>
      </c>
      <c r="AU2">
        <f>BDH("KMX US Equity","EQY_SH_OUT","1993-06-18","2026-05-02","Per=M","Days=T","Dir=V")</f>
        <v>0</v>
      </c>
      <c r="AW2">
        <f>BDH("KMX US Equity","PX_VOLUME","1993-06-18","2026-05-02","Per=M","Days=T","Dir=V")</f>
        <v>0</v>
      </c>
      <c r="AY2">
        <f>BDH("KMX US Equity","TURNOVER","1993-06-18","2026-05-02","Per=M","Days=T","Dir=V")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BDH("KN US Equity","BS_TOT_ASSET","1993-06-18","2026-05-02","Per=Y","Days=T","Dir=V")</f>
        <v>0</v>
      </c>
      <c r="C2">
        <f>BDH("KN US Equity","BS_TOT_LIAB2","1993-06-18","2026-05-02","Per=Y","Days=T","Dir=V")</f>
        <v>0</v>
      </c>
      <c r="E2">
        <f>BDH("KN US Equity","SHORT_AND_LONG_TERM_DEBT","1993-06-18","2026-05-02","Per=Y","Days=T","Dir=V")</f>
        <v>0</v>
      </c>
      <c r="G2">
        <f>BDH("KN US Equity","BS_ST_BORROW","1993-06-18","2026-05-02","Per=Y","Days=T","Dir=V")</f>
        <v>0</v>
      </c>
      <c r="I2">
        <f>BDH("KN US Equity","BS_LT_BORROW","1993-06-18","2026-05-02","Per=Y","Days=T","Dir=V")</f>
        <v>0</v>
      </c>
      <c r="K2">
        <f>BDH("KN US Equity","BS_CASH_NEAR_CASH_ITEM","1993-06-18","2026-05-02","Per=Y","Days=T","Dir=V")</f>
        <v>0</v>
      </c>
      <c r="M2">
        <f>BDH("KN US Equity","BS_CUR_ASSET_REPORT","1993-06-18","2026-05-02","Per=Y","Days=T","Dir=V")</f>
        <v>0</v>
      </c>
      <c r="O2">
        <f>BDH("KN US Equity","BS_CUR_LIAB","1993-06-18","2026-05-02","Per=Y","Days=T","Dir=V")</f>
        <v>0</v>
      </c>
      <c r="Q2">
        <f>BDH("KN US Equity","BS_SHAREHOLDER_EQY_ENDING_PERIOD","1993-06-18","2026-05-02","Per=Y","Days=T","Dir=V")</f>
        <v>0</v>
      </c>
      <c r="S2">
        <f>BDH("KN US Equity","BS_ACCT_NOTE_RCV","1993-06-18","2026-05-02","Per=Y","Days=T","Dir=V")</f>
        <v>0</v>
      </c>
      <c r="U2">
        <f>BDH("KN US Equity","BS_INVENTORIES","1993-06-18","2026-05-02","Per=Y","Days=T","Dir=V")</f>
        <v>0</v>
      </c>
      <c r="W2">
        <f>BDH("KN US Equity","WORKING_CAPITAL","1993-06-18","2026-05-02","Per=Y","Days=T","Dir=V")</f>
        <v>0</v>
      </c>
      <c r="Y2">
        <f>BDH("KN US Equity","SALES_REV_TURN","1993-06-18","2026-05-02","Per=Y","Days=T","Dir=V")</f>
        <v>0</v>
      </c>
      <c r="AA2">
        <f>BDH("KN US Equity","EBIT","1993-06-18","2026-05-02","Per=Y","Days=T","Dir=V")</f>
        <v>0</v>
      </c>
      <c r="AC2">
        <f>BDH("KN US Equity","EBITDA","1993-06-18","2026-05-02","Per=Y","Days=T","Dir=V")</f>
        <v>0</v>
      </c>
      <c r="AE2">
        <f>BDH("KN US Equity","NET_INCOME","1993-06-18","2026-05-02","Per=Y","Days=T","Dir=V")</f>
        <v>0</v>
      </c>
      <c r="AG2">
        <f>BDH("KN US Equity","IS_INT_EXPENSE","1993-06-18","2026-05-02","Per=Y","Days=T","Dir=V")</f>
        <v>0</v>
      </c>
      <c r="AI2">
        <f>BDH("KN US Equity","IS_DEPR_EXP","1993-06-18","2026-05-02","Per=Y","Days=T","Dir=V")</f>
        <v>0</v>
      </c>
      <c r="AK2">
        <f>BDH("KN US Equity","CF_CASH_FROM_OPER","1993-06-18","2026-05-02","Per=Y","Days=T","Dir=V")</f>
        <v>0</v>
      </c>
      <c r="AM2">
        <f>BDH("KN US Equity","CAPITAL_EXPEND","1993-06-18","2026-05-02","Per=Y","Days=T","Dir=V")</f>
        <v>0</v>
      </c>
      <c r="AO2">
        <f>BDH("KN US Equity","CF_FREE_CASH_FLOW","1993-06-18","2026-05-02","Per=Y","Days=T","Dir=V")</f>
        <v>0</v>
      </c>
      <c r="AQ2">
        <f>BDH("KN US Equity","PX_LAST","1993-06-18","2026-05-02","Per=M","Days=T","Dir=V")</f>
        <v>0</v>
      </c>
      <c r="AS2">
        <f>BDH("KN US Equity","CUR_MKT_CAP","1993-06-18","2026-05-02","Per=M","Days=T","Dir=V")</f>
        <v>0</v>
      </c>
      <c r="AU2">
        <f>BDH("KN US Equity","EQY_SH_OUT","1993-06-18","2026-05-02","Per=M","Days=T","Dir=V")</f>
        <v>0</v>
      </c>
      <c r="AW2">
        <f>BDH("KN US Equity","PX_VOLUME","1993-06-18","2026-05-02","Per=M","Days=T","Dir=V")</f>
        <v>0</v>
      </c>
      <c r="AY2">
        <f>BDH("KN US Equity","TURNOVER","1993-06-18","2026-05-02","Per=M","Days=T","Dir=V")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BDH("KNF US Equity","BS_TOT_ASSET","1993-06-18","2026-05-02","Per=Y","Days=T","Dir=V")</f>
        <v>0</v>
      </c>
      <c r="C2">
        <f>BDH("KNF US Equity","BS_TOT_LIAB2","1993-06-18","2026-05-02","Per=Y","Days=T","Dir=V")</f>
        <v>0</v>
      </c>
      <c r="E2">
        <f>BDH("KNF US Equity","SHORT_AND_LONG_TERM_DEBT","1993-06-18","2026-05-02","Per=Y","Days=T","Dir=V")</f>
        <v>0</v>
      </c>
      <c r="G2">
        <f>BDH("KNF US Equity","BS_ST_BORROW","1993-06-18","2026-05-02","Per=Y","Days=T","Dir=V")</f>
        <v>0</v>
      </c>
      <c r="I2">
        <f>BDH("KNF US Equity","BS_LT_BORROW","1993-06-18","2026-05-02","Per=Y","Days=T","Dir=V")</f>
        <v>0</v>
      </c>
      <c r="K2">
        <f>BDH("KNF US Equity","BS_CASH_NEAR_CASH_ITEM","1993-06-18","2026-05-02","Per=Y","Days=T","Dir=V")</f>
        <v>0</v>
      </c>
      <c r="M2">
        <f>BDH("KNF US Equity","BS_CUR_ASSET_REPORT","1993-06-18","2026-05-02","Per=Y","Days=T","Dir=V")</f>
        <v>0</v>
      </c>
      <c r="O2">
        <f>BDH("KNF US Equity","BS_CUR_LIAB","1993-06-18","2026-05-02","Per=Y","Days=T","Dir=V")</f>
        <v>0</v>
      </c>
      <c r="Q2">
        <f>BDH("KNF US Equity","BS_SHAREHOLDER_EQY_ENDING_PERIOD","1993-06-18","2026-05-02","Per=Y","Days=T","Dir=V")</f>
        <v>0</v>
      </c>
      <c r="S2">
        <f>BDH("KNF US Equity","BS_ACCT_NOTE_RCV","1993-06-18","2026-05-02","Per=Y","Days=T","Dir=V")</f>
        <v>0</v>
      </c>
      <c r="U2">
        <f>BDH("KNF US Equity","BS_INVENTORIES","1993-06-18","2026-05-02","Per=Y","Days=T","Dir=V")</f>
        <v>0</v>
      </c>
      <c r="W2">
        <f>BDH("KNF US Equity","WORKING_CAPITAL","1993-06-18","2026-05-02","Per=Y","Days=T","Dir=V")</f>
        <v>0</v>
      </c>
      <c r="Y2">
        <f>BDH("KNF US Equity","SALES_REV_TURN","1993-06-18","2026-05-02","Per=Y","Days=T","Dir=V")</f>
        <v>0</v>
      </c>
      <c r="AA2">
        <f>BDH("KNF US Equity","EBIT","1993-06-18","2026-05-02","Per=Y","Days=T","Dir=V")</f>
        <v>0</v>
      </c>
      <c r="AC2">
        <f>BDH("KNF US Equity","EBITDA","1993-06-18","2026-05-02","Per=Y","Days=T","Dir=V")</f>
        <v>0</v>
      </c>
      <c r="AE2">
        <f>BDH("KNF US Equity","NET_INCOME","1993-06-18","2026-05-02","Per=Y","Days=T","Dir=V")</f>
        <v>0</v>
      </c>
      <c r="AG2">
        <f>BDH("KNF US Equity","IS_INT_EXPENSE","1993-06-18","2026-05-02","Per=Y","Days=T","Dir=V")</f>
        <v>0</v>
      </c>
      <c r="AI2">
        <f>BDH("KNF US Equity","IS_DEPR_EXP","1993-06-18","2026-05-02","Per=Y","Days=T","Dir=V")</f>
        <v>0</v>
      </c>
      <c r="AK2">
        <f>BDH("KNF US Equity","CF_CASH_FROM_OPER","1993-06-18","2026-05-02","Per=Y","Days=T","Dir=V")</f>
        <v>0</v>
      </c>
      <c r="AM2">
        <f>BDH("KNF US Equity","CAPITAL_EXPEND","1993-06-18","2026-05-02","Per=Y","Days=T","Dir=V")</f>
        <v>0</v>
      </c>
      <c r="AO2">
        <f>BDH("KNF US Equity","CF_FREE_CASH_FLOW","1993-06-18","2026-05-02","Per=Y","Days=T","Dir=V")</f>
        <v>0</v>
      </c>
      <c r="AQ2">
        <f>BDH("KNF US Equity","PX_LAST","1993-06-18","2026-05-02","Per=M","Days=T","Dir=V")</f>
        <v>0</v>
      </c>
      <c r="AS2">
        <f>BDH("KNF US Equity","CUR_MKT_CAP","1993-06-18","2026-05-02","Per=M","Days=T","Dir=V")</f>
        <v>0</v>
      </c>
      <c r="AU2">
        <f>BDH("KNF US Equity","EQY_SH_OUT","1993-06-18","2026-05-02","Per=M","Days=T","Dir=V")</f>
        <v>0</v>
      </c>
      <c r="AW2">
        <f>BDH("KNF US Equity","PX_VOLUME","1993-06-18","2026-05-02","Per=M","Days=T","Dir=V")</f>
        <v>0</v>
      </c>
      <c r="AY2">
        <f>BDH("KNF US Equity","TURNOVER","1993-06-18","2026-05-02","Per=M","Days=T","Dir=V")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BDH("KNSA US Equity","BS_TOT_ASSET","1993-06-18","2026-05-02","Per=Y","Days=T","Dir=V")</f>
        <v>0</v>
      </c>
      <c r="C2">
        <f>BDH("KNSA US Equity","BS_TOT_LIAB2","1993-06-18","2026-05-02","Per=Y","Days=T","Dir=V")</f>
        <v>0</v>
      </c>
      <c r="E2">
        <f>BDH("KNSA US Equity","SHORT_AND_LONG_TERM_DEBT","1993-06-18","2026-05-02","Per=Y","Days=T","Dir=V")</f>
        <v>0</v>
      </c>
      <c r="G2">
        <f>BDH("KNSA US Equity","BS_ST_BORROW","1993-06-18","2026-05-02","Per=Y","Days=T","Dir=V")</f>
        <v>0</v>
      </c>
      <c r="I2">
        <f>BDH("KNSA US Equity","BS_LT_BORROW","1993-06-18","2026-05-02","Per=Y","Days=T","Dir=V")</f>
        <v>0</v>
      </c>
      <c r="K2">
        <f>BDH("KNSA US Equity","BS_CASH_NEAR_CASH_ITEM","1993-06-18","2026-05-02","Per=Y","Days=T","Dir=V")</f>
        <v>0</v>
      </c>
      <c r="M2">
        <f>BDH("KNSA US Equity","BS_CUR_ASSET_REPORT","1993-06-18","2026-05-02","Per=Y","Days=T","Dir=V")</f>
        <v>0</v>
      </c>
      <c r="O2">
        <f>BDH("KNSA US Equity","BS_CUR_LIAB","1993-06-18","2026-05-02","Per=Y","Days=T","Dir=V")</f>
        <v>0</v>
      </c>
      <c r="Q2">
        <f>BDH("KNSA US Equity","BS_SHAREHOLDER_EQY_ENDING_PERIOD","1993-06-18","2026-05-02","Per=Y","Days=T","Dir=V")</f>
        <v>0</v>
      </c>
      <c r="S2">
        <f>BDH("KNSA US Equity","BS_ACCT_NOTE_RCV","1993-06-18","2026-05-02","Per=Y","Days=T","Dir=V")</f>
        <v>0</v>
      </c>
      <c r="U2">
        <f>BDH("KNSA US Equity","BS_INVENTORIES","1993-06-18","2026-05-02","Per=Y","Days=T","Dir=V")</f>
        <v>0</v>
      </c>
      <c r="W2">
        <f>BDH("KNSA US Equity","WORKING_CAPITAL","1993-06-18","2026-05-02","Per=Y","Days=T","Dir=V")</f>
        <v>0</v>
      </c>
      <c r="Y2">
        <f>BDH("KNSA US Equity","SALES_REV_TURN","1993-06-18","2026-05-02","Per=Y","Days=T","Dir=V")</f>
        <v>0</v>
      </c>
      <c r="AA2">
        <f>BDH("KNSA US Equity","EBIT","1993-06-18","2026-05-02","Per=Y","Days=T","Dir=V")</f>
        <v>0</v>
      </c>
      <c r="AC2">
        <f>BDH("KNSA US Equity","EBITDA","1993-06-18","2026-05-02","Per=Y","Days=T","Dir=V")</f>
        <v>0</v>
      </c>
      <c r="AE2">
        <f>BDH("KNSA US Equity","NET_INCOME","1993-06-18","2026-05-02","Per=Y","Days=T","Dir=V")</f>
        <v>0</v>
      </c>
      <c r="AG2">
        <f>BDH("KNSA US Equity","IS_INT_EXPENSE","1993-06-18","2026-05-02","Per=Y","Days=T","Dir=V")</f>
        <v>0</v>
      </c>
      <c r="AI2">
        <f>BDH("KNSA US Equity","IS_DEPR_EXP","1993-06-18","2026-05-02","Per=Y","Days=T","Dir=V")</f>
        <v>0</v>
      </c>
      <c r="AK2">
        <f>BDH("KNSA US Equity","CF_CASH_FROM_OPER","1993-06-18","2026-05-02","Per=Y","Days=T","Dir=V")</f>
        <v>0</v>
      </c>
      <c r="AM2">
        <f>BDH("KNSA US Equity","CAPITAL_EXPEND","1993-06-18","2026-05-02","Per=Y","Days=T","Dir=V")</f>
        <v>0</v>
      </c>
      <c r="AO2">
        <f>BDH("KNSA US Equity","CF_FREE_CASH_FLOW","1993-06-18","2026-05-02","Per=Y","Days=T","Dir=V")</f>
        <v>0</v>
      </c>
      <c r="AQ2">
        <f>BDH("KNSA US Equity","PX_LAST","1993-06-18","2026-05-02","Per=M","Days=T","Dir=V")</f>
        <v>0</v>
      </c>
      <c r="AS2">
        <f>BDH("KNSA US Equity","CUR_MKT_CAP","1993-06-18","2026-05-02","Per=M","Days=T","Dir=V")</f>
        <v>0</v>
      </c>
      <c r="AU2">
        <f>BDH("KNSA US Equity","EQY_SH_OUT","1993-06-18","2026-05-02","Per=M","Days=T","Dir=V")</f>
        <v>0</v>
      </c>
      <c r="AW2">
        <f>BDH("KNSA US Equity","PX_VOLUME","1993-06-18","2026-05-02","Per=M","Days=T","Dir=V")</f>
        <v>0</v>
      </c>
      <c r="AY2">
        <f>BDH("KNSA US Equity","TURNOVER","1993-06-18","2026-05-02","Per=M","Days=T","Dir=V")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BDH("KNTK US Equity","BS_TOT_ASSET","1993-06-18","2026-05-02","Per=Y","Days=T","Dir=V")</f>
        <v>0</v>
      </c>
      <c r="C2">
        <f>BDH("KNTK US Equity","BS_TOT_LIAB2","1993-06-18","2026-05-02","Per=Y","Days=T","Dir=V")</f>
        <v>0</v>
      </c>
      <c r="E2">
        <f>BDH("KNTK US Equity","SHORT_AND_LONG_TERM_DEBT","1993-06-18","2026-05-02","Per=Y","Days=T","Dir=V")</f>
        <v>0</v>
      </c>
      <c r="G2">
        <f>BDH("KNTK US Equity","BS_ST_BORROW","1993-06-18","2026-05-02","Per=Y","Days=T","Dir=V")</f>
        <v>0</v>
      </c>
      <c r="I2">
        <f>BDH("KNTK US Equity","BS_LT_BORROW","1993-06-18","2026-05-02","Per=Y","Days=T","Dir=V")</f>
        <v>0</v>
      </c>
      <c r="K2">
        <f>BDH("KNTK US Equity","BS_CASH_NEAR_CASH_ITEM","1993-06-18","2026-05-02","Per=Y","Days=T","Dir=V")</f>
        <v>0</v>
      </c>
      <c r="M2">
        <f>BDH("KNTK US Equity","BS_CUR_ASSET_REPORT","1993-06-18","2026-05-02","Per=Y","Days=T","Dir=V")</f>
        <v>0</v>
      </c>
      <c r="O2">
        <f>BDH("KNTK US Equity","BS_CUR_LIAB","1993-06-18","2026-05-02","Per=Y","Days=T","Dir=V")</f>
        <v>0</v>
      </c>
      <c r="Q2">
        <f>BDH("KNTK US Equity","BS_SHAREHOLDER_EQY_ENDING_PERIOD","1993-06-18","2026-05-02","Per=Y","Days=T","Dir=V")</f>
        <v>0</v>
      </c>
      <c r="S2">
        <f>BDH("KNTK US Equity","BS_ACCT_NOTE_RCV","1993-06-18","2026-05-02","Per=Y","Days=T","Dir=V")</f>
        <v>0</v>
      </c>
      <c r="U2">
        <f>BDH("KNTK US Equity","BS_INVENTORIES","1993-06-18","2026-05-02","Per=Y","Days=T","Dir=V")</f>
        <v>0</v>
      </c>
      <c r="W2">
        <f>BDH("KNTK US Equity","WORKING_CAPITAL","1993-06-18","2026-05-02","Per=Y","Days=T","Dir=V")</f>
        <v>0</v>
      </c>
      <c r="Y2">
        <f>BDH("KNTK US Equity","SALES_REV_TURN","1993-06-18","2026-05-02","Per=Y","Days=T","Dir=V")</f>
        <v>0</v>
      </c>
      <c r="AA2">
        <f>BDH("KNTK US Equity","EBIT","1993-06-18","2026-05-02","Per=Y","Days=T","Dir=V")</f>
        <v>0</v>
      </c>
      <c r="AC2">
        <f>BDH("KNTK US Equity","EBITDA","1993-06-18","2026-05-02","Per=Y","Days=T","Dir=V")</f>
        <v>0</v>
      </c>
      <c r="AE2">
        <f>BDH("KNTK US Equity","NET_INCOME","1993-06-18","2026-05-02","Per=Y","Days=T","Dir=V")</f>
        <v>0</v>
      </c>
      <c r="AG2">
        <f>BDH("KNTK US Equity","IS_INT_EXPENSE","1993-06-18","2026-05-02","Per=Y","Days=T","Dir=V")</f>
        <v>0</v>
      </c>
      <c r="AI2">
        <f>BDH("KNTK US Equity","IS_DEPR_EXP","1993-06-18","2026-05-02","Per=Y","Days=T","Dir=V")</f>
        <v>0</v>
      </c>
      <c r="AK2">
        <f>BDH("KNTK US Equity","CF_CASH_FROM_OPER","1993-06-18","2026-05-02","Per=Y","Days=T","Dir=V")</f>
        <v>0</v>
      </c>
      <c r="AM2">
        <f>BDH("KNTK US Equity","CAPITAL_EXPEND","1993-06-18","2026-05-02","Per=Y","Days=T","Dir=V")</f>
        <v>0</v>
      </c>
      <c r="AO2">
        <f>BDH("KNTK US Equity","CF_FREE_CASH_FLOW","1993-06-18","2026-05-02","Per=Y","Days=T","Dir=V")</f>
        <v>0</v>
      </c>
      <c r="AQ2">
        <f>BDH("KNTK US Equity","PX_LAST","1993-06-18","2026-05-02","Per=M","Days=T","Dir=V")</f>
        <v>0</v>
      </c>
      <c r="AS2">
        <f>BDH("KNTK US Equity","CUR_MKT_CAP","1993-06-18","2026-05-02","Per=M","Days=T","Dir=V")</f>
        <v>0</v>
      </c>
      <c r="AU2">
        <f>BDH("KNTK US Equity","EQY_SH_OUT","1993-06-18","2026-05-02","Per=M","Days=T","Dir=V")</f>
        <v>0</v>
      </c>
      <c r="AW2">
        <f>BDH("KNTK US Equity","PX_VOLUME","1993-06-18","2026-05-02","Per=M","Days=T","Dir=V")</f>
        <v>0</v>
      </c>
      <c r="AY2">
        <f>BDH("KNTK US Equity","TURNOVER","1993-06-18","2026-05-02","Per=M","Days=T","Dir=V")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BDH("KNX US Equity","BS_TOT_ASSET","1993-06-18","2026-05-02","Per=Y","Days=T","Dir=V")</f>
        <v>0</v>
      </c>
      <c r="C2">
        <f>BDH("KNX US Equity","BS_TOT_LIAB2","1993-06-18","2026-05-02","Per=Y","Days=T","Dir=V")</f>
        <v>0</v>
      </c>
      <c r="E2">
        <f>BDH("KNX US Equity","SHORT_AND_LONG_TERM_DEBT","1993-06-18","2026-05-02","Per=Y","Days=T","Dir=V")</f>
        <v>0</v>
      </c>
      <c r="G2">
        <f>BDH("KNX US Equity","BS_ST_BORROW","1993-06-18","2026-05-02","Per=Y","Days=T","Dir=V")</f>
        <v>0</v>
      </c>
      <c r="I2">
        <f>BDH("KNX US Equity","BS_LT_BORROW","1993-06-18","2026-05-02","Per=Y","Days=T","Dir=V")</f>
        <v>0</v>
      </c>
      <c r="K2">
        <f>BDH("KNX US Equity","BS_CASH_NEAR_CASH_ITEM","1993-06-18","2026-05-02","Per=Y","Days=T","Dir=V")</f>
        <v>0</v>
      </c>
      <c r="M2">
        <f>BDH("KNX US Equity","BS_CUR_ASSET_REPORT","1993-06-18","2026-05-02","Per=Y","Days=T","Dir=V")</f>
        <v>0</v>
      </c>
      <c r="O2">
        <f>BDH("KNX US Equity","BS_CUR_LIAB","1993-06-18","2026-05-02","Per=Y","Days=T","Dir=V")</f>
        <v>0</v>
      </c>
      <c r="Q2">
        <f>BDH("KNX US Equity","BS_SHAREHOLDER_EQY_ENDING_PERIOD","1993-06-18","2026-05-02","Per=Y","Days=T","Dir=V")</f>
        <v>0</v>
      </c>
      <c r="S2">
        <f>BDH("KNX US Equity","BS_ACCT_NOTE_RCV","1993-06-18","2026-05-02","Per=Y","Days=T","Dir=V")</f>
        <v>0</v>
      </c>
      <c r="U2">
        <f>BDH("KNX US Equity","BS_INVENTORIES","1993-06-18","2026-05-02","Per=Y","Days=T","Dir=V")</f>
        <v>0</v>
      </c>
      <c r="W2">
        <f>BDH("KNX US Equity","WORKING_CAPITAL","1993-06-18","2026-05-02","Per=Y","Days=T","Dir=V")</f>
        <v>0</v>
      </c>
      <c r="Y2">
        <f>BDH("KNX US Equity","SALES_REV_TURN","1993-06-18","2026-05-02","Per=Y","Days=T","Dir=V")</f>
        <v>0</v>
      </c>
      <c r="AA2">
        <f>BDH("KNX US Equity","EBIT","1993-06-18","2026-05-02","Per=Y","Days=T","Dir=V")</f>
        <v>0</v>
      </c>
      <c r="AC2">
        <f>BDH("KNX US Equity","EBITDA","1993-06-18","2026-05-02","Per=Y","Days=T","Dir=V")</f>
        <v>0</v>
      </c>
      <c r="AE2">
        <f>BDH("KNX US Equity","NET_INCOME","1993-06-18","2026-05-02","Per=Y","Days=T","Dir=V")</f>
        <v>0</v>
      </c>
      <c r="AG2">
        <f>BDH("KNX US Equity","IS_INT_EXPENSE","1993-06-18","2026-05-02","Per=Y","Days=T","Dir=V")</f>
        <v>0</v>
      </c>
      <c r="AI2">
        <f>BDH("KNX US Equity","IS_DEPR_EXP","1993-06-18","2026-05-02","Per=Y","Days=T","Dir=V")</f>
        <v>0</v>
      </c>
      <c r="AK2">
        <f>BDH("KNX US Equity","CF_CASH_FROM_OPER","1993-06-18","2026-05-02","Per=Y","Days=T","Dir=V")</f>
        <v>0</v>
      </c>
      <c r="AM2">
        <f>BDH("KNX US Equity","CAPITAL_EXPEND","1993-06-18","2026-05-02","Per=Y","Days=T","Dir=V")</f>
        <v>0</v>
      </c>
      <c r="AO2">
        <f>BDH("KNX US Equity","CF_FREE_CASH_FLOW","1993-06-18","2026-05-02","Per=Y","Days=T","Dir=V")</f>
        <v>0</v>
      </c>
      <c r="AQ2">
        <f>BDH("KNX US Equity","PX_LAST","1993-06-18","2026-05-02","Per=M","Days=T","Dir=V")</f>
        <v>0</v>
      </c>
      <c r="AS2">
        <f>BDH("KNX US Equity","CUR_MKT_CAP","1993-06-18","2026-05-02","Per=M","Days=T","Dir=V")</f>
        <v>0</v>
      </c>
      <c r="AU2">
        <f>BDH("KNX US Equity","EQY_SH_OUT","1993-06-18","2026-05-02","Per=M","Days=T","Dir=V")</f>
        <v>0</v>
      </c>
      <c r="AW2">
        <f>BDH("KNX US Equity","PX_VOLUME","1993-06-18","2026-05-02","Per=M","Days=T","Dir=V")</f>
        <v>0</v>
      </c>
      <c r="AY2">
        <f>BDH("KNX US Equity","TURNOVER","1993-06-18","2026-05-02","Per=M","Days=T","Dir=V")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BDH("KO US Equity","BS_TOT_ASSET","1993-06-18","2026-05-02","Per=Y","Days=T","Dir=V")</f>
        <v>0</v>
      </c>
      <c r="C2">
        <f>BDH("KO US Equity","BS_TOT_LIAB2","1993-06-18","2026-05-02","Per=Y","Days=T","Dir=V")</f>
        <v>0</v>
      </c>
      <c r="E2">
        <f>BDH("KO US Equity","SHORT_AND_LONG_TERM_DEBT","1993-06-18","2026-05-02","Per=Y","Days=T","Dir=V")</f>
        <v>0</v>
      </c>
      <c r="G2">
        <f>BDH("KO US Equity","BS_ST_BORROW","1993-06-18","2026-05-02","Per=Y","Days=T","Dir=V")</f>
        <v>0</v>
      </c>
      <c r="I2">
        <f>BDH("KO US Equity","BS_LT_BORROW","1993-06-18","2026-05-02","Per=Y","Days=T","Dir=V")</f>
        <v>0</v>
      </c>
      <c r="K2">
        <f>BDH("KO US Equity","BS_CASH_NEAR_CASH_ITEM","1993-06-18","2026-05-02","Per=Y","Days=T","Dir=V")</f>
        <v>0</v>
      </c>
      <c r="M2">
        <f>BDH("KO US Equity","BS_CUR_ASSET_REPORT","1993-06-18","2026-05-02","Per=Y","Days=T","Dir=V")</f>
        <v>0</v>
      </c>
      <c r="O2">
        <f>BDH("KO US Equity","BS_CUR_LIAB","1993-06-18","2026-05-02","Per=Y","Days=T","Dir=V")</f>
        <v>0</v>
      </c>
      <c r="Q2">
        <f>BDH("KO US Equity","BS_SHAREHOLDER_EQY_ENDING_PERIOD","1993-06-18","2026-05-02","Per=Y","Days=T","Dir=V")</f>
        <v>0</v>
      </c>
      <c r="S2">
        <f>BDH("KO US Equity","BS_ACCT_NOTE_RCV","1993-06-18","2026-05-02","Per=Y","Days=T","Dir=V")</f>
        <v>0</v>
      </c>
      <c r="U2">
        <f>BDH("KO US Equity","BS_INVENTORIES","1993-06-18","2026-05-02","Per=Y","Days=T","Dir=V")</f>
        <v>0</v>
      </c>
      <c r="W2">
        <f>BDH("KO US Equity","WORKING_CAPITAL","1993-06-18","2026-05-02","Per=Y","Days=T","Dir=V")</f>
        <v>0</v>
      </c>
      <c r="Y2">
        <f>BDH("KO US Equity","SALES_REV_TURN","1993-06-18","2026-05-02","Per=Y","Days=T","Dir=V")</f>
        <v>0</v>
      </c>
      <c r="AA2">
        <f>BDH("KO US Equity","EBIT","1993-06-18","2026-05-02","Per=Y","Days=T","Dir=V")</f>
        <v>0</v>
      </c>
      <c r="AC2">
        <f>BDH("KO US Equity","EBITDA","1993-06-18","2026-05-02","Per=Y","Days=T","Dir=V")</f>
        <v>0</v>
      </c>
      <c r="AE2">
        <f>BDH("KO US Equity","NET_INCOME","1993-06-18","2026-05-02","Per=Y","Days=T","Dir=V")</f>
        <v>0</v>
      </c>
      <c r="AG2">
        <f>BDH("KO US Equity","IS_INT_EXPENSE","1993-06-18","2026-05-02","Per=Y","Days=T","Dir=V")</f>
        <v>0</v>
      </c>
      <c r="AI2">
        <f>BDH("KO US Equity","IS_DEPR_EXP","1993-06-18","2026-05-02","Per=Y","Days=T","Dir=V")</f>
        <v>0</v>
      </c>
      <c r="AK2">
        <f>BDH("KO US Equity","CF_CASH_FROM_OPER","1993-06-18","2026-05-02","Per=Y","Days=T","Dir=V")</f>
        <v>0</v>
      </c>
      <c r="AM2">
        <f>BDH("KO US Equity","CAPITAL_EXPEND","1993-06-18","2026-05-02","Per=Y","Days=T","Dir=V")</f>
        <v>0</v>
      </c>
      <c r="AO2">
        <f>BDH("KO US Equity","CF_FREE_CASH_FLOW","1993-06-18","2026-05-02","Per=Y","Days=T","Dir=V")</f>
        <v>0</v>
      </c>
      <c r="AQ2">
        <f>BDH("KO US Equity","PX_LAST","1993-06-18","2026-05-02","Per=M","Days=T","Dir=V")</f>
        <v>0</v>
      </c>
      <c r="AS2">
        <f>BDH("KO US Equity","CUR_MKT_CAP","1993-06-18","2026-05-02","Per=M","Days=T","Dir=V")</f>
        <v>0</v>
      </c>
      <c r="AU2">
        <f>BDH("KO US Equity","EQY_SH_OUT","1993-06-18","2026-05-02","Per=M","Days=T","Dir=V")</f>
        <v>0</v>
      </c>
      <c r="AW2">
        <f>BDH("KO US Equity","PX_VOLUME","1993-06-18","2026-05-02","Per=M","Days=T","Dir=V")</f>
        <v>0</v>
      </c>
      <c r="AY2">
        <f>BDH("KO US Equity","TURNOVER","1993-06-18","2026-05-02","Per=M","Days=T","Dir=V")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BDH("KOD US Equity","BS_TOT_ASSET","1993-06-18","2026-05-02","Per=Y","Days=T","Dir=V")</f>
        <v>0</v>
      </c>
      <c r="C2">
        <f>BDH("KOD US Equity","BS_TOT_LIAB2","1993-06-18","2026-05-02","Per=Y","Days=T","Dir=V")</f>
        <v>0</v>
      </c>
      <c r="E2">
        <f>BDH("KOD US Equity","SHORT_AND_LONG_TERM_DEBT","1993-06-18","2026-05-02","Per=Y","Days=T","Dir=V")</f>
        <v>0</v>
      </c>
      <c r="G2">
        <f>BDH("KOD US Equity","BS_ST_BORROW","1993-06-18","2026-05-02","Per=Y","Days=T","Dir=V")</f>
        <v>0</v>
      </c>
      <c r="I2">
        <f>BDH("KOD US Equity","BS_LT_BORROW","1993-06-18","2026-05-02","Per=Y","Days=T","Dir=V")</f>
        <v>0</v>
      </c>
      <c r="K2">
        <f>BDH("KOD US Equity","BS_CASH_NEAR_CASH_ITEM","1993-06-18","2026-05-02","Per=Y","Days=T","Dir=V")</f>
        <v>0</v>
      </c>
      <c r="M2">
        <f>BDH("KOD US Equity","BS_CUR_ASSET_REPORT","1993-06-18","2026-05-02","Per=Y","Days=T","Dir=V")</f>
        <v>0</v>
      </c>
      <c r="O2">
        <f>BDH("KOD US Equity","BS_CUR_LIAB","1993-06-18","2026-05-02","Per=Y","Days=T","Dir=V")</f>
        <v>0</v>
      </c>
      <c r="Q2">
        <f>BDH("KOD US Equity","BS_SHAREHOLDER_EQY_ENDING_PERIOD","1993-06-18","2026-05-02","Per=Y","Days=T","Dir=V")</f>
        <v>0</v>
      </c>
      <c r="S2">
        <f>BDH("KOD US Equity","BS_ACCT_NOTE_RCV","1993-06-18","2026-05-02","Per=Y","Days=T","Dir=V")</f>
        <v>0</v>
      </c>
      <c r="U2">
        <f>BDH("KOD US Equity","BS_INVENTORIES","1993-06-18","2026-05-02","Per=Y","Days=T","Dir=V")</f>
        <v>0</v>
      </c>
      <c r="W2">
        <f>BDH("KOD US Equity","WORKING_CAPITAL","1993-06-18","2026-05-02","Per=Y","Days=T","Dir=V")</f>
        <v>0</v>
      </c>
      <c r="Y2">
        <f>BDH("KOD US Equity","SALES_REV_TURN","1993-06-18","2026-05-02","Per=Y","Days=T","Dir=V")</f>
        <v>0</v>
      </c>
      <c r="AA2">
        <f>BDH("KOD US Equity","EBIT","1993-06-18","2026-05-02","Per=Y","Days=T","Dir=V")</f>
        <v>0</v>
      </c>
      <c r="AC2">
        <f>BDH("KOD US Equity","EBITDA","1993-06-18","2026-05-02","Per=Y","Days=T","Dir=V")</f>
        <v>0</v>
      </c>
      <c r="AE2">
        <f>BDH("KOD US Equity","NET_INCOME","1993-06-18","2026-05-02","Per=Y","Days=T","Dir=V")</f>
        <v>0</v>
      </c>
      <c r="AG2">
        <f>BDH("KOD US Equity","IS_INT_EXPENSE","1993-06-18","2026-05-02","Per=Y","Days=T","Dir=V")</f>
        <v>0</v>
      </c>
      <c r="AI2">
        <f>BDH("KOD US Equity","IS_DEPR_EXP","1993-06-18","2026-05-02","Per=Y","Days=T","Dir=V")</f>
        <v>0</v>
      </c>
      <c r="AK2">
        <f>BDH("KOD US Equity","CF_CASH_FROM_OPER","1993-06-18","2026-05-02","Per=Y","Days=T","Dir=V")</f>
        <v>0</v>
      </c>
      <c r="AM2">
        <f>BDH("KOD US Equity","CAPITAL_EXPEND","1993-06-18","2026-05-02","Per=Y","Days=T","Dir=V")</f>
        <v>0</v>
      </c>
      <c r="AO2">
        <f>BDH("KOD US Equity","CF_FREE_CASH_FLOW","1993-06-18","2026-05-02","Per=Y","Days=T","Dir=V")</f>
        <v>0</v>
      </c>
      <c r="AQ2">
        <f>BDH("KOD US Equity","PX_LAST","1993-06-18","2026-05-02","Per=M","Days=T","Dir=V")</f>
        <v>0</v>
      </c>
      <c r="AS2">
        <f>BDH("KOD US Equity","CUR_MKT_CAP","1993-06-18","2026-05-02","Per=M","Days=T","Dir=V")</f>
        <v>0</v>
      </c>
      <c r="AU2">
        <f>BDH("KOD US Equity","EQY_SH_OUT","1993-06-18","2026-05-02","Per=M","Days=T","Dir=V")</f>
        <v>0</v>
      </c>
      <c r="AW2">
        <f>BDH("KOD US Equity","PX_VOLUME","1993-06-18","2026-05-02","Per=M","Days=T","Dir=V")</f>
        <v>0</v>
      </c>
      <c r="AY2">
        <f>BDH("KOD US Equity","TURNOVER","1993-06-18","2026-05-02","Per=M","Days=T","Dir=V")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BDH("KODK US Equity","BS_TOT_ASSET","1993-06-18","2026-05-02","Per=Y","Days=T","Dir=V")</f>
        <v>0</v>
      </c>
      <c r="C2">
        <f>BDH("KODK US Equity","BS_TOT_LIAB2","1993-06-18","2026-05-02","Per=Y","Days=T","Dir=V")</f>
        <v>0</v>
      </c>
      <c r="E2">
        <f>BDH("KODK US Equity","SHORT_AND_LONG_TERM_DEBT","1993-06-18","2026-05-02","Per=Y","Days=T","Dir=V")</f>
        <v>0</v>
      </c>
      <c r="G2">
        <f>BDH("KODK US Equity","BS_ST_BORROW","1993-06-18","2026-05-02","Per=Y","Days=T","Dir=V")</f>
        <v>0</v>
      </c>
      <c r="I2">
        <f>BDH("KODK US Equity","BS_LT_BORROW","1993-06-18","2026-05-02","Per=Y","Days=T","Dir=V")</f>
        <v>0</v>
      </c>
      <c r="K2">
        <f>BDH("KODK US Equity","BS_CASH_NEAR_CASH_ITEM","1993-06-18","2026-05-02","Per=Y","Days=T","Dir=V")</f>
        <v>0</v>
      </c>
      <c r="M2">
        <f>BDH("KODK US Equity","BS_CUR_ASSET_REPORT","1993-06-18","2026-05-02","Per=Y","Days=T","Dir=V")</f>
        <v>0</v>
      </c>
      <c r="O2">
        <f>BDH("KODK US Equity","BS_CUR_LIAB","1993-06-18","2026-05-02","Per=Y","Days=T","Dir=V")</f>
        <v>0</v>
      </c>
      <c r="Q2">
        <f>BDH("KODK US Equity","BS_SHAREHOLDER_EQY_ENDING_PERIOD","1993-06-18","2026-05-02","Per=Y","Days=T","Dir=V")</f>
        <v>0</v>
      </c>
      <c r="S2">
        <f>BDH("KODK US Equity","BS_ACCT_NOTE_RCV","1993-06-18","2026-05-02","Per=Y","Days=T","Dir=V")</f>
        <v>0</v>
      </c>
      <c r="U2">
        <f>BDH("KODK US Equity","BS_INVENTORIES","1993-06-18","2026-05-02","Per=Y","Days=T","Dir=V")</f>
        <v>0</v>
      </c>
      <c r="W2">
        <f>BDH("KODK US Equity","WORKING_CAPITAL","1993-06-18","2026-05-02","Per=Y","Days=T","Dir=V")</f>
        <v>0</v>
      </c>
      <c r="Y2">
        <f>BDH("KODK US Equity","SALES_REV_TURN","1993-06-18","2026-05-02","Per=Y","Days=T","Dir=V")</f>
        <v>0</v>
      </c>
      <c r="AA2">
        <f>BDH("KODK US Equity","EBIT","1993-06-18","2026-05-02","Per=Y","Days=T","Dir=V")</f>
        <v>0</v>
      </c>
      <c r="AC2">
        <f>BDH("KODK US Equity","EBITDA","1993-06-18","2026-05-02","Per=Y","Days=T","Dir=V")</f>
        <v>0</v>
      </c>
      <c r="AE2">
        <f>BDH("KODK US Equity","NET_INCOME","1993-06-18","2026-05-02","Per=Y","Days=T","Dir=V")</f>
        <v>0</v>
      </c>
      <c r="AG2">
        <f>BDH("KODK US Equity","IS_INT_EXPENSE","1993-06-18","2026-05-02","Per=Y","Days=T","Dir=V")</f>
        <v>0</v>
      </c>
      <c r="AI2">
        <f>BDH("KODK US Equity","IS_DEPR_EXP","1993-06-18","2026-05-02","Per=Y","Days=T","Dir=V")</f>
        <v>0</v>
      </c>
      <c r="AK2">
        <f>BDH("KODK US Equity","CF_CASH_FROM_OPER","1993-06-18","2026-05-02","Per=Y","Days=T","Dir=V")</f>
        <v>0</v>
      </c>
      <c r="AM2">
        <f>BDH("KODK US Equity","CAPITAL_EXPEND","1993-06-18","2026-05-02","Per=Y","Days=T","Dir=V")</f>
        <v>0</v>
      </c>
      <c r="AO2">
        <f>BDH("KODK US Equity","CF_FREE_CASH_FLOW","1993-06-18","2026-05-02","Per=Y","Days=T","Dir=V")</f>
        <v>0</v>
      </c>
      <c r="AQ2">
        <f>BDH("KODK US Equity","PX_LAST","1993-06-18","2026-05-02","Per=M","Days=T","Dir=V")</f>
        <v>0</v>
      </c>
      <c r="AS2">
        <f>BDH("KODK US Equity","CUR_MKT_CAP","1993-06-18","2026-05-02","Per=M","Days=T","Dir=V")</f>
        <v>0</v>
      </c>
      <c r="AU2">
        <f>BDH("KODK US Equity","EQY_SH_OUT","1993-06-18","2026-05-02","Per=M","Days=T","Dir=V")</f>
        <v>0</v>
      </c>
      <c r="AW2">
        <f>BDH("KODK US Equity","PX_VOLUME","1993-06-18","2026-05-02","Per=M","Days=T","Dir=V")</f>
        <v>0</v>
      </c>
      <c r="AY2">
        <f>BDH("KODK US Equity","TURNOVER","1993-06-18","2026-05-02","Per=M","Days=T","Dir=V")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BDH("KOP US Equity","BS_TOT_ASSET","1993-06-18","2026-05-02","Per=Y","Days=T","Dir=V")</f>
        <v>0</v>
      </c>
      <c r="C2">
        <f>BDH("KOP US Equity","BS_TOT_LIAB2","1993-06-18","2026-05-02","Per=Y","Days=T","Dir=V")</f>
        <v>0</v>
      </c>
      <c r="E2">
        <f>BDH("KOP US Equity","SHORT_AND_LONG_TERM_DEBT","1993-06-18","2026-05-02","Per=Y","Days=T","Dir=V")</f>
        <v>0</v>
      </c>
      <c r="G2">
        <f>BDH("KOP US Equity","BS_ST_BORROW","1993-06-18","2026-05-02","Per=Y","Days=T","Dir=V")</f>
        <v>0</v>
      </c>
      <c r="I2">
        <f>BDH("KOP US Equity","BS_LT_BORROW","1993-06-18","2026-05-02","Per=Y","Days=T","Dir=V")</f>
        <v>0</v>
      </c>
      <c r="K2">
        <f>BDH("KOP US Equity","BS_CASH_NEAR_CASH_ITEM","1993-06-18","2026-05-02","Per=Y","Days=T","Dir=V")</f>
        <v>0</v>
      </c>
      <c r="M2">
        <f>BDH("KOP US Equity","BS_CUR_ASSET_REPORT","1993-06-18","2026-05-02","Per=Y","Days=T","Dir=V")</f>
        <v>0</v>
      </c>
      <c r="O2">
        <f>BDH("KOP US Equity","BS_CUR_LIAB","1993-06-18","2026-05-02","Per=Y","Days=T","Dir=V")</f>
        <v>0</v>
      </c>
      <c r="Q2">
        <f>BDH("KOP US Equity","BS_SHAREHOLDER_EQY_ENDING_PERIOD","1993-06-18","2026-05-02","Per=Y","Days=T","Dir=V")</f>
        <v>0</v>
      </c>
      <c r="S2">
        <f>BDH("KOP US Equity","BS_ACCT_NOTE_RCV","1993-06-18","2026-05-02","Per=Y","Days=T","Dir=V")</f>
        <v>0</v>
      </c>
      <c r="U2">
        <f>BDH("KOP US Equity","BS_INVENTORIES","1993-06-18","2026-05-02","Per=Y","Days=T","Dir=V")</f>
        <v>0</v>
      </c>
      <c r="W2">
        <f>BDH("KOP US Equity","WORKING_CAPITAL","1993-06-18","2026-05-02","Per=Y","Days=T","Dir=V")</f>
        <v>0</v>
      </c>
      <c r="Y2">
        <f>BDH("KOP US Equity","SALES_REV_TURN","1993-06-18","2026-05-02","Per=Y","Days=T","Dir=V")</f>
        <v>0</v>
      </c>
      <c r="AA2">
        <f>BDH("KOP US Equity","EBIT","1993-06-18","2026-05-02","Per=Y","Days=T","Dir=V")</f>
        <v>0</v>
      </c>
      <c r="AC2">
        <f>BDH("KOP US Equity","EBITDA","1993-06-18","2026-05-02","Per=Y","Days=T","Dir=V")</f>
        <v>0</v>
      </c>
      <c r="AE2">
        <f>BDH("KOP US Equity","NET_INCOME","1993-06-18","2026-05-02","Per=Y","Days=T","Dir=V")</f>
        <v>0</v>
      </c>
      <c r="AG2">
        <f>BDH("KOP US Equity","IS_INT_EXPENSE","1993-06-18","2026-05-02","Per=Y","Days=T","Dir=V")</f>
        <v>0</v>
      </c>
      <c r="AI2">
        <f>BDH("KOP US Equity","IS_DEPR_EXP","1993-06-18","2026-05-02","Per=Y","Days=T","Dir=V")</f>
        <v>0</v>
      </c>
      <c r="AK2">
        <f>BDH("KOP US Equity","CF_CASH_FROM_OPER","1993-06-18","2026-05-02","Per=Y","Days=T","Dir=V")</f>
        <v>0</v>
      </c>
      <c r="AM2">
        <f>BDH("KOP US Equity","CAPITAL_EXPEND","1993-06-18","2026-05-02","Per=Y","Days=T","Dir=V")</f>
        <v>0</v>
      </c>
      <c r="AO2">
        <f>BDH("KOP US Equity","CF_FREE_CASH_FLOW","1993-06-18","2026-05-02","Per=Y","Days=T","Dir=V")</f>
        <v>0</v>
      </c>
      <c r="AQ2">
        <f>BDH("KOP US Equity","PX_LAST","1993-06-18","2026-05-02","Per=M","Days=T","Dir=V")</f>
        <v>0</v>
      </c>
      <c r="AS2">
        <f>BDH("KOP US Equity","CUR_MKT_CAP","1993-06-18","2026-05-02","Per=M","Days=T","Dir=V")</f>
        <v>0</v>
      </c>
      <c r="AU2">
        <f>BDH("KOP US Equity","EQY_SH_OUT","1993-06-18","2026-05-02","Per=M","Days=T","Dir=V")</f>
        <v>0</v>
      </c>
      <c r="AW2">
        <f>BDH("KOP US Equity","PX_VOLUME","1993-06-18","2026-05-02","Per=M","Days=T","Dir=V")</f>
        <v>0</v>
      </c>
      <c r="AY2">
        <f>BDH("KOP US Equity","TURNOVER","1993-06-18","2026-05-02","Per=M","Days=T","Dir=V")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BDH("KOPN US Equity","BS_TOT_ASSET","1993-06-18","2026-05-02","Per=Y","Days=T","Dir=V")</f>
        <v>0</v>
      </c>
      <c r="C2">
        <f>BDH("KOPN US Equity","BS_TOT_LIAB2","1993-06-18","2026-05-02","Per=Y","Days=T","Dir=V")</f>
        <v>0</v>
      </c>
      <c r="E2">
        <f>BDH("KOPN US Equity","SHORT_AND_LONG_TERM_DEBT","1993-06-18","2026-05-02","Per=Y","Days=T","Dir=V")</f>
        <v>0</v>
      </c>
      <c r="G2">
        <f>BDH("KOPN US Equity","BS_ST_BORROW","1993-06-18","2026-05-02","Per=Y","Days=T","Dir=V")</f>
        <v>0</v>
      </c>
      <c r="I2">
        <f>BDH("KOPN US Equity","BS_LT_BORROW","1993-06-18","2026-05-02","Per=Y","Days=T","Dir=V")</f>
        <v>0</v>
      </c>
      <c r="K2">
        <f>BDH("KOPN US Equity","BS_CASH_NEAR_CASH_ITEM","1993-06-18","2026-05-02","Per=Y","Days=T","Dir=V")</f>
        <v>0</v>
      </c>
      <c r="M2">
        <f>BDH("KOPN US Equity","BS_CUR_ASSET_REPORT","1993-06-18","2026-05-02","Per=Y","Days=T","Dir=V")</f>
        <v>0</v>
      </c>
      <c r="O2">
        <f>BDH("KOPN US Equity","BS_CUR_LIAB","1993-06-18","2026-05-02","Per=Y","Days=T","Dir=V")</f>
        <v>0</v>
      </c>
      <c r="Q2">
        <f>BDH("KOPN US Equity","BS_SHAREHOLDER_EQY_ENDING_PERIOD","1993-06-18","2026-05-02","Per=Y","Days=T","Dir=V")</f>
        <v>0</v>
      </c>
      <c r="S2">
        <f>BDH("KOPN US Equity","BS_ACCT_NOTE_RCV","1993-06-18","2026-05-02","Per=Y","Days=T","Dir=V")</f>
        <v>0</v>
      </c>
      <c r="U2">
        <f>BDH("KOPN US Equity","BS_INVENTORIES","1993-06-18","2026-05-02","Per=Y","Days=T","Dir=V")</f>
        <v>0</v>
      </c>
      <c r="W2">
        <f>BDH("KOPN US Equity","WORKING_CAPITAL","1993-06-18","2026-05-02","Per=Y","Days=T","Dir=V")</f>
        <v>0</v>
      </c>
      <c r="Y2">
        <f>BDH("KOPN US Equity","SALES_REV_TURN","1993-06-18","2026-05-02","Per=Y","Days=T","Dir=V")</f>
        <v>0</v>
      </c>
      <c r="AA2">
        <f>BDH("KOPN US Equity","EBIT","1993-06-18","2026-05-02","Per=Y","Days=T","Dir=V")</f>
        <v>0</v>
      </c>
      <c r="AC2">
        <f>BDH("KOPN US Equity","EBITDA","1993-06-18","2026-05-02","Per=Y","Days=T","Dir=V")</f>
        <v>0</v>
      </c>
      <c r="AE2">
        <f>BDH("KOPN US Equity","NET_INCOME","1993-06-18","2026-05-02","Per=Y","Days=T","Dir=V")</f>
        <v>0</v>
      </c>
      <c r="AG2">
        <f>BDH("KOPN US Equity","IS_INT_EXPENSE","1993-06-18","2026-05-02","Per=Y","Days=T","Dir=V")</f>
        <v>0</v>
      </c>
      <c r="AI2">
        <f>BDH("KOPN US Equity","IS_DEPR_EXP","1993-06-18","2026-05-02","Per=Y","Days=T","Dir=V")</f>
        <v>0</v>
      </c>
      <c r="AK2">
        <f>BDH("KOPN US Equity","CF_CASH_FROM_OPER","1993-06-18","2026-05-02","Per=Y","Days=T","Dir=V")</f>
        <v>0</v>
      </c>
      <c r="AM2">
        <f>BDH("KOPN US Equity","CAPITAL_EXPEND","1993-06-18","2026-05-02","Per=Y","Days=T","Dir=V")</f>
        <v>0</v>
      </c>
      <c r="AO2">
        <f>BDH("KOPN US Equity","CF_FREE_CASH_FLOW","1993-06-18","2026-05-02","Per=Y","Days=T","Dir=V")</f>
        <v>0</v>
      </c>
      <c r="AQ2">
        <f>BDH("KOPN US Equity","PX_LAST","1993-06-18","2026-05-02","Per=M","Days=T","Dir=V")</f>
        <v>0</v>
      </c>
      <c r="AS2">
        <f>BDH("KOPN US Equity","CUR_MKT_CAP","1993-06-18","2026-05-02","Per=M","Days=T","Dir=V")</f>
        <v>0</v>
      </c>
      <c r="AU2">
        <f>BDH("KOPN US Equity","EQY_SH_OUT","1993-06-18","2026-05-02","Per=M","Days=T","Dir=V")</f>
        <v>0</v>
      </c>
      <c r="AW2">
        <f>BDH("KOPN US Equity","PX_VOLUME","1993-06-18","2026-05-02","Per=M","Days=T","Dir=V")</f>
        <v>0</v>
      </c>
      <c r="AY2">
        <f>BDH("KOPN US Equity","TURNOVER","1993-06-18","2026-05-02","Per=M","Days=T","Dir=V")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BDH("KOSS US Equity","BS_TOT_ASSET","1993-06-18","2026-05-02","Per=Y","Days=T","Dir=V")</f>
        <v>0</v>
      </c>
      <c r="C2">
        <f>BDH("KOSS US Equity","BS_TOT_LIAB2","1993-06-18","2026-05-02","Per=Y","Days=T","Dir=V")</f>
        <v>0</v>
      </c>
      <c r="E2">
        <f>BDH("KOSS US Equity","SHORT_AND_LONG_TERM_DEBT","1993-06-18","2026-05-02","Per=Y","Days=T","Dir=V")</f>
        <v>0</v>
      </c>
      <c r="G2">
        <f>BDH("KOSS US Equity","BS_ST_BORROW","1993-06-18","2026-05-02","Per=Y","Days=T","Dir=V")</f>
        <v>0</v>
      </c>
      <c r="I2">
        <f>BDH("KOSS US Equity","BS_LT_BORROW","1993-06-18","2026-05-02","Per=Y","Days=T","Dir=V")</f>
        <v>0</v>
      </c>
      <c r="K2">
        <f>BDH("KOSS US Equity","BS_CASH_NEAR_CASH_ITEM","1993-06-18","2026-05-02","Per=Y","Days=T","Dir=V")</f>
        <v>0</v>
      </c>
      <c r="M2">
        <f>BDH("KOSS US Equity","BS_CUR_ASSET_REPORT","1993-06-18","2026-05-02","Per=Y","Days=T","Dir=V")</f>
        <v>0</v>
      </c>
      <c r="O2">
        <f>BDH("KOSS US Equity","BS_CUR_LIAB","1993-06-18","2026-05-02","Per=Y","Days=T","Dir=V")</f>
        <v>0</v>
      </c>
      <c r="Q2">
        <f>BDH("KOSS US Equity","BS_SHAREHOLDER_EQY_ENDING_PERIOD","1993-06-18","2026-05-02","Per=Y","Days=T","Dir=V")</f>
        <v>0</v>
      </c>
      <c r="S2">
        <f>BDH("KOSS US Equity","BS_ACCT_NOTE_RCV","1993-06-18","2026-05-02","Per=Y","Days=T","Dir=V")</f>
        <v>0</v>
      </c>
      <c r="U2">
        <f>BDH("KOSS US Equity","BS_INVENTORIES","1993-06-18","2026-05-02","Per=Y","Days=T","Dir=V")</f>
        <v>0</v>
      </c>
      <c r="W2">
        <f>BDH("KOSS US Equity","WORKING_CAPITAL","1993-06-18","2026-05-02","Per=Y","Days=T","Dir=V")</f>
        <v>0</v>
      </c>
      <c r="Y2">
        <f>BDH("KOSS US Equity","SALES_REV_TURN","1993-06-18","2026-05-02","Per=Y","Days=T","Dir=V")</f>
        <v>0</v>
      </c>
      <c r="AA2">
        <f>BDH("KOSS US Equity","EBIT","1993-06-18","2026-05-02","Per=Y","Days=T","Dir=V")</f>
        <v>0</v>
      </c>
      <c r="AC2">
        <f>BDH("KOSS US Equity","EBITDA","1993-06-18","2026-05-02","Per=Y","Days=T","Dir=V")</f>
        <v>0</v>
      </c>
      <c r="AE2">
        <f>BDH("KOSS US Equity","NET_INCOME","1993-06-18","2026-05-02","Per=Y","Days=T","Dir=V")</f>
        <v>0</v>
      </c>
      <c r="AG2">
        <f>BDH("KOSS US Equity","IS_INT_EXPENSE","1993-06-18","2026-05-02","Per=Y","Days=T","Dir=V")</f>
        <v>0</v>
      </c>
      <c r="AI2">
        <f>BDH("KOSS US Equity","IS_DEPR_EXP","1993-06-18","2026-05-02","Per=Y","Days=T","Dir=V")</f>
        <v>0</v>
      </c>
      <c r="AK2">
        <f>BDH("KOSS US Equity","CF_CASH_FROM_OPER","1993-06-18","2026-05-02","Per=Y","Days=T","Dir=V")</f>
        <v>0</v>
      </c>
      <c r="AM2">
        <f>BDH("KOSS US Equity","CAPITAL_EXPEND","1993-06-18","2026-05-02","Per=Y","Days=T","Dir=V")</f>
        <v>0</v>
      </c>
      <c r="AO2">
        <f>BDH("KOSS US Equity","CF_FREE_CASH_FLOW","1993-06-18","2026-05-02","Per=Y","Days=T","Dir=V")</f>
        <v>0</v>
      </c>
      <c r="AQ2">
        <f>BDH("KOSS US Equity","PX_LAST","1993-06-18","2026-05-02","Per=M","Days=T","Dir=V")</f>
        <v>0</v>
      </c>
      <c r="AS2">
        <f>BDH("KOSS US Equity","CUR_MKT_CAP","1993-06-18","2026-05-02","Per=M","Days=T","Dir=V")</f>
        <v>0</v>
      </c>
      <c r="AU2">
        <f>BDH("KOSS US Equity","EQY_SH_OUT","1993-06-18","2026-05-02","Per=M","Days=T","Dir=V")</f>
        <v>0</v>
      </c>
      <c r="AW2">
        <f>BDH("KOSS US Equity","PX_VOLUME","1993-06-18","2026-05-02","Per=M","Days=T","Dir=V")</f>
        <v>0</v>
      </c>
      <c r="AY2">
        <f>BDH("KOSS US Equity","TURNOVER","1993-06-18","2026-05-02","Per=M","Days=T","Dir=V")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BDH("KPLT US Equity","BS_TOT_ASSET","1993-06-18","2026-05-02","Per=Y","Days=T","Dir=V")</f>
        <v>0</v>
      </c>
      <c r="C2">
        <f>BDH("KPLT US Equity","BS_TOT_LIAB2","1993-06-18","2026-05-02","Per=Y","Days=T","Dir=V")</f>
        <v>0</v>
      </c>
      <c r="E2">
        <f>BDH("KPLT US Equity","SHORT_AND_LONG_TERM_DEBT","1993-06-18","2026-05-02","Per=Y","Days=T","Dir=V")</f>
        <v>0</v>
      </c>
      <c r="G2">
        <f>BDH("KPLT US Equity","BS_ST_BORROW","1993-06-18","2026-05-02","Per=Y","Days=T","Dir=V")</f>
        <v>0</v>
      </c>
      <c r="I2">
        <f>BDH("KPLT US Equity","BS_LT_BORROW","1993-06-18","2026-05-02","Per=Y","Days=T","Dir=V")</f>
        <v>0</v>
      </c>
      <c r="K2">
        <f>BDH("KPLT US Equity","BS_CASH_NEAR_CASH_ITEM","1993-06-18","2026-05-02","Per=Y","Days=T","Dir=V")</f>
        <v>0</v>
      </c>
      <c r="M2">
        <f>BDH("KPLT US Equity","BS_CUR_ASSET_REPORT","1993-06-18","2026-05-02","Per=Y","Days=T","Dir=V")</f>
        <v>0</v>
      </c>
      <c r="O2">
        <f>BDH("KPLT US Equity","BS_CUR_LIAB","1993-06-18","2026-05-02","Per=Y","Days=T","Dir=V")</f>
        <v>0</v>
      </c>
      <c r="Q2">
        <f>BDH("KPLT US Equity","BS_SHAREHOLDER_EQY_ENDING_PERIOD","1993-06-18","2026-05-02","Per=Y","Days=T","Dir=V")</f>
        <v>0</v>
      </c>
      <c r="S2">
        <f>BDH("KPLT US Equity","BS_ACCT_NOTE_RCV","1993-06-18","2026-05-02","Per=Y","Days=T","Dir=V")</f>
        <v>0</v>
      </c>
      <c r="U2">
        <f>BDH("KPLT US Equity","BS_INVENTORIES","1993-06-18","2026-05-02","Per=Y","Days=T","Dir=V")</f>
        <v>0</v>
      </c>
      <c r="W2">
        <f>BDH("KPLT US Equity","WORKING_CAPITAL","1993-06-18","2026-05-02","Per=Y","Days=T","Dir=V")</f>
        <v>0</v>
      </c>
      <c r="Y2">
        <f>BDH("KPLT US Equity","SALES_REV_TURN","1993-06-18","2026-05-02","Per=Y","Days=T","Dir=V")</f>
        <v>0</v>
      </c>
      <c r="AA2">
        <f>BDH("KPLT US Equity","EBIT","1993-06-18","2026-05-02","Per=Y","Days=T","Dir=V")</f>
        <v>0</v>
      </c>
      <c r="AC2">
        <f>BDH("KPLT US Equity","EBITDA","1993-06-18","2026-05-02","Per=Y","Days=T","Dir=V")</f>
        <v>0</v>
      </c>
      <c r="AE2">
        <f>BDH("KPLT US Equity","NET_INCOME","1993-06-18","2026-05-02","Per=Y","Days=T","Dir=V")</f>
        <v>0</v>
      </c>
      <c r="AG2">
        <f>BDH("KPLT US Equity","IS_INT_EXPENSE","1993-06-18","2026-05-02","Per=Y","Days=T","Dir=V")</f>
        <v>0</v>
      </c>
      <c r="AI2">
        <f>BDH("KPLT US Equity","IS_DEPR_EXP","1993-06-18","2026-05-02","Per=Y","Days=T","Dir=V")</f>
        <v>0</v>
      </c>
      <c r="AK2">
        <f>BDH("KPLT US Equity","CF_CASH_FROM_OPER","1993-06-18","2026-05-02","Per=Y","Days=T","Dir=V")</f>
        <v>0</v>
      </c>
      <c r="AM2">
        <f>BDH("KPLT US Equity","CAPITAL_EXPEND","1993-06-18","2026-05-02","Per=Y","Days=T","Dir=V")</f>
        <v>0</v>
      </c>
      <c r="AO2">
        <f>BDH("KPLT US Equity","CF_FREE_CASH_FLOW","1993-06-18","2026-05-02","Per=Y","Days=T","Dir=V")</f>
        <v>0</v>
      </c>
      <c r="AQ2">
        <f>BDH("KPLT US Equity","PX_LAST","1993-06-18","2026-05-02","Per=M","Days=T","Dir=V")</f>
        <v>0</v>
      </c>
      <c r="AS2">
        <f>BDH("KPLT US Equity","CUR_MKT_CAP","1993-06-18","2026-05-02","Per=M","Days=T","Dir=V")</f>
        <v>0</v>
      </c>
      <c r="AU2">
        <f>BDH("KPLT US Equity","EQY_SH_OUT","1993-06-18","2026-05-02","Per=M","Days=T","Dir=V")</f>
        <v>0</v>
      </c>
      <c r="AW2">
        <f>BDH("KPLT US Equity","PX_VOLUME","1993-06-18","2026-05-02","Per=M","Days=T","Dir=V")</f>
        <v>0</v>
      </c>
      <c r="AY2">
        <f>BDH("KPLT US Equity","TURNOVER","1993-06-18","2026-05-02","Per=M","Days=T","Dir=V")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BDH("KPRX US Equity","BS_TOT_ASSET","1993-06-18","2026-05-02","Per=Y","Days=T","Dir=V")</f>
        <v>0</v>
      </c>
      <c r="C2">
        <f>BDH("KPRX US Equity","BS_TOT_LIAB2","1993-06-18","2026-05-02","Per=Y","Days=T","Dir=V")</f>
        <v>0</v>
      </c>
      <c r="E2">
        <f>BDH("KPRX US Equity","SHORT_AND_LONG_TERM_DEBT","1993-06-18","2026-05-02","Per=Y","Days=T","Dir=V")</f>
        <v>0</v>
      </c>
      <c r="G2">
        <f>BDH("KPRX US Equity","BS_ST_BORROW","1993-06-18","2026-05-02","Per=Y","Days=T","Dir=V")</f>
        <v>0</v>
      </c>
      <c r="I2">
        <f>BDH("KPRX US Equity","BS_LT_BORROW","1993-06-18","2026-05-02","Per=Y","Days=T","Dir=V")</f>
        <v>0</v>
      </c>
      <c r="K2">
        <f>BDH("KPRX US Equity","BS_CASH_NEAR_CASH_ITEM","1993-06-18","2026-05-02","Per=Y","Days=T","Dir=V")</f>
        <v>0</v>
      </c>
      <c r="M2">
        <f>BDH("KPRX US Equity","BS_CUR_ASSET_REPORT","1993-06-18","2026-05-02","Per=Y","Days=T","Dir=V")</f>
        <v>0</v>
      </c>
      <c r="O2">
        <f>BDH("KPRX US Equity","BS_CUR_LIAB","1993-06-18","2026-05-02","Per=Y","Days=T","Dir=V")</f>
        <v>0</v>
      </c>
      <c r="Q2">
        <f>BDH("KPRX US Equity","BS_SHAREHOLDER_EQY_ENDING_PERIOD","1993-06-18","2026-05-02","Per=Y","Days=T","Dir=V")</f>
        <v>0</v>
      </c>
      <c r="S2">
        <f>BDH("KPRX US Equity","BS_ACCT_NOTE_RCV","1993-06-18","2026-05-02","Per=Y","Days=T","Dir=V")</f>
        <v>0</v>
      </c>
      <c r="U2">
        <f>BDH("KPRX US Equity","BS_INVENTORIES","1993-06-18","2026-05-02","Per=Y","Days=T","Dir=V")</f>
        <v>0</v>
      </c>
      <c r="W2">
        <f>BDH("KPRX US Equity","WORKING_CAPITAL","1993-06-18","2026-05-02","Per=Y","Days=T","Dir=V")</f>
        <v>0</v>
      </c>
      <c r="Y2">
        <f>BDH("KPRX US Equity","SALES_REV_TURN","1993-06-18","2026-05-02","Per=Y","Days=T","Dir=V")</f>
        <v>0</v>
      </c>
      <c r="AA2">
        <f>BDH("KPRX US Equity","EBIT","1993-06-18","2026-05-02","Per=Y","Days=T","Dir=V")</f>
        <v>0</v>
      </c>
      <c r="AC2">
        <f>BDH("KPRX US Equity","EBITDA","1993-06-18","2026-05-02","Per=Y","Days=T","Dir=V")</f>
        <v>0</v>
      </c>
      <c r="AE2">
        <f>BDH("KPRX US Equity","NET_INCOME","1993-06-18","2026-05-02","Per=Y","Days=T","Dir=V")</f>
        <v>0</v>
      </c>
      <c r="AG2">
        <f>BDH("KPRX US Equity","IS_INT_EXPENSE","1993-06-18","2026-05-02","Per=Y","Days=T","Dir=V")</f>
        <v>0</v>
      </c>
      <c r="AI2">
        <f>BDH("KPRX US Equity","IS_DEPR_EXP","1993-06-18","2026-05-02","Per=Y","Days=T","Dir=V")</f>
        <v>0</v>
      </c>
      <c r="AK2">
        <f>BDH("KPRX US Equity","CF_CASH_FROM_OPER","1993-06-18","2026-05-02","Per=Y","Days=T","Dir=V")</f>
        <v>0</v>
      </c>
      <c r="AM2">
        <f>BDH("KPRX US Equity","CAPITAL_EXPEND","1993-06-18","2026-05-02","Per=Y","Days=T","Dir=V")</f>
        <v>0</v>
      </c>
      <c r="AO2">
        <f>BDH("KPRX US Equity","CF_FREE_CASH_FLOW","1993-06-18","2026-05-02","Per=Y","Days=T","Dir=V")</f>
        <v>0</v>
      </c>
      <c r="AQ2">
        <f>BDH("KPRX US Equity","PX_LAST","1993-06-18","2026-05-02","Per=M","Days=T","Dir=V")</f>
        <v>0</v>
      </c>
      <c r="AS2">
        <f>BDH("KPRX US Equity","CUR_MKT_CAP","1993-06-18","2026-05-02","Per=M","Days=T","Dir=V")</f>
        <v>0</v>
      </c>
      <c r="AU2">
        <f>BDH("KPRX US Equity","EQY_SH_OUT","1993-06-18","2026-05-02","Per=M","Days=T","Dir=V")</f>
        <v>0</v>
      </c>
      <c r="AW2">
        <f>BDH("KPRX US Equity","PX_VOLUME","1993-06-18","2026-05-02","Per=M","Days=T","Dir=V")</f>
        <v>0</v>
      </c>
      <c r="AY2">
        <f>BDH("KPRX US Equity","TURNOVER","1993-06-18","2026-05-02","Per=M","Days=T","Dir=V")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BDH("KPTI US Equity","BS_TOT_ASSET","1993-06-18","2026-05-02","Per=Y","Days=T","Dir=V")</f>
        <v>0</v>
      </c>
      <c r="C2">
        <f>BDH("KPTI US Equity","BS_TOT_LIAB2","1993-06-18","2026-05-02","Per=Y","Days=T","Dir=V")</f>
        <v>0</v>
      </c>
      <c r="E2">
        <f>BDH("KPTI US Equity","SHORT_AND_LONG_TERM_DEBT","1993-06-18","2026-05-02","Per=Y","Days=T","Dir=V")</f>
        <v>0</v>
      </c>
      <c r="G2">
        <f>BDH("KPTI US Equity","BS_ST_BORROW","1993-06-18","2026-05-02","Per=Y","Days=T","Dir=V")</f>
        <v>0</v>
      </c>
      <c r="I2">
        <f>BDH("KPTI US Equity","BS_LT_BORROW","1993-06-18","2026-05-02","Per=Y","Days=T","Dir=V")</f>
        <v>0</v>
      </c>
      <c r="K2">
        <f>BDH("KPTI US Equity","BS_CASH_NEAR_CASH_ITEM","1993-06-18","2026-05-02","Per=Y","Days=T","Dir=V")</f>
        <v>0</v>
      </c>
      <c r="M2">
        <f>BDH("KPTI US Equity","BS_CUR_ASSET_REPORT","1993-06-18","2026-05-02","Per=Y","Days=T","Dir=V")</f>
        <v>0</v>
      </c>
      <c r="O2">
        <f>BDH("KPTI US Equity","BS_CUR_LIAB","1993-06-18","2026-05-02","Per=Y","Days=T","Dir=V")</f>
        <v>0</v>
      </c>
      <c r="Q2">
        <f>BDH("KPTI US Equity","BS_SHAREHOLDER_EQY_ENDING_PERIOD","1993-06-18","2026-05-02","Per=Y","Days=T","Dir=V")</f>
        <v>0</v>
      </c>
      <c r="S2">
        <f>BDH("KPTI US Equity","BS_ACCT_NOTE_RCV","1993-06-18","2026-05-02","Per=Y","Days=T","Dir=V")</f>
        <v>0</v>
      </c>
      <c r="U2">
        <f>BDH("KPTI US Equity","BS_INVENTORIES","1993-06-18","2026-05-02","Per=Y","Days=T","Dir=V")</f>
        <v>0</v>
      </c>
      <c r="W2">
        <f>BDH("KPTI US Equity","WORKING_CAPITAL","1993-06-18","2026-05-02","Per=Y","Days=T","Dir=V")</f>
        <v>0</v>
      </c>
      <c r="Y2">
        <f>BDH("KPTI US Equity","SALES_REV_TURN","1993-06-18","2026-05-02","Per=Y","Days=T","Dir=V")</f>
        <v>0</v>
      </c>
      <c r="AA2">
        <f>BDH("KPTI US Equity","EBIT","1993-06-18","2026-05-02","Per=Y","Days=T","Dir=V")</f>
        <v>0</v>
      </c>
      <c r="AC2">
        <f>BDH("KPTI US Equity","EBITDA","1993-06-18","2026-05-02","Per=Y","Days=T","Dir=V")</f>
        <v>0</v>
      </c>
      <c r="AE2">
        <f>BDH("KPTI US Equity","NET_INCOME","1993-06-18","2026-05-02","Per=Y","Days=T","Dir=V")</f>
        <v>0</v>
      </c>
      <c r="AG2">
        <f>BDH("KPTI US Equity","IS_INT_EXPENSE","1993-06-18","2026-05-02","Per=Y","Days=T","Dir=V")</f>
        <v>0</v>
      </c>
      <c r="AI2">
        <f>BDH("KPTI US Equity","IS_DEPR_EXP","1993-06-18","2026-05-02","Per=Y","Days=T","Dir=V")</f>
        <v>0</v>
      </c>
      <c r="AK2">
        <f>BDH("KPTI US Equity","CF_CASH_FROM_OPER","1993-06-18","2026-05-02","Per=Y","Days=T","Dir=V")</f>
        <v>0</v>
      </c>
      <c r="AM2">
        <f>BDH("KPTI US Equity","CAPITAL_EXPEND","1993-06-18","2026-05-02","Per=Y","Days=T","Dir=V")</f>
        <v>0</v>
      </c>
      <c r="AO2">
        <f>BDH("KPTI US Equity","CF_FREE_CASH_FLOW","1993-06-18","2026-05-02","Per=Y","Days=T","Dir=V")</f>
        <v>0</v>
      </c>
      <c r="AQ2">
        <f>BDH("KPTI US Equity","PX_LAST","1993-06-18","2026-05-02","Per=M","Days=T","Dir=V")</f>
        <v>0</v>
      </c>
      <c r="AS2">
        <f>BDH("KPTI US Equity","CUR_MKT_CAP","1993-06-18","2026-05-02","Per=M","Days=T","Dir=V")</f>
        <v>0</v>
      </c>
      <c r="AU2">
        <f>BDH("KPTI US Equity","EQY_SH_OUT","1993-06-18","2026-05-02","Per=M","Days=T","Dir=V")</f>
        <v>0</v>
      </c>
      <c r="AW2">
        <f>BDH("KPTI US Equity","PX_VOLUME","1993-06-18","2026-05-02","Per=M","Days=T","Dir=V")</f>
        <v>0</v>
      </c>
      <c r="AY2">
        <f>BDH("KPTI US Equity","TURNOVER","1993-06-18","2026-05-02","Per=M","Days=T","Dir=V")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BDH("KR US Equity","BS_TOT_ASSET","1993-06-18","2026-05-02","Per=Y","Days=T","Dir=V")</f>
        <v>0</v>
      </c>
      <c r="C2">
        <f>BDH("KR US Equity","BS_TOT_LIAB2","1993-06-18","2026-05-02","Per=Y","Days=T","Dir=V")</f>
        <v>0</v>
      </c>
      <c r="E2">
        <f>BDH("KR US Equity","SHORT_AND_LONG_TERM_DEBT","1993-06-18","2026-05-02","Per=Y","Days=T","Dir=V")</f>
        <v>0</v>
      </c>
      <c r="G2">
        <f>BDH("KR US Equity","BS_ST_BORROW","1993-06-18","2026-05-02","Per=Y","Days=T","Dir=V")</f>
        <v>0</v>
      </c>
      <c r="I2">
        <f>BDH("KR US Equity","BS_LT_BORROW","1993-06-18","2026-05-02","Per=Y","Days=T","Dir=V")</f>
        <v>0</v>
      </c>
      <c r="K2">
        <f>BDH("KR US Equity","BS_CASH_NEAR_CASH_ITEM","1993-06-18","2026-05-02","Per=Y","Days=T","Dir=V")</f>
        <v>0</v>
      </c>
      <c r="M2">
        <f>BDH("KR US Equity","BS_CUR_ASSET_REPORT","1993-06-18","2026-05-02","Per=Y","Days=T","Dir=V")</f>
        <v>0</v>
      </c>
      <c r="O2">
        <f>BDH("KR US Equity","BS_CUR_LIAB","1993-06-18","2026-05-02","Per=Y","Days=T","Dir=V")</f>
        <v>0</v>
      </c>
      <c r="Q2">
        <f>BDH("KR US Equity","BS_SHAREHOLDER_EQY_ENDING_PERIOD","1993-06-18","2026-05-02","Per=Y","Days=T","Dir=V")</f>
        <v>0</v>
      </c>
      <c r="S2">
        <f>BDH("KR US Equity","BS_ACCT_NOTE_RCV","1993-06-18","2026-05-02","Per=Y","Days=T","Dir=V")</f>
        <v>0</v>
      </c>
      <c r="U2">
        <f>BDH("KR US Equity","BS_INVENTORIES","1993-06-18","2026-05-02","Per=Y","Days=T","Dir=V")</f>
        <v>0</v>
      </c>
      <c r="W2">
        <f>BDH("KR US Equity","WORKING_CAPITAL","1993-06-18","2026-05-02","Per=Y","Days=T","Dir=V")</f>
        <v>0</v>
      </c>
      <c r="Y2">
        <f>BDH("KR US Equity","SALES_REV_TURN","1993-06-18","2026-05-02","Per=Y","Days=T","Dir=V")</f>
        <v>0</v>
      </c>
      <c r="AA2">
        <f>BDH("KR US Equity","EBIT","1993-06-18","2026-05-02","Per=Y","Days=T","Dir=V")</f>
        <v>0</v>
      </c>
      <c r="AC2">
        <f>BDH("KR US Equity","EBITDA","1993-06-18","2026-05-02","Per=Y","Days=T","Dir=V")</f>
        <v>0</v>
      </c>
      <c r="AE2">
        <f>BDH("KR US Equity","NET_INCOME","1993-06-18","2026-05-02","Per=Y","Days=T","Dir=V")</f>
        <v>0</v>
      </c>
      <c r="AG2">
        <f>BDH("KR US Equity","IS_INT_EXPENSE","1993-06-18","2026-05-02","Per=Y","Days=T","Dir=V")</f>
        <v>0</v>
      </c>
      <c r="AI2">
        <f>BDH("KR US Equity","IS_DEPR_EXP","1993-06-18","2026-05-02","Per=Y","Days=T","Dir=V")</f>
        <v>0</v>
      </c>
      <c r="AK2">
        <f>BDH("KR US Equity","CF_CASH_FROM_OPER","1993-06-18","2026-05-02","Per=Y","Days=T","Dir=V")</f>
        <v>0</v>
      </c>
      <c r="AM2">
        <f>BDH("KR US Equity","CAPITAL_EXPEND","1993-06-18","2026-05-02","Per=Y","Days=T","Dir=V")</f>
        <v>0</v>
      </c>
      <c r="AO2">
        <f>BDH("KR US Equity","CF_FREE_CASH_FLOW","1993-06-18","2026-05-02","Per=Y","Days=T","Dir=V")</f>
        <v>0</v>
      </c>
      <c r="AQ2">
        <f>BDH("KR US Equity","PX_LAST","1993-06-18","2026-05-02","Per=M","Days=T","Dir=V")</f>
        <v>0</v>
      </c>
      <c r="AS2">
        <f>BDH("KR US Equity","CUR_MKT_CAP","1993-06-18","2026-05-02","Per=M","Days=T","Dir=V")</f>
        <v>0</v>
      </c>
      <c r="AU2">
        <f>BDH("KR US Equity","EQY_SH_OUT","1993-06-18","2026-05-02","Per=M","Days=T","Dir=V")</f>
        <v>0</v>
      </c>
      <c r="AW2">
        <f>BDH("KR US Equity","PX_VOLUME","1993-06-18","2026-05-02","Per=M","Days=T","Dir=V")</f>
        <v>0</v>
      </c>
      <c r="AY2">
        <f>BDH("KR US Equity","TURNOVER","1993-06-18","2026-05-02","Per=M","Days=T","Dir=V")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BDH("KRMD US Equity","BS_TOT_ASSET","1993-06-18","2026-05-02","Per=Y","Days=T","Dir=V")</f>
        <v>0</v>
      </c>
      <c r="C2">
        <f>BDH("KRMD US Equity","BS_TOT_LIAB2","1993-06-18","2026-05-02","Per=Y","Days=T","Dir=V")</f>
        <v>0</v>
      </c>
      <c r="E2">
        <f>BDH("KRMD US Equity","SHORT_AND_LONG_TERM_DEBT","1993-06-18","2026-05-02","Per=Y","Days=T","Dir=V")</f>
        <v>0</v>
      </c>
      <c r="G2">
        <f>BDH("KRMD US Equity","BS_ST_BORROW","1993-06-18","2026-05-02","Per=Y","Days=T","Dir=V")</f>
        <v>0</v>
      </c>
      <c r="I2">
        <f>BDH("KRMD US Equity","BS_LT_BORROW","1993-06-18","2026-05-02","Per=Y","Days=T","Dir=V")</f>
        <v>0</v>
      </c>
      <c r="K2">
        <f>BDH("KRMD US Equity","BS_CASH_NEAR_CASH_ITEM","1993-06-18","2026-05-02","Per=Y","Days=T","Dir=V")</f>
        <v>0</v>
      </c>
      <c r="M2">
        <f>BDH("KRMD US Equity","BS_CUR_ASSET_REPORT","1993-06-18","2026-05-02","Per=Y","Days=T","Dir=V")</f>
        <v>0</v>
      </c>
      <c r="O2">
        <f>BDH("KRMD US Equity","BS_CUR_LIAB","1993-06-18","2026-05-02","Per=Y","Days=T","Dir=V")</f>
        <v>0</v>
      </c>
      <c r="Q2">
        <f>BDH("KRMD US Equity","BS_SHAREHOLDER_EQY_ENDING_PERIOD","1993-06-18","2026-05-02","Per=Y","Days=T","Dir=V")</f>
        <v>0</v>
      </c>
      <c r="S2">
        <f>BDH("KRMD US Equity","BS_ACCT_NOTE_RCV","1993-06-18","2026-05-02","Per=Y","Days=T","Dir=V")</f>
        <v>0</v>
      </c>
      <c r="U2">
        <f>BDH("KRMD US Equity","BS_INVENTORIES","1993-06-18","2026-05-02","Per=Y","Days=T","Dir=V")</f>
        <v>0</v>
      </c>
      <c r="W2">
        <f>BDH("KRMD US Equity","WORKING_CAPITAL","1993-06-18","2026-05-02","Per=Y","Days=T","Dir=V")</f>
        <v>0</v>
      </c>
      <c r="Y2">
        <f>BDH("KRMD US Equity","SALES_REV_TURN","1993-06-18","2026-05-02","Per=Y","Days=T","Dir=V")</f>
        <v>0</v>
      </c>
      <c r="AA2">
        <f>BDH("KRMD US Equity","EBIT","1993-06-18","2026-05-02","Per=Y","Days=T","Dir=V")</f>
        <v>0</v>
      </c>
      <c r="AC2">
        <f>BDH("KRMD US Equity","EBITDA","1993-06-18","2026-05-02","Per=Y","Days=T","Dir=V")</f>
        <v>0</v>
      </c>
      <c r="AE2">
        <f>BDH("KRMD US Equity","NET_INCOME","1993-06-18","2026-05-02","Per=Y","Days=T","Dir=V")</f>
        <v>0</v>
      </c>
      <c r="AG2">
        <f>BDH("KRMD US Equity","IS_INT_EXPENSE","1993-06-18","2026-05-02","Per=Y","Days=T","Dir=V")</f>
        <v>0</v>
      </c>
      <c r="AI2">
        <f>BDH("KRMD US Equity","IS_DEPR_EXP","1993-06-18","2026-05-02","Per=Y","Days=T","Dir=V")</f>
        <v>0</v>
      </c>
      <c r="AK2">
        <f>BDH("KRMD US Equity","CF_CASH_FROM_OPER","1993-06-18","2026-05-02","Per=Y","Days=T","Dir=V")</f>
        <v>0</v>
      </c>
      <c r="AM2">
        <f>BDH("KRMD US Equity","CAPITAL_EXPEND","1993-06-18","2026-05-02","Per=Y","Days=T","Dir=V")</f>
        <v>0</v>
      </c>
      <c r="AO2">
        <f>BDH("KRMD US Equity","CF_FREE_CASH_FLOW","1993-06-18","2026-05-02","Per=Y","Days=T","Dir=V")</f>
        <v>0</v>
      </c>
      <c r="AQ2">
        <f>BDH("KRMD US Equity","PX_LAST","1993-06-18","2026-05-02","Per=M","Days=T","Dir=V")</f>
        <v>0</v>
      </c>
      <c r="AS2">
        <f>BDH("KRMD US Equity","CUR_MKT_CAP","1993-06-18","2026-05-02","Per=M","Days=T","Dir=V")</f>
        <v>0</v>
      </c>
      <c r="AU2">
        <f>BDH("KRMD US Equity","EQY_SH_OUT","1993-06-18","2026-05-02","Per=M","Days=T","Dir=V")</f>
        <v>0</v>
      </c>
      <c r="AW2">
        <f>BDH("KRMD US Equity","PX_VOLUME","1993-06-18","2026-05-02","Per=M","Days=T","Dir=V")</f>
        <v>0</v>
      </c>
      <c r="AY2">
        <f>BDH("KRMD US Equity","TURNOVER","1993-06-18","2026-05-02","Per=M","Days=T","Dir=V")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BDH("KRMN US Equity","BS_TOT_ASSET","1993-06-18","2026-05-02","Per=Y","Days=T","Dir=V")</f>
        <v>0</v>
      </c>
      <c r="C2">
        <f>BDH("KRMN US Equity","BS_TOT_LIAB2","1993-06-18","2026-05-02","Per=Y","Days=T","Dir=V")</f>
        <v>0</v>
      </c>
      <c r="E2">
        <f>BDH("KRMN US Equity","SHORT_AND_LONG_TERM_DEBT","1993-06-18","2026-05-02","Per=Y","Days=T","Dir=V")</f>
        <v>0</v>
      </c>
      <c r="G2">
        <f>BDH("KRMN US Equity","BS_ST_BORROW","1993-06-18","2026-05-02","Per=Y","Days=T","Dir=V")</f>
        <v>0</v>
      </c>
      <c r="I2">
        <f>BDH("KRMN US Equity","BS_LT_BORROW","1993-06-18","2026-05-02","Per=Y","Days=T","Dir=V")</f>
        <v>0</v>
      </c>
      <c r="K2">
        <f>BDH("KRMN US Equity","BS_CASH_NEAR_CASH_ITEM","1993-06-18","2026-05-02","Per=Y","Days=T","Dir=V")</f>
        <v>0</v>
      </c>
      <c r="M2">
        <f>BDH("KRMN US Equity","BS_CUR_ASSET_REPORT","1993-06-18","2026-05-02","Per=Y","Days=T","Dir=V")</f>
        <v>0</v>
      </c>
      <c r="O2">
        <f>BDH("KRMN US Equity","BS_CUR_LIAB","1993-06-18","2026-05-02","Per=Y","Days=T","Dir=V")</f>
        <v>0</v>
      </c>
      <c r="Q2">
        <f>BDH("KRMN US Equity","BS_SHAREHOLDER_EQY_ENDING_PERIOD","1993-06-18","2026-05-02","Per=Y","Days=T","Dir=V")</f>
        <v>0</v>
      </c>
      <c r="S2">
        <f>BDH("KRMN US Equity","BS_ACCT_NOTE_RCV","1993-06-18","2026-05-02","Per=Y","Days=T","Dir=V")</f>
        <v>0</v>
      </c>
      <c r="U2">
        <f>BDH("KRMN US Equity","BS_INVENTORIES","1993-06-18","2026-05-02","Per=Y","Days=T","Dir=V")</f>
        <v>0</v>
      </c>
      <c r="W2">
        <f>BDH("KRMN US Equity","WORKING_CAPITAL","1993-06-18","2026-05-02","Per=Y","Days=T","Dir=V")</f>
        <v>0</v>
      </c>
      <c r="Y2">
        <f>BDH("KRMN US Equity","SALES_REV_TURN","1993-06-18","2026-05-02","Per=Y","Days=T","Dir=V")</f>
        <v>0</v>
      </c>
      <c r="AA2">
        <f>BDH("KRMN US Equity","EBIT","1993-06-18","2026-05-02","Per=Y","Days=T","Dir=V")</f>
        <v>0</v>
      </c>
      <c r="AC2">
        <f>BDH("KRMN US Equity","EBITDA","1993-06-18","2026-05-02","Per=Y","Days=T","Dir=V")</f>
        <v>0</v>
      </c>
      <c r="AE2">
        <f>BDH("KRMN US Equity","NET_INCOME","1993-06-18","2026-05-02","Per=Y","Days=T","Dir=V")</f>
        <v>0</v>
      </c>
      <c r="AG2">
        <f>BDH("KRMN US Equity","IS_INT_EXPENSE","1993-06-18","2026-05-02","Per=Y","Days=T","Dir=V")</f>
        <v>0</v>
      </c>
      <c r="AI2">
        <f>BDH("KRMN US Equity","IS_DEPR_EXP","1993-06-18","2026-05-02","Per=Y","Days=T","Dir=V")</f>
        <v>0</v>
      </c>
      <c r="AK2">
        <f>BDH("KRMN US Equity","CF_CASH_FROM_OPER","1993-06-18","2026-05-02","Per=Y","Days=T","Dir=V")</f>
        <v>0</v>
      </c>
      <c r="AM2">
        <f>BDH("KRMN US Equity","CAPITAL_EXPEND","1993-06-18","2026-05-02","Per=Y","Days=T","Dir=V")</f>
        <v>0</v>
      </c>
      <c r="AO2">
        <f>BDH("KRMN US Equity","CF_FREE_CASH_FLOW","1993-06-18","2026-05-02","Per=Y","Days=T","Dir=V")</f>
        <v>0</v>
      </c>
      <c r="AQ2">
        <f>BDH("KRMN US Equity","PX_LAST","1993-06-18","2026-05-02","Per=M","Days=T","Dir=V")</f>
        <v>0</v>
      </c>
      <c r="AS2">
        <f>BDH("KRMN US Equity","CUR_MKT_CAP","1993-06-18","2026-05-02","Per=M","Days=T","Dir=V")</f>
        <v>0</v>
      </c>
      <c r="AU2">
        <f>BDH("KRMN US Equity","EQY_SH_OUT","1993-06-18","2026-05-02","Per=M","Days=T","Dir=V")</f>
        <v>0</v>
      </c>
      <c r="AW2">
        <f>BDH("KRMN US Equity","PX_VOLUME","1993-06-18","2026-05-02","Per=M","Days=T","Dir=V")</f>
        <v>0</v>
      </c>
      <c r="AY2">
        <f>BDH("KRMN US Equity","TURNOVER","1993-06-18","2026-05-02","Per=M","Days=T","Dir=V")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BDH("KRO US Equity","BS_TOT_ASSET","1993-06-18","2026-05-02","Per=Y","Days=T","Dir=V")</f>
        <v>0</v>
      </c>
      <c r="C2">
        <f>BDH("KRO US Equity","BS_TOT_LIAB2","1993-06-18","2026-05-02","Per=Y","Days=T","Dir=V")</f>
        <v>0</v>
      </c>
      <c r="E2">
        <f>BDH("KRO US Equity","SHORT_AND_LONG_TERM_DEBT","1993-06-18","2026-05-02","Per=Y","Days=T","Dir=V")</f>
        <v>0</v>
      </c>
      <c r="G2">
        <f>BDH("KRO US Equity","BS_ST_BORROW","1993-06-18","2026-05-02","Per=Y","Days=T","Dir=V")</f>
        <v>0</v>
      </c>
      <c r="I2">
        <f>BDH("KRO US Equity","BS_LT_BORROW","1993-06-18","2026-05-02","Per=Y","Days=T","Dir=V")</f>
        <v>0</v>
      </c>
      <c r="K2">
        <f>BDH("KRO US Equity","BS_CASH_NEAR_CASH_ITEM","1993-06-18","2026-05-02","Per=Y","Days=T","Dir=V")</f>
        <v>0</v>
      </c>
      <c r="M2">
        <f>BDH("KRO US Equity","BS_CUR_ASSET_REPORT","1993-06-18","2026-05-02","Per=Y","Days=T","Dir=V")</f>
        <v>0</v>
      </c>
      <c r="O2">
        <f>BDH("KRO US Equity","BS_CUR_LIAB","1993-06-18","2026-05-02","Per=Y","Days=T","Dir=V")</f>
        <v>0</v>
      </c>
      <c r="Q2">
        <f>BDH("KRO US Equity","BS_SHAREHOLDER_EQY_ENDING_PERIOD","1993-06-18","2026-05-02","Per=Y","Days=T","Dir=V")</f>
        <v>0</v>
      </c>
      <c r="S2">
        <f>BDH("KRO US Equity","BS_ACCT_NOTE_RCV","1993-06-18","2026-05-02","Per=Y","Days=T","Dir=V")</f>
        <v>0</v>
      </c>
      <c r="U2">
        <f>BDH("KRO US Equity","BS_INVENTORIES","1993-06-18","2026-05-02","Per=Y","Days=T","Dir=V")</f>
        <v>0</v>
      </c>
      <c r="W2">
        <f>BDH("KRO US Equity","WORKING_CAPITAL","1993-06-18","2026-05-02","Per=Y","Days=T","Dir=V")</f>
        <v>0</v>
      </c>
      <c r="Y2">
        <f>BDH("KRO US Equity","SALES_REV_TURN","1993-06-18","2026-05-02","Per=Y","Days=T","Dir=V")</f>
        <v>0</v>
      </c>
      <c r="AA2">
        <f>BDH("KRO US Equity","EBIT","1993-06-18","2026-05-02","Per=Y","Days=T","Dir=V")</f>
        <v>0</v>
      </c>
      <c r="AC2">
        <f>BDH("KRO US Equity","EBITDA","1993-06-18","2026-05-02","Per=Y","Days=T","Dir=V")</f>
        <v>0</v>
      </c>
      <c r="AE2">
        <f>BDH("KRO US Equity","NET_INCOME","1993-06-18","2026-05-02","Per=Y","Days=T","Dir=V")</f>
        <v>0</v>
      </c>
      <c r="AG2">
        <f>BDH("KRO US Equity","IS_INT_EXPENSE","1993-06-18","2026-05-02","Per=Y","Days=T","Dir=V")</f>
        <v>0</v>
      </c>
      <c r="AI2">
        <f>BDH("KRO US Equity","IS_DEPR_EXP","1993-06-18","2026-05-02","Per=Y","Days=T","Dir=V")</f>
        <v>0</v>
      </c>
      <c r="AK2">
        <f>BDH("KRO US Equity","CF_CASH_FROM_OPER","1993-06-18","2026-05-02","Per=Y","Days=T","Dir=V")</f>
        <v>0</v>
      </c>
      <c r="AM2">
        <f>BDH("KRO US Equity","CAPITAL_EXPEND","1993-06-18","2026-05-02","Per=Y","Days=T","Dir=V")</f>
        <v>0</v>
      </c>
      <c r="AO2">
        <f>BDH("KRO US Equity","CF_FREE_CASH_FLOW","1993-06-18","2026-05-02","Per=Y","Days=T","Dir=V")</f>
        <v>0</v>
      </c>
      <c r="AQ2">
        <f>BDH("KRO US Equity","PX_LAST","1993-06-18","2026-05-02","Per=M","Days=T","Dir=V")</f>
        <v>0</v>
      </c>
      <c r="AS2">
        <f>BDH("KRO US Equity","CUR_MKT_CAP","1993-06-18","2026-05-02","Per=M","Days=T","Dir=V")</f>
        <v>0</v>
      </c>
      <c r="AU2">
        <f>BDH("KRO US Equity","EQY_SH_OUT","1993-06-18","2026-05-02","Per=M","Days=T","Dir=V")</f>
        <v>0</v>
      </c>
      <c r="AW2">
        <f>BDH("KRO US Equity","PX_VOLUME","1993-06-18","2026-05-02","Per=M","Days=T","Dir=V")</f>
        <v>0</v>
      </c>
      <c r="AY2">
        <f>BDH("KRO US Equity","TURNOVER","1993-06-18","2026-05-02","Per=M","Days=T","Dir=V")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BDH("KROS US Equity","BS_TOT_ASSET","1993-06-18","2026-05-02","Per=Y","Days=T","Dir=V")</f>
        <v>0</v>
      </c>
      <c r="C2">
        <f>BDH("KROS US Equity","BS_TOT_LIAB2","1993-06-18","2026-05-02","Per=Y","Days=T","Dir=V")</f>
        <v>0</v>
      </c>
      <c r="E2">
        <f>BDH("KROS US Equity","SHORT_AND_LONG_TERM_DEBT","1993-06-18","2026-05-02","Per=Y","Days=T","Dir=V")</f>
        <v>0</v>
      </c>
      <c r="G2">
        <f>BDH("KROS US Equity","BS_ST_BORROW","1993-06-18","2026-05-02","Per=Y","Days=T","Dir=V")</f>
        <v>0</v>
      </c>
      <c r="I2">
        <f>BDH("KROS US Equity","BS_LT_BORROW","1993-06-18","2026-05-02","Per=Y","Days=T","Dir=V")</f>
        <v>0</v>
      </c>
      <c r="K2">
        <f>BDH("KROS US Equity","BS_CASH_NEAR_CASH_ITEM","1993-06-18","2026-05-02","Per=Y","Days=T","Dir=V")</f>
        <v>0</v>
      </c>
      <c r="M2">
        <f>BDH("KROS US Equity","BS_CUR_ASSET_REPORT","1993-06-18","2026-05-02","Per=Y","Days=T","Dir=V")</f>
        <v>0</v>
      </c>
      <c r="O2">
        <f>BDH("KROS US Equity","BS_CUR_LIAB","1993-06-18","2026-05-02","Per=Y","Days=T","Dir=V")</f>
        <v>0</v>
      </c>
      <c r="Q2">
        <f>BDH("KROS US Equity","BS_SHAREHOLDER_EQY_ENDING_PERIOD","1993-06-18","2026-05-02","Per=Y","Days=T","Dir=V")</f>
        <v>0</v>
      </c>
      <c r="S2">
        <f>BDH("KROS US Equity","BS_ACCT_NOTE_RCV","1993-06-18","2026-05-02","Per=Y","Days=T","Dir=V")</f>
        <v>0</v>
      </c>
      <c r="U2">
        <f>BDH("KROS US Equity","BS_INVENTORIES","1993-06-18","2026-05-02","Per=Y","Days=T","Dir=V")</f>
        <v>0</v>
      </c>
      <c r="W2">
        <f>BDH("KROS US Equity","WORKING_CAPITAL","1993-06-18","2026-05-02","Per=Y","Days=T","Dir=V")</f>
        <v>0</v>
      </c>
      <c r="Y2">
        <f>BDH("KROS US Equity","SALES_REV_TURN","1993-06-18","2026-05-02","Per=Y","Days=T","Dir=V")</f>
        <v>0</v>
      </c>
      <c r="AA2">
        <f>BDH("KROS US Equity","EBIT","1993-06-18","2026-05-02","Per=Y","Days=T","Dir=V")</f>
        <v>0</v>
      </c>
      <c r="AC2">
        <f>BDH("KROS US Equity","EBITDA","1993-06-18","2026-05-02","Per=Y","Days=T","Dir=V")</f>
        <v>0</v>
      </c>
      <c r="AE2">
        <f>BDH("KROS US Equity","NET_INCOME","1993-06-18","2026-05-02","Per=Y","Days=T","Dir=V")</f>
        <v>0</v>
      </c>
      <c r="AG2">
        <f>BDH("KROS US Equity","IS_INT_EXPENSE","1993-06-18","2026-05-02","Per=Y","Days=T","Dir=V")</f>
        <v>0</v>
      </c>
      <c r="AI2">
        <f>BDH("KROS US Equity","IS_DEPR_EXP","1993-06-18","2026-05-02","Per=Y","Days=T","Dir=V")</f>
        <v>0</v>
      </c>
      <c r="AK2">
        <f>BDH("KROS US Equity","CF_CASH_FROM_OPER","1993-06-18","2026-05-02","Per=Y","Days=T","Dir=V")</f>
        <v>0</v>
      </c>
      <c r="AM2">
        <f>BDH("KROS US Equity","CAPITAL_EXPEND","1993-06-18","2026-05-02","Per=Y","Days=T","Dir=V")</f>
        <v>0</v>
      </c>
      <c r="AO2">
        <f>BDH("KROS US Equity","CF_FREE_CASH_FLOW","1993-06-18","2026-05-02","Per=Y","Days=T","Dir=V")</f>
        <v>0</v>
      </c>
      <c r="AQ2">
        <f>BDH("KROS US Equity","PX_LAST","1993-06-18","2026-05-02","Per=M","Days=T","Dir=V")</f>
        <v>0</v>
      </c>
      <c r="AS2">
        <f>BDH("KROS US Equity","CUR_MKT_CAP","1993-06-18","2026-05-02","Per=M","Days=T","Dir=V")</f>
        <v>0</v>
      </c>
      <c r="AU2">
        <f>BDH("KROS US Equity","EQY_SH_OUT","1993-06-18","2026-05-02","Per=M","Days=T","Dir=V")</f>
        <v>0</v>
      </c>
      <c r="AW2">
        <f>BDH("KROS US Equity","PX_VOLUME","1993-06-18","2026-05-02","Per=M","Days=T","Dir=V")</f>
        <v>0</v>
      </c>
      <c r="AY2">
        <f>BDH("KROS US Equity","TURNOVER","1993-06-18","2026-05-02","Per=M","Days=T","Dir=V")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BDH("KRP US Equity","BS_TOT_ASSET","1993-06-18","2026-05-02","Per=Y","Days=T","Dir=V")</f>
        <v>0</v>
      </c>
      <c r="C2">
        <f>BDH("KRP US Equity","BS_TOT_LIAB2","1993-06-18","2026-05-02","Per=Y","Days=T","Dir=V")</f>
        <v>0</v>
      </c>
      <c r="E2">
        <f>BDH("KRP US Equity","SHORT_AND_LONG_TERM_DEBT","1993-06-18","2026-05-02","Per=Y","Days=T","Dir=V")</f>
        <v>0</v>
      </c>
      <c r="G2">
        <f>BDH("KRP US Equity","BS_ST_BORROW","1993-06-18","2026-05-02","Per=Y","Days=T","Dir=V")</f>
        <v>0</v>
      </c>
      <c r="I2">
        <f>BDH("KRP US Equity","BS_LT_BORROW","1993-06-18","2026-05-02","Per=Y","Days=T","Dir=V")</f>
        <v>0</v>
      </c>
      <c r="K2">
        <f>BDH("KRP US Equity","BS_CASH_NEAR_CASH_ITEM","1993-06-18","2026-05-02","Per=Y","Days=T","Dir=V")</f>
        <v>0</v>
      </c>
      <c r="M2">
        <f>BDH("KRP US Equity","BS_CUR_ASSET_REPORT","1993-06-18","2026-05-02","Per=Y","Days=T","Dir=V")</f>
        <v>0</v>
      </c>
      <c r="O2">
        <f>BDH("KRP US Equity","BS_CUR_LIAB","1993-06-18","2026-05-02","Per=Y","Days=T","Dir=V")</f>
        <v>0</v>
      </c>
      <c r="Q2">
        <f>BDH("KRP US Equity","BS_SHAREHOLDER_EQY_ENDING_PERIOD","1993-06-18","2026-05-02","Per=Y","Days=T","Dir=V")</f>
        <v>0</v>
      </c>
      <c r="S2">
        <f>BDH("KRP US Equity","BS_ACCT_NOTE_RCV","1993-06-18","2026-05-02","Per=Y","Days=T","Dir=V")</f>
        <v>0</v>
      </c>
      <c r="U2">
        <f>BDH("KRP US Equity","BS_INVENTORIES","1993-06-18","2026-05-02","Per=Y","Days=T","Dir=V")</f>
        <v>0</v>
      </c>
      <c r="W2">
        <f>BDH("KRP US Equity","WORKING_CAPITAL","1993-06-18","2026-05-02","Per=Y","Days=T","Dir=V")</f>
        <v>0</v>
      </c>
      <c r="Y2">
        <f>BDH("KRP US Equity","SALES_REV_TURN","1993-06-18","2026-05-02","Per=Y","Days=T","Dir=V")</f>
        <v>0</v>
      </c>
      <c r="AA2">
        <f>BDH("KRP US Equity","EBIT","1993-06-18","2026-05-02","Per=Y","Days=T","Dir=V")</f>
        <v>0</v>
      </c>
      <c r="AC2">
        <f>BDH("KRP US Equity","EBITDA","1993-06-18","2026-05-02","Per=Y","Days=T","Dir=V")</f>
        <v>0</v>
      </c>
      <c r="AE2">
        <f>BDH("KRP US Equity","NET_INCOME","1993-06-18","2026-05-02","Per=Y","Days=T","Dir=V")</f>
        <v>0</v>
      </c>
      <c r="AG2">
        <f>BDH("KRP US Equity","IS_INT_EXPENSE","1993-06-18","2026-05-02","Per=Y","Days=T","Dir=V")</f>
        <v>0</v>
      </c>
      <c r="AI2">
        <f>BDH("KRP US Equity","IS_DEPR_EXP","1993-06-18","2026-05-02","Per=Y","Days=T","Dir=V")</f>
        <v>0</v>
      </c>
      <c r="AK2">
        <f>BDH("KRP US Equity","CF_CASH_FROM_OPER","1993-06-18","2026-05-02","Per=Y","Days=T","Dir=V")</f>
        <v>0</v>
      </c>
      <c r="AM2">
        <f>BDH("KRP US Equity","CAPITAL_EXPEND","1993-06-18","2026-05-02","Per=Y","Days=T","Dir=V")</f>
        <v>0</v>
      </c>
      <c r="AO2">
        <f>BDH("KRP US Equity","CF_FREE_CASH_FLOW","1993-06-18","2026-05-02","Per=Y","Days=T","Dir=V")</f>
        <v>0</v>
      </c>
      <c r="AQ2">
        <f>BDH("KRP US Equity","PX_LAST","1993-06-18","2026-05-02","Per=M","Days=T","Dir=V")</f>
        <v>0</v>
      </c>
      <c r="AS2">
        <f>BDH("KRP US Equity","CUR_MKT_CAP","1993-06-18","2026-05-02","Per=M","Days=T","Dir=V")</f>
        <v>0</v>
      </c>
      <c r="AU2">
        <f>BDH("KRP US Equity","EQY_SH_OUT","1993-06-18","2026-05-02","Per=M","Days=T","Dir=V")</f>
        <v>0</v>
      </c>
      <c r="AW2">
        <f>BDH("KRP US Equity","PX_VOLUME","1993-06-18","2026-05-02","Per=M","Days=T","Dir=V")</f>
        <v>0</v>
      </c>
      <c r="AY2">
        <f>BDH("KRP US Equity","TURNOVER","1993-06-18","2026-05-02","Per=M","Days=T","Dir=V")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BDH("KRRO US Equity","BS_TOT_ASSET","1993-06-18","2026-05-02","Per=Y","Days=T","Dir=V")</f>
        <v>0</v>
      </c>
      <c r="C2">
        <f>BDH("KRRO US Equity","BS_TOT_LIAB2","1993-06-18","2026-05-02","Per=Y","Days=T","Dir=V")</f>
        <v>0</v>
      </c>
      <c r="E2">
        <f>BDH("KRRO US Equity","SHORT_AND_LONG_TERM_DEBT","1993-06-18","2026-05-02","Per=Y","Days=T","Dir=V")</f>
        <v>0</v>
      </c>
      <c r="G2">
        <f>BDH("KRRO US Equity","BS_ST_BORROW","1993-06-18","2026-05-02","Per=Y","Days=T","Dir=V")</f>
        <v>0</v>
      </c>
      <c r="I2">
        <f>BDH("KRRO US Equity","BS_LT_BORROW","1993-06-18","2026-05-02","Per=Y","Days=T","Dir=V")</f>
        <v>0</v>
      </c>
      <c r="K2">
        <f>BDH("KRRO US Equity","BS_CASH_NEAR_CASH_ITEM","1993-06-18","2026-05-02","Per=Y","Days=T","Dir=V")</f>
        <v>0</v>
      </c>
      <c r="M2">
        <f>BDH("KRRO US Equity","BS_CUR_ASSET_REPORT","1993-06-18","2026-05-02","Per=Y","Days=T","Dir=V")</f>
        <v>0</v>
      </c>
      <c r="O2">
        <f>BDH("KRRO US Equity","BS_CUR_LIAB","1993-06-18","2026-05-02","Per=Y","Days=T","Dir=V")</f>
        <v>0</v>
      </c>
      <c r="Q2">
        <f>BDH("KRRO US Equity","BS_SHAREHOLDER_EQY_ENDING_PERIOD","1993-06-18","2026-05-02","Per=Y","Days=T","Dir=V")</f>
        <v>0</v>
      </c>
      <c r="S2">
        <f>BDH("KRRO US Equity","BS_ACCT_NOTE_RCV","1993-06-18","2026-05-02","Per=Y","Days=T","Dir=V")</f>
        <v>0</v>
      </c>
      <c r="U2">
        <f>BDH("KRRO US Equity","BS_INVENTORIES","1993-06-18","2026-05-02","Per=Y","Days=T","Dir=V")</f>
        <v>0</v>
      </c>
      <c r="W2">
        <f>BDH("KRRO US Equity","WORKING_CAPITAL","1993-06-18","2026-05-02","Per=Y","Days=T","Dir=V")</f>
        <v>0</v>
      </c>
      <c r="Y2">
        <f>BDH("KRRO US Equity","SALES_REV_TURN","1993-06-18","2026-05-02","Per=Y","Days=T","Dir=V")</f>
        <v>0</v>
      </c>
      <c r="AA2">
        <f>BDH("KRRO US Equity","EBIT","1993-06-18","2026-05-02","Per=Y","Days=T","Dir=V")</f>
        <v>0</v>
      </c>
      <c r="AC2">
        <f>BDH("KRRO US Equity","EBITDA","1993-06-18","2026-05-02","Per=Y","Days=T","Dir=V")</f>
        <v>0</v>
      </c>
      <c r="AE2">
        <f>BDH("KRRO US Equity","NET_INCOME","1993-06-18","2026-05-02","Per=Y","Days=T","Dir=V")</f>
        <v>0</v>
      </c>
      <c r="AG2">
        <f>BDH("KRRO US Equity","IS_INT_EXPENSE","1993-06-18","2026-05-02","Per=Y","Days=T","Dir=V")</f>
        <v>0</v>
      </c>
      <c r="AI2">
        <f>BDH("KRRO US Equity","IS_DEPR_EXP","1993-06-18","2026-05-02","Per=Y","Days=T","Dir=V")</f>
        <v>0</v>
      </c>
      <c r="AK2">
        <f>BDH("KRRO US Equity","CF_CASH_FROM_OPER","1993-06-18","2026-05-02","Per=Y","Days=T","Dir=V")</f>
        <v>0</v>
      </c>
      <c r="AM2">
        <f>BDH("KRRO US Equity","CAPITAL_EXPEND","1993-06-18","2026-05-02","Per=Y","Days=T","Dir=V")</f>
        <v>0</v>
      </c>
      <c r="AO2">
        <f>BDH("KRRO US Equity","CF_FREE_CASH_FLOW","1993-06-18","2026-05-02","Per=Y","Days=T","Dir=V")</f>
        <v>0</v>
      </c>
      <c r="AQ2">
        <f>BDH("KRRO US Equity","PX_LAST","1993-06-18","2026-05-02","Per=M","Days=T","Dir=V")</f>
        <v>0</v>
      </c>
      <c r="AS2">
        <f>BDH("KRRO US Equity","CUR_MKT_CAP","1993-06-18","2026-05-02","Per=M","Days=T","Dir=V")</f>
        <v>0</v>
      </c>
      <c r="AU2">
        <f>BDH("KRRO US Equity","EQY_SH_OUT","1993-06-18","2026-05-02","Per=M","Days=T","Dir=V")</f>
        <v>0</v>
      </c>
      <c r="AW2">
        <f>BDH("KRRO US Equity","PX_VOLUME","1993-06-18","2026-05-02","Per=M","Days=T","Dir=V")</f>
        <v>0</v>
      </c>
      <c r="AY2">
        <f>BDH("KRRO US Equity","TURNOVER","1993-06-18","2026-05-02","Per=M","Days=T","Dir=V")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BDH("KRSA US Equity","BS_TOT_ASSET","1993-06-18","2026-05-02","Per=Y","Days=T","Dir=V")</f>
        <v>0</v>
      </c>
      <c r="C2">
        <f>BDH("KRSA US Equity","BS_TOT_LIAB2","1993-06-18","2026-05-02","Per=Y","Days=T","Dir=V")</f>
        <v>0</v>
      </c>
      <c r="E2">
        <f>BDH("KRSA US Equity","SHORT_AND_LONG_TERM_DEBT","1993-06-18","2026-05-02","Per=Y","Days=T","Dir=V")</f>
        <v>0</v>
      </c>
      <c r="G2">
        <f>BDH("KRSA US Equity","BS_ST_BORROW","1993-06-18","2026-05-02","Per=Y","Days=T","Dir=V")</f>
        <v>0</v>
      </c>
      <c r="I2">
        <f>BDH("KRSA US Equity","BS_LT_BORROW","1993-06-18","2026-05-02","Per=Y","Days=T","Dir=V")</f>
        <v>0</v>
      </c>
      <c r="K2">
        <f>BDH("KRSA US Equity","BS_CASH_NEAR_CASH_ITEM","1993-06-18","2026-05-02","Per=Y","Days=T","Dir=V")</f>
        <v>0</v>
      </c>
      <c r="M2">
        <f>BDH("KRSA US Equity","BS_CUR_ASSET_REPORT","1993-06-18","2026-05-02","Per=Y","Days=T","Dir=V")</f>
        <v>0</v>
      </c>
      <c r="O2">
        <f>BDH("KRSA US Equity","BS_CUR_LIAB","1993-06-18","2026-05-02","Per=Y","Days=T","Dir=V")</f>
        <v>0</v>
      </c>
      <c r="Q2">
        <f>BDH("KRSA US Equity","BS_SHAREHOLDER_EQY_ENDING_PERIOD","1993-06-18","2026-05-02","Per=Y","Days=T","Dir=V")</f>
        <v>0</v>
      </c>
      <c r="S2">
        <f>BDH("KRSA US Equity","BS_ACCT_NOTE_RCV","1993-06-18","2026-05-02","Per=Y","Days=T","Dir=V")</f>
        <v>0</v>
      </c>
      <c r="U2">
        <f>BDH("KRSA US Equity","BS_INVENTORIES","1993-06-18","2026-05-02","Per=Y","Days=T","Dir=V")</f>
        <v>0</v>
      </c>
      <c r="W2">
        <f>BDH("KRSA US Equity","WORKING_CAPITAL","1993-06-18","2026-05-02","Per=Y","Days=T","Dir=V")</f>
        <v>0</v>
      </c>
      <c r="Y2">
        <f>BDH("KRSA US Equity","SALES_REV_TURN","1993-06-18","2026-05-02","Per=Y","Days=T","Dir=V")</f>
        <v>0</v>
      </c>
      <c r="AA2">
        <f>BDH("KRSA US Equity","EBIT","1993-06-18","2026-05-02","Per=Y","Days=T","Dir=V")</f>
        <v>0</v>
      </c>
      <c r="AC2">
        <f>BDH("KRSA US Equity","EBITDA","1993-06-18","2026-05-02","Per=Y","Days=T","Dir=V")</f>
        <v>0</v>
      </c>
      <c r="AE2">
        <f>BDH("KRSA US Equity","NET_INCOME","1993-06-18","2026-05-02","Per=Y","Days=T","Dir=V")</f>
        <v>0</v>
      </c>
      <c r="AG2">
        <f>BDH("KRSA US Equity","IS_INT_EXPENSE","1993-06-18","2026-05-02","Per=Y","Days=T","Dir=V")</f>
        <v>0</v>
      </c>
      <c r="AI2">
        <f>BDH("KRSA US Equity","IS_DEPR_EXP","1993-06-18","2026-05-02","Per=Y","Days=T","Dir=V")</f>
        <v>0</v>
      </c>
      <c r="AK2">
        <f>BDH("KRSA US Equity","CF_CASH_FROM_OPER","1993-06-18","2026-05-02","Per=Y","Days=T","Dir=V")</f>
        <v>0</v>
      </c>
      <c r="AM2">
        <f>BDH("KRSA US Equity","CAPITAL_EXPEND","1993-06-18","2026-05-02","Per=Y","Days=T","Dir=V")</f>
        <v>0</v>
      </c>
      <c r="AO2">
        <f>BDH("KRSA US Equity","CF_FREE_CASH_FLOW","1993-06-18","2026-05-02","Per=Y","Days=T","Dir=V")</f>
        <v>0</v>
      </c>
      <c r="AQ2">
        <f>BDH("KRSA US Equity","PX_LAST","1993-06-18","2026-05-02","Per=M","Days=T","Dir=V")</f>
        <v>0</v>
      </c>
      <c r="AS2">
        <f>BDH("KRSA US Equity","CUR_MKT_CAP","1993-06-18","2026-05-02","Per=M","Days=T","Dir=V")</f>
        <v>0</v>
      </c>
      <c r="AU2">
        <f>BDH("KRSA US Equity","EQY_SH_OUT","1993-06-18","2026-05-02","Per=M","Days=T","Dir=V")</f>
        <v>0</v>
      </c>
      <c r="AW2">
        <f>BDH("KRSA US Equity","PX_VOLUME","1993-06-18","2026-05-02","Per=M","Days=T","Dir=V")</f>
        <v>0</v>
      </c>
      <c r="AY2">
        <f>BDH("KRSA US Equity","TURNOVER","1993-06-18","2026-05-02","Per=M","Days=T","Dir=V")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BDH("KRT US Equity","BS_TOT_ASSET","1993-06-18","2026-05-02","Per=Y","Days=T","Dir=V")</f>
        <v>0</v>
      </c>
      <c r="C2">
        <f>BDH("KRT US Equity","BS_TOT_LIAB2","1993-06-18","2026-05-02","Per=Y","Days=T","Dir=V")</f>
        <v>0</v>
      </c>
      <c r="E2">
        <f>BDH("KRT US Equity","SHORT_AND_LONG_TERM_DEBT","1993-06-18","2026-05-02","Per=Y","Days=T","Dir=V")</f>
        <v>0</v>
      </c>
      <c r="G2">
        <f>BDH("KRT US Equity","BS_ST_BORROW","1993-06-18","2026-05-02","Per=Y","Days=T","Dir=V")</f>
        <v>0</v>
      </c>
      <c r="I2">
        <f>BDH("KRT US Equity","BS_LT_BORROW","1993-06-18","2026-05-02","Per=Y","Days=T","Dir=V")</f>
        <v>0</v>
      </c>
      <c r="K2">
        <f>BDH("KRT US Equity","BS_CASH_NEAR_CASH_ITEM","1993-06-18","2026-05-02","Per=Y","Days=T","Dir=V")</f>
        <v>0</v>
      </c>
      <c r="M2">
        <f>BDH("KRT US Equity","BS_CUR_ASSET_REPORT","1993-06-18","2026-05-02","Per=Y","Days=T","Dir=V")</f>
        <v>0</v>
      </c>
      <c r="O2">
        <f>BDH("KRT US Equity","BS_CUR_LIAB","1993-06-18","2026-05-02","Per=Y","Days=T","Dir=V")</f>
        <v>0</v>
      </c>
      <c r="Q2">
        <f>BDH("KRT US Equity","BS_SHAREHOLDER_EQY_ENDING_PERIOD","1993-06-18","2026-05-02","Per=Y","Days=T","Dir=V")</f>
        <v>0</v>
      </c>
      <c r="S2">
        <f>BDH("KRT US Equity","BS_ACCT_NOTE_RCV","1993-06-18","2026-05-02","Per=Y","Days=T","Dir=V")</f>
        <v>0</v>
      </c>
      <c r="U2">
        <f>BDH("KRT US Equity","BS_INVENTORIES","1993-06-18","2026-05-02","Per=Y","Days=T","Dir=V")</f>
        <v>0</v>
      </c>
      <c r="W2">
        <f>BDH("KRT US Equity","WORKING_CAPITAL","1993-06-18","2026-05-02","Per=Y","Days=T","Dir=V")</f>
        <v>0</v>
      </c>
      <c r="Y2">
        <f>BDH("KRT US Equity","SALES_REV_TURN","1993-06-18","2026-05-02","Per=Y","Days=T","Dir=V")</f>
        <v>0</v>
      </c>
      <c r="AA2">
        <f>BDH("KRT US Equity","EBIT","1993-06-18","2026-05-02","Per=Y","Days=T","Dir=V")</f>
        <v>0</v>
      </c>
      <c r="AC2">
        <f>BDH("KRT US Equity","EBITDA","1993-06-18","2026-05-02","Per=Y","Days=T","Dir=V")</f>
        <v>0</v>
      </c>
      <c r="AE2">
        <f>BDH("KRT US Equity","NET_INCOME","1993-06-18","2026-05-02","Per=Y","Days=T","Dir=V")</f>
        <v>0</v>
      </c>
      <c r="AG2">
        <f>BDH("KRT US Equity","IS_INT_EXPENSE","1993-06-18","2026-05-02","Per=Y","Days=T","Dir=V")</f>
        <v>0</v>
      </c>
      <c r="AI2">
        <f>BDH("KRT US Equity","IS_DEPR_EXP","1993-06-18","2026-05-02","Per=Y","Days=T","Dir=V")</f>
        <v>0</v>
      </c>
      <c r="AK2">
        <f>BDH("KRT US Equity","CF_CASH_FROM_OPER","1993-06-18","2026-05-02","Per=Y","Days=T","Dir=V")</f>
        <v>0</v>
      </c>
      <c r="AM2">
        <f>BDH("KRT US Equity","CAPITAL_EXPEND","1993-06-18","2026-05-02","Per=Y","Days=T","Dir=V")</f>
        <v>0</v>
      </c>
      <c r="AO2">
        <f>BDH("KRT US Equity","CF_FREE_CASH_FLOW","1993-06-18","2026-05-02","Per=Y","Days=T","Dir=V")</f>
        <v>0</v>
      </c>
      <c r="AQ2">
        <f>BDH("KRT US Equity","PX_LAST","1993-06-18","2026-05-02","Per=M","Days=T","Dir=V")</f>
        <v>0</v>
      </c>
      <c r="AS2">
        <f>BDH("KRT US Equity","CUR_MKT_CAP","1993-06-18","2026-05-02","Per=M","Days=T","Dir=V")</f>
        <v>0</v>
      </c>
      <c r="AU2">
        <f>BDH("KRT US Equity","EQY_SH_OUT","1993-06-18","2026-05-02","Per=M","Days=T","Dir=V")</f>
        <v>0</v>
      </c>
      <c r="AW2">
        <f>BDH("KRT US Equity","PX_VOLUME","1993-06-18","2026-05-02","Per=M","Days=T","Dir=V")</f>
        <v>0</v>
      </c>
      <c r="AY2">
        <f>BDH("KRT US Equity","TURNOVER","1993-06-18","2026-05-02","Per=M","Days=T","Dir=V")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BDH("KRUS US Equity","BS_TOT_ASSET","1993-06-18","2026-05-02","Per=Y","Days=T","Dir=V")</f>
        <v>0</v>
      </c>
      <c r="C2">
        <f>BDH("KRUS US Equity","BS_TOT_LIAB2","1993-06-18","2026-05-02","Per=Y","Days=T","Dir=V")</f>
        <v>0</v>
      </c>
      <c r="E2">
        <f>BDH("KRUS US Equity","SHORT_AND_LONG_TERM_DEBT","1993-06-18","2026-05-02","Per=Y","Days=T","Dir=V")</f>
        <v>0</v>
      </c>
      <c r="G2">
        <f>BDH("KRUS US Equity","BS_ST_BORROW","1993-06-18","2026-05-02","Per=Y","Days=T","Dir=V")</f>
        <v>0</v>
      </c>
      <c r="I2">
        <f>BDH("KRUS US Equity","BS_LT_BORROW","1993-06-18","2026-05-02","Per=Y","Days=T","Dir=V")</f>
        <v>0</v>
      </c>
      <c r="K2">
        <f>BDH("KRUS US Equity","BS_CASH_NEAR_CASH_ITEM","1993-06-18","2026-05-02","Per=Y","Days=T","Dir=V")</f>
        <v>0</v>
      </c>
      <c r="M2">
        <f>BDH("KRUS US Equity","BS_CUR_ASSET_REPORT","1993-06-18","2026-05-02","Per=Y","Days=T","Dir=V")</f>
        <v>0</v>
      </c>
      <c r="O2">
        <f>BDH("KRUS US Equity","BS_CUR_LIAB","1993-06-18","2026-05-02","Per=Y","Days=T","Dir=V")</f>
        <v>0</v>
      </c>
      <c r="Q2">
        <f>BDH("KRUS US Equity","BS_SHAREHOLDER_EQY_ENDING_PERIOD","1993-06-18","2026-05-02","Per=Y","Days=T","Dir=V")</f>
        <v>0</v>
      </c>
      <c r="S2">
        <f>BDH("KRUS US Equity","BS_ACCT_NOTE_RCV","1993-06-18","2026-05-02","Per=Y","Days=T","Dir=V")</f>
        <v>0</v>
      </c>
      <c r="U2">
        <f>BDH("KRUS US Equity","BS_INVENTORIES","1993-06-18","2026-05-02","Per=Y","Days=T","Dir=V")</f>
        <v>0</v>
      </c>
      <c r="W2">
        <f>BDH("KRUS US Equity","WORKING_CAPITAL","1993-06-18","2026-05-02","Per=Y","Days=T","Dir=V")</f>
        <v>0</v>
      </c>
      <c r="Y2">
        <f>BDH("KRUS US Equity","SALES_REV_TURN","1993-06-18","2026-05-02","Per=Y","Days=T","Dir=V")</f>
        <v>0</v>
      </c>
      <c r="AA2">
        <f>BDH("KRUS US Equity","EBIT","1993-06-18","2026-05-02","Per=Y","Days=T","Dir=V")</f>
        <v>0</v>
      </c>
      <c r="AC2">
        <f>BDH("KRUS US Equity","EBITDA","1993-06-18","2026-05-02","Per=Y","Days=T","Dir=V")</f>
        <v>0</v>
      </c>
      <c r="AE2">
        <f>BDH("KRUS US Equity","NET_INCOME","1993-06-18","2026-05-02","Per=Y","Days=T","Dir=V")</f>
        <v>0</v>
      </c>
      <c r="AG2">
        <f>BDH("KRUS US Equity","IS_INT_EXPENSE","1993-06-18","2026-05-02","Per=Y","Days=T","Dir=V")</f>
        <v>0</v>
      </c>
      <c r="AI2">
        <f>BDH("KRUS US Equity","IS_DEPR_EXP","1993-06-18","2026-05-02","Per=Y","Days=T","Dir=V")</f>
        <v>0</v>
      </c>
      <c r="AK2">
        <f>BDH("KRUS US Equity","CF_CASH_FROM_OPER","1993-06-18","2026-05-02","Per=Y","Days=T","Dir=V")</f>
        <v>0</v>
      </c>
      <c r="AM2">
        <f>BDH("KRUS US Equity","CAPITAL_EXPEND","1993-06-18","2026-05-02","Per=Y","Days=T","Dir=V")</f>
        <v>0</v>
      </c>
      <c r="AO2">
        <f>BDH("KRUS US Equity","CF_FREE_CASH_FLOW","1993-06-18","2026-05-02","Per=Y","Days=T","Dir=V")</f>
        <v>0</v>
      </c>
      <c r="AQ2">
        <f>BDH("KRUS US Equity","PX_LAST","1993-06-18","2026-05-02","Per=M","Days=T","Dir=V")</f>
        <v>0</v>
      </c>
      <c r="AS2">
        <f>BDH("KRUS US Equity","CUR_MKT_CAP","1993-06-18","2026-05-02","Per=M","Days=T","Dir=V")</f>
        <v>0</v>
      </c>
      <c r="AU2">
        <f>BDH("KRUS US Equity","EQY_SH_OUT","1993-06-18","2026-05-02","Per=M","Days=T","Dir=V")</f>
        <v>0</v>
      </c>
      <c r="AW2">
        <f>BDH("KRUS US Equity","PX_VOLUME","1993-06-18","2026-05-02","Per=M","Days=T","Dir=V")</f>
        <v>0</v>
      </c>
      <c r="AY2">
        <f>BDH("KRUS US Equity","TURNOVER","1993-06-18","2026-05-02","Per=M","Days=T","Dir=V")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BDH("KRYS US Equity","BS_TOT_ASSET","1993-06-18","2026-05-02","Per=Y","Days=T","Dir=V")</f>
        <v>0</v>
      </c>
      <c r="C2">
        <f>BDH("KRYS US Equity","BS_TOT_LIAB2","1993-06-18","2026-05-02","Per=Y","Days=T","Dir=V")</f>
        <v>0</v>
      </c>
      <c r="E2">
        <f>BDH("KRYS US Equity","SHORT_AND_LONG_TERM_DEBT","1993-06-18","2026-05-02","Per=Y","Days=T","Dir=V")</f>
        <v>0</v>
      </c>
      <c r="G2">
        <f>BDH("KRYS US Equity","BS_ST_BORROW","1993-06-18","2026-05-02","Per=Y","Days=T","Dir=V")</f>
        <v>0</v>
      </c>
      <c r="I2">
        <f>BDH("KRYS US Equity","BS_LT_BORROW","1993-06-18","2026-05-02","Per=Y","Days=T","Dir=V")</f>
        <v>0</v>
      </c>
      <c r="K2">
        <f>BDH("KRYS US Equity","BS_CASH_NEAR_CASH_ITEM","1993-06-18","2026-05-02","Per=Y","Days=T","Dir=V")</f>
        <v>0</v>
      </c>
      <c r="M2">
        <f>BDH("KRYS US Equity","BS_CUR_ASSET_REPORT","1993-06-18","2026-05-02","Per=Y","Days=T","Dir=V")</f>
        <v>0</v>
      </c>
      <c r="O2">
        <f>BDH("KRYS US Equity","BS_CUR_LIAB","1993-06-18","2026-05-02","Per=Y","Days=T","Dir=V")</f>
        <v>0</v>
      </c>
      <c r="Q2">
        <f>BDH("KRYS US Equity","BS_SHAREHOLDER_EQY_ENDING_PERIOD","1993-06-18","2026-05-02","Per=Y","Days=T","Dir=V")</f>
        <v>0</v>
      </c>
      <c r="S2">
        <f>BDH("KRYS US Equity","BS_ACCT_NOTE_RCV","1993-06-18","2026-05-02","Per=Y","Days=T","Dir=V")</f>
        <v>0</v>
      </c>
      <c r="U2">
        <f>BDH("KRYS US Equity","BS_INVENTORIES","1993-06-18","2026-05-02","Per=Y","Days=T","Dir=V")</f>
        <v>0</v>
      </c>
      <c r="W2">
        <f>BDH("KRYS US Equity","WORKING_CAPITAL","1993-06-18","2026-05-02","Per=Y","Days=T","Dir=V")</f>
        <v>0</v>
      </c>
      <c r="Y2">
        <f>BDH("KRYS US Equity","SALES_REV_TURN","1993-06-18","2026-05-02","Per=Y","Days=T","Dir=V")</f>
        <v>0</v>
      </c>
      <c r="AA2">
        <f>BDH("KRYS US Equity","EBIT","1993-06-18","2026-05-02","Per=Y","Days=T","Dir=V")</f>
        <v>0</v>
      </c>
      <c r="AC2">
        <f>BDH("KRYS US Equity","EBITDA","1993-06-18","2026-05-02","Per=Y","Days=T","Dir=V")</f>
        <v>0</v>
      </c>
      <c r="AE2">
        <f>BDH("KRYS US Equity","NET_INCOME","1993-06-18","2026-05-02","Per=Y","Days=T","Dir=V")</f>
        <v>0</v>
      </c>
      <c r="AG2">
        <f>BDH("KRYS US Equity","IS_INT_EXPENSE","1993-06-18","2026-05-02","Per=Y","Days=T","Dir=V")</f>
        <v>0</v>
      </c>
      <c r="AI2">
        <f>BDH("KRYS US Equity","IS_DEPR_EXP","1993-06-18","2026-05-02","Per=Y","Days=T","Dir=V")</f>
        <v>0</v>
      </c>
      <c r="AK2">
        <f>BDH("KRYS US Equity","CF_CASH_FROM_OPER","1993-06-18","2026-05-02","Per=Y","Days=T","Dir=V")</f>
        <v>0</v>
      </c>
      <c r="AM2">
        <f>BDH("KRYS US Equity","CAPITAL_EXPEND","1993-06-18","2026-05-02","Per=Y","Days=T","Dir=V")</f>
        <v>0</v>
      </c>
      <c r="AO2">
        <f>BDH("KRYS US Equity","CF_FREE_CASH_FLOW","1993-06-18","2026-05-02","Per=Y","Days=T","Dir=V")</f>
        <v>0</v>
      </c>
      <c r="AQ2">
        <f>BDH("KRYS US Equity","PX_LAST","1993-06-18","2026-05-02","Per=M","Days=T","Dir=V")</f>
        <v>0</v>
      </c>
      <c r="AS2">
        <f>BDH("KRYS US Equity","CUR_MKT_CAP","1993-06-18","2026-05-02","Per=M","Days=T","Dir=V")</f>
        <v>0</v>
      </c>
      <c r="AU2">
        <f>BDH("KRYS US Equity","EQY_SH_OUT","1993-06-18","2026-05-02","Per=M","Days=T","Dir=V")</f>
        <v>0</v>
      </c>
      <c r="AW2">
        <f>BDH("KRYS US Equity","PX_VOLUME","1993-06-18","2026-05-02","Per=M","Days=T","Dir=V")</f>
        <v>0</v>
      </c>
      <c r="AY2">
        <f>BDH("KRYS US Equity","TURNOVER","1993-06-18","2026-05-02","Per=M","Days=T","Dir=V")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BDH("KSCP US Equity","BS_TOT_ASSET","1993-06-18","2026-05-02","Per=Y","Days=T","Dir=V")</f>
        <v>0</v>
      </c>
      <c r="C2">
        <f>BDH("KSCP US Equity","BS_TOT_LIAB2","1993-06-18","2026-05-02","Per=Y","Days=T","Dir=V")</f>
        <v>0</v>
      </c>
      <c r="E2">
        <f>BDH("KSCP US Equity","SHORT_AND_LONG_TERM_DEBT","1993-06-18","2026-05-02","Per=Y","Days=T","Dir=V")</f>
        <v>0</v>
      </c>
      <c r="G2">
        <f>BDH("KSCP US Equity","BS_ST_BORROW","1993-06-18","2026-05-02","Per=Y","Days=T","Dir=V")</f>
        <v>0</v>
      </c>
      <c r="I2">
        <f>BDH("KSCP US Equity","BS_LT_BORROW","1993-06-18","2026-05-02","Per=Y","Days=T","Dir=V")</f>
        <v>0</v>
      </c>
      <c r="K2">
        <f>BDH("KSCP US Equity","BS_CASH_NEAR_CASH_ITEM","1993-06-18","2026-05-02","Per=Y","Days=T","Dir=V")</f>
        <v>0</v>
      </c>
      <c r="M2">
        <f>BDH("KSCP US Equity","BS_CUR_ASSET_REPORT","1993-06-18","2026-05-02","Per=Y","Days=T","Dir=V")</f>
        <v>0</v>
      </c>
      <c r="O2">
        <f>BDH("KSCP US Equity","BS_CUR_LIAB","1993-06-18","2026-05-02","Per=Y","Days=T","Dir=V")</f>
        <v>0</v>
      </c>
      <c r="Q2">
        <f>BDH("KSCP US Equity","BS_SHAREHOLDER_EQY_ENDING_PERIOD","1993-06-18","2026-05-02","Per=Y","Days=T","Dir=V")</f>
        <v>0</v>
      </c>
      <c r="S2">
        <f>BDH("KSCP US Equity","BS_ACCT_NOTE_RCV","1993-06-18","2026-05-02","Per=Y","Days=T","Dir=V")</f>
        <v>0</v>
      </c>
      <c r="U2">
        <f>BDH("KSCP US Equity","BS_INVENTORIES","1993-06-18","2026-05-02","Per=Y","Days=T","Dir=V")</f>
        <v>0</v>
      </c>
      <c r="W2">
        <f>BDH("KSCP US Equity","WORKING_CAPITAL","1993-06-18","2026-05-02","Per=Y","Days=T","Dir=V")</f>
        <v>0</v>
      </c>
      <c r="Y2">
        <f>BDH("KSCP US Equity","SALES_REV_TURN","1993-06-18","2026-05-02","Per=Y","Days=T","Dir=V")</f>
        <v>0</v>
      </c>
      <c r="AA2">
        <f>BDH("KSCP US Equity","EBIT","1993-06-18","2026-05-02","Per=Y","Days=T","Dir=V")</f>
        <v>0</v>
      </c>
      <c r="AC2">
        <f>BDH("KSCP US Equity","EBITDA","1993-06-18","2026-05-02","Per=Y","Days=T","Dir=V")</f>
        <v>0</v>
      </c>
      <c r="AE2">
        <f>BDH("KSCP US Equity","NET_INCOME","1993-06-18","2026-05-02","Per=Y","Days=T","Dir=V")</f>
        <v>0</v>
      </c>
      <c r="AG2">
        <f>BDH("KSCP US Equity","IS_INT_EXPENSE","1993-06-18","2026-05-02","Per=Y","Days=T","Dir=V")</f>
        <v>0</v>
      </c>
      <c r="AI2">
        <f>BDH("KSCP US Equity","IS_DEPR_EXP","1993-06-18","2026-05-02","Per=Y","Days=T","Dir=V")</f>
        <v>0</v>
      </c>
      <c r="AK2">
        <f>BDH("KSCP US Equity","CF_CASH_FROM_OPER","1993-06-18","2026-05-02","Per=Y","Days=T","Dir=V")</f>
        <v>0</v>
      </c>
      <c r="AM2">
        <f>BDH("KSCP US Equity","CAPITAL_EXPEND","1993-06-18","2026-05-02","Per=Y","Days=T","Dir=V")</f>
        <v>0</v>
      </c>
      <c r="AO2">
        <f>BDH("KSCP US Equity","CF_FREE_CASH_FLOW","1993-06-18","2026-05-02","Per=Y","Days=T","Dir=V")</f>
        <v>0</v>
      </c>
      <c r="AQ2">
        <f>BDH("KSCP US Equity","PX_LAST","1993-06-18","2026-05-02","Per=M","Days=T","Dir=V")</f>
        <v>0</v>
      </c>
      <c r="AS2">
        <f>BDH("KSCP US Equity","CUR_MKT_CAP","1993-06-18","2026-05-02","Per=M","Days=T","Dir=V")</f>
        <v>0</v>
      </c>
      <c r="AU2">
        <f>BDH("KSCP US Equity","EQY_SH_OUT","1993-06-18","2026-05-02","Per=M","Days=T","Dir=V")</f>
        <v>0</v>
      </c>
      <c r="AW2">
        <f>BDH("KSCP US Equity","PX_VOLUME","1993-06-18","2026-05-02","Per=M","Days=T","Dir=V")</f>
        <v>0</v>
      </c>
      <c r="AY2">
        <f>BDH("KSCP US Equity","TURNOVER","1993-06-18","2026-05-02","Per=M","Days=T","Dir=V")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BDH("KSS US Equity","BS_TOT_ASSET","1993-06-18","2026-05-02","Per=Y","Days=T","Dir=V")</f>
        <v>0</v>
      </c>
      <c r="C2">
        <f>BDH("KSS US Equity","BS_TOT_LIAB2","1993-06-18","2026-05-02","Per=Y","Days=T","Dir=V")</f>
        <v>0</v>
      </c>
      <c r="E2">
        <f>BDH("KSS US Equity","SHORT_AND_LONG_TERM_DEBT","1993-06-18","2026-05-02","Per=Y","Days=T","Dir=V")</f>
        <v>0</v>
      </c>
      <c r="G2">
        <f>BDH("KSS US Equity","BS_ST_BORROW","1993-06-18","2026-05-02","Per=Y","Days=T","Dir=V")</f>
        <v>0</v>
      </c>
      <c r="I2">
        <f>BDH("KSS US Equity","BS_LT_BORROW","1993-06-18","2026-05-02","Per=Y","Days=T","Dir=V")</f>
        <v>0</v>
      </c>
      <c r="K2">
        <f>BDH("KSS US Equity","BS_CASH_NEAR_CASH_ITEM","1993-06-18","2026-05-02","Per=Y","Days=T","Dir=V")</f>
        <v>0</v>
      </c>
      <c r="M2">
        <f>BDH("KSS US Equity","BS_CUR_ASSET_REPORT","1993-06-18","2026-05-02","Per=Y","Days=T","Dir=V")</f>
        <v>0</v>
      </c>
      <c r="O2">
        <f>BDH("KSS US Equity","BS_CUR_LIAB","1993-06-18","2026-05-02","Per=Y","Days=T","Dir=V")</f>
        <v>0</v>
      </c>
      <c r="Q2">
        <f>BDH("KSS US Equity","BS_SHAREHOLDER_EQY_ENDING_PERIOD","1993-06-18","2026-05-02","Per=Y","Days=T","Dir=V")</f>
        <v>0</v>
      </c>
      <c r="S2">
        <f>BDH("KSS US Equity","BS_ACCT_NOTE_RCV","1993-06-18","2026-05-02","Per=Y","Days=T","Dir=V")</f>
        <v>0</v>
      </c>
      <c r="U2">
        <f>BDH("KSS US Equity","BS_INVENTORIES","1993-06-18","2026-05-02","Per=Y","Days=T","Dir=V")</f>
        <v>0</v>
      </c>
      <c r="W2">
        <f>BDH("KSS US Equity","WORKING_CAPITAL","1993-06-18","2026-05-02","Per=Y","Days=T","Dir=V")</f>
        <v>0</v>
      </c>
      <c r="Y2">
        <f>BDH("KSS US Equity","SALES_REV_TURN","1993-06-18","2026-05-02","Per=Y","Days=T","Dir=V")</f>
        <v>0</v>
      </c>
      <c r="AA2">
        <f>BDH("KSS US Equity","EBIT","1993-06-18","2026-05-02","Per=Y","Days=T","Dir=V")</f>
        <v>0</v>
      </c>
      <c r="AC2">
        <f>BDH("KSS US Equity","EBITDA","1993-06-18","2026-05-02","Per=Y","Days=T","Dir=V")</f>
        <v>0</v>
      </c>
      <c r="AE2">
        <f>BDH("KSS US Equity","NET_INCOME","1993-06-18","2026-05-02","Per=Y","Days=T","Dir=V")</f>
        <v>0</v>
      </c>
      <c r="AG2">
        <f>BDH("KSS US Equity","IS_INT_EXPENSE","1993-06-18","2026-05-02","Per=Y","Days=T","Dir=V")</f>
        <v>0</v>
      </c>
      <c r="AI2">
        <f>BDH("KSS US Equity","IS_DEPR_EXP","1993-06-18","2026-05-02","Per=Y","Days=T","Dir=V")</f>
        <v>0</v>
      </c>
      <c r="AK2">
        <f>BDH("KSS US Equity","CF_CASH_FROM_OPER","1993-06-18","2026-05-02","Per=Y","Days=T","Dir=V")</f>
        <v>0</v>
      </c>
      <c r="AM2">
        <f>BDH("KSS US Equity","CAPITAL_EXPEND","1993-06-18","2026-05-02","Per=Y","Days=T","Dir=V")</f>
        <v>0</v>
      </c>
      <c r="AO2">
        <f>BDH("KSS US Equity","CF_FREE_CASH_FLOW","1993-06-18","2026-05-02","Per=Y","Days=T","Dir=V")</f>
        <v>0</v>
      </c>
      <c r="AQ2">
        <f>BDH("KSS US Equity","PX_LAST","1993-06-18","2026-05-02","Per=M","Days=T","Dir=V")</f>
        <v>0</v>
      </c>
      <c r="AS2">
        <f>BDH("KSS US Equity","CUR_MKT_CAP","1993-06-18","2026-05-02","Per=M","Days=T","Dir=V")</f>
        <v>0</v>
      </c>
      <c r="AU2">
        <f>BDH("KSS US Equity","EQY_SH_OUT","1993-06-18","2026-05-02","Per=M","Days=T","Dir=V")</f>
        <v>0</v>
      </c>
      <c r="AW2">
        <f>BDH("KSS US Equity","PX_VOLUME","1993-06-18","2026-05-02","Per=M","Days=T","Dir=V")</f>
        <v>0</v>
      </c>
      <c r="AY2">
        <f>BDH("KSS US Equity","TURNOVER","1993-06-18","2026-05-02","Per=M","Days=T","Dir=V")</f>
        <v>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BDH("KTB US Equity","BS_TOT_ASSET","1993-06-18","2026-05-02","Per=Y","Days=T","Dir=V")</f>
        <v>0</v>
      </c>
      <c r="C2">
        <f>BDH("KTB US Equity","BS_TOT_LIAB2","1993-06-18","2026-05-02","Per=Y","Days=T","Dir=V")</f>
        <v>0</v>
      </c>
      <c r="E2">
        <f>BDH("KTB US Equity","SHORT_AND_LONG_TERM_DEBT","1993-06-18","2026-05-02","Per=Y","Days=T","Dir=V")</f>
        <v>0</v>
      </c>
      <c r="G2">
        <f>BDH("KTB US Equity","BS_ST_BORROW","1993-06-18","2026-05-02","Per=Y","Days=T","Dir=V")</f>
        <v>0</v>
      </c>
      <c r="I2">
        <f>BDH("KTB US Equity","BS_LT_BORROW","1993-06-18","2026-05-02","Per=Y","Days=T","Dir=V")</f>
        <v>0</v>
      </c>
      <c r="K2">
        <f>BDH("KTB US Equity","BS_CASH_NEAR_CASH_ITEM","1993-06-18","2026-05-02","Per=Y","Days=T","Dir=V")</f>
        <v>0</v>
      </c>
      <c r="M2">
        <f>BDH("KTB US Equity","BS_CUR_ASSET_REPORT","1993-06-18","2026-05-02","Per=Y","Days=T","Dir=V")</f>
        <v>0</v>
      </c>
      <c r="O2">
        <f>BDH("KTB US Equity","BS_CUR_LIAB","1993-06-18","2026-05-02","Per=Y","Days=T","Dir=V")</f>
        <v>0</v>
      </c>
      <c r="Q2">
        <f>BDH("KTB US Equity","BS_SHAREHOLDER_EQY_ENDING_PERIOD","1993-06-18","2026-05-02","Per=Y","Days=T","Dir=V")</f>
        <v>0</v>
      </c>
      <c r="S2">
        <f>BDH("KTB US Equity","BS_ACCT_NOTE_RCV","1993-06-18","2026-05-02","Per=Y","Days=T","Dir=V")</f>
        <v>0</v>
      </c>
      <c r="U2">
        <f>BDH("KTB US Equity","BS_INVENTORIES","1993-06-18","2026-05-02","Per=Y","Days=T","Dir=V")</f>
        <v>0</v>
      </c>
      <c r="W2">
        <f>BDH("KTB US Equity","WORKING_CAPITAL","1993-06-18","2026-05-02","Per=Y","Days=T","Dir=V")</f>
        <v>0</v>
      </c>
      <c r="Y2">
        <f>BDH("KTB US Equity","SALES_REV_TURN","1993-06-18","2026-05-02","Per=Y","Days=T","Dir=V")</f>
        <v>0</v>
      </c>
      <c r="AA2">
        <f>BDH("KTB US Equity","EBIT","1993-06-18","2026-05-02","Per=Y","Days=T","Dir=V")</f>
        <v>0</v>
      </c>
      <c r="AC2">
        <f>BDH("KTB US Equity","EBITDA","1993-06-18","2026-05-02","Per=Y","Days=T","Dir=V")</f>
        <v>0</v>
      </c>
      <c r="AE2">
        <f>BDH("KTB US Equity","NET_INCOME","1993-06-18","2026-05-02","Per=Y","Days=T","Dir=V")</f>
        <v>0</v>
      </c>
      <c r="AG2">
        <f>BDH("KTB US Equity","IS_INT_EXPENSE","1993-06-18","2026-05-02","Per=Y","Days=T","Dir=V")</f>
        <v>0</v>
      </c>
      <c r="AI2">
        <f>BDH("KTB US Equity","IS_DEPR_EXP","1993-06-18","2026-05-02","Per=Y","Days=T","Dir=V")</f>
        <v>0</v>
      </c>
      <c r="AK2">
        <f>BDH("KTB US Equity","CF_CASH_FROM_OPER","1993-06-18","2026-05-02","Per=Y","Days=T","Dir=V")</f>
        <v>0</v>
      </c>
      <c r="AM2">
        <f>BDH("KTB US Equity","CAPITAL_EXPEND","1993-06-18","2026-05-02","Per=Y","Days=T","Dir=V")</f>
        <v>0</v>
      </c>
      <c r="AO2">
        <f>BDH("KTB US Equity","CF_FREE_CASH_FLOW","1993-06-18","2026-05-02","Per=Y","Days=T","Dir=V")</f>
        <v>0</v>
      </c>
      <c r="AQ2">
        <f>BDH("KTB US Equity","PX_LAST","1993-06-18","2026-05-02","Per=M","Days=T","Dir=V")</f>
        <v>0</v>
      </c>
      <c r="AS2">
        <f>BDH("KTB US Equity","CUR_MKT_CAP","1993-06-18","2026-05-02","Per=M","Days=T","Dir=V")</f>
        <v>0</v>
      </c>
      <c r="AU2">
        <f>BDH("KTB US Equity","EQY_SH_OUT","1993-06-18","2026-05-02","Per=M","Days=T","Dir=V")</f>
        <v>0</v>
      </c>
      <c r="AW2">
        <f>BDH("KTB US Equity","PX_VOLUME","1993-06-18","2026-05-02","Per=M","Days=T","Dir=V")</f>
        <v>0</v>
      </c>
      <c r="AY2">
        <f>BDH("KTB US Equity","TURNOVER","1993-06-18","2026-05-02","Per=M","Days=T","Dir=V")</f>
        <v>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BDH("KTCC US Equity","BS_TOT_ASSET","1993-06-18","2026-05-02","Per=Y","Days=T","Dir=V")</f>
        <v>0</v>
      </c>
      <c r="C2">
        <f>BDH("KTCC US Equity","BS_TOT_LIAB2","1993-06-18","2026-05-02","Per=Y","Days=T","Dir=V")</f>
        <v>0</v>
      </c>
      <c r="E2">
        <f>BDH("KTCC US Equity","SHORT_AND_LONG_TERM_DEBT","1993-06-18","2026-05-02","Per=Y","Days=T","Dir=V")</f>
        <v>0</v>
      </c>
      <c r="G2">
        <f>BDH("KTCC US Equity","BS_ST_BORROW","1993-06-18","2026-05-02","Per=Y","Days=T","Dir=V")</f>
        <v>0</v>
      </c>
      <c r="I2">
        <f>BDH("KTCC US Equity","BS_LT_BORROW","1993-06-18","2026-05-02","Per=Y","Days=T","Dir=V")</f>
        <v>0</v>
      </c>
      <c r="K2">
        <f>BDH("KTCC US Equity","BS_CASH_NEAR_CASH_ITEM","1993-06-18","2026-05-02","Per=Y","Days=T","Dir=V")</f>
        <v>0</v>
      </c>
      <c r="M2">
        <f>BDH("KTCC US Equity","BS_CUR_ASSET_REPORT","1993-06-18","2026-05-02","Per=Y","Days=T","Dir=V")</f>
        <v>0</v>
      </c>
      <c r="O2">
        <f>BDH("KTCC US Equity","BS_CUR_LIAB","1993-06-18","2026-05-02","Per=Y","Days=T","Dir=V")</f>
        <v>0</v>
      </c>
      <c r="Q2">
        <f>BDH("KTCC US Equity","BS_SHAREHOLDER_EQY_ENDING_PERIOD","1993-06-18","2026-05-02","Per=Y","Days=T","Dir=V")</f>
        <v>0</v>
      </c>
      <c r="S2">
        <f>BDH("KTCC US Equity","BS_ACCT_NOTE_RCV","1993-06-18","2026-05-02","Per=Y","Days=T","Dir=V")</f>
        <v>0</v>
      </c>
      <c r="U2">
        <f>BDH("KTCC US Equity","BS_INVENTORIES","1993-06-18","2026-05-02","Per=Y","Days=T","Dir=V")</f>
        <v>0</v>
      </c>
      <c r="W2">
        <f>BDH("KTCC US Equity","WORKING_CAPITAL","1993-06-18","2026-05-02","Per=Y","Days=T","Dir=V")</f>
        <v>0</v>
      </c>
      <c r="Y2">
        <f>BDH("KTCC US Equity","SALES_REV_TURN","1993-06-18","2026-05-02","Per=Y","Days=T","Dir=V")</f>
        <v>0</v>
      </c>
      <c r="AA2">
        <f>BDH("KTCC US Equity","EBIT","1993-06-18","2026-05-02","Per=Y","Days=T","Dir=V")</f>
        <v>0</v>
      </c>
      <c r="AC2">
        <f>BDH("KTCC US Equity","EBITDA","1993-06-18","2026-05-02","Per=Y","Days=T","Dir=V")</f>
        <v>0</v>
      </c>
      <c r="AE2">
        <f>BDH("KTCC US Equity","NET_INCOME","1993-06-18","2026-05-02","Per=Y","Days=T","Dir=V")</f>
        <v>0</v>
      </c>
      <c r="AG2">
        <f>BDH("KTCC US Equity","IS_INT_EXPENSE","1993-06-18","2026-05-02","Per=Y","Days=T","Dir=V")</f>
        <v>0</v>
      </c>
      <c r="AI2">
        <f>BDH("KTCC US Equity","IS_DEPR_EXP","1993-06-18","2026-05-02","Per=Y","Days=T","Dir=V")</f>
        <v>0</v>
      </c>
      <c r="AK2">
        <f>BDH("KTCC US Equity","CF_CASH_FROM_OPER","1993-06-18","2026-05-02","Per=Y","Days=T","Dir=V")</f>
        <v>0</v>
      </c>
      <c r="AM2">
        <f>BDH("KTCC US Equity","CAPITAL_EXPEND","1993-06-18","2026-05-02","Per=Y","Days=T","Dir=V")</f>
        <v>0</v>
      </c>
      <c r="AO2">
        <f>BDH("KTCC US Equity","CF_FREE_CASH_FLOW","1993-06-18","2026-05-02","Per=Y","Days=T","Dir=V")</f>
        <v>0</v>
      </c>
      <c r="AQ2">
        <f>BDH("KTCC US Equity","PX_LAST","1993-06-18","2026-05-02","Per=M","Days=T","Dir=V")</f>
        <v>0</v>
      </c>
      <c r="AS2">
        <f>BDH("KTCC US Equity","CUR_MKT_CAP","1993-06-18","2026-05-02","Per=M","Days=T","Dir=V")</f>
        <v>0</v>
      </c>
      <c r="AU2">
        <f>BDH("KTCC US Equity","EQY_SH_OUT","1993-06-18","2026-05-02","Per=M","Days=T","Dir=V")</f>
        <v>0</v>
      </c>
      <c r="AW2">
        <f>BDH("KTCC US Equity","PX_VOLUME","1993-06-18","2026-05-02","Per=M","Days=T","Dir=V")</f>
        <v>0</v>
      </c>
      <c r="AY2">
        <f>BDH("KTCC US Equity","TURNOVER","1993-06-18","2026-05-02","Per=M","Days=T","Dir=V")</f>
        <v>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BDH("KTOS US Equity","BS_TOT_ASSET","1993-06-18","2026-05-02","Per=Y","Days=T","Dir=V")</f>
        <v>0</v>
      </c>
      <c r="C2">
        <f>BDH("KTOS US Equity","BS_TOT_LIAB2","1993-06-18","2026-05-02","Per=Y","Days=T","Dir=V")</f>
        <v>0</v>
      </c>
      <c r="E2">
        <f>BDH("KTOS US Equity","SHORT_AND_LONG_TERM_DEBT","1993-06-18","2026-05-02","Per=Y","Days=T","Dir=V")</f>
        <v>0</v>
      </c>
      <c r="G2">
        <f>BDH("KTOS US Equity","BS_ST_BORROW","1993-06-18","2026-05-02","Per=Y","Days=T","Dir=V")</f>
        <v>0</v>
      </c>
      <c r="I2">
        <f>BDH("KTOS US Equity","BS_LT_BORROW","1993-06-18","2026-05-02","Per=Y","Days=T","Dir=V")</f>
        <v>0</v>
      </c>
      <c r="K2">
        <f>BDH("KTOS US Equity","BS_CASH_NEAR_CASH_ITEM","1993-06-18","2026-05-02","Per=Y","Days=T","Dir=V")</f>
        <v>0</v>
      </c>
      <c r="M2">
        <f>BDH("KTOS US Equity","BS_CUR_ASSET_REPORT","1993-06-18","2026-05-02","Per=Y","Days=T","Dir=V")</f>
        <v>0</v>
      </c>
      <c r="O2">
        <f>BDH("KTOS US Equity","BS_CUR_LIAB","1993-06-18","2026-05-02","Per=Y","Days=T","Dir=V")</f>
        <v>0</v>
      </c>
      <c r="Q2">
        <f>BDH("KTOS US Equity","BS_SHAREHOLDER_EQY_ENDING_PERIOD","1993-06-18","2026-05-02","Per=Y","Days=T","Dir=V")</f>
        <v>0</v>
      </c>
      <c r="S2">
        <f>BDH("KTOS US Equity","BS_ACCT_NOTE_RCV","1993-06-18","2026-05-02","Per=Y","Days=T","Dir=V")</f>
        <v>0</v>
      </c>
      <c r="U2">
        <f>BDH("KTOS US Equity","BS_INVENTORIES","1993-06-18","2026-05-02","Per=Y","Days=T","Dir=V")</f>
        <v>0</v>
      </c>
      <c r="W2">
        <f>BDH("KTOS US Equity","WORKING_CAPITAL","1993-06-18","2026-05-02","Per=Y","Days=T","Dir=V")</f>
        <v>0</v>
      </c>
      <c r="Y2">
        <f>BDH("KTOS US Equity","SALES_REV_TURN","1993-06-18","2026-05-02","Per=Y","Days=T","Dir=V")</f>
        <v>0</v>
      </c>
      <c r="AA2">
        <f>BDH("KTOS US Equity","EBIT","1993-06-18","2026-05-02","Per=Y","Days=T","Dir=V")</f>
        <v>0</v>
      </c>
      <c r="AC2">
        <f>BDH("KTOS US Equity","EBITDA","1993-06-18","2026-05-02","Per=Y","Days=T","Dir=V")</f>
        <v>0</v>
      </c>
      <c r="AE2">
        <f>BDH("KTOS US Equity","NET_INCOME","1993-06-18","2026-05-02","Per=Y","Days=T","Dir=V")</f>
        <v>0</v>
      </c>
      <c r="AG2">
        <f>BDH("KTOS US Equity","IS_INT_EXPENSE","1993-06-18","2026-05-02","Per=Y","Days=T","Dir=V")</f>
        <v>0</v>
      </c>
      <c r="AI2">
        <f>BDH("KTOS US Equity","IS_DEPR_EXP","1993-06-18","2026-05-02","Per=Y","Days=T","Dir=V")</f>
        <v>0</v>
      </c>
      <c r="AK2">
        <f>BDH("KTOS US Equity","CF_CASH_FROM_OPER","1993-06-18","2026-05-02","Per=Y","Days=T","Dir=V")</f>
        <v>0</v>
      </c>
      <c r="AM2">
        <f>BDH("KTOS US Equity","CAPITAL_EXPEND","1993-06-18","2026-05-02","Per=Y","Days=T","Dir=V")</f>
        <v>0</v>
      </c>
      <c r="AO2">
        <f>BDH("KTOS US Equity","CF_FREE_CASH_FLOW","1993-06-18","2026-05-02","Per=Y","Days=T","Dir=V")</f>
        <v>0</v>
      </c>
      <c r="AQ2">
        <f>BDH("KTOS US Equity","PX_LAST","1993-06-18","2026-05-02","Per=M","Days=T","Dir=V")</f>
        <v>0</v>
      </c>
      <c r="AS2">
        <f>BDH("KTOS US Equity","CUR_MKT_CAP","1993-06-18","2026-05-02","Per=M","Days=T","Dir=V")</f>
        <v>0</v>
      </c>
      <c r="AU2">
        <f>BDH("KTOS US Equity","EQY_SH_OUT","1993-06-18","2026-05-02","Per=M","Days=T","Dir=V")</f>
        <v>0</v>
      </c>
      <c r="AW2">
        <f>BDH("KTOS US Equity","PX_VOLUME","1993-06-18","2026-05-02","Per=M","Days=T","Dir=V")</f>
        <v>0</v>
      </c>
      <c r="AY2">
        <f>BDH("KTOS US Equity","TURNOVER","1993-06-18","2026-05-02","Per=M","Days=T","Dir=V")</f>
        <v>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BDH("KTTA US Equity","BS_TOT_ASSET","1993-06-18","2026-05-02","Per=Y","Days=T","Dir=V")</f>
        <v>0</v>
      </c>
      <c r="C2">
        <f>BDH("KTTA US Equity","BS_TOT_LIAB2","1993-06-18","2026-05-02","Per=Y","Days=T","Dir=V")</f>
        <v>0</v>
      </c>
      <c r="E2">
        <f>BDH("KTTA US Equity","SHORT_AND_LONG_TERM_DEBT","1993-06-18","2026-05-02","Per=Y","Days=T","Dir=V")</f>
        <v>0</v>
      </c>
      <c r="G2">
        <f>BDH("KTTA US Equity","BS_ST_BORROW","1993-06-18","2026-05-02","Per=Y","Days=T","Dir=V")</f>
        <v>0</v>
      </c>
      <c r="I2">
        <f>BDH("KTTA US Equity","BS_LT_BORROW","1993-06-18","2026-05-02","Per=Y","Days=T","Dir=V")</f>
        <v>0</v>
      </c>
      <c r="K2">
        <f>BDH("KTTA US Equity","BS_CASH_NEAR_CASH_ITEM","1993-06-18","2026-05-02","Per=Y","Days=T","Dir=V")</f>
        <v>0</v>
      </c>
      <c r="M2">
        <f>BDH("KTTA US Equity","BS_CUR_ASSET_REPORT","1993-06-18","2026-05-02","Per=Y","Days=T","Dir=V")</f>
        <v>0</v>
      </c>
      <c r="O2">
        <f>BDH("KTTA US Equity","BS_CUR_LIAB","1993-06-18","2026-05-02","Per=Y","Days=T","Dir=V")</f>
        <v>0</v>
      </c>
      <c r="Q2">
        <f>BDH("KTTA US Equity","BS_SHAREHOLDER_EQY_ENDING_PERIOD","1993-06-18","2026-05-02","Per=Y","Days=T","Dir=V")</f>
        <v>0</v>
      </c>
      <c r="S2">
        <f>BDH("KTTA US Equity","BS_ACCT_NOTE_RCV","1993-06-18","2026-05-02","Per=Y","Days=T","Dir=V")</f>
        <v>0</v>
      </c>
      <c r="U2">
        <f>BDH("KTTA US Equity","BS_INVENTORIES","1993-06-18","2026-05-02","Per=Y","Days=T","Dir=V")</f>
        <v>0</v>
      </c>
      <c r="W2">
        <f>BDH("KTTA US Equity","WORKING_CAPITAL","1993-06-18","2026-05-02","Per=Y","Days=T","Dir=V")</f>
        <v>0</v>
      </c>
      <c r="Y2">
        <f>BDH("KTTA US Equity","SALES_REV_TURN","1993-06-18","2026-05-02","Per=Y","Days=T","Dir=V")</f>
        <v>0</v>
      </c>
      <c r="AA2">
        <f>BDH("KTTA US Equity","EBIT","1993-06-18","2026-05-02","Per=Y","Days=T","Dir=V")</f>
        <v>0</v>
      </c>
      <c r="AC2">
        <f>BDH("KTTA US Equity","EBITDA","1993-06-18","2026-05-02","Per=Y","Days=T","Dir=V")</f>
        <v>0</v>
      </c>
      <c r="AE2">
        <f>BDH("KTTA US Equity","NET_INCOME","1993-06-18","2026-05-02","Per=Y","Days=T","Dir=V")</f>
        <v>0</v>
      </c>
      <c r="AG2">
        <f>BDH("KTTA US Equity","IS_INT_EXPENSE","1993-06-18","2026-05-02","Per=Y","Days=T","Dir=V")</f>
        <v>0</v>
      </c>
      <c r="AI2">
        <f>BDH("KTTA US Equity","IS_DEPR_EXP","1993-06-18","2026-05-02","Per=Y","Days=T","Dir=V")</f>
        <v>0</v>
      </c>
      <c r="AK2">
        <f>BDH("KTTA US Equity","CF_CASH_FROM_OPER","1993-06-18","2026-05-02","Per=Y","Days=T","Dir=V")</f>
        <v>0</v>
      </c>
      <c r="AM2">
        <f>BDH("KTTA US Equity","CAPITAL_EXPEND","1993-06-18","2026-05-02","Per=Y","Days=T","Dir=V")</f>
        <v>0</v>
      </c>
      <c r="AO2">
        <f>BDH("KTTA US Equity","CF_FREE_CASH_FLOW","1993-06-18","2026-05-02","Per=Y","Days=T","Dir=V")</f>
        <v>0</v>
      </c>
      <c r="AQ2">
        <f>BDH("KTTA US Equity","PX_LAST","1993-06-18","2026-05-02","Per=M","Days=T","Dir=V")</f>
        <v>0</v>
      </c>
      <c r="AS2">
        <f>BDH("KTTA US Equity","CUR_MKT_CAP","1993-06-18","2026-05-02","Per=M","Days=T","Dir=V")</f>
        <v>0</v>
      </c>
      <c r="AU2">
        <f>BDH("KTTA US Equity","EQY_SH_OUT","1993-06-18","2026-05-02","Per=M","Days=T","Dir=V")</f>
        <v>0</v>
      </c>
      <c r="AW2">
        <f>BDH("KTTA US Equity","PX_VOLUME","1993-06-18","2026-05-02","Per=M","Days=T","Dir=V")</f>
        <v>0</v>
      </c>
      <c r="AY2">
        <f>BDH("KTTA US Equity","TURNOVER","1993-06-18","2026-05-02","Per=M","Days=T","Dir=V")</f>
        <v>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BDH("KULR US Equity","BS_TOT_ASSET","1993-06-18","2026-05-02","Per=Y","Days=T","Dir=V")</f>
        <v>0</v>
      </c>
      <c r="C2">
        <f>BDH("KULR US Equity","BS_TOT_LIAB2","1993-06-18","2026-05-02","Per=Y","Days=T","Dir=V")</f>
        <v>0</v>
      </c>
      <c r="E2">
        <f>BDH("KULR US Equity","SHORT_AND_LONG_TERM_DEBT","1993-06-18","2026-05-02","Per=Y","Days=T","Dir=V")</f>
        <v>0</v>
      </c>
      <c r="G2">
        <f>BDH("KULR US Equity","BS_ST_BORROW","1993-06-18","2026-05-02","Per=Y","Days=T","Dir=V")</f>
        <v>0</v>
      </c>
      <c r="I2">
        <f>BDH("KULR US Equity","BS_LT_BORROW","1993-06-18","2026-05-02","Per=Y","Days=T","Dir=V")</f>
        <v>0</v>
      </c>
      <c r="K2">
        <f>BDH("KULR US Equity","BS_CASH_NEAR_CASH_ITEM","1993-06-18","2026-05-02","Per=Y","Days=T","Dir=V")</f>
        <v>0</v>
      </c>
      <c r="M2">
        <f>BDH("KULR US Equity","BS_CUR_ASSET_REPORT","1993-06-18","2026-05-02","Per=Y","Days=T","Dir=V")</f>
        <v>0</v>
      </c>
      <c r="O2">
        <f>BDH("KULR US Equity","BS_CUR_LIAB","1993-06-18","2026-05-02","Per=Y","Days=T","Dir=V")</f>
        <v>0</v>
      </c>
      <c r="Q2">
        <f>BDH("KULR US Equity","BS_SHAREHOLDER_EQY_ENDING_PERIOD","1993-06-18","2026-05-02","Per=Y","Days=T","Dir=V")</f>
        <v>0</v>
      </c>
      <c r="S2">
        <f>BDH("KULR US Equity","BS_ACCT_NOTE_RCV","1993-06-18","2026-05-02","Per=Y","Days=T","Dir=V")</f>
        <v>0</v>
      </c>
      <c r="U2">
        <f>BDH("KULR US Equity","BS_INVENTORIES","1993-06-18","2026-05-02","Per=Y","Days=T","Dir=V")</f>
        <v>0</v>
      </c>
      <c r="W2">
        <f>BDH("KULR US Equity","WORKING_CAPITAL","1993-06-18","2026-05-02","Per=Y","Days=T","Dir=V")</f>
        <v>0</v>
      </c>
      <c r="Y2">
        <f>BDH("KULR US Equity","SALES_REV_TURN","1993-06-18","2026-05-02","Per=Y","Days=T","Dir=V")</f>
        <v>0</v>
      </c>
      <c r="AA2">
        <f>BDH("KULR US Equity","EBIT","1993-06-18","2026-05-02","Per=Y","Days=T","Dir=V")</f>
        <v>0</v>
      </c>
      <c r="AC2">
        <f>BDH("KULR US Equity","EBITDA","1993-06-18","2026-05-02","Per=Y","Days=T","Dir=V")</f>
        <v>0</v>
      </c>
      <c r="AE2">
        <f>BDH("KULR US Equity","NET_INCOME","1993-06-18","2026-05-02","Per=Y","Days=T","Dir=V")</f>
        <v>0</v>
      </c>
      <c r="AG2">
        <f>BDH("KULR US Equity","IS_INT_EXPENSE","1993-06-18","2026-05-02","Per=Y","Days=T","Dir=V")</f>
        <v>0</v>
      </c>
      <c r="AI2">
        <f>BDH("KULR US Equity","IS_DEPR_EXP","1993-06-18","2026-05-02","Per=Y","Days=T","Dir=V")</f>
        <v>0</v>
      </c>
      <c r="AK2">
        <f>BDH("KULR US Equity","CF_CASH_FROM_OPER","1993-06-18","2026-05-02","Per=Y","Days=T","Dir=V")</f>
        <v>0</v>
      </c>
      <c r="AM2">
        <f>BDH("KULR US Equity","CAPITAL_EXPEND","1993-06-18","2026-05-02","Per=Y","Days=T","Dir=V")</f>
        <v>0</v>
      </c>
      <c r="AO2">
        <f>BDH("KULR US Equity","CF_FREE_CASH_FLOW","1993-06-18","2026-05-02","Per=Y","Days=T","Dir=V")</f>
        <v>0</v>
      </c>
      <c r="AQ2">
        <f>BDH("KULR US Equity","PX_LAST","1993-06-18","2026-05-02","Per=M","Days=T","Dir=V")</f>
        <v>0</v>
      </c>
      <c r="AS2">
        <f>BDH("KULR US Equity","CUR_MKT_CAP","1993-06-18","2026-05-02","Per=M","Days=T","Dir=V")</f>
        <v>0</v>
      </c>
      <c r="AU2">
        <f>BDH("KULR US Equity","EQY_SH_OUT","1993-06-18","2026-05-02","Per=M","Days=T","Dir=V")</f>
        <v>0</v>
      </c>
      <c r="AW2">
        <f>BDH("KULR US Equity","PX_VOLUME","1993-06-18","2026-05-02","Per=M","Days=T","Dir=V")</f>
        <v>0</v>
      </c>
      <c r="AY2">
        <f>BDH("KULR US Equity","TURNOVER","1993-06-18","2026-05-02","Per=M","Days=T","Dir=V")</f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BDH("KURA US Equity","BS_TOT_ASSET","1993-06-18","2026-05-02","Per=Y","Days=T","Dir=V")</f>
        <v>0</v>
      </c>
      <c r="C2">
        <f>BDH("KURA US Equity","BS_TOT_LIAB2","1993-06-18","2026-05-02","Per=Y","Days=T","Dir=V")</f>
        <v>0</v>
      </c>
      <c r="E2">
        <f>BDH("KURA US Equity","SHORT_AND_LONG_TERM_DEBT","1993-06-18","2026-05-02","Per=Y","Days=T","Dir=V")</f>
        <v>0</v>
      </c>
      <c r="G2">
        <f>BDH("KURA US Equity","BS_ST_BORROW","1993-06-18","2026-05-02","Per=Y","Days=T","Dir=V")</f>
        <v>0</v>
      </c>
      <c r="I2">
        <f>BDH("KURA US Equity","BS_LT_BORROW","1993-06-18","2026-05-02","Per=Y","Days=T","Dir=V")</f>
        <v>0</v>
      </c>
      <c r="K2">
        <f>BDH("KURA US Equity","BS_CASH_NEAR_CASH_ITEM","1993-06-18","2026-05-02","Per=Y","Days=T","Dir=V")</f>
        <v>0</v>
      </c>
      <c r="M2">
        <f>BDH("KURA US Equity","BS_CUR_ASSET_REPORT","1993-06-18","2026-05-02","Per=Y","Days=T","Dir=V")</f>
        <v>0</v>
      </c>
      <c r="O2">
        <f>BDH("KURA US Equity","BS_CUR_LIAB","1993-06-18","2026-05-02","Per=Y","Days=T","Dir=V")</f>
        <v>0</v>
      </c>
      <c r="Q2">
        <f>BDH("KURA US Equity","BS_SHAREHOLDER_EQY_ENDING_PERIOD","1993-06-18","2026-05-02","Per=Y","Days=T","Dir=V")</f>
        <v>0</v>
      </c>
      <c r="S2">
        <f>BDH("KURA US Equity","BS_ACCT_NOTE_RCV","1993-06-18","2026-05-02","Per=Y","Days=T","Dir=V")</f>
        <v>0</v>
      </c>
      <c r="U2">
        <f>BDH("KURA US Equity","BS_INVENTORIES","1993-06-18","2026-05-02","Per=Y","Days=T","Dir=V")</f>
        <v>0</v>
      </c>
      <c r="W2">
        <f>BDH("KURA US Equity","WORKING_CAPITAL","1993-06-18","2026-05-02","Per=Y","Days=T","Dir=V")</f>
        <v>0</v>
      </c>
      <c r="Y2">
        <f>BDH("KURA US Equity","SALES_REV_TURN","1993-06-18","2026-05-02","Per=Y","Days=T","Dir=V")</f>
        <v>0</v>
      </c>
      <c r="AA2">
        <f>BDH("KURA US Equity","EBIT","1993-06-18","2026-05-02","Per=Y","Days=T","Dir=V")</f>
        <v>0</v>
      </c>
      <c r="AC2">
        <f>BDH("KURA US Equity","EBITDA","1993-06-18","2026-05-02","Per=Y","Days=T","Dir=V")</f>
        <v>0</v>
      </c>
      <c r="AE2">
        <f>BDH("KURA US Equity","NET_INCOME","1993-06-18","2026-05-02","Per=Y","Days=T","Dir=V")</f>
        <v>0</v>
      </c>
      <c r="AG2">
        <f>BDH("KURA US Equity","IS_INT_EXPENSE","1993-06-18","2026-05-02","Per=Y","Days=T","Dir=V")</f>
        <v>0</v>
      </c>
      <c r="AI2">
        <f>BDH("KURA US Equity","IS_DEPR_EXP","1993-06-18","2026-05-02","Per=Y","Days=T","Dir=V")</f>
        <v>0</v>
      </c>
      <c r="AK2">
        <f>BDH("KURA US Equity","CF_CASH_FROM_OPER","1993-06-18","2026-05-02","Per=Y","Days=T","Dir=V")</f>
        <v>0</v>
      </c>
      <c r="AM2">
        <f>BDH("KURA US Equity","CAPITAL_EXPEND","1993-06-18","2026-05-02","Per=Y","Days=T","Dir=V")</f>
        <v>0</v>
      </c>
      <c r="AO2">
        <f>BDH("KURA US Equity","CF_FREE_CASH_FLOW","1993-06-18","2026-05-02","Per=Y","Days=T","Dir=V")</f>
        <v>0</v>
      </c>
      <c r="AQ2">
        <f>BDH("KURA US Equity","PX_LAST","1993-06-18","2026-05-02","Per=M","Days=T","Dir=V")</f>
        <v>0</v>
      </c>
      <c r="AS2">
        <f>BDH("KURA US Equity","CUR_MKT_CAP","1993-06-18","2026-05-02","Per=M","Days=T","Dir=V")</f>
        <v>0</v>
      </c>
      <c r="AU2">
        <f>BDH("KURA US Equity","EQY_SH_OUT","1993-06-18","2026-05-02","Per=M","Days=T","Dir=V")</f>
        <v>0</v>
      </c>
      <c r="AW2">
        <f>BDH("KURA US Equity","PX_VOLUME","1993-06-18","2026-05-02","Per=M","Days=T","Dir=V")</f>
        <v>0</v>
      </c>
      <c r="AY2">
        <f>BDH("KURA US Equity","TURNOVER","1993-06-18","2026-05-02","Per=M","Days=T","Dir=V")</f>
        <v>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BDH("KUST US Equity","BS_TOT_ASSET","1993-06-18","2026-05-02","Per=Y","Days=T","Dir=V")</f>
        <v>0</v>
      </c>
      <c r="C2">
        <f>BDH("KUST US Equity","BS_TOT_LIAB2","1993-06-18","2026-05-02","Per=Y","Days=T","Dir=V")</f>
        <v>0</v>
      </c>
      <c r="E2">
        <f>BDH("KUST US Equity","SHORT_AND_LONG_TERM_DEBT","1993-06-18","2026-05-02","Per=Y","Days=T","Dir=V")</f>
        <v>0</v>
      </c>
      <c r="G2">
        <f>BDH("KUST US Equity","BS_ST_BORROW","1993-06-18","2026-05-02","Per=Y","Days=T","Dir=V")</f>
        <v>0</v>
      </c>
      <c r="I2">
        <f>BDH("KUST US Equity","BS_LT_BORROW","1993-06-18","2026-05-02","Per=Y","Days=T","Dir=V")</f>
        <v>0</v>
      </c>
      <c r="K2">
        <f>BDH("KUST US Equity","BS_CASH_NEAR_CASH_ITEM","1993-06-18","2026-05-02","Per=Y","Days=T","Dir=V")</f>
        <v>0</v>
      </c>
      <c r="M2">
        <f>BDH("KUST US Equity","BS_CUR_ASSET_REPORT","1993-06-18","2026-05-02","Per=Y","Days=T","Dir=V")</f>
        <v>0</v>
      </c>
      <c r="O2">
        <f>BDH("KUST US Equity","BS_CUR_LIAB","1993-06-18","2026-05-02","Per=Y","Days=T","Dir=V")</f>
        <v>0</v>
      </c>
      <c r="Q2">
        <f>BDH("KUST US Equity","BS_SHAREHOLDER_EQY_ENDING_PERIOD","1993-06-18","2026-05-02","Per=Y","Days=T","Dir=V")</f>
        <v>0</v>
      </c>
      <c r="S2">
        <f>BDH("KUST US Equity","BS_ACCT_NOTE_RCV","1993-06-18","2026-05-02","Per=Y","Days=T","Dir=V")</f>
        <v>0</v>
      </c>
      <c r="U2">
        <f>BDH("KUST US Equity","BS_INVENTORIES","1993-06-18","2026-05-02","Per=Y","Days=T","Dir=V")</f>
        <v>0</v>
      </c>
      <c r="W2">
        <f>BDH("KUST US Equity","WORKING_CAPITAL","1993-06-18","2026-05-02","Per=Y","Days=T","Dir=V")</f>
        <v>0</v>
      </c>
      <c r="Y2">
        <f>BDH("KUST US Equity","SALES_REV_TURN","1993-06-18","2026-05-02","Per=Y","Days=T","Dir=V")</f>
        <v>0</v>
      </c>
      <c r="AA2">
        <f>BDH("KUST US Equity","EBIT","1993-06-18","2026-05-02","Per=Y","Days=T","Dir=V")</f>
        <v>0</v>
      </c>
      <c r="AC2">
        <f>BDH("KUST US Equity","EBITDA","1993-06-18","2026-05-02","Per=Y","Days=T","Dir=V")</f>
        <v>0</v>
      </c>
      <c r="AE2">
        <f>BDH("KUST US Equity","NET_INCOME","1993-06-18","2026-05-02","Per=Y","Days=T","Dir=V")</f>
        <v>0</v>
      </c>
      <c r="AG2">
        <f>BDH("KUST US Equity","IS_INT_EXPENSE","1993-06-18","2026-05-02","Per=Y","Days=T","Dir=V")</f>
        <v>0</v>
      </c>
      <c r="AI2">
        <f>BDH("KUST US Equity","IS_DEPR_EXP","1993-06-18","2026-05-02","Per=Y","Days=T","Dir=V")</f>
        <v>0</v>
      </c>
      <c r="AK2">
        <f>BDH("KUST US Equity","CF_CASH_FROM_OPER","1993-06-18","2026-05-02","Per=Y","Days=T","Dir=V")</f>
        <v>0</v>
      </c>
      <c r="AM2">
        <f>BDH("KUST US Equity","CAPITAL_EXPEND","1993-06-18","2026-05-02","Per=Y","Days=T","Dir=V")</f>
        <v>0</v>
      </c>
      <c r="AO2">
        <f>BDH("KUST US Equity","CF_FREE_CASH_FLOW","1993-06-18","2026-05-02","Per=Y","Days=T","Dir=V")</f>
        <v>0</v>
      </c>
      <c r="AQ2">
        <f>BDH("KUST US Equity","PX_LAST","1993-06-18","2026-05-02","Per=M","Days=T","Dir=V")</f>
        <v>0</v>
      </c>
      <c r="AS2">
        <f>BDH("KUST US Equity","CUR_MKT_CAP","1993-06-18","2026-05-02","Per=M","Days=T","Dir=V")</f>
        <v>0</v>
      </c>
      <c r="AU2">
        <f>BDH("KUST US Equity","EQY_SH_OUT","1993-06-18","2026-05-02","Per=M","Days=T","Dir=V")</f>
        <v>0</v>
      </c>
      <c r="AW2">
        <f>BDH("KUST US Equity","PX_VOLUME","1993-06-18","2026-05-02","Per=M","Days=T","Dir=V")</f>
        <v>0</v>
      </c>
      <c r="AY2">
        <f>BDH("KUST US Equity","TURNOVER","1993-06-18","2026-05-02","Per=M","Days=T","Dir=V")</f>
        <v>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BDH("KVHI US Equity","BS_TOT_ASSET","1993-06-18","2026-05-02","Per=Y","Days=T","Dir=V")</f>
        <v>0</v>
      </c>
      <c r="C2">
        <f>BDH("KVHI US Equity","BS_TOT_LIAB2","1993-06-18","2026-05-02","Per=Y","Days=T","Dir=V")</f>
        <v>0</v>
      </c>
      <c r="E2">
        <f>BDH("KVHI US Equity","SHORT_AND_LONG_TERM_DEBT","1993-06-18","2026-05-02","Per=Y","Days=T","Dir=V")</f>
        <v>0</v>
      </c>
      <c r="G2">
        <f>BDH("KVHI US Equity","BS_ST_BORROW","1993-06-18","2026-05-02","Per=Y","Days=T","Dir=V")</f>
        <v>0</v>
      </c>
      <c r="I2">
        <f>BDH("KVHI US Equity","BS_LT_BORROW","1993-06-18","2026-05-02","Per=Y","Days=T","Dir=V")</f>
        <v>0</v>
      </c>
      <c r="K2">
        <f>BDH("KVHI US Equity","BS_CASH_NEAR_CASH_ITEM","1993-06-18","2026-05-02","Per=Y","Days=T","Dir=V")</f>
        <v>0</v>
      </c>
      <c r="M2">
        <f>BDH("KVHI US Equity","BS_CUR_ASSET_REPORT","1993-06-18","2026-05-02","Per=Y","Days=T","Dir=V")</f>
        <v>0</v>
      </c>
      <c r="O2">
        <f>BDH("KVHI US Equity","BS_CUR_LIAB","1993-06-18","2026-05-02","Per=Y","Days=T","Dir=V")</f>
        <v>0</v>
      </c>
      <c r="Q2">
        <f>BDH("KVHI US Equity","BS_SHAREHOLDER_EQY_ENDING_PERIOD","1993-06-18","2026-05-02","Per=Y","Days=T","Dir=V")</f>
        <v>0</v>
      </c>
      <c r="S2">
        <f>BDH("KVHI US Equity","BS_ACCT_NOTE_RCV","1993-06-18","2026-05-02","Per=Y","Days=T","Dir=V")</f>
        <v>0</v>
      </c>
      <c r="U2">
        <f>BDH("KVHI US Equity","BS_INVENTORIES","1993-06-18","2026-05-02","Per=Y","Days=T","Dir=V")</f>
        <v>0</v>
      </c>
      <c r="W2">
        <f>BDH("KVHI US Equity","WORKING_CAPITAL","1993-06-18","2026-05-02","Per=Y","Days=T","Dir=V")</f>
        <v>0</v>
      </c>
      <c r="Y2">
        <f>BDH("KVHI US Equity","SALES_REV_TURN","1993-06-18","2026-05-02","Per=Y","Days=T","Dir=V")</f>
        <v>0</v>
      </c>
      <c r="AA2">
        <f>BDH("KVHI US Equity","EBIT","1993-06-18","2026-05-02","Per=Y","Days=T","Dir=V")</f>
        <v>0</v>
      </c>
      <c r="AC2">
        <f>BDH("KVHI US Equity","EBITDA","1993-06-18","2026-05-02","Per=Y","Days=T","Dir=V")</f>
        <v>0</v>
      </c>
      <c r="AE2">
        <f>BDH("KVHI US Equity","NET_INCOME","1993-06-18","2026-05-02","Per=Y","Days=T","Dir=V")</f>
        <v>0</v>
      </c>
      <c r="AG2">
        <f>BDH("KVHI US Equity","IS_INT_EXPENSE","1993-06-18","2026-05-02","Per=Y","Days=T","Dir=V")</f>
        <v>0</v>
      </c>
      <c r="AI2">
        <f>BDH("KVHI US Equity","IS_DEPR_EXP","1993-06-18","2026-05-02","Per=Y","Days=T","Dir=V")</f>
        <v>0</v>
      </c>
      <c r="AK2">
        <f>BDH("KVHI US Equity","CF_CASH_FROM_OPER","1993-06-18","2026-05-02","Per=Y","Days=T","Dir=V")</f>
        <v>0</v>
      </c>
      <c r="AM2">
        <f>BDH("KVHI US Equity","CAPITAL_EXPEND","1993-06-18","2026-05-02","Per=Y","Days=T","Dir=V")</f>
        <v>0</v>
      </c>
      <c r="AO2">
        <f>BDH("KVHI US Equity","CF_FREE_CASH_FLOW","1993-06-18","2026-05-02","Per=Y","Days=T","Dir=V")</f>
        <v>0</v>
      </c>
      <c r="AQ2">
        <f>BDH("KVHI US Equity","PX_LAST","1993-06-18","2026-05-02","Per=M","Days=T","Dir=V")</f>
        <v>0</v>
      </c>
      <c r="AS2">
        <f>BDH("KVHI US Equity","CUR_MKT_CAP","1993-06-18","2026-05-02","Per=M","Days=T","Dir=V")</f>
        <v>0</v>
      </c>
      <c r="AU2">
        <f>BDH("KVHI US Equity","EQY_SH_OUT","1993-06-18","2026-05-02","Per=M","Days=T","Dir=V")</f>
        <v>0</v>
      </c>
      <c r="AW2">
        <f>BDH("KVHI US Equity","PX_VOLUME","1993-06-18","2026-05-02","Per=M","Days=T","Dir=V")</f>
        <v>0</v>
      </c>
      <c r="AY2">
        <f>BDH("KVHI US Equity","TURNOVER","1993-06-18","2026-05-02","Per=M","Days=T","Dir=V")</f>
        <v>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BDH("KVUE US Equity","BS_TOT_ASSET","1993-06-18","2026-05-02","Per=Y","Days=T","Dir=V")</f>
        <v>0</v>
      </c>
      <c r="C2">
        <f>BDH("KVUE US Equity","BS_TOT_LIAB2","1993-06-18","2026-05-02","Per=Y","Days=T","Dir=V")</f>
        <v>0</v>
      </c>
      <c r="E2">
        <f>BDH("KVUE US Equity","SHORT_AND_LONG_TERM_DEBT","1993-06-18","2026-05-02","Per=Y","Days=T","Dir=V")</f>
        <v>0</v>
      </c>
      <c r="G2">
        <f>BDH("KVUE US Equity","BS_ST_BORROW","1993-06-18","2026-05-02","Per=Y","Days=T","Dir=V")</f>
        <v>0</v>
      </c>
      <c r="I2">
        <f>BDH("KVUE US Equity","BS_LT_BORROW","1993-06-18","2026-05-02","Per=Y","Days=T","Dir=V")</f>
        <v>0</v>
      </c>
      <c r="K2">
        <f>BDH("KVUE US Equity","BS_CASH_NEAR_CASH_ITEM","1993-06-18","2026-05-02","Per=Y","Days=T","Dir=V")</f>
        <v>0</v>
      </c>
      <c r="M2">
        <f>BDH("KVUE US Equity","BS_CUR_ASSET_REPORT","1993-06-18","2026-05-02","Per=Y","Days=T","Dir=V")</f>
        <v>0</v>
      </c>
      <c r="O2">
        <f>BDH("KVUE US Equity","BS_CUR_LIAB","1993-06-18","2026-05-02","Per=Y","Days=T","Dir=V")</f>
        <v>0</v>
      </c>
      <c r="Q2">
        <f>BDH("KVUE US Equity","BS_SHAREHOLDER_EQY_ENDING_PERIOD","1993-06-18","2026-05-02","Per=Y","Days=T","Dir=V")</f>
        <v>0</v>
      </c>
      <c r="S2">
        <f>BDH("KVUE US Equity","BS_ACCT_NOTE_RCV","1993-06-18","2026-05-02","Per=Y","Days=T","Dir=V")</f>
        <v>0</v>
      </c>
      <c r="U2">
        <f>BDH("KVUE US Equity","BS_INVENTORIES","1993-06-18","2026-05-02","Per=Y","Days=T","Dir=V")</f>
        <v>0</v>
      </c>
      <c r="W2">
        <f>BDH("KVUE US Equity","WORKING_CAPITAL","1993-06-18","2026-05-02","Per=Y","Days=T","Dir=V")</f>
        <v>0</v>
      </c>
      <c r="Y2">
        <f>BDH("KVUE US Equity","SALES_REV_TURN","1993-06-18","2026-05-02","Per=Y","Days=T","Dir=V")</f>
        <v>0</v>
      </c>
      <c r="AA2">
        <f>BDH("KVUE US Equity","EBIT","1993-06-18","2026-05-02","Per=Y","Days=T","Dir=V")</f>
        <v>0</v>
      </c>
      <c r="AC2">
        <f>BDH("KVUE US Equity","EBITDA","1993-06-18","2026-05-02","Per=Y","Days=T","Dir=V")</f>
        <v>0</v>
      </c>
      <c r="AE2">
        <f>BDH("KVUE US Equity","NET_INCOME","1993-06-18","2026-05-02","Per=Y","Days=T","Dir=V")</f>
        <v>0</v>
      </c>
      <c r="AG2">
        <f>BDH("KVUE US Equity","IS_INT_EXPENSE","1993-06-18","2026-05-02","Per=Y","Days=T","Dir=V")</f>
        <v>0</v>
      </c>
      <c r="AI2">
        <f>BDH("KVUE US Equity","IS_DEPR_EXP","1993-06-18","2026-05-02","Per=Y","Days=T","Dir=V")</f>
        <v>0</v>
      </c>
      <c r="AK2">
        <f>BDH("KVUE US Equity","CF_CASH_FROM_OPER","1993-06-18","2026-05-02","Per=Y","Days=T","Dir=V")</f>
        <v>0</v>
      </c>
      <c r="AM2">
        <f>BDH("KVUE US Equity","CAPITAL_EXPEND","1993-06-18","2026-05-02","Per=Y","Days=T","Dir=V")</f>
        <v>0</v>
      </c>
      <c r="AO2">
        <f>BDH("KVUE US Equity","CF_FREE_CASH_FLOW","1993-06-18","2026-05-02","Per=Y","Days=T","Dir=V")</f>
        <v>0</v>
      </c>
      <c r="AQ2">
        <f>BDH("KVUE US Equity","PX_LAST","1993-06-18","2026-05-02","Per=M","Days=T","Dir=V")</f>
        <v>0</v>
      </c>
      <c r="AS2">
        <f>BDH("KVUE US Equity","CUR_MKT_CAP","1993-06-18","2026-05-02","Per=M","Days=T","Dir=V")</f>
        <v>0</v>
      </c>
      <c r="AU2">
        <f>BDH("KVUE US Equity","EQY_SH_OUT","1993-06-18","2026-05-02","Per=M","Days=T","Dir=V")</f>
        <v>0</v>
      </c>
      <c r="AW2">
        <f>BDH("KVUE US Equity","PX_VOLUME","1993-06-18","2026-05-02","Per=M","Days=T","Dir=V")</f>
        <v>0</v>
      </c>
      <c r="AY2">
        <f>BDH("KVUE US Equity","TURNOVER","1993-06-18","2026-05-02","Per=M","Days=T","Dir=V")</f>
        <v>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BDH("KVYO US Equity","BS_TOT_ASSET","1993-06-18","2026-05-02","Per=Y","Days=T","Dir=V")</f>
        <v>0</v>
      </c>
      <c r="C2">
        <f>BDH("KVYO US Equity","BS_TOT_LIAB2","1993-06-18","2026-05-02","Per=Y","Days=T","Dir=V")</f>
        <v>0</v>
      </c>
      <c r="E2">
        <f>BDH("KVYO US Equity","SHORT_AND_LONG_TERM_DEBT","1993-06-18","2026-05-02","Per=Y","Days=T","Dir=V")</f>
        <v>0</v>
      </c>
      <c r="G2">
        <f>BDH("KVYO US Equity","BS_ST_BORROW","1993-06-18","2026-05-02","Per=Y","Days=T","Dir=V")</f>
        <v>0</v>
      </c>
      <c r="I2">
        <f>BDH("KVYO US Equity","BS_LT_BORROW","1993-06-18","2026-05-02","Per=Y","Days=T","Dir=V")</f>
        <v>0</v>
      </c>
      <c r="K2">
        <f>BDH("KVYO US Equity","BS_CASH_NEAR_CASH_ITEM","1993-06-18","2026-05-02","Per=Y","Days=T","Dir=V")</f>
        <v>0</v>
      </c>
      <c r="M2">
        <f>BDH("KVYO US Equity","BS_CUR_ASSET_REPORT","1993-06-18","2026-05-02","Per=Y","Days=T","Dir=V")</f>
        <v>0</v>
      </c>
      <c r="O2">
        <f>BDH("KVYO US Equity","BS_CUR_LIAB","1993-06-18","2026-05-02","Per=Y","Days=T","Dir=V")</f>
        <v>0</v>
      </c>
      <c r="Q2">
        <f>BDH("KVYO US Equity","BS_SHAREHOLDER_EQY_ENDING_PERIOD","1993-06-18","2026-05-02","Per=Y","Days=T","Dir=V")</f>
        <v>0</v>
      </c>
      <c r="S2">
        <f>BDH("KVYO US Equity","BS_ACCT_NOTE_RCV","1993-06-18","2026-05-02","Per=Y","Days=T","Dir=V")</f>
        <v>0</v>
      </c>
      <c r="U2">
        <f>BDH("KVYO US Equity","BS_INVENTORIES","1993-06-18","2026-05-02","Per=Y","Days=T","Dir=V")</f>
        <v>0</v>
      </c>
      <c r="W2">
        <f>BDH("KVYO US Equity","WORKING_CAPITAL","1993-06-18","2026-05-02","Per=Y","Days=T","Dir=V")</f>
        <v>0</v>
      </c>
      <c r="Y2">
        <f>BDH("KVYO US Equity","SALES_REV_TURN","1993-06-18","2026-05-02","Per=Y","Days=T","Dir=V")</f>
        <v>0</v>
      </c>
      <c r="AA2">
        <f>BDH("KVYO US Equity","EBIT","1993-06-18","2026-05-02","Per=Y","Days=T","Dir=V")</f>
        <v>0</v>
      </c>
      <c r="AC2">
        <f>BDH("KVYO US Equity","EBITDA","1993-06-18","2026-05-02","Per=Y","Days=T","Dir=V")</f>
        <v>0</v>
      </c>
      <c r="AE2">
        <f>BDH("KVYO US Equity","NET_INCOME","1993-06-18","2026-05-02","Per=Y","Days=T","Dir=V")</f>
        <v>0</v>
      </c>
      <c r="AG2">
        <f>BDH("KVYO US Equity","IS_INT_EXPENSE","1993-06-18","2026-05-02","Per=Y","Days=T","Dir=V")</f>
        <v>0</v>
      </c>
      <c r="AI2">
        <f>BDH("KVYO US Equity","IS_DEPR_EXP","1993-06-18","2026-05-02","Per=Y","Days=T","Dir=V")</f>
        <v>0</v>
      </c>
      <c r="AK2">
        <f>BDH("KVYO US Equity","CF_CASH_FROM_OPER","1993-06-18","2026-05-02","Per=Y","Days=T","Dir=V")</f>
        <v>0</v>
      </c>
      <c r="AM2">
        <f>BDH("KVYO US Equity","CAPITAL_EXPEND","1993-06-18","2026-05-02","Per=Y","Days=T","Dir=V")</f>
        <v>0</v>
      </c>
      <c r="AO2">
        <f>BDH("KVYO US Equity","CF_FREE_CASH_FLOW","1993-06-18","2026-05-02","Per=Y","Days=T","Dir=V")</f>
        <v>0</v>
      </c>
      <c r="AQ2">
        <f>BDH("KVYO US Equity","PX_LAST","1993-06-18","2026-05-02","Per=M","Days=T","Dir=V")</f>
        <v>0</v>
      </c>
      <c r="AS2">
        <f>BDH("KVYO US Equity","CUR_MKT_CAP","1993-06-18","2026-05-02","Per=M","Days=T","Dir=V")</f>
        <v>0</v>
      </c>
      <c r="AU2">
        <f>BDH("KVYO US Equity","EQY_SH_OUT","1993-06-18","2026-05-02","Per=M","Days=T","Dir=V")</f>
        <v>0</v>
      </c>
      <c r="AW2">
        <f>BDH("KVYO US Equity","PX_VOLUME","1993-06-18","2026-05-02","Per=M","Days=T","Dir=V")</f>
        <v>0</v>
      </c>
      <c r="AY2">
        <f>BDH("KVYO US Equity","TURNOVER","1993-06-18","2026-05-02","Per=M","Days=T","Dir=V")</f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BDH("KWR US Equity","BS_TOT_ASSET","1993-06-18","2026-05-02","Per=Y","Days=T","Dir=V")</f>
        <v>0</v>
      </c>
      <c r="C2">
        <f>BDH("KWR US Equity","BS_TOT_LIAB2","1993-06-18","2026-05-02","Per=Y","Days=T","Dir=V")</f>
        <v>0</v>
      </c>
      <c r="E2">
        <f>BDH("KWR US Equity","SHORT_AND_LONG_TERM_DEBT","1993-06-18","2026-05-02","Per=Y","Days=T","Dir=V")</f>
        <v>0</v>
      </c>
      <c r="G2">
        <f>BDH("KWR US Equity","BS_ST_BORROW","1993-06-18","2026-05-02","Per=Y","Days=T","Dir=V")</f>
        <v>0</v>
      </c>
      <c r="I2">
        <f>BDH("KWR US Equity","BS_LT_BORROW","1993-06-18","2026-05-02","Per=Y","Days=T","Dir=V")</f>
        <v>0</v>
      </c>
      <c r="K2">
        <f>BDH("KWR US Equity","BS_CASH_NEAR_CASH_ITEM","1993-06-18","2026-05-02","Per=Y","Days=T","Dir=V")</f>
        <v>0</v>
      </c>
      <c r="M2">
        <f>BDH("KWR US Equity","BS_CUR_ASSET_REPORT","1993-06-18","2026-05-02","Per=Y","Days=T","Dir=V")</f>
        <v>0</v>
      </c>
      <c r="O2">
        <f>BDH("KWR US Equity","BS_CUR_LIAB","1993-06-18","2026-05-02","Per=Y","Days=T","Dir=V")</f>
        <v>0</v>
      </c>
      <c r="Q2">
        <f>BDH("KWR US Equity","BS_SHAREHOLDER_EQY_ENDING_PERIOD","1993-06-18","2026-05-02","Per=Y","Days=T","Dir=V")</f>
        <v>0</v>
      </c>
      <c r="S2">
        <f>BDH("KWR US Equity","BS_ACCT_NOTE_RCV","1993-06-18","2026-05-02","Per=Y","Days=T","Dir=V")</f>
        <v>0</v>
      </c>
      <c r="U2">
        <f>BDH("KWR US Equity","BS_INVENTORIES","1993-06-18","2026-05-02","Per=Y","Days=T","Dir=V")</f>
        <v>0</v>
      </c>
      <c r="W2">
        <f>BDH("KWR US Equity","WORKING_CAPITAL","1993-06-18","2026-05-02","Per=Y","Days=T","Dir=V")</f>
        <v>0</v>
      </c>
      <c r="Y2">
        <f>BDH("KWR US Equity","SALES_REV_TURN","1993-06-18","2026-05-02","Per=Y","Days=T","Dir=V")</f>
        <v>0</v>
      </c>
      <c r="AA2">
        <f>BDH("KWR US Equity","EBIT","1993-06-18","2026-05-02","Per=Y","Days=T","Dir=V")</f>
        <v>0</v>
      </c>
      <c r="AC2">
        <f>BDH("KWR US Equity","EBITDA","1993-06-18","2026-05-02","Per=Y","Days=T","Dir=V")</f>
        <v>0</v>
      </c>
      <c r="AE2">
        <f>BDH("KWR US Equity","NET_INCOME","1993-06-18","2026-05-02","Per=Y","Days=T","Dir=V")</f>
        <v>0</v>
      </c>
      <c r="AG2">
        <f>BDH("KWR US Equity","IS_INT_EXPENSE","1993-06-18","2026-05-02","Per=Y","Days=T","Dir=V")</f>
        <v>0</v>
      </c>
      <c r="AI2">
        <f>BDH("KWR US Equity","IS_DEPR_EXP","1993-06-18","2026-05-02","Per=Y","Days=T","Dir=V")</f>
        <v>0</v>
      </c>
      <c r="AK2">
        <f>BDH("KWR US Equity","CF_CASH_FROM_OPER","1993-06-18","2026-05-02","Per=Y","Days=T","Dir=V")</f>
        <v>0</v>
      </c>
      <c r="AM2">
        <f>BDH("KWR US Equity","CAPITAL_EXPEND","1993-06-18","2026-05-02","Per=Y","Days=T","Dir=V")</f>
        <v>0</v>
      </c>
      <c r="AO2">
        <f>BDH("KWR US Equity","CF_FREE_CASH_FLOW","1993-06-18","2026-05-02","Per=Y","Days=T","Dir=V")</f>
        <v>0</v>
      </c>
      <c r="AQ2">
        <f>BDH("KWR US Equity","PX_LAST","1993-06-18","2026-05-02","Per=M","Days=T","Dir=V")</f>
        <v>0</v>
      </c>
      <c r="AS2">
        <f>BDH("KWR US Equity","CUR_MKT_CAP","1993-06-18","2026-05-02","Per=M","Days=T","Dir=V")</f>
        <v>0</v>
      </c>
      <c r="AU2">
        <f>BDH("KWR US Equity","EQY_SH_OUT","1993-06-18","2026-05-02","Per=M","Days=T","Dir=V")</f>
        <v>0</v>
      </c>
      <c r="AW2">
        <f>BDH("KWR US Equity","PX_VOLUME","1993-06-18","2026-05-02","Per=M","Days=T","Dir=V")</f>
        <v>0</v>
      </c>
      <c r="AY2">
        <f>BDH("KWR US Equity","TURNOVER","1993-06-18","2026-05-02","Per=M","Days=T","Dir=V")</f>
        <v>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BDH("KYMR US Equity","BS_TOT_ASSET","1993-06-18","2026-05-02","Per=Y","Days=T","Dir=V")</f>
        <v>0</v>
      </c>
      <c r="C2">
        <f>BDH("KYMR US Equity","BS_TOT_LIAB2","1993-06-18","2026-05-02","Per=Y","Days=T","Dir=V")</f>
        <v>0</v>
      </c>
      <c r="E2">
        <f>BDH("KYMR US Equity","SHORT_AND_LONG_TERM_DEBT","1993-06-18","2026-05-02","Per=Y","Days=T","Dir=V")</f>
        <v>0</v>
      </c>
      <c r="G2">
        <f>BDH("KYMR US Equity","BS_ST_BORROW","1993-06-18","2026-05-02","Per=Y","Days=T","Dir=V")</f>
        <v>0</v>
      </c>
      <c r="I2">
        <f>BDH("KYMR US Equity","BS_LT_BORROW","1993-06-18","2026-05-02","Per=Y","Days=T","Dir=V")</f>
        <v>0</v>
      </c>
      <c r="K2">
        <f>BDH("KYMR US Equity","BS_CASH_NEAR_CASH_ITEM","1993-06-18","2026-05-02","Per=Y","Days=T","Dir=V")</f>
        <v>0</v>
      </c>
      <c r="M2">
        <f>BDH("KYMR US Equity","BS_CUR_ASSET_REPORT","1993-06-18","2026-05-02","Per=Y","Days=T","Dir=V")</f>
        <v>0</v>
      </c>
      <c r="O2">
        <f>BDH("KYMR US Equity","BS_CUR_LIAB","1993-06-18","2026-05-02","Per=Y","Days=T","Dir=V")</f>
        <v>0</v>
      </c>
      <c r="Q2">
        <f>BDH("KYMR US Equity","BS_SHAREHOLDER_EQY_ENDING_PERIOD","1993-06-18","2026-05-02","Per=Y","Days=T","Dir=V")</f>
        <v>0</v>
      </c>
      <c r="S2">
        <f>BDH("KYMR US Equity","BS_ACCT_NOTE_RCV","1993-06-18","2026-05-02","Per=Y","Days=T","Dir=V")</f>
        <v>0</v>
      </c>
      <c r="U2">
        <f>BDH("KYMR US Equity","BS_INVENTORIES","1993-06-18","2026-05-02","Per=Y","Days=T","Dir=V")</f>
        <v>0</v>
      </c>
      <c r="W2">
        <f>BDH("KYMR US Equity","WORKING_CAPITAL","1993-06-18","2026-05-02","Per=Y","Days=T","Dir=V")</f>
        <v>0</v>
      </c>
      <c r="Y2">
        <f>BDH("KYMR US Equity","SALES_REV_TURN","1993-06-18","2026-05-02","Per=Y","Days=T","Dir=V")</f>
        <v>0</v>
      </c>
      <c r="AA2">
        <f>BDH("KYMR US Equity","EBIT","1993-06-18","2026-05-02","Per=Y","Days=T","Dir=V")</f>
        <v>0</v>
      </c>
      <c r="AC2">
        <f>BDH("KYMR US Equity","EBITDA","1993-06-18","2026-05-02","Per=Y","Days=T","Dir=V")</f>
        <v>0</v>
      </c>
      <c r="AE2">
        <f>BDH("KYMR US Equity","NET_INCOME","1993-06-18","2026-05-02","Per=Y","Days=T","Dir=V")</f>
        <v>0</v>
      </c>
      <c r="AG2">
        <f>BDH("KYMR US Equity","IS_INT_EXPENSE","1993-06-18","2026-05-02","Per=Y","Days=T","Dir=V")</f>
        <v>0</v>
      </c>
      <c r="AI2">
        <f>BDH("KYMR US Equity","IS_DEPR_EXP","1993-06-18","2026-05-02","Per=Y","Days=T","Dir=V")</f>
        <v>0</v>
      </c>
      <c r="AK2">
        <f>BDH("KYMR US Equity","CF_CASH_FROM_OPER","1993-06-18","2026-05-02","Per=Y","Days=T","Dir=V")</f>
        <v>0</v>
      </c>
      <c r="AM2">
        <f>BDH("KYMR US Equity","CAPITAL_EXPEND","1993-06-18","2026-05-02","Per=Y","Days=T","Dir=V")</f>
        <v>0</v>
      </c>
      <c r="AO2">
        <f>BDH("KYMR US Equity","CF_FREE_CASH_FLOW","1993-06-18","2026-05-02","Per=Y","Days=T","Dir=V")</f>
        <v>0</v>
      </c>
      <c r="AQ2">
        <f>BDH("KYMR US Equity","PX_LAST","1993-06-18","2026-05-02","Per=M","Days=T","Dir=V")</f>
        <v>0</v>
      </c>
      <c r="AS2">
        <f>BDH("KYMR US Equity","CUR_MKT_CAP","1993-06-18","2026-05-02","Per=M","Days=T","Dir=V")</f>
        <v>0</v>
      </c>
      <c r="AU2">
        <f>BDH("KYMR US Equity","EQY_SH_OUT","1993-06-18","2026-05-02","Per=M","Days=T","Dir=V")</f>
        <v>0</v>
      </c>
      <c r="AW2">
        <f>BDH("KYMR US Equity","PX_VOLUME","1993-06-18","2026-05-02","Per=M","Days=T","Dir=V")</f>
        <v>0</v>
      </c>
      <c r="AY2">
        <f>BDH("KYMR US Equity","TURNOVER","1993-06-18","2026-05-02","Per=M","Days=T","Dir=V")</f>
        <v>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BDH("KYNB US Equity","BS_TOT_ASSET","1993-06-18","2026-05-02","Per=Y","Days=T","Dir=V")</f>
        <v>0</v>
      </c>
      <c r="C2">
        <f>BDH("KYNB US Equity","BS_TOT_LIAB2","1993-06-18","2026-05-02","Per=Y","Days=T","Dir=V")</f>
        <v>0</v>
      </c>
      <c r="E2">
        <f>BDH("KYNB US Equity","SHORT_AND_LONG_TERM_DEBT","1993-06-18","2026-05-02","Per=Y","Days=T","Dir=V")</f>
        <v>0</v>
      </c>
      <c r="G2">
        <f>BDH("KYNB US Equity","BS_ST_BORROW","1993-06-18","2026-05-02","Per=Y","Days=T","Dir=V")</f>
        <v>0</v>
      </c>
      <c r="I2">
        <f>BDH("KYNB US Equity","BS_LT_BORROW","1993-06-18","2026-05-02","Per=Y","Days=T","Dir=V")</f>
        <v>0</v>
      </c>
      <c r="K2">
        <f>BDH("KYNB US Equity","BS_CASH_NEAR_CASH_ITEM","1993-06-18","2026-05-02","Per=Y","Days=T","Dir=V")</f>
        <v>0</v>
      </c>
      <c r="M2">
        <f>BDH("KYNB US Equity","BS_CUR_ASSET_REPORT","1993-06-18","2026-05-02","Per=Y","Days=T","Dir=V")</f>
        <v>0</v>
      </c>
      <c r="O2">
        <f>BDH("KYNB US Equity","BS_CUR_LIAB","1993-06-18","2026-05-02","Per=Y","Days=T","Dir=V")</f>
        <v>0</v>
      </c>
      <c r="Q2">
        <f>BDH("KYNB US Equity","BS_SHAREHOLDER_EQY_ENDING_PERIOD","1993-06-18","2026-05-02","Per=Y","Days=T","Dir=V")</f>
        <v>0</v>
      </c>
      <c r="S2">
        <f>BDH("KYNB US Equity","BS_ACCT_NOTE_RCV","1993-06-18","2026-05-02","Per=Y","Days=T","Dir=V")</f>
        <v>0</v>
      </c>
      <c r="U2">
        <f>BDH("KYNB US Equity","BS_INVENTORIES","1993-06-18","2026-05-02","Per=Y","Days=T","Dir=V")</f>
        <v>0</v>
      </c>
      <c r="W2">
        <f>BDH("KYNB US Equity","WORKING_CAPITAL","1993-06-18","2026-05-02","Per=Y","Days=T","Dir=V")</f>
        <v>0</v>
      </c>
      <c r="Y2">
        <f>BDH("KYNB US Equity","SALES_REV_TURN","1993-06-18","2026-05-02","Per=Y","Days=T","Dir=V")</f>
        <v>0</v>
      </c>
      <c r="AA2">
        <f>BDH("KYNB US Equity","EBIT","1993-06-18","2026-05-02","Per=Y","Days=T","Dir=V")</f>
        <v>0</v>
      </c>
      <c r="AC2">
        <f>BDH("KYNB US Equity","EBITDA","1993-06-18","2026-05-02","Per=Y","Days=T","Dir=V")</f>
        <v>0</v>
      </c>
      <c r="AE2">
        <f>BDH("KYNB US Equity","NET_INCOME","1993-06-18","2026-05-02","Per=Y","Days=T","Dir=V")</f>
        <v>0</v>
      </c>
      <c r="AG2">
        <f>BDH("KYNB US Equity","IS_INT_EXPENSE","1993-06-18","2026-05-02","Per=Y","Days=T","Dir=V")</f>
        <v>0</v>
      </c>
      <c r="AI2">
        <f>BDH("KYNB US Equity","IS_DEPR_EXP","1993-06-18","2026-05-02","Per=Y","Days=T","Dir=V")</f>
        <v>0</v>
      </c>
      <c r="AK2">
        <f>BDH("KYNB US Equity","CF_CASH_FROM_OPER","1993-06-18","2026-05-02","Per=Y","Days=T","Dir=V")</f>
        <v>0</v>
      </c>
      <c r="AM2">
        <f>BDH("KYNB US Equity","CAPITAL_EXPEND","1993-06-18","2026-05-02","Per=Y","Days=T","Dir=V")</f>
        <v>0</v>
      </c>
      <c r="AO2">
        <f>BDH("KYNB US Equity","CF_FREE_CASH_FLOW","1993-06-18","2026-05-02","Per=Y","Days=T","Dir=V")</f>
        <v>0</v>
      </c>
      <c r="AQ2">
        <f>BDH("KYNB US Equity","PX_LAST","1993-06-18","2026-05-02","Per=M","Days=T","Dir=V")</f>
        <v>0</v>
      </c>
      <c r="AS2">
        <f>BDH("KYNB US Equity","CUR_MKT_CAP","1993-06-18","2026-05-02","Per=M","Days=T","Dir=V")</f>
        <v>0</v>
      </c>
      <c r="AU2">
        <f>BDH("KYNB US Equity","EQY_SH_OUT","1993-06-18","2026-05-02","Per=M","Days=T","Dir=V")</f>
        <v>0</v>
      </c>
      <c r="AW2">
        <f>BDH("KYNB US Equity","PX_VOLUME","1993-06-18","2026-05-02","Per=M","Days=T","Dir=V")</f>
        <v>0</v>
      </c>
      <c r="AY2">
        <f>BDH("KYNB US Equity","TURNOVER","1993-06-18","2026-05-02","Per=M","Days=T","Dir=V")</f>
        <v>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BDH("KYTX US Equity","BS_TOT_ASSET","1993-06-18","2026-05-02","Per=Y","Days=T","Dir=V")</f>
        <v>0</v>
      </c>
      <c r="C2">
        <f>BDH("KYTX US Equity","BS_TOT_LIAB2","1993-06-18","2026-05-02","Per=Y","Days=T","Dir=V")</f>
        <v>0</v>
      </c>
      <c r="E2">
        <f>BDH("KYTX US Equity","SHORT_AND_LONG_TERM_DEBT","1993-06-18","2026-05-02","Per=Y","Days=T","Dir=V")</f>
        <v>0</v>
      </c>
      <c r="G2">
        <f>BDH("KYTX US Equity","BS_ST_BORROW","1993-06-18","2026-05-02","Per=Y","Days=T","Dir=V")</f>
        <v>0</v>
      </c>
      <c r="I2">
        <f>BDH("KYTX US Equity","BS_LT_BORROW","1993-06-18","2026-05-02","Per=Y","Days=T","Dir=V")</f>
        <v>0</v>
      </c>
      <c r="K2">
        <f>BDH("KYTX US Equity","BS_CASH_NEAR_CASH_ITEM","1993-06-18","2026-05-02","Per=Y","Days=T","Dir=V")</f>
        <v>0</v>
      </c>
      <c r="M2">
        <f>BDH("KYTX US Equity","BS_CUR_ASSET_REPORT","1993-06-18","2026-05-02","Per=Y","Days=T","Dir=V")</f>
        <v>0</v>
      </c>
      <c r="O2">
        <f>BDH("KYTX US Equity","BS_CUR_LIAB","1993-06-18","2026-05-02","Per=Y","Days=T","Dir=V")</f>
        <v>0</v>
      </c>
      <c r="Q2">
        <f>BDH("KYTX US Equity","BS_SHAREHOLDER_EQY_ENDING_PERIOD","1993-06-18","2026-05-02","Per=Y","Days=T","Dir=V")</f>
        <v>0</v>
      </c>
      <c r="S2">
        <f>BDH("KYTX US Equity","BS_ACCT_NOTE_RCV","1993-06-18","2026-05-02","Per=Y","Days=T","Dir=V")</f>
        <v>0</v>
      </c>
      <c r="U2">
        <f>BDH("KYTX US Equity","BS_INVENTORIES","1993-06-18","2026-05-02","Per=Y","Days=T","Dir=V")</f>
        <v>0</v>
      </c>
      <c r="W2">
        <f>BDH("KYTX US Equity","WORKING_CAPITAL","1993-06-18","2026-05-02","Per=Y","Days=T","Dir=V")</f>
        <v>0</v>
      </c>
      <c r="Y2">
        <f>BDH("KYTX US Equity","SALES_REV_TURN","1993-06-18","2026-05-02","Per=Y","Days=T","Dir=V")</f>
        <v>0</v>
      </c>
      <c r="AA2">
        <f>BDH("KYTX US Equity","EBIT","1993-06-18","2026-05-02","Per=Y","Days=T","Dir=V")</f>
        <v>0</v>
      </c>
      <c r="AC2">
        <f>BDH("KYTX US Equity","EBITDA","1993-06-18","2026-05-02","Per=Y","Days=T","Dir=V")</f>
        <v>0</v>
      </c>
      <c r="AE2">
        <f>BDH("KYTX US Equity","NET_INCOME","1993-06-18","2026-05-02","Per=Y","Days=T","Dir=V")</f>
        <v>0</v>
      </c>
      <c r="AG2">
        <f>BDH("KYTX US Equity","IS_INT_EXPENSE","1993-06-18","2026-05-02","Per=Y","Days=T","Dir=V")</f>
        <v>0</v>
      </c>
      <c r="AI2">
        <f>BDH("KYTX US Equity","IS_DEPR_EXP","1993-06-18","2026-05-02","Per=Y","Days=T","Dir=V")</f>
        <v>0</v>
      </c>
      <c r="AK2">
        <f>BDH("KYTX US Equity","CF_CASH_FROM_OPER","1993-06-18","2026-05-02","Per=Y","Days=T","Dir=V")</f>
        <v>0</v>
      </c>
      <c r="AM2">
        <f>BDH("KYTX US Equity","CAPITAL_EXPEND","1993-06-18","2026-05-02","Per=Y","Days=T","Dir=V")</f>
        <v>0</v>
      </c>
      <c r="AO2">
        <f>BDH("KYTX US Equity","CF_FREE_CASH_FLOW","1993-06-18","2026-05-02","Per=Y","Days=T","Dir=V")</f>
        <v>0</v>
      </c>
      <c r="AQ2">
        <f>BDH("KYTX US Equity","PX_LAST","1993-06-18","2026-05-02","Per=M","Days=T","Dir=V")</f>
        <v>0</v>
      </c>
      <c r="AS2">
        <f>BDH("KYTX US Equity","CUR_MKT_CAP","1993-06-18","2026-05-02","Per=M","Days=T","Dir=V")</f>
        <v>0</v>
      </c>
      <c r="AU2">
        <f>BDH("KYTX US Equity","EQY_SH_OUT","1993-06-18","2026-05-02","Per=M","Days=T","Dir=V")</f>
        <v>0</v>
      </c>
      <c r="AW2">
        <f>BDH("KYTX US Equity","PX_VOLUME","1993-06-18","2026-05-02","Per=M","Days=T","Dir=V")</f>
        <v>0</v>
      </c>
      <c r="AY2">
        <f>BDH("KYTX US Equity","TURNOVER","1993-06-18","2026-05-02","Per=M","Days=T","Dir=V")</f>
        <v>0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BDH("LAB US Equity","BS_TOT_ASSET","1993-06-18","2026-05-02","Per=Y","Days=T","Dir=V")</f>
        <v>0</v>
      </c>
      <c r="C2">
        <f>BDH("LAB US Equity","BS_TOT_LIAB2","1993-06-18","2026-05-02","Per=Y","Days=T","Dir=V")</f>
        <v>0</v>
      </c>
      <c r="E2">
        <f>BDH("LAB US Equity","SHORT_AND_LONG_TERM_DEBT","1993-06-18","2026-05-02","Per=Y","Days=T","Dir=V")</f>
        <v>0</v>
      </c>
      <c r="G2">
        <f>BDH("LAB US Equity","BS_ST_BORROW","1993-06-18","2026-05-02","Per=Y","Days=T","Dir=V")</f>
        <v>0</v>
      </c>
      <c r="I2">
        <f>BDH("LAB US Equity","BS_LT_BORROW","1993-06-18","2026-05-02","Per=Y","Days=T","Dir=V")</f>
        <v>0</v>
      </c>
      <c r="K2">
        <f>BDH("LAB US Equity","BS_CASH_NEAR_CASH_ITEM","1993-06-18","2026-05-02","Per=Y","Days=T","Dir=V")</f>
        <v>0</v>
      </c>
      <c r="M2">
        <f>BDH("LAB US Equity","BS_CUR_ASSET_REPORT","1993-06-18","2026-05-02","Per=Y","Days=T","Dir=V")</f>
        <v>0</v>
      </c>
      <c r="O2">
        <f>BDH("LAB US Equity","BS_CUR_LIAB","1993-06-18","2026-05-02","Per=Y","Days=T","Dir=V")</f>
        <v>0</v>
      </c>
      <c r="Q2">
        <f>BDH("LAB US Equity","BS_SHAREHOLDER_EQY_ENDING_PERIOD","1993-06-18","2026-05-02","Per=Y","Days=T","Dir=V")</f>
        <v>0</v>
      </c>
      <c r="S2">
        <f>BDH("LAB US Equity","BS_ACCT_NOTE_RCV","1993-06-18","2026-05-02","Per=Y","Days=T","Dir=V")</f>
        <v>0</v>
      </c>
      <c r="U2">
        <f>BDH("LAB US Equity","BS_INVENTORIES","1993-06-18","2026-05-02","Per=Y","Days=T","Dir=V")</f>
        <v>0</v>
      </c>
      <c r="W2">
        <f>BDH("LAB US Equity","WORKING_CAPITAL","1993-06-18","2026-05-02","Per=Y","Days=T","Dir=V")</f>
        <v>0</v>
      </c>
      <c r="Y2">
        <f>BDH("LAB US Equity","SALES_REV_TURN","1993-06-18","2026-05-02","Per=Y","Days=T","Dir=V")</f>
        <v>0</v>
      </c>
      <c r="AA2">
        <f>BDH("LAB US Equity","EBIT","1993-06-18","2026-05-02","Per=Y","Days=T","Dir=V")</f>
        <v>0</v>
      </c>
      <c r="AC2">
        <f>BDH("LAB US Equity","EBITDA","1993-06-18","2026-05-02","Per=Y","Days=T","Dir=V")</f>
        <v>0</v>
      </c>
      <c r="AE2">
        <f>BDH("LAB US Equity","NET_INCOME","1993-06-18","2026-05-02","Per=Y","Days=T","Dir=V")</f>
        <v>0</v>
      </c>
      <c r="AG2">
        <f>BDH("LAB US Equity","IS_INT_EXPENSE","1993-06-18","2026-05-02","Per=Y","Days=T","Dir=V")</f>
        <v>0</v>
      </c>
      <c r="AI2">
        <f>BDH("LAB US Equity","IS_DEPR_EXP","1993-06-18","2026-05-02","Per=Y","Days=T","Dir=V")</f>
        <v>0</v>
      </c>
      <c r="AK2">
        <f>BDH("LAB US Equity","CF_CASH_FROM_OPER","1993-06-18","2026-05-02","Per=Y","Days=T","Dir=V")</f>
        <v>0</v>
      </c>
      <c r="AM2">
        <f>BDH("LAB US Equity","CAPITAL_EXPEND","1993-06-18","2026-05-02","Per=Y","Days=T","Dir=V")</f>
        <v>0</v>
      </c>
      <c r="AO2">
        <f>BDH("LAB US Equity","CF_FREE_CASH_FLOW","1993-06-18","2026-05-02","Per=Y","Days=T","Dir=V")</f>
        <v>0</v>
      </c>
      <c r="AQ2">
        <f>BDH("LAB US Equity","PX_LAST","1993-06-18","2026-05-02","Per=M","Days=T","Dir=V")</f>
        <v>0</v>
      </c>
      <c r="AS2">
        <f>BDH("LAB US Equity","CUR_MKT_CAP","1993-06-18","2026-05-02","Per=M","Days=T","Dir=V")</f>
        <v>0</v>
      </c>
      <c r="AU2">
        <f>BDH("LAB US Equity","EQY_SH_OUT","1993-06-18","2026-05-02","Per=M","Days=T","Dir=V")</f>
        <v>0</v>
      </c>
      <c r="AW2">
        <f>BDH("LAB US Equity","PX_VOLUME","1993-06-18","2026-05-02","Per=M","Days=T","Dir=V")</f>
        <v>0</v>
      </c>
      <c r="AY2">
        <f>BDH("LAB US Equity","TURNOVER","1993-06-18","2026-05-02","Per=M","Days=T","Dir=V")</f>
        <v>0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BDH("LABT US Equity","BS_TOT_ASSET","1993-06-18","2026-05-02","Per=Y","Days=T","Dir=V")</f>
        <v>0</v>
      </c>
      <c r="C2">
        <f>BDH("LABT US Equity","BS_TOT_LIAB2","1993-06-18","2026-05-02","Per=Y","Days=T","Dir=V")</f>
        <v>0</v>
      </c>
      <c r="E2">
        <f>BDH("LABT US Equity","SHORT_AND_LONG_TERM_DEBT","1993-06-18","2026-05-02","Per=Y","Days=T","Dir=V")</f>
        <v>0</v>
      </c>
      <c r="G2">
        <f>BDH("LABT US Equity","BS_ST_BORROW","1993-06-18","2026-05-02","Per=Y","Days=T","Dir=V")</f>
        <v>0</v>
      </c>
      <c r="I2">
        <f>BDH("LABT US Equity","BS_LT_BORROW","1993-06-18","2026-05-02","Per=Y","Days=T","Dir=V")</f>
        <v>0</v>
      </c>
      <c r="K2">
        <f>BDH("LABT US Equity","BS_CASH_NEAR_CASH_ITEM","1993-06-18","2026-05-02","Per=Y","Days=T","Dir=V")</f>
        <v>0</v>
      </c>
      <c r="M2">
        <f>BDH("LABT US Equity","BS_CUR_ASSET_REPORT","1993-06-18","2026-05-02","Per=Y","Days=T","Dir=V")</f>
        <v>0</v>
      </c>
      <c r="O2">
        <f>BDH("LABT US Equity","BS_CUR_LIAB","1993-06-18","2026-05-02","Per=Y","Days=T","Dir=V")</f>
        <v>0</v>
      </c>
      <c r="Q2">
        <f>BDH("LABT US Equity","BS_SHAREHOLDER_EQY_ENDING_PERIOD","1993-06-18","2026-05-02","Per=Y","Days=T","Dir=V")</f>
        <v>0</v>
      </c>
      <c r="S2">
        <f>BDH("LABT US Equity","BS_ACCT_NOTE_RCV","1993-06-18","2026-05-02","Per=Y","Days=T","Dir=V")</f>
        <v>0</v>
      </c>
      <c r="U2">
        <f>BDH("LABT US Equity","BS_INVENTORIES","1993-06-18","2026-05-02","Per=Y","Days=T","Dir=V")</f>
        <v>0</v>
      </c>
      <c r="W2">
        <f>BDH("LABT US Equity","WORKING_CAPITAL","1993-06-18","2026-05-02","Per=Y","Days=T","Dir=V")</f>
        <v>0</v>
      </c>
      <c r="Y2">
        <f>BDH("LABT US Equity","SALES_REV_TURN","1993-06-18","2026-05-02","Per=Y","Days=T","Dir=V")</f>
        <v>0</v>
      </c>
      <c r="AA2">
        <f>BDH("LABT US Equity","EBIT","1993-06-18","2026-05-02","Per=Y","Days=T","Dir=V")</f>
        <v>0</v>
      </c>
      <c r="AC2">
        <f>BDH("LABT US Equity","EBITDA","1993-06-18","2026-05-02","Per=Y","Days=T","Dir=V")</f>
        <v>0</v>
      </c>
      <c r="AE2">
        <f>BDH("LABT US Equity","NET_INCOME","1993-06-18","2026-05-02","Per=Y","Days=T","Dir=V")</f>
        <v>0</v>
      </c>
      <c r="AG2">
        <f>BDH("LABT US Equity","IS_INT_EXPENSE","1993-06-18","2026-05-02","Per=Y","Days=T","Dir=V")</f>
        <v>0</v>
      </c>
      <c r="AI2">
        <f>BDH("LABT US Equity","IS_DEPR_EXP","1993-06-18","2026-05-02","Per=Y","Days=T","Dir=V")</f>
        <v>0</v>
      </c>
      <c r="AK2">
        <f>BDH("LABT US Equity","CF_CASH_FROM_OPER","1993-06-18","2026-05-02","Per=Y","Days=T","Dir=V")</f>
        <v>0</v>
      </c>
      <c r="AM2">
        <f>BDH("LABT US Equity","CAPITAL_EXPEND","1993-06-18","2026-05-02","Per=Y","Days=T","Dir=V")</f>
        <v>0</v>
      </c>
      <c r="AO2">
        <f>BDH("LABT US Equity","CF_FREE_CASH_FLOW","1993-06-18","2026-05-02","Per=Y","Days=T","Dir=V")</f>
        <v>0</v>
      </c>
      <c r="AQ2">
        <f>BDH("LABT US Equity","PX_LAST","1993-06-18","2026-05-02","Per=M","Days=T","Dir=V")</f>
        <v>0</v>
      </c>
      <c r="AS2">
        <f>BDH("LABT US Equity","CUR_MKT_CAP","1993-06-18","2026-05-02","Per=M","Days=T","Dir=V")</f>
        <v>0</v>
      </c>
      <c r="AU2">
        <f>BDH("LABT US Equity","EQY_SH_OUT","1993-06-18","2026-05-02","Per=M","Days=T","Dir=V")</f>
        <v>0</v>
      </c>
      <c r="AW2">
        <f>BDH("LABT US Equity","PX_VOLUME","1993-06-18","2026-05-02","Per=M","Days=T","Dir=V")</f>
        <v>0</v>
      </c>
      <c r="AY2">
        <f>BDH("LABT US Equity","TURNOVER","1993-06-18","2026-05-02","Per=M","Days=T","Dir=V")</f>
        <v>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BDH("LAD US Equity","BS_TOT_ASSET","1993-06-18","2026-05-02","Per=Y","Days=T","Dir=V")</f>
        <v>0</v>
      </c>
      <c r="C2">
        <f>BDH("LAD US Equity","BS_TOT_LIAB2","1993-06-18","2026-05-02","Per=Y","Days=T","Dir=V")</f>
        <v>0</v>
      </c>
      <c r="E2">
        <f>BDH("LAD US Equity","SHORT_AND_LONG_TERM_DEBT","1993-06-18","2026-05-02","Per=Y","Days=T","Dir=V")</f>
        <v>0</v>
      </c>
      <c r="G2">
        <f>BDH("LAD US Equity","BS_ST_BORROW","1993-06-18","2026-05-02","Per=Y","Days=T","Dir=V")</f>
        <v>0</v>
      </c>
      <c r="I2">
        <f>BDH("LAD US Equity","BS_LT_BORROW","1993-06-18","2026-05-02","Per=Y","Days=T","Dir=V")</f>
        <v>0</v>
      </c>
      <c r="K2">
        <f>BDH("LAD US Equity","BS_CASH_NEAR_CASH_ITEM","1993-06-18","2026-05-02","Per=Y","Days=T","Dir=V")</f>
        <v>0</v>
      </c>
      <c r="M2">
        <f>BDH("LAD US Equity","BS_CUR_ASSET_REPORT","1993-06-18","2026-05-02","Per=Y","Days=T","Dir=V")</f>
        <v>0</v>
      </c>
      <c r="O2">
        <f>BDH("LAD US Equity","BS_CUR_LIAB","1993-06-18","2026-05-02","Per=Y","Days=T","Dir=V")</f>
        <v>0</v>
      </c>
      <c r="Q2">
        <f>BDH("LAD US Equity","BS_SHAREHOLDER_EQY_ENDING_PERIOD","1993-06-18","2026-05-02","Per=Y","Days=T","Dir=V")</f>
        <v>0</v>
      </c>
      <c r="S2">
        <f>BDH("LAD US Equity","BS_ACCT_NOTE_RCV","1993-06-18","2026-05-02","Per=Y","Days=T","Dir=V")</f>
        <v>0</v>
      </c>
      <c r="U2">
        <f>BDH("LAD US Equity","BS_INVENTORIES","1993-06-18","2026-05-02","Per=Y","Days=T","Dir=V")</f>
        <v>0</v>
      </c>
      <c r="W2">
        <f>BDH("LAD US Equity","WORKING_CAPITAL","1993-06-18","2026-05-02","Per=Y","Days=T","Dir=V")</f>
        <v>0</v>
      </c>
      <c r="Y2">
        <f>BDH("LAD US Equity","SALES_REV_TURN","1993-06-18","2026-05-02","Per=Y","Days=T","Dir=V")</f>
        <v>0</v>
      </c>
      <c r="AA2">
        <f>BDH("LAD US Equity","EBIT","1993-06-18","2026-05-02","Per=Y","Days=T","Dir=V")</f>
        <v>0</v>
      </c>
      <c r="AC2">
        <f>BDH("LAD US Equity","EBITDA","1993-06-18","2026-05-02","Per=Y","Days=T","Dir=V")</f>
        <v>0</v>
      </c>
      <c r="AE2">
        <f>BDH("LAD US Equity","NET_INCOME","1993-06-18","2026-05-02","Per=Y","Days=T","Dir=V")</f>
        <v>0</v>
      </c>
      <c r="AG2">
        <f>BDH("LAD US Equity","IS_INT_EXPENSE","1993-06-18","2026-05-02","Per=Y","Days=T","Dir=V")</f>
        <v>0</v>
      </c>
      <c r="AI2">
        <f>BDH("LAD US Equity","IS_DEPR_EXP","1993-06-18","2026-05-02","Per=Y","Days=T","Dir=V")</f>
        <v>0</v>
      </c>
      <c r="AK2">
        <f>BDH("LAD US Equity","CF_CASH_FROM_OPER","1993-06-18","2026-05-02","Per=Y","Days=T","Dir=V")</f>
        <v>0</v>
      </c>
      <c r="AM2">
        <f>BDH("LAD US Equity","CAPITAL_EXPEND","1993-06-18","2026-05-02","Per=Y","Days=T","Dir=V")</f>
        <v>0</v>
      </c>
      <c r="AO2">
        <f>BDH("LAD US Equity","CF_FREE_CASH_FLOW","1993-06-18","2026-05-02","Per=Y","Days=T","Dir=V")</f>
        <v>0</v>
      </c>
      <c r="AQ2">
        <f>BDH("LAD US Equity","PX_LAST","1993-06-18","2026-05-02","Per=M","Days=T","Dir=V")</f>
        <v>0</v>
      </c>
      <c r="AS2">
        <f>BDH("LAD US Equity","CUR_MKT_CAP","1993-06-18","2026-05-02","Per=M","Days=T","Dir=V")</f>
        <v>0</v>
      </c>
      <c r="AU2">
        <f>BDH("LAD US Equity","EQY_SH_OUT","1993-06-18","2026-05-02","Per=M","Days=T","Dir=V")</f>
        <v>0</v>
      </c>
      <c r="AW2">
        <f>BDH("LAD US Equity","PX_VOLUME","1993-06-18","2026-05-02","Per=M","Days=T","Dir=V")</f>
        <v>0</v>
      </c>
      <c r="AY2">
        <f>BDH("LAD US Equity","TURNOVER","1993-06-18","2026-05-02","Per=M","Days=T","Dir=V")</f>
        <v>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BDH("LAKE US Equity","BS_TOT_ASSET","1993-06-18","2026-05-02","Per=Y","Days=T","Dir=V")</f>
        <v>0</v>
      </c>
      <c r="C2">
        <f>BDH("LAKE US Equity","BS_TOT_LIAB2","1993-06-18","2026-05-02","Per=Y","Days=T","Dir=V")</f>
        <v>0</v>
      </c>
      <c r="E2">
        <f>BDH("LAKE US Equity","SHORT_AND_LONG_TERM_DEBT","1993-06-18","2026-05-02","Per=Y","Days=T","Dir=V")</f>
        <v>0</v>
      </c>
      <c r="G2">
        <f>BDH("LAKE US Equity","BS_ST_BORROW","1993-06-18","2026-05-02","Per=Y","Days=T","Dir=V")</f>
        <v>0</v>
      </c>
      <c r="I2">
        <f>BDH("LAKE US Equity","BS_LT_BORROW","1993-06-18","2026-05-02","Per=Y","Days=T","Dir=V")</f>
        <v>0</v>
      </c>
      <c r="K2">
        <f>BDH("LAKE US Equity","BS_CASH_NEAR_CASH_ITEM","1993-06-18","2026-05-02","Per=Y","Days=T","Dir=V")</f>
        <v>0</v>
      </c>
      <c r="M2">
        <f>BDH("LAKE US Equity","BS_CUR_ASSET_REPORT","1993-06-18","2026-05-02","Per=Y","Days=T","Dir=V")</f>
        <v>0</v>
      </c>
      <c r="O2">
        <f>BDH("LAKE US Equity","BS_CUR_LIAB","1993-06-18","2026-05-02","Per=Y","Days=T","Dir=V")</f>
        <v>0</v>
      </c>
      <c r="Q2">
        <f>BDH("LAKE US Equity","BS_SHAREHOLDER_EQY_ENDING_PERIOD","1993-06-18","2026-05-02","Per=Y","Days=T","Dir=V")</f>
        <v>0</v>
      </c>
      <c r="S2">
        <f>BDH("LAKE US Equity","BS_ACCT_NOTE_RCV","1993-06-18","2026-05-02","Per=Y","Days=T","Dir=V")</f>
        <v>0</v>
      </c>
      <c r="U2">
        <f>BDH("LAKE US Equity","BS_INVENTORIES","1993-06-18","2026-05-02","Per=Y","Days=T","Dir=V")</f>
        <v>0</v>
      </c>
      <c r="W2">
        <f>BDH("LAKE US Equity","WORKING_CAPITAL","1993-06-18","2026-05-02","Per=Y","Days=T","Dir=V")</f>
        <v>0</v>
      </c>
      <c r="Y2">
        <f>BDH("LAKE US Equity","SALES_REV_TURN","1993-06-18","2026-05-02","Per=Y","Days=T","Dir=V")</f>
        <v>0</v>
      </c>
      <c r="AA2">
        <f>BDH("LAKE US Equity","EBIT","1993-06-18","2026-05-02","Per=Y","Days=T","Dir=V")</f>
        <v>0</v>
      </c>
      <c r="AC2">
        <f>BDH("LAKE US Equity","EBITDA","1993-06-18","2026-05-02","Per=Y","Days=T","Dir=V")</f>
        <v>0</v>
      </c>
      <c r="AE2">
        <f>BDH("LAKE US Equity","NET_INCOME","1993-06-18","2026-05-02","Per=Y","Days=T","Dir=V")</f>
        <v>0</v>
      </c>
      <c r="AG2">
        <f>BDH("LAKE US Equity","IS_INT_EXPENSE","1993-06-18","2026-05-02","Per=Y","Days=T","Dir=V")</f>
        <v>0</v>
      </c>
      <c r="AI2">
        <f>BDH("LAKE US Equity","IS_DEPR_EXP","1993-06-18","2026-05-02","Per=Y","Days=T","Dir=V")</f>
        <v>0</v>
      </c>
      <c r="AK2">
        <f>BDH("LAKE US Equity","CF_CASH_FROM_OPER","1993-06-18","2026-05-02","Per=Y","Days=T","Dir=V")</f>
        <v>0</v>
      </c>
      <c r="AM2">
        <f>BDH("LAKE US Equity","CAPITAL_EXPEND","1993-06-18","2026-05-02","Per=Y","Days=T","Dir=V")</f>
        <v>0</v>
      </c>
      <c r="AO2">
        <f>BDH("LAKE US Equity","CF_FREE_CASH_FLOW","1993-06-18","2026-05-02","Per=Y","Days=T","Dir=V")</f>
        <v>0</v>
      </c>
      <c r="AQ2">
        <f>BDH("LAKE US Equity","PX_LAST","1993-06-18","2026-05-02","Per=M","Days=T","Dir=V")</f>
        <v>0</v>
      </c>
      <c r="AS2">
        <f>BDH("LAKE US Equity","CUR_MKT_CAP","1993-06-18","2026-05-02","Per=M","Days=T","Dir=V")</f>
        <v>0</v>
      </c>
      <c r="AU2">
        <f>BDH("LAKE US Equity","EQY_SH_OUT","1993-06-18","2026-05-02","Per=M","Days=T","Dir=V")</f>
        <v>0</v>
      </c>
      <c r="AW2">
        <f>BDH("LAKE US Equity","PX_VOLUME","1993-06-18","2026-05-02","Per=M","Days=T","Dir=V")</f>
        <v>0</v>
      </c>
      <c r="AY2">
        <f>BDH("LAKE US Equity","TURNOVER","1993-06-18","2026-05-02","Per=M","Days=T","Dir=V")</f>
        <v>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BDH("LASR US Equity","BS_TOT_ASSET","1993-06-18","2026-05-02","Per=Y","Days=T","Dir=V")</f>
        <v>0</v>
      </c>
      <c r="C2">
        <f>BDH("LASR US Equity","BS_TOT_LIAB2","1993-06-18","2026-05-02","Per=Y","Days=T","Dir=V")</f>
        <v>0</v>
      </c>
      <c r="E2">
        <f>BDH("LASR US Equity","SHORT_AND_LONG_TERM_DEBT","1993-06-18","2026-05-02","Per=Y","Days=T","Dir=V")</f>
        <v>0</v>
      </c>
      <c r="G2">
        <f>BDH("LASR US Equity","BS_ST_BORROW","1993-06-18","2026-05-02","Per=Y","Days=T","Dir=V")</f>
        <v>0</v>
      </c>
      <c r="I2">
        <f>BDH("LASR US Equity","BS_LT_BORROW","1993-06-18","2026-05-02","Per=Y","Days=T","Dir=V")</f>
        <v>0</v>
      </c>
      <c r="K2">
        <f>BDH("LASR US Equity","BS_CASH_NEAR_CASH_ITEM","1993-06-18","2026-05-02","Per=Y","Days=T","Dir=V")</f>
        <v>0</v>
      </c>
      <c r="M2">
        <f>BDH("LASR US Equity","BS_CUR_ASSET_REPORT","1993-06-18","2026-05-02","Per=Y","Days=T","Dir=V")</f>
        <v>0</v>
      </c>
      <c r="O2">
        <f>BDH("LASR US Equity","BS_CUR_LIAB","1993-06-18","2026-05-02","Per=Y","Days=T","Dir=V")</f>
        <v>0</v>
      </c>
      <c r="Q2">
        <f>BDH("LASR US Equity","BS_SHAREHOLDER_EQY_ENDING_PERIOD","1993-06-18","2026-05-02","Per=Y","Days=T","Dir=V")</f>
        <v>0</v>
      </c>
      <c r="S2">
        <f>BDH("LASR US Equity","BS_ACCT_NOTE_RCV","1993-06-18","2026-05-02","Per=Y","Days=T","Dir=V")</f>
        <v>0</v>
      </c>
      <c r="U2">
        <f>BDH("LASR US Equity","BS_INVENTORIES","1993-06-18","2026-05-02","Per=Y","Days=T","Dir=V")</f>
        <v>0</v>
      </c>
      <c r="W2">
        <f>BDH("LASR US Equity","WORKING_CAPITAL","1993-06-18","2026-05-02","Per=Y","Days=T","Dir=V")</f>
        <v>0</v>
      </c>
      <c r="Y2">
        <f>BDH("LASR US Equity","SALES_REV_TURN","1993-06-18","2026-05-02","Per=Y","Days=T","Dir=V")</f>
        <v>0</v>
      </c>
      <c r="AA2">
        <f>BDH("LASR US Equity","EBIT","1993-06-18","2026-05-02","Per=Y","Days=T","Dir=V")</f>
        <v>0</v>
      </c>
      <c r="AC2">
        <f>BDH("LASR US Equity","EBITDA","1993-06-18","2026-05-02","Per=Y","Days=T","Dir=V")</f>
        <v>0</v>
      </c>
      <c r="AE2">
        <f>BDH("LASR US Equity","NET_INCOME","1993-06-18","2026-05-02","Per=Y","Days=T","Dir=V")</f>
        <v>0</v>
      </c>
      <c r="AG2">
        <f>BDH("LASR US Equity","IS_INT_EXPENSE","1993-06-18","2026-05-02","Per=Y","Days=T","Dir=V")</f>
        <v>0</v>
      </c>
      <c r="AI2">
        <f>BDH("LASR US Equity","IS_DEPR_EXP","1993-06-18","2026-05-02","Per=Y","Days=T","Dir=V")</f>
        <v>0</v>
      </c>
      <c r="AK2">
        <f>BDH("LASR US Equity","CF_CASH_FROM_OPER","1993-06-18","2026-05-02","Per=Y","Days=T","Dir=V")</f>
        <v>0</v>
      </c>
      <c r="AM2">
        <f>BDH("LASR US Equity","CAPITAL_EXPEND","1993-06-18","2026-05-02","Per=Y","Days=T","Dir=V")</f>
        <v>0</v>
      </c>
      <c r="AO2">
        <f>BDH("LASR US Equity","CF_FREE_CASH_FLOW","1993-06-18","2026-05-02","Per=Y","Days=T","Dir=V")</f>
        <v>0</v>
      </c>
      <c r="AQ2">
        <f>BDH("LASR US Equity","PX_LAST","1993-06-18","2026-05-02","Per=M","Days=T","Dir=V")</f>
        <v>0</v>
      </c>
      <c r="AS2">
        <f>BDH("LASR US Equity","CUR_MKT_CAP","1993-06-18","2026-05-02","Per=M","Days=T","Dir=V")</f>
        <v>0</v>
      </c>
      <c r="AU2">
        <f>BDH("LASR US Equity","EQY_SH_OUT","1993-06-18","2026-05-02","Per=M","Days=T","Dir=V")</f>
        <v>0</v>
      </c>
      <c r="AW2">
        <f>BDH("LASR US Equity","PX_VOLUME","1993-06-18","2026-05-02","Per=M","Days=T","Dir=V")</f>
        <v>0</v>
      </c>
      <c r="AY2">
        <f>BDH("LASR US Equity","TURNOVER","1993-06-18","2026-05-02","Per=M","Days=T","Dir=V")</f>
        <v>0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BDH("LAW US Equity","BS_TOT_ASSET","1993-06-18","2026-05-02","Per=Y","Days=T","Dir=V")</f>
        <v>0</v>
      </c>
      <c r="C2">
        <f>BDH("LAW US Equity","BS_TOT_LIAB2","1993-06-18","2026-05-02","Per=Y","Days=T","Dir=V")</f>
        <v>0</v>
      </c>
      <c r="E2">
        <f>BDH("LAW US Equity","SHORT_AND_LONG_TERM_DEBT","1993-06-18","2026-05-02","Per=Y","Days=T","Dir=V")</f>
        <v>0</v>
      </c>
      <c r="G2">
        <f>BDH("LAW US Equity","BS_ST_BORROW","1993-06-18","2026-05-02","Per=Y","Days=T","Dir=V")</f>
        <v>0</v>
      </c>
      <c r="I2">
        <f>BDH("LAW US Equity","BS_LT_BORROW","1993-06-18","2026-05-02","Per=Y","Days=T","Dir=V")</f>
        <v>0</v>
      </c>
      <c r="K2">
        <f>BDH("LAW US Equity","BS_CASH_NEAR_CASH_ITEM","1993-06-18","2026-05-02","Per=Y","Days=T","Dir=V")</f>
        <v>0</v>
      </c>
      <c r="M2">
        <f>BDH("LAW US Equity","BS_CUR_ASSET_REPORT","1993-06-18","2026-05-02","Per=Y","Days=T","Dir=V")</f>
        <v>0</v>
      </c>
      <c r="O2">
        <f>BDH("LAW US Equity","BS_CUR_LIAB","1993-06-18","2026-05-02","Per=Y","Days=T","Dir=V")</f>
        <v>0</v>
      </c>
      <c r="Q2">
        <f>BDH("LAW US Equity","BS_SHAREHOLDER_EQY_ENDING_PERIOD","1993-06-18","2026-05-02","Per=Y","Days=T","Dir=V")</f>
        <v>0</v>
      </c>
      <c r="S2">
        <f>BDH("LAW US Equity","BS_ACCT_NOTE_RCV","1993-06-18","2026-05-02","Per=Y","Days=T","Dir=V")</f>
        <v>0</v>
      </c>
      <c r="U2">
        <f>BDH("LAW US Equity","BS_INVENTORIES","1993-06-18","2026-05-02","Per=Y","Days=T","Dir=V")</f>
        <v>0</v>
      </c>
      <c r="W2">
        <f>BDH("LAW US Equity","WORKING_CAPITAL","1993-06-18","2026-05-02","Per=Y","Days=T","Dir=V")</f>
        <v>0</v>
      </c>
      <c r="Y2">
        <f>BDH("LAW US Equity","SALES_REV_TURN","1993-06-18","2026-05-02","Per=Y","Days=T","Dir=V")</f>
        <v>0</v>
      </c>
      <c r="AA2">
        <f>BDH("LAW US Equity","EBIT","1993-06-18","2026-05-02","Per=Y","Days=T","Dir=V")</f>
        <v>0</v>
      </c>
      <c r="AC2">
        <f>BDH("LAW US Equity","EBITDA","1993-06-18","2026-05-02","Per=Y","Days=T","Dir=V")</f>
        <v>0</v>
      </c>
      <c r="AE2">
        <f>BDH("LAW US Equity","NET_INCOME","1993-06-18","2026-05-02","Per=Y","Days=T","Dir=V")</f>
        <v>0</v>
      </c>
      <c r="AG2">
        <f>BDH("LAW US Equity","IS_INT_EXPENSE","1993-06-18","2026-05-02","Per=Y","Days=T","Dir=V")</f>
        <v>0</v>
      </c>
      <c r="AI2">
        <f>BDH("LAW US Equity","IS_DEPR_EXP","1993-06-18","2026-05-02","Per=Y","Days=T","Dir=V")</f>
        <v>0</v>
      </c>
      <c r="AK2">
        <f>BDH("LAW US Equity","CF_CASH_FROM_OPER","1993-06-18","2026-05-02","Per=Y","Days=T","Dir=V")</f>
        <v>0</v>
      </c>
      <c r="AM2">
        <f>BDH("LAW US Equity","CAPITAL_EXPEND","1993-06-18","2026-05-02","Per=Y","Days=T","Dir=V")</f>
        <v>0</v>
      </c>
      <c r="AO2">
        <f>BDH("LAW US Equity","CF_FREE_CASH_FLOW","1993-06-18","2026-05-02","Per=Y","Days=T","Dir=V")</f>
        <v>0</v>
      </c>
      <c r="AQ2">
        <f>BDH("LAW US Equity","PX_LAST","1993-06-18","2026-05-02","Per=M","Days=T","Dir=V")</f>
        <v>0</v>
      </c>
      <c r="AS2">
        <f>BDH("LAW US Equity","CUR_MKT_CAP","1993-06-18","2026-05-02","Per=M","Days=T","Dir=V")</f>
        <v>0</v>
      </c>
      <c r="AU2">
        <f>BDH("LAW US Equity","EQY_SH_OUT","1993-06-18","2026-05-02","Per=M","Days=T","Dir=V")</f>
        <v>0</v>
      </c>
      <c r="AW2">
        <f>BDH("LAW US Equity","PX_VOLUME","1993-06-18","2026-05-02","Per=M","Days=T","Dir=V")</f>
        <v>0</v>
      </c>
      <c r="AY2">
        <f>BDH("LAW US Equity","TURNOVER","1993-06-18","2026-05-02","Per=M","Days=T","Dir=V")</f>
        <v>0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BDH("LBRT US Equity","BS_TOT_ASSET","1993-06-18","2026-05-02","Per=Y","Days=T","Dir=V")</f>
        <v>0</v>
      </c>
      <c r="C2">
        <f>BDH("LBRT US Equity","BS_TOT_LIAB2","1993-06-18","2026-05-02","Per=Y","Days=T","Dir=V")</f>
        <v>0</v>
      </c>
      <c r="E2">
        <f>BDH("LBRT US Equity","SHORT_AND_LONG_TERM_DEBT","1993-06-18","2026-05-02","Per=Y","Days=T","Dir=V")</f>
        <v>0</v>
      </c>
      <c r="G2">
        <f>BDH("LBRT US Equity","BS_ST_BORROW","1993-06-18","2026-05-02","Per=Y","Days=T","Dir=V")</f>
        <v>0</v>
      </c>
      <c r="I2">
        <f>BDH("LBRT US Equity","BS_LT_BORROW","1993-06-18","2026-05-02","Per=Y","Days=T","Dir=V")</f>
        <v>0</v>
      </c>
      <c r="K2">
        <f>BDH("LBRT US Equity","BS_CASH_NEAR_CASH_ITEM","1993-06-18","2026-05-02","Per=Y","Days=T","Dir=V")</f>
        <v>0</v>
      </c>
      <c r="M2">
        <f>BDH("LBRT US Equity","BS_CUR_ASSET_REPORT","1993-06-18","2026-05-02","Per=Y","Days=T","Dir=V")</f>
        <v>0</v>
      </c>
      <c r="O2">
        <f>BDH("LBRT US Equity","BS_CUR_LIAB","1993-06-18","2026-05-02","Per=Y","Days=T","Dir=V")</f>
        <v>0</v>
      </c>
      <c r="Q2">
        <f>BDH("LBRT US Equity","BS_SHAREHOLDER_EQY_ENDING_PERIOD","1993-06-18","2026-05-02","Per=Y","Days=T","Dir=V")</f>
        <v>0</v>
      </c>
      <c r="S2">
        <f>BDH("LBRT US Equity","BS_ACCT_NOTE_RCV","1993-06-18","2026-05-02","Per=Y","Days=T","Dir=V")</f>
        <v>0</v>
      </c>
      <c r="U2">
        <f>BDH("LBRT US Equity","BS_INVENTORIES","1993-06-18","2026-05-02","Per=Y","Days=T","Dir=V")</f>
        <v>0</v>
      </c>
      <c r="W2">
        <f>BDH("LBRT US Equity","WORKING_CAPITAL","1993-06-18","2026-05-02","Per=Y","Days=T","Dir=V")</f>
        <v>0</v>
      </c>
      <c r="Y2">
        <f>BDH("LBRT US Equity","SALES_REV_TURN","1993-06-18","2026-05-02","Per=Y","Days=T","Dir=V")</f>
        <v>0</v>
      </c>
      <c r="AA2">
        <f>BDH("LBRT US Equity","EBIT","1993-06-18","2026-05-02","Per=Y","Days=T","Dir=V")</f>
        <v>0</v>
      </c>
      <c r="AC2">
        <f>BDH("LBRT US Equity","EBITDA","1993-06-18","2026-05-02","Per=Y","Days=T","Dir=V")</f>
        <v>0</v>
      </c>
      <c r="AE2">
        <f>BDH("LBRT US Equity","NET_INCOME","1993-06-18","2026-05-02","Per=Y","Days=T","Dir=V")</f>
        <v>0</v>
      </c>
      <c r="AG2">
        <f>BDH("LBRT US Equity","IS_INT_EXPENSE","1993-06-18","2026-05-02","Per=Y","Days=T","Dir=V")</f>
        <v>0</v>
      </c>
      <c r="AI2">
        <f>BDH("LBRT US Equity","IS_DEPR_EXP","1993-06-18","2026-05-02","Per=Y","Days=T","Dir=V")</f>
        <v>0</v>
      </c>
      <c r="AK2">
        <f>BDH("LBRT US Equity","CF_CASH_FROM_OPER","1993-06-18","2026-05-02","Per=Y","Days=T","Dir=V")</f>
        <v>0</v>
      </c>
      <c r="AM2">
        <f>BDH("LBRT US Equity","CAPITAL_EXPEND","1993-06-18","2026-05-02","Per=Y","Days=T","Dir=V")</f>
        <v>0</v>
      </c>
      <c r="AO2">
        <f>BDH("LBRT US Equity","CF_FREE_CASH_FLOW","1993-06-18","2026-05-02","Per=Y","Days=T","Dir=V")</f>
        <v>0</v>
      </c>
      <c r="AQ2">
        <f>BDH("LBRT US Equity","PX_LAST","1993-06-18","2026-05-02","Per=M","Days=T","Dir=V")</f>
        <v>0</v>
      </c>
      <c r="AS2">
        <f>BDH("LBRT US Equity","CUR_MKT_CAP","1993-06-18","2026-05-02","Per=M","Days=T","Dir=V")</f>
        <v>0</v>
      </c>
      <c r="AU2">
        <f>BDH("LBRT US Equity","EQY_SH_OUT","1993-06-18","2026-05-02","Per=M","Days=T","Dir=V")</f>
        <v>0</v>
      </c>
      <c r="AW2">
        <f>BDH("LBRT US Equity","PX_VOLUME","1993-06-18","2026-05-02","Per=M","Days=T","Dir=V")</f>
        <v>0</v>
      </c>
      <c r="AY2">
        <f>BDH("LBRT US Equity","TURNOVER","1993-06-18","2026-05-02","Per=M","Days=T","Dir=V")</f>
        <v>0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BDH("LBRX US Equity","BS_TOT_ASSET","1993-06-18","2026-05-02","Per=Y","Days=T","Dir=V")</f>
        <v>0</v>
      </c>
      <c r="C2">
        <f>BDH("LBRX US Equity","BS_TOT_LIAB2","1993-06-18","2026-05-02","Per=Y","Days=T","Dir=V")</f>
        <v>0</v>
      </c>
      <c r="E2">
        <f>BDH("LBRX US Equity","SHORT_AND_LONG_TERM_DEBT","1993-06-18","2026-05-02","Per=Y","Days=T","Dir=V")</f>
        <v>0</v>
      </c>
      <c r="G2">
        <f>BDH("LBRX US Equity","BS_ST_BORROW","1993-06-18","2026-05-02","Per=Y","Days=T","Dir=V")</f>
        <v>0</v>
      </c>
      <c r="I2">
        <f>BDH("LBRX US Equity","BS_LT_BORROW","1993-06-18","2026-05-02","Per=Y","Days=T","Dir=V")</f>
        <v>0</v>
      </c>
      <c r="K2">
        <f>BDH("LBRX US Equity","BS_CASH_NEAR_CASH_ITEM","1993-06-18","2026-05-02","Per=Y","Days=T","Dir=V")</f>
        <v>0</v>
      </c>
      <c r="M2">
        <f>BDH("LBRX US Equity","BS_CUR_ASSET_REPORT","1993-06-18","2026-05-02","Per=Y","Days=T","Dir=V")</f>
        <v>0</v>
      </c>
      <c r="O2">
        <f>BDH("LBRX US Equity","BS_CUR_LIAB","1993-06-18","2026-05-02","Per=Y","Days=T","Dir=V")</f>
        <v>0</v>
      </c>
      <c r="Q2">
        <f>BDH("LBRX US Equity","BS_SHAREHOLDER_EQY_ENDING_PERIOD","1993-06-18","2026-05-02","Per=Y","Days=T","Dir=V")</f>
        <v>0</v>
      </c>
      <c r="S2">
        <f>BDH("LBRX US Equity","BS_ACCT_NOTE_RCV","1993-06-18","2026-05-02","Per=Y","Days=T","Dir=V")</f>
        <v>0</v>
      </c>
      <c r="U2">
        <f>BDH("LBRX US Equity","BS_INVENTORIES","1993-06-18","2026-05-02","Per=Y","Days=T","Dir=V")</f>
        <v>0</v>
      </c>
      <c r="W2">
        <f>BDH("LBRX US Equity","WORKING_CAPITAL","1993-06-18","2026-05-02","Per=Y","Days=T","Dir=V")</f>
        <v>0</v>
      </c>
      <c r="Y2">
        <f>BDH("LBRX US Equity","SALES_REV_TURN","1993-06-18","2026-05-02","Per=Y","Days=T","Dir=V")</f>
        <v>0</v>
      </c>
      <c r="AA2">
        <f>BDH("LBRX US Equity","EBIT","1993-06-18","2026-05-02","Per=Y","Days=T","Dir=V")</f>
        <v>0</v>
      </c>
      <c r="AC2">
        <f>BDH("LBRX US Equity","EBITDA","1993-06-18","2026-05-02","Per=Y","Days=T","Dir=V")</f>
        <v>0</v>
      </c>
      <c r="AE2">
        <f>BDH("LBRX US Equity","NET_INCOME","1993-06-18","2026-05-02","Per=Y","Days=T","Dir=V")</f>
        <v>0</v>
      </c>
      <c r="AG2">
        <f>BDH("LBRX US Equity","IS_INT_EXPENSE","1993-06-18","2026-05-02","Per=Y","Days=T","Dir=V")</f>
        <v>0</v>
      </c>
      <c r="AI2">
        <f>BDH("LBRX US Equity","IS_DEPR_EXP","1993-06-18","2026-05-02","Per=Y","Days=T","Dir=V")</f>
        <v>0</v>
      </c>
      <c r="AK2">
        <f>BDH("LBRX US Equity","CF_CASH_FROM_OPER","1993-06-18","2026-05-02","Per=Y","Days=T","Dir=V")</f>
        <v>0</v>
      </c>
      <c r="AM2">
        <f>BDH("LBRX US Equity","CAPITAL_EXPEND","1993-06-18","2026-05-02","Per=Y","Days=T","Dir=V")</f>
        <v>0</v>
      </c>
      <c r="AO2">
        <f>BDH("LBRX US Equity","CF_FREE_CASH_FLOW","1993-06-18","2026-05-02","Per=Y","Days=T","Dir=V")</f>
        <v>0</v>
      </c>
      <c r="AQ2">
        <f>BDH("LBRX US Equity","PX_LAST","1993-06-18","2026-05-02","Per=M","Days=T","Dir=V")</f>
        <v>0</v>
      </c>
      <c r="AS2">
        <f>BDH("LBRX US Equity","CUR_MKT_CAP","1993-06-18","2026-05-02","Per=M","Days=T","Dir=V")</f>
        <v>0</v>
      </c>
      <c r="AU2">
        <f>BDH("LBRX US Equity","EQY_SH_OUT","1993-06-18","2026-05-02","Per=M","Days=T","Dir=V")</f>
        <v>0</v>
      </c>
      <c r="AW2">
        <f>BDH("LBRX US Equity","PX_VOLUME","1993-06-18","2026-05-02","Per=M","Days=T","Dir=V")</f>
        <v>0</v>
      </c>
      <c r="AY2">
        <f>BDH("LBRX US Equity","TURNOVER","1993-06-18","2026-05-02","Per=M","Days=T","Dir=V")</f>
        <v>0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BDH("LCID US Equity","BS_TOT_ASSET","1993-06-18","2026-05-02","Per=Y","Days=T","Dir=V")</f>
        <v>0</v>
      </c>
      <c r="C2">
        <f>BDH("LCID US Equity","BS_TOT_LIAB2","1993-06-18","2026-05-02","Per=Y","Days=T","Dir=V")</f>
        <v>0</v>
      </c>
      <c r="E2">
        <f>BDH("LCID US Equity","SHORT_AND_LONG_TERM_DEBT","1993-06-18","2026-05-02","Per=Y","Days=T","Dir=V")</f>
        <v>0</v>
      </c>
      <c r="G2">
        <f>BDH("LCID US Equity","BS_ST_BORROW","1993-06-18","2026-05-02","Per=Y","Days=T","Dir=V")</f>
        <v>0</v>
      </c>
      <c r="I2">
        <f>BDH("LCID US Equity","BS_LT_BORROW","1993-06-18","2026-05-02","Per=Y","Days=T","Dir=V")</f>
        <v>0</v>
      </c>
      <c r="K2">
        <f>BDH("LCID US Equity","BS_CASH_NEAR_CASH_ITEM","1993-06-18","2026-05-02","Per=Y","Days=T","Dir=V")</f>
        <v>0</v>
      </c>
      <c r="M2">
        <f>BDH("LCID US Equity","BS_CUR_ASSET_REPORT","1993-06-18","2026-05-02","Per=Y","Days=T","Dir=V")</f>
        <v>0</v>
      </c>
      <c r="O2">
        <f>BDH("LCID US Equity","BS_CUR_LIAB","1993-06-18","2026-05-02","Per=Y","Days=T","Dir=V")</f>
        <v>0</v>
      </c>
      <c r="Q2">
        <f>BDH("LCID US Equity","BS_SHAREHOLDER_EQY_ENDING_PERIOD","1993-06-18","2026-05-02","Per=Y","Days=T","Dir=V")</f>
        <v>0</v>
      </c>
      <c r="S2">
        <f>BDH("LCID US Equity","BS_ACCT_NOTE_RCV","1993-06-18","2026-05-02","Per=Y","Days=T","Dir=V")</f>
        <v>0</v>
      </c>
      <c r="U2">
        <f>BDH("LCID US Equity","BS_INVENTORIES","1993-06-18","2026-05-02","Per=Y","Days=T","Dir=V")</f>
        <v>0</v>
      </c>
      <c r="W2">
        <f>BDH("LCID US Equity","WORKING_CAPITAL","1993-06-18","2026-05-02","Per=Y","Days=T","Dir=V")</f>
        <v>0</v>
      </c>
      <c r="Y2">
        <f>BDH("LCID US Equity","SALES_REV_TURN","1993-06-18","2026-05-02","Per=Y","Days=T","Dir=V")</f>
        <v>0</v>
      </c>
      <c r="AA2">
        <f>BDH("LCID US Equity","EBIT","1993-06-18","2026-05-02","Per=Y","Days=T","Dir=V")</f>
        <v>0</v>
      </c>
      <c r="AC2">
        <f>BDH("LCID US Equity","EBITDA","1993-06-18","2026-05-02","Per=Y","Days=T","Dir=V")</f>
        <v>0</v>
      </c>
      <c r="AE2">
        <f>BDH("LCID US Equity","NET_INCOME","1993-06-18","2026-05-02","Per=Y","Days=T","Dir=V")</f>
        <v>0</v>
      </c>
      <c r="AG2">
        <f>BDH("LCID US Equity","IS_INT_EXPENSE","1993-06-18","2026-05-02","Per=Y","Days=T","Dir=V")</f>
        <v>0</v>
      </c>
      <c r="AI2">
        <f>BDH("LCID US Equity","IS_DEPR_EXP","1993-06-18","2026-05-02","Per=Y","Days=T","Dir=V")</f>
        <v>0</v>
      </c>
      <c r="AK2">
        <f>BDH("LCID US Equity","CF_CASH_FROM_OPER","1993-06-18","2026-05-02","Per=Y","Days=T","Dir=V")</f>
        <v>0</v>
      </c>
      <c r="AM2">
        <f>BDH("LCID US Equity","CAPITAL_EXPEND","1993-06-18","2026-05-02","Per=Y","Days=T","Dir=V")</f>
        <v>0</v>
      </c>
      <c r="AO2">
        <f>BDH("LCID US Equity","CF_FREE_CASH_FLOW","1993-06-18","2026-05-02","Per=Y","Days=T","Dir=V")</f>
        <v>0</v>
      </c>
      <c r="AQ2">
        <f>BDH("LCID US Equity","PX_LAST","1993-06-18","2026-05-02","Per=M","Days=T","Dir=V")</f>
        <v>0</v>
      </c>
      <c r="AS2">
        <f>BDH("LCID US Equity","CUR_MKT_CAP","1993-06-18","2026-05-02","Per=M","Days=T","Dir=V")</f>
        <v>0</v>
      </c>
      <c r="AU2">
        <f>BDH("LCID US Equity","EQY_SH_OUT","1993-06-18","2026-05-02","Per=M","Days=T","Dir=V")</f>
        <v>0</v>
      </c>
      <c r="AW2">
        <f>BDH("LCID US Equity","PX_VOLUME","1993-06-18","2026-05-02","Per=M","Days=T","Dir=V")</f>
        <v>0</v>
      </c>
      <c r="AY2">
        <f>BDH("LCID US Equity","TURNOVER","1993-06-18","2026-05-02","Per=M","Days=T","Dir=V")</f>
        <v>0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BDH("LCII US Equity","BS_TOT_ASSET","1993-06-18","2026-05-02","Per=Y","Days=T","Dir=V")</f>
        <v>0</v>
      </c>
      <c r="C2">
        <f>BDH("LCII US Equity","BS_TOT_LIAB2","1993-06-18","2026-05-02","Per=Y","Days=T","Dir=V")</f>
        <v>0</v>
      </c>
      <c r="E2">
        <f>BDH("LCII US Equity","SHORT_AND_LONG_TERM_DEBT","1993-06-18","2026-05-02","Per=Y","Days=T","Dir=V")</f>
        <v>0</v>
      </c>
      <c r="G2">
        <f>BDH("LCII US Equity","BS_ST_BORROW","1993-06-18","2026-05-02","Per=Y","Days=T","Dir=V")</f>
        <v>0</v>
      </c>
      <c r="I2">
        <f>BDH("LCII US Equity","BS_LT_BORROW","1993-06-18","2026-05-02","Per=Y","Days=T","Dir=V")</f>
        <v>0</v>
      </c>
      <c r="K2">
        <f>BDH("LCII US Equity","BS_CASH_NEAR_CASH_ITEM","1993-06-18","2026-05-02","Per=Y","Days=T","Dir=V")</f>
        <v>0</v>
      </c>
      <c r="M2">
        <f>BDH("LCII US Equity","BS_CUR_ASSET_REPORT","1993-06-18","2026-05-02","Per=Y","Days=T","Dir=V")</f>
        <v>0</v>
      </c>
      <c r="O2">
        <f>BDH("LCII US Equity","BS_CUR_LIAB","1993-06-18","2026-05-02","Per=Y","Days=T","Dir=V")</f>
        <v>0</v>
      </c>
      <c r="Q2">
        <f>BDH("LCII US Equity","BS_SHAREHOLDER_EQY_ENDING_PERIOD","1993-06-18","2026-05-02","Per=Y","Days=T","Dir=V")</f>
        <v>0</v>
      </c>
      <c r="S2">
        <f>BDH("LCII US Equity","BS_ACCT_NOTE_RCV","1993-06-18","2026-05-02","Per=Y","Days=T","Dir=V")</f>
        <v>0</v>
      </c>
      <c r="U2">
        <f>BDH("LCII US Equity","BS_INVENTORIES","1993-06-18","2026-05-02","Per=Y","Days=T","Dir=V")</f>
        <v>0</v>
      </c>
      <c r="W2">
        <f>BDH("LCII US Equity","WORKING_CAPITAL","1993-06-18","2026-05-02","Per=Y","Days=T","Dir=V")</f>
        <v>0</v>
      </c>
      <c r="Y2">
        <f>BDH("LCII US Equity","SALES_REV_TURN","1993-06-18","2026-05-02","Per=Y","Days=T","Dir=V")</f>
        <v>0</v>
      </c>
      <c r="AA2">
        <f>BDH("LCII US Equity","EBIT","1993-06-18","2026-05-02","Per=Y","Days=T","Dir=V")</f>
        <v>0</v>
      </c>
      <c r="AC2">
        <f>BDH("LCII US Equity","EBITDA","1993-06-18","2026-05-02","Per=Y","Days=T","Dir=V")</f>
        <v>0</v>
      </c>
      <c r="AE2">
        <f>BDH("LCII US Equity","NET_INCOME","1993-06-18","2026-05-02","Per=Y","Days=T","Dir=V")</f>
        <v>0</v>
      </c>
      <c r="AG2">
        <f>BDH("LCII US Equity","IS_INT_EXPENSE","1993-06-18","2026-05-02","Per=Y","Days=T","Dir=V")</f>
        <v>0</v>
      </c>
      <c r="AI2">
        <f>BDH("LCII US Equity","IS_DEPR_EXP","1993-06-18","2026-05-02","Per=Y","Days=T","Dir=V")</f>
        <v>0</v>
      </c>
      <c r="AK2">
        <f>BDH("LCII US Equity","CF_CASH_FROM_OPER","1993-06-18","2026-05-02","Per=Y","Days=T","Dir=V")</f>
        <v>0</v>
      </c>
      <c r="AM2">
        <f>BDH("LCII US Equity","CAPITAL_EXPEND","1993-06-18","2026-05-02","Per=Y","Days=T","Dir=V")</f>
        <v>0</v>
      </c>
      <c r="AO2">
        <f>BDH("LCII US Equity","CF_FREE_CASH_FLOW","1993-06-18","2026-05-02","Per=Y","Days=T","Dir=V")</f>
        <v>0</v>
      </c>
      <c r="AQ2">
        <f>BDH("LCII US Equity","PX_LAST","1993-06-18","2026-05-02","Per=M","Days=T","Dir=V")</f>
        <v>0</v>
      </c>
      <c r="AS2">
        <f>BDH("LCII US Equity","CUR_MKT_CAP","1993-06-18","2026-05-02","Per=M","Days=T","Dir=V")</f>
        <v>0</v>
      </c>
      <c r="AU2">
        <f>BDH("LCII US Equity","EQY_SH_OUT","1993-06-18","2026-05-02","Per=M","Days=T","Dir=V")</f>
        <v>0</v>
      </c>
      <c r="AW2">
        <f>BDH("LCII US Equity","PX_VOLUME","1993-06-18","2026-05-02","Per=M","Days=T","Dir=V")</f>
        <v>0</v>
      </c>
      <c r="AY2">
        <f>BDH("LCII US Equity","TURNOVER","1993-06-18","2026-05-02","Per=M","Days=T","Dir=V")</f>
        <v>0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BDH("LCTX US Equity","BS_TOT_ASSET","1993-06-18","2026-05-02","Per=Y","Days=T","Dir=V")</f>
        <v>0</v>
      </c>
      <c r="C2">
        <f>BDH("LCTX US Equity","BS_TOT_LIAB2","1993-06-18","2026-05-02","Per=Y","Days=T","Dir=V")</f>
        <v>0</v>
      </c>
      <c r="E2">
        <f>BDH("LCTX US Equity","SHORT_AND_LONG_TERM_DEBT","1993-06-18","2026-05-02","Per=Y","Days=T","Dir=V")</f>
        <v>0</v>
      </c>
      <c r="G2">
        <f>BDH("LCTX US Equity","BS_ST_BORROW","1993-06-18","2026-05-02","Per=Y","Days=T","Dir=V")</f>
        <v>0</v>
      </c>
      <c r="I2">
        <f>BDH("LCTX US Equity","BS_LT_BORROW","1993-06-18","2026-05-02","Per=Y","Days=T","Dir=V")</f>
        <v>0</v>
      </c>
      <c r="K2">
        <f>BDH("LCTX US Equity","BS_CASH_NEAR_CASH_ITEM","1993-06-18","2026-05-02","Per=Y","Days=T","Dir=V")</f>
        <v>0</v>
      </c>
      <c r="M2">
        <f>BDH("LCTX US Equity","BS_CUR_ASSET_REPORT","1993-06-18","2026-05-02","Per=Y","Days=T","Dir=V")</f>
        <v>0</v>
      </c>
      <c r="O2">
        <f>BDH("LCTX US Equity","BS_CUR_LIAB","1993-06-18","2026-05-02","Per=Y","Days=T","Dir=V")</f>
        <v>0</v>
      </c>
      <c r="Q2">
        <f>BDH("LCTX US Equity","BS_SHAREHOLDER_EQY_ENDING_PERIOD","1993-06-18","2026-05-02","Per=Y","Days=T","Dir=V")</f>
        <v>0</v>
      </c>
      <c r="S2">
        <f>BDH("LCTX US Equity","BS_ACCT_NOTE_RCV","1993-06-18","2026-05-02","Per=Y","Days=T","Dir=V")</f>
        <v>0</v>
      </c>
      <c r="U2">
        <f>BDH("LCTX US Equity","BS_INVENTORIES","1993-06-18","2026-05-02","Per=Y","Days=T","Dir=V")</f>
        <v>0</v>
      </c>
      <c r="W2">
        <f>BDH("LCTX US Equity","WORKING_CAPITAL","1993-06-18","2026-05-02","Per=Y","Days=T","Dir=V")</f>
        <v>0</v>
      </c>
      <c r="Y2">
        <f>BDH("LCTX US Equity","SALES_REV_TURN","1993-06-18","2026-05-02","Per=Y","Days=T","Dir=V")</f>
        <v>0</v>
      </c>
      <c r="AA2">
        <f>BDH("LCTX US Equity","EBIT","1993-06-18","2026-05-02","Per=Y","Days=T","Dir=V")</f>
        <v>0</v>
      </c>
      <c r="AC2">
        <f>BDH("LCTX US Equity","EBITDA","1993-06-18","2026-05-02","Per=Y","Days=T","Dir=V")</f>
        <v>0</v>
      </c>
      <c r="AE2">
        <f>BDH("LCTX US Equity","NET_INCOME","1993-06-18","2026-05-02","Per=Y","Days=T","Dir=V")</f>
        <v>0</v>
      </c>
      <c r="AG2">
        <f>BDH("LCTX US Equity","IS_INT_EXPENSE","1993-06-18","2026-05-02","Per=Y","Days=T","Dir=V")</f>
        <v>0</v>
      </c>
      <c r="AI2">
        <f>BDH("LCTX US Equity","IS_DEPR_EXP","1993-06-18","2026-05-02","Per=Y","Days=T","Dir=V")</f>
        <v>0</v>
      </c>
      <c r="AK2">
        <f>BDH("LCTX US Equity","CF_CASH_FROM_OPER","1993-06-18","2026-05-02","Per=Y","Days=T","Dir=V")</f>
        <v>0</v>
      </c>
      <c r="AM2">
        <f>BDH("LCTX US Equity","CAPITAL_EXPEND","1993-06-18","2026-05-02","Per=Y","Days=T","Dir=V")</f>
        <v>0</v>
      </c>
      <c r="AO2">
        <f>BDH("LCTX US Equity","CF_FREE_CASH_FLOW","1993-06-18","2026-05-02","Per=Y","Days=T","Dir=V")</f>
        <v>0</v>
      </c>
      <c r="AQ2">
        <f>BDH("LCTX US Equity","PX_LAST","1993-06-18","2026-05-02","Per=M","Days=T","Dir=V")</f>
        <v>0</v>
      </c>
      <c r="AS2">
        <f>BDH("LCTX US Equity","CUR_MKT_CAP","1993-06-18","2026-05-02","Per=M","Days=T","Dir=V")</f>
        <v>0</v>
      </c>
      <c r="AU2">
        <f>BDH("LCTX US Equity","EQY_SH_OUT","1993-06-18","2026-05-02","Per=M","Days=T","Dir=V")</f>
        <v>0</v>
      </c>
      <c r="AW2">
        <f>BDH("LCTX US Equity","PX_VOLUME","1993-06-18","2026-05-02","Per=M","Days=T","Dir=V")</f>
        <v>0</v>
      </c>
      <c r="AY2">
        <f>BDH("LCTX US Equity","TURNOVER","1993-06-18","2026-05-02","Per=M","Days=T","Dir=V")</f>
        <v>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BDH("LCUT US Equity","BS_TOT_ASSET","1993-06-18","2026-05-02","Per=Y","Days=T","Dir=V")</f>
        <v>0</v>
      </c>
      <c r="C2">
        <f>BDH("LCUT US Equity","BS_TOT_LIAB2","1993-06-18","2026-05-02","Per=Y","Days=T","Dir=V")</f>
        <v>0</v>
      </c>
      <c r="E2">
        <f>BDH("LCUT US Equity","SHORT_AND_LONG_TERM_DEBT","1993-06-18","2026-05-02","Per=Y","Days=T","Dir=V")</f>
        <v>0</v>
      </c>
      <c r="G2">
        <f>BDH("LCUT US Equity","BS_ST_BORROW","1993-06-18","2026-05-02","Per=Y","Days=T","Dir=V")</f>
        <v>0</v>
      </c>
      <c r="I2">
        <f>BDH("LCUT US Equity","BS_LT_BORROW","1993-06-18","2026-05-02","Per=Y","Days=T","Dir=V")</f>
        <v>0</v>
      </c>
      <c r="K2">
        <f>BDH("LCUT US Equity","BS_CASH_NEAR_CASH_ITEM","1993-06-18","2026-05-02","Per=Y","Days=T","Dir=V")</f>
        <v>0</v>
      </c>
      <c r="M2">
        <f>BDH("LCUT US Equity","BS_CUR_ASSET_REPORT","1993-06-18","2026-05-02","Per=Y","Days=T","Dir=V")</f>
        <v>0</v>
      </c>
      <c r="O2">
        <f>BDH("LCUT US Equity","BS_CUR_LIAB","1993-06-18","2026-05-02","Per=Y","Days=T","Dir=V")</f>
        <v>0</v>
      </c>
      <c r="Q2">
        <f>BDH("LCUT US Equity","BS_SHAREHOLDER_EQY_ENDING_PERIOD","1993-06-18","2026-05-02","Per=Y","Days=T","Dir=V")</f>
        <v>0</v>
      </c>
      <c r="S2">
        <f>BDH("LCUT US Equity","BS_ACCT_NOTE_RCV","1993-06-18","2026-05-02","Per=Y","Days=T","Dir=V")</f>
        <v>0</v>
      </c>
      <c r="U2">
        <f>BDH("LCUT US Equity","BS_INVENTORIES","1993-06-18","2026-05-02","Per=Y","Days=T","Dir=V")</f>
        <v>0</v>
      </c>
      <c r="W2">
        <f>BDH("LCUT US Equity","WORKING_CAPITAL","1993-06-18","2026-05-02","Per=Y","Days=T","Dir=V")</f>
        <v>0</v>
      </c>
      <c r="Y2">
        <f>BDH("LCUT US Equity","SALES_REV_TURN","1993-06-18","2026-05-02","Per=Y","Days=T","Dir=V")</f>
        <v>0</v>
      </c>
      <c r="AA2">
        <f>BDH("LCUT US Equity","EBIT","1993-06-18","2026-05-02","Per=Y","Days=T","Dir=V")</f>
        <v>0</v>
      </c>
      <c r="AC2">
        <f>BDH("LCUT US Equity","EBITDA","1993-06-18","2026-05-02","Per=Y","Days=T","Dir=V")</f>
        <v>0</v>
      </c>
      <c r="AE2">
        <f>BDH("LCUT US Equity","NET_INCOME","1993-06-18","2026-05-02","Per=Y","Days=T","Dir=V")</f>
        <v>0</v>
      </c>
      <c r="AG2">
        <f>BDH("LCUT US Equity","IS_INT_EXPENSE","1993-06-18","2026-05-02","Per=Y","Days=T","Dir=V")</f>
        <v>0</v>
      </c>
      <c r="AI2">
        <f>BDH("LCUT US Equity","IS_DEPR_EXP","1993-06-18","2026-05-02","Per=Y","Days=T","Dir=V")</f>
        <v>0</v>
      </c>
      <c r="AK2">
        <f>BDH("LCUT US Equity","CF_CASH_FROM_OPER","1993-06-18","2026-05-02","Per=Y","Days=T","Dir=V")</f>
        <v>0</v>
      </c>
      <c r="AM2">
        <f>BDH("LCUT US Equity","CAPITAL_EXPEND","1993-06-18","2026-05-02","Per=Y","Days=T","Dir=V")</f>
        <v>0</v>
      </c>
      <c r="AO2">
        <f>BDH("LCUT US Equity","CF_FREE_CASH_FLOW","1993-06-18","2026-05-02","Per=Y","Days=T","Dir=V")</f>
        <v>0</v>
      </c>
      <c r="AQ2">
        <f>BDH("LCUT US Equity","PX_LAST","1993-06-18","2026-05-02","Per=M","Days=T","Dir=V")</f>
        <v>0</v>
      </c>
      <c r="AS2">
        <f>BDH("LCUT US Equity","CUR_MKT_CAP","1993-06-18","2026-05-02","Per=M","Days=T","Dir=V")</f>
        <v>0</v>
      </c>
      <c r="AU2">
        <f>BDH("LCUT US Equity","EQY_SH_OUT","1993-06-18","2026-05-02","Per=M","Days=T","Dir=V")</f>
        <v>0</v>
      </c>
      <c r="AW2">
        <f>BDH("LCUT US Equity","PX_VOLUME","1993-06-18","2026-05-02","Per=M","Days=T","Dir=V")</f>
        <v>0</v>
      </c>
      <c r="AY2">
        <f>BDH("LCUT US Equity","TURNOVER","1993-06-18","2026-05-02","Per=M","Days=T","Dir=V")</f>
        <v>0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BDH("LDOS US Equity","BS_TOT_ASSET","1993-06-18","2026-05-02","Per=Y","Days=T","Dir=V")</f>
        <v>0</v>
      </c>
      <c r="C2">
        <f>BDH("LDOS US Equity","BS_TOT_LIAB2","1993-06-18","2026-05-02","Per=Y","Days=T","Dir=V")</f>
        <v>0</v>
      </c>
      <c r="E2">
        <f>BDH("LDOS US Equity","SHORT_AND_LONG_TERM_DEBT","1993-06-18","2026-05-02","Per=Y","Days=T","Dir=V")</f>
        <v>0</v>
      </c>
      <c r="G2">
        <f>BDH("LDOS US Equity","BS_ST_BORROW","1993-06-18","2026-05-02","Per=Y","Days=T","Dir=V")</f>
        <v>0</v>
      </c>
      <c r="I2">
        <f>BDH("LDOS US Equity","BS_LT_BORROW","1993-06-18","2026-05-02","Per=Y","Days=T","Dir=V")</f>
        <v>0</v>
      </c>
      <c r="K2">
        <f>BDH("LDOS US Equity","BS_CASH_NEAR_CASH_ITEM","1993-06-18","2026-05-02","Per=Y","Days=T","Dir=V")</f>
        <v>0</v>
      </c>
      <c r="M2">
        <f>BDH("LDOS US Equity","BS_CUR_ASSET_REPORT","1993-06-18","2026-05-02","Per=Y","Days=T","Dir=V")</f>
        <v>0</v>
      </c>
      <c r="O2">
        <f>BDH("LDOS US Equity","BS_CUR_LIAB","1993-06-18","2026-05-02","Per=Y","Days=T","Dir=V")</f>
        <v>0</v>
      </c>
      <c r="Q2">
        <f>BDH("LDOS US Equity","BS_SHAREHOLDER_EQY_ENDING_PERIOD","1993-06-18","2026-05-02","Per=Y","Days=T","Dir=V")</f>
        <v>0</v>
      </c>
      <c r="S2">
        <f>BDH("LDOS US Equity","BS_ACCT_NOTE_RCV","1993-06-18","2026-05-02","Per=Y","Days=T","Dir=V")</f>
        <v>0</v>
      </c>
      <c r="U2">
        <f>BDH("LDOS US Equity","BS_INVENTORIES","1993-06-18","2026-05-02","Per=Y","Days=T","Dir=V")</f>
        <v>0</v>
      </c>
      <c r="W2">
        <f>BDH("LDOS US Equity","WORKING_CAPITAL","1993-06-18","2026-05-02","Per=Y","Days=T","Dir=V")</f>
        <v>0</v>
      </c>
      <c r="Y2">
        <f>BDH("LDOS US Equity","SALES_REV_TURN","1993-06-18","2026-05-02","Per=Y","Days=T","Dir=V")</f>
        <v>0</v>
      </c>
      <c r="AA2">
        <f>BDH("LDOS US Equity","EBIT","1993-06-18","2026-05-02","Per=Y","Days=T","Dir=V")</f>
        <v>0</v>
      </c>
      <c r="AC2">
        <f>BDH("LDOS US Equity","EBITDA","1993-06-18","2026-05-02","Per=Y","Days=T","Dir=V")</f>
        <v>0</v>
      </c>
      <c r="AE2">
        <f>BDH("LDOS US Equity","NET_INCOME","1993-06-18","2026-05-02","Per=Y","Days=T","Dir=V")</f>
        <v>0</v>
      </c>
      <c r="AG2">
        <f>BDH("LDOS US Equity","IS_INT_EXPENSE","1993-06-18","2026-05-02","Per=Y","Days=T","Dir=V")</f>
        <v>0</v>
      </c>
      <c r="AI2">
        <f>BDH("LDOS US Equity","IS_DEPR_EXP","1993-06-18","2026-05-02","Per=Y","Days=T","Dir=V")</f>
        <v>0</v>
      </c>
      <c r="AK2">
        <f>BDH("LDOS US Equity","CF_CASH_FROM_OPER","1993-06-18","2026-05-02","Per=Y","Days=T","Dir=V")</f>
        <v>0</v>
      </c>
      <c r="AM2">
        <f>BDH("LDOS US Equity","CAPITAL_EXPEND","1993-06-18","2026-05-02","Per=Y","Days=T","Dir=V")</f>
        <v>0</v>
      </c>
      <c r="AO2">
        <f>BDH("LDOS US Equity","CF_FREE_CASH_FLOW","1993-06-18","2026-05-02","Per=Y","Days=T","Dir=V")</f>
        <v>0</v>
      </c>
      <c r="AQ2">
        <f>BDH("LDOS US Equity","PX_LAST","1993-06-18","2026-05-02","Per=M","Days=T","Dir=V")</f>
        <v>0</v>
      </c>
      <c r="AS2">
        <f>BDH("LDOS US Equity","CUR_MKT_CAP","1993-06-18","2026-05-02","Per=M","Days=T","Dir=V")</f>
        <v>0</v>
      </c>
      <c r="AU2">
        <f>BDH("LDOS US Equity","EQY_SH_OUT","1993-06-18","2026-05-02","Per=M","Days=T","Dir=V")</f>
        <v>0</v>
      </c>
      <c r="AW2">
        <f>BDH("LDOS US Equity","PX_VOLUME","1993-06-18","2026-05-02","Per=M","Days=T","Dir=V")</f>
        <v>0</v>
      </c>
      <c r="AY2">
        <f>BDH("LDOS US Equity","TURNOVER","1993-06-18","2026-05-02","Per=M","Days=T","Dir=V")</f>
        <v>0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BDH("LE US Equity","BS_TOT_ASSET","1993-06-18","2026-05-02","Per=Y","Days=T","Dir=V")</f>
        <v>0</v>
      </c>
      <c r="C2">
        <f>BDH("LE US Equity","BS_TOT_LIAB2","1993-06-18","2026-05-02","Per=Y","Days=T","Dir=V")</f>
        <v>0</v>
      </c>
      <c r="E2">
        <f>BDH("LE US Equity","SHORT_AND_LONG_TERM_DEBT","1993-06-18","2026-05-02","Per=Y","Days=T","Dir=V")</f>
        <v>0</v>
      </c>
      <c r="G2">
        <f>BDH("LE US Equity","BS_ST_BORROW","1993-06-18","2026-05-02","Per=Y","Days=T","Dir=V")</f>
        <v>0</v>
      </c>
      <c r="I2">
        <f>BDH("LE US Equity","BS_LT_BORROW","1993-06-18","2026-05-02","Per=Y","Days=T","Dir=V")</f>
        <v>0</v>
      </c>
      <c r="K2">
        <f>BDH("LE US Equity","BS_CASH_NEAR_CASH_ITEM","1993-06-18","2026-05-02","Per=Y","Days=T","Dir=V")</f>
        <v>0</v>
      </c>
      <c r="M2">
        <f>BDH("LE US Equity","BS_CUR_ASSET_REPORT","1993-06-18","2026-05-02","Per=Y","Days=T","Dir=V")</f>
        <v>0</v>
      </c>
      <c r="O2">
        <f>BDH("LE US Equity","BS_CUR_LIAB","1993-06-18","2026-05-02","Per=Y","Days=T","Dir=V")</f>
        <v>0</v>
      </c>
      <c r="Q2">
        <f>BDH("LE US Equity","BS_SHAREHOLDER_EQY_ENDING_PERIOD","1993-06-18","2026-05-02","Per=Y","Days=T","Dir=V")</f>
        <v>0</v>
      </c>
      <c r="S2">
        <f>BDH("LE US Equity","BS_ACCT_NOTE_RCV","1993-06-18","2026-05-02","Per=Y","Days=T","Dir=V")</f>
        <v>0</v>
      </c>
      <c r="U2">
        <f>BDH("LE US Equity","BS_INVENTORIES","1993-06-18","2026-05-02","Per=Y","Days=T","Dir=V")</f>
        <v>0</v>
      </c>
      <c r="W2">
        <f>BDH("LE US Equity","WORKING_CAPITAL","1993-06-18","2026-05-02","Per=Y","Days=T","Dir=V")</f>
        <v>0</v>
      </c>
      <c r="Y2">
        <f>BDH("LE US Equity","SALES_REV_TURN","1993-06-18","2026-05-02","Per=Y","Days=T","Dir=V")</f>
        <v>0</v>
      </c>
      <c r="AA2">
        <f>BDH("LE US Equity","EBIT","1993-06-18","2026-05-02","Per=Y","Days=T","Dir=V")</f>
        <v>0</v>
      </c>
      <c r="AC2">
        <f>BDH("LE US Equity","EBITDA","1993-06-18","2026-05-02","Per=Y","Days=T","Dir=V")</f>
        <v>0</v>
      </c>
      <c r="AE2">
        <f>BDH("LE US Equity","NET_INCOME","1993-06-18","2026-05-02","Per=Y","Days=T","Dir=V")</f>
        <v>0</v>
      </c>
      <c r="AG2">
        <f>BDH("LE US Equity","IS_INT_EXPENSE","1993-06-18","2026-05-02","Per=Y","Days=T","Dir=V")</f>
        <v>0</v>
      </c>
      <c r="AI2">
        <f>BDH("LE US Equity","IS_DEPR_EXP","1993-06-18","2026-05-02","Per=Y","Days=T","Dir=V")</f>
        <v>0</v>
      </c>
      <c r="AK2">
        <f>BDH("LE US Equity","CF_CASH_FROM_OPER","1993-06-18","2026-05-02","Per=Y","Days=T","Dir=V")</f>
        <v>0</v>
      </c>
      <c r="AM2">
        <f>BDH("LE US Equity","CAPITAL_EXPEND","1993-06-18","2026-05-02","Per=Y","Days=T","Dir=V")</f>
        <v>0</v>
      </c>
      <c r="AO2">
        <f>BDH("LE US Equity","CF_FREE_CASH_FLOW","1993-06-18","2026-05-02","Per=Y","Days=T","Dir=V")</f>
        <v>0</v>
      </c>
      <c r="AQ2">
        <f>BDH("LE US Equity","PX_LAST","1993-06-18","2026-05-02","Per=M","Days=T","Dir=V")</f>
        <v>0</v>
      </c>
      <c r="AS2">
        <f>BDH("LE US Equity","CUR_MKT_CAP","1993-06-18","2026-05-02","Per=M","Days=T","Dir=V")</f>
        <v>0</v>
      </c>
      <c r="AU2">
        <f>BDH("LE US Equity","EQY_SH_OUT","1993-06-18","2026-05-02","Per=M","Days=T","Dir=V")</f>
        <v>0</v>
      </c>
      <c r="AW2">
        <f>BDH("LE US Equity","PX_VOLUME","1993-06-18","2026-05-02","Per=M","Days=T","Dir=V")</f>
        <v>0</v>
      </c>
      <c r="AY2">
        <f>BDH("LE US Equity","TURNOVER","1993-06-18","2026-05-02","Per=M","Days=T","Dir=V")</f>
        <v>0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BDH("LEA US Equity","BS_TOT_ASSET","1993-06-18","2026-05-02","Per=Y","Days=T","Dir=V")</f>
        <v>0</v>
      </c>
      <c r="C2">
        <f>BDH("LEA US Equity","BS_TOT_LIAB2","1993-06-18","2026-05-02","Per=Y","Days=T","Dir=V")</f>
        <v>0</v>
      </c>
      <c r="E2">
        <f>BDH("LEA US Equity","SHORT_AND_LONG_TERM_DEBT","1993-06-18","2026-05-02","Per=Y","Days=T","Dir=V")</f>
        <v>0</v>
      </c>
      <c r="G2">
        <f>BDH("LEA US Equity","BS_ST_BORROW","1993-06-18","2026-05-02","Per=Y","Days=T","Dir=V")</f>
        <v>0</v>
      </c>
      <c r="I2">
        <f>BDH("LEA US Equity","BS_LT_BORROW","1993-06-18","2026-05-02","Per=Y","Days=T","Dir=V")</f>
        <v>0</v>
      </c>
      <c r="K2">
        <f>BDH("LEA US Equity","BS_CASH_NEAR_CASH_ITEM","1993-06-18","2026-05-02","Per=Y","Days=T","Dir=V")</f>
        <v>0</v>
      </c>
      <c r="M2">
        <f>BDH("LEA US Equity","BS_CUR_ASSET_REPORT","1993-06-18","2026-05-02","Per=Y","Days=T","Dir=V")</f>
        <v>0</v>
      </c>
      <c r="O2">
        <f>BDH("LEA US Equity","BS_CUR_LIAB","1993-06-18","2026-05-02","Per=Y","Days=T","Dir=V")</f>
        <v>0</v>
      </c>
      <c r="Q2">
        <f>BDH("LEA US Equity","BS_SHAREHOLDER_EQY_ENDING_PERIOD","1993-06-18","2026-05-02","Per=Y","Days=T","Dir=V")</f>
        <v>0</v>
      </c>
      <c r="S2">
        <f>BDH("LEA US Equity","BS_ACCT_NOTE_RCV","1993-06-18","2026-05-02","Per=Y","Days=T","Dir=V")</f>
        <v>0</v>
      </c>
      <c r="U2">
        <f>BDH("LEA US Equity","BS_INVENTORIES","1993-06-18","2026-05-02","Per=Y","Days=T","Dir=V")</f>
        <v>0</v>
      </c>
      <c r="W2">
        <f>BDH("LEA US Equity","WORKING_CAPITAL","1993-06-18","2026-05-02","Per=Y","Days=T","Dir=V")</f>
        <v>0</v>
      </c>
      <c r="Y2">
        <f>BDH("LEA US Equity","SALES_REV_TURN","1993-06-18","2026-05-02","Per=Y","Days=T","Dir=V")</f>
        <v>0</v>
      </c>
      <c r="AA2">
        <f>BDH("LEA US Equity","EBIT","1993-06-18","2026-05-02","Per=Y","Days=T","Dir=V")</f>
        <v>0</v>
      </c>
      <c r="AC2">
        <f>BDH("LEA US Equity","EBITDA","1993-06-18","2026-05-02","Per=Y","Days=T","Dir=V")</f>
        <v>0</v>
      </c>
      <c r="AE2">
        <f>BDH("LEA US Equity","NET_INCOME","1993-06-18","2026-05-02","Per=Y","Days=T","Dir=V")</f>
        <v>0</v>
      </c>
      <c r="AG2">
        <f>BDH("LEA US Equity","IS_INT_EXPENSE","1993-06-18","2026-05-02","Per=Y","Days=T","Dir=V")</f>
        <v>0</v>
      </c>
      <c r="AI2">
        <f>BDH("LEA US Equity","IS_DEPR_EXP","1993-06-18","2026-05-02","Per=Y","Days=T","Dir=V")</f>
        <v>0</v>
      </c>
      <c r="AK2">
        <f>BDH("LEA US Equity","CF_CASH_FROM_OPER","1993-06-18","2026-05-02","Per=Y","Days=T","Dir=V")</f>
        <v>0</v>
      </c>
      <c r="AM2">
        <f>BDH("LEA US Equity","CAPITAL_EXPEND","1993-06-18","2026-05-02","Per=Y","Days=T","Dir=V")</f>
        <v>0</v>
      </c>
      <c r="AO2">
        <f>BDH("LEA US Equity","CF_FREE_CASH_FLOW","1993-06-18","2026-05-02","Per=Y","Days=T","Dir=V")</f>
        <v>0</v>
      </c>
      <c r="AQ2">
        <f>BDH("LEA US Equity","PX_LAST","1993-06-18","2026-05-02","Per=M","Days=T","Dir=V")</f>
        <v>0</v>
      </c>
      <c r="AS2">
        <f>BDH("LEA US Equity","CUR_MKT_CAP","1993-06-18","2026-05-02","Per=M","Days=T","Dir=V")</f>
        <v>0</v>
      </c>
      <c r="AU2">
        <f>BDH("LEA US Equity","EQY_SH_OUT","1993-06-18","2026-05-02","Per=M","Days=T","Dir=V")</f>
        <v>0</v>
      </c>
      <c r="AW2">
        <f>BDH("LEA US Equity","PX_VOLUME","1993-06-18","2026-05-02","Per=M","Days=T","Dir=V")</f>
        <v>0</v>
      </c>
      <c r="AY2">
        <f>BDH("LEA US Equity","TURNOVER","1993-06-18","2026-05-02","Per=M","Days=T","Dir=V")</f>
        <v>0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BDH("LECO US Equity","BS_TOT_ASSET","1993-06-18","2026-05-02","Per=Y","Days=T","Dir=V")</f>
        <v>0</v>
      </c>
      <c r="C2">
        <f>BDH("LECO US Equity","BS_TOT_LIAB2","1993-06-18","2026-05-02","Per=Y","Days=T","Dir=V")</f>
        <v>0</v>
      </c>
      <c r="E2">
        <f>BDH("LECO US Equity","SHORT_AND_LONG_TERM_DEBT","1993-06-18","2026-05-02","Per=Y","Days=T","Dir=V")</f>
        <v>0</v>
      </c>
      <c r="G2">
        <f>BDH("LECO US Equity","BS_ST_BORROW","1993-06-18","2026-05-02","Per=Y","Days=T","Dir=V")</f>
        <v>0</v>
      </c>
      <c r="I2">
        <f>BDH("LECO US Equity","BS_LT_BORROW","1993-06-18","2026-05-02","Per=Y","Days=T","Dir=V")</f>
        <v>0</v>
      </c>
      <c r="K2">
        <f>BDH("LECO US Equity","BS_CASH_NEAR_CASH_ITEM","1993-06-18","2026-05-02","Per=Y","Days=T","Dir=V")</f>
        <v>0</v>
      </c>
      <c r="M2">
        <f>BDH("LECO US Equity","BS_CUR_ASSET_REPORT","1993-06-18","2026-05-02","Per=Y","Days=T","Dir=V")</f>
        <v>0</v>
      </c>
      <c r="O2">
        <f>BDH("LECO US Equity","BS_CUR_LIAB","1993-06-18","2026-05-02","Per=Y","Days=T","Dir=V")</f>
        <v>0</v>
      </c>
      <c r="Q2">
        <f>BDH("LECO US Equity","BS_SHAREHOLDER_EQY_ENDING_PERIOD","1993-06-18","2026-05-02","Per=Y","Days=T","Dir=V")</f>
        <v>0</v>
      </c>
      <c r="S2">
        <f>BDH("LECO US Equity","BS_ACCT_NOTE_RCV","1993-06-18","2026-05-02","Per=Y","Days=T","Dir=V")</f>
        <v>0</v>
      </c>
      <c r="U2">
        <f>BDH("LECO US Equity","BS_INVENTORIES","1993-06-18","2026-05-02","Per=Y","Days=T","Dir=V")</f>
        <v>0</v>
      </c>
      <c r="W2">
        <f>BDH("LECO US Equity","WORKING_CAPITAL","1993-06-18","2026-05-02","Per=Y","Days=T","Dir=V")</f>
        <v>0</v>
      </c>
      <c r="Y2">
        <f>BDH("LECO US Equity","SALES_REV_TURN","1993-06-18","2026-05-02","Per=Y","Days=T","Dir=V")</f>
        <v>0</v>
      </c>
      <c r="AA2">
        <f>BDH("LECO US Equity","EBIT","1993-06-18","2026-05-02","Per=Y","Days=T","Dir=V")</f>
        <v>0</v>
      </c>
      <c r="AC2">
        <f>BDH("LECO US Equity","EBITDA","1993-06-18","2026-05-02","Per=Y","Days=T","Dir=V")</f>
        <v>0</v>
      </c>
      <c r="AE2">
        <f>BDH("LECO US Equity","NET_INCOME","1993-06-18","2026-05-02","Per=Y","Days=T","Dir=V")</f>
        <v>0</v>
      </c>
      <c r="AG2">
        <f>BDH("LECO US Equity","IS_INT_EXPENSE","1993-06-18","2026-05-02","Per=Y","Days=T","Dir=V")</f>
        <v>0</v>
      </c>
      <c r="AI2">
        <f>BDH("LECO US Equity","IS_DEPR_EXP","1993-06-18","2026-05-02","Per=Y","Days=T","Dir=V")</f>
        <v>0</v>
      </c>
      <c r="AK2">
        <f>BDH("LECO US Equity","CF_CASH_FROM_OPER","1993-06-18","2026-05-02","Per=Y","Days=T","Dir=V")</f>
        <v>0</v>
      </c>
      <c r="AM2">
        <f>BDH("LECO US Equity","CAPITAL_EXPEND","1993-06-18","2026-05-02","Per=Y","Days=T","Dir=V")</f>
        <v>0</v>
      </c>
      <c r="AO2">
        <f>BDH("LECO US Equity","CF_FREE_CASH_FLOW","1993-06-18","2026-05-02","Per=Y","Days=T","Dir=V")</f>
        <v>0</v>
      </c>
      <c r="AQ2">
        <f>BDH("LECO US Equity","PX_LAST","1993-06-18","2026-05-02","Per=M","Days=T","Dir=V")</f>
        <v>0</v>
      </c>
      <c r="AS2">
        <f>BDH("LECO US Equity","CUR_MKT_CAP","1993-06-18","2026-05-02","Per=M","Days=T","Dir=V")</f>
        <v>0</v>
      </c>
      <c r="AU2">
        <f>BDH("LECO US Equity","EQY_SH_OUT","1993-06-18","2026-05-02","Per=M","Days=T","Dir=V")</f>
        <v>0</v>
      </c>
      <c r="AW2">
        <f>BDH("LECO US Equity","PX_VOLUME","1993-06-18","2026-05-02","Per=M","Days=T","Dir=V")</f>
        <v>0</v>
      </c>
      <c r="AY2">
        <f>BDH("LECO US Equity","TURNOVER","1993-06-18","2026-05-02","Per=M","Days=T","Dir=V")</f>
        <v>0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BDH("LEE US Equity","BS_TOT_ASSET","1993-06-18","2026-05-02","Per=Y","Days=T","Dir=V")</f>
        <v>0</v>
      </c>
      <c r="C2">
        <f>BDH("LEE US Equity","BS_TOT_LIAB2","1993-06-18","2026-05-02","Per=Y","Days=T","Dir=V")</f>
        <v>0</v>
      </c>
      <c r="E2">
        <f>BDH("LEE US Equity","SHORT_AND_LONG_TERM_DEBT","1993-06-18","2026-05-02","Per=Y","Days=T","Dir=V")</f>
        <v>0</v>
      </c>
      <c r="G2">
        <f>BDH("LEE US Equity","BS_ST_BORROW","1993-06-18","2026-05-02","Per=Y","Days=T","Dir=V")</f>
        <v>0</v>
      </c>
      <c r="I2">
        <f>BDH("LEE US Equity","BS_LT_BORROW","1993-06-18","2026-05-02","Per=Y","Days=T","Dir=V")</f>
        <v>0</v>
      </c>
      <c r="K2">
        <f>BDH("LEE US Equity","BS_CASH_NEAR_CASH_ITEM","1993-06-18","2026-05-02","Per=Y","Days=T","Dir=V")</f>
        <v>0</v>
      </c>
      <c r="M2">
        <f>BDH("LEE US Equity","BS_CUR_ASSET_REPORT","1993-06-18","2026-05-02","Per=Y","Days=T","Dir=V")</f>
        <v>0</v>
      </c>
      <c r="O2">
        <f>BDH("LEE US Equity","BS_CUR_LIAB","1993-06-18","2026-05-02","Per=Y","Days=T","Dir=V")</f>
        <v>0</v>
      </c>
      <c r="Q2">
        <f>BDH("LEE US Equity","BS_SHAREHOLDER_EQY_ENDING_PERIOD","1993-06-18","2026-05-02","Per=Y","Days=T","Dir=V")</f>
        <v>0</v>
      </c>
      <c r="S2">
        <f>BDH("LEE US Equity","BS_ACCT_NOTE_RCV","1993-06-18","2026-05-02","Per=Y","Days=T","Dir=V")</f>
        <v>0</v>
      </c>
      <c r="U2">
        <f>BDH("LEE US Equity","BS_INVENTORIES","1993-06-18","2026-05-02","Per=Y","Days=T","Dir=V")</f>
        <v>0</v>
      </c>
      <c r="W2">
        <f>BDH("LEE US Equity","WORKING_CAPITAL","1993-06-18","2026-05-02","Per=Y","Days=T","Dir=V")</f>
        <v>0</v>
      </c>
      <c r="Y2">
        <f>BDH("LEE US Equity","SALES_REV_TURN","1993-06-18","2026-05-02","Per=Y","Days=T","Dir=V")</f>
        <v>0</v>
      </c>
      <c r="AA2">
        <f>BDH("LEE US Equity","EBIT","1993-06-18","2026-05-02","Per=Y","Days=T","Dir=V")</f>
        <v>0</v>
      </c>
      <c r="AC2">
        <f>BDH("LEE US Equity","EBITDA","1993-06-18","2026-05-02","Per=Y","Days=T","Dir=V")</f>
        <v>0</v>
      </c>
      <c r="AE2">
        <f>BDH("LEE US Equity","NET_INCOME","1993-06-18","2026-05-02","Per=Y","Days=T","Dir=V")</f>
        <v>0</v>
      </c>
      <c r="AG2">
        <f>BDH("LEE US Equity","IS_INT_EXPENSE","1993-06-18","2026-05-02","Per=Y","Days=T","Dir=V")</f>
        <v>0</v>
      </c>
      <c r="AI2">
        <f>BDH("LEE US Equity","IS_DEPR_EXP","1993-06-18","2026-05-02","Per=Y","Days=T","Dir=V")</f>
        <v>0</v>
      </c>
      <c r="AK2">
        <f>BDH("LEE US Equity","CF_CASH_FROM_OPER","1993-06-18","2026-05-02","Per=Y","Days=T","Dir=V")</f>
        <v>0</v>
      </c>
      <c r="AM2">
        <f>BDH("LEE US Equity","CAPITAL_EXPEND","1993-06-18","2026-05-02","Per=Y","Days=T","Dir=V")</f>
        <v>0</v>
      </c>
      <c r="AO2">
        <f>BDH("LEE US Equity","CF_FREE_CASH_FLOW","1993-06-18","2026-05-02","Per=Y","Days=T","Dir=V")</f>
        <v>0</v>
      </c>
      <c r="AQ2">
        <f>BDH("LEE US Equity","PX_LAST","1993-06-18","2026-05-02","Per=M","Days=T","Dir=V")</f>
        <v>0</v>
      </c>
      <c r="AS2">
        <f>BDH("LEE US Equity","CUR_MKT_CAP","1993-06-18","2026-05-02","Per=M","Days=T","Dir=V")</f>
        <v>0</v>
      </c>
      <c r="AU2">
        <f>BDH("LEE US Equity","EQY_SH_OUT","1993-06-18","2026-05-02","Per=M","Days=T","Dir=V")</f>
        <v>0</v>
      </c>
      <c r="AW2">
        <f>BDH("LEE US Equity","PX_VOLUME","1993-06-18","2026-05-02","Per=M","Days=T","Dir=V")</f>
        <v>0</v>
      </c>
      <c r="AY2">
        <f>BDH("LEE US Equity","TURNOVER","1993-06-18","2026-05-02","Per=M","Days=T","Dir=V")</f>
        <v>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BDH("LEGH US Equity","BS_TOT_ASSET","1993-06-18","2026-05-02","Per=Y","Days=T","Dir=V")</f>
        <v>0</v>
      </c>
      <c r="C2">
        <f>BDH("LEGH US Equity","BS_TOT_LIAB2","1993-06-18","2026-05-02","Per=Y","Days=T","Dir=V")</f>
        <v>0</v>
      </c>
      <c r="E2">
        <f>BDH("LEGH US Equity","SHORT_AND_LONG_TERM_DEBT","1993-06-18","2026-05-02","Per=Y","Days=T","Dir=V")</f>
        <v>0</v>
      </c>
      <c r="G2">
        <f>BDH("LEGH US Equity","BS_ST_BORROW","1993-06-18","2026-05-02","Per=Y","Days=T","Dir=V")</f>
        <v>0</v>
      </c>
      <c r="I2">
        <f>BDH("LEGH US Equity","BS_LT_BORROW","1993-06-18","2026-05-02","Per=Y","Days=T","Dir=V")</f>
        <v>0</v>
      </c>
      <c r="K2">
        <f>BDH("LEGH US Equity","BS_CASH_NEAR_CASH_ITEM","1993-06-18","2026-05-02","Per=Y","Days=T","Dir=V")</f>
        <v>0</v>
      </c>
      <c r="M2">
        <f>BDH("LEGH US Equity","BS_CUR_ASSET_REPORT","1993-06-18","2026-05-02","Per=Y","Days=T","Dir=V")</f>
        <v>0</v>
      </c>
      <c r="O2">
        <f>BDH("LEGH US Equity","BS_CUR_LIAB","1993-06-18","2026-05-02","Per=Y","Days=T","Dir=V")</f>
        <v>0</v>
      </c>
      <c r="Q2">
        <f>BDH("LEGH US Equity","BS_SHAREHOLDER_EQY_ENDING_PERIOD","1993-06-18","2026-05-02","Per=Y","Days=T","Dir=V")</f>
        <v>0</v>
      </c>
      <c r="S2">
        <f>BDH("LEGH US Equity","BS_ACCT_NOTE_RCV","1993-06-18","2026-05-02","Per=Y","Days=T","Dir=V")</f>
        <v>0</v>
      </c>
      <c r="U2">
        <f>BDH("LEGH US Equity","BS_INVENTORIES","1993-06-18","2026-05-02","Per=Y","Days=T","Dir=V")</f>
        <v>0</v>
      </c>
      <c r="W2">
        <f>BDH("LEGH US Equity","WORKING_CAPITAL","1993-06-18","2026-05-02","Per=Y","Days=T","Dir=V")</f>
        <v>0</v>
      </c>
      <c r="Y2">
        <f>BDH("LEGH US Equity","SALES_REV_TURN","1993-06-18","2026-05-02","Per=Y","Days=T","Dir=V")</f>
        <v>0</v>
      </c>
      <c r="AA2">
        <f>BDH("LEGH US Equity","EBIT","1993-06-18","2026-05-02","Per=Y","Days=T","Dir=V")</f>
        <v>0</v>
      </c>
      <c r="AC2">
        <f>BDH("LEGH US Equity","EBITDA","1993-06-18","2026-05-02","Per=Y","Days=T","Dir=V")</f>
        <v>0</v>
      </c>
      <c r="AE2">
        <f>BDH("LEGH US Equity","NET_INCOME","1993-06-18","2026-05-02","Per=Y","Days=T","Dir=V")</f>
        <v>0</v>
      </c>
      <c r="AG2">
        <f>BDH("LEGH US Equity","IS_INT_EXPENSE","1993-06-18","2026-05-02","Per=Y","Days=T","Dir=V")</f>
        <v>0</v>
      </c>
      <c r="AI2">
        <f>BDH("LEGH US Equity","IS_DEPR_EXP","1993-06-18","2026-05-02","Per=Y","Days=T","Dir=V")</f>
        <v>0</v>
      </c>
      <c r="AK2">
        <f>BDH("LEGH US Equity","CF_CASH_FROM_OPER","1993-06-18","2026-05-02","Per=Y","Days=T","Dir=V")</f>
        <v>0</v>
      </c>
      <c r="AM2">
        <f>BDH("LEGH US Equity","CAPITAL_EXPEND","1993-06-18","2026-05-02","Per=Y","Days=T","Dir=V")</f>
        <v>0</v>
      </c>
      <c r="AO2">
        <f>BDH("LEGH US Equity","CF_FREE_CASH_FLOW","1993-06-18","2026-05-02","Per=Y","Days=T","Dir=V")</f>
        <v>0</v>
      </c>
      <c r="AQ2">
        <f>BDH("LEGH US Equity","PX_LAST","1993-06-18","2026-05-02","Per=M","Days=T","Dir=V")</f>
        <v>0</v>
      </c>
      <c r="AS2">
        <f>BDH("LEGH US Equity","CUR_MKT_CAP","1993-06-18","2026-05-02","Per=M","Days=T","Dir=V")</f>
        <v>0</v>
      </c>
      <c r="AU2">
        <f>BDH("LEGH US Equity","EQY_SH_OUT","1993-06-18","2026-05-02","Per=M","Days=T","Dir=V")</f>
        <v>0</v>
      </c>
      <c r="AW2">
        <f>BDH("LEGH US Equity","PX_VOLUME","1993-06-18","2026-05-02","Per=M","Days=T","Dir=V")</f>
        <v>0</v>
      </c>
      <c r="AY2">
        <f>BDH("LEGH US Equity","TURNOVER","1993-06-18","2026-05-02","Per=M","Days=T","Dir=V")</f>
        <v>0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BDH("LEGN US Equity","BS_TOT_ASSET","1993-06-18","2026-05-02","Per=Y","Days=T","Dir=V")</f>
        <v>0</v>
      </c>
      <c r="C2">
        <f>BDH("LEGN US Equity","BS_TOT_LIAB2","1993-06-18","2026-05-02","Per=Y","Days=T","Dir=V")</f>
        <v>0</v>
      </c>
      <c r="E2">
        <f>BDH("LEGN US Equity","SHORT_AND_LONG_TERM_DEBT","1993-06-18","2026-05-02","Per=Y","Days=T","Dir=V")</f>
        <v>0</v>
      </c>
      <c r="G2">
        <f>BDH("LEGN US Equity","BS_ST_BORROW","1993-06-18","2026-05-02","Per=Y","Days=T","Dir=V")</f>
        <v>0</v>
      </c>
      <c r="I2">
        <f>BDH("LEGN US Equity","BS_LT_BORROW","1993-06-18","2026-05-02","Per=Y","Days=T","Dir=V")</f>
        <v>0</v>
      </c>
      <c r="K2">
        <f>BDH("LEGN US Equity","BS_CASH_NEAR_CASH_ITEM","1993-06-18","2026-05-02","Per=Y","Days=T","Dir=V")</f>
        <v>0</v>
      </c>
      <c r="M2">
        <f>BDH("LEGN US Equity","BS_CUR_ASSET_REPORT","1993-06-18","2026-05-02","Per=Y","Days=T","Dir=V")</f>
        <v>0</v>
      </c>
      <c r="O2">
        <f>BDH("LEGN US Equity","BS_CUR_LIAB","1993-06-18","2026-05-02","Per=Y","Days=T","Dir=V")</f>
        <v>0</v>
      </c>
      <c r="Q2">
        <f>BDH("LEGN US Equity","BS_SHAREHOLDER_EQY_ENDING_PERIOD","1993-06-18","2026-05-02","Per=Y","Days=T","Dir=V")</f>
        <v>0</v>
      </c>
      <c r="S2">
        <f>BDH("LEGN US Equity","BS_ACCT_NOTE_RCV","1993-06-18","2026-05-02","Per=Y","Days=T","Dir=V")</f>
        <v>0</v>
      </c>
      <c r="U2">
        <f>BDH("LEGN US Equity","BS_INVENTORIES","1993-06-18","2026-05-02","Per=Y","Days=T","Dir=V")</f>
        <v>0</v>
      </c>
      <c r="W2">
        <f>BDH("LEGN US Equity","WORKING_CAPITAL","1993-06-18","2026-05-02","Per=Y","Days=T","Dir=V")</f>
        <v>0</v>
      </c>
      <c r="Y2">
        <f>BDH("LEGN US Equity","SALES_REV_TURN","1993-06-18","2026-05-02","Per=Y","Days=T","Dir=V")</f>
        <v>0</v>
      </c>
      <c r="AA2">
        <f>BDH("LEGN US Equity","EBIT","1993-06-18","2026-05-02","Per=Y","Days=T","Dir=V")</f>
        <v>0</v>
      </c>
      <c r="AC2">
        <f>BDH("LEGN US Equity","EBITDA","1993-06-18","2026-05-02","Per=Y","Days=T","Dir=V")</f>
        <v>0</v>
      </c>
      <c r="AE2">
        <f>BDH("LEGN US Equity","NET_INCOME","1993-06-18","2026-05-02","Per=Y","Days=T","Dir=V")</f>
        <v>0</v>
      </c>
      <c r="AG2">
        <f>BDH("LEGN US Equity","IS_INT_EXPENSE","1993-06-18","2026-05-02","Per=Y","Days=T","Dir=V")</f>
        <v>0</v>
      </c>
      <c r="AI2">
        <f>BDH("LEGN US Equity","IS_DEPR_EXP","1993-06-18","2026-05-02","Per=Y","Days=T","Dir=V")</f>
        <v>0</v>
      </c>
      <c r="AK2">
        <f>BDH("LEGN US Equity","CF_CASH_FROM_OPER","1993-06-18","2026-05-02","Per=Y","Days=T","Dir=V")</f>
        <v>0</v>
      </c>
      <c r="AM2">
        <f>BDH("LEGN US Equity","CAPITAL_EXPEND","1993-06-18","2026-05-02","Per=Y","Days=T","Dir=V")</f>
        <v>0</v>
      </c>
      <c r="AO2">
        <f>BDH("LEGN US Equity","CF_FREE_CASH_FLOW","1993-06-18","2026-05-02","Per=Y","Days=T","Dir=V")</f>
        <v>0</v>
      </c>
      <c r="AQ2">
        <f>BDH("LEGN US Equity","PX_LAST","1993-06-18","2026-05-02","Per=M","Days=T","Dir=V")</f>
        <v>0</v>
      </c>
      <c r="AS2">
        <f>BDH("LEGN US Equity","CUR_MKT_CAP","1993-06-18","2026-05-02","Per=M","Days=T","Dir=V")</f>
        <v>0</v>
      </c>
      <c r="AU2">
        <f>BDH("LEGN US Equity","EQY_SH_OUT","1993-06-18","2026-05-02","Per=M","Days=T","Dir=V")</f>
        <v>0</v>
      </c>
      <c r="AW2">
        <f>BDH("LEGN US Equity","PX_VOLUME","1993-06-18","2026-05-02","Per=M","Days=T","Dir=V")</f>
        <v>0</v>
      </c>
      <c r="AY2">
        <f>BDH("LEGN US Equity","TURNOVER","1993-06-18","2026-05-02","Per=M","Days=T","Dir=V")</f>
        <v>0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BDH("LEN US Equity","BS_TOT_ASSET","1993-06-18","2026-05-02","Per=Y","Days=T","Dir=V")</f>
        <v>0</v>
      </c>
      <c r="C2">
        <f>BDH("LEN US Equity","BS_TOT_LIAB2","1993-06-18","2026-05-02","Per=Y","Days=T","Dir=V")</f>
        <v>0</v>
      </c>
      <c r="E2">
        <f>BDH("LEN US Equity","SHORT_AND_LONG_TERM_DEBT","1993-06-18","2026-05-02","Per=Y","Days=T","Dir=V")</f>
        <v>0</v>
      </c>
      <c r="G2">
        <f>BDH("LEN US Equity","BS_ST_BORROW","1993-06-18","2026-05-02","Per=Y","Days=T","Dir=V")</f>
        <v>0</v>
      </c>
      <c r="I2">
        <f>BDH("LEN US Equity","BS_LT_BORROW","1993-06-18","2026-05-02","Per=Y","Days=T","Dir=V")</f>
        <v>0</v>
      </c>
      <c r="K2">
        <f>BDH("LEN US Equity","BS_CASH_NEAR_CASH_ITEM","1993-06-18","2026-05-02","Per=Y","Days=T","Dir=V")</f>
        <v>0</v>
      </c>
      <c r="M2">
        <f>BDH("LEN US Equity","BS_CUR_ASSET_REPORT","1993-06-18","2026-05-02","Per=Y","Days=T","Dir=V")</f>
        <v>0</v>
      </c>
      <c r="O2">
        <f>BDH("LEN US Equity","BS_CUR_LIAB","1993-06-18","2026-05-02","Per=Y","Days=T","Dir=V")</f>
        <v>0</v>
      </c>
      <c r="Q2">
        <f>BDH("LEN US Equity","BS_SHAREHOLDER_EQY_ENDING_PERIOD","1993-06-18","2026-05-02","Per=Y","Days=T","Dir=V")</f>
        <v>0</v>
      </c>
      <c r="S2">
        <f>BDH("LEN US Equity","BS_ACCT_NOTE_RCV","1993-06-18","2026-05-02","Per=Y","Days=T","Dir=V")</f>
        <v>0</v>
      </c>
      <c r="U2">
        <f>BDH("LEN US Equity","BS_INVENTORIES","1993-06-18","2026-05-02","Per=Y","Days=T","Dir=V")</f>
        <v>0</v>
      </c>
      <c r="W2">
        <f>BDH("LEN US Equity","WORKING_CAPITAL","1993-06-18","2026-05-02","Per=Y","Days=T","Dir=V")</f>
        <v>0</v>
      </c>
      <c r="Y2">
        <f>BDH("LEN US Equity","SALES_REV_TURN","1993-06-18","2026-05-02","Per=Y","Days=T","Dir=V")</f>
        <v>0</v>
      </c>
      <c r="AA2">
        <f>BDH("LEN US Equity","EBIT","1993-06-18","2026-05-02","Per=Y","Days=T","Dir=V")</f>
        <v>0</v>
      </c>
      <c r="AC2">
        <f>BDH("LEN US Equity","EBITDA","1993-06-18","2026-05-02","Per=Y","Days=T","Dir=V")</f>
        <v>0</v>
      </c>
      <c r="AE2">
        <f>BDH("LEN US Equity","NET_INCOME","1993-06-18","2026-05-02","Per=Y","Days=T","Dir=V")</f>
        <v>0</v>
      </c>
      <c r="AG2">
        <f>BDH("LEN US Equity","IS_INT_EXPENSE","1993-06-18","2026-05-02","Per=Y","Days=T","Dir=V")</f>
        <v>0</v>
      </c>
      <c r="AI2">
        <f>BDH("LEN US Equity","IS_DEPR_EXP","1993-06-18","2026-05-02","Per=Y","Days=T","Dir=V")</f>
        <v>0</v>
      </c>
      <c r="AK2">
        <f>BDH("LEN US Equity","CF_CASH_FROM_OPER","1993-06-18","2026-05-02","Per=Y","Days=T","Dir=V")</f>
        <v>0</v>
      </c>
      <c r="AM2">
        <f>BDH("LEN US Equity","CAPITAL_EXPEND","1993-06-18","2026-05-02","Per=Y","Days=T","Dir=V")</f>
        <v>0</v>
      </c>
      <c r="AO2">
        <f>BDH("LEN US Equity","CF_FREE_CASH_FLOW","1993-06-18","2026-05-02","Per=Y","Days=T","Dir=V")</f>
        <v>0</v>
      </c>
      <c r="AQ2">
        <f>BDH("LEN US Equity","PX_LAST","1993-06-18","2026-05-02","Per=M","Days=T","Dir=V")</f>
        <v>0</v>
      </c>
      <c r="AS2">
        <f>BDH("LEN US Equity","CUR_MKT_CAP","1993-06-18","2026-05-02","Per=M","Days=T","Dir=V")</f>
        <v>0</v>
      </c>
      <c r="AU2">
        <f>BDH("LEN US Equity","EQY_SH_OUT","1993-06-18","2026-05-02","Per=M","Days=T","Dir=V")</f>
        <v>0</v>
      </c>
      <c r="AW2">
        <f>BDH("LEN US Equity","PX_VOLUME","1993-06-18","2026-05-02","Per=M","Days=T","Dir=V")</f>
        <v>0</v>
      </c>
      <c r="AY2">
        <f>BDH("LEN US Equity","TURNOVER","1993-06-18","2026-05-02","Per=M","Days=T","Dir=V")</f>
        <v>0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BDH("LENZ US Equity","BS_TOT_ASSET","1993-06-18","2026-05-02","Per=Y","Days=T","Dir=V")</f>
        <v>0</v>
      </c>
      <c r="C2">
        <f>BDH("LENZ US Equity","BS_TOT_LIAB2","1993-06-18","2026-05-02","Per=Y","Days=T","Dir=V")</f>
        <v>0</v>
      </c>
      <c r="E2">
        <f>BDH("LENZ US Equity","SHORT_AND_LONG_TERM_DEBT","1993-06-18","2026-05-02","Per=Y","Days=T","Dir=V")</f>
        <v>0</v>
      </c>
      <c r="G2">
        <f>BDH("LENZ US Equity","BS_ST_BORROW","1993-06-18","2026-05-02","Per=Y","Days=T","Dir=V")</f>
        <v>0</v>
      </c>
      <c r="I2">
        <f>BDH("LENZ US Equity","BS_LT_BORROW","1993-06-18","2026-05-02","Per=Y","Days=T","Dir=V")</f>
        <v>0</v>
      </c>
      <c r="K2">
        <f>BDH("LENZ US Equity","BS_CASH_NEAR_CASH_ITEM","1993-06-18","2026-05-02","Per=Y","Days=T","Dir=V")</f>
        <v>0</v>
      </c>
      <c r="M2">
        <f>BDH("LENZ US Equity","BS_CUR_ASSET_REPORT","1993-06-18","2026-05-02","Per=Y","Days=T","Dir=V")</f>
        <v>0</v>
      </c>
      <c r="O2">
        <f>BDH("LENZ US Equity","BS_CUR_LIAB","1993-06-18","2026-05-02","Per=Y","Days=T","Dir=V")</f>
        <v>0</v>
      </c>
      <c r="Q2">
        <f>BDH("LENZ US Equity","BS_SHAREHOLDER_EQY_ENDING_PERIOD","1993-06-18","2026-05-02","Per=Y","Days=T","Dir=V")</f>
        <v>0</v>
      </c>
      <c r="S2">
        <f>BDH("LENZ US Equity","BS_ACCT_NOTE_RCV","1993-06-18","2026-05-02","Per=Y","Days=T","Dir=V")</f>
        <v>0</v>
      </c>
      <c r="U2">
        <f>BDH("LENZ US Equity","BS_INVENTORIES","1993-06-18","2026-05-02","Per=Y","Days=T","Dir=V")</f>
        <v>0</v>
      </c>
      <c r="W2">
        <f>BDH("LENZ US Equity","WORKING_CAPITAL","1993-06-18","2026-05-02","Per=Y","Days=T","Dir=V")</f>
        <v>0</v>
      </c>
      <c r="Y2">
        <f>BDH("LENZ US Equity","SALES_REV_TURN","1993-06-18","2026-05-02","Per=Y","Days=T","Dir=V")</f>
        <v>0</v>
      </c>
      <c r="AA2">
        <f>BDH("LENZ US Equity","EBIT","1993-06-18","2026-05-02","Per=Y","Days=T","Dir=V")</f>
        <v>0</v>
      </c>
      <c r="AC2">
        <f>BDH("LENZ US Equity","EBITDA","1993-06-18","2026-05-02","Per=Y","Days=T","Dir=V")</f>
        <v>0</v>
      </c>
      <c r="AE2">
        <f>BDH("LENZ US Equity","NET_INCOME","1993-06-18","2026-05-02","Per=Y","Days=T","Dir=V")</f>
        <v>0</v>
      </c>
      <c r="AG2">
        <f>BDH("LENZ US Equity","IS_INT_EXPENSE","1993-06-18","2026-05-02","Per=Y","Days=T","Dir=V")</f>
        <v>0</v>
      </c>
      <c r="AI2">
        <f>BDH("LENZ US Equity","IS_DEPR_EXP","1993-06-18","2026-05-02","Per=Y","Days=T","Dir=V")</f>
        <v>0</v>
      </c>
      <c r="AK2">
        <f>BDH("LENZ US Equity","CF_CASH_FROM_OPER","1993-06-18","2026-05-02","Per=Y","Days=T","Dir=V")</f>
        <v>0</v>
      </c>
      <c r="AM2">
        <f>BDH("LENZ US Equity","CAPITAL_EXPEND","1993-06-18","2026-05-02","Per=Y","Days=T","Dir=V")</f>
        <v>0</v>
      </c>
      <c r="AO2">
        <f>BDH("LENZ US Equity","CF_FREE_CASH_FLOW","1993-06-18","2026-05-02","Per=Y","Days=T","Dir=V")</f>
        <v>0</v>
      </c>
      <c r="AQ2">
        <f>BDH("LENZ US Equity","PX_LAST","1993-06-18","2026-05-02","Per=M","Days=T","Dir=V")</f>
        <v>0</v>
      </c>
      <c r="AS2">
        <f>BDH("LENZ US Equity","CUR_MKT_CAP","1993-06-18","2026-05-02","Per=M","Days=T","Dir=V")</f>
        <v>0</v>
      </c>
      <c r="AU2">
        <f>BDH("LENZ US Equity","EQY_SH_OUT","1993-06-18","2026-05-02","Per=M","Days=T","Dir=V")</f>
        <v>0</v>
      </c>
      <c r="AW2">
        <f>BDH("LENZ US Equity","PX_VOLUME","1993-06-18","2026-05-02","Per=M","Days=T","Dir=V")</f>
        <v>0</v>
      </c>
      <c r="AY2">
        <f>BDH("LENZ US Equity","TURNOVER","1993-06-18","2026-05-02","Per=M","Days=T","Dir=V")</f>
        <v>0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BDH("LESL US Equity","BS_TOT_ASSET","1993-06-18","2026-05-02","Per=Y","Days=T","Dir=V")</f>
        <v>0</v>
      </c>
      <c r="C2">
        <f>BDH("LESL US Equity","BS_TOT_LIAB2","1993-06-18","2026-05-02","Per=Y","Days=T","Dir=V")</f>
        <v>0</v>
      </c>
      <c r="E2">
        <f>BDH("LESL US Equity","SHORT_AND_LONG_TERM_DEBT","1993-06-18","2026-05-02","Per=Y","Days=T","Dir=V")</f>
        <v>0</v>
      </c>
      <c r="G2">
        <f>BDH("LESL US Equity","BS_ST_BORROW","1993-06-18","2026-05-02","Per=Y","Days=T","Dir=V")</f>
        <v>0</v>
      </c>
      <c r="I2">
        <f>BDH("LESL US Equity","BS_LT_BORROW","1993-06-18","2026-05-02","Per=Y","Days=T","Dir=V")</f>
        <v>0</v>
      </c>
      <c r="K2">
        <f>BDH("LESL US Equity","BS_CASH_NEAR_CASH_ITEM","1993-06-18","2026-05-02","Per=Y","Days=T","Dir=V")</f>
        <v>0</v>
      </c>
      <c r="M2">
        <f>BDH("LESL US Equity","BS_CUR_ASSET_REPORT","1993-06-18","2026-05-02","Per=Y","Days=T","Dir=V")</f>
        <v>0</v>
      </c>
      <c r="O2">
        <f>BDH("LESL US Equity","BS_CUR_LIAB","1993-06-18","2026-05-02","Per=Y","Days=T","Dir=V")</f>
        <v>0</v>
      </c>
      <c r="Q2">
        <f>BDH("LESL US Equity","BS_SHAREHOLDER_EQY_ENDING_PERIOD","1993-06-18","2026-05-02","Per=Y","Days=T","Dir=V")</f>
        <v>0</v>
      </c>
      <c r="S2">
        <f>BDH("LESL US Equity","BS_ACCT_NOTE_RCV","1993-06-18","2026-05-02","Per=Y","Days=T","Dir=V")</f>
        <v>0</v>
      </c>
      <c r="U2">
        <f>BDH("LESL US Equity","BS_INVENTORIES","1993-06-18","2026-05-02","Per=Y","Days=T","Dir=V")</f>
        <v>0</v>
      </c>
      <c r="W2">
        <f>BDH("LESL US Equity","WORKING_CAPITAL","1993-06-18","2026-05-02","Per=Y","Days=T","Dir=V")</f>
        <v>0</v>
      </c>
      <c r="Y2">
        <f>BDH("LESL US Equity","SALES_REV_TURN","1993-06-18","2026-05-02","Per=Y","Days=T","Dir=V")</f>
        <v>0</v>
      </c>
      <c r="AA2">
        <f>BDH("LESL US Equity","EBIT","1993-06-18","2026-05-02","Per=Y","Days=T","Dir=V")</f>
        <v>0</v>
      </c>
      <c r="AC2">
        <f>BDH("LESL US Equity","EBITDA","1993-06-18","2026-05-02","Per=Y","Days=T","Dir=V")</f>
        <v>0</v>
      </c>
      <c r="AE2">
        <f>BDH("LESL US Equity","NET_INCOME","1993-06-18","2026-05-02","Per=Y","Days=T","Dir=V")</f>
        <v>0</v>
      </c>
      <c r="AG2">
        <f>BDH("LESL US Equity","IS_INT_EXPENSE","1993-06-18","2026-05-02","Per=Y","Days=T","Dir=V")</f>
        <v>0</v>
      </c>
      <c r="AI2">
        <f>BDH("LESL US Equity","IS_DEPR_EXP","1993-06-18","2026-05-02","Per=Y","Days=T","Dir=V")</f>
        <v>0</v>
      </c>
      <c r="AK2">
        <f>BDH("LESL US Equity","CF_CASH_FROM_OPER","1993-06-18","2026-05-02","Per=Y","Days=T","Dir=V")</f>
        <v>0</v>
      </c>
      <c r="AM2">
        <f>BDH("LESL US Equity","CAPITAL_EXPEND","1993-06-18","2026-05-02","Per=Y","Days=T","Dir=V")</f>
        <v>0</v>
      </c>
      <c r="AO2">
        <f>BDH("LESL US Equity","CF_FREE_CASH_FLOW","1993-06-18","2026-05-02","Per=Y","Days=T","Dir=V")</f>
        <v>0</v>
      </c>
      <c r="AQ2">
        <f>BDH("LESL US Equity","PX_LAST","1993-06-18","2026-05-02","Per=M","Days=T","Dir=V")</f>
        <v>0</v>
      </c>
      <c r="AS2">
        <f>BDH("LESL US Equity","CUR_MKT_CAP","1993-06-18","2026-05-02","Per=M","Days=T","Dir=V")</f>
        <v>0</v>
      </c>
      <c r="AU2">
        <f>BDH("LESL US Equity","EQY_SH_OUT","1993-06-18","2026-05-02","Per=M","Days=T","Dir=V")</f>
        <v>0</v>
      </c>
      <c r="AW2">
        <f>BDH("LESL US Equity","PX_VOLUME","1993-06-18","2026-05-02","Per=M","Days=T","Dir=V")</f>
        <v>0</v>
      </c>
      <c r="AY2">
        <f>BDH("LESL US Equity","TURNOVER","1993-06-18","2026-05-02","Per=M","Days=T","Dir=V")</f>
        <v>0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BDH("LEU US Equity","BS_TOT_ASSET","1993-06-18","2026-05-02","Per=Y","Days=T","Dir=V")</f>
        <v>0</v>
      </c>
      <c r="C2">
        <f>BDH("LEU US Equity","BS_TOT_LIAB2","1993-06-18","2026-05-02","Per=Y","Days=T","Dir=V")</f>
        <v>0</v>
      </c>
      <c r="E2">
        <f>BDH("LEU US Equity","SHORT_AND_LONG_TERM_DEBT","1993-06-18","2026-05-02","Per=Y","Days=T","Dir=V")</f>
        <v>0</v>
      </c>
      <c r="G2">
        <f>BDH("LEU US Equity","BS_ST_BORROW","1993-06-18","2026-05-02","Per=Y","Days=T","Dir=V")</f>
        <v>0</v>
      </c>
      <c r="I2">
        <f>BDH("LEU US Equity","BS_LT_BORROW","1993-06-18","2026-05-02","Per=Y","Days=T","Dir=V")</f>
        <v>0</v>
      </c>
      <c r="K2">
        <f>BDH("LEU US Equity","BS_CASH_NEAR_CASH_ITEM","1993-06-18","2026-05-02","Per=Y","Days=T","Dir=V")</f>
        <v>0</v>
      </c>
      <c r="M2">
        <f>BDH("LEU US Equity","BS_CUR_ASSET_REPORT","1993-06-18","2026-05-02","Per=Y","Days=T","Dir=V")</f>
        <v>0</v>
      </c>
      <c r="O2">
        <f>BDH("LEU US Equity","BS_CUR_LIAB","1993-06-18","2026-05-02","Per=Y","Days=T","Dir=V")</f>
        <v>0</v>
      </c>
      <c r="Q2">
        <f>BDH("LEU US Equity","BS_SHAREHOLDER_EQY_ENDING_PERIOD","1993-06-18","2026-05-02","Per=Y","Days=T","Dir=V")</f>
        <v>0</v>
      </c>
      <c r="S2">
        <f>BDH("LEU US Equity","BS_ACCT_NOTE_RCV","1993-06-18","2026-05-02","Per=Y","Days=T","Dir=V")</f>
        <v>0</v>
      </c>
      <c r="U2">
        <f>BDH("LEU US Equity","BS_INVENTORIES","1993-06-18","2026-05-02","Per=Y","Days=T","Dir=V")</f>
        <v>0</v>
      </c>
      <c r="W2">
        <f>BDH("LEU US Equity","WORKING_CAPITAL","1993-06-18","2026-05-02","Per=Y","Days=T","Dir=V")</f>
        <v>0</v>
      </c>
      <c r="Y2">
        <f>BDH("LEU US Equity","SALES_REV_TURN","1993-06-18","2026-05-02","Per=Y","Days=T","Dir=V")</f>
        <v>0</v>
      </c>
      <c r="AA2">
        <f>BDH("LEU US Equity","EBIT","1993-06-18","2026-05-02","Per=Y","Days=T","Dir=V")</f>
        <v>0</v>
      </c>
      <c r="AC2">
        <f>BDH("LEU US Equity","EBITDA","1993-06-18","2026-05-02","Per=Y","Days=T","Dir=V")</f>
        <v>0</v>
      </c>
      <c r="AE2">
        <f>BDH("LEU US Equity","NET_INCOME","1993-06-18","2026-05-02","Per=Y","Days=T","Dir=V")</f>
        <v>0</v>
      </c>
      <c r="AG2">
        <f>BDH("LEU US Equity","IS_INT_EXPENSE","1993-06-18","2026-05-02","Per=Y","Days=T","Dir=V")</f>
        <v>0</v>
      </c>
      <c r="AI2">
        <f>BDH("LEU US Equity","IS_DEPR_EXP","1993-06-18","2026-05-02","Per=Y","Days=T","Dir=V")</f>
        <v>0</v>
      </c>
      <c r="AK2">
        <f>BDH("LEU US Equity","CF_CASH_FROM_OPER","1993-06-18","2026-05-02","Per=Y","Days=T","Dir=V")</f>
        <v>0</v>
      </c>
      <c r="AM2">
        <f>BDH("LEU US Equity","CAPITAL_EXPEND","1993-06-18","2026-05-02","Per=Y","Days=T","Dir=V")</f>
        <v>0</v>
      </c>
      <c r="AO2">
        <f>BDH("LEU US Equity","CF_FREE_CASH_FLOW","1993-06-18","2026-05-02","Per=Y","Days=T","Dir=V")</f>
        <v>0</v>
      </c>
      <c r="AQ2">
        <f>BDH("LEU US Equity","PX_LAST","1993-06-18","2026-05-02","Per=M","Days=T","Dir=V")</f>
        <v>0</v>
      </c>
      <c r="AS2">
        <f>BDH("LEU US Equity","CUR_MKT_CAP","1993-06-18","2026-05-02","Per=M","Days=T","Dir=V")</f>
        <v>0</v>
      </c>
      <c r="AU2">
        <f>BDH("LEU US Equity","EQY_SH_OUT","1993-06-18","2026-05-02","Per=M","Days=T","Dir=V")</f>
        <v>0</v>
      </c>
      <c r="AW2">
        <f>BDH("LEU US Equity","PX_VOLUME","1993-06-18","2026-05-02","Per=M","Days=T","Dir=V")</f>
        <v>0</v>
      </c>
      <c r="AY2">
        <f>BDH("LEU US Equity","TURNOVER","1993-06-18","2026-05-02","Per=M","Days=T","Dir=V")</f>
        <v>0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BDH("LEVI US Equity","BS_TOT_ASSET","1993-06-18","2026-05-02","Per=Y","Days=T","Dir=V")</f>
        <v>0</v>
      </c>
      <c r="C2">
        <f>BDH("LEVI US Equity","BS_TOT_LIAB2","1993-06-18","2026-05-02","Per=Y","Days=T","Dir=V")</f>
        <v>0</v>
      </c>
      <c r="E2">
        <f>BDH("LEVI US Equity","SHORT_AND_LONG_TERM_DEBT","1993-06-18","2026-05-02","Per=Y","Days=T","Dir=V")</f>
        <v>0</v>
      </c>
      <c r="G2">
        <f>BDH("LEVI US Equity","BS_ST_BORROW","1993-06-18","2026-05-02","Per=Y","Days=T","Dir=V")</f>
        <v>0</v>
      </c>
      <c r="I2">
        <f>BDH("LEVI US Equity","BS_LT_BORROW","1993-06-18","2026-05-02","Per=Y","Days=T","Dir=V")</f>
        <v>0</v>
      </c>
      <c r="K2">
        <f>BDH("LEVI US Equity","BS_CASH_NEAR_CASH_ITEM","1993-06-18","2026-05-02","Per=Y","Days=T","Dir=V")</f>
        <v>0</v>
      </c>
      <c r="M2">
        <f>BDH("LEVI US Equity","BS_CUR_ASSET_REPORT","1993-06-18","2026-05-02","Per=Y","Days=T","Dir=V")</f>
        <v>0</v>
      </c>
      <c r="O2">
        <f>BDH("LEVI US Equity","BS_CUR_LIAB","1993-06-18","2026-05-02","Per=Y","Days=T","Dir=V")</f>
        <v>0</v>
      </c>
      <c r="Q2">
        <f>BDH("LEVI US Equity","BS_SHAREHOLDER_EQY_ENDING_PERIOD","1993-06-18","2026-05-02","Per=Y","Days=T","Dir=V")</f>
        <v>0</v>
      </c>
      <c r="S2">
        <f>BDH("LEVI US Equity","BS_ACCT_NOTE_RCV","1993-06-18","2026-05-02","Per=Y","Days=T","Dir=V")</f>
        <v>0</v>
      </c>
      <c r="U2">
        <f>BDH("LEVI US Equity","BS_INVENTORIES","1993-06-18","2026-05-02","Per=Y","Days=T","Dir=V")</f>
        <v>0</v>
      </c>
      <c r="W2">
        <f>BDH("LEVI US Equity","WORKING_CAPITAL","1993-06-18","2026-05-02","Per=Y","Days=T","Dir=V")</f>
        <v>0</v>
      </c>
      <c r="Y2">
        <f>BDH("LEVI US Equity","SALES_REV_TURN","1993-06-18","2026-05-02","Per=Y","Days=T","Dir=V")</f>
        <v>0</v>
      </c>
      <c r="AA2">
        <f>BDH("LEVI US Equity","EBIT","1993-06-18","2026-05-02","Per=Y","Days=T","Dir=V")</f>
        <v>0</v>
      </c>
      <c r="AC2">
        <f>BDH("LEVI US Equity","EBITDA","1993-06-18","2026-05-02","Per=Y","Days=T","Dir=V")</f>
        <v>0</v>
      </c>
      <c r="AE2">
        <f>BDH("LEVI US Equity","NET_INCOME","1993-06-18","2026-05-02","Per=Y","Days=T","Dir=V")</f>
        <v>0</v>
      </c>
      <c r="AG2">
        <f>BDH("LEVI US Equity","IS_INT_EXPENSE","1993-06-18","2026-05-02","Per=Y","Days=T","Dir=V")</f>
        <v>0</v>
      </c>
      <c r="AI2">
        <f>BDH("LEVI US Equity","IS_DEPR_EXP","1993-06-18","2026-05-02","Per=Y","Days=T","Dir=V")</f>
        <v>0</v>
      </c>
      <c r="AK2">
        <f>BDH("LEVI US Equity","CF_CASH_FROM_OPER","1993-06-18","2026-05-02","Per=Y","Days=T","Dir=V")</f>
        <v>0</v>
      </c>
      <c r="AM2">
        <f>BDH("LEVI US Equity","CAPITAL_EXPEND","1993-06-18","2026-05-02","Per=Y","Days=T","Dir=V")</f>
        <v>0</v>
      </c>
      <c r="AO2">
        <f>BDH("LEVI US Equity","CF_FREE_CASH_FLOW","1993-06-18","2026-05-02","Per=Y","Days=T","Dir=V")</f>
        <v>0</v>
      </c>
      <c r="AQ2">
        <f>BDH("LEVI US Equity","PX_LAST","1993-06-18","2026-05-02","Per=M","Days=T","Dir=V")</f>
        <v>0</v>
      </c>
      <c r="AS2">
        <f>BDH("LEVI US Equity","CUR_MKT_CAP","1993-06-18","2026-05-02","Per=M","Days=T","Dir=V")</f>
        <v>0</v>
      </c>
      <c r="AU2">
        <f>BDH("LEVI US Equity","EQY_SH_OUT","1993-06-18","2026-05-02","Per=M","Days=T","Dir=V")</f>
        <v>0</v>
      </c>
      <c r="AW2">
        <f>BDH("LEVI US Equity","PX_VOLUME","1993-06-18","2026-05-02","Per=M","Days=T","Dir=V")</f>
        <v>0</v>
      </c>
      <c r="AY2">
        <f>BDH("LEVI US Equity","TURNOVER","1993-06-18","2026-05-02","Per=M","Days=T","Dir=V")</f>
        <v>0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BDH("LFCR US Equity","BS_TOT_ASSET","1993-06-18","2026-05-02","Per=Y","Days=T","Dir=V")</f>
        <v>0</v>
      </c>
      <c r="C2">
        <f>BDH("LFCR US Equity","BS_TOT_LIAB2","1993-06-18","2026-05-02","Per=Y","Days=T","Dir=V")</f>
        <v>0</v>
      </c>
      <c r="E2">
        <f>BDH("LFCR US Equity","SHORT_AND_LONG_TERM_DEBT","1993-06-18","2026-05-02","Per=Y","Days=T","Dir=V")</f>
        <v>0</v>
      </c>
      <c r="G2">
        <f>BDH("LFCR US Equity","BS_ST_BORROW","1993-06-18","2026-05-02","Per=Y","Days=T","Dir=V")</f>
        <v>0</v>
      </c>
      <c r="I2">
        <f>BDH("LFCR US Equity","BS_LT_BORROW","1993-06-18","2026-05-02","Per=Y","Days=T","Dir=V")</f>
        <v>0</v>
      </c>
      <c r="K2">
        <f>BDH("LFCR US Equity","BS_CASH_NEAR_CASH_ITEM","1993-06-18","2026-05-02","Per=Y","Days=T","Dir=V")</f>
        <v>0</v>
      </c>
      <c r="M2">
        <f>BDH("LFCR US Equity","BS_CUR_ASSET_REPORT","1993-06-18","2026-05-02","Per=Y","Days=T","Dir=V")</f>
        <v>0</v>
      </c>
      <c r="O2">
        <f>BDH("LFCR US Equity","BS_CUR_LIAB","1993-06-18","2026-05-02","Per=Y","Days=T","Dir=V")</f>
        <v>0</v>
      </c>
      <c r="Q2">
        <f>BDH("LFCR US Equity","BS_SHAREHOLDER_EQY_ENDING_PERIOD","1993-06-18","2026-05-02","Per=Y","Days=T","Dir=V")</f>
        <v>0</v>
      </c>
      <c r="S2">
        <f>BDH("LFCR US Equity","BS_ACCT_NOTE_RCV","1993-06-18","2026-05-02","Per=Y","Days=T","Dir=V")</f>
        <v>0</v>
      </c>
      <c r="U2">
        <f>BDH("LFCR US Equity","BS_INVENTORIES","1993-06-18","2026-05-02","Per=Y","Days=T","Dir=V")</f>
        <v>0</v>
      </c>
      <c r="W2">
        <f>BDH("LFCR US Equity","WORKING_CAPITAL","1993-06-18","2026-05-02","Per=Y","Days=T","Dir=V")</f>
        <v>0</v>
      </c>
      <c r="Y2">
        <f>BDH("LFCR US Equity","SALES_REV_TURN","1993-06-18","2026-05-02","Per=Y","Days=T","Dir=V")</f>
        <v>0</v>
      </c>
      <c r="AA2">
        <f>BDH("LFCR US Equity","EBIT","1993-06-18","2026-05-02","Per=Y","Days=T","Dir=V")</f>
        <v>0</v>
      </c>
      <c r="AC2">
        <f>BDH("LFCR US Equity","EBITDA","1993-06-18","2026-05-02","Per=Y","Days=T","Dir=V")</f>
        <v>0</v>
      </c>
      <c r="AE2">
        <f>BDH("LFCR US Equity","NET_INCOME","1993-06-18","2026-05-02","Per=Y","Days=T","Dir=V")</f>
        <v>0</v>
      </c>
      <c r="AG2">
        <f>BDH("LFCR US Equity","IS_INT_EXPENSE","1993-06-18","2026-05-02","Per=Y","Days=T","Dir=V")</f>
        <v>0</v>
      </c>
      <c r="AI2">
        <f>BDH("LFCR US Equity","IS_DEPR_EXP","1993-06-18","2026-05-02","Per=Y","Days=T","Dir=V")</f>
        <v>0</v>
      </c>
      <c r="AK2">
        <f>BDH("LFCR US Equity","CF_CASH_FROM_OPER","1993-06-18","2026-05-02","Per=Y","Days=T","Dir=V")</f>
        <v>0</v>
      </c>
      <c r="AM2">
        <f>BDH("LFCR US Equity","CAPITAL_EXPEND","1993-06-18","2026-05-02","Per=Y","Days=T","Dir=V")</f>
        <v>0</v>
      </c>
      <c r="AO2">
        <f>BDH("LFCR US Equity","CF_FREE_CASH_FLOW","1993-06-18","2026-05-02","Per=Y","Days=T","Dir=V")</f>
        <v>0</v>
      </c>
      <c r="AQ2">
        <f>BDH("LFCR US Equity","PX_LAST","1993-06-18","2026-05-02","Per=M","Days=T","Dir=V")</f>
        <v>0</v>
      </c>
      <c r="AS2">
        <f>BDH("LFCR US Equity","CUR_MKT_CAP","1993-06-18","2026-05-02","Per=M","Days=T","Dir=V")</f>
        <v>0</v>
      </c>
      <c r="AU2">
        <f>BDH("LFCR US Equity","EQY_SH_OUT","1993-06-18","2026-05-02","Per=M","Days=T","Dir=V")</f>
        <v>0</v>
      </c>
      <c r="AW2">
        <f>BDH("LFCR US Equity","PX_VOLUME","1993-06-18","2026-05-02","Per=M","Days=T","Dir=V")</f>
        <v>0</v>
      </c>
      <c r="AY2">
        <f>BDH("LFCR US Equity","TURNOVER","1993-06-18","2026-05-02","Per=M","Days=T","Dir=V")</f>
        <v>0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BDH("LFMD US Equity","BS_TOT_ASSET","1993-06-18","2026-05-02","Per=Y","Days=T","Dir=V")</f>
        <v>0</v>
      </c>
      <c r="C2">
        <f>BDH("LFMD US Equity","BS_TOT_LIAB2","1993-06-18","2026-05-02","Per=Y","Days=T","Dir=V")</f>
        <v>0</v>
      </c>
      <c r="E2">
        <f>BDH("LFMD US Equity","SHORT_AND_LONG_TERM_DEBT","1993-06-18","2026-05-02","Per=Y","Days=T","Dir=V")</f>
        <v>0</v>
      </c>
      <c r="G2">
        <f>BDH("LFMD US Equity","BS_ST_BORROW","1993-06-18","2026-05-02","Per=Y","Days=T","Dir=V")</f>
        <v>0</v>
      </c>
      <c r="I2">
        <f>BDH("LFMD US Equity","BS_LT_BORROW","1993-06-18","2026-05-02","Per=Y","Days=T","Dir=V")</f>
        <v>0</v>
      </c>
      <c r="K2">
        <f>BDH("LFMD US Equity","BS_CASH_NEAR_CASH_ITEM","1993-06-18","2026-05-02","Per=Y","Days=T","Dir=V")</f>
        <v>0</v>
      </c>
      <c r="M2">
        <f>BDH("LFMD US Equity","BS_CUR_ASSET_REPORT","1993-06-18","2026-05-02","Per=Y","Days=T","Dir=V")</f>
        <v>0</v>
      </c>
      <c r="O2">
        <f>BDH("LFMD US Equity","BS_CUR_LIAB","1993-06-18","2026-05-02","Per=Y","Days=T","Dir=V")</f>
        <v>0</v>
      </c>
      <c r="Q2">
        <f>BDH("LFMD US Equity","BS_SHAREHOLDER_EQY_ENDING_PERIOD","1993-06-18","2026-05-02","Per=Y","Days=T","Dir=V")</f>
        <v>0</v>
      </c>
      <c r="S2">
        <f>BDH("LFMD US Equity","BS_ACCT_NOTE_RCV","1993-06-18","2026-05-02","Per=Y","Days=T","Dir=V")</f>
        <v>0</v>
      </c>
      <c r="U2">
        <f>BDH("LFMD US Equity","BS_INVENTORIES","1993-06-18","2026-05-02","Per=Y","Days=T","Dir=V")</f>
        <v>0</v>
      </c>
      <c r="W2">
        <f>BDH("LFMD US Equity","WORKING_CAPITAL","1993-06-18","2026-05-02","Per=Y","Days=T","Dir=V")</f>
        <v>0</v>
      </c>
      <c r="Y2">
        <f>BDH("LFMD US Equity","SALES_REV_TURN","1993-06-18","2026-05-02","Per=Y","Days=T","Dir=V")</f>
        <v>0</v>
      </c>
      <c r="AA2">
        <f>BDH("LFMD US Equity","EBIT","1993-06-18","2026-05-02","Per=Y","Days=T","Dir=V")</f>
        <v>0</v>
      </c>
      <c r="AC2">
        <f>BDH("LFMD US Equity","EBITDA","1993-06-18","2026-05-02","Per=Y","Days=T","Dir=V")</f>
        <v>0</v>
      </c>
      <c r="AE2">
        <f>BDH("LFMD US Equity","NET_INCOME","1993-06-18","2026-05-02","Per=Y","Days=T","Dir=V")</f>
        <v>0</v>
      </c>
      <c r="AG2">
        <f>BDH("LFMD US Equity","IS_INT_EXPENSE","1993-06-18","2026-05-02","Per=Y","Days=T","Dir=V")</f>
        <v>0</v>
      </c>
      <c r="AI2">
        <f>BDH("LFMD US Equity","IS_DEPR_EXP","1993-06-18","2026-05-02","Per=Y","Days=T","Dir=V")</f>
        <v>0</v>
      </c>
      <c r="AK2">
        <f>BDH("LFMD US Equity","CF_CASH_FROM_OPER","1993-06-18","2026-05-02","Per=Y","Days=T","Dir=V")</f>
        <v>0</v>
      </c>
      <c r="AM2">
        <f>BDH("LFMD US Equity","CAPITAL_EXPEND","1993-06-18","2026-05-02","Per=Y","Days=T","Dir=V")</f>
        <v>0</v>
      </c>
      <c r="AO2">
        <f>BDH("LFMD US Equity","CF_FREE_CASH_FLOW","1993-06-18","2026-05-02","Per=Y","Days=T","Dir=V")</f>
        <v>0</v>
      </c>
      <c r="AQ2">
        <f>BDH("LFMD US Equity","PX_LAST","1993-06-18","2026-05-02","Per=M","Days=T","Dir=V")</f>
        <v>0</v>
      </c>
      <c r="AS2">
        <f>BDH("LFMD US Equity","CUR_MKT_CAP","1993-06-18","2026-05-02","Per=M","Days=T","Dir=V")</f>
        <v>0</v>
      </c>
      <c r="AU2">
        <f>BDH("LFMD US Equity","EQY_SH_OUT","1993-06-18","2026-05-02","Per=M","Days=T","Dir=V")</f>
        <v>0</v>
      </c>
      <c r="AW2">
        <f>BDH("LFMD US Equity","PX_VOLUME","1993-06-18","2026-05-02","Per=M","Days=T","Dir=V")</f>
        <v>0</v>
      </c>
      <c r="AY2">
        <f>BDH("LFMD US Equity","TURNOVER","1993-06-18","2026-05-02","Per=M","Days=T","Dir=V")</f>
        <v>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BDH("LFMDP US Equity","BS_TOT_ASSET","1993-06-18","2026-05-02","Per=Y","Days=T","Dir=V")</f>
        <v>0</v>
      </c>
      <c r="C2">
        <f>BDH("LFMDP US Equity","BS_TOT_LIAB2","1993-06-18","2026-05-02","Per=Y","Days=T","Dir=V")</f>
        <v>0</v>
      </c>
      <c r="E2">
        <f>BDH("LFMDP US Equity","SHORT_AND_LONG_TERM_DEBT","1993-06-18","2026-05-02","Per=Y","Days=T","Dir=V")</f>
        <v>0</v>
      </c>
      <c r="G2">
        <f>BDH("LFMDP US Equity","BS_ST_BORROW","1993-06-18","2026-05-02","Per=Y","Days=T","Dir=V")</f>
        <v>0</v>
      </c>
      <c r="I2">
        <f>BDH("LFMDP US Equity","BS_LT_BORROW","1993-06-18","2026-05-02","Per=Y","Days=T","Dir=V")</f>
        <v>0</v>
      </c>
      <c r="K2">
        <f>BDH("LFMDP US Equity","BS_CASH_NEAR_CASH_ITEM","1993-06-18","2026-05-02","Per=Y","Days=T","Dir=V")</f>
        <v>0</v>
      </c>
      <c r="M2">
        <f>BDH("LFMDP US Equity","BS_CUR_ASSET_REPORT","1993-06-18","2026-05-02","Per=Y","Days=T","Dir=V")</f>
        <v>0</v>
      </c>
      <c r="O2">
        <f>BDH("LFMDP US Equity","BS_CUR_LIAB","1993-06-18","2026-05-02","Per=Y","Days=T","Dir=V")</f>
        <v>0</v>
      </c>
      <c r="Q2">
        <f>BDH("LFMDP US Equity","BS_SHAREHOLDER_EQY_ENDING_PERIOD","1993-06-18","2026-05-02","Per=Y","Days=T","Dir=V")</f>
        <v>0</v>
      </c>
      <c r="S2">
        <f>BDH("LFMDP US Equity","BS_ACCT_NOTE_RCV","1993-06-18","2026-05-02","Per=Y","Days=T","Dir=V")</f>
        <v>0</v>
      </c>
      <c r="U2">
        <f>BDH("LFMDP US Equity","BS_INVENTORIES","1993-06-18","2026-05-02","Per=Y","Days=T","Dir=V")</f>
        <v>0</v>
      </c>
      <c r="W2">
        <f>BDH("LFMDP US Equity","WORKING_CAPITAL","1993-06-18","2026-05-02","Per=Y","Days=T","Dir=V")</f>
        <v>0</v>
      </c>
      <c r="Y2">
        <f>BDH("LFMDP US Equity","SALES_REV_TURN","1993-06-18","2026-05-02","Per=Y","Days=T","Dir=V")</f>
        <v>0</v>
      </c>
      <c r="AA2">
        <f>BDH("LFMDP US Equity","EBIT","1993-06-18","2026-05-02","Per=Y","Days=T","Dir=V")</f>
        <v>0</v>
      </c>
      <c r="AC2">
        <f>BDH("LFMDP US Equity","EBITDA","1993-06-18","2026-05-02","Per=Y","Days=T","Dir=V")</f>
        <v>0</v>
      </c>
      <c r="AE2">
        <f>BDH("LFMDP US Equity","NET_INCOME","1993-06-18","2026-05-02","Per=Y","Days=T","Dir=V")</f>
        <v>0</v>
      </c>
      <c r="AG2">
        <f>BDH("LFMDP US Equity","IS_INT_EXPENSE","1993-06-18","2026-05-02","Per=Y","Days=T","Dir=V")</f>
        <v>0</v>
      </c>
      <c r="AI2">
        <f>BDH("LFMDP US Equity","IS_DEPR_EXP","1993-06-18","2026-05-02","Per=Y","Days=T","Dir=V")</f>
        <v>0</v>
      </c>
      <c r="AK2">
        <f>BDH("LFMDP US Equity","CF_CASH_FROM_OPER","1993-06-18","2026-05-02","Per=Y","Days=T","Dir=V")</f>
        <v>0</v>
      </c>
      <c r="AM2">
        <f>BDH("LFMDP US Equity","CAPITAL_EXPEND","1993-06-18","2026-05-02","Per=Y","Days=T","Dir=V")</f>
        <v>0</v>
      </c>
      <c r="AO2">
        <f>BDH("LFMDP US Equity","CF_FREE_CASH_FLOW","1993-06-18","2026-05-02","Per=Y","Days=T","Dir=V")</f>
        <v>0</v>
      </c>
      <c r="AQ2">
        <f>BDH("LFMDP US Equity","PX_LAST","1993-06-18","2026-05-02","Per=M","Days=T","Dir=V")</f>
        <v>0</v>
      </c>
      <c r="AS2">
        <f>BDH("LFMDP US Equity","CUR_MKT_CAP","1993-06-18","2026-05-02","Per=M","Days=T","Dir=V")</f>
        <v>0</v>
      </c>
      <c r="AU2">
        <f>BDH("LFMDP US Equity","EQY_SH_OUT","1993-06-18","2026-05-02","Per=M","Days=T","Dir=V")</f>
        <v>0</v>
      </c>
      <c r="AW2">
        <f>BDH("LFMDP US Equity","PX_VOLUME","1993-06-18","2026-05-02","Per=M","Days=T","Dir=V")</f>
        <v>0</v>
      </c>
      <c r="AY2">
        <f>BDH("LFMDP US Equity","TURNOVER","1993-06-18","2026-05-02","Per=M","Days=T","Dir=V")</f>
        <v>0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BDH("LFST US Equity","BS_TOT_ASSET","1993-06-18","2026-05-02","Per=Y","Days=T","Dir=V")</f>
        <v>0</v>
      </c>
      <c r="C2">
        <f>BDH("LFST US Equity","BS_TOT_LIAB2","1993-06-18","2026-05-02","Per=Y","Days=T","Dir=V")</f>
        <v>0</v>
      </c>
      <c r="E2">
        <f>BDH("LFST US Equity","SHORT_AND_LONG_TERM_DEBT","1993-06-18","2026-05-02","Per=Y","Days=T","Dir=V")</f>
        <v>0</v>
      </c>
      <c r="G2">
        <f>BDH("LFST US Equity","BS_ST_BORROW","1993-06-18","2026-05-02","Per=Y","Days=T","Dir=V")</f>
        <v>0</v>
      </c>
      <c r="I2">
        <f>BDH("LFST US Equity","BS_LT_BORROW","1993-06-18","2026-05-02","Per=Y","Days=T","Dir=V")</f>
        <v>0</v>
      </c>
      <c r="K2">
        <f>BDH("LFST US Equity","BS_CASH_NEAR_CASH_ITEM","1993-06-18","2026-05-02","Per=Y","Days=T","Dir=V")</f>
        <v>0</v>
      </c>
      <c r="M2">
        <f>BDH("LFST US Equity","BS_CUR_ASSET_REPORT","1993-06-18","2026-05-02","Per=Y","Days=T","Dir=V")</f>
        <v>0</v>
      </c>
      <c r="O2">
        <f>BDH("LFST US Equity","BS_CUR_LIAB","1993-06-18","2026-05-02","Per=Y","Days=T","Dir=V")</f>
        <v>0</v>
      </c>
      <c r="Q2">
        <f>BDH("LFST US Equity","BS_SHAREHOLDER_EQY_ENDING_PERIOD","1993-06-18","2026-05-02","Per=Y","Days=T","Dir=V")</f>
        <v>0</v>
      </c>
      <c r="S2">
        <f>BDH("LFST US Equity","BS_ACCT_NOTE_RCV","1993-06-18","2026-05-02","Per=Y","Days=T","Dir=V")</f>
        <v>0</v>
      </c>
      <c r="U2">
        <f>BDH("LFST US Equity","BS_INVENTORIES","1993-06-18","2026-05-02","Per=Y","Days=T","Dir=V")</f>
        <v>0</v>
      </c>
      <c r="W2">
        <f>BDH("LFST US Equity","WORKING_CAPITAL","1993-06-18","2026-05-02","Per=Y","Days=T","Dir=V")</f>
        <v>0</v>
      </c>
      <c r="Y2">
        <f>BDH("LFST US Equity","SALES_REV_TURN","1993-06-18","2026-05-02","Per=Y","Days=T","Dir=V")</f>
        <v>0</v>
      </c>
      <c r="AA2">
        <f>BDH("LFST US Equity","EBIT","1993-06-18","2026-05-02","Per=Y","Days=T","Dir=V")</f>
        <v>0</v>
      </c>
      <c r="AC2">
        <f>BDH("LFST US Equity","EBITDA","1993-06-18","2026-05-02","Per=Y","Days=T","Dir=V")</f>
        <v>0</v>
      </c>
      <c r="AE2">
        <f>BDH("LFST US Equity","NET_INCOME","1993-06-18","2026-05-02","Per=Y","Days=T","Dir=V")</f>
        <v>0</v>
      </c>
      <c r="AG2">
        <f>BDH("LFST US Equity","IS_INT_EXPENSE","1993-06-18","2026-05-02","Per=Y","Days=T","Dir=V")</f>
        <v>0</v>
      </c>
      <c r="AI2">
        <f>BDH("LFST US Equity","IS_DEPR_EXP","1993-06-18","2026-05-02","Per=Y","Days=T","Dir=V")</f>
        <v>0</v>
      </c>
      <c r="AK2">
        <f>BDH("LFST US Equity","CF_CASH_FROM_OPER","1993-06-18","2026-05-02","Per=Y","Days=T","Dir=V")</f>
        <v>0</v>
      </c>
      <c r="AM2">
        <f>BDH("LFST US Equity","CAPITAL_EXPEND","1993-06-18","2026-05-02","Per=Y","Days=T","Dir=V")</f>
        <v>0</v>
      </c>
      <c r="AO2">
        <f>BDH("LFST US Equity","CF_FREE_CASH_FLOW","1993-06-18","2026-05-02","Per=Y","Days=T","Dir=V")</f>
        <v>0</v>
      </c>
      <c r="AQ2">
        <f>BDH("LFST US Equity","PX_LAST","1993-06-18","2026-05-02","Per=M","Days=T","Dir=V")</f>
        <v>0</v>
      </c>
      <c r="AS2">
        <f>BDH("LFST US Equity","CUR_MKT_CAP","1993-06-18","2026-05-02","Per=M","Days=T","Dir=V")</f>
        <v>0</v>
      </c>
      <c r="AU2">
        <f>BDH("LFST US Equity","EQY_SH_OUT","1993-06-18","2026-05-02","Per=M","Days=T","Dir=V")</f>
        <v>0</v>
      </c>
      <c r="AW2">
        <f>BDH("LFST US Equity","PX_VOLUME","1993-06-18","2026-05-02","Per=M","Days=T","Dir=V")</f>
        <v>0</v>
      </c>
      <c r="AY2">
        <f>BDH("LFST US Equity","TURNOVER","1993-06-18","2026-05-02","Per=M","Days=T","Dir=V")</f>
        <v>0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BDH("LFTO US Equity","BS_TOT_ASSET","1993-06-18","2026-05-02","Per=Y","Days=T","Dir=V")</f>
        <v>0</v>
      </c>
      <c r="C2">
        <f>BDH("LFTO US Equity","BS_TOT_LIAB2","1993-06-18","2026-05-02","Per=Y","Days=T","Dir=V")</f>
        <v>0</v>
      </c>
      <c r="E2">
        <f>BDH("LFTO US Equity","SHORT_AND_LONG_TERM_DEBT","1993-06-18","2026-05-02","Per=Y","Days=T","Dir=V")</f>
        <v>0</v>
      </c>
      <c r="G2">
        <f>BDH("LFTO US Equity","BS_ST_BORROW","1993-06-18","2026-05-02","Per=Y","Days=T","Dir=V")</f>
        <v>0</v>
      </c>
      <c r="I2">
        <f>BDH("LFTO US Equity","BS_LT_BORROW","1993-06-18","2026-05-02","Per=Y","Days=T","Dir=V")</f>
        <v>0</v>
      </c>
      <c r="K2">
        <f>BDH("LFTO US Equity","BS_CASH_NEAR_CASH_ITEM","1993-06-18","2026-05-02","Per=Y","Days=T","Dir=V")</f>
        <v>0</v>
      </c>
      <c r="M2">
        <f>BDH("LFTO US Equity","BS_CUR_ASSET_REPORT","1993-06-18","2026-05-02","Per=Y","Days=T","Dir=V")</f>
        <v>0</v>
      </c>
      <c r="O2">
        <f>BDH("LFTO US Equity","BS_CUR_LIAB","1993-06-18","2026-05-02","Per=Y","Days=T","Dir=V")</f>
        <v>0</v>
      </c>
      <c r="Q2">
        <f>BDH("LFTO US Equity","BS_SHAREHOLDER_EQY_ENDING_PERIOD","1993-06-18","2026-05-02","Per=Y","Days=T","Dir=V")</f>
        <v>0</v>
      </c>
      <c r="S2">
        <f>BDH("LFTO US Equity","BS_ACCT_NOTE_RCV","1993-06-18","2026-05-02","Per=Y","Days=T","Dir=V")</f>
        <v>0</v>
      </c>
      <c r="U2">
        <f>BDH("LFTO US Equity","BS_INVENTORIES","1993-06-18","2026-05-02","Per=Y","Days=T","Dir=V")</f>
        <v>0</v>
      </c>
      <c r="W2">
        <f>BDH("LFTO US Equity","WORKING_CAPITAL","1993-06-18","2026-05-02","Per=Y","Days=T","Dir=V")</f>
        <v>0</v>
      </c>
      <c r="Y2">
        <f>BDH("LFTO US Equity","SALES_REV_TURN","1993-06-18","2026-05-02","Per=Y","Days=T","Dir=V")</f>
        <v>0</v>
      </c>
      <c r="AA2">
        <f>BDH("LFTO US Equity","EBIT","1993-06-18","2026-05-02","Per=Y","Days=T","Dir=V")</f>
        <v>0</v>
      </c>
      <c r="AC2">
        <f>BDH("LFTO US Equity","EBITDA","1993-06-18","2026-05-02","Per=Y","Days=T","Dir=V")</f>
        <v>0</v>
      </c>
      <c r="AE2">
        <f>BDH("LFTO US Equity","NET_INCOME","1993-06-18","2026-05-02","Per=Y","Days=T","Dir=V")</f>
        <v>0</v>
      </c>
      <c r="AG2">
        <f>BDH("LFTO US Equity","IS_INT_EXPENSE","1993-06-18","2026-05-02","Per=Y","Days=T","Dir=V")</f>
        <v>0</v>
      </c>
      <c r="AI2">
        <f>BDH("LFTO US Equity","IS_DEPR_EXP","1993-06-18","2026-05-02","Per=Y","Days=T","Dir=V")</f>
        <v>0</v>
      </c>
      <c r="AK2">
        <f>BDH("LFTO US Equity","CF_CASH_FROM_OPER","1993-06-18","2026-05-02","Per=Y","Days=T","Dir=V")</f>
        <v>0</v>
      </c>
      <c r="AM2">
        <f>BDH("LFTO US Equity","CAPITAL_EXPEND","1993-06-18","2026-05-02","Per=Y","Days=T","Dir=V")</f>
        <v>0</v>
      </c>
      <c r="AO2">
        <f>BDH("LFTO US Equity","CF_FREE_CASH_FLOW","1993-06-18","2026-05-02","Per=Y","Days=T","Dir=V")</f>
        <v>0</v>
      </c>
      <c r="AQ2">
        <f>BDH("LFTO US Equity","PX_LAST","1993-06-18","2026-05-02","Per=M","Days=T","Dir=V")</f>
        <v>0</v>
      </c>
      <c r="AS2">
        <f>BDH("LFTO US Equity","CUR_MKT_CAP","1993-06-18","2026-05-02","Per=M","Days=T","Dir=V")</f>
        <v>0</v>
      </c>
      <c r="AU2">
        <f>BDH("LFTO US Equity","EQY_SH_OUT","1993-06-18","2026-05-02","Per=M","Days=T","Dir=V")</f>
        <v>0</v>
      </c>
      <c r="AW2">
        <f>BDH("LFTO US Equity","PX_VOLUME","1993-06-18","2026-05-02","Per=M","Days=T","Dir=V")</f>
        <v>0</v>
      </c>
      <c r="AY2">
        <f>BDH("LFTO US Equity","TURNOVER","1993-06-18","2026-05-02","Per=M","Days=T","Dir=V")</f>
        <v>0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BDH("LFUS US Equity","BS_TOT_ASSET","1993-06-18","2026-05-02","Per=Y","Days=T","Dir=V")</f>
        <v>0</v>
      </c>
      <c r="C2">
        <f>BDH("LFUS US Equity","BS_TOT_LIAB2","1993-06-18","2026-05-02","Per=Y","Days=T","Dir=V")</f>
        <v>0</v>
      </c>
      <c r="E2">
        <f>BDH("LFUS US Equity","SHORT_AND_LONG_TERM_DEBT","1993-06-18","2026-05-02","Per=Y","Days=T","Dir=V")</f>
        <v>0</v>
      </c>
      <c r="G2">
        <f>BDH("LFUS US Equity","BS_ST_BORROW","1993-06-18","2026-05-02","Per=Y","Days=T","Dir=V")</f>
        <v>0</v>
      </c>
      <c r="I2">
        <f>BDH("LFUS US Equity","BS_LT_BORROW","1993-06-18","2026-05-02","Per=Y","Days=T","Dir=V")</f>
        <v>0</v>
      </c>
      <c r="K2">
        <f>BDH("LFUS US Equity","BS_CASH_NEAR_CASH_ITEM","1993-06-18","2026-05-02","Per=Y","Days=T","Dir=V")</f>
        <v>0</v>
      </c>
      <c r="M2">
        <f>BDH("LFUS US Equity","BS_CUR_ASSET_REPORT","1993-06-18","2026-05-02","Per=Y","Days=T","Dir=V")</f>
        <v>0</v>
      </c>
      <c r="O2">
        <f>BDH("LFUS US Equity","BS_CUR_LIAB","1993-06-18","2026-05-02","Per=Y","Days=T","Dir=V")</f>
        <v>0</v>
      </c>
      <c r="Q2">
        <f>BDH("LFUS US Equity","BS_SHAREHOLDER_EQY_ENDING_PERIOD","1993-06-18","2026-05-02","Per=Y","Days=T","Dir=V")</f>
        <v>0</v>
      </c>
      <c r="S2">
        <f>BDH("LFUS US Equity","BS_ACCT_NOTE_RCV","1993-06-18","2026-05-02","Per=Y","Days=T","Dir=V")</f>
        <v>0</v>
      </c>
      <c r="U2">
        <f>BDH("LFUS US Equity","BS_INVENTORIES","1993-06-18","2026-05-02","Per=Y","Days=T","Dir=V")</f>
        <v>0</v>
      </c>
      <c r="W2">
        <f>BDH("LFUS US Equity","WORKING_CAPITAL","1993-06-18","2026-05-02","Per=Y","Days=T","Dir=V")</f>
        <v>0</v>
      </c>
      <c r="Y2">
        <f>BDH("LFUS US Equity","SALES_REV_TURN","1993-06-18","2026-05-02","Per=Y","Days=T","Dir=V")</f>
        <v>0</v>
      </c>
      <c r="AA2">
        <f>BDH("LFUS US Equity","EBIT","1993-06-18","2026-05-02","Per=Y","Days=T","Dir=V")</f>
        <v>0</v>
      </c>
      <c r="AC2">
        <f>BDH("LFUS US Equity","EBITDA","1993-06-18","2026-05-02","Per=Y","Days=T","Dir=V")</f>
        <v>0</v>
      </c>
      <c r="AE2">
        <f>BDH("LFUS US Equity","NET_INCOME","1993-06-18","2026-05-02","Per=Y","Days=T","Dir=V")</f>
        <v>0</v>
      </c>
      <c r="AG2">
        <f>BDH("LFUS US Equity","IS_INT_EXPENSE","1993-06-18","2026-05-02","Per=Y","Days=T","Dir=V")</f>
        <v>0</v>
      </c>
      <c r="AI2">
        <f>BDH("LFUS US Equity","IS_DEPR_EXP","1993-06-18","2026-05-02","Per=Y","Days=T","Dir=V")</f>
        <v>0</v>
      </c>
      <c r="AK2">
        <f>BDH("LFUS US Equity","CF_CASH_FROM_OPER","1993-06-18","2026-05-02","Per=Y","Days=T","Dir=V")</f>
        <v>0</v>
      </c>
      <c r="AM2">
        <f>BDH("LFUS US Equity","CAPITAL_EXPEND","1993-06-18","2026-05-02","Per=Y","Days=T","Dir=V")</f>
        <v>0</v>
      </c>
      <c r="AO2">
        <f>BDH("LFUS US Equity","CF_FREE_CASH_FLOW","1993-06-18","2026-05-02","Per=Y","Days=T","Dir=V")</f>
        <v>0</v>
      </c>
      <c r="AQ2">
        <f>BDH("LFUS US Equity","PX_LAST","1993-06-18","2026-05-02","Per=M","Days=T","Dir=V")</f>
        <v>0</v>
      </c>
      <c r="AS2">
        <f>BDH("LFUS US Equity","CUR_MKT_CAP","1993-06-18","2026-05-02","Per=M","Days=T","Dir=V")</f>
        <v>0</v>
      </c>
      <c r="AU2">
        <f>BDH("LFUS US Equity","EQY_SH_OUT","1993-06-18","2026-05-02","Per=M","Days=T","Dir=V")</f>
        <v>0</v>
      </c>
      <c r="AW2">
        <f>BDH("LFUS US Equity","PX_VOLUME","1993-06-18","2026-05-02","Per=M","Days=T","Dir=V")</f>
        <v>0</v>
      </c>
      <c r="AY2">
        <f>BDH("LFUS US Equity","TURNOVER","1993-06-18","2026-05-02","Per=M","Days=T","Dir=V")</f>
        <v>0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BDH("LFVN US Equity","BS_TOT_ASSET","1993-06-18","2026-05-02","Per=Y","Days=T","Dir=V")</f>
        <v>0</v>
      </c>
      <c r="C2">
        <f>BDH("LFVN US Equity","BS_TOT_LIAB2","1993-06-18","2026-05-02","Per=Y","Days=T","Dir=V")</f>
        <v>0</v>
      </c>
      <c r="E2">
        <f>BDH("LFVN US Equity","SHORT_AND_LONG_TERM_DEBT","1993-06-18","2026-05-02","Per=Y","Days=T","Dir=V")</f>
        <v>0</v>
      </c>
      <c r="G2">
        <f>BDH("LFVN US Equity","BS_ST_BORROW","1993-06-18","2026-05-02","Per=Y","Days=T","Dir=V")</f>
        <v>0</v>
      </c>
      <c r="I2">
        <f>BDH("LFVN US Equity","BS_LT_BORROW","1993-06-18","2026-05-02","Per=Y","Days=T","Dir=V")</f>
        <v>0</v>
      </c>
      <c r="K2">
        <f>BDH("LFVN US Equity","BS_CASH_NEAR_CASH_ITEM","1993-06-18","2026-05-02","Per=Y","Days=T","Dir=V")</f>
        <v>0</v>
      </c>
      <c r="M2">
        <f>BDH("LFVN US Equity","BS_CUR_ASSET_REPORT","1993-06-18","2026-05-02","Per=Y","Days=T","Dir=V")</f>
        <v>0</v>
      </c>
      <c r="O2">
        <f>BDH("LFVN US Equity","BS_CUR_LIAB","1993-06-18","2026-05-02","Per=Y","Days=T","Dir=V")</f>
        <v>0</v>
      </c>
      <c r="Q2">
        <f>BDH("LFVN US Equity","BS_SHAREHOLDER_EQY_ENDING_PERIOD","1993-06-18","2026-05-02","Per=Y","Days=T","Dir=V")</f>
        <v>0</v>
      </c>
      <c r="S2">
        <f>BDH("LFVN US Equity","BS_ACCT_NOTE_RCV","1993-06-18","2026-05-02","Per=Y","Days=T","Dir=V")</f>
        <v>0</v>
      </c>
      <c r="U2">
        <f>BDH("LFVN US Equity","BS_INVENTORIES","1993-06-18","2026-05-02","Per=Y","Days=T","Dir=V")</f>
        <v>0</v>
      </c>
      <c r="W2">
        <f>BDH("LFVN US Equity","WORKING_CAPITAL","1993-06-18","2026-05-02","Per=Y","Days=T","Dir=V")</f>
        <v>0</v>
      </c>
      <c r="Y2">
        <f>BDH("LFVN US Equity","SALES_REV_TURN","1993-06-18","2026-05-02","Per=Y","Days=T","Dir=V")</f>
        <v>0</v>
      </c>
      <c r="AA2">
        <f>BDH("LFVN US Equity","EBIT","1993-06-18","2026-05-02","Per=Y","Days=T","Dir=V")</f>
        <v>0</v>
      </c>
      <c r="AC2">
        <f>BDH("LFVN US Equity","EBITDA","1993-06-18","2026-05-02","Per=Y","Days=T","Dir=V")</f>
        <v>0</v>
      </c>
      <c r="AE2">
        <f>BDH("LFVN US Equity","NET_INCOME","1993-06-18","2026-05-02","Per=Y","Days=T","Dir=V")</f>
        <v>0</v>
      </c>
      <c r="AG2">
        <f>BDH("LFVN US Equity","IS_INT_EXPENSE","1993-06-18","2026-05-02","Per=Y","Days=T","Dir=V")</f>
        <v>0</v>
      </c>
      <c r="AI2">
        <f>BDH("LFVN US Equity","IS_DEPR_EXP","1993-06-18","2026-05-02","Per=Y","Days=T","Dir=V")</f>
        <v>0</v>
      </c>
      <c r="AK2">
        <f>BDH("LFVN US Equity","CF_CASH_FROM_OPER","1993-06-18","2026-05-02","Per=Y","Days=T","Dir=V")</f>
        <v>0</v>
      </c>
      <c r="AM2">
        <f>BDH("LFVN US Equity","CAPITAL_EXPEND","1993-06-18","2026-05-02","Per=Y","Days=T","Dir=V")</f>
        <v>0</v>
      </c>
      <c r="AO2">
        <f>BDH("LFVN US Equity","CF_FREE_CASH_FLOW","1993-06-18","2026-05-02","Per=Y","Days=T","Dir=V")</f>
        <v>0</v>
      </c>
      <c r="AQ2">
        <f>BDH("LFVN US Equity","PX_LAST","1993-06-18","2026-05-02","Per=M","Days=T","Dir=V")</f>
        <v>0</v>
      </c>
      <c r="AS2">
        <f>BDH("LFVN US Equity","CUR_MKT_CAP","1993-06-18","2026-05-02","Per=M","Days=T","Dir=V")</f>
        <v>0</v>
      </c>
      <c r="AU2">
        <f>BDH("LFVN US Equity","EQY_SH_OUT","1993-06-18","2026-05-02","Per=M","Days=T","Dir=V")</f>
        <v>0</v>
      </c>
      <c r="AW2">
        <f>BDH("LFVN US Equity","PX_VOLUME","1993-06-18","2026-05-02","Per=M","Days=T","Dir=V")</f>
        <v>0</v>
      </c>
      <c r="AY2">
        <f>BDH("LFVN US Equity","TURNOVER","1993-06-18","2026-05-02","Per=M","Days=T","Dir=V")</f>
        <v>0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BDH("LGIH US Equity","BS_TOT_ASSET","1993-06-18","2026-05-02","Per=Y","Days=T","Dir=V")</f>
        <v>0</v>
      </c>
      <c r="C2">
        <f>BDH("LGIH US Equity","BS_TOT_LIAB2","1993-06-18","2026-05-02","Per=Y","Days=T","Dir=V")</f>
        <v>0</v>
      </c>
      <c r="E2">
        <f>BDH("LGIH US Equity","SHORT_AND_LONG_TERM_DEBT","1993-06-18","2026-05-02","Per=Y","Days=T","Dir=V")</f>
        <v>0</v>
      </c>
      <c r="G2">
        <f>BDH("LGIH US Equity","BS_ST_BORROW","1993-06-18","2026-05-02","Per=Y","Days=T","Dir=V")</f>
        <v>0</v>
      </c>
      <c r="I2">
        <f>BDH("LGIH US Equity","BS_LT_BORROW","1993-06-18","2026-05-02","Per=Y","Days=T","Dir=V")</f>
        <v>0</v>
      </c>
      <c r="K2">
        <f>BDH("LGIH US Equity","BS_CASH_NEAR_CASH_ITEM","1993-06-18","2026-05-02","Per=Y","Days=T","Dir=V")</f>
        <v>0</v>
      </c>
      <c r="M2">
        <f>BDH("LGIH US Equity","BS_CUR_ASSET_REPORT","1993-06-18","2026-05-02","Per=Y","Days=T","Dir=V")</f>
        <v>0</v>
      </c>
      <c r="O2">
        <f>BDH("LGIH US Equity","BS_CUR_LIAB","1993-06-18","2026-05-02","Per=Y","Days=T","Dir=V")</f>
        <v>0</v>
      </c>
      <c r="Q2">
        <f>BDH("LGIH US Equity","BS_SHAREHOLDER_EQY_ENDING_PERIOD","1993-06-18","2026-05-02","Per=Y","Days=T","Dir=V")</f>
        <v>0</v>
      </c>
      <c r="S2">
        <f>BDH("LGIH US Equity","BS_ACCT_NOTE_RCV","1993-06-18","2026-05-02","Per=Y","Days=T","Dir=V")</f>
        <v>0</v>
      </c>
      <c r="U2">
        <f>BDH("LGIH US Equity","BS_INVENTORIES","1993-06-18","2026-05-02","Per=Y","Days=T","Dir=V")</f>
        <v>0</v>
      </c>
      <c r="W2">
        <f>BDH("LGIH US Equity","WORKING_CAPITAL","1993-06-18","2026-05-02","Per=Y","Days=T","Dir=V")</f>
        <v>0</v>
      </c>
      <c r="Y2">
        <f>BDH("LGIH US Equity","SALES_REV_TURN","1993-06-18","2026-05-02","Per=Y","Days=T","Dir=V")</f>
        <v>0</v>
      </c>
      <c r="AA2">
        <f>BDH("LGIH US Equity","EBIT","1993-06-18","2026-05-02","Per=Y","Days=T","Dir=V")</f>
        <v>0</v>
      </c>
      <c r="AC2">
        <f>BDH("LGIH US Equity","EBITDA","1993-06-18","2026-05-02","Per=Y","Days=T","Dir=V")</f>
        <v>0</v>
      </c>
      <c r="AE2">
        <f>BDH("LGIH US Equity","NET_INCOME","1993-06-18","2026-05-02","Per=Y","Days=T","Dir=V")</f>
        <v>0</v>
      </c>
      <c r="AG2">
        <f>BDH("LGIH US Equity","IS_INT_EXPENSE","1993-06-18","2026-05-02","Per=Y","Days=T","Dir=V")</f>
        <v>0</v>
      </c>
      <c r="AI2">
        <f>BDH("LGIH US Equity","IS_DEPR_EXP","1993-06-18","2026-05-02","Per=Y","Days=T","Dir=V")</f>
        <v>0</v>
      </c>
      <c r="AK2">
        <f>BDH("LGIH US Equity","CF_CASH_FROM_OPER","1993-06-18","2026-05-02","Per=Y","Days=T","Dir=V")</f>
        <v>0</v>
      </c>
      <c r="AM2">
        <f>BDH("LGIH US Equity","CAPITAL_EXPEND","1993-06-18","2026-05-02","Per=Y","Days=T","Dir=V")</f>
        <v>0</v>
      </c>
      <c r="AO2">
        <f>BDH("LGIH US Equity","CF_FREE_CASH_FLOW","1993-06-18","2026-05-02","Per=Y","Days=T","Dir=V")</f>
        <v>0</v>
      </c>
      <c r="AQ2">
        <f>BDH("LGIH US Equity","PX_LAST","1993-06-18","2026-05-02","Per=M","Days=T","Dir=V")</f>
        <v>0</v>
      </c>
      <c r="AS2">
        <f>BDH("LGIH US Equity","CUR_MKT_CAP","1993-06-18","2026-05-02","Per=M","Days=T","Dir=V")</f>
        <v>0</v>
      </c>
      <c r="AU2">
        <f>BDH("LGIH US Equity","EQY_SH_OUT","1993-06-18","2026-05-02","Per=M","Days=T","Dir=V")</f>
        <v>0</v>
      </c>
      <c r="AW2">
        <f>BDH("LGIH US Equity","PX_VOLUME","1993-06-18","2026-05-02","Per=M","Days=T","Dir=V")</f>
        <v>0</v>
      </c>
      <c r="AY2">
        <f>BDH("LGIH US Equity","TURNOVER","1993-06-18","2026-05-02","Per=M","Days=T","Dir=V")</f>
        <v>0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BDH("LGL US Equity","BS_TOT_ASSET","1993-06-18","2026-05-02","Per=Y","Days=T","Dir=V")</f>
        <v>0</v>
      </c>
      <c r="C2">
        <f>BDH("LGL US Equity","BS_TOT_LIAB2","1993-06-18","2026-05-02","Per=Y","Days=T","Dir=V")</f>
        <v>0</v>
      </c>
      <c r="E2">
        <f>BDH("LGL US Equity","SHORT_AND_LONG_TERM_DEBT","1993-06-18","2026-05-02","Per=Y","Days=T","Dir=V")</f>
        <v>0</v>
      </c>
      <c r="G2">
        <f>BDH("LGL US Equity","BS_ST_BORROW","1993-06-18","2026-05-02","Per=Y","Days=T","Dir=V")</f>
        <v>0</v>
      </c>
      <c r="I2">
        <f>BDH("LGL US Equity","BS_LT_BORROW","1993-06-18","2026-05-02","Per=Y","Days=T","Dir=V")</f>
        <v>0</v>
      </c>
      <c r="K2">
        <f>BDH("LGL US Equity","BS_CASH_NEAR_CASH_ITEM","1993-06-18","2026-05-02","Per=Y","Days=T","Dir=V")</f>
        <v>0</v>
      </c>
      <c r="M2">
        <f>BDH("LGL US Equity","BS_CUR_ASSET_REPORT","1993-06-18","2026-05-02","Per=Y","Days=T","Dir=V")</f>
        <v>0</v>
      </c>
      <c r="O2">
        <f>BDH("LGL US Equity","BS_CUR_LIAB","1993-06-18","2026-05-02","Per=Y","Days=T","Dir=V")</f>
        <v>0</v>
      </c>
      <c r="Q2">
        <f>BDH("LGL US Equity","BS_SHAREHOLDER_EQY_ENDING_PERIOD","1993-06-18","2026-05-02","Per=Y","Days=T","Dir=V")</f>
        <v>0</v>
      </c>
      <c r="S2">
        <f>BDH("LGL US Equity","BS_ACCT_NOTE_RCV","1993-06-18","2026-05-02","Per=Y","Days=T","Dir=V")</f>
        <v>0</v>
      </c>
      <c r="U2">
        <f>BDH("LGL US Equity","BS_INVENTORIES","1993-06-18","2026-05-02","Per=Y","Days=T","Dir=V")</f>
        <v>0</v>
      </c>
      <c r="W2">
        <f>BDH("LGL US Equity","WORKING_CAPITAL","1993-06-18","2026-05-02","Per=Y","Days=T","Dir=V")</f>
        <v>0</v>
      </c>
      <c r="Y2">
        <f>BDH("LGL US Equity","SALES_REV_TURN","1993-06-18","2026-05-02","Per=Y","Days=T","Dir=V")</f>
        <v>0</v>
      </c>
      <c r="AA2">
        <f>BDH("LGL US Equity","EBIT","1993-06-18","2026-05-02","Per=Y","Days=T","Dir=V")</f>
        <v>0</v>
      </c>
      <c r="AC2">
        <f>BDH("LGL US Equity","EBITDA","1993-06-18","2026-05-02","Per=Y","Days=T","Dir=V")</f>
        <v>0</v>
      </c>
      <c r="AE2">
        <f>BDH("LGL US Equity","NET_INCOME","1993-06-18","2026-05-02","Per=Y","Days=T","Dir=V")</f>
        <v>0</v>
      </c>
      <c r="AG2">
        <f>BDH("LGL US Equity","IS_INT_EXPENSE","1993-06-18","2026-05-02","Per=Y","Days=T","Dir=V")</f>
        <v>0</v>
      </c>
      <c r="AI2">
        <f>BDH("LGL US Equity","IS_DEPR_EXP","1993-06-18","2026-05-02","Per=Y","Days=T","Dir=V")</f>
        <v>0</v>
      </c>
      <c r="AK2">
        <f>BDH("LGL US Equity","CF_CASH_FROM_OPER","1993-06-18","2026-05-02","Per=Y","Days=T","Dir=V")</f>
        <v>0</v>
      </c>
      <c r="AM2">
        <f>BDH("LGL US Equity","CAPITAL_EXPEND","1993-06-18","2026-05-02","Per=Y","Days=T","Dir=V")</f>
        <v>0</v>
      </c>
      <c r="AO2">
        <f>BDH("LGL US Equity","CF_FREE_CASH_FLOW","1993-06-18","2026-05-02","Per=Y","Days=T","Dir=V")</f>
        <v>0</v>
      </c>
      <c r="AQ2">
        <f>BDH("LGL US Equity","PX_LAST","1993-06-18","2026-05-02","Per=M","Days=T","Dir=V")</f>
        <v>0</v>
      </c>
      <c r="AS2">
        <f>BDH("LGL US Equity","CUR_MKT_CAP","1993-06-18","2026-05-02","Per=M","Days=T","Dir=V")</f>
        <v>0</v>
      </c>
      <c r="AU2">
        <f>BDH("LGL US Equity","EQY_SH_OUT","1993-06-18","2026-05-02","Per=M","Days=T","Dir=V")</f>
        <v>0</v>
      </c>
      <c r="AW2">
        <f>BDH("LGL US Equity","PX_VOLUME","1993-06-18","2026-05-02","Per=M","Days=T","Dir=V")</f>
        <v>0</v>
      </c>
      <c r="AY2">
        <f>BDH("LGL US Equity","TURNOVER","1993-06-18","2026-05-02","Per=M","Days=T","Dir=V")</f>
        <v>0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BDH("LGN US Equity","BS_TOT_ASSET","1993-06-18","2026-05-02","Per=Y","Days=T","Dir=V")</f>
        <v>0</v>
      </c>
      <c r="C2">
        <f>BDH("LGN US Equity","BS_TOT_LIAB2","1993-06-18","2026-05-02","Per=Y","Days=T","Dir=V")</f>
        <v>0</v>
      </c>
      <c r="E2">
        <f>BDH("LGN US Equity","SHORT_AND_LONG_TERM_DEBT","1993-06-18","2026-05-02","Per=Y","Days=T","Dir=V")</f>
        <v>0</v>
      </c>
      <c r="G2">
        <f>BDH("LGN US Equity","BS_ST_BORROW","1993-06-18","2026-05-02","Per=Y","Days=T","Dir=V")</f>
        <v>0</v>
      </c>
      <c r="I2">
        <f>BDH("LGN US Equity","BS_LT_BORROW","1993-06-18","2026-05-02","Per=Y","Days=T","Dir=V")</f>
        <v>0</v>
      </c>
      <c r="K2">
        <f>BDH("LGN US Equity","BS_CASH_NEAR_CASH_ITEM","1993-06-18","2026-05-02","Per=Y","Days=T","Dir=V")</f>
        <v>0</v>
      </c>
      <c r="M2">
        <f>BDH("LGN US Equity","BS_CUR_ASSET_REPORT","1993-06-18","2026-05-02","Per=Y","Days=T","Dir=V")</f>
        <v>0</v>
      </c>
      <c r="O2">
        <f>BDH("LGN US Equity","BS_CUR_LIAB","1993-06-18","2026-05-02","Per=Y","Days=T","Dir=V")</f>
        <v>0</v>
      </c>
      <c r="Q2">
        <f>BDH("LGN US Equity","BS_SHAREHOLDER_EQY_ENDING_PERIOD","1993-06-18","2026-05-02","Per=Y","Days=T","Dir=V")</f>
        <v>0</v>
      </c>
      <c r="S2">
        <f>BDH("LGN US Equity","BS_ACCT_NOTE_RCV","1993-06-18","2026-05-02","Per=Y","Days=T","Dir=V")</f>
        <v>0</v>
      </c>
      <c r="U2">
        <f>BDH("LGN US Equity","BS_INVENTORIES","1993-06-18","2026-05-02","Per=Y","Days=T","Dir=V")</f>
        <v>0</v>
      </c>
      <c r="W2">
        <f>BDH("LGN US Equity","WORKING_CAPITAL","1993-06-18","2026-05-02","Per=Y","Days=T","Dir=V")</f>
        <v>0</v>
      </c>
      <c r="Y2">
        <f>BDH("LGN US Equity","SALES_REV_TURN","1993-06-18","2026-05-02","Per=Y","Days=T","Dir=V")</f>
        <v>0</v>
      </c>
      <c r="AA2">
        <f>BDH("LGN US Equity","EBIT","1993-06-18","2026-05-02","Per=Y","Days=T","Dir=V")</f>
        <v>0</v>
      </c>
      <c r="AC2">
        <f>BDH("LGN US Equity","EBITDA","1993-06-18","2026-05-02","Per=Y","Days=T","Dir=V")</f>
        <v>0</v>
      </c>
      <c r="AE2">
        <f>BDH("LGN US Equity","NET_INCOME","1993-06-18","2026-05-02","Per=Y","Days=T","Dir=V")</f>
        <v>0</v>
      </c>
      <c r="AG2">
        <f>BDH("LGN US Equity","IS_INT_EXPENSE","1993-06-18","2026-05-02","Per=Y","Days=T","Dir=V")</f>
        <v>0</v>
      </c>
      <c r="AI2">
        <f>BDH("LGN US Equity","IS_DEPR_EXP","1993-06-18","2026-05-02","Per=Y","Days=T","Dir=V")</f>
        <v>0</v>
      </c>
      <c r="AK2">
        <f>BDH("LGN US Equity","CF_CASH_FROM_OPER","1993-06-18","2026-05-02","Per=Y","Days=T","Dir=V")</f>
        <v>0</v>
      </c>
      <c r="AM2">
        <f>BDH("LGN US Equity","CAPITAL_EXPEND","1993-06-18","2026-05-02","Per=Y","Days=T","Dir=V")</f>
        <v>0</v>
      </c>
      <c r="AO2">
        <f>BDH("LGN US Equity","CF_FREE_CASH_FLOW","1993-06-18","2026-05-02","Per=Y","Days=T","Dir=V")</f>
        <v>0</v>
      </c>
      <c r="AQ2">
        <f>BDH("LGN US Equity","PX_LAST","1993-06-18","2026-05-02","Per=M","Days=T","Dir=V")</f>
        <v>0</v>
      </c>
      <c r="AS2">
        <f>BDH("LGN US Equity","CUR_MKT_CAP","1993-06-18","2026-05-02","Per=M","Days=T","Dir=V")</f>
        <v>0</v>
      </c>
      <c r="AU2">
        <f>BDH("LGN US Equity","EQY_SH_OUT","1993-06-18","2026-05-02","Per=M","Days=T","Dir=V")</f>
        <v>0</v>
      </c>
      <c r="AW2">
        <f>BDH("LGN US Equity","PX_VOLUME","1993-06-18","2026-05-02","Per=M","Days=T","Dir=V")</f>
        <v>0</v>
      </c>
      <c r="AY2">
        <f>BDH("LGN US Equity","TURNOVER","1993-06-18","2026-05-02","Per=M","Days=T","Dir=V")</f>
        <v>0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BDH("LGND US Equity","BS_TOT_ASSET","1993-06-18","2026-05-02","Per=Y","Days=T","Dir=V")</f>
        <v>0</v>
      </c>
      <c r="C2">
        <f>BDH("LGND US Equity","BS_TOT_LIAB2","1993-06-18","2026-05-02","Per=Y","Days=T","Dir=V")</f>
        <v>0</v>
      </c>
      <c r="E2">
        <f>BDH("LGND US Equity","SHORT_AND_LONG_TERM_DEBT","1993-06-18","2026-05-02","Per=Y","Days=T","Dir=V")</f>
        <v>0</v>
      </c>
      <c r="G2">
        <f>BDH("LGND US Equity","BS_ST_BORROW","1993-06-18","2026-05-02","Per=Y","Days=T","Dir=V")</f>
        <v>0</v>
      </c>
      <c r="I2">
        <f>BDH("LGND US Equity","BS_LT_BORROW","1993-06-18","2026-05-02","Per=Y","Days=T","Dir=V")</f>
        <v>0</v>
      </c>
      <c r="K2">
        <f>BDH("LGND US Equity","BS_CASH_NEAR_CASH_ITEM","1993-06-18","2026-05-02","Per=Y","Days=T","Dir=V")</f>
        <v>0</v>
      </c>
      <c r="M2">
        <f>BDH("LGND US Equity","BS_CUR_ASSET_REPORT","1993-06-18","2026-05-02","Per=Y","Days=T","Dir=V")</f>
        <v>0</v>
      </c>
      <c r="O2">
        <f>BDH("LGND US Equity","BS_CUR_LIAB","1993-06-18","2026-05-02","Per=Y","Days=T","Dir=V")</f>
        <v>0</v>
      </c>
      <c r="Q2">
        <f>BDH("LGND US Equity","BS_SHAREHOLDER_EQY_ENDING_PERIOD","1993-06-18","2026-05-02","Per=Y","Days=T","Dir=V")</f>
        <v>0</v>
      </c>
      <c r="S2">
        <f>BDH("LGND US Equity","BS_ACCT_NOTE_RCV","1993-06-18","2026-05-02","Per=Y","Days=T","Dir=V")</f>
        <v>0</v>
      </c>
      <c r="U2">
        <f>BDH("LGND US Equity","BS_INVENTORIES","1993-06-18","2026-05-02","Per=Y","Days=T","Dir=V")</f>
        <v>0</v>
      </c>
      <c r="W2">
        <f>BDH("LGND US Equity","WORKING_CAPITAL","1993-06-18","2026-05-02","Per=Y","Days=T","Dir=V")</f>
        <v>0</v>
      </c>
      <c r="Y2">
        <f>BDH("LGND US Equity","SALES_REV_TURN","1993-06-18","2026-05-02","Per=Y","Days=T","Dir=V")</f>
        <v>0</v>
      </c>
      <c r="AA2">
        <f>BDH("LGND US Equity","EBIT","1993-06-18","2026-05-02","Per=Y","Days=T","Dir=V")</f>
        <v>0</v>
      </c>
      <c r="AC2">
        <f>BDH("LGND US Equity","EBITDA","1993-06-18","2026-05-02","Per=Y","Days=T","Dir=V")</f>
        <v>0</v>
      </c>
      <c r="AE2">
        <f>BDH("LGND US Equity","NET_INCOME","1993-06-18","2026-05-02","Per=Y","Days=T","Dir=V")</f>
        <v>0</v>
      </c>
      <c r="AG2">
        <f>BDH("LGND US Equity","IS_INT_EXPENSE","1993-06-18","2026-05-02","Per=Y","Days=T","Dir=V")</f>
        <v>0</v>
      </c>
      <c r="AI2">
        <f>BDH("LGND US Equity","IS_DEPR_EXP","1993-06-18","2026-05-02","Per=Y","Days=T","Dir=V")</f>
        <v>0</v>
      </c>
      <c r="AK2">
        <f>BDH("LGND US Equity","CF_CASH_FROM_OPER","1993-06-18","2026-05-02","Per=Y","Days=T","Dir=V")</f>
        <v>0</v>
      </c>
      <c r="AM2">
        <f>BDH("LGND US Equity","CAPITAL_EXPEND","1993-06-18","2026-05-02","Per=Y","Days=T","Dir=V")</f>
        <v>0</v>
      </c>
      <c r="AO2">
        <f>BDH("LGND US Equity","CF_FREE_CASH_FLOW","1993-06-18","2026-05-02","Per=Y","Days=T","Dir=V")</f>
        <v>0</v>
      </c>
      <c r="AQ2">
        <f>BDH("LGND US Equity","PX_LAST","1993-06-18","2026-05-02","Per=M","Days=T","Dir=V")</f>
        <v>0</v>
      </c>
      <c r="AS2">
        <f>BDH("LGND US Equity","CUR_MKT_CAP","1993-06-18","2026-05-02","Per=M","Days=T","Dir=V")</f>
        <v>0</v>
      </c>
      <c r="AU2">
        <f>BDH("LGND US Equity","EQY_SH_OUT","1993-06-18","2026-05-02","Per=M","Days=T","Dir=V")</f>
        <v>0</v>
      </c>
      <c r="AW2">
        <f>BDH("LGND US Equity","PX_VOLUME","1993-06-18","2026-05-02","Per=M","Days=T","Dir=V")</f>
        <v>0</v>
      </c>
      <c r="AY2">
        <f>BDH("LGND US Equity","TURNOVER","1993-06-18","2026-05-02","Per=M","Days=T","Dir=V")</f>
        <v>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BDH("LGVN US Equity","BS_TOT_ASSET","1993-06-18","2026-05-02","Per=Y","Days=T","Dir=V")</f>
        <v>0</v>
      </c>
      <c r="C2">
        <f>BDH("LGVN US Equity","BS_TOT_LIAB2","1993-06-18","2026-05-02","Per=Y","Days=T","Dir=V")</f>
        <v>0</v>
      </c>
      <c r="E2">
        <f>BDH("LGVN US Equity","SHORT_AND_LONG_TERM_DEBT","1993-06-18","2026-05-02","Per=Y","Days=T","Dir=V")</f>
        <v>0</v>
      </c>
      <c r="G2">
        <f>BDH("LGVN US Equity","BS_ST_BORROW","1993-06-18","2026-05-02","Per=Y","Days=T","Dir=V")</f>
        <v>0</v>
      </c>
      <c r="I2">
        <f>BDH("LGVN US Equity","BS_LT_BORROW","1993-06-18","2026-05-02","Per=Y","Days=T","Dir=V")</f>
        <v>0</v>
      </c>
      <c r="K2">
        <f>BDH("LGVN US Equity","BS_CASH_NEAR_CASH_ITEM","1993-06-18","2026-05-02","Per=Y","Days=T","Dir=V")</f>
        <v>0</v>
      </c>
      <c r="M2">
        <f>BDH("LGVN US Equity","BS_CUR_ASSET_REPORT","1993-06-18","2026-05-02","Per=Y","Days=T","Dir=V")</f>
        <v>0</v>
      </c>
      <c r="O2">
        <f>BDH("LGVN US Equity","BS_CUR_LIAB","1993-06-18","2026-05-02","Per=Y","Days=T","Dir=V")</f>
        <v>0</v>
      </c>
      <c r="Q2">
        <f>BDH("LGVN US Equity","BS_SHAREHOLDER_EQY_ENDING_PERIOD","1993-06-18","2026-05-02","Per=Y","Days=T","Dir=V")</f>
        <v>0</v>
      </c>
      <c r="S2">
        <f>BDH("LGVN US Equity","BS_ACCT_NOTE_RCV","1993-06-18","2026-05-02","Per=Y","Days=T","Dir=V")</f>
        <v>0</v>
      </c>
      <c r="U2">
        <f>BDH("LGVN US Equity","BS_INVENTORIES","1993-06-18","2026-05-02","Per=Y","Days=T","Dir=V")</f>
        <v>0</v>
      </c>
      <c r="W2">
        <f>BDH("LGVN US Equity","WORKING_CAPITAL","1993-06-18","2026-05-02","Per=Y","Days=T","Dir=V")</f>
        <v>0</v>
      </c>
      <c r="Y2">
        <f>BDH("LGVN US Equity","SALES_REV_TURN","1993-06-18","2026-05-02","Per=Y","Days=T","Dir=V")</f>
        <v>0</v>
      </c>
      <c r="AA2">
        <f>BDH("LGVN US Equity","EBIT","1993-06-18","2026-05-02","Per=Y","Days=T","Dir=V")</f>
        <v>0</v>
      </c>
      <c r="AC2">
        <f>BDH("LGVN US Equity","EBITDA","1993-06-18","2026-05-02","Per=Y","Days=T","Dir=V")</f>
        <v>0</v>
      </c>
      <c r="AE2">
        <f>BDH("LGVN US Equity","NET_INCOME","1993-06-18","2026-05-02","Per=Y","Days=T","Dir=V")</f>
        <v>0</v>
      </c>
      <c r="AG2">
        <f>BDH("LGVN US Equity","IS_INT_EXPENSE","1993-06-18","2026-05-02","Per=Y","Days=T","Dir=V")</f>
        <v>0</v>
      </c>
      <c r="AI2">
        <f>BDH("LGVN US Equity","IS_DEPR_EXP","1993-06-18","2026-05-02","Per=Y","Days=T","Dir=V")</f>
        <v>0</v>
      </c>
      <c r="AK2">
        <f>BDH("LGVN US Equity","CF_CASH_FROM_OPER","1993-06-18","2026-05-02","Per=Y","Days=T","Dir=V")</f>
        <v>0</v>
      </c>
      <c r="AM2">
        <f>BDH("LGVN US Equity","CAPITAL_EXPEND","1993-06-18","2026-05-02","Per=Y","Days=T","Dir=V")</f>
        <v>0</v>
      </c>
      <c r="AO2">
        <f>BDH("LGVN US Equity","CF_FREE_CASH_FLOW","1993-06-18","2026-05-02","Per=Y","Days=T","Dir=V")</f>
        <v>0</v>
      </c>
      <c r="AQ2">
        <f>BDH("LGVN US Equity","PX_LAST","1993-06-18","2026-05-02","Per=M","Days=T","Dir=V")</f>
        <v>0</v>
      </c>
      <c r="AS2">
        <f>BDH("LGVN US Equity","CUR_MKT_CAP","1993-06-18","2026-05-02","Per=M","Days=T","Dir=V")</f>
        <v>0</v>
      </c>
      <c r="AU2">
        <f>BDH("LGVN US Equity","EQY_SH_OUT","1993-06-18","2026-05-02","Per=M","Days=T","Dir=V")</f>
        <v>0</v>
      </c>
      <c r="AW2">
        <f>BDH("LGVN US Equity","PX_VOLUME","1993-06-18","2026-05-02","Per=M","Days=T","Dir=V")</f>
        <v>0</v>
      </c>
      <c r="AY2">
        <f>BDH("LGVN US Equity","TURNOVER","1993-06-18","2026-05-02","Per=M","Days=T","Dir=V")</f>
        <v>0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BDH("LH US Equity","BS_TOT_ASSET","1993-06-18","2026-05-02","Per=Y","Days=T","Dir=V")</f>
        <v>0</v>
      </c>
      <c r="C2">
        <f>BDH("LH US Equity","BS_TOT_LIAB2","1993-06-18","2026-05-02","Per=Y","Days=T","Dir=V")</f>
        <v>0</v>
      </c>
      <c r="E2">
        <f>BDH("LH US Equity","SHORT_AND_LONG_TERM_DEBT","1993-06-18","2026-05-02","Per=Y","Days=T","Dir=V")</f>
        <v>0</v>
      </c>
      <c r="G2">
        <f>BDH("LH US Equity","BS_ST_BORROW","1993-06-18","2026-05-02","Per=Y","Days=T","Dir=V")</f>
        <v>0</v>
      </c>
      <c r="I2">
        <f>BDH("LH US Equity","BS_LT_BORROW","1993-06-18","2026-05-02","Per=Y","Days=T","Dir=V")</f>
        <v>0</v>
      </c>
      <c r="K2">
        <f>BDH("LH US Equity","BS_CASH_NEAR_CASH_ITEM","1993-06-18","2026-05-02","Per=Y","Days=T","Dir=V")</f>
        <v>0</v>
      </c>
      <c r="M2">
        <f>BDH("LH US Equity","BS_CUR_ASSET_REPORT","1993-06-18","2026-05-02","Per=Y","Days=T","Dir=V")</f>
        <v>0</v>
      </c>
      <c r="O2">
        <f>BDH("LH US Equity","BS_CUR_LIAB","1993-06-18","2026-05-02","Per=Y","Days=T","Dir=V")</f>
        <v>0</v>
      </c>
      <c r="Q2">
        <f>BDH("LH US Equity","BS_SHAREHOLDER_EQY_ENDING_PERIOD","1993-06-18","2026-05-02","Per=Y","Days=T","Dir=V")</f>
        <v>0</v>
      </c>
      <c r="S2">
        <f>BDH("LH US Equity","BS_ACCT_NOTE_RCV","1993-06-18","2026-05-02","Per=Y","Days=T","Dir=V")</f>
        <v>0</v>
      </c>
      <c r="U2">
        <f>BDH("LH US Equity","BS_INVENTORIES","1993-06-18","2026-05-02","Per=Y","Days=T","Dir=V")</f>
        <v>0</v>
      </c>
      <c r="W2">
        <f>BDH("LH US Equity","WORKING_CAPITAL","1993-06-18","2026-05-02","Per=Y","Days=T","Dir=V")</f>
        <v>0</v>
      </c>
      <c r="Y2">
        <f>BDH("LH US Equity","SALES_REV_TURN","1993-06-18","2026-05-02","Per=Y","Days=T","Dir=V")</f>
        <v>0</v>
      </c>
      <c r="AA2">
        <f>BDH("LH US Equity","EBIT","1993-06-18","2026-05-02","Per=Y","Days=T","Dir=V")</f>
        <v>0</v>
      </c>
      <c r="AC2">
        <f>BDH("LH US Equity","EBITDA","1993-06-18","2026-05-02","Per=Y","Days=T","Dir=V")</f>
        <v>0</v>
      </c>
      <c r="AE2">
        <f>BDH("LH US Equity","NET_INCOME","1993-06-18","2026-05-02","Per=Y","Days=T","Dir=V")</f>
        <v>0</v>
      </c>
      <c r="AG2">
        <f>BDH("LH US Equity","IS_INT_EXPENSE","1993-06-18","2026-05-02","Per=Y","Days=T","Dir=V")</f>
        <v>0</v>
      </c>
      <c r="AI2">
        <f>BDH("LH US Equity","IS_DEPR_EXP","1993-06-18","2026-05-02","Per=Y","Days=T","Dir=V")</f>
        <v>0</v>
      </c>
      <c r="AK2">
        <f>BDH("LH US Equity","CF_CASH_FROM_OPER","1993-06-18","2026-05-02","Per=Y","Days=T","Dir=V")</f>
        <v>0</v>
      </c>
      <c r="AM2">
        <f>BDH("LH US Equity","CAPITAL_EXPEND","1993-06-18","2026-05-02","Per=Y","Days=T","Dir=V")</f>
        <v>0</v>
      </c>
      <c r="AO2">
        <f>BDH("LH US Equity","CF_FREE_CASH_FLOW","1993-06-18","2026-05-02","Per=Y","Days=T","Dir=V")</f>
        <v>0</v>
      </c>
      <c r="AQ2">
        <f>BDH("LH US Equity","PX_LAST","1993-06-18","2026-05-02","Per=M","Days=T","Dir=V")</f>
        <v>0</v>
      </c>
      <c r="AS2">
        <f>BDH("LH US Equity","CUR_MKT_CAP","1993-06-18","2026-05-02","Per=M","Days=T","Dir=V")</f>
        <v>0</v>
      </c>
      <c r="AU2">
        <f>BDH("LH US Equity","EQY_SH_OUT","1993-06-18","2026-05-02","Per=M","Days=T","Dir=V")</f>
        <v>0</v>
      </c>
      <c r="AW2">
        <f>BDH("LH US Equity","PX_VOLUME","1993-06-18","2026-05-02","Per=M","Days=T","Dir=V")</f>
        <v>0</v>
      </c>
      <c r="AY2">
        <f>BDH("LH US Equity","TURNOVER","1993-06-18","2026-05-02","Per=M","Days=T","Dir=V")</f>
        <v>0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BDH("LHX US Equity","BS_TOT_ASSET","1993-06-18","2026-05-02","Per=Y","Days=T","Dir=V")</f>
        <v>0</v>
      </c>
      <c r="C2">
        <f>BDH("LHX US Equity","BS_TOT_LIAB2","1993-06-18","2026-05-02","Per=Y","Days=T","Dir=V")</f>
        <v>0</v>
      </c>
      <c r="E2">
        <f>BDH("LHX US Equity","SHORT_AND_LONG_TERM_DEBT","1993-06-18","2026-05-02","Per=Y","Days=T","Dir=V")</f>
        <v>0</v>
      </c>
      <c r="G2">
        <f>BDH("LHX US Equity","BS_ST_BORROW","1993-06-18","2026-05-02","Per=Y","Days=T","Dir=V")</f>
        <v>0</v>
      </c>
      <c r="I2">
        <f>BDH("LHX US Equity","BS_LT_BORROW","1993-06-18","2026-05-02","Per=Y","Days=T","Dir=V")</f>
        <v>0</v>
      </c>
      <c r="K2">
        <f>BDH("LHX US Equity","BS_CASH_NEAR_CASH_ITEM","1993-06-18","2026-05-02","Per=Y","Days=T","Dir=V")</f>
        <v>0</v>
      </c>
      <c r="M2">
        <f>BDH("LHX US Equity","BS_CUR_ASSET_REPORT","1993-06-18","2026-05-02","Per=Y","Days=T","Dir=V")</f>
        <v>0</v>
      </c>
      <c r="O2">
        <f>BDH("LHX US Equity","BS_CUR_LIAB","1993-06-18","2026-05-02","Per=Y","Days=T","Dir=V")</f>
        <v>0</v>
      </c>
      <c r="Q2">
        <f>BDH("LHX US Equity","BS_SHAREHOLDER_EQY_ENDING_PERIOD","1993-06-18","2026-05-02","Per=Y","Days=T","Dir=V")</f>
        <v>0</v>
      </c>
      <c r="S2">
        <f>BDH("LHX US Equity","BS_ACCT_NOTE_RCV","1993-06-18","2026-05-02","Per=Y","Days=T","Dir=V")</f>
        <v>0</v>
      </c>
      <c r="U2">
        <f>BDH("LHX US Equity","BS_INVENTORIES","1993-06-18","2026-05-02","Per=Y","Days=T","Dir=V")</f>
        <v>0</v>
      </c>
      <c r="W2">
        <f>BDH("LHX US Equity","WORKING_CAPITAL","1993-06-18","2026-05-02","Per=Y","Days=T","Dir=V")</f>
        <v>0</v>
      </c>
      <c r="Y2">
        <f>BDH("LHX US Equity","SALES_REV_TURN","1993-06-18","2026-05-02","Per=Y","Days=T","Dir=V")</f>
        <v>0</v>
      </c>
      <c r="AA2">
        <f>BDH("LHX US Equity","EBIT","1993-06-18","2026-05-02","Per=Y","Days=T","Dir=V")</f>
        <v>0</v>
      </c>
      <c r="AC2">
        <f>BDH("LHX US Equity","EBITDA","1993-06-18","2026-05-02","Per=Y","Days=T","Dir=V")</f>
        <v>0</v>
      </c>
      <c r="AE2">
        <f>BDH("LHX US Equity","NET_INCOME","1993-06-18","2026-05-02","Per=Y","Days=T","Dir=V")</f>
        <v>0</v>
      </c>
      <c r="AG2">
        <f>BDH("LHX US Equity","IS_INT_EXPENSE","1993-06-18","2026-05-02","Per=Y","Days=T","Dir=V")</f>
        <v>0</v>
      </c>
      <c r="AI2">
        <f>BDH("LHX US Equity","IS_DEPR_EXP","1993-06-18","2026-05-02","Per=Y","Days=T","Dir=V")</f>
        <v>0</v>
      </c>
      <c r="AK2">
        <f>BDH("LHX US Equity","CF_CASH_FROM_OPER","1993-06-18","2026-05-02","Per=Y","Days=T","Dir=V")</f>
        <v>0</v>
      </c>
      <c r="AM2">
        <f>BDH("LHX US Equity","CAPITAL_EXPEND","1993-06-18","2026-05-02","Per=Y","Days=T","Dir=V")</f>
        <v>0</v>
      </c>
      <c r="AO2">
        <f>BDH("LHX US Equity","CF_FREE_CASH_FLOW","1993-06-18","2026-05-02","Per=Y","Days=T","Dir=V")</f>
        <v>0</v>
      </c>
      <c r="AQ2">
        <f>BDH("LHX US Equity","PX_LAST","1993-06-18","2026-05-02","Per=M","Days=T","Dir=V")</f>
        <v>0</v>
      </c>
      <c r="AS2">
        <f>BDH("LHX US Equity","CUR_MKT_CAP","1993-06-18","2026-05-02","Per=M","Days=T","Dir=V")</f>
        <v>0</v>
      </c>
      <c r="AU2">
        <f>BDH("LHX US Equity","EQY_SH_OUT","1993-06-18","2026-05-02","Per=M","Days=T","Dir=V")</f>
        <v>0</v>
      </c>
      <c r="AW2">
        <f>BDH("LHX US Equity","PX_VOLUME","1993-06-18","2026-05-02","Per=M","Days=T","Dir=V")</f>
        <v>0</v>
      </c>
      <c r="AY2">
        <f>BDH("LHX US Equity","TURNOVER","1993-06-18","2026-05-02","Per=M","Days=T","Dir=V")</f>
        <v>0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BDH("LIDR US Equity","BS_TOT_ASSET","1993-06-18","2026-05-02","Per=Y","Days=T","Dir=V")</f>
        <v>0</v>
      </c>
      <c r="C2">
        <f>BDH("LIDR US Equity","BS_TOT_LIAB2","1993-06-18","2026-05-02","Per=Y","Days=T","Dir=V")</f>
        <v>0</v>
      </c>
      <c r="E2">
        <f>BDH("LIDR US Equity","SHORT_AND_LONG_TERM_DEBT","1993-06-18","2026-05-02","Per=Y","Days=T","Dir=V")</f>
        <v>0</v>
      </c>
      <c r="G2">
        <f>BDH("LIDR US Equity","BS_ST_BORROW","1993-06-18","2026-05-02","Per=Y","Days=T","Dir=V")</f>
        <v>0</v>
      </c>
      <c r="I2">
        <f>BDH("LIDR US Equity","BS_LT_BORROW","1993-06-18","2026-05-02","Per=Y","Days=T","Dir=V")</f>
        <v>0</v>
      </c>
      <c r="K2">
        <f>BDH("LIDR US Equity","BS_CASH_NEAR_CASH_ITEM","1993-06-18","2026-05-02","Per=Y","Days=T","Dir=V")</f>
        <v>0</v>
      </c>
      <c r="M2">
        <f>BDH("LIDR US Equity","BS_CUR_ASSET_REPORT","1993-06-18","2026-05-02","Per=Y","Days=T","Dir=V")</f>
        <v>0</v>
      </c>
      <c r="O2">
        <f>BDH("LIDR US Equity","BS_CUR_LIAB","1993-06-18","2026-05-02","Per=Y","Days=T","Dir=V")</f>
        <v>0</v>
      </c>
      <c r="Q2">
        <f>BDH("LIDR US Equity","BS_SHAREHOLDER_EQY_ENDING_PERIOD","1993-06-18","2026-05-02","Per=Y","Days=T","Dir=V")</f>
        <v>0</v>
      </c>
      <c r="S2">
        <f>BDH("LIDR US Equity","BS_ACCT_NOTE_RCV","1993-06-18","2026-05-02","Per=Y","Days=T","Dir=V")</f>
        <v>0</v>
      </c>
      <c r="U2">
        <f>BDH("LIDR US Equity","BS_INVENTORIES","1993-06-18","2026-05-02","Per=Y","Days=T","Dir=V")</f>
        <v>0</v>
      </c>
      <c r="W2">
        <f>BDH("LIDR US Equity","WORKING_CAPITAL","1993-06-18","2026-05-02","Per=Y","Days=T","Dir=V")</f>
        <v>0</v>
      </c>
      <c r="Y2">
        <f>BDH("LIDR US Equity","SALES_REV_TURN","1993-06-18","2026-05-02","Per=Y","Days=T","Dir=V")</f>
        <v>0</v>
      </c>
      <c r="AA2">
        <f>BDH("LIDR US Equity","EBIT","1993-06-18","2026-05-02","Per=Y","Days=T","Dir=V")</f>
        <v>0</v>
      </c>
      <c r="AC2">
        <f>BDH("LIDR US Equity","EBITDA","1993-06-18","2026-05-02","Per=Y","Days=T","Dir=V")</f>
        <v>0</v>
      </c>
      <c r="AE2">
        <f>BDH("LIDR US Equity","NET_INCOME","1993-06-18","2026-05-02","Per=Y","Days=T","Dir=V")</f>
        <v>0</v>
      </c>
      <c r="AG2">
        <f>BDH("LIDR US Equity","IS_INT_EXPENSE","1993-06-18","2026-05-02","Per=Y","Days=T","Dir=V")</f>
        <v>0</v>
      </c>
      <c r="AI2">
        <f>BDH("LIDR US Equity","IS_DEPR_EXP","1993-06-18","2026-05-02","Per=Y","Days=T","Dir=V")</f>
        <v>0</v>
      </c>
      <c r="AK2">
        <f>BDH("LIDR US Equity","CF_CASH_FROM_OPER","1993-06-18","2026-05-02","Per=Y","Days=T","Dir=V")</f>
        <v>0</v>
      </c>
      <c r="AM2">
        <f>BDH("LIDR US Equity","CAPITAL_EXPEND","1993-06-18","2026-05-02","Per=Y","Days=T","Dir=V")</f>
        <v>0</v>
      </c>
      <c r="AO2">
        <f>BDH("LIDR US Equity","CF_FREE_CASH_FLOW","1993-06-18","2026-05-02","Per=Y","Days=T","Dir=V")</f>
        <v>0</v>
      </c>
      <c r="AQ2">
        <f>BDH("LIDR US Equity","PX_LAST","1993-06-18","2026-05-02","Per=M","Days=T","Dir=V")</f>
        <v>0</v>
      </c>
      <c r="AS2">
        <f>BDH("LIDR US Equity","CUR_MKT_CAP","1993-06-18","2026-05-02","Per=M","Days=T","Dir=V")</f>
        <v>0</v>
      </c>
      <c r="AU2">
        <f>BDH("LIDR US Equity","EQY_SH_OUT","1993-06-18","2026-05-02","Per=M","Days=T","Dir=V")</f>
        <v>0</v>
      </c>
      <c r="AW2">
        <f>BDH("LIDR US Equity","PX_VOLUME","1993-06-18","2026-05-02","Per=M","Days=T","Dir=V")</f>
        <v>0</v>
      </c>
      <c r="AY2">
        <f>BDH("LIDR US Equity","TURNOVER","1993-06-18","2026-05-02","Per=M","Days=T","Dir=V")</f>
        <v>0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BDH("LIF US Equity","BS_TOT_ASSET","1993-06-18","2026-05-02","Per=Y","Days=T","Dir=V")</f>
        <v>0</v>
      </c>
      <c r="C2">
        <f>BDH("LIF US Equity","BS_TOT_LIAB2","1993-06-18","2026-05-02","Per=Y","Days=T","Dir=V")</f>
        <v>0</v>
      </c>
      <c r="E2">
        <f>BDH("LIF US Equity","SHORT_AND_LONG_TERM_DEBT","1993-06-18","2026-05-02","Per=Y","Days=T","Dir=V")</f>
        <v>0</v>
      </c>
      <c r="G2">
        <f>BDH("LIF US Equity","BS_ST_BORROW","1993-06-18","2026-05-02","Per=Y","Days=T","Dir=V")</f>
        <v>0</v>
      </c>
      <c r="I2">
        <f>BDH("LIF US Equity","BS_LT_BORROW","1993-06-18","2026-05-02","Per=Y","Days=T","Dir=V")</f>
        <v>0</v>
      </c>
      <c r="K2">
        <f>BDH("LIF US Equity","BS_CASH_NEAR_CASH_ITEM","1993-06-18","2026-05-02","Per=Y","Days=T","Dir=V")</f>
        <v>0</v>
      </c>
      <c r="M2">
        <f>BDH("LIF US Equity","BS_CUR_ASSET_REPORT","1993-06-18","2026-05-02","Per=Y","Days=T","Dir=V")</f>
        <v>0</v>
      </c>
      <c r="O2">
        <f>BDH("LIF US Equity","BS_CUR_LIAB","1993-06-18","2026-05-02","Per=Y","Days=T","Dir=V")</f>
        <v>0</v>
      </c>
      <c r="Q2">
        <f>BDH("LIF US Equity","BS_SHAREHOLDER_EQY_ENDING_PERIOD","1993-06-18","2026-05-02","Per=Y","Days=T","Dir=V")</f>
        <v>0</v>
      </c>
      <c r="S2">
        <f>BDH("LIF US Equity","BS_ACCT_NOTE_RCV","1993-06-18","2026-05-02","Per=Y","Days=T","Dir=V")</f>
        <v>0</v>
      </c>
      <c r="U2">
        <f>BDH("LIF US Equity","BS_INVENTORIES","1993-06-18","2026-05-02","Per=Y","Days=T","Dir=V")</f>
        <v>0</v>
      </c>
      <c r="W2">
        <f>BDH("LIF US Equity","WORKING_CAPITAL","1993-06-18","2026-05-02","Per=Y","Days=T","Dir=V")</f>
        <v>0</v>
      </c>
      <c r="Y2">
        <f>BDH("LIF US Equity","SALES_REV_TURN","1993-06-18","2026-05-02","Per=Y","Days=T","Dir=V")</f>
        <v>0</v>
      </c>
      <c r="AA2">
        <f>BDH("LIF US Equity","EBIT","1993-06-18","2026-05-02","Per=Y","Days=T","Dir=V")</f>
        <v>0</v>
      </c>
      <c r="AC2">
        <f>BDH("LIF US Equity","EBITDA","1993-06-18","2026-05-02","Per=Y","Days=T","Dir=V")</f>
        <v>0</v>
      </c>
      <c r="AE2">
        <f>BDH("LIF US Equity","NET_INCOME","1993-06-18","2026-05-02","Per=Y","Days=T","Dir=V")</f>
        <v>0</v>
      </c>
      <c r="AG2">
        <f>BDH("LIF US Equity","IS_INT_EXPENSE","1993-06-18","2026-05-02","Per=Y","Days=T","Dir=V")</f>
        <v>0</v>
      </c>
      <c r="AI2">
        <f>BDH("LIF US Equity","IS_DEPR_EXP","1993-06-18","2026-05-02","Per=Y","Days=T","Dir=V")</f>
        <v>0</v>
      </c>
      <c r="AK2">
        <f>BDH("LIF US Equity","CF_CASH_FROM_OPER","1993-06-18","2026-05-02","Per=Y","Days=T","Dir=V")</f>
        <v>0</v>
      </c>
      <c r="AM2">
        <f>BDH("LIF US Equity","CAPITAL_EXPEND","1993-06-18","2026-05-02","Per=Y","Days=T","Dir=V")</f>
        <v>0</v>
      </c>
      <c r="AO2">
        <f>BDH("LIF US Equity","CF_FREE_CASH_FLOW","1993-06-18","2026-05-02","Per=Y","Days=T","Dir=V")</f>
        <v>0</v>
      </c>
      <c r="AQ2">
        <f>BDH("LIF US Equity","PX_LAST","1993-06-18","2026-05-02","Per=M","Days=T","Dir=V")</f>
        <v>0</v>
      </c>
      <c r="AS2">
        <f>BDH("LIF US Equity","CUR_MKT_CAP","1993-06-18","2026-05-02","Per=M","Days=T","Dir=V")</f>
        <v>0</v>
      </c>
      <c r="AU2">
        <f>BDH("LIF US Equity","EQY_SH_OUT","1993-06-18","2026-05-02","Per=M","Days=T","Dir=V")</f>
        <v>0</v>
      </c>
      <c r="AW2">
        <f>BDH("LIF US Equity","PX_VOLUME","1993-06-18","2026-05-02","Per=M","Days=T","Dir=V")</f>
        <v>0</v>
      </c>
      <c r="AY2">
        <f>BDH("LIF US Equity","TURNOVER","1993-06-18","2026-05-02","Per=M","Days=T","Dir=V")</f>
        <v>0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BDH("LII US Equity","BS_TOT_ASSET","1993-06-18","2026-05-02","Per=Y","Days=T","Dir=V")</f>
        <v>0</v>
      </c>
      <c r="C2">
        <f>BDH("LII US Equity","BS_TOT_LIAB2","1993-06-18","2026-05-02","Per=Y","Days=T","Dir=V")</f>
        <v>0</v>
      </c>
      <c r="E2">
        <f>BDH("LII US Equity","SHORT_AND_LONG_TERM_DEBT","1993-06-18","2026-05-02","Per=Y","Days=T","Dir=V")</f>
        <v>0</v>
      </c>
      <c r="G2">
        <f>BDH("LII US Equity","BS_ST_BORROW","1993-06-18","2026-05-02","Per=Y","Days=T","Dir=V")</f>
        <v>0</v>
      </c>
      <c r="I2">
        <f>BDH("LII US Equity","BS_LT_BORROW","1993-06-18","2026-05-02","Per=Y","Days=T","Dir=V")</f>
        <v>0</v>
      </c>
      <c r="K2">
        <f>BDH("LII US Equity","BS_CASH_NEAR_CASH_ITEM","1993-06-18","2026-05-02","Per=Y","Days=T","Dir=V")</f>
        <v>0</v>
      </c>
      <c r="M2">
        <f>BDH("LII US Equity","BS_CUR_ASSET_REPORT","1993-06-18","2026-05-02","Per=Y","Days=T","Dir=V")</f>
        <v>0</v>
      </c>
      <c r="O2">
        <f>BDH("LII US Equity","BS_CUR_LIAB","1993-06-18","2026-05-02","Per=Y","Days=T","Dir=V")</f>
        <v>0</v>
      </c>
      <c r="Q2">
        <f>BDH("LII US Equity","BS_SHAREHOLDER_EQY_ENDING_PERIOD","1993-06-18","2026-05-02","Per=Y","Days=T","Dir=V")</f>
        <v>0</v>
      </c>
      <c r="S2">
        <f>BDH("LII US Equity","BS_ACCT_NOTE_RCV","1993-06-18","2026-05-02","Per=Y","Days=T","Dir=V")</f>
        <v>0</v>
      </c>
      <c r="U2">
        <f>BDH("LII US Equity","BS_INVENTORIES","1993-06-18","2026-05-02","Per=Y","Days=T","Dir=V")</f>
        <v>0</v>
      </c>
      <c r="W2">
        <f>BDH("LII US Equity","WORKING_CAPITAL","1993-06-18","2026-05-02","Per=Y","Days=T","Dir=V")</f>
        <v>0</v>
      </c>
      <c r="Y2">
        <f>BDH("LII US Equity","SALES_REV_TURN","1993-06-18","2026-05-02","Per=Y","Days=T","Dir=V")</f>
        <v>0</v>
      </c>
      <c r="AA2">
        <f>BDH("LII US Equity","EBIT","1993-06-18","2026-05-02","Per=Y","Days=T","Dir=V")</f>
        <v>0</v>
      </c>
      <c r="AC2">
        <f>BDH("LII US Equity","EBITDA","1993-06-18","2026-05-02","Per=Y","Days=T","Dir=V")</f>
        <v>0</v>
      </c>
      <c r="AE2">
        <f>BDH("LII US Equity","NET_INCOME","1993-06-18","2026-05-02","Per=Y","Days=T","Dir=V")</f>
        <v>0</v>
      </c>
      <c r="AG2">
        <f>BDH("LII US Equity","IS_INT_EXPENSE","1993-06-18","2026-05-02","Per=Y","Days=T","Dir=V")</f>
        <v>0</v>
      </c>
      <c r="AI2">
        <f>BDH("LII US Equity","IS_DEPR_EXP","1993-06-18","2026-05-02","Per=Y","Days=T","Dir=V")</f>
        <v>0</v>
      </c>
      <c r="AK2">
        <f>BDH("LII US Equity","CF_CASH_FROM_OPER","1993-06-18","2026-05-02","Per=Y","Days=T","Dir=V")</f>
        <v>0</v>
      </c>
      <c r="AM2">
        <f>BDH("LII US Equity","CAPITAL_EXPEND","1993-06-18","2026-05-02","Per=Y","Days=T","Dir=V")</f>
        <v>0</v>
      </c>
      <c r="AO2">
        <f>BDH("LII US Equity","CF_FREE_CASH_FLOW","1993-06-18","2026-05-02","Per=Y","Days=T","Dir=V")</f>
        <v>0</v>
      </c>
      <c r="AQ2">
        <f>BDH("LII US Equity","PX_LAST","1993-06-18","2026-05-02","Per=M","Days=T","Dir=V")</f>
        <v>0</v>
      </c>
      <c r="AS2">
        <f>BDH("LII US Equity","CUR_MKT_CAP","1993-06-18","2026-05-02","Per=M","Days=T","Dir=V")</f>
        <v>0</v>
      </c>
      <c r="AU2">
        <f>BDH("LII US Equity","EQY_SH_OUT","1993-06-18","2026-05-02","Per=M","Days=T","Dir=V")</f>
        <v>0</v>
      </c>
      <c r="AW2">
        <f>BDH("LII US Equity","PX_VOLUME","1993-06-18","2026-05-02","Per=M","Days=T","Dir=V")</f>
        <v>0</v>
      </c>
      <c r="AY2">
        <f>BDH("LII US Equity","TURNOVER","1993-06-18","2026-05-02","Per=M","Days=T","Dir=V")</f>
        <v>0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BDH("LILA US Equity","BS_TOT_ASSET","1993-06-18","2026-05-02","Per=Y","Days=T","Dir=V")</f>
        <v>0</v>
      </c>
      <c r="C2">
        <f>BDH("LILA US Equity","BS_TOT_LIAB2","1993-06-18","2026-05-02","Per=Y","Days=T","Dir=V")</f>
        <v>0</v>
      </c>
      <c r="E2">
        <f>BDH("LILA US Equity","SHORT_AND_LONG_TERM_DEBT","1993-06-18","2026-05-02","Per=Y","Days=T","Dir=V")</f>
        <v>0</v>
      </c>
      <c r="G2">
        <f>BDH("LILA US Equity","BS_ST_BORROW","1993-06-18","2026-05-02","Per=Y","Days=T","Dir=V")</f>
        <v>0</v>
      </c>
      <c r="I2">
        <f>BDH("LILA US Equity","BS_LT_BORROW","1993-06-18","2026-05-02","Per=Y","Days=T","Dir=V")</f>
        <v>0</v>
      </c>
      <c r="K2">
        <f>BDH("LILA US Equity","BS_CASH_NEAR_CASH_ITEM","1993-06-18","2026-05-02","Per=Y","Days=T","Dir=V")</f>
        <v>0</v>
      </c>
      <c r="M2">
        <f>BDH("LILA US Equity","BS_CUR_ASSET_REPORT","1993-06-18","2026-05-02","Per=Y","Days=T","Dir=V")</f>
        <v>0</v>
      </c>
      <c r="O2">
        <f>BDH("LILA US Equity","BS_CUR_LIAB","1993-06-18","2026-05-02","Per=Y","Days=T","Dir=V")</f>
        <v>0</v>
      </c>
      <c r="Q2">
        <f>BDH("LILA US Equity","BS_SHAREHOLDER_EQY_ENDING_PERIOD","1993-06-18","2026-05-02","Per=Y","Days=T","Dir=V")</f>
        <v>0</v>
      </c>
      <c r="S2">
        <f>BDH("LILA US Equity","BS_ACCT_NOTE_RCV","1993-06-18","2026-05-02","Per=Y","Days=T","Dir=V")</f>
        <v>0</v>
      </c>
      <c r="U2">
        <f>BDH("LILA US Equity","BS_INVENTORIES","1993-06-18","2026-05-02","Per=Y","Days=T","Dir=V")</f>
        <v>0</v>
      </c>
      <c r="W2">
        <f>BDH("LILA US Equity","WORKING_CAPITAL","1993-06-18","2026-05-02","Per=Y","Days=T","Dir=V")</f>
        <v>0</v>
      </c>
      <c r="Y2">
        <f>BDH("LILA US Equity","SALES_REV_TURN","1993-06-18","2026-05-02","Per=Y","Days=T","Dir=V")</f>
        <v>0</v>
      </c>
      <c r="AA2">
        <f>BDH("LILA US Equity","EBIT","1993-06-18","2026-05-02","Per=Y","Days=T","Dir=V")</f>
        <v>0</v>
      </c>
      <c r="AC2">
        <f>BDH("LILA US Equity","EBITDA","1993-06-18","2026-05-02","Per=Y","Days=T","Dir=V")</f>
        <v>0</v>
      </c>
      <c r="AE2">
        <f>BDH("LILA US Equity","NET_INCOME","1993-06-18","2026-05-02","Per=Y","Days=T","Dir=V")</f>
        <v>0</v>
      </c>
      <c r="AG2">
        <f>BDH("LILA US Equity","IS_INT_EXPENSE","1993-06-18","2026-05-02","Per=Y","Days=T","Dir=V")</f>
        <v>0</v>
      </c>
      <c r="AI2">
        <f>BDH("LILA US Equity","IS_DEPR_EXP","1993-06-18","2026-05-02","Per=Y","Days=T","Dir=V")</f>
        <v>0</v>
      </c>
      <c r="AK2">
        <f>BDH("LILA US Equity","CF_CASH_FROM_OPER","1993-06-18","2026-05-02","Per=Y","Days=T","Dir=V")</f>
        <v>0</v>
      </c>
      <c r="AM2">
        <f>BDH("LILA US Equity","CAPITAL_EXPEND","1993-06-18","2026-05-02","Per=Y","Days=T","Dir=V")</f>
        <v>0</v>
      </c>
      <c r="AO2">
        <f>BDH("LILA US Equity","CF_FREE_CASH_FLOW","1993-06-18","2026-05-02","Per=Y","Days=T","Dir=V")</f>
        <v>0</v>
      </c>
      <c r="AQ2">
        <f>BDH("LILA US Equity","PX_LAST","1993-06-18","2026-05-02","Per=M","Days=T","Dir=V")</f>
        <v>0</v>
      </c>
      <c r="AS2">
        <f>BDH("LILA US Equity","CUR_MKT_CAP","1993-06-18","2026-05-02","Per=M","Days=T","Dir=V")</f>
        <v>0</v>
      </c>
      <c r="AU2">
        <f>BDH("LILA US Equity","EQY_SH_OUT","1993-06-18","2026-05-02","Per=M","Days=T","Dir=V")</f>
        <v>0</v>
      </c>
      <c r="AW2">
        <f>BDH("LILA US Equity","PX_VOLUME","1993-06-18","2026-05-02","Per=M","Days=T","Dir=V")</f>
        <v>0</v>
      </c>
      <c r="AY2">
        <f>BDH("LILA US Equity","TURNOVER","1993-06-18","2026-05-02","Per=M","Days=T","Dir=V")</f>
        <v>0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BDH("LILAK US Equity","BS_TOT_ASSET","1993-06-18","2026-05-02","Per=Y","Days=T","Dir=V")</f>
        <v>0</v>
      </c>
      <c r="C2">
        <f>BDH("LILAK US Equity","BS_TOT_LIAB2","1993-06-18","2026-05-02","Per=Y","Days=T","Dir=V")</f>
        <v>0</v>
      </c>
      <c r="E2">
        <f>BDH("LILAK US Equity","SHORT_AND_LONG_TERM_DEBT","1993-06-18","2026-05-02","Per=Y","Days=T","Dir=V")</f>
        <v>0</v>
      </c>
      <c r="G2">
        <f>BDH("LILAK US Equity","BS_ST_BORROW","1993-06-18","2026-05-02","Per=Y","Days=T","Dir=V")</f>
        <v>0</v>
      </c>
      <c r="I2">
        <f>BDH("LILAK US Equity","BS_LT_BORROW","1993-06-18","2026-05-02","Per=Y","Days=T","Dir=V")</f>
        <v>0</v>
      </c>
      <c r="K2">
        <f>BDH("LILAK US Equity","BS_CASH_NEAR_CASH_ITEM","1993-06-18","2026-05-02","Per=Y","Days=T","Dir=V")</f>
        <v>0</v>
      </c>
      <c r="M2">
        <f>BDH("LILAK US Equity","BS_CUR_ASSET_REPORT","1993-06-18","2026-05-02","Per=Y","Days=T","Dir=V")</f>
        <v>0</v>
      </c>
      <c r="O2">
        <f>BDH("LILAK US Equity","BS_CUR_LIAB","1993-06-18","2026-05-02","Per=Y","Days=T","Dir=V")</f>
        <v>0</v>
      </c>
      <c r="Q2">
        <f>BDH("LILAK US Equity","BS_SHAREHOLDER_EQY_ENDING_PERIOD","1993-06-18","2026-05-02","Per=Y","Days=T","Dir=V")</f>
        <v>0</v>
      </c>
      <c r="S2">
        <f>BDH("LILAK US Equity","BS_ACCT_NOTE_RCV","1993-06-18","2026-05-02","Per=Y","Days=T","Dir=V")</f>
        <v>0</v>
      </c>
      <c r="U2">
        <f>BDH("LILAK US Equity","BS_INVENTORIES","1993-06-18","2026-05-02","Per=Y","Days=T","Dir=V")</f>
        <v>0</v>
      </c>
      <c r="W2">
        <f>BDH("LILAK US Equity","WORKING_CAPITAL","1993-06-18","2026-05-02","Per=Y","Days=T","Dir=V")</f>
        <v>0</v>
      </c>
      <c r="Y2">
        <f>BDH("LILAK US Equity","SALES_REV_TURN","1993-06-18","2026-05-02","Per=Y","Days=T","Dir=V")</f>
        <v>0</v>
      </c>
      <c r="AA2">
        <f>BDH("LILAK US Equity","EBIT","1993-06-18","2026-05-02","Per=Y","Days=T","Dir=V")</f>
        <v>0</v>
      </c>
      <c r="AC2">
        <f>BDH("LILAK US Equity","EBITDA","1993-06-18","2026-05-02","Per=Y","Days=T","Dir=V")</f>
        <v>0</v>
      </c>
      <c r="AE2">
        <f>BDH("LILAK US Equity","NET_INCOME","1993-06-18","2026-05-02","Per=Y","Days=T","Dir=V")</f>
        <v>0</v>
      </c>
      <c r="AG2">
        <f>BDH("LILAK US Equity","IS_INT_EXPENSE","1993-06-18","2026-05-02","Per=Y","Days=T","Dir=V")</f>
        <v>0</v>
      </c>
      <c r="AI2">
        <f>BDH("LILAK US Equity","IS_DEPR_EXP","1993-06-18","2026-05-02","Per=Y","Days=T","Dir=V")</f>
        <v>0</v>
      </c>
      <c r="AK2">
        <f>BDH("LILAK US Equity","CF_CASH_FROM_OPER","1993-06-18","2026-05-02","Per=Y","Days=T","Dir=V")</f>
        <v>0</v>
      </c>
      <c r="AM2">
        <f>BDH("LILAK US Equity","CAPITAL_EXPEND","1993-06-18","2026-05-02","Per=Y","Days=T","Dir=V")</f>
        <v>0</v>
      </c>
      <c r="AO2">
        <f>BDH("LILAK US Equity","CF_FREE_CASH_FLOW","1993-06-18","2026-05-02","Per=Y","Days=T","Dir=V")</f>
        <v>0</v>
      </c>
      <c r="AQ2">
        <f>BDH("LILAK US Equity","PX_LAST","1993-06-18","2026-05-02","Per=M","Days=T","Dir=V")</f>
        <v>0</v>
      </c>
      <c r="AS2">
        <f>BDH("LILAK US Equity","CUR_MKT_CAP","1993-06-18","2026-05-02","Per=M","Days=T","Dir=V")</f>
        <v>0</v>
      </c>
      <c r="AU2">
        <f>BDH("LILAK US Equity","EQY_SH_OUT","1993-06-18","2026-05-02","Per=M","Days=T","Dir=V")</f>
        <v>0</v>
      </c>
      <c r="AW2">
        <f>BDH("LILAK US Equity","PX_VOLUME","1993-06-18","2026-05-02","Per=M","Days=T","Dir=V")</f>
        <v>0</v>
      </c>
      <c r="AY2">
        <f>BDH("LILAK US Equity","TURNOVER","1993-06-18","2026-05-02","Per=M","Days=T","Dir=V")</f>
        <v>0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BDH("LILAP US Equity","BS_TOT_ASSET","1993-06-18","2026-05-02","Per=Y","Days=T","Dir=V")</f>
        <v>0</v>
      </c>
      <c r="C2">
        <f>BDH("LILAP US Equity","BS_TOT_LIAB2","1993-06-18","2026-05-02","Per=Y","Days=T","Dir=V")</f>
        <v>0</v>
      </c>
      <c r="E2">
        <f>BDH("LILAP US Equity","SHORT_AND_LONG_TERM_DEBT","1993-06-18","2026-05-02","Per=Y","Days=T","Dir=V")</f>
        <v>0</v>
      </c>
      <c r="G2">
        <f>BDH("LILAP US Equity","BS_ST_BORROW","1993-06-18","2026-05-02","Per=Y","Days=T","Dir=V")</f>
        <v>0</v>
      </c>
      <c r="I2">
        <f>BDH("LILAP US Equity","BS_LT_BORROW","1993-06-18","2026-05-02","Per=Y","Days=T","Dir=V")</f>
        <v>0</v>
      </c>
      <c r="K2">
        <f>BDH("LILAP US Equity","BS_CASH_NEAR_CASH_ITEM","1993-06-18","2026-05-02","Per=Y","Days=T","Dir=V")</f>
        <v>0</v>
      </c>
      <c r="M2">
        <f>BDH("LILAP US Equity","BS_CUR_ASSET_REPORT","1993-06-18","2026-05-02","Per=Y","Days=T","Dir=V")</f>
        <v>0</v>
      </c>
      <c r="O2">
        <f>BDH("LILAP US Equity","BS_CUR_LIAB","1993-06-18","2026-05-02","Per=Y","Days=T","Dir=V")</f>
        <v>0</v>
      </c>
      <c r="Q2">
        <f>BDH("LILAP US Equity","BS_SHAREHOLDER_EQY_ENDING_PERIOD","1993-06-18","2026-05-02","Per=Y","Days=T","Dir=V")</f>
        <v>0</v>
      </c>
      <c r="S2">
        <f>BDH("LILAP US Equity","BS_ACCT_NOTE_RCV","1993-06-18","2026-05-02","Per=Y","Days=T","Dir=V")</f>
        <v>0</v>
      </c>
      <c r="U2">
        <f>BDH("LILAP US Equity","BS_INVENTORIES","1993-06-18","2026-05-02","Per=Y","Days=T","Dir=V")</f>
        <v>0</v>
      </c>
      <c r="W2">
        <f>BDH("LILAP US Equity","WORKING_CAPITAL","1993-06-18","2026-05-02","Per=Y","Days=T","Dir=V")</f>
        <v>0</v>
      </c>
      <c r="Y2">
        <f>BDH("LILAP US Equity","SALES_REV_TURN","1993-06-18","2026-05-02","Per=Y","Days=T","Dir=V")</f>
        <v>0</v>
      </c>
      <c r="AA2">
        <f>BDH("LILAP US Equity","EBIT","1993-06-18","2026-05-02","Per=Y","Days=T","Dir=V")</f>
        <v>0</v>
      </c>
      <c r="AC2">
        <f>BDH("LILAP US Equity","EBITDA","1993-06-18","2026-05-02","Per=Y","Days=T","Dir=V")</f>
        <v>0</v>
      </c>
      <c r="AE2">
        <f>BDH("LILAP US Equity","NET_INCOME","1993-06-18","2026-05-02","Per=Y","Days=T","Dir=V")</f>
        <v>0</v>
      </c>
      <c r="AG2">
        <f>BDH("LILAP US Equity","IS_INT_EXPENSE","1993-06-18","2026-05-02","Per=Y","Days=T","Dir=V")</f>
        <v>0</v>
      </c>
      <c r="AI2">
        <f>BDH("LILAP US Equity","IS_DEPR_EXP","1993-06-18","2026-05-02","Per=Y","Days=T","Dir=V")</f>
        <v>0</v>
      </c>
      <c r="AK2">
        <f>BDH("LILAP US Equity","CF_CASH_FROM_OPER","1993-06-18","2026-05-02","Per=Y","Days=T","Dir=V")</f>
        <v>0</v>
      </c>
      <c r="AM2">
        <f>BDH("LILAP US Equity","CAPITAL_EXPEND","1993-06-18","2026-05-02","Per=Y","Days=T","Dir=V")</f>
        <v>0</v>
      </c>
      <c r="AO2">
        <f>BDH("LILAP US Equity","CF_FREE_CASH_FLOW","1993-06-18","2026-05-02","Per=Y","Days=T","Dir=V")</f>
        <v>0</v>
      </c>
      <c r="AQ2">
        <f>BDH("LILAP US Equity","PX_LAST","1993-06-18","2026-05-02","Per=M","Days=T","Dir=V")</f>
        <v>0</v>
      </c>
      <c r="AS2">
        <f>BDH("LILAP US Equity","CUR_MKT_CAP","1993-06-18","2026-05-02","Per=M","Days=T","Dir=V")</f>
        <v>0</v>
      </c>
      <c r="AU2">
        <f>BDH("LILAP US Equity","EQY_SH_OUT","1993-06-18","2026-05-02","Per=M","Days=T","Dir=V")</f>
        <v>0</v>
      </c>
      <c r="AW2">
        <f>BDH("LILAP US Equity","PX_VOLUME","1993-06-18","2026-05-02","Per=M","Days=T","Dir=V")</f>
        <v>0</v>
      </c>
      <c r="AY2">
        <f>BDH("LILAP US Equity","TURNOVER","1993-06-18","2026-05-02","Per=M","Days=T","Dir=V")</f>
        <v>0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BDH("LIME US Equity","BS_TOT_ASSET","1993-06-18","2026-05-02","Per=Y","Days=T","Dir=V")</f>
        <v>0</v>
      </c>
      <c r="C2">
        <f>BDH("LIME US Equity","BS_TOT_LIAB2","1993-06-18","2026-05-02","Per=Y","Days=T","Dir=V")</f>
        <v>0</v>
      </c>
      <c r="E2">
        <f>BDH("LIME US Equity","SHORT_AND_LONG_TERM_DEBT","1993-06-18","2026-05-02","Per=Y","Days=T","Dir=V")</f>
        <v>0</v>
      </c>
      <c r="G2">
        <f>BDH("LIME US Equity","BS_ST_BORROW","1993-06-18","2026-05-02","Per=Y","Days=T","Dir=V")</f>
        <v>0</v>
      </c>
      <c r="I2">
        <f>BDH("LIME US Equity","BS_LT_BORROW","1993-06-18","2026-05-02","Per=Y","Days=T","Dir=V")</f>
        <v>0</v>
      </c>
      <c r="K2">
        <f>BDH("LIME US Equity","BS_CASH_NEAR_CASH_ITEM","1993-06-18","2026-05-02","Per=Y","Days=T","Dir=V")</f>
        <v>0</v>
      </c>
      <c r="M2">
        <f>BDH("LIME US Equity","BS_CUR_ASSET_REPORT","1993-06-18","2026-05-02","Per=Y","Days=T","Dir=V")</f>
        <v>0</v>
      </c>
      <c r="O2">
        <f>BDH("LIME US Equity","BS_CUR_LIAB","1993-06-18","2026-05-02","Per=Y","Days=T","Dir=V")</f>
        <v>0</v>
      </c>
      <c r="Q2">
        <f>BDH("LIME US Equity","BS_SHAREHOLDER_EQY_ENDING_PERIOD","1993-06-18","2026-05-02","Per=Y","Days=T","Dir=V")</f>
        <v>0</v>
      </c>
      <c r="S2">
        <f>BDH("LIME US Equity","BS_ACCT_NOTE_RCV","1993-06-18","2026-05-02","Per=Y","Days=T","Dir=V")</f>
        <v>0</v>
      </c>
      <c r="U2">
        <f>BDH("LIME US Equity","BS_INVENTORIES","1993-06-18","2026-05-02","Per=Y","Days=T","Dir=V")</f>
        <v>0</v>
      </c>
      <c r="W2">
        <f>BDH("LIME US Equity","WORKING_CAPITAL","1993-06-18","2026-05-02","Per=Y","Days=T","Dir=V")</f>
        <v>0</v>
      </c>
      <c r="Y2">
        <f>BDH("LIME US Equity","SALES_REV_TURN","1993-06-18","2026-05-02","Per=Y","Days=T","Dir=V")</f>
        <v>0</v>
      </c>
      <c r="AA2">
        <f>BDH("LIME US Equity","EBIT","1993-06-18","2026-05-02","Per=Y","Days=T","Dir=V")</f>
        <v>0</v>
      </c>
      <c r="AC2">
        <f>BDH("LIME US Equity","EBITDA","1993-06-18","2026-05-02","Per=Y","Days=T","Dir=V")</f>
        <v>0</v>
      </c>
      <c r="AE2">
        <f>BDH("LIME US Equity","NET_INCOME","1993-06-18","2026-05-02","Per=Y","Days=T","Dir=V")</f>
        <v>0</v>
      </c>
      <c r="AG2">
        <f>BDH("LIME US Equity","IS_INT_EXPENSE","1993-06-18","2026-05-02","Per=Y","Days=T","Dir=V")</f>
        <v>0</v>
      </c>
      <c r="AI2">
        <f>BDH("LIME US Equity","IS_DEPR_EXP","1993-06-18","2026-05-02","Per=Y","Days=T","Dir=V")</f>
        <v>0</v>
      </c>
      <c r="AK2">
        <f>BDH("LIME US Equity","CF_CASH_FROM_OPER","1993-06-18","2026-05-02","Per=Y","Days=T","Dir=V")</f>
        <v>0</v>
      </c>
      <c r="AM2">
        <f>BDH("LIME US Equity","CAPITAL_EXPEND","1993-06-18","2026-05-02","Per=Y","Days=T","Dir=V")</f>
        <v>0</v>
      </c>
      <c r="AO2">
        <f>BDH("LIME US Equity","CF_FREE_CASH_FLOW","1993-06-18","2026-05-02","Per=Y","Days=T","Dir=V")</f>
        <v>0</v>
      </c>
      <c r="AQ2">
        <f>BDH("LIME US Equity","PX_LAST","1993-06-18","2026-05-02","Per=M","Days=T","Dir=V")</f>
        <v>0</v>
      </c>
      <c r="AS2">
        <f>BDH("LIME US Equity","CUR_MKT_CAP","1993-06-18","2026-05-02","Per=M","Days=T","Dir=V")</f>
        <v>0</v>
      </c>
      <c r="AU2">
        <f>BDH("LIME US Equity","EQY_SH_OUT","1993-06-18","2026-05-02","Per=M","Days=T","Dir=V")</f>
        <v>0</v>
      </c>
      <c r="AW2">
        <f>BDH("LIME US Equity","PX_VOLUME","1993-06-18","2026-05-02","Per=M","Days=T","Dir=V")</f>
        <v>0</v>
      </c>
      <c r="AY2">
        <f>BDH("LIME US Equity","TURNOVER","1993-06-18","2026-05-02","Per=M","Days=T","Dir=V")</f>
        <v>0</v>
      </c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BDH("LIMN US Equity","BS_TOT_ASSET","1993-06-18","2026-05-02","Per=Y","Days=T","Dir=V")</f>
        <v>0</v>
      </c>
      <c r="C2">
        <f>BDH("LIMN US Equity","BS_TOT_LIAB2","1993-06-18","2026-05-02","Per=Y","Days=T","Dir=V")</f>
        <v>0</v>
      </c>
      <c r="E2">
        <f>BDH("LIMN US Equity","SHORT_AND_LONG_TERM_DEBT","1993-06-18","2026-05-02","Per=Y","Days=T","Dir=V")</f>
        <v>0</v>
      </c>
      <c r="G2">
        <f>BDH("LIMN US Equity","BS_ST_BORROW","1993-06-18","2026-05-02","Per=Y","Days=T","Dir=V")</f>
        <v>0</v>
      </c>
      <c r="I2">
        <f>BDH("LIMN US Equity","BS_LT_BORROW","1993-06-18","2026-05-02","Per=Y","Days=T","Dir=V")</f>
        <v>0</v>
      </c>
      <c r="K2">
        <f>BDH("LIMN US Equity","BS_CASH_NEAR_CASH_ITEM","1993-06-18","2026-05-02","Per=Y","Days=T","Dir=V")</f>
        <v>0</v>
      </c>
      <c r="M2">
        <f>BDH("LIMN US Equity","BS_CUR_ASSET_REPORT","1993-06-18","2026-05-02","Per=Y","Days=T","Dir=V")</f>
        <v>0</v>
      </c>
      <c r="O2">
        <f>BDH("LIMN US Equity","BS_CUR_LIAB","1993-06-18","2026-05-02","Per=Y","Days=T","Dir=V")</f>
        <v>0</v>
      </c>
      <c r="Q2">
        <f>BDH("LIMN US Equity","BS_SHAREHOLDER_EQY_ENDING_PERIOD","1993-06-18","2026-05-02","Per=Y","Days=T","Dir=V")</f>
        <v>0</v>
      </c>
      <c r="S2">
        <f>BDH("LIMN US Equity","BS_ACCT_NOTE_RCV","1993-06-18","2026-05-02","Per=Y","Days=T","Dir=V")</f>
        <v>0</v>
      </c>
      <c r="U2">
        <f>BDH("LIMN US Equity","BS_INVENTORIES","1993-06-18","2026-05-02","Per=Y","Days=T","Dir=V")</f>
        <v>0</v>
      </c>
      <c r="W2">
        <f>BDH("LIMN US Equity","WORKING_CAPITAL","1993-06-18","2026-05-02","Per=Y","Days=T","Dir=V")</f>
        <v>0</v>
      </c>
      <c r="Y2">
        <f>BDH("LIMN US Equity","SALES_REV_TURN","1993-06-18","2026-05-02","Per=Y","Days=T","Dir=V")</f>
        <v>0</v>
      </c>
      <c r="AA2">
        <f>BDH("LIMN US Equity","EBIT","1993-06-18","2026-05-02","Per=Y","Days=T","Dir=V")</f>
        <v>0</v>
      </c>
      <c r="AC2">
        <f>BDH("LIMN US Equity","EBITDA","1993-06-18","2026-05-02","Per=Y","Days=T","Dir=V")</f>
        <v>0</v>
      </c>
      <c r="AE2">
        <f>BDH("LIMN US Equity","NET_INCOME","1993-06-18","2026-05-02","Per=Y","Days=T","Dir=V")</f>
        <v>0</v>
      </c>
      <c r="AG2">
        <f>BDH("LIMN US Equity","IS_INT_EXPENSE","1993-06-18","2026-05-02","Per=Y","Days=T","Dir=V")</f>
        <v>0</v>
      </c>
      <c r="AI2">
        <f>BDH("LIMN US Equity","IS_DEPR_EXP","1993-06-18","2026-05-02","Per=Y","Days=T","Dir=V")</f>
        <v>0</v>
      </c>
      <c r="AK2">
        <f>BDH("LIMN US Equity","CF_CASH_FROM_OPER","1993-06-18","2026-05-02","Per=Y","Days=T","Dir=V")</f>
        <v>0</v>
      </c>
      <c r="AM2">
        <f>BDH("LIMN US Equity","CAPITAL_EXPEND","1993-06-18","2026-05-02","Per=Y","Days=T","Dir=V")</f>
        <v>0</v>
      </c>
      <c r="AO2">
        <f>BDH("LIMN US Equity","CF_FREE_CASH_FLOW","1993-06-18","2026-05-02","Per=Y","Days=T","Dir=V")</f>
        <v>0</v>
      </c>
      <c r="AQ2">
        <f>BDH("LIMN US Equity","PX_LAST","1993-06-18","2026-05-02","Per=M","Days=T","Dir=V")</f>
        <v>0</v>
      </c>
      <c r="AS2">
        <f>BDH("LIMN US Equity","CUR_MKT_CAP","1993-06-18","2026-05-02","Per=M","Days=T","Dir=V")</f>
        <v>0</v>
      </c>
      <c r="AU2">
        <f>BDH("LIMN US Equity","EQY_SH_OUT","1993-06-18","2026-05-02","Per=M","Days=T","Dir=V")</f>
        <v>0</v>
      </c>
      <c r="AW2">
        <f>BDH("LIMN US Equity","PX_VOLUME","1993-06-18","2026-05-02","Per=M","Days=T","Dir=V")</f>
        <v>0</v>
      </c>
      <c r="AY2">
        <f>BDH("LIMN US Equity","TURNOVER","1993-06-18","2026-05-02","Per=M","Days=T","Dir=V")</f>
        <v>0</v>
      </c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BDH("LIN US Equity","BS_TOT_ASSET","1993-06-18","2026-05-02","Per=Y","Days=T","Dir=V")</f>
        <v>0</v>
      </c>
      <c r="C2">
        <f>BDH("LIN US Equity","BS_TOT_LIAB2","1993-06-18","2026-05-02","Per=Y","Days=T","Dir=V")</f>
        <v>0</v>
      </c>
      <c r="E2">
        <f>BDH("LIN US Equity","SHORT_AND_LONG_TERM_DEBT","1993-06-18","2026-05-02","Per=Y","Days=T","Dir=V")</f>
        <v>0</v>
      </c>
      <c r="G2">
        <f>BDH("LIN US Equity","BS_ST_BORROW","1993-06-18","2026-05-02","Per=Y","Days=T","Dir=V")</f>
        <v>0</v>
      </c>
      <c r="I2">
        <f>BDH("LIN US Equity","BS_LT_BORROW","1993-06-18","2026-05-02","Per=Y","Days=T","Dir=V")</f>
        <v>0</v>
      </c>
      <c r="K2">
        <f>BDH("LIN US Equity","BS_CASH_NEAR_CASH_ITEM","1993-06-18","2026-05-02","Per=Y","Days=T","Dir=V")</f>
        <v>0</v>
      </c>
      <c r="M2">
        <f>BDH("LIN US Equity","BS_CUR_ASSET_REPORT","1993-06-18","2026-05-02","Per=Y","Days=T","Dir=V")</f>
        <v>0</v>
      </c>
      <c r="O2">
        <f>BDH("LIN US Equity","BS_CUR_LIAB","1993-06-18","2026-05-02","Per=Y","Days=T","Dir=V")</f>
        <v>0</v>
      </c>
      <c r="Q2">
        <f>BDH("LIN US Equity","BS_SHAREHOLDER_EQY_ENDING_PERIOD","1993-06-18","2026-05-02","Per=Y","Days=T","Dir=V")</f>
        <v>0</v>
      </c>
      <c r="S2">
        <f>BDH("LIN US Equity","BS_ACCT_NOTE_RCV","1993-06-18","2026-05-02","Per=Y","Days=T","Dir=V")</f>
        <v>0</v>
      </c>
      <c r="U2">
        <f>BDH("LIN US Equity","BS_INVENTORIES","1993-06-18","2026-05-02","Per=Y","Days=T","Dir=V")</f>
        <v>0</v>
      </c>
      <c r="W2">
        <f>BDH("LIN US Equity","WORKING_CAPITAL","1993-06-18","2026-05-02","Per=Y","Days=T","Dir=V")</f>
        <v>0</v>
      </c>
      <c r="Y2">
        <f>BDH("LIN US Equity","SALES_REV_TURN","1993-06-18","2026-05-02","Per=Y","Days=T","Dir=V")</f>
        <v>0</v>
      </c>
      <c r="AA2">
        <f>BDH("LIN US Equity","EBIT","1993-06-18","2026-05-02","Per=Y","Days=T","Dir=V")</f>
        <v>0</v>
      </c>
      <c r="AC2">
        <f>BDH("LIN US Equity","EBITDA","1993-06-18","2026-05-02","Per=Y","Days=T","Dir=V")</f>
        <v>0</v>
      </c>
      <c r="AE2">
        <f>BDH("LIN US Equity","NET_INCOME","1993-06-18","2026-05-02","Per=Y","Days=T","Dir=V")</f>
        <v>0</v>
      </c>
      <c r="AG2">
        <f>BDH("LIN US Equity","IS_INT_EXPENSE","1993-06-18","2026-05-02","Per=Y","Days=T","Dir=V")</f>
        <v>0</v>
      </c>
      <c r="AI2">
        <f>BDH("LIN US Equity","IS_DEPR_EXP","1993-06-18","2026-05-02","Per=Y","Days=T","Dir=V")</f>
        <v>0</v>
      </c>
      <c r="AK2">
        <f>BDH("LIN US Equity","CF_CASH_FROM_OPER","1993-06-18","2026-05-02","Per=Y","Days=T","Dir=V")</f>
        <v>0</v>
      </c>
      <c r="AM2">
        <f>BDH("LIN US Equity","CAPITAL_EXPEND","1993-06-18","2026-05-02","Per=Y","Days=T","Dir=V")</f>
        <v>0</v>
      </c>
      <c r="AO2">
        <f>BDH("LIN US Equity","CF_FREE_CASH_FLOW","1993-06-18","2026-05-02","Per=Y","Days=T","Dir=V")</f>
        <v>0</v>
      </c>
      <c r="AQ2">
        <f>BDH("LIN US Equity","PX_LAST","1993-06-18","2026-05-02","Per=M","Days=T","Dir=V")</f>
        <v>0</v>
      </c>
      <c r="AS2">
        <f>BDH("LIN US Equity","CUR_MKT_CAP","1993-06-18","2026-05-02","Per=M","Days=T","Dir=V")</f>
        <v>0</v>
      </c>
      <c r="AU2">
        <f>BDH("LIN US Equity","EQY_SH_OUT","1993-06-18","2026-05-02","Per=M","Days=T","Dir=V")</f>
        <v>0</v>
      </c>
      <c r="AW2">
        <f>BDH("LIN US Equity","PX_VOLUME","1993-06-18","2026-05-02","Per=M","Days=T","Dir=V")</f>
        <v>0</v>
      </c>
      <c r="AY2">
        <f>BDH("LIN US Equity","TURNOVER","1993-06-18","2026-05-02","Per=M","Days=T","Dir=V")</f>
        <v>0</v>
      </c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BDH("LIND US Equity","BS_TOT_ASSET","1993-06-18","2026-05-02","Per=Y","Days=T","Dir=V")</f>
        <v>0</v>
      </c>
      <c r="C2">
        <f>BDH("LIND US Equity","BS_TOT_LIAB2","1993-06-18","2026-05-02","Per=Y","Days=T","Dir=V")</f>
        <v>0</v>
      </c>
      <c r="E2">
        <f>BDH("LIND US Equity","SHORT_AND_LONG_TERM_DEBT","1993-06-18","2026-05-02","Per=Y","Days=T","Dir=V")</f>
        <v>0</v>
      </c>
      <c r="G2">
        <f>BDH("LIND US Equity","BS_ST_BORROW","1993-06-18","2026-05-02","Per=Y","Days=T","Dir=V")</f>
        <v>0</v>
      </c>
      <c r="I2">
        <f>BDH("LIND US Equity","BS_LT_BORROW","1993-06-18","2026-05-02","Per=Y","Days=T","Dir=V")</f>
        <v>0</v>
      </c>
      <c r="K2">
        <f>BDH("LIND US Equity","BS_CASH_NEAR_CASH_ITEM","1993-06-18","2026-05-02","Per=Y","Days=T","Dir=V")</f>
        <v>0</v>
      </c>
      <c r="M2">
        <f>BDH("LIND US Equity","BS_CUR_ASSET_REPORT","1993-06-18","2026-05-02","Per=Y","Days=T","Dir=V")</f>
        <v>0</v>
      </c>
      <c r="O2">
        <f>BDH("LIND US Equity","BS_CUR_LIAB","1993-06-18","2026-05-02","Per=Y","Days=T","Dir=V")</f>
        <v>0</v>
      </c>
      <c r="Q2">
        <f>BDH("LIND US Equity","BS_SHAREHOLDER_EQY_ENDING_PERIOD","1993-06-18","2026-05-02","Per=Y","Days=T","Dir=V")</f>
        <v>0</v>
      </c>
      <c r="S2">
        <f>BDH("LIND US Equity","BS_ACCT_NOTE_RCV","1993-06-18","2026-05-02","Per=Y","Days=T","Dir=V")</f>
        <v>0</v>
      </c>
      <c r="U2">
        <f>BDH("LIND US Equity","BS_INVENTORIES","1993-06-18","2026-05-02","Per=Y","Days=T","Dir=V")</f>
        <v>0</v>
      </c>
      <c r="W2">
        <f>BDH("LIND US Equity","WORKING_CAPITAL","1993-06-18","2026-05-02","Per=Y","Days=T","Dir=V")</f>
        <v>0</v>
      </c>
      <c r="Y2">
        <f>BDH("LIND US Equity","SALES_REV_TURN","1993-06-18","2026-05-02","Per=Y","Days=T","Dir=V")</f>
        <v>0</v>
      </c>
      <c r="AA2">
        <f>BDH("LIND US Equity","EBIT","1993-06-18","2026-05-02","Per=Y","Days=T","Dir=V")</f>
        <v>0</v>
      </c>
      <c r="AC2">
        <f>BDH("LIND US Equity","EBITDA","1993-06-18","2026-05-02","Per=Y","Days=T","Dir=V")</f>
        <v>0</v>
      </c>
      <c r="AE2">
        <f>BDH("LIND US Equity","NET_INCOME","1993-06-18","2026-05-02","Per=Y","Days=T","Dir=V")</f>
        <v>0</v>
      </c>
      <c r="AG2">
        <f>BDH("LIND US Equity","IS_INT_EXPENSE","1993-06-18","2026-05-02","Per=Y","Days=T","Dir=V")</f>
        <v>0</v>
      </c>
      <c r="AI2">
        <f>BDH("LIND US Equity","IS_DEPR_EXP","1993-06-18","2026-05-02","Per=Y","Days=T","Dir=V")</f>
        <v>0</v>
      </c>
      <c r="AK2">
        <f>BDH("LIND US Equity","CF_CASH_FROM_OPER","1993-06-18","2026-05-02","Per=Y","Days=T","Dir=V")</f>
        <v>0</v>
      </c>
      <c r="AM2">
        <f>BDH("LIND US Equity","CAPITAL_EXPEND","1993-06-18","2026-05-02","Per=Y","Days=T","Dir=V")</f>
        <v>0</v>
      </c>
      <c r="AO2">
        <f>BDH("LIND US Equity","CF_FREE_CASH_FLOW","1993-06-18","2026-05-02","Per=Y","Days=T","Dir=V")</f>
        <v>0</v>
      </c>
      <c r="AQ2">
        <f>BDH("LIND US Equity","PX_LAST","1993-06-18","2026-05-02","Per=M","Days=T","Dir=V")</f>
        <v>0</v>
      </c>
      <c r="AS2">
        <f>BDH("LIND US Equity","CUR_MKT_CAP","1993-06-18","2026-05-02","Per=M","Days=T","Dir=V")</f>
        <v>0</v>
      </c>
      <c r="AU2">
        <f>BDH("LIND US Equity","EQY_SH_OUT","1993-06-18","2026-05-02","Per=M","Days=T","Dir=V")</f>
        <v>0</v>
      </c>
      <c r="AW2">
        <f>BDH("LIND US Equity","PX_VOLUME","1993-06-18","2026-05-02","Per=M","Days=T","Dir=V")</f>
        <v>0</v>
      </c>
      <c r="AY2">
        <f>BDH("LIND US Equity","TURNOVER","1993-06-18","2026-05-02","Per=M","Days=T","Dir=V")</f>
        <v>0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BDH("LINK US Equity","BS_TOT_ASSET","1993-06-18","2026-05-02","Per=Y","Days=T","Dir=V")</f>
        <v>0</v>
      </c>
      <c r="C2">
        <f>BDH("LINK US Equity","BS_TOT_LIAB2","1993-06-18","2026-05-02","Per=Y","Days=T","Dir=V")</f>
        <v>0</v>
      </c>
      <c r="E2">
        <f>BDH("LINK US Equity","SHORT_AND_LONG_TERM_DEBT","1993-06-18","2026-05-02","Per=Y","Days=T","Dir=V")</f>
        <v>0</v>
      </c>
      <c r="G2">
        <f>BDH("LINK US Equity","BS_ST_BORROW","1993-06-18","2026-05-02","Per=Y","Days=T","Dir=V")</f>
        <v>0</v>
      </c>
      <c r="I2">
        <f>BDH("LINK US Equity","BS_LT_BORROW","1993-06-18","2026-05-02","Per=Y","Days=T","Dir=V")</f>
        <v>0</v>
      </c>
      <c r="K2">
        <f>BDH("LINK US Equity","BS_CASH_NEAR_CASH_ITEM","1993-06-18","2026-05-02","Per=Y","Days=T","Dir=V")</f>
        <v>0</v>
      </c>
      <c r="M2">
        <f>BDH("LINK US Equity","BS_CUR_ASSET_REPORT","1993-06-18","2026-05-02","Per=Y","Days=T","Dir=V")</f>
        <v>0</v>
      </c>
      <c r="O2">
        <f>BDH("LINK US Equity","BS_CUR_LIAB","1993-06-18","2026-05-02","Per=Y","Days=T","Dir=V")</f>
        <v>0</v>
      </c>
      <c r="Q2">
        <f>BDH("LINK US Equity","BS_SHAREHOLDER_EQY_ENDING_PERIOD","1993-06-18","2026-05-02","Per=Y","Days=T","Dir=V")</f>
        <v>0</v>
      </c>
      <c r="S2">
        <f>BDH("LINK US Equity","BS_ACCT_NOTE_RCV","1993-06-18","2026-05-02","Per=Y","Days=T","Dir=V")</f>
        <v>0</v>
      </c>
      <c r="U2">
        <f>BDH("LINK US Equity","BS_INVENTORIES","1993-06-18","2026-05-02","Per=Y","Days=T","Dir=V")</f>
        <v>0</v>
      </c>
      <c r="W2">
        <f>BDH("LINK US Equity","WORKING_CAPITAL","1993-06-18","2026-05-02","Per=Y","Days=T","Dir=V")</f>
        <v>0</v>
      </c>
      <c r="Y2">
        <f>BDH("LINK US Equity","SALES_REV_TURN","1993-06-18","2026-05-02","Per=Y","Days=T","Dir=V")</f>
        <v>0</v>
      </c>
      <c r="AA2">
        <f>BDH("LINK US Equity","EBIT","1993-06-18","2026-05-02","Per=Y","Days=T","Dir=V")</f>
        <v>0</v>
      </c>
      <c r="AC2">
        <f>BDH("LINK US Equity","EBITDA","1993-06-18","2026-05-02","Per=Y","Days=T","Dir=V")</f>
        <v>0</v>
      </c>
      <c r="AE2">
        <f>BDH("LINK US Equity","NET_INCOME","1993-06-18","2026-05-02","Per=Y","Days=T","Dir=V")</f>
        <v>0</v>
      </c>
      <c r="AG2">
        <f>BDH("LINK US Equity","IS_INT_EXPENSE","1993-06-18","2026-05-02","Per=Y","Days=T","Dir=V")</f>
        <v>0</v>
      </c>
      <c r="AI2">
        <f>BDH("LINK US Equity","IS_DEPR_EXP","1993-06-18","2026-05-02","Per=Y","Days=T","Dir=V")</f>
        <v>0</v>
      </c>
      <c r="AK2">
        <f>BDH("LINK US Equity","CF_CASH_FROM_OPER","1993-06-18","2026-05-02","Per=Y","Days=T","Dir=V")</f>
        <v>0</v>
      </c>
      <c r="AM2">
        <f>BDH("LINK US Equity","CAPITAL_EXPEND","1993-06-18","2026-05-02","Per=Y","Days=T","Dir=V")</f>
        <v>0</v>
      </c>
      <c r="AO2">
        <f>BDH("LINK US Equity","CF_FREE_CASH_FLOW","1993-06-18","2026-05-02","Per=Y","Days=T","Dir=V")</f>
        <v>0</v>
      </c>
      <c r="AQ2">
        <f>BDH("LINK US Equity","PX_LAST","1993-06-18","2026-05-02","Per=M","Days=T","Dir=V")</f>
        <v>0</v>
      </c>
      <c r="AS2">
        <f>BDH("LINK US Equity","CUR_MKT_CAP","1993-06-18","2026-05-02","Per=M","Days=T","Dir=V")</f>
        <v>0</v>
      </c>
      <c r="AU2">
        <f>BDH("LINK US Equity","EQY_SH_OUT","1993-06-18","2026-05-02","Per=M","Days=T","Dir=V")</f>
        <v>0</v>
      </c>
      <c r="AW2">
        <f>BDH("LINK US Equity","PX_VOLUME","1993-06-18","2026-05-02","Per=M","Days=T","Dir=V")</f>
        <v>0</v>
      </c>
      <c r="AY2">
        <f>BDH("LINK US Equity","TURNOVER","1993-06-18","2026-05-02","Per=M","Days=T","Dir=V")</f>
        <v>0</v>
      </c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BDH("LITE US Equity","BS_TOT_ASSET","1993-06-18","2026-05-02","Per=Y","Days=T","Dir=V")</f>
        <v>0</v>
      </c>
      <c r="C2">
        <f>BDH("LITE US Equity","BS_TOT_LIAB2","1993-06-18","2026-05-02","Per=Y","Days=T","Dir=V")</f>
        <v>0</v>
      </c>
      <c r="E2">
        <f>BDH("LITE US Equity","SHORT_AND_LONG_TERM_DEBT","1993-06-18","2026-05-02","Per=Y","Days=T","Dir=V")</f>
        <v>0</v>
      </c>
      <c r="G2">
        <f>BDH("LITE US Equity","BS_ST_BORROW","1993-06-18","2026-05-02","Per=Y","Days=T","Dir=V")</f>
        <v>0</v>
      </c>
      <c r="I2">
        <f>BDH("LITE US Equity","BS_LT_BORROW","1993-06-18","2026-05-02","Per=Y","Days=T","Dir=V")</f>
        <v>0</v>
      </c>
      <c r="K2">
        <f>BDH("LITE US Equity","BS_CASH_NEAR_CASH_ITEM","1993-06-18","2026-05-02","Per=Y","Days=T","Dir=V")</f>
        <v>0</v>
      </c>
      <c r="M2">
        <f>BDH("LITE US Equity","BS_CUR_ASSET_REPORT","1993-06-18","2026-05-02","Per=Y","Days=T","Dir=V")</f>
        <v>0</v>
      </c>
      <c r="O2">
        <f>BDH("LITE US Equity","BS_CUR_LIAB","1993-06-18","2026-05-02","Per=Y","Days=T","Dir=V")</f>
        <v>0</v>
      </c>
      <c r="Q2">
        <f>BDH("LITE US Equity","BS_SHAREHOLDER_EQY_ENDING_PERIOD","1993-06-18","2026-05-02","Per=Y","Days=T","Dir=V")</f>
        <v>0</v>
      </c>
      <c r="S2">
        <f>BDH("LITE US Equity","BS_ACCT_NOTE_RCV","1993-06-18","2026-05-02","Per=Y","Days=T","Dir=V")</f>
        <v>0</v>
      </c>
      <c r="U2">
        <f>BDH("LITE US Equity","BS_INVENTORIES","1993-06-18","2026-05-02","Per=Y","Days=T","Dir=V")</f>
        <v>0</v>
      </c>
      <c r="W2">
        <f>BDH("LITE US Equity","WORKING_CAPITAL","1993-06-18","2026-05-02","Per=Y","Days=T","Dir=V")</f>
        <v>0</v>
      </c>
      <c r="Y2">
        <f>BDH("LITE US Equity","SALES_REV_TURN","1993-06-18","2026-05-02","Per=Y","Days=T","Dir=V")</f>
        <v>0</v>
      </c>
      <c r="AA2">
        <f>BDH("LITE US Equity","EBIT","1993-06-18","2026-05-02","Per=Y","Days=T","Dir=V")</f>
        <v>0</v>
      </c>
      <c r="AC2">
        <f>BDH("LITE US Equity","EBITDA","1993-06-18","2026-05-02","Per=Y","Days=T","Dir=V")</f>
        <v>0</v>
      </c>
      <c r="AE2">
        <f>BDH("LITE US Equity","NET_INCOME","1993-06-18","2026-05-02","Per=Y","Days=T","Dir=V")</f>
        <v>0</v>
      </c>
      <c r="AG2">
        <f>BDH("LITE US Equity","IS_INT_EXPENSE","1993-06-18","2026-05-02","Per=Y","Days=T","Dir=V")</f>
        <v>0</v>
      </c>
      <c r="AI2">
        <f>BDH("LITE US Equity","IS_DEPR_EXP","1993-06-18","2026-05-02","Per=Y","Days=T","Dir=V")</f>
        <v>0</v>
      </c>
      <c r="AK2">
        <f>BDH("LITE US Equity","CF_CASH_FROM_OPER","1993-06-18","2026-05-02","Per=Y","Days=T","Dir=V")</f>
        <v>0</v>
      </c>
      <c r="AM2">
        <f>BDH("LITE US Equity","CAPITAL_EXPEND","1993-06-18","2026-05-02","Per=Y","Days=T","Dir=V")</f>
        <v>0</v>
      </c>
      <c r="AO2">
        <f>BDH("LITE US Equity","CF_FREE_CASH_FLOW","1993-06-18","2026-05-02","Per=Y","Days=T","Dir=V")</f>
        <v>0</v>
      </c>
      <c r="AQ2">
        <f>BDH("LITE US Equity","PX_LAST","1993-06-18","2026-05-02","Per=M","Days=T","Dir=V")</f>
        <v>0</v>
      </c>
      <c r="AS2">
        <f>BDH("LITE US Equity","CUR_MKT_CAP","1993-06-18","2026-05-02","Per=M","Days=T","Dir=V")</f>
        <v>0</v>
      </c>
      <c r="AU2">
        <f>BDH("LITE US Equity","EQY_SH_OUT","1993-06-18","2026-05-02","Per=M","Days=T","Dir=V")</f>
        <v>0</v>
      </c>
      <c r="AW2">
        <f>BDH("LITE US Equity","PX_VOLUME","1993-06-18","2026-05-02","Per=M","Days=T","Dir=V")</f>
        <v>0</v>
      </c>
      <c r="AY2">
        <f>BDH("LITE US Equity","TURNOVER","1993-06-18","2026-05-02","Per=M","Days=T","Dir=V")</f>
        <v>0</v>
      </c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BDH("LITS US Equity","BS_TOT_ASSET","1993-06-18","2026-05-02","Per=Y","Days=T","Dir=V")</f>
        <v>0</v>
      </c>
      <c r="C2">
        <f>BDH("LITS US Equity","BS_TOT_LIAB2","1993-06-18","2026-05-02","Per=Y","Days=T","Dir=V")</f>
        <v>0</v>
      </c>
      <c r="E2">
        <f>BDH("LITS US Equity","SHORT_AND_LONG_TERM_DEBT","1993-06-18","2026-05-02","Per=Y","Days=T","Dir=V")</f>
        <v>0</v>
      </c>
      <c r="G2">
        <f>BDH("LITS US Equity","BS_ST_BORROW","1993-06-18","2026-05-02","Per=Y","Days=T","Dir=V")</f>
        <v>0</v>
      </c>
      <c r="I2">
        <f>BDH("LITS US Equity","BS_LT_BORROW","1993-06-18","2026-05-02","Per=Y","Days=T","Dir=V")</f>
        <v>0</v>
      </c>
      <c r="K2">
        <f>BDH("LITS US Equity","BS_CASH_NEAR_CASH_ITEM","1993-06-18","2026-05-02","Per=Y","Days=T","Dir=V")</f>
        <v>0</v>
      </c>
      <c r="M2">
        <f>BDH("LITS US Equity","BS_CUR_ASSET_REPORT","1993-06-18","2026-05-02","Per=Y","Days=T","Dir=V")</f>
        <v>0</v>
      </c>
      <c r="O2">
        <f>BDH("LITS US Equity","BS_CUR_LIAB","1993-06-18","2026-05-02","Per=Y","Days=T","Dir=V")</f>
        <v>0</v>
      </c>
      <c r="Q2">
        <f>BDH("LITS US Equity","BS_SHAREHOLDER_EQY_ENDING_PERIOD","1993-06-18","2026-05-02","Per=Y","Days=T","Dir=V")</f>
        <v>0</v>
      </c>
      <c r="S2">
        <f>BDH("LITS US Equity","BS_ACCT_NOTE_RCV","1993-06-18","2026-05-02","Per=Y","Days=T","Dir=V")</f>
        <v>0</v>
      </c>
      <c r="U2">
        <f>BDH("LITS US Equity","BS_INVENTORIES","1993-06-18","2026-05-02","Per=Y","Days=T","Dir=V")</f>
        <v>0</v>
      </c>
      <c r="W2">
        <f>BDH("LITS US Equity","WORKING_CAPITAL","1993-06-18","2026-05-02","Per=Y","Days=T","Dir=V")</f>
        <v>0</v>
      </c>
      <c r="Y2">
        <f>BDH("LITS US Equity","SALES_REV_TURN","1993-06-18","2026-05-02","Per=Y","Days=T","Dir=V")</f>
        <v>0</v>
      </c>
      <c r="AA2">
        <f>BDH("LITS US Equity","EBIT","1993-06-18","2026-05-02","Per=Y","Days=T","Dir=V")</f>
        <v>0</v>
      </c>
      <c r="AC2">
        <f>BDH("LITS US Equity","EBITDA","1993-06-18","2026-05-02","Per=Y","Days=T","Dir=V")</f>
        <v>0</v>
      </c>
      <c r="AE2">
        <f>BDH("LITS US Equity","NET_INCOME","1993-06-18","2026-05-02","Per=Y","Days=T","Dir=V")</f>
        <v>0</v>
      </c>
      <c r="AG2">
        <f>BDH("LITS US Equity","IS_INT_EXPENSE","1993-06-18","2026-05-02","Per=Y","Days=T","Dir=V")</f>
        <v>0</v>
      </c>
      <c r="AI2">
        <f>BDH("LITS US Equity","IS_DEPR_EXP","1993-06-18","2026-05-02","Per=Y","Days=T","Dir=V")</f>
        <v>0</v>
      </c>
      <c r="AK2">
        <f>BDH("LITS US Equity","CF_CASH_FROM_OPER","1993-06-18","2026-05-02","Per=Y","Days=T","Dir=V")</f>
        <v>0</v>
      </c>
      <c r="AM2">
        <f>BDH("LITS US Equity","CAPITAL_EXPEND","1993-06-18","2026-05-02","Per=Y","Days=T","Dir=V")</f>
        <v>0</v>
      </c>
      <c r="AO2">
        <f>BDH("LITS US Equity","CF_FREE_CASH_FLOW","1993-06-18","2026-05-02","Per=Y","Days=T","Dir=V")</f>
        <v>0</v>
      </c>
      <c r="AQ2">
        <f>BDH("LITS US Equity","PX_LAST","1993-06-18","2026-05-02","Per=M","Days=T","Dir=V")</f>
        <v>0</v>
      </c>
      <c r="AS2">
        <f>BDH("LITS US Equity","CUR_MKT_CAP","1993-06-18","2026-05-02","Per=M","Days=T","Dir=V")</f>
        <v>0</v>
      </c>
      <c r="AU2">
        <f>BDH("LITS US Equity","EQY_SH_OUT","1993-06-18","2026-05-02","Per=M","Days=T","Dir=V")</f>
        <v>0</v>
      </c>
      <c r="AW2">
        <f>BDH("LITS US Equity","PX_VOLUME","1993-06-18","2026-05-02","Per=M","Days=T","Dir=V")</f>
        <v>0</v>
      </c>
      <c r="AY2">
        <f>BDH("LITS US Equity","TURNOVER","1993-06-18","2026-05-02","Per=M","Days=T","Dir=V")</f>
        <v>0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BDH("LIVE US Equity","BS_TOT_ASSET","1993-06-18","2026-05-02","Per=Y","Days=T","Dir=V")</f>
        <v>0</v>
      </c>
      <c r="C2">
        <f>BDH("LIVE US Equity","BS_TOT_LIAB2","1993-06-18","2026-05-02","Per=Y","Days=T","Dir=V")</f>
        <v>0</v>
      </c>
      <c r="E2">
        <f>BDH("LIVE US Equity","SHORT_AND_LONG_TERM_DEBT","1993-06-18","2026-05-02","Per=Y","Days=T","Dir=V")</f>
        <v>0</v>
      </c>
      <c r="G2">
        <f>BDH("LIVE US Equity","BS_ST_BORROW","1993-06-18","2026-05-02","Per=Y","Days=T","Dir=V")</f>
        <v>0</v>
      </c>
      <c r="I2">
        <f>BDH("LIVE US Equity","BS_LT_BORROW","1993-06-18","2026-05-02","Per=Y","Days=T","Dir=V")</f>
        <v>0</v>
      </c>
      <c r="K2">
        <f>BDH("LIVE US Equity","BS_CASH_NEAR_CASH_ITEM","1993-06-18","2026-05-02","Per=Y","Days=T","Dir=V")</f>
        <v>0</v>
      </c>
      <c r="M2">
        <f>BDH("LIVE US Equity","BS_CUR_ASSET_REPORT","1993-06-18","2026-05-02","Per=Y","Days=T","Dir=V")</f>
        <v>0</v>
      </c>
      <c r="O2">
        <f>BDH("LIVE US Equity","BS_CUR_LIAB","1993-06-18","2026-05-02","Per=Y","Days=T","Dir=V")</f>
        <v>0</v>
      </c>
      <c r="Q2">
        <f>BDH("LIVE US Equity","BS_SHAREHOLDER_EQY_ENDING_PERIOD","1993-06-18","2026-05-02","Per=Y","Days=T","Dir=V")</f>
        <v>0</v>
      </c>
      <c r="S2">
        <f>BDH("LIVE US Equity","BS_ACCT_NOTE_RCV","1993-06-18","2026-05-02","Per=Y","Days=T","Dir=V")</f>
        <v>0</v>
      </c>
      <c r="U2">
        <f>BDH("LIVE US Equity","BS_INVENTORIES","1993-06-18","2026-05-02","Per=Y","Days=T","Dir=V")</f>
        <v>0</v>
      </c>
      <c r="W2">
        <f>BDH("LIVE US Equity","WORKING_CAPITAL","1993-06-18","2026-05-02","Per=Y","Days=T","Dir=V")</f>
        <v>0</v>
      </c>
      <c r="Y2">
        <f>BDH("LIVE US Equity","SALES_REV_TURN","1993-06-18","2026-05-02","Per=Y","Days=T","Dir=V")</f>
        <v>0</v>
      </c>
      <c r="AA2">
        <f>BDH("LIVE US Equity","EBIT","1993-06-18","2026-05-02","Per=Y","Days=T","Dir=V")</f>
        <v>0</v>
      </c>
      <c r="AC2">
        <f>BDH("LIVE US Equity","EBITDA","1993-06-18","2026-05-02","Per=Y","Days=T","Dir=V")</f>
        <v>0</v>
      </c>
      <c r="AE2">
        <f>BDH("LIVE US Equity","NET_INCOME","1993-06-18","2026-05-02","Per=Y","Days=T","Dir=V")</f>
        <v>0</v>
      </c>
      <c r="AG2">
        <f>BDH("LIVE US Equity","IS_INT_EXPENSE","1993-06-18","2026-05-02","Per=Y","Days=T","Dir=V")</f>
        <v>0</v>
      </c>
      <c r="AI2">
        <f>BDH("LIVE US Equity","IS_DEPR_EXP","1993-06-18","2026-05-02","Per=Y","Days=T","Dir=V")</f>
        <v>0</v>
      </c>
      <c r="AK2">
        <f>BDH("LIVE US Equity","CF_CASH_FROM_OPER","1993-06-18","2026-05-02","Per=Y","Days=T","Dir=V")</f>
        <v>0</v>
      </c>
      <c r="AM2">
        <f>BDH("LIVE US Equity","CAPITAL_EXPEND","1993-06-18","2026-05-02","Per=Y","Days=T","Dir=V")</f>
        <v>0</v>
      </c>
      <c r="AO2">
        <f>BDH("LIVE US Equity","CF_FREE_CASH_FLOW","1993-06-18","2026-05-02","Per=Y","Days=T","Dir=V")</f>
        <v>0</v>
      </c>
      <c r="AQ2">
        <f>BDH("LIVE US Equity","PX_LAST","1993-06-18","2026-05-02","Per=M","Days=T","Dir=V")</f>
        <v>0</v>
      </c>
      <c r="AS2">
        <f>BDH("LIVE US Equity","CUR_MKT_CAP","1993-06-18","2026-05-02","Per=M","Days=T","Dir=V")</f>
        <v>0</v>
      </c>
      <c r="AU2">
        <f>BDH("LIVE US Equity","EQY_SH_OUT","1993-06-18","2026-05-02","Per=M","Days=T","Dir=V")</f>
        <v>0</v>
      </c>
      <c r="AW2">
        <f>BDH("LIVE US Equity","PX_VOLUME","1993-06-18","2026-05-02","Per=M","Days=T","Dir=V")</f>
        <v>0</v>
      </c>
      <c r="AY2">
        <f>BDH("LIVE US Equity","TURNOVER","1993-06-18","2026-05-02","Per=M","Days=T","Dir=V")</f>
        <v>0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BDH("LKQ US Equity","BS_TOT_ASSET","1993-06-18","2026-05-02","Per=Y","Days=T","Dir=V")</f>
        <v>0</v>
      </c>
      <c r="C2">
        <f>BDH("LKQ US Equity","BS_TOT_LIAB2","1993-06-18","2026-05-02","Per=Y","Days=T","Dir=V")</f>
        <v>0</v>
      </c>
      <c r="E2">
        <f>BDH("LKQ US Equity","SHORT_AND_LONG_TERM_DEBT","1993-06-18","2026-05-02","Per=Y","Days=T","Dir=V")</f>
        <v>0</v>
      </c>
      <c r="G2">
        <f>BDH("LKQ US Equity","BS_ST_BORROW","1993-06-18","2026-05-02","Per=Y","Days=T","Dir=V")</f>
        <v>0</v>
      </c>
      <c r="I2">
        <f>BDH("LKQ US Equity","BS_LT_BORROW","1993-06-18","2026-05-02","Per=Y","Days=T","Dir=V")</f>
        <v>0</v>
      </c>
      <c r="K2">
        <f>BDH("LKQ US Equity","BS_CASH_NEAR_CASH_ITEM","1993-06-18","2026-05-02","Per=Y","Days=T","Dir=V")</f>
        <v>0</v>
      </c>
      <c r="M2">
        <f>BDH("LKQ US Equity","BS_CUR_ASSET_REPORT","1993-06-18","2026-05-02","Per=Y","Days=T","Dir=V")</f>
        <v>0</v>
      </c>
      <c r="O2">
        <f>BDH("LKQ US Equity","BS_CUR_LIAB","1993-06-18","2026-05-02","Per=Y","Days=T","Dir=V")</f>
        <v>0</v>
      </c>
      <c r="Q2">
        <f>BDH("LKQ US Equity","BS_SHAREHOLDER_EQY_ENDING_PERIOD","1993-06-18","2026-05-02","Per=Y","Days=T","Dir=V")</f>
        <v>0</v>
      </c>
      <c r="S2">
        <f>BDH("LKQ US Equity","BS_ACCT_NOTE_RCV","1993-06-18","2026-05-02","Per=Y","Days=T","Dir=V")</f>
        <v>0</v>
      </c>
      <c r="U2">
        <f>BDH("LKQ US Equity","BS_INVENTORIES","1993-06-18","2026-05-02","Per=Y","Days=T","Dir=V")</f>
        <v>0</v>
      </c>
      <c r="W2">
        <f>BDH("LKQ US Equity","WORKING_CAPITAL","1993-06-18","2026-05-02","Per=Y","Days=T","Dir=V")</f>
        <v>0</v>
      </c>
      <c r="Y2">
        <f>BDH("LKQ US Equity","SALES_REV_TURN","1993-06-18","2026-05-02","Per=Y","Days=T","Dir=V")</f>
        <v>0</v>
      </c>
      <c r="AA2">
        <f>BDH("LKQ US Equity","EBIT","1993-06-18","2026-05-02","Per=Y","Days=T","Dir=V")</f>
        <v>0</v>
      </c>
      <c r="AC2">
        <f>BDH("LKQ US Equity","EBITDA","1993-06-18","2026-05-02","Per=Y","Days=T","Dir=V")</f>
        <v>0</v>
      </c>
      <c r="AE2">
        <f>BDH("LKQ US Equity","NET_INCOME","1993-06-18","2026-05-02","Per=Y","Days=T","Dir=V")</f>
        <v>0</v>
      </c>
      <c r="AG2">
        <f>BDH("LKQ US Equity","IS_INT_EXPENSE","1993-06-18","2026-05-02","Per=Y","Days=T","Dir=V")</f>
        <v>0</v>
      </c>
      <c r="AI2">
        <f>BDH("LKQ US Equity","IS_DEPR_EXP","1993-06-18","2026-05-02","Per=Y","Days=T","Dir=V")</f>
        <v>0</v>
      </c>
      <c r="AK2">
        <f>BDH("LKQ US Equity","CF_CASH_FROM_OPER","1993-06-18","2026-05-02","Per=Y","Days=T","Dir=V")</f>
        <v>0</v>
      </c>
      <c r="AM2">
        <f>BDH("LKQ US Equity","CAPITAL_EXPEND","1993-06-18","2026-05-02","Per=Y","Days=T","Dir=V")</f>
        <v>0</v>
      </c>
      <c r="AO2">
        <f>BDH("LKQ US Equity","CF_FREE_CASH_FLOW","1993-06-18","2026-05-02","Per=Y","Days=T","Dir=V")</f>
        <v>0</v>
      </c>
      <c r="AQ2">
        <f>BDH("LKQ US Equity","PX_LAST","1993-06-18","2026-05-02","Per=M","Days=T","Dir=V")</f>
        <v>0</v>
      </c>
      <c r="AS2">
        <f>BDH("LKQ US Equity","CUR_MKT_CAP","1993-06-18","2026-05-02","Per=M","Days=T","Dir=V")</f>
        <v>0</v>
      </c>
      <c r="AU2">
        <f>BDH("LKQ US Equity","EQY_SH_OUT","1993-06-18","2026-05-02","Per=M","Days=T","Dir=V")</f>
        <v>0</v>
      </c>
      <c r="AW2">
        <f>BDH("LKQ US Equity","PX_VOLUME","1993-06-18","2026-05-02","Per=M","Days=T","Dir=V")</f>
        <v>0</v>
      </c>
      <c r="AY2">
        <f>BDH("LKQ US Equity","TURNOVER","1993-06-18","2026-05-02","Per=M","Days=T","Dir=V")</f>
        <v>0</v>
      </c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BDH("LLY US Equity","BS_TOT_ASSET","1993-06-18","2026-05-02","Per=Y","Days=T","Dir=V")</f>
        <v>0</v>
      </c>
      <c r="C2">
        <f>BDH("LLY US Equity","BS_TOT_LIAB2","1993-06-18","2026-05-02","Per=Y","Days=T","Dir=V")</f>
        <v>0</v>
      </c>
      <c r="E2">
        <f>BDH("LLY US Equity","SHORT_AND_LONG_TERM_DEBT","1993-06-18","2026-05-02","Per=Y","Days=T","Dir=V")</f>
        <v>0</v>
      </c>
      <c r="G2">
        <f>BDH("LLY US Equity","BS_ST_BORROW","1993-06-18","2026-05-02","Per=Y","Days=T","Dir=V")</f>
        <v>0</v>
      </c>
      <c r="I2">
        <f>BDH("LLY US Equity","BS_LT_BORROW","1993-06-18","2026-05-02","Per=Y","Days=T","Dir=V")</f>
        <v>0</v>
      </c>
      <c r="K2">
        <f>BDH("LLY US Equity","BS_CASH_NEAR_CASH_ITEM","1993-06-18","2026-05-02","Per=Y","Days=T","Dir=V")</f>
        <v>0</v>
      </c>
      <c r="M2">
        <f>BDH("LLY US Equity","BS_CUR_ASSET_REPORT","1993-06-18","2026-05-02","Per=Y","Days=T","Dir=V")</f>
        <v>0</v>
      </c>
      <c r="O2">
        <f>BDH("LLY US Equity","BS_CUR_LIAB","1993-06-18","2026-05-02","Per=Y","Days=T","Dir=V")</f>
        <v>0</v>
      </c>
      <c r="Q2">
        <f>BDH("LLY US Equity","BS_SHAREHOLDER_EQY_ENDING_PERIOD","1993-06-18","2026-05-02","Per=Y","Days=T","Dir=V")</f>
        <v>0</v>
      </c>
      <c r="S2">
        <f>BDH("LLY US Equity","BS_ACCT_NOTE_RCV","1993-06-18","2026-05-02","Per=Y","Days=T","Dir=V")</f>
        <v>0</v>
      </c>
      <c r="U2">
        <f>BDH("LLY US Equity","BS_INVENTORIES","1993-06-18","2026-05-02","Per=Y","Days=T","Dir=V")</f>
        <v>0</v>
      </c>
      <c r="W2">
        <f>BDH("LLY US Equity","WORKING_CAPITAL","1993-06-18","2026-05-02","Per=Y","Days=T","Dir=V")</f>
        <v>0</v>
      </c>
      <c r="Y2">
        <f>BDH("LLY US Equity","SALES_REV_TURN","1993-06-18","2026-05-02","Per=Y","Days=T","Dir=V")</f>
        <v>0</v>
      </c>
      <c r="AA2">
        <f>BDH("LLY US Equity","EBIT","1993-06-18","2026-05-02","Per=Y","Days=T","Dir=V")</f>
        <v>0</v>
      </c>
      <c r="AC2">
        <f>BDH("LLY US Equity","EBITDA","1993-06-18","2026-05-02","Per=Y","Days=T","Dir=V")</f>
        <v>0</v>
      </c>
      <c r="AE2">
        <f>BDH("LLY US Equity","NET_INCOME","1993-06-18","2026-05-02","Per=Y","Days=T","Dir=V")</f>
        <v>0</v>
      </c>
      <c r="AG2">
        <f>BDH("LLY US Equity","IS_INT_EXPENSE","1993-06-18","2026-05-02","Per=Y","Days=T","Dir=V")</f>
        <v>0</v>
      </c>
      <c r="AI2">
        <f>BDH("LLY US Equity","IS_DEPR_EXP","1993-06-18","2026-05-02","Per=Y","Days=T","Dir=V")</f>
        <v>0</v>
      </c>
      <c r="AK2">
        <f>BDH("LLY US Equity","CF_CASH_FROM_OPER","1993-06-18","2026-05-02","Per=Y","Days=T","Dir=V")</f>
        <v>0</v>
      </c>
      <c r="AM2">
        <f>BDH("LLY US Equity","CAPITAL_EXPEND","1993-06-18","2026-05-02","Per=Y","Days=T","Dir=V")</f>
        <v>0</v>
      </c>
      <c r="AO2">
        <f>BDH("LLY US Equity","CF_FREE_CASH_FLOW","1993-06-18","2026-05-02","Per=Y","Days=T","Dir=V")</f>
        <v>0</v>
      </c>
      <c r="AQ2">
        <f>BDH("LLY US Equity","PX_LAST","1993-06-18","2026-05-02","Per=M","Days=T","Dir=V")</f>
        <v>0</v>
      </c>
      <c r="AS2">
        <f>BDH("LLY US Equity","CUR_MKT_CAP","1993-06-18","2026-05-02","Per=M","Days=T","Dir=V")</f>
        <v>0</v>
      </c>
      <c r="AU2">
        <f>BDH("LLY US Equity","EQY_SH_OUT","1993-06-18","2026-05-02","Per=M","Days=T","Dir=V")</f>
        <v>0</v>
      </c>
      <c r="AW2">
        <f>BDH("LLY US Equity","PX_VOLUME","1993-06-18","2026-05-02","Per=M","Days=T","Dir=V")</f>
        <v>0</v>
      </c>
      <c r="AY2">
        <f>BDH("LLY US Equity","TURNOVER","1993-06-18","2026-05-02","Per=M","Days=T","Dir=V")</f>
        <v>0</v>
      </c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BDH("LLYVA US Equity","BS_TOT_ASSET","1993-06-18","2026-05-02","Per=Y","Days=T","Dir=V")</f>
        <v>0</v>
      </c>
      <c r="C2">
        <f>BDH("LLYVA US Equity","BS_TOT_LIAB2","1993-06-18","2026-05-02","Per=Y","Days=T","Dir=V")</f>
        <v>0</v>
      </c>
      <c r="E2">
        <f>BDH("LLYVA US Equity","SHORT_AND_LONG_TERM_DEBT","1993-06-18","2026-05-02","Per=Y","Days=T","Dir=V")</f>
        <v>0</v>
      </c>
      <c r="G2">
        <f>BDH("LLYVA US Equity","BS_ST_BORROW","1993-06-18","2026-05-02","Per=Y","Days=T","Dir=V")</f>
        <v>0</v>
      </c>
      <c r="I2">
        <f>BDH("LLYVA US Equity","BS_LT_BORROW","1993-06-18","2026-05-02","Per=Y","Days=T","Dir=V")</f>
        <v>0</v>
      </c>
      <c r="K2">
        <f>BDH("LLYVA US Equity","BS_CASH_NEAR_CASH_ITEM","1993-06-18","2026-05-02","Per=Y","Days=T","Dir=V")</f>
        <v>0</v>
      </c>
      <c r="M2">
        <f>BDH("LLYVA US Equity","BS_CUR_ASSET_REPORT","1993-06-18","2026-05-02","Per=Y","Days=T","Dir=V")</f>
        <v>0</v>
      </c>
      <c r="O2">
        <f>BDH("LLYVA US Equity","BS_CUR_LIAB","1993-06-18","2026-05-02","Per=Y","Days=T","Dir=V")</f>
        <v>0</v>
      </c>
      <c r="Q2">
        <f>BDH("LLYVA US Equity","BS_SHAREHOLDER_EQY_ENDING_PERIOD","1993-06-18","2026-05-02","Per=Y","Days=T","Dir=V")</f>
        <v>0</v>
      </c>
      <c r="S2">
        <f>BDH("LLYVA US Equity","BS_ACCT_NOTE_RCV","1993-06-18","2026-05-02","Per=Y","Days=T","Dir=V")</f>
        <v>0</v>
      </c>
      <c r="U2">
        <f>BDH("LLYVA US Equity","BS_INVENTORIES","1993-06-18","2026-05-02","Per=Y","Days=T","Dir=V")</f>
        <v>0</v>
      </c>
      <c r="W2">
        <f>BDH("LLYVA US Equity","WORKING_CAPITAL","1993-06-18","2026-05-02","Per=Y","Days=T","Dir=V")</f>
        <v>0</v>
      </c>
      <c r="Y2">
        <f>BDH("LLYVA US Equity","SALES_REV_TURN","1993-06-18","2026-05-02","Per=Y","Days=T","Dir=V")</f>
        <v>0</v>
      </c>
      <c r="AA2">
        <f>BDH("LLYVA US Equity","EBIT","1993-06-18","2026-05-02","Per=Y","Days=T","Dir=V")</f>
        <v>0</v>
      </c>
      <c r="AC2">
        <f>BDH("LLYVA US Equity","EBITDA","1993-06-18","2026-05-02","Per=Y","Days=T","Dir=V")</f>
        <v>0</v>
      </c>
      <c r="AE2">
        <f>BDH("LLYVA US Equity","NET_INCOME","1993-06-18","2026-05-02","Per=Y","Days=T","Dir=V")</f>
        <v>0</v>
      </c>
      <c r="AG2">
        <f>BDH("LLYVA US Equity","IS_INT_EXPENSE","1993-06-18","2026-05-02","Per=Y","Days=T","Dir=V")</f>
        <v>0</v>
      </c>
      <c r="AI2">
        <f>BDH("LLYVA US Equity","IS_DEPR_EXP","1993-06-18","2026-05-02","Per=Y","Days=T","Dir=V")</f>
        <v>0</v>
      </c>
      <c r="AK2">
        <f>BDH("LLYVA US Equity","CF_CASH_FROM_OPER","1993-06-18","2026-05-02","Per=Y","Days=T","Dir=V")</f>
        <v>0</v>
      </c>
      <c r="AM2">
        <f>BDH("LLYVA US Equity","CAPITAL_EXPEND","1993-06-18","2026-05-02","Per=Y","Days=T","Dir=V")</f>
        <v>0</v>
      </c>
      <c r="AO2">
        <f>BDH("LLYVA US Equity","CF_FREE_CASH_FLOW","1993-06-18","2026-05-02","Per=Y","Days=T","Dir=V")</f>
        <v>0</v>
      </c>
      <c r="AQ2">
        <f>BDH("LLYVA US Equity","PX_LAST","1993-06-18","2026-05-02","Per=M","Days=T","Dir=V")</f>
        <v>0</v>
      </c>
      <c r="AS2">
        <f>BDH("LLYVA US Equity","CUR_MKT_CAP","1993-06-18","2026-05-02","Per=M","Days=T","Dir=V")</f>
        <v>0</v>
      </c>
      <c r="AU2">
        <f>BDH("LLYVA US Equity","EQY_SH_OUT","1993-06-18","2026-05-02","Per=M","Days=T","Dir=V")</f>
        <v>0</v>
      </c>
      <c r="AW2">
        <f>BDH("LLYVA US Equity","PX_VOLUME","1993-06-18","2026-05-02","Per=M","Days=T","Dir=V")</f>
        <v>0</v>
      </c>
      <c r="AY2">
        <f>BDH("LLYVA US Equity","TURNOVER","1993-06-18","2026-05-02","Per=M","Days=T","Dir=V")</f>
        <v>0</v>
      </c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BDH("LLYVK US Equity","BS_TOT_ASSET","1993-06-18","2026-05-02","Per=Y","Days=T","Dir=V")</f>
        <v>0</v>
      </c>
      <c r="C2">
        <f>BDH("LLYVK US Equity","BS_TOT_LIAB2","1993-06-18","2026-05-02","Per=Y","Days=T","Dir=V")</f>
        <v>0</v>
      </c>
      <c r="E2">
        <f>BDH("LLYVK US Equity","SHORT_AND_LONG_TERM_DEBT","1993-06-18","2026-05-02","Per=Y","Days=T","Dir=V")</f>
        <v>0</v>
      </c>
      <c r="G2">
        <f>BDH("LLYVK US Equity","BS_ST_BORROW","1993-06-18","2026-05-02","Per=Y","Days=T","Dir=V")</f>
        <v>0</v>
      </c>
      <c r="I2">
        <f>BDH("LLYVK US Equity","BS_LT_BORROW","1993-06-18","2026-05-02","Per=Y","Days=T","Dir=V")</f>
        <v>0</v>
      </c>
      <c r="K2">
        <f>BDH("LLYVK US Equity","BS_CASH_NEAR_CASH_ITEM","1993-06-18","2026-05-02","Per=Y","Days=T","Dir=V")</f>
        <v>0</v>
      </c>
      <c r="M2">
        <f>BDH("LLYVK US Equity","BS_CUR_ASSET_REPORT","1993-06-18","2026-05-02","Per=Y","Days=T","Dir=V")</f>
        <v>0</v>
      </c>
      <c r="O2">
        <f>BDH("LLYVK US Equity","BS_CUR_LIAB","1993-06-18","2026-05-02","Per=Y","Days=T","Dir=V")</f>
        <v>0</v>
      </c>
      <c r="Q2">
        <f>BDH("LLYVK US Equity","BS_SHAREHOLDER_EQY_ENDING_PERIOD","1993-06-18","2026-05-02","Per=Y","Days=T","Dir=V")</f>
        <v>0</v>
      </c>
      <c r="S2">
        <f>BDH("LLYVK US Equity","BS_ACCT_NOTE_RCV","1993-06-18","2026-05-02","Per=Y","Days=T","Dir=V")</f>
        <v>0</v>
      </c>
      <c r="U2">
        <f>BDH("LLYVK US Equity","BS_INVENTORIES","1993-06-18","2026-05-02","Per=Y","Days=T","Dir=V")</f>
        <v>0</v>
      </c>
      <c r="W2">
        <f>BDH("LLYVK US Equity","WORKING_CAPITAL","1993-06-18","2026-05-02","Per=Y","Days=T","Dir=V")</f>
        <v>0</v>
      </c>
      <c r="Y2">
        <f>BDH("LLYVK US Equity","SALES_REV_TURN","1993-06-18","2026-05-02","Per=Y","Days=T","Dir=V")</f>
        <v>0</v>
      </c>
      <c r="AA2">
        <f>BDH("LLYVK US Equity","EBIT","1993-06-18","2026-05-02","Per=Y","Days=T","Dir=V")</f>
        <v>0</v>
      </c>
      <c r="AC2">
        <f>BDH("LLYVK US Equity","EBITDA","1993-06-18","2026-05-02","Per=Y","Days=T","Dir=V")</f>
        <v>0</v>
      </c>
      <c r="AE2">
        <f>BDH("LLYVK US Equity","NET_INCOME","1993-06-18","2026-05-02","Per=Y","Days=T","Dir=V")</f>
        <v>0</v>
      </c>
      <c r="AG2">
        <f>BDH("LLYVK US Equity","IS_INT_EXPENSE","1993-06-18","2026-05-02","Per=Y","Days=T","Dir=V")</f>
        <v>0</v>
      </c>
      <c r="AI2">
        <f>BDH("LLYVK US Equity","IS_DEPR_EXP","1993-06-18","2026-05-02","Per=Y","Days=T","Dir=V")</f>
        <v>0</v>
      </c>
      <c r="AK2">
        <f>BDH("LLYVK US Equity","CF_CASH_FROM_OPER","1993-06-18","2026-05-02","Per=Y","Days=T","Dir=V")</f>
        <v>0</v>
      </c>
      <c r="AM2">
        <f>BDH("LLYVK US Equity","CAPITAL_EXPEND","1993-06-18","2026-05-02","Per=Y","Days=T","Dir=V")</f>
        <v>0</v>
      </c>
      <c r="AO2">
        <f>BDH("LLYVK US Equity","CF_FREE_CASH_FLOW","1993-06-18","2026-05-02","Per=Y","Days=T","Dir=V")</f>
        <v>0</v>
      </c>
      <c r="AQ2">
        <f>BDH("LLYVK US Equity","PX_LAST","1993-06-18","2026-05-02","Per=M","Days=T","Dir=V")</f>
        <v>0</v>
      </c>
      <c r="AS2">
        <f>BDH("LLYVK US Equity","CUR_MKT_CAP","1993-06-18","2026-05-02","Per=M","Days=T","Dir=V")</f>
        <v>0</v>
      </c>
      <c r="AU2">
        <f>BDH("LLYVK US Equity","EQY_SH_OUT","1993-06-18","2026-05-02","Per=M","Days=T","Dir=V")</f>
        <v>0</v>
      </c>
      <c r="AW2">
        <f>BDH("LLYVK US Equity","PX_VOLUME","1993-06-18","2026-05-02","Per=M","Days=T","Dir=V")</f>
        <v>0</v>
      </c>
      <c r="AY2">
        <f>BDH("LLYVK US Equity","TURNOVER","1993-06-18","2026-05-02","Per=M","Days=T","Dir=V")</f>
        <v>0</v>
      </c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BDH("LMAT US Equity","BS_TOT_ASSET","1993-06-18","2026-05-02","Per=Y","Days=T","Dir=V")</f>
        <v>0</v>
      </c>
      <c r="C2">
        <f>BDH("LMAT US Equity","BS_TOT_LIAB2","1993-06-18","2026-05-02","Per=Y","Days=T","Dir=V")</f>
        <v>0</v>
      </c>
      <c r="E2">
        <f>BDH("LMAT US Equity","SHORT_AND_LONG_TERM_DEBT","1993-06-18","2026-05-02","Per=Y","Days=T","Dir=V")</f>
        <v>0</v>
      </c>
      <c r="G2">
        <f>BDH("LMAT US Equity","BS_ST_BORROW","1993-06-18","2026-05-02","Per=Y","Days=T","Dir=V")</f>
        <v>0</v>
      </c>
      <c r="I2">
        <f>BDH("LMAT US Equity","BS_LT_BORROW","1993-06-18","2026-05-02","Per=Y","Days=T","Dir=V")</f>
        <v>0</v>
      </c>
      <c r="K2">
        <f>BDH("LMAT US Equity","BS_CASH_NEAR_CASH_ITEM","1993-06-18","2026-05-02","Per=Y","Days=T","Dir=V")</f>
        <v>0</v>
      </c>
      <c r="M2">
        <f>BDH("LMAT US Equity","BS_CUR_ASSET_REPORT","1993-06-18","2026-05-02","Per=Y","Days=T","Dir=V")</f>
        <v>0</v>
      </c>
      <c r="O2">
        <f>BDH("LMAT US Equity","BS_CUR_LIAB","1993-06-18","2026-05-02","Per=Y","Days=T","Dir=V")</f>
        <v>0</v>
      </c>
      <c r="Q2">
        <f>BDH("LMAT US Equity","BS_SHAREHOLDER_EQY_ENDING_PERIOD","1993-06-18","2026-05-02","Per=Y","Days=T","Dir=V")</f>
        <v>0</v>
      </c>
      <c r="S2">
        <f>BDH("LMAT US Equity","BS_ACCT_NOTE_RCV","1993-06-18","2026-05-02","Per=Y","Days=T","Dir=V")</f>
        <v>0</v>
      </c>
      <c r="U2">
        <f>BDH("LMAT US Equity","BS_INVENTORIES","1993-06-18","2026-05-02","Per=Y","Days=T","Dir=V")</f>
        <v>0</v>
      </c>
      <c r="W2">
        <f>BDH("LMAT US Equity","WORKING_CAPITAL","1993-06-18","2026-05-02","Per=Y","Days=T","Dir=V")</f>
        <v>0</v>
      </c>
      <c r="Y2">
        <f>BDH("LMAT US Equity","SALES_REV_TURN","1993-06-18","2026-05-02","Per=Y","Days=T","Dir=V")</f>
        <v>0</v>
      </c>
      <c r="AA2">
        <f>BDH("LMAT US Equity","EBIT","1993-06-18","2026-05-02","Per=Y","Days=T","Dir=V")</f>
        <v>0</v>
      </c>
      <c r="AC2">
        <f>BDH("LMAT US Equity","EBITDA","1993-06-18","2026-05-02","Per=Y","Days=T","Dir=V")</f>
        <v>0</v>
      </c>
      <c r="AE2">
        <f>BDH("LMAT US Equity","NET_INCOME","1993-06-18","2026-05-02","Per=Y","Days=T","Dir=V")</f>
        <v>0</v>
      </c>
      <c r="AG2">
        <f>BDH("LMAT US Equity","IS_INT_EXPENSE","1993-06-18","2026-05-02","Per=Y","Days=T","Dir=V")</f>
        <v>0</v>
      </c>
      <c r="AI2">
        <f>BDH("LMAT US Equity","IS_DEPR_EXP","1993-06-18","2026-05-02","Per=Y","Days=T","Dir=V")</f>
        <v>0</v>
      </c>
      <c r="AK2">
        <f>BDH("LMAT US Equity","CF_CASH_FROM_OPER","1993-06-18","2026-05-02","Per=Y","Days=T","Dir=V")</f>
        <v>0</v>
      </c>
      <c r="AM2">
        <f>BDH("LMAT US Equity","CAPITAL_EXPEND","1993-06-18","2026-05-02","Per=Y","Days=T","Dir=V")</f>
        <v>0</v>
      </c>
      <c r="AO2">
        <f>BDH("LMAT US Equity","CF_FREE_CASH_FLOW","1993-06-18","2026-05-02","Per=Y","Days=T","Dir=V")</f>
        <v>0</v>
      </c>
      <c r="AQ2">
        <f>BDH("LMAT US Equity","PX_LAST","1993-06-18","2026-05-02","Per=M","Days=T","Dir=V")</f>
        <v>0</v>
      </c>
      <c r="AS2">
        <f>BDH("LMAT US Equity","CUR_MKT_CAP","1993-06-18","2026-05-02","Per=M","Days=T","Dir=V")</f>
        <v>0</v>
      </c>
      <c r="AU2">
        <f>BDH("LMAT US Equity","EQY_SH_OUT","1993-06-18","2026-05-02","Per=M","Days=T","Dir=V")</f>
        <v>0</v>
      </c>
      <c r="AW2">
        <f>BDH("LMAT US Equity","PX_VOLUME","1993-06-18","2026-05-02","Per=M","Days=T","Dir=V")</f>
        <v>0</v>
      </c>
      <c r="AY2">
        <f>BDH("LMAT US Equity","TURNOVER","1993-06-18","2026-05-02","Per=M","Days=T","Dir=V")</f>
        <v>0</v>
      </c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BDH("LMB US Equity","BS_TOT_ASSET","1993-06-18","2026-05-02","Per=Y","Days=T","Dir=V")</f>
        <v>0</v>
      </c>
      <c r="C2">
        <f>BDH("LMB US Equity","BS_TOT_LIAB2","1993-06-18","2026-05-02","Per=Y","Days=T","Dir=V")</f>
        <v>0</v>
      </c>
      <c r="E2">
        <f>BDH("LMB US Equity","SHORT_AND_LONG_TERM_DEBT","1993-06-18","2026-05-02","Per=Y","Days=T","Dir=V")</f>
        <v>0</v>
      </c>
      <c r="G2">
        <f>BDH("LMB US Equity","BS_ST_BORROW","1993-06-18","2026-05-02","Per=Y","Days=T","Dir=V")</f>
        <v>0</v>
      </c>
      <c r="I2">
        <f>BDH("LMB US Equity","BS_LT_BORROW","1993-06-18","2026-05-02","Per=Y","Days=T","Dir=V")</f>
        <v>0</v>
      </c>
      <c r="K2">
        <f>BDH("LMB US Equity","BS_CASH_NEAR_CASH_ITEM","1993-06-18","2026-05-02","Per=Y","Days=T","Dir=V")</f>
        <v>0</v>
      </c>
      <c r="M2">
        <f>BDH("LMB US Equity","BS_CUR_ASSET_REPORT","1993-06-18","2026-05-02","Per=Y","Days=T","Dir=V")</f>
        <v>0</v>
      </c>
      <c r="O2">
        <f>BDH("LMB US Equity","BS_CUR_LIAB","1993-06-18","2026-05-02","Per=Y","Days=T","Dir=V")</f>
        <v>0</v>
      </c>
      <c r="Q2">
        <f>BDH("LMB US Equity","BS_SHAREHOLDER_EQY_ENDING_PERIOD","1993-06-18","2026-05-02","Per=Y","Days=T","Dir=V")</f>
        <v>0</v>
      </c>
      <c r="S2">
        <f>BDH("LMB US Equity","BS_ACCT_NOTE_RCV","1993-06-18","2026-05-02","Per=Y","Days=T","Dir=V")</f>
        <v>0</v>
      </c>
      <c r="U2">
        <f>BDH("LMB US Equity","BS_INVENTORIES","1993-06-18","2026-05-02","Per=Y","Days=T","Dir=V")</f>
        <v>0</v>
      </c>
      <c r="W2">
        <f>BDH("LMB US Equity","WORKING_CAPITAL","1993-06-18","2026-05-02","Per=Y","Days=T","Dir=V")</f>
        <v>0</v>
      </c>
      <c r="Y2">
        <f>BDH("LMB US Equity","SALES_REV_TURN","1993-06-18","2026-05-02","Per=Y","Days=T","Dir=V")</f>
        <v>0</v>
      </c>
      <c r="AA2">
        <f>BDH("LMB US Equity","EBIT","1993-06-18","2026-05-02","Per=Y","Days=T","Dir=V")</f>
        <v>0</v>
      </c>
      <c r="AC2">
        <f>BDH("LMB US Equity","EBITDA","1993-06-18","2026-05-02","Per=Y","Days=T","Dir=V")</f>
        <v>0</v>
      </c>
      <c r="AE2">
        <f>BDH("LMB US Equity","NET_INCOME","1993-06-18","2026-05-02","Per=Y","Days=T","Dir=V")</f>
        <v>0</v>
      </c>
      <c r="AG2">
        <f>BDH("LMB US Equity","IS_INT_EXPENSE","1993-06-18","2026-05-02","Per=Y","Days=T","Dir=V")</f>
        <v>0</v>
      </c>
      <c r="AI2">
        <f>BDH("LMB US Equity","IS_DEPR_EXP","1993-06-18","2026-05-02","Per=Y","Days=T","Dir=V")</f>
        <v>0</v>
      </c>
      <c r="AK2">
        <f>BDH("LMB US Equity","CF_CASH_FROM_OPER","1993-06-18","2026-05-02","Per=Y","Days=T","Dir=V")</f>
        <v>0</v>
      </c>
      <c r="AM2">
        <f>BDH("LMB US Equity","CAPITAL_EXPEND","1993-06-18","2026-05-02","Per=Y","Days=T","Dir=V")</f>
        <v>0</v>
      </c>
      <c r="AO2">
        <f>BDH("LMB US Equity","CF_FREE_CASH_FLOW","1993-06-18","2026-05-02","Per=Y","Days=T","Dir=V")</f>
        <v>0</v>
      </c>
      <c r="AQ2">
        <f>BDH("LMB US Equity","PX_LAST","1993-06-18","2026-05-02","Per=M","Days=T","Dir=V")</f>
        <v>0</v>
      </c>
      <c r="AS2">
        <f>BDH("LMB US Equity","CUR_MKT_CAP","1993-06-18","2026-05-02","Per=M","Days=T","Dir=V")</f>
        <v>0</v>
      </c>
      <c r="AU2">
        <f>BDH("LMB US Equity","EQY_SH_OUT","1993-06-18","2026-05-02","Per=M","Days=T","Dir=V")</f>
        <v>0</v>
      </c>
      <c r="AW2">
        <f>BDH("LMB US Equity","PX_VOLUME","1993-06-18","2026-05-02","Per=M","Days=T","Dir=V")</f>
        <v>0</v>
      </c>
      <c r="AY2">
        <f>BDH("LMB US Equity","TURNOVER","1993-06-18","2026-05-02","Per=M","Days=T","Dir=V")</f>
        <v>0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BDH("LMNR US Equity","BS_TOT_ASSET","1993-06-18","2026-05-02","Per=Y","Days=T","Dir=V")</f>
        <v>0</v>
      </c>
      <c r="C2">
        <f>BDH("LMNR US Equity","BS_TOT_LIAB2","1993-06-18","2026-05-02","Per=Y","Days=T","Dir=V")</f>
        <v>0</v>
      </c>
      <c r="E2">
        <f>BDH("LMNR US Equity","SHORT_AND_LONG_TERM_DEBT","1993-06-18","2026-05-02","Per=Y","Days=T","Dir=V")</f>
        <v>0</v>
      </c>
      <c r="G2">
        <f>BDH("LMNR US Equity","BS_ST_BORROW","1993-06-18","2026-05-02","Per=Y","Days=T","Dir=V")</f>
        <v>0</v>
      </c>
      <c r="I2">
        <f>BDH("LMNR US Equity","BS_LT_BORROW","1993-06-18","2026-05-02","Per=Y","Days=T","Dir=V")</f>
        <v>0</v>
      </c>
      <c r="K2">
        <f>BDH("LMNR US Equity","BS_CASH_NEAR_CASH_ITEM","1993-06-18","2026-05-02","Per=Y","Days=T","Dir=V")</f>
        <v>0</v>
      </c>
      <c r="M2">
        <f>BDH("LMNR US Equity","BS_CUR_ASSET_REPORT","1993-06-18","2026-05-02","Per=Y","Days=T","Dir=V")</f>
        <v>0</v>
      </c>
      <c r="O2">
        <f>BDH("LMNR US Equity","BS_CUR_LIAB","1993-06-18","2026-05-02","Per=Y","Days=T","Dir=V")</f>
        <v>0</v>
      </c>
      <c r="Q2">
        <f>BDH("LMNR US Equity","BS_SHAREHOLDER_EQY_ENDING_PERIOD","1993-06-18","2026-05-02","Per=Y","Days=T","Dir=V")</f>
        <v>0</v>
      </c>
      <c r="S2">
        <f>BDH("LMNR US Equity","BS_ACCT_NOTE_RCV","1993-06-18","2026-05-02","Per=Y","Days=T","Dir=V")</f>
        <v>0</v>
      </c>
      <c r="U2">
        <f>BDH("LMNR US Equity","BS_INVENTORIES","1993-06-18","2026-05-02","Per=Y","Days=T","Dir=V")</f>
        <v>0</v>
      </c>
      <c r="W2">
        <f>BDH("LMNR US Equity","WORKING_CAPITAL","1993-06-18","2026-05-02","Per=Y","Days=T","Dir=V")</f>
        <v>0</v>
      </c>
      <c r="Y2">
        <f>BDH("LMNR US Equity","SALES_REV_TURN","1993-06-18","2026-05-02","Per=Y","Days=T","Dir=V")</f>
        <v>0</v>
      </c>
      <c r="AA2">
        <f>BDH("LMNR US Equity","EBIT","1993-06-18","2026-05-02","Per=Y","Days=T","Dir=V")</f>
        <v>0</v>
      </c>
      <c r="AC2">
        <f>BDH("LMNR US Equity","EBITDA","1993-06-18","2026-05-02","Per=Y","Days=T","Dir=V")</f>
        <v>0</v>
      </c>
      <c r="AE2">
        <f>BDH("LMNR US Equity","NET_INCOME","1993-06-18","2026-05-02","Per=Y","Days=T","Dir=V")</f>
        <v>0</v>
      </c>
      <c r="AG2">
        <f>BDH("LMNR US Equity","IS_INT_EXPENSE","1993-06-18","2026-05-02","Per=Y","Days=T","Dir=V")</f>
        <v>0</v>
      </c>
      <c r="AI2">
        <f>BDH("LMNR US Equity","IS_DEPR_EXP","1993-06-18","2026-05-02","Per=Y","Days=T","Dir=V")</f>
        <v>0</v>
      </c>
      <c r="AK2">
        <f>BDH("LMNR US Equity","CF_CASH_FROM_OPER","1993-06-18","2026-05-02","Per=Y","Days=T","Dir=V")</f>
        <v>0</v>
      </c>
      <c r="AM2">
        <f>BDH("LMNR US Equity","CAPITAL_EXPEND","1993-06-18","2026-05-02","Per=Y","Days=T","Dir=V")</f>
        <v>0</v>
      </c>
      <c r="AO2">
        <f>BDH("LMNR US Equity","CF_FREE_CASH_FLOW","1993-06-18","2026-05-02","Per=Y","Days=T","Dir=V")</f>
        <v>0</v>
      </c>
      <c r="AQ2">
        <f>BDH("LMNR US Equity","PX_LAST","1993-06-18","2026-05-02","Per=M","Days=T","Dir=V")</f>
        <v>0</v>
      </c>
      <c r="AS2">
        <f>BDH("LMNR US Equity","CUR_MKT_CAP","1993-06-18","2026-05-02","Per=M","Days=T","Dir=V")</f>
        <v>0</v>
      </c>
      <c r="AU2">
        <f>BDH("LMNR US Equity","EQY_SH_OUT","1993-06-18","2026-05-02","Per=M","Days=T","Dir=V")</f>
        <v>0</v>
      </c>
      <c r="AW2">
        <f>BDH("LMNR US Equity","PX_VOLUME","1993-06-18","2026-05-02","Per=M","Days=T","Dir=V")</f>
        <v>0</v>
      </c>
      <c r="AY2">
        <f>BDH("LMNR US Equity","TURNOVER","1993-06-18","2026-05-02","Per=M","Days=T","Dir=V")</f>
        <v>0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BDH("LMRI US Equity","BS_TOT_ASSET","1993-06-18","2026-05-02","Per=Y","Days=T","Dir=V")</f>
        <v>0</v>
      </c>
      <c r="C2">
        <f>BDH("LMRI US Equity","BS_TOT_LIAB2","1993-06-18","2026-05-02","Per=Y","Days=T","Dir=V")</f>
        <v>0</v>
      </c>
      <c r="E2">
        <f>BDH("LMRI US Equity","SHORT_AND_LONG_TERM_DEBT","1993-06-18","2026-05-02","Per=Y","Days=T","Dir=V")</f>
        <v>0</v>
      </c>
      <c r="G2">
        <f>BDH("LMRI US Equity","BS_ST_BORROW","1993-06-18","2026-05-02","Per=Y","Days=T","Dir=V")</f>
        <v>0</v>
      </c>
      <c r="I2">
        <f>BDH("LMRI US Equity","BS_LT_BORROW","1993-06-18","2026-05-02","Per=Y","Days=T","Dir=V")</f>
        <v>0</v>
      </c>
      <c r="K2">
        <f>BDH("LMRI US Equity","BS_CASH_NEAR_CASH_ITEM","1993-06-18","2026-05-02","Per=Y","Days=T","Dir=V")</f>
        <v>0</v>
      </c>
      <c r="M2">
        <f>BDH("LMRI US Equity","BS_CUR_ASSET_REPORT","1993-06-18","2026-05-02","Per=Y","Days=T","Dir=V")</f>
        <v>0</v>
      </c>
      <c r="O2">
        <f>BDH("LMRI US Equity","BS_CUR_LIAB","1993-06-18","2026-05-02","Per=Y","Days=T","Dir=V")</f>
        <v>0</v>
      </c>
      <c r="Q2">
        <f>BDH("LMRI US Equity","BS_SHAREHOLDER_EQY_ENDING_PERIOD","1993-06-18","2026-05-02","Per=Y","Days=T","Dir=V")</f>
        <v>0</v>
      </c>
      <c r="S2">
        <f>BDH("LMRI US Equity","BS_ACCT_NOTE_RCV","1993-06-18","2026-05-02","Per=Y","Days=T","Dir=V")</f>
        <v>0</v>
      </c>
      <c r="U2">
        <f>BDH("LMRI US Equity","BS_INVENTORIES","1993-06-18","2026-05-02","Per=Y","Days=T","Dir=V")</f>
        <v>0</v>
      </c>
      <c r="W2">
        <f>BDH("LMRI US Equity","WORKING_CAPITAL","1993-06-18","2026-05-02","Per=Y","Days=T","Dir=V")</f>
        <v>0</v>
      </c>
      <c r="Y2">
        <f>BDH("LMRI US Equity","SALES_REV_TURN","1993-06-18","2026-05-02","Per=Y","Days=T","Dir=V")</f>
        <v>0</v>
      </c>
      <c r="AA2">
        <f>BDH("LMRI US Equity","EBIT","1993-06-18","2026-05-02","Per=Y","Days=T","Dir=V")</f>
        <v>0</v>
      </c>
      <c r="AC2">
        <f>BDH("LMRI US Equity","EBITDA","1993-06-18","2026-05-02","Per=Y","Days=T","Dir=V")</f>
        <v>0</v>
      </c>
      <c r="AE2">
        <f>BDH("LMRI US Equity","NET_INCOME","1993-06-18","2026-05-02","Per=Y","Days=T","Dir=V")</f>
        <v>0</v>
      </c>
      <c r="AG2">
        <f>BDH("LMRI US Equity","IS_INT_EXPENSE","1993-06-18","2026-05-02","Per=Y","Days=T","Dir=V")</f>
        <v>0</v>
      </c>
      <c r="AI2">
        <f>BDH("LMRI US Equity","IS_DEPR_EXP","1993-06-18","2026-05-02","Per=Y","Days=T","Dir=V")</f>
        <v>0</v>
      </c>
      <c r="AK2">
        <f>BDH("LMRI US Equity","CF_CASH_FROM_OPER","1993-06-18","2026-05-02","Per=Y","Days=T","Dir=V")</f>
        <v>0</v>
      </c>
      <c r="AM2">
        <f>BDH("LMRI US Equity","CAPITAL_EXPEND","1993-06-18","2026-05-02","Per=Y","Days=T","Dir=V")</f>
        <v>0</v>
      </c>
      <c r="AO2">
        <f>BDH("LMRI US Equity","CF_FREE_CASH_FLOW","1993-06-18","2026-05-02","Per=Y","Days=T","Dir=V")</f>
        <v>0</v>
      </c>
      <c r="AQ2">
        <f>BDH("LMRI US Equity","PX_LAST","1993-06-18","2026-05-02","Per=M","Days=T","Dir=V")</f>
        <v>0</v>
      </c>
      <c r="AS2">
        <f>BDH("LMRI US Equity","CUR_MKT_CAP","1993-06-18","2026-05-02","Per=M","Days=T","Dir=V")</f>
        <v>0</v>
      </c>
      <c r="AU2">
        <f>BDH("LMRI US Equity","EQY_SH_OUT","1993-06-18","2026-05-02","Per=M","Days=T","Dir=V")</f>
        <v>0</v>
      </c>
      <c r="AW2">
        <f>BDH("LMRI US Equity","PX_VOLUME","1993-06-18","2026-05-02","Per=M","Days=T","Dir=V")</f>
        <v>0</v>
      </c>
      <c r="AY2">
        <f>BDH("LMRI US Equity","TURNOVER","1993-06-18","2026-05-02","Per=M","Days=T","Dir=V")</f>
        <v>0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BDH("LMT US Equity","BS_TOT_ASSET","1993-06-18","2026-05-02","Per=Y","Days=T","Dir=V")</f>
        <v>0</v>
      </c>
      <c r="C2">
        <f>BDH("LMT US Equity","BS_TOT_LIAB2","1993-06-18","2026-05-02","Per=Y","Days=T","Dir=V")</f>
        <v>0</v>
      </c>
      <c r="E2">
        <f>BDH("LMT US Equity","SHORT_AND_LONG_TERM_DEBT","1993-06-18","2026-05-02","Per=Y","Days=T","Dir=V")</f>
        <v>0</v>
      </c>
      <c r="G2">
        <f>BDH("LMT US Equity","BS_ST_BORROW","1993-06-18","2026-05-02","Per=Y","Days=T","Dir=V")</f>
        <v>0</v>
      </c>
      <c r="I2">
        <f>BDH("LMT US Equity","BS_LT_BORROW","1993-06-18","2026-05-02","Per=Y","Days=T","Dir=V")</f>
        <v>0</v>
      </c>
      <c r="K2">
        <f>BDH("LMT US Equity","BS_CASH_NEAR_CASH_ITEM","1993-06-18","2026-05-02","Per=Y","Days=T","Dir=V")</f>
        <v>0</v>
      </c>
      <c r="M2">
        <f>BDH("LMT US Equity","BS_CUR_ASSET_REPORT","1993-06-18","2026-05-02","Per=Y","Days=T","Dir=V")</f>
        <v>0</v>
      </c>
      <c r="O2">
        <f>BDH("LMT US Equity","BS_CUR_LIAB","1993-06-18","2026-05-02","Per=Y","Days=T","Dir=V")</f>
        <v>0</v>
      </c>
      <c r="Q2">
        <f>BDH("LMT US Equity","BS_SHAREHOLDER_EQY_ENDING_PERIOD","1993-06-18","2026-05-02","Per=Y","Days=T","Dir=V")</f>
        <v>0</v>
      </c>
      <c r="S2">
        <f>BDH("LMT US Equity","BS_ACCT_NOTE_RCV","1993-06-18","2026-05-02","Per=Y","Days=T","Dir=V")</f>
        <v>0</v>
      </c>
      <c r="U2">
        <f>BDH("LMT US Equity","BS_INVENTORIES","1993-06-18","2026-05-02","Per=Y","Days=T","Dir=V")</f>
        <v>0</v>
      </c>
      <c r="W2">
        <f>BDH("LMT US Equity","WORKING_CAPITAL","1993-06-18","2026-05-02","Per=Y","Days=T","Dir=V")</f>
        <v>0</v>
      </c>
      <c r="Y2">
        <f>BDH("LMT US Equity","SALES_REV_TURN","1993-06-18","2026-05-02","Per=Y","Days=T","Dir=V")</f>
        <v>0</v>
      </c>
      <c r="AA2">
        <f>BDH("LMT US Equity","EBIT","1993-06-18","2026-05-02","Per=Y","Days=T","Dir=V")</f>
        <v>0</v>
      </c>
      <c r="AC2">
        <f>BDH("LMT US Equity","EBITDA","1993-06-18","2026-05-02","Per=Y","Days=T","Dir=V")</f>
        <v>0</v>
      </c>
      <c r="AE2">
        <f>BDH("LMT US Equity","NET_INCOME","1993-06-18","2026-05-02","Per=Y","Days=T","Dir=V")</f>
        <v>0</v>
      </c>
      <c r="AG2">
        <f>BDH("LMT US Equity","IS_INT_EXPENSE","1993-06-18","2026-05-02","Per=Y","Days=T","Dir=V")</f>
        <v>0</v>
      </c>
      <c r="AI2">
        <f>BDH("LMT US Equity","IS_DEPR_EXP","1993-06-18","2026-05-02","Per=Y","Days=T","Dir=V")</f>
        <v>0</v>
      </c>
      <c r="AK2">
        <f>BDH("LMT US Equity","CF_CASH_FROM_OPER","1993-06-18","2026-05-02","Per=Y","Days=T","Dir=V")</f>
        <v>0</v>
      </c>
      <c r="AM2">
        <f>BDH("LMT US Equity","CAPITAL_EXPEND","1993-06-18","2026-05-02","Per=Y","Days=T","Dir=V")</f>
        <v>0</v>
      </c>
      <c r="AO2">
        <f>BDH("LMT US Equity","CF_FREE_CASH_FLOW","1993-06-18","2026-05-02","Per=Y","Days=T","Dir=V")</f>
        <v>0</v>
      </c>
      <c r="AQ2">
        <f>BDH("LMT US Equity","PX_LAST","1993-06-18","2026-05-02","Per=M","Days=T","Dir=V")</f>
        <v>0</v>
      </c>
      <c r="AS2">
        <f>BDH("LMT US Equity","CUR_MKT_CAP","1993-06-18","2026-05-02","Per=M","Days=T","Dir=V")</f>
        <v>0</v>
      </c>
      <c r="AU2">
        <f>BDH("LMT US Equity","EQY_SH_OUT","1993-06-18","2026-05-02","Per=M","Days=T","Dir=V")</f>
        <v>0</v>
      </c>
      <c r="AW2">
        <f>BDH("LMT US Equity","PX_VOLUME","1993-06-18","2026-05-02","Per=M","Days=T","Dir=V")</f>
        <v>0</v>
      </c>
      <c r="AY2">
        <f>BDH("LMT US Equity","TURNOVER","1993-06-18","2026-05-02","Per=M","Days=T","Dir=V")</f>
        <v>0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BDH("LNAI US Equity","BS_TOT_ASSET","1993-06-18","2026-05-02","Per=Y","Days=T","Dir=V")</f>
        <v>0</v>
      </c>
      <c r="C2">
        <f>BDH("LNAI US Equity","BS_TOT_LIAB2","1993-06-18","2026-05-02","Per=Y","Days=T","Dir=V")</f>
        <v>0</v>
      </c>
      <c r="E2">
        <f>BDH("LNAI US Equity","SHORT_AND_LONG_TERM_DEBT","1993-06-18","2026-05-02","Per=Y","Days=T","Dir=V")</f>
        <v>0</v>
      </c>
      <c r="G2">
        <f>BDH("LNAI US Equity","BS_ST_BORROW","1993-06-18","2026-05-02","Per=Y","Days=T","Dir=V")</f>
        <v>0</v>
      </c>
      <c r="I2">
        <f>BDH("LNAI US Equity","BS_LT_BORROW","1993-06-18","2026-05-02","Per=Y","Days=T","Dir=V")</f>
        <v>0</v>
      </c>
      <c r="K2">
        <f>BDH("LNAI US Equity","BS_CASH_NEAR_CASH_ITEM","1993-06-18","2026-05-02","Per=Y","Days=T","Dir=V")</f>
        <v>0</v>
      </c>
      <c r="M2">
        <f>BDH("LNAI US Equity","BS_CUR_ASSET_REPORT","1993-06-18","2026-05-02","Per=Y","Days=T","Dir=V")</f>
        <v>0</v>
      </c>
      <c r="O2">
        <f>BDH("LNAI US Equity","BS_CUR_LIAB","1993-06-18","2026-05-02","Per=Y","Days=T","Dir=V")</f>
        <v>0</v>
      </c>
      <c r="Q2">
        <f>BDH("LNAI US Equity","BS_SHAREHOLDER_EQY_ENDING_PERIOD","1993-06-18","2026-05-02","Per=Y","Days=T","Dir=V")</f>
        <v>0</v>
      </c>
      <c r="S2">
        <f>BDH("LNAI US Equity","BS_ACCT_NOTE_RCV","1993-06-18","2026-05-02","Per=Y","Days=T","Dir=V")</f>
        <v>0</v>
      </c>
      <c r="U2">
        <f>BDH("LNAI US Equity","BS_INVENTORIES","1993-06-18","2026-05-02","Per=Y","Days=T","Dir=V")</f>
        <v>0</v>
      </c>
      <c r="W2">
        <f>BDH("LNAI US Equity","WORKING_CAPITAL","1993-06-18","2026-05-02","Per=Y","Days=T","Dir=V")</f>
        <v>0</v>
      </c>
      <c r="Y2">
        <f>BDH("LNAI US Equity","SALES_REV_TURN","1993-06-18","2026-05-02","Per=Y","Days=T","Dir=V")</f>
        <v>0</v>
      </c>
      <c r="AA2">
        <f>BDH("LNAI US Equity","EBIT","1993-06-18","2026-05-02","Per=Y","Days=T","Dir=V")</f>
        <v>0</v>
      </c>
      <c r="AC2">
        <f>BDH("LNAI US Equity","EBITDA","1993-06-18","2026-05-02","Per=Y","Days=T","Dir=V")</f>
        <v>0</v>
      </c>
      <c r="AE2">
        <f>BDH("LNAI US Equity","NET_INCOME","1993-06-18","2026-05-02","Per=Y","Days=T","Dir=V")</f>
        <v>0</v>
      </c>
      <c r="AG2">
        <f>BDH("LNAI US Equity","IS_INT_EXPENSE","1993-06-18","2026-05-02","Per=Y","Days=T","Dir=V")</f>
        <v>0</v>
      </c>
      <c r="AI2">
        <f>BDH("LNAI US Equity","IS_DEPR_EXP","1993-06-18","2026-05-02","Per=Y","Days=T","Dir=V")</f>
        <v>0</v>
      </c>
      <c r="AK2">
        <f>BDH("LNAI US Equity","CF_CASH_FROM_OPER","1993-06-18","2026-05-02","Per=Y","Days=T","Dir=V")</f>
        <v>0</v>
      </c>
      <c r="AM2">
        <f>BDH("LNAI US Equity","CAPITAL_EXPEND","1993-06-18","2026-05-02","Per=Y","Days=T","Dir=V")</f>
        <v>0</v>
      </c>
      <c r="AO2">
        <f>BDH("LNAI US Equity","CF_FREE_CASH_FLOW","1993-06-18","2026-05-02","Per=Y","Days=T","Dir=V")</f>
        <v>0</v>
      </c>
      <c r="AQ2">
        <f>BDH("LNAI US Equity","PX_LAST","1993-06-18","2026-05-02","Per=M","Days=T","Dir=V")</f>
        <v>0</v>
      </c>
      <c r="AS2">
        <f>BDH("LNAI US Equity","CUR_MKT_CAP","1993-06-18","2026-05-02","Per=M","Days=T","Dir=V")</f>
        <v>0</v>
      </c>
      <c r="AU2">
        <f>BDH("LNAI US Equity","EQY_SH_OUT","1993-06-18","2026-05-02","Per=M","Days=T","Dir=V")</f>
        <v>0</v>
      </c>
      <c r="AW2">
        <f>BDH("LNAI US Equity","PX_VOLUME","1993-06-18","2026-05-02","Per=M","Days=T","Dir=V")</f>
        <v>0</v>
      </c>
      <c r="AY2">
        <f>BDH("LNAI US Equity","TURNOVER","1993-06-18","2026-05-02","Per=M","Days=T","Dir=V")</f>
        <v>0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BDH("LNG US Equity","BS_TOT_ASSET","1993-06-18","2026-05-02","Per=Y","Days=T","Dir=V")</f>
        <v>0</v>
      </c>
      <c r="C2">
        <f>BDH("LNG US Equity","BS_TOT_LIAB2","1993-06-18","2026-05-02","Per=Y","Days=T","Dir=V")</f>
        <v>0</v>
      </c>
      <c r="E2">
        <f>BDH("LNG US Equity","SHORT_AND_LONG_TERM_DEBT","1993-06-18","2026-05-02","Per=Y","Days=T","Dir=V")</f>
        <v>0</v>
      </c>
      <c r="G2">
        <f>BDH("LNG US Equity","BS_ST_BORROW","1993-06-18","2026-05-02","Per=Y","Days=T","Dir=V")</f>
        <v>0</v>
      </c>
      <c r="I2">
        <f>BDH("LNG US Equity","BS_LT_BORROW","1993-06-18","2026-05-02","Per=Y","Days=T","Dir=V")</f>
        <v>0</v>
      </c>
      <c r="K2">
        <f>BDH("LNG US Equity","BS_CASH_NEAR_CASH_ITEM","1993-06-18","2026-05-02","Per=Y","Days=T","Dir=V")</f>
        <v>0</v>
      </c>
      <c r="M2">
        <f>BDH("LNG US Equity","BS_CUR_ASSET_REPORT","1993-06-18","2026-05-02","Per=Y","Days=T","Dir=V")</f>
        <v>0</v>
      </c>
      <c r="O2">
        <f>BDH("LNG US Equity","BS_CUR_LIAB","1993-06-18","2026-05-02","Per=Y","Days=T","Dir=V")</f>
        <v>0</v>
      </c>
      <c r="Q2">
        <f>BDH("LNG US Equity","BS_SHAREHOLDER_EQY_ENDING_PERIOD","1993-06-18","2026-05-02","Per=Y","Days=T","Dir=V")</f>
        <v>0</v>
      </c>
      <c r="S2">
        <f>BDH("LNG US Equity","BS_ACCT_NOTE_RCV","1993-06-18","2026-05-02","Per=Y","Days=T","Dir=V")</f>
        <v>0</v>
      </c>
      <c r="U2">
        <f>BDH("LNG US Equity","BS_INVENTORIES","1993-06-18","2026-05-02","Per=Y","Days=T","Dir=V")</f>
        <v>0</v>
      </c>
      <c r="W2">
        <f>BDH("LNG US Equity","WORKING_CAPITAL","1993-06-18","2026-05-02","Per=Y","Days=T","Dir=V")</f>
        <v>0</v>
      </c>
      <c r="Y2">
        <f>BDH("LNG US Equity","SALES_REV_TURN","1993-06-18","2026-05-02","Per=Y","Days=T","Dir=V")</f>
        <v>0</v>
      </c>
      <c r="AA2">
        <f>BDH("LNG US Equity","EBIT","1993-06-18","2026-05-02","Per=Y","Days=T","Dir=V")</f>
        <v>0</v>
      </c>
      <c r="AC2">
        <f>BDH("LNG US Equity","EBITDA","1993-06-18","2026-05-02","Per=Y","Days=T","Dir=V")</f>
        <v>0</v>
      </c>
      <c r="AE2">
        <f>BDH("LNG US Equity","NET_INCOME","1993-06-18","2026-05-02","Per=Y","Days=T","Dir=V")</f>
        <v>0</v>
      </c>
      <c r="AG2">
        <f>BDH("LNG US Equity","IS_INT_EXPENSE","1993-06-18","2026-05-02","Per=Y","Days=T","Dir=V")</f>
        <v>0</v>
      </c>
      <c r="AI2">
        <f>BDH("LNG US Equity","IS_DEPR_EXP","1993-06-18","2026-05-02","Per=Y","Days=T","Dir=V")</f>
        <v>0</v>
      </c>
      <c r="AK2">
        <f>BDH("LNG US Equity","CF_CASH_FROM_OPER","1993-06-18","2026-05-02","Per=Y","Days=T","Dir=V")</f>
        <v>0</v>
      </c>
      <c r="AM2">
        <f>BDH("LNG US Equity","CAPITAL_EXPEND","1993-06-18","2026-05-02","Per=Y","Days=T","Dir=V")</f>
        <v>0</v>
      </c>
      <c r="AO2">
        <f>BDH("LNG US Equity","CF_FREE_CASH_FLOW","1993-06-18","2026-05-02","Per=Y","Days=T","Dir=V")</f>
        <v>0</v>
      </c>
      <c r="AQ2">
        <f>BDH("LNG US Equity","PX_LAST","1993-06-18","2026-05-02","Per=M","Days=T","Dir=V")</f>
        <v>0</v>
      </c>
      <c r="AS2">
        <f>BDH("LNG US Equity","CUR_MKT_CAP","1993-06-18","2026-05-02","Per=M","Days=T","Dir=V")</f>
        <v>0</v>
      </c>
      <c r="AU2">
        <f>BDH("LNG US Equity","EQY_SH_OUT","1993-06-18","2026-05-02","Per=M","Days=T","Dir=V")</f>
        <v>0</v>
      </c>
      <c r="AW2">
        <f>BDH("LNG US Equity","PX_VOLUME","1993-06-18","2026-05-02","Per=M","Days=T","Dir=V")</f>
        <v>0</v>
      </c>
      <c r="AY2">
        <f>BDH("LNG US Equity","TURNOVER","1993-06-18","2026-05-02","Per=M","Days=T","Dir=V")</f>
        <v>0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BDH("LNN US Equity","BS_TOT_ASSET","1993-06-18","2026-05-02","Per=Y","Days=T","Dir=V")</f>
        <v>0</v>
      </c>
      <c r="C2">
        <f>BDH("LNN US Equity","BS_TOT_LIAB2","1993-06-18","2026-05-02","Per=Y","Days=T","Dir=V")</f>
        <v>0</v>
      </c>
      <c r="E2">
        <f>BDH("LNN US Equity","SHORT_AND_LONG_TERM_DEBT","1993-06-18","2026-05-02","Per=Y","Days=T","Dir=V")</f>
        <v>0</v>
      </c>
      <c r="G2">
        <f>BDH("LNN US Equity","BS_ST_BORROW","1993-06-18","2026-05-02","Per=Y","Days=T","Dir=V")</f>
        <v>0</v>
      </c>
      <c r="I2">
        <f>BDH("LNN US Equity","BS_LT_BORROW","1993-06-18","2026-05-02","Per=Y","Days=T","Dir=V")</f>
        <v>0</v>
      </c>
      <c r="K2">
        <f>BDH("LNN US Equity","BS_CASH_NEAR_CASH_ITEM","1993-06-18","2026-05-02","Per=Y","Days=T","Dir=V")</f>
        <v>0</v>
      </c>
      <c r="M2">
        <f>BDH("LNN US Equity","BS_CUR_ASSET_REPORT","1993-06-18","2026-05-02","Per=Y","Days=T","Dir=V")</f>
        <v>0</v>
      </c>
      <c r="O2">
        <f>BDH("LNN US Equity","BS_CUR_LIAB","1993-06-18","2026-05-02","Per=Y","Days=T","Dir=V")</f>
        <v>0</v>
      </c>
      <c r="Q2">
        <f>BDH("LNN US Equity","BS_SHAREHOLDER_EQY_ENDING_PERIOD","1993-06-18","2026-05-02","Per=Y","Days=T","Dir=V")</f>
        <v>0</v>
      </c>
      <c r="S2">
        <f>BDH("LNN US Equity","BS_ACCT_NOTE_RCV","1993-06-18","2026-05-02","Per=Y","Days=T","Dir=V")</f>
        <v>0</v>
      </c>
      <c r="U2">
        <f>BDH("LNN US Equity","BS_INVENTORIES","1993-06-18","2026-05-02","Per=Y","Days=T","Dir=V")</f>
        <v>0</v>
      </c>
      <c r="W2">
        <f>BDH("LNN US Equity","WORKING_CAPITAL","1993-06-18","2026-05-02","Per=Y","Days=T","Dir=V")</f>
        <v>0</v>
      </c>
      <c r="Y2">
        <f>BDH("LNN US Equity","SALES_REV_TURN","1993-06-18","2026-05-02","Per=Y","Days=T","Dir=V")</f>
        <v>0</v>
      </c>
      <c r="AA2">
        <f>BDH("LNN US Equity","EBIT","1993-06-18","2026-05-02","Per=Y","Days=T","Dir=V")</f>
        <v>0</v>
      </c>
      <c r="AC2">
        <f>BDH("LNN US Equity","EBITDA","1993-06-18","2026-05-02","Per=Y","Days=T","Dir=V")</f>
        <v>0</v>
      </c>
      <c r="AE2">
        <f>BDH("LNN US Equity","NET_INCOME","1993-06-18","2026-05-02","Per=Y","Days=T","Dir=V")</f>
        <v>0</v>
      </c>
      <c r="AG2">
        <f>BDH("LNN US Equity","IS_INT_EXPENSE","1993-06-18","2026-05-02","Per=Y","Days=T","Dir=V")</f>
        <v>0</v>
      </c>
      <c r="AI2">
        <f>BDH("LNN US Equity","IS_DEPR_EXP","1993-06-18","2026-05-02","Per=Y","Days=T","Dir=V")</f>
        <v>0</v>
      </c>
      <c r="AK2">
        <f>BDH("LNN US Equity","CF_CASH_FROM_OPER","1993-06-18","2026-05-02","Per=Y","Days=T","Dir=V")</f>
        <v>0</v>
      </c>
      <c r="AM2">
        <f>BDH("LNN US Equity","CAPITAL_EXPEND","1993-06-18","2026-05-02","Per=Y","Days=T","Dir=V")</f>
        <v>0</v>
      </c>
      <c r="AO2">
        <f>BDH("LNN US Equity","CF_FREE_CASH_FLOW","1993-06-18","2026-05-02","Per=Y","Days=T","Dir=V")</f>
        <v>0</v>
      </c>
      <c r="AQ2">
        <f>BDH("LNN US Equity","PX_LAST","1993-06-18","2026-05-02","Per=M","Days=T","Dir=V")</f>
        <v>0</v>
      </c>
      <c r="AS2">
        <f>BDH("LNN US Equity","CUR_MKT_CAP","1993-06-18","2026-05-02","Per=M","Days=T","Dir=V")</f>
        <v>0</v>
      </c>
      <c r="AU2">
        <f>BDH("LNN US Equity","EQY_SH_OUT","1993-06-18","2026-05-02","Per=M","Days=T","Dir=V")</f>
        <v>0</v>
      </c>
      <c r="AW2">
        <f>BDH("LNN US Equity","PX_VOLUME","1993-06-18","2026-05-02","Per=M","Days=T","Dir=V")</f>
        <v>0</v>
      </c>
      <c r="AY2">
        <f>BDH("LNN US Equity","TURNOVER","1993-06-18","2026-05-02","Per=M","Days=T","Dir=V")</f>
        <v>0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BDH("LNSR US Equity","BS_TOT_ASSET","1993-06-18","2026-05-02","Per=Y","Days=T","Dir=V")</f>
        <v>0</v>
      </c>
      <c r="C2">
        <f>BDH("LNSR US Equity","BS_TOT_LIAB2","1993-06-18","2026-05-02","Per=Y","Days=T","Dir=V")</f>
        <v>0</v>
      </c>
      <c r="E2">
        <f>BDH("LNSR US Equity","SHORT_AND_LONG_TERM_DEBT","1993-06-18","2026-05-02","Per=Y","Days=T","Dir=V")</f>
        <v>0</v>
      </c>
      <c r="G2">
        <f>BDH("LNSR US Equity","BS_ST_BORROW","1993-06-18","2026-05-02","Per=Y","Days=T","Dir=V")</f>
        <v>0</v>
      </c>
      <c r="I2">
        <f>BDH("LNSR US Equity","BS_LT_BORROW","1993-06-18","2026-05-02","Per=Y","Days=T","Dir=V")</f>
        <v>0</v>
      </c>
      <c r="K2">
        <f>BDH("LNSR US Equity","BS_CASH_NEAR_CASH_ITEM","1993-06-18","2026-05-02","Per=Y","Days=T","Dir=V")</f>
        <v>0</v>
      </c>
      <c r="M2">
        <f>BDH("LNSR US Equity","BS_CUR_ASSET_REPORT","1993-06-18","2026-05-02","Per=Y","Days=T","Dir=V")</f>
        <v>0</v>
      </c>
      <c r="O2">
        <f>BDH("LNSR US Equity","BS_CUR_LIAB","1993-06-18","2026-05-02","Per=Y","Days=T","Dir=V")</f>
        <v>0</v>
      </c>
      <c r="Q2">
        <f>BDH("LNSR US Equity","BS_SHAREHOLDER_EQY_ENDING_PERIOD","1993-06-18","2026-05-02","Per=Y","Days=T","Dir=V")</f>
        <v>0</v>
      </c>
      <c r="S2">
        <f>BDH("LNSR US Equity","BS_ACCT_NOTE_RCV","1993-06-18","2026-05-02","Per=Y","Days=T","Dir=V")</f>
        <v>0</v>
      </c>
      <c r="U2">
        <f>BDH("LNSR US Equity","BS_INVENTORIES","1993-06-18","2026-05-02","Per=Y","Days=T","Dir=V")</f>
        <v>0</v>
      </c>
      <c r="W2">
        <f>BDH("LNSR US Equity","WORKING_CAPITAL","1993-06-18","2026-05-02","Per=Y","Days=T","Dir=V")</f>
        <v>0</v>
      </c>
      <c r="Y2">
        <f>BDH("LNSR US Equity","SALES_REV_TURN","1993-06-18","2026-05-02","Per=Y","Days=T","Dir=V")</f>
        <v>0</v>
      </c>
      <c r="AA2">
        <f>BDH("LNSR US Equity","EBIT","1993-06-18","2026-05-02","Per=Y","Days=T","Dir=V")</f>
        <v>0</v>
      </c>
      <c r="AC2">
        <f>BDH("LNSR US Equity","EBITDA","1993-06-18","2026-05-02","Per=Y","Days=T","Dir=V")</f>
        <v>0</v>
      </c>
      <c r="AE2">
        <f>BDH("LNSR US Equity","NET_INCOME","1993-06-18","2026-05-02","Per=Y","Days=T","Dir=V")</f>
        <v>0</v>
      </c>
      <c r="AG2">
        <f>BDH("LNSR US Equity","IS_INT_EXPENSE","1993-06-18","2026-05-02","Per=Y","Days=T","Dir=V")</f>
        <v>0</v>
      </c>
      <c r="AI2">
        <f>BDH("LNSR US Equity","IS_DEPR_EXP","1993-06-18","2026-05-02","Per=Y","Days=T","Dir=V")</f>
        <v>0</v>
      </c>
      <c r="AK2">
        <f>BDH("LNSR US Equity","CF_CASH_FROM_OPER","1993-06-18","2026-05-02","Per=Y","Days=T","Dir=V")</f>
        <v>0</v>
      </c>
      <c r="AM2">
        <f>BDH("LNSR US Equity","CAPITAL_EXPEND","1993-06-18","2026-05-02","Per=Y","Days=T","Dir=V")</f>
        <v>0</v>
      </c>
      <c r="AO2">
        <f>BDH("LNSR US Equity","CF_FREE_CASH_FLOW","1993-06-18","2026-05-02","Per=Y","Days=T","Dir=V")</f>
        <v>0</v>
      </c>
      <c r="AQ2">
        <f>BDH("LNSR US Equity","PX_LAST","1993-06-18","2026-05-02","Per=M","Days=T","Dir=V")</f>
        <v>0</v>
      </c>
      <c r="AS2">
        <f>BDH("LNSR US Equity","CUR_MKT_CAP","1993-06-18","2026-05-02","Per=M","Days=T","Dir=V")</f>
        <v>0</v>
      </c>
      <c r="AU2">
        <f>BDH("LNSR US Equity","EQY_SH_OUT","1993-06-18","2026-05-02","Per=M","Days=T","Dir=V")</f>
        <v>0</v>
      </c>
      <c r="AW2">
        <f>BDH("LNSR US Equity","PX_VOLUME","1993-06-18","2026-05-02","Per=M","Days=T","Dir=V")</f>
        <v>0</v>
      </c>
      <c r="AY2">
        <f>BDH("LNSR US Equity","TURNOVER","1993-06-18","2026-05-02","Per=M","Days=T","Dir=V")</f>
        <v>0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BDH("LNT US Equity","BS_TOT_ASSET","1993-06-18","2026-05-02","Per=Y","Days=T","Dir=V")</f>
        <v>0</v>
      </c>
      <c r="C2">
        <f>BDH("LNT US Equity","BS_TOT_LIAB2","1993-06-18","2026-05-02","Per=Y","Days=T","Dir=V")</f>
        <v>0</v>
      </c>
      <c r="E2">
        <f>BDH("LNT US Equity","SHORT_AND_LONG_TERM_DEBT","1993-06-18","2026-05-02","Per=Y","Days=T","Dir=V")</f>
        <v>0</v>
      </c>
      <c r="G2">
        <f>BDH("LNT US Equity","BS_ST_BORROW","1993-06-18","2026-05-02","Per=Y","Days=T","Dir=V")</f>
        <v>0</v>
      </c>
      <c r="I2">
        <f>BDH("LNT US Equity","BS_LT_BORROW","1993-06-18","2026-05-02","Per=Y","Days=T","Dir=V")</f>
        <v>0</v>
      </c>
      <c r="K2">
        <f>BDH("LNT US Equity","BS_CASH_NEAR_CASH_ITEM","1993-06-18","2026-05-02","Per=Y","Days=T","Dir=V")</f>
        <v>0</v>
      </c>
      <c r="M2">
        <f>BDH("LNT US Equity","BS_CUR_ASSET_REPORT","1993-06-18","2026-05-02","Per=Y","Days=T","Dir=V")</f>
        <v>0</v>
      </c>
      <c r="O2">
        <f>BDH("LNT US Equity","BS_CUR_LIAB","1993-06-18","2026-05-02","Per=Y","Days=T","Dir=V")</f>
        <v>0</v>
      </c>
      <c r="Q2">
        <f>BDH("LNT US Equity","BS_SHAREHOLDER_EQY_ENDING_PERIOD","1993-06-18","2026-05-02","Per=Y","Days=T","Dir=V")</f>
        <v>0</v>
      </c>
      <c r="S2">
        <f>BDH("LNT US Equity","BS_ACCT_NOTE_RCV","1993-06-18","2026-05-02","Per=Y","Days=T","Dir=V")</f>
        <v>0</v>
      </c>
      <c r="U2">
        <f>BDH("LNT US Equity","BS_INVENTORIES","1993-06-18","2026-05-02","Per=Y","Days=T","Dir=V")</f>
        <v>0</v>
      </c>
      <c r="W2">
        <f>BDH("LNT US Equity","WORKING_CAPITAL","1993-06-18","2026-05-02","Per=Y","Days=T","Dir=V")</f>
        <v>0</v>
      </c>
      <c r="Y2">
        <f>BDH("LNT US Equity","SALES_REV_TURN","1993-06-18","2026-05-02","Per=Y","Days=T","Dir=V")</f>
        <v>0</v>
      </c>
      <c r="AA2">
        <f>BDH("LNT US Equity","EBIT","1993-06-18","2026-05-02","Per=Y","Days=T","Dir=V")</f>
        <v>0</v>
      </c>
      <c r="AC2">
        <f>BDH("LNT US Equity","EBITDA","1993-06-18","2026-05-02","Per=Y","Days=T","Dir=V")</f>
        <v>0</v>
      </c>
      <c r="AE2">
        <f>BDH("LNT US Equity","NET_INCOME","1993-06-18","2026-05-02","Per=Y","Days=T","Dir=V")</f>
        <v>0</v>
      </c>
      <c r="AG2">
        <f>BDH("LNT US Equity","IS_INT_EXPENSE","1993-06-18","2026-05-02","Per=Y","Days=T","Dir=V")</f>
        <v>0</v>
      </c>
      <c r="AI2">
        <f>BDH("LNT US Equity","IS_DEPR_EXP","1993-06-18","2026-05-02","Per=Y","Days=T","Dir=V")</f>
        <v>0</v>
      </c>
      <c r="AK2">
        <f>BDH("LNT US Equity","CF_CASH_FROM_OPER","1993-06-18","2026-05-02","Per=Y","Days=T","Dir=V")</f>
        <v>0</v>
      </c>
      <c r="AM2">
        <f>BDH("LNT US Equity","CAPITAL_EXPEND","1993-06-18","2026-05-02","Per=Y","Days=T","Dir=V")</f>
        <v>0</v>
      </c>
      <c r="AO2">
        <f>BDH("LNT US Equity","CF_FREE_CASH_FLOW","1993-06-18","2026-05-02","Per=Y","Days=T","Dir=V")</f>
        <v>0</v>
      </c>
      <c r="AQ2">
        <f>BDH("LNT US Equity","PX_LAST","1993-06-18","2026-05-02","Per=M","Days=T","Dir=V")</f>
        <v>0</v>
      </c>
      <c r="AS2">
        <f>BDH("LNT US Equity","CUR_MKT_CAP","1993-06-18","2026-05-02","Per=M","Days=T","Dir=V")</f>
        <v>0</v>
      </c>
      <c r="AU2">
        <f>BDH("LNT US Equity","EQY_SH_OUT","1993-06-18","2026-05-02","Per=M","Days=T","Dir=V")</f>
        <v>0</v>
      </c>
      <c r="AW2">
        <f>BDH("LNT US Equity","PX_VOLUME","1993-06-18","2026-05-02","Per=M","Days=T","Dir=V")</f>
        <v>0</v>
      </c>
      <c r="AY2">
        <f>BDH("LNT US Equity","TURNOVER","1993-06-18","2026-05-02","Per=M","Days=T","Dir=V")</f>
        <v>0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BDH("LNTH US Equity","BS_TOT_ASSET","1993-06-18","2026-05-02","Per=Y","Days=T","Dir=V")</f>
        <v>0</v>
      </c>
      <c r="C2">
        <f>BDH("LNTH US Equity","BS_TOT_LIAB2","1993-06-18","2026-05-02","Per=Y","Days=T","Dir=V")</f>
        <v>0</v>
      </c>
      <c r="E2">
        <f>BDH("LNTH US Equity","SHORT_AND_LONG_TERM_DEBT","1993-06-18","2026-05-02","Per=Y","Days=T","Dir=V")</f>
        <v>0</v>
      </c>
      <c r="G2">
        <f>BDH("LNTH US Equity","BS_ST_BORROW","1993-06-18","2026-05-02","Per=Y","Days=T","Dir=V")</f>
        <v>0</v>
      </c>
      <c r="I2">
        <f>BDH("LNTH US Equity","BS_LT_BORROW","1993-06-18","2026-05-02","Per=Y","Days=T","Dir=V")</f>
        <v>0</v>
      </c>
      <c r="K2">
        <f>BDH("LNTH US Equity","BS_CASH_NEAR_CASH_ITEM","1993-06-18","2026-05-02","Per=Y","Days=T","Dir=V")</f>
        <v>0</v>
      </c>
      <c r="M2">
        <f>BDH("LNTH US Equity","BS_CUR_ASSET_REPORT","1993-06-18","2026-05-02","Per=Y","Days=T","Dir=V")</f>
        <v>0</v>
      </c>
      <c r="O2">
        <f>BDH("LNTH US Equity","BS_CUR_LIAB","1993-06-18","2026-05-02","Per=Y","Days=T","Dir=V")</f>
        <v>0</v>
      </c>
      <c r="Q2">
        <f>BDH("LNTH US Equity","BS_SHAREHOLDER_EQY_ENDING_PERIOD","1993-06-18","2026-05-02","Per=Y","Days=T","Dir=V")</f>
        <v>0</v>
      </c>
      <c r="S2">
        <f>BDH("LNTH US Equity","BS_ACCT_NOTE_RCV","1993-06-18","2026-05-02","Per=Y","Days=T","Dir=V")</f>
        <v>0</v>
      </c>
      <c r="U2">
        <f>BDH("LNTH US Equity","BS_INVENTORIES","1993-06-18","2026-05-02","Per=Y","Days=T","Dir=V")</f>
        <v>0</v>
      </c>
      <c r="W2">
        <f>BDH("LNTH US Equity","WORKING_CAPITAL","1993-06-18","2026-05-02","Per=Y","Days=T","Dir=V")</f>
        <v>0</v>
      </c>
      <c r="Y2">
        <f>BDH("LNTH US Equity","SALES_REV_TURN","1993-06-18","2026-05-02","Per=Y","Days=T","Dir=V")</f>
        <v>0</v>
      </c>
      <c r="AA2">
        <f>BDH("LNTH US Equity","EBIT","1993-06-18","2026-05-02","Per=Y","Days=T","Dir=V")</f>
        <v>0</v>
      </c>
      <c r="AC2">
        <f>BDH("LNTH US Equity","EBITDA","1993-06-18","2026-05-02","Per=Y","Days=T","Dir=V")</f>
        <v>0</v>
      </c>
      <c r="AE2">
        <f>BDH("LNTH US Equity","NET_INCOME","1993-06-18","2026-05-02","Per=Y","Days=T","Dir=V")</f>
        <v>0</v>
      </c>
      <c r="AG2">
        <f>BDH("LNTH US Equity","IS_INT_EXPENSE","1993-06-18","2026-05-02","Per=Y","Days=T","Dir=V")</f>
        <v>0</v>
      </c>
      <c r="AI2">
        <f>BDH("LNTH US Equity","IS_DEPR_EXP","1993-06-18","2026-05-02","Per=Y","Days=T","Dir=V")</f>
        <v>0</v>
      </c>
      <c r="AK2">
        <f>BDH("LNTH US Equity","CF_CASH_FROM_OPER","1993-06-18","2026-05-02","Per=Y","Days=T","Dir=V")</f>
        <v>0</v>
      </c>
      <c r="AM2">
        <f>BDH("LNTH US Equity","CAPITAL_EXPEND","1993-06-18","2026-05-02","Per=Y","Days=T","Dir=V")</f>
        <v>0</v>
      </c>
      <c r="AO2">
        <f>BDH("LNTH US Equity","CF_FREE_CASH_FLOW","1993-06-18","2026-05-02","Per=Y","Days=T","Dir=V")</f>
        <v>0</v>
      </c>
      <c r="AQ2">
        <f>BDH("LNTH US Equity","PX_LAST","1993-06-18","2026-05-02","Per=M","Days=T","Dir=V")</f>
        <v>0</v>
      </c>
      <c r="AS2">
        <f>BDH("LNTH US Equity","CUR_MKT_CAP","1993-06-18","2026-05-02","Per=M","Days=T","Dir=V")</f>
        <v>0</v>
      </c>
      <c r="AU2">
        <f>BDH("LNTH US Equity","EQY_SH_OUT","1993-06-18","2026-05-02","Per=M","Days=T","Dir=V")</f>
        <v>0</v>
      </c>
      <c r="AW2">
        <f>BDH("LNTH US Equity","PX_VOLUME","1993-06-18","2026-05-02","Per=M","Days=T","Dir=V")</f>
        <v>0</v>
      </c>
      <c r="AY2">
        <f>BDH("LNTH US Equity","TURNOVER","1993-06-18","2026-05-02","Per=M","Days=T","Dir=V")</f>
        <v>0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BDH("LNZA US Equity","BS_TOT_ASSET","1993-06-18","2026-05-02","Per=Y","Days=T","Dir=V")</f>
        <v>0</v>
      </c>
      <c r="C2">
        <f>BDH("LNZA US Equity","BS_TOT_LIAB2","1993-06-18","2026-05-02","Per=Y","Days=T","Dir=V")</f>
        <v>0</v>
      </c>
      <c r="E2">
        <f>BDH("LNZA US Equity","SHORT_AND_LONG_TERM_DEBT","1993-06-18","2026-05-02","Per=Y","Days=T","Dir=V")</f>
        <v>0</v>
      </c>
      <c r="G2">
        <f>BDH("LNZA US Equity","BS_ST_BORROW","1993-06-18","2026-05-02","Per=Y","Days=T","Dir=V")</f>
        <v>0</v>
      </c>
      <c r="I2">
        <f>BDH("LNZA US Equity","BS_LT_BORROW","1993-06-18","2026-05-02","Per=Y","Days=T","Dir=V")</f>
        <v>0</v>
      </c>
      <c r="K2">
        <f>BDH("LNZA US Equity","BS_CASH_NEAR_CASH_ITEM","1993-06-18","2026-05-02","Per=Y","Days=T","Dir=V")</f>
        <v>0</v>
      </c>
      <c r="M2">
        <f>BDH("LNZA US Equity","BS_CUR_ASSET_REPORT","1993-06-18","2026-05-02","Per=Y","Days=T","Dir=V")</f>
        <v>0</v>
      </c>
      <c r="O2">
        <f>BDH("LNZA US Equity","BS_CUR_LIAB","1993-06-18","2026-05-02","Per=Y","Days=T","Dir=V")</f>
        <v>0</v>
      </c>
      <c r="Q2">
        <f>BDH("LNZA US Equity","BS_SHAREHOLDER_EQY_ENDING_PERIOD","1993-06-18","2026-05-02","Per=Y","Days=T","Dir=V")</f>
        <v>0</v>
      </c>
      <c r="S2">
        <f>BDH("LNZA US Equity","BS_ACCT_NOTE_RCV","1993-06-18","2026-05-02","Per=Y","Days=T","Dir=V")</f>
        <v>0</v>
      </c>
      <c r="U2">
        <f>BDH("LNZA US Equity","BS_INVENTORIES","1993-06-18","2026-05-02","Per=Y","Days=T","Dir=V")</f>
        <v>0</v>
      </c>
      <c r="W2">
        <f>BDH("LNZA US Equity","WORKING_CAPITAL","1993-06-18","2026-05-02","Per=Y","Days=T","Dir=V")</f>
        <v>0</v>
      </c>
      <c r="Y2">
        <f>BDH("LNZA US Equity","SALES_REV_TURN","1993-06-18","2026-05-02","Per=Y","Days=T","Dir=V")</f>
        <v>0</v>
      </c>
      <c r="AA2">
        <f>BDH("LNZA US Equity","EBIT","1993-06-18","2026-05-02","Per=Y","Days=T","Dir=V")</f>
        <v>0</v>
      </c>
      <c r="AC2">
        <f>BDH("LNZA US Equity","EBITDA","1993-06-18","2026-05-02","Per=Y","Days=T","Dir=V")</f>
        <v>0</v>
      </c>
      <c r="AE2">
        <f>BDH("LNZA US Equity","NET_INCOME","1993-06-18","2026-05-02","Per=Y","Days=T","Dir=V")</f>
        <v>0</v>
      </c>
      <c r="AG2">
        <f>BDH("LNZA US Equity","IS_INT_EXPENSE","1993-06-18","2026-05-02","Per=Y","Days=T","Dir=V")</f>
        <v>0</v>
      </c>
      <c r="AI2">
        <f>BDH("LNZA US Equity","IS_DEPR_EXP","1993-06-18","2026-05-02","Per=Y","Days=T","Dir=V")</f>
        <v>0</v>
      </c>
      <c r="AK2">
        <f>BDH("LNZA US Equity","CF_CASH_FROM_OPER","1993-06-18","2026-05-02","Per=Y","Days=T","Dir=V")</f>
        <v>0</v>
      </c>
      <c r="AM2">
        <f>BDH("LNZA US Equity","CAPITAL_EXPEND","1993-06-18","2026-05-02","Per=Y","Days=T","Dir=V")</f>
        <v>0</v>
      </c>
      <c r="AO2">
        <f>BDH("LNZA US Equity","CF_FREE_CASH_FLOW","1993-06-18","2026-05-02","Per=Y","Days=T","Dir=V")</f>
        <v>0</v>
      </c>
      <c r="AQ2">
        <f>BDH("LNZA US Equity","PX_LAST","1993-06-18","2026-05-02","Per=M","Days=T","Dir=V")</f>
        <v>0</v>
      </c>
      <c r="AS2">
        <f>BDH("LNZA US Equity","CUR_MKT_CAP","1993-06-18","2026-05-02","Per=M","Days=T","Dir=V")</f>
        <v>0</v>
      </c>
      <c r="AU2">
        <f>BDH("LNZA US Equity","EQY_SH_OUT","1993-06-18","2026-05-02","Per=M","Days=T","Dir=V")</f>
        <v>0</v>
      </c>
      <c r="AW2">
        <f>BDH("LNZA US Equity","PX_VOLUME","1993-06-18","2026-05-02","Per=M","Days=T","Dir=V")</f>
        <v>0</v>
      </c>
      <c r="AY2">
        <f>BDH("LNZA US Equity","TURNOVER","1993-06-18","2026-05-02","Per=M","Days=T","Dir=V")</f>
        <v>0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BDH("LOAR US Equity","BS_TOT_ASSET","1993-06-18","2026-05-02","Per=Y","Days=T","Dir=V")</f>
        <v>0</v>
      </c>
      <c r="C2">
        <f>BDH("LOAR US Equity","BS_TOT_LIAB2","1993-06-18","2026-05-02","Per=Y","Days=T","Dir=V")</f>
        <v>0</v>
      </c>
      <c r="E2">
        <f>BDH("LOAR US Equity","SHORT_AND_LONG_TERM_DEBT","1993-06-18","2026-05-02","Per=Y","Days=T","Dir=V")</f>
        <v>0</v>
      </c>
      <c r="G2">
        <f>BDH("LOAR US Equity","BS_ST_BORROW","1993-06-18","2026-05-02","Per=Y","Days=T","Dir=V")</f>
        <v>0</v>
      </c>
      <c r="I2">
        <f>BDH("LOAR US Equity","BS_LT_BORROW","1993-06-18","2026-05-02","Per=Y","Days=T","Dir=V")</f>
        <v>0</v>
      </c>
      <c r="K2">
        <f>BDH("LOAR US Equity","BS_CASH_NEAR_CASH_ITEM","1993-06-18","2026-05-02","Per=Y","Days=T","Dir=V")</f>
        <v>0</v>
      </c>
      <c r="M2">
        <f>BDH("LOAR US Equity","BS_CUR_ASSET_REPORT","1993-06-18","2026-05-02","Per=Y","Days=T","Dir=V")</f>
        <v>0</v>
      </c>
      <c r="O2">
        <f>BDH("LOAR US Equity","BS_CUR_LIAB","1993-06-18","2026-05-02","Per=Y","Days=T","Dir=V")</f>
        <v>0</v>
      </c>
      <c r="Q2">
        <f>BDH("LOAR US Equity","BS_SHAREHOLDER_EQY_ENDING_PERIOD","1993-06-18","2026-05-02","Per=Y","Days=T","Dir=V")</f>
        <v>0</v>
      </c>
      <c r="S2">
        <f>BDH("LOAR US Equity","BS_ACCT_NOTE_RCV","1993-06-18","2026-05-02","Per=Y","Days=T","Dir=V")</f>
        <v>0</v>
      </c>
      <c r="U2">
        <f>BDH("LOAR US Equity","BS_INVENTORIES","1993-06-18","2026-05-02","Per=Y","Days=T","Dir=V")</f>
        <v>0</v>
      </c>
      <c r="W2">
        <f>BDH("LOAR US Equity","WORKING_CAPITAL","1993-06-18","2026-05-02","Per=Y","Days=T","Dir=V")</f>
        <v>0</v>
      </c>
      <c r="Y2">
        <f>BDH("LOAR US Equity","SALES_REV_TURN","1993-06-18","2026-05-02","Per=Y","Days=T","Dir=V")</f>
        <v>0</v>
      </c>
      <c r="AA2">
        <f>BDH("LOAR US Equity","EBIT","1993-06-18","2026-05-02","Per=Y","Days=T","Dir=V")</f>
        <v>0</v>
      </c>
      <c r="AC2">
        <f>BDH("LOAR US Equity","EBITDA","1993-06-18","2026-05-02","Per=Y","Days=T","Dir=V")</f>
        <v>0</v>
      </c>
      <c r="AE2">
        <f>BDH("LOAR US Equity","NET_INCOME","1993-06-18","2026-05-02","Per=Y","Days=T","Dir=V")</f>
        <v>0</v>
      </c>
      <c r="AG2">
        <f>BDH("LOAR US Equity","IS_INT_EXPENSE","1993-06-18","2026-05-02","Per=Y","Days=T","Dir=V")</f>
        <v>0</v>
      </c>
      <c r="AI2">
        <f>BDH("LOAR US Equity","IS_DEPR_EXP","1993-06-18","2026-05-02","Per=Y","Days=T","Dir=V")</f>
        <v>0</v>
      </c>
      <c r="AK2">
        <f>BDH("LOAR US Equity","CF_CASH_FROM_OPER","1993-06-18","2026-05-02","Per=Y","Days=T","Dir=V")</f>
        <v>0</v>
      </c>
      <c r="AM2">
        <f>BDH("LOAR US Equity","CAPITAL_EXPEND","1993-06-18","2026-05-02","Per=Y","Days=T","Dir=V")</f>
        <v>0</v>
      </c>
      <c r="AO2">
        <f>BDH("LOAR US Equity","CF_FREE_CASH_FLOW","1993-06-18","2026-05-02","Per=Y","Days=T","Dir=V")</f>
        <v>0</v>
      </c>
      <c r="AQ2">
        <f>BDH("LOAR US Equity","PX_LAST","1993-06-18","2026-05-02","Per=M","Days=T","Dir=V")</f>
        <v>0</v>
      </c>
      <c r="AS2">
        <f>BDH("LOAR US Equity","CUR_MKT_CAP","1993-06-18","2026-05-02","Per=M","Days=T","Dir=V")</f>
        <v>0</v>
      </c>
      <c r="AU2">
        <f>BDH("LOAR US Equity","EQY_SH_OUT","1993-06-18","2026-05-02","Per=M","Days=T","Dir=V")</f>
        <v>0</v>
      </c>
      <c r="AW2">
        <f>BDH("LOAR US Equity","PX_VOLUME","1993-06-18","2026-05-02","Per=M","Days=T","Dir=V")</f>
        <v>0</v>
      </c>
      <c r="AY2">
        <f>BDH("LOAR US Equity","TURNOVER","1993-06-18","2026-05-02","Per=M","Days=T","Dir=V")</f>
        <v>0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BDH("LOCL US Equity","BS_TOT_ASSET","1993-06-18","2026-05-02","Per=Y","Days=T","Dir=V")</f>
        <v>0</v>
      </c>
      <c r="C2">
        <f>BDH("LOCL US Equity","BS_TOT_LIAB2","1993-06-18","2026-05-02","Per=Y","Days=T","Dir=V")</f>
        <v>0</v>
      </c>
      <c r="E2">
        <f>BDH("LOCL US Equity","SHORT_AND_LONG_TERM_DEBT","1993-06-18","2026-05-02","Per=Y","Days=T","Dir=V")</f>
        <v>0</v>
      </c>
      <c r="G2">
        <f>BDH("LOCL US Equity","BS_ST_BORROW","1993-06-18","2026-05-02","Per=Y","Days=T","Dir=V")</f>
        <v>0</v>
      </c>
      <c r="I2">
        <f>BDH("LOCL US Equity","BS_LT_BORROW","1993-06-18","2026-05-02","Per=Y","Days=T","Dir=V")</f>
        <v>0</v>
      </c>
      <c r="K2">
        <f>BDH("LOCL US Equity","BS_CASH_NEAR_CASH_ITEM","1993-06-18","2026-05-02","Per=Y","Days=T","Dir=V")</f>
        <v>0</v>
      </c>
      <c r="M2">
        <f>BDH("LOCL US Equity","BS_CUR_ASSET_REPORT","1993-06-18","2026-05-02","Per=Y","Days=T","Dir=V")</f>
        <v>0</v>
      </c>
      <c r="O2">
        <f>BDH("LOCL US Equity","BS_CUR_LIAB","1993-06-18","2026-05-02","Per=Y","Days=T","Dir=V")</f>
        <v>0</v>
      </c>
      <c r="Q2">
        <f>BDH("LOCL US Equity","BS_SHAREHOLDER_EQY_ENDING_PERIOD","1993-06-18","2026-05-02","Per=Y","Days=T","Dir=V")</f>
        <v>0</v>
      </c>
      <c r="S2">
        <f>BDH("LOCL US Equity","BS_ACCT_NOTE_RCV","1993-06-18","2026-05-02","Per=Y","Days=T","Dir=V")</f>
        <v>0</v>
      </c>
      <c r="U2">
        <f>BDH("LOCL US Equity","BS_INVENTORIES","1993-06-18","2026-05-02","Per=Y","Days=T","Dir=V")</f>
        <v>0</v>
      </c>
      <c r="W2">
        <f>BDH("LOCL US Equity","WORKING_CAPITAL","1993-06-18","2026-05-02","Per=Y","Days=T","Dir=V")</f>
        <v>0</v>
      </c>
      <c r="Y2">
        <f>BDH("LOCL US Equity","SALES_REV_TURN","1993-06-18","2026-05-02","Per=Y","Days=T","Dir=V")</f>
        <v>0</v>
      </c>
      <c r="AA2">
        <f>BDH("LOCL US Equity","EBIT","1993-06-18","2026-05-02","Per=Y","Days=T","Dir=V")</f>
        <v>0</v>
      </c>
      <c r="AC2">
        <f>BDH("LOCL US Equity","EBITDA","1993-06-18","2026-05-02","Per=Y","Days=T","Dir=V")</f>
        <v>0</v>
      </c>
      <c r="AE2">
        <f>BDH("LOCL US Equity","NET_INCOME","1993-06-18","2026-05-02","Per=Y","Days=T","Dir=V")</f>
        <v>0</v>
      </c>
      <c r="AG2">
        <f>BDH("LOCL US Equity","IS_INT_EXPENSE","1993-06-18","2026-05-02","Per=Y","Days=T","Dir=V")</f>
        <v>0</v>
      </c>
      <c r="AI2">
        <f>BDH("LOCL US Equity","IS_DEPR_EXP","1993-06-18","2026-05-02","Per=Y","Days=T","Dir=V")</f>
        <v>0</v>
      </c>
      <c r="AK2">
        <f>BDH("LOCL US Equity","CF_CASH_FROM_OPER","1993-06-18","2026-05-02","Per=Y","Days=T","Dir=V")</f>
        <v>0</v>
      </c>
      <c r="AM2">
        <f>BDH("LOCL US Equity","CAPITAL_EXPEND","1993-06-18","2026-05-02","Per=Y","Days=T","Dir=V")</f>
        <v>0</v>
      </c>
      <c r="AO2">
        <f>BDH("LOCL US Equity","CF_FREE_CASH_FLOW","1993-06-18","2026-05-02","Per=Y","Days=T","Dir=V")</f>
        <v>0</v>
      </c>
      <c r="AQ2">
        <f>BDH("LOCL US Equity","PX_LAST","1993-06-18","2026-05-02","Per=M","Days=T","Dir=V")</f>
        <v>0</v>
      </c>
      <c r="AS2">
        <f>BDH("LOCL US Equity","CUR_MKT_CAP","1993-06-18","2026-05-02","Per=M","Days=T","Dir=V")</f>
        <v>0</v>
      </c>
      <c r="AU2">
        <f>BDH("LOCL US Equity","EQY_SH_OUT","1993-06-18","2026-05-02","Per=M","Days=T","Dir=V")</f>
        <v>0</v>
      </c>
      <c r="AW2">
        <f>BDH("LOCL US Equity","PX_VOLUME","1993-06-18","2026-05-02","Per=M","Days=T","Dir=V")</f>
        <v>0</v>
      </c>
      <c r="AY2">
        <f>BDH("LOCL US Equity","TURNOVER","1993-06-18","2026-05-02","Per=M","Days=T","Dir=V")</f>
        <v>0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BDH("LOCO US Equity","BS_TOT_ASSET","1993-06-18","2026-05-02","Per=Y","Days=T","Dir=V")</f>
        <v>0</v>
      </c>
      <c r="C2">
        <f>BDH("LOCO US Equity","BS_TOT_LIAB2","1993-06-18","2026-05-02","Per=Y","Days=T","Dir=V")</f>
        <v>0</v>
      </c>
      <c r="E2">
        <f>BDH("LOCO US Equity","SHORT_AND_LONG_TERM_DEBT","1993-06-18","2026-05-02","Per=Y","Days=T","Dir=V")</f>
        <v>0</v>
      </c>
      <c r="G2">
        <f>BDH("LOCO US Equity","BS_ST_BORROW","1993-06-18","2026-05-02","Per=Y","Days=T","Dir=V")</f>
        <v>0</v>
      </c>
      <c r="I2">
        <f>BDH("LOCO US Equity","BS_LT_BORROW","1993-06-18","2026-05-02","Per=Y","Days=T","Dir=V")</f>
        <v>0</v>
      </c>
      <c r="K2">
        <f>BDH("LOCO US Equity","BS_CASH_NEAR_CASH_ITEM","1993-06-18","2026-05-02","Per=Y","Days=T","Dir=V")</f>
        <v>0</v>
      </c>
      <c r="M2">
        <f>BDH("LOCO US Equity","BS_CUR_ASSET_REPORT","1993-06-18","2026-05-02","Per=Y","Days=T","Dir=V")</f>
        <v>0</v>
      </c>
      <c r="O2">
        <f>BDH("LOCO US Equity","BS_CUR_LIAB","1993-06-18","2026-05-02","Per=Y","Days=T","Dir=V")</f>
        <v>0</v>
      </c>
      <c r="Q2">
        <f>BDH("LOCO US Equity","BS_SHAREHOLDER_EQY_ENDING_PERIOD","1993-06-18","2026-05-02","Per=Y","Days=T","Dir=V")</f>
        <v>0</v>
      </c>
      <c r="S2">
        <f>BDH("LOCO US Equity","BS_ACCT_NOTE_RCV","1993-06-18","2026-05-02","Per=Y","Days=T","Dir=V")</f>
        <v>0</v>
      </c>
      <c r="U2">
        <f>BDH("LOCO US Equity","BS_INVENTORIES","1993-06-18","2026-05-02","Per=Y","Days=T","Dir=V")</f>
        <v>0</v>
      </c>
      <c r="W2">
        <f>BDH("LOCO US Equity","WORKING_CAPITAL","1993-06-18","2026-05-02","Per=Y","Days=T","Dir=V")</f>
        <v>0</v>
      </c>
      <c r="Y2">
        <f>BDH("LOCO US Equity","SALES_REV_TURN","1993-06-18","2026-05-02","Per=Y","Days=T","Dir=V")</f>
        <v>0</v>
      </c>
      <c r="AA2">
        <f>BDH("LOCO US Equity","EBIT","1993-06-18","2026-05-02","Per=Y","Days=T","Dir=V")</f>
        <v>0</v>
      </c>
      <c r="AC2">
        <f>BDH("LOCO US Equity","EBITDA","1993-06-18","2026-05-02","Per=Y","Days=T","Dir=V")</f>
        <v>0</v>
      </c>
      <c r="AE2">
        <f>BDH("LOCO US Equity","NET_INCOME","1993-06-18","2026-05-02","Per=Y","Days=T","Dir=V")</f>
        <v>0</v>
      </c>
      <c r="AG2">
        <f>BDH("LOCO US Equity","IS_INT_EXPENSE","1993-06-18","2026-05-02","Per=Y","Days=T","Dir=V")</f>
        <v>0</v>
      </c>
      <c r="AI2">
        <f>BDH("LOCO US Equity","IS_DEPR_EXP","1993-06-18","2026-05-02","Per=Y","Days=T","Dir=V")</f>
        <v>0</v>
      </c>
      <c r="AK2">
        <f>BDH("LOCO US Equity","CF_CASH_FROM_OPER","1993-06-18","2026-05-02","Per=Y","Days=T","Dir=V")</f>
        <v>0</v>
      </c>
      <c r="AM2">
        <f>BDH("LOCO US Equity","CAPITAL_EXPEND","1993-06-18","2026-05-02","Per=Y","Days=T","Dir=V")</f>
        <v>0</v>
      </c>
      <c r="AO2">
        <f>BDH("LOCO US Equity","CF_FREE_CASH_FLOW","1993-06-18","2026-05-02","Per=Y","Days=T","Dir=V")</f>
        <v>0</v>
      </c>
      <c r="AQ2">
        <f>BDH("LOCO US Equity","PX_LAST","1993-06-18","2026-05-02","Per=M","Days=T","Dir=V")</f>
        <v>0</v>
      </c>
      <c r="AS2">
        <f>BDH("LOCO US Equity","CUR_MKT_CAP","1993-06-18","2026-05-02","Per=M","Days=T","Dir=V")</f>
        <v>0</v>
      </c>
      <c r="AU2">
        <f>BDH("LOCO US Equity","EQY_SH_OUT","1993-06-18","2026-05-02","Per=M","Days=T","Dir=V")</f>
        <v>0</v>
      </c>
      <c r="AW2">
        <f>BDH("LOCO US Equity","PX_VOLUME","1993-06-18","2026-05-02","Per=M","Days=T","Dir=V")</f>
        <v>0</v>
      </c>
      <c r="AY2">
        <f>BDH("LOCO US Equity","TURNOVER","1993-06-18","2026-05-02","Per=M","Days=T","Dir=V")</f>
        <v>0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BDH("LODE US Equity","BS_TOT_ASSET","1993-06-18","2026-05-02","Per=Y","Days=T","Dir=V")</f>
        <v>0</v>
      </c>
      <c r="C2">
        <f>BDH("LODE US Equity","BS_TOT_LIAB2","1993-06-18","2026-05-02","Per=Y","Days=T","Dir=V")</f>
        <v>0</v>
      </c>
      <c r="E2">
        <f>BDH("LODE US Equity","SHORT_AND_LONG_TERM_DEBT","1993-06-18","2026-05-02","Per=Y","Days=T","Dir=V")</f>
        <v>0</v>
      </c>
      <c r="G2">
        <f>BDH("LODE US Equity","BS_ST_BORROW","1993-06-18","2026-05-02","Per=Y","Days=T","Dir=V")</f>
        <v>0</v>
      </c>
      <c r="I2">
        <f>BDH("LODE US Equity","BS_LT_BORROW","1993-06-18","2026-05-02","Per=Y","Days=T","Dir=V")</f>
        <v>0</v>
      </c>
      <c r="K2">
        <f>BDH("LODE US Equity","BS_CASH_NEAR_CASH_ITEM","1993-06-18","2026-05-02","Per=Y","Days=T","Dir=V")</f>
        <v>0</v>
      </c>
      <c r="M2">
        <f>BDH("LODE US Equity","BS_CUR_ASSET_REPORT","1993-06-18","2026-05-02","Per=Y","Days=T","Dir=V")</f>
        <v>0</v>
      </c>
      <c r="O2">
        <f>BDH("LODE US Equity","BS_CUR_LIAB","1993-06-18","2026-05-02","Per=Y","Days=T","Dir=V")</f>
        <v>0</v>
      </c>
      <c r="Q2">
        <f>BDH("LODE US Equity","BS_SHAREHOLDER_EQY_ENDING_PERIOD","1993-06-18","2026-05-02","Per=Y","Days=T","Dir=V")</f>
        <v>0</v>
      </c>
      <c r="S2">
        <f>BDH("LODE US Equity","BS_ACCT_NOTE_RCV","1993-06-18","2026-05-02","Per=Y","Days=T","Dir=V")</f>
        <v>0</v>
      </c>
      <c r="U2">
        <f>BDH("LODE US Equity","BS_INVENTORIES","1993-06-18","2026-05-02","Per=Y","Days=T","Dir=V")</f>
        <v>0</v>
      </c>
      <c r="W2">
        <f>BDH("LODE US Equity","WORKING_CAPITAL","1993-06-18","2026-05-02","Per=Y","Days=T","Dir=V")</f>
        <v>0</v>
      </c>
      <c r="Y2">
        <f>BDH("LODE US Equity","SALES_REV_TURN","1993-06-18","2026-05-02","Per=Y","Days=T","Dir=V")</f>
        <v>0</v>
      </c>
      <c r="AA2">
        <f>BDH("LODE US Equity","EBIT","1993-06-18","2026-05-02","Per=Y","Days=T","Dir=V")</f>
        <v>0</v>
      </c>
      <c r="AC2">
        <f>BDH("LODE US Equity","EBITDA","1993-06-18","2026-05-02","Per=Y","Days=T","Dir=V")</f>
        <v>0</v>
      </c>
      <c r="AE2">
        <f>BDH("LODE US Equity","NET_INCOME","1993-06-18","2026-05-02","Per=Y","Days=T","Dir=V")</f>
        <v>0</v>
      </c>
      <c r="AG2">
        <f>BDH("LODE US Equity","IS_INT_EXPENSE","1993-06-18","2026-05-02","Per=Y","Days=T","Dir=V")</f>
        <v>0</v>
      </c>
      <c r="AI2">
        <f>BDH("LODE US Equity","IS_DEPR_EXP","1993-06-18","2026-05-02","Per=Y","Days=T","Dir=V")</f>
        <v>0</v>
      </c>
      <c r="AK2">
        <f>BDH("LODE US Equity","CF_CASH_FROM_OPER","1993-06-18","2026-05-02","Per=Y","Days=T","Dir=V")</f>
        <v>0</v>
      </c>
      <c r="AM2">
        <f>BDH("LODE US Equity","CAPITAL_EXPEND","1993-06-18","2026-05-02","Per=Y","Days=T","Dir=V")</f>
        <v>0</v>
      </c>
      <c r="AO2">
        <f>BDH("LODE US Equity","CF_FREE_CASH_FLOW","1993-06-18","2026-05-02","Per=Y","Days=T","Dir=V")</f>
        <v>0</v>
      </c>
      <c r="AQ2">
        <f>BDH("LODE US Equity","PX_LAST","1993-06-18","2026-05-02","Per=M","Days=T","Dir=V")</f>
        <v>0</v>
      </c>
      <c r="AS2">
        <f>BDH("LODE US Equity","CUR_MKT_CAP","1993-06-18","2026-05-02","Per=M","Days=T","Dir=V")</f>
        <v>0</v>
      </c>
      <c r="AU2">
        <f>BDH("LODE US Equity","EQY_SH_OUT","1993-06-18","2026-05-02","Per=M","Days=T","Dir=V")</f>
        <v>0</v>
      </c>
      <c r="AW2">
        <f>BDH("LODE US Equity","PX_VOLUME","1993-06-18","2026-05-02","Per=M","Days=T","Dir=V")</f>
        <v>0</v>
      </c>
      <c r="AY2">
        <f>BDH("LODE US Equity","TURNOVER","1993-06-18","2026-05-02","Per=M","Days=T","Dir=V")</f>
        <v>0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BDH("LOGI US Equity","BS_TOT_ASSET","1993-06-18","2026-05-02","Per=Y","Days=T","Dir=V")</f>
        <v>0</v>
      </c>
      <c r="C2">
        <f>BDH("LOGI US Equity","BS_TOT_LIAB2","1993-06-18","2026-05-02","Per=Y","Days=T","Dir=V")</f>
        <v>0</v>
      </c>
      <c r="E2">
        <f>BDH("LOGI US Equity","SHORT_AND_LONG_TERM_DEBT","1993-06-18","2026-05-02","Per=Y","Days=T","Dir=V")</f>
        <v>0</v>
      </c>
      <c r="G2">
        <f>BDH("LOGI US Equity","BS_ST_BORROW","1993-06-18","2026-05-02","Per=Y","Days=T","Dir=V")</f>
        <v>0</v>
      </c>
      <c r="I2">
        <f>BDH("LOGI US Equity","BS_LT_BORROW","1993-06-18","2026-05-02","Per=Y","Days=T","Dir=V")</f>
        <v>0</v>
      </c>
      <c r="K2">
        <f>BDH("LOGI US Equity","BS_CASH_NEAR_CASH_ITEM","1993-06-18","2026-05-02","Per=Y","Days=T","Dir=V")</f>
        <v>0</v>
      </c>
      <c r="M2">
        <f>BDH("LOGI US Equity","BS_CUR_ASSET_REPORT","1993-06-18","2026-05-02","Per=Y","Days=T","Dir=V")</f>
        <v>0</v>
      </c>
      <c r="O2">
        <f>BDH("LOGI US Equity","BS_CUR_LIAB","1993-06-18","2026-05-02","Per=Y","Days=T","Dir=V")</f>
        <v>0</v>
      </c>
      <c r="Q2">
        <f>BDH("LOGI US Equity","BS_SHAREHOLDER_EQY_ENDING_PERIOD","1993-06-18","2026-05-02","Per=Y","Days=T","Dir=V")</f>
        <v>0</v>
      </c>
      <c r="S2">
        <f>BDH("LOGI US Equity","BS_ACCT_NOTE_RCV","1993-06-18","2026-05-02","Per=Y","Days=T","Dir=V")</f>
        <v>0</v>
      </c>
      <c r="U2">
        <f>BDH("LOGI US Equity","BS_INVENTORIES","1993-06-18","2026-05-02","Per=Y","Days=T","Dir=V")</f>
        <v>0</v>
      </c>
      <c r="W2">
        <f>BDH("LOGI US Equity","WORKING_CAPITAL","1993-06-18","2026-05-02","Per=Y","Days=T","Dir=V")</f>
        <v>0</v>
      </c>
      <c r="Y2">
        <f>BDH("LOGI US Equity","SALES_REV_TURN","1993-06-18","2026-05-02","Per=Y","Days=T","Dir=V")</f>
        <v>0</v>
      </c>
      <c r="AA2">
        <f>BDH("LOGI US Equity","EBIT","1993-06-18","2026-05-02","Per=Y","Days=T","Dir=V")</f>
        <v>0</v>
      </c>
      <c r="AC2">
        <f>BDH("LOGI US Equity","EBITDA","1993-06-18","2026-05-02","Per=Y","Days=T","Dir=V")</f>
        <v>0</v>
      </c>
      <c r="AE2">
        <f>BDH("LOGI US Equity","NET_INCOME","1993-06-18","2026-05-02","Per=Y","Days=T","Dir=V")</f>
        <v>0</v>
      </c>
      <c r="AG2">
        <f>BDH("LOGI US Equity","IS_INT_EXPENSE","1993-06-18","2026-05-02","Per=Y","Days=T","Dir=V")</f>
        <v>0</v>
      </c>
      <c r="AI2">
        <f>BDH("LOGI US Equity","IS_DEPR_EXP","1993-06-18","2026-05-02","Per=Y","Days=T","Dir=V")</f>
        <v>0</v>
      </c>
      <c r="AK2">
        <f>BDH("LOGI US Equity","CF_CASH_FROM_OPER","1993-06-18","2026-05-02","Per=Y","Days=T","Dir=V")</f>
        <v>0</v>
      </c>
      <c r="AM2">
        <f>BDH("LOGI US Equity","CAPITAL_EXPEND","1993-06-18","2026-05-02","Per=Y","Days=T","Dir=V")</f>
        <v>0</v>
      </c>
      <c r="AO2">
        <f>BDH("LOGI US Equity","CF_FREE_CASH_FLOW","1993-06-18","2026-05-02","Per=Y","Days=T","Dir=V")</f>
        <v>0</v>
      </c>
      <c r="AQ2">
        <f>BDH("LOGI US Equity","PX_LAST","1993-06-18","2026-05-02","Per=M","Days=T","Dir=V")</f>
        <v>0</v>
      </c>
      <c r="AS2">
        <f>BDH("LOGI US Equity","CUR_MKT_CAP","1993-06-18","2026-05-02","Per=M","Days=T","Dir=V")</f>
        <v>0</v>
      </c>
      <c r="AU2">
        <f>BDH("LOGI US Equity","EQY_SH_OUT","1993-06-18","2026-05-02","Per=M","Days=T","Dir=V")</f>
        <v>0</v>
      </c>
      <c r="AW2">
        <f>BDH("LOGI US Equity","PX_VOLUME","1993-06-18","2026-05-02","Per=M","Days=T","Dir=V")</f>
        <v>0</v>
      </c>
      <c r="AY2">
        <f>BDH("LOGI US Equity","TURNOVER","1993-06-18","2026-05-02","Per=M","Days=T","Dir=V")</f>
        <v>0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BDH("LONA US Equity","BS_TOT_ASSET","1993-06-18","2026-05-02","Per=Y","Days=T","Dir=V")</f>
        <v>0</v>
      </c>
      <c r="C2">
        <f>BDH("LONA US Equity","BS_TOT_LIAB2","1993-06-18","2026-05-02","Per=Y","Days=T","Dir=V")</f>
        <v>0</v>
      </c>
      <c r="E2">
        <f>BDH("LONA US Equity","SHORT_AND_LONG_TERM_DEBT","1993-06-18","2026-05-02","Per=Y","Days=T","Dir=V")</f>
        <v>0</v>
      </c>
      <c r="G2">
        <f>BDH("LONA US Equity","BS_ST_BORROW","1993-06-18","2026-05-02","Per=Y","Days=T","Dir=V")</f>
        <v>0</v>
      </c>
      <c r="I2">
        <f>BDH("LONA US Equity","BS_LT_BORROW","1993-06-18","2026-05-02","Per=Y","Days=T","Dir=V")</f>
        <v>0</v>
      </c>
      <c r="K2">
        <f>BDH("LONA US Equity","BS_CASH_NEAR_CASH_ITEM","1993-06-18","2026-05-02","Per=Y","Days=T","Dir=V")</f>
        <v>0</v>
      </c>
      <c r="M2">
        <f>BDH("LONA US Equity","BS_CUR_ASSET_REPORT","1993-06-18","2026-05-02","Per=Y","Days=T","Dir=V")</f>
        <v>0</v>
      </c>
      <c r="O2">
        <f>BDH("LONA US Equity","BS_CUR_LIAB","1993-06-18","2026-05-02","Per=Y","Days=T","Dir=V")</f>
        <v>0</v>
      </c>
      <c r="Q2">
        <f>BDH("LONA US Equity","BS_SHAREHOLDER_EQY_ENDING_PERIOD","1993-06-18","2026-05-02","Per=Y","Days=T","Dir=V")</f>
        <v>0</v>
      </c>
      <c r="S2">
        <f>BDH("LONA US Equity","BS_ACCT_NOTE_RCV","1993-06-18","2026-05-02","Per=Y","Days=T","Dir=V")</f>
        <v>0</v>
      </c>
      <c r="U2">
        <f>BDH("LONA US Equity","BS_INVENTORIES","1993-06-18","2026-05-02","Per=Y","Days=T","Dir=V")</f>
        <v>0</v>
      </c>
      <c r="W2">
        <f>BDH("LONA US Equity","WORKING_CAPITAL","1993-06-18","2026-05-02","Per=Y","Days=T","Dir=V")</f>
        <v>0</v>
      </c>
      <c r="Y2">
        <f>BDH("LONA US Equity","SALES_REV_TURN","1993-06-18","2026-05-02","Per=Y","Days=T","Dir=V")</f>
        <v>0</v>
      </c>
      <c r="AA2">
        <f>BDH("LONA US Equity","EBIT","1993-06-18","2026-05-02","Per=Y","Days=T","Dir=V")</f>
        <v>0</v>
      </c>
      <c r="AC2">
        <f>BDH("LONA US Equity","EBITDA","1993-06-18","2026-05-02","Per=Y","Days=T","Dir=V")</f>
        <v>0</v>
      </c>
      <c r="AE2">
        <f>BDH("LONA US Equity","NET_INCOME","1993-06-18","2026-05-02","Per=Y","Days=T","Dir=V")</f>
        <v>0</v>
      </c>
      <c r="AG2">
        <f>BDH("LONA US Equity","IS_INT_EXPENSE","1993-06-18","2026-05-02","Per=Y","Days=T","Dir=V")</f>
        <v>0</v>
      </c>
      <c r="AI2">
        <f>BDH("LONA US Equity","IS_DEPR_EXP","1993-06-18","2026-05-02","Per=Y","Days=T","Dir=V")</f>
        <v>0</v>
      </c>
      <c r="AK2">
        <f>BDH("LONA US Equity","CF_CASH_FROM_OPER","1993-06-18","2026-05-02","Per=Y","Days=T","Dir=V")</f>
        <v>0</v>
      </c>
      <c r="AM2">
        <f>BDH("LONA US Equity","CAPITAL_EXPEND","1993-06-18","2026-05-02","Per=Y","Days=T","Dir=V")</f>
        <v>0</v>
      </c>
      <c r="AO2">
        <f>BDH("LONA US Equity","CF_FREE_CASH_FLOW","1993-06-18","2026-05-02","Per=Y","Days=T","Dir=V")</f>
        <v>0</v>
      </c>
      <c r="AQ2">
        <f>BDH("LONA US Equity","PX_LAST","1993-06-18","2026-05-02","Per=M","Days=T","Dir=V")</f>
        <v>0</v>
      </c>
      <c r="AS2">
        <f>BDH("LONA US Equity","CUR_MKT_CAP","1993-06-18","2026-05-02","Per=M","Days=T","Dir=V")</f>
        <v>0</v>
      </c>
      <c r="AU2">
        <f>BDH("LONA US Equity","EQY_SH_OUT","1993-06-18","2026-05-02","Per=M","Days=T","Dir=V")</f>
        <v>0</v>
      </c>
      <c r="AW2">
        <f>BDH("LONA US Equity","PX_VOLUME","1993-06-18","2026-05-02","Per=M","Days=T","Dir=V")</f>
        <v>0</v>
      </c>
      <c r="AY2">
        <f>BDH("LONA US Equity","TURNOVER","1993-06-18","2026-05-02","Per=M","Days=T","Dir=V")</f>
        <v>0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BDH("LOVE US Equity","BS_TOT_ASSET","1993-06-18","2026-05-02","Per=Y","Days=T","Dir=V")</f>
        <v>0</v>
      </c>
      <c r="C2">
        <f>BDH("LOVE US Equity","BS_TOT_LIAB2","1993-06-18","2026-05-02","Per=Y","Days=T","Dir=V")</f>
        <v>0</v>
      </c>
      <c r="E2">
        <f>BDH("LOVE US Equity","SHORT_AND_LONG_TERM_DEBT","1993-06-18","2026-05-02","Per=Y","Days=T","Dir=V")</f>
        <v>0</v>
      </c>
      <c r="G2">
        <f>BDH("LOVE US Equity","BS_ST_BORROW","1993-06-18","2026-05-02","Per=Y","Days=T","Dir=V")</f>
        <v>0</v>
      </c>
      <c r="I2">
        <f>BDH("LOVE US Equity","BS_LT_BORROW","1993-06-18","2026-05-02","Per=Y","Days=T","Dir=V")</f>
        <v>0</v>
      </c>
      <c r="K2">
        <f>BDH("LOVE US Equity","BS_CASH_NEAR_CASH_ITEM","1993-06-18","2026-05-02","Per=Y","Days=T","Dir=V")</f>
        <v>0</v>
      </c>
      <c r="M2">
        <f>BDH("LOVE US Equity","BS_CUR_ASSET_REPORT","1993-06-18","2026-05-02","Per=Y","Days=T","Dir=V")</f>
        <v>0</v>
      </c>
      <c r="O2">
        <f>BDH("LOVE US Equity","BS_CUR_LIAB","1993-06-18","2026-05-02","Per=Y","Days=T","Dir=V")</f>
        <v>0</v>
      </c>
      <c r="Q2">
        <f>BDH("LOVE US Equity","BS_SHAREHOLDER_EQY_ENDING_PERIOD","1993-06-18","2026-05-02","Per=Y","Days=T","Dir=V")</f>
        <v>0</v>
      </c>
      <c r="S2">
        <f>BDH("LOVE US Equity","BS_ACCT_NOTE_RCV","1993-06-18","2026-05-02","Per=Y","Days=T","Dir=V")</f>
        <v>0</v>
      </c>
      <c r="U2">
        <f>BDH("LOVE US Equity","BS_INVENTORIES","1993-06-18","2026-05-02","Per=Y","Days=T","Dir=V")</f>
        <v>0</v>
      </c>
      <c r="W2">
        <f>BDH("LOVE US Equity","WORKING_CAPITAL","1993-06-18","2026-05-02","Per=Y","Days=T","Dir=V")</f>
        <v>0</v>
      </c>
      <c r="Y2">
        <f>BDH("LOVE US Equity","SALES_REV_TURN","1993-06-18","2026-05-02","Per=Y","Days=T","Dir=V")</f>
        <v>0</v>
      </c>
      <c r="AA2">
        <f>BDH("LOVE US Equity","EBIT","1993-06-18","2026-05-02","Per=Y","Days=T","Dir=V")</f>
        <v>0</v>
      </c>
      <c r="AC2">
        <f>BDH("LOVE US Equity","EBITDA","1993-06-18","2026-05-02","Per=Y","Days=T","Dir=V")</f>
        <v>0</v>
      </c>
      <c r="AE2">
        <f>BDH("LOVE US Equity","NET_INCOME","1993-06-18","2026-05-02","Per=Y","Days=T","Dir=V")</f>
        <v>0</v>
      </c>
      <c r="AG2">
        <f>BDH("LOVE US Equity","IS_INT_EXPENSE","1993-06-18","2026-05-02","Per=Y","Days=T","Dir=V")</f>
        <v>0</v>
      </c>
      <c r="AI2">
        <f>BDH("LOVE US Equity","IS_DEPR_EXP","1993-06-18","2026-05-02","Per=Y","Days=T","Dir=V")</f>
        <v>0</v>
      </c>
      <c r="AK2">
        <f>BDH("LOVE US Equity","CF_CASH_FROM_OPER","1993-06-18","2026-05-02","Per=Y","Days=T","Dir=V")</f>
        <v>0</v>
      </c>
      <c r="AM2">
        <f>BDH("LOVE US Equity","CAPITAL_EXPEND","1993-06-18","2026-05-02","Per=Y","Days=T","Dir=V")</f>
        <v>0</v>
      </c>
      <c r="AO2">
        <f>BDH("LOVE US Equity","CF_FREE_CASH_FLOW","1993-06-18","2026-05-02","Per=Y","Days=T","Dir=V")</f>
        <v>0</v>
      </c>
      <c r="AQ2">
        <f>BDH("LOVE US Equity","PX_LAST","1993-06-18","2026-05-02","Per=M","Days=T","Dir=V")</f>
        <v>0</v>
      </c>
      <c r="AS2">
        <f>BDH("LOVE US Equity","CUR_MKT_CAP","1993-06-18","2026-05-02","Per=M","Days=T","Dir=V")</f>
        <v>0</v>
      </c>
      <c r="AU2">
        <f>BDH("LOVE US Equity","EQY_SH_OUT","1993-06-18","2026-05-02","Per=M","Days=T","Dir=V")</f>
        <v>0</v>
      </c>
      <c r="AW2">
        <f>BDH("LOVE US Equity","PX_VOLUME","1993-06-18","2026-05-02","Per=M","Days=T","Dir=V")</f>
        <v>0</v>
      </c>
      <c r="AY2">
        <f>BDH("LOVE US Equity","TURNOVER","1993-06-18","2026-05-02","Per=M","Days=T","Dir=V")</f>
        <v>0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BDH("LOW US Equity","BS_TOT_ASSET","1993-06-18","2026-05-02","Per=Y","Days=T","Dir=V")</f>
        <v>0</v>
      </c>
      <c r="C2">
        <f>BDH("LOW US Equity","BS_TOT_LIAB2","1993-06-18","2026-05-02","Per=Y","Days=T","Dir=V")</f>
        <v>0</v>
      </c>
      <c r="E2">
        <f>BDH("LOW US Equity","SHORT_AND_LONG_TERM_DEBT","1993-06-18","2026-05-02","Per=Y","Days=T","Dir=V")</f>
        <v>0</v>
      </c>
      <c r="G2">
        <f>BDH("LOW US Equity","BS_ST_BORROW","1993-06-18","2026-05-02","Per=Y","Days=T","Dir=V")</f>
        <v>0</v>
      </c>
      <c r="I2">
        <f>BDH("LOW US Equity","BS_LT_BORROW","1993-06-18","2026-05-02","Per=Y","Days=T","Dir=V")</f>
        <v>0</v>
      </c>
      <c r="K2">
        <f>BDH("LOW US Equity","BS_CASH_NEAR_CASH_ITEM","1993-06-18","2026-05-02","Per=Y","Days=T","Dir=V")</f>
        <v>0</v>
      </c>
      <c r="M2">
        <f>BDH("LOW US Equity","BS_CUR_ASSET_REPORT","1993-06-18","2026-05-02","Per=Y","Days=T","Dir=V")</f>
        <v>0</v>
      </c>
      <c r="O2">
        <f>BDH("LOW US Equity","BS_CUR_LIAB","1993-06-18","2026-05-02","Per=Y","Days=T","Dir=V")</f>
        <v>0</v>
      </c>
      <c r="Q2">
        <f>BDH("LOW US Equity","BS_SHAREHOLDER_EQY_ENDING_PERIOD","1993-06-18","2026-05-02","Per=Y","Days=T","Dir=V")</f>
        <v>0</v>
      </c>
      <c r="S2">
        <f>BDH("LOW US Equity","BS_ACCT_NOTE_RCV","1993-06-18","2026-05-02","Per=Y","Days=T","Dir=V")</f>
        <v>0</v>
      </c>
      <c r="U2">
        <f>BDH("LOW US Equity","BS_INVENTORIES","1993-06-18","2026-05-02","Per=Y","Days=T","Dir=V")</f>
        <v>0</v>
      </c>
      <c r="W2">
        <f>BDH("LOW US Equity","WORKING_CAPITAL","1993-06-18","2026-05-02","Per=Y","Days=T","Dir=V")</f>
        <v>0</v>
      </c>
      <c r="Y2">
        <f>BDH("LOW US Equity","SALES_REV_TURN","1993-06-18","2026-05-02","Per=Y","Days=T","Dir=V")</f>
        <v>0</v>
      </c>
      <c r="AA2">
        <f>BDH("LOW US Equity","EBIT","1993-06-18","2026-05-02","Per=Y","Days=T","Dir=V")</f>
        <v>0</v>
      </c>
      <c r="AC2">
        <f>BDH("LOW US Equity","EBITDA","1993-06-18","2026-05-02","Per=Y","Days=T","Dir=V")</f>
        <v>0</v>
      </c>
      <c r="AE2">
        <f>BDH("LOW US Equity","NET_INCOME","1993-06-18","2026-05-02","Per=Y","Days=T","Dir=V")</f>
        <v>0</v>
      </c>
      <c r="AG2">
        <f>BDH("LOW US Equity","IS_INT_EXPENSE","1993-06-18","2026-05-02","Per=Y","Days=T","Dir=V")</f>
        <v>0</v>
      </c>
      <c r="AI2">
        <f>BDH("LOW US Equity","IS_DEPR_EXP","1993-06-18","2026-05-02","Per=Y","Days=T","Dir=V")</f>
        <v>0</v>
      </c>
      <c r="AK2">
        <f>BDH("LOW US Equity","CF_CASH_FROM_OPER","1993-06-18","2026-05-02","Per=Y","Days=T","Dir=V")</f>
        <v>0</v>
      </c>
      <c r="AM2">
        <f>BDH("LOW US Equity","CAPITAL_EXPEND","1993-06-18","2026-05-02","Per=Y","Days=T","Dir=V")</f>
        <v>0</v>
      </c>
      <c r="AO2">
        <f>BDH("LOW US Equity","CF_FREE_CASH_FLOW","1993-06-18","2026-05-02","Per=Y","Days=T","Dir=V")</f>
        <v>0</v>
      </c>
      <c r="AQ2">
        <f>BDH("LOW US Equity","PX_LAST","1993-06-18","2026-05-02","Per=M","Days=T","Dir=V")</f>
        <v>0</v>
      </c>
      <c r="AS2">
        <f>BDH("LOW US Equity","CUR_MKT_CAP","1993-06-18","2026-05-02","Per=M","Days=T","Dir=V")</f>
        <v>0</v>
      </c>
      <c r="AU2">
        <f>BDH("LOW US Equity","EQY_SH_OUT","1993-06-18","2026-05-02","Per=M","Days=T","Dir=V")</f>
        <v>0</v>
      </c>
      <c r="AW2">
        <f>BDH("LOW US Equity","PX_VOLUME","1993-06-18","2026-05-02","Per=M","Days=T","Dir=V")</f>
        <v>0</v>
      </c>
      <c r="AY2">
        <f>BDH("LOW US Equity","TURNOVER","1993-06-18","2026-05-02","Per=M","Days=T","Dir=V")</f>
        <v>0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BDH("LPCN US Equity","BS_TOT_ASSET","1993-06-18","2026-05-02","Per=Y","Days=T","Dir=V")</f>
        <v>0</v>
      </c>
      <c r="C2">
        <f>BDH("LPCN US Equity","BS_TOT_LIAB2","1993-06-18","2026-05-02","Per=Y","Days=T","Dir=V")</f>
        <v>0</v>
      </c>
      <c r="E2">
        <f>BDH("LPCN US Equity","SHORT_AND_LONG_TERM_DEBT","1993-06-18","2026-05-02","Per=Y","Days=T","Dir=V")</f>
        <v>0</v>
      </c>
      <c r="G2">
        <f>BDH("LPCN US Equity","BS_ST_BORROW","1993-06-18","2026-05-02","Per=Y","Days=T","Dir=V")</f>
        <v>0</v>
      </c>
      <c r="I2">
        <f>BDH("LPCN US Equity","BS_LT_BORROW","1993-06-18","2026-05-02","Per=Y","Days=T","Dir=V")</f>
        <v>0</v>
      </c>
      <c r="K2">
        <f>BDH("LPCN US Equity","BS_CASH_NEAR_CASH_ITEM","1993-06-18","2026-05-02","Per=Y","Days=T","Dir=V")</f>
        <v>0</v>
      </c>
      <c r="M2">
        <f>BDH("LPCN US Equity","BS_CUR_ASSET_REPORT","1993-06-18","2026-05-02","Per=Y","Days=T","Dir=V")</f>
        <v>0</v>
      </c>
      <c r="O2">
        <f>BDH("LPCN US Equity","BS_CUR_LIAB","1993-06-18","2026-05-02","Per=Y","Days=T","Dir=V")</f>
        <v>0</v>
      </c>
      <c r="Q2">
        <f>BDH("LPCN US Equity","BS_SHAREHOLDER_EQY_ENDING_PERIOD","1993-06-18","2026-05-02","Per=Y","Days=T","Dir=V")</f>
        <v>0</v>
      </c>
      <c r="S2">
        <f>BDH("LPCN US Equity","BS_ACCT_NOTE_RCV","1993-06-18","2026-05-02","Per=Y","Days=T","Dir=V")</f>
        <v>0</v>
      </c>
      <c r="U2">
        <f>BDH("LPCN US Equity","BS_INVENTORIES","1993-06-18","2026-05-02","Per=Y","Days=T","Dir=V")</f>
        <v>0</v>
      </c>
      <c r="W2">
        <f>BDH("LPCN US Equity","WORKING_CAPITAL","1993-06-18","2026-05-02","Per=Y","Days=T","Dir=V")</f>
        <v>0</v>
      </c>
      <c r="Y2">
        <f>BDH("LPCN US Equity","SALES_REV_TURN","1993-06-18","2026-05-02","Per=Y","Days=T","Dir=V")</f>
        <v>0</v>
      </c>
      <c r="AA2">
        <f>BDH("LPCN US Equity","EBIT","1993-06-18","2026-05-02","Per=Y","Days=T","Dir=V")</f>
        <v>0</v>
      </c>
      <c r="AC2">
        <f>BDH("LPCN US Equity","EBITDA","1993-06-18","2026-05-02","Per=Y","Days=T","Dir=V")</f>
        <v>0</v>
      </c>
      <c r="AE2">
        <f>BDH("LPCN US Equity","NET_INCOME","1993-06-18","2026-05-02","Per=Y","Days=T","Dir=V")</f>
        <v>0</v>
      </c>
      <c r="AG2">
        <f>BDH("LPCN US Equity","IS_INT_EXPENSE","1993-06-18","2026-05-02","Per=Y","Days=T","Dir=V")</f>
        <v>0</v>
      </c>
      <c r="AI2">
        <f>BDH("LPCN US Equity","IS_DEPR_EXP","1993-06-18","2026-05-02","Per=Y","Days=T","Dir=V")</f>
        <v>0</v>
      </c>
      <c r="AK2">
        <f>BDH("LPCN US Equity","CF_CASH_FROM_OPER","1993-06-18","2026-05-02","Per=Y","Days=T","Dir=V")</f>
        <v>0</v>
      </c>
      <c r="AM2">
        <f>BDH("LPCN US Equity","CAPITAL_EXPEND","1993-06-18","2026-05-02","Per=Y","Days=T","Dir=V")</f>
        <v>0</v>
      </c>
      <c r="AO2">
        <f>BDH("LPCN US Equity","CF_FREE_CASH_FLOW","1993-06-18","2026-05-02","Per=Y","Days=T","Dir=V")</f>
        <v>0</v>
      </c>
      <c r="AQ2">
        <f>BDH("LPCN US Equity","PX_LAST","1993-06-18","2026-05-02","Per=M","Days=T","Dir=V")</f>
        <v>0</v>
      </c>
      <c r="AS2">
        <f>BDH("LPCN US Equity","CUR_MKT_CAP","1993-06-18","2026-05-02","Per=M","Days=T","Dir=V")</f>
        <v>0</v>
      </c>
      <c r="AU2">
        <f>BDH("LPCN US Equity","EQY_SH_OUT","1993-06-18","2026-05-02","Per=M","Days=T","Dir=V")</f>
        <v>0</v>
      </c>
      <c r="AW2">
        <f>BDH("LPCN US Equity","PX_VOLUME","1993-06-18","2026-05-02","Per=M","Days=T","Dir=V")</f>
        <v>0</v>
      </c>
      <c r="AY2">
        <f>BDH("LPCN US Equity","TURNOVER","1993-06-18","2026-05-02","Per=M","Days=T","Dir=V")</f>
        <v>0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BDH("LPG US Equity","BS_TOT_ASSET","1993-06-18","2026-05-02","Per=Y","Days=T","Dir=V")</f>
        <v>0</v>
      </c>
      <c r="C2">
        <f>BDH("LPG US Equity","BS_TOT_LIAB2","1993-06-18","2026-05-02","Per=Y","Days=T","Dir=V")</f>
        <v>0</v>
      </c>
      <c r="E2">
        <f>BDH("LPG US Equity","SHORT_AND_LONG_TERM_DEBT","1993-06-18","2026-05-02","Per=Y","Days=T","Dir=V")</f>
        <v>0</v>
      </c>
      <c r="G2">
        <f>BDH("LPG US Equity","BS_ST_BORROW","1993-06-18","2026-05-02","Per=Y","Days=T","Dir=V")</f>
        <v>0</v>
      </c>
      <c r="I2">
        <f>BDH("LPG US Equity","BS_LT_BORROW","1993-06-18","2026-05-02","Per=Y","Days=T","Dir=V")</f>
        <v>0</v>
      </c>
      <c r="K2">
        <f>BDH("LPG US Equity","BS_CASH_NEAR_CASH_ITEM","1993-06-18","2026-05-02","Per=Y","Days=T","Dir=V")</f>
        <v>0</v>
      </c>
      <c r="M2">
        <f>BDH("LPG US Equity","BS_CUR_ASSET_REPORT","1993-06-18","2026-05-02","Per=Y","Days=T","Dir=V")</f>
        <v>0</v>
      </c>
      <c r="O2">
        <f>BDH("LPG US Equity","BS_CUR_LIAB","1993-06-18","2026-05-02","Per=Y","Days=T","Dir=V")</f>
        <v>0</v>
      </c>
      <c r="Q2">
        <f>BDH("LPG US Equity","BS_SHAREHOLDER_EQY_ENDING_PERIOD","1993-06-18","2026-05-02","Per=Y","Days=T","Dir=V")</f>
        <v>0</v>
      </c>
      <c r="S2">
        <f>BDH("LPG US Equity","BS_ACCT_NOTE_RCV","1993-06-18","2026-05-02","Per=Y","Days=T","Dir=V")</f>
        <v>0</v>
      </c>
      <c r="U2">
        <f>BDH("LPG US Equity","BS_INVENTORIES","1993-06-18","2026-05-02","Per=Y","Days=T","Dir=V")</f>
        <v>0</v>
      </c>
      <c r="W2">
        <f>BDH("LPG US Equity","WORKING_CAPITAL","1993-06-18","2026-05-02","Per=Y","Days=T","Dir=V")</f>
        <v>0</v>
      </c>
      <c r="Y2">
        <f>BDH("LPG US Equity","SALES_REV_TURN","1993-06-18","2026-05-02","Per=Y","Days=T","Dir=V")</f>
        <v>0</v>
      </c>
      <c r="AA2">
        <f>BDH("LPG US Equity","EBIT","1993-06-18","2026-05-02","Per=Y","Days=T","Dir=V")</f>
        <v>0</v>
      </c>
      <c r="AC2">
        <f>BDH("LPG US Equity","EBITDA","1993-06-18","2026-05-02","Per=Y","Days=T","Dir=V")</f>
        <v>0</v>
      </c>
      <c r="AE2">
        <f>BDH("LPG US Equity","NET_INCOME","1993-06-18","2026-05-02","Per=Y","Days=T","Dir=V")</f>
        <v>0</v>
      </c>
      <c r="AG2">
        <f>BDH("LPG US Equity","IS_INT_EXPENSE","1993-06-18","2026-05-02","Per=Y","Days=T","Dir=V")</f>
        <v>0</v>
      </c>
      <c r="AI2">
        <f>BDH("LPG US Equity","IS_DEPR_EXP","1993-06-18","2026-05-02","Per=Y","Days=T","Dir=V")</f>
        <v>0</v>
      </c>
      <c r="AK2">
        <f>BDH("LPG US Equity","CF_CASH_FROM_OPER","1993-06-18","2026-05-02","Per=Y","Days=T","Dir=V")</f>
        <v>0</v>
      </c>
      <c r="AM2">
        <f>BDH("LPG US Equity","CAPITAL_EXPEND","1993-06-18","2026-05-02","Per=Y","Days=T","Dir=V")</f>
        <v>0</v>
      </c>
      <c r="AO2">
        <f>BDH("LPG US Equity","CF_FREE_CASH_FLOW","1993-06-18","2026-05-02","Per=Y","Days=T","Dir=V")</f>
        <v>0</v>
      </c>
      <c r="AQ2">
        <f>BDH("LPG US Equity","PX_LAST","1993-06-18","2026-05-02","Per=M","Days=T","Dir=V")</f>
        <v>0</v>
      </c>
      <c r="AS2">
        <f>BDH("LPG US Equity","CUR_MKT_CAP","1993-06-18","2026-05-02","Per=M","Days=T","Dir=V")</f>
        <v>0</v>
      </c>
      <c r="AU2">
        <f>BDH("LPG US Equity","EQY_SH_OUT","1993-06-18","2026-05-02","Per=M","Days=T","Dir=V")</f>
        <v>0</v>
      </c>
      <c r="AW2">
        <f>BDH("LPG US Equity","PX_VOLUME","1993-06-18","2026-05-02","Per=M","Days=T","Dir=V")</f>
        <v>0</v>
      </c>
      <c r="AY2">
        <f>BDH("LPG US Equity","TURNOVER","1993-06-18","2026-05-02","Per=M","Days=T","Dir=V")</f>
        <v>0</v>
      </c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BDH("LPTH US Equity","BS_TOT_ASSET","1993-06-18","2026-05-02","Per=Y","Days=T","Dir=V")</f>
        <v>0</v>
      </c>
      <c r="C2">
        <f>BDH("LPTH US Equity","BS_TOT_LIAB2","1993-06-18","2026-05-02","Per=Y","Days=T","Dir=V")</f>
        <v>0</v>
      </c>
      <c r="E2">
        <f>BDH("LPTH US Equity","SHORT_AND_LONG_TERM_DEBT","1993-06-18","2026-05-02","Per=Y","Days=T","Dir=V")</f>
        <v>0</v>
      </c>
      <c r="G2">
        <f>BDH("LPTH US Equity","BS_ST_BORROW","1993-06-18","2026-05-02","Per=Y","Days=T","Dir=V")</f>
        <v>0</v>
      </c>
      <c r="I2">
        <f>BDH("LPTH US Equity","BS_LT_BORROW","1993-06-18","2026-05-02","Per=Y","Days=T","Dir=V")</f>
        <v>0</v>
      </c>
      <c r="K2">
        <f>BDH("LPTH US Equity","BS_CASH_NEAR_CASH_ITEM","1993-06-18","2026-05-02","Per=Y","Days=T","Dir=V")</f>
        <v>0</v>
      </c>
      <c r="M2">
        <f>BDH("LPTH US Equity","BS_CUR_ASSET_REPORT","1993-06-18","2026-05-02","Per=Y","Days=T","Dir=V")</f>
        <v>0</v>
      </c>
      <c r="O2">
        <f>BDH("LPTH US Equity","BS_CUR_LIAB","1993-06-18","2026-05-02","Per=Y","Days=T","Dir=V")</f>
        <v>0</v>
      </c>
      <c r="Q2">
        <f>BDH("LPTH US Equity","BS_SHAREHOLDER_EQY_ENDING_PERIOD","1993-06-18","2026-05-02","Per=Y","Days=T","Dir=V")</f>
        <v>0</v>
      </c>
      <c r="S2">
        <f>BDH("LPTH US Equity","BS_ACCT_NOTE_RCV","1993-06-18","2026-05-02","Per=Y","Days=T","Dir=V")</f>
        <v>0</v>
      </c>
      <c r="U2">
        <f>BDH("LPTH US Equity","BS_INVENTORIES","1993-06-18","2026-05-02","Per=Y","Days=T","Dir=V")</f>
        <v>0</v>
      </c>
      <c r="W2">
        <f>BDH("LPTH US Equity","WORKING_CAPITAL","1993-06-18","2026-05-02","Per=Y","Days=T","Dir=V")</f>
        <v>0</v>
      </c>
      <c r="Y2">
        <f>BDH("LPTH US Equity","SALES_REV_TURN","1993-06-18","2026-05-02","Per=Y","Days=T","Dir=V")</f>
        <v>0</v>
      </c>
      <c r="AA2">
        <f>BDH("LPTH US Equity","EBIT","1993-06-18","2026-05-02","Per=Y","Days=T","Dir=V")</f>
        <v>0</v>
      </c>
      <c r="AC2">
        <f>BDH("LPTH US Equity","EBITDA","1993-06-18","2026-05-02","Per=Y","Days=T","Dir=V")</f>
        <v>0</v>
      </c>
      <c r="AE2">
        <f>BDH("LPTH US Equity","NET_INCOME","1993-06-18","2026-05-02","Per=Y","Days=T","Dir=V")</f>
        <v>0</v>
      </c>
      <c r="AG2">
        <f>BDH("LPTH US Equity","IS_INT_EXPENSE","1993-06-18","2026-05-02","Per=Y","Days=T","Dir=V")</f>
        <v>0</v>
      </c>
      <c r="AI2">
        <f>BDH("LPTH US Equity","IS_DEPR_EXP","1993-06-18","2026-05-02","Per=Y","Days=T","Dir=V")</f>
        <v>0</v>
      </c>
      <c r="AK2">
        <f>BDH("LPTH US Equity","CF_CASH_FROM_OPER","1993-06-18","2026-05-02","Per=Y","Days=T","Dir=V")</f>
        <v>0</v>
      </c>
      <c r="AM2">
        <f>BDH("LPTH US Equity","CAPITAL_EXPEND","1993-06-18","2026-05-02","Per=Y","Days=T","Dir=V")</f>
        <v>0</v>
      </c>
      <c r="AO2">
        <f>BDH("LPTH US Equity","CF_FREE_CASH_FLOW","1993-06-18","2026-05-02","Per=Y","Days=T","Dir=V")</f>
        <v>0</v>
      </c>
      <c r="AQ2">
        <f>BDH("LPTH US Equity","PX_LAST","1993-06-18","2026-05-02","Per=M","Days=T","Dir=V")</f>
        <v>0</v>
      </c>
      <c r="AS2">
        <f>BDH("LPTH US Equity","CUR_MKT_CAP","1993-06-18","2026-05-02","Per=M","Days=T","Dir=V")</f>
        <v>0</v>
      </c>
      <c r="AU2">
        <f>BDH("LPTH US Equity","EQY_SH_OUT","1993-06-18","2026-05-02","Per=M","Days=T","Dir=V")</f>
        <v>0</v>
      </c>
      <c r="AW2">
        <f>BDH("LPTH US Equity","PX_VOLUME","1993-06-18","2026-05-02","Per=M","Days=T","Dir=V")</f>
        <v>0</v>
      </c>
      <c r="AY2">
        <f>BDH("LPTH US Equity","TURNOVER","1993-06-18","2026-05-02","Per=M","Days=T","Dir=V")</f>
        <v>0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BDH("LPX US Equity","BS_TOT_ASSET","1993-06-18","2026-05-02","Per=Y","Days=T","Dir=V")</f>
        <v>0</v>
      </c>
      <c r="C2">
        <f>BDH("LPX US Equity","BS_TOT_LIAB2","1993-06-18","2026-05-02","Per=Y","Days=T","Dir=V")</f>
        <v>0</v>
      </c>
      <c r="E2">
        <f>BDH("LPX US Equity","SHORT_AND_LONG_TERM_DEBT","1993-06-18","2026-05-02","Per=Y","Days=T","Dir=V")</f>
        <v>0</v>
      </c>
      <c r="G2">
        <f>BDH("LPX US Equity","BS_ST_BORROW","1993-06-18","2026-05-02","Per=Y","Days=T","Dir=V")</f>
        <v>0</v>
      </c>
      <c r="I2">
        <f>BDH("LPX US Equity","BS_LT_BORROW","1993-06-18","2026-05-02","Per=Y","Days=T","Dir=V")</f>
        <v>0</v>
      </c>
      <c r="K2">
        <f>BDH("LPX US Equity","BS_CASH_NEAR_CASH_ITEM","1993-06-18","2026-05-02","Per=Y","Days=T","Dir=V")</f>
        <v>0</v>
      </c>
      <c r="M2">
        <f>BDH("LPX US Equity","BS_CUR_ASSET_REPORT","1993-06-18","2026-05-02","Per=Y","Days=T","Dir=V")</f>
        <v>0</v>
      </c>
      <c r="O2">
        <f>BDH("LPX US Equity","BS_CUR_LIAB","1993-06-18","2026-05-02","Per=Y","Days=T","Dir=V")</f>
        <v>0</v>
      </c>
      <c r="Q2">
        <f>BDH("LPX US Equity","BS_SHAREHOLDER_EQY_ENDING_PERIOD","1993-06-18","2026-05-02","Per=Y","Days=T","Dir=V")</f>
        <v>0</v>
      </c>
      <c r="S2">
        <f>BDH("LPX US Equity","BS_ACCT_NOTE_RCV","1993-06-18","2026-05-02","Per=Y","Days=T","Dir=V")</f>
        <v>0</v>
      </c>
      <c r="U2">
        <f>BDH("LPX US Equity","BS_INVENTORIES","1993-06-18","2026-05-02","Per=Y","Days=T","Dir=V")</f>
        <v>0</v>
      </c>
      <c r="W2">
        <f>BDH("LPX US Equity","WORKING_CAPITAL","1993-06-18","2026-05-02","Per=Y","Days=T","Dir=V")</f>
        <v>0</v>
      </c>
      <c r="Y2">
        <f>BDH("LPX US Equity","SALES_REV_TURN","1993-06-18","2026-05-02","Per=Y","Days=T","Dir=V")</f>
        <v>0</v>
      </c>
      <c r="AA2">
        <f>BDH("LPX US Equity","EBIT","1993-06-18","2026-05-02","Per=Y","Days=T","Dir=V")</f>
        <v>0</v>
      </c>
      <c r="AC2">
        <f>BDH("LPX US Equity","EBITDA","1993-06-18","2026-05-02","Per=Y","Days=T","Dir=V")</f>
        <v>0</v>
      </c>
      <c r="AE2">
        <f>BDH("LPX US Equity","NET_INCOME","1993-06-18","2026-05-02","Per=Y","Days=T","Dir=V")</f>
        <v>0</v>
      </c>
      <c r="AG2">
        <f>BDH("LPX US Equity","IS_INT_EXPENSE","1993-06-18","2026-05-02","Per=Y","Days=T","Dir=V")</f>
        <v>0</v>
      </c>
      <c r="AI2">
        <f>BDH("LPX US Equity","IS_DEPR_EXP","1993-06-18","2026-05-02","Per=Y","Days=T","Dir=V")</f>
        <v>0</v>
      </c>
      <c r="AK2">
        <f>BDH("LPX US Equity","CF_CASH_FROM_OPER","1993-06-18","2026-05-02","Per=Y","Days=T","Dir=V")</f>
        <v>0</v>
      </c>
      <c r="AM2">
        <f>BDH("LPX US Equity","CAPITAL_EXPEND","1993-06-18","2026-05-02","Per=Y","Days=T","Dir=V")</f>
        <v>0</v>
      </c>
      <c r="AO2">
        <f>BDH("LPX US Equity","CF_FREE_CASH_FLOW","1993-06-18","2026-05-02","Per=Y","Days=T","Dir=V")</f>
        <v>0</v>
      </c>
      <c r="AQ2">
        <f>BDH("LPX US Equity","PX_LAST","1993-06-18","2026-05-02","Per=M","Days=T","Dir=V")</f>
        <v>0</v>
      </c>
      <c r="AS2">
        <f>BDH("LPX US Equity","CUR_MKT_CAP","1993-06-18","2026-05-02","Per=M","Days=T","Dir=V")</f>
        <v>0</v>
      </c>
      <c r="AU2">
        <f>BDH("LPX US Equity","EQY_SH_OUT","1993-06-18","2026-05-02","Per=M","Days=T","Dir=V")</f>
        <v>0</v>
      </c>
      <c r="AW2">
        <f>BDH("LPX US Equity","PX_VOLUME","1993-06-18","2026-05-02","Per=M","Days=T","Dir=V")</f>
        <v>0</v>
      </c>
      <c r="AY2">
        <f>BDH("LPX US Equity","TURNOVER","1993-06-18","2026-05-02","Per=M","Days=T","Dir=V")</f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BDH("LQDA US Equity","BS_TOT_ASSET","1993-06-18","2026-05-02","Per=Y","Days=T","Dir=V")</f>
        <v>0</v>
      </c>
      <c r="C2">
        <f>BDH("LQDA US Equity","BS_TOT_LIAB2","1993-06-18","2026-05-02","Per=Y","Days=T","Dir=V")</f>
        <v>0</v>
      </c>
      <c r="E2">
        <f>BDH("LQDA US Equity","SHORT_AND_LONG_TERM_DEBT","1993-06-18","2026-05-02","Per=Y","Days=T","Dir=V")</f>
        <v>0</v>
      </c>
      <c r="G2">
        <f>BDH("LQDA US Equity","BS_ST_BORROW","1993-06-18","2026-05-02","Per=Y","Days=T","Dir=V")</f>
        <v>0</v>
      </c>
      <c r="I2">
        <f>BDH("LQDA US Equity","BS_LT_BORROW","1993-06-18","2026-05-02","Per=Y","Days=T","Dir=V")</f>
        <v>0</v>
      </c>
      <c r="K2">
        <f>BDH("LQDA US Equity","BS_CASH_NEAR_CASH_ITEM","1993-06-18","2026-05-02","Per=Y","Days=T","Dir=V")</f>
        <v>0</v>
      </c>
      <c r="M2">
        <f>BDH("LQDA US Equity","BS_CUR_ASSET_REPORT","1993-06-18","2026-05-02","Per=Y","Days=T","Dir=V")</f>
        <v>0</v>
      </c>
      <c r="O2">
        <f>BDH("LQDA US Equity","BS_CUR_LIAB","1993-06-18","2026-05-02","Per=Y","Days=T","Dir=V")</f>
        <v>0</v>
      </c>
      <c r="Q2">
        <f>BDH("LQDA US Equity","BS_SHAREHOLDER_EQY_ENDING_PERIOD","1993-06-18","2026-05-02","Per=Y","Days=T","Dir=V")</f>
        <v>0</v>
      </c>
      <c r="S2">
        <f>BDH("LQDA US Equity","BS_ACCT_NOTE_RCV","1993-06-18","2026-05-02","Per=Y","Days=T","Dir=V")</f>
        <v>0</v>
      </c>
      <c r="U2">
        <f>BDH("LQDA US Equity","BS_INVENTORIES","1993-06-18","2026-05-02","Per=Y","Days=T","Dir=V")</f>
        <v>0</v>
      </c>
      <c r="W2">
        <f>BDH("LQDA US Equity","WORKING_CAPITAL","1993-06-18","2026-05-02","Per=Y","Days=T","Dir=V")</f>
        <v>0</v>
      </c>
      <c r="Y2">
        <f>BDH("LQDA US Equity","SALES_REV_TURN","1993-06-18","2026-05-02","Per=Y","Days=T","Dir=V")</f>
        <v>0</v>
      </c>
      <c r="AA2">
        <f>BDH("LQDA US Equity","EBIT","1993-06-18","2026-05-02","Per=Y","Days=T","Dir=V")</f>
        <v>0</v>
      </c>
      <c r="AC2">
        <f>BDH("LQDA US Equity","EBITDA","1993-06-18","2026-05-02","Per=Y","Days=T","Dir=V")</f>
        <v>0</v>
      </c>
      <c r="AE2">
        <f>BDH("LQDA US Equity","NET_INCOME","1993-06-18","2026-05-02","Per=Y","Days=T","Dir=V")</f>
        <v>0</v>
      </c>
      <c r="AG2">
        <f>BDH("LQDA US Equity","IS_INT_EXPENSE","1993-06-18","2026-05-02","Per=Y","Days=T","Dir=V")</f>
        <v>0</v>
      </c>
      <c r="AI2">
        <f>BDH("LQDA US Equity","IS_DEPR_EXP","1993-06-18","2026-05-02","Per=Y","Days=T","Dir=V")</f>
        <v>0</v>
      </c>
      <c r="AK2">
        <f>BDH("LQDA US Equity","CF_CASH_FROM_OPER","1993-06-18","2026-05-02","Per=Y","Days=T","Dir=V")</f>
        <v>0</v>
      </c>
      <c r="AM2">
        <f>BDH("LQDA US Equity","CAPITAL_EXPEND","1993-06-18","2026-05-02","Per=Y","Days=T","Dir=V")</f>
        <v>0</v>
      </c>
      <c r="AO2">
        <f>BDH("LQDA US Equity","CF_FREE_CASH_FLOW","1993-06-18","2026-05-02","Per=Y","Days=T","Dir=V")</f>
        <v>0</v>
      </c>
      <c r="AQ2">
        <f>BDH("LQDA US Equity","PX_LAST","1993-06-18","2026-05-02","Per=M","Days=T","Dir=V")</f>
        <v>0</v>
      </c>
      <c r="AS2">
        <f>BDH("LQDA US Equity","CUR_MKT_CAP","1993-06-18","2026-05-02","Per=M","Days=T","Dir=V")</f>
        <v>0</v>
      </c>
      <c r="AU2">
        <f>BDH("LQDA US Equity","EQY_SH_OUT","1993-06-18","2026-05-02","Per=M","Days=T","Dir=V")</f>
        <v>0</v>
      </c>
      <c r="AW2">
        <f>BDH("LQDA US Equity","PX_VOLUME","1993-06-18","2026-05-02","Per=M","Days=T","Dir=V")</f>
        <v>0</v>
      </c>
      <c r="AY2">
        <f>BDH("LQDA US Equity","TURNOVER","1993-06-18","2026-05-02","Per=M","Days=T","Dir=V")</f>
        <v>0</v>
      </c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BDH("LQDT US Equity","BS_TOT_ASSET","1993-06-18","2026-05-02","Per=Y","Days=T","Dir=V")</f>
        <v>0</v>
      </c>
      <c r="C2">
        <f>BDH("LQDT US Equity","BS_TOT_LIAB2","1993-06-18","2026-05-02","Per=Y","Days=T","Dir=V")</f>
        <v>0</v>
      </c>
      <c r="E2">
        <f>BDH("LQDT US Equity","SHORT_AND_LONG_TERM_DEBT","1993-06-18","2026-05-02","Per=Y","Days=T","Dir=V")</f>
        <v>0</v>
      </c>
      <c r="G2">
        <f>BDH("LQDT US Equity","BS_ST_BORROW","1993-06-18","2026-05-02","Per=Y","Days=T","Dir=V")</f>
        <v>0</v>
      </c>
      <c r="I2">
        <f>BDH("LQDT US Equity","BS_LT_BORROW","1993-06-18","2026-05-02","Per=Y","Days=T","Dir=V")</f>
        <v>0</v>
      </c>
      <c r="K2">
        <f>BDH("LQDT US Equity","BS_CASH_NEAR_CASH_ITEM","1993-06-18","2026-05-02","Per=Y","Days=T","Dir=V")</f>
        <v>0</v>
      </c>
      <c r="M2">
        <f>BDH("LQDT US Equity","BS_CUR_ASSET_REPORT","1993-06-18","2026-05-02","Per=Y","Days=T","Dir=V")</f>
        <v>0</v>
      </c>
      <c r="O2">
        <f>BDH("LQDT US Equity","BS_CUR_LIAB","1993-06-18","2026-05-02","Per=Y","Days=T","Dir=V")</f>
        <v>0</v>
      </c>
      <c r="Q2">
        <f>BDH("LQDT US Equity","BS_SHAREHOLDER_EQY_ENDING_PERIOD","1993-06-18","2026-05-02","Per=Y","Days=T","Dir=V")</f>
        <v>0</v>
      </c>
      <c r="S2">
        <f>BDH("LQDT US Equity","BS_ACCT_NOTE_RCV","1993-06-18","2026-05-02","Per=Y","Days=T","Dir=V")</f>
        <v>0</v>
      </c>
      <c r="U2">
        <f>BDH("LQDT US Equity","BS_INVENTORIES","1993-06-18","2026-05-02","Per=Y","Days=T","Dir=V")</f>
        <v>0</v>
      </c>
      <c r="W2">
        <f>BDH("LQDT US Equity","WORKING_CAPITAL","1993-06-18","2026-05-02","Per=Y","Days=T","Dir=V")</f>
        <v>0</v>
      </c>
      <c r="Y2">
        <f>BDH("LQDT US Equity","SALES_REV_TURN","1993-06-18","2026-05-02","Per=Y","Days=T","Dir=V")</f>
        <v>0</v>
      </c>
      <c r="AA2">
        <f>BDH("LQDT US Equity","EBIT","1993-06-18","2026-05-02","Per=Y","Days=T","Dir=V")</f>
        <v>0</v>
      </c>
      <c r="AC2">
        <f>BDH("LQDT US Equity","EBITDA","1993-06-18","2026-05-02","Per=Y","Days=T","Dir=V")</f>
        <v>0</v>
      </c>
      <c r="AE2">
        <f>BDH("LQDT US Equity","NET_INCOME","1993-06-18","2026-05-02","Per=Y","Days=T","Dir=V")</f>
        <v>0</v>
      </c>
      <c r="AG2">
        <f>BDH("LQDT US Equity","IS_INT_EXPENSE","1993-06-18","2026-05-02","Per=Y","Days=T","Dir=V")</f>
        <v>0</v>
      </c>
      <c r="AI2">
        <f>BDH("LQDT US Equity","IS_DEPR_EXP","1993-06-18","2026-05-02","Per=Y","Days=T","Dir=V")</f>
        <v>0</v>
      </c>
      <c r="AK2">
        <f>BDH("LQDT US Equity","CF_CASH_FROM_OPER","1993-06-18","2026-05-02","Per=Y","Days=T","Dir=V")</f>
        <v>0</v>
      </c>
      <c r="AM2">
        <f>BDH("LQDT US Equity","CAPITAL_EXPEND","1993-06-18","2026-05-02","Per=Y","Days=T","Dir=V")</f>
        <v>0</v>
      </c>
      <c r="AO2">
        <f>BDH("LQDT US Equity","CF_FREE_CASH_FLOW","1993-06-18","2026-05-02","Per=Y","Days=T","Dir=V")</f>
        <v>0</v>
      </c>
      <c r="AQ2">
        <f>BDH("LQDT US Equity","PX_LAST","1993-06-18","2026-05-02","Per=M","Days=T","Dir=V")</f>
        <v>0</v>
      </c>
      <c r="AS2">
        <f>BDH("LQDT US Equity","CUR_MKT_CAP","1993-06-18","2026-05-02","Per=M","Days=T","Dir=V")</f>
        <v>0</v>
      </c>
      <c r="AU2">
        <f>BDH("LQDT US Equity","EQY_SH_OUT","1993-06-18","2026-05-02","Per=M","Days=T","Dir=V")</f>
        <v>0</v>
      </c>
      <c r="AW2">
        <f>BDH("LQDT US Equity","PX_VOLUME","1993-06-18","2026-05-02","Per=M","Days=T","Dir=V")</f>
        <v>0</v>
      </c>
      <c r="AY2">
        <f>BDH("LQDT US Equity","TURNOVER","1993-06-18","2026-05-02","Per=M","Days=T","Dir=V")</f>
        <v>0</v>
      </c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BDH("LRCX US Equity","BS_TOT_ASSET","1993-06-18","2026-05-02","Per=Y","Days=T","Dir=V")</f>
        <v>0</v>
      </c>
      <c r="C2">
        <f>BDH("LRCX US Equity","BS_TOT_LIAB2","1993-06-18","2026-05-02","Per=Y","Days=T","Dir=V")</f>
        <v>0</v>
      </c>
      <c r="E2">
        <f>BDH("LRCX US Equity","SHORT_AND_LONG_TERM_DEBT","1993-06-18","2026-05-02","Per=Y","Days=T","Dir=V")</f>
        <v>0</v>
      </c>
      <c r="G2">
        <f>BDH("LRCX US Equity","BS_ST_BORROW","1993-06-18","2026-05-02","Per=Y","Days=T","Dir=V")</f>
        <v>0</v>
      </c>
      <c r="I2">
        <f>BDH("LRCX US Equity","BS_LT_BORROW","1993-06-18","2026-05-02","Per=Y","Days=T","Dir=V")</f>
        <v>0</v>
      </c>
      <c r="K2">
        <f>BDH("LRCX US Equity","BS_CASH_NEAR_CASH_ITEM","1993-06-18","2026-05-02","Per=Y","Days=T","Dir=V")</f>
        <v>0</v>
      </c>
      <c r="M2">
        <f>BDH("LRCX US Equity","BS_CUR_ASSET_REPORT","1993-06-18","2026-05-02","Per=Y","Days=T","Dir=V")</f>
        <v>0</v>
      </c>
      <c r="O2">
        <f>BDH("LRCX US Equity","BS_CUR_LIAB","1993-06-18","2026-05-02","Per=Y","Days=T","Dir=V")</f>
        <v>0</v>
      </c>
      <c r="Q2">
        <f>BDH("LRCX US Equity","BS_SHAREHOLDER_EQY_ENDING_PERIOD","1993-06-18","2026-05-02","Per=Y","Days=T","Dir=V")</f>
        <v>0</v>
      </c>
      <c r="S2">
        <f>BDH("LRCX US Equity","BS_ACCT_NOTE_RCV","1993-06-18","2026-05-02","Per=Y","Days=T","Dir=V")</f>
        <v>0</v>
      </c>
      <c r="U2">
        <f>BDH("LRCX US Equity","BS_INVENTORIES","1993-06-18","2026-05-02","Per=Y","Days=T","Dir=V")</f>
        <v>0</v>
      </c>
      <c r="W2">
        <f>BDH("LRCX US Equity","WORKING_CAPITAL","1993-06-18","2026-05-02","Per=Y","Days=T","Dir=V")</f>
        <v>0</v>
      </c>
      <c r="Y2">
        <f>BDH("LRCX US Equity","SALES_REV_TURN","1993-06-18","2026-05-02","Per=Y","Days=T","Dir=V")</f>
        <v>0</v>
      </c>
      <c r="AA2">
        <f>BDH("LRCX US Equity","EBIT","1993-06-18","2026-05-02","Per=Y","Days=T","Dir=V")</f>
        <v>0</v>
      </c>
      <c r="AC2">
        <f>BDH("LRCX US Equity","EBITDA","1993-06-18","2026-05-02","Per=Y","Days=T","Dir=V")</f>
        <v>0</v>
      </c>
      <c r="AE2">
        <f>BDH("LRCX US Equity","NET_INCOME","1993-06-18","2026-05-02","Per=Y","Days=T","Dir=V")</f>
        <v>0</v>
      </c>
      <c r="AG2">
        <f>BDH("LRCX US Equity","IS_INT_EXPENSE","1993-06-18","2026-05-02","Per=Y","Days=T","Dir=V")</f>
        <v>0</v>
      </c>
      <c r="AI2">
        <f>BDH("LRCX US Equity","IS_DEPR_EXP","1993-06-18","2026-05-02","Per=Y","Days=T","Dir=V")</f>
        <v>0</v>
      </c>
      <c r="AK2">
        <f>BDH("LRCX US Equity","CF_CASH_FROM_OPER","1993-06-18","2026-05-02","Per=Y","Days=T","Dir=V")</f>
        <v>0</v>
      </c>
      <c r="AM2">
        <f>BDH("LRCX US Equity","CAPITAL_EXPEND","1993-06-18","2026-05-02","Per=Y","Days=T","Dir=V")</f>
        <v>0</v>
      </c>
      <c r="AO2">
        <f>BDH("LRCX US Equity","CF_FREE_CASH_FLOW","1993-06-18","2026-05-02","Per=Y","Days=T","Dir=V")</f>
        <v>0</v>
      </c>
      <c r="AQ2">
        <f>BDH("LRCX US Equity","PX_LAST","1993-06-18","2026-05-02","Per=M","Days=T","Dir=V")</f>
        <v>0</v>
      </c>
      <c r="AS2">
        <f>BDH("LRCX US Equity","CUR_MKT_CAP","1993-06-18","2026-05-02","Per=M","Days=T","Dir=V")</f>
        <v>0</v>
      </c>
      <c r="AU2">
        <f>BDH("LRCX US Equity","EQY_SH_OUT","1993-06-18","2026-05-02","Per=M","Days=T","Dir=V")</f>
        <v>0</v>
      </c>
      <c r="AW2">
        <f>BDH("LRCX US Equity","PX_VOLUME","1993-06-18","2026-05-02","Per=M","Days=T","Dir=V")</f>
        <v>0</v>
      </c>
      <c r="AY2">
        <f>BDH("LRCX US Equity","TURNOVER","1993-06-18","2026-05-02","Per=M","Days=T","Dir=V")</f>
        <v>0</v>
      </c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BDH("LRMR US Equity","BS_TOT_ASSET","1993-06-18","2026-05-02","Per=Y","Days=T","Dir=V")</f>
        <v>0</v>
      </c>
      <c r="C2">
        <f>BDH("LRMR US Equity","BS_TOT_LIAB2","1993-06-18","2026-05-02","Per=Y","Days=T","Dir=V")</f>
        <v>0</v>
      </c>
      <c r="E2">
        <f>BDH("LRMR US Equity","SHORT_AND_LONG_TERM_DEBT","1993-06-18","2026-05-02","Per=Y","Days=T","Dir=V")</f>
        <v>0</v>
      </c>
      <c r="G2">
        <f>BDH("LRMR US Equity","BS_ST_BORROW","1993-06-18","2026-05-02","Per=Y","Days=T","Dir=V")</f>
        <v>0</v>
      </c>
      <c r="I2">
        <f>BDH("LRMR US Equity","BS_LT_BORROW","1993-06-18","2026-05-02","Per=Y","Days=T","Dir=V")</f>
        <v>0</v>
      </c>
      <c r="K2">
        <f>BDH("LRMR US Equity","BS_CASH_NEAR_CASH_ITEM","1993-06-18","2026-05-02","Per=Y","Days=T","Dir=V")</f>
        <v>0</v>
      </c>
      <c r="M2">
        <f>BDH("LRMR US Equity","BS_CUR_ASSET_REPORT","1993-06-18","2026-05-02","Per=Y","Days=T","Dir=V")</f>
        <v>0</v>
      </c>
      <c r="O2">
        <f>BDH("LRMR US Equity","BS_CUR_LIAB","1993-06-18","2026-05-02","Per=Y","Days=T","Dir=V")</f>
        <v>0</v>
      </c>
      <c r="Q2">
        <f>BDH("LRMR US Equity","BS_SHAREHOLDER_EQY_ENDING_PERIOD","1993-06-18","2026-05-02","Per=Y","Days=T","Dir=V")</f>
        <v>0</v>
      </c>
      <c r="S2">
        <f>BDH("LRMR US Equity","BS_ACCT_NOTE_RCV","1993-06-18","2026-05-02","Per=Y","Days=T","Dir=V")</f>
        <v>0</v>
      </c>
      <c r="U2">
        <f>BDH("LRMR US Equity","BS_INVENTORIES","1993-06-18","2026-05-02","Per=Y","Days=T","Dir=V")</f>
        <v>0</v>
      </c>
      <c r="W2">
        <f>BDH("LRMR US Equity","WORKING_CAPITAL","1993-06-18","2026-05-02","Per=Y","Days=T","Dir=V")</f>
        <v>0</v>
      </c>
      <c r="Y2">
        <f>BDH("LRMR US Equity","SALES_REV_TURN","1993-06-18","2026-05-02","Per=Y","Days=T","Dir=V")</f>
        <v>0</v>
      </c>
      <c r="AA2">
        <f>BDH("LRMR US Equity","EBIT","1993-06-18","2026-05-02","Per=Y","Days=T","Dir=V")</f>
        <v>0</v>
      </c>
      <c r="AC2">
        <f>BDH("LRMR US Equity","EBITDA","1993-06-18","2026-05-02","Per=Y","Days=T","Dir=V")</f>
        <v>0</v>
      </c>
      <c r="AE2">
        <f>BDH("LRMR US Equity","NET_INCOME","1993-06-18","2026-05-02","Per=Y","Days=T","Dir=V")</f>
        <v>0</v>
      </c>
      <c r="AG2">
        <f>BDH("LRMR US Equity","IS_INT_EXPENSE","1993-06-18","2026-05-02","Per=Y","Days=T","Dir=V")</f>
        <v>0</v>
      </c>
      <c r="AI2">
        <f>BDH("LRMR US Equity","IS_DEPR_EXP","1993-06-18","2026-05-02","Per=Y","Days=T","Dir=V")</f>
        <v>0</v>
      </c>
      <c r="AK2">
        <f>BDH("LRMR US Equity","CF_CASH_FROM_OPER","1993-06-18","2026-05-02","Per=Y","Days=T","Dir=V")</f>
        <v>0</v>
      </c>
      <c r="AM2">
        <f>BDH("LRMR US Equity","CAPITAL_EXPEND","1993-06-18","2026-05-02","Per=Y","Days=T","Dir=V")</f>
        <v>0</v>
      </c>
      <c r="AO2">
        <f>BDH("LRMR US Equity","CF_FREE_CASH_FLOW","1993-06-18","2026-05-02","Per=Y","Days=T","Dir=V")</f>
        <v>0</v>
      </c>
      <c r="AQ2">
        <f>BDH("LRMR US Equity","PX_LAST","1993-06-18","2026-05-02","Per=M","Days=T","Dir=V")</f>
        <v>0</v>
      </c>
      <c r="AS2">
        <f>BDH("LRMR US Equity","CUR_MKT_CAP","1993-06-18","2026-05-02","Per=M","Days=T","Dir=V")</f>
        <v>0</v>
      </c>
      <c r="AU2">
        <f>BDH("LRMR US Equity","EQY_SH_OUT","1993-06-18","2026-05-02","Per=M","Days=T","Dir=V")</f>
        <v>0</v>
      </c>
      <c r="AW2">
        <f>BDH("LRMR US Equity","PX_VOLUME","1993-06-18","2026-05-02","Per=M","Days=T","Dir=V")</f>
        <v>0</v>
      </c>
      <c r="AY2">
        <f>BDH("LRMR US Equity","TURNOVER","1993-06-18","2026-05-02","Per=M","Days=T","Dir=V")</f>
        <v>0</v>
      </c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BDH("LSCC US Equity","BS_TOT_ASSET","1993-06-18","2026-05-02","Per=Y","Days=T","Dir=V")</f>
        <v>0</v>
      </c>
      <c r="C2">
        <f>BDH("LSCC US Equity","BS_TOT_LIAB2","1993-06-18","2026-05-02","Per=Y","Days=T","Dir=V")</f>
        <v>0</v>
      </c>
      <c r="E2">
        <f>BDH("LSCC US Equity","SHORT_AND_LONG_TERM_DEBT","1993-06-18","2026-05-02","Per=Y","Days=T","Dir=V")</f>
        <v>0</v>
      </c>
      <c r="G2">
        <f>BDH("LSCC US Equity","BS_ST_BORROW","1993-06-18","2026-05-02","Per=Y","Days=T","Dir=V")</f>
        <v>0</v>
      </c>
      <c r="I2">
        <f>BDH("LSCC US Equity","BS_LT_BORROW","1993-06-18","2026-05-02","Per=Y","Days=T","Dir=V")</f>
        <v>0</v>
      </c>
      <c r="K2">
        <f>BDH("LSCC US Equity","BS_CASH_NEAR_CASH_ITEM","1993-06-18","2026-05-02","Per=Y","Days=T","Dir=V")</f>
        <v>0</v>
      </c>
      <c r="M2">
        <f>BDH("LSCC US Equity","BS_CUR_ASSET_REPORT","1993-06-18","2026-05-02","Per=Y","Days=T","Dir=V")</f>
        <v>0</v>
      </c>
      <c r="O2">
        <f>BDH("LSCC US Equity","BS_CUR_LIAB","1993-06-18","2026-05-02","Per=Y","Days=T","Dir=V")</f>
        <v>0</v>
      </c>
      <c r="Q2">
        <f>BDH("LSCC US Equity","BS_SHAREHOLDER_EQY_ENDING_PERIOD","1993-06-18","2026-05-02","Per=Y","Days=T","Dir=V")</f>
        <v>0</v>
      </c>
      <c r="S2">
        <f>BDH("LSCC US Equity","BS_ACCT_NOTE_RCV","1993-06-18","2026-05-02","Per=Y","Days=T","Dir=V")</f>
        <v>0</v>
      </c>
      <c r="U2">
        <f>BDH("LSCC US Equity","BS_INVENTORIES","1993-06-18","2026-05-02","Per=Y","Days=T","Dir=V")</f>
        <v>0</v>
      </c>
      <c r="W2">
        <f>BDH("LSCC US Equity","WORKING_CAPITAL","1993-06-18","2026-05-02","Per=Y","Days=T","Dir=V")</f>
        <v>0</v>
      </c>
      <c r="Y2">
        <f>BDH("LSCC US Equity","SALES_REV_TURN","1993-06-18","2026-05-02","Per=Y","Days=T","Dir=V")</f>
        <v>0</v>
      </c>
      <c r="AA2">
        <f>BDH("LSCC US Equity","EBIT","1993-06-18","2026-05-02","Per=Y","Days=T","Dir=V")</f>
        <v>0</v>
      </c>
      <c r="AC2">
        <f>BDH("LSCC US Equity","EBITDA","1993-06-18","2026-05-02","Per=Y","Days=T","Dir=V")</f>
        <v>0</v>
      </c>
      <c r="AE2">
        <f>BDH("LSCC US Equity","NET_INCOME","1993-06-18","2026-05-02","Per=Y","Days=T","Dir=V")</f>
        <v>0</v>
      </c>
      <c r="AG2">
        <f>BDH("LSCC US Equity","IS_INT_EXPENSE","1993-06-18","2026-05-02","Per=Y","Days=T","Dir=V")</f>
        <v>0</v>
      </c>
      <c r="AI2">
        <f>BDH("LSCC US Equity","IS_DEPR_EXP","1993-06-18","2026-05-02","Per=Y","Days=T","Dir=V")</f>
        <v>0</v>
      </c>
      <c r="AK2">
        <f>BDH("LSCC US Equity","CF_CASH_FROM_OPER","1993-06-18","2026-05-02","Per=Y","Days=T","Dir=V")</f>
        <v>0</v>
      </c>
      <c r="AM2">
        <f>BDH("LSCC US Equity","CAPITAL_EXPEND","1993-06-18","2026-05-02","Per=Y","Days=T","Dir=V")</f>
        <v>0</v>
      </c>
      <c r="AO2">
        <f>BDH("LSCC US Equity","CF_FREE_CASH_FLOW","1993-06-18","2026-05-02","Per=Y","Days=T","Dir=V")</f>
        <v>0</v>
      </c>
      <c r="AQ2">
        <f>BDH("LSCC US Equity","PX_LAST","1993-06-18","2026-05-02","Per=M","Days=T","Dir=V")</f>
        <v>0</v>
      </c>
      <c r="AS2">
        <f>BDH("LSCC US Equity","CUR_MKT_CAP","1993-06-18","2026-05-02","Per=M","Days=T","Dir=V")</f>
        <v>0</v>
      </c>
      <c r="AU2">
        <f>BDH("LSCC US Equity","EQY_SH_OUT","1993-06-18","2026-05-02","Per=M","Days=T","Dir=V")</f>
        <v>0</v>
      </c>
      <c r="AW2">
        <f>BDH("LSCC US Equity","PX_VOLUME","1993-06-18","2026-05-02","Per=M","Days=T","Dir=V")</f>
        <v>0</v>
      </c>
      <c r="AY2">
        <f>BDH("LSCC US Equity","TURNOVER","1993-06-18","2026-05-02","Per=M","Days=T","Dir=V")</f>
        <v>0</v>
      </c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BDH("LSTA US Equity","BS_TOT_ASSET","1993-06-18","2026-05-02","Per=Y","Days=T","Dir=V")</f>
        <v>0</v>
      </c>
      <c r="C2">
        <f>BDH("LSTA US Equity","BS_TOT_LIAB2","1993-06-18","2026-05-02","Per=Y","Days=T","Dir=V")</f>
        <v>0</v>
      </c>
      <c r="E2">
        <f>BDH("LSTA US Equity","SHORT_AND_LONG_TERM_DEBT","1993-06-18","2026-05-02","Per=Y","Days=T","Dir=V")</f>
        <v>0</v>
      </c>
      <c r="G2">
        <f>BDH("LSTA US Equity","BS_ST_BORROW","1993-06-18","2026-05-02","Per=Y","Days=T","Dir=V")</f>
        <v>0</v>
      </c>
      <c r="I2">
        <f>BDH("LSTA US Equity","BS_LT_BORROW","1993-06-18","2026-05-02","Per=Y","Days=T","Dir=V")</f>
        <v>0</v>
      </c>
      <c r="K2">
        <f>BDH("LSTA US Equity","BS_CASH_NEAR_CASH_ITEM","1993-06-18","2026-05-02","Per=Y","Days=T","Dir=V")</f>
        <v>0</v>
      </c>
      <c r="M2">
        <f>BDH("LSTA US Equity","BS_CUR_ASSET_REPORT","1993-06-18","2026-05-02","Per=Y","Days=T","Dir=V")</f>
        <v>0</v>
      </c>
      <c r="O2">
        <f>BDH("LSTA US Equity","BS_CUR_LIAB","1993-06-18","2026-05-02","Per=Y","Days=T","Dir=V")</f>
        <v>0</v>
      </c>
      <c r="Q2">
        <f>BDH("LSTA US Equity","BS_SHAREHOLDER_EQY_ENDING_PERIOD","1993-06-18","2026-05-02","Per=Y","Days=T","Dir=V")</f>
        <v>0</v>
      </c>
      <c r="S2">
        <f>BDH("LSTA US Equity","BS_ACCT_NOTE_RCV","1993-06-18","2026-05-02","Per=Y","Days=T","Dir=V")</f>
        <v>0</v>
      </c>
      <c r="U2">
        <f>BDH("LSTA US Equity","BS_INVENTORIES","1993-06-18","2026-05-02","Per=Y","Days=T","Dir=V")</f>
        <v>0</v>
      </c>
      <c r="W2">
        <f>BDH("LSTA US Equity","WORKING_CAPITAL","1993-06-18","2026-05-02","Per=Y","Days=T","Dir=V")</f>
        <v>0</v>
      </c>
      <c r="Y2">
        <f>BDH("LSTA US Equity","SALES_REV_TURN","1993-06-18","2026-05-02","Per=Y","Days=T","Dir=V")</f>
        <v>0</v>
      </c>
      <c r="AA2">
        <f>BDH("LSTA US Equity","EBIT","1993-06-18","2026-05-02","Per=Y","Days=T","Dir=V")</f>
        <v>0</v>
      </c>
      <c r="AC2">
        <f>BDH("LSTA US Equity","EBITDA","1993-06-18","2026-05-02","Per=Y","Days=T","Dir=V")</f>
        <v>0</v>
      </c>
      <c r="AE2">
        <f>BDH("LSTA US Equity","NET_INCOME","1993-06-18","2026-05-02","Per=Y","Days=T","Dir=V")</f>
        <v>0</v>
      </c>
      <c r="AG2">
        <f>BDH("LSTA US Equity","IS_INT_EXPENSE","1993-06-18","2026-05-02","Per=Y","Days=T","Dir=V")</f>
        <v>0</v>
      </c>
      <c r="AI2">
        <f>BDH("LSTA US Equity","IS_DEPR_EXP","1993-06-18","2026-05-02","Per=Y","Days=T","Dir=V")</f>
        <v>0</v>
      </c>
      <c r="AK2">
        <f>BDH("LSTA US Equity","CF_CASH_FROM_OPER","1993-06-18","2026-05-02","Per=Y","Days=T","Dir=V")</f>
        <v>0</v>
      </c>
      <c r="AM2">
        <f>BDH("LSTA US Equity","CAPITAL_EXPEND","1993-06-18","2026-05-02","Per=Y","Days=T","Dir=V")</f>
        <v>0</v>
      </c>
      <c r="AO2">
        <f>BDH("LSTA US Equity","CF_FREE_CASH_FLOW","1993-06-18","2026-05-02","Per=Y","Days=T","Dir=V")</f>
        <v>0</v>
      </c>
      <c r="AQ2">
        <f>BDH("LSTA US Equity","PX_LAST","1993-06-18","2026-05-02","Per=M","Days=T","Dir=V")</f>
        <v>0</v>
      </c>
      <c r="AS2">
        <f>BDH("LSTA US Equity","CUR_MKT_CAP","1993-06-18","2026-05-02","Per=M","Days=T","Dir=V")</f>
        <v>0</v>
      </c>
      <c r="AU2">
        <f>BDH("LSTA US Equity","EQY_SH_OUT","1993-06-18","2026-05-02","Per=M","Days=T","Dir=V")</f>
        <v>0</v>
      </c>
      <c r="AW2">
        <f>BDH("LSTA US Equity","PX_VOLUME","1993-06-18","2026-05-02","Per=M","Days=T","Dir=V")</f>
        <v>0</v>
      </c>
      <c r="AY2">
        <f>BDH("LSTA US Equity","TURNOVER","1993-06-18","2026-05-02","Per=M","Days=T","Dir=V")</f>
        <v>0</v>
      </c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BDH("LSTR US Equity","BS_TOT_ASSET","1993-06-18","2026-05-02","Per=Y","Days=T","Dir=V")</f>
        <v>0</v>
      </c>
      <c r="C2">
        <f>BDH("LSTR US Equity","BS_TOT_LIAB2","1993-06-18","2026-05-02","Per=Y","Days=T","Dir=V")</f>
        <v>0</v>
      </c>
      <c r="E2">
        <f>BDH("LSTR US Equity","SHORT_AND_LONG_TERM_DEBT","1993-06-18","2026-05-02","Per=Y","Days=T","Dir=V")</f>
        <v>0</v>
      </c>
      <c r="G2">
        <f>BDH("LSTR US Equity","BS_ST_BORROW","1993-06-18","2026-05-02","Per=Y","Days=T","Dir=V")</f>
        <v>0</v>
      </c>
      <c r="I2">
        <f>BDH("LSTR US Equity","BS_LT_BORROW","1993-06-18","2026-05-02","Per=Y","Days=T","Dir=V")</f>
        <v>0</v>
      </c>
      <c r="K2">
        <f>BDH("LSTR US Equity","BS_CASH_NEAR_CASH_ITEM","1993-06-18","2026-05-02","Per=Y","Days=T","Dir=V")</f>
        <v>0</v>
      </c>
      <c r="M2">
        <f>BDH("LSTR US Equity","BS_CUR_ASSET_REPORT","1993-06-18","2026-05-02","Per=Y","Days=T","Dir=V")</f>
        <v>0</v>
      </c>
      <c r="O2">
        <f>BDH("LSTR US Equity","BS_CUR_LIAB","1993-06-18","2026-05-02","Per=Y","Days=T","Dir=V")</f>
        <v>0</v>
      </c>
      <c r="Q2">
        <f>BDH("LSTR US Equity","BS_SHAREHOLDER_EQY_ENDING_PERIOD","1993-06-18","2026-05-02","Per=Y","Days=T","Dir=V")</f>
        <v>0</v>
      </c>
      <c r="S2">
        <f>BDH("LSTR US Equity","BS_ACCT_NOTE_RCV","1993-06-18","2026-05-02","Per=Y","Days=T","Dir=V")</f>
        <v>0</v>
      </c>
      <c r="U2">
        <f>BDH("LSTR US Equity","BS_INVENTORIES","1993-06-18","2026-05-02","Per=Y","Days=T","Dir=V")</f>
        <v>0</v>
      </c>
      <c r="W2">
        <f>BDH("LSTR US Equity","WORKING_CAPITAL","1993-06-18","2026-05-02","Per=Y","Days=T","Dir=V")</f>
        <v>0</v>
      </c>
      <c r="Y2">
        <f>BDH("LSTR US Equity","SALES_REV_TURN","1993-06-18","2026-05-02","Per=Y","Days=T","Dir=V")</f>
        <v>0</v>
      </c>
      <c r="AA2">
        <f>BDH("LSTR US Equity","EBIT","1993-06-18","2026-05-02","Per=Y","Days=T","Dir=V")</f>
        <v>0</v>
      </c>
      <c r="AC2">
        <f>BDH("LSTR US Equity","EBITDA","1993-06-18","2026-05-02","Per=Y","Days=T","Dir=V")</f>
        <v>0</v>
      </c>
      <c r="AE2">
        <f>BDH("LSTR US Equity","NET_INCOME","1993-06-18","2026-05-02","Per=Y","Days=T","Dir=V")</f>
        <v>0</v>
      </c>
      <c r="AG2">
        <f>BDH("LSTR US Equity","IS_INT_EXPENSE","1993-06-18","2026-05-02","Per=Y","Days=T","Dir=V")</f>
        <v>0</v>
      </c>
      <c r="AI2">
        <f>BDH("LSTR US Equity","IS_DEPR_EXP","1993-06-18","2026-05-02","Per=Y","Days=T","Dir=V")</f>
        <v>0</v>
      </c>
      <c r="AK2">
        <f>BDH("LSTR US Equity","CF_CASH_FROM_OPER","1993-06-18","2026-05-02","Per=Y","Days=T","Dir=V")</f>
        <v>0</v>
      </c>
      <c r="AM2">
        <f>BDH("LSTR US Equity","CAPITAL_EXPEND","1993-06-18","2026-05-02","Per=Y","Days=T","Dir=V")</f>
        <v>0</v>
      </c>
      <c r="AO2">
        <f>BDH("LSTR US Equity","CF_FREE_CASH_FLOW","1993-06-18","2026-05-02","Per=Y","Days=T","Dir=V")</f>
        <v>0</v>
      </c>
      <c r="AQ2">
        <f>BDH("LSTR US Equity","PX_LAST","1993-06-18","2026-05-02","Per=M","Days=T","Dir=V")</f>
        <v>0</v>
      </c>
      <c r="AS2">
        <f>BDH("LSTR US Equity","CUR_MKT_CAP","1993-06-18","2026-05-02","Per=M","Days=T","Dir=V")</f>
        <v>0</v>
      </c>
      <c r="AU2">
        <f>BDH("LSTR US Equity","EQY_SH_OUT","1993-06-18","2026-05-02","Per=M","Days=T","Dir=V")</f>
        <v>0</v>
      </c>
      <c r="AW2">
        <f>BDH("LSTR US Equity","PX_VOLUME","1993-06-18","2026-05-02","Per=M","Days=T","Dir=V")</f>
        <v>0</v>
      </c>
      <c r="AY2">
        <f>BDH("LSTR US Equity","TURNOVER","1993-06-18","2026-05-02","Per=M","Days=T","Dir=V")</f>
        <v>0</v>
      </c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BDH("LTBR US Equity","BS_TOT_ASSET","1993-06-18","2026-05-02","Per=Y","Days=T","Dir=V")</f>
        <v>0</v>
      </c>
      <c r="C2">
        <f>BDH("LTBR US Equity","BS_TOT_LIAB2","1993-06-18","2026-05-02","Per=Y","Days=T","Dir=V")</f>
        <v>0</v>
      </c>
      <c r="E2">
        <f>BDH("LTBR US Equity","SHORT_AND_LONG_TERM_DEBT","1993-06-18","2026-05-02","Per=Y","Days=T","Dir=V")</f>
        <v>0</v>
      </c>
      <c r="G2">
        <f>BDH("LTBR US Equity","BS_ST_BORROW","1993-06-18","2026-05-02","Per=Y","Days=T","Dir=V")</f>
        <v>0</v>
      </c>
      <c r="I2">
        <f>BDH("LTBR US Equity","BS_LT_BORROW","1993-06-18","2026-05-02","Per=Y","Days=T","Dir=V")</f>
        <v>0</v>
      </c>
      <c r="K2">
        <f>BDH("LTBR US Equity","BS_CASH_NEAR_CASH_ITEM","1993-06-18","2026-05-02","Per=Y","Days=T","Dir=V")</f>
        <v>0</v>
      </c>
      <c r="M2">
        <f>BDH("LTBR US Equity","BS_CUR_ASSET_REPORT","1993-06-18","2026-05-02","Per=Y","Days=T","Dir=V")</f>
        <v>0</v>
      </c>
      <c r="O2">
        <f>BDH("LTBR US Equity","BS_CUR_LIAB","1993-06-18","2026-05-02","Per=Y","Days=T","Dir=V")</f>
        <v>0</v>
      </c>
      <c r="Q2">
        <f>BDH("LTBR US Equity","BS_SHAREHOLDER_EQY_ENDING_PERIOD","1993-06-18","2026-05-02","Per=Y","Days=T","Dir=V")</f>
        <v>0</v>
      </c>
      <c r="S2">
        <f>BDH("LTBR US Equity","BS_ACCT_NOTE_RCV","1993-06-18","2026-05-02","Per=Y","Days=T","Dir=V")</f>
        <v>0</v>
      </c>
      <c r="U2">
        <f>BDH("LTBR US Equity","BS_INVENTORIES","1993-06-18","2026-05-02","Per=Y","Days=T","Dir=V")</f>
        <v>0</v>
      </c>
      <c r="W2">
        <f>BDH("LTBR US Equity","WORKING_CAPITAL","1993-06-18","2026-05-02","Per=Y","Days=T","Dir=V")</f>
        <v>0</v>
      </c>
      <c r="Y2">
        <f>BDH("LTBR US Equity","SALES_REV_TURN","1993-06-18","2026-05-02","Per=Y","Days=T","Dir=V")</f>
        <v>0</v>
      </c>
      <c r="AA2">
        <f>BDH("LTBR US Equity","EBIT","1993-06-18","2026-05-02","Per=Y","Days=T","Dir=V")</f>
        <v>0</v>
      </c>
      <c r="AC2">
        <f>BDH("LTBR US Equity","EBITDA","1993-06-18","2026-05-02","Per=Y","Days=T","Dir=V")</f>
        <v>0</v>
      </c>
      <c r="AE2">
        <f>BDH("LTBR US Equity","NET_INCOME","1993-06-18","2026-05-02","Per=Y","Days=T","Dir=V")</f>
        <v>0</v>
      </c>
      <c r="AG2">
        <f>BDH("LTBR US Equity","IS_INT_EXPENSE","1993-06-18","2026-05-02","Per=Y","Days=T","Dir=V")</f>
        <v>0</v>
      </c>
      <c r="AI2">
        <f>BDH("LTBR US Equity","IS_DEPR_EXP","1993-06-18","2026-05-02","Per=Y","Days=T","Dir=V")</f>
        <v>0</v>
      </c>
      <c r="AK2">
        <f>BDH("LTBR US Equity","CF_CASH_FROM_OPER","1993-06-18","2026-05-02","Per=Y","Days=T","Dir=V")</f>
        <v>0</v>
      </c>
      <c r="AM2">
        <f>BDH("LTBR US Equity","CAPITAL_EXPEND","1993-06-18","2026-05-02","Per=Y","Days=T","Dir=V")</f>
        <v>0</v>
      </c>
      <c r="AO2">
        <f>BDH("LTBR US Equity","CF_FREE_CASH_FLOW","1993-06-18","2026-05-02","Per=Y","Days=T","Dir=V")</f>
        <v>0</v>
      </c>
      <c r="AQ2">
        <f>BDH("LTBR US Equity","PX_LAST","1993-06-18","2026-05-02","Per=M","Days=T","Dir=V")</f>
        <v>0</v>
      </c>
      <c r="AS2">
        <f>BDH("LTBR US Equity","CUR_MKT_CAP","1993-06-18","2026-05-02","Per=M","Days=T","Dir=V")</f>
        <v>0</v>
      </c>
      <c r="AU2">
        <f>BDH("LTBR US Equity","EQY_SH_OUT","1993-06-18","2026-05-02","Per=M","Days=T","Dir=V")</f>
        <v>0</v>
      </c>
      <c r="AW2">
        <f>BDH("LTBR US Equity","PX_VOLUME","1993-06-18","2026-05-02","Per=M","Days=T","Dir=V")</f>
        <v>0</v>
      </c>
      <c r="AY2">
        <f>BDH("LTBR US Equity","TURNOVER","1993-06-18","2026-05-02","Per=M","Days=T","Dir=V")</f>
        <v>0</v>
      </c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BDH("LTGO US Equity","BS_TOT_ASSET","1993-06-18","2026-05-02","Per=Y","Days=T","Dir=V")</f>
        <v>0</v>
      </c>
      <c r="C2">
        <f>BDH("LTGO US Equity","BS_TOT_LIAB2","1993-06-18","2026-05-02","Per=Y","Days=T","Dir=V")</f>
        <v>0</v>
      </c>
      <c r="E2">
        <f>BDH("LTGO US Equity","SHORT_AND_LONG_TERM_DEBT","1993-06-18","2026-05-02","Per=Y","Days=T","Dir=V")</f>
        <v>0</v>
      </c>
      <c r="G2">
        <f>BDH("LTGO US Equity","BS_ST_BORROW","1993-06-18","2026-05-02","Per=Y","Days=T","Dir=V")</f>
        <v>0</v>
      </c>
      <c r="I2">
        <f>BDH("LTGO US Equity","BS_LT_BORROW","1993-06-18","2026-05-02","Per=Y","Days=T","Dir=V")</f>
        <v>0</v>
      </c>
      <c r="K2">
        <f>BDH("LTGO US Equity","BS_CASH_NEAR_CASH_ITEM","1993-06-18","2026-05-02","Per=Y","Days=T","Dir=V")</f>
        <v>0</v>
      </c>
      <c r="M2">
        <f>BDH("LTGO US Equity","BS_CUR_ASSET_REPORT","1993-06-18","2026-05-02","Per=Y","Days=T","Dir=V")</f>
        <v>0</v>
      </c>
      <c r="O2">
        <f>BDH("LTGO US Equity","BS_CUR_LIAB","1993-06-18","2026-05-02","Per=Y","Days=T","Dir=V")</f>
        <v>0</v>
      </c>
      <c r="Q2">
        <f>BDH("LTGO US Equity","BS_SHAREHOLDER_EQY_ENDING_PERIOD","1993-06-18","2026-05-02","Per=Y","Days=T","Dir=V")</f>
        <v>0</v>
      </c>
      <c r="S2">
        <f>BDH("LTGO US Equity","BS_ACCT_NOTE_RCV","1993-06-18","2026-05-02","Per=Y","Days=T","Dir=V")</f>
        <v>0</v>
      </c>
      <c r="U2">
        <f>BDH("LTGO US Equity","BS_INVENTORIES","1993-06-18","2026-05-02","Per=Y","Days=T","Dir=V")</f>
        <v>0</v>
      </c>
      <c r="W2">
        <f>BDH("LTGO US Equity","WORKING_CAPITAL","1993-06-18","2026-05-02","Per=Y","Days=T","Dir=V")</f>
        <v>0</v>
      </c>
      <c r="Y2">
        <f>BDH("LTGO US Equity","SALES_REV_TURN","1993-06-18","2026-05-02","Per=Y","Days=T","Dir=V")</f>
        <v>0</v>
      </c>
      <c r="AA2">
        <f>BDH("LTGO US Equity","EBIT","1993-06-18","2026-05-02","Per=Y","Days=T","Dir=V")</f>
        <v>0</v>
      </c>
      <c r="AC2">
        <f>BDH("LTGO US Equity","EBITDA","1993-06-18","2026-05-02","Per=Y","Days=T","Dir=V")</f>
        <v>0</v>
      </c>
      <c r="AE2">
        <f>BDH("LTGO US Equity","NET_INCOME","1993-06-18","2026-05-02","Per=Y","Days=T","Dir=V")</f>
        <v>0</v>
      </c>
      <c r="AG2">
        <f>BDH("LTGO US Equity","IS_INT_EXPENSE","1993-06-18","2026-05-02","Per=Y","Days=T","Dir=V")</f>
        <v>0</v>
      </c>
      <c r="AI2">
        <f>BDH("LTGO US Equity","IS_DEPR_EXP","1993-06-18","2026-05-02","Per=Y","Days=T","Dir=V")</f>
        <v>0</v>
      </c>
      <c r="AK2">
        <f>BDH("LTGO US Equity","CF_CASH_FROM_OPER","1993-06-18","2026-05-02","Per=Y","Days=T","Dir=V")</f>
        <v>0</v>
      </c>
      <c r="AM2">
        <f>BDH("LTGO US Equity","CAPITAL_EXPEND","1993-06-18","2026-05-02","Per=Y","Days=T","Dir=V")</f>
        <v>0</v>
      </c>
      <c r="AO2">
        <f>BDH("LTGO US Equity","CF_FREE_CASH_FLOW","1993-06-18","2026-05-02","Per=Y","Days=T","Dir=V")</f>
        <v>0</v>
      </c>
      <c r="AQ2">
        <f>BDH("LTGO US Equity","PX_LAST","1993-06-18","2026-05-02","Per=M","Days=T","Dir=V")</f>
        <v>0</v>
      </c>
      <c r="AS2">
        <f>BDH("LTGO US Equity","CUR_MKT_CAP","1993-06-18","2026-05-02","Per=M","Days=T","Dir=V")</f>
        <v>0</v>
      </c>
      <c r="AU2">
        <f>BDH("LTGO US Equity","EQY_SH_OUT","1993-06-18","2026-05-02","Per=M","Days=T","Dir=V")</f>
        <v>0</v>
      </c>
      <c r="AW2">
        <f>BDH("LTGO US Equity","PX_VOLUME","1993-06-18","2026-05-02","Per=M","Days=T","Dir=V")</f>
        <v>0</v>
      </c>
      <c r="AY2">
        <f>BDH("LTGO US Equity","TURNOVER","1993-06-18","2026-05-02","Per=M","Days=T","Dir=V")</f>
        <v>0</v>
      </c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BDH("LTH US Equity","BS_TOT_ASSET","1993-06-18","2026-05-02","Per=Y","Days=T","Dir=V")</f>
        <v>0</v>
      </c>
      <c r="C2">
        <f>BDH("LTH US Equity","BS_TOT_LIAB2","1993-06-18","2026-05-02","Per=Y","Days=T","Dir=V")</f>
        <v>0</v>
      </c>
      <c r="E2">
        <f>BDH("LTH US Equity","SHORT_AND_LONG_TERM_DEBT","1993-06-18","2026-05-02","Per=Y","Days=T","Dir=V")</f>
        <v>0</v>
      </c>
      <c r="G2">
        <f>BDH("LTH US Equity","BS_ST_BORROW","1993-06-18","2026-05-02","Per=Y","Days=T","Dir=V")</f>
        <v>0</v>
      </c>
      <c r="I2">
        <f>BDH("LTH US Equity","BS_LT_BORROW","1993-06-18","2026-05-02","Per=Y","Days=T","Dir=V")</f>
        <v>0</v>
      </c>
      <c r="K2">
        <f>BDH("LTH US Equity","BS_CASH_NEAR_CASH_ITEM","1993-06-18","2026-05-02","Per=Y","Days=T","Dir=V")</f>
        <v>0</v>
      </c>
      <c r="M2">
        <f>BDH("LTH US Equity","BS_CUR_ASSET_REPORT","1993-06-18","2026-05-02","Per=Y","Days=T","Dir=V")</f>
        <v>0</v>
      </c>
      <c r="O2">
        <f>BDH("LTH US Equity","BS_CUR_LIAB","1993-06-18","2026-05-02","Per=Y","Days=T","Dir=V")</f>
        <v>0</v>
      </c>
      <c r="Q2">
        <f>BDH("LTH US Equity","BS_SHAREHOLDER_EQY_ENDING_PERIOD","1993-06-18","2026-05-02","Per=Y","Days=T","Dir=V")</f>
        <v>0</v>
      </c>
      <c r="S2">
        <f>BDH("LTH US Equity","BS_ACCT_NOTE_RCV","1993-06-18","2026-05-02","Per=Y","Days=T","Dir=V")</f>
        <v>0</v>
      </c>
      <c r="U2">
        <f>BDH("LTH US Equity","BS_INVENTORIES","1993-06-18","2026-05-02","Per=Y","Days=T","Dir=V")</f>
        <v>0</v>
      </c>
      <c r="W2">
        <f>BDH("LTH US Equity","WORKING_CAPITAL","1993-06-18","2026-05-02","Per=Y","Days=T","Dir=V")</f>
        <v>0</v>
      </c>
      <c r="Y2">
        <f>BDH("LTH US Equity","SALES_REV_TURN","1993-06-18","2026-05-02","Per=Y","Days=T","Dir=V")</f>
        <v>0</v>
      </c>
      <c r="AA2">
        <f>BDH("LTH US Equity","EBIT","1993-06-18","2026-05-02","Per=Y","Days=T","Dir=V")</f>
        <v>0</v>
      </c>
      <c r="AC2">
        <f>BDH("LTH US Equity","EBITDA","1993-06-18","2026-05-02","Per=Y","Days=T","Dir=V")</f>
        <v>0</v>
      </c>
      <c r="AE2">
        <f>BDH("LTH US Equity","NET_INCOME","1993-06-18","2026-05-02","Per=Y","Days=T","Dir=V")</f>
        <v>0</v>
      </c>
      <c r="AG2">
        <f>BDH("LTH US Equity","IS_INT_EXPENSE","1993-06-18","2026-05-02","Per=Y","Days=T","Dir=V")</f>
        <v>0</v>
      </c>
      <c r="AI2">
        <f>BDH("LTH US Equity","IS_DEPR_EXP","1993-06-18","2026-05-02","Per=Y","Days=T","Dir=V")</f>
        <v>0</v>
      </c>
      <c r="AK2">
        <f>BDH("LTH US Equity","CF_CASH_FROM_OPER","1993-06-18","2026-05-02","Per=Y","Days=T","Dir=V")</f>
        <v>0</v>
      </c>
      <c r="AM2">
        <f>BDH("LTH US Equity","CAPITAL_EXPEND","1993-06-18","2026-05-02","Per=Y","Days=T","Dir=V")</f>
        <v>0</v>
      </c>
      <c r="AO2">
        <f>BDH("LTH US Equity","CF_FREE_CASH_FLOW","1993-06-18","2026-05-02","Per=Y","Days=T","Dir=V")</f>
        <v>0</v>
      </c>
      <c r="AQ2">
        <f>BDH("LTH US Equity","PX_LAST","1993-06-18","2026-05-02","Per=M","Days=T","Dir=V")</f>
        <v>0</v>
      </c>
      <c r="AS2">
        <f>BDH("LTH US Equity","CUR_MKT_CAP","1993-06-18","2026-05-02","Per=M","Days=T","Dir=V")</f>
        <v>0</v>
      </c>
      <c r="AU2">
        <f>BDH("LTH US Equity","EQY_SH_OUT","1993-06-18","2026-05-02","Per=M","Days=T","Dir=V")</f>
        <v>0</v>
      </c>
      <c r="AW2">
        <f>BDH("LTH US Equity","PX_VOLUME","1993-06-18","2026-05-02","Per=M","Days=T","Dir=V")</f>
        <v>0</v>
      </c>
      <c r="AY2">
        <f>BDH("LTH US Equity","TURNOVER","1993-06-18","2026-05-02","Per=M","Days=T","Dir=V")</f>
        <v>0</v>
      </c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BDH("LTRN US Equity","BS_TOT_ASSET","1993-06-18","2026-05-02","Per=Y","Days=T","Dir=V")</f>
        <v>0</v>
      </c>
      <c r="C2">
        <f>BDH("LTRN US Equity","BS_TOT_LIAB2","1993-06-18","2026-05-02","Per=Y","Days=T","Dir=V")</f>
        <v>0</v>
      </c>
      <c r="E2">
        <f>BDH("LTRN US Equity","SHORT_AND_LONG_TERM_DEBT","1993-06-18","2026-05-02","Per=Y","Days=T","Dir=V")</f>
        <v>0</v>
      </c>
      <c r="G2">
        <f>BDH("LTRN US Equity","BS_ST_BORROW","1993-06-18","2026-05-02","Per=Y","Days=T","Dir=V")</f>
        <v>0</v>
      </c>
      <c r="I2">
        <f>BDH("LTRN US Equity","BS_LT_BORROW","1993-06-18","2026-05-02","Per=Y","Days=T","Dir=V")</f>
        <v>0</v>
      </c>
      <c r="K2">
        <f>BDH("LTRN US Equity","BS_CASH_NEAR_CASH_ITEM","1993-06-18","2026-05-02","Per=Y","Days=T","Dir=V")</f>
        <v>0</v>
      </c>
      <c r="M2">
        <f>BDH("LTRN US Equity","BS_CUR_ASSET_REPORT","1993-06-18","2026-05-02","Per=Y","Days=T","Dir=V")</f>
        <v>0</v>
      </c>
      <c r="O2">
        <f>BDH("LTRN US Equity","BS_CUR_LIAB","1993-06-18","2026-05-02","Per=Y","Days=T","Dir=V")</f>
        <v>0</v>
      </c>
      <c r="Q2">
        <f>BDH("LTRN US Equity","BS_SHAREHOLDER_EQY_ENDING_PERIOD","1993-06-18","2026-05-02","Per=Y","Days=T","Dir=V")</f>
        <v>0</v>
      </c>
      <c r="S2">
        <f>BDH("LTRN US Equity","BS_ACCT_NOTE_RCV","1993-06-18","2026-05-02","Per=Y","Days=T","Dir=V")</f>
        <v>0</v>
      </c>
      <c r="U2">
        <f>BDH("LTRN US Equity","BS_INVENTORIES","1993-06-18","2026-05-02","Per=Y","Days=T","Dir=V")</f>
        <v>0</v>
      </c>
      <c r="W2">
        <f>BDH("LTRN US Equity","WORKING_CAPITAL","1993-06-18","2026-05-02","Per=Y","Days=T","Dir=V")</f>
        <v>0</v>
      </c>
      <c r="Y2">
        <f>BDH("LTRN US Equity","SALES_REV_TURN","1993-06-18","2026-05-02","Per=Y","Days=T","Dir=V")</f>
        <v>0</v>
      </c>
      <c r="AA2">
        <f>BDH("LTRN US Equity","EBIT","1993-06-18","2026-05-02","Per=Y","Days=T","Dir=V")</f>
        <v>0</v>
      </c>
      <c r="AC2">
        <f>BDH("LTRN US Equity","EBITDA","1993-06-18","2026-05-02","Per=Y","Days=T","Dir=V")</f>
        <v>0</v>
      </c>
      <c r="AE2">
        <f>BDH("LTRN US Equity","NET_INCOME","1993-06-18","2026-05-02","Per=Y","Days=T","Dir=V")</f>
        <v>0</v>
      </c>
      <c r="AG2">
        <f>BDH("LTRN US Equity","IS_INT_EXPENSE","1993-06-18","2026-05-02","Per=Y","Days=T","Dir=V")</f>
        <v>0</v>
      </c>
      <c r="AI2">
        <f>BDH("LTRN US Equity","IS_DEPR_EXP","1993-06-18","2026-05-02","Per=Y","Days=T","Dir=V")</f>
        <v>0</v>
      </c>
      <c r="AK2">
        <f>BDH("LTRN US Equity","CF_CASH_FROM_OPER","1993-06-18","2026-05-02","Per=Y","Days=T","Dir=V")</f>
        <v>0</v>
      </c>
      <c r="AM2">
        <f>BDH("LTRN US Equity","CAPITAL_EXPEND","1993-06-18","2026-05-02","Per=Y","Days=T","Dir=V")</f>
        <v>0</v>
      </c>
      <c r="AO2">
        <f>BDH("LTRN US Equity","CF_FREE_CASH_FLOW","1993-06-18","2026-05-02","Per=Y","Days=T","Dir=V")</f>
        <v>0</v>
      </c>
      <c r="AQ2">
        <f>BDH("LTRN US Equity","PX_LAST","1993-06-18","2026-05-02","Per=M","Days=T","Dir=V")</f>
        <v>0</v>
      </c>
      <c r="AS2">
        <f>BDH("LTRN US Equity","CUR_MKT_CAP","1993-06-18","2026-05-02","Per=M","Days=T","Dir=V")</f>
        <v>0</v>
      </c>
      <c r="AU2">
        <f>BDH("LTRN US Equity","EQY_SH_OUT","1993-06-18","2026-05-02","Per=M","Days=T","Dir=V")</f>
        <v>0</v>
      </c>
      <c r="AW2">
        <f>BDH("LTRN US Equity","PX_VOLUME","1993-06-18","2026-05-02","Per=M","Days=T","Dir=V")</f>
        <v>0</v>
      </c>
      <c r="AY2">
        <f>BDH("LTRN US Equity","TURNOVER","1993-06-18","2026-05-02","Per=M","Days=T","Dir=V")</f>
        <v>0</v>
      </c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BDH("LTRX US Equity","BS_TOT_ASSET","1993-06-18","2026-05-02","Per=Y","Days=T","Dir=V")</f>
        <v>0</v>
      </c>
      <c r="C2">
        <f>BDH("LTRX US Equity","BS_TOT_LIAB2","1993-06-18","2026-05-02","Per=Y","Days=T","Dir=V")</f>
        <v>0</v>
      </c>
      <c r="E2">
        <f>BDH("LTRX US Equity","SHORT_AND_LONG_TERM_DEBT","1993-06-18","2026-05-02","Per=Y","Days=T","Dir=V")</f>
        <v>0</v>
      </c>
      <c r="G2">
        <f>BDH("LTRX US Equity","BS_ST_BORROW","1993-06-18","2026-05-02","Per=Y","Days=T","Dir=V")</f>
        <v>0</v>
      </c>
      <c r="I2">
        <f>BDH("LTRX US Equity","BS_LT_BORROW","1993-06-18","2026-05-02","Per=Y","Days=T","Dir=V")</f>
        <v>0</v>
      </c>
      <c r="K2">
        <f>BDH("LTRX US Equity","BS_CASH_NEAR_CASH_ITEM","1993-06-18","2026-05-02","Per=Y","Days=T","Dir=V")</f>
        <v>0</v>
      </c>
      <c r="M2">
        <f>BDH("LTRX US Equity","BS_CUR_ASSET_REPORT","1993-06-18","2026-05-02","Per=Y","Days=T","Dir=V")</f>
        <v>0</v>
      </c>
      <c r="O2">
        <f>BDH("LTRX US Equity","BS_CUR_LIAB","1993-06-18","2026-05-02","Per=Y","Days=T","Dir=V")</f>
        <v>0</v>
      </c>
      <c r="Q2">
        <f>BDH("LTRX US Equity","BS_SHAREHOLDER_EQY_ENDING_PERIOD","1993-06-18","2026-05-02","Per=Y","Days=T","Dir=V")</f>
        <v>0</v>
      </c>
      <c r="S2">
        <f>BDH("LTRX US Equity","BS_ACCT_NOTE_RCV","1993-06-18","2026-05-02","Per=Y","Days=T","Dir=V")</f>
        <v>0</v>
      </c>
      <c r="U2">
        <f>BDH("LTRX US Equity","BS_INVENTORIES","1993-06-18","2026-05-02","Per=Y","Days=T","Dir=V")</f>
        <v>0</v>
      </c>
      <c r="W2">
        <f>BDH("LTRX US Equity","WORKING_CAPITAL","1993-06-18","2026-05-02","Per=Y","Days=T","Dir=V")</f>
        <v>0</v>
      </c>
      <c r="Y2">
        <f>BDH("LTRX US Equity","SALES_REV_TURN","1993-06-18","2026-05-02","Per=Y","Days=T","Dir=V")</f>
        <v>0</v>
      </c>
      <c r="AA2">
        <f>BDH("LTRX US Equity","EBIT","1993-06-18","2026-05-02","Per=Y","Days=T","Dir=V")</f>
        <v>0</v>
      </c>
      <c r="AC2">
        <f>BDH("LTRX US Equity","EBITDA","1993-06-18","2026-05-02","Per=Y","Days=T","Dir=V")</f>
        <v>0</v>
      </c>
      <c r="AE2">
        <f>BDH("LTRX US Equity","NET_INCOME","1993-06-18","2026-05-02","Per=Y","Days=T","Dir=V")</f>
        <v>0</v>
      </c>
      <c r="AG2">
        <f>BDH("LTRX US Equity","IS_INT_EXPENSE","1993-06-18","2026-05-02","Per=Y","Days=T","Dir=V")</f>
        <v>0</v>
      </c>
      <c r="AI2">
        <f>BDH("LTRX US Equity","IS_DEPR_EXP","1993-06-18","2026-05-02","Per=Y","Days=T","Dir=V")</f>
        <v>0</v>
      </c>
      <c r="AK2">
        <f>BDH("LTRX US Equity","CF_CASH_FROM_OPER","1993-06-18","2026-05-02","Per=Y","Days=T","Dir=V")</f>
        <v>0</v>
      </c>
      <c r="AM2">
        <f>BDH("LTRX US Equity","CAPITAL_EXPEND","1993-06-18","2026-05-02","Per=Y","Days=T","Dir=V")</f>
        <v>0</v>
      </c>
      <c r="AO2">
        <f>BDH("LTRX US Equity","CF_FREE_CASH_FLOW","1993-06-18","2026-05-02","Per=Y","Days=T","Dir=V")</f>
        <v>0</v>
      </c>
      <c r="AQ2">
        <f>BDH("LTRX US Equity","PX_LAST","1993-06-18","2026-05-02","Per=M","Days=T","Dir=V")</f>
        <v>0</v>
      </c>
      <c r="AS2">
        <f>BDH("LTRX US Equity","CUR_MKT_CAP","1993-06-18","2026-05-02","Per=M","Days=T","Dir=V")</f>
        <v>0</v>
      </c>
      <c r="AU2">
        <f>BDH("LTRX US Equity","EQY_SH_OUT","1993-06-18","2026-05-02","Per=M","Days=T","Dir=V")</f>
        <v>0</v>
      </c>
      <c r="AW2">
        <f>BDH("LTRX US Equity","PX_VOLUME","1993-06-18","2026-05-02","Per=M","Days=T","Dir=V")</f>
        <v>0</v>
      </c>
      <c r="AY2">
        <f>BDH("LTRX US Equity","TURNOVER","1993-06-18","2026-05-02","Per=M","Days=T","Dir=V")</f>
        <v>0</v>
      </c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BDH("LTRYW US Equity","BS_TOT_ASSET","1993-06-18","2026-05-02","Per=Y","Days=T","Dir=V")</f>
        <v>0</v>
      </c>
      <c r="C2">
        <f>BDH("LTRYW US Equity","BS_TOT_LIAB2","1993-06-18","2026-05-02","Per=Y","Days=T","Dir=V")</f>
        <v>0</v>
      </c>
      <c r="E2">
        <f>BDH("LTRYW US Equity","SHORT_AND_LONG_TERM_DEBT","1993-06-18","2026-05-02","Per=Y","Days=T","Dir=V")</f>
        <v>0</v>
      </c>
      <c r="G2">
        <f>BDH("LTRYW US Equity","BS_ST_BORROW","1993-06-18","2026-05-02","Per=Y","Days=T","Dir=V")</f>
        <v>0</v>
      </c>
      <c r="I2">
        <f>BDH("LTRYW US Equity","BS_LT_BORROW","1993-06-18","2026-05-02","Per=Y","Days=T","Dir=V")</f>
        <v>0</v>
      </c>
      <c r="K2">
        <f>BDH("LTRYW US Equity","BS_CASH_NEAR_CASH_ITEM","1993-06-18","2026-05-02","Per=Y","Days=T","Dir=V")</f>
        <v>0</v>
      </c>
      <c r="M2">
        <f>BDH("LTRYW US Equity","BS_CUR_ASSET_REPORT","1993-06-18","2026-05-02","Per=Y","Days=T","Dir=V")</f>
        <v>0</v>
      </c>
      <c r="O2">
        <f>BDH("LTRYW US Equity","BS_CUR_LIAB","1993-06-18","2026-05-02","Per=Y","Days=T","Dir=V")</f>
        <v>0</v>
      </c>
      <c r="Q2">
        <f>BDH("LTRYW US Equity","BS_SHAREHOLDER_EQY_ENDING_PERIOD","1993-06-18","2026-05-02","Per=Y","Days=T","Dir=V")</f>
        <v>0</v>
      </c>
      <c r="S2">
        <f>BDH("LTRYW US Equity","BS_ACCT_NOTE_RCV","1993-06-18","2026-05-02","Per=Y","Days=T","Dir=V")</f>
        <v>0</v>
      </c>
      <c r="U2">
        <f>BDH("LTRYW US Equity","BS_INVENTORIES","1993-06-18","2026-05-02","Per=Y","Days=T","Dir=V")</f>
        <v>0</v>
      </c>
      <c r="W2">
        <f>BDH("LTRYW US Equity","WORKING_CAPITAL","1993-06-18","2026-05-02","Per=Y","Days=T","Dir=V")</f>
        <v>0</v>
      </c>
      <c r="Y2">
        <f>BDH("LTRYW US Equity","SALES_REV_TURN","1993-06-18","2026-05-02","Per=Y","Days=T","Dir=V")</f>
        <v>0</v>
      </c>
      <c r="AA2">
        <f>BDH("LTRYW US Equity","EBIT","1993-06-18","2026-05-02","Per=Y","Days=T","Dir=V")</f>
        <v>0</v>
      </c>
      <c r="AC2">
        <f>BDH("LTRYW US Equity","EBITDA","1993-06-18","2026-05-02","Per=Y","Days=T","Dir=V")</f>
        <v>0</v>
      </c>
      <c r="AE2">
        <f>BDH("LTRYW US Equity","NET_INCOME","1993-06-18","2026-05-02","Per=Y","Days=T","Dir=V")</f>
        <v>0</v>
      </c>
      <c r="AG2">
        <f>BDH("LTRYW US Equity","IS_INT_EXPENSE","1993-06-18","2026-05-02","Per=Y","Days=T","Dir=V")</f>
        <v>0</v>
      </c>
      <c r="AI2">
        <f>BDH("LTRYW US Equity","IS_DEPR_EXP","1993-06-18","2026-05-02","Per=Y","Days=T","Dir=V")</f>
        <v>0</v>
      </c>
      <c r="AK2">
        <f>BDH("LTRYW US Equity","CF_CASH_FROM_OPER","1993-06-18","2026-05-02","Per=Y","Days=T","Dir=V")</f>
        <v>0</v>
      </c>
      <c r="AM2">
        <f>BDH("LTRYW US Equity","CAPITAL_EXPEND","1993-06-18","2026-05-02","Per=Y","Days=T","Dir=V")</f>
        <v>0</v>
      </c>
      <c r="AO2">
        <f>BDH("LTRYW US Equity","CF_FREE_CASH_FLOW","1993-06-18","2026-05-02","Per=Y","Days=T","Dir=V")</f>
        <v>0</v>
      </c>
      <c r="AQ2">
        <f>BDH("LTRYW US Equity","PX_LAST","1993-06-18","2026-05-02","Per=M","Days=T","Dir=V")</f>
        <v>0</v>
      </c>
      <c r="AS2">
        <f>BDH("LTRYW US Equity","CUR_MKT_CAP","1993-06-18","2026-05-02","Per=M","Days=T","Dir=V")</f>
        <v>0</v>
      </c>
      <c r="AU2">
        <f>BDH("LTRYW US Equity","EQY_SH_OUT","1993-06-18","2026-05-02","Per=M","Days=T","Dir=V")</f>
        <v>0</v>
      </c>
      <c r="AW2">
        <f>BDH("LTRYW US Equity","PX_VOLUME","1993-06-18","2026-05-02","Per=M","Days=T","Dir=V")</f>
        <v>0</v>
      </c>
      <c r="AY2">
        <f>BDH("LTRYW US Equity","TURNOVER","1993-06-18","2026-05-02","Per=M","Days=T","Dir=V")</f>
        <v>0</v>
      </c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BDH("LUCD US Equity","BS_TOT_ASSET","1993-06-18","2026-05-02","Per=Y","Days=T","Dir=V")</f>
        <v>0</v>
      </c>
      <c r="C2">
        <f>BDH("LUCD US Equity","BS_TOT_LIAB2","1993-06-18","2026-05-02","Per=Y","Days=T","Dir=V")</f>
        <v>0</v>
      </c>
      <c r="E2">
        <f>BDH("LUCD US Equity","SHORT_AND_LONG_TERM_DEBT","1993-06-18","2026-05-02","Per=Y","Days=T","Dir=V")</f>
        <v>0</v>
      </c>
      <c r="G2">
        <f>BDH("LUCD US Equity","BS_ST_BORROW","1993-06-18","2026-05-02","Per=Y","Days=T","Dir=V")</f>
        <v>0</v>
      </c>
      <c r="I2">
        <f>BDH("LUCD US Equity","BS_LT_BORROW","1993-06-18","2026-05-02","Per=Y","Days=T","Dir=V")</f>
        <v>0</v>
      </c>
      <c r="K2">
        <f>BDH("LUCD US Equity","BS_CASH_NEAR_CASH_ITEM","1993-06-18","2026-05-02","Per=Y","Days=T","Dir=V")</f>
        <v>0</v>
      </c>
      <c r="M2">
        <f>BDH("LUCD US Equity","BS_CUR_ASSET_REPORT","1993-06-18","2026-05-02","Per=Y","Days=T","Dir=V")</f>
        <v>0</v>
      </c>
      <c r="O2">
        <f>BDH("LUCD US Equity","BS_CUR_LIAB","1993-06-18","2026-05-02","Per=Y","Days=T","Dir=V")</f>
        <v>0</v>
      </c>
      <c r="Q2">
        <f>BDH("LUCD US Equity","BS_SHAREHOLDER_EQY_ENDING_PERIOD","1993-06-18","2026-05-02","Per=Y","Days=T","Dir=V")</f>
        <v>0</v>
      </c>
      <c r="S2">
        <f>BDH("LUCD US Equity","BS_ACCT_NOTE_RCV","1993-06-18","2026-05-02","Per=Y","Days=T","Dir=V")</f>
        <v>0</v>
      </c>
      <c r="U2">
        <f>BDH("LUCD US Equity","BS_INVENTORIES","1993-06-18","2026-05-02","Per=Y","Days=T","Dir=V")</f>
        <v>0</v>
      </c>
      <c r="W2">
        <f>BDH("LUCD US Equity","WORKING_CAPITAL","1993-06-18","2026-05-02","Per=Y","Days=T","Dir=V")</f>
        <v>0</v>
      </c>
      <c r="Y2">
        <f>BDH("LUCD US Equity","SALES_REV_TURN","1993-06-18","2026-05-02","Per=Y","Days=T","Dir=V")</f>
        <v>0</v>
      </c>
      <c r="AA2">
        <f>BDH("LUCD US Equity","EBIT","1993-06-18","2026-05-02","Per=Y","Days=T","Dir=V")</f>
        <v>0</v>
      </c>
      <c r="AC2">
        <f>BDH("LUCD US Equity","EBITDA","1993-06-18","2026-05-02","Per=Y","Days=T","Dir=V")</f>
        <v>0</v>
      </c>
      <c r="AE2">
        <f>BDH("LUCD US Equity","NET_INCOME","1993-06-18","2026-05-02","Per=Y","Days=T","Dir=V")</f>
        <v>0</v>
      </c>
      <c r="AG2">
        <f>BDH("LUCD US Equity","IS_INT_EXPENSE","1993-06-18","2026-05-02","Per=Y","Days=T","Dir=V")</f>
        <v>0</v>
      </c>
      <c r="AI2">
        <f>BDH("LUCD US Equity","IS_DEPR_EXP","1993-06-18","2026-05-02","Per=Y","Days=T","Dir=V")</f>
        <v>0</v>
      </c>
      <c r="AK2">
        <f>BDH("LUCD US Equity","CF_CASH_FROM_OPER","1993-06-18","2026-05-02","Per=Y","Days=T","Dir=V")</f>
        <v>0</v>
      </c>
      <c r="AM2">
        <f>BDH("LUCD US Equity","CAPITAL_EXPEND","1993-06-18","2026-05-02","Per=Y","Days=T","Dir=V")</f>
        <v>0</v>
      </c>
      <c r="AO2">
        <f>BDH("LUCD US Equity","CF_FREE_CASH_FLOW","1993-06-18","2026-05-02","Per=Y","Days=T","Dir=V")</f>
        <v>0</v>
      </c>
      <c r="AQ2">
        <f>BDH("LUCD US Equity","PX_LAST","1993-06-18","2026-05-02","Per=M","Days=T","Dir=V")</f>
        <v>0</v>
      </c>
      <c r="AS2">
        <f>BDH("LUCD US Equity","CUR_MKT_CAP","1993-06-18","2026-05-02","Per=M","Days=T","Dir=V")</f>
        <v>0</v>
      </c>
      <c r="AU2">
        <f>BDH("LUCD US Equity","EQY_SH_OUT","1993-06-18","2026-05-02","Per=M","Days=T","Dir=V")</f>
        <v>0</v>
      </c>
      <c r="AW2">
        <f>BDH("LUCD US Equity","PX_VOLUME","1993-06-18","2026-05-02","Per=M","Days=T","Dir=V")</f>
        <v>0</v>
      </c>
      <c r="AY2">
        <f>BDH("LUCD US Equity","TURNOVER","1993-06-18","2026-05-02","Per=M","Days=T","Dir=V")</f>
        <v>0</v>
      </c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BDH("LUCK US Equity","BS_TOT_ASSET","1993-06-18","2026-05-02","Per=Y","Days=T","Dir=V")</f>
        <v>0</v>
      </c>
      <c r="C2">
        <f>BDH("LUCK US Equity","BS_TOT_LIAB2","1993-06-18","2026-05-02","Per=Y","Days=T","Dir=V")</f>
        <v>0</v>
      </c>
      <c r="E2">
        <f>BDH("LUCK US Equity","SHORT_AND_LONG_TERM_DEBT","1993-06-18","2026-05-02","Per=Y","Days=T","Dir=V")</f>
        <v>0</v>
      </c>
      <c r="G2">
        <f>BDH("LUCK US Equity","BS_ST_BORROW","1993-06-18","2026-05-02","Per=Y","Days=T","Dir=V")</f>
        <v>0</v>
      </c>
      <c r="I2">
        <f>BDH("LUCK US Equity","BS_LT_BORROW","1993-06-18","2026-05-02","Per=Y","Days=T","Dir=V")</f>
        <v>0</v>
      </c>
      <c r="K2">
        <f>BDH("LUCK US Equity","BS_CASH_NEAR_CASH_ITEM","1993-06-18","2026-05-02","Per=Y","Days=T","Dir=V")</f>
        <v>0</v>
      </c>
      <c r="M2">
        <f>BDH("LUCK US Equity","BS_CUR_ASSET_REPORT","1993-06-18","2026-05-02","Per=Y","Days=T","Dir=V")</f>
        <v>0</v>
      </c>
      <c r="O2">
        <f>BDH("LUCK US Equity","BS_CUR_LIAB","1993-06-18","2026-05-02","Per=Y","Days=T","Dir=V")</f>
        <v>0</v>
      </c>
      <c r="Q2">
        <f>BDH("LUCK US Equity","BS_SHAREHOLDER_EQY_ENDING_PERIOD","1993-06-18","2026-05-02","Per=Y","Days=T","Dir=V")</f>
        <v>0</v>
      </c>
      <c r="S2">
        <f>BDH("LUCK US Equity","BS_ACCT_NOTE_RCV","1993-06-18","2026-05-02","Per=Y","Days=T","Dir=V")</f>
        <v>0</v>
      </c>
      <c r="U2">
        <f>BDH("LUCK US Equity","BS_INVENTORIES","1993-06-18","2026-05-02","Per=Y","Days=T","Dir=V")</f>
        <v>0</v>
      </c>
      <c r="W2">
        <f>BDH("LUCK US Equity","WORKING_CAPITAL","1993-06-18","2026-05-02","Per=Y","Days=T","Dir=V")</f>
        <v>0</v>
      </c>
      <c r="Y2">
        <f>BDH("LUCK US Equity","SALES_REV_TURN","1993-06-18","2026-05-02","Per=Y","Days=T","Dir=V")</f>
        <v>0</v>
      </c>
      <c r="AA2">
        <f>BDH("LUCK US Equity","EBIT","1993-06-18","2026-05-02","Per=Y","Days=T","Dir=V")</f>
        <v>0</v>
      </c>
      <c r="AC2">
        <f>BDH("LUCK US Equity","EBITDA","1993-06-18","2026-05-02","Per=Y","Days=T","Dir=V")</f>
        <v>0</v>
      </c>
      <c r="AE2">
        <f>BDH("LUCK US Equity","NET_INCOME","1993-06-18","2026-05-02","Per=Y","Days=T","Dir=V")</f>
        <v>0</v>
      </c>
      <c r="AG2">
        <f>BDH("LUCK US Equity","IS_INT_EXPENSE","1993-06-18","2026-05-02","Per=Y","Days=T","Dir=V")</f>
        <v>0</v>
      </c>
      <c r="AI2">
        <f>BDH("LUCK US Equity","IS_DEPR_EXP","1993-06-18","2026-05-02","Per=Y","Days=T","Dir=V")</f>
        <v>0</v>
      </c>
      <c r="AK2">
        <f>BDH("LUCK US Equity","CF_CASH_FROM_OPER","1993-06-18","2026-05-02","Per=Y","Days=T","Dir=V")</f>
        <v>0</v>
      </c>
      <c r="AM2">
        <f>BDH("LUCK US Equity","CAPITAL_EXPEND","1993-06-18","2026-05-02","Per=Y","Days=T","Dir=V")</f>
        <v>0</v>
      </c>
      <c r="AO2">
        <f>BDH("LUCK US Equity","CF_FREE_CASH_FLOW","1993-06-18","2026-05-02","Per=Y","Days=T","Dir=V")</f>
        <v>0</v>
      </c>
      <c r="AQ2">
        <f>BDH("LUCK US Equity","PX_LAST","1993-06-18","2026-05-02","Per=M","Days=T","Dir=V")</f>
        <v>0</v>
      </c>
      <c r="AS2">
        <f>BDH("LUCK US Equity","CUR_MKT_CAP","1993-06-18","2026-05-02","Per=M","Days=T","Dir=V")</f>
        <v>0</v>
      </c>
      <c r="AU2">
        <f>BDH("LUCK US Equity","EQY_SH_OUT","1993-06-18","2026-05-02","Per=M","Days=T","Dir=V")</f>
        <v>0</v>
      </c>
      <c r="AW2">
        <f>BDH("LUCK US Equity","PX_VOLUME","1993-06-18","2026-05-02","Per=M","Days=T","Dir=V")</f>
        <v>0</v>
      </c>
      <c r="AY2">
        <f>BDH("LUCK US Equity","TURNOVER","1993-06-18","2026-05-02","Per=M","Days=T","Dir=V")</f>
        <v>0</v>
      </c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BDH("LUCY US Equity","BS_TOT_ASSET","1993-06-18","2026-05-02","Per=Y","Days=T","Dir=V")</f>
        <v>0</v>
      </c>
      <c r="C2">
        <f>BDH("LUCY US Equity","BS_TOT_LIAB2","1993-06-18","2026-05-02","Per=Y","Days=T","Dir=V")</f>
        <v>0</v>
      </c>
      <c r="E2">
        <f>BDH("LUCY US Equity","SHORT_AND_LONG_TERM_DEBT","1993-06-18","2026-05-02","Per=Y","Days=T","Dir=V")</f>
        <v>0</v>
      </c>
      <c r="G2">
        <f>BDH("LUCY US Equity","BS_ST_BORROW","1993-06-18","2026-05-02","Per=Y","Days=T","Dir=V")</f>
        <v>0</v>
      </c>
      <c r="I2">
        <f>BDH("LUCY US Equity","BS_LT_BORROW","1993-06-18","2026-05-02","Per=Y","Days=T","Dir=V")</f>
        <v>0</v>
      </c>
      <c r="K2">
        <f>BDH("LUCY US Equity","BS_CASH_NEAR_CASH_ITEM","1993-06-18","2026-05-02","Per=Y","Days=T","Dir=V")</f>
        <v>0</v>
      </c>
      <c r="M2">
        <f>BDH("LUCY US Equity","BS_CUR_ASSET_REPORT","1993-06-18","2026-05-02","Per=Y","Days=T","Dir=V")</f>
        <v>0</v>
      </c>
      <c r="O2">
        <f>BDH("LUCY US Equity","BS_CUR_LIAB","1993-06-18","2026-05-02","Per=Y","Days=T","Dir=V")</f>
        <v>0</v>
      </c>
      <c r="Q2">
        <f>BDH("LUCY US Equity","BS_SHAREHOLDER_EQY_ENDING_PERIOD","1993-06-18","2026-05-02","Per=Y","Days=T","Dir=V")</f>
        <v>0</v>
      </c>
      <c r="S2">
        <f>BDH("LUCY US Equity","BS_ACCT_NOTE_RCV","1993-06-18","2026-05-02","Per=Y","Days=T","Dir=V")</f>
        <v>0</v>
      </c>
      <c r="U2">
        <f>BDH("LUCY US Equity","BS_INVENTORIES","1993-06-18","2026-05-02","Per=Y","Days=T","Dir=V")</f>
        <v>0</v>
      </c>
      <c r="W2">
        <f>BDH("LUCY US Equity","WORKING_CAPITAL","1993-06-18","2026-05-02","Per=Y","Days=T","Dir=V")</f>
        <v>0</v>
      </c>
      <c r="Y2">
        <f>BDH("LUCY US Equity","SALES_REV_TURN","1993-06-18","2026-05-02","Per=Y","Days=T","Dir=V")</f>
        <v>0</v>
      </c>
      <c r="AA2">
        <f>BDH("LUCY US Equity","EBIT","1993-06-18","2026-05-02","Per=Y","Days=T","Dir=V")</f>
        <v>0</v>
      </c>
      <c r="AC2">
        <f>BDH("LUCY US Equity","EBITDA","1993-06-18","2026-05-02","Per=Y","Days=T","Dir=V")</f>
        <v>0</v>
      </c>
      <c r="AE2">
        <f>BDH("LUCY US Equity","NET_INCOME","1993-06-18","2026-05-02","Per=Y","Days=T","Dir=V")</f>
        <v>0</v>
      </c>
      <c r="AG2">
        <f>BDH("LUCY US Equity","IS_INT_EXPENSE","1993-06-18","2026-05-02","Per=Y","Days=T","Dir=V")</f>
        <v>0</v>
      </c>
      <c r="AI2">
        <f>BDH("LUCY US Equity","IS_DEPR_EXP","1993-06-18","2026-05-02","Per=Y","Days=T","Dir=V")</f>
        <v>0</v>
      </c>
      <c r="AK2">
        <f>BDH("LUCY US Equity","CF_CASH_FROM_OPER","1993-06-18","2026-05-02","Per=Y","Days=T","Dir=V")</f>
        <v>0</v>
      </c>
      <c r="AM2">
        <f>BDH("LUCY US Equity","CAPITAL_EXPEND","1993-06-18","2026-05-02","Per=Y","Days=T","Dir=V")</f>
        <v>0</v>
      </c>
      <c r="AO2">
        <f>BDH("LUCY US Equity","CF_FREE_CASH_FLOW","1993-06-18","2026-05-02","Per=Y","Days=T","Dir=V")</f>
        <v>0</v>
      </c>
      <c r="AQ2">
        <f>BDH("LUCY US Equity","PX_LAST","1993-06-18","2026-05-02","Per=M","Days=T","Dir=V")</f>
        <v>0</v>
      </c>
      <c r="AS2">
        <f>BDH("LUCY US Equity","CUR_MKT_CAP","1993-06-18","2026-05-02","Per=M","Days=T","Dir=V")</f>
        <v>0</v>
      </c>
      <c r="AU2">
        <f>BDH("LUCY US Equity","EQY_SH_OUT","1993-06-18","2026-05-02","Per=M","Days=T","Dir=V")</f>
        <v>0</v>
      </c>
      <c r="AW2">
        <f>BDH("LUCY US Equity","PX_VOLUME","1993-06-18","2026-05-02","Per=M","Days=T","Dir=V")</f>
        <v>0</v>
      </c>
      <c r="AY2">
        <f>BDH("LUCY US Equity","TURNOVER","1993-06-18","2026-05-02","Per=M","Days=T","Dir=V")</f>
        <v>0</v>
      </c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BDH("LUCYW US Equity","BS_TOT_ASSET","1993-06-18","2026-05-02","Per=Y","Days=T","Dir=V")</f>
        <v>0</v>
      </c>
      <c r="C2">
        <f>BDH("LUCYW US Equity","BS_TOT_LIAB2","1993-06-18","2026-05-02","Per=Y","Days=T","Dir=V")</f>
        <v>0</v>
      </c>
      <c r="E2">
        <f>BDH("LUCYW US Equity","SHORT_AND_LONG_TERM_DEBT","1993-06-18","2026-05-02","Per=Y","Days=T","Dir=V")</f>
        <v>0</v>
      </c>
      <c r="G2">
        <f>BDH("LUCYW US Equity","BS_ST_BORROW","1993-06-18","2026-05-02","Per=Y","Days=T","Dir=V")</f>
        <v>0</v>
      </c>
      <c r="I2">
        <f>BDH("LUCYW US Equity","BS_LT_BORROW","1993-06-18","2026-05-02","Per=Y","Days=T","Dir=V")</f>
        <v>0</v>
      </c>
      <c r="K2">
        <f>BDH("LUCYW US Equity","BS_CASH_NEAR_CASH_ITEM","1993-06-18","2026-05-02","Per=Y","Days=T","Dir=V")</f>
        <v>0</v>
      </c>
      <c r="M2">
        <f>BDH("LUCYW US Equity","BS_CUR_ASSET_REPORT","1993-06-18","2026-05-02","Per=Y","Days=T","Dir=V")</f>
        <v>0</v>
      </c>
      <c r="O2">
        <f>BDH("LUCYW US Equity","BS_CUR_LIAB","1993-06-18","2026-05-02","Per=Y","Days=T","Dir=V")</f>
        <v>0</v>
      </c>
      <c r="Q2">
        <f>BDH("LUCYW US Equity","BS_SHAREHOLDER_EQY_ENDING_PERIOD","1993-06-18","2026-05-02","Per=Y","Days=T","Dir=V")</f>
        <v>0</v>
      </c>
      <c r="S2">
        <f>BDH("LUCYW US Equity","BS_ACCT_NOTE_RCV","1993-06-18","2026-05-02","Per=Y","Days=T","Dir=V")</f>
        <v>0</v>
      </c>
      <c r="U2">
        <f>BDH("LUCYW US Equity","BS_INVENTORIES","1993-06-18","2026-05-02","Per=Y","Days=T","Dir=V")</f>
        <v>0</v>
      </c>
      <c r="W2">
        <f>BDH("LUCYW US Equity","WORKING_CAPITAL","1993-06-18","2026-05-02","Per=Y","Days=T","Dir=V")</f>
        <v>0</v>
      </c>
      <c r="Y2">
        <f>BDH("LUCYW US Equity","SALES_REV_TURN","1993-06-18","2026-05-02","Per=Y","Days=T","Dir=V")</f>
        <v>0</v>
      </c>
      <c r="AA2">
        <f>BDH("LUCYW US Equity","EBIT","1993-06-18","2026-05-02","Per=Y","Days=T","Dir=V")</f>
        <v>0</v>
      </c>
      <c r="AC2">
        <f>BDH("LUCYW US Equity","EBITDA","1993-06-18","2026-05-02","Per=Y","Days=T","Dir=V")</f>
        <v>0</v>
      </c>
      <c r="AE2">
        <f>BDH("LUCYW US Equity","NET_INCOME","1993-06-18","2026-05-02","Per=Y","Days=T","Dir=V")</f>
        <v>0</v>
      </c>
      <c r="AG2">
        <f>BDH("LUCYW US Equity","IS_INT_EXPENSE","1993-06-18","2026-05-02","Per=Y","Days=T","Dir=V")</f>
        <v>0</v>
      </c>
      <c r="AI2">
        <f>BDH("LUCYW US Equity","IS_DEPR_EXP","1993-06-18","2026-05-02","Per=Y","Days=T","Dir=V")</f>
        <v>0</v>
      </c>
      <c r="AK2">
        <f>BDH("LUCYW US Equity","CF_CASH_FROM_OPER","1993-06-18","2026-05-02","Per=Y","Days=T","Dir=V")</f>
        <v>0</v>
      </c>
      <c r="AM2">
        <f>BDH("LUCYW US Equity","CAPITAL_EXPEND","1993-06-18","2026-05-02","Per=Y","Days=T","Dir=V")</f>
        <v>0</v>
      </c>
      <c r="AO2">
        <f>BDH("LUCYW US Equity","CF_FREE_CASH_FLOW","1993-06-18","2026-05-02","Per=Y","Days=T","Dir=V")</f>
        <v>0</v>
      </c>
      <c r="AQ2">
        <f>BDH("LUCYW US Equity","PX_LAST","1993-06-18","2026-05-02","Per=M","Days=T","Dir=V")</f>
        <v>0</v>
      </c>
      <c r="AS2">
        <f>BDH("LUCYW US Equity","CUR_MKT_CAP","1993-06-18","2026-05-02","Per=M","Days=T","Dir=V")</f>
        <v>0</v>
      </c>
      <c r="AU2">
        <f>BDH("LUCYW US Equity","EQY_SH_OUT","1993-06-18","2026-05-02","Per=M","Days=T","Dir=V")</f>
        <v>0</v>
      </c>
      <c r="AW2">
        <f>BDH("LUCYW US Equity","PX_VOLUME","1993-06-18","2026-05-02","Per=M","Days=T","Dir=V")</f>
        <v>0</v>
      </c>
      <c r="AY2">
        <f>BDH("LUCYW US Equity","TURNOVER","1993-06-18","2026-05-02","Per=M","Days=T","Dir=V")</f>
        <v>0</v>
      </c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BDH("LUMN US Equity","BS_TOT_ASSET","1993-06-18","2026-05-02","Per=Y","Days=T","Dir=V")</f>
        <v>0</v>
      </c>
      <c r="C2">
        <f>BDH("LUMN US Equity","BS_TOT_LIAB2","1993-06-18","2026-05-02","Per=Y","Days=T","Dir=V")</f>
        <v>0</v>
      </c>
      <c r="E2">
        <f>BDH("LUMN US Equity","SHORT_AND_LONG_TERM_DEBT","1993-06-18","2026-05-02","Per=Y","Days=T","Dir=V")</f>
        <v>0</v>
      </c>
      <c r="G2">
        <f>BDH("LUMN US Equity","BS_ST_BORROW","1993-06-18","2026-05-02","Per=Y","Days=T","Dir=V")</f>
        <v>0</v>
      </c>
      <c r="I2">
        <f>BDH("LUMN US Equity","BS_LT_BORROW","1993-06-18","2026-05-02","Per=Y","Days=T","Dir=V")</f>
        <v>0</v>
      </c>
      <c r="K2">
        <f>BDH("LUMN US Equity","BS_CASH_NEAR_CASH_ITEM","1993-06-18","2026-05-02","Per=Y","Days=T","Dir=V")</f>
        <v>0</v>
      </c>
      <c r="M2">
        <f>BDH("LUMN US Equity","BS_CUR_ASSET_REPORT","1993-06-18","2026-05-02","Per=Y","Days=T","Dir=V")</f>
        <v>0</v>
      </c>
      <c r="O2">
        <f>BDH("LUMN US Equity","BS_CUR_LIAB","1993-06-18","2026-05-02","Per=Y","Days=T","Dir=V")</f>
        <v>0</v>
      </c>
      <c r="Q2">
        <f>BDH("LUMN US Equity","BS_SHAREHOLDER_EQY_ENDING_PERIOD","1993-06-18","2026-05-02","Per=Y","Days=T","Dir=V")</f>
        <v>0</v>
      </c>
      <c r="S2">
        <f>BDH("LUMN US Equity","BS_ACCT_NOTE_RCV","1993-06-18","2026-05-02","Per=Y","Days=T","Dir=V")</f>
        <v>0</v>
      </c>
      <c r="U2">
        <f>BDH("LUMN US Equity","BS_INVENTORIES","1993-06-18","2026-05-02","Per=Y","Days=T","Dir=V")</f>
        <v>0</v>
      </c>
      <c r="W2">
        <f>BDH("LUMN US Equity","WORKING_CAPITAL","1993-06-18","2026-05-02","Per=Y","Days=T","Dir=V")</f>
        <v>0</v>
      </c>
      <c r="Y2">
        <f>BDH("LUMN US Equity","SALES_REV_TURN","1993-06-18","2026-05-02","Per=Y","Days=T","Dir=V")</f>
        <v>0</v>
      </c>
      <c r="AA2">
        <f>BDH("LUMN US Equity","EBIT","1993-06-18","2026-05-02","Per=Y","Days=T","Dir=V")</f>
        <v>0</v>
      </c>
      <c r="AC2">
        <f>BDH("LUMN US Equity","EBITDA","1993-06-18","2026-05-02","Per=Y","Days=T","Dir=V")</f>
        <v>0</v>
      </c>
      <c r="AE2">
        <f>BDH("LUMN US Equity","NET_INCOME","1993-06-18","2026-05-02","Per=Y","Days=T","Dir=V")</f>
        <v>0</v>
      </c>
      <c r="AG2">
        <f>BDH("LUMN US Equity","IS_INT_EXPENSE","1993-06-18","2026-05-02","Per=Y","Days=T","Dir=V")</f>
        <v>0</v>
      </c>
      <c r="AI2">
        <f>BDH("LUMN US Equity","IS_DEPR_EXP","1993-06-18","2026-05-02","Per=Y","Days=T","Dir=V")</f>
        <v>0</v>
      </c>
      <c r="AK2">
        <f>BDH("LUMN US Equity","CF_CASH_FROM_OPER","1993-06-18","2026-05-02","Per=Y","Days=T","Dir=V")</f>
        <v>0</v>
      </c>
      <c r="AM2">
        <f>BDH("LUMN US Equity","CAPITAL_EXPEND","1993-06-18","2026-05-02","Per=Y","Days=T","Dir=V")</f>
        <v>0</v>
      </c>
      <c r="AO2">
        <f>BDH("LUMN US Equity","CF_FREE_CASH_FLOW","1993-06-18","2026-05-02","Per=Y","Days=T","Dir=V")</f>
        <v>0</v>
      </c>
      <c r="AQ2">
        <f>BDH("LUMN US Equity","PX_LAST","1993-06-18","2026-05-02","Per=M","Days=T","Dir=V")</f>
        <v>0</v>
      </c>
      <c r="AS2">
        <f>BDH("LUMN US Equity","CUR_MKT_CAP","1993-06-18","2026-05-02","Per=M","Days=T","Dir=V")</f>
        <v>0</v>
      </c>
      <c r="AU2">
        <f>BDH("LUMN US Equity","EQY_SH_OUT","1993-06-18","2026-05-02","Per=M","Days=T","Dir=V")</f>
        <v>0</v>
      </c>
      <c r="AW2">
        <f>BDH("LUMN US Equity","PX_VOLUME","1993-06-18","2026-05-02","Per=M","Days=T","Dir=V")</f>
        <v>0</v>
      </c>
      <c r="AY2">
        <f>BDH("LUMN US Equity","TURNOVER","1993-06-18","2026-05-02","Per=M","Days=T","Dir=V")</f>
        <v>0</v>
      </c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BDH("LUNG US Equity","BS_TOT_ASSET","1993-06-18","2026-05-02","Per=Y","Days=T","Dir=V")</f>
        <v>0</v>
      </c>
      <c r="C2">
        <f>BDH("LUNG US Equity","BS_TOT_LIAB2","1993-06-18","2026-05-02","Per=Y","Days=T","Dir=V")</f>
        <v>0</v>
      </c>
      <c r="E2">
        <f>BDH("LUNG US Equity","SHORT_AND_LONG_TERM_DEBT","1993-06-18","2026-05-02","Per=Y","Days=T","Dir=V")</f>
        <v>0</v>
      </c>
      <c r="G2">
        <f>BDH("LUNG US Equity","BS_ST_BORROW","1993-06-18","2026-05-02","Per=Y","Days=T","Dir=V")</f>
        <v>0</v>
      </c>
      <c r="I2">
        <f>BDH("LUNG US Equity","BS_LT_BORROW","1993-06-18","2026-05-02","Per=Y","Days=T","Dir=V")</f>
        <v>0</v>
      </c>
      <c r="K2">
        <f>BDH("LUNG US Equity","BS_CASH_NEAR_CASH_ITEM","1993-06-18","2026-05-02","Per=Y","Days=T","Dir=V")</f>
        <v>0</v>
      </c>
      <c r="M2">
        <f>BDH("LUNG US Equity","BS_CUR_ASSET_REPORT","1993-06-18","2026-05-02","Per=Y","Days=T","Dir=V")</f>
        <v>0</v>
      </c>
      <c r="O2">
        <f>BDH("LUNG US Equity","BS_CUR_LIAB","1993-06-18","2026-05-02","Per=Y","Days=T","Dir=V")</f>
        <v>0</v>
      </c>
      <c r="Q2">
        <f>BDH("LUNG US Equity","BS_SHAREHOLDER_EQY_ENDING_PERIOD","1993-06-18","2026-05-02","Per=Y","Days=T","Dir=V")</f>
        <v>0</v>
      </c>
      <c r="S2">
        <f>BDH("LUNG US Equity","BS_ACCT_NOTE_RCV","1993-06-18","2026-05-02","Per=Y","Days=T","Dir=V")</f>
        <v>0</v>
      </c>
      <c r="U2">
        <f>BDH("LUNG US Equity","BS_INVENTORIES","1993-06-18","2026-05-02","Per=Y","Days=T","Dir=V")</f>
        <v>0</v>
      </c>
      <c r="W2">
        <f>BDH("LUNG US Equity","WORKING_CAPITAL","1993-06-18","2026-05-02","Per=Y","Days=T","Dir=V")</f>
        <v>0</v>
      </c>
      <c r="Y2">
        <f>BDH("LUNG US Equity","SALES_REV_TURN","1993-06-18","2026-05-02","Per=Y","Days=T","Dir=V")</f>
        <v>0</v>
      </c>
      <c r="AA2">
        <f>BDH("LUNG US Equity","EBIT","1993-06-18","2026-05-02","Per=Y","Days=T","Dir=V")</f>
        <v>0</v>
      </c>
      <c r="AC2">
        <f>BDH("LUNG US Equity","EBITDA","1993-06-18","2026-05-02","Per=Y","Days=T","Dir=V")</f>
        <v>0</v>
      </c>
      <c r="AE2">
        <f>BDH("LUNG US Equity","NET_INCOME","1993-06-18","2026-05-02","Per=Y","Days=T","Dir=V")</f>
        <v>0</v>
      </c>
      <c r="AG2">
        <f>BDH("LUNG US Equity","IS_INT_EXPENSE","1993-06-18","2026-05-02","Per=Y","Days=T","Dir=V")</f>
        <v>0</v>
      </c>
      <c r="AI2">
        <f>BDH("LUNG US Equity","IS_DEPR_EXP","1993-06-18","2026-05-02","Per=Y","Days=T","Dir=V")</f>
        <v>0</v>
      </c>
      <c r="AK2">
        <f>BDH("LUNG US Equity","CF_CASH_FROM_OPER","1993-06-18","2026-05-02","Per=Y","Days=T","Dir=V")</f>
        <v>0</v>
      </c>
      <c r="AM2">
        <f>BDH("LUNG US Equity","CAPITAL_EXPEND","1993-06-18","2026-05-02","Per=Y","Days=T","Dir=V")</f>
        <v>0</v>
      </c>
      <c r="AO2">
        <f>BDH("LUNG US Equity","CF_FREE_CASH_FLOW","1993-06-18","2026-05-02","Per=Y","Days=T","Dir=V")</f>
        <v>0</v>
      </c>
      <c r="AQ2">
        <f>BDH("LUNG US Equity","PX_LAST","1993-06-18","2026-05-02","Per=M","Days=T","Dir=V")</f>
        <v>0</v>
      </c>
      <c r="AS2">
        <f>BDH("LUNG US Equity","CUR_MKT_CAP","1993-06-18","2026-05-02","Per=M","Days=T","Dir=V")</f>
        <v>0</v>
      </c>
      <c r="AU2">
        <f>BDH("LUNG US Equity","EQY_SH_OUT","1993-06-18","2026-05-02","Per=M","Days=T","Dir=V")</f>
        <v>0</v>
      </c>
      <c r="AW2">
        <f>BDH("LUNG US Equity","PX_VOLUME","1993-06-18","2026-05-02","Per=M","Days=T","Dir=V")</f>
        <v>0</v>
      </c>
      <c r="AY2">
        <f>BDH("LUNG US Equity","TURNOVER","1993-06-18","2026-05-02","Per=M","Days=T","Dir=V")</f>
        <v>0</v>
      </c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BDH("LUNR US Equity","BS_TOT_ASSET","1993-06-18","2026-05-02","Per=Y","Days=T","Dir=V")</f>
        <v>0</v>
      </c>
      <c r="C2">
        <f>BDH("LUNR US Equity","BS_TOT_LIAB2","1993-06-18","2026-05-02","Per=Y","Days=T","Dir=V")</f>
        <v>0</v>
      </c>
      <c r="E2">
        <f>BDH("LUNR US Equity","SHORT_AND_LONG_TERM_DEBT","1993-06-18","2026-05-02","Per=Y","Days=T","Dir=V")</f>
        <v>0</v>
      </c>
      <c r="G2">
        <f>BDH("LUNR US Equity","BS_ST_BORROW","1993-06-18","2026-05-02","Per=Y","Days=T","Dir=V")</f>
        <v>0</v>
      </c>
      <c r="I2">
        <f>BDH("LUNR US Equity","BS_LT_BORROW","1993-06-18","2026-05-02","Per=Y","Days=T","Dir=V")</f>
        <v>0</v>
      </c>
      <c r="K2">
        <f>BDH("LUNR US Equity","BS_CASH_NEAR_CASH_ITEM","1993-06-18","2026-05-02","Per=Y","Days=T","Dir=V")</f>
        <v>0</v>
      </c>
      <c r="M2">
        <f>BDH("LUNR US Equity","BS_CUR_ASSET_REPORT","1993-06-18","2026-05-02","Per=Y","Days=T","Dir=V")</f>
        <v>0</v>
      </c>
      <c r="O2">
        <f>BDH("LUNR US Equity","BS_CUR_LIAB","1993-06-18","2026-05-02","Per=Y","Days=T","Dir=V")</f>
        <v>0</v>
      </c>
      <c r="Q2">
        <f>BDH("LUNR US Equity","BS_SHAREHOLDER_EQY_ENDING_PERIOD","1993-06-18","2026-05-02","Per=Y","Days=T","Dir=V")</f>
        <v>0</v>
      </c>
      <c r="S2">
        <f>BDH("LUNR US Equity","BS_ACCT_NOTE_RCV","1993-06-18","2026-05-02","Per=Y","Days=T","Dir=V")</f>
        <v>0</v>
      </c>
      <c r="U2">
        <f>BDH("LUNR US Equity","BS_INVENTORIES","1993-06-18","2026-05-02","Per=Y","Days=T","Dir=V")</f>
        <v>0</v>
      </c>
      <c r="W2">
        <f>BDH("LUNR US Equity","WORKING_CAPITAL","1993-06-18","2026-05-02","Per=Y","Days=T","Dir=V")</f>
        <v>0</v>
      </c>
      <c r="Y2">
        <f>BDH("LUNR US Equity","SALES_REV_TURN","1993-06-18","2026-05-02","Per=Y","Days=T","Dir=V")</f>
        <v>0</v>
      </c>
      <c r="AA2">
        <f>BDH("LUNR US Equity","EBIT","1993-06-18","2026-05-02","Per=Y","Days=T","Dir=V")</f>
        <v>0</v>
      </c>
      <c r="AC2">
        <f>BDH("LUNR US Equity","EBITDA","1993-06-18","2026-05-02","Per=Y","Days=T","Dir=V")</f>
        <v>0</v>
      </c>
      <c r="AE2">
        <f>BDH("LUNR US Equity","NET_INCOME","1993-06-18","2026-05-02","Per=Y","Days=T","Dir=V")</f>
        <v>0</v>
      </c>
      <c r="AG2">
        <f>BDH("LUNR US Equity","IS_INT_EXPENSE","1993-06-18","2026-05-02","Per=Y","Days=T","Dir=V")</f>
        <v>0</v>
      </c>
      <c r="AI2">
        <f>BDH("LUNR US Equity","IS_DEPR_EXP","1993-06-18","2026-05-02","Per=Y","Days=T","Dir=V")</f>
        <v>0</v>
      </c>
      <c r="AK2">
        <f>BDH("LUNR US Equity","CF_CASH_FROM_OPER","1993-06-18","2026-05-02","Per=Y","Days=T","Dir=V")</f>
        <v>0</v>
      </c>
      <c r="AM2">
        <f>BDH("LUNR US Equity","CAPITAL_EXPEND","1993-06-18","2026-05-02","Per=Y","Days=T","Dir=V")</f>
        <v>0</v>
      </c>
      <c r="AO2">
        <f>BDH("LUNR US Equity","CF_FREE_CASH_FLOW","1993-06-18","2026-05-02","Per=Y","Days=T","Dir=V")</f>
        <v>0</v>
      </c>
      <c r="AQ2">
        <f>BDH("LUNR US Equity","PX_LAST","1993-06-18","2026-05-02","Per=M","Days=T","Dir=V")</f>
        <v>0</v>
      </c>
      <c r="AS2">
        <f>BDH("LUNR US Equity","CUR_MKT_CAP","1993-06-18","2026-05-02","Per=M","Days=T","Dir=V")</f>
        <v>0</v>
      </c>
      <c r="AU2">
        <f>BDH("LUNR US Equity","EQY_SH_OUT","1993-06-18","2026-05-02","Per=M","Days=T","Dir=V")</f>
        <v>0</v>
      </c>
      <c r="AW2">
        <f>BDH("LUNR US Equity","PX_VOLUME","1993-06-18","2026-05-02","Per=M","Days=T","Dir=V")</f>
        <v>0</v>
      </c>
      <c r="AY2">
        <f>BDH("LUNR US Equity","TURNOVER","1993-06-18","2026-05-02","Per=M","Days=T","Dir=V")</f>
        <v>0</v>
      </c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BDH("LUV US Equity","BS_TOT_ASSET","1993-06-18","2026-05-02","Per=Y","Days=T","Dir=V")</f>
        <v>0</v>
      </c>
      <c r="C2">
        <f>BDH("LUV US Equity","BS_TOT_LIAB2","1993-06-18","2026-05-02","Per=Y","Days=T","Dir=V")</f>
        <v>0</v>
      </c>
      <c r="E2">
        <f>BDH("LUV US Equity","SHORT_AND_LONG_TERM_DEBT","1993-06-18","2026-05-02","Per=Y","Days=T","Dir=V")</f>
        <v>0</v>
      </c>
      <c r="G2">
        <f>BDH("LUV US Equity","BS_ST_BORROW","1993-06-18","2026-05-02","Per=Y","Days=T","Dir=V")</f>
        <v>0</v>
      </c>
      <c r="I2">
        <f>BDH("LUV US Equity","BS_LT_BORROW","1993-06-18","2026-05-02","Per=Y","Days=T","Dir=V")</f>
        <v>0</v>
      </c>
      <c r="K2">
        <f>BDH("LUV US Equity","BS_CASH_NEAR_CASH_ITEM","1993-06-18","2026-05-02","Per=Y","Days=T","Dir=V")</f>
        <v>0</v>
      </c>
      <c r="M2">
        <f>BDH("LUV US Equity","BS_CUR_ASSET_REPORT","1993-06-18","2026-05-02","Per=Y","Days=T","Dir=V")</f>
        <v>0</v>
      </c>
      <c r="O2">
        <f>BDH("LUV US Equity","BS_CUR_LIAB","1993-06-18","2026-05-02","Per=Y","Days=T","Dir=V")</f>
        <v>0</v>
      </c>
      <c r="Q2">
        <f>BDH("LUV US Equity","BS_SHAREHOLDER_EQY_ENDING_PERIOD","1993-06-18","2026-05-02","Per=Y","Days=T","Dir=V")</f>
        <v>0</v>
      </c>
      <c r="S2">
        <f>BDH("LUV US Equity","BS_ACCT_NOTE_RCV","1993-06-18","2026-05-02","Per=Y","Days=T","Dir=V")</f>
        <v>0</v>
      </c>
      <c r="U2">
        <f>BDH("LUV US Equity","BS_INVENTORIES","1993-06-18","2026-05-02","Per=Y","Days=T","Dir=V")</f>
        <v>0</v>
      </c>
      <c r="W2">
        <f>BDH("LUV US Equity","WORKING_CAPITAL","1993-06-18","2026-05-02","Per=Y","Days=T","Dir=V")</f>
        <v>0</v>
      </c>
      <c r="Y2">
        <f>BDH("LUV US Equity","SALES_REV_TURN","1993-06-18","2026-05-02","Per=Y","Days=T","Dir=V")</f>
        <v>0</v>
      </c>
      <c r="AA2">
        <f>BDH("LUV US Equity","EBIT","1993-06-18","2026-05-02","Per=Y","Days=T","Dir=V")</f>
        <v>0</v>
      </c>
      <c r="AC2">
        <f>BDH("LUV US Equity","EBITDA","1993-06-18","2026-05-02","Per=Y","Days=T","Dir=V")</f>
        <v>0</v>
      </c>
      <c r="AE2">
        <f>BDH("LUV US Equity","NET_INCOME","1993-06-18","2026-05-02","Per=Y","Days=T","Dir=V")</f>
        <v>0</v>
      </c>
      <c r="AG2">
        <f>BDH("LUV US Equity","IS_INT_EXPENSE","1993-06-18","2026-05-02","Per=Y","Days=T","Dir=V")</f>
        <v>0</v>
      </c>
      <c r="AI2">
        <f>BDH("LUV US Equity","IS_DEPR_EXP","1993-06-18","2026-05-02","Per=Y","Days=T","Dir=V")</f>
        <v>0</v>
      </c>
      <c r="AK2">
        <f>BDH("LUV US Equity","CF_CASH_FROM_OPER","1993-06-18","2026-05-02","Per=Y","Days=T","Dir=V")</f>
        <v>0</v>
      </c>
      <c r="AM2">
        <f>BDH("LUV US Equity","CAPITAL_EXPEND","1993-06-18","2026-05-02","Per=Y","Days=T","Dir=V")</f>
        <v>0</v>
      </c>
      <c r="AO2">
        <f>BDH("LUV US Equity","CF_FREE_CASH_FLOW","1993-06-18","2026-05-02","Per=Y","Days=T","Dir=V")</f>
        <v>0</v>
      </c>
      <c r="AQ2">
        <f>BDH("LUV US Equity","PX_LAST","1993-06-18","2026-05-02","Per=M","Days=T","Dir=V")</f>
        <v>0</v>
      </c>
      <c r="AS2">
        <f>BDH("LUV US Equity","CUR_MKT_CAP","1993-06-18","2026-05-02","Per=M","Days=T","Dir=V")</f>
        <v>0</v>
      </c>
      <c r="AU2">
        <f>BDH("LUV US Equity","EQY_SH_OUT","1993-06-18","2026-05-02","Per=M","Days=T","Dir=V")</f>
        <v>0</v>
      </c>
      <c r="AW2">
        <f>BDH("LUV US Equity","PX_VOLUME","1993-06-18","2026-05-02","Per=M","Days=T","Dir=V")</f>
        <v>0</v>
      </c>
      <c r="AY2">
        <f>BDH("LUV US Equity","TURNOVER","1993-06-18","2026-05-02","Per=M","Days=T","Dir=V")</f>
        <v>0</v>
      </c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BDH("LVLU US Equity","BS_TOT_ASSET","1993-06-18","2026-05-02","Per=Y","Days=T","Dir=V")</f>
        <v>0</v>
      </c>
      <c r="C2">
        <f>BDH("LVLU US Equity","BS_TOT_LIAB2","1993-06-18","2026-05-02","Per=Y","Days=T","Dir=V")</f>
        <v>0</v>
      </c>
      <c r="E2">
        <f>BDH("LVLU US Equity","SHORT_AND_LONG_TERM_DEBT","1993-06-18","2026-05-02","Per=Y","Days=T","Dir=V")</f>
        <v>0</v>
      </c>
      <c r="G2">
        <f>BDH("LVLU US Equity","BS_ST_BORROW","1993-06-18","2026-05-02","Per=Y","Days=T","Dir=V")</f>
        <v>0</v>
      </c>
      <c r="I2">
        <f>BDH("LVLU US Equity","BS_LT_BORROW","1993-06-18","2026-05-02","Per=Y","Days=T","Dir=V")</f>
        <v>0</v>
      </c>
      <c r="K2">
        <f>BDH("LVLU US Equity","BS_CASH_NEAR_CASH_ITEM","1993-06-18","2026-05-02","Per=Y","Days=T","Dir=V")</f>
        <v>0</v>
      </c>
      <c r="M2">
        <f>BDH("LVLU US Equity","BS_CUR_ASSET_REPORT","1993-06-18","2026-05-02","Per=Y","Days=T","Dir=V")</f>
        <v>0</v>
      </c>
      <c r="O2">
        <f>BDH("LVLU US Equity","BS_CUR_LIAB","1993-06-18","2026-05-02","Per=Y","Days=T","Dir=V")</f>
        <v>0</v>
      </c>
      <c r="Q2">
        <f>BDH("LVLU US Equity","BS_SHAREHOLDER_EQY_ENDING_PERIOD","1993-06-18","2026-05-02","Per=Y","Days=T","Dir=V")</f>
        <v>0</v>
      </c>
      <c r="S2">
        <f>BDH("LVLU US Equity","BS_ACCT_NOTE_RCV","1993-06-18","2026-05-02","Per=Y","Days=T","Dir=V")</f>
        <v>0</v>
      </c>
      <c r="U2">
        <f>BDH("LVLU US Equity","BS_INVENTORIES","1993-06-18","2026-05-02","Per=Y","Days=T","Dir=V")</f>
        <v>0</v>
      </c>
      <c r="W2">
        <f>BDH("LVLU US Equity","WORKING_CAPITAL","1993-06-18","2026-05-02","Per=Y","Days=T","Dir=V")</f>
        <v>0</v>
      </c>
      <c r="Y2">
        <f>BDH("LVLU US Equity","SALES_REV_TURN","1993-06-18","2026-05-02","Per=Y","Days=T","Dir=V")</f>
        <v>0</v>
      </c>
      <c r="AA2">
        <f>BDH("LVLU US Equity","EBIT","1993-06-18","2026-05-02","Per=Y","Days=T","Dir=V")</f>
        <v>0</v>
      </c>
      <c r="AC2">
        <f>BDH("LVLU US Equity","EBITDA","1993-06-18","2026-05-02","Per=Y","Days=T","Dir=V")</f>
        <v>0</v>
      </c>
      <c r="AE2">
        <f>BDH("LVLU US Equity","NET_INCOME","1993-06-18","2026-05-02","Per=Y","Days=T","Dir=V")</f>
        <v>0</v>
      </c>
      <c r="AG2">
        <f>BDH("LVLU US Equity","IS_INT_EXPENSE","1993-06-18","2026-05-02","Per=Y","Days=T","Dir=V")</f>
        <v>0</v>
      </c>
      <c r="AI2">
        <f>BDH("LVLU US Equity","IS_DEPR_EXP","1993-06-18","2026-05-02","Per=Y","Days=T","Dir=V")</f>
        <v>0</v>
      </c>
      <c r="AK2">
        <f>BDH("LVLU US Equity","CF_CASH_FROM_OPER","1993-06-18","2026-05-02","Per=Y","Days=T","Dir=V")</f>
        <v>0</v>
      </c>
      <c r="AM2">
        <f>BDH("LVLU US Equity","CAPITAL_EXPEND","1993-06-18","2026-05-02","Per=Y","Days=T","Dir=V")</f>
        <v>0</v>
      </c>
      <c r="AO2">
        <f>BDH("LVLU US Equity","CF_FREE_CASH_FLOW","1993-06-18","2026-05-02","Per=Y","Days=T","Dir=V")</f>
        <v>0</v>
      </c>
      <c r="AQ2">
        <f>BDH("LVLU US Equity","PX_LAST","1993-06-18","2026-05-02","Per=M","Days=T","Dir=V")</f>
        <v>0</v>
      </c>
      <c r="AS2">
        <f>BDH("LVLU US Equity","CUR_MKT_CAP","1993-06-18","2026-05-02","Per=M","Days=T","Dir=V")</f>
        <v>0</v>
      </c>
      <c r="AU2">
        <f>BDH("LVLU US Equity","EQY_SH_OUT","1993-06-18","2026-05-02","Per=M","Days=T","Dir=V")</f>
        <v>0</v>
      </c>
      <c r="AW2">
        <f>BDH("LVLU US Equity","PX_VOLUME","1993-06-18","2026-05-02","Per=M","Days=T","Dir=V")</f>
        <v>0</v>
      </c>
      <c r="AY2">
        <f>BDH("LVLU US Equity","TURNOVER","1993-06-18","2026-05-02","Per=M","Days=T","Dir=V")</f>
        <v>0</v>
      </c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BDH("LVO US Equity","BS_TOT_ASSET","1993-06-18","2026-05-02","Per=Y","Days=T","Dir=V")</f>
        <v>0</v>
      </c>
      <c r="C2">
        <f>BDH("LVO US Equity","BS_TOT_LIAB2","1993-06-18","2026-05-02","Per=Y","Days=T","Dir=V")</f>
        <v>0</v>
      </c>
      <c r="E2">
        <f>BDH("LVO US Equity","SHORT_AND_LONG_TERM_DEBT","1993-06-18","2026-05-02","Per=Y","Days=T","Dir=V")</f>
        <v>0</v>
      </c>
      <c r="G2">
        <f>BDH("LVO US Equity","BS_ST_BORROW","1993-06-18","2026-05-02","Per=Y","Days=T","Dir=V")</f>
        <v>0</v>
      </c>
      <c r="I2">
        <f>BDH("LVO US Equity","BS_LT_BORROW","1993-06-18","2026-05-02","Per=Y","Days=T","Dir=V")</f>
        <v>0</v>
      </c>
      <c r="K2">
        <f>BDH("LVO US Equity","BS_CASH_NEAR_CASH_ITEM","1993-06-18","2026-05-02","Per=Y","Days=T","Dir=V")</f>
        <v>0</v>
      </c>
      <c r="M2">
        <f>BDH("LVO US Equity","BS_CUR_ASSET_REPORT","1993-06-18","2026-05-02","Per=Y","Days=T","Dir=V")</f>
        <v>0</v>
      </c>
      <c r="O2">
        <f>BDH("LVO US Equity","BS_CUR_LIAB","1993-06-18","2026-05-02","Per=Y","Days=T","Dir=V")</f>
        <v>0</v>
      </c>
      <c r="Q2">
        <f>BDH("LVO US Equity","BS_SHAREHOLDER_EQY_ENDING_PERIOD","1993-06-18","2026-05-02","Per=Y","Days=T","Dir=V")</f>
        <v>0</v>
      </c>
      <c r="S2">
        <f>BDH("LVO US Equity","BS_ACCT_NOTE_RCV","1993-06-18","2026-05-02","Per=Y","Days=T","Dir=V")</f>
        <v>0</v>
      </c>
      <c r="U2">
        <f>BDH("LVO US Equity","BS_INVENTORIES","1993-06-18","2026-05-02","Per=Y","Days=T","Dir=V")</f>
        <v>0</v>
      </c>
      <c r="W2">
        <f>BDH("LVO US Equity","WORKING_CAPITAL","1993-06-18","2026-05-02","Per=Y","Days=T","Dir=V")</f>
        <v>0</v>
      </c>
      <c r="Y2">
        <f>BDH("LVO US Equity","SALES_REV_TURN","1993-06-18","2026-05-02","Per=Y","Days=T","Dir=V")</f>
        <v>0</v>
      </c>
      <c r="AA2">
        <f>BDH("LVO US Equity","EBIT","1993-06-18","2026-05-02","Per=Y","Days=T","Dir=V")</f>
        <v>0</v>
      </c>
      <c r="AC2">
        <f>BDH("LVO US Equity","EBITDA","1993-06-18","2026-05-02","Per=Y","Days=T","Dir=V")</f>
        <v>0</v>
      </c>
      <c r="AE2">
        <f>BDH("LVO US Equity","NET_INCOME","1993-06-18","2026-05-02","Per=Y","Days=T","Dir=V")</f>
        <v>0</v>
      </c>
      <c r="AG2">
        <f>BDH("LVO US Equity","IS_INT_EXPENSE","1993-06-18","2026-05-02","Per=Y","Days=T","Dir=V")</f>
        <v>0</v>
      </c>
      <c r="AI2">
        <f>BDH("LVO US Equity","IS_DEPR_EXP","1993-06-18","2026-05-02","Per=Y","Days=T","Dir=V")</f>
        <v>0</v>
      </c>
      <c r="AK2">
        <f>BDH("LVO US Equity","CF_CASH_FROM_OPER","1993-06-18","2026-05-02","Per=Y","Days=T","Dir=V")</f>
        <v>0</v>
      </c>
      <c r="AM2">
        <f>BDH("LVO US Equity","CAPITAL_EXPEND","1993-06-18","2026-05-02","Per=Y","Days=T","Dir=V")</f>
        <v>0</v>
      </c>
      <c r="AO2">
        <f>BDH("LVO US Equity","CF_FREE_CASH_FLOW","1993-06-18","2026-05-02","Per=Y","Days=T","Dir=V")</f>
        <v>0</v>
      </c>
      <c r="AQ2">
        <f>BDH("LVO US Equity","PX_LAST","1993-06-18","2026-05-02","Per=M","Days=T","Dir=V")</f>
        <v>0</v>
      </c>
      <c r="AS2">
        <f>BDH("LVO US Equity","CUR_MKT_CAP","1993-06-18","2026-05-02","Per=M","Days=T","Dir=V")</f>
        <v>0</v>
      </c>
      <c r="AU2">
        <f>BDH("LVO US Equity","EQY_SH_OUT","1993-06-18","2026-05-02","Per=M","Days=T","Dir=V")</f>
        <v>0</v>
      </c>
      <c r="AW2">
        <f>BDH("LVO US Equity","PX_VOLUME","1993-06-18","2026-05-02","Per=M","Days=T","Dir=V")</f>
        <v>0</v>
      </c>
      <c r="AY2">
        <f>BDH("LVO US Equity","TURNOVER","1993-06-18","2026-05-02","Per=M","Days=T","Dir=V")</f>
        <v>0</v>
      </c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BDH("LVS US Equity","BS_TOT_ASSET","1993-06-18","2026-05-02","Per=Y","Days=T","Dir=V")</f>
        <v>0</v>
      </c>
      <c r="C2">
        <f>BDH("LVS US Equity","BS_TOT_LIAB2","1993-06-18","2026-05-02","Per=Y","Days=T","Dir=V")</f>
        <v>0</v>
      </c>
      <c r="E2">
        <f>BDH("LVS US Equity","SHORT_AND_LONG_TERM_DEBT","1993-06-18","2026-05-02","Per=Y","Days=T","Dir=V")</f>
        <v>0</v>
      </c>
      <c r="G2">
        <f>BDH("LVS US Equity","BS_ST_BORROW","1993-06-18","2026-05-02","Per=Y","Days=T","Dir=V")</f>
        <v>0</v>
      </c>
      <c r="I2">
        <f>BDH("LVS US Equity","BS_LT_BORROW","1993-06-18","2026-05-02","Per=Y","Days=T","Dir=V")</f>
        <v>0</v>
      </c>
      <c r="K2">
        <f>BDH("LVS US Equity","BS_CASH_NEAR_CASH_ITEM","1993-06-18","2026-05-02","Per=Y","Days=T","Dir=V")</f>
        <v>0</v>
      </c>
      <c r="M2">
        <f>BDH("LVS US Equity","BS_CUR_ASSET_REPORT","1993-06-18","2026-05-02","Per=Y","Days=T","Dir=V")</f>
        <v>0</v>
      </c>
      <c r="O2">
        <f>BDH("LVS US Equity","BS_CUR_LIAB","1993-06-18","2026-05-02","Per=Y","Days=T","Dir=V")</f>
        <v>0</v>
      </c>
      <c r="Q2">
        <f>BDH("LVS US Equity","BS_SHAREHOLDER_EQY_ENDING_PERIOD","1993-06-18","2026-05-02","Per=Y","Days=T","Dir=V")</f>
        <v>0</v>
      </c>
      <c r="S2">
        <f>BDH("LVS US Equity","BS_ACCT_NOTE_RCV","1993-06-18","2026-05-02","Per=Y","Days=T","Dir=V")</f>
        <v>0</v>
      </c>
      <c r="U2">
        <f>BDH("LVS US Equity","BS_INVENTORIES","1993-06-18","2026-05-02","Per=Y","Days=T","Dir=V")</f>
        <v>0</v>
      </c>
      <c r="W2">
        <f>BDH("LVS US Equity","WORKING_CAPITAL","1993-06-18","2026-05-02","Per=Y","Days=T","Dir=V")</f>
        <v>0</v>
      </c>
      <c r="Y2">
        <f>BDH("LVS US Equity","SALES_REV_TURN","1993-06-18","2026-05-02","Per=Y","Days=T","Dir=V")</f>
        <v>0</v>
      </c>
      <c r="AA2">
        <f>BDH("LVS US Equity","EBIT","1993-06-18","2026-05-02","Per=Y","Days=T","Dir=V")</f>
        <v>0</v>
      </c>
      <c r="AC2">
        <f>BDH("LVS US Equity","EBITDA","1993-06-18","2026-05-02","Per=Y","Days=T","Dir=V")</f>
        <v>0</v>
      </c>
      <c r="AE2">
        <f>BDH("LVS US Equity","NET_INCOME","1993-06-18","2026-05-02","Per=Y","Days=T","Dir=V")</f>
        <v>0</v>
      </c>
      <c r="AG2">
        <f>BDH("LVS US Equity","IS_INT_EXPENSE","1993-06-18","2026-05-02","Per=Y","Days=T","Dir=V")</f>
        <v>0</v>
      </c>
      <c r="AI2">
        <f>BDH("LVS US Equity","IS_DEPR_EXP","1993-06-18","2026-05-02","Per=Y","Days=T","Dir=V")</f>
        <v>0</v>
      </c>
      <c r="AK2">
        <f>BDH("LVS US Equity","CF_CASH_FROM_OPER","1993-06-18","2026-05-02","Per=Y","Days=T","Dir=V")</f>
        <v>0</v>
      </c>
      <c r="AM2">
        <f>BDH("LVS US Equity","CAPITAL_EXPEND","1993-06-18","2026-05-02","Per=Y","Days=T","Dir=V")</f>
        <v>0</v>
      </c>
      <c r="AO2">
        <f>BDH("LVS US Equity","CF_FREE_CASH_FLOW","1993-06-18","2026-05-02","Per=Y","Days=T","Dir=V")</f>
        <v>0</v>
      </c>
      <c r="AQ2">
        <f>BDH("LVS US Equity","PX_LAST","1993-06-18","2026-05-02","Per=M","Days=T","Dir=V")</f>
        <v>0</v>
      </c>
      <c r="AS2">
        <f>BDH("LVS US Equity","CUR_MKT_CAP","1993-06-18","2026-05-02","Per=M","Days=T","Dir=V")</f>
        <v>0</v>
      </c>
      <c r="AU2">
        <f>BDH("LVS US Equity","EQY_SH_OUT","1993-06-18","2026-05-02","Per=M","Days=T","Dir=V")</f>
        <v>0</v>
      </c>
      <c r="AW2">
        <f>BDH("LVS US Equity","PX_VOLUME","1993-06-18","2026-05-02","Per=M","Days=T","Dir=V")</f>
        <v>0</v>
      </c>
      <c r="AY2">
        <f>BDH("LVS US Equity","TURNOVER","1993-06-18","2026-05-02","Per=M","Days=T","Dir=V")</f>
        <v>0</v>
      </c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BDH("LVWR US Equity","BS_TOT_ASSET","1993-06-18","2026-05-02","Per=Y","Days=T","Dir=V")</f>
        <v>0</v>
      </c>
      <c r="C2">
        <f>BDH("LVWR US Equity","BS_TOT_LIAB2","1993-06-18","2026-05-02","Per=Y","Days=T","Dir=V")</f>
        <v>0</v>
      </c>
      <c r="E2">
        <f>BDH("LVWR US Equity","SHORT_AND_LONG_TERM_DEBT","1993-06-18","2026-05-02","Per=Y","Days=T","Dir=V")</f>
        <v>0</v>
      </c>
      <c r="G2">
        <f>BDH("LVWR US Equity","BS_ST_BORROW","1993-06-18","2026-05-02","Per=Y","Days=T","Dir=V")</f>
        <v>0</v>
      </c>
      <c r="I2">
        <f>BDH("LVWR US Equity","BS_LT_BORROW","1993-06-18","2026-05-02","Per=Y","Days=T","Dir=V")</f>
        <v>0</v>
      </c>
      <c r="K2">
        <f>BDH("LVWR US Equity","BS_CASH_NEAR_CASH_ITEM","1993-06-18","2026-05-02","Per=Y","Days=T","Dir=V")</f>
        <v>0</v>
      </c>
      <c r="M2">
        <f>BDH("LVWR US Equity","BS_CUR_ASSET_REPORT","1993-06-18","2026-05-02","Per=Y","Days=T","Dir=V")</f>
        <v>0</v>
      </c>
      <c r="O2">
        <f>BDH("LVWR US Equity","BS_CUR_LIAB","1993-06-18","2026-05-02","Per=Y","Days=T","Dir=V")</f>
        <v>0</v>
      </c>
      <c r="Q2">
        <f>BDH("LVWR US Equity","BS_SHAREHOLDER_EQY_ENDING_PERIOD","1993-06-18","2026-05-02","Per=Y","Days=T","Dir=V")</f>
        <v>0</v>
      </c>
      <c r="S2">
        <f>BDH("LVWR US Equity","BS_ACCT_NOTE_RCV","1993-06-18","2026-05-02","Per=Y","Days=T","Dir=V")</f>
        <v>0</v>
      </c>
      <c r="U2">
        <f>BDH("LVWR US Equity","BS_INVENTORIES","1993-06-18","2026-05-02","Per=Y","Days=T","Dir=V")</f>
        <v>0</v>
      </c>
      <c r="W2">
        <f>BDH("LVWR US Equity","WORKING_CAPITAL","1993-06-18","2026-05-02","Per=Y","Days=T","Dir=V")</f>
        <v>0</v>
      </c>
      <c r="Y2">
        <f>BDH("LVWR US Equity","SALES_REV_TURN","1993-06-18","2026-05-02","Per=Y","Days=T","Dir=V")</f>
        <v>0</v>
      </c>
      <c r="AA2">
        <f>BDH("LVWR US Equity","EBIT","1993-06-18","2026-05-02","Per=Y","Days=T","Dir=V")</f>
        <v>0</v>
      </c>
      <c r="AC2">
        <f>BDH("LVWR US Equity","EBITDA","1993-06-18","2026-05-02","Per=Y","Days=T","Dir=V")</f>
        <v>0</v>
      </c>
      <c r="AE2">
        <f>BDH("LVWR US Equity","NET_INCOME","1993-06-18","2026-05-02","Per=Y","Days=T","Dir=V")</f>
        <v>0</v>
      </c>
      <c r="AG2">
        <f>BDH("LVWR US Equity","IS_INT_EXPENSE","1993-06-18","2026-05-02","Per=Y","Days=T","Dir=V")</f>
        <v>0</v>
      </c>
      <c r="AI2">
        <f>BDH("LVWR US Equity","IS_DEPR_EXP","1993-06-18","2026-05-02","Per=Y","Days=T","Dir=V")</f>
        <v>0</v>
      </c>
      <c r="AK2">
        <f>BDH("LVWR US Equity","CF_CASH_FROM_OPER","1993-06-18","2026-05-02","Per=Y","Days=T","Dir=V")</f>
        <v>0</v>
      </c>
      <c r="AM2">
        <f>BDH("LVWR US Equity","CAPITAL_EXPEND","1993-06-18","2026-05-02","Per=Y","Days=T","Dir=V")</f>
        <v>0</v>
      </c>
      <c r="AO2">
        <f>BDH("LVWR US Equity","CF_FREE_CASH_FLOW","1993-06-18","2026-05-02","Per=Y","Days=T","Dir=V")</f>
        <v>0</v>
      </c>
      <c r="AQ2">
        <f>BDH("LVWR US Equity","PX_LAST","1993-06-18","2026-05-02","Per=M","Days=T","Dir=V")</f>
        <v>0</v>
      </c>
      <c r="AS2">
        <f>BDH("LVWR US Equity","CUR_MKT_CAP","1993-06-18","2026-05-02","Per=M","Days=T","Dir=V")</f>
        <v>0</v>
      </c>
      <c r="AU2">
        <f>BDH("LVWR US Equity","EQY_SH_OUT","1993-06-18","2026-05-02","Per=M","Days=T","Dir=V")</f>
        <v>0</v>
      </c>
      <c r="AW2">
        <f>BDH("LVWR US Equity","PX_VOLUME","1993-06-18","2026-05-02","Per=M","Days=T","Dir=V")</f>
        <v>0</v>
      </c>
      <c r="AY2">
        <f>BDH("LVWR US Equity","TURNOVER","1993-06-18","2026-05-02","Per=M","Days=T","Dir=V")</f>
        <v>0</v>
      </c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BDH("LW US Equity","BS_TOT_ASSET","1993-06-18","2026-05-02","Per=Y","Days=T","Dir=V")</f>
        <v>0</v>
      </c>
      <c r="C2">
        <f>BDH("LW US Equity","BS_TOT_LIAB2","1993-06-18","2026-05-02","Per=Y","Days=T","Dir=V")</f>
        <v>0</v>
      </c>
      <c r="E2">
        <f>BDH("LW US Equity","SHORT_AND_LONG_TERM_DEBT","1993-06-18","2026-05-02","Per=Y","Days=T","Dir=V")</f>
        <v>0</v>
      </c>
      <c r="G2">
        <f>BDH("LW US Equity","BS_ST_BORROW","1993-06-18","2026-05-02","Per=Y","Days=T","Dir=V")</f>
        <v>0</v>
      </c>
      <c r="I2">
        <f>BDH("LW US Equity","BS_LT_BORROW","1993-06-18","2026-05-02","Per=Y","Days=T","Dir=V")</f>
        <v>0</v>
      </c>
      <c r="K2">
        <f>BDH("LW US Equity","BS_CASH_NEAR_CASH_ITEM","1993-06-18","2026-05-02","Per=Y","Days=T","Dir=V")</f>
        <v>0</v>
      </c>
      <c r="M2">
        <f>BDH("LW US Equity","BS_CUR_ASSET_REPORT","1993-06-18","2026-05-02","Per=Y","Days=T","Dir=V")</f>
        <v>0</v>
      </c>
      <c r="O2">
        <f>BDH("LW US Equity","BS_CUR_LIAB","1993-06-18","2026-05-02","Per=Y","Days=T","Dir=V")</f>
        <v>0</v>
      </c>
      <c r="Q2">
        <f>BDH("LW US Equity","BS_SHAREHOLDER_EQY_ENDING_PERIOD","1993-06-18","2026-05-02","Per=Y","Days=T","Dir=V")</f>
        <v>0</v>
      </c>
      <c r="S2">
        <f>BDH("LW US Equity","BS_ACCT_NOTE_RCV","1993-06-18","2026-05-02","Per=Y","Days=T","Dir=V")</f>
        <v>0</v>
      </c>
      <c r="U2">
        <f>BDH("LW US Equity","BS_INVENTORIES","1993-06-18","2026-05-02","Per=Y","Days=T","Dir=V")</f>
        <v>0</v>
      </c>
      <c r="W2">
        <f>BDH("LW US Equity","WORKING_CAPITAL","1993-06-18","2026-05-02","Per=Y","Days=T","Dir=V")</f>
        <v>0</v>
      </c>
      <c r="Y2">
        <f>BDH("LW US Equity","SALES_REV_TURN","1993-06-18","2026-05-02","Per=Y","Days=T","Dir=V")</f>
        <v>0</v>
      </c>
      <c r="AA2">
        <f>BDH("LW US Equity","EBIT","1993-06-18","2026-05-02","Per=Y","Days=T","Dir=V")</f>
        <v>0</v>
      </c>
      <c r="AC2">
        <f>BDH("LW US Equity","EBITDA","1993-06-18","2026-05-02","Per=Y","Days=T","Dir=V")</f>
        <v>0</v>
      </c>
      <c r="AE2">
        <f>BDH("LW US Equity","NET_INCOME","1993-06-18","2026-05-02","Per=Y","Days=T","Dir=V")</f>
        <v>0</v>
      </c>
      <c r="AG2">
        <f>BDH("LW US Equity","IS_INT_EXPENSE","1993-06-18","2026-05-02","Per=Y","Days=T","Dir=V")</f>
        <v>0</v>
      </c>
      <c r="AI2">
        <f>BDH("LW US Equity","IS_DEPR_EXP","1993-06-18","2026-05-02","Per=Y","Days=T","Dir=V")</f>
        <v>0</v>
      </c>
      <c r="AK2">
        <f>BDH("LW US Equity","CF_CASH_FROM_OPER","1993-06-18","2026-05-02","Per=Y","Days=T","Dir=V")</f>
        <v>0</v>
      </c>
      <c r="AM2">
        <f>BDH("LW US Equity","CAPITAL_EXPEND","1993-06-18","2026-05-02","Per=Y","Days=T","Dir=V")</f>
        <v>0</v>
      </c>
      <c r="AO2">
        <f>BDH("LW US Equity","CF_FREE_CASH_FLOW","1993-06-18","2026-05-02","Per=Y","Days=T","Dir=V")</f>
        <v>0</v>
      </c>
      <c r="AQ2">
        <f>BDH("LW US Equity","PX_LAST","1993-06-18","2026-05-02","Per=M","Days=T","Dir=V")</f>
        <v>0</v>
      </c>
      <c r="AS2">
        <f>BDH("LW US Equity","CUR_MKT_CAP","1993-06-18","2026-05-02","Per=M","Days=T","Dir=V")</f>
        <v>0</v>
      </c>
      <c r="AU2">
        <f>BDH("LW US Equity","EQY_SH_OUT","1993-06-18","2026-05-02","Per=M","Days=T","Dir=V")</f>
        <v>0</v>
      </c>
      <c r="AW2">
        <f>BDH("LW US Equity","PX_VOLUME","1993-06-18","2026-05-02","Per=M","Days=T","Dir=V")</f>
        <v>0</v>
      </c>
      <c r="AY2">
        <f>BDH("LW US Equity","TURNOVER","1993-06-18","2026-05-02","Per=M","Days=T","Dir=V")</f>
        <v>0</v>
      </c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BDH("LWAY US Equity","BS_TOT_ASSET","1993-06-18","2026-05-02","Per=Y","Days=T","Dir=V")</f>
        <v>0</v>
      </c>
      <c r="C2">
        <f>BDH("LWAY US Equity","BS_TOT_LIAB2","1993-06-18","2026-05-02","Per=Y","Days=T","Dir=V")</f>
        <v>0</v>
      </c>
      <c r="E2">
        <f>BDH("LWAY US Equity","SHORT_AND_LONG_TERM_DEBT","1993-06-18","2026-05-02","Per=Y","Days=T","Dir=V")</f>
        <v>0</v>
      </c>
      <c r="G2">
        <f>BDH("LWAY US Equity","BS_ST_BORROW","1993-06-18","2026-05-02","Per=Y","Days=T","Dir=V")</f>
        <v>0</v>
      </c>
      <c r="I2">
        <f>BDH("LWAY US Equity","BS_LT_BORROW","1993-06-18","2026-05-02","Per=Y","Days=T","Dir=V")</f>
        <v>0</v>
      </c>
      <c r="K2">
        <f>BDH("LWAY US Equity","BS_CASH_NEAR_CASH_ITEM","1993-06-18","2026-05-02","Per=Y","Days=T","Dir=V")</f>
        <v>0</v>
      </c>
      <c r="M2">
        <f>BDH("LWAY US Equity","BS_CUR_ASSET_REPORT","1993-06-18","2026-05-02","Per=Y","Days=T","Dir=V")</f>
        <v>0</v>
      </c>
      <c r="O2">
        <f>BDH("LWAY US Equity","BS_CUR_LIAB","1993-06-18","2026-05-02","Per=Y","Days=T","Dir=V")</f>
        <v>0</v>
      </c>
      <c r="Q2">
        <f>BDH("LWAY US Equity","BS_SHAREHOLDER_EQY_ENDING_PERIOD","1993-06-18","2026-05-02","Per=Y","Days=T","Dir=V")</f>
        <v>0</v>
      </c>
      <c r="S2">
        <f>BDH("LWAY US Equity","BS_ACCT_NOTE_RCV","1993-06-18","2026-05-02","Per=Y","Days=T","Dir=V")</f>
        <v>0</v>
      </c>
      <c r="U2">
        <f>BDH("LWAY US Equity","BS_INVENTORIES","1993-06-18","2026-05-02","Per=Y","Days=T","Dir=V")</f>
        <v>0</v>
      </c>
      <c r="W2">
        <f>BDH("LWAY US Equity","WORKING_CAPITAL","1993-06-18","2026-05-02","Per=Y","Days=T","Dir=V")</f>
        <v>0</v>
      </c>
      <c r="Y2">
        <f>BDH("LWAY US Equity","SALES_REV_TURN","1993-06-18","2026-05-02","Per=Y","Days=T","Dir=V")</f>
        <v>0</v>
      </c>
      <c r="AA2">
        <f>BDH("LWAY US Equity","EBIT","1993-06-18","2026-05-02","Per=Y","Days=T","Dir=V")</f>
        <v>0</v>
      </c>
      <c r="AC2">
        <f>BDH("LWAY US Equity","EBITDA","1993-06-18","2026-05-02","Per=Y","Days=T","Dir=V")</f>
        <v>0</v>
      </c>
      <c r="AE2">
        <f>BDH("LWAY US Equity","NET_INCOME","1993-06-18","2026-05-02","Per=Y","Days=T","Dir=V")</f>
        <v>0</v>
      </c>
      <c r="AG2">
        <f>BDH("LWAY US Equity","IS_INT_EXPENSE","1993-06-18","2026-05-02","Per=Y","Days=T","Dir=V")</f>
        <v>0</v>
      </c>
      <c r="AI2">
        <f>BDH("LWAY US Equity","IS_DEPR_EXP","1993-06-18","2026-05-02","Per=Y","Days=T","Dir=V")</f>
        <v>0</v>
      </c>
      <c r="AK2">
        <f>BDH("LWAY US Equity","CF_CASH_FROM_OPER","1993-06-18","2026-05-02","Per=Y","Days=T","Dir=V")</f>
        <v>0</v>
      </c>
      <c r="AM2">
        <f>BDH("LWAY US Equity","CAPITAL_EXPEND","1993-06-18","2026-05-02","Per=Y","Days=T","Dir=V")</f>
        <v>0</v>
      </c>
      <c r="AO2">
        <f>BDH("LWAY US Equity","CF_FREE_CASH_FLOW","1993-06-18","2026-05-02","Per=Y","Days=T","Dir=V")</f>
        <v>0</v>
      </c>
      <c r="AQ2">
        <f>BDH("LWAY US Equity","PX_LAST","1993-06-18","2026-05-02","Per=M","Days=T","Dir=V")</f>
        <v>0</v>
      </c>
      <c r="AS2">
        <f>BDH("LWAY US Equity","CUR_MKT_CAP","1993-06-18","2026-05-02","Per=M","Days=T","Dir=V")</f>
        <v>0</v>
      </c>
      <c r="AU2">
        <f>BDH("LWAY US Equity","EQY_SH_OUT","1993-06-18","2026-05-02","Per=M","Days=T","Dir=V")</f>
        <v>0</v>
      </c>
      <c r="AW2">
        <f>BDH("LWAY US Equity","PX_VOLUME","1993-06-18","2026-05-02","Per=M","Days=T","Dir=V")</f>
        <v>0</v>
      </c>
      <c r="AY2">
        <f>BDH("LWAY US Equity","TURNOVER","1993-06-18","2026-05-02","Per=M","Days=T","Dir=V")</f>
        <v>0</v>
      </c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BDH("LWLG US Equity","BS_TOT_ASSET","1993-06-18","2026-05-02","Per=Y","Days=T","Dir=V")</f>
        <v>0</v>
      </c>
      <c r="C2">
        <f>BDH("LWLG US Equity","BS_TOT_LIAB2","1993-06-18","2026-05-02","Per=Y","Days=T","Dir=V")</f>
        <v>0</v>
      </c>
      <c r="E2">
        <f>BDH("LWLG US Equity","SHORT_AND_LONG_TERM_DEBT","1993-06-18","2026-05-02","Per=Y","Days=T","Dir=V")</f>
        <v>0</v>
      </c>
      <c r="G2">
        <f>BDH("LWLG US Equity","BS_ST_BORROW","1993-06-18","2026-05-02","Per=Y","Days=T","Dir=V")</f>
        <v>0</v>
      </c>
      <c r="I2">
        <f>BDH("LWLG US Equity","BS_LT_BORROW","1993-06-18","2026-05-02","Per=Y","Days=T","Dir=V")</f>
        <v>0</v>
      </c>
      <c r="K2">
        <f>BDH("LWLG US Equity","BS_CASH_NEAR_CASH_ITEM","1993-06-18","2026-05-02","Per=Y","Days=T","Dir=V")</f>
        <v>0</v>
      </c>
      <c r="M2">
        <f>BDH("LWLG US Equity","BS_CUR_ASSET_REPORT","1993-06-18","2026-05-02","Per=Y","Days=T","Dir=V")</f>
        <v>0</v>
      </c>
      <c r="O2">
        <f>BDH("LWLG US Equity","BS_CUR_LIAB","1993-06-18","2026-05-02","Per=Y","Days=T","Dir=V")</f>
        <v>0</v>
      </c>
      <c r="Q2">
        <f>BDH("LWLG US Equity","BS_SHAREHOLDER_EQY_ENDING_PERIOD","1993-06-18","2026-05-02","Per=Y","Days=T","Dir=V")</f>
        <v>0</v>
      </c>
      <c r="S2">
        <f>BDH("LWLG US Equity","BS_ACCT_NOTE_RCV","1993-06-18","2026-05-02","Per=Y","Days=T","Dir=V")</f>
        <v>0</v>
      </c>
      <c r="U2">
        <f>BDH("LWLG US Equity","BS_INVENTORIES","1993-06-18","2026-05-02","Per=Y","Days=T","Dir=V")</f>
        <v>0</v>
      </c>
      <c r="W2">
        <f>BDH("LWLG US Equity","WORKING_CAPITAL","1993-06-18","2026-05-02","Per=Y","Days=T","Dir=V")</f>
        <v>0</v>
      </c>
      <c r="Y2">
        <f>BDH("LWLG US Equity","SALES_REV_TURN","1993-06-18","2026-05-02","Per=Y","Days=T","Dir=V")</f>
        <v>0</v>
      </c>
      <c r="AA2">
        <f>BDH("LWLG US Equity","EBIT","1993-06-18","2026-05-02","Per=Y","Days=T","Dir=V")</f>
        <v>0</v>
      </c>
      <c r="AC2">
        <f>BDH("LWLG US Equity","EBITDA","1993-06-18","2026-05-02","Per=Y","Days=T","Dir=V")</f>
        <v>0</v>
      </c>
      <c r="AE2">
        <f>BDH("LWLG US Equity","NET_INCOME","1993-06-18","2026-05-02","Per=Y","Days=T","Dir=V")</f>
        <v>0</v>
      </c>
      <c r="AG2">
        <f>BDH("LWLG US Equity","IS_INT_EXPENSE","1993-06-18","2026-05-02","Per=Y","Days=T","Dir=V")</f>
        <v>0</v>
      </c>
      <c r="AI2">
        <f>BDH("LWLG US Equity","IS_DEPR_EXP","1993-06-18","2026-05-02","Per=Y","Days=T","Dir=V")</f>
        <v>0</v>
      </c>
      <c r="AK2">
        <f>BDH("LWLG US Equity","CF_CASH_FROM_OPER","1993-06-18","2026-05-02","Per=Y","Days=T","Dir=V")</f>
        <v>0</v>
      </c>
      <c r="AM2">
        <f>BDH("LWLG US Equity","CAPITAL_EXPEND","1993-06-18","2026-05-02","Per=Y","Days=T","Dir=V")</f>
        <v>0</v>
      </c>
      <c r="AO2">
        <f>BDH("LWLG US Equity","CF_FREE_CASH_FLOW","1993-06-18","2026-05-02","Per=Y","Days=T","Dir=V")</f>
        <v>0</v>
      </c>
      <c r="AQ2">
        <f>BDH("LWLG US Equity","PX_LAST","1993-06-18","2026-05-02","Per=M","Days=T","Dir=V")</f>
        <v>0</v>
      </c>
      <c r="AS2">
        <f>BDH("LWLG US Equity","CUR_MKT_CAP","1993-06-18","2026-05-02","Per=M","Days=T","Dir=V")</f>
        <v>0</v>
      </c>
      <c r="AU2">
        <f>BDH("LWLG US Equity","EQY_SH_OUT","1993-06-18","2026-05-02","Per=M","Days=T","Dir=V")</f>
        <v>0</v>
      </c>
      <c r="AW2">
        <f>BDH("LWLG US Equity","PX_VOLUME","1993-06-18","2026-05-02","Per=M","Days=T","Dir=V")</f>
        <v>0</v>
      </c>
      <c r="AY2">
        <f>BDH("LWLG US Equity","TURNOVER","1993-06-18","2026-05-02","Per=M","Days=T","Dir=V")</f>
        <v>0</v>
      </c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BDH("LXEO US Equity","BS_TOT_ASSET","1993-06-18","2026-05-02","Per=Y","Days=T","Dir=V")</f>
        <v>0</v>
      </c>
      <c r="C2">
        <f>BDH("LXEO US Equity","BS_TOT_LIAB2","1993-06-18","2026-05-02","Per=Y","Days=T","Dir=V")</f>
        <v>0</v>
      </c>
      <c r="E2">
        <f>BDH("LXEO US Equity","SHORT_AND_LONG_TERM_DEBT","1993-06-18","2026-05-02","Per=Y","Days=T","Dir=V")</f>
        <v>0</v>
      </c>
      <c r="G2">
        <f>BDH("LXEO US Equity","BS_ST_BORROW","1993-06-18","2026-05-02","Per=Y","Days=T","Dir=V")</f>
        <v>0</v>
      </c>
      <c r="I2">
        <f>BDH("LXEO US Equity","BS_LT_BORROW","1993-06-18","2026-05-02","Per=Y","Days=T","Dir=V")</f>
        <v>0</v>
      </c>
      <c r="K2">
        <f>BDH("LXEO US Equity","BS_CASH_NEAR_CASH_ITEM","1993-06-18","2026-05-02","Per=Y","Days=T","Dir=V")</f>
        <v>0</v>
      </c>
      <c r="M2">
        <f>BDH("LXEO US Equity","BS_CUR_ASSET_REPORT","1993-06-18","2026-05-02","Per=Y","Days=T","Dir=V")</f>
        <v>0</v>
      </c>
      <c r="O2">
        <f>BDH("LXEO US Equity","BS_CUR_LIAB","1993-06-18","2026-05-02","Per=Y","Days=T","Dir=V")</f>
        <v>0</v>
      </c>
      <c r="Q2">
        <f>BDH("LXEO US Equity","BS_SHAREHOLDER_EQY_ENDING_PERIOD","1993-06-18","2026-05-02","Per=Y","Days=T","Dir=V")</f>
        <v>0</v>
      </c>
      <c r="S2">
        <f>BDH("LXEO US Equity","BS_ACCT_NOTE_RCV","1993-06-18","2026-05-02","Per=Y","Days=T","Dir=V")</f>
        <v>0</v>
      </c>
      <c r="U2">
        <f>BDH("LXEO US Equity","BS_INVENTORIES","1993-06-18","2026-05-02","Per=Y","Days=T","Dir=V")</f>
        <v>0</v>
      </c>
      <c r="W2">
        <f>BDH("LXEO US Equity","WORKING_CAPITAL","1993-06-18","2026-05-02","Per=Y","Days=T","Dir=V")</f>
        <v>0</v>
      </c>
      <c r="Y2">
        <f>BDH("LXEO US Equity","SALES_REV_TURN","1993-06-18","2026-05-02","Per=Y","Days=T","Dir=V")</f>
        <v>0</v>
      </c>
      <c r="AA2">
        <f>BDH("LXEO US Equity","EBIT","1993-06-18","2026-05-02","Per=Y","Days=T","Dir=V")</f>
        <v>0</v>
      </c>
      <c r="AC2">
        <f>BDH("LXEO US Equity","EBITDA","1993-06-18","2026-05-02","Per=Y","Days=T","Dir=V")</f>
        <v>0</v>
      </c>
      <c r="AE2">
        <f>BDH("LXEO US Equity","NET_INCOME","1993-06-18","2026-05-02","Per=Y","Days=T","Dir=V")</f>
        <v>0</v>
      </c>
      <c r="AG2">
        <f>BDH("LXEO US Equity","IS_INT_EXPENSE","1993-06-18","2026-05-02","Per=Y","Days=T","Dir=V")</f>
        <v>0</v>
      </c>
      <c r="AI2">
        <f>BDH("LXEO US Equity","IS_DEPR_EXP","1993-06-18","2026-05-02","Per=Y","Days=T","Dir=V")</f>
        <v>0</v>
      </c>
      <c r="AK2">
        <f>BDH("LXEO US Equity","CF_CASH_FROM_OPER","1993-06-18","2026-05-02","Per=Y","Days=T","Dir=V")</f>
        <v>0</v>
      </c>
      <c r="AM2">
        <f>BDH("LXEO US Equity","CAPITAL_EXPEND","1993-06-18","2026-05-02","Per=Y","Days=T","Dir=V")</f>
        <v>0</v>
      </c>
      <c r="AO2">
        <f>BDH("LXEO US Equity","CF_FREE_CASH_FLOW","1993-06-18","2026-05-02","Per=Y","Days=T","Dir=V")</f>
        <v>0</v>
      </c>
      <c r="AQ2">
        <f>BDH("LXEO US Equity","PX_LAST","1993-06-18","2026-05-02","Per=M","Days=T","Dir=V")</f>
        <v>0</v>
      </c>
      <c r="AS2">
        <f>BDH("LXEO US Equity","CUR_MKT_CAP","1993-06-18","2026-05-02","Per=M","Days=T","Dir=V")</f>
        <v>0</v>
      </c>
      <c r="AU2">
        <f>BDH("LXEO US Equity","EQY_SH_OUT","1993-06-18","2026-05-02","Per=M","Days=T","Dir=V")</f>
        <v>0</v>
      </c>
      <c r="AW2">
        <f>BDH("LXEO US Equity","PX_VOLUME","1993-06-18","2026-05-02","Per=M","Days=T","Dir=V")</f>
        <v>0</v>
      </c>
      <c r="AY2">
        <f>BDH("LXEO US Equity","TURNOVER","1993-06-18","2026-05-02","Per=M","Days=T","Dir=V")</f>
        <v>0</v>
      </c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BDH("LXRX US Equity","BS_TOT_ASSET","1993-06-18","2026-05-02","Per=Y","Days=T","Dir=V")</f>
        <v>0</v>
      </c>
      <c r="C2">
        <f>BDH("LXRX US Equity","BS_TOT_LIAB2","1993-06-18","2026-05-02","Per=Y","Days=T","Dir=V")</f>
        <v>0</v>
      </c>
      <c r="E2">
        <f>BDH("LXRX US Equity","SHORT_AND_LONG_TERM_DEBT","1993-06-18","2026-05-02","Per=Y","Days=T","Dir=V")</f>
        <v>0</v>
      </c>
      <c r="G2">
        <f>BDH("LXRX US Equity","BS_ST_BORROW","1993-06-18","2026-05-02","Per=Y","Days=T","Dir=V")</f>
        <v>0</v>
      </c>
      <c r="I2">
        <f>BDH("LXRX US Equity","BS_LT_BORROW","1993-06-18","2026-05-02","Per=Y","Days=T","Dir=V")</f>
        <v>0</v>
      </c>
      <c r="K2">
        <f>BDH("LXRX US Equity","BS_CASH_NEAR_CASH_ITEM","1993-06-18","2026-05-02","Per=Y","Days=T","Dir=V")</f>
        <v>0</v>
      </c>
      <c r="M2">
        <f>BDH("LXRX US Equity","BS_CUR_ASSET_REPORT","1993-06-18","2026-05-02","Per=Y","Days=T","Dir=V")</f>
        <v>0</v>
      </c>
      <c r="O2">
        <f>BDH("LXRX US Equity","BS_CUR_LIAB","1993-06-18","2026-05-02","Per=Y","Days=T","Dir=V")</f>
        <v>0</v>
      </c>
      <c r="Q2">
        <f>BDH("LXRX US Equity","BS_SHAREHOLDER_EQY_ENDING_PERIOD","1993-06-18","2026-05-02","Per=Y","Days=T","Dir=V")</f>
        <v>0</v>
      </c>
      <c r="S2">
        <f>BDH("LXRX US Equity","BS_ACCT_NOTE_RCV","1993-06-18","2026-05-02","Per=Y","Days=T","Dir=V")</f>
        <v>0</v>
      </c>
      <c r="U2">
        <f>BDH("LXRX US Equity","BS_INVENTORIES","1993-06-18","2026-05-02","Per=Y","Days=T","Dir=V")</f>
        <v>0</v>
      </c>
      <c r="W2">
        <f>BDH("LXRX US Equity","WORKING_CAPITAL","1993-06-18","2026-05-02","Per=Y","Days=T","Dir=V")</f>
        <v>0</v>
      </c>
      <c r="Y2">
        <f>BDH("LXRX US Equity","SALES_REV_TURN","1993-06-18","2026-05-02","Per=Y","Days=T","Dir=V")</f>
        <v>0</v>
      </c>
      <c r="AA2">
        <f>BDH("LXRX US Equity","EBIT","1993-06-18","2026-05-02","Per=Y","Days=T","Dir=V")</f>
        <v>0</v>
      </c>
      <c r="AC2">
        <f>BDH("LXRX US Equity","EBITDA","1993-06-18","2026-05-02","Per=Y","Days=T","Dir=V")</f>
        <v>0</v>
      </c>
      <c r="AE2">
        <f>BDH("LXRX US Equity","NET_INCOME","1993-06-18","2026-05-02","Per=Y","Days=T","Dir=V")</f>
        <v>0</v>
      </c>
      <c r="AG2">
        <f>BDH("LXRX US Equity","IS_INT_EXPENSE","1993-06-18","2026-05-02","Per=Y","Days=T","Dir=V")</f>
        <v>0</v>
      </c>
      <c r="AI2">
        <f>BDH("LXRX US Equity","IS_DEPR_EXP","1993-06-18","2026-05-02","Per=Y","Days=T","Dir=V")</f>
        <v>0</v>
      </c>
      <c r="AK2">
        <f>BDH("LXRX US Equity","CF_CASH_FROM_OPER","1993-06-18","2026-05-02","Per=Y","Days=T","Dir=V")</f>
        <v>0</v>
      </c>
      <c r="AM2">
        <f>BDH("LXRX US Equity","CAPITAL_EXPEND","1993-06-18","2026-05-02","Per=Y","Days=T","Dir=V")</f>
        <v>0</v>
      </c>
      <c r="AO2">
        <f>BDH("LXRX US Equity","CF_FREE_CASH_FLOW","1993-06-18","2026-05-02","Per=Y","Days=T","Dir=V")</f>
        <v>0</v>
      </c>
      <c r="AQ2">
        <f>BDH("LXRX US Equity","PX_LAST","1993-06-18","2026-05-02","Per=M","Days=T","Dir=V")</f>
        <v>0</v>
      </c>
      <c r="AS2">
        <f>BDH("LXRX US Equity","CUR_MKT_CAP","1993-06-18","2026-05-02","Per=M","Days=T","Dir=V")</f>
        <v>0</v>
      </c>
      <c r="AU2">
        <f>BDH("LXRX US Equity","EQY_SH_OUT","1993-06-18","2026-05-02","Per=M","Days=T","Dir=V")</f>
        <v>0</v>
      </c>
      <c r="AW2">
        <f>BDH("LXRX US Equity","PX_VOLUME","1993-06-18","2026-05-02","Per=M","Days=T","Dir=V")</f>
        <v>0</v>
      </c>
      <c r="AY2">
        <f>BDH("LXRX US Equity","TURNOVER","1993-06-18","2026-05-02","Per=M","Days=T","Dir=V")</f>
        <v>0</v>
      </c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BDH("LXU US Equity","BS_TOT_ASSET","1993-06-18","2026-05-02","Per=Y","Days=T","Dir=V")</f>
        <v>0</v>
      </c>
      <c r="C2">
        <f>BDH("LXU US Equity","BS_TOT_LIAB2","1993-06-18","2026-05-02","Per=Y","Days=T","Dir=V")</f>
        <v>0</v>
      </c>
      <c r="E2">
        <f>BDH("LXU US Equity","SHORT_AND_LONG_TERM_DEBT","1993-06-18","2026-05-02","Per=Y","Days=T","Dir=V")</f>
        <v>0</v>
      </c>
      <c r="G2">
        <f>BDH("LXU US Equity","BS_ST_BORROW","1993-06-18","2026-05-02","Per=Y","Days=T","Dir=V")</f>
        <v>0</v>
      </c>
      <c r="I2">
        <f>BDH("LXU US Equity","BS_LT_BORROW","1993-06-18","2026-05-02","Per=Y","Days=T","Dir=V")</f>
        <v>0</v>
      </c>
      <c r="K2">
        <f>BDH("LXU US Equity","BS_CASH_NEAR_CASH_ITEM","1993-06-18","2026-05-02","Per=Y","Days=T","Dir=V")</f>
        <v>0</v>
      </c>
      <c r="M2">
        <f>BDH("LXU US Equity","BS_CUR_ASSET_REPORT","1993-06-18","2026-05-02","Per=Y","Days=T","Dir=V")</f>
        <v>0</v>
      </c>
      <c r="O2">
        <f>BDH("LXU US Equity","BS_CUR_LIAB","1993-06-18","2026-05-02","Per=Y","Days=T","Dir=V")</f>
        <v>0</v>
      </c>
      <c r="Q2">
        <f>BDH("LXU US Equity","BS_SHAREHOLDER_EQY_ENDING_PERIOD","1993-06-18","2026-05-02","Per=Y","Days=T","Dir=V")</f>
        <v>0</v>
      </c>
      <c r="S2">
        <f>BDH("LXU US Equity","BS_ACCT_NOTE_RCV","1993-06-18","2026-05-02","Per=Y","Days=T","Dir=V")</f>
        <v>0</v>
      </c>
      <c r="U2">
        <f>BDH("LXU US Equity","BS_INVENTORIES","1993-06-18","2026-05-02","Per=Y","Days=T","Dir=V")</f>
        <v>0</v>
      </c>
      <c r="W2">
        <f>BDH("LXU US Equity","WORKING_CAPITAL","1993-06-18","2026-05-02","Per=Y","Days=T","Dir=V")</f>
        <v>0</v>
      </c>
      <c r="Y2">
        <f>BDH("LXU US Equity","SALES_REV_TURN","1993-06-18","2026-05-02","Per=Y","Days=T","Dir=V")</f>
        <v>0</v>
      </c>
      <c r="AA2">
        <f>BDH("LXU US Equity","EBIT","1993-06-18","2026-05-02","Per=Y","Days=T","Dir=V")</f>
        <v>0</v>
      </c>
      <c r="AC2">
        <f>BDH("LXU US Equity","EBITDA","1993-06-18","2026-05-02","Per=Y","Days=T","Dir=V")</f>
        <v>0</v>
      </c>
      <c r="AE2">
        <f>BDH("LXU US Equity","NET_INCOME","1993-06-18","2026-05-02","Per=Y","Days=T","Dir=V")</f>
        <v>0</v>
      </c>
      <c r="AG2">
        <f>BDH("LXU US Equity","IS_INT_EXPENSE","1993-06-18","2026-05-02","Per=Y","Days=T","Dir=V")</f>
        <v>0</v>
      </c>
      <c r="AI2">
        <f>BDH("LXU US Equity","IS_DEPR_EXP","1993-06-18","2026-05-02","Per=Y","Days=T","Dir=V")</f>
        <v>0</v>
      </c>
      <c r="AK2">
        <f>BDH("LXU US Equity","CF_CASH_FROM_OPER","1993-06-18","2026-05-02","Per=Y","Days=T","Dir=V")</f>
        <v>0</v>
      </c>
      <c r="AM2">
        <f>BDH("LXU US Equity","CAPITAL_EXPEND","1993-06-18","2026-05-02","Per=Y","Days=T","Dir=V")</f>
        <v>0</v>
      </c>
      <c r="AO2">
        <f>BDH("LXU US Equity","CF_FREE_CASH_FLOW","1993-06-18","2026-05-02","Per=Y","Days=T","Dir=V")</f>
        <v>0</v>
      </c>
      <c r="AQ2">
        <f>BDH("LXU US Equity","PX_LAST","1993-06-18","2026-05-02","Per=M","Days=T","Dir=V")</f>
        <v>0</v>
      </c>
      <c r="AS2">
        <f>BDH("LXU US Equity","CUR_MKT_CAP","1993-06-18","2026-05-02","Per=M","Days=T","Dir=V")</f>
        <v>0</v>
      </c>
      <c r="AU2">
        <f>BDH("LXU US Equity","EQY_SH_OUT","1993-06-18","2026-05-02","Per=M","Days=T","Dir=V")</f>
        <v>0</v>
      </c>
      <c r="AW2">
        <f>BDH("LXU US Equity","PX_VOLUME","1993-06-18","2026-05-02","Per=M","Days=T","Dir=V")</f>
        <v>0</v>
      </c>
      <c r="AY2">
        <f>BDH("LXU US Equity","TURNOVER","1993-06-18","2026-05-02","Per=M","Days=T","Dir=V")</f>
        <v>0</v>
      </c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BDH("LYEL US Equity","BS_TOT_ASSET","1993-06-18","2026-05-02","Per=Y","Days=T","Dir=V")</f>
        <v>0</v>
      </c>
      <c r="C2">
        <f>BDH("LYEL US Equity","BS_TOT_LIAB2","1993-06-18","2026-05-02","Per=Y","Days=T","Dir=V")</f>
        <v>0</v>
      </c>
      <c r="E2">
        <f>BDH("LYEL US Equity","SHORT_AND_LONG_TERM_DEBT","1993-06-18","2026-05-02","Per=Y","Days=T","Dir=V")</f>
        <v>0</v>
      </c>
      <c r="G2">
        <f>BDH("LYEL US Equity","BS_ST_BORROW","1993-06-18","2026-05-02","Per=Y","Days=T","Dir=V")</f>
        <v>0</v>
      </c>
      <c r="I2">
        <f>BDH("LYEL US Equity","BS_LT_BORROW","1993-06-18","2026-05-02","Per=Y","Days=T","Dir=V")</f>
        <v>0</v>
      </c>
      <c r="K2">
        <f>BDH("LYEL US Equity","BS_CASH_NEAR_CASH_ITEM","1993-06-18","2026-05-02","Per=Y","Days=T","Dir=V")</f>
        <v>0</v>
      </c>
      <c r="M2">
        <f>BDH("LYEL US Equity","BS_CUR_ASSET_REPORT","1993-06-18","2026-05-02","Per=Y","Days=T","Dir=V")</f>
        <v>0</v>
      </c>
      <c r="O2">
        <f>BDH("LYEL US Equity","BS_CUR_LIAB","1993-06-18","2026-05-02","Per=Y","Days=T","Dir=V")</f>
        <v>0</v>
      </c>
      <c r="Q2">
        <f>BDH("LYEL US Equity","BS_SHAREHOLDER_EQY_ENDING_PERIOD","1993-06-18","2026-05-02","Per=Y","Days=T","Dir=V")</f>
        <v>0</v>
      </c>
      <c r="S2">
        <f>BDH("LYEL US Equity","BS_ACCT_NOTE_RCV","1993-06-18","2026-05-02","Per=Y","Days=T","Dir=V")</f>
        <v>0</v>
      </c>
      <c r="U2">
        <f>BDH("LYEL US Equity","BS_INVENTORIES","1993-06-18","2026-05-02","Per=Y","Days=T","Dir=V")</f>
        <v>0</v>
      </c>
      <c r="W2">
        <f>BDH("LYEL US Equity","WORKING_CAPITAL","1993-06-18","2026-05-02","Per=Y","Days=T","Dir=V")</f>
        <v>0</v>
      </c>
      <c r="Y2">
        <f>BDH("LYEL US Equity","SALES_REV_TURN","1993-06-18","2026-05-02","Per=Y","Days=T","Dir=V")</f>
        <v>0</v>
      </c>
      <c r="AA2">
        <f>BDH("LYEL US Equity","EBIT","1993-06-18","2026-05-02","Per=Y","Days=T","Dir=V")</f>
        <v>0</v>
      </c>
      <c r="AC2">
        <f>BDH("LYEL US Equity","EBITDA","1993-06-18","2026-05-02","Per=Y","Days=T","Dir=V")</f>
        <v>0</v>
      </c>
      <c r="AE2">
        <f>BDH("LYEL US Equity","NET_INCOME","1993-06-18","2026-05-02","Per=Y","Days=T","Dir=V")</f>
        <v>0</v>
      </c>
      <c r="AG2">
        <f>BDH("LYEL US Equity","IS_INT_EXPENSE","1993-06-18","2026-05-02","Per=Y","Days=T","Dir=V")</f>
        <v>0</v>
      </c>
      <c r="AI2">
        <f>BDH("LYEL US Equity","IS_DEPR_EXP","1993-06-18","2026-05-02","Per=Y","Days=T","Dir=V")</f>
        <v>0</v>
      </c>
      <c r="AK2">
        <f>BDH("LYEL US Equity","CF_CASH_FROM_OPER","1993-06-18","2026-05-02","Per=Y","Days=T","Dir=V")</f>
        <v>0</v>
      </c>
      <c r="AM2">
        <f>BDH("LYEL US Equity","CAPITAL_EXPEND","1993-06-18","2026-05-02","Per=Y","Days=T","Dir=V")</f>
        <v>0</v>
      </c>
      <c r="AO2">
        <f>BDH("LYEL US Equity","CF_FREE_CASH_FLOW","1993-06-18","2026-05-02","Per=Y","Days=T","Dir=V")</f>
        <v>0</v>
      </c>
      <c r="AQ2">
        <f>BDH("LYEL US Equity","PX_LAST","1993-06-18","2026-05-02","Per=M","Days=T","Dir=V")</f>
        <v>0</v>
      </c>
      <c r="AS2">
        <f>BDH("LYEL US Equity","CUR_MKT_CAP","1993-06-18","2026-05-02","Per=M","Days=T","Dir=V")</f>
        <v>0</v>
      </c>
      <c r="AU2">
        <f>BDH("LYEL US Equity","EQY_SH_OUT","1993-06-18","2026-05-02","Per=M","Days=T","Dir=V")</f>
        <v>0</v>
      </c>
      <c r="AW2">
        <f>BDH("LYEL US Equity","PX_VOLUME","1993-06-18","2026-05-02","Per=M","Days=T","Dir=V")</f>
        <v>0</v>
      </c>
      <c r="AY2">
        <f>BDH("LYEL US Equity","TURNOVER","1993-06-18","2026-05-02","Per=M","Days=T","Dir=V")</f>
        <v>0</v>
      </c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BDH("LYFT US Equity","BS_TOT_ASSET","1993-06-18","2026-05-02","Per=Y","Days=T","Dir=V")</f>
        <v>0</v>
      </c>
      <c r="C2">
        <f>BDH("LYFT US Equity","BS_TOT_LIAB2","1993-06-18","2026-05-02","Per=Y","Days=T","Dir=V")</f>
        <v>0</v>
      </c>
      <c r="E2">
        <f>BDH("LYFT US Equity","SHORT_AND_LONG_TERM_DEBT","1993-06-18","2026-05-02","Per=Y","Days=T","Dir=V")</f>
        <v>0</v>
      </c>
      <c r="G2">
        <f>BDH("LYFT US Equity","BS_ST_BORROW","1993-06-18","2026-05-02","Per=Y","Days=T","Dir=V")</f>
        <v>0</v>
      </c>
      <c r="I2">
        <f>BDH("LYFT US Equity","BS_LT_BORROW","1993-06-18","2026-05-02","Per=Y","Days=T","Dir=V")</f>
        <v>0</v>
      </c>
      <c r="K2">
        <f>BDH("LYFT US Equity","BS_CASH_NEAR_CASH_ITEM","1993-06-18","2026-05-02","Per=Y","Days=T","Dir=V")</f>
        <v>0</v>
      </c>
      <c r="M2">
        <f>BDH("LYFT US Equity","BS_CUR_ASSET_REPORT","1993-06-18","2026-05-02","Per=Y","Days=T","Dir=V")</f>
        <v>0</v>
      </c>
      <c r="O2">
        <f>BDH("LYFT US Equity","BS_CUR_LIAB","1993-06-18","2026-05-02","Per=Y","Days=T","Dir=V")</f>
        <v>0</v>
      </c>
      <c r="Q2">
        <f>BDH("LYFT US Equity","BS_SHAREHOLDER_EQY_ENDING_PERIOD","1993-06-18","2026-05-02","Per=Y","Days=T","Dir=V")</f>
        <v>0</v>
      </c>
      <c r="S2">
        <f>BDH("LYFT US Equity","BS_ACCT_NOTE_RCV","1993-06-18","2026-05-02","Per=Y","Days=T","Dir=V")</f>
        <v>0</v>
      </c>
      <c r="U2">
        <f>BDH("LYFT US Equity","BS_INVENTORIES","1993-06-18","2026-05-02","Per=Y","Days=T","Dir=V")</f>
        <v>0</v>
      </c>
      <c r="W2">
        <f>BDH("LYFT US Equity","WORKING_CAPITAL","1993-06-18","2026-05-02","Per=Y","Days=T","Dir=V")</f>
        <v>0</v>
      </c>
      <c r="Y2">
        <f>BDH("LYFT US Equity","SALES_REV_TURN","1993-06-18","2026-05-02","Per=Y","Days=T","Dir=V")</f>
        <v>0</v>
      </c>
      <c r="AA2">
        <f>BDH("LYFT US Equity","EBIT","1993-06-18","2026-05-02","Per=Y","Days=T","Dir=V")</f>
        <v>0</v>
      </c>
      <c r="AC2">
        <f>BDH("LYFT US Equity","EBITDA","1993-06-18","2026-05-02","Per=Y","Days=T","Dir=V")</f>
        <v>0</v>
      </c>
      <c r="AE2">
        <f>BDH("LYFT US Equity","NET_INCOME","1993-06-18","2026-05-02","Per=Y","Days=T","Dir=V")</f>
        <v>0</v>
      </c>
      <c r="AG2">
        <f>BDH("LYFT US Equity","IS_INT_EXPENSE","1993-06-18","2026-05-02","Per=Y","Days=T","Dir=V")</f>
        <v>0</v>
      </c>
      <c r="AI2">
        <f>BDH("LYFT US Equity","IS_DEPR_EXP","1993-06-18","2026-05-02","Per=Y","Days=T","Dir=V")</f>
        <v>0</v>
      </c>
      <c r="AK2">
        <f>BDH("LYFT US Equity","CF_CASH_FROM_OPER","1993-06-18","2026-05-02","Per=Y","Days=T","Dir=V")</f>
        <v>0</v>
      </c>
      <c r="AM2">
        <f>BDH("LYFT US Equity","CAPITAL_EXPEND","1993-06-18","2026-05-02","Per=Y","Days=T","Dir=V")</f>
        <v>0</v>
      </c>
      <c r="AO2">
        <f>BDH("LYFT US Equity","CF_FREE_CASH_FLOW","1993-06-18","2026-05-02","Per=Y","Days=T","Dir=V")</f>
        <v>0</v>
      </c>
      <c r="AQ2">
        <f>BDH("LYFT US Equity","PX_LAST","1993-06-18","2026-05-02","Per=M","Days=T","Dir=V")</f>
        <v>0</v>
      </c>
      <c r="AS2">
        <f>BDH("LYFT US Equity","CUR_MKT_CAP","1993-06-18","2026-05-02","Per=M","Days=T","Dir=V")</f>
        <v>0</v>
      </c>
      <c r="AU2">
        <f>BDH("LYFT US Equity","EQY_SH_OUT","1993-06-18","2026-05-02","Per=M","Days=T","Dir=V")</f>
        <v>0</v>
      </c>
      <c r="AW2">
        <f>BDH("LYFT US Equity","PX_VOLUME","1993-06-18","2026-05-02","Per=M","Days=T","Dir=V")</f>
        <v>0</v>
      </c>
      <c r="AY2">
        <f>BDH("LYFT US Equity","TURNOVER","1993-06-18","2026-05-02","Per=M","Days=T","Dir=V")</f>
        <v>0</v>
      </c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BDH("LYTS US Equity","BS_TOT_ASSET","1993-06-18","2026-05-02","Per=Y","Days=T","Dir=V")</f>
        <v>0</v>
      </c>
      <c r="C2">
        <f>BDH("LYTS US Equity","BS_TOT_LIAB2","1993-06-18","2026-05-02","Per=Y","Days=T","Dir=V")</f>
        <v>0</v>
      </c>
      <c r="E2">
        <f>BDH("LYTS US Equity","SHORT_AND_LONG_TERM_DEBT","1993-06-18","2026-05-02","Per=Y","Days=T","Dir=V")</f>
        <v>0</v>
      </c>
      <c r="G2">
        <f>BDH("LYTS US Equity","BS_ST_BORROW","1993-06-18","2026-05-02","Per=Y","Days=T","Dir=V")</f>
        <v>0</v>
      </c>
      <c r="I2">
        <f>BDH("LYTS US Equity","BS_LT_BORROW","1993-06-18","2026-05-02","Per=Y","Days=T","Dir=V")</f>
        <v>0</v>
      </c>
      <c r="K2">
        <f>BDH("LYTS US Equity","BS_CASH_NEAR_CASH_ITEM","1993-06-18","2026-05-02","Per=Y","Days=T","Dir=V")</f>
        <v>0</v>
      </c>
      <c r="M2">
        <f>BDH("LYTS US Equity","BS_CUR_ASSET_REPORT","1993-06-18","2026-05-02","Per=Y","Days=T","Dir=V")</f>
        <v>0</v>
      </c>
      <c r="O2">
        <f>BDH("LYTS US Equity","BS_CUR_LIAB","1993-06-18","2026-05-02","Per=Y","Days=T","Dir=V")</f>
        <v>0</v>
      </c>
      <c r="Q2">
        <f>BDH("LYTS US Equity","BS_SHAREHOLDER_EQY_ENDING_PERIOD","1993-06-18","2026-05-02","Per=Y","Days=T","Dir=V")</f>
        <v>0</v>
      </c>
      <c r="S2">
        <f>BDH("LYTS US Equity","BS_ACCT_NOTE_RCV","1993-06-18","2026-05-02","Per=Y","Days=T","Dir=V")</f>
        <v>0</v>
      </c>
      <c r="U2">
        <f>BDH("LYTS US Equity","BS_INVENTORIES","1993-06-18","2026-05-02","Per=Y","Days=T","Dir=V")</f>
        <v>0</v>
      </c>
      <c r="W2">
        <f>BDH("LYTS US Equity","WORKING_CAPITAL","1993-06-18","2026-05-02","Per=Y","Days=T","Dir=V")</f>
        <v>0</v>
      </c>
      <c r="Y2">
        <f>BDH("LYTS US Equity","SALES_REV_TURN","1993-06-18","2026-05-02","Per=Y","Days=T","Dir=V")</f>
        <v>0</v>
      </c>
      <c r="AA2">
        <f>BDH("LYTS US Equity","EBIT","1993-06-18","2026-05-02","Per=Y","Days=T","Dir=V")</f>
        <v>0</v>
      </c>
      <c r="AC2">
        <f>BDH("LYTS US Equity","EBITDA","1993-06-18","2026-05-02","Per=Y","Days=T","Dir=V")</f>
        <v>0</v>
      </c>
      <c r="AE2">
        <f>BDH("LYTS US Equity","NET_INCOME","1993-06-18","2026-05-02","Per=Y","Days=T","Dir=V")</f>
        <v>0</v>
      </c>
      <c r="AG2">
        <f>BDH("LYTS US Equity","IS_INT_EXPENSE","1993-06-18","2026-05-02","Per=Y","Days=T","Dir=V")</f>
        <v>0</v>
      </c>
      <c r="AI2">
        <f>BDH("LYTS US Equity","IS_DEPR_EXP","1993-06-18","2026-05-02","Per=Y","Days=T","Dir=V")</f>
        <v>0</v>
      </c>
      <c r="AK2">
        <f>BDH("LYTS US Equity","CF_CASH_FROM_OPER","1993-06-18","2026-05-02","Per=Y","Days=T","Dir=V")</f>
        <v>0</v>
      </c>
      <c r="AM2">
        <f>BDH("LYTS US Equity","CAPITAL_EXPEND","1993-06-18","2026-05-02","Per=Y","Days=T","Dir=V")</f>
        <v>0</v>
      </c>
      <c r="AO2">
        <f>BDH("LYTS US Equity","CF_FREE_CASH_FLOW","1993-06-18","2026-05-02","Per=Y","Days=T","Dir=V")</f>
        <v>0</v>
      </c>
      <c r="AQ2">
        <f>BDH("LYTS US Equity","PX_LAST","1993-06-18","2026-05-02","Per=M","Days=T","Dir=V")</f>
        <v>0</v>
      </c>
      <c r="AS2">
        <f>BDH("LYTS US Equity","CUR_MKT_CAP","1993-06-18","2026-05-02","Per=M","Days=T","Dir=V")</f>
        <v>0</v>
      </c>
      <c r="AU2">
        <f>BDH("LYTS US Equity","EQY_SH_OUT","1993-06-18","2026-05-02","Per=M","Days=T","Dir=V")</f>
        <v>0</v>
      </c>
      <c r="AW2">
        <f>BDH("LYTS US Equity","PX_VOLUME","1993-06-18","2026-05-02","Per=M","Days=T","Dir=V")</f>
        <v>0</v>
      </c>
      <c r="AY2">
        <f>BDH("LYTS US Equity","TURNOVER","1993-06-18","2026-05-02","Per=M","Days=T","Dir=V")</f>
        <v>0</v>
      </c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BDH("LYV US Equity","BS_TOT_ASSET","1993-06-18","2026-05-02","Per=Y","Days=T","Dir=V")</f>
        <v>0</v>
      </c>
      <c r="C2">
        <f>BDH("LYV US Equity","BS_TOT_LIAB2","1993-06-18","2026-05-02","Per=Y","Days=T","Dir=V")</f>
        <v>0</v>
      </c>
      <c r="E2">
        <f>BDH("LYV US Equity","SHORT_AND_LONG_TERM_DEBT","1993-06-18","2026-05-02","Per=Y","Days=T","Dir=V")</f>
        <v>0</v>
      </c>
      <c r="G2">
        <f>BDH("LYV US Equity","BS_ST_BORROW","1993-06-18","2026-05-02","Per=Y","Days=T","Dir=V")</f>
        <v>0</v>
      </c>
      <c r="I2">
        <f>BDH("LYV US Equity","BS_LT_BORROW","1993-06-18","2026-05-02","Per=Y","Days=T","Dir=V")</f>
        <v>0</v>
      </c>
      <c r="K2">
        <f>BDH("LYV US Equity","BS_CASH_NEAR_CASH_ITEM","1993-06-18","2026-05-02","Per=Y","Days=T","Dir=V")</f>
        <v>0</v>
      </c>
      <c r="M2">
        <f>BDH("LYV US Equity","BS_CUR_ASSET_REPORT","1993-06-18","2026-05-02","Per=Y","Days=T","Dir=V")</f>
        <v>0</v>
      </c>
      <c r="O2">
        <f>BDH("LYV US Equity","BS_CUR_LIAB","1993-06-18","2026-05-02","Per=Y","Days=T","Dir=V")</f>
        <v>0</v>
      </c>
      <c r="Q2">
        <f>BDH("LYV US Equity","BS_SHAREHOLDER_EQY_ENDING_PERIOD","1993-06-18","2026-05-02","Per=Y","Days=T","Dir=V")</f>
        <v>0</v>
      </c>
      <c r="S2">
        <f>BDH("LYV US Equity","BS_ACCT_NOTE_RCV","1993-06-18","2026-05-02","Per=Y","Days=T","Dir=V")</f>
        <v>0</v>
      </c>
      <c r="U2">
        <f>BDH("LYV US Equity","BS_INVENTORIES","1993-06-18","2026-05-02","Per=Y","Days=T","Dir=V")</f>
        <v>0</v>
      </c>
      <c r="W2">
        <f>BDH("LYV US Equity","WORKING_CAPITAL","1993-06-18","2026-05-02","Per=Y","Days=T","Dir=V")</f>
        <v>0</v>
      </c>
      <c r="Y2">
        <f>BDH("LYV US Equity","SALES_REV_TURN","1993-06-18","2026-05-02","Per=Y","Days=T","Dir=V")</f>
        <v>0</v>
      </c>
      <c r="AA2">
        <f>BDH("LYV US Equity","EBIT","1993-06-18","2026-05-02","Per=Y","Days=T","Dir=V")</f>
        <v>0</v>
      </c>
      <c r="AC2">
        <f>BDH("LYV US Equity","EBITDA","1993-06-18","2026-05-02","Per=Y","Days=T","Dir=V")</f>
        <v>0</v>
      </c>
      <c r="AE2">
        <f>BDH("LYV US Equity","NET_INCOME","1993-06-18","2026-05-02","Per=Y","Days=T","Dir=V")</f>
        <v>0</v>
      </c>
      <c r="AG2">
        <f>BDH("LYV US Equity","IS_INT_EXPENSE","1993-06-18","2026-05-02","Per=Y","Days=T","Dir=V")</f>
        <v>0</v>
      </c>
      <c r="AI2">
        <f>BDH("LYV US Equity","IS_DEPR_EXP","1993-06-18","2026-05-02","Per=Y","Days=T","Dir=V")</f>
        <v>0</v>
      </c>
      <c r="AK2">
        <f>BDH("LYV US Equity","CF_CASH_FROM_OPER","1993-06-18","2026-05-02","Per=Y","Days=T","Dir=V")</f>
        <v>0</v>
      </c>
      <c r="AM2">
        <f>BDH("LYV US Equity","CAPITAL_EXPEND","1993-06-18","2026-05-02","Per=Y","Days=T","Dir=V")</f>
        <v>0</v>
      </c>
      <c r="AO2">
        <f>BDH("LYV US Equity","CF_FREE_CASH_FLOW","1993-06-18","2026-05-02","Per=Y","Days=T","Dir=V")</f>
        <v>0</v>
      </c>
      <c r="AQ2">
        <f>BDH("LYV US Equity","PX_LAST","1993-06-18","2026-05-02","Per=M","Days=T","Dir=V")</f>
        <v>0</v>
      </c>
      <c r="AS2">
        <f>BDH("LYV US Equity","CUR_MKT_CAP","1993-06-18","2026-05-02","Per=M","Days=T","Dir=V")</f>
        <v>0</v>
      </c>
      <c r="AU2">
        <f>BDH("LYV US Equity","EQY_SH_OUT","1993-06-18","2026-05-02","Per=M","Days=T","Dir=V")</f>
        <v>0</v>
      </c>
      <c r="AW2">
        <f>BDH("LYV US Equity","PX_VOLUME","1993-06-18","2026-05-02","Per=M","Days=T","Dir=V")</f>
        <v>0</v>
      </c>
      <c r="AY2">
        <f>BDH("LYV US Equity","TURNOVER","1993-06-18","2026-05-02","Per=M","Days=T","Dir=V")</f>
        <v>0</v>
      </c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BDH("LZ US Equity","BS_TOT_ASSET","1993-06-18","2026-05-02","Per=Y","Days=T","Dir=V")</f>
        <v>0</v>
      </c>
      <c r="C2">
        <f>BDH("LZ US Equity","BS_TOT_LIAB2","1993-06-18","2026-05-02","Per=Y","Days=T","Dir=V")</f>
        <v>0</v>
      </c>
      <c r="E2">
        <f>BDH("LZ US Equity","SHORT_AND_LONG_TERM_DEBT","1993-06-18","2026-05-02","Per=Y","Days=T","Dir=V")</f>
        <v>0</v>
      </c>
      <c r="G2">
        <f>BDH("LZ US Equity","BS_ST_BORROW","1993-06-18","2026-05-02","Per=Y","Days=T","Dir=V")</f>
        <v>0</v>
      </c>
      <c r="I2">
        <f>BDH("LZ US Equity","BS_LT_BORROW","1993-06-18","2026-05-02","Per=Y","Days=T","Dir=V")</f>
        <v>0</v>
      </c>
      <c r="K2">
        <f>BDH("LZ US Equity","BS_CASH_NEAR_CASH_ITEM","1993-06-18","2026-05-02","Per=Y","Days=T","Dir=V")</f>
        <v>0</v>
      </c>
      <c r="M2">
        <f>BDH("LZ US Equity","BS_CUR_ASSET_REPORT","1993-06-18","2026-05-02","Per=Y","Days=T","Dir=V")</f>
        <v>0</v>
      </c>
      <c r="O2">
        <f>BDH("LZ US Equity","BS_CUR_LIAB","1993-06-18","2026-05-02","Per=Y","Days=T","Dir=V")</f>
        <v>0</v>
      </c>
      <c r="Q2">
        <f>BDH("LZ US Equity","BS_SHAREHOLDER_EQY_ENDING_PERIOD","1993-06-18","2026-05-02","Per=Y","Days=T","Dir=V")</f>
        <v>0</v>
      </c>
      <c r="S2">
        <f>BDH("LZ US Equity","BS_ACCT_NOTE_RCV","1993-06-18","2026-05-02","Per=Y","Days=T","Dir=V")</f>
        <v>0</v>
      </c>
      <c r="U2">
        <f>BDH("LZ US Equity","BS_INVENTORIES","1993-06-18","2026-05-02","Per=Y","Days=T","Dir=V")</f>
        <v>0</v>
      </c>
      <c r="W2">
        <f>BDH("LZ US Equity","WORKING_CAPITAL","1993-06-18","2026-05-02","Per=Y","Days=T","Dir=V")</f>
        <v>0</v>
      </c>
      <c r="Y2">
        <f>BDH("LZ US Equity","SALES_REV_TURN","1993-06-18","2026-05-02","Per=Y","Days=T","Dir=V")</f>
        <v>0</v>
      </c>
      <c r="AA2">
        <f>BDH("LZ US Equity","EBIT","1993-06-18","2026-05-02","Per=Y","Days=T","Dir=V")</f>
        <v>0</v>
      </c>
      <c r="AC2">
        <f>BDH("LZ US Equity","EBITDA","1993-06-18","2026-05-02","Per=Y","Days=T","Dir=V")</f>
        <v>0</v>
      </c>
      <c r="AE2">
        <f>BDH("LZ US Equity","NET_INCOME","1993-06-18","2026-05-02","Per=Y","Days=T","Dir=V")</f>
        <v>0</v>
      </c>
      <c r="AG2">
        <f>BDH("LZ US Equity","IS_INT_EXPENSE","1993-06-18","2026-05-02","Per=Y","Days=T","Dir=V")</f>
        <v>0</v>
      </c>
      <c r="AI2">
        <f>BDH("LZ US Equity","IS_DEPR_EXP","1993-06-18","2026-05-02","Per=Y","Days=T","Dir=V")</f>
        <v>0</v>
      </c>
      <c r="AK2">
        <f>BDH("LZ US Equity","CF_CASH_FROM_OPER","1993-06-18","2026-05-02","Per=Y","Days=T","Dir=V")</f>
        <v>0</v>
      </c>
      <c r="AM2">
        <f>BDH("LZ US Equity","CAPITAL_EXPEND","1993-06-18","2026-05-02","Per=Y","Days=T","Dir=V")</f>
        <v>0</v>
      </c>
      <c r="AO2">
        <f>BDH("LZ US Equity","CF_FREE_CASH_FLOW","1993-06-18","2026-05-02","Per=Y","Days=T","Dir=V")</f>
        <v>0</v>
      </c>
      <c r="AQ2">
        <f>BDH("LZ US Equity","PX_LAST","1993-06-18","2026-05-02","Per=M","Days=T","Dir=V")</f>
        <v>0</v>
      </c>
      <c r="AS2">
        <f>BDH("LZ US Equity","CUR_MKT_CAP","1993-06-18","2026-05-02","Per=M","Days=T","Dir=V")</f>
        <v>0</v>
      </c>
      <c r="AU2">
        <f>BDH("LZ US Equity","EQY_SH_OUT","1993-06-18","2026-05-02","Per=M","Days=T","Dir=V")</f>
        <v>0</v>
      </c>
      <c r="AW2">
        <f>BDH("LZ US Equity","PX_VOLUME","1993-06-18","2026-05-02","Per=M","Days=T","Dir=V")</f>
        <v>0</v>
      </c>
      <c r="AY2">
        <f>BDH("LZ US Equity","TURNOVER","1993-06-18","2026-05-02","Per=M","Days=T","Dir=V")</f>
        <v>0</v>
      </c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BDH("LZB US Equity","BS_TOT_ASSET","1993-06-18","2026-05-02","Per=Y","Days=T","Dir=V")</f>
        <v>0</v>
      </c>
      <c r="C2">
        <f>BDH("LZB US Equity","BS_TOT_LIAB2","1993-06-18","2026-05-02","Per=Y","Days=T","Dir=V")</f>
        <v>0</v>
      </c>
      <c r="E2">
        <f>BDH("LZB US Equity","SHORT_AND_LONG_TERM_DEBT","1993-06-18","2026-05-02","Per=Y","Days=T","Dir=V")</f>
        <v>0</v>
      </c>
      <c r="G2">
        <f>BDH("LZB US Equity","BS_ST_BORROW","1993-06-18","2026-05-02","Per=Y","Days=T","Dir=V")</f>
        <v>0</v>
      </c>
      <c r="I2">
        <f>BDH("LZB US Equity","BS_LT_BORROW","1993-06-18","2026-05-02","Per=Y","Days=T","Dir=V")</f>
        <v>0</v>
      </c>
      <c r="K2">
        <f>BDH("LZB US Equity","BS_CASH_NEAR_CASH_ITEM","1993-06-18","2026-05-02","Per=Y","Days=T","Dir=V")</f>
        <v>0</v>
      </c>
      <c r="M2">
        <f>BDH("LZB US Equity","BS_CUR_ASSET_REPORT","1993-06-18","2026-05-02","Per=Y","Days=T","Dir=V")</f>
        <v>0</v>
      </c>
      <c r="O2">
        <f>BDH("LZB US Equity","BS_CUR_LIAB","1993-06-18","2026-05-02","Per=Y","Days=T","Dir=V")</f>
        <v>0</v>
      </c>
      <c r="Q2">
        <f>BDH("LZB US Equity","BS_SHAREHOLDER_EQY_ENDING_PERIOD","1993-06-18","2026-05-02","Per=Y","Days=T","Dir=V")</f>
        <v>0</v>
      </c>
      <c r="S2">
        <f>BDH("LZB US Equity","BS_ACCT_NOTE_RCV","1993-06-18","2026-05-02","Per=Y","Days=T","Dir=V")</f>
        <v>0</v>
      </c>
      <c r="U2">
        <f>BDH("LZB US Equity","BS_INVENTORIES","1993-06-18","2026-05-02","Per=Y","Days=T","Dir=V")</f>
        <v>0</v>
      </c>
      <c r="W2">
        <f>BDH("LZB US Equity","WORKING_CAPITAL","1993-06-18","2026-05-02","Per=Y","Days=T","Dir=V")</f>
        <v>0</v>
      </c>
      <c r="Y2">
        <f>BDH("LZB US Equity","SALES_REV_TURN","1993-06-18","2026-05-02","Per=Y","Days=T","Dir=V")</f>
        <v>0</v>
      </c>
      <c r="AA2">
        <f>BDH("LZB US Equity","EBIT","1993-06-18","2026-05-02","Per=Y","Days=T","Dir=V")</f>
        <v>0</v>
      </c>
      <c r="AC2">
        <f>BDH("LZB US Equity","EBITDA","1993-06-18","2026-05-02","Per=Y","Days=T","Dir=V")</f>
        <v>0</v>
      </c>
      <c r="AE2">
        <f>BDH("LZB US Equity","NET_INCOME","1993-06-18","2026-05-02","Per=Y","Days=T","Dir=V")</f>
        <v>0</v>
      </c>
      <c r="AG2">
        <f>BDH("LZB US Equity","IS_INT_EXPENSE","1993-06-18","2026-05-02","Per=Y","Days=T","Dir=V")</f>
        <v>0</v>
      </c>
      <c r="AI2">
        <f>BDH("LZB US Equity","IS_DEPR_EXP","1993-06-18","2026-05-02","Per=Y","Days=T","Dir=V")</f>
        <v>0</v>
      </c>
      <c r="AK2">
        <f>BDH("LZB US Equity","CF_CASH_FROM_OPER","1993-06-18","2026-05-02","Per=Y","Days=T","Dir=V")</f>
        <v>0</v>
      </c>
      <c r="AM2">
        <f>BDH("LZB US Equity","CAPITAL_EXPEND","1993-06-18","2026-05-02","Per=Y","Days=T","Dir=V")</f>
        <v>0</v>
      </c>
      <c r="AO2">
        <f>BDH("LZB US Equity","CF_FREE_CASH_FLOW","1993-06-18","2026-05-02","Per=Y","Days=T","Dir=V")</f>
        <v>0</v>
      </c>
      <c r="AQ2">
        <f>BDH("LZB US Equity","PX_LAST","1993-06-18","2026-05-02","Per=M","Days=T","Dir=V")</f>
        <v>0</v>
      </c>
      <c r="AS2">
        <f>BDH("LZB US Equity","CUR_MKT_CAP","1993-06-18","2026-05-02","Per=M","Days=T","Dir=V")</f>
        <v>0</v>
      </c>
      <c r="AU2">
        <f>BDH("LZB US Equity","EQY_SH_OUT","1993-06-18","2026-05-02","Per=M","Days=T","Dir=V")</f>
        <v>0</v>
      </c>
      <c r="AW2">
        <f>BDH("LZB US Equity","PX_VOLUME","1993-06-18","2026-05-02","Per=M","Days=T","Dir=V")</f>
        <v>0</v>
      </c>
      <c r="AY2">
        <f>BDH("LZB US Equity","TURNOVER","1993-06-18","2026-05-02","Per=M","Days=T","Dir=V")</f>
        <v>0</v>
      </c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 US Equity","BS_TOT_ASSET","1993-06-18","2026-05-02","Per=Y","Days=T","Dir=V")</f>
        <v>0</v>
      </c>
      <c r="C2">
        <f>BDH("M US Equity","BS_TOT_LIAB2","1993-06-18","2026-05-02","Per=Y","Days=T","Dir=V")</f>
        <v>0</v>
      </c>
      <c r="E2">
        <f>BDH("M US Equity","SHORT_AND_LONG_TERM_DEBT","1993-06-18","2026-05-02","Per=Y","Days=T","Dir=V")</f>
        <v>0</v>
      </c>
      <c r="G2">
        <f>BDH("M US Equity","BS_ST_BORROW","1993-06-18","2026-05-02","Per=Y","Days=T","Dir=V")</f>
        <v>0</v>
      </c>
      <c r="I2">
        <f>BDH("M US Equity","BS_LT_BORROW","1993-06-18","2026-05-02","Per=Y","Days=T","Dir=V")</f>
        <v>0</v>
      </c>
      <c r="K2">
        <f>BDH("M US Equity","BS_CASH_NEAR_CASH_ITEM","1993-06-18","2026-05-02","Per=Y","Days=T","Dir=V")</f>
        <v>0</v>
      </c>
      <c r="M2">
        <f>BDH("M US Equity","BS_CUR_ASSET_REPORT","1993-06-18","2026-05-02","Per=Y","Days=T","Dir=V")</f>
        <v>0</v>
      </c>
      <c r="O2">
        <f>BDH("M US Equity","BS_CUR_LIAB","1993-06-18","2026-05-02","Per=Y","Days=T","Dir=V")</f>
        <v>0</v>
      </c>
      <c r="Q2">
        <f>BDH("M US Equity","BS_SHAREHOLDER_EQY_ENDING_PERIOD","1993-06-18","2026-05-02","Per=Y","Days=T","Dir=V")</f>
        <v>0</v>
      </c>
      <c r="S2">
        <f>BDH("M US Equity","BS_ACCT_NOTE_RCV","1993-06-18","2026-05-02","Per=Y","Days=T","Dir=V")</f>
        <v>0</v>
      </c>
      <c r="U2">
        <f>BDH("M US Equity","BS_INVENTORIES","1993-06-18","2026-05-02","Per=Y","Days=T","Dir=V")</f>
        <v>0</v>
      </c>
      <c r="W2">
        <f>BDH("M US Equity","WORKING_CAPITAL","1993-06-18","2026-05-02","Per=Y","Days=T","Dir=V")</f>
        <v>0</v>
      </c>
      <c r="Y2">
        <f>BDH("M US Equity","SALES_REV_TURN","1993-06-18","2026-05-02","Per=Y","Days=T","Dir=V")</f>
        <v>0</v>
      </c>
      <c r="AA2">
        <f>BDH("M US Equity","EBIT","1993-06-18","2026-05-02","Per=Y","Days=T","Dir=V")</f>
        <v>0</v>
      </c>
      <c r="AC2">
        <f>BDH("M US Equity","EBITDA","1993-06-18","2026-05-02","Per=Y","Days=T","Dir=V")</f>
        <v>0</v>
      </c>
      <c r="AE2">
        <f>BDH("M US Equity","NET_INCOME","1993-06-18","2026-05-02","Per=Y","Days=T","Dir=V")</f>
        <v>0</v>
      </c>
      <c r="AG2">
        <f>BDH("M US Equity","IS_INT_EXPENSE","1993-06-18","2026-05-02","Per=Y","Days=T","Dir=V")</f>
        <v>0</v>
      </c>
      <c r="AI2">
        <f>BDH("M US Equity","IS_DEPR_EXP","1993-06-18","2026-05-02","Per=Y","Days=T","Dir=V")</f>
        <v>0</v>
      </c>
      <c r="AK2">
        <f>BDH("M US Equity","CF_CASH_FROM_OPER","1993-06-18","2026-05-02","Per=Y","Days=T","Dir=V")</f>
        <v>0</v>
      </c>
      <c r="AM2">
        <f>BDH("M US Equity","CAPITAL_EXPEND","1993-06-18","2026-05-02","Per=Y","Days=T","Dir=V")</f>
        <v>0</v>
      </c>
      <c r="AO2">
        <f>BDH("M US Equity","CF_FREE_CASH_FLOW","1993-06-18","2026-05-02","Per=Y","Days=T","Dir=V")</f>
        <v>0</v>
      </c>
      <c r="AQ2">
        <f>BDH("M US Equity","PX_LAST","1993-06-18","2026-05-02","Per=M","Days=T","Dir=V")</f>
        <v>0</v>
      </c>
      <c r="AS2">
        <f>BDH("M US Equity","CUR_MKT_CAP","1993-06-18","2026-05-02","Per=M","Days=T","Dir=V")</f>
        <v>0</v>
      </c>
      <c r="AU2">
        <f>BDH("M US Equity","EQY_SH_OUT","1993-06-18","2026-05-02","Per=M","Days=T","Dir=V")</f>
        <v>0</v>
      </c>
      <c r="AW2">
        <f>BDH("M US Equity","PX_VOLUME","1993-06-18","2026-05-02","Per=M","Days=T","Dir=V")</f>
        <v>0</v>
      </c>
      <c r="AY2">
        <f>BDH("M US Equity","TURNOVER","1993-06-18","2026-05-02","Per=M","Days=T","Dir=V")</f>
        <v>0</v>
      </c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 US Equity","BS_TOT_ASSET","1993-06-18","2026-05-02","Per=Y","Days=T","Dir=V")</f>
        <v>0</v>
      </c>
      <c r="C2">
        <f>BDH("MA US Equity","BS_TOT_LIAB2","1993-06-18","2026-05-02","Per=Y","Days=T","Dir=V")</f>
        <v>0</v>
      </c>
      <c r="E2">
        <f>BDH("MA US Equity","SHORT_AND_LONG_TERM_DEBT","1993-06-18","2026-05-02","Per=Y","Days=T","Dir=V")</f>
        <v>0</v>
      </c>
      <c r="G2">
        <f>BDH("MA US Equity","BS_ST_BORROW","1993-06-18","2026-05-02","Per=Y","Days=T","Dir=V")</f>
        <v>0</v>
      </c>
      <c r="I2">
        <f>BDH("MA US Equity","BS_LT_BORROW","1993-06-18","2026-05-02","Per=Y","Days=T","Dir=V")</f>
        <v>0</v>
      </c>
      <c r="K2">
        <f>BDH("MA US Equity","BS_CASH_NEAR_CASH_ITEM","1993-06-18","2026-05-02","Per=Y","Days=T","Dir=V")</f>
        <v>0</v>
      </c>
      <c r="M2">
        <f>BDH("MA US Equity","BS_CUR_ASSET_REPORT","1993-06-18","2026-05-02","Per=Y","Days=T","Dir=V")</f>
        <v>0</v>
      </c>
      <c r="O2">
        <f>BDH("MA US Equity","BS_CUR_LIAB","1993-06-18","2026-05-02","Per=Y","Days=T","Dir=V")</f>
        <v>0</v>
      </c>
      <c r="Q2">
        <f>BDH("MA US Equity","BS_SHAREHOLDER_EQY_ENDING_PERIOD","1993-06-18","2026-05-02","Per=Y","Days=T","Dir=V")</f>
        <v>0</v>
      </c>
      <c r="S2">
        <f>BDH("MA US Equity","BS_ACCT_NOTE_RCV","1993-06-18","2026-05-02","Per=Y","Days=T","Dir=V")</f>
        <v>0</v>
      </c>
      <c r="U2">
        <f>BDH("MA US Equity","BS_INVENTORIES","1993-06-18","2026-05-02","Per=Y","Days=T","Dir=V")</f>
        <v>0</v>
      </c>
      <c r="W2">
        <f>BDH("MA US Equity","WORKING_CAPITAL","1993-06-18","2026-05-02","Per=Y","Days=T","Dir=V")</f>
        <v>0</v>
      </c>
      <c r="Y2">
        <f>BDH("MA US Equity","SALES_REV_TURN","1993-06-18","2026-05-02","Per=Y","Days=T","Dir=V")</f>
        <v>0</v>
      </c>
      <c r="AA2">
        <f>BDH("MA US Equity","EBIT","1993-06-18","2026-05-02","Per=Y","Days=T","Dir=V")</f>
        <v>0</v>
      </c>
      <c r="AC2">
        <f>BDH("MA US Equity","EBITDA","1993-06-18","2026-05-02","Per=Y","Days=T","Dir=V")</f>
        <v>0</v>
      </c>
      <c r="AE2">
        <f>BDH("MA US Equity","NET_INCOME","1993-06-18","2026-05-02","Per=Y","Days=T","Dir=V")</f>
        <v>0</v>
      </c>
      <c r="AG2">
        <f>BDH("MA US Equity","IS_INT_EXPENSE","1993-06-18","2026-05-02","Per=Y","Days=T","Dir=V")</f>
        <v>0</v>
      </c>
      <c r="AI2">
        <f>BDH("MA US Equity","IS_DEPR_EXP","1993-06-18","2026-05-02","Per=Y","Days=T","Dir=V")</f>
        <v>0</v>
      </c>
      <c r="AK2">
        <f>BDH("MA US Equity","CF_CASH_FROM_OPER","1993-06-18","2026-05-02","Per=Y","Days=T","Dir=V")</f>
        <v>0</v>
      </c>
      <c r="AM2">
        <f>BDH("MA US Equity","CAPITAL_EXPEND","1993-06-18","2026-05-02","Per=Y","Days=T","Dir=V")</f>
        <v>0</v>
      </c>
      <c r="AO2">
        <f>BDH("MA US Equity","CF_FREE_CASH_FLOW","1993-06-18","2026-05-02","Per=Y","Days=T","Dir=V")</f>
        <v>0</v>
      </c>
      <c r="AQ2">
        <f>BDH("MA US Equity","PX_LAST","1993-06-18","2026-05-02","Per=M","Days=T","Dir=V")</f>
        <v>0</v>
      </c>
      <c r="AS2">
        <f>BDH("MA US Equity","CUR_MKT_CAP","1993-06-18","2026-05-02","Per=M","Days=T","Dir=V")</f>
        <v>0</v>
      </c>
      <c r="AU2">
        <f>BDH("MA US Equity","EQY_SH_OUT","1993-06-18","2026-05-02","Per=M","Days=T","Dir=V")</f>
        <v>0</v>
      </c>
      <c r="AW2">
        <f>BDH("MA US Equity","PX_VOLUME","1993-06-18","2026-05-02","Per=M","Days=T","Dir=V")</f>
        <v>0</v>
      </c>
      <c r="AY2">
        <f>BDH("MA US Equity","TURNOVER","1993-06-18","2026-05-02","Per=M","Days=T","Dir=V")</f>
        <v>0</v>
      </c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BDH("MAGN US Equity","BS_TOT_ASSET","1993-06-18","2026-05-02","Per=Y","Days=T","Dir=V")</f>
        <v>0</v>
      </c>
      <c r="C2">
        <f>BDH("MAGN US Equity","BS_TOT_LIAB2","1993-06-18","2026-05-02","Per=Y","Days=T","Dir=V")</f>
        <v>0</v>
      </c>
      <c r="E2">
        <f>BDH("MAGN US Equity","SHORT_AND_LONG_TERM_DEBT","1993-06-18","2026-05-02","Per=Y","Days=T","Dir=V")</f>
        <v>0</v>
      </c>
      <c r="G2">
        <f>BDH("MAGN US Equity","BS_ST_BORROW","1993-06-18","2026-05-02","Per=Y","Days=T","Dir=V")</f>
        <v>0</v>
      </c>
      <c r="I2">
        <f>BDH("MAGN US Equity","BS_LT_BORROW","1993-06-18","2026-05-02","Per=Y","Days=T","Dir=V")</f>
        <v>0</v>
      </c>
      <c r="K2">
        <f>BDH("MAGN US Equity","BS_CASH_NEAR_CASH_ITEM","1993-06-18","2026-05-02","Per=Y","Days=T","Dir=V")</f>
        <v>0</v>
      </c>
      <c r="M2">
        <f>BDH("MAGN US Equity","BS_CUR_ASSET_REPORT","1993-06-18","2026-05-02","Per=Y","Days=T","Dir=V")</f>
        <v>0</v>
      </c>
      <c r="O2">
        <f>BDH("MAGN US Equity","BS_CUR_LIAB","1993-06-18","2026-05-02","Per=Y","Days=T","Dir=V")</f>
        <v>0</v>
      </c>
      <c r="Q2">
        <f>BDH("MAGN US Equity","BS_SHAREHOLDER_EQY_ENDING_PERIOD","1993-06-18","2026-05-02","Per=Y","Days=T","Dir=V")</f>
        <v>0</v>
      </c>
      <c r="S2">
        <f>BDH("MAGN US Equity","BS_ACCT_NOTE_RCV","1993-06-18","2026-05-02","Per=Y","Days=T","Dir=V")</f>
        <v>0</v>
      </c>
      <c r="U2">
        <f>BDH("MAGN US Equity","BS_INVENTORIES","1993-06-18","2026-05-02","Per=Y","Days=T","Dir=V")</f>
        <v>0</v>
      </c>
      <c r="W2">
        <f>BDH("MAGN US Equity","WORKING_CAPITAL","1993-06-18","2026-05-02","Per=Y","Days=T","Dir=V")</f>
        <v>0</v>
      </c>
      <c r="Y2">
        <f>BDH("MAGN US Equity","SALES_REV_TURN","1993-06-18","2026-05-02","Per=Y","Days=T","Dir=V")</f>
        <v>0</v>
      </c>
      <c r="AA2">
        <f>BDH("MAGN US Equity","EBIT","1993-06-18","2026-05-02","Per=Y","Days=T","Dir=V")</f>
        <v>0</v>
      </c>
      <c r="AC2">
        <f>BDH("MAGN US Equity","EBITDA","1993-06-18","2026-05-02","Per=Y","Days=T","Dir=V")</f>
        <v>0</v>
      </c>
      <c r="AE2">
        <f>BDH("MAGN US Equity","NET_INCOME","1993-06-18","2026-05-02","Per=Y","Days=T","Dir=V")</f>
        <v>0</v>
      </c>
      <c r="AG2">
        <f>BDH("MAGN US Equity","IS_INT_EXPENSE","1993-06-18","2026-05-02","Per=Y","Days=T","Dir=V")</f>
        <v>0</v>
      </c>
      <c r="AI2">
        <f>BDH("MAGN US Equity","IS_DEPR_EXP","1993-06-18","2026-05-02","Per=Y","Days=T","Dir=V")</f>
        <v>0</v>
      </c>
      <c r="AK2">
        <f>BDH("MAGN US Equity","CF_CASH_FROM_OPER","1993-06-18","2026-05-02","Per=Y","Days=T","Dir=V")</f>
        <v>0</v>
      </c>
      <c r="AM2">
        <f>BDH("MAGN US Equity","CAPITAL_EXPEND","1993-06-18","2026-05-02","Per=Y","Days=T","Dir=V")</f>
        <v>0</v>
      </c>
      <c r="AO2">
        <f>BDH("MAGN US Equity","CF_FREE_CASH_FLOW","1993-06-18","2026-05-02","Per=Y","Days=T","Dir=V")</f>
        <v>0</v>
      </c>
      <c r="AQ2">
        <f>BDH("MAGN US Equity","PX_LAST","1993-06-18","2026-05-02","Per=M","Days=T","Dir=V")</f>
        <v>0</v>
      </c>
      <c r="AS2">
        <f>BDH("MAGN US Equity","CUR_MKT_CAP","1993-06-18","2026-05-02","Per=M","Days=T","Dir=V")</f>
        <v>0</v>
      </c>
      <c r="AU2">
        <f>BDH("MAGN US Equity","EQY_SH_OUT","1993-06-18","2026-05-02","Per=M","Days=T","Dir=V")</f>
        <v>0</v>
      </c>
      <c r="AW2">
        <f>BDH("MAGN US Equity","PX_VOLUME","1993-06-18","2026-05-02","Per=M","Days=T","Dir=V")</f>
        <v>0</v>
      </c>
      <c r="AY2">
        <f>BDH("MAGN US Equity","TURNOVER","1993-06-18","2026-05-02","Per=M","Days=T","Dir=V")</f>
        <v>0</v>
      </c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BDH("MAMA US Equity","BS_TOT_ASSET","1993-06-18","2026-05-02","Per=Y","Days=T","Dir=V")</f>
        <v>0</v>
      </c>
      <c r="C2">
        <f>BDH("MAMA US Equity","BS_TOT_LIAB2","1993-06-18","2026-05-02","Per=Y","Days=T","Dir=V")</f>
        <v>0</v>
      </c>
      <c r="E2">
        <f>BDH("MAMA US Equity","SHORT_AND_LONG_TERM_DEBT","1993-06-18","2026-05-02","Per=Y","Days=T","Dir=V")</f>
        <v>0</v>
      </c>
      <c r="G2">
        <f>BDH("MAMA US Equity","BS_ST_BORROW","1993-06-18","2026-05-02","Per=Y","Days=T","Dir=V")</f>
        <v>0</v>
      </c>
      <c r="I2">
        <f>BDH("MAMA US Equity","BS_LT_BORROW","1993-06-18","2026-05-02","Per=Y","Days=T","Dir=V")</f>
        <v>0</v>
      </c>
      <c r="K2">
        <f>BDH("MAMA US Equity","BS_CASH_NEAR_CASH_ITEM","1993-06-18","2026-05-02","Per=Y","Days=T","Dir=V")</f>
        <v>0</v>
      </c>
      <c r="M2">
        <f>BDH("MAMA US Equity","BS_CUR_ASSET_REPORT","1993-06-18","2026-05-02","Per=Y","Days=T","Dir=V")</f>
        <v>0</v>
      </c>
      <c r="O2">
        <f>BDH("MAMA US Equity","BS_CUR_LIAB","1993-06-18","2026-05-02","Per=Y","Days=T","Dir=V")</f>
        <v>0</v>
      </c>
      <c r="Q2">
        <f>BDH("MAMA US Equity","BS_SHAREHOLDER_EQY_ENDING_PERIOD","1993-06-18","2026-05-02","Per=Y","Days=T","Dir=V")</f>
        <v>0</v>
      </c>
      <c r="S2">
        <f>BDH("MAMA US Equity","BS_ACCT_NOTE_RCV","1993-06-18","2026-05-02","Per=Y","Days=T","Dir=V")</f>
        <v>0</v>
      </c>
      <c r="U2">
        <f>BDH("MAMA US Equity","BS_INVENTORIES","1993-06-18","2026-05-02","Per=Y","Days=T","Dir=V")</f>
        <v>0</v>
      </c>
      <c r="W2">
        <f>BDH("MAMA US Equity","WORKING_CAPITAL","1993-06-18","2026-05-02","Per=Y","Days=T","Dir=V")</f>
        <v>0</v>
      </c>
      <c r="Y2">
        <f>BDH("MAMA US Equity","SALES_REV_TURN","1993-06-18","2026-05-02","Per=Y","Days=T","Dir=V")</f>
        <v>0</v>
      </c>
      <c r="AA2">
        <f>BDH("MAMA US Equity","EBIT","1993-06-18","2026-05-02","Per=Y","Days=T","Dir=V")</f>
        <v>0</v>
      </c>
      <c r="AC2">
        <f>BDH("MAMA US Equity","EBITDA","1993-06-18","2026-05-02","Per=Y","Days=T","Dir=V")</f>
        <v>0</v>
      </c>
      <c r="AE2">
        <f>BDH("MAMA US Equity","NET_INCOME","1993-06-18","2026-05-02","Per=Y","Days=T","Dir=V")</f>
        <v>0</v>
      </c>
      <c r="AG2">
        <f>BDH("MAMA US Equity","IS_INT_EXPENSE","1993-06-18","2026-05-02","Per=Y","Days=T","Dir=V")</f>
        <v>0</v>
      </c>
      <c r="AI2">
        <f>BDH("MAMA US Equity","IS_DEPR_EXP","1993-06-18","2026-05-02","Per=Y","Days=T","Dir=V")</f>
        <v>0</v>
      </c>
      <c r="AK2">
        <f>BDH("MAMA US Equity","CF_CASH_FROM_OPER","1993-06-18","2026-05-02","Per=Y","Days=T","Dir=V")</f>
        <v>0</v>
      </c>
      <c r="AM2">
        <f>BDH("MAMA US Equity","CAPITAL_EXPEND","1993-06-18","2026-05-02","Per=Y","Days=T","Dir=V")</f>
        <v>0</v>
      </c>
      <c r="AO2">
        <f>BDH("MAMA US Equity","CF_FREE_CASH_FLOW","1993-06-18","2026-05-02","Per=Y","Days=T","Dir=V")</f>
        <v>0</v>
      </c>
      <c r="AQ2">
        <f>BDH("MAMA US Equity","PX_LAST","1993-06-18","2026-05-02","Per=M","Days=T","Dir=V")</f>
        <v>0</v>
      </c>
      <c r="AS2">
        <f>BDH("MAMA US Equity","CUR_MKT_CAP","1993-06-18","2026-05-02","Per=M","Days=T","Dir=V")</f>
        <v>0</v>
      </c>
      <c r="AU2">
        <f>BDH("MAMA US Equity","EQY_SH_OUT","1993-06-18","2026-05-02","Per=M","Days=T","Dir=V")</f>
        <v>0</v>
      </c>
      <c r="AW2">
        <f>BDH("MAMA US Equity","PX_VOLUME","1993-06-18","2026-05-02","Per=M","Days=T","Dir=V")</f>
        <v>0</v>
      </c>
      <c r="AY2">
        <f>BDH("MAMA US Equity","TURNOVER","1993-06-18","2026-05-02","Per=M","Days=T","Dir=V")</f>
        <v>0</v>
      </c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BDH("MAMO US Equity","BS_TOT_ASSET","1993-06-18","2026-05-02","Per=Y","Days=T","Dir=V")</f>
        <v>0</v>
      </c>
      <c r="C2">
        <f>BDH("MAMO US Equity","BS_TOT_LIAB2","1993-06-18","2026-05-02","Per=Y","Days=T","Dir=V")</f>
        <v>0</v>
      </c>
      <c r="E2">
        <f>BDH("MAMO US Equity","SHORT_AND_LONG_TERM_DEBT","1993-06-18","2026-05-02","Per=Y","Days=T","Dir=V")</f>
        <v>0</v>
      </c>
      <c r="G2">
        <f>BDH("MAMO US Equity","BS_ST_BORROW","1993-06-18","2026-05-02","Per=Y","Days=T","Dir=V")</f>
        <v>0</v>
      </c>
      <c r="I2">
        <f>BDH("MAMO US Equity","BS_LT_BORROW","1993-06-18","2026-05-02","Per=Y","Days=T","Dir=V")</f>
        <v>0</v>
      </c>
      <c r="K2">
        <f>BDH("MAMO US Equity","BS_CASH_NEAR_CASH_ITEM","1993-06-18","2026-05-02","Per=Y","Days=T","Dir=V")</f>
        <v>0</v>
      </c>
      <c r="M2">
        <f>BDH("MAMO US Equity","BS_CUR_ASSET_REPORT","1993-06-18","2026-05-02","Per=Y","Days=T","Dir=V")</f>
        <v>0</v>
      </c>
      <c r="O2">
        <f>BDH("MAMO US Equity","BS_CUR_LIAB","1993-06-18","2026-05-02","Per=Y","Days=T","Dir=V")</f>
        <v>0</v>
      </c>
      <c r="Q2">
        <f>BDH("MAMO US Equity","BS_SHAREHOLDER_EQY_ENDING_PERIOD","1993-06-18","2026-05-02","Per=Y","Days=T","Dir=V")</f>
        <v>0</v>
      </c>
      <c r="S2">
        <f>BDH("MAMO US Equity","BS_ACCT_NOTE_RCV","1993-06-18","2026-05-02","Per=Y","Days=T","Dir=V")</f>
        <v>0</v>
      </c>
      <c r="U2">
        <f>BDH("MAMO US Equity","BS_INVENTORIES","1993-06-18","2026-05-02","Per=Y","Days=T","Dir=V")</f>
        <v>0</v>
      </c>
      <c r="W2">
        <f>BDH("MAMO US Equity","WORKING_CAPITAL","1993-06-18","2026-05-02","Per=Y","Days=T","Dir=V")</f>
        <v>0</v>
      </c>
      <c r="Y2">
        <f>BDH("MAMO US Equity","SALES_REV_TURN","1993-06-18","2026-05-02","Per=Y","Days=T","Dir=V")</f>
        <v>0</v>
      </c>
      <c r="AA2">
        <f>BDH("MAMO US Equity","EBIT","1993-06-18","2026-05-02","Per=Y","Days=T","Dir=V")</f>
        <v>0</v>
      </c>
      <c r="AC2">
        <f>BDH("MAMO US Equity","EBITDA","1993-06-18","2026-05-02","Per=Y","Days=T","Dir=V")</f>
        <v>0</v>
      </c>
      <c r="AE2">
        <f>BDH("MAMO US Equity","NET_INCOME","1993-06-18","2026-05-02","Per=Y","Days=T","Dir=V")</f>
        <v>0</v>
      </c>
      <c r="AG2">
        <f>BDH("MAMO US Equity","IS_INT_EXPENSE","1993-06-18","2026-05-02","Per=Y","Days=T","Dir=V")</f>
        <v>0</v>
      </c>
      <c r="AI2">
        <f>BDH("MAMO US Equity","IS_DEPR_EXP","1993-06-18","2026-05-02","Per=Y","Days=T","Dir=V")</f>
        <v>0</v>
      </c>
      <c r="AK2">
        <f>BDH("MAMO US Equity","CF_CASH_FROM_OPER","1993-06-18","2026-05-02","Per=Y","Days=T","Dir=V")</f>
        <v>0</v>
      </c>
      <c r="AM2">
        <f>BDH("MAMO US Equity","CAPITAL_EXPEND","1993-06-18","2026-05-02","Per=Y","Days=T","Dir=V")</f>
        <v>0</v>
      </c>
      <c r="AO2">
        <f>BDH("MAMO US Equity","CF_FREE_CASH_FLOW","1993-06-18","2026-05-02","Per=Y","Days=T","Dir=V")</f>
        <v>0</v>
      </c>
      <c r="AQ2">
        <f>BDH("MAMO US Equity","PX_LAST","1993-06-18","2026-05-02","Per=M","Days=T","Dir=V")</f>
        <v>0</v>
      </c>
      <c r="AS2">
        <f>BDH("MAMO US Equity","CUR_MKT_CAP","1993-06-18","2026-05-02","Per=M","Days=T","Dir=V")</f>
        <v>0</v>
      </c>
      <c r="AU2">
        <f>BDH("MAMO US Equity","EQY_SH_OUT","1993-06-18","2026-05-02","Per=M","Days=T","Dir=V")</f>
        <v>0</v>
      </c>
      <c r="AW2">
        <f>BDH("MAMO US Equity","PX_VOLUME","1993-06-18","2026-05-02","Per=M","Days=T","Dir=V")</f>
        <v>0</v>
      </c>
      <c r="AY2">
        <f>BDH("MAMO US Equity","TURNOVER","1993-06-18","2026-05-02","Per=M","Days=T","Dir=V")</f>
        <v>0</v>
      </c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BDH("MAN US Equity","BS_TOT_ASSET","1993-06-18","2026-05-02","Per=Y","Days=T","Dir=V")</f>
        <v>0</v>
      </c>
      <c r="C2">
        <f>BDH("MAN US Equity","BS_TOT_LIAB2","1993-06-18","2026-05-02","Per=Y","Days=T","Dir=V")</f>
        <v>0</v>
      </c>
      <c r="E2">
        <f>BDH("MAN US Equity","SHORT_AND_LONG_TERM_DEBT","1993-06-18","2026-05-02","Per=Y","Days=T","Dir=V")</f>
        <v>0</v>
      </c>
      <c r="G2">
        <f>BDH("MAN US Equity","BS_ST_BORROW","1993-06-18","2026-05-02","Per=Y","Days=T","Dir=V")</f>
        <v>0</v>
      </c>
      <c r="I2">
        <f>BDH("MAN US Equity","BS_LT_BORROW","1993-06-18","2026-05-02","Per=Y","Days=T","Dir=V")</f>
        <v>0</v>
      </c>
      <c r="K2">
        <f>BDH("MAN US Equity","BS_CASH_NEAR_CASH_ITEM","1993-06-18","2026-05-02","Per=Y","Days=T","Dir=V")</f>
        <v>0</v>
      </c>
      <c r="M2">
        <f>BDH("MAN US Equity","BS_CUR_ASSET_REPORT","1993-06-18","2026-05-02","Per=Y","Days=T","Dir=V")</f>
        <v>0</v>
      </c>
      <c r="O2">
        <f>BDH("MAN US Equity","BS_CUR_LIAB","1993-06-18","2026-05-02","Per=Y","Days=T","Dir=V")</f>
        <v>0</v>
      </c>
      <c r="Q2">
        <f>BDH("MAN US Equity","BS_SHAREHOLDER_EQY_ENDING_PERIOD","1993-06-18","2026-05-02","Per=Y","Days=T","Dir=V")</f>
        <v>0</v>
      </c>
      <c r="S2">
        <f>BDH("MAN US Equity","BS_ACCT_NOTE_RCV","1993-06-18","2026-05-02","Per=Y","Days=T","Dir=V")</f>
        <v>0</v>
      </c>
      <c r="U2">
        <f>BDH("MAN US Equity","BS_INVENTORIES","1993-06-18","2026-05-02","Per=Y","Days=T","Dir=V")</f>
        <v>0</v>
      </c>
      <c r="W2">
        <f>BDH("MAN US Equity","WORKING_CAPITAL","1993-06-18","2026-05-02","Per=Y","Days=T","Dir=V")</f>
        <v>0</v>
      </c>
      <c r="Y2">
        <f>BDH("MAN US Equity","SALES_REV_TURN","1993-06-18","2026-05-02","Per=Y","Days=T","Dir=V")</f>
        <v>0</v>
      </c>
      <c r="AA2">
        <f>BDH("MAN US Equity","EBIT","1993-06-18","2026-05-02","Per=Y","Days=T","Dir=V")</f>
        <v>0</v>
      </c>
      <c r="AC2">
        <f>BDH("MAN US Equity","EBITDA","1993-06-18","2026-05-02","Per=Y","Days=T","Dir=V")</f>
        <v>0</v>
      </c>
      <c r="AE2">
        <f>BDH("MAN US Equity","NET_INCOME","1993-06-18","2026-05-02","Per=Y","Days=T","Dir=V")</f>
        <v>0</v>
      </c>
      <c r="AG2">
        <f>BDH("MAN US Equity","IS_INT_EXPENSE","1993-06-18","2026-05-02","Per=Y","Days=T","Dir=V")</f>
        <v>0</v>
      </c>
      <c r="AI2">
        <f>BDH("MAN US Equity","IS_DEPR_EXP","1993-06-18","2026-05-02","Per=Y","Days=T","Dir=V")</f>
        <v>0</v>
      </c>
      <c r="AK2">
        <f>BDH("MAN US Equity","CF_CASH_FROM_OPER","1993-06-18","2026-05-02","Per=Y","Days=T","Dir=V")</f>
        <v>0</v>
      </c>
      <c r="AM2">
        <f>BDH("MAN US Equity","CAPITAL_EXPEND","1993-06-18","2026-05-02","Per=Y","Days=T","Dir=V")</f>
        <v>0</v>
      </c>
      <c r="AO2">
        <f>BDH("MAN US Equity","CF_FREE_CASH_FLOW","1993-06-18","2026-05-02","Per=Y","Days=T","Dir=V")</f>
        <v>0</v>
      </c>
      <c r="AQ2">
        <f>BDH("MAN US Equity","PX_LAST","1993-06-18","2026-05-02","Per=M","Days=T","Dir=V")</f>
        <v>0</v>
      </c>
      <c r="AS2">
        <f>BDH("MAN US Equity","CUR_MKT_CAP","1993-06-18","2026-05-02","Per=M","Days=T","Dir=V")</f>
        <v>0</v>
      </c>
      <c r="AU2">
        <f>BDH("MAN US Equity","EQY_SH_OUT","1993-06-18","2026-05-02","Per=M","Days=T","Dir=V")</f>
        <v>0</v>
      </c>
      <c r="AW2">
        <f>BDH("MAN US Equity","PX_VOLUME","1993-06-18","2026-05-02","Per=M","Days=T","Dir=V")</f>
        <v>0</v>
      </c>
      <c r="AY2">
        <f>BDH("MAN US Equity","TURNOVER","1993-06-18","2026-05-02","Per=M","Days=T","Dir=V")</f>
        <v>0</v>
      </c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BDH("MANH US Equity","BS_TOT_ASSET","1993-06-18","2026-05-02","Per=Y","Days=T","Dir=V")</f>
        <v>0</v>
      </c>
      <c r="C2">
        <f>BDH("MANH US Equity","BS_TOT_LIAB2","1993-06-18","2026-05-02","Per=Y","Days=T","Dir=V")</f>
        <v>0</v>
      </c>
      <c r="E2">
        <f>BDH("MANH US Equity","SHORT_AND_LONG_TERM_DEBT","1993-06-18","2026-05-02","Per=Y","Days=T","Dir=V")</f>
        <v>0</v>
      </c>
      <c r="G2">
        <f>BDH("MANH US Equity","BS_ST_BORROW","1993-06-18","2026-05-02","Per=Y","Days=T","Dir=V")</f>
        <v>0</v>
      </c>
      <c r="I2">
        <f>BDH("MANH US Equity","BS_LT_BORROW","1993-06-18","2026-05-02","Per=Y","Days=T","Dir=V")</f>
        <v>0</v>
      </c>
      <c r="K2">
        <f>BDH("MANH US Equity","BS_CASH_NEAR_CASH_ITEM","1993-06-18","2026-05-02","Per=Y","Days=T","Dir=V")</f>
        <v>0</v>
      </c>
      <c r="M2">
        <f>BDH("MANH US Equity","BS_CUR_ASSET_REPORT","1993-06-18","2026-05-02","Per=Y","Days=T","Dir=V")</f>
        <v>0</v>
      </c>
      <c r="O2">
        <f>BDH("MANH US Equity","BS_CUR_LIAB","1993-06-18","2026-05-02","Per=Y","Days=T","Dir=V")</f>
        <v>0</v>
      </c>
      <c r="Q2">
        <f>BDH("MANH US Equity","BS_SHAREHOLDER_EQY_ENDING_PERIOD","1993-06-18","2026-05-02","Per=Y","Days=T","Dir=V")</f>
        <v>0</v>
      </c>
      <c r="S2">
        <f>BDH("MANH US Equity","BS_ACCT_NOTE_RCV","1993-06-18","2026-05-02","Per=Y","Days=T","Dir=V")</f>
        <v>0</v>
      </c>
      <c r="U2">
        <f>BDH("MANH US Equity","BS_INVENTORIES","1993-06-18","2026-05-02","Per=Y","Days=T","Dir=V")</f>
        <v>0</v>
      </c>
      <c r="W2">
        <f>BDH("MANH US Equity","WORKING_CAPITAL","1993-06-18","2026-05-02","Per=Y","Days=T","Dir=V")</f>
        <v>0</v>
      </c>
      <c r="Y2">
        <f>BDH("MANH US Equity","SALES_REV_TURN","1993-06-18","2026-05-02","Per=Y","Days=T","Dir=V")</f>
        <v>0</v>
      </c>
      <c r="AA2">
        <f>BDH("MANH US Equity","EBIT","1993-06-18","2026-05-02","Per=Y","Days=T","Dir=V")</f>
        <v>0</v>
      </c>
      <c r="AC2">
        <f>BDH("MANH US Equity","EBITDA","1993-06-18","2026-05-02","Per=Y","Days=T","Dir=V")</f>
        <v>0</v>
      </c>
      <c r="AE2">
        <f>BDH("MANH US Equity","NET_INCOME","1993-06-18","2026-05-02","Per=Y","Days=T","Dir=V")</f>
        <v>0</v>
      </c>
      <c r="AG2">
        <f>BDH("MANH US Equity","IS_INT_EXPENSE","1993-06-18","2026-05-02","Per=Y","Days=T","Dir=V")</f>
        <v>0</v>
      </c>
      <c r="AI2">
        <f>BDH("MANH US Equity","IS_DEPR_EXP","1993-06-18","2026-05-02","Per=Y","Days=T","Dir=V")</f>
        <v>0</v>
      </c>
      <c r="AK2">
        <f>BDH("MANH US Equity","CF_CASH_FROM_OPER","1993-06-18","2026-05-02","Per=Y","Days=T","Dir=V")</f>
        <v>0</v>
      </c>
      <c r="AM2">
        <f>BDH("MANH US Equity","CAPITAL_EXPEND","1993-06-18","2026-05-02","Per=Y","Days=T","Dir=V")</f>
        <v>0</v>
      </c>
      <c r="AO2">
        <f>BDH("MANH US Equity","CF_FREE_CASH_FLOW","1993-06-18","2026-05-02","Per=Y","Days=T","Dir=V")</f>
        <v>0</v>
      </c>
      <c r="AQ2">
        <f>BDH("MANH US Equity","PX_LAST","1993-06-18","2026-05-02","Per=M","Days=T","Dir=V")</f>
        <v>0</v>
      </c>
      <c r="AS2">
        <f>BDH("MANH US Equity","CUR_MKT_CAP","1993-06-18","2026-05-02","Per=M","Days=T","Dir=V")</f>
        <v>0</v>
      </c>
      <c r="AU2">
        <f>BDH("MANH US Equity","EQY_SH_OUT","1993-06-18","2026-05-02","Per=M","Days=T","Dir=V")</f>
        <v>0</v>
      </c>
      <c r="AW2">
        <f>BDH("MANH US Equity","PX_VOLUME","1993-06-18","2026-05-02","Per=M","Days=T","Dir=V")</f>
        <v>0</v>
      </c>
      <c r="AY2">
        <f>BDH("MANH US Equity","TURNOVER","1993-06-18","2026-05-02","Per=M","Days=T","Dir=V")</f>
        <v>0</v>
      </c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BDH("MAR US Equity","BS_TOT_ASSET","1993-06-18","2026-05-02","Per=Y","Days=T","Dir=V")</f>
        <v>0</v>
      </c>
      <c r="C2">
        <f>BDH("MAR US Equity","BS_TOT_LIAB2","1993-06-18","2026-05-02","Per=Y","Days=T","Dir=V")</f>
        <v>0</v>
      </c>
      <c r="E2">
        <f>BDH("MAR US Equity","SHORT_AND_LONG_TERM_DEBT","1993-06-18","2026-05-02","Per=Y","Days=T","Dir=V")</f>
        <v>0</v>
      </c>
      <c r="G2">
        <f>BDH("MAR US Equity","BS_ST_BORROW","1993-06-18","2026-05-02","Per=Y","Days=T","Dir=V")</f>
        <v>0</v>
      </c>
      <c r="I2">
        <f>BDH("MAR US Equity","BS_LT_BORROW","1993-06-18","2026-05-02","Per=Y","Days=T","Dir=V")</f>
        <v>0</v>
      </c>
      <c r="K2">
        <f>BDH("MAR US Equity","BS_CASH_NEAR_CASH_ITEM","1993-06-18","2026-05-02","Per=Y","Days=T","Dir=V")</f>
        <v>0</v>
      </c>
      <c r="M2">
        <f>BDH("MAR US Equity","BS_CUR_ASSET_REPORT","1993-06-18","2026-05-02","Per=Y","Days=T","Dir=V")</f>
        <v>0</v>
      </c>
      <c r="O2">
        <f>BDH("MAR US Equity","BS_CUR_LIAB","1993-06-18","2026-05-02","Per=Y","Days=T","Dir=V")</f>
        <v>0</v>
      </c>
      <c r="Q2">
        <f>BDH("MAR US Equity","BS_SHAREHOLDER_EQY_ENDING_PERIOD","1993-06-18","2026-05-02","Per=Y","Days=T","Dir=V")</f>
        <v>0</v>
      </c>
      <c r="S2">
        <f>BDH("MAR US Equity","BS_ACCT_NOTE_RCV","1993-06-18","2026-05-02","Per=Y","Days=T","Dir=V")</f>
        <v>0</v>
      </c>
      <c r="U2">
        <f>BDH("MAR US Equity","BS_INVENTORIES","1993-06-18","2026-05-02","Per=Y","Days=T","Dir=V")</f>
        <v>0</v>
      </c>
      <c r="W2">
        <f>BDH("MAR US Equity","WORKING_CAPITAL","1993-06-18","2026-05-02","Per=Y","Days=T","Dir=V")</f>
        <v>0</v>
      </c>
      <c r="Y2">
        <f>BDH("MAR US Equity","SALES_REV_TURN","1993-06-18","2026-05-02","Per=Y","Days=T","Dir=V")</f>
        <v>0</v>
      </c>
      <c r="AA2">
        <f>BDH("MAR US Equity","EBIT","1993-06-18","2026-05-02","Per=Y","Days=T","Dir=V")</f>
        <v>0</v>
      </c>
      <c r="AC2">
        <f>BDH("MAR US Equity","EBITDA","1993-06-18","2026-05-02","Per=Y","Days=T","Dir=V")</f>
        <v>0</v>
      </c>
      <c r="AE2">
        <f>BDH("MAR US Equity","NET_INCOME","1993-06-18","2026-05-02","Per=Y","Days=T","Dir=V")</f>
        <v>0</v>
      </c>
      <c r="AG2">
        <f>BDH("MAR US Equity","IS_INT_EXPENSE","1993-06-18","2026-05-02","Per=Y","Days=T","Dir=V")</f>
        <v>0</v>
      </c>
      <c r="AI2">
        <f>BDH("MAR US Equity","IS_DEPR_EXP","1993-06-18","2026-05-02","Per=Y","Days=T","Dir=V")</f>
        <v>0</v>
      </c>
      <c r="AK2">
        <f>BDH("MAR US Equity","CF_CASH_FROM_OPER","1993-06-18","2026-05-02","Per=Y","Days=T","Dir=V")</f>
        <v>0</v>
      </c>
      <c r="AM2">
        <f>BDH("MAR US Equity","CAPITAL_EXPEND","1993-06-18","2026-05-02","Per=Y","Days=T","Dir=V")</f>
        <v>0</v>
      </c>
      <c r="AO2">
        <f>BDH("MAR US Equity","CF_FREE_CASH_FLOW","1993-06-18","2026-05-02","Per=Y","Days=T","Dir=V")</f>
        <v>0</v>
      </c>
      <c r="AQ2">
        <f>BDH("MAR US Equity","PX_LAST","1993-06-18","2026-05-02","Per=M","Days=T","Dir=V")</f>
        <v>0</v>
      </c>
      <c r="AS2">
        <f>BDH("MAR US Equity","CUR_MKT_CAP","1993-06-18","2026-05-02","Per=M","Days=T","Dir=V")</f>
        <v>0</v>
      </c>
      <c r="AU2">
        <f>BDH("MAR US Equity","EQY_SH_OUT","1993-06-18","2026-05-02","Per=M","Days=T","Dir=V")</f>
        <v>0</v>
      </c>
      <c r="AW2">
        <f>BDH("MAR US Equity","PX_VOLUME","1993-06-18","2026-05-02","Per=M","Days=T","Dir=V")</f>
        <v>0</v>
      </c>
      <c r="AY2">
        <f>BDH("MAR US Equity","TURNOVER","1993-06-18","2026-05-02","Per=M","Days=T","Dir=V")</f>
        <v>0</v>
      </c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BDH("MARPS US Equity","BS_TOT_ASSET","1993-06-18","2026-05-02","Per=Y","Days=T","Dir=V")</f>
        <v>0</v>
      </c>
      <c r="C2">
        <f>BDH("MARPS US Equity","BS_TOT_LIAB2","1993-06-18","2026-05-02","Per=Y","Days=T","Dir=V")</f>
        <v>0</v>
      </c>
      <c r="E2">
        <f>BDH("MARPS US Equity","SHORT_AND_LONG_TERM_DEBT","1993-06-18","2026-05-02","Per=Y","Days=T","Dir=V")</f>
        <v>0</v>
      </c>
      <c r="G2">
        <f>BDH("MARPS US Equity","BS_ST_BORROW","1993-06-18","2026-05-02","Per=Y","Days=T","Dir=V")</f>
        <v>0</v>
      </c>
      <c r="I2">
        <f>BDH("MARPS US Equity","BS_LT_BORROW","1993-06-18","2026-05-02","Per=Y","Days=T","Dir=V")</f>
        <v>0</v>
      </c>
      <c r="K2">
        <f>BDH("MARPS US Equity","BS_CASH_NEAR_CASH_ITEM","1993-06-18","2026-05-02","Per=Y","Days=T","Dir=V")</f>
        <v>0</v>
      </c>
      <c r="M2">
        <f>BDH("MARPS US Equity","BS_CUR_ASSET_REPORT","1993-06-18","2026-05-02","Per=Y","Days=T","Dir=V")</f>
        <v>0</v>
      </c>
      <c r="O2">
        <f>BDH("MARPS US Equity","BS_CUR_LIAB","1993-06-18","2026-05-02","Per=Y","Days=T","Dir=V")</f>
        <v>0</v>
      </c>
      <c r="Q2">
        <f>BDH("MARPS US Equity","BS_SHAREHOLDER_EQY_ENDING_PERIOD","1993-06-18","2026-05-02","Per=Y","Days=T","Dir=V")</f>
        <v>0</v>
      </c>
      <c r="S2">
        <f>BDH("MARPS US Equity","BS_ACCT_NOTE_RCV","1993-06-18","2026-05-02","Per=Y","Days=T","Dir=V")</f>
        <v>0</v>
      </c>
      <c r="U2">
        <f>BDH("MARPS US Equity","BS_INVENTORIES","1993-06-18","2026-05-02","Per=Y","Days=T","Dir=V")</f>
        <v>0</v>
      </c>
      <c r="W2">
        <f>BDH("MARPS US Equity","WORKING_CAPITAL","1993-06-18","2026-05-02","Per=Y","Days=T","Dir=V")</f>
        <v>0</v>
      </c>
      <c r="Y2">
        <f>BDH("MARPS US Equity","SALES_REV_TURN","1993-06-18","2026-05-02","Per=Y","Days=T","Dir=V")</f>
        <v>0</v>
      </c>
      <c r="AA2">
        <f>BDH("MARPS US Equity","EBIT","1993-06-18","2026-05-02","Per=Y","Days=T","Dir=V")</f>
        <v>0</v>
      </c>
      <c r="AC2">
        <f>BDH("MARPS US Equity","EBITDA","1993-06-18","2026-05-02","Per=Y","Days=T","Dir=V")</f>
        <v>0</v>
      </c>
      <c r="AE2">
        <f>BDH("MARPS US Equity","NET_INCOME","1993-06-18","2026-05-02","Per=Y","Days=T","Dir=V")</f>
        <v>0</v>
      </c>
      <c r="AG2">
        <f>BDH("MARPS US Equity","IS_INT_EXPENSE","1993-06-18","2026-05-02","Per=Y","Days=T","Dir=V")</f>
        <v>0</v>
      </c>
      <c r="AI2">
        <f>BDH("MARPS US Equity","IS_DEPR_EXP","1993-06-18","2026-05-02","Per=Y","Days=T","Dir=V")</f>
        <v>0</v>
      </c>
      <c r="AK2">
        <f>BDH("MARPS US Equity","CF_CASH_FROM_OPER","1993-06-18","2026-05-02","Per=Y","Days=T","Dir=V")</f>
        <v>0</v>
      </c>
      <c r="AM2">
        <f>BDH("MARPS US Equity","CAPITAL_EXPEND","1993-06-18","2026-05-02","Per=Y","Days=T","Dir=V")</f>
        <v>0</v>
      </c>
      <c r="AO2">
        <f>BDH("MARPS US Equity","CF_FREE_CASH_FLOW","1993-06-18","2026-05-02","Per=Y","Days=T","Dir=V")</f>
        <v>0</v>
      </c>
      <c r="AQ2">
        <f>BDH("MARPS US Equity","PX_LAST","1993-06-18","2026-05-02","Per=M","Days=T","Dir=V")</f>
        <v>0</v>
      </c>
      <c r="AS2">
        <f>BDH("MARPS US Equity","CUR_MKT_CAP","1993-06-18","2026-05-02","Per=M","Days=T","Dir=V")</f>
        <v>0</v>
      </c>
      <c r="AU2">
        <f>BDH("MARPS US Equity","EQY_SH_OUT","1993-06-18","2026-05-02","Per=M","Days=T","Dir=V")</f>
        <v>0</v>
      </c>
      <c r="AW2">
        <f>BDH("MARPS US Equity","PX_VOLUME","1993-06-18","2026-05-02","Per=M","Days=T","Dir=V")</f>
        <v>0</v>
      </c>
      <c r="AY2">
        <f>BDH("MARPS US Equity","TURNOVER","1993-06-18","2026-05-02","Per=M","Days=T","Dir=V")</f>
        <v>0</v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BDH("MAS US Equity","BS_TOT_ASSET","1993-06-18","2026-05-02","Per=Y","Days=T","Dir=V")</f>
        <v>0</v>
      </c>
      <c r="C2">
        <f>BDH("MAS US Equity","BS_TOT_LIAB2","1993-06-18","2026-05-02","Per=Y","Days=T","Dir=V")</f>
        <v>0</v>
      </c>
      <c r="E2">
        <f>BDH("MAS US Equity","SHORT_AND_LONG_TERM_DEBT","1993-06-18","2026-05-02","Per=Y","Days=T","Dir=V")</f>
        <v>0</v>
      </c>
      <c r="G2">
        <f>BDH("MAS US Equity","BS_ST_BORROW","1993-06-18","2026-05-02","Per=Y","Days=T","Dir=V")</f>
        <v>0</v>
      </c>
      <c r="I2">
        <f>BDH("MAS US Equity","BS_LT_BORROW","1993-06-18","2026-05-02","Per=Y","Days=T","Dir=V")</f>
        <v>0</v>
      </c>
      <c r="K2">
        <f>BDH("MAS US Equity","BS_CASH_NEAR_CASH_ITEM","1993-06-18","2026-05-02","Per=Y","Days=T","Dir=V")</f>
        <v>0</v>
      </c>
      <c r="M2">
        <f>BDH("MAS US Equity","BS_CUR_ASSET_REPORT","1993-06-18","2026-05-02","Per=Y","Days=T","Dir=V")</f>
        <v>0</v>
      </c>
      <c r="O2">
        <f>BDH("MAS US Equity","BS_CUR_LIAB","1993-06-18","2026-05-02","Per=Y","Days=T","Dir=V")</f>
        <v>0</v>
      </c>
      <c r="Q2">
        <f>BDH("MAS US Equity","BS_SHAREHOLDER_EQY_ENDING_PERIOD","1993-06-18","2026-05-02","Per=Y","Days=T","Dir=V")</f>
        <v>0</v>
      </c>
      <c r="S2">
        <f>BDH("MAS US Equity","BS_ACCT_NOTE_RCV","1993-06-18","2026-05-02","Per=Y","Days=T","Dir=V")</f>
        <v>0</v>
      </c>
      <c r="U2">
        <f>BDH("MAS US Equity","BS_INVENTORIES","1993-06-18","2026-05-02","Per=Y","Days=T","Dir=V")</f>
        <v>0</v>
      </c>
      <c r="W2">
        <f>BDH("MAS US Equity","WORKING_CAPITAL","1993-06-18","2026-05-02","Per=Y","Days=T","Dir=V")</f>
        <v>0</v>
      </c>
      <c r="Y2">
        <f>BDH("MAS US Equity","SALES_REV_TURN","1993-06-18","2026-05-02","Per=Y","Days=T","Dir=V")</f>
        <v>0</v>
      </c>
      <c r="AA2">
        <f>BDH("MAS US Equity","EBIT","1993-06-18","2026-05-02","Per=Y","Days=T","Dir=V")</f>
        <v>0</v>
      </c>
      <c r="AC2">
        <f>BDH("MAS US Equity","EBITDA","1993-06-18","2026-05-02","Per=Y","Days=T","Dir=V")</f>
        <v>0</v>
      </c>
      <c r="AE2">
        <f>BDH("MAS US Equity","NET_INCOME","1993-06-18","2026-05-02","Per=Y","Days=T","Dir=V")</f>
        <v>0</v>
      </c>
      <c r="AG2">
        <f>BDH("MAS US Equity","IS_INT_EXPENSE","1993-06-18","2026-05-02","Per=Y","Days=T","Dir=V")</f>
        <v>0</v>
      </c>
      <c r="AI2">
        <f>BDH("MAS US Equity","IS_DEPR_EXP","1993-06-18","2026-05-02","Per=Y","Days=T","Dir=V")</f>
        <v>0</v>
      </c>
      <c r="AK2">
        <f>BDH("MAS US Equity","CF_CASH_FROM_OPER","1993-06-18","2026-05-02","Per=Y","Days=T","Dir=V")</f>
        <v>0</v>
      </c>
      <c r="AM2">
        <f>BDH("MAS US Equity","CAPITAL_EXPEND","1993-06-18","2026-05-02","Per=Y","Days=T","Dir=V")</f>
        <v>0</v>
      </c>
      <c r="AO2">
        <f>BDH("MAS US Equity","CF_FREE_CASH_FLOW","1993-06-18","2026-05-02","Per=Y","Days=T","Dir=V")</f>
        <v>0</v>
      </c>
      <c r="AQ2">
        <f>BDH("MAS US Equity","PX_LAST","1993-06-18","2026-05-02","Per=M","Days=T","Dir=V")</f>
        <v>0</v>
      </c>
      <c r="AS2">
        <f>BDH("MAS US Equity","CUR_MKT_CAP","1993-06-18","2026-05-02","Per=M","Days=T","Dir=V")</f>
        <v>0</v>
      </c>
      <c r="AU2">
        <f>BDH("MAS US Equity","EQY_SH_OUT","1993-06-18","2026-05-02","Per=M","Days=T","Dir=V")</f>
        <v>0</v>
      </c>
      <c r="AW2">
        <f>BDH("MAS US Equity","PX_VOLUME","1993-06-18","2026-05-02","Per=M","Days=T","Dir=V")</f>
        <v>0</v>
      </c>
      <c r="AY2">
        <f>BDH("MAS US Equity","TURNOVER","1993-06-18","2026-05-02","Per=M","Days=T","Dir=V")</f>
        <v>0</v>
      </c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BDH("MASS US Equity","BS_TOT_ASSET","1993-06-18","2026-05-02","Per=Y","Days=T","Dir=V")</f>
        <v>0</v>
      </c>
      <c r="C2">
        <f>BDH("MASS US Equity","BS_TOT_LIAB2","1993-06-18","2026-05-02","Per=Y","Days=T","Dir=V")</f>
        <v>0</v>
      </c>
      <c r="E2">
        <f>BDH("MASS US Equity","SHORT_AND_LONG_TERM_DEBT","1993-06-18","2026-05-02","Per=Y","Days=T","Dir=V")</f>
        <v>0</v>
      </c>
      <c r="G2">
        <f>BDH("MASS US Equity","BS_ST_BORROW","1993-06-18","2026-05-02","Per=Y","Days=T","Dir=V")</f>
        <v>0</v>
      </c>
      <c r="I2">
        <f>BDH("MASS US Equity","BS_LT_BORROW","1993-06-18","2026-05-02","Per=Y","Days=T","Dir=V")</f>
        <v>0</v>
      </c>
      <c r="K2">
        <f>BDH("MASS US Equity","BS_CASH_NEAR_CASH_ITEM","1993-06-18","2026-05-02","Per=Y","Days=T","Dir=V")</f>
        <v>0</v>
      </c>
      <c r="M2">
        <f>BDH("MASS US Equity","BS_CUR_ASSET_REPORT","1993-06-18","2026-05-02","Per=Y","Days=T","Dir=V")</f>
        <v>0</v>
      </c>
      <c r="O2">
        <f>BDH("MASS US Equity","BS_CUR_LIAB","1993-06-18","2026-05-02","Per=Y","Days=T","Dir=V")</f>
        <v>0</v>
      </c>
      <c r="Q2">
        <f>BDH("MASS US Equity","BS_SHAREHOLDER_EQY_ENDING_PERIOD","1993-06-18","2026-05-02","Per=Y","Days=T","Dir=V")</f>
        <v>0</v>
      </c>
      <c r="S2">
        <f>BDH("MASS US Equity","BS_ACCT_NOTE_RCV","1993-06-18","2026-05-02","Per=Y","Days=T","Dir=V")</f>
        <v>0</v>
      </c>
      <c r="U2">
        <f>BDH("MASS US Equity","BS_INVENTORIES","1993-06-18","2026-05-02","Per=Y","Days=T","Dir=V")</f>
        <v>0</v>
      </c>
      <c r="W2">
        <f>BDH("MASS US Equity","WORKING_CAPITAL","1993-06-18","2026-05-02","Per=Y","Days=T","Dir=V")</f>
        <v>0</v>
      </c>
      <c r="Y2">
        <f>BDH("MASS US Equity","SALES_REV_TURN","1993-06-18","2026-05-02","Per=Y","Days=T","Dir=V")</f>
        <v>0</v>
      </c>
      <c r="AA2">
        <f>BDH("MASS US Equity","EBIT","1993-06-18","2026-05-02","Per=Y","Days=T","Dir=V")</f>
        <v>0</v>
      </c>
      <c r="AC2">
        <f>BDH("MASS US Equity","EBITDA","1993-06-18","2026-05-02","Per=Y","Days=T","Dir=V")</f>
        <v>0</v>
      </c>
      <c r="AE2">
        <f>BDH("MASS US Equity","NET_INCOME","1993-06-18","2026-05-02","Per=Y","Days=T","Dir=V")</f>
        <v>0</v>
      </c>
      <c r="AG2">
        <f>BDH("MASS US Equity","IS_INT_EXPENSE","1993-06-18","2026-05-02","Per=Y","Days=T","Dir=V")</f>
        <v>0</v>
      </c>
      <c r="AI2">
        <f>BDH("MASS US Equity","IS_DEPR_EXP","1993-06-18","2026-05-02","Per=Y","Days=T","Dir=V")</f>
        <v>0</v>
      </c>
      <c r="AK2">
        <f>BDH("MASS US Equity","CF_CASH_FROM_OPER","1993-06-18","2026-05-02","Per=Y","Days=T","Dir=V")</f>
        <v>0</v>
      </c>
      <c r="AM2">
        <f>BDH("MASS US Equity","CAPITAL_EXPEND","1993-06-18","2026-05-02","Per=Y","Days=T","Dir=V")</f>
        <v>0</v>
      </c>
      <c r="AO2">
        <f>BDH("MASS US Equity","CF_FREE_CASH_FLOW","1993-06-18","2026-05-02","Per=Y","Days=T","Dir=V")</f>
        <v>0</v>
      </c>
      <c r="AQ2">
        <f>BDH("MASS US Equity","PX_LAST","1993-06-18","2026-05-02","Per=M","Days=T","Dir=V")</f>
        <v>0</v>
      </c>
      <c r="AS2">
        <f>BDH("MASS US Equity","CUR_MKT_CAP","1993-06-18","2026-05-02","Per=M","Days=T","Dir=V")</f>
        <v>0</v>
      </c>
      <c r="AU2">
        <f>BDH("MASS US Equity","EQY_SH_OUT","1993-06-18","2026-05-02","Per=M","Days=T","Dir=V")</f>
        <v>0</v>
      </c>
      <c r="AW2">
        <f>BDH("MASS US Equity","PX_VOLUME","1993-06-18","2026-05-02","Per=M","Days=T","Dir=V")</f>
        <v>0</v>
      </c>
      <c r="AY2">
        <f>BDH("MASS US Equity","TURNOVER","1993-06-18","2026-05-02","Per=M","Days=T","Dir=V")</f>
        <v>0</v>
      </c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BDH("MAT US Equity","BS_TOT_ASSET","1993-06-18","2026-05-02","Per=Y","Days=T","Dir=V")</f>
        <v>0</v>
      </c>
      <c r="C2">
        <f>BDH("MAT US Equity","BS_TOT_LIAB2","1993-06-18","2026-05-02","Per=Y","Days=T","Dir=V")</f>
        <v>0</v>
      </c>
      <c r="E2">
        <f>BDH("MAT US Equity","SHORT_AND_LONG_TERM_DEBT","1993-06-18","2026-05-02","Per=Y","Days=T","Dir=V")</f>
        <v>0</v>
      </c>
      <c r="G2">
        <f>BDH("MAT US Equity","BS_ST_BORROW","1993-06-18","2026-05-02","Per=Y","Days=T","Dir=V")</f>
        <v>0</v>
      </c>
      <c r="I2">
        <f>BDH("MAT US Equity","BS_LT_BORROW","1993-06-18","2026-05-02","Per=Y","Days=T","Dir=V")</f>
        <v>0</v>
      </c>
      <c r="K2">
        <f>BDH("MAT US Equity","BS_CASH_NEAR_CASH_ITEM","1993-06-18","2026-05-02","Per=Y","Days=T","Dir=V")</f>
        <v>0</v>
      </c>
      <c r="M2">
        <f>BDH("MAT US Equity","BS_CUR_ASSET_REPORT","1993-06-18","2026-05-02","Per=Y","Days=T","Dir=V")</f>
        <v>0</v>
      </c>
      <c r="O2">
        <f>BDH("MAT US Equity","BS_CUR_LIAB","1993-06-18","2026-05-02","Per=Y","Days=T","Dir=V")</f>
        <v>0</v>
      </c>
      <c r="Q2">
        <f>BDH("MAT US Equity","BS_SHAREHOLDER_EQY_ENDING_PERIOD","1993-06-18","2026-05-02","Per=Y","Days=T","Dir=V")</f>
        <v>0</v>
      </c>
      <c r="S2">
        <f>BDH("MAT US Equity","BS_ACCT_NOTE_RCV","1993-06-18","2026-05-02","Per=Y","Days=T","Dir=V")</f>
        <v>0</v>
      </c>
      <c r="U2">
        <f>BDH("MAT US Equity","BS_INVENTORIES","1993-06-18","2026-05-02","Per=Y","Days=T","Dir=V")</f>
        <v>0</v>
      </c>
      <c r="W2">
        <f>BDH("MAT US Equity","WORKING_CAPITAL","1993-06-18","2026-05-02","Per=Y","Days=T","Dir=V")</f>
        <v>0</v>
      </c>
      <c r="Y2">
        <f>BDH("MAT US Equity","SALES_REV_TURN","1993-06-18","2026-05-02","Per=Y","Days=T","Dir=V")</f>
        <v>0</v>
      </c>
      <c r="AA2">
        <f>BDH("MAT US Equity","EBIT","1993-06-18","2026-05-02","Per=Y","Days=T","Dir=V")</f>
        <v>0</v>
      </c>
      <c r="AC2">
        <f>BDH("MAT US Equity","EBITDA","1993-06-18","2026-05-02","Per=Y","Days=T","Dir=V")</f>
        <v>0</v>
      </c>
      <c r="AE2">
        <f>BDH("MAT US Equity","NET_INCOME","1993-06-18","2026-05-02","Per=Y","Days=T","Dir=V")</f>
        <v>0</v>
      </c>
      <c r="AG2">
        <f>BDH("MAT US Equity","IS_INT_EXPENSE","1993-06-18","2026-05-02","Per=Y","Days=T","Dir=V")</f>
        <v>0</v>
      </c>
      <c r="AI2">
        <f>BDH("MAT US Equity","IS_DEPR_EXP","1993-06-18","2026-05-02","Per=Y","Days=T","Dir=V")</f>
        <v>0</v>
      </c>
      <c r="AK2">
        <f>BDH("MAT US Equity","CF_CASH_FROM_OPER","1993-06-18","2026-05-02","Per=Y","Days=T","Dir=V")</f>
        <v>0</v>
      </c>
      <c r="AM2">
        <f>BDH("MAT US Equity","CAPITAL_EXPEND","1993-06-18","2026-05-02","Per=Y","Days=T","Dir=V")</f>
        <v>0</v>
      </c>
      <c r="AO2">
        <f>BDH("MAT US Equity","CF_FREE_CASH_FLOW","1993-06-18","2026-05-02","Per=Y","Days=T","Dir=V")</f>
        <v>0</v>
      </c>
      <c r="AQ2">
        <f>BDH("MAT US Equity","PX_LAST","1993-06-18","2026-05-02","Per=M","Days=T","Dir=V")</f>
        <v>0</v>
      </c>
      <c r="AS2">
        <f>BDH("MAT US Equity","CUR_MKT_CAP","1993-06-18","2026-05-02","Per=M","Days=T","Dir=V")</f>
        <v>0</v>
      </c>
      <c r="AU2">
        <f>BDH("MAT US Equity","EQY_SH_OUT","1993-06-18","2026-05-02","Per=M","Days=T","Dir=V")</f>
        <v>0</v>
      </c>
      <c r="AW2">
        <f>BDH("MAT US Equity","PX_VOLUME","1993-06-18","2026-05-02","Per=M","Days=T","Dir=V")</f>
        <v>0</v>
      </c>
      <c r="AY2">
        <f>BDH("MAT US Equity","TURNOVER","1993-06-18","2026-05-02","Per=M","Days=T","Dir=V")</f>
        <v>0</v>
      </c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BDH("MATV US Equity","BS_TOT_ASSET","1993-06-18","2026-05-02","Per=Y","Days=T","Dir=V")</f>
        <v>0</v>
      </c>
      <c r="C2">
        <f>BDH("MATV US Equity","BS_TOT_LIAB2","1993-06-18","2026-05-02","Per=Y","Days=T","Dir=V")</f>
        <v>0</v>
      </c>
      <c r="E2">
        <f>BDH("MATV US Equity","SHORT_AND_LONG_TERM_DEBT","1993-06-18","2026-05-02","Per=Y","Days=T","Dir=V")</f>
        <v>0</v>
      </c>
      <c r="G2">
        <f>BDH("MATV US Equity","BS_ST_BORROW","1993-06-18","2026-05-02","Per=Y","Days=T","Dir=V")</f>
        <v>0</v>
      </c>
      <c r="I2">
        <f>BDH("MATV US Equity","BS_LT_BORROW","1993-06-18","2026-05-02","Per=Y","Days=T","Dir=V")</f>
        <v>0</v>
      </c>
      <c r="K2">
        <f>BDH("MATV US Equity","BS_CASH_NEAR_CASH_ITEM","1993-06-18","2026-05-02","Per=Y","Days=T","Dir=V")</f>
        <v>0</v>
      </c>
      <c r="M2">
        <f>BDH("MATV US Equity","BS_CUR_ASSET_REPORT","1993-06-18","2026-05-02","Per=Y","Days=T","Dir=V")</f>
        <v>0</v>
      </c>
      <c r="O2">
        <f>BDH("MATV US Equity","BS_CUR_LIAB","1993-06-18","2026-05-02","Per=Y","Days=T","Dir=V")</f>
        <v>0</v>
      </c>
      <c r="Q2">
        <f>BDH("MATV US Equity","BS_SHAREHOLDER_EQY_ENDING_PERIOD","1993-06-18","2026-05-02","Per=Y","Days=T","Dir=V")</f>
        <v>0</v>
      </c>
      <c r="S2">
        <f>BDH("MATV US Equity","BS_ACCT_NOTE_RCV","1993-06-18","2026-05-02","Per=Y","Days=T","Dir=V")</f>
        <v>0</v>
      </c>
      <c r="U2">
        <f>BDH("MATV US Equity","BS_INVENTORIES","1993-06-18","2026-05-02","Per=Y","Days=T","Dir=V")</f>
        <v>0</v>
      </c>
      <c r="W2">
        <f>BDH("MATV US Equity","WORKING_CAPITAL","1993-06-18","2026-05-02","Per=Y","Days=T","Dir=V")</f>
        <v>0</v>
      </c>
      <c r="Y2">
        <f>BDH("MATV US Equity","SALES_REV_TURN","1993-06-18","2026-05-02","Per=Y","Days=T","Dir=V")</f>
        <v>0</v>
      </c>
      <c r="AA2">
        <f>BDH("MATV US Equity","EBIT","1993-06-18","2026-05-02","Per=Y","Days=T","Dir=V")</f>
        <v>0</v>
      </c>
      <c r="AC2">
        <f>BDH("MATV US Equity","EBITDA","1993-06-18","2026-05-02","Per=Y","Days=T","Dir=V")</f>
        <v>0</v>
      </c>
      <c r="AE2">
        <f>BDH("MATV US Equity","NET_INCOME","1993-06-18","2026-05-02","Per=Y","Days=T","Dir=V")</f>
        <v>0</v>
      </c>
      <c r="AG2">
        <f>BDH("MATV US Equity","IS_INT_EXPENSE","1993-06-18","2026-05-02","Per=Y","Days=T","Dir=V")</f>
        <v>0</v>
      </c>
      <c r="AI2">
        <f>BDH("MATV US Equity","IS_DEPR_EXP","1993-06-18","2026-05-02","Per=Y","Days=T","Dir=V")</f>
        <v>0</v>
      </c>
      <c r="AK2">
        <f>BDH("MATV US Equity","CF_CASH_FROM_OPER","1993-06-18","2026-05-02","Per=Y","Days=T","Dir=V")</f>
        <v>0</v>
      </c>
      <c r="AM2">
        <f>BDH("MATV US Equity","CAPITAL_EXPEND","1993-06-18","2026-05-02","Per=Y","Days=T","Dir=V")</f>
        <v>0</v>
      </c>
      <c r="AO2">
        <f>BDH("MATV US Equity","CF_FREE_CASH_FLOW","1993-06-18","2026-05-02","Per=Y","Days=T","Dir=V")</f>
        <v>0</v>
      </c>
      <c r="AQ2">
        <f>BDH("MATV US Equity","PX_LAST","1993-06-18","2026-05-02","Per=M","Days=T","Dir=V")</f>
        <v>0</v>
      </c>
      <c r="AS2">
        <f>BDH("MATV US Equity","CUR_MKT_CAP","1993-06-18","2026-05-02","Per=M","Days=T","Dir=V")</f>
        <v>0</v>
      </c>
      <c r="AU2">
        <f>BDH("MATV US Equity","EQY_SH_OUT","1993-06-18","2026-05-02","Per=M","Days=T","Dir=V")</f>
        <v>0</v>
      </c>
      <c r="AW2">
        <f>BDH("MATV US Equity","PX_VOLUME","1993-06-18","2026-05-02","Per=M","Days=T","Dir=V")</f>
        <v>0</v>
      </c>
      <c r="AY2">
        <f>BDH("MATV US Equity","TURNOVER","1993-06-18","2026-05-02","Per=M","Days=T","Dir=V")</f>
        <v>0</v>
      </c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BDH("MATW US Equity","BS_TOT_ASSET","1993-06-18","2026-05-02","Per=Y","Days=T","Dir=V")</f>
        <v>0</v>
      </c>
      <c r="C2">
        <f>BDH("MATW US Equity","BS_TOT_LIAB2","1993-06-18","2026-05-02","Per=Y","Days=T","Dir=V")</f>
        <v>0</v>
      </c>
      <c r="E2">
        <f>BDH("MATW US Equity","SHORT_AND_LONG_TERM_DEBT","1993-06-18","2026-05-02","Per=Y","Days=T","Dir=V")</f>
        <v>0</v>
      </c>
      <c r="G2">
        <f>BDH("MATW US Equity","BS_ST_BORROW","1993-06-18","2026-05-02","Per=Y","Days=T","Dir=V")</f>
        <v>0</v>
      </c>
      <c r="I2">
        <f>BDH("MATW US Equity","BS_LT_BORROW","1993-06-18","2026-05-02","Per=Y","Days=T","Dir=V")</f>
        <v>0</v>
      </c>
      <c r="K2">
        <f>BDH("MATW US Equity","BS_CASH_NEAR_CASH_ITEM","1993-06-18","2026-05-02","Per=Y","Days=T","Dir=V")</f>
        <v>0</v>
      </c>
      <c r="M2">
        <f>BDH("MATW US Equity","BS_CUR_ASSET_REPORT","1993-06-18","2026-05-02","Per=Y","Days=T","Dir=V")</f>
        <v>0</v>
      </c>
      <c r="O2">
        <f>BDH("MATW US Equity","BS_CUR_LIAB","1993-06-18","2026-05-02","Per=Y","Days=T","Dir=V")</f>
        <v>0</v>
      </c>
      <c r="Q2">
        <f>BDH("MATW US Equity","BS_SHAREHOLDER_EQY_ENDING_PERIOD","1993-06-18","2026-05-02","Per=Y","Days=T","Dir=V")</f>
        <v>0</v>
      </c>
      <c r="S2">
        <f>BDH("MATW US Equity","BS_ACCT_NOTE_RCV","1993-06-18","2026-05-02","Per=Y","Days=T","Dir=V")</f>
        <v>0</v>
      </c>
      <c r="U2">
        <f>BDH("MATW US Equity","BS_INVENTORIES","1993-06-18","2026-05-02","Per=Y","Days=T","Dir=V")</f>
        <v>0</v>
      </c>
      <c r="W2">
        <f>BDH("MATW US Equity","WORKING_CAPITAL","1993-06-18","2026-05-02","Per=Y","Days=T","Dir=V")</f>
        <v>0</v>
      </c>
      <c r="Y2">
        <f>BDH("MATW US Equity","SALES_REV_TURN","1993-06-18","2026-05-02","Per=Y","Days=T","Dir=V")</f>
        <v>0</v>
      </c>
      <c r="AA2">
        <f>BDH("MATW US Equity","EBIT","1993-06-18","2026-05-02","Per=Y","Days=T","Dir=V")</f>
        <v>0</v>
      </c>
      <c r="AC2">
        <f>BDH("MATW US Equity","EBITDA","1993-06-18","2026-05-02","Per=Y","Days=T","Dir=V")</f>
        <v>0</v>
      </c>
      <c r="AE2">
        <f>BDH("MATW US Equity","NET_INCOME","1993-06-18","2026-05-02","Per=Y","Days=T","Dir=V")</f>
        <v>0</v>
      </c>
      <c r="AG2">
        <f>BDH("MATW US Equity","IS_INT_EXPENSE","1993-06-18","2026-05-02","Per=Y","Days=T","Dir=V")</f>
        <v>0</v>
      </c>
      <c r="AI2">
        <f>BDH("MATW US Equity","IS_DEPR_EXP","1993-06-18","2026-05-02","Per=Y","Days=T","Dir=V")</f>
        <v>0</v>
      </c>
      <c r="AK2">
        <f>BDH("MATW US Equity","CF_CASH_FROM_OPER","1993-06-18","2026-05-02","Per=Y","Days=T","Dir=V")</f>
        <v>0</v>
      </c>
      <c r="AM2">
        <f>BDH("MATW US Equity","CAPITAL_EXPEND","1993-06-18","2026-05-02","Per=Y","Days=T","Dir=V")</f>
        <v>0</v>
      </c>
      <c r="AO2">
        <f>BDH("MATW US Equity","CF_FREE_CASH_FLOW","1993-06-18","2026-05-02","Per=Y","Days=T","Dir=V")</f>
        <v>0</v>
      </c>
      <c r="AQ2">
        <f>BDH("MATW US Equity","PX_LAST","1993-06-18","2026-05-02","Per=M","Days=T","Dir=V")</f>
        <v>0</v>
      </c>
      <c r="AS2">
        <f>BDH("MATW US Equity","CUR_MKT_CAP","1993-06-18","2026-05-02","Per=M","Days=T","Dir=V")</f>
        <v>0</v>
      </c>
      <c r="AU2">
        <f>BDH("MATW US Equity","EQY_SH_OUT","1993-06-18","2026-05-02","Per=M","Days=T","Dir=V")</f>
        <v>0</v>
      </c>
      <c r="AW2">
        <f>BDH("MATW US Equity","PX_VOLUME","1993-06-18","2026-05-02","Per=M","Days=T","Dir=V")</f>
        <v>0</v>
      </c>
      <c r="AY2">
        <f>BDH("MATW US Equity","TURNOVER","1993-06-18","2026-05-02","Per=M","Days=T","Dir=V")</f>
        <v>0</v>
      </c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BDH("MATX US Equity","BS_TOT_ASSET","1993-06-18","2026-05-02","Per=Y","Days=T","Dir=V")</f>
        <v>0</v>
      </c>
      <c r="C2">
        <f>BDH("MATX US Equity","BS_TOT_LIAB2","1993-06-18","2026-05-02","Per=Y","Days=T","Dir=V")</f>
        <v>0</v>
      </c>
      <c r="E2">
        <f>BDH("MATX US Equity","SHORT_AND_LONG_TERM_DEBT","1993-06-18","2026-05-02","Per=Y","Days=T","Dir=V")</f>
        <v>0</v>
      </c>
      <c r="G2">
        <f>BDH("MATX US Equity","BS_ST_BORROW","1993-06-18","2026-05-02","Per=Y","Days=T","Dir=V")</f>
        <v>0</v>
      </c>
      <c r="I2">
        <f>BDH("MATX US Equity","BS_LT_BORROW","1993-06-18","2026-05-02","Per=Y","Days=T","Dir=V")</f>
        <v>0</v>
      </c>
      <c r="K2">
        <f>BDH("MATX US Equity","BS_CASH_NEAR_CASH_ITEM","1993-06-18","2026-05-02","Per=Y","Days=T","Dir=V")</f>
        <v>0</v>
      </c>
      <c r="M2">
        <f>BDH("MATX US Equity","BS_CUR_ASSET_REPORT","1993-06-18","2026-05-02","Per=Y","Days=T","Dir=V")</f>
        <v>0</v>
      </c>
      <c r="O2">
        <f>BDH("MATX US Equity","BS_CUR_LIAB","1993-06-18","2026-05-02","Per=Y","Days=T","Dir=V")</f>
        <v>0</v>
      </c>
      <c r="Q2">
        <f>BDH("MATX US Equity","BS_SHAREHOLDER_EQY_ENDING_PERIOD","1993-06-18","2026-05-02","Per=Y","Days=T","Dir=V")</f>
        <v>0</v>
      </c>
      <c r="S2">
        <f>BDH("MATX US Equity","BS_ACCT_NOTE_RCV","1993-06-18","2026-05-02","Per=Y","Days=T","Dir=V")</f>
        <v>0</v>
      </c>
      <c r="U2">
        <f>BDH("MATX US Equity","BS_INVENTORIES","1993-06-18","2026-05-02","Per=Y","Days=T","Dir=V")</f>
        <v>0</v>
      </c>
      <c r="W2">
        <f>BDH("MATX US Equity","WORKING_CAPITAL","1993-06-18","2026-05-02","Per=Y","Days=T","Dir=V")</f>
        <v>0</v>
      </c>
      <c r="Y2">
        <f>BDH("MATX US Equity","SALES_REV_TURN","1993-06-18","2026-05-02","Per=Y","Days=T","Dir=V")</f>
        <v>0</v>
      </c>
      <c r="AA2">
        <f>BDH("MATX US Equity","EBIT","1993-06-18","2026-05-02","Per=Y","Days=T","Dir=V")</f>
        <v>0</v>
      </c>
      <c r="AC2">
        <f>BDH("MATX US Equity","EBITDA","1993-06-18","2026-05-02","Per=Y","Days=T","Dir=V")</f>
        <v>0</v>
      </c>
      <c r="AE2">
        <f>BDH("MATX US Equity","NET_INCOME","1993-06-18","2026-05-02","Per=Y","Days=T","Dir=V")</f>
        <v>0</v>
      </c>
      <c r="AG2">
        <f>BDH("MATX US Equity","IS_INT_EXPENSE","1993-06-18","2026-05-02","Per=Y","Days=T","Dir=V")</f>
        <v>0</v>
      </c>
      <c r="AI2">
        <f>BDH("MATX US Equity","IS_DEPR_EXP","1993-06-18","2026-05-02","Per=Y","Days=T","Dir=V")</f>
        <v>0</v>
      </c>
      <c r="AK2">
        <f>BDH("MATX US Equity","CF_CASH_FROM_OPER","1993-06-18","2026-05-02","Per=Y","Days=T","Dir=V")</f>
        <v>0</v>
      </c>
      <c r="AM2">
        <f>BDH("MATX US Equity","CAPITAL_EXPEND","1993-06-18","2026-05-02","Per=Y","Days=T","Dir=V")</f>
        <v>0</v>
      </c>
      <c r="AO2">
        <f>BDH("MATX US Equity","CF_FREE_CASH_FLOW","1993-06-18","2026-05-02","Per=Y","Days=T","Dir=V")</f>
        <v>0</v>
      </c>
      <c r="AQ2">
        <f>BDH("MATX US Equity","PX_LAST","1993-06-18","2026-05-02","Per=M","Days=T","Dir=V")</f>
        <v>0</v>
      </c>
      <c r="AS2">
        <f>BDH("MATX US Equity","CUR_MKT_CAP","1993-06-18","2026-05-02","Per=M","Days=T","Dir=V")</f>
        <v>0</v>
      </c>
      <c r="AU2">
        <f>BDH("MATX US Equity","EQY_SH_OUT","1993-06-18","2026-05-02","Per=M","Days=T","Dir=V")</f>
        <v>0</v>
      </c>
      <c r="AW2">
        <f>BDH("MATX US Equity","PX_VOLUME","1993-06-18","2026-05-02","Per=M","Days=T","Dir=V")</f>
        <v>0</v>
      </c>
      <c r="AY2">
        <f>BDH("MATX US Equity","TURNOVER","1993-06-18","2026-05-02","Per=M","Days=T","Dir=V")</f>
        <v>0</v>
      </c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BDH("MAX US Equity","BS_TOT_ASSET","1993-06-18","2026-05-02","Per=Y","Days=T","Dir=V")</f>
        <v>0</v>
      </c>
      <c r="C2">
        <f>BDH("MAX US Equity","BS_TOT_LIAB2","1993-06-18","2026-05-02","Per=Y","Days=T","Dir=V")</f>
        <v>0</v>
      </c>
      <c r="E2">
        <f>BDH("MAX US Equity","SHORT_AND_LONG_TERM_DEBT","1993-06-18","2026-05-02","Per=Y","Days=T","Dir=V")</f>
        <v>0</v>
      </c>
      <c r="G2">
        <f>BDH("MAX US Equity","BS_ST_BORROW","1993-06-18","2026-05-02","Per=Y","Days=T","Dir=V")</f>
        <v>0</v>
      </c>
      <c r="I2">
        <f>BDH("MAX US Equity","BS_LT_BORROW","1993-06-18","2026-05-02","Per=Y","Days=T","Dir=V")</f>
        <v>0</v>
      </c>
      <c r="K2">
        <f>BDH("MAX US Equity","BS_CASH_NEAR_CASH_ITEM","1993-06-18","2026-05-02","Per=Y","Days=T","Dir=V")</f>
        <v>0</v>
      </c>
      <c r="M2">
        <f>BDH("MAX US Equity","BS_CUR_ASSET_REPORT","1993-06-18","2026-05-02","Per=Y","Days=T","Dir=V")</f>
        <v>0</v>
      </c>
      <c r="O2">
        <f>BDH("MAX US Equity","BS_CUR_LIAB","1993-06-18","2026-05-02","Per=Y","Days=T","Dir=V")</f>
        <v>0</v>
      </c>
      <c r="Q2">
        <f>BDH("MAX US Equity","BS_SHAREHOLDER_EQY_ENDING_PERIOD","1993-06-18","2026-05-02","Per=Y","Days=T","Dir=V")</f>
        <v>0</v>
      </c>
      <c r="S2">
        <f>BDH("MAX US Equity","BS_ACCT_NOTE_RCV","1993-06-18","2026-05-02","Per=Y","Days=T","Dir=V")</f>
        <v>0</v>
      </c>
      <c r="U2">
        <f>BDH("MAX US Equity","BS_INVENTORIES","1993-06-18","2026-05-02","Per=Y","Days=T","Dir=V")</f>
        <v>0</v>
      </c>
      <c r="W2">
        <f>BDH("MAX US Equity","WORKING_CAPITAL","1993-06-18","2026-05-02","Per=Y","Days=T","Dir=V")</f>
        <v>0</v>
      </c>
      <c r="Y2">
        <f>BDH("MAX US Equity","SALES_REV_TURN","1993-06-18","2026-05-02","Per=Y","Days=T","Dir=V")</f>
        <v>0</v>
      </c>
      <c r="AA2">
        <f>BDH("MAX US Equity","EBIT","1993-06-18","2026-05-02","Per=Y","Days=T","Dir=V")</f>
        <v>0</v>
      </c>
      <c r="AC2">
        <f>BDH("MAX US Equity","EBITDA","1993-06-18","2026-05-02","Per=Y","Days=T","Dir=V")</f>
        <v>0</v>
      </c>
      <c r="AE2">
        <f>BDH("MAX US Equity","NET_INCOME","1993-06-18","2026-05-02","Per=Y","Days=T","Dir=V")</f>
        <v>0</v>
      </c>
      <c r="AG2">
        <f>BDH("MAX US Equity","IS_INT_EXPENSE","1993-06-18","2026-05-02","Per=Y","Days=T","Dir=V")</f>
        <v>0</v>
      </c>
      <c r="AI2">
        <f>BDH("MAX US Equity","IS_DEPR_EXP","1993-06-18","2026-05-02","Per=Y","Days=T","Dir=V")</f>
        <v>0</v>
      </c>
      <c r="AK2">
        <f>BDH("MAX US Equity","CF_CASH_FROM_OPER","1993-06-18","2026-05-02","Per=Y","Days=T","Dir=V")</f>
        <v>0</v>
      </c>
      <c r="AM2">
        <f>BDH("MAX US Equity","CAPITAL_EXPEND","1993-06-18","2026-05-02","Per=Y","Days=T","Dir=V")</f>
        <v>0</v>
      </c>
      <c r="AO2">
        <f>BDH("MAX US Equity","CF_FREE_CASH_FLOW","1993-06-18","2026-05-02","Per=Y","Days=T","Dir=V")</f>
        <v>0</v>
      </c>
      <c r="AQ2">
        <f>BDH("MAX US Equity","PX_LAST","1993-06-18","2026-05-02","Per=M","Days=T","Dir=V")</f>
        <v>0</v>
      </c>
      <c r="AS2">
        <f>BDH("MAX US Equity","CUR_MKT_CAP","1993-06-18","2026-05-02","Per=M","Days=T","Dir=V")</f>
        <v>0</v>
      </c>
      <c r="AU2">
        <f>BDH("MAX US Equity","EQY_SH_OUT","1993-06-18","2026-05-02","Per=M","Days=T","Dir=V")</f>
        <v>0</v>
      </c>
      <c r="AW2">
        <f>BDH("MAX US Equity","PX_VOLUME","1993-06-18","2026-05-02","Per=M","Days=T","Dir=V")</f>
        <v>0</v>
      </c>
      <c r="AY2">
        <f>BDH("MAX US Equity","TURNOVER","1993-06-18","2026-05-02","Per=M","Days=T","Dir=V")</f>
        <v>0</v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BDH("MAZE US Equity","BS_TOT_ASSET","1993-06-18","2026-05-02","Per=Y","Days=T","Dir=V")</f>
        <v>0</v>
      </c>
      <c r="C2">
        <f>BDH("MAZE US Equity","BS_TOT_LIAB2","1993-06-18","2026-05-02","Per=Y","Days=T","Dir=V")</f>
        <v>0</v>
      </c>
      <c r="E2">
        <f>BDH("MAZE US Equity","SHORT_AND_LONG_TERM_DEBT","1993-06-18","2026-05-02","Per=Y","Days=T","Dir=V")</f>
        <v>0</v>
      </c>
      <c r="G2">
        <f>BDH("MAZE US Equity","BS_ST_BORROW","1993-06-18","2026-05-02","Per=Y","Days=T","Dir=V")</f>
        <v>0</v>
      </c>
      <c r="I2">
        <f>BDH("MAZE US Equity","BS_LT_BORROW","1993-06-18","2026-05-02","Per=Y","Days=T","Dir=V")</f>
        <v>0</v>
      </c>
      <c r="K2">
        <f>BDH("MAZE US Equity","BS_CASH_NEAR_CASH_ITEM","1993-06-18","2026-05-02","Per=Y","Days=T","Dir=V")</f>
        <v>0</v>
      </c>
      <c r="M2">
        <f>BDH("MAZE US Equity","BS_CUR_ASSET_REPORT","1993-06-18","2026-05-02","Per=Y","Days=T","Dir=V")</f>
        <v>0</v>
      </c>
      <c r="O2">
        <f>BDH("MAZE US Equity","BS_CUR_LIAB","1993-06-18","2026-05-02","Per=Y","Days=T","Dir=V")</f>
        <v>0</v>
      </c>
      <c r="Q2">
        <f>BDH("MAZE US Equity","BS_SHAREHOLDER_EQY_ENDING_PERIOD","1993-06-18","2026-05-02","Per=Y","Days=T","Dir=V")</f>
        <v>0</v>
      </c>
      <c r="S2">
        <f>BDH("MAZE US Equity","BS_ACCT_NOTE_RCV","1993-06-18","2026-05-02","Per=Y","Days=T","Dir=V")</f>
        <v>0</v>
      </c>
      <c r="U2">
        <f>BDH("MAZE US Equity","BS_INVENTORIES","1993-06-18","2026-05-02","Per=Y","Days=T","Dir=V")</f>
        <v>0</v>
      </c>
      <c r="W2">
        <f>BDH("MAZE US Equity","WORKING_CAPITAL","1993-06-18","2026-05-02","Per=Y","Days=T","Dir=V")</f>
        <v>0</v>
      </c>
      <c r="Y2">
        <f>BDH("MAZE US Equity","SALES_REV_TURN","1993-06-18","2026-05-02","Per=Y","Days=T","Dir=V")</f>
        <v>0</v>
      </c>
      <c r="AA2">
        <f>BDH("MAZE US Equity","EBIT","1993-06-18","2026-05-02","Per=Y","Days=T","Dir=V")</f>
        <v>0</v>
      </c>
      <c r="AC2">
        <f>BDH("MAZE US Equity","EBITDA","1993-06-18","2026-05-02","Per=Y","Days=T","Dir=V")</f>
        <v>0</v>
      </c>
      <c r="AE2">
        <f>BDH("MAZE US Equity","NET_INCOME","1993-06-18","2026-05-02","Per=Y","Days=T","Dir=V")</f>
        <v>0</v>
      </c>
      <c r="AG2">
        <f>BDH("MAZE US Equity","IS_INT_EXPENSE","1993-06-18","2026-05-02","Per=Y","Days=T","Dir=V")</f>
        <v>0</v>
      </c>
      <c r="AI2">
        <f>BDH("MAZE US Equity","IS_DEPR_EXP","1993-06-18","2026-05-02","Per=Y","Days=T","Dir=V")</f>
        <v>0</v>
      </c>
      <c r="AK2">
        <f>BDH("MAZE US Equity","CF_CASH_FROM_OPER","1993-06-18","2026-05-02","Per=Y","Days=T","Dir=V")</f>
        <v>0</v>
      </c>
      <c r="AM2">
        <f>BDH("MAZE US Equity","CAPITAL_EXPEND","1993-06-18","2026-05-02","Per=Y","Days=T","Dir=V")</f>
        <v>0</v>
      </c>
      <c r="AO2">
        <f>BDH("MAZE US Equity","CF_FREE_CASH_FLOW","1993-06-18","2026-05-02","Per=Y","Days=T","Dir=V")</f>
        <v>0</v>
      </c>
      <c r="AQ2">
        <f>BDH("MAZE US Equity","PX_LAST","1993-06-18","2026-05-02","Per=M","Days=T","Dir=V")</f>
        <v>0</v>
      </c>
      <c r="AS2">
        <f>BDH("MAZE US Equity","CUR_MKT_CAP","1993-06-18","2026-05-02","Per=M","Days=T","Dir=V")</f>
        <v>0</v>
      </c>
      <c r="AU2">
        <f>BDH("MAZE US Equity","EQY_SH_OUT","1993-06-18","2026-05-02","Per=M","Days=T","Dir=V")</f>
        <v>0</v>
      </c>
      <c r="AW2">
        <f>BDH("MAZE US Equity","PX_VOLUME","1993-06-18","2026-05-02","Per=M","Days=T","Dir=V")</f>
        <v>0</v>
      </c>
      <c r="AY2">
        <f>BDH("MAZE US Equity","TURNOVER","1993-06-18","2026-05-02","Per=M","Days=T","Dir=V")</f>
        <v>0</v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BDH("MBC US Equity","BS_TOT_ASSET","1993-06-18","2026-05-02","Per=Y","Days=T","Dir=V")</f>
        <v>0</v>
      </c>
      <c r="C2">
        <f>BDH("MBC US Equity","BS_TOT_LIAB2","1993-06-18","2026-05-02","Per=Y","Days=T","Dir=V")</f>
        <v>0</v>
      </c>
      <c r="E2">
        <f>BDH("MBC US Equity","SHORT_AND_LONG_TERM_DEBT","1993-06-18","2026-05-02","Per=Y","Days=T","Dir=V")</f>
        <v>0</v>
      </c>
      <c r="G2">
        <f>BDH("MBC US Equity","BS_ST_BORROW","1993-06-18","2026-05-02","Per=Y","Days=T","Dir=V")</f>
        <v>0</v>
      </c>
      <c r="I2">
        <f>BDH("MBC US Equity","BS_LT_BORROW","1993-06-18","2026-05-02","Per=Y","Days=T","Dir=V")</f>
        <v>0</v>
      </c>
      <c r="K2">
        <f>BDH("MBC US Equity","BS_CASH_NEAR_CASH_ITEM","1993-06-18","2026-05-02","Per=Y","Days=T","Dir=V")</f>
        <v>0</v>
      </c>
      <c r="M2">
        <f>BDH("MBC US Equity","BS_CUR_ASSET_REPORT","1993-06-18","2026-05-02","Per=Y","Days=T","Dir=V")</f>
        <v>0</v>
      </c>
      <c r="O2">
        <f>BDH("MBC US Equity","BS_CUR_LIAB","1993-06-18","2026-05-02","Per=Y","Days=T","Dir=V")</f>
        <v>0</v>
      </c>
      <c r="Q2">
        <f>BDH("MBC US Equity","BS_SHAREHOLDER_EQY_ENDING_PERIOD","1993-06-18","2026-05-02","Per=Y","Days=T","Dir=V")</f>
        <v>0</v>
      </c>
      <c r="S2">
        <f>BDH("MBC US Equity","BS_ACCT_NOTE_RCV","1993-06-18","2026-05-02","Per=Y","Days=T","Dir=V")</f>
        <v>0</v>
      </c>
      <c r="U2">
        <f>BDH("MBC US Equity","BS_INVENTORIES","1993-06-18","2026-05-02","Per=Y","Days=T","Dir=V")</f>
        <v>0</v>
      </c>
      <c r="W2">
        <f>BDH("MBC US Equity","WORKING_CAPITAL","1993-06-18","2026-05-02","Per=Y","Days=T","Dir=V")</f>
        <v>0</v>
      </c>
      <c r="Y2">
        <f>BDH("MBC US Equity","SALES_REV_TURN","1993-06-18","2026-05-02","Per=Y","Days=T","Dir=V")</f>
        <v>0</v>
      </c>
      <c r="AA2">
        <f>BDH("MBC US Equity","EBIT","1993-06-18","2026-05-02","Per=Y","Days=T","Dir=V")</f>
        <v>0</v>
      </c>
      <c r="AC2">
        <f>BDH("MBC US Equity","EBITDA","1993-06-18","2026-05-02","Per=Y","Days=T","Dir=V")</f>
        <v>0</v>
      </c>
      <c r="AE2">
        <f>BDH("MBC US Equity","NET_INCOME","1993-06-18","2026-05-02","Per=Y","Days=T","Dir=V")</f>
        <v>0</v>
      </c>
      <c r="AG2">
        <f>BDH("MBC US Equity","IS_INT_EXPENSE","1993-06-18","2026-05-02","Per=Y","Days=T","Dir=V")</f>
        <v>0</v>
      </c>
      <c r="AI2">
        <f>BDH("MBC US Equity","IS_DEPR_EXP","1993-06-18","2026-05-02","Per=Y","Days=T","Dir=V")</f>
        <v>0</v>
      </c>
      <c r="AK2">
        <f>BDH("MBC US Equity","CF_CASH_FROM_OPER","1993-06-18","2026-05-02","Per=Y","Days=T","Dir=V")</f>
        <v>0</v>
      </c>
      <c r="AM2">
        <f>BDH("MBC US Equity","CAPITAL_EXPEND","1993-06-18","2026-05-02","Per=Y","Days=T","Dir=V")</f>
        <v>0</v>
      </c>
      <c r="AO2">
        <f>BDH("MBC US Equity","CF_FREE_CASH_FLOW","1993-06-18","2026-05-02","Per=Y","Days=T","Dir=V")</f>
        <v>0</v>
      </c>
      <c r="AQ2">
        <f>BDH("MBC US Equity","PX_LAST","1993-06-18","2026-05-02","Per=M","Days=T","Dir=V")</f>
        <v>0</v>
      </c>
      <c r="AS2">
        <f>BDH("MBC US Equity","CUR_MKT_CAP","1993-06-18","2026-05-02","Per=M","Days=T","Dir=V")</f>
        <v>0</v>
      </c>
      <c r="AU2">
        <f>BDH("MBC US Equity","EQY_SH_OUT","1993-06-18","2026-05-02","Per=M","Days=T","Dir=V")</f>
        <v>0</v>
      </c>
      <c r="AW2">
        <f>BDH("MBC US Equity","PX_VOLUME","1993-06-18","2026-05-02","Per=M","Days=T","Dir=V")</f>
        <v>0</v>
      </c>
      <c r="AY2">
        <f>BDH("MBC US Equity","TURNOVER","1993-06-18","2026-05-02","Per=M","Days=T","Dir=V")</f>
        <v>0</v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BDH("MBGL US Equity","BS_TOT_ASSET","1993-06-18","2026-05-02","Per=Y","Days=T","Dir=V")</f>
        <v>0</v>
      </c>
      <c r="C2">
        <f>BDH("MBGL US Equity","BS_TOT_LIAB2","1993-06-18","2026-05-02","Per=Y","Days=T","Dir=V")</f>
        <v>0</v>
      </c>
      <c r="E2">
        <f>BDH("MBGL US Equity","SHORT_AND_LONG_TERM_DEBT","1993-06-18","2026-05-02","Per=Y","Days=T","Dir=V")</f>
        <v>0</v>
      </c>
      <c r="G2">
        <f>BDH("MBGL US Equity","BS_ST_BORROW","1993-06-18","2026-05-02","Per=Y","Days=T","Dir=V")</f>
        <v>0</v>
      </c>
      <c r="I2">
        <f>BDH("MBGL US Equity","BS_LT_BORROW","1993-06-18","2026-05-02","Per=Y","Days=T","Dir=V")</f>
        <v>0</v>
      </c>
      <c r="K2">
        <f>BDH("MBGL US Equity","BS_CASH_NEAR_CASH_ITEM","1993-06-18","2026-05-02","Per=Y","Days=T","Dir=V")</f>
        <v>0</v>
      </c>
      <c r="M2">
        <f>BDH("MBGL US Equity","BS_CUR_ASSET_REPORT","1993-06-18","2026-05-02","Per=Y","Days=T","Dir=V")</f>
        <v>0</v>
      </c>
      <c r="O2">
        <f>BDH("MBGL US Equity","BS_CUR_LIAB","1993-06-18","2026-05-02","Per=Y","Days=T","Dir=V")</f>
        <v>0</v>
      </c>
      <c r="Q2">
        <f>BDH("MBGL US Equity","BS_SHAREHOLDER_EQY_ENDING_PERIOD","1993-06-18","2026-05-02","Per=Y","Days=T","Dir=V")</f>
        <v>0</v>
      </c>
      <c r="S2">
        <f>BDH("MBGL US Equity","BS_ACCT_NOTE_RCV","1993-06-18","2026-05-02","Per=Y","Days=T","Dir=V")</f>
        <v>0</v>
      </c>
      <c r="U2">
        <f>BDH("MBGL US Equity","BS_INVENTORIES","1993-06-18","2026-05-02","Per=Y","Days=T","Dir=V")</f>
        <v>0</v>
      </c>
      <c r="W2">
        <f>BDH("MBGL US Equity","WORKING_CAPITAL","1993-06-18","2026-05-02","Per=Y","Days=T","Dir=V")</f>
        <v>0</v>
      </c>
      <c r="Y2">
        <f>BDH("MBGL US Equity","SALES_REV_TURN","1993-06-18","2026-05-02","Per=Y","Days=T","Dir=V")</f>
        <v>0</v>
      </c>
      <c r="AA2">
        <f>BDH("MBGL US Equity","EBIT","1993-06-18","2026-05-02","Per=Y","Days=T","Dir=V")</f>
        <v>0</v>
      </c>
      <c r="AC2">
        <f>BDH("MBGL US Equity","EBITDA","1993-06-18","2026-05-02","Per=Y","Days=T","Dir=V")</f>
        <v>0</v>
      </c>
      <c r="AE2">
        <f>BDH("MBGL US Equity","NET_INCOME","1993-06-18","2026-05-02","Per=Y","Days=T","Dir=V")</f>
        <v>0</v>
      </c>
      <c r="AG2">
        <f>BDH("MBGL US Equity","IS_INT_EXPENSE","1993-06-18","2026-05-02","Per=Y","Days=T","Dir=V")</f>
        <v>0</v>
      </c>
      <c r="AI2">
        <f>BDH("MBGL US Equity","IS_DEPR_EXP","1993-06-18","2026-05-02","Per=Y","Days=T","Dir=V")</f>
        <v>0</v>
      </c>
      <c r="AK2">
        <f>BDH("MBGL US Equity","CF_CASH_FROM_OPER","1993-06-18","2026-05-02","Per=Y","Days=T","Dir=V")</f>
        <v>0</v>
      </c>
      <c r="AM2">
        <f>BDH("MBGL US Equity","CAPITAL_EXPEND","1993-06-18","2026-05-02","Per=Y","Days=T","Dir=V")</f>
        <v>0</v>
      </c>
      <c r="AO2">
        <f>BDH("MBGL US Equity","CF_FREE_CASH_FLOW","1993-06-18","2026-05-02","Per=Y","Days=T","Dir=V")</f>
        <v>0</v>
      </c>
      <c r="AQ2">
        <f>BDH("MBGL US Equity","PX_LAST","1993-06-18","2026-05-02","Per=M","Days=T","Dir=V")</f>
        <v>0</v>
      </c>
      <c r="AS2">
        <f>BDH("MBGL US Equity","CUR_MKT_CAP","1993-06-18","2026-05-02","Per=M","Days=T","Dir=V")</f>
        <v>0</v>
      </c>
      <c r="AU2">
        <f>BDH("MBGL US Equity","EQY_SH_OUT","1993-06-18","2026-05-02","Per=M","Days=T","Dir=V")</f>
        <v>0</v>
      </c>
      <c r="AW2">
        <f>BDH("MBGL US Equity","PX_VOLUME","1993-06-18","2026-05-02","Per=M","Days=T","Dir=V")</f>
        <v>0</v>
      </c>
      <c r="AY2">
        <f>BDH("MBGL US Equity","TURNOVER","1993-06-18","2026-05-02","Per=M","Days=T","Dir=V")</f>
        <v>0</v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BDH("MBIO US Equity","BS_TOT_ASSET","1993-06-18","2026-05-02","Per=Y","Days=T","Dir=V")</f>
        <v>0</v>
      </c>
      <c r="C2">
        <f>BDH("MBIO US Equity","BS_TOT_LIAB2","1993-06-18","2026-05-02","Per=Y","Days=T","Dir=V")</f>
        <v>0</v>
      </c>
      <c r="E2">
        <f>BDH("MBIO US Equity","SHORT_AND_LONG_TERM_DEBT","1993-06-18","2026-05-02","Per=Y","Days=T","Dir=V")</f>
        <v>0</v>
      </c>
      <c r="G2">
        <f>BDH("MBIO US Equity","BS_ST_BORROW","1993-06-18","2026-05-02","Per=Y","Days=T","Dir=V")</f>
        <v>0</v>
      </c>
      <c r="I2">
        <f>BDH("MBIO US Equity","BS_LT_BORROW","1993-06-18","2026-05-02","Per=Y","Days=T","Dir=V")</f>
        <v>0</v>
      </c>
      <c r="K2">
        <f>BDH("MBIO US Equity","BS_CASH_NEAR_CASH_ITEM","1993-06-18","2026-05-02","Per=Y","Days=T","Dir=V")</f>
        <v>0</v>
      </c>
      <c r="M2">
        <f>BDH("MBIO US Equity","BS_CUR_ASSET_REPORT","1993-06-18","2026-05-02","Per=Y","Days=T","Dir=V")</f>
        <v>0</v>
      </c>
      <c r="O2">
        <f>BDH("MBIO US Equity","BS_CUR_LIAB","1993-06-18","2026-05-02","Per=Y","Days=T","Dir=V")</f>
        <v>0</v>
      </c>
      <c r="Q2">
        <f>BDH("MBIO US Equity","BS_SHAREHOLDER_EQY_ENDING_PERIOD","1993-06-18","2026-05-02","Per=Y","Days=T","Dir=V")</f>
        <v>0</v>
      </c>
      <c r="S2">
        <f>BDH("MBIO US Equity","BS_ACCT_NOTE_RCV","1993-06-18","2026-05-02","Per=Y","Days=T","Dir=V")</f>
        <v>0</v>
      </c>
      <c r="U2">
        <f>BDH("MBIO US Equity","BS_INVENTORIES","1993-06-18","2026-05-02","Per=Y","Days=T","Dir=V")</f>
        <v>0</v>
      </c>
      <c r="W2">
        <f>BDH("MBIO US Equity","WORKING_CAPITAL","1993-06-18","2026-05-02","Per=Y","Days=T","Dir=V")</f>
        <v>0</v>
      </c>
      <c r="Y2">
        <f>BDH("MBIO US Equity","SALES_REV_TURN","1993-06-18","2026-05-02","Per=Y","Days=T","Dir=V")</f>
        <v>0</v>
      </c>
      <c r="AA2">
        <f>BDH("MBIO US Equity","EBIT","1993-06-18","2026-05-02","Per=Y","Days=T","Dir=V")</f>
        <v>0</v>
      </c>
      <c r="AC2">
        <f>BDH("MBIO US Equity","EBITDA","1993-06-18","2026-05-02","Per=Y","Days=T","Dir=V")</f>
        <v>0</v>
      </c>
      <c r="AE2">
        <f>BDH("MBIO US Equity","NET_INCOME","1993-06-18","2026-05-02","Per=Y","Days=T","Dir=V")</f>
        <v>0</v>
      </c>
      <c r="AG2">
        <f>BDH("MBIO US Equity","IS_INT_EXPENSE","1993-06-18","2026-05-02","Per=Y","Days=T","Dir=V")</f>
        <v>0</v>
      </c>
      <c r="AI2">
        <f>BDH("MBIO US Equity","IS_DEPR_EXP","1993-06-18","2026-05-02","Per=Y","Days=T","Dir=V")</f>
        <v>0</v>
      </c>
      <c r="AK2">
        <f>BDH("MBIO US Equity","CF_CASH_FROM_OPER","1993-06-18","2026-05-02","Per=Y","Days=T","Dir=V")</f>
        <v>0</v>
      </c>
      <c r="AM2">
        <f>BDH("MBIO US Equity","CAPITAL_EXPEND","1993-06-18","2026-05-02","Per=Y","Days=T","Dir=V")</f>
        <v>0</v>
      </c>
      <c r="AO2">
        <f>BDH("MBIO US Equity","CF_FREE_CASH_FLOW","1993-06-18","2026-05-02","Per=Y","Days=T","Dir=V")</f>
        <v>0</v>
      </c>
      <c r="AQ2">
        <f>BDH("MBIO US Equity","PX_LAST","1993-06-18","2026-05-02","Per=M","Days=T","Dir=V")</f>
        <v>0</v>
      </c>
      <c r="AS2">
        <f>BDH("MBIO US Equity","CUR_MKT_CAP","1993-06-18","2026-05-02","Per=M","Days=T","Dir=V")</f>
        <v>0</v>
      </c>
      <c r="AU2">
        <f>BDH("MBIO US Equity","EQY_SH_OUT","1993-06-18","2026-05-02","Per=M","Days=T","Dir=V")</f>
        <v>0</v>
      </c>
      <c r="AW2">
        <f>BDH("MBIO US Equity","PX_VOLUME","1993-06-18","2026-05-02","Per=M","Days=T","Dir=V")</f>
        <v>0</v>
      </c>
      <c r="AY2">
        <f>BDH("MBIO US Equity","TURNOVER","1993-06-18","2026-05-02","Per=M","Days=T","Dir=V")</f>
        <v>0</v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BDH("MBRX US Equity","BS_TOT_ASSET","1993-06-18","2026-05-02","Per=Y","Days=T","Dir=V")</f>
        <v>0</v>
      </c>
      <c r="C2">
        <f>BDH("MBRX US Equity","BS_TOT_LIAB2","1993-06-18","2026-05-02","Per=Y","Days=T","Dir=V")</f>
        <v>0</v>
      </c>
      <c r="E2">
        <f>BDH("MBRX US Equity","SHORT_AND_LONG_TERM_DEBT","1993-06-18","2026-05-02","Per=Y","Days=T","Dir=V")</f>
        <v>0</v>
      </c>
      <c r="G2">
        <f>BDH("MBRX US Equity","BS_ST_BORROW","1993-06-18","2026-05-02","Per=Y","Days=T","Dir=V")</f>
        <v>0</v>
      </c>
      <c r="I2">
        <f>BDH("MBRX US Equity","BS_LT_BORROW","1993-06-18","2026-05-02","Per=Y","Days=T","Dir=V")</f>
        <v>0</v>
      </c>
      <c r="K2">
        <f>BDH("MBRX US Equity","BS_CASH_NEAR_CASH_ITEM","1993-06-18","2026-05-02","Per=Y","Days=T","Dir=V")</f>
        <v>0</v>
      </c>
      <c r="M2">
        <f>BDH("MBRX US Equity","BS_CUR_ASSET_REPORT","1993-06-18","2026-05-02","Per=Y","Days=T","Dir=V")</f>
        <v>0</v>
      </c>
      <c r="O2">
        <f>BDH("MBRX US Equity","BS_CUR_LIAB","1993-06-18","2026-05-02","Per=Y","Days=T","Dir=V")</f>
        <v>0</v>
      </c>
      <c r="Q2">
        <f>BDH("MBRX US Equity","BS_SHAREHOLDER_EQY_ENDING_PERIOD","1993-06-18","2026-05-02","Per=Y","Days=T","Dir=V")</f>
        <v>0</v>
      </c>
      <c r="S2">
        <f>BDH("MBRX US Equity","BS_ACCT_NOTE_RCV","1993-06-18","2026-05-02","Per=Y","Days=T","Dir=V")</f>
        <v>0</v>
      </c>
      <c r="U2">
        <f>BDH("MBRX US Equity","BS_INVENTORIES","1993-06-18","2026-05-02","Per=Y","Days=T","Dir=V")</f>
        <v>0</v>
      </c>
      <c r="W2">
        <f>BDH("MBRX US Equity","WORKING_CAPITAL","1993-06-18","2026-05-02","Per=Y","Days=T","Dir=V")</f>
        <v>0</v>
      </c>
      <c r="Y2">
        <f>BDH("MBRX US Equity","SALES_REV_TURN","1993-06-18","2026-05-02","Per=Y","Days=T","Dir=V")</f>
        <v>0</v>
      </c>
      <c r="AA2">
        <f>BDH("MBRX US Equity","EBIT","1993-06-18","2026-05-02","Per=Y","Days=T","Dir=V")</f>
        <v>0</v>
      </c>
      <c r="AC2">
        <f>BDH("MBRX US Equity","EBITDA","1993-06-18","2026-05-02","Per=Y","Days=T","Dir=V")</f>
        <v>0</v>
      </c>
      <c r="AE2">
        <f>BDH("MBRX US Equity","NET_INCOME","1993-06-18","2026-05-02","Per=Y","Days=T","Dir=V")</f>
        <v>0</v>
      </c>
      <c r="AG2">
        <f>BDH("MBRX US Equity","IS_INT_EXPENSE","1993-06-18","2026-05-02","Per=Y","Days=T","Dir=V")</f>
        <v>0</v>
      </c>
      <c r="AI2">
        <f>BDH("MBRX US Equity","IS_DEPR_EXP","1993-06-18","2026-05-02","Per=Y","Days=T","Dir=V")</f>
        <v>0</v>
      </c>
      <c r="AK2">
        <f>BDH("MBRX US Equity","CF_CASH_FROM_OPER","1993-06-18","2026-05-02","Per=Y","Days=T","Dir=V")</f>
        <v>0</v>
      </c>
      <c r="AM2">
        <f>BDH("MBRX US Equity","CAPITAL_EXPEND","1993-06-18","2026-05-02","Per=Y","Days=T","Dir=V")</f>
        <v>0</v>
      </c>
      <c r="AO2">
        <f>BDH("MBRX US Equity","CF_FREE_CASH_FLOW","1993-06-18","2026-05-02","Per=Y","Days=T","Dir=V")</f>
        <v>0</v>
      </c>
      <c r="AQ2">
        <f>BDH("MBRX US Equity","PX_LAST","1993-06-18","2026-05-02","Per=M","Days=T","Dir=V")</f>
        <v>0</v>
      </c>
      <c r="AS2">
        <f>BDH("MBRX US Equity","CUR_MKT_CAP","1993-06-18","2026-05-02","Per=M","Days=T","Dir=V")</f>
        <v>0</v>
      </c>
      <c r="AU2">
        <f>BDH("MBRX US Equity","EQY_SH_OUT","1993-06-18","2026-05-02","Per=M","Days=T","Dir=V")</f>
        <v>0</v>
      </c>
      <c r="AW2">
        <f>BDH("MBRX US Equity","PX_VOLUME","1993-06-18","2026-05-02","Per=M","Days=T","Dir=V")</f>
        <v>0</v>
      </c>
      <c r="AY2">
        <f>BDH("MBRX US Equity","TURNOVER","1993-06-18","2026-05-02","Per=M","Days=T","Dir=V")</f>
        <v>0</v>
      </c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BDH("MBUU US Equity","BS_TOT_ASSET","1993-06-18","2026-05-02","Per=Y","Days=T","Dir=V")</f>
        <v>0</v>
      </c>
      <c r="C2">
        <f>BDH("MBUU US Equity","BS_TOT_LIAB2","1993-06-18","2026-05-02","Per=Y","Days=T","Dir=V")</f>
        <v>0</v>
      </c>
      <c r="E2">
        <f>BDH("MBUU US Equity","SHORT_AND_LONG_TERM_DEBT","1993-06-18","2026-05-02","Per=Y","Days=T","Dir=V")</f>
        <v>0</v>
      </c>
      <c r="G2">
        <f>BDH("MBUU US Equity","BS_ST_BORROW","1993-06-18","2026-05-02","Per=Y","Days=T","Dir=V")</f>
        <v>0</v>
      </c>
      <c r="I2">
        <f>BDH("MBUU US Equity","BS_LT_BORROW","1993-06-18","2026-05-02","Per=Y","Days=T","Dir=V")</f>
        <v>0</v>
      </c>
      <c r="K2">
        <f>BDH("MBUU US Equity","BS_CASH_NEAR_CASH_ITEM","1993-06-18","2026-05-02","Per=Y","Days=T","Dir=V")</f>
        <v>0</v>
      </c>
      <c r="M2">
        <f>BDH("MBUU US Equity","BS_CUR_ASSET_REPORT","1993-06-18","2026-05-02","Per=Y","Days=T","Dir=V")</f>
        <v>0</v>
      </c>
      <c r="O2">
        <f>BDH("MBUU US Equity","BS_CUR_LIAB","1993-06-18","2026-05-02","Per=Y","Days=T","Dir=V")</f>
        <v>0</v>
      </c>
      <c r="Q2">
        <f>BDH("MBUU US Equity","BS_SHAREHOLDER_EQY_ENDING_PERIOD","1993-06-18","2026-05-02","Per=Y","Days=T","Dir=V")</f>
        <v>0</v>
      </c>
      <c r="S2">
        <f>BDH("MBUU US Equity","BS_ACCT_NOTE_RCV","1993-06-18","2026-05-02","Per=Y","Days=T","Dir=V")</f>
        <v>0</v>
      </c>
      <c r="U2">
        <f>BDH("MBUU US Equity","BS_INVENTORIES","1993-06-18","2026-05-02","Per=Y","Days=T","Dir=V")</f>
        <v>0</v>
      </c>
      <c r="W2">
        <f>BDH("MBUU US Equity","WORKING_CAPITAL","1993-06-18","2026-05-02","Per=Y","Days=T","Dir=V")</f>
        <v>0</v>
      </c>
      <c r="Y2">
        <f>BDH("MBUU US Equity","SALES_REV_TURN","1993-06-18","2026-05-02","Per=Y","Days=T","Dir=V")</f>
        <v>0</v>
      </c>
      <c r="AA2">
        <f>BDH("MBUU US Equity","EBIT","1993-06-18","2026-05-02","Per=Y","Days=T","Dir=V")</f>
        <v>0</v>
      </c>
      <c r="AC2">
        <f>BDH("MBUU US Equity","EBITDA","1993-06-18","2026-05-02","Per=Y","Days=T","Dir=V")</f>
        <v>0</v>
      </c>
      <c r="AE2">
        <f>BDH("MBUU US Equity","NET_INCOME","1993-06-18","2026-05-02","Per=Y","Days=T","Dir=V")</f>
        <v>0</v>
      </c>
      <c r="AG2">
        <f>BDH("MBUU US Equity","IS_INT_EXPENSE","1993-06-18","2026-05-02","Per=Y","Days=T","Dir=V")</f>
        <v>0</v>
      </c>
      <c r="AI2">
        <f>BDH("MBUU US Equity","IS_DEPR_EXP","1993-06-18","2026-05-02","Per=Y","Days=T","Dir=V")</f>
        <v>0</v>
      </c>
      <c r="AK2">
        <f>BDH("MBUU US Equity","CF_CASH_FROM_OPER","1993-06-18","2026-05-02","Per=Y","Days=T","Dir=V")</f>
        <v>0</v>
      </c>
      <c r="AM2">
        <f>BDH("MBUU US Equity","CAPITAL_EXPEND","1993-06-18","2026-05-02","Per=Y","Days=T","Dir=V")</f>
        <v>0</v>
      </c>
      <c r="AO2">
        <f>BDH("MBUU US Equity","CF_FREE_CASH_FLOW","1993-06-18","2026-05-02","Per=Y","Days=T","Dir=V")</f>
        <v>0</v>
      </c>
      <c r="AQ2">
        <f>BDH("MBUU US Equity","PX_LAST","1993-06-18","2026-05-02","Per=M","Days=T","Dir=V")</f>
        <v>0</v>
      </c>
      <c r="AS2">
        <f>BDH("MBUU US Equity","CUR_MKT_CAP","1993-06-18","2026-05-02","Per=M","Days=T","Dir=V")</f>
        <v>0</v>
      </c>
      <c r="AU2">
        <f>BDH("MBUU US Equity","EQY_SH_OUT","1993-06-18","2026-05-02","Per=M","Days=T","Dir=V")</f>
        <v>0</v>
      </c>
      <c r="AW2">
        <f>BDH("MBUU US Equity","PX_VOLUME","1993-06-18","2026-05-02","Per=M","Days=T","Dir=V")</f>
        <v>0</v>
      </c>
      <c r="AY2">
        <f>BDH("MBUU US Equity","TURNOVER","1993-06-18","2026-05-02","Per=M","Days=T","Dir=V")</f>
        <v>0</v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BDH("MBX US Equity","BS_TOT_ASSET","1993-06-18","2026-05-02","Per=Y","Days=T","Dir=V")</f>
        <v>0</v>
      </c>
      <c r="C2">
        <f>BDH("MBX US Equity","BS_TOT_LIAB2","1993-06-18","2026-05-02","Per=Y","Days=T","Dir=V")</f>
        <v>0</v>
      </c>
      <c r="E2">
        <f>BDH("MBX US Equity","SHORT_AND_LONG_TERM_DEBT","1993-06-18","2026-05-02","Per=Y","Days=T","Dir=V")</f>
        <v>0</v>
      </c>
      <c r="G2">
        <f>BDH("MBX US Equity","BS_ST_BORROW","1993-06-18","2026-05-02","Per=Y","Days=T","Dir=V")</f>
        <v>0</v>
      </c>
      <c r="I2">
        <f>BDH("MBX US Equity","BS_LT_BORROW","1993-06-18","2026-05-02","Per=Y","Days=T","Dir=V")</f>
        <v>0</v>
      </c>
      <c r="K2">
        <f>BDH("MBX US Equity","BS_CASH_NEAR_CASH_ITEM","1993-06-18","2026-05-02","Per=Y","Days=T","Dir=V")</f>
        <v>0</v>
      </c>
      <c r="M2">
        <f>BDH("MBX US Equity","BS_CUR_ASSET_REPORT","1993-06-18","2026-05-02","Per=Y","Days=T","Dir=V")</f>
        <v>0</v>
      </c>
      <c r="O2">
        <f>BDH("MBX US Equity","BS_CUR_LIAB","1993-06-18","2026-05-02","Per=Y","Days=T","Dir=V")</f>
        <v>0</v>
      </c>
      <c r="Q2">
        <f>BDH("MBX US Equity","BS_SHAREHOLDER_EQY_ENDING_PERIOD","1993-06-18","2026-05-02","Per=Y","Days=T","Dir=V")</f>
        <v>0</v>
      </c>
      <c r="S2">
        <f>BDH("MBX US Equity","BS_ACCT_NOTE_RCV","1993-06-18","2026-05-02","Per=Y","Days=T","Dir=V")</f>
        <v>0</v>
      </c>
      <c r="U2">
        <f>BDH("MBX US Equity","BS_INVENTORIES","1993-06-18","2026-05-02","Per=Y","Days=T","Dir=V")</f>
        <v>0</v>
      </c>
      <c r="W2">
        <f>BDH("MBX US Equity","WORKING_CAPITAL","1993-06-18","2026-05-02","Per=Y","Days=T","Dir=V")</f>
        <v>0</v>
      </c>
      <c r="Y2">
        <f>BDH("MBX US Equity","SALES_REV_TURN","1993-06-18","2026-05-02","Per=Y","Days=T","Dir=V")</f>
        <v>0</v>
      </c>
      <c r="AA2">
        <f>BDH("MBX US Equity","EBIT","1993-06-18","2026-05-02","Per=Y","Days=T","Dir=V")</f>
        <v>0</v>
      </c>
      <c r="AC2">
        <f>BDH("MBX US Equity","EBITDA","1993-06-18","2026-05-02","Per=Y","Days=T","Dir=V")</f>
        <v>0</v>
      </c>
      <c r="AE2">
        <f>BDH("MBX US Equity","NET_INCOME","1993-06-18","2026-05-02","Per=Y","Days=T","Dir=V")</f>
        <v>0</v>
      </c>
      <c r="AG2">
        <f>BDH("MBX US Equity","IS_INT_EXPENSE","1993-06-18","2026-05-02","Per=Y","Days=T","Dir=V")</f>
        <v>0</v>
      </c>
      <c r="AI2">
        <f>BDH("MBX US Equity","IS_DEPR_EXP","1993-06-18","2026-05-02","Per=Y","Days=T","Dir=V")</f>
        <v>0</v>
      </c>
      <c r="AK2">
        <f>BDH("MBX US Equity","CF_CASH_FROM_OPER","1993-06-18","2026-05-02","Per=Y","Days=T","Dir=V")</f>
        <v>0</v>
      </c>
      <c r="AM2">
        <f>BDH("MBX US Equity","CAPITAL_EXPEND","1993-06-18","2026-05-02","Per=Y","Days=T","Dir=V")</f>
        <v>0</v>
      </c>
      <c r="AO2">
        <f>BDH("MBX US Equity","CF_FREE_CASH_FLOW","1993-06-18","2026-05-02","Per=Y","Days=T","Dir=V")</f>
        <v>0</v>
      </c>
      <c r="AQ2">
        <f>BDH("MBX US Equity","PX_LAST","1993-06-18","2026-05-02","Per=M","Days=T","Dir=V")</f>
        <v>0</v>
      </c>
      <c r="AS2">
        <f>BDH("MBX US Equity","CUR_MKT_CAP","1993-06-18","2026-05-02","Per=M","Days=T","Dir=V")</f>
        <v>0</v>
      </c>
      <c r="AU2">
        <f>BDH("MBX US Equity","EQY_SH_OUT","1993-06-18","2026-05-02","Per=M","Days=T","Dir=V")</f>
        <v>0</v>
      </c>
      <c r="AW2">
        <f>BDH("MBX US Equity","PX_VOLUME","1993-06-18","2026-05-02","Per=M","Days=T","Dir=V")</f>
        <v>0</v>
      </c>
      <c r="AY2">
        <f>BDH("MBX US Equity","TURNOVER","1993-06-18","2026-05-02","Per=M","Days=T","Dir=V")</f>
        <v>0</v>
      </c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BDH("MCD US Equity","BS_TOT_ASSET","1993-06-18","2026-05-02","Per=Y","Days=T","Dir=V")</f>
        <v>0</v>
      </c>
      <c r="C2">
        <f>BDH("MCD US Equity","BS_TOT_LIAB2","1993-06-18","2026-05-02","Per=Y","Days=T","Dir=V")</f>
        <v>0</v>
      </c>
      <c r="E2">
        <f>BDH("MCD US Equity","SHORT_AND_LONG_TERM_DEBT","1993-06-18","2026-05-02","Per=Y","Days=T","Dir=V")</f>
        <v>0</v>
      </c>
      <c r="G2">
        <f>BDH("MCD US Equity","BS_ST_BORROW","1993-06-18","2026-05-02","Per=Y","Days=T","Dir=V")</f>
        <v>0</v>
      </c>
      <c r="I2">
        <f>BDH("MCD US Equity","BS_LT_BORROW","1993-06-18","2026-05-02","Per=Y","Days=T","Dir=V")</f>
        <v>0</v>
      </c>
      <c r="K2">
        <f>BDH("MCD US Equity","BS_CASH_NEAR_CASH_ITEM","1993-06-18","2026-05-02","Per=Y","Days=T","Dir=V")</f>
        <v>0</v>
      </c>
      <c r="M2">
        <f>BDH("MCD US Equity","BS_CUR_ASSET_REPORT","1993-06-18","2026-05-02","Per=Y","Days=T","Dir=V")</f>
        <v>0</v>
      </c>
      <c r="O2">
        <f>BDH("MCD US Equity","BS_CUR_LIAB","1993-06-18","2026-05-02","Per=Y","Days=T","Dir=V")</f>
        <v>0</v>
      </c>
      <c r="Q2">
        <f>BDH("MCD US Equity","BS_SHAREHOLDER_EQY_ENDING_PERIOD","1993-06-18","2026-05-02","Per=Y","Days=T","Dir=V")</f>
        <v>0</v>
      </c>
      <c r="S2">
        <f>BDH("MCD US Equity","BS_ACCT_NOTE_RCV","1993-06-18","2026-05-02","Per=Y","Days=T","Dir=V")</f>
        <v>0</v>
      </c>
      <c r="U2">
        <f>BDH("MCD US Equity","BS_INVENTORIES","1993-06-18","2026-05-02","Per=Y","Days=T","Dir=V")</f>
        <v>0</v>
      </c>
      <c r="W2">
        <f>BDH("MCD US Equity","WORKING_CAPITAL","1993-06-18","2026-05-02","Per=Y","Days=T","Dir=V")</f>
        <v>0</v>
      </c>
      <c r="Y2">
        <f>BDH("MCD US Equity","SALES_REV_TURN","1993-06-18","2026-05-02","Per=Y","Days=T","Dir=V")</f>
        <v>0</v>
      </c>
      <c r="AA2">
        <f>BDH("MCD US Equity","EBIT","1993-06-18","2026-05-02","Per=Y","Days=T","Dir=V")</f>
        <v>0</v>
      </c>
      <c r="AC2">
        <f>BDH("MCD US Equity","EBITDA","1993-06-18","2026-05-02","Per=Y","Days=T","Dir=V")</f>
        <v>0</v>
      </c>
      <c r="AE2">
        <f>BDH("MCD US Equity","NET_INCOME","1993-06-18","2026-05-02","Per=Y","Days=T","Dir=V")</f>
        <v>0</v>
      </c>
      <c r="AG2">
        <f>BDH("MCD US Equity","IS_INT_EXPENSE","1993-06-18","2026-05-02","Per=Y","Days=T","Dir=V")</f>
        <v>0</v>
      </c>
      <c r="AI2">
        <f>BDH("MCD US Equity","IS_DEPR_EXP","1993-06-18","2026-05-02","Per=Y","Days=T","Dir=V")</f>
        <v>0</v>
      </c>
      <c r="AK2">
        <f>BDH("MCD US Equity","CF_CASH_FROM_OPER","1993-06-18","2026-05-02","Per=Y","Days=T","Dir=V")</f>
        <v>0</v>
      </c>
      <c r="AM2">
        <f>BDH("MCD US Equity","CAPITAL_EXPEND","1993-06-18","2026-05-02","Per=Y","Days=T","Dir=V")</f>
        <v>0</v>
      </c>
      <c r="AO2">
        <f>BDH("MCD US Equity","CF_FREE_CASH_FLOW","1993-06-18","2026-05-02","Per=Y","Days=T","Dir=V")</f>
        <v>0</v>
      </c>
      <c r="AQ2">
        <f>BDH("MCD US Equity","PX_LAST","1993-06-18","2026-05-02","Per=M","Days=T","Dir=V")</f>
        <v>0</v>
      </c>
      <c r="AS2">
        <f>BDH("MCD US Equity","CUR_MKT_CAP","1993-06-18","2026-05-02","Per=M","Days=T","Dir=V")</f>
        <v>0</v>
      </c>
      <c r="AU2">
        <f>BDH("MCD US Equity","EQY_SH_OUT","1993-06-18","2026-05-02","Per=M","Days=T","Dir=V")</f>
        <v>0</v>
      </c>
      <c r="AW2">
        <f>BDH("MCD US Equity","PX_VOLUME","1993-06-18","2026-05-02","Per=M","Days=T","Dir=V")</f>
        <v>0</v>
      </c>
      <c r="AY2">
        <f>BDH("MCD US Equity","TURNOVER","1993-06-18","2026-05-02","Per=M","Days=T","Dir=V")</f>
        <v>0</v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BDH("MCFT US Equity","BS_TOT_ASSET","1993-06-18","2026-05-02","Per=Y","Days=T","Dir=V")</f>
        <v>0</v>
      </c>
      <c r="C2">
        <f>BDH("MCFT US Equity","BS_TOT_LIAB2","1993-06-18","2026-05-02","Per=Y","Days=T","Dir=V")</f>
        <v>0</v>
      </c>
      <c r="E2">
        <f>BDH("MCFT US Equity","SHORT_AND_LONG_TERM_DEBT","1993-06-18","2026-05-02","Per=Y","Days=T","Dir=V")</f>
        <v>0</v>
      </c>
      <c r="G2">
        <f>BDH("MCFT US Equity","BS_ST_BORROW","1993-06-18","2026-05-02","Per=Y","Days=T","Dir=V")</f>
        <v>0</v>
      </c>
      <c r="I2">
        <f>BDH("MCFT US Equity","BS_LT_BORROW","1993-06-18","2026-05-02","Per=Y","Days=T","Dir=V")</f>
        <v>0</v>
      </c>
      <c r="K2">
        <f>BDH("MCFT US Equity","BS_CASH_NEAR_CASH_ITEM","1993-06-18","2026-05-02","Per=Y","Days=T","Dir=V")</f>
        <v>0</v>
      </c>
      <c r="M2">
        <f>BDH("MCFT US Equity","BS_CUR_ASSET_REPORT","1993-06-18","2026-05-02","Per=Y","Days=T","Dir=V")</f>
        <v>0</v>
      </c>
      <c r="O2">
        <f>BDH("MCFT US Equity","BS_CUR_LIAB","1993-06-18","2026-05-02","Per=Y","Days=T","Dir=V")</f>
        <v>0</v>
      </c>
      <c r="Q2">
        <f>BDH("MCFT US Equity","BS_SHAREHOLDER_EQY_ENDING_PERIOD","1993-06-18","2026-05-02","Per=Y","Days=T","Dir=V")</f>
        <v>0</v>
      </c>
      <c r="S2">
        <f>BDH("MCFT US Equity","BS_ACCT_NOTE_RCV","1993-06-18","2026-05-02","Per=Y","Days=T","Dir=V")</f>
        <v>0</v>
      </c>
      <c r="U2">
        <f>BDH("MCFT US Equity","BS_INVENTORIES","1993-06-18","2026-05-02","Per=Y","Days=T","Dir=V")</f>
        <v>0</v>
      </c>
      <c r="W2">
        <f>BDH("MCFT US Equity","WORKING_CAPITAL","1993-06-18","2026-05-02","Per=Y","Days=T","Dir=V")</f>
        <v>0</v>
      </c>
      <c r="Y2">
        <f>BDH("MCFT US Equity","SALES_REV_TURN","1993-06-18","2026-05-02","Per=Y","Days=T","Dir=V")</f>
        <v>0</v>
      </c>
      <c r="AA2">
        <f>BDH("MCFT US Equity","EBIT","1993-06-18","2026-05-02","Per=Y","Days=T","Dir=V")</f>
        <v>0</v>
      </c>
      <c r="AC2">
        <f>BDH("MCFT US Equity","EBITDA","1993-06-18","2026-05-02","Per=Y","Days=T","Dir=V")</f>
        <v>0</v>
      </c>
      <c r="AE2">
        <f>BDH("MCFT US Equity","NET_INCOME","1993-06-18","2026-05-02","Per=Y","Days=T","Dir=V")</f>
        <v>0</v>
      </c>
      <c r="AG2">
        <f>BDH("MCFT US Equity","IS_INT_EXPENSE","1993-06-18","2026-05-02","Per=Y","Days=T","Dir=V")</f>
        <v>0</v>
      </c>
      <c r="AI2">
        <f>BDH("MCFT US Equity","IS_DEPR_EXP","1993-06-18","2026-05-02","Per=Y","Days=T","Dir=V")</f>
        <v>0</v>
      </c>
      <c r="AK2">
        <f>BDH("MCFT US Equity","CF_CASH_FROM_OPER","1993-06-18","2026-05-02","Per=Y","Days=T","Dir=V")</f>
        <v>0</v>
      </c>
      <c r="AM2">
        <f>BDH("MCFT US Equity","CAPITAL_EXPEND","1993-06-18","2026-05-02","Per=Y","Days=T","Dir=V")</f>
        <v>0</v>
      </c>
      <c r="AO2">
        <f>BDH("MCFT US Equity","CF_FREE_CASH_FLOW","1993-06-18","2026-05-02","Per=Y","Days=T","Dir=V")</f>
        <v>0</v>
      </c>
      <c r="AQ2">
        <f>BDH("MCFT US Equity","PX_LAST","1993-06-18","2026-05-02","Per=M","Days=T","Dir=V")</f>
        <v>0</v>
      </c>
      <c r="AS2">
        <f>BDH("MCFT US Equity","CUR_MKT_CAP","1993-06-18","2026-05-02","Per=M","Days=T","Dir=V")</f>
        <v>0</v>
      </c>
      <c r="AU2">
        <f>BDH("MCFT US Equity","EQY_SH_OUT","1993-06-18","2026-05-02","Per=M","Days=T","Dir=V")</f>
        <v>0</v>
      </c>
      <c r="AW2">
        <f>BDH("MCFT US Equity","PX_VOLUME","1993-06-18","2026-05-02","Per=M","Days=T","Dir=V")</f>
        <v>0</v>
      </c>
      <c r="AY2">
        <f>BDH("MCFT US Equity","TURNOVER","1993-06-18","2026-05-02","Per=M","Days=T","Dir=V")</f>
        <v>0</v>
      </c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BDH("MCGA US Equity","BS_TOT_ASSET","1993-06-18","2026-05-02","Per=Y","Days=T","Dir=V")</f>
        <v>0</v>
      </c>
      <c r="C2">
        <f>BDH("MCGA US Equity","BS_TOT_LIAB2","1993-06-18","2026-05-02","Per=Y","Days=T","Dir=V")</f>
        <v>0</v>
      </c>
      <c r="E2">
        <f>BDH("MCGA US Equity","SHORT_AND_LONG_TERM_DEBT","1993-06-18","2026-05-02","Per=Y","Days=T","Dir=V")</f>
        <v>0</v>
      </c>
      <c r="G2">
        <f>BDH("MCGA US Equity","BS_ST_BORROW","1993-06-18","2026-05-02","Per=Y","Days=T","Dir=V")</f>
        <v>0</v>
      </c>
      <c r="I2">
        <f>BDH("MCGA US Equity","BS_LT_BORROW","1993-06-18","2026-05-02","Per=Y","Days=T","Dir=V")</f>
        <v>0</v>
      </c>
      <c r="K2">
        <f>BDH("MCGA US Equity","BS_CASH_NEAR_CASH_ITEM","1993-06-18","2026-05-02","Per=Y","Days=T","Dir=V")</f>
        <v>0</v>
      </c>
      <c r="M2">
        <f>BDH("MCGA US Equity","BS_CUR_ASSET_REPORT","1993-06-18","2026-05-02","Per=Y","Days=T","Dir=V")</f>
        <v>0</v>
      </c>
      <c r="O2">
        <f>BDH("MCGA US Equity","BS_CUR_LIAB","1993-06-18","2026-05-02","Per=Y","Days=T","Dir=V")</f>
        <v>0</v>
      </c>
      <c r="Q2">
        <f>BDH("MCGA US Equity","BS_SHAREHOLDER_EQY_ENDING_PERIOD","1993-06-18","2026-05-02","Per=Y","Days=T","Dir=V")</f>
        <v>0</v>
      </c>
      <c r="S2">
        <f>BDH("MCGA US Equity","BS_ACCT_NOTE_RCV","1993-06-18","2026-05-02","Per=Y","Days=T","Dir=V")</f>
        <v>0</v>
      </c>
      <c r="U2">
        <f>BDH("MCGA US Equity","BS_INVENTORIES","1993-06-18","2026-05-02","Per=Y","Days=T","Dir=V")</f>
        <v>0</v>
      </c>
      <c r="W2">
        <f>BDH("MCGA US Equity","WORKING_CAPITAL","1993-06-18","2026-05-02","Per=Y","Days=T","Dir=V")</f>
        <v>0</v>
      </c>
      <c r="Y2">
        <f>BDH("MCGA US Equity","SALES_REV_TURN","1993-06-18","2026-05-02","Per=Y","Days=T","Dir=V")</f>
        <v>0</v>
      </c>
      <c r="AA2">
        <f>BDH("MCGA US Equity","EBIT","1993-06-18","2026-05-02","Per=Y","Days=T","Dir=V")</f>
        <v>0</v>
      </c>
      <c r="AC2">
        <f>BDH("MCGA US Equity","EBITDA","1993-06-18","2026-05-02","Per=Y","Days=T","Dir=V")</f>
        <v>0</v>
      </c>
      <c r="AE2">
        <f>BDH("MCGA US Equity","NET_INCOME","1993-06-18","2026-05-02","Per=Y","Days=T","Dir=V")</f>
        <v>0</v>
      </c>
      <c r="AG2">
        <f>BDH("MCGA US Equity","IS_INT_EXPENSE","1993-06-18","2026-05-02","Per=Y","Days=T","Dir=V")</f>
        <v>0</v>
      </c>
      <c r="AI2">
        <f>BDH("MCGA US Equity","IS_DEPR_EXP","1993-06-18","2026-05-02","Per=Y","Days=T","Dir=V")</f>
        <v>0</v>
      </c>
      <c r="AK2">
        <f>BDH("MCGA US Equity","CF_CASH_FROM_OPER","1993-06-18","2026-05-02","Per=Y","Days=T","Dir=V")</f>
        <v>0</v>
      </c>
      <c r="AM2">
        <f>BDH("MCGA US Equity","CAPITAL_EXPEND","1993-06-18","2026-05-02","Per=Y","Days=T","Dir=V")</f>
        <v>0</v>
      </c>
      <c r="AO2">
        <f>BDH("MCGA US Equity","CF_FREE_CASH_FLOW","1993-06-18","2026-05-02","Per=Y","Days=T","Dir=V")</f>
        <v>0</v>
      </c>
      <c r="AQ2">
        <f>BDH("MCGA US Equity","PX_LAST","1993-06-18","2026-05-02","Per=M","Days=T","Dir=V")</f>
        <v>0</v>
      </c>
      <c r="AS2">
        <f>BDH("MCGA US Equity","CUR_MKT_CAP","1993-06-18","2026-05-02","Per=M","Days=T","Dir=V")</f>
        <v>0</v>
      </c>
      <c r="AU2">
        <f>BDH("MCGA US Equity","EQY_SH_OUT","1993-06-18","2026-05-02","Per=M","Days=T","Dir=V")</f>
        <v>0</v>
      </c>
      <c r="AW2">
        <f>BDH("MCGA US Equity","PX_VOLUME","1993-06-18","2026-05-02","Per=M","Days=T","Dir=V")</f>
        <v>0</v>
      </c>
      <c r="AY2">
        <f>BDH("MCGA US Equity","TURNOVER","1993-06-18","2026-05-02","Per=M","Days=T","Dir=V")</f>
        <v>0</v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BDH("MCHP US Equity","BS_TOT_ASSET","1993-06-18","2026-05-02","Per=Y","Days=T","Dir=V")</f>
        <v>0</v>
      </c>
      <c r="C2">
        <f>BDH("MCHP US Equity","BS_TOT_LIAB2","1993-06-18","2026-05-02","Per=Y","Days=T","Dir=V")</f>
        <v>0</v>
      </c>
      <c r="E2">
        <f>BDH("MCHP US Equity","SHORT_AND_LONG_TERM_DEBT","1993-06-18","2026-05-02","Per=Y","Days=T","Dir=V")</f>
        <v>0</v>
      </c>
      <c r="G2">
        <f>BDH("MCHP US Equity","BS_ST_BORROW","1993-06-18","2026-05-02","Per=Y","Days=T","Dir=V")</f>
        <v>0</v>
      </c>
      <c r="I2">
        <f>BDH("MCHP US Equity","BS_LT_BORROW","1993-06-18","2026-05-02","Per=Y","Days=T","Dir=V")</f>
        <v>0</v>
      </c>
      <c r="K2">
        <f>BDH("MCHP US Equity","BS_CASH_NEAR_CASH_ITEM","1993-06-18","2026-05-02","Per=Y","Days=T","Dir=V")</f>
        <v>0</v>
      </c>
      <c r="M2">
        <f>BDH("MCHP US Equity","BS_CUR_ASSET_REPORT","1993-06-18","2026-05-02","Per=Y","Days=T","Dir=V")</f>
        <v>0</v>
      </c>
      <c r="O2">
        <f>BDH("MCHP US Equity","BS_CUR_LIAB","1993-06-18","2026-05-02","Per=Y","Days=T","Dir=V")</f>
        <v>0</v>
      </c>
      <c r="Q2">
        <f>BDH("MCHP US Equity","BS_SHAREHOLDER_EQY_ENDING_PERIOD","1993-06-18","2026-05-02","Per=Y","Days=T","Dir=V")</f>
        <v>0</v>
      </c>
      <c r="S2">
        <f>BDH("MCHP US Equity","BS_ACCT_NOTE_RCV","1993-06-18","2026-05-02","Per=Y","Days=T","Dir=V")</f>
        <v>0</v>
      </c>
      <c r="U2">
        <f>BDH("MCHP US Equity","BS_INVENTORIES","1993-06-18","2026-05-02","Per=Y","Days=T","Dir=V")</f>
        <v>0</v>
      </c>
      <c r="W2">
        <f>BDH("MCHP US Equity","WORKING_CAPITAL","1993-06-18","2026-05-02","Per=Y","Days=T","Dir=V")</f>
        <v>0</v>
      </c>
      <c r="Y2">
        <f>BDH("MCHP US Equity","SALES_REV_TURN","1993-06-18","2026-05-02","Per=Y","Days=T","Dir=V")</f>
        <v>0</v>
      </c>
      <c r="AA2">
        <f>BDH("MCHP US Equity","EBIT","1993-06-18","2026-05-02","Per=Y","Days=T","Dir=V")</f>
        <v>0</v>
      </c>
      <c r="AC2">
        <f>BDH("MCHP US Equity","EBITDA","1993-06-18","2026-05-02","Per=Y","Days=T","Dir=V")</f>
        <v>0</v>
      </c>
      <c r="AE2">
        <f>BDH("MCHP US Equity","NET_INCOME","1993-06-18","2026-05-02","Per=Y","Days=T","Dir=V")</f>
        <v>0</v>
      </c>
      <c r="AG2">
        <f>BDH("MCHP US Equity","IS_INT_EXPENSE","1993-06-18","2026-05-02","Per=Y","Days=T","Dir=V")</f>
        <v>0</v>
      </c>
      <c r="AI2">
        <f>BDH("MCHP US Equity","IS_DEPR_EXP","1993-06-18","2026-05-02","Per=Y","Days=T","Dir=V")</f>
        <v>0</v>
      </c>
      <c r="AK2">
        <f>BDH("MCHP US Equity","CF_CASH_FROM_OPER","1993-06-18","2026-05-02","Per=Y","Days=T","Dir=V")</f>
        <v>0</v>
      </c>
      <c r="AM2">
        <f>BDH("MCHP US Equity","CAPITAL_EXPEND","1993-06-18","2026-05-02","Per=Y","Days=T","Dir=V")</f>
        <v>0</v>
      </c>
      <c r="AO2">
        <f>BDH("MCHP US Equity","CF_FREE_CASH_FLOW","1993-06-18","2026-05-02","Per=Y","Days=T","Dir=V")</f>
        <v>0</v>
      </c>
      <c r="AQ2">
        <f>BDH("MCHP US Equity","PX_LAST","1993-06-18","2026-05-02","Per=M","Days=T","Dir=V")</f>
        <v>0</v>
      </c>
      <c r="AS2">
        <f>BDH("MCHP US Equity","CUR_MKT_CAP","1993-06-18","2026-05-02","Per=M","Days=T","Dir=V")</f>
        <v>0</v>
      </c>
      <c r="AU2">
        <f>BDH("MCHP US Equity","EQY_SH_OUT","1993-06-18","2026-05-02","Per=M","Days=T","Dir=V")</f>
        <v>0</v>
      </c>
      <c r="AW2">
        <f>BDH("MCHP US Equity","PX_VOLUME","1993-06-18","2026-05-02","Per=M","Days=T","Dir=V")</f>
        <v>0</v>
      </c>
      <c r="AY2">
        <f>BDH("MCHP US Equity","TURNOVER","1993-06-18","2026-05-02","Per=M","Days=T","Dir=V")</f>
        <v>0</v>
      </c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BDH("MCHPP US Equity","BS_TOT_ASSET","1993-06-18","2026-05-02","Per=Y","Days=T","Dir=V")</f>
        <v>0</v>
      </c>
      <c r="C2">
        <f>BDH("MCHPP US Equity","BS_TOT_LIAB2","1993-06-18","2026-05-02","Per=Y","Days=T","Dir=V")</f>
        <v>0</v>
      </c>
      <c r="E2">
        <f>BDH("MCHPP US Equity","SHORT_AND_LONG_TERM_DEBT","1993-06-18","2026-05-02","Per=Y","Days=T","Dir=V")</f>
        <v>0</v>
      </c>
      <c r="G2">
        <f>BDH("MCHPP US Equity","BS_ST_BORROW","1993-06-18","2026-05-02","Per=Y","Days=T","Dir=V")</f>
        <v>0</v>
      </c>
      <c r="I2">
        <f>BDH("MCHPP US Equity","BS_LT_BORROW","1993-06-18","2026-05-02","Per=Y","Days=T","Dir=V")</f>
        <v>0</v>
      </c>
      <c r="K2">
        <f>BDH("MCHPP US Equity","BS_CASH_NEAR_CASH_ITEM","1993-06-18","2026-05-02","Per=Y","Days=T","Dir=V")</f>
        <v>0</v>
      </c>
      <c r="M2">
        <f>BDH("MCHPP US Equity","BS_CUR_ASSET_REPORT","1993-06-18","2026-05-02","Per=Y","Days=T","Dir=V")</f>
        <v>0</v>
      </c>
      <c r="O2">
        <f>BDH("MCHPP US Equity","BS_CUR_LIAB","1993-06-18","2026-05-02","Per=Y","Days=T","Dir=V")</f>
        <v>0</v>
      </c>
      <c r="Q2">
        <f>BDH("MCHPP US Equity","BS_SHAREHOLDER_EQY_ENDING_PERIOD","1993-06-18","2026-05-02","Per=Y","Days=T","Dir=V")</f>
        <v>0</v>
      </c>
      <c r="S2">
        <f>BDH("MCHPP US Equity","BS_ACCT_NOTE_RCV","1993-06-18","2026-05-02","Per=Y","Days=T","Dir=V")</f>
        <v>0</v>
      </c>
      <c r="U2">
        <f>BDH("MCHPP US Equity","BS_INVENTORIES","1993-06-18","2026-05-02","Per=Y","Days=T","Dir=V")</f>
        <v>0</v>
      </c>
      <c r="W2">
        <f>BDH("MCHPP US Equity","WORKING_CAPITAL","1993-06-18","2026-05-02","Per=Y","Days=T","Dir=V")</f>
        <v>0</v>
      </c>
      <c r="Y2">
        <f>BDH("MCHPP US Equity","SALES_REV_TURN","1993-06-18","2026-05-02","Per=Y","Days=T","Dir=V")</f>
        <v>0</v>
      </c>
      <c r="AA2">
        <f>BDH("MCHPP US Equity","EBIT","1993-06-18","2026-05-02","Per=Y","Days=T","Dir=V")</f>
        <v>0</v>
      </c>
      <c r="AC2">
        <f>BDH("MCHPP US Equity","EBITDA","1993-06-18","2026-05-02","Per=Y","Days=T","Dir=V")</f>
        <v>0</v>
      </c>
      <c r="AE2">
        <f>BDH("MCHPP US Equity","NET_INCOME","1993-06-18","2026-05-02","Per=Y","Days=T","Dir=V")</f>
        <v>0</v>
      </c>
      <c r="AG2">
        <f>BDH("MCHPP US Equity","IS_INT_EXPENSE","1993-06-18","2026-05-02","Per=Y","Days=T","Dir=V")</f>
        <v>0</v>
      </c>
      <c r="AI2">
        <f>BDH("MCHPP US Equity","IS_DEPR_EXP","1993-06-18","2026-05-02","Per=Y","Days=T","Dir=V")</f>
        <v>0</v>
      </c>
      <c r="AK2">
        <f>BDH("MCHPP US Equity","CF_CASH_FROM_OPER","1993-06-18","2026-05-02","Per=Y","Days=T","Dir=V")</f>
        <v>0</v>
      </c>
      <c r="AM2">
        <f>BDH("MCHPP US Equity","CAPITAL_EXPEND","1993-06-18","2026-05-02","Per=Y","Days=T","Dir=V")</f>
        <v>0</v>
      </c>
      <c r="AO2">
        <f>BDH("MCHPP US Equity","CF_FREE_CASH_FLOW","1993-06-18","2026-05-02","Per=Y","Days=T","Dir=V")</f>
        <v>0</v>
      </c>
      <c r="AQ2">
        <f>BDH("MCHPP US Equity","PX_LAST","1993-06-18","2026-05-02","Per=M","Days=T","Dir=V")</f>
        <v>0</v>
      </c>
      <c r="AS2">
        <f>BDH("MCHPP US Equity","CUR_MKT_CAP","1993-06-18","2026-05-02","Per=M","Days=T","Dir=V")</f>
        <v>0</v>
      </c>
      <c r="AU2">
        <f>BDH("MCHPP US Equity","EQY_SH_OUT","1993-06-18","2026-05-02","Per=M","Days=T","Dir=V")</f>
        <v>0</v>
      </c>
      <c r="AW2">
        <f>BDH("MCHPP US Equity","PX_VOLUME","1993-06-18","2026-05-02","Per=M","Days=T","Dir=V")</f>
        <v>0</v>
      </c>
      <c r="AY2">
        <f>BDH("MCHPP US Equity","TURNOVER","1993-06-18","2026-05-02","Per=M","Days=T","Dir=V")</f>
        <v>0</v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BDH("MCHX US Equity","BS_TOT_ASSET","1993-06-18","2026-05-02","Per=Y","Days=T","Dir=V")</f>
        <v>0</v>
      </c>
      <c r="C2">
        <f>BDH("MCHX US Equity","BS_TOT_LIAB2","1993-06-18","2026-05-02","Per=Y","Days=T","Dir=V")</f>
        <v>0</v>
      </c>
      <c r="E2">
        <f>BDH("MCHX US Equity","SHORT_AND_LONG_TERM_DEBT","1993-06-18","2026-05-02","Per=Y","Days=T","Dir=V")</f>
        <v>0</v>
      </c>
      <c r="G2">
        <f>BDH("MCHX US Equity","BS_ST_BORROW","1993-06-18","2026-05-02","Per=Y","Days=T","Dir=V")</f>
        <v>0</v>
      </c>
      <c r="I2">
        <f>BDH("MCHX US Equity","BS_LT_BORROW","1993-06-18","2026-05-02","Per=Y","Days=T","Dir=V")</f>
        <v>0</v>
      </c>
      <c r="K2">
        <f>BDH("MCHX US Equity","BS_CASH_NEAR_CASH_ITEM","1993-06-18","2026-05-02","Per=Y","Days=T","Dir=V")</f>
        <v>0</v>
      </c>
      <c r="M2">
        <f>BDH("MCHX US Equity","BS_CUR_ASSET_REPORT","1993-06-18","2026-05-02","Per=Y","Days=T","Dir=V")</f>
        <v>0</v>
      </c>
      <c r="O2">
        <f>BDH("MCHX US Equity","BS_CUR_LIAB","1993-06-18","2026-05-02","Per=Y","Days=T","Dir=V")</f>
        <v>0</v>
      </c>
      <c r="Q2">
        <f>BDH("MCHX US Equity","BS_SHAREHOLDER_EQY_ENDING_PERIOD","1993-06-18","2026-05-02","Per=Y","Days=T","Dir=V")</f>
        <v>0</v>
      </c>
      <c r="S2">
        <f>BDH("MCHX US Equity","BS_ACCT_NOTE_RCV","1993-06-18","2026-05-02","Per=Y","Days=T","Dir=V")</f>
        <v>0</v>
      </c>
      <c r="U2">
        <f>BDH("MCHX US Equity","BS_INVENTORIES","1993-06-18","2026-05-02","Per=Y","Days=T","Dir=V")</f>
        <v>0</v>
      </c>
      <c r="W2">
        <f>BDH("MCHX US Equity","WORKING_CAPITAL","1993-06-18","2026-05-02","Per=Y","Days=T","Dir=V")</f>
        <v>0</v>
      </c>
      <c r="Y2">
        <f>BDH("MCHX US Equity","SALES_REV_TURN","1993-06-18","2026-05-02","Per=Y","Days=T","Dir=V")</f>
        <v>0</v>
      </c>
      <c r="AA2">
        <f>BDH("MCHX US Equity","EBIT","1993-06-18","2026-05-02","Per=Y","Days=T","Dir=V")</f>
        <v>0</v>
      </c>
      <c r="AC2">
        <f>BDH("MCHX US Equity","EBITDA","1993-06-18","2026-05-02","Per=Y","Days=T","Dir=V")</f>
        <v>0</v>
      </c>
      <c r="AE2">
        <f>BDH("MCHX US Equity","NET_INCOME","1993-06-18","2026-05-02","Per=Y","Days=T","Dir=V")</f>
        <v>0</v>
      </c>
      <c r="AG2">
        <f>BDH("MCHX US Equity","IS_INT_EXPENSE","1993-06-18","2026-05-02","Per=Y","Days=T","Dir=V")</f>
        <v>0</v>
      </c>
      <c r="AI2">
        <f>BDH("MCHX US Equity","IS_DEPR_EXP","1993-06-18","2026-05-02","Per=Y","Days=T","Dir=V")</f>
        <v>0</v>
      </c>
      <c r="AK2">
        <f>BDH("MCHX US Equity","CF_CASH_FROM_OPER","1993-06-18","2026-05-02","Per=Y","Days=T","Dir=V")</f>
        <v>0</v>
      </c>
      <c r="AM2">
        <f>BDH("MCHX US Equity","CAPITAL_EXPEND","1993-06-18","2026-05-02","Per=Y","Days=T","Dir=V")</f>
        <v>0</v>
      </c>
      <c r="AO2">
        <f>BDH("MCHX US Equity","CF_FREE_CASH_FLOW","1993-06-18","2026-05-02","Per=Y","Days=T","Dir=V")</f>
        <v>0</v>
      </c>
      <c r="AQ2">
        <f>BDH("MCHX US Equity","PX_LAST","1993-06-18","2026-05-02","Per=M","Days=T","Dir=V")</f>
        <v>0</v>
      </c>
      <c r="AS2">
        <f>BDH("MCHX US Equity","CUR_MKT_CAP","1993-06-18","2026-05-02","Per=M","Days=T","Dir=V")</f>
        <v>0</v>
      </c>
      <c r="AU2">
        <f>BDH("MCHX US Equity","EQY_SH_OUT","1993-06-18","2026-05-02","Per=M","Days=T","Dir=V")</f>
        <v>0</v>
      </c>
      <c r="AW2">
        <f>BDH("MCHX US Equity","PX_VOLUME","1993-06-18","2026-05-02","Per=M","Days=T","Dir=V")</f>
        <v>0</v>
      </c>
      <c r="AY2">
        <f>BDH("MCHX US Equity","TURNOVER","1993-06-18","2026-05-02","Per=M","Days=T","Dir=V")</f>
        <v>0</v>
      </c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BDH("MCK US Equity","BS_TOT_ASSET","1993-06-18","2026-05-02","Per=Y","Days=T","Dir=V")</f>
        <v>0</v>
      </c>
      <c r="C2">
        <f>BDH("MCK US Equity","BS_TOT_LIAB2","1993-06-18","2026-05-02","Per=Y","Days=T","Dir=V")</f>
        <v>0</v>
      </c>
      <c r="E2">
        <f>BDH("MCK US Equity","SHORT_AND_LONG_TERM_DEBT","1993-06-18","2026-05-02","Per=Y","Days=T","Dir=V")</f>
        <v>0</v>
      </c>
      <c r="G2">
        <f>BDH("MCK US Equity","BS_ST_BORROW","1993-06-18","2026-05-02","Per=Y","Days=T","Dir=V")</f>
        <v>0</v>
      </c>
      <c r="I2">
        <f>BDH("MCK US Equity","BS_LT_BORROW","1993-06-18","2026-05-02","Per=Y","Days=T","Dir=V")</f>
        <v>0</v>
      </c>
      <c r="K2">
        <f>BDH("MCK US Equity","BS_CASH_NEAR_CASH_ITEM","1993-06-18","2026-05-02","Per=Y","Days=T","Dir=V")</f>
        <v>0</v>
      </c>
      <c r="M2">
        <f>BDH("MCK US Equity","BS_CUR_ASSET_REPORT","1993-06-18","2026-05-02","Per=Y","Days=T","Dir=V")</f>
        <v>0</v>
      </c>
      <c r="O2">
        <f>BDH("MCK US Equity","BS_CUR_LIAB","1993-06-18","2026-05-02","Per=Y","Days=T","Dir=V")</f>
        <v>0</v>
      </c>
      <c r="Q2">
        <f>BDH("MCK US Equity","BS_SHAREHOLDER_EQY_ENDING_PERIOD","1993-06-18","2026-05-02","Per=Y","Days=T","Dir=V")</f>
        <v>0</v>
      </c>
      <c r="S2">
        <f>BDH("MCK US Equity","BS_ACCT_NOTE_RCV","1993-06-18","2026-05-02","Per=Y","Days=T","Dir=V")</f>
        <v>0</v>
      </c>
      <c r="U2">
        <f>BDH("MCK US Equity","BS_INVENTORIES","1993-06-18","2026-05-02","Per=Y","Days=T","Dir=V")</f>
        <v>0</v>
      </c>
      <c r="W2">
        <f>BDH("MCK US Equity","WORKING_CAPITAL","1993-06-18","2026-05-02","Per=Y","Days=T","Dir=V")</f>
        <v>0</v>
      </c>
      <c r="Y2">
        <f>BDH("MCK US Equity","SALES_REV_TURN","1993-06-18","2026-05-02","Per=Y","Days=T","Dir=V")</f>
        <v>0</v>
      </c>
      <c r="AA2">
        <f>BDH("MCK US Equity","EBIT","1993-06-18","2026-05-02","Per=Y","Days=T","Dir=V")</f>
        <v>0</v>
      </c>
      <c r="AC2">
        <f>BDH("MCK US Equity","EBITDA","1993-06-18","2026-05-02","Per=Y","Days=T","Dir=V")</f>
        <v>0</v>
      </c>
      <c r="AE2">
        <f>BDH("MCK US Equity","NET_INCOME","1993-06-18","2026-05-02","Per=Y","Days=T","Dir=V")</f>
        <v>0</v>
      </c>
      <c r="AG2">
        <f>BDH("MCK US Equity","IS_INT_EXPENSE","1993-06-18","2026-05-02","Per=Y","Days=T","Dir=V")</f>
        <v>0</v>
      </c>
      <c r="AI2">
        <f>BDH("MCK US Equity","IS_DEPR_EXP","1993-06-18","2026-05-02","Per=Y","Days=T","Dir=V")</f>
        <v>0</v>
      </c>
      <c r="AK2">
        <f>BDH("MCK US Equity","CF_CASH_FROM_OPER","1993-06-18","2026-05-02","Per=Y","Days=T","Dir=V")</f>
        <v>0</v>
      </c>
      <c r="AM2">
        <f>BDH("MCK US Equity","CAPITAL_EXPEND","1993-06-18","2026-05-02","Per=Y","Days=T","Dir=V")</f>
        <v>0</v>
      </c>
      <c r="AO2">
        <f>BDH("MCK US Equity","CF_FREE_CASH_FLOW","1993-06-18","2026-05-02","Per=Y","Days=T","Dir=V")</f>
        <v>0</v>
      </c>
      <c r="AQ2">
        <f>BDH("MCK US Equity","PX_LAST","1993-06-18","2026-05-02","Per=M","Days=T","Dir=V")</f>
        <v>0</v>
      </c>
      <c r="AS2">
        <f>BDH("MCK US Equity","CUR_MKT_CAP","1993-06-18","2026-05-02","Per=M","Days=T","Dir=V")</f>
        <v>0</v>
      </c>
      <c r="AU2">
        <f>BDH("MCK US Equity","EQY_SH_OUT","1993-06-18","2026-05-02","Per=M","Days=T","Dir=V")</f>
        <v>0</v>
      </c>
      <c r="AW2">
        <f>BDH("MCK US Equity","PX_VOLUME","1993-06-18","2026-05-02","Per=M","Days=T","Dir=V")</f>
        <v>0</v>
      </c>
      <c r="AY2">
        <f>BDH("MCK US Equity","TURNOVER","1993-06-18","2026-05-02","Per=M","Days=T","Dir=V")</f>
        <v>0</v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BDH("MCRB US Equity","BS_TOT_ASSET","1993-06-18","2026-05-02","Per=Y","Days=T","Dir=V")</f>
        <v>0</v>
      </c>
      <c r="C2">
        <f>BDH("MCRB US Equity","BS_TOT_LIAB2","1993-06-18","2026-05-02","Per=Y","Days=T","Dir=V")</f>
        <v>0</v>
      </c>
      <c r="E2">
        <f>BDH("MCRB US Equity","SHORT_AND_LONG_TERM_DEBT","1993-06-18","2026-05-02","Per=Y","Days=T","Dir=V")</f>
        <v>0</v>
      </c>
      <c r="G2">
        <f>BDH("MCRB US Equity","BS_ST_BORROW","1993-06-18","2026-05-02","Per=Y","Days=T","Dir=V")</f>
        <v>0</v>
      </c>
      <c r="I2">
        <f>BDH("MCRB US Equity","BS_LT_BORROW","1993-06-18","2026-05-02","Per=Y","Days=T","Dir=V")</f>
        <v>0</v>
      </c>
      <c r="K2">
        <f>BDH("MCRB US Equity","BS_CASH_NEAR_CASH_ITEM","1993-06-18","2026-05-02","Per=Y","Days=T","Dir=V")</f>
        <v>0</v>
      </c>
      <c r="M2">
        <f>BDH("MCRB US Equity","BS_CUR_ASSET_REPORT","1993-06-18","2026-05-02","Per=Y","Days=T","Dir=V")</f>
        <v>0</v>
      </c>
      <c r="O2">
        <f>BDH("MCRB US Equity","BS_CUR_LIAB","1993-06-18","2026-05-02","Per=Y","Days=T","Dir=V")</f>
        <v>0</v>
      </c>
      <c r="Q2">
        <f>BDH("MCRB US Equity","BS_SHAREHOLDER_EQY_ENDING_PERIOD","1993-06-18","2026-05-02","Per=Y","Days=T","Dir=V")</f>
        <v>0</v>
      </c>
      <c r="S2">
        <f>BDH("MCRB US Equity","BS_ACCT_NOTE_RCV","1993-06-18","2026-05-02","Per=Y","Days=T","Dir=V")</f>
        <v>0</v>
      </c>
      <c r="U2">
        <f>BDH("MCRB US Equity","BS_INVENTORIES","1993-06-18","2026-05-02","Per=Y","Days=T","Dir=V")</f>
        <v>0</v>
      </c>
      <c r="W2">
        <f>BDH("MCRB US Equity","WORKING_CAPITAL","1993-06-18","2026-05-02","Per=Y","Days=T","Dir=V")</f>
        <v>0</v>
      </c>
      <c r="Y2">
        <f>BDH("MCRB US Equity","SALES_REV_TURN","1993-06-18","2026-05-02","Per=Y","Days=T","Dir=V")</f>
        <v>0</v>
      </c>
      <c r="AA2">
        <f>BDH("MCRB US Equity","EBIT","1993-06-18","2026-05-02","Per=Y","Days=T","Dir=V")</f>
        <v>0</v>
      </c>
      <c r="AC2">
        <f>BDH("MCRB US Equity","EBITDA","1993-06-18","2026-05-02","Per=Y","Days=T","Dir=V")</f>
        <v>0</v>
      </c>
      <c r="AE2">
        <f>BDH("MCRB US Equity","NET_INCOME","1993-06-18","2026-05-02","Per=Y","Days=T","Dir=V")</f>
        <v>0</v>
      </c>
      <c r="AG2">
        <f>BDH("MCRB US Equity","IS_INT_EXPENSE","1993-06-18","2026-05-02","Per=Y","Days=T","Dir=V")</f>
        <v>0</v>
      </c>
      <c r="AI2">
        <f>BDH("MCRB US Equity","IS_DEPR_EXP","1993-06-18","2026-05-02","Per=Y","Days=T","Dir=V")</f>
        <v>0</v>
      </c>
      <c r="AK2">
        <f>BDH("MCRB US Equity","CF_CASH_FROM_OPER","1993-06-18","2026-05-02","Per=Y","Days=T","Dir=V")</f>
        <v>0</v>
      </c>
      <c r="AM2">
        <f>BDH("MCRB US Equity","CAPITAL_EXPEND","1993-06-18","2026-05-02","Per=Y","Days=T","Dir=V")</f>
        <v>0</v>
      </c>
      <c r="AO2">
        <f>BDH("MCRB US Equity","CF_FREE_CASH_FLOW","1993-06-18","2026-05-02","Per=Y","Days=T","Dir=V")</f>
        <v>0</v>
      </c>
      <c r="AQ2">
        <f>BDH("MCRB US Equity","PX_LAST","1993-06-18","2026-05-02","Per=M","Days=T","Dir=V")</f>
        <v>0</v>
      </c>
      <c r="AS2">
        <f>BDH("MCRB US Equity","CUR_MKT_CAP","1993-06-18","2026-05-02","Per=M","Days=T","Dir=V")</f>
        <v>0</v>
      </c>
      <c r="AU2">
        <f>BDH("MCRB US Equity","EQY_SH_OUT","1993-06-18","2026-05-02","Per=M","Days=T","Dir=V")</f>
        <v>0</v>
      </c>
      <c r="AW2">
        <f>BDH("MCRB US Equity","PX_VOLUME","1993-06-18","2026-05-02","Per=M","Days=T","Dir=V")</f>
        <v>0</v>
      </c>
      <c r="AY2">
        <f>BDH("MCRB US Equity","TURNOVER","1993-06-18","2026-05-02","Per=M","Days=T","Dir=V")</f>
        <v>0</v>
      </c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BDH("MCRI US Equity","BS_TOT_ASSET","1993-06-18","2026-05-02","Per=Y","Days=T","Dir=V")</f>
        <v>0</v>
      </c>
      <c r="C2">
        <f>BDH("MCRI US Equity","BS_TOT_LIAB2","1993-06-18","2026-05-02","Per=Y","Days=T","Dir=V")</f>
        <v>0</v>
      </c>
      <c r="E2">
        <f>BDH("MCRI US Equity","SHORT_AND_LONG_TERM_DEBT","1993-06-18","2026-05-02","Per=Y","Days=T","Dir=V")</f>
        <v>0</v>
      </c>
      <c r="G2">
        <f>BDH("MCRI US Equity","BS_ST_BORROW","1993-06-18","2026-05-02","Per=Y","Days=T","Dir=V")</f>
        <v>0</v>
      </c>
      <c r="I2">
        <f>BDH("MCRI US Equity","BS_LT_BORROW","1993-06-18","2026-05-02","Per=Y","Days=T","Dir=V")</f>
        <v>0</v>
      </c>
      <c r="K2">
        <f>BDH("MCRI US Equity","BS_CASH_NEAR_CASH_ITEM","1993-06-18","2026-05-02","Per=Y","Days=T","Dir=V")</f>
        <v>0</v>
      </c>
      <c r="M2">
        <f>BDH("MCRI US Equity","BS_CUR_ASSET_REPORT","1993-06-18","2026-05-02","Per=Y","Days=T","Dir=V")</f>
        <v>0</v>
      </c>
      <c r="O2">
        <f>BDH("MCRI US Equity","BS_CUR_LIAB","1993-06-18","2026-05-02","Per=Y","Days=T","Dir=V")</f>
        <v>0</v>
      </c>
      <c r="Q2">
        <f>BDH("MCRI US Equity","BS_SHAREHOLDER_EQY_ENDING_PERIOD","1993-06-18","2026-05-02","Per=Y","Days=T","Dir=V")</f>
        <v>0</v>
      </c>
      <c r="S2">
        <f>BDH("MCRI US Equity","BS_ACCT_NOTE_RCV","1993-06-18","2026-05-02","Per=Y","Days=T","Dir=V")</f>
        <v>0</v>
      </c>
      <c r="U2">
        <f>BDH("MCRI US Equity","BS_INVENTORIES","1993-06-18","2026-05-02","Per=Y","Days=T","Dir=V")</f>
        <v>0</v>
      </c>
      <c r="W2">
        <f>BDH("MCRI US Equity","WORKING_CAPITAL","1993-06-18","2026-05-02","Per=Y","Days=T","Dir=V")</f>
        <v>0</v>
      </c>
      <c r="Y2">
        <f>BDH("MCRI US Equity","SALES_REV_TURN","1993-06-18","2026-05-02","Per=Y","Days=T","Dir=V")</f>
        <v>0</v>
      </c>
      <c r="AA2">
        <f>BDH("MCRI US Equity","EBIT","1993-06-18","2026-05-02","Per=Y","Days=T","Dir=V")</f>
        <v>0</v>
      </c>
      <c r="AC2">
        <f>BDH("MCRI US Equity","EBITDA","1993-06-18","2026-05-02","Per=Y","Days=T","Dir=V")</f>
        <v>0</v>
      </c>
      <c r="AE2">
        <f>BDH("MCRI US Equity","NET_INCOME","1993-06-18","2026-05-02","Per=Y","Days=T","Dir=V")</f>
        <v>0</v>
      </c>
      <c r="AG2">
        <f>BDH("MCRI US Equity","IS_INT_EXPENSE","1993-06-18","2026-05-02","Per=Y","Days=T","Dir=V")</f>
        <v>0</v>
      </c>
      <c r="AI2">
        <f>BDH("MCRI US Equity","IS_DEPR_EXP","1993-06-18","2026-05-02","Per=Y","Days=T","Dir=V")</f>
        <v>0</v>
      </c>
      <c r="AK2">
        <f>BDH("MCRI US Equity","CF_CASH_FROM_OPER","1993-06-18","2026-05-02","Per=Y","Days=T","Dir=V")</f>
        <v>0</v>
      </c>
      <c r="AM2">
        <f>BDH("MCRI US Equity","CAPITAL_EXPEND","1993-06-18","2026-05-02","Per=Y","Days=T","Dir=V")</f>
        <v>0</v>
      </c>
      <c r="AO2">
        <f>BDH("MCRI US Equity","CF_FREE_CASH_FLOW","1993-06-18","2026-05-02","Per=Y","Days=T","Dir=V")</f>
        <v>0</v>
      </c>
      <c r="AQ2">
        <f>BDH("MCRI US Equity","PX_LAST","1993-06-18","2026-05-02","Per=M","Days=T","Dir=V")</f>
        <v>0</v>
      </c>
      <c r="AS2">
        <f>BDH("MCRI US Equity","CUR_MKT_CAP","1993-06-18","2026-05-02","Per=M","Days=T","Dir=V")</f>
        <v>0</v>
      </c>
      <c r="AU2">
        <f>BDH("MCRI US Equity","EQY_SH_OUT","1993-06-18","2026-05-02","Per=M","Days=T","Dir=V")</f>
        <v>0</v>
      </c>
      <c r="AW2">
        <f>BDH("MCRI US Equity","PX_VOLUME","1993-06-18","2026-05-02","Per=M","Days=T","Dir=V")</f>
        <v>0</v>
      </c>
      <c r="AY2">
        <f>BDH("MCRI US Equity","TURNOVER","1993-06-18","2026-05-02","Per=M","Days=T","Dir=V")</f>
        <v>0</v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BDH("MCS US Equity","BS_TOT_ASSET","1993-06-18","2026-05-02","Per=Y","Days=T","Dir=V")</f>
        <v>0</v>
      </c>
      <c r="C2">
        <f>BDH("MCS US Equity","BS_TOT_LIAB2","1993-06-18","2026-05-02","Per=Y","Days=T","Dir=V")</f>
        <v>0</v>
      </c>
      <c r="E2">
        <f>BDH("MCS US Equity","SHORT_AND_LONG_TERM_DEBT","1993-06-18","2026-05-02","Per=Y","Days=T","Dir=V")</f>
        <v>0</v>
      </c>
      <c r="G2">
        <f>BDH("MCS US Equity","BS_ST_BORROW","1993-06-18","2026-05-02","Per=Y","Days=T","Dir=V")</f>
        <v>0</v>
      </c>
      <c r="I2">
        <f>BDH("MCS US Equity","BS_LT_BORROW","1993-06-18","2026-05-02","Per=Y","Days=T","Dir=V")</f>
        <v>0</v>
      </c>
      <c r="K2">
        <f>BDH("MCS US Equity","BS_CASH_NEAR_CASH_ITEM","1993-06-18","2026-05-02","Per=Y","Days=T","Dir=V")</f>
        <v>0</v>
      </c>
      <c r="M2">
        <f>BDH("MCS US Equity","BS_CUR_ASSET_REPORT","1993-06-18","2026-05-02","Per=Y","Days=T","Dir=V")</f>
        <v>0</v>
      </c>
      <c r="O2">
        <f>BDH("MCS US Equity","BS_CUR_LIAB","1993-06-18","2026-05-02","Per=Y","Days=T","Dir=V")</f>
        <v>0</v>
      </c>
      <c r="Q2">
        <f>BDH("MCS US Equity","BS_SHAREHOLDER_EQY_ENDING_PERIOD","1993-06-18","2026-05-02","Per=Y","Days=T","Dir=V")</f>
        <v>0</v>
      </c>
      <c r="S2">
        <f>BDH("MCS US Equity","BS_ACCT_NOTE_RCV","1993-06-18","2026-05-02","Per=Y","Days=T","Dir=V")</f>
        <v>0</v>
      </c>
      <c r="U2">
        <f>BDH("MCS US Equity","BS_INVENTORIES","1993-06-18","2026-05-02","Per=Y","Days=T","Dir=V")</f>
        <v>0</v>
      </c>
      <c r="W2">
        <f>BDH("MCS US Equity","WORKING_CAPITAL","1993-06-18","2026-05-02","Per=Y","Days=T","Dir=V")</f>
        <v>0</v>
      </c>
      <c r="Y2">
        <f>BDH("MCS US Equity","SALES_REV_TURN","1993-06-18","2026-05-02","Per=Y","Days=T","Dir=V")</f>
        <v>0</v>
      </c>
      <c r="AA2">
        <f>BDH("MCS US Equity","EBIT","1993-06-18","2026-05-02","Per=Y","Days=T","Dir=V")</f>
        <v>0</v>
      </c>
      <c r="AC2">
        <f>BDH("MCS US Equity","EBITDA","1993-06-18","2026-05-02","Per=Y","Days=T","Dir=V")</f>
        <v>0</v>
      </c>
      <c r="AE2">
        <f>BDH("MCS US Equity","NET_INCOME","1993-06-18","2026-05-02","Per=Y","Days=T","Dir=V")</f>
        <v>0</v>
      </c>
      <c r="AG2">
        <f>BDH("MCS US Equity","IS_INT_EXPENSE","1993-06-18","2026-05-02","Per=Y","Days=T","Dir=V")</f>
        <v>0</v>
      </c>
      <c r="AI2">
        <f>BDH("MCS US Equity","IS_DEPR_EXP","1993-06-18","2026-05-02","Per=Y","Days=T","Dir=V")</f>
        <v>0</v>
      </c>
      <c r="AK2">
        <f>BDH("MCS US Equity","CF_CASH_FROM_OPER","1993-06-18","2026-05-02","Per=Y","Days=T","Dir=V")</f>
        <v>0</v>
      </c>
      <c r="AM2">
        <f>BDH("MCS US Equity","CAPITAL_EXPEND","1993-06-18","2026-05-02","Per=Y","Days=T","Dir=V")</f>
        <v>0</v>
      </c>
      <c r="AO2">
        <f>BDH("MCS US Equity","CF_FREE_CASH_FLOW","1993-06-18","2026-05-02","Per=Y","Days=T","Dir=V")</f>
        <v>0</v>
      </c>
      <c r="AQ2">
        <f>BDH("MCS US Equity","PX_LAST","1993-06-18","2026-05-02","Per=M","Days=T","Dir=V")</f>
        <v>0</v>
      </c>
      <c r="AS2">
        <f>BDH("MCS US Equity","CUR_MKT_CAP","1993-06-18","2026-05-02","Per=M","Days=T","Dir=V")</f>
        <v>0</v>
      </c>
      <c r="AU2">
        <f>BDH("MCS US Equity","EQY_SH_OUT","1993-06-18","2026-05-02","Per=M","Days=T","Dir=V")</f>
        <v>0</v>
      </c>
      <c r="AW2">
        <f>BDH("MCS US Equity","PX_VOLUME","1993-06-18","2026-05-02","Per=M","Days=T","Dir=V")</f>
        <v>0</v>
      </c>
      <c r="AY2">
        <f>BDH("MCS US Equity","TURNOVER","1993-06-18","2026-05-02","Per=M","Days=T","Dir=V")</f>
        <v>0</v>
      </c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BDH("MD US Equity","BS_TOT_ASSET","1993-06-18","2026-05-02","Per=Y","Days=T","Dir=V")</f>
        <v>0</v>
      </c>
      <c r="C2">
        <f>BDH("MD US Equity","BS_TOT_LIAB2","1993-06-18","2026-05-02","Per=Y","Days=T","Dir=V")</f>
        <v>0</v>
      </c>
      <c r="E2">
        <f>BDH("MD US Equity","SHORT_AND_LONG_TERM_DEBT","1993-06-18","2026-05-02","Per=Y","Days=T","Dir=V")</f>
        <v>0</v>
      </c>
      <c r="G2">
        <f>BDH("MD US Equity","BS_ST_BORROW","1993-06-18","2026-05-02","Per=Y","Days=T","Dir=V")</f>
        <v>0</v>
      </c>
      <c r="I2">
        <f>BDH("MD US Equity","BS_LT_BORROW","1993-06-18","2026-05-02","Per=Y","Days=T","Dir=V")</f>
        <v>0</v>
      </c>
      <c r="K2">
        <f>BDH("MD US Equity","BS_CASH_NEAR_CASH_ITEM","1993-06-18","2026-05-02","Per=Y","Days=T","Dir=V")</f>
        <v>0</v>
      </c>
      <c r="M2">
        <f>BDH("MD US Equity","BS_CUR_ASSET_REPORT","1993-06-18","2026-05-02","Per=Y","Days=T","Dir=V")</f>
        <v>0</v>
      </c>
      <c r="O2">
        <f>BDH("MD US Equity","BS_CUR_LIAB","1993-06-18","2026-05-02","Per=Y","Days=T","Dir=V")</f>
        <v>0</v>
      </c>
      <c r="Q2">
        <f>BDH("MD US Equity","BS_SHAREHOLDER_EQY_ENDING_PERIOD","1993-06-18","2026-05-02","Per=Y","Days=T","Dir=V")</f>
        <v>0</v>
      </c>
      <c r="S2">
        <f>BDH("MD US Equity","BS_ACCT_NOTE_RCV","1993-06-18","2026-05-02","Per=Y","Days=T","Dir=V")</f>
        <v>0</v>
      </c>
      <c r="U2">
        <f>BDH("MD US Equity","BS_INVENTORIES","1993-06-18","2026-05-02","Per=Y","Days=T","Dir=V")</f>
        <v>0</v>
      </c>
      <c r="W2">
        <f>BDH("MD US Equity","WORKING_CAPITAL","1993-06-18","2026-05-02","Per=Y","Days=T","Dir=V")</f>
        <v>0</v>
      </c>
      <c r="Y2">
        <f>BDH("MD US Equity","SALES_REV_TURN","1993-06-18","2026-05-02","Per=Y","Days=T","Dir=V")</f>
        <v>0</v>
      </c>
      <c r="AA2">
        <f>BDH("MD US Equity","EBIT","1993-06-18","2026-05-02","Per=Y","Days=T","Dir=V")</f>
        <v>0</v>
      </c>
      <c r="AC2">
        <f>BDH("MD US Equity","EBITDA","1993-06-18","2026-05-02","Per=Y","Days=T","Dir=V")</f>
        <v>0</v>
      </c>
      <c r="AE2">
        <f>BDH("MD US Equity","NET_INCOME","1993-06-18","2026-05-02","Per=Y","Days=T","Dir=V")</f>
        <v>0</v>
      </c>
      <c r="AG2">
        <f>BDH("MD US Equity","IS_INT_EXPENSE","1993-06-18","2026-05-02","Per=Y","Days=T","Dir=V")</f>
        <v>0</v>
      </c>
      <c r="AI2">
        <f>BDH("MD US Equity","IS_DEPR_EXP","1993-06-18","2026-05-02","Per=Y","Days=T","Dir=V")</f>
        <v>0</v>
      </c>
      <c r="AK2">
        <f>BDH("MD US Equity","CF_CASH_FROM_OPER","1993-06-18","2026-05-02","Per=Y","Days=T","Dir=V")</f>
        <v>0</v>
      </c>
      <c r="AM2">
        <f>BDH("MD US Equity","CAPITAL_EXPEND","1993-06-18","2026-05-02","Per=Y","Days=T","Dir=V")</f>
        <v>0</v>
      </c>
      <c r="AO2">
        <f>BDH("MD US Equity","CF_FREE_CASH_FLOW","1993-06-18","2026-05-02","Per=Y","Days=T","Dir=V")</f>
        <v>0</v>
      </c>
      <c r="AQ2">
        <f>BDH("MD US Equity","PX_LAST","1993-06-18","2026-05-02","Per=M","Days=T","Dir=V")</f>
        <v>0</v>
      </c>
      <c r="AS2">
        <f>BDH("MD US Equity","CUR_MKT_CAP","1993-06-18","2026-05-02","Per=M","Days=T","Dir=V")</f>
        <v>0</v>
      </c>
      <c r="AU2">
        <f>BDH("MD US Equity","EQY_SH_OUT","1993-06-18","2026-05-02","Per=M","Days=T","Dir=V")</f>
        <v>0</v>
      </c>
      <c r="AW2">
        <f>BDH("MD US Equity","PX_VOLUME","1993-06-18","2026-05-02","Per=M","Days=T","Dir=V")</f>
        <v>0</v>
      </c>
      <c r="AY2">
        <f>BDH("MD US Equity","TURNOVER","1993-06-18","2026-05-02","Per=M","Days=T","Dir=V")</f>
        <v>0</v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BDH("MDAI US Equity","BS_TOT_ASSET","1993-06-18","2026-05-02","Per=Y","Days=T","Dir=V")</f>
        <v>0</v>
      </c>
      <c r="C2">
        <f>BDH("MDAI US Equity","BS_TOT_LIAB2","1993-06-18","2026-05-02","Per=Y","Days=T","Dir=V")</f>
        <v>0</v>
      </c>
      <c r="E2">
        <f>BDH("MDAI US Equity","SHORT_AND_LONG_TERM_DEBT","1993-06-18","2026-05-02","Per=Y","Days=T","Dir=V")</f>
        <v>0</v>
      </c>
      <c r="G2">
        <f>BDH("MDAI US Equity","BS_ST_BORROW","1993-06-18","2026-05-02","Per=Y","Days=T","Dir=V")</f>
        <v>0</v>
      </c>
      <c r="I2">
        <f>BDH("MDAI US Equity","BS_LT_BORROW","1993-06-18","2026-05-02","Per=Y","Days=T","Dir=V")</f>
        <v>0</v>
      </c>
      <c r="K2">
        <f>BDH("MDAI US Equity","BS_CASH_NEAR_CASH_ITEM","1993-06-18","2026-05-02","Per=Y","Days=T","Dir=V")</f>
        <v>0</v>
      </c>
      <c r="M2">
        <f>BDH("MDAI US Equity","BS_CUR_ASSET_REPORT","1993-06-18","2026-05-02","Per=Y","Days=T","Dir=V")</f>
        <v>0</v>
      </c>
      <c r="O2">
        <f>BDH("MDAI US Equity","BS_CUR_LIAB","1993-06-18","2026-05-02","Per=Y","Days=T","Dir=V")</f>
        <v>0</v>
      </c>
      <c r="Q2">
        <f>BDH("MDAI US Equity","BS_SHAREHOLDER_EQY_ENDING_PERIOD","1993-06-18","2026-05-02","Per=Y","Days=T","Dir=V")</f>
        <v>0</v>
      </c>
      <c r="S2">
        <f>BDH("MDAI US Equity","BS_ACCT_NOTE_RCV","1993-06-18","2026-05-02","Per=Y","Days=T","Dir=V")</f>
        <v>0</v>
      </c>
      <c r="U2">
        <f>BDH("MDAI US Equity","BS_INVENTORIES","1993-06-18","2026-05-02","Per=Y","Days=T","Dir=V")</f>
        <v>0</v>
      </c>
      <c r="W2">
        <f>BDH("MDAI US Equity","WORKING_CAPITAL","1993-06-18","2026-05-02","Per=Y","Days=T","Dir=V")</f>
        <v>0</v>
      </c>
      <c r="Y2">
        <f>BDH("MDAI US Equity","SALES_REV_TURN","1993-06-18","2026-05-02","Per=Y","Days=T","Dir=V")</f>
        <v>0</v>
      </c>
      <c r="AA2">
        <f>BDH("MDAI US Equity","EBIT","1993-06-18","2026-05-02","Per=Y","Days=T","Dir=V")</f>
        <v>0</v>
      </c>
      <c r="AC2">
        <f>BDH("MDAI US Equity","EBITDA","1993-06-18","2026-05-02","Per=Y","Days=T","Dir=V")</f>
        <v>0</v>
      </c>
      <c r="AE2">
        <f>BDH("MDAI US Equity","NET_INCOME","1993-06-18","2026-05-02","Per=Y","Days=T","Dir=V")</f>
        <v>0</v>
      </c>
      <c r="AG2">
        <f>BDH("MDAI US Equity","IS_INT_EXPENSE","1993-06-18","2026-05-02","Per=Y","Days=T","Dir=V")</f>
        <v>0</v>
      </c>
      <c r="AI2">
        <f>BDH("MDAI US Equity","IS_DEPR_EXP","1993-06-18","2026-05-02","Per=Y","Days=T","Dir=V")</f>
        <v>0</v>
      </c>
      <c r="AK2">
        <f>BDH("MDAI US Equity","CF_CASH_FROM_OPER","1993-06-18","2026-05-02","Per=Y","Days=T","Dir=V")</f>
        <v>0</v>
      </c>
      <c r="AM2">
        <f>BDH("MDAI US Equity","CAPITAL_EXPEND","1993-06-18","2026-05-02","Per=Y","Days=T","Dir=V")</f>
        <v>0</v>
      </c>
      <c r="AO2">
        <f>BDH("MDAI US Equity","CF_FREE_CASH_FLOW","1993-06-18","2026-05-02","Per=Y","Days=T","Dir=V")</f>
        <v>0</v>
      </c>
      <c r="AQ2">
        <f>BDH("MDAI US Equity","PX_LAST","1993-06-18","2026-05-02","Per=M","Days=T","Dir=V")</f>
        <v>0</v>
      </c>
      <c r="AS2">
        <f>BDH("MDAI US Equity","CUR_MKT_CAP","1993-06-18","2026-05-02","Per=M","Days=T","Dir=V")</f>
        <v>0</v>
      </c>
      <c r="AU2">
        <f>BDH("MDAI US Equity","EQY_SH_OUT","1993-06-18","2026-05-02","Per=M","Days=T","Dir=V")</f>
        <v>0</v>
      </c>
      <c r="AW2">
        <f>BDH("MDAI US Equity","PX_VOLUME","1993-06-18","2026-05-02","Per=M","Days=T","Dir=V")</f>
        <v>0</v>
      </c>
      <c r="AY2">
        <f>BDH("MDAI US Equity","TURNOVER","1993-06-18","2026-05-02","Per=M","Days=T","Dir=V")</f>
        <v>0</v>
      </c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BDH("MDAIW US Equity","BS_TOT_ASSET","1993-06-18","2026-05-02","Per=Y","Days=T","Dir=V")</f>
        <v>0</v>
      </c>
      <c r="C2">
        <f>BDH("MDAIW US Equity","BS_TOT_LIAB2","1993-06-18","2026-05-02","Per=Y","Days=T","Dir=V")</f>
        <v>0</v>
      </c>
      <c r="E2">
        <f>BDH("MDAIW US Equity","SHORT_AND_LONG_TERM_DEBT","1993-06-18","2026-05-02","Per=Y","Days=T","Dir=V")</f>
        <v>0</v>
      </c>
      <c r="G2">
        <f>BDH("MDAIW US Equity","BS_ST_BORROW","1993-06-18","2026-05-02","Per=Y","Days=T","Dir=V")</f>
        <v>0</v>
      </c>
      <c r="I2">
        <f>BDH("MDAIW US Equity","BS_LT_BORROW","1993-06-18","2026-05-02","Per=Y","Days=T","Dir=V")</f>
        <v>0</v>
      </c>
      <c r="K2">
        <f>BDH("MDAIW US Equity","BS_CASH_NEAR_CASH_ITEM","1993-06-18","2026-05-02","Per=Y","Days=T","Dir=V")</f>
        <v>0</v>
      </c>
      <c r="M2">
        <f>BDH("MDAIW US Equity","BS_CUR_ASSET_REPORT","1993-06-18","2026-05-02","Per=Y","Days=T","Dir=V")</f>
        <v>0</v>
      </c>
      <c r="O2">
        <f>BDH("MDAIW US Equity","BS_CUR_LIAB","1993-06-18","2026-05-02","Per=Y","Days=T","Dir=V")</f>
        <v>0</v>
      </c>
      <c r="Q2">
        <f>BDH("MDAIW US Equity","BS_SHAREHOLDER_EQY_ENDING_PERIOD","1993-06-18","2026-05-02","Per=Y","Days=T","Dir=V")</f>
        <v>0</v>
      </c>
      <c r="S2">
        <f>BDH("MDAIW US Equity","BS_ACCT_NOTE_RCV","1993-06-18","2026-05-02","Per=Y","Days=T","Dir=V")</f>
        <v>0</v>
      </c>
      <c r="U2">
        <f>BDH("MDAIW US Equity","BS_INVENTORIES","1993-06-18","2026-05-02","Per=Y","Days=T","Dir=V")</f>
        <v>0</v>
      </c>
      <c r="W2">
        <f>BDH("MDAIW US Equity","WORKING_CAPITAL","1993-06-18","2026-05-02","Per=Y","Days=T","Dir=V")</f>
        <v>0</v>
      </c>
      <c r="Y2">
        <f>BDH("MDAIW US Equity","SALES_REV_TURN","1993-06-18","2026-05-02","Per=Y","Days=T","Dir=V")</f>
        <v>0</v>
      </c>
      <c r="AA2">
        <f>BDH("MDAIW US Equity","EBIT","1993-06-18","2026-05-02","Per=Y","Days=T","Dir=V")</f>
        <v>0</v>
      </c>
      <c r="AC2">
        <f>BDH("MDAIW US Equity","EBITDA","1993-06-18","2026-05-02","Per=Y","Days=T","Dir=V")</f>
        <v>0</v>
      </c>
      <c r="AE2">
        <f>BDH("MDAIW US Equity","NET_INCOME","1993-06-18","2026-05-02","Per=Y","Days=T","Dir=V")</f>
        <v>0</v>
      </c>
      <c r="AG2">
        <f>BDH("MDAIW US Equity","IS_INT_EXPENSE","1993-06-18","2026-05-02","Per=Y","Days=T","Dir=V")</f>
        <v>0</v>
      </c>
      <c r="AI2">
        <f>BDH("MDAIW US Equity","IS_DEPR_EXP","1993-06-18","2026-05-02","Per=Y","Days=T","Dir=V")</f>
        <v>0</v>
      </c>
      <c r="AK2">
        <f>BDH("MDAIW US Equity","CF_CASH_FROM_OPER","1993-06-18","2026-05-02","Per=Y","Days=T","Dir=V")</f>
        <v>0</v>
      </c>
      <c r="AM2">
        <f>BDH("MDAIW US Equity","CAPITAL_EXPEND","1993-06-18","2026-05-02","Per=Y","Days=T","Dir=V")</f>
        <v>0</v>
      </c>
      <c r="AO2">
        <f>BDH("MDAIW US Equity","CF_FREE_CASH_FLOW","1993-06-18","2026-05-02","Per=Y","Days=T","Dir=V")</f>
        <v>0</v>
      </c>
      <c r="AQ2">
        <f>BDH("MDAIW US Equity","PX_LAST","1993-06-18","2026-05-02","Per=M","Days=T","Dir=V")</f>
        <v>0</v>
      </c>
      <c r="AS2">
        <f>BDH("MDAIW US Equity","CUR_MKT_CAP","1993-06-18","2026-05-02","Per=M","Days=T","Dir=V")</f>
        <v>0</v>
      </c>
      <c r="AU2">
        <f>BDH("MDAIW US Equity","EQY_SH_OUT","1993-06-18","2026-05-02","Per=M","Days=T","Dir=V")</f>
        <v>0</v>
      </c>
      <c r="AW2">
        <f>BDH("MDAIW US Equity","PX_VOLUME","1993-06-18","2026-05-02","Per=M","Days=T","Dir=V")</f>
        <v>0</v>
      </c>
      <c r="AY2">
        <f>BDH("MDAIW US Equity","TURNOVER","1993-06-18","2026-05-02","Per=M","Days=T","Dir=V")</f>
        <v>0</v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BDH("MDB US Equity","BS_TOT_ASSET","1993-06-18","2026-05-02","Per=Y","Days=T","Dir=V")</f>
        <v>0</v>
      </c>
      <c r="C2">
        <f>BDH("MDB US Equity","BS_TOT_LIAB2","1993-06-18","2026-05-02","Per=Y","Days=T","Dir=V")</f>
        <v>0</v>
      </c>
      <c r="E2">
        <f>BDH("MDB US Equity","SHORT_AND_LONG_TERM_DEBT","1993-06-18","2026-05-02","Per=Y","Days=T","Dir=V")</f>
        <v>0</v>
      </c>
      <c r="G2">
        <f>BDH("MDB US Equity","BS_ST_BORROW","1993-06-18","2026-05-02","Per=Y","Days=T","Dir=V")</f>
        <v>0</v>
      </c>
      <c r="I2">
        <f>BDH("MDB US Equity","BS_LT_BORROW","1993-06-18","2026-05-02","Per=Y","Days=T","Dir=V")</f>
        <v>0</v>
      </c>
      <c r="K2">
        <f>BDH("MDB US Equity","BS_CASH_NEAR_CASH_ITEM","1993-06-18","2026-05-02","Per=Y","Days=T","Dir=V")</f>
        <v>0</v>
      </c>
      <c r="M2">
        <f>BDH("MDB US Equity","BS_CUR_ASSET_REPORT","1993-06-18","2026-05-02","Per=Y","Days=T","Dir=V")</f>
        <v>0</v>
      </c>
      <c r="O2">
        <f>BDH("MDB US Equity","BS_CUR_LIAB","1993-06-18","2026-05-02","Per=Y","Days=T","Dir=V")</f>
        <v>0</v>
      </c>
      <c r="Q2">
        <f>BDH("MDB US Equity","BS_SHAREHOLDER_EQY_ENDING_PERIOD","1993-06-18","2026-05-02","Per=Y","Days=T","Dir=V")</f>
        <v>0</v>
      </c>
      <c r="S2">
        <f>BDH("MDB US Equity","BS_ACCT_NOTE_RCV","1993-06-18","2026-05-02","Per=Y","Days=T","Dir=V")</f>
        <v>0</v>
      </c>
      <c r="U2">
        <f>BDH("MDB US Equity","BS_INVENTORIES","1993-06-18","2026-05-02","Per=Y","Days=T","Dir=V")</f>
        <v>0</v>
      </c>
      <c r="W2">
        <f>BDH("MDB US Equity","WORKING_CAPITAL","1993-06-18","2026-05-02","Per=Y","Days=T","Dir=V")</f>
        <v>0</v>
      </c>
      <c r="Y2">
        <f>BDH("MDB US Equity","SALES_REV_TURN","1993-06-18","2026-05-02","Per=Y","Days=T","Dir=V")</f>
        <v>0</v>
      </c>
      <c r="AA2">
        <f>BDH("MDB US Equity","EBIT","1993-06-18","2026-05-02","Per=Y","Days=T","Dir=V")</f>
        <v>0</v>
      </c>
      <c r="AC2">
        <f>BDH("MDB US Equity","EBITDA","1993-06-18","2026-05-02","Per=Y","Days=T","Dir=V")</f>
        <v>0</v>
      </c>
      <c r="AE2">
        <f>BDH("MDB US Equity","NET_INCOME","1993-06-18","2026-05-02","Per=Y","Days=T","Dir=V")</f>
        <v>0</v>
      </c>
      <c r="AG2">
        <f>BDH("MDB US Equity","IS_INT_EXPENSE","1993-06-18","2026-05-02","Per=Y","Days=T","Dir=V")</f>
        <v>0</v>
      </c>
      <c r="AI2">
        <f>BDH("MDB US Equity","IS_DEPR_EXP","1993-06-18","2026-05-02","Per=Y","Days=T","Dir=V")</f>
        <v>0</v>
      </c>
      <c r="AK2">
        <f>BDH("MDB US Equity","CF_CASH_FROM_OPER","1993-06-18","2026-05-02","Per=Y","Days=T","Dir=V")</f>
        <v>0</v>
      </c>
      <c r="AM2">
        <f>BDH("MDB US Equity","CAPITAL_EXPEND","1993-06-18","2026-05-02","Per=Y","Days=T","Dir=V")</f>
        <v>0</v>
      </c>
      <c r="AO2">
        <f>BDH("MDB US Equity","CF_FREE_CASH_FLOW","1993-06-18","2026-05-02","Per=Y","Days=T","Dir=V")</f>
        <v>0</v>
      </c>
      <c r="AQ2">
        <f>BDH("MDB US Equity","PX_LAST","1993-06-18","2026-05-02","Per=M","Days=T","Dir=V")</f>
        <v>0</v>
      </c>
      <c r="AS2">
        <f>BDH("MDB US Equity","CUR_MKT_CAP","1993-06-18","2026-05-02","Per=M","Days=T","Dir=V")</f>
        <v>0</v>
      </c>
      <c r="AU2">
        <f>BDH("MDB US Equity","EQY_SH_OUT","1993-06-18","2026-05-02","Per=M","Days=T","Dir=V")</f>
        <v>0</v>
      </c>
      <c r="AW2">
        <f>BDH("MDB US Equity","PX_VOLUME","1993-06-18","2026-05-02","Per=M","Days=T","Dir=V")</f>
        <v>0</v>
      </c>
      <c r="AY2">
        <f>BDH("MDB US Equity","TURNOVER","1993-06-18","2026-05-02","Per=M","Days=T","Dir=V")</f>
        <v>0</v>
      </c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BDH("MDGL US Equity","BS_TOT_ASSET","1993-06-18","2026-05-02","Per=Y","Days=T","Dir=V")</f>
        <v>0</v>
      </c>
      <c r="C2">
        <f>BDH("MDGL US Equity","BS_TOT_LIAB2","1993-06-18","2026-05-02","Per=Y","Days=T","Dir=V")</f>
        <v>0</v>
      </c>
      <c r="E2">
        <f>BDH("MDGL US Equity","SHORT_AND_LONG_TERM_DEBT","1993-06-18","2026-05-02","Per=Y","Days=T","Dir=V")</f>
        <v>0</v>
      </c>
      <c r="G2">
        <f>BDH("MDGL US Equity","BS_ST_BORROW","1993-06-18","2026-05-02","Per=Y","Days=T","Dir=V")</f>
        <v>0</v>
      </c>
      <c r="I2">
        <f>BDH("MDGL US Equity","BS_LT_BORROW","1993-06-18","2026-05-02","Per=Y","Days=T","Dir=V")</f>
        <v>0</v>
      </c>
      <c r="K2">
        <f>BDH("MDGL US Equity","BS_CASH_NEAR_CASH_ITEM","1993-06-18","2026-05-02","Per=Y","Days=T","Dir=V")</f>
        <v>0</v>
      </c>
      <c r="M2">
        <f>BDH("MDGL US Equity","BS_CUR_ASSET_REPORT","1993-06-18","2026-05-02","Per=Y","Days=T","Dir=V")</f>
        <v>0</v>
      </c>
      <c r="O2">
        <f>BDH("MDGL US Equity","BS_CUR_LIAB","1993-06-18","2026-05-02","Per=Y","Days=T","Dir=V")</f>
        <v>0</v>
      </c>
      <c r="Q2">
        <f>BDH("MDGL US Equity","BS_SHAREHOLDER_EQY_ENDING_PERIOD","1993-06-18","2026-05-02","Per=Y","Days=T","Dir=V")</f>
        <v>0</v>
      </c>
      <c r="S2">
        <f>BDH("MDGL US Equity","BS_ACCT_NOTE_RCV","1993-06-18","2026-05-02","Per=Y","Days=T","Dir=V")</f>
        <v>0</v>
      </c>
      <c r="U2">
        <f>BDH("MDGL US Equity","BS_INVENTORIES","1993-06-18","2026-05-02","Per=Y","Days=T","Dir=V")</f>
        <v>0</v>
      </c>
      <c r="W2">
        <f>BDH("MDGL US Equity","WORKING_CAPITAL","1993-06-18","2026-05-02","Per=Y","Days=T","Dir=V")</f>
        <v>0</v>
      </c>
      <c r="Y2">
        <f>BDH("MDGL US Equity","SALES_REV_TURN","1993-06-18","2026-05-02","Per=Y","Days=T","Dir=V")</f>
        <v>0</v>
      </c>
      <c r="AA2">
        <f>BDH("MDGL US Equity","EBIT","1993-06-18","2026-05-02","Per=Y","Days=T","Dir=V")</f>
        <v>0</v>
      </c>
      <c r="AC2">
        <f>BDH("MDGL US Equity","EBITDA","1993-06-18","2026-05-02","Per=Y","Days=T","Dir=V")</f>
        <v>0</v>
      </c>
      <c r="AE2">
        <f>BDH("MDGL US Equity","NET_INCOME","1993-06-18","2026-05-02","Per=Y","Days=T","Dir=V")</f>
        <v>0</v>
      </c>
      <c r="AG2">
        <f>BDH("MDGL US Equity","IS_INT_EXPENSE","1993-06-18","2026-05-02","Per=Y","Days=T","Dir=V")</f>
        <v>0</v>
      </c>
      <c r="AI2">
        <f>BDH("MDGL US Equity","IS_DEPR_EXP","1993-06-18","2026-05-02","Per=Y","Days=T","Dir=V")</f>
        <v>0</v>
      </c>
      <c r="AK2">
        <f>BDH("MDGL US Equity","CF_CASH_FROM_OPER","1993-06-18","2026-05-02","Per=Y","Days=T","Dir=V")</f>
        <v>0</v>
      </c>
      <c r="AM2">
        <f>BDH("MDGL US Equity","CAPITAL_EXPEND","1993-06-18","2026-05-02","Per=Y","Days=T","Dir=V")</f>
        <v>0</v>
      </c>
      <c r="AO2">
        <f>BDH("MDGL US Equity","CF_FREE_CASH_FLOW","1993-06-18","2026-05-02","Per=Y","Days=T","Dir=V")</f>
        <v>0</v>
      </c>
      <c r="AQ2">
        <f>BDH("MDGL US Equity","PX_LAST","1993-06-18","2026-05-02","Per=M","Days=T","Dir=V")</f>
        <v>0</v>
      </c>
      <c r="AS2">
        <f>BDH("MDGL US Equity","CUR_MKT_CAP","1993-06-18","2026-05-02","Per=M","Days=T","Dir=V")</f>
        <v>0</v>
      </c>
      <c r="AU2">
        <f>BDH("MDGL US Equity","EQY_SH_OUT","1993-06-18","2026-05-02","Per=M","Days=T","Dir=V")</f>
        <v>0</v>
      </c>
      <c r="AW2">
        <f>BDH("MDGL US Equity","PX_VOLUME","1993-06-18","2026-05-02","Per=M","Days=T","Dir=V")</f>
        <v>0</v>
      </c>
      <c r="AY2">
        <f>BDH("MDGL US Equity","TURNOVER","1993-06-18","2026-05-02","Per=M","Days=T","Dir=V")</f>
        <v>0</v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BDH("MDIA US Equity","BS_TOT_ASSET","1993-06-18","2026-05-02","Per=Y","Days=T","Dir=V")</f>
        <v>0</v>
      </c>
      <c r="C2">
        <f>BDH("MDIA US Equity","BS_TOT_LIAB2","1993-06-18","2026-05-02","Per=Y","Days=T","Dir=V")</f>
        <v>0</v>
      </c>
      <c r="E2">
        <f>BDH("MDIA US Equity","SHORT_AND_LONG_TERM_DEBT","1993-06-18","2026-05-02","Per=Y","Days=T","Dir=V")</f>
        <v>0</v>
      </c>
      <c r="G2">
        <f>BDH("MDIA US Equity","BS_ST_BORROW","1993-06-18","2026-05-02","Per=Y","Days=T","Dir=V")</f>
        <v>0</v>
      </c>
      <c r="I2">
        <f>BDH("MDIA US Equity","BS_LT_BORROW","1993-06-18","2026-05-02","Per=Y","Days=T","Dir=V")</f>
        <v>0</v>
      </c>
      <c r="K2">
        <f>BDH("MDIA US Equity","BS_CASH_NEAR_CASH_ITEM","1993-06-18","2026-05-02","Per=Y","Days=T","Dir=V")</f>
        <v>0</v>
      </c>
      <c r="M2">
        <f>BDH("MDIA US Equity","BS_CUR_ASSET_REPORT","1993-06-18","2026-05-02","Per=Y","Days=T","Dir=V")</f>
        <v>0</v>
      </c>
      <c r="O2">
        <f>BDH("MDIA US Equity","BS_CUR_LIAB","1993-06-18","2026-05-02","Per=Y","Days=T","Dir=V")</f>
        <v>0</v>
      </c>
      <c r="Q2">
        <f>BDH("MDIA US Equity","BS_SHAREHOLDER_EQY_ENDING_PERIOD","1993-06-18","2026-05-02","Per=Y","Days=T","Dir=V")</f>
        <v>0</v>
      </c>
      <c r="S2">
        <f>BDH("MDIA US Equity","BS_ACCT_NOTE_RCV","1993-06-18","2026-05-02","Per=Y","Days=T","Dir=V")</f>
        <v>0</v>
      </c>
      <c r="U2">
        <f>BDH("MDIA US Equity","BS_INVENTORIES","1993-06-18","2026-05-02","Per=Y","Days=T","Dir=V")</f>
        <v>0</v>
      </c>
      <c r="W2">
        <f>BDH("MDIA US Equity","WORKING_CAPITAL","1993-06-18","2026-05-02","Per=Y","Days=T","Dir=V")</f>
        <v>0</v>
      </c>
      <c r="Y2">
        <f>BDH("MDIA US Equity","SALES_REV_TURN","1993-06-18","2026-05-02","Per=Y","Days=T","Dir=V")</f>
        <v>0</v>
      </c>
      <c r="AA2">
        <f>BDH("MDIA US Equity","EBIT","1993-06-18","2026-05-02","Per=Y","Days=T","Dir=V")</f>
        <v>0</v>
      </c>
      <c r="AC2">
        <f>BDH("MDIA US Equity","EBITDA","1993-06-18","2026-05-02","Per=Y","Days=T","Dir=V")</f>
        <v>0</v>
      </c>
      <c r="AE2">
        <f>BDH("MDIA US Equity","NET_INCOME","1993-06-18","2026-05-02","Per=Y","Days=T","Dir=V")</f>
        <v>0</v>
      </c>
      <c r="AG2">
        <f>BDH("MDIA US Equity","IS_INT_EXPENSE","1993-06-18","2026-05-02","Per=Y","Days=T","Dir=V")</f>
        <v>0</v>
      </c>
      <c r="AI2">
        <f>BDH("MDIA US Equity","IS_DEPR_EXP","1993-06-18","2026-05-02","Per=Y","Days=T","Dir=V")</f>
        <v>0</v>
      </c>
      <c r="AK2">
        <f>BDH("MDIA US Equity","CF_CASH_FROM_OPER","1993-06-18","2026-05-02","Per=Y","Days=T","Dir=V")</f>
        <v>0</v>
      </c>
      <c r="AM2">
        <f>BDH("MDIA US Equity","CAPITAL_EXPEND","1993-06-18","2026-05-02","Per=Y","Days=T","Dir=V")</f>
        <v>0</v>
      </c>
      <c r="AO2">
        <f>BDH("MDIA US Equity","CF_FREE_CASH_FLOW","1993-06-18","2026-05-02","Per=Y","Days=T","Dir=V")</f>
        <v>0</v>
      </c>
      <c r="AQ2">
        <f>BDH("MDIA US Equity","PX_LAST","1993-06-18","2026-05-02","Per=M","Days=T","Dir=V")</f>
        <v>0</v>
      </c>
      <c r="AS2">
        <f>BDH("MDIA US Equity","CUR_MKT_CAP","1993-06-18","2026-05-02","Per=M","Days=T","Dir=V")</f>
        <v>0</v>
      </c>
      <c r="AU2">
        <f>BDH("MDIA US Equity","EQY_SH_OUT","1993-06-18","2026-05-02","Per=M","Days=T","Dir=V")</f>
        <v>0</v>
      </c>
      <c r="AW2">
        <f>BDH("MDIA US Equity","PX_VOLUME","1993-06-18","2026-05-02","Per=M","Days=T","Dir=V")</f>
        <v>0</v>
      </c>
      <c r="AY2">
        <f>BDH("MDIA US Equity","TURNOVER","1993-06-18","2026-05-02","Per=M","Days=T","Dir=V")</f>
        <v>0</v>
      </c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BDH("MDLN US Equity","BS_TOT_ASSET","1993-06-18","2026-05-02","Per=Y","Days=T","Dir=V")</f>
        <v>0</v>
      </c>
      <c r="C2">
        <f>BDH("MDLN US Equity","BS_TOT_LIAB2","1993-06-18","2026-05-02","Per=Y","Days=T","Dir=V")</f>
        <v>0</v>
      </c>
      <c r="E2">
        <f>BDH("MDLN US Equity","SHORT_AND_LONG_TERM_DEBT","1993-06-18","2026-05-02","Per=Y","Days=T","Dir=V")</f>
        <v>0</v>
      </c>
      <c r="G2">
        <f>BDH("MDLN US Equity","BS_ST_BORROW","1993-06-18","2026-05-02","Per=Y","Days=T","Dir=V")</f>
        <v>0</v>
      </c>
      <c r="I2">
        <f>BDH("MDLN US Equity","BS_LT_BORROW","1993-06-18","2026-05-02","Per=Y","Days=T","Dir=V")</f>
        <v>0</v>
      </c>
      <c r="K2">
        <f>BDH("MDLN US Equity","BS_CASH_NEAR_CASH_ITEM","1993-06-18","2026-05-02","Per=Y","Days=T","Dir=V")</f>
        <v>0</v>
      </c>
      <c r="M2">
        <f>BDH("MDLN US Equity","BS_CUR_ASSET_REPORT","1993-06-18","2026-05-02","Per=Y","Days=T","Dir=V")</f>
        <v>0</v>
      </c>
      <c r="O2">
        <f>BDH("MDLN US Equity","BS_CUR_LIAB","1993-06-18","2026-05-02","Per=Y","Days=T","Dir=V")</f>
        <v>0</v>
      </c>
      <c r="Q2">
        <f>BDH("MDLN US Equity","BS_SHAREHOLDER_EQY_ENDING_PERIOD","1993-06-18","2026-05-02","Per=Y","Days=T","Dir=V")</f>
        <v>0</v>
      </c>
      <c r="S2">
        <f>BDH("MDLN US Equity","BS_ACCT_NOTE_RCV","1993-06-18","2026-05-02","Per=Y","Days=T","Dir=V")</f>
        <v>0</v>
      </c>
      <c r="U2">
        <f>BDH("MDLN US Equity","BS_INVENTORIES","1993-06-18","2026-05-02","Per=Y","Days=T","Dir=V")</f>
        <v>0</v>
      </c>
      <c r="W2">
        <f>BDH("MDLN US Equity","WORKING_CAPITAL","1993-06-18","2026-05-02","Per=Y","Days=T","Dir=V")</f>
        <v>0</v>
      </c>
      <c r="Y2">
        <f>BDH("MDLN US Equity","SALES_REV_TURN","1993-06-18","2026-05-02","Per=Y","Days=T","Dir=V")</f>
        <v>0</v>
      </c>
      <c r="AA2">
        <f>BDH("MDLN US Equity","EBIT","1993-06-18","2026-05-02","Per=Y","Days=T","Dir=V")</f>
        <v>0</v>
      </c>
      <c r="AC2">
        <f>BDH("MDLN US Equity","EBITDA","1993-06-18","2026-05-02","Per=Y","Days=T","Dir=V")</f>
        <v>0</v>
      </c>
      <c r="AE2">
        <f>BDH("MDLN US Equity","NET_INCOME","1993-06-18","2026-05-02","Per=Y","Days=T","Dir=V")</f>
        <v>0</v>
      </c>
      <c r="AG2">
        <f>BDH("MDLN US Equity","IS_INT_EXPENSE","1993-06-18","2026-05-02","Per=Y","Days=T","Dir=V")</f>
        <v>0</v>
      </c>
      <c r="AI2">
        <f>BDH("MDLN US Equity","IS_DEPR_EXP","1993-06-18","2026-05-02","Per=Y","Days=T","Dir=V")</f>
        <v>0</v>
      </c>
      <c r="AK2">
        <f>BDH("MDLN US Equity","CF_CASH_FROM_OPER","1993-06-18","2026-05-02","Per=Y","Days=T","Dir=V")</f>
        <v>0</v>
      </c>
      <c r="AM2">
        <f>BDH("MDLN US Equity","CAPITAL_EXPEND","1993-06-18","2026-05-02","Per=Y","Days=T","Dir=V")</f>
        <v>0</v>
      </c>
      <c r="AO2">
        <f>BDH("MDLN US Equity","CF_FREE_CASH_FLOW","1993-06-18","2026-05-02","Per=Y","Days=T","Dir=V")</f>
        <v>0</v>
      </c>
      <c r="AQ2">
        <f>BDH("MDLN US Equity","PX_LAST","1993-06-18","2026-05-02","Per=M","Days=T","Dir=V")</f>
        <v>0</v>
      </c>
      <c r="AS2">
        <f>BDH("MDLN US Equity","CUR_MKT_CAP","1993-06-18","2026-05-02","Per=M","Days=T","Dir=V")</f>
        <v>0</v>
      </c>
      <c r="AU2">
        <f>BDH("MDLN US Equity","EQY_SH_OUT","1993-06-18","2026-05-02","Per=M","Days=T","Dir=V")</f>
        <v>0</v>
      </c>
      <c r="AW2">
        <f>BDH("MDLN US Equity","PX_VOLUME","1993-06-18","2026-05-02","Per=M","Days=T","Dir=V")</f>
        <v>0</v>
      </c>
      <c r="AY2">
        <f>BDH("MDLN US Equity","TURNOVER","1993-06-18","2026-05-02","Per=M","Days=T","Dir=V")</f>
        <v>0</v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BDH("MDLZ US Equity","BS_TOT_ASSET","1993-06-18","2026-05-02","Per=Y","Days=T","Dir=V")</f>
        <v>0</v>
      </c>
      <c r="C2">
        <f>BDH("MDLZ US Equity","BS_TOT_LIAB2","1993-06-18","2026-05-02","Per=Y","Days=T","Dir=V")</f>
        <v>0</v>
      </c>
      <c r="E2">
        <f>BDH("MDLZ US Equity","SHORT_AND_LONG_TERM_DEBT","1993-06-18","2026-05-02","Per=Y","Days=T","Dir=V")</f>
        <v>0</v>
      </c>
      <c r="G2">
        <f>BDH("MDLZ US Equity","BS_ST_BORROW","1993-06-18","2026-05-02","Per=Y","Days=T","Dir=V")</f>
        <v>0</v>
      </c>
      <c r="I2">
        <f>BDH("MDLZ US Equity","BS_LT_BORROW","1993-06-18","2026-05-02","Per=Y","Days=T","Dir=V")</f>
        <v>0</v>
      </c>
      <c r="K2">
        <f>BDH("MDLZ US Equity","BS_CASH_NEAR_CASH_ITEM","1993-06-18","2026-05-02","Per=Y","Days=T","Dir=V")</f>
        <v>0</v>
      </c>
      <c r="M2">
        <f>BDH("MDLZ US Equity","BS_CUR_ASSET_REPORT","1993-06-18","2026-05-02","Per=Y","Days=T","Dir=V")</f>
        <v>0</v>
      </c>
      <c r="O2">
        <f>BDH("MDLZ US Equity","BS_CUR_LIAB","1993-06-18","2026-05-02","Per=Y","Days=T","Dir=V")</f>
        <v>0</v>
      </c>
      <c r="Q2">
        <f>BDH("MDLZ US Equity","BS_SHAREHOLDER_EQY_ENDING_PERIOD","1993-06-18","2026-05-02","Per=Y","Days=T","Dir=V")</f>
        <v>0</v>
      </c>
      <c r="S2">
        <f>BDH("MDLZ US Equity","BS_ACCT_NOTE_RCV","1993-06-18","2026-05-02","Per=Y","Days=T","Dir=V")</f>
        <v>0</v>
      </c>
      <c r="U2">
        <f>BDH("MDLZ US Equity","BS_INVENTORIES","1993-06-18","2026-05-02","Per=Y","Days=T","Dir=V")</f>
        <v>0</v>
      </c>
      <c r="W2">
        <f>BDH("MDLZ US Equity","WORKING_CAPITAL","1993-06-18","2026-05-02","Per=Y","Days=T","Dir=V")</f>
        <v>0</v>
      </c>
      <c r="Y2">
        <f>BDH("MDLZ US Equity","SALES_REV_TURN","1993-06-18","2026-05-02","Per=Y","Days=T","Dir=V")</f>
        <v>0</v>
      </c>
      <c r="AA2">
        <f>BDH("MDLZ US Equity","EBIT","1993-06-18","2026-05-02","Per=Y","Days=T","Dir=V")</f>
        <v>0</v>
      </c>
      <c r="AC2">
        <f>BDH("MDLZ US Equity","EBITDA","1993-06-18","2026-05-02","Per=Y","Days=T","Dir=V")</f>
        <v>0</v>
      </c>
      <c r="AE2">
        <f>BDH("MDLZ US Equity","NET_INCOME","1993-06-18","2026-05-02","Per=Y","Days=T","Dir=V")</f>
        <v>0</v>
      </c>
      <c r="AG2">
        <f>BDH("MDLZ US Equity","IS_INT_EXPENSE","1993-06-18","2026-05-02","Per=Y","Days=T","Dir=V")</f>
        <v>0</v>
      </c>
      <c r="AI2">
        <f>BDH("MDLZ US Equity","IS_DEPR_EXP","1993-06-18","2026-05-02","Per=Y","Days=T","Dir=V")</f>
        <v>0</v>
      </c>
      <c r="AK2">
        <f>BDH("MDLZ US Equity","CF_CASH_FROM_OPER","1993-06-18","2026-05-02","Per=Y","Days=T","Dir=V")</f>
        <v>0</v>
      </c>
      <c r="AM2">
        <f>BDH("MDLZ US Equity","CAPITAL_EXPEND","1993-06-18","2026-05-02","Per=Y","Days=T","Dir=V")</f>
        <v>0</v>
      </c>
      <c r="AO2">
        <f>BDH("MDLZ US Equity","CF_FREE_CASH_FLOW","1993-06-18","2026-05-02","Per=Y","Days=T","Dir=V")</f>
        <v>0</v>
      </c>
      <c r="AQ2">
        <f>BDH("MDLZ US Equity","PX_LAST","1993-06-18","2026-05-02","Per=M","Days=T","Dir=V")</f>
        <v>0</v>
      </c>
      <c r="AS2">
        <f>BDH("MDLZ US Equity","CUR_MKT_CAP","1993-06-18","2026-05-02","Per=M","Days=T","Dir=V")</f>
        <v>0</v>
      </c>
      <c r="AU2">
        <f>BDH("MDLZ US Equity","EQY_SH_OUT","1993-06-18","2026-05-02","Per=M","Days=T","Dir=V")</f>
        <v>0</v>
      </c>
      <c r="AW2">
        <f>BDH("MDLZ US Equity","PX_VOLUME","1993-06-18","2026-05-02","Per=M","Days=T","Dir=V")</f>
        <v>0</v>
      </c>
      <c r="AY2">
        <f>BDH("MDLZ US Equity","TURNOVER","1993-06-18","2026-05-02","Per=M","Days=T","Dir=V")</f>
        <v>0</v>
      </c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BDH("MDT US Equity","BS_TOT_ASSET","1993-06-18","2026-05-02","Per=Y","Days=T","Dir=V")</f>
        <v>0</v>
      </c>
      <c r="C2">
        <f>BDH("MDT US Equity","BS_TOT_LIAB2","1993-06-18","2026-05-02","Per=Y","Days=T","Dir=V")</f>
        <v>0</v>
      </c>
      <c r="E2">
        <f>BDH("MDT US Equity","SHORT_AND_LONG_TERM_DEBT","1993-06-18","2026-05-02","Per=Y","Days=T","Dir=V")</f>
        <v>0</v>
      </c>
      <c r="G2">
        <f>BDH("MDT US Equity","BS_ST_BORROW","1993-06-18","2026-05-02","Per=Y","Days=T","Dir=V")</f>
        <v>0</v>
      </c>
      <c r="I2">
        <f>BDH("MDT US Equity","BS_LT_BORROW","1993-06-18","2026-05-02","Per=Y","Days=T","Dir=V")</f>
        <v>0</v>
      </c>
      <c r="K2">
        <f>BDH("MDT US Equity","BS_CASH_NEAR_CASH_ITEM","1993-06-18","2026-05-02","Per=Y","Days=T","Dir=V")</f>
        <v>0</v>
      </c>
      <c r="M2">
        <f>BDH("MDT US Equity","BS_CUR_ASSET_REPORT","1993-06-18","2026-05-02","Per=Y","Days=T","Dir=V")</f>
        <v>0</v>
      </c>
      <c r="O2">
        <f>BDH("MDT US Equity","BS_CUR_LIAB","1993-06-18","2026-05-02","Per=Y","Days=T","Dir=V")</f>
        <v>0</v>
      </c>
      <c r="Q2">
        <f>BDH("MDT US Equity","BS_SHAREHOLDER_EQY_ENDING_PERIOD","1993-06-18","2026-05-02","Per=Y","Days=T","Dir=V")</f>
        <v>0</v>
      </c>
      <c r="S2">
        <f>BDH("MDT US Equity","BS_ACCT_NOTE_RCV","1993-06-18","2026-05-02","Per=Y","Days=T","Dir=V")</f>
        <v>0</v>
      </c>
      <c r="U2">
        <f>BDH("MDT US Equity","BS_INVENTORIES","1993-06-18","2026-05-02","Per=Y","Days=T","Dir=V")</f>
        <v>0</v>
      </c>
      <c r="W2">
        <f>BDH("MDT US Equity","WORKING_CAPITAL","1993-06-18","2026-05-02","Per=Y","Days=T","Dir=V")</f>
        <v>0</v>
      </c>
      <c r="Y2">
        <f>BDH("MDT US Equity","SALES_REV_TURN","1993-06-18","2026-05-02","Per=Y","Days=T","Dir=V")</f>
        <v>0</v>
      </c>
      <c r="AA2">
        <f>BDH("MDT US Equity","EBIT","1993-06-18","2026-05-02","Per=Y","Days=T","Dir=V")</f>
        <v>0</v>
      </c>
      <c r="AC2">
        <f>BDH("MDT US Equity","EBITDA","1993-06-18","2026-05-02","Per=Y","Days=T","Dir=V")</f>
        <v>0</v>
      </c>
      <c r="AE2">
        <f>BDH("MDT US Equity","NET_INCOME","1993-06-18","2026-05-02","Per=Y","Days=T","Dir=V")</f>
        <v>0</v>
      </c>
      <c r="AG2">
        <f>BDH("MDT US Equity","IS_INT_EXPENSE","1993-06-18","2026-05-02","Per=Y","Days=T","Dir=V")</f>
        <v>0</v>
      </c>
      <c r="AI2">
        <f>BDH("MDT US Equity","IS_DEPR_EXP","1993-06-18","2026-05-02","Per=Y","Days=T","Dir=V")</f>
        <v>0</v>
      </c>
      <c r="AK2">
        <f>BDH("MDT US Equity","CF_CASH_FROM_OPER","1993-06-18","2026-05-02","Per=Y","Days=T","Dir=V")</f>
        <v>0</v>
      </c>
      <c r="AM2">
        <f>BDH("MDT US Equity","CAPITAL_EXPEND","1993-06-18","2026-05-02","Per=Y","Days=T","Dir=V")</f>
        <v>0</v>
      </c>
      <c r="AO2">
        <f>BDH("MDT US Equity","CF_FREE_CASH_FLOW","1993-06-18","2026-05-02","Per=Y","Days=T","Dir=V")</f>
        <v>0</v>
      </c>
      <c r="AQ2">
        <f>BDH("MDT US Equity","PX_LAST","1993-06-18","2026-05-02","Per=M","Days=T","Dir=V")</f>
        <v>0</v>
      </c>
      <c r="AS2">
        <f>BDH("MDT US Equity","CUR_MKT_CAP","1993-06-18","2026-05-02","Per=M","Days=T","Dir=V")</f>
        <v>0</v>
      </c>
      <c r="AU2">
        <f>BDH("MDT US Equity","EQY_SH_OUT","1993-06-18","2026-05-02","Per=M","Days=T","Dir=V")</f>
        <v>0</v>
      </c>
      <c r="AW2">
        <f>BDH("MDT US Equity","PX_VOLUME","1993-06-18","2026-05-02","Per=M","Days=T","Dir=V")</f>
        <v>0</v>
      </c>
      <c r="AY2">
        <f>BDH("MDT US Equity","TURNOVER","1993-06-18","2026-05-02","Per=M","Days=T","Dir=V")</f>
        <v>0</v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BDH("MDU US Equity","BS_TOT_ASSET","1993-06-18","2026-05-02","Per=Y","Days=T","Dir=V")</f>
        <v>0</v>
      </c>
      <c r="C2">
        <f>BDH("MDU US Equity","BS_TOT_LIAB2","1993-06-18","2026-05-02","Per=Y","Days=T","Dir=V")</f>
        <v>0</v>
      </c>
      <c r="E2">
        <f>BDH("MDU US Equity","SHORT_AND_LONG_TERM_DEBT","1993-06-18","2026-05-02","Per=Y","Days=T","Dir=V")</f>
        <v>0</v>
      </c>
      <c r="G2">
        <f>BDH("MDU US Equity","BS_ST_BORROW","1993-06-18","2026-05-02","Per=Y","Days=T","Dir=V")</f>
        <v>0</v>
      </c>
      <c r="I2">
        <f>BDH("MDU US Equity","BS_LT_BORROW","1993-06-18","2026-05-02","Per=Y","Days=T","Dir=V")</f>
        <v>0</v>
      </c>
      <c r="K2">
        <f>BDH("MDU US Equity","BS_CASH_NEAR_CASH_ITEM","1993-06-18","2026-05-02","Per=Y","Days=T","Dir=V")</f>
        <v>0</v>
      </c>
      <c r="M2">
        <f>BDH("MDU US Equity","BS_CUR_ASSET_REPORT","1993-06-18","2026-05-02","Per=Y","Days=T","Dir=V")</f>
        <v>0</v>
      </c>
      <c r="O2">
        <f>BDH("MDU US Equity","BS_CUR_LIAB","1993-06-18","2026-05-02","Per=Y","Days=T","Dir=V")</f>
        <v>0</v>
      </c>
      <c r="Q2">
        <f>BDH("MDU US Equity","BS_SHAREHOLDER_EQY_ENDING_PERIOD","1993-06-18","2026-05-02","Per=Y","Days=T","Dir=V")</f>
        <v>0</v>
      </c>
      <c r="S2">
        <f>BDH("MDU US Equity","BS_ACCT_NOTE_RCV","1993-06-18","2026-05-02","Per=Y","Days=T","Dir=V")</f>
        <v>0</v>
      </c>
      <c r="U2">
        <f>BDH("MDU US Equity","BS_INVENTORIES","1993-06-18","2026-05-02","Per=Y","Days=T","Dir=V")</f>
        <v>0</v>
      </c>
      <c r="W2">
        <f>BDH("MDU US Equity","WORKING_CAPITAL","1993-06-18","2026-05-02","Per=Y","Days=T","Dir=V")</f>
        <v>0</v>
      </c>
      <c r="Y2">
        <f>BDH("MDU US Equity","SALES_REV_TURN","1993-06-18","2026-05-02","Per=Y","Days=T","Dir=V")</f>
        <v>0</v>
      </c>
      <c r="AA2">
        <f>BDH("MDU US Equity","EBIT","1993-06-18","2026-05-02","Per=Y","Days=T","Dir=V")</f>
        <v>0</v>
      </c>
      <c r="AC2">
        <f>BDH("MDU US Equity","EBITDA","1993-06-18","2026-05-02","Per=Y","Days=T","Dir=V")</f>
        <v>0</v>
      </c>
      <c r="AE2">
        <f>BDH("MDU US Equity","NET_INCOME","1993-06-18","2026-05-02","Per=Y","Days=T","Dir=V")</f>
        <v>0</v>
      </c>
      <c r="AG2">
        <f>BDH("MDU US Equity","IS_INT_EXPENSE","1993-06-18","2026-05-02","Per=Y","Days=T","Dir=V")</f>
        <v>0</v>
      </c>
      <c r="AI2">
        <f>BDH("MDU US Equity","IS_DEPR_EXP","1993-06-18","2026-05-02","Per=Y","Days=T","Dir=V")</f>
        <v>0</v>
      </c>
      <c r="AK2">
        <f>BDH("MDU US Equity","CF_CASH_FROM_OPER","1993-06-18","2026-05-02","Per=Y","Days=T","Dir=V")</f>
        <v>0</v>
      </c>
      <c r="AM2">
        <f>BDH("MDU US Equity","CAPITAL_EXPEND","1993-06-18","2026-05-02","Per=Y","Days=T","Dir=V")</f>
        <v>0</v>
      </c>
      <c r="AO2">
        <f>BDH("MDU US Equity","CF_FREE_CASH_FLOW","1993-06-18","2026-05-02","Per=Y","Days=T","Dir=V")</f>
        <v>0</v>
      </c>
      <c r="AQ2">
        <f>BDH("MDU US Equity","PX_LAST","1993-06-18","2026-05-02","Per=M","Days=T","Dir=V")</f>
        <v>0</v>
      </c>
      <c r="AS2">
        <f>BDH("MDU US Equity","CUR_MKT_CAP","1993-06-18","2026-05-02","Per=M","Days=T","Dir=V")</f>
        <v>0</v>
      </c>
      <c r="AU2">
        <f>BDH("MDU US Equity","EQY_SH_OUT","1993-06-18","2026-05-02","Per=M","Days=T","Dir=V")</f>
        <v>0</v>
      </c>
      <c r="AW2">
        <f>BDH("MDU US Equity","PX_VOLUME","1993-06-18","2026-05-02","Per=M","Days=T","Dir=V")</f>
        <v>0</v>
      </c>
      <c r="AY2">
        <f>BDH("MDU US Equity","TURNOVER","1993-06-18","2026-05-02","Per=M","Days=T","Dir=V")</f>
        <v>0</v>
      </c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BDH("MDXG US Equity","BS_TOT_ASSET","1993-06-18","2026-05-02","Per=Y","Days=T","Dir=V")</f>
        <v>0</v>
      </c>
      <c r="C2">
        <f>BDH("MDXG US Equity","BS_TOT_LIAB2","1993-06-18","2026-05-02","Per=Y","Days=T","Dir=V")</f>
        <v>0</v>
      </c>
      <c r="E2">
        <f>BDH("MDXG US Equity","SHORT_AND_LONG_TERM_DEBT","1993-06-18","2026-05-02","Per=Y","Days=T","Dir=V")</f>
        <v>0</v>
      </c>
      <c r="G2">
        <f>BDH("MDXG US Equity","BS_ST_BORROW","1993-06-18","2026-05-02","Per=Y","Days=T","Dir=V")</f>
        <v>0</v>
      </c>
      <c r="I2">
        <f>BDH("MDXG US Equity","BS_LT_BORROW","1993-06-18","2026-05-02","Per=Y","Days=T","Dir=V")</f>
        <v>0</v>
      </c>
      <c r="K2">
        <f>BDH("MDXG US Equity","BS_CASH_NEAR_CASH_ITEM","1993-06-18","2026-05-02","Per=Y","Days=T","Dir=V")</f>
        <v>0</v>
      </c>
      <c r="M2">
        <f>BDH("MDXG US Equity","BS_CUR_ASSET_REPORT","1993-06-18","2026-05-02","Per=Y","Days=T","Dir=V")</f>
        <v>0</v>
      </c>
      <c r="O2">
        <f>BDH("MDXG US Equity","BS_CUR_LIAB","1993-06-18","2026-05-02","Per=Y","Days=T","Dir=V")</f>
        <v>0</v>
      </c>
      <c r="Q2">
        <f>BDH("MDXG US Equity","BS_SHAREHOLDER_EQY_ENDING_PERIOD","1993-06-18","2026-05-02","Per=Y","Days=T","Dir=V")</f>
        <v>0</v>
      </c>
      <c r="S2">
        <f>BDH("MDXG US Equity","BS_ACCT_NOTE_RCV","1993-06-18","2026-05-02","Per=Y","Days=T","Dir=V")</f>
        <v>0</v>
      </c>
      <c r="U2">
        <f>BDH("MDXG US Equity","BS_INVENTORIES","1993-06-18","2026-05-02","Per=Y","Days=T","Dir=V")</f>
        <v>0</v>
      </c>
      <c r="W2">
        <f>BDH("MDXG US Equity","WORKING_CAPITAL","1993-06-18","2026-05-02","Per=Y","Days=T","Dir=V")</f>
        <v>0</v>
      </c>
      <c r="Y2">
        <f>BDH("MDXG US Equity","SALES_REV_TURN","1993-06-18","2026-05-02","Per=Y","Days=T","Dir=V")</f>
        <v>0</v>
      </c>
      <c r="AA2">
        <f>BDH("MDXG US Equity","EBIT","1993-06-18","2026-05-02","Per=Y","Days=T","Dir=V")</f>
        <v>0</v>
      </c>
      <c r="AC2">
        <f>BDH("MDXG US Equity","EBITDA","1993-06-18","2026-05-02","Per=Y","Days=T","Dir=V")</f>
        <v>0</v>
      </c>
      <c r="AE2">
        <f>BDH("MDXG US Equity","NET_INCOME","1993-06-18","2026-05-02","Per=Y","Days=T","Dir=V")</f>
        <v>0</v>
      </c>
      <c r="AG2">
        <f>BDH("MDXG US Equity","IS_INT_EXPENSE","1993-06-18","2026-05-02","Per=Y","Days=T","Dir=V")</f>
        <v>0</v>
      </c>
      <c r="AI2">
        <f>BDH("MDXG US Equity","IS_DEPR_EXP","1993-06-18","2026-05-02","Per=Y","Days=T","Dir=V")</f>
        <v>0</v>
      </c>
      <c r="AK2">
        <f>BDH("MDXG US Equity","CF_CASH_FROM_OPER","1993-06-18","2026-05-02","Per=Y","Days=T","Dir=V")</f>
        <v>0</v>
      </c>
      <c r="AM2">
        <f>BDH("MDXG US Equity","CAPITAL_EXPEND","1993-06-18","2026-05-02","Per=Y","Days=T","Dir=V")</f>
        <v>0</v>
      </c>
      <c r="AO2">
        <f>BDH("MDXG US Equity","CF_FREE_CASH_FLOW","1993-06-18","2026-05-02","Per=Y","Days=T","Dir=V")</f>
        <v>0</v>
      </c>
      <c r="AQ2">
        <f>BDH("MDXG US Equity","PX_LAST","1993-06-18","2026-05-02","Per=M","Days=T","Dir=V")</f>
        <v>0</v>
      </c>
      <c r="AS2">
        <f>BDH("MDXG US Equity","CUR_MKT_CAP","1993-06-18","2026-05-02","Per=M","Days=T","Dir=V")</f>
        <v>0</v>
      </c>
      <c r="AU2">
        <f>BDH("MDXG US Equity","EQY_SH_OUT","1993-06-18","2026-05-02","Per=M","Days=T","Dir=V")</f>
        <v>0</v>
      </c>
      <c r="AW2">
        <f>BDH("MDXG US Equity","PX_VOLUME","1993-06-18","2026-05-02","Per=M","Days=T","Dir=V")</f>
        <v>0</v>
      </c>
      <c r="AY2">
        <f>BDH("MDXG US Equity","TURNOVER","1993-06-18","2026-05-02","Per=M","Days=T","Dir=V")</f>
        <v>0</v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BDH("MEC US Equity","BS_TOT_ASSET","1993-06-18","2026-05-02","Per=Y","Days=T","Dir=V")</f>
        <v>0</v>
      </c>
      <c r="C2">
        <f>BDH("MEC US Equity","BS_TOT_LIAB2","1993-06-18","2026-05-02","Per=Y","Days=T","Dir=V")</f>
        <v>0</v>
      </c>
      <c r="E2">
        <f>BDH("MEC US Equity","SHORT_AND_LONG_TERM_DEBT","1993-06-18","2026-05-02","Per=Y","Days=T","Dir=V")</f>
        <v>0</v>
      </c>
      <c r="G2">
        <f>BDH("MEC US Equity","BS_ST_BORROW","1993-06-18","2026-05-02","Per=Y","Days=T","Dir=V")</f>
        <v>0</v>
      </c>
      <c r="I2">
        <f>BDH("MEC US Equity","BS_LT_BORROW","1993-06-18","2026-05-02","Per=Y","Days=T","Dir=V")</f>
        <v>0</v>
      </c>
      <c r="K2">
        <f>BDH("MEC US Equity","BS_CASH_NEAR_CASH_ITEM","1993-06-18","2026-05-02","Per=Y","Days=T","Dir=V")</f>
        <v>0</v>
      </c>
      <c r="M2">
        <f>BDH("MEC US Equity","BS_CUR_ASSET_REPORT","1993-06-18","2026-05-02","Per=Y","Days=T","Dir=V")</f>
        <v>0</v>
      </c>
      <c r="O2">
        <f>BDH("MEC US Equity","BS_CUR_LIAB","1993-06-18","2026-05-02","Per=Y","Days=T","Dir=V")</f>
        <v>0</v>
      </c>
      <c r="Q2">
        <f>BDH("MEC US Equity","BS_SHAREHOLDER_EQY_ENDING_PERIOD","1993-06-18","2026-05-02","Per=Y","Days=T","Dir=V")</f>
        <v>0</v>
      </c>
      <c r="S2">
        <f>BDH("MEC US Equity","BS_ACCT_NOTE_RCV","1993-06-18","2026-05-02","Per=Y","Days=T","Dir=V")</f>
        <v>0</v>
      </c>
      <c r="U2">
        <f>BDH("MEC US Equity","BS_INVENTORIES","1993-06-18","2026-05-02","Per=Y","Days=T","Dir=V")</f>
        <v>0</v>
      </c>
      <c r="W2">
        <f>BDH("MEC US Equity","WORKING_CAPITAL","1993-06-18","2026-05-02","Per=Y","Days=T","Dir=V")</f>
        <v>0</v>
      </c>
      <c r="Y2">
        <f>BDH("MEC US Equity","SALES_REV_TURN","1993-06-18","2026-05-02","Per=Y","Days=T","Dir=V")</f>
        <v>0</v>
      </c>
      <c r="AA2">
        <f>BDH("MEC US Equity","EBIT","1993-06-18","2026-05-02","Per=Y","Days=T","Dir=V")</f>
        <v>0</v>
      </c>
      <c r="AC2">
        <f>BDH("MEC US Equity","EBITDA","1993-06-18","2026-05-02","Per=Y","Days=T","Dir=V")</f>
        <v>0</v>
      </c>
      <c r="AE2">
        <f>BDH("MEC US Equity","NET_INCOME","1993-06-18","2026-05-02","Per=Y","Days=T","Dir=V")</f>
        <v>0</v>
      </c>
      <c r="AG2">
        <f>BDH("MEC US Equity","IS_INT_EXPENSE","1993-06-18","2026-05-02","Per=Y","Days=T","Dir=V")</f>
        <v>0</v>
      </c>
      <c r="AI2">
        <f>BDH("MEC US Equity","IS_DEPR_EXP","1993-06-18","2026-05-02","Per=Y","Days=T","Dir=V")</f>
        <v>0</v>
      </c>
      <c r="AK2">
        <f>BDH("MEC US Equity","CF_CASH_FROM_OPER","1993-06-18","2026-05-02","Per=Y","Days=T","Dir=V")</f>
        <v>0</v>
      </c>
      <c r="AM2">
        <f>BDH("MEC US Equity","CAPITAL_EXPEND","1993-06-18","2026-05-02","Per=Y","Days=T","Dir=V")</f>
        <v>0</v>
      </c>
      <c r="AO2">
        <f>BDH("MEC US Equity","CF_FREE_CASH_FLOW","1993-06-18","2026-05-02","Per=Y","Days=T","Dir=V")</f>
        <v>0</v>
      </c>
      <c r="AQ2">
        <f>BDH("MEC US Equity","PX_LAST","1993-06-18","2026-05-02","Per=M","Days=T","Dir=V")</f>
        <v>0</v>
      </c>
      <c r="AS2">
        <f>BDH("MEC US Equity","CUR_MKT_CAP","1993-06-18","2026-05-02","Per=M","Days=T","Dir=V")</f>
        <v>0</v>
      </c>
      <c r="AU2">
        <f>BDH("MEC US Equity","EQY_SH_OUT","1993-06-18","2026-05-02","Per=M","Days=T","Dir=V")</f>
        <v>0</v>
      </c>
      <c r="AW2">
        <f>BDH("MEC US Equity","PX_VOLUME","1993-06-18","2026-05-02","Per=M","Days=T","Dir=V")</f>
        <v>0</v>
      </c>
      <c r="AY2">
        <f>BDH("MEC US Equity","TURNOVER","1993-06-18","2026-05-02","Per=M","Days=T","Dir=V")</f>
        <v>0</v>
      </c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BDH("MED US Equity","BS_TOT_ASSET","1993-06-18","2026-05-02","Per=Y","Days=T","Dir=V")</f>
        <v>0</v>
      </c>
      <c r="C2">
        <f>BDH("MED US Equity","BS_TOT_LIAB2","1993-06-18","2026-05-02","Per=Y","Days=T","Dir=V")</f>
        <v>0</v>
      </c>
      <c r="E2">
        <f>BDH("MED US Equity","SHORT_AND_LONG_TERM_DEBT","1993-06-18","2026-05-02","Per=Y","Days=T","Dir=V")</f>
        <v>0</v>
      </c>
      <c r="G2">
        <f>BDH("MED US Equity","BS_ST_BORROW","1993-06-18","2026-05-02","Per=Y","Days=T","Dir=V")</f>
        <v>0</v>
      </c>
      <c r="I2">
        <f>BDH("MED US Equity","BS_LT_BORROW","1993-06-18","2026-05-02","Per=Y","Days=T","Dir=V")</f>
        <v>0</v>
      </c>
      <c r="K2">
        <f>BDH("MED US Equity","BS_CASH_NEAR_CASH_ITEM","1993-06-18","2026-05-02","Per=Y","Days=T","Dir=V")</f>
        <v>0</v>
      </c>
      <c r="M2">
        <f>BDH("MED US Equity","BS_CUR_ASSET_REPORT","1993-06-18","2026-05-02","Per=Y","Days=T","Dir=V")</f>
        <v>0</v>
      </c>
      <c r="O2">
        <f>BDH("MED US Equity","BS_CUR_LIAB","1993-06-18","2026-05-02","Per=Y","Days=T","Dir=V")</f>
        <v>0</v>
      </c>
      <c r="Q2">
        <f>BDH("MED US Equity","BS_SHAREHOLDER_EQY_ENDING_PERIOD","1993-06-18","2026-05-02","Per=Y","Days=T","Dir=V")</f>
        <v>0</v>
      </c>
      <c r="S2">
        <f>BDH("MED US Equity","BS_ACCT_NOTE_RCV","1993-06-18","2026-05-02","Per=Y","Days=T","Dir=V")</f>
        <v>0</v>
      </c>
      <c r="U2">
        <f>BDH("MED US Equity","BS_INVENTORIES","1993-06-18","2026-05-02","Per=Y","Days=T","Dir=V")</f>
        <v>0</v>
      </c>
      <c r="W2">
        <f>BDH("MED US Equity","WORKING_CAPITAL","1993-06-18","2026-05-02","Per=Y","Days=T","Dir=V")</f>
        <v>0</v>
      </c>
      <c r="Y2">
        <f>BDH("MED US Equity","SALES_REV_TURN","1993-06-18","2026-05-02","Per=Y","Days=T","Dir=V")</f>
        <v>0</v>
      </c>
      <c r="AA2">
        <f>BDH("MED US Equity","EBIT","1993-06-18","2026-05-02","Per=Y","Days=T","Dir=V")</f>
        <v>0</v>
      </c>
      <c r="AC2">
        <f>BDH("MED US Equity","EBITDA","1993-06-18","2026-05-02","Per=Y","Days=T","Dir=V")</f>
        <v>0</v>
      </c>
      <c r="AE2">
        <f>BDH("MED US Equity","NET_INCOME","1993-06-18","2026-05-02","Per=Y","Days=T","Dir=V")</f>
        <v>0</v>
      </c>
      <c r="AG2">
        <f>BDH("MED US Equity","IS_INT_EXPENSE","1993-06-18","2026-05-02","Per=Y","Days=T","Dir=V")</f>
        <v>0</v>
      </c>
      <c r="AI2">
        <f>BDH("MED US Equity","IS_DEPR_EXP","1993-06-18","2026-05-02","Per=Y","Days=T","Dir=V")</f>
        <v>0</v>
      </c>
      <c r="AK2">
        <f>BDH("MED US Equity","CF_CASH_FROM_OPER","1993-06-18","2026-05-02","Per=Y","Days=T","Dir=V")</f>
        <v>0</v>
      </c>
      <c r="AM2">
        <f>BDH("MED US Equity","CAPITAL_EXPEND","1993-06-18","2026-05-02","Per=Y","Days=T","Dir=V")</f>
        <v>0</v>
      </c>
      <c r="AO2">
        <f>BDH("MED US Equity","CF_FREE_CASH_FLOW","1993-06-18","2026-05-02","Per=Y","Days=T","Dir=V")</f>
        <v>0</v>
      </c>
      <c r="AQ2">
        <f>BDH("MED US Equity","PX_LAST","1993-06-18","2026-05-02","Per=M","Days=T","Dir=V")</f>
        <v>0</v>
      </c>
      <c r="AS2">
        <f>BDH("MED US Equity","CUR_MKT_CAP","1993-06-18","2026-05-02","Per=M","Days=T","Dir=V")</f>
        <v>0</v>
      </c>
      <c r="AU2">
        <f>BDH("MED US Equity","EQY_SH_OUT","1993-06-18","2026-05-02","Per=M","Days=T","Dir=V")</f>
        <v>0</v>
      </c>
      <c r="AW2">
        <f>BDH("MED US Equity","PX_VOLUME","1993-06-18","2026-05-02","Per=M","Days=T","Dir=V")</f>
        <v>0</v>
      </c>
      <c r="AY2">
        <f>BDH("MED US Equity","TURNOVER","1993-06-18","2026-05-02","Per=M","Days=T","Dir=V")</f>
        <v>0</v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BDH("MEDP US Equity","BS_TOT_ASSET","1993-06-18","2026-05-02","Per=Y","Days=T","Dir=V")</f>
        <v>0</v>
      </c>
      <c r="C2">
        <f>BDH("MEDP US Equity","BS_TOT_LIAB2","1993-06-18","2026-05-02","Per=Y","Days=T","Dir=V")</f>
        <v>0</v>
      </c>
      <c r="E2">
        <f>BDH("MEDP US Equity","SHORT_AND_LONG_TERM_DEBT","1993-06-18","2026-05-02","Per=Y","Days=T","Dir=V")</f>
        <v>0</v>
      </c>
      <c r="G2">
        <f>BDH("MEDP US Equity","BS_ST_BORROW","1993-06-18","2026-05-02","Per=Y","Days=T","Dir=V")</f>
        <v>0</v>
      </c>
      <c r="I2">
        <f>BDH("MEDP US Equity","BS_LT_BORROW","1993-06-18","2026-05-02","Per=Y","Days=T","Dir=V")</f>
        <v>0</v>
      </c>
      <c r="K2">
        <f>BDH("MEDP US Equity","BS_CASH_NEAR_CASH_ITEM","1993-06-18","2026-05-02","Per=Y","Days=T","Dir=V")</f>
        <v>0</v>
      </c>
      <c r="M2">
        <f>BDH("MEDP US Equity","BS_CUR_ASSET_REPORT","1993-06-18","2026-05-02","Per=Y","Days=T","Dir=V")</f>
        <v>0</v>
      </c>
      <c r="O2">
        <f>BDH("MEDP US Equity","BS_CUR_LIAB","1993-06-18","2026-05-02","Per=Y","Days=T","Dir=V")</f>
        <v>0</v>
      </c>
      <c r="Q2">
        <f>BDH("MEDP US Equity","BS_SHAREHOLDER_EQY_ENDING_PERIOD","1993-06-18","2026-05-02","Per=Y","Days=T","Dir=V")</f>
        <v>0</v>
      </c>
      <c r="S2">
        <f>BDH("MEDP US Equity","BS_ACCT_NOTE_RCV","1993-06-18","2026-05-02","Per=Y","Days=T","Dir=V")</f>
        <v>0</v>
      </c>
      <c r="U2">
        <f>BDH("MEDP US Equity","BS_INVENTORIES","1993-06-18","2026-05-02","Per=Y","Days=T","Dir=V")</f>
        <v>0</v>
      </c>
      <c r="W2">
        <f>BDH("MEDP US Equity","WORKING_CAPITAL","1993-06-18","2026-05-02","Per=Y","Days=T","Dir=V")</f>
        <v>0</v>
      </c>
      <c r="Y2">
        <f>BDH("MEDP US Equity","SALES_REV_TURN","1993-06-18","2026-05-02","Per=Y","Days=T","Dir=V")</f>
        <v>0</v>
      </c>
      <c r="AA2">
        <f>BDH("MEDP US Equity","EBIT","1993-06-18","2026-05-02","Per=Y","Days=T","Dir=V")</f>
        <v>0</v>
      </c>
      <c r="AC2">
        <f>BDH("MEDP US Equity","EBITDA","1993-06-18","2026-05-02","Per=Y","Days=T","Dir=V")</f>
        <v>0</v>
      </c>
      <c r="AE2">
        <f>BDH("MEDP US Equity","NET_INCOME","1993-06-18","2026-05-02","Per=Y","Days=T","Dir=V")</f>
        <v>0</v>
      </c>
      <c r="AG2">
        <f>BDH("MEDP US Equity","IS_INT_EXPENSE","1993-06-18","2026-05-02","Per=Y","Days=T","Dir=V")</f>
        <v>0</v>
      </c>
      <c r="AI2">
        <f>BDH("MEDP US Equity","IS_DEPR_EXP","1993-06-18","2026-05-02","Per=Y","Days=T","Dir=V")</f>
        <v>0</v>
      </c>
      <c r="AK2">
        <f>BDH("MEDP US Equity","CF_CASH_FROM_OPER","1993-06-18","2026-05-02","Per=Y","Days=T","Dir=V")</f>
        <v>0</v>
      </c>
      <c r="AM2">
        <f>BDH("MEDP US Equity","CAPITAL_EXPEND","1993-06-18","2026-05-02","Per=Y","Days=T","Dir=V")</f>
        <v>0</v>
      </c>
      <c r="AO2">
        <f>BDH("MEDP US Equity","CF_FREE_CASH_FLOW","1993-06-18","2026-05-02","Per=Y","Days=T","Dir=V")</f>
        <v>0</v>
      </c>
      <c r="AQ2">
        <f>BDH("MEDP US Equity","PX_LAST","1993-06-18","2026-05-02","Per=M","Days=T","Dir=V")</f>
        <v>0</v>
      </c>
      <c r="AS2">
        <f>BDH("MEDP US Equity","CUR_MKT_CAP","1993-06-18","2026-05-02","Per=M","Days=T","Dir=V")</f>
        <v>0</v>
      </c>
      <c r="AU2">
        <f>BDH("MEDP US Equity","EQY_SH_OUT","1993-06-18","2026-05-02","Per=M","Days=T","Dir=V")</f>
        <v>0</v>
      </c>
      <c r="AW2">
        <f>BDH("MEDP US Equity","PX_VOLUME","1993-06-18","2026-05-02","Per=M","Days=T","Dir=V")</f>
        <v>0</v>
      </c>
      <c r="AY2">
        <f>BDH("MEDP US Equity","TURNOVER","1993-06-18","2026-05-02","Per=M","Days=T","Dir=V")</f>
        <v>0</v>
      </c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BDH("MEDS US Equity","BS_TOT_ASSET","1993-06-18","2026-05-02","Per=Y","Days=T","Dir=V")</f>
        <v>0</v>
      </c>
      <c r="C2">
        <f>BDH("MEDS US Equity","BS_TOT_LIAB2","1993-06-18","2026-05-02","Per=Y","Days=T","Dir=V")</f>
        <v>0</v>
      </c>
      <c r="E2">
        <f>BDH("MEDS US Equity","SHORT_AND_LONG_TERM_DEBT","1993-06-18","2026-05-02","Per=Y","Days=T","Dir=V")</f>
        <v>0</v>
      </c>
      <c r="G2">
        <f>BDH("MEDS US Equity","BS_ST_BORROW","1993-06-18","2026-05-02","Per=Y","Days=T","Dir=V")</f>
        <v>0</v>
      </c>
      <c r="I2">
        <f>BDH("MEDS US Equity","BS_LT_BORROW","1993-06-18","2026-05-02","Per=Y","Days=T","Dir=V")</f>
        <v>0</v>
      </c>
      <c r="K2">
        <f>BDH("MEDS US Equity","BS_CASH_NEAR_CASH_ITEM","1993-06-18","2026-05-02","Per=Y","Days=T","Dir=V")</f>
        <v>0</v>
      </c>
      <c r="M2">
        <f>BDH("MEDS US Equity","BS_CUR_ASSET_REPORT","1993-06-18","2026-05-02","Per=Y","Days=T","Dir=V")</f>
        <v>0</v>
      </c>
      <c r="O2">
        <f>BDH("MEDS US Equity","BS_CUR_LIAB","1993-06-18","2026-05-02","Per=Y","Days=T","Dir=V")</f>
        <v>0</v>
      </c>
      <c r="Q2">
        <f>BDH("MEDS US Equity","BS_SHAREHOLDER_EQY_ENDING_PERIOD","1993-06-18","2026-05-02","Per=Y","Days=T","Dir=V")</f>
        <v>0</v>
      </c>
      <c r="S2">
        <f>BDH("MEDS US Equity","BS_ACCT_NOTE_RCV","1993-06-18","2026-05-02","Per=Y","Days=T","Dir=V")</f>
        <v>0</v>
      </c>
      <c r="U2">
        <f>BDH("MEDS US Equity","BS_INVENTORIES","1993-06-18","2026-05-02","Per=Y","Days=T","Dir=V")</f>
        <v>0</v>
      </c>
      <c r="W2">
        <f>BDH("MEDS US Equity","WORKING_CAPITAL","1993-06-18","2026-05-02","Per=Y","Days=T","Dir=V")</f>
        <v>0</v>
      </c>
      <c r="Y2">
        <f>BDH("MEDS US Equity","SALES_REV_TURN","1993-06-18","2026-05-02","Per=Y","Days=T","Dir=V")</f>
        <v>0</v>
      </c>
      <c r="AA2">
        <f>BDH("MEDS US Equity","EBIT","1993-06-18","2026-05-02","Per=Y","Days=T","Dir=V")</f>
        <v>0</v>
      </c>
      <c r="AC2">
        <f>BDH("MEDS US Equity","EBITDA","1993-06-18","2026-05-02","Per=Y","Days=T","Dir=V")</f>
        <v>0</v>
      </c>
      <c r="AE2">
        <f>BDH("MEDS US Equity","NET_INCOME","1993-06-18","2026-05-02","Per=Y","Days=T","Dir=V")</f>
        <v>0</v>
      </c>
      <c r="AG2">
        <f>BDH("MEDS US Equity","IS_INT_EXPENSE","1993-06-18","2026-05-02","Per=Y","Days=T","Dir=V")</f>
        <v>0</v>
      </c>
      <c r="AI2">
        <f>BDH("MEDS US Equity","IS_DEPR_EXP","1993-06-18","2026-05-02","Per=Y","Days=T","Dir=V")</f>
        <v>0</v>
      </c>
      <c r="AK2">
        <f>BDH("MEDS US Equity","CF_CASH_FROM_OPER","1993-06-18","2026-05-02","Per=Y","Days=T","Dir=V")</f>
        <v>0</v>
      </c>
      <c r="AM2">
        <f>BDH("MEDS US Equity","CAPITAL_EXPEND","1993-06-18","2026-05-02","Per=Y","Days=T","Dir=V")</f>
        <v>0</v>
      </c>
      <c r="AO2">
        <f>BDH("MEDS US Equity","CF_FREE_CASH_FLOW","1993-06-18","2026-05-02","Per=Y","Days=T","Dir=V")</f>
        <v>0</v>
      </c>
      <c r="AQ2">
        <f>BDH("MEDS US Equity","PX_LAST","1993-06-18","2026-05-02","Per=M","Days=T","Dir=V")</f>
        <v>0</v>
      </c>
      <c r="AS2">
        <f>BDH("MEDS US Equity","CUR_MKT_CAP","1993-06-18","2026-05-02","Per=M","Days=T","Dir=V")</f>
        <v>0</v>
      </c>
      <c r="AU2">
        <f>BDH("MEDS US Equity","EQY_SH_OUT","1993-06-18","2026-05-02","Per=M","Days=T","Dir=V")</f>
        <v>0</v>
      </c>
      <c r="AW2">
        <f>BDH("MEDS US Equity","PX_VOLUME","1993-06-18","2026-05-02","Per=M","Days=T","Dir=V")</f>
        <v>0</v>
      </c>
      <c r="AY2">
        <f>BDH("MEDS US Equity","TURNOVER","1993-06-18","2026-05-02","Per=M","Days=T","Dir=V")</f>
        <v>0</v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BDH("MEI US Equity","BS_TOT_ASSET","1993-06-18","2026-05-02","Per=Y","Days=T","Dir=V")</f>
        <v>0</v>
      </c>
      <c r="C2">
        <f>BDH("MEI US Equity","BS_TOT_LIAB2","1993-06-18","2026-05-02","Per=Y","Days=T","Dir=V")</f>
        <v>0</v>
      </c>
      <c r="E2">
        <f>BDH("MEI US Equity","SHORT_AND_LONG_TERM_DEBT","1993-06-18","2026-05-02","Per=Y","Days=T","Dir=V")</f>
        <v>0</v>
      </c>
      <c r="G2">
        <f>BDH("MEI US Equity","BS_ST_BORROW","1993-06-18","2026-05-02","Per=Y","Days=T","Dir=V")</f>
        <v>0</v>
      </c>
      <c r="I2">
        <f>BDH("MEI US Equity","BS_LT_BORROW","1993-06-18","2026-05-02","Per=Y","Days=T","Dir=V")</f>
        <v>0</v>
      </c>
      <c r="K2">
        <f>BDH("MEI US Equity","BS_CASH_NEAR_CASH_ITEM","1993-06-18","2026-05-02","Per=Y","Days=T","Dir=V")</f>
        <v>0</v>
      </c>
      <c r="M2">
        <f>BDH("MEI US Equity","BS_CUR_ASSET_REPORT","1993-06-18","2026-05-02","Per=Y","Days=T","Dir=V")</f>
        <v>0</v>
      </c>
      <c r="O2">
        <f>BDH("MEI US Equity","BS_CUR_LIAB","1993-06-18","2026-05-02","Per=Y","Days=T","Dir=V")</f>
        <v>0</v>
      </c>
      <c r="Q2">
        <f>BDH("MEI US Equity","BS_SHAREHOLDER_EQY_ENDING_PERIOD","1993-06-18","2026-05-02","Per=Y","Days=T","Dir=V")</f>
        <v>0</v>
      </c>
      <c r="S2">
        <f>BDH("MEI US Equity","BS_ACCT_NOTE_RCV","1993-06-18","2026-05-02","Per=Y","Days=T","Dir=V")</f>
        <v>0</v>
      </c>
      <c r="U2">
        <f>BDH("MEI US Equity","BS_INVENTORIES","1993-06-18","2026-05-02","Per=Y","Days=T","Dir=V")</f>
        <v>0</v>
      </c>
      <c r="W2">
        <f>BDH("MEI US Equity","WORKING_CAPITAL","1993-06-18","2026-05-02","Per=Y","Days=T","Dir=V")</f>
        <v>0</v>
      </c>
      <c r="Y2">
        <f>BDH("MEI US Equity","SALES_REV_TURN","1993-06-18","2026-05-02","Per=Y","Days=T","Dir=V")</f>
        <v>0</v>
      </c>
      <c r="AA2">
        <f>BDH("MEI US Equity","EBIT","1993-06-18","2026-05-02","Per=Y","Days=T","Dir=V")</f>
        <v>0</v>
      </c>
      <c r="AC2">
        <f>BDH("MEI US Equity","EBITDA","1993-06-18","2026-05-02","Per=Y","Days=T","Dir=V")</f>
        <v>0</v>
      </c>
      <c r="AE2">
        <f>BDH("MEI US Equity","NET_INCOME","1993-06-18","2026-05-02","Per=Y","Days=T","Dir=V")</f>
        <v>0</v>
      </c>
      <c r="AG2">
        <f>BDH("MEI US Equity","IS_INT_EXPENSE","1993-06-18","2026-05-02","Per=Y","Days=T","Dir=V")</f>
        <v>0</v>
      </c>
      <c r="AI2">
        <f>BDH("MEI US Equity","IS_DEPR_EXP","1993-06-18","2026-05-02","Per=Y","Days=T","Dir=V")</f>
        <v>0</v>
      </c>
      <c r="AK2">
        <f>BDH("MEI US Equity","CF_CASH_FROM_OPER","1993-06-18","2026-05-02","Per=Y","Days=T","Dir=V")</f>
        <v>0</v>
      </c>
      <c r="AM2">
        <f>BDH("MEI US Equity","CAPITAL_EXPEND","1993-06-18","2026-05-02","Per=Y","Days=T","Dir=V")</f>
        <v>0</v>
      </c>
      <c r="AO2">
        <f>BDH("MEI US Equity","CF_FREE_CASH_FLOW","1993-06-18","2026-05-02","Per=Y","Days=T","Dir=V")</f>
        <v>0</v>
      </c>
      <c r="AQ2">
        <f>BDH("MEI US Equity","PX_LAST","1993-06-18","2026-05-02","Per=M","Days=T","Dir=V")</f>
        <v>0</v>
      </c>
      <c r="AS2">
        <f>BDH("MEI US Equity","CUR_MKT_CAP","1993-06-18","2026-05-02","Per=M","Days=T","Dir=V")</f>
        <v>0</v>
      </c>
      <c r="AU2">
        <f>BDH("MEI US Equity","EQY_SH_OUT","1993-06-18","2026-05-02","Per=M","Days=T","Dir=V")</f>
        <v>0</v>
      </c>
      <c r="AW2">
        <f>BDH("MEI US Equity","PX_VOLUME","1993-06-18","2026-05-02","Per=M","Days=T","Dir=V")</f>
        <v>0</v>
      </c>
      <c r="AY2">
        <f>BDH("MEI US Equity","TURNOVER","1993-06-18","2026-05-02","Per=M","Days=T","Dir=V")</f>
        <v>0</v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BDH("META US Equity","BS_TOT_ASSET","1993-06-18","2026-05-02","Per=Y","Days=T","Dir=V")</f>
        <v>0</v>
      </c>
      <c r="C2">
        <f>BDH("META US Equity","BS_TOT_LIAB2","1993-06-18","2026-05-02","Per=Y","Days=T","Dir=V")</f>
        <v>0</v>
      </c>
      <c r="E2">
        <f>BDH("META US Equity","SHORT_AND_LONG_TERM_DEBT","1993-06-18","2026-05-02","Per=Y","Days=T","Dir=V")</f>
        <v>0</v>
      </c>
      <c r="G2">
        <f>BDH("META US Equity","BS_ST_BORROW","1993-06-18","2026-05-02","Per=Y","Days=T","Dir=V")</f>
        <v>0</v>
      </c>
      <c r="I2">
        <f>BDH("META US Equity","BS_LT_BORROW","1993-06-18","2026-05-02","Per=Y","Days=T","Dir=V")</f>
        <v>0</v>
      </c>
      <c r="K2">
        <f>BDH("META US Equity","BS_CASH_NEAR_CASH_ITEM","1993-06-18","2026-05-02","Per=Y","Days=T","Dir=V")</f>
        <v>0</v>
      </c>
      <c r="M2">
        <f>BDH("META US Equity","BS_CUR_ASSET_REPORT","1993-06-18","2026-05-02","Per=Y","Days=T","Dir=V")</f>
        <v>0</v>
      </c>
      <c r="O2">
        <f>BDH("META US Equity","BS_CUR_LIAB","1993-06-18","2026-05-02","Per=Y","Days=T","Dir=V")</f>
        <v>0</v>
      </c>
      <c r="Q2">
        <f>BDH("META US Equity","BS_SHAREHOLDER_EQY_ENDING_PERIOD","1993-06-18","2026-05-02","Per=Y","Days=T","Dir=V")</f>
        <v>0</v>
      </c>
      <c r="S2">
        <f>BDH("META US Equity","BS_ACCT_NOTE_RCV","1993-06-18","2026-05-02","Per=Y","Days=T","Dir=V")</f>
        <v>0</v>
      </c>
      <c r="U2">
        <f>BDH("META US Equity","BS_INVENTORIES","1993-06-18","2026-05-02","Per=Y","Days=T","Dir=V")</f>
        <v>0</v>
      </c>
      <c r="W2">
        <f>BDH("META US Equity","WORKING_CAPITAL","1993-06-18","2026-05-02","Per=Y","Days=T","Dir=V")</f>
        <v>0</v>
      </c>
      <c r="Y2">
        <f>BDH("META US Equity","SALES_REV_TURN","1993-06-18","2026-05-02","Per=Y","Days=T","Dir=V")</f>
        <v>0</v>
      </c>
      <c r="AA2">
        <f>BDH("META US Equity","EBIT","1993-06-18","2026-05-02","Per=Y","Days=T","Dir=V")</f>
        <v>0</v>
      </c>
      <c r="AC2">
        <f>BDH("META US Equity","EBITDA","1993-06-18","2026-05-02","Per=Y","Days=T","Dir=V")</f>
        <v>0</v>
      </c>
      <c r="AE2">
        <f>BDH("META US Equity","NET_INCOME","1993-06-18","2026-05-02","Per=Y","Days=T","Dir=V")</f>
        <v>0</v>
      </c>
      <c r="AG2">
        <f>BDH("META US Equity","IS_INT_EXPENSE","1993-06-18","2026-05-02","Per=Y","Days=T","Dir=V")</f>
        <v>0</v>
      </c>
      <c r="AI2">
        <f>BDH("META US Equity","IS_DEPR_EXP","1993-06-18","2026-05-02","Per=Y","Days=T","Dir=V")</f>
        <v>0</v>
      </c>
      <c r="AK2">
        <f>BDH("META US Equity","CF_CASH_FROM_OPER","1993-06-18","2026-05-02","Per=Y","Days=T","Dir=V")</f>
        <v>0</v>
      </c>
      <c r="AM2">
        <f>BDH("META US Equity","CAPITAL_EXPEND","1993-06-18","2026-05-02","Per=Y","Days=T","Dir=V")</f>
        <v>0</v>
      </c>
      <c r="AO2">
        <f>BDH("META US Equity","CF_FREE_CASH_FLOW","1993-06-18","2026-05-02","Per=Y","Days=T","Dir=V")</f>
        <v>0</v>
      </c>
      <c r="AQ2">
        <f>BDH("META US Equity","PX_LAST","1993-06-18","2026-05-02","Per=M","Days=T","Dir=V")</f>
        <v>0</v>
      </c>
      <c r="AS2">
        <f>BDH("META US Equity","CUR_MKT_CAP","1993-06-18","2026-05-02","Per=M","Days=T","Dir=V")</f>
        <v>0</v>
      </c>
      <c r="AU2">
        <f>BDH("META US Equity","EQY_SH_OUT","1993-06-18","2026-05-02","Per=M","Days=T","Dir=V")</f>
        <v>0</v>
      </c>
      <c r="AW2">
        <f>BDH("META US Equity","PX_VOLUME","1993-06-18","2026-05-02","Per=M","Days=T","Dir=V")</f>
        <v>0</v>
      </c>
      <c r="AY2">
        <f>BDH("META US Equity","TURNOVER","1993-06-18","2026-05-02","Per=M","Days=T","Dir=V")</f>
        <v>0</v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BDH("METC US Equity","BS_TOT_ASSET","1993-06-18","2026-05-02","Per=Y","Days=T","Dir=V")</f>
        <v>0</v>
      </c>
      <c r="C2">
        <f>BDH("METC US Equity","BS_TOT_LIAB2","1993-06-18","2026-05-02","Per=Y","Days=T","Dir=V")</f>
        <v>0</v>
      </c>
      <c r="E2">
        <f>BDH("METC US Equity","SHORT_AND_LONG_TERM_DEBT","1993-06-18","2026-05-02","Per=Y","Days=T","Dir=V")</f>
        <v>0</v>
      </c>
      <c r="G2">
        <f>BDH("METC US Equity","BS_ST_BORROW","1993-06-18","2026-05-02","Per=Y","Days=T","Dir=V")</f>
        <v>0</v>
      </c>
      <c r="I2">
        <f>BDH("METC US Equity","BS_LT_BORROW","1993-06-18","2026-05-02","Per=Y","Days=T","Dir=V")</f>
        <v>0</v>
      </c>
      <c r="K2">
        <f>BDH("METC US Equity","BS_CASH_NEAR_CASH_ITEM","1993-06-18","2026-05-02","Per=Y","Days=T","Dir=V")</f>
        <v>0</v>
      </c>
      <c r="M2">
        <f>BDH("METC US Equity","BS_CUR_ASSET_REPORT","1993-06-18","2026-05-02","Per=Y","Days=T","Dir=V")</f>
        <v>0</v>
      </c>
      <c r="O2">
        <f>BDH("METC US Equity","BS_CUR_LIAB","1993-06-18","2026-05-02","Per=Y","Days=T","Dir=V")</f>
        <v>0</v>
      </c>
      <c r="Q2">
        <f>BDH("METC US Equity","BS_SHAREHOLDER_EQY_ENDING_PERIOD","1993-06-18","2026-05-02","Per=Y","Days=T","Dir=V")</f>
        <v>0</v>
      </c>
      <c r="S2">
        <f>BDH("METC US Equity","BS_ACCT_NOTE_RCV","1993-06-18","2026-05-02","Per=Y","Days=T","Dir=V")</f>
        <v>0</v>
      </c>
      <c r="U2">
        <f>BDH("METC US Equity","BS_INVENTORIES","1993-06-18","2026-05-02","Per=Y","Days=T","Dir=V")</f>
        <v>0</v>
      </c>
      <c r="W2">
        <f>BDH("METC US Equity","WORKING_CAPITAL","1993-06-18","2026-05-02","Per=Y","Days=T","Dir=V")</f>
        <v>0</v>
      </c>
      <c r="Y2">
        <f>BDH("METC US Equity","SALES_REV_TURN","1993-06-18","2026-05-02","Per=Y","Days=T","Dir=V")</f>
        <v>0</v>
      </c>
      <c r="AA2">
        <f>BDH("METC US Equity","EBIT","1993-06-18","2026-05-02","Per=Y","Days=T","Dir=V")</f>
        <v>0</v>
      </c>
      <c r="AC2">
        <f>BDH("METC US Equity","EBITDA","1993-06-18","2026-05-02","Per=Y","Days=T","Dir=V")</f>
        <v>0</v>
      </c>
      <c r="AE2">
        <f>BDH("METC US Equity","NET_INCOME","1993-06-18","2026-05-02","Per=Y","Days=T","Dir=V")</f>
        <v>0</v>
      </c>
      <c r="AG2">
        <f>BDH("METC US Equity","IS_INT_EXPENSE","1993-06-18","2026-05-02","Per=Y","Days=T","Dir=V")</f>
        <v>0</v>
      </c>
      <c r="AI2">
        <f>BDH("METC US Equity","IS_DEPR_EXP","1993-06-18","2026-05-02","Per=Y","Days=T","Dir=V")</f>
        <v>0</v>
      </c>
      <c r="AK2">
        <f>BDH("METC US Equity","CF_CASH_FROM_OPER","1993-06-18","2026-05-02","Per=Y","Days=T","Dir=V")</f>
        <v>0</v>
      </c>
      <c r="AM2">
        <f>BDH("METC US Equity","CAPITAL_EXPEND","1993-06-18","2026-05-02","Per=Y","Days=T","Dir=V")</f>
        <v>0</v>
      </c>
      <c r="AO2">
        <f>BDH("METC US Equity","CF_FREE_CASH_FLOW","1993-06-18","2026-05-02","Per=Y","Days=T","Dir=V")</f>
        <v>0</v>
      </c>
      <c r="AQ2">
        <f>BDH("METC US Equity","PX_LAST","1993-06-18","2026-05-02","Per=M","Days=T","Dir=V")</f>
        <v>0</v>
      </c>
      <c r="AS2">
        <f>BDH("METC US Equity","CUR_MKT_CAP","1993-06-18","2026-05-02","Per=M","Days=T","Dir=V")</f>
        <v>0</v>
      </c>
      <c r="AU2">
        <f>BDH("METC US Equity","EQY_SH_OUT","1993-06-18","2026-05-02","Per=M","Days=T","Dir=V")</f>
        <v>0</v>
      </c>
      <c r="AW2">
        <f>BDH("METC US Equity","PX_VOLUME","1993-06-18","2026-05-02","Per=M","Days=T","Dir=V")</f>
        <v>0</v>
      </c>
      <c r="AY2">
        <f>BDH("METC US Equity","TURNOVER","1993-06-18","2026-05-02","Per=M","Days=T","Dir=V")</f>
        <v>0</v>
      </c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BDH("METCB US Equity","BS_TOT_ASSET","1993-06-18","2026-05-02","Per=Y","Days=T","Dir=V")</f>
        <v>0</v>
      </c>
      <c r="C2">
        <f>BDH("METCB US Equity","BS_TOT_LIAB2","1993-06-18","2026-05-02","Per=Y","Days=T","Dir=V")</f>
        <v>0</v>
      </c>
      <c r="E2">
        <f>BDH("METCB US Equity","SHORT_AND_LONG_TERM_DEBT","1993-06-18","2026-05-02","Per=Y","Days=T","Dir=V")</f>
        <v>0</v>
      </c>
      <c r="G2">
        <f>BDH("METCB US Equity","BS_ST_BORROW","1993-06-18","2026-05-02","Per=Y","Days=T","Dir=V")</f>
        <v>0</v>
      </c>
      <c r="I2">
        <f>BDH("METCB US Equity","BS_LT_BORROW","1993-06-18","2026-05-02","Per=Y","Days=T","Dir=V")</f>
        <v>0</v>
      </c>
      <c r="K2">
        <f>BDH("METCB US Equity","BS_CASH_NEAR_CASH_ITEM","1993-06-18","2026-05-02","Per=Y","Days=T","Dir=V")</f>
        <v>0</v>
      </c>
      <c r="M2">
        <f>BDH("METCB US Equity","BS_CUR_ASSET_REPORT","1993-06-18","2026-05-02","Per=Y","Days=T","Dir=V")</f>
        <v>0</v>
      </c>
      <c r="O2">
        <f>BDH("METCB US Equity","BS_CUR_LIAB","1993-06-18","2026-05-02","Per=Y","Days=T","Dir=V")</f>
        <v>0</v>
      </c>
      <c r="Q2">
        <f>BDH("METCB US Equity","BS_SHAREHOLDER_EQY_ENDING_PERIOD","1993-06-18","2026-05-02","Per=Y","Days=T","Dir=V")</f>
        <v>0</v>
      </c>
      <c r="S2">
        <f>BDH("METCB US Equity","BS_ACCT_NOTE_RCV","1993-06-18","2026-05-02","Per=Y","Days=T","Dir=V")</f>
        <v>0</v>
      </c>
      <c r="U2">
        <f>BDH("METCB US Equity","BS_INVENTORIES","1993-06-18","2026-05-02","Per=Y","Days=T","Dir=V")</f>
        <v>0</v>
      </c>
      <c r="W2">
        <f>BDH("METCB US Equity","WORKING_CAPITAL","1993-06-18","2026-05-02","Per=Y","Days=T","Dir=V")</f>
        <v>0</v>
      </c>
      <c r="Y2">
        <f>BDH("METCB US Equity","SALES_REV_TURN","1993-06-18","2026-05-02","Per=Y","Days=T","Dir=V")</f>
        <v>0</v>
      </c>
      <c r="AA2">
        <f>BDH("METCB US Equity","EBIT","1993-06-18","2026-05-02","Per=Y","Days=T","Dir=V")</f>
        <v>0</v>
      </c>
      <c r="AC2">
        <f>BDH("METCB US Equity","EBITDA","1993-06-18","2026-05-02","Per=Y","Days=T","Dir=V")</f>
        <v>0</v>
      </c>
      <c r="AE2">
        <f>BDH("METCB US Equity","NET_INCOME","1993-06-18","2026-05-02","Per=Y","Days=T","Dir=V")</f>
        <v>0</v>
      </c>
      <c r="AG2">
        <f>BDH("METCB US Equity","IS_INT_EXPENSE","1993-06-18","2026-05-02","Per=Y","Days=T","Dir=V")</f>
        <v>0</v>
      </c>
      <c r="AI2">
        <f>BDH("METCB US Equity","IS_DEPR_EXP","1993-06-18","2026-05-02","Per=Y","Days=T","Dir=V")</f>
        <v>0</v>
      </c>
      <c r="AK2">
        <f>BDH("METCB US Equity","CF_CASH_FROM_OPER","1993-06-18","2026-05-02","Per=Y","Days=T","Dir=V")</f>
        <v>0</v>
      </c>
      <c r="AM2">
        <f>BDH("METCB US Equity","CAPITAL_EXPEND","1993-06-18","2026-05-02","Per=Y","Days=T","Dir=V")</f>
        <v>0</v>
      </c>
      <c r="AO2">
        <f>BDH("METCB US Equity","CF_FREE_CASH_FLOW","1993-06-18","2026-05-02","Per=Y","Days=T","Dir=V")</f>
        <v>0</v>
      </c>
      <c r="AQ2">
        <f>BDH("METCB US Equity","PX_LAST","1993-06-18","2026-05-02","Per=M","Days=T","Dir=V")</f>
        <v>0</v>
      </c>
      <c r="AS2">
        <f>BDH("METCB US Equity","CUR_MKT_CAP","1993-06-18","2026-05-02","Per=M","Days=T","Dir=V")</f>
        <v>0</v>
      </c>
      <c r="AU2">
        <f>BDH("METCB US Equity","EQY_SH_OUT","1993-06-18","2026-05-02","Per=M","Days=T","Dir=V")</f>
        <v>0</v>
      </c>
      <c r="AW2">
        <f>BDH("METCB US Equity","PX_VOLUME","1993-06-18","2026-05-02","Per=M","Days=T","Dir=V")</f>
        <v>0</v>
      </c>
      <c r="AY2">
        <f>BDH("METCB US Equity","TURNOVER","1993-06-18","2026-05-02","Per=M","Days=T","Dir=V")</f>
        <v>0</v>
      </c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BDH("METCI US Equity","BS_TOT_ASSET","1993-06-18","2026-05-02","Per=Y","Days=T","Dir=V")</f>
        <v>0</v>
      </c>
      <c r="C2">
        <f>BDH("METCI US Equity","BS_TOT_LIAB2","1993-06-18","2026-05-02","Per=Y","Days=T","Dir=V")</f>
        <v>0</v>
      </c>
      <c r="E2">
        <f>BDH("METCI US Equity","SHORT_AND_LONG_TERM_DEBT","1993-06-18","2026-05-02","Per=Y","Days=T","Dir=V")</f>
        <v>0</v>
      </c>
      <c r="G2">
        <f>BDH("METCI US Equity","BS_ST_BORROW","1993-06-18","2026-05-02","Per=Y","Days=T","Dir=V")</f>
        <v>0</v>
      </c>
      <c r="I2">
        <f>BDH("METCI US Equity","BS_LT_BORROW","1993-06-18","2026-05-02","Per=Y","Days=T","Dir=V")</f>
        <v>0</v>
      </c>
      <c r="K2">
        <f>BDH("METCI US Equity","BS_CASH_NEAR_CASH_ITEM","1993-06-18","2026-05-02","Per=Y","Days=T","Dir=V")</f>
        <v>0</v>
      </c>
      <c r="M2">
        <f>BDH("METCI US Equity","BS_CUR_ASSET_REPORT","1993-06-18","2026-05-02","Per=Y","Days=T","Dir=V")</f>
        <v>0</v>
      </c>
      <c r="O2">
        <f>BDH("METCI US Equity","BS_CUR_LIAB","1993-06-18","2026-05-02","Per=Y","Days=T","Dir=V")</f>
        <v>0</v>
      </c>
      <c r="Q2">
        <f>BDH("METCI US Equity","BS_SHAREHOLDER_EQY_ENDING_PERIOD","1993-06-18","2026-05-02","Per=Y","Days=T","Dir=V")</f>
        <v>0</v>
      </c>
      <c r="S2">
        <f>BDH("METCI US Equity","BS_ACCT_NOTE_RCV","1993-06-18","2026-05-02","Per=Y","Days=T","Dir=V")</f>
        <v>0</v>
      </c>
      <c r="U2">
        <f>BDH("METCI US Equity","BS_INVENTORIES","1993-06-18","2026-05-02","Per=Y","Days=T","Dir=V")</f>
        <v>0</v>
      </c>
      <c r="W2">
        <f>BDH("METCI US Equity","WORKING_CAPITAL","1993-06-18","2026-05-02","Per=Y","Days=T","Dir=V")</f>
        <v>0</v>
      </c>
      <c r="Y2">
        <f>BDH("METCI US Equity","SALES_REV_TURN","1993-06-18","2026-05-02","Per=Y","Days=T","Dir=V")</f>
        <v>0</v>
      </c>
      <c r="AA2">
        <f>BDH("METCI US Equity","EBIT","1993-06-18","2026-05-02","Per=Y","Days=T","Dir=V")</f>
        <v>0</v>
      </c>
      <c r="AC2">
        <f>BDH("METCI US Equity","EBITDA","1993-06-18","2026-05-02","Per=Y","Days=T","Dir=V")</f>
        <v>0</v>
      </c>
      <c r="AE2">
        <f>BDH("METCI US Equity","NET_INCOME","1993-06-18","2026-05-02","Per=Y","Days=T","Dir=V")</f>
        <v>0</v>
      </c>
      <c r="AG2">
        <f>BDH("METCI US Equity","IS_INT_EXPENSE","1993-06-18","2026-05-02","Per=Y","Days=T","Dir=V")</f>
        <v>0</v>
      </c>
      <c r="AI2">
        <f>BDH("METCI US Equity","IS_DEPR_EXP","1993-06-18","2026-05-02","Per=Y","Days=T","Dir=V")</f>
        <v>0</v>
      </c>
      <c r="AK2">
        <f>BDH("METCI US Equity","CF_CASH_FROM_OPER","1993-06-18","2026-05-02","Per=Y","Days=T","Dir=V")</f>
        <v>0</v>
      </c>
      <c r="AM2">
        <f>BDH("METCI US Equity","CAPITAL_EXPEND","1993-06-18","2026-05-02","Per=Y","Days=T","Dir=V")</f>
        <v>0</v>
      </c>
      <c r="AO2">
        <f>BDH("METCI US Equity","CF_FREE_CASH_FLOW","1993-06-18","2026-05-02","Per=Y","Days=T","Dir=V")</f>
        <v>0</v>
      </c>
      <c r="AQ2">
        <f>BDH("METCI US Equity","PX_LAST","1993-06-18","2026-05-02","Per=M","Days=T","Dir=V")</f>
        <v>0</v>
      </c>
      <c r="AS2">
        <f>BDH("METCI US Equity","CUR_MKT_CAP","1993-06-18","2026-05-02","Per=M","Days=T","Dir=V")</f>
        <v>0</v>
      </c>
      <c r="AU2">
        <f>BDH("METCI US Equity","EQY_SH_OUT","1993-06-18","2026-05-02","Per=M","Days=T","Dir=V")</f>
        <v>0</v>
      </c>
      <c r="AW2">
        <f>BDH("METCI US Equity","PX_VOLUME","1993-06-18","2026-05-02","Per=M","Days=T","Dir=V")</f>
        <v>0</v>
      </c>
      <c r="AY2">
        <f>BDH("METCI US Equity","TURNOVER","1993-06-18","2026-05-02","Per=M","Days=T","Dir=V")</f>
        <v>0</v>
      </c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BDH("METCZ US Equity","BS_TOT_ASSET","1993-06-18","2026-05-02","Per=Y","Days=T","Dir=V")</f>
        <v>0</v>
      </c>
      <c r="C2">
        <f>BDH("METCZ US Equity","BS_TOT_LIAB2","1993-06-18","2026-05-02","Per=Y","Days=T","Dir=V")</f>
        <v>0</v>
      </c>
      <c r="E2">
        <f>BDH("METCZ US Equity","SHORT_AND_LONG_TERM_DEBT","1993-06-18","2026-05-02","Per=Y","Days=T","Dir=V")</f>
        <v>0</v>
      </c>
      <c r="G2">
        <f>BDH("METCZ US Equity","BS_ST_BORROW","1993-06-18","2026-05-02","Per=Y","Days=T","Dir=V")</f>
        <v>0</v>
      </c>
      <c r="I2">
        <f>BDH("METCZ US Equity","BS_LT_BORROW","1993-06-18","2026-05-02","Per=Y","Days=T","Dir=V")</f>
        <v>0</v>
      </c>
      <c r="K2">
        <f>BDH("METCZ US Equity","BS_CASH_NEAR_CASH_ITEM","1993-06-18","2026-05-02","Per=Y","Days=T","Dir=V")</f>
        <v>0</v>
      </c>
      <c r="M2">
        <f>BDH("METCZ US Equity","BS_CUR_ASSET_REPORT","1993-06-18","2026-05-02","Per=Y","Days=T","Dir=V")</f>
        <v>0</v>
      </c>
      <c r="O2">
        <f>BDH("METCZ US Equity","BS_CUR_LIAB","1993-06-18","2026-05-02","Per=Y","Days=T","Dir=V")</f>
        <v>0</v>
      </c>
      <c r="Q2">
        <f>BDH("METCZ US Equity","BS_SHAREHOLDER_EQY_ENDING_PERIOD","1993-06-18","2026-05-02","Per=Y","Days=T","Dir=V")</f>
        <v>0</v>
      </c>
      <c r="S2">
        <f>BDH("METCZ US Equity","BS_ACCT_NOTE_RCV","1993-06-18","2026-05-02","Per=Y","Days=T","Dir=V")</f>
        <v>0</v>
      </c>
      <c r="U2">
        <f>BDH("METCZ US Equity","BS_INVENTORIES","1993-06-18","2026-05-02","Per=Y","Days=T","Dir=V")</f>
        <v>0</v>
      </c>
      <c r="W2">
        <f>BDH("METCZ US Equity","WORKING_CAPITAL","1993-06-18","2026-05-02","Per=Y","Days=T","Dir=V")</f>
        <v>0</v>
      </c>
      <c r="Y2">
        <f>BDH("METCZ US Equity","SALES_REV_TURN","1993-06-18","2026-05-02","Per=Y","Days=T","Dir=V")</f>
        <v>0</v>
      </c>
      <c r="AA2">
        <f>BDH("METCZ US Equity","EBIT","1993-06-18","2026-05-02","Per=Y","Days=T","Dir=V")</f>
        <v>0</v>
      </c>
      <c r="AC2">
        <f>BDH("METCZ US Equity","EBITDA","1993-06-18","2026-05-02","Per=Y","Days=T","Dir=V")</f>
        <v>0</v>
      </c>
      <c r="AE2">
        <f>BDH("METCZ US Equity","NET_INCOME","1993-06-18","2026-05-02","Per=Y","Days=T","Dir=V")</f>
        <v>0</v>
      </c>
      <c r="AG2">
        <f>BDH("METCZ US Equity","IS_INT_EXPENSE","1993-06-18","2026-05-02","Per=Y","Days=T","Dir=V")</f>
        <v>0</v>
      </c>
      <c r="AI2">
        <f>BDH("METCZ US Equity","IS_DEPR_EXP","1993-06-18","2026-05-02","Per=Y","Days=T","Dir=V")</f>
        <v>0</v>
      </c>
      <c r="AK2">
        <f>BDH("METCZ US Equity","CF_CASH_FROM_OPER","1993-06-18","2026-05-02","Per=Y","Days=T","Dir=V")</f>
        <v>0</v>
      </c>
      <c r="AM2">
        <f>BDH("METCZ US Equity","CAPITAL_EXPEND","1993-06-18","2026-05-02","Per=Y","Days=T","Dir=V")</f>
        <v>0</v>
      </c>
      <c r="AO2">
        <f>BDH("METCZ US Equity","CF_FREE_CASH_FLOW","1993-06-18","2026-05-02","Per=Y","Days=T","Dir=V")</f>
        <v>0</v>
      </c>
      <c r="AQ2">
        <f>BDH("METCZ US Equity","PX_LAST","1993-06-18","2026-05-02","Per=M","Days=T","Dir=V")</f>
        <v>0</v>
      </c>
      <c r="AS2">
        <f>BDH("METCZ US Equity","CUR_MKT_CAP","1993-06-18","2026-05-02","Per=M","Days=T","Dir=V")</f>
        <v>0</v>
      </c>
      <c r="AU2">
        <f>BDH("METCZ US Equity","EQY_SH_OUT","1993-06-18","2026-05-02","Per=M","Days=T","Dir=V")</f>
        <v>0</v>
      </c>
      <c r="AW2">
        <f>BDH("METCZ US Equity","PX_VOLUME","1993-06-18","2026-05-02","Per=M","Days=T","Dir=V")</f>
        <v>0</v>
      </c>
      <c r="AY2">
        <f>BDH("METCZ US Equity","TURNOVER","1993-06-18","2026-05-02","Per=M","Days=T","Dir=V")</f>
        <v>0</v>
      </c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BDH("MFP US Equity","BS_TOT_ASSET","1993-06-18","2026-05-02","Per=Y","Days=T","Dir=V")</f>
        <v>0</v>
      </c>
      <c r="C2">
        <f>BDH("MFP US Equity","BS_TOT_LIAB2","1993-06-18","2026-05-02","Per=Y","Days=T","Dir=V")</f>
        <v>0</v>
      </c>
      <c r="E2">
        <f>BDH("MFP US Equity","SHORT_AND_LONG_TERM_DEBT","1993-06-18","2026-05-02","Per=Y","Days=T","Dir=V")</f>
        <v>0</v>
      </c>
      <c r="G2">
        <f>BDH("MFP US Equity","BS_ST_BORROW","1993-06-18","2026-05-02","Per=Y","Days=T","Dir=V")</f>
        <v>0</v>
      </c>
      <c r="I2">
        <f>BDH("MFP US Equity","BS_LT_BORROW","1993-06-18","2026-05-02","Per=Y","Days=T","Dir=V")</f>
        <v>0</v>
      </c>
      <c r="K2">
        <f>BDH("MFP US Equity","BS_CASH_NEAR_CASH_ITEM","1993-06-18","2026-05-02","Per=Y","Days=T","Dir=V")</f>
        <v>0</v>
      </c>
      <c r="M2">
        <f>BDH("MFP US Equity","BS_CUR_ASSET_REPORT","1993-06-18","2026-05-02","Per=Y","Days=T","Dir=V")</f>
        <v>0</v>
      </c>
      <c r="O2">
        <f>BDH("MFP US Equity","BS_CUR_LIAB","1993-06-18","2026-05-02","Per=Y","Days=T","Dir=V")</f>
        <v>0</v>
      </c>
      <c r="Q2">
        <f>BDH("MFP US Equity","BS_SHAREHOLDER_EQY_ENDING_PERIOD","1993-06-18","2026-05-02","Per=Y","Days=T","Dir=V")</f>
        <v>0</v>
      </c>
      <c r="S2">
        <f>BDH("MFP US Equity","BS_ACCT_NOTE_RCV","1993-06-18","2026-05-02","Per=Y","Days=T","Dir=V")</f>
        <v>0</v>
      </c>
      <c r="U2">
        <f>BDH("MFP US Equity","BS_INVENTORIES","1993-06-18","2026-05-02","Per=Y","Days=T","Dir=V")</f>
        <v>0</v>
      </c>
      <c r="W2">
        <f>BDH("MFP US Equity","WORKING_CAPITAL","1993-06-18","2026-05-02","Per=Y","Days=T","Dir=V")</f>
        <v>0</v>
      </c>
      <c r="Y2">
        <f>BDH("MFP US Equity","SALES_REV_TURN","1993-06-18","2026-05-02","Per=Y","Days=T","Dir=V")</f>
        <v>0</v>
      </c>
      <c r="AA2">
        <f>BDH("MFP US Equity","EBIT","1993-06-18","2026-05-02","Per=Y","Days=T","Dir=V")</f>
        <v>0</v>
      </c>
      <c r="AC2">
        <f>BDH("MFP US Equity","EBITDA","1993-06-18","2026-05-02","Per=Y","Days=T","Dir=V")</f>
        <v>0</v>
      </c>
      <c r="AE2">
        <f>BDH("MFP US Equity","NET_INCOME","1993-06-18","2026-05-02","Per=Y","Days=T","Dir=V")</f>
        <v>0</v>
      </c>
      <c r="AG2">
        <f>BDH("MFP US Equity","IS_INT_EXPENSE","1993-06-18","2026-05-02","Per=Y","Days=T","Dir=V")</f>
        <v>0</v>
      </c>
      <c r="AI2">
        <f>BDH("MFP US Equity","IS_DEPR_EXP","1993-06-18","2026-05-02","Per=Y","Days=T","Dir=V")</f>
        <v>0</v>
      </c>
      <c r="AK2">
        <f>BDH("MFP US Equity","CF_CASH_FROM_OPER","1993-06-18","2026-05-02","Per=Y","Days=T","Dir=V")</f>
        <v>0</v>
      </c>
      <c r="AM2">
        <f>BDH("MFP US Equity","CAPITAL_EXPEND","1993-06-18","2026-05-02","Per=Y","Days=T","Dir=V")</f>
        <v>0</v>
      </c>
      <c r="AO2">
        <f>BDH("MFP US Equity","CF_FREE_CASH_FLOW","1993-06-18","2026-05-02","Per=Y","Days=T","Dir=V")</f>
        <v>0</v>
      </c>
      <c r="AQ2">
        <f>BDH("MFP US Equity","PX_LAST","1993-06-18","2026-05-02","Per=M","Days=T","Dir=V")</f>
        <v>0</v>
      </c>
      <c r="AS2">
        <f>BDH("MFP US Equity","CUR_MKT_CAP","1993-06-18","2026-05-02","Per=M","Days=T","Dir=V")</f>
        <v>0</v>
      </c>
      <c r="AU2">
        <f>BDH("MFP US Equity","EQY_SH_OUT","1993-06-18","2026-05-02","Per=M","Days=T","Dir=V")</f>
        <v>0</v>
      </c>
      <c r="AW2">
        <f>BDH("MFP US Equity","PX_VOLUME","1993-06-18","2026-05-02","Per=M","Days=T","Dir=V")</f>
        <v>0</v>
      </c>
      <c r="AY2">
        <f>BDH("MFP US Equity","TURNOVER","1993-06-18","2026-05-02","Per=M","Days=T","Dir=V")</f>
        <v>0</v>
      </c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BDH("MG US Equity","BS_TOT_ASSET","1993-06-18","2026-05-02","Per=Y","Days=T","Dir=V")</f>
        <v>0</v>
      </c>
      <c r="C2">
        <f>BDH("MG US Equity","BS_TOT_LIAB2","1993-06-18","2026-05-02","Per=Y","Days=T","Dir=V")</f>
        <v>0</v>
      </c>
      <c r="E2">
        <f>BDH("MG US Equity","SHORT_AND_LONG_TERM_DEBT","1993-06-18","2026-05-02","Per=Y","Days=T","Dir=V")</f>
        <v>0</v>
      </c>
      <c r="G2">
        <f>BDH("MG US Equity","BS_ST_BORROW","1993-06-18","2026-05-02","Per=Y","Days=T","Dir=V")</f>
        <v>0</v>
      </c>
      <c r="I2">
        <f>BDH("MG US Equity","BS_LT_BORROW","1993-06-18","2026-05-02","Per=Y","Days=T","Dir=V")</f>
        <v>0</v>
      </c>
      <c r="K2">
        <f>BDH("MG US Equity","BS_CASH_NEAR_CASH_ITEM","1993-06-18","2026-05-02","Per=Y","Days=T","Dir=V")</f>
        <v>0</v>
      </c>
      <c r="M2">
        <f>BDH("MG US Equity","BS_CUR_ASSET_REPORT","1993-06-18","2026-05-02","Per=Y","Days=T","Dir=V")</f>
        <v>0</v>
      </c>
      <c r="O2">
        <f>BDH("MG US Equity","BS_CUR_LIAB","1993-06-18","2026-05-02","Per=Y","Days=T","Dir=V")</f>
        <v>0</v>
      </c>
      <c r="Q2">
        <f>BDH("MG US Equity","BS_SHAREHOLDER_EQY_ENDING_PERIOD","1993-06-18","2026-05-02","Per=Y","Days=T","Dir=V")</f>
        <v>0</v>
      </c>
      <c r="S2">
        <f>BDH("MG US Equity","BS_ACCT_NOTE_RCV","1993-06-18","2026-05-02","Per=Y","Days=T","Dir=V")</f>
        <v>0</v>
      </c>
      <c r="U2">
        <f>BDH("MG US Equity","BS_INVENTORIES","1993-06-18","2026-05-02","Per=Y","Days=T","Dir=V")</f>
        <v>0</v>
      </c>
      <c r="W2">
        <f>BDH("MG US Equity","WORKING_CAPITAL","1993-06-18","2026-05-02","Per=Y","Days=T","Dir=V")</f>
        <v>0</v>
      </c>
      <c r="Y2">
        <f>BDH("MG US Equity","SALES_REV_TURN","1993-06-18","2026-05-02","Per=Y","Days=T","Dir=V")</f>
        <v>0</v>
      </c>
      <c r="AA2">
        <f>BDH("MG US Equity","EBIT","1993-06-18","2026-05-02","Per=Y","Days=T","Dir=V")</f>
        <v>0</v>
      </c>
      <c r="AC2">
        <f>BDH("MG US Equity","EBITDA","1993-06-18","2026-05-02","Per=Y","Days=T","Dir=V")</f>
        <v>0</v>
      </c>
      <c r="AE2">
        <f>BDH("MG US Equity","NET_INCOME","1993-06-18","2026-05-02","Per=Y","Days=T","Dir=V")</f>
        <v>0</v>
      </c>
      <c r="AG2">
        <f>BDH("MG US Equity","IS_INT_EXPENSE","1993-06-18","2026-05-02","Per=Y","Days=T","Dir=V")</f>
        <v>0</v>
      </c>
      <c r="AI2">
        <f>BDH("MG US Equity","IS_DEPR_EXP","1993-06-18","2026-05-02","Per=Y","Days=T","Dir=V")</f>
        <v>0</v>
      </c>
      <c r="AK2">
        <f>BDH("MG US Equity","CF_CASH_FROM_OPER","1993-06-18","2026-05-02","Per=Y","Days=T","Dir=V")</f>
        <v>0</v>
      </c>
      <c r="AM2">
        <f>BDH("MG US Equity","CAPITAL_EXPEND","1993-06-18","2026-05-02","Per=Y","Days=T","Dir=V")</f>
        <v>0</v>
      </c>
      <c r="AO2">
        <f>BDH("MG US Equity","CF_FREE_CASH_FLOW","1993-06-18","2026-05-02","Per=Y","Days=T","Dir=V")</f>
        <v>0</v>
      </c>
      <c r="AQ2">
        <f>BDH("MG US Equity","PX_LAST","1993-06-18","2026-05-02","Per=M","Days=T","Dir=V")</f>
        <v>0</v>
      </c>
      <c r="AS2">
        <f>BDH("MG US Equity","CUR_MKT_CAP","1993-06-18","2026-05-02","Per=M","Days=T","Dir=V")</f>
        <v>0</v>
      </c>
      <c r="AU2">
        <f>BDH("MG US Equity","EQY_SH_OUT","1993-06-18","2026-05-02","Per=M","Days=T","Dir=V")</f>
        <v>0</v>
      </c>
      <c r="AW2">
        <f>BDH("MG US Equity","PX_VOLUME","1993-06-18","2026-05-02","Per=M","Days=T","Dir=V")</f>
        <v>0</v>
      </c>
      <c r="AY2">
        <f>BDH("MG US Equity","TURNOVER","1993-06-18","2026-05-02","Per=M","Days=T","Dir=V")</f>
        <v>0</v>
      </c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BDH("MGEE US Equity","BS_TOT_ASSET","1993-06-18","2026-05-02","Per=Y","Days=T","Dir=V")</f>
        <v>0</v>
      </c>
      <c r="C2">
        <f>BDH("MGEE US Equity","BS_TOT_LIAB2","1993-06-18","2026-05-02","Per=Y","Days=T","Dir=V")</f>
        <v>0</v>
      </c>
      <c r="E2">
        <f>BDH("MGEE US Equity","SHORT_AND_LONG_TERM_DEBT","1993-06-18","2026-05-02","Per=Y","Days=T","Dir=V")</f>
        <v>0</v>
      </c>
      <c r="G2">
        <f>BDH("MGEE US Equity","BS_ST_BORROW","1993-06-18","2026-05-02","Per=Y","Days=T","Dir=V")</f>
        <v>0</v>
      </c>
      <c r="I2">
        <f>BDH("MGEE US Equity","BS_LT_BORROW","1993-06-18","2026-05-02","Per=Y","Days=T","Dir=V")</f>
        <v>0</v>
      </c>
      <c r="K2">
        <f>BDH("MGEE US Equity","BS_CASH_NEAR_CASH_ITEM","1993-06-18","2026-05-02","Per=Y","Days=T","Dir=V")</f>
        <v>0</v>
      </c>
      <c r="M2">
        <f>BDH("MGEE US Equity","BS_CUR_ASSET_REPORT","1993-06-18","2026-05-02","Per=Y","Days=T","Dir=V")</f>
        <v>0</v>
      </c>
      <c r="O2">
        <f>BDH("MGEE US Equity","BS_CUR_LIAB","1993-06-18","2026-05-02","Per=Y","Days=T","Dir=V")</f>
        <v>0</v>
      </c>
      <c r="Q2">
        <f>BDH("MGEE US Equity","BS_SHAREHOLDER_EQY_ENDING_PERIOD","1993-06-18","2026-05-02","Per=Y","Days=T","Dir=V")</f>
        <v>0</v>
      </c>
      <c r="S2">
        <f>BDH("MGEE US Equity","BS_ACCT_NOTE_RCV","1993-06-18","2026-05-02","Per=Y","Days=T","Dir=V")</f>
        <v>0</v>
      </c>
      <c r="U2">
        <f>BDH("MGEE US Equity","BS_INVENTORIES","1993-06-18","2026-05-02","Per=Y","Days=T","Dir=V")</f>
        <v>0</v>
      </c>
      <c r="W2">
        <f>BDH("MGEE US Equity","WORKING_CAPITAL","1993-06-18","2026-05-02","Per=Y","Days=T","Dir=V")</f>
        <v>0</v>
      </c>
      <c r="Y2">
        <f>BDH("MGEE US Equity","SALES_REV_TURN","1993-06-18","2026-05-02","Per=Y","Days=T","Dir=V")</f>
        <v>0</v>
      </c>
      <c r="AA2">
        <f>BDH("MGEE US Equity","EBIT","1993-06-18","2026-05-02","Per=Y","Days=T","Dir=V")</f>
        <v>0</v>
      </c>
      <c r="AC2">
        <f>BDH("MGEE US Equity","EBITDA","1993-06-18","2026-05-02","Per=Y","Days=T","Dir=V")</f>
        <v>0</v>
      </c>
      <c r="AE2">
        <f>BDH("MGEE US Equity","NET_INCOME","1993-06-18","2026-05-02","Per=Y","Days=T","Dir=V")</f>
        <v>0</v>
      </c>
      <c r="AG2">
        <f>BDH("MGEE US Equity","IS_INT_EXPENSE","1993-06-18","2026-05-02","Per=Y","Days=T","Dir=V")</f>
        <v>0</v>
      </c>
      <c r="AI2">
        <f>BDH("MGEE US Equity","IS_DEPR_EXP","1993-06-18","2026-05-02","Per=Y","Days=T","Dir=V")</f>
        <v>0</v>
      </c>
      <c r="AK2">
        <f>BDH("MGEE US Equity","CF_CASH_FROM_OPER","1993-06-18","2026-05-02","Per=Y","Days=T","Dir=V")</f>
        <v>0</v>
      </c>
      <c r="AM2">
        <f>BDH("MGEE US Equity","CAPITAL_EXPEND","1993-06-18","2026-05-02","Per=Y","Days=T","Dir=V")</f>
        <v>0</v>
      </c>
      <c r="AO2">
        <f>BDH("MGEE US Equity","CF_FREE_CASH_FLOW","1993-06-18","2026-05-02","Per=Y","Days=T","Dir=V")</f>
        <v>0</v>
      </c>
      <c r="AQ2">
        <f>BDH("MGEE US Equity","PX_LAST","1993-06-18","2026-05-02","Per=M","Days=T","Dir=V")</f>
        <v>0</v>
      </c>
      <c r="AS2">
        <f>BDH("MGEE US Equity","CUR_MKT_CAP","1993-06-18","2026-05-02","Per=M","Days=T","Dir=V")</f>
        <v>0</v>
      </c>
      <c r="AU2">
        <f>BDH("MGEE US Equity","EQY_SH_OUT","1993-06-18","2026-05-02","Per=M","Days=T","Dir=V")</f>
        <v>0</v>
      </c>
      <c r="AW2">
        <f>BDH("MGEE US Equity","PX_VOLUME","1993-06-18","2026-05-02","Per=M","Days=T","Dir=V")</f>
        <v>0</v>
      </c>
      <c r="AY2">
        <f>BDH("MGEE US Equity","TURNOVER","1993-06-18","2026-05-02","Per=M","Days=T","Dir=V")</f>
        <v>0</v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BDH("MGM US Equity","BS_TOT_ASSET","1993-06-18","2026-05-02","Per=Y","Days=T","Dir=V")</f>
        <v>0</v>
      </c>
      <c r="C2">
        <f>BDH("MGM US Equity","BS_TOT_LIAB2","1993-06-18","2026-05-02","Per=Y","Days=T","Dir=V")</f>
        <v>0</v>
      </c>
      <c r="E2">
        <f>BDH("MGM US Equity","SHORT_AND_LONG_TERM_DEBT","1993-06-18","2026-05-02","Per=Y","Days=T","Dir=V")</f>
        <v>0</v>
      </c>
      <c r="G2">
        <f>BDH("MGM US Equity","BS_ST_BORROW","1993-06-18","2026-05-02","Per=Y","Days=T","Dir=V")</f>
        <v>0</v>
      </c>
      <c r="I2">
        <f>BDH("MGM US Equity","BS_LT_BORROW","1993-06-18","2026-05-02","Per=Y","Days=T","Dir=V")</f>
        <v>0</v>
      </c>
      <c r="K2">
        <f>BDH("MGM US Equity","BS_CASH_NEAR_CASH_ITEM","1993-06-18","2026-05-02","Per=Y","Days=T","Dir=V")</f>
        <v>0</v>
      </c>
      <c r="M2">
        <f>BDH("MGM US Equity","BS_CUR_ASSET_REPORT","1993-06-18","2026-05-02","Per=Y","Days=T","Dir=V")</f>
        <v>0</v>
      </c>
      <c r="O2">
        <f>BDH("MGM US Equity","BS_CUR_LIAB","1993-06-18","2026-05-02","Per=Y","Days=T","Dir=V")</f>
        <v>0</v>
      </c>
      <c r="Q2">
        <f>BDH("MGM US Equity","BS_SHAREHOLDER_EQY_ENDING_PERIOD","1993-06-18","2026-05-02","Per=Y","Days=T","Dir=V")</f>
        <v>0</v>
      </c>
      <c r="S2">
        <f>BDH("MGM US Equity","BS_ACCT_NOTE_RCV","1993-06-18","2026-05-02","Per=Y","Days=T","Dir=V")</f>
        <v>0</v>
      </c>
      <c r="U2">
        <f>BDH("MGM US Equity","BS_INVENTORIES","1993-06-18","2026-05-02","Per=Y","Days=T","Dir=V")</f>
        <v>0</v>
      </c>
      <c r="W2">
        <f>BDH("MGM US Equity","WORKING_CAPITAL","1993-06-18","2026-05-02","Per=Y","Days=T","Dir=V")</f>
        <v>0</v>
      </c>
      <c r="Y2">
        <f>BDH("MGM US Equity","SALES_REV_TURN","1993-06-18","2026-05-02","Per=Y","Days=T","Dir=V")</f>
        <v>0</v>
      </c>
      <c r="AA2">
        <f>BDH("MGM US Equity","EBIT","1993-06-18","2026-05-02","Per=Y","Days=T","Dir=V")</f>
        <v>0</v>
      </c>
      <c r="AC2">
        <f>BDH("MGM US Equity","EBITDA","1993-06-18","2026-05-02","Per=Y","Days=T","Dir=V")</f>
        <v>0</v>
      </c>
      <c r="AE2">
        <f>BDH("MGM US Equity","NET_INCOME","1993-06-18","2026-05-02","Per=Y","Days=T","Dir=V")</f>
        <v>0</v>
      </c>
      <c r="AG2">
        <f>BDH("MGM US Equity","IS_INT_EXPENSE","1993-06-18","2026-05-02","Per=Y","Days=T","Dir=V")</f>
        <v>0</v>
      </c>
      <c r="AI2">
        <f>BDH("MGM US Equity","IS_DEPR_EXP","1993-06-18","2026-05-02","Per=Y","Days=T","Dir=V")</f>
        <v>0</v>
      </c>
      <c r="AK2">
        <f>BDH("MGM US Equity","CF_CASH_FROM_OPER","1993-06-18","2026-05-02","Per=Y","Days=T","Dir=V")</f>
        <v>0</v>
      </c>
      <c r="AM2">
        <f>BDH("MGM US Equity","CAPITAL_EXPEND","1993-06-18","2026-05-02","Per=Y","Days=T","Dir=V")</f>
        <v>0</v>
      </c>
      <c r="AO2">
        <f>BDH("MGM US Equity","CF_FREE_CASH_FLOW","1993-06-18","2026-05-02","Per=Y","Days=T","Dir=V")</f>
        <v>0</v>
      </c>
      <c r="AQ2">
        <f>BDH("MGM US Equity","PX_LAST","1993-06-18","2026-05-02","Per=M","Days=T","Dir=V")</f>
        <v>0</v>
      </c>
      <c r="AS2">
        <f>BDH("MGM US Equity","CUR_MKT_CAP","1993-06-18","2026-05-02","Per=M","Days=T","Dir=V")</f>
        <v>0</v>
      </c>
      <c r="AU2">
        <f>BDH("MGM US Equity","EQY_SH_OUT","1993-06-18","2026-05-02","Per=M","Days=T","Dir=V")</f>
        <v>0</v>
      </c>
      <c r="AW2">
        <f>BDH("MGM US Equity","PX_VOLUME","1993-06-18","2026-05-02","Per=M","Days=T","Dir=V")</f>
        <v>0</v>
      </c>
      <c r="AY2">
        <f>BDH("MGM US Equity","TURNOVER","1993-06-18","2026-05-02","Per=M","Days=T","Dir=V")</f>
        <v>0</v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BDH("MGNI US Equity","BS_TOT_ASSET","1993-06-18","2026-05-02","Per=Y","Days=T","Dir=V")</f>
        <v>0</v>
      </c>
      <c r="C2">
        <f>BDH("MGNI US Equity","BS_TOT_LIAB2","1993-06-18","2026-05-02","Per=Y","Days=T","Dir=V")</f>
        <v>0</v>
      </c>
      <c r="E2">
        <f>BDH("MGNI US Equity","SHORT_AND_LONG_TERM_DEBT","1993-06-18","2026-05-02","Per=Y","Days=T","Dir=V")</f>
        <v>0</v>
      </c>
      <c r="G2">
        <f>BDH("MGNI US Equity","BS_ST_BORROW","1993-06-18","2026-05-02","Per=Y","Days=T","Dir=V")</f>
        <v>0</v>
      </c>
      <c r="I2">
        <f>BDH("MGNI US Equity","BS_LT_BORROW","1993-06-18","2026-05-02","Per=Y","Days=T","Dir=V")</f>
        <v>0</v>
      </c>
      <c r="K2">
        <f>BDH("MGNI US Equity","BS_CASH_NEAR_CASH_ITEM","1993-06-18","2026-05-02","Per=Y","Days=T","Dir=V")</f>
        <v>0</v>
      </c>
      <c r="M2">
        <f>BDH("MGNI US Equity","BS_CUR_ASSET_REPORT","1993-06-18","2026-05-02","Per=Y","Days=T","Dir=V")</f>
        <v>0</v>
      </c>
      <c r="O2">
        <f>BDH("MGNI US Equity","BS_CUR_LIAB","1993-06-18","2026-05-02","Per=Y","Days=T","Dir=V")</f>
        <v>0</v>
      </c>
      <c r="Q2">
        <f>BDH("MGNI US Equity","BS_SHAREHOLDER_EQY_ENDING_PERIOD","1993-06-18","2026-05-02","Per=Y","Days=T","Dir=V")</f>
        <v>0</v>
      </c>
      <c r="S2">
        <f>BDH("MGNI US Equity","BS_ACCT_NOTE_RCV","1993-06-18","2026-05-02","Per=Y","Days=T","Dir=V")</f>
        <v>0</v>
      </c>
      <c r="U2">
        <f>BDH("MGNI US Equity","BS_INVENTORIES","1993-06-18","2026-05-02","Per=Y","Days=T","Dir=V")</f>
        <v>0</v>
      </c>
      <c r="W2">
        <f>BDH("MGNI US Equity","WORKING_CAPITAL","1993-06-18","2026-05-02","Per=Y","Days=T","Dir=V")</f>
        <v>0</v>
      </c>
      <c r="Y2">
        <f>BDH("MGNI US Equity","SALES_REV_TURN","1993-06-18","2026-05-02","Per=Y","Days=T","Dir=V")</f>
        <v>0</v>
      </c>
      <c r="AA2">
        <f>BDH("MGNI US Equity","EBIT","1993-06-18","2026-05-02","Per=Y","Days=T","Dir=V")</f>
        <v>0</v>
      </c>
      <c r="AC2">
        <f>BDH("MGNI US Equity","EBITDA","1993-06-18","2026-05-02","Per=Y","Days=T","Dir=V")</f>
        <v>0</v>
      </c>
      <c r="AE2">
        <f>BDH("MGNI US Equity","NET_INCOME","1993-06-18","2026-05-02","Per=Y","Days=T","Dir=V")</f>
        <v>0</v>
      </c>
      <c r="AG2">
        <f>BDH("MGNI US Equity","IS_INT_EXPENSE","1993-06-18","2026-05-02","Per=Y","Days=T","Dir=V")</f>
        <v>0</v>
      </c>
      <c r="AI2">
        <f>BDH("MGNI US Equity","IS_DEPR_EXP","1993-06-18","2026-05-02","Per=Y","Days=T","Dir=V")</f>
        <v>0</v>
      </c>
      <c r="AK2">
        <f>BDH("MGNI US Equity","CF_CASH_FROM_OPER","1993-06-18","2026-05-02","Per=Y","Days=T","Dir=V")</f>
        <v>0</v>
      </c>
      <c r="AM2">
        <f>BDH("MGNI US Equity","CAPITAL_EXPEND","1993-06-18","2026-05-02","Per=Y","Days=T","Dir=V")</f>
        <v>0</v>
      </c>
      <c r="AO2">
        <f>BDH("MGNI US Equity","CF_FREE_CASH_FLOW","1993-06-18","2026-05-02","Per=Y","Days=T","Dir=V")</f>
        <v>0</v>
      </c>
      <c r="AQ2">
        <f>BDH("MGNI US Equity","PX_LAST","1993-06-18","2026-05-02","Per=M","Days=T","Dir=V")</f>
        <v>0</v>
      </c>
      <c r="AS2">
        <f>BDH("MGNI US Equity","CUR_MKT_CAP","1993-06-18","2026-05-02","Per=M","Days=T","Dir=V")</f>
        <v>0</v>
      </c>
      <c r="AU2">
        <f>BDH("MGNI US Equity","EQY_SH_OUT","1993-06-18","2026-05-02","Per=M","Days=T","Dir=V")</f>
        <v>0</v>
      </c>
      <c r="AW2">
        <f>BDH("MGNI US Equity","PX_VOLUME","1993-06-18","2026-05-02","Per=M","Days=T","Dir=V")</f>
        <v>0</v>
      </c>
      <c r="AY2">
        <f>BDH("MGNI US Equity","TURNOVER","1993-06-18","2026-05-02","Per=M","Days=T","Dir=V")</f>
        <v>0</v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BDH("MGNX US Equity","BS_TOT_ASSET","1993-06-18","2026-05-02","Per=Y","Days=T","Dir=V")</f>
        <v>0</v>
      </c>
      <c r="C2">
        <f>BDH("MGNX US Equity","BS_TOT_LIAB2","1993-06-18","2026-05-02","Per=Y","Days=T","Dir=V")</f>
        <v>0</v>
      </c>
      <c r="E2">
        <f>BDH("MGNX US Equity","SHORT_AND_LONG_TERM_DEBT","1993-06-18","2026-05-02","Per=Y","Days=T","Dir=V")</f>
        <v>0</v>
      </c>
      <c r="G2">
        <f>BDH("MGNX US Equity","BS_ST_BORROW","1993-06-18","2026-05-02","Per=Y","Days=T","Dir=V")</f>
        <v>0</v>
      </c>
      <c r="I2">
        <f>BDH("MGNX US Equity","BS_LT_BORROW","1993-06-18","2026-05-02","Per=Y","Days=T","Dir=V")</f>
        <v>0</v>
      </c>
      <c r="K2">
        <f>BDH("MGNX US Equity","BS_CASH_NEAR_CASH_ITEM","1993-06-18","2026-05-02","Per=Y","Days=T","Dir=V")</f>
        <v>0</v>
      </c>
      <c r="M2">
        <f>BDH("MGNX US Equity","BS_CUR_ASSET_REPORT","1993-06-18","2026-05-02","Per=Y","Days=T","Dir=V")</f>
        <v>0</v>
      </c>
      <c r="O2">
        <f>BDH("MGNX US Equity","BS_CUR_LIAB","1993-06-18","2026-05-02","Per=Y","Days=T","Dir=V")</f>
        <v>0</v>
      </c>
      <c r="Q2">
        <f>BDH("MGNX US Equity","BS_SHAREHOLDER_EQY_ENDING_PERIOD","1993-06-18","2026-05-02","Per=Y","Days=T","Dir=V")</f>
        <v>0</v>
      </c>
      <c r="S2">
        <f>BDH("MGNX US Equity","BS_ACCT_NOTE_RCV","1993-06-18","2026-05-02","Per=Y","Days=T","Dir=V")</f>
        <v>0</v>
      </c>
      <c r="U2">
        <f>BDH("MGNX US Equity","BS_INVENTORIES","1993-06-18","2026-05-02","Per=Y","Days=T","Dir=V")</f>
        <v>0</v>
      </c>
      <c r="W2">
        <f>BDH("MGNX US Equity","WORKING_CAPITAL","1993-06-18","2026-05-02","Per=Y","Days=T","Dir=V")</f>
        <v>0</v>
      </c>
      <c r="Y2">
        <f>BDH("MGNX US Equity","SALES_REV_TURN","1993-06-18","2026-05-02","Per=Y","Days=T","Dir=V")</f>
        <v>0</v>
      </c>
      <c r="AA2">
        <f>BDH("MGNX US Equity","EBIT","1993-06-18","2026-05-02","Per=Y","Days=T","Dir=V")</f>
        <v>0</v>
      </c>
      <c r="AC2">
        <f>BDH("MGNX US Equity","EBITDA","1993-06-18","2026-05-02","Per=Y","Days=T","Dir=V")</f>
        <v>0</v>
      </c>
      <c r="AE2">
        <f>BDH("MGNX US Equity","NET_INCOME","1993-06-18","2026-05-02","Per=Y","Days=T","Dir=V")</f>
        <v>0</v>
      </c>
      <c r="AG2">
        <f>BDH("MGNX US Equity","IS_INT_EXPENSE","1993-06-18","2026-05-02","Per=Y","Days=T","Dir=V")</f>
        <v>0</v>
      </c>
      <c r="AI2">
        <f>BDH("MGNX US Equity","IS_DEPR_EXP","1993-06-18","2026-05-02","Per=Y","Days=T","Dir=V")</f>
        <v>0</v>
      </c>
      <c r="AK2">
        <f>BDH("MGNX US Equity","CF_CASH_FROM_OPER","1993-06-18","2026-05-02","Per=Y","Days=T","Dir=V")</f>
        <v>0</v>
      </c>
      <c r="AM2">
        <f>BDH("MGNX US Equity","CAPITAL_EXPEND","1993-06-18","2026-05-02","Per=Y","Days=T","Dir=V")</f>
        <v>0</v>
      </c>
      <c r="AO2">
        <f>BDH("MGNX US Equity","CF_FREE_CASH_FLOW","1993-06-18","2026-05-02","Per=Y","Days=T","Dir=V")</f>
        <v>0</v>
      </c>
      <c r="AQ2">
        <f>BDH("MGNX US Equity","PX_LAST","1993-06-18","2026-05-02","Per=M","Days=T","Dir=V")</f>
        <v>0</v>
      </c>
      <c r="AS2">
        <f>BDH("MGNX US Equity","CUR_MKT_CAP","1993-06-18","2026-05-02","Per=M","Days=T","Dir=V")</f>
        <v>0</v>
      </c>
      <c r="AU2">
        <f>BDH("MGNX US Equity","EQY_SH_OUT","1993-06-18","2026-05-02","Per=M","Days=T","Dir=V")</f>
        <v>0</v>
      </c>
      <c r="AW2">
        <f>BDH("MGNX US Equity","PX_VOLUME","1993-06-18","2026-05-02","Per=M","Days=T","Dir=V")</f>
        <v>0</v>
      </c>
      <c r="AY2">
        <f>BDH("MGNX US Equity","TURNOVER","1993-06-18","2026-05-02","Per=M","Days=T","Dir=V")</f>
        <v>0</v>
      </c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BDH("MGPI US Equity","BS_TOT_ASSET","1993-06-18","2026-05-02","Per=Y","Days=T","Dir=V")</f>
        <v>0</v>
      </c>
      <c r="C2">
        <f>BDH("MGPI US Equity","BS_TOT_LIAB2","1993-06-18","2026-05-02","Per=Y","Days=T","Dir=V")</f>
        <v>0</v>
      </c>
      <c r="E2">
        <f>BDH("MGPI US Equity","SHORT_AND_LONG_TERM_DEBT","1993-06-18","2026-05-02","Per=Y","Days=T","Dir=V")</f>
        <v>0</v>
      </c>
      <c r="G2">
        <f>BDH("MGPI US Equity","BS_ST_BORROW","1993-06-18","2026-05-02","Per=Y","Days=T","Dir=V")</f>
        <v>0</v>
      </c>
      <c r="I2">
        <f>BDH("MGPI US Equity","BS_LT_BORROW","1993-06-18","2026-05-02","Per=Y","Days=T","Dir=V")</f>
        <v>0</v>
      </c>
      <c r="K2">
        <f>BDH("MGPI US Equity","BS_CASH_NEAR_CASH_ITEM","1993-06-18","2026-05-02","Per=Y","Days=T","Dir=V")</f>
        <v>0</v>
      </c>
      <c r="M2">
        <f>BDH("MGPI US Equity","BS_CUR_ASSET_REPORT","1993-06-18","2026-05-02","Per=Y","Days=T","Dir=V")</f>
        <v>0</v>
      </c>
      <c r="O2">
        <f>BDH("MGPI US Equity","BS_CUR_LIAB","1993-06-18","2026-05-02","Per=Y","Days=T","Dir=V")</f>
        <v>0</v>
      </c>
      <c r="Q2">
        <f>BDH("MGPI US Equity","BS_SHAREHOLDER_EQY_ENDING_PERIOD","1993-06-18","2026-05-02","Per=Y","Days=T","Dir=V")</f>
        <v>0</v>
      </c>
      <c r="S2">
        <f>BDH("MGPI US Equity","BS_ACCT_NOTE_RCV","1993-06-18","2026-05-02","Per=Y","Days=T","Dir=V")</f>
        <v>0</v>
      </c>
      <c r="U2">
        <f>BDH("MGPI US Equity","BS_INVENTORIES","1993-06-18","2026-05-02","Per=Y","Days=T","Dir=V")</f>
        <v>0</v>
      </c>
      <c r="W2">
        <f>BDH("MGPI US Equity","WORKING_CAPITAL","1993-06-18","2026-05-02","Per=Y","Days=T","Dir=V")</f>
        <v>0</v>
      </c>
      <c r="Y2">
        <f>BDH("MGPI US Equity","SALES_REV_TURN","1993-06-18","2026-05-02","Per=Y","Days=T","Dir=V")</f>
        <v>0</v>
      </c>
      <c r="AA2">
        <f>BDH("MGPI US Equity","EBIT","1993-06-18","2026-05-02","Per=Y","Days=T","Dir=V")</f>
        <v>0</v>
      </c>
      <c r="AC2">
        <f>BDH("MGPI US Equity","EBITDA","1993-06-18","2026-05-02","Per=Y","Days=T","Dir=V")</f>
        <v>0</v>
      </c>
      <c r="AE2">
        <f>BDH("MGPI US Equity","NET_INCOME","1993-06-18","2026-05-02","Per=Y","Days=T","Dir=V")</f>
        <v>0</v>
      </c>
      <c r="AG2">
        <f>BDH("MGPI US Equity","IS_INT_EXPENSE","1993-06-18","2026-05-02","Per=Y","Days=T","Dir=V")</f>
        <v>0</v>
      </c>
      <c r="AI2">
        <f>BDH("MGPI US Equity","IS_DEPR_EXP","1993-06-18","2026-05-02","Per=Y","Days=T","Dir=V")</f>
        <v>0</v>
      </c>
      <c r="AK2">
        <f>BDH("MGPI US Equity","CF_CASH_FROM_OPER","1993-06-18","2026-05-02","Per=Y","Days=T","Dir=V")</f>
        <v>0</v>
      </c>
      <c r="AM2">
        <f>BDH("MGPI US Equity","CAPITAL_EXPEND","1993-06-18","2026-05-02","Per=Y","Days=T","Dir=V")</f>
        <v>0</v>
      </c>
      <c r="AO2">
        <f>BDH("MGPI US Equity","CF_FREE_CASH_FLOW","1993-06-18","2026-05-02","Per=Y","Days=T","Dir=V")</f>
        <v>0</v>
      </c>
      <c r="AQ2">
        <f>BDH("MGPI US Equity","PX_LAST","1993-06-18","2026-05-02","Per=M","Days=T","Dir=V")</f>
        <v>0</v>
      </c>
      <c r="AS2">
        <f>BDH("MGPI US Equity","CUR_MKT_CAP","1993-06-18","2026-05-02","Per=M","Days=T","Dir=V")</f>
        <v>0</v>
      </c>
      <c r="AU2">
        <f>BDH("MGPI US Equity","EQY_SH_OUT","1993-06-18","2026-05-02","Per=M","Days=T","Dir=V")</f>
        <v>0</v>
      </c>
      <c r="AW2">
        <f>BDH("MGPI US Equity","PX_VOLUME","1993-06-18","2026-05-02","Per=M","Days=T","Dir=V")</f>
        <v>0</v>
      </c>
      <c r="AY2">
        <f>BDH("MGPI US Equity","TURNOVER","1993-06-18","2026-05-02","Per=M","Days=T","Dir=V")</f>
        <v>0</v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BDH("MGRC US Equity","BS_TOT_ASSET","1993-06-18","2026-05-02","Per=Y","Days=T","Dir=V")</f>
        <v>0</v>
      </c>
      <c r="C2">
        <f>BDH("MGRC US Equity","BS_TOT_LIAB2","1993-06-18","2026-05-02","Per=Y","Days=T","Dir=V")</f>
        <v>0</v>
      </c>
      <c r="E2">
        <f>BDH("MGRC US Equity","SHORT_AND_LONG_TERM_DEBT","1993-06-18","2026-05-02","Per=Y","Days=T","Dir=V")</f>
        <v>0</v>
      </c>
      <c r="G2">
        <f>BDH("MGRC US Equity","BS_ST_BORROW","1993-06-18","2026-05-02","Per=Y","Days=T","Dir=V")</f>
        <v>0</v>
      </c>
      <c r="I2">
        <f>BDH("MGRC US Equity","BS_LT_BORROW","1993-06-18","2026-05-02","Per=Y","Days=T","Dir=V")</f>
        <v>0</v>
      </c>
      <c r="K2">
        <f>BDH("MGRC US Equity","BS_CASH_NEAR_CASH_ITEM","1993-06-18","2026-05-02","Per=Y","Days=T","Dir=V")</f>
        <v>0</v>
      </c>
      <c r="M2">
        <f>BDH("MGRC US Equity","BS_CUR_ASSET_REPORT","1993-06-18","2026-05-02","Per=Y","Days=T","Dir=V")</f>
        <v>0</v>
      </c>
      <c r="O2">
        <f>BDH("MGRC US Equity","BS_CUR_LIAB","1993-06-18","2026-05-02","Per=Y","Days=T","Dir=V")</f>
        <v>0</v>
      </c>
      <c r="Q2">
        <f>BDH("MGRC US Equity","BS_SHAREHOLDER_EQY_ENDING_PERIOD","1993-06-18","2026-05-02","Per=Y","Days=T","Dir=V")</f>
        <v>0</v>
      </c>
      <c r="S2">
        <f>BDH("MGRC US Equity","BS_ACCT_NOTE_RCV","1993-06-18","2026-05-02","Per=Y","Days=T","Dir=V")</f>
        <v>0</v>
      </c>
      <c r="U2">
        <f>BDH("MGRC US Equity","BS_INVENTORIES","1993-06-18","2026-05-02","Per=Y","Days=T","Dir=V")</f>
        <v>0</v>
      </c>
      <c r="W2">
        <f>BDH("MGRC US Equity","WORKING_CAPITAL","1993-06-18","2026-05-02","Per=Y","Days=T","Dir=V")</f>
        <v>0</v>
      </c>
      <c r="Y2">
        <f>BDH("MGRC US Equity","SALES_REV_TURN","1993-06-18","2026-05-02","Per=Y","Days=T","Dir=V")</f>
        <v>0</v>
      </c>
      <c r="AA2">
        <f>BDH("MGRC US Equity","EBIT","1993-06-18","2026-05-02","Per=Y","Days=T","Dir=V")</f>
        <v>0</v>
      </c>
      <c r="AC2">
        <f>BDH("MGRC US Equity","EBITDA","1993-06-18","2026-05-02","Per=Y","Days=T","Dir=V")</f>
        <v>0</v>
      </c>
      <c r="AE2">
        <f>BDH("MGRC US Equity","NET_INCOME","1993-06-18","2026-05-02","Per=Y","Days=T","Dir=V")</f>
        <v>0</v>
      </c>
      <c r="AG2">
        <f>BDH("MGRC US Equity","IS_INT_EXPENSE","1993-06-18","2026-05-02","Per=Y","Days=T","Dir=V")</f>
        <v>0</v>
      </c>
      <c r="AI2">
        <f>BDH("MGRC US Equity","IS_DEPR_EXP","1993-06-18","2026-05-02","Per=Y","Days=T","Dir=V")</f>
        <v>0</v>
      </c>
      <c r="AK2">
        <f>BDH("MGRC US Equity","CF_CASH_FROM_OPER","1993-06-18","2026-05-02","Per=Y","Days=T","Dir=V")</f>
        <v>0</v>
      </c>
      <c r="AM2">
        <f>BDH("MGRC US Equity","CAPITAL_EXPEND","1993-06-18","2026-05-02","Per=Y","Days=T","Dir=V")</f>
        <v>0</v>
      </c>
      <c r="AO2">
        <f>BDH("MGRC US Equity","CF_FREE_CASH_FLOW","1993-06-18","2026-05-02","Per=Y","Days=T","Dir=V")</f>
        <v>0</v>
      </c>
      <c r="AQ2">
        <f>BDH("MGRC US Equity","PX_LAST","1993-06-18","2026-05-02","Per=M","Days=T","Dir=V")</f>
        <v>0</v>
      </c>
      <c r="AS2">
        <f>BDH("MGRC US Equity","CUR_MKT_CAP","1993-06-18","2026-05-02","Per=M","Days=T","Dir=V")</f>
        <v>0</v>
      </c>
      <c r="AU2">
        <f>BDH("MGRC US Equity","EQY_SH_OUT","1993-06-18","2026-05-02","Per=M","Days=T","Dir=V")</f>
        <v>0</v>
      </c>
      <c r="AW2">
        <f>BDH("MGRC US Equity","PX_VOLUME","1993-06-18","2026-05-02","Per=M","Days=T","Dir=V")</f>
        <v>0</v>
      </c>
      <c r="AY2">
        <f>BDH("MGRC US Equity","TURNOVER","1993-06-18","2026-05-02","Per=M","Days=T","Dir=V")</f>
        <v>0</v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BDH("MGRX US Equity","BS_TOT_ASSET","1993-06-18","2026-05-02","Per=Y","Days=T","Dir=V")</f>
        <v>0</v>
      </c>
      <c r="C2">
        <f>BDH("MGRX US Equity","BS_TOT_LIAB2","1993-06-18","2026-05-02","Per=Y","Days=T","Dir=V")</f>
        <v>0</v>
      </c>
      <c r="E2">
        <f>BDH("MGRX US Equity","SHORT_AND_LONG_TERM_DEBT","1993-06-18","2026-05-02","Per=Y","Days=T","Dir=V")</f>
        <v>0</v>
      </c>
      <c r="G2">
        <f>BDH("MGRX US Equity","BS_ST_BORROW","1993-06-18","2026-05-02","Per=Y","Days=T","Dir=V")</f>
        <v>0</v>
      </c>
      <c r="I2">
        <f>BDH("MGRX US Equity","BS_LT_BORROW","1993-06-18","2026-05-02","Per=Y","Days=T","Dir=V")</f>
        <v>0</v>
      </c>
      <c r="K2">
        <f>BDH("MGRX US Equity","BS_CASH_NEAR_CASH_ITEM","1993-06-18","2026-05-02","Per=Y","Days=T","Dir=V")</f>
        <v>0</v>
      </c>
      <c r="M2">
        <f>BDH("MGRX US Equity","BS_CUR_ASSET_REPORT","1993-06-18","2026-05-02","Per=Y","Days=T","Dir=V")</f>
        <v>0</v>
      </c>
      <c r="O2">
        <f>BDH("MGRX US Equity","BS_CUR_LIAB","1993-06-18","2026-05-02","Per=Y","Days=T","Dir=V")</f>
        <v>0</v>
      </c>
      <c r="Q2">
        <f>BDH("MGRX US Equity","BS_SHAREHOLDER_EQY_ENDING_PERIOD","1993-06-18","2026-05-02","Per=Y","Days=T","Dir=V")</f>
        <v>0</v>
      </c>
      <c r="S2">
        <f>BDH("MGRX US Equity","BS_ACCT_NOTE_RCV","1993-06-18","2026-05-02","Per=Y","Days=T","Dir=V")</f>
        <v>0</v>
      </c>
      <c r="U2">
        <f>BDH("MGRX US Equity","BS_INVENTORIES","1993-06-18","2026-05-02","Per=Y","Days=T","Dir=V")</f>
        <v>0</v>
      </c>
      <c r="W2">
        <f>BDH("MGRX US Equity","WORKING_CAPITAL","1993-06-18","2026-05-02","Per=Y","Days=T","Dir=V")</f>
        <v>0</v>
      </c>
      <c r="Y2">
        <f>BDH("MGRX US Equity","SALES_REV_TURN","1993-06-18","2026-05-02","Per=Y","Days=T","Dir=V")</f>
        <v>0</v>
      </c>
      <c r="AA2">
        <f>BDH("MGRX US Equity","EBIT","1993-06-18","2026-05-02","Per=Y","Days=T","Dir=V")</f>
        <v>0</v>
      </c>
      <c r="AC2">
        <f>BDH("MGRX US Equity","EBITDA","1993-06-18","2026-05-02","Per=Y","Days=T","Dir=V")</f>
        <v>0</v>
      </c>
      <c r="AE2">
        <f>BDH("MGRX US Equity","NET_INCOME","1993-06-18","2026-05-02","Per=Y","Days=T","Dir=V")</f>
        <v>0</v>
      </c>
      <c r="AG2">
        <f>BDH("MGRX US Equity","IS_INT_EXPENSE","1993-06-18","2026-05-02","Per=Y","Days=T","Dir=V")</f>
        <v>0</v>
      </c>
      <c r="AI2">
        <f>BDH("MGRX US Equity","IS_DEPR_EXP","1993-06-18","2026-05-02","Per=Y","Days=T","Dir=V")</f>
        <v>0</v>
      </c>
      <c r="AK2">
        <f>BDH("MGRX US Equity","CF_CASH_FROM_OPER","1993-06-18","2026-05-02","Per=Y","Days=T","Dir=V")</f>
        <v>0</v>
      </c>
      <c r="AM2">
        <f>BDH("MGRX US Equity","CAPITAL_EXPEND","1993-06-18","2026-05-02","Per=Y","Days=T","Dir=V")</f>
        <v>0</v>
      </c>
      <c r="AO2">
        <f>BDH("MGRX US Equity","CF_FREE_CASH_FLOW","1993-06-18","2026-05-02","Per=Y","Days=T","Dir=V")</f>
        <v>0</v>
      </c>
      <c r="AQ2">
        <f>BDH("MGRX US Equity","PX_LAST","1993-06-18","2026-05-02","Per=M","Days=T","Dir=V")</f>
        <v>0</v>
      </c>
      <c r="AS2">
        <f>BDH("MGRX US Equity","CUR_MKT_CAP","1993-06-18","2026-05-02","Per=M","Days=T","Dir=V")</f>
        <v>0</v>
      </c>
      <c r="AU2">
        <f>BDH("MGRX US Equity","EQY_SH_OUT","1993-06-18","2026-05-02","Per=M","Days=T","Dir=V")</f>
        <v>0</v>
      </c>
      <c r="AW2">
        <f>BDH("MGRX US Equity","PX_VOLUME","1993-06-18","2026-05-02","Per=M","Days=T","Dir=V")</f>
        <v>0</v>
      </c>
      <c r="AY2">
        <f>BDH("MGRX US Equity","TURNOVER","1993-06-18","2026-05-02","Per=M","Days=T","Dir=V")</f>
        <v>0</v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BDH("MGTX US Equity","BS_TOT_ASSET","1993-06-18","2026-05-02","Per=Y","Days=T","Dir=V")</f>
        <v>0</v>
      </c>
      <c r="C2">
        <f>BDH("MGTX US Equity","BS_TOT_LIAB2","1993-06-18","2026-05-02","Per=Y","Days=T","Dir=V")</f>
        <v>0</v>
      </c>
      <c r="E2">
        <f>BDH("MGTX US Equity","SHORT_AND_LONG_TERM_DEBT","1993-06-18","2026-05-02","Per=Y","Days=T","Dir=V")</f>
        <v>0</v>
      </c>
      <c r="G2">
        <f>BDH("MGTX US Equity","BS_ST_BORROW","1993-06-18","2026-05-02","Per=Y","Days=T","Dir=V")</f>
        <v>0</v>
      </c>
      <c r="I2">
        <f>BDH("MGTX US Equity","BS_LT_BORROW","1993-06-18","2026-05-02","Per=Y","Days=T","Dir=V")</f>
        <v>0</v>
      </c>
      <c r="K2">
        <f>BDH("MGTX US Equity","BS_CASH_NEAR_CASH_ITEM","1993-06-18","2026-05-02","Per=Y","Days=T","Dir=V")</f>
        <v>0</v>
      </c>
      <c r="M2">
        <f>BDH("MGTX US Equity","BS_CUR_ASSET_REPORT","1993-06-18","2026-05-02","Per=Y","Days=T","Dir=V")</f>
        <v>0</v>
      </c>
      <c r="O2">
        <f>BDH("MGTX US Equity","BS_CUR_LIAB","1993-06-18","2026-05-02","Per=Y","Days=T","Dir=V")</f>
        <v>0</v>
      </c>
      <c r="Q2">
        <f>BDH("MGTX US Equity","BS_SHAREHOLDER_EQY_ENDING_PERIOD","1993-06-18","2026-05-02","Per=Y","Days=T","Dir=V")</f>
        <v>0</v>
      </c>
      <c r="S2">
        <f>BDH("MGTX US Equity","BS_ACCT_NOTE_RCV","1993-06-18","2026-05-02","Per=Y","Days=T","Dir=V")</f>
        <v>0</v>
      </c>
      <c r="U2">
        <f>BDH("MGTX US Equity","BS_INVENTORIES","1993-06-18","2026-05-02","Per=Y","Days=T","Dir=V")</f>
        <v>0</v>
      </c>
      <c r="W2">
        <f>BDH("MGTX US Equity","WORKING_CAPITAL","1993-06-18","2026-05-02","Per=Y","Days=T","Dir=V")</f>
        <v>0</v>
      </c>
      <c r="Y2">
        <f>BDH("MGTX US Equity","SALES_REV_TURN","1993-06-18","2026-05-02","Per=Y","Days=T","Dir=V")</f>
        <v>0</v>
      </c>
      <c r="AA2">
        <f>BDH("MGTX US Equity","EBIT","1993-06-18","2026-05-02","Per=Y","Days=T","Dir=V")</f>
        <v>0</v>
      </c>
      <c r="AC2">
        <f>BDH("MGTX US Equity","EBITDA","1993-06-18","2026-05-02","Per=Y","Days=T","Dir=V")</f>
        <v>0</v>
      </c>
      <c r="AE2">
        <f>BDH("MGTX US Equity","NET_INCOME","1993-06-18","2026-05-02","Per=Y","Days=T","Dir=V")</f>
        <v>0</v>
      </c>
      <c r="AG2">
        <f>BDH("MGTX US Equity","IS_INT_EXPENSE","1993-06-18","2026-05-02","Per=Y","Days=T","Dir=V")</f>
        <v>0</v>
      </c>
      <c r="AI2">
        <f>BDH("MGTX US Equity","IS_DEPR_EXP","1993-06-18","2026-05-02","Per=Y","Days=T","Dir=V")</f>
        <v>0</v>
      </c>
      <c r="AK2">
        <f>BDH("MGTX US Equity","CF_CASH_FROM_OPER","1993-06-18","2026-05-02","Per=Y","Days=T","Dir=V")</f>
        <v>0</v>
      </c>
      <c r="AM2">
        <f>BDH("MGTX US Equity","CAPITAL_EXPEND","1993-06-18","2026-05-02","Per=Y","Days=T","Dir=V")</f>
        <v>0</v>
      </c>
      <c r="AO2">
        <f>BDH("MGTX US Equity","CF_FREE_CASH_FLOW","1993-06-18","2026-05-02","Per=Y","Days=T","Dir=V")</f>
        <v>0</v>
      </c>
      <c r="AQ2">
        <f>BDH("MGTX US Equity","PX_LAST","1993-06-18","2026-05-02","Per=M","Days=T","Dir=V")</f>
        <v>0</v>
      </c>
      <c r="AS2">
        <f>BDH("MGTX US Equity","CUR_MKT_CAP","1993-06-18","2026-05-02","Per=M","Days=T","Dir=V")</f>
        <v>0</v>
      </c>
      <c r="AU2">
        <f>BDH("MGTX US Equity","EQY_SH_OUT","1993-06-18","2026-05-02","Per=M","Days=T","Dir=V")</f>
        <v>0</v>
      </c>
      <c r="AW2">
        <f>BDH("MGTX US Equity","PX_VOLUME","1993-06-18","2026-05-02","Per=M","Days=T","Dir=V")</f>
        <v>0</v>
      </c>
      <c r="AY2">
        <f>BDH("MGTX US Equity","TURNOVER","1993-06-18","2026-05-02","Per=M","Days=T","Dir=V")</f>
        <v>0</v>
      </c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BDH("MGX US Equity","BS_TOT_ASSET","1993-06-18","2026-05-02","Per=Y","Days=T","Dir=V")</f>
        <v>0</v>
      </c>
      <c r="C2">
        <f>BDH("MGX US Equity","BS_TOT_LIAB2","1993-06-18","2026-05-02","Per=Y","Days=T","Dir=V")</f>
        <v>0</v>
      </c>
      <c r="E2">
        <f>BDH("MGX US Equity","SHORT_AND_LONG_TERM_DEBT","1993-06-18","2026-05-02","Per=Y","Days=T","Dir=V")</f>
        <v>0</v>
      </c>
      <c r="G2">
        <f>BDH("MGX US Equity","BS_ST_BORROW","1993-06-18","2026-05-02","Per=Y","Days=T","Dir=V")</f>
        <v>0</v>
      </c>
      <c r="I2">
        <f>BDH("MGX US Equity","BS_LT_BORROW","1993-06-18","2026-05-02","Per=Y","Days=T","Dir=V")</f>
        <v>0</v>
      </c>
      <c r="K2">
        <f>BDH("MGX US Equity","BS_CASH_NEAR_CASH_ITEM","1993-06-18","2026-05-02","Per=Y","Days=T","Dir=V")</f>
        <v>0</v>
      </c>
      <c r="M2">
        <f>BDH("MGX US Equity","BS_CUR_ASSET_REPORT","1993-06-18","2026-05-02","Per=Y","Days=T","Dir=V")</f>
        <v>0</v>
      </c>
      <c r="O2">
        <f>BDH("MGX US Equity","BS_CUR_LIAB","1993-06-18","2026-05-02","Per=Y","Days=T","Dir=V")</f>
        <v>0</v>
      </c>
      <c r="Q2">
        <f>BDH("MGX US Equity","BS_SHAREHOLDER_EQY_ENDING_PERIOD","1993-06-18","2026-05-02","Per=Y","Days=T","Dir=V")</f>
        <v>0</v>
      </c>
      <c r="S2">
        <f>BDH("MGX US Equity","BS_ACCT_NOTE_RCV","1993-06-18","2026-05-02","Per=Y","Days=T","Dir=V")</f>
        <v>0</v>
      </c>
      <c r="U2">
        <f>BDH("MGX US Equity","BS_INVENTORIES","1993-06-18","2026-05-02","Per=Y","Days=T","Dir=V")</f>
        <v>0</v>
      </c>
      <c r="W2">
        <f>BDH("MGX US Equity","WORKING_CAPITAL","1993-06-18","2026-05-02","Per=Y","Days=T","Dir=V")</f>
        <v>0</v>
      </c>
      <c r="Y2">
        <f>BDH("MGX US Equity","SALES_REV_TURN","1993-06-18","2026-05-02","Per=Y","Days=T","Dir=V")</f>
        <v>0</v>
      </c>
      <c r="AA2">
        <f>BDH("MGX US Equity","EBIT","1993-06-18","2026-05-02","Per=Y","Days=T","Dir=V")</f>
        <v>0</v>
      </c>
      <c r="AC2">
        <f>BDH("MGX US Equity","EBITDA","1993-06-18","2026-05-02","Per=Y","Days=T","Dir=V")</f>
        <v>0</v>
      </c>
      <c r="AE2">
        <f>BDH("MGX US Equity","NET_INCOME","1993-06-18","2026-05-02","Per=Y","Days=T","Dir=V")</f>
        <v>0</v>
      </c>
      <c r="AG2">
        <f>BDH("MGX US Equity","IS_INT_EXPENSE","1993-06-18","2026-05-02","Per=Y","Days=T","Dir=V")</f>
        <v>0</v>
      </c>
      <c r="AI2">
        <f>BDH("MGX US Equity","IS_DEPR_EXP","1993-06-18","2026-05-02","Per=Y","Days=T","Dir=V")</f>
        <v>0</v>
      </c>
      <c r="AK2">
        <f>BDH("MGX US Equity","CF_CASH_FROM_OPER","1993-06-18","2026-05-02","Per=Y","Days=T","Dir=V")</f>
        <v>0</v>
      </c>
      <c r="AM2">
        <f>BDH("MGX US Equity","CAPITAL_EXPEND","1993-06-18","2026-05-02","Per=Y","Days=T","Dir=V")</f>
        <v>0</v>
      </c>
      <c r="AO2">
        <f>BDH("MGX US Equity","CF_FREE_CASH_FLOW","1993-06-18","2026-05-02","Per=Y","Days=T","Dir=V")</f>
        <v>0</v>
      </c>
      <c r="AQ2">
        <f>BDH("MGX US Equity","PX_LAST","1993-06-18","2026-05-02","Per=M","Days=T","Dir=V")</f>
        <v>0</v>
      </c>
      <c r="AS2">
        <f>BDH("MGX US Equity","CUR_MKT_CAP","1993-06-18","2026-05-02","Per=M","Days=T","Dir=V")</f>
        <v>0</v>
      </c>
      <c r="AU2">
        <f>BDH("MGX US Equity","EQY_SH_OUT","1993-06-18","2026-05-02","Per=M","Days=T","Dir=V")</f>
        <v>0</v>
      </c>
      <c r="AW2">
        <f>BDH("MGX US Equity","PX_VOLUME","1993-06-18","2026-05-02","Per=M","Days=T","Dir=V")</f>
        <v>0</v>
      </c>
      <c r="AY2">
        <f>BDH("MGX US Equity","TURNOVER","1993-06-18","2026-05-02","Per=M","Days=T","Dir=V")</f>
        <v>0</v>
      </c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BDH("MGY US Equity","BS_TOT_ASSET","1993-06-18","2026-05-02","Per=Y","Days=T","Dir=V")</f>
        <v>0</v>
      </c>
      <c r="C2">
        <f>BDH("MGY US Equity","BS_TOT_LIAB2","1993-06-18","2026-05-02","Per=Y","Days=T","Dir=V")</f>
        <v>0</v>
      </c>
      <c r="E2">
        <f>BDH("MGY US Equity","SHORT_AND_LONG_TERM_DEBT","1993-06-18","2026-05-02","Per=Y","Days=T","Dir=V")</f>
        <v>0</v>
      </c>
      <c r="G2">
        <f>BDH("MGY US Equity","BS_ST_BORROW","1993-06-18","2026-05-02","Per=Y","Days=T","Dir=V")</f>
        <v>0</v>
      </c>
      <c r="I2">
        <f>BDH("MGY US Equity","BS_LT_BORROW","1993-06-18","2026-05-02","Per=Y","Days=T","Dir=V")</f>
        <v>0</v>
      </c>
      <c r="K2">
        <f>BDH("MGY US Equity","BS_CASH_NEAR_CASH_ITEM","1993-06-18","2026-05-02","Per=Y","Days=T","Dir=V")</f>
        <v>0</v>
      </c>
      <c r="M2">
        <f>BDH("MGY US Equity","BS_CUR_ASSET_REPORT","1993-06-18","2026-05-02","Per=Y","Days=T","Dir=V")</f>
        <v>0</v>
      </c>
      <c r="O2">
        <f>BDH("MGY US Equity","BS_CUR_LIAB","1993-06-18","2026-05-02","Per=Y","Days=T","Dir=V")</f>
        <v>0</v>
      </c>
      <c r="Q2">
        <f>BDH("MGY US Equity","BS_SHAREHOLDER_EQY_ENDING_PERIOD","1993-06-18","2026-05-02","Per=Y","Days=T","Dir=V")</f>
        <v>0</v>
      </c>
      <c r="S2">
        <f>BDH("MGY US Equity","BS_ACCT_NOTE_RCV","1993-06-18","2026-05-02","Per=Y","Days=T","Dir=V")</f>
        <v>0</v>
      </c>
      <c r="U2">
        <f>BDH("MGY US Equity","BS_INVENTORIES","1993-06-18","2026-05-02","Per=Y","Days=T","Dir=V")</f>
        <v>0</v>
      </c>
      <c r="W2">
        <f>BDH("MGY US Equity","WORKING_CAPITAL","1993-06-18","2026-05-02","Per=Y","Days=T","Dir=V")</f>
        <v>0</v>
      </c>
      <c r="Y2">
        <f>BDH("MGY US Equity","SALES_REV_TURN","1993-06-18","2026-05-02","Per=Y","Days=T","Dir=V")</f>
        <v>0</v>
      </c>
      <c r="AA2">
        <f>BDH("MGY US Equity","EBIT","1993-06-18","2026-05-02","Per=Y","Days=T","Dir=V")</f>
        <v>0</v>
      </c>
      <c r="AC2">
        <f>BDH("MGY US Equity","EBITDA","1993-06-18","2026-05-02","Per=Y","Days=T","Dir=V")</f>
        <v>0</v>
      </c>
      <c r="AE2">
        <f>BDH("MGY US Equity","NET_INCOME","1993-06-18","2026-05-02","Per=Y","Days=T","Dir=V")</f>
        <v>0</v>
      </c>
      <c r="AG2">
        <f>BDH("MGY US Equity","IS_INT_EXPENSE","1993-06-18","2026-05-02","Per=Y","Days=T","Dir=V")</f>
        <v>0</v>
      </c>
      <c r="AI2">
        <f>BDH("MGY US Equity","IS_DEPR_EXP","1993-06-18","2026-05-02","Per=Y","Days=T","Dir=V")</f>
        <v>0</v>
      </c>
      <c r="AK2">
        <f>BDH("MGY US Equity","CF_CASH_FROM_OPER","1993-06-18","2026-05-02","Per=Y","Days=T","Dir=V")</f>
        <v>0</v>
      </c>
      <c r="AM2">
        <f>BDH("MGY US Equity","CAPITAL_EXPEND","1993-06-18","2026-05-02","Per=Y","Days=T","Dir=V")</f>
        <v>0</v>
      </c>
      <c r="AO2">
        <f>BDH("MGY US Equity","CF_FREE_CASH_FLOW","1993-06-18","2026-05-02","Per=Y","Days=T","Dir=V")</f>
        <v>0</v>
      </c>
      <c r="AQ2">
        <f>BDH("MGY US Equity","PX_LAST","1993-06-18","2026-05-02","Per=M","Days=T","Dir=V")</f>
        <v>0</v>
      </c>
      <c r="AS2">
        <f>BDH("MGY US Equity","CUR_MKT_CAP","1993-06-18","2026-05-02","Per=M","Days=T","Dir=V")</f>
        <v>0</v>
      </c>
      <c r="AU2">
        <f>BDH("MGY US Equity","EQY_SH_OUT","1993-06-18","2026-05-02","Per=M","Days=T","Dir=V")</f>
        <v>0</v>
      </c>
      <c r="AW2">
        <f>BDH("MGY US Equity","PX_VOLUME","1993-06-18","2026-05-02","Per=M","Days=T","Dir=V")</f>
        <v>0</v>
      </c>
      <c r="AY2">
        <f>BDH("MGY US Equity","TURNOVER","1993-06-18","2026-05-02","Per=M","Days=T","Dir=V")</f>
        <v>0</v>
      </c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BDH("MHH US Equity","BS_TOT_ASSET","1993-06-18","2026-05-02","Per=Y","Days=T","Dir=V")</f>
        <v>0</v>
      </c>
      <c r="C2">
        <f>BDH("MHH US Equity","BS_TOT_LIAB2","1993-06-18","2026-05-02","Per=Y","Days=T","Dir=V")</f>
        <v>0</v>
      </c>
      <c r="E2">
        <f>BDH("MHH US Equity","SHORT_AND_LONG_TERM_DEBT","1993-06-18","2026-05-02","Per=Y","Days=T","Dir=V")</f>
        <v>0</v>
      </c>
      <c r="G2">
        <f>BDH("MHH US Equity","BS_ST_BORROW","1993-06-18","2026-05-02","Per=Y","Days=T","Dir=V")</f>
        <v>0</v>
      </c>
      <c r="I2">
        <f>BDH("MHH US Equity","BS_LT_BORROW","1993-06-18","2026-05-02","Per=Y","Days=T","Dir=V")</f>
        <v>0</v>
      </c>
      <c r="K2">
        <f>BDH("MHH US Equity","BS_CASH_NEAR_CASH_ITEM","1993-06-18","2026-05-02","Per=Y","Days=T","Dir=V")</f>
        <v>0</v>
      </c>
      <c r="M2">
        <f>BDH("MHH US Equity","BS_CUR_ASSET_REPORT","1993-06-18","2026-05-02","Per=Y","Days=T","Dir=V")</f>
        <v>0</v>
      </c>
      <c r="O2">
        <f>BDH("MHH US Equity","BS_CUR_LIAB","1993-06-18","2026-05-02","Per=Y","Days=T","Dir=V")</f>
        <v>0</v>
      </c>
      <c r="Q2">
        <f>BDH("MHH US Equity","BS_SHAREHOLDER_EQY_ENDING_PERIOD","1993-06-18","2026-05-02","Per=Y","Days=T","Dir=V")</f>
        <v>0</v>
      </c>
      <c r="S2">
        <f>BDH("MHH US Equity","BS_ACCT_NOTE_RCV","1993-06-18","2026-05-02","Per=Y","Days=T","Dir=V")</f>
        <v>0</v>
      </c>
      <c r="U2">
        <f>BDH("MHH US Equity","BS_INVENTORIES","1993-06-18","2026-05-02","Per=Y","Days=T","Dir=V")</f>
        <v>0</v>
      </c>
      <c r="W2">
        <f>BDH("MHH US Equity","WORKING_CAPITAL","1993-06-18","2026-05-02","Per=Y","Days=T","Dir=V")</f>
        <v>0</v>
      </c>
      <c r="Y2">
        <f>BDH("MHH US Equity","SALES_REV_TURN","1993-06-18","2026-05-02","Per=Y","Days=T","Dir=V")</f>
        <v>0</v>
      </c>
      <c r="AA2">
        <f>BDH("MHH US Equity","EBIT","1993-06-18","2026-05-02","Per=Y","Days=T","Dir=V")</f>
        <v>0</v>
      </c>
      <c r="AC2">
        <f>BDH("MHH US Equity","EBITDA","1993-06-18","2026-05-02","Per=Y","Days=T","Dir=V")</f>
        <v>0</v>
      </c>
      <c r="AE2">
        <f>BDH("MHH US Equity","NET_INCOME","1993-06-18","2026-05-02","Per=Y","Days=T","Dir=V")</f>
        <v>0</v>
      </c>
      <c r="AG2">
        <f>BDH("MHH US Equity","IS_INT_EXPENSE","1993-06-18","2026-05-02","Per=Y","Days=T","Dir=V")</f>
        <v>0</v>
      </c>
      <c r="AI2">
        <f>BDH("MHH US Equity","IS_DEPR_EXP","1993-06-18","2026-05-02","Per=Y","Days=T","Dir=V")</f>
        <v>0</v>
      </c>
      <c r="AK2">
        <f>BDH("MHH US Equity","CF_CASH_FROM_OPER","1993-06-18","2026-05-02","Per=Y","Days=T","Dir=V")</f>
        <v>0</v>
      </c>
      <c r="AM2">
        <f>BDH("MHH US Equity","CAPITAL_EXPEND","1993-06-18","2026-05-02","Per=Y","Days=T","Dir=V")</f>
        <v>0</v>
      </c>
      <c r="AO2">
        <f>BDH("MHH US Equity","CF_FREE_CASH_FLOW","1993-06-18","2026-05-02","Per=Y","Days=T","Dir=V")</f>
        <v>0</v>
      </c>
      <c r="AQ2">
        <f>BDH("MHH US Equity","PX_LAST","1993-06-18","2026-05-02","Per=M","Days=T","Dir=V")</f>
        <v>0</v>
      </c>
      <c r="AS2">
        <f>BDH("MHH US Equity","CUR_MKT_CAP","1993-06-18","2026-05-02","Per=M","Days=T","Dir=V")</f>
        <v>0</v>
      </c>
      <c r="AU2">
        <f>BDH("MHH US Equity","EQY_SH_OUT","1993-06-18","2026-05-02","Per=M","Days=T","Dir=V")</f>
        <v>0</v>
      </c>
      <c r="AW2">
        <f>BDH("MHH US Equity","PX_VOLUME","1993-06-18","2026-05-02","Per=M","Days=T","Dir=V")</f>
        <v>0</v>
      </c>
      <c r="AY2">
        <f>BDH("MHH US Equity","TURNOVER","1993-06-18","2026-05-02","Per=M","Days=T","Dir=V")</f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BDH("MHK US Equity","BS_TOT_ASSET","1993-06-18","2026-05-02","Per=Y","Days=T","Dir=V")</f>
        <v>0</v>
      </c>
      <c r="C2">
        <f>BDH("MHK US Equity","BS_TOT_LIAB2","1993-06-18","2026-05-02","Per=Y","Days=T","Dir=V")</f>
        <v>0</v>
      </c>
      <c r="E2">
        <f>BDH("MHK US Equity","SHORT_AND_LONG_TERM_DEBT","1993-06-18","2026-05-02","Per=Y","Days=T","Dir=V")</f>
        <v>0</v>
      </c>
      <c r="G2">
        <f>BDH("MHK US Equity","BS_ST_BORROW","1993-06-18","2026-05-02","Per=Y","Days=T","Dir=V")</f>
        <v>0</v>
      </c>
      <c r="I2">
        <f>BDH("MHK US Equity","BS_LT_BORROW","1993-06-18","2026-05-02","Per=Y","Days=T","Dir=V")</f>
        <v>0</v>
      </c>
      <c r="K2">
        <f>BDH("MHK US Equity","BS_CASH_NEAR_CASH_ITEM","1993-06-18","2026-05-02","Per=Y","Days=T","Dir=V")</f>
        <v>0</v>
      </c>
      <c r="M2">
        <f>BDH("MHK US Equity","BS_CUR_ASSET_REPORT","1993-06-18","2026-05-02","Per=Y","Days=T","Dir=V")</f>
        <v>0</v>
      </c>
      <c r="O2">
        <f>BDH("MHK US Equity","BS_CUR_LIAB","1993-06-18","2026-05-02","Per=Y","Days=T","Dir=V")</f>
        <v>0</v>
      </c>
      <c r="Q2">
        <f>BDH("MHK US Equity","BS_SHAREHOLDER_EQY_ENDING_PERIOD","1993-06-18","2026-05-02","Per=Y","Days=T","Dir=V")</f>
        <v>0</v>
      </c>
      <c r="S2">
        <f>BDH("MHK US Equity","BS_ACCT_NOTE_RCV","1993-06-18","2026-05-02","Per=Y","Days=T","Dir=V")</f>
        <v>0</v>
      </c>
      <c r="U2">
        <f>BDH("MHK US Equity","BS_INVENTORIES","1993-06-18","2026-05-02","Per=Y","Days=T","Dir=V")</f>
        <v>0</v>
      </c>
      <c r="W2">
        <f>BDH("MHK US Equity","WORKING_CAPITAL","1993-06-18","2026-05-02","Per=Y","Days=T","Dir=V")</f>
        <v>0</v>
      </c>
      <c r="Y2">
        <f>BDH("MHK US Equity","SALES_REV_TURN","1993-06-18","2026-05-02","Per=Y","Days=T","Dir=V")</f>
        <v>0</v>
      </c>
      <c r="AA2">
        <f>BDH("MHK US Equity","EBIT","1993-06-18","2026-05-02","Per=Y","Days=T","Dir=V")</f>
        <v>0</v>
      </c>
      <c r="AC2">
        <f>BDH("MHK US Equity","EBITDA","1993-06-18","2026-05-02","Per=Y","Days=T","Dir=V")</f>
        <v>0</v>
      </c>
      <c r="AE2">
        <f>BDH("MHK US Equity","NET_INCOME","1993-06-18","2026-05-02","Per=Y","Days=T","Dir=V")</f>
        <v>0</v>
      </c>
      <c r="AG2">
        <f>BDH("MHK US Equity","IS_INT_EXPENSE","1993-06-18","2026-05-02","Per=Y","Days=T","Dir=V")</f>
        <v>0</v>
      </c>
      <c r="AI2">
        <f>BDH("MHK US Equity","IS_DEPR_EXP","1993-06-18","2026-05-02","Per=Y","Days=T","Dir=V")</f>
        <v>0</v>
      </c>
      <c r="AK2">
        <f>BDH("MHK US Equity","CF_CASH_FROM_OPER","1993-06-18","2026-05-02","Per=Y","Days=T","Dir=V")</f>
        <v>0</v>
      </c>
      <c r="AM2">
        <f>BDH("MHK US Equity","CAPITAL_EXPEND","1993-06-18","2026-05-02","Per=Y","Days=T","Dir=V")</f>
        <v>0</v>
      </c>
      <c r="AO2">
        <f>BDH("MHK US Equity","CF_FREE_CASH_FLOW","1993-06-18","2026-05-02","Per=Y","Days=T","Dir=V")</f>
        <v>0</v>
      </c>
      <c r="AQ2">
        <f>BDH("MHK US Equity","PX_LAST","1993-06-18","2026-05-02","Per=M","Days=T","Dir=V")</f>
        <v>0</v>
      </c>
      <c r="AS2">
        <f>BDH("MHK US Equity","CUR_MKT_CAP","1993-06-18","2026-05-02","Per=M","Days=T","Dir=V")</f>
        <v>0</v>
      </c>
      <c r="AU2">
        <f>BDH("MHK US Equity","EQY_SH_OUT","1993-06-18","2026-05-02","Per=M","Days=T","Dir=V")</f>
        <v>0</v>
      </c>
      <c r="AW2">
        <f>BDH("MHK US Equity","PX_VOLUME","1993-06-18","2026-05-02","Per=M","Days=T","Dir=V")</f>
        <v>0</v>
      </c>
      <c r="AY2">
        <f>BDH("MHK US Equity","TURNOVER","1993-06-18","2026-05-02","Per=M","Days=T","Dir=V")</f>
        <v>0</v>
      </c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BDH("MHO US Equity","BS_TOT_ASSET","1993-06-18","2026-05-02","Per=Y","Days=T","Dir=V")</f>
        <v>0</v>
      </c>
      <c r="C2">
        <f>BDH("MHO US Equity","BS_TOT_LIAB2","1993-06-18","2026-05-02","Per=Y","Days=T","Dir=V")</f>
        <v>0</v>
      </c>
      <c r="E2">
        <f>BDH("MHO US Equity","SHORT_AND_LONG_TERM_DEBT","1993-06-18","2026-05-02","Per=Y","Days=T","Dir=V")</f>
        <v>0</v>
      </c>
      <c r="G2">
        <f>BDH("MHO US Equity","BS_ST_BORROW","1993-06-18","2026-05-02","Per=Y","Days=T","Dir=V")</f>
        <v>0</v>
      </c>
      <c r="I2">
        <f>BDH("MHO US Equity","BS_LT_BORROW","1993-06-18","2026-05-02","Per=Y","Days=T","Dir=V")</f>
        <v>0</v>
      </c>
      <c r="K2">
        <f>BDH("MHO US Equity","BS_CASH_NEAR_CASH_ITEM","1993-06-18","2026-05-02","Per=Y","Days=T","Dir=V")</f>
        <v>0</v>
      </c>
      <c r="M2">
        <f>BDH("MHO US Equity","BS_CUR_ASSET_REPORT","1993-06-18","2026-05-02","Per=Y","Days=T","Dir=V")</f>
        <v>0</v>
      </c>
      <c r="O2">
        <f>BDH("MHO US Equity","BS_CUR_LIAB","1993-06-18","2026-05-02","Per=Y","Days=T","Dir=V")</f>
        <v>0</v>
      </c>
      <c r="Q2">
        <f>BDH("MHO US Equity","BS_SHAREHOLDER_EQY_ENDING_PERIOD","1993-06-18","2026-05-02","Per=Y","Days=T","Dir=V")</f>
        <v>0</v>
      </c>
      <c r="S2">
        <f>BDH("MHO US Equity","BS_ACCT_NOTE_RCV","1993-06-18","2026-05-02","Per=Y","Days=T","Dir=V")</f>
        <v>0</v>
      </c>
      <c r="U2">
        <f>BDH("MHO US Equity","BS_INVENTORIES","1993-06-18","2026-05-02","Per=Y","Days=T","Dir=V")</f>
        <v>0</v>
      </c>
      <c r="W2">
        <f>BDH("MHO US Equity","WORKING_CAPITAL","1993-06-18","2026-05-02","Per=Y","Days=T","Dir=V")</f>
        <v>0</v>
      </c>
      <c r="Y2">
        <f>BDH("MHO US Equity","SALES_REV_TURN","1993-06-18","2026-05-02","Per=Y","Days=T","Dir=V")</f>
        <v>0</v>
      </c>
      <c r="AA2">
        <f>BDH("MHO US Equity","EBIT","1993-06-18","2026-05-02","Per=Y","Days=T","Dir=V")</f>
        <v>0</v>
      </c>
      <c r="AC2">
        <f>BDH("MHO US Equity","EBITDA","1993-06-18","2026-05-02","Per=Y","Days=T","Dir=V")</f>
        <v>0</v>
      </c>
      <c r="AE2">
        <f>BDH("MHO US Equity","NET_INCOME","1993-06-18","2026-05-02","Per=Y","Days=T","Dir=V")</f>
        <v>0</v>
      </c>
      <c r="AG2">
        <f>BDH("MHO US Equity","IS_INT_EXPENSE","1993-06-18","2026-05-02","Per=Y","Days=T","Dir=V")</f>
        <v>0</v>
      </c>
      <c r="AI2">
        <f>BDH("MHO US Equity","IS_DEPR_EXP","1993-06-18","2026-05-02","Per=Y","Days=T","Dir=V")</f>
        <v>0</v>
      </c>
      <c r="AK2">
        <f>BDH("MHO US Equity","CF_CASH_FROM_OPER","1993-06-18","2026-05-02","Per=Y","Days=T","Dir=V")</f>
        <v>0</v>
      </c>
      <c r="AM2">
        <f>BDH("MHO US Equity","CAPITAL_EXPEND","1993-06-18","2026-05-02","Per=Y","Days=T","Dir=V")</f>
        <v>0</v>
      </c>
      <c r="AO2">
        <f>BDH("MHO US Equity","CF_FREE_CASH_FLOW","1993-06-18","2026-05-02","Per=Y","Days=T","Dir=V")</f>
        <v>0</v>
      </c>
      <c r="AQ2">
        <f>BDH("MHO US Equity","PX_LAST","1993-06-18","2026-05-02","Per=M","Days=T","Dir=V")</f>
        <v>0</v>
      </c>
      <c r="AS2">
        <f>BDH("MHO US Equity","CUR_MKT_CAP","1993-06-18","2026-05-02","Per=M","Days=T","Dir=V")</f>
        <v>0</v>
      </c>
      <c r="AU2">
        <f>BDH("MHO US Equity","EQY_SH_OUT","1993-06-18","2026-05-02","Per=M","Days=T","Dir=V")</f>
        <v>0</v>
      </c>
      <c r="AW2">
        <f>BDH("MHO US Equity","PX_VOLUME","1993-06-18","2026-05-02","Per=M","Days=T","Dir=V")</f>
        <v>0</v>
      </c>
      <c r="AY2">
        <f>BDH("MHO US Equity","TURNOVER","1993-06-18","2026-05-02","Per=M","Days=T","Dir=V")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251</vt:i4>
      </vt:variant>
    </vt:vector>
  </HeadingPairs>
  <TitlesOfParts>
    <vt:vector size="251" baseType="lpstr">
      <vt:lpstr>Security_List</vt:lpstr>
      <vt:lpstr>NB_1481_Kelly Services Inc. Cla</vt:lpstr>
      <vt:lpstr>NB_1482_Kewaunee Scientific Cor</vt:lpstr>
      <vt:lpstr>NB_1483_Kirby Corporation Commo</vt:lpstr>
      <vt:lpstr>NB_1484_Keysight Technologies I</vt:lpstr>
      <vt:lpstr>NB_1485_Kforce Inc. Common Stoc</vt:lpstr>
      <vt:lpstr>NB_1486_Korn Ferry Common Stock</vt:lpstr>
      <vt:lpstr>NB_1487_Kolibri Global Energy I</vt:lpstr>
      <vt:lpstr>NB_1488_Kodiak Gas Services Inc</vt:lpstr>
      <vt:lpstr>NB_1489_The Kraft Heinz Company</vt:lpstr>
      <vt:lpstr>NB_1490_OrthoPediatrics Corp. C</vt:lpstr>
      <vt:lpstr>NB_1491_Nauticus Robotics Inc. </vt:lpstr>
      <vt:lpstr>NB_1492_Nauticus Robotics Inc. </vt:lpstr>
      <vt:lpstr>NB_1493_KLA Corporation Common </vt:lpstr>
      <vt:lpstr>NB_1494_KinderCare Learning Com</vt:lpstr>
      <vt:lpstr>NB_1495_Kailera Therapeutics In</vt:lpstr>
      <vt:lpstr>NB_1496_Kalaris Therapeutics In</vt:lpstr>
      <vt:lpstr>NB_1497_Kaltura Inc. Common Sto</vt:lpstr>
      <vt:lpstr>NB_1498_KLX Energy Services Hol</vt:lpstr>
      <vt:lpstr>NB_1499_Kimberly-Clark Corporat</vt:lpstr>
      <vt:lpstr>NB_1500_Kinder Morgan Inc. Comm</vt:lpstr>
      <vt:lpstr>NB_1501_Kennametal Inc. Common </vt:lpstr>
      <vt:lpstr>NB_1502_Kestra Medical Technolo</vt:lpstr>
      <vt:lpstr>NB_1503_CarMax Inc</vt:lpstr>
      <vt:lpstr>NB_1504_Knowles Corporation Com</vt:lpstr>
      <vt:lpstr>NB_1505_Knife Riv Holding Co. C</vt:lpstr>
      <vt:lpstr>NB_1506_Kiniksa Pharmaceuticals</vt:lpstr>
      <vt:lpstr>NB_1507_Kinetik Holdings Inc. C</vt:lpstr>
      <vt:lpstr>NB_1508_Knight-Swift Transporta</vt:lpstr>
      <vt:lpstr>NB_1509_Coca-Cola Company (The)</vt:lpstr>
      <vt:lpstr>NB_1510_Kodiak Sciences Inc Com</vt:lpstr>
      <vt:lpstr>NB_1511_Eastman Kodak Company C</vt:lpstr>
      <vt:lpstr>NB_1512_Koppers Holdings Inc. C</vt:lpstr>
      <vt:lpstr>NB_1513_Kopin Corporation Commo</vt:lpstr>
      <vt:lpstr>NB_1514_Koss Corporation Common</vt:lpstr>
      <vt:lpstr>NB_1515_Katapult Holdings Inc. </vt:lpstr>
      <vt:lpstr>NB_1516_Kiora Pharmaceuticals I</vt:lpstr>
      <vt:lpstr>NB_1517_Karyopharm Therapeutics</vt:lpstr>
      <vt:lpstr>NB_1518_Kroger Company (The) Co</vt:lpstr>
      <vt:lpstr>NB_1519_KORU Medical Systems In</vt:lpstr>
      <vt:lpstr>NB_1520_Karman Holdings Inc. Co</vt:lpstr>
      <vt:lpstr>NB_1521_Kronos Worldwide Inc Co</vt:lpstr>
      <vt:lpstr>NB_1522_Keros Therapeutics Inc.</vt:lpstr>
      <vt:lpstr>NB_1523_Kimbell Royalty Partner</vt:lpstr>
      <vt:lpstr>NB_1524_Korro Bio Inc. Common S</vt:lpstr>
      <vt:lpstr>NB_1525_Korsana Biosciences Inc</vt:lpstr>
      <vt:lpstr>NB_1526_Karat Packaging Inc. Co</vt:lpstr>
      <vt:lpstr>NB_1527_Kura Sushi USA Inc. Cla</vt:lpstr>
      <vt:lpstr>NB_1528_Krystal Biotech Inc. Co</vt:lpstr>
      <vt:lpstr>NB_1529_Knightscope Inc. Class </vt:lpstr>
      <vt:lpstr>NB_1530_Kohl's Corporation Comm</vt:lpstr>
      <vt:lpstr>NB_1531_Kontoor Brands Inc. Com</vt:lpstr>
      <vt:lpstr>NB_1532_Key Tronic Corporation </vt:lpstr>
      <vt:lpstr>NB_1533_Kratos Defense &amp; Securi</vt:lpstr>
      <vt:lpstr>NB_1534_Pasithea Therapeutics C</vt:lpstr>
      <vt:lpstr>NB_1535_KULR Technology Group I</vt:lpstr>
      <vt:lpstr>NB_1536_Kura Oncology Inc. Comm</vt:lpstr>
      <vt:lpstr>NB_1537_Kustom Entertainment In</vt:lpstr>
      <vt:lpstr>NB_1538_KVH Industries Inc. Com</vt:lpstr>
      <vt:lpstr>NB_1539_Kenvue Inc. Common Stoc</vt:lpstr>
      <vt:lpstr>NB_1540_Klaviyo Inc. Series A C</vt:lpstr>
      <vt:lpstr>NB_1541_Quaker Houghton Common </vt:lpstr>
      <vt:lpstr>NB_1542_Kymera Therapeutics Inc</vt:lpstr>
      <vt:lpstr>NB_1543_Kyntra Bio Inc. Common </vt:lpstr>
      <vt:lpstr>NB_1544_Kyverna Therapeutics In</vt:lpstr>
      <vt:lpstr>NB_1545_Standard BioTools Inc. </vt:lpstr>
      <vt:lpstr>NB_1546_Lakewood-Amedex Biother</vt:lpstr>
      <vt:lpstr>NB_1547_Lithia Motors Inc. Comm</vt:lpstr>
      <vt:lpstr>NB_1548_Lakeland Industries Inc</vt:lpstr>
      <vt:lpstr>NB_1549_nLIGHT Inc. Common Stoc</vt:lpstr>
      <vt:lpstr>NB_1550_CS Disco Inc. Common St</vt:lpstr>
      <vt:lpstr>NB_1551_Liberty Energy Inc. Cla</vt:lpstr>
      <vt:lpstr>NB_1552_LB Pharmaceuticals Inc </vt:lpstr>
      <vt:lpstr>NB_1553_Lucid Group Inc. Common</vt:lpstr>
      <vt:lpstr>NB_1554_LCI Industries</vt:lpstr>
      <vt:lpstr>NB_1555_Lineage Cell Therapeuti</vt:lpstr>
      <vt:lpstr>NB_1556_Lifetime Brands Inc. Co</vt:lpstr>
      <vt:lpstr>NB_1557_Leidos Holdings Inc. Co</vt:lpstr>
      <vt:lpstr>NB_1558_Lands' End Inc. Common </vt:lpstr>
      <vt:lpstr>NB_1559_Lear Corporation Common</vt:lpstr>
      <vt:lpstr>NB_1560_Lincoln Electric Holdin</vt:lpstr>
      <vt:lpstr>NB_1561_Lee Enterprises Incorpo</vt:lpstr>
      <vt:lpstr>NB_1562_Legacy Housing Corporat</vt:lpstr>
      <vt:lpstr>NB_1563_Legend Biotech Corporat</vt:lpstr>
      <vt:lpstr>NB_1564_Lennar Corporation Clas</vt:lpstr>
      <vt:lpstr>NB_1565_LENZ Therapeutics Inc. </vt:lpstr>
      <vt:lpstr>NB_1566_Leslie's Inc. Common St</vt:lpstr>
      <vt:lpstr>NB_1567_Centrus Energy Corp. Cl</vt:lpstr>
      <vt:lpstr>NB_1568_Levi Strauss &amp; Co Class</vt:lpstr>
      <vt:lpstr>NB_1569_Lifecore Biomedical Inc</vt:lpstr>
      <vt:lpstr>NB_1570_LifeMD Inc. Common Stoc</vt:lpstr>
      <vt:lpstr>NB_1571_LifeMD Inc. 8.875% Seri</vt:lpstr>
      <vt:lpstr>NB_1572_LifeStance Health Group</vt:lpstr>
      <vt:lpstr>NB_1573_Liftoff Mobile Inc. Com</vt:lpstr>
      <vt:lpstr>NB_1574_Littelfuse Inc. Common </vt:lpstr>
      <vt:lpstr>NB_1575_Lifevantage Corporation</vt:lpstr>
      <vt:lpstr>NB_1576_LGI Homes Inc. Common S</vt:lpstr>
      <vt:lpstr>NB_1577_LGL Group Inc. (The) Co</vt:lpstr>
      <vt:lpstr>NB_1578_Legence Corp. Class A C</vt:lpstr>
      <vt:lpstr>NB_1579_Ligand Pharmaceuticals </vt:lpstr>
      <vt:lpstr>NB_1580_Longeveron Inc. Class A</vt:lpstr>
      <vt:lpstr>NB_1581_Labcorp Holdings Inc. C</vt:lpstr>
      <vt:lpstr>NB_1582_L3Harris Technologies I</vt:lpstr>
      <vt:lpstr>NB_1583_AEye Inc. Class A Commo</vt:lpstr>
      <vt:lpstr>NB_1584_Life360 Inc. Common Sto</vt:lpstr>
      <vt:lpstr>NB_1585_Lennox International In</vt:lpstr>
      <vt:lpstr>NB_1586_Liberty Latin America L</vt:lpstr>
      <vt:lpstr>NB_1587_Liberty Latin America L</vt:lpstr>
      <vt:lpstr>NB_1588_Liberty Latin America L</vt:lpstr>
      <vt:lpstr>NB_1589_Neutron Holdings Inc. C</vt:lpstr>
      <vt:lpstr>NB_1590_Liminatus Pharma Inc. C</vt:lpstr>
      <vt:lpstr>NB_1591_Linde plc Ordinary Shar</vt:lpstr>
      <vt:lpstr>NB_1592_Lindblad Expeditions Ho</vt:lpstr>
      <vt:lpstr>NB_1593_Interlink Electronics I</vt:lpstr>
      <vt:lpstr>NB_1594_Lumentum Holdings Inc. </vt:lpstr>
      <vt:lpstr>NB_1595_Lite Strategy Inc. Comm</vt:lpstr>
      <vt:lpstr>NB_1596_Live Ventures Incorpora</vt:lpstr>
      <vt:lpstr>NB_1597_LKQ Corporation Common </vt:lpstr>
      <vt:lpstr>NB_1598_Eli Lilly and Company C</vt:lpstr>
      <vt:lpstr>NB_1599_Liberty Live Holdings I</vt:lpstr>
      <vt:lpstr>NB_1600_Liberty Live Holdings I</vt:lpstr>
      <vt:lpstr>NB_1601_LeMaitre Vascular Inc. </vt:lpstr>
      <vt:lpstr>NB_1602_Limbach Holdings Inc. C</vt:lpstr>
      <vt:lpstr>NB_1603_Limoneira Co Common Sto</vt:lpstr>
      <vt:lpstr>NB_1604_Lumexa Imaging Holdings</vt:lpstr>
      <vt:lpstr>NB_1605_Lockheed Martin Corpora</vt:lpstr>
      <vt:lpstr>NB_1606_Lunai Bioworks Inc. Com</vt:lpstr>
      <vt:lpstr>NB_1607_Cheniere Energy Inc. Co</vt:lpstr>
      <vt:lpstr>NB_1608_Lindsay Corporation Com</vt:lpstr>
      <vt:lpstr>NB_1609_LENSAR Inc. Common Stoc</vt:lpstr>
      <vt:lpstr>NB_1610_Alliant Energy Corporat</vt:lpstr>
      <vt:lpstr>NB_1611_Lantheus Holdings Inc. </vt:lpstr>
      <vt:lpstr>NB_1612_LanzaTech Global Inc. C</vt:lpstr>
      <vt:lpstr>NB_1613_Loar Holdings Inc. Comm</vt:lpstr>
      <vt:lpstr>NB_1614_Local Bounti Corporatio</vt:lpstr>
      <vt:lpstr>NB_1615_El Pollo Loco Holdings </vt:lpstr>
      <vt:lpstr>NB_1616_Comstock Inc. Common St</vt:lpstr>
      <vt:lpstr>NB_1617_Logitech International </vt:lpstr>
      <vt:lpstr>NB_1618_LeonaBio Inc. Common St</vt:lpstr>
      <vt:lpstr>NB_1619_The Lovesac Company Com</vt:lpstr>
      <vt:lpstr>NB_1620_Lowe's Companies Inc. C</vt:lpstr>
      <vt:lpstr>NB_1621_Lipocine Inc. Common St</vt:lpstr>
      <vt:lpstr>NB_1622_Dorian LPG Ltd. Common </vt:lpstr>
      <vt:lpstr>NB_1623_LightPath Technologies </vt:lpstr>
      <vt:lpstr>NB_1624_Louisiana-Pacific Corpo</vt:lpstr>
      <vt:lpstr>NB_1625_Liquidia Corporation Co</vt:lpstr>
      <vt:lpstr>NB_1626_Liquidity Services Inc.</vt:lpstr>
      <vt:lpstr>NB_1627_Lam Research Corporatio</vt:lpstr>
      <vt:lpstr>NB_1628_Larimar Therapeutics In</vt:lpstr>
      <vt:lpstr>NB_1629_Lattice Semiconductor C</vt:lpstr>
      <vt:lpstr>NB_1630_Lisata Therapeutics Inc</vt:lpstr>
      <vt:lpstr>NB_1631_Landstar System Inc. Co</vt:lpstr>
      <vt:lpstr>NB_1632_Lightbridge Corporation</vt:lpstr>
      <vt:lpstr>NB_1633_Latigo Biotherapeutics </vt:lpstr>
      <vt:lpstr>NB_1634_Life Time Group Holding</vt:lpstr>
      <vt:lpstr>NB_1635_Lantern Pharma Inc. Com</vt:lpstr>
      <vt:lpstr>NB_1636_Lantronix Inc. Common S</vt:lpstr>
      <vt:lpstr>NB_1637_Sports Entertainment Ga</vt:lpstr>
      <vt:lpstr>NB_1638_Lucid Diagnostics Inc. </vt:lpstr>
      <vt:lpstr>NB_1639_Lucky Strike Entertainm</vt:lpstr>
      <vt:lpstr>NB_1640_Innovative Eyewear Inc.</vt:lpstr>
      <vt:lpstr>NB_1641_Innovative Eyewear Inc.</vt:lpstr>
      <vt:lpstr>NB_1642_Lumen Technologies Inc.</vt:lpstr>
      <vt:lpstr>NB_1643_Pulmonx Corporation Com</vt:lpstr>
      <vt:lpstr>NB_1644_Intuitive Machines Inc.</vt:lpstr>
      <vt:lpstr>NB_1645_Southwest Airlines Comp</vt:lpstr>
      <vt:lpstr>NB_1646_Lulu's Fashion Lounge H</vt:lpstr>
      <vt:lpstr>NB_1647_LiveOne Inc. Common Sto</vt:lpstr>
      <vt:lpstr>NB_1648_Las Vegas Sands Corp. C</vt:lpstr>
      <vt:lpstr>NB_1649_LiveWire Group Inc. Com</vt:lpstr>
      <vt:lpstr>NB_1650_Lamb Weston Holdings In</vt:lpstr>
      <vt:lpstr>NB_1651_Lifeway Foods Inc. Comm</vt:lpstr>
      <vt:lpstr>NB_1652_Lightwave Logic Inc. Co</vt:lpstr>
      <vt:lpstr>NB_1653_Lexeo Therapeutics Inc.</vt:lpstr>
      <vt:lpstr>NB_1654_Lexicon Pharmaceuticals</vt:lpstr>
      <vt:lpstr>NB_1655_LSB Industries Inc. Com</vt:lpstr>
      <vt:lpstr>NB_1656_Lyell Immunopharma Inc.</vt:lpstr>
      <vt:lpstr>NB_1657_Lyft Inc. Class A Commo</vt:lpstr>
      <vt:lpstr>NB_1658_LSI Industries Inc. Com</vt:lpstr>
      <vt:lpstr>NB_1659_Live Nation Entertainme</vt:lpstr>
      <vt:lpstr>NB_1660_LegalZoom.com Inc. Comm</vt:lpstr>
      <vt:lpstr>NB_1661_La-Z-Boy Incorporated C</vt:lpstr>
      <vt:lpstr>NB_1662_Macy's Inc Common Stock</vt:lpstr>
      <vt:lpstr>NB_1663_Mastercard Incorporated</vt:lpstr>
      <vt:lpstr>NB_1664_Magnera Corporation Com</vt:lpstr>
      <vt:lpstr>NB_1665_Mama's Creations Inc. C</vt:lpstr>
      <vt:lpstr>NB_1666_Massimo Group Common St</vt:lpstr>
      <vt:lpstr>NB_1667_ManpowerGroup Common St</vt:lpstr>
      <vt:lpstr>NB_1668_Manhattan Associates In</vt:lpstr>
      <vt:lpstr>NB_1669_Marriott International </vt:lpstr>
      <vt:lpstr>NB_1670_Marine Petroleum Trust </vt:lpstr>
      <vt:lpstr>NB_1671_Masco Corporation Commo</vt:lpstr>
      <vt:lpstr>NB_1672_908 Devices Inc. Common</vt:lpstr>
      <vt:lpstr>NB_1673_Mattel Inc. Common Stoc</vt:lpstr>
      <vt:lpstr>NB_1674_Mativ Holdings Inc. Com</vt:lpstr>
      <vt:lpstr>NB_1675_Matthews International </vt:lpstr>
      <vt:lpstr>NB_1676_Matson Inc. Common Stoc</vt:lpstr>
      <vt:lpstr>NB_1677_MediaAlpha Inc. Class A</vt:lpstr>
      <vt:lpstr>NB_1678_Maze Therapeutics Inc. </vt:lpstr>
      <vt:lpstr>NB_1679_MasterBrand Inc. Common</vt:lpstr>
      <vt:lpstr>NB_1680_Mobility Global Inc. Co</vt:lpstr>
      <vt:lpstr>NB_1681_Mustang Bio Inc. Common</vt:lpstr>
      <vt:lpstr>NB_1682_Moleculin Biotech Inc. </vt:lpstr>
      <vt:lpstr>NB_1683_Malibu Boats Inc. Class</vt:lpstr>
      <vt:lpstr>NB_1684_MBX Biosciences Inc. Co</vt:lpstr>
      <vt:lpstr>NB_1685_McDonald's Corporation </vt:lpstr>
      <vt:lpstr>NB_1686_MasterCraft Boat Holdin</vt:lpstr>
      <vt:lpstr>NB_1687_Yorkville Acquisition C</vt:lpstr>
      <vt:lpstr>NB_1688_Microchip Technology In</vt:lpstr>
      <vt:lpstr>NB_1689_Microchip Technology In</vt:lpstr>
      <vt:lpstr>NB_1690_Marchex Inc. Class B Co</vt:lpstr>
      <vt:lpstr>NB_1691_McKesson Corporation Co</vt:lpstr>
      <vt:lpstr>NB_1692_Seres Therapeutics Inc.</vt:lpstr>
      <vt:lpstr>NB_1693_Monarch Casino &amp; Resort</vt:lpstr>
      <vt:lpstr>NB_1694_Marcus Corporation (The</vt:lpstr>
      <vt:lpstr>NB_1695_Pediatrix Medical Group</vt:lpstr>
      <vt:lpstr>NB_1696_Spectral AI Inc. Class </vt:lpstr>
      <vt:lpstr>NB_1697_Spectral AI Inc. Warran</vt:lpstr>
      <vt:lpstr>NB_1698_MongoDB Inc. Class A Co</vt:lpstr>
      <vt:lpstr>NB_1699_Madrigal Pharmaceutical</vt:lpstr>
      <vt:lpstr>NB_1700_Mediaco Holding Inc. Cl</vt:lpstr>
      <vt:lpstr>NB_1701_Medline Inc. Class A Co</vt:lpstr>
      <vt:lpstr>NB_1702_Mondelez International </vt:lpstr>
      <vt:lpstr>NB_1703_Medtronic plc. Ordinary</vt:lpstr>
      <vt:lpstr>NB_1704_MDU Resources Group Inc</vt:lpstr>
      <vt:lpstr>NB_1705_MiMedx Group Inc Common</vt:lpstr>
      <vt:lpstr>NB_1706_Mayville Engineering Co</vt:lpstr>
      <vt:lpstr>NB_1707_MEDIFAST INC Common Sto</vt:lpstr>
      <vt:lpstr>NB_1708_Medpace Holdings Inc. C</vt:lpstr>
      <vt:lpstr>NB_1709_DataMeds AI Inc. Common</vt:lpstr>
      <vt:lpstr>NB_1710_Methode Electronics Inc</vt:lpstr>
      <vt:lpstr>NB_1711_Meta Platforms Inc. Cla</vt:lpstr>
      <vt:lpstr>NB_1712_Ramaco Resources Inc. C</vt:lpstr>
      <vt:lpstr>NB_1713_Ramaco Resources Inc. C</vt:lpstr>
      <vt:lpstr>NB_1714_Ramaco Resources Inc. 8</vt:lpstr>
      <vt:lpstr>NB_1715_Ramaco Resources Inc. 8</vt:lpstr>
      <vt:lpstr>NB_1716_Midera Food Processing </vt:lpstr>
      <vt:lpstr>NB_1717_Mistras Group Inc Commo</vt:lpstr>
      <vt:lpstr>NB_1718_MGE Energy Inc</vt:lpstr>
      <vt:lpstr>NB_1719_MGM Resorts Internation</vt:lpstr>
      <vt:lpstr>NB_1720_Magnite Inc. Common Sto</vt:lpstr>
      <vt:lpstr>NB_1721_MacroGenics Inc. Common</vt:lpstr>
      <vt:lpstr>NB_1722_MGP Ingredients Inc.</vt:lpstr>
      <vt:lpstr>NB_1723_McGrath RentCorp Common</vt:lpstr>
      <vt:lpstr>NB_1724_Mangoceuticals Inc. Com</vt:lpstr>
      <vt:lpstr>NB_1725_MeiraGTx Holdings plc O</vt:lpstr>
      <vt:lpstr>NB_1726_Metagenomi Therapeutics</vt:lpstr>
      <vt:lpstr>NB_1727_Magnolia Oil &amp; Gas Corp</vt:lpstr>
      <vt:lpstr>NB_1728_Mastech Digital Inc Com</vt:lpstr>
      <vt:lpstr>NB_1729_Mohawk Industries Inc. </vt:lpstr>
      <vt:lpstr>NB_1730_MI Homes Inc. Common 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2026-10-04T16:23:32Z</dcterms:created>
  <dcterms:modified xsi:type="dcterms:W3CDTF">2026-10-04T16:23:32Z</dcterms:modified>
</cp:coreProperties>
</file>