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386_Bloom Energy Corporation" sheetId="2" r:id="rId2"/>
    <sheet name="NB_3098_Valero Energy Corporati" sheetId="3" r:id="rId3"/>
    <sheet name="NB_889_Delek Logistics Partners" sheetId="4" r:id="rId4"/>
    <sheet name="NB_90_Abundia Global Impact Gro" sheetId="5" r:id="rId5"/>
    <sheet name="NB_899_Dorchester Minerals L.P." sheetId="6" r:id="rId6"/>
    <sheet name="NB_1016_EOG Resources Inc. Comm" sheetId="7" r:id="rId7"/>
    <sheet name="NB_1253_Greenland Energy Compan" sheetId="8" r:id="rId8"/>
    <sheet name="NB_1254_Greenland Energy Compan" sheetId="9" r:id="rId9"/>
    <sheet name="NB_219_ARKO Petroleum Corp. Cla" sheetId="10" r:id="rId10"/>
    <sheet name="NB_2974_Mammoth Energy Services" sheetId="11" r:id="rId11"/>
    <sheet name="NB_305_aTyr Pharma Inc. Common " sheetId="12" r:id="rId12"/>
    <sheet name="NB_410_Biogen Inc. Common Stock" sheetId="13" r:id="rId13"/>
    <sheet name="NB_968_Editas Medicine Inc. Com" sheetId="14" r:id="rId14"/>
    <sheet name="NB_1466_Inhibikase Therapeutics" sheetId="15" r:id="rId15"/>
    <sheet name="NB_1494_INmune Bio Inc. Common " sheetId="16" r:id="rId16"/>
    <sheet name="NB_2479_Repligen Corporation Co" sheetId="17" r:id="rId17"/>
    <sheet name="NB_2555_Revolution Medicines In" sheetId="18" r:id="rId18"/>
    <sheet name="NB_2606_Scilex Holding Company " sheetId="19" r:id="rId19"/>
    <sheet name="NB_2986_Twist Bioscience Corpor" sheetId="20" r:id="rId20"/>
    <sheet name="NB_2135_OmniAb Inc. Common Stoc" sheetId="21" r:id="rId21"/>
    <sheet name="NB_2126_Nexalin Technology Inc." sheetId="22" r:id="rId22"/>
    <sheet name="NB_2015_Neogen Corporation Comm" sheetId="23" r:id="rId23"/>
    <sheet name="NB_7_Aardvark Therapeutics Inc." sheetId="24" r:id="rId24"/>
    <sheet name="NB_43_Actuate Therapeutics Inc." sheetId="25" r:id="rId25"/>
    <sheet name="NB_132_Aktis Oncology Inc. Comm" sheetId="26" r:id="rId26"/>
    <sheet name="NB_226_Apollomics Inc. Class A " sheetId="27" r:id="rId27"/>
    <sheet name="NB_267_Arrowhead Pharmaceutical" sheetId="28" r:id="rId28"/>
    <sheet name="NB_374_Bicara Therapeutics Inc." sheetId="29" r:id="rId29"/>
    <sheet name="NB_461_Boundless Bio Inc. Commo" sheetId="30" r:id="rId30"/>
    <sheet name="NB_462_Bolt Biotherapeutics Inc" sheetId="31" r:id="rId31"/>
    <sheet name="NB_538_Capricor Therapeutics In" sheetId="32" r:id="rId32"/>
    <sheet name="NB_635_Cingulate Inc. Common St" sheetId="33" r:id="rId33"/>
    <sheet name="NB_687_Context Therapeutics Inc" sheetId="34" r:id="rId34"/>
    <sheet name="NB_774_CytomX Therapeutics Inc." sheetId="35" r:id="rId35"/>
    <sheet name="NB_1259_Greenwich LifeSciences " sheetId="36" r:id="rId36"/>
    <sheet name="NB_1286_Gossamer Bio Inc. Commo" sheetId="37" r:id="rId37"/>
    <sheet name="NB_1290_Structure Therapeutics " sheetId="38" r:id="rId38"/>
    <sheet name="NB_1398_Harmony Biosciences Hol" sheetId="39" r:id="rId39"/>
    <sheet name="NB_1474_Immunome Inc. Common St" sheetId="40" r:id="rId40"/>
    <sheet name="NB_1537_Opus Genetics Inc. Comm" sheetId="41" r:id="rId41"/>
    <sheet name="NB_1649_Keros Therapeutics Inc." sheetId="42" r:id="rId42"/>
    <sheet name="NB_1795_Lexicon Pharmaceuticals" sheetId="43" r:id="rId43"/>
    <sheet name="NB_1900_MoonLake Immunotherapeu" sheetId="44" r:id="rId44"/>
    <sheet name="NB_2106_Nuvectis Pharma Inc. Co" sheetId="45" r:id="rId45"/>
    <sheet name="NB_2247_Prestige Consumer Healt" sheetId="46" r:id="rId46"/>
    <sheet name="NB_2367_Prothena Corporation pl" sheetId="47" r:id="rId47"/>
    <sheet name="NB_2382_Protagonist Therapeutic" sheetId="48" r:id="rId48"/>
    <sheet name="NB_2471_Revelation Biosciences " sheetId="49" r:id="rId49"/>
    <sheet name="NB_2519_Rein Therapeutics Inc. " sheetId="50" r:id="rId50"/>
    <sheet name="NB_2608_Scienture Holdings Inc." sheetId="51" r:id="rId51"/>
  </sheets>
  <calcPr calcId="124519" fullCalcOnLoad="1"/>
</workbook>
</file>

<file path=xl/sharedStrings.xml><?xml version="1.0" encoding="utf-8"?>
<sst xmlns="http://schemas.openxmlformats.org/spreadsheetml/2006/main" count="3361" uniqueCount="284">
  <si>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</si>
  <si>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</si>
  <si>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</si>
  <si>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</si>
  <si>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</si>
  <si>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</si>
  <si>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</si>
  <si>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</si>
  <si>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</si>
  <si>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</si>
  <si>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</si>
  <si>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NB_386</t>
  </si>
  <si>
    <t>nonbankrupt</t>
  </si>
  <si>
    <t/>
  </si>
  <si>
    <t>BE</t>
  </si>
  <si>
    <t>Bloom Energy Corporation Class A Common Stock</t>
  </si>
  <si>
    <t>Energy</t>
  </si>
  <si>
    <t>Industrial Machinery/Components</t>
  </si>
  <si>
    <t>BE US Equity</t>
  </si>
  <si>
    <t>2021-06-30</t>
  </si>
  <si>
    <t>2016-06-30</t>
  </si>
  <si>
    <t>NB_3098</t>
  </si>
  <si>
    <t>VLO</t>
  </si>
  <si>
    <t>Valero Energy Corporation Common Stock</t>
  </si>
  <si>
    <t>Integrated oil Companies</t>
  </si>
  <si>
    <t>VLO US Equity</t>
  </si>
  <si>
    <t>NB_889</t>
  </si>
  <si>
    <t>DKL</t>
  </si>
  <si>
    <t>Delek Logistics Partners L.P. Common Units representing Limited Partner Interests</t>
  </si>
  <si>
    <t>Natural Gas Distribution</t>
  </si>
  <si>
    <t>DKL US Equity</t>
  </si>
  <si>
    <t>NB_90</t>
  </si>
  <si>
    <t>AGIG</t>
  </si>
  <si>
    <t>Abundia Global Impact Group Inc. Common stock</t>
  </si>
  <si>
    <t>Oil &amp; Gas Production</t>
  </si>
  <si>
    <t>AGIG US Equity</t>
  </si>
  <si>
    <t>NB_899</t>
  </si>
  <si>
    <t>DMLP</t>
  </si>
  <si>
    <t>Dorchester Minerals L.P. Common Units Representing Limited Partnership Interests</t>
  </si>
  <si>
    <t>DMLP US Equity</t>
  </si>
  <si>
    <t>NB_1016</t>
  </si>
  <si>
    <t>EOG</t>
  </si>
  <si>
    <t>EOG Resources Inc. Common Stock</t>
  </si>
  <si>
    <t>EOG US Equity</t>
  </si>
  <si>
    <t>NB_1253</t>
  </si>
  <si>
    <t>GLND</t>
  </si>
  <si>
    <t>Greenland Energy Company Common Stock</t>
  </si>
  <si>
    <t>GLND US Equity</t>
  </si>
  <si>
    <t>NB_1254</t>
  </si>
  <si>
    <t>GLNDW</t>
  </si>
  <si>
    <t>Greenland Energy Company Warrant</t>
  </si>
  <si>
    <t>GLNDW US Equity</t>
  </si>
  <si>
    <t>NB_219</t>
  </si>
  <si>
    <t>APC</t>
  </si>
  <si>
    <t>ARKO Petroleum Corp. Class A Common Stock</t>
  </si>
  <si>
    <t>Oil Refining/Marketing</t>
  </si>
  <si>
    <t>APC US Equity</t>
  </si>
  <si>
    <t>NB_2974</t>
  </si>
  <si>
    <t>TUSK</t>
  </si>
  <si>
    <t>Mammoth Energy Services Inc. Common Stock</t>
  </si>
  <si>
    <t>Oilfield Services/Equipment</t>
  </si>
  <si>
    <t>TUSK US Equity</t>
  </si>
  <si>
    <t>NB_305</t>
  </si>
  <si>
    <t>ATYR</t>
  </si>
  <si>
    <t>aTyr Pharma Inc. Common Stock</t>
  </si>
  <si>
    <t>Health Care</t>
  </si>
  <si>
    <t>Biotechnology: Biological Products (No Diagnostic Substances)</t>
  </si>
  <si>
    <t>ATYR US Equity</t>
  </si>
  <si>
    <t>NB_410</t>
  </si>
  <si>
    <t>BIIB</t>
  </si>
  <si>
    <t>Biogen Inc. Common Stock</t>
  </si>
  <si>
    <t>BIIB US Equity</t>
  </si>
  <si>
    <t>NB_968</t>
  </si>
  <si>
    <t>EDIT</t>
  </si>
  <si>
    <t>Editas Medicine Inc. Common Stock</t>
  </si>
  <si>
    <t>EDIT US Equity</t>
  </si>
  <si>
    <t>NB_1466</t>
  </si>
  <si>
    <t>IKT</t>
  </si>
  <si>
    <t>Inhibikase Therapeutics Inc. Common Stock</t>
  </si>
  <si>
    <t>IKT US Equity</t>
  </si>
  <si>
    <t>NB_1494</t>
  </si>
  <si>
    <t>INMB</t>
  </si>
  <si>
    <t>INmune Bio Inc. Common stock</t>
  </si>
  <si>
    <t>INMB US Equity</t>
  </si>
  <si>
    <t>NB_2479</t>
  </si>
  <si>
    <t>RGEN</t>
  </si>
  <si>
    <t>Repligen Corporation Common Stock</t>
  </si>
  <si>
    <t>RGEN US Equity</t>
  </si>
  <si>
    <t>NB_2555</t>
  </si>
  <si>
    <t>RVMDW</t>
  </si>
  <si>
    <t>Revolution Medicines Inc. Warrant</t>
  </si>
  <si>
    <t>RVMDW US Equity</t>
  </si>
  <si>
    <t>NB_2606</t>
  </si>
  <si>
    <t>SCLX</t>
  </si>
  <si>
    <t>Scilex Holding Company Common Stock</t>
  </si>
  <si>
    <t>SCLX US Equity</t>
  </si>
  <si>
    <t>NB_2986</t>
  </si>
  <si>
    <t>TWST</t>
  </si>
  <si>
    <t>Twist Bioscience Corporation Common Stock</t>
  </si>
  <si>
    <t>TWST US Equity</t>
  </si>
  <si>
    <t>NB_2135</t>
  </si>
  <si>
    <t>OABI</t>
  </si>
  <si>
    <t>OmniAb Inc. Common Stock</t>
  </si>
  <si>
    <t>Biotechnology: Commercial Physical &amp; Biological Resarch</t>
  </si>
  <si>
    <t>OABI US Equity</t>
  </si>
  <si>
    <t>NB_2126</t>
  </si>
  <si>
    <t>NXL</t>
  </si>
  <si>
    <t>Nexalin Technology Inc. Common Stock</t>
  </si>
  <si>
    <t>Biotechnology: Electromedical &amp; Electrotherapeutic Apparatus</t>
  </si>
  <si>
    <t>NXL US Equity</t>
  </si>
  <si>
    <t>NB_2015</t>
  </si>
  <si>
    <t>NEOG</t>
  </si>
  <si>
    <t>Neogen Corporation Common Stock</t>
  </si>
  <si>
    <t>Biotechnology: In Vitro &amp; In Vivo Diagnostic Substances</t>
  </si>
  <si>
    <t>NEOG US Equity</t>
  </si>
  <si>
    <t>NB_7</t>
  </si>
  <si>
    <t>AARD</t>
  </si>
  <si>
    <t>Aardvark Therapeutics Inc. Common Stock</t>
  </si>
  <si>
    <t>Biotechnology: Pharmaceutical Preparations</t>
  </si>
  <si>
    <t>AARD US Equity</t>
  </si>
  <si>
    <t>NB_43</t>
  </si>
  <si>
    <t>ACTU</t>
  </si>
  <si>
    <t>Actuate Therapeutics Inc. Common stock</t>
  </si>
  <si>
    <t>ACTU US Equity</t>
  </si>
  <si>
    <t>NB_132</t>
  </si>
  <si>
    <t>AKTS</t>
  </si>
  <si>
    <t>Aktis Oncology Inc. Common stock</t>
  </si>
  <si>
    <t>AKTS US Equity</t>
  </si>
  <si>
    <t>NB_226</t>
  </si>
  <si>
    <t>APLM</t>
  </si>
  <si>
    <t>Apollomics Inc. Class A Ordinary Shares</t>
  </si>
  <si>
    <t>APLM US Equity</t>
  </si>
  <si>
    <t>NB_267</t>
  </si>
  <si>
    <t>ARWR</t>
  </si>
  <si>
    <t>Arrowhead Pharmaceuticals Inc. Common Stock</t>
  </si>
  <si>
    <t>ARWR US Equity</t>
  </si>
  <si>
    <t>NB_374</t>
  </si>
  <si>
    <t>BCAX</t>
  </si>
  <si>
    <t>Bicara Therapeutics Inc. Common Stock</t>
  </si>
  <si>
    <t>BCAX US Equity</t>
  </si>
  <si>
    <t>NB_461</t>
  </si>
  <si>
    <t>BOLD</t>
  </si>
  <si>
    <t>Boundless Bio Inc. Common Stock</t>
  </si>
  <si>
    <t>BOLD US Equity</t>
  </si>
  <si>
    <t>NB_462</t>
  </si>
  <si>
    <t>BOLT</t>
  </si>
  <si>
    <t>Bolt Biotherapeutics Inc. Common Stock</t>
  </si>
  <si>
    <t>BOLT US Equity</t>
  </si>
  <si>
    <t>NB_538</t>
  </si>
  <si>
    <t>CAPR</t>
  </si>
  <si>
    <t>Capricor Therapeutics Inc. Common Stock</t>
  </si>
  <si>
    <t>CAPR US Equity</t>
  </si>
  <si>
    <t>NB_635</t>
  </si>
  <si>
    <t>CING</t>
  </si>
  <si>
    <t>Cingulate Inc. Common Stock</t>
  </si>
  <si>
    <t>CING US Equity</t>
  </si>
  <si>
    <t>NB_687</t>
  </si>
  <si>
    <t>CNTX</t>
  </si>
  <si>
    <t>Context Therapeutics Inc. Common Stock</t>
  </si>
  <si>
    <t>CNTX US Equity</t>
  </si>
  <si>
    <t>NB_774</t>
  </si>
  <si>
    <t>CTMX</t>
  </si>
  <si>
    <t>CytomX Therapeutics Inc. Common Stock</t>
  </si>
  <si>
    <t>CTMX US Equity</t>
  </si>
  <si>
    <t>NB_1259</t>
  </si>
  <si>
    <t>GLSI</t>
  </si>
  <si>
    <t>Greenwich LifeSciences Inc. Common Stock</t>
  </si>
  <si>
    <t>GLSI US Equity</t>
  </si>
  <si>
    <t>NB_1286</t>
  </si>
  <si>
    <t>GOSS</t>
  </si>
  <si>
    <t>Gossamer Bio Inc. Common Stock</t>
  </si>
  <si>
    <t>GOSS US Equity</t>
  </si>
  <si>
    <t>NB_1290</t>
  </si>
  <si>
    <t>GPCR</t>
  </si>
  <si>
    <t>Structure Therapeutics Inc. American Depositary Shares</t>
  </si>
  <si>
    <t>GPCR US Equity</t>
  </si>
  <si>
    <t>NB_1398</t>
  </si>
  <si>
    <t>HRMY</t>
  </si>
  <si>
    <t>Harmony Biosciences Holdings Inc. Common Stock</t>
  </si>
  <si>
    <t>HRMY US Equity</t>
  </si>
  <si>
    <t>NB_1474</t>
  </si>
  <si>
    <t>IMNM</t>
  </si>
  <si>
    <t>Immunome Inc. Common Stock</t>
  </si>
  <si>
    <t>IMNM US Equity</t>
  </si>
  <si>
    <t>NB_1537</t>
  </si>
  <si>
    <t>IRD</t>
  </si>
  <si>
    <t>Opus Genetics Inc. Common Stock</t>
  </si>
  <si>
    <t>IRD US Equity</t>
  </si>
  <si>
    <t>NB_1649</t>
  </si>
  <si>
    <t>KROS</t>
  </si>
  <si>
    <t>Keros Therapeutics Inc. Common Stock</t>
  </si>
  <si>
    <t>KROS US Equity</t>
  </si>
  <si>
    <t>NB_1795</t>
  </si>
  <si>
    <t>LXRX</t>
  </si>
  <si>
    <t>Lexicon Pharmaceuticals Inc. Common Stock</t>
  </si>
  <si>
    <t>LXRX US Equity</t>
  </si>
  <si>
    <t>NB_1900</t>
  </si>
  <si>
    <t>MLTX</t>
  </si>
  <si>
    <t>MoonLake Immunotherapeutics Class A Ordinary Shares</t>
  </si>
  <si>
    <t>MLTX US Equity</t>
  </si>
  <si>
    <t>NB_2106</t>
  </si>
  <si>
    <t>NVCT</t>
  </si>
  <si>
    <t>Nuvectis Pharma Inc. Common Stock</t>
  </si>
  <si>
    <t>NVCT US Equity</t>
  </si>
  <si>
    <t>NB_2247</t>
  </si>
  <si>
    <t>PBH</t>
  </si>
  <si>
    <t>Prestige Consumer Healthcare Inc. Common Stock</t>
  </si>
  <si>
    <t>PBH US Equity</t>
  </si>
  <si>
    <t>NB_2367</t>
  </si>
  <si>
    <t>PRTA</t>
  </si>
  <si>
    <t>Prothena Corporation plc Ordinary Shares</t>
  </si>
  <si>
    <t>PRTA US Equity</t>
  </si>
  <si>
    <t>NB_2382</t>
  </si>
  <si>
    <t>PTGX</t>
  </si>
  <si>
    <t>Protagonist Therapeutics Inc. Common Stock</t>
  </si>
  <si>
    <t>PTGX US Equity</t>
  </si>
  <si>
    <t>NB_2471</t>
  </si>
  <si>
    <t>REVBW</t>
  </si>
  <si>
    <t>Revelation Biosciences Inc. Warrant</t>
  </si>
  <si>
    <t>REVBW US Equity</t>
  </si>
  <si>
    <t>NB_2519</t>
  </si>
  <si>
    <t>RNTX</t>
  </si>
  <si>
    <t>Rein Therapeutics Inc. Common Stock</t>
  </si>
  <si>
    <t>RNTX US Equity</t>
  </si>
  <si>
    <t>NB_2608</t>
  </si>
  <si>
    <t>SCNX</t>
  </si>
  <si>
    <t>Scienture Holdings Inc. Common Stock</t>
  </si>
  <si>
    <t>SCNX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</si>
  <si>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</si>
  <si>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</si>
  <si>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</si>
  <si>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</si>
  <si>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</si>
  <si>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</si>
  <si>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</si>
  <si>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</si>
  <si>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</si>
  <si>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</si>
  <si>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</si>
  <si>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</si>
  <si>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</si>
  <si>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</si>
  <si>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</si>
  <si>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</si>
  <si>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</si>
  <si>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</si>
  <si>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</si>
  <si>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</si>
  <si>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</si>
  <si>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</si>
  <si>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</si>
  <si>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</si>
  <si>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</si>
  <si>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</si>
  <si>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</si>
  <si>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</si>
  <si>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</si>
  <si>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</si>
  <si>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</si>
  <si>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</si>
  <si>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</si>
  <si>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</si>
  <si>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</si>
  <si>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</si>
  <si>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</si>
  <si>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</si>
  <si>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</si>
  <si>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</si>
  <si>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</si>
  <si>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</si>
  <si>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</si>
  <si>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</si>
  <si>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</si>
  <si>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</si>
  <si>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</si>
  <si>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</si>
  <si>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beta_Date</t>
  </si>
  <si>
    <t>beta_Value</t>
  </si>
  <si>
    <t>volume_Date</t>
  </si>
  <si>
    <t>volume_Value</t>
  </si>
  <si>
    <t>turnover_Date</t>
  </si>
  <si>
    <t>turnover_Value</t>
  </si>
  <si>
    <t>bid_ask_spread_Date</t>
  </si>
  <si>
    <t>bid_ask_spread_Value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</si>
</sst>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1" width="18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</row>
    <row r="3" spans="1:11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24</v>
      </c>
      <c r="H3" t="s">
        <v>25</v>
      </c>
      <c r="I3" t="s">
        <v>19</v>
      </c>
      <c r="J3" t="s">
        <v>20</v>
      </c>
      <c r="K3" t="s">
        <v>19</v>
      </c>
    </row>
    <row r="4" spans="1:11">
      <c r="A4" t="s">
        <v>26</v>
      </c>
      <c r="B4" t="s">
        <v>12</v>
      </c>
      <c r="C4" t="s">
        <v>13</v>
      </c>
      <c r="D4" t="s">
        <v>27</v>
      </c>
      <c r="E4" t="s">
        <v>28</v>
      </c>
      <c r="F4" t="s">
        <v>16</v>
      </c>
      <c r="G4" t="s">
        <v>29</v>
      </c>
      <c r="H4" t="s">
        <v>30</v>
      </c>
      <c r="I4" t="s">
        <v>19</v>
      </c>
      <c r="J4" t="s">
        <v>20</v>
      </c>
      <c r="K4" t="s">
        <v>19</v>
      </c>
    </row>
    <row r="5" spans="1:11">
      <c r="A5" t="s">
        <v>31</v>
      </c>
      <c r="B5" t="s">
        <v>12</v>
      </c>
      <c r="C5" t="s">
        <v>13</v>
      </c>
      <c r="D5" t="s">
        <v>32</v>
      </c>
      <c r="E5" t="s">
        <v>33</v>
      </c>
      <c r="F5" t="s">
        <v>16</v>
      </c>
      <c r="G5" t="s">
        <v>34</v>
      </c>
      <c r="H5" t="s">
        <v>35</v>
      </c>
      <c r="I5" t="s">
        <v>19</v>
      </c>
      <c r="J5" t="s">
        <v>20</v>
      </c>
      <c r="K5" t="s">
        <v>19</v>
      </c>
    </row>
    <row r="6" spans="1:11">
      <c r="A6" t="s">
        <v>36</v>
      </c>
      <c r="B6" t="s">
        <v>12</v>
      </c>
      <c r="C6" t="s">
        <v>13</v>
      </c>
      <c r="D6" t="s">
        <v>37</v>
      </c>
      <c r="E6" t="s">
        <v>38</v>
      </c>
      <c r="F6" t="s">
        <v>16</v>
      </c>
      <c r="G6" t="s">
        <v>34</v>
      </c>
      <c r="H6" t="s">
        <v>39</v>
      </c>
      <c r="I6" t="s">
        <v>19</v>
      </c>
      <c r="J6" t="s">
        <v>20</v>
      </c>
      <c r="K6" t="s">
        <v>19</v>
      </c>
    </row>
    <row r="7" spans="1:11">
      <c r="A7" t="s">
        <v>40</v>
      </c>
      <c r="B7" t="s">
        <v>12</v>
      </c>
      <c r="C7" t="s">
        <v>13</v>
      </c>
      <c r="D7" t="s">
        <v>41</v>
      </c>
      <c r="E7" t="s">
        <v>42</v>
      </c>
      <c r="F7" t="s">
        <v>16</v>
      </c>
      <c r="G7" t="s">
        <v>34</v>
      </c>
      <c r="H7" t="s">
        <v>43</v>
      </c>
      <c r="I7" t="s">
        <v>19</v>
      </c>
      <c r="J7" t="s">
        <v>20</v>
      </c>
      <c r="K7" t="s">
        <v>19</v>
      </c>
    </row>
    <row r="8" spans="1:11">
      <c r="A8" t="s">
        <v>44</v>
      </c>
      <c r="B8" t="s">
        <v>12</v>
      </c>
      <c r="C8" t="s">
        <v>13</v>
      </c>
      <c r="D8" t="s">
        <v>45</v>
      </c>
      <c r="E8" t="s">
        <v>46</v>
      </c>
      <c r="F8" t="s">
        <v>16</v>
      </c>
      <c r="G8" t="s">
        <v>34</v>
      </c>
      <c r="H8" t="s">
        <v>47</v>
      </c>
      <c r="I8" t="s">
        <v>19</v>
      </c>
      <c r="J8" t="s">
        <v>20</v>
      </c>
      <c r="K8" t="s">
        <v>19</v>
      </c>
    </row>
    <row r="9" spans="1:11">
      <c r="A9" t="s">
        <v>48</v>
      </c>
      <c r="B9" t="s">
        <v>12</v>
      </c>
      <c r="C9" t="s">
        <v>13</v>
      </c>
      <c r="D9" t="s">
        <v>49</v>
      </c>
      <c r="E9" t="s">
        <v>50</v>
      </c>
      <c r="F9" t="s">
        <v>16</v>
      </c>
      <c r="G9" t="s">
        <v>34</v>
      </c>
      <c r="H9" t="s">
        <v>51</v>
      </c>
      <c r="I9" t="s">
        <v>19</v>
      </c>
      <c r="J9" t="s">
        <v>20</v>
      </c>
      <c r="K9" t="s">
        <v>19</v>
      </c>
    </row>
    <row r="10" spans="1:11">
      <c r="A10" t="s">
        <v>52</v>
      </c>
      <c r="B10" t="s">
        <v>12</v>
      </c>
      <c r="C10" t="s">
        <v>13</v>
      </c>
      <c r="D10" t="s">
        <v>53</v>
      </c>
      <c r="E10" t="s">
        <v>54</v>
      </c>
      <c r="F10" t="s">
        <v>16</v>
      </c>
      <c r="G10" t="s">
        <v>55</v>
      </c>
      <c r="H10" t="s">
        <v>56</v>
      </c>
      <c r="I10" t="s">
        <v>19</v>
      </c>
      <c r="J10" t="s">
        <v>20</v>
      </c>
      <c r="K10" t="s">
        <v>19</v>
      </c>
    </row>
    <row r="11" spans="1:11">
      <c r="A11" t="s">
        <v>57</v>
      </c>
      <c r="B11" t="s">
        <v>12</v>
      </c>
      <c r="C11" t="s">
        <v>13</v>
      </c>
      <c r="D11" t="s">
        <v>58</v>
      </c>
      <c r="E11" t="s">
        <v>59</v>
      </c>
      <c r="F11" t="s">
        <v>16</v>
      </c>
      <c r="G11" t="s">
        <v>60</v>
      </c>
      <c r="H11" t="s">
        <v>61</v>
      </c>
      <c r="I11" t="s">
        <v>19</v>
      </c>
      <c r="J11" t="s">
        <v>20</v>
      </c>
      <c r="K11" t="s">
        <v>19</v>
      </c>
    </row>
    <row r="12" spans="1:11">
      <c r="A12" t="s">
        <v>62</v>
      </c>
      <c r="B12" t="s">
        <v>12</v>
      </c>
      <c r="C12" t="s">
        <v>13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19</v>
      </c>
      <c r="J12" t="s">
        <v>20</v>
      </c>
      <c r="K12" t="s">
        <v>19</v>
      </c>
    </row>
    <row r="13" spans="1:11">
      <c r="A13" t="s">
        <v>68</v>
      </c>
      <c r="B13" t="s">
        <v>12</v>
      </c>
      <c r="C13" t="s">
        <v>13</v>
      </c>
      <c r="D13" t="s">
        <v>69</v>
      </c>
      <c r="E13" t="s">
        <v>70</v>
      </c>
      <c r="F13" t="s">
        <v>65</v>
      </c>
      <c r="G13" t="s">
        <v>66</v>
      </c>
      <c r="H13" t="s">
        <v>71</v>
      </c>
      <c r="I13" t="s">
        <v>19</v>
      </c>
      <c r="J13" t="s">
        <v>20</v>
      </c>
      <c r="K13" t="s">
        <v>19</v>
      </c>
    </row>
    <row r="14" spans="1:11">
      <c r="A14" t="s">
        <v>72</v>
      </c>
      <c r="B14" t="s">
        <v>12</v>
      </c>
      <c r="C14" t="s">
        <v>13</v>
      </c>
      <c r="D14" t="s">
        <v>73</v>
      </c>
      <c r="E14" t="s">
        <v>74</v>
      </c>
      <c r="F14" t="s">
        <v>65</v>
      </c>
      <c r="G14" t="s">
        <v>66</v>
      </c>
      <c r="H14" t="s">
        <v>75</v>
      </c>
      <c r="I14" t="s">
        <v>19</v>
      </c>
      <c r="J14" t="s">
        <v>20</v>
      </c>
      <c r="K14" t="s">
        <v>19</v>
      </c>
    </row>
    <row r="15" spans="1:11">
      <c r="A15" t="s">
        <v>76</v>
      </c>
      <c r="B15" t="s">
        <v>12</v>
      </c>
      <c r="C15" t="s">
        <v>13</v>
      </c>
      <c r="D15" t="s">
        <v>77</v>
      </c>
      <c r="E15" t="s">
        <v>78</v>
      </c>
      <c r="F15" t="s">
        <v>65</v>
      </c>
      <c r="G15" t="s">
        <v>66</v>
      </c>
      <c r="H15" t="s">
        <v>79</v>
      </c>
      <c r="I15" t="s">
        <v>19</v>
      </c>
      <c r="J15" t="s">
        <v>20</v>
      </c>
      <c r="K15" t="s">
        <v>19</v>
      </c>
    </row>
    <row r="16" spans="1:11">
      <c r="A16" t="s">
        <v>80</v>
      </c>
      <c r="B16" t="s">
        <v>12</v>
      </c>
      <c r="C16" t="s">
        <v>13</v>
      </c>
      <c r="D16" t="s">
        <v>81</v>
      </c>
      <c r="E16" t="s">
        <v>82</v>
      </c>
      <c r="F16" t="s">
        <v>65</v>
      </c>
      <c r="G16" t="s">
        <v>66</v>
      </c>
      <c r="H16" t="s">
        <v>83</v>
      </c>
      <c r="I16" t="s">
        <v>19</v>
      </c>
      <c r="J16" t="s">
        <v>20</v>
      </c>
      <c r="K16" t="s">
        <v>19</v>
      </c>
    </row>
    <row r="17" spans="1:11">
      <c r="A17" t="s">
        <v>84</v>
      </c>
      <c r="B17" t="s">
        <v>12</v>
      </c>
      <c r="C17" t="s">
        <v>13</v>
      </c>
      <c r="D17" t="s">
        <v>85</v>
      </c>
      <c r="E17" t="s">
        <v>86</v>
      </c>
      <c r="F17" t="s">
        <v>65</v>
      </c>
      <c r="G17" t="s">
        <v>66</v>
      </c>
      <c r="H17" t="s">
        <v>87</v>
      </c>
      <c r="I17" t="s">
        <v>19</v>
      </c>
      <c r="J17" t="s">
        <v>20</v>
      </c>
      <c r="K17" t="s">
        <v>19</v>
      </c>
    </row>
    <row r="18" spans="1:11">
      <c r="A18" t="s">
        <v>88</v>
      </c>
      <c r="B18" t="s">
        <v>12</v>
      </c>
      <c r="C18" t="s">
        <v>13</v>
      </c>
      <c r="D18" t="s">
        <v>89</v>
      </c>
      <c r="E18" t="s">
        <v>90</v>
      </c>
      <c r="F18" t="s">
        <v>65</v>
      </c>
      <c r="G18" t="s">
        <v>66</v>
      </c>
      <c r="H18" t="s">
        <v>91</v>
      </c>
      <c r="I18" t="s">
        <v>19</v>
      </c>
      <c r="J18" t="s">
        <v>20</v>
      </c>
      <c r="K18" t="s">
        <v>19</v>
      </c>
    </row>
    <row r="19" spans="1:11">
      <c r="A19" t="s">
        <v>92</v>
      </c>
      <c r="B19" t="s">
        <v>12</v>
      </c>
      <c r="C19" t="s">
        <v>13</v>
      </c>
      <c r="D19" t="s">
        <v>93</v>
      </c>
      <c r="E19" t="s">
        <v>94</v>
      </c>
      <c r="F19" t="s">
        <v>65</v>
      </c>
      <c r="G19" t="s">
        <v>66</v>
      </c>
      <c r="H19" t="s">
        <v>95</v>
      </c>
      <c r="I19" t="s">
        <v>19</v>
      </c>
      <c r="J19" t="s">
        <v>20</v>
      </c>
      <c r="K19" t="s">
        <v>19</v>
      </c>
    </row>
    <row r="20" spans="1:11">
      <c r="A20" t="s">
        <v>96</v>
      </c>
      <c r="B20" t="s">
        <v>12</v>
      </c>
      <c r="C20" t="s">
        <v>13</v>
      </c>
      <c r="D20" t="s">
        <v>97</v>
      </c>
      <c r="E20" t="s">
        <v>98</v>
      </c>
      <c r="F20" t="s">
        <v>65</v>
      </c>
      <c r="G20" t="s">
        <v>66</v>
      </c>
      <c r="H20" t="s">
        <v>99</v>
      </c>
      <c r="I20" t="s">
        <v>19</v>
      </c>
      <c r="J20" t="s">
        <v>20</v>
      </c>
      <c r="K20" t="s">
        <v>19</v>
      </c>
    </row>
    <row r="21" spans="1:11">
      <c r="A21" t="s">
        <v>100</v>
      </c>
      <c r="B21" t="s">
        <v>12</v>
      </c>
      <c r="C21" t="s">
        <v>13</v>
      </c>
      <c r="D21" t="s">
        <v>101</v>
      </c>
      <c r="E21" t="s">
        <v>102</v>
      </c>
      <c r="F21" t="s">
        <v>65</v>
      </c>
      <c r="G21" t="s">
        <v>103</v>
      </c>
      <c r="H21" t="s">
        <v>104</v>
      </c>
      <c r="I21" t="s">
        <v>19</v>
      </c>
      <c r="J21" t="s">
        <v>20</v>
      </c>
      <c r="K21" t="s">
        <v>19</v>
      </c>
    </row>
    <row r="22" spans="1:11">
      <c r="A22" t="s">
        <v>105</v>
      </c>
      <c r="B22" t="s">
        <v>12</v>
      </c>
      <c r="C22" t="s">
        <v>13</v>
      </c>
      <c r="D22" t="s">
        <v>106</v>
      </c>
      <c r="E22" t="s">
        <v>107</v>
      </c>
      <c r="F22" t="s">
        <v>65</v>
      </c>
      <c r="G22" t="s">
        <v>108</v>
      </c>
      <c r="H22" t="s">
        <v>109</v>
      </c>
      <c r="I22" t="s">
        <v>19</v>
      </c>
      <c r="J22" t="s">
        <v>20</v>
      </c>
      <c r="K22" t="s">
        <v>19</v>
      </c>
    </row>
    <row r="23" spans="1:11">
      <c r="A23" t="s">
        <v>110</v>
      </c>
      <c r="B23" t="s">
        <v>12</v>
      </c>
      <c r="C23" t="s">
        <v>13</v>
      </c>
      <c r="D23" t="s">
        <v>111</v>
      </c>
      <c r="E23" t="s">
        <v>112</v>
      </c>
      <c r="F23" t="s">
        <v>65</v>
      </c>
      <c r="G23" t="s">
        <v>113</v>
      </c>
      <c r="H23" t="s">
        <v>114</v>
      </c>
      <c r="I23" t="s">
        <v>19</v>
      </c>
      <c r="J23" t="s">
        <v>20</v>
      </c>
      <c r="K23" t="s">
        <v>19</v>
      </c>
    </row>
    <row r="24" spans="1:11">
      <c r="A24" t="s">
        <v>115</v>
      </c>
      <c r="B24" t="s">
        <v>12</v>
      </c>
      <c r="C24" t="s">
        <v>13</v>
      </c>
      <c r="D24" t="s">
        <v>116</v>
      </c>
      <c r="E24" t="s">
        <v>117</v>
      </c>
      <c r="F24" t="s">
        <v>65</v>
      </c>
      <c r="G24" t="s">
        <v>118</v>
      </c>
      <c r="H24" t="s">
        <v>119</v>
      </c>
      <c r="I24" t="s">
        <v>19</v>
      </c>
      <c r="J24" t="s">
        <v>20</v>
      </c>
      <c r="K24" t="s">
        <v>19</v>
      </c>
    </row>
    <row r="25" spans="1:11">
      <c r="A25" t="s">
        <v>120</v>
      </c>
      <c r="B25" t="s">
        <v>12</v>
      </c>
      <c r="C25" t="s">
        <v>13</v>
      </c>
      <c r="D25" t="s">
        <v>121</v>
      </c>
      <c r="E25" t="s">
        <v>122</v>
      </c>
      <c r="F25" t="s">
        <v>65</v>
      </c>
      <c r="G25" t="s">
        <v>118</v>
      </c>
      <c r="H25" t="s">
        <v>123</v>
      </c>
      <c r="I25" t="s">
        <v>19</v>
      </c>
      <c r="J25" t="s">
        <v>20</v>
      </c>
      <c r="K25" t="s">
        <v>19</v>
      </c>
    </row>
    <row r="26" spans="1:11">
      <c r="A26" t="s">
        <v>124</v>
      </c>
      <c r="B26" t="s">
        <v>12</v>
      </c>
      <c r="C26" t="s">
        <v>13</v>
      </c>
      <c r="D26" t="s">
        <v>125</v>
      </c>
      <c r="E26" t="s">
        <v>126</v>
      </c>
      <c r="F26" t="s">
        <v>65</v>
      </c>
      <c r="G26" t="s">
        <v>118</v>
      </c>
      <c r="H26" t="s">
        <v>127</v>
      </c>
      <c r="I26" t="s">
        <v>19</v>
      </c>
      <c r="J26" t="s">
        <v>20</v>
      </c>
      <c r="K26" t="s">
        <v>19</v>
      </c>
    </row>
    <row r="27" spans="1:11">
      <c r="A27" t="s">
        <v>128</v>
      </c>
      <c r="B27" t="s">
        <v>12</v>
      </c>
      <c r="C27" t="s">
        <v>13</v>
      </c>
      <c r="D27" t="s">
        <v>129</v>
      </c>
      <c r="E27" t="s">
        <v>130</v>
      </c>
      <c r="F27" t="s">
        <v>65</v>
      </c>
      <c r="G27" t="s">
        <v>118</v>
      </c>
      <c r="H27" t="s">
        <v>131</v>
      </c>
      <c r="I27" t="s">
        <v>19</v>
      </c>
      <c r="J27" t="s">
        <v>20</v>
      </c>
      <c r="K27" t="s">
        <v>19</v>
      </c>
    </row>
    <row r="28" spans="1:11">
      <c r="A28" t="s">
        <v>132</v>
      </c>
      <c r="B28" t="s">
        <v>12</v>
      </c>
      <c r="C28" t="s">
        <v>13</v>
      </c>
      <c r="D28" t="s">
        <v>133</v>
      </c>
      <c r="E28" t="s">
        <v>134</v>
      </c>
      <c r="F28" t="s">
        <v>65</v>
      </c>
      <c r="G28" t="s">
        <v>118</v>
      </c>
      <c r="H28" t="s">
        <v>135</v>
      </c>
      <c r="I28" t="s">
        <v>19</v>
      </c>
      <c r="J28" t="s">
        <v>20</v>
      </c>
      <c r="K28" t="s">
        <v>19</v>
      </c>
    </row>
    <row r="29" spans="1:11">
      <c r="A29" t="s">
        <v>136</v>
      </c>
      <c r="B29" t="s">
        <v>12</v>
      </c>
      <c r="C29" t="s">
        <v>13</v>
      </c>
      <c r="D29" t="s">
        <v>137</v>
      </c>
      <c r="E29" t="s">
        <v>138</v>
      </c>
      <c r="F29" t="s">
        <v>65</v>
      </c>
      <c r="G29" t="s">
        <v>118</v>
      </c>
      <c r="H29" t="s">
        <v>139</v>
      </c>
      <c r="I29" t="s">
        <v>19</v>
      </c>
      <c r="J29" t="s">
        <v>20</v>
      </c>
      <c r="K29" t="s">
        <v>19</v>
      </c>
    </row>
    <row r="30" spans="1:11">
      <c r="A30" t="s">
        <v>140</v>
      </c>
      <c r="B30" t="s">
        <v>12</v>
      </c>
      <c r="C30" t="s">
        <v>13</v>
      </c>
      <c r="D30" t="s">
        <v>141</v>
      </c>
      <c r="E30" t="s">
        <v>142</v>
      </c>
      <c r="F30" t="s">
        <v>65</v>
      </c>
      <c r="G30" t="s">
        <v>118</v>
      </c>
      <c r="H30" t="s">
        <v>143</v>
      </c>
      <c r="I30" t="s">
        <v>19</v>
      </c>
      <c r="J30" t="s">
        <v>20</v>
      </c>
      <c r="K30" t="s">
        <v>19</v>
      </c>
    </row>
    <row r="31" spans="1:11">
      <c r="A31" t="s">
        <v>144</v>
      </c>
      <c r="B31" t="s">
        <v>12</v>
      </c>
      <c r="C31" t="s">
        <v>13</v>
      </c>
      <c r="D31" t="s">
        <v>145</v>
      </c>
      <c r="E31" t="s">
        <v>146</v>
      </c>
      <c r="F31" t="s">
        <v>65</v>
      </c>
      <c r="G31" t="s">
        <v>118</v>
      </c>
      <c r="H31" t="s">
        <v>147</v>
      </c>
      <c r="I31" t="s">
        <v>19</v>
      </c>
      <c r="J31" t="s">
        <v>20</v>
      </c>
      <c r="K31" t="s">
        <v>19</v>
      </c>
    </row>
    <row r="32" spans="1:11">
      <c r="A32" t="s">
        <v>148</v>
      </c>
      <c r="B32" t="s">
        <v>12</v>
      </c>
      <c r="C32" t="s">
        <v>13</v>
      </c>
      <c r="D32" t="s">
        <v>149</v>
      </c>
      <c r="E32" t="s">
        <v>150</v>
      </c>
      <c r="F32" t="s">
        <v>65</v>
      </c>
      <c r="G32" t="s">
        <v>118</v>
      </c>
      <c r="H32" t="s">
        <v>151</v>
      </c>
      <c r="I32" t="s">
        <v>19</v>
      </c>
      <c r="J32" t="s">
        <v>20</v>
      </c>
      <c r="K32" t="s">
        <v>19</v>
      </c>
    </row>
    <row r="33" spans="1:11">
      <c r="A33" t="s">
        <v>152</v>
      </c>
      <c r="B33" t="s">
        <v>12</v>
      </c>
      <c r="C33" t="s">
        <v>13</v>
      </c>
      <c r="D33" t="s">
        <v>153</v>
      </c>
      <c r="E33" t="s">
        <v>154</v>
      </c>
      <c r="F33" t="s">
        <v>65</v>
      </c>
      <c r="G33" t="s">
        <v>118</v>
      </c>
      <c r="H33" t="s">
        <v>155</v>
      </c>
      <c r="I33" t="s">
        <v>19</v>
      </c>
      <c r="J33" t="s">
        <v>20</v>
      </c>
      <c r="K33" t="s">
        <v>19</v>
      </c>
    </row>
    <row r="34" spans="1:11">
      <c r="A34" t="s">
        <v>156</v>
      </c>
      <c r="B34" t="s">
        <v>12</v>
      </c>
      <c r="C34" t="s">
        <v>13</v>
      </c>
      <c r="D34" t="s">
        <v>157</v>
      </c>
      <c r="E34" t="s">
        <v>158</v>
      </c>
      <c r="F34" t="s">
        <v>65</v>
      </c>
      <c r="G34" t="s">
        <v>118</v>
      </c>
      <c r="H34" t="s">
        <v>159</v>
      </c>
      <c r="I34" t="s">
        <v>19</v>
      </c>
      <c r="J34" t="s">
        <v>20</v>
      </c>
      <c r="K34" t="s">
        <v>19</v>
      </c>
    </row>
    <row r="35" spans="1:11">
      <c r="A35" t="s">
        <v>160</v>
      </c>
      <c r="B35" t="s">
        <v>12</v>
      </c>
      <c r="C35" t="s">
        <v>13</v>
      </c>
      <c r="D35" t="s">
        <v>161</v>
      </c>
      <c r="E35" t="s">
        <v>162</v>
      </c>
      <c r="F35" t="s">
        <v>65</v>
      </c>
      <c r="G35" t="s">
        <v>118</v>
      </c>
      <c r="H35" t="s">
        <v>163</v>
      </c>
      <c r="I35" t="s">
        <v>19</v>
      </c>
      <c r="J35" t="s">
        <v>20</v>
      </c>
      <c r="K35" t="s">
        <v>19</v>
      </c>
    </row>
    <row r="36" spans="1:11">
      <c r="A36" t="s">
        <v>164</v>
      </c>
      <c r="B36" t="s">
        <v>12</v>
      </c>
      <c r="C36" t="s">
        <v>13</v>
      </c>
      <c r="D36" t="s">
        <v>165</v>
      </c>
      <c r="E36" t="s">
        <v>166</v>
      </c>
      <c r="F36" t="s">
        <v>65</v>
      </c>
      <c r="G36" t="s">
        <v>118</v>
      </c>
      <c r="H36" t="s">
        <v>167</v>
      </c>
      <c r="I36" t="s">
        <v>19</v>
      </c>
      <c r="J36" t="s">
        <v>20</v>
      </c>
      <c r="K36" t="s">
        <v>19</v>
      </c>
    </row>
    <row r="37" spans="1:11">
      <c r="A37" t="s">
        <v>168</v>
      </c>
      <c r="B37" t="s">
        <v>12</v>
      </c>
      <c r="C37" t="s">
        <v>13</v>
      </c>
      <c r="D37" t="s">
        <v>169</v>
      </c>
      <c r="E37" t="s">
        <v>170</v>
      </c>
      <c r="F37" t="s">
        <v>65</v>
      </c>
      <c r="G37" t="s">
        <v>118</v>
      </c>
      <c r="H37" t="s">
        <v>171</v>
      </c>
      <c r="I37" t="s">
        <v>19</v>
      </c>
      <c r="J37" t="s">
        <v>20</v>
      </c>
      <c r="K37" t="s">
        <v>19</v>
      </c>
    </row>
    <row r="38" spans="1:11">
      <c r="A38" t="s">
        <v>172</v>
      </c>
      <c r="B38" t="s">
        <v>12</v>
      </c>
      <c r="C38" t="s">
        <v>13</v>
      </c>
      <c r="D38" t="s">
        <v>173</v>
      </c>
      <c r="E38" t="s">
        <v>174</v>
      </c>
      <c r="F38" t="s">
        <v>65</v>
      </c>
      <c r="G38" t="s">
        <v>118</v>
      </c>
      <c r="H38" t="s">
        <v>175</v>
      </c>
      <c r="I38" t="s">
        <v>19</v>
      </c>
      <c r="J38" t="s">
        <v>20</v>
      </c>
      <c r="K38" t="s">
        <v>19</v>
      </c>
    </row>
    <row r="39" spans="1:11">
      <c r="A39" t="s">
        <v>176</v>
      </c>
      <c r="B39" t="s">
        <v>12</v>
      </c>
      <c r="C39" t="s">
        <v>13</v>
      </c>
      <c r="D39" t="s">
        <v>177</v>
      </c>
      <c r="E39" t="s">
        <v>178</v>
      </c>
      <c r="F39" t="s">
        <v>65</v>
      </c>
      <c r="G39" t="s">
        <v>118</v>
      </c>
      <c r="H39" t="s">
        <v>179</v>
      </c>
      <c r="I39" t="s">
        <v>19</v>
      </c>
      <c r="J39" t="s">
        <v>20</v>
      </c>
      <c r="K39" t="s">
        <v>19</v>
      </c>
    </row>
    <row r="40" spans="1:11">
      <c r="A40" t="s">
        <v>180</v>
      </c>
      <c r="B40" t="s">
        <v>12</v>
      </c>
      <c r="C40" t="s">
        <v>13</v>
      </c>
      <c r="D40" t="s">
        <v>181</v>
      </c>
      <c r="E40" t="s">
        <v>182</v>
      </c>
      <c r="F40" t="s">
        <v>65</v>
      </c>
      <c r="G40" t="s">
        <v>118</v>
      </c>
      <c r="H40" t="s">
        <v>183</v>
      </c>
      <c r="I40" t="s">
        <v>19</v>
      </c>
      <c r="J40" t="s">
        <v>20</v>
      </c>
      <c r="K40" t="s">
        <v>19</v>
      </c>
    </row>
    <row r="41" spans="1:11">
      <c r="A41" t="s">
        <v>184</v>
      </c>
      <c r="B41" t="s">
        <v>12</v>
      </c>
      <c r="C41" t="s">
        <v>13</v>
      </c>
      <c r="D41" t="s">
        <v>185</v>
      </c>
      <c r="E41" t="s">
        <v>186</v>
      </c>
      <c r="F41" t="s">
        <v>65</v>
      </c>
      <c r="G41" t="s">
        <v>118</v>
      </c>
      <c r="H41" t="s">
        <v>187</v>
      </c>
      <c r="I41" t="s">
        <v>19</v>
      </c>
      <c r="J41" t="s">
        <v>20</v>
      </c>
      <c r="K41" t="s">
        <v>19</v>
      </c>
    </row>
    <row r="42" spans="1:11">
      <c r="A42" t="s">
        <v>188</v>
      </c>
      <c r="B42" t="s">
        <v>12</v>
      </c>
      <c r="C42" t="s">
        <v>13</v>
      </c>
      <c r="D42" t="s">
        <v>189</v>
      </c>
      <c r="E42" t="s">
        <v>190</v>
      </c>
      <c r="F42" t="s">
        <v>65</v>
      </c>
      <c r="G42" t="s">
        <v>118</v>
      </c>
      <c r="H42" t="s">
        <v>191</v>
      </c>
      <c r="I42" t="s">
        <v>19</v>
      </c>
      <c r="J42" t="s">
        <v>20</v>
      </c>
      <c r="K42" t="s">
        <v>19</v>
      </c>
    </row>
    <row r="43" spans="1:11">
      <c r="A43" t="s">
        <v>192</v>
      </c>
      <c r="B43" t="s">
        <v>12</v>
      </c>
      <c r="C43" t="s">
        <v>13</v>
      </c>
      <c r="D43" t="s">
        <v>193</v>
      </c>
      <c r="E43" t="s">
        <v>194</v>
      </c>
      <c r="F43" t="s">
        <v>65</v>
      </c>
      <c r="G43" t="s">
        <v>118</v>
      </c>
      <c r="H43" t="s">
        <v>195</v>
      </c>
      <c r="I43" t="s">
        <v>19</v>
      </c>
      <c r="J43" t="s">
        <v>20</v>
      </c>
      <c r="K43" t="s">
        <v>19</v>
      </c>
    </row>
    <row r="44" spans="1:11">
      <c r="A44" t="s">
        <v>196</v>
      </c>
      <c r="B44" t="s">
        <v>12</v>
      </c>
      <c r="C44" t="s">
        <v>13</v>
      </c>
      <c r="D44" t="s">
        <v>197</v>
      </c>
      <c r="E44" t="s">
        <v>198</v>
      </c>
      <c r="F44" t="s">
        <v>65</v>
      </c>
      <c r="G44" t="s">
        <v>118</v>
      </c>
      <c r="H44" t="s">
        <v>199</v>
      </c>
      <c r="I44" t="s">
        <v>19</v>
      </c>
      <c r="J44" t="s">
        <v>20</v>
      </c>
      <c r="K44" t="s">
        <v>19</v>
      </c>
    </row>
    <row r="45" spans="1:11">
      <c r="A45" t="s">
        <v>200</v>
      </c>
      <c r="B45" t="s">
        <v>12</v>
      </c>
      <c r="C45" t="s">
        <v>13</v>
      </c>
      <c r="D45" t="s">
        <v>201</v>
      </c>
      <c r="E45" t="s">
        <v>202</v>
      </c>
      <c r="F45" t="s">
        <v>65</v>
      </c>
      <c r="G45" t="s">
        <v>118</v>
      </c>
      <c r="H45" t="s">
        <v>203</v>
      </c>
      <c r="I45" t="s">
        <v>19</v>
      </c>
      <c r="J45" t="s">
        <v>20</v>
      </c>
      <c r="K45" t="s">
        <v>19</v>
      </c>
    </row>
    <row r="46" spans="1:11">
      <c r="A46" t="s">
        <v>204</v>
      </c>
      <c r="B46" t="s">
        <v>12</v>
      </c>
      <c r="C46" t="s">
        <v>13</v>
      </c>
      <c r="D46" t="s">
        <v>205</v>
      </c>
      <c r="E46" t="s">
        <v>206</v>
      </c>
      <c r="F46" t="s">
        <v>65</v>
      </c>
      <c r="G46" t="s">
        <v>118</v>
      </c>
      <c r="H46" t="s">
        <v>207</v>
      </c>
      <c r="I46" t="s">
        <v>19</v>
      </c>
      <c r="J46" t="s">
        <v>20</v>
      </c>
      <c r="K46" t="s">
        <v>19</v>
      </c>
    </row>
    <row r="47" spans="1:11">
      <c r="A47" t="s">
        <v>208</v>
      </c>
      <c r="B47" t="s">
        <v>12</v>
      </c>
      <c r="C47" t="s">
        <v>13</v>
      </c>
      <c r="D47" t="s">
        <v>209</v>
      </c>
      <c r="E47" t="s">
        <v>210</v>
      </c>
      <c r="F47" t="s">
        <v>65</v>
      </c>
      <c r="G47" t="s">
        <v>118</v>
      </c>
      <c r="H47" t="s">
        <v>211</v>
      </c>
      <c r="I47" t="s">
        <v>19</v>
      </c>
      <c r="J47" t="s">
        <v>20</v>
      </c>
      <c r="K47" t="s">
        <v>19</v>
      </c>
    </row>
    <row r="48" spans="1:11">
      <c r="A48" t="s">
        <v>212</v>
      </c>
      <c r="B48" t="s">
        <v>12</v>
      </c>
      <c r="C48" t="s">
        <v>13</v>
      </c>
      <c r="D48" t="s">
        <v>213</v>
      </c>
      <c r="E48" t="s">
        <v>214</v>
      </c>
      <c r="F48" t="s">
        <v>65</v>
      </c>
      <c r="G48" t="s">
        <v>118</v>
      </c>
      <c r="H48" t="s">
        <v>215</v>
      </c>
      <c r="I48" t="s">
        <v>19</v>
      </c>
      <c r="J48" t="s">
        <v>20</v>
      </c>
      <c r="K48" t="s">
        <v>19</v>
      </c>
    </row>
    <row r="49" spans="1:11">
      <c r="A49" t="s">
        <v>216</v>
      </c>
      <c r="B49" t="s">
        <v>12</v>
      </c>
      <c r="C49" t="s">
        <v>13</v>
      </c>
      <c r="D49" t="s">
        <v>217</v>
      </c>
      <c r="E49" t="s">
        <v>218</v>
      </c>
      <c r="F49" t="s">
        <v>65</v>
      </c>
      <c r="G49" t="s">
        <v>118</v>
      </c>
      <c r="H49" t="s">
        <v>219</v>
      </c>
      <c r="I49" t="s">
        <v>19</v>
      </c>
      <c r="J49" t="s">
        <v>20</v>
      </c>
      <c r="K49" t="s">
        <v>19</v>
      </c>
    </row>
    <row r="50" spans="1:11">
      <c r="A50" t="s">
        <v>220</v>
      </c>
      <c r="B50" t="s">
        <v>12</v>
      </c>
      <c r="C50" t="s">
        <v>13</v>
      </c>
      <c r="D50" t="s">
        <v>221</v>
      </c>
      <c r="E50" t="s">
        <v>222</v>
      </c>
      <c r="F50" t="s">
        <v>65</v>
      </c>
      <c r="G50" t="s">
        <v>118</v>
      </c>
      <c r="H50" t="s">
        <v>223</v>
      </c>
      <c r="I50" t="s">
        <v>19</v>
      </c>
      <c r="J50" t="s">
        <v>20</v>
      </c>
      <c r="K50" t="s">
        <v>19</v>
      </c>
    </row>
    <row r="51" spans="1:11">
      <c r="A51" t="s">
        <v>224</v>
      </c>
      <c r="B51" t="s">
        <v>12</v>
      </c>
      <c r="C51" t="s">
        <v>13</v>
      </c>
      <c r="D51" t="s">
        <v>225</v>
      </c>
      <c r="E51" t="s">
        <v>226</v>
      </c>
      <c r="F51" t="s">
        <v>65</v>
      </c>
      <c r="G51" t="s">
        <v>118</v>
      </c>
      <c r="H51" t="s">
        <v>227</v>
      </c>
      <c r="I51" t="s">
        <v>19</v>
      </c>
      <c r="J51" t="s">
        <v>20</v>
      </c>
      <c r="K5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BDH("BE US Equity","BS_TOT_ASSET","2016-06-30","2021-06-30","Per=Y","Days=T","Dir=V")</f>
        <v>0</v>
      </c>
      <c r="C2">
        <f>BDH("BE US Equity","BS_TOT_LIAB2","2016-06-30","2021-06-30","Per=Y","Days=T","Dir=V")</f>
        <v>0</v>
      </c>
      <c r="E2">
        <f>BDH("BE US Equity","SHORT_AND_LONG_TERM_DEBT","2016-06-30","2021-06-30","Per=Y","Days=T","Dir=V")</f>
        <v>0</v>
      </c>
      <c r="G2">
        <f>BDH("BE US Equity","BS_ST_BORROW","2016-06-30","2021-06-30","Per=Y","Days=T","Dir=V")</f>
        <v>0</v>
      </c>
      <c r="I2">
        <f>BDH("BE US Equity","BS_LT_BORROW","2016-06-30","2021-06-30","Per=Y","Days=T","Dir=V")</f>
        <v>0</v>
      </c>
      <c r="K2">
        <f>BDH("BE US Equity","BS_CASH_NEAR_CASH_ITEM","2016-06-30","2021-06-30","Per=Y","Days=T","Dir=V")</f>
        <v>0</v>
      </c>
      <c r="M2">
        <f>BDH("BE US Equity","BS_CUR_ASSET_REPORT","2016-06-30","2021-06-30","Per=Y","Days=T","Dir=V")</f>
        <v>0</v>
      </c>
      <c r="O2">
        <f>BDH("BE US Equity","BS_CUR_LIAB","2016-06-30","2021-06-30","Per=Y","Days=T","Dir=V")</f>
        <v>0</v>
      </c>
      <c r="Q2">
        <f>BDH("BE US Equity","BS_SHAREHOLDER_EQY_ENDING_PERIOD","2016-06-30","2021-06-30","Per=Y","Days=T","Dir=V")</f>
        <v>0</v>
      </c>
      <c r="S2">
        <f>BDH("BE US Equity","BS_ACCT_NOTE_RCV","2016-06-30","2021-06-30","Per=Y","Days=T","Dir=V")</f>
        <v>0</v>
      </c>
      <c r="U2">
        <f>BDH("BE US Equity","BS_INVENTORIES","2016-06-30","2021-06-30","Per=Y","Days=T","Dir=V")</f>
        <v>0</v>
      </c>
      <c r="W2">
        <f>BDH("BE US Equity","WORKING_CAPITAL","2016-06-30","2021-06-30","Per=Y","Days=T","Dir=V")</f>
        <v>0</v>
      </c>
      <c r="Y2">
        <f>BDH("BE US Equity","SALES_REV_TURN","2016-06-30","2021-06-30","Per=Y","Days=T","Dir=V")</f>
        <v>0</v>
      </c>
      <c r="AA2">
        <f>BDH("BE US Equity","EBIT","2016-06-30","2021-06-30","Per=Y","Days=T","Dir=V")</f>
        <v>0</v>
      </c>
      <c r="AC2">
        <f>BDH("BE US Equity","EBITDA","2016-06-30","2021-06-30","Per=Y","Days=T","Dir=V")</f>
        <v>0</v>
      </c>
      <c r="AE2">
        <f>BDH("BE US Equity","NET_INCOME","2016-06-30","2021-06-30","Per=Y","Days=T","Dir=V")</f>
        <v>0</v>
      </c>
      <c r="AG2">
        <f>BDH("BE US Equity","IS_INT_EXPENSE","2016-06-30","2021-06-30","Per=Y","Days=T","Dir=V")</f>
        <v>0</v>
      </c>
      <c r="AI2">
        <f>BDH("BE US Equity","IS_DEPR_EXP","2016-06-30","2021-06-30","Per=Y","Days=T","Dir=V")</f>
        <v>0</v>
      </c>
      <c r="AK2">
        <f>BDH("BE US Equity","CF_CASH_FROM_OPER","2016-06-30","2021-06-30","Per=Y","Days=T","Dir=V")</f>
        <v>0</v>
      </c>
      <c r="AM2">
        <f>BDH("BE US Equity","CAPITAL_EXPEND","2016-06-30","2021-06-30","Per=Y","Days=T","Dir=V")</f>
        <v>0</v>
      </c>
      <c r="AO2">
        <f>BDH("BE US Equity","CF_FREE_CASH_FLOW","2016-06-30","2021-06-30","Per=Y","Days=T","Dir=V")</f>
        <v>0</v>
      </c>
      <c r="AQ2">
        <f>BDH("BE US Equity","PX_LAST","2016-06-30","2021-06-30","Per=M","Days=T","Dir=V")</f>
        <v>0</v>
      </c>
      <c r="AS2">
        <f>BDH("BE US Equity","CUR_MKT_CAP","2016-06-30","2021-06-30","Per=M","Days=T","Dir=V")</f>
        <v>0</v>
      </c>
      <c r="AU2">
        <f>BDH("BE US Equity","EQY_SH_OUT","2016-06-30","2021-06-30","Per=M","Days=T","Dir=V")</f>
        <v>0</v>
      </c>
      <c r="AW2">
        <f>BDH("BE US Equity","BETA_RAW_OVERRIABLE","2016-06-30","2021-06-30","Per=M","Days=T","Dir=V")</f>
        <v>0</v>
      </c>
      <c r="AY2">
        <f>BDH("BE US Equity","PX_VOLUME","2016-06-30","2021-06-30","Per=M","Days=T","Dir=V")</f>
        <v>0</v>
      </c>
      <c r="BA2">
        <f>BDH("BE US Equity","TURNOVER","2016-06-30","2021-06-30","Per=M","Days=T","Dir=V")</f>
        <v>0</v>
      </c>
      <c r="BC2">
        <f>BDH("BE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BDH("VLO US Equity","BS_TOT_ASSET","2016-06-30","2021-06-30","Per=Y","Days=T","Dir=V")</f>
        <v>0</v>
      </c>
      <c r="C2">
        <f>BDH("VLO US Equity","BS_TOT_LIAB2","2016-06-30","2021-06-30","Per=Y","Days=T","Dir=V")</f>
        <v>0</v>
      </c>
      <c r="E2">
        <f>BDH("VLO US Equity","SHORT_AND_LONG_TERM_DEBT","2016-06-30","2021-06-30","Per=Y","Days=T","Dir=V")</f>
        <v>0</v>
      </c>
      <c r="G2">
        <f>BDH("VLO US Equity","BS_ST_BORROW","2016-06-30","2021-06-30","Per=Y","Days=T","Dir=V")</f>
        <v>0</v>
      </c>
      <c r="I2">
        <f>BDH("VLO US Equity","BS_LT_BORROW","2016-06-30","2021-06-30","Per=Y","Days=T","Dir=V")</f>
        <v>0</v>
      </c>
      <c r="K2">
        <f>BDH("VLO US Equity","BS_CASH_NEAR_CASH_ITEM","2016-06-30","2021-06-30","Per=Y","Days=T","Dir=V")</f>
        <v>0</v>
      </c>
      <c r="M2">
        <f>BDH("VLO US Equity","BS_CUR_ASSET_REPORT","2016-06-30","2021-06-30","Per=Y","Days=T","Dir=V")</f>
        <v>0</v>
      </c>
      <c r="O2">
        <f>BDH("VLO US Equity","BS_CUR_LIAB","2016-06-30","2021-06-30","Per=Y","Days=T","Dir=V")</f>
        <v>0</v>
      </c>
      <c r="Q2">
        <f>BDH("VLO US Equity","BS_SHAREHOLDER_EQY_ENDING_PERIOD","2016-06-30","2021-06-30","Per=Y","Days=T","Dir=V")</f>
        <v>0</v>
      </c>
      <c r="S2">
        <f>BDH("VLO US Equity","BS_ACCT_NOTE_RCV","2016-06-30","2021-06-30","Per=Y","Days=T","Dir=V")</f>
        <v>0</v>
      </c>
      <c r="U2">
        <f>BDH("VLO US Equity","BS_INVENTORIES","2016-06-30","2021-06-30","Per=Y","Days=T","Dir=V")</f>
        <v>0</v>
      </c>
      <c r="W2">
        <f>BDH("VLO US Equity","WORKING_CAPITAL","2016-06-30","2021-06-30","Per=Y","Days=T","Dir=V")</f>
        <v>0</v>
      </c>
      <c r="Y2">
        <f>BDH("VLO US Equity","SALES_REV_TURN","2016-06-30","2021-06-30","Per=Y","Days=T","Dir=V")</f>
        <v>0</v>
      </c>
      <c r="AA2">
        <f>BDH("VLO US Equity","EBIT","2016-06-30","2021-06-30","Per=Y","Days=T","Dir=V")</f>
        <v>0</v>
      </c>
      <c r="AC2">
        <f>BDH("VLO US Equity","EBITDA","2016-06-30","2021-06-30","Per=Y","Days=T","Dir=V")</f>
        <v>0</v>
      </c>
      <c r="AE2">
        <f>BDH("VLO US Equity","NET_INCOME","2016-06-30","2021-06-30","Per=Y","Days=T","Dir=V")</f>
        <v>0</v>
      </c>
      <c r="AG2">
        <f>BDH("VLO US Equity","IS_INT_EXPENSE","2016-06-30","2021-06-30","Per=Y","Days=T","Dir=V")</f>
        <v>0</v>
      </c>
      <c r="AI2">
        <f>BDH("VLO US Equity","IS_DEPR_EXP","2016-06-30","2021-06-30","Per=Y","Days=T","Dir=V")</f>
        <v>0</v>
      </c>
      <c r="AK2">
        <f>BDH("VLO US Equity","CF_CASH_FROM_OPER","2016-06-30","2021-06-30","Per=Y","Days=T","Dir=V")</f>
        <v>0</v>
      </c>
      <c r="AM2">
        <f>BDH("VLO US Equity","CAPITAL_EXPEND","2016-06-30","2021-06-30","Per=Y","Days=T","Dir=V")</f>
        <v>0</v>
      </c>
      <c r="AO2">
        <f>BDH("VLO US Equity","CF_FREE_CASH_FLOW","2016-06-30","2021-06-30","Per=Y","Days=T","Dir=V")</f>
        <v>0</v>
      </c>
      <c r="AQ2">
        <f>BDH("VLO US Equity","PX_LAST","2016-06-30","2021-06-30","Per=M","Days=T","Dir=V")</f>
        <v>0</v>
      </c>
      <c r="AS2">
        <f>BDH("VLO US Equity","CUR_MKT_CAP","2016-06-30","2021-06-30","Per=M","Days=T","Dir=V")</f>
        <v>0</v>
      </c>
      <c r="AU2">
        <f>BDH("VLO US Equity","EQY_SH_OUT","2016-06-30","2021-06-30","Per=M","Days=T","Dir=V")</f>
        <v>0</v>
      </c>
      <c r="AW2">
        <f>BDH("VLO US Equity","BETA_RAW_OVERRIABLE","2016-06-30","2021-06-30","Per=M","Days=T","Dir=V")</f>
        <v>0</v>
      </c>
      <c r="AY2">
        <f>BDH("VLO US Equity","PX_VOLUME","2016-06-30","2021-06-30","Per=M","Days=T","Dir=V")</f>
        <v>0</v>
      </c>
      <c r="BA2">
        <f>BDH("VLO US Equity","TURNOVER","2016-06-30","2021-06-30","Per=M","Days=T","Dir=V")</f>
        <v>0</v>
      </c>
      <c r="BC2">
        <f>BDH("VLO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BDH("DKL US Equity","BS_TOT_ASSET","2016-06-30","2021-06-30","Per=Y","Days=T","Dir=V")</f>
        <v>0</v>
      </c>
      <c r="C2">
        <f>BDH("DKL US Equity","BS_TOT_LIAB2","2016-06-30","2021-06-30","Per=Y","Days=T","Dir=V")</f>
        <v>0</v>
      </c>
      <c r="E2">
        <f>BDH("DKL US Equity","SHORT_AND_LONG_TERM_DEBT","2016-06-30","2021-06-30","Per=Y","Days=T","Dir=V")</f>
        <v>0</v>
      </c>
      <c r="G2">
        <f>BDH("DKL US Equity","BS_ST_BORROW","2016-06-30","2021-06-30","Per=Y","Days=T","Dir=V")</f>
        <v>0</v>
      </c>
      <c r="I2">
        <f>BDH("DKL US Equity","BS_LT_BORROW","2016-06-30","2021-06-30","Per=Y","Days=T","Dir=V")</f>
        <v>0</v>
      </c>
      <c r="K2">
        <f>BDH("DKL US Equity","BS_CASH_NEAR_CASH_ITEM","2016-06-30","2021-06-30","Per=Y","Days=T","Dir=V")</f>
        <v>0</v>
      </c>
      <c r="M2">
        <f>BDH("DKL US Equity","BS_CUR_ASSET_REPORT","2016-06-30","2021-06-30","Per=Y","Days=T","Dir=V")</f>
        <v>0</v>
      </c>
      <c r="O2">
        <f>BDH("DKL US Equity","BS_CUR_LIAB","2016-06-30","2021-06-30","Per=Y","Days=T","Dir=V")</f>
        <v>0</v>
      </c>
      <c r="Q2">
        <f>BDH("DKL US Equity","BS_SHAREHOLDER_EQY_ENDING_PERIOD","2016-06-30","2021-06-30","Per=Y","Days=T","Dir=V")</f>
        <v>0</v>
      </c>
      <c r="S2">
        <f>BDH("DKL US Equity","BS_ACCT_NOTE_RCV","2016-06-30","2021-06-30","Per=Y","Days=T","Dir=V")</f>
        <v>0</v>
      </c>
      <c r="U2">
        <f>BDH("DKL US Equity","BS_INVENTORIES","2016-06-30","2021-06-30","Per=Y","Days=T","Dir=V")</f>
        <v>0</v>
      </c>
      <c r="W2">
        <f>BDH("DKL US Equity","WORKING_CAPITAL","2016-06-30","2021-06-30","Per=Y","Days=T","Dir=V")</f>
        <v>0</v>
      </c>
      <c r="Y2">
        <f>BDH("DKL US Equity","SALES_REV_TURN","2016-06-30","2021-06-30","Per=Y","Days=T","Dir=V")</f>
        <v>0</v>
      </c>
      <c r="AA2">
        <f>BDH("DKL US Equity","EBIT","2016-06-30","2021-06-30","Per=Y","Days=T","Dir=V")</f>
        <v>0</v>
      </c>
      <c r="AC2">
        <f>BDH("DKL US Equity","EBITDA","2016-06-30","2021-06-30","Per=Y","Days=T","Dir=V")</f>
        <v>0</v>
      </c>
      <c r="AE2">
        <f>BDH("DKL US Equity","NET_INCOME","2016-06-30","2021-06-30","Per=Y","Days=T","Dir=V")</f>
        <v>0</v>
      </c>
      <c r="AG2">
        <f>BDH("DKL US Equity","IS_INT_EXPENSE","2016-06-30","2021-06-30","Per=Y","Days=T","Dir=V")</f>
        <v>0</v>
      </c>
      <c r="AI2">
        <f>BDH("DKL US Equity","IS_DEPR_EXP","2016-06-30","2021-06-30","Per=Y","Days=T","Dir=V")</f>
        <v>0</v>
      </c>
      <c r="AK2">
        <f>BDH("DKL US Equity","CF_CASH_FROM_OPER","2016-06-30","2021-06-30","Per=Y","Days=T","Dir=V")</f>
        <v>0</v>
      </c>
      <c r="AM2">
        <f>BDH("DKL US Equity","CAPITAL_EXPEND","2016-06-30","2021-06-30","Per=Y","Days=T","Dir=V")</f>
        <v>0</v>
      </c>
      <c r="AO2">
        <f>BDH("DKL US Equity","CF_FREE_CASH_FLOW","2016-06-30","2021-06-30","Per=Y","Days=T","Dir=V")</f>
        <v>0</v>
      </c>
      <c r="AQ2">
        <f>BDH("DKL US Equity","PX_LAST","2016-06-30","2021-06-30","Per=M","Days=T","Dir=V")</f>
        <v>0</v>
      </c>
      <c r="AS2">
        <f>BDH("DKL US Equity","CUR_MKT_CAP","2016-06-30","2021-06-30","Per=M","Days=T","Dir=V")</f>
        <v>0</v>
      </c>
      <c r="AU2">
        <f>BDH("DKL US Equity","EQY_SH_OUT","2016-06-30","2021-06-30","Per=M","Days=T","Dir=V")</f>
        <v>0</v>
      </c>
      <c r="AW2">
        <f>BDH("DKL US Equity","BETA_RAW_OVERRIABLE","2016-06-30","2021-06-30","Per=M","Days=T","Dir=V")</f>
        <v>0</v>
      </c>
      <c r="AY2">
        <f>BDH("DKL US Equity","PX_VOLUME","2016-06-30","2021-06-30","Per=M","Days=T","Dir=V")</f>
        <v>0</v>
      </c>
      <c r="BA2">
        <f>BDH("DKL US Equity","TURNOVER","2016-06-30","2021-06-30","Per=M","Days=T","Dir=V")</f>
        <v>0</v>
      </c>
      <c r="BC2">
        <f>BDH("DKL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BDH("AGIG US Equity","BS_TOT_ASSET","2016-06-30","2021-06-30","Per=Y","Days=T","Dir=V")</f>
        <v>0</v>
      </c>
      <c r="C2">
        <f>BDH("AGIG US Equity","BS_TOT_LIAB2","2016-06-30","2021-06-30","Per=Y","Days=T","Dir=V")</f>
        <v>0</v>
      </c>
      <c r="E2">
        <f>BDH("AGIG US Equity","SHORT_AND_LONG_TERM_DEBT","2016-06-30","2021-06-30","Per=Y","Days=T","Dir=V")</f>
        <v>0</v>
      </c>
      <c r="G2">
        <f>BDH("AGIG US Equity","BS_ST_BORROW","2016-06-30","2021-06-30","Per=Y","Days=T","Dir=V")</f>
        <v>0</v>
      </c>
      <c r="I2">
        <f>BDH("AGIG US Equity","BS_LT_BORROW","2016-06-30","2021-06-30","Per=Y","Days=T","Dir=V")</f>
        <v>0</v>
      </c>
      <c r="K2">
        <f>BDH("AGIG US Equity","BS_CASH_NEAR_CASH_ITEM","2016-06-30","2021-06-30","Per=Y","Days=T","Dir=V")</f>
        <v>0</v>
      </c>
      <c r="M2">
        <f>BDH("AGIG US Equity","BS_CUR_ASSET_REPORT","2016-06-30","2021-06-30","Per=Y","Days=T","Dir=V")</f>
        <v>0</v>
      </c>
      <c r="O2">
        <f>BDH("AGIG US Equity","BS_CUR_LIAB","2016-06-30","2021-06-30","Per=Y","Days=T","Dir=V")</f>
        <v>0</v>
      </c>
      <c r="Q2">
        <f>BDH("AGIG US Equity","BS_SHAREHOLDER_EQY_ENDING_PERIOD","2016-06-30","2021-06-30","Per=Y","Days=T","Dir=V")</f>
        <v>0</v>
      </c>
      <c r="S2">
        <f>BDH("AGIG US Equity","BS_ACCT_NOTE_RCV","2016-06-30","2021-06-30","Per=Y","Days=T","Dir=V")</f>
        <v>0</v>
      </c>
      <c r="U2">
        <f>BDH("AGIG US Equity","BS_INVENTORIES","2016-06-30","2021-06-30","Per=Y","Days=T","Dir=V")</f>
        <v>0</v>
      </c>
      <c r="W2">
        <f>BDH("AGIG US Equity","WORKING_CAPITAL","2016-06-30","2021-06-30","Per=Y","Days=T","Dir=V")</f>
        <v>0</v>
      </c>
      <c r="Y2">
        <f>BDH("AGIG US Equity","SALES_REV_TURN","2016-06-30","2021-06-30","Per=Y","Days=T","Dir=V")</f>
        <v>0</v>
      </c>
      <c r="AA2">
        <f>BDH("AGIG US Equity","EBIT","2016-06-30","2021-06-30","Per=Y","Days=T","Dir=V")</f>
        <v>0</v>
      </c>
      <c r="AC2">
        <f>BDH("AGIG US Equity","EBITDA","2016-06-30","2021-06-30","Per=Y","Days=T","Dir=V")</f>
        <v>0</v>
      </c>
      <c r="AE2">
        <f>BDH("AGIG US Equity","NET_INCOME","2016-06-30","2021-06-30","Per=Y","Days=T","Dir=V")</f>
        <v>0</v>
      </c>
      <c r="AG2">
        <f>BDH("AGIG US Equity","IS_INT_EXPENSE","2016-06-30","2021-06-30","Per=Y","Days=T","Dir=V")</f>
        <v>0</v>
      </c>
      <c r="AI2">
        <f>BDH("AGIG US Equity","IS_DEPR_EXP","2016-06-30","2021-06-30","Per=Y","Days=T","Dir=V")</f>
        <v>0</v>
      </c>
      <c r="AK2">
        <f>BDH("AGIG US Equity","CF_CASH_FROM_OPER","2016-06-30","2021-06-30","Per=Y","Days=T","Dir=V")</f>
        <v>0</v>
      </c>
      <c r="AM2">
        <f>BDH("AGIG US Equity","CAPITAL_EXPEND","2016-06-30","2021-06-30","Per=Y","Days=T","Dir=V")</f>
        <v>0</v>
      </c>
      <c r="AO2">
        <f>BDH("AGIG US Equity","CF_FREE_CASH_FLOW","2016-06-30","2021-06-30","Per=Y","Days=T","Dir=V")</f>
        <v>0</v>
      </c>
      <c r="AQ2">
        <f>BDH("AGIG US Equity","PX_LAST","2016-06-30","2021-06-30","Per=M","Days=T","Dir=V")</f>
        <v>0</v>
      </c>
      <c r="AS2">
        <f>BDH("AGIG US Equity","CUR_MKT_CAP","2016-06-30","2021-06-30","Per=M","Days=T","Dir=V")</f>
        <v>0</v>
      </c>
      <c r="AU2">
        <f>BDH("AGIG US Equity","EQY_SH_OUT","2016-06-30","2021-06-30","Per=M","Days=T","Dir=V")</f>
        <v>0</v>
      </c>
      <c r="AW2">
        <f>BDH("AGIG US Equity","BETA_RAW_OVERRIABLE","2016-06-30","2021-06-30","Per=M","Days=T","Dir=V")</f>
        <v>0</v>
      </c>
      <c r="AY2">
        <f>BDH("AGIG US Equity","PX_VOLUME","2016-06-30","2021-06-30","Per=M","Days=T","Dir=V")</f>
        <v>0</v>
      </c>
      <c r="BA2">
        <f>BDH("AGIG US Equity","TURNOVER","2016-06-30","2021-06-30","Per=M","Days=T","Dir=V")</f>
        <v>0</v>
      </c>
      <c r="BC2">
        <f>BDH("AGIG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BDH("DMLP US Equity","BS_TOT_ASSET","2016-06-30","2021-06-30","Per=Y","Days=T","Dir=V")</f>
        <v>0</v>
      </c>
      <c r="C2">
        <f>BDH("DMLP US Equity","BS_TOT_LIAB2","2016-06-30","2021-06-30","Per=Y","Days=T","Dir=V")</f>
        <v>0</v>
      </c>
      <c r="E2">
        <f>BDH("DMLP US Equity","SHORT_AND_LONG_TERM_DEBT","2016-06-30","2021-06-30","Per=Y","Days=T","Dir=V")</f>
        <v>0</v>
      </c>
      <c r="G2">
        <f>BDH("DMLP US Equity","BS_ST_BORROW","2016-06-30","2021-06-30","Per=Y","Days=T","Dir=V")</f>
        <v>0</v>
      </c>
      <c r="I2">
        <f>BDH("DMLP US Equity","BS_LT_BORROW","2016-06-30","2021-06-30","Per=Y","Days=T","Dir=V")</f>
        <v>0</v>
      </c>
      <c r="K2">
        <f>BDH("DMLP US Equity","BS_CASH_NEAR_CASH_ITEM","2016-06-30","2021-06-30","Per=Y","Days=T","Dir=V")</f>
        <v>0</v>
      </c>
      <c r="M2">
        <f>BDH("DMLP US Equity","BS_CUR_ASSET_REPORT","2016-06-30","2021-06-30","Per=Y","Days=T","Dir=V")</f>
        <v>0</v>
      </c>
      <c r="O2">
        <f>BDH("DMLP US Equity","BS_CUR_LIAB","2016-06-30","2021-06-30","Per=Y","Days=T","Dir=V")</f>
        <v>0</v>
      </c>
      <c r="Q2">
        <f>BDH("DMLP US Equity","BS_SHAREHOLDER_EQY_ENDING_PERIOD","2016-06-30","2021-06-30","Per=Y","Days=T","Dir=V")</f>
        <v>0</v>
      </c>
      <c r="S2">
        <f>BDH("DMLP US Equity","BS_ACCT_NOTE_RCV","2016-06-30","2021-06-30","Per=Y","Days=T","Dir=V")</f>
        <v>0</v>
      </c>
      <c r="U2">
        <f>BDH("DMLP US Equity","BS_INVENTORIES","2016-06-30","2021-06-30","Per=Y","Days=T","Dir=V")</f>
        <v>0</v>
      </c>
      <c r="W2">
        <f>BDH("DMLP US Equity","WORKING_CAPITAL","2016-06-30","2021-06-30","Per=Y","Days=T","Dir=V")</f>
        <v>0</v>
      </c>
      <c r="Y2">
        <f>BDH("DMLP US Equity","SALES_REV_TURN","2016-06-30","2021-06-30","Per=Y","Days=T","Dir=V")</f>
        <v>0</v>
      </c>
      <c r="AA2">
        <f>BDH("DMLP US Equity","EBIT","2016-06-30","2021-06-30","Per=Y","Days=T","Dir=V")</f>
        <v>0</v>
      </c>
      <c r="AC2">
        <f>BDH("DMLP US Equity","EBITDA","2016-06-30","2021-06-30","Per=Y","Days=T","Dir=V")</f>
        <v>0</v>
      </c>
      <c r="AE2">
        <f>BDH("DMLP US Equity","NET_INCOME","2016-06-30","2021-06-30","Per=Y","Days=T","Dir=V")</f>
        <v>0</v>
      </c>
      <c r="AG2">
        <f>BDH("DMLP US Equity","IS_INT_EXPENSE","2016-06-30","2021-06-30","Per=Y","Days=T","Dir=V")</f>
        <v>0</v>
      </c>
      <c r="AI2">
        <f>BDH("DMLP US Equity","IS_DEPR_EXP","2016-06-30","2021-06-30","Per=Y","Days=T","Dir=V")</f>
        <v>0</v>
      </c>
      <c r="AK2">
        <f>BDH("DMLP US Equity","CF_CASH_FROM_OPER","2016-06-30","2021-06-30","Per=Y","Days=T","Dir=V")</f>
        <v>0</v>
      </c>
      <c r="AM2">
        <f>BDH("DMLP US Equity","CAPITAL_EXPEND","2016-06-30","2021-06-30","Per=Y","Days=T","Dir=V")</f>
        <v>0</v>
      </c>
      <c r="AO2">
        <f>BDH("DMLP US Equity","CF_FREE_CASH_FLOW","2016-06-30","2021-06-30","Per=Y","Days=T","Dir=V")</f>
        <v>0</v>
      </c>
      <c r="AQ2">
        <f>BDH("DMLP US Equity","PX_LAST","2016-06-30","2021-06-30","Per=M","Days=T","Dir=V")</f>
        <v>0</v>
      </c>
      <c r="AS2">
        <f>BDH("DMLP US Equity","CUR_MKT_CAP","2016-06-30","2021-06-30","Per=M","Days=T","Dir=V")</f>
        <v>0</v>
      </c>
      <c r="AU2">
        <f>BDH("DMLP US Equity","EQY_SH_OUT","2016-06-30","2021-06-30","Per=M","Days=T","Dir=V")</f>
        <v>0</v>
      </c>
      <c r="AW2">
        <f>BDH("DMLP US Equity","BETA_RAW_OVERRIABLE","2016-06-30","2021-06-30","Per=M","Days=T","Dir=V")</f>
        <v>0</v>
      </c>
      <c r="AY2">
        <f>BDH("DMLP US Equity","PX_VOLUME","2016-06-30","2021-06-30","Per=M","Days=T","Dir=V")</f>
        <v>0</v>
      </c>
      <c r="BA2">
        <f>BDH("DMLP US Equity","TURNOVER","2016-06-30","2021-06-30","Per=M","Days=T","Dir=V")</f>
        <v>0</v>
      </c>
      <c r="BC2">
        <f>BDH("DMLP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BDH("EOG US Equity","BS_TOT_ASSET","2016-06-30","2021-06-30","Per=Y","Days=T","Dir=V")</f>
        <v>0</v>
      </c>
      <c r="C2">
        <f>BDH("EOG US Equity","BS_TOT_LIAB2","2016-06-30","2021-06-30","Per=Y","Days=T","Dir=V")</f>
        <v>0</v>
      </c>
      <c r="E2">
        <f>BDH("EOG US Equity","SHORT_AND_LONG_TERM_DEBT","2016-06-30","2021-06-30","Per=Y","Days=T","Dir=V")</f>
        <v>0</v>
      </c>
      <c r="G2">
        <f>BDH("EOG US Equity","BS_ST_BORROW","2016-06-30","2021-06-30","Per=Y","Days=T","Dir=V")</f>
        <v>0</v>
      </c>
      <c r="I2">
        <f>BDH("EOG US Equity","BS_LT_BORROW","2016-06-30","2021-06-30","Per=Y","Days=T","Dir=V")</f>
        <v>0</v>
      </c>
      <c r="K2">
        <f>BDH("EOG US Equity","BS_CASH_NEAR_CASH_ITEM","2016-06-30","2021-06-30","Per=Y","Days=T","Dir=V")</f>
        <v>0</v>
      </c>
      <c r="M2">
        <f>BDH("EOG US Equity","BS_CUR_ASSET_REPORT","2016-06-30","2021-06-30","Per=Y","Days=T","Dir=V")</f>
        <v>0</v>
      </c>
      <c r="O2">
        <f>BDH("EOG US Equity","BS_CUR_LIAB","2016-06-30","2021-06-30","Per=Y","Days=T","Dir=V")</f>
        <v>0</v>
      </c>
      <c r="Q2">
        <f>BDH("EOG US Equity","BS_SHAREHOLDER_EQY_ENDING_PERIOD","2016-06-30","2021-06-30","Per=Y","Days=T","Dir=V")</f>
        <v>0</v>
      </c>
      <c r="S2">
        <f>BDH("EOG US Equity","BS_ACCT_NOTE_RCV","2016-06-30","2021-06-30","Per=Y","Days=T","Dir=V")</f>
        <v>0</v>
      </c>
      <c r="U2">
        <f>BDH("EOG US Equity","BS_INVENTORIES","2016-06-30","2021-06-30","Per=Y","Days=T","Dir=V")</f>
        <v>0</v>
      </c>
      <c r="W2">
        <f>BDH("EOG US Equity","WORKING_CAPITAL","2016-06-30","2021-06-30","Per=Y","Days=T","Dir=V")</f>
        <v>0</v>
      </c>
      <c r="Y2">
        <f>BDH("EOG US Equity","SALES_REV_TURN","2016-06-30","2021-06-30","Per=Y","Days=T","Dir=V")</f>
        <v>0</v>
      </c>
      <c r="AA2">
        <f>BDH("EOG US Equity","EBIT","2016-06-30","2021-06-30","Per=Y","Days=T","Dir=V")</f>
        <v>0</v>
      </c>
      <c r="AC2">
        <f>BDH("EOG US Equity","EBITDA","2016-06-30","2021-06-30","Per=Y","Days=T","Dir=V")</f>
        <v>0</v>
      </c>
      <c r="AE2">
        <f>BDH("EOG US Equity","NET_INCOME","2016-06-30","2021-06-30","Per=Y","Days=T","Dir=V")</f>
        <v>0</v>
      </c>
      <c r="AG2">
        <f>BDH("EOG US Equity","IS_INT_EXPENSE","2016-06-30","2021-06-30","Per=Y","Days=T","Dir=V")</f>
        <v>0</v>
      </c>
      <c r="AI2">
        <f>BDH("EOG US Equity","IS_DEPR_EXP","2016-06-30","2021-06-30","Per=Y","Days=T","Dir=V")</f>
        <v>0</v>
      </c>
      <c r="AK2">
        <f>BDH("EOG US Equity","CF_CASH_FROM_OPER","2016-06-30","2021-06-30","Per=Y","Days=T","Dir=V")</f>
        <v>0</v>
      </c>
      <c r="AM2">
        <f>BDH("EOG US Equity","CAPITAL_EXPEND","2016-06-30","2021-06-30","Per=Y","Days=T","Dir=V")</f>
        <v>0</v>
      </c>
      <c r="AO2">
        <f>BDH("EOG US Equity","CF_FREE_CASH_FLOW","2016-06-30","2021-06-30","Per=Y","Days=T","Dir=V")</f>
        <v>0</v>
      </c>
      <c r="AQ2">
        <f>BDH("EOG US Equity","PX_LAST","2016-06-30","2021-06-30","Per=M","Days=T","Dir=V")</f>
        <v>0</v>
      </c>
      <c r="AS2">
        <f>BDH("EOG US Equity","CUR_MKT_CAP","2016-06-30","2021-06-30","Per=M","Days=T","Dir=V")</f>
        <v>0</v>
      </c>
      <c r="AU2">
        <f>BDH("EOG US Equity","EQY_SH_OUT","2016-06-30","2021-06-30","Per=M","Days=T","Dir=V")</f>
        <v>0</v>
      </c>
      <c r="AW2">
        <f>BDH("EOG US Equity","BETA_RAW_OVERRIABLE","2016-06-30","2021-06-30","Per=M","Days=T","Dir=V")</f>
        <v>0</v>
      </c>
      <c r="AY2">
        <f>BDH("EOG US Equity","PX_VOLUME","2016-06-30","2021-06-30","Per=M","Days=T","Dir=V")</f>
        <v>0</v>
      </c>
      <c r="BA2">
        <f>BDH("EOG US Equity","TURNOVER","2016-06-30","2021-06-30","Per=M","Days=T","Dir=V")</f>
        <v>0</v>
      </c>
      <c r="BC2">
        <f>BDH("EOG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BDH("GLND US Equity","BS_TOT_ASSET","2016-06-30","2021-06-30","Per=Y","Days=T","Dir=V")</f>
        <v>0</v>
      </c>
      <c r="C2">
        <f>BDH("GLND US Equity","BS_TOT_LIAB2","2016-06-30","2021-06-30","Per=Y","Days=T","Dir=V")</f>
        <v>0</v>
      </c>
      <c r="E2">
        <f>BDH("GLND US Equity","SHORT_AND_LONG_TERM_DEBT","2016-06-30","2021-06-30","Per=Y","Days=T","Dir=V")</f>
        <v>0</v>
      </c>
      <c r="G2">
        <f>BDH("GLND US Equity","BS_ST_BORROW","2016-06-30","2021-06-30","Per=Y","Days=T","Dir=V")</f>
        <v>0</v>
      </c>
      <c r="I2">
        <f>BDH("GLND US Equity","BS_LT_BORROW","2016-06-30","2021-06-30","Per=Y","Days=T","Dir=V")</f>
        <v>0</v>
      </c>
      <c r="K2">
        <f>BDH("GLND US Equity","BS_CASH_NEAR_CASH_ITEM","2016-06-30","2021-06-30","Per=Y","Days=T","Dir=V")</f>
        <v>0</v>
      </c>
      <c r="M2">
        <f>BDH("GLND US Equity","BS_CUR_ASSET_REPORT","2016-06-30","2021-06-30","Per=Y","Days=T","Dir=V")</f>
        <v>0</v>
      </c>
      <c r="O2">
        <f>BDH("GLND US Equity","BS_CUR_LIAB","2016-06-30","2021-06-30","Per=Y","Days=T","Dir=V")</f>
        <v>0</v>
      </c>
      <c r="Q2">
        <f>BDH("GLND US Equity","BS_SHAREHOLDER_EQY_ENDING_PERIOD","2016-06-30","2021-06-30","Per=Y","Days=T","Dir=V")</f>
        <v>0</v>
      </c>
      <c r="S2">
        <f>BDH("GLND US Equity","BS_ACCT_NOTE_RCV","2016-06-30","2021-06-30","Per=Y","Days=T","Dir=V")</f>
        <v>0</v>
      </c>
      <c r="U2">
        <f>BDH("GLND US Equity","BS_INVENTORIES","2016-06-30","2021-06-30","Per=Y","Days=T","Dir=V")</f>
        <v>0</v>
      </c>
      <c r="W2">
        <f>BDH("GLND US Equity","WORKING_CAPITAL","2016-06-30","2021-06-30","Per=Y","Days=T","Dir=V")</f>
        <v>0</v>
      </c>
      <c r="Y2">
        <f>BDH("GLND US Equity","SALES_REV_TURN","2016-06-30","2021-06-30","Per=Y","Days=T","Dir=V")</f>
        <v>0</v>
      </c>
      <c r="AA2">
        <f>BDH("GLND US Equity","EBIT","2016-06-30","2021-06-30","Per=Y","Days=T","Dir=V")</f>
        <v>0</v>
      </c>
      <c r="AC2">
        <f>BDH("GLND US Equity","EBITDA","2016-06-30","2021-06-30","Per=Y","Days=T","Dir=V")</f>
        <v>0</v>
      </c>
      <c r="AE2">
        <f>BDH("GLND US Equity","NET_INCOME","2016-06-30","2021-06-30","Per=Y","Days=T","Dir=V")</f>
        <v>0</v>
      </c>
      <c r="AG2">
        <f>BDH("GLND US Equity","IS_INT_EXPENSE","2016-06-30","2021-06-30","Per=Y","Days=T","Dir=V")</f>
        <v>0</v>
      </c>
      <c r="AI2">
        <f>BDH("GLND US Equity","IS_DEPR_EXP","2016-06-30","2021-06-30","Per=Y","Days=T","Dir=V")</f>
        <v>0</v>
      </c>
      <c r="AK2">
        <f>BDH("GLND US Equity","CF_CASH_FROM_OPER","2016-06-30","2021-06-30","Per=Y","Days=T","Dir=V")</f>
        <v>0</v>
      </c>
      <c r="AM2">
        <f>BDH("GLND US Equity","CAPITAL_EXPEND","2016-06-30","2021-06-30","Per=Y","Days=T","Dir=V")</f>
        <v>0</v>
      </c>
      <c r="AO2">
        <f>BDH("GLND US Equity","CF_FREE_CASH_FLOW","2016-06-30","2021-06-30","Per=Y","Days=T","Dir=V")</f>
        <v>0</v>
      </c>
      <c r="AQ2">
        <f>BDH("GLND US Equity","PX_LAST","2016-06-30","2021-06-30","Per=M","Days=T","Dir=V")</f>
        <v>0</v>
      </c>
      <c r="AS2">
        <f>BDH("GLND US Equity","CUR_MKT_CAP","2016-06-30","2021-06-30","Per=M","Days=T","Dir=V")</f>
        <v>0</v>
      </c>
      <c r="AU2">
        <f>BDH("GLND US Equity","EQY_SH_OUT","2016-06-30","2021-06-30","Per=M","Days=T","Dir=V")</f>
        <v>0</v>
      </c>
      <c r="AW2">
        <f>BDH("GLND US Equity","BETA_RAW_OVERRIABLE","2016-06-30","2021-06-30","Per=M","Days=T","Dir=V")</f>
        <v>0</v>
      </c>
      <c r="AY2">
        <f>BDH("GLND US Equity","PX_VOLUME","2016-06-30","2021-06-30","Per=M","Days=T","Dir=V")</f>
        <v>0</v>
      </c>
      <c r="BA2">
        <f>BDH("GLND US Equity","TURNOVER","2016-06-30","2021-06-30","Per=M","Days=T","Dir=V")</f>
        <v>0</v>
      </c>
      <c r="BC2">
        <f>BDH("GLND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BDH("GLNDW US Equity","BS_TOT_ASSET","2016-06-30","2021-06-30","Per=Y","Days=T","Dir=V")</f>
        <v>0</v>
      </c>
      <c r="C2">
        <f>BDH("GLNDW US Equity","BS_TOT_LIAB2","2016-06-30","2021-06-30","Per=Y","Days=T","Dir=V")</f>
        <v>0</v>
      </c>
      <c r="E2">
        <f>BDH("GLNDW US Equity","SHORT_AND_LONG_TERM_DEBT","2016-06-30","2021-06-30","Per=Y","Days=T","Dir=V")</f>
        <v>0</v>
      </c>
      <c r="G2">
        <f>BDH("GLNDW US Equity","BS_ST_BORROW","2016-06-30","2021-06-30","Per=Y","Days=T","Dir=V")</f>
        <v>0</v>
      </c>
      <c r="I2">
        <f>BDH("GLNDW US Equity","BS_LT_BORROW","2016-06-30","2021-06-30","Per=Y","Days=T","Dir=V")</f>
        <v>0</v>
      </c>
      <c r="K2">
        <f>BDH("GLNDW US Equity","BS_CASH_NEAR_CASH_ITEM","2016-06-30","2021-06-30","Per=Y","Days=T","Dir=V")</f>
        <v>0</v>
      </c>
      <c r="M2">
        <f>BDH("GLNDW US Equity","BS_CUR_ASSET_REPORT","2016-06-30","2021-06-30","Per=Y","Days=T","Dir=V")</f>
        <v>0</v>
      </c>
      <c r="O2">
        <f>BDH("GLNDW US Equity","BS_CUR_LIAB","2016-06-30","2021-06-30","Per=Y","Days=T","Dir=V")</f>
        <v>0</v>
      </c>
      <c r="Q2">
        <f>BDH("GLNDW US Equity","BS_SHAREHOLDER_EQY_ENDING_PERIOD","2016-06-30","2021-06-30","Per=Y","Days=T","Dir=V")</f>
        <v>0</v>
      </c>
      <c r="S2">
        <f>BDH("GLNDW US Equity","BS_ACCT_NOTE_RCV","2016-06-30","2021-06-30","Per=Y","Days=T","Dir=V")</f>
        <v>0</v>
      </c>
      <c r="U2">
        <f>BDH("GLNDW US Equity","BS_INVENTORIES","2016-06-30","2021-06-30","Per=Y","Days=T","Dir=V")</f>
        <v>0</v>
      </c>
      <c r="W2">
        <f>BDH("GLNDW US Equity","WORKING_CAPITAL","2016-06-30","2021-06-30","Per=Y","Days=T","Dir=V")</f>
        <v>0</v>
      </c>
      <c r="Y2">
        <f>BDH("GLNDW US Equity","SALES_REV_TURN","2016-06-30","2021-06-30","Per=Y","Days=T","Dir=V")</f>
        <v>0</v>
      </c>
      <c r="AA2">
        <f>BDH("GLNDW US Equity","EBIT","2016-06-30","2021-06-30","Per=Y","Days=T","Dir=V")</f>
        <v>0</v>
      </c>
      <c r="AC2">
        <f>BDH("GLNDW US Equity","EBITDA","2016-06-30","2021-06-30","Per=Y","Days=T","Dir=V")</f>
        <v>0</v>
      </c>
      <c r="AE2">
        <f>BDH("GLNDW US Equity","NET_INCOME","2016-06-30","2021-06-30","Per=Y","Days=T","Dir=V")</f>
        <v>0</v>
      </c>
      <c r="AG2">
        <f>BDH("GLNDW US Equity","IS_INT_EXPENSE","2016-06-30","2021-06-30","Per=Y","Days=T","Dir=V")</f>
        <v>0</v>
      </c>
      <c r="AI2">
        <f>BDH("GLNDW US Equity","IS_DEPR_EXP","2016-06-30","2021-06-30","Per=Y","Days=T","Dir=V")</f>
        <v>0</v>
      </c>
      <c r="AK2">
        <f>BDH("GLNDW US Equity","CF_CASH_FROM_OPER","2016-06-30","2021-06-30","Per=Y","Days=T","Dir=V")</f>
        <v>0</v>
      </c>
      <c r="AM2">
        <f>BDH("GLNDW US Equity","CAPITAL_EXPEND","2016-06-30","2021-06-30","Per=Y","Days=T","Dir=V")</f>
        <v>0</v>
      </c>
      <c r="AO2">
        <f>BDH("GLNDW US Equity","CF_FREE_CASH_FLOW","2016-06-30","2021-06-30","Per=Y","Days=T","Dir=V")</f>
        <v>0</v>
      </c>
      <c r="AQ2">
        <f>BDH("GLNDW US Equity","PX_LAST","2016-06-30","2021-06-30","Per=M","Days=T","Dir=V")</f>
        <v>0</v>
      </c>
      <c r="AS2">
        <f>BDH("GLNDW US Equity","CUR_MKT_CAP","2016-06-30","2021-06-30","Per=M","Days=T","Dir=V")</f>
        <v>0</v>
      </c>
      <c r="AU2">
        <f>BDH("GLNDW US Equity","EQY_SH_OUT","2016-06-30","2021-06-30","Per=M","Days=T","Dir=V")</f>
        <v>0</v>
      </c>
      <c r="AW2">
        <f>BDH("GLNDW US Equity","BETA_RAW_OVERRIABLE","2016-06-30","2021-06-30","Per=M","Days=T","Dir=V")</f>
        <v>0</v>
      </c>
      <c r="AY2">
        <f>BDH("GLNDW US Equity","PX_VOLUME","2016-06-30","2021-06-30","Per=M","Days=T","Dir=V")</f>
        <v>0</v>
      </c>
      <c r="BA2">
        <f>BDH("GLNDW US Equity","TURNOVER","2016-06-30","2021-06-30","Per=M","Days=T","Dir=V")</f>
        <v>0</v>
      </c>
      <c r="BC2">
        <f>BDH("GLNDW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BDH("APC US Equity","BS_TOT_ASSET","2016-06-30","2021-06-30","Per=Y","Days=T","Dir=V")</f>
        <v>0</v>
      </c>
      <c r="C2">
        <f>BDH("APC US Equity","BS_TOT_LIAB2","2016-06-30","2021-06-30","Per=Y","Days=T","Dir=V")</f>
        <v>0</v>
      </c>
      <c r="E2">
        <f>BDH("APC US Equity","SHORT_AND_LONG_TERM_DEBT","2016-06-30","2021-06-30","Per=Y","Days=T","Dir=V")</f>
        <v>0</v>
      </c>
      <c r="G2">
        <f>BDH("APC US Equity","BS_ST_BORROW","2016-06-30","2021-06-30","Per=Y","Days=T","Dir=V")</f>
        <v>0</v>
      </c>
      <c r="I2">
        <f>BDH("APC US Equity","BS_LT_BORROW","2016-06-30","2021-06-30","Per=Y","Days=T","Dir=V")</f>
        <v>0</v>
      </c>
      <c r="K2">
        <f>BDH("APC US Equity","BS_CASH_NEAR_CASH_ITEM","2016-06-30","2021-06-30","Per=Y","Days=T","Dir=V")</f>
        <v>0</v>
      </c>
      <c r="M2">
        <f>BDH("APC US Equity","BS_CUR_ASSET_REPORT","2016-06-30","2021-06-30","Per=Y","Days=T","Dir=V")</f>
        <v>0</v>
      </c>
      <c r="O2">
        <f>BDH("APC US Equity","BS_CUR_LIAB","2016-06-30","2021-06-30","Per=Y","Days=T","Dir=V")</f>
        <v>0</v>
      </c>
      <c r="Q2">
        <f>BDH("APC US Equity","BS_SHAREHOLDER_EQY_ENDING_PERIOD","2016-06-30","2021-06-30","Per=Y","Days=T","Dir=V")</f>
        <v>0</v>
      </c>
      <c r="S2">
        <f>BDH("APC US Equity","BS_ACCT_NOTE_RCV","2016-06-30","2021-06-30","Per=Y","Days=T","Dir=V")</f>
        <v>0</v>
      </c>
      <c r="U2">
        <f>BDH("APC US Equity","BS_INVENTORIES","2016-06-30","2021-06-30","Per=Y","Days=T","Dir=V")</f>
        <v>0</v>
      </c>
      <c r="W2">
        <f>BDH("APC US Equity","WORKING_CAPITAL","2016-06-30","2021-06-30","Per=Y","Days=T","Dir=V")</f>
        <v>0</v>
      </c>
      <c r="Y2">
        <f>BDH("APC US Equity","SALES_REV_TURN","2016-06-30","2021-06-30","Per=Y","Days=T","Dir=V")</f>
        <v>0</v>
      </c>
      <c r="AA2">
        <f>BDH("APC US Equity","EBIT","2016-06-30","2021-06-30","Per=Y","Days=T","Dir=V")</f>
        <v>0</v>
      </c>
      <c r="AC2">
        <f>BDH("APC US Equity","EBITDA","2016-06-30","2021-06-30","Per=Y","Days=T","Dir=V")</f>
        <v>0</v>
      </c>
      <c r="AE2">
        <f>BDH("APC US Equity","NET_INCOME","2016-06-30","2021-06-30","Per=Y","Days=T","Dir=V")</f>
        <v>0</v>
      </c>
      <c r="AG2">
        <f>BDH("APC US Equity","IS_INT_EXPENSE","2016-06-30","2021-06-30","Per=Y","Days=T","Dir=V")</f>
        <v>0</v>
      </c>
      <c r="AI2">
        <f>BDH("APC US Equity","IS_DEPR_EXP","2016-06-30","2021-06-30","Per=Y","Days=T","Dir=V")</f>
        <v>0</v>
      </c>
      <c r="AK2">
        <f>BDH("APC US Equity","CF_CASH_FROM_OPER","2016-06-30","2021-06-30","Per=Y","Days=T","Dir=V")</f>
        <v>0</v>
      </c>
      <c r="AM2">
        <f>BDH("APC US Equity","CAPITAL_EXPEND","2016-06-30","2021-06-30","Per=Y","Days=T","Dir=V")</f>
        <v>0</v>
      </c>
      <c r="AO2">
        <f>BDH("APC US Equity","CF_FREE_CASH_FLOW","2016-06-30","2021-06-30","Per=Y","Days=T","Dir=V")</f>
        <v>0</v>
      </c>
      <c r="AQ2">
        <f>BDH("APC US Equity","PX_LAST","2016-06-30","2021-06-30","Per=M","Days=T","Dir=V")</f>
        <v>0</v>
      </c>
      <c r="AS2">
        <f>BDH("APC US Equity","CUR_MKT_CAP","2016-06-30","2021-06-30","Per=M","Days=T","Dir=V")</f>
        <v>0</v>
      </c>
      <c r="AU2">
        <f>BDH("APC US Equity","EQY_SH_OUT","2016-06-30","2021-06-30","Per=M","Days=T","Dir=V")</f>
        <v>0</v>
      </c>
      <c r="AW2">
        <f>BDH("APC US Equity","BETA_RAW_OVERRIABLE","2016-06-30","2021-06-30","Per=M","Days=T","Dir=V")</f>
        <v>0</v>
      </c>
      <c r="AY2">
        <f>BDH("APC US Equity","PX_VOLUME","2016-06-30","2021-06-30","Per=M","Days=T","Dir=V")</f>
        <v>0</v>
      </c>
      <c r="BA2">
        <f>BDH("APC US Equity","TURNOVER","2016-06-30","2021-06-30","Per=M","Days=T","Dir=V")</f>
        <v>0</v>
      </c>
      <c r="BC2">
        <f>BDH("APC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BDH("TUSK US Equity","BS_TOT_ASSET","2016-06-30","2021-06-30","Per=Y","Days=T","Dir=V")</f>
        <v>0</v>
      </c>
      <c r="C2">
        <f>BDH("TUSK US Equity","BS_TOT_LIAB2","2016-06-30","2021-06-30","Per=Y","Days=T","Dir=V")</f>
        <v>0</v>
      </c>
      <c r="E2">
        <f>BDH("TUSK US Equity","SHORT_AND_LONG_TERM_DEBT","2016-06-30","2021-06-30","Per=Y","Days=T","Dir=V")</f>
        <v>0</v>
      </c>
      <c r="G2">
        <f>BDH("TUSK US Equity","BS_ST_BORROW","2016-06-30","2021-06-30","Per=Y","Days=T","Dir=V")</f>
        <v>0</v>
      </c>
      <c r="I2">
        <f>BDH("TUSK US Equity","BS_LT_BORROW","2016-06-30","2021-06-30","Per=Y","Days=T","Dir=V")</f>
        <v>0</v>
      </c>
      <c r="K2">
        <f>BDH("TUSK US Equity","BS_CASH_NEAR_CASH_ITEM","2016-06-30","2021-06-30","Per=Y","Days=T","Dir=V")</f>
        <v>0</v>
      </c>
      <c r="M2">
        <f>BDH("TUSK US Equity","BS_CUR_ASSET_REPORT","2016-06-30","2021-06-30","Per=Y","Days=T","Dir=V")</f>
        <v>0</v>
      </c>
      <c r="O2">
        <f>BDH("TUSK US Equity","BS_CUR_LIAB","2016-06-30","2021-06-30","Per=Y","Days=T","Dir=V")</f>
        <v>0</v>
      </c>
      <c r="Q2">
        <f>BDH("TUSK US Equity","BS_SHAREHOLDER_EQY_ENDING_PERIOD","2016-06-30","2021-06-30","Per=Y","Days=T","Dir=V")</f>
        <v>0</v>
      </c>
      <c r="S2">
        <f>BDH("TUSK US Equity","BS_ACCT_NOTE_RCV","2016-06-30","2021-06-30","Per=Y","Days=T","Dir=V")</f>
        <v>0</v>
      </c>
      <c r="U2">
        <f>BDH("TUSK US Equity","BS_INVENTORIES","2016-06-30","2021-06-30","Per=Y","Days=T","Dir=V")</f>
        <v>0</v>
      </c>
      <c r="W2">
        <f>BDH("TUSK US Equity","WORKING_CAPITAL","2016-06-30","2021-06-30","Per=Y","Days=T","Dir=V")</f>
        <v>0</v>
      </c>
      <c r="Y2">
        <f>BDH("TUSK US Equity","SALES_REV_TURN","2016-06-30","2021-06-30","Per=Y","Days=T","Dir=V")</f>
        <v>0</v>
      </c>
      <c r="AA2">
        <f>BDH("TUSK US Equity","EBIT","2016-06-30","2021-06-30","Per=Y","Days=T","Dir=V")</f>
        <v>0</v>
      </c>
      <c r="AC2">
        <f>BDH("TUSK US Equity","EBITDA","2016-06-30","2021-06-30","Per=Y","Days=T","Dir=V")</f>
        <v>0</v>
      </c>
      <c r="AE2">
        <f>BDH("TUSK US Equity","NET_INCOME","2016-06-30","2021-06-30","Per=Y","Days=T","Dir=V")</f>
        <v>0</v>
      </c>
      <c r="AG2">
        <f>BDH("TUSK US Equity","IS_INT_EXPENSE","2016-06-30","2021-06-30","Per=Y","Days=T","Dir=V")</f>
        <v>0</v>
      </c>
      <c r="AI2">
        <f>BDH("TUSK US Equity","IS_DEPR_EXP","2016-06-30","2021-06-30","Per=Y","Days=T","Dir=V")</f>
        <v>0</v>
      </c>
      <c r="AK2">
        <f>BDH("TUSK US Equity","CF_CASH_FROM_OPER","2016-06-30","2021-06-30","Per=Y","Days=T","Dir=V")</f>
        <v>0</v>
      </c>
      <c r="AM2">
        <f>BDH("TUSK US Equity","CAPITAL_EXPEND","2016-06-30","2021-06-30","Per=Y","Days=T","Dir=V")</f>
        <v>0</v>
      </c>
      <c r="AO2">
        <f>BDH("TUSK US Equity","CF_FREE_CASH_FLOW","2016-06-30","2021-06-30","Per=Y","Days=T","Dir=V")</f>
        <v>0</v>
      </c>
      <c r="AQ2">
        <f>BDH("TUSK US Equity","PX_LAST","2016-06-30","2021-06-30","Per=M","Days=T","Dir=V")</f>
        <v>0</v>
      </c>
      <c r="AS2">
        <f>BDH("TUSK US Equity","CUR_MKT_CAP","2016-06-30","2021-06-30","Per=M","Days=T","Dir=V")</f>
        <v>0</v>
      </c>
      <c r="AU2">
        <f>BDH("TUSK US Equity","EQY_SH_OUT","2016-06-30","2021-06-30","Per=M","Days=T","Dir=V")</f>
        <v>0</v>
      </c>
      <c r="AW2">
        <f>BDH("TUSK US Equity","BETA_RAW_OVERRIABLE","2016-06-30","2021-06-30","Per=M","Days=T","Dir=V")</f>
        <v>0</v>
      </c>
      <c r="AY2">
        <f>BDH("TUSK US Equity","PX_VOLUME","2016-06-30","2021-06-30","Per=M","Days=T","Dir=V")</f>
        <v>0</v>
      </c>
      <c r="BA2">
        <f>BDH("TUSK US Equity","TURNOVER","2016-06-30","2021-06-30","Per=M","Days=T","Dir=V")</f>
        <v>0</v>
      </c>
      <c r="BC2">
        <f>BDH("TUSK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BDH("ATYR US Equity","BS_TOT_ASSET","2016-06-30","2021-06-30","Per=Y","Days=T","Dir=V")</f>
        <v>0</v>
      </c>
      <c r="C2">
        <f>BDH("ATYR US Equity","BS_TOT_LIAB2","2016-06-30","2021-06-30","Per=Y","Days=T","Dir=V")</f>
        <v>0</v>
      </c>
      <c r="E2">
        <f>BDH("ATYR US Equity","SHORT_AND_LONG_TERM_DEBT","2016-06-30","2021-06-30","Per=Y","Days=T","Dir=V")</f>
        <v>0</v>
      </c>
      <c r="G2">
        <f>BDH("ATYR US Equity","BS_ST_BORROW","2016-06-30","2021-06-30","Per=Y","Days=T","Dir=V")</f>
        <v>0</v>
      </c>
      <c r="I2">
        <f>BDH("ATYR US Equity","BS_LT_BORROW","2016-06-30","2021-06-30","Per=Y","Days=T","Dir=V")</f>
        <v>0</v>
      </c>
      <c r="K2">
        <f>BDH("ATYR US Equity","BS_CASH_NEAR_CASH_ITEM","2016-06-30","2021-06-30","Per=Y","Days=T","Dir=V")</f>
        <v>0</v>
      </c>
      <c r="M2">
        <f>BDH("ATYR US Equity","BS_CUR_ASSET_REPORT","2016-06-30","2021-06-30","Per=Y","Days=T","Dir=V")</f>
        <v>0</v>
      </c>
      <c r="O2">
        <f>BDH("ATYR US Equity","BS_CUR_LIAB","2016-06-30","2021-06-30","Per=Y","Days=T","Dir=V")</f>
        <v>0</v>
      </c>
      <c r="Q2">
        <f>BDH("ATYR US Equity","BS_SHAREHOLDER_EQY_ENDING_PERIOD","2016-06-30","2021-06-30","Per=Y","Days=T","Dir=V")</f>
        <v>0</v>
      </c>
      <c r="S2">
        <f>BDH("ATYR US Equity","BS_ACCT_NOTE_RCV","2016-06-30","2021-06-30","Per=Y","Days=T","Dir=V")</f>
        <v>0</v>
      </c>
      <c r="U2">
        <f>BDH("ATYR US Equity","BS_INVENTORIES","2016-06-30","2021-06-30","Per=Y","Days=T","Dir=V")</f>
        <v>0</v>
      </c>
      <c r="W2">
        <f>BDH("ATYR US Equity","WORKING_CAPITAL","2016-06-30","2021-06-30","Per=Y","Days=T","Dir=V")</f>
        <v>0</v>
      </c>
      <c r="Y2">
        <f>BDH("ATYR US Equity","SALES_REV_TURN","2016-06-30","2021-06-30","Per=Y","Days=T","Dir=V")</f>
        <v>0</v>
      </c>
      <c r="AA2">
        <f>BDH("ATYR US Equity","EBIT","2016-06-30","2021-06-30","Per=Y","Days=T","Dir=V")</f>
        <v>0</v>
      </c>
      <c r="AC2">
        <f>BDH("ATYR US Equity","EBITDA","2016-06-30","2021-06-30","Per=Y","Days=T","Dir=V")</f>
        <v>0</v>
      </c>
      <c r="AE2">
        <f>BDH("ATYR US Equity","NET_INCOME","2016-06-30","2021-06-30","Per=Y","Days=T","Dir=V")</f>
        <v>0</v>
      </c>
      <c r="AG2">
        <f>BDH("ATYR US Equity","IS_INT_EXPENSE","2016-06-30","2021-06-30","Per=Y","Days=T","Dir=V")</f>
        <v>0</v>
      </c>
      <c r="AI2">
        <f>BDH("ATYR US Equity","IS_DEPR_EXP","2016-06-30","2021-06-30","Per=Y","Days=T","Dir=V")</f>
        <v>0</v>
      </c>
      <c r="AK2">
        <f>BDH("ATYR US Equity","CF_CASH_FROM_OPER","2016-06-30","2021-06-30","Per=Y","Days=T","Dir=V")</f>
        <v>0</v>
      </c>
      <c r="AM2">
        <f>BDH("ATYR US Equity","CAPITAL_EXPEND","2016-06-30","2021-06-30","Per=Y","Days=T","Dir=V")</f>
        <v>0</v>
      </c>
      <c r="AO2">
        <f>BDH("ATYR US Equity","CF_FREE_CASH_FLOW","2016-06-30","2021-06-30","Per=Y","Days=T","Dir=V")</f>
        <v>0</v>
      </c>
      <c r="AQ2">
        <f>BDH("ATYR US Equity","PX_LAST","2016-06-30","2021-06-30","Per=M","Days=T","Dir=V")</f>
        <v>0</v>
      </c>
      <c r="AS2">
        <f>BDH("ATYR US Equity","CUR_MKT_CAP","2016-06-30","2021-06-30","Per=M","Days=T","Dir=V")</f>
        <v>0</v>
      </c>
      <c r="AU2">
        <f>BDH("ATYR US Equity","EQY_SH_OUT","2016-06-30","2021-06-30","Per=M","Days=T","Dir=V")</f>
        <v>0</v>
      </c>
      <c r="AW2">
        <f>BDH("ATYR US Equity","BETA_RAW_OVERRIABLE","2016-06-30","2021-06-30","Per=M","Days=T","Dir=V")</f>
        <v>0</v>
      </c>
      <c r="AY2">
        <f>BDH("ATYR US Equity","PX_VOLUME","2016-06-30","2021-06-30","Per=M","Days=T","Dir=V")</f>
        <v>0</v>
      </c>
      <c r="BA2">
        <f>BDH("ATYR US Equity","TURNOVER","2016-06-30","2021-06-30","Per=M","Days=T","Dir=V")</f>
        <v>0</v>
      </c>
      <c r="BC2">
        <f>BDH("ATYR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BDH("BIIB US Equity","BS_TOT_ASSET","2016-06-30","2021-06-30","Per=Y","Days=T","Dir=V")</f>
        <v>0</v>
      </c>
      <c r="C2">
        <f>BDH("BIIB US Equity","BS_TOT_LIAB2","2016-06-30","2021-06-30","Per=Y","Days=T","Dir=V")</f>
        <v>0</v>
      </c>
      <c r="E2">
        <f>BDH("BIIB US Equity","SHORT_AND_LONG_TERM_DEBT","2016-06-30","2021-06-30","Per=Y","Days=T","Dir=V")</f>
        <v>0</v>
      </c>
      <c r="G2">
        <f>BDH("BIIB US Equity","BS_ST_BORROW","2016-06-30","2021-06-30","Per=Y","Days=T","Dir=V")</f>
        <v>0</v>
      </c>
      <c r="I2">
        <f>BDH("BIIB US Equity","BS_LT_BORROW","2016-06-30","2021-06-30","Per=Y","Days=T","Dir=V")</f>
        <v>0</v>
      </c>
      <c r="K2">
        <f>BDH("BIIB US Equity","BS_CASH_NEAR_CASH_ITEM","2016-06-30","2021-06-30","Per=Y","Days=T","Dir=V")</f>
        <v>0</v>
      </c>
      <c r="M2">
        <f>BDH("BIIB US Equity","BS_CUR_ASSET_REPORT","2016-06-30","2021-06-30","Per=Y","Days=T","Dir=V")</f>
        <v>0</v>
      </c>
      <c r="O2">
        <f>BDH("BIIB US Equity","BS_CUR_LIAB","2016-06-30","2021-06-30","Per=Y","Days=T","Dir=V")</f>
        <v>0</v>
      </c>
      <c r="Q2">
        <f>BDH("BIIB US Equity","BS_SHAREHOLDER_EQY_ENDING_PERIOD","2016-06-30","2021-06-30","Per=Y","Days=T","Dir=V")</f>
        <v>0</v>
      </c>
      <c r="S2">
        <f>BDH("BIIB US Equity","BS_ACCT_NOTE_RCV","2016-06-30","2021-06-30","Per=Y","Days=T","Dir=V")</f>
        <v>0</v>
      </c>
      <c r="U2">
        <f>BDH("BIIB US Equity","BS_INVENTORIES","2016-06-30","2021-06-30","Per=Y","Days=T","Dir=V")</f>
        <v>0</v>
      </c>
      <c r="W2">
        <f>BDH("BIIB US Equity","WORKING_CAPITAL","2016-06-30","2021-06-30","Per=Y","Days=T","Dir=V")</f>
        <v>0</v>
      </c>
      <c r="Y2">
        <f>BDH("BIIB US Equity","SALES_REV_TURN","2016-06-30","2021-06-30","Per=Y","Days=T","Dir=V")</f>
        <v>0</v>
      </c>
      <c r="AA2">
        <f>BDH("BIIB US Equity","EBIT","2016-06-30","2021-06-30","Per=Y","Days=T","Dir=V")</f>
        <v>0</v>
      </c>
      <c r="AC2">
        <f>BDH("BIIB US Equity","EBITDA","2016-06-30","2021-06-30","Per=Y","Days=T","Dir=V")</f>
        <v>0</v>
      </c>
      <c r="AE2">
        <f>BDH("BIIB US Equity","NET_INCOME","2016-06-30","2021-06-30","Per=Y","Days=T","Dir=V")</f>
        <v>0</v>
      </c>
      <c r="AG2">
        <f>BDH("BIIB US Equity","IS_INT_EXPENSE","2016-06-30","2021-06-30","Per=Y","Days=T","Dir=V")</f>
        <v>0</v>
      </c>
      <c r="AI2">
        <f>BDH("BIIB US Equity","IS_DEPR_EXP","2016-06-30","2021-06-30","Per=Y","Days=T","Dir=V")</f>
        <v>0</v>
      </c>
      <c r="AK2">
        <f>BDH("BIIB US Equity","CF_CASH_FROM_OPER","2016-06-30","2021-06-30","Per=Y","Days=T","Dir=V")</f>
        <v>0</v>
      </c>
      <c r="AM2">
        <f>BDH("BIIB US Equity","CAPITAL_EXPEND","2016-06-30","2021-06-30","Per=Y","Days=T","Dir=V")</f>
        <v>0</v>
      </c>
      <c r="AO2">
        <f>BDH("BIIB US Equity","CF_FREE_CASH_FLOW","2016-06-30","2021-06-30","Per=Y","Days=T","Dir=V")</f>
        <v>0</v>
      </c>
      <c r="AQ2">
        <f>BDH("BIIB US Equity","PX_LAST","2016-06-30","2021-06-30","Per=M","Days=T","Dir=V")</f>
        <v>0</v>
      </c>
      <c r="AS2">
        <f>BDH("BIIB US Equity","CUR_MKT_CAP","2016-06-30","2021-06-30","Per=M","Days=T","Dir=V")</f>
        <v>0</v>
      </c>
      <c r="AU2">
        <f>BDH("BIIB US Equity","EQY_SH_OUT","2016-06-30","2021-06-30","Per=M","Days=T","Dir=V")</f>
        <v>0</v>
      </c>
      <c r="AW2">
        <f>BDH("BIIB US Equity","BETA_RAW_OVERRIABLE","2016-06-30","2021-06-30","Per=M","Days=T","Dir=V")</f>
        <v>0</v>
      </c>
      <c r="AY2">
        <f>BDH("BIIB US Equity","PX_VOLUME","2016-06-30","2021-06-30","Per=M","Days=T","Dir=V")</f>
        <v>0</v>
      </c>
      <c r="BA2">
        <f>BDH("BIIB US Equity","TURNOVER","2016-06-30","2021-06-30","Per=M","Days=T","Dir=V")</f>
        <v>0</v>
      </c>
      <c r="BC2">
        <f>BDH("BIIB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BDH("EDIT US Equity","BS_TOT_ASSET","2016-06-30","2021-06-30","Per=Y","Days=T","Dir=V")</f>
        <v>0</v>
      </c>
      <c r="C2">
        <f>BDH("EDIT US Equity","BS_TOT_LIAB2","2016-06-30","2021-06-30","Per=Y","Days=T","Dir=V")</f>
        <v>0</v>
      </c>
      <c r="E2">
        <f>BDH("EDIT US Equity","SHORT_AND_LONG_TERM_DEBT","2016-06-30","2021-06-30","Per=Y","Days=T","Dir=V")</f>
        <v>0</v>
      </c>
      <c r="G2">
        <f>BDH("EDIT US Equity","BS_ST_BORROW","2016-06-30","2021-06-30","Per=Y","Days=T","Dir=V")</f>
        <v>0</v>
      </c>
      <c r="I2">
        <f>BDH("EDIT US Equity","BS_LT_BORROW","2016-06-30","2021-06-30","Per=Y","Days=T","Dir=V")</f>
        <v>0</v>
      </c>
      <c r="K2">
        <f>BDH("EDIT US Equity","BS_CASH_NEAR_CASH_ITEM","2016-06-30","2021-06-30","Per=Y","Days=T","Dir=V")</f>
        <v>0</v>
      </c>
      <c r="M2">
        <f>BDH("EDIT US Equity","BS_CUR_ASSET_REPORT","2016-06-30","2021-06-30","Per=Y","Days=T","Dir=V")</f>
        <v>0</v>
      </c>
      <c r="O2">
        <f>BDH("EDIT US Equity","BS_CUR_LIAB","2016-06-30","2021-06-30","Per=Y","Days=T","Dir=V")</f>
        <v>0</v>
      </c>
      <c r="Q2">
        <f>BDH("EDIT US Equity","BS_SHAREHOLDER_EQY_ENDING_PERIOD","2016-06-30","2021-06-30","Per=Y","Days=T","Dir=V")</f>
        <v>0</v>
      </c>
      <c r="S2">
        <f>BDH("EDIT US Equity","BS_ACCT_NOTE_RCV","2016-06-30","2021-06-30","Per=Y","Days=T","Dir=V")</f>
        <v>0</v>
      </c>
      <c r="U2">
        <f>BDH("EDIT US Equity","BS_INVENTORIES","2016-06-30","2021-06-30","Per=Y","Days=T","Dir=V")</f>
        <v>0</v>
      </c>
      <c r="W2">
        <f>BDH("EDIT US Equity","WORKING_CAPITAL","2016-06-30","2021-06-30","Per=Y","Days=T","Dir=V")</f>
        <v>0</v>
      </c>
      <c r="Y2">
        <f>BDH("EDIT US Equity","SALES_REV_TURN","2016-06-30","2021-06-30","Per=Y","Days=T","Dir=V")</f>
        <v>0</v>
      </c>
      <c r="AA2">
        <f>BDH("EDIT US Equity","EBIT","2016-06-30","2021-06-30","Per=Y","Days=T","Dir=V")</f>
        <v>0</v>
      </c>
      <c r="AC2">
        <f>BDH("EDIT US Equity","EBITDA","2016-06-30","2021-06-30","Per=Y","Days=T","Dir=V")</f>
        <v>0</v>
      </c>
      <c r="AE2">
        <f>BDH("EDIT US Equity","NET_INCOME","2016-06-30","2021-06-30","Per=Y","Days=T","Dir=V")</f>
        <v>0</v>
      </c>
      <c r="AG2">
        <f>BDH("EDIT US Equity","IS_INT_EXPENSE","2016-06-30","2021-06-30","Per=Y","Days=T","Dir=V")</f>
        <v>0</v>
      </c>
      <c r="AI2">
        <f>BDH("EDIT US Equity","IS_DEPR_EXP","2016-06-30","2021-06-30","Per=Y","Days=T","Dir=V")</f>
        <v>0</v>
      </c>
      <c r="AK2">
        <f>BDH("EDIT US Equity","CF_CASH_FROM_OPER","2016-06-30","2021-06-30","Per=Y","Days=T","Dir=V")</f>
        <v>0</v>
      </c>
      <c r="AM2">
        <f>BDH("EDIT US Equity","CAPITAL_EXPEND","2016-06-30","2021-06-30","Per=Y","Days=T","Dir=V")</f>
        <v>0</v>
      </c>
      <c r="AO2">
        <f>BDH("EDIT US Equity","CF_FREE_CASH_FLOW","2016-06-30","2021-06-30","Per=Y","Days=T","Dir=V")</f>
        <v>0</v>
      </c>
      <c r="AQ2">
        <f>BDH("EDIT US Equity","PX_LAST","2016-06-30","2021-06-30","Per=M","Days=T","Dir=V")</f>
        <v>0</v>
      </c>
      <c r="AS2">
        <f>BDH("EDIT US Equity","CUR_MKT_CAP","2016-06-30","2021-06-30","Per=M","Days=T","Dir=V")</f>
        <v>0</v>
      </c>
      <c r="AU2">
        <f>BDH("EDIT US Equity","EQY_SH_OUT","2016-06-30","2021-06-30","Per=M","Days=T","Dir=V")</f>
        <v>0</v>
      </c>
      <c r="AW2">
        <f>BDH("EDIT US Equity","BETA_RAW_OVERRIABLE","2016-06-30","2021-06-30","Per=M","Days=T","Dir=V")</f>
        <v>0</v>
      </c>
      <c r="AY2">
        <f>BDH("EDIT US Equity","PX_VOLUME","2016-06-30","2021-06-30","Per=M","Days=T","Dir=V")</f>
        <v>0</v>
      </c>
      <c r="BA2">
        <f>BDH("EDIT US Equity","TURNOVER","2016-06-30","2021-06-30","Per=M","Days=T","Dir=V")</f>
        <v>0</v>
      </c>
      <c r="BC2">
        <f>BDH("EDIT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BDH("IKT US Equity","BS_TOT_ASSET","2016-06-30","2021-06-30","Per=Y","Days=T","Dir=V")</f>
        <v>0</v>
      </c>
      <c r="C2">
        <f>BDH("IKT US Equity","BS_TOT_LIAB2","2016-06-30","2021-06-30","Per=Y","Days=T","Dir=V")</f>
        <v>0</v>
      </c>
      <c r="E2">
        <f>BDH("IKT US Equity","SHORT_AND_LONG_TERM_DEBT","2016-06-30","2021-06-30","Per=Y","Days=T","Dir=V")</f>
        <v>0</v>
      </c>
      <c r="G2">
        <f>BDH("IKT US Equity","BS_ST_BORROW","2016-06-30","2021-06-30","Per=Y","Days=T","Dir=V")</f>
        <v>0</v>
      </c>
      <c r="I2">
        <f>BDH("IKT US Equity","BS_LT_BORROW","2016-06-30","2021-06-30","Per=Y","Days=T","Dir=V")</f>
        <v>0</v>
      </c>
      <c r="K2">
        <f>BDH("IKT US Equity","BS_CASH_NEAR_CASH_ITEM","2016-06-30","2021-06-30","Per=Y","Days=T","Dir=V")</f>
        <v>0</v>
      </c>
      <c r="M2">
        <f>BDH("IKT US Equity","BS_CUR_ASSET_REPORT","2016-06-30","2021-06-30","Per=Y","Days=T","Dir=V")</f>
        <v>0</v>
      </c>
      <c r="O2">
        <f>BDH("IKT US Equity","BS_CUR_LIAB","2016-06-30","2021-06-30","Per=Y","Days=T","Dir=V")</f>
        <v>0</v>
      </c>
      <c r="Q2">
        <f>BDH("IKT US Equity","BS_SHAREHOLDER_EQY_ENDING_PERIOD","2016-06-30","2021-06-30","Per=Y","Days=T","Dir=V")</f>
        <v>0</v>
      </c>
      <c r="S2">
        <f>BDH("IKT US Equity","BS_ACCT_NOTE_RCV","2016-06-30","2021-06-30","Per=Y","Days=T","Dir=V")</f>
        <v>0</v>
      </c>
      <c r="U2">
        <f>BDH("IKT US Equity","BS_INVENTORIES","2016-06-30","2021-06-30","Per=Y","Days=T","Dir=V")</f>
        <v>0</v>
      </c>
      <c r="W2">
        <f>BDH("IKT US Equity","WORKING_CAPITAL","2016-06-30","2021-06-30","Per=Y","Days=T","Dir=V")</f>
        <v>0</v>
      </c>
      <c r="Y2">
        <f>BDH("IKT US Equity","SALES_REV_TURN","2016-06-30","2021-06-30","Per=Y","Days=T","Dir=V")</f>
        <v>0</v>
      </c>
      <c r="AA2">
        <f>BDH("IKT US Equity","EBIT","2016-06-30","2021-06-30","Per=Y","Days=T","Dir=V")</f>
        <v>0</v>
      </c>
      <c r="AC2">
        <f>BDH("IKT US Equity","EBITDA","2016-06-30","2021-06-30","Per=Y","Days=T","Dir=V")</f>
        <v>0</v>
      </c>
      <c r="AE2">
        <f>BDH("IKT US Equity","NET_INCOME","2016-06-30","2021-06-30","Per=Y","Days=T","Dir=V")</f>
        <v>0</v>
      </c>
      <c r="AG2">
        <f>BDH("IKT US Equity","IS_INT_EXPENSE","2016-06-30","2021-06-30","Per=Y","Days=T","Dir=V")</f>
        <v>0</v>
      </c>
      <c r="AI2">
        <f>BDH("IKT US Equity","IS_DEPR_EXP","2016-06-30","2021-06-30","Per=Y","Days=T","Dir=V")</f>
        <v>0</v>
      </c>
      <c r="AK2">
        <f>BDH("IKT US Equity","CF_CASH_FROM_OPER","2016-06-30","2021-06-30","Per=Y","Days=T","Dir=V")</f>
        <v>0</v>
      </c>
      <c r="AM2">
        <f>BDH("IKT US Equity","CAPITAL_EXPEND","2016-06-30","2021-06-30","Per=Y","Days=T","Dir=V")</f>
        <v>0</v>
      </c>
      <c r="AO2">
        <f>BDH("IKT US Equity","CF_FREE_CASH_FLOW","2016-06-30","2021-06-30","Per=Y","Days=T","Dir=V")</f>
        <v>0</v>
      </c>
      <c r="AQ2">
        <f>BDH("IKT US Equity","PX_LAST","2016-06-30","2021-06-30","Per=M","Days=T","Dir=V")</f>
        <v>0</v>
      </c>
      <c r="AS2">
        <f>BDH("IKT US Equity","CUR_MKT_CAP","2016-06-30","2021-06-30","Per=M","Days=T","Dir=V")</f>
        <v>0</v>
      </c>
      <c r="AU2">
        <f>BDH("IKT US Equity","EQY_SH_OUT","2016-06-30","2021-06-30","Per=M","Days=T","Dir=V")</f>
        <v>0</v>
      </c>
      <c r="AW2">
        <f>BDH("IKT US Equity","BETA_RAW_OVERRIABLE","2016-06-30","2021-06-30","Per=M","Days=T","Dir=V")</f>
        <v>0</v>
      </c>
      <c r="AY2">
        <f>BDH("IKT US Equity","PX_VOLUME","2016-06-30","2021-06-30","Per=M","Days=T","Dir=V")</f>
        <v>0</v>
      </c>
      <c r="BA2">
        <f>BDH("IKT US Equity","TURNOVER","2016-06-30","2021-06-30","Per=M","Days=T","Dir=V")</f>
        <v>0</v>
      </c>
      <c r="BC2">
        <f>BDH("IKT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BDH("INMB US Equity","BS_TOT_ASSET","2016-06-30","2021-06-30","Per=Y","Days=T","Dir=V")</f>
        <v>0</v>
      </c>
      <c r="C2">
        <f>BDH("INMB US Equity","BS_TOT_LIAB2","2016-06-30","2021-06-30","Per=Y","Days=T","Dir=V")</f>
        <v>0</v>
      </c>
      <c r="E2">
        <f>BDH("INMB US Equity","SHORT_AND_LONG_TERM_DEBT","2016-06-30","2021-06-30","Per=Y","Days=T","Dir=V")</f>
        <v>0</v>
      </c>
      <c r="G2">
        <f>BDH("INMB US Equity","BS_ST_BORROW","2016-06-30","2021-06-30","Per=Y","Days=T","Dir=V")</f>
        <v>0</v>
      </c>
      <c r="I2">
        <f>BDH("INMB US Equity","BS_LT_BORROW","2016-06-30","2021-06-30","Per=Y","Days=T","Dir=V")</f>
        <v>0</v>
      </c>
      <c r="K2">
        <f>BDH("INMB US Equity","BS_CASH_NEAR_CASH_ITEM","2016-06-30","2021-06-30","Per=Y","Days=T","Dir=V")</f>
        <v>0</v>
      </c>
      <c r="M2">
        <f>BDH("INMB US Equity","BS_CUR_ASSET_REPORT","2016-06-30","2021-06-30","Per=Y","Days=T","Dir=V")</f>
        <v>0</v>
      </c>
      <c r="O2">
        <f>BDH("INMB US Equity","BS_CUR_LIAB","2016-06-30","2021-06-30","Per=Y","Days=T","Dir=V")</f>
        <v>0</v>
      </c>
      <c r="Q2">
        <f>BDH("INMB US Equity","BS_SHAREHOLDER_EQY_ENDING_PERIOD","2016-06-30","2021-06-30","Per=Y","Days=T","Dir=V")</f>
        <v>0</v>
      </c>
      <c r="S2">
        <f>BDH("INMB US Equity","BS_ACCT_NOTE_RCV","2016-06-30","2021-06-30","Per=Y","Days=T","Dir=V")</f>
        <v>0</v>
      </c>
      <c r="U2">
        <f>BDH("INMB US Equity","BS_INVENTORIES","2016-06-30","2021-06-30","Per=Y","Days=T","Dir=V")</f>
        <v>0</v>
      </c>
      <c r="W2">
        <f>BDH("INMB US Equity","WORKING_CAPITAL","2016-06-30","2021-06-30","Per=Y","Days=T","Dir=V")</f>
        <v>0</v>
      </c>
      <c r="Y2">
        <f>BDH("INMB US Equity","SALES_REV_TURN","2016-06-30","2021-06-30","Per=Y","Days=T","Dir=V")</f>
        <v>0</v>
      </c>
      <c r="AA2">
        <f>BDH("INMB US Equity","EBIT","2016-06-30","2021-06-30","Per=Y","Days=T","Dir=V")</f>
        <v>0</v>
      </c>
      <c r="AC2">
        <f>BDH("INMB US Equity","EBITDA","2016-06-30","2021-06-30","Per=Y","Days=T","Dir=V")</f>
        <v>0</v>
      </c>
      <c r="AE2">
        <f>BDH("INMB US Equity","NET_INCOME","2016-06-30","2021-06-30","Per=Y","Days=T","Dir=V")</f>
        <v>0</v>
      </c>
      <c r="AG2">
        <f>BDH("INMB US Equity","IS_INT_EXPENSE","2016-06-30","2021-06-30","Per=Y","Days=T","Dir=V")</f>
        <v>0</v>
      </c>
      <c r="AI2">
        <f>BDH("INMB US Equity","IS_DEPR_EXP","2016-06-30","2021-06-30","Per=Y","Days=T","Dir=V")</f>
        <v>0</v>
      </c>
      <c r="AK2">
        <f>BDH("INMB US Equity","CF_CASH_FROM_OPER","2016-06-30","2021-06-30","Per=Y","Days=T","Dir=V")</f>
        <v>0</v>
      </c>
      <c r="AM2">
        <f>BDH("INMB US Equity","CAPITAL_EXPEND","2016-06-30","2021-06-30","Per=Y","Days=T","Dir=V")</f>
        <v>0</v>
      </c>
      <c r="AO2">
        <f>BDH("INMB US Equity","CF_FREE_CASH_FLOW","2016-06-30","2021-06-30","Per=Y","Days=T","Dir=V")</f>
        <v>0</v>
      </c>
      <c r="AQ2">
        <f>BDH("INMB US Equity","PX_LAST","2016-06-30","2021-06-30","Per=M","Days=T","Dir=V")</f>
        <v>0</v>
      </c>
      <c r="AS2">
        <f>BDH("INMB US Equity","CUR_MKT_CAP","2016-06-30","2021-06-30","Per=M","Days=T","Dir=V")</f>
        <v>0</v>
      </c>
      <c r="AU2">
        <f>BDH("INMB US Equity","EQY_SH_OUT","2016-06-30","2021-06-30","Per=M","Days=T","Dir=V")</f>
        <v>0</v>
      </c>
      <c r="AW2">
        <f>BDH("INMB US Equity","BETA_RAW_OVERRIABLE","2016-06-30","2021-06-30","Per=M","Days=T","Dir=V")</f>
        <v>0</v>
      </c>
      <c r="AY2">
        <f>BDH("INMB US Equity","PX_VOLUME","2016-06-30","2021-06-30","Per=M","Days=T","Dir=V")</f>
        <v>0</v>
      </c>
      <c r="BA2">
        <f>BDH("INMB US Equity","TURNOVER","2016-06-30","2021-06-30","Per=M","Days=T","Dir=V")</f>
        <v>0</v>
      </c>
      <c r="BC2">
        <f>BDH("INMB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BDH("RGEN US Equity","BS_TOT_ASSET","2016-06-30","2021-06-30","Per=Y","Days=T","Dir=V")</f>
        <v>0</v>
      </c>
      <c r="C2">
        <f>BDH("RGEN US Equity","BS_TOT_LIAB2","2016-06-30","2021-06-30","Per=Y","Days=T","Dir=V")</f>
        <v>0</v>
      </c>
      <c r="E2">
        <f>BDH("RGEN US Equity","SHORT_AND_LONG_TERM_DEBT","2016-06-30","2021-06-30","Per=Y","Days=T","Dir=V")</f>
        <v>0</v>
      </c>
      <c r="G2">
        <f>BDH("RGEN US Equity","BS_ST_BORROW","2016-06-30","2021-06-30","Per=Y","Days=T","Dir=V")</f>
        <v>0</v>
      </c>
      <c r="I2">
        <f>BDH("RGEN US Equity","BS_LT_BORROW","2016-06-30","2021-06-30","Per=Y","Days=T","Dir=V")</f>
        <v>0</v>
      </c>
      <c r="K2">
        <f>BDH("RGEN US Equity","BS_CASH_NEAR_CASH_ITEM","2016-06-30","2021-06-30","Per=Y","Days=T","Dir=V")</f>
        <v>0</v>
      </c>
      <c r="M2">
        <f>BDH("RGEN US Equity","BS_CUR_ASSET_REPORT","2016-06-30","2021-06-30","Per=Y","Days=T","Dir=V")</f>
        <v>0</v>
      </c>
      <c r="O2">
        <f>BDH("RGEN US Equity","BS_CUR_LIAB","2016-06-30","2021-06-30","Per=Y","Days=T","Dir=V")</f>
        <v>0</v>
      </c>
      <c r="Q2">
        <f>BDH("RGEN US Equity","BS_SHAREHOLDER_EQY_ENDING_PERIOD","2016-06-30","2021-06-30","Per=Y","Days=T","Dir=V")</f>
        <v>0</v>
      </c>
      <c r="S2">
        <f>BDH("RGEN US Equity","BS_ACCT_NOTE_RCV","2016-06-30","2021-06-30","Per=Y","Days=T","Dir=V")</f>
        <v>0</v>
      </c>
      <c r="U2">
        <f>BDH("RGEN US Equity","BS_INVENTORIES","2016-06-30","2021-06-30","Per=Y","Days=T","Dir=V")</f>
        <v>0</v>
      </c>
      <c r="W2">
        <f>BDH("RGEN US Equity","WORKING_CAPITAL","2016-06-30","2021-06-30","Per=Y","Days=T","Dir=V")</f>
        <v>0</v>
      </c>
      <c r="Y2">
        <f>BDH("RGEN US Equity","SALES_REV_TURN","2016-06-30","2021-06-30","Per=Y","Days=T","Dir=V")</f>
        <v>0</v>
      </c>
      <c r="AA2">
        <f>BDH("RGEN US Equity","EBIT","2016-06-30","2021-06-30","Per=Y","Days=T","Dir=V")</f>
        <v>0</v>
      </c>
      <c r="AC2">
        <f>BDH("RGEN US Equity","EBITDA","2016-06-30","2021-06-30","Per=Y","Days=T","Dir=V")</f>
        <v>0</v>
      </c>
      <c r="AE2">
        <f>BDH("RGEN US Equity","NET_INCOME","2016-06-30","2021-06-30","Per=Y","Days=T","Dir=V")</f>
        <v>0</v>
      </c>
      <c r="AG2">
        <f>BDH("RGEN US Equity","IS_INT_EXPENSE","2016-06-30","2021-06-30","Per=Y","Days=T","Dir=V")</f>
        <v>0</v>
      </c>
      <c r="AI2">
        <f>BDH("RGEN US Equity","IS_DEPR_EXP","2016-06-30","2021-06-30","Per=Y","Days=T","Dir=V")</f>
        <v>0</v>
      </c>
      <c r="AK2">
        <f>BDH("RGEN US Equity","CF_CASH_FROM_OPER","2016-06-30","2021-06-30","Per=Y","Days=T","Dir=V")</f>
        <v>0</v>
      </c>
      <c r="AM2">
        <f>BDH("RGEN US Equity","CAPITAL_EXPEND","2016-06-30","2021-06-30","Per=Y","Days=T","Dir=V")</f>
        <v>0</v>
      </c>
      <c r="AO2">
        <f>BDH("RGEN US Equity","CF_FREE_CASH_FLOW","2016-06-30","2021-06-30","Per=Y","Days=T","Dir=V")</f>
        <v>0</v>
      </c>
      <c r="AQ2">
        <f>BDH("RGEN US Equity","PX_LAST","2016-06-30","2021-06-30","Per=M","Days=T","Dir=V")</f>
        <v>0</v>
      </c>
      <c r="AS2">
        <f>BDH("RGEN US Equity","CUR_MKT_CAP","2016-06-30","2021-06-30","Per=M","Days=T","Dir=V")</f>
        <v>0</v>
      </c>
      <c r="AU2">
        <f>BDH("RGEN US Equity","EQY_SH_OUT","2016-06-30","2021-06-30","Per=M","Days=T","Dir=V")</f>
        <v>0</v>
      </c>
      <c r="AW2">
        <f>BDH("RGEN US Equity","BETA_RAW_OVERRIABLE","2016-06-30","2021-06-30","Per=M","Days=T","Dir=V")</f>
        <v>0</v>
      </c>
      <c r="AY2">
        <f>BDH("RGEN US Equity","PX_VOLUME","2016-06-30","2021-06-30","Per=M","Days=T","Dir=V")</f>
        <v>0</v>
      </c>
      <c r="BA2">
        <f>BDH("RGEN US Equity","TURNOVER","2016-06-30","2021-06-30","Per=M","Days=T","Dir=V")</f>
        <v>0</v>
      </c>
      <c r="BC2">
        <f>BDH("RGEN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BDH("RVMDW US Equity","BS_TOT_ASSET","2016-06-30","2021-06-30","Per=Y","Days=T","Dir=V")</f>
        <v>0</v>
      </c>
      <c r="C2">
        <f>BDH("RVMDW US Equity","BS_TOT_LIAB2","2016-06-30","2021-06-30","Per=Y","Days=T","Dir=V")</f>
        <v>0</v>
      </c>
      <c r="E2">
        <f>BDH("RVMDW US Equity","SHORT_AND_LONG_TERM_DEBT","2016-06-30","2021-06-30","Per=Y","Days=T","Dir=V")</f>
        <v>0</v>
      </c>
      <c r="G2">
        <f>BDH("RVMDW US Equity","BS_ST_BORROW","2016-06-30","2021-06-30","Per=Y","Days=T","Dir=V")</f>
        <v>0</v>
      </c>
      <c r="I2">
        <f>BDH("RVMDW US Equity","BS_LT_BORROW","2016-06-30","2021-06-30","Per=Y","Days=T","Dir=V")</f>
        <v>0</v>
      </c>
      <c r="K2">
        <f>BDH("RVMDW US Equity","BS_CASH_NEAR_CASH_ITEM","2016-06-30","2021-06-30","Per=Y","Days=T","Dir=V")</f>
        <v>0</v>
      </c>
      <c r="M2">
        <f>BDH("RVMDW US Equity","BS_CUR_ASSET_REPORT","2016-06-30","2021-06-30","Per=Y","Days=T","Dir=V")</f>
        <v>0</v>
      </c>
      <c r="O2">
        <f>BDH("RVMDW US Equity","BS_CUR_LIAB","2016-06-30","2021-06-30","Per=Y","Days=T","Dir=V")</f>
        <v>0</v>
      </c>
      <c r="Q2">
        <f>BDH("RVMDW US Equity","BS_SHAREHOLDER_EQY_ENDING_PERIOD","2016-06-30","2021-06-30","Per=Y","Days=T","Dir=V")</f>
        <v>0</v>
      </c>
      <c r="S2">
        <f>BDH("RVMDW US Equity","BS_ACCT_NOTE_RCV","2016-06-30","2021-06-30","Per=Y","Days=T","Dir=V")</f>
        <v>0</v>
      </c>
      <c r="U2">
        <f>BDH("RVMDW US Equity","BS_INVENTORIES","2016-06-30","2021-06-30","Per=Y","Days=T","Dir=V")</f>
        <v>0</v>
      </c>
      <c r="W2">
        <f>BDH("RVMDW US Equity","WORKING_CAPITAL","2016-06-30","2021-06-30","Per=Y","Days=T","Dir=V")</f>
        <v>0</v>
      </c>
      <c r="Y2">
        <f>BDH("RVMDW US Equity","SALES_REV_TURN","2016-06-30","2021-06-30","Per=Y","Days=T","Dir=V")</f>
        <v>0</v>
      </c>
      <c r="AA2">
        <f>BDH("RVMDW US Equity","EBIT","2016-06-30","2021-06-30","Per=Y","Days=T","Dir=V")</f>
        <v>0</v>
      </c>
      <c r="AC2">
        <f>BDH("RVMDW US Equity","EBITDA","2016-06-30","2021-06-30","Per=Y","Days=T","Dir=V")</f>
        <v>0</v>
      </c>
      <c r="AE2">
        <f>BDH("RVMDW US Equity","NET_INCOME","2016-06-30","2021-06-30","Per=Y","Days=T","Dir=V")</f>
        <v>0</v>
      </c>
      <c r="AG2">
        <f>BDH("RVMDW US Equity","IS_INT_EXPENSE","2016-06-30","2021-06-30","Per=Y","Days=T","Dir=V")</f>
        <v>0</v>
      </c>
      <c r="AI2">
        <f>BDH("RVMDW US Equity","IS_DEPR_EXP","2016-06-30","2021-06-30","Per=Y","Days=T","Dir=V")</f>
        <v>0</v>
      </c>
      <c r="AK2">
        <f>BDH("RVMDW US Equity","CF_CASH_FROM_OPER","2016-06-30","2021-06-30","Per=Y","Days=T","Dir=V")</f>
        <v>0</v>
      </c>
      <c r="AM2">
        <f>BDH("RVMDW US Equity","CAPITAL_EXPEND","2016-06-30","2021-06-30","Per=Y","Days=T","Dir=V")</f>
        <v>0</v>
      </c>
      <c r="AO2">
        <f>BDH("RVMDW US Equity","CF_FREE_CASH_FLOW","2016-06-30","2021-06-30","Per=Y","Days=T","Dir=V")</f>
        <v>0</v>
      </c>
      <c r="AQ2">
        <f>BDH("RVMDW US Equity","PX_LAST","2016-06-30","2021-06-30","Per=M","Days=T","Dir=V")</f>
        <v>0</v>
      </c>
      <c r="AS2">
        <f>BDH("RVMDW US Equity","CUR_MKT_CAP","2016-06-30","2021-06-30","Per=M","Days=T","Dir=V")</f>
        <v>0</v>
      </c>
      <c r="AU2">
        <f>BDH("RVMDW US Equity","EQY_SH_OUT","2016-06-30","2021-06-30","Per=M","Days=T","Dir=V")</f>
        <v>0</v>
      </c>
      <c r="AW2">
        <f>BDH("RVMDW US Equity","BETA_RAW_OVERRIABLE","2016-06-30","2021-06-30","Per=M","Days=T","Dir=V")</f>
        <v>0</v>
      </c>
      <c r="AY2">
        <f>BDH("RVMDW US Equity","PX_VOLUME","2016-06-30","2021-06-30","Per=M","Days=T","Dir=V")</f>
        <v>0</v>
      </c>
      <c r="BA2">
        <f>BDH("RVMDW US Equity","TURNOVER","2016-06-30","2021-06-30","Per=M","Days=T","Dir=V")</f>
        <v>0</v>
      </c>
      <c r="BC2">
        <f>BDH("RVMDW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BDH("SCLX US Equity","BS_TOT_ASSET","2016-06-30","2021-06-30","Per=Y","Days=T","Dir=V")</f>
        <v>0</v>
      </c>
      <c r="C2">
        <f>BDH("SCLX US Equity","BS_TOT_LIAB2","2016-06-30","2021-06-30","Per=Y","Days=T","Dir=V")</f>
        <v>0</v>
      </c>
      <c r="E2">
        <f>BDH("SCLX US Equity","SHORT_AND_LONG_TERM_DEBT","2016-06-30","2021-06-30","Per=Y","Days=T","Dir=V")</f>
        <v>0</v>
      </c>
      <c r="G2">
        <f>BDH("SCLX US Equity","BS_ST_BORROW","2016-06-30","2021-06-30","Per=Y","Days=T","Dir=V")</f>
        <v>0</v>
      </c>
      <c r="I2">
        <f>BDH("SCLX US Equity","BS_LT_BORROW","2016-06-30","2021-06-30","Per=Y","Days=T","Dir=V")</f>
        <v>0</v>
      </c>
      <c r="K2">
        <f>BDH("SCLX US Equity","BS_CASH_NEAR_CASH_ITEM","2016-06-30","2021-06-30","Per=Y","Days=T","Dir=V")</f>
        <v>0</v>
      </c>
      <c r="M2">
        <f>BDH("SCLX US Equity","BS_CUR_ASSET_REPORT","2016-06-30","2021-06-30","Per=Y","Days=T","Dir=V")</f>
        <v>0</v>
      </c>
      <c r="O2">
        <f>BDH("SCLX US Equity","BS_CUR_LIAB","2016-06-30","2021-06-30","Per=Y","Days=T","Dir=V")</f>
        <v>0</v>
      </c>
      <c r="Q2">
        <f>BDH("SCLX US Equity","BS_SHAREHOLDER_EQY_ENDING_PERIOD","2016-06-30","2021-06-30","Per=Y","Days=T","Dir=V")</f>
        <v>0</v>
      </c>
      <c r="S2">
        <f>BDH("SCLX US Equity","BS_ACCT_NOTE_RCV","2016-06-30","2021-06-30","Per=Y","Days=T","Dir=V")</f>
        <v>0</v>
      </c>
      <c r="U2">
        <f>BDH("SCLX US Equity","BS_INVENTORIES","2016-06-30","2021-06-30","Per=Y","Days=T","Dir=V")</f>
        <v>0</v>
      </c>
      <c r="W2">
        <f>BDH("SCLX US Equity","WORKING_CAPITAL","2016-06-30","2021-06-30","Per=Y","Days=T","Dir=V")</f>
        <v>0</v>
      </c>
      <c r="Y2">
        <f>BDH("SCLX US Equity","SALES_REV_TURN","2016-06-30","2021-06-30","Per=Y","Days=T","Dir=V")</f>
        <v>0</v>
      </c>
      <c r="AA2">
        <f>BDH("SCLX US Equity","EBIT","2016-06-30","2021-06-30","Per=Y","Days=T","Dir=V")</f>
        <v>0</v>
      </c>
      <c r="AC2">
        <f>BDH("SCLX US Equity","EBITDA","2016-06-30","2021-06-30","Per=Y","Days=T","Dir=V")</f>
        <v>0</v>
      </c>
      <c r="AE2">
        <f>BDH("SCLX US Equity","NET_INCOME","2016-06-30","2021-06-30","Per=Y","Days=T","Dir=V")</f>
        <v>0</v>
      </c>
      <c r="AG2">
        <f>BDH("SCLX US Equity","IS_INT_EXPENSE","2016-06-30","2021-06-30","Per=Y","Days=T","Dir=V")</f>
        <v>0</v>
      </c>
      <c r="AI2">
        <f>BDH("SCLX US Equity","IS_DEPR_EXP","2016-06-30","2021-06-30","Per=Y","Days=T","Dir=V")</f>
        <v>0</v>
      </c>
      <c r="AK2">
        <f>BDH("SCLX US Equity","CF_CASH_FROM_OPER","2016-06-30","2021-06-30","Per=Y","Days=T","Dir=V")</f>
        <v>0</v>
      </c>
      <c r="AM2">
        <f>BDH("SCLX US Equity","CAPITAL_EXPEND","2016-06-30","2021-06-30","Per=Y","Days=T","Dir=V")</f>
        <v>0</v>
      </c>
      <c r="AO2">
        <f>BDH("SCLX US Equity","CF_FREE_CASH_FLOW","2016-06-30","2021-06-30","Per=Y","Days=T","Dir=V")</f>
        <v>0</v>
      </c>
      <c r="AQ2">
        <f>BDH("SCLX US Equity","PX_LAST","2016-06-30","2021-06-30","Per=M","Days=T","Dir=V")</f>
        <v>0</v>
      </c>
      <c r="AS2">
        <f>BDH("SCLX US Equity","CUR_MKT_CAP","2016-06-30","2021-06-30","Per=M","Days=T","Dir=V")</f>
        <v>0</v>
      </c>
      <c r="AU2">
        <f>BDH("SCLX US Equity","EQY_SH_OUT","2016-06-30","2021-06-30","Per=M","Days=T","Dir=V")</f>
        <v>0</v>
      </c>
      <c r="AW2">
        <f>BDH("SCLX US Equity","BETA_RAW_OVERRIABLE","2016-06-30","2021-06-30","Per=M","Days=T","Dir=V")</f>
        <v>0</v>
      </c>
      <c r="AY2">
        <f>BDH("SCLX US Equity","PX_VOLUME","2016-06-30","2021-06-30","Per=M","Days=T","Dir=V")</f>
        <v>0</v>
      </c>
      <c r="BA2">
        <f>BDH("SCLX US Equity","TURNOVER","2016-06-30","2021-06-30","Per=M","Days=T","Dir=V")</f>
        <v>0</v>
      </c>
      <c r="BC2">
        <f>BDH("SCLX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BDH("TWST US Equity","BS_TOT_ASSET","2016-06-30","2021-06-30","Per=Y","Days=T","Dir=V")</f>
        <v>0</v>
      </c>
      <c r="C2">
        <f>BDH("TWST US Equity","BS_TOT_LIAB2","2016-06-30","2021-06-30","Per=Y","Days=T","Dir=V")</f>
        <v>0</v>
      </c>
      <c r="E2">
        <f>BDH("TWST US Equity","SHORT_AND_LONG_TERM_DEBT","2016-06-30","2021-06-30","Per=Y","Days=T","Dir=V")</f>
        <v>0</v>
      </c>
      <c r="G2">
        <f>BDH("TWST US Equity","BS_ST_BORROW","2016-06-30","2021-06-30","Per=Y","Days=T","Dir=V")</f>
        <v>0</v>
      </c>
      <c r="I2">
        <f>BDH("TWST US Equity","BS_LT_BORROW","2016-06-30","2021-06-30","Per=Y","Days=T","Dir=V")</f>
        <v>0</v>
      </c>
      <c r="K2">
        <f>BDH("TWST US Equity","BS_CASH_NEAR_CASH_ITEM","2016-06-30","2021-06-30","Per=Y","Days=T","Dir=V")</f>
        <v>0</v>
      </c>
      <c r="M2">
        <f>BDH("TWST US Equity","BS_CUR_ASSET_REPORT","2016-06-30","2021-06-30","Per=Y","Days=T","Dir=V")</f>
        <v>0</v>
      </c>
      <c r="O2">
        <f>BDH("TWST US Equity","BS_CUR_LIAB","2016-06-30","2021-06-30","Per=Y","Days=T","Dir=V")</f>
        <v>0</v>
      </c>
      <c r="Q2">
        <f>BDH("TWST US Equity","BS_SHAREHOLDER_EQY_ENDING_PERIOD","2016-06-30","2021-06-30","Per=Y","Days=T","Dir=V")</f>
        <v>0</v>
      </c>
      <c r="S2">
        <f>BDH("TWST US Equity","BS_ACCT_NOTE_RCV","2016-06-30","2021-06-30","Per=Y","Days=T","Dir=V")</f>
        <v>0</v>
      </c>
      <c r="U2">
        <f>BDH("TWST US Equity","BS_INVENTORIES","2016-06-30","2021-06-30","Per=Y","Days=T","Dir=V")</f>
        <v>0</v>
      </c>
      <c r="W2">
        <f>BDH("TWST US Equity","WORKING_CAPITAL","2016-06-30","2021-06-30","Per=Y","Days=T","Dir=V")</f>
        <v>0</v>
      </c>
      <c r="Y2">
        <f>BDH("TWST US Equity","SALES_REV_TURN","2016-06-30","2021-06-30","Per=Y","Days=T","Dir=V")</f>
        <v>0</v>
      </c>
      <c r="AA2">
        <f>BDH("TWST US Equity","EBIT","2016-06-30","2021-06-30","Per=Y","Days=T","Dir=V")</f>
        <v>0</v>
      </c>
      <c r="AC2">
        <f>BDH("TWST US Equity","EBITDA","2016-06-30","2021-06-30","Per=Y","Days=T","Dir=V")</f>
        <v>0</v>
      </c>
      <c r="AE2">
        <f>BDH("TWST US Equity","NET_INCOME","2016-06-30","2021-06-30","Per=Y","Days=T","Dir=V")</f>
        <v>0</v>
      </c>
      <c r="AG2">
        <f>BDH("TWST US Equity","IS_INT_EXPENSE","2016-06-30","2021-06-30","Per=Y","Days=T","Dir=V")</f>
        <v>0</v>
      </c>
      <c r="AI2">
        <f>BDH("TWST US Equity","IS_DEPR_EXP","2016-06-30","2021-06-30","Per=Y","Days=T","Dir=V")</f>
        <v>0</v>
      </c>
      <c r="AK2">
        <f>BDH("TWST US Equity","CF_CASH_FROM_OPER","2016-06-30","2021-06-30","Per=Y","Days=T","Dir=V")</f>
        <v>0</v>
      </c>
      <c r="AM2">
        <f>BDH("TWST US Equity","CAPITAL_EXPEND","2016-06-30","2021-06-30","Per=Y","Days=T","Dir=V")</f>
        <v>0</v>
      </c>
      <c r="AO2">
        <f>BDH("TWST US Equity","CF_FREE_CASH_FLOW","2016-06-30","2021-06-30","Per=Y","Days=T","Dir=V")</f>
        <v>0</v>
      </c>
      <c r="AQ2">
        <f>BDH("TWST US Equity","PX_LAST","2016-06-30","2021-06-30","Per=M","Days=T","Dir=V")</f>
        <v>0</v>
      </c>
      <c r="AS2">
        <f>BDH("TWST US Equity","CUR_MKT_CAP","2016-06-30","2021-06-30","Per=M","Days=T","Dir=V")</f>
        <v>0</v>
      </c>
      <c r="AU2">
        <f>BDH("TWST US Equity","EQY_SH_OUT","2016-06-30","2021-06-30","Per=M","Days=T","Dir=V")</f>
        <v>0</v>
      </c>
      <c r="AW2">
        <f>BDH("TWST US Equity","BETA_RAW_OVERRIABLE","2016-06-30","2021-06-30","Per=M","Days=T","Dir=V")</f>
        <v>0</v>
      </c>
      <c r="AY2">
        <f>BDH("TWST US Equity","PX_VOLUME","2016-06-30","2021-06-30","Per=M","Days=T","Dir=V")</f>
        <v>0</v>
      </c>
      <c r="BA2">
        <f>BDH("TWST US Equity","TURNOVER","2016-06-30","2021-06-30","Per=M","Days=T","Dir=V")</f>
        <v>0</v>
      </c>
      <c r="BC2">
        <f>BDH("TWST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BDH("OABI US Equity","BS_TOT_ASSET","2016-06-30","2021-06-30","Per=Y","Days=T","Dir=V")</f>
        <v>0</v>
      </c>
      <c r="C2">
        <f>BDH("OABI US Equity","BS_TOT_LIAB2","2016-06-30","2021-06-30","Per=Y","Days=T","Dir=V")</f>
        <v>0</v>
      </c>
      <c r="E2">
        <f>BDH("OABI US Equity","SHORT_AND_LONG_TERM_DEBT","2016-06-30","2021-06-30","Per=Y","Days=T","Dir=V")</f>
        <v>0</v>
      </c>
      <c r="G2">
        <f>BDH("OABI US Equity","BS_ST_BORROW","2016-06-30","2021-06-30","Per=Y","Days=T","Dir=V")</f>
        <v>0</v>
      </c>
      <c r="I2">
        <f>BDH("OABI US Equity","BS_LT_BORROW","2016-06-30","2021-06-30","Per=Y","Days=T","Dir=V")</f>
        <v>0</v>
      </c>
      <c r="K2">
        <f>BDH("OABI US Equity","BS_CASH_NEAR_CASH_ITEM","2016-06-30","2021-06-30","Per=Y","Days=T","Dir=V")</f>
        <v>0</v>
      </c>
      <c r="M2">
        <f>BDH("OABI US Equity","BS_CUR_ASSET_REPORT","2016-06-30","2021-06-30","Per=Y","Days=T","Dir=V")</f>
        <v>0</v>
      </c>
      <c r="O2">
        <f>BDH("OABI US Equity","BS_CUR_LIAB","2016-06-30","2021-06-30","Per=Y","Days=T","Dir=V")</f>
        <v>0</v>
      </c>
      <c r="Q2">
        <f>BDH("OABI US Equity","BS_SHAREHOLDER_EQY_ENDING_PERIOD","2016-06-30","2021-06-30","Per=Y","Days=T","Dir=V")</f>
        <v>0</v>
      </c>
      <c r="S2">
        <f>BDH("OABI US Equity","BS_ACCT_NOTE_RCV","2016-06-30","2021-06-30","Per=Y","Days=T","Dir=V")</f>
        <v>0</v>
      </c>
      <c r="U2">
        <f>BDH("OABI US Equity","BS_INVENTORIES","2016-06-30","2021-06-30","Per=Y","Days=T","Dir=V")</f>
        <v>0</v>
      </c>
      <c r="W2">
        <f>BDH("OABI US Equity","WORKING_CAPITAL","2016-06-30","2021-06-30","Per=Y","Days=T","Dir=V")</f>
        <v>0</v>
      </c>
      <c r="Y2">
        <f>BDH("OABI US Equity","SALES_REV_TURN","2016-06-30","2021-06-30","Per=Y","Days=T","Dir=V")</f>
        <v>0</v>
      </c>
      <c r="AA2">
        <f>BDH("OABI US Equity","EBIT","2016-06-30","2021-06-30","Per=Y","Days=T","Dir=V")</f>
        <v>0</v>
      </c>
      <c r="AC2">
        <f>BDH("OABI US Equity","EBITDA","2016-06-30","2021-06-30","Per=Y","Days=T","Dir=V")</f>
        <v>0</v>
      </c>
      <c r="AE2">
        <f>BDH("OABI US Equity","NET_INCOME","2016-06-30","2021-06-30","Per=Y","Days=T","Dir=V")</f>
        <v>0</v>
      </c>
      <c r="AG2">
        <f>BDH("OABI US Equity","IS_INT_EXPENSE","2016-06-30","2021-06-30","Per=Y","Days=T","Dir=V")</f>
        <v>0</v>
      </c>
      <c r="AI2">
        <f>BDH("OABI US Equity","IS_DEPR_EXP","2016-06-30","2021-06-30","Per=Y","Days=T","Dir=V")</f>
        <v>0</v>
      </c>
      <c r="AK2">
        <f>BDH("OABI US Equity","CF_CASH_FROM_OPER","2016-06-30","2021-06-30","Per=Y","Days=T","Dir=V")</f>
        <v>0</v>
      </c>
      <c r="AM2">
        <f>BDH("OABI US Equity","CAPITAL_EXPEND","2016-06-30","2021-06-30","Per=Y","Days=T","Dir=V")</f>
        <v>0</v>
      </c>
      <c r="AO2">
        <f>BDH("OABI US Equity","CF_FREE_CASH_FLOW","2016-06-30","2021-06-30","Per=Y","Days=T","Dir=V")</f>
        <v>0</v>
      </c>
      <c r="AQ2">
        <f>BDH("OABI US Equity","PX_LAST","2016-06-30","2021-06-30","Per=M","Days=T","Dir=V")</f>
        <v>0</v>
      </c>
      <c r="AS2">
        <f>BDH("OABI US Equity","CUR_MKT_CAP","2016-06-30","2021-06-30","Per=M","Days=T","Dir=V")</f>
        <v>0</v>
      </c>
      <c r="AU2">
        <f>BDH("OABI US Equity","EQY_SH_OUT","2016-06-30","2021-06-30","Per=M","Days=T","Dir=V")</f>
        <v>0</v>
      </c>
      <c r="AW2">
        <f>BDH("OABI US Equity","BETA_RAW_OVERRIABLE","2016-06-30","2021-06-30","Per=M","Days=T","Dir=V")</f>
        <v>0</v>
      </c>
      <c r="AY2">
        <f>BDH("OABI US Equity","PX_VOLUME","2016-06-30","2021-06-30","Per=M","Days=T","Dir=V")</f>
        <v>0</v>
      </c>
      <c r="BA2">
        <f>BDH("OABI US Equity","TURNOVER","2016-06-30","2021-06-30","Per=M","Days=T","Dir=V")</f>
        <v>0</v>
      </c>
      <c r="BC2">
        <f>BDH("OABI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BDH("NXL US Equity","BS_TOT_ASSET","2016-06-30","2021-06-30","Per=Y","Days=T","Dir=V")</f>
        <v>0</v>
      </c>
      <c r="C2">
        <f>BDH("NXL US Equity","BS_TOT_LIAB2","2016-06-30","2021-06-30","Per=Y","Days=T","Dir=V")</f>
        <v>0</v>
      </c>
      <c r="E2">
        <f>BDH("NXL US Equity","SHORT_AND_LONG_TERM_DEBT","2016-06-30","2021-06-30","Per=Y","Days=T","Dir=V")</f>
        <v>0</v>
      </c>
      <c r="G2">
        <f>BDH("NXL US Equity","BS_ST_BORROW","2016-06-30","2021-06-30","Per=Y","Days=T","Dir=V")</f>
        <v>0</v>
      </c>
      <c r="I2">
        <f>BDH("NXL US Equity","BS_LT_BORROW","2016-06-30","2021-06-30","Per=Y","Days=T","Dir=V")</f>
        <v>0</v>
      </c>
      <c r="K2">
        <f>BDH("NXL US Equity","BS_CASH_NEAR_CASH_ITEM","2016-06-30","2021-06-30","Per=Y","Days=T","Dir=V")</f>
        <v>0</v>
      </c>
      <c r="M2">
        <f>BDH("NXL US Equity","BS_CUR_ASSET_REPORT","2016-06-30","2021-06-30","Per=Y","Days=T","Dir=V")</f>
        <v>0</v>
      </c>
      <c r="O2">
        <f>BDH("NXL US Equity","BS_CUR_LIAB","2016-06-30","2021-06-30","Per=Y","Days=T","Dir=V")</f>
        <v>0</v>
      </c>
      <c r="Q2">
        <f>BDH("NXL US Equity","BS_SHAREHOLDER_EQY_ENDING_PERIOD","2016-06-30","2021-06-30","Per=Y","Days=T","Dir=V")</f>
        <v>0</v>
      </c>
      <c r="S2">
        <f>BDH("NXL US Equity","BS_ACCT_NOTE_RCV","2016-06-30","2021-06-30","Per=Y","Days=T","Dir=V")</f>
        <v>0</v>
      </c>
      <c r="U2">
        <f>BDH("NXL US Equity","BS_INVENTORIES","2016-06-30","2021-06-30","Per=Y","Days=T","Dir=V")</f>
        <v>0</v>
      </c>
      <c r="W2">
        <f>BDH("NXL US Equity","WORKING_CAPITAL","2016-06-30","2021-06-30","Per=Y","Days=T","Dir=V")</f>
        <v>0</v>
      </c>
      <c r="Y2">
        <f>BDH("NXL US Equity","SALES_REV_TURN","2016-06-30","2021-06-30","Per=Y","Days=T","Dir=V")</f>
        <v>0</v>
      </c>
      <c r="AA2">
        <f>BDH("NXL US Equity","EBIT","2016-06-30","2021-06-30","Per=Y","Days=T","Dir=V")</f>
        <v>0</v>
      </c>
      <c r="AC2">
        <f>BDH("NXL US Equity","EBITDA","2016-06-30","2021-06-30","Per=Y","Days=T","Dir=V")</f>
        <v>0</v>
      </c>
      <c r="AE2">
        <f>BDH("NXL US Equity","NET_INCOME","2016-06-30","2021-06-30","Per=Y","Days=T","Dir=V")</f>
        <v>0</v>
      </c>
      <c r="AG2">
        <f>BDH("NXL US Equity","IS_INT_EXPENSE","2016-06-30","2021-06-30","Per=Y","Days=T","Dir=V")</f>
        <v>0</v>
      </c>
      <c r="AI2">
        <f>BDH("NXL US Equity","IS_DEPR_EXP","2016-06-30","2021-06-30","Per=Y","Days=T","Dir=V")</f>
        <v>0</v>
      </c>
      <c r="AK2">
        <f>BDH("NXL US Equity","CF_CASH_FROM_OPER","2016-06-30","2021-06-30","Per=Y","Days=T","Dir=V")</f>
        <v>0</v>
      </c>
      <c r="AM2">
        <f>BDH("NXL US Equity","CAPITAL_EXPEND","2016-06-30","2021-06-30","Per=Y","Days=T","Dir=V")</f>
        <v>0</v>
      </c>
      <c r="AO2">
        <f>BDH("NXL US Equity","CF_FREE_CASH_FLOW","2016-06-30","2021-06-30","Per=Y","Days=T","Dir=V")</f>
        <v>0</v>
      </c>
      <c r="AQ2">
        <f>BDH("NXL US Equity","PX_LAST","2016-06-30","2021-06-30","Per=M","Days=T","Dir=V")</f>
        <v>0</v>
      </c>
      <c r="AS2">
        <f>BDH("NXL US Equity","CUR_MKT_CAP","2016-06-30","2021-06-30","Per=M","Days=T","Dir=V")</f>
        <v>0</v>
      </c>
      <c r="AU2">
        <f>BDH("NXL US Equity","EQY_SH_OUT","2016-06-30","2021-06-30","Per=M","Days=T","Dir=V")</f>
        <v>0</v>
      </c>
      <c r="AW2">
        <f>BDH("NXL US Equity","BETA_RAW_OVERRIABLE","2016-06-30","2021-06-30","Per=M","Days=T","Dir=V")</f>
        <v>0</v>
      </c>
      <c r="AY2">
        <f>BDH("NXL US Equity","PX_VOLUME","2016-06-30","2021-06-30","Per=M","Days=T","Dir=V")</f>
        <v>0</v>
      </c>
      <c r="BA2">
        <f>BDH("NXL US Equity","TURNOVER","2016-06-30","2021-06-30","Per=M","Days=T","Dir=V")</f>
        <v>0</v>
      </c>
      <c r="BC2">
        <f>BDH("NXL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BDH("NEOG US Equity","BS_TOT_ASSET","2016-06-30","2021-06-30","Per=Y","Days=T","Dir=V")</f>
        <v>0</v>
      </c>
      <c r="C2">
        <f>BDH("NEOG US Equity","BS_TOT_LIAB2","2016-06-30","2021-06-30","Per=Y","Days=T","Dir=V")</f>
        <v>0</v>
      </c>
      <c r="E2">
        <f>BDH("NEOG US Equity","SHORT_AND_LONG_TERM_DEBT","2016-06-30","2021-06-30","Per=Y","Days=T","Dir=V")</f>
        <v>0</v>
      </c>
      <c r="G2">
        <f>BDH("NEOG US Equity","BS_ST_BORROW","2016-06-30","2021-06-30","Per=Y","Days=T","Dir=V")</f>
        <v>0</v>
      </c>
      <c r="I2">
        <f>BDH("NEOG US Equity","BS_LT_BORROW","2016-06-30","2021-06-30","Per=Y","Days=T","Dir=V")</f>
        <v>0</v>
      </c>
      <c r="K2">
        <f>BDH("NEOG US Equity","BS_CASH_NEAR_CASH_ITEM","2016-06-30","2021-06-30","Per=Y","Days=T","Dir=V")</f>
        <v>0</v>
      </c>
      <c r="M2">
        <f>BDH("NEOG US Equity","BS_CUR_ASSET_REPORT","2016-06-30","2021-06-30","Per=Y","Days=T","Dir=V")</f>
        <v>0</v>
      </c>
      <c r="O2">
        <f>BDH("NEOG US Equity","BS_CUR_LIAB","2016-06-30","2021-06-30","Per=Y","Days=T","Dir=V")</f>
        <v>0</v>
      </c>
      <c r="Q2">
        <f>BDH("NEOG US Equity","BS_SHAREHOLDER_EQY_ENDING_PERIOD","2016-06-30","2021-06-30","Per=Y","Days=T","Dir=V")</f>
        <v>0</v>
      </c>
      <c r="S2">
        <f>BDH("NEOG US Equity","BS_ACCT_NOTE_RCV","2016-06-30","2021-06-30","Per=Y","Days=T","Dir=V")</f>
        <v>0</v>
      </c>
      <c r="U2">
        <f>BDH("NEOG US Equity","BS_INVENTORIES","2016-06-30","2021-06-30","Per=Y","Days=T","Dir=V")</f>
        <v>0</v>
      </c>
      <c r="W2">
        <f>BDH("NEOG US Equity","WORKING_CAPITAL","2016-06-30","2021-06-30","Per=Y","Days=T","Dir=V")</f>
        <v>0</v>
      </c>
      <c r="Y2">
        <f>BDH("NEOG US Equity","SALES_REV_TURN","2016-06-30","2021-06-30","Per=Y","Days=T","Dir=V")</f>
        <v>0</v>
      </c>
      <c r="AA2">
        <f>BDH("NEOG US Equity","EBIT","2016-06-30","2021-06-30","Per=Y","Days=T","Dir=V")</f>
        <v>0</v>
      </c>
      <c r="AC2">
        <f>BDH("NEOG US Equity","EBITDA","2016-06-30","2021-06-30","Per=Y","Days=T","Dir=V")</f>
        <v>0</v>
      </c>
      <c r="AE2">
        <f>BDH("NEOG US Equity","NET_INCOME","2016-06-30","2021-06-30","Per=Y","Days=T","Dir=V")</f>
        <v>0</v>
      </c>
      <c r="AG2">
        <f>BDH("NEOG US Equity","IS_INT_EXPENSE","2016-06-30","2021-06-30","Per=Y","Days=T","Dir=V")</f>
        <v>0</v>
      </c>
      <c r="AI2">
        <f>BDH("NEOG US Equity","IS_DEPR_EXP","2016-06-30","2021-06-30","Per=Y","Days=T","Dir=V")</f>
        <v>0</v>
      </c>
      <c r="AK2">
        <f>BDH("NEOG US Equity","CF_CASH_FROM_OPER","2016-06-30","2021-06-30","Per=Y","Days=T","Dir=V")</f>
        <v>0</v>
      </c>
      <c r="AM2">
        <f>BDH("NEOG US Equity","CAPITAL_EXPEND","2016-06-30","2021-06-30","Per=Y","Days=T","Dir=V")</f>
        <v>0</v>
      </c>
      <c r="AO2">
        <f>BDH("NEOG US Equity","CF_FREE_CASH_FLOW","2016-06-30","2021-06-30","Per=Y","Days=T","Dir=V")</f>
        <v>0</v>
      </c>
      <c r="AQ2">
        <f>BDH("NEOG US Equity","PX_LAST","2016-06-30","2021-06-30","Per=M","Days=T","Dir=V")</f>
        <v>0</v>
      </c>
      <c r="AS2">
        <f>BDH("NEOG US Equity","CUR_MKT_CAP","2016-06-30","2021-06-30","Per=M","Days=T","Dir=V")</f>
        <v>0</v>
      </c>
      <c r="AU2">
        <f>BDH("NEOG US Equity","EQY_SH_OUT","2016-06-30","2021-06-30","Per=M","Days=T","Dir=V")</f>
        <v>0</v>
      </c>
      <c r="AW2">
        <f>BDH("NEOG US Equity","BETA_RAW_OVERRIABLE","2016-06-30","2021-06-30","Per=M","Days=T","Dir=V")</f>
        <v>0</v>
      </c>
      <c r="AY2">
        <f>BDH("NEOG US Equity","PX_VOLUME","2016-06-30","2021-06-30","Per=M","Days=T","Dir=V")</f>
        <v>0</v>
      </c>
      <c r="BA2">
        <f>BDH("NEOG US Equity","TURNOVER","2016-06-30","2021-06-30","Per=M","Days=T","Dir=V")</f>
        <v>0</v>
      </c>
      <c r="BC2">
        <f>BDH("NEOG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BDH("AARD US Equity","BS_TOT_ASSET","2016-06-30","2021-06-30","Per=Y","Days=T","Dir=V")</f>
        <v>0</v>
      </c>
      <c r="C2">
        <f>BDH("AARD US Equity","BS_TOT_LIAB2","2016-06-30","2021-06-30","Per=Y","Days=T","Dir=V")</f>
        <v>0</v>
      </c>
      <c r="E2">
        <f>BDH("AARD US Equity","SHORT_AND_LONG_TERM_DEBT","2016-06-30","2021-06-30","Per=Y","Days=T","Dir=V")</f>
        <v>0</v>
      </c>
      <c r="G2">
        <f>BDH("AARD US Equity","BS_ST_BORROW","2016-06-30","2021-06-30","Per=Y","Days=T","Dir=V")</f>
        <v>0</v>
      </c>
      <c r="I2">
        <f>BDH("AARD US Equity","BS_LT_BORROW","2016-06-30","2021-06-30","Per=Y","Days=T","Dir=V")</f>
        <v>0</v>
      </c>
      <c r="K2">
        <f>BDH("AARD US Equity","BS_CASH_NEAR_CASH_ITEM","2016-06-30","2021-06-30","Per=Y","Days=T","Dir=V")</f>
        <v>0</v>
      </c>
      <c r="M2">
        <f>BDH("AARD US Equity","BS_CUR_ASSET_REPORT","2016-06-30","2021-06-30","Per=Y","Days=T","Dir=V")</f>
        <v>0</v>
      </c>
      <c r="O2">
        <f>BDH("AARD US Equity","BS_CUR_LIAB","2016-06-30","2021-06-30","Per=Y","Days=T","Dir=V")</f>
        <v>0</v>
      </c>
      <c r="Q2">
        <f>BDH("AARD US Equity","BS_SHAREHOLDER_EQY_ENDING_PERIOD","2016-06-30","2021-06-30","Per=Y","Days=T","Dir=V")</f>
        <v>0</v>
      </c>
      <c r="S2">
        <f>BDH("AARD US Equity","BS_ACCT_NOTE_RCV","2016-06-30","2021-06-30","Per=Y","Days=T","Dir=V")</f>
        <v>0</v>
      </c>
      <c r="U2">
        <f>BDH("AARD US Equity","BS_INVENTORIES","2016-06-30","2021-06-30","Per=Y","Days=T","Dir=V")</f>
        <v>0</v>
      </c>
      <c r="W2">
        <f>BDH("AARD US Equity","WORKING_CAPITAL","2016-06-30","2021-06-30","Per=Y","Days=T","Dir=V")</f>
        <v>0</v>
      </c>
      <c r="Y2">
        <f>BDH("AARD US Equity","SALES_REV_TURN","2016-06-30","2021-06-30","Per=Y","Days=T","Dir=V")</f>
        <v>0</v>
      </c>
      <c r="AA2">
        <f>BDH("AARD US Equity","EBIT","2016-06-30","2021-06-30","Per=Y","Days=T","Dir=V")</f>
        <v>0</v>
      </c>
      <c r="AC2">
        <f>BDH("AARD US Equity","EBITDA","2016-06-30","2021-06-30","Per=Y","Days=T","Dir=V")</f>
        <v>0</v>
      </c>
      <c r="AE2">
        <f>BDH("AARD US Equity","NET_INCOME","2016-06-30","2021-06-30","Per=Y","Days=T","Dir=V")</f>
        <v>0</v>
      </c>
      <c r="AG2">
        <f>BDH("AARD US Equity","IS_INT_EXPENSE","2016-06-30","2021-06-30","Per=Y","Days=T","Dir=V")</f>
        <v>0</v>
      </c>
      <c r="AI2">
        <f>BDH("AARD US Equity","IS_DEPR_EXP","2016-06-30","2021-06-30","Per=Y","Days=T","Dir=V")</f>
        <v>0</v>
      </c>
      <c r="AK2">
        <f>BDH("AARD US Equity","CF_CASH_FROM_OPER","2016-06-30","2021-06-30","Per=Y","Days=T","Dir=V")</f>
        <v>0</v>
      </c>
      <c r="AM2">
        <f>BDH("AARD US Equity","CAPITAL_EXPEND","2016-06-30","2021-06-30","Per=Y","Days=T","Dir=V")</f>
        <v>0</v>
      </c>
      <c r="AO2">
        <f>BDH("AARD US Equity","CF_FREE_CASH_FLOW","2016-06-30","2021-06-30","Per=Y","Days=T","Dir=V")</f>
        <v>0</v>
      </c>
      <c r="AQ2">
        <f>BDH("AARD US Equity","PX_LAST","2016-06-30","2021-06-30","Per=M","Days=T","Dir=V")</f>
        <v>0</v>
      </c>
      <c r="AS2">
        <f>BDH("AARD US Equity","CUR_MKT_CAP","2016-06-30","2021-06-30","Per=M","Days=T","Dir=V")</f>
        <v>0</v>
      </c>
      <c r="AU2">
        <f>BDH("AARD US Equity","EQY_SH_OUT","2016-06-30","2021-06-30","Per=M","Days=T","Dir=V")</f>
        <v>0</v>
      </c>
      <c r="AW2">
        <f>BDH("AARD US Equity","BETA_RAW_OVERRIABLE","2016-06-30","2021-06-30","Per=M","Days=T","Dir=V")</f>
        <v>0</v>
      </c>
      <c r="AY2">
        <f>BDH("AARD US Equity","PX_VOLUME","2016-06-30","2021-06-30","Per=M","Days=T","Dir=V")</f>
        <v>0</v>
      </c>
      <c r="BA2">
        <f>BDH("AARD US Equity","TURNOVER","2016-06-30","2021-06-30","Per=M","Days=T","Dir=V")</f>
        <v>0</v>
      </c>
      <c r="BC2">
        <f>BDH("AARD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BDH("ACTU US Equity","BS_TOT_ASSET","2016-06-30","2021-06-30","Per=Y","Days=T","Dir=V")</f>
        <v>0</v>
      </c>
      <c r="C2">
        <f>BDH("ACTU US Equity","BS_TOT_LIAB2","2016-06-30","2021-06-30","Per=Y","Days=T","Dir=V")</f>
        <v>0</v>
      </c>
      <c r="E2">
        <f>BDH("ACTU US Equity","SHORT_AND_LONG_TERM_DEBT","2016-06-30","2021-06-30","Per=Y","Days=T","Dir=V")</f>
        <v>0</v>
      </c>
      <c r="G2">
        <f>BDH("ACTU US Equity","BS_ST_BORROW","2016-06-30","2021-06-30","Per=Y","Days=T","Dir=V")</f>
        <v>0</v>
      </c>
      <c r="I2">
        <f>BDH("ACTU US Equity","BS_LT_BORROW","2016-06-30","2021-06-30","Per=Y","Days=T","Dir=V")</f>
        <v>0</v>
      </c>
      <c r="K2">
        <f>BDH("ACTU US Equity","BS_CASH_NEAR_CASH_ITEM","2016-06-30","2021-06-30","Per=Y","Days=T","Dir=V")</f>
        <v>0</v>
      </c>
      <c r="M2">
        <f>BDH("ACTU US Equity","BS_CUR_ASSET_REPORT","2016-06-30","2021-06-30","Per=Y","Days=T","Dir=V")</f>
        <v>0</v>
      </c>
      <c r="O2">
        <f>BDH("ACTU US Equity","BS_CUR_LIAB","2016-06-30","2021-06-30","Per=Y","Days=T","Dir=V")</f>
        <v>0</v>
      </c>
      <c r="Q2">
        <f>BDH("ACTU US Equity","BS_SHAREHOLDER_EQY_ENDING_PERIOD","2016-06-30","2021-06-30","Per=Y","Days=T","Dir=V")</f>
        <v>0</v>
      </c>
      <c r="S2">
        <f>BDH("ACTU US Equity","BS_ACCT_NOTE_RCV","2016-06-30","2021-06-30","Per=Y","Days=T","Dir=V")</f>
        <v>0</v>
      </c>
      <c r="U2">
        <f>BDH("ACTU US Equity","BS_INVENTORIES","2016-06-30","2021-06-30","Per=Y","Days=T","Dir=V")</f>
        <v>0</v>
      </c>
      <c r="W2">
        <f>BDH("ACTU US Equity","WORKING_CAPITAL","2016-06-30","2021-06-30","Per=Y","Days=T","Dir=V")</f>
        <v>0</v>
      </c>
      <c r="Y2">
        <f>BDH("ACTU US Equity","SALES_REV_TURN","2016-06-30","2021-06-30","Per=Y","Days=T","Dir=V")</f>
        <v>0</v>
      </c>
      <c r="AA2">
        <f>BDH("ACTU US Equity","EBIT","2016-06-30","2021-06-30","Per=Y","Days=T","Dir=V")</f>
        <v>0</v>
      </c>
      <c r="AC2">
        <f>BDH("ACTU US Equity","EBITDA","2016-06-30","2021-06-30","Per=Y","Days=T","Dir=V")</f>
        <v>0</v>
      </c>
      <c r="AE2">
        <f>BDH("ACTU US Equity","NET_INCOME","2016-06-30","2021-06-30","Per=Y","Days=T","Dir=V")</f>
        <v>0</v>
      </c>
      <c r="AG2">
        <f>BDH("ACTU US Equity","IS_INT_EXPENSE","2016-06-30","2021-06-30","Per=Y","Days=T","Dir=V")</f>
        <v>0</v>
      </c>
      <c r="AI2">
        <f>BDH("ACTU US Equity","IS_DEPR_EXP","2016-06-30","2021-06-30","Per=Y","Days=T","Dir=V")</f>
        <v>0</v>
      </c>
      <c r="AK2">
        <f>BDH("ACTU US Equity","CF_CASH_FROM_OPER","2016-06-30","2021-06-30","Per=Y","Days=T","Dir=V")</f>
        <v>0</v>
      </c>
      <c r="AM2">
        <f>BDH("ACTU US Equity","CAPITAL_EXPEND","2016-06-30","2021-06-30","Per=Y","Days=T","Dir=V")</f>
        <v>0</v>
      </c>
      <c r="AO2">
        <f>BDH("ACTU US Equity","CF_FREE_CASH_FLOW","2016-06-30","2021-06-30","Per=Y","Days=T","Dir=V")</f>
        <v>0</v>
      </c>
      <c r="AQ2">
        <f>BDH("ACTU US Equity","PX_LAST","2016-06-30","2021-06-30","Per=M","Days=T","Dir=V")</f>
        <v>0</v>
      </c>
      <c r="AS2">
        <f>BDH("ACTU US Equity","CUR_MKT_CAP","2016-06-30","2021-06-30","Per=M","Days=T","Dir=V")</f>
        <v>0</v>
      </c>
      <c r="AU2">
        <f>BDH("ACTU US Equity","EQY_SH_OUT","2016-06-30","2021-06-30","Per=M","Days=T","Dir=V")</f>
        <v>0</v>
      </c>
      <c r="AW2">
        <f>BDH("ACTU US Equity","BETA_RAW_OVERRIABLE","2016-06-30","2021-06-30","Per=M","Days=T","Dir=V")</f>
        <v>0</v>
      </c>
      <c r="AY2">
        <f>BDH("ACTU US Equity","PX_VOLUME","2016-06-30","2021-06-30","Per=M","Days=T","Dir=V")</f>
        <v>0</v>
      </c>
      <c r="BA2">
        <f>BDH("ACTU US Equity","TURNOVER","2016-06-30","2021-06-30","Per=M","Days=T","Dir=V")</f>
        <v>0</v>
      </c>
      <c r="BC2">
        <f>BDH("ACTU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BDH("AKTS US Equity","BS_TOT_ASSET","2016-06-30","2021-06-30","Per=Y","Days=T","Dir=V")</f>
        <v>0</v>
      </c>
      <c r="C2">
        <f>BDH("AKTS US Equity","BS_TOT_LIAB2","2016-06-30","2021-06-30","Per=Y","Days=T","Dir=V")</f>
        <v>0</v>
      </c>
      <c r="E2">
        <f>BDH("AKTS US Equity","SHORT_AND_LONG_TERM_DEBT","2016-06-30","2021-06-30","Per=Y","Days=T","Dir=V")</f>
        <v>0</v>
      </c>
      <c r="G2">
        <f>BDH("AKTS US Equity","BS_ST_BORROW","2016-06-30","2021-06-30","Per=Y","Days=T","Dir=V")</f>
        <v>0</v>
      </c>
      <c r="I2">
        <f>BDH("AKTS US Equity","BS_LT_BORROW","2016-06-30","2021-06-30","Per=Y","Days=T","Dir=V")</f>
        <v>0</v>
      </c>
      <c r="K2">
        <f>BDH("AKTS US Equity","BS_CASH_NEAR_CASH_ITEM","2016-06-30","2021-06-30","Per=Y","Days=T","Dir=V")</f>
        <v>0</v>
      </c>
      <c r="M2">
        <f>BDH("AKTS US Equity","BS_CUR_ASSET_REPORT","2016-06-30","2021-06-30","Per=Y","Days=T","Dir=V")</f>
        <v>0</v>
      </c>
      <c r="O2">
        <f>BDH("AKTS US Equity","BS_CUR_LIAB","2016-06-30","2021-06-30","Per=Y","Days=T","Dir=V")</f>
        <v>0</v>
      </c>
      <c r="Q2">
        <f>BDH("AKTS US Equity","BS_SHAREHOLDER_EQY_ENDING_PERIOD","2016-06-30","2021-06-30","Per=Y","Days=T","Dir=V")</f>
        <v>0</v>
      </c>
      <c r="S2">
        <f>BDH("AKTS US Equity","BS_ACCT_NOTE_RCV","2016-06-30","2021-06-30","Per=Y","Days=T","Dir=V")</f>
        <v>0</v>
      </c>
      <c r="U2">
        <f>BDH("AKTS US Equity","BS_INVENTORIES","2016-06-30","2021-06-30","Per=Y","Days=T","Dir=V")</f>
        <v>0</v>
      </c>
      <c r="W2">
        <f>BDH("AKTS US Equity","WORKING_CAPITAL","2016-06-30","2021-06-30","Per=Y","Days=T","Dir=V")</f>
        <v>0</v>
      </c>
      <c r="Y2">
        <f>BDH("AKTS US Equity","SALES_REV_TURN","2016-06-30","2021-06-30","Per=Y","Days=T","Dir=V")</f>
        <v>0</v>
      </c>
      <c r="AA2">
        <f>BDH("AKTS US Equity","EBIT","2016-06-30","2021-06-30","Per=Y","Days=T","Dir=V")</f>
        <v>0</v>
      </c>
      <c r="AC2">
        <f>BDH("AKTS US Equity","EBITDA","2016-06-30","2021-06-30","Per=Y","Days=T","Dir=V")</f>
        <v>0</v>
      </c>
      <c r="AE2">
        <f>BDH("AKTS US Equity","NET_INCOME","2016-06-30","2021-06-30","Per=Y","Days=T","Dir=V")</f>
        <v>0</v>
      </c>
      <c r="AG2">
        <f>BDH("AKTS US Equity","IS_INT_EXPENSE","2016-06-30","2021-06-30","Per=Y","Days=T","Dir=V")</f>
        <v>0</v>
      </c>
      <c r="AI2">
        <f>BDH("AKTS US Equity","IS_DEPR_EXP","2016-06-30","2021-06-30","Per=Y","Days=T","Dir=V")</f>
        <v>0</v>
      </c>
      <c r="AK2">
        <f>BDH("AKTS US Equity","CF_CASH_FROM_OPER","2016-06-30","2021-06-30","Per=Y","Days=T","Dir=V")</f>
        <v>0</v>
      </c>
      <c r="AM2">
        <f>BDH("AKTS US Equity","CAPITAL_EXPEND","2016-06-30","2021-06-30","Per=Y","Days=T","Dir=V")</f>
        <v>0</v>
      </c>
      <c r="AO2">
        <f>BDH("AKTS US Equity","CF_FREE_CASH_FLOW","2016-06-30","2021-06-30","Per=Y","Days=T","Dir=V")</f>
        <v>0</v>
      </c>
      <c r="AQ2">
        <f>BDH("AKTS US Equity","PX_LAST","2016-06-30","2021-06-30","Per=M","Days=T","Dir=V")</f>
        <v>0</v>
      </c>
      <c r="AS2">
        <f>BDH("AKTS US Equity","CUR_MKT_CAP","2016-06-30","2021-06-30","Per=M","Days=T","Dir=V")</f>
        <v>0</v>
      </c>
      <c r="AU2">
        <f>BDH("AKTS US Equity","EQY_SH_OUT","2016-06-30","2021-06-30","Per=M","Days=T","Dir=V")</f>
        <v>0</v>
      </c>
      <c r="AW2">
        <f>BDH("AKTS US Equity","BETA_RAW_OVERRIABLE","2016-06-30","2021-06-30","Per=M","Days=T","Dir=V")</f>
        <v>0</v>
      </c>
      <c r="AY2">
        <f>BDH("AKTS US Equity","PX_VOLUME","2016-06-30","2021-06-30","Per=M","Days=T","Dir=V")</f>
        <v>0</v>
      </c>
      <c r="BA2">
        <f>BDH("AKTS US Equity","TURNOVER","2016-06-30","2021-06-30","Per=M","Days=T","Dir=V")</f>
        <v>0</v>
      </c>
      <c r="BC2">
        <f>BDH("AKTS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BDH("APLM US Equity","BS_TOT_ASSET","2016-06-30","2021-06-30","Per=Y","Days=T","Dir=V")</f>
        <v>0</v>
      </c>
      <c r="C2">
        <f>BDH("APLM US Equity","BS_TOT_LIAB2","2016-06-30","2021-06-30","Per=Y","Days=T","Dir=V")</f>
        <v>0</v>
      </c>
      <c r="E2">
        <f>BDH("APLM US Equity","SHORT_AND_LONG_TERM_DEBT","2016-06-30","2021-06-30","Per=Y","Days=T","Dir=V")</f>
        <v>0</v>
      </c>
      <c r="G2">
        <f>BDH("APLM US Equity","BS_ST_BORROW","2016-06-30","2021-06-30","Per=Y","Days=T","Dir=V")</f>
        <v>0</v>
      </c>
      <c r="I2">
        <f>BDH("APLM US Equity","BS_LT_BORROW","2016-06-30","2021-06-30","Per=Y","Days=T","Dir=V")</f>
        <v>0</v>
      </c>
      <c r="K2">
        <f>BDH("APLM US Equity","BS_CASH_NEAR_CASH_ITEM","2016-06-30","2021-06-30","Per=Y","Days=T","Dir=V")</f>
        <v>0</v>
      </c>
      <c r="M2">
        <f>BDH("APLM US Equity","BS_CUR_ASSET_REPORT","2016-06-30","2021-06-30","Per=Y","Days=T","Dir=V")</f>
        <v>0</v>
      </c>
      <c r="O2">
        <f>BDH("APLM US Equity","BS_CUR_LIAB","2016-06-30","2021-06-30","Per=Y","Days=T","Dir=V")</f>
        <v>0</v>
      </c>
      <c r="Q2">
        <f>BDH("APLM US Equity","BS_SHAREHOLDER_EQY_ENDING_PERIOD","2016-06-30","2021-06-30","Per=Y","Days=T","Dir=V")</f>
        <v>0</v>
      </c>
      <c r="S2">
        <f>BDH("APLM US Equity","BS_ACCT_NOTE_RCV","2016-06-30","2021-06-30","Per=Y","Days=T","Dir=V")</f>
        <v>0</v>
      </c>
      <c r="U2">
        <f>BDH("APLM US Equity","BS_INVENTORIES","2016-06-30","2021-06-30","Per=Y","Days=T","Dir=V")</f>
        <v>0</v>
      </c>
      <c r="W2">
        <f>BDH("APLM US Equity","WORKING_CAPITAL","2016-06-30","2021-06-30","Per=Y","Days=T","Dir=V")</f>
        <v>0</v>
      </c>
      <c r="Y2">
        <f>BDH("APLM US Equity","SALES_REV_TURN","2016-06-30","2021-06-30","Per=Y","Days=T","Dir=V")</f>
        <v>0</v>
      </c>
      <c r="AA2">
        <f>BDH("APLM US Equity","EBIT","2016-06-30","2021-06-30","Per=Y","Days=T","Dir=V")</f>
        <v>0</v>
      </c>
      <c r="AC2">
        <f>BDH("APLM US Equity","EBITDA","2016-06-30","2021-06-30","Per=Y","Days=T","Dir=V")</f>
        <v>0</v>
      </c>
      <c r="AE2">
        <f>BDH("APLM US Equity","NET_INCOME","2016-06-30","2021-06-30","Per=Y","Days=T","Dir=V")</f>
        <v>0</v>
      </c>
      <c r="AG2">
        <f>BDH("APLM US Equity","IS_INT_EXPENSE","2016-06-30","2021-06-30","Per=Y","Days=T","Dir=V")</f>
        <v>0</v>
      </c>
      <c r="AI2">
        <f>BDH("APLM US Equity","IS_DEPR_EXP","2016-06-30","2021-06-30","Per=Y","Days=T","Dir=V")</f>
        <v>0</v>
      </c>
      <c r="AK2">
        <f>BDH("APLM US Equity","CF_CASH_FROM_OPER","2016-06-30","2021-06-30","Per=Y","Days=T","Dir=V")</f>
        <v>0</v>
      </c>
      <c r="AM2">
        <f>BDH("APLM US Equity","CAPITAL_EXPEND","2016-06-30","2021-06-30","Per=Y","Days=T","Dir=V")</f>
        <v>0</v>
      </c>
      <c r="AO2">
        <f>BDH("APLM US Equity","CF_FREE_CASH_FLOW","2016-06-30","2021-06-30","Per=Y","Days=T","Dir=V")</f>
        <v>0</v>
      </c>
      <c r="AQ2">
        <f>BDH("APLM US Equity","PX_LAST","2016-06-30","2021-06-30","Per=M","Days=T","Dir=V")</f>
        <v>0</v>
      </c>
      <c r="AS2">
        <f>BDH("APLM US Equity","CUR_MKT_CAP","2016-06-30","2021-06-30","Per=M","Days=T","Dir=V")</f>
        <v>0</v>
      </c>
      <c r="AU2">
        <f>BDH("APLM US Equity","EQY_SH_OUT","2016-06-30","2021-06-30","Per=M","Days=T","Dir=V")</f>
        <v>0</v>
      </c>
      <c r="AW2">
        <f>BDH("APLM US Equity","BETA_RAW_OVERRIABLE","2016-06-30","2021-06-30","Per=M","Days=T","Dir=V")</f>
        <v>0</v>
      </c>
      <c r="AY2">
        <f>BDH("APLM US Equity","PX_VOLUME","2016-06-30","2021-06-30","Per=M","Days=T","Dir=V")</f>
        <v>0</v>
      </c>
      <c r="BA2">
        <f>BDH("APLM US Equity","TURNOVER","2016-06-30","2021-06-30","Per=M","Days=T","Dir=V")</f>
        <v>0</v>
      </c>
      <c r="BC2">
        <f>BDH("APLM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BDH("ARWR US Equity","BS_TOT_ASSET","2016-06-30","2021-06-30","Per=Y","Days=T","Dir=V")</f>
        <v>0</v>
      </c>
      <c r="C2">
        <f>BDH("ARWR US Equity","BS_TOT_LIAB2","2016-06-30","2021-06-30","Per=Y","Days=T","Dir=V")</f>
        <v>0</v>
      </c>
      <c r="E2">
        <f>BDH("ARWR US Equity","SHORT_AND_LONG_TERM_DEBT","2016-06-30","2021-06-30","Per=Y","Days=T","Dir=V")</f>
        <v>0</v>
      </c>
      <c r="G2">
        <f>BDH("ARWR US Equity","BS_ST_BORROW","2016-06-30","2021-06-30","Per=Y","Days=T","Dir=V")</f>
        <v>0</v>
      </c>
      <c r="I2">
        <f>BDH("ARWR US Equity","BS_LT_BORROW","2016-06-30","2021-06-30","Per=Y","Days=T","Dir=V")</f>
        <v>0</v>
      </c>
      <c r="K2">
        <f>BDH("ARWR US Equity","BS_CASH_NEAR_CASH_ITEM","2016-06-30","2021-06-30","Per=Y","Days=T","Dir=V")</f>
        <v>0</v>
      </c>
      <c r="M2">
        <f>BDH("ARWR US Equity","BS_CUR_ASSET_REPORT","2016-06-30","2021-06-30","Per=Y","Days=T","Dir=V")</f>
        <v>0</v>
      </c>
      <c r="O2">
        <f>BDH("ARWR US Equity","BS_CUR_LIAB","2016-06-30","2021-06-30","Per=Y","Days=T","Dir=V")</f>
        <v>0</v>
      </c>
      <c r="Q2">
        <f>BDH("ARWR US Equity","BS_SHAREHOLDER_EQY_ENDING_PERIOD","2016-06-30","2021-06-30","Per=Y","Days=T","Dir=V")</f>
        <v>0</v>
      </c>
      <c r="S2">
        <f>BDH("ARWR US Equity","BS_ACCT_NOTE_RCV","2016-06-30","2021-06-30","Per=Y","Days=T","Dir=V")</f>
        <v>0</v>
      </c>
      <c r="U2">
        <f>BDH("ARWR US Equity","BS_INVENTORIES","2016-06-30","2021-06-30","Per=Y","Days=T","Dir=V")</f>
        <v>0</v>
      </c>
      <c r="W2">
        <f>BDH("ARWR US Equity","WORKING_CAPITAL","2016-06-30","2021-06-30","Per=Y","Days=T","Dir=V")</f>
        <v>0</v>
      </c>
      <c r="Y2">
        <f>BDH("ARWR US Equity","SALES_REV_TURN","2016-06-30","2021-06-30","Per=Y","Days=T","Dir=V")</f>
        <v>0</v>
      </c>
      <c r="AA2">
        <f>BDH("ARWR US Equity","EBIT","2016-06-30","2021-06-30","Per=Y","Days=T","Dir=V")</f>
        <v>0</v>
      </c>
      <c r="AC2">
        <f>BDH("ARWR US Equity","EBITDA","2016-06-30","2021-06-30","Per=Y","Days=T","Dir=V")</f>
        <v>0</v>
      </c>
      <c r="AE2">
        <f>BDH("ARWR US Equity","NET_INCOME","2016-06-30","2021-06-30","Per=Y","Days=T","Dir=V")</f>
        <v>0</v>
      </c>
      <c r="AG2">
        <f>BDH("ARWR US Equity","IS_INT_EXPENSE","2016-06-30","2021-06-30","Per=Y","Days=T","Dir=V")</f>
        <v>0</v>
      </c>
      <c r="AI2">
        <f>BDH("ARWR US Equity","IS_DEPR_EXP","2016-06-30","2021-06-30","Per=Y","Days=T","Dir=V")</f>
        <v>0</v>
      </c>
      <c r="AK2">
        <f>BDH("ARWR US Equity","CF_CASH_FROM_OPER","2016-06-30","2021-06-30","Per=Y","Days=T","Dir=V")</f>
        <v>0</v>
      </c>
      <c r="AM2">
        <f>BDH("ARWR US Equity","CAPITAL_EXPEND","2016-06-30","2021-06-30","Per=Y","Days=T","Dir=V")</f>
        <v>0</v>
      </c>
      <c r="AO2">
        <f>BDH("ARWR US Equity","CF_FREE_CASH_FLOW","2016-06-30","2021-06-30","Per=Y","Days=T","Dir=V")</f>
        <v>0</v>
      </c>
      <c r="AQ2">
        <f>BDH("ARWR US Equity","PX_LAST","2016-06-30","2021-06-30","Per=M","Days=T","Dir=V")</f>
        <v>0</v>
      </c>
      <c r="AS2">
        <f>BDH("ARWR US Equity","CUR_MKT_CAP","2016-06-30","2021-06-30","Per=M","Days=T","Dir=V")</f>
        <v>0</v>
      </c>
      <c r="AU2">
        <f>BDH("ARWR US Equity","EQY_SH_OUT","2016-06-30","2021-06-30","Per=M","Days=T","Dir=V")</f>
        <v>0</v>
      </c>
      <c r="AW2">
        <f>BDH("ARWR US Equity","BETA_RAW_OVERRIABLE","2016-06-30","2021-06-30","Per=M","Days=T","Dir=V")</f>
        <v>0</v>
      </c>
      <c r="AY2">
        <f>BDH("ARWR US Equity","PX_VOLUME","2016-06-30","2021-06-30","Per=M","Days=T","Dir=V")</f>
        <v>0</v>
      </c>
      <c r="BA2">
        <f>BDH("ARWR US Equity","TURNOVER","2016-06-30","2021-06-30","Per=M","Days=T","Dir=V")</f>
        <v>0</v>
      </c>
      <c r="BC2">
        <f>BDH("ARWR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BDH("BCAX US Equity","BS_TOT_ASSET","2016-06-30","2021-06-30","Per=Y","Days=T","Dir=V")</f>
        <v>0</v>
      </c>
      <c r="C2">
        <f>BDH("BCAX US Equity","BS_TOT_LIAB2","2016-06-30","2021-06-30","Per=Y","Days=T","Dir=V")</f>
        <v>0</v>
      </c>
      <c r="E2">
        <f>BDH("BCAX US Equity","SHORT_AND_LONG_TERM_DEBT","2016-06-30","2021-06-30","Per=Y","Days=T","Dir=V")</f>
        <v>0</v>
      </c>
      <c r="G2">
        <f>BDH("BCAX US Equity","BS_ST_BORROW","2016-06-30","2021-06-30","Per=Y","Days=T","Dir=V")</f>
        <v>0</v>
      </c>
      <c r="I2">
        <f>BDH("BCAX US Equity","BS_LT_BORROW","2016-06-30","2021-06-30","Per=Y","Days=T","Dir=V")</f>
        <v>0</v>
      </c>
      <c r="K2">
        <f>BDH("BCAX US Equity","BS_CASH_NEAR_CASH_ITEM","2016-06-30","2021-06-30","Per=Y","Days=T","Dir=V")</f>
        <v>0</v>
      </c>
      <c r="M2">
        <f>BDH("BCAX US Equity","BS_CUR_ASSET_REPORT","2016-06-30","2021-06-30","Per=Y","Days=T","Dir=V")</f>
        <v>0</v>
      </c>
      <c r="O2">
        <f>BDH("BCAX US Equity","BS_CUR_LIAB","2016-06-30","2021-06-30","Per=Y","Days=T","Dir=V")</f>
        <v>0</v>
      </c>
      <c r="Q2">
        <f>BDH("BCAX US Equity","BS_SHAREHOLDER_EQY_ENDING_PERIOD","2016-06-30","2021-06-30","Per=Y","Days=T","Dir=V")</f>
        <v>0</v>
      </c>
      <c r="S2">
        <f>BDH("BCAX US Equity","BS_ACCT_NOTE_RCV","2016-06-30","2021-06-30","Per=Y","Days=T","Dir=V")</f>
        <v>0</v>
      </c>
      <c r="U2">
        <f>BDH("BCAX US Equity","BS_INVENTORIES","2016-06-30","2021-06-30","Per=Y","Days=T","Dir=V")</f>
        <v>0</v>
      </c>
      <c r="W2">
        <f>BDH("BCAX US Equity","WORKING_CAPITAL","2016-06-30","2021-06-30","Per=Y","Days=T","Dir=V")</f>
        <v>0</v>
      </c>
      <c r="Y2">
        <f>BDH("BCAX US Equity","SALES_REV_TURN","2016-06-30","2021-06-30","Per=Y","Days=T","Dir=V")</f>
        <v>0</v>
      </c>
      <c r="AA2">
        <f>BDH("BCAX US Equity","EBIT","2016-06-30","2021-06-30","Per=Y","Days=T","Dir=V")</f>
        <v>0</v>
      </c>
      <c r="AC2">
        <f>BDH("BCAX US Equity","EBITDA","2016-06-30","2021-06-30","Per=Y","Days=T","Dir=V")</f>
        <v>0</v>
      </c>
      <c r="AE2">
        <f>BDH("BCAX US Equity","NET_INCOME","2016-06-30","2021-06-30","Per=Y","Days=T","Dir=V")</f>
        <v>0</v>
      </c>
      <c r="AG2">
        <f>BDH("BCAX US Equity","IS_INT_EXPENSE","2016-06-30","2021-06-30","Per=Y","Days=T","Dir=V")</f>
        <v>0</v>
      </c>
      <c r="AI2">
        <f>BDH("BCAX US Equity","IS_DEPR_EXP","2016-06-30","2021-06-30","Per=Y","Days=T","Dir=V")</f>
        <v>0</v>
      </c>
      <c r="AK2">
        <f>BDH("BCAX US Equity","CF_CASH_FROM_OPER","2016-06-30","2021-06-30","Per=Y","Days=T","Dir=V")</f>
        <v>0</v>
      </c>
      <c r="AM2">
        <f>BDH("BCAX US Equity","CAPITAL_EXPEND","2016-06-30","2021-06-30","Per=Y","Days=T","Dir=V")</f>
        <v>0</v>
      </c>
      <c r="AO2">
        <f>BDH("BCAX US Equity","CF_FREE_CASH_FLOW","2016-06-30","2021-06-30","Per=Y","Days=T","Dir=V")</f>
        <v>0</v>
      </c>
      <c r="AQ2">
        <f>BDH("BCAX US Equity","PX_LAST","2016-06-30","2021-06-30","Per=M","Days=T","Dir=V")</f>
        <v>0</v>
      </c>
      <c r="AS2">
        <f>BDH("BCAX US Equity","CUR_MKT_CAP","2016-06-30","2021-06-30","Per=M","Days=T","Dir=V")</f>
        <v>0</v>
      </c>
      <c r="AU2">
        <f>BDH("BCAX US Equity","EQY_SH_OUT","2016-06-30","2021-06-30","Per=M","Days=T","Dir=V")</f>
        <v>0</v>
      </c>
      <c r="AW2">
        <f>BDH("BCAX US Equity","BETA_RAW_OVERRIABLE","2016-06-30","2021-06-30","Per=M","Days=T","Dir=V")</f>
        <v>0</v>
      </c>
      <c r="AY2">
        <f>BDH("BCAX US Equity","PX_VOLUME","2016-06-30","2021-06-30","Per=M","Days=T","Dir=V")</f>
        <v>0</v>
      </c>
      <c r="BA2">
        <f>BDH("BCAX US Equity","TURNOVER","2016-06-30","2021-06-30","Per=M","Days=T","Dir=V")</f>
        <v>0</v>
      </c>
      <c r="BC2">
        <f>BDH("BCAX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BDH("BOLD US Equity","BS_TOT_ASSET","2016-06-30","2021-06-30","Per=Y","Days=T","Dir=V")</f>
        <v>0</v>
      </c>
      <c r="C2">
        <f>BDH("BOLD US Equity","BS_TOT_LIAB2","2016-06-30","2021-06-30","Per=Y","Days=T","Dir=V")</f>
        <v>0</v>
      </c>
      <c r="E2">
        <f>BDH("BOLD US Equity","SHORT_AND_LONG_TERM_DEBT","2016-06-30","2021-06-30","Per=Y","Days=T","Dir=V")</f>
        <v>0</v>
      </c>
      <c r="G2">
        <f>BDH("BOLD US Equity","BS_ST_BORROW","2016-06-30","2021-06-30","Per=Y","Days=T","Dir=V")</f>
        <v>0</v>
      </c>
      <c r="I2">
        <f>BDH("BOLD US Equity","BS_LT_BORROW","2016-06-30","2021-06-30","Per=Y","Days=T","Dir=V")</f>
        <v>0</v>
      </c>
      <c r="K2">
        <f>BDH("BOLD US Equity","BS_CASH_NEAR_CASH_ITEM","2016-06-30","2021-06-30","Per=Y","Days=T","Dir=V")</f>
        <v>0</v>
      </c>
      <c r="M2">
        <f>BDH("BOLD US Equity","BS_CUR_ASSET_REPORT","2016-06-30","2021-06-30","Per=Y","Days=T","Dir=V")</f>
        <v>0</v>
      </c>
      <c r="O2">
        <f>BDH("BOLD US Equity","BS_CUR_LIAB","2016-06-30","2021-06-30","Per=Y","Days=T","Dir=V")</f>
        <v>0</v>
      </c>
      <c r="Q2">
        <f>BDH("BOLD US Equity","BS_SHAREHOLDER_EQY_ENDING_PERIOD","2016-06-30","2021-06-30","Per=Y","Days=T","Dir=V")</f>
        <v>0</v>
      </c>
      <c r="S2">
        <f>BDH("BOLD US Equity","BS_ACCT_NOTE_RCV","2016-06-30","2021-06-30","Per=Y","Days=T","Dir=V")</f>
        <v>0</v>
      </c>
      <c r="U2">
        <f>BDH("BOLD US Equity","BS_INVENTORIES","2016-06-30","2021-06-30","Per=Y","Days=T","Dir=V")</f>
        <v>0</v>
      </c>
      <c r="W2">
        <f>BDH("BOLD US Equity","WORKING_CAPITAL","2016-06-30","2021-06-30","Per=Y","Days=T","Dir=V")</f>
        <v>0</v>
      </c>
      <c r="Y2">
        <f>BDH("BOLD US Equity","SALES_REV_TURN","2016-06-30","2021-06-30","Per=Y","Days=T","Dir=V")</f>
        <v>0</v>
      </c>
      <c r="AA2">
        <f>BDH("BOLD US Equity","EBIT","2016-06-30","2021-06-30","Per=Y","Days=T","Dir=V")</f>
        <v>0</v>
      </c>
      <c r="AC2">
        <f>BDH("BOLD US Equity","EBITDA","2016-06-30","2021-06-30","Per=Y","Days=T","Dir=V")</f>
        <v>0</v>
      </c>
      <c r="AE2">
        <f>BDH("BOLD US Equity","NET_INCOME","2016-06-30","2021-06-30","Per=Y","Days=T","Dir=V")</f>
        <v>0</v>
      </c>
      <c r="AG2">
        <f>BDH("BOLD US Equity","IS_INT_EXPENSE","2016-06-30","2021-06-30","Per=Y","Days=T","Dir=V")</f>
        <v>0</v>
      </c>
      <c r="AI2">
        <f>BDH("BOLD US Equity","IS_DEPR_EXP","2016-06-30","2021-06-30","Per=Y","Days=T","Dir=V")</f>
        <v>0</v>
      </c>
      <c r="AK2">
        <f>BDH("BOLD US Equity","CF_CASH_FROM_OPER","2016-06-30","2021-06-30","Per=Y","Days=T","Dir=V")</f>
        <v>0</v>
      </c>
      <c r="AM2">
        <f>BDH("BOLD US Equity","CAPITAL_EXPEND","2016-06-30","2021-06-30","Per=Y","Days=T","Dir=V")</f>
        <v>0</v>
      </c>
      <c r="AO2">
        <f>BDH("BOLD US Equity","CF_FREE_CASH_FLOW","2016-06-30","2021-06-30","Per=Y","Days=T","Dir=V")</f>
        <v>0</v>
      </c>
      <c r="AQ2">
        <f>BDH("BOLD US Equity","PX_LAST","2016-06-30","2021-06-30","Per=M","Days=T","Dir=V")</f>
        <v>0</v>
      </c>
      <c r="AS2">
        <f>BDH("BOLD US Equity","CUR_MKT_CAP","2016-06-30","2021-06-30","Per=M","Days=T","Dir=V")</f>
        <v>0</v>
      </c>
      <c r="AU2">
        <f>BDH("BOLD US Equity","EQY_SH_OUT","2016-06-30","2021-06-30","Per=M","Days=T","Dir=V")</f>
        <v>0</v>
      </c>
      <c r="AW2">
        <f>BDH("BOLD US Equity","BETA_RAW_OVERRIABLE","2016-06-30","2021-06-30","Per=M","Days=T","Dir=V")</f>
        <v>0</v>
      </c>
      <c r="AY2">
        <f>BDH("BOLD US Equity","PX_VOLUME","2016-06-30","2021-06-30","Per=M","Days=T","Dir=V")</f>
        <v>0</v>
      </c>
      <c r="BA2">
        <f>BDH("BOLD US Equity","TURNOVER","2016-06-30","2021-06-30","Per=M","Days=T","Dir=V")</f>
        <v>0</v>
      </c>
      <c r="BC2">
        <f>BDH("BOLD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BDH("BOLT US Equity","BS_TOT_ASSET","2016-06-30","2021-06-30","Per=Y","Days=T","Dir=V")</f>
        <v>0</v>
      </c>
      <c r="C2">
        <f>BDH("BOLT US Equity","BS_TOT_LIAB2","2016-06-30","2021-06-30","Per=Y","Days=T","Dir=V")</f>
        <v>0</v>
      </c>
      <c r="E2">
        <f>BDH("BOLT US Equity","SHORT_AND_LONG_TERM_DEBT","2016-06-30","2021-06-30","Per=Y","Days=T","Dir=V")</f>
        <v>0</v>
      </c>
      <c r="G2">
        <f>BDH("BOLT US Equity","BS_ST_BORROW","2016-06-30","2021-06-30","Per=Y","Days=T","Dir=V")</f>
        <v>0</v>
      </c>
      <c r="I2">
        <f>BDH("BOLT US Equity","BS_LT_BORROW","2016-06-30","2021-06-30","Per=Y","Days=T","Dir=V")</f>
        <v>0</v>
      </c>
      <c r="K2">
        <f>BDH("BOLT US Equity","BS_CASH_NEAR_CASH_ITEM","2016-06-30","2021-06-30","Per=Y","Days=T","Dir=V")</f>
        <v>0</v>
      </c>
      <c r="M2">
        <f>BDH("BOLT US Equity","BS_CUR_ASSET_REPORT","2016-06-30","2021-06-30","Per=Y","Days=T","Dir=V")</f>
        <v>0</v>
      </c>
      <c r="O2">
        <f>BDH("BOLT US Equity","BS_CUR_LIAB","2016-06-30","2021-06-30","Per=Y","Days=T","Dir=V")</f>
        <v>0</v>
      </c>
      <c r="Q2">
        <f>BDH("BOLT US Equity","BS_SHAREHOLDER_EQY_ENDING_PERIOD","2016-06-30","2021-06-30","Per=Y","Days=T","Dir=V")</f>
        <v>0</v>
      </c>
      <c r="S2">
        <f>BDH("BOLT US Equity","BS_ACCT_NOTE_RCV","2016-06-30","2021-06-30","Per=Y","Days=T","Dir=V")</f>
        <v>0</v>
      </c>
      <c r="U2">
        <f>BDH("BOLT US Equity","BS_INVENTORIES","2016-06-30","2021-06-30","Per=Y","Days=T","Dir=V")</f>
        <v>0</v>
      </c>
      <c r="W2">
        <f>BDH("BOLT US Equity","WORKING_CAPITAL","2016-06-30","2021-06-30","Per=Y","Days=T","Dir=V")</f>
        <v>0</v>
      </c>
      <c r="Y2">
        <f>BDH("BOLT US Equity","SALES_REV_TURN","2016-06-30","2021-06-30","Per=Y","Days=T","Dir=V")</f>
        <v>0</v>
      </c>
      <c r="AA2">
        <f>BDH("BOLT US Equity","EBIT","2016-06-30","2021-06-30","Per=Y","Days=T","Dir=V")</f>
        <v>0</v>
      </c>
      <c r="AC2">
        <f>BDH("BOLT US Equity","EBITDA","2016-06-30","2021-06-30","Per=Y","Days=T","Dir=V")</f>
        <v>0</v>
      </c>
      <c r="AE2">
        <f>BDH("BOLT US Equity","NET_INCOME","2016-06-30","2021-06-30","Per=Y","Days=T","Dir=V")</f>
        <v>0</v>
      </c>
      <c r="AG2">
        <f>BDH("BOLT US Equity","IS_INT_EXPENSE","2016-06-30","2021-06-30","Per=Y","Days=T","Dir=V")</f>
        <v>0</v>
      </c>
      <c r="AI2">
        <f>BDH("BOLT US Equity","IS_DEPR_EXP","2016-06-30","2021-06-30","Per=Y","Days=T","Dir=V")</f>
        <v>0</v>
      </c>
      <c r="AK2">
        <f>BDH("BOLT US Equity","CF_CASH_FROM_OPER","2016-06-30","2021-06-30","Per=Y","Days=T","Dir=V")</f>
        <v>0</v>
      </c>
      <c r="AM2">
        <f>BDH("BOLT US Equity","CAPITAL_EXPEND","2016-06-30","2021-06-30","Per=Y","Days=T","Dir=V")</f>
        <v>0</v>
      </c>
      <c r="AO2">
        <f>BDH("BOLT US Equity","CF_FREE_CASH_FLOW","2016-06-30","2021-06-30","Per=Y","Days=T","Dir=V")</f>
        <v>0</v>
      </c>
      <c r="AQ2">
        <f>BDH("BOLT US Equity","PX_LAST","2016-06-30","2021-06-30","Per=M","Days=T","Dir=V")</f>
        <v>0</v>
      </c>
      <c r="AS2">
        <f>BDH("BOLT US Equity","CUR_MKT_CAP","2016-06-30","2021-06-30","Per=M","Days=T","Dir=V")</f>
        <v>0</v>
      </c>
      <c r="AU2">
        <f>BDH("BOLT US Equity","EQY_SH_OUT","2016-06-30","2021-06-30","Per=M","Days=T","Dir=V")</f>
        <v>0</v>
      </c>
      <c r="AW2">
        <f>BDH("BOLT US Equity","BETA_RAW_OVERRIABLE","2016-06-30","2021-06-30","Per=M","Days=T","Dir=V")</f>
        <v>0</v>
      </c>
      <c r="AY2">
        <f>BDH("BOLT US Equity","PX_VOLUME","2016-06-30","2021-06-30","Per=M","Days=T","Dir=V")</f>
        <v>0</v>
      </c>
      <c r="BA2">
        <f>BDH("BOLT US Equity","TURNOVER","2016-06-30","2021-06-30","Per=M","Days=T","Dir=V")</f>
        <v>0</v>
      </c>
      <c r="BC2">
        <f>BDH("BOLT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BDH("CAPR US Equity","BS_TOT_ASSET","2016-06-30","2021-06-30","Per=Y","Days=T","Dir=V")</f>
        <v>0</v>
      </c>
      <c r="C2">
        <f>BDH("CAPR US Equity","BS_TOT_LIAB2","2016-06-30","2021-06-30","Per=Y","Days=T","Dir=V")</f>
        <v>0</v>
      </c>
      <c r="E2">
        <f>BDH("CAPR US Equity","SHORT_AND_LONG_TERM_DEBT","2016-06-30","2021-06-30","Per=Y","Days=T","Dir=V")</f>
        <v>0</v>
      </c>
      <c r="G2">
        <f>BDH("CAPR US Equity","BS_ST_BORROW","2016-06-30","2021-06-30","Per=Y","Days=T","Dir=V")</f>
        <v>0</v>
      </c>
      <c r="I2">
        <f>BDH("CAPR US Equity","BS_LT_BORROW","2016-06-30","2021-06-30","Per=Y","Days=T","Dir=V")</f>
        <v>0</v>
      </c>
      <c r="K2">
        <f>BDH("CAPR US Equity","BS_CASH_NEAR_CASH_ITEM","2016-06-30","2021-06-30","Per=Y","Days=T","Dir=V")</f>
        <v>0</v>
      </c>
      <c r="M2">
        <f>BDH("CAPR US Equity","BS_CUR_ASSET_REPORT","2016-06-30","2021-06-30","Per=Y","Days=T","Dir=V")</f>
        <v>0</v>
      </c>
      <c r="O2">
        <f>BDH("CAPR US Equity","BS_CUR_LIAB","2016-06-30","2021-06-30","Per=Y","Days=T","Dir=V")</f>
        <v>0</v>
      </c>
      <c r="Q2">
        <f>BDH("CAPR US Equity","BS_SHAREHOLDER_EQY_ENDING_PERIOD","2016-06-30","2021-06-30","Per=Y","Days=T","Dir=V")</f>
        <v>0</v>
      </c>
      <c r="S2">
        <f>BDH("CAPR US Equity","BS_ACCT_NOTE_RCV","2016-06-30","2021-06-30","Per=Y","Days=T","Dir=V")</f>
        <v>0</v>
      </c>
      <c r="U2">
        <f>BDH("CAPR US Equity","BS_INVENTORIES","2016-06-30","2021-06-30","Per=Y","Days=T","Dir=V")</f>
        <v>0</v>
      </c>
      <c r="W2">
        <f>BDH("CAPR US Equity","WORKING_CAPITAL","2016-06-30","2021-06-30","Per=Y","Days=T","Dir=V")</f>
        <v>0</v>
      </c>
      <c r="Y2">
        <f>BDH("CAPR US Equity","SALES_REV_TURN","2016-06-30","2021-06-30","Per=Y","Days=T","Dir=V")</f>
        <v>0</v>
      </c>
      <c r="AA2">
        <f>BDH("CAPR US Equity","EBIT","2016-06-30","2021-06-30","Per=Y","Days=T","Dir=V")</f>
        <v>0</v>
      </c>
      <c r="AC2">
        <f>BDH("CAPR US Equity","EBITDA","2016-06-30","2021-06-30","Per=Y","Days=T","Dir=V")</f>
        <v>0</v>
      </c>
      <c r="AE2">
        <f>BDH("CAPR US Equity","NET_INCOME","2016-06-30","2021-06-30","Per=Y","Days=T","Dir=V")</f>
        <v>0</v>
      </c>
      <c r="AG2">
        <f>BDH("CAPR US Equity","IS_INT_EXPENSE","2016-06-30","2021-06-30","Per=Y","Days=T","Dir=V")</f>
        <v>0</v>
      </c>
      <c r="AI2">
        <f>BDH("CAPR US Equity","IS_DEPR_EXP","2016-06-30","2021-06-30","Per=Y","Days=T","Dir=V")</f>
        <v>0</v>
      </c>
      <c r="AK2">
        <f>BDH("CAPR US Equity","CF_CASH_FROM_OPER","2016-06-30","2021-06-30","Per=Y","Days=T","Dir=V")</f>
        <v>0</v>
      </c>
      <c r="AM2">
        <f>BDH("CAPR US Equity","CAPITAL_EXPEND","2016-06-30","2021-06-30","Per=Y","Days=T","Dir=V")</f>
        <v>0</v>
      </c>
      <c r="AO2">
        <f>BDH("CAPR US Equity","CF_FREE_CASH_FLOW","2016-06-30","2021-06-30","Per=Y","Days=T","Dir=V")</f>
        <v>0</v>
      </c>
      <c r="AQ2">
        <f>BDH("CAPR US Equity","PX_LAST","2016-06-30","2021-06-30","Per=M","Days=T","Dir=V")</f>
        <v>0</v>
      </c>
      <c r="AS2">
        <f>BDH("CAPR US Equity","CUR_MKT_CAP","2016-06-30","2021-06-30","Per=M","Days=T","Dir=V")</f>
        <v>0</v>
      </c>
      <c r="AU2">
        <f>BDH("CAPR US Equity","EQY_SH_OUT","2016-06-30","2021-06-30","Per=M","Days=T","Dir=V")</f>
        <v>0</v>
      </c>
      <c r="AW2">
        <f>BDH("CAPR US Equity","BETA_RAW_OVERRIABLE","2016-06-30","2021-06-30","Per=M","Days=T","Dir=V")</f>
        <v>0</v>
      </c>
      <c r="AY2">
        <f>BDH("CAPR US Equity","PX_VOLUME","2016-06-30","2021-06-30","Per=M","Days=T","Dir=V")</f>
        <v>0</v>
      </c>
      <c r="BA2">
        <f>BDH("CAPR US Equity","TURNOVER","2016-06-30","2021-06-30","Per=M","Days=T","Dir=V")</f>
        <v>0</v>
      </c>
      <c r="BC2">
        <f>BDH("CAPR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BDH("CING US Equity","BS_TOT_ASSET","2016-06-30","2021-06-30","Per=Y","Days=T","Dir=V")</f>
        <v>0</v>
      </c>
      <c r="C2">
        <f>BDH("CING US Equity","BS_TOT_LIAB2","2016-06-30","2021-06-30","Per=Y","Days=T","Dir=V")</f>
        <v>0</v>
      </c>
      <c r="E2">
        <f>BDH("CING US Equity","SHORT_AND_LONG_TERM_DEBT","2016-06-30","2021-06-30","Per=Y","Days=T","Dir=V")</f>
        <v>0</v>
      </c>
      <c r="G2">
        <f>BDH("CING US Equity","BS_ST_BORROW","2016-06-30","2021-06-30","Per=Y","Days=T","Dir=V")</f>
        <v>0</v>
      </c>
      <c r="I2">
        <f>BDH("CING US Equity","BS_LT_BORROW","2016-06-30","2021-06-30","Per=Y","Days=T","Dir=V")</f>
        <v>0</v>
      </c>
      <c r="K2">
        <f>BDH("CING US Equity","BS_CASH_NEAR_CASH_ITEM","2016-06-30","2021-06-30","Per=Y","Days=T","Dir=V")</f>
        <v>0</v>
      </c>
      <c r="M2">
        <f>BDH("CING US Equity","BS_CUR_ASSET_REPORT","2016-06-30","2021-06-30","Per=Y","Days=T","Dir=V")</f>
        <v>0</v>
      </c>
      <c r="O2">
        <f>BDH("CING US Equity","BS_CUR_LIAB","2016-06-30","2021-06-30","Per=Y","Days=T","Dir=V")</f>
        <v>0</v>
      </c>
      <c r="Q2">
        <f>BDH("CING US Equity","BS_SHAREHOLDER_EQY_ENDING_PERIOD","2016-06-30","2021-06-30","Per=Y","Days=T","Dir=V")</f>
        <v>0</v>
      </c>
      <c r="S2">
        <f>BDH("CING US Equity","BS_ACCT_NOTE_RCV","2016-06-30","2021-06-30","Per=Y","Days=T","Dir=V")</f>
        <v>0</v>
      </c>
      <c r="U2">
        <f>BDH("CING US Equity","BS_INVENTORIES","2016-06-30","2021-06-30","Per=Y","Days=T","Dir=V")</f>
        <v>0</v>
      </c>
      <c r="W2">
        <f>BDH("CING US Equity","WORKING_CAPITAL","2016-06-30","2021-06-30","Per=Y","Days=T","Dir=V")</f>
        <v>0</v>
      </c>
      <c r="Y2">
        <f>BDH("CING US Equity","SALES_REV_TURN","2016-06-30","2021-06-30","Per=Y","Days=T","Dir=V")</f>
        <v>0</v>
      </c>
      <c r="AA2">
        <f>BDH("CING US Equity","EBIT","2016-06-30","2021-06-30","Per=Y","Days=T","Dir=V")</f>
        <v>0</v>
      </c>
      <c r="AC2">
        <f>BDH("CING US Equity","EBITDA","2016-06-30","2021-06-30","Per=Y","Days=T","Dir=V")</f>
        <v>0</v>
      </c>
      <c r="AE2">
        <f>BDH("CING US Equity","NET_INCOME","2016-06-30","2021-06-30","Per=Y","Days=T","Dir=V")</f>
        <v>0</v>
      </c>
      <c r="AG2">
        <f>BDH("CING US Equity","IS_INT_EXPENSE","2016-06-30","2021-06-30","Per=Y","Days=T","Dir=V")</f>
        <v>0</v>
      </c>
      <c r="AI2">
        <f>BDH("CING US Equity","IS_DEPR_EXP","2016-06-30","2021-06-30","Per=Y","Days=T","Dir=V")</f>
        <v>0</v>
      </c>
      <c r="AK2">
        <f>BDH("CING US Equity","CF_CASH_FROM_OPER","2016-06-30","2021-06-30","Per=Y","Days=T","Dir=V")</f>
        <v>0</v>
      </c>
      <c r="AM2">
        <f>BDH("CING US Equity","CAPITAL_EXPEND","2016-06-30","2021-06-30","Per=Y","Days=T","Dir=V")</f>
        <v>0</v>
      </c>
      <c r="AO2">
        <f>BDH("CING US Equity","CF_FREE_CASH_FLOW","2016-06-30","2021-06-30","Per=Y","Days=T","Dir=V")</f>
        <v>0</v>
      </c>
      <c r="AQ2">
        <f>BDH("CING US Equity","PX_LAST","2016-06-30","2021-06-30","Per=M","Days=T","Dir=V")</f>
        <v>0</v>
      </c>
      <c r="AS2">
        <f>BDH("CING US Equity","CUR_MKT_CAP","2016-06-30","2021-06-30","Per=M","Days=T","Dir=V")</f>
        <v>0</v>
      </c>
      <c r="AU2">
        <f>BDH("CING US Equity","EQY_SH_OUT","2016-06-30","2021-06-30","Per=M","Days=T","Dir=V")</f>
        <v>0</v>
      </c>
      <c r="AW2">
        <f>BDH("CING US Equity","BETA_RAW_OVERRIABLE","2016-06-30","2021-06-30","Per=M","Days=T","Dir=V")</f>
        <v>0</v>
      </c>
      <c r="AY2">
        <f>BDH("CING US Equity","PX_VOLUME","2016-06-30","2021-06-30","Per=M","Days=T","Dir=V")</f>
        <v>0</v>
      </c>
      <c r="BA2">
        <f>BDH("CING US Equity","TURNOVER","2016-06-30","2021-06-30","Per=M","Days=T","Dir=V")</f>
        <v>0</v>
      </c>
      <c r="BC2">
        <f>BDH("CING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BDH("CNTX US Equity","BS_TOT_ASSET","2016-06-30","2021-06-30","Per=Y","Days=T","Dir=V")</f>
        <v>0</v>
      </c>
      <c r="C2">
        <f>BDH("CNTX US Equity","BS_TOT_LIAB2","2016-06-30","2021-06-30","Per=Y","Days=T","Dir=V")</f>
        <v>0</v>
      </c>
      <c r="E2">
        <f>BDH("CNTX US Equity","SHORT_AND_LONG_TERM_DEBT","2016-06-30","2021-06-30","Per=Y","Days=T","Dir=V")</f>
        <v>0</v>
      </c>
      <c r="G2">
        <f>BDH("CNTX US Equity","BS_ST_BORROW","2016-06-30","2021-06-30","Per=Y","Days=T","Dir=V")</f>
        <v>0</v>
      </c>
      <c r="I2">
        <f>BDH("CNTX US Equity","BS_LT_BORROW","2016-06-30","2021-06-30","Per=Y","Days=T","Dir=V")</f>
        <v>0</v>
      </c>
      <c r="K2">
        <f>BDH("CNTX US Equity","BS_CASH_NEAR_CASH_ITEM","2016-06-30","2021-06-30","Per=Y","Days=T","Dir=V")</f>
        <v>0</v>
      </c>
      <c r="M2">
        <f>BDH("CNTX US Equity","BS_CUR_ASSET_REPORT","2016-06-30","2021-06-30","Per=Y","Days=T","Dir=V")</f>
        <v>0</v>
      </c>
      <c r="O2">
        <f>BDH("CNTX US Equity","BS_CUR_LIAB","2016-06-30","2021-06-30","Per=Y","Days=T","Dir=V")</f>
        <v>0</v>
      </c>
      <c r="Q2">
        <f>BDH("CNTX US Equity","BS_SHAREHOLDER_EQY_ENDING_PERIOD","2016-06-30","2021-06-30","Per=Y","Days=T","Dir=V")</f>
        <v>0</v>
      </c>
      <c r="S2">
        <f>BDH("CNTX US Equity","BS_ACCT_NOTE_RCV","2016-06-30","2021-06-30","Per=Y","Days=T","Dir=V")</f>
        <v>0</v>
      </c>
      <c r="U2">
        <f>BDH("CNTX US Equity","BS_INVENTORIES","2016-06-30","2021-06-30","Per=Y","Days=T","Dir=V")</f>
        <v>0</v>
      </c>
      <c r="W2">
        <f>BDH("CNTX US Equity","WORKING_CAPITAL","2016-06-30","2021-06-30","Per=Y","Days=T","Dir=V")</f>
        <v>0</v>
      </c>
      <c r="Y2">
        <f>BDH("CNTX US Equity","SALES_REV_TURN","2016-06-30","2021-06-30","Per=Y","Days=T","Dir=V")</f>
        <v>0</v>
      </c>
      <c r="AA2">
        <f>BDH("CNTX US Equity","EBIT","2016-06-30","2021-06-30","Per=Y","Days=T","Dir=V")</f>
        <v>0</v>
      </c>
      <c r="AC2">
        <f>BDH("CNTX US Equity","EBITDA","2016-06-30","2021-06-30","Per=Y","Days=T","Dir=V")</f>
        <v>0</v>
      </c>
      <c r="AE2">
        <f>BDH("CNTX US Equity","NET_INCOME","2016-06-30","2021-06-30","Per=Y","Days=T","Dir=V")</f>
        <v>0</v>
      </c>
      <c r="AG2">
        <f>BDH("CNTX US Equity","IS_INT_EXPENSE","2016-06-30","2021-06-30","Per=Y","Days=T","Dir=V")</f>
        <v>0</v>
      </c>
      <c r="AI2">
        <f>BDH("CNTX US Equity","IS_DEPR_EXP","2016-06-30","2021-06-30","Per=Y","Days=T","Dir=V")</f>
        <v>0</v>
      </c>
      <c r="AK2">
        <f>BDH("CNTX US Equity","CF_CASH_FROM_OPER","2016-06-30","2021-06-30","Per=Y","Days=T","Dir=V")</f>
        <v>0</v>
      </c>
      <c r="AM2">
        <f>BDH("CNTX US Equity","CAPITAL_EXPEND","2016-06-30","2021-06-30","Per=Y","Days=T","Dir=V")</f>
        <v>0</v>
      </c>
      <c r="AO2">
        <f>BDH("CNTX US Equity","CF_FREE_CASH_FLOW","2016-06-30","2021-06-30","Per=Y","Days=T","Dir=V")</f>
        <v>0</v>
      </c>
      <c r="AQ2">
        <f>BDH("CNTX US Equity","PX_LAST","2016-06-30","2021-06-30","Per=M","Days=T","Dir=V")</f>
        <v>0</v>
      </c>
      <c r="AS2">
        <f>BDH("CNTX US Equity","CUR_MKT_CAP","2016-06-30","2021-06-30","Per=M","Days=T","Dir=V")</f>
        <v>0</v>
      </c>
      <c r="AU2">
        <f>BDH("CNTX US Equity","EQY_SH_OUT","2016-06-30","2021-06-30","Per=M","Days=T","Dir=V")</f>
        <v>0</v>
      </c>
      <c r="AW2">
        <f>BDH("CNTX US Equity","BETA_RAW_OVERRIABLE","2016-06-30","2021-06-30","Per=M","Days=T","Dir=V")</f>
        <v>0</v>
      </c>
      <c r="AY2">
        <f>BDH("CNTX US Equity","PX_VOLUME","2016-06-30","2021-06-30","Per=M","Days=T","Dir=V")</f>
        <v>0</v>
      </c>
      <c r="BA2">
        <f>BDH("CNTX US Equity","TURNOVER","2016-06-30","2021-06-30","Per=M","Days=T","Dir=V")</f>
        <v>0</v>
      </c>
      <c r="BC2">
        <f>BDH("CNTX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BDH("CTMX US Equity","BS_TOT_ASSET","2016-06-30","2021-06-30","Per=Y","Days=T","Dir=V")</f>
        <v>0</v>
      </c>
      <c r="C2">
        <f>BDH("CTMX US Equity","BS_TOT_LIAB2","2016-06-30","2021-06-30","Per=Y","Days=T","Dir=V")</f>
        <v>0</v>
      </c>
      <c r="E2">
        <f>BDH("CTMX US Equity","SHORT_AND_LONG_TERM_DEBT","2016-06-30","2021-06-30","Per=Y","Days=T","Dir=V")</f>
        <v>0</v>
      </c>
      <c r="G2">
        <f>BDH("CTMX US Equity","BS_ST_BORROW","2016-06-30","2021-06-30","Per=Y","Days=T","Dir=V")</f>
        <v>0</v>
      </c>
      <c r="I2">
        <f>BDH("CTMX US Equity","BS_LT_BORROW","2016-06-30","2021-06-30","Per=Y","Days=T","Dir=V")</f>
        <v>0</v>
      </c>
      <c r="K2">
        <f>BDH("CTMX US Equity","BS_CASH_NEAR_CASH_ITEM","2016-06-30","2021-06-30","Per=Y","Days=T","Dir=V")</f>
        <v>0</v>
      </c>
      <c r="M2">
        <f>BDH("CTMX US Equity","BS_CUR_ASSET_REPORT","2016-06-30","2021-06-30","Per=Y","Days=T","Dir=V")</f>
        <v>0</v>
      </c>
      <c r="O2">
        <f>BDH("CTMX US Equity","BS_CUR_LIAB","2016-06-30","2021-06-30","Per=Y","Days=T","Dir=V")</f>
        <v>0</v>
      </c>
      <c r="Q2">
        <f>BDH("CTMX US Equity","BS_SHAREHOLDER_EQY_ENDING_PERIOD","2016-06-30","2021-06-30","Per=Y","Days=T","Dir=V")</f>
        <v>0</v>
      </c>
      <c r="S2">
        <f>BDH("CTMX US Equity","BS_ACCT_NOTE_RCV","2016-06-30","2021-06-30","Per=Y","Days=T","Dir=V")</f>
        <v>0</v>
      </c>
      <c r="U2">
        <f>BDH("CTMX US Equity","BS_INVENTORIES","2016-06-30","2021-06-30","Per=Y","Days=T","Dir=V")</f>
        <v>0</v>
      </c>
      <c r="W2">
        <f>BDH("CTMX US Equity","WORKING_CAPITAL","2016-06-30","2021-06-30","Per=Y","Days=T","Dir=V")</f>
        <v>0</v>
      </c>
      <c r="Y2">
        <f>BDH("CTMX US Equity","SALES_REV_TURN","2016-06-30","2021-06-30","Per=Y","Days=T","Dir=V")</f>
        <v>0</v>
      </c>
      <c r="AA2">
        <f>BDH("CTMX US Equity","EBIT","2016-06-30","2021-06-30","Per=Y","Days=T","Dir=V")</f>
        <v>0</v>
      </c>
      <c r="AC2">
        <f>BDH("CTMX US Equity","EBITDA","2016-06-30","2021-06-30","Per=Y","Days=T","Dir=V")</f>
        <v>0</v>
      </c>
      <c r="AE2">
        <f>BDH("CTMX US Equity","NET_INCOME","2016-06-30","2021-06-30","Per=Y","Days=T","Dir=V")</f>
        <v>0</v>
      </c>
      <c r="AG2">
        <f>BDH("CTMX US Equity","IS_INT_EXPENSE","2016-06-30","2021-06-30","Per=Y","Days=T","Dir=V")</f>
        <v>0</v>
      </c>
      <c r="AI2">
        <f>BDH("CTMX US Equity","IS_DEPR_EXP","2016-06-30","2021-06-30","Per=Y","Days=T","Dir=V")</f>
        <v>0</v>
      </c>
      <c r="AK2">
        <f>BDH("CTMX US Equity","CF_CASH_FROM_OPER","2016-06-30","2021-06-30","Per=Y","Days=T","Dir=V")</f>
        <v>0</v>
      </c>
      <c r="AM2">
        <f>BDH("CTMX US Equity","CAPITAL_EXPEND","2016-06-30","2021-06-30","Per=Y","Days=T","Dir=V")</f>
        <v>0</v>
      </c>
      <c r="AO2">
        <f>BDH("CTMX US Equity","CF_FREE_CASH_FLOW","2016-06-30","2021-06-30","Per=Y","Days=T","Dir=V")</f>
        <v>0</v>
      </c>
      <c r="AQ2">
        <f>BDH("CTMX US Equity","PX_LAST","2016-06-30","2021-06-30","Per=M","Days=T","Dir=V")</f>
        <v>0</v>
      </c>
      <c r="AS2">
        <f>BDH("CTMX US Equity","CUR_MKT_CAP","2016-06-30","2021-06-30","Per=M","Days=T","Dir=V")</f>
        <v>0</v>
      </c>
      <c r="AU2">
        <f>BDH("CTMX US Equity","EQY_SH_OUT","2016-06-30","2021-06-30","Per=M","Days=T","Dir=V")</f>
        <v>0</v>
      </c>
      <c r="AW2">
        <f>BDH("CTMX US Equity","BETA_RAW_OVERRIABLE","2016-06-30","2021-06-30","Per=M","Days=T","Dir=V")</f>
        <v>0</v>
      </c>
      <c r="AY2">
        <f>BDH("CTMX US Equity","PX_VOLUME","2016-06-30","2021-06-30","Per=M","Days=T","Dir=V")</f>
        <v>0</v>
      </c>
      <c r="BA2">
        <f>BDH("CTMX US Equity","TURNOVER","2016-06-30","2021-06-30","Per=M","Days=T","Dir=V")</f>
        <v>0</v>
      </c>
      <c r="BC2">
        <f>BDH("CTMX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BDH("GLSI US Equity","BS_TOT_ASSET","2016-06-30","2021-06-30","Per=Y","Days=T","Dir=V")</f>
        <v>0</v>
      </c>
      <c r="C2">
        <f>BDH("GLSI US Equity","BS_TOT_LIAB2","2016-06-30","2021-06-30","Per=Y","Days=T","Dir=V")</f>
        <v>0</v>
      </c>
      <c r="E2">
        <f>BDH("GLSI US Equity","SHORT_AND_LONG_TERM_DEBT","2016-06-30","2021-06-30","Per=Y","Days=T","Dir=V")</f>
        <v>0</v>
      </c>
      <c r="G2">
        <f>BDH("GLSI US Equity","BS_ST_BORROW","2016-06-30","2021-06-30","Per=Y","Days=T","Dir=V")</f>
        <v>0</v>
      </c>
      <c r="I2">
        <f>BDH("GLSI US Equity","BS_LT_BORROW","2016-06-30","2021-06-30","Per=Y","Days=T","Dir=V")</f>
        <v>0</v>
      </c>
      <c r="K2">
        <f>BDH("GLSI US Equity","BS_CASH_NEAR_CASH_ITEM","2016-06-30","2021-06-30","Per=Y","Days=T","Dir=V")</f>
        <v>0</v>
      </c>
      <c r="M2">
        <f>BDH("GLSI US Equity","BS_CUR_ASSET_REPORT","2016-06-30","2021-06-30","Per=Y","Days=T","Dir=V")</f>
        <v>0</v>
      </c>
      <c r="O2">
        <f>BDH("GLSI US Equity","BS_CUR_LIAB","2016-06-30","2021-06-30","Per=Y","Days=T","Dir=V")</f>
        <v>0</v>
      </c>
      <c r="Q2">
        <f>BDH("GLSI US Equity","BS_SHAREHOLDER_EQY_ENDING_PERIOD","2016-06-30","2021-06-30","Per=Y","Days=T","Dir=V")</f>
        <v>0</v>
      </c>
      <c r="S2">
        <f>BDH("GLSI US Equity","BS_ACCT_NOTE_RCV","2016-06-30","2021-06-30","Per=Y","Days=T","Dir=V")</f>
        <v>0</v>
      </c>
      <c r="U2">
        <f>BDH("GLSI US Equity","BS_INVENTORIES","2016-06-30","2021-06-30","Per=Y","Days=T","Dir=V")</f>
        <v>0</v>
      </c>
      <c r="W2">
        <f>BDH("GLSI US Equity","WORKING_CAPITAL","2016-06-30","2021-06-30","Per=Y","Days=T","Dir=V")</f>
        <v>0</v>
      </c>
      <c r="Y2">
        <f>BDH("GLSI US Equity","SALES_REV_TURN","2016-06-30","2021-06-30","Per=Y","Days=T","Dir=V")</f>
        <v>0</v>
      </c>
      <c r="AA2">
        <f>BDH("GLSI US Equity","EBIT","2016-06-30","2021-06-30","Per=Y","Days=T","Dir=V")</f>
        <v>0</v>
      </c>
      <c r="AC2">
        <f>BDH("GLSI US Equity","EBITDA","2016-06-30","2021-06-30","Per=Y","Days=T","Dir=V")</f>
        <v>0</v>
      </c>
      <c r="AE2">
        <f>BDH("GLSI US Equity","NET_INCOME","2016-06-30","2021-06-30","Per=Y","Days=T","Dir=V")</f>
        <v>0</v>
      </c>
      <c r="AG2">
        <f>BDH("GLSI US Equity","IS_INT_EXPENSE","2016-06-30","2021-06-30","Per=Y","Days=T","Dir=V")</f>
        <v>0</v>
      </c>
      <c r="AI2">
        <f>BDH("GLSI US Equity","IS_DEPR_EXP","2016-06-30","2021-06-30","Per=Y","Days=T","Dir=V")</f>
        <v>0</v>
      </c>
      <c r="AK2">
        <f>BDH("GLSI US Equity","CF_CASH_FROM_OPER","2016-06-30","2021-06-30","Per=Y","Days=T","Dir=V")</f>
        <v>0</v>
      </c>
      <c r="AM2">
        <f>BDH("GLSI US Equity","CAPITAL_EXPEND","2016-06-30","2021-06-30","Per=Y","Days=T","Dir=V")</f>
        <v>0</v>
      </c>
      <c r="AO2">
        <f>BDH("GLSI US Equity","CF_FREE_CASH_FLOW","2016-06-30","2021-06-30","Per=Y","Days=T","Dir=V")</f>
        <v>0</v>
      </c>
      <c r="AQ2">
        <f>BDH("GLSI US Equity","PX_LAST","2016-06-30","2021-06-30","Per=M","Days=T","Dir=V")</f>
        <v>0</v>
      </c>
      <c r="AS2">
        <f>BDH("GLSI US Equity","CUR_MKT_CAP","2016-06-30","2021-06-30","Per=M","Days=T","Dir=V")</f>
        <v>0</v>
      </c>
      <c r="AU2">
        <f>BDH("GLSI US Equity","EQY_SH_OUT","2016-06-30","2021-06-30","Per=M","Days=T","Dir=V")</f>
        <v>0</v>
      </c>
      <c r="AW2">
        <f>BDH("GLSI US Equity","BETA_RAW_OVERRIABLE","2016-06-30","2021-06-30","Per=M","Days=T","Dir=V")</f>
        <v>0</v>
      </c>
      <c r="AY2">
        <f>BDH("GLSI US Equity","PX_VOLUME","2016-06-30","2021-06-30","Per=M","Days=T","Dir=V")</f>
        <v>0</v>
      </c>
      <c r="BA2">
        <f>BDH("GLSI US Equity","TURNOVER","2016-06-30","2021-06-30","Per=M","Days=T","Dir=V")</f>
        <v>0</v>
      </c>
      <c r="BC2">
        <f>BDH("GLSI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BDH("GOSS US Equity","BS_TOT_ASSET","2016-06-30","2021-06-30","Per=Y","Days=T","Dir=V")</f>
        <v>0</v>
      </c>
      <c r="C2">
        <f>BDH("GOSS US Equity","BS_TOT_LIAB2","2016-06-30","2021-06-30","Per=Y","Days=T","Dir=V")</f>
        <v>0</v>
      </c>
      <c r="E2">
        <f>BDH("GOSS US Equity","SHORT_AND_LONG_TERM_DEBT","2016-06-30","2021-06-30","Per=Y","Days=T","Dir=V")</f>
        <v>0</v>
      </c>
      <c r="G2">
        <f>BDH("GOSS US Equity","BS_ST_BORROW","2016-06-30","2021-06-30","Per=Y","Days=T","Dir=V")</f>
        <v>0</v>
      </c>
      <c r="I2">
        <f>BDH("GOSS US Equity","BS_LT_BORROW","2016-06-30","2021-06-30","Per=Y","Days=T","Dir=V")</f>
        <v>0</v>
      </c>
      <c r="K2">
        <f>BDH("GOSS US Equity","BS_CASH_NEAR_CASH_ITEM","2016-06-30","2021-06-30","Per=Y","Days=T","Dir=V")</f>
        <v>0</v>
      </c>
      <c r="M2">
        <f>BDH("GOSS US Equity","BS_CUR_ASSET_REPORT","2016-06-30","2021-06-30","Per=Y","Days=T","Dir=V")</f>
        <v>0</v>
      </c>
      <c r="O2">
        <f>BDH("GOSS US Equity","BS_CUR_LIAB","2016-06-30","2021-06-30","Per=Y","Days=T","Dir=V")</f>
        <v>0</v>
      </c>
      <c r="Q2">
        <f>BDH("GOSS US Equity","BS_SHAREHOLDER_EQY_ENDING_PERIOD","2016-06-30","2021-06-30","Per=Y","Days=T","Dir=V")</f>
        <v>0</v>
      </c>
      <c r="S2">
        <f>BDH("GOSS US Equity","BS_ACCT_NOTE_RCV","2016-06-30","2021-06-30","Per=Y","Days=T","Dir=V")</f>
        <v>0</v>
      </c>
      <c r="U2">
        <f>BDH("GOSS US Equity","BS_INVENTORIES","2016-06-30","2021-06-30","Per=Y","Days=T","Dir=V")</f>
        <v>0</v>
      </c>
      <c r="W2">
        <f>BDH("GOSS US Equity","WORKING_CAPITAL","2016-06-30","2021-06-30","Per=Y","Days=T","Dir=V")</f>
        <v>0</v>
      </c>
      <c r="Y2">
        <f>BDH("GOSS US Equity","SALES_REV_TURN","2016-06-30","2021-06-30","Per=Y","Days=T","Dir=V")</f>
        <v>0</v>
      </c>
      <c r="AA2">
        <f>BDH("GOSS US Equity","EBIT","2016-06-30","2021-06-30","Per=Y","Days=T","Dir=V")</f>
        <v>0</v>
      </c>
      <c r="AC2">
        <f>BDH("GOSS US Equity","EBITDA","2016-06-30","2021-06-30","Per=Y","Days=T","Dir=V")</f>
        <v>0</v>
      </c>
      <c r="AE2">
        <f>BDH("GOSS US Equity","NET_INCOME","2016-06-30","2021-06-30","Per=Y","Days=T","Dir=V")</f>
        <v>0</v>
      </c>
      <c r="AG2">
        <f>BDH("GOSS US Equity","IS_INT_EXPENSE","2016-06-30","2021-06-30","Per=Y","Days=T","Dir=V")</f>
        <v>0</v>
      </c>
      <c r="AI2">
        <f>BDH("GOSS US Equity","IS_DEPR_EXP","2016-06-30","2021-06-30","Per=Y","Days=T","Dir=V")</f>
        <v>0</v>
      </c>
      <c r="AK2">
        <f>BDH("GOSS US Equity","CF_CASH_FROM_OPER","2016-06-30","2021-06-30","Per=Y","Days=T","Dir=V")</f>
        <v>0</v>
      </c>
      <c r="AM2">
        <f>BDH("GOSS US Equity","CAPITAL_EXPEND","2016-06-30","2021-06-30","Per=Y","Days=T","Dir=V")</f>
        <v>0</v>
      </c>
      <c r="AO2">
        <f>BDH("GOSS US Equity","CF_FREE_CASH_FLOW","2016-06-30","2021-06-30","Per=Y","Days=T","Dir=V")</f>
        <v>0</v>
      </c>
      <c r="AQ2">
        <f>BDH("GOSS US Equity","PX_LAST","2016-06-30","2021-06-30","Per=M","Days=T","Dir=V")</f>
        <v>0</v>
      </c>
      <c r="AS2">
        <f>BDH("GOSS US Equity","CUR_MKT_CAP","2016-06-30","2021-06-30","Per=M","Days=T","Dir=V")</f>
        <v>0</v>
      </c>
      <c r="AU2">
        <f>BDH("GOSS US Equity","EQY_SH_OUT","2016-06-30","2021-06-30","Per=M","Days=T","Dir=V")</f>
        <v>0</v>
      </c>
      <c r="AW2">
        <f>BDH("GOSS US Equity","BETA_RAW_OVERRIABLE","2016-06-30","2021-06-30","Per=M","Days=T","Dir=V")</f>
        <v>0</v>
      </c>
      <c r="AY2">
        <f>BDH("GOSS US Equity","PX_VOLUME","2016-06-30","2021-06-30","Per=M","Days=T","Dir=V")</f>
        <v>0</v>
      </c>
      <c r="BA2">
        <f>BDH("GOSS US Equity","TURNOVER","2016-06-30","2021-06-30","Per=M","Days=T","Dir=V")</f>
        <v>0</v>
      </c>
      <c r="BC2">
        <f>BDH("GOSS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BDH("GPCR US Equity","BS_TOT_ASSET","2016-06-30","2021-06-30","Per=Y","Days=T","Dir=V")</f>
        <v>0</v>
      </c>
      <c r="C2">
        <f>BDH("GPCR US Equity","BS_TOT_LIAB2","2016-06-30","2021-06-30","Per=Y","Days=T","Dir=V")</f>
        <v>0</v>
      </c>
      <c r="E2">
        <f>BDH("GPCR US Equity","SHORT_AND_LONG_TERM_DEBT","2016-06-30","2021-06-30","Per=Y","Days=T","Dir=V")</f>
        <v>0</v>
      </c>
      <c r="G2">
        <f>BDH("GPCR US Equity","BS_ST_BORROW","2016-06-30","2021-06-30","Per=Y","Days=T","Dir=V")</f>
        <v>0</v>
      </c>
      <c r="I2">
        <f>BDH("GPCR US Equity","BS_LT_BORROW","2016-06-30","2021-06-30","Per=Y","Days=T","Dir=V")</f>
        <v>0</v>
      </c>
      <c r="K2">
        <f>BDH("GPCR US Equity","BS_CASH_NEAR_CASH_ITEM","2016-06-30","2021-06-30","Per=Y","Days=T","Dir=V")</f>
        <v>0</v>
      </c>
      <c r="M2">
        <f>BDH("GPCR US Equity","BS_CUR_ASSET_REPORT","2016-06-30","2021-06-30","Per=Y","Days=T","Dir=V")</f>
        <v>0</v>
      </c>
      <c r="O2">
        <f>BDH("GPCR US Equity","BS_CUR_LIAB","2016-06-30","2021-06-30","Per=Y","Days=T","Dir=V")</f>
        <v>0</v>
      </c>
      <c r="Q2">
        <f>BDH("GPCR US Equity","BS_SHAREHOLDER_EQY_ENDING_PERIOD","2016-06-30","2021-06-30","Per=Y","Days=T","Dir=V")</f>
        <v>0</v>
      </c>
      <c r="S2">
        <f>BDH("GPCR US Equity","BS_ACCT_NOTE_RCV","2016-06-30","2021-06-30","Per=Y","Days=T","Dir=V")</f>
        <v>0</v>
      </c>
      <c r="U2">
        <f>BDH("GPCR US Equity","BS_INVENTORIES","2016-06-30","2021-06-30","Per=Y","Days=T","Dir=V")</f>
        <v>0</v>
      </c>
      <c r="W2">
        <f>BDH("GPCR US Equity","WORKING_CAPITAL","2016-06-30","2021-06-30","Per=Y","Days=T","Dir=V")</f>
        <v>0</v>
      </c>
      <c r="Y2">
        <f>BDH("GPCR US Equity","SALES_REV_TURN","2016-06-30","2021-06-30","Per=Y","Days=T","Dir=V")</f>
        <v>0</v>
      </c>
      <c r="AA2">
        <f>BDH("GPCR US Equity","EBIT","2016-06-30","2021-06-30","Per=Y","Days=T","Dir=V")</f>
        <v>0</v>
      </c>
      <c r="AC2">
        <f>BDH("GPCR US Equity","EBITDA","2016-06-30","2021-06-30","Per=Y","Days=T","Dir=V")</f>
        <v>0</v>
      </c>
      <c r="AE2">
        <f>BDH("GPCR US Equity","NET_INCOME","2016-06-30","2021-06-30","Per=Y","Days=T","Dir=V")</f>
        <v>0</v>
      </c>
      <c r="AG2">
        <f>BDH("GPCR US Equity","IS_INT_EXPENSE","2016-06-30","2021-06-30","Per=Y","Days=T","Dir=V")</f>
        <v>0</v>
      </c>
      <c r="AI2">
        <f>BDH("GPCR US Equity","IS_DEPR_EXP","2016-06-30","2021-06-30","Per=Y","Days=T","Dir=V")</f>
        <v>0</v>
      </c>
      <c r="AK2">
        <f>BDH("GPCR US Equity","CF_CASH_FROM_OPER","2016-06-30","2021-06-30","Per=Y","Days=T","Dir=V")</f>
        <v>0</v>
      </c>
      <c r="AM2">
        <f>BDH("GPCR US Equity","CAPITAL_EXPEND","2016-06-30","2021-06-30","Per=Y","Days=T","Dir=V")</f>
        <v>0</v>
      </c>
      <c r="AO2">
        <f>BDH("GPCR US Equity","CF_FREE_CASH_FLOW","2016-06-30","2021-06-30","Per=Y","Days=T","Dir=V")</f>
        <v>0</v>
      </c>
      <c r="AQ2">
        <f>BDH("GPCR US Equity","PX_LAST","2016-06-30","2021-06-30","Per=M","Days=T","Dir=V")</f>
        <v>0</v>
      </c>
      <c r="AS2">
        <f>BDH("GPCR US Equity","CUR_MKT_CAP","2016-06-30","2021-06-30","Per=M","Days=T","Dir=V")</f>
        <v>0</v>
      </c>
      <c r="AU2">
        <f>BDH("GPCR US Equity","EQY_SH_OUT","2016-06-30","2021-06-30","Per=M","Days=T","Dir=V")</f>
        <v>0</v>
      </c>
      <c r="AW2">
        <f>BDH("GPCR US Equity","BETA_RAW_OVERRIABLE","2016-06-30","2021-06-30","Per=M","Days=T","Dir=V")</f>
        <v>0</v>
      </c>
      <c r="AY2">
        <f>BDH("GPCR US Equity","PX_VOLUME","2016-06-30","2021-06-30","Per=M","Days=T","Dir=V")</f>
        <v>0</v>
      </c>
      <c r="BA2">
        <f>BDH("GPCR US Equity","TURNOVER","2016-06-30","2021-06-30","Per=M","Days=T","Dir=V")</f>
        <v>0</v>
      </c>
      <c r="BC2">
        <f>BDH("GPCR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BDH("HRMY US Equity","BS_TOT_ASSET","2016-06-30","2021-06-30","Per=Y","Days=T","Dir=V")</f>
        <v>0</v>
      </c>
      <c r="C2">
        <f>BDH("HRMY US Equity","BS_TOT_LIAB2","2016-06-30","2021-06-30","Per=Y","Days=T","Dir=V")</f>
        <v>0</v>
      </c>
      <c r="E2">
        <f>BDH("HRMY US Equity","SHORT_AND_LONG_TERM_DEBT","2016-06-30","2021-06-30","Per=Y","Days=T","Dir=V")</f>
        <v>0</v>
      </c>
      <c r="G2">
        <f>BDH("HRMY US Equity","BS_ST_BORROW","2016-06-30","2021-06-30","Per=Y","Days=T","Dir=V")</f>
        <v>0</v>
      </c>
      <c r="I2">
        <f>BDH("HRMY US Equity","BS_LT_BORROW","2016-06-30","2021-06-30","Per=Y","Days=T","Dir=V")</f>
        <v>0</v>
      </c>
      <c r="K2">
        <f>BDH("HRMY US Equity","BS_CASH_NEAR_CASH_ITEM","2016-06-30","2021-06-30","Per=Y","Days=T","Dir=V")</f>
        <v>0</v>
      </c>
      <c r="M2">
        <f>BDH("HRMY US Equity","BS_CUR_ASSET_REPORT","2016-06-30","2021-06-30","Per=Y","Days=T","Dir=V")</f>
        <v>0</v>
      </c>
      <c r="O2">
        <f>BDH("HRMY US Equity","BS_CUR_LIAB","2016-06-30","2021-06-30","Per=Y","Days=T","Dir=V")</f>
        <v>0</v>
      </c>
      <c r="Q2">
        <f>BDH("HRMY US Equity","BS_SHAREHOLDER_EQY_ENDING_PERIOD","2016-06-30","2021-06-30","Per=Y","Days=T","Dir=V")</f>
        <v>0</v>
      </c>
      <c r="S2">
        <f>BDH("HRMY US Equity","BS_ACCT_NOTE_RCV","2016-06-30","2021-06-30","Per=Y","Days=T","Dir=V")</f>
        <v>0</v>
      </c>
      <c r="U2">
        <f>BDH("HRMY US Equity","BS_INVENTORIES","2016-06-30","2021-06-30","Per=Y","Days=T","Dir=V")</f>
        <v>0</v>
      </c>
      <c r="W2">
        <f>BDH("HRMY US Equity","WORKING_CAPITAL","2016-06-30","2021-06-30","Per=Y","Days=T","Dir=V")</f>
        <v>0</v>
      </c>
      <c r="Y2">
        <f>BDH("HRMY US Equity","SALES_REV_TURN","2016-06-30","2021-06-30","Per=Y","Days=T","Dir=V")</f>
        <v>0</v>
      </c>
      <c r="AA2">
        <f>BDH("HRMY US Equity","EBIT","2016-06-30","2021-06-30","Per=Y","Days=T","Dir=V")</f>
        <v>0</v>
      </c>
      <c r="AC2">
        <f>BDH("HRMY US Equity","EBITDA","2016-06-30","2021-06-30","Per=Y","Days=T","Dir=V")</f>
        <v>0</v>
      </c>
      <c r="AE2">
        <f>BDH("HRMY US Equity","NET_INCOME","2016-06-30","2021-06-30","Per=Y","Days=T","Dir=V")</f>
        <v>0</v>
      </c>
      <c r="AG2">
        <f>BDH("HRMY US Equity","IS_INT_EXPENSE","2016-06-30","2021-06-30","Per=Y","Days=T","Dir=V")</f>
        <v>0</v>
      </c>
      <c r="AI2">
        <f>BDH("HRMY US Equity","IS_DEPR_EXP","2016-06-30","2021-06-30","Per=Y","Days=T","Dir=V")</f>
        <v>0</v>
      </c>
      <c r="AK2">
        <f>BDH("HRMY US Equity","CF_CASH_FROM_OPER","2016-06-30","2021-06-30","Per=Y","Days=T","Dir=V")</f>
        <v>0</v>
      </c>
      <c r="AM2">
        <f>BDH("HRMY US Equity","CAPITAL_EXPEND","2016-06-30","2021-06-30","Per=Y","Days=T","Dir=V")</f>
        <v>0</v>
      </c>
      <c r="AO2">
        <f>BDH("HRMY US Equity","CF_FREE_CASH_FLOW","2016-06-30","2021-06-30","Per=Y","Days=T","Dir=V")</f>
        <v>0</v>
      </c>
      <c r="AQ2">
        <f>BDH("HRMY US Equity","PX_LAST","2016-06-30","2021-06-30","Per=M","Days=T","Dir=V")</f>
        <v>0</v>
      </c>
      <c r="AS2">
        <f>BDH("HRMY US Equity","CUR_MKT_CAP","2016-06-30","2021-06-30","Per=M","Days=T","Dir=V")</f>
        <v>0</v>
      </c>
      <c r="AU2">
        <f>BDH("HRMY US Equity","EQY_SH_OUT","2016-06-30","2021-06-30","Per=M","Days=T","Dir=V")</f>
        <v>0</v>
      </c>
      <c r="AW2">
        <f>BDH("HRMY US Equity","BETA_RAW_OVERRIABLE","2016-06-30","2021-06-30","Per=M","Days=T","Dir=V")</f>
        <v>0</v>
      </c>
      <c r="AY2">
        <f>BDH("HRMY US Equity","PX_VOLUME","2016-06-30","2021-06-30","Per=M","Days=T","Dir=V")</f>
        <v>0</v>
      </c>
      <c r="BA2">
        <f>BDH("HRMY US Equity","TURNOVER","2016-06-30","2021-06-30","Per=M","Days=T","Dir=V")</f>
        <v>0</v>
      </c>
      <c r="BC2">
        <f>BDH("HRMY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BDH("IMNM US Equity","BS_TOT_ASSET","2016-06-30","2021-06-30","Per=Y","Days=T","Dir=V")</f>
        <v>0</v>
      </c>
      <c r="C2">
        <f>BDH("IMNM US Equity","BS_TOT_LIAB2","2016-06-30","2021-06-30","Per=Y","Days=T","Dir=V")</f>
        <v>0</v>
      </c>
      <c r="E2">
        <f>BDH("IMNM US Equity","SHORT_AND_LONG_TERM_DEBT","2016-06-30","2021-06-30","Per=Y","Days=T","Dir=V")</f>
        <v>0</v>
      </c>
      <c r="G2">
        <f>BDH("IMNM US Equity","BS_ST_BORROW","2016-06-30","2021-06-30","Per=Y","Days=T","Dir=V")</f>
        <v>0</v>
      </c>
      <c r="I2">
        <f>BDH("IMNM US Equity","BS_LT_BORROW","2016-06-30","2021-06-30","Per=Y","Days=T","Dir=V")</f>
        <v>0</v>
      </c>
      <c r="K2">
        <f>BDH("IMNM US Equity","BS_CASH_NEAR_CASH_ITEM","2016-06-30","2021-06-30","Per=Y","Days=T","Dir=V")</f>
        <v>0</v>
      </c>
      <c r="M2">
        <f>BDH("IMNM US Equity","BS_CUR_ASSET_REPORT","2016-06-30","2021-06-30","Per=Y","Days=T","Dir=V")</f>
        <v>0</v>
      </c>
      <c r="O2">
        <f>BDH("IMNM US Equity","BS_CUR_LIAB","2016-06-30","2021-06-30","Per=Y","Days=T","Dir=V")</f>
        <v>0</v>
      </c>
      <c r="Q2">
        <f>BDH("IMNM US Equity","BS_SHAREHOLDER_EQY_ENDING_PERIOD","2016-06-30","2021-06-30","Per=Y","Days=T","Dir=V")</f>
        <v>0</v>
      </c>
      <c r="S2">
        <f>BDH("IMNM US Equity","BS_ACCT_NOTE_RCV","2016-06-30","2021-06-30","Per=Y","Days=T","Dir=V")</f>
        <v>0</v>
      </c>
      <c r="U2">
        <f>BDH("IMNM US Equity","BS_INVENTORIES","2016-06-30","2021-06-30","Per=Y","Days=T","Dir=V")</f>
        <v>0</v>
      </c>
      <c r="W2">
        <f>BDH("IMNM US Equity","WORKING_CAPITAL","2016-06-30","2021-06-30","Per=Y","Days=T","Dir=V")</f>
        <v>0</v>
      </c>
      <c r="Y2">
        <f>BDH("IMNM US Equity","SALES_REV_TURN","2016-06-30","2021-06-30","Per=Y","Days=T","Dir=V")</f>
        <v>0</v>
      </c>
      <c r="AA2">
        <f>BDH("IMNM US Equity","EBIT","2016-06-30","2021-06-30","Per=Y","Days=T","Dir=V")</f>
        <v>0</v>
      </c>
      <c r="AC2">
        <f>BDH("IMNM US Equity","EBITDA","2016-06-30","2021-06-30","Per=Y","Days=T","Dir=V")</f>
        <v>0</v>
      </c>
      <c r="AE2">
        <f>BDH("IMNM US Equity","NET_INCOME","2016-06-30","2021-06-30","Per=Y","Days=T","Dir=V")</f>
        <v>0</v>
      </c>
      <c r="AG2">
        <f>BDH("IMNM US Equity","IS_INT_EXPENSE","2016-06-30","2021-06-30","Per=Y","Days=T","Dir=V")</f>
        <v>0</v>
      </c>
      <c r="AI2">
        <f>BDH("IMNM US Equity","IS_DEPR_EXP","2016-06-30","2021-06-30","Per=Y","Days=T","Dir=V")</f>
        <v>0</v>
      </c>
      <c r="AK2">
        <f>BDH("IMNM US Equity","CF_CASH_FROM_OPER","2016-06-30","2021-06-30","Per=Y","Days=T","Dir=V")</f>
        <v>0</v>
      </c>
      <c r="AM2">
        <f>BDH("IMNM US Equity","CAPITAL_EXPEND","2016-06-30","2021-06-30","Per=Y","Days=T","Dir=V")</f>
        <v>0</v>
      </c>
      <c r="AO2">
        <f>BDH("IMNM US Equity","CF_FREE_CASH_FLOW","2016-06-30","2021-06-30","Per=Y","Days=T","Dir=V")</f>
        <v>0</v>
      </c>
      <c r="AQ2">
        <f>BDH("IMNM US Equity","PX_LAST","2016-06-30","2021-06-30","Per=M","Days=T","Dir=V")</f>
        <v>0</v>
      </c>
      <c r="AS2">
        <f>BDH("IMNM US Equity","CUR_MKT_CAP","2016-06-30","2021-06-30","Per=M","Days=T","Dir=V")</f>
        <v>0</v>
      </c>
      <c r="AU2">
        <f>BDH("IMNM US Equity","EQY_SH_OUT","2016-06-30","2021-06-30","Per=M","Days=T","Dir=V")</f>
        <v>0</v>
      </c>
      <c r="AW2">
        <f>BDH("IMNM US Equity","BETA_RAW_OVERRIABLE","2016-06-30","2021-06-30","Per=M","Days=T","Dir=V")</f>
        <v>0</v>
      </c>
      <c r="AY2">
        <f>BDH("IMNM US Equity","PX_VOLUME","2016-06-30","2021-06-30","Per=M","Days=T","Dir=V")</f>
        <v>0</v>
      </c>
      <c r="BA2">
        <f>BDH("IMNM US Equity","TURNOVER","2016-06-30","2021-06-30","Per=M","Days=T","Dir=V")</f>
        <v>0</v>
      </c>
      <c r="BC2">
        <f>BDH("IMNM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BDH("IRD US Equity","BS_TOT_ASSET","2016-06-30","2021-06-30","Per=Y","Days=T","Dir=V")</f>
        <v>0</v>
      </c>
      <c r="C2">
        <f>BDH("IRD US Equity","BS_TOT_LIAB2","2016-06-30","2021-06-30","Per=Y","Days=T","Dir=V")</f>
        <v>0</v>
      </c>
      <c r="E2">
        <f>BDH("IRD US Equity","SHORT_AND_LONG_TERM_DEBT","2016-06-30","2021-06-30","Per=Y","Days=T","Dir=V")</f>
        <v>0</v>
      </c>
      <c r="G2">
        <f>BDH("IRD US Equity","BS_ST_BORROW","2016-06-30","2021-06-30","Per=Y","Days=T","Dir=V")</f>
        <v>0</v>
      </c>
      <c r="I2">
        <f>BDH("IRD US Equity","BS_LT_BORROW","2016-06-30","2021-06-30","Per=Y","Days=T","Dir=V")</f>
        <v>0</v>
      </c>
      <c r="K2">
        <f>BDH("IRD US Equity","BS_CASH_NEAR_CASH_ITEM","2016-06-30","2021-06-30","Per=Y","Days=T","Dir=V")</f>
        <v>0</v>
      </c>
      <c r="M2">
        <f>BDH("IRD US Equity","BS_CUR_ASSET_REPORT","2016-06-30","2021-06-30","Per=Y","Days=T","Dir=V")</f>
        <v>0</v>
      </c>
      <c r="O2">
        <f>BDH("IRD US Equity","BS_CUR_LIAB","2016-06-30","2021-06-30","Per=Y","Days=T","Dir=V")</f>
        <v>0</v>
      </c>
      <c r="Q2">
        <f>BDH("IRD US Equity","BS_SHAREHOLDER_EQY_ENDING_PERIOD","2016-06-30","2021-06-30","Per=Y","Days=T","Dir=V")</f>
        <v>0</v>
      </c>
      <c r="S2">
        <f>BDH("IRD US Equity","BS_ACCT_NOTE_RCV","2016-06-30","2021-06-30","Per=Y","Days=T","Dir=V")</f>
        <v>0</v>
      </c>
      <c r="U2">
        <f>BDH("IRD US Equity","BS_INVENTORIES","2016-06-30","2021-06-30","Per=Y","Days=T","Dir=V")</f>
        <v>0</v>
      </c>
      <c r="W2">
        <f>BDH("IRD US Equity","WORKING_CAPITAL","2016-06-30","2021-06-30","Per=Y","Days=T","Dir=V")</f>
        <v>0</v>
      </c>
      <c r="Y2">
        <f>BDH("IRD US Equity","SALES_REV_TURN","2016-06-30","2021-06-30","Per=Y","Days=T","Dir=V")</f>
        <v>0</v>
      </c>
      <c r="AA2">
        <f>BDH("IRD US Equity","EBIT","2016-06-30","2021-06-30","Per=Y","Days=T","Dir=V")</f>
        <v>0</v>
      </c>
      <c r="AC2">
        <f>BDH("IRD US Equity","EBITDA","2016-06-30","2021-06-30","Per=Y","Days=T","Dir=V")</f>
        <v>0</v>
      </c>
      <c r="AE2">
        <f>BDH("IRD US Equity","NET_INCOME","2016-06-30","2021-06-30","Per=Y","Days=T","Dir=V")</f>
        <v>0</v>
      </c>
      <c r="AG2">
        <f>BDH("IRD US Equity","IS_INT_EXPENSE","2016-06-30","2021-06-30","Per=Y","Days=T","Dir=V")</f>
        <v>0</v>
      </c>
      <c r="AI2">
        <f>BDH("IRD US Equity","IS_DEPR_EXP","2016-06-30","2021-06-30","Per=Y","Days=T","Dir=V")</f>
        <v>0</v>
      </c>
      <c r="AK2">
        <f>BDH("IRD US Equity","CF_CASH_FROM_OPER","2016-06-30","2021-06-30","Per=Y","Days=T","Dir=V")</f>
        <v>0</v>
      </c>
      <c r="AM2">
        <f>BDH("IRD US Equity","CAPITAL_EXPEND","2016-06-30","2021-06-30","Per=Y","Days=T","Dir=V")</f>
        <v>0</v>
      </c>
      <c r="AO2">
        <f>BDH("IRD US Equity","CF_FREE_CASH_FLOW","2016-06-30","2021-06-30","Per=Y","Days=T","Dir=V")</f>
        <v>0</v>
      </c>
      <c r="AQ2">
        <f>BDH("IRD US Equity","PX_LAST","2016-06-30","2021-06-30","Per=M","Days=T","Dir=V")</f>
        <v>0</v>
      </c>
      <c r="AS2">
        <f>BDH("IRD US Equity","CUR_MKT_CAP","2016-06-30","2021-06-30","Per=M","Days=T","Dir=V")</f>
        <v>0</v>
      </c>
      <c r="AU2">
        <f>BDH("IRD US Equity","EQY_SH_OUT","2016-06-30","2021-06-30","Per=M","Days=T","Dir=V")</f>
        <v>0</v>
      </c>
      <c r="AW2">
        <f>BDH("IRD US Equity","BETA_RAW_OVERRIABLE","2016-06-30","2021-06-30","Per=M","Days=T","Dir=V")</f>
        <v>0</v>
      </c>
      <c r="AY2">
        <f>BDH("IRD US Equity","PX_VOLUME","2016-06-30","2021-06-30","Per=M","Days=T","Dir=V")</f>
        <v>0</v>
      </c>
      <c r="BA2">
        <f>BDH("IRD US Equity","TURNOVER","2016-06-30","2021-06-30","Per=M","Days=T","Dir=V")</f>
        <v>0</v>
      </c>
      <c r="BC2">
        <f>BDH("IRD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BDH("KROS US Equity","BS_TOT_ASSET","2016-06-30","2021-06-30","Per=Y","Days=T","Dir=V")</f>
        <v>0</v>
      </c>
      <c r="C2">
        <f>BDH("KROS US Equity","BS_TOT_LIAB2","2016-06-30","2021-06-30","Per=Y","Days=T","Dir=V")</f>
        <v>0</v>
      </c>
      <c r="E2">
        <f>BDH("KROS US Equity","SHORT_AND_LONG_TERM_DEBT","2016-06-30","2021-06-30","Per=Y","Days=T","Dir=V")</f>
        <v>0</v>
      </c>
      <c r="G2">
        <f>BDH("KROS US Equity","BS_ST_BORROW","2016-06-30","2021-06-30","Per=Y","Days=T","Dir=V")</f>
        <v>0</v>
      </c>
      <c r="I2">
        <f>BDH("KROS US Equity","BS_LT_BORROW","2016-06-30","2021-06-30","Per=Y","Days=T","Dir=V")</f>
        <v>0</v>
      </c>
      <c r="K2">
        <f>BDH("KROS US Equity","BS_CASH_NEAR_CASH_ITEM","2016-06-30","2021-06-30","Per=Y","Days=T","Dir=V")</f>
        <v>0</v>
      </c>
      <c r="M2">
        <f>BDH("KROS US Equity","BS_CUR_ASSET_REPORT","2016-06-30","2021-06-30","Per=Y","Days=T","Dir=V")</f>
        <v>0</v>
      </c>
      <c r="O2">
        <f>BDH("KROS US Equity","BS_CUR_LIAB","2016-06-30","2021-06-30","Per=Y","Days=T","Dir=V")</f>
        <v>0</v>
      </c>
      <c r="Q2">
        <f>BDH("KROS US Equity","BS_SHAREHOLDER_EQY_ENDING_PERIOD","2016-06-30","2021-06-30","Per=Y","Days=T","Dir=V")</f>
        <v>0</v>
      </c>
      <c r="S2">
        <f>BDH("KROS US Equity","BS_ACCT_NOTE_RCV","2016-06-30","2021-06-30","Per=Y","Days=T","Dir=V")</f>
        <v>0</v>
      </c>
      <c r="U2">
        <f>BDH("KROS US Equity","BS_INVENTORIES","2016-06-30","2021-06-30","Per=Y","Days=T","Dir=V")</f>
        <v>0</v>
      </c>
      <c r="W2">
        <f>BDH("KROS US Equity","WORKING_CAPITAL","2016-06-30","2021-06-30","Per=Y","Days=T","Dir=V")</f>
        <v>0</v>
      </c>
      <c r="Y2">
        <f>BDH("KROS US Equity","SALES_REV_TURN","2016-06-30","2021-06-30","Per=Y","Days=T","Dir=V")</f>
        <v>0</v>
      </c>
      <c r="AA2">
        <f>BDH("KROS US Equity","EBIT","2016-06-30","2021-06-30","Per=Y","Days=T","Dir=V")</f>
        <v>0</v>
      </c>
      <c r="AC2">
        <f>BDH("KROS US Equity","EBITDA","2016-06-30","2021-06-30","Per=Y","Days=T","Dir=V")</f>
        <v>0</v>
      </c>
      <c r="AE2">
        <f>BDH("KROS US Equity","NET_INCOME","2016-06-30","2021-06-30","Per=Y","Days=T","Dir=V")</f>
        <v>0</v>
      </c>
      <c r="AG2">
        <f>BDH("KROS US Equity","IS_INT_EXPENSE","2016-06-30","2021-06-30","Per=Y","Days=T","Dir=V")</f>
        <v>0</v>
      </c>
      <c r="AI2">
        <f>BDH("KROS US Equity","IS_DEPR_EXP","2016-06-30","2021-06-30","Per=Y","Days=T","Dir=V")</f>
        <v>0</v>
      </c>
      <c r="AK2">
        <f>BDH("KROS US Equity","CF_CASH_FROM_OPER","2016-06-30","2021-06-30","Per=Y","Days=T","Dir=V")</f>
        <v>0</v>
      </c>
      <c r="AM2">
        <f>BDH("KROS US Equity","CAPITAL_EXPEND","2016-06-30","2021-06-30","Per=Y","Days=T","Dir=V")</f>
        <v>0</v>
      </c>
      <c r="AO2">
        <f>BDH("KROS US Equity","CF_FREE_CASH_FLOW","2016-06-30","2021-06-30","Per=Y","Days=T","Dir=V")</f>
        <v>0</v>
      </c>
      <c r="AQ2">
        <f>BDH("KROS US Equity","PX_LAST","2016-06-30","2021-06-30","Per=M","Days=T","Dir=V")</f>
        <v>0</v>
      </c>
      <c r="AS2">
        <f>BDH("KROS US Equity","CUR_MKT_CAP","2016-06-30","2021-06-30","Per=M","Days=T","Dir=V")</f>
        <v>0</v>
      </c>
      <c r="AU2">
        <f>BDH("KROS US Equity","EQY_SH_OUT","2016-06-30","2021-06-30","Per=M","Days=T","Dir=V")</f>
        <v>0</v>
      </c>
      <c r="AW2">
        <f>BDH("KROS US Equity","BETA_RAW_OVERRIABLE","2016-06-30","2021-06-30","Per=M","Days=T","Dir=V")</f>
        <v>0</v>
      </c>
      <c r="AY2">
        <f>BDH("KROS US Equity","PX_VOLUME","2016-06-30","2021-06-30","Per=M","Days=T","Dir=V")</f>
        <v>0</v>
      </c>
      <c r="BA2">
        <f>BDH("KROS US Equity","TURNOVER","2016-06-30","2021-06-30","Per=M","Days=T","Dir=V")</f>
        <v>0</v>
      </c>
      <c r="BC2">
        <f>BDH("KROS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BDH("LXRX US Equity","BS_TOT_ASSET","2016-06-30","2021-06-30","Per=Y","Days=T","Dir=V")</f>
        <v>0</v>
      </c>
      <c r="C2">
        <f>BDH("LXRX US Equity","BS_TOT_LIAB2","2016-06-30","2021-06-30","Per=Y","Days=T","Dir=V")</f>
        <v>0</v>
      </c>
      <c r="E2">
        <f>BDH("LXRX US Equity","SHORT_AND_LONG_TERM_DEBT","2016-06-30","2021-06-30","Per=Y","Days=T","Dir=V")</f>
        <v>0</v>
      </c>
      <c r="G2">
        <f>BDH("LXRX US Equity","BS_ST_BORROW","2016-06-30","2021-06-30","Per=Y","Days=T","Dir=V")</f>
        <v>0</v>
      </c>
      <c r="I2">
        <f>BDH("LXRX US Equity","BS_LT_BORROW","2016-06-30","2021-06-30","Per=Y","Days=T","Dir=V")</f>
        <v>0</v>
      </c>
      <c r="K2">
        <f>BDH("LXRX US Equity","BS_CASH_NEAR_CASH_ITEM","2016-06-30","2021-06-30","Per=Y","Days=T","Dir=V")</f>
        <v>0</v>
      </c>
      <c r="M2">
        <f>BDH("LXRX US Equity","BS_CUR_ASSET_REPORT","2016-06-30","2021-06-30","Per=Y","Days=T","Dir=V")</f>
        <v>0</v>
      </c>
      <c r="O2">
        <f>BDH("LXRX US Equity","BS_CUR_LIAB","2016-06-30","2021-06-30","Per=Y","Days=T","Dir=V")</f>
        <v>0</v>
      </c>
      <c r="Q2">
        <f>BDH("LXRX US Equity","BS_SHAREHOLDER_EQY_ENDING_PERIOD","2016-06-30","2021-06-30","Per=Y","Days=T","Dir=V")</f>
        <v>0</v>
      </c>
      <c r="S2">
        <f>BDH("LXRX US Equity","BS_ACCT_NOTE_RCV","2016-06-30","2021-06-30","Per=Y","Days=T","Dir=V")</f>
        <v>0</v>
      </c>
      <c r="U2">
        <f>BDH("LXRX US Equity","BS_INVENTORIES","2016-06-30","2021-06-30","Per=Y","Days=T","Dir=V")</f>
        <v>0</v>
      </c>
      <c r="W2">
        <f>BDH("LXRX US Equity","WORKING_CAPITAL","2016-06-30","2021-06-30","Per=Y","Days=T","Dir=V")</f>
        <v>0</v>
      </c>
      <c r="Y2">
        <f>BDH("LXRX US Equity","SALES_REV_TURN","2016-06-30","2021-06-30","Per=Y","Days=T","Dir=V")</f>
        <v>0</v>
      </c>
      <c r="AA2">
        <f>BDH("LXRX US Equity","EBIT","2016-06-30","2021-06-30","Per=Y","Days=T","Dir=V")</f>
        <v>0</v>
      </c>
      <c r="AC2">
        <f>BDH("LXRX US Equity","EBITDA","2016-06-30","2021-06-30","Per=Y","Days=T","Dir=V")</f>
        <v>0</v>
      </c>
      <c r="AE2">
        <f>BDH("LXRX US Equity","NET_INCOME","2016-06-30","2021-06-30","Per=Y","Days=T","Dir=V")</f>
        <v>0</v>
      </c>
      <c r="AG2">
        <f>BDH("LXRX US Equity","IS_INT_EXPENSE","2016-06-30","2021-06-30","Per=Y","Days=T","Dir=V")</f>
        <v>0</v>
      </c>
      <c r="AI2">
        <f>BDH("LXRX US Equity","IS_DEPR_EXP","2016-06-30","2021-06-30","Per=Y","Days=T","Dir=V")</f>
        <v>0</v>
      </c>
      <c r="AK2">
        <f>BDH("LXRX US Equity","CF_CASH_FROM_OPER","2016-06-30","2021-06-30","Per=Y","Days=T","Dir=V")</f>
        <v>0</v>
      </c>
      <c r="AM2">
        <f>BDH("LXRX US Equity","CAPITAL_EXPEND","2016-06-30","2021-06-30","Per=Y","Days=T","Dir=V")</f>
        <v>0</v>
      </c>
      <c r="AO2">
        <f>BDH("LXRX US Equity","CF_FREE_CASH_FLOW","2016-06-30","2021-06-30","Per=Y","Days=T","Dir=V")</f>
        <v>0</v>
      </c>
      <c r="AQ2">
        <f>BDH("LXRX US Equity","PX_LAST","2016-06-30","2021-06-30","Per=M","Days=T","Dir=V")</f>
        <v>0</v>
      </c>
      <c r="AS2">
        <f>BDH("LXRX US Equity","CUR_MKT_CAP","2016-06-30","2021-06-30","Per=M","Days=T","Dir=V")</f>
        <v>0</v>
      </c>
      <c r="AU2">
        <f>BDH("LXRX US Equity","EQY_SH_OUT","2016-06-30","2021-06-30","Per=M","Days=T","Dir=V")</f>
        <v>0</v>
      </c>
      <c r="AW2">
        <f>BDH("LXRX US Equity","BETA_RAW_OVERRIABLE","2016-06-30","2021-06-30","Per=M","Days=T","Dir=V")</f>
        <v>0</v>
      </c>
      <c r="AY2">
        <f>BDH("LXRX US Equity","PX_VOLUME","2016-06-30","2021-06-30","Per=M","Days=T","Dir=V")</f>
        <v>0</v>
      </c>
      <c r="BA2">
        <f>BDH("LXRX US Equity","TURNOVER","2016-06-30","2021-06-30","Per=M","Days=T","Dir=V")</f>
        <v>0</v>
      </c>
      <c r="BC2">
        <f>BDH("LXRX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BDH("MLTX US Equity","BS_TOT_ASSET","2016-06-30","2021-06-30","Per=Y","Days=T","Dir=V")</f>
        <v>0</v>
      </c>
      <c r="C2">
        <f>BDH("MLTX US Equity","BS_TOT_LIAB2","2016-06-30","2021-06-30","Per=Y","Days=T","Dir=V")</f>
        <v>0</v>
      </c>
      <c r="E2">
        <f>BDH("MLTX US Equity","SHORT_AND_LONG_TERM_DEBT","2016-06-30","2021-06-30","Per=Y","Days=T","Dir=V")</f>
        <v>0</v>
      </c>
      <c r="G2">
        <f>BDH("MLTX US Equity","BS_ST_BORROW","2016-06-30","2021-06-30","Per=Y","Days=T","Dir=V")</f>
        <v>0</v>
      </c>
      <c r="I2">
        <f>BDH("MLTX US Equity","BS_LT_BORROW","2016-06-30","2021-06-30","Per=Y","Days=T","Dir=V")</f>
        <v>0</v>
      </c>
      <c r="K2">
        <f>BDH("MLTX US Equity","BS_CASH_NEAR_CASH_ITEM","2016-06-30","2021-06-30","Per=Y","Days=T","Dir=V")</f>
        <v>0</v>
      </c>
      <c r="M2">
        <f>BDH("MLTX US Equity","BS_CUR_ASSET_REPORT","2016-06-30","2021-06-30","Per=Y","Days=T","Dir=V")</f>
        <v>0</v>
      </c>
      <c r="O2">
        <f>BDH("MLTX US Equity","BS_CUR_LIAB","2016-06-30","2021-06-30","Per=Y","Days=T","Dir=V")</f>
        <v>0</v>
      </c>
      <c r="Q2">
        <f>BDH("MLTX US Equity","BS_SHAREHOLDER_EQY_ENDING_PERIOD","2016-06-30","2021-06-30","Per=Y","Days=T","Dir=V")</f>
        <v>0</v>
      </c>
      <c r="S2">
        <f>BDH("MLTX US Equity","BS_ACCT_NOTE_RCV","2016-06-30","2021-06-30","Per=Y","Days=T","Dir=V")</f>
        <v>0</v>
      </c>
      <c r="U2">
        <f>BDH("MLTX US Equity","BS_INVENTORIES","2016-06-30","2021-06-30","Per=Y","Days=T","Dir=V")</f>
        <v>0</v>
      </c>
      <c r="W2">
        <f>BDH("MLTX US Equity","WORKING_CAPITAL","2016-06-30","2021-06-30","Per=Y","Days=T","Dir=V")</f>
        <v>0</v>
      </c>
      <c r="Y2">
        <f>BDH("MLTX US Equity","SALES_REV_TURN","2016-06-30","2021-06-30","Per=Y","Days=T","Dir=V")</f>
        <v>0</v>
      </c>
      <c r="AA2">
        <f>BDH("MLTX US Equity","EBIT","2016-06-30","2021-06-30","Per=Y","Days=T","Dir=V")</f>
        <v>0</v>
      </c>
      <c r="AC2">
        <f>BDH("MLTX US Equity","EBITDA","2016-06-30","2021-06-30","Per=Y","Days=T","Dir=V")</f>
        <v>0</v>
      </c>
      <c r="AE2">
        <f>BDH("MLTX US Equity","NET_INCOME","2016-06-30","2021-06-30","Per=Y","Days=T","Dir=V")</f>
        <v>0</v>
      </c>
      <c r="AG2">
        <f>BDH("MLTX US Equity","IS_INT_EXPENSE","2016-06-30","2021-06-30","Per=Y","Days=T","Dir=V")</f>
        <v>0</v>
      </c>
      <c r="AI2">
        <f>BDH("MLTX US Equity","IS_DEPR_EXP","2016-06-30","2021-06-30","Per=Y","Days=T","Dir=V")</f>
        <v>0</v>
      </c>
      <c r="AK2">
        <f>BDH("MLTX US Equity","CF_CASH_FROM_OPER","2016-06-30","2021-06-30","Per=Y","Days=T","Dir=V")</f>
        <v>0</v>
      </c>
      <c r="AM2">
        <f>BDH("MLTX US Equity","CAPITAL_EXPEND","2016-06-30","2021-06-30","Per=Y","Days=T","Dir=V")</f>
        <v>0</v>
      </c>
      <c r="AO2">
        <f>BDH("MLTX US Equity","CF_FREE_CASH_FLOW","2016-06-30","2021-06-30","Per=Y","Days=T","Dir=V")</f>
        <v>0</v>
      </c>
      <c r="AQ2">
        <f>BDH("MLTX US Equity","PX_LAST","2016-06-30","2021-06-30","Per=M","Days=T","Dir=V")</f>
        <v>0</v>
      </c>
      <c r="AS2">
        <f>BDH("MLTX US Equity","CUR_MKT_CAP","2016-06-30","2021-06-30","Per=M","Days=T","Dir=V")</f>
        <v>0</v>
      </c>
      <c r="AU2">
        <f>BDH("MLTX US Equity","EQY_SH_OUT","2016-06-30","2021-06-30","Per=M","Days=T","Dir=V")</f>
        <v>0</v>
      </c>
      <c r="AW2">
        <f>BDH("MLTX US Equity","BETA_RAW_OVERRIABLE","2016-06-30","2021-06-30","Per=M","Days=T","Dir=V")</f>
        <v>0</v>
      </c>
      <c r="AY2">
        <f>BDH("MLTX US Equity","PX_VOLUME","2016-06-30","2021-06-30","Per=M","Days=T","Dir=V")</f>
        <v>0</v>
      </c>
      <c r="BA2">
        <f>BDH("MLTX US Equity","TURNOVER","2016-06-30","2021-06-30","Per=M","Days=T","Dir=V")</f>
        <v>0</v>
      </c>
      <c r="BC2">
        <f>BDH("MLTX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BDH("NVCT US Equity","BS_TOT_ASSET","2016-06-30","2021-06-30","Per=Y","Days=T","Dir=V")</f>
        <v>0</v>
      </c>
      <c r="C2">
        <f>BDH("NVCT US Equity","BS_TOT_LIAB2","2016-06-30","2021-06-30","Per=Y","Days=T","Dir=V")</f>
        <v>0</v>
      </c>
      <c r="E2">
        <f>BDH("NVCT US Equity","SHORT_AND_LONG_TERM_DEBT","2016-06-30","2021-06-30","Per=Y","Days=T","Dir=V")</f>
        <v>0</v>
      </c>
      <c r="G2">
        <f>BDH("NVCT US Equity","BS_ST_BORROW","2016-06-30","2021-06-30","Per=Y","Days=T","Dir=V")</f>
        <v>0</v>
      </c>
      <c r="I2">
        <f>BDH("NVCT US Equity","BS_LT_BORROW","2016-06-30","2021-06-30","Per=Y","Days=T","Dir=V")</f>
        <v>0</v>
      </c>
      <c r="K2">
        <f>BDH("NVCT US Equity","BS_CASH_NEAR_CASH_ITEM","2016-06-30","2021-06-30","Per=Y","Days=T","Dir=V")</f>
        <v>0</v>
      </c>
      <c r="M2">
        <f>BDH("NVCT US Equity","BS_CUR_ASSET_REPORT","2016-06-30","2021-06-30","Per=Y","Days=T","Dir=V")</f>
        <v>0</v>
      </c>
      <c r="O2">
        <f>BDH("NVCT US Equity","BS_CUR_LIAB","2016-06-30","2021-06-30","Per=Y","Days=T","Dir=V")</f>
        <v>0</v>
      </c>
      <c r="Q2">
        <f>BDH("NVCT US Equity","BS_SHAREHOLDER_EQY_ENDING_PERIOD","2016-06-30","2021-06-30","Per=Y","Days=T","Dir=V")</f>
        <v>0</v>
      </c>
      <c r="S2">
        <f>BDH("NVCT US Equity","BS_ACCT_NOTE_RCV","2016-06-30","2021-06-30","Per=Y","Days=T","Dir=V")</f>
        <v>0</v>
      </c>
      <c r="U2">
        <f>BDH("NVCT US Equity","BS_INVENTORIES","2016-06-30","2021-06-30","Per=Y","Days=T","Dir=V")</f>
        <v>0</v>
      </c>
      <c r="W2">
        <f>BDH("NVCT US Equity","WORKING_CAPITAL","2016-06-30","2021-06-30","Per=Y","Days=T","Dir=V")</f>
        <v>0</v>
      </c>
      <c r="Y2">
        <f>BDH("NVCT US Equity","SALES_REV_TURN","2016-06-30","2021-06-30","Per=Y","Days=T","Dir=V")</f>
        <v>0</v>
      </c>
      <c r="AA2">
        <f>BDH("NVCT US Equity","EBIT","2016-06-30","2021-06-30","Per=Y","Days=T","Dir=V")</f>
        <v>0</v>
      </c>
      <c r="AC2">
        <f>BDH("NVCT US Equity","EBITDA","2016-06-30","2021-06-30","Per=Y","Days=T","Dir=V")</f>
        <v>0</v>
      </c>
      <c r="AE2">
        <f>BDH("NVCT US Equity","NET_INCOME","2016-06-30","2021-06-30","Per=Y","Days=T","Dir=V")</f>
        <v>0</v>
      </c>
      <c r="AG2">
        <f>BDH("NVCT US Equity","IS_INT_EXPENSE","2016-06-30","2021-06-30","Per=Y","Days=T","Dir=V")</f>
        <v>0</v>
      </c>
      <c r="AI2">
        <f>BDH("NVCT US Equity","IS_DEPR_EXP","2016-06-30","2021-06-30","Per=Y","Days=T","Dir=V")</f>
        <v>0</v>
      </c>
      <c r="AK2">
        <f>BDH("NVCT US Equity","CF_CASH_FROM_OPER","2016-06-30","2021-06-30","Per=Y","Days=T","Dir=V")</f>
        <v>0</v>
      </c>
      <c r="AM2">
        <f>BDH("NVCT US Equity","CAPITAL_EXPEND","2016-06-30","2021-06-30","Per=Y","Days=T","Dir=V")</f>
        <v>0</v>
      </c>
      <c r="AO2">
        <f>BDH("NVCT US Equity","CF_FREE_CASH_FLOW","2016-06-30","2021-06-30","Per=Y","Days=T","Dir=V")</f>
        <v>0</v>
      </c>
      <c r="AQ2">
        <f>BDH("NVCT US Equity","PX_LAST","2016-06-30","2021-06-30","Per=M","Days=T","Dir=V")</f>
        <v>0</v>
      </c>
      <c r="AS2">
        <f>BDH("NVCT US Equity","CUR_MKT_CAP","2016-06-30","2021-06-30","Per=M","Days=T","Dir=V")</f>
        <v>0</v>
      </c>
      <c r="AU2">
        <f>BDH("NVCT US Equity","EQY_SH_OUT","2016-06-30","2021-06-30","Per=M","Days=T","Dir=V")</f>
        <v>0</v>
      </c>
      <c r="AW2">
        <f>BDH("NVCT US Equity","BETA_RAW_OVERRIABLE","2016-06-30","2021-06-30","Per=M","Days=T","Dir=V")</f>
        <v>0</v>
      </c>
      <c r="AY2">
        <f>BDH("NVCT US Equity","PX_VOLUME","2016-06-30","2021-06-30","Per=M","Days=T","Dir=V")</f>
        <v>0</v>
      </c>
      <c r="BA2">
        <f>BDH("NVCT US Equity","TURNOVER","2016-06-30","2021-06-30","Per=M","Days=T","Dir=V")</f>
        <v>0</v>
      </c>
      <c r="BC2">
        <f>BDH("NVCT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BDH("PBH US Equity","BS_TOT_ASSET","2016-06-30","2021-06-30","Per=Y","Days=T","Dir=V")</f>
        <v>0</v>
      </c>
      <c r="C2">
        <f>BDH("PBH US Equity","BS_TOT_LIAB2","2016-06-30","2021-06-30","Per=Y","Days=T","Dir=V")</f>
        <v>0</v>
      </c>
      <c r="E2">
        <f>BDH("PBH US Equity","SHORT_AND_LONG_TERM_DEBT","2016-06-30","2021-06-30","Per=Y","Days=T","Dir=V")</f>
        <v>0</v>
      </c>
      <c r="G2">
        <f>BDH("PBH US Equity","BS_ST_BORROW","2016-06-30","2021-06-30","Per=Y","Days=T","Dir=V")</f>
        <v>0</v>
      </c>
      <c r="I2">
        <f>BDH("PBH US Equity","BS_LT_BORROW","2016-06-30","2021-06-30","Per=Y","Days=T","Dir=V")</f>
        <v>0</v>
      </c>
      <c r="K2">
        <f>BDH("PBH US Equity","BS_CASH_NEAR_CASH_ITEM","2016-06-30","2021-06-30","Per=Y","Days=T","Dir=V")</f>
        <v>0</v>
      </c>
      <c r="M2">
        <f>BDH("PBH US Equity","BS_CUR_ASSET_REPORT","2016-06-30","2021-06-30","Per=Y","Days=T","Dir=V")</f>
        <v>0</v>
      </c>
      <c r="O2">
        <f>BDH("PBH US Equity","BS_CUR_LIAB","2016-06-30","2021-06-30","Per=Y","Days=T","Dir=V")</f>
        <v>0</v>
      </c>
      <c r="Q2">
        <f>BDH("PBH US Equity","BS_SHAREHOLDER_EQY_ENDING_PERIOD","2016-06-30","2021-06-30","Per=Y","Days=T","Dir=V")</f>
        <v>0</v>
      </c>
      <c r="S2">
        <f>BDH("PBH US Equity","BS_ACCT_NOTE_RCV","2016-06-30","2021-06-30","Per=Y","Days=T","Dir=V")</f>
        <v>0</v>
      </c>
      <c r="U2">
        <f>BDH("PBH US Equity","BS_INVENTORIES","2016-06-30","2021-06-30","Per=Y","Days=T","Dir=V")</f>
        <v>0</v>
      </c>
      <c r="W2">
        <f>BDH("PBH US Equity","WORKING_CAPITAL","2016-06-30","2021-06-30","Per=Y","Days=T","Dir=V")</f>
        <v>0</v>
      </c>
      <c r="Y2">
        <f>BDH("PBH US Equity","SALES_REV_TURN","2016-06-30","2021-06-30","Per=Y","Days=T","Dir=V")</f>
        <v>0</v>
      </c>
      <c r="AA2">
        <f>BDH("PBH US Equity","EBIT","2016-06-30","2021-06-30","Per=Y","Days=T","Dir=V")</f>
        <v>0</v>
      </c>
      <c r="AC2">
        <f>BDH("PBH US Equity","EBITDA","2016-06-30","2021-06-30","Per=Y","Days=T","Dir=V")</f>
        <v>0</v>
      </c>
      <c r="AE2">
        <f>BDH("PBH US Equity","NET_INCOME","2016-06-30","2021-06-30","Per=Y","Days=T","Dir=V")</f>
        <v>0</v>
      </c>
      <c r="AG2">
        <f>BDH("PBH US Equity","IS_INT_EXPENSE","2016-06-30","2021-06-30","Per=Y","Days=T","Dir=V")</f>
        <v>0</v>
      </c>
      <c r="AI2">
        <f>BDH("PBH US Equity","IS_DEPR_EXP","2016-06-30","2021-06-30","Per=Y","Days=T","Dir=V")</f>
        <v>0</v>
      </c>
      <c r="AK2">
        <f>BDH("PBH US Equity","CF_CASH_FROM_OPER","2016-06-30","2021-06-30","Per=Y","Days=T","Dir=V")</f>
        <v>0</v>
      </c>
      <c r="AM2">
        <f>BDH("PBH US Equity","CAPITAL_EXPEND","2016-06-30","2021-06-30","Per=Y","Days=T","Dir=V")</f>
        <v>0</v>
      </c>
      <c r="AO2">
        <f>BDH("PBH US Equity","CF_FREE_CASH_FLOW","2016-06-30","2021-06-30","Per=Y","Days=T","Dir=V")</f>
        <v>0</v>
      </c>
      <c r="AQ2">
        <f>BDH("PBH US Equity","PX_LAST","2016-06-30","2021-06-30","Per=M","Days=T","Dir=V")</f>
        <v>0</v>
      </c>
      <c r="AS2">
        <f>BDH("PBH US Equity","CUR_MKT_CAP","2016-06-30","2021-06-30","Per=M","Days=T","Dir=V")</f>
        <v>0</v>
      </c>
      <c r="AU2">
        <f>BDH("PBH US Equity","EQY_SH_OUT","2016-06-30","2021-06-30","Per=M","Days=T","Dir=V")</f>
        <v>0</v>
      </c>
      <c r="AW2">
        <f>BDH("PBH US Equity","BETA_RAW_OVERRIABLE","2016-06-30","2021-06-30","Per=M","Days=T","Dir=V")</f>
        <v>0</v>
      </c>
      <c r="AY2">
        <f>BDH("PBH US Equity","PX_VOLUME","2016-06-30","2021-06-30","Per=M","Days=T","Dir=V")</f>
        <v>0</v>
      </c>
      <c r="BA2">
        <f>BDH("PBH US Equity","TURNOVER","2016-06-30","2021-06-30","Per=M","Days=T","Dir=V")</f>
        <v>0</v>
      </c>
      <c r="BC2">
        <f>BDH("PBH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BDH("PRTA US Equity","BS_TOT_ASSET","2016-06-30","2021-06-30","Per=Y","Days=T","Dir=V")</f>
        <v>0</v>
      </c>
      <c r="C2">
        <f>BDH("PRTA US Equity","BS_TOT_LIAB2","2016-06-30","2021-06-30","Per=Y","Days=T","Dir=V")</f>
        <v>0</v>
      </c>
      <c r="E2">
        <f>BDH("PRTA US Equity","SHORT_AND_LONG_TERM_DEBT","2016-06-30","2021-06-30","Per=Y","Days=T","Dir=V")</f>
        <v>0</v>
      </c>
      <c r="G2">
        <f>BDH("PRTA US Equity","BS_ST_BORROW","2016-06-30","2021-06-30","Per=Y","Days=T","Dir=V")</f>
        <v>0</v>
      </c>
      <c r="I2">
        <f>BDH("PRTA US Equity","BS_LT_BORROW","2016-06-30","2021-06-30","Per=Y","Days=T","Dir=V")</f>
        <v>0</v>
      </c>
      <c r="K2">
        <f>BDH("PRTA US Equity","BS_CASH_NEAR_CASH_ITEM","2016-06-30","2021-06-30","Per=Y","Days=T","Dir=V")</f>
        <v>0</v>
      </c>
      <c r="M2">
        <f>BDH("PRTA US Equity","BS_CUR_ASSET_REPORT","2016-06-30","2021-06-30","Per=Y","Days=T","Dir=V")</f>
        <v>0</v>
      </c>
      <c r="O2">
        <f>BDH("PRTA US Equity","BS_CUR_LIAB","2016-06-30","2021-06-30","Per=Y","Days=T","Dir=V")</f>
        <v>0</v>
      </c>
      <c r="Q2">
        <f>BDH("PRTA US Equity","BS_SHAREHOLDER_EQY_ENDING_PERIOD","2016-06-30","2021-06-30","Per=Y","Days=T","Dir=V")</f>
        <v>0</v>
      </c>
      <c r="S2">
        <f>BDH("PRTA US Equity","BS_ACCT_NOTE_RCV","2016-06-30","2021-06-30","Per=Y","Days=T","Dir=V")</f>
        <v>0</v>
      </c>
      <c r="U2">
        <f>BDH("PRTA US Equity","BS_INVENTORIES","2016-06-30","2021-06-30","Per=Y","Days=T","Dir=V")</f>
        <v>0</v>
      </c>
      <c r="W2">
        <f>BDH("PRTA US Equity","WORKING_CAPITAL","2016-06-30","2021-06-30","Per=Y","Days=T","Dir=V")</f>
        <v>0</v>
      </c>
      <c r="Y2">
        <f>BDH("PRTA US Equity","SALES_REV_TURN","2016-06-30","2021-06-30","Per=Y","Days=T","Dir=V")</f>
        <v>0</v>
      </c>
      <c r="AA2">
        <f>BDH("PRTA US Equity","EBIT","2016-06-30","2021-06-30","Per=Y","Days=T","Dir=V")</f>
        <v>0</v>
      </c>
      <c r="AC2">
        <f>BDH("PRTA US Equity","EBITDA","2016-06-30","2021-06-30","Per=Y","Days=T","Dir=V")</f>
        <v>0</v>
      </c>
      <c r="AE2">
        <f>BDH("PRTA US Equity","NET_INCOME","2016-06-30","2021-06-30","Per=Y","Days=T","Dir=V")</f>
        <v>0</v>
      </c>
      <c r="AG2">
        <f>BDH("PRTA US Equity","IS_INT_EXPENSE","2016-06-30","2021-06-30","Per=Y","Days=T","Dir=V")</f>
        <v>0</v>
      </c>
      <c r="AI2">
        <f>BDH("PRTA US Equity","IS_DEPR_EXP","2016-06-30","2021-06-30","Per=Y","Days=T","Dir=V")</f>
        <v>0</v>
      </c>
      <c r="AK2">
        <f>BDH("PRTA US Equity","CF_CASH_FROM_OPER","2016-06-30","2021-06-30","Per=Y","Days=T","Dir=V")</f>
        <v>0</v>
      </c>
      <c r="AM2">
        <f>BDH("PRTA US Equity","CAPITAL_EXPEND","2016-06-30","2021-06-30","Per=Y","Days=T","Dir=V")</f>
        <v>0</v>
      </c>
      <c r="AO2">
        <f>BDH("PRTA US Equity","CF_FREE_CASH_FLOW","2016-06-30","2021-06-30","Per=Y","Days=T","Dir=V")</f>
        <v>0</v>
      </c>
      <c r="AQ2">
        <f>BDH("PRTA US Equity","PX_LAST","2016-06-30","2021-06-30","Per=M","Days=T","Dir=V")</f>
        <v>0</v>
      </c>
      <c r="AS2">
        <f>BDH("PRTA US Equity","CUR_MKT_CAP","2016-06-30","2021-06-30","Per=M","Days=T","Dir=V")</f>
        <v>0</v>
      </c>
      <c r="AU2">
        <f>BDH("PRTA US Equity","EQY_SH_OUT","2016-06-30","2021-06-30","Per=M","Days=T","Dir=V")</f>
        <v>0</v>
      </c>
      <c r="AW2">
        <f>BDH("PRTA US Equity","BETA_RAW_OVERRIABLE","2016-06-30","2021-06-30","Per=M","Days=T","Dir=V")</f>
        <v>0</v>
      </c>
      <c r="AY2">
        <f>BDH("PRTA US Equity","PX_VOLUME","2016-06-30","2021-06-30","Per=M","Days=T","Dir=V")</f>
        <v>0</v>
      </c>
      <c r="BA2">
        <f>BDH("PRTA US Equity","TURNOVER","2016-06-30","2021-06-30","Per=M","Days=T","Dir=V")</f>
        <v>0</v>
      </c>
      <c r="BC2">
        <f>BDH("PRTA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BDH("PTGX US Equity","BS_TOT_ASSET","2016-06-30","2021-06-30","Per=Y","Days=T","Dir=V")</f>
        <v>0</v>
      </c>
      <c r="C2">
        <f>BDH("PTGX US Equity","BS_TOT_LIAB2","2016-06-30","2021-06-30","Per=Y","Days=T","Dir=V")</f>
        <v>0</v>
      </c>
      <c r="E2">
        <f>BDH("PTGX US Equity","SHORT_AND_LONG_TERM_DEBT","2016-06-30","2021-06-30","Per=Y","Days=T","Dir=V")</f>
        <v>0</v>
      </c>
      <c r="G2">
        <f>BDH("PTGX US Equity","BS_ST_BORROW","2016-06-30","2021-06-30","Per=Y","Days=T","Dir=V")</f>
        <v>0</v>
      </c>
      <c r="I2">
        <f>BDH("PTGX US Equity","BS_LT_BORROW","2016-06-30","2021-06-30","Per=Y","Days=T","Dir=V")</f>
        <v>0</v>
      </c>
      <c r="K2">
        <f>BDH("PTGX US Equity","BS_CASH_NEAR_CASH_ITEM","2016-06-30","2021-06-30","Per=Y","Days=T","Dir=V")</f>
        <v>0</v>
      </c>
      <c r="M2">
        <f>BDH("PTGX US Equity","BS_CUR_ASSET_REPORT","2016-06-30","2021-06-30","Per=Y","Days=T","Dir=V")</f>
        <v>0</v>
      </c>
      <c r="O2">
        <f>BDH("PTGX US Equity","BS_CUR_LIAB","2016-06-30","2021-06-30","Per=Y","Days=T","Dir=V")</f>
        <v>0</v>
      </c>
      <c r="Q2">
        <f>BDH("PTGX US Equity","BS_SHAREHOLDER_EQY_ENDING_PERIOD","2016-06-30","2021-06-30","Per=Y","Days=T","Dir=V")</f>
        <v>0</v>
      </c>
      <c r="S2">
        <f>BDH("PTGX US Equity","BS_ACCT_NOTE_RCV","2016-06-30","2021-06-30","Per=Y","Days=T","Dir=V")</f>
        <v>0</v>
      </c>
      <c r="U2">
        <f>BDH("PTGX US Equity","BS_INVENTORIES","2016-06-30","2021-06-30","Per=Y","Days=T","Dir=V")</f>
        <v>0</v>
      </c>
      <c r="W2">
        <f>BDH("PTGX US Equity","WORKING_CAPITAL","2016-06-30","2021-06-30","Per=Y","Days=T","Dir=V")</f>
        <v>0</v>
      </c>
      <c r="Y2">
        <f>BDH("PTGX US Equity","SALES_REV_TURN","2016-06-30","2021-06-30","Per=Y","Days=T","Dir=V")</f>
        <v>0</v>
      </c>
      <c r="AA2">
        <f>BDH("PTGX US Equity","EBIT","2016-06-30","2021-06-30","Per=Y","Days=T","Dir=V")</f>
        <v>0</v>
      </c>
      <c r="AC2">
        <f>BDH("PTGX US Equity","EBITDA","2016-06-30","2021-06-30","Per=Y","Days=T","Dir=V")</f>
        <v>0</v>
      </c>
      <c r="AE2">
        <f>BDH("PTGX US Equity","NET_INCOME","2016-06-30","2021-06-30","Per=Y","Days=T","Dir=V")</f>
        <v>0</v>
      </c>
      <c r="AG2">
        <f>BDH("PTGX US Equity","IS_INT_EXPENSE","2016-06-30","2021-06-30","Per=Y","Days=T","Dir=V")</f>
        <v>0</v>
      </c>
      <c r="AI2">
        <f>BDH("PTGX US Equity","IS_DEPR_EXP","2016-06-30","2021-06-30","Per=Y","Days=T","Dir=V")</f>
        <v>0</v>
      </c>
      <c r="AK2">
        <f>BDH("PTGX US Equity","CF_CASH_FROM_OPER","2016-06-30","2021-06-30","Per=Y","Days=T","Dir=V")</f>
        <v>0</v>
      </c>
      <c r="AM2">
        <f>BDH("PTGX US Equity","CAPITAL_EXPEND","2016-06-30","2021-06-30","Per=Y","Days=T","Dir=V")</f>
        <v>0</v>
      </c>
      <c r="AO2">
        <f>BDH("PTGX US Equity","CF_FREE_CASH_FLOW","2016-06-30","2021-06-30","Per=Y","Days=T","Dir=V")</f>
        <v>0</v>
      </c>
      <c r="AQ2">
        <f>BDH("PTGX US Equity","PX_LAST","2016-06-30","2021-06-30","Per=M","Days=T","Dir=V")</f>
        <v>0</v>
      </c>
      <c r="AS2">
        <f>BDH("PTGX US Equity","CUR_MKT_CAP","2016-06-30","2021-06-30","Per=M","Days=T","Dir=V")</f>
        <v>0</v>
      </c>
      <c r="AU2">
        <f>BDH("PTGX US Equity","EQY_SH_OUT","2016-06-30","2021-06-30","Per=M","Days=T","Dir=V")</f>
        <v>0</v>
      </c>
      <c r="AW2">
        <f>BDH("PTGX US Equity","BETA_RAW_OVERRIABLE","2016-06-30","2021-06-30","Per=M","Days=T","Dir=V")</f>
        <v>0</v>
      </c>
      <c r="AY2">
        <f>BDH("PTGX US Equity","PX_VOLUME","2016-06-30","2021-06-30","Per=M","Days=T","Dir=V")</f>
        <v>0</v>
      </c>
      <c r="BA2">
        <f>BDH("PTGX US Equity","TURNOVER","2016-06-30","2021-06-30","Per=M","Days=T","Dir=V")</f>
        <v>0</v>
      </c>
      <c r="BC2">
        <f>BDH("PTGX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BDH("REVBW US Equity","BS_TOT_ASSET","2016-06-30","2021-06-30","Per=Y","Days=T","Dir=V")</f>
        <v>0</v>
      </c>
      <c r="C2">
        <f>BDH("REVBW US Equity","BS_TOT_LIAB2","2016-06-30","2021-06-30","Per=Y","Days=T","Dir=V")</f>
        <v>0</v>
      </c>
      <c r="E2">
        <f>BDH("REVBW US Equity","SHORT_AND_LONG_TERM_DEBT","2016-06-30","2021-06-30","Per=Y","Days=T","Dir=V")</f>
        <v>0</v>
      </c>
      <c r="G2">
        <f>BDH("REVBW US Equity","BS_ST_BORROW","2016-06-30","2021-06-30","Per=Y","Days=T","Dir=V")</f>
        <v>0</v>
      </c>
      <c r="I2">
        <f>BDH("REVBW US Equity","BS_LT_BORROW","2016-06-30","2021-06-30","Per=Y","Days=T","Dir=V")</f>
        <v>0</v>
      </c>
      <c r="K2">
        <f>BDH("REVBW US Equity","BS_CASH_NEAR_CASH_ITEM","2016-06-30","2021-06-30","Per=Y","Days=T","Dir=V")</f>
        <v>0</v>
      </c>
      <c r="M2">
        <f>BDH("REVBW US Equity","BS_CUR_ASSET_REPORT","2016-06-30","2021-06-30","Per=Y","Days=T","Dir=V")</f>
        <v>0</v>
      </c>
      <c r="O2">
        <f>BDH("REVBW US Equity","BS_CUR_LIAB","2016-06-30","2021-06-30","Per=Y","Days=T","Dir=V")</f>
        <v>0</v>
      </c>
      <c r="Q2">
        <f>BDH("REVBW US Equity","BS_SHAREHOLDER_EQY_ENDING_PERIOD","2016-06-30","2021-06-30","Per=Y","Days=T","Dir=V")</f>
        <v>0</v>
      </c>
      <c r="S2">
        <f>BDH("REVBW US Equity","BS_ACCT_NOTE_RCV","2016-06-30","2021-06-30","Per=Y","Days=T","Dir=V")</f>
        <v>0</v>
      </c>
      <c r="U2">
        <f>BDH("REVBW US Equity","BS_INVENTORIES","2016-06-30","2021-06-30","Per=Y","Days=T","Dir=V")</f>
        <v>0</v>
      </c>
      <c r="W2">
        <f>BDH("REVBW US Equity","WORKING_CAPITAL","2016-06-30","2021-06-30","Per=Y","Days=T","Dir=V")</f>
        <v>0</v>
      </c>
      <c r="Y2">
        <f>BDH("REVBW US Equity","SALES_REV_TURN","2016-06-30","2021-06-30","Per=Y","Days=T","Dir=V")</f>
        <v>0</v>
      </c>
      <c r="AA2">
        <f>BDH("REVBW US Equity","EBIT","2016-06-30","2021-06-30","Per=Y","Days=T","Dir=V")</f>
        <v>0</v>
      </c>
      <c r="AC2">
        <f>BDH("REVBW US Equity","EBITDA","2016-06-30","2021-06-30","Per=Y","Days=T","Dir=V")</f>
        <v>0</v>
      </c>
      <c r="AE2">
        <f>BDH("REVBW US Equity","NET_INCOME","2016-06-30","2021-06-30","Per=Y","Days=T","Dir=V")</f>
        <v>0</v>
      </c>
      <c r="AG2">
        <f>BDH("REVBW US Equity","IS_INT_EXPENSE","2016-06-30","2021-06-30","Per=Y","Days=T","Dir=V")</f>
        <v>0</v>
      </c>
      <c r="AI2">
        <f>BDH("REVBW US Equity","IS_DEPR_EXP","2016-06-30","2021-06-30","Per=Y","Days=T","Dir=V")</f>
        <v>0</v>
      </c>
      <c r="AK2">
        <f>BDH("REVBW US Equity","CF_CASH_FROM_OPER","2016-06-30","2021-06-30","Per=Y","Days=T","Dir=V")</f>
        <v>0</v>
      </c>
      <c r="AM2">
        <f>BDH("REVBW US Equity","CAPITAL_EXPEND","2016-06-30","2021-06-30","Per=Y","Days=T","Dir=V")</f>
        <v>0</v>
      </c>
      <c r="AO2">
        <f>BDH("REVBW US Equity","CF_FREE_CASH_FLOW","2016-06-30","2021-06-30","Per=Y","Days=T","Dir=V")</f>
        <v>0</v>
      </c>
      <c r="AQ2">
        <f>BDH("REVBW US Equity","PX_LAST","2016-06-30","2021-06-30","Per=M","Days=T","Dir=V")</f>
        <v>0</v>
      </c>
      <c r="AS2">
        <f>BDH("REVBW US Equity","CUR_MKT_CAP","2016-06-30","2021-06-30","Per=M","Days=T","Dir=V")</f>
        <v>0</v>
      </c>
      <c r="AU2">
        <f>BDH("REVBW US Equity","EQY_SH_OUT","2016-06-30","2021-06-30","Per=M","Days=T","Dir=V")</f>
        <v>0</v>
      </c>
      <c r="AW2">
        <f>BDH("REVBW US Equity","BETA_RAW_OVERRIABLE","2016-06-30","2021-06-30","Per=M","Days=T","Dir=V")</f>
        <v>0</v>
      </c>
      <c r="AY2">
        <f>BDH("REVBW US Equity","PX_VOLUME","2016-06-30","2021-06-30","Per=M","Days=T","Dir=V")</f>
        <v>0</v>
      </c>
      <c r="BA2">
        <f>BDH("REVBW US Equity","TURNOVER","2016-06-30","2021-06-30","Per=M","Days=T","Dir=V")</f>
        <v>0</v>
      </c>
      <c r="BC2">
        <f>BDH("REVBW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BDH("RNTX US Equity","BS_TOT_ASSET","2016-06-30","2021-06-30","Per=Y","Days=T","Dir=V")</f>
        <v>0</v>
      </c>
      <c r="C2">
        <f>BDH("RNTX US Equity","BS_TOT_LIAB2","2016-06-30","2021-06-30","Per=Y","Days=T","Dir=V")</f>
        <v>0</v>
      </c>
      <c r="E2">
        <f>BDH("RNTX US Equity","SHORT_AND_LONG_TERM_DEBT","2016-06-30","2021-06-30","Per=Y","Days=T","Dir=V")</f>
        <v>0</v>
      </c>
      <c r="G2">
        <f>BDH("RNTX US Equity","BS_ST_BORROW","2016-06-30","2021-06-30","Per=Y","Days=T","Dir=V")</f>
        <v>0</v>
      </c>
      <c r="I2">
        <f>BDH("RNTX US Equity","BS_LT_BORROW","2016-06-30","2021-06-30","Per=Y","Days=T","Dir=V")</f>
        <v>0</v>
      </c>
      <c r="K2">
        <f>BDH("RNTX US Equity","BS_CASH_NEAR_CASH_ITEM","2016-06-30","2021-06-30","Per=Y","Days=T","Dir=V")</f>
        <v>0</v>
      </c>
      <c r="M2">
        <f>BDH("RNTX US Equity","BS_CUR_ASSET_REPORT","2016-06-30","2021-06-30","Per=Y","Days=T","Dir=V")</f>
        <v>0</v>
      </c>
      <c r="O2">
        <f>BDH("RNTX US Equity","BS_CUR_LIAB","2016-06-30","2021-06-30","Per=Y","Days=T","Dir=V")</f>
        <v>0</v>
      </c>
      <c r="Q2">
        <f>BDH("RNTX US Equity","BS_SHAREHOLDER_EQY_ENDING_PERIOD","2016-06-30","2021-06-30","Per=Y","Days=T","Dir=V")</f>
        <v>0</v>
      </c>
      <c r="S2">
        <f>BDH("RNTX US Equity","BS_ACCT_NOTE_RCV","2016-06-30","2021-06-30","Per=Y","Days=T","Dir=V")</f>
        <v>0</v>
      </c>
      <c r="U2">
        <f>BDH("RNTX US Equity","BS_INVENTORIES","2016-06-30","2021-06-30","Per=Y","Days=T","Dir=V")</f>
        <v>0</v>
      </c>
      <c r="W2">
        <f>BDH("RNTX US Equity","WORKING_CAPITAL","2016-06-30","2021-06-30","Per=Y","Days=T","Dir=V")</f>
        <v>0</v>
      </c>
      <c r="Y2">
        <f>BDH("RNTX US Equity","SALES_REV_TURN","2016-06-30","2021-06-30","Per=Y","Days=T","Dir=V")</f>
        <v>0</v>
      </c>
      <c r="AA2">
        <f>BDH("RNTX US Equity","EBIT","2016-06-30","2021-06-30","Per=Y","Days=T","Dir=V")</f>
        <v>0</v>
      </c>
      <c r="AC2">
        <f>BDH("RNTX US Equity","EBITDA","2016-06-30","2021-06-30","Per=Y","Days=T","Dir=V")</f>
        <v>0</v>
      </c>
      <c r="AE2">
        <f>BDH("RNTX US Equity","NET_INCOME","2016-06-30","2021-06-30","Per=Y","Days=T","Dir=V")</f>
        <v>0</v>
      </c>
      <c r="AG2">
        <f>BDH("RNTX US Equity","IS_INT_EXPENSE","2016-06-30","2021-06-30","Per=Y","Days=T","Dir=V")</f>
        <v>0</v>
      </c>
      <c r="AI2">
        <f>BDH("RNTX US Equity","IS_DEPR_EXP","2016-06-30","2021-06-30","Per=Y","Days=T","Dir=V")</f>
        <v>0</v>
      </c>
      <c r="AK2">
        <f>BDH("RNTX US Equity","CF_CASH_FROM_OPER","2016-06-30","2021-06-30","Per=Y","Days=T","Dir=V")</f>
        <v>0</v>
      </c>
      <c r="AM2">
        <f>BDH("RNTX US Equity","CAPITAL_EXPEND","2016-06-30","2021-06-30","Per=Y","Days=T","Dir=V")</f>
        <v>0</v>
      </c>
      <c r="AO2">
        <f>BDH("RNTX US Equity","CF_FREE_CASH_FLOW","2016-06-30","2021-06-30","Per=Y","Days=T","Dir=V")</f>
        <v>0</v>
      </c>
      <c r="AQ2">
        <f>BDH("RNTX US Equity","PX_LAST","2016-06-30","2021-06-30","Per=M","Days=T","Dir=V")</f>
        <v>0</v>
      </c>
      <c r="AS2">
        <f>BDH("RNTX US Equity","CUR_MKT_CAP","2016-06-30","2021-06-30","Per=M","Days=T","Dir=V")</f>
        <v>0</v>
      </c>
      <c r="AU2">
        <f>BDH("RNTX US Equity","EQY_SH_OUT","2016-06-30","2021-06-30","Per=M","Days=T","Dir=V")</f>
        <v>0</v>
      </c>
      <c r="AW2">
        <f>BDH("RNTX US Equity","BETA_RAW_OVERRIABLE","2016-06-30","2021-06-30","Per=M","Days=T","Dir=V")</f>
        <v>0</v>
      </c>
      <c r="AY2">
        <f>BDH("RNTX US Equity","PX_VOLUME","2016-06-30","2021-06-30","Per=M","Days=T","Dir=V")</f>
        <v>0</v>
      </c>
      <c r="BA2">
        <f>BDH("RNTX US Equity","TURNOVER","2016-06-30","2021-06-30","Per=M","Days=T","Dir=V")</f>
        <v>0</v>
      </c>
      <c r="BC2">
        <f>BDH("RNTX US Equity","SPREAD_BA_CR","2016-06-30","2021-06-30","Per=M","Days=T","Dir=V")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FormatPr defaultRowHeight="15"/>
  <cols>
    <col min="1" max="56" width="16.7109375" customWidth="1"/>
  </cols>
  <sheetData>
    <row r="1" spans="1:5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>
      <c r="A2">
        <f>BDH("SCNX US Equity","BS_TOT_ASSET","2016-06-30","2021-06-30","Per=Y","Days=T","Dir=V")</f>
        <v>0</v>
      </c>
      <c r="C2">
        <f>BDH("SCNX US Equity","BS_TOT_LIAB2","2016-06-30","2021-06-30","Per=Y","Days=T","Dir=V")</f>
        <v>0</v>
      </c>
      <c r="E2">
        <f>BDH("SCNX US Equity","SHORT_AND_LONG_TERM_DEBT","2016-06-30","2021-06-30","Per=Y","Days=T","Dir=V")</f>
        <v>0</v>
      </c>
      <c r="G2">
        <f>BDH("SCNX US Equity","BS_ST_BORROW","2016-06-30","2021-06-30","Per=Y","Days=T","Dir=V")</f>
        <v>0</v>
      </c>
      <c r="I2">
        <f>BDH("SCNX US Equity","BS_LT_BORROW","2016-06-30","2021-06-30","Per=Y","Days=T","Dir=V")</f>
        <v>0</v>
      </c>
      <c r="K2">
        <f>BDH("SCNX US Equity","BS_CASH_NEAR_CASH_ITEM","2016-06-30","2021-06-30","Per=Y","Days=T","Dir=V")</f>
        <v>0</v>
      </c>
      <c r="M2">
        <f>BDH("SCNX US Equity","BS_CUR_ASSET_REPORT","2016-06-30","2021-06-30","Per=Y","Days=T","Dir=V")</f>
        <v>0</v>
      </c>
      <c r="O2">
        <f>BDH("SCNX US Equity","BS_CUR_LIAB","2016-06-30","2021-06-30","Per=Y","Days=T","Dir=V")</f>
        <v>0</v>
      </c>
      <c r="Q2">
        <f>BDH("SCNX US Equity","BS_SHAREHOLDER_EQY_ENDING_PERIOD","2016-06-30","2021-06-30","Per=Y","Days=T","Dir=V")</f>
        <v>0</v>
      </c>
      <c r="S2">
        <f>BDH("SCNX US Equity","BS_ACCT_NOTE_RCV","2016-06-30","2021-06-30","Per=Y","Days=T","Dir=V")</f>
        <v>0</v>
      </c>
      <c r="U2">
        <f>BDH("SCNX US Equity","BS_INVENTORIES","2016-06-30","2021-06-30","Per=Y","Days=T","Dir=V")</f>
        <v>0</v>
      </c>
      <c r="W2">
        <f>BDH("SCNX US Equity","WORKING_CAPITAL","2016-06-30","2021-06-30","Per=Y","Days=T","Dir=V")</f>
        <v>0</v>
      </c>
      <c r="Y2">
        <f>BDH("SCNX US Equity","SALES_REV_TURN","2016-06-30","2021-06-30","Per=Y","Days=T","Dir=V")</f>
        <v>0</v>
      </c>
      <c r="AA2">
        <f>BDH("SCNX US Equity","EBIT","2016-06-30","2021-06-30","Per=Y","Days=T","Dir=V")</f>
        <v>0</v>
      </c>
      <c r="AC2">
        <f>BDH("SCNX US Equity","EBITDA","2016-06-30","2021-06-30","Per=Y","Days=T","Dir=V")</f>
        <v>0</v>
      </c>
      <c r="AE2">
        <f>BDH("SCNX US Equity","NET_INCOME","2016-06-30","2021-06-30","Per=Y","Days=T","Dir=V")</f>
        <v>0</v>
      </c>
      <c r="AG2">
        <f>BDH("SCNX US Equity","IS_INT_EXPENSE","2016-06-30","2021-06-30","Per=Y","Days=T","Dir=V")</f>
        <v>0</v>
      </c>
      <c r="AI2">
        <f>BDH("SCNX US Equity","IS_DEPR_EXP","2016-06-30","2021-06-30","Per=Y","Days=T","Dir=V")</f>
        <v>0</v>
      </c>
      <c r="AK2">
        <f>BDH("SCNX US Equity","CF_CASH_FROM_OPER","2016-06-30","2021-06-30","Per=Y","Days=T","Dir=V")</f>
        <v>0</v>
      </c>
      <c r="AM2">
        <f>BDH("SCNX US Equity","CAPITAL_EXPEND","2016-06-30","2021-06-30","Per=Y","Days=T","Dir=V")</f>
        <v>0</v>
      </c>
      <c r="AO2">
        <f>BDH("SCNX US Equity","CF_FREE_CASH_FLOW","2016-06-30","2021-06-30","Per=Y","Days=T","Dir=V")</f>
        <v>0</v>
      </c>
      <c r="AQ2">
        <f>BDH("SCNX US Equity","PX_LAST","2016-06-30","2021-06-30","Per=M","Days=T","Dir=V")</f>
        <v>0</v>
      </c>
      <c r="AS2">
        <f>BDH("SCNX US Equity","CUR_MKT_CAP","2016-06-30","2021-06-30","Per=M","Days=T","Dir=V")</f>
        <v>0</v>
      </c>
      <c r="AU2">
        <f>BDH("SCNX US Equity","EQY_SH_OUT","2016-06-30","2021-06-30","Per=M","Days=T","Dir=V")</f>
        <v>0</v>
      </c>
      <c r="AW2">
        <f>BDH("SCNX US Equity","BETA_RAW_OVERRIABLE","2016-06-30","2021-06-30","Per=M","Days=T","Dir=V")</f>
        <v>0</v>
      </c>
      <c r="AY2">
        <f>BDH("SCNX US Equity","PX_VOLUME","2016-06-30","2021-06-30","Per=M","Days=T","Dir=V")</f>
        <v>0</v>
      </c>
      <c r="BA2">
        <f>BDH("SCNX US Equity","TURNOVER","2016-06-30","2021-06-30","Per=M","Days=T","Dir=V")</f>
        <v>0</v>
      </c>
      <c r="BC2">
        <f>BDH("SCNX US Equity","SPREAD_BA_CR","2016-06-30","2021-06-30","Per=M","Days=T","Dir=V")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Security_List</vt:lpstr>
      <vt:lpstr>NB_386_Bloom Energy Corporation</vt:lpstr>
      <vt:lpstr>NB_3098_Valero Energy Corporati</vt:lpstr>
      <vt:lpstr>NB_889_Delek Logistics Partners</vt:lpstr>
      <vt:lpstr>NB_90_Abundia Global Impact Gro</vt:lpstr>
      <vt:lpstr>NB_899_Dorchester Minerals L.P.</vt:lpstr>
      <vt:lpstr>NB_1016_EOG Resources Inc. Comm</vt:lpstr>
      <vt:lpstr>NB_1253_Greenland Energy Compan</vt:lpstr>
      <vt:lpstr>NB_1254_Greenland Energy Compan</vt:lpstr>
      <vt:lpstr>NB_219_ARKO Petroleum Corp. Cla</vt:lpstr>
      <vt:lpstr>NB_2974_Mammoth Energy Services</vt:lpstr>
      <vt:lpstr>NB_305_aTyr Pharma Inc. Common </vt:lpstr>
      <vt:lpstr>NB_410_Biogen Inc. Common Stock</vt:lpstr>
      <vt:lpstr>NB_968_Editas Medicine Inc. Com</vt:lpstr>
      <vt:lpstr>NB_1466_Inhibikase Therapeutics</vt:lpstr>
      <vt:lpstr>NB_1494_INmune Bio Inc. Common </vt:lpstr>
      <vt:lpstr>NB_2479_Repligen Corporation Co</vt:lpstr>
      <vt:lpstr>NB_2555_Revolution Medicines In</vt:lpstr>
      <vt:lpstr>NB_2606_Scilex Holding Company </vt:lpstr>
      <vt:lpstr>NB_2986_Twist Bioscience Corpor</vt:lpstr>
      <vt:lpstr>NB_2135_OmniAb Inc. Common Stoc</vt:lpstr>
      <vt:lpstr>NB_2126_Nexalin Technology Inc.</vt:lpstr>
      <vt:lpstr>NB_2015_Neogen Corporation Comm</vt:lpstr>
      <vt:lpstr>NB_7_Aardvark Therapeutics Inc.</vt:lpstr>
      <vt:lpstr>NB_43_Actuate Therapeutics Inc.</vt:lpstr>
      <vt:lpstr>NB_132_Aktis Oncology Inc. Comm</vt:lpstr>
      <vt:lpstr>NB_226_Apollomics Inc. Class A </vt:lpstr>
      <vt:lpstr>NB_267_Arrowhead Pharmaceutical</vt:lpstr>
      <vt:lpstr>NB_374_Bicara Therapeutics Inc.</vt:lpstr>
      <vt:lpstr>NB_461_Boundless Bio Inc. Commo</vt:lpstr>
      <vt:lpstr>NB_462_Bolt Biotherapeutics Inc</vt:lpstr>
      <vt:lpstr>NB_538_Capricor Therapeutics In</vt:lpstr>
      <vt:lpstr>NB_635_Cingulate Inc. Common St</vt:lpstr>
      <vt:lpstr>NB_687_Context Therapeutics Inc</vt:lpstr>
      <vt:lpstr>NB_774_CytomX Therapeutics Inc.</vt:lpstr>
      <vt:lpstr>NB_1259_Greenwich LifeSciences </vt:lpstr>
      <vt:lpstr>NB_1286_Gossamer Bio Inc. Commo</vt:lpstr>
      <vt:lpstr>NB_1290_Structure Therapeutics </vt:lpstr>
      <vt:lpstr>NB_1398_Harmony Biosciences Hol</vt:lpstr>
      <vt:lpstr>NB_1474_Immunome Inc. Common St</vt:lpstr>
      <vt:lpstr>NB_1537_Opus Genetics Inc. Comm</vt:lpstr>
      <vt:lpstr>NB_1649_Keros Therapeutics Inc.</vt:lpstr>
      <vt:lpstr>NB_1795_Lexicon Pharmaceuticals</vt:lpstr>
      <vt:lpstr>NB_1900_MoonLake Immunotherapeu</vt:lpstr>
      <vt:lpstr>NB_2106_Nuvectis Pharma Inc. Co</vt:lpstr>
      <vt:lpstr>NB_2247_Prestige Consumer Healt</vt:lpstr>
      <vt:lpstr>NB_2367_Prothena Corporation pl</vt:lpstr>
      <vt:lpstr>NB_2382_Protagonist Therapeutic</vt:lpstr>
      <vt:lpstr>NB_2471_Revelation Biosciences </vt:lpstr>
      <vt:lpstr>NB_2519_Rein Therapeutics Inc. </vt:lpstr>
      <vt:lpstr>NB_2608_Scienture Holdings Inc.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2026-09-30T16:51:35Z</dcterms:created>
  <dcterms:modified xsi:type="dcterms:W3CDTF">2026-09-30T16:51:35Z</dcterms:modified>
</cp:coreProperties>
</file>