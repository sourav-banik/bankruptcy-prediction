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2981_Xenetic Biosciences Inc" sheetId="2" r:id="rId2"/>
    <sheet name="NB_2982_XBiotech Inc. Common St" sheetId="3" r:id="rId3"/>
    <sheet name="NB_2983_XBP Global Holdings Inc" sheetId="4" r:id="rId4"/>
    <sheet name="NB_2984_Exicure Inc. Common Sto" sheetId="5" r:id="rId5"/>
    <sheet name="NB_2985_X-Energy Inc. Class A C" sheetId="6" r:id="rId6"/>
    <sheet name="NB_2986_Xcel Energy Inc. Common" sheetId="7" r:id="rId7"/>
    <sheet name="NB_2987_Xcel Energy Inc. 6.25% " sheetId="8" r:id="rId8"/>
    <sheet name="NB_2988_Xeris Biopharma Holding" sheetId="9" r:id="rId9"/>
    <sheet name="NB_2989_X4 Pharmaceuticals Inc." sheetId="10" r:id="rId10"/>
    <sheet name="NB_2990_Exagen Inc. Common Stoc" sheetId="11" r:id="rId11"/>
    <sheet name="NB_2991_TEN Holdings Inc. Commo" sheetId="12" r:id="rId12"/>
    <sheet name="NB_2992_Xenia Hotels &amp; Resorts " sheetId="13" r:id="rId13"/>
    <sheet name="NB_2993_XPLR Infrastructure LP " sheetId="14" r:id="rId14"/>
    <sheet name="NB_2994_Exascale Labs Holdings " sheetId="15" r:id="rId15"/>
    <sheet name="NB_2995_Exascale Labs Holdings " sheetId="16" r:id="rId16"/>
    <sheet name="NB_2996_Xilio Therapeutics Inc." sheetId="17" r:id="rId17"/>
    <sheet name="NB_2997_XMAX Inc. Common Stock" sheetId="18" r:id="rId18"/>
    <sheet name="NB_2998_Xometry Inc. Class A Co" sheetId="19" r:id="rId19"/>
    <sheet name="NB_2999_Xencor Inc. Common Stoc" sheetId="20" r:id="rId20"/>
    <sheet name="NB_3000_ExxonMobil Holdings Cor" sheetId="21" r:id="rId21"/>
    <sheet name="NB_3001_Xos Inc. Common Stock" sheetId="22" r:id="rId22"/>
    <sheet name="NB_3002_XPEL Inc. Common Stock" sheetId="23" r:id="rId23"/>
    <sheet name="NB_3003_Xperi Inc. Common Stock" sheetId="24" r:id="rId24"/>
    <sheet name="NB_3004_Solitario Resources Cor" sheetId="25" r:id="rId25"/>
    <sheet name="NB_3005_XPO Inc. Common Stock" sheetId="26" r:id="rId26"/>
    <sheet name="NB_3006_Xponential Fitness Inc." sheetId="27" r:id="rId27"/>
    <sheet name="NB_3007_DENTSPLY SIRONA Inc. Co" sheetId="28" r:id="rId28"/>
    <sheet name="NB_3008_Xerox Holdings Corporat" sheetId="29" r:id="rId29"/>
    <sheet name="NB_3009_Xerox Holdings Corporat" sheetId="30" r:id="rId30"/>
    <sheet name="NB_3010_XTI Aerospace Inc. Comm" sheetId="31" r:id="rId31"/>
    <sheet name="NB_3011_Xtant Medical Holdings " sheetId="32" r:id="rId32"/>
    <sheet name="NB_3012_XWELL Inc. Common Stock" sheetId="33" r:id="rId33"/>
    <sheet name="NB_3013_22nd Century Group Inc." sheetId="34" r:id="rId34"/>
    <sheet name="NB_3014_Xylem Inc. Common Stock" sheetId="35" r:id="rId35"/>
    <sheet name="NB_3015_Block Inc. Class A Comm" sheetId="36" r:id="rId36"/>
    <sheet name="NB_3016_Yarrow Bioscience Inc. " sheetId="37" r:id="rId37"/>
    <sheet name="NB_3017_cbdMD Inc. Common Stock" sheetId="38" r:id="rId38"/>
    <sheet name="NB_3018_YD Bio Limited Ordinary" sheetId="39" r:id="rId39"/>
    <sheet name="NB_3019_YD Bio Limited Warrants" sheetId="40" r:id="rId40"/>
    <sheet name="NB_3020_Yelp Inc. Common Stock" sheetId="41" r:id="rId41"/>
    <sheet name="NB_3021_YETI Holdings Inc. Comm" sheetId="42" r:id="rId42"/>
    <sheet name="NB_3022_Yext Inc. Common Stock" sheetId="43" r:id="rId43"/>
    <sheet name="NB_3023_LQR House Inc. Common S" sheetId="44" r:id="rId44"/>
    <sheet name="NB_3024_Yunhong Green CTI Ltd. " sheetId="45" r:id="rId45"/>
    <sheet name="NB_3025_York Water Company (The" sheetId="46" r:id="rId46"/>
    <sheet name="NB_3026_Clear Secure Inc. Class" sheetId="47" r:id="rId47"/>
    <sheet name="NB_3027_Yesway Inc. Class A Com" sheetId="48" r:id="rId48"/>
    <sheet name="NB_3028_Yum! Brands Inc." sheetId="49" r:id="rId49"/>
    <sheet name="NB_3029_Yum China Holdings Inc." sheetId="50" r:id="rId50"/>
    <sheet name="NB_3030_AiRWA Inc. Common Stock" sheetId="51" r:id="rId51"/>
    <sheet name="NB_3031_Zillow Group Inc. Class" sheetId="52" r:id="rId52"/>
    <sheet name="NB_3032_Zimmer Biomet Holdings " sheetId="53" r:id="rId53"/>
    <sheet name="NB_3033_Zenas BioPharma Inc. Co" sheetId="54" r:id="rId54"/>
    <sheet name="NB_3034_Zebra Technologies Corp" sheetId="55" r:id="rId55"/>
    <sheet name="NB_3035_Ziff Davis Inc. Common " sheetId="56" r:id="rId56"/>
    <sheet name="NB_3036_Zeta Global Holdings Co" sheetId="57" r:id="rId57"/>
    <sheet name="NB_3037_Zillow Group Inc. Class" sheetId="58" r:id="rId58"/>
    <sheet name="NB_3038_ZipRecruiter Inc. Class" sheetId="59" r:id="rId59"/>
    <sheet name="NB_3039_Zoom Communications Inc" sheetId="60" r:id="rId60"/>
    <sheet name="NB_3040_Zentalis Pharmaceutical" sheetId="61" r:id="rId61"/>
    <sheet name="NB_3041_Zscaler Inc. Common Sto" sheetId="62" r:id="rId62"/>
    <sheet name="NB_3042_Zoetis Inc. Class A Com" sheetId="63" r:id="rId63"/>
    <sheet name="NB_3043_Zumiez Inc. Common Stoc" sheetId="64" r:id="rId64"/>
    <sheet name="NB_3044_Zevia PBC Class A Commo" sheetId="65" r:id="rId65"/>
    <sheet name="NB_3045_Zevra Therapeutics Inc." sheetId="66" r:id="rId66"/>
    <sheet name="NB_3046_Zurn Elkay Water Soluti" sheetId="67" r:id="rId67"/>
    <sheet name="NB_3047_Zymeworks Inc. Common S" sheetId="68" r:id="rId68"/>
  </sheets>
  <calcPr calcId="124519" fullCalcOnLoad="1"/>
</workbook>
</file>

<file path=xl/sharedStrings.xml><?xml version="1.0" encoding="utf-8"?>
<sst xmlns="http://schemas.openxmlformats.org/spreadsheetml/2006/main" count="4234" uniqueCount="379">
  <si>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</si>
  <si>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</si>
  <si>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</si>
  <si>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</si>
  <si>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</si>
  <si>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</si>
  <si>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</si>
  <si>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</si>
  <si>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</si>
  <si>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</si>
  <si>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</si>
  <si>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</si>
  <si>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</si>
  <si>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NB_2981</t>
  </si>
  <si>
    <t>nonbankrupt</t>
  </si>
  <si>
    <t/>
  </si>
  <si>
    <t>XBIO</t>
  </si>
  <si>
    <t>Xenetic Biosciences Inc. Common Stock</t>
  </si>
  <si>
    <t>Health Care</t>
  </si>
  <si>
    <t>Biotechnology: Pharmaceutical Preparations</t>
  </si>
  <si>
    <t>XBIO US Equity</t>
  </si>
  <si>
    <t>1993-06-18</t>
  </si>
  <si>
    <t>2026-05-02</t>
  </si>
  <si>
    <t>NB_2982</t>
  </si>
  <si>
    <t>XBIT</t>
  </si>
  <si>
    <t>XBiotech Inc. Common Stock</t>
  </si>
  <si>
    <t>XBIT US Equity</t>
  </si>
  <si>
    <t>NB_2983</t>
  </si>
  <si>
    <t>XBP</t>
  </si>
  <si>
    <t>XBP Global Holdings Inc. Common Stock</t>
  </si>
  <si>
    <t>Technology</t>
  </si>
  <si>
    <t>EDP Services</t>
  </si>
  <si>
    <t>XBP US Equity</t>
  </si>
  <si>
    <t>NB_2984</t>
  </si>
  <si>
    <t>XCUR</t>
  </si>
  <si>
    <t>Exicure Inc. Common Stock</t>
  </si>
  <si>
    <t>XCUR US Equity</t>
  </si>
  <si>
    <t>NB_2985</t>
  </si>
  <si>
    <t>XE</t>
  </si>
  <si>
    <t>X-Energy Inc. Class A Common Stock</t>
  </si>
  <si>
    <t>Industrials</t>
  </si>
  <si>
    <t>Metal Fabrications</t>
  </si>
  <si>
    <t>XE US Equity</t>
  </si>
  <si>
    <t>NB_2986</t>
  </si>
  <si>
    <t>XEL</t>
  </si>
  <si>
    <t>Xcel Energy Inc. Common Stock</t>
  </si>
  <si>
    <t>Utilities</t>
  </si>
  <si>
    <t>Power Generation</t>
  </si>
  <si>
    <t>XEL US Equity</t>
  </si>
  <si>
    <t>NB_2987</t>
  </si>
  <si>
    <t>XELLL</t>
  </si>
  <si>
    <t>Xcel Energy Inc. 6.25% Junior Subordinated Notes Series due 2085</t>
  </si>
  <si>
    <t>XELLL US Equity</t>
  </si>
  <si>
    <t>NB_2988</t>
  </si>
  <si>
    <t>XERS</t>
  </si>
  <si>
    <t>Xeris Biopharma Holdings Inc. Common Stock</t>
  </si>
  <si>
    <t>XERS US Equity</t>
  </si>
  <si>
    <t>NB_2989</t>
  </si>
  <si>
    <t>XFOR</t>
  </si>
  <si>
    <t>X4 Pharmaceuticals Inc. Common Stock</t>
  </si>
  <si>
    <t>Biotechnology: Biological Products (No Diagnostic Substances)</t>
  </si>
  <si>
    <t>XFOR US Equity</t>
  </si>
  <si>
    <t>NB_2990</t>
  </si>
  <si>
    <t>XGN</t>
  </si>
  <si>
    <t>Exagen Inc. Common Stock</t>
  </si>
  <si>
    <t>Medical Specialities</t>
  </si>
  <si>
    <t>XGN US Equity</t>
  </si>
  <si>
    <t>NB_2991</t>
  </si>
  <si>
    <t>XHLD</t>
  </si>
  <si>
    <t>TEN Holdings Inc. Common Stock</t>
  </si>
  <si>
    <t>Consumer Discretionary</t>
  </si>
  <si>
    <t>Business Services</t>
  </si>
  <si>
    <t>XHLD US Equity</t>
  </si>
  <si>
    <t>NB_2992</t>
  </si>
  <si>
    <t>XHR</t>
  </si>
  <si>
    <t>Xenia Hotels &amp; Resorts Inc. Common Stock</t>
  </si>
  <si>
    <t>Hotels/Resorts</t>
  </si>
  <si>
    <t>XHR US Equity</t>
  </si>
  <si>
    <t>NB_2993</t>
  </si>
  <si>
    <t>XIFR</t>
  </si>
  <si>
    <t>XPLR Infrastructure LP Common Units representing limited partner interests</t>
  </si>
  <si>
    <t>Electric Utilities: Central</t>
  </si>
  <si>
    <t>XIFR US Equity</t>
  </si>
  <si>
    <t>NB_2994</t>
  </si>
  <si>
    <t>XLAB</t>
  </si>
  <si>
    <t>Exascale Labs Holdings Inc. Class A Common Stock</t>
  </si>
  <si>
    <t>Computer Software: Prepackaged Software</t>
  </si>
  <si>
    <t>XLAB US Equity</t>
  </si>
  <si>
    <t>NB_2995</t>
  </si>
  <si>
    <t>XLABW</t>
  </si>
  <si>
    <t>Exascale Labs Holdings Inc. Warrant</t>
  </si>
  <si>
    <t>XLABW US Equity</t>
  </si>
  <si>
    <t>NB_2996</t>
  </si>
  <si>
    <t>XLO</t>
  </si>
  <si>
    <t>Xilio Therapeutics Inc. Common Stock</t>
  </si>
  <si>
    <t>XLO US Equity</t>
  </si>
  <si>
    <t>NB_2997</t>
  </si>
  <si>
    <t>XMAX</t>
  </si>
  <si>
    <t>XMAX Inc. Common Stock</t>
  </si>
  <si>
    <t>Home Furnishings</t>
  </si>
  <si>
    <t>XMAX US Equity</t>
  </si>
  <si>
    <t>NB_2998</t>
  </si>
  <si>
    <t>XMTR</t>
  </si>
  <si>
    <t>Xometry Inc. Class A Common Stock</t>
  </si>
  <si>
    <t>XMTR US Equity</t>
  </si>
  <si>
    <t>NB_2999</t>
  </si>
  <si>
    <t>XNCR</t>
  </si>
  <si>
    <t>Xencor Inc. Common Stock</t>
  </si>
  <si>
    <t>XNCR US Equity</t>
  </si>
  <si>
    <t>NB_3000</t>
  </si>
  <si>
    <t>XOM</t>
  </si>
  <si>
    <t>ExxonMobil Holdings Corporation Common Stock</t>
  </si>
  <si>
    <t>Energy</t>
  </si>
  <si>
    <t>Integrated oil Companies</t>
  </si>
  <si>
    <t>XOM US Equity</t>
  </si>
  <si>
    <t>NB_3001</t>
  </si>
  <si>
    <t>XOS</t>
  </si>
  <si>
    <t>Xos Inc. Common Stock</t>
  </si>
  <si>
    <t>Auto Parts:O.E.M.</t>
  </si>
  <si>
    <t>XOS US Equity</t>
  </si>
  <si>
    <t>NB_3002</t>
  </si>
  <si>
    <t>XPEL</t>
  </si>
  <si>
    <t>XPEL Inc. Common Stock</t>
  </si>
  <si>
    <t>Industrial Specialties</t>
  </si>
  <si>
    <t>XPEL US Equity</t>
  </si>
  <si>
    <t>NB_3003</t>
  </si>
  <si>
    <t>XPER</t>
  </si>
  <si>
    <t>Xperi Inc. Common Stock</t>
  </si>
  <si>
    <t>XPER US Equity</t>
  </si>
  <si>
    <t>NB_3004</t>
  </si>
  <si>
    <t>XPL</t>
  </si>
  <si>
    <t>Solitario Resources Corp. Common Stock</t>
  </si>
  <si>
    <t>Basic Materials</t>
  </si>
  <si>
    <t>Precious Metals</t>
  </si>
  <si>
    <t>XPL US Equity</t>
  </si>
  <si>
    <t>NB_3005</t>
  </si>
  <si>
    <t>XPO</t>
  </si>
  <si>
    <t>XPO Inc. Common Stock</t>
  </si>
  <si>
    <t>Transportation Services</t>
  </si>
  <si>
    <t>XPO US Equity</t>
  </si>
  <si>
    <t>NB_3006</t>
  </si>
  <si>
    <t>XPOF</t>
  </si>
  <si>
    <t>Xponential Fitness Inc. Class A Common Stock</t>
  </si>
  <si>
    <t>Services-Misc. Amusement &amp; Recreation</t>
  </si>
  <si>
    <t>XPOF US Equity</t>
  </si>
  <si>
    <t>NB_3007</t>
  </si>
  <si>
    <t>XRAY</t>
  </si>
  <si>
    <t>DENTSPLY SIRONA Inc. Common Stock</t>
  </si>
  <si>
    <t>Medical/Dental Instruments</t>
  </si>
  <si>
    <t>XRAY US Equity</t>
  </si>
  <si>
    <t>NB_3008</t>
  </si>
  <si>
    <t>XRX</t>
  </si>
  <si>
    <t>Xerox Holdings Corporation Common Stock</t>
  </si>
  <si>
    <t>Computer peripheral equipment</t>
  </si>
  <si>
    <t>XRX US Equity</t>
  </si>
  <si>
    <t>NB_3009</t>
  </si>
  <si>
    <t>XRXDW</t>
  </si>
  <si>
    <t>Xerox Holdings Corporation Warrants</t>
  </si>
  <si>
    <t>XRXDW US Equity</t>
  </si>
  <si>
    <t>NB_3010</t>
  </si>
  <si>
    <t>XTIA</t>
  </si>
  <si>
    <t>XTI Aerospace Inc. Common Stock</t>
  </si>
  <si>
    <t>XTIA US Equity</t>
  </si>
  <si>
    <t>NB_3011</t>
  </si>
  <si>
    <t>XTNT</t>
  </si>
  <si>
    <t>Xtant Medical Holdings Inc. Common Stock</t>
  </si>
  <si>
    <t>XTNT US Equity</t>
  </si>
  <si>
    <t>NB_3012</t>
  </si>
  <si>
    <t>XWEL</t>
  </si>
  <si>
    <t>XWELL Inc. Common Stock</t>
  </si>
  <si>
    <t>Other Consumer Services</t>
  </si>
  <si>
    <t>XWEL US Equity</t>
  </si>
  <si>
    <t>NB_3013</t>
  </si>
  <si>
    <t>XXII</t>
  </si>
  <si>
    <t>22nd Century Group Inc. Common Stock</t>
  </si>
  <si>
    <t>Medicinal Chemicals and Botanical Products</t>
  </si>
  <si>
    <t>XXII US Equity</t>
  </si>
  <si>
    <t>NB_3014</t>
  </si>
  <si>
    <t>XYL</t>
  </si>
  <si>
    <t>Xylem Inc. Common Stock New</t>
  </si>
  <si>
    <t>Fluid Controls</t>
  </si>
  <si>
    <t>XYL US Equity</t>
  </si>
  <si>
    <t>NB_3015</t>
  </si>
  <si>
    <t>XYZ</t>
  </si>
  <si>
    <t>Block Inc. Class A Common Stock</t>
  </si>
  <si>
    <t>XYZ US Equity</t>
  </si>
  <si>
    <t>NB_3016</t>
  </si>
  <si>
    <t>YARW</t>
  </si>
  <si>
    <t>Yarrow Bioscience Inc. Common Stock</t>
  </si>
  <si>
    <t>YARW US Equity</t>
  </si>
  <si>
    <t>NB_3017</t>
  </si>
  <si>
    <t>YCBD</t>
  </si>
  <si>
    <t>cbdMD Inc. Common Stock</t>
  </si>
  <si>
    <t>Package Goods/Cosmetics</t>
  </si>
  <si>
    <t>YCBD US Equity</t>
  </si>
  <si>
    <t>NB_3018</t>
  </si>
  <si>
    <t>YDES</t>
  </si>
  <si>
    <t>YD Bio Limited Ordinary Shares</t>
  </si>
  <si>
    <t>YDES US Equity</t>
  </si>
  <si>
    <t>NB_3019</t>
  </si>
  <si>
    <t>YDESW</t>
  </si>
  <si>
    <t>YD Bio Limited Warrants</t>
  </si>
  <si>
    <t>YDESW US Equity</t>
  </si>
  <si>
    <t>NB_3020</t>
  </si>
  <si>
    <t>YELP</t>
  </si>
  <si>
    <t>Yelp Inc. Common Stock</t>
  </si>
  <si>
    <t>YELP US Equity</t>
  </si>
  <si>
    <t>NB_3021</t>
  </si>
  <si>
    <t>YETI</t>
  </si>
  <si>
    <t>YETI Holdings Inc. Common Stock</t>
  </si>
  <si>
    <t>Recreational Games/Products/Toys</t>
  </si>
  <si>
    <t>YETI US Equity</t>
  </si>
  <si>
    <t>NB_3022</t>
  </si>
  <si>
    <t>YEXT</t>
  </si>
  <si>
    <t>Yext Inc. Common Stock</t>
  </si>
  <si>
    <t>YEXT US Equity</t>
  </si>
  <si>
    <t>NB_3023</t>
  </si>
  <si>
    <t>YHC</t>
  </si>
  <si>
    <t>LQR House Inc. Common Stock</t>
  </si>
  <si>
    <t>Consumer Staples</t>
  </si>
  <si>
    <t>Beverages (Production/Distribution)</t>
  </si>
  <si>
    <t>YHC US Equity</t>
  </si>
  <si>
    <t>NB_3024</t>
  </si>
  <si>
    <t>YHGJ</t>
  </si>
  <si>
    <t>Yunhong Green CTI Ltd. Common Stock</t>
  </si>
  <si>
    <t>Specialty Chemicals</t>
  </si>
  <si>
    <t>YHGJ US Equity</t>
  </si>
  <si>
    <t>NB_3025</t>
  </si>
  <si>
    <t>YORW</t>
  </si>
  <si>
    <t>York Water Company (The) Common Stock</t>
  </si>
  <si>
    <t>Water Supply</t>
  </si>
  <si>
    <t>YORW US Equity</t>
  </si>
  <si>
    <t>NB_3026</t>
  </si>
  <si>
    <t>YOU</t>
  </si>
  <si>
    <t>Clear Secure Inc. Class A Common Stock</t>
  </si>
  <si>
    <t>YOU US Equity</t>
  </si>
  <si>
    <t>NB_3027</t>
  </si>
  <si>
    <t>YSWY</t>
  </si>
  <si>
    <t>Yesway Inc. Class A Common Stock</t>
  </si>
  <si>
    <t>Food Chains</t>
  </si>
  <si>
    <t>YSWY US Equity</t>
  </si>
  <si>
    <t>NB_3028</t>
  </si>
  <si>
    <t>YUM</t>
  </si>
  <si>
    <t>Yum! Brands Inc.</t>
  </si>
  <si>
    <t>Restaurants</t>
  </si>
  <si>
    <t>YUM US Equity</t>
  </si>
  <si>
    <t>NB_3029</t>
  </si>
  <si>
    <t>YUMC</t>
  </si>
  <si>
    <t>Yum China Holdings Inc. Common Stock</t>
  </si>
  <si>
    <t>YUMC US Equity</t>
  </si>
  <si>
    <t>NB_3030</t>
  </si>
  <si>
    <t>YYAI</t>
  </si>
  <si>
    <t>AiRWA Inc. Common Stock</t>
  </si>
  <si>
    <t>Computer Software: Programming Data Processing</t>
  </si>
  <si>
    <t>YYAI US Equity</t>
  </si>
  <si>
    <t>NB_3031</t>
  </si>
  <si>
    <t>Z</t>
  </si>
  <si>
    <t>Zillow Group Inc. Class C Capital Stock</t>
  </si>
  <si>
    <t>Z US Equity</t>
  </si>
  <si>
    <t>NB_3032</t>
  </si>
  <si>
    <t>ZBH</t>
  </si>
  <si>
    <t>Zimmer Biomet Holdings Inc. Common Stock</t>
  </si>
  <si>
    <t>ZBH US Equity</t>
  </si>
  <si>
    <t>NB_3033</t>
  </si>
  <si>
    <t>ZBIO</t>
  </si>
  <si>
    <t>Zenas BioPharma Inc. Common Stock</t>
  </si>
  <si>
    <t>ZBIO US Equity</t>
  </si>
  <si>
    <t>NB_3034</t>
  </si>
  <si>
    <t>ZBRA</t>
  </si>
  <si>
    <t>Zebra Technologies Corporation Class A Common Stock</t>
  </si>
  <si>
    <t>Industrial Machinery/Components</t>
  </si>
  <si>
    <t>ZBRA US Equity</t>
  </si>
  <si>
    <t>NB_3035</t>
  </si>
  <si>
    <t>ZD</t>
  </si>
  <si>
    <t>Ziff Davis Inc. Common Stock</t>
  </si>
  <si>
    <t>Telecommunications</t>
  </si>
  <si>
    <t>Telecommunications Equipment</t>
  </si>
  <si>
    <t>ZD US Equity</t>
  </si>
  <si>
    <t>NB_3036</t>
  </si>
  <si>
    <t>ZETA</t>
  </si>
  <si>
    <t>Zeta Global Holdings Corp. Class A Common Stock</t>
  </si>
  <si>
    <t>ZETA US Equity</t>
  </si>
  <si>
    <t>NB_3037</t>
  </si>
  <si>
    <t>ZG</t>
  </si>
  <si>
    <t>Zillow Group Inc. Class A Common Stock</t>
  </si>
  <si>
    <t>ZG US Equity</t>
  </si>
  <si>
    <t>NB_3038</t>
  </si>
  <si>
    <t>ZIP</t>
  </si>
  <si>
    <t>ZipRecruiter Inc. Class A Common Stock</t>
  </si>
  <si>
    <t>ZIP US Equity</t>
  </si>
  <si>
    <t>NB_3039</t>
  </si>
  <si>
    <t>ZM</t>
  </si>
  <si>
    <t>Zoom Communications Inc. Class A Common Stock</t>
  </si>
  <si>
    <t>ZM US Equity</t>
  </si>
  <si>
    <t>NB_3040</t>
  </si>
  <si>
    <t>ZNTL</t>
  </si>
  <si>
    <t>Zentalis Pharmaceuticals Inc. Common Stock</t>
  </si>
  <si>
    <t>ZNTL US Equity</t>
  </si>
  <si>
    <t>NB_3041</t>
  </si>
  <si>
    <t>ZS</t>
  </si>
  <si>
    <t>Zscaler Inc. Common Stock</t>
  </si>
  <si>
    <t>ZS US Equity</t>
  </si>
  <si>
    <t>NB_3042</t>
  </si>
  <si>
    <t>ZTS</t>
  </si>
  <si>
    <t>Zoetis Inc. Class A Common Stock</t>
  </si>
  <si>
    <t>ZTS US Equity</t>
  </si>
  <si>
    <t>NB_3043</t>
  </si>
  <si>
    <t>ZUMZ</t>
  </si>
  <si>
    <t>Zumiez Inc. Common Stock</t>
  </si>
  <si>
    <t>Clothing/Shoe/Accessory Stores</t>
  </si>
  <si>
    <t>ZUMZ US Equity</t>
  </si>
  <si>
    <t>NB_3044</t>
  </si>
  <si>
    <t>ZVIA</t>
  </si>
  <si>
    <t>Zevia PBC Class A Common Stock</t>
  </si>
  <si>
    <t>ZVIA US Equity</t>
  </si>
  <si>
    <t>NB_3045</t>
  </si>
  <si>
    <t>ZVRA</t>
  </si>
  <si>
    <t>Zevra Therapeutics Inc. Common Stock</t>
  </si>
  <si>
    <t>ZVRA US Equity</t>
  </si>
  <si>
    <t>NB_3046</t>
  </si>
  <si>
    <t>ZWS</t>
  </si>
  <si>
    <t>Zurn Elkay Water Solutions Corporation Common Stock</t>
  </si>
  <si>
    <t>ZWS US Equity</t>
  </si>
  <si>
    <t>NB_3047</t>
  </si>
  <si>
    <t>ZYME</t>
  </si>
  <si>
    <t>Zymeworks Inc. Common Stock</t>
  </si>
  <si>
    <t>ZYME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</si>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</sst>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7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26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27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36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37</v>
      </c>
      <c r="B6" t="s">
        <v>14</v>
      </c>
      <c r="C6" t="s">
        <v>15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43</v>
      </c>
      <c r="B7" t="s">
        <v>14</v>
      </c>
      <c r="C7" t="s">
        <v>15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49</v>
      </c>
      <c r="B8" t="s">
        <v>14</v>
      </c>
      <c r="C8" t="s">
        <v>15</v>
      </c>
      <c r="D8" t="s">
        <v>50</v>
      </c>
      <c r="E8" t="s">
        <v>51</v>
      </c>
      <c r="F8" t="s">
        <v>46</v>
      </c>
      <c r="G8" t="s">
        <v>47</v>
      </c>
      <c r="H8" t="s">
        <v>52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53</v>
      </c>
      <c r="B9" t="s">
        <v>14</v>
      </c>
      <c r="C9" t="s">
        <v>15</v>
      </c>
      <c r="D9" t="s">
        <v>54</v>
      </c>
      <c r="E9" t="s">
        <v>55</v>
      </c>
      <c r="F9" t="s">
        <v>18</v>
      </c>
      <c r="G9" t="s">
        <v>19</v>
      </c>
      <c r="H9" t="s">
        <v>56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57</v>
      </c>
      <c r="B10" t="s">
        <v>14</v>
      </c>
      <c r="C10" t="s">
        <v>15</v>
      </c>
      <c r="D10" t="s">
        <v>58</v>
      </c>
      <c r="E10" t="s">
        <v>59</v>
      </c>
      <c r="F10" t="s">
        <v>18</v>
      </c>
      <c r="G10" t="s">
        <v>60</v>
      </c>
      <c r="H10" t="s">
        <v>61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62</v>
      </c>
      <c r="B11" t="s">
        <v>14</v>
      </c>
      <c r="C11" t="s">
        <v>15</v>
      </c>
      <c r="D11" t="s">
        <v>63</v>
      </c>
      <c r="E11" t="s">
        <v>64</v>
      </c>
      <c r="F11" t="s">
        <v>18</v>
      </c>
      <c r="G11" t="s">
        <v>65</v>
      </c>
      <c r="H11" t="s">
        <v>66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67</v>
      </c>
      <c r="B12" t="s">
        <v>14</v>
      </c>
      <c r="C12" t="s">
        <v>15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73</v>
      </c>
      <c r="B13" t="s">
        <v>14</v>
      </c>
      <c r="C13" t="s">
        <v>15</v>
      </c>
      <c r="D13" t="s">
        <v>74</v>
      </c>
      <c r="E13" t="s">
        <v>75</v>
      </c>
      <c r="F13" t="s">
        <v>70</v>
      </c>
      <c r="G13" t="s">
        <v>76</v>
      </c>
      <c r="H13" t="s">
        <v>77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78</v>
      </c>
      <c r="B14" t="s">
        <v>14</v>
      </c>
      <c r="C14" t="s">
        <v>15</v>
      </c>
      <c r="D14" t="s">
        <v>79</v>
      </c>
      <c r="E14" t="s">
        <v>80</v>
      </c>
      <c r="F14" t="s">
        <v>46</v>
      </c>
      <c r="G14" t="s">
        <v>81</v>
      </c>
      <c r="H14" t="s">
        <v>82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83</v>
      </c>
      <c r="B15" t="s">
        <v>14</v>
      </c>
      <c r="C15" t="s">
        <v>15</v>
      </c>
      <c r="D15" t="s">
        <v>84</v>
      </c>
      <c r="E15" t="s">
        <v>85</v>
      </c>
      <c r="F15" t="s">
        <v>30</v>
      </c>
      <c r="G15" t="s">
        <v>86</v>
      </c>
      <c r="H15" t="s">
        <v>87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88</v>
      </c>
      <c r="B16" t="s">
        <v>14</v>
      </c>
      <c r="C16" t="s">
        <v>15</v>
      </c>
      <c r="D16" t="s">
        <v>89</v>
      </c>
      <c r="E16" t="s">
        <v>90</v>
      </c>
      <c r="F16" t="s">
        <v>30</v>
      </c>
      <c r="G16" t="s">
        <v>86</v>
      </c>
      <c r="H16" t="s">
        <v>91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92</v>
      </c>
      <c r="B17" t="s">
        <v>14</v>
      </c>
      <c r="C17" t="s">
        <v>15</v>
      </c>
      <c r="D17" t="s">
        <v>93</v>
      </c>
      <c r="E17" t="s">
        <v>94</v>
      </c>
      <c r="F17" t="s">
        <v>18</v>
      </c>
      <c r="G17" t="s">
        <v>19</v>
      </c>
      <c r="H17" t="s">
        <v>95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96</v>
      </c>
      <c r="B18" t="s">
        <v>14</v>
      </c>
      <c r="C18" t="s">
        <v>15</v>
      </c>
      <c r="D18" t="s">
        <v>97</v>
      </c>
      <c r="E18" t="s">
        <v>98</v>
      </c>
      <c r="F18" t="s">
        <v>70</v>
      </c>
      <c r="G18" t="s">
        <v>99</v>
      </c>
      <c r="H18" t="s">
        <v>100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101</v>
      </c>
      <c r="B19" t="s">
        <v>14</v>
      </c>
      <c r="C19" t="s">
        <v>15</v>
      </c>
      <c r="D19" t="s">
        <v>102</v>
      </c>
      <c r="E19" t="s">
        <v>103</v>
      </c>
      <c r="F19" t="s">
        <v>70</v>
      </c>
      <c r="G19" t="s">
        <v>71</v>
      </c>
      <c r="H19" t="s">
        <v>104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105</v>
      </c>
      <c r="B20" t="s">
        <v>14</v>
      </c>
      <c r="C20" t="s">
        <v>15</v>
      </c>
      <c r="D20" t="s">
        <v>106</v>
      </c>
      <c r="E20" t="s">
        <v>107</v>
      </c>
      <c r="F20" t="s">
        <v>18</v>
      </c>
      <c r="G20" t="s">
        <v>19</v>
      </c>
      <c r="H20" t="s">
        <v>108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109</v>
      </c>
      <c r="B21" t="s">
        <v>14</v>
      </c>
      <c r="C21" t="s">
        <v>15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115</v>
      </c>
      <c r="B22" t="s">
        <v>14</v>
      </c>
      <c r="C22" t="s">
        <v>15</v>
      </c>
      <c r="D22" t="s">
        <v>116</v>
      </c>
      <c r="E22" t="s">
        <v>117</v>
      </c>
      <c r="F22" t="s">
        <v>70</v>
      </c>
      <c r="G22" t="s">
        <v>118</v>
      </c>
      <c r="H22" t="s">
        <v>119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120</v>
      </c>
      <c r="B23" t="s">
        <v>14</v>
      </c>
      <c r="C23" t="s">
        <v>15</v>
      </c>
      <c r="D23" t="s">
        <v>121</v>
      </c>
      <c r="E23" t="s">
        <v>122</v>
      </c>
      <c r="F23" t="s">
        <v>40</v>
      </c>
      <c r="G23" t="s">
        <v>123</v>
      </c>
      <c r="H23" t="s">
        <v>124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125</v>
      </c>
      <c r="B24" t="s">
        <v>14</v>
      </c>
      <c r="C24" t="s">
        <v>15</v>
      </c>
      <c r="D24" t="s">
        <v>126</v>
      </c>
      <c r="E24" t="s">
        <v>127</v>
      </c>
      <c r="F24" t="s">
        <v>30</v>
      </c>
      <c r="G24" t="s">
        <v>86</v>
      </c>
      <c r="H24" t="s">
        <v>128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129</v>
      </c>
      <c r="B25" t="s">
        <v>14</v>
      </c>
      <c r="C25" t="s">
        <v>15</v>
      </c>
      <c r="D25" t="s">
        <v>130</v>
      </c>
      <c r="E25" t="s">
        <v>131</v>
      </c>
      <c r="F25" t="s">
        <v>132</v>
      </c>
      <c r="G25" t="s">
        <v>133</v>
      </c>
      <c r="H25" t="s">
        <v>134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135</v>
      </c>
      <c r="B26" t="s">
        <v>14</v>
      </c>
      <c r="C26" t="s">
        <v>15</v>
      </c>
      <c r="D26" t="s">
        <v>136</v>
      </c>
      <c r="E26" t="s">
        <v>137</v>
      </c>
      <c r="F26" t="s">
        <v>70</v>
      </c>
      <c r="G26" t="s">
        <v>138</v>
      </c>
      <c r="H26" t="s">
        <v>139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140</v>
      </c>
      <c r="B27" t="s">
        <v>14</v>
      </c>
      <c r="C27" t="s">
        <v>15</v>
      </c>
      <c r="D27" t="s">
        <v>141</v>
      </c>
      <c r="E27" t="s">
        <v>142</v>
      </c>
      <c r="F27" t="s">
        <v>70</v>
      </c>
      <c r="G27" t="s">
        <v>143</v>
      </c>
      <c r="H27" t="s">
        <v>144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145</v>
      </c>
      <c r="B28" t="s">
        <v>14</v>
      </c>
      <c r="C28" t="s">
        <v>15</v>
      </c>
      <c r="D28" t="s">
        <v>146</v>
      </c>
      <c r="E28" t="s">
        <v>147</v>
      </c>
      <c r="F28" t="s">
        <v>18</v>
      </c>
      <c r="G28" t="s">
        <v>148</v>
      </c>
      <c r="H28" t="s">
        <v>149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150</v>
      </c>
      <c r="B29" t="s">
        <v>14</v>
      </c>
      <c r="C29" t="s">
        <v>15</v>
      </c>
      <c r="D29" t="s">
        <v>151</v>
      </c>
      <c r="E29" t="s">
        <v>152</v>
      </c>
      <c r="F29" t="s">
        <v>30</v>
      </c>
      <c r="G29" t="s">
        <v>153</v>
      </c>
      <c r="H29" t="s">
        <v>154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155</v>
      </c>
      <c r="B30" t="s">
        <v>14</v>
      </c>
      <c r="C30" t="s">
        <v>15</v>
      </c>
      <c r="D30" t="s">
        <v>156</v>
      </c>
      <c r="E30" t="s">
        <v>157</v>
      </c>
      <c r="F30" t="s">
        <v>30</v>
      </c>
      <c r="G30" t="s">
        <v>153</v>
      </c>
      <c r="H30" t="s">
        <v>158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159</v>
      </c>
      <c r="B31" t="s">
        <v>14</v>
      </c>
      <c r="C31" t="s">
        <v>15</v>
      </c>
      <c r="D31" t="s">
        <v>160</v>
      </c>
      <c r="E31" t="s">
        <v>161</v>
      </c>
      <c r="F31" t="s">
        <v>30</v>
      </c>
      <c r="G31" t="s">
        <v>31</v>
      </c>
      <c r="H31" t="s">
        <v>162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163</v>
      </c>
      <c r="B32" t="s">
        <v>14</v>
      </c>
      <c r="C32" t="s">
        <v>15</v>
      </c>
      <c r="D32" t="s">
        <v>164</v>
      </c>
      <c r="E32" t="s">
        <v>165</v>
      </c>
      <c r="F32" t="s">
        <v>18</v>
      </c>
      <c r="G32" t="s">
        <v>148</v>
      </c>
      <c r="H32" t="s">
        <v>166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167</v>
      </c>
      <c r="B33" t="s">
        <v>14</v>
      </c>
      <c r="C33" t="s">
        <v>15</v>
      </c>
      <c r="D33" t="s">
        <v>168</v>
      </c>
      <c r="E33" t="s">
        <v>169</v>
      </c>
      <c r="F33" t="s">
        <v>70</v>
      </c>
      <c r="G33" t="s">
        <v>170</v>
      </c>
      <c r="H33" t="s">
        <v>171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172</v>
      </c>
      <c r="B34" t="s">
        <v>14</v>
      </c>
      <c r="C34" t="s">
        <v>15</v>
      </c>
      <c r="D34" t="s">
        <v>173</v>
      </c>
      <c r="E34" t="s">
        <v>174</v>
      </c>
      <c r="F34" t="s">
        <v>18</v>
      </c>
      <c r="G34" t="s">
        <v>175</v>
      </c>
      <c r="H34" t="s">
        <v>176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177</v>
      </c>
      <c r="B35" t="s">
        <v>14</v>
      </c>
      <c r="C35" t="s">
        <v>15</v>
      </c>
      <c r="D35" t="s">
        <v>178</v>
      </c>
      <c r="E35" t="s">
        <v>179</v>
      </c>
      <c r="F35" t="s">
        <v>40</v>
      </c>
      <c r="G35" t="s">
        <v>180</v>
      </c>
      <c r="H35" t="s">
        <v>181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182</v>
      </c>
      <c r="B36" t="s">
        <v>14</v>
      </c>
      <c r="C36" t="s">
        <v>15</v>
      </c>
      <c r="D36" t="s">
        <v>183</v>
      </c>
      <c r="E36" t="s">
        <v>184</v>
      </c>
      <c r="F36" t="s">
        <v>30</v>
      </c>
      <c r="G36" t="s">
        <v>86</v>
      </c>
      <c r="H36" t="s">
        <v>185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186</v>
      </c>
      <c r="B37" t="s">
        <v>14</v>
      </c>
      <c r="C37" t="s">
        <v>15</v>
      </c>
      <c r="D37" t="s">
        <v>187</v>
      </c>
      <c r="E37" t="s">
        <v>188</v>
      </c>
      <c r="F37" t="s">
        <v>18</v>
      </c>
      <c r="G37" t="s">
        <v>19</v>
      </c>
      <c r="H37" t="s">
        <v>189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190</v>
      </c>
      <c r="B38" t="s">
        <v>14</v>
      </c>
      <c r="C38" t="s">
        <v>15</v>
      </c>
      <c r="D38" t="s">
        <v>191</v>
      </c>
      <c r="E38" t="s">
        <v>192</v>
      </c>
      <c r="F38" t="s">
        <v>70</v>
      </c>
      <c r="G38" t="s">
        <v>193</v>
      </c>
      <c r="H38" t="s">
        <v>194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195</v>
      </c>
      <c r="B39" t="s">
        <v>14</v>
      </c>
      <c r="C39" t="s">
        <v>15</v>
      </c>
      <c r="D39" t="s">
        <v>196</v>
      </c>
      <c r="E39" t="s">
        <v>197</v>
      </c>
      <c r="F39" t="s">
        <v>18</v>
      </c>
      <c r="G39" t="s">
        <v>65</v>
      </c>
      <c r="H39" t="s">
        <v>198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199</v>
      </c>
      <c r="B40" t="s">
        <v>14</v>
      </c>
      <c r="C40" t="s">
        <v>15</v>
      </c>
      <c r="D40" t="s">
        <v>200</v>
      </c>
      <c r="E40" t="s">
        <v>201</v>
      </c>
      <c r="F40" t="s">
        <v>18</v>
      </c>
      <c r="G40" t="s">
        <v>65</v>
      </c>
      <c r="H40" t="s">
        <v>202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203</v>
      </c>
      <c r="B41" t="s">
        <v>14</v>
      </c>
      <c r="C41" t="s">
        <v>15</v>
      </c>
      <c r="D41" t="s">
        <v>204</v>
      </c>
      <c r="E41" t="s">
        <v>205</v>
      </c>
      <c r="F41" t="s">
        <v>70</v>
      </c>
      <c r="G41" t="s">
        <v>170</v>
      </c>
      <c r="H41" t="s">
        <v>206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207</v>
      </c>
      <c r="B42" t="s">
        <v>14</v>
      </c>
      <c r="C42" t="s">
        <v>15</v>
      </c>
      <c r="D42" t="s">
        <v>208</v>
      </c>
      <c r="E42" t="s">
        <v>209</v>
      </c>
      <c r="F42" t="s">
        <v>70</v>
      </c>
      <c r="G42" t="s">
        <v>210</v>
      </c>
      <c r="H42" t="s">
        <v>211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212</v>
      </c>
      <c r="B43" t="s">
        <v>14</v>
      </c>
      <c r="C43" t="s">
        <v>15</v>
      </c>
      <c r="D43" t="s">
        <v>213</v>
      </c>
      <c r="E43" t="s">
        <v>214</v>
      </c>
      <c r="F43" t="s">
        <v>30</v>
      </c>
      <c r="G43" t="s">
        <v>31</v>
      </c>
      <c r="H43" t="s">
        <v>215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216</v>
      </c>
      <c r="B44" t="s">
        <v>14</v>
      </c>
      <c r="C44" t="s">
        <v>15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222</v>
      </c>
      <c r="B45" t="s">
        <v>14</v>
      </c>
      <c r="C45" t="s">
        <v>15</v>
      </c>
      <c r="D45" t="s">
        <v>223</v>
      </c>
      <c r="E45" t="s">
        <v>224</v>
      </c>
      <c r="F45" t="s">
        <v>40</v>
      </c>
      <c r="G45" t="s">
        <v>225</v>
      </c>
      <c r="H45" t="s">
        <v>226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227</v>
      </c>
      <c r="B46" t="s">
        <v>14</v>
      </c>
      <c r="C46" t="s">
        <v>15</v>
      </c>
      <c r="D46" t="s">
        <v>228</v>
      </c>
      <c r="E46" t="s">
        <v>229</v>
      </c>
      <c r="F46" t="s">
        <v>46</v>
      </c>
      <c r="G46" t="s">
        <v>230</v>
      </c>
      <c r="H46" t="s">
        <v>231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232</v>
      </c>
      <c r="B47" t="s">
        <v>14</v>
      </c>
      <c r="C47" t="s">
        <v>15</v>
      </c>
      <c r="D47" t="s">
        <v>233</v>
      </c>
      <c r="E47" t="s">
        <v>234</v>
      </c>
      <c r="F47" t="s">
        <v>30</v>
      </c>
      <c r="G47" t="s">
        <v>86</v>
      </c>
      <c r="H47" t="s">
        <v>235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236</v>
      </c>
      <c r="B48" t="s">
        <v>14</v>
      </c>
      <c r="C48" t="s">
        <v>15</v>
      </c>
      <c r="D48" t="s">
        <v>237</v>
      </c>
      <c r="E48" t="s">
        <v>238</v>
      </c>
      <c r="F48" t="s">
        <v>219</v>
      </c>
      <c r="G48" t="s">
        <v>239</v>
      </c>
      <c r="H48" t="s">
        <v>240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241</v>
      </c>
      <c r="B49" t="s">
        <v>14</v>
      </c>
      <c r="C49" t="s">
        <v>15</v>
      </c>
      <c r="D49" t="s">
        <v>242</v>
      </c>
      <c r="E49" t="s">
        <v>243</v>
      </c>
      <c r="F49" t="s">
        <v>70</v>
      </c>
      <c r="G49" t="s">
        <v>244</v>
      </c>
      <c r="H49" t="s">
        <v>245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246</v>
      </c>
      <c r="B50" t="s">
        <v>14</v>
      </c>
      <c r="C50" t="s">
        <v>15</v>
      </c>
      <c r="D50" t="s">
        <v>247</v>
      </c>
      <c r="E50" t="s">
        <v>248</v>
      </c>
      <c r="F50" t="s">
        <v>70</v>
      </c>
      <c r="G50" t="s">
        <v>244</v>
      </c>
      <c r="H50" t="s">
        <v>249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250</v>
      </c>
      <c r="B51" t="s">
        <v>14</v>
      </c>
      <c r="C51" t="s">
        <v>15</v>
      </c>
      <c r="D51" t="s">
        <v>251</v>
      </c>
      <c r="E51" t="s">
        <v>252</v>
      </c>
      <c r="F51" t="s">
        <v>30</v>
      </c>
      <c r="G51" t="s">
        <v>253</v>
      </c>
      <c r="H51" t="s">
        <v>254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255</v>
      </c>
      <c r="B52" t="s">
        <v>14</v>
      </c>
      <c r="C52" t="s">
        <v>15</v>
      </c>
      <c r="D52" t="s">
        <v>256</v>
      </c>
      <c r="E52" t="s">
        <v>257</v>
      </c>
      <c r="F52" t="s">
        <v>70</v>
      </c>
      <c r="G52" t="s">
        <v>71</v>
      </c>
      <c r="H52" t="s">
        <v>258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259</v>
      </c>
      <c r="B53" t="s">
        <v>14</v>
      </c>
      <c r="C53" t="s">
        <v>15</v>
      </c>
      <c r="D53" t="s">
        <v>260</v>
      </c>
      <c r="E53" t="s">
        <v>261</v>
      </c>
      <c r="F53" t="s">
        <v>18</v>
      </c>
      <c r="G53" t="s">
        <v>123</v>
      </c>
      <c r="H53" t="s">
        <v>262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263</v>
      </c>
      <c r="B54" t="s">
        <v>14</v>
      </c>
      <c r="C54" t="s">
        <v>15</v>
      </c>
      <c r="D54" t="s">
        <v>264</v>
      </c>
      <c r="E54" t="s">
        <v>265</v>
      </c>
      <c r="F54" t="s">
        <v>18</v>
      </c>
      <c r="G54" t="s">
        <v>19</v>
      </c>
      <c r="H54" t="s">
        <v>266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267</v>
      </c>
      <c r="B55" t="s">
        <v>14</v>
      </c>
      <c r="C55" t="s">
        <v>15</v>
      </c>
      <c r="D55" t="s">
        <v>268</v>
      </c>
      <c r="E55" t="s">
        <v>269</v>
      </c>
      <c r="F55" t="s">
        <v>40</v>
      </c>
      <c r="G55" t="s">
        <v>270</v>
      </c>
      <c r="H55" t="s">
        <v>271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272</v>
      </c>
      <c r="B56" t="s">
        <v>14</v>
      </c>
      <c r="C56" t="s">
        <v>15</v>
      </c>
      <c r="D56" t="s">
        <v>273</v>
      </c>
      <c r="E56" t="s">
        <v>274</v>
      </c>
      <c r="F56" t="s">
        <v>275</v>
      </c>
      <c r="G56" t="s">
        <v>276</v>
      </c>
      <c r="H56" t="s">
        <v>277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278</v>
      </c>
      <c r="B57" t="s">
        <v>14</v>
      </c>
      <c r="C57" t="s">
        <v>15</v>
      </c>
      <c r="D57" t="s">
        <v>279</v>
      </c>
      <c r="E57" t="s">
        <v>280</v>
      </c>
      <c r="F57" t="s">
        <v>30</v>
      </c>
      <c r="G57" t="s">
        <v>86</v>
      </c>
      <c r="H57" t="s">
        <v>281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282</v>
      </c>
      <c r="B58" t="s">
        <v>14</v>
      </c>
      <c r="C58" t="s">
        <v>15</v>
      </c>
      <c r="D58" t="s">
        <v>283</v>
      </c>
      <c r="E58" t="s">
        <v>284</v>
      </c>
      <c r="F58" t="s">
        <v>70</v>
      </c>
      <c r="G58" t="s">
        <v>71</v>
      </c>
      <c r="H58" t="s">
        <v>285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286</v>
      </c>
      <c r="B59" t="s">
        <v>14</v>
      </c>
      <c r="C59" t="s">
        <v>15</v>
      </c>
      <c r="D59" t="s">
        <v>287</v>
      </c>
      <c r="E59" t="s">
        <v>288</v>
      </c>
      <c r="F59" t="s">
        <v>30</v>
      </c>
      <c r="G59" t="s">
        <v>253</v>
      </c>
      <c r="H59" t="s">
        <v>289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290</v>
      </c>
      <c r="B60" t="s">
        <v>14</v>
      </c>
      <c r="C60" t="s">
        <v>15</v>
      </c>
      <c r="D60" t="s">
        <v>291</v>
      </c>
      <c r="E60" t="s">
        <v>292</v>
      </c>
      <c r="F60" t="s">
        <v>30</v>
      </c>
      <c r="G60" t="s">
        <v>253</v>
      </c>
      <c r="H60" t="s">
        <v>293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294</v>
      </c>
      <c r="B61" t="s">
        <v>14</v>
      </c>
      <c r="C61" t="s">
        <v>15</v>
      </c>
      <c r="D61" t="s">
        <v>295</v>
      </c>
      <c r="E61" t="s">
        <v>296</v>
      </c>
      <c r="F61" t="s">
        <v>18</v>
      </c>
      <c r="G61" t="s">
        <v>19</v>
      </c>
      <c r="H61" t="s">
        <v>297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298</v>
      </c>
      <c r="B62" t="s">
        <v>14</v>
      </c>
      <c r="C62" t="s">
        <v>15</v>
      </c>
      <c r="D62" t="s">
        <v>299</v>
      </c>
      <c r="E62" t="s">
        <v>300</v>
      </c>
      <c r="F62" t="s">
        <v>30</v>
      </c>
      <c r="G62" t="s">
        <v>31</v>
      </c>
      <c r="H62" t="s">
        <v>301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302</v>
      </c>
      <c r="B63" t="s">
        <v>14</v>
      </c>
      <c r="C63" t="s">
        <v>15</v>
      </c>
      <c r="D63" t="s">
        <v>303</v>
      </c>
      <c r="E63" t="s">
        <v>304</v>
      </c>
      <c r="F63" t="s">
        <v>18</v>
      </c>
      <c r="G63" t="s">
        <v>19</v>
      </c>
      <c r="H63" t="s">
        <v>305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306</v>
      </c>
      <c r="B64" t="s">
        <v>14</v>
      </c>
      <c r="C64" t="s">
        <v>15</v>
      </c>
      <c r="D64" t="s">
        <v>307</v>
      </c>
      <c r="E64" t="s">
        <v>308</v>
      </c>
      <c r="F64" t="s">
        <v>70</v>
      </c>
      <c r="G64" t="s">
        <v>309</v>
      </c>
      <c r="H64" t="s">
        <v>310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311</v>
      </c>
      <c r="B65" t="s">
        <v>14</v>
      </c>
      <c r="C65" t="s">
        <v>15</v>
      </c>
      <c r="D65" t="s">
        <v>312</v>
      </c>
      <c r="E65" t="s">
        <v>313</v>
      </c>
      <c r="F65" t="s">
        <v>219</v>
      </c>
      <c r="G65" t="s">
        <v>220</v>
      </c>
      <c r="H65" t="s">
        <v>314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315</v>
      </c>
      <c r="B66" t="s">
        <v>14</v>
      </c>
      <c r="C66" t="s">
        <v>15</v>
      </c>
      <c r="D66" t="s">
        <v>316</v>
      </c>
      <c r="E66" t="s">
        <v>317</v>
      </c>
      <c r="F66" t="s">
        <v>18</v>
      </c>
      <c r="G66" t="s">
        <v>19</v>
      </c>
      <c r="H66" t="s">
        <v>318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319</v>
      </c>
      <c r="B67" t="s">
        <v>14</v>
      </c>
      <c r="C67" t="s">
        <v>15</v>
      </c>
      <c r="D67" t="s">
        <v>320</v>
      </c>
      <c r="E67" t="s">
        <v>321</v>
      </c>
      <c r="F67" t="s">
        <v>40</v>
      </c>
      <c r="G67" t="s">
        <v>270</v>
      </c>
      <c r="H67" t="s">
        <v>322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323</v>
      </c>
      <c r="B68" t="s">
        <v>14</v>
      </c>
      <c r="C68" t="s">
        <v>15</v>
      </c>
      <c r="D68" t="s">
        <v>324</v>
      </c>
      <c r="E68" t="s">
        <v>325</v>
      </c>
      <c r="F68" t="s">
        <v>18</v>
      </c>
      <c r="G68" t="s">
        <v>19</v>
      </c>
      <c r="H68" t="s">
        <v>326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BDH("XBIO US Equity","BS_TOT_ASSET","1993-06-18","2026-05-02","Per=Y","Days=T","Dir=V")</f>
        <v>0</v>
      </c>
      <c r="C2">
        <f>BDH("XBIO US Equity","BS_TOT_LIAB2","1993-06-18","2026-05-02","Per=Y","Days=T","Dir=V")</f>
        <v>0</v>
      </c>
      <c r="E2">
        <f>BDH("XBIO US Equity","SHORT_AND_LONG_TERM_DEBT","1993-06-18","2026-05-02","Per=Y","Days=T","Dir=V")</f>
        <v>0</v>
      </c>
      <c r="G2">
        <f>BDH("XBIO US Equity","BS_ST_BORROW","1993-06-18","2026-05-02","Per=Y","Days=T","Dir=V")</f>
        <v>0</v>
      </c>
      <c r="I2">
        <f>BDH("XBIO US Equity","BS_LT_BORROW","1993-06-18","2026-05-02","Per=Y","Days=T","Dir=V")</f>
        <v>0</v>
      </c>
      <c r="K2">
        <f>BDH("XBIO US Equity","BS_CASH_NEAR_CASH_ITEM","1993-06-18","2026-05-02","Per=Y","Days=T","Dir=V")</f>
        <v>0</v>
      </c>
      <c r="M2">
        <f>BDH("XBIO US Equity","BS_CUR_ASSET_REPORT","1993-06-18","2026-05-02","Per=Y","Days=T","Dir=V")</f>
        <v>0</v>
      </c>
      <c r="O2">
        <f>BDH("XBIO US Equity","BS_CUR_LIAB","1993-06-18","2026-05-02","Per=Y","Days=T","Dir=V")</f>
        <v>0</v>
      </c>
      <c r="Q2">
        <f>BDH("XBIO US Equity","BS_SHAREHOLDER_EQY_ENDING_PERIOD","1993-06-18","2026-05-02","Per=Y","Days=T","Dir=V")</f>
        <v>0</v>
      </c>
      <c r="S2">
        <f>BDH("XBIO US Equity","BS_ACCT_NOTE_RCV","1993-06-18","2026-05-02","Per=Y","Days=T","Dir=V")</f>
        <v>0</v>
      </c>
      <c r="U2">
        <f>BDH("XBIO US Equity","BS_INVENTORIES","1993-06-18","2026-05-02","Per=Y","Days=T","Dir=V")</f>
        <v>0</v>
      </c>
      <c r="W2">
        <f>BDH("XBIO US Equity","WORKING_CAPITAL","1993-06-18","2026-05-02","Per=Y","Days=T","Dir=V")</f>
        <v>0</v>
      </c>
      <c r="Y2">
        <f>BDH("XBIO US Equity","SALES_REV_TURN","1993-06-18","2026-05-02","Per=Y","Days=T","Dir=V")</f>
        <v>0</v>
      </c>
      <c r="AA2">
        <f>BDH("XBIO US Equity","EBIT","1993-06-18","2026-05-02","Per=Y","Days=T","Dir=V")</f>
        <v>0</v>
      </c>
      <c r="AC2">
        <f>BDH("XBIO US Equity","EBITDA","1993-06-18","2026-05-02","Per=Y","Days=T","Dir=V")</f>
        <v>0</v>
      </c>
      <c r="AE2">
        <f>BDH("XBIO US Equity","NET_INCOME","1993-06-18","2026-05-02","Per=Y","Days=T","Dir=V")</f>
        <v>0</v>
      </c>
      <c r="AG2">
        <f>BDH("XBIO US Equity","IS_INT_EXPENSE","1993-06-18","2026-05-02","Per=Y","Days=T","Dir=V")</f>
        <v>0</v>
      </c>
      <c r="AI2">
        <f>BDH("XBIO US Equity","IS_DEPR_EXP","1993-06-18","2026-05-02","Per=Y","Days=T","Dir=V")</f>
        <v>0</v>
      </c>
      <c r="AK2">
        <f>BDH("XBIO US Equity","CF_CASH_FROM_OPER","1993-06-18","2026-05-02","Per=Y","Days=T","Dir=V")</f>
        <v>0</v>
      </c>
      <c r="AM2">
        <f>BDH("XBIO US Equity","CAPITAL_EXPEND","1993-06-18","2026-05-02","Per=Y","Days=T","Dir=V")</f>
        <v>0</v>
      </c>
      <c r="AO2">
        <f>BDH("XBIO US Equity","CF_FREE_CASH_FLOW","1993-06-18","2026-05-02","Per=Y","Days=T","Dir=V")</f>
        <v>0</v>
      </c>
      <c r="AQ2">
        <f>BDH("XBIO US Equity","PX_LAST","1993-06-18","2026-05-02","Per=M","Days=T","Dir=V")</f>
        <v>0</v>
      </c>
      <c r="AS2">
        <f>BDH("XBIO US Equity","CUR_MKT_CAP","1993-06-18","2026-05-02","Per=M","Days=T","Dir=V")</f>
        <v>0</v>
      </c>
      <c r="AU2">
        <f>BDH("XBIO US Equity","EQY_SH_OUT","1993-06-18","2026-05-02","Per=M","Days=T","Dir=V")</f>
        <v>0</v>
      </c>
      <c r="AW2">
        <f>BDH("XBIO US Equity","PX_VOLUME","1993-06-18","2026-05-02","Per=M","Days=T","Dir=V")</f>
        <v>0</v>
      </c>
      <c r="AY2">
        <f>BDH("XBIO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BDH("XBIT US Equity","BS_TOT_ASSET","1993-06-18","2026-05-02","Per=Y","Days=T","Dir=V")</f>
        <v>0</v>
      </c>
      <c r="C2">
        <f>BDH("XBIT US Equity","BS_TOT_LIAB2","1993-06-18","2026-05-02","Per=Y","Days=T","Dir=V")</f>
        <v>0</v>
      </c>
      <c r="E2">
        <f>BDH("XBIT US Equity","SHORT_AND_LONG_TERM_DEBT","1993-06-18","2026-05-02","Per=Y","Days=T","Dir=V")</f>
        <v>0</v>
      </c>
      <c r="G2">
        <f>BDH("XBIT US Equity","BS_ST_BORROW","1993-06-18","2026-05-02","Per=Y","Days=T","Dir=V")</f>
        <v>0</v>
      </c>
      <c r="I2">
        <f>BDH("XBIT US Equity","BS_LT_BORROW","1993-06-18","2026-05-02","Per=Y","Days=T","Dir=V")</f>
        <v>0</v>
      </c>
      <c r="K2">
        <f>BDH("XBIT US Equity","BS_CASH_NEAR_CASH_ITEM","1993-06-18","2026-05-02","Per=Y","Days=T","Dir=V")</f>
        <v>0</v>
      </c>
      <c r="M2">
        <f>BDH("XBIT US Equity","BS_CUR_ASSET_REPORT","1993-06-18","2026-05-02","Per=Y","Days=T","Dir=V")</f>
        <v>0</v>
      </c>
      <c r="O2">
        <f>BDH("XBIT US Equity","BS_CUR_LIAB","1993-06-18","2026-05-02","Per=Y","Days=T","Dir=V")</f>
        <v>0</v>
      </c>
      <c r="Q2">
        <f>BDH("XBIT US Equity","BS_SHAREHOLDER_EQY_ENDING_PERIOD","1993-06-18","2026-05-02","Per=Y","Days=T","Dir=V")</f>
        <v>0</v>
      </c>
      <c r="S2">
        <f>BDH("XBIT US Equity","BS_ACCT_NOTE_RCV","1993-06-18","2026-05-02","Per=Y","Days=T","Dir=V")</f>
        <v>0</v>
      </c>
      <c r="U2">
        <f>BDH("XBIT US Equity","BS_INVENTORIES","1993-06-18","2026-05-02","Per=Y","Days=T","Dir=V")</f>
        <v>0</v>
      </c>
      <c r="W2">
        <f>BDH("XBIT US Equity","WORKING_CAPITAL","1993-06-18","2026-05-02","Per=Y","Days=T","Dir=V")</f>
        <v>0</v>
      </c>
      <c r="Y2">
        <f>BDH("XBIT US Equity","SALES_REV_TURN","1993-06-18","2026-05-02","Per=Y","Days=T","Dir=V")</f>
        <v>0</v>
      </c>
      <c r="AA2">
        <f>BDH("XBIT US Equity","EBIT","1993-06-18","2026-05-02","Per=Y","Days=T","Dir=V")</f>
        <v>0</v>
      </c>
      <c r="AC2">
        <f>BDH("XBIT US Equity","EBITDA","1993-06-18","2026-05-02","Per=Y","Days=T","Dir=V")</f>
        <v>0</v>
      </c>
      <c r="AE2">
        <f>BDH("XBIT US Equity","NET_INCOME","1993-06-18","2026-05-02","Per=Y","Days=T","Dir=V")</f>
        <v>0</v>
      </c>
      <c r="AG2">
        <f>BDH("XBIT US Equity","IS_INT_EXPENSE","1993-06-18","2026-05-02","Per=Y","Days=T","Dir=V")</f>
        <v>0</v>
      </c>
      <c r="AI2">
        <f>BDH("XBIT US Equity","IS_DEPR_EXP","1993-06-18","2026-05-02","Per=Y","Days=T","Dir=V")</f>
        <v>0</v>
      </c>
      <c r="AK2">
        <f>BDH("XBIT US Equity","CF_CASH_FROM_OPER","1993-06-18","2026-05-02","Per=Y","Days=T","Dir=V")</f>
        <v>0</v>
      </c>
      <c r="AM2">
        <f>BDH("XBIT US Equity","CAPITAL_EXPEND","1993-06-18","2026-05-02","Per=Y","Days=T","Dir=V")</f>
        <v>0</v>
      </c>
      <c r="AO2">
        <f>BDH("XBIT US Equity","CF_FREE_CASH_FLOW","1993-06-18","2026-05-02","Per=Y","Days=T","Dir=V")</f>
        <v>0</v>
      </c>
      <c r="AQ2">
        <f>BDH("XBIT US Equity","PX_LAST","1993-06-18","2026-05-02","Per=M","Days=T","Dir=V")</f>
        <v>0</v>
      </c>
      <c r="AS2">
        <f>BDH("XBIT US Equity","CUR_MKT_CAP","1993-06-18","2026-05-02","Per=M","Days=T","Dir=V")</f>
        <v>0</v>
      </c>
      <c r="AU2">
        <f>BDH("XBIT US Equity","EQY_SH_OUT","1993-06-18","2026-05-02","Per=M","Days=T","Dir=V")</f>
        <v>0</v>
      </c>
      <c r="AW2">
        <f>BDH("XBIT US Equity","PX_VOLUME","1993-06-18","2026-05-02","Per=M","Days=T","Dir=V")</f>
        <v>0</v>
      </c>
      <c r="AY2">
        <f>BDH("XBIT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BDH("XBP US Equity","BS_TOT_ASSET","1993-06-18","2026-05-02","Per=Y","Days=T","Dir=V")</f>
        <v>0</v>
      </c>
      <c r="C2">
        <f>BDH("XBP US Equity","BS_TOT_LIAB2","1993-06-18","2026-05-02","Per=Y","Days=T","Dir=V")</f>
        <v>0</v>
      </c>
      <c r="E2">
        <f>BDH("XBP US Equity","SHORT_AND_LONG_TERM_DEBT","1993-06-18","2026-05-02","Per=Y","Days=T","Dir=V")</f>
        <v>0</v>
      </c>
      <c r="G2">
        <f>BDH("XBP US Equity","BS_ST_BORROW","1993-06-18","2026-05-02","Per=Y","Days=T","Dir=V")</f>
        <v>0</v>
      </c>
      <c r="I2">
        <f>BDH("XBP US Equity","BS_LT_BORROW","1993-06-18","2026-05-02","Per=Y","Days=T","Dir=V")</f>
        <v>0</v>
      </c>
      <c r="K2">
        <f>BDH("XBP US Equity","BS_CASH_NEAR_CASH_ITEM","1993-06-18","2026-05-02","Per=Y","Days=T","Dir=V")</f>
        <v>0</v>
      </c>
      <c r="M2">
        <f>BDH("XBP US Equity","BS_CUR_ASSET_REPORT","1993-06-18","2026-05-02","Per=Y","Days=T","Dir=V")</f>
        <v>0</v>
      </c>
      <c r="O2">
        <f>BDH("XBP US Equity","BS_CUR_LIAB","1993-06-18","2026-05-02","Per=Y","Days=T","Dir=V")</f>
        <v>0</v>
      </c>
      <c r="Q2">
        <f>BDH("XBP US Equity","BS_SHAREHOLDER_EQY_ENDING_PERIOD","1993-06-18","2026-05-02","Per=Y","Days=T","Dir=V")</f>
        <v>0</v>
      </c>
      <c r="S2">
        <f>BDH("XBP US Equity","BS_ACCT_NOTE_RCV","1993-06-18","2026-05-02","Per=Y","Days=T","Dir=V")</f>
        <v>0</v>
      </c>
      <c r="U2">
        <f>BDH("XBP US Equity","BS_INVENTORIES","1993-06-18","2026-05-02","Per=Y","Days=T","Dir=V")</f>
        <v>0</v>
      </c>
      <c r="W2">
        <f>BDH("XBP US Equity","WORKING_CAPITAL","1993-06-18","2026-05-02","Per=Y","Days=T","Dir=V")</f>
        <v>0</v>
      </c>
      <c r="Y2">
        <f>BDH("XBP US Equity","SALES_REV_TURN","1993-06-18","2026-05-02","Per=Y","Days=T","Dir=V")</f>
        <v>0</v>
      </c>
      <c r="AA2">
        <f>BDH("XBP US Equity","EBIT","1993-06-18","2026-05-02","Per=Y","Days=T","Dir=V")</f>
        <v>0</v>
      </c>
      <c r="AC2">
        <f>BDH("XBP US Equity","EBITDA","1993-06-18","2026-05-02","Per=Y","Days=T","Dir=V")</f>
        <v>0</v>
      </c>
      <c r="AE2">
        <f>BDH("XBP US Equity","NET_INCOME","1993-06-18","2026-05-02","Per=Y","Days=T","Dir=V")</f>
        <v>0</v>
      </c>
      <c r="AG2">
        <f>BDH("XBP US Equity","IS_INT_EXPENSE","1993-06-18","2026-05-02","Per=Y","Days=T","Dir=V")</f>
        <v>0</v>
      </c>
      <c r="AI2">
        <f>BDH("XBP US Equity","IS_DEPR_EXP","1993-06-18","2026-05-02","Per=Y","Days=T","Dir=V")</f>
        <v>0</v>
      </c>
      <c r="AK2">
        <f>BDH("XBP US Equity","CF_CASH_FROM_OPER","1993-06-18","2026-05-02","Per=Y","Days=T","Dir=V")</f>
        <v>0</v>
      </c>
      <c r="AM2">
        <f>BDH("XBP US Equity","CAPITAL_EXPEND","1993-06-18","2026-05-02","Per=Y","Days=T","Dir=V")</f>
        <v>0</v>
      </c>
      <c r="AO2">
        <f>BDH("XBP US Equity","CF_FREE_CASH_FLOW","1993-06-18","2026-05-02","Per=Y","Days=T","Dir=V")</f>
        <v>0</v>
      </c>
      <c r="AQ2">
        <f>BDH("XBP US Equity","PX_LAST","1993-06-18","2026-05-02","Per=M","Days=T","Dir=V")</f>
        <v>0</v>
      </c>
      <c r="AS2">
        <f>BDH("XBP US Equity","CUR_MKT_CAP","1993-06-18","2026-05-02","Per=M","Days=T","Dir=V")</f>
        <v>0</v>
      </c>
      <c r="AU2">
        <f>BDH("XBP US Equity","EQY_SH_OUT","1993-06-18","2026-05-02","Per=M","Days=T","Dir=V")</f>
        <v>0</v>
      </c>
      <c r="AW2">
        <f>BDH("XBP US Equity","PX_VOLUME","1993-06-18","2026-05-02","Per=M","Days=T","Dir=V")</f>
        <v>0</v>
      </c>
      <c r="AY2">
        <f>BDH("XBP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BDH("XCUR US Equity","BS_TOT_ASSET","1993-06-18","2026-05-02","Per=Y","Days=T","Dir=V")</f>
        <v>0</v>
      </c>
      <c r="C2">
        <f>BDH("XCUR US Equity","BS_TOT_LIAB2","1993-06-18","2026-05-02","Per=Y","Days=T","Dir=V")</f>
        <v>0</v>
      </c>
      <c r="E2">
        <f>BDH("XCUR US Equity","SHORT_AND_LONG_TERM_DEBT","1993-06-18","2026-05-02","Per=Y","Days=T","Dir=V")</f>
        <v>0</v>
      </c>
      <c r="G2">
        <f>BDH("XCUR US Equity","BS_ST_BORROW","1993-06-18","2026-05-02","Per=Y","Days=T","Dir=V")</f>
        <v>0</v>
      </c>
      <c r="I2">
        <f>BDH("XCUR US Equity","BS_LT_BORROW","1993-06-18","2026-05-02","Per=Y","Days=T","Dir=V")</f>
        <v>0</v>
      </c>
      <c r="K2">
        <f>BDH("XCUR US Equity","BS_CASH_NEAR_CASH_ITEM","1993-06-18","2026-05-02","Per=Y","Days=T","Dir=V")</f>
        <v>0</v>
      </c>
      <c r="M2">
        <f>BDH("XCUR US Equity","BS_CUR_ASSET_REPORT","1993-06-18","2026-05-02","Per=Y","Days=T","Dir=V")</f>
        <v>0</v>
      </c>
      <c r="O2">
        <f>BDH("XCUR US Equity","BS_CUR_LIAB","1993-06-18","2026-05-02","Per=Y","Days=T","Dir=V")</f>
        <v>0</v>
      </c>
      <c r="Q2">
        <f>BDH("XCUR US Equity","BS_SHAREHOLDER_EQY_ENDING_PERIOD","1993-06-18","2026-05-02","Per=Y","Days=T","Dir=V")</f>
        <v>0</v>
      </c>
      <c r="S2">
        <f>BDH("XCUR US Equity","BS_ACCT_NOTE_RCV","1993-06-18","2026-05-02","Per=Y","Days=T","Dir=V")</f>
        <v>0</v>
      </c>
      <c r="U2">
        <f>BDH("XCUR US Equity","BS_INVENTORIES","1993-06-18","2026-05-02","Per=Y","Days=T","Dir=V")</f>
        <v>0</v>
      </c>
      <c r="W2">
        <f>BDH("XCUR US Equity","WORKING_CAPITAL","1993-06-18","2026-05-02","Per=Y","Days=T","Dir=V")</f>
        <v>0</v>
      </c>
      <c r="Y2">
        <f>BDH("XCUR US Equity","SALES_REV_TURN","1993-06-18","2026-05-02","Per=Y","Days=T","Dir=V")</f>
        <v>0</v>
      </c>
      <c r="AA2">
        <f>BDH("XCUR US Equity","EBIT","1993-06-18","2026-05-02","Per=Y","Days=T","Dir=V")</f>
        <v>0</v>
      </c>
      <c r="AC2">
        <f>BDH("XCUR US Equity","EBITDA","1993-06-18","2026-05-02","Per=Y","Days=T","Dir=V")</f>
        <v>0</v>
      </c>
      <c r="AE2">
        <f>BDH("XCUR US Equity","NET_INCOME","1993-06-18","2026-05-02","Per=Y","Days=T","Dir=V")</f>
        <v>0</v>
      </c>
      <c r="AG2">
        <f>BDH("XCUR US Equity","IS_INT_EXPENSE","1993-06-18","2026-05-02","Per=Y","Days=T","Dir=V")</f>
        <v>0</v>
      </c>
      <c r="AI2">
        <f>BDH("XCUR US Equity","IS_DEPR_EXP","1993-06-18","2026-05-02","Per=Y","Days=T","Dir=V")</f>
        <v>0</v>
      </c>
      <c r="AK2">
        <f>BDH("XCUR US Equity","CF_CASH_FROM_OPER","1993-06-18","2026-05-02","Per=Y","Days=T","Dir=V")</f>
        <v>0</v>
      </c>
      <c r="AM2">
        <f>BDH("XCUR US Equity","CAPITAL_EXPEND","1993-06-18","2026-05-02","Per=Y","Days=T","Dir=V")</f>
        <v>0</v>
      </c>
      <c r="AO2">
        <f>BDH("XCUR US Equity","CF_FREE_CASH_FLOW","1993-06-18","2026-05-02","Per=Y","Days=T","Dir=V")</f>
        <v>0</v>
      </c>
      <c r="AQ2">
        <f>BDH("XCUR US Equity","PX_LAST","1993-06-18","2026-05-02","Per=M","Days=T","Dir=V")</f>
        <v>0</v>
      </c>
      <c r="AS2">
        <f>BDH("XCUR US Equity","CUR_MKT_CAP","1993-06-18","2026-05-02","Per=M","Days=T","Dir=V")</f>
        <v>0</v>
      </c>
      <c r="AU2">
        <f>BDH("XCUR US Equity","EQY_SH_OUT","1993-06-18","2026-05-02","Per=M","Days=T","Dir=V")</f>
        <v>0</v>
      </c>
      <c r="AW2">
        <f>BDH("XCUR US Equity","PX_VOLUME","1993-06-18","2026-05-02","Per=M","Days=T","Dir=V")</f>
        <v>0</v>
      </c>
      <c r="AY2">
        <f>BDH("XCUR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BDH("XE US Equity","BS_TOT_ASSET","1993-06-18","2026-05-02","Per=Y","Days=T","Dir=V")</f>
        <v>0</v>
      </c>
      <c r="C2">
        <f>BDH("XE US Equity","BS_TOT_LIAB2","1993-06-18","2026-05-02","Per=Y","Days=T","Dir=V")</f>
        <v>0</v>
      </c>
      <c r="E2">
        <f>BDH("XE US Equity","SHORT_AND_LONG_TERM_DEBT","1993-06-18","2026-05-02","Per=Y","Days=T","Dir=V")</f>
        <v>0</v>
      </c>
      <c r="G2">
        <f>BDH("XE US Equity","BS_ST_BORROW","1993-06-18","2026-05-02","Per=Y","Days=T","Dir=V")</f>
        <v>0</v>
      </c>
      <c r="I2">
        <f>BDH("XE US Equity","BS_LT_BORROW","1993-06-18","2026-05-02","Per=Y","Days=T","Dir=V")</f>
        <v>0</v>
      </c>
      <c r="K2">
        <f>BDH("XE US Equity","BS_CASH_NEAR_CASH_ITEM","1993-06-18","2026-05-02","Per=Y","Days=T","Dir=V")</f>
        <v>0</v>
      </c>
      <c r="M2">
        <f>BDH("XE US Equity","BS_CUR_ASSET_REPORT","1993-06-18","2026-05-02","Per=Y","Days=T","Dir=V")</f>
        <v>0</v>
      </c>
      <c r="O2">
        <f>BDH("XE US Equity","BS_CUR_LIAB","1993-06-18","2026-05-02","Per=Y","Days=T","Dir=V")</f>
        <v>0</v>
      </c>
      <c r="Q2">
        <f>BDH("XE US Equity","BS_SHAREHOLDER_EQY_ENDING_PERIOD","1993-06-18","2026-05-02","Per=Y","Days=T","Dir=V")</f>
        <v>0</v>
      </c>
      <c r="S2">
        <f>BDH("XE US Equity","BS_ACCT_NOTE_RCV","1993-06-18","2026-05-02","Per=Y","Days=T","Dir=V")</f>
        <v>0</v>
      </c>
      <c r="U2">
        <f>BDH("XE US Equity","BS_INVENTORIES","1993-06-18","2026-05-02","Per=Y","Days=T","Dir=V")</f>
        <v>0</v>
      </c>
      <c r="W2">
        <f>BDH("XE US Equity","WORKING_CAPITAL","1993-06-18","2026-05-02","Per=Y","Days=T","Dir=V")</f>
        <v>0</v>
      </c>
      <c r="Y2">
        <f>BDH("XE US Equity","SALES_REV_TURN","1993-06-18","2026-05-02","Per=Y","Days=T","Dir=V")</f>
        <v>0</v>
      </c>
      <c r="AA2">
        <f>BDH("XE US Equity","EBIT","1993-06-18","2026-05-02","Per=Y","Days=T","Dir=V")</f>
        <v>0</v>
      </c>
      <c r="AC2">
        <f>BDH("XE US Equity","EBITDA","1993-06-18","2026-05-02","Per=Y","Days=T","Dir=V")</f>
        <v>0</v>
      </c>
      <c r="AE2">
        <f>BDH("XE US Equity","NET_INCOME","1993-06-18","2026-05-02","Per=Y","Days=T","Dir=V")</f>
        <v>0</v>
      </c>
      <c r="AG2">
        <f>BDH("XE US Equity","IS_INT_EXPENSE","1993-06-18","2026-05-02","Per=Y","Days=T","Dir=V")</f>
        <v>0</v>
      </c>
      <c r="AI2">
        <f>BDH("XE US Equity","IS_DEPR_EXP","1993-06-18","2026-05-02","Per=Y","Days=T","Dir=V")</f>
        <v>0</v>
      </c>
      <c r="AK2">
        <f>BDH("XE US Equity","CF_CASH_FROM_OPER","1993-06-18","2026-05-02","Per=Y","Days=T","Dir=V")</f>
        <v>0</v>
      </c>
      <c r="AM2">
        <f>BDH("XE US Equity","CAPITAL_EXPEND","1993-06-18","2026-05-02","Per=Y","Days=T","Dir=V")</f>
        <v>0</v>
      </c>
      <c r="AO2">
        <f>BDH("XE US Equity","CF_FREE_CASH_FLOW","1993-06-18","2026-05-02","Per=Y","Days=T","Dir=V")</f>
        <v>0</v>
      </c>
      <c r="AQ2">
        <f>BDH("XE US Equity","PX_LAST","1993-06-18","2026-05-02","Per=M","Days=T","Dir=V")</f>
        <v>0</v>
      </c>
      <c r="AS2">
        <f>BDH("XE US Equity","CUR_MKT_CAP","1993-06-18","2026-05-02","Per=M","Days=T","Dir=V")</f>
        <v>0</v>
      </c>
      <c r="AU2">
        <f>BDH("XE US Equity","EQY_SH_OUT","1993-06-18","2026-05-02","Per=M","Days=T","Dir=V")</f>
        <v>0</v>
      </c>
      <c r="AW2">
        <f>BDH("XE US Equity","PX_VOLUME","1993-06-18","2026-05-02","Per=M","Days=T","Dir=V")</f>
        <v>0</v>
      </c>
      <c r="AY2">
        <f>BDH("XE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BDH("XEL US Equity","BS_TOT_ASSET","1993-06-18","2026-05-02","Per=Y","Days=T","Dir=V")</f>
        <v>0</v>
      </c>
      <c r="C2">
        <f>BDH("XEL US Equity","BS_TOT_LIAB2","1993-06-18","2026-05-02","Per=Y","Days=T","Dir=V")</f>
        <v>0</v>
      </c>
      <c r="E2">
        <f>BDH("XEL US Equity","SHORT_AND_LONG_TERM_DEBT","1993-06-18","2026-05-02","Per=Y","Days=T","Dir=V")</f>
        <v>0</v>
      </c>
      <c r="G2">
        <f>BDH("XEL US Equity","BS_ST_BORROW","1993-06-18","2026-05-02","Per=Y","Days=T","Dir=V")</f>
        <v>0</v>
      </c>
      <c r="I2">
        <f>BDH("XEL US Equity","BS_LT_BORROW","1993-06-18","2026-05-02","Per=Y","Days=T","Dir=V")</f>
        <v>0</v>
      </c>
      <c r="K2">
        <f>BDH("XEL US Equity","BS_CASH_NEAR_CASH_ITEM","1993-06-18","2026-05-02","Per=Y","Days=T","Dir=V")</f>
        <v>0</v>
      </c>
      <c r="M2">
        <f>BDH("XEL US Equity","BS_CUR_ASSET_REPORT","1993-06-18","2026-05-02","Per=Y","Days=T","Dir=V")</f>
        <v>0</v>
      </c>
      <c r="O2">
        <f>BDH("XEL US Equity","BS_CUR_LIAB","1993-06-18","2026-05-02","Per=Y","Days=T","Dir=V")</f>
        <v>0</v>
      </c>
      <c r="Q2">
        <f>BDH("XEL US Equity","BS_SHAREHOLDER_EQY_ENDING_PERIOD","1993-06-18","2026-05-02","Per=Y","Days=T","Dir=V")</f>
        <v>0</v>
      </c>
      <c r="S2">
        <f>BDH("XEL US Equity","BS_ACCT_NOTE_RCV","1993-06-18","2026-05-02","Per=Y","Days=T","Dir=V")</f>
        <v>0</v>
      </c>
      <c r="U2">
        <f>BDH("XEL US Equity","BS_INVENTORIES","1993-06-18","2026-05-02","Per=Y","Days=T","Dir=V")</f>
        <v>0</v>
      </c>
      <c r="W2">
        <f>BDH("XEL US Equity","WORKING_CAPITAL","1993-06-18","2026-05-02","Per=Y","Days=T","Dir=V")</f>
        <v>0</v>
      </c>
      <c r="Y2">
        <f>BDH("XEL US Equity","SALES_REV_TURN","1993-06-18","2026-05-02","Per=Y","Days=T","Dir=V")</f>
        <v>0</v>
      </c>
      <c r="AA2">
        <f>BDH("XEL US Equity","EBIT","1993-06-18","2026-05-02","Per=Y","Days=T","Dir=V")</f>
        <v>0</v>
      </c>
      <c r="AC2">
        <f>BDH("XEL US Equity","EBITDA","1993-06-18","2026-05-02","Per=Y","Days=T","Dir=V")</f>
        <v>0</v>
      </c>
      <c r="AE2">
        <f>BDH("XEL US Equity","NET_INCOME","1993-06-18","2026-05-02","Per=Y","Days=T","Dir=V")</f>
        <v>0</v>
      </c>
      <c r="AG2">
        <f>BDH("XEL US Equity","IS_INT_EXPENSE","1993-06-18","2026-05-02","Per=Y","Days=T","Dir=V")</f>
        <v>0</v>
      </c>
      <c r="AI2">
        <f>BDH("XEL US Equity","IS_DEPR_EXP","1993-06-18","2026-05-02","Per=Y","Days=T","Dir=V")</f>
        <v>0</v>
      </c>
      <c r="AK2">
        <f>BDH("XEL US Equity","CF_CASH_FROM_OPER","1993-06-18","2026-05-02","Per=Y","Days=T","Dir=V")</f>
        <v>0</v>
      </c>
      <c r="AM2">
        <f>BDH("XEL US Equity","CAPITAL_EXPEND","1993-06-18","2026-05-02","Per=Y","Days=T","Dir=V")</f>
        <v>0</v>
      </c>
      <c r="AO2">
        <f>BDH("XEL US Equity","CF_FREE_CASH_FLOW","1993-06-18","2026-05-02","Per=Y","Days=T","Dir=V")</f>
        <v>0</v>
      </c>
      <c r="AQ2">
        <f>BDH("XEL US Equity","PX_LAST","1993-06-18","2026-05-02","Per=M","Days=T","Dir=V")</f>
        <v>0</v>
      </c>
      <c r="AS2">
        <f>BDH("XEL US Equity","CUR_MKT_CAP","1993-06-18","2026-05-02","Per=M","Days=T","Dir=V")</f>
        <v>0</v>
      </c>
      <c r="AU2">
        <f>BDH("XEL US Equity","EQY_SH_OUT","1993-06-18","2026-05-02","Per=M","Days=T","Dir=V")</f>
        <v>0</v>
      </c>
      <c r="AW2">
        <f>BDH("XEL US Equity","PX_VOLUME","1993-06-18","2026-05-02","Per=M","Days=T","Dir=V")</f>
        <v>0</v>
      </c>
      <c r="AY2">
        <f>BDH("XEL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BDH("XELLL US Equity","BS_TOT_ASSET","1993-06-18","2026-05-02","Per=Y","Days=T","Dir=V")</f>
        <v>0</v>
      </c>
      <c r="C2">
        <f>BDH("XELLL US Equity","BS_TOT_LIAB2","1993-06-18","2026-05-02","Per=Y","Days=T","Dir=V")</f>
        <v>0</v>
      </c>
      <c r="E2">
        <f>BDH("XELLL US Equity","SHORT_AND_LONG_TERM_DEBT","1993-06-18","2026-05-02","Per=Y","Days=T","Dir=V")</f>
        <v>0</v>
      </c>
      <c r="G2">
        <f>BDH("XELLL US Equity","BS_ST_BORROW","1993-06-18","2026-05-02","Per=Y","Days=T","Dir=V")</f>
        <v>0</v>
      </c>
      <c r="I2">
        <f>BDH("XELLL US Equity","BS_LT_BORROW","1993-06-18","2026-05-02","Per=Y","Days=T","Dir=V")</f>
        <v>0</v>
      </c>
      <c r="K2">
        <f>BDH("XELLL US Equity","BS_CASH_NEAR_CASH_ITEM","1993-06-18","2026-05-02","Per=Y","Days=T","Dir=V")</f>
        <v>0</v>
      </c>
      <c r="M2">
        <f>BDH("XELLL US Equity","BS_CUR_ASSET_REPORT","1993-06-18","2026-05-02","Per=Y","Days=T","Dir=V")</f>
        <v>0</v>
      </c>
      <c r="O2">
        <f>BDH("XELLL US Equity","BS_CUR_LIAB","1993-06-18","2026-05-02","Per=Y","Days=T","Dir=V")</f>
        <v>0</v>
      </c>
      <c r="Q2">
        <f>BDH("XELLL US Equity","BS_SHAREHOLDER_EQY_ENDING_PERIOD","1993-06-18","2026-05-02","Per=Y","Days=T","Dir=V")</f>
        <v>0</v>
      </c>
      <c r="S2">
        <f>BDH("XELLL US Equity","BS_ACCT_NOTE_RCV","1993-06-18","2026-05-02","Per=Y","Days=T","Dir=V")</f>
        <v>0</v>
      </c>
      <c r="U2">
        <f>BDH("XELLL US Equity","BS_INVENTORIES","1993-06-18","2026-05-02","Per=Y","Days=T","Dir=V")</f>
        <v>0</v>
      </c>
      <c r="W2">
        <f>BDH("XELLL US Equity","WORKING_CAPITAL","1993-06-18","2026-05-02","Per=Y","Days=T","Dir=V")</f>
        <v>0</v>
      </c>
      <c r="Y2">
        <f>BDH("XELLL US Equity","SALES_REV_TURN","1993-06-18","2026-05-02","Per=Y","Days=T","Dir=V")</f>
        <v>0</v>
      </c>
      <c r="AA2">
        <f>BDH("XELLL US Equity","EBIT","1993-06-18","2026-05-02","Per=Y","Days=T","Dir=V")</f>
        <v>0</v>
      </c>
      <c r="AC2">
        <f>BDH("XELLL US Equity","EBITDA","1993-06-18","2026-05-02","Per=Y","Days=T","Dir=V")</f>
        <v>0</v>
      </c>
      <c r="AE2">
        <f>BDH("XELLL US Equity","NET_INCOME","1993-06-18","2026-05-02","Per=Y","Days=T","Dir=V")</f>
        <v>0</v>
      </c>
      <c r="AG2">
        <f>BDH("XELLL US Equity","IS_INT_EXPENSE","1993-06-18","2026-05-02","Per=Y","Days=T","Dir=V")</f>
        <v>0</v>
      </c>
      <c r="AI2">
        <f>BDH("XELLL US Equity","IS_DEPR_EXP","1993-06-18","2026-05-02","Per=Y","Days=T","Dir=V")</f>
        <v>0</v>
      </c>
      <c r="AK2">
        <f>BDH("XELLL US Equity","CF_CASH_FROM_OPER","1993-06-18","2026-05-02","Per=Y","Days=T","Dir=V")</f>
        <v>0</v>
      </c>
      <c r="AM2">
        <f>BDH("XELLL US Equity","CAPITAL_EXPEND","1993-06-18","2026-05-02","Per=Y","Days=T","Dir=V")</f>
        <v>0</v>
      </c>
      <c r="AO2">
        <f>BDH("XELLL US Equity","CF_FREE_CASH_FLOW","1993-06-18","2026-05-02","Per=Y","Days=T","Dir=V")</f>
        <v>0</v>
      </c>
      <c r="AQ2">
        <f>BDH("XELLL US Equity","PX_LAST","1993-06-18","2026-05-02","Per=M","Days=T","Dir=V")</f>
        <v>0</v>
      </c>
      <c r="AS2">
        <f>BDH("XELLL US Equity","CUR_MKT_CAP","1993-06-18","2026-05-02","Per=M","Days=T","Dir=V")</f>
        <v>0</v>
      </c>
      <c r="AU2">
        <f>BDH("XELLL US Equity","EQY_SH_OUT","1993-06-18","2026-05-02","Per=M","Days=T","Dir=V")</f>
        <v>0</v>
      </c>
      <c r="AW2">
        <f>BDH("XELLL US Equity","PX_VOLUME","1993-06-18","2026-05-02","Per=M","Days=T","Dir=V")</f>
        <v>0</v>
      </c>
      <c r="AY2">
        <f>BDH("XELLL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BDH("XERS US Equity","BS_TOT_ASSET","1993-06-18","2026-05-02","Per=Y","Days=T","Dir=V")</f>
        <v>0</v>
      </c>
      <c r="C2">
        <f>BDH("XERS US Equity","BS_TOT_LIAB2","1993-06-18","2026-05-02","Per=Y","Days=T","Dir=V")</f>
        <v>0</v>
      </c>
      <c r="E2">
        <f>BDH("XERS US Equity","SHORT_AND_LONG_TERM_DEBT","1993-06-18","2026-05-02","Per=Y","Days=T","Dir=V")</f>
        <v>0</v>
      </c>
      <c r="G2">
        <f>BDH("XERS US Equity","BS_ST_BORROW","1993-06-18","2026-05-02","Per=Y","Days=T","Dir=V")</f>
        <v>0</v>
      </c>
      <c r="I2">
        <f>BDH("XERS US Equity","BS_LT_BORROW","1993-06-18","2026-05-02","Per=Y","Days=T","Dir=V")</f>
        <v>0</v>
      </c>
      <c r="K2">
        <f>BDH("XERS US Equity","BS_CASH_NEAR_CASH_ITEM","1993-06-18","2026-05-02","Per=Y","Days=T","Dir=V")</f>
        <v>0</v>
      </c>
      <c r="M2">
        <f>BDH("XERS US Equity","BS_CUR_ASSET_REPORT","1993-06-18","2026-05-02","Per=Y","Days=T","Dir=V")</f>
        <v>0</v>
      </c>
      <c r="O2">
        <f>BDH("XERS US Equity","BS_CUR_LIAB","1993-06-18","2026-05-02","Per=Y","Days=T","Dir=V")</f>
        <v>0</v>
      </c>
      <c r="Q2">
        <f>BDH("XERS US Equity","BS_SHAREHOLDER_EQY_ENDING_PERIOD","1993-06-18","2026-05-02","Per=Y","Days=T","Dir=V")</f>
        <v>0</v>
      </c>
      <c r="S2">
        <f>BDH("XERS US Equity","BS_ACCT_NOTE_RCV","1993-06-18","2026-05-02","Per=Y","Days=T","Dir=V")</f>
        <v>0</v>
      </c>
      <c r="U2">
        <f>BDH("XERS US Equity","BS_INVENTORIES","1993-06-18","2026-05-02","Per=Y","Days=T","Dir=V")</f>
        <v>0</v>
      </c>
      <c r="W2">
        <f>BDH("XERS US Equity","WORKING_CAPITAL","1993-06-18","2026-05-02","Per=Y","Days=T","Dir=V")</f>
        <v>0</v>
      </c>
      <c r="Y2">
        <f>BDH("XERS US Equity","SALES_REV_TURN","1993-06-18","2026-05-02","Per=Y","Days=T","Dir=V")</f>
        <v>0</v>
      </c>
      <c r="AA2">
        <f>BDH("XERS US Equity","EBIT","1993-06-18","2026-05-02","Per=Y","Days=T","Dir=V")</f>
        <v>0</v>
      </c>
      <c r="AC2">
        <f>BDH("XERS US Equity","EBITDA","1993-06-18","2026-05-02","Per=Y","Days=T","Dir=V")</f>
        <v>0</v>
      </c>
      <c r="AE2">
        <f>BDH("XERS US Equity","NET_INCOME","1993-06-18","2026-05-02","Per=Y","Days=T","Dir=V")</f>
        <v>0</v>
      </c>
      <c r="AG2">
        <f>BDH("XERS US Equity","IS_INT_EXPENSE","1993-06-18","2026-05-02","Per=Y","Days=T","Dir=V")</f>
        <v>0</v>
      </c>
      <c r="AI2">
        <f>BDH("XERS US Equity","IS_DEPR_EXP","1993-06-18","2026-05-02","Per=Y","Days=T","Dir=V")</f>
        <v>0</v>
      </c>
      <c r="AK2">
        <f>BDH("XERS US Equity","CF_CASH_FROM_OPER","1993-06-18","2026-05-02","Per=Y","Days=T","Dir=V")</f>
        <v>0</v>
      </c>
      <c r="AM2">
        <f>BDH("XERS US Equity","CAPITAL_EXPEND","1993-06-18","2026-05-02","Per=Y","Days=T","Dir=V")</f>
        <v>0</v>
      </c>
      <c r="AO2">
        <f>BDH("XERS US Equity","CF_FREE_CASH_FLOW","1993-06-18","2026-05-02","Per=Y","Days=T","Dir=V")</f>
        <v>0</v>
      </c>
      <c r="AQ2">
        <f>BDH("XERS US Equity","PX_LAST","1993-06-18","2026-05-02","Per=M","Days=T","Dir=V")</f>
        <v>0</v>
      </c>
      <c r="AS2">
        <f>BDH("XERS US Equity","CUR_MKT_CAP","1993-06-18","2026-05-02","Per=M","Days=T","Dir=V")</f>
        <v>0</v>
      </c>
      <c r="AU2">
        <f>BDH("XERS US Equity","EQY_SH_OUT","1993-06-18","2026-05-02","Per=M","Days=T","Dir=V")</f>
        <v>0</v>
      </c>
      <c r="AW2">
        <f>BDH("XERS US Equity","PX_VOLUME","1993-06-18","2026-05-02","Per=M","Days=T","Dir=V")</f>
        <v>0</v>
      </c>
      <c r="AY2">
        <f>BDH("XERS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BDH("XFOR US Equity","BS_TOT_ASSET","1993-06-18","2026-05-02","Per=Y","Days=T","Dir=V")</f>
        <v>0</v>
      </c>
      <c r="C2">
        <f>BDH("XFOR US Equity","BS_TOT_LIAB2","1993-06-18","2026-05-02","Per=Y","Days=T","Dir=V")</f>
        <v>0</v>
      </c>
      <c r="E2">
        <f>BDH("XFOR US Equity","SHORT_AND_LONG_TERM_DEBT","1993-06-18","2026-05-02","Per=Y","Days=T","Dir=V")</f>
        <v>0</v>
      </c>
      <c r="G2">
        <f>BDH("XFOR US Equity","BS_ST_BORROW","1993-06-18","2026-05-02","Per=Y","Days=T","Dir=V")</f>
        <v>0</v>
      </c>
      <c r="I2">
        <f>BDH("XFOR US Equity","BS_LT_BORROW","1993-06-18","2026-05-02","Per=Y","Days=T","Dir=V")</f>
        <v>0</v>
      </c>
      <c r="K2">
        <f>BDH("XFOR US Equity","BS_CASH_NEAR_CASH_ITEM","1993-06-18","2026-05-02","Per=Y","Days=T","Dir=V")</f>
        <v>0</v>
      </c>
      <c r="M2">
        <f>BDH("XFOR US Equity","BS_CUR_ASSET_REPORT","1993-06-18","2026-05-02","Per=Y","Days=T","Dir=V")</f>
        <v>0</v>
      </c>
      <c r="O2">
        <f>BDH("XFOR US Equity","BS_CUR_LIAB","1993-06-18","2026-05-02","Per=Y","Days=T","Dir=V")</f>
        <v>0</v>
      </c>
      <c r="Q2">
        <f>BDH("XFOR US Equity","BS_SHAREHOLDER_EQY_ENDING_PERIOD","1993-06-18","2026-05-02","Per=Y","Days=T","Dir=V")</f>
        <v>0</v>
      </c>
      <c r="S2">
        <f>BDH("XFOR US Equity","BS_ACCT_NOTE_RCV","1993-06-18","2026-05-02","Per=Y","Days=T","Dir=V")</f>
        <v>0</v>
      </c>
      <c r="U2">
        <f>BDH("XFOR US Equity","BS_INVENTORIES","1993-06-18","2026-05-02","Per=Y","Days=T","Dir=V")</f>
        <v>0</v>
      </c>
      <c r="W2">
        <f>BDH("XFOR US Equity","WORKING_CAPITAL","1993-06-18","2026-05-02","Per=Y","Days=T","Dir=V")</f>
        <v>0</v>
      </c>
      <c r="Y2">
        <f>BDH("XFOR US Equity","SALES_REV_TURN","1993-06-18","2026-05-02","Per=Y","Days=T","Dir=V")</f>
        <v>0</v>
      </c>
      <c r="AA2">
        <f>BDH("XFOR US Equity","EBIT","1993-06-18","2026-05-02","Per=Y","Days=T","Dir=V")</f>
        <v>0</v>
      </c>
      <c r="AC2">
        <f>BDH("XFOR US Equity","EBITDA","1993-06-18","2026-05-02","Per=Y","Days=T","Dir=V")</f>
        <v>0</v>
      </c>
      <c r="AE2">
        <f>BDH("XFOR US Equity","NET_INCOME","1993-06-18","2026-05-02","Per=Y","Days=T","Dir=V")</f>
        <v>0</v>
      </c>
      <c r="AG2">
        <f>BDH("XFOR US Equity","IS_INT_EXPENSE","1993-06-18","2026-05-02","Per=Y","Days=T","Dir=V")</f>
        <v>0</v>
      </c>
      <c r="AI2">
        <f>BDH("XFOR US Equity","IS_DEPR_EXP","1993-06-18","2026-05-02","Per=Y","Days=T","Dir=V")</f>
        <v>0</v>
      </c>
      <c r="AK2">
        <f>BDH("XFOR US Equity","CF_CASH_FROM_OPER","1993-06-18","2026-05-02","Per=Y","Days=T","Dir=V")</f>
        <v>0</v>
      </c>
      <c r="AM2">
        <f>BDH("XFOR US Equity","CAPITAL_EXPEND","1993-06-18","2026-05-02","Per=Y","Days=T","Dir=V")</f>
        <v>0</v>
      </c>
      <c r="AO2">
        <f>BDH("XFOR US Equity","CF_FREE_CASH_FLOW","1993-06-18","2026-05-02","Per=Y","Days=T","Dir=V")</f>
        <v>0</v>
      </c>
      <c r="AQ2">
        <f>BDH("XFOR US Equity","PX_LAST","1993-06-18","2026-05-02","Per=M","Days=T","Dir=V")</f>
        <v>0</v>
      </c>
      <c r="AS2">
        <f>BDH("XFOR US Equity","CUR_MKT_CAP","1993-06-18","2026-05-02","Per=M","Days=T","Dir=V")</f>
        <v>0</v>
      </c>
      <c r="AU2">
        <f>BDH("XFOR US Equity","EQY_SH_OUT","1993-06-18","2026-05-02","Per=M","Days=T","Dir=V")</f>
        <v>0</v>
      </c>
      <c r="AW2">
        <f>BDH("XFOR US Equity","PX_VOLUME","1993-06-18","2026-05-02","Per=M","Days=T","Dir=V")</f>
        <v>0</v>
      </c>
      <c r="AY2">
        <f>BDH("XFOR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BDH("XGN US Equity","BS_TOT_ASSET","1993-06-18","2026-05-02","Per=Y","Days=T","Dir=V")</f>
        <v>0</v>
      </c>
      <c r="C2">
        <f>BDH("XGN US Equity","BS_TOT_LIAB2","1993-06-18","2026-05-02","Per=Y","Days=T","Dir=V")</f>
        <v>0</v>
      </c>
      <c r="E2">
        <f>BDH("XGN US Equity","SHORT_AND_LONG_TERM_DEBT","1993-06-18","2026-05-02","Per=Y","Days=T","Dir=V")</f>
        <v>0</v>
      </c>
      <c r="G2">
        <f>BDH("XGN US Equity","BS_ST_BORROW","1993-06-18","2026-05-02","Per=Y","Days=T","Dir=V")</f>
        <v>0</v>
      </c>
      <c r="I2">
        <f>BDH("XGN US Equity","BS_LT_BORROW","1993-06-18","2026-05-02","Per=Y","Days=T","Dir=V")</f>
        <v>0</v>
      </c>
      <c r="K2">
        <f>BDH("XGN US Equity","BS_CASH_NEAR_CASH_ITEM","1993-06-18","2026-05-02","Per=Y","Days=T","Dir=V")</f>
        <v>0</v>
      </c>
      <c r="M2">
        <f>BDH("XGN US Equity","BS_CUR_ASSET_REPORT","1993-06-18","2026-05-02","Per=Y","Days=T","Dir=V")</f>
        <v>0</v>
      </c>
      <c r="O2">
        <f>BDH("XGN US Equity","BS_CUR_LIAB","1993-06-18","2026-05-02","Per=Y","Days=T","Dir=V")</f>
        <v>0</v>
      </c>
      <c r="Q2">
        <f>BDH("XGN US Equity","BS_SHAREHOLDER_EQY_ENDING_PERIOD","1993-06-18","2026-05-02","Per=Y","Days=T","Dir=V")</f>
        <v>0</v>
      </c>
      <c r="S2">
        <f>BDH("XGN US Equity","BS_ACCT_NOTE_RCV","1993-06-18","2026-05-02","Per=Y","Days=T","Dir=V")</f>
        <v>0</v>
      </c>
      <c r="U2">
        <f>BDH("XGN US Equity","BS_INVENTORIES","1993-06-18","2026-05-02","Per=Y","Days=T","Dir=V")</f>
        <v>0</v>
      </c>
      <c r="W2">
        <f>BDH("XGN US Equity","WORKING_CAPITAL","1993-06-18","2026-05-02","Per=Y","Days=T","Dir=V")</f>
        <v>0</v>
      </c>
      <c r="Y2">
        <f>BDH("XGN US Equity","SALES_REV_TURN","1993-06-18","2026-05-02","Per=Y","Days=T","Dir=V")</f>
        <v>0</v>
      </c>
      <c r="AA2">
        <f>BDH("XGN US Equity","EBIT","1993-06-18","2026-05-02","Per=Y","Days=T","Dir=V")</f>
        <v>0</v>
      </c>
      <c r="AC2">
        <f>BDH("XGN US Equity","EBITDA","1993-06-18","2026-05-02","Per=Y","Days=T","Dir=V")</f>
        <v>0</v>
      </c>
      <c r="AE2">
        <f>BDH("XGN US Equity","NET_INCOME","1993-06-18","2026-05-02","Per=Y","Days=T","Dir=V")</f>
        <v>0</v>
      </c>
      <c r="AG2">
        <f>BDH("XGN US Equity","IS_INT_EXPENSE","1993-06-18","2026-05-02","Per=Y","Days=T","Dir=V")</f>
        <v>0</v>
      </c>
      <c r="AI2">
        <f>BDH("XGN US Equity","IS_DEPR_EXP","1993-06-18","2026-05-02","Per=Y","Days=T","Dir=V")</f>
        <v>0</v>
      </c>
      <c r="AK2">
        <f>BDH("XGN US Equity","CF_CASH_FROM_OPER","1993-06-18","2026-05-02","Per=Y","Days=T","Dir=V")</f>
        <v>0</v>
      </c>
      <c r="AM2">
        <f>BDH("XGN US Equity","CAPITAL_EXPEND","1993-06-18","2026-05-02","Per=Y","Days=T","Dir=V")</f>
        <v>0</v>
      </c>
      <c r="AO2">
        <f>BDH("XGN US Equity","CF_FREE_CASH_FLOW","1993-06-18","2026-05-02","Per=Y","Days=T","Dir=V")</f>
        <v>0</v>
      </c>
      <c r="AQ2">
        <f>BDH("XGN US Equity","PX_LAST","1993-06-18","2026-05-02","Per=M","Days=T","Dir=V")</f>
        <v>0</v>
      </c>
      <c r="AS2">
        <f>BDH("XGN US Equity","CUR_MKT_CAP","1993-06-18","2026-05-02","Per=M","Days=T","Dir=V")</f>
        <v>0</v>
      </c>
      <c r="AU2">
        <f>BDH("XGN US Equity","EQY_SH_OUT","1993-06-18","2026-05-02","Per=M","Days=T","Dir=V")</f>
        <v>0</v>
      </c>
      <c r="AW2">
        <f>BDH("XGN US Equity","PX_VOLUME","1993-06-18","2026-05-02","Per=M","Days=T","Dir=V")</f>
        <v>0</v>
      </c>
      <c r="AY2">
        <f>BDH("XGN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BDH("XHLD US Equity","BS_TOT_ASSET","1993-06-18","2026-05-02","Per=Y","Days=T","Dir=V")</f>
        <v>0</v>
      </c>
      <c r="C2">
        <f>BDH("XHLD US Equity","BS_TOT_LIAB2","1993-06-18","2026-05-02","Per=Y","Days=T","Dir=V")</f>
        <v>0</v>
      </c>
      <c r="E2">
        <f>BDH("XHLD US Equity","SHORT_AND_LONG_TERM_DEBT","1993-06-18","2026-05-02","Per=Y","Days=T","Dir=V")</f>
        <v>0</v>
      </c>
      <c r="G2">
        <f>BDH("XHLD US Equity","BS_ST_BORROW","1993-06-18","2026-05-02","Per=Y","Days=T","Dir=V")</f>
        <v>0</v>
      </c>
      <c r="I2">
        <f>BDH("XHLD US Equity","BS_LT_BORROW","1993-06-18","2026-05-02","Per=Y","Days=T","Dir=V")</f>
        <v>0</v>
      </c>
      <c r="K2">
        <f>BDH("XHLD US Equity","BS_CASH_NEAR_CASH_ITEM","1993-06-18","2026-05-02","Per=Y","Days=T","Dir=V")</f>
        <v>0</v>
      </c>
      <c r="M2">
        <f>BDH("XHLD US Equity","BS_CUR_ASSET_REPORT","1993-06-18","2026-05-02","Per=Y","Days=T","Dir=V")</f>
        <v>0</v>
      </c>
      <c r="O2">
        <f>BDH("XHLD US Equity","BS_CUR_LIAB","1993-06-18","2026-05-02","Per=Y","Days=T","Dir=V")</f>
        <v>0</v>
      </c>
      <c r="Q2">
        <f>BDH("XHLD US Equity","BS_SHAREHOLDER_EQY_ENDING_PERIOD","1993-06-18","2026-05-02","Per=Y","Days=T","Dir=V")</f>
        <v>0</v>
      </c>
      <c r="S2">
        <f>BDH("XHLD US Equity","BS_ACCT_NOTE_RCV","1993-06-18","2026-05-02","Per=Y","Days=T","Dir=V")</f>
        <v>0</v>
      </c>
      <c r="U2">
        <f>BDH("XHLD US Equity","BS_INVENTORIES","1993-06-18","2026-05-02","Per=Y","Days=T","Dir=V")</f>
        <v>0</v>
      </c>
      <c r="W2">
        <f>BDH("XHLD US Equity","WORKING_CAPITAL","1993-06-18","2026-05-02","Per=Y","Days=T","Dir=V")</f>
        <v>0</v>
      </c>
      <c r="Y2">
        <f>BDH("XHLD US Equity","SALES_REV_TURN","1993-06-18","2026-05-02","Per=Y","Days=T","Dir=V")</f>
        <v>0</v>
      </c>
      <c r="AA2">
        <f>BDH("XHLD US Equity","EBIT","1993-06-18","2026-05-02","Per=Y","Days=T","Dir=V")</f>
        <v>0</v>
      </c>
      <c r="AC2">
        <f>BDH("XHLD US Equity","EBITDA","1993-06-18","2026-05-02","Per=Y","Days=T","Dir=V")</f>
        <v>0</v>
      </c>
      <c r="AE2">
        <f>BDH("XHLD US Equity","NET_INCOME","1993-06-18","2026-05-02","Per=Y","Days=T","Dir=V")</f>
        <v>0</v>
      </c>
      <c r="AG2">
        <f>BDH("XHLD US Equity","IS_INT_EXPENSE","1993-06-18","2026-05-02","Per=Y","Days=T","Dir=V")</f>
        <v>0</v>
      </c>
      <c r="AI2">
        <f>BDH("XHLD US Equity","IS_DEPR_EXP","1993-06-18","2026-05-02","Per=Y","Days=T","Dir=V")</f>
        <v>0</v>
      </c>
      <c r="AK2">
        <f>BDH("XHLD US Equity","CF_CASH_FROM_OPER","1993-06-18","2026-05-02","Per=Y","Days=T","Dir=V")</f>
        <v>0</v>
      </c>
      <c r="AM2">
        <f>BDH("XHLD US Equity","CAPITAL_EXPEND","1993-06-18","2026-05-02","Per=Y","Days=T","Dir=V")</f>
        <v>0</v>
      </c>
      <c r="AO2">
        <f>BDH("XHLD US Equity","CF_FREE_CASH_FLOW","1993-06-18","2026-05-02","Per=Y","Days=T","Dir=V")</f>
        <v>0</v>
      </c>
      <c r="AQ2">
        <f>BDH("XHLD US Equity","PX_LAST","1993-06-18","2026-05-02","Per=M","Days=T","Dir=V")</f>
        <v>0</v>
      </c>
      <c r="AS2">
        <f>BDH("XHLD US Equity","CUR_MKT_CAP","1993-06-18","2026-05-02","Per=M","Days=T","Dir=V")</f>
        <v>0</v>
      </c>
      <c r="AU2">
        <f>BDH("XHLD US Equity","EQY_SH_OUT","1993-06-18","2026-05-02","Per=M","Days=T","Dir=V")</f>
        <v>0</v>
      </c>
      <c r="AW2">
        <f>BDH("XHLD US Equity","PX_VOLUME","1993-06-18","2026-05-02","Per=M","Days=T","Dir=V")</f>
        <v>0</v>
      </c>
      <c r="AY2">
        <f>BDH("XHLD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BDH("XHR US Equity","BS_TOT_ASSET","1993-06-18","2026-05-02","Per=Y","Days=T","Dir=V")</f>
        <v>0</v>
      </c>
      <c r="C2">
        <f>BDH("XHR US Equity","BS_TOT_LIAB2","1993-06-18","2026-05-02","Per=Y","Days=T","Dir=V")</f>
        <v>0</v>
      </c>
      <c r="E2">
        <f>BDH("XHR US Equity","SHORT_AND_LONG_TERM_DEBT","1993-06-18","2026-05-02","Per=Y","Days=T","Dir=V")</f>
        <v>0</v>
      </c>
      <c r="G2">
        <f>BDH("XHR US Equity","BS_ST_BORROW","1993-06-18","2026-05-02","Per=Y","Days=T","Dir=V")</f>
        <v>0</v>
      </c>
      <c r="I2">
        <f>BDH("XHR US Equity","BS_LT_BORROW","1993-06-18","2026-05-02","Per=Y","Days=T","Dir=V")</f>
        <v>0</v>
      </c>
      <c r="K2">
        <f>BDH("XHR US Equity","BS_CASH_NEAR_CASH_ITEM","1993-06-18","2026-05-02","Per=Y","Days=T","Dir=V")</f>
        <v>0</v>
      </c>
      <c r="M2">
        <f>BDH("XHR US Equity","BS_CUR_ASSET_REPORT","1993-06-18","2026-05-02","Per=Y","Days=T","Dir=V")</f>
        <v>0</v>
      </c>
      <c r="O2">
        <f>BDH("XHR US Equity","BS_CUR_LIAB","1993-06-18","2026-05-02","Per=Y","Days=T","Dir=V")</f>
        <v>0</v>
      </c>
      <c r="Q2">
        <f>BDH("XHR US Equity","BS_SHAREHOLDER_EQY_ENDING_PERIOD","1993-06-18","2026-05-02","Per=Y","Days=T","Dir=V")</f>
        <v>0</v>
      </c>
      <c r="S2">
        <f>BDH("XHR US Equity","BS_ACCT_NOTE_RCV","1993-06-18","2026-05-02","Per=Y","Days=T","Dir=V")</f>
        <v>0</v>
      </c>
      <c r="U2">
        <f>BDH("XHR US Equity","BS_INVENTORIES","1993-06-18","2026-05-02","Per=Y","Days=T","Dir=V")</f>
        <v>0</v>
      </c>
      <c r="W2">
        <f>BDH("XHR US Equity","WORKING_CAPITAL","1993-06-18","2026-05-02","Per=Y","Days=T","Dir=V")</f>
        <v>0</v>
      </c>
      <c r="Y2">
        <f>BDH("XHR US Equity","SALES_REV_TURN","1993-06-18","2026-05-02","Per=Y","Days=T","Dir=V")</f>
        <v>0</v>
      </c>
      <c r="AA2">
        <f>BDH("XHR US Equity","EBIT","1993-06-18","2026-05-02","Per=Y","Days=T","Dir=V")</f>
        <v>0</v>
      </c>
      <c r="AC2">
        <f>BDH("XHR US Equity","EBITDA","1993-06-18","2026-05-02","Per=Y","Days=T","Dir=V")</f>
        <v>0</v>
      </c>
      <c r="AE2">
        <f>BDH("XHR US Equity","NET_INCOME","1993-06-18","2026-05-02","Per=Y","Days=T","Dir=V")</f>
        <v>0</v>
      </c>
      <c r="AG2">
        <f>BDH("XHR US Equity","IS_INT_EXPENSE","1993-06-18","2026-05-02","Per=Y","Days=T","Dir=V")</f>
        <v>0</v>
      </c>
      <c r="AI2">
        <f>BDH("XHR US Equity","IS_DEPR_EXP","1993-06-18","2026-05-02","Per=Y","Days=T","Dir=V")</f>
        <v>0</v>
      </c>
      <c r="AK2">
        <f>BDH("XHR US Equity","CF_CASH_FROM_OPER","1993-06-18","2026-05-02","Per=Y","Days=T","Dir=V")</f>
        <v>0</v>
      </c>
      <c r="AM2">
        <f>BDH("XHR US Equity","CAPITAL_EXPEND","1993-06-18","2026-05-02","Per=Y","Days=T","Dir=V")</f>
        <v>0</v>
      </c>
      <c r="AO2">
        <f>BDH("XHR US Equity","CF_FREE_CASH_FLOW","1993-06-18","2026-05-02","Per=Y","Days=T","Dir=V")</f>
        <v>0</v>
      </c>
      <c r="AQ2">
        <f>BDH("XHR US Equity","PX_LAST","1993-06-18","2026-05-02","Per=M","Days=T","Dir=V")</f>
        <v>0</v>
      </c>
      <c r="AS2">
        <f>BDH("XHR US Equity","CUR_MKT_CAP","1993-06-18","2026-05-02","Per=M","Days=T","Dir=V")</f>
        <v>0</v>
      </c>
      <c r="AU2">
        <f>BDH("XHR US Equity","EQY_SH_OUT","1993-06-18","2026-05-02","Per=M","Days=T","Dir=V")</f>
        <v>0</v>
      </c>
      <c r="AW2">
        <f>BDH("XHR US Equity","PX_VOLUME","1993-06-18","2026-05-02","Per=M","Days=T","Dir=V")</f>
        <v>0</v>
      </c>
      <c r="AY2">
        <f>BDH("XHR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BDH("XIFR US Equity","BS_TOT_ASSET","1993-06-18","2026-05-02","Per=Y","Days=T","Dir=V")</f>
        <v>0</v>
      </c>
      <c r="C2">
        <f>BDH("XIFR US Equity","BS_TOT_LIAB2","1993-06-18","2026-05-02","Per=Y","Days=T","Dir=V")</f>
        <v>0</v>
      </c>
      <c r="E2">
        <f>BDH("XIFR US Equity","SHORT_AND_LONG_TERM_DEBT","1993-06-18","2026-05-02","Per=Y","Days=T","Dir=V")</f>
        <v>0</v>
      </c>
      <c r="G2">
        <f>BDH("XIFR US Equity","BS_ST_BORROW","1993-06-18","2026-05-02","Per=Y","Days=T","Dir=V")</f>
        <v>0</v>
      </c>
      <c r="I2">
        <f>BDH("XIFR US Equity","BS_LT_BORROW","1993-06-18","2026-05-02","Per=Y","Days=T","Dir=V")</f>
        <v>0</v>
      </c>
      <c r="K2">
        <f>BDH("XIFR US Equity","BS_CASH_NEAR_CASH_ITEM","1993-06-18","2026-05-02","Per=Y","Days=T","Dir=V")</f>
        <v>0</v>
      </c>
      <c r="M2">
        <f>BDH("XIFR US Equity","BS_CUR_ASSET_REPORT","1993-06-18","2026-05-02","Per=Y","Days=T","Dir=V")</f>
        <v>0</v>
      </c>
      <c r="O2">
        <f>BDH("XIFR US Equity","BS_CUR_LIAB","1993-06-18","2026-05-02","Per=Y","Days=T","Dir=V")</f>
        <v>0</v>
      </c>
      <c r="Q2">
        <f>BDH("XIFR US Equity","BS_SHAREHOLDER_EQY_ENDING_PERIOD","1993-06-18","2026-05-02","Per=Y","Days=T","Dir=V")</f>
        <v>0</v>
      </c>
      <c r="S2">
        <f>BDH("XIFR US Equity","BS_ACCT_NOTE_RCV","1993-06-18","2026-05-02","Per=Y","Days=T","Dir=V")</f>
        <v>0</v>
      </c>
      <c r="U2">
        <f>BDH("XIFR US Equity","BS_INVENTORIES","1993-06-18","2026-05-02","Per=Y","Days=T","Dir=V")</f>
        <v>0</v>
      </c>
      <c r="W2">
        <f>BDH("XIFR US Equity","WORKING_CAPITAL","1993-06-18","2026-05-02","Per=Y","Days=T","Dir=V")</f>
        <v>0</v>
      </c>
      <c r="Y2">
        <f>BDH("XIFR US Equity","SALES_REV_TURN","1993-06-18","2026-05-02","Per=Y","Days=T","Dir=V")</f>
        <v>0</v>
      </c>
      <c r="AA2">
        <f>BDH("XIFR US Equity","EBIT","1993-06-18","2026-05-02","Per=Y","Days=T","Dir=V")</f>
        <v>0</v>
      </c>
      <c r="AC2">
        <f>BDH("XIFR US Equity","EBITDA","1993-06-18","2026-05-02","Per=Y","Days=T","Dir=V")</f>
        <v>0</v>
      </c>
      <c r="AE2">
        <f>BDH("XIFR US Equity","NET_INCOME","1993-06-18","2026-05-02","Per=Y","Days=T","Dir=V")</f>
        <v>0</v>
      </c>
      <c r="AG2">
        <f>BDH("XIFR US Equity","IS_INT_EXPENSE","1993-06-18","2026-05-02","Per=Y","Days=T","Dir=V")</f>
        <v>0</v>
      </c>
      <c r="AI2">
        <f>BDH("XIFR US Equity","IS_DEPR_EXP","1993-06-18","2026-05-02","Per=Y","Days=T","Dir=V")</f>
        <v>0</v>
      </c>
      <c r="AK2">
        <f>BDH("XIFR US Equity","CF_CASH_FROM_OPER","1993-06-18","2026-05-02","Per=Y","Days=T","Dir=V")</f>
        <v>0</v>
      </c>
      <c r="AM2">
        <f>BDH("XIFR US Equity","CAPITAL_EXPEND","1993-06-18","2026-05-02","Per=Y","Days=T","Dir=V")</f>
        <v>0</v>
      </c>
      <c r="AO2">
        <f>BDH("XIFR US Equity","CF_FREE_CASH_FLOW","1993-06-18","2026-05-02","Per=Y","Days=T","Dir=V")</f>
        <v>0</v>
      </c>
      <c r="AQ2">
        <f>BDH("XIFR US Equity","PX_LAST","1993-06-18","2026-05-02","Per=M","Days=T","Dir=V")</f>
        <v>0</v>
      </c>
      <c r="AS2">
        <f>BDH("XIFR US Equity","CUR_MKT_CAP","1993-06-18","2026-05-02","Per=M","Days=T","Dir=V")</f>
        <v>0</v>
      </c>
      <c r="AU2">
        <f>BDH("XIFR US Equity","EQY_SH_OUT","1993-06-18","2026-05-02","Per=M","Days=T","Dir=V")</f>
        <v>0</v>
      </c>
      <c r="AW2">
        <f>BDH("XIFR US Equity","PX_VOLUME","1993-06-18","2026-05-02","Per=M","Days=T","Dir=V")</f>
        <v>0</v>
      </c>
      <c r="AY2">
        <f>BDH("XIFR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BDH("XLAB US Equity","BS_TOT_ASSET","1993-06-18","2026-05-02","Per=Y","Days=T","Dir=V")</f>
        <v>0</v>
      </c>
      <c r="C2">
        <f>BDH("XLAB US Equity","BS_TOT_LIAB2","1993-06-18","2026-05-02","Per=Y","Days=T","Dir=V")</f>
        <v>0</v>
      </c>
      <c r="E2">
        <f>BDH("XLAB US Equity","SHORT_AND_LONG_TERM_DEBT","1993-06-18","2026-05-02","Per=Y","Days=T","Dir=V")</f>
        <v>0</v>
      </c>
      <c r="G2">
        <f>BDH("XLAB US Equity","BS_ST_BORROW","1993-06-18","2026-05-02","Per=Y","Days=T","Dir=V")</f>
        <v>0</v>
      </c>
      <c r="I2">
        <f>BDH("XLAB US Equity","BS_LT_BORROW","1993-06-18","2026-05-02","Per=Y","Days=T","Dir=V")</f>
        <v>0</v>
      </c>
      <c r="K2">
        <f>BDH("XLAB US Equity","BS_CASH_NEAR_CASH_ITEM","1993-06-18","2026-05-02","Per=Y","Days=T","Dir=V")</f>
        <v>0</v>
      </c>
      <c r="M2">
        <f>BDH("XLAB US Equity","BS_CUR_ASSET_REPORT","1993-06-18","2026-05-02","Per=Y","Days=T","Dir=V")</f>
        <v>0</v>
      </c>
      <c r="O2">
        <f>BDH("XLAB US Equity","BS_CUR_LIAB","1993-06-18","2026-05-02","Per=Y","Days=T","Dir=V")</f>
        <v>0</v>
      </c>
      <c r="Q2">
        <f>BDH("XLAB US Equity","BS_SHAREHOLDER_EQY_ENDING_PERIOD","1993-06-18","2026-05-02","Per=Y","Days=T","Dir=V")</f>
        <v>0</v>
      </c>
      <c r="S2">
        <f>BDH("XLAB US Equity","BS_ACCT_NOTE_RCV","1993-06-18","2026-05-02","Per=Y","Days=T","Dir=V")</f>
        <v>0</v>
      </c>
      <c r="U2">
        <f>BDH("XLAB US Equity","BS_INVENTORIES","1993-06-18","2026-05-02","Per=Y","Days=T","Dir=V")</f>
        <v>0</v>
      </c>
      <c r="W2">
        <f>BDH("XLAB US Equity","WORKING_CAPITAL","1993-06-18","2026-05-02","Per=Y","Days=T","Dir=V")</f>
        <v>0</v>
      </c>
      <c r="Y2">
        <f>BDH("XLAB US Equity","SALES_REV_TURN","1993-06-18","2026-05-02","Per=Y","Days=T","Dir=V")</f>
        <v>0</v>
      </c>
      <c r="AA2">
        <f>BDH("XLAB US Equity","EBIT","1993-06-18","2026-05-02","Per=Y","Days=T","Dir=V")</f>
        <v>0</v>
      </c>
      <c r="AC2">
        <f>BDH("XLAB US Equity","EBITDA","1993-06-18","2026-05-02","Per=Y","Days=T","Dir=V")</f>
        <v>0</v>
      </c>
      <c r="AE2">
        <f>BDH("XLAB US Equity","NET_INCOME","1993-06-18","2026-05-02","Per=Y","Days=T","Dir=V")</f>
        <v>0</v>
      </c>
      <c r="AG2">
        <f>BDH("XLAB US Equity","IS_INT_EXPENSE","1993-06-18","2026-05-02","Per=Y","Days=T","Dir=V")</f>
        <v>0</v>
      </c>
      <c r="AI2">
        <f>BDH("XLAB US Equity","IS_DEPR_EXP","1993-06-18","2026-05-02","Per=Y","Days=T","Dir=V")</f>
        <v>0</v>
      </c>
      <c r="AK2">
        <f>BDH("XLAB US Equity","CF_CASH_FROM_OPER","1993-06-18","2026-05-02","Per=Y","Days=T","Dir=V")</f>
        <v>0</v>
      </c>
      <c r="AM2">
        <f>BDH("XLAB US Equity","CAPITAL_EXPEND","1993-06-18","2026-05-02","Per=Y","Days=T","Dir=V")</f>
        <v>0</v>
      </c>
      <c r="AO2">
        <f>BDH("XLAB US Equity","CF_FREE_CASH_FLOW","1993-06-18","2026-05-02","Per=Y","Days=T","Dir=V")</f>
        <v>0</v>
      </c>
      <c r="AQ2">
        <f>BDH("XLAB US Equity","PX_LAST","1993-06-18","2026-05-02","Per=M","Days=T","Dir=V")</f>
        <v>0</v>
      </c>
      <c r="AS2">
        <f>BDH("XLAB US Equity","CUR_MKT_CAP","1993-06-18","2026-05-02","Per=M","Days=T","Dir=V")</f>
        <v>0</v>
      </c>
      <c r="AU2">
        <f>BDH("XLAB US Equity","EQY_SH_OUT","1993-06-18","2026-05-02","Per=M","Days=T","Dir=V")</f>
        <v>0</v>
      </c>
      <c r="AW2">
        <f>BDH("XLAB US Equity","PX_VOLUME","1993-06-18","2026-05-02","Per=M","Days=T","Dir=V")</f>
        <v>0</v>
      </c>
      <c r="AY2">
        <f>BDH("XLAB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BDH("XLABW US Equity","BS_TOT_ASSET","1993-06-18","2026-05-02","Per=Y","Days=T","Dir=V")</f>
        <v>0</v>
      </c>
      <c r="C2">
        <f>BDH("XLABW US Equity","BS_TOT_LIAB2","1993-06-18","2026-05-02","Per=Y","Days=T","Dir=V")</f>
        <v>0</v>
      </c>
      <c r="E2">
        <f>BDH("XLABW US Equity","SHORT_AND_LONG_TERM_DEBT","1993-06-18","2026-05-02","Per=Y","Days=T","Dir=V")</f>
        <v>0</v>
      </c>
      <c r="G2">
        <f>BDH("XLABW US Equity","BS_ST_BORROW","1993-06-18","2026-05-02","Per=Y","Days=T","Dir=V")</f>
        <v>0</v>
      </c>
      <c r="I2">
        <f>BDH("XLABW US Equity","BS_LT_BORROW","1993-06-18","2026-05-02","Per=Y","Days=T","Dir=V")</f>
        <v>0</v>
      </c>
      <c r="K2">
        <f>BDH("XLABW US Equity","BS_CASH_NEAR_CASH_ITEM","1993-06-18","2026-05-02","Per=Y","Days=T","Dir=V")</f>
        <v>0</v>
      </c>
      <c r="M2">
        <f>BDH("XLABW US Equity","BS_CUR_ASSET_REPORT","1993-06-18","2026-05-02","Per=Y","Days=T","Dir=V")</f>
        <v>0</v>
      </c>
      <c r="O2">
        <f>BDH("XLABW US Equity","BS_CUR_LIAB","1993-06-18","2026-05-02","Per=Y","Days=T","Dir=V")</f>
        <v>0</v>
      </c>
      <c r="Q2">
        <f>BDH("XLABW US Equity","BS_SHAREHOLDER_EQY_ENDING_PERIOD","1993-06-18","2026-05-02","Per=Y","Days=T","Dir=V")</f>
        <v>0</v>
      </c>
      <c r="S2">
        <f>BDH("XLABW US Equity","BS_ACCT_NOTE_RCV","1993-06-18","2026-05-02","Per=Y","Days=T","Dir=V")</f>
        <v>0</v>
      </c>
      <c r="U2">
        <f>BDH("XLABW US Equity","BS_INVENTORIES","1993-06-18","2026-05-02","Per=Y","Days=T","Dir=V")</f>
        <v>0</v>
      </c>
      <c r="W2">
        <f>BDH("XLABW US Equity","WORKING_CAPITAL","1993-06-18","2026-05-02","Per=Y","Days=T","Dir=V")</f>
        <v>0</v>
      </c>
      <c r="Y2">
        <f>BDH("XLABW US Equity","SALES_REV_TURN","1993-06-18","2026-05-02","Per=Y","Days=T","Dir=V")</f>
        <v>0</v>
      </c>
      <c r="AA2">
        <f>BDH("XLABW US Equity","EBIT","1993-06-18","2026-05-02","Per=Y","Days=T","Dir=V")</f>
        <v>0</v>
      </c>
      <c r="AC2">
        <f>BDH("XLABW US Equity","EBITDA","1993-06-18","2026-05-02","Per=Y","Days=T","Dir=V")</f>
        <v>0</v>
      </c>
      <c r="AE2">
        <f>BDH("XLABW US Equity","NET_INCOME","1993-06-18","2026-05-02","Per=Y","Days=T","Dir=V")</f>
        <v>0</v>
      </c>
      <c r="AG2">
        <f>BDH("XLABW US Equity","IS_INT_EXPENSE","1993-06-18","2026-05-02","Per=Y","Days=T","Dir=V")</f>
        <v>0</v>
      </c>
      <c r="AI2">
        <f>BDH("XLABW US Equity","IS_DEPR_EXP","1993-06-18","2026-05-02","Per=Y","Days=T","Dir=V")</f>
        <v>0</v>
      </c>
      <c r="AK2">
        <f>BDH("XLABW US Equity","CF_CASH_FROM_OPER","1993-06-18","2026-05-02","Per=Y","Days=T","Dir=V")</f>
        <v>0</v>
      </c>
      <c r="AM2">
        <f>BDH("XLABW US Equity","CAPITAL_EXPEND","1993-06-18","2026-05-02","Per=Y","Days=T","Dir=V")</f>
        <v>0</v>
      </c>
      <c r="AO2">
        <f>BDH("XLABW US Equity","CF_FREE_CASH_FLOW","1993-06-18","2026-05-02","Per=Y","Days=T","Dir=V")</f>
        <v>0</v>
      </c>
      <c r="AQ2">
        <f>BDH("XLABW US Equity","PX_LAST","1993-06-18","2026-05-02","Per=M","Days=T","Dir=V")</f>
        <v>0</v>
      </c>
      <c r="AS2">
        <f>BDH("XLABW US Equity","CUR_MKT_CAP","1993-06-18","2026-05-02","Per=M","Days=T","Dir=V")</f>
        <v>0</v>
      </c>
      <c r="AU2">
        <f>BDH("XLABW US Equity","EQY_SH_OUT","1993-06-18","2026-05-02","Per=M","Days=T","Dir=V")</f>
        <v>0</v>
      </c>
      <c r="AW2">
        <f>BDH("XLABW US Equity","PX_VOLUME","1993-06-18","2026-05-02","Per=M","Days=T","Dir=V")</f>
        <v>0</v>
      </c>
      <c r="AY2">
        <f>BDH("XLABW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BDH("XLO US Equity","BS_TOT_ASSET","1993-06-18","2026-05-02","Per=Y","Days=T","Dir=V")</f>
        <v>0</v>
      </c>
      <c r="C2">
        <f>BDH("XLO US Equity","BS_TOT_LIAB2","1993-06-18","2026-05-02","Per=Y","Days=T","Dir=V")</f>
        <v>0</v>
      </c>
      <c r="E2">
        <f>BDH("XLO US Equity","SHORT_AND_LONG_TERM_DEBT","1993-06-18","2026-05-02","Per=Y","Days=T","Dir=V")</f>
        <v>0</v>
      </c>
      <c r="G2">
        <f>BDH("XLO US Equity","BS_ST_BORROW","1993-06-18","2026-05-02","Per=Y","Days=T","Dir=V")</f>
        <v>0</v>
      </c>
      <c r="I2">
        <f>BDH("XLO US Equity","BS_LT_BORROW","1993-06-18","2026-05-02","Per=Y","Days=T","Dir=V")</f>
        <v>0</v>
      </c>
      <c r="K2">
        <f>BDH("XLO US Equity","BS_CASH_NEAR_CASH_ITEM","1993-06-18","2026-05-02","Per=Y","Days=T","Dir=V")</f>
        <v>0</v>
      </c>
      <c r="M2">
        <f>BDH("XLO US Equity","BS_CUR_ASSET_REPORT","1993-06-18","2026-05-02","Per=Y","Days=T","Dir=V")</f>
        <v>0</v>
      </c>
      <c r="O2">
        <f>BDH("XLO US Equity","BS_CUR_LIAB","1993-06-18","2026-05-02","Per=Y","Days=T","Dir=V")</f>
        <v>0</v>
      </c>
      <c r="Q2">
        <f>BDH("XLO US Equity","BS_SHAREHOLDER_EQY_ENDING_PERIOD","1993-06-18","2026-05-02","Per=Y","Days=T","Dir=V")</f>
        <v>0</v>
      </c>
      <c r="S2">
        <f>BDH("XLO US Equity","BS_ACCT_NOTE_RCV","1993-06-18","2026-05-02","Per=Y","Days=T","Dir=V")</f>
        <v>0</v>
      </c>
      <c r="U2">
        <f>BDH("XLO US Equity","BS_INVENTORIES","1993-06-18","2026-05-02","Per=Y","Days=T","Dir=V")</f>
        <v>0</v>
      </c>
      <c r="W2">
        <f>BDH("XLO US Equity","WORKING_CAPITAL","1993-06-18","2026-05-02","Per=Y","Days=T","Dir=V")</f>
        <v>0</v>
      </c>
      <c r="Y2">
        <f>BDH("XLO US Equity","SALES_REV_TURN","1993-06-18","2026-05-02","Per=Y","Days=T","Dir=V")</f>
        <v>0</v>
      </c>
      <c r="AA2">
        <f>BDH("XLO US Equity","EBIT","1993-06-18","2026-05-02","Per=Y","Days=T","Dir=V")</f>
        <v>0</v>
      </c>
      <c r="AC2">
        <f>BDH("XLO US Equity","EBITDA","1993-06-18","2026-05-02","Per=Y","Days=T","Dir=V")</f>
        <v>0</v>
      </c>
      <c r="AE2">
        <f>BDH("XLO US Equity","NET_INCOME","1993-06-18","2026-05-02","Per=Y","Days=T","Dir=V")</f>
        <v>0</v>
      </c>
      <c r="AG2">
        <f>BDH("XLO US Equity","IS_INT_EXPENSE","1993-06-18","2026-05-02","Per=Y","Days=T","Dir=V")</f>
        <v>0</v>
      </c>
      <c r="AI2">
        <f>BDH("XLO US Equity","IS_DEPR_EXP","1993-06-18","2026-05-02","Per=Y","Days=T","Dir=V")</f>
        <v>0</v>
      </c>
      <c r="AK2">
        <f>BDH("XLO US Equity","CF_CASH_FROM_OPER","1993-06-18","2026-05-02","Per=Y","Days=T","Dir=V")</f>
        <v>0</v>
      </c>
      <c r="AM2">
        <f>BDH("XLO US Equity","CAPITAL_EXPEND","1993-06-18","2026-05-02","Per=Y","Days=T","Dir=V")</f>
        <v>0</v>
      </c>
      <c r="AO2">
        <f>BDH("XLO US Equity","CF_FREE_CASH_FLOW","1993-06-18","2026-05-02","Per=Y","Days=T","Dir=V")</f>
        <v>0</v>
      </c>
      <c r="AQ2">
        <f>BDH("XLO US Equity","PX_LAST","1993-06-18","2026-05-02","Per=M","Days=T","Dir=V")</f>
        <v>0</v>
      </c>
      <c r="AS2">
        <f>BDH("XLO US Equity","CUR_MKT_CAP","1993-06-18","2026-05-02","Per=M","Days=T","Dir=V")</f>
        <v>0</v>
      </c>
      <c r="AU2">
        <f>BDH("XLO US Equity","EQY_SH_OUT","1993-06-18","2026-05-02","Per=M","Days=T","Dir=V")</f>
        <v>0</v>
      </c>
      <c r="AW2">
        <f>BDH("XLO US Equity","PX_VOLUME","1993-06-18","2026-05-02","Per=M","Days=T","Dir=V")</f>
        <v>0</v>
      </c>
      <c r="AY2">
        <f>BDH("XLO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BDH("XMAX US Equity","BS_TOT_ASSET","1993-06-18","2026-05-02","Per=Y","Days=T","Dir=V")</f>
        <v>0</v>
      </c>
      <c r="C2">
        <f>BDH("XMAX US Equity","BS_TOT_LIAB2","1993-06-18","2026-05-02","Per=Y","Days=T","Dir=V")</f>
        <v>0</v>
      </c>
      <c r="E2">
        <f>BDH("XMAX US Equity","SHORT_AND_LONG_TERM_DEBT","1993-06-18","2026-05-02","Per=Y","Days=T","Dir=V")</f>
        <v>0</v>
      </c>
      <c r="G2">
        <f>BDH("XMAX US Equity","BS_ST_BORROW","1993-06-18","2026-05-02","Per=Y","Days=T","Dir=V")</f>
        <v>0</v>
      </c>
      <c r="I2">
        <f>BDH("XMAX US Equity","BS_LT_BORROW","1993-06-18","2026-05-02","Per=Y","Days=T","Dir=V")</f>
        <v>0</v>
      </c>
      <c r="K2">
        <f>BDH("XMAX US Equity","BS_CASH_NEAR_CASH_ITEM","1993-06-18","2026-05-02","Per=Y","Days=T","Dir=V")</f>
        <v>0</v>
      </c>
      <c r="M2">
        <f>BDH("XMAX US Equity","BS_CUR_ASSET_REPORT","1993-06-18","2026-05-02","Per=Y","Days=T","Dir=V")</f>
        <v>0</v>
      </c>
      <c r="O2">
        <f>BDH("XMAX US Equity","BS_CUR_LIAB","1993-06-18","2026-05-02","Per=Y","Days=T","Dir=V")</f>
        <v>0</v>
      </c>
      <c r="Q2">
        <f>BDH("XMAX US Equity","BS_SHAREHOLDER_EQY_ENDING_PERIOD","1993-06-18","2026-05-02","Per=Y","Days=T","Dir=V")</f>
        <v>0</v>
      </c>
      <c r="S2">
        <f>BDH("XMAX US Equity","BS_ACCT_NOTE_RCV","1993-06-18","2026-05-02","Per=Y","Days=T","Dir=V")</f>
        <v>0</v>
      </c>
      <c r="U2">
        <f>BDH("XMAX US Equity","BS_INVENTORIES","1993-06-18","2026-05-02","Per=Y","Days=T","Dir=V")</f>
        <v>0</v>
      </c>
      <c r="W2">
        <f>BDH("XMAX US Equity","WORKING_CAPITAL","1993-06-18","2026-05-02","Per=Y","Days=T","Dir=V")</f>
        <v>0</v>
      </c>
      <c r="Y2">
        <f>BDH("XMAX US Equity","SALES_REV_TURN","1993-06-18","2026-05-02","Per=Y","Days=T","Dir=V")</f>
        <v>0</v>
      </c>
      <c r="AA2">
        <f>BDH("XMAX US Equity","EBIT","1993-06-18","2026-05-02","Per=Y","Days=T","Dir=V")</f>
        <v>0</v>
      </c>
      <c r="AC2">
        <f>BDH("XMAX US Equity","EBITDA","1993-06-18","2026-05-02","Per=Y","Days=T","Dir=V")</f>
        <v>0</v>
      </c>
      <c r="AE2">
        <f>BDH("XMAX US Equity","NET_INCOME","1993-06-18","2026-05-02","Per=Y","Days=T","Dir=V")</f>
        <v>0</v>
      </c>
      <c r="AG2">
        <f>BDH("XMAX US Equity","IS_INT_EXPENSE","1993-06-18","2026-05-02","Per=Y","Days=T","Dir=V")</f>
        <v>0</v>
      </c>
      <c r="AI2">
        <f>BDH("XMAX US Equity","IS_DEPR_EXP","1993-06-18","2026-05-02","Per=Y","Days=T","Dir=V")</f>
        <v>0</v>
      </c>
      <c r="AK2">
        <f>BDH("XMAX US Equity","CF_CASH_FROM_OPER","1993-06-18","2026-05-02","Per=Y","Days=T","Dir=V")</f>
        <v>0</v>
      </c>
      <c r="AM2">
        <f>BDH("XMAX US Equity","CAPITAL_EXPEND","1993-06-18","2026-05-02","Per=Y","Days=T","Dir=V")</f>
        <v>0</v>
      </c>
      <c r="AO2">
        <f>BDH("XMAX US Equity","CF_FREE_CASH_FLOW","1993-06-18","2026-05-02","Per=Y","Days=T","Dir=V")</f>
        <v>0</v>
      </c>
      <c r="AQ2">
        <f>BDH("XMAX US Equity","PX_LAST","1993-06-18","2026-05-02","Per=M","Days=T","Dir=V")</f>
        <v>0</v>
      </c>
      <c r="AS2">
        <f>BDH("XMAX US Equity","CUR_MKT_CAP","1993-06-18","2026-05-02","Per=M","Days=T","Dir=V")</f>
        <v>0</v>
      </c>
      <c r="AU2">
        <f>BDH("XMAX US Equity","EQY_SH_OUT","1993-06-18","2026-05-02","Per=M","Days=T","Dir=V")</f>
        <v>0</v>
      </c>
      <c r="AW2">
        <f>BDH("XMAX US Equity","PX_VOLUME","1993-06-18","2026-05-02","Per=M","Days=T","Dir=V")</f>
        <v>0</v>
      </c>
      <c r="AY2">
        <f>BDH("XMAX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BDH("XMTR US Equity","BS_TOT_ASSET","1993-06-18","2026-05-02","Per=Y","Days=T","Dir=V")</f>
        <v>0</v>
      </c>
      <c r="C2">
        <f>BDH("XMTR US Equity","BS_TOT_LIAB2","1993-06-18","2026-05-02","Per=Y","Days=T","Dir=V")</f>
        <v>0</v>
      </c>
      <c r="E2">
        <f>BDH("XMTR US Equity","SHORT_AND_LONG_TERM_DEBT","1993-06-18","2026-05-02","Per=Y","Days=T","Dir=V")</f>
        <v>0</v>
      </c>
      <c r="G2">
        <f>BDH("XMTR US Equity","BS_ST_BORROW","1993-06-18","2026-05-02","Per=Y","Days=T","Dir=V")</f>
        <v>0</v>
      </c>
      <c r="I2">
        <f>BDH("XMTR US Equity","BS_LT_BORROW","1993-06-18","2026-05-02","Per=Y","Days=T","Dir=V")</f>
        <v>0</v>
      </c>
      <c r="K2">
        <f>BDH("XMTR US Equity","BS_CASH_NEAR_CASH_ITEM","1993-06-18","2026-05-02","Per=Y","Days=T","Dir=V")</f>
        <v>0</v>
      </c>
      <c r="M2">
        <f>BDH("XMTR US Equity","BS_CUR_ASSET_REPORT","1993-06-18","2026-05-02","Per=Y","Days=T","Dir=V")</f>
        <v>0</v>
      </c>
      <c r="O2">
        <f>BDH("XMTR US Equity","BS_CUR_LIAB","1993-06-18","2026-05-02","Per=Y","Days=T","Dir=V")</f>
        <v>0</v>
      </c>
      <c r="Q2">
        <f>BDH("XMTR US Equity","BS_SHAREHOLDER_EQY_ENDING_PERIOD","1993-06-18","2026-05-02","Per=Y","Days=T","Dir=V")</f>
        <v>0</v>
      </c>
      <c r="S2">
        <f>BDH("XMTR US Equity","BS_ACCT_NOTE_RCV","1993-06-18","2026-05-02","Per=Y","Days=T","Dir=V")</f>
        <v>0</v>
      </c>
      <c r="U2">
        <f>BDH("XMTR US Equity","BS_INVENTORIES","1993-06-18","2026-05-02","Per=Y","Days=T","Dir=V")</f>
        <v>0</v>
      </c>
      <c r="W2">
        <f>BDH("XMTR US Equity","WORKING_CAPITAL","1993-06-18","2026-05-02","Per=Y","Days=T","Dir=V")</f>
        <v>0</v>
      </c>
      <c r="Y2">
        <f>BDH("XMTR US Equity","SALES_REV_TURN","1993-06-18","2026-05-02","Per=Y","Days=T","Dir=V")</f>
        <v>0</v>
      </c>
      <c r="AA2">
        <f>BDH("XMTR US Equity","EBIT","1993-06-18","2026-05-02","Per=Y","Days=T","Dir=V")</f>
        <v>0</v>
      </c>
      <c r="AC2">
        <f>BDH("XMTR US Equity","EBITDA","1993-06-18","2026-05-02","Per=Y","Days=T","Dir=V")</f>
        <v>0</v>
      </c>
      <c r="AE2">
        <f>BDH("XMTR US Equity","NET_INCOME","1993-06-18","2026-05-02","Per=Y","Days=T","Dir=V")</f>
        <v>0</v>
      </c>
      <c r="AG2">
        <f>BDH("XMTR US Equity","IS_INT_EXPENSE","1993-06-18","2026-05-02","Per=Y","Days=T","Dir=V")</f>
        <v>0</v>
      </c>
      <c r="AI2">
        <f>BDH("XMTR US Equity","IS_DEPR_EXP","1993-06-18","2026-05-02","Per=Y","Days=T","Dir=V")</f>
        <v>0</v>
      </c>
      <c r="AK2">
        <f>BDH("XMTR US Equity","CF_CASH_FROM_OPER","1993-06-18","2026-05-02","Per=Y","Days=T","Dir=V")</f>
        <v>0</v>
      </c>
      <c r="AM2">
        <f>BDH("XMTR US Equity","CAPITAL_EXPEND","1993-06-18","2026-05-02","Per=Y","Days=T","Dir=V")</f>
        <v>0</v>
      </c>
      <c r="AO2">
        <f>BDH("XMTR US Equity","CF_FREE_CASH_FLOW","1993-06-18","2026-05-02","Per=Y","Days=T","Dir=V")</f>
        <v>0</v>
      </c>
      <c r="AQ2">
        <f>BDH("XMTR US Equity","PX_LAST","1993-06-18","2026-05-02","Per=M","Days=T","Dir=V")</f>
        <v>0</v>
      </c>
      <c r="AS2">
        <f>BDH("XMTR US Equity","CUR_MKT_CAP","1993-06-18","2026-05-02","Per=M","Days=T","Dir=V")</f>
        <v>0</v>
      </c>
      <c r="AU2">
        <f>BDH("XMTR US Equity","EQY_SH_OUT","1993-06-18","2026-05-02","Per=M","Days=T","Dir=V")</f>
        <v>0</v>
      </c>
      <c r="AW2">
        <f>BDH("XMTR US Equity","PX_VOLUME","1993-06-18","2026-05-02","Per=M","Days=T","Dir=V")</f>
        <v>0</v>
      </c>
      <c r="AY2">
        <f>BDH("XMTR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BDH("XNCR US Equity","BS_TOT_ASSET","1993-06-18","2026-05-02","Per=Y","Days=T","Dir=V")</f>
        <v>0</v>
      </c>
      <c r="C2">
        <f>BDH("XNCR US Equity","BS_TOT_LIAB2","1993-06-18","2026-05-02","Per=Y","Days=T","Dir=V")</f>
        <v>0</v>
      </c>
      <c r="E2">
        <f>BDH("XNCR US Equity","SHORT_AND_LONG_TERM_DEBT","1993-06-18","2026-05-02","Per=Y","Days=T","Dir=V")</f>
        <v>0</v>
      </c>
      <c r="G2">
        <f>BDH("XNCR US Equity","BS_ST_BORROW","1993-06-18","2026-05-02","Per=Y","Days=T","Dir=V")</f>
        <v>0</v>
      </c>
      <c r="I2">
        <f>BDH("XNCR US Equity","BS_LT_BORROW","1993-06-18","2026-05-02","Per=Y","Days=T","Dir=V")</f>
        <v>0</v>
      </c>
      <c r="K2">
        <f>BDH("XNCR US Equity","BS_CASH_NEAR_CASH_ITEM","1993-06-18","2026-05-02","Per=Y","Days=T","Dir=V")</f>
        <v>0</v>
      </c>
      <c r="M2">
        <f>BDH("XNCR US Equity","BS_CUR_ASSET_REPORT","1993-06-18","2026-05-02","Per=Y","Days=T","Dir=V")</f>
        <v>0</v>
      </c>
      <c r="O2">
        <f>BDH("XNCR US Equity","BS_CUR_LIAB","1993-06-18","2026-05-02","Per=Y","Days=T","Dir=V")</f>
        <v>0</v>
      </c>
      <c r="Q2">
        <f>BDH("XNCR US Equity","BS_SHAREHOLDER_EQY_ENDING_PERIOD","1993-06-18","2026-05-02","Per=Y","Days=T","Dir=V")</f>
        <v>0</v>
      </c>
      <c r="S2">
        <f>BDH("XNCR US Equity","BS_ACCT_NOTE_RCV","1993-06-18","2026-05-02","Per=Y","Days=T","Dir=V")</f>
        <v>0</v>
      </c>
      <c r="U2">
        <f>BDH("XNCR US Equity","BS_INVENTORIES","1993-06-18","2026-05-02","Per=Y","Days=T","Dir=V")</f>
        <v>0</v>
      </c>
      <c r="W2">
        <f>BDH("XNCR US Equity","WORKING_CAPITAL","1993-06-18","2026-05-02","Per=Y","Days=T","Dir=V")</f>
        <v>0</v>
      </c>
      <c r="Y2">
        <f>BDH("XNCR US Equity","SALES_REV_TURN","1993-06-18","2026-05-02","Per=Y","Days=T","Dir=V")</f>
        <v>0</v>
      </c>
      <c r="AA2">
        <f>BDH("XNCR US Equity","EBIT","1993-06-18","2026-05-02","Per=Y","Days=T","Dir=V")</f>
        <v>0</v>
      </c>
      <c r="AC2">
        <f>BDH("XNCR US Equity","EBITDA","1993-06-18","2026-05-02","Per=Y","Days=T","Dir=V")</f>
        <v>0</v>
      </c>
      <c r="AE2">
        <f>BDH("XNCR US Equity","NET_INCOME","1993-06-18","2026-05-02","Per=Y","Days=T","Dir=V")</f>
        <v>0</v>
      </c>
      <c r="AG2">
        <f>BDH("XNCR US Equity","IS_INT_EXPENSE","1993-06-18","2026-05-02","Per=Y","Days=T","Dir=V")</f>
        <v>0</v>
      </c>
      <c r="AI2">
        <f>BDH("XNCR US Equity","IS_DEPR_EXP","1993-06-18","2026-05-02","Per=Y","Days=T","Dir=V")</f>
        <v>0</v>
      </c>
      <c r="AK2">
        <f>BDH("XNCR US Equity","CF_CASH_FROM_OPER","1993-06-18","2026-05-02","Per=Y","Days=T","Dir=V")</f>
        <v>0</v>
      </c>
      <c r="AM2">
        <f>BDH("XNCR US Equity","CAPITAL_EXPEND","1993-06-18","2026-05-02","Per=Y","Days=T","Dir=V")</f>
        <v>0</v>
      </c>
      <c r="AO2">
        <f>BDH("XNCR US Equity","CF_FREE_CASH_FLOW","1993-06-18","2026-05-02","Per=Y","Days=T","Dir=V")</f>
        <v>0</v>
      </c>
      <c r="AQ2">
        <f>BDH("XNCR US Equity","PX_LAST","1993-06-18","2026-05-02","Per=M","Days=T","Dir=V")</f>
        <v>0</v>
      </c>
      <c r="AS2">
        <f>BDH("XNCR US Equity","CUR_MKT_CAP","1993-06-18","2026-05-02","Per=M","Days=T","Dir=V")</f>
        <v>0</v>
      </c>
      <c r="AU2">
        <f>BDH("XNCR US Equity","EQY_SH_OUT","1993-06-18","2026-05-02","Per=M","Days=T","Dir=V")</f>
        <v>0</v>
      </c>
      <c r="AW2">
        <f>BDH("XNCR US Equity","PX_VOLUME","1993-06-18","2026-05-02","Per=M","Days=T","Dir=V")</f>
        <v>0</v>
      </c>
      <c r="AY2">
        <f>BDH("XNCR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BDH("XOM US Equity","BS_TOT_ASSET","1993-06-18","2026-05-02","Per=Y","Days=T","Dir=V")</f>
        <v>0</v>
      </c>
      <c r="C2">
        <f>BDH("XOM US Equity","BS_TOT_LIAB2","1993-06-18","2026-05-02","Per=Y","Days=T","Dir=V")</f>
        <v>0</v>
      </c>
      <c r="E2">
        <f>BDH("XOM US Equity","SHORT_AND_LONG_TERM_DEBT","1993-06-18","2026-05-02","Per=Y","Days=T","Dir=V")</f>
        <v>0</v>
      </c>
      <c r="G2">
        <f>BDH("XOM US Equity","BS_ST_BORROW","1993-06-18","2026-05-02","Per=Y","Days=T","Dir=V")</f>
        <v>0</v>
      </c>
      <c r="I2">
        <f>BDH("XOM US Equity","BS_LT_BORROW","1993-06-18","2026-05-02","Per=Y","Days=T","Dir=V")</f>
        <v>0</v>
      </c>
      <c r="K2">
        <f>BDH("XOM US Equity","BS_CASH_NEAR_CASH_ITEM","1993-06-18","2026-05-02","Per=Y","Days=T","Dir=V")</f>
        <v>0</v>
      </c>
      <c r="M2">
        <f>BDH("XOM US Equity","BS_CUR_ASSET_REPORT","1993-06-18","2026-05-02","Per=Y","Days=T","Dir=V")</f>
        <v>0</v>
      </c>
      <c r="O2">
        <f>BDH("XOM US Equity","BS_CUR_LIAB","1993-06-18","2026-05-02","Per=Y","Days=T","Dir=V")</f>
        <v>0</v>
      </c>
      <c r="Q2">
        <f>BDH("XOM US Equity","BS_SHAREHOLDER_EQY_ENDING_PERIOD","1993-06-18","2026-05-02","Per=Y","Days=T","Dir=V")</f>
        <v>0</v>
      </c>
      <c r="S2">
        <f>BDH("XOM US Equity","BS_ACCT_NOTE_RCV","1993-06-18","2026-05-02","Per=Y","Days=T","Dir=V")</f>
        <v>0</v>
      </c>
      <c r="U2">
        <f>BDH("XOM US Equity","BS_INVENTORIES","1993-06-18","2026-05-02","Per=Y","Days=T","Dir=V")</f>
        <v>0</v>
      </c>
      <c r="W2">
        <f>BDH("XOM US Equity","WORKING_CAPITAL","1993-06-18","2026-05-02","Per=Y","Days=T","Dir=V")</f>
        <v>0</v>
      </c>
      <c r="Y2">
        <f>BDH("XOM US Equity","SALES_REV_TURN","1993-06-18","2026-05-02","Per=Y","Days=T","Dir=V")</f>
        <v>0</v>
      </c>
      <c r="AA2">
        <f>BDH("XOM US Equity","EBIT","1993-06-18","2026-05-02","Per=Y","Days=T","Dir=V")</f>
        <v>0</v>
      </c>
      <c r="AC2">
        <f>BDH("XOM US Equity","EBITDA","1993-06-18","2026-05-02","Per=Y","Days=T","Dir=V")</f>
        <v>0</v>
      </c>
      <c r="AE2">
        <f>BDH("XOM US Equity","NET_INCOME","1993-06-18","2026-05-02","Per=Y","Days=T","Dir=V")</f>
        <v>0</v>
      </c>
      <c r="AG2">
        <f>BDH("XOM US Equity","IS_INT_EXPENSE","1993-06-18","2026-05-02","Per=Y","Days=T","Dir=V")</f>
        <v>0</v>
      </c>
      <c r="AI2">
        <f>BDH("XOM US Equity","IS_DEPR_EXP","1993-06-18","2026-05-02","Per=Y","Days=T","Dir=V")</f>
        <v>0</v>
      </c>
      <c r="AK2">
        <f>BDH("XOM US Equity","CF_CASH_FROM_OPER","1993-06-18","2026-05-02","Per=Y","Days=T","Dir=V")</f>
        <v>0</v>
      </c>
      <c r="AM2">
        <f>BDH("XOM US Equity","CAPITAL_EXPEND","1993-06-18","2026-05-02","Per=Y","Days=T","Dir=V")</f>
        <v>0</v>
      </c>
      <c r="AO2">
        <f>BDH("XOM US Equity","CF_FREE_CASH_FLOW","1993-06-18","2026-05-02","Per=Y","Days=T","Dir=V")</f>
        <v>0</v>
      </c>
      <c r="AQ2">
        <f>BDH("XOM US Equity","PX_LAST","1993-06-18","2026-05-02","Per=M","Days=T","Dir=V")</f>
        <v>0</v>
      </c>
      <c r="AS2">
        <f>BDH("XOM US Equity","CUR_MKT_CAP","1993-06-18","2026-05-02","Per=M","Days=T","Dir=V")</f>
        <v>0</v>
      </c>
      <c r="AU2">
        <f>BDH("XOM US Equity","EQY_SH_OUT","1993-06-18","2026-05-02","Per=M","Days=T","Dir=V")</f>
        <v>0</v>
      </c>
      <c r="AW2">
        <f>BDH("XOM US Equity","PX_VOLUME","1993-06-18","2026-05-02","Per=M","Days=T","Dir=V")</f>
        <v>0</v>
      </c>
      <c r="AY2">
        <f>BDH("XOM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BDH("XOS US Equity","BS_TOT_ASSET","1993-06-18","2026-05-02","Per=Y","Days=T","Dir=V")</f>
        <v>0</v>
      </c>
      <c r="C2">
        <f>BDH("XOS US Equity","BS_TOT_LIAB2","1993-06-18","2026-05-02","Per=Y","Days=T","Dir=V")</f>
        <v>0</v>
      </c>
      <c r="E2">
        <f>BDH("XOS US Equity","SHORT_AND_LONG_TERM_DEBT","1993-06-18","2026-05-02","Per=Y","Days=T","Dir=V")</f>
        <v>0</v>
      </c>
      <c r="G2">
        <f>BDH("XOS US Equity","BS_ST_BORROW","1993-06-18","2026-05-02","Per=Y","Days=T","Dir=V")</f>
        <v>0</v>
      </c>
      <c r="I2">
        <f>BDH("XOS US Equity","BS_LT_BORROW","1993-06-18","2026-05-02","Per=Y","Days=T","Dir=V")</f>
        <v>0</v>
      </c>
      <c r="K2">
        <f>BDH("XOS US Equity","BS_CASH_NEAR_CASH_ITEM","1993-06-18","2026-05-02","Per=Y","Days=T","Dir=V")</f>
        <v>0</v>
      </c>
      <c r="M2">
        <f>BDH("XOS US Equity","BS_CUR_ASSET_REPORT","1993-06-18","2026-05-02","Per=Y","Days=T","Dir=V")</f>
        <v>0</v>
      </c>
      <c r="O2">
        <f>BDH("XOS US Equity","BS_CUR_LIAB","1993-06-18","2026-05-02","Per=Y","Days=T","Dir=V")</f>
        <v>0</v>
      </c>
      <c r="Q2">
        <f>BDH("XOS US Equity","BS_SHAREHOLDER_EQY_ENDING_PERIOD","1993-06-18","2026-05-02","Per=Y","Days=T","Dir=V")</f>
        <v>0</v>
      </c>
      <c r="S2">
        <f>BDH("XOS US Equity","BS_ACCT_NOTE_RCV","1993-06-18","2026-05-02","Per=Y","Days=T","Dir=V")</f>
        <v>0</v>
      </c>
      <c r="U2">
        <f>BDH("XOS US Equity","BS_INVENTORIES","1993-06-18","2026-05-02","Per=Y","Days=T","Dir=V")</f>
        <v>0</v>
      </c>
      <c r="W2">
        <f>BDH("XOS US Equity","WORKING_CAPITAL","1993-06-18","2026-05-02","Per=Y","Days=T","Dir=V")</f>
        <v>0</v>
      </c>
      <c r="Y2">
        <f>BDH("XOS US Equity","SALES_REV_TURN","1993-06-18","2026-05-02","Per=Y","Days=T","Dir=V")</f>
        <v>0</v>
      </c>
      <c r="AA2">
        <f>BDH("XOS US Equity","EBIT","1993-06-18","2026-05-02","Per=Y","Days=T","Dir=V")</f>
        <v>0</v>
      </c>
      <c r="AC2">
        <f>BDH("XOS US Equity","EBITDA","1993-06-18","2026-05-02","Per=Y","Days=T","Dir=V")</f>
        <v>0</v>
      </c>
      <c r="AE2">
        <f>BDH("XOS US Equity","NET_INCOME","1993-06-18","2026-05-02","Per=Y","Days=T","Dir=V")</f>
        <v>0</v>
      </c>
      <c r="AG2">
        <f>BDH("XOS US Equity","IS_INT_EXPENSE","1993-06-18","2026-05-02","Per=Y","Days=T","Dir=V")</f>
        <v>0</v>
      </c>
      <c r="AI2">
        <f>BDH("XOS US Equity","IS_DEPR_EXP","1993-06-18","2026-05-02","Per=Y","Days=T","Dir=V")</f>
        <v>0</v>
      </c>
      <c r="AK2">
        <f>BDH("XOS US Equity","CF_CASH_FROM_OPER","1993-06-18","2026-05-02","Per=Y","Days=T","Dir=V")</f>
        <v>0</v>
      </c>
      <c r="AM2">
        <f>BDH("XOS US Equity","CAPITAL_EXPEND","1993-06-18","2026-05-02","Per=Y","Days=T","Dir=V")</f>
        <v>0</v>
      </c>
      <c r="AO2">
        <f>BDH("XOS US Equity","CF_FREE_CASH_FLOW","1993-06-18","2026-05-02","Per=Y","Days=T","Dir=V")</f>
        <v>0</v>
      </c>
      <c r="AQ2">
        <f>BDH("XOS US Equity","PX_LAST","1993-06-18","2026-05-02","Per=M","Days=T","Dir=V")</f>
        <v>0</v>
      </c>
      <c r="AS2">
        <f>BDH("XOS US Equity","CUR_MKT_CAP","1993-06-18","2026-05-02","Per=M","Days=T","Dir=V")</f>
        <v>0</v>
      </c>
      <c r="AU2">
        <f>BDH("XOS US Equity","EQY_SH_OUT","1993-06-18","2026-05-02","Per=M","Days=T","Dir=V")</f>
        <v>0</v>
      </c>
      <c r="AW2">
        <f>BDH("XOS US Equity","PX_VOLUME","1993-06-18","2026-05-02","Per=M","Days=T","Dir=V")</f>
        <v>0</v>
      </c>
      <c r="AY2">
        <f>BDH("XOS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BDH("XPEL US Equity","BS_TOT_ASSET","1993-06-18","2026-05-02","Per=Y","Days=T","Dir=V")</f>
        <v>0</v>
      </c>
      <c r="C2">
        <f>BDH("XPEL US Equity","BS_TOT_LIAB2","1993-06-18","2026-05-02","Per=Y","Days=T","Dir=V")</f>
        <v>0</v>
      </c>
      <c r="E2">
        <f>BDH("XPEL US Equity","SHORT_AND_LONG_TERM_DEBT","1993-06-18","2026-05-02","Per=Y","Days=T","Dir=V")</f>
        <v>0</v>
      </c>
      <c r="G2">
        <f>BDH("XPEL US Equity","BS_ST_BORROW","1993-06-18","2026-05-02","Per=Y","Days=T","Dir=V")</f>
        <v>0</v>
      </c>
      <c r="I2">
        <f>BDH("XPEL US Equity","BS_LT_BORROW","1993-06-18","2026-05-02","Per=Y","Days=T","Dir=V")</f>
        <v>0</v>
      </c>
      <c r="K2">
        <f>BDH("XPEL US Equity","BS_CASH_NEAR_CASH_ITEM","1993-06-18","2026-05-02","Per=Y","Days=T","Dir=V")</f>
        <v>0</v>
      </c>
      <c r="M2">
        <f>BDH("XPEL US Equity","BS_CUR_ASSET_REPORT","1993-06-18","2026-05-02","Per=Y","Days=T","Dir=V")</f>
        <v>0</v>
      </c>
      <c r="O2">
        <f>BDH("XPEL US Equity","BS_CUR_LIAB","1993-06-18","2026-05-02","Per=Y","Days=T","Dir=V")</f>
        <v>0</v>
      </c>
      <c r="Q2">
        <f>BDH("XPEL US Equity","BS_SHAREHOLDER_EQY_ENDING_PERIOD","1993-06-18","2026-05-02","Per=Y","Days=T","Dir=V")</f>
        <v>0</v>
      </c>
      <c r="S2">
        <f>BDH("XPEL US Equity","BS_ACCT_NOTE_RCV","1993-06-18","2026-05-02","Per=Y","Days=T","Dir=V")</f>
        <v>0</v>
      </c>
      <c r="U2">
        <f>BDH("XPEL US Equity","BS_INVENTORIES","1993-06-18","2026-05-02","Per=Y","Days=T","Dir=V")</f>
        <v>0</v>
      </c>
      <c r="W2">
        <f>BDH("XPEL US Equity","WORKING_CAPITAL","1993-06-18","2026-05-02","Per=Y","Days=T","Dir=V")</f>
        <v>0</v>
      </c>
      <c r="Y2">
        <f>BDH("XPEL US Equity","SALES_REV_TURN","1993-06-18","2026-05-02","Per=Y","Days=T","Dir=V")</f>
        <v>0</v>
      </c>
      <c r="AA2">
        <f>BDH("XPEL US Equity","EBIT","1993-06-18","2026-05-02","Per=Y","Days=T","Dir=V")</f>
        <v>0</v>
      </c>
      <c r="AC2">
        <f>BDH("XPEL US Equity","EBITDA","1993-06-18","2026-05-02","Per=Y","Days=T","Dir=V")</f>
        <v>0</v>
      </c>
      <c r="AE2">
        <f>BDH("XPEL US Equity","NET_INCOME","1993-06-18","2026-05-02","Per=Y","Days=T","Dir=V")</f>
        <v>0</v>
      </c>
      <c r="AG2">
        <f>BDH("XPEL US Equity","IS_INT_EXPENSE","1993-06-18","2026-05-02","Per=Y","Days=T","Dir=V")</f>
        <v>0</v>
      </c>
      <c r="AI2">
        <f>BDH("XPEL US Equity","IS_DEPR_EXP","1993-06-18","2026-05-02","Per=Y","Days=T","Dir=V")</f>
        <v>0</v>
      </c>
      <c r="AK2">
        <f>BDH("XPEL US Equity","CF_CASH_FROM_OPER","1993-06-18","2026-05-02","Per=Y","Days=T","Dir=V")</f>
        <v>0</v>
      </c>
      <c r="AM2">
        <f>BDH("XPEL US Equity","CAPITAL_EXPEND","1993-06-18","2026-05-02","Per=Y","Days=T","Dir=V")</f>
        <v>0</v>
      </c>
      <c r="AO2">
        <f>BDH("XPEL US Equity","CF_FREE_CASH_FLOW","1993-06-18","2026-05-02","Per=Y","Days=T","Dir=V")</f>
        <v>0</v>
      </c>
      <c r="AQ2">
        <f>BDH("XPEL US Equity","PX_LAST","1993-06-18","2026-05-02","Per=M","Days=T","Dir=V")</f>
        <v>0</v>
      </c>
      <c r="AS2">
        <f>BDH("XPEL US Equity","CUR_MKT_CAP","1993-06-18","2026-05-02","Per=M","Days=T","Dir=V")</f>
        <v>0</v>
      </c>
      <c r="AU2">
        <f>BDH("XPEL US Equity","EQY_SH_OUT","1993-06-18","2026-05-02","Per=M","Days=T","Dir=V")</f>
        <v>0</v>
      </c>
      <c r="AW2">
        <f>BDH("XPEL US Equity","PX_VOLUME","1993-06-18","2026-05-02","Per=M","Days=T","Dir=V")</f>
        <v>0</v>
      </c>
      <c r="AY2">
        <f>BDH("XPEL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BDH("XPER US Equity","BS_TOT_ASSET","1993-06-18","2026-05-02","Per=Y","Days=T","Dir=V")</f>
        <v>0</v>
      </c>
      <c r="C2">
        <f>BDH("XPER US Equity","BS_TOT_LIAB2","1993-06-18","2026-05-02","Per=Y","Days=T","Dir=V")</f>
        <v>0</v>
      </c>
      <c r="E2">
        <f>BDH("XPER US Equity","SHORT_AND_LONG_TERM_DEBT","1993-06-18","2026-05-02","Per=Y","Days=T","Dir=V")</f>
        <v>0</v>
      </c>
      <c r="G2">
        <f>BDH("XPER US Equity","BS_ST_BORROW","1993-06-18","2026-05-02","Per=Y","Days=T","Dir=V")</f>
        <v>0</v>
      </c>
      <c r="I2">
        <f>BDH("XPER US Equity","BS_LT_BORROW","1993-06-18","2026-05-02","Per=Y","Days=T","Dir=V")</f>
        <v>0</v>
      </c>
      <c r="K2">
        <f>BDH("XPER US Equity","BS_CASH_NEAR_CASH_ITEM","1993-06-18","2026-05-02","Per=Y","Days=T","Dir=V")</f>
        <v>0</v>
      </c>
      <c r="M2">
        <f>BDH("XPER US Equity","BS_CUR_ASSET_REPORT","1993-06-18","2026-05-02","Per=Y","Days=T","Dir=V")</f>
        <v>0</v>
      </c>
      <c r="O2">
        <f>BDH("XPER US Equity","BS_CUR_LIAB","1993-06-18","2026-05-02","Per=Y","Days=T","Dir=V")</f>
        <v>0</v>
      </c>
      <c r="Q2">
        <f>BDH("XPER US Equity","BS_SHAREHOLDER_EQY_ENDING_PERIOD","1993-06-18","2026-05-02","Per=Y","Days=T","Dir=V")</f>
        <v>0</v>
      </c>
      <c r="S2">
        <f>BDH("XPER US Equity","BS_ACCT_NOTE_RCV","1993-06-18","2026-05-02","Per=Y","Days=T","Dir=V")</f>
        <v>0</v>
      </c>
      <c r="U2">
        <f>BDH("XPER US Equity","BS_INVENTORIES","1993-06-18","2026-05-02","Per=Y","Days=T","Dir=V")</f>
        <v>0</v>
      </c>
      <c r="W2">
        <f>BDH("XPER US Equity","WORKING_CAPITAL","1993-06-18","2026-05-02","Per=Y","Days=T","Dir=V")</f>
        <v>0</v>
      </c>
      <c r="Y2">
        <f>BDH("XPER US Equity","SALES_REV_TURN","1993-06-18","2026-05-02","Per=Y","Days=T","Dir=V")</f>
        <v>0</v>
      </c>
      <c r="AA2">
        <f>BDH("XPER US Equity","EBIT","1993-06-18","2026-05-02","Per=Y","Days=T","Dir=V")</f>
        <v>0</v>
      </c>
      <c r="AC2">
        <f>BDH("XPER US Equity","EBITDA","1993-06-18","2026-05-02","Per=Y","Days=T","Dir=V")</f>
        <v>0</v>
      </c>
      <c r="AE2">
        <f>BDH("XPER US Equity","NET_INCOME","1993-06-18","2026-05-02","Per=Y","Days=T","Dir=V")</f>
        <v>0</v>
      </c>
      <c r="AG2">
        <f>BDH("XPER US Equity","IS_INT_EXPENSE","1993-06-18","2026-05-02","Per=Y","Days=T","Dir=V")</f>
        <v>0</v>
      </c>
      <c r="AI2">
        <f>BDH("XPER US Equity","IS_DEPR_EXP","1993-06-18","2026-05-02","Per=Y","Days=T","Dir=V")</f>
        <v>0</v>
      </c>
      <c r="AK2">
        <f>BDH("XPER US Equity","CF_CASH_FROM_OPER","1993-06-18","2026-05-02","Per=Y","Days=T","Dir=V")</f>
        <v>0</v>
      </c>
      <c r="AM2">
        <f>BDH("XPER US Equity","CAPITAL_EXPEND","1993-06-18","2026-05-02","Per=Y","Days=T","Dir=V")</f>
        <v>0</v>
      </c>
      <c r="AO2">
        <f>BDH("XPER US Equity","CF_FREE_CASH_FLOW","1993-06-18","2026-05-02","Per=Y","Days=T","Dir=V")</f>
        <v>0</v>
      </c>
      <c r="AQ2">
        <f>BDH("XPER US Equity","PX_LAST","1993-06-18","2026-05-02","Per=M","Days=T","Dir=V")</f>
        <v>0</v>
      </c>
      <c r="AS2">
        <f>BDH("XPER US Equity","CUR_MKT_CAP","1993-06-18","2026-05-02","Per=M","Days=T","Dir=V")</f>
        <v>0</v>
      </c>
      <c r="AU2">
        <f>BDH("XPER US Equity","EQY_SH_OUT","1993-06-18","2026-05-02","Per=M","Days=T","Dir=V")</f>
        <v>0</v>
      </c>
      <c r="AW2">
        <f>BDH("XPER US Equity","PX_VOLUME","1993-06-18","2026-05-02","Per=M","Days=T","Dir=V")</f>
        <v>0</v>
      </c>
      <c r="AY2">
        <f>BDH("XPER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BDH("XPL US Equity","BS_TOT_ASSET","1993-06-18","2026-05-02","Per=Y","Days=T","Dir=V")</f>
        <v>0</v>
      </c>
      <c r="C2">
        <f>BDH("XPL US Equity","BS_TOT_LIAB2","1993-06-18","2026-05-02","Per=Y","Days=T","Dir=V")</f>
        <v>0</v>
      </c>
      <c r="E2">
        <f>BDH("XPL US Equity","SHORT_AND_LONG_TERM_DEBT","1993-06-18","2026-05-02","Per=Y","Days=T","Dir=V")</f>
        <v>0</v>
      </c>
      <c r="G2">
        <f>BDH("XPL US Equity","BS_ST_BORROW","1993-06-18","2026-05-02","Per=Y","Days=T","Dir=V")</f>
        <v>0</v>
      </c>
      <c r="I2">
        <f>BDH("XPL US Equity","BS_LT_BORROW","1993-06-18","2026-05-02","Per=Y","Days=T","Dir=V")</f>
        <v>0</v>
      </c>
      <c r="K2">
        <f>BDH("XPL US Equity","BS_CASH_NEAR_CASH_ITEM","1993-06-18","2026-05-02","Per=Y","Days=T","Dir=V")</f>
        <v>0</v>
      </c>
      <c r="M2">
        <f>BDH("XPL US Equity","BS_CUR_ASSET_REPORT","1993-06-18","2026-05-02","Per=Y","Days=T","Dir=V")</f>
        <v>0</v>
      </c>
      <c r="O2">
        <f>BDH("XPL US Equity","BS_CUR_LIAB","1993-06-18","2026-05-02","Per=Y","Days=T","Dir=V")</f>
        <v>0</v>
      </c>
      <c r="Q2">
        <f>BDH("XPL US Equity","BS_SHAREHOLDER_EQY_ENDING_PERIOD","1993-06-18","2026-05-02","Per=Y","Days=T","Dir=V")</f>
        <v>0</v>
      </c>
      <c r="S2">
        <f>BDH("XPL US Equity","BS_ACCT_NOTE_RCV","1993-06-18","2026-05-02","Per=Y","Days=T","Dir=V")</f>
        <v>0</v>
      </c>
      <c r="U2">
        <f>BDH("XPL US Equity","BS_INVENTORIES","1993-06-18","2026-05-02","Per=Y","Days=T","Dir=V")</f>
        <v>0</v>
      </c>
      <c r="W2">
        <f>BDH("XPL US Equity","WORKING_CAPITAL","1993-06-18","2026-05-02","Per=Y","Days=T","Dir=V")</f>
        <v>0</v>
      </c>
      <c r="Y2">
        <f>BDH("XPL US Equity","SALES_REV_TURN","1993-06-18","2026-05-02","Per=Y","Days=T","Dir=V")</f>
        <v>0</v>
      </c>
      <c r="AA2">
        <f>BDH("XPL US Equity","EBIT","1993-06-18","2026-05-02","Per=Y","Days=T","Dir=V")</f>
        <v>0</v>
      </c>
      <c r="AC2">
        <f>BDH("XPL US Equity","EBITDA","1993-06-18","2026-05-02","Per=Y","Days=T","Dir=V")</f>
        <v>0</v>
      </c>
      <c r="AE2">
        <f>BDH("XPL US Equity","NET_INCOME","1993-06-18","2026-05-02","Per=Y","Days=T","Dir=V")</f>
        <v>0</v>
      </c>
      <c r="AG2">
        <f>BDH("XPL US Equity","IS_INT_EXPENSE","1993-06-18","2026-05-02","Per=Y","Days=T","Dir=V")</f>
        <v>0</v>
      </c>
      <c r="AI2">
        <f>BDH("XPL US Equity","IS_DEPR_EXP","1993-06-18","2026-05-02","Per=Y","Days=T","Dir=V")</f>
        <v>0</v>
      </c>
      <c r="AK2">
        <f>BDH("XPL US Equity","CF_CASH_FROM_OPER","1993-06-18","2026-05-02","Per=Y","Days=T","Dir=V")</f>
        <v>0</v>
      </c>
      <c r="AM2">
        <f>BDH("XPL US Equity","CAPITAL_EXPEND","1993-06-18","2026-05-02","Per=Y","Days=T","Dir=V")</f>
        <v>0</v>
      </c>
      <c r="AO2">
        <f>BDH("XPL US Equity","CF_FREE_CASH_FLOW","1993-06-18","2026-05-02","Per=Y","Days=T","Dir=V")</f>
        <v>0</v>
      </c>
      <c r="AQ2">
        <f>BDH("XPL US Equity","PX_LAST","1993-06-18","2026-05-02","Per=M","Days=T","Dir=V")</f>
        <v>0</v>
      </c>
      <c r="AS2">
        <f>BDH("XPL US Equity","CUR_MKT_CAP","1993-06-18","2026-05-02","Per=M","Days=T","Dir=V")</f>
        <v>0</v>
      </c>
      <c r="AU2">
        <f>BDH("XPL US Equity","EQY_SH_OUT","1993-06-18","2026-05-02","Per=M","Days=T","Dir=V")</f>
        <v>0</v>
      </c>
      <c r="AW2">
        <f>BDH("XPL US Equity","PX_VOLUME","1993-06-18","2026-05-02","Per=M","Days=T","Dir=V")</f>
        <v>0</v>
      </c>
      <c r="AY2">
        <f>BDH("XPL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BDH("XPO US Equity","BS_TOT_ASSET","1993-06-18","2026-05-02","Per=Y","Days=T","Dir=V")</f>
        <v>0</v>
      </c>
      <c r="C2">
        <f>BDH("XPO US Equity","BS_TOT_LIAB2","1993-06-18","2026-05-02","Per=Y","Days=T","Dir=V")</f>
        <v>0</v>
      </c>
      <c r="E2">
        <f>BDH("XPO US Equity","SHORT_AND_LONG_TERM_DEBT","1993-06-18","2026-05-02","Per=Y","Days=T","Dir=V")</f>
        <v>0</v>
      </c>
      <c r="G2">
        <f>BDH("XPO US Equity","BS_ST_BORROW","1993-06-18","2026-05-02","Per=Y","Days=T","Dir=V")</f>
        <v>0</v>
      </c>
      <c r="I2">
        <f>BDH("XPO US Equity","BS_LT_BORROW","1993-06-18","2026-05-02","Per=Y","Days=T","Dir=V")</f>
        <v>0</v>
      </c>
      <c r="K2">
        <f>BDH("XPO US Equity","BS_CASH_NEAR_CASH_ITEM","1993-06-18","2026-05-02","Per=Y","Days=T","Dir=V")</f>
        <v>0</v>
      </c>
      <c r="M2">
        <f>BDH("XPO US Equity","BS_CUR_ASSET_REPORT","1993-06-18","2026-05-02","Per=Y","Days=T","Dir=V")</f>
        <v>0</v>
      </c>
      <c r="O2">
        <f>BDH("XPO US Equity","BS_CUR_LIAB","1993-06-18","2026-05-02","Per=Y","Days=T","Dir=V")</f>
        <v>0</v>
      </c>
      <c r="Q2">
        <f>BDH("XPO US Equity","BS_SHAREHOLDER_EQY_ENDING_PERIOD","1993-06-18","2026-05-02","Per=Y","Days=T","Dir=V")</f>
        <v>0</v>
      </c>
      <c r="S2">
        <f>BDH("XPO US Equity","BS_ACCT_NOTE_RCV","1993-06-18","2026-05-02","Per=Y","Days=T","Dir=V")</f>
        <v>0</v>
      </c>
      <c r="U2">
        <f>BDH("XPO US Equity","BS_INVENTORIES","1993-06-18","2026-05-02","Per=Y","Days=T","Dir=V")</f>
        <v>0</v>
      </c>
      <c r="W2">
        <f>BDH("XPO US Equity","WORKING_CAPITAL","1993-06-18","2026-05-02","Per=Y","Days=T","Dir=V")</f>
        <v>0</v>
      </c>
      <c r="Y2">
        <f>BDH("XPO US Equity","SALES_REV_TURN","1993-06-18","2026-05-02","Per=Y","Days=T","Dir=V")</f>
        <v>0</v>
      </c>
      <c r="AA2">
        <f>BDH("XPO US Equity","EBIT","1993-06-18","2026-05-02","Per=Y","Days=T","Dir=V")</f>
        <v>0</v>
      </c>
      <c r="AC2">
        <f>BDH("XPO US Equity","EBITDA","1993-06-18","2026-05-02","Per=Y","Days=T","Dir=V")</f>
        <v>0</v>
      </c>
      <c r="AE2">
        <f>BDH("XPO US Equity","NET_INCOME","1993-06-18","2026-05-02","Per=Y","Days=T","Dir=V")</f>
        <v>0</v>
      </c>
      <c r="AG2">
        <f>BDH("XPO US Equity","IS_INT_EXPENSE","1993-06-18","2026-05-02","Per=Y","Days=T","Dir=V")</f>
        <v>0</v>
      </c>
      <c r="AI2">
        <f>BDH("XPO US Equity","IS_DEPR_EXP","1993-06-18","2026-05-02","Per=Y","Days=T","Dir=V")</f>
        <v>0</v>
      </c>
      <c r="AK2">
        <f>BDH("XPO US Equity","CF_CASH_FROM_OPER","1993-06-18","2026-05-02","Per=Y","Days=T","Dir=V")</f>
        <v>0</v>
      </c>
      <c r="AM2">
        <f>BDH("XPO US Equity","CAPITAL_EXPEND","1993-06-18","2026-05-02","Per=Y","Days=T","Dir=V")</f>
        <v>0</v>
      </c>
      <c r="AO2">
        <f>BDH("XPO US Equity","CF_FREE_CASH_FLOW","1993-06-18","2026-05-02","Per=Y","Days=T","Dir=V")</f>
        <v>0</v>
      </c>
      <c r="AQ2">
        <f>BDH("XPO US Equity","PX_LAST","1993-06-18","2026-05-02","Per=M","Days=T","Dir=V")</f>
        <v>0</v>
      </c>
      <c r="AS2">
        <f>BDH("XPO US Equity","CUR_MKT_CAP","1993-06-18","2026-05-02","Per=M","Days=T","Dir=V")</f>
        <v>0</v>
      </c>
      <c r="AU2">
        <f>BDH("XPO US Equity","EQY_SH_OUT","1993-06-18","2026-05-02","Per=M","Days=T","Dir=V")</f>
        <v>0</v>
      </c>
      <c r="AW2">
        <f>BDH("XPO US Equity","PX_VOLUME","1993-06-18","2026-05-02","Per=M","Days=T","Dir=V")</f>
        <v>0</v>
      </c>
      <c r="AY2">
        <f>BDH("XPO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BDH("XPOF US Equity","BS_TOT_ASSET","1993-06-18","2026-05-02","Per=Y","Days=T","Dir=V")</f>
        <v>0</v>
      </c>
      <c r="C2">
        <f>BDH("XPOF US Equity","BS_TOT_LIAB2","1993-06-18","2026-05-02","Per=Y","Days=T","Dir=V")</f>
        <v>0</v>
      </c>
      <c r="E2">
        <f>BDH("XPOF US Equity","SHORT_AND_LONG_TERM_DEBT","1993-06-18","2026-05-02","Per=Y","Days=T","Dir=V")</f>
        <v>0</v>
      </c>
      <c r="G2">
        <f>BDH("XPOF US Equity","BS_ST_BORROW","1993-06-18","2026-05-02","Per=Y","Days=T","Dir=V")</f>
        <v>0</v>
      </c>
      <c r="I2">
        <f>BDH("XPOF US Equity","BS_LT_BORROW","1993-06-18","2026-05-02","Per=Y","Days=T","Dir=V")</f>
        <v>0</v>
      </c>
      <c r="K2">
        <f>BDH("XPOF US Equity","BS_CASH_NEAR_CASH_ITEM","1993-06-18","2026-05-02","Per=Y","Days=T","Dir=V")</f>
        <v>0</v>
      </c>
      <c r="M2">
        <f>BDH("XPOF US Equity","BS_CUR_ASSET_REPORT","1993-06-18","2026-05-02","Per=Y","Days=T","Dir=V")</f>
        <v>0</v>
      </c>
      <c r="O2">
        <f>BDH("XPOF US Equity","BS_CUR_LIAB","1993-06-18","2026-05-02","Per=Y","Days=T","Dir=V")</f>
        <v>0</v>
      </c>
      <c r="Q2">
        <f>BDH("XPOF US Equity","BS_SHAREHOLDER_EQY_ENDING_PERIOD","1993-06-18","2026-05-02","Per=Y","Days=T","Dir=V")</f>
        <v>0</v>
      </c>
      <c r="S2">
        <f>BDH("XPOF US Equity","BS_ACCT_NOTE_RCV","1993-06-18","2026-05-02","Per=Y","Days=T","Dir=V")</f>
        <v>0</v>
      </c>
      <c r="U2">
        <f>BDH("XPOF US Equity","BS_INVENTORIES","1993-06-18","2026-05-02","Per=Y","Days=T","Dir=V")</f>
        <v>0</v>
      </c>
      <c r="W2">
        <f>BDH("XPOF US Equity","WORKING_CAPITAL","1993-06-18","2026-05-02","Per=Y","Days=T","Dir=V")</f>
        <v>0</v>
      </c>
      <c r="Y2">
        <f>BDH("XPOF US Equity","SALES_REV_TURN","1993-06-18","2026-05-02","Per=Y","Days=T","Dir=V")</f>
        <v>0</v>
      </c>
      <c r="AA2">
        <f>BDH("XPOF US Equity","EBIT","1993-06-18","2026-05-02","Per=Y","Days=T","Dir=V")</f>
        <v>0</v>
      </c>
      <c r="AC2">
        <f>BDH("XPOF US Equity","EBITDA","1993-06-18","2026-05-02","Per=Y","Days=T","Dir=V")</f>
        <v>0</v>
      </c>
      <c r="AE2">
        <f>BDH("XPOF US Equity","NET_INCOME","1993-06-18","2026-05-02","Per=Y","Days=T","Dir=V")</f>
        <v>0</v>
      </c>
      <c r="AG2">
        <f>BDH("XPOF US Equity","IS_INT_EXPENSE","1993-06-18","2026-05-02","Per=Y","Days=T","Dir=V")</f>
        <v>0</v>
      </c>
      <c r="AI2">
        <f>BDH("XPOF US Equity","IS_DEPR_EXP","1993-06-18","2026-05-02","Per=Y","Days=T","Dir=V")</f>
        <v>0</v>
      </c>
      <c r="AK2">
        <f>BDH("XPOF US Equity","CF_CASH_FROM_OPER","1993-06-18","2026-05-02","Per=Y","Days=T","Dir=V")</f>
        <v>0</v>
      </c>
      <c r="AM2">
        <f>BDH("XPOF US Equity","CAPITAL_EXPEND","1993-06-18","2026-05-02","Per=Y","Days=T","Dir=V")</f>
        <v>0</v>
      </c>
      <c r="AO2">
        <f>BDH("XPOF US Equity","CF_FREE_CASH_FLOW","1993-06-18","2026-05-02","Per=Y","Days=T","Dir=V")</f>
        <v>0</v>
      </c>
      <c r="AQ2">
        <f>BDH("XPOF US Equity","PX_LAST","1993-06-18","2026-05-02","Per=M","Days=T","Dir=V")</f>
        <v>0</v>
      </c>
      <c r="AS2">
        <f>BDH("XPOF US Equity","CUR_MKT_CAP","1993-06-18","2026-05-02","Per=M","Days=T","Dir=V")</f>
        <v>0</v>
      </c>
      <c r="AU2">
        <f>BDH("XPOF US Equity","EQY_SH_OUT","1993-06-18","2026-05-02","Per=M","Days=T","Dir=V")</f>
        <v>0</v>
      </c>
      <c r="AW2">
        <f>BDH("XPOF US Equity","PX_VOLUME","1993-06-18","2026-05-02","Per=M","Days=T","Dir=V")</f>
        <v>0</v>
      </c>
      <c r="AY2">
        <f>BDH("XPOF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BDH("XRAY US Equity","BS_TOT_ASSET","1993-06-18","2026-05-02","Per=Y","Days=T","Dir=V")</f>
        <v>0</v>
      </c>
      <c r="C2">
        <f>BDH("XRAY US Equity","BS_TOT_LIAB2","1993-06-18","2026-05-02","Per=Y","Days=T","Dir=V")</f>
        <v>0</v>
      </c>
      <c r="E2">
        <f>BDH("XRAY US Equity","SHORT_AND_LONG_TERM_DEBT","1993-06-18","2026-05-02","Per=Y","Days=T","Dir=V")</f>
        <v>0</v>
      </c>
      <c r="G2">
        <f>BDH("XRAY US Equity","BS_ST_BORROW","1993-06-18","2026-05-02","Per=Y","Days=T","Dir=V")</f>
        <v>0</v>
      </c>
      <c r="I2">
        <f>BDH("XRAY US Equity","BS_LT_BORROW","1993-06-18","2026-05-02","Per=Y","Days=T","Dir=V")</f>
        <v>0</v>
      </c>
      <c r="K2">
        <f>BDH("XRAY US Equity","BS_CASH_NEAR_CASH_ITEM","1993-06-18","2026-05-02","Per=Y","Days=T","Dir=V")</f>
        <v>0</v>
      </c>
      <c r="M2">
        <f>BDH("XRAY US Equity","BS_CUR_ASSET_REPORT","1993-06-18","2026-05-02","Per=Y","Days=T","Dir=V")</f>
        <v>0</v>
      </c>
      <c r="O2">
        <f>BDH("XRAY US Equity","BS_CUR_LIAB","1993-06-18","2026-05-02","Per=Y","Days=T","Dir=V")</f>
        <v>0</v>
      </c>
      <c r="Q2">
        <f>BDH("XRAY US Equity","BS_SHAREHOLDER_EQY_ENDING_PERIOD","1993-06-18","2026-05-02","Per=Y","Days=T","Dir=V")</f>
        <v>0</v>
      </c>
      <c r="S2">
        <f>BDH("XRAY US Equity","BS_ACCT_NOTE_RCV","1993-06-18","2026-05-02","Per=Y","Days=T","Dir=V")</f>
        <v>0</v>
      </c>
      <c r="U2">
        <f>BDH("XRAY US Equity","BS_INVENTORIES","1993-06-18","2026-05-02","Per=Y","Days=T","Dir=V")</f>
        <v>0</v>
      </c>
      <c r="W2">
        <f>BDH("XRAY US Equity","WORKING_CAPITAL","1993-06-18","2026-05-02","Per=Y","Days=T","Dir=V")</f>
        <v>0</v>
      </c>
      <c r="Y2">
        <f>BDH("XRAY US Equity","SALES_REV_TURN","1993-06-18","2026-05-02","Per=Y","Days=T","Dir=V")</f>
        <v>0</v>
      </c>
      <c r="AA2">
        <f>BDH("XRAY US Equity","EBIT","1993-06-18","2026-05-02","Per=Y","Days=T","Dir=V")</f>
        <v>0</v>
      </c>
      <c r="AC2">
        <f>BDH("XRAY US Equity","EBITDA","1993-06-18","2026-05-02","Per=Y","Days=T","Dir=V")</f>
        <v>0</v>
      </c>
      <c r="AE2">
        <f>BDH("XRAY US Equity","NET_INCOME","1993-06-18","2026-05-02","Per=Y","Days=T","Dir=V")</f>
        <v>0</v>
      </c>
      <c r="AG2">
        <f>BDH("XRAY US Equity","IS_INT_EXPENSE","1993-06-18","2026-05-02","Per=Y","Days=T","Dir=V")</f>
        <v>0</v>
      </c>
      <c r="AI2">
        <f>BDH("XRAY US Equity","IS_DEPR_EXP","1993-06-18","2026-05-02","Per=Y","Days=T","Dir=V")</f>
        <v>0</v>
      </c>
      <c r="AK2">
        <f>BDH("XRAY US Equity","CF_CASH_FROM_OPER","1993-06-18","2026-05-02","Per=Y","Days=T","Dir=V")</f>
        <v>0</v>
      </c>
      <c r="AM2">
        <f>BDH("XRAY US Equity","CAPITAL_EXPEND","1993-06-18","2026-05-02","Per=Y","Days=T","Dir=V")</f>
        <v>0</v>
      </c>
      <c r="AO2">
        <f>BDH("XRAY US Equity","CF_FREE_CASH_FLOW","1993-06-18","2026-05-02","Per=Y","Days=T","Dir=V")</f>
        <v>0</v>
      </c>
      <c r="AQ2">
        <f>BDH("XRAY US Equity","PX_LAST","1993-06-18","2026-05-02","Per=M","Days=T","Dir=V")</f>
        <v>0</v>
      </c>
      <c r="AS2">
        <f>BDH("XRAY US Equity","CUR_MKT_CAP","1993-06-18","2026-05-02","Per=M","Days=T","Dir=V")</f>
        <v>0</v>
      </c>
      <c r="AU2">
        <f>BDH("XRAY US Equity","EQY_SH_OUT","1993-06-18","2026-05-02","Per=M","Days=T","Dir=V")</f>
        <v>0</v>
      </c>
      <c r="AW2">
        <f>BDH("XRAY US Equity","PX_VOLUME","1993-06-18","2026-05-02","Per=M","Days=T","Dir=V")</f>
        <v>0</v>
      </c>
      <c r="AY2">
        <f>BDH("XRAY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BDH("XRX US Equity","BS_TOT_ASSET","1993-06-18","2026-05-02","Per=Y","Days=T","Dir=V")</f>
        <v>0</v>
      </c>
      <c r="C2">
        <f>BDH("XRX US Equity","BS_TOT_LIAB2","1993-06-18","2026-05-02","Per=Y","Days=T","Dir=V")</f>
        <v>0</v>
      </c>
      <c r="E2">
        <f>BDH("XRX US Equity","SHORT_AND_LONG_TERM_DEBT","1993-06-18","2026-05-02","Per=Y","Days=T","Dir=V")</f>
        <v>0</v>
      </c>
      <c r="G2">
        <f>BDH("XRX US Equity","BS_ST_BORROW","1993-06-18","2026-05-02","Per=Y","Days=T","Dir=V")</f>
        <v>0</v>
      </c>
      <c r="I2">
        <f>BDH("XRX US Equity","BS_LT_BORROW","1993-06-18","2026-05-02","Per=Y","Days=T","Dir=V")</f>
        <v>0</v>
      </c>
      <c r="K2">
        <f>BDH("XRX US Equity","BS_CASH_NEAR_CASH_ITEM","1993-06-18","2026-05-02","Per=Y","Days=T","Dir=V")</f>
        <v>0</v>
      </c>
      <c r="M2">
        <f>BDH("XRX US Equity","BS_CUR_ASSET_REPORT","1993-06-18","2026-05-02","Per=Y","Days=T","Dir=V")</f>
        <v>0</v>
      </c>
      <c r="O2">
        <f>BDH("XRX US Equity","BS_CUR_LIAB","1993-06-18","2026-05-02","Per=Y","Days=T","Dir=V")</f>
        <v>0</v>
      </c>
      <c r="Q2">
        <f>BDH("XRX US Equity","BS_SHAREHOLDER_EQY_ENDING_PERIOD","1993-06-18","2026-05-02","Per=Y","Days=T","Dir=V")</f>
        <v>0</v>
      </c>
      <c r="S2">
        <f>BDH("XRX US Equity","BS_ACCT_NOTE_RCV","1993-06-18","2026-05-02","Per=Y","Days=T","Dir=V")</f>
        <v>0</v>
      </c>
      <c r="U2">
        <f>BDH("XRX US Equity","BS_INVENTORIES","1993-06-18","2026-05-02","Per=Y","Days=T","Dir=V")</f>
        <v>0</v>
      </c>
      <c r="W2">
        <f>BDH("XRX US Equity","WORKING_CAPITAL","1993-06-18","2026-05-02","Per=Y","Days=T","Dir=V")</f>
        <v>0</v>
      </c>
      <c r="Y2">
        <f>BDH("XRX US Equity","SALES_REV_TURN","1993-06-18","2026-05-02","Per=Y","Days=T","Dir=V")</f>
        <v>0</v>
      </c>
      <c r="AA2">
        <f>BDH("XRX US Equity","EBIT","1993-06-18","2026-05-02","Per=Y","Days=T","Dir=V")</f>
        <v>0</v>
      </c>
      <c r="AC2">
        <f>BDH("XRX US Equity","EBITDA","1993-06-18","2026-05-02","Per=Y","Days=T","Dir=V")</f>
        <v>0</v>
      </c>
      <c r="AE2">
        <f>BDH("XRX US Equity","NET_INCOME","1993-06-18","2026-05-02","Per=Y","Days=T","Dir=V")</f>
        <v>0</v>
      </c>
      <c r="AG2">
        <f>BDH("XRX US Equity","IS_INT_EXPENSE","1993-06-18","2026-05-02","Per=Y","Days=T","Dir=V")</f>
        <v>0</v>
      </c>
      <c r="AI2">
        <f>BDH("XRX US Equity","IS_DEPR_EXP","1993-06-18","2026-05-02","Per=Y","Days=T","Dir=V")</f>
        <v>0</v>
      </c>
      <c r="AK2">
        <f>BDH("XRX US Equity","CF_CASH_FROM_OPER","1993-06-18","2026-05-02","Per=Y","Days=T","Dir=V")</f>
        <v>0</v>
      </c>
      <c r="AM2">
        <f>BDH("XRX US Equity","CAPITAL_EXPEND","1993-06-18","2026-05-02","Per=Y","Days=T","Dir=V")</f>
        <v>0</v>
      </c>
      <c r="AO2">
        <f>BDH("XRX US Equity","CF_FREE_CASH_FLOW","1993-06-18","2026-05-02","Per=Y","Days=T","Dir=V")</f>
        <v>0</v>
      </c>
      <c r="AQ2">
        <f>BDH("XRX US Equity","PX_LAST","1993-06-18","2026-05-02","Per=M","Days=T","Dir=V")</f>
        <v>0</v>
      </c>
      <c r="AS2">
        <f>BDH("XRX US Equity","CUR_MKT_CAP","1993-06-18","2026-05-02","Per=M","Days=T","Dir=V")</f>
        <v>0</v>
      </c>
      <c r="AU2">
        <f>BDH("XRX US Equity","EQY_SH_OUT","1993-06-18","2026-05-02","Per=M","Days=T","Dir=V")</f>
        <v>0</v>
      </c>
      <c r="AW2">
        <f>BDH("XRX US Equity","PX_VOLUME","1993-06-18","2026-05-02","Per=M","Days=T","Dir=V")</f>
        <v>0</v>
      </c>
      <c r="AY2">
        <f>BDH("XRX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BDH("XRXDW US Equity","BS_TOT_ASSET","1993-06-18","2026-05-02","Per=Y","Days=T","Dir=V")</f>
        <v>0</v>
      </c>
      <c r="C2">
        <f>BDH("XRXDW US Equity","BS_TOT_LIAB2","1993-06-18","2026-05-02","Per=Y","Days=T","Dir=V")</f>
        <v>0</v>
      </c>
      <c r="E2">
        <f>BDH("XRXDW US Equity","SHORT_AND_LONG_TERM_DEBT","1993-06-18","2026-05-02","Per=Y","Days=T","Dir=V")</f>
        <v>0</v>
      </c>
      <c r="G2">
        <f>BDH("XRXDW US Equity","BS_ST_BORROW","1993-06-18","2026-05-02","Per=Y","Days=T","Dir=V")</f>
        <v>0</v>
      </c>
      <c r="I2">
        <f>BDH("XRXDW US Equity","BS_LT_BORROW","1993-06-18","2026-05-02","Per=Y","Days=T","Dir=V")</f>
        <v>0</v>
      </c>
      <c r="K2">
        <f>BDH("XRXDW US Equity","BS_CASH_NEAR_CASH_ITEM","1993-06-18","2026-05-02","Per=Y","Days=T","Dir=V")</f>
        <v>0</v>
      </c>
      <c r="M2">
        <f>BDH("XRXDW US Equity","BS_CUR_ASSET_REPORT","1993-06-18","2026-05-02","Per=Y","Days=T","Dir=V")</f>
        <v>0</v>
      </c>
      <c r="O2">
        <f>BDH("XRXDW US Equity","BS_CUR_LIAB","1993-06-18","2026-05-02","Per=Y","Days=T","Dir=V")</f>
        <v>0</v>
      </c>
      <c r="Q2">
        <f>BDH("XRXDW US Equity","BS_SHAREHOLDER_EQY_ENDING_PERIOD","1993-06-18","2026-05-02","Per=Y","Days=T","Dir=V")</f>
        <v>0</v>
      </c>
      <c r="S2">
        <f>BDH("XRXDW US Equity","BS_ACCT_NOTE_RCV","1993-06-18","2026-05-02","Per=Y","Days=T","Dir=V")</f>
        <v>0</v>
      </c>
      <c r="U2">
        <f>BDH("XRXDW US Equity","BS_INVENTORIES","1993-06-18","2026-05-02","Per=Y","Days=T","Dir=V")</f>
        <v>0</v>
      </c>
      <c r="W2">
        <f>BDH("XRXDW US Equity","WORKING_CAPITAL","1993-06-18","2026-05-02","Per=Y","Days=T","Dir=V")</f>
        <v>0</v>
      </c>
      <c r="Y2">
        <f>BDH("XRXDW US Equity","SALES_REV_TURN","1993-06-18","2026-05-02","Per=Y","Days=T","Dir=V")</f>
        <v>0</v>
      </c>
      <c r="AA2">
        <f>BDH("XRXDW US Equity","EBIT","1993-06-18","2026-05-02","Per=Y","Days=T","Dir=V")</f>
        <v>0</v>
      </c>
      <c r="AC2">
        <f>BDH("XRXDW US Equity","EBITDA","1993-06-18","2026-05-02","Per=Y","Days=T","Dir=V")</f>
        <v>0</v>
      </c>
      <c r="AE2">
        <f>BDH("XRXDW US Equity","NET_INCOME","1993-06-18","2026-05-02","Per=Y","Days=T","Dir=V")</f>
        <v>0</v>
      </c>
      <c r="AG2">
        <f>BDH("XRXDW US Equity","IS_INT_EXPENSE","1993-06-18","2026-05-02","Per=Y","Days=T","Dir=V")</f>
        <v>0</v>
      </c>
      <c r="AI2">
        <f>BDH("XRXDW US Equity","IS_DEPR_EXP","1993-06-18","2026-05-02","Per=Y","Days=T","Dir=V")</f>
        <v>0</v>
      </c>
      <c r="AK2">
        <f>BDH("XRXDW US Equity","CF_CASH_FROM_OPER","1993-06-18","2026-05-02","Per=Y","Days=T","Dir=V")</f>
        <v>0</v>
      </c>
      <c r="AM2">
        <f>BDH("XRXDW US Equity","CAPITAL_EXPEND","1993-06-18","2026-05-02","Per=Y","Days=T","Dir=V")</f>
        <v>0</v>
      </c>
      <c r="AO2">
        <f>BDH("XRXDW US Equity","CF_FREE_CASH_FLOW","1993-06-18","2026-05-02","Per=Y","Days=T","Dir=V")</f>
        <v>0</v>
      </c>
      <c r="AQ2">
        <f>BDH("XRXDW US Equity","PX_LAST","1993-06-18","2026-05-02","Per=M","Days=T","Dir=V")</f>
        <v>0</v>
      </c>
      <c r="AS2">
        <f>BDH("XRXDW US Equity","CUR_MKT_CAP","1993-06-18","2026-05-02","Per=M","Days=T","Dir=V")</f>
        <v>0</v>
      </c>
      <c r="AU2">
        <f>BDH("XRXDW US Equity","EQY_SH_OUT","1993-06-18","2026-05-02","Per=M","Days=T","Dir=V")</f>
        <v>0</v>
      </c>
      <c r="AW2">
        <f>BDH("XRXDW US Equity","PX_VOLUME","1993-06-18","2026-05-02","Per=M","Days=T","Dir=V")</f>
        <v>0</v>
      </c>
      <c r="AY2">
        <f>BDH("XRXDW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BDH("XTIA US Equity","BS_TOT_ASSET","1993-06-18","2026-05-02","Per=Y","Days=T","Dir=V")</f>
        <v>0</v>
      </c>
      <c r="C2">
        <f>BDH("XTIA US Equity","BS_TOT_LIAB2","1993-06-18","2026-05-02","Per=Y","Days=T","Dir=V")</f>
        <v>0</v>
      </c>
      <c r="E2">
        <f>BDH("XTIA US Equity","SHORT_AND_LONG_TERM_DEBT","1993-06-18","2026-05-02","Per=Y","Days=T","Dir=V")</f>
        <v>0</v>
      </c>
      <c r="G2">
        <f>BDH("XTIA US Equity","BS_ST_BORROW","1993-06-18","2026-05-02","Per=Y","Days=T","Dir=V")</f>
        <v>0</v>
      </c>
      <c r="I2">
        <f>BDH("XTIA US Equity","BS_LT_BORROW","1993-06-18","2026-05-02","Per=Y","Days=T","Dir=V")</f>
        <v>0</v>
      </c>
      <c r="K2">
        <f>BDH("XTIA US Equity","BS_CASH_NEAR_CASH_ITEM","1993-06-18","2026-05-02","Per=Y","Days=T","Dir=V")</f>
        <v>0</v>
      </c>
      <c r="M2">
        <f>BDH("XTIA US Equity","BS_CUR_ASSET_REPORT","1993-06-18","2026-05-02","Per=Y","Days=T","Dir=V")</f>
        <v>0</v>
      </c>
      <c r="O2">
        <f>BDH("XTIA US Equity","BS_CUR_LIAB","1993-06-18","2026-05-02","Per=Y","Days=T","Dir=V")</f>
        <v>0</v>
      </c>
      <c r="Q2">
        <f>BDH("XTIA US Equity","BS_SHAREHOLDER_EQY_ENDING_PERIOD","1993-06-18","2026-05-02","Per=Y","Days=T","Dir=V")</f>
        <v>0</v>
      </c>
      <c r="S2">
        <f>BDH("XTIA US Equity","BS_ACCT_NOTE_RCV","1993-06-18","2026-05-02","Per=Y","Days=T","Dir=V")</f>
        <v>0</v>
      </c>
      <c r="U2">
        <f>BDH("XTIA US Equity","BS_INVENTORIES","1993-06-18","2026-05-02","Per=Y","Days=T","Dir=V")</f>
        <v>0</v>
      </c>
      <c r="W2">
        <f>BDH("XTIA US Equity","WORKING_CAPITAL","1993-06-18","2026-05-02","Per=Y","Days=T","Dir=V")</f>
        <v>0</v>
      </c>
      <c r="Y2">
        <f>BDH("XTIA US Equity","SALES_REV_TURN","1993-06-18","2026-05-02","Per=Y","Days=T","Dir=V")</f>
        <v>0</v>
      </c>
      <c r="AA2">
        <f>BDH("XTIA US Equity","EBIT","1993-06-18","2026-05-02","Per=Y","Days=T","Dir=V")</f>
        <v>0</v>
      </c>
      <c r="AC2">
        <f>BDH("XTIA US Equity","EBITDA","1993-06-18","2026-05-02","Per=Y","Days=T","Dir=V")</f>
        <v>0</v>
      </c>
      <c r="AE2">
        <f>BDH("XTIA US Equity","NET_INCOME","1993-06-18","2026-05-02","Per=Y","Days=T","Dir=V")</f>
        <v>0</v>
      </c>
      <c r="AG2">
        <f>BDH("XTIA US Equity","IS_INT_EXPENSE","1993-06-18","2026-05-02","Per=Y","Days=T","Dir=V")</f>
        <v>0</v>
      </c>
      <c r="AI2">
        <f>BDH("XTIA US Equity","IS_DEPR_EXP","1993-06-18","2026-05-02","Per=Y","Days=T","Dir=V")</f>
        <v>0</v>
      </c>
      <c r="AK2">
        <f>BDH("XTIA US Equity","CF_CASH_FROM_OPER","1993-06-18","2026-05-02","Per=Y","Days=T","Dir=V")</f>
        <v>0</v>
      </c>
      <c r="AM2">
        <f>BDH("XTIA US Equity","CAPITAL_EXPEND","1993-06-18","2026-05-02","Per=Y","Days=T","Dir=V")</f>
        <v>0</v>
      </c>
      <c r="AO2">
        <f>BDH("XTIA US Equity","CF_FREE_CASH_FLOW","1993-06-18","2026-05-02","Per=Y","Days=T","Dir=V")</f>
        <v>0</v>
      </c>
      <c r="AQ2">
        <f>BDH("XTIA US Equity","PX_LAST","1993-06-18","2026-05-02","Per=M","Days=T","Dir=V")</f>
        <v>0</v>
      </c>
      <c r="AS2">
        <f>BDH("XTIA US Equity","CUR_MKT_CAP","1993-06-18","2026-05-02","Per=M","Days=T","Dir=V")</f>
        <v>0</v>
      </c>
      <c r="AU2">
        <f>BDH("XTIA US Equity","EQY_SH_OUT","1993-06-18","2026-05-02","Per=M","Days=T","Dir=V")</f>
        <v>0</v>
      </c>
      <c r="AW2">
        <f>BDH("XTIA US Equity","PX_VOLUME","1993-06-18","2026-05-02","Per=M","Days=T","Dir=V")</f>
        <v>0</v>
      </c>
      <c r="AY2">
        <f>BDH("XTIA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BDH("XTNT US Equity","BS_TOT_ASSET","1993-06-18","2026-05-02","Per=Y","Days=T","Dir=V")</f>
        <v>0</v>
      </c>
      <c r="C2">
        <f>BDH("XTNT US Equity","BS_TOT_LIAB2","1993-06-18","2026-05-02","Per=Y","Days=T","Dir=V")</f>
        <v>0</v>
      </c>
      <c r="E2">
        <f>BDH("XTNT US Equity","SHORT_AND_LONG_TERM_DEBT","1993-06-18","2026-05-02","Per=Y","Days=T","Dir=V")</f>
        <v>0</v>
      </c>
      <c r="G2">
        <f>BDH("XTNT US Equity","BS_ST_BORROW","1993-06-18","2026-05-02","Per=Y","Days=T","Dir=V")</f>
        <v>0</v>
      </c>
      <c r="I2">
        <f>BDH("XTNT US Equity","BS_LT_BORROW","1993-06-18","2026-05-02","Per=Y","Days=T","Dir=V")</f>
        <v>0</v>
      </c>
      <c r="K2">
        <f>BDH("XTNT US Equity","BS_CASH_NEAR_CASH_ITEM","1993-06-18","2026-05-02","Per=Y","Days=T","Dir=V")</f>
        <v>0</v>
      </c>
      <c r="M2">
        <f>BDH("XTNT US Equity","BS_CUR_ASSET_REPORT","1993-06-18","2026-05-02","Per=Y","Days=T","Dir=V")</f>
        <v>0</v>
      </c>
      <c r="O2">
        <f>BDH("XTNT US Equity","BS_CUR_LIAB","1993-06-18","2026-05-02","Per=Y","Days=T","Dir=V")</f>
        <v>0</v>
      </c>
      <c r="Q2">
        <f>BDH("XTNT US Equity","BS_SHAREHOLDER_EQY_ENDING_PERIOD","1993-06-18","2026-05-02","Per=Y","Days=T","Dir=V")</f>
        <v>0</v>
      </c>
      <c r="S2">
        <f>BDH("XTNT US Equity","BS_ACCT_NOTE_RCV","1993-06-18","2026-05-02","Per=Y","Days=T","Dir=V")</f>
        <v>0</v>
      </c>
      <c r="U2">
        <f>BDH("XTNT US Equity","BS_INVENTORIES","1993-06-18","2026-05-02","Per=Y","Days=T","Dir=V")</f>
        <v>0</v>
      </c>
      <c r="W2">
        <f>BDH("XTNT US Equity","WORKING_CAPITAL","1993-06-18","2026-05-02","Per=Y","Days=T","Dir=V")</f>
        <v>0</v>
      </c>
      <c r="Y2">
        <f>BDH("XTNT US Equity","SALES_REV_TURN","1993-06-18","2026-05-02","Per=Y","Days=T","Dir=V")</f>
        <v>0</v>
      </c>
      <c r="AA2">
        <f>BDH("XTNT US Equity","EBIT","1993-06-18","2026-05-02","Per=Y","Days=T","Dir=V")</f>
        <v>0</v>
      </c>
      <c r="AC2">
        <f>BDH("XTNT US Equity","EBITDA","1993-06-18","2026-05-02","Per=Y","Days=T","Dir=V")</f>
        <v>0</v>
      </c>
      <c r="AE2">
        <f>BDH("XTNT US Equity","NET_INCOME","1993-06-18","2026-05-02","Per=Y","Days=T","Dir=V")</f>
        <v>0</v>
      </c>
      <c r="AG2">
        <f>BDH("XTNT US Equity","IS_INT_EXPENSE","1993-06-18","2026-05-02","Per=Y","Days=T","Dir=V")</f>
        <v>0</v>
      </c>
      <c r="AI2">
        <f>BDH("XTNT US Equity","IS_DEPR_EXP","1993-06-18","2026-05-02","Per=Y","Days=T","Dir=V")</f>
        <v>0</v>
      </c>
      <c r="AK2">
        <f>BDH("XTNT US Equity","CF_CASH_FROM_OPER","1993-06-18","2026-05-02","Per=Y","Days=T","Dir=V")</f>
        <v>0</v>
      </c>
      <c r="AM2">
        <f>BDH("XTNT US Equity","CAPITAL_EXPEND","1993-06-18","2026-05-02","Per=Y","Days=T","Dir=V")</f>
        <v>0</v>
      </c>
      <c r="AO2">
        <f>BDH("XTNT US Equity","CF_FREE_CASH_FLOW","1993-06-18","2026-05-02","Per=Y","Days=T","Dir=V")</f>
        <v>0</v>
      </c>
      <c r="AQ2">
        <f>BDH("XTNT US Equity","PX_LAST","1993-06-18","2026-05-02","Per=M","Days=T","Dir=V")</f>
        <v>0</v>
      </c>
      <c r="AS2">
        <f>BDH("XTNT US Equity","CUR_MKT_CAP","1993-06-18","2026-05-02","Per=M","Days=T","Dir=V")</f>
        <v>0</v>
      </c>
      <c r="AU2">
        <f>BDH("XTNT US Equity","EQY_SH_OUT","1993-06-18","2026-05-02","Per=M","Days=T","Dir=V")</f>
        <v>0</v>
      </c>
      <c r="AW2">
        <f>BDH("XTNT US Equity","PX_VOLUME","1993-06-18","2026-05-02","Per=M","Days=T","Dir=V")</f>
        <v>0</v>
      </c>
      <c r="AY2">
        <f>BDH("XTNT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BDH("XWEL US Equity","BS_TOT_ASSET","1993-06-18","2026-05-02","Per=Y","Days=T","Dir=V")</f>
        <v>0</v>
      </c>
      <c r="C2">
        <f>BDH("XWEL US Equity","BS_TOT_LIAB2","1993-06-18","2026-05-02","Per=Y","Days=T","Dir=V")</f>
        <v>0</v>
      </c>
      <c r="E2">
        <f>BDH("XWEL US Equity","SHORT_AND_LONG_TERM_DEBT","1993-06-18","2026-05-02","Per=Y","Days=T","Dir=V")</f>
        <v>0</v>
      </c>
      <c r="G2">
        <f>BDH("XWEL US Equity","BS_ST_BORROW","1993-06-18","2026-05-02","Per=Y","Days=T","Dir=V")</f>
        <v>0</v>
      </c>
      <c r="I2">
        <f>BDH("XWEL US Equity","BS_LT_BORROW","1993-06-18","2026-05-02","Per=Y","Days=T","Dir=V")</f>
        <v>0</v>
      </c>
      <c r="K2">
        <f>BDH("XWEL US Equity","BS_CASH_NEAR_CASH_ITEM","1993-06-18","2026-05-02","Per=Y","Days=T","Dir=V")</f>
        <v>0</v>
      </c>
      <c r="M2">
        <f>BDH("XWEL US Equity","BS_CUR_ASSET_REPORT","1993-06-18","2026-05-02","Per=Y","Days=T","Dir=V")</f>
        <v>0</v>
      </c>
      <c r="O2">
        <f>BDH("XWEL US Equity","BS_CUR_LIAB","1993-06-18","2026-05-02","Per=Y","Days=T","Dir=V")</f>
        <v>0</v>
      </c>
      <c r="Q2">
        <f>BDH("XWEL US Equity","BS_SHAREHOLDER_EQY_ENDING_PERIOD","1993-06-18","2026-05-02","Per=Y","Days=T","Dir=V")</f>
        <v>0</v>
      </c>
      <c r="S2">
        <f>BDH("XWEL US Equity","BS_ACCT_NOTE_RCV","1993-06-18","2026-05-02","Per=Y","Days=T","Dir=V")</f>
        <v>0</v>
      </c>
      <c r="U2">
        <f>BDH("XWEL US Equity","BS_INVENTORIES","1993-06-18","2026-05-02","Per=Y","Days=T","Dir=V")</f>
        <v>0</v>
      </c>
      <c r="W2">
        <f>BDH("XWEL US Equity","WORKING_CAPITAL","1993-06-18","2026-05-02","Per=Y","Days=T","Dir=V")</f>
        <v>0</v>
      </c>
      <c r="Y2">
        <f>BDH("XWEL US Equity","SALES_REV_TURN","1993-06-18","2026-05-02","Per=Y","Days=T","Dir=V")</f>
        <v>0</v>
      </c>
      <c r="AA2">
        <f>BDH("XWEL US Equity","EBIT","1993-06-18","2026-05-02","Per=Y","Days=T","Dir=V")</f>
        <v>0</v>
      </c>
      <c r="AC2">
        <f>BDH("XWEL US Equity","EBITDA","1993-06-18","2026-05-02","Per=Y","Days=T","Dir=V")</f>
        <v>0</v>
      </c>
      <c r="AE2">
        <f>BDH("XWEL US Equity","NET_INCOME","1993-06-18","2026-05-02","Per=Y","Days=T","Dir=V")</f>
        <v>0</v>
      </c>
      <c r="AG2">
        <f>BDH("XWEL US Equity","IS_INT_EXPENSE","1993-06-18","2026-05-02","Per=Y","Days=T","Dir=V")</f>
        <v>0</v>
      </c>
      <c r="AI2">
        <f>BDH("XWEL US Equity","IS_DEPR_EXP","1993-06-18","2026-05-02","Per=Y","Days=T","Dir=V")</f>
        <v>0</v>
      </c>
      <c r="AK2">
        <f>BDH("XWEL US Equity","CF_CASH_FROM_OPER","1993-06-18","2026-05-02","Per=Y","Days=T","Dir=V")</f>
        <v>0</v>
      </c>
      <c r="AM2">
        <f>BDH("XWEL US Equity","CAPITAL_EXPEND","1993-06-18","2026-05-02","Per=Y","Days=T","Dir=V")</f>
        <v>0</v>
      </c>
      <c r="AO2">
        <f>BDH("XWEL US Equity","CF_FREE_CASH_FLOW","1993-06-18","2026-05-02","Per=Y","Days=T","Dir=V")</f>
        <v>0</v>
      </c>
      <c r="AQ2">
        <f>BDH("XWEL US Equity","PX_LAST","1993-06-18","2026-05-02","Per=M","Days=T","Dir=V")</f>
        <v>0</v>
      </c>
      <c r="AS2">
        <f>BDH("XWEL US Equity","CUR_MKT_CAP","1993-06-18","2026-05-02","Per=M","Days=T","Dir=V")</f>
        <v>0</v>
      </c>
      <c r="AU2">
        <f>BDH("XWEL US Equity","EQY_SH_OUT","1993-06-18","2026-05-02","Per=M","Days=T","Dir=V")</f>
        <v>0</v>
      </c>
      <c r="AW2">
        <f>BDH("XWEL US Equity","PX_VOLUME","1993-06-18","2026-05-02","Per=M","Days=T","Dir=V")</f>
        <v>0</v>
      </c>
      <c r="AY2">
        <f>BDH("XWEL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BDH("XXII US Equity","BS_TOT_ASSET","1993-06-18","2026-05-02","Per=Y","Days=T","Dir=V")</f>
        <v>0</v>
      </c>
      <c r="C2">
        <f>BDH("XXII US Equity","BS_TOT_LIAB2","1993-06-18","2026-05-02","Per=Y","Days=T","Dir=V")</f>
        <v>0</v>
      </c>
      <c r="E2">
        <f>BDH("XXII US Equity","SHORT_AND_LONG_TERM_DEBT","1993-06-18","2026-05-02","Per=Y","Days=T","Dir=V")</f>
        <v>0</v>
      </c>
      <c r="G2">
        <f>BDH("XXII US Equity","BS_ST_BORROW","1993-06-18","2026-05-02","Per=Y","Days=T","Dir=V")</f>
        <v>0</v>
      </c>
      <c r="I2">
        <f>BDH("XXII US Equity","BS_LT_BORROW","1993-06-18","2026-05-02","Per=Y","Days=T","Dir=V")</f>
        <v>0</v>
      </c>
      <c r="K2">
        <f>BDH("XXII US Equity","BS_CASH_NEAR_CASH_ITEM","1993-06-18","2026-05-02","Per=Y","Days=T","Dir=V")</f>
        <v>0</v>
      </c>
      <c r="M2">
        <f>BDH("XXII US Equity","BS_CUR_ASSET_REPORT","1993-06-18","2026-05-02","Per=Y","Days=T","Dir=V")</f>
        <v>0</v>
      </c>
      <c r="O2">
        <f>BDH("XXII US Equity","BS_CUR_LIAB","1993-06-18","2026-05-02","Per=Y","Days=T","Dir=V")</f>
        <v>0</v>
      </c>
      <c r="Q2">
        <f>BDH("XXII US Equity","BS_SHAREHOLDER_EQY_ENDING_PERIOD","1993-06-18","2026-05-02","Per=Y","Days=T","Dir=V")</f>
        <v>0</v>
      </c>
      <c r="S2">
        <f>BDH("XXII US Equity","BS_ACCT_NOTE_RCV","1993-06-18","2026-05-02","Per=Y","Days=T","Dir=V")</f>
        <v>0</v>
      </c>
      <c r="U2">
        <f>BDH("XXII US Equity","BS_INVENTORIES","1993-06-18","2026-05-02","Per=Y","Days=T","Dir=V")</f>
        <v>0</v>
      </c>
      <c r="W2">
        <f>BDH("XXII US Equity","WORKING_CAPITAL","1993-06-18","2026-05-02","Per=Y","Days=T","Dir=V")</f>
        <v>0</v>
      </c>
      <c r="Y2">
        <f>BDH("XXII US Equity","SALES_REV_TURN","1993-06-18","2026-05-02","Per=Y","Days=T","Dir=V")</f>
        <v>0</v>
      </c>
      <c r="AA2">
        <f>BDH("XXII US Equity","EBIT","1993-06-18","2026-05-02","Per=Y","Days=T","Dir=V")</f>
        <v>0</v>
      </c>
      <c r="AC2">
        <f>BDH("XXII US Equity","EBITDA","1993-06-18","2026-05-02","Per=Y","Days=T","Dir=V")</f>
        <v>0</v>
      </c>
      <c r="AE2">
        <f>BDH("XXII US Equity","NET_INCOME","1993-06-18","2026-05-02","Per=Y","Days=T","Dir=V")</f>
        <v>0</v>
      </c>
      <c r="AG2">
        <f>BDH("XXII US Equity","IS_INT_EXPENSE","1993-06-18","2026-05-02","Per=Y","Days=T","Dir=V")</f>
        <v>0</v>
      </c>
      <c r="AI2">
        <f>BDH("XXII US Equity","IS_DEPR_EXP","1993-06-18","2026-05-02","Per=Y","Days=T","Dir=V")</f>
        <v>0</v>
      </c>
      <c r="AK2">
        <f>BDH("XXII US Equity","CF_CASH_FROM_OPER","1993-06-18","2026-05-02","Per=Y","Days=T","Dir=V")</f>
        <v>0</v>
      </c>
      <c r="AM2">
        <f>BDH("XXII US Equity","CAPITAL_EXPEND","1993-06-18","2026-05-02","Per=Y","Days=T","Dir=V")</f>
        <v>0</v>
      </c>
      <c r="AO2">
        <f>BDH("XXII US Equity","CF_FREE_CASH_FLOW","1993-06-18","2026-05-02","Per=Y","Days=T","Dir=V")</f>
        <v>0</v>
      </c>
      <c r="AQ2">
        <f>BDH("XXII US Equity","PX_LAST","1993-06-18","2026-05-02","Per=M","Days=T","Dir=V")</f>
        <v>0</v>
      </c>
      <c r="AS2">
        <f>BDH("XXII US Equity","CUR_MKT_CAP","1993-06-18","2026-05-02","Per=M","Days=T","Dir=V")</f>
        <v>0</v>
      </c>
      <c r="AU2">
        <f>BDH("XXII US Equity","EQY_SH_OUT","1993-06-18","2026-05-02","Per=M","Days=T","Dir=V")</f>
        <v>0</v>
      </c>
      <c r="AW2">
        <f>BDH("XXII US Equity","PX_VOLUME","1993-06-18","2026-05-02","Per=M","Days=T","Dir=V")</f>
        <v>0</v>
      </c>
      <c r="AY2">
        <f>BDH("XXII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BDH("XYL US Equity","BS_TOT_ASSET","1993-06-18","2026-05-02","Per=Y","Days=T","Dir=V")</f>
        <v>0</v>
      </c>
      <c r="C2">
        <f>BDH("XYL US Equity","BS_TOT_LIAB2","1993-06-18","2026-05-02","Per=Y","Days=T","Dir=V")</f>
        <v>0</v>
      </c>
      <c r="E2">
        <f>BDH("XYL US Equity","SHORT_AND_LONG_TERM_DEBT","1993-06-18","2026-05-02","Per=Y","Days=T","Dir=V")</f>
        <v>0</v>
      </c>
      <c r="G2">
        <f>BDH("XYL US Equity","BS_ST_BORROW","1993-06-18","2026-05-02","Per=Y","Days=T","Dir=V")</f>
        <v>0</v>
      </c>
      <c r="I2">
        <f>BDH("XYL US Equity","BS_LT_BORROW","1993-06-18","2026-05-02","Per=Y","Days=T","Dir=V")</f>
        <v>0</v>
      </c>
      <c r="K2">
        <f>BDH("XYL US Equity","BS_CASH_NEAR_CASH_ITEM","1993-06-18","2026-05-02","Per=Y","Days=T","Dir=V")</f>
        <v>0</v>
      </c>
      <c r="M2">
        <f>BDH("XYL US Equity","BS_CUR_ASSET_REPORT","1993-06-18","2026-05-02","Per=Y","Days=T","Dir=V")</f>
        <v>0</v>
      </c>
      <c r="O2">
        <f>BDH("XYL US Equity","BS_CUR_LIAB","1993-06-18","2026-05-02","Per=Y","Days=T","Dir=V")</f>
        <v>0</v>
      </c>
      <c r="Q2">
        <f>BDH("XYL US Equity","BS_SHAREHOLDER_EQY_ENDING_PERIOD","1993-06-18","2026-05-02","Per=Y","Days=T","Dir=V")</f>
        <v>0</v>
      </c>
      <c r="S2">
        <f>BDH("XYL US Equity","BS_ACCT_NOTE_RCV","1993-06-18","2026-05-02","Per=Y","Days=T","Dir=V")</f>
        <v>0</v>
      </c>
      <c r="U2">
        <f>BDH("XYL US Equity","BS_INVENTORIES","1993-06-18","2026-05-02","Per=Y","Days=T","Dir=V")</f>
        <v>0</v>
      </c>
      <c r="W2">
        <f>BDH("XYL US Equity","WORKING_CAPITAL","1993-06-18","2026-05-02","Per=Y","Days=T","Dir=V")</f>
        <v>0</v>
      </c>
      <c r="Y2">
        <f>BDH("XYL US Equity","SALES_REV_TURN","1993-06-18","2026-05-02","Per=Y","Days=T","Dir=V")</f>
        <v>0</v>
      </c>
      <c r="AA2">
        <f>BDH("XYL US Equity","EBIT","1993-06-18","2026-05-02","Per=Y","Days=T","Dir=V")</f>
        <v>0</v>
      </c>
      <c r="AC2">
        <f>BDH("XYL US Equity","EBITDA","1993-06-18","2026-05-02","Per=Y","Days=T","Dir=V")</f>
        <v>0</v>
      </c>
      <c r="AE2">
        <f>BDH("XYL US Equity","NET_INCOME","1993-06-18","2026-05-02","Per=Y","Days=T","Dir=V")</f>
        <v>0</v>
      </c>
      <c r="AG2">
        <f>BDH("XYL US Equity","IS_INT_EXPENSE","1993-06-18","2026-05-02","Per=Y","Days=T","Dir=V")</f>
        <v>0</v>
      </c>
      <c r="AI2">
        <f>BDH("XYL US Equity","IS_DEPR_EXP","1993-06-18","2026-05-02","Per=Y","Days=T","Dir=V")</f>
        <v>0</v>
      </c>
      <c r="AK2">
        <f>BDH("XYL US Equity","CF_CASH_FROM_OPER","1993-06-18","2026-05-02","Per=Y","Days=T","Dir=V")</f>
        <v>0</v>
      </c>
      <c r="AM2">
        <f>BDH("XYL US Equity","CAPITAL_EXPEND","1993-06-18","2026-05-02","Per=Y","Days=T","Dir=V")</f>
        <v>0</v>
      </c>
      <c r="AO2">
        <f>BDH("XYL US Equity","CF_FREE_CASH_FLOW","1993-06-18","2026-05-02","Per=Y","Days=T","Dir=V")</f>
        <v>0</v>
      </c>
      <c r="AQ2">
        <f>BDH("XYL US Equity","PX_LAST","1993-06-18","2026-05-02","Per=M","Days=T","Dir=V")</f>
        <v>0</v>
      </c>
      <c r="AS2">
        <f>BDH("XYL US Equity","CUR_MKT_CAP","1993-06-18","2026-05-02","Per=M","Days=T","Dir=V")</f>
        <v>0</v>
      </c>
      <c r="AU2">
        <f>BDH("XYL US Equity","EQY_SH_OUT","1993-06-18","2026-05-02","Per=M","Days=T","Dir=V")</f>
        <v>0</v>
      </c>
      <c r="AW2">
        <f>BDH("XYL US Equity","PX_VOLUME","1993-06-18","2026-05-02","Per=M","Days=T","Dir=V")</f>
        <v>0</v>
      </c>
      <c r="AY2">
        <f>BDH("XYL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BDH("XYZ US Equity","BS_TOT_ASSET","1993-06-18","2026-05-02","Per=Y","Days=T","Dir=V")</f>
        <v>0</v>
      </c>
      <c r="C2">
        <f>BDH("XYZ US Equity","BS_TOT_LIAB2","1993-06-18","2026-05-02","Per=Y","Days=T","Dir=V")</f>
        <v>0</v>
      </c>
      <c r="E2">
        <f>BDH("XYZ US Equity","SHORT_AND_LONG_TERM_DEBT","1993-06-18","2026-05-02","Per=Y","Days=T","Dir=V")</f>
        <v>0</v>
      </c>
      <c r="G2">
        <f>BDH("XYZ US Equity","BS_ST_BORROW","1993-06-18","2026-05-02","Per=Y","Days=T","Dir=V")</f>
        <v>0</v>
      </c>
      <c r="I2">
        <f>BDH("XYZ US Equity","BS_LT_BORROW","1993-06-18","2026-05-02","Per=Y","Days=T","Dir=V")</f>
        <v>0</v>
      </c>
      <c r="K2">
        <f>BDH("XYZ US Equity","BS_CASH_NEAR_CASH_ITEM","1993-06-18","2026-05-02","Per=Y","Days=T","Dir=V")</f>
        <v>0</v>
      </c>
      <c r="M2">
        <f>BDH("XYZ US Equity","BS_CUR_ASSET_REPORT","1993-06-18","2026-05-02","Per=Y","Days=T","Dir=V")</f>
        <v>0</v>
      </c>
      <c r="O2">
        <f>BDH("XYZ US Equity","BS_CUR_LIAB","1993-06-18","2026-05-02","Per=Y","Days=T","Dir=V")</f>
        <v>0</v>
      </c>
      <c r="Q2">
        <f>BDH("XYZ US Equity","BS_SHAREHOLDER_EQY_ENDING_PERIOD","1993-06-18","2026-05-02","Per=Y","Days=T","Dir=V")</f>
        <v>0</v>
      </c>
      <c r="S2">
        <f>BDH("XYZ US Equity","BS_ACCT_NOTE_RCV","1993-06-18","2026-05-02","Per=Y","Days=T","Dir=V")</f>
        <v>0</v>
      </c>
      <c r="U2">
        <f>BDH("XYZ US Equity","BS_INVENTORIES","1993-06-18","2026-05-02","Per=Y","Days=T","Dir=V")</f>
        <v>0</v>
      </c>
      <c r="W2">
        <f>BDH("XYZ US Equity","WORKING_CAPITAL","1993-06-18","2026-05-02","Per=Y","Days=T","Dir=V")</f>
        <v>0</v>
      </c>
      <c r="Y2">
        <f>BDH("XYZ US Equity","SALES_REV_TURN","1993-06-18","2026-05-02","Per=Y","Days=T","Dir=V")</f>
        <v>0</v>
      </c>
      <c r="AA2">
        <f>BDH("XYZ US Equity","EBIT","1993-06-18","2026-05-02","Per=Y","Days=T","Dir=V")</f>
        <v>0</v>
      </c>
      <c r="AC2">
        <f>BDH("XYZ US Equity","EBITDA","1993-06-18","2026-05-02","Per=Y","Days=T","Dir=V")</f>
        <v>0</v>
      </c>
      <c r="AE2">
        <f>BDH("XYZ US Equity","NET_INCOME","1993-06-18","2026-05-02","Per=Y","Days=T","Dir=V")</f>
        <v>0</v>
      </c>
      <c r="AG2">
        <f>BDH("XYZ US Equity","IS_INT_EXPENSE","1993-06-18","2026-05-02","Per=Y","Days=T","Dir=V")</f>
        <v>0</v>
      </c>
      <c r="AI2">
        <f>BDH("XYZ US Equity","IS_DEPR_EXP","1993-06-18","2026-05-02","Per=Y","Days=T","Dir=V")</f>
        <v>0</v>
      </c>
      <c r="AK2">
        <f>BDH("XYZ US Equity","CF_CASH_FROM_OPER","1993-06-18","2026-05-02","Per=Y","Days=T","Dir=V")</f>
        <v>0</v>
      </c>
      <c r="AM2">
        <f>BDH("XYZ US Equity","CAPITAL_EXPEND","1993-06-18","2026-05-02","Per=Y","Days=T","Dir=V")</f>
        <v>0</v>
      </c>
      <c r="AO2">
        <f>BDH("XYZ US Equity","CF_FREE_CASH_FLOW","1993-06-18","2026-05-02","Per=Y","Days=T","Dir=V")</f>
        <v>0</v>
      </c>
      <c r="AQ2">
        <f>BDH("XYZ US Equity","PX_LAST","1993-06-18","2026-05-02","Per=M","Days=T","Dir=V")</f>
        <v>0</v>
      </c>
      <c r="AS2">
        <f>BDH("XYZ US Equity","CUR_MKT_CAP","1993-06-18","2026-05-02","Per=M","Days=T","Dir=V")</f>
        <v>0</v>
      </c>
      <c r="AU2">
        <f>BDH("XYZ US Equity","EQY_SH_OUT","1993-06-18","2026-05-02","Per=M","Days=T","Dir=V")</f>
        <v>0</v>
      </c>
      <c r="AW2">
        <f>BDH("XYZ US Equity","PX_VOLUME","1993-06-18","2026-05-02","Per=M","Days=T","Dir=V")</f>
        <v>0</v>
      </c>
      <c r="AY2">
        <f>BDH("XYZ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BDH("YARW US Equity","BS_TOT_ASSET","1993-06-18","2026-05-02","Per=Y","Days=T","Dir=V")</f>
        <v>0</v>
      </c>
      <c r="C2">
        <f>BDH("YARW US Equity","BS_TOT_LIAB2","1993-06-18","2026-05-02","Per=Y","Days=T","Dir=V")</f>
        <v>0</v>
      </c>
      <c r="E2">
        <f>BDH("YARW US Equity","SHORT_AND_LONG_TERM_DEBT","1993-06-18","2026-05-02","Per=Y","Days=T","Dir=V")</f>
        <v>0</v>
      </c>
      <c r="G2">
        <f>BDH("YARW US Equity","BS_ST_BORROW","1993-06-18","2026-05-02","Per=Y","Days=T","Dir=V")</f>
        <v>0</v>
      </c>
      <c r="I2">
        <f>BDH("YARW US Equity","BS_LT_BORROW","1993-06-18","2026-05-02","Per=Y","Days=T","Dir=V")</f>
        <v>0</v>
      </c>
      <c r="K2">
        <f>BDH("YARW US Equity","BS_CASH_NEAR_CASH_ITEM","1993-06-18","2026-05-02","Per=Y","Days=T","Dir=V")</f>
        <v>0</v>
      </c>
      <c r="M2">
        <f>BDH("YARW US Equity","BS_CUR_ASSET_REPORT","1993-06-18","2026-05-02","Per=Y","Days=T","Dir=V")</f>
        <v>0</v>
      </c>
      <c r="O2">
        <f>BDH("YARW US Equity","BS_CUR_LIAB","1993-06-18","2026-05-02","Per=Y","Days=T","Dir=V")</f>
        <v>0</v>
      </c>
      <c r="Q2">
        <f>BDH("YARW US Equity","BS_SHAREHOLDER_EQY_ENDING_PERIOD","1993-06-18","2026-05-02","Per=Y","Days=T","Dir=V")</f>
        <v>0</v>
      </c>
      <c r="S2">
        <f>BDH("YARW US Equity","BS_ACCT_NOTE_RCV","1993-06-18","2026-05-02","Per=Y","Days=T","Dir=V")</f>
        <v>0</v>
      </c>
      <c r="U2">
        <f>BDH("YARW US Equity","BS_INVENTORIES","1993-06-18","2026-05-02","Per=Y","Days=T","Dir=V")</f>
        <v>0</v>
      </c>
      <c r="W2">
        <f>BDH("YARW US Equity","WORKING_CAPITAL","1993-06-18","2026-05-02","Per=Y","Days=T","Dir=V")</f>
        <v>0</v>
      </c>
      <c r="Y2">
        <f>BDH("YARW US Equity","SALES_REV_TURN","1993-06-18","2026-05-02","Per=Y","Days=T","Dir=V")</f>
        <v>0</v>
      </c>
      <c r="AA2">
        <f>BDH("YARW US Equity","EBIT","1993-06-18","2026-05-02","Per=Y","Days=T","Dir=V")</f>
        <v>0</v>
      </c>
      <c r="AC2">
        <f>BDH("YARW US Equity","EBITDA","1993-06-18","2026-05-02","Per=Y","Days=T","Dir=V")</f>
        <v>0</v>
      </c>
      <c r="AE2">
        <f>BDH("YARW US Equity","NET_INCOME","1993-06-18","2026-05-02","Per=Y","Days=T","Dir=V")</f>
        <v>0</v>
      </c>
      <c r="AG2">
        <f>BDH("YARW US Equity","IS_INT_EXPENSE","1993-06-18","2026-05-02","Per=Y","Days=T","Dir=V")</f>
        <v>0</v>
      </c>
      <c r="AI2">
        <f>BDH("YARW US Equity","IS_DEPR_EXP","1993-06-18","2026-05-02","Per=Y","Days=T","Dir=V")</f>
        <v>0</v>
      </c>
      <c r="AK2">
        <f>BDH("YARW US Equity","CF_CASH_FROM_OPER","1993-06-18","2026-05-02","Per=Y","Days=T","Dir=V")</f>
        <v>0</v>
      </c>
      <c r="AM2">
        <f>BDH("YARW US Equity","CAPITAL_EXPEND","1993-06-18","2026-05-02","Per=Y","Days=T","Dir=V")</f>
        <v>0</v>
      </c>
      <c r="AO2">
        <f>BDH("YARW US Equity","CF_FREE_CASH_FLOW","1993-06-18","2026-05-02","Per=Y","Days=T","Dir=V")</f>
        <v>0</v>
      </c>
      <c r="AQ2">
        <f>BDH("YARW US Equity","PX_LAST","1993-06-18","2026-05-02","Per=M","Days=T","Dir=V")</f>
        <v>0</v>
      </c>
      <c r="AS2">
        <f>BDH("YARW US Equity","CUR_MKT_CAP","1993-06-18","2026-05-02","Per=M","Days=T","Dir=V")</f>
        <v>0</v>
      </c>
      <c r="AU2">
        <f>BDH("YARW US Equity","EQY_SH_OUT","1993-06-18","2026-05-02","Per=M","Days=T","Dir=V")</f>
        <v>0</v>
      </c>
      <c r="AW2">
        <f>BDH("YARW US Equity","PX_VOLUME","1993-06-18","2026-05-02","Per=M","Days=T","Dir=V")</f>
        <v>0</v>
      </c>
      <c r="AY2">
        <f>BDH("YARW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BDH("YCBD US Equity","BS_TOT_ASSET","1993-06-18","2026-05-02","Per=Y","Days=T","Dir=V")</f>
        <v>0</v>
      </c>
      <c r="C2">
        <f>BDH("YCBD US Equity","BS_TOT_LIAB2","1993-06-18","2026-05-02","Per=Y","Days=T","Dir=V")</f>
        <v>0</v>
      </c>
      <c r="E2">
        <f>BDH("YCBD US Equity","SHORT_AND_LONG_TERM_DEBT","1993-06-18","2026-05-02","Per=Y","Days=T","Dir=V")</f>
        <v>0</v>
      </c>
      <c r="G2">
        <f>BDH("YCBD US Equity","BS_ST_BORROW","1993-06-18","2026-05-02","Per=Y","Days=T","Dir=V")</f>
        <v>0</v>
      </c>
      <c r="I2">
        <f>BDH("YCBD US Equity","BS_LT_BORROW","1993-06-18","2026-05-02","Per=Y","Days=T","Dir=V")</f>
        <v>0</v>
      </c>
      <c r="K2">
        <f>BDH("YCBD US Equity","BS_CASH_NEAR_CASH_ITEM","1993-06-18","2026-05-02","Per=Y","Days=T","Dir=V")</f>
        <v>0</v>
      </c>
      <c r="M2">
        <f>BDH("YCBD US Equity","BS_CUR_ASSET_REPORT","1993-06-18","2026-05-02","Per=Y","Days=T","Dir=V")</f>
        <v>0</v>
      </c>
      <c r="O2">
        <f>BDH("YCBD US Equity","BS_CUR_LIAB","1993-06-18","2026-05-02","Per=Y","Days=T","Dir=V")</f>
        <v>0</v>
      </c>
      <c r="Q2">
        <f>BDH("YCBD US Equity","BS_SHAREHOLDER_EQY_ENDING_PERIOD","1993-06-18","2026-05-02","Per=Y","Days=T","Dir=V")</f>
        <v>0</v>
      </c>
      <c r="S2">
        <f>BDH("YCBD US Equity","BS_ACCT_NOTE_RCV","1993-06-18","2026-05-02","Per=Y","Days=T","Dir=V")</f>
        <v>0</v>
      </c>
      <c r="U2">
        <f>BDH("YCBD US Equity","BS_INVENTORIES","1993-06-18","2026-05-02","Per=Y","Days=T","Dir=V")</f>
        <v>0</v>
      </c>
      <c r="W2">
        <f>BDH("YCBD US Equity","WORKING_CAPITAL","1993-06-18","2026-05-02","Per=Y","Days=T","Dir=V")</f>
        <v>0</v>
      </c>
      <c r="Y2">
        <f>BDH("YCBD US Equity","SALES_REV_TURN","1993-06-18","2026-05-02","Per=Y","Days=T","Dir=V")</f>
        <v>0</v>
      </c>
      <c r="AA2">
        <f>BDH("YCBD US Equity","EBIT","1993-06-18","2026-05-02","Per=Y","Days=T","Dir=V")</f>
        <v>0</v>
      </c>
      <c r="AC2">
        <f>BDH("YCBD US Equity","EBITDA","1993-06-18","2026-05-02","Per=Y","Days=T","Dir=V")</f>
        <v>0</v>
      </c>
      <c r="AE2">
        <f>BDH("YCBD US Equity","NET_INCOME","1993-06-18","2026-05-02","Per=Y","Days=T","Dir=V")</f>
        <v>0</v>
      </c>
      <c r="AG2">
        <f>BDH("YCBD US Equity","IS_INT_EXPENSE","1993-06-18","2026-05-02","Per=Y","Days=T","Dir=V")</f>
        <v>0</v>
      </c>
      <c r="AI2">
        <f>BDH("YCBD US Equity","IS_DEPR_EXP","1993-06-18","2026-05-02","Per=Y","Days=T","Dir=V")</f>
        <v>0</v>
      </c>
      <c r="AK2">
        <f>BDH("YCBD US Equity","CF_CASH_FROM_OPER","1993-06-18","2026-05-02","Per=Y","Days=T","Dir=V")</f>
        <v>0</v>
      </c>
      <c r="AM2">
        <f>BDH("YCBD US Equity","CAPITAL_EXPEND","1993-06-18","2026-05-02","Per=Y","Days=T","Dir=V")</f>
        <v>0</v>
      </c>
      <c r="AO2">
        <f>BDH("YCBD US Equity","CF_FREE_CASH_FLOW","1993-06-18","2026-05-02","Per=Y","Days=T","Dir=V")</f>
        <v>0</v>
      </c>
      <c r="AQ2">
        <f>BDH("YCBD US Equity","PX_LAST","1993-06-18","2026-05-02","Per=M","Days=T","Dir=V")</f>
        <v>0</v>
      </c>
      <c r="AS2">
        <f>BDH("YCBD US Equity","CUR_MKT_CAP","1993-06-18","2026-05-02","Per=M","Days=T","Dir=V")</f>
        <v>0</v>
      </c>
      <c r="AU2">
        <f>BDH("YCBD US Equity","EQY_SH_OUT","1993-06-18","2026-05-02","Per=M","Days=T","Dir=V")</f>
        <v>0</v>
      </c>
      <c r="AW2">
        <f>BDH("YCBD US Equity","PX_VOLUME","1993-06-18","2026-05-02","Per=M","Days=T","Dir=V")</f>
        <v>0</v>
      </c>
      <c r="AY2">
        <f>BDH("YCBD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BDH("YDES US Equity","BS_TOT_ASSET","1993-06-18","2026-05-02","Per=Y","Days=T","Dir=V")</f>
        <v>0</v>
      </c>
      <c r="C2">
        <f>BDH("YDES US Equity","BS_TOT_LIAB2","1993-06-18","2026-05-02","Per=Y","Days=T","Dir=V")</f>
        <v>0</v>
      </c>
      <c r="E2">
        <f>BDH("YDES US Equity","SHORT_AND_LONG_TERM_DEBT","1993-06-18","2026-05-02","Per=Y","Days=T","Dir=V")</f>
        <v>0</v>
      </c>
      <c r="G2">
        <f>BDH("YDES US Equity","BS_ST_BORROW","1993-06-18","2026-05-02","Per=Y","Days=T","Dir=V")</f>
        <v>0</v>
      </c>
      <c r="I2">
        <f>BDH("YDES US Equity","BS_LT_BORROW","1993-06-18","2026-05-02","Per=Y","Days=T","Dir=V")</f>
        <v>0</v>
      </c>
      <c r="K2">
        <f>BDH("YDES US Equity","BS_CASH_NEAR_CASH_ITEM","1993-06-18","2026-05-02","Per=Y","Days=T","Dir=V")</f>
        <v>0</v>
      </c>
      <c r="M2">
        <f>BDH("YDES US Equity","BS_CUR_ASSET_REPORT","1993-06-18","2026-05-02","Per=Y","Days=T","Dir=V")</f>
        <v>0</v>
      </c>
      <c r="O2">
        <f>BDH("YDES US Equity","BS_CUR_LIAB","1993-06-18","2026-05-02","Per=Y","Days=T","Dir=V")</f>
        <v>0</v>
      </c>
      <c r="Q2">
        <f>BDH("YDES US Equity","BS_SHAREHOLDER_EQY_ENDING_PERIOD","1993-06-18","2026-05-02","Per=Y","Days=T","Dir=V")</f>
        <v>0</v>
      </c>
      <c r="S2">
        <f>BDH("YDES US Equity","BS_ACCT_NOTE_RCV","1993-06-18","2026-05-02","Per=Y","Days=T","Dir=V")</f>
        <v>0</v>
      </c>
      <c r="U2">
        <f>BDH("YDES US Equity","BS_INVENTORIES","1993-06-18","2026-05-02","Per=Y","Days=T","Dir=V")</f>
        <v>0</v>
      </c>
      <c r="W2">
        <f>BDH("YDES US Equity","WORKING_CAPITAL","1993-06-18","2026-05-02","Per=Y","Days=T","Dir=V")</f>
        <v>0</v>
      </c>
      <c r="Y2">
        <f>BDH("YDES US Equity","SALES_REV_TURN","1993-06-18","2026-05-02","Per=Y","Days=T","Dir=V")</f>
        <v>0</v>
      </c>
      <c r="AA2">
        <f>BDH("YDES US Equity","EBIT","1993-06-18","2026-05-02","Per=Y","Days=T","Dir=V")</f>
        <v>0</v>
      </c>
      <c r="AC2">
        <f>BDH("YDES US Equity","EBITDA","1993-06-18","2026-05-02","Per=Y","Days=T","Dir=V")</f>
        <v>0</v>
      </c>
      <c r="AE2">
        <f>BDH("YDES US Equity","NET_INCOME","1993-06-18","2026-05-02","Per=Y","Days=T","Dir=V")</f>
        <v>0</v>
      </c>
      <c r="AG2">
        <f>BDH("YDES US Equity","IS_INT_EXPENSE","1993-06-18","2026-05-02","Per=Y","Days=T","Dir=V")</f>
        <v>0</v>
      </c>
      <c r="AI2">
        <f>BDH("YDES US Equity","IS_DEPR_EXP","1993-06-18","2026-05-02","Per=Y","Days=T","Dir=V")</f>
        <v>0</v>
      </c>
      <c r="AK2">
        <f>BDH("YDES US Equity","CF_CASH_FROM_OPER","1993-06-18","2026-05-02","Per=Y","Days=T","Dir=V")</f>
        <v>0</v>
      </c>
      <c r="AM2">
        <f>BDH("YDES US Equity","CAPITAL_EXPEND","1993-06-18","2026-05-02","Per=Y","Days=T","Dir=V")</f>
        <v>0</v>
      </c>
      <c r="AO2">
        <f>BDH("YDES US Equity","CF_FREE_CASH_FLOW","1993-06-18","2026-05-02","Per=Y","Days=T","Dir=V")</f>
        <v>0</v>
      </c>
      <c r="AQ2">
        <f>BDH("YDES US Equity","PX_LAST","1993-06-18","2026-05-02","Per=M","Days=T","Dir=V")</f>
        <v>0</v>
      </c>
      <c r="AS2">
        <f>BDH("YDES US Equity","CUR_MKT_CAP","1993-06-18","2026-05-02","Per=M","Days=T","Dir=V")</f>
        <v>0</v>
      </c>
      <c r="AU2">
        <f>BDH("YDES US Equity","EQY_SH_OUT","1993-06-18","2026-05-02","Per=M","Days=T","Dir=V")</f>
        <v>0</v>
      </c>
      <c r="AW2">
        <f>BDH("YDES US Equity","PX_VOLUME","1993-06-18","2026-05-02","Per=M","Days=T","Dir=V")</f>
        <v>0</v>
      </c>
      <c r="AY2">
        <f>BDH("YDES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BDH("YDESW US Equity","BS_TOT_ASSET","1993-06-18","2026-05-02","Per=Y","Days=T","Dir=V")</f>
        <v>0</v>
      </c>
      <c r="C2">
        <f>BDH("YDESW US Equity","BS_TOT_LIAB2","1993-06-18","2026-05-02","Per=Y","Days=T","Dir=V")</f>
        <v>0</v>
      </c>
      <c r="E2">
        <f>BDH("YDESW US Equity","SHORT_AND_LONG_TERM_DEBT","1993-06-18","2026-05-02","Per=Y","Days=T","Dir=V")</f>
        <v>0</v>
      </c>
      <c r="G2">
        <f>BDH("YDESW US Equity","BS_ST_BORROW","1993-06-18","2026-05-02","Per=Y","Days=T","Dir=V")</f>
        <v>0</v>
      </c>
      <c r="I2">
        <f>BDH("YDESW US Equity","BS_LT_BORROW","1993-06-18","2026-05-02","Per=Y","Days=T","Dir=V")</f>
        <v>0</v>
      </c>
      <c r="K2">
        <f>BDH("YDESW US Equity","BS_CASH_NEAR_CASH_ITEM","1993-06-18","2026-05-02","Per=Y","Days=T","Dir=V")</f>
        <v>0</v>
      </c>
      <c r="M2">
        <f>BDH("YDESW US Equity","BS_CUR_ASSET_REPORT","1993-06-18","2026-05-02","Per=Y","Days=T","Dir=V")</f>
        <v>0</v>
      </c>
      <c r="O2">
        <f>BDH("YDESW US Equity","BS_CUR_LIAB","1993-06-18","2026-05-02","Per=Y","Days=T","Dir=V")</f>
        <v>0</v>
      </c>
      <c r="Q2">
        <f>BDH("YDESW US Equity","BS_SHAREHOLDER_EQY_ENDING_PERIOD","1993-06-18","2026-05-02","Per=Y","Days=T","Dir=V")</f>
        <v>0</v>
      </c>
      <c r="S2">
        <f>BDH("YDESW US Equity","BS_ACCT_NOTE_RCV","1993-06-18","2026-05-02","Per=Y","Days=T","Dir=V")</f>
        <v>0</v>
      </c>
      <c r="U2">
        <f>BDH("YDESW US Equity","BS_INVENTORIES","1993-06-18","2026-05-02","Per=Y","Days=T","Dir=V")</f>
        <v>0</v>
      </c>
      <c r="W2">
        <f>BDH("YDESW US Equity","WORKING_CAPITAL","1993-06-18","2026-05-02","Per=Y","Days=T","Dir=V")</f>
        <v>0</v>
      </c>
      <c r="Y2">
        <f>BDH("YDESW US Equity","SALES_REV_TURN","1993-06-18","2026-05-02","Per=Y","Days=T","Dir=V")</f>
        <v>0</v>
      </c>
      <c r="AA2">
        <f>BDH("YDESW US Equity","EBIT","1993-06-18","2026-05-02","Per=Y","Days=T","Dir=V")</f>
        <v>0</v>
      </c>
      <c r="AC2">
        <f>BDH("YDESW US Equity","EBITDA","1993-06-18","2026-05-02","Per=Y","Days=T","Dir=V")</f>
        <v>0</v>
      </c>
      <c r="AE2">
        <f>BDH("YDESW US Equity","NET_INCOME","1993-06-18","2026-05-02","Per=Y","Days=T","Dir=V")</f>
        <v>0</v>
      </c>
      <c r="AG2">
        <f>BDH("YDESW US Equity","IS_INT_EXPENSE","1993-06-18","2026-05-02","Per=Y","Days=T","Dir=V")</f>
        <v>0</v>
      </c>
      <c r="AI2">
        <f>BDH("YDESW US Equity","IS_DEPR_EXP","1993-06-18","2026-05-02","Per=Y","Days=T","Dir=V")</f>
        <v>0</v>
      </c>
      <c r="AK2">
        <f>BDH("YDESW US Equity","CF_CASH_FROM_OPER","1993-06-18","2026-05-02","Per=Y","Days=T","Dir=V")</f>
        <v>0</v>
      </c>
      <c r="AM2">
        <f>BDH("YDESW US Equity","CAPITAL_EXPEND","1993-06-18","2026-05-02","Per=Y","Days=T","Dir=V")</f>
        <v>0</v>
      </c>
      <c r="AO2">
        <f>BDH("YDESW US Equity","CF_FREE_CASH_FLOW","1993-06-18","2026-05-02","Per=Y","Days=T","Dir=V")</f>
        <v>0</v>
      </c>
      <c r="AQ2">
        <f>BDH("YDESW US Equity","PX_LAST","1993-06-18","2026-05-02","Per=M","Days=T","Dir=V")</f>
        <v>0</v>
      </c>
      <c r="AS2">
        <f>BDH("YDESW US Equity","CUR_MKT_CAP","1993-06-18","2026-05-02","Per=M","Days=T","Dir=V")</f>
        <v>0</v>
      </c>
      <c r="AU2">
        <f>BDH("YDESW US Equity","EQY_SH_OUT","1993-06-18","2026-05-02","Per=M","Days=T","Dir=V")</f>
        <v>0</v>
      </c>
      <c r="AW2">
        <f>BDH("YDESW US Equity","PX_VOLUME","1993-06-18","2026-05-02","Per=M","Days=T","Dir=V")</f>
        <v>0</v>
      </c>
      <c r="AY2">
        <f>BDH("YDESW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BDH("YELP US Equity","BS_TOT_ASSET","1993-06-18","2026-05-02","Per=Y","Days=T","Dir=V")</f>
        <v>0</v>
      </c>
      <c r="C2">
        <f>BDH("YELP US Equity","BS_TOT_LIAB2","1993-06-18","2026-05-02","Per=Y","Days=T","Dir=V")</f>
        <v>0</v>
      </c>
      <c r="E2">
        <f>BDH("YELP US Equity","SHORT_AND_LONG_TERM_DEBT","1993-06-18","2026-05-02","Per=Y","Days=T","Dir=V")</f>
        <v>0</v>
      </c>
      <c r="G2">
        <f>BDH("YELP US Equity","BS_ST_BORROW","1993-06-18","2026-05-02","Per=Y","Days=T","Dir=V")</f>
        <v>0</v>
      </c>
      <c r="I2">
        <f>BDH("YELP US Equity","BS_LT_BORROW","1993-06-18","2026-05-02","Per=Y","Days=T","Dir=V")</f>
        <v>0</v>
      </c>
      <c r="K2">
        <f>BDH("YELP US Equity","BS_CASH_NEAR_CASH_ITEM","1993-06-18","2026-05-02","Per=Y","Days=T","Dir=V")</f>
        <v>0</v>
      </c>
      <c r="M2">
        <f>BDH("YELP US Equity","BS_CUR_ASSET_REPORT","1993-06-18","2026-05-02","Per=Y","Days=T","Dir=V")</f>
        <v>0</v>
      </c>
      <c r="O2">
        <f>BDH("YELP US Equity","BS_CUR_LIAB","1993-06-18","2026-05-02","Per=Y","Days=T","Dir=V")</f>
        <v>0</v>
      </c>
      <c r="Q2">
        <f>BDH("YELP US Equity","BS_SHAREHOLDER_EQY_ENDING_PERIOD","1993-06-18","2026-05-02","Per=Y","Days=T","Dir=V")</f>
        <v>0</v>
      </c>
      <c r="S2">
        <f>BDH("YELP US Equity","BS_ACCT_NOTE_RCV","1993-06-18","2026-05-02","Per=Y","Days=T","Dir=V")</f>
        <v>0</v>
      </c>
      <c r="U2">
        <f>BDH("YELP US Equity","BS_INVENTORIES","1993-06-18","2026-05-02","Per=Y","Days=T","Dir=V")</f>
        <v>0</v>
      </c>
      <c r="W2">
        <f>BDH("YELP US Equity","WORKING_CAPITAL","1993-06-18","2026-05-02","Per=Y","Days=T","Dir=V")</f>
        <v>0</v>
      </c>
      <c r="Y2">
        <f>BDH("YELP US Equity","SALES_REV_TURN","1993-06-18","2026-05-02","Per=Y","Days=T","Dir=V")</f>
        <v>0</v>
      </c>
      <c r="AA2">
        <f>BDH("YELP US Equity","EBIT","1993-06-18","2026-05-02","Per=Y","Days=T","Dir=V")</f>
        <v>0</v>
      </c>
      <c r="AC2">
        <f>BDH("YELP US Equity","EBITDA","1993-06-18","2026-05-02","Per=Y","Days=T","Dir=V")</f>
        <v>0</v>
      </c>
      <c r="AE2">
        <f>BDH("YELP US Equity","NET_INCOME","1993-06-18","2026-05-02","Per=Y","Days=T","Dir=V")</f>
        <v>0</v>
      </c>
      <c r="AG2">
        <f>BDH("YELP US Equity","IS_INT_EXPENSE","1993-06-18","2026-05-02","Per=Y","Days=T","Dir=V")</f>
        <v>0</v>
      </c>
      <c r="AI2">
        <f>BDH("YELP US Equity","IS_DEPR_EXP","1993-06-18","2026-05-02","Per=Y","Days=T","Dir=V")</f>
        <v>0</v>
      </c>
      <c r="AK2">
        <f>BDH("YELP US Equity","CF_CASH_FROM_OPER","1993-06-18","2026-05-02","Per=Y","Days=T","Dir=V")</f>
        <v>0</v>
      </c>
      <c r="AM2">
        <f>BDH("YELP US Equity","CAPITAL_EXPEND","1993-06-18","2026-05-02","Per=Y","Days=T","Dir=V")</f>
        <v>0</v>
      </c>
      <c r="AO2">
        <f>BDH("YELP US Equity","CF_FREE_CASH_FLOW","1993-06-18","2026-05-02","Per=Y","Days=T","Dir=V")</f>
        <v>0</v>
      </c>
      <c r="AQ2">
        <f>BDH("YELP US Equity","PX_LAST","1993-06-18","2026-05-02","Per=M","Days=T","Dir=V")</f>
        <v>0</v>
      </c>
      <c r="AS2">
        <f>BDH("YELP US Equity","CUR_MKT_CAP","1993-06-18","2026-05-02","Per=M","Days=T","Dir=V")</f>
        <v>0</v>
      </c>
      <c r="AU2">
        <f>BDH("YELP US Equity","EQY_SH_OUT","1993-06-18","2026-05-02","Per=M","Days=T","Dir=V")</f>
        <v>0</v>
      </c>
      <c r="AW2">
        <f>BDH("YELP US Equity","PX_VOLUME","1993-06-18","2026-05-02","Per=M","Days=T","Dir=V")</f>
        <v>0</v>
      </c>
      <c r="AY2">
        <f>BDH("YELP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BDH("YETI US Equity","BS_TOT_ASSET","1993-06-18","2026-05-02","Per=Y","Days=T","Dir=V")</f>
        <v>0</v>
      </c>
      <c r="C2">
        <f>BDH("YETI US Equity","BS_TOT_LIAB2","1993-06-18","2026-05-02","Per=Y","Days=T","Dir=V")</f>
        <v>0</v>
      </c>
      <c r="E2">
        <f>BDH("YETI US Equity","SHORT_AND_LONG_TERM_DEBT","1993-06-18","2026-05-02","Per=Y","Days=T","Dir=V")</f>
        <v>0</v>
      </c>
      <c r="G2">
        <f>BDH("YETI US Equity","BS_ST_BORROW","1993-06-18","2026-05-02","Per=Y","Days=T","Dir=V")</f>
        <v>0</v>
      </c>
      <c r="I2">
        <f>BDH("YETI US Equity","BS_LT_BORROW","1993-06-18","2026-05-02","Per=Y","Days=T","Dir=V")</f>
        <v>0</v>
      </c>
      <c r="K2">
        <f>BDH("YETI US Equity","BS_CASH_NEAR_CASH_ITEM","1993-06-18","2026-05-02","Per=Y","Days=T","Dir=V")</f>
        <v>0</v>
      </c>
      <c r="M2">
        <f>BDH("YETI US Equity","BS_CUR_ASSET_REPORT","1993-06-18","2026-05-02","Per=Y","Days=T","Dir=V")</f>
        <v>0</v>
      </c>
      <c r="O2">
        <f>BDH("YETI US Equity","BS_CUR_LIAB","1993-06-18","2026-05-02","Per=Y","Days=T","Dir=V")</f>
        <v>0</v>
      </c>
      <c r="Q2">
        <f>BDH("YETI US Equity","BS_SHAREHOLDER_EQY_ENDING_PERIOD","1993-06-18","2026-05-02","Per=Y","Days=T","Dir=V")</f>
        <v>0</v>
      </c>
      <c r="S2">
        <f>BDH("YETI US Equity","BS_ACCT_NOTE_RCV","1993-06-18","2026-05-02","Per=Y","Days=T","Dir=V")</f>
        <v>0</v>
      </c>
      <c r="U2">
        <f>BDH("YETI US Equity","BS_INVENTORIES","1993-06-18","2026-05-02","Per=Y","Days=T","Dir=V")</f>
        <v>0</v>
      </c>
      <c r="W2">
        <f>BDH("YETI US Equity","WORKING_CAPITAL","1993-06-18","2026-05-02","Per=Y","Days=T","Dir=V")</f>
        <v>0</v>
      </c>
      <c r="Y2">
        <f>BDH("YETI US Equity","SALES_REV_TURN","1993-06-18","2026-05-02","Per=Y","Days=T","Dir=V")</f>
        <v>0</v>
      </c>
      <c r="AA2">
        <f>BDH("YETI US Equity","EBIT","1993-06-18","2026-05-02","Per=Y","Days=T","Dir=V")</f>
        <v>0</v>
      </c>
      <c r="AC2">
        <f>BDH("YETI US Equity","EBITDA","1993-06-18","2026-05-02","Per=Y","Days=T","Dir=V")</f>
        <v>0</v>
      </c>
      <c r="AE2">
        <f>BDH("YETI US Equity","NET_INCOME","1993-06-18","2026-05-02","Per=Y","Days=T","Dir=V")</f>
        <v>0</v>
      </c>
      <c r="AG2">
        <f>BDH("YETI US Equity","IS_INT_EXPENSE","1993-06-18","2026-05-02","Per=Y","Days=T","Dir=V")</f>
        <v>0</v>
      </c>
      <c r="AI2">
        <f>BDH("YETI US Equity","IS_DEPR_EXP","1993-06-18","2026-05-02","Per=Y","Days=T","Dir=V")</f>
        <v>0</v>
      </c>
      <c r="AK2">
        <f>BDH("YETI US Equity","CF_CASH_FROM_OPER","1993-06-18","2026-05-02","Per=Y","Days=T","Dir=V")</f>
        <v>0</v>
      </c>
      <c r="AM2">
        <f>BDH("YETI US Equity","CAPITAL_EXPEND","1993-06-18","2026-05-02","Per=Y","Days=T","Dir=V")</f>
        <v>0</v>
      </c>
      <c r="AO2">
        <f>BDH("YETI US Equity","CF_FREE_CASH_FLOW","1993-06-18","2026-05-02","Per=Y","Days=T","Dir=V")</f>
        <v>0</v>
      </c>
      <c r="AQ2">
        <f>BDH("YETI US Equity","PX_LAST","1993-06-18","2026-05-02","Per=M","Days=T","Dir=V")</f>
        <v>0</v>
      </c>
      <c r="AS2">
        <f>BDH("YETI US Equity","CUR_MKT_CAP","1993-06-18","2026-05-02","Per=M","Days=T","Dir=V")</f>
        <v>0</v>
      </c>
      <c r="AU2">
        <f>BDH("YETI US Equity","EQY_SH_OUT","1993-06-18","2026-05-02","Per=M","Days=T","Dir=V")</f>
        <v>0</v>
      </c>
      <c r="AW2">
        <f>BDH("YETI US Equity","PX_VOLUME","1993-06-18","2026-05-02","Per=M","Days=T","Dir=V")</f>
        <v>0</v>
      </c>
      <c r="AY2">
        <f>BDH("YETI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BDH("YEXT US Equity","BS_TOT_ASSET","1993-06-18","2026-05-02","Per=Y","Days=T","Dir=V")</f>
        <v>0</v>
      </c>
      <c r="C2">
        <f>BDH("YEXT US Equity","BS_TOT_LIAB2","1993-06-18","2026-05-02","Per=Y","Days=T","Dir=V")</f>
        <v>0</v>
      </c>
      <c r="E2">
        <f>BDH("YEXT US Equity","SHORT_AND_LONG_TERM_DEBT","1993-06-18","2026-05-02","Per=Y","Days=T","Dir=V")</f>
        <v>0</v>
      </c>
      <c r="G2">
        <f>BDH("YEXT US Equity","BS_ST_BORROW","1993-06-18","2026-05-02","Per=Y","Days=T","Dir=V")</f>
        <v>0</v>
      </c>
      <c r="I2">
        <f>BDH("YEXT US Equity","BS_LT_BORROW","1993-06-18","2026-05-02","Per=Y","Days=T","Dir=V")</f>
        <v>0</v>
      </c>
      <c r="K2">
        <f>BDH("YEXT US Equity","BS_CASH_NEAR_CASH_ITEM","1993-06-18","2026-05-02","Per=Y","Days=T","Dir=V")</f>
        <v>0</v>
      </c>
      <c r="M2">
        <f>BDH("YEXT US Equity","BS_CUR_ASSET_REPORT","1993-06-18","2026-05-02","Per=Y","Days=T","Dir=V")</f>
        <v>0</v>
      </c>
      <c r="O2">
        <f>BDH("YEXT US Equity","BS_CUR_LIAB","1993-06-18","2026-05-02","Per=Y","Days=T","Dir=V")</f>
        <v>0</v>
      </c>
      <c r="Q2">
        <f>BDH("YEXT US Equity","BS_SHAREHOLDER_EQY_ENDING_PERIOD","1993-06-18","2026-05-02","Per=Y","Days=T","Dir=V")</f>
        <v>0</v>
      </c>
      <c r="S2">
        <f>BDH("YEXT US Equity","BS_ACCT_NOTE_RCV","1993-06-18","2026-05-02","Per=Y","Days=T","Dir=V")</f>
        <v>0</v>
      </c>
      <c r="U2">
        <f>BDH("YEXT US Equity","BS_INVENTORIES","1993-06-18","2026-05-02","Per=Y","Days=T","Dir=V")</f>
        <v>0</v>
      </c>
      <c r="W2">
        <f>BDH("YEXT US Equity","WORKING_CAPITAL","1993-06-18","2026-05-02","Per=Y","Days=T","Dir=V")</f>
        <v>0</v>
      </c>
      <c r="Y2">
        <f>BDH("YEXT US Equity","SALES_REV_TURN","1993-06-18","2026-05-02","Per=Y","Days=T","Dir=V")</f>
        <v>0</v>
      </c>
      <c r="AA2">
        <f>BDH("YEXT US Equity","EBIT","1993-06-18","2026-05-02","Per=Y","Days=T","Dir=V")</f>
        <v>0</v>
      </c>
      <c r="AC2">
        <f>BDH("YEXT US Equity","EBITDA","1993-06-18","2026-05-02","Per=Y","Days=T","Dir=V")</f>
        <v>0</v>
      </c>
      <c r="AE2">
        <f>BDH("YEXT US Equity","NET_INCOME","1993-06-18","2026-05-02","Per=Y","Days=T","Dir=V")</f>
        <v>0</v>
      </c>
      <c r="AG2">
        <f>BDH("YEXT US Equity","IS_INT_EXPENSE","1993-06-18","2026-05-02","Per=Y","Days=T","Dir=V")</f>
        <v>0</v>
      </c>
      <c r="AI2">
        <f>BDH("YEXT US Equity","IS_DEPR_EXP","1993-06-18","2026-05-02","Per=Y","Days=T","Dir=V")</f>
        <v>0</v>
      </c>
      <c r="AK2">
        <f>BDH("YEXT US Equity","CF_CASH_FROM_OPER","1993-06-18","2026-05-02","Per=Y","Days=T","Dir=V")</f>
        <v>0</v>
      </c>
      <c r="AM2">
        <f>BDH("YEXT US Equity","CAPITAL_EXPEND","1993-06-18","2026-05-02","Per=Y","Days=T","Dir=V")</f>
        <v>0</v>
      </c>
      <c r="AO2">
        <f>BDH("YEXT US Equity","CF_FREE_CASH_FLOW","1993-06-18","2026-05-02","Per=Y","Days=T","Dir=V")</f>
        <v>0</v>
      </c>
      <c r="AQ2">
        <f>BDH("YEXT US Equity","PX_LAST","1993-06-18","2026-05-02","Per=M","Days=T","Dir=V")</f>
        <v>0</v>
      </c>
      <c r="AS2">
        <f>BDH("YEXT US Equity","CUR_MKT_CAP","1993-06-18","2026-05-02","Per=M","Days=T","Dir=V")</f>
        <v>0</v>
      </c>
      <c r="AU2">
        <f>BDH("YEXT US Equity","EQY_SH_OUT","1993-06-18","2026-05-02","Per=M","Days=T","Dir=V")</f>
        <v>0</v>
      </c>
      <c r="AW2">
        <f>BDH("YEXT US Equity","PX_VOLUME","1993-06-18","2026-05-02","Per=M","Days=T","Dir=V")</f>
        <v>0</v>
      </c>
      <c r="AY2">
        <f>BDH("YEXT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BDH("YHC US Equity","BS_TOT_ASSET","1993-06-18","2026-05-02","Per=Y","Days=T","Dir=V")</f>
        <v>0</v>
      </c>
      <c r="C2">
        <f>BDH("YHC US Equity","BS_TOT_LIAB2","1993-06-18","2026-05-02","Per=Y","Days=T","Dir=V")</f>
        <v>0</v>
      </c>
      <c r="E2">
        <f>BDH("YHC US Equity","SHORT_AND_LONG_TERM_DEBT","1993-06-18","2026-05-02","Per=Y","Days=T","Dir=V")</f>
        <v>0</v>
      </c>
      <c r="G2">
        <f>BDH("YHC US Equity","BS_ST_BORROW","1993-06-18","2026-05-02","Per=Y","Days=T","Dir=V")</f>
        <v>0</v>
      </c>
      <c r="I2">
        <f>BDH("YHC US Equity","BS_LT_BORROW","1993-06-18","2026-05-02","Per=Y","Days=T","Dir=V")</f>
        <v>0</v>
      </c>
      <c r="K2">
        <f>BDH("YHC US Equity","BS_CASH_NEAR_CASH_ITEM","1993-06-18","2026-05-02","Per=Y","Days=T","Dir=V")</f>
        <v>0</v>
      </c>
      <c r="M2">
        <f>BDH("YHC US Equity","BS_CUR_ASSET_REPORT","1993-06-18","2026-05-02","Per=Y","Days=T","Dir=V")</f>
        <v>0</v>
      </c>
      <c r="O2">
        <f>BDH("YHC US Equity","BS_CUR_LIAB","1993-06-18","2026-05-02","Per=Y","Days=T","Dir=V")</f>
        <v>0</v>
      </c>
      <c r="Q2">
        <f>BDH("YHC US Equity","BS_SHAREHOLDER_EQY_ENDING_PERIOD","1993-06-18","2026-05-02","Per=Y","Days=T","Dir=V")</f>
        <v>0</v>
      </c>
      <c r="S2">
        <f>BDH("YHC US Equity","BS_ACCT_NOTE_RCV","1993-06-18","2026-05-02","Per=Y","Days=T","Dir=V")</f>
        <v>0</v>
      </c>
      <c r="U2">
        <f>BDH("YHC US Equity","BS_INVENTORIES","1993-06-18","2026-05-02","Per=Y","Days=T","Dir=V")</f>
        <v>0</v>
      </c>
      <c r="W2">
        <f>BDH("YHC US Equity","WORKING_CAPITAL","1993-06-18","2026-05-02","Per=Y","Days=T","Dir=V")</f>
        <v>0</v>
      </c>
      <c r="Y2">
        <f>BDH("YHC US Equity","SALES_REV_TURN","1993-06-18","2026-05-02","Per=Y","Days=T","Dir=V")</f>
        <v>0</v>
      </c>
      <c r="AA2">
        <f>BDH("YHC US Equity","EBIT","1993-06-18","2026-05-02","Per=Y","Days=T","Dir=V")</f>
        <v>0</v>
      </c>
      <c r="AC2">
        <f>BDH("YHC US Equity","EBITDA","1993-06-18","2026-05-02","Per=Y","Days=T","Dir=V")</f>
        <v>0</v>
      </c>
      <c r="AE2">
        <f>BDH("YHC US Equity","NET_INCOME","1993-06-18","2026-05-02","Per=Y","Days=T","Dir=V")</f>
        <v>0</v>
      </c>
      <c r="AG2">
        <f>BDH("YHC US Equity","IS_INT_EXPENSE","1993-06-18","2026-05-02","Per=Y","Days=T","Dir=V")</f>
        <v>0</v>
      </c>
      <c r="AI2">
        <f>BDH("YHC US Equity","IS_DEPR_EXP","1993-06-18","2026-05-02","Per=Y","Days=T","Dir=V")</f>
        <v>0</v>
      </c>
      <c r="AK2">
        <f>BDH("YHC US Equity","CF_CASH_FROM_OPER","1993-06-18","2026-05-02","Per=Y","Days=T","Dir=V")</f>
        <v>0</v>
      </c>
      <c r="AM2">
        <f>BDH("YHC US Equity","CAPITAL_EXPEND","1993-06-18","2026-05-02","Per=Y","Days=T","Dir=V")</f>
        <v>0</v>
      </c>
      <c r="AO2">
        <f>BDH("YHC US Equity","CF_FREE_CASH_FLOW","1993-06-18","2026-05-02","Per=Y","Days=T","Dir=V")</f>
        <v>0</v>
      </c>
      <c r="AQ2">
        <f>BDH("YHC US Equity","PX_LAST","1993-06-18","2026-05-02","Per=M","Days=T","Dir=V")</f>
        <v>0</v>
      </c>
      <c r="AS2">
        <f>BDH("YHC US Equity","CUR_MKT_CAP","1993-06-18","2026-05-02","Per=M","Days=T","Dir=V")</f>
        <v>0</v>
      </c>
      <c r="AU2">
        <f>BDH("YHC US Equity","EQY_SH_OUT","1993-06-18","2026-05-02","Per=M","Days=T","Dir=V")</f>
        <v>0</v>
      </c>
      <c r="AW2">
        <f>BDH("YHC US Equity","PX_VOLUME","1993-06-18","2026-05-02","Per=M","Days=T","Dir=V")</f>
        <v>0</v>
      </c>
      <c r="AY2">
        <f>BDH("YHC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BDH("YHGJ US Equity","BS_TOT_ASSET","1993-06-18","2026-05-02","Per=Y","Days=T","Dir=V")</f>
        <v>0</v>
      </c>
      <c r="C2">
        <f>BDH("YHGJ US Equity","BS_TOT_LIAB2","1993-06-18","2026-05-02","Per=Y","Days=T","Dir=V")</f>
        <v>0</v>
      </c>
      <c r="E2">
        <f>BDH("YHGJ US Equity","SHORT_AND_LONG_TERM_DEBT","1993-06-18","2026-05-02","Per=Y","Days=T","Dir=V")</f>
        <v>0</v>
      </c>
      <c r="G2">
        <f>BDH("YHGJ US Equity","BS_ST_BORROW","1993-06-18","2026-05-02","Per=Y","Days=T","Dir=V")</f>
        <v>0</v>
      </c>
      <c r="I2">
        <f>BDH("YHGJ US Equity","BS_LT_BORROW","1993-06-18","2026-05-02","Per=Y","Days=T","Dir=V")</f>
        <v>0</v>
      </c>
      <c r="K2">
        <f>BDH("YHGJ US Equity","BS_CASH_NEAR_CASH_ITEM","1993-06-18","2026-05-02","Per=Y","Days=T","Dir=V")</f>
        <v>0</v>
      </c>
      <c r="M2">
        <f>BDH("YHGJ US Equity","BS_CUR_ASSET_REPORT","1993-06-18","2026-05-02","Per=Y","Days=T","Dir=V")</f>
        <v>0</v>
      </c>
      <c r="O2">
        <f>BDH("YHGJ US Equity","BS_CUR_LIAB","1993-06-18","2026-05-02","Per=Y","Days=T","Dir=V")</f>
        <v>0</v>
      </c>
      <c r="Q2">
        <f>BDH("YHGJ US Equity","BS_SHAREHOLDER_EQY_ENDING_PERIOD","1993-06-18","2026-05-02","Per=Y","Days=T","Dir=V")</f>
        <v>0</v>
      </c>
      <c r="S2">
        <f>BDH("YHGJ US Equity","BS_ACCT_NOTE_RCV","1993-06-18","2026-05-02","Per=Y","Days=T","Dir=V")</f>
        <v>0</v>
      </c>
      <c r="U2">
        <f>BDH("YHGJ US Equity","BS_INVENTORIES","1993-06-18","2026-05-02","Per=Y","Days=T","Dir=V")</f>
        <v>0</v>
      </c>
      <c r="W2">
        <f>BDH("YHGJ US Equity","WORKING_CAPITAL","1993-06-18","2026-05-02","Per=Y","Days=T","Dir=V")</f>
        <v>0</v>
      </c>
      <c r="Y2">
        <f>BDH("YHGJ US Equity","SALES_REV_TURN","1993-06-18","2026-05-02","Per=Y","Days=T","Dir=V")</f>
        <v>0</v>
      </c>
      <c r="AA2">
        <f>BDH("YHGJ US Equity","EBIT","1993-06-18","2026-05-02","Per=Y","Days=T","Dir=V")</f>
        <v>0</v>
      </c>
      <c r="AC2">
        <f>BDH("YHGJ US Equity","EBITDA","1993-06-18","2026-05-02","Per=Y","Days=T","Dir=V")</f>
        <v>0</v>
      </c>
      <c r="AE2">
        <f>BDH("YHGJ US Equity","NET_INCOME","1993-06-18","2026-05-02","Per=Y","Days=T","Dir=V")</f>
        <v>0</v>
      </c>
      <c r="AG2">
        <f>BDH("YHGJ US Equity","IS_INT_EXPENSE","1993-06-18","2026-05-02","Per=Y","Days=T","Dir=V")</f>
        <v>0</v>
      </c>
      <c r="AI2">
        <f>BDH("YHGJ US Equity","IS_DEPR_EXP","1993-06-18","2026-05-02","Per=Y","Days=T","Dir=V")</f>
        <v>0</v>
      </c>
      <c r="AK2">
        <f>BDH("YHGJ US Equity","CF_CASH_FROM_OPER","1993-06-18","2026-05-02","Per=Y","Days=T","Dir=V")</f>
        <v>0</v>
      </c>
      <c r="AM2">
        <f>BDH("YHGJ US Equity","CAPITAL_EXPEND","1993-06-18","2026-05-02","Per=Y","Days=T","Dir=V")</f>
        <v>0</v>
      </c>
      <c r="AO2">
        <f>BDH("YHGJ US Equity","CF_FREE_CASH_FLOW","1993-06-18","2026-05-02","Per=Y","Days=T","Dir=V")</f>
        <v>0</v>
      </c>
      <c r="AQ2">
        <f>BDH("YHGJ US Equity","PX_LAST","1993-06-18","2026-05-02","Per=M","Days=T","Dir=V")</f>
        <v>0</v>
      </c>
      <c r="AS2">
        <f>BDH("YHGJ US Equity","CUR_MKT_CAP","1993-06-18","2026-05-02","Per=M","Days=T","Dir=V")</f>
        <v>0</v>
      </c>
      <c r="AU2">
        <f>BDH("YHGJ US Equity","EQY_SH_OUT","1993-06-18","2026-05-02","Per=M","Days=T","Dir=V")</f>
        <v>0</v>
      </c>
      <c r="AW2">
        <f>BDH("YHGJ US Equity","PX_VOLUME","1993-06-18","2026-05-02","Per=M","Days=T","Dir=V")</f>
        <v>0</v>
      </c>
      <c r="AY2">
        <f>BDH("YHGJ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BDH("YORW US Equity","BS_TOT_ASSET","1993-06-18","2026-05-02","Per=Y","Days=T","Dir=V")</f>
        <v>0</v>
      </c>
      <c r="C2">
        <f>BDH("YORW US Equity","BS_TOT_LIAB2","1993-06-18","2026-05-02","Per=Y","Days=T","Dir=V")</f>
        <v>0</v>
      </c>
      <c r="E2">
        <f>BDH("YORW US Equity","SHORT_AND_LONG_TERM_DEBT","1993-06-18","2026-05-02","Per=Y","Days=T","Dir=V")</f>
        <v>0</v>
      </c>
      <c r="G2">
        <f>BDH("YORW US Equity","BS_ST_BORROW","1993-06-18","2026-05-02","Per=Y","Days=T","Dir=V")</f>
        <v>0</v>
      </c>
      <c r="I2">
        <f>BDH("YORW US Equity","BS_LT_BORROW","1993-06-18","2026-05-02","Per=Y","Days=T","Dir=V")</f>
        <v>0</v>
      </c>
      <c r="K2">
        <f>BDH("YORW US Equity","BS_CASH_NEAR_CASH_ITEM","1993-06-18","2026-05-02","Per=Y","Days=T","Dir=V")</f>
        <v>0</v>
      </c>
      <c r="M2">
        <f>BDH("YORW US Equity","BS_CUR_ASSET_REPORT","1993-06-18","2026-05-02","Per=Y","Days=T","Dir=V")</f>
        <v>0</v>
      </c>
      <c r="O2">
        <f>BDH("YORW US Equity","BS_CUR_LIAB","1993-06-18","2026-05-02","Per=Y","Days=T","Dir=V")</f>
        <v>0</v>
      </c>
      <c r="Q2">
        <f>BDH("YORW US Equity","BS_SHAREHOLDER_EQY_ENDING_PERIOD","1993-06-18","2026-05-02","Per=Y","Days=T","Dir=V")</f>
        <v>0</v>
      </c>
      <c r="S2">
        <f>BDH("YORW US Equity","BS_ACCT_NOTE_RCV","1993-06-18","2026-05-02","Per=Y","Days=T","Dir=V")</f>
        <v>0</v>
      </c>
      <c r="U2">
        <f>BDH("YORW US Equity","BS_INVENTORIES","1993-06-18","2026-05-02","Per=Y","Days=T","Dir=V")</f>
        <v>0</v>
      </c>
      <c r="W2">
        <f>BDH("YORW US Equity","WORKING_CAPITAL","1993-06-18","2026-05-02","Per=Y","Days=T","Dir=V")</f>
        <v>0</v>
      </c>
      <c r="Y2">
        <f>BDH("YORW US Equity","SALES_REV_TURN","1993-06-18","2026-05-02","Per=Y","Days=T","Dir=V")</f>
        <v>0</v>
      </c>
      <c r="AA2">
        <f>BDH("YORW US Equity","EBIT","1993-06-18","2026-05-02","Per=Y","Days=T","Dir=V")</f>
        <v>0</v>
      </c>
      <c r="AC2">
        <f>BDH("YORW US Equity","EBITDA","1993-06-18","2026-05-02","Per=Y","Days=T","Dir=V")</f>
        <v>0</v>
      </c>
      <c r="AE2">
        <f>BDH("YORW US Equity","NET_INCOME","1993-06-18","2026-05-02","Per=Y","Days=T","Dir=V")</f>
        <v>0</v>
      </c>
      <c r="AG2">
        <f>BDH("YORW US Equity","IS_INT_EXPENSE","1993-06-18","2026-05-02","Per=Y","Days=T","Dir=V")</f>
        <v>0</v>
      </c>
      <c r="AI2">
        <f>BDH("YORW US Equity","IS_DEPR_EXP","1993-06-18","2026-05-02","Per=Y","Days=T","Dir=V")</f>
        <v>0</v>
      </c>
      <c r="AK2">
        <f>BDH("YORW US Equity","CF_CASH_FROM_OPER","1993-06-18","2026-05-02","Per=Y","Days=T","Dir=V")</f>
        <v>0</v>
      </c>
      <c r="AM2">
        <f>BDH("YORW US Equity","CAPITAL_EXPEND","1993-06-18","2026-05-02","Per=Y","Days=T","Dir=V")</f>
        <v>0</v>
      </c>
      <c r="AO2">
        <f>BDH("YORW US Equity","CF_FREE_CASH_FLOW","1993-06-18","2026-05-02","Per=Y","Days=T","Dir=V")</f>
        <v>0</v>
      </c>
      <c r="AQ2">
        <f>BDH("YORW US Equity","PX_LAST","1993-06-18","2026-05-02","Per=M","Days=T","Dir=V")</f>
        <v>0</v>
      </c>
      <c r="AS2">
        <f>BDH("YORW US Equity","CUR_MKT_CAP","1993-06-18","2026-05-02","Per=M","Days=T","Dir=V")</f>
        <v>0</v>
      </c>
      <c r="AU2">
        <f>BDH("YORW US Equity","EQY_SH_OUT","1993-06-18","2026-05-02","Per=M","Days=T","Dir=V")</f>
        <v>0</v>
      </c>
      <c r="AW2">
        <f>BDH("YORW US Equity","PX_VOLUME","1993-06-18","2026-05-02","Per=M","Days=T","Dir=V")</f>
        <v>0</v>
      </c>
      <c r="AY2">
        <f>BDH("YORW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BDH("YOU US Equity","BS_TOT_ASSET","1993-06-18","2026-05-02","Per=Y","Days=T","Dir=V")</f>
        <v>0</v>
      </c>
      <c r="C2">
        <f>BDH("YOU US Equity","BS_TOT_LIAB2","1993-06-18","2026-05-02","Per=Y","Days=T","Dir=V")</f>
        <v>0</v>
      </c>
      <c r="E2">
        <f>BDH("YOU US Equity","SHORT_AND_LONG_TERM_DEBT","1993-06-18","2026-05-02","Per=Y","Days=T","Dir=V")</f>
        <v>0</v>
      </c>
      <c r="G2">
        <f>BDH("YOU US Equity","BS_ST_BORROW","1993-06-18","2026-05-02","Per=Y","Days=T","Dir=V")</f>
        <v>0</v>
      </c>
      <c r="I2">
        <f>BDH("YOU US Equity","BS_LT_BORROW","1993-06-18","2026-05-02","Per=Y","Days=T","Dir=V")</f>
        <v>0</v>
      </c>
      <c r="K2">
        <f>BDH("YOU US Equity","BS_CASH_NEAR_CASH_ITEM","1993-06-18","2026-05-02","Per=Y","Days=T","Dir=V")</f>
        <v>0</v>
      </c>
      <c r="M2">
        <f>BDH("YOU US Equity","BS_CUR_ASSET_REPORT","1993-06-18","2026-05-02","Per=Y","Days=T","Dir=V")</f>
        <v>0</v>
      </c>
      <c r="O2">
        <f>BDH("YOU US Equity","BS_CUR_LIAB","1993-06-18","2026-05-02","Per=Y","Days=T","Dir=V")</f>
        <v>0</v>
      </c>
      <c r="Q2">
        <f>BDH("YOU US Equity","BS_SHAREHOLDER_EQY_ENDING_PERIOD","1993-06-18","2026-05-02","Per=Y","Days=T","Dir=V")</f>
        <v>0</v>
      </c>
      <c r="S2">
        <f>BDH("YOU US Equity","BS_ACCT_NOTE_RCV","1993-06-18","2026-05-02","Per=Y","Days=T","Dir=V")</f>
        <v>0</v>
      </c>
      <c r="U2">
        <f>BDH("YOU US Equity","BS_INVENTORIES","1993-06-18","2026-05-02","Per=Y","Days=T","Dir=V")</f>
        <v>0</v>
      </c>
      <c r="W2">
        <f>BDH("YOU US Equity","WORKING_CAPITAL","1993-06-18","2026-05-02","Per=Y","Days=T","Dir=V")</f>
        <v>0</v>
      </c>
      <c r="Y2">
        <f>BDH("YOU US Equity","SALES_REV_TURN","1993-06-18","2026-05-02","Per=Y","Days=T","Dir=V")</f>
        <v>0</v>
      </c>
      <c r="AA2">
        <f>BDH("YOU US Equity","EBIT","1993-06-18","2026-05-02","Per=Y","Days=T","Dir=V")</f>
        <v>0</v>
      </c>
      <c r="AC2">
        <f>BDH("YOU US Equity","EBITDA","1993-06-18","2026-05-02","Per=Y","Days=T","Dir=V")</f>
        <v>0</v>
      </c>
      <c r="AE2">
        <f>BDH("YOU US Equity","NET_INCOME","1993-06-18","2026-05-02","Per=Y","Days=T","Dir=V")</f>
        <v>0</v>
      </c>
      <c r="AG2">
        <f>BDH("YOU US Equity","IS_INT_EXPENSE","1993-06-18","2026-05-02","Per=Y","Days=T","Dir=V")</f>
        <v>0</v>
      </c>
      <c r="AI2">
        <f>BDH("YOU US Equity","IS_DEPR_EXP","1993-06-18","2026-05-02","Per=Y","Days=T","Dir=V")</f>
        <v>0</v>
      </c>
      <c r="AK2">
        <f>BDH("YOU US Equity","CF_CASH_FROM_OPER","1993-06-18","2026-05-02","Per=Y","Days=T","Dir=V")</f>
        <v>0</v>
      </c>
      <c r="AM2">
        <f>BDH("YOU US Equity","CAPITAL_EXPEND","1993-06-18","2026-05-02","Per=Y","Days=T","Dir=V")</f>
        <v>0</v>
      </c>
      <c r="AO2">
        <f>BDH("YOU US Equity","CF_FREE_CASH_FLOW","1993-06-18","2026-05-02","Per=Y","Days=T","Dir=V")</f>
        <v>0</v>
      </c>
      <c r="AQ2">
        <f>BDH("YOU US Equity","PX_LAST","1993-06-18","2026-05-02","Per=M","Days=T","Dir=V")</f>
        <v>0</v>
      </c>
      <c r="AS2">
        <f>BDH("YOU US Equity","CUR_MKT_CAP","1993-06-18","2026-05-02","Per=M","Days=T","Dir=V")</f>
        <v>0</v>
      </c>
      <c r="AU2">
        <f>BDH("YOU US Equity","EQY_SH_OUT","1993-06-18","2026-05-02","Per=M","Days=T","Dir=V")</f>
        <v>0</v>
      </c>
      <c r="AW2">
        <f>BDH("YOU US Equity","PX_VOLUME","1993-06-18","2026-05-02","Per=M","Days=T","Dir=V")</f>
        <v>0</v>
      </c>
      <c r="AY2">
        <f>BDH("YOU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BDH("YSWY US Equity","BS_TOT_ASSET","1993-06-18","2026-05-02","Per=Y","Days=T","Dir=V")</f>
        <v>0</v>
      </c>
      <c r="C2">
        <f>BDH("YSWY US Equity","BS_TOT_LIAB2","1993-06-18","2026-05-02","Per=Y","Days=T","Dir=V")</f>
        <v>0</v>
      </c>
      <c r="E2">
        <f>BDH("YSWY US Equity","SHORT_AND_LONG_TERM_DEBT","1993-06-18","2026-05-02","Per=Y","Days=T","Dir=V")</f>
        <v>0</v>
      </c>
      <c r="G2">
        <f>BDH("YSWY US Equity","BS_ST_BORROW","1993-06-18","2026-05-02","Per=Y","Days=T","Dir=V")</f>
        <v>0</v>
      </c>
      <c r="I2">
        <f>BDH("YSWY US Equity","BS_LT_BORROW","1993-06-18","2026-05-02","Per=Y","Days=T","Dir=V")</f>
        <v>0</v>
      </c>
      <c r="K2">
        <f>BDH("YSWY US Equity","BS_CASH_NEAR_CASH_ITEM","1993-06-18","2026-05-02","Per=Y","Days=T","Dir=V")</f>
        <v>0</v>
      </c>
      <c r="M2">
        <f>BDH("YSWY US Equity","BS_CUR_ASSET_REPORT","1993-06-18","2026-05-02","Per=Y","Days=T","Dir=V")</f>
        <v>0</v>
      </c>
      <c r="O2">
        <f>BDH("YSWY US Equity","BS_CUR_LIAB","1993-06-18","2026-05-02","Per=Y","Days=T","Dir=V")</f>
        <v>0</v>
      </c>
      <c r="Q2">
        <f>BDH("YSWY US Equity","BS_SHAREHOLDER_EQY_ENDING_PERIOD","1993-06-18","2026-05-02","Per=Y","Days=T","Dir=V")</f>
        <v>0</v>
      </c>
      <c r="S2">
        <f>BDH("YSWY US Equity","BS_ACCT_NOTE_RCV","1993-06-18","2026-05-02","Per=Y","Days=T","Dir=V")</f>
        <v>0</v>
      </c>
      <c r="U2">
        <f>BDH("YSWY US Equity","BS_INVENTORIES","1993-06-18","2026-05-02","Per=Y","Days=T","Dir=V")</f>
        <v>0</v>
      </c>
      <c r="W2">
        <f>BDH("YSWY US Equity","WORKING_CAPITAL","1993-06-18","2026-05-02","Per=Y","Days=T","Dir=V")</f>
        <v>0</v>
      </c>
      <c r="Y2">
        <f>BDH("YSWY US Equity","SALES_REV_TURN","1993-06-18","2026-05-02","Per=Y","Days=T","Dir=V")</f>
        <v>0</v>
      </c>
      <c r="AA2">
        <f>BDH("YSWY US Equity","EBIT","1993-06-18","2026-05-02","Per=Y","Days=T","Dir=V")</f>
        <v>0</v>
      </c>
      <c r="AC2">
        <f>BDH("YSWY US Equity","EBITDA","1993-06-18","2026-05-02","Per=Y","Days=T","Dir=V")</f>
        <v>0</v>
      </c>
      <c r="AE2">
        <f>BDH("YSWY US Equity","NET_INCOME","1993-06-18","2026-05-02","Per=Y","Days=T","Dir=V")</f>
        <v>0</v>
      </c>
      <c r="AG2">
        <f>BDH("YSWY US Equity","IS_INT_EXPENSE","1993-06-18","2026-05-02","Per=Y","Days=T","Dir=V")</f>
        <v>0</v>
      </c>
      <c r="AI2">
        <f>BDH("YSWY US Equity","IS_DEPR_EXP","1993-06-18","2026-05-02","Per=Y","Days=T","Dir=V")</f>
        <v>0</v>
      </c>
      <c r="AK2">
        <f>BDH("YSWY US Equity","CF_CASH_FROM_OPER","1993-06-18","2026-05-02","Per=Y","Days=T","Dir=V")</f>
        <v>0</v>
      </c>
      <c r="AM2">
        <f>BDH("YSWY US Equity","CAPITAL_EXPEND","1993-06-18","2026-05-02","Per=Y","Days=T","Dir=V")</f>
        <v>0</v>
      </c>
      <c r="AO2">
        <f>BDH("YSWY US Equity","CF_FREE_CASH_FLOW","1993-06-18","2026-05-02","Per=Y","Days=T","Dir=V")</f>
        <v>0</v>
      </c>
      <c r="AQ2">
        <f>BDH("YSWY US Equity","PX_LAST","1993-06-18","2026-05-02","Per=M","Days=T","Dir=V")</f>
        <v>0</v>
      </c>
      <c r="AS2">
        <f>BDH("YSWY US Equity","CUR_MKT_CAP","1993-06-18","2026-05-02","Per=M","Days=T","Dir=V")</f>
        <v>0</v>
      </c>
      <c r="AU2">
        <f>BDH("YSWY US Equity","EQY_SH_OUT","1993-06-18","2026-05-02","Per=M","Days=T","Dir=V")</f>
        <v>0</v>
      </c>
      <c r="AW2">
        <f>BDH("YSWY US Equity","PX_VOLUME","1993-06-18","2026-05-02","Per=M","Days=T","Dir=V")</f>
        <v>0</v>
      </c>
      <c r="AY2">
        <f>BDH("YSWY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BDH("YUM US Equity","BS_TOT_ASSET","1993-06-18","2026-05-02","Per=Y","Days=T","Dir=V")</f>
        <v>0</v>
      </c>
      <c r="C2">
        <f>BDH("YUM US Equity","BS_TOT_LIAB2","1993-06-18","2026-05-02","Per=Y","Days=T","Dir=V")</f>
        <v>0</v>
      </c>
      <c r="E2">
        <f>BDH("YUM US Equity","SHORT_AND_LONG_TERM_DEBT","1993-06-18","2026-05-02","Per=Y","Days=T","Dir=V")</f>
        <v>0</v>
      </c>
      <c r="G2">
        <f>BDH("YUM US Equity","BS_ST_BORROW","1993-06-18","2026-05-02","Per=Y","Days=T","Dir=V")</f>
        <v>0</v>
      </c>
      <c r="I2">
        <f>BDH("YUM US Equity","BS_LT_BORROW","1993-06-18","2026-05-02","Per=Y","Days=T","Dir=V")</f>
        <v>0</v>
      </c>
      <c r="K2">
        <f>BDH("YUM US Equity","BS_CASH_NEAR_CASH_ITEM","1993-06-18","2026-05-02","Per=Y","Days=T","Dir=V")</f>
        <v>0</v>
      </c>
      <c r="M2">
        <f>BDH("YUM US Equity","BS_CUR_ASSET_REPORT","1993-06-18","2026-05-02","Per=Y","Days=T","Dir=V")</f>
        <v>0</v>
      </c>
      <c r="O2">
        <f>BDH("YUM US Equity","BS_CUR_LIAB","1993-06-18","2026-05-02","Per=Y","Days=T","Dir=V")</f>
        <v>0</v>
      </c>
      <c r="Q2">
        <f>BDH("YUM US Equity","BS_SHAREHOLDER_EQY_ENDING_PERIOD","1993-06-18","2026-05-02","Per=Y","Days=T","Dir=V")</f>
        <v>0</v>
      </c>
      <c r="S2">
        <f>BDH("YUM US Equity","BS_ACCT_NOTE_RCV","1993-06-18","2026-05-02","Per=Y","Days=T","Dir=V")</f>
        <v>0</v>
      </c>
      <c r="U2">
        <f>BDH("YUM US Equity","BS_INVENTORIES","1993-06-18","2026-05-02","Per=Y","Days=T","Dir=V")</f>
        <v>0</v>
      </c>
      <c r="W2">
        <f>BDH("YUM US Equity","WORKING_CAPITAL","1993-06-18","2026-05-02","Per=Y","Days=T","Dir=V")</f>
        <v>0</v>
      </c>
      <c r="Y2">
        <f>BDH("YUM US Equity","SALES_REV_TURN","1993-06-18","2026-05-02","Per=Y","Days=T","Dir=V")</f>
        <v>0</v>
      </c>
      <c r="AA2">
        <f>BDH("YUM US Equity","EBIT","1993-06-18","2026-05-02","Per=Y","Days=T","Dir=V")</f>
        <v>0</v>
      </c>
      <c r="AC2">
        <f>BDH("YUM US Equity","EBITDA","1993-06-18","2026-05-02","Per=Y","Days=T","Dir=V")</f>
        <v>0</v>
      </c>
      <c r="AE2">
        <f>BDH("YUM US Equity","NET_INCOME","1993-06-18","2026-05-02","Per=Y","Days=T","Dir=V")</f>
        <v>0</v>
      </c>
      <c r="AG2">
        <f>BDH("YUM US Equity","IS_INT_EXPENSE","1993-06-18","2026-05-02","Per=Y","Days=T","Dir=V")</f>
        <v>0</v>
      </c>
      <c r="AI2">
        <f>BDH("YUM US Equity","IS_DEPR_EXP","1993-06-18","2026-05-02","Per=Y","Days=T","Dir=V")</f>
        <v>0</v>
      </c>
      <c r="AK2">
        <f>BDH("YUM US Equity","CF_CASH_FROM_OPER","1993-06-18","2026-05-02","Per=Y","Days=T","Dir=V")</f>
        <v>0</v>
      </c>
      <c r="AM2">
        <f>BDH("YUM US Equity","CAPITAL_EXPEND","1993-06-18","2026-05-02","Per=Y","Days=T","Dir=V")</f>
        <v>0</v>
      </c>
      <c r="AO2">
        <f>BDH("YUM US Equity","CF_FREE_CASH_FLOW","1993-06-18","2026-05-02","Per=Y","Days=T","Dir=V")</f>
        <v>0</v>
      </c>
      <c r="AQ2">
        <f>BDH("YUM US Equity","PX_LAST","1993-06-18","2026-05-02","Per=M","Days=T","Dir=V")</f>
        <v>0</v>
      </c>
      <c r="AS2">
        <f>BDH("YUM US Equity","CUR_MKT_CAP","1993-06-18","2026-05-02","Per=M","Days=T","Dir=V")</f>
        <v>0</v>
      </c>
      <c r="AU2">
        <f>BDH("YUM US Equity","EQY_SH_OUT","1993-06-18","2026-05-02","Per=M","Days=T","Dir=V")</f>
        <v>0</v>
      </c>
      <c r="AW2">
        <f>BDH("YUM US Equity","PX_VOLUME","1993-06-18","2026-05-02","Per=M","Days=T","Dir=V")</f>
        <v>0</v>
      </c>
      <c r="AY2">
        <f>BDH("YUM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BDH("YUMC US Equity","BS_TOT_ASSET","1993-06-18","2026-05-02","Per=Y","Days=T","Dir=V")</f>
        <v>0</v>
      </c>
      <c r="C2">
        <f>BDH("YUMC US Equity","BS_TOT_LIAB2","1993-06-18","2026-05-02","Per=Y","Days=T","Dir=V")</f>
        <v>0</v>
      </c>
      <c r="E2">
        <f>BDH("YUMC US Equity","SHORT_AND_LONG_TERM_DEBT","1993-06-18","2026-05-02","Per=Y","Days=T","Dir=V")</f>
        <v>0</v>
      </c>
      <c r="G2">
        <f>BDH("YUMC US Equity","BS_ST_BORROW","1993-06-18","2026-05-02","Per=Y","Days=T","Dir=V")</f>
        <v>0</v>
      </c>
      <c r="I2">
        <f>BDH("YUMC US Equity","BS_LT_BORROW","1993-06-18","2026-05-02","Per=Y","Days=T","Dir=V")</f>
        <v>0</v>
      </c>
      <c r="K2">
        <f>BDH("YUMC US Equity","BS_CASH_NEAR_CASH_ITEM","1993-06-18","2026-05-02","Per=Y","Days=T","Dir=V")</f>
        <v>0</v>
      </c>
      <c r="M2">
        <f>BDH("YUMC US Equity","BS_CUR_ASSET_REPORT","1993-06-18","2026-05-02","Per=Y","Days=T","Dir=V")</f>
        <v>0</v>
      </c>
      <c r="O2">
        <f>BDH("YUMC US Equity","BS_CUR_LIAB","1993-06-18","2026-05-02","Per=Y","Days=T","Dir=V")</f>
        <v>0</v>
      </c>
      <c r="Q2">
        <f>BDH("YUMC US Equity","BS_SHAREHOLDER_EQY_ENDING_PERIOD","1993-06-18","2026-05-02","Per=Y","Days=T","Dir=V")</f>
        <v>0</v>
      </c>
      <c r="S2">
        <f>BDH("YUMC US Equity","BS_ACCT_NOTE_RCV","1993-06-18","2026-05-02","Per=Y","Days=T","Dir=V")</f>
        <v>0</v>
      </c>
      <c r="U2">
        <f>BDH("YUMC US Equity","BS_INVENTORIES","1993-06-18","2026-05-02","Per=Y","Days=T","Dir=V")</f>
        <v>0</v>
      </c>
      <c r="W2">
        <f>BDH("YUMC US Equity","WORKING_CAPITAL","1993-06-18","2026-05-02","Per=Y","Days=T","Dir=V")</f>
        <v>0</v>
      </c>
      <c r="Y2">
        <f>BDH("YUMC US Equity","SALES_REV_TURN","1993-06-18","2026-05-02","Per=Y","Days=T","Dir=V")</f>
        <v>0</v>
      </c>
      <c r="AA2">
        <f>BDH("YUMC US Equity","EBIT","1993-06-18","2026-05-02","Per=Y","Days=T","Dir=V")</f>
        <v>0</v>
      </c>
      <c r="AC2">
        <f>BDH("YUMC US Equity","EBITDA","1993-06-18","2026-05-02","Per=Y","Days=T","Dir=V")</f>
        <v>0</v>
      </c>
      <c r="AE2">
        <f>BDH("YUMC US Equity","NET_INCOME","1993-06-18","2026-05-02","Per=Y","Days=T","Dir=V")</f>
        <v>0</v>
      </c>
      <c r="AG2">
        <f>BDH("YUMC US Equity","IS_INT_EXPENSE","1993-06-18","2026-05-02","Per=Y","Days=T","Dir=V")</f>
        <v>0</v>
      </c>
      <c r="AI2">
        <f>BDH("YUMC US Equity","IS_DEPR_EXP","1993-06-18","2026-05-02","Per=Y","Days=T","Dir=V")</f>
        <v>0</v>
      </c>
      <c r="AK2">
        <f>BDH("YUMC US Equity","CF_CASH_FROM_OPER","1993-06-18","2026-05-02","Per=Y","Days=T","Dir=V")</f>
        <v>0</v>
      </c>
      <c r="AM2">
        <f>BDH("YUMC US Equity","CAPITAL_EXPEND","1993-06-18","2026-05-02","Per=Y","Days=T","Dir=V")</f>
        <v>0</v>
      </c>
      <c r="AO2">
        <f>BDH("YUMC US Equity","CF_FREE_CASH_FLOW","1993-06-18","2026-05-02","Per=Y","Days=T","Dir=V")</f>
        <v>0</v>
      </c>
      <c r="AQ2">
        <f>BDH("YUMC US Equity","PX_LAST","1993-06-18","2026-05-02","Per=M","Days=T","Dir=V")</f>
        <v>0</v>
      </c>
      <c r="AS2">
        <f>BDH("YUMC US Equity","CUR_MKT_CAP","1993-06-18","2026-05-02","Per=M","Days=T","Dir=V")</f>
        <v>0</v>
      </c>
      <c r="AU2">
        <f>BDH("YUMC US Equity","EQY_SH_OUT","1993-06-18","2026-05-02","Per=M","Days=T","Dir=V")</f>
        <v>0</v>
      </c>
      <c r="AW2">
        <f>BDH("YUMC US Equity","PX_VOLUME","1993-06-18","2026-05-02","Per=M","Days=T","Dir=V")</f>
        <v>0</v>
      </c>
      <c r="AY2">
        <f>BDH("YUMC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BDH("YYAI US Equity","BS_TOT_ASSET","1993-06-18","2026-05-02","Per=Y","Days=T","Dir=V")</f>
        <v>0</v>
      </c>
      <c r="C2">
        <f>BDH("YYAI US Equity","BS_TOT_LIAB2","1993-06-18","2026-05-02","Per=Y","Days=T","Dir=V")</f>
        <v>0</v>
      </c>
      <c r="E2">
        <f>BDH("YYAI US Equity","SHORT_AND_LONG_TERM_DEBT","1993-06-18","2026-05-02","Per=Y","Days=T","Dir=V")</f>
        <v>0</v>
      </c>
      <c r="G2">
        <f>BDH("YYAI US Equity","BS_ST_BORROW","1993-06-18","2026-05-02","Per=Y","Days=T","Dir=V")</f>
        <v>0</v>
      </c>
      <c r="I2">
        <f>BDH("YYAI US Equity","BS_LT_BORROW","1993-06-18","2026-05-02","Per=Y","Days=T","Dir=V")</f>
        <v>0</v>
      </c>
      <c r="K2">
        <f>BDH("YYAI US Equity","BS_CASH_NEAR_CASH_ITEM","1993-06-18","2026-05-02","Per=Y","Days=T","Dir=V")</f>
        <v>0</v>
      </c>
      <c r="M2">
        <f>BDH("YYAI US Equity","BS_CUR_ASSET_REPORT","1993-06-18","2026-05-02","Per=Y","Days=T","Dir=V")</f>
        <v>0</v>
      </c>
      <c r="O2">
        <f>BDH("YYAI US Equity","BS_CUR_LIAB","1993-06-18","2026-05-02","Per=Y","Days=T","Dir=V")</f>
        <v>0</v>
      </c>
      <c r="Q2">
        <f>BDH("YYAI US Equity","BS_SHAREHOLDER_EQY_ENDING_PERIOD","1993-06-18","2026-05-02","Per=Y","Days=T","Dir=V")</f>
        <v>0</v>
      </c>
      <c r="S2">
        <f>BDH("YYAI US Equity","BS_ACCT_NOTE_RCV","1993-06-18","2026-05-02","Per=Y","Days=T","Dir=V")</f>
        <v>0</v>
      </c>
      <c r="U2">
        <f>BDH("YYAI US Equity","BS_INVENTORIES","1993-06-18","2026-05-02","Per=Y","Days=T","Dir=V")</f>
        <v>0</v>
      </c>
      <c r="W2">
        <f>BDH("YYAI US Equity","WORKING_CAPITAL","1993-06-18","2026-05-02","Per=Y","Days=T","Dir=V")</f>
        <v>0</v>
      </c>
      <c r="Y2">
        <f>BDH("YYAI US Equity","SALES_REV_TURN","1993-06-18","2026-05-02","Per=Y","Days=T","Dir=V")</f>
        <v>0</v>
      </c>
      <c r="AA2">
        <f>BDH("YYAI US Equity","EBIT","1993-06-18","2026-05-02","Per=Y","Days=T","Dir=V")</f>
        <v>0</v>
      </c>
      <c r="AC2">
        <f>BDH("YYAI US Equity","EBITDA","1993-06-18","2026-05-02","Per=Y","Days=T","Dir=V")</f>
        <v>0</v>
      </c>
      <c r="AE2">
        <f>BDH("YYAI US Equity","NET_INCOME","1993-06-18","2026-05-02","Per=Y","Days=T","Dir=V")</f>
        <v>0</v>
      </c>
      <c r="AG2">
        <f>BDH("YYAI US Equity","IS_INT_EXPENSE","1993-06-18","2026-05-02","Per=Y","Days=T","Dir=V")</f>
        <v>0</v>
      </c>
      <c r="AI2">
        <f>BDH("YYAI US Equity","IS_DEPR_EXP","1993-06-18","2026-05-02","Per=Y","Days=T","Dir=V")</f>
        <v>0</v>
      </c>
      <c r="AK2">
        <f>BDH("YYAI US Equity","CF_CASH_FROM_OPER","1993-06-18","2026-05-02","Per=Y","Days=T","Dir=V")</f>
        <v>0</v>
      </c>
      <c r="AM2">
        <f>BDH("YYAI US Equity","CAPITAL_EXPEND","1993-06-18","2026-05-02","Per=Y","Days=T","Dir=V")</f>
        <v>0</v>
      </c>
      <c r="AO2">
        <f>BDH("YYAI US Equity","CF_FREE_CASH_FLOW","1993-06-18","2026-05-02","Per=Y","Days=T","Dir=V")</f>
        <v>0</v>
      </c>
      <c r="AQ2">
        <f>BDH("YYAI US Equity","PX_LAST","1993-06-18","2026-05-02","Per=M","Days=T","Dir=V")</f>
        <v>0</v>
      </c>
      <c r="AS2">
        <f>BDH("YYAI US Equity","CUR_MKT_CAP","1993-06-18","2026-05-02","Per=M","Days=T","Dir=V")</f>
        <v>0</v>
      </c>
      <c r="AU2">
        <f>BDH("YYAI US Equity","EQY_SH_OUT","1993-06-18","2026-05-02","Per=M","Days=T","Dir=V")</f>
        <v>0</v>
      </c>
      <c r="AW2">
        <f>BDH("YYAI US Equity","PX_VOLUME","1993-06-18","2026-05-02","Per=M","Days=T","Dir=V")</f>
        <v>0</v>
      </c>
      <c r="AY2">
        <f>BDH("YYAI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 US Equity","BS_TOT_ASSET","1993-06-18","2026-05-02","Per=Y","Days=T","Dir=V")</f>
        <v>0</v>
      </c>
      <c r="C2">
        <f>BDH("Z US Equity","BS_TOT_LIAB2","1993-06-18","2026-05-02","Per=Y","Days=T","Dir=V")</f>
        <v>0</v>
      </c>
      <c r="E2">
        <f>BDH("Z US Equity","SHORT_AND_LONG_TERM_DEBT","1993-06-18","2026-05-02","Per=Y","Days=T","Dir=V")</f>
        <v>0</v>
      </c>
      <c r="G2">
        <f>BDH("Z US Equity","BS_ST_BORROW","1993-06-18","2026-05-02","Per=Y","Days=T","Dir=V")</f>
        <v>0</v>
      </c>
      <c r="I2">
        <f>BDH("Z US Equity","BS_LT_BORROW","1993-06-18","2026-05-02","Per=Y","Days=T","Dir=V")</f>
        <v>0</v>
      </c>
      <c r="K2">
        <f>BDH("Z US Equity","BS_CASH_NEAR_CASH_ITEM","1993-06-18","2026-05-02","Per=Y","Days=T","Dir=V")</f>
        <v>0</v>
      </c>
      <c r="M2">
        <f>BDH("Z US Equity","BS_CUR_ASSET_REPORT","1993-06-18","2026-05-02","Per=Y","Days=T","Dir=V")</f>
        <v>0</v>
      </c>
      <c r="O2">
        <f>BDH("Z US Equity","BS_CUR_LIAB","1993-06-18","2026-05-02","Per=Y","Days=T","Dir=V")</f>
        <v>0</v>
      </c>
      <c r="Q2">
        <f>BDH("Z US Equity","BS_SHAREHOLDER_EQY_ENDING_PERIOD","1993-06-18","2026-05-02","Per=Y","Days=T","Dir=V")</f>
        <v>0</v>
      </c>
      <c r="S2">
        <f>BDH("Z US Equity","BS_ACCT_NOTE_RCV","1993-06-18","2026-05-02","Per=Y","Days=T","Dir=V")</f>
        <v>0</v>
      </c>
      <c r="U2">
        <f>BDH("Z US Equity","BS_INVENTORIES","1993-06-18","2026-05-02","Per=Y","Days=T","Dir=V")</f>
        <v>0</v>
      </c>
      <c r="W2">
        <f>BDH("Z US Equity","WORKING_CAPITAL","1993-06-18","2026-05-02","Per=Y","Days=T","Dir=V")</f>
        <v>0</v>
      </c>
      <c r="Y2">
        <f>BDH("Z US Equity","SALES_REV_TURN","1993-06-18","2026-05-02","Per=Y","Days=T","Dir=V")</f>
        <v>0</v>
      </c>
      <c r="AA2">
        <f>BDH("Z US Equity","EBIT","1993-06-18","2026-05-02","Per=Y","Days=T","Dir=V")</f>
        <v>0</v>
      </c>
      <c r="AC2">
        <f>BDH("Z US Equity","EBITDA","1993-06-18","2026-05-02","Per=Y","Days=T","Dir=V")</f>
        <v>0</v>
      </c>
      <c r="AE2">
        <f>BDH("Z US Equity","NET_INCOME","1993-06-18","2026-05-02","Per=Y","Days=T","Dir=V")</f>
        <v>0</v>
      </c>
      <c r="AG2">
        <f>BDH("Z US Equity","IS_INT_EXPENSE","1993-06-18","2026-05-02","Per=Y","Days=T","Dir=V")</f>
        <v>0</v>
      </c>
      <c r="AI2">
        <f>BDH("Z US Equity","IS_DEPR_EXP","1993-06-18","2026-05-02","Per=Y","Days=T","Dir=V")</f>
        <v>0</v>
      </c>
      <c r="AK2">
        <f>BDH("Z US Equity","CF_CASH_FROM_OPER","1993-06-18","2026-05-02","Per=Y","Days=T","Dir=V")</f>
        <v>0</v>
      </c>
      <c r="AM2">
        <f>BDH("Z US Equity","CAPITAL_EXPEND","1993-06-18","2026-05-02","Per=Y","Days=T","Dir=V")</f>
        <v>0</v>
      </c>
      <c r="AO2">
        <f>BDH("Z US Equity","CF_FREE_CASH_FLOW","1993-06-18","2026-05-02","Per=Y","Days=T","Dir=V")</f>
        <v>0</v>
      </c>
      <c r="AQ2">
        <f>BDH("Z US Equity","PX_LAST","1993-06-18","2026-05-02","Per=M","Days=T","Dir=V")</f>
        <v>0</v>
      </c>
      <c r="AS2">
        <f>BDH("Z US Equity","CUR_MKT_CAP","1993-06-18","2026-05-02","Per=M","Days=T","Dir=V")</f>
        <v>0</v>
      </c>
      <c r="AU2">
        <f>BDH("Z US Equity","EQY_SH_OUT","1993-06-18","2026-05-02","Per=M","Days=T","Dir=V")</f>
        <v>0</v>
      </c>
      <c r="AW2">
        <f>BDH("Z US Equity","PX_VOLUME","1993-06-18","2026-05-02","Per=M","Days=T","Dir=V")</f>
        <v>0</v>
      </c>
      <c r="AY2">
        <f>BDH("Z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BDH("ZBH US Equity","BS_TOT_ASSET","1993-06-18","2026-05-02","Per=Y","Days=T","Dir=V")</f>
        <v>0</v>
      </c>
      <c r="C2">
        <f>BDH("ZBH US Equity","BS_TOT_LIAB2","1993-06-18","2026-05-02","Per=Y","Days=T","Dir=V")</f>
        <v>0</v>
      </c>
      <c r="E2">
        <f>BDH("ZBH US Equity","SHORT_AND_LONG_TERM_DEBT","1993-06-18","2026-05-02","Per=Y","Days=T","Dir=V")</f>
        <v>0</v>
      </c>
      <c r="G2">
        <f>BDH("ZBH US Equity","BS_ST_BORROW","1993-06-18","2026-05-02","Per=Y","Days=T","Dir=V")</f>
        <v>0</v>
      </c>
      <c r="I2">
        <f>BDH("ZBH US Equity","BS_LT_BORROW","1993-06-18","2026-05-02","Per=Y","Days=T","Dir=V")</f>
        <v>0</v>
      </c>
      <c r="K2">
        <f>BDH("ZBH US Equity","BS_CASH_NEAR_CASH_ITEM","1993-06-18","2026-05-02","Per=Y","Days=T","Dir=V")</f>
        <v>0</v>
      </c>
      <c r="M2">
        <f>BDH("ZBH US Equity","BS_CUR_ASSET_REPORT","1993-06-18","2026-05-02","Per=Y","Days=T","Dir=V")</f>
        <v>0</v>
      </c>
      <c r="O2">
        <f>BDH("ZBH US Equity","BS_CUR_LIAB","1993-06-18","2026-05-02","Per=Y","Days=T","Dir=V")</f>
        <v>0</v>
      </c>
      <c r="Q2">
        <f>BDH("ZBH US Equity","BS_SHAREHOLDER_EQY_ENDING_PERIOD","1993-06-18","2026-05-02","Per=Y","Days=T","Dir=V")</f>
        <v>0</v>
      </c>
      <c r="S2">
        <f>BDH("ZBH US Equity","BS_ACCT_NOTE_RCV","1993-06-18","2026-05-02","Per=Y","Days=T","Dir=V")</f>
        <v>0</v>
      </c>
      <c r="U2">
        <f>BDH("ZBH US Equity","BS_INVENTORIES","1993-06-18","2026-05-02","Per=Y","Days=T","Dir=V")</f>
        <v>0</v>
      </c>
      <c r="W2">
        <f>BDH("ZBH US Equity","WORKING_CAPITAL","1993-06-18","2026-05-02","Per=Y","Days=T","Dir=V")</f>
        <v>0</v>
      </c>
      <c r="Y2">
        <f>BDH("ZBH US Equity","SALES_REV_TURN","1993-06-18","2026-05-02","Per=Y","Days=T","Dir=V")</f>
        <v>0</v>
      </c>
      <c r="AA2">
        <f>BDH("ZBH US Equity","EBIT","1993-06-18","2026-05-02","Per=Y","Days=T","Dir=V")</f>
        <v>0</v>
      </c>
      <c r="AC2">
        <f>BDH("ZBH US Equity","EBITDA","1993-06-18","2026-05-02","Per=Y","Days=T","Dir=V")</f>
        <v>0</v>
      </c>
      <c r="AE2">
        <f>BDH("ZBH US Equity","NET_INCOME","1993-06-18","2026-05-02","Per=Y","Days=T","Dir=V")</f>
        <v>0</v>
      </c>
      <c r="AG2">
        <f>BDH("ZBH US Equity","IS_INT_EXPENSE","1993-06-18","2026-05-02","Per=Y","Days=T","Dir=V")</f>
        <v>0</v>
      </c>
      <c r="AI2">
        <f>BDH("ZBH US Equity","IS_DEPR_EXP","1993-06-18","2026-05-02","Per=Y","Days=T","Dir=V")</f>
        <v>0</v>
      </c>
      <c r="AK2">
        <f>BDH("ZBH US Equity","CF_CASH_FROM_OPER","1993-06-18","2026-05-02","Per=Y","Days=T","Dir=V")</f>
        <v>0</v>
      </c>
      <c r="AM2">
        <f>BDH("ZBH US Equity","CAPITAL_EXPEND","1993-06-18","2026-05-02","Per=Y","Days=T","Dir=V")</f>
        <v>0</v>
      </c>
      <c r="AO2">
        <f>BDH("ZBH US Equity","CF_FREE_CASH_FLOW","1993-06-18","2026-05-02","Per=Y","Days=T","Dir=V")</f>
        <v>0</v>
      </c>
      <c r="AQ2">
        <f>BDH("ZBH US Equity","PX_LAST","1993-06-18","2026-05-02","Per=M","Days=T","Dir=V")</f>
        <v>0</v>
      </c>
      <c r="AS2">
        <f>BDH("ZBH US Equity","CUR_MKT_CAP","1993-06-18","2026-05-02","Per=M","Days=T","Dir=V")</f>
        <v>0</v>
      </c>
      <c r="AU2">
        <f>BDH("ZBH US Equity","EQY_SH_OUT","1993-06-18","2026-05-02","Per=M","Days=T","Dir=V")</f>
        <v>0</v>
      </c>
      <c r="AW2">
        <f>BDH("ZBH US Equity","PX_VOLUME","1993-06-18","2026-05-02","Per=M","Days=T","Dir=V")</f>
        <v>0</v>
      </c>
      <c r="AY2">
        <f>BDH("ZBH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BDH("ZBIO US Equity","BS_TOT_ASSET","1993-06-18","2026-05-02","Per=Y","Days=T","Dir=V")</f>
        <v>0</v>
      </c>
      <c r="C2">
        <f>BDH("ZBIO US Equity","BS_TOT_LIAB2","1993-06-18","2026-05-02","Per=Y","Days=T","Dir=V")</f>
        <v>0</v>
      </c>
      <c r="E2">
        <f>BDH("ZBIO US Equity","SHORT_AND_LONG_TERM_DEBT","1993-06-18","2026-05-02","Per=Y","Days=T","Dir=V")</f>
        <v>0</v>
      </c>
      <c r="G2">
        <f>BDH("ZBIO US Equity","BS_ST_BORROW","1993-06-18","2026-05-02","Per=Y","Days=T","Dir=V")</f>
        <v>0</v>
      </c>
      <c r="I2">
        <f>BDH("ZBIO US Equity","BS_LT_BORROW","1993-06-18","2026-05-02","Per=Y","Days=T","Dir=V")</f>
        <v>0</v>
      </c>
      <c r="K2">
        <f>BDH("ZBIO US Equity","BS_CASH_NEAR_CASH_ITEM","1993-06-18","2026-05-02","Per=Y","Days=T","Dir=V")</f>
        <v>0</v>
      </c>
      <c r="M2">
        <f>BDH("ZBIO US Equity","BS_CUR_ASSET_REPORT","1993-06-18","2026-05-02","Per=Y","Days=T","Dir=V")</f>
        <v>0</v>
      </c>
      <c r="O2">
        <f>BDH("ZBIO US Equity","BS_CUR_LIAB","1993-06-18","2026-05-02","Per=Y","Days=T","Dir=V")</f>
        <v>0</v>
      </c>
      <c r="Q2">
        <f>BDH("ZBIO US Equity","BS_SHAREHOLDER_EQY_ENDING_PERIOD","1993-06-18","2026-05-02","Per=Y","Days=T","Dir=V")</f>
        <v>0</v>
      </c>
      <c r="S2">
        <f>BDH("ZBIO US Equity","BS_ACCT_NOTE_RCV","1993-06-18","2026-05-02","Per=Y","Days=T","Dir=V")</f>
        <v>0</v>
      </c>
      <c r="U2">
        <f>BDH("ZBIO US Equity","BS_INVENTORIES","1993-06-18","2026-05-02","Per=Y","Days=T","Dir=V")</f>
        <v>0</v>
      </c>
      <c r="W2">
        <f>BDH("ZBIO US Equity","WORKING_CAPITAL","1993-06-18","2026-05-02","Per=Y","Days=T","Dir=V")</f>
        <v>0</v>
      </c>
      <c r="Y2">
        <f>BDH("ZBIO US Equity","SALES_REV_TURN","1993-06-18","2026-05-02","Per=Y","Days=T","Dir=V")</f>
        <v>0</v>
      </c>
      <c r="AA2">
        <f>BDH("ZBIO US Equity","EBIT","1993-06-18","2026-05-02","Per=Y","Days=T","Dir=V")</f>
        <v>0</v>
      </c>
      <c r="AC2">
        <f>BDH("ZBIO US Equity","EBITDA","1993-06-18","2026-05-02","Per=Y","Days=T","Dir=V")</f>
        <v>0</v>
      </c>
      <c r="AE2">
        <f>BDH("ZBIO US Equity","NET_INCOME","1993-06-18","2026-05-02","Per=Y","Days=T","Dir=V")</f>
        <v>0</v>
      </c>
      <c r="AG2">
        <f>BDH("ZBIO US Equity","IS_INT_EXPENSE","1993-06-18","2026-05-02","Per=Y","Days=T","Dir=V")</f>
        <v>0</v>
      </c>
      <c r="AI2">
        <f>BDH("ZBIO US Equity","IS_DEPR_EXP","1993-06-18","2026-05-02","Per=Y","Days=T","Dir=V")</f>
        <v>0</v>
      </c>
      <c r="AK2">
        <f>BDH("ZBIO US Equity","CF_CASH_FROM_OPER","1993-06-18","2026-05-02","Per=Y","Days=T","Dir=V")</f>
        <v>0</v>
      </c>
      <c r="AM2">
        <f>BDH("ZBIO US Equity","CAPITAL_EXPEND","1993-06-18","2026-05-02","Per=Y","Days=T","Dir=V")</f>
        <v>0</v>
      </c>
      <c r="AO2">
        <f>BDH("ZBIO US Equity","CF_FREE_CASH_FLOW","1993-06-18","2026-05-02","Per=Y","Days=T","Dir=V")</f>
        <v>0</v>
      </c>
      <c r="AQ2">
        <f>BDH("ZBIO US Equity","PX_LAST","1993-06-18","2026-05-02","Per=M","Days=T","Dir=V")</f>
        <v>0</v>
      </c>
      <c r="AS2">
        <f>BDH("ZBIO US Equity","CUR_MKT_CAP","1993-06-18","2026-05-02","Per=M","Days=T","Dir=V")</f>
        <v>0</v>
      </c>
      <c r="AU2">
        <f>BDH("ZBIO US Equity","EQY_SH_OUT","1993-06-18","2026-05-02","Per=M","Days=T","Dir=V")</f>
        <v>0</v>
      </c>
      <c r="AW2">
        <f>BDH("ZBIO US Equity","PX_VOLUME","1993-06-18","2026-05-02","Per=M","Days=T","Dir=V")</f>
        <v>0</v>
      </c>
      <c r="AY2">
        <f>BDH("ZBIO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BDH("ZBRA US Equity","BS_TOT_ASSET","1993-06-18","2026-05-02","Per=Y","Days=T","Dir=V")</f>
        <v>0</v>
      </c>
      <c r="C2">
        <f>BDH("ZBRA US Equity","BS_TOT_LIAB2","1993-06-18","2026-05-02","Per=Y","Days=T","Dir=V")</f>
        <v>0</v>
      </c>
      <c r="E2">
        <f>BDH("ZBRA US Equity","SHORT_AND_LONG_TERM_DEBT","1993-06-18","2026-05-02","Per=Y","Days=T","Dir=V")</f>
        <v>0</v>
      </c>
      <c r="G2">
        <f>BDH("ZBRA US Equity","BS_ST_BORROW","1993-06-18","2026-05-02","Per=Y","Days=T","Dir=V")</f>
        <v>0</v>
      </c>
      <c r="I2">
        <f>BDH("ZBRA US Equity","BS_LT_BORROW","1993-06-18","2026-05-02","Per=Y","Days=T","Dir=V")</f>
        <v>0</v>
      </c>
      <c r="K2">
        <f>BDH("ZBRA US Equity","BS_CASH_NEAR_CASH_ITEM","1993-06-18","2026-05-02","Per=Y","Days=T","Dir=V")</f>
        <v>0</v>
      </c>
      <c r="M2">
        <f>BDH("ZBRA US Equity","BS_CUR_ASSET_REPORT","1993-06-18","2026-05-02","Per=Y","Days=T","Dir=V")</f>
        <v>0</v>
      </c>
      <c r="O2">
        <f>BDH("ZBRA US Equity","BS_CUR_LIAB","1993-06-18","2026-05-02","Per=Y","Days=T","Dir=V")</f>
        <v>0</v>
      </c>
      <c r="Q2">
        <f>BDH("ZBRA US Equity","BS_SHAREHOLDER_EQY_ENDING_PERIOD","1993-06-18","2026-05-02","Per=Y","Days=T","Dir=V")</f>
        <v>0</v>
      </c>
      <c r="S2">
        <f>BDH("ZBRA US Equity","BS_ACCT_NOTE_RCV","1993-06-18","2026-05-02","Per=Y","Days=T","Dir=V")</f>
        <v>0</v>
      </c>
      <c r="U2">
        <f>BDH("ZBRA US Equity","BS_INVENTORIES","1993-06-18","2026-05-02","Per=Y","Days=T","Dir=V")</f>
        <v>0</v>
      </c>
      <c r="W2">
        <f>BDH("ZBRA US Equity","WORKING_CAPITAL","1993-06-18","2026-05-02","Per=Y","Days=T","Dir=V")</f>
        <v>0</v>
      </c>
      <c r="Y2">
        <f>BDH("ZBRA US Equity","SALES_REV_TURN","1993-06-18","2026-05-02","Per=Y","Days=T","Dir=V")</f>
        <v>0</v>
      </c>
      <c r="AA2">
        <f>BDH("ZBRA US Equity","EBIT","1993-06-18","2026-05-02","Per=Y","Days=T","Dir=V")</f>
        <v>0</v>
      </c>
      <c r="AC2">
        <f>BDH("ZBRA US Equity","EBITDA","1993-06-18","2026-05-02","Per=Y","Days=T","Dir=V")</f>
        <v>0</v>
      </c>
      <c r="AE2">
        <f>BDH("ZBRA US Equity","NET_INCOME","1993-06-18","2026-05-02","Per=Y","Days=T","Dir=V")</f>
        <v>0</v>
      </c>
      <c r="AG2">
        <f>BDH("ZBRA US Equity","IS_INT_EXPENSE","1993-06-18","2026-05-02","Per=Y","Days=T","Dir=V")</f>
        <v>0</v>
      </c>
      <c r="AI2">
        <f>BDH("ZBRA US Equity","IS_DEPR_EXP","1993-06-18","2026-05-02","Per=Y","Days=T","Dir=V")</f>
        <v>0</v>
      </c>
      <c r="AK2">
        <f>BDH("ZBRA US Equity","CF_CASH_FROM_OPER","1993-06-18","2026-05-02","Per=Y","Days=T","Dir=V")</f>
        <v>0</v>
      </c>
      <c r="AM2">
        <f>BDH("ZBRA US Equity","CAPITAL_EXPEND","1993-06-18","2026-05-02","Per=Y","Days=T","Dir=V")</f>
        <v>0</v>
      </c>
      <c r="AO2">
        <f>BDH("ZBRA US Equity","CF_FREE_CASH_FLOW","1993-06-18","2026-05-02","Per=Y","Days=T","Dir=V")</f>
        <v>0</v>
      </c>
      <c r="AQ2">
        <f>BDH("ZBRA US Equity","PX_LAST","1993-06-18","2026-05-02","Per=M","Days=T","Dir=V")</f>
        <v>0</v>
      </c>
      <c r="AS2">
        <f>BDH("ZBRA US Equity","CUR_MKT_CAP","1993-06-18","2026-05-02","Per=M","Days=T","Dir=V")</f>
        <v>0</v>
      </c>
      <c r="AU2">
        <f>BDH("ZBRA US Equity","EQY_SH_OUT","1993-06-18","2026-05-02","Per=M","Days=T","Dir=V")</f>
        <v>0</v>
      </c>
      <c r="AW2">
        <f>BDH("ZBRA US Equity","PX_VOLUME","1993-06-18","2026-05-02","Per=M","Days=T","Dir=V")</f>
        <v>0</v>
      </c>
      <c r="AY2">
        <f>BDH("ZBRA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BDH("ZD US Equity","BS_TOT_ASSET","1993-06-18","2026-05-02","Per=Y","Days=T","Dir=V")</f>
        <v>0</v>
      </c>
      <c r="C2">
        <f>BDH("ZD US Equity","BS_TOT_LIAB2","1993-06-18","2026-05-02","Per=Y","Days=T","Dir=V")</f>
        <v>0</v>
      </c>
      <c r="E2">
        <f>BDH("ZD US Equity","SHORT_AND_LONG_TERM_DEBT","1993-06-18","2026-05-02","Per=Y","Days=T","Dir=V")</f>
        <v>0</v>
      </c>
      <c r="G2">
        <f>BDH("ZD US Equity","BS_ST_BORROW","1993-06-18","2026-05-02","Per=Y","Days=T","Dir=V")</f>
        <v>0</v>
      </c>
      <c r="I2">
        <f>BDH("ZD US Equity","BS_LT_BORROW","1993-06-18","2026-05-02","Per=Y","Days=T","Dir=V")</f>
        <v>0</v>
      </c>
      <c r="K2">
        <f>BDH("ZD US Equity","BS_CASH_NEAR_CASH_ITEM","1993-06-18","2026-05-02","Per=Y","Days=T","Dir=V")</f>
        <v>0</v>
      </c>
      <c r="M2">
        <f>BDH("ZD US Equity","BS_CUR_ASSET_REPORT","1993-06-18","2026-05-02","Per=Y","Days=T","Dir=V")</f>
        <v>0</v>
      </c>
      <c r="O2">
        <f>BDH("ZD US Equity","BS_CUR_LIAB","1993-06-18","2026-05-02","Per=Y","Days=T","Dir=V")</f>
        <v>0</v>
      </c>
      <c r="Q2">
        <f>BDH("ZD US Equity","BS_SHAREHOLDER_EQY_ENDING_PERIOD","1993-06-18","2026-05-02","Per=Y","Days=T","Dir=V")</f>
        <v>0</v>
      </c>
      <c r="S2">
        <f>BDH("ZD US Equity","BS_ACCT_NOTE_RCV","1993-06-18","2026-05-02","Per=Y","Days=T","Dir=V")</f>
        <v>0</v>
      </c>
      <c r="U2">
        <f>BDH("ZD US Equity","BS_INVENTORIES","1993-06-18","2026-05-02","Per=Y","Days=T","Dir=V")</f>
        <v>0</v>
      </c>
      <c r="W2">
        <f>BDH("ZD US Equity","WORKING_CAPITAL","1993-06-18","2026-05-02","Per=Y","Days=T","Dir=V")</f>
        <v>0</v>
      </c>
      <c r="Y2">
        <f>BDH("ZD US Equity","SALES_REV_TURN","1993-06-18","2026-05-02","Per=Y","Days=T","Dir=V")</f>
        <v>0</v>
      </c>
      <c r="AA2">
        <f>BDH("ZD US Equity","EBIT","1993-06-18","2026-05-02","Per=Y","Days=T","Dir=V")</f>
        <v>0</v>
      </c>
      <c r="AC2">
        <f>BDH("ZD US Equity","EBITDA","1993-06-18","2026-05-02","Per=Y","Days=T","Dir=V")</f>
        <v>0</v>
      </c>
      <c r="AE2">
        <f>BDH("ZD US Equity","NET_INCOME","1993-06-18","2026-05-02","Per=Y","Days=T","Dir=V")</f>
        <v>0</v>
      </c>
      <c r="AG2">
        <f>BDH("ZD US Equity","IS_INT_EXPENSE","1993-06-18","2026-05-02","Per=Y","Days=T","Dir=V")</f>
        <v>0</v>
      </c>
      <c r="AI2">
        <f>BDH("ZD US Equity","IS_DEPR_EXP","1993-06-18","2026-05-02","Per=Y","Days=T","Dir=V")</f>
        <v>0</v>
      </c>
      <c r="AK2">
        <f>BDH("ZD US Equity","CF_CASH_FROM_OPER","1993-06-18","2026-05-02","Per=Y","Days=T","Dir=V")</f>
        <v>0</v>
      </c>
      <c r="AM2">
        <f>BDH("ZD US Equity","CAPITAL_EXPEND","1993-06-18","2026-05-02","Per=Y","Days=T","Dir=V")</f>
        <v>0</v>
      </c>
      <c r="AO2">
        <f>BDH("ZD US Equity","CF_FREE_CASH_FLOW","1993-06-18","2026-05-02","Per=Y","Days=T","Dir=V")</f>
        <v>0</v>
      </c>
      <c r="AQ2">
        <f>BDH("ZD US Equity","PX_LAST","1993-06-18","2026-05-02","Per=M","Days=T","Dir=V")</f>
        <v>0</v>
      </c>
      <c r="AS2">
        <f>BDH("ZD US Equity","CUR_MKT_CAP","1993-06-18","2026-05-02","Per=M","Days=T","Dir=V")</f>
        <v>0</v>
      </c>
      <c r="AU2">
        <f>BDH("ZD US Equity","EQY_SH_OUT","1993-06-18","2026-05-02","Per=M","Days=T","Dir=V")</f>
        <v>0</v>
      </c>
      <c r="AW2">
        <f>BDH("ZD US Equity","PX_VOLUME","1993-06-18","2026-05-02","Per=M","Days=T","Dir=V")</f>
        <v>0</v>
      </c>
      <c r="AY2">
        <f>BDH("ZD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BDH("ZETA US Equity","BS_TOT_ASSET","1993-06-18","2026-05-02","Per=Y","Days=T","Dir=V")</f>
        <v>0</v>
      </c>
      <c r="C2">
        <f>BDH("ZETA US Equity","BS_TOT_LIAB2","1993-06-18","2026-05-02","Per=Y","Days=T","Dir=V")</f>
        <v>0</v>
      </c>
      <c r="E2">
        <f>BDH("ZETA US Equity","SHORT_AND_LONG_TERM_DEBT","1993-06-18","2026-05-02","Per=Y","Days=T","Dir=V")</f>
        <v>0</v>
      </c>
      <c r="G2">
        <f>BDH("ZETA US Equity","BS_ST_BORROW","1993-06-18","2026-05-02","Per=Y","Days=T","Dir=V")</f>
        <v>0</v>
      </c>
      <c r="I2">
        <f>BDH("ZETA US Equity","BS_LT_BORROW","1993-06-18","2026-05-02","Per=Y","Days=T","Dir=V")</f>
        <v>0</v>
      </c>
      <c r="K2">
        <f>BDH("ZETA US Equity","BS_CASH_NEAR_CASH_ITEM","1993-06-18","2026-05-02","Per=Y","Days=T","Dir=V")</f>
        <v>0</v>
      </c>
      <c r="M2">
        <f>BDH("ZETA US Equity","BS_CUR_ASSET_REPORT","1993-06-18","2026-05-02","Per=Y","Days=T","Dir=V")</f>
        <v>0</v>
      </c>
      <c r="O2">
        <f>BDH("ZETA US Equity","BS_CUR_LIAB","1993-06-18","2026-05-02","Per=Y","Days=T","Dir=V")</f>
        <v>0</v>
      </c>
      <c r="Q2">
        <f>BDH("ZETA US Equity","BS_SHAREHOLDER_EQY_ENDING_PERIOD","1993-06-18","2026-05-02","Per=Y","Days=T","Dir=V")</f>
        <v>0</v>
      </c>
      <c r="S2">
        <f>BDH("ZETA US Equity","BS_ACCT_NOTE_RCV","1993-06-18","2026-05-02","Per=Y","Days=T","Dir=V")</f>
        <v>0</v>
      </c>
      <c r="U2">
        <f>BDH("ZETA US Equity","BS_INVENTORIES","1993-06-18","2026-05-02","Per=Y","Days=T","Dir=V")</f>
        <v>0</v>
      </c>
      <c r="W2">
        <f>BDH("ZETA US Equity","WORKING_CAPITAL","1993-06-18","2026-05-02","Per=Y","Days=T","Dir=V")</f>
        <v>0</v>
      </c>
      <c r="Y2">
        <f>BDH("ZETA US Equity","SALES_REV_TURN","1993-06-18","2026-05-02","Per=Y","Days=T","Dir=V")</f>
        <v>0</v>
      </c>
      <c r="AA2">
        <f>BDH("ZETA US Equity","EBIT","1993-06-18","2026-05-02","Per=Y","Days=T","Dir=V")</f>
        <v>0</v>
      </c>
      <c r="AC2">
        <f>BDH("ZETA US Equity","EBITDA","1993-06-18","2026-05-02","Per=Y","Days=T","Dir=V")</f>
        <v>0</v>
      </c>
      <c r="AE2">
        <f>BDH("ZETA US Equity","NET_INCOME","1993-06-18","2026-05-02","Per=Y","Days=T","Dir=V")</f>
        <v>0</v>
      </c>
      <c r="AG2">
        <f>BDH("ZETA US Equity","IS_INT_EXPENSE","1993-06-18","2026-05-02","Per=Y","Days=T","Dir=V")</f>
        <v>0</v>
      </c>
      <c r="AI2">
        <f>BDH("ZETA US Equity","IS_DEPR_EXP","1993-06-18","2026-05-02","Per=Y","Days=T","Dir=V")</f>
        <v>0</v>
      </c>
      <c r="AK2">
        <f>BDH("ZETA US Equity","CF_CASH_FROM_OPER","1993-06-18","2026-05-02","Per=Y","Days=T","Dir=V")</f>
        <v>0</v>
      </c>
      <c r="AM2">
        <f>BDH("ZETA US Equity","CAPITAL_EXPEND","1993-06-18","2026-05-02","Per=Y","Days=T","Dir=V")</f>
        <v>0</v>
      </c>
      <c r="AO2">
        <f>BDH("ZETA US Equity","CF_FREE_CASH_FLOW","1993-06-18","2026-05-02","Per=Y","Days=T","Dir=V")</f>
        <v>0</v>
      </c>
      <c r="AQ2">
        <f>BDH("ZETA US Equity","PX_LAST","1993-06-18","2026-05-02","Per=M","Days=T","Dir=V")</f>
        <v>0</v>
      </c>
      <c r="AS2">
        <f>BDH("ZETA US Equity","CUR_MKT_CAP","1993-06-18","2026-05-02","Per=M","Days=T","Dir=V")</f>
        <v>0</v>
      </c>
      <c r="AU2">
        <f>BDH("ZETA US Equity","EQY_SH_OUT","1993-06-18","2026-05-02","Per=M","Days=T","Dir=V")</f>
        <v>0</v>
      </c>
      <c r="AW2">
        <f>BDH("ZETA US Equity","PX_VOLUME","1993-06-18","2026-05-02","Per=M","Days=T","Dir=V")</f>
        <v>0</v>
      </c>
      <c r="AY2">
        <f>BDH("ZETA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BDH("ZG US Equity","BS_TOT_ASSET","1993-06-18","2026-05-02","Per=Y","Days=T","Dir=V")</f>
        <v>0</v>
      </c>
      <c r="C2">
        <f>BDH("ZG US Equity","BS_TOT_LIAB2","1993-06-18","2026-05-02","Per=Y","Days=T","Dir=V")</f>
        <v>0</v>
      </c>
      <c r="E2">
        <f>BDH("ZG US Equity","SHORT_AND_LONG_TERM_DEBT","1993-06-18","2026-05-02","Per=Y","Days=T","Dir=V")</f>
        <v>0</v>
      </c>
      <c r="G2">
        <f>BDH("ZG US Equity","BS_ST_BORROW","1993-06-18","2026-05-02","Per=Y","Days=T","Dir=V")</f>
        <v>0</v>
      </c>
      <c r="I2">
        <f>BDH("ZG US Equity","BS_LT_BORROW","1993-06-18","2026-05-02","Per=Y","Days=T","Dir=V")</f>
        <v>0</v>
      </c>
      <c r="K2">
        <f>BDH("ZG US Equity","BS_CASH_NEAR_CASH_ITEM","1993-06-18","2026-05-02","Per=Y","Days=T","Dir=V")</f>
        <v>0</v>
      </c>
      <c r="M2">
        <f>BDH("ZG US Equity","BS_CUR_ASSET_REPORT","1993-06-18","2026-05-02","Per=Y","Days=T","Dir=V")</f>
        <v>0</v>
      </c>
      <c r="O2">
        <f>BDH("ZG US Equity","BS_CUR_LIAB","1993-06-18","2026-05-02","Per=Y","Days=T","Dir=V")</f>
        <v>0</v>
      </c>
      <c r="Q2">
        <f>BDH("ZG US Equity","BS_SHAREHOLDER_EQY_ENDING_PERIOD","1993-06-18","2026-05-02","Per=Y","Days=T","Dir=V")</f>
        <v>0</v>
      </c>
      <c r="S2">
        <f>BDH("ZG US Equity","BS_ACCT_NOTE_RCV","1993-06-18","2026-05-02","Per=Y","Days=T","Dir=V")</f>
        <v>0</v>
      </c>
      <c r="U2">
        <f>BDH("ZG US Equity","BS_INVENTORIES","1993-06-18","2026-05-02","Per=Y","Days=T","Dir=V")</f>
        <v>0</v>
      </c>
      <c r="W2">
        <f>BDH("ZG US Equity","WORKING_CAPITAL","1993-06-18","2026-05-02","Per=Y","Days=T","Dir=V")</f>
        <v>0</v>
      </c>
      <c r="Y2">
        <f>BDH("ZG US Equity","SALES_REV_TURN","1993-06-18","2026-05-02","Per=Y","Days=T","Dir=V")</f>
        <v>0</v>
      </c>
      <c r="AA2">
        <f>BDH("ZG US Equity","EBIT","1993-06-18","2026-05-02","Per=Y","Days=T","Dir=V")</f>
        <v>0</v>
      </c>
      <c r="AC2">
        <f>BDH("ZG US Equity","EBITDA","1993-06-18","2026-05-02","Per=Y","Days=T","Dir=V")</f>
        <v>0</v>
      </c>
      <c r="AE2">
        <f>BDH("ZG US Equity","NET_INCOME","1993-06-18","2026-05-02","Per=Y","Days=T","Dir=V")</f>
        <v>0</v>
      </c>
      <c r="AG2">
        <f>BDH("ZG US Equity","IS_INT_EXPENSE","1993-06-18","2026-05-02","Per=Y","Days=T","Dir=V")</f>
        <v>0</v>
      </c>
      <c r="AI2">
        <f>BDH("ZG US Equity","IS_DEPR_EXP","1993-06-18","2026-05-02","Per=Y","Days=T","Dir=V")</f>
        <v>0</v>
      </c>
      <c r="AK2">
        <f>BDH("ZG US Equity","CF_CASH_FROM_OPER","1993-06-18","2026-05-02","Per=Y","Days=T","Dir=V")</f>
        <v>0</v>
      </c>
      <c r="AM2">
        <f>BDH("ZG US Equity","CAPITAL_EXPEND","1993-06-18","2026-05-02","Per=Y","Days=T","Dir=V")</f>
        <v>0</v>
      </c>
      <c r="AO2">
        <f>BDH("ZG US Equity","CF_FREE_CASH_FLOW","1993-06-18","2026-05-02","Per=Y","Days=T","Dir=V")</f>
        <v>0</v>
      </c>
      <c r="AQ2">
        <f>BDH("ZG US Equity","PX_LAST","1993-06-18","2026-05-02","Per=M","Days=T","Dir=V")</f>
        <v>0</v>
      </c>
      <c r="AS2">
        <f>BDH("ZG US Equity","CUR_MKT_CAP","1993-06-18","2026-05-02","Per=M","Days=T","Dir=V")</f>
        <v>0</v>
      </c>
      <c r="AU2">
        <f>BDH("ZG US Equity","EQY_SH_OUT","1993-06-18","2026-05-02","Per=M","Days=T","Dir=V")</f>
        <v>0</v>
      </c>
      <c r="AW2">
        <f>BDH("ZG US Equity","PX_VOLUME","1993-06-18","2026-05-02","Per=M","Days=T","Dir=V")</f>
        <v>0</v>
      </c>
      <c r="AY2">
        <f>BDH("ZG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BDH("ZIP US Equity","BS_TOT_ASSET","1993-06-18","2026-05-02","Per=Y","Days=T","Dir=V")</f>
        <v>0</v>
      </c>
      <c r="C2">
        <f>BDH("ZIP US Equity","BS_TOT_LIAB2","1993-06-18","2026-05-02","Per=Y","Days=T","Dir=V")</f>
        <v>0</v>
      </c>
      <c r="E2">
        <f>BDH("ZIP US Equity","SHORT_AND_LONG_TERM_DEBT","1993-06-18","2026-05-02","Per=Y","Days=T","Dir=V")</f>
        <v>0</v>
      </c>
      <c r="G2">
        <f>BDH("ZIP US Equity","BS_ST_BORROW","1993-06-18","2026-05-02","Per=Y","Days=T","Dir=V")</f>
        <v>0</v>
      </c>
      <c r="I2">
        <f>BDH("ZIP US Equity","BS_LT_BORROW","1993-06-18","2026-05-02","Per=Y","Days=T","Dir=V")</f>
        <v>0</v>
      </c>
      <c r="K2">
        <f>BDH("ZIP US Equity","BS_CASH_NEAR_CASH_ITEM","1993-06-18","2026-05-02","Per=Y","Days=T","Dir=V")</f>
        <v>0</v>
      </c>
      <c r="M2">
        <f>BDH("ZIP US Equity","BS_CUR_ASSET_REPORT","1993-06-18","2026-05-02","Per=Y","Days=T","Dir=V")</f>
        <v>0</v>
      </c>
      <c r="O2">
        <f>BDH("ZIP US Equity","BS_CUR_LIAB","1993-06-18","2026-05-02","Per=Y","Days=T","Dir=V")</f>
        <v>0</v>
      </c>
      <c r="Q2">
        <f>BDH("ZIP US Equity","BS_SHAREHOLDER_EQY_ENDING_PERIOD","1993-06-18","2026-05-02","Per=Y","Days=T","Dir=V")</f>
        <v>0</v>
      </c>
      <c r="S2">
        <f>BDH("ZIP US Equity","BS_ACCT_NOTE_RCV","1993-06-18","2026-05-02","Per=Y","Days=T","Dir=V")</f>
        <v>0</v>
      </c>
      <c r="U2">
        <f>BDH("ZIP US Equity","BS_INVENTORIES","1993-06-18","2026-05-02","Per=Y","Days=T","Dir=V")</f>
        <v>0</v>
      </c>
      <c r="W2">
        <f>BDH("ZIP US Equity","WORKING_CAPITAL","1993-06-18","2026-05-02","Per=Y","Days=T","Dir=V")</f>
        <v>0</v>
      </c>
      <c r="Y2">
        <f>BDH("ZIP US Equity","SALES_REV_TURN","1993-06-18","2026-05-02","Per=Y","Days=T","Dir=V")</f>
        <v>0</v>
      </c>
      <c r="AA2">
        <f>BDH("ZIP US Equity","EBIT","1993-06-18","2026-05-02","Per=Y","Days=T","Dir=V")</f>
        <v>0</v>
      </c>
      <c r="AC2">
        <f>BDH("ZIP US Equity","EBITDA","1993-06-18","2026-05-02","Per=Y","Days=T","Dir=V")</f>
        <v>0</v>
      </c>
      <c r="AE2">
        <f>BDH("ZIP US Equity","NET_INCOME","1993-06-18","2026-05-02","Per=Y","Days=T","Dir=V")</f>
        <v>0</v>
      </c>
      <c r="AG2">
        <f>BDH("ZIP US Equity","IS_INT_EXPENSE","1993-06-18","2026-05-02","Per=Y","Days=T","Dir=V")</f>
        <v>0</v>
      </c>
      <c r="AI2">
        <f>BDH("ZIP US Equity","IS_DEPR_EXP","1993-06-18","2026-05-02","Per=Y","Days=T","Dir=V")</f>
        <v>0</v>
      </c>
      <c r="AK2">
        <f>BDH("ZIP US Equity","CF_CASH_FROM_OPER","1993-06-18","2026-05-02","Per=Y","Days=T","Dir=V")</f>
        <v>0</v>
      </c>
      <c r="AM2">
        <f>BDH("ZIP US Equity","CAPITAL_EXPEND","1993-06-18","2026-05-02","Per=Y","Days=T","Dir=V")</f>
        <v>0</v>
      </c>
      <c r="AO2">
        <f>BDH("ZIP US Equity","CF_FREE_CASH_FLOW","1993-06-18","2026-05-02","Per=Y","Days=T","Dir=V")</f>
        <v>0</v>
      </c>
      <c r="AQ2">
        <f>BDH("ZIP US Equity","PX_LAST","1993-06-18","2026-05-02","Per=M","Days=T","Dir=V")</f>
        <v>0</v>
      </c>
      <c r="AS2">
        <f>BDH("ZIP US Equity","CUR_MKT_CAP","1993-06-18","2026-05-02","Per=M","Days=T","Dir=V")</f>
        <v>0</v>
      </c>
      <c r="AU2">
        <f>BDH("ZIP US Equity","EQY_SH_OUT","1993-06-18","2026-05-02","Per=M","Days=T","Dir=V")</f>
        <v>0</v>
      </c>
      <c r="AW2">
        <f>BDH("ZIP US Equity","PX_VOLUME","1993-06-18","2026-05-02","Per=M","Days=T","Dir=V")</f>
        <v>0</v>
      </c>
      <c r="AY2">
        <f>BDH("ZIP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BDH("ZM US Equity","BS_TOT_ASSET","1993-06-18","2026-05-02","Per=Y","Days=T","Dir=V")</f>
        <v>0</v>
      </c>
      <c r="C2">
        <f>BDH("ZM US Equity","BS_TOT_LIAB2","1993-06-18","2026-05-02","Per=Y","Days=T","Dir=V")</f>
        <v>0</v>
      </c>
      <c r="E2">
        <f>BDH("ZM US Equity","SHORT_AND_LONG_TERM_DEBT","1993-06-18","2026-05-02","Per=Y","Days=T","Dir=V")</f>
        <v>0</v>
      </c>
      <c r="G2">
        <f>BDH("ZM US Equity","BS_ST_BORROW","1993-06-18","2026-05-02","Per=Y","Days=T","Dir=V")</f>
        <v>0</v>
      </c>
      <c r="I2">
        <f>BDH("ZM US Equity","BS_LT_BORROW","1993-06-18","2026-05-02","Per=Y","Days=T","Dir=V")</f>
        <v>0</v>
      </c>
      <c r="K2">
        <f>BDH("ZM US Equity","BS_CASH_NEAR_CASH_ITEM","1993-06-18","2026-05-02","Per=Y","Days=T","Dir=V")</f>
        <v>0</v>
      </c>
      <c r="M2">
        <f>BDH("ZM US Equity","BS_CUR_ASSET_REPORT","1993-06-18","2026-05-02","Per=Y","Days=T","Dir=V")</f>
        <v>0</v>
      </c>
      <c r="O2">
        <f>BDH("ZM US Equity","BS_CUR_LIAB","1993-06-18","2026-05-02","Per=Y","Days=T","Dir=V")</f>
        <v>0</v>
      </c>
      <c r="Q2">
        <f>BDH("ZM US Equity","BS_SHAREHOLDER_EQY_ENDING_PERIOD","1993-06-18","2026-05-02","Per=Y","Days=T","Dir=V")</f>
        <v>0</v>
      </c>
      <c r="S2">
        <f>BDH("ZM US Equity","BS_ACCT_NOTE_RCV","1993-06-18","2026-05-02","Per=Y","Days=T","Dir=V")</f>
        <v>0</v>
      </c>
      <c r="U2">
        <f>BDH("ZM US Equity","BS_INVENTORIES","1993-06-18","2026-05-02","Per=Y","Days=T","Dir=V")</f>
        <v>0</v>
      </c>
      <c r="W2">
        <f>BDH("ZM US Equity","WORKING_CAPITAL","1993-06-18","2026-05-02","Per=Y","Days=T","Dir=V")</f>
        <v>0</v>
      </c>
      <c r="Y2">
        <f>BDH("ZM US Equity","SALES_REV_TURN","1993-06-18","2026-05-02","Per=Y","Days=T","Dir=V")</f>
        <v>0</v>
      </c>
      <c r="AA2">
        <f>BDH("ZM US Equity","EBIT","1993-06-18","2026-05-02","Per=Y","Days=T","Dir=V")</f>
        <v>0</v>
      </c>
      <c r="AC2">
        <f>BDH("ZM US Equity","EBITDA","1993-06-18","2026-05-02","Per=Y","Days=T","Dir=V")</f>
        <v>0</v>
      </c>
      <c r="AE2">
        <f>BDH("ZM US Equity","NET_INCOME","1993-06-18","2026-05-02","Per=Y","Days=T","Dir=V")</f>
        <v>0</v>
      </c>
      <c r="AG2">
        <f>BDH("ZM US Equity","IS_INT_EXPENSE","1993-06-18","2026-05-02","Per=Y","Days=T","Dir=V")</f>
        <v>0</v>
      </c>
      <c r="AI2">
        <f>BDH("ZM US Equity","IS_DEPR_EXP","1993-06-18","2026-05-02","Per=Y","Days=T","Dir=V")</f>
        <v>0</v>
      </c>
      <c r="AK2">
        <f>BDH("ZM US Equity","CF_CASH_FROM_OPER","1993-06-18","2026-05-02","Per=Y","Days=T","Dir=V")</f>
        <v>0</v>
      </c>
      <c r="AM2">
        <f>BDH("ZM US Equity","CAPITAL_EXPEND","1993-06-18","2026-05-02","Per=Y","Days=T","Dir=V")</f>
        <v>0</v>
      </c>
      <c r="AO2">
        <f>BDH("ZM US Equity","CF_FREE_CASH_FLOW","1993-06-18","2026-05-02","Per=Y","Days=T","Dir=V")</f>
        <v>0</v>
      </c>
      <c r="AQ2">
        <f>BDH("ZM US Equity","PX_LAST","1993-06-18","2026-05-02","Per=M","Days=T","Dir=V")</f>
        <v>0</v>
      </c>
      <c r="AS2">
        <f>BDH("ZM US Equity","CUR_MKT_CAP","1993-06-18","2026-05-02","Per=M","Days=T","Dir=V")</f>
        <v>0</v>
      </c>
      <c r="AU2">
        <f>BDH("ZM US Equity","EQY_SH_OUT","1993-06-18","2026-05-02","Per=M","Days=T","Dir=V")</f>
        <v>0</v>
      </c>
      <c r="AW2">
        <f>BDH("ZM US Equity","PX_VOLUME","1993-06-18","2026-05-02","Per=M","Days=T","Dir=V")</f>
        <v>0</v>
      </c>
      <c r="AY2">
        <f>BDH("ZM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BDH("ZNTL US Equity","BS_TOT_ASSET","1993-06-18","2026-05-02","Per=Y","Days=T","Dir=V")</f>
        <v>0</v>
      </c>
      <c r="C2">
        <f>BDH("ZNTL US Equity","BS_TOT_LIAB2","1993-06-18","2026-05-02","Per=Y","Days=T","Dir=V")</f>
        <v>0</v>
      </c>
      <c r="E2">
        <f>BDH("ZNTL US Equity","SHORT_AND_LONG_TERM_DEBT","1993-06-18","2026-05-02","Per=Y","Days=T","Dir=V")</f>
        <v>0</v>
      </c>
      <c r="G2">
        <f>BDH("ZNTL US Equity","BS_ST_BORROW","1993-06-18","2026-05-02","Per=Y","Days=T","Dir=V")</f>
        <v>0</v>
      </c>
      <c r="I2">
        <f>BDH("ZNTL US Equity","BS_LT_BORROW","1993-06-18","2026-05-02","Per=Y","Days=T","Dir=V")</f>
        <v>0</v>
      </c>
      <c r="K2">
        <f>BDH("ZNTL US Equity","BS_CASH_NEAR_CASH_ITEM","1993-06-18","2026-05-02","Per=Y","Days=T","Dir=V")</f>
        <v>0</v>
      </c>
      <c r="M2">
        <f>BDH("ZNTL US Equity","BS_CUR_ASSET_REPORT","1993-06-18","2026-05-02","Per=Y","Days=T","Dir=V")</f>
        <v>0</v>
      </c>
      <c r="O2">
        <f>BDH("ZNTL US Equity","BS_CUR_LIAB","1993-06-18","2026-05-02","Per=Y","Days=T","Dir=V")</f>
        <v>0</v>
      </c>
      <c r="Q2">
        <f>BDH("ZNTL US Equity","BS_SHAREHOLDER_EQY_ENDING_PERIOD","1993-06-18","2026-05-02","Per=Y","Days=T","Dir=V")</f>
        <v>0</v>
      </c>
      <c r="S2">
        <f>BDH("ZNTL US Equity","BS_ACCT_NOTE_RCV","1993-06-18","2026-05-02","Per=Y","Days=T","Dir=V")</f>
        <v>0</v>
      </c>
      <c r="U2">
        <f>BDH("ZNTL US Equity","BS_INVENTORIES","1993-06-18","2026-05-02","Per=Y","Days=T","Dir=V")</f>
        <v>0</v>
      </c>
      <c r="W2">
        <f>BDH("ZNTL US Equity","WORKING_CAPITAL","1993-06-18","2026-05-02","Per=Y","Days=T","Dir=V")</f>
        <v>0</v>
      </c>
      <c r="Y2">
        <f>BDH("ZNTL US Equity","SALES_REV_TURN","1993-06-18","2026-05-02","Per=Y","Days=T","Dir=V")</f>
        <v>0</v>
      </c>
      <c r="AA2">
        <f>BDH("ZNTL US Equity","EBIT","1993-06-18","2026-05-02","Per=Y","Days=T","Dir=V")</f>
        <v>0</v>
      </c>
      <c r="AC2">
        <f>BDH("ZNTL US Equity","EBITDA","1993-06-18","2026-05-02","Per=Y","Days=T","Dir=V")</f>
        <v>0</v>
      </c>
      <c r="AE2">
        <f>BDH("ZNTL US Equity","NET_INCOME","1993-06-18","2026-05-02","Per=Y","Days=T","Dir=V")</f>
        <v>0</v>
      </c>
      <c r="AG2">
        <f>BDH("ZNTL US Equity","IS_INT_EXPENSE","1993-06-18","2026-05-02","Per=Y","Days=T","Dir=V")</f>
        <v>0</v>
      </c>
      <c r="AI2">
        <f>BDH("ZNTL US Equity","IS_DEPR_EXP","1993-06-18","2026-05-02","Per=Y","Days=T","Dir=V")</f>
        <v>0</v>
      </c>
      <c r="AK2">
        <f>BDH("ZNTL US Equity","CF_CASH_FROM_OPER","1993-06-18","2026-05-02","Per=Y","Days=T","Dir=V")</f>
        <v>0</v>
      </c>
      <c r="AM2">
        <f>BDH("ZNTL US Equity","CAPITAL_EXPEND","1993-06-18","2026-05-02","Per=Y","Days=T","Dir=V")</f>
        <v>0</v>
      </c>
      <c r="AO2">
        <f>BDH("ZNTL US Equity","CF_FREE_CASH_FLOW","1993-06-18","2026-05-02","Per=Y","Days=T","Dir=V")</f>
        <v>0</v>
      </c>
      <c r="AQ2">
        <f>BDH("ZNTL US Equity","PX_LAST","1993-06-18","2026-05-02","Per=M","Days=T","Dir=V")</f>
        <v>0</v>
      </c>
      <c r="AS2">
        <f>BDH("ZNTL US Equity","CUR_MKT_CAP","1993-06-18","2026-05-02","Per=M","Days=T","Dir=V")</f>
        <v>0</v>
      </c>
      <c r="AU2">
        <f>BDH("ZNTL US Equity","EQY_SH_OUT","1993-06-18","2026-05-02","Per=M","Days=T","Dir=V")</f>
        <v>0</v>
      </c>
      <c r="AW2">
        <f>BDH("ZNTL US Equity","PX_VOLUME","1993-06-18","2026-05-02","Per=M","Days=T","Dir=V")</f>
        <v>0</v>
      </c>
      <c r="AY2">
        <f>BDH("ZNTL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BDH("ZS US Equity","BS_TOT_ASSET","1993-06-18","2026-05-02","Per=Y","Days=T","Dir=V")</f>
        <v>0</v>
      </c>
      <c r="C2">
        <f>BDH("ZS US Equity","BS_TOT_LIAB2","1993-06-18","2026-05-02","Per=Y","Days=T","Dir=V")</f>
        <v>0</v>
      </c>
      <c r="E2">
        <f>BDH("ZS US Equity","SHORT_AND_LONG_TERM_DEBT","1993-06-18","2026-05-02","Per=Y","Days=T","Dir=V")</f>
        <v>0</v>
      </c>
      <c r="G2">
        <f>BDH("ZS US Equity","BS_ST_BORROW","1993-06-18","2026-05-02","Per=Y","Days=T","Dir=V")</f>
        <v>0</v>
      </c>
      <c r="I2">
        <f>BDH("ZS US Equity","BS_LT_BORROW","1993-06-18","2026-05-02","Per=Y","Days=T","Dir=V")</f>
        <v>0</v>
      </c>
      <c r="K2">
        <f>BDH("ZS US Equity","BS_CASH_NEAR_CASH_ITEM","1993-06-18","2026-05-02","Per=Y","Days=T","Dir=V")</f>
        <v>0</v>
      </c>
      <c r="M2">
        <f>BDH("ZS US Equity","BS_CUR_ASSET_REPORT","1993-06-18","2026-05-02","Per=Y","Days=T","Dir=V")</f>
        <v>0</v>
      </c>
      <c r="O2">
        <f>BDH("ZS US Equity","BS_CUR_LIAB","1993-06-18","2026-05-02","Per=Y","Days=T","Dir=V")</f>
        <v>0</v>
      </c>
      <c r="Q2">
        <f>BDH("ZS US Equity","BS_SHAREHOLDER_EQY_ENDING_PERIOD","1993-06-18","2026-05-02","Per=Y","Days=T","Dir=V")</f>
        <v>0</v>
      </c>
      <c r="S2">
        <f>BDH("ZS US Equity","BS_ACCT_NOTE_RCV","1993-06-18","2026-05-02","Per=Y","Days=T","Dir=V")</f>
        <v>0</v>
      </c>
      <c r="U2">
        <f>BDH("ZS US Equity","BS_INVENTORIES","1993-06-18","2026-05-02","Per=Y","Days=T","Dir=V")</f>
        <v>0</v>
      </c>
      <c r="W2">
        <f>BDH("ZS US Equity","WORKING_CAPITAL","1993-06-18","2026-05-02","Per=Y","Days=T","Dir=V")</f>
        <v>0</v>
      </c>
      <c r="Y2">
        <f>BDH("ZS US Equity","SALES_REV_TURN","1993-06-18","2026-05-02","Per=Y","Days=T","Dir=V")</f>
        <v>0</v>
      </c>
      <c r="AA2">
        <f>BDH("ZS US Equity","EBIT","1993-06-18","2026-05-02","Per=Y","Days=T","Dir=V")</f>
        <v>0</v>
      </c>
      <c r="AC2">
        <f>BDH("ZS US Equity","EBITDA","1993-06-18","2026-05-02","Per=Y","Days=T","Dir=V")</f>
        <v>0</v>
      </c>
      <c r="AE2">
        <f>BDH("ZS US Equity","NET_INCOME","1993-06-18","2026-05-02","Per=Y","Days=T","Dir=V")</f>
        <v>0</v>
      </c>
      <c r="AG2">
        <f>BDH("ZS US Equity","IS_INT_EXPENSE","1993-06-18","2026-05-02","Per=Y","Days=T","Dir=V")</f>
        <v>0</v>
      </c>
      <c r="AI2">
        <f>BDH("ZS US Equity","IS_DEPR_EXP","1993-06-18","2026-05-02","Per=Y","Days=T","Dir=V")</f>
        <v>0</v>
      </c>
      <c r="AK2">
        <f>BDH("ZS US Equity","CF_CASH_FROM_OPER","1993-06-18","2026-05-02","Per=Y","Days=T","Dir=V")</f>
        <v>0</v>
      </c>
      <c r="AM2">
        <f>BDH("ZS US Equity","CAPITAL_EXPEND","1993-06-18","2026-05-02","Per=Y","Days=T","Dir=V")</f>
        <v>0</v>
      </c>
      <c r="AO2">
        <f>BDH("ZS US Equity","CF_FREE_CASH_FLOW","1993-06-18","2026-05-02","Per=Y","Days=T","Dir=V")</f>
        <v>0</v>
      </c>
      <c r="AQ2">
        <f>BDH("ZS US Equity","PX_LAST","1993-06-18","2026-05-02","Per=M","Days=T","Dir=V")</f>
        <v>0</v>
      </c>
      <c r="AS2">
        <f>BDH("ZS US Equity","CUR_MKT_CAP","1993-06-18","2026-05-02","Per=M","Days=T","Dir=V")</f>
        <v>0</v>
      </c>
      <c r="AU2">
        <f>BDH("ZS US Equity","EQY_SH_OUT","1993-06-18","2026-05-02","Per=M","Days=T","Dir=V")</f>
        <v>0</v>
      </c>
      <c r="AW2">
        <f>BDH("ZS US Equity","PX_VOLUME","1993-06-18","2026-05-02","Per=M","Days=T","Dir=V")</f>
        <v>0</v>
      </c>
      <c r="AY2">
        <f>BDH("ZS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BDH("ZTS US Equity","BS_TOT_ASSET","1993-06-18","2026-05-02","Per=Y","Days=T","Dir=V")</f>
        <v>0</v>
      </c>
      <c r="C2">
        <f>BDH("ZTS US Equity","BS_TOT_LIAB2","1993-06-18","2026-05-02","Per=Y","Days=T","Dir=V")</f>
        <v>0</v>
      </c>
      <c r="E2">
        <f>BDH("ZTS US Equity","SHORT_AND_LONG_TERM_DEBT","1993-06-18","2026-05-02","Per=Y","Days=T","Dir=V")</f>
        <v>0</v>
      </c>
      <c r="G2">
        <f>BDH("ZTS US Equity","BS_ST_BORROW","1993-06-18","2026-05-02","Per=Y","Days=T","Dir=V")</f>
        <v>0</v>
      </c>
      <c r="I2">
        <f>BDH("ZTS US Equity","BS_LT_BORROW","1993-06-18","2026-05-02","Per=Y","Days=T","Dir=V")</f>
        <v>0</v>
      </c>
      <c r="K2">
        <f>BDH("ZTS US Equity","BS_CASH_NEAR_CASH_ITEM","1993-06-18","2026-05-02","Per=Y","Days=T","Dir=V")</f>
        <v>0</v>
      </c>
      <c r="M2">
        <f>BDH("ZTS US Equity","BS_CUR_ASSET_REPORT","1993-06-18","2026-05-02","Per=Y","Days=T","Dir=V")</f>
        <v>0</v>
      </c>
      <c r="O2">
        <f>BDH("ZTS US Equity","BS_CUR_LIAB","1993-06-18","2026-05-02","Per=Y","Days=T","Dir=V")</f>
        <v>0</v>
      </c>
      <c r="Q2">
        <f>BDH("ZTS US Equity","BS_SHAREHOLDER_EQY_ENDING_PERIOD","1993-06-18","2026-05-02","Per=Y","Days=T","Dir=V")</f>
        <v>0</v>
      </c>
      <c r="S2">
        <f>BDH("ZTS US Equity","BS_ACCT_NOTE_RCV","1993-06-18","2026-05-02","Per=Y","Days=T","Dir=V")</f>
        <v>0</v>
      </c>
      <c r="U2">
        <f>BDH("ZTS US Equity","BS_INVENTORIES","1993-06-18","2026-05-02","Per=Y","Days=T","Dir=V")</f>
        <v>0</v>
      </c>
      <c r="W2">
        <f>BDH("ZTS US Equity","WORKING_CAPITAL","1993-06-18","2026-05-02","Per=Y","Days=T","Dir=V")</f>
        <v>0</v>
      </c>
      <c r="Y2">
        <f>BDH("ZTS US Equity","SALES_REV_TURN","1993-06-18","2026-05-02","Per=Y","Days=T","Dir=V")</f>
        <v>0</v>
      </c>
      <c r="AA2">
        <f>BDH("ZTS US Equity","EBIT","1993-06-18","2026-05-02","Per=Y","Days=T","Dir=V")</f>
        <v>0</v>
      </c>
      <c r="AC2">
        <f>BDH("ZTS US Equity","EBITDA","1993-06-18","2026-05-02","Per=Y","Days=T","Dir=V")</f>
        <v>0</v>
      </c>
      <c r="AE2">
        <f>BDH("ZTS US Equity","NET_INCOME","1993-06-18","2026-05-02","Per=Y","Days=T","Dir=V")</f>
        <v>0</v>
      </c>
      <c r="AG2">
        <f>BDH("ZTS US Equity","IS_INT_EXPENSE","1993-06-18","2026-05-02","Per=Y","Days=T","Dir=V")</f>
        <v>0</v>
      </c>
      <c r="AI2">
        <f>BDH("ZTS US Equity","IS_DEPR_EXP","1993-06-18","2026-05-02","Per=Y","Days=T","Dir=V")</f>
        <v>0</v>
      </c>
      <c r="AK2">
        <f>BDH("ZTS US Equity","CF_CASH_FROM_OPER","1993-06-18","2026-05-02","Per=Y","Days=T","Dir=V")</f>
        <v>0</v>
      </c>
      <c r="AM2">
        <f>BDH("ZTS US Equity","CAPITAL_EXPEND","1993-06-18","2026-05-02","Per=Y","Days=T","Dir=V")</f>
        <v>0</v>
      </c>
      <c r="AO2">
        <f>BDH("ZTS US Equity","CF_FREE_CASH_FLOW","1993-06-18","2026-05-02","Per=Y","Days=T","Dir=V")</f>
        <v>0</v>
      </c>
      <c r="AQ2">
        <f>BDH("ZTS US Equity","PX_LAST","1993-06-18","2026-05-02","Per=M","Days=T","Dir=V")</f>
        <v>0</v>
      </c>
      <c r="AS2">
        <f>BDH("ZTS US Equity","CUR_MKT_CAP","1993-06-18","2026-05-02","Per=M","Days=T","Dir=V")</f>
        <v>0</v>
      </c>
      <c r="AU2">
        <f>BDH("ZTS US Equity","EQY_SH_OUT","1993-06-18","2026-05-02","Per=M","Days=T","Dir=V")</f>
        <v>0</v>
      </c>
      <c r="AW2">
        <f>BDH("ZTS US Equity","PX_VOLUME","1993-06-18","2026-05-02","Per=M","Days=T","Dir=V")</f>
        <v>0</v>
      </c>
      <c r="AY2">
        <f>BDH("ZTS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BDH("ZUMZ US Equity","BS_TOT_ASSET","1993-06-18","2026-05-02","Per=Y","Days=T","Dir=V")</f>
        <v>0</v>
      </c>
      <c r="C2">
        <f>BDH("ZUMZ US Equity","BS_TOT_LIAB2","1993-06-18","2026-05-02","Per=Y","Days=T","Dir=V")</f>
        <v>0</v>
      </c>
      <c r="E2">
        <f>BDH("ZUMZ US Equity","SHORT_AND_LONG_TERM_DEBT","1993-06-18","2026-05-02","Per=Y","Days=T","Dir=V")</f>
        <v>0</v>
      </c>
      <c r="G2">
        <f>BDH("ZUMZ US Equity","BS_ST_BORROW","1993-06-18","2026-05-02","Per=Y","Days=T","Dir=V")</f>
        <v>0</v>
      </c>
      <c r="I2">
        <f>BDH("ZUMZ US Equity","BS_LT_BORROW","1993-06-18","2026-05-02","Per=Y","Days=T","Dir=V")</f>
        <v>0</v>
      </c>
      <c r="K2">
        <f>BDH("ZUMZ US Equity","BS_CASH_NEAR_CASH_ITEM","1993-06-18","2026-05-02","Per=Y","Days=T","Dir=V")</f>
        <v>0</v>
      </c>
      <c r="M2">
        <f>BDH("ZUMZ US Equity","BS_CUR_ASSET_REPORT","1993-06-18","2026-05-02","Per=Y","Days=T","Dir=V")</f>
        <v>0</v>
      </c>
      <c r="O2">
        <f>BDH("ZUMZ US Equity","BS_CUR_LIAB","1993-06-18","2026-05-02","Per=Y","Days=T","Dir=V")</f>
        <v>0</v>
      </c>
      <c r="Q2">
        <f>BDH("ZUMZ US Equity","BS_SHAREHOLDER_EQY_ENDING_PERIOD","1993-06-18","2026-05-02","Per=Y","Days=T","Dir=V")</f>
        <v>0</v>
      </c>
      <c r="S2">
        <f>BDH("ZUMZ US Equity","BS_ACCT_NOTE_RCV","1993-06-18","2026-05-02","Per=Y","Days=T","Dir=V")</f>
        <v>0</v>
      </c>
      <c r="U2">
        <f>BDH("ZUMZ US Equity","BS_INVENTORIES","1993-06-18","2026-05-02","Per=Y","Days=T","Dir=V")</f>
        <v>0</v>
      </c>
      <c r="W2">
        <f>BDH("ZUMZ US Equity","WORKING_CAPITAL","1993-06-18","2026-05-02","Per=Y","Days=T","Dir=V")</f>
        <v>0</v>
      </c>
      <c r="Y2">
        <f>BDH("ZUMZ US Equity","SALES_REV_TURN","1993-06-18","2026-05-02","Per=Y","Days=T","Dir=V")</f>
        <v>0</v>
      </c>
      <c r="AA2">
        <f>BDH("ZUMZ US Equity","EBIT","1993-06-18","2026-05-02","Per=Y","Days=T","Dir=V")</f>
        <v>0</v>
      </c>
      <c r="AC2">
        <f>BDH("ZUMZ US Equity","EBITDA","1993-06-18","2026-05-02","Per=Y","Days=T","Dir=V")</f>
        <v>0</v>
      </c>
      <c r="AE2">
        <f>BDH("ZUMZ US Equity","NET_INCOME","1993-06-18","2026-05-02","Per=Y","Days=T","Dir=V")</f>
        <v>0</v>
      </c>
      <c r="AG2">
        <f>BDH("ZUMZ US Equity","IS_INT_EXPENSE","1993-06-18","2026-05-02","Per=Y","Days=T","Dir=V")</f>
        <v>0</v>
      </c>
      <c r="AI2">
        <f>BDH("ZUMZ US Equity","IS_DEPR_EXP","1993-06-18","2026-05-02","Per=Y","Days=T","Dir=V")</f>
        <v>0</v>
      </c>
      <c r="AK2">
        <f>BDH("ZUMZ US Equity","CF_CASH_FROM_OPER","1993-06-18","2026-05-02","Per=Y","Days=T","Dir=V")</f>
        <v>0</v>
      </c>
      <c r="AM2">
        <f>BDH("ZUMZ US Equity","CAPITAL_EXPEND","1993-06-18","2026-05-02","Per=Y","Days=T","Dir=V")</f>
        <v>0</v>
      </c>
      <c r="AO2">
        <f>BDH("ZUMZ US Equity","CF_FREE_CASH_FLOW","1993-06-18","2026-05-02","Per=Y","Days=T","Dir=V")</f>
        <v>0</v>
      </c>
      <c r="AQ2">
        <f>BDH("ZUMZ US Equity","PX_LAST","1993-06-18","2026-05-02","Per=M","Days=T","Dir=V")</f>
        <v>0</v>
      </c>
      <c r="AS2">
        <f>BDH("ZUMZ US Equity","CUR_MKT_CAP","1993-06-18","2026-05-02","Per=M","Days=T","Dir=V")</f>
        <v>0</v>
      </c>
      <c r="AU2">
        <f>BDH("ZUMZ US Equity","EQY_SH_OUT","1993-06-18","2026-05-02","Per=M","Days=T","Dir=V")</f>
        <v>0</v>
      </c>
      <c r="AW2">
        <f>BDH("ZUMZ US Equity","PX_VOLUME","1993-06-18","2026-05-02","Per=M","Days=T","Dir=V")</f>
        <v>0</v>
      </c>
      <c r="AY2">
        <f>BDH("ZUMZ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BDH("ZVIA US Equity","BS_TOT_ASSET","1993-06-18","2026-05-02","Per=Y","Days=T","Dir=V")</f>
        <v>0</v>
      </c>
      <c r="C2">
        <f>BDH("ZVIA US Equity","BS_TOT_LIAB2","1993-06-18","2026-05-02","Per=Y","Days=T","Dir=V")</f>
        <v>0</v>
      </c>
      <c r="E2">
        <f>BDH("ZVIA US Equity","SHORT_AND_LONG_TERM_DEBT","1993-06-18","2026-05-02","Per=Y","Days=T","Dir=V")</f>
        <v>0</v>
      </c>
      <c r="G2">
        <f>BDH("ZVIA US Equity","BS_ST_BORROW","1993-06-18","2026-05-02","Per=Y","Days=T","Dir=V")</f>
        <v>0</v>
      </c>
      <c r="I2">
        <f>BDH("ZVIA US Equity","BS_LT_BORROW","1993-06-18","2026-05-02","Per=Y","Days=T","Dir=V")</f>
        <v>0</v>
      </c>
      <c r="K2">
        <f>BDH("ZVIA US Equity","BS_CASH_NEAR_CASH_ITEM","1993-06-18","2026-05-02","Per=Y","Days=T","Dir=V")</f>
        <v>0</v>
      </c>
      <c r="M2">
        <f>BDH("ZVIA US Equity","BS_CUR_ASSET_REPORT","1993-06-18","2026-05-02","Per=Y","Days=T","Dir=V")</f>
        <v>0</v>
      </c>
      <c r="O2">
        <f>BDH("ZVIA US Equity","BS_CUR_LIAB","1993-06-18","2026-05-02","Per=Y","Days=T","Dir=V")</f>
        <v>0</v>
      </c>
      <c r="Q2">
        <f>BDH("ZVIA US Equity","BS_SHAREHOLDER_EQY_ENDING_PERIOD","1993-06-18","2026-05-02","Per=Y","Days=T","Dir=V")</f>
        <v>0</v>
      </c>
      <c r="S2">
        <f>BDH("ZVIA US Equity","BS_ACCT_NOTE_RCV","1993-06-18","2026-05-02","Per=Y","Days=T","Dir=V")</f>
        <v>0</v>
      </c>
      <c r="U2">
        <f>BDH("ZVIA US Equity","BS_INVENTORIES","1993-06-18","2026-05-02","Per=Y","Days=T","Dir=V")</f>
        <v>0</v>
      </c>
      <c r="W2">
        <f>BDH("ZVIA US Equity","WORKING_CAPITAL","1993-06-18","2026-05-02","Per=Y","Days=T","Dir=V")</f>
        <v>0</v>
      </c>
      <c r="Y2">
        <f>BDH("ZVIA US Equity","SALES_REV_TURN","1993-06-18","2026-05-02","Per=Y","Days=T","Dir=V")</f>
        <v>0</v>
      </c>
      <c r="AA2">
        <f>BDH("ZVIA US Equity","EBIT","1993-06-18","2026-05-02","Per=Y","Days=T","Dir=V")</f>
        <v>0</v>
      </c>
      <c r="AC2">
        <f>BDH("ZVIA US Equity","EBITDA","1993-06-18","2026-05-02","Per=Y","Days=T","Dir=V")</f>
        <v>0</v>
      </c>
      <c r="AE2">
        <f>BDH("ZVIA US Equity","NET_INCOME","1993-06-18","2026-05-02","Per=Y","Days=T","Dir=V")</f>
        <v>0</v>
      </c>
      <c r="AG2">
        <f>BDH("ZVIA US Equity","IS_INT_EXPENSE","1993-06-18","2026-05-02","Per=Y","Days=T","Dir=V")</f>
        <v>0</v>
      </c>
      <c r="AI2">
        <f>BDH("ZVIA US Equity","IS_DEPR_EXP","1993-06-18","2026-05-02","Per=Y","Days=T","Dir=V")</f>
        <v>0</v>
      </c>
      <c r="AK2">
        <f>BDH("ZVIA US Equity","CF_CASH_FROM_OPER","1993-06-18","2026-05-02","Per=Y","Days=T","Dir=V")</f>
        <v>0</v>
      </c>
      <c r="AM2">
        <f>BDH("ZVIA US Equity","CAPITAL_EXPEND","1993-06-18","2026-05-02","Per=Y","Days=T","Dir=V")</f>
        <v>0</v>
      </c>
      <c r="AO2">
        <f>BDH("ZVIA US Equity","CF_FREE_CASH_FLOW","1993-06-18","2026-05-02","Per=Y","Days=T","Dir=V")</f>
        <v>0</v>
      </c>
      <c r="AQ2">
        <f>BDH("ZVIA US Equity","PX_LAST","1993-06-18","2026-05-02","Per=M","Days=T","Dir=V")</f>
        <v>0</v>
      </c>
      <c r="AS2">
        <f>BDH("ZVIA US Equity","CUR_MKT_CAP","1993-06-18","2026-05-02","Per=M","Days=T","Dir=V")</f>
        <v>0</v>
      </c>
      <c r="AU2">
        <f>BDH("ZVIA US Equity","EQY_SH_OUT","1993-06-18","2026-05-02","Per=M","Days=T","Dir=V")</f>
        <v>0</v>
      </c>
      <c r="AW2">
        <f>BDH("ZVIA US Equity","PX_VOLUME","1993-06-18","2026-05-02","Per=M","Days=T","Dir=V")</f>
        <v>0</v>
      </c>
      <c r="AY2">
        <f>BDH("ZVIA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BDH("ZVRA US Equity","BS_TOT_ASSET","1993-06-18","2026-05-02","Per=Y","Days=T","Dir=V")</f>
        <v>0</v>
      </c>
      <c r="C2">
        <f>BDH("ZVRA US Equity","BS_TOT_LIAB2","1993-06-18","2026-05-02","Per=Y","Days=T","Dir=V")</f>
        <v>0</v>
      </c>
      <c r="E2">
        <f>BDH("ZVRA US Equity","SHORT_AND_LONG_TERM_DEBT","1993-06-18","2026-05-02","Per=Y","Days=T","Dir=V")</f>
        <v>0</v>
      </c>
      <c r="G2">
        <f>BDH("ZVRA US Equity","BS_ST_BORROW","1993-06-18","2026-05-02","Per=Y","Days=T","Dir=V")</f>
        <v>0</v>
      </c>
      <c r="I2">
        <f>BDH("ZVRA US Equity","BS_LT_BORROW","1993-06-18","2026-05-02","Per=Y","Days=T","Dir=V")</f>
        <v>0</v>
      </c>
      <c r="K2">
        <f>BDH("ZVRA US Equity","BS_CASH_NEAR_CASH_ITEM","1993-06-18","2026-05-02","Per=Y","Days=T","Dir=V")</f>
        <v>0</v>
      </c>
      <c r="M2">
        <f>BDH("ZVRA US Equity","BS_CUR_ASSET_REPORT","1993-06-18","2026-05-02","Per=Y","Days=T","Dir=V")</f>
        <v>0</v>
      </c>
      <c r="O2">
        <f>BDH("ZVRA US Equity","BS_CUR_LIAB","1993-06-18","2026-05-02","Per=Y","Days=T","Dir=V")</f>
        <v>0</v>
      </c>
      <c r="Q2">
        <f>BDH("ZVRA US Equity","BS_SHAREHOLDER_EQY_ENDING_PERIOD","1993-06-18","2026-05-02","Per=Y","Days=T","Dir=V")</f>
        <v>0</v>
      </c>
      <c r="S2">
        <f>BDH("ZVRA US Equity","BS_ACCT_NOTE_RCV","1993-06-18","2026-05-02","Per=Y","Days=T","Dir=V")</f>
        <v>0</v>
      </c>
      <c r="U2">
        <f>BDH("ZVRA US Equity","BS_INVENTORIES","1993-06-18","2026-05-02","Per=Y","Days=T","Dir=V")</f>
        <v>0</v>
      </c>
      <c r="W2">
        <f>BDH("ZVRA US Equity","WORKING_CAPITAL","1993-06-18","2026-05-02","Per=Y","Days=T","Dir=V")</f>
        <v>0</v>
      </c>
      <c r="Y2">
        <f>BDH("ZVRA US Equity","SALES_REV_TURN","1993-06-18","2026-05-02","Per=Y","Days=T","Dir=V")</f>
        <v>0</v>
      </c>
      <c r="AA2">
        <f>BDH("ZVRA US Equity","EBIT","1993-06-18","2026-05-02","Per=Y","Days=T","Dir=V")</f>
        <v>0</v>
      </c>
      <c r="AC2">
        <f>BDH("ZVRA US Equity","EBITDA","1993-06-18","2026-05-02","Per=Y","Days=T","Dir=V")</f>
        <v>0</v>
      </c>
      <c r="AE2">
        <f>BDH("ZVRA US Equity","NET_INCOME","1993-06-18","2026-05-02","Per=Y","Days=T","Dir=V")</f>
        <v>0</v>
      </c>
      <c r="AG2">
        <f>BDH("ZVRA US Equity","IS_INT_EXPENSE","1993-06-18","2026-05-02","Per=Y","Days=T","Dir=V")</f>
        <v>0</v>
      </c>
      <c r="AI2">
        <f>BDH("ZVRA US Equity","IS_DEPR_EXP","1993-06-18","2026-05-02","Per=Y","Days=T","Dir=V")</f>
        <v>0</v>
      </c>
      <c r="AK2">
        <f>BDH("ZVRA US Equity","CF_CASH_FROM_OPER","1993-06-18","2026-05-02","Per=Y","Days=T","Dir=V")</f>
        <v>0</v>
      </c>
      <c r="AM2">
        <f>BDH("ZVRA US Equity","CAPITAL_EXPEND","1993-06-18","2026-05-02","Per=Y","Days=T","Dir=V")</f>
        <v>0</v>
      </c>
      <c r="AO2">
        <f>BDH("ZVRA US Equity","CF_FREE_CASH_FLOW","1993-06-18","2026-05-02","Per=Y","Days=T","Dir=V")</f>
        <v>0</v>
      </c>
      <c r="AQ2">
        <f>BDH("ZVRA US Equity","PX_LAST","1993-06-18","2026-05-02","Per=M","Days=T","Dir=V")</f>
        <v>0</v>
      </c>
      <c r="AS2">
        <f>BDH("ZVRA US Equity","CUR_MKT_CAP","1993-06-18","2026-05-02","Per=M","Days=T","Dir=V")</f>
        <v>0</v>
      </c>
      <c r="AU2">
        <f>BDH("ZVRA US Equity","EQY_SH_OUT","1993-06-18","2026-05-02","Per=M","Days=T","Dir=V")</f>
        <v>0</v>
      </c>
      <c r="AW2">
        <f>BDH("ZVRA US Equity","PX_VOLUME","1993-06-18","2026-05-02","Per=M","Days=T","Dir=V")</f>
        <v>0</v>
      </c>
      <c r="AY2">
        <f>BDH("ZVRA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BDH("ZWS US Equity","BS_TOT_ASSET","1993-06-18","2026-05-02","Per=Y","Days=T","Dir=V")</f>
        <v>0</v>
      </c>
      <c r="C2">
        <f>BDH("ZWS US Equity","BS_TOT_LIAB2","1993-06-18","2026-05-02","Per=Y","Days=T","Dir=V")</f>
        <v>0</v>
      </c>
      <c r="E2">
        <f>BDH("ZWS US Equity","SHORT_AND_LONG_TERM_DEBT","1993-06-18","2026-05-02","Per=Y","Days=T","Dir=V")</f>
        <v>0</v>
      </c>
      <c r="G2">
        <f>BDH("ZWS US Equity","BS_ST_BORROW","1993-06-18","2026-05-02","Per=Y","Days=T","Dir=V")</f>
        <v>0</v>
      </c>
      <c r="I2">
        <f>BDH("ZWS US Equity","BS_LT_BORROW","1993-06-18","2026-05-02","Per=Y","Days=T","Dir=V")</f>
        <v>0</v>
      </c>
      <c r="K2">
        <f>BDH("ZWS US Equity","BS_CASH_NEAR_CASH_ITEM","1993-06-18","2026-05-02","Per=Y","Days=T","Dir=V")</f>
        <v>0</v>
      </c>
      <c r="M2">
        <f>BDH("ZWS US Equity","BS_CUR_ASSET_REPORT","1993-06-18","2026-05-02","Per=Y","Days=T","Dir=V")</f>
        <v>0</v>
      </c>
      <c r="O2">
        <f>BDH("ZWS US Equity","BS_CUR_LIAB","1993-06-18","2026-05-02","Per=Y","Days=T","Dir=V")</f>
        <v>0</v>
      </c>
      <c r="Q2">
        <f>BDH("ZWS US Equity","BS_SHAREHOLDER_EQY_ENDING_PERIOD","1993-06-18","2026-05-02","Per=Y","Days=T","Dir=V")</f>
        <v>0</v>
      </c>
      <c r="S2">
        <f>BDH("ZWS US Equity","BS_ACCT_NOTE_RCV","1993-06-18","2026-05-02","Per=Y","Days=T","Dir=V")</f>
        <v>0</v>
      </c>
      <c r="U2">
        <f>BDH("ZWS US Equity","BS_INVENTORIES","1993-06-18","2026-05-02","Per=Y","Days=T","Dir=V")</f>
        <v>0</v>
      </c>
      <c r="W2">
        <f>BDH("ZWS US Equity","WORKING_CAPITAL","1993-06-18","2026-05-02","Per=Y","Days=T","Dir=V")</f>
        <v>0</v>
      </c>
      <c r="Y2">
        <f>BDH("ZWS US Equity","SALES_REV_TURN","1993-06-18","2026-05-02","Per=Y","Days=T","Dir=V")</f>
        <v>0</v>
      </c>
      <c r="AA2">
        <f>BDH("ZWS US Equity","EBIT","1993-06-18","2026-05-02","Per=Y","Days=T","Dir=V")</f>
        <v>0</v>
      </c>
      <c r="AC2">
        <f>BDH("ZWS US Equity","EBITDA","1993-06-18","2026-05-02","Per=Y","Days=T","Dir=V")</f>
        <v>0</v>
      </c>
      <c r="AE2">
        <f>BDH("ZWS US Equity","NET_INCOME","1993-06-18","2026-05-02","Per=Y","Days=T","Dir=V")</f>
        <v>0</v>
      </c>
      <c r="AG2">
        <f>BDH("ZWS US Equity","IS_INT_EXPENSE","1993-06-18","2026-05-02","Per=Y","Days=T","Dir=V")</f>
        <v>0</v>
      </c>
      <c r="AI2">
        <f>BDH("ZWS US Equity","IS_DEPR_EXP","1993-06-18","2026-05-02","Per=Y","Days=T","Dir=V")</f>
        <v>0</v>
      </c>
      <c r="AK2">
        <f>BDH("ZWS US Equity","CF_CASH_FROM_OPER","1993-06-18","2026-05-02","Per=Y","Days=T","Dir=V")</f>
        <v>0</v>
      </c>
      <c r="AM2">
        <f>BDH("ZWS US Equity","CAPITAL_EXPEND","1993-06-18","2026-05-02","Per=Y","Days=T","Dir=V")</f>
        <v>0</v>
      </c>
      <c r="AO2">
        <f>BDH("ZWS US Equity","CF_FREE_CASH_FLOW","1993-06-18","2026-05-02","Per=Y","Days=T","Dir=V")</f>
        <v>0</v>
      </c>
      <c r="AQ2">
        <f>BDH("ZWS US Equity","PX_LAST","1993-06-18","2026-05-02","Per=M","Days=T","Dir=V")</f>
        <v>0</v>
      </c>
      <c r="AS2">
        <f>BDH("ZWS US Equity","CUR_MKT_CAP","1993-06-18","2026-05-02","Per=M","Days=T","Dir=V")</f>
        <v>0</v>
      </c>
      <c r="AU2">
        <f>BDH("ZWS US Equity","EQY_SH_OUT","1993-06-18","2026-05-02","Per=M","Days=T","Dir=V")</f>
        <v>0</v>
      </c>
      <c r="AW2">
        <f>BDH("ZWS US Equity","PX_VOLUME","1993-06-18","2026-05-02","Per=M","Days=T","Dir=V")</f>
        <v>0</v>
      </c>
      <c r="AY2">
        <f>BDH("ZWS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  <c r="S1" t="s">
        <v>345</v>
      </c>
      <c r="T1" t="s">
        <v>346</v>
      </c>
      <c r="U1" t="s">
        <v>347</v>
      </c>
      <c r="V1" t="s">
        <v>348</v>
      </c>
      <c r="W1" t="s">
        <v>349</v>
      </c>
      <c r="X1" t="s">
        <v>350</v>
      </c>
      <c r="Y1" t="s">
        <v>351</v>
      </c>
      <c r="Z1" t="s">
        <v>352</v>
      </c>
      <c r="AA1" t="s">
        <v>353</v>
      </c>
      <c r="AB1" t="s">
        <v>354</v>
      </c>
      <c r="AC1" t="s">
        <v>355</v>
      </c>
      <c r="AD1" t="s">
        <v>356</v>
      </c>
      <c r="AE1" t="s">
        <v>357</v>
      </c>
      <c r="AF1" t="s">
        <v>358</v>
      </c>
      <c r="AG1" t="s">
        <v>359</v>
      </c>
      <c r="AH1" t="s">
        <v>360</v>
      </c>
      <c r="AI1" t="s">
        <v>361</v>
      </c>
      <c r="AJ1" t="s">
        <v>362</v>
      </c>
      <c r="AK1" t="s">
        <v>363</v>
      </c>
      <c r="AL1" t="s">
        <v>364</v>
      </c>
      <c r="AM1" t="s">
        <v>365</v>
      </c>
      <c r="AN1" t="s">
        <v>366</v>
      </c>
      <c r="AO1" t="s">
        <v>367</v>
      </c>
      <c r="AP1" t="s">
        <v>368</v>
      </c>
      <c r="AQ1" t="s">
        <v>369</v>
      </c>
      <c r="AR1" t="s">
        <v>370</v>
      </c>
      <c r="AS1" t="s">
        <v>371</v>
      </c>
      <c r="AT1" t="s">
        <v>372</v>
      </c>
      <c r="AU1" t="s">
        <v>373</v>
      </c>
      <c r="AV1" t="s">
        <v>374</v>
      </c>
      <c r="AW1" t="s">
        <v>375</v>
      </c>
      <c r="AX1" t="s">
        <v>376</v>
      </c>
      <c r="AY1" t="s">
        <v>377</v>
      </c>
      <c r="AZ1" t="s">
        <v>378</v>
      </c>
    </row>
    <row r="2" spans="1:52">
      <c r="A2">
        <f>BDH("ZYME US Equity","BS_TOT_ASSET","1993-06-18","2026-05-02","Per=Y","Days=T","Dir=V")</f>
        <v>0</v>
      </c>
      <c r="C2">
        <f>BDH("ZYME US Equity","BS_TOT_LIAB2","1993-06-18","2026-05-02","Per=Y","Days=T","Dir=V")</f>
        <v>0</v>
      </c>
      <c r="E2">
        <f>BDH("ZYME US Equity","SHORT_AND_LONG_TERM_DEBT","1993-06-18","2026-05-02","Per=Y","Days=T","Dir=V")</f>
        <v>0</v>
      </c>
      <c r="G2">
        <f>BDH("ZYME US Equity","BS_ST_BORROW","1993-06-18","2026-05-02","Per=Y","Days=T","Dir=V")</f>
        <v>0</v>
      </c>
      <c r="I2">
        <f>BDH("ZYME US Equity","BS_LT_BORROW","1993-06-18","2026-05-02","Per=Y","Days=T","Dir=V")</f>
        <v>0</v>
      </c>
      <c r="K2">
        <f>BDH("ZYME US Equity","BS_CASH_NEAR_CASH_ITEM","1993-06-18","2026-05-02","Per=Y","Days=T","Dir=V")</f>
        <v>0</v>
      </c>
      <c r="M2">
        <f>BDH("ZYME US Equity","BS_CUR_ASSET_REPORT","1993-06-18","2026-05-02","Per=Y","Days=T","Dir=V")</f>
        <v>0</v>
      </c>
      <c r="O2">
        <f>BDH("ZYME US Equity","BS_CUR_LIAB","1993-06-18","2026-05-02","Per=Y","Days=T","Dir=V")</f>
        <v>0</v>
      </c>
      <c r="Q2">
        <f>BDH("ZYME US Equity","BS_SHAREHOLDER_EQY_ENDING_PERIOD","1993-06-18","2026-05-02","Per=Y","Days=T","Dir=V")</f>
        <v>0</v>
      </c>
      <c r="S2">
        <f>BDH("ZYME US Equity","BS_ACCT_NOTE_RCV","1993-06-18","2026-05-02","Per=Y","Days=T","Dir=V")</f>
        <v>0</v>
      </c>
      <c r="U2">
        <f>BDH("ZYME US Equity","BS_INVENTORIES","1993-06-18","2026-05-02","Per=Y","Days=T","Dir=V")</f>
        <v>0</v>
      </c>
      <c r="W2">
        <f>BDH("ZYME US Equity","WORKING_CAPITAL","1993-06-18","2026-05-02","Per=Y","Days=T","Dir=V")</f>
        <v>0</v>
      </c>
      <c r="Y2">
        <f>BDH("ZYME US Equity","SALES_REV_TURN","1993-06-18","2026-05-02","Per=Y","Days=T","Dir=V")</f>
        <v>0</v>
      </c>
      <c r="AA2">
        <f>BDH("ZYME US Equity","EBIT","1993-06-18","2026-05-02","Per=Y","Days=T","Dir=V")</f>
        <v>0</v>
      </c>
      <c r="AC2">
        <f>BDH("ZYME US Equity","EBITDA","1993-06-18","2026-05-02","Per=Y","Days=T","Dir=V")</f>
        <v>0</v>
      </c>
      <c r="AE2">
        <f>BDH("ZYME US Equity","NET_INCOME","1993-06-18","2026-05-02","Per=Y","Days=T","Dir=V")</f>
        <v>0</v>
      </c>
      <c r="AG2">
        <f>BDH("ZYME US Equity","IS_INT_EXPENSE","1993-06-18","2026-05-02","Per=Y","Days=T","Dir=V")</f>
        <v>0</v>
      </c>
      <c r="AI2">
        <f>BDH("ZYME US Equity","IS_DEPR_EXP","1993-06-18","2026-05-02","Per=Y","Days=T","Dir=V")</f>
        <v>0</v>
      </c>
      <c r="AK2">
        <f>BDH("ZYME US Equity","CF_CASH_FROM_OPER","1993-06-18","2026-05-02","Per=Y","Days=T","Dir=V")</f>
        <v>0</v>
      </c>
      <c r="AM2">
        <f>BDH("ZYME US Equity","CAPITAL_EXPEND","1993-06-18","2026-05-02","Per=Y","Days=T","Dir=V")</f>
        <v>0</v>
      </c>
      <c r="AO2">
        <f>BDH("ZYME US Equity","CF_FREE_CASH_FLOW","1993-06-18","2026-05-02","Per=Y","Days=T","Dir=V")</f>
        <v>0</v>
      </c>
      <c r="AQ2">
        <f>BDH("ZYME US Equity","PX_LAST","1993-06-18","2026-05-02","Per=M","Days=T","Dir=V")</f>
        <v>0</v>
      </c>
      <c r="AS2">
        <f>BDH("ZYME US Equity","CUR_MKT_CAP","1993-06-18","2026-05-02","Per=M","Days=T","Dir=V")</f>
        <v>0</v>
      </c>
      <c r="AU2">
        <f>BDH("ZYME US Equity","EQY_SH_OUT","1993-06-18","2026-05-02","Per=M","Days=T","Dir=V")</f>
        <v>0</v>
      </c>
      <c r="AW2">
        <f>BDH("ZYME US Equity","PX_VOLUME","1993-06-18","2026-05-02","Per=M","Days=T","Dir=V")</f>
        <v>0</v>
      </c>
      <c r="AY2">
        <f>BDH("ZYME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Security_List</vt:lpstr>
      <vt:lpstr>NB_2981_Xenetic Biosciences Inc</vt:lpstr>
      <vt:lpstr>NB_2982_XBiotech Inc. Common St</vt:lpstr>
      <vt:lpstr>NB_2983_XBP Global Holdings Inc</vt:lpstr>
      <vt:lpstr>NB_2984_Exicure Inc. Common Sto</vt:lpstr>
      <vt:lpstr>NB_2985_X-Energy Inc. Class A C</vt:lpstr>
      <vt:lpstr>NB_2986_Xcel Energy Inc. Common</vt:lpstr>
      <vt:lpstr>NB_2987_Xcel Energy Inc. 6.25% </vt:lpstr>
      <vt:lpstr>NB_2988_Xeris Biopharma Holding</vt:lpstr>
      <vt:lpstr>NB_2989_X4 Pharmaceuticals Inc.</vt:lpstr>
      <vt:lpstr>NB_2990_Exagen Inc. Common Stoc</vt:lpstr>
      <vt:lpstr>NB_2991_TEN Holdings Inc. Commo</vt:lpstr>
      <vt:lpstr>NB_2992_Xenia Hotels &amp; Resorts </vt:lpstr>
      <vt:lpstr>NB_2993_XPLR Infrastructure LP </vt:lpstr>
      <vt:lpstr>NB_2994_Exascale Labs Holdings </vt:lpstr>
      <vt:lpstr>NB_2995_Exascale Labs Holdings </vt:lpstr>
      <vt:lpstr>NB_2996_Xilio Therapeutics Inc.</vt:lpstr>
      <vt:lpstr>NB_2997_XMAX Inc. Common Stock</vt:lpstr>
      <vt:lpstr>NB_2998_Xometry Inc. Class A Co</vt:lpstr>
      <vt:lpstr>NB_2999_Xencor Inc. Common Stoc</vt:lpstr>
      <vt:lpstr>NB_3000_ExxonMobil Holdings Cor</vt:lpstr>
      <vt:lpstr>NB_3001_Xos Inc. Common Stock</vt:lpstr>
      <vt:lpstr>NB_3002_XPEL Inc. Common Stock</vt:lpstr>
      <vt:lpstr>NB_3003_Xperi Inc. Common Stock</vt:lpstr>
      <vt:lpstr>NB_3004_Solitario Resources Cor</vt:lpstr>
      <vt:lpstr>NB_3005_XPO Inc. Common Stock</vt:lpstr>
      <vt:lpstr>NB_3006_Xponential Fitness Inc.</vt:lpstr>
      <vt:lpstr>NB_3007_DENTSPLY SIRONA Inc. Co</vt:lpstr>
      <vt:lpstr>NB_3008_Xerox Holdings Corporat</vt:lpstr>
      <vt:lpstr>NB_3009_Xerox Holdings Corporat</vt:lpstr>
      <vt:lpstr>NB_3010_XTI Aerospace Inc. Comm</vt:lpstr>
      <vt:lpstr>NB_3011_Xtant Medical Holdings </vt:lpstr>
      <vt:lpstr>NB_3012_XWELL Inc. Common Stock</vt:lpstr>
      <vt:lpstr>NB_3013_22nd Century Group Inc.</vt:lpstr>
      <vt:lpstr>NB_3014_Xylem Inc. Common Stock</vt:lpstr>
      <vt:lpstr>NB_3015_Block Inc. Class A Comm</vt:lpstr>
      <vt:lpstr>NB_3016_Yarrow Bioscience Inc. </vt:lpstr>
      <vt:lpstr>NB_3017_cbdMD Inc. Common Stock</vt:lpstr>
      <vt:lpstr>NB_3018_YD Bio Limited Ordinary</vt:lpstr>
      <vt:lpstr>NB_3019_YD Bio Limited Warrants</vt:lpstr>
      <vt:lpstr>NB_3020_Yelp Inc. Common Stock</vt:lpstr>
      <vt:lpstr>NB_3021_YETI Holdings Inc. Comm</vt:lpstr>
      <vt:lpstr>NB_3022_Yext Inc. Common Stock</vt:lpstr>
      <vt:lpstr>NB_3023_LQR House Inc. Common S</vt:lpstr>
      <vt:lpstr>NB_3024_Yunhong Green CTI Ltd. </vt:lpstr>
      <vt:lpstr>NB_3025_York Water Company (The</vt:lpstr>
      <vt:lpstr>NB_3026_Clear Secure Inc. Class</vt:lpstr>
      <vt:lpstr>NB_3027_Yesway Inc. Class A Com</vt:lpstr>
      <vt:lpstr>NB_3028_Yum! Brands Inc.</vt:lpstr>
      <vt:lpstr>NB_3029_Yum China Holdings Inc.</vt:lpstr>
      <vt:lpstr>NB_3030_AiRWA Inc. Common Stock</vt:lpstr>
      <vt:lpstr>NB_3031_Zillow Group Inc. Class</vt:lpstr>
      <vt:lpstr>NB_3032_Zimmer Biomet Holdings </vt:lpstr>
      <vt:lpstr>NB_3033_Zenas BioPharma Inc. Co</vt:lpstr>
      <vt:lpstr>NB_3034_Zebra Technologies Corp</vt:lpstr>
      <vt:lpstr>NB_3035_Ziff Davis Inc. Common </vt:lpstr>
      <vt:lpstr>NB_3036_Zeta Global Holdings Co</vt:lpstr>
      <vt:lpstr>NB_3037_Zillow Group Inc. Class</vt:lpstr>
      <vt:lpstr>NB_3038_ZipRecruiter Inc. Class</vt:lpstr>
      <vt:lpstr>NB_3039_Zoom Communications Inc</vt:lpstr>
      <vt:lpstr>NB_3040_Zentalis Pharmaceutical</vt:lpstr>
      <vt:lpstr>NB_3041_Zscaler Inc. Common Sto</vt:lpstr>
      <vt:lpstr>NB_3042_Zoetis Inc. Class A Com</vt:lpstr>
      <vt:lpstr>NB_3043_Zumiez Inc. Common Stoc</vt:lpstr>
      <vt:lpstr>NB_3044_Zevia PBC Class A Commo</vt:lpstr>
      <vt:lpstr>NB_3045_Zevra Therapeutics Inc.</vt:lpstr>
      <vt:lpstr>NB_3046_Zurn Elkay Water Soluti</vt:lpstr>
      <vt:lpstr>NB_3047_Zymeworks Inc. Common 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2026-10-05T19:45:20Z</dcterms:created>
  <dcterms:modified xsi:type="dcterms:W3CDTF">2026-10-05T19:45:20Z</dcterms:modified>
</cp:coreProperties>
</file>