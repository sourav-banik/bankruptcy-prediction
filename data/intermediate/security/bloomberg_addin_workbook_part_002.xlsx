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SA_293_Zynex Inc" sheetId="2" r:id="rId2"/>
    <sheet name="SA_306_Luminar Technologies Inc" sheetId="3" r:id="rId3"/>
    <sheet name="SA_16_Ecd Automotive Design Inc" sheetId="4" r:id="rId4"/>
    <sheet name="SA_201_Inspire Veterinary Partn" sheetId="5" r:id="rId5"/>
    <sheet name="SA_300_Nine Energy Service Inc" sheetId="6" r:id="rId6"/>
    <sheet name="SA_1_Twin Hospitality Group Inc" sheetId="7" r:id="rId7"/>
    <sheet name="SA_147_Fat Brands Inc" sheetId="8" r:id="rId8"/>
    <sheet name="SA_101_Blue Hat Interactive Ent" sheetId="9" r:id="rId9"/>
    <sheet name="SA_167_Io Biotech Inc" sheetId="10" r:id="rId10"/>
    <sheet name="SA_98_Qvc Group Inc" sheetId="11" r:id="rId11"/>
    <sheet name="SA_245_American Rebel Holdings " sheetId="12" r:id="rId12"/>
    <sheet name="SA_37_Society Pass Incorporated" sheetId="13" r:id="rId13"/>
    <sheet name="SA_183_Inotiv Inc" sheetId="14" r:id="rId14"/>
    <sheet name="SA_229_Gohealth Inc" sheetId="15" r:id="rId15"/>
    <sheet name="SA_146_Sleep Number Corp" sheetId="16" r:id="rId16"/>
    <sheet name="SA_301_Devvstream Corp" sheetId="17" r:id="rId17"/>
    <sheet name="SA_63_Aditxt Inc" sheetId="18" r:id="rId18"/>
    <sheet name="SA_148_Origin Materials Inc" sheetId="19" r:id="rId19"/>
    <sheet name="SA_269_Visionary Holdings Inc" sheetId="20" r:id="rId20"/>
    <sheet name="NB_0_Agilent Technologies Inc. " sheetId="21" r:id="rId21"/>
    <sheet name="NB_1_Alcoa Corporation Common S" sheetId="22" r:id="rId22"/>
    <sheet name="NB_2_American Airlines Group In" sheetId="23" r:id="rId23"/>
    <sheet name="NB_3_Applied Optoelectronics In" sheetId="24" r:id="rId24"/>
    <sheet name="NB_4_AAON Inc. Common Stock" sheetId="25" r:id="rId25"/>
    <sheet name="NB_5_Advance Auto Parts Inc." sheetId="26" r:id="rId26"/>
    <sheet name="NB_6_Apple Inc. Common Stock" sheetId="27" r:id="rId27"/>
    <sheet name="NB_7_Aardvark Therapeutics Inc." sheetId="28" r:id="rId28"/>
    <sheet name="NB_8_American Battery Technolog" sheetId="29" r:id="rId29"/>
    <sheet name="NB_9_AbbVie Inc. Common Stock" sheetId="30" r:id="rId30"/>
    <sheet name="NB_10_Abeona Therapeutics Inc. " sheetId="31" r:id="rId31"/>
    <sheet name="NB_11_Asbury Automotive Group I" sheetId="32" r:id="rId32"/>
    <sheet name="NB_12_ABM Industries Incorporat" sheetId="33" r:id="rId33"/>
    <sheet name="NB_13_Airbnb Inc. Class A Commo" sheetId="34" r:id="rId34"/>
    <sheet name="NB_14_Acumen Pharmaceuticals In" sheetId="35" r:id="rId35"/>
    <sheet name="NB_15_Absci Corporation Common " sheetId="36" r:id="rId36"/>
    <sheet name="NB_16_Abbott Laboratories Commo" sheetId="37" r:id="rId37"/>
    <sheet name="NB_17_ABVC BioPharma Inc. Commo" sheetId="38" r:id="rId38"/>
    <sheet name="NB_18_Arcosa Inc. Common Stock" sheetId="39" r:id="rId39"/>
    <sheet name="NB_19_ACADIA Pharmaceuticals In" sheetId="40" r:id="rId40"/>
    <sheet name="NB_20_Acco Brands Corporation C" sheetId="41" r:id="rId41"/>
    <sheet name="NB_21_ACCESS Newswire Inc. Comm" sheetId="42" r:id="rId42"/>
    <sheet name="NB_22_ProFrac Holding Corp. Cla" sheetId="43" r:id="rId43"/>
    <sheet name="NB_23_Accel Entertainment Inc." sheetId="44" r:id="rId44"/>
    <sheet name="NB_24_Adicet Bio Inc. Common St" sheetId="45" r:id="rId45"/>
    <sheet name="NB_25_Acorn Energy Inc. Common " sheetId="46" r:id="rId46"/>
    <sheet name="NB_26_Accendra Health Inc. Comm" sheetId="47" r:id="rId47"/>
    <sheet name="NB_27_Acadia Healthcare Company" sheetId="48" r:id="rId48"/>
    <sheet name="NB_28_Archer Aviation Inc. Clas" sheetId="49" r:id="rId49"/>
    <sheet name="NB_29_Achieve Life Sciences Inc" sheetId="50" r:id="rId50"/>
    <sheet name="NB_30_Albertsons Companies Inc." sheetId="51" r:id="rId51"/>
    <sheet name="NB_31_ACI Worldwide Inc. Common" sheetId="52" r:id="rId52"/>
    <sheet name="NB_32_Axcelis Technologies Inc." sheetId="53" r:id="rId53"/>
    <sheet name="NB_33_AECOM Common Stock" sheetId="54" r:id="rId54"/>
    <sheet name="NB_34_ACM Research Inc. Class A" sheetId="55" r:id="rId55"/>
    <sheet name="NB_35_Ascent Industries Co. Com" sheetId="56" r:id="rId56"/>
    <sheet name="NB_36_Aclarion Inc. Common Stoc" sheetId="57" r:id="rId57"/>
    <sheet name="NB_37_Aclaris Therapeutics Inc." sheetId="58" r:id="rId58"/>
    <sheet name="NB_38_Acrivon Therapeutics Inc." sheetId="59" r:id="rId59"/>
    <sheet name="NB_39_Actuate Therapeutics Inc." sheetId="60" r:id="rId60"/>
    <sheet name="NB_40_Acme United Corporation. " sheetId="61" r:id="rId61"/>
    <sheet name="NB_41_ACV Auctions Inc. Class A" sheetId="62" r:id="rId62"/>
    <sheet name="NB_42_Acurx Pharmaceuticals Inc" sheetId="63" r:id="rId63"/>
    <sheet name="NB_43_Array Digital Infrastruct" sheetId="64" r:id="rId64"/>
    <sheet name="NB_44_Adobe Inc. Common Stock" sheetId="65" r:id="rId65"/>
    <sheet name="NB_45_Adeia Inc. Common Stock" sheetId="66" r:id="rId66"/>
    <sheet name="NB_46_Adagio Medical Holdings I" sheetId="67" r:id="rId67"/>
    <sheet name="NB_47_Analog Devices Inc. Commo" sheetId="68" r:id="rId68"/>
    <sheet name="NB_48_ADI Global Distribution I" sheetId="69" r:id="rId69"/>
    <sheet name="NB_49_Adial Pharmaceuticals Inc" sheetId="70" r:id="rId70"/>
    <sheet name="NB_50_Archer-Daniels-Midland Co" sheetId="71" r:id="rId71"/>
    <sheet name="NB_51_ADMA Biologics Inc Common" sheetId="72" r:id="rId72"/>
    <sheet name="NB_52_Adient plc Ordinary Share" sheetId="73" r:id="rId73"/>
    <sheet name="NB_53_Automatic Data Processing" sheetId="74" r:id="rId74"/>
    <sheet name="NB_54_Adaptive Biotechnologies " sheetId="75" r:id="rId75"/>
    <sheet name="NB_55_Autodesk Inc. Common Stoc" sheetId="76" r:id="rId76"/>
    <sheet name="NB_56_ADT Inc. Common Stock" sheetId="77" r:id="rId77"/>
    <sheet name="NB_57_ADTRAN Holdings Inc. Comm" sheetId="78" r:id="rId78"/>
    <sheet name="NB_58_Addus HomeCare Corporatio" sheetId="79" r:id="rId79"/>
    <sheet name="NB_59_Advantage Solutions Inc. " sheetId="80" r:id="rId80"/>
    <sheet name="NB_60_Ameren Corporation Common" sheetId="81" r:id="rId81"/>
    <sheet name="NB_61_Aehr Test Systems Common " sheetId="82" r:id="rId82"/>
    <sheet name="NB_62_Advanced Energy Industrie" sheetId="83" r:id="rId83"/>
    <sheet name="NB_63_Aethlon Medical Inc. Comm" sheetId="84" r:id="rId84"/>
    <sheet name="NB_64_Alliance Entertainment Ho" sheetId="85" r:id="rId85"/>
    <sheet name="NB_65_American Eagle Outfitters" sheetId="86" r:id="rId86"/>
    <sheet name="NB_66_AEON Biopharma Inc. Class" sheetId="87" r:id="rId87"/>
    <sheet name="NB_67_American Electric Power C" sheetId="88" r:id="rId88"/>
    <sheet name="NB_68_Aeries Technology Inc. Cl" sheetId="89" r:id="rId89"/>
    <sheet name="NB_69_The AES Corporation Commo" sheetId="90" r:id="rId90"/>
    <sheet name="NB_70_Atlas Energy Solutions In" sheetId="91" r:id="rId91"/>
    <sheet name="NB_71_Aeva Technologies Inc. Co" sheetId="92" r:id="rId92"/>
    <sheet name="NB_72_AudioEye Inc. Common Stoc" sheetId="93" r:id="rId93"/>
    <sheet name="NB_73_AGCO Corporation Common S" sheetId="94" r:id="rId94"/>
    <sheet name="NB_74_Agenus Inc. Common Stock" sheetId="95" r:id="rId95"/>
    <sheet name="NB_75_Abundia Global Impact Gro" sheetId="96" r:id="rId96"/>
    <sheet name="NB_76_Agios Pharmaceuticals Inc" sheetId="97" r:id="rId97"/>
    <sheet name="NB_77_agilon health inc. Common" sheetId="98" r:id="rId98"/>
    <sheet name="NB_78_Axe Compute Inc. Common S" sheetId="99" r:id="rId99"/>
    <sheet name="NB_79_Argan Inc. Common Stock" sheetId="100" r:id="rId100"/>
    <sheet name="NB_80_Agilysys Inc. Common Stoc" sheetId="101" r:id="rId101"/>
    <sheet name="NB_81_AdaptHealth Corp. Common " sheetId="102" r:id="rId102"/>
    <sheet name="NB_82_C3.ai Inc. Class A Common" sheetId="103" r:id="rId103"/>
    <sheet name="NB_83_AIAI Holdings Corporation" sheetId="104" r:id="rId104"/>
    <sheet name="NB_84_2020 Biolabs Inc. Common " sheetId="105" r:id="rId105"/>
    <sheet name="NB_85_All In FutureTech Allianc" sheetId="106" r:id="rId106"/>
    <sheet name="NB_86_Firefly Neuroscience Inc." sheetId="107" r:id="rId107"/>
    <sheet name="NB_87_Ainos Inc. Common Stock" sheetId="108" r:id="rId108"/>
    <sheet name="NB_88_Ainos Inc. Warrants" sheetId="109" r:id="rId109"/>
    <sheet name="NB_89_Albany International Corp" sheetId="110" r:id="rId110"/>
    <sheet name="NB_90_PowerFleet Inc. Common St" sheetId="111" r:id="rId111"/>
    <sheet name="NB_91_Arteris Inc. Common Stock" sheetId="112" r:id="rId112"/>
    <sheet name="NB_92_AAR Corp. Common Stock" sheetId="113" r:id="rId113"/>
    <sheet name="NB_93_Airgain Inc. Common Stock" sheetId="114" r:id="rId114"/>
    <sheet name="NB_94_Air Industries Group Comm" sheetId="115" r:id="rId115"/>
    <sheet name="NB_95_AirJoule Technologies Cor" sheetId="116" r:id="rId116"/>
    <sheet name="NB_96_AirJoule Technologies Cor" sheetId="117" r:id="rId117"/>
    <sheet name="NB_97_AIRO Group Holdings Inc. " sheetId="118" r:id="rId118"/>
    <sheet name="NB_98_AirSculpt Technologies In" sheetId="119" r:id="rId119"/>
    <sheet name="NB_99_Air T Inc. Common Stock" sheetId="120" r:id="rId120"/>
    <sheet name="NB_100_Air T Inc. Air T Funding" sheetId="121" r:id="rId121"/>
    <sheet name="NB_101_Airship AI Holdings Inc." sheetId="122" r:id="rId122"/>
    <sheet name="NB_102_Airship AI Holdings Inc." sheetId="123" r:id="rId123"/>
    <sheet name="NB_103_Applied Industrial Techn" sheetId="124" r:id="rId124"/>
    <sheet name="NB_104_Akamai Technologies Inc." sheetId="125" r:id="rId125"/>
    <sheet name="NB_105_Akebia Therapeutics Inc." sheetId="126" r:id="rId126"/>
    <sheet name="NB_106_Aktis Oncology Inc. Comm" sheetId="127" r:id="rId127"/>
    <sheet name="NB_107_Astera Labs Inc. Common " sheetId="128" r:id="rId128"/>
    <sheet name="NB_108_Albemarle Corporation Co" sheetId="129" r:id="rId129"/>
    <sheet name="NB_109_Alico Inc. Common Stock" sheetId="130" r:id="rId130"/>
    <sheet name="NB_110_Aldeyra Therapeutics Inc" sheetId="131" r:id="rId131"/>
    <sheet name="NB_111_Alector Inc. Common Stoc" sheetId="132" r:id="rId132"/>
    <sheet name="NB_112_Alamo Group Inc. Common " sheetId="133" r:id="rId133"/>
    <sheet name="NB_113_Allegro MicroSystems Inc" sheetId="134" r:id="rId134"/>
    <sheet name="NB_114_Align Technology Inc. Co" sheetId="135" r:id="rId135"/>
    <sheet name="NB_115_Aligos Therapeutics Inc." sheetId="136" r:id="rId136"/>
    <sheet name="NB_116_Allegiant Travel Company" sheetId="137" r:id="rId137"/>
    <sheet name="NB_117_Alliance Laundry Holding" sheetId="138" r:id="rId138"/>
    <sheet name="NB_118_Alignment Healthcare Inc" sheetId="139" r:id="rId139"/>
    <sheet name="NB_119_Alight Inc. Class A Comm" sheetId="140" r:id="rId140"/>
    <sheet name="NB_120_Alaska Air Group Inc. Co" sheetId="141" r:id="rId141"/>
    <sheet name="NB_121_Alkami Technology Inc. C" sheetId="142" r:id="rId142"/>
    <sheet name="NB_122_Allegion plc Ordinary Sh" sheetId="143" r:id="rId143"/>
    <sheet name="NB_123_Allogene Therapeutics In" sheetId="144" r:id="rId144"/>
    <sheet name="NB_124_Allarity Therapeutics In" sheetId="145" r:id="rId145"/>
    <sheet name="NB_125_Alamar Biosciences Inc. " sheetId="146" r:id="rId146"/>
    <sheet name="NB_126_Alumis Inc. Common Stock" sheetId="147" r:id="rId147"/>
    <sheet name="NB_127_Aeluma Inc. Common Stock" sheetId="148" r:id="rId148"/>
    <sheet name="NB_128_Allient Inc. Common Stoc" sheetId="149" r:id="rId149"/>
    <sheet name="NB_129_Alnylam Pharmaceuticals " sheetId="150" r:id="rId150"/>
    <sheet name="NB_130_REalloys Inc. Common Sto" sheetId="151" r:id="rId151"/>
    <sheet name="NB_131_Alarm.com Holdings Inc. " sheetId="152" r:id="rId152"/>
    <sheet name="NB_132_Allison Transmission Hol" sheetId="153" r:id="rId153"/>
    <sheet name="NB_133_Altimmune Inc. Common St" sheetId="154" r:id="rId154"/>
    <sheet name="NB_134_Alta Equipment Group Inc" sheetId="155" r:id="rId155"/>
    <sheet name="NB_135_Alto Ingredients Inc. Co" sheetId="156" r:id="rId156"/>
    <sheet name="NB_136_ALX Oncology Holdings In" sheetId="157" r:id="rId157"/>
    <sheet name="NB_137_Alzamend Neuro Inc. Comm" sheetId="158" r:id="rId158"/>
    <sheet name="NB_138_Antero Midstream Corpora" sheetId="159" r:id="rId159"/>
    <sheet name="NB_139_Applied Materials Inc. C" sheetId="160" r:id="rId160"/>
    <sheet name="NB_140_Ambarella Inc. Ordinary " sheetId="161" r:id="rId161"/>
    <sheet name="NB_141_Ambiq Micro Inc. Common " sheetId="162" r:id="rId162"/>
    <sheet name="NB_142_AMC Entertainment Holdin" sheetId="163" r:id="rId163"/>
    <sheet name="NB_143_AMC Robotics Corporation" sheetId="164" r:id="rId164"/>
    <sheet name="NB_144_AMC Global Media Inc. Cl" sheetId="165" r:id="rId165"/>
    <sheet name="NB_145_Advanced Micro Devices I" sheetId="166" r:id="rId166"/>
    <sheet name="NB_146_AMETEK Inc." sheetId="167" r:id="rId167"/>
    <sheet name="NB_147_Amgen Inc. Common Stock" sheetId="168" r:id="rId168"/>
    <sheet name="NB_148_Autonomix Medical Inc. C" sheetId="169" r:id="rId169"/>
    <sheet name="NB_149_Amkor Technology Inc. Co" sheetId="170" r:id="rId170"/>
    <sheet name="NB_150_Amylyx Pharmaceuticals I" sheetId="171" r:id="rId171"/>
    <sheet name="NB_151_AMN Healthcare Services " sheetId="172" r:id="rId172"/>
    <sheet name="NB_152_Amplitech Group Inc. Com" sheetId="173" r:id="rId173"/>
    <sheet name="NB_153_Amplitech Group Inc. Ser" sheetId="174" r:id="rId174"/>
    <sheet name="NB_154_Amphastar Pharmaceutical" sheetId="175" r:id="rId175"/>
    <sheet name="NB_155_Amplitude Inc. Class A C" sheetId="176" r:id="rId176"/>
    <sheet name="NB_156_Amplify Energy Corp. Com" sheetId="177" r:id="rId177"/>
    <sheet name="NB_157_Alpha Metallurgical Reso" sheetId="178" r:id="rId178"/>
    <sheet name="NB_158_Ameresco Inc. Class A Co" sheetId="179" r:id="rId179"/>
    <sheet name="NB_159_Amneal Pharmaceuticals I" sheetId="180" r:id="rId180"/>
    <sheet name="NB_160_American Shared Hospital" sheetId="181" r:id="rId181"/>
    <sheet name="NB_161_American Superconductor " sheetId="182" r:id="rId182"/>
    <sheet name="NB_162_AMASS Brands Inc. Common" sheetId="183" r:id="rId183"/>
    <sheet name="NB_163_Amesite Inc. Common Stoc" sheetId="184" r:id="rId184"/>
    <sheet name="NB_164_Amentum Holdings Inc. Co" sheetId="185" r:id="rId185"/>
    <sheet name="NB_165_Aemetis Inc. (DE) Common" sheetId="186" r:id="rId186"/>
    <sheet name="NB_166_American Well Corporatio" sheetId="187" r:id="rId187"/>
    <sheet name="NB_167_Amazon.com Inc. Common S" sheetId="188" r:id="rId188"/>
    <sheet name="NB_168_AutoNation Inc. Common S" sheetId="189" r:id="rId189"/>
    <sheet name="NB_169_AnaptysBio Inc. Common S" sheetId="190" r:id="rId190"/>
    <sheet name="NB_170_Andersons Inc. (The) Com" sheetId="191" r:id="rId191"/>
    <sheet name="NB_171_Arista Networks Inc. Com" sheetId="192" r:id="rId192"/>
    <sheet name="NB_172_Abercrombie &amp; Fitch Comp" sheetId="193" r:id="rId193"/>
    <sheet name="NB_173_Angi Inc. Class A Common" sheetId="194" r:id="rId194"/>
    <sheet name="NB_174_AngioDynamics Inc. Commo" sheetId="195" r:id="rId195"/>
    <sheet name="NB_175_Angel Studios Inc. Class" sheetId="196" r:id="rId196"/>
    <sheet name="NB_176_Anika Therapeutics Inc. " sheetId="197" r:id="rId197"/>
    <sheet name="NB_177_ANI Pharmaceuticals Inc." sheetId="198" r:id="rId198"/>
    <sheet name="NB_178_Anixa Biosciences Inc. C" sheetId="199" r:id="rId199"/>
    <sheet name="NB_179_AleAnna Inc. Class A Com" sheetId="200" r:id="rId200"/>
    <sheet name="NB_180_AleAnna Inc. Warrant" sheetId="201" r:id="rId201"/>
    <sheet name="NB_181_Annexon Inc. Common Stoc" sheetId="202" r:id="rId202"/>
    <sheet name="NB_182_Alto Neuroscience Inc. C" sheetId="203" r:id="rId203"/>
    <sheet name="NB_183_AN2 Therapeutics Inc. Co" sheetId="204" r:id="rId204"/>
    <sheet name="NB_184_Annovis Bio Inc. Common " sheetId="205" r:id="rId205"/>
    <sheet name="NB_185_Artivion Inc. Common Sto" sheetId="206" r:id="rId206"/>
    <sheet name="NB_186_A.O. Smith Corporation C" sheetId="207" r:id="rId207"/>
    <sheet name="NB_187_American Outdoor Brands " sheetId="208" r:id="rId208"/>
    <sheet name="NB_188_Ampco-Pittsburgh Corpora" sheetId="209" r:id="rId209"/>
    <sheet name="NB_189_APA Corporation Common S" sheetId="210" r:id="rId210"/>
    <sheet name="NB_190_ARKO Petroleum Corp. Cla" sheetId="211" r:id="rId211"/>
    <sheet name="NB_191_Air Products and Chemica" sheetId="212" r:id="rId212"/>
    <sheet name="NB_192_APi Group Corporation Co" sheetId="213" r:id="rId213"/>
    <sheet name="NB_193_Amphenol Corporation Com" sheetId="214" r:id="rId214"/>
    <sheet name="NB_194_Applied Digital Corporat" sheetId="215" r:id="rId215"/>
    <sheet name="NB_195_Apollomics Inc. Class A " sheetId="216" r:id="rId216"/>
    <sheet name="NB_196_Apnimed Inc. Common Stoc" sheetId="217" r:id="rId217"/>
    <sheet name="NB_197_Apogee Enterprises Inc. " sheetId="218" r:id="rId218"/>
    <sheet name="NB_198_Applovin Corporation Cla" sheetId="219" r:id="rId219"/>
    <sheet name="NB_199_AppFolio Inc. Class A Co" sheetId="220" r:id="rId220"/>
    <sheet name="NB_200_Appian Corporation Class" sheetId="221" r:id="rId221"/>
    <sheet name="NB_201_Aprea Therapeutics Inc. " sheetId="222" r:id="rId222"/>
    <sheet name="NB_202_Aptevo Therapeutics Inc." sheetId="223" r:id="rId223"/>
    <sheet name="NB_203_Apyx Medical Corporation" sheetId="224" r:id="rId224"/>
    <sheet name="NB_204_AquaBounty Technologies " sheetId="225" r:id="rId225"/>
    <sheet name="NB_205_Aqua Metals Inc. Common " sheetId="226" r:id="rId226"/>
    <sheet name="NB_206_Algonquin Power &amp; Utilit" sheetId="227" r:id="rId227"/>
    <sheet name="NB_207_Algonquin Power &amp; Utilit" sheetId="228" r:id="rId228"/>
    <sheet name="NB_208_Aquestive Therapeutics I" sheetId="229" r:id="rId229"/>
    <sheet name="NB_209_Antero Resources Corpora" sheetId="230" r:id="rId230"/>
    <sheet name="NB_210_Arrive AI Inc. Common St" sheetId="231" r:id="rId231"/>
    <sheet name="NB_211_Accuray Incorporated Com" sheetId="232" r:id="rId232"/>
    <sheet name="NB_212_ArcBest Corporation Comm" sheetId="233" r:id="rId233"/>
    <sheet name="NB_213_Ardent Health Inc. Commo" sheetId="234" r:id="rId234"/>
    <sheet name="NB_214_Ardelyx Inc. Common Stoc" sheetId="235" r:id="rId235"/>
    <sheet name="NB_215_American Resources Corpo" sheetId="236" r:id="rId236"/>
    <sheet name="NB_216_Arhaus Inc. Class A Comm" sheetId="237" r:id="rId237"/>
    <sheet name="NB_217_ARKO Corp. Common Stock" sheetId="238" r:id="rId238"/>
    <sheet name="NB_218_Ark Restaurants Corp. Co" sheetId="239" r:id="rId239"/>
    <sheet name="NB_219_Arlo Technologies Inc. C" sheetId="240" r:id="rId240"/>
    <sheet name="NB_220_Alliance Resource Partne" sheetId="241" r:id="rId241"/>
    <sheet name="NB_221_Aramark Common Stock" sheetId="242" r:id="rId242"/>
    <sheet name="NB_222_Armata Pharmaceuticals I" sheetId="243" r:id="rId243"/>
    <sheet name="NB_223_Archrock Inc. Common Sto" sheetId="244" r:id="rId244"/>
    <sheet name="NB_224_Arq Inc. Common Stock" sheetId="245" r:id="rId245"/>
    <sheet name="NB_225_Arcutis Biotherapeutics " sheetId="246" r:id="rId246"/>
    <sheet name="NB_226_Array Technologies Inc. " sheetId="247" r:id="rId247"/>
    <sheet name="NB_227_Artelo Biosciences Inc. " sheetId="248" r:id="rId248"/>
    <sheet name="NB_228_Artesian Resources Corpo" sheetId="249" r:id="rId249"/>
    <sheet name="NB_229_Artiva Biotherapeutics I" sheetId="250" r:id="rId250"/>
    <sheet name="NB_230_Art's-Way Manufacturing 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<sst xmlns="http://schemas.openxmlformats.org/spreadsheetml/2006/main" count="15763" uniqueCount="1197">
  <si>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</si>
  <si>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</si>
  <si>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</si>
  <si>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</si>
  <si>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</si>
  <si>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</si>
  <si>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</si>
  <si>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</si>
  <si>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</si>
  <si>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</si>
  <si>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</si>
  <si>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</si>
  <si>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</si>
  <si>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SA_293</t>
  </si>
  <si>
    <t>bankrupt</t>
  </si>
  <si>
    <t>2025-12-23</t>
  </si>
  <si>
    <t>ZYXIQ</t>
  </si>
  <si>
    <t>Zynex Inc</t>
  </si>
  <si>
    <t/>
  </si>
  <si>
    <t>ZYXIQ US Equity</t>
  </si>
  <si>
    <t>2025-09-24</t>
  </si>
  <si>
    <t>2020-09-24</t>
  </si>
  <si>
    <t>SA_306</t>
  </si>
  <si>
    <t>LAZRQ</t>
  </si>
  <si>
    <t>Luminar Technologies Inc</t>
  </si>
  <si>
    <t>1707890D US Equity</t>
  </si>
  <si>
    <t>SA_16</t>
  </si>
  <si>
    <t>2026-01-15</t>
  </si>
  <si>
    <t>ECDA</t>
  </si>
  <si>
    <t>Ecd Automotive Design Inc</t>
  </si>
  <si>
    <t>ECDA US Equity</t>
  </si>
  <si>
    <t>2025-10-17</t>
  </si>
  <si>
    <t>2020-10-17</t>
  </si>
  <si>
    <t>SA_201</t>
  </si>
  <si>
    <t>2026-01-20</t>
  </si>
  <si>
    <t>IVPR</t>
  </si>
  <si>
    <t>Inspire Veterinary Partners Inc</t>
  </si>
  <si>
    <t>IVPR US Equity</t>
  </si>
  <si>
    <t>2025-10-22</t>
  </si>
  <si>
    <t>2020-10-22</t>
  </si>
  <si>
    <t>SA_300</t>
  </si>
  <si>
    <t>2026-01-30</t>
  </si>
  <si>
    <t>NINEQ</t>
  </si>
  <si>
    <t>Nine Energy Service Inc</t>
  </si>
  <si>
    <t>NINE US Equity</t>
  </si>
  <si>
    <t>2025-11-01</t>
  </si>
  <si>
    <t>2020-11-01</t>
  </si>
  <si>
    <t>SA_1</t>
  </si>
  <si>
    <t>2026-02-03</t>
  </si>
  <si>
    <t>TWNPQ</t>
  </si>
  <si>
    <t>Twin Hospitality Group Inc</t>
  </si>
  <si>
    <t>TWNPQ US Equity</t>
  </si>
  <si>
    <t>2025-11-05</t>
  </si>
  <si>
    <t>2020-11-05</t>
  </si>
  <si>
    <t>SA_147</t>
  </si>
  <si>
    <t>FATAQ</t>
  </si>
  <si>
    <t>Fat Brands Inc</t>
  </si>
  <si>
    <t>FATAQ US Equity</t>
  </si>
  <si>
    <t>SA_101</t>
  </si>
  <si>
    <t>2026-03-13</t>
  </si>
  <si>
    <t>BHATF</t>
  </si>
  <si>
    <t>Blue Hat Interactive Entertainment Technology</t>
  </si>
  <si>
    <t>BHATF US Equity</t>
  </si>
  <si>
    <t>2025-12-13</t>
  </si>
  <si>
    <t>2020-12-13</t>
  </si>
  <si>
    <t>SA_167</t>
  </si>
  <si>
    <t>2026-04-06</t>
  </si>
  <si>
    <t>IOBTQ</t>
  </si>
  <si>
    <t>Io Biotech Inc</t>
  </si>
  <si>
    <t>IOBTQ US Equity</t>
  </si>
  <si>
    <t>2026-01-06</t>
  </si>
  <si>
    <t>2021-01-06</t>
  </si>
  <si>
    <t>SA_98</t>
  </si>
  <si>
    <t>2026-04-24</t>
  </si>
  <si>
    <t>QVCAQ</t>
  </si>
  <si>
    <t>Qvc Group Inc</t>
  </si>
  <si>
    <t>QVCG US Equity</t>
  </si>
  <si>
    <t>2026-01-24</t>
  </si>
  <si>
    <t>2021-01-24</t>
  </si>
  <si>
    <t>SA_245</t>
  </si>
  <si>
    <t>2026-05-12</t>
  </si>
  <si>
    <t>AREB</t>
  </si>
  <si>
    <t>American Rebel Holdings Inc</t>
  </si>
  <si>
    <t>AREB US Equity</t>
  </si>
  <si>
    <t>2026-02-11</t>
  </si>
  <si>
    <t>2021-02-11</t>
  </si>
  <si>
    <t>SA_37</t>
  </si>
  <si>
    <t>2026-05-20</t>
  </si>
  <si>
    <t>SOPAQ</t>
  </si>
  <si>
    <t>Society Pass Incorporated</t>
  </si>
  <si>
    <t>SOPAQ US Equity</t>
  </si>
  <si>
    <t>2026-02-19</t>
  </si>
  <si>
    <t>2021-02-19</t>
  </si>
  <si>
    <t>SA_183</t>
  </si>
  <si>
    <t>2026-06-10</t>
  </si>
  <si>
    <t>NOTVQ</t>
  </si>
  <si>
    <t>Inotiv Inc</t>
  </si>
  <si>
    <t>NOTVQ US Equity</t>
  </si>
  <si>
    <t>2026-03-12</t>
  </si>
  <si>
    <t>2021-03-12</t>
  </si>
  <si>
    <t>SA_229</t>
  </si>
  <si>
    <t>2026-06-15</t>
  </si>
  <si>
    <t>GOCOQ</t>
  </si>
  <si>
    <t>Gohealth Inc</t>
  </si>
  <si>
    <t>GOCOQ US Equity</t>
  </si>
  <si>
    <t>2026-03-17</t>
  </si>
  <si>
    <t>2021-03-17</t>
  </si>
  <si>
    <t>SA_146</t>
  </si>
  <si>
    <t>2026-06-22</t>
  </si>
  <si>
    <t>SNBRQ</t>
  </si>
  <si>
    <t>Sleep Number Corp</t>
  </si>
  <si>
    <t>SNBRQ US Equity</t>
  </si>
  <si>
    <t>2026-03-24</t>
  </si>
  <si>
    <t>2021-03-24</t>
  </si>
  <si>
    <t>SA_301</t>
  </si>
  <si>
    <t>2026-06-23</t>
  </si>
  <si>
    <t>DEVSF</t>
  </si>
  <si>
    <t>Devvstream Corp</t>
  </si>
  <si>
    <t>DEVSF US Equity</t>
  </si>
  <si>
    <t>2026-03-25</t>
  </si>
  <si>
    <t>2021-03-25</t>
  </si>
  <si>
    <t>SA_63</t>
  </si>
  <si>
    <t>2026-06-24</t>
  </si>
  <si>
    <t>ADTX</t>
  </si>
  <si>
    <t>Aditxt Inc</t>
  </si>
  <si>
    <t>ADTX US Equity</t>
  </si>
  <si>
    <t>2026-03-26</t>
  </si>
  <si>
    <t>2021-03-26</t>
  </si>
  <si>
    <t>SA_148</t>
  </si>
  <si>
    <t>2026-07-01</t>
  </si>
  <si>
    <t>ORGN</t>
  </si>
  <si>
    <t>Origin Materials Inc</t>
  </si>
  <si>
    <t>ORGN US Equity</t>
  </si>
  <si>
    <t>2026-04-02</t>
  </si>
  <si>
    <t>2021-04-02</t>
  </si>
  <si>
    <t>SA_269</t>
  </si>
  <si>
    <t>2026-07-31</t>
  </si>
  <si>
    <t>GVHGF</t>
  </si>
  <si>
    <t>Visionary Holdings Inc</t>
  </si>
  <si>
    <t>GVHGF US Equity</t>
  </si>
  <si>
    <t>2026-05-02</t>
  </si>
  <si>
    <t>2021-05-02</t>
  </si>
  <si>
    <t>NB_0</t>
  </si>
  <si>
    <t>nonbankrupt</t>
  </si>
  <si>
    <t>A</t>
  </si>
  <si>
    <t>Agilent Technologies Inc. Common Stock</t>
  </si>
  <si>
    <t>Industrials</t>
  </si>
  <si>
    <t>Biotechnology: Laboratory Analytical Instruments</t>
  </si>
  <si>
    <t>A US Equity</t>
  </si>
  <si>
    <t>1993-06-18</t>
  </si>
  <si>
    <t>NB_1</t>
  </si>
  <si>
    <t>AA</t>
  </si>
  <si>
    <t>Alcoa Corporation Common Stock</t>
  </si>
  <si>
    <t>Aluminum</t>
  </si>
  <si>
    <t>AA US Equity</t>
  </si>
  <si>
    <t>NB_2</t>
  </si>
  <si>
    <t>AAL</t>
  </si>
  <si>
    <t>American Airlines Group Inc. Common Stock</t>
  </si>
  <si>
    <t>Consumer Discretionary</t>
  </si>
  <si>
    <t>Air Freight/Delivery Services</t>
  </si>
  <si>
    <t>AAL US Equity</t>
  </si>
  <si>
    <t>NB_3</t>
  </si>
  <si>
    <t>AAOI</t>
  </si>
  <si>
    <t>Applied Optoelectronics Inc. Common Stock</t>
  </si>
  <si>
    <t>Technology</t>
  </si>
  <si>
    <t>Semiconductors</t>
  </si>
  <si>
    <t>AAOI US Equity</t>
  </si>
  <si>
    <t>NB_4</t>
  </si>
  <si>
    <t>AAON</t>
  </si>
  <si>
    <t>AAON Inc. Common Stock</t>
  </si>
  <si>
    <t>Industrial Machinery/Components</t>
  </si>
  <si>
    <t>AAON US Equity</t>
  </si>
  <si>
    <t>NB_5</t>
  </si>
  <si>
    <t>AAP</t>
  </si>
  <si>
    <t>Advance Auto Parts Inc.</t>
  </si>
  <si>
    <t>Auto &amp; Home Supply Stores</t>
  </si>
  <si>
    <t>AAP US Equity</t>
  </si>
  <si>
    <t>NB_6</t>
  </si>
  <si>
    <t>AAPL</t>
  </si>
  <si>
    <t>Apple Inc. Common Stock</t>
  </si>
  <si>
    <t>Computer Manufacturing</t>
  </si>
  <si>
    <t>AAPL US Equity</t>
  </si>
  <si>
    <t>NB_7</t>
  </si>
  <si>
    <t>AARD</t>
  </si>
  <si>
    <t>Aardvark Therapeutics Inc. Common Stock</t>
  </si>
  <si>
    <t>Health Care</t>
  </si>
  <si>
    <t>Biotechnology: Pharmaceutical Preparations</t>
  </si>
  <si>
    <t>AARD US Equity</t>
  </si>
  <si>
    <t>NB_8</t>
  </si>
  <si>
    <t>ABAT</t>
  </si>
  <si>
    <t>American Battery Technology Company Common Stock</t>
  </si>
  <si>
    <t>Mining &amp; Quarrying of Nonmetallic Minerals (No Fuels)</t>
  </si>
  <si>
    <t>ABAT US Equity</t>
  </si>
  <si>
    <t>NB_9</t>
  </si>
  <si>
    <t>ABBV</t>
  </si>
  <si>
    <t>AbbVie Inc. Common Stock</t>
  </si>
  <si>
    <t>ABBV US Equity</t>
  </si>
  <si>
    <t>NB_10</t>
  </si>
  <si>
    <t>ABEO</t>
  </si>
  <si>
    <t>Abeona Therapeutics Inc. Common Stock</t>
  </si>
  <si>
    <t>ABEO US Equity</t>
  </si>
  <si>
    <t>NB_11</t>
  </si>
  <si>
    <t>ABG</t>
  </si>
  <si>
    <t>Asbury Automotive Group Inc Common Stock</t>
  </si>
  <si>
    <t>Retail-Auto Dealers and Gas Stations</t>
  </si>
  <si>
    <t>ABG US Equity</t>
  </si>
  <si>
    <t>NB_12</t>
  </si>
  <si>
    <t>ABM</t>
  </si>
  <si>
    <t>ABM Industries Incorporated Common Stock</t>
  </si>
  <si>
    <t>Diversified Commercial Services</t>
  </si>
  <si>
    <t>ABM US Equity</t>
  </si>
  <si>
    <t>NB_13</t>
  </si>
  <si>
    <t>ABNB</t>
  </si>
  <si>
    <t>Airbnb Inc. Class A Common Stock</t>
  </si>
  <si>
    <t>ABNB US Equity</t>
  </si>
  <si>
    <t>NB_14</t>
  </si>
  <si>
    <t>ABOS</t>
  </si>
  <si>
    <t>Acumen Pharmaceuticals Inc. Common Stock</t>
  </si>
  <si>
    <t>Biotechnology: Biological Products (No Diagnostic Substances)</t>
  </si>
  <si>
    <t>ABOS US Equity</t>
  </si>
  <si>
    <t>NB_15</t>
  </si>
  <si>
    <t>ABSI</t>
  </si>
  <si>
    <t>Absci Corporation Common Stock</t>
  </si>
  <si>
    <t>Biotechnology: Commercial Physical &amp; Biological Resarch</t>
  </si>
  <si>
    <t>ABSI US Equity</t>
  </si>
  <si>
    <t>NB_16</t>
  </si>
  <si>
    <t>ABT</t>
  </si>
  <si>
    <t>Abbott Laboratories Common Stock</t>
  </si>
  <si>
    <t>ABT US Equity</t>
  </si>
  <si>
    <t>NB_17</t>
  </si>
  <si>
    <t>ABVC</t>
  </si>
  <si>
    <t>ABVC BioPharma Inc. Common Stock</t>
  </si>
  <si>
    <t>ABVC US Equity</t>
  </si>
  <si>
    <t>NB_18</t>
  </si>
  <si>
    <t>ACA</t>
  </si>
  <si>
    <t>Arcosa Inc. Common Stock</t>
  </si>
  <si>
    <t>Metal Fabrications</t>
  </si>
  <si>
    <t>ACA US Equity</t>
  </si>
  <si>
    <t>NB_19</t>
  </si>
  <si>
    <t>ACAD</t>
  </si>
  <si>
    <t>ACADIA Pharmaceuticals Inc. Common Stock</t>
  </si>
  <si>
    <t>ACAD US Equity</t>
  </si>
  <si>
    <t>NB_20</t>
  </si>
  <si>
    <t>ACCO</t>
  </si>
  <si>
    <t>Acco Brands Corporation Common Stock</t>
  </si>
  <si>
    <t>Publishing</t>
  </si>
  <si>
    <t>ACCO US Equity</t>
  </si>
  <si>
    <t>NB_21</t>
  </si>
  <si>
    <t>ACCS</t>
  </si>
  <si>
    <t>ACCESS Newswire Inc. Common Stock</t>
  </si>
  <si>
    <t>Professional Services</t>
  </si>
  <si>
    <t>ACCS US Equity</t>
  </si>
  <si>
    <t>NB_22</t>
  </si>
  <si>
    <t>ACDC</t>
  </si>
  <si>
    <t>ProFrac Holding Corp. Class A Common Stock</t>
  </si>
  <si>
    <t>Energy</t>
  </si>
  <si>
    <t>Oilfield Services/Equipment</t>
  </si>
  <si>
    <t>ACDC US Equity</t>
  </si>
  <si>
    <t>NB_23</t>
  </si>
  <si>
    <t>ACEL</t>
  </si>
  <si>
    <t>Accel Entertainment Inc.</t>
  </si>
  <si>
    <t>Services-Misc. Amusement &amp; Recreation</t>
  </si>
  <si>
    <t>ACEL US Equity</t>
  </si>
  <si>
    <t>NB_24</t>
  </si>
  <si>
    <t>ACET</t>
  </si>
  <si>
    <t>Adicet Bio Inc. Common Stock</t>
  </si>
  <si>
    <t>ACET US Equity</t>
  </si>
  <si>
    <t>NB_25</t>
  </si>
  <si>
    <t>ACFN</t>
  </si>
  <si>
    <t>Acorn Energy Inc. Common Stock</t>
  </si>
  <si>
    <t>Military/Government/Technical</t>
  </si>
  <si>
    <t>ACFN US Equity</t>
  </si>
  <si>
    <t>NB_26</t>
  </si>
  <si>
    <t>ACH</t>
  </si>
  <si>
    <t>Accendra Health Inc. Common Stock</t>
  </si>
  <si>
    <t>Medical Specialities</t>
  </si>
  <si>
    <t>ACH US Equity</t>
  </si>
  <si>
    <t>NB_27</t>
  </si>
  <si>
    <t>ACHC</t>
  </si>
  <si>
    <t>Acadia Healthcare Company Inc. Common Stock</t>
  </si>
  <si>
    <t>ACHC US Equity</t>
  </si>
  <si>
    <t>NB_28</t>
  </si>
  <si>
    <t>ACHR</t>
  </si>
  <si>
    <t>Archer Aviation Inc. Class A Common Stock</t>
  </si>
  <si>
    <t>Aerospace</t>
  </si>
  <si>
    <t>ACHR US Equity</t>
  </si>
  <si>
    <t>NB_29</t>
  </si>
  <si>
    <t>ACHV</t>
  </si>
  <si>
    <t>Achieve Life Sciences Inc. Common Shares</t>
  </si>
  <si>
    <t>Biotechnology: In Vitro &amp; In Vivo Diagnostic Substances</t>
  </si>
  <si>
    <t>ACHV US Equity</t>
  </si>
  <si>
    <t>NB_30</t>
  </si>
  <si>
    <t>ACI</t>
  </si>
  <si>
    <t>Albertsons Companies Inc. Class A Common Stock</t>
  </si>
  <si>
    <t>Consumer Staples</t>
  </si>
  <si>
    <t>Food Chains</t>
  </si>
  <si>
    <t>ACI US Equity</t>
  </si>
  <si>
    <t>NB_31</t>
  </si>
  <si>
    <t>ACIW</t>
  </si>
  <si>
    <t>ACI Worldwide Inc. Common Stock</t>
  </si>
  <si>
    <t>Computer Software: Prepackaged Software</t>
  </si>
  <si>
    <t>ACIW US Equity</t>
  </si>
  <si>
    <t>NB_32</t>
  </si>
  <si>
    <t>ACLS</t>
  </si>
  <si>
    <t>Axcelis Technologies Inc. Common Stock</t>
  </si>
  <si>
    <t>ACLS US Equity</t>
  </si>
  <si>
    <t>NB_33</t>
  </si>
  <si>
    <t>ACM</t>
  </si>
  <si>
    <t>AECOM Common Stock</t>
  </si>
  <si>
    <t>ACM US Equity</t>
  </si>
  <si>
    <t>NB_34</t>
  </si>
  <si>
    <t>ACMR</t>
  </si>
  <si>
    <t>ACM Research Inc. Class A Common Stock</t>
  </si>
  <si>
    <t>ACMR US Equity</t>
  </si>
  <si>
    <t>NB_35</t>
  </si>
  <si>
    <t>ACNT</t>
  </si>
  <si>
    <t>Ascent Industries Co. Common Stock</t>
  </si>
  <si>
    <t>Major Chemicals</t>
  </si>
  <si>
    <t>ACNT US Equity</t>
  </si>
  <si>
    <t>NB_36</t>
  </si>
  <si>
    <t>ACON</t>
  </si>
  <si>
    <t>Aclarion Inc. Common Stock</t>
  </si>
  <si>
    <t>ACON US Equity</t>
  </si>
  <si>
    <t>NB_37</t>
  </si>
  <si>
    <t>ACRS</t>
  </si>
  <si>
    <t>Aclaris Therapeutics Inc. Common Stock</t>
  </si>
  <si>
    <t>ACRS US Equity</t>
  </si>
  <si>
    <t>NB_38</t>
  </si>
  <si>
    <t>ACRV</t>
  </si>
  <si>
    <t>Acrivon Therapeutics Inc. Common Stock</t>
  </si>
  <si>
    <t>ACRV US Equity</t>
  </si>
  <si>
    <t>NB_39</t>
  </si>
  <si>
    <t>ACTU</t>
  </si>
  <si>
    <t>Actuate Therapeutics Inc. Common stock</t>
  </si>
  <si>
    <t>ACTU US Equity</t>
  </si>
  <si>
    <t>NB_40</t>
  </si>
  <si>
    <t>ACU</t>
  </si>
  <si>
    <t>Acme United Corporation. Common Stock</t>
  </si>
  <si>
    <t>ACU US Equity</t>
  </si>
  <si>
    <t>NB_41</t>
  </si>
  <si>
    <t>ACVA</t>
  </si>
  <si>
    <t>ACV Auctions Inc. Class A Common Stock</t>
  </si>
  <si>
    <t>Business Services</t>
  </si>
  <si>
    <t>ACVA US Equity</t>
  </si>
  <si>
    <t>NB_42</t>
  </si>
  <si>
    <t>ACXP</t>
  </si>
  <si>
    <t>Acurx Pharmaceuticals Inc. Common Stock</t>
  </si>
  <si>
    <t>ACXP US Equity</t>
  </si>
  <si>
    <t>NB_43</t>
  </si>
  <si>
    <t>AD</t>
  </si>
  <si>
    <t>Array Digital Infrastructure Inc. Common Shares</t>
  </si>
  <si>
    <t>Telecommunications</t>
  </si>
  <si>
    <t>Telecommunications Equipment</t>
  </si>
  <si>
    <t>AD US Equity</t>
  </si>
  <si>
    <t>NB_44</t>
  </si>
  <si>
    <t>ADBE</t>
  </si>
  <si>
    <t>Adobe Inc. Common Stock</t>
  </si>
  <si>
    <t>ADBE US Equity</t>
  </si>
  <si>
    <t>NB_45</t>
  </si>
  <si>
    <t>ADEA</t>
  </si>
  <si>
    <t>Adeia Inc. Common Stock</t>
  </si>
  <si>
    <t>Cable &amp; Other Pay Television Services</t>
  </si>
  <si>
    <t>ADEA US Equity</t>
  </si>
  <si>
    <t>NB_46</t>
  </si>
  <si>
    <t>ADGM</t>
  </si>
  <si>
    <t>Adagio Medical Holdings Inc Common Stock</t>
  </si>
  <si>
    <t>Medical/Dental Instruments</t>
  </si>
  <si>
    <t>ADGM US Equity</t>
  </si>
  <si>
    <t>NB_47</t>
  </si>
  <si>
    <t>ADI</t>
  </si>
  <si>
    <t>Analog Devices Inc. Common Stock</t>
  </si>
  <si>
    <t>ADI US Equity</t>
  </si>
  <si>
    <t>NB_48</t>
  </si>
  <si>
    <t>ADIG</t>
  </si>
  <si>
    <t>ADI Global Distribution Inc. Common Stock</t>
  </si>
  <si>
    <t>Wholesale Distributors</t>
  </si>
  <si>
    <t>ADIG US Equity</t>
  </si>
  <si>
    <t>NB_49</t>
  </si>
  <si>
    <t>ADIL</t>
  </si>
  <si>
    <t>Adial Pharmaceuticals Inc Common Stock</t>
  </si>
  <si>
    <t>ADIL US Equity</t>
  </si>
  <si>
    <t>NB_50</t>
  </si>
  <si>
    <t>ADM</t>
  </si>
  <si>
    <t>Archer-Daniels-Midland Company Common Stock</t>
  </si>
  <si>
    <t>Packaged Foods</t>
  </si>
  <si>
    <t>ADM US Equity</t>
  </si>
  <si>
    <t>NB_51</t>
  </si>
  <si>
    <t>ADMA</t>
  </si>
  <si>
    <t>ADMA Biologics Inc Common Stock</t>
  </si>
  <si>
    <t>ADMA US Equity</t>
  </si>
  <si>
    <t>NB_52</t>
  </si>
  <si>
    <t>ADNT</t>
  </si>
  <si>
    <t>Adient plc Ordinary Shares</t>
  </si>
  <si>
    <t>Auto Parts:O.E.M.</t>
  </si>
  <si>
    <t>ADNT US Equity</t>
  </si>
  <si>
    <t>NB_53</t>
  </si>
  <si>
    <t>ADP</t>
  </si>
  <si>
    <t>Automatic Data Processing Inc. Common Stock</t>
  </si>
  <si>
    <t>EDP Services</t>
  </si>
  <si>
    <t>ADP US Equity</t>
  </si>
  <si>
    <t>NB_54</t>
  </si>
  <si>
    <t>ADPT</t>
  </si>
  <si>
    <t>Adaptive Biotechnologies Corporation Common Stock</t>
  </si>
  <si>
    <t>ADPT US Equity</t>
  </si>
  <si>
    <t>NB_55</t>
  </si>
  <si>
    <t>ADSK</t>
  </si>
  <si>
    <t>Autodesk Inc. Common Stock</t>
  </si>
  <si>
    <t>ADSK US Equity</t>
  </si>
  <si>
    <t>NB_56</t>
  </si>
  <si>
    <t>ADT</t>
  </si>
  <si>
    <t>ADT Inc. Common Stock</t>
  </si>
  <si>
    <t>ADT US Equity</t>
  </si>
  <si>
    <t>NB_57</t>
  </si>
  <si>
    <t>ADTN</t>
  </si>
  <si>
    <t>ADTRAN Holdings Inc. Common Stock</t>
  </si>
  <si>
    <t>Utilities</t>
  </si>
  <si>
    <t>ADTN US Equity</t>
  </si>
  <si>
    <t>NB_58</t>
  </si>
  <si>
    <t>ADUS</t>
  </si>
  <si>
    <t>Addus HomeCare Corporation Common Stock</t>
  </si>
  <si>
    <t>Medical/Nursing Services</t>
  </si>
  <si>
    <t>ADUS US Equity</t>
  </si>
  <si>
    <t>NB_59</t>
  </si>
  <si>
    <t>ADV</t>
  </si>
  <si>
    <t>Advantage Solutions Inc. Class A Common Stock</t>
  </si>
  <si>
    <t>ADV US Equity</t>
  </si>
  <si>
    <t>NB_60</t>
  </si>
  <si>
    <t>AEE</t>
  </si>
  <si>
    <t>Ameren Corporation Common Stock</t>
  </si>
  <si>
    <t>Power Generation</t>
  </si>
  <si>
    <t>AEE US Equity</t>
  </si>
  <si>
    <t>NB_61</t>
  </si>
  <si>
    <t>AEHR</t>
  </si>
  <si>
    <t>Aehr Test Systems Common Stock</t>
  </si>
  <si>
    <t>Electrical Products</t>
  </si>
  <si>
    <t>AEHR US Equity</t>
  </si>
  <si>
    <t>NB_62</t>
  </si>
  <si>
    <t>AEIS</t>
  </si>
  <si>
    <t>Advanced Energy Industries Inc. Common Stock</t>
  </si>
  <si>
    <t>AEIS US Equity</t>
  </si>
  <si>
    <t>NB_63</t>
  </si>
  <si>
    <t>AEMD</t>
  </si>
  <si>
    <t>Aethlon Medical Inc. Common Stock</t>
  </si>
  <si>
    <t>AEMD US Equity</t>
  </si>
  <si>
    <t>NB_64</t>
  </si>
  <si>
    <t>AENT</t>
  </si>
  <si>
    <t>Alliance Entertainment Holding Corporation Class A Common Stock</t>
  </si>
  <si>
    <t>Durable Goods</t>
  </si>
  <si>
    <t>AENT US Equity</t>
  </si>
  <si>
    <t>NB_65</t>
  </si>
  <si>
    <t>AEO</t>
  </si>
  <si>
    <t>American Eagle Outfitters Inc. Common Stock</t>
  </si>
  <si>
    <t>Clothing/Shoe/Accessory Stores</t>
  </si>
  <si>
    <t>AEO US Equity</t>
  </si>
  <si>
    <t>NB_66</t>
  </si>
  <si>
    <t>AEON</t>
  </si>
  <si>
    <t>AEON Biopharma Inc. Class A Common Stock</t>
  </si>
  <si>
    <t>AEON US Equity</t>
  </si>
  <si>
    <t>NB_67</t>
  </si>
  <si>
    <t>AEP</t>
  </si>
  <si>
    <t>American Electric Power Company Inc. Common Stock</t>
  </si>
  <si>
    <t>Electric Utilities: Central</t>
  </si>
  <si>
    <t>AEP US Equity</t>
  </si>
  <si>
    <t>NB_68</t>
  </si>
  <si>
    <t>AERT</t>
  </si>
  <si>
    <t>Aeries Technology Inc. Class A Ordinary Share</t>
  </si>
  <si>
    <t>AERT US Equity</t>
  </si>
  <si>
    <t>NB_69</t>
  </si>
  <si>
    <t>AES</t>
  </si>
  <si>
    <t>The AES Corporation Common Stock</t>
  </si>
  <si>
    <t>AES US Equity</t>
  </si>
  <si>
    <t>NB_70</t>
  </si>
  <si>
    <t>AESI</t>
  </si>
  <si>
    <t>Atlas Energy Solutions Inc. Common Stock</t>
  </si>
  <si>
    <t>AESI US Equity</t>
  </si>
  <si>
    <t>NB_71</t>
  </si>
  <si>
    <t>AEVA</t>
  </si>
  <si>
    <t>Aeva Technologies Inc. Common Stock</t>
  </si>
  <si>
    <t>AEVA US Equity</t>
  </si>
  <si>
    <t>NB_72</t>
  </si>
  <si>
    <t>AEYE</t>
  </si>
  <si>
    <t>AudioEye Inc. Common Stock</t>
  </si>
  <si>
    <t>AEYE US Equity</t>
  </si>
  <si>
    <t>NB_73</t>
  </si>
  <si>
    <t>AGCO</t>
  </si>
  <si>
    <t>AGCO Corporation Common Stock</t>
  </si>
  <si>
    <t>AGCO US Equity</t>
  </si>
  <si>
    <t>NB_74</t>
  </si>
  <si>
    <t>AGEN</t>
  </si>
  <si>
    <t>Agenus Inc. Common Stock</t>
  </si>
  <si>
    <t>AGEN US Equity</t>
  </si>
  <si>
    <t>NB_75</t>
  </si>
  <si>
    <t>AGIG</t>
  </si>
  <si>
    <t>Abundia Global Impact Group Inc. Common stock</t>
  </si>
  <si>
    <t>Oil &amp; Gas Production</t>
  </si>
  <si>
    <t>AGIG US Equity</t>
  </si>
  <si>
    <t>NB_76</t>
  </si>
  <si>
    <t>AGIO</t>
  </si>
  <si>
    <t>Agios Pharmaceuticals Inc. Common Stock</t>
  </si>
  <si>
    <t>AGIO US Equity</t>
  </si>
  <si>
    <t>NB_77</t>
  </si>
  <si>
    <t>AGL</t>
  </si>
  <si>
    <t>agilon health inc. Common Stock</t>
  </si>
  <si>
    <t>Misc Health and Biotechnology Services</t>
  </si>
  <si>
    <t>AGL US Equity</t>
  </si>
  <si>
    <t>NB_78</t>
  </si>
  <si>
    <t>AGPU</t>
  </si>
  <si>
    <t>Axe Compute Inc. Common Stock</t>
  </si>
  <si>
    <t>Industrial Specialties</t>
  </si>
  <si>
    <t>AGPU US Equity</t>
  </si>
  <si>
    <t>NB_79</t>
  </si>
  <si>
    <t>AGX</t>
  </si>
  <si>
    <t>Argan Inc. Common Stock</t>
  </si>
  <si>
    <t>Engineering &amp; Construction</t>
  </si>
  <si>
    <t>AGX US Equity</t>
  </si>
  <si>
    <t>NB_80</t>
  </si>
  <si>
    <t>AGYS</t>
  </si>
  <si>
    <t>Agilysys Inc. Common Stock (DE)</t>
  </si>
  <si>
    <t>AGYS US Equity</t>
  </si>
  <si>
    <t>NB_81</t>
  </si>
  <si>
    <t>AHCO</t>
  </si>
  <si>
    <t>AdaptHealth Corp. Common Stock</t>
  </si>
  <si>
    <t>AHCO US Equity</t>
  </si>
  <si>
    <t>NB_82</t>
  </si>
  <si>
    <t>AI</t>
  </si>
  <si>
    <t>C3.ai Inc. Class A Common Stock</t>
  </si>
  <si>
    <t>AI US Equity</t>
  </si>
  <si>
    <t>NB_83</t>
  </si>
  <si>
    <t>AIAI</t>
  </si>
  <si>
    <t>AIAI Holdings Corporation Class A Common Stock</t>
  </si>
  <si>
    <t>AIAI US Equity</t>
  </si>
  <si>
    <t>NB_84</t>
  </si>
  <si>
    <t>AIDX</t>
  </si>
  <si>
    <t>20/20 Biolabs Inc. Common Stock</t>
  </si>
  <si>
    <t>Precision Instruments</t>
  </si>
  <si>
    <t>AIDX US Equity</t>
  </si>
  <si>
    <t>NB_85</t>
  </si>
  <si>
    <t>AIFA</t>
  </si>
  <si>
    <t>All In FutureTech Alliance Inc. Common Stock</t>
  </si>
  <si>
    <t>AIFA US Equity</t>
  </si>
  <si>
    <t>NB_86</t>
  </si>
  <si>
    <t>AIFF</t>
  </si>
  <si>
    <t>Firefly Neuroscience Inc. Common Stock</t>
  </si>
  <si>
    <t>AIFF US Equity</t>
  </si>
  <si>
    <t>NB_87</t>
  </si>
  <si>
    <t>AIMD</t>
  </si>
  <si>
    <t>Ainos Inc. Common Stock</t>
  </si>
  <si>
    <t>Computer peripheral equipment</t>
  </si>
  <si>
    <t>AIMD US Equity</t>
  </si>
  <si>
    <t>NB_88</t>
  </si>
  <si>
    <t>AIMDW</t>
  </si>
  <si>
    <t>Ainos Inc. Warrants</t>
  </si>
  <si>
    <t>AIMDW US Equity</t>
  </si>
  <si>
    <t>NB_89</t>
  </si>
  <si>
    <t>AIN</t>
  </si>
  <si>
    <t>Albany International Corporation Common Stock</t>
  </si>
  <si>
    <t>Textiles</t>
  </si>
  <si>
    <t>AIN US Equity</t>
  </si>
  <si>
    <t>NB_90</t>
  </si>
  <si>
    <t>AIOT</t>
  </si>
  <si>
    <t>PowerFleet Inc. Common Stock</t>
  </si>
  <si>
    <t>AIOT US Equity</t>
  </si>
  <si>
    <t>NB_91</t>
  </si>
  <si>
    <t>AIP</t>
  </si>
  <si>
    <t>Arteris Inc. Common Stock</t>
  </si>
  <si>
    <t>AIP US Equity</t>
  </si>
  <si>
    <t>NB_92</t>
  </si>
  <si>
    <t>AIR</t>
  </si>
  <si>
    <t>AAR Corp. Common Stock</t>
  </si>
  <si>
    <t>AIR US Equity</t>
  </si>
  <si>
    <t>NB_93</t>
  </si>
  <si>
    <t>AIRG</t>
  </si>
  <si>
    <t>Airgain Inc. Common Stock</t>
  </si>
  <si>
    <t>Radio And Television Broadcasting And Communications Equipment</t>
  </si>
  <si>
    <t>AIRG US Equity</t>
  </si>
  <si>
    <t>NB_94</t>
  </si>
  <si>
    <t>AIRI</t>
  </si>
  <si>
    <t>Air Industries Group Common Stock</t>
  </si>
  <si>
    <t>AIRI US Equity</t>
  </si>
  <si>
    <t>NB_95</t>
  </si>
  <si>
    <t>AIRJ</t>
  </si>
  <si>
    <t>AirJoule Technologies Corporation Class A Common Stock</t>
  </si>
  <si>
    <t>AIRJ US Equity</t>
  </si>
  <si>
    <t>NB_96</t>
  </si>
  <si>
    <t>AIRJW</t>
  </si>
  <si>
    <t>AirJoule Technologies Corporation Warrant</t>
  </si>
  <si>
    <t>AIRJW US Equity</t>
  </si>
  <si>
    <t>NB_97</t>
  </si>
  <si>
    <t>AIRO</t>
  </si>
  <si>
    <t>AIRO Group Holdings Inc. Common Stock</t>
  </si>
  <si>
    <t>AIRO US Equity</t>
  </si>
  <si>
    <t>NB_98</t>
  </si>
  <si>
    <t>AIRS</t>
  </si>
  <si>
    <t>AirSculpt Technologies Inc. Common Stock</t>
  </si>
  <si>
    <t>AIRS US Equity</t>
  </si>
  <si>
    <t>NB_99</t>
  </si>
  <si>
    <t>AIRT</t>
  </si>
  <si>
    <t>Air T Inc. Common Stock</t>
  </si>
  <si>
    <t>AIRT US Equity</t>
  </si>
  <si>
    <t>NB_100</t>
  </si>
  <si>
    <t>AIRTP</t>
  </si>
  <si>
    <t>Air T Inc. Air T Funding Alpha Income Trust Preferred Securities</t>
  </si>
  <si>
    <t>AIRTP US Equity</t>
  </si>
  <si>
    <t>NB_101</t>
  </si>
  <si>
    <t>AISP</t>
  </si>
  <si>
    <t>Airship AI Holdings Inc. Class A Common Stock</t>
  </si>
  <si>
    <t>AISP US Equity</t>
  </si>
  <si>
    <t>NB_102</t>
  </si>
  <si>
    <t>AISPW</t>
  </si>
  <si>
    <t>Airship AI Holdings Inc. Warrants</t>
  </si>
  <si>
    <t>AISPW US Equity</t>
  </si>
  <si>
    <t>NB_103</t>
  </si>
  <si>
    <t>AIT</t>
  </si>
  <si>
    <t>Applied Industrial Technologies Inc. Common Stock</t>
  </si>
  <si>
    <t>AIT US Equity</t>
  </si>
  <si>
    <t>NB_104</t>
  </si>
  <si>
    <t>AKAM</t>
  </si>
  <si>
    <t>Akamai Technologies Inc. Common Stock</t>
  </si>
  <si>
    <t>AKAM US Equity</t>
  </si>
  <si>
    <t>NB_105</t>
  </si>
  <si>
    <t>AKBA</t>
  </si>
  <si>
    <t>Akebia Therapeutics Inc. Common Stock</t>
  </si>
  <si>
    <t>AKBA US Equity</t>
  </si>
  <si>
    <t>NB_106</t>
  </si>
  <si>
    <t>AKTS</t>
  </si>
  <si>
    <t>Aktis Oncology Inc. Common stock</t>
  </si>
  <si>
    <t>AKTS US Equity</t>
  </si>
  <si>
    <t>NB_107</t>
  </si>
  <si>
    <t>ALAB</t>
  </si>
  <si>
    <t>Astera Labs Inc. Common Stock</t>
  </si>
  <si>
    <t>ALAB US Equity</t>
  </si>
  <si>
    <t>NB_108</t>
  </si>
  <si>
    <t>ALB</t>
  </si>
  <si>
    <t>Albemarle Corporation Common Stock</t>
  </si>
  <si>
    <t>ALB US Equity</t>
  </si>
  <si>
    <t>NB_109</t>
  </si>
  <si>
    <t>ALCO</t>
  </si>
  <si>
    <t>Alico Inc. Common Stock</t>
  </si>
  <si>
    <t>Farming/Seeds/Milling</t>
  </si>
  <si>
    <t>ALCO US Equity</t>
  </si>
  <si>
    <t>NB_110</t>
  </si>
  <si>
    <t>ALDX</t>
  </si>
  <si>
    <t>Aldeyra Therapeutics Inc. Common Stock</t>
  </si>
  <si>
    <t>ALDX US Equity</t>
  </si>
  <si>
    <t>NB_111</t>
  </si>
  <si>
    <t>ALEC</t>
  </si>
  <si>
    <t>Alector Inc. Common Stock</t>
  </si>
  <si>
    <t>ALEC US Equity</t>
  </si>
  <si>
    <t>NB_112</t>
  </si>
  <si>
    <t>ALG</t>
  </si>
  <si>
    <t>Alamo Group Inc. Common Stock</t>
  </si>
  <si>
    <t>ALG US Equity</t>
  </si>
  <si>
    <t>NB_113</t>
  </si>
  <si>
    <t>ALGM</t>
  </si>
  <si>
    <t>Allegro MicroSystems Inc. Common Stock</t>
  </si>
  <si>
    <t>ALGM US Equity</t>
  </si>
  <si>
    <t>NB_114</t>
  </si>
  <si>
    <t>ALGN</t>
  </si>
  <si>
    <t>Align Technology Inc. Common Stock</t>
  </si>
  <si>
    <t>ALGN US Equity</t>
  </si>
  <si>
    <t>NB_115</t>
  </si>
  <si>
    <t>ALGS</t>
  </si>
  <si>
    <t>Aligos Therapeutics Inc. Common Stock</t>
  </si>
  <si>
    <t>ALGS US Equity</t>
  </si>
  <si>
    <t>NB_116</t>
  </si>
  <si>
    <t>ALGT</t>
  </si>
  <si>
    <t>Allegiant Travel Company Common Stock</t>
  </si>
  <si>
    <t>ALGT US Equity</t>
  </si>
  <si>
    <t>NB_117</t>
  </si>
  <si>
    <t>ALH</t>
  </si>
  <si>
    <t>Alliance Laundry Holdings Inc. Common Stock</t>
  </si>
  <si>
    <t>ALH US Equity</t>
  </si>
  <si>
    <t>NB_118</t>
  </si>
  <si>
    <t>ALHC</t>
  </si>
  <si>
    <t>Alignment Healthcare Inc. Common Stock</t>
  </si>
  <si>
    <t>ALHC US Equity</t>
  </si>
  <si>
    <t>NB_119</t>
  </si>
  <si>
    <t>ALIT</t>
  </si>
  <si>
    <t>Alight Inc. Class A Common Stock</t>
  </si>
  <si>
    <t>ALIT US Equity</t>
  </si>
  <si>
    <t>NB_120</t>
  </si>
  <si>
    <t>ALK</t>
  </si>
  <si>
    <t>Alaska Air Group Inc. Common Stock</t>
  </si>
  <si>
    <t>ALK US Equity</t>
  </si>
  <si>
    <t>NB_121</t>
  </si>
  <si>
    <t>ALKT</t>
  </si>
  <si>
    <t>Alkami Technology Inc. Common Stock</t>
  </si>
  <si>
    <t>ALKT US Equity</t>
  </si>
  <si>
    <t>NB_122</t>
  </si>
  <si>
    <t>ALLE</t>
  </si>
  <si>
    <t>Allegion plc Ordinary Shares</t>
  </si>
  <si>
    <t>ALLE US Equity</t>
  </si>
  <si>
    <t>NB_123</t>
  </si>
  <si>
    <t>ALLO</t>
  </si>
  <si>
    <t>Allogene Therapeutics Inc. Common Stock</t>
  </si>
  <si>
    <t>ALLO US Equity</t>
  </si>
  <si>
    <t>NB_124</t>
  </si>
  <si>
    <t>ALLR</t>
  </si>
  <si>
    <t>Allarity Therapeutics Inc. Common Stock</t>
  </si>
  <si>
    <t>ALLR US Equity</t>
  </si>
  <si>
    <t>NB_125</t>
  </si>
  <si>
    <t>ALMR</t>
  </si>
  <si>
    <t>Alamar Biosciences Inc. Common Stock</t>
  </si>
  <si>
    <t>ALMR US Equity</t>
  </si>
  <si>
    <t>NB_126</t>
  </si>
  <si>
    <t>ALMS</t>
  </si>
  <si>
    <t>Alumis Inc. Common Stock</t>
  </si>
  <si>
    <t>ALMS US Equity</t>
  </si>
  <si>
    <t>NB_127</t>
  </si>
  <si>
    <t>ALMU</t>
  </si>
  <si>
    <t>Aeluma Inc. Common Stock</t>
  </si>
  <si>
    <t>ALMU US Equity</t>
  </si>
  <si>
    <t>NB_128</t>
  </si>
  <si>
    <t>ALNT</t>
  </si>
  <si>
    <t>Allient Inc. Common Stock</t>
  </si>
  <si>
    <t>ALNT US Equity</t>
  </si>
  <si>
    <t>NB_129</t>
  </si>
  <si>
    <t>ALNY</t>
  </si>
  <si>
    <t>Alnylam Pharmaceuticals Inc. Common Stock</t>
  </si>
  <si>
    <t>ALNY US Equity</t>
  </si>
  <si>
    <t>NB_130</t>
  </si>
  <si>
    <t>ALOY</t>
  </si>
  <si>
    <t>REalloys Inc. Common Stock</t>
  </si>
  <si>
    <t>Basic Materials</t>
  </si>
  <si>
    <t>Metal Mining</t>
  </si>
  <si>
    <t>ALOY US Equity</t>
  </si>
  <si>
    <t>NB_131</t>
  </si>
  <si>
    <t>ALRM</t>
  </si>
  <si>
    <t>Alarm.com Holdings Inc. Common Stock</t>
  </si>
  <si>
    <t>ALRM US Equity</t>
  </si>
  <si>
    <t>NB_132</t>
  </si>
  <si>
    <t>ALSN</t>
  </si>
  <si>
    <t>Allison Transmission Holdings Inc. Common Stock</t>
  </si>
  <si>
    <t>ALSN US Equity</t>
  </si>
  <si>
    <t>NB_133</t>
  </si>
  <si>
    <t>ALT</t>
  </si>
  <si>
    <t>Altimmune Inc. Common Stock</t>
  </si>
  <si>
    <t>ALT US Equity</t>
  </si>
  <si>
    <t>NB_134</t>
  </si>
  <si>
    <t>ALTG</t>
  </si>
  <si>
    <t>Alta Equipment Group Inc. Class A Common Stock</t>
  </si>
  <si>
    <t>ALTG US Equity</t>
  </si>
  <si>
    <t>NB_135</t>
  </si>
  <si>
    <t>ALTO</t>
  </si>
  <si>
    <t>Alto Ingredients Inc. Common Stock</t>
  </si>
  <si>
    <t>ALTO US Equity</t>
  </si>
  <si>
    <t>NB_136</t>
  </si>
  <si>
    <t>ALXO</t>
  </si>
  <si>
    <t>ALX Oncology Holdings Inc. Common Stock</t>
  </si>
  <si>
    <t>ALXO US Equity</t>
  </si>
  <si>
    <t>NB_137</t>
  </si>
  <si>
    <t>ALZN</t>
  </si>
  <si>
    <t>Alzamend Neuro Inc. Common Stock</t>
  </si>
  <si>
    <t>ALZN US Equity</t>
  </si>
  <si>
    <t>NB_138</t>
  </si>
  <si>
    <t>AM</t>
  </si>
  <si>
    <t>Antero Midstream Corporation Common Stock</t>
  </si>
  <si>
    <t>Natural Gas Distribution</t>
  </si>
  <si>
    <t>AM US Equity</t>
  </si>
  <si>
    <t>NB_139</t>
  </si>
  <si>
    <t>AMAT</t>
  </si>
  <si>
    <t>Applied Materials Inc. Common Stock</t>
  </si>
  <si>
    <t>AMAT US Equity</t>
  </si>
  <si>
    <t>NB_140</t>
  </si>
  <si>
    <t>AMBA</t>
  </si>
  <si>
    <t>Ambarella Inc. Ordinary Shares</t>
  </si>
  <si>
    <t>AMBA US Equity</t>
  </si>
  <si>
    <t>NB_141</t>
  </si>
  <si>
    <t>AMBQ</t>
  </si>
  <si>
    <t>Ambiq Micro Inc. Common Stock</t>
  </si>
  <si>
    <t>AMBQ US Equity</t>
  </si>
  <si>
    <t>NB_142</t>
  </si>
  <si>
    <t>AMC</t>
  </si>
  <si>
    <t>AMC Entertainment Holdings Inc. Class A Common Stock</t>
  </si>
  <si>
    <t>Movies/Entertainment</t>
  </si>
  <si>
    <t>AMC US Equity</t>
  </si>
  <si>
    <t>NB_143</t>
  </si>
  <si>
    <t>AMCI</t>
  </si>
  <si>
    <t>AMC Robotics Corporation Common Stock</t>
  </si>
  <si>
    <t>Home Furnishings</t>
  </si>
  <si>
    <t>AMCI US Equity</t>
  </si>
  <si>
    <t>NB_144</t>
  </si>
  <si>
    <t>AMCX</t>
  </si>
  <si>
    <t>AMC Global Media Inc. Class A Common Stock</t>
  </si>
  <si>
    <t>AMCX US Equity</t>
  </si>
  <si>
    <t>NB_145</t>
  </si>
  <si>
    <t>AMD</t>
  </si>
  <si>
    <t>Advanced Micro Devices Inc. Common Stock</t>
  </si>
  <si>
    <t>AMD US Equity</t>
  </si>
  <si>
    <t>NB_146</t>
  </si>
  <si>
    <t>AME</t>
  </si>
  <si>
    <t>AMETEK Inc.</t>
  </si>
  <si>
    <t>AME US Equity</t>
  </si>
  <si>
    <t>NB_147</t>
  </si>
  <si>
    <t>AMGN</t>
  </si>
  <si>
    <t>Amgen Inc. Common Stock</t>
  </si>
  <si>
    <t>AMGN US Equity</t>
  </si>
  <si>
    <t>NB_148</t>
  </si>
  <si>
    <t>AMIX</t>
  </si>
  <si>
    <t>Autonomix Medical Inc. Common Stock</t>
  </si>
  <si>
    <t>AMIX US Equity</t>
  </si>
  <si>
    <t>NB_149</t>
  </si>
  <si>
    <t>AMKR</t>
  </si>
  <si>
    <t>Amkor Technology Inc. Common Stock</t>
  </si>
  <si>
    <t>AMKR US Equity</t>
  </si>
  <si>
    <t>NB_150</t>
  </si>
  <si>
    <t>AMLX</t>
  </si>
  <si>
    <t>Amylyx Pharmaceuticals Inc. Common Stock</t>
  </si>
  <si>
    <t>AMLX US Equity</t>
  </si>
  <si>
    <t>NB_151</t>
  </si>
  <si>
    <t>AMN</t>
  </si>
  <si>
    <t>AMN Healthcare Services Inc</t>
  </si>
  <si>
    <t>AMN US Equity</t>
  </si>
  <si>
    <t>NB_152</t>
  </si>
  <si>
    <t>AMPG</t>
  </si>
  <si>
    <t>Amplitech Group Inc. Common Stock</t>
  </si>
  <si>
    <t>AMPG US Equity</t>
  </si>
  <si>
    <t>NB_153</t>
  </si>
  <si>
    <t>AMPGZ</t>
  </si>
  <si>
    <t>Amplitech Group Inc. Series B Right</t>
  </si>
  <si>
    <t>AMPGZ US Equity</t>
  </si>
  <si>
    <t>NB_154</t>
  </si>
  <si>
    <t>AMPH</t>
  </si>
  <si>
    <t>Amphastar Pharmaceuticals Inc. Common Stock</t>
  </si>
  <si>
    <t>AMPH US Equity</t>
  </si>
  <si>
    <t>NB_155</t>
  </si>
  <si>
    <t>AMPL</t>
  </si>
  <si>
    <t>Amplitude Inc. Class A Common Stock</t>
  </si>
  <si>
    <t>AMPL US Equity</t>
  </si>
  <si>
    <t>NB_156</t>
  </si>
  <si>
    <t>AMPY</t>
  </si>
  <si>
    <t>Amplify Energy Corp. Common Stock</t>
  </si>
  <si>
    <t>AMPY US Equity</t>
  </si>
  <si>
    <t>NB_157</t>
  </si>
  <si>
    <t>AMR</t>
  </si>
  <si>
    <t>Alpha Metallurgical Resources Inc. Common Stock</t>
  </si>
  <si>
    <t>Coal Mining</t>
  </si>
  <si>
    <t>AMR US Equity</t>
  </si>
  <si>
    <t>NB_158</t>
  </si>
  <si>
    <t>AMRC</t>
  </si>
  <si>
    <t>Ameresco Inc. Class A Common Stock</t>
  </si>
  <si>
    <t>AMRC US Equity</t>
  </si>
  <si>
    <t>NB_159</t>
  </si>
  <si>
    <t>AMRX</t>
  </si>
  <si>
    <t>Amneal Pharmaceuticals Inc. Class A Common Stock</t>
  </si>
  <si>
    <t>AMRX US Equity</t>
  </si>
  <si>
    <t>NB_160</t>
  </si>
  <si>
    <t>AMS</t>
  </si>
  <si>
    <t>American Shared Hospital Services Common Stock</t>
  </si>
  <si>
    <t>AMS US Equity</t>
  </si>
  <si>
    <t>NB_161</t>
  </si>
  <si>
    <t>AMSC</t>
  </si>
  <si>
    <t>American Superconductor Corporation Common Stock</t>
  </si>
  <si>
    <t>AMSC US Equity</t>
  </si>
  <si>
    <t>NB_162</t>
  </si>
  <si>
    <t>AMSS</t>
  </si>
  <si>
    <t>AMASS Brands Inc. Common Stock</t>
  </si>
  <si>
    <t>Beverages (Production/Distribution)</t>
  </si>
  <si>
    <t>AMSS US Equity</t>
  </si>
  <si>
    <t>NB_163</t>
  </si>
  <si>
    <t>AMST</t>
  </si>
  <si>
    <t>Amesite Inc. Common Stock</t>
  </si>
  <si>
    <t>AMST US Equity</t>
  </si>
  <si>
    <t>NB_164</t>
  </si>
  <si>
    <t>AMTM</t>
  </si>
  <si>
    <t>Amentum Holdings Inc. Common Stock</t>
  </si>
  <si>
    <t>AMTM US Equity</t>
  </si>
  <si>
    <t>NB_165</t>
  </si>
  <si>
    <t>AMTX</t>
  </si>
  <si>
    <t>Aemetis Inc. (DE) Common Stock</t>
  </si>
  <si>
    <t>AMTX US Equity</t>
  </si>
  <si>
    <t>NB_166</t>
  </si>
  <si>
    <t>AMWL</t>
  </si>
  <si>
    <t>American Well Corporation Class A Common Stock</t>
  </si>
  <si>
    <t>AMWL US Equity</t>
  </si>
  <si>
    <t>NB_167</t>
  </si>
  <si>
    <t>AMZN</t>
  </si>
  <si>
    <t>Amazon.com Inc. Common Stock</t>
  </si>
  <si>
    <t>Catalog/Specialty Distribution</t>
  </si>
  <si>
    <t>AMZN US Equity</t>
  </si>
  <si>
    <t>NB_168</t>
  </si>
  <si>
    <t>AN</t>
  </si>
  <si>
    <t>AutoNation Inc. Common Stock</t>
  </si>
  <si>
    <t>AN US Equity</t>
  </si>
  <si>
    <t>NB_169</t>
  </si>
  <si>
    <t>ANAB</t>
  </si>
  <si>
    <t>AnaptysBio Inc. Common Stock</t>
  </si>
  <si>
    <t>ANAB US Equity</t>
  </si>
  <si>
    <t>NB_170</t>
  </si>
  <si>
    <t>ANDE</t>
  </si>
  <si>
    <t>Andersons Inc. (The) Common Stock</t>
  </si>
  <si>
    <t>ANDE US Equity</t>
  </si>
  <si>
    <t>NB_171</t>
  </si>
  <si>
    <t>ANET</t>
  </si>
  <si>
    <t>Arista Networks Inc. Common Stock</t>
  </si>
  <si>
    <t>Computer Communications Equipment</t>
  </si>
  <si>
    <t>ANET US Equity</t>
  </si>
  <si>
    <t>NB_172</t>
  </si>
  <si>
    <t>ANF</t>
  </si>
  <si>
    <t>Abercrombie &amp; Fitch Company Common Stock</t>
  </si>
  <si>
    <t>ANF US Equity</t>
  </si>
  <si>
    <t>NB_173</t>
  </si>
  <si>
    <t>ANGI</t>
  </si>
  <si>
    <t>Angi Inc. Class A Common Stock</t>
  </si>
  <si>
    <t>Advertising</t>
  </si>
  <si>
    <t>ANGI US Equity</t>
  </si>
  <si>
    <t>NB_174</t>
  </si>
  <si>
    <t>ANGO</t>
  </si>
  <si>
    <t>AngioDynamics Inc. Common Stock</t>
  </si>
  <si>
    <t>ANGO US Equity</t>
  </si>
  <si>
    <t>NB_175</t>
  </si>
  <si>
    <t>ANGX</t>
  </si>
  <si>
    <t>Angel Studios Inc. Class A Common Stock</t>
  </si>
  <si>
    <t>ANGX US Equity</t>
  </si>
  <si>
    <t>NB_176</t>
  </si>
  <si>
    <t>ANIK</t>
  </si>
  <si>
    <t>Anika Therapeutics Inc. Common Stock</t>
  </si>
  <si>
    <t>ANIK US Equity</t>
  </si>
  <si>
    <t>NB_177</t>
  </si>
  <si>
    <t>ANIP</t>
  </si>
  <si>
    <t>ANI Pharmaceuticals Inc.</t>
  </si>
  <si>
    <t>ANIP US Equity</t>
  </si>
  <si>
    <t>NB_178</t>
  </si>
  <si>
    <t>ANIX</t>
  </si>
  <si>
    <t>Anixa Biosciences Inc. Common Stock</t>
  </si>
  <si>
    <t>ANIX US Equity</t>
  </si>
  <si>
    <t>NB_179</t>
  </si>
  <si>
    <t>ANNA</t>
  </si>
  <si>
    <t>AleAnna Inc. Class A Common Stock</t>
  </si>
  <si>
    <t>ANNA US Equity</t>
  </si>
  <si>
    <t>NB_180</t>
  </si>
  <si>
    <t>ANNAW</t>
  </si>
  <si>
    <t>AleAnna Inc. Warrant</t>
  </si>
  <si>
    <t>ANNAW US Equity</t>
  </si>
  <si>
    <t>NB_181</t>
  </si>
  <si>
    <t>ANNX</t>
  </si>
  <si>
    <t>Annexon Inc. Common Stock</t>
  </si>
  <si>
    <t>ANNX US Equity</t>
  </si>
  <si>
    <t>NB_182</t>
  </si>
  <si>
    <t>ANRO</t>
  </si>
  <si>
    <t>Alto Neuroscience Inc. Common Stock</t>
  </si>
  <si>
    <t>ANRO US Equity</t>
  </si>
  <si>
    <t>NB_183</t>
  </si>
  <si>
    <t>ANTX</t>
  </si>
  <si>
    <t>AN2 Therapeutics Inc. Common Stock</t>
  </si>
  <si>
    <t>ANTX US Equity</t>
  </si>
  <si>
    <t>NB_184</t>
  </si>
  <si>
    <t>ANVS</t>
  </si>
  <si>
    <t>Annovis Bio Inc. Common Stock</t>
  </si>
  <si>
    <t>ANVS US Equity</t>
  </si>
  <si>
    <t>NB_185</t>
  </si>
  <si>
    <t>AORT</t>
  </si>
  <si>
    <t>Artivion Inc. Common Stock</t>
  </si>
  <si>
    <t>AORT US Equity</t>
  </si>
  <si>
    <t>NB_186</t>
  </si>
  <si>
    <t>AOS</t>
  </si>
  <si>
    <t>A.O. Smith Corporation Common Stock</t>
  </si>
  <si>
    <t>Consumer Electronics/Appliances</t>
  </si>
  <si>
    <t>AOS US Equity</t>
  </si>
  <si>
    <t>NB_187</t>
  </si>
  <si>
    <t>AOUT</t>
  </si>
  <si>
    <t>American Outdoor Brands Inc. Common Stock</t>
  </si>
  <si>
    <t>Recreational Games/Products/Toys</t>
  </si>
  <si>
    <t>AOUT US Equity</t>
  </si>
  <si>
    <t>NB_188</t>
  </si>
  <si>
    <t>AP</t>
  </si>
  <si>
    <t>Ampco-Pittsburgh Corporation Common Stock</t>
  </si>
  <si>
    <t>Fluid Controls</t>
  </si>
  <si>
    <t>AP US Equity</t>
  </si>
  <si>
    <t>NB_189</t>
  </si>
  <si>
    <t>APA</t>
  </si>
  <si>
    <t>APA Corporation Common Stock</t>
  </si>
  <si>
    <t>APA US Equity</t>
  </si>
  <si>
    <t>NB_190</t>
  </si>
  <si>
    <t>APC</t>
  </si>
  <si>
    <t>ARKO Petroleum Corp. Class A Common Stock</t>
  </si>
  <si>
    <t>Oil Refining/Marketing</t>
  </si>
  <si>
    <t>APC US Equity</t>
  </si>
  <si>
    <t>NB_191</t>
  </si>
  <si>
    <t>APD</t>
  </si>
  <si>
    <t>Air Products and Chemicals Inc. Common Stock</t>
  </si>
  <si>
    <t>APD US Equity</t>
  </si>
  <si>
    <t>NB_192</t>
  </si>
  <si>
    <t>APG</t>
  </si>
  <si>
    <t>APi Group Corporation Common Stock</t>
  </si>
  <si>
    <t>APG US Equity</t>
  </si>
  <si>
    <t>NB_193</t>
  </si>
  <si>
    <t>APH</t>
  </si>
  <si>
    <t>Amphenol Corporation Common Stock</t>
  </si>
  <si>
    <t>APH US Equity</t>
  </si>
  <si>
    <t>NB_194</t>
  </si>
  <si>
    <t>APLD</t>
  </si>
  <si>
    <t>Applied Digital Corporation Common Stock</t>
  </si>
  <si>
    <t>APLD US Equity</t>
  </si>
  <si>
    <t>NB_195</t>
  </si>
  <si>
    <t>APLM</t>
  </si>
  <si>
    <t>Apollomics Inc. Class A Ordinary Shares</t>
  </si>
  <si>
    <t>APLM US Equity</t>
  </si>
  <si>
    <t>NB_196</t>
  </si>
  <si>
    <t>APMD</t>
  </si>
  <si>
    <t>Apnimed Inc. Common Stock</t>
  </si>
  <si>
    <t>APMD US Equity</t>
  </si>
  <si>
    <t>NB_197</t>
  </si>
  <si>
    <t>APOG</t>
  </si>
  <si>
    <t>Apogee Enterprises Inc. Common Stock</t>
  </si>
  <si>
    <t>APOG US Equity</t>
  </si>
  <si>
    <t>NB_198</t>
  </si>
  <si>
    <t>APP</t>
  </si>
  <si>
    <t>Applovin Corporation Class A Common Stock</t>
  </si>
  <si>
    <t>Computer Software: Programming Data Processing</t>
  </si>
  <si>
    <t>APP US Equity</t>
  </si>
  <si>
    <t>NB_199</t>
  </si>
  <si>
    <t>APPF</t>
  </si>
  <si>
    <t>AppFolio Inc. Class A Common Stock</t>
  </si>
  <si>
    <t>APPF US Equity</t>
  </si>
  <si>
    <t>NB_200</t>
  </si>
  <si>
    <t>APPN</t>
  </si>
  <si>
    <t>Appian Corporation Class A Common Stock</t>
  </si>
  <si>
    <t>APPN US Equity</t>
  </si>
  <si>
    <t>NB_201</t>
  </si>
  <si>
    <t>APRE</t>
  </si>
  <si>
    <t>Aprea Therapeutics Inc. Common stock</t>
  </si>
  <si>
    <t>APRE US Equity</t>
  </si>
  <si>
    <t>NB_202</t>
  </si>
  <si>
    <t>APVO</t>
  </si>
  <si>
    <t>Aptevo Therapeutics Inc. Common Stock</t>
  </si>
  <si>
    <t>APVO US Equity</t>
  </si>
  <si>
    <t>NB_203</t>
  </si>
  <si>
    <t>APYX</t>
  </si>
  <si>
    <t>Apyx Medical Corporation Common Stock</t>
  </si>
  <si>
    <t>APYX US Equity</t>
  </si>
  <si>
    <t>NB_204</t>
  </si>
  <si>
    <t>AQB</t>
  </si>
  <si>
    <t>AquaBounty Technologies Inc. Common Stock</t>
  </si>
  <si>
    <t>Meat/Poultry/Fish</t>
  </si>
  <si>
    <t>AQB US Equity</t>
  </si>
  <si>
    <t>NB_205</t>
  </si>
  <si>
    <t>AQMS</t>
  </si>
  <si>
    <t>Aqua Metals Inc. Common Stock</t>
  </si>
  <si>
    <t>AQMS US Equity</t>
  </si>
  <si>
    <t>NB_206</t>
  </si>
  <si>
    <t>AQN</t>
  </si>
  <si>
    <t>Algonquin Power &amp; Utilities Corp. Common Shares</t>
  </si>
  <si>
    <t>AQN US Equity</t>
  </si>
  <si>
    <t>NB_207</t>
  </si>
  <si>
    <t>AQNB</t>
  </si>
  <si>
    <t>Algonquin Power &amp; Utilities Corp. 6.20% Fixed-to-Floating Subordinated Notes Series 2019-A due July 1 2079</t>
  </si>
  <si>
    <t>AQNB US Equity</t>
  </si>
  <si>
    <t>NB_208</t>
  </si>
  <si>
    <t>AQST</t>
  </si>
  <si>
    <t>Aquestive Therapeutics Inc. Common Stock</t>
  </si>
  <si>
    <t>AQST US Equity</t>
  </si>
  <si>
    <t>NB_209</t>
  </si>
  <si>
    <t>AR</t>
  </si>
  <si>
    <t>Antero Resources Corporation Common Stock</t>
  </si>
  <si>
    <t>AR US Equity</t>
  </si>
  <si>
    <t>NB_210</t>
  </si>
  <si>
    <t>ARAI</t>
  </si>
  <si>
    <t>Arrive AI Inc. Common Stock</t>
  </si>
  <si>
    <t>ARAI US Equity</t>
  </si>
  <si>
    <t>NB_211</t>
  </si>
  <si>
    <t>ARAY</t>
  </si>
  <si>
    <t>Accuray Incorporated Common Stock</t>
  </si>
  <si>
    <t>ARAY US Equity</t>
  </si>
  <si>
    <t>NB_212</t>
  </si>
  <si>
    <t>ARCB</t>
  </si>
  <si>
    <t>ArcBest Corporation Common Stock</t>
  </si>
  <si>
    <t>Trucking Freight/Courier Services</t>
  </si>
  <si>
    <t>ARCB US Equity</t>
  </si>
  <si>
    <t>NB_213</t>
  </si>
  <si>
    <t>ARDT</t>
  </si>
  <si>
    <t>Ardent Health Inc. Common Stock</t>
  </si>
  <si>
    <t>Hospital/Nursing Management</t>
  </si>
  <si>
    <t>ARDT US Equity</t>
  </si>
  <si>
    <t>NB_214</t>
  </si>
  <si>
    <t>ARDX</t>
  </si>
  <si>
    <t>Ardelyx Inc. Common Stock</t>
  </si>
  <si>
    <t>ARDX US Equity</t>
  </si>
  <si>
    <t>NB_215</t>
  </si>
  <si>
    <t>AREC</t>
  </si>
  <si>
    <t>American Resources Corporation Class A Common Stock</t>
  </si>
  <si>
    <t>AREC US Equity</t>
  </si>
  <si>
    <t>NB_216</t>
  </si>
  <si>
    <t>ARHS</t>
  </si>
  <si>
    <t>Arhaus Inc. Class A Common Stock</t>
  </si>
  <si>
    <t>Other Specialty Stores</t>
  </si>
  <si>
    <t>ARHS US Equity</t>
  </si>
  <si>
    <t>NB_217</t>
  </si>
  <si>
    <t>ARKO</t>
  </si>
  <si>
    <t>ARKO Corp. Common Stock</t>
  </si>
  <si>
    <t>ARKO US Equity</t>
  </si>
  <si>
    <t>NB_218</t>
  </si>
  <si>
    <t>ARKR</t>
  </si>
  <si>
    <t>Ark Restaurants Corp. Common Stock</t>
  </si>
  <si>
    <t>Restaurants</t>
  </si>
  <si>
    <t>ARKR US Equity</t>
  </si>
  <si>
    <t>NB_219</t>
  </si>
  <si>
    <t>ARLO</t>
  </si>
  <si>
    <t>Arlo Technologies Inc. Common Stock</t>
  </si>
  <si>
    <t>ARLO US Equity</t>
  </si>
  <si>
    <t>NB_220</t>
  </si>
  <si>
    <t>ARLP</t>
  </si>
  <si>
    <t>Alliance Resource Partners L.P. Common Units representing Limited Partners Interests</t>
  </si>
  <si>
    <t>ARLP US Equity</t>
  </si>
  <si>
    <t>NB_221</t>
  </si>
  <si>
    <t>ARMK</t>
  </si>
  <si>
    <t>Aramark Common Stock</t>
  </si>
  <si>
    <t>ARMK US Equity</t>
  </si>
  <si>
    <t>NB_222</t>
  </si>
  <si>
    <t>ARMP</t>
  </si>
  <si>
    <t>Armata Pharmaceuticals Inc. Common Stock</t>
  </si>
  <si>
    <t>ARMP US Equity</t>
  </si>
  <si>
    <t>NB_223</t>
  </si>
  <si>
    <t>AROC</t>
  </si>
  <si>
    <t>Archrock Inc. Common Stock</t>
  </si>
  <si>
    <t>AROC US Equity</t>
  </si>
  <si>
    <t>NB_224</t>
  </si>
  <si>
    <t>ARQ</t>
  </si>
  <si>
    <t>Arq Inc. Common Stock</t>
  </si>
  <si>
    <t>ARQ US Equity</t>
  </si>
  <si>
    <t>NB_225</t>
  </si>
  <si>
    <t>ARQT</t>
  </si>
  <si>
    <t>Arcutis Biotherapeutics Inc. Common Stock</t>
  </si>
  <si>
    <t>ARQT US Equity</t>
  </si>
  <si>
    <t>NB_226</t>
  </si>
  <si>
    <t>ARRY</t>
  </si>
  <si>
    <t>Array Technologies Inc. Common Stock</t>
  </si>
  <si>
    <t>ARRY US Equity</t>
  </si>
  <si>
    <t>NB_227</t>
  </si>
  <si>
    <t>ARTL</t>
  </si>
  <si>
    <t>Artelo Biosciences Inc. Common Stock</t>
  </si>
  <si>
    <t>ARTL US Equity</t>
  </si>
  <si>
    <t>NB_228</t>
  </si>
  <si>
    <t>ARTNA</t>
  </si>
  <si>
    <t>Artesian Resources Corporation Class A Common Stock</t>
  </si>
  <si>
    <t>Water Supply</t>
  </si>
  <si>
    <t>ARTNA US Equity</t>
  </si>
  <si>
    <t>NB_229</t>
  </si>
  <si>
    <t>ARTV</t>
  </si>
  <si>
    <t>Artiva Biotherapeutics Inc. Common Stock</t>
  </si>
  <si>
    <t>ARTV US Equity</t>
  </si>
  <si>
    <t>NB_230</t>
  </si>
  <si>
    <t>ARTW</t>
  </si>
  <si>
    <t>Art's-Way Manufacturing Co. Inc. Common Stock</t>
  </si>
  <si>
    <t>ARTW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</si>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</sst>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20</v>
      </c>
      <c r="L2">
        <f>BDP($H2,"BICS_LEVEL_1_SECTOR_NAME")</f>
        <v/>
      </c>
      <c r="M2">
        <f>BDP($H2,"BICS_LEVEL_3_INDUSTRY_NAME")</f>
        <v/>
      </c>
    </row>
    <row r="3" spans="1:13">
      <c r="A3" t="s">
        <v>22</v>
      </c>
      <c r="B3" t="s">
        <v>14</v>
      </c>
      <c r="C3" t="s">
        <v>15</v>
      </c>
      <c r="D3" t="s">
        <v>23</v>
      </c>
      <c r="E3" t="s">
        <v>24</v>
      </c>
      <c r="F3" t="s">
        <v>18</v>
      </c>
      <c r="G3" t="s">
        <v>18</v>
      </c>
      <c r="H3" t="s">
        <v>25</v>
      </c>
      <c r="I3" t="s">
        <v>20</v>
      </c>
      <c r="J3" t="s">
        <v>21</v>
      </c>
      <c r="K3" t="s">
        <v>20</v>
      </c>
      <c r="L3">
        <f>BDP($H3,"BICS_LEVEL_1_SECTOR_NAME")</f>
        <v/>
      </c>
      <c r="M3">
        <f>BDP($H3,"BICS_LEVEL_3_INDUSTRY_NAME")</f>
        <v/>
      </c>
    </row>
    <row r="4" spans="1:13">
      <c r="A4" t="s">
        <v>26</v>
      </c>
      <c r="B4" t="s">
        <v>14</v>
      </c>
      <c r="C4" t="s">
        <v>27</v>
      </c>
      <c r="D4" t="s">
        <v>28</v>
      </c>
      <c r="E4" t="s">
        <v>29</v>
      </c>
      <c r="F4" t="s">
        <v>18</v>
      </c>
      <c r="G4" t="s">
        <v>18</v>
      </c>
      <c r="H4" t="s">
        <v>30</v>
      </c>
      <c r="I4" t="s">
        <v>31</v>
      </c>
      <c r="J4" t="s">
        <v>32</v>
      </c>
      <c r="K4" t="s">
        <v>31</v>
      </c>
      <c r="L4">
        <f>BDP($H4,"BICS_LEVEL_1_SECTOR_NAME")</f>
        <v/>
      </c>
      <c r="M4">
        <f>BDP($H4,"BICS_LEVEL_3_INDUSTRY_NAME")</f>
        <v/>
      </c>
    </row>
    <row r="5" spans="1:13">
      <c r="A5" t="s">
        <v>33</v>
      </c>
      <c r="B5" t="s">
        <v>14</v>
      </c>
      <c r="C5" t="s">
        <v>34</v>
      </c>
      <c r="D5" t="s">
        <v>35</v>
      </c>
      <c r="E5" t="s">
        <v>36</v>
      </c>
      <c r="F5" t="s">
        <v>18</v>
      </c>
      <c r="G5" t="s">
        <v>18</v>
      </c>
      <c r="H5" t="s">
        <v>37</v>
      </c>
      <c r="I5" t="s">
        <v>38</v>
      </c>
      <c r="J5" t="s">
        <v>39</v>
      </c>
      <c r="K5" t="s">
        <v>38</v>
      </c>
      <c r="L5">
        <f>BDP($H5,"BICS_LEVEL_1_SECTOR_NAME")</f>
        <v/>
      </c>
      <c r="M5">
        <f>BDP($H5,"BICS_LEVEL_3_INDUSTRY_NAME")</f>
        <v/>
      </c>
    </row>
    <row r="6" spans="1:13">
      <c r="A6" t="s">
        <v>40</v>
      </c>
      <c r="B6" t="s">
        <v>14</v>
      </c>
      <c r="C6" t="s">
        <v>41</v>
      </c>
      <c r="D6" t="s">
        <v>42</v>
      </c>
      <c r="E6" t="s">
        <v>43</v>
      </c>
      <c r="F6" t="s">
        <v>18</v>
      </c>
      <c r="G6" t="s">
        <v>18</v>
      </c>
      <c r="H6" t="s">
        <v>44</v>
      </c>
      <c r="I6" t="s">
        <v>45</v>
      </c>
      <c r="J6" t="s">
        <v>46</v>
      </c>
      <c r="K6" t="s">
        <v>45</v>
      </c>
      <c r="L6">
        <f>BDP($H6,"BICS_LEVEL_1_SECTOR_NAME")</f>
        <v/>
      </c>
      <c r="M6">
        <f>BDP($H6,"BICS_LEVEL_3_INDUSTRY_NAME")</f>
        <v/>
      </c>
    </row>
    <row r="7" spans="1:13">
      <c r="A7" t="s">
        <v>47</v>
      </c>
      <c r="B7" t="s">
        <v>14</v>
      </c>
      <c r="C7" t="s">
        <v>48</v>
      </c>
      <c r="D7" t="s">
        <v>49</v>
      </c>
      <c r="E7" t="s">
        <v>50</v>
      </c>
      <c r="F7" t="s">
        <v>18</v>
      </c>
      <c r="G7" t="s">
        <v>18</v>
      </c>
      <c r="H7" t="s">
        <v>51</v>
      </c>
      <c r="I7" t="s">
        <v>52</v>
      </c>
      <c r="J7" t="s">
        <v>53</v>
      </c>
      <c r="K7" t="s">
        <v>52</v>
      </c>
      <c r="L7">
        <f>BDP($H7,"BICS_LEVEL_1_SECTOR_NAME")</f>
        <v/>
      </c>
      <c r="M7">
        <f>BDP($H7,"BICS_LEVEL_3_INDUSTRY_NAME")</f>
        <v/>
      </c>
    </row>
    <row r="8" spans="1:13">
      <c r="A8" t="s">
        <v>54</v>
      </c>
      <c r="B8" t="s">
        <v>14</v>
      </c>
      <c r="C8" t="s">
        <v>48</v>
      </c>
      <c r="D8" t="s">
        <v>55</v>
      </c>
      <c r="E8" t="s">
        <v>56</v>
      </c>
      <c r="F8" t="s">
        <v>18</v>
      </c>
      <c r="G8" t="s">
        <v>18</v>
      </c>
      <c r="H8" t="s">
        <v>57</v>
      </c>
      <c r="I8" t="s">
        <v>52</v>
      </c>
      <c r="J8" t="s">
        <v>53</v>
      </c>
      <c r="K8" t="s">
        <v>52</v>
      </c>
      <c r="L8">
        <f>BDP($H8,"BICS_LEVEL_1_SECTOR_NAME")</f>
        <v/>
      </c>
      <c r="M8">
        <f>BDP($H8,"BICS_LEVEL_3_INDUSTRY_NAME")</f>
        <v/>
      </c>
    </row>
    <row r="9" spans="1:13">
      <c r="A9" t="s">
        <v>58</v>
      </c>
      <c r="B9" t="s">
        <v>14</v>
      </c>
      <c r="C9" t="s">
        <v>59</v>
      </c>
      <c r="D9" t="s">
        <v>60</v>
      </c>
      <c r="E9" t="s">
        <v>61</v>
      </c>
      <c r="F9" t="s">
        <v>18</v>
      </c>
      <c r="G9" t="s">
        <v>18</v>
      </c>
      <c r="H9" t="s">
        <v>62</v>
      </c>
      <c r="I9" t="s">
        <v>63</v>
      </c>
      <c r="J9" t="s">
        <v>64</v>
      </c>
      <c r="K9" t="s">
        <v>63</v>
      </c>
      <c r="L9">
        <f>BDP($H9,"BICS_LEVEL_1_SECTOR_NAME")</f>
        <v/>
      </c>
      <c r="M9">
        <f>BDP($H9,"BICS_LEVEL_3_INDUSTRY_NAME")</f>
        <v/>
      </c>
    </row>
    <row r="10" spans="1:13">
      <c r="A10" t="s">
        <v>65</v>
      </c>
      <c r="B10" t="s">
        <v>14</v>
      </c>
      <c r="C10" t="s">
        <v>66</v>
      </c>
      <c r="D10" t="s">
        <v>67</v>
      </c>
      <c r="E10" t="s">
        <v>68</v>
      </c>
      <c r="F10" t="s">
        <v>18</v>
      </c>
      <c r="G10" t="s">
        <v>18</v>
      </c>
      <c r="H10" t="s">
        <v>69</v>
      </c>
      <c r="I10" t="s">
        <v>70</v>
      </c>
      <c r="J10" t="s">
        <v>71</v>
      </c>
      <c r="K10" t="s">
        <v>70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72</v>
      </c>
      <c r="B11" t="s">
        <v>14</v>
      </c>
      <c r="C11" t="s">
        <v>73</v>
      </c>
      <c r="D11" t="s">
        <v>74</v>
      </c>
      <c r="E11" t="s">
        <v>75</v>
      </c>
      <c r="F11" t="s">
        <v>18</v>
      </c>
      <c r="G11" t="s">
        <v>18</v>
      </c>
      <c r="H11" t="s">
        <v>76</v>
      </c>
      <c r="I11" t="s">
        <v>77</v>
      </c>
      <c r="J11" t="s">
        <v>78</v>
      </c>
      <c r="K11" t="s">
        <v>77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79</v>
      </c>
      <c r="B12" t="s">
        <v>14</v>
      </c>
      <c r="C12" t="s">
        <v>80</v>
      </c>
      <c r="D12" t="s">
        <v>81</v>
      </c>
      <c r="E12" t="s">
        <v>82</v>
      </c>
      <c r="F12" t="s">
        <v>18</v>
      </c>
      <c r="G12" t="s">
        <v>18</v>
      </c>
      <c r="H12" t="s">
        <v>83</v>
      </c>
      <c r="I12" t="s">
        <v>84</v>
      </c>
      <c r="J12" t="s">
        <v>85</v>
      </c>
      <c r="K12" t="s">
        <v>84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86</v>
      </c>
      <c r="B13" t="s">
        <v>14</v>
      </c>
      <c r="C13" t="s">
        <v>87</v>
      </c>
      <c r="D13" t="s">
        <v>88</v>
      </c>
      <c r="E13" t="s">
        <v>89</v>
      </c>
      <c r="F13" t="s">
        <v>18</v>
      </c>
      <c r="G13" t="s">
        <v>18</v>
      </c>
      <c r="H13" t="s">
        <v>90</v>
      </c>
      <c r="I13" t="s">
        <v>91</v>
      </c>
      <c r="J13" t="s">
        <v>92</v>
      </c>
      <c r="K13" t="s">
        <v>91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93</v>
      </c>
      <c r="B14" t="s">
        <v>14</v>
      </c>
      <c r="C14" t="s">
        <v>94</v>
      </c>
      <c r="D14" t="s">
        <v>95</v>
      </c>
      <c r="E14" t="s">
        <v>96</v>
      </c>
      <c r="F14" t="s">
        <v>18</v>
      </c>
      <c r="G14" t="s">
        <v>18</v>
      </c>
      <c r="H14" t="s">
        <v>97</v>
      </c>
      <c r="I14" t="s">
        <v>98</v>
      </c>
      <c r="J14" t="s">
        <v>99</v>
      </c>
      <c r="K14" t="s">
        <v>98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100</v>
      </c>
      <c r="B15" t="s">
        <v>14</v>
      </c>
      <c r="C15" t="s">
        <v>101</v>
      </c>
      <c r="D15" t="s">
        <v>102</v>
      </c>
      <c r="E15" t="s">
        <v>103</v>
      </c>
      <c r="F15" t="s">
        <v>18</v>
      </c>
      <c r="G15" t="s">
        <v>18</v>
      </c>
      <c r="H15" t="s">
        <v>104</v>
      </c>
      <c r="I15" t="s">
        <v>105</v>
      </c>
      <c r="J15" t="s">
        <v>106</v>
      </c>
      <c r="K15" t="s">
        <v>105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107</v>
      </c>
      <c r="B16" t="s">
        <v>14</v>
      </c>
      <c r="C16" t="s">
        <v>108</v>
      </c>
      <c r="D16" t="s">
        <v>109</v>
      </c>
      <c r="E16" t="s">
        <v>110</v>
      </c>
      <c r="F16" t="s">
        <v>18</v>
      </c>
      <c r="G16" t="s">
        <v>18</v>
      </c>
      <c r="H16" t="s">
        <v>111</v>
      </c>
      <c r="I16" t="s">
        <v>112</v>
      </c>
      <c r="J16" t="s">
        <v>113</v>
      </c>
      <c r="K16" t="s">
        <v>112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114</v>
      </c>
      <c r="B17" t="s">
        <v>14</v>
      </c>
      <c r="C17" t="s">
        <v>115</v>
      </c>
      <c r="D17" t="s">
        <v>116</v>
      </c>
      <c r="E17" t="s">
        <v>117</v>
      </c>
      <c r="F17" t="s">
        <v>18</v>
      </c>
      <c r="G17" t="s">
        <v>18</v>
      </c>
      <c r="H17" t="s">
        <v>118</v>
      </c>
      <c r="I17" t="s">
        <v>119</v>
      </c>
      <c r="J17" t="s">
        <v>120</v>
      </c>
      <c r="K17" t="s">
        <v>119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121</v>
      </c>
      <c r="B18" t="s">
        <v>14</v>
      </c>
      <c r="C18" t="s">
        <v>122</v>
      </c>
      <c r="D18" t="s">
        <v>123</v>
      </c>
      <c r="E18" t="s">
        <v>124</v>
      </c>
      <c r="F18" t="s">
        <v>18</v>
      </c>
      <c r="G18" t="s">
        <v>18</v>
      </c>
      <c r="H18" t="s">
        <v>125</v>
      </c>
      <c r="I18" t="s">
        <v>126</v>
      </c>
      <c r="J18" t="s">
        <v>127</v>
      </c>
      <c r="K18" t="s">
        <v>126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128</v>
      </c>
      <c r="B19" t="s">
        <v>14</v>
      </c>
      <c r="C19" t="s">
        <v>129</v>
      </c>
      <c r="D19" t="s">
        <v>130</v>
      </c>
      <c r="E19" t="s">
        <v>131</v>
      </c>
      <c r="F19" t="s">
        <v>18</v>
      </c>
      <c r="G19" t="s">
        <v>18</v>
      </c>
      <c r="H19" t="s">
        <v>132</v>
      </c>
      <c r="I19" t="s">
        <v>133</v>
      </c>
      <c r="J19" t="s">
        <v>134</v>
      </c>
      <c r="K19" t="s">
        <v>133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135</v>
      </c>
      <c r="B20" t="s">
        <v>14</v>
      </c>
      <c r="C20" t="s">
        <v>136</v>
      </c>
      <c r="D20" t="s">
        <v>137</v>
      </c>
      <c r="E20" t="s">
        <v>138</v>
      </c>
      <c r="F20" t="s">
        <v>18</v>
      </c>
      <c r="G20" t="s">
        <v>18</v>
      </c>
      <c r="H20" t="s">
        <v>139</v>
      </c>
      <c r="I20" t="s">
        <v>140</v>
      </c>
      <c r="J20" t="s">
        <v>141</v>
      </c>
      <c r="K20" t="s">
        <v>140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142</v>
      </c>
      <c r="B21" t="s">
        <v>143</v>
      </c>
      <c r="C21" t="s">
        <v>18</v>
      </c>
      <c r="D21" t="s">
        <v>144</v>
      </c>
      <c r="E21" t="s">
        <v>145</v>
      </c>
      <c r="F21" t="s">
        <v>146</v>
      </c>
      <c r="G21" t="s">
        <v>147</v>
      </c>
      <c r="H21" t="s">
        <v>148</v>
      </c>
      <c r="I21" t="s">
        <v>18</v>
      </c>
      <c r="J21" t="s">
        <v>149</v>
      </c>
      <c r="K21" t="s">
        <v>140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150</v>
      </c>
      <c r="B22" t="s">
        <v>143</v>
      </c>
      <c r="C22" t="s">
        <v>18</v>
      </c>
      <c r="D22" t="s">
        <v>151</v>
      </c>
      <c r="E22" t="s">
        <v>152</v>
      </c>
      <c r="F22" t="s">
        <v>146</v>
      </c>
      <c r="G22" t="s">
        <v>153</v>
      </c>
      <c r="H22" t="s">
        <v>154</v>
      </c>
      <c r="I22" t="s">
        <v>18</v>
      </c>
      <c r="J22" t="s">
        <v>149</v>
      </c>
      <c r="K22" t="s">
        <v>140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155</v>
      </c>
      <c r="B23" t="s">
        <v>143</v>
      </c>
      <c r="C23" t="s">
        <v>18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  <c r="I23" t="s">
        <v>18</v>
      </c>
      <c r="J23" t="s">
        <v>149</v>
      </c>
      <c r="K23" t="s">
        <v>140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161</v>
      </c>
      <c r="B24" t="s">
        <v>143</v>
      </c>
      <c r="C24" t="s">
        <v>18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  <c r="I24" t="s">
        <v>18</v>
      </c>
      <c r="J24" t="s">
        <v>149</v>
      </c>
      <c r="K24" t="s">
        <v>140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167</v>
      </c>
      <c r="B25" t="s">
        <v>143</v>
      </c>
      <c r="C25" t="s">
        <v>18</v>
      </c>
      <c r="D25" t="s">
        <v>168</v>
      </c>
      <c r="E25" t="s">
        <v>169</v>
      </c>
      <c r="F25" t="s">
        <v>146</v>
      </c>
      <c r="G25" t="s">
        <v>170</v>
      </c>
      <c r="H25" t="s">
        <v>171</v>
      </c>
      <c r="I25" t="s">
        <v>18</v>
      </c>
      <c r="J25" t="s">
        <v>149</v>
      </c>
      <c r="K25" t="s">
        <v>140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172</v>
      </c>
      <c r="B26" t="s">
        <v>143</v>
      </c>
      <c r="C26" t="s">
        <v>18</v>
      </c>
      <c r="D26" t="s">
        <v>173</v>
      </c>
      <c r="E26" t="s">
        <v>174</v>
      </c>
      <c r="F26" t="s">
        <v>158</v>
      </c>
      <c r="G26" t="s">
        <v>175</v>
      </c>
      <c r="H26" t="s">
        <v>176</v>
      </c>
      <c r="I26" t="s">
        <v>18</v>
      </c>
      <c r="J26" t="s">
        <v>149</v>
      </c>
      <c r="K26" t="s">
        <v>140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177</v>
      </c>
      <c r="B27" t="s">
        <v>143</v>
      </c>
      <c r="C27" t="s">
        <v>18</v>
      </c>
      <c r="D27" t="s">
        <v>178</v>
      </c>
      <c r="E27" t="s">
        <v>179</v>
      </c>
      <c r="F27" t="s">
        <v>164</v>
      </c>
      <c r="G27" t="s">
        <v>180</v>
      </c>
      <c r="H27" t="s">
        <v>181</v>
      </c>
      <c r="I27" t="s">
        <v>18</v>
      </c>
      <c r="J27" t="s">
        <v>149</v>
      </c>
      <c r="K27" t="s">
        <v>140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182</v>
      </c>
      <c r="B28" t="s">
        <v>143</v>
      </c>
      <c r="C28" t="s">
        <v>18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  <c r="I28" t="s">
        <v>18</v>
      </c>
      <c r="J28" t="s">
        <v>149</v>
      </c>
      <c r="K28" t="s">
        <v>140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188</v>
      </c>
      <c r="B29" t="s">
        <v>143</v>
      </c>
      <c r="C29" t="s">
        <v>18</v>
      </c>
      <c r="D29" t="s">
        <v>189</v>
      </c>
      <c r="E29" t="s">
        <v>190</v>
      </c>
      <c r="F29" t="s">
        <v>146</v>
      </c>
      <c r="G29" t="s">
        <v>191</v>
      </c>
      <c r="H29" t="s">
        <v>192</v>
      </c>
      <c r="I29" t="s">
        <v>18</v>
      </c>
      <c r="J29" t="s">
        <v>149</v>
      </c>
      <c r="K29" t="s">
        <v>140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193</v>
      </c>
      <c r="B30" t="s">
        <v>143</v>
      </c>
      <c r="C30" t="s">
        <v>18</v>
      </c>
      <c r="D30" t="s">
        <v>194</v>
      </c>
      <c r="E30" t="s">
        <v>195</v>
      </c>
      <c r="F30" t="s">
        <v>185</v>
      </c>
      <c r="G30" t="s">
        <v>186</v>
      </c>
      <c r="H30" t="s">
        <v>196</v>
      </c>
      <c r="I30" t="s">
        <v>18</v>
      </c>
      <c r="J30" t="s">
        <v>149</v>
      </c>
      <c r="K30" t="s">
        <v>140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197</v>
      </c>
      <c r="B31" t="s">
        <v>143</v>
      </c>
      <c r="C31" t="s">
        <v>18</v>
      </c>
      <c r="D31" t="s">
        <v>198</v>
      </c>
      <c r="E31" t="s">
        <v>199</v>
      </c>
      <c r="F31" t="s">
        <v>185</v>
      </c>
      <c r="G31" t="s">
        <v>186</v>
      </c>
      <c r="H31" t="s">
        <v>200</v>
      </c>
      <c r="I31" t="s">
        <v>18</v>
      </c>
      <c r="J31" t="s">
        <v>149</v>
      </c>
      <c r="K31" t="s">
        <v>140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201</v>
      </c>
      <c r="B32" t="s">
        <v>143</v>
      </c>
      <c r="C32" t="s">
        <v>18</v>
      </c>
      <c r="D32" t="s">
        <v>202</v>
      </c>
      <c r="E32" t="s">
        <v>203</v>
      </c>
      <c r="F32" t="s">
        <v>158</v>
      </c>
      <c r="G32" t="s">
        <v>204</v>
      </c>
      <c r="H32" t="s">
        <v>205</v>
      </c>
      <c r="I32" t="s">
        <v>18</v>
      </c>
      <c r="J32" t="s">
        <v>149</v>
      </c>
      <c r="K32" t="s">
        <v>140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206</v>
      </c>
      <c r="B33" t="s">
        <v>143</v>
      </c>
      <c r="C33" t="s">
        <v>18</v>
      </c>
      <c r="D33" t="s">
        <v>207</v>
      </c>
      <c r="E33" t="s">
        <v>208</v>
      </c>
      <c r="F33" t="s">
        <v>158</v>
      </c>
      <c r="G33" t="s">
        <v>209</v>
      </c>
      <c r="H33" t="s">
        <v>210</v>
      </c>
      <c r="I33" t="s">
        <v>18</v>
      </c>
      <c r="J33" t="s">
        <v>149</v>
      </c>
      <c r="K33" t="s">
        <v>140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211</v>
      </c>
      <c r="B34" t="s">
        <v>143</v>
      </c>
      <c r="C34" t="s">
        <v>18</v>
      </c>
      <c r="D34" t="s">
        <v>212</v>
      </c>
      <c r="E34" t="s">
        <v>213</v>
      </c>
      <c r="F34" t="s">
        <v>158</v>
      </c>
      <c r="G34" t="s">
        <v>209</v>
      </c>
      <c r="H34" t="s">
        <v>214</v>
      </c>
      <c r="I34" t="s">
        <v>18</v>
      </c>
      <c r="J34" t="s">
        <v>149</v>
      </c>
      <c r="K34" t="s">
        <v>140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215</v>
      </c>
      <c r="B35" t="s">
        <v>143</v>
      </c>
      <c r="C35" t="s">
        <v>18</v>
      </c>
      <c r="D35" t="s">
        <v>216</v>
      </c>
      <c r="E35" t="s">
        <v>217</v>
      </c>
      <c r="F35" t="s">
        <v>185</v>
      </c>
      <c r="G35" t="s">
        <v>218</v>
      </c>
      <c r="H35" t="s">
        <v>219</v>
      </c>
      <c r="I35" t="s">
        <v>18</v>
      </c>
      <c r="J35" t="s">
        <v>149</v>
      </c>
      <c r="K35" t="s">
        <v>140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220</v>
      </c>
      <c r="B36" t="s">
        <v>143</v>
      </c>
      <c r="C36" t="s">
        <v>18</v>
      </c>
      <c r="D36" t="s">
        <v>221</v>
      </c>
      <c r="E36" t="s">
        <v>222</v>
      </c>
      <c r="F36" t="s">
        <v>185</v>
      </c>
      <c r="G36" t="s">
        <v>223</v>
      </c>
      <c r="H36" t="s">
        <v>224</v>
      </c>
      <c r="I36" t="s">
        <v>18</v>
      </c>
      <c r="J36" t="s">
        <v>149</v>
      </c>
      <c r="K36" t="s">
        <v>140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225</v>
      </c>
      <c r="B37" t="s">
        <v>143</v>
      </c>
      <c r="C37" t="s">
        <v>18</v>
      </c>
      <c r="D37" t="s">
        <v>226</v>
      </c>
      <c r="E37" t="s">
        <v>227</v>
      </c>
      <c r="F37" t="s">
        <v>185</v>
      </c>
      <c r="G37" t="s">
        <v>186</v>
      </c>
      <c r="H37" t="s">
        <v>228</v>
      </c>
      <c r="I37" t="s">
        <v>18</v>
      </c>
      <c r="J37" t="s">
        <v>149</v>
      </c>
      <c r="K37" t="s">
        <v>140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229</v>
      </c>
      <c r="B38" t="s">
        <v>143</v>
      </c>
      <c r="C38" t="s">
        <v>18</v>
      </c>
      <c r="D38" t="s">
        <v>230</v>
      </c>
      <c r="E38" t="s">
        <v>231</v>
      </c>
      <c r="F38" t="s">
        <v>185</v>
      </c>
      <c r="G38" t="s">
        <v>186</v>
      </c>
      <c r="H38" t="s">
        <v>232</v>
      </c>
      <c r="I38" t="s">
        <v>18</v>
      </c>
      <c r="J38" t="s">
        <v>149</v>
      </c>
      <c r="K38" t="s">
        <v>140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233</v>
      </c>
      <c r="B39" t="s">
        <v>143</v>
      </c>
      <c r="C39" t="s">
        <v>18</v>
      </c>
      <c r="D39" t="s">
        <v>234</v>
      </c>
      <c r="E39" t="s">
        <v>235</v>
      </c>
      <c r="F39" t="s">
        <v>146</v>
      </c>
      <c r="G39" t="s">
        <v>236</v>
      </c>
      <c r="H39" t="s">
        <v>237</v>
      </c>
      <c r="I39" t="s">
        <v>18</v>
      </c>
      <c r="J39" t="s">
        <v>149</v>
      </c>
      <c r="K39" t="s">
        <v>140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238</v>
      </c>
      <c r="B40" t="s">
        <v>143</v>
      </c>
      <c r="C40" t="s">
        <v>18</v>
      </c>
      <c r="D40" t="s">
        <v>239</v>
      </c>
      <c r="E40" t="s">
        <v>240</v>
      </c>
      <c r="F40" t="s">
        <v>185</v>
      </c>
      <c r="G40" t="s">
        <v>186</v>
      </c>
      <c r="H40" t="s">
        <v>241</v>
      </c>
      <c r="I40" t="s">
        <v>18</v>
      </c>
      <c r="J40" t="s">
        <v>149</v>
      </c>
      <c r="K40" t="s">
        <v>140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242</v>
      </c>
      <c r="B41" t="s">
        <v>143</v>
      </c>
      <c r="C41" t="s">
        <v>18</v>
      </c>
      <c r="D41" t="s">
        <v>243</v>
      </c>
      <c r="E41" t="s">
        <v>244</v>
      </c>
      <c r="F41" t="s">
        <v>158</v>
      </c>
      <c r="G41" t="s">
        <v>245</v>
      </c>
      <c r="H41" t="s">
        <v>246</v>
      </c>
      <c r="I41" t="s">
        <v>18</v>
      </c>
      <c r="J41" t="s">
        <v>149</v>
      </c>
      <c r="K41" t="s">
        <v>140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247</v>
      </c>
      <c r="B42" t="s">
        <v>143</v>
      </c>
      <c r="C42" t="s">
        <v>18</v>
      </c>
      <c r="D42" t="s">
        <v>248</v>
      </c>
      <c r="E42" t="s">
        <v>249</v>
      </c>
      <c r="F42" t="s">
        <v>158</v>
      </c>
      <c r="G42" t="s">
        <v>250</v>
      </c>
      <c r="H42" t="s">
        <v>251</v>
      </c>
      <c r="I42" t="s">
        <v>18</v>
      </c>
      <c r="J42" t="s">
        <v>149</v>
      </c>
      <c r="K42" t="s">
        <v>140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252</v>
      </c>
      <c r="B43" t="s">
        <v>143</v>
      </c>
      <c r="C43" t="s">
        <v>18</v>
      </c>
      <c r="D43" t="s">
        <v>253</v>
      </c>
      <c r="E43" t="s">
        <v>254</v>
      </c>
      <c r="F43" t="s">
        <v>255</v>
      </c>
      <c r="G43" t="s">
        <v>256</v>
      </c>
      <c r="H43" t="s">
        <v>257</v>
      </c>
      <c r="I43" t="s">
        <v>18</v>
      </c>
      <c r="J43" t="s">
        <v>149</v>
      </c>
      <c r="K43" t="s">
        <v>140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258</v>
      </c>
      <c r="B44" t="s">
        <v>143</v>
      </c>
      <c r="C44" t="s">
        <v>18</v>
      </c>
      <c r="D44" t="s">
        <v>259</v>
      </c>
      <c r="E44" t="s">
        <v>260</v>
      </c>
      <c r="F44" t="s">
        <v>158</v>
      </c>
      <c r="G44" t="s">
        <v>261</v>
      </c>
      <c r="H44" t="s">
        <v>262</v>
      </c>
      <c r="I44" t="s">
        <v>18</v>
      </c>
      <c r="J44" t="s">
        <v>149</v>
      </c>
      <c r="K44" t="s">
        <v>140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263</v>
      </c>
      <c r="B45" t="s">
        <v>143</v>
      </c>
      <c r="C45" t="s">
        <v>18</v>
      </c>
      <c r="D45" t="s">
        <v>264</v>
      </c>
      <c r="E45" t="s">
        <v>265</v>
      </c>
      <c r="F45" t="s">
        <v>185</v>
      </c>
      <c r="G45" t="s">
        <v>186</v>
      </c>
      <c r="H45" t="s">
        <v>266</v>
      </c>
      <c r="I45" t="s">
        <v>18</v>
      </c>
      <c r="J45" t="s">
        <v>149</v>
      </c>
      <c r="K45" t="s">
        <v>140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267</v>
      </c>
      <c r="B46" t="s">
        <v>143</v>
      </c>
      <c r="C46" t="s">
        <v>18</v>
      </c>
      <c r="D46" t="s">
        <v>268</v>
      </c>
      <c r="E46" t="s">
        <v>269</v>
      </c>
      <c r="F46" t="s">
        <v>158</v>
      </c>
      <c r="G46" t="s">
        <v>270</v>
      </c>
      <c r="H46" t="s">
        <v>271</v>
      </c>
      <c r="I46" t="s">
        <v>18</v>
      </c>
      <c r="J46" t="s">
        <v>149</v>
      </c>
      <c r="K46" t="s">
        <v>140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272</v>
      </c>
      <c r="B47" t="s">
        <v>143</v>
      </c>
      <c r="C47" t="s">
        <v>18</v>
      </c>
      <c r="D47" t="s">
        <v>273</v>
      </c>
      <c r="E47" t="s">
        <v>274</v>
      </c>
      <c r="F47" t="s">
        <v>185</v>
      </c>
      <c r="G47" t="s">
        <v>275</v>
      </c>
      <c r="H47" t="s">
        <v>276</v>
      </c>
      <c r="I47" t="s">
        <v>18</v>
      </c>
      <c r="J47" t="s">
        <v>149</v>
      </c>
      <c r="K47" t="s">
        <v>140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277</v>
      </c>
      <c r="B48" t="s">
        <v>143</v>
      </c>
      <c r="C48" t="s">
        <v>18</v>
      </c>
      <c r="D48" t="s">
        <v>278</v>
      </c>
      <c r="E48" t="s">
        <v>279</v>
      </c>
      <c r="F48" t="s">
        <v>185</v>
      </c>
      <c r="G48" t="s">
        <v>275</v>
      </c>
      <c r="H48" t="s">
        <v>280</v>
      </c>
      <c r="I48" t="s">
        <v>18</v>
      </c>
      <c r="J48" t="s">
        <v>149</v>
      </c>
      <c r="K48" t="s">
        <v>140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281</v>
      </c>
      <c r="B49" t="s">
        <v>143</v>
      </c>
      <c r="C49" t="s">
        <v>18</v>
      </c>
      <c r="D49" t="s">
        <v>282</v>
      </c>
      <c r="E49" t="s">
        <v>283</v>
      </c>
      <c r="F49" t="s">
        <v>146</v>
      </c>
      <c r="G49" t="s">
        <v>284</v>
      </c>
      <c r="H49" t="s">
        <v>285</v>
      </c>
      <c r="I49" t="s">
        <v>18</v>
      </c>
      <c r="J49" t="s">
        <v>149</v>
      </c>
      <c r="K49" t="s">
        <v>140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286</v>
      </c>
      <c r="B50" t="s">
        <v>143</v>
      </c>
      <c r="C50" t="s">
        <v>18</v>
      </c>
      <c r="D50" t="s">
        <v>287</v>
      </c>
      <c r="E50" t="s">
        <v>288</v>
      </c>
      <c r="F50" t="s">
        <v>185</v>
      </c>
      <c r="G50" t="s">
        <v>289</v>
      </c>
      <c r="H50" t="s">
        <v>290</v>
      </c>
      <c r="I50" t="s">
        <v>18</v>
      </c>
      <c r="J50" t="s">
        <v>149</v>
      </c>
      <c r="K50" t="s">
        <v>140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291</v>
      </c>
      <c r="B51" t="s">
        <v>143</v>
      </c>
      <c r="C51" t="s">
        <v>18</v>
      </c>
      <c r="D51" t="s">
        <v>292</v>
      </c>
      <c r="E51" t="s">
        <v>293</v>
      </c>
      <c r="F51" t="s">
        <v>294</v>
      </c>
      <c r="G51" t="s">
        <v>295</v>
      </c>
      <c r="H51" t="s">
        <v>296</v>
      </c>
      <c r="I51" t="s">
        <v>18</v>
      </c>
      <c r="J51" t="s">
        <v>149</v>
      </c>
      <c r="K51" t="s">
        <v>140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297</v>
      </c>
      <c r="B52" t="s">
        <v>143</v>
      </c>
      <c r="C52" t="s">
        <v>18</v>
      </c>
      <c r="D52" t="s">
        <v>298</v>
      </c>
      <c r="E52" t="s">
        <v>299</v>
      </c>
      <c r="F52" t="s">
        <v>164</v>
      </c>
      <c r="G52" t="s">
        <v>300</v>
      </c>
      <c r="H52" t="s">
        <v>301</v>
      </c>
      <c r="I52" t="s">
        <v>18</v>
      </c>
      <c r="J52" t="s">
        <v>149</v>
      </c>
      <c r="K52" t="s">
        <v>140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302</v>
      </c>
      <c r="B53" t="s">
        <v>143</v>
      </c>
      <c r="C53" t="s">
        <v>18</v>
      </c>
      <c r="D53" t="s">
        <v>303</v>
      </c>
      <c r="E53" t="s">
        <v>304</v>
      </c>
      <c r="F53" t="s">
        <v>164</v>
      </c>
      <c r="G53" t="s">
        <v>170</v>
      </c>
      <c r="H53" t="s">
        <v>305</v>
      </c>
      <c r="I53" t="s">
        <v>18</v>
      </c>
      <c r="J53" t="s">
        <v>149</v>
      </c>
      <c r="K53" t="s">
        <v>140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306</v>
      </c>
      <c r="B54" t="s">
        <v>143</v>
      </c>
      <c r="C54" t="s">
        <v>18</v>
      </c>
      <c r="D54" t="s">
        <v>307</v>
      </c>
      <c r="E54" t="s">
        <v>308</v>
      </c>
      <c r="F54" t="s">
        <v>158</v>
      </c>
      <c r="G54" t="s">
        <v>270</v>
      </c>
      <c r="H54" t="s">
        <v>309</v>
      </c>
      <c r="I54" t="s">
        <v>18</v>
      </c>
      <c r="J54" t="s">
        <v>149</v>
      </c>
      <c r="K54" t="s">
        <v>140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310</v>
      </c>
      <c r="B55" t="s">
        <v>143</v>
      </c>
      <c r="C55" t="s">
        <v>18</v>
      </c>
      <c r="D55" t="s">
        <v>311</v>
      </c>
      <c r="E55" t="s">
        <v>312</v>
      </c>
      <c r="F55" t="s">
        <v>164</v>
      </c>
      <c r="G55" t="s">
        <v>170</v>
      </c>
      <c r="H55" t="s">
        <v>313</v>
      </c>
      <c r="I55" t="s">
        <v>18</v>
      </c>
      <c r="J55" t="s">
        <v>149</v>
      </c>
      <c r="K55" t="s">
        <v>140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314</v>
      </c>
      <c r="B56" t="s">
        <v>143</v>
      </c>
      <c r="C56" t="s">
        <v>18</v>
      </c>
      <c r="D56" t="s">
        <v>315</v>
      </c>
      <c r="E56" t="s">
        <v>316</v>
      </c>
      <c r="F56" t="s">
        <v>146</v>
      </c>
      <c r="G56" t="s">
        <v>317</v>
      </c>
      <c r="H56" t="s">
        <v>318</v>
      </c>
      <c r="I56" t="s">
        <v>18</v>
      </c>
      <c r="J56" t="s">
        <v>149</v>
      </c>
      <c r="K56" t="s">
        <v>140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319</v>
      </c>
      <c r="B57" t="s">
        <v>143</v>
      </c>
      <c r="C57" t="s">
        <v>18</v>
      </c>
      <c r="D57" t="s">
        <v>320</v>
      </c>
      <c r="E57" t="s">
        <v>321</v>
      </c>
      <c r="F57" t="s">
        <v>185</v>
      </c>
      <c r="G57" t="s">
        <v>275</v>
      </c>
      <c r="H57" t="s">
        <v>322</v>
      </c>
      <c r="I57" t="s">
        <v>18</v>
      </c>
      <c r="J57" t="s">
        <v>149</v>
      </c>
      <c r="K57" t="s">
        <v>140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323</v>
      </c>
      <c r="B58" t="s">
        <v>143</v>
      </c>
      <c r="C58" t="s">
        <v>18</v>
      </c>
      <c r="D58" t="s">
        <v>324</v>
      </c>
      <c r="E58" t="s">
        <v>325</v>
      </c>
      <c r="F58" t="s">
        <v>185</v>
      </c>
      <c r="G58" t="s">
        <v>186</v>
      </c>
      <c r="H58" t="s">
        <v>326</v>
      </c>
      <c r="I58" t="s">
        <v>18</v>
      </c>
      <c r="J58" t="s">
        <v>149</v>
      </c>
      <c r="K58" t="s">
        <v>140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327</v>
      </c>
      <c r="B59" t="s">
        <v>143</v>
      </c>
      <c r="C59" t="s">
        <v>18</v>
      </c>
      <c r="D59" t="s">
        <v>328</v>
      </c>
      <c r="E59" t="s">
        <v>329</v>
      </c>
      <c r="F59" t="s">
        <v>185</v>
      </c>
      <c r="G59" t="s">
        <v>186</v>
      </c>
      <c r="H59" t="s">
        <v>330</v>
      </c>
      <c r="I59" t="s">
        <v>18</v>
      </c>
      <c r="J59" t="s">
        <v>149</v>
      </c>
      <c r="K59" t="s">
        <v>140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331</v>
      </c>
      <c r="B60" t="s">
        <v>143</v>
      </c>
      <c r="C60" t="s">
        <v>18</v>
      </c>
      <c r="D60" t="s">
        <v>332</v>
      </c>
      <c r="E60" t="s">
        <v>333</v>
      </c>
      <c r="F60" t="s">
        <v>185</v>
      </c>
      <c r="G60" t="s">
        <v>186</v>
      </c>
      <c r="H60" t="s">
        <v>334</v>
      </c>
      <c r="I60" t="s">
        <v>18</v>
      </c>
      <c r="J60" t="s">
        <v>149</v>
      </c>
      <c r="K60" t="s">
        <v>140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335</v>
      </c>
      <c r="B61" t="s">
        <v>143</v>
      </c>
      <c r="C61" t="s">
        <v>18</v>
      </c>
      <c r="D61" t="s">
        <v>336</v>
      </c>
      <c r="E61" t="s">
        <v>337</v>
      </c>
      <c r="F61" t="s">
        <v>158</v>
      </c>
      <c r="G61" t="s">
        <v>170</v>
      </c>
      <c r="H61" t="s">
        <v>338</v>
      </c>
      <c r="I61" t="s">
        <v>18</v>
      </c>
      <c r="J61" t="s">
        <v>149</v>
      </c>
      <c r="K61" t="s">
        <v>140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339</v>
      </c>
      <c r="B62" t="s">
        <v>143</v>
      </c>
      <c r="C62" t="s">
        <v>18</v>
      </c>
      <c r="D62" t="s">
        <v>340</v>
      </c>
      <c r="E62" t="s">
        <v>341</v>
      </c>
      <c r="F62" t="s">
        <v>158</v>
      </c>
      <c r="G62" t="s">
        <v>342</v>
      </c>
      <c r="H62" t="s">
        <v>343</v>
      </c>
      <c r="I62" t="s">
        <v>18</v>
      </c>
      <c r="J62" t="s">
        <v>149</v>
      </c>
      <c r="K62" t="s">
        <v>140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344</v>
      </c>
      <c r="B63" t="s">
        <v>143</v>
      </c>
      <c r="C63" t="s">
        <v>18</v>
      </c>
      <c r="D63" t="s">
        <v>345</v>
      </c>
      <c r="E63" t="s">
        <v>346</v>
      </c>
      <c r="F63" t="s">
        <v>185</v>
      </c>
      <c r="G63" t="s">
        <v>186</v>
      </c>
      <c r="H63" t="s">
        <v>347</v>
      </c>
      <c r="I63" t="s">
        <v>18</v>
      </c>
      <c r="J63" t="s">
        <v>149</v>
      </c>
      <c r="K63" t="s">
        <v>140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348</v>
      </c>
      <c r="B64" t="s">
        <v>143</v>
      </c>
      <c r="C64" t="s">
        <v>18</v>
      </c>
      <c r="D64" t="s">
        <v>349</v>
      </c>
      <c r="E64" t="s">
        <v>350</v>
      </c>
      <c r="F64" t="s">
        <v>351</v>
      </c>
      <c r="G64" t="s">
        <v>352</v>
      </c>
      <c r="H64" t="s">
        <v>353</v>
      </c>
      <c r="I64" t="s">
        <v>18</v>
      </c>
      <c r="J64" t="s">
        <v>149</v>
      </c>
      <c r="K64" t="s">
        <v>140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354</v>
      </c>
      <c r="B65" t="s">
        <v>143</v>
      </c>
      <c r="C65" t="s">
        <v>18</v>
      </c>
      <c r="D65" t="s">
        <v>355</v>
      </c>
      <c r="E65" t="s">
        <v>356</v>
      </c>
      <c r="F65" t="s">
        <v>164</v>
      </c>
      <c r="G65" t="s">
        <v>300</v>
      </c>
      <c r="H65" t="s">
        <v>357</v>
      </c>
      <c r="I65" t="s">
        <v>18</v>
      </c>
      <c r="J65" t="s">
        <v>149</v>
      </c>
      <c r="K65" t="s">
        <v>140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358</v>
      </c>
      <c r="B66" t="s">
        <v>143</v>
      </c>
      <c r="C66" t="s">
        <v>18</v>
      </c>
      <c r="D66" t="s">
        <v>359</v>
      </c>
      <c r="E66" t="s">
        <v>360</v>
      </c>
      <c r="F66" t="s">
        <v>351</v>
      </c>
      <c r="G66" t="s">
        <v>361</v>
      </c>
      <c r="H66" t="s">
        <v>362</v>
      </c>
      <c r="I66" t="s">
        <v>18</v>
      </c>
      <c r="J66" t="s">
        <v>149</v>
      </c>
      <c r="K66" t="s">
        <v>140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363</v>
      </c>
      <c r="B67" t="s">
        <v>143</v>
      </c>
      <c r="C67" t="s">
        <v>18</v>
      </c>
      <c r="D67" t="s">
        <v>364</v>
      </c>
      <c r="E67" t="s">
        <v>365</v>
      </c>
      <c r="F67" t="s">
        <v>185</v>
      </c>
      <c r="G67" t="s">
        <v>366</v>
      </c>
      <c r="H67" t="s">
        <v>367</v>
      </c>
      <c r="I67" t="s">
        <v>18</v>
      </c>
      <c r="J67" t="s">
        <v>149</v>
      </c>
      <c r="K67" t="s">
        <v>140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368</v>
      </c>
      <c r="B68" t="s">
        <v>143</v>
      </c>
      <c r="C68" t="s">
        <v>18</v>
      </c>
      <c r="D68" t="s">
        <v>369</v>
      </c>
      <c r="E68" t="s">
        <v>370</v>
      </c>
      <c r="F68" t="s">
        <v>164</v>
      </c>
      <c r="G68" t="s">
        <v>165</v>
      </c>
      <c r="H68" t="s">
        <v>371</v>
      </c>
      <c r="I68" t="s">
        <v>18</v>
      </c>
      <c r="J68" t="s">
        <v>149</v>
      </c>
      <c r="K68" t="s">
        <v>140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372</v>
      </c>
      <c r="B69" t="s">
        <v>143</v>
      </c>
      <c r="C69" t="s">
        <v>18</v>
      </c>
      <c r="D69" t="s">
        <v>373</v>
      </c>
      <c r="E69" t="s">
        <v>374</v>
      </c>
      <c r="F69" t="s">
        <v>146</v>
      </c>
      <c r="G69" t="s">
        <v>375</v>
      </c>
      <c r="H69" t="s">
        <v>376</v>
      </c>
      <c r="I69" t="s">
        <v>18</v>
      </c>
      <c r="J69" t="s">
        <v>149</v>
      </c>
      <c r="K69" t="s">
        <v>140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377</v>
      </c>
      <c r="B70" t="s">
        <v>143</v>
      </c>
      <c r="C70" t="s">
        <v>18</v>
      </c>
      <c r="D70" t="s">
        <v>378</v>
      </c>
      <c r="E70" t="s">
        <v>379</v>
      </c>
      <c r="F70" t="s">
        <v>185</v>
      </c>
      <c r="G70" t="s">
        <v>186</v>
      </c>
      <c r="H70" t="s">
        <v>380</v>
      </c>
      <c r="I70" t="s">
        <v>18</v>
      </c>
      <c r="J70" t="s">
        <v>149</v>
      </c>
      <c r="K70" t="s">
        <v>140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381</v>
      </c>
      <c r="B71" t="s">
        <v>143</v>
      </c>
      <c r="C71" t="s">
        <v>18</v>
      </c>
      <c r="D71" t="s">
        <v>382</v>
      </c>
      <c r="E71" t="s">
        <v>383</v>
      </c>
      <c r="F71" t="s">
        <v>294</v>
      </c>
      <c r="G71" t="s">
        <v>384</v>
      </c>
      <c r="H71" t="s">
        <v>385</v>
      </c>
      <c r="I71" t="s">
        <v>18</v>
      </c>
      <c r="J71" t="s">
        <v>149</v>
      </c>
      <c r="K71" t="s">
        <v>140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386</v>
      </c>
      <c r="B72" t="s">
        <v>143</v>
      </c>
      <c r="C72" t="s">
        <v>18</v>
      </c>
      <c r="D72" t="s">
        <v>387</v>
      </c>
      <c r="E72" t="s">
        <v>388</v>
      </c>
      <c r="F72" t="s">
        <v>185</v>
      </c>
      <c r="G72" t="s">
        <v>218</v>
      </c>
      <c r="H72" t="s">
        <v>389</v>
      </c>
      <c r="I72" t="s">
        <v>18</v>
      </c>
      <c r="J72" t="s">
        <v>149</v>
      </c>
      <c r="K72" t="s">
        <v>140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390</v>
      </c>
      <c r="B73" t="s">
        <v>143</v>
      </c>
      <c r="C73" t="s">
        <v>18</v>
      </c>
      <c r="D73" t="s">
        <v>391</v>
      </c>
      <c r="E73" t="s">
        <v>392</v>
      </c>
      <c r="F73" t="s">
        <v>158</v>
      </c>
      <c r="G73" t="s">
        <v>393</v>
      </c>
      <c r="H73" t="s">
        <v>394</v>
      </c>
      <c r="I73" t="s">
        <v>18</v>
      </c>
      <c r="J73" t="s">
        <v>149</v>
      </c>
      <c r="K73" t="s">
        <v>140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395</v>
      </c>
      <c r="B74" t="s">
        <v>143</v>
      </c>
      <c r="C74" t="s">
        <v>18</v>
      </c>
      <c r="D74" t="s">
        <v>396</v>
      </c>
      <c r="E74" t="s">
        <v>397</v>
      </c>
      <c r="F74" t="s">
        <v>164</v>
      </c>
      <c r="G74" t="s">
        <v>398</v>
      </c>
      <c r="H74" t="s">
        <v>399</v>
      </c>
      <c r="I74" t="s">
        <v>18</v>
      </c>
      <c r="J74" t="s">
        <v>149</v>
      </c>
      <c r="K74" t="s">
        <v>140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400</v>
      </c>
      <c r="B75" t="s">
        <v>143</v>
      </c>
      <c r="C75" t="s">
        <v>18</v>
      </c>
      <c r="D75" t="s">
        <v>401</v>
      </c>
      <c r="E75" t="s">
        <v>402</v>
      </c>
      <c r="F75" t="s">
        <v>185</v>
      </c>
      <c r="G75" t="s">
        <v>218</v>
      </c>
      <c r="H75" t="s">
        <v>403</v>
      </c>
      <c r="I75" t="s">
        <v>18</v>
      </c>
      <c r="J75" t="s">
        <v>149</v>
      </c>
      <c r="K75" t="s">
        <v>140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404</v>
      </c>
      <c r="B76" t="s">
        <v>143</v>
      </c>
      <c r="C76" t="s">
        <v>18</v>
      </c>
      <c r="D76" t="s">
        <v>405</v>
      </c>
      <c r="E76" t="s">
        <v>406</v>
      </c>
      <c r="F76" t="s">
        <v>164</v>
      </c>
      <c r="G76" t="s">
        <v>300</v>
      </c>
      <c r="H76" t="s">
        <v>407</v>
      </c>
      <c r="I76" t="s">
        <v>18</v>
      </c>
      <c r="J76" t="s">
        <v>149</v>
      </c>
      <c r="K76" t="s">
        <v>140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408</v>
      </c>
      <c r="B77" t="s">
        <v>143</v>
      </c>
      <c r="C77" t="s">
        <v>18</v>
      </c>
      <c r="D77" t="s">
        <v>409</v>
      </c>
      <c r="E77" t="s">
        <v>410</v>
      </c>
      <c r="F77" t="s">
        <v>158</v>
      </c>
      <c r="G77" t="s">
        <v>209</v>
      </c>
      <c r="H77" t="s">
        <v>411</v>
      </c>
      <c r="I77" t="s">
        <v>18</v>
      </c>
      <c r="J77" t="s">
        <v>149</v>
      </c>
      <c r="K77" t="s">
        <v>140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412</v>
      </c>
      <c r="B78" t="s">
        <v>143</v>
      </c>
      <c r="C78" t="s">
        <v>18</v>
      </c>
      <c r="D78" t="s">
        <v>413</v>
      </c>
      <c r="E78" t="s">
        <v>414</v>
      </c>
      <c r="F78" t="s">
        <v>415</v>
      </c>
      <c r="G78" t="s">
        <v>352</v>
      </c>
      <c r="H78" t="s">
        <v>416</v>
      </c>
      <c r="I78" t="s">
        <v>18</v>
      </c>
      <c r="J78" t="s">
        <v>149</v>
      </c>
      <c r="K78" t="s">
        <v>140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417</v>
      </c>
      <c r="B79" t="s">
        <v>143</v>
      </c>
      <c r="C79" t="s">
        <v>18</v>
      </c>
      <c r="D79" t="s">
        <v>418</v>
      </c>
      <c r="E79" t="s">
        <v>419</v>
      </c>
      <c r="F79" t="s">
        <v>185</v>
      </c>
      <c r="G79" t="s">
        <v>420</v>
      </c>
      <c r="H79" t="s">
        <v>421</v>
      </c>
      <c r="I79" t="s">
        <v>18</v>
      </c>
      <c r="J79" t="s">
        <v>149</v>
      </c>
      <c r="K79" t="s">
        <v>140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422</v>
      </c>
      <c r="B80" t="s">
        <v>143</v>
      </c>
      <c r="C80" t="s">
        <v>18</v>
      </c>
      <c r="D80" t="s">
        <v>423</v>
      </c>
      <c r="E80" t="s">
        <v>424</v>
      </c>
      <c r="F80" t="s">
        <v>158</v>
      </c>
      <c r="G80" t="s">
        <v>342</v>
      </c>
      <c r="H80" t="s">
        <v>425</v>
      </c>
      <c r="I80" t="s">
        <v>18</v>
      </c>
      <c r="J80" t="s">
        <v>149</v>
      </c>
      <c r="K80" t="s">
        <v>140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426</v>
      </c>
      <c r="B81" t="s">
        <v>143</v>
      </c>
      <c r="C81" t="s">
        <v>18</v>
      </c>
      <c r="D81" t="s">
        <v>427</v>
      </c>
      <c r="E81" t="s">
        <v>428</v>
      </c>
      <c r="F81" t="s">
        <v>415</v>
      </c>
      <c r="G81" t="s">
        <v>429</v>
      </c>
      <c r="H81" t="s">
        <v>430</v>
      </c>
      <c r="I81" t="s">
        <v>18</v>
      </c>
      <c r="J81" t="s">
        <v>149</v>
      </c>
      <c r="K81" t="s">
        <v>140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431</v>
      </c>
      <c r="B82" t="s">
        <v>143</v>
      </c>
      <c r="C82" t="s">
        <v>18</v>
      </c>
      <c r="D82" t="s">
        <v>432</v>
      </c>
      <c r="E82" t="s">
        <v>433</v>
      </c>
      <c r="F82" t="s">
        <v>146</v>
      </c>
      <c r="G82" t="s">
        <v>434</v>
      </c>
      <c r="H82" t="s">
        <v>435</v>
      </c>
      <c r="I82" t="s">
        <v>18</v>
      </c>
      <c r="J82" t="s">
        <v>149</v>
      </c>
      <c r="K82" t="s">
        <v>140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436</v>
      </c>
      <c r="B83" t="s">
        <v>143</v>
      </c>
      <c r="C83" t="s">
        <v>18</v>
      </c>
      <c r="D83" t="s">
        <v>437</v>
      </c>
      <c r="E83" t="s">
        <v>438</v>
      </c>
      <c r="F83" t="s">
        <v>164</v>
      </c>
      <c r="G83" t="s">
        <v>170</v>
      </c>
      <c r="H83" t="s">
        <v>439</v>
      </c>
      <c r="I83" t="s">
        <v>18</v>
      </c>
      <c r="J83" t="s">
        <v>149</v>
      </c>
      <c r="K83" t="s">
        <v>140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440</v>
      </c>
      <c r="B84" t="s">
        <v>143</v>
      </c>
      <c r="C84" t="s">
        <v>18</v>
      </c>
      <c r="D84" t="s">
        <v>441</v>
      </c>
      <c r="E84" t="s">
        <v>442</v>
      </c>
      <c r="F84" t="s">
        <v>185</v>
      </c>
      <c r="G84" t="s">
        <v>366</v>
      </c>
      <c r="H84" t="s">
        <v>443</v>
      </c>
      <c r="I84" t="s">
        <v>18</v>
      </c>
      <c r="J84" t="s">
        <v>149</v>
      </c>
      <c r="K84" t="s">
        <v>140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444</v>
      </c>
      <c r="B85" t="s">
        <v>143</v>
      </c>
      <c r="C85" t="s">
        <v>18</v>
      </c>
      <c r="D85" t="s">
        <v>445</v>
      </c>
      <c r="E85" t="s">
        <v>446</v>
      </c>
      <c r="F85" t="s">
        <v>158</v>
      </c>
      <c r="G85" t="s">
        <v>447</v>
      </c>
      <c r="H85" t="s">
        <v>448</v>
      </c>
      <c r="I85" t="s">
        <v>18</v>
      </c>
      <c r="J85" t="s">
        <v>149</v>
      </c>
      <c r="K85" t="s">
        <v>140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449</v>
      </c>
      <c r="B86" t="s">
        <v>143</v>
      </c>
      <c r="C86" t="s">
        <v>18</v>
      </c>
      <c r="D86" t="s">
        <v>450</v>
      </c>
      <c r="E86" t="s">
        <v>451</v>
      </c>
      <c r="F86" t="s">
        <v>158</v>
      </c>
      <c r="G86" t="s">
        <v>452</v>
      </c>
      <c r="H86" t="s">
        <v>453</v>
      </c>
      <c r="I86" t="s">
        <v>18</v>
      </c>
      <c r="J86" t="s">
        <v>149</v>
      </c>
      <c r="K86" t="s">
        <v>140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454</v>
      </c>
      <c r="B87" t="s">
        <v>143</v>
      </c>
      <c r="C87" t="s">
        <v>18</v>
      </c>
      <c r="D87" t="s">
        <v>455</v>
      </c>
      <c r="E87" t="s">
        <v>456</v>
      </c>
      <c r="F87" t="s">
        <v>185</v>
      </c>
      <c r="G87" t="s">
        <v>186</v>
      </c>
      <c r="H87" t="s">
        <v>457</v>
      </c>
      <c r="I87" t="s">
        <v>18</v>
      </c>
      <c r="J87" t="s">
        <v>149</v>
      </c>
      <c r="K87" t="s">
        <v>140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458</v>
      </c>
      <c r="B88" t="s">
        <v>143</v>
      </c>
      <c r="C88" t="s">
        <v>18</v>
      </c>
      <c r="D88" t="s">
        <v>459</v>
      </c>
      <c r="E88" t="s">
        <v>460</v>
      </c>
      <c r="F88" t="s">
        <v>415</v>
      </c>
      <c r="G88" t="s">
        <v>461</v>
      </c>
      <c r="H88" t="s">
        <v>462</v>
      </c>
      <c r="I88" t="s">
        <v>18</v>
      </c>
      <c r="J88" t="s">
        <v>149</v>
      </c>
      <c r="K88" t="s">
        <v>140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463</v>
      </c>
      <c r="B89" t="s">
        <v>143</v>
      </c>
      <c r="C89" t="s">
        <v>18</v>
      </c>
      <c r="D89" t="s">
        <v>464</v>
      </c>
      <c r="E89" t="s">
        <v>465</v>
      </c>
      <c r="F89" t="s">
        <v>158</v>
      </c>
      <c r="G89" t="s">
        <v>250</v>
      </c>
      <c r="H89" t="s">
        <v>466</v>
      </c>
      <c r="I89" t="s">
        <v>18</v>
      </c>
      <c r="J89" t="s">
        <v>149</v>
      </c>
      <c r="K89" t="s">
        <v>140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467</v>
      </c>
      <c r="B90" t="s">
        <v>143</v>
      </c>
      <c r="C90" t="s">
        <v>18</v>
      </c>
      <c r="D90" t="s">
        <v>468</v>
      </c>
      <c r="E90" t="s">
        <v>469</v>
      </c>
      <c r="F90" t="s">
        <v>146</v>
      </c>
      <c r="G90" t="s">
        <v>461</v>
      </c>
      <c r="H90" t="s">
        <v>470</v>
      </c>
      <c r="I90" t="s">
        <v>18</v>
      </c>
      <c r="J90" t="s">
        <v>149</v>
      </c>
      <c r="K90" t="s">
        <v>140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471</v>
      </c>
      <c r="B91" t="s">
        <v>143</v>
      </c>
      <c r="C91" t="s">
        <v>18</v>
      </c>
      <c r="D91" t="s">
        <v>472</v>
      </c>
      <c r="E91" t="s">
        <v>473</v>
      </c>
      <c r="F91" t="s">
        <v>146</v>
      </c>
      <c r="G91" t="s">
        <v>191</v>
      </c>
      <c r="H91" t="s">
        <v>474</v>
      </c>
      <c r="I91" t="s">
        <v>18</v>
      </c>
      <c r="J91" t="s">
        <v>149</v>
      </c>
      <c r="K91" t="s">
        <v>140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475</v>
      </c>
      <c r="B92" t="s">
        <v>143</v>
      </c>
      <c r="C92" t="s">
        <v>18</v>
      </c>
      <c r="D92" t="s">
        <v>476</v>
      </c>
      <c r="E92" t="s">
        <v>477</v>
      </c>
      <c r="F92" t="s">
        <v>158</v>
      </c>
      <c r="G92" t="s">
        <v>393</v>
      </c>
      <c r="H92" t="s">
        <v>478</v>
      </c>
      <c r="I92" t="s">
        <v>18</v>
      </c>
      <c r="J92" t="s">
        <v>149</v>
      </c>
      <c r="K92" t="s">
        <v>140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479</v>
      </c>
      <c r="B93" t="s">
        <v>143</v>
      </c>
      <c r="C93" t="s">
        <v>18</v>
      </c>
      <c r="D93" t="s">
        <v>480</v>
      </c>
      <c r="E93" t="s">
        <v>481</v>
      </c>
      <c r="F93" t="s">
        <v>164</v>
      </c>
      <c r="G93" t="s">
        <v>300</v>
      </c>
      <c r="H93" t="s">
        <v>482</v>
      </c>
      <c r="I93" t="s">
        <v>18</v>
      </c>
      <c r="J93" t="s">
        <v>149</v>
      </c>
      <c r="K93" t="s">
        <v>140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483</v>
      </c>
      <c r="B94" t="s">
        <v>143</v>
      </c>
      <c r="C94" t="s">
        <v>18</v>
      </c>
      <c r="D94" t="s">
        <v>484</v>
      </c>
      <c r="E94" t="s">
        <v>485</v>
      </c>
      <c r="F94" t="s">
        <v>146</v>
      </c>
      <c r="G94" t="s">
        <v>170</v>
      </c>
      <c r="H94" t="s">
        <v>486</v>
      </c>
      <c r="I94" t="s">
        <v>18</v>
      </c>
      <c r="J94" t="s">
        <v>149</v>
      </c>
      <c r="K94" t="s">
        <v>140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487</v>
      </c>
      <c r="B95" t="s">
        <v>143</v>
      </c>
      <c r="C95" t="s">
        <v>18</v>
      </c>
      <c r="D95" t="s">
        <v>488</v>
      </c>
      <c r="E95" t="s">
        <v>489</v>
      </c>
      <c r="F95" t="s">
        <v>185</v>
      </c>
      <c r="G95" t="s">
        <v>218</v>
      </c>
      <c r="H95" t="s">
        <v>490</v>
      </c>
      <c r="I95" t="s">
        <v>18</v>
      </c>
      <c r="J95" t="s">
        <v>149</v>
      </c>
      <c r="K95" t="s">
        <v>140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491</v>
      </c>
      <c r="B96" t="s">
        <v>143</v>
      </c>
      <c r="C96" t="s">
        <v>18</v>
      </c>
      <c r="D96" t="s">
        <v>492</v>
      </c>
      <c r="E96" t="s">
        <v>493</v>
      </c>
      <c r="F96" t="s">
        <v>255</v>
      </c>
      <c r="G96" t="s">
        <v>494</v>
      </c>
      <c r="H96" t="s">
        <v>495</v>
      </c>
      <c r="I96" t="s">
        <v>18</v>
      </c>
      <c r="J96" t="s">
        <v>149</v>
      </c>
      <c r="K96" t="s">
        <v>140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496</v>
      </c>
      <c r="B97" t="s">
        <v>143</v>
      </c>
      <c r="C97" t="s">
        <v>18</v>
      </c>
      <c r="D97" t="s">
        <v>497</v>
      </c>
      <c r="E97" t="s">
        <v>498</v>
      </c>
      <c r="F97" t="s">
        <v>185</v>
      </c>
      <c r="G97" t="s">
        <v>186</v>
      </c>
      <c r="H97" t="s">
        <v>499</v>
      </c>
      <c r="I97" t="s">
        <v>18</v>
      </c>
      <c r="J97" t="s">
        <v>149</v>
      </c>
      <c r="K97" t="s">
        <v>140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500</v>
      </c>
      <c r="B98" t="s">
        <v>143</v>
      </c>
      <c r="C98" t="s">
        <v>18</v>
      </c>
      <c r="D98" t="s">
        <v>501</v>
      </c>
      <c r="E98" t="s">
        <v>502</v>
      </c>
      <c r="F98" t="s">
        <v>185</v>
      </c>
      <c r="G98" t="s">
        <v>503</v>
      </c>
      <c r="H98" t="s">
        <v>504</v>
      </c>
      <c r="I98" t="s">
        <v>18</v>
      </c>
      <c r="J98" t="s">
        <v>149</v>
      </c>
      <c r="K98" t="s">
        <v>140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505</v>
      </c>
      <c r="B99" t="s">
        <v>143</v>
      </c>
      <c r="C99" t="s">
        <v>18</v>
      </c>
      <c r="D99" t="s">
        <v>506</v>
      </c>
      <c r="E99" t="s">
        <v>507</v>
      </c>
      <c r="F99" t="s">
        <v>185</v>
      </c>
      <c r="G99" t="s">
        <v>508</v>
      </c>
      <c r="H99" t="s">
        <v>509</v>
      </c>
      <c r="I99" t="s">
        <v>18</v>
      </c>
      <c r="J99" t="s">
        <v>149</v>
      </c>
      <c r="K99" t="s">
        <v>140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510</v>
      </c>
      <c r="B100" t="s">
        <v>143</v>
      </c>
      <c r="C100" t="s">
        <v>18</v>
      </c>
      <c r="D100" t="s">
        <v>511</v>
      </c>
      <c r="E100" t="s">
        <v>512</v>
      </c>
      <c r="F100" t="s">
        <v>158</v>
      </c>
      <c r="G100" t="s">
        <v>513</v>
      </c>
      <c r="H100" t="s">
        <v>514</v>
      </c>
      <c r="I100" t="s">
        <v>18</v>
      </c>
      <c r="J100" t="s">
        <v>149</v>
      </c>
      <c r="K100" t="s">
        <v>140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515</v>
      </c>
      <c r="B101" t="s">
        <v>143</v>
      </c>
      <c r="C101" t="s">
        <v>18</v>
      </c>
      <c r="D101" t="s">
        <v>516</v>
      </c>
      <c r="E101" t="s">
        <v>517</v>
      </c>
      <c r="F101" t="s">
        <v>164</v>
      </c>
      <c r="G101" t="s">
        <v>398</v>
      </c>
      <c r="H101" t="s">
        <v>518</v>
      </c>
      <c r="I101" t="s">
        <v>18</v>
      </c>
      <c r="J101" t="s">
        <v>149</v>
      </c>
      <c r="K101" t="s">
        <v>140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519</v>
      </c>
      <c r="B102" t="s">
        <v>143</v>
      </c>
      <c r="C102" t="s">
        <v>18</v>
      </c>
      <c r="D102" t="s">
        <v>520</v>
      </c>
      <c r="E102" t="s">
        <v>521</v>
      </c>
      <c r="F102" t="s">
        <v>185</v>
      </c>
      <c r="G102" t="s">
        <v>420</v>
      </c>
      <c r="H102" t="s">
        <v>522</v>
      </c>
      <c r="I102" t="s">
        <v>18</v>
      </c>
      <c r="J102" t="s">
        <v>149</v>
      </c>
      <c r="K102" t="s">
        <v>140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523</v>
      </c>
      <c r="B103" t="s">
        <v>143</v>
      </c>
      <c r="C103" t="s">
        <v>18</v>
      </c>
      <c r="D103" t="s">
        <v>524</v>
      </c>
      <c r="E103" t="s">
        <v>525</v>
      </c>
      <c r="F103" t="s">
        <v>164</v>
      </c>
      <c r="G103" t="s">
        <v>300</v>
      </c>
      <c r="H103" t="s">
        <v>526</v>
      </c>
      <c r="I103" t="s">
        <v>18</v>
      </c>
      <c r="J103" t="s">
        <v>149</v>
      </c>
      <c r="K103" t="s">
        <v>140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527</v>
      </c>
      <c r="B104" t="s">
        <v>143</v>
      </c>
      <c r="C104" t="s">
        <v>18</v>
      </c>
      <c r="D104" t="s">
        <v>528</v>
      </c>
      <c r="E104" t="s">
        <v>529</v>
      </c>
      <c r="F104" t="s">
        <v>164</v>
      </c>
      <c r="G104" t="s">
        <v>398</v>
      </c>
      <c r="H104" t="s">
        <v>530</v>
      </c>
      <c r="I104" t="s">
        <v>18</v>
      </c>
      <c r="J104" t="s">
        <v>149</v>
      </c>
      <c r="K104" t="s">
        <v>140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531</v>
      </c>
      <c r="B105" t="s">
        <v>143</v>
      </c>
      <c r="C105" t="s">
        <v>18</v>
      </c>
      <c r="D105" t="s">
        <v>532</v>
      </c>
      <c r="E105" t="s">
        <v>533</v>
      </c>
      <c r="F105" t="s">
        <v>185</v>
      </c>
      <c r="G105" t="s">
        <v>534</v>
      </c>
      <c r="H105" t="s">
        <v>535</v>
      </c>
      <c r="I105" t="s">
        <v>18</v>
      </c>
      <c r="J105" t="s">
        <v>149</v>
      </c>
      <c r="K105" t="s">
        <v>140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536</v>
      </c>
      <c r="B106" t="s">
        <v>143</v>
      </c>
      <c r="C106" t="s">
        <v>18</v>
      </c>
      <c r="D106" t="s">
        <v>537</v>
      </c>
      <c r="E106" t="s">
        <v>538</v>
      </c>
      <c r="F106" t="s">
        <v>158</v>
      </c>
      <c r="G106" t="s">
        <v>261</v>
      </c>
      <c r="H106" t="s">
        <v>539</v>
      </c>
      <c r="I106" t="s">
        <v>18</v>
      </c>
      <c r="J106" t="s">
        <v>149</v>
      </c>
      <c r="K106" t="s">
        <v>140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540</v>
      </c>
      <c r="B107" t="s">
        <v>143</v>
      </c>
      <c r="C107" t="s">
        <v>18</v>
      </c>
      <c r="D107" t="s">
        <v>541</v>
      </c>
      <c r="E107" t="s">
        <v>542</v>
      </c>
      <c r="F107" t="s">
        <v>164</v>
      </c>
      <c r="G107" t="s">
        <v>300</v>
      </c>
      <c r="H107" t="s">
        <v>543</v>
      </c>
      <c r="I107" t="s">
        <v>18</v>
      </c>
      <c r="J107" t="s">
        <v>149</v>
      </c>
      <c r="K107" t="s">
        <v>140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544</v>
      </c>
      <c r="B108" t="s">
        <v>143</v>
      </c>
      <c r="C108" t="s">
        <v>18</v>
      </c>
      <c r="D108" t="s">
        <v>545</v>
      </c>
      <c r="E108" t="s">
        <v>546</v>
      </c>
      <c r="F108" t="s">
        <v>164</v>
      </c>
      <c r="G108" t="s">
        <v>547</v>
      </c>
      <c r="H108" t="s">
        <v>548</v>
      </c>
      <c r="I108" t="s">
        <v>18</v>
      </c>
      <c r="J108" t="s">
        <v>149</v>
      </c>
      <c r="K108" t="s">
        <v>140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549</v>
      </c>
      <c r="B109" t="s">
        <v>143</v>
      </c>
      <c r="C109" t="s">
        <v>18</v>
      </c>
      <c r="D109" t="s">
        <v>550</v>
      </c>
      <c r="E109" t="s">
        <v>551</v>
      </c>
      <c r="F109" t="s">
        <v>164</v>
      </c>
      <c r="G109" t="s">
        <v>547</v>
      </c>
      <c r="H109" t="s">
        <v>552</v>
      </c>
      <c r="I109" t="s">
        <v>18</v>
      </c>
      <c r="J109" t="s">
        <v>149</v>
      </c>
      <c r="K109" t="s">
        <v>140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553</v>
      </c>
      <c r="B110" t="s">
        <v>143</v>
      </c>
      <c r="C110" t="s">
        <v>18</v>
      </c>
      <c r="D110" t="s">
        <v>554</v>
      </c>
      <c r="E110" t="s">
        <v>555</v>
      </c>
      <c r="F110" t="s">
        <v>158</v>
      </c>
      <c r="G110" t="s">
        <v>556</v>
      </c>
      <c r="H110" t="s">
        <v>557</v>
      </c>
      <c r="I110" t="s">
        <v>18</v>
      </c>
      <c r="J110" t="s">
        <v>149</v>
      </c>
      <c r="K110" t="s">
        <v>140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558</v>
      </c>
      <c r="B111" t="s">
        <v>143</v>
      </c>
      <c r="C111" t="s">
        <v>18</v>
      </c>
      <c r="D111" t="s">
        <v>559</v>
      </c>
      <c r="E111" t="s">
        <v>560</v>
      </c>
      <c r="F111" t="s">
        <v>351</v>
      </c>
      <c r="G111" t="s">
        <v>352</v>
      </c>
      <c r="H111" t="s">
        <v>561</v>
      </c>
      <c r="I111" t="s">
        <v>18</v>
      </c>
      <c r="J111" t="s">
        <v>149</v>
      </c>
      <c r="K111" t="s">
        <v>140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562</v>
      </c>
      <c r="B112" t="s">
        <v>143</v>
      </c>
      <c r="C112" t="s">
        <v>18</v>
      </c>
      <c r="D112" t="s">
        <v>563</v>
      </c>
      <c r="E112" t="s">
        <v>564</v>
      </c>
      <c r="F112" t="s">
        <v>164</v>
      </c>
      <c r="G112" t="s">
        <v>165</v>
      </c>
      <c r="H112" t="s">
        <v>565</v>
      </c>
      <c r="I112" t="s">
        <v>18</v>
      </c>
      <c r="J112" t="s">
        <v>149</v>
      </c>
      <c r="K112" t="s">
        <v>140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566</v>
      </c>
      <c r="B113" t="s">
        <v>143</v>
      </c>
      <c r="C113" t="s">
        <v>18</v>
      </c>
      <c r="D113" t="s">
        <v>567</v>
      </c>
      <c r="E113" t="s">
        <v>568</v>
      </c>
      <c r="F113" t="s">
        <v>146</v>
      </c>
      <c r="G113" t="s">
        <v>284</v>
      </c>
      <c r="H113" t="s">
        <v>569</v>
      </c>
      <c r="I113" t="s">
        <v>18</v>
      </c>
      <c r="J113" t="s">
        <v>149</v>
      </c>
      <c r="K113" t="s">
        <v>140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570</v>
      </c>
      <c r="B114" t="s">
        <v>143</v>
      </c>
      <c r="C114" t="s">
        <v>18</v>
      </c>
      <c r="D114" t="s">
        <v>571</v>
      </c>
      <c r="E114" t="s">
        <v>572</v>
      </c>
      <c r="F114" t="s">
        <v>164</v>
      </c>
      <c r="G114" t="s">
        <v>573</v>
      </c>
      <c r="H114" t="s">
        <v>574</v>
      </c>
      <c r="I114" t="s">
        <v>18</v>
      </c>
      <c r="J114" t="s">
        <v>149</v>
      </c>
      <c r="K114" t="s">
        <v>140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575</v>
      </c>
      <c r="B115" t="s">
        <v>143</v>
      </c>
      <c r="C115" t="s">
        <v>18</v>
      </c>
      <c r="D115" t="s">
        <v>576</v>
      </c>
      <c r="E115" t="s">
        <v>577</v>
      </c>
      <c r="F115" t="s">
        <v>146</v>
      </c>
      <c r="G115" t="s">
        <v>270</v>
      </c>
      <c r="H115" t="s">
        <v>578</v>
      </c>
      <c r="I115" t="s">
        <v>18</v>
      </c>
      <c r="J115" t="s">
        <v>149</v>
      </c>
      <c r="K115" t="s">
        <v>140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579</v>
      </c>
      <c r="B116" t="s">
        <v>143</v>
      </c>
      <c r="C116" t="s">
        <v>18</v>
      </c>
      <c r="D116" t="s">
        <v>580</v>
      </c>
      <c r="E116" t="s">
        <v>581</v>
      </c>
      <c r="F116" t="s">
        <v>146</v>
      </c>
      <c r="G116" t="s">
        <v>170</v>
      </c>
      <c r="H116" t="s">
        <v>582</v>
      </c>
      <c r="I116" t="s">
        <v>18</v>
      </c>
      <c r="J116" t="s">
        <v>149</v>
      </c>
      <c r="K116" t="s">
        <v>140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583</v>
      </c>
      <c r="B117" t="s">
        <v>143</v>
      </c>
      <c r="C117" t="s">
        <v>18</v>
      </c>
      <c r="D117" t="s">
        <v>584</v>
      </c>
      <c r="E117" t="s">
        <v>585</v>
      </c>
      <c r="F117" t="s">
        <v>146</v>
      </c>
      <c r="G117" t="s">
        <v>170</v>
      </c>
      <c r="H117" t="s">
        <v>586</v>
      </c>
      <c r="I117" t="s">
        <v>18</v>
      </c>
      <c r="J117" t="s">
        <v>149</v>
      </c>
      <c r="K117" t="s">
        <v>140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587</v>
      </c>
      <c r="B118" t="s">
        <v>143</v>
      </c>
      <c r="C118" t="s">
        <v>18</v>
      </c>
      <c r="D118" t="s">
        <v>588</v>
      </c>
      <c r="E118" t="s">
        <v>589</v>
      </c>
      <c r="F118" t="s">
        <v>146</v>
      </c>
      <c r="G118" t="s">
        <v>284</v>
      </c>
      <c r="H118" t="s">
        <v>590</v>
      </c>
      <c r="I118" t="s">
        <v>18</v>
      </c>
      <c r="J118" t="s">
        <v>149</v>
      </c>
      <c r="K118" t="s">
        <v>140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591</v>
      </c>
      <c r="B119" t="s">
        <v>143</v>
      </c>
      <c r="C119" t="s">
        <v>18</v>
      </c>
      <c r="D119" t="s">
        <v>592</v>
      </c>
      <c r="E119" t="s">
        <v>593</v>
      </c>
      <c r="F119" t="s">
        <v>185</v>
      </c>
      <c r="G119" t="s">
        <v>420</v>
      </c>
      <c r="H119" t="s">
        <v>594</v>
      </c>
      <c r="I119" t="s">
        <v>18</v>
      </c>
      <c r="J119" t="s">
        <v>149</v>
      </c>
      <c r="K119" t="s">
        <v>140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595</v>
      </c>
      <c r="B120" t="s">
        <v>143</v>
      </c>
      <c r="C120" t="s">
        <v>18</v>
      </c>
      <c r="D120" t="s">
        <v>596</v>
      </c>
      <c r="E120" t="s">
        <v>597</v>
      </c>
      <c r="F120" t="s">
        <v>158</v>
      </c>
      <c r="G120" t="s">
        <v>159</v>
      </c>
      <c r="H120" t="s">
        <v>598</v>
      </c>
      <c r="I120" t="s">
        <v>18</v>
      </c>
      <c r="J120" t="s">
        <v>149</v>
      </c>
      <c r="K120" t="s">
        <v>140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599</v>
      </c>
      <c r="B121" t="s">
        <v>143</v>
      </c>
      <c r="C121" t="s">
        <v>18</v>
      </c>
      <c r="D121" t="s">
        <v>600</v>
      </c>
      <c r="E121" t="s">
        <v>601</v>
      </c>
      <c r="F121" t="s">
        <v>158</v>
      </c>
      <c r="G121" t="s">
        <v>159</v>
      </c>
      <c r="H121" t="s">
        <v>602</v>
      </c>
      <c r="I121" t="s">
        <v>18</v>
      </c>
      <c r="J121" t="s">
        <v>149</v>
      </c>
      <c r="K121" t="s">
        <v>140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603</v>
      </c>
      <c r="B122" t="s">
        <v>143</v>
      </c>
      <c r="C122" t="s">
        <v>18</v>
      </c>
      <c r="D122" t="s">
        <v>604</v>
      </c>
      <c r="E122" t="s">
        <v>605</v>
      </c>
      <c r="F122" t="s">
        <v>164</v>
      </c>
      <c r="G122" t="s">
        <v>300</v>
      </c>
      <c r="H122" t="s">
        <v>606</v>
      </c>
      <c r="I122" t="s">
        <v>18</v>
      </c>
      <c r="J122" t="s">
        <v>149</v>
      </c>
      <c r="K122" t="s">
        <v>140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607</v>
      </c>
      <c r="B123" t="s">
        <v>143</v>
      </c>
      <c r="C123" t="s">
        <v>18</v>
      </c>
      <c r="D123" t="s">
        <v>608</v>
      </c>
      <c r="E123" t="s">
        <v>609</v>
      </c>
      <c r="F123" t="s">
        <v>164</v>
      </c>
      <c r="G123" t="s">
        <v>300</v>
      </c>
      <c r="H123" t="s">
        <v>610</v>
      </c>
      <c r="I123" t="s">
        <v>18</v>
      </c>
      <c r="J123" t="s">
        <v>149</v>
      </c>
      <c r="K123" t="s">
        <v>140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611</v>
      </c>
      <c r="B124" t="s">
        <v>143</v>
      </c>
      <c r="C124" t="s">
        <v>18</v>
      </c>
      <c r="D124" t="s">
        <v>612</v>
      </c>
      <c r="E124" t="s">
        <v>613</v>
      </c>
      <c r="F124" t="s">
        <v>158</v>
      </c>
      <c r="G124" t="s">
        <v>508</v>
      </c>
      <c r="H124" t="s">
        <v>614</v>
      </c>
      <c r="I124" t="s">
        <v>18</v>
      </c>
      <c r="J124" t="s">
        <v>149</v>
      </c>
      <c r="K124" t="s">
        <v>140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615</v>
      </c>
      <c r="B125" t="s">
        <v>143</v>
      </c>
      <c r="C125" t="s">
        <v>18</v>
      </c>
      <c r="D125" t="s">
        <v>616</v>
      </c>
      <c r="E125" t="s">
        <v>617</v>
      </c>
      <c r="F125" t="s">
        <v>158</v>
      </c>
      <c r="G125" t="s">
        <v>342</v>
      </c>
      <c r="H125" t="s">
        <v>618</v>
      </c>
      <c r="I125" t="s">
        <v>18</v>
      </c>
      <c r="J125" t="s">
        <v>149</v>
      </c>
      <c r="K125" t="s">
        <v>140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619</v>
      </c>
      <c r="B126" t="s">
        <v>143</v>
      </c>
      <c r="C126" t="s">
        <v>18</v>
      </c>
      <c r="D126" t="s">
        <v>620</v>
      </c>
      <c r="E126" t="s">
        <v>621</v>
      </c>
      <c r="F126" t="s">
        <v>185</v>
      </c>
      <c r="G126" t="s">
        <v>186</v>
      </c>
      <c r="H126" t="s">
        <v>622</v>
      </c>
      <c r="I126" t="s">
        <v>18</v>
      </c>
      <c r="J126" t="s">
        <v>149</v>
      </c>
      <c r="K126" t="s">
        <v>140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623</v>
      </c>
      <c r="B127" t="s">
        <v>143</v>
      </c>
      <c r="C127" t="s">
        <v>18</v>
      </c>
      <c r="D127" t="s">
        <v>624</v>
      </c>
      <c r="E127" t="s">
        <v>625</v>
      </c>
      <c r="F127" t="s">
        <v>185</v>
      </c>
      <c r="G127" t="s">
        <v>186</v>
      </c>
      <c r="H127" t="s">
        <v>626</v>
      </c>
      <c r="I127" t="s">
        <v>18</v>
      </c>
      <c r="J127" t="s">
        <v>149</v>
      </c>
      <c r="K127" t="s">
        <v>140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627</v>
      </c>
      <c r="B128" t="s">
        <v>143</v>
      </c>
      <c r="C128" t="s">
        <v>18</v>
      </c>
      <c r="D128" t="s">
        <v>628</v>
      </c>
      <c r="E128" t="s">
        <v>629</v>
      </c>
      <c r="F128" t="s">
        <v>164</v>
      </c>
      <c r="G128" t="s">
        <v>165</v>
      </c>
      <c r="H128" t="s">
        <v>630</v>
      </c>
      <c r="I128" t="s">
        <v>18</v>
      </c>
      <c r="J128" t="s">
        <v>149</v>
      </c>
      <c r="K128" t="s">
        <v>140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631</v>
      </c>
      <c r="B129" t="s">
        <v>143</v>
      </c>
      <c r="C129" t="s">
        <v>18</v>
      </c>
      <c r="D129" t="s">
        <v>632</v>
      </c>
      <c r="E129" t="s">
        <v>633</v>
      </c>
      <c r="F129" t="s">
        <v>146</v>
      </c>
      <c r="G129" t="s">
        <v>317</v>
      </c>
      <c r="H129" t="s">
        <v>634</v>
      </c>
      <c r="I129" t="s">
        <v>18</v>
      </c>
      <c r="J129" t="s">
        <v>149</v>
      </c>
      <c r="K129" t="s">
        <v>140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635</v>
      </c>
      <c r="B130" t="s">
        <v>143</v>
      </c>
      <c r="C130" t="s">
        <v>18</v>
      </c>
      <c r="D130" t="s">
        <v>636</v>
      </c>
      <c r="E130" t="s">
        <v>637</v>
      </c>
      <c r="F130" t="s">
        <v>294</v>
      </c>
      <c r="G130" t="s">
        <v>638</v>
      </c>
      <c r="H130" t="s">
        <v>639</v>
      </c>
      <c r="I130" t="s">
        <v>18</v>
      </c>
      <c r="J130" t="s">
        <v>149</v>
      </c>
      <c r="K130" t="s">
        <v>140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640</v>
      </c>
      <c r="B131" t="s">
        <v>143</v>
      </c>
      <c r="C131" t="s">
        <v>18</v>
      </c>
      <c r="D131" t="s">
        <v>641</v>
      </c>
      <c r="E131" t="s">
        <v>642</v>
      </c>
      <c r="F131" t="s">
        <v>185</v>
      </c>
      <c r="G131" t="s">
        <v>186</v>
      </c>
      <c r="H131" t="s">
        <v>643</v>
      </c>
      <c r="I131" t="s">
        <v>18</v>
      </c>
      <c r="J131" t="s">
        <v>149</v>
      </c>
      <c r="K131" t="s">
        <v>140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644</v>
      </c>
      <c r="B132" t="s">
        <v>143</v>
      </c>
      <c r="C132" t="s">
        <v>18</v>
      </c>
      <c r="D132" t="s">
        <v>645</v>
      </c>
      <c r="E132" t="s">
        <v>646</v>
      </c>
      <c r="F132" t="s">
        <v>185</v>
      </c>
      <c r="G132" t="s">
        <v>218</v>
      </c>
      <c r="H132" t="s">
        <v>647</v>
      </c>
      <c r="I132" t="s">
        <v>18</v>
      </c>
      <c r="J132" t="s">
        <v>149</v>
      </c>
      <c r="K132" t="s">
        <v>140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648</v>
      </c>
      <c r="B133" t="s">
        <v>143</v>
      </c>
      <c r="C133" t="s">
        <v>18</v>
      </c>
      <c r="D133" t="s">
        <v>649</v>
      </c>
      <c r="E133" t="s">
        <v>650</v>
      </c>
      <c r="F133" t="s">
        <v>146</v>
      </c>
      <c r="G133" t="s">
        <v>170</v>
      </c>
      <c r="H133" t="s">
        <v>651</v>
      </c>
      <c r="I133" t="s">
        <v>18</v>
      </c>
      <c r="J133" t="s">
        <v>149</v>
      </c>
      <c r="K133" t="s">
        <v>140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652</v>
      </c>
      <c r="B134" t="s">
        <v>143</v>
      </c>
      <c r="C134" t="s">
        <v>18</v>
      </c>
      <c r="D134" t="s">
        <v>653</v>
      </c>
      <c r="E134" t="s">
        <v>654</v>
      </c>
      <c r="F134" t="s">
        <v>164</v>
      </c>
      <c r="G134" t="s">
        <v>165</v>
      </c>
      <c r="H134" t="s">
        <v>655</v>
      </c>
      <c r="I134" t="s">
        <v>18</v>
      </c>
      <c r="J134" t="s">
        <v>149</v>
      </c>
      <c r="K134" t="s">
        <v>140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656</v>
      </c>
      <c r="B135" t="s">
        <v>143</v>
      </c>
      <c r="C135" t="s">
        <v>18</v>
      </c>
      <c r="D135" t="s">
        <v>657</v>
      </c>
      <c r="E135" t="s">
        <v>658</v>
      </c>
      <c r="F135" t="s">
        <v>185</v>
      </c>
      <c r="G135" t="s">
        <v>508</v>
      </c>
      <c r="H135" t="s">
        <v>659</v>
      </c>
      <c r="I135" t="s">
        <v>18</v>
      </c>
      <c r="J135" t="s">
        <v>149</v>
      </c>
      <c r="K135" t="s">
        <v>140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660</v>
      </c>
      <c r="B136" t="s">
        <v>143</v>
      </c>
      <c r="C136" t="s">
        <v>18</v>
      </c>
      <c r="D136" t="s">
        <v>661</v>
      </c>
      <c r="E136" t="s">
        <v>662</v>
      </c>
      <c r="F136" t="s">
        <v>185</v>
      </c>
      <c r="G136" t="s">
        <v>218</v>
      </c>
      <c r="H136" t="s">
        <v>663</v>
      </c>
      <c r="I136" t="s">
        <v>18</v>
      </c>
      <c r="J136" t="s">
        <v>149</v>
      </c>
      <c r="K136" t="s">
        <v>140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664</v>
      </c>
      <c r="B137" t="s">
        <v>143</v>
      </c>
      <c r="C137" t="s">
        <v>18</v>
      </c>
      <c r="D137" t="s">
        <v>665</v>
      </c>
      <c r="E137" t="s">
        <v>666</v>
      </c>
      <c r="F137" t="s">
        <v>158</v>
      </c>
      <c r="G137" t="s">
        <v>159</v>
      </c>
      <c r="H137" t="s">
        <v>667</v>
      </c>
      <c r="I137" t="s">
        <v>18</v>
      </c>
      <c r="J137" t="s">
        <v>149</v>
      </c>
      <c r="K137" t="s">
        <v>140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668</v>
      </c>
      <c r="B138" t="s">
        <v>143</v>
      </c>
      <c r="C138" t="s">
        <v>18</v>
      </c>
      <c r="D138" t="s">
        <v>669</v>
      </c>
      <c r="E138" t="s">
        <v>670</v>
      </c>
      <c r="F138" t="s">
        <v>146</v>
      </c>
      <c r="G138" t="s">
        <v>170</v>
      </c>
      <c r="H138" t="s">
        <v>671</v>
      </c>
      <c r="I138" t="s">
        <v>18</v>
      </c>
      <c r="J138" t="s">
        <v>149</v>
      </c>
      <c r="K138" t="s">
        <v>140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672</v>
      </c>
      <c r="B139" t="s">
        <v>143</v>
      </c>
      <c r="C139" t="s">
        <v>18</v>
      </c>
      <c r="D139" t="s">
        <v>673</v>
      </c>
      <c r="E139" t="s">
        <v>674</v>
      </c>
      <c r="F139" t="s">
        <v>185</v>
      </c>
      <c r="G139" t="s">
        <v>275</v>
      </c>
      <c r="H139" t="s">
        <v>675</v>
      </c>
      <c r="I139" t="s">
        <v>18</v>
      </c>
      <c r="J139" t="s">
        <v>149</v>
      </c>
      <c r="K139" t="s">
        <v>140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676</v>
      </c>
      <c r="B140" t="s">
        <v>143</v>
      </c>
      <c r="C140" t="s">
        <v>18</v>
      </c>
      <c r="D140" t="s">
        <v>677</v>
      </c>
      <c r="E140" t="s">
        <v>678</v>
      </c>
      <c r="F140" t="s">
        <v>158</v>
      </c>
      <c r="G140" t="s">
        <v>342</v>
      </c>
      <c r="H140" t="s">
        <v>679</v>
      </c>
      <c r="I140" t="s">
        <v>18</v>
      </c>
      <c r="J140" t="s">
        <v>149</v>
      </c>
      <c r="K140" t="s">
        <v>140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680</v>
      </c>
      <c r="B141" t="s">
        <v>143</v>
      </c>
      <c r="C141" t="s">
        <v>18</v>
      </c>
      <c r="D141" t="s">
        <v>681</v>
      </c>
      <c r="E141" t="s">
        <v>682</v>
      </c>
      <c r="F141" t="s">
        <v>158</v>
      </c>
      <c r="G141" t="s">
        <v>159</v>
      </c>
      <c r="H141" t="s">
        <v>683</v>
      </c>
      <c r="I141" t="s">
        <v>18</v>
      </c>
      <c r="J141" t="s">
        <v>149</v>
      </c>
      <c r="K141" t="s">
        <v>140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684</v>
      </c>
      <c r="B142" t="s">
        <v>143</v>
      </c>
      <c r="C142" t="s">
        <v>18</v>
      </c>
      <c r="D142" t="s">
        <v>685</v>
      </c>
      <c r="E142" t="s">
        <v>686</v>
      </c>
      <c r="F142" t="s">
        <v>164</v>
      </c>
      <c r="G142" t="s">
        <v>300</v>
      </c>
      <c r="H142" t="s">
        <v>687</v>
      </c>
      <c r="I142" t="s">
        <v>18</v>
      </c>
      <c r="J142" t="s">
        <v>149</v>
      </c>
      <c r="K142" t="s">
        <v>140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688</v>
      </c>
      <c r="B143" t="s">
        <v>143</v>
      </c>
      <c r="C143" t="s">
        <v>18</v>
      </c>
      <c r="D143" t="s">
        <v>689</v>
      </c>
      <c r="E143" t="s">
        <v>690</v>
      </c>
      <c r="F143" t="s">
        <v>158</v>
      </c>
      <c r="G143" t="s">
        <v>209</v>
      </c>
      <c r="H143" t="s">
        <v>691</v>
      </c>
      <c r="I143" t="s">
        <v>18</v>
      </c>
      <c r="J143" t="s">
        <v>149</v>
      </c>
      <c r="K143" t="s">
        <v>140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692</v>
      </c>
      <c r="B144" t="s">
        <v>143</v>
      </c>
      <c r="C144" t="s">
        <v>18</v>
      </c>
      <c r="D144" t="s">
        <v>693</v>
      </c>
      <c r="E144" t="s">
        <v>694</v>
      </c>
      <c r="F144" t="s">
        <v>185</v>
      </c>
      <c r="G144" t="s">
        <v>218</v>
      </c>
      <c r="H144" t="s">
        <v>695</v>
      </c>
      <c r="I144" t="s">
        <v>18</v>
      </c>
      <c r="J144" t="s">
        <v>149</v>
      </c>
      <c r="K144" t="s">
        <v>140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696</v>
      </c>
      <c r="B145" t="s">
        <v>143</v>
      </c>
      <c r="C145" t="s">
        <v>18</v>
      </c>
      <c r="D145" t="s">
        <v>697</v>
      </c>
      <c r="E145" t="s">
        <v>698</v>
      </c>
      <c r="F145" t="s">
        <v>185</v>
      </c>
      <c r="G145" t="s">
        <v>186</v>
      </c>
      <c r="H145" t="s">
        <v>699</v>
      </c>
      <c r="I145" t="s">
        <v>18</v>
      </c>
      <c r="J145" t="s">
        <v>149</v>
      </c>
      <c r="K145" t="s">
        <v>140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700</v>
      </c>
      <c r="B146" t="s">
        <v>143</v>
      </c>
      <c r="C146" t="s">
        <v>18</v>
      </c>
      <c r="D146" t="s">
        <v>701</v>
      </c>
      <c r="E146" t="s">
        <v>702</v>
      </c>
      <c r="F146" t="s">
        <v>146</v>
      </c>
      <c r="G146" t="s">
        <v>147</v>
      </c>
      <c r="H146" t="s">
        <v>703</v>
      </c>
      <c r="I146" t="s">
        <v>18</v>
      </c>
      <c r="J146" t="s">
        <v>149</v>
      </c>
      <c r="K146" t="s">
        <v>140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704</v>
      </c>
      <c r="B147" t="s">
        <v>143</v>
      </c>
      <c r="C147" t="s">
        <v>18</v>
      </c>
      <c r="D147" t="s">
        <v>705</v>
      </c>
      <c r="E147" t="s">
        <v>706</v>
      </c>
      <c r="F147" t="s">
        <v>185</v>
      </c>
      <c r="G147" t="s">
        <v>186</v>
      </c>
      <c r="H147" t="s">
        <v>707</v>
      </c>
      <c r="I147" t="s">
        <v>18</v>
      </c>
      <c r="J147" t="s">
        <v>149</v>
      </c>
      <c r="K147" t="s">
        <v>140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708</v>
      </c>
      <c r="B148" t="s">
        <v>143</v>
      </c>
      <c r="C148" t="s">
        <v>18</v>
      </c>
      <c r="D148" t="s">
        <v>709</v>
      </c>
      <c r="E148" t="s">
        <v>710</v>
      </c>
      <c r="F148" t="s">
        <v>164</v>
      </c>
      <c r="G148" t="s">
        <v>165</v>
      </c>
      <c r="H148" t="s">
        <v>711</v>
      </c>
      <c r="I148" t="s">
        <v>18</v>
      </c>
      <c r="J148" t="s">
        <v>149</v>
      </c>
      <c r="K148" t="s">
        <v>140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712</v>
      </c>
      <c r="B149" t="s">
        <v>143</v>
      </c>
      <c r="C149" t="s">
        <v>18</v>
      </c>
      <c r="D149" t="s">
        <v>713</v>
      </c>
      <c r="E149" t="s">
        <v>714</v>
      </c>
      <c r="F149" t="s">
        <v>146</v>
      </c>
      <c r="G149" t="s">
        <v>434</v>
      </c>
      <c r="H149" t="s">
        <v>715</v>
      </c>
      <c r="I149" t="s">
        <v>18</v>
      </c>
      <c r="J149" t="s">
        <v>149</v>
      </c>
      <c r="K149" t="s">
        <v>140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716</v>
      </c>
      <c r="B150" t="s">
        <v>143</v>
      </c>
      <c r="C150" t="s">
        <v>18</v>
      </c>
      <c r="D150" t="s">
        <v>717</v>
      </c>
      <c r="E150" t="s">
        <v>718</v>
      </c>
      <c r="F150" t="s">
        <v>185</v>
      </c>
      <c r="G150" t="s">
        <v>186</v>
      </c>
      <c r="H150" t="s">
        <v>719</v>
      </c>
      <c r="I150" t="s">
        <v>18</v>
      </c>
      <c r="J150" t="s">
        <v>149</v>
      </c>
      <c r="K150" t="s">
        <v>140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720</v>
      </c>
      <c r="B151" t="s">
        <v>143</v>
      </c>
      <c r="C151" t="s">
        <v>18</v>
      </c>
      <c r="D151" t="s">
        <v>721</v>
      </c>
      <c r="E151" t="s">
        <v>722</v>
      </c>
      <c r="F151" t="s">
        <v>723</v>
      </c>
      <c r="G151" t="s">
        <v>724</v>
      </c>
      <c r="H151" t="s">
        <v>725</v>
      </c>
      <c r="I151" t="s">
        <v>18</v>
      </c>
      <c r="J151" t="s">
        <v>149</v>
      </c>
      <c r="K151" t="s">
        <v>140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726</v>
      </c>
      <c r="B152" t="s">
        <v>143</v>
      </c>
      <c r="C152" t="s">
        <v>18</v>
      </c>
      <c r="D152" t="s">
        <v>727</v>
      </c>
      <c r="E152" t="s">
        <v>728</v>
      </c>
      <c r="F152" t="s">
        <v>164</v>
      </c>
      <c r="G152" t="s">
        <v>300</v>
      </c>
      <c r="H152" t="s">
        <v>729</v>
      </c>
      <c r="I152" t="s">
        <v>18</v>
      </c>
      <c r="J152" t="s">
        <v>149</v>
      </c>
      <c r="K152" t="s">
        <v>140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730</v>
      </c>
      <c r="B153" t="s">
        <v>143</v>
      </c>
      <c r="C153" t="s">
        <v>18</v>
      </c>
      <c r="D153" t="s">
        <v>731</v>
      </c>
      <c r="E153" t="s">
        <v>732</v>
      </c>
      <c r="F153" t="s">
        <v>158</v>
      </c>
      <c r="G153" t="s">
        <v>393</v>
      </c>
      <c r="H153" t="s">
        <v>733</v>
      </c>
      <c r="I153" t="s">
        <v>18</v>
      </c>
      <c r="J153" t="s">
        <v>149</v>
      </c>
      <c r="K153" t="s">
        <v>140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734</v>
      </c>
      <c r="B154" t="s">
        <v>143</v>
      </c>
      <c r="C154" t="s">
        <v>18</v>
      </c>
      <c r="D154" t="s">
        <v>735</v>
      </c>
      <c r="E154" t="s">
        <v>736</v>
      </c>
      <c r="F154" t="s">
        <v>185</v>
      </c>
      <c r="G154" t="s">
        <v>186</v>
      </c>
      <c r="H154" t="s">
        <v>737</v>
      </c>
      <c r="I154" t="s">
        <v>18</v>
      </c>
      <c r="J154" t="s">
        <v>149</v>
      </c>
      <c r="K154" t="s">
        <v>140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738</v>
      </c>
      <c r="B155" t="s">
        <v>143</v>
      </c>
      <c r="C155" t="s">
        <v>18</v>
      </c>
      <c r="D155" t="s">
        <v>739</v>
      </c>
      <c r="E155" t="s">
        <v>740</v>
      </c>
      <c r="F155" t="s">
        <v>146</v>
      </c>
      <c r="G155" t="s">
        <v>170</v>
      </c>
      <c r="H155" t="s">
        <v>741</v>
      </c>
      <c r="I155" t="s">
        <v>18</v>
      </c>
      <c r="J155" t="s">
        <v>149</v>
      </c>
      <c r="K155" t="s">
        <v>140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742</v>
      </c>
      <c r="B156" t="s">
        <v>143</v>
      </c>
      <c r="C156" t="s">
        <v>18</v>
      </c>
      <c r="D156" t="s">
        <v>743</v>
      </c>
      <c r="E156" t="s">
        <v>744</v>
      </c>
      <c r="F156" t="s">
        <v>146</v>
      </c>
      <c r="G156" t="s">
        <v>317</v>
      </c>
      <c r="H156" t="s">
        <v>745</v>
      </c>
      <c r="I156" t="s">
        <v>18</v>
      </c>
      <c r="J156" t="s">
        <v>149</v>
      </c>
      <c r="K156" t="s">
        <v>140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746</v>
      </c>
      <c r="B157" t="s">
        <v>143</v>
      </c>
      <c r="C157" t="s">
        <v>18</v>
      </c>
      <c r="D157" t="s">
        <v>747</v>
      </c>
      <c r="E157" t="s">
        <v>748</v>
      </c>
      <c r="F157" t="s">
        <v>185</v>
      </c>
      <c r="G157" t="s">
        <v>186</v>
      </c>
      <c r="H157" t="s">
        <v>749</v>
      </c>
      <c r="I157" t="s">
        <v>18</v>
      </c>
      <c r="J157" t="s">
        <v>149</v>
      </c>
      <c r="K157" t="s">
        <v>140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750</v>
      </c>
      <c r="B158" t="s">
        <v>143</v>
      </c>
      <c r="C158" t="s">
        <v>18</v>
      </c>
      <c r="D158" t="s">
        <v>751</v>
      </c>
      <c r="E158" t="s">
        <v>752</v>
      </c>
      <c r="F158" t="s">
        <v>185</v>
      </c>
      <c r="G158" t="s">
        <v>186</v>
      </c>
      <c r="H158" t="s">
        <v>753</v>
      </c>
      <c r="I158" t="s">
        <v>18</v>
      </c>
      <c r="J158" t="s">
        <v>149</v>
      </c>
      <c r="K158" t="s">
        <v>140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754</v>
      </c>
      <c r="B159" t="s">
        <v>143</v>
      </c>
      <c r="C159" t="s">
        <v>18</v>
      </c>
      <c r="D159" t="s">
        <v>755</v>
      </c>
      <c r="E159" t="s">
        <v>756</v>
      </c>
      <c r="F159" t="s">
        <v>415</v>
      </c>
      <c r="G159" t="s">
        <v>757</v>
      </c>
      <c r="H159" t="s">
        <v>758</v>
      </c>
      <c r="I159" t="s">
        <v>18</v>
      </c>
      <c r="J159" t="s">
        <v>149</v>
      </c>
      <c r="K159" t="s">
        <v>140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759</v>
      </c>
      <c r="B160" t="s">
        <v>143</v>
      </c>
      <c r="C160" t="s">
        <v>18</v>
      </c>
      <c r="D160" t="s">
        <v>760</v>
      </c>
      <c r="E160" t="s">
        <v>761</v>
      </c>
      <c r="F160" t="s">
        <v>164</v>
      </c>
      <c r="G160" t="s">
        <v>165</v>
      </c>
      <c r="H160" t="s">
        <v>762</v>
      </c>
      <c r="I160" t="s">
        <v>18</v>
      </c>
      <c r="J160" t="s">
        <v>149</v>
      </c>
      <c r="K160" t="s">
        <v>140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763</v>
      </c>
      <c r="B161" t="s">
        <v>143</v>
      </c>
      <c r="C161" t="s">
        <v>18</v>
      </c>
      <c r="D161" t="s">
        <v>764</v>
      </c>
      <c r="E161" t="s">
        <v>765</v>
      </c>
      <c r="F161" t="s">
        <v>164</v>
      </c>
      <c r="G161" t="s">
        <v>165</v>
      </c>
      <c r="H161" t="s">
        <v>766</v>
      </c>
      <c r="I161" t="s">
        <v>18</v>
      </c>
      <c r="J161" t="s">
        <v>149</v>
      </c>
      <c r="K161" t="s">
        <v>140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767</v>
      </c>
      <c r="B162" t="s">
        <v>143</v>
      </c>
      <c r="C162" t="s">
        <v>18</v>
      </c>
      <c r="D162" t="s">
        <v>768</v>
      </c>
      <c r="E162" t="s">
        <v>769</v>
      </c>
      <c r="F162" t="s">
        <v>164</v>
      </c>
      <c r="G162" t="s">
        <v>165</v>
      </c>
      <c r="H162" t="s">
        <v>770</v>
      </c>
      <c r="I162" t="s">
        <v>18</v>
      </c>
      <c r="J162" t="s">
        <v>149</v>
      </c>
      <c r="K162" t="s">
        <v>140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771</v>
      </c>
      <c r="B163" t="s">
        <v>143</v>
      </c>
      <c r="C163" t="s">
        <v>18</v>
      </c>
      <c r="D163" t="s">
        <v>772</v>
      </c>
      <c r="E163" t="s">
        <v>773</v>
      </c>
      <c r="F163" t="s">
        <v>158</v>
      </c>
      <c r="G163" t="s">
        <v>774</v>
      </c>
      <c r="H163" t="s">
        <v>775</v>
      </c>
      <c r="I163" t="s">
        <v>18</v>
      </c>
      <c r="J163" t="s">
        <v>149</v>
      </c>
      <c r="K163" t="s">
        <v>140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776</v>
      </c>
      <c r="B164" t="s">
        <v>143</v>
      </c>
      <c r="C164" t="s">
        <v>18</v>
      </c>
      <c r="D164" t="s">
        <v>777</v>
      </c>
      <c r="E164" t="s">
        <v>778</v>
      </c>
      <c r="F164" t="s">
        <v>158</v>
      </c>
      <c r="G164" t="s">
        <v>779</v>
      </c>
      <c r="H164" t="s">
        <v>780</v>
      </c>
      <c r="I164" t="s">
        <v>18</v>
      </c>
      <c r="J164" t="s">
        <v>149</v>
      </c>
      <c r="K164" t="s">
        <v>140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781</v>
      </c>
      <c r="B165" t="s">
        <v>143</v>
      </c>
      <c r="C165" t="s">
        <v>18</v>
      </c>
      <c r="D165" t="s">
        <v>782</v>
      </c>
      <c r="E165" t="s">
        <v>783</v>
      </c>
      <c r="F165" t="s">
        <v>351</v>
      </c>
      <c r="G165" t="s">
        <v>361</v>
      </c>
      <c r="H165" t="s">
        <v>784</v>
      </c>
      <c r="I165" t="s">
        <v>18</v>
      </c>
      <c r="J165" t="s">
        <v>149</v>
      </c>
      <c r="K165" t="s">
        <v>140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785</v>
      </c>
      <c r="B166" t="s">
        <v>143</v>
      </c>
      <c r="C166" t="s">
        <v>18</v>
      </c>
      <c r="D166" t="s">
        <v>786</v>
      </c>
      <c r="E166" t="s">
        <v>787</v>
      </c>
      <c r="F166" t="s">
        <v>164</v>
      </c>
      <c r="G166" t="s">
        <v>165</v>
      </c>
      <c r="H166" t="s">
        <v>788</v>
      </c>
      <c r="I166" t="s">
        <v>18</v>
      </c>
      <c r="J166" t="s">
        <v>149</v>
      </c>
      <c r="K166" t="s">
        <v>140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789</v>
      </c>
      <c r="B167" t="s">
        <v>143</v>
      </c>
      <c r="C167" t="s">
        <v>18</v>
      </c>
      <c r="D167" t="s">
        <v>790</v>
      </c>
      <c r="E167" t="s">
        <v>791</v>
      </c>
      <c r="F167" t="s">
        <v>146</v>
      </c>
      <c r="G167" t="s">
        <v>170</v>
      </c>
      <c r="H167" t="s">
        <v>792</v>
      </c>
      <c r="I167" t="s">
        <v>18</v>
      </c>
      <c r="J167" t="s">
        <v>149</v>
      </c>
      <c r="K167" t="s">
        <v>140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793</v>
      </c>
      <c r="B168" t="s">
        <v>143</v>
      </c>
      <c r="C168" t="s">
        <v>18</v>
      </c>
      <c r="D168" t="s">
        <v>794</v>
      </c>
      <c r="E168" t="s">
        <v>795</v>
      </c>
      <c r="F168" t="s">
        <v>185</v>
      </c>
      <c r="G168" t="s">
        <v>218</v>
      </c>
      <c r="H168" t="s">
        <v>796</v>
      </c>
      <c r="I168" t="s">
        <v>18</v>
      </c>
      <c r="J168" t="s">
        <v>149</v>
      </c>
      <c r="K168" t="s">
        <v>140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797</v>
      </c>
      <c r="B169" t="s">
        <v>143</v>
      </c>
      <c r="C169" t="s">
        <v>18</v>
      </c>
      <c r="D169" t="s">
        <v>798</v>
      </c>
      <c r="E169" t="s">
        <v>799</v>
      </c>
      <c r="F169" t="s">
        <v>185</v>
      </c>
      <c r="G169" t="s">
        <v>366</v>
      </c>
      <c r="H169" t="s">
        <v>800</v>
      </c>
      <c r="I169" t="s">
        <v>18</v>
      </c>
      <c r="J169" t="s">
        <v>149</v>
      </c>
      <c r="K169" t="s">
        <v>140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801</v>
      </c>
      <c r="B170" t="s">
        <v>143</v>
      </c>
      <c r="C170" t="s">
        <v>18</v>
      </c>
      <c r="D170" t="s">
        <v>802</v>
      </c>
      <c r="E170" t="s">
        <v>803</v>
      </c>
      <c r="F170" t="s">
        <v>164</v>
      </c>
      <c r="G170" t="s">
        <v>165</v>
      </c>
      <c r="H170" t="s">
        <v>804</v>
      </c>
      <c r="I170" t="s">
        <v>18</v>
      </c>
      <c r="J170" t="s">
        <v>149</v>
      </c>
      <c r="K170" t="s">
        <v>140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805</v>
      </c>
      <c r="B171" t="s">
        <v>143</v>
      </c>
      <c r="C171" t="s">
        <v>18</v>
      </c>
      <c r="D171" t="s">
        <v>806</v>
      </c>
      <c r="E171" t="s">
        <v>807</v>
      </c>
      <c r="F171" t="s">
        <v>185</v>
      </c>
      <c r="G171" t="s">
        <v>186</v>
      </c>
      <c r="H171" t="s">
        <v>808</v>
      </c>
      <c r="I171" t="s">
        <v>18</v>
      </c>
      <c r="J171" t="s">
        <v>149</v>
      </c>
      <c r="K171" t="s">
        <v>140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809</v>
      </c>
      <c r="B172" t="s">
        <v>143</v>
      </c>
      <c r="C172" t="s">
        <v>18</v>
      </c>
      <c r="D172" t="s">
        <v>810</v>
      </c>
      <c r="E172" t="s">
        <v>811</v>
      </c>
      <c r="F172" t="s">
        <v>158</v>
      </c>
      <c r="G172" t="s">
        <v>250</v>
      </c>
      <c r="H172" t="s">
        <v>812</v>
      </c>
      <c r="I172" t="s">
        <v>18</v>
      </c>
      <c r="J172" t="s">
        <v>149</v>
      </c>
      <c r="K172" t="s">
        <v>140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813</v>
      </c>
      <c r="B173" t="s">
        <v>143</v>
      </c>
      <c r="C173" t="s">
        <v>18</v>
      </c>
      <c r="D173" t="s">
        <v>814</v>
      </c>
      <c r="E173" t="s">
        <v>815</v>
      </c>
      <c r="F173" t="s">
        <v>351</v>
      </c>
      <c r="G173" t="s">
        <v>352</v>
      </c>
      <c r="H173" t="s">
        <v>816</v>
      </c>
      <c r="I173" t="s">
        <v>18</v>
      </c>
      <c r="J173" t="s">
        <v>149</v>
      </c>
      <c r="K173" t="s">
        <v>140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817</v>
      </c>
      <c r="B174" t="s">
        <v>143</v>
      </c>
      <c r="C174" t="s">
        <v>18</v>
      </c>
      <c r="D174" t="s">
        <v>818</v>
      </c>
      <c r="E174" t="s">
        <v>819</v>
      </c>
      <c r="F174" t="s">
        <v>351</v>
      </c>
      <c r="G174" t="s">
        <v>352</v>
      </c>
      <c r="H174" t="s">
        <v>820</v>
      </c>
      <c r="I174" t="s">
        <v>18</v>
      </c>
      <c r="J174" t="s">
        <v>149</v>
      </c>
      <c r="K174" t="s">
        <v>140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821</v>
      </c>
      <c r="B175" t="s">
        <v>143</v>
      </c>
      <c r="C175" t="s">
        <v>18</v>
      </c>
      <c r="D175" t="s">
        <v>822</v>
      </c>
      <c r="E175" t="s">
        <v>823</v>
      </c>
      <c r="F175" t="s">
        <v>185</v>
      </c>
      <c r="G175" t="s">
        <v>186</v>
      </c>
      <c r="H175" t="s">
        <v>824</v>
      </c>
      <c r="I175" t="s">
        <v>18</v>
      </c>
      <c r="J175" t="s">
        <v>149</v>
      </c>
      <c r="K175" t="s">
        <v>140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825</v>
      </c>
      <c r="B176" t="s">
        <v>143</v>
      </c>
      <c r="C176" t="s">
        <v>18</v>
      </c>
      <c r="D176" t="s">
        <v>826</v>
      </c>
      <c r="E176" t="s">
        <v>827</v>
      </c>
      <c r="F176" t="s">
        <v>164</v>
      </c>
      <c r="G176" t="s">
        <v>300</v>
      </c>
      <c r="H176" t="s">
        <v>828</v>
      </c>
      <c r="I176" t="s">
        <v>18</v>
      </c>
      <c r="J176" t="s">
        <v>149</v>
      </c>
      <c r="K176" t="s">
        <v>140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829</v>
      </c>
      <c r="B177" t="s">
        <v>143</v>
      </c>
      <c r="C177" t="s">
        <v>18</v>
      </c>
      <c r="D177" t="s">
        <v>830</v>
      </c>
      <c r="E177" t="s">
        <v>831</v>
      </c>
      <c r="F177" t="s">
        <v>255</v>
      </c>
      <c r="G177" t="s">
        <v>494</v>
      </c>
      <c r="H177" t="s">
        <v>832</v>
      </c>
      <c r="I177" t="s">
        <v>18</v>
      </c>
      <c r="J177" t="s">
        <v>149</v>
      </c>
      <c r="K177" t="s">
        <v>140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833</v>
      </c>
      <c r="B178" t="s">
        <v>143</v>
      </c>
      <c r="C178" t="s">
        <v>18</v>
      </c>
      <c r="D178" t="s">
        <v>834</v>
      </c>
      <c r="E178" t="s">
        <v>835</v>
      </c>
      <c r="F178" t="s">
        <v>255</v>
      </c>
      <c r="G178" t="s">
        <v>836</v>
      </c>
      <c r="H178" t="s">
        <v>837</v>
      </c>
      <c r="I178" t="s">
        <v>18</v>
      </c>
      <c r="J178" t="s">
        <v>149</v>
      </c>
      <c r="K178" t="s">
        <v>140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838</v>
      </c>
      <c r="B179" t="s">
        <v>143</v>
      </c>
      <c r="C179" t="s">
        <v>18</v>
      </c>
      <c r="D179" t="s">
        <v>839</v>
      </c>
      <c r="E179" t="s">
        <v>840</v>
      </c>
      <c r="F179" t="s">
        <v>158</v>
      </c>
      <c r="G179" t="s">
        <v>513</v>
      </c>
      <c r="H179" t="s">
        <v>841</v>
      </c>
      <c r="I179" t="s">
        <v>18</v>
      </c>
      <c r="J179" t="s">
        <v>149</v>
      </c>
      <c r="K179" t="s">
        <v>140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842</v>
      </c>
      <c r="B180" t="s">
        <v>143</v>
      </c>
      <c r="C180" t="s">
        <v>18</v>
      </c>
      <c r="D180" t="s">
        <v>843</v>
      </c>
      <c r="E180" t="s">
        <v>844</v>
      </c>
      <c r="F180" t="s">
        <v>185</v>
      </c>
      <c r="G180" t="s">
        <v>186</v>
      </c>
      <c r="H180" t="s">
        <v>845</v>
      </c>
      <c r="I180" t="s">
        <v>18</v>
      </c>
      <c r="J180" t="s">
        <v>149</v>
      </c>
      <c r="K180" t="s">
        <v>140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846</v>
      </c>
      <c r="B181" t="s">
        <v>143</v>
      </c>
      <c r="C181" t="s">
        <v>18</v>
      </c>
      <c r="D181" t="s">
        <v>847</v>
      </c>
      <c r="E181" t="s">
        <v>848</v>
      </c>
      <c r="F181" t="s">
        <v>185</v>
      </c>
      <c r="G181" t="s">
        <v>275</v>
      </c>
      <c r="H181" t="s">
        <v>849</v>
      </c>
      <c r="I181" t="s">
        <v>18</v>
      </c>
      <c r="J181" t="s">
        <v>149</v>
      </c>
      <c r="K181" t="s">
        <v>140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850</v>
      </c>
      <c r="B182" t="s">
        <v>143</v>
      </c>
      <c r="C182" t="s">
        <v>18</v>
      </c>
      <c r="D182" t="s">
        <v>851</v>
      </c>
      <c r="E182" t="s">
        <v>852</v>
      </c>
      <c r="F182" t="s">
        <v>158</v>
      </c>
      <c r="G182" t="s">
        <v>236</v>
      </c>
      <c r="H182" t="s">
        <v>853</v>
      </c>
      <c r="I182" t="s">
        <v>18</v>
      </c>
      <c r="J182" t="s">
        <v>149</v>
      </c>
      <c r="K182" t="s">
        <v>140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854</v>
      </c>
      <c r="B183" t="s">
        <v>143</v>
      </c>
      <c r="C183" t="s">
        <v>18</v>
      </c>
      <c r="D183" t="s">
        <v>855</v>
      </c>
      <c r="E183" t="s">
        <v>856</v>
      </c>
      <c r="F183" t="s">
        <v>294</v>
      </c>
      <c r="G183" t="s">
        <v>857</v>
      </c>
      <c r="H183" t="s">
        <v>858</v>
      </c>
      <c r="I183" t="s">
        <v>18</v>
      </c>
      <c r="J183" t="s">
        <v>149</v>
      </c>
      <c r="K183" t="s">
        <v>140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859</v>
      </c>
      <c r="B184" t="s">
        <v>143</v>
      </c>
      <c r="C184" t="s">
        <v>18</v>
      </c>
      <c r="D184" t="s">
        <v>860</v>
      </c>
      <c r="E184" t="s">
        <v>861</v>
      </c>
      <c r="F184" t="s">
        <v>164</v>
      </c>
      <c r="G184" t="s">
        <v>300</v>
      </c>
      <c r="H184" t="s">
        <v>862</v>
      </c>
      <c r="I184" t="s">
        <v>18</v>
      </c>
      <c r="J184" t="s">
        <v>149</v>
      </c>
      <c r="K184" t="s">
        <v>140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863</v>
      </c>
      <c r="B185" t="s">
        <v>143</v>
      </c>
      <c r="C185" t="s">
        <v>18</v>
      </c>
      <c r="D185" t="s">
        <v>864</v>
      </c>
      <c r="E185" t="s">
        <v>865</v>
      </c>
      <c r="F185" t="s">
        <v>158</v>
      </c>
      <c r="G185" t="s">
        <v>342</v>
      </c>
      <c r="H185" t="s">
        <v>866</v>
      </c>
      <c r="I185" t="s">
        <v>18</v>
      </c>
      <c r="J185" t="s">
        <v>149</v>
      </c>
      <c r="K185" t="s">
        <v>140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867</v>
      </c>
      <c r="B186" t="s">
        <v>143</v>
      </c>
      <c r="C186" t="s">
        <v>18</v>
      </c>
      <c r="D186" t="s">
        <v>868</v>
      </c>
      <c r="E186" t="s">
        <v>869</v>
      </c>
      <c r="F186" t="s">
        <v>146</v>
      </c>
      <c r="G186" t="s">
        <v>317</v>
      </c>
      <c r="H186" t="s">
        <v>870</v>
      </c>
      <c r="I186" t="s">
        <v>18</v>
      </c>
      <c r="J186" t="s">
        <v>149</v>
      </c>
      <c r="K186" t="s">
        <v>140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871</v>
      </c>
      <c r="B187" t="s">
        <v>143</v>
      </c>
      <c r="C187" t="s">
        <v>18</v>
      </c>
      <c r="D187" t="s">
        <v>872</v>
      </c>
      <c r="E187" t="s">
        <v>873</v>
      </c>
      <c r="F187" t="s">
        <v>158</v>
      </c>
      <c r="G187" t="s">
        <v>342</v>
      </c>
      <c r="H187" t="s">
        <v>874</v>
      </c>
      <c r="I187" t="s">
        <v>18</v>
      </c>
      <c r="J187" t="s">
        <v>149</v>
      </c>
      <c r="K187" t="s">
        <v>140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875</v>
      </c>
      <c r="B188" t="s">
        <v>143</v>
      </c>
      <c r="C188" t="s">
        <v>18</v>
      </c>
      <c r="D188" t="s">
        <v>876</v>
      </c>
      <c r="E188" t="s">
        <v>877</v>
      </c>
      <c r="F188" t="s">
        <v>158</v>
      </c>
      <c r="G188" t="s">
        <v>878</v>
      </c>
      <c r="H188" t="s">
        <v>879</v>
      </c>
      <c r="I188" t="s">
        <v>18</v>
      </c>
      <c r="J188" t="s">
        <v>149</v>
      </c>
      <c r="K188" t="s">
        <v>140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880</v>
      </c>
      <c r="B189" t="s">
        <v>143</v>
      </c>
      <c r="C189" t="s">
        <v>18</v>
      </c>
      <c r="D189" t="s">
        <v>881</v>
      </c>
      <c r="E189" t="s">
        <v>882</v>
      </c>
      <c r="F189" t="s">
        <v>158</v>
      </c>
      <c r="G189" t="s">
        <v>204</v>
      </c>
      <c r="H189" t="s">
        <v>883</v>
      </c>
      <c r="I189" t="s">
        <v>18</v>
      </c>
      <c r="J189" t="s">
        <v>149</v>
      </c>
      <c r="K189" t="s">
        <v>140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884</v>
      </c>
      <c r="B190" t="s">
        <v>143</v>
      </c>
      <c r="C190" t="s">
        <v>18</v>
      </c>
      <c r="D190" t="s">
        <v>885</v>
      </c>
      <c r="E190" t="s">
        <v>886</v>
      </c>
      <c r="F190" t="s">
        <v>185</v>
      </c>
      <c r="G190" t="s">
        <v>186</v>
      </c>
      <c r="H190" t="s">
        <v>887</v>
      </c>
      <c r="I190" t="s">
        <v>18</v>
      </c>
      <c r="J190" t="s">
        <v>149</v>
      </c>
      <c r="K190" t="s">
        <v>140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888</v>
      </c>
      <c r="B191" t="s">
        <v>143</v>
      </c>
      <c r="C191" t="s">
        <v>18</v>
      </c>
      <c r="D191" t="s">
        <v>889</v>
      </c>
      <c r="E191" t="s">
        <v>890</v>
      </c>
      <c r="F191" t="s">
        <v>146</v>
      </c>
      <c r="G191" t="s">
        <v>638</v>
      </c>
      <c r="H191" t="s">
        <v>891</v>
      </c>
      <c r="I191" t="s">
        <v>18</v>
      </c>
      <c r="J191" t="s">
        <v>149</v>
      </c>
      <c r="K191" t="s">
        <v>140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892</v>
      </c>
      <c r="B192" t="s">
        <v>143</v>
      </c>
      <c r="C192" t="s">
        <v>18</v>
      </c>
      <c r="D192" t="s">
        <v>893</v>
      </c>
      <c r="E192" t="s">
        <v>894</v>
      </c>
      <c r="F192" t="s">
        <v>351</v>
      </c>
      <c r="G192" t="s">
        <v>895</v>
      </c>
      <c r="H192" t="s">
        <v>896</v>
      </c>
      <c r="I192" t="s">
        <v>18</v>
      </c>
      <c r="J192" t="s">
        <v>149</v>
      </c>
      <c r="K192" t="s">
        <v>140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897</v>
      </c>
      <c r="B193" t="s">
        <v>143</v>
      </c>
      <c r="C193" t="s">
        <v>18</v>
      </c>
      <c r="D193" t="s">
        <v>898</v>
      </c>
      <c r="E193" t="s">
        <v>899</v>
      </c>
      <c r="F193" t="s">
        <v>158</v>
      </c>
      <c r="G193" t="s">
        <v>452</v>
      </c>
      <c r="H193" t="s">
        <v>900</v>
      </c>
      <c r="I193" t="s">
        <v>18</v>
      </c>
      <c r="J193" t="s">
        <v>149</v>
      </c>
      <c r="K193" t="s">
        <v>140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901</v>
      </c>
      <c r="B194" t="s">
        <v>143</v>
      </c>
      <c r="C194" t="s">
        <v>18</v>
      </c>
      <c r="D194" t="s">
        <v>902</v>
      </c>
      <c r="E194" t="s">
        <v>903</v>
      </c>
      <c r="F194" t="s">
        <v>158</v>
      </c>
      <c r="G194" t="s">
        <v>904</v>
      </c>
      <c r="H194" t="s">
        <v>905</v>
      </c>
      <c r="I194" t="s">
        <v>18</v>
      </c>
      <c r="J194" t="s">
        <v>149</v>
      </c>
      <c r="K194" t="s">
        <v>140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906</v>
      </c>
      <c r="B195" t="s">
        <v>143</v>
      </c>
      <c r="C195" t="s">
        <v>18</v>
      </c>
      <c r="D195" t="s">
        <v>907</v>
      </c>
      <c r="E195" t="s">
        <v>908</v>
      </c>
      <c r="F195" t="s">
        <v>185</v>
      </c>
      <c r="G195" t="s">
        <v>366</v>
      </c>
      <c r="H195" t="s">
        <v>909</v>
      </c>
      <c r="I195" t="s">
        <v>18</v>
      </c>
      <c r="J195" t="s">
        <v>149</v>
      </c>
      <c r="K195" t="s">
        <v>140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910</v>
      </c>
      <c r="B196" t="s">
        <v>143</v>
      </c>
      <c r="C196" t="s">
        <v>18</v>
      </c>
      <c r="D196" t="s">
        <v>911</v>
      </c>
      <c r="E196" t="s">
        <v>912</v>
      </c>
      <c r="F196" t="s">
        <v>158</v>
      </c>
      <c r="G196" t="s">
        <v>774</v>
      </c>
      <c r="H196" t="s">
        <v>913</v>
      </c>
      <c r="I196" t="s">
        <v>18</v>
      </c>
      <c r="J196" t="s">
        <v>149</v>
      </c>
      <c r="K196" t="s">
        <v>140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914</v>
      </c>
      <c r="B197" t="s">
        <v>143</v>
      </c>
      <c r="C197" t="s">
        <v>18</v>
      </c>
      <c r="D197" t="s">
        <v>915</v>
      </c>
      <c r="E197" t="s">
        <v>916</v>
      </c>
      <c r="F197" t="s">
        <v>185</v>
      </c>
      <c r="G197" t="s">
        <v>366</v>
      </c>
      <c r="H197" t="s">
        <v>917</v>
      </c>
      <c r="I197" t="s">
        <v>18</v>
      </c>
      <c r="J197" t="s">
        <v>149</v>
      </c>
      <c r="K197" t="s">
        <v>140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918</v>
      </c>
      <c r="B198" t="s">
        <v>143</v>
      </c>
      <c r="C198" t="s">
        <v>18</v>
      </c>
      <c r="D198" t="s">
        <v>919</v>
      </c>
      <c r="E198" t="s">
        <v>920</v>
      </c>
      <c r="F198" t="s">
        <v>185</v>
      </c>
      <c r="G198" t="s">
        <v>186</v>
      </c>
      <c r="H198" t="s">
        <v>921</v>
      </c>
      <c r="I198" t="s">
        <v>18</v>
      </c>
      <c r="J198" t="s">
        <v>149</v>
      </c>
      <c r="K198" t="s">
        <v>140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922</v>
      </c>
      <c r="B199" t="s">
        <v>143</v>
      </c>
      <c r="C199" t="s">
        <v>18</v>
      </c>
      <c r="D199" t="s">
        <v>923</v>
      </c>
      <c r="E199" t="s">
        <v>924</v>
      </c>
      <c r="F199" t="s">
        <v>185</v>
      </c>
      <c r="G199" t="s">
        <v>186</v>
      </c>
      <c r="H199" t="s">
        <v>925</v>
      </c>
      <c r="I199" t="s">
        <v>18</v>
      </c>
      <c r="J199" t="s">
        <v>149</v>
      </c>
      <c r="K199" t="s">
        <v>140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926</v>
      </c>
      <c r="B200" t="s">
        <v>143</v>
      </c>
      <c r="C200" t="s">
        <v>18</v>
      </c>
      <c r="D200" t="s">
        <v>927</v>
      </c>
      <c r="E200" t="s">
        <v>928</v>
      </c>
      <c r="F200" t="s">
        <v>255</v>
      </c>
      <c r="G200" t="s">
        <v>494</v>
      </c>
      <c r="H200" t="s">
        <v>929</v>
      </c>
      <c r="I200" t="s">
        <v>18</v>
      </c>
      <c r="J200" t="s">
        <v>149</v>
      </c>
      <c r="K200" t="s">
        <v>140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930</v>
      </c>
      <c r="B201" t="s">
        <v>143</v>
      </c>
      <c r="C201" t="s">
        <v>18</v>
      </c>
      <c r="D201" t="s">
        <v>931</v>
      </c>
      <c r="E201" t="s">
        <v>932</v>
      </c>
      <c r="F201" t="s">
        <v>255</v>
      </c>
      <c r="G201" t="s">
        <v>494</v>
      </c>
      <c r="H201" t="s">
        <v>933</v>
      </c>
      <c r="I201" t="s">
        <v>18</v>
      </c>
      <c r="J201" t="s">
        <v>149</v>
      </c>
      <c r="K201" t="s">
        <v>140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934</v>
      </c>
      <c r="B202" t="s">
        <v>143</v>
      </c>
      <c r="C202" t="s">
        <v>18</v>
      </c>
      <c r="D202" t="s">
        <v>935</v>
      </c>
      <c r="E202" t="s">
        <v>936</v>
      </c>
      <c r="F202" t="s">
        <v>185</v>
      </c>
      <c r="G202" t="s">
        <v>186</v>
      </c>
      <c r="H202" t="s">
        <v>937</v>
      </c>
      <c r="I202" t="s">
        <v>18</v>
      </c>
      <c r="J202" t="s">
        <v>149</v>
      </c>
      <c r="K202" t="s">
        <v>140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938</v>
      </c>
      <c r="B203" t="s">
        <v>143</v>
      </c>
      <c r="C203" t="s">
        <v>18</v>
      </c>
      <c r="D203" t="s">
        <v>939</v>
      </c>
      <c r="E203" t="s">
        <v>940</v>
      </c>
      <c r="F203" t="s">
        <v>185</v>
      </c>
      <c r="G203" t="s">
        <v>186</v>
      </c>
      <c r="H203" t="s">
        <v>941</v>
      </c>
      <c r="I203" t="s">
        <v>18</v>
      </c>
      <c r="J203" t="s">
        <v>149</v>
      </c>
      <c r="K203" t="s">
        <v>140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942</v>
      </c>
      <c r="B204" t="s">
        <v>143</v>
      </c>
      <c r="C204" t="s">
        <v>18</v>
      </c>
      <c r="D204" t="s">
        <v>943</v>
      </c>
      <c r="E204" t="s">
        <v>944</v>
      </c>
      <c r="F204" t="s">
        <v>185</v>
      </c>
      <c r="G204" t="s">
        <v>186</v>
      </c>
      <c r="H204" t="s">
        <v>945</v>
      </c>
      <c r="I204" t="s">
        <v>18</v>
      </c>
      <c r="J204" t="s">
        <v>149</v>
      </c>
      <c r="K204" t="s">
        <v>140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946</v>
      </c>
      <c r="B205" t="s">
        <v>143</v>
      </c>
      <c r="C205" t="s">
        <v>18</v>
      </c>
      <c r="D205" t="s">
        <v>947</v>
      </c>
      <c r="E205" t="s">
        <v>948</v>
      </c>
      <c r="F205" t="s">
        <v>185</v>
      </c>
      <c r="G205" t="s">
        <v>186</v>
      </c>
      <c r="H205" t="s">
        <v>949</v>
      </c>
      <c r="I205" t="s">
        <v>18</v>
      </c>
      <c r="J205" t="s">
        <v>149</v>
      </c>
      <c r="K205" t="s">
        <v>140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950</v>
      </c>
      <c r="B206" t="s">
        <v>143</v>
      </c>
      <c r="C206" t="s">
        <v>18</v>
      </c>
      <c r="D206" t="s">
        <v>951</v>
      </c>
      <c r="E206" t="s">
        <v>952</v>
      </c>
      <c r="F206" t="s">
        <v>185</v>
      </c>
      <c r="G206" t="s">
        <v>366</v>
      </c>
      <c r="H206" t="s">
        <v>953</v>
      </c>
      <c r="I206" t="s">
        <v>18</v>
      </c>
      <c r="J206" t="s">
        <v>149</v>
      </c>
      <c r="K206" t="s">
        <v>140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954</v>
      </c>
      <c r="B207" t="s">
        <v>143</v>
      </c>
      <c r="C207" t="s">
        <v>18</v>
      </c>
      <c r="D207" t="s">
        <v>955</v>
      </c>
      <c r="E207" t="s">
        <v>956</v>
      </c>
      <c r="F207" t="s">
        <v>158</v>
      </c>
      <c r="G207" t="s">
        <v>957</v>
      </c>
      <c r="H207" t="s">
        <v>958</v>
      </c>
      <c r="I207" t="s">
        <v>18</v>
      </c>
      <c r="J207" t="s">
        <v>149</v>
      </c>
      <c r="K207" t="s">
        <v>140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959</v>
      </c>
      <c r="B208" t="s">
        <v>143</v>
      </c>
      <c r="C208" t="s">
        <v>18</v>
      </c>
      <c r="D208" t="s">
        <v>960</v>
      </c>
      <c r="E208" t="s">
        <v>961</v>
      </c>
      <c r="F208" t="s">
        <v>158</v>
      </c>
      <c r="G208" t="s">
        <v>962</v>
      </c>
      <c r="H208" t="s">
        <v>963</v>
      </c>
      <c r="I208" t="s">
        <v>18</v>
      </c>
      <c r="J208" t="s">
        <v>149</v>
      </c>
      <c r="K208" t="s">
        <v>140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964</v>
      </c>
      <c r="B209" t="s">
        <v>143</v>
      </c>
      <c r="C209" t="s">
        <v>18</v>
      </c>
      <c r="D209" t="s">
        <v>965</v>
      </c>
      <c r="E209" t="s">
        <v>966</v>
      </c>
      <c r="F209" t="s">
        <v>146</v>
      </c>
      <c r="G209" t="s">
        <v>967</v>
      </c>
      <c r="H209" t="s">
        <v>968</v>
      </c>
      <c r="I209" t="s">
        <v>18</v>
      </c>
      <c r="J209" t="s">
        <v>149</v>
      </c>
      <c r="K209" t="s">
        <v>140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969</v>
      </c>
      <c r="B210" t="s">
        <v>143</v>
      </c>
      <c r="C210" t="s">
        <v>18</v>
      </c>
      <c r="D210" t="s">
        <v>970</v>
      </c>
      <c r="E210" t="s">
        <v>971</v>
      </c>
      <c r="F210" t="s">
        <v>255</v>
      </c>
      <c r="G210" t="s">
        <v>494</v>
      </c>
      <c r="H210" t="s">
        <v>972</v>
      </c>
      <c r="I210" t="s">
        <v>18</v>
      </c>
      <c r="J210" t="s">
        <v>149</v>
      </c>
      <c r="K210" t="s">
        <v>140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973</v>
      </c>
      <c r="B211" t="s">
        <v>143</v>
      </c>
      <c r="C211" t="s">
        <v>18</v>
      </c>
      <c r="D211" t="s">
        <v>974</v>
      </c>
      <c r="E211" t="s">
        <v>975</v>
      </c>
      <c r="F211" t="s">
        <v>255</v>
      </c>
      <c r="G211" t="s">
        <v>976</v>
      </c>
      <c r="H211" t="s">
        <v>977</v>
      </c>
      <c r="I211" t="s">
        <v>18</v>
      </c>
      <c r="J211" t="s">
        <v>149</v>
      </c>
      <c r="K211" t="s">
        <v>140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978</v>
      </c>
      <c r="B212" t="s">
        <v>143</v>
      </c>
      <c r="C212" t="s">
        <v>18</v>
      </c>
      <c r="D212" t="s">
        <v>979</v>
      </c>
      <c r="E212" t="s">
        <v>980</v>
      </c>
      <c r="F212" t="s">
        <v>723</v>
      </c>
      <c r="G212" t="s">
        <v>317</v>
      </c>
      <c r="H212" t="s">
        <v>981</v>
      </c>
      <c r="I212" t="s">
        <v>18</v>
      </c>
      <c r="J212" t="s">
        <v>149</v>
      </c>
      <c r="K212" t="s">
        <v>140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982</v>
      </c>
      <c r="B213" t="s">
        <v>143</v>
      </c>
      <c r="C213" t="s">
        <v>18</v>
      </c>
      <c r="D213" t="s">
        <v>983</v>
      </c>
      <c r="E213" t="s">
        <v>984</v>
      </c>
      <c r="F213" t="s">
        <v>158</v>
      </c>
      <c r="G213" t="s">
        <v>209</v>
      </c>
      <c r="H213" t="s">
        <v>985</v>
      </c>
      <c r="I213" t="s">
        <v>18</v>
      </c>
      <c r="J213" t="s">
        <v>149</v>
      </c>
      <c r="K213" t="s">
        <v>140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986</v>
      </c>
      <c r="B214" t="s">
        <v>143</v>
      </c>
      <c r="C214" t="s">
        <v>18</v>
      </c>
      <c r="D214" t="s">
        <v>987</v>
      </c>
      <c r="E214" t="s">
        <v>988</v>
      </c>
      <c r="F214" t="s">
        <v>164</v>
      </c>
      <c r="G214" t="s">
        <v>434</v>
      </c>
      <c r="H214" t="s">
        <v>989</v>
      </c>
      <c r="I214" t="s">
        <v>18</v>
      </c>
      <c r="J214" t="s">
        <v>149</v>
      </c>
      <c r="K214" t="s">
        <v>140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990</v>
      </c>
      <c r="B215" t="s">
        <v>143</v>
      </c>
      <c r="C215" t="s">
        <v>18</v>
      </c>
      <c r="D215" t="s">
        <v>991</v>
      </c>
      <c r="E215" t="s">
        <v>992</v>
      </c>
      <c r="F215" t="s">
        <v>164</v>
      </c>
      <c r="G215" t="s">
        <v>398</v>
      </c>
      <c r="H215" t="s">
        <v>993</v>
      </c>
      <c r="I215" t="s">
        <v>18</v>
      </c>
      <c r="J215" t="s">
        <v>149</v>
      </c>
      <c r="K215" t="s">
        <v>140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994</v>
      </c>
      <c r="B216" t="s">
        <v>143</v>
      </c>
      <c r="C216" t="s">
        <v>18</v>
      </c>
      <c r="D216" t="s">
        <v>995</v>
      </c>
      <c r="E216" t="s">
        <v>996</v>
      </c>
      <c r="F216" t="s">
        <v>185</v>
      </c>
      <c r="G216" t="s">
        <v>186</v>
      </c>
      <c r="H216" t="s">
        <v>997</v>
      </c>
      <c r="I216" t="s">
        <v>18</v>
      </c>
      <c r="J216" t="s">
        <v>149</v>
      </c>
      <c r="K216" t="s">
        <v>140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998</v>
      </c>
      <c r="B217" t="s">
        <v>143</v>
      </c>
      <c r="C217" t="s">
        <v>18</v>
      </c>
      <c r="D217" t="s">
        <v>999</v>
      </c>
      <c r="E217" t="s">
        <v>1000</v>
      </c>
      <c r="F217" t="s">
        <v>185</v>
      </c>
      <c r="G217" t="s">
        <v>186</v>
      </c>
      <c r="H217" t="s">
        <v>1001</v>
      </c>
      <c r="I217" t="s">
        <v>18</v>
      </c>
      <c r="J217" t="s">
        <v>149</v>
      </c>
      <c r="K217" t="s">
        <v>140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1002</v>
      </c>
      <c r="B218" t="s">
        <v>143</v>
      </c>
      <c r="C218" t="s">
        <v>18</v>
      </c>
      <c r="D218" t="s">
        <v>1003</v>
      </c>
      <c r="E218" t="s">
        <v>1004</v>
      </c>
      <c r="F218" t="s">
        <v>158</v>
      </c>
      <c r="G218" t="s">
        <v>393</v>
      </c>
      <c r="H218" t="s">
        <v>1005</v>
      </c>
      <c r="I218" t="s">
        <v>18</v>
      </c>
      <c r="J218" t="s">
        <v>149</v>
      </c>
      <c r="K218" t="s">
        <v>140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1006</v>
      </c>
      <c r="B219" t="s">
        <v>143</v>
      </c>
      <c r="C219" t="s">
        <v>18</v>
      </c>
      <c r="D219" t="s">
        <v>1007</v>
      </c>
      <c r="E219" t="s">
        <v>1008</v>
      </c>
      <c r="F219" t="s">
        <v>164</v>
      </c>
      <c r="G219" t="s">
        <v>1009</v>
      </c>
      <c r="H219" t="s">
        <v>1010</v>
      </c>
      <c r="I219" t="s">
        <v>18</v>
      </c>
      <c r="J219" t="s">
        <v>149</v>
      </c>
      <c r="K219" t="s">
        <v>140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1011</v>
      </c>
      <c r="B220" t="s">
        <v>143</v>
      </c>
      <c r="C220" t="s">
        <v>18</v>
      </c>
      <c r="D220" t="s">
        <v>1012</v>
      </c>
      <c r="E220" t="s">
        <v>1013</v>
      </c>
      <c r="F220" t="s">
        <v>164</v>
      </c>
      <c r="G220" t="s">
        <v>300</v>
      </c>
      <c r="H220" t="s">
        <v>1014</v>
      </c>
      <c r="I220" t="s">
        <v>18</v>
      </c>
      <c r="J220" t="s">
        <v>149</v>
      </c>
      <c r="K220" t="s">
        <v>140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1015</v>
      </c>
      <c r="B221" t="s">
        <v>143</v>
      </c>
      <c r="C221" t="s">
        <v>18</v>
      </c>
      <c r="D221" t="s">
        <v>1016</v>
      </c>
      <c r="E221" t="s">
        <v>1017</v>
      </c>
      <c r="F221" t="s">
        <v>164</v>
      </c>
      <c r="G221" t="s">
        <v>300</v>
      </c>
      <c r="H221" t="s">
        <v>1018</v>
      </c>
      <c r="I221" t="s">
        <v>18</v>
      </c>
      <c r="J221" t="s">
        <v>149</v>
      </c>
      <c r="K221" t="s">
        <v>140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1019</v>
      </c>
      <c r="B222" t="s">
        <v>143</v>
      </c>
      <c r="C222" t="s">
        <v>18</v>
      </c>
      <c r="D222" t="s">
        <v>1020</v>
      </c>
      <c r="E222" t="s">
        <v>1021</v>
      </c>
      <c r="F222" t="s">
        <v>185</v>
      </c>
      <c r="G222" t="s">
        <v>186</v>
      </c>
      <c r="H222" t="s">
        <v>1022</v>
      </c>
      <c r="I222" t="s">
        <v>18</v>
      </c>
      <c r="J222" t="s">
        <v>149</v>
      </c>
      <c r="K222" t="s">
        <v>140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1023</v>
      </c>
      <c r="B223" t="s">
        <v>143</v>
      </c>
      <c r="C223" t="s">
        <v>18</v>
      </c>
      <c r="D223" t="s">
        <v>1024</v>
      </c>
      <c r="E223" t="s">
        <v>1025</v>
      </c>
      <c r="F223" t="s">
        <v>185</v>
      </c>
      <c r="G223" t="s">
        <v>186</v>
      </c>
      <c r="H223" t="s">
        <v>1026</v>
      </c>
      <c r="I223" t="s">
        <v>18</v>
      </c>
      <c r="J223" t="s">
        <v>149</v>
      </c>
      <c r="K223" t="s">
        <v>140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1027</v>
      </c>
      <c r="B224" t="s">
        <v>143</v>
      </c>
      <c r="C224" t="s">
        <v>18</v>
      </c>
      <c r="D224" t="s">
        <v>1028</v>
      </c>
      <c r="E224" t="s">
        <v>1029</v>
      </c>
      <c r="F224" t="s">
        <v>185</v>
      </c>
      <c r="G224" t="s">
        <v>366</v>
      </c>
      <c r="H224" t="s">
        <v>1030</v>
      </c>
      <c r="I224" t="s">
        <v>18</v>
      </c>
      <c r="J224" t="s">
        <v>149</v>
      </c>
      <c r="K224" t="s">
        <v>140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1031</v>
      </c>
      <c r="B225" t="s">
        <v>143</v>
      </c>
      <c r="C225" t="s">
        <v>18</v>
      </c>
      <c r="D225" t="s">
        <v>1032</v>
      </c>
      <c r="E225" t="s">
        <v>1033</v>
      </c>
      <c r="F225" t="s">
        <v>294</v>
      </c>
      <c r="G225" t="s">
        <v>1034</v>
      </c>
      <c r="H225" t="s">
        <v>1035</v>
      </c>
      <c r="I225" t="s">
        <v>18</v>
      </c>
      <c r="J225" t="s">
        <v>149</v>
      </c>
      <c r="K225" t="s">
        <v>140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1036</v>
      </c>
      <c r="B226" t="s">
        <v>143</v>
      </c>
      <c r="C226" t="s">
        <v>18</v>
      </c>
      <c r="D226" t="s">
        <v>1037</v>
      </c>
      <c r="E226" t="s">
        <v>1038</v>
      </c>
      <c r="F226" t="s">
        <v>146</v>
      </c>
      <c r="G226" t="s">
        <v>236</v>
      </c>
      <c r="H226" t="s">
        <v>1039</v>
      </c>
      <c r="I226" t="s">
        <v>18</v>
      </c>
      <c r="J226" t="s">
        <v>149</v>
      </c>
      <c r="K226" t="s">
        <v>140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1040</v>
      </c>
      <c r="B227" t="s">
        <v>143</v>
      </c>
      <c r="C227" t="s">
        <v>18</v>
      </c>
      <c r="D227" t="s">
        <v>1041</v>
      </c>
      <c r="E227" t="s">
        <v>1042</v>
      </c>
      <c r="F227" t="s">
        <v>415</v>
      </c>
      <c r="G227" t="s">
        <v>461</v>
      </c>
      <c r="H227" t="s">
        <v>1043</v>
      </c>
      <c r="I227" t="s">
        <v>18</v>
      </c>
      <c r="J227" t="s">
        <v>149</v>
      </c>
      <c r="K227" t="s">
        <v>140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1044</v>
      </c>
      <c r="B228" t="s">
        <v>143</v>
      </c>
      <c r="C228" t="s">
        <v>18</v>
      </c>
      <c r="D228" t="s">
        <v>1045</v>
      </c>
      <c r="E228" t="s">
        <v>1046</v>
      </c>
      <c r="F228" t="s">
        <v>415</v>
      </c>
      <c r="G228" t="s">
        <v>461</v>
      </c>
      <c r="H228" t="s">
        <v>1047</v>
      </c>
      <c r="I228" t="s">
        <v>18</v>
      </c>
      <c r="J228" t="s">
        <v>149</v>
      </c>
      <c r="K228" t="s">
        <v>140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1048</v>
      </c>
      <c r="B229" t="s">
        <v>143</v>
      </c>
      <c r="C229" t="s">
        <v>18</v>
      </c>
      <c r="D229" t="s">
        <v>1049</v>
      </c>
      <c r="E229" t="s">
        <v>1050</v>
      </c>
      <c r="F229" t="s">
        <v>185</v>
      </c>
      <c r="G229" t="s">
        <v>186</v>
      </c>
      <c r="H229" t="s">
        <v>1051</v>
      </c>
      <c r="I229" t="s">
        <v>18</v>
      </c>
      <c r="J229" t="s">
        <v>149</v>
      </c>
      <c r="K229" t="s">
        <v>140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1052</v>
      </c>
      <c r="B230" t="s">
        <v>143</v>
      </c>
      <c r="C230" t="s">
        <v>18</v>
      </c>
      <c r="D230" t="s">
        <v>1053</v>
      </c>
      <c r="E230" t="s">
        <v>1054</v>
      </c>
      <c r="F230" t="s">
        <v>255</v>
      </c>
      <c r="G230" t="s">
        <v>494</v>
      </c>
      <c r="H230" t="s">
        <v>1055</v>
      </c>
      <c r="I230" t="s">
        <v>18</v>
      </c>
      <c r="J230" t="s">
        <v>149</v>
      </c>
      <c r="K230" t="s">
        <v>140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1056</v>
      </c>
      <c r="B231" t="s">
        <v>143</v>
      </c>
      <c r="C231" t="s">
        <v>18</v>
      </c>
      <c r="D231" t="s">
        <v>1057</v>
      </c>
      <c r="E231" t="s">
        <v>1058</v>
      </c>
      <c r="F231" t="s">
        <v>158</v>
      </c>
      <c r="G231" t="s">
        <v>209</v>
      </c>
      <c r="H231" t="s">
        <v>1059</v>
      </c>
      <c r="I231" t="s">
        <v>18</v>
      </c>
      <c r="J231" t="s">
        <v>149</v>
      </c>
      <c r="K231" t="s">
        <v>140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1060</v>
      </c>
      <c r="B232" t="s">
        <v>143</v>
      </c>
      <c r="C232" t="s">
        <v>18</v>
      </c>
      <c r="D232" t="s">
        <v>1061</v>
      </c>
      <c r="E232" t="s">
        <v>1062</v>
      </c>
      <c r="F232" t="s">
        <v>185</v>
      </c>
      <c r="G232" t="s">
        <v>366</v>
      </c>
      <c r="H232" t="s">
        <v>1063</v>
      </c>
      <c r="I232" t="s">
        <v>18</v>
      </c>
      <c r="J232" t="s">
        <v>149</v>
      </c>
      <c r="K232" t="s">
        <v>140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1064</v>
      </c>
      <c r="B233" t="s">
        <v>143</v>
      </c>
      <c r="C233" t="s">
        <v>18</v>
      </c>
      <c r="D233" t="s">
        <v>1065</v>
      </c>
      <c r="E233" t="s">
        <v>1066</v>
      </c>
      <c r="F233" t="s">
        <v>146</v>
      </c>
      <c r="G233" t="s">
        <v>1067</v>
      </c>
      <c r="H233" t="s">
        <v>1068</v>
      </c>
      <c r="I233" t="s">
        <v>18</v>
      </c>
      <c r="J233" t="s">
        <v>149</v>
      </c>
      <c r="K233" t="s">
        <v>140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1069</v>
      </c>
      <c r="B234" t="s">
        <v>143</v>
      </c>
      <c r="C234" t="s">
        <v>18</v>
      </c>
      <c r="D234" t="s">
        <v>1070</v>
      </c>
      <c r="E234" t="s">
        <v>1071</v>
      </c>
      <c r="F234" t="s">
        <v>185</v>
      </c>
      <c r="G234" t="s">
        <v>1072</v>
      </c>
      <c r="H234" t="s">
        <v>1073</v>
      </c>
      <c r="I234" t="s">
        <v>18</v>
      </c>
      <c r="J234" t="s">
        <v>149</v>
      </c>
      <c r="K234" t="s">
        <v>140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1074</v>
      </c>
      <c r="B235" t="s">
        <v>143</v>
      </c>
      <c r="C235" t="s">
        <v>18</v>
      </c>
      <c r="D235" t="s">
        <v>1075</v>
      </c>
      <c r="E235" t="s">
        <v>1076</v>
      </c>
      <c r="F235" t="s">
        <v>185</v>
      </c>
      <c r="G235" t="s">
        <v>186</v>
      </c>
      <c r="H235" t="s">
        <v>1077</v>
      </c>
      <c r="I235" t="s">
        <v>18</v>
      </c>
      <c r="J235" t="s">
        <v>149</v>
      </c>
      <c r="K235" t="s">
        <v>140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1078</v>
      </c>
      <c r="B236" t="s">
        <v>143</v>
      </c>
      <c r="C236" t="s">
        <v>18</v>
      </c>
      <c r="D236" t="s">
        <v>1079</v>
      </c>
      <c r="E236" t="s">
        <v>1080</v>
      </c>
      <c r="F236" t="s">
        <v>255</v>
      </c>
      <c r="G236" t="s">
        <v>836</v>
      </c>
      <c r="H236" t="s">
        <v>1081</v>
      </c>
      <c r="I236" t="s">
        <v>18</v>
      </c>
      <c r="J236" t="s">
        <v>149</v>
      </c>
      <c r="K236" t="s">
        <v>140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1082</v>
      </c>
      <c r="B237" t="s">
        <v>143</v>
      </c>
      <c r="C237" t="s">
        <v>18</v>
      </c>
      <c r="D237" t="s">
        <v>1083</v>
      </c>
      <c r="E237" t="s">
        <v>1084</v>
      </c>
      <c r="F237" t="s">
        <v>158</v>
      </c>
      <c r="G237" t="s">
        <v>1085</v>
      </c>
      <c r="H237" t="s">
        <v>1086</v>
      </c>
      <c r="I237" t="s">
        <v>18</v>
      </c>
      <c r="J237" t="s">
        <v>149</v>
      </c>
      <c r="K237" t="s">
        <v>140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1087</v>
      </c>
      <c r="B238" t="s">
        <v>143</v>
      </c>
      <c r="C238" t="s">
        <v>18</v>
      </c>
      <c r="D238" t="s">
        <v>1088</v>
      </c>
      <c r="E238" t="s">
        <v>1089</v>
      </c>
      <c r="F238" t="s">
        <v>294</v>
      </c>
      <c r="G238" t="s">
        <v>295</v>
      </c>
      <c r="H238" t="s">
        <v>1090</v>
      </c>
      <c r="I238" t="s">
        <v>18</v>
      </c>
      <c r="J238" t="s">
        <v>149</v>
      </c>
      <c r="K238" t="s">
        <v>140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1091</v>
      </c>
      <c r="B239" t="s">
        <v>143</v>
      </c>
      <c r="C239" t="s">
        <v>18</v>
      </c>
      <c r="D239" t="s">
        <v>1092</v>
      </c>
      <c r="E239" t="s">
        <v>1093</v>
      </c>
      <c r="F239" t="s">
        <v>158</v>
      </c>
      <c r="G239" t="s">
        <v>1094</v>
      </c>
      <c r="H239" t="s">
        <v>1095</v>
      </c>
      <c r="I239" t="s">
        <v>18</v>
      </c>
      <c r="J239" t="s">
        <v>149</v>
      </c>
      <c r="K239" t="s">
        <v>140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1096</v>
      </c>
      <c r="B240" t="s">
        <v>143</v>
      </c>
      <c r="C240" t="s">
        <v>18</v>
      </c>
      <c r="D240" t="s">
        <v>1097</v>
      </c>
      <c r="E240" t="s">
        <v>1098</v>
      </c>
      <c r="F240" t="s">
        <v>158</v>
      </c>
      <c r="G240" t="s">
        <v>209</v>
      </c>
      <c r="H240" t="s">
        <v>1099</v>
      </c>
      <c r="I240" t="s">
        <v>18</v>
      </c>
      <c r="J240" t="s">
        <v>149</v>
      </c>
      <c r="K240" t="s">
        <v>140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1100</v>
      </c>
      <c r="B241" t="s">
        <v>143</v>
      </c>
      <c r="C241" t="s">
        <v>18</v>
      </c>
      <c r="D241" t="s">
        <v>1101</v>
      </c>
      <c r="E241" t="s">
        <v>1102</v>
      </c>
      <c r="F241" t="s">
        <v>255</v>
      </c>
      <c r="G241" t="s">
        <v>836</v>
      </c>
      <c r="H241" t="s">
        <v>1103</v>
      </c>
      <c r="I241" t="s">
        <v>18</v>
      </c>
      <c r="J241" t="s">
        <v>149</v>
      </c>
      <c r="K241" t="s">
        <v>140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1104</v>
      </c>
      <c r="B242" t="s">
        <v>143</v>
      </c>
      <c r="C242" t="s">
        <v>18</v>
      </c>
      <c r="D242" t="s">
        <v>1105</v>
      </c>
      <c r="E242" t="s">
        <v>1106</v>
      </c>
      <c r="F242" t="s">
        <v>158</v>
      </c>
      <c r="G242" t="s">
        <v>1094</v>
      </c>
      <c r="H242" t="s">
        <v>1107</v>
      </c>
      <c r="I242" t="s">
        <v>18</v>
      </c>
      <c r="J242" t="s">
        <v>149</v>
      </c>
      <c r="K242" t="s">
        <v>140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1108</v>
      </c>
      <c r="B243" t="s">
        <v>143</v>
      </c>
      <c r="C243" t="s">
        <v>18</v>
      </c>
      <c r="D243" t="s">
        <v>1109</v>
      </c>
      <c r="E243" t="s">
        <v>1110</v>
      </c>
      <c r="F243" t="s">
        <v>185</v>
      </c>
      <c r="G243" t="s">
        <v>218</v>
      </c>
      <c r="H243" t="s">
        <v>1111</v>
      </c>
      <c r="I243" t="s">
        <v>18</v>
      </c>
      <c r="J243" t="s">
        <v>149</v>
      </c>
      <c r="K243" t="s">
        <v>140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1112</v>
      </c>
      <c r="B244" t="s">
        <v>143</v>
      </c>
      <c r="C244" t="s">
        <v>18</v>
      </c>
      <c r="D244" t="s">
        <v>1113</v>
      </c>
      <c r="E244" t="s">
        <v>1114</v>
      </c>
      <c r="F244" t="s">
        <v>415</v>
      </c>
      <c r="G244" t="s">
        <v>757</v>
      </c>
      <c r="H244" t="s">
        <v>1115</v>
      </c>
      <c r="I244" t="s">
        <v>18</v>
      </c>
      <c r="J244" t="s">
        <v>149</v>
      </c>
      <c r="K244" t="s">
        <v>140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1116</v>
      </c>
      <c r="B245" t="s">
        <v>143</v>
      </c>
      <c r="C245" t="s">
        <v>18</v>
      </c>
      <c r="D245" t="s">
        <v>1117</v>
      </c>
      <c r="E245" t="s">
        <v>1118</v>
      </c>
      <c r="F245" t="s">
        <v>146</v>
      </c>
      <c r="G245" t="s">
        <v>317</v>
      </c>
      <c r="H245" t="s">
        <v>1119</v>
      </c>
      <c r="I245" t="s">
        <v>18</v>
      </c>
      <c r="J245" t="s">
        <v>149</v>
      </c>
      <c r="K245" t="s">
        <v>140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1120</v>
      </c>
      <c r="B246" t="s">
        <v>143</v>
      </c>
      <c r="C246" t="s">
        <v>18</v>
      </c>
      <c r="D246" t="s">
        <v>1121</v>
      </c>
      <c r="E246" t="s">
        <v>1122</v>
      </c>
      <c r="F246" t="s">
        <v>185</v>
      </c>
      <c r="G246" t="s">
        <v>186</v>
      </c>
      <c r="H246" t="s">
        <v>1123</v>
      </c>
      <c r="I246" t="s">
        <v>18</v>
      </c>
      <c r="J246" t="s">
        <v>149</v>
      </c>
      <c r="K246" t="s">
        <v>140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1124</v>
      </c>
      <c r="B247" t="s">
        <v>143</v>
      </c>
      <c r="C247" t="s">
        <v>18</v>
      </c>
      <c r="D247" t="s">
        <v>1125</v>
      </c>
      <c r="E247" t="s">
        <v>1126</v>
      </c>
      <c r="F247" t="s">
        <v>164</v>
      </c>
      <c r="G247" t="s">
        <v>165</v>
      </c>
      <c r="H247" t="s">
        <v>1127</v>
      </c>
      <c r="I247" t="s">
        <v>18</v>
      </c>
      <c r="J247" t="s">
        <v>149</v>
      </c>
      <c r="K247" t="s">
        <v>140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1128</v>
      </c>
      <c r="B248" t="s">
        <v>143</v>
      </c>
      <c r="C248" t="s">
        <v>18</v>
      </c>
      <c r="D248" t="s">
        <v>1129</v>
      </c>
      <c r="E248" t="s">
        <v>1130</v>
      </c>
      <c r="F248" t="s">
        <v>185</v>
      </c>
      <c r="G248" t="s">
        <v>186</v>
      </c>
      <c r="H248" t="s">
        <v>1131</v>
      </c>
      <c r="I248" t="s">
        <v>18</v>
      </c>
      <c r="J248" t="s">
        <v>149</v>
      </c>
      <c r="K248" t="s">
        <v>140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1132</v>
      </c>
      <c r="B249" t="s">
        <v>143</v>
      </c>
      <c r="C249" t="s">
        <v>18</v>
      </c>
      <c r="D249" t="s">
        <v>1133</v>
      </c>
      <c r="E249" t="s">
        <v>1134</v>
      </c>
      <c r="F249" t="s">
        <v>415</v>
      </c>
      <c r="G249" t="s">
        <v>1135</v>
      </c>
      <c r="H249" t="s">
        <v>1136</v>
      </c>
      <c r="I249" t="s">
        <v>18</v>
      </c>
      <c r="J249" t="s">
        <v>149</v>
      </c>
      <c r="K249" t="s">
        <v>140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1137</v>
      </c>
      <c r="B250" t="s">
        <v>143</v>
      </c>
      <c r="C250" t="s">
        <v>18</v>
      </c>
      <c r="D250" t="s">
        <v>1138</v>
      </c>
      <c r="E250" t="s">
        <v>1139</v>
      </c>
      <c r="F250" t="s">
        <v>185</v>
      </c>
      <c r="G250" t="s">
        <v>218</v>
      </c>
      <c r="H250" t="s">
        <v>1140</v>
      </c>
      <c r="I250" t="s">
        <v>18</v>
      </c>
      <c r="J250" t="s">
        <v>149</v>
      </c>
      <c r="K250" t="s">
        <v>140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1141</v>
      </c>
      <c r="B251" t="s">
        <v>143</v>
      </c>
      <c r="C251" t="s">
        <v>18</v>
      </c>
      <c r="D251" t="s">
        <v>1142</v>
      </c>
      <c r="E251" t="s">
        <v>1143</v>
      </c>
      <c r="F251" t="s">
        <v>146</v>
      </c>
      <c r="G251" t="s">
        <v>170</v>
      </c>
      <c r="H251" t="s">
        <v>1144</v>
      </c>
      <c r="I251" t="s">
        <v>18</v>
      </c>
      <c r="J251" t="s">
        <v>149</v>
      </c>
      <c r="K251" t="s">
        <v>140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BDH("ZYXIQ US Equity","BS_TOT_ASSET","2020-09-24","2025-09-24","Per=Y","Days=T","Dir=V")</f>
        <v>0</v>
      </c>
      <c r="C2">
        <f>BDH("ZYXIQ US Equity","BS_TOT_LIAB2","2020-09-24","2025-09-24","Per=Y","Days=T","Dir=V")</f>
        <v>0</v>
      </c>
      <c r="E2">
        <f>BDH("ZYXIQ US Equity","SHORT_AND_LONG_TERM_DEBT","2020-09-24","2025-09-24","Per=Y","Days=T","Dir=V")</f>
        <v>0</v>
      </c>
      <c r="G2">
        <f>BDH("ZYXIQ US Equity","BS_ST_BORROW","2020-09-24","2025-09-24","Per=Y","Days=T","Dir=V")</f>
        <v>0</v>
      </c>
      <c r="I2">
        <f>BDH("ZYXIQ US Equity","BS_LT_BORROW","2020-09-24","2025-09-24","Per=Y","Days=T","Dir=V")</f>
        <v>0</v>
      </c>
      <c r="K2">
        <f>BDH("ZYXIQ US Equity","BS_CASH_NEAR_CASH_ITEM","2020-09-24","2025-09-24","Per=Y","Days=T","Dir=V")</f>
        <v>0</v>
      </c>
      <c r="M2">
        <f>BDH("ZYXIQ US Equity","BS_CUR_ASSET_REPORT","2020-09-24","2025-09-24","Per=Y","Days=T","Dir=V")</f>
        <v>0</v>
      </c>
      <c r="O2">
        <f>BDH("ZYXIQ US Equity","BS_CUR_LIAB","2020-09-24","2025-09-24","Per=Y","Days=T","Dir=V")</f>
        <v>0</v>
      </c>
      <c r="Q2">
        <f>BDH("ZYXIQ US Equity","BS_SHAREHOLDER_EQY_ENDING_PERIOD","2020-09-24","2025-09-24","Per=Y","Days=T","Dir=V")</f>
        <v>0</v>
      </c>
      <c r="S2">
        <f>BDH("ZYXIQ US Equity","BS_ACCT_NOTE_RCV","2020-09-24","2025-09-24","Per=Y","Days=T","Dir=V")</f>
        <v>0</v>
      </c>
      <c r="U2">
        <f>BDH("ZYXIQ US Equity","BS_INVENTORIES","2020-09-24","2025-09-24","Per=Y","Days=T","Dir=V")</f>
        <v>0</v>
      </c>
      <c r="W2">
        <f>BDH("ZYXIQ US Equity","WORKING_CAPITAL","2020-09-24","2025-09-24","Per=Y","Days=T","Dir=V")</f>
        <v>0</v>
      </c>
      <c r="Y2">
        <f>BDH("ZYXIQ US Equity","SALES_REV_TURN","2020-09-24","2025-09-24","Per=Y","Days=T","Dir=V")</f>
        <v>0</v>
      </c>
      <c r="AA2">
        <f>BDH("ZYXIQ US Equity","EBIT","2020-09-24","2025-09-24","Per=Y","Days=T","Dir=V")</f>
        <v>0</v>
      </c>
      <c r="AC2">
        <f>BDH("ZYXIQ US Equity","EBITDA","2020-09-24","2025-09-24","Per=Y","Days=T","Dir=V")</f>
        <v>0</v>
      </c>
      <c r="AE2">
        <f>BDH("ZYXIQ US Equity","NET_INCOME","2020-09-24","2025-09-24","Per=Y","Days=T","Dir=V")</f>
        <v>0</v>
      </c>
      <c r="AG2">
        <f>BDH("ZYXIQ US Equity","IS_INT_EXPENSE","2020-09-24","2025-09-24","Per=Y","Days=T","Dir=V")</f>
        <v>0</v>
      </c>
      <c r="AI2">
        <f>BDH("ZYXIQ US Equity","IS_DEPR_EXP","2020-09-24","2025-09-24","Per=Y","Days=T","Dir=V")</f>
        <v>0</v>
      </c>
      <c r="AK2">
        <f>BDH("ZYXIQ US Equity","CF_CASH_FROM_OPER","2020-09-24","2025-09-24","Per=Y","Days=T","Dir=V")</f>
        <v>0</v>
      </c>
      <c r="AM2">
        <f>BDH("ZYXIQ US Equity","CAPITAL_EXPEND","2020-09-24","2025-09-24","Per=Y","Days=T","Dir=V")</f>
        <v>0</v>
      </c>
      <c r="AO2">
        <f>BDH("ZYXIQ US Equity","CF_FREE_CASH_FLOW","2020-09-24","2025-09-24","Per=Y","Days=T","Dir=V")</f>
        <v>0</v>
      </c>
      <c r="AQ2">
        <f>BDH("ZYXIQ US Equity","PX_LAST","2020-09-24","2025-09-24","Per=M","Days=T","Dir=V")</f>
        <v>0</v>
      </c>
      <c r="AS2">
        <f>BDH("ZYXIQ US Equity","CUR_MKT_CAP","2020-09-24","2025-09-24","Per=M","Days=T","Dir=V")</f>
        <v>0</v>
      </c>
      <c r="AU2">
        <f>BDH("ZYXIQ US Equity","EQY_SH_OUT","2020-09-24","2025-09-24","Per=M","Days=T","Dir=V")</f>
        <v>0</v>
      </c>
      <c r="AW2">
        <f>BDH("ZYXIQ US Equity","PX_VOLUME","2020-09-24","2025-09-24","Per=M","Days=T","Dir=V")</f>
        <v>0</v>
      </c>
      <c r="AY2">
        <f>BDH("ZYXIQ US Equity","TURNOVER","2020-09-24","2025-09-24","Per=M","Days=T","Dir=V")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BDH("1707890D US Equity","BS_TOT_ASSET","2020-09-24","2025-09-24","Per=Y","Days=T","Dir=V")</f>
        <v>0</v>
      </c>
      <c r="C2">
        <f>BDH("1707890D US Equity","BS_TOT_LIAB2","2020-09-24","2025-09-24","Per=Y","Days=T","Dir=V")</f>
        <v>0</v>
      </c>
      <c r="E2">
        <f>BDH("1707890D US Equity","SHORT_AND_LONG_TERM_DEBT","2020-09-24","2025-09-24","Per=Y","Days=T","Dir=V")</f>
        <v>0</v>
      </c>
      <c r="G2">
        <f>BDH("1707890D US Equity","BS_ST_BORROW","2020-09-24","2025-09-24","Per=Y","Days=T","Dir=V")</f>
        <v>0</v>
      </c>
      <c r="I2">
        <f>BDH("1707890D US Equity","BS_LT_BORROW","2020-09-24","2025-09-24","Per=Y","Days=T","Dir=V")</f>
        <v>0</v>
      </c>
      <c r="K2">
        <f>BDH("1707890D US Equity","BS_CASH_NEAR_CASH_ITEM","2020-09-24","2025-09-24","Per=Y","Days=T","Dir=V")</f>
        <v>0</v>
      </c>
      <c r="M2">
        <f>BDH("1707890D US Equity","BS_CUR_ASSET_REPORT","2020-09-24","2025-09-24","Per=Y","Days=T","Dir=V")</f>
        <v>0</v>
      </c>
      <c r="O2">
        <f>BDH("1707890D US Equity","BS_CUR_LIAB","2020-09-24","2025-09-24","Per=Y","Days=T","Dir=V")</f>
        <v>0</v>
      </c>
      <c r="Q2">
        <f>BDH("1707890D US Equity","BS_SHAREHOLDER_EQY_ENDING_PERIOD","2020-09-24","2025-09-24","Per=Y","Days=T","Dir=V")</f>
        <v>0</v>
      </c>
      <c r="S2">
        <f>BDH("1707890D US Equity","BS_ACCT_NOTE_RCV","2020-09-24","2025-09-24","Per=Y","Days=T","Dir=V")</f>
        <v>0</v>
      </c>
      <c r="U2">
        <f>BDH("1707890D US Equity","BS_INVENTORIES","2020-09-24","2025-09-24","Per=Y","Days=T","Dir=V")</f>
        <v>0</v>
      </c>
      <c r="W2">
        <f>BDH("1707890D US Equity","WORKING_CAPITAL","2020-09-24","2025-09-24","Per=Y","Days=T","Dir=V")</f>
        <v>0</v>
      </c>
      <c r="Y2">
        <f>BDH("1707890D US Equity","SALES_REV_TURN","2020-09-24","2025-09-24","Per=Y","Days=T","Dir=V")</f>
        <v>0</v>
      </c>
      <c r="AA2">
        <f>BDH("1707890D US Equity","EBIT","2020-09-24","2025-09-24","Per=Y","Days=T","Dir=V")</f>
        <v>0</v>
      </c>
      <c r="AC2">
        <f>BDH("1707890D US Equity","EBITDA","2020-09-24","2025-09-24","Per=Y","Days=T","Dir=V")</f>
        <v>0</v>
      </c>
      <c r="AE2">
        <f>BDH("1707890D US Equity","NET_INCOME","2020-09-24","2025-09-24","Per=Y","Days=T","Dir=V")</f>
        <v>0</v>
      </c>
      <c r="AG2">
        <f>BDH("1707890D US Equity","IS_INT_EXPENSE","2020-09-24","2025-09-24","Per=Y","Days=T","Dir=V")</f>
        <v>0</v>
      </c>
      <c r="AI2">
        <f>BDH("1707890D US Equity","IS_DEPR_EXP","2020-09-24","2025-09-24","Per=Y","Days=T","Dir=V")</f>
        <v>0</v>
      </c>
      <c r="AK2">
        <f>BDH("1707890D US Equity","CF_CASH_FROM_OPER","2020-09-24","2025-09-24","Per=Y","Days=T","Dir=V")</f>
        <v>0</v>
      </c>
      <c r="AM2">
        <f>BDH("1707890D US Equity","CAPITAL_EXPEND","2020-09-24","2025-09-24","Per=Y","Days=T","Dir=V")</f>
        <v>0</v>
      </c>
      <c r="AO2">
        <f>BDH("1707890D US Equity","CF_FREE_CASH_FLOW","2020-09-24","2025-09-24","Per=Y","Days=T","Dir=V")</f>
        <v>0</v>
      </c>
      <c r="AQ2">
        <f>BDH("1707890D US Equity","PX_LAST","2020-09-24","2025-09-24","Per=M","Days=T","Dir=V")</f>
        <v>0</v>
      </c>
      <c r="AS2">
        <f>BDH("1707890D US Equity","CUR_MKT_CAP","2020-09-24","2025-09-24","Per=M","Days=T","Dir=V")</f>
        <v>0</v>
      </c>
      <c r="AU2">
        <f>BDH("1707890D US Equity","EQY_SH_OUT","2020-09-24","2025-09-24","Per=M","Days=T","Dir=V")</f>
        <v>0</v>
      </c>
      <c r="AW2">
        <f>BDH("1707890D US Equity","PX_VOLUME","2020-09-24","2025-09-24","Per=M","Days=T","Dir=V")</f>
        <v>0</v>
      </c>
      <c r="AY2">
        <f>BDH("1707890D US Equity","TURNOVER","2020-09-24","2025-09-24","Per=M","Days=T","Dir=V")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BDH("ECDA US Equity","BS_TOT_ASSET","2020-10-17","2025-10-17","Per=Y","Days=T","Dir=V")</f>
        <v>0</v>
      </c>
      <c r="C2">
        <f>BDH("ECDA US Equity","BS_TOT_LIAB2","2020-10-17","2025-10-17","Per=Y","Days=T","Dir=V")</f>
        <v>0</v>
      </c>
      <c r="E2">
        <f>BDH("ECDA US Equity","SHORT_AND_LONG_TERM_DEBT","2020-10-17","2025-10-17","Per=Y","Days=T","Dir=V")</f>
        <v>0</v>
      </c>
      <c r="G2">
        <f>BDH("ECDA US Equity","BS_ST_BORROW","2020-10-17","2025-10-17","Per=Y","Days=T","Dir=V")</f>
        <v>0</v>
      </c>
      <c r="I2">
        <f>BDH("ECDA US Equity","BS_LT_BORROW","2020-10-17","2025-10-17","Per=Y","Days=T","Dir=V")</f>
        <v>0</v>
      </c>
      <c r="K2">
        <f>BDH("ECDA US Equity","BS_CASH_NEAR_CASH_ITEM","2020-10-17","2025-10-17","Per=Y","Days=T","Dir=V")</f>
        <v>0</v>
      </c>
      <c r="M2">
        <f>BDH("ECDA US Equity","BS_CUR_ASSET_REPORT","2020-10-17","2025-10-17","Per=Y","Days=T","Dir=V")</f>
        <v>0</v>
      </c>
      <c r="O2">
        <f>BDH("ECDA US Equity","BS_CUR_LIAB","2020-10-17","2025-10-17","Per=Y","Days=T","Dir=V")</f>
        <v>0</v>
      </c>
      <c r="Q2">
        <f>BDH("ECDA US Equity","BS_SHAREHOLDER_EQY_ENDING_PERIOD","2020-10-17","2025-10-17","Per=Y","Days=T","Dir=V")</f>
        <v>0</v>
      </c>
      <c r="S2">
        <f>BDH("ECDA US Equity","BS_ACCT_NOTE_RCV","2020-10-17","2025-10-17","Per=Y","Days=T","Dir=V")</f>
        <v>0</v>
      </c>
      <c r="U2">
        <f>BDH("ECDA US Equity","BS_INVENTORIES","2020-10-17","2025-10-17","Per=Y","Days=T","Dir=V")</f>
        <v>0</v>
      </c>
      <c r="W2">
        <f>BDH("ECDA US Equity","WORKING_CAPITAL","2020-10-17","2025-10-17","Per=Y","Days=T","Dir=V")</f>
        <v>0</v>
      </c>
      <c r="Y2">
        <f>BDH("ECDA US Equity","SALES_REV_TURN","2020-10-17","2025-10-17","Per=Y","Days=T","Dir=V")</f>
        <v>0</v>
      </c>
      <c r="AA2">
        <f>BDH("ECDA US Equity","EBIT","2020-10-17","2025-10-17","Per=Y","Days=T","Dir=V")</f>
        <v>0</v>
      </c>
      <c r="AC2">
        <f>BDH("ECDA US Equity","EBITDA","2020-10-17","2025-10-17","Per=Y","Days=T","Dir=V")</f>
        <v>0</v>
      </c>
      <c r="AE2">
        <f>BDH("ECDA US Equity","NET_INCOME","2020-10-17","2025-10-17","Per=Y","Days=T","Dir=V")</f>
        <v>0</v>
      </c>
      <c r="AG2">
        <f>BDH("ECDA US Equity","IS_INT_EXPENSE","2020-10-17","2025-10-17","Per=Y","Days=T","Dir=V")</f>
        <v>0</v>
      </c>
      <c r="AI2">
        <f>BDH("ECDA US Equity","IS_DEPR_EXP","2020-10-17","2025-10-17","Per=Y","Days=T","Dir=V")</f>
        <v>0</v>
      </c>
      <c r="AK2">
        <f>BDH("ECDA US Equity","CF_CASH_FROM_OPER","2020-10-17","2025-10-17","Per=Y","Days=T","Dir=V")</f>
        <v>0</v>
      </c>
      <c r="AM2">
        <f>BDH("ECDA US Equity","CAPITAL_EXPEND","2020-10-17","2025-10-17","Per=Y","Days=T","Dir=V")</f>
        <v>0</v>
      </c>
      <c r="AO2">
        <f>BDH("ECDA US Equity","CF_FREE_CASH_FLOW","2020-10-17","2025-10-17","Per=Y","Days=T","Dir=V")</f>
        <v>0</v>
      </c>
      <c r="AQ2">
        <f>BDH("ECDA US Equity","PX_LAST","2020-10-17","2025-10-17","Per=M","Days=T","Dir=V")</f>
        <v>0</v>
      </c>
      <c r="AS2">
        <f>BDH("ECDA US Equity","CUR_MKT_CAP","2020-10-17","2025-10-17","Per=M","Days=T","Dir=V")</f>
        <v>0</v>
      </c>
      <c r="AU2">
        <f>BDH("ECDA US Equity","EQY_SH_OUT","2020-10-17","2025-10-17","Per=M","Days=T","Dir=V")</f>
        <v>0</v>
      </c>
      <c r="AW2">
        <f>BDH("ECDA US Equity","PX_VOLUME","2020-10-17","2025-10-17","Per=M","Days=T","Dir=V")</f>
        <v>0</v>
      </c>
      <c r="AY2">
        <f>BDH("ECDA US Equity","TURNOVER","2020-10-17","2025-10-17","Per=M","Days=T","Dir=V")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BDH("IVPR US Equity","BS_TOT_ASSET","2020-10-22","2025-10-22","Per=Y","Days=T","Dir=V")</f>
        <v>0</v>
      </c>
      <c r="C2">
        <f>BDH("IVPR US Equity","BS_TOT_LIAB2","2020-10-22","2025-10-22","Per=Y","Days=T","Dir=V")</f>
        <v>0</v>
      </c>
      <c r="E2">
        <f>BDH("IVPR US Equity","SHORT_AND_LONG_TERM_DEBT","2020-10-22","2025-10-22","Per=Y","Days=T","Dir=V")</f>
        <v>0</v>
      </c>
      <c r="G2">
        <f>BDH("IVPR US Equity","BS_ST_BORROW","2020-10-22","2025-10-22","Per=Y","Days=T","Dir=V")</f>
        <v>0</v>
      </c>
      <c r="I2">
        <f>BDH("IVPR US Equity","BS_LT_BORROW","2020-10-22","2025-10-22","Per=Y","Days=T","Dir=V")</f>
        <v>0</v>
      </c>
      <c r="K2">
        <f>BDH("IVPR US Equity","BS_CASH_NEAR_CASH_ITEM","2020-10-22","2025-10-22","Per=Y","Days=T","Dir=V")</f>
        <v>0</v>
      </c>
      <c r="M2">
        <f>BDH("IVPR US Equity","BS_CUR_ASSET_REPORT","2020-10-22","2025-10-22","Per=Y","Days=T","Dir=V")</f>
        <v>0</v>
      </c>
      <c r="O2">
        <f>BDH("IVPR US Equity","BS_CUR_LIAB","2020-10-22","2025-10-22","Per=Y","Days=T","Dir=V")</f>
        <v>0</v>
      </c>
      <c r="Q2">
        <f>BDH("IVPR US Equity","BS_SHAREHOLDER_EQY_ENDING_PERIOD","2020-10-22","2025-10-22","Per=Y","Days=T","Dir=V")</f>
        <v>0</v>
      </c>
      <c r="S2">
        <f>BDH("IVPR US Equity","BS_ACCT_NOTE_RCV","2020-10-22","2025-10-22","Per=Y","Days=T","Dir=V")</f>
        <v>0</v>
      </c>
      <c r="U2">
        <f>BDH("IVPR US Equity","BS_INVENTORIES","2020-10-22","2025-10-22","Per=Y","Days=T","Dir=V")</f>
        <v>0</v>
      </c>
      <c r="W2">
        <f>BDH("IVPR US Equity","WORKING_CAPITAL","2020-10-22","2025-10-22","Per=Y","Days=T","Dir=V")</f>
        <v>0</v>
      </c>
      <c r="Y2">
        <f>BDH("IVPR US Equity","SALES_REV_TURN","2020-10-22","2025-10-22","Per=Y","Days=T","Dir=V")</f>
        <v>0</v>
      </c>
      <c r="AA2">
        <f>BDH("IVPR US Equity","EBIT","2020-10-22","2025-10-22","Per=Y","Days=T","Dir=V")</f>
        <v>0</v>
      </c>
      <c r="AC2">
        <f>BDH("IVPR US Equity","EBITDA","2020-10-22","2025-10-22","Per=Y","Days=T","Dir=V")</f>
        <v>0</v>
      </c>
      <c r="AE2">
        <f>BDH("IVPR US Equity","NET_INCOME","2020-10-22","2025-10-22","Per=Y","Days=T","Dir=V")</f>
        <v>0</v>
      </c>
      <c r="AG2">
        <f>BDH("IVPR US Equity","IS_INT_EXPENSE","2020-10-22","2025-10-22","Per=Y","Days=T","Dir=V")</f>
        <v>0</v>
      </c>
      <c r="AI2">
        <f>BDH("IVPR US Equity","IS_DEPR_EXP","2020-10-22","2025-10-22","Per=Y","Days=T","Dir=V")</f>
        <v>0</v>
      </c>
      <c r="AK2">
        <f>BDH("IVPR US Equity","CF_CASH_FROM_OPER","2020-10-22","2025-10-22","Per=Y","Days=T","Dir=V")</f>
        <v>0</v>
      </c>
      <c r="AM2">
        <f>BDH("IVPR US Equity","CAPITAL_EXPEND","2020-10-22","2025-10-22","Per=Y","Days=T","Dir=V")</f>
        <v>0</v>
      </c>
      <c r="AO2">
        <f>BDH("IVPR US Equity","CF_FREE_CASH_FLOW","2020-10-22","2025-10-22","Per=Y","Days=T","Dir=V")</f>
        <v>0</v>
      </c>
      <c r="AQ2">
        <f>BDH("IVPR US Equity","PX_LAST","2020-10-22","2025-10-22","Per=M","Days=T","Dir=V")</f>
        <v>0</v>
      </c>
      <c r="AS2">
        <f>BDH("IVPR US Equity","CUR_MKT_CAP","2020-10-22","2025-10-22","Per=M","Days=T","Dir=V")</f>
        <v>0</v>
      </c>
      <c r="AU2">
        <f>BDH("IVPR US Equity","EQY_SH_OUT","2020-10-22","2025-10-22","Per=M","Days=T","Dir=V")</f>
        <v>0</v>
      </c>
      <c r="AW2">
        <f>BDH("IVPR US Equity","PX_VOLUME","2020-10-22","2025-10-22","Per=M","Days=T","Dir=V")</f>
        <v>0</v>
      </c>
      <c r="AY2">
        <f>BDH("IVPR US Equity","TURNOVER","2020-10-22","2025-10-22","Per=M","Days=T","Dir=V")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BDH("NINE US Equity","BS_TOT_ASSET","2020-11-01","2025-11-01","Per=Y","Days=T","Dir=V")</f>
        <v>0</v>
      </c>
      <c r="C2">
        <f>BDH("NINE US Equity","BS_TOT_LIAB2","2020-11-01","2025-11-01","Per=Y","Days=T","Dir=V")</f>
        <v>0</v>
      </c>
      <c r="E2">
        <f>BDH("NINE US Equity","SHORT_AND_LONG_TERM_DEBT","2020-11-01","2025-11-01","Per=Y","Days=T","Dir=V")</f>
        <v>0</v>
      </c>
      <c r="G2">
        <f>BDH("NINE US Equity","BS_ST_BORROW","2020-11-01","2025-11-01","Per=Y","Days=T","Dir=V")</f>
        <v>0</v>
      </c>
      <c r="I2">
        <f>BDH("NINE US Equity","BS_LT_BORROW","2020-11-01","2025-11-01","Per=Y","Days=T","Dir=V")</f>
        <v>0</v>
      </c>
      <c r="K2">
        <f>BDH("NINE US Equity","BS_CASH_NEAR_CASH_ITEM","2020-11-01","2025-11-01","Per=Y","Days=T","Dir=V")</f>
        <v>0</v>
      </c>
      <c r="M2">
        <f>BDH("NINE US Equity","BS_CUR_ASSET_REPORT","2020-11-01","2025-11-01","Per=Y","Days=T","Dir=V")</f>
        <v>0</v>
      </c>
      <c r="O2">
        <f>BDH("NINE US Equity","BS_CUR_LIAB","2020-11-01","2025-11-01","Per=Y","Days=T","Dir=V")</f>
        <v>0</v>
      </c>
      <c r="Q2">
        <f>BDH("NINE US Equity","BS_SHAREHOLDER_EQY_ENDING_PERIOD","2020-11-01","2025-11-01","Per=Y","Days=T","Dir=V")</f>
        <v>0</v>
      </c>
      <c r="S2">
        <f>BDH("NINE US Equity","BS_ACCT_NOTE_RCV","2020-11-01","2025-11-01","Per=Y","Days=T","Dir=V")</f>
        <v>0</v>
      </c>
      <c r="U2">
        <f>BDH("NINE US Equity","BS_INVENTORIES","2020-11-01","2025-11-01","Per=Y","Days=T","Dir=V")</f>
        <v>0</v>
      </c>
      <c r="W2">
        <f>BDH("NINE US Equity","WORKING_CAPITAL","2020-11-01","2025-11-01","Per=Y","Days=T","Dir=V")</f>
        <v>0</v>
      </c>
      <c r="Y2">
        <f>BDH("NINE US Equity","SALES_REV_TURN","2020-11-01","2025-11-01","Per=Y","Days=T","Dir=V")</f>
        <v>0</v>
      </c>
      <c r="AA2">
        <f>BDH("NINE US Equity","EBIT","2020-11-01","2025-11-01","Per=Y","Days=T","Dir=V")</f>
        <v>0</v>
      </c>
      <c r="AC2">
        <f>BDH("NINE US Equity","EBITDA","2020-11-01","2025-11-01","Per=Y","Days=T","Dir=V")</f>
        <v>0</v>
      </c>
      <c r="AE2">
        <f>BDH("NINE US Equity","NET_INCOME","2020-11-01","2025-11-01","Per=Y","Days=T","Dir=V")</f>
        <v>0</v>
      </c>
      <c r="AG2">
        <f>BDH("NINE US Equity","IS_INT_EXPENSE","2020-11-01","2025-11-01","Per=Y","Days=T","Dir=V")</f>
        <v>0</v>
      </c>
      <c r="AI2">
        <f>BDH("NINE US Equity","IS_DEPR_EXP","2020-11-01","2025-11-01","Per=Y","Days=T","Dir=V")</f>
        <v>0</v>
      </c>
      <c r="AK2">
        <f>BDH("NINE US Equity","CF_CASH_FROM_OPER","2020-11-01","2025-11-01","Per=Y","Days=T","Dir=V")</f>
        <v>0</v>
      </c>
      <c r="AM2">
        <f>BDH("NINE US Equity","CAPITAL_EXPEND","2020-11-01","2025-11-01","Per=Y","Days=T","Dir=V")</f>
        <v>0</v>
      </c>
      <c r="AO2">
        <f>BDH("NINE US Equity","CF_FREE_CASH_FLOW","2020-11-01","2025-11-01","Per=Y","Days=T","Dir=V")</f>
        <v>0</v>
      </c>
      <c r="AQ2">
        <f>BDH("NINE US Equity","PX_LAST","2020-11-01","2025-11-01","Per=M","Days=T","Dir=V")</f>
        <v>0</v>
      </c>
      <c r="AS2">
        <f>BDH("NINE US Equity","CUR_MKT_CAP","2020-11-01","2025-11-01","Per=M","Days=T","Dir=V")</f>
        <v>0</v>
      </c>
      <c r="AU2">
        <f>BDH("NINE US Equity","EQY_SH_OUT","2020-11-01","2025-11-01","Per=M","Days=T","Dir=V")</f>
        <v>0</v>
      </c>
      <c r="AW2">
        <f>BDH("NINE US Equity","PX_VOLUME","2020-11-01","2025-11-01","Per=M","Days=T","Dir=V")</f>
        <v>0</v>
      </c>
      <c r="AY2">
        <f>BDH("NINE US Equity","TURNOVER","2020-11-01","2025-11-01","Per=M","Days=T","Dir=V")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BDH("TWNPQ US Equity","BS_TOT_ASSET","2020-11-05","2025-11-05","Per=Y","Days=T","Dir=V")</f>
        <v>0</v>
      </c>
      <c r="C2">
        <f>BDH("TWNPQ US Equity","BS_TOT_LIAB2","2020-11-05","2025-11-05","Per=Y","Days=T","Dir=V")</f>
        <v>0</v>
      </c>
      <c r="E2">
        <f>BDH("TWNPQ US Equity","SHORT_AND_LONG_TERM_DEBT","2020-11-05","2025-11-05","Per=Y","Days=T","Dir=V")</f>
        <v>0</v>
      </c>
      <c r="G2">
        <f>BDH("TWNPQ US Equity","BS_ST_BORROW","2020-11-05","2025-11-05","Per=Y","Days=T","Dir=V")</f>
        <v>0</v>
      </c>
      <c r="I2">
        <f>BDH("TWNPQ US Equity","BS_LT_BORROW","2020-11-05","2025-11-05","Per=Y","Days=T","Dir=V")</f>
        <v>0</v>
      </c>
      <c r="K2">
        <f>BDH("TWNPQ US Equity","BS_CASH_NEAR_CASH_ITEM","2020-11-05","2025-11-05","Per=Y","Days=T","Dir=V")</f>
        <v>0</v>
      </c>
      <c r="M2">
        <f>BDH("TWNPQ US Equity","BS_CUR_ASSET_REPORT","2020-11-05","2025-11-05","Per=Y","Days=T","Dir=V")</f>
        <v>0</v>
      </c>
      <c r="O2">
        <f>BDH("TWNPQ US Equity","BS_CUR_LIAB","2020-11-05","2025-11-05","Per=Y","Days=T","Dir=V")</f>
        <v>0</v>
      </c>
      <c r="Q2">
        <f>BDH("TWNPQ US Equity","BS_SHAREHOLDER_EQY_ENDING_PERIOD","2020-11-05","2025-11-05","Per=Y","Days=T","Dir=V")</f>
        <v>0</v>
      </c>
      <c r="S2">
        <f>BDH("TWNPQ US Equity","BS_ACCT_NOTE_RCV","2020-11-05","2025-11-05","Per=Y","Days=T","Dir=V")</f>
        <v>0</v>
      </c>
      <c r="U2">
        <f>BDH("TWNPQ US Equity","BS_INVENTORIES","2020-11-05","2025-11-05","Per=Y","Days=T","Dir=V")</f>
        <v>0</v>
      </c>
      <c r="W2">
        <f>BDH("TWNPQ US Equity","WORKING_CAPITAL","2020-11-05","2025-11-05","Per=Y","Days=T","Dir=V")</f>
        <v>0</v>
      </c>
      <c r="Y2">
        <f>BDH("TWNPQ US Equity","SALES_REV_TURN","2020-11-05","2025-11-05","Per=Y","Days=T","Dir=V")</f>
        <v>0</v>
      </c>
      <c r="AA2">
        <f>BDH("TWNPQ US Equity","EBIT","2020-11-05","2025-11-05","Per=Y","Days=T","Dir=V")</f>
        <v>0</v>
      </c>
      <c r="AC2">
        <f>BDH("TWNPQ US Equity","EBITDA","2020-11-05","2025-11-05","Per=Y","Days=T","Dir=V")</f>
        <v>0</v>
      </c>
      <c r="AE2">
        <f>BDH("TWNPQ US Equity","NET_INCOME","2020-11-05","2025-11-05","Per=Y","Days=T","Dir=V")</f>
        <v>0</v>
      </c>
      <c r="AG2">
        <f>BDH("TWNPQ US Equity","IS_INT_EXPENSE","2020-11-05","2025-11-05","Per=Y","Days=T","Dir=V")</f>
        <v>0</v>
      </c>
      <c r="AI2">
        <f>BDH("TWNPQ US Equity","IS_DEPR_EXP","2020-11-05","2025-11-05","Per=Y","Days=T","Dir=V")</f>
        <v>0</v>
      </c>
      <c r="AK2">
        <f>BDH("TWNPQ US Equity","CF_CASH_FROM_OPER","2020-11-05","2025-11-05","Per=Y","Days=T","Dir=V")</f>
        <v>0</v>
      </c>
      <c r="AM2">
        <f>BDH("TWNPQ US Equity","CAPITAL_EXPEND","2020-11-05","2025-11-05","Per=Y","Days=T","Dir=V")</f>
        <v>0</v>
      </c>
      <c r="AO2">
        <f>BDH("TWNPQ US Equity","CF_FREE_CASH_FLOW","2020-11-05","2025-11-05","Per=Y","Days=T","Dir=V")</f>
        <v>0</v>
      </c>
      <c r="AQ2">
        <f>BDH("TWNPQ US Equity","PX_LAST","2020-11-05","2025-11-05","Per=M","Days=T","Dir=V")</f>
        <v>0</v>
      </c>
      <c r="AS2">
        <f>BDH("TWNPQ US Equity","CUR_MKT_CAP","2020-11-05","2025-11-05","Per=M","Days=T","Dir=V")</f>
        <v>0</v>
      </c>
      <c r="AU2">
        <f>BDH("TWNPQ US Equity","EQY_SH_OUT","2020-11-05","2025-11-05","Per=M","Days=T","Dir=V")</f>
        <v>0</v>
      </c>
      <c r="AW2">
        <f>BDH("TWNPQ US Equity","PX_VOLUME","2020-11-05","2025-11-05","Per=M","Days=T","Dir=V")</f>
        <v>0</v>
      </c>
      <c r="AY2">
        <f>BDH("TWNPQ US Equity","TURNOVER","2020-11-05","2025-11-05","Per=M","Days=T","Dir=V")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BDH("FATAQ US Equity","BS_TOT_ASSET","2020-11-05","2025-11-05","Per=Y","Days=T","Dir=V")</f>
        <v>0</v>
      </c>
      <c r="C2">
        <f>BDH("FATAQ US Equity","BS_TOT_LIAB2","2020-11-05","2025-11-05","Per=Y","Days=T","Dir=V")</f>
        <v>0</v>
      </c>
      <c r="E2">
        <f>BDH("FATAQ US Equity","SHORT_AND_LONG_TERM_DEBT","2020-11-05","2025-11-05","Per=Y","Days=T","Dir=V")</f>
        <v>0</v>
      </c>
      <c r="G2">
        <f>BDH("FATAQ US Equity","BS_ST_BORROW","2020-11-05","2025-11-05","Per=Y","Days=T","Dir=V")</f>
        <v>0</v>
      </c>
      <c r="I2">
        <f>BDH("FATAQ US Equity","BS_LT_BORROW","2020-11-05","2025-11-05","Per=Y","Days=T","Dir=V")</f>
        <v>0</v>
      </c>
      <c r="K2">
        <f>BDH("FATAQ US Equity","BS_CASH_NEAR_CASH_ITEM","2020-11-05","2025-11-05","Per=Y","Days=T","Dir=V")</f>
        <v>0</v>
      </c>
      <c r="M2">
        <f>BDH("FATAQ US Equity","BS_CUR_ASSET_REPORT","2020-11-05","2025-11-05","Per=Y","Days=T","Dir=V")</f>
        <v>0</v>
      </c>
      <c r="O2">
        <f>BDH("FATAQ US Equity","BS_CUR_LIAB","2020-11-05","2025-11-05","Per=Y","Days=T","Dir=V")</f>
        <v>0</v>
      </c>
      <c r="Q2">
        <f>BDH("FATAQ US Equity","BS_SHAREHOLDER_EQY_ENDING_PERIOD","2020-11-05","2025-11-05","Per=Y","Days=T","Dir=V")</f>
        <v>0</v>
      </c>
      <c r="S2">
        <f>BDH("FATAQ US Equity","BS_ACCT_NOTE_RCV","2020-11-05","2025-11-05","Per=Y","Days=T","Dir=V")</f>
        <v>0</v>
      </c>
      <c r="U2">
        <f>BDH("FATAQ US Equity","BS_INVENTORIES","2020-11-05","2025-11-05","Per=Y","Days=T","Dir=V")</f>
        <v>0</v>
      </c>
      <c r="W2">
        <f>BDH("FATAQ US Equity","WORKING_CAPITAL","2020-11-05","2025-11-05","Per=Y","Days=T","Dir=V")</f>
        <v>0</v>
      </c>
      <c r="Y2">
        <f>BDH("FATAQ US Equity","SALES_REV_TURN","2020-11-05","2025-11-05","Per=Y","Days=T","Dir=V")</f>
        <v>0</v>
      </c>
      <c r="AA2">
        <f>BDH("FATAQ US Equity","EBIT","2020-11-05","2025-11-05","Per=Y","Days=T","Dir=V")</f>
        <v>0</v>
      </c>
      <c r="AC2">
        <f>BDH("FATAQ US Equity","EBITDA","2020-11-05","2025-11-05","Per=Y","Days=T","Dir=V")</f>
        <v>0</v>
      </c>
      <c r="AE2">
        <f>BDH("FATAQ US Equity","NET_INCOME","2020-11-05","2025-11-05","Per=Y","Days=T","Dir=V")</f>
        <v>0</v>
      </c>
      <c r="AG2">
        <f>BDH("FATAQ US Equity","IS_INT_EXPENSE","2020-11-05","2025-11-05","Per=Y","Days=T","Dir=V")</f>
        <v>0</v>
      </c>
      <c r="AI2">
        <f>BDH("FATAQ US Equity","IS_DEPR_EXP","2020-11-05","2025-11-05","Per=Y","Days=T","Dir=V")</f>
        <v>0</v>
      </c>
      <c r="AK2">
        <f>BDH("FATAQ US Equity","CF_CASH_FROM_OPER","2020-11-05","2025-11-05","Per=Y","Days=T","Dir=V")</f>
        <v>0</v>
      </c>
      <c r="AM2">
        <f>BDH("FATAQ US Equity","CAPITAL_EXPEND","2020-11-05","2025-11-05","Per=Y","Days=T","Dir=V")</f>
        <v>0</v>
      </c>
      <c r="AO2">
        <f>BDH("FATAQ US Equity","CF_FREE_CASH_FLOW","2020-11-05","2025-11-05","Per=Y","Days=T","Dir=V")</f>
        <v>0</v>
      </c>
      <c r="AQ2">
        <f>BDH("FATAQ US Equity","PX_LAST","2020-11-05","2025-11-05","Per=M","Days=T","Dir=V")</f>
        <v>0</v>
      </c>
      <c r="AS2">
        <f>BDH("FATAQ US Equity","CUR_MKT_CAP","2020-11-05","2025-11-05","Per=M","Days=T","Dir=V")</f>
        <v>0</v>
      </c>
      <c r="AU2">
        <f>BDH("FATAQ US Equity","EQY_SH_OUT","2020-11-05","2025-11-05","Per=M","Days=T","Dir=V")</f>
        <v>0</v>
      </c>
      <c r="AW2">
        <f>BDH("FATAQ US Equity","PX_VOLUME","2020-11-05","2025-11-05","Per=M","Days=T","Dir=V")</f>
        <v>0</v>
      </c>
      <c r="AY2">
        <f>BDH("FATAQ US Equity","TURNOVER","2020-11-05","2025-11-05","Per=M","Days=T","Dir=V")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BDH("BHATF US Equity","BS_TOT_ASSET","2020-12-13","2025-12-13","Per=Y","Days=T","Dir=V")</f>
        <v>0</v>
      </c>
      <c r="C2">
        <f>BDH("BHATF US Equity","BS_TOT_LIAB2","2020-12-13","2025-12-13","Per=Y","Days=T","Dir=V")</f>
        <v>0</v>
      </c>
      <c r="E2">
        <f>BDH("BHATF US Equity","SHORT_AND_LONG_TERM_DEBT","2020-12-13","2025-12-13","Per=Y","Days=T","Dir=V")</f>
        <v>0</v>
      </c>
      <c r="G2">
        <f>BDH("BHATF US Equity","BS_ST_BORROW","2020-12-13","2025-12-13","Per=Y","Days=T","Dir=V")</f>
        <v>0</v>
      </c>
      <c r="I2">
        <f>BDH("BHATF US Equity","BS_LT_BORROW","2020-12-13","2025-12-13","Per=Y","Days=T","Dir=V")</f>
        <v>0</v>
      </c>
      <c r="K2">
        <f>BDH("BHATF US Equity","BS_CASH_NEAR_CASH_ITEM","2020-12-13","2025-12-13","Per=Y","Days=T","Dir=V")</f>
        <v>0</v>
      </c>
      <c r="M2">
        <f>BDH("BHATF US Equity","BS_CUR_ASSET_REPORT","2020-12-13","2025-12-13","Per=Y","Days=T","Dir=V")</f>
        <v>0</v>
      </c>
      <c r="O2">
        <f>BDH("BHATF US Equity","BS_CUR_LIAB","2020-12-13","2025-12-13","Per=Y","Days=T","Dir=V")</f>
        <v>0</v>
      </c>
      <c r="Q2">
        <f>BDH("BHATF US Equity","BS_SHAREHOLDER_EQY_ENDING_PERIOD","2020-12-13","2025-12-13","Per=Y","Days=T","Dir=V")</f>
        <v>0</v>
      </c>
      <c r="S2">
        <f>BDH("BHATF US Equity","BS_ACCT_NOTE_RCV","2020-12-13","2025-12-13","Per=Y","Days=T","Dir=V")</f>
        <v>0</v>
      </c>
      <c r="U2">
        <f>BDH("BHATF US Equity","BS_INVENTORIES","2020-12-13","2025-12-13","Per=Y","Days=T","Dir=V")</f>
        <v>0</v>
      </c>
      <c r="W2">
        <f>BDH("BHATF US Equity","WORKING_CAPITAL","2020-12-13","2025-12-13","Per=Y","Days=T","Dir=V")</f>
        <v>0</v>
      </c>
      <c r="Y2">
        <f>BDH("BHATF US Equity","SALES_REV_TURN","2020-12-13","2025-12-13","Per=Y","Days=T","Dir=V")</f>
        <v>0</v>
      </c>
      <c r="AA2">
        <f>BDH("BHATF US Equity","EBIT","2020-12-13","2025-12-13","Per=Y","Days=T","Dir=V")</f>
        <v>0</v>
      </c>
      <c r="AC2">
        <f>BDH("BHATF US Equity","EBITDA","2020-12-13","2025-12-13","Per=Y","Days=T","Dir=V")</f>
        <v>0</v>
      </c>
      <c r="AE2">
        <f>BDH("BHATF US Equity","NET_INCOME","2020-12-13","2025-12-13","Per=Y","Days=T","Dir=V")</f>
        <v>0</v>
      </c>
      <c r="AG2">
        <f>BDH("BHATF US Equity","IS_INT_EXPENSE","2020-12-13","2025-12-13","Per=Y","Days=T","Dir=V")</f>
        <v>0</v>
      </c>
      <c r="AI2">
        <f>BDH("BHATF US Equity","IS_DEPR_EXP","2020-12-13","2025-12-13","Per=Y","Days=T","Dir=V")</f>
        <v>0</v>
      </c>
      <c r="AK2">
        <f>BDH("BHATF US Equity","CF_CASH_FROM_OPER","2020-12-13","2025-12-13","Per=Y","Days=T","Dir=V")</f>
        <v>0</v>
      </c>
      <c r="AM2">
        <f>BDH("BHATF US Equity","CAPITAL_EXPEND","2020-12-13","2025-12-13","Per=Y","Days=T","Dir=V")</f>
        <v>0</v>
      </c>
      <c r="AO2">
        <f>BDH("BHATF US Equity","CF_FREE_CASH_FLOW","2020-12-13","2025-12-13","Per=Y","Days=T","Dir=V")</f>
        <v>0</v>
      </c>
      <c r="AQ2">
        <f>BDH("BHATF US Equity","PX_LAST","2020-12-13","2025-12-13","Per=M","Days=T","Dir=V")</f>
        <v>0</v>
      </c>
      <c r="AS2">
        <f>BDH("BHATF US Equity","CUR_MKT_CAP","2020-12-13","2025-12-13","Per=M","Days=T","Dir=V")</f>
        <v>0</v>
      </c>
      <c r="AU2">
        <f>BDH("BHATF US Equity","EQY_SH_OUT","2020-12-13","2025-12-13","Per=M","Days=T","Dir=V")</f>
        <v>0</v>
      </c>
      <c r="AW2">
        <f>BDH("BHATF US Equity","PX_VOLUME","2020-12-13","2025-12-13","Per=M","Days=T","Dir=V")</f>
        <v>0</v>
      </c>
      <c r="AY2">
        <f>BDH("BHATF US Equity","TURNOVER","2020-12-13","2025-12-13","Per=M","Days=T","Dir=V")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BDH("IOBTQ US Equity","BS_TOT_ASSET","2021-01-06","2026-01-06","Per=Y","Days=T","Dir=V")</f>
        <v>0</v>
      </c>
      <c r="C2">
        <f>BDH("IOBTQ US Equity","BS_TOT_LIAB2","2021-01-06","2026-01-06","Per=Y","Days=T","Dir=V")</f>
        <v>0</v>
      </c>
      <c r="E2">
        <f>BDH("IOBTQ US Equity","SHORT_AND_LONG_TERM_DEBT","2021-01-06","2026-01-06","Per=Y","Days=T","Dir=V")</f>
        <v>0</v>
      </c>
      <c r="G2">
        <f>BDH("IOBTQ US Equity","BS_ST_BORROW","2021-01-06","2026-01-06","Per=Y","Days=T","Dir=V")</f>
        <v>0</v>
      </c>
      <c r="I2">
        <f>BDH("IOBTQ US Equity","BS_LT_BORROW","2021-01-06","2026-01-06","Per=Y","Days=T","Dir=V")</f>
        <v>0</v>
      </c>
      <c r="K2">
        <f>BDH("IOBTQ US Equity","BS_CASH_NEAR_CASH_ITEM","2021-01-06","2026-01-06","Per=Y","Days=T","Dir=V")</f>
        <v>0</v>
      </c>
      <c r="M2">
        <f>BDH("IOBTQ US Equity","BS_CUR_ASSET_REPORT","2021-01-06","2026-01-06","Per=Y","Days=T","Dir=V")</f>
        <v>0</v>
      </c>
      <c r="O2">
        <f>BDH("IOBTQ US Equity","BS_CUR_LIAB","2021-01-06","2026-01-06","Per=Y","Days=T","Dir=V")</f>
        <v>0</v>
      </c>
      <c r="Q2">
        <f>BDH("IOBTQ US Equity","BS_SHAREHOLDER_EQY_ENDING_PERIOD","2021-01-06","2026-01-06","Per=Y","Days=T","Dir=V")</f>
        <v>0</v>
      </c>
      <c r="S2">
        <f>BDH("IOBTQ US Equity","BS_ACCT_NOTE_RCV","2021-01-06","2026-01-06","Per=Y","Days=T","Dir=V")</f>
        <v>0</v>
      </c>
      <c r="U2">
        <f>BDH("IOBTQ US Equity","BS_INVENTORIES","2021-01-06","2026-01-06","Per=Y","Days=T","Dir=V")</f>
        <v>0</v>
      </c>
      <c r="W2">
        <f>BDH("IOBTQ US Equity","WORKING_CAPITAL","2021-01-06","2026-01-06","Per=Y","Days=T","Dir=V")</f>
        <v>0</v>
      </c>
      <c r="Y2">
        <f>BDH("IOBTQ US Equity","SALES_REV_TURN","2021-01-06","2026-01-06","Per=Y","Days=T","Dir=V")</f>
        <v>0</v>
      </c>
      <c r="AA2">
        <f>BDH("IOBTQ US Equity","EBIT","2021-01-06","2026-01-06","Per=Y","Days=T","Dir=V")</f>
        <v>0</v>
      </c>
      <c r="AC2">
        <f>BDH("IOBTQ US Equity","EBITDA","2021-01-06","2026-01-06","Per=Y","Days=T","Dir=V")</f>
        <v>0</v>
      </c>
      <c r="AE2">
        <f>BDH("IOBTQ US Equity","NET_INCOME","2021-01-06","2026-01-06","Per=Y","Days=T","Dir=V")</f>
        <v>0</v>
      </c>
      <c r="AG2">
        <f>BDH("IOBTQ US Equity","IS_INT_EXPENSE","2021-01-06","2026-01-06","Per=Y","Days=T","Dir=V")</f>
        <v>0</v>
      </c>
      <c r="AI2">
        <f>BDH("IOBTQ US Equity","IS_DEPR_EXP","2021-01-06","2026-01-06","Per=Y","Days=T","Dir=V")</f>
        <v>0</v>
      </c>
      <c r="AK2">
        <f>BDH("IOBTQ US Equity","CF_CASH_FROM_OPER","2021-01-06","2026-01-06","Per=Y","Days=T","Dir=V")</f>
        <v>0</v>
      </c>
      <c r="AM2">
        <f>BDH("IOBTQ US Equity","CAPITAL_EXPEND","2021-01-06","2026-01-06","Per=Y","Days=T","Dir=V")</f>
        <v>0</v>
      </c>
      <c r="AO2">
        <f>BDH("IOBTQ US Equity","CF_FREE_CASH_FLOW","2021-01-06","2026-01-06","Per=Y","Days=T","Dir=V")</f>
        <v>0</v>
      </c>
      <c r="AQ2">
        <f>BDH("IOBTQ US Equity","PX_LAST","2021-01-06","2026-01-06","Per=M","Days=T","Dir=V")</f>
        <v>0</v>
      </c>
      <c r="AS2">
        <f>BDH("IOBTQ US Equity","CUR_MKT_CAP","2021-01-06","2026-01-06","Per=M","Days=T","Dir=V")</f>
        <v>0</v>
      </c>
      <c r="AU2">
        <f>BDH("IOBTQ US Equity","EQY_SH_OUT","2021-01-06","2026-01-06","Per=M","Days=T","Dir=V")</f>
        <v>0</v>
      </c>
      <c r="AW2">
        <f>BDH("IOBTQ US Equity","PX_VOLUME","2021-01-06","2026-01-06","Per=M","Days=T","Dir=V")</f>
        <v>0</v>
      </c>
      <c r="AY2">
        <f>BDH("IOBTQ US Equity","TURNOVER","2021-01-06","2026-01-06","Per=M","Days=T","Dir=V")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BDH("QVCG US Equity","BS_TOT_ASSET","2021-01-24","2026-01-24","Per=Y","Days=T","Dir=V")</f>
        <v>0</v>
      </c>
      <c r="C2">
        <f>BDH("QVCG US Equity","BS_TOT_LIAB2","2021-01-24","2026-01-24","Per=Y","Days=T","Dir=V")</f>
        <v>0</v>
      </c>
      <c r="E2">
        <f>BDH("QVCG US Equity","SHORT_AND_LONG_TERM_DEBT","2021-01-24","2026-01-24","Per=Y","Days=T","Dir=V")</f>
        <v>0</v>
      </c>
      <c r="G2">
        <f>BDH("QVCG US Equity","BS_ST_BORROW","2021-01-24","2026-01-24","Per=Y","Days=T","Dir=V")</f>
        <v>0</v>
      </c>
      <c r="I2">
        <f>BDH("QVCG US Equity","BS_LT_BORROW","2021-01-24","2026-01-24","Per=Y","Days=T","Dir=V")</f>
        <v>0</v>
      </c>
      <c r="K2">
        <f>BDH("QVCG US Equity","BS_CASH_NEAR_CASH_ITEM","2021-01-24","2026-01-24","Per=Y","Days=T","Dir=V")</f>
        <v>0</v>
      </c>
      <c r="M2">
        <f>BDH("QVCG US Equity","BS_CUR_ASSET_REPORT","2021-01-24","2026-01-24","Per=Y","Days=T","Dir=V")</f>
        <v>0</v>
      </c>
      <c r="O2">
        <f>BDH("QVCG US Equity","BS_CUR_LIAB","2021-01-24","2026-01-24","Per=Y","Days=T","Dir=V")</f>
        <v>0</v>
      </c>
      <c r="Q2">
        <f>BDH("QVCG US Equity","BS_SHAREHOLDER_EQY_ENDING_PERIOD","2021-01-24","2026-01-24","Per=Y","Days=T","Dir=V")</f>
        <v>0</v>
      </c>
      <c r="S2">
        <f>BDH("QVCG US Equity","BS_ACCT_NOTE_RCV","2021-01-24","2026-01-24","Per=Y","Days=T","Dir=V")</f>
        <v>0</v>
      </c>
      <c r="U2">
        <f>BDH("QVCG US Equity","BS_INVENTORIES","2021-01-24","2026-01-24","Per=Y","Days=T","Dir=V")</f>
        <v>0</v>
      </c>
      <c r="W2">
        <f>BDH("QVCG US Equity","WORKING_CAPITAL","2021-01-24","2026-01-24","Per=Y","Days=T","Dir=V")</f>
        <v>0</v>
      </c>
      <c r="Y2">
        <f>BDH("QVCG US Equity","SALES_REV_TURN","2021-01-24","2026-01-24","Per=Y","Days=T","Dir=V")</f>
        <v>0</v>
      </c>
      <c r="AA2">
        <f>BDH("QVCG US Equity","EBIT","2021-01-24","2026-01-24","Per=Y","Days=T","Dir=V")</f>
        <v>0</v>
      </c>
      <c r="AC2">
        <f>BDH("QVCG US Equity","EBITDA","2021-01-24","2026-01-24","Per=Y","Days=T","Dir=V")</f>
        <v>0</v>
      </c>
      <c r="AE2">
        <f>BDH("QVCG US Equity","NET_INCOME","2021-01-24","2026-01-24","Per=Y","Days=T","Dir=V")</f>
        <v>0</v>
      </c>
      <c r="AG2">
        <f>BDH("QVCG US Equity","IS_INT_EXPENSE","2021-01-24","2026-01-24","Per=Y","Days=T","Dir=V")</f>
        <v>0</v>
      </c>
      <c r="AI2">
        <f>BDH("QVCG US Equity","IS_DEPR_EXP","2021-01-24","2026-01-24","Per=Y","Days=T","Dir=V")</f>
        <v>0</v>
      </c>
      <c r="AK2">
        <f>BDH("QVCG US Equity","CF_CASH_FROM_OPER","2021-01-24","2026-01-24","Per=Y","Days=T","Dir=V")</f>
        <v>0</v>
      </c>
      <c r="AM2">
        <f>BDH("QVCG US Equity","CAPITAL_EXPEND","2021-01-24","2026-01-24","Per=Y","Days=T","Dir=V")</f>
        <v>0</v>
      </c>
      <c r="AO2">
        <f>BDH("QVCG US Equity","CF_FREE_CASH_FLOW","2021-01-24","2026-01-24","Per=Y","Days=T","Dir=V")</f>
        <v>0</v>
      </c>
      <c r="AQ2">
        <f>BDH("QVCG US Equity","PX_LAST","2021-01-24","2026-01-24","Per=M","Days=T","Dir=V")</f>
        <v>0</v>
      </c>
      <c r="AS2">
        <f>BDH("QVCG US Equity","CUR_MKT_CAP","2021-01-24","2026-01-24","Per=M","Days=T","Dir=V")</f>
        <v>0</v>
      </c>
      <c r="AU2">
        <f>BDH("QVCG US Equity","EQY_SH_OUT","2021-01-24","2026-01-24","Per=M","Days=T","Dir=V")</f>
        <v>0</v>
      </c>
      <c r="AW2">
        <f>BDH("QVCG US Equity","PX_VOLUME","2021-01-24","2026-01-24","Per=M","Days=T","Dir=V")</f>
        <v>0</v>
      </c>
      <c r="AY2">
        <f>BDH("QVCG US Equity","TURNOVER","2021-01-24","2026-01-24","Per=M","Days=T","Dir=V")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BDH("AREB US Equity","BS_TOT_ASSET","2021-02-11","2026-02-11","Per=Y","Days=T","Dir=V")</f>
        <v>0</v>
      </c>
      <c r="C2">
        <f>BDH("AREB US Equity","BS_TOT_LIAB2","2021-02-11","2026-02-11","Per=Y","Days=T","Dir=V")</f>
        <v>0</v>
      </c>
      <c r="E2">
        <f>BDH("AREB US Equity","SHORT_AND_LONG_TERM_DEBT","2021-02-11","2026-02-11","Per=Y","Days=T","Dir=V")</f>
        <v>0</v>
      </c>
      <c r="G2">
        <f>BDH("AREB US Equity","BS_ST_BORROW","2021-02-11","2026-02-11","Per=Y","Days=T","Dir=V")</f>
        <v>0</v>
      </c>
      <c r="I2">
        <f>BDH("AREB US Equity","BS_LT_BORROW","2021-02-11","2026-02-11","Per=Y","Days=T","Dir=V")</f>
        <v>0</v>
      </c>
      <c r="K2">
        <f>BDH("AREB US Equity","BS_CASH_NEAR_CASH_ITEM","2021-02-11","2026-02-11","Per=Y","Days=T","Dir=V")</f>
        <v>0</v>
      </c>
      <c r="M2">
        <f>BDH("AREB US Equity","BS_CUR_ASSET_REPORT","2021-02-11","2026-02-11","Per=Y","Days=T","Dir=V")</f>
        <v>0</v>
      </c>
      <c r="O2">
        <f>BDH("AREB US Equity","BS_CUR_LIAB","2021-02-11","2026-02-11","Per=Y","Days=T","Dir=V")</f>
        <v>0</v>
      </c>
      <c r="Q2">
        <f>BDH("AREB US Equity","BS_SHAREHOLDER_EQY_ENDING_PERIOD","2021-02-11","2026-02-11","Per=Y","Days=T","Dir=V")</f>
        <v>0</v>
      </c>
      <c r="S2">
        <f>BDH("AREB US Equity","BS_ACCT_NOTE_RCV","2021-02-11","2026-02-11","Per=Y","Days=T","Dir=V")</f>
        <v>0</v>
      </c>
      <c r="U2">
        <f>BDH("AREB US Equity","BS_INVENTORIES","2021-02-11","2026-02-11","Per=Y","Days=T","Dir=V")</f>
        <v>0</v>
      </c>
      <c r="W2">
        <f>BDH("AREB US Equity","WORKING_CAPITAL","2021-02-11","2026-02-11","Per=Y","Days=T","Dir=V")</f>
        <v>0</v>
      </c>
      <c r="Y2">
        <f>BDH("AREB US Equity","SALES_REV_TURN","2021-02-11","2026-02-11","Per=Y","Days=T","Dir=V")</f>
        <v>0</v>
      </c>
      <c r="AA2">
        <f>BDH("AREB US Equity","EBIT","2021-02-11","2026-02-11","Per=Y","Days=T","Dir=V")</f>
        <v>0</v>
      </c>
      <c r="AC2">
        <f>BDH("AREB US Equity","EBITDA","2021-02-11","2026-02-11","Per=Y","Days=T","Dir=V")</f>
        <v>0</v>
      </c>
      <c r="AE2">
        <f>BDH("AREB US Equity","NET_INCOME","2021-02-11","2026-02-11","Per=Y","Days=T","Dir=V")</f>
        <v>0</v>
      </c>
      <c r="AG2">
        <f>BDH("AREB US Equity","IS_INT_EXPENSE","2021-02-11","2026-02-11","Per=Y","Days=T","Dir=V")</f>
        <v>0</v>
      </c>
      <c r="AI2">
        <f>BDH("AREB US Equity","IS_DEPR_EXP","2021-02-11","2026-02-11","Per=Y","Days=T","Dir=V")</f>
        <v>0</v>
      </c>
      <c r="AK2">
        <f>BDH("AREB US Equity","CF_CASH_FROM_OPER","2021-02-11","2026-02-11","Per=Y","Days=T","Dir=V")</f>
        <v>0</v>
      </c>
      <c r="AM2">
        <f>BDH("AREB US Equity","CAPITAL_EXPEND","2021-02-11","2026-02-11","Per=Y","Days=T","Dir=V")</f>
        <v>0</v>
      </c>
      <c r="AO2">
        <f>BDH("AREB US Equity","CF_FREE_CASH_FLOW","2021-02-11","2026-02-11","Per=Y","Days=T","Dir=V")</f>
        <v>0</v>
      </c>
      <c r="AQ2">
        <f>BDH("AREB US Equity","PX_LAST","2021-02-11","2026-02-11","Per=M","Days=T","Dir=V")</f>
        <v>0</v>
      </c>
      <c r="AS2">
        <f>BDH("AREB US Equity","CUR_MKT_CAP","2021-02-11","2026-02-11","Per=M","Days=T","Dir=V")</f>
        <v>0</v>
      </c>
      <c r="AU2">
        <f>BDH("AREB US Equity","EQY_SH_OUT","2021-02-11","2026-02-11","Per=M","Days=T","Dir=V")</f>
        <v>0</v>
      </c>
      <c r="AW2">
        <f>BDH("AREB US Equity","PX_VOLUME","2021-02-11","2026-02-11","Per=M","Days=T","Dir=V")</f>
        <v>0</v>
      </c>
      <c r="AY2">
        <f>BDH("AREB US Equity","TURNOVER","2021-02-11","2026-02-11","Per=M","Days=T","Dir=V")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BDH("SOPAQ US Equity","BS_TOT_ASSET","2021-02-19","2026-02-19","Per=Y","Days=T","Dir=V")</f>
        <v>0</v>
      </c>
      <c r="C2">
        <f>BDH("SOPAQ US Equity","BS_TOT_LIAB2","2021-02-19","2026-02-19","Per=Y","Days=T","Dir=V")</f>
        <v>0</v>
      </c>
      <c r="E2">
        <f>BDH("SOPAQ US Equity","SHORT_AND_LONG_TERM_DEBT","2021-02-19","2026-02-19","Per=Y","Days=T","Dir=V")</f>
        <v>0</v>
      </c>
      <c r="G2">
        <f>BDH("SOPAQ US Equity","BS_ST_BORROW","2021-02-19","2026-02-19","Per=Y","Days=T","Dir=V")</f>
        <v>0</v>
      </c>
      <c r="I2">
        <f>BDH("SOPAQ US Equity","BS_LT_BORROW","2021-02-19","2026-02-19","Per=Y","Days=T","Dir=V")</f>
        <v>0</v>
      </c>
      <c r="K2">
        <f>BDH("SOPAQ US Equity","BS_CASH_NEAR_CASH_ITEM","2021-02-19","2026-02-19","Per=Y","Days=T","Dir=V")</f>
        <v>0</v>
      </c>
      <c r="M2">
        <f>BDH("SOPAQ US Equity","BS_CUR_ASSET_REPORT","2021-02-19","2026-02-19","Per=Y","Days=T","Dir=V")</f>
        <v>0</v>
      </c>
      <c r="O2">
        <f>BDH("SOPAQ US Equity","BS_CUR_LIAB","2021-02-19","2026-02-19","Per=Y","Days=T","Dir=V")</f>
        <v>0</v>
      </c>
      <c r="Q2">
        <f>BDH("SOPAQ US Equity","BS_SHAREHOLDER_EQY_ENDING_PERIOD","2021-02-19","2026-02-19","Per=Y","Days=T","Dir=V")</f>
        <v>0</v>
      </c>
      <c r="S2">
        <f>BDH("SOPAQ US Equity","BS_ACCT_NOTE_RCV","2021-02-19","2026-02-19","Per=Y","Days=T","Dir=V")</f>
        <v>0</v>
      </c>
      <c r="U2">
        <f>BDH("SOPAQ US Equity","BS_INVENTORIES","2021-02-19","2026-02-19","Per=Y","Days=T","Dir=V")</f>
        <v>0</v>
      </c>
      <c r="W2">
        <f>BDH("SOPAQ US Equity","WORKING_CAPITAL","2021-02-19","2026-02-19","Per=Y","Days=T","Dir=V")</f>
        <v>0</v>
      </c>
      <c r="Y2">
        <f>BDH("SOPAQ US Equity","SALES_REV_TURN","2021-02-19","2026-02-19","Per=Y","Days=T","Dir=V")</f>
        <v>0</v>
      </c>
      <c r="AA2">
        <f>BDH("SOPAQ US Equity","EBIT","2021-02-19","2026-02-19","Per=Y","Days=T","Dir=V")</f>
        <v>0</v>
      </c>
      <c r="AC2">
        <f>BDH("SOPAQ US Equity","EBITDA","2021-02-19","2026-02-19","Per=Y","Days=T","Dir=V")</f>
        <v>0</v>
      </c>
      <c r="AE2">
        <f>BDH("SOPAQ US Equity","NET_INCOME","2021-02-19","2026-02-19","Per=Y","Days=T","Dir=V")</f>
        <v>0</v>
      </c>
      <c r="AG2">
        <f>BDH("SOPAQ US Equity","IS_INT_EXPENSE","2021-02-19","2026-02-19","Per=Y","Days=T","Dir=V")</f>
        <v>0</v>
      </c>
      <c r="AI2">
        <f>BDH("SOPAQ US Equity","IS_DEPR_EXP","2021-02-19","2026-02-19","Per=Y","Days=T","Dir=V")</f>
        <v>0</v>
      </c>
      <c r="AK2">
        <f>BDH("SOPAQ US Equity","CF_CASH_FROM_OPER","2021-02-19","2026-02-19","Per=Y","Days=T","Dir=V")</f>
        <v>0</v>
      </c>
      <c r="AM2">
        <f>BDH("SOPAQ US Equity","CAPITAL_EXPEND","2021-02-19","2026-02-19","Per=Y","Days=T","Dir=V")</f>
        <v>0</v>
      </c>
      <c r="AO2">
        <f>BDH("SOPAQ US Equity","CF_FREE_CASH_FLOW","2021-02-19","2026-02-19","Per=Y","Days=T","Dir=V")</f>
        <v>0</v>
      </c>
      <c r="AQ2">
        <f>BDH("SOPAQ US Equity","PX_LAST","2021-02-19","2026-02-19","Per=M","Days=T","Dir=V")</f>
        <v>0</v>
      </c>
      <c r="AS2">
        <f>BDH("SOPAQ US Equity","CUR_MKT_CAP","2021-02-19","2026-02-19","Per=M","Days=T","Dir=V")</f>
        <v>0</v>
      </c>
      <c r="AU2">
        <f>BDH("SOPAQ US Equity","EQY_SH_OUT","2021-02-19","2026-02-19","Per=M","Days=T","Dir=V")</f>
        <v>0</v>
      </c>
      <c r="AW2">
        <f>BDH("SOPAQ US Equity","PX_VOLUME","2021-02-19","2026-02-19","Per=M","Days=T","Dir=V")</f>
        <v>0</v>
      </c>
      <c r="AY2">
        <f>BDH("SOPAQ US Equity","TURNOVER","2021-02-19","2026-02-19","Per=M","Days=T","Dir=V")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BDH("NOTVQ US Equity","BS_TOT_ASSET","2021-03-12","2026-03-12","Per=Y","Days=T","Dir=V")</f>
        <v>0</v>
      </c>
      <c r="C2">
        <f>BDH("NOTVQ US Equity","BS_TOT_LIAB2","2021-03-12","2026-03-12","Per=Y","Days=T","Dir=V")</f>
        <v>0</v>
      </c>
      <c r="E2">
        <f>BDH("NOTVQ US Equity","SHORT_AND_LONG_TERM_DEBT","2021-03-12","2026-03-12","Per=Y","Days=T","Dir=V")</f>
        <v>0</v>
      </c>
      <c r="G2">
        <f>BDH("NOTVQ US Equity","BS_ST_BORROW","2021-03-12","2026-03-12","Per=Y","Days=T","Dir=V")</f>
        <v>0</v>
      </c>
      <c r="I2">
        <f>BDH("NOTVQ US Equity","BS_LT_BORROW","2021-03-12","2026-03-12","Per=Y","Days=T","Dir=V")</f>
        <v>0</v>
      </c>
      <c r="K2">
        <f>BDH("NOTVQ US Equity","BS_CASH_NEAR_CASH_ITEM","2021-03-12","2026-03-12","Per=Y","Days=T","Dir=V")</f>
        <v>0</v>
      </c>
      <c r="M2">
        <f>BDH("NOTVQ US Equity","BS_CUR_ASSET_REPORT","2021-03-12","2026-03-12","Per=Y","Days=T","Dir=V")</f>
        <v>0</v>
      </c>
      <c r="O2">
        <f>BDH("NOTVQ US Equity","BS_CUR_LIAB","2021-03-12","2026-03-12","Per=Y","Days=T","Dir=V")</f>
        <v>0</v>
      </c>
      <c r="Q2">
        <f>BDH("NOTVQ US Equity","BS_SHAREHOLDER_EQY_ENDING_PERIOD","2021-03-12","2026-03-12","Per=Y","Days=T","Dir=V")</f>
        <v>0</v>
      </c>
      <c r="S2">
        <f>BDH("NOTVQ US Equity","BS_ACCT_NOTE_RCV","2021-03-12","2026-03-12","Per=Y","Days=T","Dir=V")</f>
        <v>0</v>
      </c>
      <c r="U2">
        <f>BDH("NOTVQ US Equity","BS_INVENTORIES","2021-03-12","2026-03-12","Per=Y","Days=T","Dir=V")</f>
        <v>0</v>
      </c>
      <c r="W2">
        <f>BDH("NOTVQ US Equity","WORKING_CAPITAL","2021-03-12","2026-03-12","Per=Y","Days=T","Dir=V")</f>
        <v>0</v>
      </c>
      <c r="Y2">
        <f>BDH("NOTVQ US Equity","SALES_REV_TURN","2021-03-12","2026-03-12","Per=Y","Days=T","Dir=V")</f>
        <v>0</v>
      </c>
      <c r="AA2">
        <f>BDH("NOTVQ US Equity","EBIT","2021-03-12","2026-03-12","Per=Y","Days=T","Dir=V")</f>
        <v>0</v>
      </c>
      <c r="AC2">
        <f>BDH("NOTVQ US Equity","EBITDA","2021-03-12","2026-03-12","Per=Y","Days=T","Dir=V")</f>
        <v>0</v>
      </c>
      <c r="AE2">
        <f>BDH("NOTVQ US Equity","NET_INCOME","2021-03-12","2026-03-12","Per=Y","Days=T","Dir=V")</f>
        <v>0</v>
      </c>
      <c r="AG2">
        <f>BDH("NOTVQ US Equity","IS_INT_EXPENSE","2021-03-12","2026-03-12","Per=Y","Days=T","Dir=V")</f>
        <v>0</v>
      </c>
      <c r="AI2">
        <f>BDH("NOTVQ US Equity","IS_DEPR_EXP","2021-03-12","2026-03-12","Per=Y","Days=T","Dir=V")</f>
        <v>0</v>
      </c>
      <c r="AK2">
        <f>BDH("NOTVQ US Equity","CF_CASH_FROM_OPER","2021-03-12","2026-03-12","Per=Y","Days=T","Dir=V")</f>
        <v>0</v>
      </c>
      <c r="AM2">
        <f>BDH("NOTVQ US Equity","CAPITAL_EXPEND","2021-03-12","2026-03-12","Per=Y","Days=T","Dir=V")</f>
        <v>0</v>
      </c>
      <c r="AO2">
        <f>BDH("NOTVQ US Equity","CF_FREE_CASH_FLOW","2021-03-12","2026-03-12","Per=Y","Days=T","Dir=V")</f>
        <v>0</v>
      </c>
      <c r="AQ2">
        <f>BDH("NOTVQ US Equity","PX_LAST","2021-03-12","2026-03-12","Per=M","Days=T","Dir=V")</f>
        <v>0</v>
      </c>
      <c r="AS2">
        <f>BDH("NOTVQ US Equity","CUR_MKT_CAP","2021-03-12","2026-03-12","Per=M","Days=T","Dir=V")</f>
        <v>0</v>
      </c>
      <c r="AU2">
        <f>BDH("NOTVQ US Equity","EQY_SH_OUT","2021-03-12","2026-03-12","Per=M","Days=T","Dir=V")</f>
        <v>0</v>
      </c>
      <c r="AW2">
        <f>BDH("NOTVQ US Equity","PX_VOLUME","2021-03-12","2026-03-12","Per=M","Days=T","Dir=V")</f>
        <v>0</v>
      </c>
      <c r="AY2">
        <f>BDH("NOTVQ US Equity","TURNOVER","2021-03-12","2026-03-12","Per=M","Days=T","Dir=V")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BDH("GOCOQ US Equity","BS_TOT_ASSET","2021-03-17","2026-03-17","Per=Y","Days=T","Dir=V")</f>
        <v>0</v>
      </c>
      <c r="C2">
        <f>BDH("GOCOQ US Equity","BS_TOT_LIAB2","2021-03-17","2026-03-17","Per=Y","Days=T","Dir=V")</f>
        <v>0</v>
      </c>
      <c r="E2">
        <f>BDH("GOCOQ US Equity","SHORT_AND_LONG_TERM_DEBT","2021-03-17","2026-03-17","Per=Y","Days=T","Dir=V")</f>
        <v>0</v>
      </c>
      <c r="G2">
        <f>BDH("GOCOQ US Equity","BS_ST_BORROW","2021-03-17","2026-03-17","Per=Y","Days=T","Dir=V")</f>
        <v>0</v>
      </c>
      <c r="I2">
        <f>BDH("GOCOQ US Equity","BS_LT_BORROW","2021-03-17","2026-03-17","Per=Y","Days=T","Dir=V")</f>
        <v>0</v>
      </c>
      <c r="K2">
        <f>BDH("GOCOQ US Equity","BS_CASH_NEAR_CASH_ITEM","2021-03-17","2026-03-17","Per=Y","Days=T","Dir=V")</f>
        <v>0</v>
      </c>
      <c r="M2">
        <f>BDH("GOCOQ US Equity","BS_CUR_ASSET_REPORT","2021-03-17","2026-03-17","Per=Y","Days=T","Dir=V")</f>
        <v>0</v>
      </c>
      <c r="O2">
        <f>BDH("GOCOQ US Equity","BS_CUR_LIAB","2021-03-17","2026-03-17","Per=Y","Days=T","Dir=V")</f>
        <v>0</v>
      </c>
      <c r="Q2">
        <f>BDH("GOCOQ US Equity","BS_SHAREHOLDER_EQY_ENDING_PERIOD","2021-03-17","2026-03-17","Per=Y","Days=T","Dir=V")</f>
        <v>0</v>
      </c>
      <c r="S2">
        <f>BDH("GOCOQ US Equity","BS_ACCT_NOTE_RCV","2021-03-17","2026-03-17","Per=Y","Days=T","Dir=V")</f>
        <v>0</v>
      </c>
      <c r="U2">
        <f>BDH("GOCOQ US Equity","BS_INVENTORIES","2021-03-17","2026-03-17","Per=Y","Days=T","Dir=V")</f>
        <v>0</v>
      </c>
      <c r="W2">
        <f>BDH("GOCOQ US Equity","WORKING_CAPITAL","2021-03-17","2026-03-17","Per=Y","Days=T","Dir=V")</f>
        <v>0</v>
      </c>
      <c r="Y2">
        <f>BDH("GOCOQ US Equity","SALES_REV_TURN","2021-03-17","2026-03-17","Per=Y","Days=T","Dir=V")</f>
        <v>0</v>
      </c>
      <c r="AA2">
        <f>BDH("GOCOQ US Equity","EBIT","2021-03-17","2026-03-17","Per=Y","Days=T","Dir=V")</f>
        <v>0</v>
      </c>
      <c r="AC2">
        <f>BDH("GOCOQ US Equity","EBITDA","2021-03-17","2026-03-17","Per=Y","Days=T","Dir=V")</f>
        <v>0</v>
      </c>
      <c r="AE2">
        <f>BDH("GOCOQ US Equity","NET_INCOME","2021-03-17","2026-03-17","Per=Y","Days=T","Dir=V")</f>
        <v>0</v>
      </c>
      <c r="AG2">
        <f>BDH("GOCOQ US Equity","IS_INT_EXPENSE","2021-03-17","2026-03-17","Per=Y","Days=T","Dir=V")</f>
        <v>0</v>
      </c>
      <c r="AI2">
        <f>BDH("GOCOQ US Equity","IS_DEPR_EXP","2021-03-17","2026-03-17","Per=Y","Days=T","Dir=V")</f>
        <v>0</v>
      </c>
      <c r="AK2">
        <f>BDH("GOCOQ US Equity","CF_CASH_FROM_OPER","2021-03-17","2026-03-17","Per=Y","Days=T","Dir=V")</f>
        <v>0</v>
      </c>
      <c r="AM2">
        <f>BDH("GOCOQ US Equity","CAPITAL_EXPEND","2021-03-17","2026-03-17","Per=Y","Days=T","Dir=V")</f>
        <v>0</v>
      </c>
      <c r="AO2">
        <f>BDH("GOCOQ US Equity","CF_FREE_CASH_FLOW","2021-03-17","2026-03-17","Per=Y","Days=T","Dir=V")</f>
        <v>0</v>
      </c>
      <c r="AQ2">
        <f>BDH("GOCOQ US Equity","PX_LAST","2021-03-17","2026-03-17","Per=M","Days=T","Dir=V")</f>
        <v>0</v>
      </c>
      <c r="AS2">
        <f>BDH("GOCOQ US Equity","CUR_MKT_CAP","2021-03-17","2026-03-17","Per=M","Days=T","Dir=V")</f>
        <v>0</v>
      </c>
      <c r="AU2">
        <f>BDH("GOCOQ US Equity","EQY_SH_OUT","2021-03-17","2026-03-17","Per=M","Days=T","Dir=V")</f>
        <v>0</v>
      </c>
      <c r="AW2">
        <f>BDH("GOCOQ US Equity","PX_VOLUME","2021-03-17","2026-03-17","Per=M","Days=T","Dir=V")</f>
        <v>0</v>
      </c>
      <c r="AY2">
        <f>BDH("GOCOQ US Equity","TURNOVER","2021-03-17","2026-03-17","Per=M","Days=T","Dir=V")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BDH("SNBRQ US Equity","BS_TOT_ASSET","2021-03-24","2026-03-24","Per=Y","Days=T","Dir=V")</f>
        <v>0</v>
      </c>
      <c r="C2">
        <f>BDH("SNBRQ US Equity","BS_TOT_LIAB2","2021-03-24","2026-03-24","Per=Y","Days=T","Dir=V")</f>
        <v>0</v>
      </c>
      <c r="E2">
        <f>BDH("SNBRQ US Equity","SHORT_AND_LONG_TERM_DEBT","2021-03-24","2026-03-24","Per=Y","Days=T","Dir=V")</f>
        <v>0</v>
      </c>
      <c r="G2">
        <f>BDH("SNBRQ US Equity","BS_ST_BORROW","2021-03-24","2026-03-24","Per=Y","Days=T","Dir=V")</f>
        <v>0</v>
      </c>
      <c r="I2">
        <f>BDH("SNBRQ US Equity","BS_LT_BORROW","2021-03-24","2026-03-24","Per=Y","Days=T","Dir=V")</f>
        <v>0</v>
      </c>
      <c r="K2">
        <f>BDH("SNBRQ US Equity","BS_CASH_NEAR_CASH_ITEM","2021-03-24","2026-03-24","Per=Y","Days=T","Dir=V")</f>
        <v>0</v>
      </c>
      <c r="M2">
        <f>BDH("SNBRQ US Equity","BS_CUR_ASSET_REPORT","2021-03-24","2026-03-24","Per=Y","Days=T","Dir=V")</f>
        <v>0</v>
      </c>
      <c r="O2">
        <f>BDH("SNBRQ US Equity","BS_CUR_LIAB","2021-03-24","2026-03-24","Per=Y","Days=T","Dir=V")</f>
        <v>0</v>
      </c>
      <c r="Q2">
        <f>BDH("SNBRQ US Equity","BS_SHAREHOLDER_EQY_ENDING_PERIOD","2021-03-24","2026-03-24","Per=Y","Days=T","Dir=V")</f>
        <v>0</v>
      </c>
      <c r="S2">
        <f>BDH("SNBRQ US Equity","BS_ACCT_NOTE_RCV","2021-03-24","2026-03-24","Per=Y","Days=T","Dir=V")</f>
        <v>0</v>
      </c>
      <c r="U2">
        <f>BDH("SNBRQ US Equity","BS_INVENTORIES","2021-03-24","2026-03-24","Per=Y","Days=T","Dir=V")</f>
        <v>0</v>
      </c>
      <c r="W2">
        <f>BDH("SNBRQ US Equity","WORKING_CAPITAL","2021-03-24","2026-03-24","Per=Y","Days=T","Dir=V")</f>
        <v>0</v>
      </c>
      <c r="Y2">
        <f>BDH("SNBRQ US Equity","SALES_REV_TURN","2021-03-24","2026-03-24","Per=Y","Days=T","Dir=V")</f>
        <v>0</v>
      </c>
      <c r="AA2">
        <f>BDH("SNBRQ US Equity","EBIT","2021-03-24","2026-03-24","Per=Y","Days=T","Dir=V")</f>
        <v>0</v>
      </c>
      <c r="AC2">
        <f>BDH("SNBRQ US Equity","EBITDA","2021-03-24","2026-03-24","Per=Y","Days=T","Dir=V")</f>
        <v>0</v>
      </c>
      <c r="AE2">
        <f>BDH("SNBRQ US Equity","NET_INCOME","2021-03-24","2026-03-24","Per=Y","Days=T","Dir=V")</f>
        <v>0</v>
      </c>
      <c r="AG2">
        <f>BDH("SNBRQ US Equity","IS_INT_EXPENSE","2021-03-24","2026-03-24","Per=Y","Days=T","Dir=V")</f>
        <v>0</v>
      </c>
      <c r="AI2">
        <f>BDH("SNBRQ US Equity","IS_DEPR_EXP","2021-03-24","2026-03-24","Per=Y","Days=T","Dir=V")</f>
        <v>0</v>
      </c>
      <c r="AK2">
        <f>BDH("SNBRQ US Equity","CF_CASH_FROM_OPER","2021-03-24","2026-03-24","Per=Y","Days=T","Dir=V")</f>
        <v>0</v>
      </c>
      <c r="AM2">
        <f>BDH("SNBRQ US Equity","CAPITAL_EXPEND","2021-03-24","2026-03-24","Per=Y","Days=T","Dir=V")</f>
        <v>0</v>
      </c>
      <c r="AO2">
        <f>BDH("SNBRQ US Equity","CF_FREE_CASH_FLOW","2021-03-24","2026-03-24","Per=Y","Days=T","Dir=V")</f>
        <v>0</v>
      </c>
      <c r="AQ2">
        <f>BDH("SNBRQ US Equity","PX_LAST","2021-03-24","2026-03-24","Per=M","Days=T","Dir=V")</f>
        <v>0</v>
      </c>
      <c r="AS2">
        <f>BDH("SNBRQ US Equity","CUR_MKT_CAP","2021-03-24","2026-03-24","Per=M","Days=T","Dir=V")</f>
        <v>0</v>
      </c>
      <c r="AU2">
        <f>BDH("SNBRQ US Equity","EQY_SH_OUT","2021-03-24","2026-03-24","Per=M","Days=T","Dir=V")</f>
        <v>0</v>
      </c>
      <c r="AW2">
        <f>BDH("SNBRQ US Equity","PX_VOLUME","2021-03-24","2026-03-24","Per=M","Days=T","Dir=V")</f>
        <v>0</v>
      </c>
      <c r="AY2">
        <f>BDH("SNBRQ US Equity","TURNOVER","2021-03-24","2026-03-24","Per=M","Days=T","Dir=V")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BDH("DEVSF US Equity","BS_TOT_ASSET","2021-03-25","2026-03-25","Per=Y","Days=T","Dir=V")</f>
        <v>0</v>
      </c>
      <c r="C2">
        <f>BDH("DEVSF US Equity","BS_TOT_LIAB2","2021-03-25","2026-03-25","Per=Y","Days=T","Dir=V")</f>
        <v>0</v>
      </c>
      <c r="E2">
        <f>BDH("DEVSF US Equity","SHORT_AND_LONG_TERM_DEBT","2021-03-25","2026-03-25","Per=Y","Days=T","Dir=V")</f>
        <v>0</v>
      </c>
      <c r="G2">
        <f>BDH("DEVSF US Equity","BS_ST_BORROW","2021-03-25","2026-03-25","Per=Y","Days=T","Dir=V")</f>
        <v>0</v>
      </c>
      <c r="I2">
        <f>BDH("DEVSF US Equity","BS_LT_BORROW","2021-03-25","2026-03-25","Per=Y","Days=T","Dir=V")</f>
        <v>0</v>
      </c>
      <c r="K2">
        <f>BDH("DEVSF US Equity","BS_CASH_NEAR_CASH_ITEM","2021-03-25","2026-03-25","Per=Y","Days=T","Dir=V")</f>
        <v>0</v>
      </c>
      <c r="M2">
        <f>BDH("DEVSF US Equity","BS_CUR_ASSET_REPORT","2021-03-25","2026-03-25","Per=Y","Days=T","Dir=V")</f>
        <v>0</v>
      </c>
      <c r="O2">
        <f>BDH("DEVSF US Equity","BS_CUR_LIAB","2021-03-25","2026-03-25","Per=Y","Days=T","Dir=V")</f>
        <v>0</v>
      </c>
      <c r="Q2">
        <f>BDH("DEVSF US Equity","BS_SHAREHOLDER_EQY_ENDING_PERIOD","2021-03-25","2026-03-25","Per=Y","Days=T","Dir=V")</f>
        <v>0</v>
      </c>
      <c r="S2">
        <f>BDH("DEVSF US Equity","BS_ACCT_NOTE_RCV","2021-03-25","2026-03-25","Per=Y","Days=T","Dir=V")</f>
        <v>0</v>
      </c>
      <c r="U2">
        <f>BDH("DEVSF US Equity","BS_INVENTORIES","2021-03-25","2026-03-25","Per=Y","Days=T","Dir=V")</f>
        <v>0</v>
      </c>
      <c r="W2">
        <f>BDH("DEVSF US Equity","WORKING_CAPITAL","2021-03-25","2026-03-25","Per=Y","Days=T","Dir=V")</f>
        <v>0</v>
      </c>
      <c r="Y2">
        <f>BDH("DEVSF US Equity","SALES_REV_TURN","2021-03-25","2026-03-25","Per=Y","Days=T","Dir=V")</f>
        <v>0</v>
      </c>
      <c r="AA2">
        <f>BDH("DEVSF US Equity","EBIT","2021-03-25","2026-03-25","Per=Y","Days=T","Dir=V")</f>
        <v>0</v>
      </c>
      <c r="AC2">
        <f>BDH("DEVSF US Equity","EBITDA","2021-03-25","2026-03-25","Per=Y","Days=T","Dir=V")</f>
        <v>0</v>
      </c>
      <c r="AE2">
        <f>BDH("DEVSF US Equity","NET_INCOME","2021-03-25","2026-03-25","Per=Y","Days=T","Dir=V")</f>
        <v>0</v>
      </c>
      <c r="AG2">
        <f>BDH("DEVSF US Equity","IS_INT_EXPENSE","2021-03-25","2026-03-25","Per=Y","Days=T","Dir=V")</f>
        <v>0</v>
      </c>
      <c r="AI2">
        <f>BDH("DEVSF US Equity","IS_DEPR_EXP","2021-03-25","2026-03-25","Per=Y","Days=T","Dir=V")</f>
        <v>0</v>
      </c>
      <c r="AK2">
        <f>BDH("DEVSF US Equity","CF_CASH_FROM_OPER","2021-03-25","2026-03-25","Per=Y","Days=T","Dir=V")</f>
        <v>0</v>
      </c>
      <c r="AM2">
        <f>BDH("DEVSF US Equity","CAPITAL_EXPEND","2021-03-25","2026-03-25","Per=Y","Days=T","Dir=V")</f>
        <v>0</v>
      </c>
      <c r="AO2">
        <f>BDH("DEVSF US Equity","CF_FREE_CASH_FLOW","2021-03-25","2026-03-25","Per=Y","Days=T","Dir=V")</f>
        <v>0</v>
      </c>
      <c r="AQ2">
        <f>BDH("DEVSF US Equity","PX_LAST","2021-03-25","2026-03-25","Per=M","Days=T","Dir=V")</f>
        <v>0</v>
      </c>
      <c r="AS2">
        <f>BDH("DEVSF US Equity","CUR_MKT_CAP","2021-03-25","2026-03-25","Per=M","Days=T","Dir=V")</f>
        <v>0</v>
      </c>
      <c r="AU2">
        <f>BDH("DEVSF US Equity","EQY_SH_OUT","2021-03-25","2026-03-25","Per=M","Days=T","Dir=V")</f>
        <v>0</v>
      </c>
      <c r="AW2">
        <f>BDH("DEVSF US Equity","PX_VOLUME","2021-03-25","2026-03-25","Per=M","Days=T","Dir=V")</f>
        <v>0</v>
      </c>
      <c r="AY2">
        <f>BDH("DEVSF US Equity","TURNOVER","2021-03-25","2026-03-25","Per=M","Days=T","Dir=V")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BDH("ADTX US Equity","BS_TOT_ASSET","2021-03-26","2026-03-26","Per=Y","Days=T","Dir=V")</f>
        <v>0</v>
      </c>
      <c r="C2">
        <f>BDH("ADTX US Equity","BS_TOT_LIAB2","2021-03-26","2026-03-26","Per=Y","Days=T","Dir=V")</f>
        <v>0</v>
      </c>
      <c r="E2">
        <f>BDH("ADTX US Equity","SHORT_AND_LONG_TERM_DEBT","2021-03-26","2026-03-26","Per=Y","Days=T","Dir=V")</f>
        <v>0</v>
      </c>
      <c r="G2">
        <f>BDH("ADTX US Equity","BS_ST_BORROW","2021-03-26","2026-03-26","Per=Y","Days=T","Dir=V")</f>
        <v>0</v>
      </c>
      <c r="I2">
        <f>BDH("ADTX US Equity","BS_LT_BORROW","2021-03-26","2026-03-26","Per=Y","Days=T","Dir=V")</f>
        <v>0</v>
      </c>
      <c r="K2">
        <f>BDH("ADTX US Equity","BS_CASH_NEAR_CASH_ITEM","2021-03-26","2026-03-26","Per=Y","Days=T","Dir=V")</f>
        <v>0</v>
      </c>
      <c r="M2">
        <f>BDH("ADTX US Equity","BS_CUR_ASSET_REPORT","2021-03-26","2026-03-26","Per=Y","Days=T","Dir=V")</f>
        <v>0</v>
      </c>
      <c r="O2">
        <f>BDH("ADTX US Equity","BS_CUR_LIAB","2021-03-26","2026-03-26","Per=Y","Days=T","Dir=V")</f>
        <v>0</v>
      </c>
      <c r="Q2">
        <f>BDH("ADTX US Equity","BS_SHAREHOLDER_EQY_ENDING_PERIOD","2021-03-26","2026-03-26","Per=Y","Days=T","Dir=V")</f>
        <v>0</v>
      </c>
      <c r="S2">
        <f>BDH("ADTX US Equity","BS_ACCT_NOTE_RCV","2021-03-26","2026-03-26","Per=Y","Days=T","Dir=V")</f>
        <v>0</v>
      </c>
      <c r="U2">
        <f>BDH("ADTX US Equity","BS_INVENTORIES","2021-03-26","2026-03-26","Per=Y","Days=T","Dir=V")</f>
        <v>0</v>
      </c>
      <c r="W2">
        <f>BDH("ADTX US Equity","WORKING_CAPITAL","2021-03-26","2026-03-26","Per=Y","Days=T","Dir=V")</f>
        <v>0</v>
      </c>
      <c r="Y2">
        <f>BDH("ADTX US Equity","SALES_REV_TURN","2021-03-26","2026-03-26","Per=Y","Days=T","Dir=V")</f>
        <v>0</v>
      </c>
      <c r="AA2">
        <f>BDH("ADTX US Equity","EBIT","2021-03-26","2026-03-26","Per=Y","Days=T","Dir=V")</f>
        <v>0</v>
      </c>
      <c r="AC2">
        <f>BDH("ADTX US Equity","EBITDA","2021-03-26","2026-03-26","Per=Y","Days=T","Dir=V")</f>
        <v>0</v>
      </c>
      <c r="AE2">
        <f>BDH("ADTX US Equity","NET_INCOME","2021-03-26","2026-03-26","Per=Y","Days=T","Dir=V")</f>
        <v>0</v>
      </c>
      <c r="AG2">
        <f>BDH("ADTX US Equity","IS_INT_EXPENSE","2021-03-26","2026-03-26","Per=Y","Days=T","Dir=V")</f>
        <v>0</v>
      </c>
      <c r="AI2">
        <f>BDH("ADTX US Equity","IS_DEPR_EXP","2021-03-26","2026-03-26","Per=Y","Days=T","Dir=V")</f>
        <v>0</v>
      </c>
      <c r="AK2">
        <f>BDH("ADTX US Equity","CF_CASH_FROM_OPER","2021-03-26","2026-03-26","Per=Y","Days=T","Dir=V")</f>
        <v>0</v>
      </c>
      <c r="AM2">
        <f>BDH("ADTX US Equity","CAPITAL_EXPEND","2021-03-26","2026-03-26","Per=Y","Days=T","Dir=V")</f>
        <v>0</v>
      </c>
      <c r="AO2">
        <f>BDH("ADTX US Equity","CF_FREE_CASH_FLOW","2021-03-26","2026-03-26","Per=Y","Days=T","Dir=V")</f>
        <v>0</v>
      </c>
      <c r="AQ2">
        <f>BDH("ADTX US Equity","PX_LAST","2021-03-26","2026-03-26","Per=M","Days=T","Dir=V")</f>
        <v>0</v>
      </c>
      <c r="AS2">
        <f>BDH("ADTX US Equity","CUR_MKT_CAP","2021-03-26","2026-03-26","Per=M","Days=T","Dir=V")</f>
        <v>0</v>
      </c>
      <c r="AU2">
        <f>BDH("ADTX US Equity","EQY_SH_OUT","2021-03-26","2026-03-26","Per=M","Days=T","Dir=V")</f>
        <v>0</v>
      </c>
      <c r="AW2">
        <f>BDH("ADTX US Equity","PX_VOLUME","2021-03-26","2026-03-26","Per=M","Days=T","Dir=V")</f>
        <v>0</v>
      </c>
      <c r="AY2">
        <f>BDH("ADTX US Equity","TURNOVER","2021-03-26","2026-03-26","Per=M","Days=T","Dir=V")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BDH("ORGN US Equity","BS_TOT_ASSET","2021-04-02","2026-04-02","Per=Y","Days=T","Dir=V")</f>
        <v>0</v>
      </c>
      <c r="C2">
        <f>BDH("ORGN US Equity","BS_TOT_LIAB2","2021-04-02","2026-04-02","Per=Y","Days=T","Dir=V")</f>
        <v>0</v>
      </c>
      <c r="E2">
        <f>BDH("ORGN US Equity","SHORT_AND_LONG_TERM_DEBT","2021-04-02","2026-04-02","Per=Y","Days=T","Dir=V")</f>
        <v>0</v>
      </c>
      <c r="G2">
        <f>BDH("ORGN US Equity","BS_ST_BORROW","2021-04-02","2026-04-02","Per=Y","Days=T","Dir=V")</f>
        <v>0</v>
      </c>
      <c r="I2">
        <f>BDH("ORGN US Equity","BS_LT_BORROW","2021-04-02","2026-04-02","Per=Y","Days=T","Dir=V")</f>
        <v>0</v>
      </c>
      <c r="K2">
        <f>BDH("ORGN US Equity","BS_CASH_NEAR_CASH_ITEM","2021-04-02","2026-04-02","Per=Y","Days=T","Dir=V")</f>
        <v>0</v>
      </c>
      <c r="M2">
        <f>BDH("ORGN US Equity","BS_CUR_ASSET_REPORT","2021-04-02","2026-04-02","Per=Y","Days=T","Dir=V")</f>
        <v>0</v>
      </c>
      <c r="O2">
        <f>BDH("ORGN US Equity","BS_CUR_LIAB","2021-04-02","2026-04-02","Per=Y","Days=T","Dir=V")</f>
        <v>0</v>
      </c>
      <c r="Q2">
        <f>BDH("ORGN US Equity","BS_SHAREHOLDER_EQY_ENDING_PERIOD","2021-04-02","2026-04-02","Per=Y","Days=T","Dir=V")</f>
        <v>0</v>
      </c>
      <c r="S2">
        <f>BDH("ORGN US Equity","BS_ACCT_NOTE_RCV","2021-04-02","2026-04-02","Per=Y","Days=T","Dir=V")</f>
        <v>0</v>
      </c>
      <c r="U2">
        <f>BDH("ORGN US Equity","BS_INVENTORIES","2021-04-02","2026-04-02","Per=Y","Days=T","Dir=V")</f>
        <v>0</v>
      </c>
      <c r="W2">
        <f>BDH("ORGN US Equity","WORKING_CAPITAL","2021-04-02","2026-04-02","Per=Y","Days=T","Dir=V")</f>
        <v>0</v>
      </c>
      <c r="Y2">
        <f>BDH("ORGN US Equity","SALES_REV_TURN","2021-04-02","2026-04-02","Per=Y","Days=T","Dir=V")</f>
        <v>0</v>
      </c>
      <c r="AA2">
        <f>BDH("ORGN US Equity","EBIT","2021-04-02","2026-04-02","Per=Y","Days=T","Dir=V")</f>
        <v>0</v>
      </c>
      <c r="AC2">
        <f>BDH("ORGN US Equity","EBITDA","2021-04-02","2026-04-02","Per=Y","Days=T","Dir=V")</f>
        <v>0</v>
      </c>
      <c r="AE2">
        <f>BDH("ORGN US Equity","NET_INCOME","2021-04-02","2026-04-02","Per=Y","Days=T","Dir=V")</f>
        <v>0</v>
      </c>
      <c r="AG2">
        <f>BDH("ORGN US Equity","IS_INT_EXPENSE","2021-04-02","2026-04-02","Per=Y","Days=T","Dir=V")</f>
        <v>0</v>
      </c>
      <c r="AI2">
        <f>BDH("ORGN US Equity","IS_DEPR_EXP","2021-04-02","2026-04-02","Per=Y","Days=T","Dir=V")</f>
        <v>0</v>
      </c>
      <c r="AK2">
        <f>BDH("ORGN US Equity","CF_CASH_FROM_OPER","2021-04-02","2026-04-02","Per=Y","Days=T","Dir=V")</f>
        <v>0</v>
      </c>
      <c r="AM2">
        <f>BDH("ORGN US Equity","CAPITAL_EXPEND","2021-04-02","2026-04-02","Per=Y","Days=T","Dir=V")</f>
        <v>0</v>
      </c>
      <c r="AO2">
        <f>BDH("ORGN US Equity","CF_FREE_CASH_FLOW","2021-04-02","2026-04-02","Per=Y","Days=T","Dir=V")</f>
        <v>0</v>
      </c>
      <c r="AQ2">
        <f>BDH("ORGN US Equity","PX_LAST","2021-04-02","2026-04-02","Per=M","Days=T","Dir=V")</f>
        <v>0</v>
      </c>
      <c r="AS2">
        <f>BDH("ORGN US Equity","CUR_MKT_CAP","2021-04-02","2026-04-02","Per=M","Days=T","Dir=V")</f>
        <v>0</v>
      </c>
      <c r="AU2">
        <f>BDH("ORGN US Equity","EQY_SH_OUT","2021-04-02","2026-04-02","Per=M","Days=T","Dir=V")</f>
        <v>0</v>
      </c>
      <c r="AW2">
        <f>BDH("ORGN US Equity","PX_VOLUME","2021-04-02","2026-04-02","Per=M","Days=T","Dir=V")</f>
        <v>0</v>
      </c>
      <c r="AY2">
        <f>BDH("ORGN US Equity","TURNOVER","2021-04-02","2026-04-02","Per=M","Days=T","Dir=V")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BDH("GVHGF US Equity","BS_TOT_ASSET","2021-05-02","2026-05-02","Per=Y","Days=T","Dir=V")</f>
        <v>0</v>
      </c>
      <c r="C2">
        <f>BDH("GVHGF US Equity","BS_TOT_LIAB2","2021-05-02","2026-05-02","Per=Y","Days=T","Dir=V")</f>
        <v>0</v>
      </c>
      <c r="E2">
        <f>BDH("GVHGF US Equity","SHORT_AND_LONG_TERM_DEBT","2021-05-02","2026-05-02","Per=Y","Days=T","Dir=V")</f>
        <v>0</v>
      </c>
      <c r="G2">
        <f>BDH("GVHGF US Equity","BS_ST_BORROW","2021-05-02","2026-05-02","Per=Y","Days=T","Dir=V")</f>
        <v>0</v>
      </c>
      <c r="I2">
        <f>BDH("GVHGF US Equity","BS_LT_BORROW","2021-05-02","2026-05-02","Per=Y","Days=T","Dir=V")</f>
        <v>0</v>
      </c>
      <c r="K2">
        <f>BDH("GVHGF US Equity","BS_CASH_NEAR_CASH_ITEM","2021-05-02","2026-05-02","Per=Y","Days=T","Dir=V")</f>
        <v>0</v>
      </c>
      <c r="M2">
        <f>BDH("GVHGF US Equity","BS_CUR_ASSET_REPORT","2021-05-02","2026-05-02","Per=Y","Days=T","Dir=V")</f>
        <v>0</v>
      </c>
      <c r="O2">
        <f>BDH("GVHGF US Equity","BS_CUR_LIAB","2021-05-02","2026-05-02","Per=Y","Days=T","Dir=V")</f>
        <v>0</v>
      </c>
      <c r="Q2">
        <f>BDH("GVHGF US Equity","BS_SHAREHOLDER_EQY_ENDING_PERIOD","2021-05-02","2026-05-02","Per=Y","Days=T","Dir=V")</f>
        <v>0</v>
      </c>
      <c r="S2">
        <f>BDH("GVHGF US Equity","BS_ACCT_NOTE_RCV","2021-05-02","2026-05-02","Per=Y","Days=T","Dir=V")</f>
        <v>0</v>
      </c>
      <c r="U2">
        <f>BDH("GVHGF US Equity","BS_INVENTORIES","2021-05-02","2026-05-02","Per=Y","Days=T","Dir=V")</f>
        <v>0</v>
      </c>
      <c r="W2">
        <f>BDH("GVHGF US Equity","WORKING_CAPITAL","2021-05-02","2026-05-02","Per=Y","Days=T","Dir=V")</f>
        <v>0</v>
      </c>
      <c r="Y2">
        <f>BDH("GVHGF US Equity","SALES_REV_TURN","2021-05-02","2026-05-02","Per=Y","Days=T","Dir=V")</f>
        <v>0</v>
      </c>
      <c r="AA2">
        <f>BDH("GVHGF US Equity","EBIT","2021-05-02","2026-05-02","Per=Y","Days=T","Dir=V")</f>
        <v>0</v>
      </c>
      <c r="AC2">
        <f>BDH("GVHGF US Equity","EBITDA","2021-05-02","2026-05-02","Per=Y","Days=T","Dir=V")</f>
        <v>0</v>
      </c>
      <c r="AE2">
        <f>BDH("GVHGF US Equity","NET_INCOME","2021-05-02","2026-05-02","Per=Y","Days=T","Dir=V")</f>
        <v>0</v>
      </c>
      <c r="AG2">
        <f>BDH("GVHGF US Equity","IS_INT_EXPENSE","2021-05-02","2026-05-02","Per=Y","Days=T","Dir=V")</f>
        <v>0</v>
      </c>
      <c r="AI2">
        <f>BDH("GVHGF US Equity","IS_DEPR_EXP","2021-05-02","2026-05-02","Per=Y","Days=T","Dir=V")</f>
        <v>0</v>
      </c>
      <c r="AK2">
        <f>BDH("GVHGF US Equity","CF_CASH_FROM_OPER","2021-05-02","2026-05-02","Per=Y","Days=T","Dir=V")</f>
        <v>0</v>
      </c>
      <c r="AM2">
        <f>BDH("GVHGF US Equity","CAPITAL_EXPEND","2021-05-02","2026-05-02","Per=Y","Days=T","Dir=V")</f>
        <v>0</v>
      </c>
      <c r="AO2">
        <f>BDH("GVHGF US Equity","CF_FREE_CASH_FLOW","2021-05-02","2026-05-02","Per=Y","Days=T","Dir=V")</f>
        <v>0</v>
      </c>
      <c r="AQ2">
        <f>BDH("GVHGF US Equity","PX_LAST","2021-05-02","2026-05-02","Per=M","Days=T","Dir=V")</f>
        <v>0</v>
      </c>
      <c r="AS2">
        <f>BDH("GVHGF US Equity","CUR_MKT_CAP","2021-05-02","2026-05-02","Per=M","Days=T","Dir=V")</f>
        <v>0</v>
      </c>
      <c r="AU2">
        <f>BDH("GVHGF US Equity","EQY_SH_OUT","2021-05-02","2026-05-02","Per=M","Days=T","Dir=V")</f>
        <v>0</v>
      </c>
      <c r="AW2">
        <f>BDH("GVHGF US Equity","PX_VOLUME","2021-05-02","2026-05-02","Per=M","Days=T","Dir=V")</f>
        <v>0</v>
      </c>
      <c r="AY2">
        <f>BDH("GVHGF US Equity","TURNOVER","2021-05-02","2026-05-02","Per=M","Days=T","Dir=V")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 US Equity","BS_TOT_ASSET","1993-06-18","2026-05-02","Per=Y","Days=T","Dir=V")</f>
        <v>0</v>
      </c>
      <c r="C2">
        <f>BDH("A US Equity","BS_TOT_LIAB2","1993-06-18","2026-05-02","Per=Y","Days=T","Dir=V")</f>
        <v>0</v>
      </c>
      <c r="E2">
        <f>BDH("A US Equity","SHORT_AND_LONG_TERM_DEBT","1993-06-18","2026-05-02","Per=Y","Days=T","Dir=V")</f>
        <v>0</v>
      </c>
      <c r="G2">
        <f>BDH("A US Equity","BS_ST_BORROW","1993-06-18","2026-05-02","Per=Y","Days=T","Dir=V")</f>
        <v>0</v>
      </c>
      <c r="I2">
        <f>BDH("A US Equity","BS_LT_BORROW","1993-06-18","2026-05-02","Per=Y","Days=T","Dir=V")</f>
        <v>0</v>
      </c>
      <c r="K2">
        <f>BDH("A US Equity","BS_CASH_NEAR_CASH_ITEM","1993-06-18","2026-05-02","Per=Y","Days=T","Dir=V")</f>
        <v>0</v>
      </c>
      <c r="M2">
        <f>BDH("A US Equity","BS_CUR_ASSET_REPORT","1993-06-18","2026-05-02","Per=Y","Days=T","Dir=V")</f>
        <v>0</v>
      </c>
      <c r="O2">
        <f>BDH("A US Equity","BS_CUR_LIAB","1993-06-18","2026-05-02","Per=Y","Days=T","Dir=V")</f>
        <v>0</v>
      </c>
      <c r="Q2">
        <f>BDH("A US Equity","BS_SHAREHOLDER_EQY_ENDING_PERIOD","1993-06-18","2026-05-02","Per=Y","Days=T","Dir=V")</f>
        <v>0</v>
      </c>
      <c r="S2">
        <f>BDH("A US Equity","BS_ACCT_NOTE_RCV","1993-06-18","2026-05-02","Per=Y","Days=T","Dir=V")</f>
        <v>0</v>
      </c>
      <c r="U2">
        <f>BDH("A US Equity","BS_INVENTORIES","1993-06-18","2026-05-02","Per=Y","Days=T","Dir=V")</f>
        <v>0</v>
      </c>
      <c r="W2">
        <f>BDH("A US Equity","WORKING_CAPITAL","1993-06-18","2026-05-02","Per=Y","Days=T","Dir=V")</f>
        <v>0</v>
      </c>
      <c r="Y2">
        <f>BDH("A US Equity","SALES_REV_TURN","1993-06-18","2026-05-02","Per=Y","Days=T","Dir=V")</f>
        <v>0</v>
      </c>
      <c r="AA2">
        <f>BDH("A US Equity","EBIT","1993-06-18","2026-05-02","Per=Y","Days=T","Dir=V")</f>
        <v>0</v>
      </c>
      <c r="AC2">
        <f>BDH("A US Equity","EBITDA","1993-06-18","2026-05-02","Per=Y","Days=T","Dir=V")</f>
        <v>0</v>
      </c>
      <c r="AE2">
        <f>BDH("A US Equity","NET_INCOME","1993-06-18","2026-05-02","Per=Y","Days=T","Dir=V")</f>
        <v>0</v>
      </c>
      <c r="AG2">
        <f>BDH("A US Equity","IS_INT_EXPENSE","1993-06-18","2026-05-02","Per=Y","Days=T","Dir=V")</f>
        <v>0</v>
      </c>
      <c r="AI2">
        <f>BDH("A US Equity","IS_DEPR_EXP","1993-06-18","2026-05-02","Per=Y","Days=T","Dir=V")</f>
        <v>0</v>
      </c>
      <c r="AK2">
        <f>BDH("A US Equity","CF_CASH_FROM_OPER","1993-06-18","2026-05-02","Per=Y","Days=T","Dir=V")</f>
        <v>0</v>
      </c>
      <c r="AM2">
        <f>BDH("A US Equity","CAPITAL_EXPEND","1993-06-18","2026-05-02","Per=Y","Days=T","Dir=V")</f>
        <v>0</v>
      </c>
      <c r="AO2">
        <f>BDH("A US Equity","CF_FREE_CASH_FLOW","1993-06-18","2026-05-02","Per=Y","Days=T","Dir=V")</f>
        <v>0</v>
      </c>
      <c r="AQ2">
        <f>BDH("A US Equity","PX_LAST","1993-06-18","2026-05-02","Per=M","Days=T","Dir=V")</f>
        <v>0</v>
      </c>
      <c r="AS2">
        <f>BDH("A US Equity","CUR_MKT_CAP","1993-06-18","2026-05-02","Per=M","Days=T","Dir=V")</f>
        <v>0</v>
      </c>
      <c r="AU2">
        <f>BDH("A US Equity","EQY_SH_OUT","1993-06-18","2026-05-02","Per=M","Days=T","Dir=V")</f>
        <v>0</v>
      </c>
      <c r="AW2">
        <f>BDH("A US Equity","PX_VOLUME","1993-06-18","2026-05-02","Per=M","Days=T","Dir=V")</f>
        <v>0</v>
      </c>
      <c r="AY2">
        <f>BDH("A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BDH("AA US Equity","BS_TOT_ASSET","1993-06-18","2026-05-02","Per=Y","Days=T","Dir=V")</f>
        <v>0</v>
      </c>
      <c r="C2">
        <f>BDH("AA US Equity","BS_TOT_LIAB2","1993-06-18","2026-05-02","Per=Y","Days=T","Dir=V")</f>
        <v>0</v>
      </c>
      <c r="E2">
        <f>BDH("AA US Equity","SHORT_AND_LONG_TERM_DEBT","1993-06-18","2026-05-02","Per=Y","Days=T","Dir=V")</f>
        <v>0</v>
      </c>
      <c r="G2">
        <f>BDH("AA US Equity","BS_ST_BORROW","1993-06-18","2026-05-02","Per=Y","Days=T","Dir=V")</f>
        <v>0</v>
      </c>
      <c r="I2">
        <f>BDH("AA US Equity","BS_LT_BORROW","1993-06-18","2026-05-02","Per=Y","Days=T","Dir=V")</f>
        <v>0</v>
      </c>
      <c r="K2">
        <f>BDH("AA US Equity","BS_CASH_NEAR_CASH_ITEM","1993-06-18","2026-05-02","Per=Y","Days=T","Dir=V")</f>
        <v>0</v>
      </c>
      <c r="M2">
        <f>BDH("AA US Equity","BS_CUR_ASSET_REPORT","1993-06-18","2026-05-02","Per=Y","Days=T","Dir=V")</f>
        <v>0</v>
      </c>
      <c r="O2">
        <f>BDH("AA US Equity","BS_CUR_LIAB","1993-06-18","2026-05-02","Per=Y","Days=T","Dir=V")</f>
        <v>0</v>
      </c>
      <c r="Q2">
        <f>BDH("AA US Equity","BS_SHAREHOLDER_EQY_ENDING_PERIOD","1993-06-18","2026-05-02","Per=Y","Days=T","Dir=V")</f>
        <v>0</v>
      </c>
      <c r="S2">
        <f>BDH("AA US Equity","BS_ACCT_NOTE_RCV","1993-06-18","2026-05-02","Per=Y","Days=T","Dir=V")</f>
        <v>0</v>
      </c>
      <c r="U2">
        <f>BDH("AA US Equity","BS_INVENTORIES","1993-06-18","2026-05-02","Per=Y","Days=T","Dir=V")</f>
        <v>0</v>
      </c>
      <c r="W2">
        <f>BDH("AA US Equity","WORKING_CAPITAL","1993-06-18","2026-05-02","Per=Y","Days=T","Dir=V")</f>
        <v>0</v>
      </c>
      <c r="Y2">
        <f>BDH("AA US Equity","SALES_REV_TURN","1993-06-18","2026-05-02","Per=Y","Days=T","Dir=V")</f>
        <v>0</v>
      </c>
      <c r="AA2">
        <f>BDH("AA US Equity","EBIT","1993-06-18","2026-05-02","Per=Y","Days=T","Dir=V")</f>
        <v>0</v>
      </c>
      <c r="AC2">
        <f>BDH("AA US Equity","EBITDA","1993-06-18","2026-05-02","Per=Y","Days=T","Dir=V")</f>
        <v>0</v>
      </c>
      <c r="AE2">
        <f>BDH("AA US Equity","NET_INCOME","1993-06-18","2026-05-02","Per=Y","Days=T","Dir=V")</f>
        <v>0</v>
      </c>
      <c r="AG2">
        <f>BDH("AA US Equity","IS_INT_EXPENSE","1993-06-18","2026-05-02","Per=Y","Days=T","Dir=V")</f>
        <v>0</v>
      </c>
      <c r="AI2">
        <f>BDH("AA US Equity","IS_DEPR_EXP","1993-06-18","2026-05-02","Per=Y","Days=T","Dir=V")</f>
        <v>0</v>
      </c>
      <c r="AK2">
        <f>BDH("AA US Equity","CF_CASH_FROM_OPER","1993-06-18","2026-05-02","Per=Y","Days=T","Dir=V")</f>
        <v>0</v>
      </c>
      <c r="AM2">
        <f>BDH("AA US Equity","CAPITAL_EXPEND","1993-06-18","2026-05-02","Per=Y","Days=T","Dir=V")</f>
        <v>0</v>
      </c>
      <c r="AO2">
        <f>BDH("AA US Equity","CF_FREE_CASH_FLOW","1993-06-18","2026-05-02","Per=Y","Days=T","Dir=V")</f>
        <v>0</v>
      </c>
      <c r="AQ2">
        <f>BDH("AA US Equity","PX_LAST","1993-06-18","2026-05-02","Per=M","Days=T","Dir=V")</f>
        <v>0</v>
      </c>
      <c r="AS2">
        <f>BDH("AA US Equity","CUR_MKT_CAP","1993-06-18","2026-05-02","Per=M","Days=T","Dir=V")</f>
        <v>0</v>
      </c>
      <c r="AU2">
        <f>BDH("AA US Equity","EQY_SH_OUT","1993-06-18","2026-05-02","Per=M","Days=T","Dir=V")</f>
        <v>0</v>
      </c>
      <c r="AW2">
        <f>BDH("AA US Equity","PX_VOLUME","1993-06-18","2026-05-02","Per=M","Days=T","Dir=V")</f>
        <v>0</v>
      </c>
      <c r="AY2">
        <f>BDH("AA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BDH("AAL US Equity","BS_TOT_ASSET","1993-06-18","2026-05-02","Per=Y","Days=T","Dir=V")</f>
        <v>0</v>
      </c>
      <c r="C2">
        <f>BDH("AAL US Equity","BS_TOT_LIAB2","1993-06-18","2026-05-02","Per=Y","Days=T","Dir=V")</f>
        <v>0</v>
      </c>
      <c r="E2">
        <f>BDH("AAL US Equity","SHORT_AND_LONG_TERM_DEBT","1993-06-18","2026-05-02","Per=Y","Days=T","Dir=V")</f>
        <v>0</v>
      </c>
      <c r="G2">
        <f>BDH("AAL US Equity","BS_ST_BORROW","1993-06-18","2026-05-02","Per=Y","Days=T","Dir=V")</f>
        <v>0</v>
      </c>
      <c r="I2">
        <f>BDH("AAL US Equity","BS_LT_BORROW","1993-06-18","2026-05-02","Per=Y","Days=T","Dir=V")</f>
        <v>0</v>
      </c>
      <c r="K2">
        <f>BDH("AAL US Equity","BS_CASH_NEAR_CASH_ITEM","1993-06-18","2026-05-02","Per=Y","Days=T","Dir=V")</f>
        <v>0</v>
      </c>
      <c r="M2">
        <f>BDH("AAL US Equity","BS_CUR_ASSET_REPORT","1993-06-18","2026-05-02","Per=Y","Days=T","Dir=V")</f>
        <v>0</v>
      </c>
      <c r="O2">
        <f>BDH("AAL US Equity","BS_CUR_LIAB","1993-06-18","2026-05-02","Per=Y","Days=T","Dir=V")</f>
        <v>0</v>
      </c>
      <c r="Q2">
        <f>BDH("AAL US Equity","BS_SHAREHOLDER_EQY_ENDING_PERIOD","1993-06-18","2026-05-02","Per=Y","Days=T","Dir=V")</f>
        <v>0</v>
      </c>
      <c r="S2">
        <f>BDH("AAL US Equity","BS_ACCT_NOTE_RCV","1993-06-18","2026-05-02","Per=Y","Days=T","Dir=V")</f>
        <v>0</v>
      </c>
      <c r="U2">
        <f>BDH("AAL US Equity","BS_INVENTORIES","1993-06-18","2026-05-02","Per=Y","Days=T","Dir=V")</f>
        <v>0</v>
      </c>
      <c r="W2">
        <f>BDH("AAL US Equity","WORKING_CAPITAL","1993-06-18","2026-05-02","Per=Y","Days=T","Dir=V")</f>
        <v>0</v>
      </c>
      <c r="Y2">
        <f>BDH("AAL US Equity","SALES_REV_TURN","1993-06-18","2026-05-02","Per=Y","Days=T","Dir=V")</f>
        <v>0</v>
      </c>
      <c r="AA2">
        <f>BDH("AAL US Equity","EBIT","1993-06-18","2026-05-02","Per=Y","Days=T","Dir=V")</f>
        <v>0</v>
      </c>
      <c r="AC2">
        <f>BDH("AAL US Equity","EBITDA","1993-06-18","2026-05-02","Per=Y","Days=T","Dir=V")</f>
        <v>0</v>
      </c>
      <c r="AE2">
        <f>BDH("AAL US Equity","NET_INCOME","1993-06-18","2026-05-02","Per=Y","Days=T","Dir=V")</f>
        <v>0</v>
      </c>
      <c r="AG2">
        <f>BDH("AAL US Equity","IS_INT_EXPENSE","1993-06-18","2026-05-02","Per=Y","Days=T","Dir=V")</f>
        <v>0</v>
      </c>
      <c r="AI2">
        <f>BDH("AAL US Equity","IS_DEPR_EXP","1993-06-18","2026-05-02","Per=Y","Days=T","Dir=V")</f>
        <v>0</v>
      </c>
      <c r="AK2">
        <f>BDH("AAL US Equity","CF_CASH_FROM_OPER","1993-06-18","2026-05-02","Per=Y","Days=T","Dir=V")</f>
        <v>0</v>
      </c>
      <c r="AM2">
        <f>BDH("AAL US Equity","CAPITAL_EXPEND","1993-06-18","2026-05-02","Per=Y","Days=T","Dir=V")</f>
        <v>0</v>
      </c>
      <c r="AO2">
        <f>BDH("AAL US Equity","CF_FREE_CASH_FLOW","1993-06-18","2026-05-02","Per=Y","Days=T","Dir=V")</f>
        <v>0</v>
      </c>
      <c r="AQ2">
        <f>BDH("AAL US Equity","PX_LAST","1993-06-18","2026-05-02","Per=M","Days=T","Dir=V")</f>
        <v>0</v>
      </c>
      <c r="AS2">
        <f>BDH("AAL US Equity","CUR_MKT_CAP","1993-06-18","2026-05-02","Per=M","Days=T","Dir=V")</f>
        <v>0</v>
      </c>
      <c r="AU2">
        <f>BDH("AAL US Equity","EQY_SH_OUT","1993-06-18","2026-05-02","Per=M","Days=T","Dir=V")</f>
        <v>0</v>
      </c>
      <c r="AW2">
        <f>BDH("AAL US Equity","PX_VOLUME","1993-06-18","2026-05-02","Per=M","Days=T","Dir=V")</f>
        <v>0</v>
      </c>
      <c r="AY2">
        <f>BDH("AAL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BDH("AAOI US Equity","BS_TOT_ASSET","1993-06-18","2026-05-02","Per=Y","Days=T","Dir=V")</f>
        <v>0</v>
      </c>
      <c r="C2">
        <f>BDH("AAOI US Equity","BS_TOT_LIAB2","1993-06-18","2026-05-02","Per=Y","Days=T","Dir=V")</f>
        <v>0</v>
      </c>
      <c r="E2">
        <f>BDH("AAOI US Equity","SHORT_AND_LONG_TERM_DEBT","1993-06-18","2026-05-02","Per=Y","Days=T","Dir=V")</f>
        <v>0</v>
      </c>
      <c r="G2">
        <f>BDH("AAOI US Equity","BS_ST_BORROW","1993-06-18","2026-05-02","Per=Y","Days=T","Dir=V")</f>
        <v>0</v>
      </c>
      <c r="I2">
        <f>BDH("AAOI US Equity","BS_LT_BORROW","1993-06-18","2026-05-02","Per=Y","Days=T","Dir=V")</f>
        <v>0</v>
      </c>
      <c r="K2">
        <f>BDH("AAOI US Equity","BS_CASH_NEAR_CASH_ITEM","1993-06-18","2026-05-02","Per=Y","Days=T","Dir=V")</f>
        <v>0</v>
      </c>
      <c r="M2">
        <f>BDH("AAOI US Equity","BS_CUR_ASSET_REPORT","1993-06-18","2026-05-02","Per=Y","Days=T","Dir=V")</f>
        <v>0</v>
      </c>
      <c r="O2">
        <f>BDH("AAOI US Equity","BS_CUR_LIAB","1993-06-18","2026-05-02","Per=Y","Days=T","Dir=V")</f>
        <v>0</v>
      </c>
      <c r="Q2">
        <f>BDH("AAOI US Equity","BS_SHAREHOLDER_EQY_ENDING_PERIOD","1993-06-18","2026-05-02","Per=Y","Days=T","Dir=V")</f>
        <v>0</v>
      </c>
      <c r="S2">
        <f>BDH("AAOI US Equity","BS_ACCT_NOTE_RCV","1993-06-18","2026-05-02","Per=Y","Days=T","Dir=V")</f>
        <v>0</v>
      </c>
      <c r="U2">
        <f>BDH("AAOI US Equity","BS_INVENTORIES","1993-06-18","2026-05-02","Per=Y","Days=T","Dir=V")</f>
        <v>0</v>
      </c>
      <c r="W2">
        <f>BDH("AAOI US Equity","WORKING_CAPITAL","1993-06-18","2026-05-02","Per=Y","Days=T","Dir=V")</f>
        <v>0</v>
      </c>
      <c r="Y2">
        <f>BDH("AAOI US Equity","SALES_REV_TURN","1993-06-18","2026-05-02","Per=Y","Days=T","Dir=V")</f>
        <v>0</v>
      </c>
      <c r="AA2">
        <f>BDH("AAOI US Equity","EBIT","1993-06-18","2026-05-02","Per=Y","Days=T","Dir=V")</f>
        <v>0</v>
      </c>
      <c r="AC2">
        <f>BDH("AAOI US Equity","EBITDA","1993-06-18","2026-05-02","Per=Y","Days=T","Dir=V")</f>
        <v>0</v>
      </c>
      <c r="AE2">
        <f>BDH("AAOI US Equity","NET_INCOME","1993-06-18","2026-05-02","Per=Y","Days=T","Dir=V")</f>
        <v>0</v>
      </c>
      <c r="AG2">
        <f>BDH("AAOI US Equity","IS_INT_EXPENSE","1993-06-18","2026-05-02","Per=Y","Days=T","Dir=V")</f>
        <v>0</v>
      </c>
      <c r="AI2">
        <f>BDH("AAOI US Equity","IS_DEPR_EXP","1993-06-18","2026-05-02","Per=Y","Days=T","Dir=V")</f>
        <v>0</v>
      </c>
      <c r="AK2">
        <f>BDH("AAOI US Equity","CF_CASH_FROM_OPER","1993-06-18","2026-05-02","Per=Y","Days=T","Dir=V")</f>
        <v>0</v>
      </c>
      <c r="AM2">
        <f>BDH("AAOI US Equity","CAPITAL_EXPEND","1993-06-18","2026-05-02","Per=Y","Days=T","Dir=V")</f>
        <v>0</v>
      </c>
      <c r="AO2">
        <f>BDH("AAOI US Equity","CF_FREE_CASH_FLOW","1993-06-18","2026-05-02","Per=Y","Days=T","Dir=V")</f>
        <v>0</v>
      </c>
      <c r="AQ2">
        <f>BDH("AAOI US Equity","PX_LAST","1993-06-18","2026-05-02","Per=M","Days=T","Dir=V")</f>
        <v>0</v>
      </c>
      <c r="AS2">
        <f>BDH("AAOI US Equity","CUR_MKT_CAP","1993-06-18","2026-05-02","Per=M","Days=T","Dir=V")</f>
        <v>0</v>
      </c>
      <c r="AU2">
        <f>BDH("AAOI US Equity","EQY_SH_OUT","1993-06-18","2026-05-02","Per=M","Days=T","Dir=V")</f>
        <v>0</v>
      </c>
      <c r="AW2">
        <f>BDH("AAOI US Equity","PX_VOLUME","1993-06-18","2026-05-02","Per=M","Days=T","Dir=V")</f>
        <v>0</v>
      </c>
      <c r="AY2">
        <f>BDH("AAOI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BDH("AAON US Equity","BS_TOT_ASSET","1993-06-18","2026-05-02","Per=Y","Days=T","Dir=V")</f>
        <v>0</v>
      </c>
      <c r="C2">
        <f>BDH("AAON US Equity","BS_TOT_LIAB2","1993-06-18","2026-05-02","Per=Y","Days=T","Dir=V")</f>
        <v>0</v>
      </c>
      <c r="E2">
        <f>BDH("AAON US Equity","SHORT_AND_LONG_TERM_DEBT","1993-06-18","2026-05-02","Per=Y","Days=T","Dir=V")</f>
        <v>0</v>
      </c>
      <c r="G2">
        <f>BDH("AAON US Equity","BS_ST_BORROW","1993-06-18","2026-05-02","Per=Y","Days=T","Dir=V")</f>
        <v>0</v>
      </c>
      <c r="I2">
        <f>BDH("AAON US Equity","BS_LT_BORROW","1993-06-18","2026-05-02","Per=Y","Days=T","Dir=V")</f>
        <v>0</v>
      </c>
      <c r="K2">
        <f>BDH("AAON US Equity","BS_CASH_NEAR_CASH_ITEM","1993-06-18","2026-05-02","Per=Y","Days=T","Dir=V")</f>
        <v>0</v>
      </c>
      <c r="M2">
        <f>BDH("AAON US Equity","BS_CUR_ASSET_REPORT","1993-06-18","2026-05-02","Per=Y","Days=T","Dir=V")</f>
        <v>0</v>
      </c>
      <c r="O2">
        <f>BDH("AAON US Equity","BS_CUR_LIAB","1993-06-18","2026-05-02","Per=Y","Days=T","Dir=V")</f>
        <v>0</v>
      </c>
      <c r="Q2">
        <f>BDH("AAON US Equity","BS_SHAREHOLDER_EQY_ENDING_PERIOD","1993-06-18","2026-05-02","Per=Y","Days=T","Dir=V")</f>
        <v>0</v>
      </c>
      <c r="S2">
        <f>BDH("AAON US Equity","BS_ACCT_NOTE_RCV","1993-06-18","2026-05-02","Per=Y","Days=T","Dir=V")</f>
        <v>0</v>
      </c>
      <c r="U2">
        <f>BDH("AAON US Equity","BS_INVENTORIES","1993-06-18","2026-05-02","Per=Y","Days=T","Dir=V")</f>
        <v>0</v>
      </c>
      <c r="W2">
        <f>BDH("AAON US Equity","WORKING_CAPITAL","1993-06-18","2026-05-02","Per=Y","Days=T","Dir=V")</f>
        <v>0</v>
      </c>
      <c r="Y2">
        <f>BDH("AAON US Equity","SALES_REV_TURN","1993-06-18","2026-05-02","Per=Y","Days=T","Dir=V")</f>
        <v>0</v>
      </c>
      <c r="AA2">
        <f>BDH("AAON US Equity","EBIT","1993-06-18","2026-05-02","Per=Y","Days=T","Dir=V")</f>
        <v>0</v>
      </c>
      <c r="AC2">
        <f>BDH("AAON US Equity","EBITDA","1993-06-18","2026-05-02","Per=Y","Days=T","Dir=V")</f>
        <v>0</v>
      </c>
      <c r="AE2">
        <f>BDH("AAON US Equity","NET_INCOME","1993-06-18","2026-05-02","Per=Y","Days=T","Dir=V")</f>
        <v>0</v>
      </c>
      <c r="AG2">
        <f>BDH("AAON US Equity","IS_INT_EXPENSE","1993-06-18","2026-05-02","Per=Y","Days=T","Dir=V")</f>
        <v>0</v>
      </c>
      <c r="AI2">
        <f>BDH("AAON US Equity","IS_DEPR_EXP","1993-06-18","2026-05-02","Per=Y","Days=T","Dir=V")</f>
        <v>0</v>
      </c>
      <c r="AK2">
        <f>BDH("AAON US Equity","CF_CASH_FROM_OPER","1993-06-18","2026-05-02","Per=Y","Days=T","Dir=V")</f>
        <v>0</v>
      </c>
      <c r="AM2">
        <f>BDH("AAON US Equity","CAPITAL_EXPEND","1993-06-18","2026-05-02","Per=Y","Days=T","Dir=V")</f>
        <v>0</v>
      </c>
      <c r="AO2">
        <f>BDH("AAON US Equity","CF_FREE_CASH_FLOW","1993-06-18","2026-05-02","Per=Y","Days=T","Dir=V")</f>
        <v>0</v>
      </c>
      <c r="AQ2">
        <f>BDH("AAON US Equity","PX_LAST","1993-06-18","2026-05-02","Per=M","Days=T","Dir=V")</f>
        <v>0</v>
      </c>
      <c r="AS2">
        <f>BDH("AAON US Equity","CUR_MKT_CAP","1993-06-18","2026-05-02","Per=M","Days=T","Dir=V")</f>
        <v>0</v>
      </c>
      <c r="AU2">
        <f>BDH("AAON US Equity","EQY_SH_OUT","1993-06-18","2026-05-02","Per=M","Days=T","Dir=V")</f>
        <v>0</v>
      </c>
      <c r="AW2">
        <f>BDH("AAON US Equity","PX_VOLUME","1993-06-18","2026-05-02","Per=M","Days=T","Dir=V")</f>
        <v>0</v>
      </c>
      <c r="AY2">
        <f>BDH("AAON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BDH("AAP US Equity","BS_TOT_ASSET","1993-06-18","2026-05-02","Per=Y","Days=T","Dir=V")</f>
        <v>0</v>
      </c>
      <c r="C2">
        <f>BDH("AAP US Equity","BS_TOT_LIAB2","1993-06-18","2026-05-02","Per=Y","Days=T","Dir=V")</f>
        <v>0</v>
      </c>
      <c r="E2">
        <f>BDH("AAP US Equity","SHORT_AND_LONG_TERM_DEBT","1993-06-18","2026-05-02","Per=Y","Days=T","Dir=V")</f>
        <v>0</v>
      </c>
      <c r="G2">
        <f>BDH("AAP US Equity","BS_ST_BORROW","1993-06-18","2026-05-02","Per=Y","Days=T","Dir=V")</f>
        <v>0</v>
      </c>
      <c r="I2">
        <f>BDH("AAP US Equity","BS_LT_BORROW","1993-06-18","2026-05-02","Per=Y","Days=T","Dir=V")</f>
        <v>0</v>
      </c>
      <c r="K2">
        <f>BDH("AAP US Equity","BS_CASH_NEAR_CASH_ITEM","1993-06-18","2026-05-02","Per=Y","Days=T","Dir=V")</f>
        <v>0</v>
      </c>
      <c r="M2">
        <f>BDH("AAP US Equity","BS_CUR_ASSET_REPORT","1993-06-18","2026-05-02","Per=Y","Days=T","Dir=V")</f>
        <v>0</v>
      </c>
      <c r="O2">
        <f>BDH("AAP US Equity","BS_CUR_LIAB","1993-06-18","2026-05-02","Per=Y","Days=T","Dir=V")</f>
        <v>0</v>
      </c>
      <c r="Q2">
        <f>BDH("AAP US Equity","BS_SHAREHOLDER_EQY_ENDING_PERIOD","1993-06-18","2026-05-02","Per=Y","Days=T","Dir=V")</f>
        <v>0</v>
      </c>
      <c r="S2">
        <f>BDH("AAP US Equity","BS_ACCT_NOTE_RCV","1993-06-18","2026-05-02","Per=Y","Days=T","Dir=V")</f>
        <v>0</v>
      </c>
      <c r="U2">
        <f>BDH("AAP US Equity","BS_INVENTORIES","1993-06-18","2026-05-02","Per=Y","Days=T","Dir=V")</f>
        <v>0</v>
      </c>
      <c r="W2">
        <f>BDH("AAP US Equity","WORKING_CAPITAL","1993-06-18","2026-05-02","Per=Y","Days=T","Dir=V")</f>
        <v>0</v>
      </c>
      <c r="Y2">
        <f>BDH("AAP US Equity","SALES_REV_TURN","1993-06-18","2026-05-02","Per=Y","Days=T","Dir=V")</f>
        <v>0</v>
      </c>
      <c r="AA2">
        <f>BDH("AAP US Equity","EBIT","1993-06-18","2026-05-02","Per=Y","Days=T","Dir=V")</f>
        <v>0</v>
      </c>
      <c r="AC2">
        <f>BDH("AAP US Equity","EBITDA","1993-06-18","2026-05-02","Per=Y","Days=T","Dir=V")</f>
        <v>0</v>
      </c>
      <c r="AE2">
        <f>BDH("AAP US Equity","NET_INCOME","1993-06-18","2026-05-02","Per=Y","Days=T","Dir=V")</f>
        <v>0</v>
      </c>
      <c r="AG2">
        <f>BDH("AAP US Equity","IS_INT_EXPENSE","1993-06-18","2026-05-02","Per=Y","Days=T","Dir=V")</f>
        <v>0</v>
      </c>
      <c r="AI2">
        <f>BDH("AAP US Equity","IS_DEPR_EXP","1993-06-18","2026-05-02","Per=Y","Days=T","Dir=V")</f>
        <v>0</v>
      </c>
      <c r="AK2">
        <f>BDH("AAP US Equity","CF_CASH_FROM_OPER","1993-06-18","2026-05-02","Per=Y","Days=T","Dir=V")</f>
        <v>0</v>
      </c>
      <c r="AM2">
        <f>BDH("AAP US Equity","CAPITAL_EXPEND","1993-06-18","2026-05-02","Per=Y","Days=T","Dir=V")</f>
        <v>0</v>
      </c>
      <c r="AO2">
        <f>BDH("AAP US Equity","CF_FREE_CASH_FLOW","1993-06-18","2026-05-02","Per=Y","Days=T","Dir=V")</f>
        <v>0</v>
      </c>
      <c r="AQ2">
        <f>BDH("AAP US Equity","PX_LAST","1993-06-18","2026-05-02","Per=M","Days=T","Dir=V")</f>
        <v>0</v>
      </c>
      <c r="AS2">
        <f>BDH("AAP US Equity","CUR_MKT_CAP","1993-06-18","2026-05-02","Per=M","Days=T","Dir=V")</f>
        <v>0</v>
      </c>
      <c r="AU2">
        <f>BDH("AAP US Equity","EQY_SH_OUT","1993-06-18","2026-05-02","Per=M","Days=T","Dir=V")</f>
        <v>0</v>
      </c>
      <c r="AW2">
        <f>BDH("AAP US Equity","PX_VOLUME","1993-06-18","2026-05-02","Per=M","Days=T","Dir=V")</f>
        <v>0</v>
      </c>
      <c r="AY2">
        <f>BDH("AAP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BDH("AAPL US Equity","BS_TOT_ASSET","1993-06-18","2026-05-02","Per=Y","Days=T","Dir=V")</f>
        <v>0</v>
      </c>
      <c r="C2">
        <f>BDH("AAPL US Equity","BS_TOT_LIAB2","1993-06-18","2026-05-02","Per=Y","Days=T","Dir=V")</f>
        <v>0</v>
      </c>
      <c r="E2">
        <f>BDH("AAPL US Equity","SHORT_AND_LONG_TERM_DEBT","1993-06-18","2026-05-02","Per=Y","Days=T","Dir=V")</f>
        <v>0</v>
      </c>
      <c r="G2">
        <f>BDH("AAPL US Equity","BS_ST_BORROW","1993-06-18","2026-05-02","Per=Y","Days=T","Dir=V")</f>
        <v>0</v>
      </c>
      <c r="I2">
        <f>BDH("AAPL US Equity","BS_LT_BORROW","1993-06-18","2026-05-02","Per=Y","Days=T","Dir=V")</f>
        <v>0</v>
      </c>
      <c r="K2">
        <f>BDH("AAPL US Equity","BS_CASH_NEAR_CASH_ITEM","1993-06-18","2026-05-02","Per=Y","Days=T","Dir=V")</f>
        <v>0</v>
      </c>
      <c r="M2">
        <f>BDH("AAPL US Equity","BS_CUR_ASSET_REPORT","1993-06-18","2026-05-02","Per=Y","Days=T","Dir=V")</f>
        <v>0</v>
      </c>
      <c r="O2">
        <f>BDH("AAPL US Equity","BS_CUR_LIAB","1993-06-18","2026-05-02","Per=Y","Days=T","Dir=V")</f>
        <v>0</v>
      </c>
      <c r="Q2">
        <f>BDH("AAPL US Equity","BS_SHAREHOLDER_EQY_ENDING_PERIOD","1993-06-18","2026-05-02","Per=Y","Days=T","Dir=V")</f>
        <v>0</v>
      </c>
      <c r="S2">
        <f>BDH("AAPL US Equity","BS_ACCT_NOTE_RCV","1993-06-18","2026-05-02","Per=Y","Days=T","Dir=V")</f>
        <v>0</v>
      </c>
      <c r="U2">
        <f>BDH("AAPL US Equity","BS_INVENTORIES","1993-06-18","2026-05-02","Per=Y","Days=T","Dir=V")</f>
        <v>0</v>
      </c>
      <c r="W2">
        <f>BDH("AAPL US Equity","WORKING_CAPITAL","1993-06-18","2026-05-02","Per=Y","Days=T","Dir=V")</f>
        <v>0</v>
      </c>
      <c r="Y2">
        <f>BDH("AAPL US Equity","SALES_REV_TURN","1993-06-18","2026-05-02","Per=Y","Days=T","Dir=V")</f>
        <v>0</v>
      </c>
      <c r="AA2">
        <f>BDH("AAPL US Equity","EBIT","1993-06-18","2026-05-02","Per=Y","Days=T","Dir=V")</f>
        <v>0</v>
      </c>
      <c r="AC2">
        <f>BDH("AAPL US Equity","EBITDA","1993-06-18","2026-05-02","Per=Y","Days=T","Dir=V")</f>
        <v>0</v>
      </c>
      <c r="AE2">
        <f>BDH("AAPL US Equity","NET_INCOME","1993-06-18","2026-05-02","Per=Y","Days=T","Dir=V")</f>
        <v>0</v>
      </c>
      <c r="AG2">
        <f>BDH("AAPL US Equity","IS_INT_EXPENSE","1993-06-18","2026-05-02","Per=Y","Days=T","Dir=V")</f>
        <v>0</v>
      </c>
      <c r="AI2">
        <f>BDH("AAPL US Equity","IS_DEPR_EXP","1993-06-18","2026-05-02","Per=Y","Days=T","Dir=V")</f>
        <v>0</v>
      </c>
      <c r="AK2">
        <f>BDH("AAPL US Equity","CF_CASH_FROM_OPER","1993-06-18","2026-05-02","Per=Y","Days=T","Dir=V")</f>
        <v>0</v>
      </c>
      <c r="AM2">
        <f>BDH("AAPL US Equity","CAPITAL_EXPEND","1993-06-18","2026-05-02","Per=Y","Days=T","Dir=V")</f>
        <v>0</v>
      </c>
      <c r="AO2">
        <f>BDH("AAPL US Equity","CF_FREE_CASH_FLOW","1993-06-18","2026-05-02","Per=Y","Days=T","Dir=V")</f>
        <v>0</v>
      </c>
      <c r="AQ2">
        <f>BDH("AAPL US Equity","PX_LAST","1993-06-18","2026-05-02","Per=M","Days=T","Dir=V")</f>
        <v>0</v>
      </c>
      <c r="AS2">
        <f>BDH("AAPL US Equity","CUR_MKT_CAP","1993-06-18","2026-05-02","Per=M","Days=T","Dir=V")</f>
        <v>0</v>
      </c>
      <c r="AU2">
        <f>BDH("AAPL US Equity","EQY_SH_OUT","1993-06-18","2026-05-02","Per=M","Days=T","Dir=V")</f>
        <v>0</v>
      </c>
      <c r="AW2">
        <f>BDH("AAPL US Equity","PX_VOLUME","1993-06-18","2026-05-02","Per=M","Days=T","Dir=V")</f>
        <v>0</v>
      </c>
      <c r="AY2">
        <f>BDH("AAPL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BDH("AARD US Equity","BS_TOT_ASSET","1993-06-18","2026-05-02","Per=Y","Days=T","Dir=V")</f>
        <v>0</v>
      </c>
      <c r="C2">
        <f>BDH("AARD US Equity","BS_TOT_LIAB2","1993-06-18","2026-05-02","Per=Y","Days=T","Dir=V")</f>
        <v>0</v>
      </c>
      <c r="E2">
        <f>BDH("AARD US Equity","SHORT_AND_LONG_TERM_DEBT","1993-06-18","2026-05-02","Per=Y","Days=T","Dir=V")</f>
        <v>0</v>
      </c>
      <c r="G2">
        <f>BDH("AARD US Equity","BS_ST_BORROW","1993-06-18","2026-05-02","Per=Y","Days=T","Dir=V")</f>
        <v>0</v>
      </c>
      <c r="I2">
        <f>BDH("AARD US Equity","BS_LT_BORROW","1993-06-18","2026-05-02","Per=Y","Days=T","Dir=V")</f>
        <v>0</v>
      </c>
      <c r="K2">
        <f>BDH("AARD US Equity","BS_CASH_NEAR_CASH_ITEM","1993-06-18","2026-05-02","Per=Y","Days=T","Dir=V")</f>
        <v>0</v>
      </c>
      <c r="M2">
        <f>BDH("AARD US Equity","BS_CUR_ASSET_REPORT","1993-06-18","2026-05-02","Per=Y","Days=T","Dir=V")</f>
        <v>0</v>
      </c>
      <c r="O2">
        <f>BDH("AARD US Equity","BS_CUR_LIAB","1993-06-18","2026-05-02","Per=Y","Days=T","Dir=V")</f>
        <v>0</v>
      </c>
      <c r="Q2">
        <f>BDH("AARD US Equity","BS_SHAREHOLDER_EQY_ENDING_PERIOD","1993-06-18","2026-05-02","Per=Y","Days=T","Dir=V")</f>
        <v>0</v>
      </c>
      <c r="S2">
        <f>BDH("AARD US Equity","BS_ACCT_NOTE_RCV","1993-06-18","2026-05-02","Per=Y","Days=T","Dir=V")</f>
        <v>0</v>
      </c>
      <c r="U2">
        <f>BDH("AARD US Equity","BS_INVENTORIES","1993-06-18","2026-05-02","Per=Y","Days=T","Dir=V")</f>
        <v>0</v>
      </c>
      <c r="W2">
        <f>BDH("AARD US Equity","WORKING_CAPITAL","1993-06-18","2026-05-02","Per=Y","Days=T","Dir=V")</f>
        <v>0</v>
      </c>
      <c r="Y2">
        <f>BDH("AARD US Equity","SALES_REV_TURN","1993-06-18","2026-05-02","Per=Y","Days=T","Dir=V")</f>
        <v>0</v>
      </c>
      <c r="AA2">
        <f>BDH("AARD US Equity","EBIT","1993-06-18","2026-05-02","Per=Y","Days=T","Dir=V")</f>
        <v>0</v>
      </c>
      <c r="AC2">
        <f>BDH("AARD US Equity","EBITDA","1993-06-18","2026-05-02","Per=Y","Days=T","Dir=V")</f>
        <v>0</v>
      </c>
      <c r="AE2">
        <f>BDH("AARD US Equity","NET_INCOME","1993-06-18","2026-05-02","Per=Y","Days=T","Dir=V")</f>
        <v>0</v>
      </c>
      <c r="AG2">
        <f>BDH("AARD US Equity","IS_INT_EXPENSE","1993-06-18","2026-05-02","Per=Y","Days=T","Dir=V")</f>
        <v>0</v>
      </c>
      <c r="AI2">
        <f>BDH("AARD US Equity","IS_DEPR_EXP","1993-06-18","2026-05-02","Per=Y","Days=T","Dir=V")</f>
        <v>0</v>
      </c>
      <c r="AK2">
        <f>BDH("AARD US Equity","CF_CASH_FROM_OPER","1993-06-18","2026-05-02","Per=Y","Days=T","Dir=V")</f>
        <v>0</v>
      </c>
      <c r="AM2">
        <f>BDH("AARD US Equity","CAPITAL_EXPEND","1993-06-18","2026-05-02","Per=Y","Days=T","Dir=V")</f>
        <v>0</v>
      </c>
      <c r="AO2">
        <f>BDH("AARD US Equity","CF_FREE_CASH_FLOW","1993-06-18","2026-05-02","Per=Y","Days=T","Dir=V")</f>
        <v>0</v>
      </c>
      <c r="AQ2">
        <f>BDH("AARD US Equity","PX_LAST","1993-06-18","2026-05-02","Per=M","Days=T","Dir=V")</f>
        <v>0</v>
      </c>
      <c r="AS2">
        <f>BDH("AARD US Equity","CUR_MKT_CAP","1993-06-18","2026-05-02","Per=M","Days=T","Dir=V")</f>
        <v>0</v>
      </c>
      <c r="AU2">
        <f>BDH("AARD US Equity","EQY_SH_OUT","1993-06-18","2026-05-02","Per=M","Days=T","Dir=V")</f>
        <v>0</v>
      </c>
      <c r="AW2">
        <f>BDH("AARD US Equity","PX_VOLUME","1993-06-18","2026-05-02","Per=M","Days=T","Dir=V")</f>
        <v>0</v>
      </c>
      <c r="AY2">
        <f>BDH("AARD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BDH("ABAT US Equity","BS_TOT_ASSET","1993-06-18","2026-05-02","Per=Y","Days=T","Dir=V")</f>
        <v>0</v>
      </c>
      <c r="C2">
        <f>BDH("ABAT US Equity","BS_TOT_LIAB2","1993-06-18","2026-05-02","Per=Y","Days=T","Dir=V")</f>
        <v>0</v>
      </c>
      <c r="E2">
        <f>BDH("ABAT US Equity","SHORT_AND_LONG_TERM_DEBT","1993-06-18","2026-05-02","Per=Y","Days=T","Dir=V")</f>
        <v>0</v>
      </c>
      <c r="G2">
        <f>BDH("ABAT US Equity","BS_ST_BORROW","1993-06-18","2026-05-02","Per=Y","Days=T","Dir=V")</f>
        <v>0</v>
      </c>
      <c r="I2">
        <f>BDH("ABAT US Equity","BS_LT_BORROW","1993-06-18","2026-05-02","Per=Y","Days=T","Dir=V")</f>
        <v>0</v>
      </c>
      <c r="K2">
        <f>BDH("ABAT US Equity","BS_CASH_NEAR_CASH_ITEM","1993-06-18","2026-05-02","Per=Y","Days=T","Dir=V")</f>
        <v>0</v>
      </c>
      <c r="M2">
        <f>BDH("ABAT US Equity","BS_CUR_ASSET_REPORT","1993-06-18","2026-05-02","Per=Y","Days=T","Dir=V")</f>
        <v>0</v>
      </c>
      <c r="O2">
        <f>BDH("ABAT US Equity","BS_CUR_LIAB","1993-06-18","2026-05-02","Per=Y","Days=T","Dir=V")</f>
        <v>0</v>
      </c>
      <c r="Q2">
        <f>BDH("ABAT US Equity","BS_SHAREHOLDER_EQY_ENDING_PERIOD","1993-06-18","2026-05-02","Per=Y","Days=T","Dir=V")</f>
        <v>0</v>
      </c>
      <c r="S2">
        <f>BDH("ABAT US Equity","BS_ACCT_NOTE_RCV","1993-06-18","2026-05-02","Per=Y","Days=T","Dir=V")</f>
        <v>0</v>
      </c>
      <c r="U2">
        <f>BDH("ABAT US Equity","BS_INVENTORIES","1993-06-18","2026-05-02","Per=Y","Days=T","Dir=V")</f>
        <v>0</v>
      </c>
      <c r="W2">
        <f>BDH("ABAT US Equity","WORKING_CAPITAL","1993-06-18","2026-05-02","Per=Y","Days=T","Dir=V")</f>
        <v>0</v>
      </c>
      <c r="Y2">
        <f>BDH("ABAT US Equity","SALES_REV_TURN","1993-06-18","2026-05-02","Per=Y","Days=T","Dir=V")</f>
        <v>0</v>
      </c>
      <c r="AA2">
        <f>BDH("ABAT US Equity","EBIT","1993-06-18","2026-05-02","Per=Y","Days=T","Dir=V")</f>
        <v>0</v>
      </c>
      <c r="AC2">
        <f>BDH("ABAT US Equity","EBITDA","1993-06-18","2026-05-02","Per=Y","Days=T","Dir=V")</f>
        <v>0</v>
      </c>
      <c r="AE2">
        <f>BDH("ABAT US Equity","NET_INCOME","1993-06-18","2026-05-02","Per=Y","Days=T","Dir=V")</f>
        <v>0</v>
      </c>
      <c r="AG2">
        <f>BDH("ABAT US Equity","IS_INT_EXPENSE","1993-06-18","2026-05-02","Per=Y","Days=T","Dir=V")</f>
        <v>0</v>
      </c>
      <c r="AI2">
        <f>BDH("ABAT US Equity","IS_DEPR_EXP","1993-06-18","2026-05-02","Per=Y","Days=T","Dir=V")</f>
        <v>0</v>
      </c>
      <c r="AK2">
        <f>BDH("ABAT US Equity","CF_CASH_FROM_OPER","1993-06-18","2026-05-02","Per=Y","Days=T","Dir=V")</f>
        <v>0</v>
      </c>
      <c r="AM2">
        <f>BDH("ABAT US Equity","CAPITAL_EXPEND","1993-06-18","2026-05-02","Per=Y","Days=T","Dir=V")</f>
        <v>0</v>
      </c>
      <c r="AO2">
        <f>BDH("ABAT US Equity","CF_FREE_CASH_FLOW","1993-06-18","2026-05-02","Per=Y","Days=T","Dir=V")</f>
        <v>0</v>
      </c>
      <c r="AQ2">
        <f>BDH("ABAT US Equity","PX_LAST","1993-06-18","2026-05-02","Per=M","Days=T","Dir=V")</f>
        <v>0</v>
      </c>
      <c r="AS2">
        <f>BDH("ABAT US Equity","CUR_MKT_CAP","1993-06-18","2026-05-02","Per=M","Days=T","Dir=V")</f>
        <v>0</v>
      </c>
      <c r="AU2">
        <f>BDH("ABAT US Equity","EQY_SH_OUT","1993-06-18","2026-05-02","Per=M","Days=T","Dir=V")</f>
        <v>0</v>
      </c>
      <c r="AW2">
        <f>BDH("ABAT US Equity","PX_VOLUME","1993-06-18","2026-05-02","Per=M","Days=T","Dir=V")</f>
        <v>0</v>
      </c>
      <c r="AY2">
        <f>BDH("ABAT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BDH("ABBV US Equity","BS_TOT_ASSET","1993-06-18","2026-05-02","Per=Y","Days=T","Dir=V")</f>
        <v>0</v>
      </c>
      <c r="C2">
        <f>BDH("ABBV US Equity","BS_TOT_LIAB2","1993-06-18","2026-05-02","Per=Y","Days=T","Dir=V")</f>
        <v>0</v>
      </c>
      <c r="E2">
        <f>BDH("ABBV US Equity","SHORT_AND_LONG_TERM_DEBT","1993-06-18","2026-05-02","Per=Y","Days=T","Dir=V")</f>
        <v>0</v>
      </c>
      <c r="G2">
        <f>BDH("ABBV US Equity","BS_ST_BORROW","1993-06-18","2026-05-02","Per=Y","Days=T","Dir=V")</f>
        <v>0</v>
      </c>
      <c r="I2">
        <f>BDH("ABBV US Equity","BS_LT_BORROW","1993-06-18","2026-05-02","Per=Y","Days=T","Dir=V")</f>
        <v>0</v>
      </c>
      <c r="K2">
        <f>BDH("ABBV US Equity","BS_CASH_NEAR_CASH_ITEM","1993-06-18","2026-05-02","Per=Y","Days=T","Dir=V")</f>
        <v>0</v>
      </c>
      <c r="M2">
        <f>BDH("ABBV US Equity","BS_CUR_ASSET_REPORT","1993-06-18","2026-05-02","Per=Y","Days=T","Dir=V")</f>
        <v>0</v>
      </c>
      <c r="O2">
        <f>BDH("ABBV US Equity","BS_CUR_LIAB","1993-06-18","2026-05-02","Per=Y","Days=T","Dir=V")</f>
        <v>0</v>
      </c>
      <c r="Q2">
        <f>BDH("ABBV US Equity","BS_SHAREHOLDER_EQY_ENDING_PERIOD","1993-06-18","2026-05-02","Per=Y","Days=T","Dir=V")</f>
        <v>0</v>
      </c>
      <c r="S2">
        <f>BDH("ABBV US Equity","BS_ACCT_NOTE_RCV","1993-06-18","2026-05-02","Per=Y","Days=T","Dir=V")</f>
        <v>0</v>
      </c>
      <c r="U2">
        <f>BDH("ABBV US Equity","BS_INVENTORIES","1993-06-18","2026-05-02","Per=Y","Days=T","Dir=V")</f>
        <v>0</v>
      </c>
      <c r="W2">
        <f>BDH("ABBV US Equity","WORKING_CAPITAL","1993-06-18","2026-05-02","Per=Y","Days=T","Dir=V")</f>
        <v>0</v>
      </c>
      <c r="Y2">
        <f>BDH("ABBV US Equity","SALES_REV_TURN","1993-06-18","2026-05-02","Per=Y","Days=T","Dir=V")</f>
        <v>0</v>
      </c>
      <c r="AA2">
        <f>BDH("ABBV US Equity","EBIT","1993-06-18","2026-05-02","Per=Y","Days=T","Dir=V")</f>
        <v>0</v>
      </c>
      <c r="AC2">
        <f>BDH("ABBV US Equity","EBITDA","1993-06-18","2026-05-02","Per=Y","Days=T","Dir=V")</f>
        <v>0</v>
      </c>
      <c r="AE2">
        <f>BDH("ABBV US Equity","NET_INCOME","1993-06-18","2026-05-02","Per=Y","Days=T","Dir=V")</f>
        <v>0</v>
      </c>
      <c r="AG2">
        <f>BDH("ABBV US Equity","IS_INT_EXPENSE","1993-06-18","2026-05-02","Per=Y","Days=T","Dir=V")</f>
        <v>0</v>
      </c>
      <c r="AI2">
        <f>BDH("ABBV US Equity","IS_DEPR_EXP","1993-06-18","2026-05-02","Per=Y","Days=T","Dir=V")</f>
        <v>0</v>
      </c>
      <c r="AK2">
        <f>BDH("ABBV US Equity","CF_CASH_FROM_OPER","1993-06-18","2026-05-02","Per=Y","Days=T","Dir=V")</f>
        <v>0</v>
      </c>
      <c r="AM2">
        <f>BDH("ABBV US Equity","CAPITAL_EXPEND","1993-06-18","2026-05-02","Per=Y","Days=T","Dir=V")</f>
        <v>0</v>
      </c>
      <c r="AO2">
        <f>BDH("ABBV US Equity","CF_FREE_CASH_FLOW","1993-06-18","2026-05-02","Per=Y","Days=T","Dir=V")</f>
        <v>0</v>
      </c>
      <c r="AQ2">
        <f>BDH("ABBV US Equity","PX_LAST","1993-06-18","2026-05-02","Per=M","Days=T","Dir=V")</f>
        <v>0</v>
      </c>
      <c r="AS2">
        <f>BDH("ABBV US Equity","CUR_MKT_CAP","1993-06-18","2026-05-02","Per=M","Days=T","Dir=V")</f>
        <v>0</v>
      </c>
      <c r="AU2">
        <f>BDH("ABBV US Equity","EQY_SH_OUT","1993-06-18","2026-05-02","Per=M","Days=T","Dir=V")</f>
        <v>0</v>
      </c>
      <c r="AW2">
        <f>BDH("ABBV US Equity","PX_VOLUME","1993-06-18","2026-05-02","Per=M","Days=T","Dir=V")</f>
        <v>0</v>
      </c>
      <c r="AY2">
        <f>BDH("ABBV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BDH("ABEO US Equity","BS_TOT_ASSET","1993-06-18","2026-05-02","Per=Y","Days=T","Dir=V")</f>
        <v>0</v>
      </c>
      <c r="C2">
        <f>BDH("ABEO US Equity","BS_TOT_LIAB2","1993-06-18","2026-05-02","Per=Y","Days=T","Dir=V")</f>
        <v>0</v>
      </c>
      <c r="E2">
        <f>BDH("ABEO US Equity","SHORT_AND_LONG_TERM_DEBT","1993-06-18","2026-05-02","Per=Y","Days=T","Dir=V")</f>
        <v>0</v>
      </c>
      <c r="G2">
        <f>BDH("ABEO US Equity","BS_ST_BORROW","1993-06-18","2026-05-02","Per=Y","Days=T","Dir=V")</f>
        <v>0</v>
      </c>
      <c r="I2">
        <f>BDH("ABEO US Equity","BS_LT_BORROW","1993-06-18","2026-05-02","Per=Y","Days=T","Dir=V")</f>
        <v>0</v>
      </c>
      <c r="K2">
        <f>BDH("ABEO US Equity","BS_CASH_NEAR_CASH_ITEM","1993-06-18","2026-05-02","Per=Y","Days=T","Dir=V")</f>
        <v>0</v>
      </c>
      <c r="M2">
        <f>BDH("ABEO US Equity","BS_CUR_ASSET_REPORT","1993-06-18","2026-05-02","Per=Y","Days=T","Dir=V")</f>
        <v>0</v>
      </c>
      <c r="O2">
        <f>BDH("ABEO US Equity","BS_CUR_LIAB","1993-06-18","2026-05-02","Per=Y","Days=T","Dir=V")</f>
        <v>0</v>
      </c>
      <c r="Q2">
        <f>BDH("ABEO US Equity","BS_SHAREHOLDER_EQY_ENDING_PERIOD","1993-06-18","2026-05-02","Per=Y","Days=T","Dir=V")</f>
        <v>0</v>
      </c>
      <c r="S2">
        <f>BDH("ABEO US Equity","BS_ACCT_NOTE_RCV","1993-06-18","2026-05-02","Per=Y","Days=T","Dir=V")</f>
        <v>0</v>
      </c>
      <c r="U2">
        <f>BDH("ABEO US Equity","BS_INVENTORIES","1993-06-18","2026-05-02","Per=Y","Days=T","Dir=V")</f>
        <v>0</v>
      </c>
      <c r="W2">
        <f>BDH("ABEO US Equity","WORKING_CAPITAL","1993-06-18","2026-05-02","Per=Y","Days=T","Dir=V")</f>
        <v>0</v>
      </c>
      <c r="Y2">
        <f>BDH("ABEO US Equity","SALES_REV_TURN","1993-06-18","2026-05-02","Per=Y","Days=T","Dir=V")</f>
        <v>0</v>
      </c>
      <c r="AA2">
        <f>BDH("ABEO US Equity","EBIT","1993-06-18","2026-05-02","Per=Y","Days=T","Dir=V")</f>
        <v>0</v>
      </c>
      <c r="AC2">
        <f>BDH("ABEO US Equity","EBITDA","1993-06-18","2026-05-02","Per=Y","Days=T","Dir=V")</f>
        <v>0</v>
      </c>
      <c r="AE2">
        <f>BDH("ABEO US Equity","NET_INCOME","1993-06-18","2026-05-02","Per=Y","Days=T","Dir=V")</f>
        <v>0</v>
      </c>
      <c r="AG2">
        <f>BDH("ABEO US Equity","IS_INT_EXPENSE","1993-06-18","2026-05-02","Per=Y","Days=T","Dir=V")</f>
        <v>0</v>
      </c>
      <c r="AI2">
        <f>BDH("ABEO US Equity","IS_DEPR_EXP","1993-06-18","2026-05-02","Per=Y","Days=T","Dir=V")</f>
        <v>0</v>
      </c>
      <c r="AK2">
        <f>BDH("ABEO US Equity","CF_CASH_FROM_OPER","1993-06-18","2026-05-02","Per=Y","Days=T","Dir=V")</f>
        <v>0</v>
      </c>
      <c r="AM2">
        <f>BDH("ABEO US Equity","CAPITAL_EXPEND","1993-06-18","2026-05-02","Per=Y","Days=T","Dir=V")</f>
        <v>0</v>
      </c>
      <c r="AO2">
        <f>BDH("ABEO US Equity","CF_FREE_CASH_FLOW","1993-06-18","2026-05-02","Per=Y","Days=T","Dir=V")</f>
        <v>0</v>
      </c>
      <c r="AQ2">
        <f>BDH("ABEO US Equity","PX_LAST","1993-06-18","2026-05-02","Per=M","Days=T","Dir=V")</f>
        <v>0</v>
      </c>
      <c r="AS2">
        <f>BDH("ABEO US Equity","CUR_MKT_CAP","1993-06-18","2026-05-02","Per=M","Days=T","Dir=V")</f>
        <v>0</v>
      </c>
      <c r="AU2">
        <f>BDH("ABEO US Equity","EQY_SH_OUT","1993-06-18","2026-05-02","Per=M","Days=T","Dir=V")</f>
        <v>0</v>
      </c>
      <c r="AW2">
        <f>BDH("ABEO US Equity","PX_VOLUME","1993-06-18","2026-05-02","Per=M","Days=T","Dir=V")</f>
        <v>0</v>
      </c>
      <c r="AY2">
        <f>BDH("ABEO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BDH("ABG US Equity","BS_TOT_ASSET","1993-06-18","2026-05-02","Per=Y","Days=T","Dir=V")</f>
        <v>0</v>
      </c>
      <c r="C2">
        <f>BDH("ABG US Equity","BS_TOT_LIAB2","1993-06-18","2026-05-02","Per=Y","Days=T","Dir=V")</f>
        <v>0</v>
      </c>
      <c r="E2">
        <f>BDH("ABG US Equity","SHORT_AND_LONG_TERM_DEBT","1993-06-18","2026-05-02","Per=Y","Days=T","Dir=V")</f>
        <v>0</v>
      </c>
      <c r="G2">
        <f>BDH("ABG US Equity","BS_ST_BORROW","1993-06-18","2026-05-02","Per=Y","Days=T","Dir=V")</f>
        <v>0</v>
      </c>
      <c r="I2">
        <f>BDH("ABG US Equity","BS_LT_BORROW","1993-06-18","2026-05-02","Per=Y","Days=T","Dir=V")</f>
        <v>0</v>
      </c>
      <c r="K2">
        <f>BDH("ABG US Equity","BS_CASH_NEAR_CASH_ITEM","1993-06-18","2026-05-02","Per=Y","Days=T","Dir=V")</f>
        <v>0</v>
      </c>
      <c r="M2">
        <f>BDH("ABG US Equity","BS_CUR_ASSET_REPORT","1993-06-18","2026-05-02","Per=Y","Days=T","Dir=V")</f>
        <v>0</v>
      </c>
      <c r="O2">
        <f>BDH("ABG US Equity","BS_CUR_LIAB","1993-06-18","2026-05-02","Per=Y","Days=T","Dir=V")</f>
        <v>0</v>
      </c>
      <c r="Q2">
        <f>BDH("ABG US Equity","BS_SHAREHOLDER_EQY_ENDING_PERIOD","1993-06-18","2026-05-02","Per=Y","Days=T","Dir=V")</f>
        <v>0</v>
      </c>
      <c r="S2">
        <f>BDH("ABG US Equity","BS_ACCT_NOTE_RCV","1993-06-18","2026-05-02","Per=Y","Days=T","Dir=V")</f>
        <v>0</v>
      </c>
      <c r="U2">
        <f>BDH("ABG US Equity","BS_INVENTORIES","1993-06-18","2026-05-02","Per=Y","Days=T","Dir=V")</f>
        <v>0</v>
      </c>
      <c r="W2">
        <f>BDH("ABG US Equity","WORKING_CAPITAL","1993-06-18","2026-05-02","Per=Y","Days=T","Dir=V")</f>
        <v>0</v>
      </c>
      <c r="Y2">
        <f>BDH("ABG US Equity","SALES_REV_TURN","1993-06-18","2026-05-02","Per=Y","Days=T","Dir=V")</f>
        <v>0</v>
      </c>
      <c r="AA2">
        <f>BDH("ABG US Equity","EBIT","1993-06-18","2026-05-02","Per=Y","Days=T","Dir=V")</f>
        <v>0</v>
      </c>
      <c r="AC2">
        <f>BDH("ABG US Equity","EBITDA","1993-06-18","2026-05-02","Per=Y","Days=T","Dir=V")</f>
        <v>0</v>
      </c>
      <c r="AE2">
        <f>BDH("ABG US Equity","NET_INCOME","1993-06-18","2026-05-02","Per=Y","Days=T","Dir=V")</f>
        <v>0</v>
      </c>
      <c r="AG2">
        <f>BDH("ABG US Equity","IS_INT_EXPENSE","1993-06-18","2026-05-02","Per=Y","Days=T","Dir=V")</f>
        <v>0</v>
      </c>
      <c r="AI2">
        <f>BDH("ABG US Equity","IS_DEPR_EXP","1993-06-18","2026-05-02","Per=Y","Days=T","Dir=V")</f>
        <v>0</v>
      </c>
      <c r="AK2">
        <f>BDH("ABG US Equity","CF_CASH_FROM_OPER","1993-06-18","2026-05-02","Per=Y","Days=T","Dir=V")</f>
        <v>0</v>
      </c>
      <c r="AM2">
        <f>BDH("ABG US Equity","CAPITAL_EXPEND","1993-06-18","2026-05-02","Per=Y","Days=T","Dir=V")</f>
        <v>0</v>
      </c>
      <c r="AO2">
        <f>BDH("ABG US Equity","CF_FREE_CASH_FLOW","1993-06-18","2026-05-02","Per=Y","Days=T","Dir=V")</f>
        <v>0</v>
      </c>
      <c r="AQ2">
        <f>BDH("ABG US Equity","PX_LAST","1993-06-18","2026-05-02","Per=M","Days=T","Dir=V")</f>
        <v>0</v>
      </c>
      <c r="AS2">
        <f>BDH("ABG US Equity","CUR_MKT_CAP","1993-06-18","2026-05-02","Per=M","Days=T","Dir=V")</f>
        <v>0</v>
      </c>
      <c r="AU2">
        <f>BDH("ABG US Equity","EQY_SH_OUT","1993-06-18","2026-05-02","Per=M","Days=T","Dir=V")</f>
        <v>0</v>
      </c>
      <c r="AW2">
        <f>BDH("ABG US Equity","PX_VOLUME","1993-06-18","2026-05-02","Per=M","Days=T","Dir=V")</f>
        <v>0</v>
      </c>
      <c r="AY2">
        <f>BDH("ABG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BDH("ABM US Equity","BS_TOT_ASSET","1993-06-18","2026-05-02","Per=Y","Days=T","Dir=V")</f>
        <v>0</v>
      </c>
      <c r="C2">
        <f>BDH("ABM US Equity","BS_TOT_LIAB2","1993-06-18","2026-05-02","Per=Y","Days=T","Dir=V")</f>
        <v>0</v>
      </c>
      <c r="E2">
        <f>BDH("ABM US Equity","SHORT_AND_LONG_TERM_DEBT","1993-06-18","2026-05-02","Per=Y","Days=T","Dir=V")</f>
        <v>0</v>
      </c>
      <c r="G2">
        <f>BDH("ABM US Equity","BS_ST_BORROW","1993-06-18","2026-05-02","Per=Y","Days=T","Dir=V")</f>
        <v>0</v>
      </c>
      <c r="I2">
        <f>BDH("ABM US Equity","BS_LT_BORROW","1993-06-18","2026-05-02","Per=Y","Days=T","Dir=V")</f>
        <v>0</v>
      </c>
      <c r="K2">
        <f>BDH("ABM US Equity","BS_CASH_NEAR_CASH_ITEM","1993-06-18","2026-05-02","Per=Y","Days=T","Dir=V")</f>
        <v>0</v>
      </c>
      <c r="M2">
        <f>BDH("ABM US Equity","BS_CUR_ASSET_REPORT","1993-06-18","2026-05-02","Per=Y","Days=T","Dir=V")</f>
        <v>0</v>
      </c>
      <c r="O2">
        <f>BDH("ABM US Equity","BS_CUR_LIAB","1993-06-18","2026-05-02","Per=Y","Days=T","Dir=V")</f>
        <v>0</v>
      </c>
      <c r="Q2">
        <f>BDH("ABM US Equity","BS_SHAREHOLDER_EQY_ENDING_PERIOD","1993-06-18","2026-05-02","Per=Y","Days=T","Dir=V")</f>
        <v>0</v>
      </c>
      <c r="S2">
        <f>BDH("ABM US Equity","BS_ACCT_NOTE_RCV","1993-06-18","2026-05-02","Per=Y","Days=T","Dir=V")</f>
        <v>0</v>
      </c>
      <c r="U2">
        <f>BDH("ABM US Equity","BS_INVENTORIES","1993-06-18","2026-05-02","Per=Y","Days=T","Dir=V")</f>
        <v>0</v>
      </c>
      <c r="W2">
        <f>BDH("ABM US Equity","WORKING_CAPITAL","1993-06-18","2026-05-02","Per=Y","Days=T","Dir=V")</f>
        <v>0</v>
      </c>
      <c r="Y2">
        <f>BDH("ABM US Equity","SALES_REV_TURN","1993-06-18","2026-05-02","Per=Y","Days=T","Dir=V")</f>
        <v>0</v>
      </c>
      <c r="AA2">
        <f>BDH("ABM US Equity","EBIT","1993-06-18","2026-05-02","Per=Y","Days=T","Dir=V")</f>
        <v>0</v>
      </c>
      <c r="AC2">
        <f>BDH("ABM US Equity","EBITDA","1993-06-18","2026-05-02","Per=Y","Days=T","Dir=V")</f>
        <v>0</v>
      </c>
      <c r="AE2">
        <f>BDH("ABM US Equity","NET_INCOME","1993-06-18","2026-05-02","Per=Y","Days=T","Dir=V")</f>
        <v>0</v>
      </c>
      <c r="AG2">
        <f>BDH("ABM US Equity","IS_INT_EXPENSE","1993-06-18","2026-05-02","Per=Y","Days=T","Dir=V")</f>
        <v>0</v>
      </c>
      <c r="AI2">
        <f>BDH("ABM US Equity","IS_DEPR_EXP","1993-06-18","2026-05-02","Per=Y","Days=T","Dir=V")</f>
        <v>0</v>
      </c>
      <c r="AK2">
        <f>BDH("ABM US Equity","CF_CASH_FROM_OPER","1993-06-18","2026-05-02","Per=Y","Days=T","Dir=V")</f>
        <v>0</v>
      </c>
      <c r="AM2">
        <f>BDH("ABM US Equity","CAPITAL_EXPEND","1993-06-18","2026-05-02","Per=Y","Days=T","Dir=V")</f>
        <v>0</v>
      </c>
      <c r="AO2">
        <f>BDH("ABM US Equity","CF_FREE_CASH_FLOW","1993-06-18","2026-05-02","Per=Y","Days=T","Dir=V")</f>
        <v>0</v>
      </c>
      <c r="AQ2">
        <f>BDH("ABM US Equity","PX_LAST","1993-06-18","2026-05-02","Per=M","Days=T","Dir=V")</f>
        <v>0</v>
      </c>
      <c r="AS2">
        <f>BDH("ABM US Equity","CUR_MKT_CAP","1993-06-18","2026-05-02","Per=M","Days=T","Dir=V")</f>
        <v>0</v>
      </c>
      <c r="AU2">
        <f>BDH("ABM US Equity","EQY_SH_OUT","1993-06-18","2026-05-02","Per=M","Days=T","Dir=V")</f>
        <v>0</v>
      </c>
      <c r="AW2">
        <f>BDH("ABM US Equity","PX_VOLUME","1993-06-18","2026-05-02","Per=M","Days=T","Dir=V")</f>
        <v>0</v>
      </c>
      <c r="AY2">
        <f>BDH("ABM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BDH("ABNB US Equity","BS_TOT_ASSET","1993-06-18","2026-05-02","Per=Y","Days=T","Dir=V")</f>
        <v>0</v>
      </c>
      <c r="C2">
        <f>BDH("ABNB US Equity","BS_TOT_LIAB2","1993-06-18","2026-05-02","Per=Y","Days=T","Dir=V")</f>
        <v>0</v>
      </c>
      <c r="E2">
        <f>BDH("ABNB US Equity","SHORT_AND_LONG_TERM_DEBT","1993-06-18","2026-05-02","Per=Y","Days=T","Dir=V")</f>
        <v>0</v>
      </c>
      <c r="G2">
        <f>BDH("ABNB US Equity","BS_ST_BORROW","1993-06-18","2026-05-02","Per=Y","Days=T","Dir=V")</f>
        <v>0</v>
      </c>
      <c r="I2">
        <f>BDH("ABNB US Equity","BS_LT_BORROW","1993-06-18","2026-05-02","Per=Y","Days=T","Dir=V")</f>
        <v>0</v>
      </c>
      <c r="K2">
        <f>BDH("ABNB US Equity","BS_CASH_NEAR_CASH_ITEM","1993-06-18","2026-05-02","Per=Y","Days=T","Dir=V")</f>
        <v>0</v>
      </c>
      <c r="M2">
        <f>BDH("ABNB US Equity","BS_CUR_ASSET_REPORT","1993-06-18","2026-05-02","Per=Y","Days=T","Dir=V")</f>
        <v>0</v>
      </c>
      <c r="O2">
        <f>BDH("ABNB US Equity","BS_CUR_LIAB","1993-06-18","2026-05-02","Per=Y","Days=T","Dir=V")</f>
        <v>0</v>
      </c>
      <c r="Q2">
        <f>BDH("ABNB US Equity","BS_SHAREHOLDER_EQY_ENDING_PERIOD","1993-06-18","2026-05-02","Per=Y","Days=T","Dir=V")</f>
        <v>0</v>
      </c>
      <c r="S2">
        <f>BDH("ABNB US Equity","BS_ACCT_NOTE_RCV","1993-06-18","2026-05-02","Per=Y","Days=T","Dir=V")</f>
        <v>0</v>
      </c>
      <c r="U2">
        <f>BDH("ABNB US Equity","BS_INVENTORIES","1993-06-18","2026-05-02","Per=Y","Days=T","Dir=V")</f>
        <v>0</v>
      </c>
      <c r="W2">
        <f>BDH("ABNB US Equity","WORKING_CAPITAL","1993-06-18","2026-05-02","Per=Y","Days=T","Dir=V")</f>
        <v>0</v>
      </c>
      <c r="Y2">
        <f>BDH("ABNB US Equity","SALES_REV_TURN","1993-06-18","2026-05-02","Per=Y","Days=T","Dir=V")</f>
        <v>0</v>
      </c>
      <c r="AA2">
        <f>BDH("ABNB US Equity","EBIT","1993-06-18","2026-05-02","Per=Y","Days=T","Dir=V")</f>
        <v>0</v>
      </c>
      <c r="AC2">
        <f>BDH("ABNB US Equity","EBITDA","1993-06-18","2026-05-02","Per=Y","Days=T","Dir=V")</f>
        <v>0</v>
      </c>
      <c r="AE2">
        <f>BDH("ABNB US Equity","NET_INCOME","1993-06-18","2026-05-02","Per=Y","Days=T","Dir=V")</f>
        <v>0</v>
      </c>
      <c r="AG2">
        <f>BDH("ABNB US Equity","IS_INT_EXPENSE","1993-06-18","2026-05-02","Per=Y","Days=T","Dir=V")</f>
        <v>0</v>
      </c>
      <c r="AI2">
        <f>BDH("ABNB US Equity","IS_DEPR_EXP","1993-06-18","2026-05-02","Per=Y","Days=T","Dir=V")</f>
        <v>0</v>
      </c>
      <c r="AK2">
        <f>BDH("ABNB US Equity","CF_CASH_FROM_OPER","1993-06-18","2026-05-02","Per=Y","Days=T","Dir=V")</f>
        <v>0</v>
      </c>
      <c r="AM2">
        <f>BDH("ABNB US Equity","CAPITAL_EXPEND","1993-06-18","2026-05-02","Per=Y","Days=T","Dir=V")</f>
        <v>0</v>
      </c>
      <c r="AO2">
        <f>BDH("ABNB US Equity","CF_FREE_CASH_FLOW","1993-06-18","2026-05-02","Per=Y","Days=T","Dir=V")</f>
        <v>0</v>
      </c>
      <c r="AQ2">
        <f>BDH("ABNB US Equity","PX_LAST","1993-06-18","2026-05-02","Per=M","Days=T","Dir=V")</f>
        <v>0</v>
      </c>
      <c r="AS2">
        <f>BDH("ABNB US Equity","CUR_MKT_CAP","1993-06-18","2026-05-02","Per=M","Days=T","Dir=V")</f>
        <v>0</v>
      </c>
      <c r="AU2">
        <f>BDH("ABNB US Equity","EQY_SH_OUT","1993-06-18","2026-05-02","Per=M","Days=T","Dir=V")</f>
        <v>0</v>
      </c>
      <c r="AW2">
        <f>BDH("ABNB US Equity","PX_VOLUME","1993-06-18","2026-05-02","Per=M","Days=T","Dir=V")</f>
        <v>0</v>
      </c>
      <c r="AY2">
        <f>BDH("ABNB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BDH("ABOS US Equity","BS_TOT_ASSET","1993-06-18","2026-05-02","Per=Y","Days=T","Dir=V")</f>
        <v>0</v>
      </c>
      <c r="C2">
        <f>BDH("ABOS US Equity","BS_TOT_LIAB2","1993-06-18","2026-05-02","Per=Y","Days=T","Dir=V")</f>
        <v>0</v>
      </c>
      <c r="E2">
        <f>BDH("ABOS US Equity","SHORT_AND_LONG_TERM_DEBT","1993-06-18","2026-05-02","Per=Y","Days=T","Dir=V")</f>
        <v>0</v>
      </c>
      <c r="G2">
        <f>BDH("ABOS US Equity","BS_ST_BORROW","1993-06-18","2026-05-02","Per=Y","Days=T","Dir=V")</f>
        <v>0</v>
      </c>
      <c r="I2">
        <f>BDH("ABOS US Equity","BS_LT_BORROW","1993-06-18","2026-05-02","Per=Y","Days=T","Dir=V")</f>
        <v>0</v>
      </c>
      <c r="K2">
        <f>BDH("ABOS US Equity","BS_CASH_NEAR_CASH_ITEM","1993-06-18","2026-05-02","Per=Y","Days=T","Dir=V")</f>
        <v>0</v>
      </c>
      <c r="M2">
        <f>BDH("ABOS US Equity","BS_CUR_ASSET_REPORT","1993-06-18","2026-05-02","Per=Y","Days=T","Dir=V")</f>
        <v>0</v>
      </c>
      <c r="O2">
        <f>BDH("ABOS US Equity","BS_CUR_LIAB","1993-06-18","2026-05-02","Per=Y","Days=T","Dir=V")</f>
        <v>0</v>
      </c>
      <c r="Q2">
        <f>BDH("ABOS US Equity","BS_SHAREHOLDER_EQY_ENDING_PERIOD","1993-06-18","2026-05-02","Per=Y","Days=T","Dir=V")</f>
        <v>0</v>
      </c>
      <c r="S2">
        <f>BDH("ABOS US Equity","BS_ACCT_NOTE_RCV","1993-06-18","2026-05-02","Per=Y","Days=T","Dir=V")</f>
        <v>0</v>
      </c>
      <c r="U2">
        <f>BDH("ABOS US Equity","BS_INVENTORIES","1993-06-18","2026-05-02","Per=Y","Days=T","Dir=V")</f>
        <v>0</v>
      </c>
      <c r="W2">
        <f>BDH("ABOS US Equity","WORKING_CAPITAL","1993-06-18","2026-05-02","Per=Y","Days=T","Dir=V")</f>
        <v>0</v>
      </c>
      <c r="Y2">
        <f>BDH("ABOS US Equity","SALES_REV_TURN","1993-06-18","2026-05-02","Per=Y","Days=T","Dir=V")</f>
        <v>0</v>
      </c>
      <c r="AA2">
        <f>BDH("ABOS US Equity","EBIT","1993-06-18","2026-05-02","Per=Y","Days=T","Dir=V")</f>
        <v>0</v>
      </c>
      <c r="AC2">
        <f>BDH("ABOS US Equity","EBITDA","1993-06-18","2026-05-02","Per=Y","Days=T","Dir=V")</f>
        <v>0</v>
      </c>
      <c r="AE2">
        <f>BDH("ABOS US Equity","NET_INCOME","1993-06-18","2026-05-02","Per=Y","Days=T","Dir=V")</f>
        <v>0</v>
      </c>
      <c r="AG2">
        <f>BDH("ABOS US Equity","IS_INT_EXPENSE","1993-06-18","2026-05-02","Per=Y","Days=T","Dir=V")</f>
        <v>0</v>
      </c>
      <c r="AI2">
        <f>BDH("ABOS US Equity","IS_DEPR_EXP","1993-06-18","2026-05-02","Per=Y","Days=T","Dir=V")</f>
        <v>0</v>
      </c>
      <c r="AK2">
        <f>BDH("ABOS US Equity","CF_CASH_FROM_OPER","1993-06-18","2026-05-02","Per=Y","Days=T","Dir=V")</f>
        <v>0</v>
      </c>
      <c r="AM2">
        <f>BDH("ABOS US Equity","CAPITAL_EXPEND","1993-06-18","2026-05-02","Per=Y","Days=T","Dir=V")</f>
        <v>0</v>
      </c>
      <c r="AO2">
        <f>BDH("ABOS US Equity","CF_FREE_CASH_FLOW","1993-06-18","2026-05-02","Per=Y","Days=T","Dir=V")</f>
        <v>0</v>
      </c>
      <c r="AQ2">
        <f>BDH("ABOS US Equity","PX_LAST","1993-06-18","2026-05-02","Per=M","Days=T","Dir=V")</f>
        <v>0</v>
      </c>
      <c r="AS2">
        <f>BDH("ABOS US Equity","CUR_MKT_CAP","1993-06-18","2026-05-02","Per=M","Days=T","Dir=V")</f>
        <v>0</v>
      </c>
      <c r="AU2">
        <f>BDH("ABOS US Equity","EQY_SH_OUT","1993-06-18","2026-05-02","Per=M","Days=T","Dir=V")</f>
        <v>0</v>
      </c>
      <c r="AW2">
        <f>BDH("ABOS US Equity","PX_VOLUME","1993-06-18","2026-05-02","Per=M","Days=T","Dir=V")</f>
        <v>0</v>
      </c>
      <c r="AY2">
        <f>BDH("ABOS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BDH("ABSI US Equity","BS_TOT_ASSET","1993-06-18","2026-05-02","Per=Y","Days=T","Dir=V")</f>
        <v>0</v>
      </c>
      <c r="C2">
        <f>BDH("ABSI US Equity","BS_TOT_LIAB2","1993-06-18","2026-05-02","Per=Y","Days=T","Dir=V")</f>
        <v>0</v>
      </c>
      <c r="E2">
        <f>BDH("ABSI US Equity","SHORT_AND_LONG_TERM_DEBT","1993-06-18","2026-05-02","Per=Y","Days=T","Dir=V")</f>
        <v>0</v>
      </c>
      <c r="G2">
        <f>BDH("ABSI US Equity","BS_ST_BORROW","1993-06-18","2026-05-02","Per=Y","Days=T","Dir=V")</f>
        <v>0</v>
      </c>
      <c r="I2">
        <f>BDH("ABSI US Equity","BS_LT_BORROW","1993-06-18","2026-05-02","Per=Y","Days=T","Dir=V")</f>
        <v>0</v>
      </c>
      <c r="K2">
        <f>BDH("ABSI US Equity","BS_CASH_NEAR_CASH_ITEM","1993-06-18","2026-05-02","Per=Y","Days=T","Dir=V")</f>
        <v>0</v>
      </c>
      <c r="M2">
        <f>BDH("ABSI US Equity","BS_CUR_ASSET_REPORT","1993-06-18","2026-05-02","Per=Y","Days=T","Dir=V")</f>
        <v>0</v>
      </c>
      <c r="O2">
        <f>BDH("ABSI US Equity","BS_CUR_LIAB","1993-06-18","2026-05-02","Per=Y","Days=T","Dir=V")</f>
        <v>0</v>
      </c>
      <c r="Q2">
        <f>BDH("ABSI US Equity","BS_SHAREHOLDER_EQY_ENDING_PERIOD","1993-06-18","2026-05-02","Per=Y","Days=T","Dir=V")</f>
        <v>0</v>
      </c>
      <c r="S2">
        <f>BDH("ABSI US Equity","BS_ACCT_NOTE_RCV","1993-06-18","2026-05-02","Per=Y","Days=T","Dir=V")</f>
        <v>0</v>
      </c>
      <c r="U2">
        <f>BDH("ABSI US Equity","BS_INVENTORIES","1993-06-18","2026-05-02","Per=Y","Days=T","Dir=V")</f>
        <v>0</v>
      </c>
      <c r="W2">
        <f>BDH("ABSI US Equity","WORKING_CAPITAL","1993-06-18","2026-05-02","Per=Y","Days=T","Dir=V")</f>
        <v>0</v>
      </c>
      <c r="Y2">
        <f>BDH("ABSI US Equity","SALES_REV_TURN","1993-06-18","2026-05-02","Per=Y","Days=T","Dir=V")</f>
        <v>0</v>
      </c>
      <c r="AA2">
        <f>BDH("ABSI US Equity","EBIT","1993-06-18","2026-05-02","Per=Y","Days=T","Dir=V")</f>
        <v>0</v>
      </c>
      <c r="AC2">
        <f>BDH("ABSI US Equity","EBITDA","1993-06-18","2026-05-02","Per=Y","Days=T","Dir=V")</f>
        <v>0</v>
      </c>
      <c r="AE2">
        <f>BDH("ABSI US Equity","NET_INCOME","1993-06-18","2026-05-02","Per=Y","Days=T","Dir=V")</f>
        <v>0</v>
      </c>
      <c r="AG2">
        <f>BDH("ABSI US Equity","IS_INT_EXPENSE","1993-06-18","2026-05-02","Per=Y","Days=T","Dir=V")</f>
        <v>0</v>
      </c>
      <c r="AI2">
        <f>BDH("ABSI US Equity","IS_DEPR_EXP","1993-06-18","2026-05-02","Per=Y","Days=T","Dir=V")</f>
        <v>0</v>
      </c>
      <c r="AK2">
        <f>BDH("ABSI US Equity","CF_CASH_FROM_OPER","1993-06-18","2026-05-02","Per=Y","Days=T","Dir=V")</f>
        <v>0</v>
      </c>
      <c r="AM2">
        <f>BDH("ABSI US Equity","CAPITAL_EXPEND","1993-06-18","2026-05-02","Per=Y","Days=T","Dir=V")</f>
        <v>0</v>
      </c>
      <c r="AO2">
        <f>BDH("ABSI US Equity","CF_FREE_CASH_FLOW","1993-06-18","2026-05-02","Per=Y","Days=T","Dir=V")</f>
        <v>0</v>
      </c>
      <c r="AQ2">
        <f>BDH("ABSI US Equity","PX_LAST","1993-06-18","2026-05-02","Per=M","Days=T","Dir=V")</f>
        <v>0</v>
      </c>
      <c r="AS2">
        <f>BDH("ABSI US Equity","CUR_MKT_CAP","1993-06-18","2026-05-02","Per=M","Days=T","Dir=V")</f>
        <v>0</v>
      </c>
      <c r="AU2">
        <f>BDH("ABSI US Equity","EQY_SH_OUT","1993-06-18","2026-05-02","Per=M","Days=T","Dir=V")</f>
        <v>0</v>
      </c>
      <c r="AW2">
        <f>BDH("ABSI US Equity","PX_VOLUME","1993-06-18","2026-05-02","Per=M","Days=T","Dir=V")</f>
        <v>0</v>
      </c>
      <c r="AY2">
        <f>BDH("ABSI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BDH("ABT US Equity","BS_TOT_ASSET","1993-06-18","2026-05-02","Per=Y","Days=T","Dir=V")</f>
        <v>0</v>
      </c>
      <c r="C2">
        <f>BDH("ABT US Equity","BS_TOT_LIAB2","1993-06-18","2026-05-02","Per=Y","Days=T","Dir=V")</f>
        <v>0</v>
      </c>
      <c r="E2">
        <f>BDH("ABT US Equity","SHORT_AND_LONG_TERM_DEBT","1993-06-18","2026-05-02","Per=Y","Days=T","Dir=V")</f>
        <v>0</v>
      </c>
      <c r="G2">
        <f>BDH("ABT US Equity","BS_ST_BORROW","1993-06-18","2026-05-02","Per=Y","Days=T","Dir=V")</f>
        <v>0</v>
      </c>
      <c r="I2">
        <f>BDH("ABT US Equity","BS_LT_BORROW","1993-06-18","2026-05-02","Per=Y","Days=T","Dir=V")</f>
        <v>0</v>
      </c>
      <c r="K2">
        <f>BDH("ABT US Equity","BS_CASH_NEAR_CASH_ITEM","1993-06-18","2026-05-02","Per=Y","Days=T","Dir=V")</f>
        <v>0</v>
      </c>
      <c r="M2">
        <f>BDH("ABT US Equity","BS_CUR_ASSET_REPORT","1993-06-18","2026-05-02","Per=Y","Days=T","Dir=V")</f>
        <v>0</v>
      </c>
      <c r="O2">
        <f>BDH("ABT US Equity","BS_CUR_LIAB","1993-06-18","2026-05-02","Per=Y","Days=T","Dir=V")</f>
        <v>0</v>
      </c>
      <c r="Q2">
        <f>BDH("ABT US Equity","BS_SHAREHOLDER_EQY_ENDING_PERIOD","1993-06-18","2026-05-02","Per=Y","Days=T","Dir=V")</f>
        <v>0</v>
      </c>
      <c r="S2">
        <f>BDH("ABT US Equity","BS_ACCT_NOTE_RCV","1993-06-18","2026-05-02","Per=Y","Days=T","Dir=V")</f>
        <v>0</v>
      </c>
      <c r="U2">
        <f>BDH("ABT US Equity","BS_INVENTORIES","1993-06-18","2026-05-02","Per=Y","Days=T","Dir=V")</f>
        <v>0</v>
      </c>
      <c r="W2">
        <f>BDH("ABT US Equity","WORKING_CAPITAL","1993-06-18","2026-05-02","Per=Y","Days=T","Dir=V")</f>
        <v>0</v>
      </c>
      <c r="Y2">
        <f>BDH("ABT US Equity","SALES_REV_TURN","1993-06-18","2026-05-02","Per=Y","Days=T","Dir=V")</f>
        <v>0</v>
      </c>
      <c r="AA2">
        <f>BDH("ABT US Equity","EBIT","1993-06-18","2026-05-02","Per=Y","Days=T","Dir=V")</f>
        <v>0</v>
      </c>
      <c r="AC2">
        <f>BDH("ABT US Equity","EBITDA","1993-06-18","2026-05-02","Per=Y","Days=T","Dir=V")</f>
        <v>0</v>
      </c>
      <c r="AE2">
        <f>BDH("ABT US Equity","NET_INCOME","1993-06-18","2026-05-02","Per=Y","Days=T","Dir=V")</f>
        <v>0</v>
      </c>
      <c r="AG2">
        <f>BDH("ABT US Equity","IS_INT_EXPENSE","1993-06-18","2026-05-02","Per=Y","Days=T","Dir=V")</f>
        <v>0</v>
      </c>
      <c r="AI2">
        <f>BDH("ABT US Equity","IS_DEPR_EXP","1993-06-18","2026-05-02","Per=Y","Days=T","Dir=V")</f>
        <v>0</v>
      </c>
      <c r="AK2">
        <f>BDH("ABT US Equity","CF_CASH_FROM_OPER","1993-06-18","2026-05-02","Per=Y","Days=T","Dir=V")</f>
        <v>0</v>
      </c>
      <c r="AM2">
        <f>BDH("ABT US Equity","CAPITAL_EXPEND","1993-06-18","2026-05-02","Per=Y","Days=T","Dir=V")</f>
        <v>0</v>
      </c>
      <c r="AO2">
        <f>BDH("ABT US Equity","CF_FREE_CASH_FLOW","1993-06-18","2026-05-02","Per=Y","Days=T","Dir=V")</f>
        <v>0</v>
      </c>
      <c r="AQ2">
        <f>BDH("ABT US Equity","PX_LAST","1993-06-18","2026-05-02","Per=M","Days=T","Dir=V")</f>
        <v>0</v>
      </c>
      <c r="AS2">
        <f>BDH("ABT US Equity","CUR_MKT_CAP","1993-06-18","2026-05-02","Per=M","Days=T","Dir=V")</f>
        <v>0</v>
      </c>
      <c r="AU2">
        <f>BDH("ABT US Equity","EQY_SH_OUT","1993-06-18","2026-05-02","Per=M","Days=T","Dir=V")</f>
        <v>0</v>
      </c>
      <c r="AW2">
        <f>BDH("ABT US Equity","PX_VOLUME","1993-06-18","2026-05-02","Per=M","Days=T","Dir=V")</f>
        <v>0</v>
      </c>
      <c r="AY2">
        <f>BDH("ABT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BDH("ABVC US Equity","BS_TOT_ASSET","1993-06-18","2026-05-02","Per=Y","Days=T","Dir=V")</f>
        <v>0</v>
      </c>
      <c r="C2">
        <f>BDH("ABVC US Equity","BS_TOT_LIAB2","1993-06-18","2026-05-02","Per=Y","Days=T","Dir=V")</f>
        <v>0</v>
      </c>
      <c r="E2">
        <f>BDH("ABVC US Equity","SHORT_AND_LONG_TERM_DEBT","1993-06-18","2026-05-02","Per=Y","Days=T","Dir=V")</f>
        <v>0</v>
      </c>
      <c r="G2">
        <f>BDH("ABVC US Equity","BS_ST_BORROW","1993-06-18","2026-05-02","Per=Y","Days=T","Dir=V")</f>
        <v>0</v>
      </c>
      <c r="I2">
        <f>BDH("ABVC US Equity","BS_LT_BORROW","1993-06-18","2026-05-02","Per=Y","Days=T","Dir=V")</f>
        <v>0</v>
      </c>
      <c r="K2">
        <f>BDH("ABVC US Equity","BS_CASH_NEAR_CASH_ITEM","1993-06-18","2026-05-02","Per=Y","Days=T","Dir=V")</f>
        <v>0</v>
      </c>
      <c r="M2">
        <f>BDH("ABVC US Equity","BS_CUR_ASSET_REPORT","1993-06-18","2026-05-02","Per=Y","Days=T","Dir=V")</f>
        <v>0</v>
      </c>
      <c r="O2">
        <f>BDH("ABVC US Equity","BS_CUR_LIAB","1993-06-18","2026-05-02","Per=Y","Days=T","Dir=V")</f>
        <v>0</v>
      </c>
      <c r="Q2">
        <f>BDH("ABVC US Equity","BS_SHAREHOLDER_EQY_ENDING_PERIOD","1993-06-18","2026-05-02","Per=Y","Days=T","Dir=V")</f>
        <v>0</v>
      </c>
      <c r="S2">
        <f>BDH("ABVC US Equity","BS_ACCT_NOTE_RCV","1993-06-18","2026-05-02","Per=Y","Days=T","Dir=V")</f>
        <v>0</v>
      </c>
      <c r="U2">
        <f>BDH("ABVC US Equity","BS_INVENTORIES","1993-06-18","2026-05-02","Per=Y","Days=T","Dir=V")</f>
        <v>0</v>
      </c>
      <c r="W2">
        <f>BDH("ABVC US Equity","WORKING_CAPITAL","1993-06-18","2026-05-02","Per=Y","Days=T","Dir=V")</f>
        <v>0</v>
      </c>
      <c r="Y2">
        <f>BDH("ABVC US Equity","SALES_REV_TURN","1993-06-18","2026-05-02","Per=Y","Days=T","Dir=V")</f>
        <v>0</v>
      </c>
      <c r="AA2">
        <f>BDH("ABVC US Equity","EBIT","1993-06-18","2026-05-02","Per=Y","Days=T","Dir=V")</f>
        <v>0</v>
      </c>
      <c r="AC2">
        <f>BDH("ABVC US Equity","EBITDA","1993-06-18","2026-05-02","Per=Y","Days=T","Dir=V")</f>
        <v>0</v>
      </c>
      <c r="AE2">
        <f>BDH("ABVC US Equity","NET_INCOME","1993-06-18","2026-05-02","Per=Y","Days=T","Dir=V")</f>
        <v>0</v>
      </c>
      <c r="AG2">
        <f>BDH("ABVC US Equity","IS_INT_EXPENSE","1993-06-18","2026-05-02","Per=Y","Days=T","Dir=V")</f>
        <v>0</v>
      </c>
      <c r="AI2">
        <f>BDH("ABVC US Equity","IS_DEPR_EXP","1993-06-18","2026-05-02","Per=Y","Days=T","Dir=V")</f>
        <v>0</v>
      </c>
      <c r="AK2">
        <f>BDH("ABVC US Equity","CF_CASH_FROM_OPER","1993-06-18","2026-05-02","Per=Y","Days=T","Dir=V")</f>
        <v>0</v>
      </c>
      <c r="AM2">
        <f>BDH("ABVC US Equity","CAPITAL_EXPEND","1993-06-18","2026-05-02","Per=Y","Days=T","Dir=V")</f>
        <v>0</v>
      </c>
      <c r="AO2">
        <f>BDH("ABVC US Equity","CF_FREE_CASH_FLOW","1993-06-18","2026-05-02","Per=Y","Days=T","Dir=V")</f>
        <v>0</v>
      </c>
      <c r="AQ2">
        <f>BDH("ABVC US Equity","PX_LAST","1993-06-18","2026-05-02","Per=M","Days=T","Dir=V")</f>
        <v>0</v>
      </c>
      <c r="AS2">
        <f>BDH("ABVC US Equity","CUR_MKT_CAP","1993-06-18","2026-05-02","Per=M","Days=T","Dir=V")</f>
        <v>0</v>
      </c>
      <c r="AU2">
        <f>BDH("ABVC US Equity","EQY_SH_OUT","1993-06-18","2026-05-02","Per=M","Days=T","Dir=V")</f>
        <v>0</v>
      </c>
      <c r="AW2">
        <f>BDH("ABVC US Equity","PX_VOLUME","1993-06-18","2026-05-02","Per=M","Days=T","Dir=V")</f>
        <v>0</v>
      </c>
      <c r="AY2">
        <f>BDH("ABVC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BDH("ACA US Equity","BS_TOT_ASSET","1993-06-18","2026-05-02","Per=Y","Days=T","Dir=V")</f>
        <v>0</v>
      </c>
      <c r="C2">
        <f>BDH("ACA US Equity","BS_TOT_LIAB2","1993-06-18","2026-05-02","Per=Y","Days=T","Dir=V")</f>
        <v>0</v>
      </c>
      <c r="E2">
        <f>BDH("ACA US Equity","SHORT_AND_LONG_TERM_DEBT","1993-06-18","2026-05-02","Per=Y","Days=T","Dir=V")</f>
        <v>0</v>
      </c>
      <c r="G2">
        <f>BDH("ACA US Equity","BS_ST_BORROW","1993-06-18","2026-05-02","Per=Y","Days=T","Dir=V")</f>
        <v>0</v>
      </c>
      <c r="I2">
        <f>BDH("ACA US Equity","BS_LT_BORROW","1993-06-18","2026-05-02","Per=Y","Days=T","Dir=V")</f>
        <v>0</v>
      </c>
      <c r="K2">
        <f>BDH("ACA US Equity","BS_CASH_NEAR_CASH_ITEM","1993-06-18","2026-05-02","Per=Y","Days=T","Dir=V")</f>
        <v>0</v>
      </c>
      <c r="M2">
        <f>BDH("ACA US Equity","BS_CUR_ASSET_REPORT","1993-06-18","2026-05-02","Per=Y","Days=T","Dir=V")</f>
        <v>0</v>
      </c>
      <c r="O2">
        <f>BDH("ACA US Equity","BS_CUR_LIAB","1993-06-18","2026-05-02","Per=Y","Days=T","Dir=V")</f>
        <v>0</v>
      </c>
      <c r="Q2">
        <f>BDH("ACA US Equity","BS_SHAREHOLDER_EQY_ENDING_PERIOD","1993-06-18","2026-05-02","Per=Y","Days=T","Dir=V")</f>
        <v>0</v>
      </c>
      <c r="S2">
        <f>BDH("ACA US Equity","BS_ACCT_NOTE_RCV","1993-06-18","2026-05-02","Per=Y","Days=T","Dir=V")</f>
        <v>0</v>
      </c>
      <c r="U2">
        <f>BDH("ACA US Equity","BS_INVENTORIES","1993-06-18","2026-05-02","Per=Y","Days=T","Dir=V")</f>
        <v>0</v>
      </c>
      <c r="W2">
        <f>BDH("ACA US Equity","WORKING_CAPITAL","1993-06-18","2026-05-02","Per=Y","Days=T","Dir=V")</f>
        <v>0</v>
      </c>
      <c r="Y2">
        <f>BDH("ACA US Equity","SALES_REV_TURN","1993-06-18","2026-05-02","Per=Y","Days=T","Dir=V")</f>
        <v>0</v>
      </c>
      <c r="AA2">
        <f>BDH("ACA US Equity","EBIT","1993-06-18","2026-05-02","Per=Y","Days=T","Dir=V")</f>
        <v>0</v>
      </c>
      <c r="AC2">
        <f>BDH("ACA US Equity","EBITDA","1993-06-18","2026-05-02","Per=Y","Days=T","Dir=V")</f>
        <v>0</v>
      </c>
      <c r="AE2">
        <f>BDH("ACA US Equity","NET_INCOME","1993-06-18","2026-05-02","Per=Y","Days=T","Dir=V")</f>
        <v>0</v>
      </c>
      <c r="AG2">
        <f>BDH("ACA US Equity","IS_INT_EXPENSE","1993-06-18","2026-05-02","Per=Y","Days=T","Dir=V")</f>
        <v>0</v>
      </c>
      <c r="AI2">
        <f>BDH("ACA US Equity","IS_DEPR_EXP","1993-06-18","2026-05-02","Per=Y","Days=T","Dir=V")</f>
        <v>0</v>
      </c>
      <c r="AK2">
        <f>BDH("ACA US Equity","CF_CASH_FROM_OPER","1993-06-18","2026-05-02","Per=Y","Days=T","Dir=V")</f>
        <v>0</v>
      </c>
      <c r="AM2">
        <f>BDH("ACA US Equity","CAPITAL_EXPEND","1993-06-18","2026-05-02","Per=Y","Days=T","Dir=V")</f>
        <v>0</v>
      </c>
      <c r="AO2">
        <f>BDH("ACA US Equity","CF_FREE_CASH_FLOW","1993-06-18","2026-05-02","Per=Y","Days=T","Dir=V")</f>
        <v>0</v>
      </c>
      <c r="AQ2">
        <f>BDH("ACA US Equity","PX_LAST","1993-06-18","2026-05-02","Per=M","Days=T","Dir=V")</f>
        <v>0</v>
      </c>
      <c r="AS2">
        <f>BDH("ACA US Equity","CUR_MKT_CAP","1993-06-18","2026-05-02","Per=M","Days=T","Dir=V")</f>
        <v>0</v>
      </c>
      <c r="AU2">
        <f>BDH("ACA US Equity","EQY_SH_OUT","1993-06-18","2026-05-02","Per=M","Days=T","Dir=V")</f>
        <v>0</v>
      </c>
      <c r="AW2">
        <f>BDH("ACA US Equity","PX_VOLUME","1993-06-18","2026-05-02","Per=M","Days=T","Dir=V")</f>
        <v>0</v>
      </c>
      <c r="AY2">
        <f>BDH("ACA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BDH("ACAD US Equity","BS_TOT_ASSET","1993-06-18","2026-05-02","Per=Y","Days=T","Dir=V")</f>
        <v>0</v>
      </c>
      <c r="C2">
        <f>BDH("ACAD US Equity","BS_TOT_LIAB2","1993-06-18","2026-05-02","Per=Y","Days=T","Dir=V")</f>
        <v>0</v>
      </c>
      <c r="E2">
        <f>BDH("ACAD US Equity","SHORT_AND_LONG_TERM_DEBT","1993-06-18","2026-05-02","Per=Y","Days=T","Dir=V")</f>
        <v>0</v>
      </c>
      <c r="G2">
        <f>BDH("ACAD US Equity","BS_ST_BORROW","1993-06-18","2026-05-02","Per=Y","Days=T","Dir=V")</f>
        <v>0</v>
      </c>
      <c r="I2">
        <f>BDH("ACAD US Equity","BS_LT_BORROW","1993-06-18","2026-05-02","Per=Y","Days=T","Dir=V")</f>
        <v>0</v>
      </c>
      <c r="K2">
        <f>BDH("ACAD US Equity","BS_CASH_NEAR_CASH_ITEM","1993-06-18","2026-05-02","Per=Y","Days=T","Dir=V")</f>
        <v>0</v>
      </c>
      <c r="M2">
        <f>BDH("ACAD US Equity","BS_CUR_ASSET_REPORT","1993-06-18","2026-05-02","Per=Y","Days=T","Dir=V")</f>
        <v>0</v>
      </c>
      <c r="O2">
        <f>BDH("ACAD US Equity","BS_CUR_LIAB","1993-06-18","2026-05-02","Per=Y","Days=T","Dir=V")</f>
        <v>0</v>
      </c>
      <c r="Q2">
        <f>BDH("ACAD US Equity","BS_SHAREHOLDER_EQY_ENDING_PERIOD","1993-06-18","2026-05-02","Per=Y","Days=T","Dir=V")</f>
        <v>0</v>
      </c>
      <c r="S2">
        <f>BDH("ACAD US Equity","BS_ACCT_NOTE_RCV","1993-06-18","2026-05-02","Per=Y","Days=T","Dir=V")</f>
        <v>0</v>
      </c>
      <c r="U2">
        <f>BDH("ACAD US Equity","BS_INVENTORIES","1993-06-18","2026-05-02","Per=Y","Days=T","Dir=V")</f>
        <v>0</v>
      </c>
      <c r="W2">
        <f>BDH("ACAD US Equity","WORKING_CAPITAL","1993-06-18","2026-05-02","Per=Y","Days=T","Dir=V")</f>
        <v>0</v>
      </c>
      <c r="Y2">
        <f>BDH("ACAD US Equity","SALES_REV_TURN","1993-06-18","2026-05-02","Per=Y","Days=T","Dir=V")</f>
        <v>0</v>
      </c>
      <c r="AA2">
        <f>BDH("ACAD US Equity","EBIT","1993-06-18","2026-05-02","Per=Y","Days=T","Dir=V")</f>
        <v>0</v>
      </c>
      <c r="AC2">
        <f>BDH("ACAD US Equity","EBITDA","1993-06-18","2026-05-02","Per=Y","Days=T","Dir=V")</f>
        <v>0</v>
      </c>
      <c r="AE2">
        <f>BDH("ACAD US Equity","NET_INCOME","1993-06-18","2026-05-02","Per=Y","Days=T","Dir=V")</f>
        <v>0</v>
      </c>
      <c r="AG2">
        <f>BDH("ACAD US Equity","IS_INT_EXPENSE","1993-06-18","2026-05-02","Per=Y","Days=T","Dir=V")</f>
        <v>0</v>
      </c>
      <c r="AI2">
        <f>BDH("ACAD US Equity","IS_DEPR_EXP","1993-06-18","2026-05-02","Per=Y","Days=T","Dir=V")</f>
        <v>0</v>
      </c>
      <c r="AK2">
        <f>BDH("ACAD US Equity","CF_CASH_FROM_OPER","1993-06-18","2026-05-02","Per=Y","Days=T","Dir=V")</f>
        <v>0</v>
      </c>
      <c r="AM2">
        <f>BDH("ACAD US Equity","CAPITAL_EXPEND","1993-06-18","2026-05-02","Per=Y","Days=T","Dir=V")</f>
        <v>0</v>
      </c>
      <c r="AO2">
        <f>BDH("ACAD US Equity","CF_FREE_CASH_FLOW","1993-06-18","2026-05-02","Per=Y","Days=T","Dir=V")</f>
        <v>0</v>
      </c>
      <c r="AQ2">
        <f>BDH("ACAD US Equity","PX_LAST","1993-06-18","2026-05-02","Per=M","Days=T","Dir=V")</f>
        <v>0</v>
      </c>
      <c r="AS2">
        <f>BDH("ACAD US Equity","CUR_MKT_CAP","1993-06-18","2026-05-02","Per=M","Days=T","Dir=V")</f>
        <v>0</v>
      </c>
      <c r="AU2">
        <f>BDH("ACAD US Equity","EQY_SH_OUT","1993-06-18","2026-05-02","Per=M","Days=T","Dir=V")</f>
        <v>0</v>
      </c>
      <c r="AW2">
        <f>BDH("ACAD US Equity","PX_VOLUME","1993-06-18","2026-05-02","Per=M","Days=T","Dir=V")</f>
        <v>0</v>
      </c>
      <c r="AY2">
        <f>BDH("ACAD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BDH("ACCO US Equity","BS_TOT_ASSET","1993-06-18","2026-05-02","Per=Y","Days=T","Dir=V")</f>
        <v>0</v>
      </c>
      <c r="C2">
        <f>BDH("ACCO US Equity","BS_TOT_LIAB2","1993-06-18","2026-05-02","Per=Y","Days=T","Dir=V")</f>
        <v>0</v>
      </c>
      <c r="E2">
        <f>BDH("ACCO US Equity","SHORT_AND_LONG_TERM_DEBT","1993-06-18","2026-05-02","Per=Y","Days=T","Dir=V")</f>
        <v>0</v>
      </c>
      <c r="G2">
        <f>BDH("ACCO US Equity","BS_ST_BORROW","1993-06-18","2026-05-02","Per=Y","Days=T","Dir=V")</f>
        <v>0</v>
      </c>
      <c r="I2">
        <f>BDH("ACCO US Equity","BS_LT_BORROW","1993-06-18","2026-05-02","Per=Y","Days=T","Dir=V")</f>
        <v>0</v>
      </c>
      <c r="K2">
        <f>BDH("ACCO US Equity","BS_CASH_NEAR_CASH_ITEM","1993-06-18","2026-05-02","Per=Y","Days=T","Dir=V")</f>
        <v>0</v>
      </c>
      <c r="M2">
        <f>BDH("ACCO US Equity","BS_CUR_ASSET_REPORT","1993-06-18","2026-05-02","Per=Y","Days=T","Dir=V")</f>
        <v>0</v>
      </c>
      <c r="O2">
        <f>BDH("ACCO US Equity","BS_CUR_LIAB","1993-06-18","2026-05-02","Per=Y","Days=T","Dir=V")</f>
        <v>0</v>
      </c>
      <c r="Q2">
        <f>BDH("ACCO US Equity","BS_SHAREHOLDER_EQY_ENDING_PERIOD","1993-06-18","2026-05-02","Per=Y","Days=T","Dir=V")</f>
        <v>0</v>
      </c>
      <c r="S2">
        <f>BDH("ACCO US Equity","BS_ACCT_NOTE_RCV","1993-06-18","2026-05-02","Per=Y","Days=T","Dir=V")</f>
        <v>0</v>
      </c>
      <c r="U2">
        <f>BDH("ACCO US Equity","BS_INVENTORIES","1993-06-18","2026-05-02","Per=Y","Days=T","Dir=V")</f>
        <v>0</v>
      </c>
      <c r="W2">
        <f>BDH("ACCO US Equity","WORKING_CAPITAL","1993-06-18","2026-05-02","Per=Y","Days=T","Dir=V")</f>
        <v>0</v>
      </c>
      <c r="Y2">
        <f>BDH("ACCO US Equity","SALES_REV_TURN","1993-06-18","2026-05-02","Per=Y","Days=T","Dir=V")</f>
        <v>0</v>
      </c>
      <c r="AA2">
        <f>BDH("ACCO US Equity","EBIT","1993-06-18","2026-05-02","Per=Y","Days=T","Dir=V")</f>
        <v>0</v>
      </c>
      <c r="AC2">
        <f>BDH("ACCO US Equity","EBITDA","1993-06-18","2026-05-02","Per=Y","Days=T","Dir=V")</f>
        <v>0</v>
      </c>
      <c r="AE2">
        <f>BDH("ACCO US Equity","NET_INCOME","1993-06-18","2026-05-02","Per=Y","Days=T","Dir=V")</f>
        <v>0</v>
      </c>
      <c r="AG2">
        <f>BDH("ACCO US Equity","IS_INT_EXPENSE","1993-06-18","2026-05-02","Per=Y","Days=T","Dir=V")</f>
        <v>0</v>
      </c>
      <c r="AI2">
        <f>BDH("ACCO US Equity","IS_DEPR_EXP","1993-06-18","2026-05-02","Per=Y","Days=T","Dir=V")</f>
        <v>0</v>
      </c>
      <c r="AK2">
        <f>BDH("ACCO US Equity","CF_CASH_FROM_OPER","1993-06-18","2026-05-02","Per=Y","Days=T","Dir=V")</f>
        <v>0</v>
      </c>
      <c r="AM2">
        <f>BDH("ACCO US Equity","CAPITAL_EXPEND","1993-06-18","2026-05-02","Per=Y","Days=T","Dir=V")</f>
        <v>0</v>
      </c>
      <c r="AO2">
        <f>BDH("ACCO US Equity","CF_FREE_CASH_FLOW","1993-06-18","2026-05-02","Per=Y","Days=T","Dir=V")</f>
        <v>0</v>
      </c>
      <c r="AQ2">
        <f>BDH("ACCO US Equity","PX_LAST","1993-06-18","2026-05-02","Per=M","Days=T","Dir=V")</f>
        <v>0</v>
      </c>
      <c r="AS2">
        <f>BDH("ACCO US Equity","CUR_MKT_CAP","1993-06-18","2026-05-02","Per=M","Days=T","Dir=V")</f>
        <v>0</v>
      </c>
      <c r="AU2">
        <f>BDH("ACCO US Equity","EQY_SH_OUT","1993-06-18","2026-05-02","Per=M","Days=T","Dir=V")</f>
        <v>0</v>
      </c>
      <c r="AW2">
        <f>BDH("ACCO US Equity","PX_VOLUME","1993-06-18","2026-05-02","Per=M","Days=T","Dir=V")</f>
        <v>0</v>
      </c>
      <c r="AY2">
        <f>BDH("ACCO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BDH("ACCS US Equity","BS_TOT_ASSET","1993-06-18","2026-05-02","Per=Y","Days=T","Dir=V")</f>
        <v>0</v>
      </c>
      <c r="C2">
        <f>BDH("ACCS US Equity","BS_TOT_LIAB2","1993-06-18","2026-05-02","Per=Y","Days=T","Dir=V")</f>
        <v>0</v>
      </c>
      <c r="E2">
        <f>BDH("ACCS US Equity","SHORT_AND_LONG_TERM_DEBT","1993-06-18","2026-05-02","Per=Y","Days=T","Dir=V")</f>
        <v>0</v>
      </c>
      <c r="G2">
        <f>BDH("ACCS US Equity","BS_ST_BORROW","1993-06-18","2026-05-02","Per=Y","Days=T","Dir=V")</f>
        <v>0</v>
      </c>
      <c r="I2">
        <f>BDH("ACCS US Equity","BS_LT_BORROW","1993-06-18","2026-05-02","Per=Y","Days=T","Dir=V")</f>
        <v>0</v>
      </c>
      <c r="K2">
        <f>BDH("ACCS US Equity","BS_CASH_NEAR_CASH_ITEM","1993-06-18","2026-05-02","Per=Y","Days=T","Dir=V")</f>
        <v>0</v>
      </c>
      <c r="M2">
        <f>BDH("ACCS US Equity","BS_CUR_ASSET_REPORT","1993-06-18","2026-05-02","Per=Y","Days=T","Dir=V")</f>
        <v>0</v>
      </c>
      <c r="O2">
        <f>BDH("ACCS US Equity","BS_CUR_LIAB","1993-06-18","2026-05-02","Per=Y","Days=T","Dir=V")</f>
        <v>0</v>
      </c>
      <c r="Q2">
        <f>BDH("ACCS US Equity","BS_SHAREHOLDER_EQY_ENDING_PERIOD","1993-06-18","2026-05-02","Per=Y","Days=T","Dir=V")</f>
        <v>0</v>
      </c>
      <c r="S2">
        <f>BDH("ACCS US Equity","BS_ACCT_NOTE_RCV","1993-06-18","2026-05-02","Per=Y","Days=T","Dir=V")</f>
        <v>0</v>
      </c>
      <c r="U2">
        <f>BDH("ACCS US Equity","BS_INVENTORIES","1993-06-18","2026-05-02","Per=Y","Days=T","Dir=V")</f>
        <v>0</v>
      </c>
      <c r="W2">
        <f>BDH("ACCS US Equity","WORKING_CAPITAL","1993-06-18","2026-05-02","Per=Y","Days=T","Dir=V")</f>
        <v>0</v>
      </c>
      <c r="Y2">
        <f>BDH("ACCS US Equity","SALES_REV_TURN","1993-06-18","2026-05-02","Per=Y","Days=T","Dir=V")</f>
        <v>0</v>
      </c>
      <c r="AA2">
        <f>BDH("ACCS US Equity","EBIT","1993-06-18","2026-05-02","Per=Y","Days=T","Dir=V")</f>
        <v>0</v>
      </c>
      <c r="AC2">
        <f>BDH("ACCS US Equity","EBITDA","1993-06-18","2026-05-02","Per=Y","Days=T","Dir=V")</f>
        <v>0</v>
      </c>
      <c r="AE2">
        <f>BDH("ACCS US Equity","NET_INCOME","1993-06-18","2026-05-02","Per=Y","Days=T","Dir=V")</f>
        <v>0</v>
      </c>
      <c r="AG2">
        <f>BDH("ACCS US Equity","IS_INT_EXPENSE","1993-06-18","2026-05-02","Per=Y","Days=T","Dir=V")</f>
        <v>0</v>
      </c>
      <c r="AI2">
        <f>BDH("ACCS US Equity","IS_DEPR_EXP","1993-06-18","2026-05-02","Per=Y","Days=T","Dir=V")</f>
        <v>0</v>
      </c>
      <c r="AK2">
        <f>BDH("ACCS US Equity","CF_CASH_FROM_OPER","1993-06-18","2026-05-02","Per=Y","Days=T","Dir=V")</f>
        <v>0</v>
      </c>
      <c r="AM2">
        <f>BDH("ACCS US Equity","CAPITAL_EXPEND","1993-06-18","2026-05-02","Per=Y","Days=T","Dir=V")</f>
        <v>0</v>
      </c>
      <c r="AO2">
        <f>BDH("ACCS US Equity","CF_FREE_CASH_FLOW","1993-06-18","2026-05-02","Per=Y","Days=T","Dir=V")</f>
        <v>0</v>
      </c>
      <c r="AQ2">
        <f>BDH("ACCS US Equity","PX_LAST","1993-06-18","2026-05-02","Per=M","Days=T","Dir=V")</f>
        <v>0</v>
      </c>
      <c r="AS2">
        <f>BDH("ACCS US Equity","CUR_MKT_CAP","1993-06-18","2026-05-02","Per=M","Days=T","Dir=V")</f>
        <v>0</v>
      </c>
      <c r="AU2">
        <f>BDH("ACCS US Equity","EQY_SH_OUT","1993-06-18","2026-05-02","Per=M","Days=T","Dir=V")</f>
        <v>0</v>
      </c>
      <c r="AW2">
        <f>BDH("ACCS US Equity","PX_VOLUME","1993-06-18","2026-05-02","Per=M","Days=T","Dir=V")</f>
        <v>0</v>
      </c>
      <c r="AY2">
        <f>BDH("ACCS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BDH("ACDC US Equity","BS_TOT_ASSET","1993-06-18","2026-05-02","Per=Y","Days=T","Dir=V")</f>
        <v>0</v>
      </c>
      <c r="C2">
        <f>BDH("ACDC US Equity","BS_TOT_LIAB2","1993-06-18","2026-05-02","Per=Y","Days=T","Dir=V")</f>
        <v>0</v>
      </c>
      <c r="E2">
        <f>BDH("ACDC US Equity","SHORT_AND_LONG_TERM_DEBT","1993-06-18","2026-05-02","Per=Y","Days=T","Dir=V")</f>
        <v>0</v>
      </c>
      <c r="G2">
        <f>BDH("ACDC US Equity","BS_ST_BORROW","1993-06-18","2026-05-02","Per=Y","Days=T","Dir=V")</f>
        <v>0</v>
      </c>
      <c r="I2">
        <f>BDH("ACDC US Equity","BS_LT_BORROW","1993-06-18","2026-05-02","Per=Y","Days=T","Dir=V")</f>
        <v>0</v>
      </c>
      <c r="K2">
        <f>BDH("ACDC US Equity","BS_CASH_NEAR_CASH_ITEM","1993-06-18","2026-05-02","Per=Y","Days=T","Dir=V")</f>
        <v>0</v>
      </c>
      <c r="M2">
        <f>BDH("ACDC US Equity","BS_CUR_ASSET_REPORT","1993-06-18","2026-05-02","Per=Y","Days=T","Dir=V")</f>
        <v>0</v>
      </c>
      <c r="O2">
        <f>BDH("ACDC US Equity","BS_CUR_LIAB","1993-06-18","2026-05-02","Per=Y","Days=T","Dir=V")</f>
        <v>0</v>
      </c>
      <c r="Q2">
        <f>BDH("ACDC US Equity","BS_SHAREHOLDER_EQY_ENDING_PERIOD","1993-06-18","2026-05-02","Per=Y","Days=T","Dir=V")</f>
        <v>0</v>
      </c>
      <c r="S2">
        <f>BDH("ACDC US Equity","BS_ACCT_NOTE_RCV","1993-06-18","2026-05-02","Per=Y","Days=T","Dir=V")</f>
        <v>0</v>
      </c>
      <c r="U2">
        <f>BDH("ACDC US Equity","BS_INVENTORIES","1993-06-18","2026-05-02","Per=Y","Days=T","Dir=V")</f>
        <v>0</v>
      </c>
      <c r="W2">
        <f>BDH("ACDC US Equity","WORKING_CAPITAL","1993-06-18","2026-05-02","Per=Y","Days=T","Dir=V")</f>
        <v>0</v>
      </c>
      <c r="Y2">
        <f>BDH("ACDC US Equity","SALES_REV_TURN","1993-06-18","2026-05-02","Per=Y","Days=T","Dir=V")</f>
        <v>0</v>
      </c>
      <c r="AA2">
        <f>BDH("ACDC US Equity","EBIT","1993-06-18","2026-05-02","Per=Y","Days=T","Dir=V")</f>
        <v>0</v>
      </c>
      <c r="AC2">
        <f>BDH("ACDC US Equity","EBITDA","1993-06-18","2026-05-02","Per=Y","Days=T","Dir=V")</f>
        <v>0</v>
      </c>
      <c r="AE2">
        <f>BDH("ACDC US Equity","NET_INCOME","1993-06-18","2026-05-02","Per=Y","Days=T","Dir=V")</f>
        <v>0</v>
      </c>
      <c r="AG2">
        <f>BDH("ACDC US Equity","IS_INT_EXPENSE","1993-06-18","2026-05-02","Per=Y","Days=T","Dir=V")</f>
        <v>0</v>
      </c>
      <c r="AI2">
        <f>BDH("ACDC US Equity","IS_DEPR_EXP","1993-06-18","2026-05-02","Per=Y","Days=T","Dir=V")</f>
        <v>0</v>
      </c>
      <c r="AK2">
        <f>BDH("ACDC US Equity","CF_CASH_FROM_OPER","1993-06-18","2026-05-02","Per=Y","Days=T","Dir=V")</f>
        <v>0</v>
      </c>
      <c r="AM2">
        <f>BDH("ACDC US Equity","CAPITAL_EXPEND","1993-06-18","2026-05-02","Per=Y","Days=T","Dir=V")</f>
        <v>0</v>
      </c>
      <c r="AO2">
        <f>BDH("ACDC US Equity","CF_FREE_CASH_FLOW","1993-06-18","2026-05-02","Per=Y","Days=T","Dir=V")</f>
        <v>0</v>
      </c>
      <c r="AQ2">
        <f>BDH("ACDC US Equity","PX_LAST","1993-06-18","2026-05-02","Per=M","Days=T","Dir=V")</f>
        <v>0</v>
      </c>
      <c r="AS2">
        <f>BDH("ACDC US Equity","CUR_MKT_CAP","1993-06-18","2026-05-02","Per=M","Days=T","Dir=V")</f>
        <v>0</v>
      </c>
      <c r="AU2">
        <f>BDH("ACDC US Equity","EQY_SH_OUT","1993-06-18","2026-05-02","Per=M","Days=T","Dir=V")</f>
        <v>0</v>
      </c>
      <c r="AW2">
        <f>BDH("ACDC US Equity","PX_VOLUME","1993-06-18","2026-05-02","Per=M","Days=T","Dir=V")</f>
        <v>0</v>
      </c>
      <c r="AY2">
        <f>BDH("ACDC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BDH("ACEL US Equity","BS_TOT_ASSET","1993-06-18","2026-05-02","Per=Y","Days=T","Dir=V")</f>
        <v>0</v>
      </c>
      <c r="C2">
        <f>BDH("ACEL US Equity","BS_TOT_LIAB2","1993-06-18","2026-05-02","Per=Y","Days=T","Dir=V")</f>
        <v>0</v>
      </c>
      <c r="E2">
        <f>BDH("ACEL US Equity","SHORT_AND_LONG_TERM_DEBT","1993-06-18","2026-05-02","Per=Y","Days=T","Dir=V")</f>
        <v>0</v>
      </c>
      <c r="G2">
        <f>BDH("ACEL US Equity","BS_ST_BORROW","1993-06-18","2026-05-02","Per=Y","Days=T","Dir=V")</f>
        <v>0</v>
      </c>
      <c r="I2">
        <f>BDH("ACEL US Equity","BS_LT_BORROW","1993-06-18","2026-05-02","Per=Y","Days=T","Dir=V")</f>
        <v>0</v>
      </c>
      <c r="K2">
        <f>BDH("ACEL US Equity","BS_CASH_NEAR_CASH_ITEM","1993-06-18","2026-05-02","Per=Y","Days=T","Dir=V")</f>
        <v>0</v>
      </c>
      <c r="M2">
        <f>BDH("ACEL US Equity","BS_CUR_ASSET_REPORT","1993-06-18","2026-05-02","Per=Y","Days=T","Dir=V")</f>
        <v>0</v>
      </c>
      <c r="O2">
        <f>BDH("ACEL US Equity","BS_CUR_LIAB","1993-06-18","2026-05-02","Per=Y","Days=T","Dir=V")</f>
        <v>0</v>
      </c>
      <c r="Q2">
        <f>BDH("ACEL US Equity","BS_SHAREHOLDER_EQY_ENDING_PERIOD","1993-06-18","2026-05-02","Per=Y","Days=T","Dir=V")</f>
        <v>0</v>
      </c>
      <c r="S2">
        <f>BDH("ACEL US Equity","BS_ACCT_NOTE_RCV","1993-06-18","2026-05-02","Per=Y","Days=T","Dir=V")</f>
        <v>0</v>
      </c>
      <c r="U2">
        <f>BDH("ACEL US Equity","BS_INVENTORIES","1993-06-18","2026-05-02","Per=Y","Days=T","Dir=V")</f>
        <v>0</v>
      </c>
      <c r="W2">
        <f>BDH("ACEL US Equity","WORKING_CAPITAL","1993-06-18","2026-05-02","Per=Y","Days=T","Dir=V")</f>
        <v>0</v>
      </c>
      <c r="Y2">
        <f>BDH("ACEL US Equity","SALES_REV_TURN","1993-06-18","2026-05-02","Per=Y","Days=T","Dir=V")</f>
        <v>0</v>
      </c>
      <c r="AA2">
        <f>BDH("ACEL US Equity","EBIT","1993-06-18","2026-05-02","Per=Y","Days=T","Dir=V")</f>
        <v>0</v>
      </c>
      <c r="AC2">
        <f>BDH("ACEL US Equity","EBITDA","1993-06-18","2026-05-02","Per=Y","Days=T","Dir=V")</f>
        <v>0</v>
      </c>
      <c r="AE2">
        <f>BDH("ACEL US Equity","NET_INCOME","1993-06-18","2026-05-02","Per=Y","Days=T","Dir=V")</f>
        <v>0</v>
      </c>
      <c r="AG2">
        <f>BDH("ACEL US Equity","IS_INT_EXPENSE","1993-06-18","2026-05-02","Per=Y","Days=T","Dir=V")</f>
        <v>0</v>
      </c>
      <c r="AI2">
        <f>BDH("ACEL US Equity","IS_DEPR_EXP","1993-06-18","2026-05-02","Per=Y","Days=T","Dir=V")</f>
        <v>0</v>
      </c>
      <c r="AK2">
        <f>BDH("ACEL US Equity","CF_CASH_FROM_OPER","1993-06-18","2026-05-02","Per=Y","Days=T","Dir=V")</f>
        <v>0</v>
      </c>
      <c r="AM2">
        <f>BDH("ACEL US Equity","CAPITAL_EXPEND","1993-06-18","2026-05-02","Per=Y","Days=T","Dir=V")</f>
        <v>0</v>
      </c>
      <c r="AO2">
        <f>BDH("ACEL US Equity","CF_FREE_CASH_FLOW","1993-06-18","2026-05-02","Per=Y","Days=T","Dir=V")</f>
        <v>0</v>
      </c>
      <c r="AQ2">
        <f>BDH("ACEL US Equity","PX_LAST","1993-06-18","2026-05-02","Per=M","Days=T","Dir=V")</f>
        <v>0</v>
      </c>
      <c r="AS2">
        <f>BDH("ACEL US Equity","CUR_MKT_CAP","1993-06-18","2026-05-02","Per=M","Days=T","Dir=V")</f>
        <v>0</v>
      </c>
      <c r="AU2">
        <f>BDH("ACEL US Equity","EQY_SH_OUT","1993-06-18","2026-05-02","Per=M","Days=T","Dir=V")</f>
        <v>0</v>
      </c>
      <c r="AW2">
        <f>BDH("ACEL US Equity","PX_VOLUME","1993-06-18","2026-05-02","Per=M","Days=T","Dir=V")</f>
        <v>0</v>
      </c>
      <c r="AY2">
        <f>BDH("ACEL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BDH("ACET US Equity","BS_TOT_ASSET","1993-06-18","2026-05-02","Per=Y","Days=T","Dir=V")</f>
        <v>0</v>
      </c>
      <c r="C2">
        <f>BDH("ACET US Equity","BS_TOT_LIAB2","1993-06-18","2026-05-02","Per=Y","Days=T","Dir=V")</f>
        <v>0</v>
      </c>
      <c r="E2">
        <f>BDH("ACET US Equity","SHORT_AND_LONG_TERM_DEBT","1993-06-18","2026-05-02","Per=Y","Days=T","Dir=V")</f>
        <v>0</v>
      </c>
      <c r="G2">
        <f>BDH("ACET US Equity","BS_ST_BORROW","1993-06-18","2026-05-02","Per=Y","Days=T","Dir=V")</f>
        <v>0</v>
      </c>
      <c r="I2">
        <f>BDH("ACET US Equity","BS_LT_BORROW","1993-06-18","2026-05-02","Per=Y","Days=T","Dir=V")</f>
        <v>0</v>
      </c>
      <c r="K2">
        <f>BDH("ACET US Equity","BS_CASH_NEAR_CASH_ITEM","1993-06-18","2026-05-02","Per=Y","Days=T","Dir=V")</f>
        <v>0</v>
      </c>
      <c r="M2">
        <f>BDH("ACET US Equity","BS_CUR_ASSET_REPORT","1993-06-18","2026-05-02","Per=Y","Days=T","Dir=V")</f>
        <v>0</v>
      </c>
      <c r="O2">
        <f>BDH("ACET US Equity","BS_CUR_LIAB","1993-06-18","2026-05-02","Per=Y","Days=T","Dir=V")</f>
        <v>0</v>
      </c>
      <c r="Q2">
        <f>BDH("ACET US Equity","BS_SHAREHOLDER_EQY_ENDING_PERIOD","1993-06-18","2026-05-02","Per=Y","Days=T","Dir=V")</f>
        <v>0</v>
      </c>
      <c r="S2">
        <f>BDH("ACET US Equity","BS_ACCT_NOTE_RCV","1993-06-18","2026-05-02","Per=Y","Days=T","Dir=V")</f>
        <v>0</v>
      </c>
      <c r="U2">
        <f>BDH("ACET US Equity","BS_INVENTORIES","1993-06-18","2026-05-02","Per=Y","Days=T","Dir=V")</f>
        <v>0</v>
      </c>
      <c r="W2">
        <f>BDH("ACET US Equity","WORKING_CAPITAL","1993-06-18","2026-05-02","Per=Y","Days=T","Dir=V")</f>
        <v>0</v>
      </c>
      <c r="Y2">
        <f>BDH("ACET US Equity","SALES_REV_TURN","1993-06-18","2026-05-02","Per=Y","Days=T","Dir=V")</f>
        <v>0</v>
      </c>
      <c r="AA2">
        <f>BDH("ACET US Equity","EBIT","1993-06-18","2026-05-02","Per=Y","Days=T","Dir=V")</f>
        <v>0</v>
      </c>
      <c r="AC2">
        <f>BDH("ACET US Equity","EBITDA","1993-06-18","2026-05-02","Per=Y","Days=T","Dir=V")</f>
        <v>0</v>
      </c>
      <c r="AE2">
        <f>BDH("ACET US Equity","NET_INCOME","1993-06-18","2026-05-02","Per=Y","Days=T","Dir=V")</f>
        <v>0</v>
      </c>
      <c r="AG2">
        <f>BDH("ACET US Equity","IS_INT_EXPENSE","1993-06-18","2026-05-02","Per=Y","Days=T","Dir=V")</f>
        <v>0</v>
      </c>
      <c r="AI2">
        <f>BDH("ACET US Equity","IS_DEPR_EXP","1993-06-18","2026-05-02","Per=Y","Days=T","Dir=V")</f>
        <v>0</v>
      </c>
      <c r="AK2">
        <f>BDH("ACET US Equity","CF_CASH_FROM_OPER","1993-06-18","2026-05-02","Per=Y","Days=T","Dir=V")</f>
        <v>0</v>
      </c>
      <c r="AM2">
        <f>BDH("ACET US Equity","CAPITAL_EXPEND","1993-06-18","2026-05-02","Per=Y","Days=T","Dir=V")</f>
        <v>0</v>
      </c>
      <c r="AO2">
        <f>BDH("ACET US Equity","CF_FREE_CASH_FLOW","1993-06-18","2026-05-02","Per=Y","Days=T","Dir=V")</f>
        <v>0</v>
      </c>
      <c r="AQ2">
        <f>BDH("ACET US Equity","PX_LAST","1993-06-18","2026-05-02","Per=M","Days=T","Dir=V")</f>
        <v>0</v>
      </c>
      <c r="AS2">
        <f>BDH("ACET US Equity","CUR_MKT_CAP","1993-06-18","2026-05-02","Per=M","Days=T","Dir=V")</f>
        <v>0</v>
      </c>
      <c r="AU2">
        <f>BDH("ACET US Equity","EQY_SH_OUT","1993-06-18","2026-05-02","Per=M","Days=T","Dir=V")</f>
        <v>0</v>
      </c>
      <c r="AW2">
        <f>BDH("ACET US Equity","PX_VOLUME","1993-06-18","2026-05-02","Per=M","Days=T","Dir=V")</f>
        <v>0</v>
      </c>
      <c r="AY2">
        <f>BDH("ACET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BDH("ACFN US Equity","BS_TOT_ASSET","1993-06-18","2026-05-02","Per=Y","Days=T","Dir=V")</f>
        <v>0</v>
      </c>
      <c r="C2">
        <f>BDH("ACFN US Equity","BS_TOT_LIAB2","1993-06-18","2026-05-02","Per=Y","Days=T","Dir=V")</f>
        <v>0</v>
      </c>
      <c r="E2">
        <f>BDH("ACFN US Equity","SHORT_AND_LONG_TERM_DEBT","1993-06-18","2026-05-02","Per=Y","Days=T","Dir=V")</f>
        <v>0</v>
      </c>
      <c r="G2">
        <f>BDH("ACFN US Equity","BS_ST_BORROW","1993-06-18","2026-05-02","Per=Y","Days=T","Dir=V")</f>
        <v>0</v>
      </c>
      <c r="I2">
        <f>BDH("ACFN US Equity","BS_LT_BORROW","1993-06-18","2026-05-02","Per=Y","Days=T","Dir=V")</f>
        <v>0</v>
      </c>
      <c r="K2">
        <f>BDH("ACFN US Equity","BS_CASH_NEAR_CASH_ITEM","1993-06-18","2026-05-02","Per=Y","Days=T","Dir=V")</f>
        <v>0</v>
      </c>
      <c r="M2">
        <f>BDH("ACFN US Equity","BS_CUR_ASSET_REPORT","1993-06-18","2026-05-02","Per=Y","Days=T","Dir=V")</f>
        <v>0</v>
      </c>
      <c r="O2">
        <f>BDH("ACFN US Equity","BS_CUR_LIAB","1993-06-18","2026-05-02","Per=Y","Days=T","Dir=V")</f>
        <v>0</v>
      </c>
      <c r="Q2">
        <f>BDH("ACFN US Equity","BS_SHAREHOLDER_EQY_ENDING_PERIOD","1993-06-18","2026-05-02","Per=Y","Days=T","Dir=V")</f>
        <v>0</v>
      </c>
      <c r="S2">
        <f>BDH("ACFN US Equity","BS_ACCT_NOTE_RCV","1993-06-18","2026-05-02","Per=Y","Days=T","Dir=V")</f>
        <v>0</v>
      </c>
      <c r="U2">
        <f>BDH("ACFN US Equity","BS_INVENTORIES","1993-06-18","2026-05-02","Per=Y","Days=T","Dir=V")</f>
        <v>0</v>
      </c>
      <c r="W2">
        <f>BDH("ACFN US Equity","WORKING_CAPITAL","1993-06-18","2026-05-02","Per=Y","Days=T","Dir=V")</f>
        <v>0</v>
      </c>
      <c r="Y2">
        <f>BDH("ACFN US Equity","SALES_REV_TURN","1993-06-18","2026-05-02","Per=Y","Days=T","Dir=V")</f>
        <v>0</v>
      </c>
      <c r="AA2">
        <f>BDH("ACFN US Equity","EBIT","1993-06-18","2026-05-02","Per=Y","Days=T","Dir=V")</f>
        <v>0</v>
      </c>
      <c r="AC2">
        <f>BDH("ACFN US Equity","EBITDA","1993-06-18","2026-05-02","Per=Y","Days=T","Dir=V")</f>
        <v>0</v>
      </c>
      <c r="AE2">
        <f>BDH("ACFN US Equity","NET_INCOME","1993-06-18","2026-05-02","Per=Y","Days=T","Dir=V")</f>
        <v>0</v>
      </c>
      <c r="AG2">
        <f>BDH("ACFN US Equity","IS_INT_EXPENSE","1993-06-18","2026-05-02","Per=Y","Days=T","Dir=V")</f>
        <v>0</v>
      </c>
      <c r="AI2">
        <f>BDH("ACFN US Equity","IS_DEPR_EXP","1993-06-18","2026-05-02","Per=Y","Days=T","Dir=V")</f>
        <v>0</v>
      </c>
      <c r="AK2">
        <f>BDH("ACFN US Equity","CF_CASH_FROM_OPER","1993-06-18","2026-05-02","Per=Y","Days=T","Dir=V")</f>
        <v>0</v>
      </c>
      <c r="AM2">
        <f>BDH("ACFN US Equity","CAPITAL_EXPEND","1993-06-18","2026-05-02","Per=Y","Days=T","Dir=V")</f>
        <v>0</v>
      </c>
      <c r="AO2">
        <f>BDH("ACFN US Equity","CF_FREE_CASH_FLOW","1993-06-18","2026-05-02","Per=Y","Days=T","Dir=V")</f>
        <v>0</v>
      </c>
      <c r="AQ2">
        <f>BDH("ACFN US Equity","PX_LAST","1993-06-18","2026-05-02","Per=M","Days=T","Dir=V")</f>
        <v>0</v>
      </c>
      <c r="AS2">
        <f>BDH("ACFN US Equity","CUR_MKT_CAP","1993-06-18","2026-05-02","Per=M","Days=T","Dir=V")</f>
        <v>0</v>
      </c>
      <c r="AU2">
        <f>BDH("ACFN US Equity","EQY_SH_OUT","1993-06-18","2026-05-02","Per=M","Days=T","Dir=V")</f>
        <v>0</v>
      </c>
      <c r="AW2">
        <f>BDH("ACFN US Equity","PX_VOLUME","1993-06-18","2026-05-02","Per=M","Days=T","Dir=V")</f>
        <v>0</v>
      </c>
      <c r="AY2">
        <f>BDH("ACFN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BDH("ACH US Equity","BS_TOT_ASSET","1993-06-18","2026-05-02","Per=Y","Days=T","Dir=V")</f>
        <v>0</v>
      </c>
      <c r="C2">
        <f>BDH("ACH US Equity","BS_TOT_LIAB2","1993-06-18","2026-05-02","Per=Y","Days=T","Dir=V")</f>
        <v>0</v>
      </c>
      <c r="E2">
        <f>BDH("ACH US Equity","SHORT_AND_LONG_TERM_DEBT","1993-06-18","2026-05-02","Per=Y","Days=T","Dir=V")</f>
        <v>0</v>
      </c>
      <c r="G2">
        <f>BDH("ACH US Equity","BS_ST_BORROW","1993-06-18","2026-05-02","Per=Y","Days=T","Dir=V")</f>
        <v>0</v>
      </c>
      <c r="I2">
        <f>BDH("ACH US Equity","BS_LT_BORROW","1993-06-18","2026-05-02","Per=Y","Days=T","Dir=V")</f>
        <v>0</v>
      </c>
      <c r="K2">
        <f>BDH("ACH US Equity","BS_CASH_NEAR_CASH_ITEM","1993-06-18","2026-05-02","Per=Y","Days=T","Dir=V")</f>
        <v>0</v>
      </c>
      <c r="M2">
        <f>BDH("ACH US Equity","BS_CUR_ASSET_REPORT","1993-06-18","2026-05-02","Per=Y","Days=T","Dir=V")</f>
        <v>0</v>
      </c>
      <c r="O2">
        <f>BDH("ACH US Equity","BS_CUR_LIAB","1993-06-18","2026-05-02","Per=Y","Days=T","Dir=V")</f>
        <v>0</v>
      </c>
      <c r="Q2">
        <f>BDH("ACH US Equity","BS_SHAREHOLDER_EQY_ENDING_PERIOD","1993-06-18","2026-05-02","Per=Y","Days=T","Dir=V")</f>
        <v>0</v>
      </c>
      <c r="S2">
        <f>BDH("ACH US Equity","BS_ACCT_NOTE_RCV","1993-06-18","2026-05-02","Per=Y","Days=T","Dir=V")</f>
        <v>0</v>
      </c>
      <c r="U2">
        <f>BDH("ACH US Equity","BS_INVENTORIES","1993-06-18","2026-05-02","Per=Y","Days=T","Dir=V")</f>
        <v>0</v>
      </c>
      <c r="W2">
        <f>BDH("ACH US Equity","WORKING_CAPITAL","1993-06-18","2026-05-02","Per=Y","Days=T","Dir=V")</f>
        <v>0</v>
      </c>
      <c r="Y2">
        <f>BDH("ACH US Equity","SALES_REV_TURN","1993-06-18","2026-05-02","Per=Y","Days=T","Dir=V")</f>
        <v>0</v>
      </c>
      <c r="AA2">
        <f>BDH("ACH US Equity","EBIT","1993-06-18","2026-05-02","Per=Y","Days=T","Dir=V")</f>
        <v>0</v>
      </c>
      <c r="AC2">
        <f>BDH("ACH US Equity","EBITDA","1993-06-18","2026-05-02","Per=Y","Days=T","Dir=V")</f>
        <v>0</v>
      </c>
      <c r="AE2">
        <f>BDH("ACH US Equity","NET_INCOME","1993-06-18","2026-05-02","Per=Y","Days=T","Dir=V")</f>
        <v>0</v>
      </c>
      <c r="AG2">
        <f>BDH("ACH US Equity","IS_INT_EXPENSE","1993-06-18","2026-05-02","Per=Y","Days=T","Dir=V")</f>
        <v>0</v>
      </c>
      <c r="AI2">
        <f>BDH("ACH US Equity","IS_DEPR_EXP","1993-06-18","2026-05-02","Per=Y","Days=T","Dir=V")</f>
        <v>0</v>
      </c>
      <c r="AK2">
        <f>BDH("ACH US Equity","CF_CASH_FROM_OPER","1993-06-18","2026-05-02","Per=Y","Days=T","Dir=V")</f>
        <v>0</v>
      </c>
      <c r="AM2">
        <f>BDH("ACH US Equity","CAPITAL_EXPEND","1993-06-18","2026-05-02","Per=Y","Days=T","Dir=V")</f>
        <v>0</v>
      </c>
      <c r="AO2">
        <f>BDH("ACH US Equity","CF_FREE_CASH_FLOW","1993-06-18","2026-05-02","Per=Y","Days=T","Dir=V")</f>
        <v>0</v>
      </c>
      <c r="AQ2">
        <f>BDH("ACH US Equity","PX_LAST","1993-06-18","2026-05-02","Per=M","Days=T","Dir=V")</f>
        <v>0</v>
      </c>
      <c r="AS2">
        <f>BDH("ACH US Equity","CUR_MKT_CAP","1993-06-18","2026-05-02","Per=M","Days=T","Dir=V")</f>
        <v>0</v>
      </c>
      <c r="AU2">
        <f>BDH("ACH US Equity","EQY_SH_OUT","1993-06-18","2026-05-02","Per=M","Days=T","Dir=V")</f>
        <v>0</v>
      </c>
      <c r="AW2">
        <f>BDH("ACH US Equity","PX_VOLUME","1993-06-18","2026-05-02","Per=M","Days=T","Dir=V")</f>
        <v>0</v>
      </c>
      <c r="AY2">
        <f>BDH("ACH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BDH("ACHC US Equity","BS_TOT_ASSET","1993-06-18","2026-05-02","Per=Y","Days=T","Dir=V")</f>
        <v>0</v>
      </c>
      <c r="C2">
        <f>BDH("ACHC US Equity","BS_TOT_LIAB2","1993-06-18","2026-05-02","Per=Y","Days=T","Dir=V")</f>
        <v>0</v>
      </c>
      <c r="E2">
        <f>BDH("ACHC US Equity","SHORT_AND_LONG_TERM_DEBT","1993-06-18","2026-05-02","Per=Y","Days=T","Dir=V")</f>
        <v>0</v>
      </c>
      <c r="G2">
        <f>BDH("ACHC US Equity","BS_ST_BORROW","1993-06-18","2026-05-02","Per=Y","Days=T","Dir=V")</f>
        <v>0</v>
      </c>
      <c r="I2">
        <f>BDH("ACHC US Equity","BS_LT_BORROW","1993-06-18","2026-05-02","Per=Y","Days=T","Dir=V")</f>
        <v>0</v>
      </c>
      <c r="K2">
        <f>BDH("ACHC US Equity","BS_CASH_NEAR_CASH_ITEM","1993-06-18","2026-05-02","Per=Y","Days=T","Dir=V")</f>
        <v>0</v>
      </c>
      <c r="M2">
        <f>BDH("ACHC US Equity","BS_CUR_ASSET_REPORT","1993-06-18","2026-05-02","Per=Y","Days=T","Dir=V")</f>
        <v>0</v>
      </c>
      <c r="O2">
        <f>BDH("ACHC US Equity","BS_CUR_LIAB","1993-06-18","2026-05-02","Per=Y","Days=T","Dir=V")</f>
        <v>0</v>
      </c>
      <c r="Q2">
        <f>BDH("ACHC US Equity","BS_SHAREHOLDER_EQY_ENDING_PERIOD","1993-06-18","2026-05-02","Per=Y","Days=T","Dir=V")</f>
        <v>0</v>
      </c>
      <c r="S2">
        <f>BDH("ACHC US Equity","BS_ACCT_NOTE_RCV","1993-06-18","2026-05-02","Per=Y","Days=T","Dir=V")</f>
        <v>0</v>
      </c>
      <c r="U2">
        <f>BDH("ACHC US Equity","BS_INVENTORIES","1993-06-18","2026-05-02","Per=Y","Days=T","Dir=V")</f>
        <v>0</v>
      </c>
      <c r="W2">
        <f>BDH("ACHC US Equity","WORKING_CAPITAL","1993-06-18","2026-05-02","Per=Y","Days=T","Dir=V")</f>
        <v>0</v>
      </c>
      <c r="Y2">
        <f>BDH("ACHC US Equity","SALES_REV_TURN","1993-06-18","2026-05-02","Per=Y","Days=T","Dir=V")</f>
        <v>0</v>
      </c>
      <c r="AA2">
        <f>BDH("ACHC US Equity","EBIT","1993-06-18","2026-05-02","Per=Y","Days=T","Dir=V")</f>
        <v>0</v>
      </c>
      <c r="AC2">
        <f>BDH("ACHC US Equity","EBITDA","1993-06-18","2026-05-02","Per=Y","Days=T","Dir=V")</f>
        <v>0</v>
      </c>
      <c r="AE2">
        <f>BDH("ACHC US Equity","NET_INCOME","1993-06-18","2026-05-02","Per=Y","Days=T","Dir=V")</f>
        <v>0</v>
      </c>
      <c r="AG2">
        <f>BDH("ACHC US Equity","IS_INT_EXPENSE","1993-06-18","2026-05-02","Per=Y","Days=T","Dir=V")</f>
        <v>0</v>
      </c>
      <c r="AI2">
        <f>BDH("ACHC US Equity","IS_DEPR_EXP","1993-06-18","2026-05-02","Per=Y","Days=T","Dir=V")</f>
        <v>0</v>
      </c>
      <c r="AK2">
        <f>BDH("ACHC US Equity","CF_CASH_FROM_OPER","1993-06-18","2026-05-02","Per=Y","Days=T","Dir=V")</f>
        <v>0</v>
      </c>
      <c r="AM2">
        <f>BDH("ACHC US Equity","CAPITAL_EXPEND","1993-06-18","2026-05-02","Per=Y","Days=T","Dir=V")</f>
        <v>0</v>
      </c>
      <c r="AO2">
        <f>BDH("ACHC US Equity","CF_FREE_CASH_FLOW","1993-06-18","2026-05-02","Per=Y","Days=T","Dir=V")</f>
        <v>0</v>
      </c>
      <c r="AQ2">
        <f>BDH("ACHC US Equity","PX_LAST","1993-06-18","2026-05-02","Per=M","Days=T","Dir=V")</f>
        <v>0</v>
      </c>
      <c r="AS2">
        <f>BDH("ACHC US Equity","CUR_MKT_CAP","1993-06-18","2026-05-02","Per=M","Days=T","Dir=V")</f>
        <v>0</v>
      </c>
      <c r="AU2">
        <f>BDH("ACHC US Equity","EQY_SH_OUT","1993-06-18","2026-05-02","Per=M","Days=T","Dir=V")</f>
        <v>0</v>
      </c>
      <c r="AW2">
        <f>BDH("ACHC US Equity","PX_VOLUME","1993-06-18","2026-05-02","Per=M","Days=T","Dir=V")</f>
        <v>0</v>
      </c>
      <c r="AY2">
        <f>BDH("ACHC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BDH("ACHR US Equity","BS_TOT_ASSET","1993-06-18","2026-05-02","Per=Y","Days=T","Dir=V")</f>
        <v>0</v>
      </c>
      <c r="C2">
        <f>BDH("ACHR US Equity","BS_TOT_LIAB2","1993-06-18","2026-05-02","Per=Y","Days=T","Dir=V")</f>
        <v>0</v>
      </c>
      <c r="E2">
        <f>BDH("ACHR US Equity","SHORT_AND_LONG_TERM_DEBT","1993-06-18","2026-05-02","Per=Y","Days=T","Dir=V")</f>
        <v>0</v>
      </c>
      <c r="G2">
        <f>BDH("ACHR US Equity","BS_ST_BORROW","1993-06-18","2026-05-02","Per=Y","Days=T","Dir=V")</f>
        <v>0</v>
      </c>
      <c r="I2">
        <f>BDH("ACHR US Equity","BS_LT_BORROW","1993-06-18","2026-05-02","Per=Y","Days=T","Dir=V")</f>
        <v>0</v>
      </c>
      <c r="K2">
        <f>BDH("ACHR US Equity","BS_CASH_NEAR_CASH_ITEM","1993-06-18","2026-05-02","Per=Y","Days=T","Dir=V")</f>
        <v>0</v>
      </c>
      <c r="M2">
        <f>BDH("ACHR US Equity","BS_CUR_ASSET_REPORT","1993-06-18","2026-05-02","Per=Y","Days=T","Dir=V")</f>
        <v>0</v>
      </c>
      <c r="O2">
        <f>BDH("ACHR US Equity","BS_CUR_LIAB","1993-06-18","2026-05-02","Per=Y","Days=T","Dir=V")</f>
        <v>0</v>
      </c>
      <c r="Q2">
        <f>BDH("ACHR US Equity","BS_SHAREHOLDER_EQY_ENDING_PERIOD","1993-06-18","2026-05-02","Per=Y","Days=T","Dir=V")</f>
        <v>0</v>
      </c>
      <c r="S2">
        <f>BDH("ACHR US Equity","BS_ACCT_NOTE_RCV","1993-06-18","2026-05-02","Per=Y","Days=T","Dir=V")</f>
        <v>0</v>
      </c>
      <c r="U2">
        <f>BDH("ACHR US Equity","BS_INVENTORIES","1993-06-18","2026-05-02","Per=Y","Days=T","Dir=V")</f>
        <v>0</v>
      </c>
      <c r="W2">
        <f>BDH("ACHR US Equity","WORKING_CAPITAL","1993-06-18","2026-05-02","Per=Y","Days=T","Dir=V")</f>
        <v>0</v>
      </c>
      <c r="Y2">
        <f>BDH("ACHR US Equity","SALES_REV_TURN","1993-06-18","2026-05-02","Per=Y","Days=T","Dir=V")</f>
        <v>0</v>
      </c>
      <c r="AA2">
        <f>BDH("ACHR US Equity","EBIT","1993-06-18","2026-05-02","Per=Y","Days=T","Dir=V")</f>
        <v>0</v>
      </c>
      <c r="AC2">
        <f>BDH("ACHR US Equity","EBITDA","1993-06-18","2026-05-02","Per=Y","Days=T","Dir=V")</f>
        <v>0</v>
      </c>
      <c r="AE2">
        <f>BDH("ACHR US Equity","NET_INCOME","1993-06-18","2026-05-02","Per=Y","Days=T","Dir=V")</f>
        <v>0</v>
      </c>
      <c r="AG2">
        <f>BDH("ACHR US Equity","IS_INT_EXPENSE","1993-06-18","2026-05-02","Per=Y","Days=T","Dir=V")</f>
        <v>0</v>
      </c>
      <c r="AI2">
        <f>BDH("ACHR US Equity","IS_DEPR_EXP","1993-06-18","2026-05-02","Per=Y","Days=T","Dir=V")</f>
        <v>0</v>
      </c>
      <c r="AK2">
        <f>BDH("ACHR US Equity","CF_CASH_FROM_OPER","1993-06-18","2026-05-02","Per=Y","Days=T","Dir=V")</f>
        <v>0</v>
      </c>
      <c r="AM2">
        <f>BDH("ACHR US Equity","CAPITAL_EXPEND","1993-06-18","2026-05-02","Per=Y","Days=T","Dir=V")</f>
        <v>0</v>
      </c>
      <c r="AO2">
        <f>BDH("ACHR US Equity","CF_FREE_CASH_FLOW","1993-06-18","2026-05-02","Per=Y","Days=T","Dir=V")</f>
        <v>0</v>
      </c>
      <c r="AQ2">
        <f>BDH("ACHR US Equity","PX_LAST","1993-06-18","2026-05-02","Per=M","Days=T","Dir=V")</f>
        <v>0</v>
      </c>
      <c r="AS2">
        <f>BDH("ACHR US Equity","CUR_MKT_CAP","1993-06-18","2026-05-02","Per=M","Days=T","Dir=V")</f>
        <v>0</v>
      </c>
      <c r="AU2">
        <f>BDH("ACHR US Equity","EQY_SH_OUT","1993-06-18","2026-05-02","Per=M","Days=T","Dir=V")</f>
        <v>0</v>
      </c>
      <c r="AW2">
        <f>BDH("ACHR US Equity","PX_VOLUME","1993-06-18","2026-05-02","Per=M","Days=T","Dir=V")</f>
        <v>0</v>
      </c>
      <c r="AY2">
        <f>BDH("ACHR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BDH("ACHV US Equity","BS_TOT_ASSET","1993-06-18","2026-05-02","Per=Y","Days=T","Dir=V")</f>
        <v>0</v>
      </c>
      <c r="C2">
        <f>BDH("ACHV US Equity","BS_TOT_LIAB2","1993-06-18","2026-05-02","Per=Y","Days=T","Dir=V")</f>
        <v>0</v>
      </c>
      <c r="E2">
        <f>BDH("ACHV US Equity","SHORT_AND_LONG_TERM_DEBT","1993-06-18","2026-05-02","Per=Y","Days=T","Dir=V")</f>
        <v>0</v>
      </c>
      <c r="G2">
        <f>BDH("ACHV US Equity","BS_ST_BORROW","1993-06-18","2026-05-02","Per=Y","Days=T","Dir=V")</f>
        <v>0</v>
      </c>
      <c r="I2">
        <f>BDH("ACHV US Equity","BS_LT_BORROW","1993-06-18","2026-05-02","Per=Y","Days=T","Dir=V")</f>
        <v>0</v>
      </c>
      <c r="K2">
        <f>BDH("ACHV US Equity","BS_CASH_NEAR_CASH_ITEM","1993-06-18","2026-05-02","Per=Y","Days=T","Dir=V")</f>
        <v>0</v>
      </c>
      <c r="M2">
        <f>BDH("ACHV US Equity","BS_CUR_ASSET_REPORT","1993-06-18","2026-05-02","Per=Y","Days=T","Dir=V")</f>
        <v>0</v>
      </c>
      <c r="O2">
        <f>BDH("ACHV US Equity","BS_CUR_LIAB","1993-06-18","2026-05-02","Per=Y","Days=T","Dir=V")</f>
        <v>0</v>
      </c>
      <c r="Q2">
        <f>BDH("ACHV US Equity","BS_SHAREHOLDER_EQY_ENDING_PERIOD","1993-06-18","2026-05-02","Per=Y","Days=T","Dir=V")</f>
        <v>0</v>
      </c>
      <c r="S2">
        <f>BDH("ACHV US Equity","BS_ACCT_NOTE_RCV","1993-06-18","2026-05-02","Per=Y","Days=T","Dir=V")</f>
        <v>0</v>
      </c>
      <c r="U2">
        <f>BDH("ACHV US Equity","BS_INVENTORIES","1993-06-18","2026-05-02","Per=Y","Days=T","Dir=V")</f>
        <v>0</v>
      </c>
      <c r="W2">
        <f>BDH("ACHV US Equity","WORKING_CAPITAL","1993-06-18","2026-05-02","Per=Y","Days=T","Dir=V")</f>
        <v>0</v>
      </c>
      <c r="Y2">
        <f>BDH("ACHV US Equity","SALES_REV_TURN","1993-06-18","2026-05-02","Per=Y","Days=T","Dir=V")</f>
        <v>0</v>
      </c>
      <c r="AA2">
        <f>BDH("ACHV US Equity","EBIT","1993-06-18","2026-05-02","Per=Y","Days=T","Dir=V")</f>
        <v>0</v>
      </c>
      <c r="AC2">
        <f>BDH("ACHV US Equity","EBITDA","1993-06-18","2026-05-02","Per=Y","Days=T","Dir=V")</f>
        <v>0</v>
      </c>
      <c r="AE2">
        <f>BDH("ACHV US Equity","NET_INCOME","1993-06-18","2026-05-02","Per=Y","Days=T","Dir=V")</f>
        <v>0</v>
      </c>
      <c r="AG2">
        <f>BDH("ACHV US Equity","IS_INT_EXPENSE","1993-06-18","2026-05-02","Per=Y","Days=T","Dir=V")</f>
        <v>0</v>
      </c>
      <c r="AI2">
        <f>BDH("ACHV US Equity","IS_DEPR_EXP","1993-06-18","2026-05-02","Per=Y","Days=T","Dir=V")</f>
        <v>0</v>
      </c>
      <c r="AK2">
        <f>BDH("ACHV US Equity","CF_CASH_FROM_OPER","1993-06-18","2026-05-02","Per=Y","Days=T","Dir=V")</f>
        <v>0</v>
      </c>
      <c r="AM2">
        <f>BDH("ACHV US Equity","CAPITAL_EXPEND","1993-06-18","2026-05-02","Per=Y","Days=T","Dir=V")</f>
        <v>0</v>
      </c>
      <c r="AO2">
        <f>BDH("ACHV US Equity","CF_FREE_CASH_FLOW","1993-06-18","2026-05-02","Per=Y","Days=T","Dir=V")</f>
        <v>0</v>
      </c>
      <c r="AQ2">
        <f>BDH("ACHV US Equity","PX_LAST","1993-06-18","2026-05-02","Per=M","Days=T","Dir=V")</f>
        <v>0</v>
      </c>
      <c r="AS2">
        <f>BDH("ACHV US Equity","CUR_MKT_CAP","1993-06-18","2026-05-02","Per=M","Days=T","Dir=V")</f>
        <v>0</v>
      </c>
      <c r="AU2">
        <f>BDH("ACHV US Equity","EQY_SH_OUT","1993-06-18","2026-05-02","Per=M","Days=T","Dir=V")</f>
        <v>0</v>
      </c>
      <c r="AW2">
        <f>BDH("ACHV US Equity","PX_VOLUME","1993-06-18","2026-05-02","Per=M","Days=T","Dir=V")</f>
        <v>0</v>
      </c>
      <c r="AY2">
        <f>BDH("ACHV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BDH("ACI US Equity","BS_TOT_ASSET","1993-06-18","2026-05-02","Per=Y","Days=T","Dir=V")</f>
        <v>0</v>
      </c>
      <c r="C2">
        <f>BDH("ACI US Equity","BS_TOT_LIAB2","1993-06-18","2026-05-02","Per=Y","Days=T","Dir=V")</f>
        <v>0</v>
      </c>
      <c r="E2">
        <f>BDH("ACI US Equity","SHORT_AND_LONG_TERM_DEBT","1993-06-18","2026-05-02","Per=Y","Days=T","Dir=V")</f>
        <v>0</v>
      </c>
      <c r="G2">
        <f>BDH("ACI US Equity","BS_ST_BORROW","1993-06-18","2026-05-02","Per=Y","Days=T","Dir=V")</f>
        <v>0</v>
      </c>
      <c r="I2">
        <f>BDH("ACI US Equity","BS_LT_BORROW","1993-06-18","2026-05-02","Per=Y","Days=T","Dir=V")</f>
        <v>0</v>
      </c>
      <c r="K2">
        <f>BDH("ACI US Equity","BS_CASH_NEAR_CASH_ITEM","1993-06-18","2026-05-02","Per=Y","Days=T","Dir=V")</f>
        <v>0</v>
      </c>
      <c r="M2">
        <f>BDH("ACI US Equity","BS_CUR_ASSET_REPORT","1993-06-18","2026-05-02","Per=Y","Days=T","Dir=V")</f>
        <v>0</v>
      </c>
      <c r="O2">
        <f>BDH("ACI US Equity","BS_CUR_LIAB","1993-06-18","2026-05-02","Per=Y","Days=T","Dir=V")</f>
        <v>0</v>
      </c>
      <c r="Q2">
        <f>BDH("ACI US Equity","BS_SHAREHOLDER_EQY_ENDING_PERIOD","1993-06-18","2026-05-02","Per=Y","Days=T","Dir=V")</f>
        <v>0</v>
      </c>
      <c r="S2">
        <f>BDH("ACI US Equity","BS_ACCT_NOTE_RCV","1993-06-18","2026-05-02","Per=Y","Days=T","Dir=V")</f>
        <v>0</v>
      </c>
      <c r="U2">
        <f>BDH("ACI US Equity","BS_INVENTORIES","1993-06-18","2026-05-02","Per=Y","Days=T","Dir=V")</f>
        <v>0</v>
      </c>
      <c r="W2">
        <f>BDH("ACI US Equity","WORKING_CAPITAL","1993-06-18","2026-05-02","Per=Y","Days=T","Dir=V")</f>
        <v>0</v>
      </c>
      <c r="Y2">
        <f>BDH("ACI US Equity","SALES_REV_TURN","1993-06-18","2026-05-02","Per=Y","Days=T","Dir=V")</f>
        <v>0</v>
      </c>
      <c r="AA2">
        <f>BDH("ACI US Equity","EBIT","1993-06-18","2026-05-02","Per=Y","Days=T","Dir=V")</f>
        <v>0</v>
      </c>
      <c r="AC2">
        <f>BDH("ACI US Equity","EBITDA","1993-06-18","2026-05-02","Per=Y","Days=T","Dir=V")</f>
        <v>0</v>
      </c>
      <c r="AE2">
        <f>BDH("ACI US Equity","NET_INCOME","1993-06-18","2026-05-02","Per=Y","Days=T","Dir=V")</f>
        <v>0</v>
      </c>
      <c r="AG2">
        <f>BDH("ACI US Equity","IS_INT_EXPENSE","1993-06-18","2026-05-02","Per=Y","Days=T","Dir=V")</f>
        <v>0</v>
      </c>
      <c r="AI2">
        <f>BDH("ACI US Equity","IS_DEPR_EXP","1993-06-18","2026-05-02","Per=Y","Days=T","Dir=V")</f>
        <v>0</v>
      </c>
      <c r="AK2">
        <f>BDH("ACI US Equity","CF_CASH_FROM_OPER","1993-06-18","2026-05-02","Per=Y","Days=T","Dir=V")</f>
        <v>0</v>
      </c>
      <c r="AM2">
        <f>BDH("ACI US Equity","CAPITAL_EXPEND","1993-06-18","2026-05-02","Per=Y","Days=T","Dir=V")</f>
        <v>0</v>
      </c>
      <c r="AO2">
        <f>BDH("ACI US Equity","CF_FREE_CASH_FLOW","1993-06-18","2026-05-02","Per=Y","Days=T","Dir=V")</f>
        <v>0</v>
      </c>
      <c r="AQ2">
        <f>BDH("ACI US Equity","PX_LAST","1993-06-18","2026-05-02","Per=M","Days=T","Dir=V")</f>
        <v>0</v>
      </c>
      <c r="AS2">
        <f>BDH("ACI US Equity","CUR_MKT_CAP","1993-06-18","2026-05-02","Per=M","Days=T","Dir=V")</f>
        <v>0</v>
      </c>
      <c r="AU2">
        <f>BDH("ACI US Equity","EQY_SH_OUT","1993-06-18","2026-05-02","Per=M","Days=T","Dir=V")</f>
        <v>0</v>
      </c>
      <c r="AW2">
        <f>BDH("ACI US Equity","PX_VOLUME","1993-06-18","2026-05-02","Per=M","Days=T","Dir=V")</f>
        <v>0</v>
      </c>
      <c r="AY2">
        <f>BDH("ACI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BDH("ACIW US Equity","BS_TOT_ASSET","1993-06-18","2026-05-02","Per=Y","Days=T","Dir=V")</f>
        <v>0</v>
      </c>
      <c r="C2">
        <f>BDH("ACIW US Equity","BS_TOT_LIAB2","1993-06-18","2026-05-02","Per=Y","Days=T","Dir=V")</f>
        <v>0</v>
      </c>
      <c r="E2">
        <f>BDH("ACIW US Equity","SHORT_AND_LONG_TERM_DEBT","1993-06-18","2026-05-02","Per=Y","Days=T","Dir=V")</f>
        <v>0</v>
      </c>
      <c r="G2">
        <f>BDH("ACIW US Equity","BS_ST_BORROW","1993-06-18","2026-05-02","Per=Y","Days=T","Dir=V")</f>
        <v>0</v>
      </c>
      <c r="I2">
        <f>BDH("ACIW US Equity","BS_LT_BORROW","1993-06-18","2026-05-02","Per=Y","Days=T","Dir=V")</f>
        <v>0</v>
      </c>
      <c r="K2">
        <f>BDH("ACIW US Equity","BS_CASH_NEAR_CASH_ITEM","1993-06-18","2026-05-02","Per=Y","Days=T","Dir=V")</f>
        <v>0</v>
      </c>
      <c r="M2">
        <f>BDH("ACIW US Equity","BS_CUR_ASSET_REPORT","1993-06-18","2026-05-02","Per=Y","Days=T","Dir=V")</f>
        <v>0</v>
      </c>
      <c r="O2">
        <f>BDH("ACIW US Equity","BS_CUR_LIAB","1993-06-18","2026-05-02","Per=Y","Days=T","Dir=V")</f>
        <v>0</v>
      </c>
      <c r="Q2">
        <f>BDH("ACIW US Equity","BS_SHAREHOLDER_EQY_ENDING_PERIOD","1993-06-18","2026-05-02","Per=Y","Days=T","Dir=V")</f>
        <v>0</v>
      </c>
      <c r="S2">
        <f>BDH("ACIW US Equity","BS_ACCT_NOTE_RCV","1993-06-18","2026-05-02","Per=Y","Days=T","Dir=V")</f>
        <v>0</v>
      </c>
      <c r="U2">
        <f>BDH("ACIW US Equity","BS_INVENTORIES","1993-06-18","2026-05-02","Per=Y","Days=T","Dir=V")</f>
        <v>0</v>
      </c>
      <c r="W2">
        <f>BDH("ACIW US Equity","WORKING_CAPITAL","1993-06-18","2026-05-02","Per=Y","Days=T","Dir=V")</f>
        <v>0</v>
      </c>
      <c r="Y2">
        <f>BDH("ACIW US Equity","SALES_REV_TURN","1993-06-18","2026-05-02","Per=Y","Days=T","Dir=V")</f>
        <v>0</v>
      </c>
      <c r="AA2">
        <f>BDH("ACIW US Equity","EBIT","1993-06-18","2026-05-02","Per=Y","Days=T","Dir=V")</f>
        <v>0</v>
      </c>
      <c r="AC2">
        <f>BDH("ACIW US Equity","EBITDA","1993-06-18","2026-05-02","Per=Y","Days=T","Dir=V")</f>
        <v>0</v>
      </c>
      <c r="AE2">
        <f>BDH("ACIW US Equity","NET_INCOME","1993-06-18","2026-05-02","Per=Y","Days=T","Dir=V")</f>
        <v>0</v>
      </c>
      <c r="AG2">
        <f>BDH("ACIW US Equity","IS_INT_EXPENSE","1993-06-18","2026-05-02","Per=Y","Days=T","Dir=V")</f>
        <v>0</v>
      </c>
      <c r="AI2">
        <f>BDH("ACIW US Equity","IS_DEPR_EXP","1993-06-18","2026-05-02","Per=Y","Days=T","Dir=V")</f>
        <v>0</v>
      </c>
      <c r="AK2">
        <f>BDH("ACIW US Equity","CF_CASH_FROM_OPER","1993-06-18","2026-05-02","Per=Y","Days=T","Dir=V")</f>
        <v>0</v>
      </c>
      <c r="AM2">
        <f>BDH("ACIW US Equity","CAPITAL_EXPEND","1993-06-18","2026-05-02","Per=Y","Days=T","Dir=V")</f>
        <v>0</v>
      </c>
      <c r="AO2">
        <f>BDH("ACIW US Equity","CF_FREE_CASH_FLOW","1993-06-18","2026-05-02","Per=Y","Days=T","Dir=V")</f>
        <v>0</v>
      </c>
      <c r="AQ2">
        <f>BDH("ACIW US Equity","PX_LAST","1993-06-18","2026-05-02","Per=M","Days=T","Dir=V")</f>
        <v>0</v>
      </c>
      <c r="AS2">
        <f>BDH("ACIW US Equity","CUR_MKT_CAP","1993-06-18","2026-05-02","Per=M","Days=T","Dir=V")</f>
        <v>0</v>
      </c>
      <c r="AU2">
        <f>BDH("ACIW US Equity","EQY_SH_OUT","1993-06-18","2026-05-02","Per=M","Days=T","Dir=V")</f>
        <v>0</v>
      </c>
      <c r="AW2">
        <f>BDH("ACIW US Equity","PX_VOLUME","1993-06-18","2026-05-02","Per=M","Days=T","Dir=V")</f>
        <v>0</v>
      </c>
      <c r="AY2">
        <f>BDH("ACIW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BDH("ACLS US Equity","BS_TOT_ASSET","1993-06-18","2026-05-02","Per=Y","Days=T","Dir=V")</f>
        <v>0</v>
      </c>
      <c r="C2">
        <f>BDH("ACLS US Equity","BS_TOT_LIAB2","1993-06-18","2026-05-02","Per=Y","Days=T","Dir=V")</f>
        <v>0</v>
      </c>
      <c r="E2">
        <f>BDH("ACLS US Equity","SHORT_AND_LONG_TERM_DEBT","1993-06-18","2026-05-02","Per=Y","Days=T","Dir=V")</f>
        <v>0</v>
      </c>
      <c r="G2">
        <f>BDH("ACLS US Equity","BS_ST_BORROW","1993-06-18","2026-05-02","Per=Y","Days=T","Dir=V")</f>
        <v>0</v>
      </c>
      <c r="I2">
        <f>BDH("ACLS US Equity","BS_LT_BORROW","1993-06-18","2026-05-02","Per=Y","Days=T","Dir=V")</f>
        <v>0</v>
      </c>
      <c r="K2">
        <f>BDH("ACLS US Equity","BS_CASH_NEAR_CASH_ITEM","1993-06-18","2026-05-02","Per=Y","Days=T","Dir=V")</f>
        <v>0</v>
      </c>
      <c r="M2">
        <f>BDH("ACLS US Equity","BS_CUR_ASSET_REPORT","1993-06-18","2026-05-02","Per=Y","Days=T","Dir=V")</f>
        <v>0</v>
      </c>
      <c r="O2">
        <f>BDH("ACLS US Equity","BS_CUR_LIAB","1993-06-18","2026-05-02","Per=Y","Days=T","Dir=V")</f>
        <v>0</v>
      </c>
      <c r="Q2">
        <f>BDH("ACLS US Equity","BS_SHAREHOLDER_EQY_ENDING_PERIOD","1993-06-18","2026-05-02","Per=Y","Days=T","Dir=V")</f>
        <v>0</v>
      </c>
      <c r="S2">
        <f>BDH("ACLS US Equity","BS_ACCT_NOTE_RCV","1993-06-18","2026-05-02","Per=Y","Days=T","Dir=V")</f>
        <v>0</v>
      </c>
      <c r="U2">
        <f>BDH("ACLS US Equity","BS_INVENTORIES","1993-06-18","2026-05-02","Per=Y","Days=T","Dir=V")</f>
        <v>0</v>
      </c>
      <c r="W2">
        <f>BDH("ACLS US Equity","WORKING_CAPITAL","1993-06-18","2026-05-02","Per=Y","Days=T","Dir=V")</f>
        <v>0</v>
      </c>
      <c r="Y2">
        <f>BDH("ACLS US Equity","SALES_REV_TURN","1993-06-18","2026-05-02","Per=Y","Days=T","Dir=V")</f>
        <v>0</v>
      </c>
      <c r="AA2">
        <f>BDH("ACLS US Equity","EBIT","1993-06-18","2026-05-02","Per=Y","Days=T","Dir=V")</f>
        <v>0</v>
      </c>
      <c r="AC2">
        <f>BDH("ACLS US Equity","EBITDA","1993-06-18","2026-05-02","Per=Y","Days=T","Dir=V")</f>
        <v>0</v>
      </c>
      <c r="AE2">
        <f>BDH("ACLS US Equity","NET_INCOME","1993-06-18","2026-05-02","Per=Y","Days=T","Dir=V")</f>
        <v>0</v>
      </c>
      <c r="AG2">
        <f>BDH("ACLS US Equity","IS_INT_EXPENSE","1993-06-18","2026-05-02","Per=Y","Days=T","Dir=V")</f>
        <v>0</v>
      </c>
      <c r="AI2">
        <f>BDH("ACLS US Equity","IS_DEPR_EXP","1993-06-18","2026-05-02","Per=Y","Days=T","Dir=V")</f>
        <v>0</v>
      </c>
      <c r="AK2">
        <f>BDH("ACLS US Equity","CF_CASH_FROM_OPER","1993-06-18","2026-05-02","Per=Y","Days=T","Dir=V")</f>
        <v>0</v>
      </c>
      <c r="AM2">
        <f>BDH("ACLS US Equity","CAPITAL_EXPEND","1993-06-18","2026-05-02","Per=Y","Days=T","Dir=V")</f>
        <v>0</v>
      </c>
      <c r="AO2">
        <f>BDH("ACLS US Equity","CF_FREE_CASH_FLOW","1993-06-18","2026-05-02","Per=Y","Days=T","Dir=V")</f>
        <v>0</v>
      </c>
      <c r="AQ2">
        <f>BDH("ACLS US Equity","PX_LAST","1993-06-18","2026-05-02","Per=M","Days=T","Dir=V")</f>
        <v>0</v>
      </c>
      <c r="AS2">
        <f>BDH("ACLS US Equity","CUR_MKT_CAP","1993-06-18","2026-05-02","Per=M","Days=T","Dir=V")</f>
        <v>0</v>
      </c>
      <c r="AU2">
        <f>BDH("ACLS US Equity","EQY_SH_OUT","1993-06-18","2026-05-02","Per=M","Days=T","Dir=V")</f>
        <v>0</v>
      </c>
      <c r="AW2">
        <f>BDH("ACLS US Equity","PX_VOLUME","1993-06-18","2026-05-02","Per=M","Days=T","Dir=V")</f>
        <v>0</v>
      </c>
      <c r="AY2">
        <f>BDH("ACLS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BDH("ACM US Equity","BS_TOT_ASSET","1993-06-18","2026-05-02","Per=Y","Days=T","Dir=V")</f>
        <v>0</v>
      </c>
      <c r="C2">
        <f>BDH("ACM US Equity","BS_TOT_LIAB2","1993-06-18","2026-05-02","Per=Y","Days=T","Dir=V")</f>
        <v>0</v>
      </c>
      <c r="E2">
        <f>BDH("ACM US Equity","SHORT_AND_LONG_TERM_DEBT","1993-06-18","2026-05-02","Per=Y","Days=T","Dir=V")</f>
        <v>0</v>
      </c>
      <c r="G2">
        <f>BDH("ACM US Equity","BS_ST_BORROW","1993-06-18","2026-05-02","Per=Y","Days=T","Dir=V")</f>
        <v>0</v>
      </c>
      <c r="I2">
        <f>BDH("ACM US Equity","BS_LT_BORROW","1993-06-18","2026-05-02","Per=Y","Days=T","Dir=V")</f>
        <v>0</v>
      </c>
      <c r="K2">
        <f>BDH("ACM US Equity","BS_CASH_NEAR_CASH_ITEM","1993-06-18","2026-05-02","Per=Y","Days=T","Dir=V")</f>
        <v>0</v>
      </c>
      <c r="M2">
        <f>BDH("ACM US Equity","BS_CUR_ASSET_REPORT","1993-06-18","2026-05-02","Per=Y","Days=T","Dir=V")</f>
        <v>0</v>
      </c>
      <c r="O2">
        <f>BDH("ACM US Equity","BS_CUR_LIAB","1993-06-18","2026-05-02","Per=Y","Days=T","Dir=V")</f>
        <v>0</v>
      </c>
      <c r="Q2">
        <f>BDH("ACM US Equity","BS_SHAREHOLDER_EQY_ENDING_PERIOD","1993-06-18","2026-05-02","Per=Y","Days=T","Dir=V")</f>
        <v>0</v>
      </c>
      <c r="S2">
        <f>BDH("ACM US Equity","BS_ACCT_NOTE_RCV","1993-06-18","2026-05-02","Per=Y","Days=T","Dir=V")</f>
        <v>0</v>
      </c>
      <c r="U2">
        <f>BDH("ACM US Equity","BS_INVENTORIES","1993-06-18","2026-05-02","Per=Y","Days=T","Dir=V")</f>
        <v>0</v>
      </c>
      <c r="W2">
        <f>BDH("ACM US Equity","WORKING_CAPITAL","1993-06-18","2026-05-02","Per=Y","Days=T","Dir=V")</f>
        <v>0</v>
      </c>
      <c r="Y2">
        <f>BDH("ACM US Equity","SALES_REV_TURN","1993-06-18","2026-05-02","Per=Y","Days=T","Dir=V")</f>
        <v>0</v>
      </c>
      <c r="AA2">
        <f>BDH("ACM US Equity","EBIT","1993-06-18","2026-05-02","Per=Y","Days=T","Dir=V")</f>
        <v>0</v>
      </c>
      <c r="AC2">
        <f>BDH("ACM US Equity","EBITDA","1993-06-18","2026-05-02","Per=Y","Days=T","Dir=V")</f>
        <v>0</v>
      </c>
      <c r="AE2">
        <f>BDH("ACM US Equity","NET_INCOME","1993-06-18","2026-05-02","Per=Y","Days=T","Dir=V")</f>
        <v>0</v>
      </c>
      <c r="AG2">
        <f>BDH("ACM US Equity","IS_INT_EXPENSE","1993-06-18","2026-05-02","Per=Y","Days=T","Dir=V")</f>
        <v>0</v>
      </c>
      <c r="AI2">
        <f>BDH("ACM US Equity","IS_DEPR_EXP","1993-06-18","2026-05-02","Per=Y","Days=T","Dir=V")</f>
        <v>0</v>
      </c>
      <c r="AK2">
        <f>BDH("ACM US Equity","CF_CASH_FROM_OPER","1993-06-18","2026-05-02","Per=Y","Days=T","Dir=V")</f>
        <v>0</v>
      </c>
      <c r="AM2">
        <f>BDH("ACM US Equity","CAPITAL_EXPEND","1993-06-18","2026-05-02","Per=Y","Days=T","Dir=V")</f>
        <v>0</v>
      </c>
      <c r="AO2">
        <f>BDH("ACM US Equity","CF_FREE_CASH_FLOW","1993-06-18","2026-05-02","Per=Y","Days=T","Dir=V")</f>
        <v>0</v>
      </c>
      <c r="AQ2">
        <f>BDH("ACM US Equity","PX_LAST","1993-06-18","2026-05-02","Per=M","Days=T","Dir=V")</f>
        <v>0</v>
      </c>
      <c r="AS2">
        <f>BDH("ACM US Equity","CUR_MKT_CAP","1993-06-18","2026-05-02","Per=M","Days=T","Dir=V")</f>
        <v>0</v>
      </c>
      <c r="AU2">
        <f>BDH("ACM US Equity","EQY_SH_OUT","1993-06-18","2026-05-02","Per=M","Days=T","Dir=V")</f>
        <v>0</v>
      </c>
      <c r="AW2">
        <f>BDH("ACM US Equity","PX_VOLUME","1993-06-18","2026-05-02","Per=M","Days=T","Dir=V")</f>
        <v>0</v>
      </c>
      <c r="AY2">
        <f>BDH("ACM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BDH("ACMR US Equity","BS_TOT_ASSET","1993-06-18","2026-05-02","Per=Y","Days=T","Dir=V")</f>
        <v>0</v>
      </c>
      <c r="C2">
        <f>BDH("ACMR US Equity","BS_TOT_LIAB2","1993-06-18","2026-05-02","Per=Y","Days=T","Dir=V")</f>
        <v>0</v>
      </c>
      <c r="E2">
        <f>BDH("ACMR US Equity","SHORT_AND_LONG_TERM_DEBT","1993-06-18","2026-05-02","Per=Y","Days=T","Dir=V")</f>
        <v>0</v>
      </c>
      <c r="G2">
        <f>BDH("ACMR US Equity","BS_ST_BORROW","1993-06-18","2026-05-02","Per=Y","Days=T","Dir=V")</f>
        <v>0</v>
      </c>
      <c r="I2">
        <f>BDH("ACMR US Equity","BS_LT_BORROW","1993-06-18","2026-05-02","Per=Y","Days=T","Dir=V")</f>
        <v>0</v>
      </c>
      <c r="K2">
        <f>BDH("ACMR US Equity","BS_CASH_NEAR_CASH_ITEM","1993-06-18","2026-05-02","Per=Y","Days=T","Dir=V")</f>
        <v>0</v>
      </c>
      <c r="M2">
        <f>BDH("ACMR US Equity","BS_CUR_ASSET_REPORT","1993-06-18","2026-05-02","Per=Y","Days=T","Dir=V")</f>
        <v>0</v>
      </c>
      <c r="O2">
        <f>BDH("ACMR US Equity","BS_CUR_LIAB","1993-06-18","2026-05-02","Per=Y","Days=T","Dir=V")</f>
        <v>0</v>
      </c>
      <c r="Q2">
        <f>BDH("ACMR US Equity","BS_SHAREHOLDER_EQY_ENDING_PERIOD","1993-06-18","2026-05-02","Per=Y","Days=T","Dir=V")</f>
        <v>0</v>
      </c>
      <c r="S2">
        <f>BDH("ACMR US Equity","BS_ACCT_NOTE_RCV","1993-06-18","2026-05-02","Per=Y","Days=T","Dir=V")</f>
        <v>0</v>
      </c>
      <c r="U2">
        <f>BDH("ACMR US Equity","BS_INVENTORIES","1993-06-18","2026-05-02","Per=Y","Days=T","Dir=V")</f>
        <v>0</v>
      </c>
      <c r="W2">
        <f>BDH("ACMR US Equity","WORKING_CAPITAL","1993-06-18","2026-05-02","Per=Y","Days=T","Dir=V")</f>
        <v>0</v>
      </c>
      <c r="Y2">
        <f>BDH("ACMR US Equity","SALES_REV_TURN","1993-06-18","2026-05-02","Per=Y","Days=T","Dir=V")</f>
        <v>0</v>
      </c>
      <c r="AA2">
        <f>BDH("ACMR US Equity","EBIT","1993-06-18","2026-05-02","Per=Y","Days=T","Dir=V")</f>
        <v>0</v>
      </c>
      <c r="AC2">
        <f>BDH("ACMR US Equity","EBITDA","1993-06-18","2026-05-02","Per=Y","Days=T","Dir=V")</f>
        <v>0</v>
      </c>
      <c r="AE2">
        <f>BDH("ACMR US Equity","NET_INCOME","1993-06-18","2026-05-02","Per=Y","Days=T","Dir=V")</f>
        <v>0</v>
      </c>
      <c r="AG2">
        <f>BDH("ACMR US Equity","IS_INT_EXPENSE","1993-06-18","2026-05-02","Per=Y","Days=T","Dir=V")</f>
        <v>0</v>
      </c>
      <c r="AI2">
        <f>BDH("ACMR US Equity","IS_DEPR_EXP","1993-06-18","2026-05-02","Per=Y","Days=T","Dir=V")</f>
        <v>0</v>
      </c>
      <c r="AK2">
        <f>BDH("ACMR US Equity","CF_CASH_FROM_OPER","1993-06-18","2026-05-02","Per=Y","Days=T","Dir=V")</f>
        <v>0</v>
      </c>
      <c r="AM2">
        <f>BDH("ACMR US Equity","CAPITAL_EXPEND","1993-06-18","2026-05-02","Per=Y","Days=T","Dir=V")</f>
        <v>0</v>
      </c>
      <c r="AO2">
        <f>BDH("ACMR US Equity","CF_FREE_CASH_FLOW","1993-06-18","2026-05-02","Per=Y","Days=T","Dir=V")</f>
        <v>0</v>
      </c>
      <c r="AQ2">
        <f>BDH("ACMR US Equity","PX_LAST","1993-06-18","2026-05-02","Per=M","Days=T","Dir=V")</f>
        <v>0</v>
      </c>
      <c r="AS2">
        <f>BDH("ACMR US Equity","CUR_MKT_CAP","1993-06-18","2026-05-02","Per=M","Days=T","Dir=V")</f>
        <v>0</v>
      </c>
      <c r="AU2">
        <f>BDH("ACMR US Equity","EQY_SH_OUT","1993-06-18","2026-05-02","Per=M","Days=T","Dir=V")</f>
        <v>0</v>
      </c>
      <c r="AW2">
        <f>BDH("ACMR US Equity","PX_VOLUME","1993-06-18","2026-05-02","Per=M","Days=T","Dir=V")</f>
        <v>0</v>
      </c>
      <c r="AY2">
        <f>BDH("ACMR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BDH("ACNT US Equity","BS_TOT_ASSET","1993-06-18","2026-05-02","Per=Y","Days=T","Dir=V")</f>
        <v>0</v>
      </c>
      <c r="C2">
        <f>BDH("ACNT US Equity","BS_TOT_LIAB2","1993-06-18","2026-05-02","Per=Y","Days=T","Dir=V")</f>
        <v>0</v>
      </c>
      <c r="E2">
        <f>BDH("ACNT US Equity","SHORT_AND_LONG_TERM_DEBT","1993-06-18","2026-05-02","Per=Y","Days=T","Dir=V")</f>
        <v>0</v>
      </c>
      <c r="G2">
        <f>BDH("ACNT US Equity","BS_ST_BORROW","1993-06-18","2026-05-02","Per=Y","Days=T","Dir=V")</f>
        <v>0</v>
      </c>
      <c r="I2">
        <f>BDH("ACNT US Equity","BS_LT_BORROW","1993-06-18","2026-05-02","Per=Y","Days=T","Dir=V")</f>
        <v>0</v>
      </c>
      <c r="K2">
        <f>BDH("ACNT US Equity","BS_CASH_NEAR_CASH_ITEM","1993-06-18","2026-05-02","Per=Y","Days=T","Dir=V")</f>
        <v>0</v>
      </c>
      <c r="M2">
        <f>BDH("ACNT US Equity","BS_CUR_ASSET_REPORT","1993-06-18","2026-05-02","Per=Y","Days=T","Dir=V")</f>
        <v>0</v>
      </c>
      <c r="O2">
        <f>BDH("ACNT US Equity","BS_CUR_LIAB","1993-06-18","2026-05-02","Per=Y","Days=T","Dir=V")</f>
        <v>0</v>
      </c>
      <c r="Q2">
        <f>BDH("ACNT US Equity","BS_SHAREHOLDER_EQY_ENDING_PERIOD","1993-06-18","2026-05-02","Per=Y","Days=T","Dir=V")</f>
        <v>0</v>
      </c>
      <c r="S2">
        <f>BDH("ACNT US Equity","BS_ACCT_NOTE_RCV","1993-06-18","2026-05-02","Per=Y","Days=T","Dir=V")</f>
        <v>0</v>
      </c>
      <c r="U2">
        <f>BDH("ACNT US Equity","BS_INVENTORIES","1993-06-18","2026-05-02","Per=Y","Days=T","Dir=V")</f>
        <v>0</v>
      </c>
      <c r="W2">
        <f>BDH("ACNT US Equity","WORKING_CAPITAL","1993-06-18","2026-05-02","Per=Y","Days=T","Dir=V")</f>
        <v>0</v>
      </c>
      <c r="Y2">
        <f>BDH("ACNT US Equity","SALES_REV_TURN","1993-06-18","2026-05-02","Per=Y","Days=T","Dir=V")</f>
        <v>0</v>
      </c>
      <c r="AA2">
        <f>BDH("ACNT US Equity","EBIT","1993-06-18","2026-05-02","Per=Y","Days=T","Dir=V")</f>
        <v>0</v>
      </c>
      <c r="AC2">
        <f>BDH("ACNT US Equity","EBITDA","1993-06-18","2026-05-02","Per=Y","Days=T","Dir=V")</f>
        <v>0</v>
      </c>
      <c r="AE2">
        <f>BDH("ACNT US Equity","NET_INCOME","1993-06-18","2026-05-02","Per=Y","Days=T","Dir=V")</f>
        <v>0</v>
      </c>
      <c r="AG2">
        <f>BDH("ACNT US Equity","IS_INT_EXPENSE","1993-06-18","2026-05-02","Per=Y","Days=T","Dir=V")</f>
        <v>0</v>
      </c>
      <c r="AI2">
        <f>BDH("ACNT US Equity","IS_DEPR_EXP","1993-06-18","2026-05-02","Per=Y","Days=T","Dir=V")</f>
        <v>0</v>
      </c>
      <c r="AK2">
        <f>BDH("ACNT US Equity","CF_CASH_FROM_OPER","1993-06-18","2026-05-02","Per=Y","Days=T","Dir=V")</f>
        <v>0</v>
      </c>
      <c r="AM2">
        <f>BDH("ACNT US Equity","CAPITAL_EXPEND","1993-06-18","2026-05-02","Per=Y","Days=T","Dir=V")</f>
        <v>0</v>
      </c>
      <c r="AO2">
        <f>BDH("ACNT US Equity","CF_FREE_CASH_FLOW","1993-06-18","2026-05-02","Per=Y","Days=T","Dir=V")</f>
        <v>0</v>
      </c>
      <c r="AQ2">
        <f>BDH("ACNT US Equity","PX_LAST","1993-06-18","2026-05-02","Per=M","Days=T","Dir=V")</f>
        <v>0</v>
      </c>
      <c r="AS2">
        <f>BDH("ACNT US Equity","CUR_MKT_CAP","1993-06-18","2026-05-02","Per=M","Days=T","Dir=V")</f>
        <v>0</v>
      </c>
      <c r="AU2">
        <f>BDH("ACNT US Equity","EQY_SH_OUT","1993-06-18","2026-05-02","Per=M","Days=T","Dir=V")</f>
        <v>0</v>
      </c>
      <c r="AW2">
        <f>BDH("ACNT US Equity","PX_VOLUME","1993-06-18","2026-05-02","Per=M","Days=T","Dir=V")</f>
        <v>0</v>
      </c>
      <c r="AY2">
        <f>BDH("ACNT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BDH("ACON US Equity","BS_TOT_ASSET","1993-06-18","2026-05-02","Per=Y","Days=T","Dir=V")</f>
        <v>0</v>
      </c>
      <c r="C2">
        <f>BDH("ACON US Equity","BS_TOT_LIAB2","1993-06-18","2026-05-02","Per=Y","Days=T","Dir=V")</f>
        <v>0</v>
      </c>
      <c r="E2">
        <f>BDH("ACON US Equity","SHORT_AND_LONG_TERM_DEBT","1993-06-18","2026-05-02","Per=Y","Days=T","Dir=V")</f>
        <v>0</v>
      </c>
      <c r="G2">
        <f>BDH("ACON US Equity","BS_ST_BORROW","1993-06-18","2026-05-02","Per=Y","Days=T","Dir=V")</f>
        <v>0</v>
      </c>
      <c r="I2">
        <f>BDH("ACON US Equity","BS_LT_BORROW","1993-06-18","2026-05-02","Per=Y","Days=T","Dir=V")</f>
        <v>0</v>
      </c>
      <c r="K2">
        <f>BDH("ACON US Equity","BS_CASH_NEAR_CASH_ITEM","1993-06-18","2026-05-02","Per=Y","Days=T","Dir=V")</f>
        <v>0</v>
      </c>
      <c r="M2">
        <f>BDH("ACON US Equity","BS_CUR_ASSET_REPORT","1993-06-18","2026-05-02","Per=Y","Days=T","Dir=V")</f>
        <v>0</v>
      </c>
      <c r="O2">
        <f>BDH("ACON US Equity","BS_CUR_LIAB","1993-06-18","2026-05-02","Per=Y","Days=T","Dir=V")</f>
        <v>0</v>
      </c>
      <c r="Q2">
        <f>BDH("ACON US Equity","BS_SHAREHOLDER_EQY_ENDING_PERIOD","1993-06-18","2026-05-02","Per=Y","Days=T","Dir=V")</f>
        <v>0</v>
      </c>
      <c r="S2">
        <f>BDH("ACON US Equity","BS_ACCT_NOTE_RCV","1993-06-18","2026-05-02","Per=Y","Days=T","Dir=V")</f>
        <v>0</v>
      </c>
      <c r="U2">
        <f>BDH("ACON US Equity","BS_INVENTORIES","1993-06-18","2026-05-02","Per=Y","Days=T","Dir=V")</f>
        <v>0</v>
      </c>
      <c r="W2">
        <f>BDH("ACON US Equity","WORKING_CAPITAL","1993-06-18","2026-05-02","Per=Y","Days=T","Dir=V")</f>
        <v>0</v>
      </c>
      <c r="Y2">
        <f>BDH("ACON US Equity","SALES_REV_TURN","1993-06-18","2026-05-02","Per=Y","Days=T","Dir=V")</f>
        <v>0</v>
      </c>
      <c r="AA2">
        <f>BDH("ACON US Equity","EBIT","1993-06-18","2026-05-02","Per=Y","Days=T","Dir=V")</f>
        <v>0</v>
      </c>
      <c r="AC2">
        <f>BDH("ACON US Equity","EBITDA","1993-06-18","2026-05-02","Per=Y","Days=T","Dir=V")</f>
        <v>0</v>
      </c>
      <c r="AE2">
        <f>BDH("ACON US Equity","NET_INCOME","1993-06-18","2026-05-02","Per=Y","Days=T","Dir=V")</f>
        <v>0</v>
      </c>
      <c r="AG2">
        <f>BDH("ACON US Equity","IS_INT_EXPENSE","1993-06-18","2026-05-02","Per=Y","Days=T","Dir=V")</f>
        <v>0</v>
      </c>
      <c r="AI2">
        <f>BDH("ACON US Equity","IS_DEPR_EXP","1993-06-18","2026-05-02","Per=Y","Days=T","Dir=V")</f>
        <v>0</v>
      </c>
      <c r="AK2">
        <f>BDH("ACON US Equity","CF_CASH_FROM_OPER","1993-06-18","2026-05-02","Per=Y","Days=T","Dir=V")</f>
        <v>0</v>
      </c>
      <c r="AM2">
        <f>BDH("ACON US Equity","CAPITAL_EXPEND","1993-06-18","2026-05-02","Per=Y","Days=T","Dir=V")</f>
        <v>0</v>
      </c>
      <c r="AO2">
        <f>BDH("ACON US Equity","CF_FREE_CASH_FLOW","1993-06-18","2026-05-02","Per=Y","Days=T","Dir=V")</f>
        <v>0</v>
      </c>
      <c r="AQ2">
        <f>BDH("ACON US Equity","PX_LAST","1993-06-18","2026-05-02","Per=M","Days=T","Dir=V")</f>
        <v>0</v>
      </c>
      <c r="AS2">
        <f>BDH("ACON US Equity","CUR_MKT_CAP","1993-06-18","2026-05-02","Per=M","Days=T","Dir=V")</f>
        <v>0</v>
      </c>
      <c r="AU2">
        <f>BDH("ACON US Equity","EQY_SH_OUT","1993-06-18","2026-05-02","Per=M","Days=T","Dir=V")</f>
        <v>0</v>
      </c>
      <c r="AW2">
        <f>BDH("ACON US Equity","PX_VOLUME","1993-06-18","2026-05-02","Per=M","Days=T","Dir=V")</f>
        <v>0</v>
      </c>
      <c r="AY2">
        <f>BDH("ACON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BDH("ACRS US Equity","BS_TOT_ASSET","1993-06-18","2026-05-02","Per=Y","Days=T","Dir=V")</f>
        <v>0</v>
      </c>
      <c r="C2">
        <f>BDH("ACRS US Equity","BS_TOT_LIAB2","1993-06-18","2026-05-02","Per=Y","Days=T","Dir=V")</f>
        <v>0</v>
      </c>
      <c r="E2">
        <f>BDH("ACRS US Equity","SHORT_AND_LONG_TERM_DEBT","1993-06-18","2026-05-02","Per=Y","Days=T","Dir=V")</f>
        <v>0</v>
      </c>
      <c r="G2">
        <f>BDH("ACRS US Equity","BS_ST_BORROW","1993-06-18","2026-05-02","Per=Y","Days=T","Dir=V")</f>
        <v>0</v>
      </c>
      <c r="I2">
        <f>BDH("ACRS US Equity","BS_LT_BORROW","1993-06-18","2026-05-02","Per=Y","Days=T","Dir=V")</f>
        <v>0</v>
      </c>
      <c r="K2">
        <f>BDH("ACRS US Equity","BS_CASH_NEAR_CASH_ITEM","1993-06-18","2026-05-02","Per=Y","Days=T","Dir=V")</f>
        <v>0</v>
      </c>
      <c r="M2">
        <f>BDH("ACRS US Equity","BS_CUR_ASSET_REPORT","1993-06-18","2026-05-02","Per=Y","Days=T","Dir=V")</f>
        <v>0</v>
      </c>
      <c r="O2">
        <f>BDH("ACRS US Equity","BS_CUR_LIAB","1993-06-18","2026-05-02","Per=Y","Days=T","Dir=V")</f>
        <v>0</v>
      </c>
      <c r="Q2">
        <f>BDH("ACRS US Equity","BS_SHAREHOLDER_EQY_ENDING_PERIOD","1993-06-18","2026-05-02","Per=Y","Days=T","Dir=V")</f>
        <v>0</v>
      </c>
      <c r="S2">
        <f>BDH("ACRS US Equity","BS_ACCT_NOTE_RCV","1993-06-18","2026-05-02","Per=Y","Days=T","Dir=V")</f>
        <v>0</v>
      </c>
      <c r="U2">
        <f>BDH("ACRS US Equity","BS_INVENTORIES","1993-06-18","2026-05-02","Per=Y","Days=T","Dir=V")</f>
        <v>0</v>
      </c>
      <c r="W2">
        <f>BDH("ACRS US Equity","WORKING_CAPITAL","1993-06-18","2026-05-02","Per=Y","Days=T","Dir=V")</f>
        <v>0</v>
      </c>
      <c r="Y2">
        <f>BDH("ACRS US Equity","SALES_REV_TURN","1993-06-18","2026-05-02","Per=Y","Days=T","Dir=V")</f>
        <v>0</v>
      </c>
      <c r="AA2">
        <f>BDH("ACRS US Equity","EBIT","1993-06-18","2026-05-02","Per=Y","Days=T","Dir=V")</f>
        <v>0</v>
      </c>
      <c r="AC2">
        <f>BDH("ACRS US Equity","EBITDA","1993-06-18","2026-05-02","Per=Y","Days=T","Dir=V")</f>
        <v>0</v>
      </c>
      <c r="AE2">
        <f>BDH("ACRS US Equity","NET_INCOME","1993-06-18","2026-05-02","Per=Y","Days=T","Dir=V")</f>
        <v>0</v>
      </c>
      <c r="AG2">
        <f>BDH("ACRS US Equity","IS_INT_EXPENSE","1993-06-18","2026-05-02","Per=Y","Days=T","Dir=V")</f>
        <v>0</v>
      </c>
      <c r="AI2">
        <f>BDH("ACRS US Equity","IS_DEPR_EXP","1993-06-18","2026-05-02","Per=Y","Days=T","Dir=V")</f>
        <v>0</v>
      </c>
      <c r="AK2">
        <f>BDH("ACRS US Equity","CF_CASH_FROM_OPER","1993-06-18","2026-05-02","Per=Y","Days=T","Dir=V")</f>
        <v>0</v>
      </c>
      <c r="AM2">
        <f>BDH("ACRS US Equity","CAPITAL_EXPEND","1993-06-18","2026-05-02","Per=Y","Days=T","Dir=V")</f>
        <v>0</v>
      </c>
      <c r="AO2">
        <f>BDH("ACRS US Equity","CF_FREE_CASH_FLOW","1993-06-18","2026-05-02","Per=Y","Days=T","Dir=V")</f>
        <v>0</v>
      </c>
      <c r="AQ2">
        <f>BDH("ACRS US Equity","PX_LAST","1993-06-18","2026-05-02","Per=M","Days=T","Dir=V")</f>
        <v>0</v>
      </c>
      <c r="AS2">
        <f>BDH("ACRS US Equity","CUR_MKT_CAP","1993-06-18","2026-05-02","Per=M","Days=T","Dir=V")</f>
        <v>0</v>
      </c>
      <c r="AU2">
        <f>BDH("ACRS US Equity","EQY_SH_OUT","1993-06-18","2026-05-02","Per=M","Days=T","Dir=V")</f>
        <v>0</v>
      </c>
      <c r="AW2">
        <f>BDH("ACRS US Equity","PX_VOLUME","1993-06-18","2026-05-02","Per=M","Days=T","Dir=V")</f>
        <v>0</v>
      </c>
      <c r="AY2">
        <f>BDH("ACRS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BDH("ACRV US Equity","BS_TOT_ASSET","1993-06-18","2026-05-02","Per=Y","Days=T","Dir=V")</f>
        <v>0</v>
      </c>
      <c r="C2">
        <f>BDH("ACRV US Equity","BS_TOT_LIAB2","1993-06-18","2026-05-02","Per=Y","Days=T","Dir=V")</f>
        <v>0</v>
      </c>
      <c r="E2">
        <f>BDH("ACRV US Equity","SHORT_AND_LONG_TERM_DEBT","1993-06-18","2026-05-02","Per=Y","Days=T","Dir=V")</f>
        <v>0</v>
      </c>
      <c r="G2">
        <f>BDH("ACRV US Equity","BS_ST_BORROW","1993-06-18","2026-05-02","Per=Y","Days=T","Dir=V")</f>
        <v>0</v>
      </c>
      <c r="I2">
        <f>BDH("ACRV US Equity","BS_LT_BORROW","1993-06-18","2026-05-02","Per=Y","Days=T","Dir=V")</f>
        <v>0</v>
      </c>
      <c r="K2">
        <f>BDH("ACRV US Equity","BS_CASH_NEAR_CASH_ITEM","1993-06-18","2026-05-02","Per=Y","Days=T","Dir=V")</f>
        <v>0</v>
      </c>
      <c r="M2">
        <f>BDH("ACRV US Equity","BS_CUR_ASSET_REPORT","1993-06-18","2026-05-02","Per=Y","Days=T","Dir=V")</f>
        <v>0</v>
      </c>
      <c r="O2">
        <f>BDH("ACRV US Equity","BS_CUR_LIAB","1993-06-18","2026-05-02","Per=Y","Days=T","Dir=V")</f>
        <v>0</v>
      </c>
      <c r="Q2">
        <f>BDH("ACRV US Equity","BS_SHAREHOLDER_EQY_ENDING_PERIOD","1993-06-18","2026-05-02","Per=Y","Days=T","Dir=V")</f>
        <v>0</v>
      </c>
      <c r="S2">
        <f>BDH("ACRV US Equity","BS_ACCT_NOTE_RCV","1993-06-18","2026-05-02","Per=Y","Days=T","Dir=V")</f>
        <v>0</v>
      </c>
      <c r="U2">
        <f>BDH("ACRV US Equity","BS_INVENTORIES","1993-06-18","2026-05-02","Per=Y","Days=T","Dir=V")</f>
        <v>0</v>
      </c>
      <c r="W2">
        <f>BDH("ACRV US Equity","WORKING_CAPITAL","1993-06-18","2026-05-02","Per=Y","Days=T","Dir=V")</f>
        <v>0</v>
      </c>
      <c r="Y2">
        <f>BDH("ACRV US Equity","SALES_REV_TURN","1993-06-18","2026-05-02","Per=Y","Days=T","Dir=V")</f>
        <v>0</v>
      </c>
      <c r="AA2">
        <f>BDH("ACRV US Equity","EBIT","1993-06-18","2026-05-02","Per=Y","Days=T","Dir=V")</f>
        <v>0</v>
      </c>
      <c r="AC2">
        <f>BDH("ACRV US Equity","EBITDA","1993-06-18","2026-05-02","Per=Y","Days=T","Dir=V")</f>
        <v>0</v>
      </c>
      <c r="AE2">
        <f>BDH("ACRV US Equity","NET_INCOME","1993-06-18","2026-05-02","Per=Y","Days=T","Dir=V")</f>
        <v>0</v>
      </c>
      <c r="AG2">
        <f>BDH("ACRV US Equity","IS_INT_EXPENSE","1993-06-18","2026-05-02","Per=Y","Days=T","Dir=V")</f>
        <v>0</v>
      </c>
      <c r="AI2">
        <f>BDH("ACRV US Equity","IS_DEPR_EXP","1993-06-18","2026-05-02","Per=Y","Days=T","Dir=V")</f>
        <v>0</v>
      </c>
      <c r="AK2">
        <f>BDH("ACRV US Equity","CF_CASH_FROM_OPER","1993-06-18","2026-05-02","Per=Y","Days=T","Dir=V")</f>
        <v>0</v>
      </c>
      <c r="AM2">
        <f>BDH("ACRV US Equity","CAPITAL_EXPEND","1993-06-18","2026-05-02","Per=Y","Days=T","Dir=V")</f>
        <v>0</v>
      </c>
      <c r="AO2">
        <f>BDH("ACRV US Equity","CF_FREE_CASH_FLOW","1993-06-18","2026-05-02","Per=Y","Days=T","Dir=V")</f>
        <v>0</v>
      </c>
      <c r="AQ2">
        <f>BDH("ACRV US Equity","PX_LAST","1993-06-18","2026-05-02","Per=M","Days=T","Dir=V")</f>
        <v>0</v>
      </c>
      <c r="AS2">
        <f>BDH("ACRV US Equity","CUR_MKT_CAP","1993-06-18","2026-05-02","Per=M","Days=T","Dir=V")</f>
        <v>0</v>
      </c>
      <c r="AU2">
        <f>BDH("ACRV US Equity","EQY_SH_OUT","1993-06-18","2026-05-02","Per=M","Days=T","Dir=V")</f>
        <v>0</v>
      </c>
      <c r="AW2">
        <f>BDH("ACRV US Equity","PX_VOLUME","1993-06-18","2026-05-02","Per=M","Days=T","Dir=V")</f>
        <v>0</v>
      </c>
      <c r="AY2">
        <f>BDH("ACRV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BDH("ACTU US Equity","BS_TOT_ASSET","1993-06-18","2026-05-02","Per=Y","Days=T","Dir=V")</f>
        <v>0</v>
      </c>
      <c r="C2">
        <f>BDH("ACTU US Equity","BS_TOT_LIAB2","1993-06-18","2026-05-02","Per=Y","Days=T","Dir=V")</f>
        <v>0</v>
      </c>
      <c r="E2">
        <f>BDH("ACTU US Equity","SHORT_AND_LONG_TERM_DEBT","1993-06-18","2026-05-02","Per=Y","Days=T","Dir=V")</f>
        <v>0</v>
      </c>
      <c r="G2">
        <f>BDH("ACTU US Equity","BS_ST_BORROW","1993-06-18","2026-05-02","Per=Y","Days=T","Dir=V")</f>
        <v>0</v>
      </c>
      <c r="I2">
        <f>BDH("ACTU US Equity","BS_LT_BORROW","1993-06-18","2026-05-02","Per=Y","Days=T","Dir=V")</f>
        <v>0</v>
      </c>
      <c r="K2">
        <f>BDH("ACTU US Equity","BS_CASH_NEAR_CASH_ITEM","1993-06-18","2026-05-02","Per=Y","Days=T","Dir=V")</f>
        <v>0</v>
      </c>
      <c r="M2">
        <f>BDH("ACTU US Equity","BS_CUR_ASSET_REPORT","1993-06-18","2026-05-02","Per=Y","Days=T","Dir=V")</f>
        <v>0</v>
      </c>
      <c r="O2">
        <f>BDH("ACTU US Equity","BS_CUR_LIAB","1993-06-18","2026-05-02","Per=Y","Days=T","Dir=V")</f>
        <v>0</v>
      </c>
      <c r="Q2">
        <f>BDH("ACTU US Equity","BS_SHAREHOLDER_EQY_ENDING_PERIOD","1993-06-18","2026-05-02","Per=Y","Days=T","Dir=V")</f>
        <v>0</v>
      </c>
      <c r="S2">
        <f>BDH("ACTU US Equity","BS_ACCT_NOTE_RCV","1993-06-18","2026-05-02","Per=Y","Days=T","Dir=V")</f>
        <v>0</v>
      </c>
      <c r="U2">
        <f>BDH("ACTU US Equity","BS_INVENTORIES","1993-06-18","2026-05-02","Per=Y","Days=T","Dir=V")</f>
        <v>0</v>
      </c>
      <c r="W2">
        <f>BDH("ACTU US Equity","WORKING_CAPITAL","1993-06-18","2026-05-02","Per=Y","Days=T","Dir=V")</f>
        <v>0</v>
      </c>
      <c r="Y2">
        <f>BDH("ACTU US Equity","SALES_REV_TURN","1993-06-18","2026-05-02","Per=Y","Days=T","Dir=V")</f>
        <v>0</v>
      </c>
      <c r="AA2">
        <f>BDH("ACTU US Equity","EBIT","1993-06-18","2026-05-02","Per=Y","Days=T","Dir=V")</f>
        <v>0</v>
      </c>
      <c r="AC2">
        <f>BDH("ACTU US Equity","EBITDA","1993-06-18","2026-05-02","Per=Y","Days=T","Dir=V")</f>
        <v>0</v>
      </c>
      <c r="AE2">
        <f>BDH("ACTU US Equity","NET_INCOME","1993-06-18","2026-05-02","Per=Y","Days=T","Dir=V")</f>
        <v>0</v>
      </c>
      <c r="AG2">
        <f>BDH("ACTU US Equity","IS_INT_EXPENSE","1993-06-18","2026-05-02","Per=Y","Days=T","Dir=V")</f>
        <v>0</v>
      </c>
      <c r="AI2">
        <f>BDH("ACTU US Equity","IS_DEPR_EXP","1993-06-18","2026-05-02","Per=Y","Days=T","Dir=V")</f>
        <v>0</v>
      </c>
      <c r="AK2">
        <f>BDH("ACTU US Equity","CF_CASH_FROM_OPER","1993-06-18","2026-05-02","Per=Y","Days=T","Dir=V")</f>
        <v>0</v>
      </c>
      <c r="AM2">
        <f>BDH("ACTU US Equity","CAPITAL_EXPEND","1993-06-18","2026-05-02","Per=Y","Days=T","Dir=V")</f>
        <v>0</v>
      </c>
      <c r="AO2">
        <f>BDH("ACTU US Equity","CF_FREE_CASH_FLOW","1993-06-18","2026-05-02","Per=Y","Days=T","Dir=V")</f>
        <v>0</v>
      </c>
      <c r="AQ2">
        <f>BDH("ACTU US Equity","PX_LAST","1993-06-18","2026-05-02","Per=M","Days=T","Dir=V")</f>
        <v>0</v>
      </c>
      <c r="AS2">
        <f>BDH("ACTU US Equity","CUR_MKT_CAP","1993-06-18","2026-05-02","Per=M","Days=T","Dir=V")</f>
        <v>0</v>
      </c>
      <c r="AU2">
        <f>BDH("ACTU US Equity","EQY_SH_OUT","1993-06-18","2026-05-02","Per=M","Days=T","Dir=V")</f>
        <v>0</v>
      </c>
      <c r="AW2">
        <f>BDH("ACTU US Equity","PX_VOLUME","1993-06-18","2026-05-02","Per=M","Days=T","Dir=V")</f>
        <v>0</v>
      </c>
      <c r="AY2">
        <f>BDH("ACTU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BDH("ACU US Equity","BS_TOT_ASSET","1993-06-18","2026-05-02","Per=Y","Days=T","Dir=V")</f>
        <v>0</v>
      </c>
      <c r="C2">
        <f>BDH("ACU US Equity","BS_TOT_LIAB2","1993-06-18","2026-05-02","Per=Y","Days=T","Dir=V")</f>
        <v>0</v>
      </c>
      <c r="E2">
        <f>BDH("ACU US Equity","SHORT_AND_LONG_TERM_DEBT","1993-06-18","2026-05-02","Per=Y","Days=T","Dir=V")</f>
        <v>0</v>
      </c>
      <c r="G2">
        <f>BDH("ACU US Equity","BS_ST_BORROW","1993-06-18","2026-05-02","Per=Y","Days=T","Dir=V")</f>
        <v>0</v>
      </c>
      <c r="I2">
        <f>BDH("ACU US Equity","BS_LT_BORROW","1993-06-18","2026-05-02","Per=Y","Days=T","Dir=V")</f>
        <v>0</v>
      </c>
      <c r="K2">
        <f>BDH("ACU US Equity","BS_CASH_NEAR_CASH_ITEM","1993-06-18","2026-05-02","Per=Y","Days=T","Dir=V")</f>
        <v>0</v>
      </c>
      <c r="M2">
        <f>BDH("ACU US Equity","BS_CUR_ASSET_REPORT","1993-06-18","2026-05-02","Per=Y","Days=T","Dir=V")</f>
        <v>0</v>
      </c>
      <c r="O2">
        <f>BDH("ACU US Equity","BS_CUR_LIAB","1993-06-18","2026-05-02","Per=Y","Days=T","Dir=V")</f>
        <v>0</v>
      </c>
      <c r="Q2">
        <f>BDH("ACU US Equity","BS_SHAREHOLDER_EQY_ENDING_PERIOD","1993-06-18","2026-05-02","Per=Y","Days=T","Dir=V")</f>
        <v>0</v>
      </c>
      <c r="S2">
        <f>BDH("ACU US Equity","BS_ACCT_NOTE_RCV","1993-06-18","2026-05-02","Per=Y","Days=T","Dir=V")</f>
        <v>0</v>
      </c>
      <c r="U2">
        <f>BDH("ACU US Equity","BS_INVENTORIES","1993-06-18","2026-05-02","Per=Y","Days=T","Dir=V")</f>
        <v>0</v>
      </c>
      <c r="W2">
        <f>BDH("ACU US Equity","WORKING_CAPITAL","1993-06-18","2026-05-02","Per=Y","Days=T","Dir=V")</f>
        <v>0</v>
      </c>
      <c r="Y2">
        <f>BDH("ACU US Equity","SALES_REV_TURN","1993-06-18","2026-05-02","Per=Y","Days=T","Dir=V")</f>
        <v>0</v>
      </c>
      <c r="AA2">
        <f>BDH("ACU US Equity","EBIT","1993-06-18","2026-05-02","Per=Y","Days=T","Dir=V")</f>
        <v>0</v>
      </c>
      <c r="AC2">
        <f>BDH("ACU US Equity","EBITDA","1993-06-18","2026-05-02","Per=Y","Days=T","Dir=V")</f>
        <v>0</v>
      </c>
      <c r="AE2">
        <f>BDH("ACU US Equity","NET_INCOME","1993-06-18","2026-05-02","Per=Y","Days=T","Dir=V")</f>
        <v>0</v>
      </c>
      <c r="AG2">
        <f>BDH("ACU US Equity","IS_INT_EXPENSE","1993-06-18","2026-05-02","Per=Y","Days=T","Dir=V")</f>
        <v>0</v>
      </c>
      <c r="AI2">
        <f>BDH("ACU US Equity","IS_DEPR_EXP","1993-06-18","2026-05-02","Per=Y","Days=T","Dir=V")</f>
        <v>0</v>
      </c>
      <c r="AK2">
        <f>BDH("ACU US Equity","CF_CASH_FROM_OPER","1993-06-18","2026-05-02","Per=Y","Days=T","Dir=V")</f>
        <v>0</v>
      </c>
      <c r="AM2">
        <f>BDH("ACU US Equity","CAPITAL_EXPEND","1993-06-18","2026-05-02","Per=Y","Days=T","Dir=V")</f>
        <v>0</v>
      </c>
      <c r="AO2">
        <f>BDH("ACU US Equity","CF_FREE_CASH_FLOW","1993-06-18","2026-05-02","Per=Y","Days=T","Dir=V")</f>
        <v>0</v>
      </c>
      <c r="AQ2">
        <f>BDH("ACU US Equity","PX_LAST","1993-06-18","2026-05-02","Per=M","Days=T","Dir=V")</f>
        <v>0</v>
      </c>
      <c r="AS2">
        <f>BDH("ACU US Equity","CUR_MKT_CAP","1993-06-18","2026-05-02","Per=M","Days=T","Dir=V")</f>
        <v>0</v>
      </c>
      <c r="AU2">
        <f>BDH("ACU US Equity","EQY_SH_OUT","1993-06-18","2026-05-02","Per=M","Days=T","Dir=V")</f>
        <v>0</v>
      </c>
      <c r="AW2">
        <f>BDH("ACU US Equity","PX_VOLUME","1993-06-18","2026-05-02","Per=M","Days=T","Dir=V")</f>
        <v>0</v>
      </c>
      <c r="AY2">
        <f>BDH("ACU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BDH("ACVA US Equity","BS_TOT_ASSET","1993-06-18","2026-05-02","Per=Y","Days=T","Dir=V")</f>
        <v>0</v>
      </c>
      <c r="C2">
        <f>BDH("ACVA US Equity","BS_TOT_LIAB2","1993-06-18","2026-05-02","Per=Y","Days=T","Dir=V")</f>
        <v>0</v>
      </c>
      <c r="E2">
        <f>BDH("ACVA US Equity","SHORT_AND_LONG_TERM_DEBT","1993-06-18","2026-05-02","Per=Y","Days=T","Dir=V")</f>
        <v>0</v>
      </c>
      <c r="G2">
        <f>BDH("ACVA US Equity","BS_ST_BORROW","1993-06-18","2026-05-02","Per=Y","Days=T","Dir=V")</f>
        <v>0</v>
      </c>
      <c r="I2">
        <f>BDH("ACVA US Equity","BS_LT_BORROW","1993-06-18","2026-05-02","Per=Y","Days=T","Dir=V")</f>
        <v>0</v>
      </c>
      <c r="K2">
        <f>BDH("ACVA US Equity","BS_CASH_NEAR_CASH_ITEM","1993-06-18","2026-05-02","Per=Y","Days=T","Dir=V")</f>
        <v>0</v>
      </c>
      <c r="M2">
        <f>BDH("ACVA US Equity","BS_CUR_ASSET_REPORT","1993-06-18","2026-05-02","Per=Y","Days=T","Dir=V")</f>
        <v>0</v>
      </c>
      <c r="O2">
        <f>BDH("ACVA US Equity","BS_CUR_LIAB","1993-06-18","2026-05-02","Per=Y","Days=T","Dir=V")</f>
        <v>0</v>
      </c>
      <c r="Q2">
        <f>BDH("ACVA US Equity","BS_SHAREHOLDER_EQY_ENDING_PERIOD","1993-06-18","2026-05-02","Per=Y","Days=T","Dir=V")</f>
        <v>0</v>
      </c>
      <c r="S2">
        <f>BDH("ACVA US Equity","BS_ACCT_NOTE_RCV","1993-06-18","2026-05-02","Per=Y","Days=T","Dir=V")</f>
        <v>0</v>
      </c>
      <c r="U2">
        <f>BDH("ACVA US Equity","BS_INVENTORIES","1993-06-18","2026-05-02","Per=Y","Days=T","Dir=V")</f>
        <v>0</v>
      </c>
      <c r="W2">
        <f>BDH("ACVA US Equity","WORKING_CAPITAL","1993-06-18","2026-05-02","Per=Y","Days=T","Dir=V")</f>
        <v>0</v>
      </c>
      <c r="Y2">
        <f>BDH("ACVA US Equity","SALES_REV_TURN","1993-06-18","2026-05-02","Per=Y","Days=T","Dir=V")</f>
        <v>0</v>
      </c>
      <c r="AA2">
        <f>BDH("ACVA US Equity","EBIT","1993-06-18","2026-05-02","Per=Y","Days=T","Dir=V")</f>
        <v>0</v>
      </c>
      <c r="AC2">
        <f>BDH("ACVA US Equity","EBITDA","1993-06-18","2026-05-02","Per=Y","Days=T","Dir=V")</f>
        <v>0</v>
      </c>
      <c r="AE2">
        <f>BDH("ACVA US Equity","NET_INCOME","1993-06-18","2026-05-02","Per=Y","Days=T","Dir=V")</f>
        <v>0</v>
      </c>
      <c r="AG2">
        <f>BDH("ACVA US Equity","IS_INT_EXPENSE","1993-06-18","2026-05-02","Per=Y","Days=T","Dir=V")</f>
        <v>0</v>
      </c>
      <c r="AI2">
        <f>BDH("ACVA US Equity","IS_DEPR_EXP","1993-06-18","2026-05-02","Per=Y","Days=T","Dir=V")</f>
        <v>0</v>
      </c>
      <c r="AK2">
        <f>BDH("ACVA US Equity","CF_CASH_FROM_OPER","1993-06-18","2026-05-02","Per=Y","Days=T","Dir=V")</f>
        <v>0</v>
      </c>
      <c r="AM2">
        <f>BDH("ACVA US Equity","CAPITAL_EXPEND","1993-06-18","2026-05-02","Per=Y","Days=T","Dir=V")</f>
        <v>0</v>
      </c>
      <c r="AO2">
        <f>BDH("ACVA US Equity","CF_FREE_CASH_FLOW","1993-06-18","2026-05-02","Per=Y","Days=T","Dir=V")</f>
        <v>0</v>
      </c>
      <c r="AQ2">
        <f>BDH("ACVA US Equity","PX_LAST","1993-06-18","2026-05-02","Per=M","Days=T","Dir=V")</f>
        <v>0</v>
      </c>
      <c r="AS2">
        <f>BDH("ACVA US Equity","CUR_MKT_CAP","1993-06-18","2026-05-02","Per=M","Days=T","Dir=V")</f>
        <v>0</v>
      </c>
      <c r="AU2">
        <f>BDH("ACVA US Equity","EQY_SH_OUT","1993-06-18","2026-05-02","Per=M","Days=T","Dir=V")</f>
        <v>0</v>
      </c>
      <c r="AW2">
        <f>BDH("ACVA US Equity","PX_VOLUME","1993-06-18","2026-05-02","Per=M","Days=T","Dir=V")</f>
        <v>0</v>
      </c>
      <c r="AY2">
        <f>BDH("ACVA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BDH("ACXP US Equity","BS_TOT_ASSET","1993-06-18","2026-05-02","Per=Y","Days=T","Dir=V")</f>
        <v>0</v>
      </c>
      <c r="C2">
        <f>BDH("ACXP US Equity","BS_TOT_LIAB2","1993-06-18","2026-05-02","Per=Y","Days=T","Dir=V")</f>
        <v>0</v>
      </c>
      <c r="E2">
        <f>BDH("ACXP US Equity","SHORT_AND_LONG_TERM_DEBT","1993-06-18","2026-05-02","Per=Y","Days=T","Dir=V")</f>
        <v>0</v>
      </c>
      <c r="G2">
        <f>BDH("ACXP US Equity","BS_ST_BORROW","1993-06-18","2026-05-02","Per=Y","Days=T","Dir=V")</f>
        <v>0</v>
      </c>
      <c r="I2">
        <f>BDH("ACXP US Equity","BS_LT_BORROW","1993-06-18","2026-05-02","Per=Y","Days=T","Dir=V")</f>
        <v>0</v>
      </c>
      <c r="K2">
        <f>BDH("ACXP US Equity","BS_CASH_NEAR_CASH_ITEM","1993-06-18","2026-05-02","Per=Y","Days=T","Dir=V")</f>
        <v>0</v>
      </c>
      <c r="M2">
        <f>BDH("ACXP US Equity","BS_CUR_ASSET_REPORT","1993-06-18","2026-05-02","Per=Y","Days=T","Dir=V")</f>
        <v>0</v>
      </c>
      <c r="O2">
        <f>BDH("ACXP US Equity","BS_CUR_LIAB","1993-06-18","2026-05-02","Per=Y","Days=T","Dir=V")</f>
        <v>0</v>
      </c>
      <c r="Q2">
        <f>BDH("ACXP US Equity","BS_SHAREHOLDER_EQY_ENDING_PERIOD","1993-06-18","2026-05-02","Per=Y","Days=T","Dir=V")</f>
        <v>0</v>
      </c>
      <c r="S2">
        <f>BDH("ACXP US Equity","BS_ACCT_NOTE_RCV","1993-06-18","2026-05-02","Per=Y","Days=T","Dir=V")</f>
        <v>0</v>
      </c>
      <c r="U2">
        <f>BDH("ACXP US Equity","BS_INVENTORIES","1993-06-18","2026-05-02","Per=Y","Days=T","Dir=V")</f>
        <v>0</v>
      </c>
      <c r="W2">
        <f>BDH("ACXP US Equity","WORKING_CAPITAL","1993-06-18","2026-05-02","Per=Y","Days=T","Dir=V")</f>
        <v>0</v>
      </c>
      <c r="Y2">
        <f>BDH("ACXP US Equity","SALES_REV_TURN","1993-06-18","2026-05-02","Per=Y","Days=T","Dir=V")</f>
        <v>0</v>
      </c>
      <c r="AA2">
        <f>BDH("ACXP US Equity","EBIT","1993-06-18","2026-05-02","Per=Y","Days=T","Dir=V")</f>
        <v>0</v>
      </c>
      <c r="AC2">
        <f>BDH("ACXP US Equity","EBITDA","1993-06-18","2026-05-02","Per=Y","Days=T","Dir=V")</f>
        <v>0</v>
      </c>
      <c r="AE2">
        <f>BDH("ACXP US Equity","NET_INCOME","1993-06-18","2026-05-02","Per=Y","Days=T","Dir=V")</f>
        <v>0</v>
      </c>
      <c r="AG2">
        <f>BDH("ACXP US Equity","IS_INT_EXPENSE","1993-06-18","2026-05-02","Per=Y","Days=T","Dir=V")</f>
        <v>0</v>
      </c>
      <c r="AI2">
        <f>BDH("ACXP US Equity","IS_DEPR_EXP","1993-06-18","2026-05-02","Per=Y","Days=T","Dir=V")</f>
        <v>0</v>
      </c>
      <c r="AK2">
        <f>BDH("ACXP US Equity","CF_CASH_FROM_OPER","1993-06-18","2026-05-02","Per=Y","Days=T","Dir=V")</f>
        <v>0</v>
      </c>
      <c r="AM2">
        <f>BDH("ACXP US Equity","CAPITAL_EXPEND","1993-06-18","2026-05-02","Per=Y","Days=T","Dir=V")</f>
        <v>0</v>
      </c>
      <c r="AO2">
        <f>BDH("ACXP US Equity","CF_FREE_CASH_FLOW","1993-06-18","2026-05-02","Per=Y","Days=T","Dir=V")</f>
        <v>0</v>
      </c>
      <c r="AQ2">
        <f>BDH("ACXP US Equity","PX_LAST","1993-06-18","2026-05-02","Per=M","Days=T","Dir=V")</f>
        <v>0</v>
      </c>
      <c r="AS2">
        <f>BDH("ACXP US Equity","CUR_MKT_CAP","1993-06-18","2026-05-02","Per=M","Days=T","Dir=V")</f>
        <v>0</v>
      </c>
      <c r="AU2">
        <f>BDH("ACXP US Equity","EQY_SH_OUT","1993-06-18","2026-05-02","Per=M","Days=T","Dir=V")</f>
        <v>0</v>
      </c>
      <c r="AW2">
        <f>BDH("ACXP US Equity","PX_VOLUME","1993-06-18","2026-05-02","Per=M","Days=T","Dir=V")</f>
        <v>0</v>
      </c>
      <c r="AY2">
        <f>BDH("ACXP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 US Equity","BS_TOT_ASSET","1993-06-18","2026-05-02","Per=Y","Days=T","Dir=V")</f>
        <v>0</v>
      </c>
      <c r="C2">
        <f>BDH("AD US Equity","BS_TOT_LIAB2","1993-06-18","2026-05-02","Per=Y","Days=T","Dir=V")</f>
        <v>0</v>
      </c>
      <c r="E2">
        <f>BDH("AD US Equity","SHORT_AND_LONG_TERM_DEBT","1993-06-18","2026-05-02","Per=Y","Days=T","Dir=V")</f>
        <v>0</v>
      </c>
      <c r="G2">
        <f>BDH("AD US Equity","BS_ST_BORROW","1993-06-18","2026-05-02","Per=Y","Days=T","Dir=V")</f>
        <v>0</v>
      </c>
      <c r="I2">
        <f>BDH("AD US Equity","BS_LT_BORROW","1993-06-18","2026-05-02","Per=Y","Days=T","Dir=V")</f>
        <v>0</v>
      </c>
      <c r="K2">
        <f>BDH("AD US Equity","BS_CASH_NEAR_CASH_ITEM","1993-06-18","2026-05-02","Per=Y","Days=T","Dir=V")</f>
        <v>0</v>
      </c>
      <c r="M2">
        <f>BDH("AD US Equity","BS_CUR_ASSET_REPORT","1993-06-18","2026-05-02","Per=Y","Days=T","Dir=V")</f>
        <v>0</v>
      </c>
      <c r="O2">
        <f>BDH("AD US Equity","BS_CUR_LIAB","1993-06-18","2026-05-02","Per=Y","Days=T","Dir=V")</f>
        <v>0</v>
      </c>
      <c r="Q2">
        <f>BDH("AD US Equity","BS_SHAREHOLDER_EQY_ENDING_PERIOD","1993-06-18","2026-05-02","Per=Y","Days=T","Dir=V")</f>
        <v>0</v>
      </c>
      <c r="S2">
        <f>BDH("AD US Equity","BS_ACCT_NOTE_RCV","1993-06-18","2026-05-02","Per=Y","Days=T","Dir=V")</f>
        <v>0</v>
      </c>
      <c r="U2">
        <f>BDH("AD US Equity","BS_INVENTORIES","1993-06-18","2026-05-02","Per=Y","Days=T","Dir=V")</f>
        <v>0</v>
      </c>
      <c r="W2">
        <f>BDH("AD US Equity","WORKING_CAPITAL","1993-06-18","2026-05-02","Per=Y","Days=T","Dir=V")</f>
        <v>0</v>
      </c>
      <c r="Y2">
        <f>BDH("AD US Equity","SALES_REV_TURN","1993-06-18","2026-05-02","Per=Y","Days=T","Dir=V")</f>
        <v>0</v>
      </c>
      <c r="AA2">
        <f>BDH("AD US Equity","EBIT","1993-06-18","2026-05-02","Per=Y","Days=T","Dir=V")</f>
        <v>0</v>
      </c>
      <c r="AC2">
        <f>BDH("AD US Equity","EBITDA","1993-06-18","2026-05-02","Per=Y","Days=T","Dir=V")</f>
        <v>0</v>
      </c>
      <c r="AE2">
        <f>BDH("AD US Equity","NET_INCOME","1993-06-18","2026-05-02","Per=Y","Days=T","Dir=V")</f>
        <v>0</v>
      </c>
      <c r="AG2">
        <f>BDH("AD US Equity","IS_INT_EXPENSE","1993-06-18","2026-05-02","Per=Y","Days=T","Dir=V")</f>
        <v>0</v>
      </c>
      <c r="AI2">
        <f>BDH("AD US Equity","IS_DEPR_EXP","1993-06-18","2026-05-02","Per=Y","Days=T","Dir=V")</f>
        <v>0</v>
      </c>
      <c r="AK2">
        <f>BDH("AD US Equity","CF_CASH_FROM_OPER","1993-06-18","2026-05-02","Per=Y","Days=T","Dir=V")</f>
        <v>0</v>
      </c>
      <c r="AM2">
        <f>BDH("AD US Equity","CAPITAL_EXPEND","1993-06-18","2026-05-02","Per=Y","Days=T","Dir=V")</f>
        <v>0</v>
      </c>
      <c r="AO2">
        <f>BDH("AD US Equity","CF_FREE_CASH_FLOW","1993-06-18","2026-05-02","Per=Y","Days=T","Dir=V")</f>
        <v>0</v>
      </c>
      <c r="AQ2">
        <f>BDH("AD US Equity","PX_LAST","1993-06-18","2026-05-02","Per=M","Days=T","Dir=V")</f>
        <v>0</v>
      </c>
      <c r="AS2">
        <f>BDH("AD US Equity","CUR_MKT_CAP","1993-06-18","2026-05-02","Per=M","Days=T","Dir=V")</f>
        <v>0</v>
      </c>
      <c r="AU2">
        <f>BDH("AD US Equity","EQY_SH_OUT","1993-06-18","2026-05-02","Per=M","Days=T","Dir=V")</f>
        <v>0</v>
      </c>
      <c r="AW2">
        <f>BDH("AD US Equity","PX_VOLUME","1993-06-18","2026-05-02","Per=M","Days=T","Dir=V")</f>
        <v>0</v>
      </c>
      <c r="AY2">
        <f>BDH("AD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BDH("ADBE US Equity","BS_TOT_ASSET","1993-06-18","2026-05-02","Per=Y","Days=T","Dir=V")</f>
        <v>0</v>
      </c>
      <c r="C2">
        <f>BDH("ADBE US Equity","BS_TOT_LIAB2","1993-06-18","2026-05-02","Per=Y","Days=T","Dir=V")</f>
        <v>0</v>
      </c>
      <c r="E2">
        <f>BDH("ADBE US Equity","SHORT_AND_LONG_TERM_DEBT","1993-06-18","2026-05-02","Per=Y","Days=T","Dir=V")</f>
        <v>0</v>
      </c>
      <c r="G2">
        <f>BDH("ADBE US Equity","BS_ST_BORROW","1993-06-18","2026-05-02","Per=Y","Days=T","Dir=V")</f>
        <v>0</v>
      </c>
      <c r="I2">
        <f>BDH("ADBE US Equity","BS_LT_BORROW","1993-06-18","2026-05-02","Per=Y","Days=T","Dir=V")</f>
        <v>0</v>
      </c>
      <c r="K2">
        <f>BDH("ADBE US Equity","BS_CASH_NEAR_CASH_ITEM","1993-06-18","2026-05-02","Per=Y","Days=T","Dir=V")</f>
        <v>0</v>
      </c>
      <c r="M2">
        <f>BDH("ADBE US Equity","BS_CUR_ASSET_REPORT","1993-06-18","2026-05-02","Per=Y","Days=T","Dir=V")</f>
        <v>0</v>
      </c>
      <c r="O2">
        <f>BDH("ADBE US Equity","BS_CUR_LIAB","1993-06-18","2026-05-02","Per=Y","Days=T","Dir=V")</f>
        <v>0</v>
      </c>
      <c r="Q2">
        <f>BDH("ADBE US Equity","BS_SHAREHOLDER_EQY_ENDING_PERIOD","1993-06-18","2026-05-02","Per=Y","Days=T","Dir=V")</f>
        <v>0</v>
      </c>
      <c r="S2">
        <f>BDH("ADBE US Equity","BS_ACCT_NOTE_RCV","1993-06-18","2026-05-02","Per=Y","Days=T","Dir=V")</f>
        <v>0</v>
      </c>
      <c r="U2">
        <f>BDH("ADBE US Equity","BS_INVENTORIES","1993-06-18","2026-05-02","Per=Y","Days=T","Dir=V")</f>
        <v>0</v>
      </c>
      <c r="W2">
        <f>BDH("ADBE US Equity","WORKING_CAPITAL","1993-06-18","2026-05-02","Per=Y","Days=T","Dir=V")</f>
        <v>0</v>
      </c>
      <c r="Y2">
        <f>BDH("ADBE US Equity","SALES_REV_TURN","1993-06-18","2026-05-02","Per=Y","Days=T","Dir=V")</f>
        <v>0</v>
      </c>
      <c r="AA2">
        <f>BDH("ADBE US Equity","EBIT","1993-06-18","2026-05-02","Per=Y","Days=T","Dir=V")</f>
        <v>0</v>
      </c>
      <c r="AC2">
        <f>BDH("ADBE US Equity","EBITDA","1993-06-18","2026-05-02","Per=Y","Days=T","Dir=V")</f>
        <v>0</v>
      </c>
      <c r="AE2">
        <f>BDH("ADBE US Equity","NET_INCOME","1993-06-18","2026-05-02","Per=Y","Days=T","Dir=V")</f>
        <v>0</v>
      </c>
      <c r="AG2">
        <f>BDH("ADBE US Equity","IS_INT_EXPENSE","1993-06-18","2026-05-02","Per=Y","Days=T","Dir=V")</f>
        <v>0</v>
      </c>
      <c r="AI2">
        <f>BDH("ADBE US Equity","IS_DEPR_EXP","1993-06-18","2026-05-02","Per=Y","Days=T","Dir=V")</f>
        <v>0</v>
      </c>
      <c r="AK2">
        <f>BDH("ADBE US Equity","CF_CASH_FROM_OPER","1993-06-18","2026-05-02","Per=Y","Days=T","Dir=V")</f>
        <v>0</v>
      </c>
      <c r="AM2">
        <f>BDH("ADBE US Equity","CAPITAL_EXPEND","1993-06-18","2026-05-02","Per=Y","Days=T","Dir=V")</f>
        <v>0</v>
      </c>
      <c r="AO2">
        <f>BDH("ADBE US Equity","CF_FREE_CASH_FLOW","1993-06-18","2026-05-02","Per=Y","Days=T","Dir=V")</f>
        <v>0</v>
      </c>
      <c r="AQ2">
        <f>BDH("ADBE US Equity","PX_LAST","1993-06-18","2026-05-02","Per=M","Days=T","Dir=V")</f>
        <v>0</v>
      </c>
      <c r="AS2">
        <f>BDH("ADBE US Equity","CUR_MKT_CAP","1993-06-18","2026-05-02","Per=M","Days=T","Dir=V")</f>
        <v>0</v>
      </c>
      <c r="AU2">
        <f>BDH("ADBE US Equity","EQY_SH_OUT","1993-06-18","2026-05-02","Per=M","Days=T","Dir=V")</f>
        <v>0</v>
      </c>
      <c r="AW2">
        <f>BDH("ADBE US Equity","PX_VOLUME","1993-06-18","2026-05-02","Per=M","Days=T","Dir=V")</f>
        <v>0</v>
      </c>
      <c r="AY2">
        <f>BDH("ADBE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BDH("ADEA US Equity","BS_TOT_ASSET","1993-06-18","2026-05-02","Per=Y","Days=T","Dir=V")</f>
        <v>0</v>
      </c>
      <c r="C2">
        <f>BDH("ADEA US Equity","BS_TOT_LIAB2","1993-06-18","2026-05-02","Per=Y","Days=T","Dir=V")</f>
        <v>0</v>
      </c>
      <c r="E2">
        <f>BDH("ADEA US Equity","SHORT_AND_LONG_TERM_DEBT","1993-06-18","2026-05-02","Per=Y","Days=T","Dir=V")</f>
        <v>0</v>
      </c>
      <c r="G2">
        <f>BDH("ADEA US Equity","BS_ST_BORROW","1993-06-18","2026-05-02","Per=Y","Days=T","Dir=V")</f>
        <v>0</v>
      </c>
      <c r="I2">
        <f>BDH("ADEA US Equity","BS_LT_BORROW","1993-06-18","2026-05-02","Per=Y","Days=T","Dir=V")</f>
        <v>0</v>
      </c>
      <c r="K2">
        <f>BDH("ADEA US Equity","BS_CASH_NEAR_CASH_ITEM","1993-06-18","2026-05-02","Per=Y","Days=T","Dir=V")</f>
        <v>0</v>
      </c>
      <c r="M2">
        <f>BDH("ADEA US Equity","BS_CUR_ASSET_REPORT","1993-06-18","2026-05-02","Per=Y","Days=T","Dir=V")</f>
        <v>0</v>
      </c>
      <c r="O2">
        <f>BDH("ADEA US Equity","BS_CUR_LIAB","1993-06-18","2026-05-02","Per=Y","Days=T","Dir=V")</f>
        <v>0</v>
      </c>
      <c r="Q2">
        <f>BDH("ADEA US Equity","BS_SHAREHOLDER_EQY_ENDING_PERIOD","1993-06-18","2026-05-02","Per=Y","Days=T","Dir=V")</f>
        <v>0</v>
      </c>
      <c r="S2">
        <f>BDH("ADEA US Equity","BS_ACCT_NOTE_RCV","1993-06-18","2026-05-02","Per=Y","Days=T","Dir=V")</f>
        <v>0</v>
      </c>
      <c r="U2">
        <f>BDH("ADEA US Equity","BS_INVENTORIES","1993-06-18","2026-05-02","Per=Y","Days=T","Dir=V")</f>
        <v>0</v>
      </c>
      <c r="W2">
        <f>BDH("ADEA US Equity","WORKING_CAPITAL","1993-06-18","2026-05-02","Per=Y","Days=T","Dir=V")</f>
        <v>0</v>
      </c>
      <c r="Y2">
        <f>BDH("ADEA US Equity","SALES_REV_TURN","1993-06-18","2026-05-02","Per=Y","Days=T","Dir=V")</f>
        <v>0</v>
      </c>
      <c r="AA2">
        <f>BDH("ADEA US Equity","EBIT","1993-06-18","2026-05-02","Per=Y","Days=T","Dir=V")</f>
        <v>0</v>
      </c>
      <c r="AC2">
        <f>BDH("ADEA US Equity","EBITDA","1993-06-18","2026-05-02","Per=Y","Days=T","Dir=V")</f>
        <v>0</v>
      </c>
      <c r="AE2">
        <f>BDH("ADEA US Equity","NET_INCOME","1993-06-18","2026-05-02","Per=Y","Days=T","Dir=V")</f>
        <v>0</v>
      </c>
      <c r="AG2">
        <f>BDH("ADEA US Equity","IS_INT_EXPENSE","1993-06-18","2026-05-02","Per=Y","Days=T","Dir=V")</f>
        <v>0</v>
      </c>
      <c r="AI2">
        <f>BDH("ADEA US Equity","IS_DEPR_EXP","1993-06-18","2026-05-02","Per=Y","Days=T","Dir=V")</f>
        <v>0</v>
      </c>
      <c r="AK2">
        <f>BDH("ADEA US Equity","CF_CASH_FROM_OPER","1993-06-18","2026-05-02","Per=Y","Days=T","Dir=V")</f>
        <v>0</v>
      </c>
      <c r="AM2">
        <f>BDH("ADEA US Equity","CAPITAL_EXPEND","1993-06-18","2026-05-02","Per=Y","Days=T","Dir=V")</f>
        <v>0</v>
      </c>
      <c r="AO2">
        <f>BDH("ADEA US Equity","CF_FREE_CASH_FLOW","1993-06-18","2026-05-02","Per=Y","Days=T","Dir=V")</f>
        <v>0</v>
      </c>
      <c r="AQ2">
        <f>BDH("ADEA US Equity","PX_LAST","1993-06-18","2026-05-02","Per=M","Days=T","Dir=V")</f>
        <v>0</v>
      </c>
      <c r="AS2">
        <f>BDH("ADEA US Equity","CUR_MKT_CAP","1993-06-18","2026-05-02","Per=M","Days=T","Dir=V")</f>
        <v>0</v>
      </c>
      <c r="AU2">
        <f>BDH("ADEA US Equity","EQY_SH_OUT","1993-06-18","2026-05-02","Per=M","Days=T","Dir=V")</f>
        <v>0</v>
      </c>
      <c r="AW2">
        <f>BDH("ADEA US Equity","PX_VOLUME","1993-06-18","2026-05-02","Per=M","Days=T","Dir=V")</f>
        <v>0</v>
      </c>
      <c r="AY2">
        <f>BDH("ADEA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BDH("ADGM US Equity","BS_TOT_ASSET","1993-06-18","2026-05-02","Per=Y","Days=T","Dir=V")</f>
        <v>0</v>
      </c>
      <c r="C2">
        <f>BDH("ADGM US Equity","BS_TOT_LIAB2","1993-06-18","2026-05-02","Per=Y","Days=T","Dir=V")</f>
        <v>0</v>
      </c>
      <c r="E2">
        <f>BDH("ADGM US Equity","SHORT_AND_LONG_TERM_DEBT","1993-06-18","2026-05-02","Per=Y","Days=T","Dir=V")</f>
        <v>0</v>
      </c>
      <c r="G2">
        <f>BDH("ADGM US Equity","BS_ST_BORROW","1993-06-18","2026-05-02","Per=Y","Days=T","Dir=V")</f>
        <v>0</v>
      </c>
      <c r="I2">
        <f>BDH("ADGM US Equity","BS_LT_BORROW","1993-06-18","2026-05-02","Per=Y","Days=T","Dir=V")</f>
        <v>0</v>
      </c>
      <c r="K2">
        <f>BDH("ADGM US Equity","BS_CASH_NEAR_CASH_ITEM","1993-06-18","2026-05-02","Per=Y","Days=T","Dir=V")</f>
        <v>0</v>
      </c>
      <c r="M2">
        <f>BDH("ADGM US Equity","BS_CUR_ASSET_REPORT","1993-06-18","2026-05-02","Per=Y","Days=T","Dir=V")</f>
        <v>0</v>
      </c>
      <c r="O2">
        <f>BDH("ADGM US Equity","BS_CUR_LIAB","1993-06-18","2026-05-02","Per=Y","Days=T","Dir=V")</f>
        <v>0</v>
      </c>
      <c r="Q2">
        <f>BDH("ADGM US Equity","BS_SHAREHOLDER_EQY_ENDING_PERIOD","1993-06-18","2026-05-02","Per=Y","Days=T","Dir=V")</f>
        <v>0</v>
      </c>
      <c r="S2">
        <f>BDH("ADGM US Equity","BS_ACCT_NOTE_RCV","1993-06-18","2026-05-02","Per=Y","Days=T","Dir=V")</f>
        <v>0</v>
      </c>
      <c r="U2">
        <f>BDH("ADGM US Equity","BS_INVENTORIES","1993-06-18","2026-05-02","Per=Y","Days=T","Dir=V")</f>
        <v>0</v>
      </c>
      <c r="W2">
        <f>BDH("ADGM US Equity","WORKING_CAPITAL","1993-06-18","2026-05-02","Per=Y","Days=T","Dir=V")</f>
        <v>0</v>
      </c>
      <c r="Y2">
        <f>BDH("ADGM US Equity","SALES_REV_TURN","1993-06-18","2026-05-02","Per=Y","Days=T","Dir=V")</f>
        <v>0</v>
      </c>
      <c r="AA2">
        <f>BDH("ADGM US Equity","EBIT","1993-06-18","2026-05-02","Per=Y","Days=T","Dir=V")</f>
        <v>0</v>
      </c>
      <c r="AC2">
        <f>BDH("ADGM US Equity","EBITDA","1993-06-18","2026-05-02","Per=Y","Days=T","Dir=V")</f>
        <v>0</v>
      </c>
      <c r="AE2">
        <f>BDH("ADGM US Equity","NET_INCOME","1993-06-18","2026-05-02","Per=Y","Days=T","Dir=V")</f>
        <v>0</v>
      </c>
      <c r="AG2">
        <f>BDH("ADGM US Equity","IS_INT_EXPENSE","1993-06-18","2026-05-02","Per=Y","Days=T","Dir=V")</f>
        <v>0</v>
      </c>
      <c r="AI2">
        <f>BDH("ADGM US Equity","IS_DEPR_EXP","1993-06-18","2026-05-02","Per=Y","Days=T","Dir=V")</f>
        <v>0</v>
      </c>
      <c r="AK2">
        <f>BDH("ADGM US Equity","CF_CASH_FROM_OPER","1993-06-18","2026-05-02","Per=Y","Days=T","Dir=V")</f>
        <v>0</v>
      </c>
      <c r="AM2">
        <f>BDH("ADGM US Equity","CAPITAL_EXPEND","1993-06-18","2026-05-02","Per=Y","Days=T","Dir=V")</f>
        <v>0</v>
      </c>
      <c r="AO2">
        <f>BDH("ADGM US Equity","CF_FREE_CASH_FLOW","1993-06-18","2026-05-02","Per=Y","Days=T","Dir=V")</f>
        <v>0</v>
      </c>
      <c r="AQ2">
        <f>BDH("ADGM US Equity","PX_LAST","1993-06-18","2026-05-02","Per=M","Days=T","Dir=V")</f>
        <v>0</v>
      </c>
      <c r="AS2">
        <f>BDH("ADGM US Equity","CUR_MKT_CAP","1993-06-18","2026-05-02","Per=M","Days=T","Dir=V")</f>
        <v>0</v>
      </c>
      <c r="AU2">
        <f>BDH("ADGM US Equity","EQY_SH_OUT","1993-06-18","2026-05-02","Per=M","Days=T","Dir=V")</f>
        <v>0</v>
      </c>
      <c r="AW2">
        <f>BDH("ADGM US Equity","PX_VOLUME","1993-06-18","2026-05-02","Per=M","Days=T","Dir=V")</f>
        <v>0</v>
      </c>
      <c r="AY2">
        <f>BDH("ADGM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BDH("ADI US Equity","BS_TOT_ASSET","1993-06-18","2026-05-02","Per=Y","Days=T","Dir=V")</f>
        <v>0</v>
      </c>
      <c r="C2">
        <f>BDH("ADI US Equity","BS_TOT_LIAB2","1993-06-18","2026-05-02","Per=Y","Days=T","Dir=V")</f>
        <v>0</v>
      </c>
      <c r="E2">
        <f>BDH("ADI US Equity","SHORT_AND_LONG_TERM_DEBT","1993-06-18","2026-05-02","Per=Y","Days=T","Dir=V")</f>
        <v>0</v>
      </c>
      <c r="G2">
        <f>BDH("ADI US Equity","BS_ST_BORROW","1993-06-18","2026-05-02","Per=Y","Days=T","Dir=V")</f>
        <v>0</v>
      </c>
      <c r="I2">
        <f>BDH("ADI US Equity","BS_LT_BORROW","1993-06-18","2026-05-02","Per=Y","Days=T","Dir=V")</f>
        <v>0</v>
      </c>
      <c r="K2">
        <f>BDH("ADI US Equity","BS_CASH_NEAR_CASH_ITEM","1993-06-18","2026-05-02","Per=Y","Days=T","Dir=V")</f>
        <v>0</v>
      </c>
      <c r="M2">
        <f>BDH("ADI US Equity","BS_CUR_ASSET_REPORT","1993-06-18","2026-05-02","Per=Y","Days=T","Dir=V")</f>
        <v>0</v>
      </c>
      <c r="O2">
        <f>BDH("ADI US Equity","BS_CUR_LIAB","1993-06-18","2026-05-02","Per=Y","Days=T","Dir=V")</f>
        <v>0</v>
      </c>
      <c r="Q2">
        <f>BDH("ADI US Equity","BS_SHAREHOLDER_EQY_ENDING_PERIOD","1993-06-18","2026-05-02","Per=Y","Days=T","Dir=V")</f>
        <v>0</v>
      </c>
      <c r="S2">
        <f>BDH("ADI US Equity","BS_ACCT_NOTE_RCV","1993-06-18","2026-05-02","Per=Y","Days=T","Dir=V")</f>
        <v>0</v>
      </c>
      <c r="U2">
        <f>BDH("ADI US Equity","BS_INVENTORIES","1993-06-18","2026-05-02","Per=Y","Days=T","Dir=V")</f>
        <v>0</v>
      </c>
      <c r="W2">
        <f>BDH("ADI US Equity","WORKING_CAPITAL","1993-06-18","2026-05-02","Per=Y","Days=T","Dir=V")</f>
        <v>0</v>
      </c>
      <c r="Y2">
        <f>BDH("ADI US Equity","SALES_REV_TURN","1993-06-18","2026-05-02","Per=Y","Days=T","Dir=V")</f>
        <v>0</v>
      </c>
      <c r="AA2">
        <f>BDH("ADI US Equity","EBIT","1993-06-18","2026-05-02","Per=Y","Days=T","Dir=V")</f>
        <v>0</v>
      </c>
      <c r="AC2">
        <f>BDH("ADI US Equity","EBITDA","1993-06-18","2026-05-02","Per=Y","Days=T","Dir=V")</f>
        <v>0</v>
      </c>
      <c r="AE2">
        <f>BDH("ADI US Equity","NET_INCOME","1993-06-18","2026-05-02","Per=Y","Days=T","Dir=V")</f>
        <v>0</v>
      </c>
      <c r="AG2">
        <f>BDH("ADI US Equity","IS_INT_EXPENSE","1993-06-18","2026-05-02","Per=Y","Days=T","Dir=V")</f>
        <v>0</v>
      </c>
      <c r="AI2">
        <f>BDH("ADI US Equity","IS_DEPR_EXP","1993-06-18","2026-05-02","Per=Y","Days=T","Dir=V")</f>
        <v>0</v>
      </c>
      <c r="AK2">
        <f>BDH("ADI US Equity","CF_CASH_FROM_OPER","1993-06-18","2026-05-02","Per=Y","Days=T","Dir=V")</f>
        <v>0</v>
      </c>
      <c r="AM2">
        <f>BDH("ADI US Equity","CAPITAL_EXPEND","1993-06-18","2026-05-02","Per=Y","Days=T","Dir=V")</f>
        <v>0</v>
      </c>
      <c r="AO2">
        <f>BDH("ADI US Equity","CF_FREE_CASH_FLOW","1993-06-18","2026-05-02","Per=Y","Days=T","Dir=V")</f>
        <v>0</v>
      </c>
      <c r="AQ2">
        <f>BDH("ADI US Equity","PX_LAST","1993-06-18","2026-05-02","Per=M","Days=T","Dir=V")</f>
        <v>0</v>
      </c>
      <c r="AS2">
        <f>BDH("ADI US Equity","CUR_MKT_CAP","1993-06-18","2026-05-02","Per=M","Days=T","Dir=V")</f>
        <v>0</v>
      </c>
      <c r="AU2">
        <f>BDH("ADI US Equity","EQY_SH_OUT","1993-06-18","2026-05-02","Per=M","Days=T","Dir=V")</f>
        <v>0</v>
      </c>
      <c r="AW2">
        <f>BDH("ADI US Equity","PX_VOLUME","1993-06-18","2026-05-02","Per=M","Days=T","Dir=V")</f>
        <v>0</v>
      </c>
      <c r="AY2">
        <f>BDH("ADI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BDH("ADIG US Equity","BS_TOT_ASSET","1993-06-18","2026-05-02","Per=Y","Days=T","Dir=V")</f>
        <v>0</v>
      </c>
      <c r="C2">
        <f>BDH("ADIG US Equity","BS_TOT_LIAB2","1993-06-18","2026-05-02","Per=Y","Days=T","Dir=V")</f>
        <v>0</v>
      </c>
      <c r="E2">
        <f>BDH("ADIG US Equity","SHORT_AND_LONG_TERM_DEBT","1993-06-18","2026-05-02","Per=Y","Days=T","Dir=V")</f>
        <v>0</v>
      </c>
      <c r="G2">
        <f>BDH("ADIG US Equity","BS_ST_BORROW","1993-06-18","2026-05-02","Per=Y","Days=T","Dir=V")</f>
        <v>0</v>
      </c>
      <c r="I2">
        <f>BDH("ADIG US Equity","BS_LT_BORROW","1993-06-18","2026-05-02","Per=Y","Days=T","Dir=V")</f>
        <v>0</v>
      </c>
      <c r="K2">
        <f>BDH("ADIG US Equity","BS_CASH_NEAR_CASH_ITEM","1993-06-18","2026-05-02","Per=Y","Days=T","Dir=V")</f>
        <v>0</v>
      </c>
      <c r="M2">
        <f>BDH("ADIG US Equity","BS_CUR_ASSET_REPORT","1993-06-18","2026-05-02","Per=Y","Days=T","Dir=V")</f>
        <v>0</v>
      </c>
      <c r="O2">
        <f>BDH("ADIG US Equity","BS_CUR_LIAB","1993-06-18","2026-05-02","Per=Y","Days=T","Dir=V")</f>
        <v>0</v>
      </c>
      <c r="Q2">
        <f>BDH("ADIG US Equity","BS_SHAREHOLDER_EQY_ENDING_PERIOD","1993-06-18","2026-05-02","Per=Y","Days=T","Dir=V")</f>
        <v>0</v>
      </c>
      <c r="S2">
        <f>BDH("ADIG US Equity","BS_ACCT_NOTE_RCV","1993-06-18","2026-05-02","Per=Y","Days=T","Dir=V")</f>
        <v>0</v>
      </c>
      <c r="U2">
        <f>BDH("ADIG US Equity","BS_INVENTORIES","1993-06-18","2026-05-02","Per=Y","Days=T","Dir=V")</f>
        <v>0</v>
      </c>
      <c r="W2">
        <f>BDH("ADIG US Equity","WORKING_CAPITAL","1993-06-18","2026-05-02","Per=Y","Days=T","Dir=V")</f>
        <v>0</v>
      </c>
      <c r="Y2">
        <f>BDH("ADIG US Equity","SALES_REV_TURN","1993-06-18","2026-05-02","Per=Y","Days=T","Dir=V")</f>
        <v>0</v>
      </c>
      <c r="AA2">
        <f>BDH("ADIG US Equity","EBIT","1993-06-18","2026-05-02","Per=Y","Days=T","Dir=V")</f>
        <v>0</v>
      </c>
      <c r="AC2">
        <f>BDH("ADIG US Equity","EBITDA","1993-06-18","2026-05-02","Per=Y","Days=T","Dir=V")</f>
        <v>0</v>
      </c>
      <c r="AE2">
        <f>BDH("ADIG US Equity","NET_INCOME","1993-06-18","2026-05-02","Per=Y","Days=T","Dir=V")</f>
        <v>0</v>
      </c>
      <c r="AG2">
        <f>BDH("ADIG US Equity","IS_INT_EXPENSE","1993-06-18","2026-05-02","Per=Y","Days=T","Dir=V")</f>
        <v>0</v>
      </c>
      <c r="AI2">
        <f>BDH("ADIG US Equity","IS_DEPR_EXP","1993-06-18","2026-05-02","Per=Y","Days=T","Dir=V")</f>
        <v>0</v>
      </c>
      <c r="AK2">
        <f>BDH("ADIG US Equity","CF_CASH_FROM_OPER","1993-06-18","2026-05-02","Per=Y","Days=T","Dir=V")</f>
        <v>0</v>
      </c>
      <c r="AM2">
        <f>BDH("ADIG US Equity","CAPITAL_EXPEND","1993-06-18","2026-05-02","Per=Y","Days=T","Dir=V")</f>
        <v>0</v>
      </c>
      <c r="AO2">
        <f>BDH("ADIG US Equity","CF_FREE_CASH_FLOW","1993-06-18","2026-05-02","Per=Y","Days=T","Dir=V")</f>
        <v>0</v>
      </c>
      <c r="AQ2">
        <f>BDH("ADIG US Equity","PX_LAST","1993-06-18","2026-05-02","Per=M","Days=T","Dir=V")</f>
        <v>0</v>
      </c>
      <c r="AS2">
        <f>BDH("ADIG US Equity","CUR_MKT_CAP","1993-06-18","2026-05-02","Per=M","Days=T","Dir=V")</f>
        <v>0</v>
      </c>
      <c r="AU2">
        <f>BDH("ADIG US Equity","EQY_SH_OUT","1993-06-18","2026-05-02","Per=M","Days=T","Dir=V")</f>
        <v>0</v>
      </c>
      <c r="AW2">
        <f>BDH("ADIG US Equity","PX_VOLUME","1993-06-18","2026-05-02","Per=M","Days=T","Dir=V")</f>
        <v>0</v>
      </c>
      <c r="AY2">
        <f>BDH("ADIG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BDH("ADIL US Equity","BS_TOT_ASSET","1993-06-18","2026-05-02","Per=Y","Days=T","Dir=V")</f>
        <v>0</v>
      </c>
      <c r="C2">
        <f>BDH("ADIL US Equity","BS_TOT_LIAB2","1993-06-18","2026-05-02","Per=Y","Days=T","Dir=V")</f>
        <v>0</v>
      </c>
      <c r="E2">
        <f>BDH("ADIL US Equity","SHORT_AND_LONG_TERM_DEBT","1993-06-18","2026-05-02","Per=Y","Days=T","Dir=V")</f>
        <v>0</v>
      </c>
      <c r="G2">
        <f>BDH("ADIL US Equity","BS_ST_BORROW","1993-06-18","2026-05-02","Per=Y","Days=T","Dir=V")</f>
        <v>0</v>
      </c>
      <c r="I2">
        <f>BDH("ADIL US Equity","BS_LT_BORROW","1993-06-18","2026-05-02","Per=Y","Days=T","Dir=V")</f>
        <v>0</v>
      </c>
      <c r="K2">
        <f>BDH("ADIL US Equity","BS_CASH_NEAR_CASH_ITEM","1993-06-18","2026-05-02","Per=Y","Days=T","Dir=V")</f>
        <v>0</v>
      </c>
      <c r="M2">
        <f>BDH("ADIL US Equity","BS_CUR_ASSET_REPORT","1993-06-18","2026-05-02","Per=Y","Days=T","Dir=V")</f>
        <v>0</v>
      </c>
      <c r="O2">
        <f>BDH("ADIL US Equity","BS_CUR_LIAB","1993-06-18","2026-05-02","Per=Y","Days=T","Dir=V")</f>
        <v>0</v>
      </c>
      <c r="Q2">
        <f>BDH("ADIL US Equity","BS_SHAREHOLDER_EQY_ENDING_PERIOD","1993-06-18","2026-05-02","Per=Y","Days=T","Dir=V")</f>
        <v>0</v>
      </c>
      <c r="S2">
        <f>BDH("ADIL US Equity","BS_ACCT_NOTE_RCV","1993-06-18","2026-05-02","Per=Y","Days=T","Dir=V")</f>
        <v>0</v>
      </c>
      <c r="U2">
        <f>BDH("ADIL US Equity","BS_INVENTORIES","1993-06-18","2026-05-02","Per=Y","Days=T","Dir=V")</f>
        <v>0</v>
      </c>
      <c r="W2">
        <f>BDH("ADIL US Equity","WORKING_CAPITAL","1993-06-18","2026-05-02","Per=Y","Days=T","Dir=V")</f>
        <v>0</v>
      </c>
      <c r="Y2">
        <f>BDH("ADIL US Equity","SALES_REV_TURN","1993-06-18","2026-05-02","Per=Y","Days=T","Dir=V")</f>
        <v>0</v>
      </c>
      <c r="AA2">
        <f>BDH("ADIL US Equity","EBIT","1993-06-18","2026-05-02","Per=Y","Days=T","Dir=V")</f>
        <v>0</v>
      </c>
      <c r="AC2">
        <f>BDH("ADIL US Equity","EBITDA","1993-06-18","2026-05-02","Per=Y","Days=T","Dir=V")</f>
        <v>0</v>
      </c>
      <c r="AE2">
        <f>BDH("ADIL US Equity","NET_INCOME","1993-06-18","2026-05-02","Per=Y","Days=T","Dir=V")</f>
        <v>0</v>
      </c>
      <c r="AG2">
        <f>BDH("ADIL US Equity","IS_INT_EXPENSE","1993-06-18","2026-05-02","Per=Y","Days=T","Dir=V")</f>
        <v>0</v>
      </c>
      <c r="AI2">
        <f>BDH("ADIL US Equity","IS_DEPR_EXP","1993-06-18","2026-05-02","Per=Y","Days=T","Dir=V")</f>
        <v>0</v>
      </c>
      <c r="AK2">
        <f>BDH("ADIL US Equity","CF_CASH_FROM_OPER","1993-06-18","2026-05-02","Per=Y","Days=T","Dir=V")</f>
        <v>0</v>
      </c>
      <c r="AM2">
        <f>BDH("ADIL US Equity","CAPITAL_EXPEND","1993-06-18","2026-05-02","Per=Y","Days=T","Dir=V")</f>
        <v>0</v>
      </c>
      <c r="AO2">
        <f>BDH("ADIL US Equity","CF_FREE_CASH_FLOW","1993-06-18","2026-05-02","Per=Y","Days=T","Dir=V")</f>
        <v>0</v>
      </c>
      <c r="AQ2">
        <f>BDH("ADIL US Equity","PX_LAST","1993-06-18","2026-05-02","Per=M","Days=T","Dir=V")</f>
        <v>0</v>
      </c>
      <c r="AS2">
        <f>BDH("ADIL US Equity","CUR_MKT_CAP","1993-06-18","2026-05-02","Per=M","Days=T","Dir=V")</f>
        <v>0</v>
      </c>
      <c r="AU2">
        <f>BDH("ADIL US Equity","EQY_SH_OUT","1993-06-18","2026-05-02","Per=M","Days=T","Dir=V")</f>
        <v>0</v>
      </c>
      <c r="AW2">
        <f>BDH("ADIL US Equity","PX_VOLUME","1993-06-18","2026-05-02","Per=M","Days=T","Dir=V")</f>
        <v>0</v>
      </c>
      <c r="AY2">
        <f>BDH("ADIL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BDH("ADM US Equity","BS_TOT_ASSET","1993-06-18","2026-05-02","Per=Y","Days=T","Dir=V")</f>
        <v>0</v>
      </c>
      <c r="C2">
        <f>BDH("ADM US Equity","BS_TOT_LIAB2","1993-06-18","2026-05-02","Per=Y","Days=T","Dir=V")</f>
        <v>0</v>
      </c>
      <c r="E2">
        <f>BDH("ADM US Equity","SHORT_AND_LONG_TERM_DEBT","1993-06-18","2026-05-02","Per=Y","Days=T","Dir=V")</f>
        <v>0</v>
      </c>
      <c r="G2">
        <f>BDH("ADM US Equity","BS_ST_BORROW","1993-06-18","2026-05-02","Per=Y","Days=T","Dir=V")</f>
        <v>0</v>
      </c>
      <c r="I2">
        <f>BDH("ADM US Equity","BS_LT_BORROW","1993-06-18","2026-05-02","Per=Y","Days=T","Dir=V")</f>
        <v>0</v>
      </c>
      <c r="K2">
        <f>BDH("ADM US Equity","BS_CASH_NEAR_CASH_ITEM","1993-06-18","2026-05-02","Per=Y","Days=T","Dir=V")</f>
        <v>0</v>
      </c>
      <c r="M2">
        <f>BDH("ADM US Equity","BS_CUR_ASSET_REPORT","1993-06-18","2026-05-02","Per=Y","Days=T","Dir=V")</f>
        <v>0</v>
      </c>
      <c r="O2">
        <f>BDH("ADM US Equity","BS_CUR_LIAB","1993-06-18","2026-05-02","Per=Y","Days=T","Dir=V")</f>
        <v>0</v>
      </c>
      <c r="Q2">
        <f>BDH("ADM US Equity","BS_SHAREHOLDER_EQY_ENDING_PERIOD","1993-06-18","2026-05-02","Per=Y","Days=T","Dir=V")</f>
        <v>0</v>
      </c>
      <c r="S2">
        <f>BDH("ADM US Equity","BS_ACCT_NOTE_RCV","1993-06-18","2026-05-02","Per=Y","Days=T","Dir=V")</f>
        <v>0</v>
      </c>
      <c r="U2">
        <f>BDH("ADM US Equity","BS_INVENTORIES","1993-06-18","2026-05-02","Per=Y","Days=T","Dir=V")</f>
        <v>0</v>
      </c>
      <c r="W2">
        <f>BDH("ADM US Equity","WORKING_CAPITAL","1993-06-18","2026-05-02","Per=Y","Days=T","Dir=V")</f>
        <v>0</v>
      </c>
      <c r="Y2">
        <f>BDH("ADM US Equity","SALES_REV_TURN","1993-06-18","2026-05-02","Per=Y","Days=T","Dir=V")</f>
        <v>0</v>
      </c>
      <c r="AA2">
        <f>BDH("ADM US Equity","EBIT","1993-06-18","2026-05-02","Per=Y","Days=T","Dir=V")</f>
        <v>0</v>
      </c>
      <c r="AC2">
        <f>BDH("ADM US Equity","EBITDA","1993-06-18","2026-05-02","Per=Y","Days=T","Dir=V")</f>
        <v>0</v>
      </c>
      <c r="AE2">
        <f>BDH("ADM US Equity","NET_INCOME","1993-06-18","2026-05-02","Per=Y","Days=T","Dir=V")</f>
        <v>0</v>
      </c>
      <c r="AG2">
        <f>BDH("ADM US Equity","IS_INT_EXPENSE","1993-06-18","2026-05-02","Per=Y","Days=T","Dir=V")</f>
        <v>0</v>
      </c>
      <c r="AI2">
        <f>BDH("ADM US Equity","IS_DEPR_EXP","1993-06-18","2026-05-02","Per=Y","Days=T","Dir=V")</f>
        <v>0</v>
      </c>
      <c r="AK2">
        <f>BDH("ADM US Equity","CF_CASH_FROM_OPER","1993-06-18","2026-05-02","Per=Y","Days=T","Dir=V")</f>
        <v>0</v>
      </c>
      <c r="AM2">
        <f>BDH("ADM US Equity","CAPITAL_EXPEND","1993-06-18","2026-05-02","Per=Y","Days=T","Dir=V")</f>
        <v>0</v>
      </c>
      <c r="AO2">
        <f>BDH("ADM US Equity","CF_FREE_CASH_FLOW","1993-06-18","2026-05-02","Per=Y","Days=T","Dir=V")</f>
        <v>0</v>
      </c>
      <c r="AQ2">
        <f>BDH("ADM US Equity","PX_LAST","1993-06-18","2026-05-02","Per=M","Days=T","Dir=V")</f>
        <v>0</v>
      </c>
      <c r="AS2">
        <f>BDH("ADM US Equity","CUR_MKT_CAP","1993-06-18","2026-05-02","Per=M","Days=T","Dir=V")</f>
        <v>0</v>
      </c>
      <c r="AU2">
        <f>BDH("ADM US Equity","EQY_SH_OUT","1993-06-18","2026-05-02","Per=M","Days=T","Dir=V")</f>
        <v>0</v>
      </c>
      <c r="AW2">
        <f>BDH("ADM US Equity","PX_VOLUME","1993-06-18","2026-05-02","Per=M","Days=T","Dir=V")</f>
        <v>0</v>
      </c>
      <c r="AY2">
        <f>BDH("ADM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BDH("ADMA US Equity","BS_TOT_ASSET","1993-06-18","2026-05-02","Per=Y","Days=T","Dir=V")</f>
        <v>0</v>
      </c>
      <c r="C2">
        <f>BDH("ADMA US Equity","BS_TOT_LIAB2","1993-06-18","2026-05-02","Per=Y","Days=T","Dir=V")</f>
        <v>0</v>
      </c>
      <c r="E2">
        <f>BDH("ADMA US Equity","SHORT_AND_LONG_TERM_DEBT","1993-06-18","2026-05-02","Per=Y","Days=T","Dir=V")</f>
        <v>0</v>
      </c>
      <c r="G2">
        <f>BDH("ADMA US Equity","BS_ST_BORROW","1993-06-18","2026-05-02","Per=Y","Days=T","Dir=V")</f>
        <v>0</v>
      </c>
      <c r="I2">
        <f>BDH("ADMA US Equity","BS_LT_BORROW","1993-06-18","2026-05-02","Per=Y","Days=T","Dir=V")</f>
        <v>0</v>
      </c>
      <c r="K2">
        <f>BDH("ADMA US Equity","BS_CASH_NEAR_CASH_ITEM","1993-06-18","2026-05-02","Per=Y","Days=T","Dir=V")</f>
        <v>0</v>
      </c>
      <c r="M2">
        <f>BDH("ADMA US Equity","BS_CUR_ASSET_REPORT","1993-06-18","2026-05-02","Per=Y","Days=T","Dir=V")</f>
        <v>0</v>
      </c>
      <c r="O2">
        <f>BDH("ADMA US Equity","BS_CUR_LIAB","1993-06-18","2026-05-02","Per=Y","Days=T","Dir=V")</f>
        <v>0</v>
      </c>
      <c r="Q2">
        <f>BDH("ADMA US Equity","BS_SHAREHOLDER_EQY_ENDING_PERIOD","1993-06-18","2026-05-02","Per=Y","Days=T","Dir=V")</f>
        <v>0</v>
      </c>
      <c r="S2">
        <f>BDH("ADMA US Equity","BS_ACCT_NOTE_RCV","1993-06-18","2026-05-02","Per=Y","Days=T","Dir=V")</f>
        <v>0</v>
      </c>
      <c r="U2">
        <f>BDH("ADMA US Equity","BS_INVENTORIES","1993-06-18","2026-05-02","Per=Y","Days=T","Dir=V")</f>
        <v>0</v>
      </c>
      <c r="W2">
        <f>BDH("ADMA US Equity","WORKING_CAPITAL","1993-06-18","2026-05-02","Per=Y","Days=T","Dir=V")</f>
        <v>0</v>
      </c>
      <c r="Y2">
        <f>BDH("ADMA US Equity","SALES_REV_TURN","1993-06-18","2026-05-02","Per=Y","Days=T","Dir=V")</f>
        <v>0</v>
      </c>
      <c r="AA2">
        <f>BDH("ADMA US Equity","EBIT","1993-06-18","2026-05-02","Per=Y","Days=T","Dir=V")</f>
        <v>0</v>
      </c>
      <c r="AC2">
        <f>BDH("ADMA US Equity","EBITDA","1993-06-18","2026-05-02","Per=Y","Days=T","Dir=V")</f>
        <v>0</v>
      </c>
      <c r="AE2">
        <f>BDH("ADMA US Equity","NET_INCOME","1993-06-18","2026-05-02","Per=Y","Days=T","Dir=V")</f>
        <v>0</v>
      </c>
      <c r="AG2">
        <f>BDH("ADMA US Equity","IS_INT_EXPENSE","1993-06-18","2026-05-02","Per=Y","Days=T","Dir=V")</f>
        <v>0</v>
      </c>
      <c r="AI2">
        <f>BDH("ADMA US Equity","IS_DEPR_EXP","1993-06-18","2026-05-02","Per=Y","Days=T","Dir=V")</f>
        <v>0</v>
      </c>
      <c r="AK2">
        <f>BDH("ADMA US Equity","CF_CASH_FROM_OPER","1993-06-18","2026-05-02","Per=Y","Days=T","Dir=V")</f>
        <v>0</v>
      </c>
      <c r="AM2">
        <f>BDH("ADMA US Equity","CAPITAL_EXPEND","1993-06-18","2026-05-02","Per=Y","Days=T","Dir=V")</f>
        <v>0</v>
      </c>
      <c r="AO2">
        <f>BDH("ADMA US Equity","CF_FREE_CASH_FLOW","1993-06-18","2026-05-02","Per=Y","Days=T","Dir=V")</f>
        <v>0</v>
      </c>
      <c r="AQ2">
        <f>BDH("ADMA US Equity","PX_LAST","1993-06-18","2026-05-02","Per=M","Days=T","Dir=V")</f>
        <v>0</v>
      </c>
      <c r="AS2">
        <f>BDH("ADMA US Equity","CUR_MKT_CAP","1993-06-18","2026-05-02","Per=M","Days=T","Dir=V")</f>
        <v>0</v>
      </c>
      <c r="AU2">
        <f>BDH("ADMA US Equity","EQY_SH_OUT","1993-06-18","2026-05-02","Per=M","Days=T","Dir=V")</f>
        <v>0</v>
      </c>
      <c r="AW2">
        <f>BDH("ADMA US Equity","PX_VOLUME","1993-06-18","2026-05-02","Per=M","Days=T","Dir=V")</f>
        <v>0</v>
      </c>
      <c r="AY2">
        <f>BDH("ADMA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BDH("ADNT US Equity","BS_TOT_ASSET","1993-06-18","2026-05-02","Per=Y","Days=T","Dir=V")</f>
        <v>0</v>
      </c>
      <c r="C2">
        <f>BDH("ADNT US Equity","BS_TOT_LIAB2","1993-06-18","2026-05-02","Per=Y","Days=T","Dir=V")</f>
        <v>0</v>
      </c>
      <c r="E2">
        <f>BDH("ADNT US Equity","SHORT_AND_LONG_TERM_DEBT","1993-06-18","2026-05-02","Per=Y","Days=T","Dir=V")</f>
        <v>0</v>
      </c>
      <c r="G2">
        <f>BDH("ADNT US Equity","BS_ST_BORROW","1993-06-18","2026-05-02","Per=Y","Days=T","Dir=V")</f>
        <v>0</v>
      </c>
      <c r="I2">
        <f>BDH("ADNT US Equity","BS_LT_BORROW","1993-06-18","2026-05-02","Per=Y","Days=T","Dir=V")</f>
        <v>0</v>
      </c>
      <c r="K2">
        <f>BDH("ADNT US Equity","BS_CASH_NEAR_CASH_ITEM","1993-06-18","2026-05-02","Per=Y","Days=T","Dir=V")</f>
        <v>0</v>
      </c>
      <c r="M2">
        <f>BDH("ADNT US Equity","BS_CUR_ASSET_REPORT","1993-06-18","2026-05-02","Per=Y","Days=T","Dir=V")</f>
        <v>0</v>
      </c>
      <c r="O2">
        <f>BDH("ADNT US Equity","BS_CUR_LIAB","1993-06-18","2026-05-02","Per=Y","Days=T","Dir=V")</f>
        <v>0</v>
      </c>
      <c r="Q2">
        <f>BDH("ADNT US Equity","BS_SHAREHOLDER_EQY_ENDING_PERIOD","1993-06-18","2026-05-02","Per=Y","Days=T","Dir=V")</f>
        <v>0</v>
      </c>
      <c r="S2">
        <f>BDH("ADNT US Equity","BS_ACCT_NOTE_RCV","1993-06-18","2026-05-02","Per=Y","Days=T","Dir=V")</f>
        <v>0</v>
      </c>
      <c r="U2">
        <f>BDH("ADNT US Equity","BS_INVENTORIES","1993-06-18","2026-05-02","Per=Y","Days=T","Dir=V")</f>
        <v>0</v>
      </c>
      <c r="W2">
        <f>BDH("ADNT US Equity","WORKING_CAPITAL","1993-06-18","2026-05-02","Per=Y","Days=T","Dir=V")</f>
        <v>0</v>
      </c>
      <c r="Y2">
        <f>BDH("ADNT US Equity","SALES_REV_TURN","1993-06-18","2026-05-02","Per=Y","Days=T","Dir=V")</f>
        <v>0</v>
      </c>
      <c r="AA2">
        <f>BDH("ADNT US Equity","EBIT","1993-06-18","2026-05-02","Per=Y","Days=T","Dir=V")</f>
        <v>0</v>
      </c>
      <c r="AC2">
        <f>BDH("ADNT US Equity","EBITDA","1993-06-18","2026-05-02","Per=Y","Days=T","Dir=V")</f>
        <v>0</v>
      </c>
      <c r="AE2">
        <f>BDH("ADNT US Equity","NET_INCOME","1993-06-18","2026-05-02","Per=Y","Days=T","Dir=V")</f>
        <v>0</v>
      </c>
      <c r="AG2">
        <f>BDH("ADNT US Equity","IS_INT_EXPENSE","1993-06-18","2026-05-02","Per=Y","Days=T","Dir=V")</f>
        <v>0</v>
      </c>
      <c r="AI2">
        <f>BDH("ADNT US Equity","IS_DEPR_EXP","1993-06-18","2026-05-02","Per=Y","Days=T","Dir=V")</f>
        <v>0</v>
      </c>
      <c r="AK2">
        <f>BDH("ADNT US Equity","CF_CASH_FROM_OPER","1993-06-18","2026-05-02","Per=Y","Days=T","Dir=V")</f>
        <v>0</v>
      </c>
      <c r="AM2">
        <f>BDH("ADNT US Equity","CAPITAL_EXPEND","1993-06-18","2026-05-02","Per=Y","Days=T","Dir=V")</f>
        <v>0</v>
      </c>
      <c r="AO2">
        <f>BDH("ADNT US Equity","CF_FREE_CASH_FLOW","1993-06-18","2026-05-02","Per=Y","Days=T","Dir=V")</f>
        <v>0</v>
      </c>
      <c r="AQ2">
        <f>BDH("ADNT US Equity","PX_LAST","1993-06-18","2026-05-02","Per=M","Days=T","Dir=V")</f>
        <v>0</v>
      </c>
      <c r="AS2">
        <f>BDH("ADNT US Equity","CUR_MKT_CAP","1993-06-18","2026-05-02","Per=M","Days=T","Dir=V")</f>
        <v>0</v>
      </c>
      <c r="AU2">
        <f>BDH("ADNT US Equity","EQY_SH_OUT","1993-06-18","2026-05-02","Per=M","Days=T","Dir=V")</f>
        <v>0</v>
      </c>
      <c r="AW2">
        <f>BDH("ADNT US Equity","PX_VOLUME","1993-06-18","2026-05-02","Per=M","Days=T","Dir=V")</f>
        <v>0</v>
      </c>
      <c r="AY2">
        <f>BDH("ADNT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BDH("ADP US Equity","BS_TOT_ASSET","1993-06-18","2026-05-02","Per=Y","Days=T","Dir=V")</f>
        <v>0</v>
      </c>
      <c r="C2">
        <f>BDH("ADP US Equity","BS_TOT_LIAB2","1993-06-18","2026-05-02","Per=Y","Days=T","Dir=V")</f>
        <v>0</v>
      </c>
      <c r="E2">
        <f>BDH("ADP US Equity","SHORT_AND_LONG_TERM_DEBT","1993-06-18","2026-05-02","Per=Y","Days=T","Dir=V")</f>
        <v>0</v>
      </c>
      <c r="G2">
        <f>BDH("ADP US Equity","BS_ST_BORROW","1993-06-18","2026-05-02","Per=Y","Days=T","Dir=V")</f>
        <v>0</v>
      </c>
      <c r="I2">
        <f>BDH("ADP US Equity","BS_LT_BORROW","1993-06-18","2026-05-02","Per=Y","Days=T","Dir=V")</f>
        <v>0</v>
      </c>
      <c r="K2">
        <f>BDH("ADP US Equity","BS_CASH_NEAR_CASH_ITEM","1993-06-18","2026-05-02","Per=Y","Days=T","Dir=V")</f>
        <v>0</v>
      </c>
      <c r="M2">
        <f>BDH("ADP US Equity","BS_CUR_ASSET_REPORT","1993-06-18","2026-05-02","Per=Y","Days=T","Dir=V")</f>
        <v>0</v>
      </c>
      <c r="O2">
        <f>BDH("ADP US Equity","BS_CUR_LIAB","1993-06-18","2026-05-02","Per=Y","Days=T","Dir=V")</f>
        <v>0</v>
      </c>
      <c r="Q2">
        <f>BDH("ADP US Equity","BS_SHAREHOLDER_EQY_ENDING_PERIOD","1993-06-18","2026-05-02","Per=Y","Days=T","Dir=V")</f>
        <v>0</v>
      </c>
      <c r="S2">
        <f>BDH("ADP US Equity","BS_ACCT_NOTE_RCV","1993-06-18","2026-05-02","Per=Y","Days=T","Dir=V")</f>
        <v>0</v>
      </c>
      <c r="U2">
        <f>BDH("ADP US Equity","BS_INVENTORIES","1993-06-18","2026-05-02","Per=Y","Days=T","Dir=V")</f>
        <v>0</v>
      </c>
      <c r="W2">
        <f>BDH("ADP US Equity","WORKING_CAPITAL","1993-06-18","2026-05-02","Per=Y","Days=T","Dir=V")</f>
        <v>0</v>
      </c>
      <c r="Y2">
        <f>BDH("ADP US Equity","SALES_REV_TURN","1993-06-18","2026-05-02","Per=Y","Days=T","Dir=V")</f>
        <v>0</v>
      </c>
      <c r="AA2">
        <f>BDH("ADP US Equity","EBIT","1993-06-18","2026-05-02","Per=Y","Days=T","Dir=V")</f>
        <v>0</v>
      </c>
      <c r="AC2">
        <f>BDH("ADP US Equity","EBITDA","1993-06-18","2026-05-02","Per=Y","Days=T","Dir=V")</f>
        <v>0</v>
      </c>
      <c r="AE2">
        <f>BDH("ADP US Equity","NET_INCOME","1993-06-18","2026-05-02","Per=Y","Days=T","Dir=V")</f>
        <v>0</v>
      </c>
      <c r="AG2">
        <f>BDH("ADP US Equity","IS_INT_EXPENSE","1993-06-18","2026-05-02","Per=Y","Days=T","Dir=V")</f>
        <v>0</v>
      </c>
      <c r="AI2">
        <f>BDH("ADP US Equity","IS_DEPR_EXP","1993-06-18","2026-05-02","Per=Y","Days=T","Dir=V")</f>
        <v>0</v>
      </c>
      <c r="AK2">
        <f>BDH("ADP US Equity","CF_CASH_FROM_OPER","1993-06-18","2026-05-02","Per=Y","Days=T","Dir=V")</f>
        <v>0</v>
      </c>
      <c r="AM2">
        <f>BDH("ADP US Equity","CAPITAL_EXPEND","1993-06-18","2026-05-02","Per=Y","Days=T","Dir=V")</f>
        <v>0</v>
      </c>
      <c r="AO2">
        <f>BDH("ADP US Equity","CF_FREE_CASH_FLOW","1993-06-18","2026-05-02","Per=Y","Days=T","Dir=V")</f>
        <v>0</v>
      </c>
      <c r="AQ2">
        <f>BDH("ADP US Equity","PX_LAST","1993-06-18","2026-05-02","Per=M","Days=T","Dir=V")</f>
        <v>0</v>
      </c>
      <c r="AS2">
        <f>BDH("ADP US Equity","CUR_MKT_CAP","1993-06-18","2026-05-02","Per=M","Days=T","Dir=V")</f>
        <v>0</v>
      </c>
      <c r="AU2">
        <f>BDH("ADP US Equity","EQY_SH_OUT","1993-06-18","2026-05-02","Per=M","Days=T","Dir=V")</f>
        <v>0</v>
      </c>
      <c r="AW2">
        <f>BDH("ADP US Equity","PX_VOLUME","1993-06-18","2026-05-02","Per=M","Days=T","Dir=V")</f>
        <v>0</v>
      </c>
      <c r="AY2">
        <f>BDH("ADP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BDH("ADPT US Equity","BS_TOT_ASSET","1993-06-18","2026-05-02","Per=Y","Days=T","Dir=V")</f>
        <v>0</v>
      </c>
      <c r="C2">
        <f>BDH("ADPT US Equity","BS_TOT_LIAB2","1993-06-18","2026-05-02","Per=Y","Days=T","Dir=V")</f>
        <v>0</v>
      </c>
      <c r="E2">
        <f>BDH("ADPT US Equity","SHORT_AND_LONG_TERM_DEBT","1993-06-18","2026-05-02","Per=Y","Days=T","Dir=V")</f>
        <v>0</v>
      </c>
      <c r="G2">
        <f>BDH("ADPT US Equity","BS_ST_BORROW","1993-06-18","2026-05-02","Per=Y","Days=T","Dir=V")</f>
        <v>0</v>
      </c>
      <c r="I2">
        <f>BDH("ADPT US Equity","BS_LT_BORROW","1993-06-18","2026-05-02","Per=Y","Days=T","Dir=V")</f>
        <v>0</v>
      </c>
      <c r="K2">
        <f>BDH("ADPT US Equity","BS_CASH_NEAR_CASH_ITEM","1993-06-18","2026-05-02","Per=Y","Days=T","Dir=V")</f>
        <v>0</v>
      </c>
      <c r="M2">
        <f>BDH("ADPT US Equity","BS_CUR_ASSET_REPORT","1993-06-18","2026-05-02","Per=Y","Days=T","Dir=V")</f>
        <v>0</v>
      </c>
      <c r="O2">
        <f>BDH("ADPT US Equity","BS_CUR_LIAB","1993-06-18","2026-05-02","Per=Y","Days=T","Dir=V")</f>
        <v>0</v>
      </c>
      <c r="Q2">
        <f>BDH("ADPT US Equity","BS_SHAREHOLDER_EQY_ENDING_PERIOD","1993-06-18","2026-05-02","Per=Y","Days=T","Dir=V")</f>
        <v>0</v>
      </c>
      <c r="S2">
        <f>BDH("ADPT US Equity","BS_ACCT_NOTE_RCV","1993-06-18","2026-05-02","Per=Y","Days=T","Dir=V")</f>
        <v>0</v>
      </c>
      <c r="U2">
        <f>BDH("ADPT US Equity","BS_INVENTORIES","1993-06-18","2026-05-02","Per=Y","Days=T","Dir=V")</f>
        <v>0</v>
      </c>
      <c r="W2">
        <f>BDH("ADPT US Equity","WORKING_CAPITAL","1993-06-18","2026-05-02","Per=Y","Days=T","Dir=V")</f>
        <v>0</v>
      </c>
      <c r="Y2">
        <f>BDH("ADPT US Equity","SALES_REV_TURN","1993-06-18","2026-05-02","Per=Y","Days=T","Dir=V")</f>
        <v>0</v>
      </c>
      <c r="AA2">
        <f>BDH("ADPT US Equity","EBIT","1993-06-18","2026-05-02","Per=Y","Days=T","Dir=V")</f>
        <v>0</v>
      </c>
      <c r="AC2">
        <f>BDH("ADPT US Equity","EBITDA","1993-06-18","2026-05-02","Per=Y","Days=T","Dir=V")</f>
        <v>0</v>
      </c>
      <c r="AE2">
        <f>BDH("ADPT US Equity","NET_INCOME","1993-06-18","2026-05-02","Per=Y","Days=T","Dir=V")</f>
        <v>0</v>
      </c>
      <c r="AG2">
        <f>BDH("ADPT US Equity","IS_INT_EXPENSE","1993-06-18","2026-05-02","Per=Y","Days=T","Dir=V")</f>
        <v>0</v>
      </c>
      <c r="AI2">
        <f>BDH("ADPT US Equity","IS_DEPR_EXP","1993-06-18","2026-05-02","Per=Y","Days=T","Dir=V")</f>
        <v>0</v>
      </c>
      <c r="AK2">
        <f>BDH("ADPT US Equity","CF_CASH_FROM_OPER","1993-06-18","2026-05-02","Per=Y","Days=T","Dir=V")</f>
        <v>0</v>
      </c>
      <c r="AM2">
        <f>BDH("ADPT US Equity","CAPITAL_EXPEND","1993-06-18","2026-05-02","Per=Y","Days=T","Dir=V")</f>
        <v>0</v>
      </c>
      <c r="AO2">
        <f>BDH("ADPT US Equity","CF_FREE_CASH_FLOW","1993-06-18","2026-05-02","Per=Y","Days=T","Dir=V")</f>
        <v>0</v>
      </c>
      <c r="AQ2">
        <f>BDH("ADPT US Equity","PX_LAST","1993-06-18","2026-05-02","Per=M","Days=T","Dir=V")</f>
        <v>0</v>
      </c>
      <c r="AS2">
        <f>BDH("ADPT US Equity","CUR_MKT_CAP","1993-06-18","2026-05-02","Per=M","Days=T","Dir=V")</f>
        <v>0</v>
      </c>
      <c r="AU2">
        <f>BDH("ADPT US Equity","EQY_SH_OUT","1993-06-18","2026-05-02","Per=M","Days=T","Dir=V")</f>
        <v>0</v>
      </c>
      <c r="AW2">
        <f>BDH("ADPT US Equity","PX_VOLUME","1993-06-18","2026-05-02","Per=M","Days=T","Dir=V")</f>
        <v>0</v>
      </c>
      <c r="AY2">
        <f>BDH("ADPT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BDH("ADSK US Equity","BS_TOT_ASSET","1993-06-18","2026-05-02","Per=Y","Days=T","Dir=V")</f>
        <v>0</v>
      </c>
      <c r="C2">
        <f>BDH("ADSK US Equity","BS_TOT_LIAB2","1993-06-18","2026-05-02","Per=Y","Days=T","Dir=V")</f>
        <v>0</v>
      </c>
      <c r="E2">
        <f>BDH("ADSK US Equity","SHORT_AND_LONG_TERM_DEBT","1993-06-18","2026-05-02","Per=Y","Days=T","Dir=V")</f>
        <v>0</v>
      </c>
      <c r="G2">
        <f>BDH("ADSK US Equity","BS_ST_BORROW","1993-06-18","2026-05-02","Per=Y","Days=T","Dir=V")</f>
        <v>0</v>
      </c>
      <c r="I2">
        <f>BDH("ADSK US Equity","BS_LT_BORROW","1993-06-18","2026-05-02","Per=Y","Days=T","Dir=V")</f>
        <v>0</v>
      </c>
      <c r="K2">
        <f>BDH("ADSK US Equity","BS_CASH_NEAR_CASH_ITEM","1993-06-18","2026-05-02","Per=Y","Days=T","Dir=V")</f>
        <v>0</v>
      </c>
      <c r="M2">
        <f>BDH("ADSK US Equity","BS_CUR_ASSET_REPORT","1993-06-18","2026-05-02","Per=Y","Days=T","Dir=V")</f>
        <v>0</v>
      </c>
      <c r="O2">
        <f>BDH("ADSK US Equity","BS_CUR_LIAB","1993-06-18","2026-05-02","Per=Y","Days=T","Dir=V")</f>
        <v>0</v>
      </c>
      <c r="Q2">
        <f>BDH("ADSK US Equity","BS_SHAREHOLDER_EQY_ENDING_PERIOD","1993-06-18","2026-05-02","Per=Y","Days=T","Dir=V")</f>
        <v>0</v>
      </c>
      <c r="S2">
        <f>BDH("ADSK US Equity","BS_ACCT_NOTE_RCV","1993-06-18","2026-05-02","Per=Y","Days=T","Dir=V")</f>
        <v>0</v>
      </c>
      <c r="U2">
        <f>BDH("ADSK US Equity","BS_INVENTORIES","1993-06-18","2026-05-02","Per=Y","Days=T","Dir=V")</f>
        <v>0</v>
      </c>
      <c r="W2">
        <f>BDH("ADSK US Equity","WORKING_CAPITAL","1993-06-18","2026-05-02","Per=Y","Days=T","Dir=V")</f>
        <v>0</v>
      </c>
      <c r="Y2">
        <f>BDH("ADSK US Equity","SALES_REV_TURN","1993-06-18","2026-05-02","Per=Y","Days=T","Dir=V")</f>
        <v>0</v>
      </c>
      <c r="AA2">
        <f>BDH("ADSK US Equity","EBIT","1993-06-18","2026-05-02","Per=Y","Days=T","Dir=V")</f>
        <v>0</v>
      </c>
      <c r="AC2">
        <f>BDH("ADSK US Equity","EBITDA","1993-06-18","2026-05-02","Per=Y","Days=T","Dir=V")</f>
        <v>0</v>
      </c>
      <c r="AE2">
        <f>BDH("ADSK US Equity","NET_INCOME","1993-06-18","2026-05-02","Per=Y","Days=T","Dir=V")</f>
        <v>0</v>
      </c>
      <c r="AG2">
        <f>BDH("ADSK US Equity","IS_INT_EXPENSE","1993-06-18","2026-05-02","Per=Y","Days=T","Dir=V")</f>
        <v>0</v>
      </c>
      <c r="AI2">
        <f>BDH("ADSK US Equity","IS_DEPR_EXP","1993-06-18","2026-05-02","Per=Y","Days=T","Dir=V")</f>
        <v>0</v>
      </c>
      <c r="AK2">
        <f>BDH("ADSK US Equity","CF_CASH_FROM_OPER","1993-06-18","2026-05-02","Per=Y","Days=T","Dir=V")</f>
        <v>0</v>
      </c>
      <c r="AM2">
        <f>BDH("ADSK US Equity","CAPITAL_EXPEND","1993-06-18","2026-05-02","Per=Y","Days=T","Dir=V")</f>
        <v>0</v>
      </c>
      <c r="AO2">
        <f>BDH("ADSK US Equity","CF_FREE_CASH_FLOW","1993-06-18","2026-05-02","Per=Y","Days=T","Dir=V")</f>
        <v>0</v>
      </c>
      <c r="AQ2">
        <f>BDH("ADSK US Equity","PX_LAST","1993-06-18","2026-05-02","Per=M","Days=T","Dir=V")</f>
        <v>0</v>
      </c>
      <c r="AS2">
        <f>BDH("ADSK US Equity","CUR_MKT_CAP","1993-06-18","2026-05-02","Per=M","Days=T","Dir=V")</f>
        <v>0</v>
      </c>
      <c r="AU2">
        <f>BDH("ADSK US Equity","EQY_SH_OUT","1993-06-18","2026-05-02","Per=M","Days=T","Dir=V")</f>
        <v>0</v>
      </c>
      <c r="AW2">
        <f>BDH("ADSK US Equity","PX_VOLUME","1993-06-18","2026-05-02","Per=M","Days=T","Dir=V")</f>
        <v>0</v>
      </c>
      <c r="AY2">
        <f>BDH("ADSK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BDH("ADT US Equity","BS_TOT_ASSET","1993-06-18","2026-05-02","Per=Y","Days=T","Dir=V")</f>
        <v>0</v>
      </c>
      <c r="C2">
        <f>BDH("ADT US Equity","BS_TOT_LIAB2","1993-06-18","2026-05-02","Per=Y","Days=T","Dir=V")</f>
        <v>0</v>
      </c>
      <c r="E2">
        <f>BDH("ADT US Equity","SHORT_AND_LONG_TERM_DEBT","1993-06-18","2026-05-02","Per=Y","Days=T","Dir=V")</f>
        <v>0</v>
      </c>
      <c r="G2">
        <f>BDH("ADT US Equity","BS_ST_BORROW","1993-06-18","2026-05-02","Per=Y","Days=T","Dir=V")</f>
        <v>0</v>
      </c>
      <c r="I2">
        <f>BDH("ADT US Equity","BS_LT_BORROW","1993-06-18","2026-05-02","Per=Y","Days=T","Dir=V")</f>
        <v>0</v>
      </c>
      <c r="K2">
        <f>BDH("ADT US Equity","BS_CASH_NEAR_CASH_ITEM","1993-06-18","2026-05-02","Per=Y","Days=T","Dir=V")</f>
        <v>0</v>
      </c>
      <c r="M2">
        <f>BDH("ADT US Equity","BS_CUR_ASSET_REPORT","1993-06-18","2026-05-02","Per=Y","Days=T","Dir=V")</f>
        <v>0</v>
      </c>
      <c r="O2">
        <f>BDH("ADT US Equity","BS_CUR_LIAB","1993-06-18","2026-05-02","Per=Y","Days=T","Dir=V")</f>
        <v>0</v>
      </c>
      <c r="Q2">
        <f>BDH("ADT US Equity","BS_SHAREHOLDER_EQY_ENDING_PERIOD","1993-06-18","2026-05-02","Per=Y","Days=T","Dir=V")</f>
        <v>0</v>
      </c>
      <c r="S2">
        <f>BDH("ADT US Equity","BS_ACCT_NOTE_RCV","1993-06-18","2026-05-02","Per=Y","Days=T","Dir=V")</f>
        <v>0</v>
      </c>
      <c r="U2">
        <f>BDH("ADT US Equity","BS_INVENTORIES","1993-06-18","2026-05-02","Per=Y","Days=T","Dir=V")</f>
        <v>0</v>
      </c>
      <c r="W2">
        <f>BDH("ADT US Equity","WORKING_CAPITAL","1993-06-18","2026-05-02","Per=Y","Days=T","Dir=V")</f>
        <v>0</v>
      </c>
      <c r="Y2">
        <f>BDH("ADT US Equity","SALES_REV_TURN","1993-06-18","2026-05-02","Per=Y","Days=T","Dir=V")</f>
        <v>0</v>
      </c>
      <c r="AA2">
        <f>BDH("ADT US Equity","EBIT","1993-06-18","2026-05-02","Per=Y","Days=T","Dir=V")</f>
        <v>0</v>
      </c>
      <c r="AC2">
        <f>BDH("ADT US Equity","EBITDA","1993-06-18","2026-05-02","Per=Y","Days=T","Dir=V")</f>
        <v>0</v>
      </c>
      <c r="AE2">
        <f>BDH("ADT US Equity","NET_INCOME","1993-06-18","2026-05-02","Per=Y","Days=T","Dir=V")</f>
        <v>0</v>
      </c>
      <c r="AG2">
        <f>BDH("ADT US Equity","IS_INT_EXPENSE","1993-06-18","2026-05-02","Per=Y","Days=T","Dir=V")</f>
        <v>0</v>
      </c>
      <c r="AI2">
        <f>BDH("ADT US Equity","IS_DEPR_EXP","1993-06-18","2026-05-02","Per=Y","Days=T","Dir=V")</f>
        <v>0</v>
      </c>
      <c r="AK2">
        <f>BDH("ADT US Equity","CF_CASH_FROM_OPER","1993-06-18","2026-05-02","Per=Y","Days=T","Dir=V")</f>
        <v>0</v>
      </c>
      <c r="AM2">
        <f>BDH("ADT US Equity","CAPITAL_EXPEND","1993-06-18","2026-05-02","Per=Y","Days=T","Dir=V")</f>
        <v>0</v>
      </c>
      <c r="AO2">
        <f>BDH("ADT US Equity","CF_FREE_CASH_FLOW","1993-06-18","2026-05-02","Per=Y","Days=T","Dir=V")</f>
        <v>0</v>
      </c>
      <c r="AQ2">
        <f>BDH("ADT US Equity","PX_LAST","1993-06-18","2026-05-02","Per=M","Days=T","Dir=V")</f>
        <v>0</v>
      </c>
      <c r="AS2">
        <f>BDH("ADT US Equity","CUR_MKT_CAP","1993-06-18","2026-05-02","Per=M","Days=T","Dir=V")</f>
        <v>0</v>
      </c>
      <c r="AU2">
        <f>BDH("ADT US Equity","EQY_SH_OUT","1993-06-18","2026-05-02","Per=M","Days=T","Dir=V")</f>
        <v>0</v>
      </c>
      <c r="AW2">
        <f>BDH("ADT US Equity","PX_VOLUME","1993-06-18","2026-05-02","Per=M","Days=T","Dir=V")</f>
        <v>0</v>
      </c>
      <c r="AY2">
        <f>BDH("ADT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BDH("ADTN US Equity","BS_TOT_ASSET","1993-06-18","2026-05-02","Per=Y","Days=T","Dir=V")</f>
        <v>0</v>
      </c>
      <c r="C2">
        <f>BDH("ADTN US Equity","BS_TOT_LIAB2","1993-06-18","2026-05-02","Per=Y","Days=T","Dir=V")</f>
        <v>0</v>
      </c>
      <c r="E2">
        <f>BDH("ADTN US Equity","SHORT_AND_LONG_TERM_DEBT","1993-06-18","2026-05-02","Per=Y","Days=T","Dir=V")</f>
        <v>0</v>
      </c>
      <c r="G2">
        <f>BDH("ADTN US Equity","BS_ST_BORROW","1993-06-18","2026-05-02","Per=Y","Days=T","Dir=V")</f>
        <v>0</v>
      </c>
      <c r="I2">
        <f>BDH("ADTN US Equity","BS_LT_BORROW","1993-06-18","2026-05-02","Per=Y","Days=T","Dir=V")</f>
        <v>0</v>
      </c>
      <c r="K2">
        <f>BDH("ADTN US Equity","BS_CASH_NEAR_CASH_ITEM","1993-06-18","2026-05-02","Per=Y","Days=T","Dir=V")</f>
        <v>0</v>
      </c>
      <c r="M2">
        <f>BDH("ADTN US Equity","BS_CUR_ASSET_REPORT","1993-06-18","2026-05-02","Per=Y","Days=T","Dir=V")</f>
        <v>0</v>
      </c>
      <c r="O2">
        <f>BDH("ADTN US Equity","BS_CUR_LIAB","1993-06-18","2026-05-02","Per=Y","Days=T","Dir=V")</f>
        <v>0</v>
      </c>
      <c r="Q2">
        <f>BDH("ADTN US Equity","BS_SHAREHOLDER_EQY_ENDING_PERIOD","1993-06-18","2026-05-02","Per=Y","Days=T","Dir=V")</f>
        <v>0</v>
      </c>
      <c r="S2">
        <f>BDH("ADTN US Equity","BS_ACCT_NOTE_RCV","1993-06-18","2026-05-02","Per=Y","Days=T","Dir=V")</f>
        <v>0</v>
      </c>
      <c r="U2">
        <f>BDH("ADTN US Equity","BS_INVENTORIES","1993-06-18","2026-05-02","Per=Y","Days=T","Dir=V")</f>
        <v>0</v>
      </c>
      <c r="W2">
        <f>BDH("ADTN US Equity","WORKING_CAPITAL","1993-06-18","2026-05-02","Per=Y","Days=T","Dir=V")</f>
        <v>0</v>
      </c>
      <c r="Y2">
        <f>BDH("ADTN US Equity","SALES_REV_TURN","1993-06-18","2026-05-02","Per=Y","Days=T","Dir=V")</f>
        <v>0</v>
      </c>
      <c r="AA2">
        <f>BDH("ADTN US Equity","EBIT","1993-06-18","2026-05-02","Per=Y","Days=T","Dir=V")</f>
        <v>0</v>
      </c>
      <c r="AC2">
        <f>BDH("ADTN US Equity","EBITDA","1993-06-18","2026-05-02","Per=Y","Days=T","Dir=V")</f>
        <v>0</v>
      </c>
      <c r="AE2">
        <f>BDH("ADTN US Equity","NET_INCOME","1993-06-18","2026-05-02","Per=Y","Days=T","Dir=V")</f>
        <v>0</v>
      </c>
      <c r="AG2">
        <f>BDH("ADTN US Equity","IS_INT_EXPENSE","1993-06-18","2026-05-02","Per=Y","Days=T","Dir=V")</f>
        <v>0</v>
      </c>
      <c r="AI2">
        <f>BDH("ADTN US Equity","IS_DEPR_EXP","1993-06-18","2026-05-02","Per=Y","Days=T","Dir=V")</f>
        <v>0</v>
      </c>
      <c r="AK2">
        <f>BDH("ADTN US Equity","CF_CASH_FROM_OPER","1993-06-18","2026-05-02","Per=Y","Days=T","Dir=V")</f>
        <v>0</v>
      </c>
      <c r="AM2">
        <f>BDH("ADTN US Equity","CAPITAL_EXPEND","1993-06-18","2026-05-02","Per=Y","Days=T","Dir=V")</f>
        <v>0</v>
      </c>
      <c r="AO2">
        <f>BDH("ADTN US Equity","CF_FREE_CASH_FLOW","1993-06-18","2026-05-02","Per=Y","Days=T","Dir=V")</f>
        <v>0</v>
      </c>
      <c r="AQ2">
        <f>BDH("ADTN US Equity","PX_LAST","1993-06-18","2026-05-02","Per=M","Days=T","Dir=V")</f>
        <v>0</v>
      </c>
      <c r="AS2">
        <f>BDH("ADTN US Equity","CUR_MKT_CAP","1993-06-18","2026-05-02","Per=M","Days=T","Dir=V")</f>
        <v>0</v>
      </c>
      <c r="AU2">
        <f>BDH("ADTN US Equity","EQY_SH_OUT","1993-06-18","2026-05-02","Per=M","Days=T","Dir=V")</f>
        <v>0</v>
      </c>
      <c r="AW2">
        <f>BDH("ADTN US Equity","PX_VOLUME","1993-06-18","2026-05-02","Per=M","Days=T","Dir=V")</f>
        <v>0</v>
      </c>
      <c r="AY2">
        <f>BDH("ADTN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BDH("ADUS US Equity","BS_TOT_ASSET","1993-06-18","2026-05-02","Per=Y","Days=T","Dir=V")</f>
        <v>0</v>
      </c>
      <c r="C2">
        <f>BDH("ADUS US Equity","BS_TOT_LIAB2","1993-06-18","2026-05-02","Per=Y","Days=T","Dir=V")</f>
        <v>0</v>
      </c>
      <c r="E2">
        <f>BDH("ADUS US Equity","SHORT_AND_LONG_TERM_DEBT","1993-06-18","2026-05-02","Per=Y","Days=T","Dir=V")</f>
        <v>0</v>
      </c>
      <c r="G2">
        <f>BDH("ADUS US Equity","BS_ST_BORROW","1993-06-18","2026-05-02","Per=Y","Days=T","Dir=V")</f>
        <v>0</v>
      </c>
      <c r="I2">
        <f>BDH("ADUS US Equity","BS_LT_BORROW","1993-06-18","2026-05-02","Per=Y","Days=T","Dir=V")</f>
        <v>0</v>
      </c>
      <c r="K2">
        <f>BDH("ADUS US Equity","BS_CASH_NEAR_CASH_ITEM","1993-06-18","2026-05-02","Per=Y","Days=T","Dir=V")</f>
        <v>0</v>
      </c>
      <c r="M2">
        <f>BDH("ADUS US Equity","BS_CUR_ASSET_REPORT","1993-06-18","2026-05-02","Per=Y","Days=T","Dir=V")</f>
        <v>0</v>
      </c>
      <c r="O2">
        <f>BDH("ADUS US Equity","BS_CUR_LIAB","1993-06-18","2026-05-02","Per=Y","Days=T","Dir=V")</f>
        <v>0</v>
      </c>
      <c r="Q2">
        <f>BDH("ADUS US Equity","BS_SHAREHOLDER_EQY_ENDING_PERIOD","1993-06-18","2026-05-02","Per=Y","Days=T","Dir=V")</f>
        <v>0</v>
      </c>
      <c r="S2">
        <f>BDH("ADUS US Equity","BS_ACCT_NOTE_RCV","1993-06-18","2026-05-02","Per=Y","Days=T","Dir=V")</f>
        <v>0</v>
      </c>
      <c r="U2">
        <f>BDH("ADUS US Equity","BS_INVENTORIES","1993-06-18","2026-05-02","Per=Y","Days=T","Dir=V")</f>
        <v>0</v>
      </c>
      <c r="W2">
        <f>BDH("ADUS US Equity","WORKING_CAPITAL","1993-06-18","2026-05-02","Per=Y","Days=T","Dir=V")</f>
        <v>0</v>
      </c>
      <c r="Y2">
        <f>BDH("ADUS US Equity","SALES_REV_TURN","1993-06-18","2026-05-02","Per=Y","Days=T","Dir=V")</f>
        <v>0</v>
      </c>
      <c r="AA2">
        <f>BDH("ADUS US Equity","EBIT","1993-06-18","2026-05-02","Per=Y","Days=T","Dir=V")</f>
        <v>0</v>
      </c>
      <c r="AC2">
        <f>BDH("ADUS US Equity","EBITDA","1993-06-18","2026-05-02","Per=Y","Days=T","Dir=V")</f>
        <v>0</v>
      </c>
      <c r="AE2">
        <f>BDH("ADUS US Equity","NET_INCOME","1993-06-18","2026-05-02","Per=Y","Days=T","Dir=V")</f>
        <v>0</v>
      </c>
      <c r="AG2">
        <f>BDH("ADUS US Equity","IS_INT_EXPENSE","1993-06-18","2026-05-02","Per=Y","Days=T","Dir=V")</f>
        <v>0</v>
      </c>
      <c r="AI2">
        <f>BDH("ADUS US Equity","IS_DEPR_EXP","1993-06-18","2026-05-02","Per=Y","Days=T","Dir=V")</f>
        <v>0</v>
      </c>
      <c r="AK2">
        <f>BDH("ADUS US Equity","CF_CASH_FROM_OPER","1993-06-18","2026-05-02","Per=Y","Days=T","Dir=V")</f>
        <v>0</v>
      </c>
      <c r="AM2">
        <f>BDH("ADUS US Equity","CAPITAL_EXPEND","1993-06-18","2026-05-02","Per=Y","Days=T","Dir=V")</f>
        <v>0</v>
      </c>
      <c r="AO2">
        <f>BDH("ADUS US Equity","CF_FREE_CASH_FLOW","1993-06-18","2026-05-02","Per=Y","Days=T","Dir=V")</f>
        <v>0</v>
      </c>
      <c r="AQ2">
        <f>BDH("ADUS US Equity","PX_LAST","1993-06-18","2026-05-02","Per=M","Days=T","Dir=V")</f>
        <v>0</v>
      </c>
      <c r="AS2">
        <f>BDH("ADUS US Equity","CUR_MKT_CAP","1993-06-18","2026-05-02","Per=M","Days=T","Dir=V")</f>
        <v>0</v>
      </c>
      <c r="AU2">
        <f>BDH("ADUS US Equity","EQY_SH_OUT","1993-06-18","2026-05-02","Per=M","Days=T","Dir=V")</f>
        <v>0</v>
      </c>
      <c r="AW2">
        <f>BDH("ADUS US Equity","PX_VOLUME","1993-06-18","2026-05-02","Per=M","Days=T","Dir=V")</f>
        <v>0</v>
      </c>
      <c r="AY2">
        <f>BDH("ADUS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BDH("ADV US Equity","BS_TOT_ASSET","1993-06-18","2026-05-02","Per=Y","Days=T","Dir=V")</f>
        <v>0</v>
      </c>
      <c r="C2">
        <f>BDH("ADV US Equity","BS_TOT_LIAB2","1993-06-18","2026-05-02","Per=Y","Days=T","Dir=V")</f>
        <v>0</v>
      </c>
      <c r="E2">
        <f>BDH("ADV US Equity","SHORT_AND_LONG_TERM_DEBT","1993-06-18","2026-05-02","Per=Y","Days=T","Dir=V")</f>
        <v>0</v>
      </c>
      <c r="G2">
        <f>BDH("ADV US Equity","BS_ST_BORROW","1993-06-18","2026-05-02","Per=Y","Days=T","Dir=V")</f>
        <v>0</v>
      </c>
      <c r="I2">
        <f>BDH("ADV US Equity","BS_LT_BORROW","1993-06-18","2026-05-02","Per=Y","Days=T","Dir=V")</f>
        <v>0</v>
      </c>
      <c r="K2">
        <f>BDH("ADV US Equity","BS_CASH_NEAR_CASH_ITEM","1993-06-18","2026-05-02","Per=Y","Days=T","Dir=V")</f>
        <v>0</v>
      </c>
      <c r="M2">
        <f>BDH("ADV US Equity","BS_CUR_ASSET_REPORT","1993-06-18","2026-05-02","Per=Y","Days=T","Dir=V")</f>
        <v>0</v>
      </c>
      <c r="O2">
        <f>BDH("ADV US Equity","BS_CUR_LIAB","1993-06-18","2026-05-02","Per=Y","Days=T","Dir=V")</f>
        <v>0</v>
      </c>
      <c r="Q2">
        <f>BDH("ADV US Equity","BS_SHAREHOLDER_EQY_ENDING_PERIOD","1993-06-18","2026-05-02","Per=Y","Days=T","Dir=V")</f>
        <v>0</v>
      </c>
      <c r="S2">
        <f>BDH("ADV US Equity","BS_ACCT_NOTE_RCV","1993-06-18","2026-05-02","Per=Y","Days=T","Dir=V")</f>
        <v>0</v>
      </c>
      <c r="U2">
        <f>BDH("ADV US Equity","BS_INVENTORIES","1993-06-18","2026-05-02","Per=Y","Days=T","Dir=V")</f>
        <v>0</v>
      </c>
      <c r="W2">
        <f>BDH("ADV US Equity","WORKING_CAPITAL","1993-06-18","2026-05-02","Per=Y","Days=T","Dir=V")</f>
        <v>0</v>
      </c>
      <c r="Y2">
        <f>BDH("ADV US Equity","SALES_REV_TURN","1993-06-18","2026-05-02","Per=Y","Days=T","Dir=V")</f>
        <v>0</v>
      </c>
      <c r="AA2">
        <f>BDH("ADV US Equity","EBIT","1993-06-18","2026-05-02","Per=Y","Days=T","Dir=V")</f>
        <v>0</v>
      </c>
      <c r="AC2">
        <f>BDH("ADV US Equity","EBITDA","1993-06-18","2026-05-02","Per=Y","Days=T","Dir=V")</f>
        <v>0</v>
      </c>
      <c r="AE2">
        <f>BDH("ADV US Equity","NET_INCOME","1993-06-18","2026-05-02","Per=Y","Days=T","Dir=V")</f>
        <v>0</v>
      </c>
      <c r="AG2">
        <f>BDH("ADV US Equity","IS_INT_EXPENSE","1993-06-18","2026-05-02","Per=Y","Days=T","Dir=V")</f>
        <v>0</v>
      </c>
      <c r="AI2">
        <f>BDH("ADV US Equity","IS_DEPR_EXP","1993-06-18","2026-05-02","Per=Y","Days=T","Dir=V")</f>
        <v>0</v>
      </c>
      <c r="AK2">
        <f>BDH("ADV US Equity","CF_CASH_FROM_OPER","1993-06-18","2026-05-02","Per=Y","Days=T","Dir=V")</f>
        <v>0</v>
      </c>
      <c r="AM2">
        <f>BDH("ADV US Equity","CAPITAL_EXPEND","1993-06-18","2026-05-02","Per=Y","Days=T","Dir=V")</f>
        <v>0</v>
      </c>
      <c r="AO2">
        <f>BDH("ADV US Equity","CF_FREE_CASH_FLOW","1993-06-18","2026-05-02","Per=Y","Days=T","Dir=V")</f>
        <v>0</v>
      </c>
      <c r="AQ2">
        <f>BDH("ADV US Equity","PX_LAST","1993-06-18","2026-05-02","Per=M","Days=T","Dir=V")</f>
        <v>0</v>
      </c>
      <c r="AS2">
        <f>BDH("ADV US Equity","CUR_MKT_CAP","1993-06-18","2026-05-02","Per=M","Days=T","Dir=V")</f>
        <v>0</v>
      </c>
      <c r="AU2">
        <f>BDH("ADV US Equity","EQY_SH_OUT","1993-06-18","2026-05-02","Per=M","Days=T","Dir=V")</f>
        <v>0</v>
      </c>
      <c r="AW2">
        <f>BDH("ADV US Equity","PX_VOLUME","1993-06-18","2026-05-02","Per=M","Days=T","Dir=V")</f>
        <v>0</v>
      </c>
      <c r="AY2">
        <f>BDH("ADV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BDH("AEE US Equity","BS_TOT_ASSET","1993-06-18","2026-05-02","Per=Y","Days=T","Dir=V")</f>
        <v>0</v>
      </c>
      <c r="C2">
        <f>BDH("AEE US Equity","BS_TOT_LIAB2","1993-06-18","2026-05-02","Per=Y","Days=T","Dir=V")</f>
        <v>0</v>
      </c>
      <c r="E2">
        <f>BDH("AEE US Equity","SHORT_AND_LONG_TERM_DEBT","1993-06-18","2026-05-02","Per=Y","Days=T","Dir=V")</f>
        <v>0</v>
      </c>
      <c r="G2">
        <f>BDH("AEE US Equity","BS_ST_BORROW","1993-06-18","2026-05-02","Per=Y","Days=T","Dir=V")</f>
        <v>0</v>
      </c>
      <c r="I2">
        <f>BDH("AEE US Equity","BS_LT_BORROW","1993-06-18","2026-05-02","Per=Y","Days=T","Dir=V")</f>
        <v>0</v>
      </c>
      <c r="K2">
        <f>BDH("AEE US Equity","BS_CASH_NEAR_CASH_ITEM","1993-06-18","2026-05-02","Per=Y","Days=T","Dir=V")</f>
        <v>0</v>
      </c>
      <c r="M2">
        <f>BDH("AEE US Equity","BS_CUR_ASSET_REPORT","1993-06-18","2026-05-02","Per=Y","Days=T","Dir=V")</f>
        <v>0</v>
      </c>
      <c r="O2">
        <f>BDH("AEE US Equity","BS_CUR_LIAB","1993-06-18","2026-05-02","Per=Y","Days=T","Dir=V")</f>
        <v>0</v>
      </c>
      <c r="Q2">
        <f>BDH("AEE US Equity","BS_SHAREHOLDER_EQY_ENDING_PERIOD","1993-06-18","2026-05-02","Per=Y","Days=T","Dir=V")</f>
        <v>0</v>
      </c>
      <c r="S2">
        <f>BDH("AEE US Equity","BS_ACCT_NOTE_RCV","1993-06-18","2026-05-02","Per=Y","Days=T","Dir=V")</f>
        <v>0</v>
      </c>
      <c r="U2">
        <f>BDH("AEE US Equity","BS_INVENTORIES","1993-06-18","2026-05-02","Per=Y","Days=T","Dir=V")</f>
        <v>0</v>
      </c>
      <c r="W2">
        <f>BDH("AEE US Equity","WORKING_CAPITAL","1993-06-18","2026-05-02","Per=Y","Days=T","Dir=V")</f>
        <v>0</v>
      </c>
      <c r="Y2">
        <f>BDH("AEE US Equity","SALES_REV_TURN","1993-06-18","2026-05-02","Per=Y","Days=T","Dir=V")</f>
        <v>0</v>
      </c>
      <c r="AA2">
        <f>BDH("AEE US Equity","EBIT","1993-06-18","2026-05-02","Per=Y","Days=T","Dir=V")</f>
        <v>0</v>
      </c>
      <c r="AC2">
        <f>BDH("AEE US Equity","EBITDA","1993-06-18","2026-05-02","Per=Y","Days=T","Dir=V")</f>
        <v>0</v>
      </c>
      <c r="AE2">
        <f>BDH("AEE US Equity","NET_INCOME","1993-06-18","2026-05-02","Per=Y","Days=T","Dir=V")</f>
        <v>0</v>
      </c>
      <c r="AG2">
        <f>BDH("AEE US Equity","IS_INT_EXPENSE","1993-06-18","2026-05-02","Per=Y","Days=T","Dir=V")</f>
        <v>0</v>
      </c>
      <c r="AI2">
        <f>BDH("AEE US Equity","IS_DEPR_EXP","1993-06-18","2026-05-02","Per=Y","Days=T","Dir=V")</f>
        <v>0</v>
      </c>
      <c r="AK2">
        <f>BDH("AEE US Equity","CF_CASH_FROM_OPER","1993-06-18","2026-05-02","Per=Y","Days=T","Dir=V")</f>
        <v>0</v>
      </c>
      <c r="AM2">
        <f>BDH("AEE US Equity","CAPITAL_EXPEND","1993-06-18","2026-05-02","Per=Y","Days=T","Dir=V")</f>
        <v>0</v>
      </c>
      <c r="AO2">
        <f>BDH("AEE US Equity","CF_FREE_CASH_FLOW","1993-06-18","2026-05-02","Per=Y","Days=T","Dir=V")</f>
        <v>0</v>
      </c>
      <c r="AQ2">
        <f>BDH("AEE US Equity","PX_LAST","1993-06-18","2026-05-02","Per=M","Days=T","Dir=V")</f>
        <v>0</v>
      </c>
      <c r="AS2">
        <f>BDH("AEE US Equity","CUR_MKT_CAP","1993-06-18","2026-05-02","Per=M","Days=T","Dir=V")</f>
        <v>0</v>
      </c>
      <c r="AU2">
        <f>BDH("AEE US Equity","EQY_SH_OUT","1993-06-18","2026-05-02","Per=M","Days=T","Dir=V")</f>
        <v>0</v>
      </c>
      <c r="AW2">
        <f>BDH("AEE US Equity","PX_VOLUME","1993-06-18","2026-05-02","Per=M","Days=T","Dir=V")</f>
        <v>0</v>
      </c>
      <c r="AY2">
        <f>BDH("AEE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BDH("AEHR US Equity","BS_TOT_ASSET","1993-06-18","2026-05-02","Per=Y","Days=T","Dir=V")</f>
        <v>0</v>
      </c>
      <c r="C2">
        <f>BDH("AEHR US Equity","BS_TOT_LIAB2","1993-06-18","2026-05-02","Per=Y","Days=T","Dir=V")</f>
        <v>0</v>
      </c>
      <c r="E2">
        <f>BDH("AEHR US Equity","SHORT_AND_LONG_TERM_DEBT","1993-06-18","2026-05-02","Per=Y","Days=T","Dir=V")</f>
        <v>0</v>
      </c>
      <c r="G2">
        <f>BDH("AEHR US Equity","BS_ST_BORROW","1993-06-18","2026-05-02","Per=Y","Days=T","Dir=V")</f>
        <v>0</v>
      </c>
      <c r="I2">
        <f>BDH("AEHR US Equity","BS_LT_BORROW","1993-06-18","2026-05-02","Per=Y","Days=T","Dir=V")</f>
        <v>0</v>
      </c>
      <c r="K2">
        <f>BDH("AEHR US Equity","BS_CASH_NEAR_CASH_ITEM","1993-06-18","2026-05-02","Per=Y","Days=T","Dir=V")</f>
        <v>0</v>
      </c>
      <c r="M2">
        <f>BDH("AEHR US Equity","BS_CUR_ASSET_REPORT","1993-06-18","2026-05-02","Per=Y","Days=T","Dir=V")</f>
        <v>0</v>
      </c>
      <c r="O2">
        <f>BDH("AEHR US Equity","BS_CUR_LIAB","1993-06-18","2026-05-02","Per=Y","Days=T","Dir=V")</f>
        <v>0</v>
      </c>
      <c r="Q2">
        <f>BDH("AEHR US Equity","BS_SHAREHOLDER_EQY_ENDING_PERIOD","1993-06-18","2026-05-02","Per=Y","Days=T","Dir=V")</f>
        <v>0</v>
      </c>
      <c r="S2">
        <f>BDH("AEHR US Equity","BS_ACCT_NOTE_RCV","1993-06-18","2026-05-02","Per=Y","Days=T","Dir=V")</f>
        <v>0</v>
      </c>
      <c r="U2">
        <f>BDH("AEHR US Equity","BS_INVENTORIES","1993-06-18","2026-05-02","Per=Y","Days=T","Dir=V")</f>
        <v>0</v>
      </c>
      <c r="W2">
        <f>BDH("AEHR US Equity","WORKING_CAPITAL","1993-06-18","2026-05-02","Per=Y","Days=T","Dir=V")</f>
        <v>0</v>
      </c>
      <c r="Y2">
        <f>BDH("AEHR US Equity","SALES_REV_TURN","1993-06-18","2026-05-02","Per=Y","Days=T","Dir=V")</f>
        <v>0</v>
      </c>
      <c r="AA2">
        <f>BDH("AEHR US Equity","EBIT","1993-06-18","2026-05-02","Per=Y","Days=T","Dir=V")</f>
        <v>0</v>
      </c>
      <c r="AC2">
        <f>BDH("AEHR US Equity","EBITDA","1993-06-18","2026-05-02","Per=Y","Days=T","Dir=V")</f>
        <v>0</v>
      </c>
      <c r="AE2">
        <f>BDH("AEHR US Equity","NET_INCOME","1993-06-18","2026-05-02","Per=Y","Days=T","Dir=V")</f>
        <v>0</v>
      </c>
      <c r="AG2">
        <f>BDH("AEHR US Equity","IS_INT_EXPENSE","1993-06-18","2026-05-02","Per=Y","Days=T","Dir=V")</f>
        <v>0</v>
      </c>
      <c r="AI2">
        <f>BDH("AEHR US Equity","IS_DEPR_EXP","1993-06-18","2026-05-02","Per=Y","Days=T","Dir=V")</f>
        <v>0</v>
      </c>
      <c r="AK2">
        <f>BDH("AEHR US Equity","CF_CASH_FROM_OPER","1993-06-18","2026-05-02","Per=Y","Days=T","Dir=V")</f>
        <v>0</v>
      </c>
      <c r="AM2">
        <f>BDH("AEHR US Equity","CAPITAL_EXPEND","1993-06-18","2026-05-02","Per=Y","Days=T","Dir=V")</f>
        <v>0</v>
      </c>
      <c r="AO2">
        <f>BDH("AEHR US Equity","CF_FREE_CASH_FLOW","1993-06-18","2026-05-02","Per=Y","Days=T","Dir=V")</f>
        <v>0</v>
      </c>
      <c r="AQ2">
        <f>BDH("AEHR US Equity","PX_LAST","1993-06-18","2026-05-02","Per=M","Days=T","Dir=V")</f>
        <v>0</v>
      </c>
      <c r="AS2">
        <f>BDH("AEHR US Equity","CUR_MKT_CAP","1993-06-18","2026-05-02","Per=M","Days=T","Dir=V")</f>
        <v>0</v>
      </c>
      <c r="AU2">
        <f>BDH("AEHR US Equity","EQY_SH_OUT","1993-06-18","2026-05-02","Per=M","Days=T","Dir=V")</f>
        <v>0</v>
      </c>
      <c r="AW2">
        <f>BDH("AEHR US Equity","PX_VOLUME","1993-06-18","2026-05-02","Per=M","Days=T","Dir=V")</f>
        <v>0</v>
      </c>
      <c r="AY2">
        <f>BDH("AEHR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BDH("AEIS US Equity","BS_TOT_ASSET","1993-06-18","2026-05-02","Per=Y","Days=T","Dir=V")</f>
        <v>0</v>
      </c>
      <c r="C2">
        <f>BDH("AEIS US Equity","BS_TOT_LIAB2","1993-06-18","2026-05-02","Per=Y","Days=T","Dir=V")</f>
        <v>0</v>
      </c>
      <c r="E2">
        <f>BDH("AEIS US Equity","SHORT_AND_LONG_TERM_DEBT","1993-06-18","2026-05-02","Per=Y","Days=T","Dir=V")</f>
        <v>0</v>
      </c>
      <c r="G2">
        <f>BDH("AEIS US Equity","BS_ST_BORROW","1993-06-18","2026-05-02","Per=Y","Days=T","Dir=V")</f>
        <v>0</v>
      </c>
      <c r="I2">
        <f>BDH("AEIS US Equity","BS_LT_BORROW","1993-06-18","2026-05-02","Per=Y","Days=T","Dir=V")</f>
        <v>0</v>
      </c>
      <c r="K2">
        <f>BDH("AEIS US Equity","BS_CASH_NEAR_CASH_ITEM","1993-06-18","2026-05-02","Per=Y","Days=T","Dir=V")</f>
        <v>0</v>
      </c>
      <c r="M2">
        <f>BDH("AEIS US Equity","BS_CUR_ASSET_REPORT","1993-06-18","2026-05-02","Per=Y","Days=T","Dir=V")</f>
        <v>0</v>
      </c>
      <c r="O2">
        <f>BDH("AEIS US Equity","BS_CUR_LIAB","1993-06-18","2026-05-02","Per=Y","Days=T","Dir=V")</f>
        <v>0</v>
      </c>
      <c r="Q2">
        <f>BDH("AEIS US Equity","BS_SHAREHOLDER_EQY_ENDING_PERIOD","1993-06-18","2026-05-02","Per=Y","Days=T","Dir=V")</f>
        <v>0</v>
      </c>
      <c r="S2">
        <f>BDH("AEIS US Equity","BS_ACCT_NOTE_RCV","1993-06-18","2026-05-02","Per=Y","Days=T","Dir=V")</f>
        <v>0</v>
      </c>
      <c r="U2">
        <f>BDH("AEIS US Equity","BS_INVENTORIES","1993-06-18","2026-05-02","Per=Y","Days=T","Dir=V")</f>
        <v>0</v>
      </c>
      <c r="W2">
        <f>BDH("AEIS US Equity","WORKING_CAPITAL","1993-06-18","2026-05-02","Per=Y","Days=T","Dir=V")</f>
        <v>0</v>
      </c>
      <c r="Y2">
        <f>BDH("AEIS US Equity","SALES_REV_TURN","1993-06-18","2026-05-02","Per=Y","Days=T","Dir=V")</f>
        <v>0</v>
      </c>
      <c r="AA2">
        <f>BDH("AEIS US Equity","EBIT","1993-06-18","2026-05-02","Per=Y","Days=T","Dir=V")</f>
        <v>0</v>
      </c>
      <c r="AC2">
        <f>BDH("AEIS US Equity","EBITDA","1993-06-18","2026-05-02","Per=Y","Days=T","Dir=V")</f>
        <v>0</v>
      </c>
      <c r="AE2">
        <f>BDH("AEIS US Equity","NET_INCOME","1993-06-18","2026-05-02","Per=Y","Days=T","Dir=V")</f>
        <v>0</v>
      </c>
      <c r="AG2">
        <f>BDH("AEIS US Equity","IS_INT_EXPENSE","1993-06-18","2026-05-02","Per=Y","Days=T","Dir=V")</f>
        <v>0</v>
      </c>
      <c r="AI2">
        <f>BDH("AEIS US Equity","IS_DEPR_EXP","1993-06-18","2026-05-02","Per=Y","Days=T","Dir=V")</f>
        <v>0</v>
      </c>
      <c r="AK2">
        <f>BDH("AEIS US Equity","CF_CASH_FROM_OPER","1993-06-18","2026-05-02","Per=Y","Days=T","Dir=V")</f>
        <v>0</v>
      </c>
      <c r="AM2">
        <f>BDH("AEIS US Equity","CAPITAL_EXPEND","1993-06-18","2026-05-02","Per=Y","Days=T","Dir=V")</f>
        <v>0</v>
      </c>
      <c r="AO2">
        <f>BDH("AEIS US Equity","CF_FREE_CASH_FLOW","1993-06-18","2026-05-02","Per=Y","Days=T","Dir=V")</f>
        <v>0</v>
      </c>
      <c r="AQ2">
        <f>BDH("AEIS US Equity","PX_LAST","1993-06-18","2026-05-02","Per=M","Days=T","Dir=V")</f>
        <v>0</v>
      </c>
      <c r="AS2">
        <f>BDH("AEIS US Equity","CUR_MKT_CAP","1993-06-18","2026-05-02","Per=M","Days=T","Dir=V")</f>
        <v>0</v>
      </c>
      <c r="AU2">
        <f>BDH("AEIS US Equity","EQY_SH_OUT","1993-06-18","2026-05-02","Per=M","Days=T","Dir=V")</f>
        <v>0</v>
      </c>
      <c r="AW2">
        <f>BDH("AEIS US Equity","PX_VOLUME","1993-06-18","2026-05-02","Per=M","Days=T","Dir=V")</f>
        <v>0</v>
      </c>
      <c r="AY2">
        <f>BDH("AEIS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BDH("AEMD US Equity","BS_TOT_ASSET","1993-06-18","2026-05-02","Per=Y","Days=T","Dir=V")</f>
        <v>0</v>
      </c>
      <c r="C2">
        <f>BDH("AEMD US Equity","BS_TOT_LIAB2","1993-06-18","2026-05-02","Per=Y","Days=T","Dir=V")</f>
        <v>0</v>
      </c>
      <c r="E2">
        <f>BDH("AEMD US Equity","SHORT_AND_LONG_TERM_DEBT","1993-06-18","2026-05-02","Per=Y","Days=T","Dir=V")</f>
        <v>0</v>
      </c>
      <c r="G2">
        <f>BDH("AEMD US Equity","BS_ST_BORROW","1993-06-18","2026-05-02","Per=Y","Days=T","Dir=V")</f>
        <v>0</v>
      </c>
      <c r="I2">
        <f>BDH("AEMD US Equity","BS_LT_BORROW","1993-06-18","2026-05-02","Per=Y","Days=T","Dir=V")</f>
        <v>0</v>
      </c>
      <c r="K2">
        <f>BDH("AEMD US Equity","BS_CASH_NEAR_CASH_ITEM","1993-06-18","2026-05-02","Per=Y","Days=T","Dir=V")</f>
        <v>0</v>
      </c>
      <c r="M2">
        <f>BDH("AEMD US Equity","BS_CUR_ASSET_REPORT","1993-06-18","2026-05-02","Per=Y","Days=T","Dir=V")</f>
        <v>0</v>
      </c>
      <c r="O2">
        <f>BDH("AEMD US Equity","BS_CUR_LIAB","1993-06-18","2026-05-02","Per=Y","Days=T","Dir=V")</f>
        <v>0</v>
      </c>
      <c r="Q2">
        <f>BDH("AEMD US Equity","BS_SHAREHOLDER_EQY_ENDING_PERIOD","1993-06-18","2026-05-02","Per=Y","Days=T","Dir=V")</f>
        <v>0</v>
      </c>
      <c r="S2">
        <f>BDH("AEMD US Equity","BS_ACCT_NOTE_RCV","1993-06-18","2026-05-02","Per=Y","Days=T","Dir=V")</f>
        <v>0</v>
      </c>
      <c r="U2">
        <f>BDH("AEMD US Equity","BS_INVENTORIES","1993-06-18","2026-05-02","Per=Y","Days=T","Dir=V")</f>
        <v>0</v>
      </c>
      <c r="W2">
        <f>BDH("AEMD US Equity","WORKING_CAPITAL","1993-06-18","2026-05-02","Per=Y","Days=T","Dir=V")</f>
        <v>0</v>
      </c>
      <c r="Y2">
        <f>BDH("AEMD US Equity","SALES_REV_TURN","1993-06-18","2026-05-02","Per=Y","Days=T","Dir=V")</f>
        <v>0</v>
      </c>
      <c r="AA2">
        <f>BDH("AEMD US Equity","EBIT","1993-06-18","2026-05-02","Per=Y","Days=T","Dir=V")</f>
        <v>0</v>
      </c>
      <c r="AC2">
        <f>BDH("AEMD US Equity","EBITDA","1993-06-18","2026-05-02","Per=Y","Days=T","Dir=V")</f>
        <v>0</v>
      </c>
      <c r="AE2">
        <f>BDH("AEMD US Equity","NET_INCOME","1993-06-18","2026-05-02","Per=Y","Days=T","Dir=V")</f>
        <v>0</v>
      </c>
      <c r="AG2">
        <f>BDH("AEMD US Equity","IS_INT_EXPENSE","1993-06-18","2026-05-02","Per=Y","Days=T","Dir=V")</f>
        <v>0</v>
      </c>
      <c r="AI2">
        <f>BDH("AEMD US Equity","IS_DEPR_EXP","1993-06-18","2026-05-02","Per=Y","Days=T","Dir=V")</f>
        <v>0</v>
      </c>
      <c r="AK2">
        <f>BDH("AEMD US Equity","CF_CASH_FROM_OPER","1993-06-18","2026-05-02","Per=Y","Days=T","Dir=V")</f>
        <v>0</v>
      </c>
      <c r="AM2">
        <f>BDH("AEMD US Equity","CAPITAL_EXPEND","1993-06-18","2026-05-02","Per=Y","Days=T","Dir=V")</f>
        <v>0</v>
      </c>
      <c r="AO2">
        <f>BDH("AEMD US Equity","CF_FREE_CASH_FLOW","1993-06-18","2026-05-02","Per=Y","Days=T","Dir=V")</f>
        <v>0</v>
      </c>
      <c r="AQ2">
        <f>BDH("AEMD US Equity","PX_LAST","1993-06-18","2026-05-02","Per=M","Days=T","Dir=V")</f>
        <v>0</v>
      </c>
      <c r="AS2">
        <f>BDH("AEMD US Equity","CUR_MKT_CAP","1993-06-18","2026-05-02","Per=M","Days=T","Dir=V")</f>
        <v>0</v>
      </c>
      <c r="AU2">
        <f>BDH("AEMD US Equity","EQY_SH_OUT","1993-06-18","2026-05-02","Per=M","Days=T","Dir=V")</f>
        <v>0</v>
      </c>
      <c r="AW2">
        <f>BDH("AEMD US Equity","PX_VOLUME","1993-06-18","2026-05-02","Per=M","Days=T","Dir=V")</f>
        <v>0</v>
      </c>
      <c r="AY2">
        <f>BDH("AEMD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BDH("AENT US Equity","BS_TOT_ASSET","1993-06-18","2026-05-02","Per=Y","Days=T","Dir=V")</f>
        <v>0</v>
      </c>
      <c r="C2">
        <f>BDH("AENT US Equity","BS_TOT_LIAB2","1993-06-18","2026-05-02","Per=Y","Days=T","Dir=V")</f>
        <v>0</v>
      </c>
      <c r="E2">
        <f>BDH("AENT US Equity","SHORT_AND_LONG_TERM_DEBT","1993-06-18","2026-05-02","Per=Y","Days=T","Dir=V")</f>
        <v>0</v>
      </c>
      <c r="G2">
        <f>BDH("AENT US Equity","BS_ST_BORROW","1993-06-18","2026-05-02","Per=Y","Days=T","Dir=V")</f>
        <v>0</v>
      </c>
      <c r="I2">
        <f>BDH("AENT US Equity","BS_LT_BORROW","1993-06-18","2026-05-02","Per=Y","Days=T","Dir=V")</f>
        <v>0</v>
      </c>
      <c r="K2">
        <f>BDH("AENT US Equity","BS_CASH_NEAR_CASH_ITEM","1993-06-18","2026-05-02","Per=Y","Days=T","Dir=V")</f>
        <v>0</v>
      </c>
      <c r="M2">
        <f>BDH("AENT US Equity","BS_CUR_ASSET_REPORT","1993-06-18","2026-05-02","Per=Y","Days=T","Dir=V")</f>
        <v>0</v>
      </c>
      <c r="O2">
        <f>BDH("AENT US Equity","BS_CUR_LIAB","1993-06-18","2026-05-02","Per=Y","Days=T","Dir=V")</f>
        <v>0</v>
      </c>
      <c r="Q2">
        <f>BDH("AENT US Equity","BS_SHAREHOLDER_EQY_ENDING_PERIOD","1993-06-18","2026-05-02","Per=Y","Days=T","Dir=V")</f>
        <v>0</v>
      </c>
      <c r="S2">
        <f>BDH("AENT US Equity","BS_ACCT_NOTE_RCV","1993-06-18","2026-05-02","Per=Y","Days=T","Dir=V")</f>
        <v>0</v>
      </c>
      <c r="U2">
        <f>BDH("AENT US Equity","BS_INVENTORIES","1993-06-18","2026-05-02","Per=Y","Days=T","Dir=V")</f>
        <v>0</v>
      </c>
      <c r="W2">
        <f>BDH("AENT US Equity","WORKING_CAPITAL","1993-06-18","2026-05-02","Per=Y","Days=T","Dir=V")</f>
        <v>0</v>
      </c>
      <c r="Y2">
        <f>BDH("AENT US Equity","SALES_REV_TURN","1993-06-18","2026-05-02","Per=Y","Days=T","Dir=V")</f>
        <v>0</v>
      </c>
      <c r="AA2">
        <f>BDH("AENT US Equity","EBIT","1993-06-18","2026-05-02","Per=Y","Days=T","Dir=V")</f>
        <v>0</v>
      </c>
      <c r="AC2">
        <f>BDH("AENT US Equity","EBITDA","1993-06-18","2026-05-02","Per=Y","Days=T","Dir=V")</f>
        <v>0</v>
      </c>
      <c r="AE2">
        <f>BDH("AENT US Equity","NET_INCOME","1993-06-18","2026-05-02","Per=Y","Days=T","Dir=V")</f>
        <v>0</v>
      </c>
      <c r="AG2">
        <f>BDH("AENT US Equity","IS_INT_EXPENSE","1993-06-18","2026-05-02","Per=Y","Days=T","Dir=V")</f>
        <v>0</v>
      </c>
      <c r="AI2">
        <f>BDH("AENT US Equity","IS_DEPR_EXP","1993-06-18","2026-05-02","Per=Y","Days=T","Dir=V")</f>
        <v>0</v>
      </c>
      <c r="AK2">
        <f>BDH("AENT US Equity","CF_CASH_FROM_OPER","1993-06-18","2026-05-02","Per=Y","Days=T","Dir=V")</f>
        <v>0</v>
      </c>
      <c r="AM2">
        <f>BDH("AENT US Equity","CAPITAL_EXPEND","1993-06-18","2026-05-02","Per=Y","Days=T","Dir=V")</f>
        <v>0</v>
      </c>
      <c r="AO2">
        <f>BDH("AENT US Equity","CF_FREE_CASH_FLOW","1993-06-18","2026-05-02","Per=Y","Days=T","Dir=V")</f>
        <v>0</v>
      </c>
      <c r="AQ2">
        <f>BDH("AENT US Equity","PX_LAST","1993-06-18","2026-05-02","Per=M","Days=T","Dir=V")</f>
        <v>0</v>
      </c>
      <c r="AS2">
        <f>BDH("AENT US Equity","CUR_MKT_CAP","1993-06-18","2026-05-02","Per=M","Days=T","Dir=V")</f>
        <v>0</v>
      </c>
      <c r="AU2">
        <f>BDH("AENT US Equity","EQY_SH_OUT","1993-06-18","2026-05-02","Per=M","Days=T","Dir=V")</f>
        <v>0</v>
      </c>
      <c r="AW2">
        <f>BDH("AENT US Equity","PX_VOLUME","1993-06-18","2026-05-02","Per=M","Days=T","Dir=V")</f>
        <v>0</v>
      </c>
      <c r="AY2">
        <f>BDH("AENT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BDH("AEO US Equity","BS_TOT_ASSET","1993-06-18","2026-05-02","Per=Y","Days=T","Dir=V")</f>
        <v>0</v>
      </c>
      <c r="C2">
        <f>BDH("AEO US Equity","BS_TOT_LIAB2","1993-06-18","2026-05-02","Per=Y","Days=T","Dir=V")</f>
        <v>0</v>
      </c>
      <c r="E2">
        <f>BDH("AEO US Equity","SHORT_AND_LONG_TERM_DEBT","1993-06-18","2026-05-02","Per=Y","Days=T","Dir=V")</f>
        <v>0</v>
      </c>
      <c r="G2">
        <f>BDH("AEO US Equity","BS_ST_BORROW","1993-06-18","2026-05-02","Per=Y","Days=T","Dir=V")</f>
        <v>0</v>
      </c>
      <c r="I2">
        <f>BDH("AEO US Equity","BS_LT_BORROW","1993-06-18","2026-05-02","Per=Y","Days=T","Dir=V")</f>
        <v>0</v>
      </c>
      <c r="K2">
        <f>BDH("AEO US Equity","BS_CASH_NEAR_CASH_ITEM","1993-06-18","2026-05-02","Per=Y","Days=T","Dir=V")</f>
        <v>0</v>
      </c>
      <c r="M2">
        <f>BDH("AEO US Equity","BS_CUR_ASSET_REPORT","1993-06-18","2026-05-02","Per=Y","Days=T","Dir=V")</f>
        <v>0</v>
      </c>
      <c r="O2">
        <f>BDH("AEO US Equity","BS_CUR_LIAB","1993-06-18","2026-05-02","Per=Y","Days=T","Dir=V")</f>
        <v>0</v>
      </c>
      <c r="Q2">
        <f>BDH("AEO US Equity","BS_SHAREHOLDER_EQY_ENDING_PERIOD","1993-06-18","2026-05-02","Per=Y","Days=T","Dir=V")</f>
        <v>0</v>
      </c>
      <c r="S2">
        <f>BDH("AEO US Equity","BS_ACCT_NOTE_RCV","1993-06-18","2026-05-02","Per=Y","Days=T","Dir=V")</f>
        <v>0</v>
      </c>
      <c r="U2">
        <f>BDH("AEO US Equity","BS_INVENTORIES","1993-06-18","2026-05-02","Per=Y","Days=T","Dir=V")</f>
        <v>0</v>
      </c>
      <c r="W2">
        <f>BDH("AEO US Equity","WORKING_CAPITAL","1993-06-18","2026-05-02","Per=Y","Days=T","Dir=V")</f>
        <v>0</v>
      </c>
      <c r="Y2">
        <f>BDH("AEO US Equity","SALES_REV_TURN","1993-06-18","2026-05-02","Per=Y","Days=T","Dir=V")</f>
        <v>0</v>
      </c>
      <c r="AA2">
        <f>BDH("AEO US Equity","EBIT","1993-06-18","2026-05-02","Per=Y","Days=T","Dir=V")</f>
        <v>0</v>
      </c>
      <c r="AC2">
        <f>BDH("AEO US Equity","EBITDA","1993-06-18","2026-05-02","Per=Y","Days=T","Dir=V")</f>
        <v>0</v>
      </c>
      <c r="AE2">
        <f>BDH("AEO US Equity","NET_INCOME","1993-06-18","2026-05-02","Per=Y","Days=T","Dir=V")</f>
        <v>0</v>
      </c>
      <c r="AG2">
        <f>BDH("AEO US Equity","IS_INT_EXPENSE","1993-06-18","2026-05-02","Per=Y","Days=T","Dir=V")</f>
        <v>0</v>
      </c>
      <c r="AI2">
        <f>BDH("AEO US Equity","IS_DEPR_EXP","1993-06-18","2026-05-02","Per=Y","Days=T","Dir=V")</f>
        <v>0</v>
      </c>
      <c r="AK2">
        <f>BDH("AEO US Equity","CF_CASH_FROM_OPER","1993-06-18","2026-05-02","Per=Y","Days=T","Dir=V")</f>
        <v>0</v>
      </c>
      <c r="AM2">
        <f>BDH("AEO US Equity","CAPITAL_EXPEND","1993-06-18","2026-05-02","Per=Y","Days=T","Dir=V")</f>
        <v>0</v>
      </c>
      <c r="AO2">
        <f>BDH("AEO US Equity","CF_FREE_CASH_FLOW","1993-06-18","2026-05-02","Per=Y","Days=T","Dir=V")</f>
        <v>0</v>
      </c>
      <c r="AQ2">
        <f>BDH("AEO US Equity","PX_LAST","1993-06-18","2026-05-02","Per=M","Days=T","Dir=V")</f>
        <v>0</v>
      </c>
      <c r="AS2">
        <f>BDH("AEO US Equity","CUR_MKT_CAP","1993-06-18","2026-05-02","Per=M","Days=T","Dir=V")</f>
        <v>0</v>
      </c>
      <c r="AU2">
        <f>BDH("AEO US Equity","EQY_SH_OUT","1993-06-18","2026-05-02","Per=M","Days=T","Dir=V")</f>
        <v>0</v>
      </c>
      <c r="AW2">
        <f>BDH("AEO US Equity","PX_VOLUME","1993-06-18","2026-05-02","Per=M","Days=T","Dir=V")</f>
        <v>0</v>
      </c>
      <c r="AY2">
        <f>BDH("AEO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BDH("AEON US Equity","BS_TOT_ASSET","1993-06-18","2026-05-02","Per=Y","Days=T","Dir=V")</f>
        <v>0</v>
      </c>
      <c r="C2">
        <f>BDH("AEON US Equity","BS_TOT_LIAB2","1993-06-18","2026-05-02","Per=Y","Days=T","Dir=V")</f>
        <v>0</v>
      </c>
      <c r="E2">
        <f>BDH("AEON US Equity","SHORT_AND_LONG_TERM_DEBT","1993-06-18","2026-05-02","Per=Y","Days=T","Dir=V")</f>
        <v>0</v>
      </c>
      <c r="G2">
        <f>BDH("AEON US Equity","BS_ST_BORROW","1993-06-18","2026-05-02","Per=Y","Days=T","Dir=V")</f>
        <v>0</v>
      </c>
      <c r="I2">
        <f>BDH("AEON US Equity","BS_LT_BORROW","1993-06-18","2026-05-02","Per=Y","Days=T","Dir=V")</f>
        <v>0</v>
      </c>
      <c r="K2">
        <f>BDH("AEON US Equity","BS_CASH_NEAR_CASH_ITEM","1993-06-18","2026-05-02","Per=Y","Days=T","Dir=V")</f>
        <v>0</v>
      </c>
      <c r="M2">
        <f>BDH("AEON US Equity","BS_CUR_ASSET_REPORT","1993-06-18","2026-05-02","Per=Y","Days=T","Dir=V")</f>
        <v>0</v>
      </c>
      <c r="O2">
        <f>BDH("AEON US Equity","BS_CUR_LIAB","1993-06-18","2026-05-02","Per=Y","Days=T","Dir=V")</f>
        <v>0</v>
      </c>
      <c r="Q2">
        <f>BDH("AEON US Equity","BS_SHAREHOLDER_EQY_ENDING_PERIOD","1993-06-18","2026-05-02","Per=Y","Days=T","Dir=V")</f>
        <v>0</v>
      </c>
      <c r="S2">
        <f>BDH("AEON US Equity","BS_ACCT_NOTE_RCV","1993-06-18","2026-05-02","Per=Y","Days=T","Dir=V")</f>
        <v>0</v>
      </c>
      <c r="U2">
        <f>BDH("AEON US Equity","BS_INVENTORIES","1993-06-18","2026-05-02","Per=Y","Days=T","Dir=V")</f>
        <v>0</v>
      </c>
      <c r="W2">
        <f>BDH("AEON US Equity","WORKING_CAPITAL","1993-06-18","2026-05-02","Per=Y","Days=T","Dir=V")</f>
        <v>0</v>
      </c>
      <c r="Y2">
        <f>BDH("AEON US Equity","SALES_REV_TURN","1993-06-18","2026-05-02","Per=Y","Days=T","Dir=V")</f>
        <v>0</v>
      </c>
      <c r="AA2">
        <f>BDH("AEON US Equity","EBIT","1993-06-18","2026-05-02","Per=Y","Days=T","Dir=V")</f>
        <v>0</v>
      </c>
      <c r="AC2">
        <f>BDH("AEON US Equity","EBITDA","1993-06-18","2026-05-02","Per=Y","Days=T","Dir=V")</f>
        <v>0</v>
      </c>
      <c r="AE2">
        <f>BDH("AEON US Equity","NET_INCOME","1993-06-18","2026-05-02","Per=Y","Days=T","Dir=V")</f>
        <v>0</v>
      </c>
      <c r="AG2">
        <f>BDH("AEON US Equity","IS_INT_EXPENSE","1993-06-18","2026-05-02","Per=Y","Days=T","Dir=V")</f>
        <v>0</v>
      </c>
      <c r="AI2">
        <f>BDH("AEON US Equity","IS_DEPR_EXP","1993-06-18","2026-05-02","Per=Y","Days=T","Dir=V")</f>
        <v>0</v>
      </c>
      <c r="AK2">
        <f>BDH("AEON US Equity","CF_CASH_FROM_OPER","1993-06-18","2026-05-02","Per=Y","Days=T","Dir=V")</f>
        <v>0</v>
      </c>
      <c r="AM2">
        <f>BDH("AEON US Equity","CAPITAL_EXPEND","1993-06-18","2026-05-02","Per=Y","Days=T","Dir=V")</f>
        <v>0</v>
      </c>
      <c r="AO2">
        <f>BDH("AEON US Equity","CF_FREE_CASH_FLOW","1993-06-18","2026-05-02","Per=Y","Days=T","Dir=V")</f>
        <v>0</v>
      </c>
      <c r="AQ2">
        <f>BDH("AEON US Equity","PX_LAST","1993-06-18","2026-05-02","Per=M","Days=T","Dir=V")</f>
        <v>0</v>
      </c>
      <c r="AS2">
        <f>BDH("AEON US Equity","CUR_MKT_CAP","1993-06-18","2026-05-02","Per=M","Days=T","Dir=V")</f>
        <v>0</v>
      </c>
      <c r="AU2">
        <f>BDH("AEON US Equity","EQY_SH_OUT","1993-06-18","2026-05-02","Per=M","Days=T","Dir=V")</f>
        <v>0</v>
      </c>
      <c r="AW2">
        <f>BDH("AEON US Equity","PX_VOLUME","1993-06-18","2026-05-02","Per=M","Days=T","Dir=V")</f>
        <v>0</v>
      </c>
      <c r="AY2">
        <f>BDH("AEON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BDH("AEP US Equity","BS_TOT_ASSET","1993-06-18","2026-05-02","Per=Y","Days=T","Dir=V")</f>
        <v>0</v>
      </c>
      <c r="C2">
        <f>BDH("AEP US Equity","BS_TOT_LIAB2","1993-06-18","2026-05-02","Per=Y","Days=T","Dir=V")</f>
        <v>0</v>
      </c>
      <c r="E2">
        <f>BDH("AEP US Equity","SHORT_AND_LONG_TERM_DEBT","1993-06-18","2026-05-02","Per=Y","Days=T","Dir=V")</f>
        <v>0</v>
      </c>
      <c r="G2">
        <f>BDH("AEP US Equity","BS_ST_BORROW","1993-06-18","2026-05-02","Per=Y","Days=T","Dir=V")</f>
        <v>0</v>
      </c>
      <c r="I2">
        <f>BDH("AEP US Equity","BS_LT_BORROW","1993-06-18","2026-05-02","Per=Y","Days=T","Dir=V")</f>
        <v>0</v>
      </c>
      <c r="K2">
        <f>BDH("AEP US Equity","BS_CASH_NEAR_CASH_ITEM","1993-06-18","2026-05-02","Per=Y","Days=T","Dir=V")</f>
        <v>0</v>
      </c>
      <c r="M2">
        <f>BDH("AEP US Equity","BS_CUR_ASSET_REPORT","1993-06-18","2026-05-02","Per=Y","Days=T","Dir=V")</f>
        <v>0</v>
      </c>
      <c r="O2">
        <f>BDH("AEP US Equity","BS_CUR_LIAB","1993-06-18","2026-05-02","Per=Y","Days=T","Dir=V")</f>
        <v>0</v>
      </c>
      <c r="Q2">
        <f>BDH("AEP US Equity","BS_SHAREHOLDER_EQY_ENDING_PERIOD","1993-06-18","2026-05-02","Per=Y","Days=T","Dir=V")</f>
        <v>0</v>
      </c>
      <c r="S2">
        <f>BDH("AEP US Equity","BS_ACCT_NOTE_RCV","1993-06-18","2026-05-02","Per=Y","Days=T","Dir=V")</f>
        <v>0</v>
      </c>
      <c r="U2">
        <f>BDH("AEP US Equity","BS_INVENTORIES","1993-06-18","2026-05-02","Per=Y","Days=T","Dir=V")</f>
        <v>0</v>
      </c>
      <c r="W2">
        <f>BDH("AEP US Equity","WORKING_CAPITAL","1993-06-18","2026-05-02","Per=Y","Days=T","Dir=V")</f>
        <v>0</v>
      </c>
      <c r="Y2">
        <f>BDH("AEP US Equity","SALES_REV_TURN","1993-06-18","2026-05-02","Per=Y","Days=T","Dir=V")</f>
        <v>0</v>
      </c>
      <c r="AA2">
        <f>BDH("AEP US Equity","EBIT","1993-06-18","2026-05-02","Per=Y","Days=T","Dir=V")</f>
        <v>0</v>
      </c>
      <c r="AC2">
        <f>BDH("AEP US Equity","EBITDA","1993-06-18","2026-05-02","Per=Y","Days=T","Dir=V")</f>
        <v>0</v>
      </c>
      <c r="AE2">
        <f>BDH("AEP US Equity","NET_INCOME","1993-06-18","2026-05-02","Per=Y","Days=T","Dir=V")</f>
        <v>0</v>
      </c>
      <c r="AG2">
        <f>BDH("AEP US Equity","IS_INT_EXPENSE","1993-06-18","2026-05-02","Per=Y","Days=T","Dir=V")</f>
        <v>0</v>
      </c>
      <c r="AI2">
        <f>BDH("AEP US Equity","IS_DEPR_EXP","1993-06-18","2026-05-02","Per=Y","Days=T","Dir=V")</f>
        <v>0</v>
      </c>
      <c r="AK2">
        <f>BDH("AEP US Equity","CF_CASH_FROM_OPER","1993-06-18","2026-05-02","Per=Y","Days=T","Dir=V")</f>
        <v>0</v>
      </c>
      <c r="AM2">
        <f>BDH("AEP US Equity","CAPITAL_EXPEND","1993-06-18","2026-05-02","Per=Y","Days=T","Dir=V")</f>
        <v>0</v>
      </c>
      <c r="AO2">
        <f>BDH("AEP US Equity","CF_FREE_CASH_FLOW","1993-06-18","2026-05-02","Per=Y","Days=T","Dir=V")</f>
        <v>0</v>
      </c>
      <c r="AQ2">
        <f>BDH("AEP US Equity","PX_LAST","1993-06-18","2026-05-02","Per=M","Days=T","Dir=V")</f>
        <v>0</v>
      </c>
      <c r="AS2">
        <f>BDH("AEP US Equity","CUR_MKT_CAP","1993-06-18","2026-05-02","Per=M","Days=T","Dir=V")</f>
        <v>0</v>
      </c>
      <c r="AU2">
        <f>BDH("AEP US Equity","EQY_SH_OUT","1993-06-18","2026-05-02","Per=M","Days=T","Dir=V")</f>
        <v>0</v>
      </c>
      <c r="AW2">
        <f>BDH("AEP US Equity","PX_VOLUME","1993-06-18","2026-05-02","Per=M","Days=T","Dir=V")</f>
        <v>0</v>
      </c>
      <c r="AY2">
        <f>BDH("AEP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BDH("AERT US Equity","BS_TOT_ASSET","1993-06-18","2026-05-02","Per=Y","Days=T","Dir=V")</f>
        <v>0</v>
      </c>
      <c r="C2">
        <f>BDH("AERT US Equity","BS_TOT_LIAB2","1993-06-18","2026-05-02","Per=Y","Days=T","Dir=V")</f>
        <v>0</v>
      </c>
      <c r="E2">
        <f>BDH("AERT US Equity","SHORT_AND_LONG_TERM_DEBT","1993-06-18","2026-05-02","Per=Y","Days=T","Dir=V")</f>
        <v>0</v>
      </c>
      <c r="G2">
        <f>BDH("AERT US Equity","BS_ST_BORROW","1993-06-18","2026-05-02","Per=Y","Days=T","Dir=V")</f>
        <v>0</v>
      </c>
      <c r="I2">
        <f>BDH("AERT US Equity","BS_LT_BORROW","1993-06-18","2026-05-02","Per=Y","Days=T","Dir=V")</f>
        <v>0</v>
      </c>
      <c r="K2">
        <f>BDH("AERT US Equity","BS_CASH_NEAR_CASH_ITEM","1993-06-18","2026-05-02","Per=Y","Days=T","Dir=V")</f>
        <v>0</v>
      </c>
      <c r="M2">
        <f>BDH("AERT US Equity","BS_CUR_ASSET_REPORT","1993-06-18","2026-05-02","Per=Y","Days=T","Dir=V")</f>
        <v>0</v>
      </c>
      <c r="O2">
        <f>BDH("AERT US Equity","BS_CUR_LIAB","1993-06-18","2026-05-02","Per=Y","Days=T","Dir=V")</f>
        <v>0</v>
      </c>
      <c r="Q2">
        <f>BDH("AERT US Equity","BS_SHAREHOLDER_EQY_ENDING_PERIOD","1993-06-18","2026-05-02","Per=Y","Days=T","Dir=V")</f>
        <v>0</v>
      </c>
      <c r="S2">
        <f>BDH("AERT US Equity","BS_ACCT_NOTE_RCV","1993-06-18","2026-05-02","Per=Y","Days=T","Dir=V")</f>
        <v>0</v>
      </c>
      <c r="U2">
        <f>BDH("AERT US Equity","BS_INVENTORIES","1993-06-18","2026-05-02","Per=Y","Days=T","Dir=V")</f>
        <v>0</v>
      </c>
      <c r="W2">
        <f>BDH("AERT US Equity","WORKING_CAPITAL","1993-06-18","2026-05-02","Per=Y","Days=T","Dir=V")</f>
        <v>0</v>
      </c>
      <c r="Y2">
        <f>BDH("AERT US Equity","SALES_REV_TURN","1993-06-18","2026-05-02","Per=Y","Days=T","Dir=V")</f>
        <v>0</v>
      </c>
      <c r="AA2">
        <f>BDH("AERT US Equity","EBIT","1993-06-18","2026-05-02","Per=Y","Days=T","Dir=V")</f>
        <v>0</v>
      </c>
      <c r="AC2">
        <f>BDH("AERT US Equity","EBITDA","1993-06-18","2026-05-02","Per=Y","Days=T","Dir=V")</f>
        <v>0</v>
      </c>
      <c r="AE2">
        <f>BDH("AERT US Equity","NET_INCOME","1993-06-18","2026-05-02","Per=Y","Days=T","Dir=V")</f>
        <v>0</v>
      </c>
      <c r="AG2">
        <f>BDH("AERT US Equity","IS_INT_EXPENSE","1993-06-18","2026-05-02","Per=Y","Days=T","Dir=V")</f>
        <v>0</v>
      </c>
      <c r="AI2">
        <f>BDH("AERT US Equity","IS_DEPR_EXP","1993-06-18","2026-05-02","Per=Y","Days=T","Dir=V")</f>
        <v>0</v>
      </c>
      <c r="AK2">
        <f>BDH("AERT US Equity","CF_CASH_FROM_OPER","1993-06-18","2026-05-02","Per=Y","Days=T","Dir=V")</f>
        <v>0</v>
      </c>
      <c r="AM2">
        <f>BDH("AERT US Equity","CAPITAL_EXPEND","1993-06-18","2026-05-02","Per=Y","Days=T","Dir=V")</f>
        <v>0</v>
      </c>
      <c r="AO2">
        <f>BDH("AERT US Equity","CF_FREE_CASH_FLOW","1993-06-18","2026-05-02","Per=Y","Days=T","Dir=V")</f>
        <v>0</v>
      </c>
      <c r="AQ2">
        <f>BDH("AERT US Equity","PX_LAST","1993-06-18","2026-05-02","Per=M","Days=T","Dir=V")</f>
        <v>0</v>
      </c>
      <c r="AS2">
        <f>BDH("AERT US Equity","CUR_MKT_CAP","1993-06-18","2026-05-02","Per=M","Days=T","Dir=V")</f>
        <v>0</v>
      </c>
      <c r="AU2">
        <f>BDH("AERT US Equity","EQY_SH_OUT","1993-06-18","2026-05-02","Per=M","Days=T","Dir=V")</f>
        <v>0</v>
      </c>
      <c r="AW2">
        <f>BDH("AERT US Equity","PX_VOLUME","1993-06-18","2026-05-02","Per=M","Days=T","Dir=V")</f>
        <v>0</v>
      </c>
      <c r="AY2">
        <f>BDH("AERT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BDH("AES US Equity","BS_TOT_ASSET","1993-06-18","2026-05-02","Per=Y","Days=T","Dir=V")</f>
        <v>0</v>
      </c>
      <c r="C2">
        <f>BDH("AES US Equity","BS_TOT_LIAB2","1993-06-18","2026-05-02","Per=Y","Days=T","Dir=V")</f>
        <v>0</v>
      </c>
      <c r="E2">
        <f>BDH("AES US Equity","SHORT_AND_LONG_TERM_DEBT","1993-06-18","2026-05-02","Per=Y","Days=T","Dir=V")</f>
        <v>0</v>
      </c>
      <c r="G2">
        <f>BDH("AES US Equity","BS_ST_BORROW","1993-06-18","2026-05-02","Per=Y","Days=T","Dir=V")</f>
        <v>0</v>
      </c>
      <c r="I2">
        <f>BDH("AES US Equity","BS_LT_BORROW","1993-06-18","2026-05-02","Per=Y","Days=T","Dir=V")</f>
        <v>0</v>
      </c>
      <c r="K2">
        <f>BDH("AES US Equity","BS_CASH_NEAR_CASH_ITEM","1993-06-18","2026-05-02","Per=Y","Days=T","Dir=V")</f>
        <v>0</v>
      </c>
      <c r="M2">
        <f>BDH("AES US Equity","BS_CUR_ASSET_REPORT","1993-06-18","2026-05-02","Per=Y","Days=T","Dir=V")</f>
        <v>0</v>
      </c>
      <c r="O2">
        <f>BDH("AES US Equity","BS_CUR_LIAB","1993-06-18","2026-05-02","Per=Y","Days=T","Dir=V")</f>
        <v>0</v>
      </c>
      <c r="Q2">
        <f>BDH("AES US Equity","BS_SHAREHOLDER_EQY_ENDING_PERIOD","1993-06-18","2026-05-02","Per=Y","Days=T","Dir=V")</f>
        <v>0</v>
      </c>
      <c r="S2">
        <f>BDH("AES US Equity","BS_ACCT_NOTE_RCV","1993-06-18","2026-05-02","Per=Y","Days=T","Dir=V")</f>
        <v>0</v>
      </c>
      <c r="U2">
        <f>BDH("AES US Equity","BS_INVENTORIES","1993-06-18","2026-05-02","Per=Y","Days=T","Dir=V")</f>
        <v>0</v>
      </c>
      <c r="W2">
        <f>BDH("AES US Equity","WORKING_CAPITAL","1993-06-18","2026-05-02","Per=Y","Days=T","Dir=V")</f>
        <v>0</v>
      </c>
      <c r="Y2">
        <f>BDH("AES US Equity","SALES_REV_TURN","1993-06-18","2026-05-02","Per=Y","Days=T","Dir=V")</f>
        <v>0</v>
      </c>
      <c r="AA2">
        <f>BDH("AES US Equity","EBIT","1993-06-18","2026-05-02","Per=Y","Days=T","Dir=V")</f>
        <v>0</v>
      </c>
      <c r="AC2">
        <f>BDH("AES US Equity","EBITDA","1993-06-18","2026-05-02","Per=Y","Days=T","Dir=V")</f>
        <v>0</v>
      </c>
      <c r="AE2">
        <f>BDH("AES US Equity","NET_INCOME","1993-06-18","2026-05-02","Per=Y","Days=T","Dir=V")</f>
        <v>0</v>
      </c>
      <c r="AG2">
        <f>BDH("AES US Equity","IS_INT_EXPENSE","1993-06-18","2026-05-02","Per=Y","Days=T","Dir=V")</f>
        <v>0</v>
      </c>
      <c r="AI2">
        <f>BDH("AES US Equity","IS_DEPR_EXP","1993-06-18","2026-05-02","Per=Y","Days=T","Dir=V")</f>
        <v>0</v>
      </c>
      <c r="AK2">
        <f>BDH("AES US Equity","CF_CASH_FROM_OPER","1993-06-18","2026-05-02","Per=Y","Days=T","Dir=V")</f>
        <v>0</v>
      </c>
      <c r="AM2">
        <f>BDH("AES US Equity","CAPITAL_EXPEND","1993-06-18","2026-05-02","Per=Y","Days=T","Dir=V")</f>
        <v>0</v>
      </c>
      <c r="AO2">
        <f>BDH("AES US Equity","CF_FREE_CASH_FLOW","1993-06-18","2026-05-02","Per=Y","Days=T","Dir=V")</f>
        <v>0</v>
      </c>
      <c r="AQ2">
        <f>BDH("AES US Equity","PX_LAST","1993-06-18","2026-05-02","Per=M","Days=T","Dir=V")</f>
        <v>0</v>
      </c>
      <c r="AS2">
        <f>BDH("AES US Equity","CUR_MKT_CAP","1993-06-18","2026-05-02","Per=M","Days=T","Dir=V")</f>
        <v>0</v>
      </c>
      <c r="AU2">
        <f>BDH("AES US Equity","EQY_SH_OUT","1993-06-18","2026-05-02","Per=M","Days=T","Dir=V")</f>
        <v>0</v>
      </c>
      <c r="AW2">
        <f>BDH("AES US Equity","PX_VOLUME","1993-06-18","2026-05-02","Per=M","Days=T","Dir=V")</f>
        <v>0</v>
      </c>
      <c r="AY2">
        <f>BDH("AES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BDH("AESI US Equity","BS_TOT_ASSET","1993-06-18","2026-05-02","Per=Y","Days=T","Dir=V")</f>
        <v>0</v>
      </c>
      <c r="C2">
        <f>BDH("AESI US Equity","BS_TOT_LIAB2","1993-06-18","2026-05-02","Per=Y","Days=T","Dir=V")</f>
        <v>0</v>
      </c>
      <c r="E2">
        <f>BDH("AESI US Equity","SHORT_AND_LONG_TERM_DEBT","1993-06-18","2026-05-02","Per=Y","Days=T","Dir=V")</f>
        <v>0</v>
      </c>
      <c r="G2">
        <f>BDH("AESI US Equity","BS_ST_BORROW","1993-06-18","2026-05-02","Per=Y","Days=T","Dir=V")</f>
        <v>0</v>
      </c>
      <c r="I2">
        <f>BDH("AESI US Equity","BS_LT_BORROW","1993-06-18","2026-05-02","Per=Y","Days=T","Dir=V")</f>
        <v>0</v>
      </c>
      <c r="K2">
        <f>BDH("AESI US Equity","BS_CASH_NEAR_CASH_ITEM","1993-06-18","2026-05-02","Per=Y","Days=T","Dir=V")</f>
        <v>0</v>
      </c>
      <c r="M2">
        <f>BDH("AESI US Equity","BS_CUR_ASSET_REPORT","1993-06-18","2026-05-02","Per=Y","Days=T","Dir=V")</f>
        <v>0</v>
      </c>
      <c r="O2">
        <f>BDH("AESI US Equity","BS_CUR_LIAB","1993-06-18","2026-05-02","Per=Y","Days=T","Dir=V")</f>
        <v>0</v>
      </c>
      <c r="Q2">
        <f>BDH("AESI US Equity","BS_SHAREHOLDER_EQY_ENDING_PERIOD","1993-06-18","2026-05-02","Per=Y","Days=T","Dir=V")</f>
        <v>0</v>
      </c>
      <c r="S2">
        <f>BDH("AESI US Equity","BS_ACCT_NOTE_RCV","1993-06-18","2026-05-02","Per=Y","Days=T","Dir=V")</f>
        <v>0</v>
      </c>
      <c r="U2">
        <f>BDH("AESI US Equity","BS_INVENTORIES","1993-06-18","2026-05-02","Per=Y","Days=T","Dir=V")</f>
        <v>0</v>
      </c>
      <c r="W2">
        <f>BDH("AESI US Equity","WORKING_CAPITAL","1993-06-18","2026-05-02","Per=Y","Days=T","Dir=V")</f>
        <v>0</v>
      </c>
      <c r="Y2">
        <f>BDH("AESI US Equity","SALES_REV_TURN","1993-06-18","2026-05-02","Per=Y","Days=T","Dir=V")</f>
        <v>0</v>
      </c>
      <c r="AA2">
        <f>BDH("AESI US Equity","EBIT","1993-06-18","2026-05-02","Per=Y","Days=T","Dir=V")</f>
        <v>0</v>
      </c>
      <c r="AC2">
        <f>BDH("AESI US Equity","EBITDA","1993-06-18","2026-05-02","Per=Y","Days=T","Dir=V")</f>
        <v>0</v>
      </c>
      <c r="AE2">
        <f>BDH("AESI US Equity","NET_INCOME","1993-06-18","2026-05-02","Per=Y","Days=T","Dir=V")</f>
        <v>0</v>
      </c>
      <c r="AG2">
        <f>BDH("AESI US Equity","IS_INT_EXPENSE","1993-06-18","2026-05-02","Per=Y","Days=T","Dir=V")</f>
        <v>0</v>
      </c>
      <c r="AI2">
        <f>BDH("AESI US Equity","IS_DEPR_EXP","1993-06-18","2026-05-02","Per=Y","Days=T","Dir=V")</f>
        <v>0</v>
      </c>
      <c r="AK2">
        <f>BDH("AESI US Equity","CF_CASH_FROM_OPER","1993-06-18","2026-05-02","Per=Y","Days=T","Dir=V")</f>
        <v>0</v>
      </c>
      <c r="AM2">
        <f>BDH("AESI US Equity","CAPITAL_EXPEND","1993-06-18","2026-05-02","Per=Y","Days=T","Dir=V")</f>
        <v>0</v>
      </c>
      <c r="AO2">
        <f>BDH("AESI US Equity","CF_FREE_CASH_FLOW","1993-06-18","2026-05-02","Per=Y","Days=T","Dir=V")</f>
        <v>0</v>
      </c>
      <c r="AQ2">
        <f>BDH("AESI US Equity","PX_LAST","1993-06-18","2026-05-02","Per=M","Days=T","Dir=V")</f>
        <v>0</v>
      </c>
      <c r="AS2">
        <f>BDH("AESI US Equity","CUR_MKT_CAP","1993-06-18","2026-05-02","Per=M","Days=T","Dir=V")</f>
        <v>0</v>
      </c>
      <c r="AU2">
        <f>BDH("AESI US Equity","EQY_SH_OUT","1993-06-18","2026-05-02","Per=M","Days=T","Dir=V")</f>
        <v>0</v>
      </c>
      <c r="AW2">
        <f>BDH("AESI US Equity","PX_VOLUME","1993-06-18","2026-05-02","Per=M","Days=T","Dir=V")</f>
        <v>0</v>
      </c>
      <c r="AY2">
        <f>BDH("AESI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BDH("AEVA US Equity","BS_TOT_ASSET","1993-06-18","2026-05-02","Per=Y","Days=T","Dir=V")</f>
        <v>0</v>
      </c>
      <c r="C2">
        <f>BDH("AEVA US Equity","BS_TOT_LIAB2","1993-06-18","2026-05-02","Per=Y","Days=T","Dir=V")</f>
        <v>0</v>
      </c>
      <c r="E2">
        <f>BDH("AEVA US Equity","SHORT_AND_LONG_TERM_DEBT","1993-06-18","2026-05-02","Per=Y","Days=T","Dir=V")</f>
        <v>0</v>
      </c>
      <c r="G2">
        <f>BDH("AEVA US Equity","BS_ST_BORROW","1993-06-18","2026-05-02","Per=Y","Days=T","Dir=V")</f>
        <v>0</v>
      </c>
      <c r="I2">
        <f>BDH("AEVA US Equity","BS_LT_BORROW","1993-06-18","2026-05-02","Per=Y","Days=T","Dir=V")</f>
        <v>0</v>
      </c>
      <c r="K2">
        <f>BDH("AEVA US Equity","BS_CASH_NEAR_CASH_ITEM","1993-06-18","2026-05-02","Per=Y","Days=T","Dir=V")</f>
        <v>0</v>
      </c>
      <c r="M2">
        <f>BDH("AEVA US Equity","BS_CUR_ASSET_REPORT","1993-06-18","2026-05-02","Per=Y","Days=T","Dir=V")</f>
        <v>0</v>
      </c>
      <c r="O2">
        <f>BDH("AEVA US Equity","BS_CUR_LIAB","1993-06-18","2026-05-02","Per=Y","Days=T","Dir=V")</f>
        <v>0</v>
      </c>
      <c r="Q2">
        <f>BDH("AEVA US Equity","BS_SHAREHOLDER_EQY_ENDING_PERIOD","1993-06-18","2026-05-02","Per=Y","Days=T","Dir=V")</f>
        <v>0</v>
      </c>
      <c r="S2">
        <f>BDH("AEVA US Equity","BS_ACCT_NOTE_RCV","1993-06-18","2026-05-02","Per=Y","Days=T","Dir=V")</f>
        <v>0</v>
      </c>
      <c r="U2">
        <f>BDH("AEVA US Equity","BS_INVENTORIES","1993-06-18","2026-05-02","Per=Y","Days=T","Dir=V")</f>
        <v>0</v>
      </c>
      <c r="W2">
        <f>BDH("AEVA US Equity","WORKING_CAPITAL","1993-06-18","2026-05-02","Per=Y","Days=T","Dir=V")</f>
        <v>0</v>
      </c>
      <c r="Y2">
        <f>BDH("AEVA US Equity","SALES_REV_TURN","1993-06-18","2026-05-02","Per=Y","Days=T","Dir=V")</f>
        <v>0</v>
      </c>
      <c r="AA2">
        <f>BDH("AEVA US Equity","EBIT","1993-06-18","2026-05-02","Per=Y","Days=T","Dir=V")</f>
        <v>0</v>
      </c>
      <c r="AC2">
        <f>BDH("AEVA US Equity","EBITDA","1993-06-18","2026-05-02","Per=Y","Days=T","Dir=V")</f>
        <v>0</v>
      </c>
      <c r="AE2">
        <f>BDH("AEVA US Equity","NET_INCOME","1993-06-18","2026-05-02","Per=Y","Days=T","Dir=V")</f>
        <v>0</v>
      </c>
      <c r="AG2">
        <f>BDH("AEVA US Equity","IS_INT_EXPENSE","1993-06-18","2026-05-02","Per=Y","Days=T","Dir=V")</f>
        <v>0</v>
      </c>
      <c r="AI2">
        <f>BDH("AEVA US Equity","IS_DEPR_EXP","1993-06-18","2026-05-02","Per=Y","Days=T","Dir=V")</f>
        <v>0</v>
      </c>
      <c r="AK2">
        <f>BDH("AEVA US Equity","CF_CASH_FROM_OPER","1993-06-18","2026-05-02","Per=Y","Days=T","Dir=V")</f>
        <v>0</v>
      </c>
      <c r="AM2">
        <f>BDH("AEVA US Equity","CAPITAL_EXPEND","1993-06-18","2026-05-02","Per=Y","Days=T","Dir=V")</f>
        <v>0</v>
      </c>
      <c r="AO2">
        <f>BDH("AEVA US Equity","CF_FREE_CASH_FLOW","1993-06-18","2026-05-02","Per=Y","Days=T","Dir=V")</f>
        <v>0</v>
      </c>
      <c r="AQ2">
        <f>BDH("AEVA US Equity","PX_LAST","1993-06-18","2026-05-02","Per=M","Days=T","Dir=V")</f>
        <v>0</v>
      </c>
      <c r="AS2">
        <f>BDH("AEVA US Equity","CUR_MKT_CAP","1993-06-18","2026-05-02","Per=M","Days=T","Dir=V")</f>
        <v>0</v>
      </c>
      <c r="AU2">
        <f>BDH("AEVA US Equity","EQY_SH_OUT","1993-06-18","2026-05-02","Per=M","Days=T","Dir=V")</f>
        <v>0</v>
      </c>
      <c r="AW2">
        <f>BDH("AEVA US Equity","PX_VOLUME","1993-06-18","2026-05-02","Per=M","Days=T","Dir=V")</f>
        <v>0</v>
      </c>
      <c r="AY2">
        <f>BDH("AEVA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BDH("AEYE US Equity","BS_TOT_ASSET","1993-06-18","2026-05-02","Per=Y","Days=T","Dir=V")</f>
        <v>0</v>
      </c>
      <c r="C2">
        <f>BDH("AEYE US Equity","BS_TOT_LIAB2","1993-06-18","2026-05-02","Per=Y","Days=T","Dir=V")</f>
        <v>0</v>
      </c>
      <c r="E2">
        <f>BDH("AEYE US Equity","SHORT_AND_LONG_TERM_DEBT","1993-06-18","2026-05-02","Per=Y","Days=T","Dir=V")</f>
        <v>0</v>
      </c>
      <c r="G2">
        <f>BDH("AEYE US Equity","BS_ST_BORROW","1993-06-18","2026-05-02","Per=Y","Days=T","Dir=V")</f>
        <v>0</v>
      </c>
      <c r="I2">
        <f>BDH("AEYE US Equity","BS_LT_BORROW","1993-06-18","2026-05-02","Per=Y","Days=T","Dir=V")</f>
        <v>0</v>
      </c>
      <c r="K2">
        <f>BDH("AEYE US Equity","BS_CASH_NEAR_CASH_ITEM","1993-06-18","2026-05-02","Per=Y","Days=T","Dir=V")</f>
        <v>0</v>
      </c>
      <c r="M2">
        <f>BDH("AEYE US Equity","BS_CUR_ASSET_REPORT","1993-06-18","2026-05-02","Per=Y","Days=T","Dir=V")</f>
        <v>0</v>
      </c>
      <c r="O2">
        <f>BDH("AEYE US Equity","BS_CUR_LIAB","1993-06-18","2026-05-02","Per=Y","Days=T","Dir=V")</f>
        <v>0</v>
      </c>
      <c r="Q2">
        <f>BDH("AEYE US Equity","BS_SHAREHOLDER_EQY_ENDING_PERIOD","1993-06-18","2026-05-02","Per=Y","Days=T","Dir=V")</f>
        <v>0</v>
      </c>
      <c r="S2">
        <f>BDH("AEYE US Equity","BS_ACCT_NOTE_RCV","1993-06-18","2026-05-02","Per=Y","Days=T","Dir=V")</f>
        <v>0</v>
      </c>
      <c r="U2">
        <f>BDH("AEYE US Equity","BS_INVENTORIES","1993-06-18","2026-05-02","Per=Y","Days=T","Dir=V")</f>
        <v>0</v>
      </c>
      <c r="W2">
        <f>BDH("AEYE US Equity","WORKING_CAPITAL","1993-06-18","2026-05-02","Per=Y","Days=T","Dir=V")</f>
        <v>0</v>
      </c>
      <c r="Y2">
        <f>BDH("AEYE US Equity","SALES_REV_TURN","1993-06-18","2026-05-02","Per=Y","Days=T","Dir=V")</f>
        <v>0</v>
      </c>
      <c r="AA2">
        <f>BDH("AEYE US Equity","EBIT","1993-06-18","2026-05-02","Per=Y","Days=T","Dir=V")</f>
        <v>0</v>
      </c>
      <c r="AC2">
        <f>BDH("AEYE US Equity","EBITDA","1993-06-18","2026-05-02","Per=Y","Days=T","Dir=V")</f>
        <v>0</v>
      </c>
      <c r="AE2">
        <f>BDH("AEYE US Equity","NET_INCOME","1993-06-18","2026-05-02","Per=Y","Days=T","Dir=V")</f>
        <v>0</v>
      </c>
      <c r="AG2">
        <f>BDH("AEYE US Equity","IS_INT_EXPENSE","1993-06-18","2026-05-02","Per=Y","Days=T","Dir=V")</f>
        <v>0</v>
      </c>
      <c r="AI2">
        <f>BDH("AEYE US Equity","IS_DEPR_EXP","1993-06-18","2026-05-02","Per=Y","Days=T","Dir=V")</f>
        <v>0</v>
      </c>
      <c r="AK2">
        <f>BDH("AEYE US Equity","CF_CASH_FROM_OPER","1993-06-18","2026-05-02","Per=Y","Days=T","Dir=V")</f>
        <v>0</v>
      </c>
      <c r="AM2">
        <f>BDH("AEYE US Equity","CAPITAL_EXPEND","1993-06-18","2026-05-02","Per=Y","Days=T","Dir=V")</f>
        <v>0</v>
      </c>
      <c r="AO2">
        <f>BDH("AEYE US Equity","CF_FREE_CASH_FLOW","1993-06-18","2026-05-02","Per=Y","Days=T","Dir=V")</f>
        <v>0</v>
      </c>
      <c r="AQ2">
        <f>BDH("AEYE US Equity","PX_LAST","1993-06-18","2026-05-02","Per=M","Days=T","Dir=V")</f>
        <v>0</v>
      </c>
      <c r="AS2">
        <f>BDH("AEYE US Equity","CUR_MKT_CAP","1993-06-18","2026-05-02","Per=M","Days=T","Dir=V")</f>
        <v>0</v>
      </c>
      <c r="AU2">
        <f>BDH("AEYE US Equity","EQY_SH_OUT","1993-06-18","2026-05-02","Per=M","Days=T","Dir=V")</f>
        <v>0</v>
      </c>
      <c r="AW2">
        <f>BDH("AEYE US Equity","PX_VOLUME","1993-06-18","2026-05-02","Per=M","Days=T","Dir=V")</f>
        <v>0</v>
      </c>
      <c r="AY2">
        <f>BDH("AEYE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BDH("AGCO US Equity","BS_TOT_ASSET","1993-06-18","2026-05-02","Per=Y","Days=T","Dir=V")</f>
        <v>0</v>
      </c>
      <c r="C2">
        <f>BDH("AGCO US Equity","BS_TOT_LIAB2","1993-06-18","2026-05-02","Per=Y","Days=T","Dir=V")</f>
        <v>0</v>
      </c>
      <c r="E2">
        <f>BDH("AGCO US Equity","SHORT_AND_LONG_TERM_DEBT","1993-06-18","2026-05-02","Per=Y","Days=T","Dir=V")</f>
        <v>0</v>
      </c>
      <c r="G2">
        <f>BDH("AGCO US Equity","BS_ST_BORROW","1993-06-18","2026-05-02","Per=Y","Days=T","Dir=V")</f>
        <v>0</v>
      </c>
      <c r="I2">
        <f>BDH("AGCO US Equity","BS_LT_BORROW","1993-06-18","2026-05-02","Per=Y","Days=T","Dir=V")</f>
        <v>0</v>
      </c>
      <c r="K2">
        <f>BDH("AGCO US Equity","BS_CASH_NEAR_CASH_ITEM","1993-06-18","2026-05-02","Per=Y","Days=T","Dir=V")</f>
        <v>0</v>
      </c>
      <c r="M2">
        <f>BDH("AGCO US Equity","BS_CUR_ASSET_REPORT","1993-06-18","2026-05-02","Per=Y","Days=T","Dir=V")</f>
        <v>0</v>
      </c>
      <c r="O2">
        <f>BDH("AGCO US Equity","BS_CUR_LIAB","1993-06-18","2026-05-02","Per=Y","Days=T","Dir=V")</f>
        <v>0</v>
      </c>
      <c r="Q2">
        <f>BDH("AGCO US Equity","BS_SHAREHOLDER_EQY_ENDING_PERIOD","1993-06-18","2026-05-02","Per=Y","Days=T","Dir=V")</f>
        <v>0</v>
      </c>
      <c r="S2">
        <f>BDH("AGCO US Equity","BS_ACCT_NOTE_RCV","1993-06-18","2026-05-02","Per=Y","Days=T","Dir=V")</f>
        <v>0</v>
      </c>
      <c r="U2">
        <f>BDH("AGCO US Equity","BS_INVENTORIES","1993-06-18","2026-05-02","Per=Y","Days=T","Dir=V")</f>
        <v>0</v>
      </c>
      <c r="W2">
        <f>BDH("AGCO US Equity","WORKING_CAPITAL","1993-06-18","2026-05-02","Per=Y","Days=T","Dir=V")</f>
        <v>0</v>
      </c>
      <c r="Y2">
        <f>BDH("AGCO US Equity","SALES_REV_TURN","1993-06-18","2026-05-02","Per=Y","Days=T","Dir=V")</f>
        <v>0</v>
      </c>
      <c r="AA2">
        <f>BDH("AGCO US Equity","EBIT","1993-06-18","2026-05-02","Per=Y","Days=T","Dir=V")</f>
        <v>0</v>
      </c>
      <c r="AC2">
        <f>BDH("AGCO US Equity","EBITDA","1993-06-18","2026-05-02","Per=Y","Days=T","Dir=V")</f>
        <v>0</v>
      </c>
      <c r="AE2">
        <f>BDH("AGCO US Equity","NET_INCOME","1993-06-18","2026-05-02","Per=Y","Days=T","Dir=V")</f>
        <v>0</v>
      </c>
      <c r="AG2">
        <f>BDH("AGCO US Equity","IS_INT_EXPENSE","1993-06-18","2026-05-02","Per=Y","Days=T","Dir=V")</f>
        <v>0</v>
      </c>
      <c r="AI2">
        <f>BDH("AGCO US Equity","IS_DEPR_EXP","1993-06-18","2026-05-02","Per=Y","Days=T","Dir=V")</f>
        <v>0</v>
      </c>
      <c r="AK2">
        <f>BDH("AGCO US Equity","CF_CASH_FROM_OPER","1993-06-18","2026-05-02","Per=Y","Days=T","Dir=V")</f>
        <v>0</v>
      </c>
      <c r="AM2">
        <f>BDH("AGCO US Equity","CAPITAL_EXPEND","1993-06-18","2026-05-02","Per=Y","Days=T","Dir=V")</f>
        <v>0</v>
      </c>
      <c r="AO2">
        <f>BDH("AGCO US Equity","CF_FREE_CASH_FLOW","1993-06-18","2026-05-02","Per=Y","Days=T","Dir=V")</f>
        <v>0</v>
      </c>
      <c r="AQ2">
        <f>BDH("AGCO US Equity","PX_LAST","1993-06-18","2026-05-02","Per=M","Days=T","Dir=V")</f>
        <v>0</v>
      </c>
      <c r="AS2">
        <f>BDH("AGCO US Equity","CUR_MKT_CAP","1993-06-18","2026-05-02","Per=M","Days=T","Dir=V")</f>
        <v>0</v>
      </c>
      <c r="AU2">
        <f>BDH("AGCO US Equity","EQY_SH_OUT","1993-06-18","2026-05-02","Per=M","Days=T","Dir=V")</f>
        <v>0</v>
      </c>
      <c r="AW2">
        <f>BDH("AGCO US Equity","PX_VOLUME","1993-06-18","2026-05-02","Per=M","Days=T","Dir=V")</f>
        <v>0</v>
      </c>
      <c r="AY2">
        <f>BDH("AGCO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BDH("AGEN US Equity","BS_TOT_ASSET","1993-06-18","2026-05-02","Per=Y","Days=T","Dir=V")</f>
        <v>0</v>
      </c>
      <c r="C2">
        <f>BDH("AGEN US Equity","BS_TOT_LIAB2","1993-06-18","2026-05-02","Per=Y","Days=T","Dir=V")</f>
        <v>0</v>
      </c>
      <c r="E2">
        <f>BDH("AGEN US Equity","SHORT_AND_LONG_TERM_DEBT","1993-06-18","2026-05-02","Per=Y","Days=T","Dir=V")</f>
        <v>0</v>
      </c>
      <c r="G2">
        <f>BDH("AGEN US Equity","BS_ST_BORROW","1993-06-18","2026-05-02","Per=Y","Days=T","Dir=V")</f>
        <v>0</v>
      </c>
      <c r="I2">
        <f>BDH("AGEN US Equity","BS_LT_BORROW","1993-06-18","2026-05-02","Per=Y","Days=T","Dir=V")</f>
        <v>0</v>
      </c>
      <c r="K2">
        <f>BDH("AGEN US Equity","BS_CASH_NEAR_CASH_ITEM","1993-06-18","2026-05-02","Per=Y","Days=T","Dir=V")</f>
        <v>0</v>
      </c>
      <c r="M2">
        <f>BDH("AGEN US Equity","BS_CUR_ASSET_REPORT","1993-06-18","2026-05-02","Per=Y","Days=T","Dir=V")</f>
        <v>0</v>
      </c>
      <c r="O2">
        <f>BDH("AGEN US Equity","BS_CUR_LIAB","1993-06-18","2026-05-02","Per=Y","Days=T","Dir=V")</f>
        <v>0</v>
      </c>
      <c r="Q2">
        <f>BDH("AGEN US Equity","BS_SHAREHOLDER_EQY_ENDING_PERIOD","1993-06-18","2026-05-02","Per=Y","Days=T","Dir=V")</f>
        <v>0</v>
      </c>
      <c r="S2">
        <f>BDH("AGEN US Equity","BS_ACCT_NOTE_RCV","1993-06-18","2026-05-02","Per=Y","Days=T","Dir=V")</f>
        <v>0</v>
      </c>
      <c r="U2">
        <f>BDH("AGEN US Equity","BS_INVENTORIES","1993-06-18","2026-05-02","Per=Y","Days=T","Dir=V")</f>
        <v>0</v>
      </c>
      <c r="W2">
        <f>BDH("AGEN US Equity","WORKING_CAPITAL","1993-06-18","2026-05-02","Per=Y","Days=T","Dir=V")</f>
        <v>0</v>
      </c>
      <c r="Y2">
        <f>BDH("AGEN US Equity","SALES_REV_TURN","1993-06-18","2026-05-02","Per=Y","Days=T","Dir=V")</f>
        <v>0</v>
      </c>
      <c r="AA2">
        <f>BDH("AGEN US Equity","EBIT","1993-06-18","2026-05-02","Per=Y","Days=T","Dir=V")</f>
        <v>0</v>
      </c>
      <c r="AC2">
        <f>BDH("AGEN US Equity","EBITDA","1993-06-18","2026-05-02","Per=Y","Days=T","Dir=V")</f>
        <v>0</v>
      </c>
      <c r="AE2">
        <f>BDH("AGEN US Equity","NET_INCOME","1993-06-18","2026-05-02","Per=Y","Days=T","Dir=V")</f>
        <v>0</v>
      </c>
      <c r="AG2">
        <f>BDH("AGEN US Equity","IS_INT_EXPENSE","1993-06-18","2026-05-02","Per=Y","Days=T","Dir=V")</f>
        <v>0</v>
      </c>
      <c r="AI2">
        <f>BDH("AGEN US Equity","IS_DEPR_EXP","1993-06-18","2026-05-02","Per=Y","Days=T","Dir=V")</f>
        <v>0</v>
      </c>
      <c r="AK2">
        <f>BDH("AGEN US Equity","CF_CASH_FROM_OPER","1993-06-18","2026-05-02","Per=Y","Days=T","Dir=V")</f>
        <v>0</v>
      </c>
      <c r="AM2">
        <f>BDH("AGEN US Equity","CAPITAL_EXPEND","1993-06-18","2026-05-02","Per=Y","Days=T","Dir=V")</f>
        <v>0</v>
      </c>
      <c r="AO2">
        <f>BDH("AGEN US Equity","CF_FREE_CASH_FLOW","1993-06-18","2026-05-02","Per=Y","Days=T","Dir=V")</f>
        <v>0</v>
      </c>
      <c r="AQ2">
        <f>BDH("AGEN US Equity","PX_LAST","1993-06-18","2026-05-02","Per=M","Days=T","Dir=V")</f>
        <v>0</v>
      </c>
      <c r="AS2">
        <f>BDH("AGEN US Equity","CUR_MKT_CAP","1993-06-18","2026-05-02","Per=M","Days=T","Dir=V")</f>
        <v>0</v>
      </c>
      <c r="AU2">
        <f>BDH("AGEN US Equity","EQY_SH_OUT","1993-06-18","2026-05-02","Per=M","Days=T","Dir=V")</f>
        <v>0</v>
      </c>
      <c r="AW2">
        <f>BDH("AGEN US Equity","PX_VOLUME","1993-06-18","2026-05-02","Per=M","Days=T","Dir=V")</f>
        <v>0</v>
      </c>
      <c r="AY2">
        <f>BDH("AGEN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BDH("AGIG US Equity","BS_TOT_ASSET","1993-06-18","2026-05-02","Per=Y","Days=T","Dir=V")</f>
        <v>0</v>
      </c>
      <c r="C2">
        <f>BDH("AGIG US Equity","BS_TOT_LIAB2","1993-06-18","2026-05-02","Per=Y","Days=T","Dir=V")</f>
        <v>0</v>
      </c>
      <c r="E2">
        <f>BDH("AGIG US Equity","SHORT_AND_LONG_TERM_DEBT","1993-06-18","2026-05-02","Per=Y","Days=T","Dir=V")</f>
        <v>0</v>
      </c>
      <c r="G2">
        <f>BDH("AGIG US Equity","BS_ST_BORROW","1993-06-18","2026-05-02","Per=Y","Days=T","Dir=V")</f>
        <v>0</v>
      </c>
      <c r="I2">
        <f>BDH("AGIG US Equity","BS_LT_BORROW","1993-06-18","2026-05-02","Per=Y","Days=T","Dir=V")</f>
        <v>0</v>
      </c>
      <c r="K2">
        <f>BDH("AGIG US Equity","BS_CASH_NEAR_CASH_ITEM","1993-06-18","2026-05-02","Per=Y","Days=T","Dir=V")</f>
        <v>0</v>
      </c>
      <c r="M2">
        <f>BDH("AGIG US Equity","BS_CUR_ASSET_REPORT","1993-06-18","2026-05-02","Per=Y","Days=T","Dir=V")</f>
        <v>0</v>
      </c>
      <c r="O2">
        <f>BDH("AGIG US Equity","BS_CUR_LIAB","1993-06-18","2026-05-02","Per=Y","Days=T","Dir=V")</f>
        <v>0</v>
      </c>
      <c r="Q2">
        <f>BDH("AGIG US Equity","BS_SHAREHOLDER_EQY_ENDING_PERIOD","1993-06-18","2026-05-02","Per=Y","Days=T","Dir=V")</f>
        <v>0</v>
      </c>
      <c r="S2">
        <f>BDH("AGIG US Equity","BS_ACCT_NOTE_RCV","1993-06-18","2026-05-02","Per=Y","Days=T","Dir=V")</f>
        <v>0</v>
      </c>
      <c r="U2">
        <f>BDH("AGIG US Equity","BS_INVENTORIES","1993-06-18","2026-05-02","Per=Y","Days=T","Dir=V")</f>
        <v>0</v>
      </c>
      <c r="W2">
        <f>BDH("AGIG US Equity","WORKING_CAPITAL","1993-06-18","2026-05-02","Per=Y","Days=T","Dir=V")</f>
        <v>0</v>
      </c>
      <c r="Y2">
        <f>BDH("AGIG US Equity","SALES_REV_TURN","1993-06-18","2026-05-02","Per=Y","Days=T","Dir=V")</f>
        <v>0</v>
      </c>
      <c r="AA2">
        <f>BDH("AGIG US Equity","EBIT","1993-06-18","2026-05-02","Per=Y","Days=T","Dir=V")</f>
        <v>0</v>
      </c>
      <c r="AC2">
        <f>BDH("AGIG US Equity","EBITDA","1993-06-18","2026-05-02","Per=Y","Days=T","Dir=V")</f>
        <v>0</v>
      </c>
      <c r="AE2">
        <f>BDH("AGIG US Equity","NET_INCOME","1993-06-18","2026-05-02","Per=Y","Days=T","Dir=V")</f>
        <v>0</v>
      </c>
      <c r="AG2">
        <f>BDH("AGIG US Equity","IS_INT_EXPENSE","1993-06-18","2026-05-02","Per=Y","Days=T","Dir=V")</f>
        <v>0</v>
      </c>
      <c r="AI2">
        <f>BDH("AGIG US Equity","IS_DEPR_EXP","1993-06-18","2026-05-02","Per=Y","Days=T","Dir=V")</f>
        <v>0</v>
      </c>
      <c r="AK2">
        <f>BDH("AGIG US Equity","CF_CASH_FROM_OPER","1993-06-18","2026-05-02","Per=Y","Days=T","Dir=V")</f>
        <v>0</v>
      </c>
      <c r="AM2">
        <f>BDH("AGIG US Equity","CAPITAL_EXPEND","1993-06-18","2026-05-02","Per=Y","Days=T","Dir=V")</f>
        <v>0</v>
      </c>
      <c r="AO2">
        <f>BDH("AGIG US Equity","CF_FREE_CASH_FLOW","1993-06-18","2026-05-02","Per=Y","Days=T","Dir=V")</f>
        <v>0</v>
      </c>
      <c r="AQ2">
        <f>BDH("AGIG US Equity","PX_LAST","1993-06-18","2026-05-02","Per=M","Days=T","Dir=V")</f>
        <v>0</v>
      </c>
      <c r="AS2">
        <f>BDH("AGIG US Equity","CUR_MKT_CAP","1993-06-18","2026-05-02","Per=M","Days=T","Dir=V")</f>
        <v>0</v>
      </c>
      <c r="AU2">
        <f>BDH("AGIG US Equity","EQY_SH_OUT","1993-06-18","2026-05-02","Per=M","Days=T","Dir=V")</f>
        <v>0</v>
      </c>
      <c r="AW2">
        <f>BDH("AGIG US Equity","PX_VOLUME","1993-06-18","2026-05-02","Per=M","Days=T","Dir=V")</f>
        <v>0</v>
      </c>
      <c r="AY2">
        <f>BDH("AGIG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BDH("AGIO US Equity","BS_TOT_ASSET","1993-06-18","2026-05-02","Per=Y","Days=T","Dir=V")</f>
        <v>0</v>
      </c>
      <c r="C2">
        <f>BDH("AGIO US Equity","BS_TOT_LIAB2","1993-06-18","2026-05-02","Per=Y","Days=T","Dir=V")</f>
        <v>0</v>
      </c>
      <c r="E2">
        <f>BDH("AGIO US Equity","SHORT_AND_LONG_TERM_DEBT","1993-06-18","2026-05-02","Per=Y","Days=T","Dir=V")</f>
        <v>0</v>
      </c>
      <c r="G2">
        <f>BDH("AGIO US Equity","BS_ST_BORROW","1993-06-18","2026-05-02","Per=Y","Days=T","Dir=V")</f>
        <v>0</v>
      </c>
      <c r="I2">
        <f>BDH("AGIO US Equity","BS_LT_BORROW","1993-06-18","2026-05-02","Per=Y","Days=T","Dir=V")</f>
        <v>0</v>
      </c>
      <c r="K2">
        <f>BDH("AGIO US Equity","BS_CASH_NEAR_CASH_ITEM","1993-06-18","2026-05-02","Per=Y","Days=T","Dir=V")</f>
        <v>0</v>
      </c>
      <c r="M2">
        <f>BDH("AGIO US Equity","BS_CUR_ASSET_REPORT","1993-06-18","2026-05-02","Per=Y","Days=T","Dir=V")</f>
        <v>0</v>
      </c>
      <c r="O2">
        <f>BDH("AGIO US Equity","BS_CUR_LIAB","1993-06-18","2026-05-02","Per=Y","Days=T","Dir=V")</f>
        <v>0</v>
      </c>
      <c r="Q2">
        <f>BDH("AGIO US Equity","BS_SHAREHOLDER_EQY_ENDING_PERIOD","1993-06-18","2026-05-02","Per=Y","Days=T","Dir=V")</f>
        <v>0</v>
      </c>
      <c r="S2">
        <f>BDH("AGIO US Equity","BS_ACCT_NOTE_RCV","1993-06-18","2026-05-02","Per=Y","Days=T","Dir=V")</f>
        <v>0</v>
      </c>
      <c r="U2">
        <f>BDH("AGIO US Equity","BS_INVENTORIES","1993-06-18","2026-05-02","Per=Y","Days=T","Dir=V")</f>
        <v>0</v>
      </c>
      <c r="W2">
        <f>BDH("AGIO US Equity","WORKING_CAPITAL","1993-06-18","2026-05-02","Per=Y","Days=T","Dir=V")</f>
        <v>0</v>
      </c>
      <c r="Y2">
        <f>BDH("AGIO US Equity","SALES_REV_TURN","1993-06-18","2026-05-02","Per=Y","Days=T","Dir=V")</f>
        <v>0</v>
      </c>
      <c r="AA2">
        <f>BDH("AGIO US Equity","EBIT","1993-06-18","2026-05-02","Per=Y","Days=T","Dir=V")</f>
        <v>0</v>
      </c>
      <c r="AC2">
        <f>BDH("AGIO US Equity","EBITDA","1993-06-18","2026-05-02","Per=Y","Days=T","Dir=V")</f>
        <v>0</v>
      </c>
      <c r="AE2">
        <f>BDH("AGIO US Equity","NET_INCOME","1993-06-18","2026-05-02","Per=Y","Days=T","Dir=V")</f>
        <v>0</v>
      </c>
      <c r="AG2">
        <f>BDH("AGIO US Equity","IS_INT_EXPENSE","1993-06-18","2026-05-02","Per=Y","Days=T","Dir=V")</f>
        <v>0</v>
      </c>
      <c r="AI2">
        <f>BDH("AGIO US Equity","IS_DEPR_EXP","1993-06-18","2026-05-02","Per=Y","Days=T","Dir=V")</f>
        <v>0</v>
      </c>
      <c r="AK2">
        <f>BDH("AGIO US Equity","CF_CASH_FROM_OPER","1993-06-18","2026-05-02","Per=Y","Days=T","Dir=V")</f>
        <v>0</v>
      </c>
      <c r="AM2">
        <f>BDH("AGIO US Equity","CAPITAL_EXPEND","1993-06-18","2026-05-02","Per=Y","Days=T","Dir=V")</f>
        <v>0</v>
      </c>
      <c r="AO2">
        <f>BDH("AGIO US Equity","CF_FREE_CASH_FLOW","1993-06-18","2026-05-02","Per=Y","Days=T","Dir=V")</f>
        <v>0</v>
      </c>
      <c r="AQ2">
        <f>BDH("AGIO US Equity","PX_LAST","1993-06-18","2026-05-02","Per=M","Days=T","Dir=V")</f>
        <v>0</v>
      </c>
      <c r="AS2">
        <f>BDH("AGIO US Equity","CUR_MKT_CAP","1993-06-18","2026-05-02","Per=M","Days=T","Dir=V")</f>
        <v>0</v>
      </c>
      <c r="AU2">
        <f>BDH("AGIO US Equity","EQY_SH_OUT","1993-06-18","2026-05-02","Per=M","Days=T","Dir=V")</f>
        <v>0</v>
      </c>
      <c r="AW2">
        <f>BDH("AGIO US Equity","PX_VOLUME","1993-06-18","2026-05-02","Per=M","Days=T","Dir=V")</f>
        <v>0</v>
      </c>
      <c r="AY2">
        <f>BDH("AGIO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BDH("AGL US Equity","BS_TOT_ASSET","1993-06-18","2026-05-02","Per=Y","Days=T","Dir=V")</f>
        <v>0</v>
      </c>
      <c r="C2">
        <f>BDH("AGL US Equity","BS_TOT_LIAB2","1993-06-18","2026-05-02","Per=Y","Days=T","Dir=V")</f>
        <v>0</v>
      </c>
      <c r="E2">
        <f>BDH("AGL US Equity","SHORT_AND_LONG_TERM_DEBT","1993-06-18","2026-05-02","Per=Y","Days=T","Dir=V")</f>
        <v>0</v>
      </c>
      <c r="G2">
        <f>BDH("AGL US Equity","BS_ST_BORROW","1993-06-18","2026-05-02","Per=Y","Days=T","Dir=V")</f>
        <v>0</v>
      </c>
      <c r="I2">
        <f>BDH("AGL US Equity","BS_LT_BORROW","1993-06-18","2026-05-02","Per=Y","Days=T","Dir=V")</f>
        <v>0</v>
      </c>
      <c r="K2">
        <f>BDH("AGL US Equity","BS_CASH_NEAR_CASH_ITEM","1993-06-18","2026-05-02","Per=Y","Days=T","Dir=V")</f>
        <v>0</v>
      </c>
      <c r="M2">
        <f>BDH("AGL US Equity","BS_CUR_ASSET_REPORT","1993-06-18","2026-05-02","Per=Y","Days=T","Dir=V")</f>
        <v>0</v>
      </c>
      <c r="O2">
        <f>BDH("AGL US Equity","BS_CUR_LIAB","1993-06-18","2026-05-02","Per=Y","Days=T","Dir=V")</f>
        <v>0</v>
      </c>
      <c r="Q2">
        <f>BDH("AGL US Equity","BS_SHAREHOLDER_EQY_ENDING_PERIOD","1993-06-18","2026-05-02","Per=Y","Days=T","Dir=V")</f>
        <v>0</v>
      </c>
      <c r="S2">
        <f>BDH("AGL US Equity","BS_ACCT_NOTE_RCV","1993-06-18","2026-05-02","Per=Y","Days=T","Dir=V")</f>
        <v>0</v>
      </c>
      <c r="U2">
        <f>BDH("AGL US Equity","BS_INVENTORIES","1993-06-18","2026-05-02","Per=Y","Days=T","Dir=V")</f>
        <v>0</v>
      </c>
      <c r="W2">
        <f>BDH("AGL US Equity","WORKING_CAPITAL","1993-06-18","2026-05-02","Per=Y","Days=T","Dir=V")</f>
        <v>0</v>
      </c>
      <c r="Y2">
        <f>BDH("AGL US Equity","SALES_REV_TURN","1993-06-18","2026-05-02","Per=Y","Days=T","Dir=V")</f>
        <v>0</v>
      </c>
      <c r="AA2">
        <f>BDH("AGL US Equity","EBIT","1993-06-18","2026-05-02","Per=Y","Days=T","Dir=V")</f>
        <v>0</v>
      </c>
      <c r="AC2">
        <f>BDH("AGL US Equity","EBITDA","1993-06-18","2026-05-02","Per=Y","Days=T","Dir=V")</f>
        <v>0</v>
      </c>
      <c r="AE2">
        <f>BDH("AGL US Equity","NET_INCOME","1993-06-18","2026-05-02","Per=Y","Days=T","Dir=V")</f>
        <v>0</v>
      </c>
      <c r="AG2">
        <f>BDH("AGL US Equity","IS_INT_EXPENSE","1993-06-18","2026-05-02","Per=Y","Days=T","Dir=V")</f>
        <v>0</v>
      </c>
      <c r="AI2">
        <f>BDH("AGL US Equity","IS_DEPR_EXP","1993-06-18","2026-05-02","Per=Y","Days=T","Dir=V")</f>
        <v>0</v>
      </c>
      <c r="AK2">
        <f>BDH("AGL US Equity","CF_CASH_FROM_OPER","1993-06-18","2026-05-02","Per=Y","Days=T","Dir=V")</f>
        <v>0</v>
      </c>
      <c r="AM2">
        <f>BDH("AGL US Equity","CAPITAL_EXPEND","1993-06-18","2026-05-02","Per=Y","Days=T","Dir=V")</f>
        <v>0</v>
      </c>
      <c r="AO2">
        <f>BDH("AGL US Equity","CF_FREE_CASH_FLOW","1993-06-18","2026-05-02","Per=Y","Days=T","Dir=V")</f>
        <v>0</v>
      </c>
      <c r="AQ2">
        <f>BDH("AGL US Equity","PX_LAST","1993-06-18","2026-05-02","Per=M","Days=T","Dir=V")</f>
        <v>0</v>
      </c>
      <c r="AS2">
        <f>BDH("AGL US Equity","CUR_MKT_CAP","1993-06-18","2026-05-02","Per=M","Days=T","Dir=V")</f>
        <v>0</v>
      </c>
      <c r="AU2">
        <f>BDH("AGL US Equity","EQY_SH_OUT","1993-06-18","2026-05-02","Per=M","Days=T","Dir=V")</f>
        <v>0</v>
      </c>
      <c r="AW2">
        <f>BDH("AGL US Equity","PX_VOLUME","1993-06-18","2026-05-02","Per=M","Days=T","Dir=V")</f>
        <v>0</v>
      </c>
      <c r="AY2">
        <f>BDH("AGL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BDH("AGPU US Equity","BS_TOT_ASSET","1993-06-18","2026-05-02","Per=Y","Days=T","Dir=V")</f>
        <v>0</v>
      </c>
      <c r="C2">
        <f>BDH("AGPU US Equity","BS_TOT_LIAB2","1993-06-18","2026-05-02","Per=Y","Days=T","Dir=V")</f>
        <v>0</v>
      </c>
      <c r="E2">
        <f>BDH("AGPU US Equity","SHORT_AND_LONG_TERM_DEBT","1993-06-18","2026-05-02","Per=Y","Days=T","Dir=V")</f>
        <v>0</v>
      </c>
      <c r="G2">
        <f>BDH("AGPU US Equity","BS_ST_BORROW","1993-06-18","2026-05-02","Per=Y","Days=T","Dir=V")</f>
        <v>0</v>
      </c>
      <c r="I2">
        <f>BDH("AGPU US Equity","BS_LT_BORROW","1993-06-18","2026-05-02","Per=Y","Days=T","Dir=V")</f>
        <v>0</v>
      </c>
      <c r="K2">
        <f>BDH("AGPU US Equity","BS_CASH_NEAR_CASH_ITEM","1993-06-18","2026-05-02","Per=Y","Days=T","Dir=V")</f>
        <v>0</v>
      </c>
      <c r="M2">
        <f>BDH("AGPU US Equity","BS_CUR_ASSET_REPORT","1993-06-18","2026-05-02","Per=Y","Days=T","Dir=V")</f>
        <v>0</v>
      </c>
      <c r="O2">
        <f>BDH("AGPU US Equity","BS_CUR_LIAB","1993-06-18","2026-05-02","Per=Y","Days=T","Dir=V")</f>
        <v>0</v>
      </c>
      <c r="Q2">
        <f>BDH("AGPU US Equity","BS_SHAREHOLDER_EQY_ENDING_PERIOD","1993-06-18","2026-05-02","Per=Y","Days=T","Dir=V")</f>
        <v>0</v>
      </c>
      <c r="S2">
        <f>BDH("AGPU US Equity","BS_ACCT_NOTE_RCV","1993-06-18","2026-05-02","Per=Y","Days=T","Dir=V")</f>
        <v>0</v>
      </c>
      <c r="U2">
        <f>BDH("AGPU US Equity","BS_INVENTORIES","1993-06-18","2026-05-02","Per=Y","Days=T","Dir=V")</f>
        <v>0</v>
      </c>
      <c r="W2">
        <f>BDH("AGPU US Equity","WORKING_CAPITAL","1993-06-18","2026-05-02","Per=Y","Days=T","Dir=V")</f>
        <v>0</v>
      </c>
      <c r="Y2">
        <f>BDH("AGPU US Equity","SALES_REV_TURN","1993-06-18","2026-05-02","Per=Y","Days=T","Dir=V")</f>
        <v>0</v>
      </c>
      <c r="AA2">
        <f>BDH("AGPU US Equity","EBIT","1993-06-18","2026-05-02","Per=Y","Days=T","Dir=V")</f>
        <v>0</v>
      </c>
      <c r="AC2">
        <f>BDH("AGPU US Equity","EBITDA","1993-06-18","2026-05-02","Per=Y","Days=T","Dir=V")</f>
        <v>0</v>
      </c>
      <c r="AE2">
        <f>BDH("AGPU US Equity","NET_INCOME","1993-06-18","2026-05-02","Per=Y","Days=T","Dir=V")</f>
        <v>0</v>
      </c>
      <c r="AG2">
        <f>BDH("AGPU US Equity","IS_INT_EXPENSE","1993-06-18","2026-05-02","Per=Y","Days=T","Dir=V")</f>
        <v>0</v>
      </c>
      <c r="AI2">
        <f>BDH("AGPU US Equity","IS_DEPR_EXP","1993-06-18","2026-05-02","Per=Y","Days=T","Dir=V")</f>
        <v>0</v>
      </c>
      <c r="AK2">
        <f>BDH("AGPU US Equity","CF_CASH_FROM_OPER","1993-06-18","2026-05-02","Per=Y","Days=T","Dir=V")</f>
        <v>0</v>
      </c>
      <c r="AM2">
        <f>BDH("AGPU US Equity","CAPITAL_EXPEND","1993-06-18","2026-05-02","Per=Y","Days=T","Dir=V")</f>
        <v>0</v>
      </c>
      <c r="AO2">
        <f>BDH("AGPU US Equity","CF_FREE_CASH_FLOW","1993-06-18","2026-05-02","Per=Y","Days=T","Dir=V")</f>
        <v>0</v>
      </c>
      <c r="AQ2">
        <f>BDH("AGPU US Equity","PX_LAST","1993-06-18","2026-05-02","Per=M","Days=T","Dir=V")</f>
        <v>0</v>
      </c>
      <c r="AS2">
        <f>BDH("AGPU US Equity","CUR_MKT_CAP","1993-06-18","2026-05-02","Per=M","Days=T","Dir=V")</f>
        <v>0</v>
      </c>
      <c r="AU2">
        <f>BDH("AGPU US Equity","EQY_SH_OUT","1993-06-18","2026-05-02","Per=M","Days=T","Dir=V")</f>
        <v>0</v>
      </c>
      <c r="AW2">
        <f>BDH("AGPU US Equity","PX_VOLUME","1993-06-18","2026-05-02","Per=M","Days=T","Dir=V")</f>
        <v>0</v>
      </c>
      <c r="AY2">
        <f>BDH("AGPU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BDH("AGX US Equity","BS_TOT_ASSET","1993-06-18","2026-05-02","Per=Y","Days=T","Dir=V")</f>
        <v>0</v>
      </c>
      <c r="C2">
        <f>BDH("AGX US Equity","BS_TOT_LIAB2","1993-06-18","2026-05-02","Per=Y","Days=T","Dir=V")</f>
        <v>0</v>
      </c>
      <c r="E2">
        <f>BDH("AGX US Equity","SHORT_AND_LONG_TERM_DEBT","1993-06-18","2026-05-02","Per=Y","Days=T","Dir=V")</f>
        <v>0</v>
      </c>
      <c r="G2">
        <f>BDH("AGX US Equity","BS_ST_BORROW","1993-06-18","2026-05-02","Per=Y","Days=T","Dir=V")</f>
        <v>0</v>
      </c>
      <c r="I2">
        <f>BDH("AGX US Equity","BS_LT_BORROW","1993-06-18","2026-05-02","Per=Y","Days=T","Dir=V")</f>
        <v>0</v>
      </c>
      <c r="K2">
        <f>BDH("AGX US Equity","BS_CASH_NEAR_CASH_ITEM","1993-06-18","2026-05-02","Per=Y","Days=T","Dir=V")</f>
        <v>0</v>
      </c>
      <c r="M2">
        <f>BDH("AGX US Equity","BS_CUR_ASSET_REPORT","1993-06-18","2026-05-02","Per=Y","Days=T","Dir=V")</f>
        <v>0</v>
      </c>
      <c r="O2">
        <f>BDH("AGX US Equity","BS_CUR_LIAB","1993-06-18","2026-05-02","Per=Y","Days=T","Dir=V")</f>
        <v>0</v>
      </c>
      <c r="Q2">
        <f>BDH("AGX US Equity","BS_SHAREHOLDER_EQY_ENDING_PERIOD","1993-06-18","2026-05-02","Per=Y","Days=T","Dir=V")</f>
        <v>0</v>
      </c>
      <c r="S2">
        <f>BDH("AGX US Equity","BS_ACCT_NOTE_RCV","1993-06-18","2026-05-02","Per=Y","Days=T","Dir=V")</f>
        <v>0</v>
      </c>
      <c r="U2">
        <f>BDH("AGX US Equity","BS_INVENTORIES","1993-06-18","2026-05-02","Per=Y","Days=T","Dir=V")</f>
        <v>0</v>
      </c>
      <c r="W2">
        <f>BDH("AGX US Equity","WORKING_CAPITAL","1993-06-18","2026-05-02","Per=Y","Days=T","Dir=V")</f>
        <v>0</v>
      </c>
      <c r="Y2">
        <f>BDH("AGX US Equity","SALES_REV_TURN","1993-06-18","2026-05-02","Per=Y","Days=T","Dir=V")</f>
        <v>0</v>
      </c>
      <c r="AA2">
        <f>BDH("AGX US Equity","EBIT","1993-06-18","2026-05-02","Per=Y","Days=T","Dir=V")</f>
        <v>0</v>
      </c>
      <c r="AC2">
        <f>BDH("AGX US Equity","EBITDA","1993-06-18","2026-05-02","Per=Y","Days=T","Dir=V")</f>
        <v>0</v>
      </c>
      <c r="AE2">
        <f>BDH("AGX US Equity","NET_INCOME","1993-06-18","2026-05-02","Per=Y","Days=T","Dir=V")</f>
        <v>0</v>
      </c>
      <c r="AG2">
        <f>BDH("AGX US Equity","IS_INT_EXPENSE","1993-06-18","2026-05-02","Per=Y","Days=T","Dir=V")</f>
        <v>0</v>
      </c>
      <c r="AI2">
        <f>BDH("AGX US Equity","IS_DEPR_EXP","1993-06-18","2026-05-02","Per=Y","Days=T","Dir=V")</f>
        <v>0</v>
      </c>
      <c r="AK2">
        <f>BDH("AGX US Equity","CF_CASH_FROM_OPER","1993-06-18","2026-05-02","Per=Y","Days=T","Dir=V")</f>
        <v>0</v>
      </c>
      <c r="AM2">
        <f>BDH("AGX US Equity","CAPITAL_EXPEND","1993-06-18","2026-05-02","Per=Y","Days=T","Dir=V")</f>
        <v>0</v>
      </c>
      <c r="AO2">
        <f>BDH("AGX US Equity","CF_FREE_CASH_FLOW","1993-06-18","2026-05-02","Per=Y","Days=T","Dir=V")</f>
        <v>0</v>
      </c>
      <c r="AQ2">
        <f>BDH("AGX US Equity","PX_LAST","1993-06-18","2026-05-02","Per=M","Days=T","Dir=V")</f>
        <v>0</v>
      </c>
      <c r="AS2">
        <f>BDH("AGX US Equity","CUR_MKT_CAP","1993-06-18","2026-05-02","Per=M","Days=T","Dir=V")</f>
        <v>0</v>
      </c>
      <c r="AU2">
        <f>BDH("AGX US Equity","EQY_SH_OUT","1993-06-18","2026-05-02","Per=M","Days=T","Dir=V")</f>
        <v>0</v>
      </c>
      <c r="AW2">
        <f>BDH("AGX US Equity","PX_VOLUME","1993-06-18","2026-05-02","Per=M","Days=T","Dir=V")</f>
        <v>0</v>
      </c>
      <c r="AY2">
        <f>BDH("AGX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BDH("AGYS US Equity","BS_TOT_ASSET","1993-06-18","2026-05-02","Per=Y","Days=T","Dir=V")</f>
        <v>0</v>
      </c>
      <c r="C2">
        <f>BDH("AGYS US Equity","BS_TOT_LIAB2","1993-06-18","2026-05-02","Per=Y","Days=T","Dir=V")</f>
        <v>0</v>
      </c>
      <c r="E2">
        <f>BDH("AGYS US Equity","SHORT_AND_LONG_TERM_DEBT","1993-06-18","2026-05-02","Per=Y","Days=T","Dir=V")</f>
        <v>0</v>
      </c>
      <c r="G2">
        <f>BDH("AGYS US Equity","BS_ST_BORROW","1993-06-18","2026-05-02","Per=Y","Days=T","Dir=V")</f>
        <v>0</v>
      </c>
      <c r="I2">
        <f>BDH("AGYS US Equity","BS_LT_BORROW","1993-06-18","2026-05-02","Per=Y","Days=T","Dir=V")</f>
        <v>0</v>
      </c>
      <c r="K2">
        <f>BDH("AGYS US Equity","BS_CASH_NEAR_CASH_ITEM","1993-06-18","2026-05-02","Per=Y","Days=T","Dir=V")</f>
        <v>0</v>
      </c>
      <c r="M2">
        <f>BDH("AGYS US Equity","BS_CUR_ASSET_REPORT","1993-06-18","2026-05-02","Per=Y","Days=T","Dir=V")</f>
        <v>0</v>
      </c>
      <c r="O2">
        <f>BDH("AGYS US Equity","BS_CUR_LIAB","1993-06-18","2026-05-02","Per=Y","Days=T","Dir=V")</f>
        <v>0</v>
      </c>
      <c r="Q2">
        <f>BDH("AGYS US Equity","BS_SHAREHOLDER_EQY_ENDING_PERIOD","1993-06-18","2026-05-02","Per=Y","Days=T","Dir=V")</f>
        <v>0</v>
      </c>
      <c r="S2">
        <f>BDH("AGYS US Equity","BS_ACCT_NOTE_RCV","1993-06-18","2026-05-02","Per=Y","Days=T","Dir=V")</f>
        <v>0</v>
      </c>
      <c r="U2">
        <f>BDH("AGYS US Equity","BS_INVENTORIES","1993-06-18","2026-05-02","Per=Y","Days=T","Dir=V")</f>
        <v>0</v>
      </c>
      <c r="W2">
        <f>BDH("AGYS US Equity","WORKING_CAPITAL","1993-06-18","2026-05-02","Per=Y","Days=T","Dir=V")</f>
        <v>0</v>
      </c>
      <c r="Y2">
        <f>BDH("AGYS US Equity","SALES_REV_TURN","1993-06-18","2026-05-02","Per=Y","Days=T","Dir=V")</f>
        <v>0</v>
      </c>
      <c r="AA2">
        <f>BDH("AGYS US Equity","EBIT","1993-06-18","2026-05-02","Per=Y","Days=T","Dir=V")</f>
        <v>0</v>
      </c>
      <c r="AC2">
        <f>BDH("AGYS US Equity","EBITDA","1993-06-18","2026-05-02","Per=Y","Days=T","Dir=V")</f>
        <v>0</v>
      </c>
      <c r="AE2">
        <f>BDH("AGYS US Equity","NET_INCOME","1993-06-18","2026-05-02","Per=Y","Days=T","Dir=V")</f>
        <v>0</v>
      </c>
      <c r="AG2">
        <f>BDH("AGYS US Equity","IS_INT_EXPENSE","1993-06-18","2026-05-02","Per=Y","Days=T","Dir=V")</f>
        <v>0</v>
      </c>
      <c r="AI2">
        <f>BDH("AGYS US Equity","IS_DEPR_EXP","1993-06-18","2026-05-02","Per=Y","Days=T","Dir=V")</f>
        <v>0</v>
      </c>
      <c r="AK2">
        <f>BDH("AGYS US Equity","CF_CASH_FROM_OPER","1993-06-18","2026-05-02","Per=Y","Days=T","Dir=V")</f>
        <v>0</v>
      </c>
      <c r="AM2">
        <f>BDH("AGYS US Equity","CAPITAL_EXPEND","1993-06-18","2026-05-02","Per=Y","Days=T","Dir=V")</f>
        <v>0</v>
      </c>
      <c r="AO2">
        <f>BDH("AGYS US Equity","CF_FREE_CASH_FLOW","1993-06-18","2026-05-02","Per=Y","Days=T","Dir=V")</f>
        <v>0</v>
      </c>
      <c r="AQ2">
        <f>BDH("AGYS US Equity","PX_LAST","1993-06-18","2026-05-02","Per=M","Days=T","Dir=V")</f>
        <v>0</v>
      </c>
      <c r="AS2">
        <f>BDH("AGYS US Equity","CUR_MKT_CAP","1993-06-18","2026-05-02","Per=M","Days=T","Dir=V")</f>
        <v>0</v>
      </c>
      <c r="AU2">
        <f>BDH("AGYS US Equity","EQY_SH_OUT","1993-06-18","2026-05-02","Per=M","Days=T","Dir=V")</f>
        <v>0</v>
      </c>
      <c r="AW2">
        <f>BDH("AGYS US Equity","PX_VOLUME","1993-06-18","2026-05-02","Per=M","Days=T","Dir=V")</f>
        <v>0</v>
      </c>
      <c r="AY2">
        <f>BDH("AGYS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BDH("AHCO US Equity","BS_TOT_ASSET","1993-06-18","2026-05-02","Per=Y","Days=T","Dir=V")</f>
        <v>0</v>
      </c>
      <c r="C2">
        <f>BDH("AHCO US Equity","BS_TOT_LIAB2","1993-06-18","2026-05-02","Per=Y","Days=T","Dir=V")</f>
        <v>0</v>
      </c>
      <c r="E2">
        <f>BDH("AHCO US Equity","SHORT_AND_LONG_TERM_DEBT","1993-06-18","2026-05-02","Per=Y","Days=T","Dir=V")</f>
        <v>0</v>
      </c>
      <c r="G2">
        <f>BDH("AHCO US Equity","BS_ST_BORROW","1993-06-18","2026-05-02","Per=Y","Days=T","Dir=V")</f>
        <v>0</v>
      </c>
      <c r="I2">
        <f>BDH("AHCO US Equity","BS_LT_BORROW","1993-06-18","2026-05-02","Per=Y","Days=T","Dir=V")</f>
        <v>0</v>
      </c>
      <c r="K2">
        <f>BDH("AHCO US Equity","BS_CASH_NEAR_CASH_ITEM","1993-06-18","2026-05-02","Per=Y","Days=T","Dir=V")</f>
        <v>0</v>
      </c>
      <c r="M2">
        <f>BDH("AHCO US Equity","BS_CUR_ASSET_REPORT","1993-06-18","2026-05-02","Per=Y","Days=T","Dir=V")</f>
        <v>0</v>
      </c>
      <c r="O2">
        <f>BDH("AHCO US Equity","BS_CUR_LIAB","1993-06-18","2026-05-02","Per=Y","Days=T","Dir=V")</f>
        <v>0</v>
      </c>
      <c r="Q2">
        <f>BDH("AHCO US Equity","BS_SHAREHOLDER_EQY_ENDING_PERIOD","1993-06-18","2026-05-02","Per=Y","Days=T","Dir=V")</f>
        <v>0</v>
      </c>
      <c r="S2">
        <f>BDH("AHCO US Equity","BS_ACCT_NOTE_RCV","1993-06-18","2026-05-02","Per=Y","Days=T","Dir=V")</f>
        <v>0</v>
      </c>
      <c r="U2">
        <f>BDH("AHCO US Equity","BS_INVENTORIES","1993-06-18","2026-05-02","Per=Y","Days=T","Dir=V")</f>
        <v>0</v>
      </c>
      <c r="W2">
        <f>BDH("AHCO US Equity","WORKING_CAPITAL","1993-06-18","2026-05-02","Per=Y","Days=T","Dir=V")</f>
        <v>0</v>
      </c>
      <c r="Y2">
        <f>BDH("AHCO US Equity","SALES_REV_TURN","1993-06-18","2026-05-02","Per=Y","Days=T","Dir=V")</f>
        <v>0</v>
      </c>
      <c r="AA2">
        <f>BDH("AHCO US Equity","EBIT","1993-06-18","2026-05-02","Per=Y","Days=T","Dir=V")</f>
        <v>0</v>
      </c>
      <c r="AC2">
        <f>BDH("AHCO US Equity","EBITDA","1993-06-18","2026-05-02","Per=Y","Days=T","Dir=V")</f>
        <v>0</v>
      </c>
      <c r="AE2">
        <f>BDH("AHCO US Equity","NET_INCOME","1993-06-18","2026-05-02","Per=Y","Days=T","Dir=V")</f>
        <v>0</v>
      </c>
      <c r="AG2">
        <f>BDH("AHCO US Equity","IS_INT_EXPENSE","1993-06-18","2026-05-02","Per=Y","Days=T","Dir=V")</f>
        <v>0</v>
      </c>
      <c r="AI2">
        <f>BDH("AHCO US Equity","IS_DEPR_EXP","1993-06-18","2026-05-02","Per=Y","Days=T","Dir=V")</f>
        <v>0</v>
      </c>
      <c r="AK2">
        <f>BDH("AHCO US Equity","CF_CASH_FROM_OPER","1993-06-18","2026-05-02","Per=Y","Days=T","Dir=V")</f>
        <v>0</v>
      </c>
      <c r="AM2">
        <f>BDH("AHCO US Equity","CAPITAL_EXPEND","1993-06-18","2026-05-02","Per=Y","Days=T","Dir=V")</f>
        <v>0</v>
      </c>
      <c r="AO2">
        <f>BDH("AHCO US Equity","CF_FREE_CASH_FLOW","1993-06-18","2026-05-02","Per=Y","Days=T","Dir=V")</f>
        <v>0</v>
      </c>
      <c r="AQ2">
        <f>BDH("AHCO US Equity","PX_LAST","1993-06-18","2026-05-02","Per=M","Days=T","Dir=V")</f>
        <v>0</v>
      </c>
      <c r="AS2">
        <f>BDH("AHCO US Equity","CUR_MKT_CAP","1993-06-18","2026-05-02","Per=M","Days=T","Dir=V")</f>
        <v>0</v>
      </c>
      <c r="AU2">
        <f>BDH("AHCO US Equity","EQY_SH_OUT","1993-06-18","2026-05-02","Per=M","Days=T","Dir=V")</f>
        <v>0</v>
      </c>
      <c r="AW2">
        <f>BDH("AHCO US Equity","PX_VOLUME","1993-06-18","2026-05-02","Per=M","Days=T","Dir=V")</f>
        <v>0</v>
      </c>
      <c r="AY2">
        <f>BDH("AHCO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 US Equity","BS_TOT_ASSET","1993-06-18","2026-05-02","Per=Y","Days=T","Dir=V")</f>
        <v>0</v>
      </c>
      <c r="C2">
        <f>BDH("AI US Equity","BS_TOT_LIAB2","1993-06-18","2026-05-02","Per=Y","Days=T","Dir=V")</f>
        <v>0</v>
      </c>
      <c r="E2">
        <f>BDH("AI US Equity","SHORT_AND_LONG_TERM_DEBT","1993-06-18","2026-05-02","Per=Y","Days=T","Dir=V")</f>
        <v>0</v>
      </c>
      <c r="G2">
        <f>BDH("AI US Equity","BS_ST_BORROW","1993-06-18","2026-05-02","Per=Y","Days=T","Dir=V")</f>
        <v>0</v>
      </c>
      <c r="I2">
        <f>BDH("AI US Equity","BS_LT_BORROW","1993-06-18","2026-05-02","Per=Y","Days=T","Dir=V")</f>
        <v>0</v>
      </c>
      <c r="K2">
        <f>BDH("AI US Equity","BS_CASH_NEAR_CASH_ITEM","1993-06-18","2026-05-02","Per=Y","Days=T","Dir=V")</f>
        <v>0</v>
      </c>
      <c r="M2">
        <f>BDH("AI US Equity","BS_CUR_ASSET_REPORT","1993-06-18","2026-05-02","Per=Y","Days=T","Dir=V")</f>
        <v>0</v>
      </c>
      <c r="O2">
        <f>BDH("AI US Equity","BS_CUR_LIAB","1993-06-18","2026-05-02","Per=Y","Days=T","Dir=V")</f>
        <v>0</v>
      </c>
      <c r="Q2">
        <f>BDH("AI US Equity","BS_SHAREHOLDER_EQY_ENDING_PERIOD","1993-06-18","2026-05-02","Per=Y","Days=T","Dir=V")</f>
        <v>0</v>
      </c>
      <c r="S2">
        <f>BDH("AI US Equity","BS_ACCT_NOTE_RCV","1993-06-18","2026-05-02","Per=Y","Days=T","Dir=V")</f>
        <v>0</v>
      </c>
      <c r="U2">
        <f>BDH("AI US Equity","BS_INVENTORIES","1993-06-18","2026-05-02","Per=Y","Days=T","Dir=V")</f>
        <v>0</v>
      </c>
      <c r="W2">
        <f>BDH("AI US Equity","WORKING_CAPITAL","1993-06-18","2026-05-02","Per=Y","Days=T","Dir=V")</f>
        <v>0</v>
      </c>
      <c r="Y2">
        <f>BDH("AI US Equity","SALES_REV_TURN","1993-06-18","2026-05-02","Per=Y","Days=T","Dir=V")</f>
        <v>0</v>
      </c>
      <c r="AA2">
        <f>BDH("AI US Equity","EBIT","1993-06-18","2026-05-02","Per=Y","Days=T","Dir=V")</f>
        <v>0</v>
      </c>
      <c r="AC2">
        <f>BDH("AI US Equity","EBITDA","1993-06-18","2026-05-02","Per=Y","Days=T","Dir=V")</f>
        <v>0</v>
      </c>
      <c r="AE2">
        <f>BDH("AI US Equity","NET_INCOME","1993-06-18","2026-05-02","Per=Y","Days=T","Dir=V")</f>
        <v>0</v>
      </c>
      <c r="AG2">
        <f>BDH("AI US Equity","IS_INT_EXPENSE","1993-06-18","2026-05-02","Per=Y","Days=T","Dir=V")</f>
        <v>0</v>
      </c>
      <c r="AI2">
        <f>BDH("AI US Equity","IS_DEPR_EXP","1993-06-18","2026-05-02","Per=Y","Days=T","Dir=V")</f>
        <v>0</v>
      </c>
      <c r="AK2">
        <f>BDH("AI US Equity","CF_CASH_FROM_OPER","1993-06-18","2026-05-02","Per=Y","Days=T","Dir=V")</f>
        <v>0</v>
      </c>
      <c r="AM2">
        <f>BDH("AI US Equity","CAPITAL_EXPEND","1993-06-18","2026-05-02","Per=Y","Days=T","Dir=V")</f>
        <v>0</v>
      </c>
      <c r="AO2">
        <f>BDH("AI US Equity","CF_FREE_CASH_FLOW","1993-06-18","2026-05-02","Per=Y","Days=T","Dir=V")</f>
        <v>0</v>
      </c>
      <c r="AQ2">
        <f>BDH("AI US Equity","PX_LAST","1993-06-18","2026-05-02","Per=M","Days=T","Dir=V")</f>
        <v>0</v>
      </c>
      <c r="AS2">
        <f>BDH("AI US Equity","CUR_MKT_CAP","1993-06-18","2026-05-02","Per=M","Days=T","Dir=V")</f>
        <v>0</v>
      </c>
      <c r="AU2">
        <f>BDH("AI US Equity","EQY_SH_OUT","1993-06-18","2026-05-02","Per=M","Days=T","Dir=V")</f>
        <v>0</v>
      </c>
      <c r="AW2">
        <f>BDH("AI US Equity","PX_VOLUME","1993-06-18","2026-05-02","Per=M","Days=T","Dir=V")</f>
        <v>0</v>
      </c>
      <c r="AY2">
        <f>BDH("AI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BDH("AIAI US Equity","BS_TOT_ASSET","1993-06-18","2026-05-02","Per=Y","Days=T","Dir=V")</f>
        <v>0</v>
      </c>
      <c r="C2">
        <f>BDH("AIAI US Equity","BS_TOT_LIAB2","1993-06-18","2026-05-02","Per=Y","Days=T","Dir=V")</f>
        <v>0</v>
      </c>
      <c r="E2">
        <f>BDH("AIAI US Equity","SHORT_AND_LONG_TERM_DEBT","1993-06-18","2026-05-02","Per=Y","Days=T","Dir=V")</f>
        <v>0</v>
      </c>
      <c r="G2">
        <f>BDH("AIAI US Equity","BS_ST_BORROW","1993-06-18","2026-05-02","Per=Y","Days=T","Dir=V")</f>
        <v>0</v>
      </c>
      <c r="I2">
        <f>BDH("AIAI US Equity","BS_LT_BORROW","1993-06-18","2026-05-02","Per=Y","Days=T","Dir=V")</f>
        <v>0</v>
      </c>
      <c r="K2">
        <f>BDH("AIAI US Equity","BS_CASH_NEAR_CASH_ITEM","1993-06-18","2026-05-02","Per=Y","Days=T","Dir=V")</f>
        <v>0</v>
      </c>
      <c r="M2">
        <f>BDH("AIAI US Equity","BS_CUR_ASSET_REPORT","1993-06-18","2026-05-02","Per=Y","Days=T","Dir=V")</f>
        <v>0</v>
      </c>
      <c r="O2">
        <f>BDH("AIAI US Equity","BS_CUR_LIAB","1993-06-18","2026-05-02","Per=Y","Days=T","Dir=V")</f>
        <v>0</v>
      </c>
      <c r="Q2">
        <f>BDH("AIAI US Equity","BS_SHAREHOLDER_EQY_ENDING_PERIOD","1993-06-18","2026-05-02","Per=Y","Days=T","Dir=V")</f>
        <v>0</v>
      </c>
      <c r="S2">
        <f>BDH("AIAI US Equity","BS_ACCT_NOTE_RCV","1993-06-18","2026-05-02","Per=Y","Days=T","Dir=V")</f>
        <v>0</v>
      </c>
      <c r="U2">
        <f>BDH("AIAI US Equity","BS_INVENTORIES","1993-06-18","2026-05-02","Per=Y","Days=T","Dir=V")</f>
        <v>0</v>
      </c>
      <c r="W2">
        <f>BDH("AIAI US Equity","WORKING_CAPITAL","1993-06-18","2026-05-02","Per=Y","Days=T","Dir=V")</f>
        <v>0</v>
      </c>
      <c r="Y2">
        <f>BDH("AIAI US Equity","SALES_REV_TURN","1993-06-18","2026-05-02","Per=Y","Days=T","Dir=V")</f>
        <v>0</v>
      </c>
      <c r="AA2">
        <f>BDH("AIAI US Equity","EBIT","1993-06-18","2026-05-02","Per=Y","Days=T","Dir=V")</f>
        <v>0</v>
      </c>
      <c r="AC2">
        <f>BDH("AIAI US Equity","EBITDA","1993-06-18","2026-05-02","Per=Y","Days=T","Dir=V")</f>
        <v>0</v>
      </c>
      <c r="AE2">
        <f>BDH("AIAI US Equity","NET_INCOME","1993-06-18","2026-05-02","Per=Y","Days=T","Dir=V")</f>
        <v>0</v>
      </c>
      <c r="AG2">
        <f>BDH("AIAI US Equity","IS_INT_EXPENSE","1993-06-18","2026-05-02","Per=Y","Days=T","Dir=V")</f>
        <v>0</v>
      </c>
      <c r="AI2">
        <f>BDH("AIAI US Equity","IS_DEPR_EXP","1993-06-18","2026-05-02","Per=Y","Days=T","Dir=V")</f>
        <v>0</v>
      </c>
      <c r="AK2">
        <f>BDH("AIAI US Equity","CF_CASH_FROM_OPER","1993-06-18","2026-05-02","Per=Y","Days=T","Dir=V")</f>
        <v>0</v>
      </c>
      <c r="AM2">
        <f>BDH("AIAI US Equity","CAPITAL_EXPEND","1993-06-18","2026-05-02","Per=Y","Days=T","Dir=V")</f>
        <v>0</v>
      </c>
      <c r="AO2">
        <f>BDH("AIAI US Equity","CF_FREE_CASH_FLOW","1993-06-18","2026-05-02","Per=Y","Days=T","Dir=V")</f>
        <v>0</v>
      </c>
      <c r="AQ2">
        <f>BDH("AIAI US Equity","PX_LAST","1993-06-18","2026-05-02","Per=M","Days=T","Dir=V")</f>
        <v>0</v>
      </c>
      <c r="AS2">
        <f>BDH("AIAI US Equity","CUR_MKT_CAP","1993-06-18","2026-05-02","Per=M","Days=T","Dir=V")</f>
        <v>0</v>
      </c>
      <c r="AU2">
        <f>BDH("AIAI US Equity","EQY_SH_OUT","1993-06-18","2026-05-02","Per=M","Days=T","Dir=V")</f>
        <v>0</v>
      </c>
      <c r="AW2">
        <f>BDH("AIAI US Equity","PX_VOLUME","1993-06-18","2026-05-02","Per=M","Days=T","Dir=V")</f>
        <v>0</v>
      </c>
      <c r="AY2">
        <f>BDH("AIAI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BDH("AIDX US Equity","BS_TOT_ASSET","1993-06-18","2026-05-02","Per=Y","Days=T","Dir=V")</f>
        <v>0</v>
      </c>
      <c r="C2">
        <f>BDH("AIDX US Equity","BS_TOT_LIAB2","1993-06-18","2026-05-02","Per=Y","Days=T","Dir=V")</f>
        <v>0</v>
      </c>
      <c r="E2">
        <f>BDH("AIDX US Equity","SHORT_AND_LONG_TERM_DEBT","1993-06-18","2026-05-02","Per=Y","Days=T","Dir=V")</f>
        <v>0</v>
      </c>
      <c r="G2">
        <f>BDH("AIDX US Equity","BS_ST_BORROW","1993-06-18","2026-05-02","Per=Y","Days=T","Dir=V")</f>
        <v>0</v>
      </c>
      <c r="I2">
        <f>BDH("AIDX US Equity","BS_LT_BORROW","1993-06-18","2026-05-02","Per=Y","Days=T","Dir=V")</f>
        <v>0</v>
      </c>
      <c r="K2">
        <f>BDH("AIDX US Equity","BS_CASH_NEAR_CASH_ITEM","1993-06-18","2026-05-02","Per=Y","Days=T","Dir=V")</f>
        <v>0</v>
      </c>
      <c r="M2">
        <f>BDH("AIDX US Equity","BS_CUR_ASSET_REPORT","1993-06-18","2026-05-02","Per=Y","Days=T","Dir=V")</f>
        <v>0</v>
      </c>
      <c r="O2">
        <f>BDH("AIDX US Equity","BS_CUR_LIAB","1993-06-18","2026-05-02","Per=Y","Days=T","Dir=V")</f>
        <v>0</v>
      </c>
      <c r="Q2">
        <f>BDH("AIDX US Equity","BS_SHAREHOLDER_EQY_ENDING_PERIOD","1993-06-18","2026-05-02","Per=Y","Days=T","Dir=V")</f>
        <v>0</v>
      </c>
      <c r="S2">
        <f>BDH("AIDX US Equity","BS_ACCT_NOTE_RCV","1993-06-18","2026-05-02","Per=Y","Days=T","Dir=V")</f>
        <v>0</v>
      </c>
      <c r="U2">
        <f>BDH("AIDX US Equity","BS_INVENTORIES","1993-06-18","2026-05-02","Per=Y","Days=T","Dir=V")</f>
        <v>0</v>
      </c>
      <c r="W2">
        <f>BDH("AIDX US Equity","WORKING_CAPITAL","1993-06-18","2026-05-02","Per=Y","Days=T","Dir=V")</f>
        <v>0</v>
      </c>
      <c r="Y2">
        <f>BDH("AIDX US Equity","SALES_REV_TURN","1993-06-18","2026-05-02","Per=Y","Days=T","Dir=V")</f>
        <v>0</v>
      </c>
      <c r="AA2">
        <f>BDH("AIDX US Equity","EBIT","1993-06-18","2026-05-02","Per=Y","Days=T","Dir=V")</f>
        <v>0</v>
      </c>
      <c r="AC2">
        <f>BDH("AIDX US Equity","EBITDA","1993-06-18","2026-05-02","Per=Y","Days=T","Dir=V")</f>
        <v>0</v>
      </c>
      <c r="AE2">
        <f>BDH("AIDX US Equity","NET_INCOME","1993-06-18","2026-05-02","Per=Y","Days=T","Dir=V")</f>
        <v>0</v>
      </c>
      <c r="AG2">
        <f>BDH("AIDX US Equity","IS_INT_EXPENSE","1993-06-18","2026-05-02","Per=Y","Days=T","Dir=V")</f>
        <v>0</v>
      </c>
      <c r="AI2">
        <f>BDH("AIDX US Equity","IS_DEPR_EXP","1993-06-18","2026-05-02","Per=Y","Days=T","Dir=V")</f>
        <v>0</v>
      </c>
      <c r="AK2">
        <f>BDH("AIDX US Equity","CF_CASH_FROM_OPER","1993-06-18","2026-05-02","Per=Y","Days=T","Dir=V")</f>
        <v>0</v>
      </c>
      <c r="AM2">
        <f>BDH("AIDX US Equity","CAPITAL_EXPEND","1993-06-18","2026-05-02","Per=Y","Days=T","Dir=V")</f>
        <v>0</v>
      </c>
      <c r="AO2">
        <f>BDH("AIDX US Equity","CF_FREE_CASH_FLOW","1993-06-18","2026-05-02","Per=Y","Days=T","Dir=V")</f>
        <v>0</v>
      </c>
      <c r="AQ2">
        <f>BDH("AIDX US Equity","PX_LAST","1993-06-18","2026-05-02","Per=M","Days=T","Dir=V")</f>
        <v>0</v>
      </c>
      <c r="AS2">
        <f>BDH("AIDX US Equity","CUR_MKT_CAP","1993-06-18","2026-05-02","Per=M","Days=T","Dir=V")</f>
        <v>0</v>
      </c>
      <c r="AU2">
        <f>BDH("AIDX US Equity","EQY_SH_OUT","1993-06-18","2026-05-02","Per=M","Days=T","Dir=V")</f>
        <v>0</v>
      </c>
      <c r="AW2">
        <f>BDH("AIDX US Equity","PX_VOLUME","1993-06-18","2026-05-02","Per=M","Days=T","Dir=V")</f>
        <v>0</v>
      </c>
      <c r="AY2">
        <f>BDH("AIDX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BDH("AIFA US Equity","BS_TOT_ASSET","1993-06-18","2026-05-02","Per=Y","Days=T","Dir=V")</f>
        <v>0</v>
      </c>
      <c r="C2">
        <f>BDH("AIFA US Equity","BS_TOT_LIAB2","1993-06-18","2026-05-02","Per=Y","Days=T","Dir=V")</f>
        <v>0</v>
      </c>
      <c r="E2">
        <f>BDH("AIFA US Equity","SHORT_AND_LONG_TERM_DEBT","1993-06-18","2026-05-02","Per=Y","Days=T","Dir=V")</f>
        <v>0</v>
      </c>
      <c r="G2">
        <f>BDH("AIFA US Equity","BS_ST_BORROW","1993-06-18","2026-05-02","Per=Y","Days=T","Dir=V")</f>
        <v>0</v>
      </c>
      <c r="I2">
        <f>BDH("AIFA US Equity","BS_LT_BORROW","1993-06-18","2026-05-02","Per=Y","Days=T","Dir=V")</f>
        <v>0</v>
      </c>
      <c r="K2">
        <f>BDH("AIFA US Equity","BS_CASH_NEAR_CASH_ITEM","1993-06-18","2026-05-02","Per=Y","Days=T","Dir=V")</f>
        <v>0</v>
      </c>
      <c r="M2">
        <f>BDH("AIFA US Equity","BS_CUR_ASSET_REPORT","1993-06-18","2026-05-02","Per=Y","Days=T","Dir=V")</f>
        <v>0</v>
      </c>
      <c r="O2">
        <f>BDH("AIFA US Equity","BS_CUR_LIAB","1993-06-18","2026-05-02","Per=Y","Days=T","Dir=V")</f>
        <v>0</v>
      </c>
      <c r="Q2">
        <f>BDH("AIFA US Equity","BS_SHAREHOLDER_EQY_ENDING_PERIOD","1993-06-18","2026-05-02","Per=Y","Days=T","Dir=V")</f>
        <v>0</v>
      </c>
      <c r="S2">
        <f>BDH("AIFA US Equity","BS_ACCT_NOTE_RCV","1993-06-18","2026-05-02","Per=Y","Days=T","Dir=V")</f>
        <v>0</v>
      </c>
      <c r="U2">
        <f>BDH("AIFA US Equity","BS_INVENTORIES","1993-06-18","2026-05-02","Per=Y","Days=T","Dir=V")</f>
        <v>0</v>
      </c>
      <c r="W2">
        <f>BDH("AIFA US Equity","WORKING_CAPITAL","1993-06-18","2026-05-02","Per=Y","Days=T","Dir=V")</f>
        <v>0</v>
      </c>
      <c r="Y2">
        <f>BDH("AIFA US Equity","SALES_REV_TURN","1993-06-18","2026-05-02","Per=Y","Days=T","Dir=V")</f>
        <v>0</v>
      </c>
      <c r="AA2">
        <f>BDH("AIFA US Equity","EBIT","1993-06-18","2026-05-02","Per=Y","Days=T","Dir=V")</f>
        <v>0</v>
      </c>
      <c r="AC2">
        <f>BDH("AIFA US Equity","EBITDA","1993-06-18","2026-05-02","Per=Y","Days=T","Dir=V")</f>
        <v>0</v>
      </c>
      <c r="AE2">
        <f>BDH("AIFA US Equity","NET_INCOME","1993-06-18","2026-05-02","Per=Y","Days=T","Dir=V")</f>
        <v>0</v>
      </c>
      <c r="AG2">
        <f>BDH("AIFA US Equity","IS_INT_EXPENSE","1993-06-18","2026-05-02","Per=Y","Days=T","Dir=V")</f>
        <v>0</v>
      </c>
      <c r="AI2">
        <f>BDH("AIFA US Equity","IS_DEPR_EXP","1993-06-18","2026-05-02","Per=Y","Days=T","Dir=V")</f>
        <v>0</v>
      </c>
      <c r="AK2">
        <f>BDH("AIFA US Equity","CF_CASH_FROM_OPER","1993-06-18","2026-05-02","Per=Y","Days=T","Dir=V")</f>
        <v>0</v>
      </c>
      <c r="AM2">
        <f>BDH("AIFA US Equity","CAPITAL_EXPEND","1993-06-18","2026-05-02","Per=Y","Days=T","Dir=V")</f>
        <v>0</v>
      </c>
      <c r="AO2">
        <f>BDH("AIFA US Equity","CF_FREE_CASH_FLOW","1993-06-18","2026-05-02","Per=Y","Days=T","Dir=V")</f>
        <v>0</v>
      </c>
      <c r="AQ2">
        <f>BDH("AIFA US Equity","PX_LAST","1993-06-18","2026-05-02","Per=M","Days=T","Dir=V")</f>
        <v>0</v>
      </c>
      <c r="AS2">
        <f>BDH("AIFA US Equity","CUR_MKT_CAP","1993-06-18","2026-05-02","Per=M","Days=T","Dir=V")</f>
        <v>0</v>
      </c>
      <c r="AU2">
        <f>BDH("AIFA US Equity","EQY_SH_OUT","1993-06-18","2026-05-02","Per=M","Days=T","Dir=V")</f>
        <v>0</v>
      </c>
      <c r="AW2">
        <f>BDH("AIFA US Equity","PX_VOLUME","1993-06-18","2026-05-02","Per=M","Days=T","Dir=V")</f>
        <v>0</v>
      </c>
      <c r="AY2">
        <f>BDH("AIFA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BDH("AIFF US Equity","BS_TOT_ASSET","1993-06-18","2026-05-02","Per=Y","Days=T","Dir=V")</f>
        <v>0</v>
      </c>
      <c r="C2">
        <f>BDH("AIFF US Equity","BS_TOT_LIAB2","1993-06-18","2026-05-02","Per=Y","Days=T","Dir=V")</f>
        <v>0</v>
      </c>
      <c r="E2">
        <f>BDH("AIFF US Equity","SHORT_AND_LONG_TERM_DEBT","1993-06-18","2026-05-02","Per=Y","Days=T","Dir=V")</f>
        <v>0</v>
      </c>
      <c r="G2">
        <f>BDH("AIFF US Equity","BS_ST_BORROW","1993-06-18","2026-05-02","Per=Y","Days=T","Dir=V")</f>
        <v>0</v>
      </c>
      <c r="I2">
        <f>BDH("AIFF US Equity","BS_LT_BORROW","1993-06-18","2026-05-02","Per=Y","Days=T","Dir=V")</f>
        <v>0</v>
      </c>
      <c r="K2">
        <f>BDH("AIFF US Equity","BS_CASH_NEAR_CASH_ITEM","1993-06-18","2026-05-02","Per=Y","Days=T","Dir=V")</f>
        <v>0</v>
      </c>
      <c r="M2">
        <f>BDH("AIFF US Equity","BS_CUR_ASSET_REPORT","1993-06-18","2026-05-02","Per=Y","Days=T","Dir=V")</f>
        <v>0</v>
      </c>
      <c r="O2">
        <f>BDH("AIFF US Equity","BS_CUR_LIAB","1993-06-18","2026-05-02","Per=Y","Days=T","Dir=V")</f>
        <v>0</v>
      </c>
      <c r="Q2">
        <f>BDH("AIFF US Equity","BS_SHAREHOLDER_EQY_ENDING_PERIOD","1993-06-18","2026-05-02","Per=Y","Days=T","Dir=V")</f>
        <v>0</v>
      </c>
      <c r="S2">
        <f>BDH("AIFF US Equity","BS_ACCT_NOTE_RCV","1993-06-18","2026-05-02","Per=Y","Days=T","Dir=V")</f>
        <v>0</v>
      </c>
      <c r="U2">
        <f>BDH("AIFF US Equity","BS_INVENTORIES","1993-06-18","2026-05-02","Per=Y","Days=T","Dir=V")</f>
        <v>0</v>
      </c>
      <c r="W2">
        <f>BDH("AIFF US Equity","WORKING_CAPITAL","1993-06-18","2026-05-02","Per=Y","Days=T","Dir=V")</f>
        <v>0</v>
      </c>
      <c r="Y2">
        <f>BDH("AIFF US Equity","SALES_REV_TURN","1993-06-18","2026-05-02","Per=Y","Days=T","Dir=V")</f>
        <v>0</v>
      </c>
      <c r="AA2">
        <f>BDH("AIFF US Equity","EBIT","1993-06-18","2026-05-02","Per=Y","Days=T","Dir=V")</f>
        <v>0</v>
      </c>
      <c r="AC2">
        <f>BDH("AIFF US Equity","EBITDA","1993-06-18","2026-05-02","Per=Y","Days=T","Dir=V")</f>
        <v>0</v>
      </c>
      <c r="AE2">
        <f>BDH("AIFF US Equity","NET_INCOME","1993-06-18","2026-05-02","Per=Y","Days=T","Dir=V")</f>
        <v>0</v>
      </c>
      <c r="AG2">
        <f>BDH("AIFF US Equity","IS_INT_EXPENSE","1993-06-18","2026-05-02","Per=Y","Days=T","Dir=V")</f>
        <v>0</v>
      </c>
      <c r="AI2">
        <f>BDH("AIFF US Equity","IS_DEPR_EXP","1993-06-18","2026-05-02","Per=Y","Days=T","Dir=V")</f>
        <v>0</v>
      </c>
      <c r="AK2">
        <f>BDH("AIFF US Equity","CF_CASH_FROM_OPER","1993-06-18","2026-05-02","Per=Y","Days=T","Dir=V")</f>
        <v>0</v>
      </c>
      <c r="AM2">
        <f>BDH("AIFF US Equity","CAPITAL_EXPEND","1993-06-18","2026-05-02","Per=Y","Days=T","Dir=V")</f>
        <v>0</v>
      </c>
      <c r="AO2">
        <f>BDH("AIFF US Equity","CF_FREE_CASH_FLOW","1993-06-18","2026-05-02","Per=Y","Days=T","Dir=V")</f>
        <v>0</v>
      </c>
      <c r="AQ2">
        <f>BDH("AIFF US Equity","PX_LAST","1993-06-18","2026-05-02","Per=M","Days=T","Dir=V")</f>
        <v>0</v>
      </c>
      <c r="AS2">
        <f>BDH("AIFF US Equity","CUR_MKT_CAP","1993-06-18","2026-05-02","Per=M","Days=T","Dir=V")</f>
        <v>0</v>
      </c>
      <c r="AU2">
        <f>BDH("AIFF US Equity","EQY_SH_OUT","1993-06-18","2026-05-02","Per=M","Days=T","Dir=V")</f>
        <v>0</v>
      </c>
      <c r="AW2">
        <f>BDH("AIFF US Equity","PX_VOLUME","1993-06-18","2026-05-02","Per=M","Days=T","Dir=V")</f>
        <v>0</v>
      </c>
      <c r="AY2">
        <f>BDH("AIFF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BDH("AIMD US Equity","BS_TOT_ASSET","1993-06-18","2026-05-02","Per=Y","Days=T","Dir=V")</f>
        <v>0</v>
      </c>
      <c r="C2">
        <f>BDH("AIMD US Equity","BS_TOT_LIAB2","1993-06-18","2026-05-02","Per=Y","Days=T","Dir=V")</f>
        <v>0</v>
      </c>
      <c r="E2">
        <f>BDH("AIMD US Equity","SHORT_AND_LONG_TERM_DEBT","1993-06-18","2026-05-02","Per=Y","Days=T","Dir=V")</f>
        <v>0</v>
      </c>
      <c r="G2">
        <f>BDH("AIMD US Equity","BS_ST_BORROW","1993-06-18","2026-05-02","Per=Y","Days=T","Dir=V")</f>
        <v>0</v>
      </c>
      <c r="I2">
        <f>BDH("AIMD US Equity","BS_LT_BORROW","1993-06-18","2026-05-02","Per=Y","Days=T","Dir=V")</f>
        <v>0</v>
      </c>
      <c r="K2">
        <f>BDH("AIMD US Equity","BS_CASH_NEAR_CASH_ITEM","1993-06-18","2026-05-02","Per=Y","Days=T","Dir=V")</f>
        <v>0</v>
      </c>
      <c r="M2">
        <f>BDH("AIMD US Equity","BS_CUR_ASSET_REPORT","1993-06-18","2026-05-02","Per=Y","Days=T","Dir=V")</f>
        <v>0</v>
      </c>
      <c r="O2">
        <f>BDH("AIMD US Equity","BS_CUR_LIAB","1993-06-18","2026-05-02","Per=Y","Days=T","Dir=V")</f>
        <v>0</v>
      </c>
      <c r="Q2">
        <f>BDH("AIMD US Equity","BS_SHAREHOLDER_EQY_ENDING_PERIOD","1993-06-18","2026-05-02","Per=Y","Days=T","Dir=V")</f>
        <v>0</v>
      </c>
      <c r="S2">
        <f>BDH("AIMD US Equity","BS_ACCT_NOTE_RCV","1993-06-18","2026-05-02","Per=Y","Days=T","Dir=V")</f>
        <v>0</v>
      </c>
      <c r="U2">
        <f>BDH("AIMD US Equity","BS_INVENTORIES","1993-06-18","2026-05-02","Per=Y","Days=T","Dir=V")</f>
        <v>0</v>
      </c>
      <c r="W2">
        <f>BDH("AIMD US Equity","WORKING_CAPITAL","1993-06-18","2026-05-02","Per=Y","Days=T","Dir=V")</f>
        <v>0</v>
      </c>
      <c r="Y2">
        <f>BDH("AIMD US Equity","SALES_REV_TURN","1993-06-18","2026-05-02","Per=Y","Days=T","Dir=V")</f>
        <v>0</v>
      </c>
      <c r="AA2">
        <f>BDH("AIMD US Equity","EBIT","1993-06-18","2026-05-02","Per=Y","Days=T","Dir=V")</f>
        <v>0</v>
      </c>
      <c r="AC2">
        <f>BDH("AIMD US Equity","EBITDA","1993-06-18","2026-05-02","Per=Y","Days=T","Dir=V")</f>
        <v>0</v>
      </c>
      <c r="AE2">
        <f>BDH("AIMD US Equity","NET_INCOME","1993-06-18","2026-05-02","Per=Y","Days=T","Dir=V")</f>
        <v>0</v>
      </c>
      <c r="AG2">
        <f>BDH("AIMD US Equity","IS_INT_EXPENSE","1993-06-18","2026-05-02","Per=Y","Days=T","Dir=V")</f>
        <v>0</v>
      </c>
      <c r="AI2">
        <f>BDH("AIMD US Equity","IS_DEPR_EXP","1993-06-18","2026-05-02","Per=Y","Days=T","Dir=V")</f>
        <v>0</v>
      </c>
      <c r="AK2">
        <f>BDH("AIMD US Equity","CF_CASH_FROM_OPER","1993-06-18","2026-05-02","Per=Y","Days=T","Dir=V")</f>
        <v>0</v>
      </c>
      <c r="AM2">
        <f>BDH("AIMD US Equity","CAPITAL_EXPEND","1993-06-18","2026-05-02","Per=Y","Days=T","Dir=V")</f>
        <v>0</v>
      </c>
      <c r="AO2">
        <f>BDH("AIMD US Equity","CF_FREE_CASH_FLOW","1993-06-18","2026-05-02","Per=Y","Days=T","Dir=V")</f>
        <v>0</v>
      </c>
      <c r="AQ2">
        <f>BDH("AIMD US Equity","PX_LAST","1993-06-18","2026-05-02","Per=M","Days=T","Dir=V")</f>
        <v>0</v>
      </c>
      <c r="AS2">
        <f>BDH("AIMD US Equity","CUR_MKT_CAP","1993-06-18","2026-05-02","Per=M","Days=T","Dir=V")</f>
        <v>0</v>
      </c>
      <c r="AU2">
        <f>BDH("AIMD US Equity","EQY_SH_OUT","1993-06-18","2026-05-02","Per=M","Days=T","Dir=V")</f>
        <v>0</v>
      </c>
      <c r="AW2">
        <f>BDH("AIMD US Equity","PX_VOLUME","1993-06-18","2026-05-02","Per=M","Days=T","Dir=V")</f>
        <v>0</v>
      </c>
      <c r="AY2">
        <f>BDH("AIMD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BDH("AIMDW US Equity","BS_TOT_ASSET","1993-06-18","2026-05-02","Per=Y","Days=T","Dir=V")</f>
        <v>0</v>
      </c>
      <c r="C2">
        <f>BDH("AIMDW US Equity","BS_TOT_LIAB2","1993-06-18","2026-05-02","Per=Y","Days=T","Dir=V")</f>
        <v>0</v>
      </c>
      <c r="E2">
        <f>BDH("AIMDW US Equity","SHORT_AND_LONG_TERM_DEBT","1993-06-18","2026-05-02","Per=Y","Days=T","Dir=V")</f>
        <v>0</v>
      </c>
      <c r="G2">
        <f>BDH("AIMDW US Equity","BS_ST_BORROW","1993-06-18","2026-05-02","Per=Y","Days=T","Dir=V")</f>
        <v>0</v>
      </c>
      <c r="I2">
        <f>BDH("AIMDW US Equity","BS_LT_BORROW","1993-06-18","2026-05-02","Per=Y","Days=T","Dir=V")</f>
        <v>0</v>
      </c>
      <c r="K2">
        <f>BDH("AIMDW US Equity","BS_CASH_NEAR_CASH_ITEM","1993-06-18","2026-05-02","Per=Y","Days=T","Dir=V")</f>
        <v>0</v>
      </c>
      <c r="M2">
        <f>BDH("AIMDW US Equity","BS_CUR_ASSET_REPORT","1993-06-18","2026-05-02","Per=Y","Days=T","Dir=V")</f>
        <v>0</v>
      </c>
      <c r="O2">
        <f>BDH("AIMDW US Equity","BS_CUR_LIAB","1993-06-18","2026-05-02","Per=Y","Days=T","Dir=V")</f>
        <v>0</v>
      </c>
      <c r="Q2">
        <f>BDH("AIMDW US Equity","BS_SHAREHOLDER_EQY_ENDING_PERIOD","1993-06-18","2026-05-02","Per=Y","Days=T","Dir=V")</f>
        <v>0</v>
      </c>
      <c r="S2">
        <f>BDH("AIMDW US Equity","BS_ACCT_NOTE_RCV","1993-06-18","2026-05-02","Per=Y","Days=T","Dir=V")</f>
        <v>0</v>
      </c>
      <c r="U2">
        <f>BDH("AIMDW US Equity","BS_INVENTORIES","1993-06-18","2026-05-02","Per=Y","Days=T","Dir=V")</f>
        <v>0</v>
      </c>
      <c r="W2">
        <f>BDH("AIMDW US Equity","WORKING_CAPITAL","1993-06-18","2026-05-02","Per=Y","Days=T","Dir=V")</f>
        <v>0</v>
      </c>
      <c r="Y2">
        <f>BDH("AIMDW US Equity","SALES_REV_TURN","1993-06-18","2026-05-02","Per=Y","Days=T","Dir=V")</f>
        <v>0</v>
      </c>
      <c r="AA2">
        <f>BDH("AIMDW US Equity","EBIT","1993-06-18","2026-05-02","Per=Y","Days=T","Dir=V")</f>
        <v>0</v>
      </c>
      <c r="AC2">
        <f>BDH("AIMDW US Equity","EBITDA","1993-06-18","2026-05-02","Per=Y","Days=T","Dir=V")</f>
        <v>0</v>
      </c>
      <c r="AE2">
        <f>BDH("AIMDW US Equity","NET_INCOME","1993-06-18","2026-05-02","Per=Y","Days=T","Dir=V")</f>
        <v>0</v>
      </c>
      <c r="AG2">
        <f>BDH("AIMDW US Equity","IS_INT_EXPENSE","1993-06-18","2026-05-02","Per=Y","Days=T","Dir=V")</f>
        <v>0</v>
      </c>
      <c r="AI2">
        <f>BDH("AIMDW US Equity","IS_DEPR_EXP","1993-06-18","2026-05-02","Per=Y","Days=T","Dir=V")</f>
        <v>0</v>
      </c>
      <c r="AK2">
        <f>BDH("AIMDW US Equity","CF_CASH_FROM_OPER","1993-06-18","2026-05-02","Per=Y","Days=T","Dir=V")</f>
        <v>0</v>
      </c>
      <c r="AM2">
        <f>BDH("AIMDW US Equity","CAPITAL_EXPEND","1993-06-18","2026-05-02","Per=Y","Days=T","Dir=V")</f>
        <v>0</v>
      </c>
      <c r="AO2">
        <f>BDH("AIMDW US Equity","CF_FREE_CASH_FLOW","1993-06-18","2026-05-02","Per=Y","Days=T","Dir=V")</f>
        <v>0</v>
      </c>
      <c r="AQ2">
        <f>BDH("AIMDW US Equity","PX_LAST","1993-06-18","2026-05-02","Per=M","Days=T","Dir=V")</f>
        <v>0</v>
      </c>
      <c r="AS2">
        <f>BDH("AIMDW US Equity","CUR_MKT_CAP","1993-06-18","2026-05-02","Per=M","Days=T","Dir=V")</f>
        <v>0</v>
      </c>
      <c r="AU2">
        <f>BDH("AIMDW US Equity","EQY_SH_OUT","1993-06-18","2026-05-02","Per=M","Days=T","Dir=V")</f>
        <v>0</v>
      </c>
      <c r="AW2">
        <f>BDH("AIMDW US Equity","PX_VOLUME","1993-06-18","2026-05-02","Per=M","Days=T","Dir=V")</f>
        <v>0</v>
      </c>
      <c r="AY2">
        <f>BDH("AIMDW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BDH("AIN US Equity","BS_TOT_ASSET","1993-06-18","2026-05-02","Per=Y","Days=T","Dir=V")</f>
        <v>0</v>
      </c>
      <c r="C2">
        <f>BDH("AIN US Equity","BS_TOT_LIAB2","1993-06-18","2026-05-02","Per=Y","Days=T","Dir=V")</f>
        <v>0</v>
      </c>
      <c r="E2">
        <f>BDH("AIN US Equity","SHORT_AND_LONG_TERM_DEBT","1993-06-18","2026-05-02","Per=Y","Days=T","Dir=V")</f>
        <v>0</v>
      </c>
      <c r="G2">
        <f>BDH("AIN US Equity","BS_ST_BORROW","1993-06-18","2026-05-02","Per=Y","Days=T","Dir=V")</f>
        <v>0</v>
      </c>
      <c r="I2">
        <f>BDH("AIN US Equity","BS_LT_BORROW","1993-06-18","2026-05-02","Per=Y","Days=T","Dir=V")</f>
        <v>0</v>
      </c>
      <c r="K2">
        <f>BDH("AIN US Equity","BS_CASH_NEAR_CASH_ITEM","1993-06-18","2026-05-02","Per=Y","Days=T","Dir=V")</f>
        <v>0</v>
      </c>
      <c r="M2">
        <f>BDH("AIN US Equity","BS_CUR_ASSET_REPORT","1993-06-18","2026-05-02","Per=Y","Days=T","Dir=V")</f>
        <v>0</v>
      </c>
      <c r="O2">
        <f>BDH("AIN US Equity","BS_CUR_LIAB","1993-06-18","2026-05-02","Per=Y","Days=T","Dir=V")</f>
        <v>0</v>
      </c>
      <c r="Q2">
        <f>BDH("AIN US Equity","BS_SHAREHOLDER_EQY_ENDING_PERIOD","1993-06-18","2026-05-02","Per=Y","Days=T","Dir=V")</f>
        <v>0</v>
      </c>
      <c r="S2">
        <f>BDH("AIN US Equity","BS_ACCT_NOTE_RCV","1993-06-18","2026-05-02","Per=Y","Days=T","Dir=V")</f>
        <v>0</v>
      </c>
      <c r="U2">
        <f>BDH("AIN US Equity","BS_INVENTORIES","1993-06-18","2026-05-02","Per=Y","Days=T","Dir=V")</f>
        <v>0</v>
      </c>
      <c r="W2">
        <f>BDH("AIN US Equity","WORKING_CAPITAL","1993-06-18","2026-05-02","Per=Y","Days=T","Dir=V")</f>
        <v>0</v>
      </c>
      <c r="Y2">
        <f>BDH("AIN US Equity","SALES_REV_TURN","1993-06-18","2026-05-02","Per=Y","Days=T","Dir=V")</f>
        <v>0</v>
      </c>
      <c r="AA2">
        <f>BDH("AIN US Equity","EBIT","1993-06-18","2026-05-02","Per=Y","Days=T","Dir=V")</f>
        <v>0</v>
      </c>
      <c r="AC2">
        <f>BDH("AIN US Equity","EBITDA","1993-06-18","2026-05-02","Per=Y","Days=T","Dir=V")</f>
        <v>0</v>
      </c>
      <c r="AE2">
        <f>BDH("AIN US Equity","NET_INCOME","1993-06-18","2026-05-02","Per=Y","Days=T","Dir=V")</f>
        <v>0</v>
      </c>
      <c r="AG2">
        <f>BDH("AIN US Equity","IS_INT_EXPENSE","1993-06-18","2026-05-02","Per=Y","Days=T","Dir=V")</f>
        <v>0</v>
      </c>
      <c r="AI2">
        <f>BDH("AIN US Equity","IS_DEPR_EXP","1993-06-18","2026-05-02","Per=Y","Days=T","Dir=V")</f>
        <v>0</v>
      </c>
      <c r="AK2">
        <f>BDH("AIN US Equity","CF_CASH_FROM_OPER","1993-06-18","2026-05-02","Per=Y","Days=T","Dir=V")</f>
        <v>0</v>
      </c>
      <c r="AM2">
        <f>BDH("AIN US Equity","CAPITAL_EXPEND","1993-06-18","2026-05-02","Per=Y","Days=T","Dir=V")</f>
        <v>0</v>
      </c>
      <c r="AO2">
        <f>BDH("AIN US Equity","CF_FREE_CASH_FLOW","1993-06-18","2026-05-02","Per=Y","Days=T","Dir=V")</f>
        <v>0</v>
      </c>
      <c r="AQ2">
        <f>BDH("AIN US Equity","PX_LAST","1993-06-18","2026-05-02","Per=M","Days=T","Dir=V")</f>
        <v>0</v>
      </c>
      <c r="AS2">
        <f>BDH("AIN US Equity","CUR_MKT_CAP","1993-06-18","2026-05-02","Per=M","Days=T","Dir=V")</f>
        <v>0</v>
      </c>
      <c r="AU2">
        <f>BDH("AIN US Equity","EQY_SH_OUT","1993-06-18","2026-05-02","Per=M","Days=T","Dir=V")</f>
        <v>0</v>
      </c>
      <c r="AW2">
        <f>BDH("AIN US Equity","PX_VOLUME","1993-06-18","2026-05-02","Per=M","Days=T","Dir=V")</f>
        <v>0</v>
      </c>
      <c r="AY2">
        <f>BDH("AIN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BDH("AIOT US Equity","BS_TOT_ASSET","1993-06-18","2026-05-02","Per=Y","Days=T","Dir=V")</f>
        <v>0</v>
      </c>
      <c r="C2">
        <f>BDH("AIOT US Equity","BS_TOT_LIAB2","1993-06-18","2026-05-02","Per=Y","Days=T","Dir=V")</f>
        <v>0</v>
      </c>
      <c r="E2">
        <f>BDH("AIOT US Equity","SHORT_AND_LONG_TERM_DEBT","1993-06-18","2026-05-02","Per=Y","Days=T","Dir=V")</f>
        <v>0</v>
      </c>
      <c r="G2">
        <f>BDH("AIOT US Equity","BS_ST_BORROW","1993-06-18","2026-05-02","Per=Y","Days=T","Dir=V")</f>
        <v>0</v>
      </c>
      <c r="I2">
        <f>BDH("AIOT US Equity","BS_LT_BORROW","1993-06-18","2026-05-02","Per=Y","Days=T","Dir=V")</f>
        <v>0</v>
      </c>
      <c r="K2">
        <f>BDH("AIOT US Equity","BS_CASH_NEAR_CASH_ITEM","1993-06-18","2026-05-02","Per=Y","Days=T","Dir=V")</f>
        <v>0</v>
      </c>
      <c r="M2">
        <f>BDH("AIOT US Equity","BS_CUR_ASSET_REPORT","1993-06-18","2026-05-02","Per=Y","Days=T","Dir=V")</f>
        <v>0</v>
      </c>
      <c r="O2">
        <f>BDH("AIOT US Equity","BS_CUR_LIAB","1993-06-18","2026-05-02","Per=Y","Days=T","Dir=V")</f>
        <v>0</v>
      </c>
      <c r="Q2">
        <f>BDH("AIOT US Equity","BS_SHAREHOLDER_EQY_ENDING_PERIOD","1993-06-18","2026-05-02","Per=Y","Days=T","Dir=V")</f>
        <v>0</v>
      </c>
      <c r="S2">
        <f>BDH("AIOT US Equity","BS_ACCT_NOTE_RCV","1993-06-18","2026-05-02","Per=Y","Days=T","Dir=V")</f>
        <v>0</v>
      </c>
      <c r="U2">
        <f>BDH("AIOT US Equity","BS_INVENTORIES","1993-06-18","2026-05-02","Per=Y","Days=T","Dir=V")</f>
        <v>0</v>
      </c>
      <c r="W2">
        <f>BDH("AIOT US Equity","WORKING_CAPITAL","1993-06-18","2026-05-02","Per=Y","Days=T","Dir=V")</f>
        <v>0</v>
      </c>
      <c r="Y2">
        <f>BDH("AIOT US Equity","SALES_REV_TURN","1993-06-18","2026-05-02","Per=Y","Days=T","Dir=V")</f>
        <v>0</v>
      </c>
      <c r="AA2">
        <f>BDH("AIOT US Equity","EBIT","1993-06-18","2026-05-02","Per=Y","Days=T","Dir=V")</f>
        <v>0</v>
      </c>
      <c r="AC2">
        <f>BDH("AIOT US Equity","EBITDA","1993-06-18","2026-05-02","Per=Y","Days=T","Dir=V")</f>
        <v>0</v>
      </c>
      <c r="AE2">
        <f>BDH("AIOT US Equity","NET_INCOME","1993-06-18","2026-05-02","Per=Y","Days=T","Dir=V")</f>
        <v>0</v>
      </c>
      <c r="AG2">
        <f>BDH("AIOT US Equity","IS_INT_EXPENSE","1993-06-18","2026-05-02","Per=Y","Days=T","Dir=V")</f>
        <v>0</v>
      </c>
      <c r="AI2">
        <f>BDH("AIOT US Equity","IS_DEPR_EXP","1993-06-18","2026-05-02","Per=Y","Days=T","Dir=V")</f>
        <v>0</v>
      </c>
      <c r="AK2">
        <f>BDH("AIOT US Equity","CF_CASH_FROM_OPER","1993-06-18","2026-05-02","Per=Y","Days=T","Dir=V")</f>
        <v>0</v>
      </c>
      <c r="AM2">
        <f>BDH("AIOT US Equity","CAPITAL_EXPEND","1993-06-18","2026-05-02","Per=Y","Days=T","Dir=V")</f>
        <v>0</v>
      </c>
      <c r="AO2">
        <f>BDH("AIOT US Equity","CF_FREE_CASH_FLOW","1993-06-18","2026-05-02","Per=Y","Days=T","Dir=V")</f>
        <v>0</v>
      </c>
      <c r="AQ2">
        <f>BDH("AIOT US Equity","PX_LAST","1993-06-18","2026-05-02","Per=M","Days=T","Dir=V")</f>
        <v>0</v>
      </c>
      <c r="AS2">
        <f>BDH("AIOT US Equity","CUR_MKT_CAP","1993-06-18","2026-05-02","Per=M","Days=T","Dir=V")</f>
        <v>0</v>
      </c>
      <c r="AU2">
        <f>BDH("AIOT US Equity","EQY_SH_OUT","1993-06-18","2026-05-02","Per=M","Days=T","Dir=V")</f>
        <v>0</v>
      </c>
      <c r="AW2">
        <f>BDH("AIOT US Equity","PX_VOLUME","1993-06-18","2026-05-02","Per=M","Days=T","Dir=V")</f>
        <v>0</v>
      </c>
      <c r="AY2">
        <f>BDH("AIOT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BDH("AIP US Equity","BS_TOT_ASSET","1993-06-18","2026-05-02","Per=Y","Days=T","Dir=V")</f>
        <v>0</v>
      </c>
      <c r="C2">
        <f>BDH("AIP US Equity","BS_TOT_LIAB2","1993-06-18","2026-05-02","Per=Y","Days=T","Dir=V")</f>
        <v>0</v>
      </c>
      <c r="E2">
        <f>BDH("AIP US Equity","SHORT_AND_LONG_TERM_DEBT","1993-06-18","2026-05-02","Per=Y","Days=T","Dir=V")</f>
        <v>0</v>
      </c>
      <c r="G2">
        <f>BDH("AIP US Equity","BS_ST_BORROW","1993-06-18","2026-05-02","Per=Y","Days=T","Dir=V")</f>
        <v>0</v>
      </c>
      <c r="I2">
        <f>BDH("AIP US Equity","BS_LT_BORROW","1993-06-18","2026-05-02","Per=Y","Days=T","Dir=V")</f>
        <v>0</v>
      </c>
      <c r="K2">
        <f>BDH("AIP US Equity","BS_CASH_NEAR_CASH_ITEM","1993-06-18","2026-05-02","Per=Y","Days=T","Dir=V")</f>
        <v>0</v>
      </c>
      <c r="M2">
        <f>BDH("AIP US Equity","BS_CUR_ASSET_REPORT","1993-06-18","2026-05-02","Per=Y","Days=T","Dir=V")</f>
        <v>0</v>
      </c>
      <c r="O2">
        <f>BDH("AIP US Equity","BS_CUR_LIAB","1993-06-18","2026-05-02","Per=Y","Days=T","Dir=V")</f>
        <v>0</v>
      </c>
      <c r="Q2">
        <f>BDH("AIP US Equity","BS_SHAREHOLDER_EQY_ENDING_PERIOD","1993-06-18","2026-05-02","Per=Y","Days=T","Dir=V")</f>
        <v>0</v>
      </c>
      <c r="S2">
        <f>BDH("AIP US Equity","BS_ACCT_NOTE_RCV","1993-06-18","2026-05-02","Per=Y","Days=T","Dir=V")</f>
        <v>0</v>
      </c>
      <c r="U2">
        <f>BDH("AIP US Equity","BS_INVENTORIES","1993-06-18","2026-05-02","Per=Y","Days=T","Dir=V")</f>
        <v>0</v>
      </c>
      <c r="W2">
        <f>BDH("AIP US Equity","WORKING_CAPITAL","1993-06-18","2026-05-02","Per=Y","Days=T","Dir=V")</f>
        <v>0</v>
      </c>
      <c r="Y2">
        <f>BDH("AIP US Equity","SALES_REV_TURN","1993-06-18","2026-05-02","Per=Y","Days=T","Dir=V")</f>
        <v>0</v>
      </c>
      <c r="AA2">
        <f>BDH("AIP US Equity","EBIT","1993-06-18","2026-05-02","Per=Y","Days=T","Dir=V")</f>
        <v>0</v>
      </c>
      <c r="AC2">
        <f>BDH("AIP US Equity","EBITDA","1993-06-18","2026-05-02","Per=Y","Days=T","Dir=V")</f>
        <v>0</v>
      </c>
      <c r="AE2">
        <f>BDH("AIP US Equity","NET_INCOME","1993-06-18","2026-05-02","Per=Y","Days=T","Dir=V")</f>
        <v>0</v>
      </c>
      <c r="AG2">
        <f>BDH("AIP US Equity","IS_INT_EXPENSE","1993-06-18","2026-05-02","Per=Y","Days=T","Dir=V")</f>
        <v>0</v>
      </c>
      <c r="AI2">
        <f>BDH("AIP US Equity","IS_DEPR_EXP","1993-06-18","2026-05-02","Per=Y","Days=T","Dir=V")</f>
        <v>0</v>
      </c>
      <c r="AK2">
        <f>BDH("AIP US Equity","CF_CASH_FROM_OPER","1993-06-18","2026-05-02","Per=Y","Days=T","Dir=V")</f>
        <v>0</v>
      </c>
      <c r="AM2">
        <f>BDH("AIP US Equity","CAPITAL_EXPEND","1993-06-18","2026-05-02","Per=Y","Days=T","Dir=V")</f>
        <v>0</v>
      </c>
      <c r="AO2">
        <f>BDH("AIP US Equity","CF_FREE_CASH_FLOW","1993-06-18","2026-05-02","Per=Y","Days=T","Dir=V")</f>
        <v>0</v>
      </c>
      <c r="AQ2">
        <f>BDH("AIP US Equity","PX_LAST","1993-06-18","2026-05-02","Per=M","Days=T","Dir=V")</f>
        <v>0</v>
      </c>
      <c r="AS2">
        <f>BDH("AIP US Equity","CUR_MKT_CAP","1993-06-18","2026-05-02","Per=M","Days=T","Dir=V")</f>
        <v>0</v>
      </c>
      <c r="AU2">
        <f>BDH("AIP US Equity","EQY_SH_OUT","1993-06-18","2026-05-02","Per=M","Days=T","Dir=V")</f>
        <v>0</v>
      </c>
      <c r="AW2">
        <f>BDH("AIP US Equity","PX_VOLUME","1993-06-18","2026-05-02","Per=M","Days=T","Dir=V")</f>
        <v>0</v>
      </c>
      <c r="AY2">
        <f>BDH("AIP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BDH("AIR US Equity","BS_TOT_ASSET","1993-06-18","2026-05-02","Per=Y","Days=T","Dir=V")</f>
        <v>0</v>
      </c>
      <c r="C2">
        <f>BDH("AIR US Equity","BS_TOT_LIAB2","1993-06-18","2026-05-02","Per=Y","Days=T","Dir=V")</f>
        <v>0</v>
      </c>
      <c r="E2">
        <f>BDH("AIR US Equity","SHORT_AND_LONG_TERM_DEBT","1993-06-18","2026-05-02","Per=Y","Days=T","Dir=V")</f>
        <v>0</v>
      </c>
      <c r="G2">
        <f>BDH("AIR US Equity","BS_ST_BORROW","1993-06-18","2026-05-02","Per=Y","Days=T","Dir=V")</f>
        <v>0</v>
      </c>
      <c r="I2">
        <f>BDH("AIR US Equity","BS_LT_BORROW","1993-06-18","2026-05-02","Per=Y","Days=T","Dir=V")</f>
        <v>0</v>
      </c>
      <c r="K2">
        <f>BDH("AIR US Equity","BS_CASH_NEAR_CASH_ITEM","1993-06-18","2026-05-02","Per=Y","Days=T","Dir=V")</f>
        <v>0</v>
      </c>
      <c r="M2">
        <f>BDH("AIR US Equity","BS_CUR_ASSET_REPORT","1993-06-18","2026-05-02","Per=Y","Days=T","Dir=V")</f>
        <v>0</v>
      </c>
      <c r="O2">
        <f>BDH("AIR US Equity","BS_CUR_LIAB","1993-06-18","2026-05-02","Per=Y","Days=T","Dir=V")</f>
        <v>0</v>
      </c>
      <c r="Q2">
        <f>BDH("AIR US Equity","BS_SHAREHOLDER_EQY_ENDING_PERIOD","1993-06-18","2026-05-02","Per=Y","Days=T","Dir=V")</f>
        <v>0</v>
      </c>
      <c r="S2">
        <f>BDH("AIR US Equity","BS_ACCT_NOTE_RCV","1993-06-18","2026-05-02","Per=Y","Days=T","Dir=V")</f>
        <v>0</v>
      </c>
      <c r="U2">
        <f>BDH("AIR US Equity","BS_INVENTORIES","1993-06-18","2026-05-02","Per=Y","Days=T","Dir=V")</f>
        <v>0</v>
      </c>
      <c r="W2">
        <f>BDH("AIR US Equity","WORKING_CAPITAL","1993-06-18","2026-05-02","Per=Y","Days=T","Dir=V")</f>
        <v>0</v>
      </c>
      <c r="Y2">
        <f>BDH("AIR US Equity","SALES_REV_TURN","1993-06-18","2026-05-02","Per=Y","Days=T","Dir=V")</f>
        <v>0</v>
      </c>
      <c r="AA2">
        <f>BDH("AIR US Equity","EBIT","1993-06-18","2026-05-02","Per=Y","Days=T","Dir=V")</f>
        <v>0</v>
      </c>
      <c r="AC2">
        <f>BDH("AIR US Equity","EBITDA","1993-06-18","2026-05-02","Per=Y","Days=T","Dir=V")</f>
        <v>0</v>
      </c>
      <c r="AE2">
        <f>BDH("AIR US Equity","NET_INCOME","1993-06-18","2026-05-02","Per=Y","Days=T","Dir=V")</f>
        <v>0</v>
      </c>
      <c r="AG2">
        <f>BDH("AIR US Equity","IS_INT_EXPENSE","1993-06-18","2026-05-02","Per=Y","Days=T","Dir=V")</f>
        <v>0</v>
      </c>
      <c r="AI2">
        <f>BDH("AIR US Equity","IS_DEPR_EXP","1993-06-18","2026-05-02","Per=Y","Days=T","Dir=V")</f>
        <v>0</v>
      </c>
      <c r="AK2">
        <f>BDH("AIR US Equity","CF_CASH_FROM_OPER","1993-06-18","2026-05-02","Per=Y","Days=T","Dir=V")</f>
        <v>0</v>
      </c>
      <c r="AM2">
        <f>BDH("AIR US Equity","CAPITAL_EXPEND","1993-06-18","2026-05-02","Per=Y","Days=T","Dir=V")</f>
        <v>0</v>
      </c>
      <c r="AO2">
        <f>BDH("AIR US Equity","CF_FREE_CASH_FLOW","1993-06-18","2026-05-02","Per=Y","Days=T","Dir=V")</f>
        <v>0</v>
      </c>
      <c r="AQ2">
        <f>BDH("AIR US Equity","PX_LAST","1993-06-18","2026-05-02","Per=M","Days=T","Dir=V")</f>
        <v>0</v>
      </c>
      <c r="AS2">
        <f>BDH("AIR US Equity","CUR_MKT_CAP","1993-06-18","2026-05-02","Per=M","Days=T","Dir=V")</f>
        <v>0</v>
      </c>
      <c r="AU2">
        <f>BDH("AIR US Equity","EQY_SH_OUT","1993-06-18","2026-05-02","Per=M","Days=T","Dir=V")</f>
        <v>0</v>
      </c>
      <c r="AW2">
        <f>BDH("AIR US Equity","PX_VOLUME","1993-06-18","2026-05-02","Per=M","Days=T","Dir=V")</f>
        <v>0</v>
      </c>
      <c r="AY2">
        <f>BDH("AIR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BDH("AIRG US Equity","BS_TOT_ASSET","1993-06-18","2026-05-02","Per=Y","Days=T","Dir=V")</f>
        <v>0</v>
      </c>
      <c r="C2">
        <f>BDH("AIRG US Equity","BS_TOT_LIAB2","1993-06-18","2026-05-02","Per=Y","Days=T","Dir=V")</f>
        <v>0</v>
      </c>
      <c r="E2">
        <f>BDH("AIRG US Equity","SHORT_AND_LONG_TERM_DEBT","1993-06-18","2026-05-02","Per=Y","Days=T","Dir=V")</f>
        <v>0</v>
      </c>
      <c r="G2">
        <f>BDH("AIRG US Equity","BS_ST_BORROW","1993-06-18","2026-05-02","Per=Y","Days=T","Dir=V")</f>
        <v>0</v>
      </c>
      <c r="I2">
        <f>BDH("AIRG US Equity","BS_LT_BORROW","1993-06-18","2026-05-02","Per=Y","Days=T","Dir=V")</f>
        <v>0</v>
      </c>
      <c r="K2">
        <f>BDH("AIRG US Equity","BS_CASH_NEAR_CASH_ITEM","1993-06-18","2026-05-02","Per=Y","Days=T","Dir=V")</f>
        <v>0</v>
      </c>
      <c r="M2">
        <f>BDH("AIRG US Equity","BS_CUR_ASSET_REPORT","1993-06-18","2026-05-02","Per=Y","Days=T","Dir=V")</f>
        <v>0</v>
      </c>
      <c r="O2">
        <f>BDH("AIRG US Equity","BS_CUR_LIAB","1993-06-18","2026-05-02","Per=Y","Days=T","Dir=V")</f>
        <v>0</v>
      </c>
      <c r="Q2">
        <f>BDH("AIRG US Equity","BS_SHAREHOLDER_EQY_ENDING_PERIOD","1993-06-18","2026-05-02","Per=Y","Days=T","Dir=V")</f>
        <v>0</v>
      </c>
      <c r="S2">
        <f>BDH("AIRG US Equity","BS_ACCT_NOTE_RCV","1993-06-18","2026-05-02","Per=Y","Days=T","Dir=V")</f>
        <v>0</v>
      </c>
      <c r="U2">
        <f>BDH("AIRG US Equity","BS_INVENTORIES","1993-06-18","2026-05-02","Per=Y","Days=T","Dir=V")</f>
        <v>0</v>
      </c>
      <c r="W2">
        <f>BDH("AIRG US Equity","WORKING_CAPITAL","1993-06-18","2026-05-02","Per=Y","Days=T","Dir=V")</f>
        <v>0</v>
      </c>
      <c r="Y2">
        <f>BDH("AIRG US Equity","SALES_REV_TURN","1993-06-18","2026-05-02","Per=Y","Days=T","Dir=V")</f>
        <v>0</v>
      </c>
      <c r="AA2">
        <f>BDH("AIRG US Equity","EBIT","1993-06-18","2026-05-02","Per=Y","Days=T","Dir=V")</f>
        <v>0</v>
      </c>
      <c r="AC2">
        <f>BDH("AIRG US Equity","EBITDA","1993-06-18","2026-05-02","Per=Y","Days=T","Dir=V")</f>
        <v>0</v>
      </c>
      <c r="AE2">
        <f>BDH("AIRG US Equity","NET_INCOME","1993-06-18","2026-05-02","Per=Y","Days=T","Dir=V")</f>
        <v>0</v>
      </c>
      <c r="AG2">
        <f>BDH("AIRG US Equity","IS_INT_EXPENSE","1993-06-18","2026-05-02","Per=Y","Days=T","Dir=V")</f>
        <v>0</v>
      </c>
      <c r="AI2">
        <f>BDH("AIRG US Equity","IS_DEPR_EXP","1993-06-18","2026-05-02","Per=Y","Days=T","Dir=V")</f>
        <v>0</v>
      </c>
      <c r="AK2">
        <f>BDH("AIRG US Equity","CF_CASH_FROM_OPER","1993-06-18","2026-05-02","Per=Y","Days=T","Dir=V")</f>
        <v>0</v>
      </c>
      <c r="AM2">
        <f>BDH("AIRG US Equity","CAPITAL_EXPEND","1993-06-18","2026-05-02","Per=Y","Days=T","Dir=V")</f>
        <v>0</v>
      </c>
      <c r="AO2">
        <f>BDH("AIRG US Equity","CF_FREE_CASH_FLOW","1993-06-18","2026-05-02","Per=Y","Days=T","Dir=V")</f>
        <v>0</v>
      </c>
      <c r="AQ2">
        <f>BDH("AIRG US Equity","PX_LAST","1993-06-18","2026-05-02","Per=M","Days=T","Dir=V")</f>
        <v>0</v>
      </c>
      <c r="AS2">
        <f>BDH("AIRG US Equity","CUR_MKT_CAP","1993-06-18","2026-05-02","Per=M","Days=T","Dir=V")</f>
        <v>0</v>
      </c>
      <c r="AU2">
        <f>BDH("AIRG US Equity","EQY_SH_OUT","1993-06-18","2026-05-02","Per=M","Days=T","Dir=V")</f>
        <v>0</v>
      </c>
      <c r="AW2">
        <f>BDH("AIRG US Equity","PX_VOLUME","1993-06-18","2026-05-02","Per=M","Days=T","Dir=V")</f>
        <v>0</v>
      </c>
      <c r="AY2">
        <f>BDH("AIRG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BDH("AIRI US Equity","BS_TOT_ASSET","1993-06-18","2026-05-02","Per=Y","Days=T","Dir=V")</f>
        <v>0</v>
      </c>
      <c r="C2">
        <f>BDH("AIRI US Equity","BS_TOT_LIAB2","1993-06-18","2026-05-02","Per=Y","Days=T","Dir=V")</f>
        <v>0</v>
      </c>
      <c r="E2">
        <f>BDH("AIRI US Equity","SHORT_AND_LONG_TERM_DEBT","1993-06-18","2026-05-02","Per=Y","Days=T","Dir=V")</f>
        <v>0</v>
      </c>
      <c r="G2">
        <f>BDH("AIRI US Equity","BS_ST_BORROW","1993-06-18","2026-05-02","Per=Y","Days=T","Dir=V")</f>
        <v>0</v>
      </c>
      <c r="I2">
        <f>BDH("AIRI US Equity","BS_LT_BORROW","1993-06-18","2026-05-02","Per=Y","Days=T","Dir=V")</f>
        <v>0</v>
      </c>
      <c r="K2">
        <f>BDH("AIRI US Equity","BS_CASH_NEAR_CASH_ITEM","1993-06-18","2026-05-02","Per=Y","Days=T","Dir=V")</f>
        <v>0</v>
      </c>
      <c r="M2">
        <f>BDH("AIRI US Equity","BS_CUR_ASSET_REPORT","1993-06-18","2026-05-02","Per=Y","Days=T","Dir=V")</f>
        <v>0</v>
      </c>
      <c r="O2">
        <f>BDH("AIRI US Equity","BS_CUR_LIAB","1993-06-18","2026-05-02","Per=Y","Days=T","Dir=V")</f>
        <v>0</v>
      </c>
      <c r="Q2">
        <f>BDH("AIRI US Equity","BS_SHAREHOLDER_EQY_ENDING_PERIOD","1993-06-18","2026-05-02","Per=Y","Days=T","Dir=V")</f>
        <v>0</v>
      </c>
      <c r="S2">
        <f>BDH("AIRI US Equity","BS_ACCT_NOTE_RCV","1993-06-18","2026-05-02","Per=Y","Days=T","Dir=V")</f>
        <v>0</v>
      </c>
      <c r="U2">
        <f>BDH("AIRI US Equity","BS_INVENTORIES","1993-06-18","2026-05-02","Per=Y","Days=T","Dir=V")</f>
        <v>0</v>
      </c>
      <c r="W2">
        <f>BDH("AIRI US Equity","WORKING_CAPITAL","1993-06-18","2026-05-02","Per=Y","Days=T","Dir=V")</f>
        <v>0</v>
      </c>
      <c r="Y2">
        <f>BDH("AIRI US Equity","SALES_REV_TURN","1993-06-18","2026-05-02","Per=Y","Days=T","Dir=V")</f>
        <v>0</v>
      </c>
      <c r="AA2">
        <f>BDH("AIRI US Equity","EBIT","1993-06-18","2026-05-02","Per=Y","Days=T","Dir=V")</f>
        <v>0</v>
      </c>
      <c r="AC2">
        <f>BDH("AIRI US Equity","EBITDA","1993-06-18","2026-05-02","Per=Y","Days=T","Dir=V")</f>
        <v>0</v>
      </c>
      <c r="AE2">
        <f>BDH("AIRI US Equity","NET_INCOME","1993-06-18","2026-05-02","Per=Y","Days=T","Dir=V")</f>
        <v>0</v>
      </c>
      <c r="AG2">
        <f>BDH("AIRI US Equity","IS_INT_EXPENSE","1993-06-18","2026-05-02","Per=Y","Days=T","Dir=V")</f>
        <v>0</v>
      </c>
      <c r="AI2">
        <f>BDH("AIRI US Equity","IS_DEPR_EXP","1993-06-18","2026-05-02","Per=Y","Days=T","Dir=V")</f>
        <v>0</v>
      </c>
      <c r="AK2">
        <f>BDH("AIRI US Equity","CF_CASH_FROM_OPER","1993-06-18","2026-05-02","Per=Y","Days=T","Dir=V")</f>
        <v>0</v>
      </c>
      <c r="AM2">
        <f>BDH("AIRI US Equity","CAPITAL_EXPEND","1993-06-18","2026-05-02","Per=Y","Days=T","Dir=V")</f>
        <v>0</v>
      </c>
      <c r="AO2">
        <f>BDH("AIRI US Equity","CF_FREE_CASH_FLOW","1993-06-18","2026-05-02","Per=Y","Days=T","Dir=V")</f>
        <v>0</v>
      </c>
      <c r="AQ2">
        <f>BDH("AIRI US Equity","PX_LAST","1993-06-18","2026-05-02","Per=M","Days=T","Dir=V")</f>
        <v>0</v>
      </c>
      <c r="AS2">
        <f>BDH("AIRI US Equity","CUR_MKT_CAP","1993-06-18","2026-05-02","Per=M","Days=T","Dir=V")</f>
        <v>0</v>
      </c>
      <c r="AU2">
        <f>BDH("AIRI US Equity","EQY_SH_OUT","1993-06-18","2026-05-02","Per=M","Days=T","Dir=V")</f>
        <v>0</v>
      </c>
      <c r="AW2">
        <f>BDH("AIRI US Equity","PX_VOLUME","1993-06-18","2026-05-02","Per=M","Days=T","Dir=V")</f>
        <v>0</v>
      </c>
      <c r="AY2">
        <f>BDH("AIRI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BDH("AIRJ US Equity","BS_TOT_ASSET","1993-06-18","2026-05-02","Per=Y","Days=T","Dir=V")</f>
        <v>0</v>
      </c>
      <c r="C2">
        <f>BDH("AIRJ US Equity","BS_TOT_LIAB2","1993-06-18","2026-05-02","Per=Y","Days=T","Dir=V")</f>
        <v>0</v>
      </c>
      <c r="E2">
        <f>BDH("AIRJ US Equity","SHORT_AND_LONG_TERM_DEBT","1993-06-18","2026-05-02","Per=Y","Days=T","Dir=V")</f>
        <v>0</v>
      </c>
      <c r="G2">
        <f>BDH("AIRJ US Equity","BS_ST_BORROW","1993-06-18","2026-05-02","Per=Y","Days=T","Dir=V")</f>
        <v>0</v>
      </c>
      <c r="I2">
        <f>BDH("AIRJ US Equity","BS_LT_BORROW","1993-06-18","2026-05-02","Per=Y","Days=T","Dir=V")</f>
        <v>0</v>
      </c>
      <c r="K2">
        <f>BDH("AIRJ US Equity","BS_CASH_NEAR_CASH_ITEM","1993-06-18","2026-05-02","Per=Y","Days=T","Dir=V")</f>
        <v>0</v>
      </c>
      <c r="M2">
        <f>BDH("AIRJ US Equity","BS_CUR_ASSET_REPORT","1993-06-18","2026-05-02","Per=Y","Days=T","Dir=V")</f>
        <v>0</v>
      </c>
      <c r="O2">
        <f>BDH("AIRJ US Equity","BS_CUR_LIAB","1993-06-18","2026-05-02","Per=Y","Days=T","Dir=V")</f>
        <v>0</v>
      </c>
      <c r="Q2">
        <f>BDH("AIRJ US Equity","BS_SHAREHOLDER_EQY_ENDING_PERIOD","1993-06-18","2026-05-02","Per=Y","Days=T","Dir=V")</f>
        <v>0</v>
      </c>
      <c r="S2">
        <f>BDH("AIRJ US Equity","BS_ACCT_NOTE_RCV","1993-06-18","2026-05-02","Per=Y","Days=T","Dir=V")</f>
        <v>0</v>
      </c>
      <c r="U2">
        <f>BDH("AIRJ US Equity","BS_INVENTORIES","1993-06-18","2026-05-02","Per=Y","Days=T","Dir=V")</f>
        <v>0</v>
      </c>
      <c r="W2">
        <f>BDH("AIRJ US Equity","WORKING_CAPITAL","1993-06-18","2026-05-02","Per=Y","Days=T","Dir=V")</f>
        <v>0</v>
      </c>
      <c r="Y2">
        <f>BDH("AIRJ US Equity","SALES_REV_TURN","1993-06-18","2026-05-02","Per=Y","Days=T","Dir=V")</f>
        <v>0</v>
      </c>
      <c r="AA2">
        <f>BDH("AIRJ US Equity","EBIT","1993-06-18","2026-05-02","Per=Y","Days=T","Dir=V")</f>
        <v>0</v>
      </c>
      <c r="AC2">
        <f>BDH("AIRJ US Equity","EBITDA","1993-06-18","2026-05-02","Per=Y","Days=T","Dir=V")</f>
        <v>0</v>
      </c>
      <c r="AE2">
        <f>BDH("AIRJ US Equity","NET_INCOME","1993-06-18","2026-05-02","Per=Y","Days=T","Dir=V")</f>
        <v>0</v>
      </c>
      <c r="AG2">
        <f>BDH("AIRJ US Equity","IS_INT_EXPENSE","1993-06-18","2026-05-02","Per=Y","Days=T","Dir=V")</f>
        <v>0</v>
      </c>
      <c r="AI2">
        <f>BDH("AIRJ US Equity","IS_DEPR_EXP","1993-06-18","2026-05-02","Per=Y","Days=T","Dir=V")</f>
        <v>0</v>
      </c>
      <c r="AK2">
        <f>BDH("AIRJ US Equity","CF_CASH_FROM_OPER","1993-06-18","2026-05-02","Per=Y","Days=T","Dir=V")</f>
        <v>0</v>
      </c>
      <c r="AM2">
        <f>BDH("AIRJ US Equity","CAPITAL_EXPEND","1993-06-18","2026-05-02","Per=Y","Days=T","Dir=V")</f>
        <v>0</v>
      </c>
      <c r="AO2">
        <f>BDH("AIRJ US Equity","CF_FREE_CASH_FLOW","1993-06-18","2026-05-02","Per=Y","Days=T","Dir=V")</f>
        <v>0</v>
      </c>
      <c r="AQ2">
        <f>BDH("AIRJ US Equity","PX_LAST","1993-06-18","2026-05-02","Per=M","Days=T","Dir=V")</f>
        <v>0</v>
      </c>
      <c r="AS2">
        <f>BDH("AIRJ US Equity","CUR_MKT_CAP","1993-06-18","2026-05-02","Per=M","Days=T","Dir=V")</f>
        <v>0</v>
      </c>
      <c r="AU2">
        <f>BDH("AIRJ US Equity","EQY_SH_OUT","1993-06-18","2026-05-02","Per=M","Days=T","Dir=V")</f>
        <v>0</v>
      </c>
      <c r="AW2">
        <f>BDH("AIRJ US Equity","PX_VOLUME","1993-06-18","2026-05-02","Per=M","Days=T","Dir=V")</f>
        <v>0</v>
      </c>
      <c r="AY2">
        <f>BDH("AIRJ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BDH("AIRJW US Equity","BS_TOT_ASSET","1993-06-18","2026-05-02","Per=Y","Days=T","Dir=V")</f>
        <v>0</v>
      </c>
      <c r="C2">
        <f>BDH("AIRJW US Equity","BS_TOT_LIAB2","1993-06-18","2026-05-02","Per=Y","Days=T","Dir=V")</f>
        <v>0</v>
      </c>
      <c r="E2">
        <f>BDH("AIRJW US Equity","SHORT_AND_LONG_TERM_DEBT","1993-06-18","2026-05-02","Per=Y","Days=T","Dir=V")</f>
        <v>0</v>
      </c>
      <c r="G2">
        <f>BDH("AIRJW US Equity","BS_ST_BORROW","1993-06-18","2026-05-02","Per=Y","Days=T","Dir=V")</f>
        <v>0</v>
      </c>
      <c r="I2">
        <f>BDH("AIRJW US Equity","BS_LT_BORROW","1993-06-18","2026-05-02","Per=Y","Days=T","Dir=V")</f>
        <v>0</v>
      </c>
      <c r="K2">
        <f>BDH("AIRJW US Equity","BS_CASH_NEAR_CASH_ITEM","1993-06-18","2026-05-02","Per=Y","Days=T","Dir=V")</f>
        <v>0</v>
      </c>
      <c r="M2">
        <f>BDH("AIRJW US Equity","BS_CUR_ASSET_REPORT","1993-06-18","2026-05-02","Per=Y","Days=T","Dir=V")</f>
        <v>0</v>
      </c>
      <c r="O2">
        <f>BDH("AIRJW US Equity","BS_CUR_LIAB","1993-06-18","2026-05-02","Per=Y","Days=T","Dir=V")</f>
        <v>0</v>
      </c>
      <c r="Q2">
        <f>BDH("AIRJW US Equity","BS_SHAREHOLDER_EQY_ENDING_PERIOD","1993-06-18","2026-05-02","Per=Y","Days=T","Dir=V")</f>
        <v>0</v>
      </c>
      <c r="S2">
        <f>BDH("AIRJW US Equity","BS_ACCT_NOTE_RCV","1993-06-18","2026-05-02","Per=Y","Days=T","Dir=V")</f>
        <v>0</v>
      </c>
      <c r="U2">
        <f>BDH("AIRJW US Equity","BS_INVENTORIES","1993-06-18","2026-05-02","Per=Y","Days=T","Dir=V")</f>
        <v>0</v>
      </c>
      <c r="W2">
        <f>BDH("AIRJW US Equity","WORKING_CAPITAL","1993-06-18","2026-05-02","Per=Y","Days=T","Dir=V")</f>
        <v>0</v>
      </c>
      <c r="Y2">
        <f>BDH("AIRJW US Equity","SALES_REV_TURN","1993-06-18","2026-05-02","Per=Y","Days=T","Dir=V")</f>
        <v>0</v>
      </c>
      <c r="AA2">
        <f>BDH("AIRJW US Equity","EBIT","1993-06-18","2026-05-02","Per=Y","Days=T","Dir=V")</f>
        <v>0</v>
      </c>
      <c r="AC2">
        <f>BDH("AIRJW US Equity","EBITDA","1993-06-18","2026-05-02","Per=Y","Days=T","Dir=V")</f>
        <v>0</v>
      </c>
      <c r="AE2">
        <f>BDH("AIRJW US Equity","NET_INCOME","1993-06-18","2026-05-02","Per=Y","Days=T","Dir=V")</f>
        <v>0</v>
      </c>
      <c r="AG2">
        <f>BDH("AIRJW US Equity","IS_INT_EXPENSE","1993-06-18","2026-05-02","Per=Y","Days=T","Dir=V")</f>
        <v>0</v>
      </c>
      <c r="AI2">
        <f>BDH("AIRJW US Equity","IS_DEPR_EXP","1993-06-18","2026-05-02","Per=Y","Days=T","Dir=V")</f>
        <v>0</v>
      </c>
      <c r="AK2">
        <f>BDH("AIRJW US Equity","CF_CASH_FROM_OPER","1993-06-18","2026-05-02","Per=Y","Days=T","Dir=V")</f>
        <v>0</v>
      </c>
      <c r="AM2">
        <f>BDH("AIRJW US Equity","CAPITAL_EXPEND","1993-06-18","2026-05-02","Per=Y","Days=T","Dir=V")</f>
        <v>0</v>
      </c>
      <c r="AO2">
        <f>BDH("AIRJW US Equity","CF_FREE_CASH_FLOW","1993-06-18","2026-05-02","Per=Y","Days=T","Dir=V")</f>
        <v>0</v>
      </c>
      <c r="AQ2">
        <f>BDH("AIRJW US Equity","PX_LAST","1993-06-18","2026-05-02","Per=M","Days=T","Dir=V")</f>
        <v>0</v>
      </c>
      <c r="AS2">
        <f>BDH("AIRJW US Equity","CUR_MKT_CAP","1993-06-18","2026-05-02","Per=M","Days=T","Dir=V")</f>
        <v>0</v>
      </c>
      <c r="AU2">
        <f>BDH("AIRJW US Equity","EQY_SH_OUT","1993-06-18","2026-05-02","Per=M","Days=T","Dir=V")</f>
        <v>0</v>
      </c>
      <c r="AW2">
        <f>BDH("AIRJW US Equity","PX_VOLUME","1993-06-18","2026-05-02","Per=M","Days=T","Dir=V")</f>
        <v>0</v>
      </c>
      <c r="AY2">
        <f>BDH("AIRJW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BDH("AIRO US Equity","BS_TOT_ASSET","1993-06-18","2026-05-02","Per=Y","Days=T","Dir=V")</f>
        <v>0</v>
      </c>
      <c r="C2">
        <f>BDH("AIRO US Equity","BS_TOT_LIAB2","1993-06-18","2026-05-02","Per=Y","Days=T","Dir=V")</f>
        <v>0</v>
      </c>
      <c r="E2">
        <f>BDH("AIRO US Equity","SHORT_AND_LONG_TERM_DEBT","1993-06-18","2026-05-02","Per=Y","Days=T","Dir=V")</f>
        <v>0</v>
      </c>
      <c r="G2">
        <f>BDH("AIRO US Equity","BS_ST_BORROW","1993-06-18","2026-05-02","Per=Y","Days=T","Dir=V")</f>
        <v>0</v>
      </c>
      <c r="I2">
        <f>BDH("AIRO US Equity","BS_LT_BORROW","1993-06-18","2026-05-02","Per=Y","Days=T","Dir=V")</f>
        <v>0</v>
      </c>
      <c r="K2">
        <f>BDH("AIRO US Equity","BS_CASH_NEAR_CASH_ITEM","1993-06-18","2026-05-02","Per=Y","Days=T","Dir=V")</f>
        <v>0</v>
      </c>
      <c r="M2">
        <f>BDH("AIRO US Equity","BS_CUR_ASSET_REPORT","1993-06-18","2026-05-02","Per=Y","Days=T","Dir=V")</f>
        <v>0</v>
      </c>
      <c r="O2">
        <f>BDH("AIRO US Equity","BS_CUR_LIAB","1993-06-18","2026-05-02","Per=Y","Days=T","Dir=V")</f>
        <v>0</v>
      </c>
      <c r="Q2">
        <f>BDH("AIRO US Equity","BS_SHAREHOLDER_EQY_ENDING_PERIOD","1993-06-18","2026-05-02","Per=Y","Days=T","Dir=V")</f>
        <v>0</v>
      </c>
      <c r="S2">
        <f>BDH("AIRO US Equity","BS_ACCT_NOTE_RCV","1993-06-18","2026-05-02","Per=Y","Days=T","Dir=V")</f>
        <v>0</v>
      </c>
      <c r="U2">
        <f>BDH("AIRO US Equity","BS_INVENTORIES","1993-06-18","2026-05-02","Per=Y","Days=T","Dir=V")</f>
        <v>0</v>
      </c>
      <c r="W2">
        <f>BDH("AIRO US Equity","WORKING_CAPITAL","1993-06-18","2026-05-02","Per=Y","Days=T","Dir=V")</f>
        <v>0</v>
      </c>
      <c r="Y2">
        <f>BDH("AIRO US Equity","SALES_REV_TURN","1993-06-18","2026-05-02","Per=Y","Days=T","Dir=V")</f>
        <v>0</v>
      </c>
      <c r="AA2">
        <f>BDH("AIRO US Equity","EBIT","1993-06-18","2026-05-02","Per=Y","Days=T","Dir=V")</f>
        <v>0</v>
      </c>
      <c r="AC2">
        <f>BDH("AIRO US Equity","EBITDA","1993-06-18","2026-05-02","Per=Y","Days=T","Dir=V")</f>
        <v>0</v>
      </c>
      <c r="AE2">
        <f>BDH("AIRO US Equity","NET_INCOME","1993-06-18","2026-05-02","Per=Y","Days=T","Dir=V")</f>
        <v>0</v>
      </c>
      <c r="AG2">
        <f>BDH("AIRO US Equity","IS_INT_EXPENSE","1993-06-18","2026-05-02","Per=Y","Days=T","Dir=V")</f>
        <v>0</v>
      </c>
      <c r="AI2">
        <f>BDH("AIRO US Equity","IS_DEPR_EXP","1993-06-18","2026-05-02","Per=Y","Days=T","Dir=V")</f>
        <v>0</v>
      </c>
      <c r="AK2">
        <f>BDH("AIRO US Equity","CF_CASH_FROM_OPER","1993-06-18","2026-05-02","Per=Y","Days=T","Dir=V")</f>
        <v>0</v>
      </c>
      <c r="AM2">
        <f>BDH("AIRO US Equity","CAPITAL_EXPEND","1993-06-18","2026-05-02","Per=Y","Days=T","Dir=V")</f>
        <v>0</v>
      </c>
      <c r="AO2">
        <f>BDH("AIRO US Equity","CF_FREE_CASH_FLOW","1993-06-18","2026-05-02","Per=Y","Days=T","Dir=V")</f>
        <v>0</v>
      </c>
      <c r="AQ2">
        <f>BDH("AIRO US Equity","PX_LAST","1993-06-18","2026-05-02","Per=M","Days=T","Dir=V")</f>
        <v>0</v>
      </c>
      <c r="AS2">
        <f>BDH("AIRO US Equity","CUR_MKT_CAP","1993-06-18","2026-05-02","Per=M","Days=T","Dir=V")</f>
        <v>0</v>
      </c>
      <c r="AU2">
        <f>BDH("AIRO US Equity","EQY_SH_OUT","1993-06-18","2026-05-02","Per=M","Days=T","Dir=V")</f>
        <v>0</v>
      </c>
      <c r="AW2">
        <f>BDH("AIRO US Equity","PX_VOLUME","1993-06-18","2026-05-02","Per=M","Days=T","Dir=V")</f>
        <v>0</v>
      </c>
      <c r="AY2">
        <f>BDH("AIRO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BDH("AIRS US Equity","BS_TOT_ASSET","1993-06-18","2026-05-02","Per=Y","Days=T","Dir=V")</f>
        <v>0</v>
      </c>
      <c r="C2">
        <f>BDH("AIRS US Equity","BS_TOT_LIAB2","1993-06-18","2026-05-02","Per=Y","Days=T","Dir=V")</f>
        <v>0</v>
      </c>
      <c r="E2">
        <f>BDH("AIRS US Equity","SHORT_AND_LONG_TERM_DEBT","1993-06-18","2026-05-02","Per=Y","Days=T","Dir=V")</f>
        <v>0</v>
      </c>
      <c r="G2">
        <f>BDH("AIRS US Equity","BS_ST_BORROW","1993-06-18","2026-05-02","Per=Y","Days=T","Dir=V")</f>
        <v>0</v>
      </c>
      <c r="I2">
        <f>BDH("AIRS US Equity","BS_LT_BORROW","1993-06-18","2026-05-02","Per=Y","Days=T","Dir=V")</f>
        <v>0</v>
      </c>
      <c r="K2">
        <f>BDH("AIRS US Equity","BS_CASH_NEAR_CASH_ITEM","1993-06-18","2026-05-02","Per=Y","Days=T","Dir=V")</f>
        <v>0</v>
      </c>
      <c r="M2">
        <f>BDH("AIRS US Equity","BS_CUR_ASSET_REPORT","1993-06-18","2026-05-02","Per=Y","Days=T","Dir=V")</f>
        <v>0</v>
      </c>
      <c r="O2">
        <f>BDH("AIRS US Equity","BS_CUR_LIAB","1993-06-18","2026-05-02","Per=Y","Days=T","Dir=V")</f>
        <v>0</v>
      </c>
      <c r="Q2">
        <f>BDH("AIRS US Equity","BS_SHAREHOLDER_EQY_ENDING_PERIOD","1993-06-18","2026-05-02","Per=Y","Days=T","Dir=V")</f>
        <v>0</v>
      </c>
      <c r="S2">
        <f>BDH("AIRS US Equity","BS_ACCT_NOTE_RCV","1993-06-18","2026-05-02","Per=Y","Days=T","Dir=V")</f>
        <v>0</v>
      </c>
      <c r="U2">
        <f>BDH("AIRS US Equity","BS_INVENTORIES","1993-06-18","2026-05-02","Per=Y","Days=T","Dir=V")</f>
        <v>0</v>
      </c>
      <c r="W2">
        <f>BDH("AIRS US Equity","WORKING_CAPITAL","1993-06-18","2026-05-02","Per=Y","Days=T","Dir=V")</f>
        <v>0</v>
      </c>
      <c r="Y2">
        <f>BDH("AIRS US Equity","SALES_REV_TURN","1993-06-18","2026-05-02","Per=Y","Days=T","Dir=V")</f>
        <v>0</v>
      </c>
      <c r="AA2">
        <f>BDH("AIRS US Equity","EBIT","1993-06-18","2026-05-02","Per=Y","Days=T","Dir=V")</f>
        <v>0</v>
      </c>
      <c r="AC2">
        <f>BDH("AIRS US Equity","EBITDA","1993-06-18","2026-05-02","Per=Y","Days=T","Dir=V")</f>
        <v>0</v>
      </c>
      <c r="AE2">
        <f>BDH("AIRS US Equity","NET_INCOME","1993-06-18","2026-05-02","Per=Y","Days=T","Dir=V")</f>
        <v>0</v>
      </c>
      <c r="AG2">
        <f>BDH("AIRS US Equity","IS_INT_EXPENSE","1993-06-18","2026-05-02","Per=Y","Days=T","Dir=V")</f>
        <v>0</v>
      </c>
      <c r="AI2">
        <f>BDH("AIRS US Equity","IS_DEPR_EXP","1993-06-18","2026-05-02","Per=Y","Days=T","Dir=V")</f>
        <v>0</v>
      </c>
      <c r="AK2">
        <f>BDH("AIRS US Equity","CF_CASH_FROM_OPER","1993-06-18","2026-05-02","Per=Y","Days=T","Dir=V")</f>
        <v>0</v>
      </c>
      <c r="AM2">
        <f>BDH("AIRS US Equity","CAPITAL_EXPEND","1993-06-18","2026-05-02","Per=Y","Days=T","Dir=V")</f>
        <v>0</v>
      </c>
      <c r="AO2">
        <f>BDH("AIRS US Equity","CF_FREE_CASH_FLOW","1993-06-18","2026-05-02","Per=Y","Days=T","Dir=V")</f>
        <v>0</v>
      </c>
      <c r="AQ2">
        <f>BDH("AIRS US Equity","PX_LAST","1993-06-18","2026-05-02","Per=M","Days=T","Dir=V")</f>
        <v>0</v>
      </c>
      <c r="AS2">
        <f>BDH("AIRS US Equity","CUR_MKT_CAP","1993-06-18","2026-05-02","Per=M","Days=T","Dir=V")</f>
        <v>0</v>
      </c>
      <c r="AU2">
        <f>BDH("AIRS US Equity","EQY_SH_OUT","1993-06-18","2026-05-02","Per=M","Days=T","Dir=V")</f>
        <v>0</v>
      </c>
      <c r="AW2">
        <f>BDH("AIRS US Equity","PX_VOLUME","1993-06-18","2026-05-02","Per=M","Days=T","Dir=V")</f>
        <v>0</v>
      </c>
      <c r="AY2">
        <f>BDH("AIRS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BDH("AIRT US Equity","BS_TOT_ASSET","1993-06-18","2026-05-02","Per=Y","Days=T","Dir=V")</f>
        <v>0</v>
      </c>
      <c r="C2">
        <f>BDH("AIRT US Equity","BS_TOT_LIAB2","1993-06-18","2026-05-02","Per=Y","Days=T","Dir=V")</f>
        <v>0</v>
      </c>
      <c r="E2">
        <f>BDH("AIRT US Equity","SHORT_AND_LONG_TERM_DEBT","1993-06-18","2026-05-02","Per=Y","Days=T","Dir=V")</f>
        <v>0</v>
      </c>
      <c r="G2">
        <f>BDH("AIRT US Equity","BS_ST_BORROW","1993-06-18","2026-05-02","Per=Y","Days=T","Dir=V")</f>
        <v>0</v>
      </c>
      <c r="I2">
        <f>BDH("AIRT US Equity","BS_LT_BORROW","1993-06-18","2026-05-02","Per=Y","Days=T","Dir=V")</f>
        <v>0</v>
      </c>
      <c r="K2">
        <f>BDH("AIRT US Equity","BS_CASH_NEAR_CASH_ITEM","1993-06-18","2026-05-02","Per=Y","Days=T","Dir=V")</f>
        <v>0</v>
      </c>
      <c r="M2">
        <f>BDH("AIRT US Equity","BS_CUR_ASSET_REPORT","1993-06-18","2026-05-02","Per=Y","Days=T","Dir=V")</f>
        <v>0</v>
      </c>
      <c r="O2">
        <f>BDH("AIRT US Equity","BS_CUR_LIAB","1993-06-18","2026-05-02","Per=Y","Days=T","Dir=V")</f>
        <v>0</v>
      </c>
      <c r="Q2">
        <f>BDH("AIRT US Equity","BS_SHAREHOLDER_EQY_ENDING_PERIOD","1993-06-18","2026-05-02","Per=Y","Days=T","Dir=V")</f>
        <v>0</v>
      </c>
      <c r="S2">
        <f>BDH("AIRT US Equity","BS_ACCT_NOTE_RCV","1993-06-18","2026-05-02","Per=Y","Days=T","Dir=V")</f>
        <v>0</v>
      </c>
      <c r="U2">
        <f>BDH("AIRT US Equity","BS_INVENTORIES","1993-06-18","2026-05-02","Per=Y","Days=T","Dir=V")</f>
        <v>0</v>
      </c>
      <c r="W2">
        <f>BDH("AIRT US Equity","WORKING_CAPITAL","1993-06-18","2026-05-02","Per=Y","Days=T","Dir=V")</f>
        <v>0</v>
      </c>
      <c r="Y2">
        <f>BDH("AIRT US Equity","SALES_REV_TURN","1993-06-18","2026-05-02","Per=Y","Days=T","Dir=V")</f>
        <v>0</v>
      </c>
      <c r="AA2">
        <f>BDH("AIRT US Equity","EBIT","1993-06-18","2026-05-02","Per=Y","Days=T","Dir=V")</f>
        <v>0</v>
      </c>
      <c r="AC2">
        <f>BDH("AIRT US Equity","EBITDA","1993-06-18","2026-05-02","Per=Y","Days=T","Dir=V")</f>
        <v>0</v>
      </c>
      <c r="AE2">
        <f>BDH("AIRT US Equity","NET_INCOME","1993-06-18","2026-05-02","Per=Y","Days=T","Dir=V")</f>
        <v>0</v>
      </c>
      <c r="AG2">
        <f>BDH("AIRT US Equity","IS_INT_EXPENSE","1993-06-18","2026-05-02","Per=Y","Days=T","Dir=V")</f>
        <v>0</v>
      </c>
      <c r="AI2">
        <f>BDH("AIRT US Equity","IS_DEPR_EXP","1993-06-18","2026-05-02","Per=Y","Days=T","Dir=V")</f>
        <v>0</v>
      </c>
      <c r="AK2">
        <f>BDH("AIRT US Equity","CF_CASH_FROM_OPER","1993-06-18","2026-05-02","Per=Y","Days=T","Dir=V")</f>
        <v>0</v>
      </c>
      <c r="AM2">
        <f>BDH("AIRT US Equity","CAPITAL_EXPEND","1993-06-18","2026-05-02","Per=Y","Days=T","Dir=V")</f>
        <v>0</v>
      </c>
      <c r="AO2">
        <f>BDH("AIRT US Equity","CF_FREE_CASH_FLOW","1993-06-18","2026-05-02","Per=Y","Days=T","Dir=V")</f>
        <v>0</v>
      </c>
      <c r="AQ2">
        <f>BDH("AIRT US Equity","PX_LAST","1993-06-18","2026-05-02","Per=M","Days=T","Dir=V")</f>
        <v>0</v>
      </c>
      <c r="AS2">
        <f>BDH("AIRT US Equity","CUR_MKT_CAP","1993-06-18","2026-05-02","Per=M","Days=T","Dir=V")</f>
        <v>0</v>
      </c>
      <c r="AU2">
        <f>BDH("AIRT US Equity","EQY_SH_OUT","1993-06-18","2026-05-02","Per=M","Days=T","Dir=V")</f>
        <v>0</v>
      </c>
      <c r="AW2">
        <f>BDH("AIRT US Equity","PX_VOLUME","1993-06-18","2026-05-02","Per=M","Days=T","Dir=V")</f>
        <v>0</v>
      </c>
      <c r="AY2">
        <f>BDH("AIRT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BDH("AIRTP US Equity","BS_TOT_ASSET","1993-06-18","2026-05-02","Per=Y","Days=T","Dir=V")</f>
        <v>0</v>
      </c>
      <c r="C2">
        <f>BDH("AIRTP US Equity","BS_TOT_LIAB2","1993-06-18","2026-05-02","Per=Y","Days=T","Dir=V")</f>
        <v>0</v>
      </c>
      <c r="E2">
        <f>BDH("AIRTP US Equity","SHORT_AND_LONG_TERM_DEBT","1993-06-18","2026-05-02","Per=Y","Days=T","Dir=V")</f>
        <v>0</v>
      </c>
      <c r="G2">
        <f>BDH("AIRTP US Equity","BS_ST_BORROW","1993-06-18","2026-05-02","Per=Y","Days=T","Dir=V")</f>
        <v>0</v>
      </c>
      <c r="I2">
        <f>BDH("AIRTP US Equity","BS_LT_BORROW","1993-06-18","2026-05-02","Per=Y","Days=T","Dir=V")</f>
        <v>0</v>
      </c>
      <c r="K2">
        <f>BDH("AIRTP US Equity","BS_CASH_NEAR_CASH_ITEM","1993-06-18","2026-05-02","Per=Y","Days=T","Dir=V")</f>
        <v>0</v>
      </c>
      <c r="M2">
        <f>BDH("AIRTP US Equity","BS_CUR_ASSET_REPORT","1993-06-18","2026-05-02","Per=Y","Days=T","Dir=V")</f>
        <v>0</v>
      </c>
      <c r="O2">
        <f>BDH("AIRTP US Equity","BS_CUR_LIAB","1993-06-18","2026-05-02","Per=Y","Days=T","Dir=V")</f>
        <v>0</v>
      </c>
      <c r="Q2">
        <f>BDH("AIRTP US Equity","BS_SHAREHOLDER_EQY_ENDING_PERIOD","1993-06-18","2026-05-02","Per=Y","Days=T","Dir=V")</f>
        <v>0</v>
      </c>
      <c r="S2">
        <f>BDH("AIRTP US Equity","BS_ACCT_NOTE_RCV","1993-06-18","2026-05-02","Per=Y","Days=T","Dir=V")</f>
        <v>0</v>
      </c>
      <c r="U2">
        <f>BDH("AIRTP US Equity","BS_INVENTORIES","1993-06-18","2026-05-02","Per=Y","Days=T","Dir=V")</f>
        <v>0</v>
      </c>
      <c r="W2">
        <f>BDH("AIRTP US Equity","WORKING_CAPITAL","1993-06-18","2026-05-02","Per=Y","Days=T","Dir=V")</f>
        <v>0</v>
      </c>
      <c r="Y2">
        <f>BDH("AIRTP US Equity","SALES_REV_TURN","1993-06-18","2026-05-02","Per=Y","Days=T","Dir=V")</f>
        <v>0</v>
      </c>
      <c r="AA2">
        <f>BDH("AIRTP US Equity","EBIT","1993-06-18","2026-05-02","Per=Y","Days=T","Dir=V")</f>
        <v>0</v>
      </c>
      <c r="AC2">
        <f>BDH("AIRTP US Equity","EBITDA","1993-06-18","2026-05-02","Per=Y","Days=T","Dir=V")</f>
        <v>0</v>
      </c>
      <c r="AE2">
        <f>BDH("AIRTP US Equity","NET_INCOME","1993-06-18","2026-05-02","Per=Y","Days=T","Dir=V")</f>
        <v>0</v>
      </c>
      <c r="AG2">
        <f>BDH("AIRTP US Equity","IS_INT_EXPENSE","1993-06-18","2026-05-02","Per=Y","Days=T","Dir=V")</f>
        <v>0</v>
      </c>
      <c r="AI2">
        <f>BDH("AIRTP US Equity","IS_DEPR_EXP","1993-06-18","2026-05-02","Per=Y","Days=T","Dir=V")</f>
        <v>0</v>
      </c>
      <c r="AK2">
        <f>BDH("AIRTP US Equity","CF_CASH_FROM_OPER","1993-06-18","2026-05-02","Per=Y","Days=T","Dir=V")</f>
        <v>0</v>
      </c>
      <c r="AM2">
        <f>BDH("AIRTP US Equity","CAPITAL_EXPEND","1993-06-18","2026-05-02","Per=Y","Days=T","Dir=V")</f>
        <v>0</v>
      </c>
      <c r="AO2">
        <f>BDH("AIRTP US Equity","CF_FREE_CASH_FLOW","1993-06-18","2026-05-02","Per=Y","Days=T","Dir=V")</f>
        <v>0</v>
      </c>
      <c r="AQ2">
        <f>BDH("AIRTP US Equity","PX_LAST","1993-06-18","2026-05-02","Per=M","Days=T","Dir=V")</f>
        <v>0</v>
      </c>
      <c r="AS2">
        <f>BDH("AIRTP US Equity","CUR_MKT_CAP","1993-06-18","2026-05-02","Per=M","Days=T","Dir=V")</f>
        <v>0</v>
      </c>
      <c r="AU2">
        <f>BDH("AIRTP US Equity","EQY_SH_OUT","1993-06-18","2026-05-02","Per=M","Days=T","Dir=V")</f>
        <v>0</v>
      </c>
      <c r="AW2">
        <f>BDH("AIRTP US Equity","PX_VOLUME","1993-06-18","2026-05-02","Per=M","Days=T","Dir=V")</f>
        <v>0</v>
      </c>
      <c r="AY2">
        <f>BDH("AIRTP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BDH("AISP US Equity","BS_TOT_ASSET","1993-06-18","2026-05-02","Per=Y","Days=T","Dir=V")</f>
        <v>0</v>
      </c>
      <c r="C2">
        <f>BDH("AISP US Equity","BS_TOT_LIAB2","1993-06-18","2026-05-02","Per=Y","Days=T","Dir=V")</f>
        <v>0</v>
      </c>
      <c r="E2">
        <f>BDH("AISP US Equity","SHORT_AND_LONG_TERM_DEBT","1993-06-18","2026-05-02","Per=Y","Days=T","Dir=V")</f>
        <v>0</v>
      </c>
      <c r="G2">
        <f>BDH("AISP US Equity","BS_ST_BORROW","1993-06-18","2026-05-02","Per=Y","Days=T","Dir=V")</f>
        <v>0</v>
      </c>
      <c r="I2">
        <f>BDH("AISP US Equity","BS_LT_BORROW","1993-06-18","2026-05-02","Per=Y","Days=T","Dir=V")</f>
        <v>0</v>
      </c>
      <c r="K2">
        <f>BDH("AISP US Equity","BS_CASH_NEAR_CASH_ITEM","1993-06-18","2026-05-02","Per=Y","Days=T","Dir=V")</f>
        <v>0</v>
      </c>
      <c r="M2">
        <f>BDH("AISP US Equity","BS_CUR_ASSET_REPORT","1993-06-18","2026-05-02","Per=Y","Days=T","Dir=V")</f>
        <v>0</v>
      </c>
      <c r="O2">
        <f>BDH("AISP US Equity","BS_CUR_LIAB","1993-06-18","2026-05-02","Per=Y","Days=T","Dir=V")</f>
        <v>0</v>
      </c>
      <c r="Q2">
        <f>BDH("AISP US Equity","BS_SHAREHOLDER_EQY_ENDING_PERIOD","1993-06-18","2026-05-02","Per=Y","Days=T","Dir=V")</f>
        <v>0</v>
      </c>
      <c r="S2">
        <f>BDH("AISP US Equity","BS_ACCT_NOTE_RCV","1993-06-18","2026-05-02","Per=Y","Days=T","Dir=V")</f>
        <v>0</v>
      </c>
      <c r="U2">
        <f>BDH("AISP US Equity","BS_INVENTORIES","1993-06-18","2026-05-02","Per=Y","Days=T","Dir=V")</f>
        <v>0</v>
      </c>
      <c r="W2">
        <f>BDH("AISP US Equity","WORKING_CAPITAL","1993-06-18","2026-05-02","Per=Y","Days=T","Dir=V")</f>
        <v>0</v>
      </c>
      <c r="Y2">
        <f>BDH("AISP US Equity","SALES_REV_TURN","1993-06-18","2026-05-02","Per=Y","Days=T","Dir=V")</f>
        <v>0</v>
      </c>
      <c r="AA2">
        <f>BDH("AISP US Equity","EBIT","1993-06-18","2026-05-02","Per=Y","Days=T","Dir=V")</f>
        <v>0</v>
      </c>
      <c r="AC2">
        <f>BDH("AISP US Equity","EBITDA","1993-06-18","2026-05-02","Per=Y","Days=T","Dir=V")</f>
        <v>0</v>
      </c>
      <c r="AE2">
        <f>BDH("AISP US Equity","NET_INCOME","1993-06-18","2026-05-02","Per=Y","Days=T","Dir=V")</f>
        <v>0</v>
      </c>
      <c r="AG2">
        <f>BDH("AISP US Equity","IS_INT_EXPENSE","1993-06-18","2026-05-02","Per=Y","Days=T","Dir=V")</f>
        <v>0</v>
      </c>
      <c r="AI2">
        <f>BDH("AISP US Equity","IS_DEPR_EXP","1993-06-18","2026-05-02","Per=Y","Days=T","Dir=V")</f>
        <v>0</v>
      </c>
      <c r="AK2">
        <f>BDH("AISP US Equity","CF_CASH_FROM_OPER","1993-06-18","2026-05-02","Per=Y","Days=T","Dir=V")</f>
        <v>0</v>
      </c>
      <c r="AM2">
        <f>BDH("AISP US Equity","CAPITAL_EXPEND","1993-06-18","2026-05-02","Per=Y","Days=T","Dir=V")</f>
        <v>0</v>
      </c>
      <c r="AO2">
        <f>BDH("AISP US Equity","CF_FREE_CASH_FLOW","1993-06-18","2026-05-02","Per=Y","Days=T","Dir=V")</f>
        <v>0</v>
      </c>
      <c r="AQ2">
        <f>BDH("AISP US Equity","PX_LAST","1993-06-18","2026-05-02","Per=M","Days=T","Dir=V")</f>
        <v>0</v>
      </c>
      <c r="AS2">
        <f>BDH("AISP US Equity","CUR_MKT_CAP","1993-06-18","2026-05-02","Per=M","Days=T","Dir=V")</f>
        <v>0</v>
      </c>
      <c r="AU2">
        <f>BDH("AISP US Equity","EQY_SH_OUT","1993-06-18","2026-05-02","Per=M","Days=T","Dir=V")</f>
        <v>0</v>
      </c>
      <c r="AW2">
        <f>BDH("AISP US Equity","PX_VOLUME","1993-06-18","2026-05-02","Per=M","Days=T","Dir=V")</f>
        <v>0</v>
      </c>
      <c r="AY2">
        <f>BDH("AISP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BDH("AISPW US Equity","BS_TOT_ASSET","1993-06-18","2026-05-02","Per=Y","Days=T","Dir=V")</f>
        <v>0</v>
      </c>
      <c r="C2">
        <f>BDH("AISPW US Equity","BS_TOT_LIAB2","1993-06-18","2026-05-02","Per=Y","Days=T","Dir=V")</f>
        <v>0</v>
      </c>
      <c r="E2">
        <f>BDH("AISPW US Equity","SHORT_AND_LONG_TERM_DEBT","1993-06-18","2026-05-02","Per=Y","Days=T","Dir=V")</f>
        <v>0</v>
      </c>
      <c r="G2">
        <f>BDH("AISPW US Equity","BS_ST_BORROW","1993-06-18","2026-05-02","Per=Y","Days=T","Dir=V")</f>
        <v>0</v>
      </c>
      <c r="I2">
        <f>BDH("AISPW US Equity","BS_LT_BORROW","1993-06-18","2026-05-02","Per=Y","Days=T","Dir=V")</f>
        <v>0</v>
      </c>
      <c r="K2">
        <f>BDH("AISPW US Equity","BS_CASH_NEAR_CASH_ITEM","1993-06-18","2026-05-02","Per=Y","Days=T","Dir=V")</f>
        <v>0</v>
      </c>
      <c r="M2">
        <f>BDH("AISPW US Equity","BS_CUR_ASSET_REPORT","1993-06-18","2026-05-02","Per=Y","Days=T","Dir=V")</f>
        <v>0</v>
      </c>
      <c r="O2">
        <f>BDH("AISPW US Equity","BS_CUR_LIAB","1993-06-18","2026-05-02","Per=Y","Days=T","Dir=V")</f>
        <v>0</v>
      </c>
      <c r="Q2">
        <f>BDH("AISPW US Equity","BS_SHAREHOLDER_EQY_ENDING_PERIOD","1993-06-18","2026-05-02","Per=Y","Days=T","Dir=V")</f>
        <v>0</v>
      </c>
      <c r="S2">
        <f>BDH("AISPW US Equity","BS_ACCT_NOTE_RCV","1993-06-18","2026-05-02","Per=Y","Days=T","Dir=V")</f>
        <v>0</v>
      </c>
      <c r="U2">
        <f>BDH("AISPW US Equity","BS_INVENTORIES","1993-06-18","2026-05-02","Per=Y","Days=T","Dir=V")</f>
        <v>0</v>
      </c>
      <c r="W2">
        <f>BDH("AISPW US Equity","WORKING_CAPITAL","1993-06-18","2026-05-02","Per=Y","Days=T","Dir=V")</f>
        <v>0</v>
      </c>
      <c r="Y2">
        <f>BDH("AISPW US Equity","SALES_REV_TURN","1993-06-18","2026-05-02","Per=Y","Days=T","Dir=V")</f>
        <v>0</v>
      </c>
      <c r="AA2">
        <f>BDH("AISPW US Equity","EBIT","1993-06-18","2026-05-02","Per=Y","Days=T","Dir=V")</f>
        <v>0</v>
      </c>
      <c r="AC2">
        <f>BDH("AISPW US Equity","EBITDA","1993-06-18","2026-05-02","Per=Y","Days=T","Dir=V")</f>
        <v>0</v>
      </c>
      <c r="AE2">
        <f>BDH("AISPW US Equity","NET_INCOME","1993-06-18","2026-05-02","Per=Y","Days=T","Dir=V")</f>
        <v>0</v>
      </c>
      <c r="AG2">
        <f>BDH("AISPW US Equity","IS_INT_EXPENSE","1993-06-18","2026-05-02","Per=Y","Days=T","Dir=V")</f>
        <v>0</v>
      </c>
      <c r="AI2">
        <f>BDH("AISPW US Equity","IS_DEPR_EXP","1993-06-18","2026-05-02","Per=Y","Days=T","Dir=V")</f>
        <v>0</v>
      </c>
      <c r="AK2">
        <f>BDH("AISPW US Equity","CF_CASH_FROM_OPER","1993-06-18","2026-05-02","Per=Y","Days=T","Dir=V")</f>
        <v>0</v>
      </c>
      <c r="AM2">
        <f>BDH("AISPW US Equity","CAPITAL_EXPEND","1993-06-18","2026-05-02","Per=Y","Days=T","Dir=V")</f>
        <v>0</v>
      </c>
      <c r="AO2">
        <f>BDH("AISPW US Equity","CF_FREE_CASH_FLOW","1993-06-18","2026-05-02","Per=Y","Days=T","Dir=V")</f>
        <v>0</v>
      </c>
      <c r="AQ2">
        <f>BDH("AISPW US Equity","PX_LAST","1993-06-18","2026-05-02","Per=M","Days=T","Dir=V")</f>
        <v>0</v>
      </c>
      <c r="AS2">
        <f>BDH("AISPW US Equity","CUR_MKT_CAP","1993-06-18","2026-05-02","Per=M","Days=T","Dir=V")</f>
        <v>0</v>
      </c>
      <c r="AU2">
        <f>BDH("AISPW US Equity","EQY_SH_OUT","1993-06-18","2026-05-02","Per=M","Days=T","Dir=V")</f>
        <v>0</v>
      </c>
      <c r="AW2">
        <f>BDH("AISPW US Equity","PX_VOLUME","1993-06-18","2026-05-02","Per=M","Days=T","Dir=V")</f>
        <v>0</v>
      </c>
      <c r="AY2">
        <f>BDH("AISPW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BDH("AIT US Equity","BS_TOT_ASSET","1993-06-18","2026-05-02","Per=Y","Days=T","Dir=V")</f>
        <v>0</v>
      </c>
      <c r="C2">
        <f>BDH("AIT US Equity","BS_TOT_LIAB2","1993-06-18","2026-05-02","Per=Y","Days=T","Dir=V")</f>
        <v>0</v>
      </c>
      <c r="E2">
        <f>BDH("AIT US Equity","SHORT_AND_LONG_TERM_DEBT","1993-06-18","2026-05-02","Per=Y","Days=T","Dir=V")</f>
        <v>0</v>
      </c>
      <c r="G2">
        <f>BDH("AIT US Equity","BS_ST_BORROW","1993-06-18","2026-05-02","Per=Y","Days=T","Dir=V")</f>
        <v>0</v>
      </c>
      <c r="I2">
        <f>BDH("AIT US Equity","BS_LT_BORROW","1993-06-18","2026-05-02","Per=Y","Days=T","Dir=V")</f>
        <v>0</v>
      </c>
      <c r="K2">
        <f>BDH("AIT US Equity","BS_CASH_NEAR_CASH_ITEM","1993-06-18","2026-05-02","Per=Y","Days=T","Dir=V")</f>
        <v>0</v>
      </c>
      <c r="M2">
        <f>BDH("AIT US Equity","BS_CUR_ASSET_REPORT","1993-06-18","2026-05-02","Per=Y","Days=T","Dir=V")</f>
        <v>0</v>
      </c>
      <c r="O2">
        <f>BDH("AIT US Equity","BS_CUR_LIAB","1993-06-18","2026-05-02","Per=Y","Days=T","Dir=V")</f>
        <v>0</v>
      </c>
      <c r="Q2">
        <f>BDH("AIT US Equity","BS_SHAREHOLDER_EQY_ENDING_PERIOD","1993-06-18","2026-05-02","Per=Y","Days=T","Dir=V")</f>
        <v>0</v>
      </c>
      <c r="S2">
        <f>BDH("AIT US Equity","BS_ACCT_NOTE_RCV","1993-06-18","2026-05-02","Per=Y","Days=T","Dir=V")</f>
        <v>0</v>
      </c>
      <c r="U2">
        <f>BDH("AIT US Equity","BS_INVENTORIES","1993-06-18","2026-05-02","Per=Y","Days=T","Dir=V")</f>
        <v>0</v>
      </c>
      <c r="W2">
        <f>BDH("AIT US Equity","WORKING_CAPITAL","1993-06-18","2026-05-02","Per=Y","Days=T","Dir=V")</f>
        <v>0</v>
      </c>
      <c r="Y2">
        <f>BDH("AIT US Equity","SALES_REV_TURN","1993-06-18","2026-05-02","Per=Y","Days=T","Dir=V")</f>
        <v>0</v>
      </c>
      <c r="AA2">
        <f>BDH("AIT US Equity","EBIT","1993-06-18","2026-05-02","Per=Y","Days=T","Dir=V")</f>
        <v>0</v>
      </c>
      <c r="AC2">
        <f>BDH("AIT US Equity","EBITDA","1993-06-18","2026-05-02","Per=Y","Days=T","Dir=V")</f>
        <v>0</v>
      </c>
      <c r="AE2">
        <f>BDH("AIT US Equity","NET_INCOME","1993-06-18","2026-05-02","Per=Y","Days=T","Dir=V")</f>
        <v>0</v>
      </c>
      <c r="AG2">
        <f>BDH("AIT US Equity","IS_INT_EXPENSE","1993-06-18","2026-05-02","Per=Y","Days=T","Dir=V")</f>
        <v>0</v>
      </c>
      <c r="AI2">
        <f>BDH("AIT US Equity","IS_DEPR_EXP","1993-06-18","2026-05-02","Per=Y","Days=T","Dir=V")</f>
        <v>0</v>
      </c>
      <c r="AK2">
        <f>BDH("AIT US Equity","CF_CASH_FROM_OPER","1993-06-18","2026-05-02","Per=Y","Days=T","Dir=V")</f>
        <v>0</v>
      </c>
      <c r="AM2">
        <f>BDH("AIT US Equity","CAPITAL_EXPEND","1993-06-18","2026-05-02","Per=Y","Days=T","Dir=V")</f>
        <v>0</v>
      </c>
      <c r="AO2">
        <f>BDH("AIT US Equity","CF_FREE_CASH_FLOW","1993-06-18","2026-05-02","Per=Y","Days=T","Dir=V")</f>
        <v>0</v>
      </c>
      <c r="AQ2">
        <f>BDH("AIT US Equity","PX_LAST","1993-06-18","2026-05-02","Per=M","Days=T","Dir=V")</f>
        <v>0</v>
      </c>
      <c r="AS2">
        <f>BDH("AIT US Equity","CUR_MKT_CAP","1993-06-18","2026-05-02","Per=M","Days=T","Dir=V")</f>
        <v>0</v>
      </c>
      <c r="AU2">
        <f>BDH("AIT US Equity","EQY_SH_OUT","1993-06-18","2026-05-02","Per=M","Days=T","Dir=V")</f>
        <v>0</v>
      </c>
      <c r="AW2">
        <f>BDH("AIT US Equity","PX_VOLUME","1993-06-18","2026-05-02","Per=M","Days=T","Dir=V")</f>
        <v>0</v>
      </c>
      <c r="AY2">
        <f>BDH("AIT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BDH("AKAM US Equity","BS_TOT_ASSET","1993-06-18","2026-05-02","Per=Y","Days=T","Dir=V")</f>
        <v>0</v>
      </c>
      <c r="C2">
        <f>BDH("AKAM US Equity","BS_TOT_LIAB2","1993-06-18","2026-05-02","Per=Y","Days=T","Dir=V")</f>
        <v>0</v>
      </c>
      <c r="E2">
        <f>BDH("AKAM US Equity","SHORT_AND_LONG_TERM_DEBT","1993-06-18","2026-05-02","Per=Y","Days=T","Dir=V")</f>
        <v>0</v>
      </c>
      <c r="G2">
        <f>BDH("AKAM US Equity","BS_ST_BORROW","1993-06-18","2026-05-02","Per=Y","Days=T","Dir=V")</f>
        <v>0</v>
      </c>
      <c r="I2">
        <f>BDH("AKAM US Equity","BS_LT_BORROW","1993-06-18","2026-05-02","Per=Y","Days=T","Dir=V")</f>
        <v>0</v>
      </c>
      <c r="K2">
        <f>BDH("AKAM US Equity","BS_CASH_NEAR_CASH_ITEM","1993-06-18","2026-05-02","Per=Y","Days=T","Dir=V")</f>
        <v>0</v>
      </c>
      <c r="M2">
        <f>BDH("AKAM US Equity","BS_CUR_ASSET_REPORT","1993-06-18","2026-05-02","Per=Y","Days=T","Dir=V")</f>
        <v>0</v>
      </c>
      <c r="O2">
        <f>BDH("AKAM US Equity","BS_CUR_LIAB","1993-06-18","2026-05-02","Per=Y","Days=T","Dir=V")</f>
        <v>0</v>
      </c>
      <c r="Q2">
        <f>BDH("AKAM US Equity","BS_SHAREHOLDER_EQY_ENDING_PERIOD","1993-06-18","2026-05-02","Per=Y","Days=T","Dir=V")</f>
        <v>0</v>
      </c>
      <c r="S2">
        <f>BDH("AKAM US Equity","BS_ACCT_NOTE_RCV","1993-06-18","2026-05-02","Per=Y","Days=T","Dir=V")</f>
        <v>0</v>
      </c>
      <c r="U2">
        <f>BDH("AKAM US Equity","BS_INVENTORIES","1993-06-18","2026-05-02","Per=Y","Days=T","Dir=V")</f>
        <v>0</v>
      </c>
      <c r="W2">
        <f>BDH("AKAM US Equity","WORKING_CAPITAL","1993-06-18","2026-05-02","Per=Y","Days=T","Dir=V")</f>
        <v>0</v>
      </c>
      <c r="Y2">
        <f>BDH("AKAM US Equity","SALES_REV_TURN","1993-06-18","2026-05-02","Per=Y","Days=T","Dir=V")</f>
        <v>0</v>
      </c>
      <c r="AA2">
        <f>BDH("AKAM US Equity","EBIT","1993-06-18","2026-05-02","Per=Y","Days=T","Dir=V")</f>
        <v>0</v>
      </c>
      <c r="AC2">
        <f>BDH("AKAM US Equity","EBITDA","1993-06-18","2026-05-02","Per=Y","Days=T","Dir=V")</f>
        <v>0</v>
      </c>
      <c r="AE2">
        <f>BDH("AKAM US Equity","NET_INCOME","1993-06-18","2026-05-02","Per=Y","Days=T","Dir=V")</f>
        <v>0</v>
      </c>
      <c r="AG2">
        <f>BDH("AKAM US Equity","IS_INT_EXPENSE","1993-06-18","2026-05-02","Per=Y","Days=T","Dir=V")</f>
        <v>0</v>
      </c>
      <c r="AI2">
        <f>BDH("AKAM US Equity","IS_DEPR_EXP","1993-06-18","2026-05-02","Per=Y","Days=T","Dir=V")</f>
        <v>0</v>
      </c>
      <c r="AK2">
        <f>BDH("AKAM US Equity","CF_CASH_FROM_OPER","1993-06-18","2026-05-02","Per=Y","Days=T","Dir=V")</f>
        <v>0</v>
      </c>
      <c r="AM2">
        <f>BDH("AKAM US Equity","CAPITAL_EXPEND","1993-06-18","2026-05-02","Per=Y","Days=T","Dir=V")</f>
        <v>0</v>
      </c>
      <c r="AO2">
        <f>BDH("AKAM US Equity","CF_FREE_CASH_FLOW","1993-06-18","2026-05-02","Per=Y","Days=T","Dir=V")</f>
        <v>0</v>
      </c>
      <c r="AQ2">
        <f>BDH("AKAM US Equity","PX_LAST","1993-06-18","2026-05-02","Per=M","Days=T","Dir=V")</f>
        <v>0</v>
      </c>
      <c r="AS2">
        <f>BDH("AKAM US Equity","CUR_MKT_CAP","1993-06-18","2026-05-02","Per=M","Days=T","Dir=V")</f>
        <v>0</v>
      </c>
      <c r="AU2">
        <f>BDH("AKAM US Equity","EQY_SH_OUT","1993-06-18","2026-05-02","Per=M","Days=T","Dir=V")</f>
        <v>0</v>
      </c>
      <c r="AW2">
        <f>BDH("AKAM US Equity","PX_VOLUME","1993-06-18","2026-05-02","Per=M","Days=T","Dir=V")</f>
        <v>0</v>
      </c>
      <c r="AY2">
        <f>BDH("AKAM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BDH("AKBA US Equity","BS_TOT_ASSET","1993-06-18","2026-05-02","Per=Y","Days=T","Dir=V")</f>
        <v>0</v>
      </c>
      <c r="C2">
        <f>BDH("AKBA US Equity","BS_TOT_LIAB2","1993-06-18","2026-05-02","Per=Y","Days=T","Dir=V")</f>
        <v>0</v>
      </c>
      <c r="E2">
        <f>BDH("AKBA US Equity","SHORT_AND_LONG_TERM_DEBT","1993-06-18","2026-05-02","Per=Y","Days=T","Dir=V")</f>
        <v>0</v>
      </c>
      <c r="G2">
        <f>BDH("AKBA US Equity","BS_ST_BORROW","1993-06-18","2026-05-02","Per=Y","Days=T","Dir=V")</f>
        <v>0</v>
      </c>
      <c r="I2">
        <f>BDH("AKBA US Equity","BS_LT_BORROW","1993-06-18","2026-05-02","Per=Y","Days=T","Dir=V")</f>
        <v>0</v>
      </c>
      <c r="K2">
        <f>BDH("AKBA US Equity","BS_CASH_NEAR_CASH_ITEM","1993-06-18","2026-05-02","Per=Y","Days=T","Dir=V")</f>
        <v>0</v>
      </c>
      <c r="M2">
        <f>BDH("AKBA US Equity","BS_CUR_ASSET_REPORT","1993-06-18","2026-05-02","Per=Y","Days=T","Dir=V")</f>
        <v>0</v>
      </c>
      <c r="O2">
        <f>BDH("AKBA US Equity","BS_CUR_LIAB","1993-06-18","2026-05-02","Per=Y","Days=T","Dir=V")</f>
        <v>0</v>
      </c>
      <c r="Q2">
        <f>BDH("AKBA US Equity","BS_SHAREHOLDER_EQY_ENDING_PERIOD","1993-06-18","2026-05-02","Per=Y","Days=T","Dir=V")</f>
        <v>0</v>
      </c>
      <c r="S2">
        <f>BDH("AKBA US Equity","BS_ACCT_NOTE_RCV","1993-06-18","2026-05-02","Per=Y","Days=T","Dir=V")</f>
        <v>0</v>
      </c>
      <c r="U2">
        <f>BDH("AKBA US Equity","BS_INVENTORIES","1993-06-18","2026-05-02","Per=Y","Days=T","Dir=V")</f>
        <v>0</v>
      </c>
      <c r="W2">
        <f>BDH("AKBA US Equity","WORKING_CAPITAL","1993-06-18","2026-05-02","Per=Y","Days=T","Dir=V")</f>
        <v>0</v>
      </c>
      <c r="Y2">
        <f>BDH("AKBA US Equity","SALES_REV_TURN","1993-06-18","2026-05-02","Per=Y","Days=T","Dir=V")</f>
        <v>0</v>
      </c>
      <c r="AA2">
        <f>BDH("AKBA US Equity","EBIT","1993-06-18","2026-05-02","Per=Y","Days=T","Dir=V")</f>
        <v>0</v>
      </c>
      <c r="AC2">
        <f>BDH("AKBA US Equity","EBITDA","1993-06-18","2026-05-02","Per=Y","Days=T","Dir=V")</f>
        <v>0</v>
      </c>
      <c r="AE2">
        <f>BDH("AKBA US Equity","NET_INCOME","1993-06-18","2026-05-02","Per=Y","Days=T","Dir=V")</f>
        <v>0</v>
      </c>
      <c r="AG2">
        <f>BDH("AKBA US Equity","IS_INT_EXPENSE","1993-06-18","2026-05-02","Per=Y","Days=T","Dir=V")</f>
        <v>0</v>
      </c>
      <c r="AI2">
        <f>BDH("AKBA US Equity","IS_DEPR_EXP","1993-06-18","2026-05-02","Per=Y","Days=T","Dir=V")</f>
        <v>0</v>
      </c>
      <c r="AK2">
        <f>BDH("AKBA US Equity","CF_CASH_FROM_OPER","1993-06-18","2026-05-02","Per=Y","Days=T","Dir=V")</f>
        <v>0</v>
      </c>
      <c r="AM2">
        <f>BDH("AKBA US Equity","CAPITAL_EXPEND","1993-06-18","2026-05-02","Per=Y","Days=T","Dir=V")</f>
        <v>0</v>
      </c>
      <c r="AO2">
        <f>BDH("AKBA US Equity","CF_FREE_CASH_FLOW","1993-06-18","2026-05-02","Per=Y","Days=T","Dir=V")</f>
        <v>0</v>
      </c>
      <c r="AQ2">
        <f>BDH("AKBA US Equity","PX_LAST","1993-06-18","2026-05-02","Per=M","Days=T","Dir=V")</f>
        <v>0</v>
      </c>
      <c r="AS2">
        <f>BDH("AKBA US Equity","CUR_MKT_CAP","1993-06-18","2026-05-02","Per=M","Days=T","Dir=V")</f>
        <v>0</v>
      </c>
      <c r="AU2">
        <f>BDH("AKBA US Equity","EQY_SH_OUT","1993-06-18","2026-05-02","Per=M","Days=T","Dir=V")</f>
        <v>0</v>
      </c>
      <c r="AW2">
        <f>BDH("AKBA US Equity","PX_VOLUME","1993-06-18","2026-05-02","Per=M","Days=T","Dir=V")</f>
        <v>0</v>
      </c>
      <c r="AY2">
        <f>BDH("AKBA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BDH("AKTS US Equity","BS_TOT_ASSET","1993-06-18","2026-05-02","Per=Y","Days=T","Dir=V")</f>
        <v>0</v>
      </c>
      <c r="C2">
        <f>BDH("AKTS US Equity","BS_TOT_LIAB2","1993-06-18","2026-05-02","Per=Y","Days=T","Dir=V")</f>
        <v>0</v>
      </c>
      <c r="E2">
        <f>BDH("AKTS US Equity","SHORT_AND_LONG_TERM_DEBT","1993-06-18","2026-05-02","Per=Y","Days=T","Dir=V")</f>
        <v>0</v>
      </c>
      <c r="G2">
        <f>BDH("AKTS US Equity","BS_ST_BORROW","1993-06-18","2026-05-02","Per=Y","Days=T","Dir=V")</f>
        <v>0</v>
      </c>
      <c r="I2">
        <f>BDH("AKTS US Equity","BS_LT_BORROW","1993-06-18","2026-05-02","Per=Y","Days=T","Dir=V")</f>
        <v>0</v>
      </c>
      <c r="K2">
        <f>BDH("AKTS US Equity","BS_CASH_NEAR_CASH_ITEM","1993-06-18","2026-05-02","Per=Y","Days=T","Dir=V")</f>
        <v>0</v>
      </c>
      <c r="M2">
        <f>BDH("AKTS US Equity","BS_CUR_ASSET_REPORT","1993-06-18","2026-05-02","Per=Y","Days=T","Dir=V")</f>
        <v>0</v>
      </c>
      <c r="O2">
        <f>BDH("AKTS US Equity","BS_CUR_LIAB","1993-06-18","2026-05-02","Per=Y","Days=T","Dir=V")</f>
        <v>0</v>
      </c>
      <c r="Q2">
        <f>BDH("AKTS US Equity","BS_SHAREHOLDER_EQY_ENDING_PERIOD","1993-06-18","2026-05-02","Per=Y","Days=T","Dir=V")</f>
        <v>0</v>
      </c>
      <c r="S2">
        <f>BDH("AKTS US Equity","BS_ACCT_NOTE_RCV","1993-06-18","2026-05-02","Per=Y","Days=T","Dir=V")</f>
        <v>0</v>
      </c>
      <c r="U2">
        <f>BDH("AKTS US Equity","BS_INVENTORIES","1993-06-18","2026-05-02","Per=Y","Days=T","Dir=V")</f>
        <v>0</v>
      </c>
      <c r="W2">
        <f>BDH("AKTS US Equity","WORKING_CAPITAL","1993-06-18","2026-05-02","Per=Y","Days=T","Dir=V")</f>
        <v>0</v>
      </c>
      <c r="Y2">
        <f>BDH("AKTS US Equity","SALES_REV_TURN","1993-06-18","2026-05-02","Per=Y","Days=T","Dir=V")</f>
        <v>0</v>
      </c>
      <c r="AA2">
        <f>BDH("AKTS US Equity","EBIT","1993-06-18","2026-05-02","Per=Y","Days=T","Dir=V")</f>
        <v>0</v>
      </c>
      <c r="AC2">
        <f>BDH("AKTS US Equity","EBITDA","1993-06-18","2026-05-02","Per=Y","Days=T","Dir=V")</f>
        <v>0</v>
      </c>
      <c r="AE2">
        <f>BDH("AKTS US Equity","NET_INCOME","1993-06-18","2026-05-02","Per=Y","Days=T","Dir=V")</f>
        <v>0</v>
      </c>
      <c r="AG2">
        <f>BDH("AKTS US Equity","IS_INT_EXPENSE","1993-06-18","2026-05-02","Per=Y","Days=T","Dir=V")</f>
        <v>0</v>
      </c>
      <c r="AI2">
        <f>BDH("AKTS US Equity","IS_DEPR_EXP","1993-06-18","2026-05-02","Per=Y","Days=T","Dir=V")</f>
        <v>0</v>
      </c>
      <c r="AK2">
        <f>BDH("AKTS US Equity","CF_CASH_FROM_OPER","1993-06-18","2026-05-02","Per=Y","Days=T","Dir=V")</f>
        <v>0</v>
      </c>
      <c r="AM2">
        <f>BDH("AKTS US Equity","CAPITAL_EXPEND","1993-06-18","2026-05-02","Per=Y","Days=T","Dir=V")</f>
        <v>0</v>
      </c>
      <c r="AO2">
        <f>BDH("AKTS US Equity","CF_FREE_CASH_FLOW","1993-06-18","2026-05-02","Per=Y","Days=T","Dir=V")</f>
        <v>0</v>
      </c>
      <c r="AQ2">
        <f>BDH("AKTS US Equity","PX_LAST","1993-06-18","2026-05-02","Per=M","Days=T","Dir=V")</f>
        <v>0</v>
      </c>
      <c r="AS2">
        <f>BDH("AKTS US Equity","CUR_MKT_CAP","1993-06-18","2026-05-02","Per=M","Days=T","Dir=V")</f>
        <v>0</v>
      </c>
      <c r="AU2">
        <f>BDH("AKTS US Equity","EQY_SH_OUT","1993-06-18","2026-05-02","Per=M","Days=T","Dir=V")</f>
        <v>0</v>
      </c>
      <c r="AW2">
        <f>BDH("AKTS US Equity","PX_VOLUME","1993-06-18","2026-05-02","Per=M","Days=T","Dir=V")</f>
        <v>0</v>
      </c>
      <c r="AY2">
        <f>BDH("AKTS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BDH("ALAB US Equity","BS_TOT_ASSET","1993-06-18","2026-05-02","Per=Y","Days=T","Dir=V")</f>
        <v>0</v>
      </c>
      <c r="C2">
        <f>BDH("ALAB US Equity","BS_TOT_LIAB2","1993-06-18","2026-05-02","Per=Y","Days=T","Dir=V")</f>
        <v>0</v>
      </c>
      <c r="E2">
        <f>BDH("ALAB US Equity","SHORT_AND_LONG_TERM_DEBT","1993-06-18","2026-05-02","Per=Y","Days=T","Dir=V")</f>
        <v>0</v>
      </c>
      <c r="G2">
        <f>BDH("ALAB US Equity","BS_ST_BORROW","1993-06-18","2026-05-02","Per=Y","Days=T","Dir=V")</f>
        <v>0</v>
      </c>
      <c r="I2">
        <f>BDH("ALAB US Equity","BS_LT_BORROW","1993-06-18","2026-05-02","Per=Y","Days=T","Dir=V")</f>
        <v>0</v>
      </c>
      <c r="K2">
        <f>BDH("ALAB US Equity","BS_CASH_NEAR_CASH_ITEM","1993-06-18","2026-05-02","Per=Y","Days=T","Dir=V")</f>
        <v>0</v>
      </c>
      <c r="M2">
        <f>BDH("ALAB US Equity","BS_CUR_ASSET_REPORT","1993-06-18","2026-05-02","Per=Y","Days=T","Dir=V")</f>
        <v>0</v>
      </c>
      <c r="O2">
        <f>BDH("ALAB US Equity","BS_CUR_LIAB","1993-06-18","2026-05-02","Per=Y","Days=T","Dir=V")</f>
        <v>0</v>
      </c>
      <c r="Q2">
        <f>BDH("ALAB US Equity","BS_SHAREHOLDER_EQY_ENDING_PERIOD","1993-06-18","2026-05-02","Per=Y","Days=T","Dir=V")</f>
        <v>0</v>
      </c>
      <c r="S2">
        <f>BDH("ALAB US Equity","BS_ACCT_NOTE_RCV","1993-06-18","2026-05-02","Per=Y","Days=T","Dir=V")</f>
        <v>0</v>
      </c>
      <c r="U2">
        <f>BDH("ALAB US Equity","BS_INVENTORIES","1993-06-18","2026-05-02","Per=Y","Days=T","Dir=V")</f>
        <v>0</v>
      </c>
      <c r="W2">
        <f>BDH("ALAB US Equity","WORKING_CAPITAL","1993-06-18","2026-05-02","Per=Y","Days=T","Dir=V")</f>
        <v>0</v>
      </c>
      <c r="Y2">
        <f>BDH("ALAB US Equity","SALES_REV_TURN","1993-06-18","2026-05-02","Per=Y","Days=T","Dir=V")</f>
        <v>0</v>
      </c>
      <c r="AA2">
        <f>BDH("ALAB US Equity","EBIT","1993-06-18","2026-05-02","Per=Y","Days=T","Dir=V")</f>
        <v>0</v>
      </c>
      <c r="AC2">
        <f>BDH("ALAB US Equity","EBITDA","1993-06-18","2026-05-02","Per=Y","Days=T","Dir=V")</f>
        <v>0</v>
      </c>
      <c r="AE2">
        <f>BDH("ALAB US Equity","NET_INCOME","1993-06-18","2026-05-02","Per=Y","Days=T","Dir=V")</f>
        <v>0</v>
      </c>
      <c r="AG2">
        <f>BDH("ALAB US Equity","IS_INT_EXPENSE","1993-06-18","2026-05-02","Per=Y","Days=T","Dir=V")</f>
        <v>0</v>
      </c>
      <c r="AI2">
        <f>BDH("ALAB US Equity","IS_DEPR_EXP","1993-06-18","2026-05-02","Per=Y","Days=T","Dir=V")</f>
        <v>0</v>
      </c>
      <c r="AK2">
        <f>BDH("ALAB US Equity","CF_CASH_FROM_OPER","1993-06-18","2026-05-02","Per=Y","Days=T","Dir=V")</f>
        <v>0</v>
      </c>
      <c r="AM2">
        <f>BDH("ALAB US Equity","CAPITAL_EXPEND","1993-06-18","2026-05-02","Per=Y","Days=T","Dir=V")</f>
        <v>0</v>
      </c>
      <c r="AO2">
        <f>BDH("ALAB US Equity","CF_FREE_CASH_FLOW","1993-06-18","2026-05-02","Per=Y","Days=T","Dir=V")</f>
        <v>0</v>
      </c>
      <c r="AQ2">
        <f>BDH("ALAB US Equity","PX_LAST","1993-06-18","2026-05-02","Per=M","Days=T","Dir=V")</f>
        <v>0</v>
      </c>
      <c r="AS2">
        <f>BDH("ALAB US Equity","CUR_MKT_CAP","1993-06-18","2026-05-02","Per=M","Days=T","Dir=V")</f>
        <v>0</v>
      </c>
      <c r="AU2">
        <f>BDH("ALAB US Equity","EQY_SH_OUT","1993-06-18","2026-05-02","Per=M","Days=T","Dir=V")</f>
        <v>0</v>
      </c>
      <c r="AW2">
        <f>BDH("ALAB US Equity","PX_VOLUME","1993-06-18","2026-05-02","Per=M","Days=T","Dir=V")</f>
        <v>0</v>
      </c>
      <c r="AY2">
        <f>BDH("ALAB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BDH("ALB US Equity","BS_TOT_ASSET","1993-06-18","2026-05-02","Per=Y","Days=T","Dir=V")</f>
        <v>0</v>
      </c>
      <c r="C2">
        <f>BDH("ALB US Equity","BS_TOT_LIAB2","1993-06-18","2026-05-02","Per=Y","Days=T","Dir=V")</f>
        <v>0</v>
      </c>
      <c r="E2">
        <f>BDH("ALB US Equity","SHORT_AND_LONG_TERM_DEBT","1993-06-18","2026-05-02","Per=Y","Days=T","Dir=V")</f>
        <v>0</v>
      </c>
      <c r="G2">
        <f>BDH("ALB US Equity","BS_ST_BORROW","1993-06-18","2026-05-02","Per=Y","Days=T","Dir=V")</f>
        <v>0</v>
      </c>
      <c r="I2">
        <f>BDH("ALB US Equity","BS_LT_BORROW","1993-06-18","2026-05-02","Per=Y","Days=T","Dir=V")</f>
        <v>0</v>
      </c>
      <c r="K2">
        <f>BDH("ALB US Equity","BS_CASH_NEAR_CASH_ITEM","1993-06-18","2026-05-02","Per=Y","Days=T","Dir=V")</f>
        <v>0</v>
      </c>
      <c r="M2">
        <f>BDH("ALB US Equity","BS_CUR_ASSET_REPORT","1993-06-18","2026-05-02","Per=Y","Days=T","Dir=V")</f>
        <v>0</v>
      </c>
      <c r="O2">
        <f>BDH("ALB US Equity","BS_CUR_LIAB","1993-06-18","2026-05-02","Per=Y","Days=T","Dir=V")</f>
        <v>0</v>
      </c>
      <c r="Q2">
        <f>BDH("ALB US Equity","BS_SHAREHOLDER_EQY_ENDING_PERIOD","1993-06-18","2026-05-02","Per=Y","Days=T","Dir=V")</f>
        <v>0</v>
      </c>
      <c r="S2">
        <f>BDH("ALB US Equity","BS_ACCT_NOTE_RCV","1993-06-18","2026-05-02","Per=Y","Days=T","Dir=V")</f>
        <v>0</v>
      </c>
      <c r="U2">
        <f>BDH("ALB US Equity","BS_INVENTORIES","1993-06-18","2026-05-02","Per=Y","Days=T","Dir=V")</f>
        <v>0</v>
      </c>
      <c r="W2">
        <f>BDH("ALB US Equity","WORKING_CAPITAL","1993-06-18","2026-05-02","Per=Y","Days=T","Dir=V")</f>
        <v>0</v>
      </c>
      <c r="Y2">
        <f>BDH("ALB US Equity","SALES_REV_TURN","1993-06-18","2026-05-02","Per=Y","Days=T","Dir=V")</f>
        <v>0</v>
      </c>
      <c r="AA2">
        <f>BDH("ALB US Equity","EBIT","1993-06-18","2026-05-02","Per=Y","Days=T","Dir=V")</f>
        <v>0</v>
      </c>
      <c r="AC2">
        <f>BDH("ALB US Equity","EBITDA","1993-06-18","2026-05-02","Per=Y","Days=T","Dir=V")</f>
        <v>0</v>
      </c>
      <c r="AE2">
        <f>BDH("ALB US Equity","NET_INCOME","1993-06-18","2026-05-02","Per=Y","Days=T","Dir=V")</f>
        <v>0</v>
      </c>
      <c r="AG2">
        <f>BDH("ALB US Equity","IS_INT_EXPENSE","1993-06-18","2026-05-02","Per=Y","Days=T","Dir=V")</f>
        <v>0</v>
      </c>
      <c r="AI2">
        <f>BDH("ALB US Equity","IS_DEPR_EXP","1993-06-18","2026-05-02","Per=Y","Days=T","Dir=V")</f>
        <v>0</v>
      </c>
      <c r="AK2">
        <f>BDH("ALB US Equity","CF_CASH_FROM_OPER","1993-06-18","2026-05-02","Per=Y","Days=T","Dir=V")</f>
        <v>0</v>
      </c>
      <c r="AM2">
        <f>BDH("ALB US Equity","CAPITAL_EXPEND","1993-06-18","2026-05-02","Per=Y","Days=T","Dir=V")</f>
        <v>0</v>
      </c>
      <c r="AO2">
        <f>BDH("ALB US Equity","CF_FREE_CASH_FLOW","1993-06-18","2026-05-02","Per=Y","Days=T","Dir=V")</f>
        <v>0</v>
      </c>
      <c r="AQ2">
        <f>BDH("ALB US Equity","PX_LAST","1993-06-18","2026-05-02","Per=M","Days=T","Dir=V")</f>
        <v>0</v>
      </c>
      <c r="AS2">
        <f>BDH("ALB US Equity","CUR_MKT_CAP","1993-06-18","2026-05-02","Per=M","Days=T","Dir=V")</f>
        <v>0</v>
      </c>
      <c r="AU2">
        <f>BDH("ALB US Equity","EQY_SH_OUT","1993-06-18","2026-05-02","Per=M","Days=T","Dir=V")</f>
        <v>0</v>
      </c>
      <c r="AW2">
        <f>BDH("ALB US Equity","PX_VOLUME","1993-06-18","2026-05-02","Per=M","Days=T","Dir=V")</f>
        <v>0</v>
      </c>
      <c r="AY2">
        <f>BDH("ALB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BDH("ALCO US Equity","BS_TOT_ASSET","1993-06-18","2026-05-02","Per=Y","Days=T","Dir=V")</f>
        <v>0</v>
      </c>
      <c r="C2">
        <f>BDH("ALCO US Equity","BS_TOT_LIAB2","1993-06-18","2026-05-02","Per=Y","Days=T","Dir=V")</f>
        <v>0</v>
      </c>
      <c r="E2">
        <f>BDH("ALCO US Equity","SHORT_AND_LONG_TERM_DEBT","1993-06-18","2026-05-02","Per=Y","Days=T","Dir=V")</f>
        <v>0</v>
      </c>
      <c r="G2">
        <f>BDH("ALCO US Equity","BS_ST_BORROW","1993-06-18","2026-05-02","Per=Y","Days=T","Dir=V")</f>
        <v>0</v>
      </c>
      <c r="I2">
        <f>BDH("ALCO US Equity","BS_LT_BORROW","1993-06-18","2026-05-02","Per=Y","Days=T","Dir=V")</f>
        <v>0</v>
      </c>
      <c r="K2">
        <f>BDH("ALCO US Equity","BS_CASH_NEAR_CASH_ITEM","1993-06-18","2026-05-02","Per=Y","Days=T","Dir=V")</f>
        <v>0</v>
      </c>
      <c r="M2">
        <f>BDH("ALCO US Equity","BS_CUR_ASSET_REPORT","1993-06-18","2026-05-02","Per=Y","Days=T","Dir=V")</f>
        <v>0</v>
      </c>
      <c r="O2">
        <f>BDH("ALCO US Equity","BS_CUR_LIAB","1993-06-18","2026-05-02","Per=Y","Days=T","Dir=V")</f>
        <v>0</v>
      </c>
      <c r="Q2">
        <f>BDH("ALCO US Equity","BS_SHAREHOLDER_EQY_ENDING_PERIOD","1993-06-18","2026-05-02","Per=Y","Days=T","Dir=V")</f>
        <v>0</v>
      </c>
      <c r="S2">
        <f>BDH("ALCO US Equity","BS_ACCT_NOTE_RCV","1993-06-18","2026-05-02","Per=Y","Days=T","Dir=V")</f>
        <v>0</v>
      </c>
      <c r="U2">
        <f>BDH("ALCO US Equity","BS_INVENTORIES","1993-06-18","2026-05-02","Per=Y","Days=T","Dir=V")</f>
        <v>0</v>
      </c>
      <c r="W2">
        <f>BDH("ALCO US Equity","WORKING_CAPITAL","1993-06-18","2026-05-02","Per=Y","Days=T","Dir=V")</f>
        <v>0</v>
      </c>
      <c r="Y2">
        <f>BDH("ALCO US Equity","SALES_REV_TURN","1993-06-18","2026-05-02","Per=Y","Days=T","Dir=V")</f>
        <v>0</v>
      </c>
      <c r="AA2">
        <f>BDH("ALCO US Equity","EBIT","1993-06-18","2026-05-02","Per=Y","Days=T","Dir=V")</f>
        <v>0</v>
      </c>
      <c r="AC2">
        <f>BDH("ALCO US Equity","EBITDA","1993-06-18","2026-05-02","Per=Y","Days=T","Dir=V")</f>
        <v>0</v>
      </c>
      <c r="AE2">
        <f>BDH("ALCO US Equity","NET_INCOME","1993-06-18","2026-05-02","Per=Y","Days=T","Dir=V")</f>
        <v>0</v>
      </c>
      <c r="AG2">
        <f>BDH("ALCO US Equity","IS_INT_EXPENSE","1993-06-18","2026-05-02","Per=Y","Days=T","Dir=V")</f>
        <v>0</v>
      </c>
      <c r="AI2">
        <f>BDH("ALCO US Equity","IS_DEPR_EXP","1993-06-18","2026-05-02","Per=Y","Days=T","Dir=V")</f>
        <v>0</v>
      </c>
      <c r="AK2">
        <f>BDH("ALCO US Equity","CF_CASH_FROM_OPER","1993-06-18","2026-05-02","Per=Y","Days=T","Dir=V")</f>
        <v>0</v>
      </c>
      <c r="AM2">
        <f>BDH("ALCO US Equity","CAPITAL_EXPEND","1993-06-18","2026-05-02","Per=Y","Days=T","Dir=V")</f>
        <v>0</v>
      </c>
      <c r="AO2">
        <f>BDH("ALCO US Equity","CF_FREE_CASH_FLOW","1993-06-18","2026-05-02","Per=Y","Days=T","Dir=V")</f>
        <v>0</v>
      </c>
      <c r="AQ2">
        <f>BDH("ALCO US Equity","PX_LAST","1993-06-18","2026-05-02","Per=M","Days=T","Dir=V")</f>
        <v>0</v>
      </c>
      <c r="AS2">
        <f>BDH("ALCO US Equity","CUR_MKT_CAP","1993-06-18","2026-05-02","Per=M","Days=T","Dir=V")</f>
        <v>0</v>
      </c>
      <c r="AU2">
        <f>BDH("ALCO US Equity","EQY_SH_OUT","1993-06-18","2026-05-02","Per=M","Days=T","Dir=V")</f>
        <v>0</v>
      </c>
      <c r="AW2">
        <f>BDH("ALCO US Equity","PX_VOLUME","1993-06-18","2026-05-02","Per=M","Days=T","Dir=V")</f>
        <v>0</v>
      </c>
      <c r="AY2">
        <f>BDH("ALCO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BDH("ALDX US Equity","BS_TOT_ASSET","1993-06-18","2026-05-02","Per=Y","Days=T","Dir=V")</f>
        <v>0</v>
      </c>
      <c r="C2">
        <f>BDH("ALDX US Equity","BS_TOT_LIAB2","1993-06-18","2026-05-02","Per=Y","Days=T","Dir=V")</f>
        <v>0</v>
      </c>
      <c r="E2">
        <f>BDH("ALDX US Equity","SHORT_AND_LONG_TERM_DEBT","1993-06-18","2026-05-02","Per=Y","Days=T","Dir=V")</f>
        <v>0</v>
      </c>
      <c r="G2">
        <f>BDH("ALDX US Equity","BS_ST_BORROW","1993-06-18","2026-05-02","Per=Y","Days=T","Dir=V")</f>
        <v>0</v>
      </c>
      <c r="I2">
        <f>BDH("ALDX US Equity","BS_LT_BORROW","1993-06-18","2026-05-02","Per=Y","Days=T","Dir=V")</f>
        <v>0</v>
      </c>
      <c r="K2">
        <f>BDH("ALDX US Equity","BS_CASH_NEAR_CASH_ITEM","1993-06-18","2026-05-02","Per=Y","Days=T","Dir=V")</f>
        <v>0</v>
      </c>
      <c r="M2">
        <f>BDH("ALDX US Equity","BS_CUR_ASSET_REPORT","1993-06-18","2026-05-02","Per=Y","Days=T","Dir=V")</f>
        <v>0</v>
      </c>
      <c r="O2">
        <f>BDH("ALDX US Equity","BS_CUR_LIAB","1993-06-18","2026-05-02","Per=Y","Days=T","Dir=V")</f>
        <v>0</v>
      </c>
      <c r="Q2">
        <f>BDH("ALDX US Equity","BS_SHAREHOLDER_EQY_ENDING_PERIOD","1993-06-18","2026-05-02","Per=Y","Days=T","Dir=V")</f>
        <v>0</v>
      </c>
      <c r="S2">
        <f>BDH("ALDX US Equity","BS_ACCT_NOTE_RCV","1993-06-18","2026-05-02","Per=Y","Days=T","Dir=V")</f>
        <v>0</v>
      </c>
      <c r="U2">
        <f>BDH("ALDX US Equity","BS_INVENTORIES","1993-06-18","2026-05-02","Per=Y","Days=T","Dir=V")</f>
        <v>0</v>
      </c>
      <c r="W2">
        <f>BDH("ALDX US Equity","WORKING_CAPITAL","1993-06-18","2026-05-02","Per=Y","Days=T","Dir=V")</f>
        <v>0</v>
      </c>
      <c r="Y2">
        <f>BDH("ALDX US Equity","SALES_REV_TURN","1993-06-18","2026-05-02","Per=Y","Days=T","Dir=V")</f>
        <v>0</v>
      </c>
      <c r="AA2">
        <f>BDH("ALDX US Equity","EBIT","1993-06-18","2026-05-02","Per=Y","Days=T","Dir=V")</f>
        <v>0</v>
      </c>
      <c r="AC2">
        <f>BDH("ALDX US Equity","EBITDA","1993-06-18","2026-05-02","Per=Y","Days=T","Dir=V")</f>
        <v>0</v>
      </c>
      <c r="AE2">
        <f>BDH("ALDX US Equity","NET_INCOME","1993-06-18","2026-05-02","Per=Y","Days=T","Dir=V")</f>
        <v>0</v>
      </c>
      <c r="AG2">
        <f>BDH("ALDX US Equity","IS_INT_EXPENSE","1993-06-18","2026-05-02","Per=Y","Days=T","Dir=V")</f>
        <v>0</v>
      </c>
      <c r="AI2">
        <f>BDH("ALDX US Equity","IS_DEPR_EXP","1993-06-18","2026-05-02","Per=Y","Days=T","Dir=V")</f>
        <v>0</v>
      </c>
      <c r="AK2">
        <f>BDH("ALDX US Equity","CF_CASH_FROM_OPER","1993-06-18","2026-05-02","Per=Y","Days=T","Dir=V")</f>
        <v>0</v>
      </c>
      <c r="AM2">
        <f>BDH("ALDX US Equity","CAPITAL_EXPEND","1993-06-18","2026-05-02","Per=Y","Days=T","Dir=V")</f>
        <v>0</v>
      </c>
      <c r="AO2">
        <f>BDH("ALDX US Equity","CF_FREE_CASH_FLOW","1993-06-18","2026-05-02","Per=Y","Days=T","Dir=V")</f>
        <v>0</v>
      </c>
      <c r="AQ2">
        <f>BDH("ALDX US Equity","PX_LAST","1993-06-18","2026-05-02","Per=M","Days=T","Dir=V")</f>
        <v>0</v>
      </c>
      <c r="AS2">
        <f>BDH("ALDX US Equity","CUR_MKT_CAP","1993-06-18","2026-05-02","Per=M","Days=T","Dir=V")</f>
        <v>0</v>
      </c>
      <c r="AU2">
        <f>BDH("ALDX US Equity","EQY_SH_OUT","1993-06-18","2026-05-02","Per=M","Days=T","Dir=V")</f>
        <v>0</v>
      </c>
      <c r="AW2">
        <f>BDH("ALDX US Equity","PX_VOLUME","1993-06-18","2026-05-02","Per=M","Days=T","Dir=V")</f>
        <v>0</v>
      </c>
      <c r="AY2">
        <f>BDH("ALDX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BDH("ALEC US Equity","BS_TOT_ASSET","1993-06-18","2026-05-02","Per=Y","Days=T","Dir=V")</f>
        <v>0</v>
      </c>
      <c r="C2">
        <f>BDH("ALEC US Equity","BS_TOT_LIAB2","1993-06-18","2026-05-02","Per=Y","Days=T","Dir=V")</f>
        <v>0</v>
      </c>
      <c r="E2">
        <f>BDH("ALEC US Equity","SHORT_AND_LONG_TERM_DEBT","1993-06-18","2026-05-02","Per=Y","Days=T","Dir=V")</f>
        <v>0</v>
      </c>
      <c r="G2">
        <f>BDH("ALEC US Equity","BS_ST_BORROW","1993-06-18","2026-05-02","Per=Y","Days=T","Dir=V")</f>
        <v>0</v>
      </c>
      <c r="I2">
        <f>BDH("ALEC US Equity","BS_LT_BORROW","1993-06-18","2026-05-02","Per=Y","Days=T","Dir=V")</f>
        <v>0</v>
      </c>
      <c r="K2">
        <f>BDH("ALEC US Equity","BS_CASH_NEAR_CASH_ITEM","1993-06-18","2026-05-02","Per=Y","Days=T","Dir=V")</f>
        <v>0</v>
      </c>
      <c r="M2">
        <f>BDH("ALEC US Equity","BS_CUR_ASSET_REPORT","1993-06-18","2026-05-02","Per=Y","Days=T","Dir=V")</f>
        <v>0</v>
      </c>
      <c r="O2">
        <f>BDH("ALEC US Equity","BS_CUR_LIAB","1993-06-18","2026-05-02","Per=Y","Days=T","Dir=V")</f>
        <v>0</v>
      </c>
      <c r="Q2">
        <f>BDH("ALEC US Equity","BS_SHAREHOLDER_EQY_ENDING_PERIOD","1993-06-18","2026-05-02","Per=Y","Days=T","Dir=V")</f>
        <v>0</v>
      </c>
      <c r="S2">
        <f>BDH("ALEC US Equity","BS_ACCT_NOTE_RCV","1993-06-18","2026-05-02","Per=Y","Days=T","Dir=V")</f>
        <v>0</v>
      </c>
      <c r="U2">
        <f>BDH("ALEC US Equity","BS_INVENTORIES","1993-06-18","2026-05-02","Per=Y","Days=T","Dir=V")</f>
        <v>0</v>
      </c>
      <c r="W2">
        <f>BDH("ALEC US Equity","WORKING_CAPITAL","1993-06-18","2026-05-02","Per=Y","Days=T","Dir=V")</f>
        <v>0</v>
      </c>
      <c r="Y2">
        <f>BDH("ALEC US Equity","SALES_REV_TURN","1993-06-18","2026-05-02","Per=Y","Days=T","Dir=V")</f>
        <v>0</v>
      </c>
      <c r="AA2">
        <f>BDH("ALEC US Equity","EBIT","1993-06-18","2026-05-02","Per=Y","Days=T","Dir=V")</f>
        <v>0</v>
      </c>
      <c r="AC2">
        <f>BDH("ALEC US Equity","EBITDA","1993-06-18","2026-05-02","Per=Y","Days=T","Dir=V")</f>
        <v>0</v>
      </c>
      <c r="AE2">
        <f>BDH("ALEC US Equity","NET_INCOME","1993-06-18","2026-05-02","Per=Y","Days=T","Dir=V")</f>
        <v>0</v>
      </c>
      <c r="AG2">
        <f>BDH("ALEC US Equity","IS_INT_EXPENSE","1993-06-18","2026-05-02","Per=Y","Days=T","Dir=V")</f>
        <v>0</v>
      </c>
      <c r="AI2">
        <f>BDH("ALEC US Equity","IS_DEPR_EXP","1993-06-18","2026-05-02","Per=Y","Days=T","Dir=V")</f>
        <v>0</v>
      </c>
      <c r="AK2">
        <f>BDH("ALEC US Equity","CF_CASH_FROM_OPER","1993-06-18","2026-05-02","Per=Y","Days=T","Dir=V")</f>
        <v>0</v>
      </c>
      <c r="AM2">
        <f>BDH("ALEC US Equity","CAPITAL_EXPEND","1993-06-18","2026-05-02","Per=Y","Days=T","Dir=V")</f>
        <v>0</v>
      </c>
      <c r="AO2">
        <f>BDH("ALEC US Equity","CF_FREE_CASH_FLOW","1993-06-18","2026-05-02","Per=Y","Days=T","Dir=V")</f>
        <v>0</v>
      </c>
      <c r="AQ2">
        <f>BDH("ALEC US Equity","PX_LAST","1993-06-18","2026-05-02","Per=M","Days=T","Dir=V")</f>
        <v>0</v>
      </c>
      <c r="AS2">
        <f>BDH("ALEC US Equity","CUR_MKT_CAP","1993-06-18","2026-05-02","Per=M","Days=T","Dir=V")</f>
        <v>0</v>
      </c>
      <c r="AU2">
        <f>BDH("ALEC US Equity","EQY_SH_OUT","1993-06-18","2026-05-02","Per=M","Days=T","Dir=V")</f>
        <v>0</v>
      </c>
      <c r="AW2">
        <f>BDH("ALEC US Equity","PX_VOLUME","1993-06-18","2026-05-02","Per=M","Days=T","Dir=V")</f>
        <v>0</v>
      </c>
      <c r="AY2">
        <f>BDH("ALEC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BDH("ALG US Equity","BS_TOT_ASSET","1993-06-18","2026-05-02","Per=Y","Days=T","Dir=V")</f>
        <v>0</v>
      </c>
      <c r="C2">
        <f>BDH("ALG US Equity","BS_TOT_LIAB2","1993-06-18","2026-05-02","Per=Y","Days=T","Dir=V")</f>
        <v>0</v>
      </c>
      <c r="E2">
        <f>BDH("ALG US Equity","SHORT_AND_LONG_TERM_DEBT","1993-06-18","2026-05-02","Per=Y","Days=T","Dir=V")</f>
        <v>0</v>
      </c>
      <c r="G2">
        <f>BDH("ALG US Equity","BS_ST_BORROW","1993-06-18","2026-05-02","Per=Y","Days=T","Dir=V")</f>
        <v>0</v>
      </c>
      <c r="I2">
        <f>BDH("ALG US Equity","BS_LT_BORROW","1993-06-18","2026-05-02","Per=Y","Days=T","Dir=V")</f>
        <v>0</v>
      </c>
      <c r="K2">
        <f>BDH("ALG US Equity","BS_CASH_NEAR_CASH_ITEM","1993-06-18","2026-05-02","Per=Y","Days=T","Dir=V")</f>
        <v>0</v>
      </c>
      <c r="M2">
        <f>BDH("ALG US Equity","BS_CUR_ASSET_REPORT","1993-06-18","2026-05-02","Per=Y","Days=T","Dir=V")</f>
        <v>0</v>
      </c>
      <c r="O2">
        <f>BDH("ALG US Equity","BS_CUR_LIAB","1993-06-18","2026-05-02","Per=Y","Days=T","Dir=V")</f>
        <v>0</v>
      </c>
      <c r="Q2">
        <f>BDH("ALG US Equity","BS_SHAREHOLDER_EQY_ENDING_PERIOD","1993-06-18","2026-05-02","Per=Y","Days=T","Dir=V")</f>
        <v>0</v>
      </c>
      <c r="S2">
        <f>BDH("ALG US Equity","BS_ACCT_NOTE_RCV","1993-06-18","2026-05-02","Per=Y","Days=T","Dir=V")</f>
        <v>0</v>
      </c>
      <c r="U2">
        <f>BDH("ALG US Equity","BS_INVENTORIES","1993-06-18","2026-05-02","Per=Y","Days=T","Dir=V")</f>
        <v>0</v>
      </c>
      <c r="W2">
        <f>BDH("ALG US Equity","WORKING_CAPITAL","1993-06-18","2026-05-02","Per=Y","Days=T","Dir=V")</f>
        <v>0</v>
      </c>
      <c r="Y2">
        <f>BDH("ALG US Equity","SALES_REV_TURN","1993-06-18","2026-05-02","Per=Y","Days=T","Dir=V")</f>
        <v>0</v>
      </c>
      <c r="AA2">
        <f>BDH("ALG US Equity","EBIT","1993-06-18","2026-05-02","Per=Y","Days=T","Dir=V")</f>
        <v>0</v>
      </c>
      <c r="AC2">
        <f>BDH("ALG US Equity","EBITDA","1993-06-18","2026-05-02","Per=Y","Days=T","Dir=V")</f>
        <v>0</v>
      </c>
      <c r="AE2">
        <f>BDH("ALG US Equity","NET_INCOME","1993-06-18","2026-05-02","Per=Y","Days=T","Dir=V")</f>
        <v>0</v>
      </c>
      <c r="AG2">
        <f>BDH("ALG US Equity","IS_INT_EXPENSE","1993-06-18","2026-05-02","Per=Y","Days=T","Dir=V")</f>
        <v>0</v>
      </c>
      <c r="AI2">
        <f>BDH("ALG US Equity","IS_DEPR_EXP","1993-06-18","2026-05-02","Per=Y","Days=T","Dir=V")</f>
        <v>0</v>
      </c>
      <c r="AK2">
        <f>BDH("ALG US Equity","CF_CASH_FROM_OPER","1993-06-18","2026-05-02","Per=Y","Days=T","Dir=V")</f>
        <v>0</v>
      </c>
      <c r="AM2">
        <f>BDH("ALG US Equity","CAPITAL_EXPEND","1993-06-18","2026-05-02","Per=Y","Days=T","Dir=V")</f>
        <v>0</v>
      </c>
      <c r="AO2">
        <f>BDH("ALG US Equity","CF_FREE_CASH_FLOW","1993-06-18","2026-05-02","Per=Y","Days=T","Dir=V")</f>
        <v>0</v>
      </c>
      <c r="AQ2">
        <f>BDH("ALG US Equity","PX_LAST","1993-06-18","2026-05-02","Per=M","Days=T","Dir=V")</f>
        <v>0</v>
      </c>
      <c r="AS2">
        <f>BDH("ALG US Equity","CUR_MKT_CAP","1993-06-18","2026-05-02","Per=M","Days=T","Dir=V")</f>
        <v>0</v>
      </c>
      <c r="AU2">
        <f>BDH("ALG US Equity","EQY_SH_OUT","1993-06-18","2026-05-02","Per=M","Days=T","Dir=V")</f>
        <v>0</v>
      </c>
      <c r="AW2">
        <f>BDH("ALG US Equity","PX_VOLUME","1993-06-18","2026-05-02","Per=M","Days=T","Dir=V")</f>
        <v>0</v>
      </c>
      <c r="AY2">
        <f>BDH("ALG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BDH("ALGM US Equity","BS_TOT_ASSET","1993-06-18","2026-05-02","Per=Y","Days=T","Dir=V")</f>
        <v>0</v>
      </c>
      <c r="C2">
        <f>BDH("ALGM US Equity","BS_TOT_LIAB2","1993-06-18","2026-05-02","Per=Y","Days=T","Dir=V")</f>
        <v>0</v>
      </c>
      <c r="E2">
        <f>BDH("ALGM US Equity","SHORT_AND_LONG_TERM_DEBT","1993-06-18","2026-05-02","Per=Y","Days=T","Dir=V")</f>
        <v>0</v>
      </c>
      <c r="G2">
        <f>BDH("ALGM US Equity","BS_ST_BORROW","1993-06-18","2026-05-02","Per=Y","Days=T","Dir=V")</f>
        <v>0</v>
      </c>
      <c r="I2">
        <f>BDH("ALGM US Equity","BS_LT_BORROW","1993-06-18","2026-05-02","Per=Y","Days=T","Dir=V")</f>
        <v>0</v>
      </c>
      <c r="K2">
        <f>BDH("ALGM US Equity","BS_CASH_NEAR_CASH_ITEM","1993-06-18","2026-05-02","Per=Y","Days=T","Dir=V")</f>
        <v>0</v>
      </c>
      <c r="M2">
        <f>BDH("ALGM US Equity","BS_CUR_ASSET_REPORT","1993-06-18","2026-05-02","Per=Y","Days=T","Dir=V")</f>
        <v>0</v>
      </c>
      <c r="O2">
        <f>BDH("ALGM US Equity","BS_CUR_LIAB","1993-06-18","2026-05-02","Per=Y","Days=T","Dir=V")</f>
        <v>0</v>
      </c>
      <c r="Q2">
        <f>BDH("ALGM US Equity","BS_SHAREHOLDER_EQY_ENDING_PERIOD","1993-06-18","2026-05-02","Per=Y","Days=T","Dir=V")</f>
        <v>0</v>
      </c>
      <c r="S2">
        <f>BDH("ALGM US Equity","BS_ACCT_NOTE_RCV","1993-06-18","2026-05-02","Per=Y","Days=T","Dir=V")</f>
        <v>0</v>
      </c>
      <c r="U2">
        <f>BDH("ALGM US Equity","BS_INVENTORIES","1993-06-18","2026-05-02","Per=Y","Days=T","Dir=V")</f>
        <v>0</v>
      </c>
      <c r="W2">
        <f>BDH("ALGM US Equity","WORKING_CAPITAL","1993-06-18","2026-05-02","Per=Y","Days=T","Dir=V")</f>
        <v>0</v>
      </c>
      <c r="Y2">
        <f>BDH("ALGM US Equity","SALES_REV_TURN","1993-06-18","2026-05-02","Per=Y","Days=T","Dir=V")</f>
        <v>0</v>
      </c>
      <c r="AA2">
        <f>BDH("ALGM US Equity","EBIT","1993-06-18","2026-05-02","Per=Y","Days=T","Dir=V")</f>
        <v>0</v>
      </c>
      <c r="AC2">
        <f>BDH("ALGM US Equity","EBITDA","1993-06-18","2026-05-02","Per=Y","Days=T","Dir=V")</f>
        <v>0</v>
      </c>
      <c r="AE2">
        <f>BDH("ALGM US Equity","NET_INCOME","1993-06-18","2026-05-02","Per=Y","Days=T","Dir=V")</f>
        <v>0</v>
      </c>
      <c r="AG2">
        <f>BDH("ALGM US Equity","IS_INT_EXPENSE","1993-06-18","2026-05-02","Per=Y","Days=T","Dir=V")</f>
        <v>0</v>
      </c>
      <c r="AI2">
        <f>BDH("ALGM US Equity","IS_DEPR_EXP","1993-06-18","2026-05-02","Per=Y","Days=T","Dir=V")</f>
        <v>0</v>
      </c>
      <c r="AK2">
        <f>BDH("ALGM US Equity","CF_CASH_FROM_OPER","1993-06-18","2026-05-02","Per=Y","Days=T","Dir=V")</f>
        <v>0</v>
      </c>
      <c r="AM2">
        <f>BDH("ALGM US Equity","CAPITAL_EXPEND","1993-06-18","2026-05-02","Per=Y","Days=T","Dir=V")</f>
        <v>0</v>
      </c>
      <c r="AO2">
        <f>BDH("ALGM US Equity","CF_FREE_CASH_FLOW","1993-06-18","2026-05-02","Per=Y","Days=T","Dir=V")</f>
        <v>0</v>
      </c>
      <c r="AQ2">
        <f>BDH("ALGM US Equity","PX_LAST","1993-06-18","2026-05-02","Per=M","Days=T","Dir=V")</f>
        <v>0</v>
      </c>
      <c r="AS2">
        <f>BDH("ALGM US Equity","CUR_MKT_CAP","1993-06-18","2026-05-02","Per=M","Days=T","Dir=V")</f>
        <v>0</v>
      </c>
      <c r="AU2">
        <f>BDH("ALGM US Equity","EQY_SH_OUT","1993-06-18","2026-05-02","Per=M","Days=T","Dir=V")</f>
        <v>0</v>
      </c>
      <c r="AW2">
        <f>BDH("ALGM US Equity","PX_VOLUME","1993-06-18","2026-05-02","Per=M","Days=T","Dir=V")</f>
        <v>0</v>
      </c>
      <c r="AY2">
        <f>BDH("ALGM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BDH("ALGN US Equity","BS_TOT_ASSET","1993-06-18","2026-05-02","Per=Y","Days=T","Dir=V")</f>
        <v>0</v>
      </c>
      <c r="C2">
        <f>BDH("ALGN US Equity","BS_TOT_LIAB2","1993-06-18","2026-05-02","Per=Y","Days=T","Dir=V")</f>
        <v>0</v>
      </c>
      <c r="E2">
        <f>BDH("ALGN US Equity","SHORT_AND_LONG_TERM_DEBT","1993-06-18","2026-05-02","Per=Y","Days=T","Dir=V")</f>
        <v>0</v>
      </c>
      <c r="G2">
        <f>BDH("ALGN US Equity","BS_ST_BORROW","1993-06-18","2026-05-02","Per=Y","Days=T","Dir=V")</f>
        <v>0</v>
      </c>
      <c r="I2">
        <f>BDH("ALGN US Equity","BS_LT_BORROW","1993-06-18","2026-05-02","Per=Y","Days=T","Dir=V")</f>
        <v>0</v>
      </c>
      <c r="K2">
        <f>BDH("ALGN US Equity","BS_CASH_NEAR_CASH_ITEM","1993-06-18","2026-05-02","Per=Y","Days=T","Dir=V")</f>
        <v>0</v>
      </c>
      <c r="M2">
        <f>BDH("ALGN US Equity","BS_CUR_ASSET_REPORT","1993-06-18","2026-05-02","Per=Y","Days=T","Dir=V")</f>
        <v>0</v>
      </c>
      <c r="O2">
        <f>BDH("ALGN US Equity","BS_CUR_LIAB","1993-06-18","2026-05-02","Per=Y","Days=T","Dir=V")</f>
        <v>0</v>
      </c>
      <c r="Q2">
        <f>BDH("ALGN US Equity","BS_SHAREHOLDER_EQY_ENDING_PERIOD","1993-06-18","2026-05-02","Per=Y","Days=T","Dir=V")</f>
        <v>0</v>
      </c>
      <c r="S2">
        <f>BDH("ALGN US Equity","BS_ACCT_NOTE_RCV","1993-06-18","2026-05-02","Per=Y","Days=T","Dir=V")</f>
        <v>0</v>
      </c>
      <c r="U2">
        <f>BDH("ALGN US Equity","BS_INVENTORIES","1993-06-18","2026-05-02","Per=Y","Days=T","Dir=V")</f>
        <v>0</v>
      </c>
      <c r="W2">
        <f>BDH("ALGN US Equity","WORKING_CAPITAL","1993-06-18","2026-05-02","Per=Y","Days=T","Dir=V")</f>
        <v>0</v>
      </c>
      <c r="Y2">
        <f>BDH("ALGN US Equity","SALES_REV_TURN","1993-06-18","2026-05-02","Per=Y","Days=T","Dir=V")</f>
        <v>0</v>
      </c>
      <c r="AA2">
        <f>BDH("ALGN US Equity","EBIT","1993-06-18","2026-05-02","Per=Y","Days=T","Dir=V")</f>
        <v>0</v>
      </c>
      <c r="AC2">
        <f>BDH("ALGN US Equity","EBITDA","1993-06-18","2026-05-02","Per=Y","Days=T","Dir=V")</f>
        <v>0</v>
      </c>
      <c r="AE2">
        <f>BDH("ALGN US Equity","NET_INCOME","1993-06-18","2026-05-02","Per=Y","Days=T","Dir=V")</f>
        <v>0</v>
      </c>
      <c r="AG2">
        <f>BDH("ALGN US Equity","IS_INT_EXPENSE","1993-06-18","2026-05-02","Per=Y","Days=T","Dir=V")</f>
        <v>0</v>
      </c>
      <c r="AI2">
        <f>BDH("ALGN US Equity","IS_DEPR_EXP","1993-06-18","2026-05-02","Per=Y","Days=T","Dir=V")</f>
        <v>0</v>
      </c>
      <c r="AK2">
        <f>BDH("ALGN US Equity","CF_CASH_FROM_OPER","1993-06-18","2026-05-02","Per=Y","Days=T","Dir=V")</f>
        <v>0</v>
      </c>
      <c r="AM2">
        <f>BDH("ALGN US Equity","CAPITAL_EXPEND","1993-06-18","2026-05-02","Per=Y","Days=T","Dir=V")</f>
        <v>0</v>
      </c>
      <c r="AO2">
        <f>BDH("ALGN US Equity","CF_FREE_CASH_FLOW","1993-06-18","2026-05-02","Per=Y","Days=T","Dir=V")</f>
        <v>0</v>
      </c>
      <c r="AQ2">
        <f>BDH("ALGN US Equity","PX_LAST","1993-06-18","2026-05-02","Per=M","Days=T","Dir=V")</f>
        <v>0</v>
      </c>
      <c r="AS2">
        <f>BDH("ALGN US Equity","CUR_MKT_CAP","1993-06-18","2026-05-02","Per=M","Days=T","Dir=V")</f>
        <v>0</v>
      </c>
      <c r="AU2">
        <f>BDH("ALGN US Equity","EQY_SH_OUT","1993-06-18","2026-05-02","Per=M","Days=T","Dir=V")</f>
        <v>0</v>
      </c>
      <c r="AW2">
        <f>BDH("ALGN US Equity","PX_VOLUME","1993-06-18","2026-05-02","Per=M","Days=T","Dir=V")</f>
        <v>0</v>
      </c>
      <c r="AY2">
        <f>BDH("ALGN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BDH("ALGS US Equity","BS_TOT_ASSET","1993-06-18","2026-05-02","Per=Y","Days=T","Dir=V")</f>
        <v>0</v>
      </c>
      <c r="C2">
        <f>BDH("ALGS US Equity","BS_TOT_LIAB2","1993-06-18","2026-05-02","Per=Y","Days=T","Dir=V")</f>
        <v>0</v>
      </c>
      <c r="E2">
        <f>BDH("ALGS US Equity","SHORT_AND_LONG_TERM_DEBT","1993-06-18","2026-05-02","Per=Y","Days=T","Dir=V")</f>
        <v>0</v>
      </c>
      <c r="G2">
        <f>BDH("ALGS US Equity","BS_ST_BORROW","1993-06-18","2026-05-02","Per=Y","Days=T","Dir=V")</f>
        <v>0</v>
      </c>
      <c r="I2">
        <f>BDH("ALGS US Equity","BS_LT_BORROW","1993-06-18","2026-05-02","Per=Y","Days=T","Dir=V")</f>
        <v>0</v>
      </c>
      <c r="K2">
        <f>BDH("ALGS US Equity","BS_CASH_NEAR_CASH_ITEM","1993-06-18","2026-05-02","Per=Y","Days=T","Dir=V")</f>
        <v>0</v>
      </c>
      <c r="M2">
        <f>BDH("ALGS US Equity","BS_CUR_ASSET_REPORT","1993-06-18","2026-05-02","Per=Y","Days=T","Dir=V")</f>
        <v>0</v>
      </c>
      <c r="O2">
        <f>BDH("ALGS US Equity","BS_CUR_LIAB","1993-06-18","2026-05-02","Per=Y","Days=T","Dir=V")</f>
        <v>0</v>
      </c>
      <c r="Q2">
        <f>BDH("ALGS US Equity","BS_SHAREHOLDER_EQY_ENDING_PERIOD","1993-06-18","2026-05-02","Per=Y","Days=T","Dir=V")</f>
        <v>0</v>
      </c>
      <c r="S2">
        <f>BDH("ALGS US Equity","BS_ACCT_NOTE_RCV","1993-06-18","2026-05-02","Per=Y","Days=T","Dir=V")</f>
        <v>0</v>
      </c>
      <c r="U2">
        <f>BDH("ALGS US Equity","BS_INVENTORIES","1993-06-18","2026-05-02","Per=Y","Days=T","Dir=V")</f>
        <v>0</v>
      </c>
      <c r="W2">
        <f>BDH("ALGS US Equity","WORKING_CAPITAL","1993-06-18","2026-05-02","Per=Y","Days=T","Dir=V")</f>
        <v>0</v>
      </c>
      <c r="Y2">
        <f>BDH("ALGS US Equity","SALES_REV_TURN","1993-06-18","2026-05-02","Per=Y","Days=T","Dir=V")</f>
        <v>0</v>
      </c>
      <c r="AA2">
        <f>BDH("ALGS US Equity","EBIT","1993-06-18","2026-05-02","Per=Y","Days=T","Dir=V")</f>
        <v>0</v>
      </c>
      <c r="AC2">
        <f>BDH("ALGS US Equity","EBITDA","1993-06-18","2026-05-02","Per=Y","Days=T","Dir=V")</f>
        <v>0</v>
      </c>
      <c r="AE2">
        <f>BDH("ALGS US Equity","NET_INCOME","1993-06-18","2026-05-02","Per=Y","Days=T","Dir=V")</f>
        <v>0</v>
      </c>
      <c r="AG2">
        <f>BDH("ALGS US Equity","IS_INT_EXPENSE","1993-06-18","2026-05-02","Per=Y","Days=T","Dir=V")</f>
        <v>0</v>
      </c>
      <c r="AI2">
        <f>BDH("ALGS US Equity","IS_DEPR_EXP","1993-06-18","2026-05-02","Per=Y","Days=T","Dir=V")</f>
        <v>0</v>
      </c>
      <c r="AK2">
        <f>BDH("ALGS US Equity","CF_CASH_FROM_OPER","1993-06-18","2026-05-02","Per=Y","Days=T","Dir=V")</f>
        <v>0</v>
      </c>
      <c r="AM2">
        <f>BDH("ALGS US Equity","CAPITAL_EXPEND","1993-06-18","2026-05-02","Per=Y","Days=T","Dir=V")</f>
        <v>0</v>
      </c>
      <c r="AO2">
        <f>BDH("ALGS US Equity","CF_FREE_CASH_FLOW","1993-06-18","2026-05-02","Per=Y","Days=T","Dir=V")</f>
        <v>0</v>
      </c>
      <c r="AQ2">
        <f>BDH("ALGS US Equity","PX_LAST","1993-06-18","2026-05-02","Per=M","Days=T","Dir=V")</f>
        <v>0</v>
      </c>
      <c r="AS2">
        <f>BDH("ALGS US Equity","CUR_MKT_CAP","1993-06-18","2026-05-02","Per=M","Days=T","Dir=V")</f>
        <v>0</v>
      </c>
      <c r="AU2">
        <f>BDH("ALGS US Equity","EQY_SH_OUT","1993-06-18","2026-05-02","Per=M","Days=T","Dir=V")</f>
        <v>0</v>
      </c>
      <c r="AW2">
        <f>BDH("ALGS US Equity","PX_VOLUME","1993-06-18","2026-05-02","Per=M","Days=T","Dir=V")</f>
        <v>0</v>
      </c>
      <c r="AY2">
        <f>BDH("ALGS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BDH("ALGT US Equity","BS_TOT_ASSET","1993-06-18","2026-05-02","Per=Y","Days=T","Dir=V")</f>
        <v>0</v>
      </c>
      <c r="C2">
        <f>BDH("ALGT US Equity","BS_TOT_LIAB2","1993-06-18","2026-05-02","Per=Y","Days=T","Dir=V")</f>
        <v>0</v>
      </c>
      <c r="E2">
        <f>BDH("ALGT US Equity","SHORT_AND_LONG_TERM_DEBT","1993-06-18","2026-05-02","Per=Y","Days=T","Dir=V")</f>
        <v>0</v>
      </c>
      <c r="G2">
        <f>BDH("ALGT US Equity","BS_ST_BORROW","1993-06-18","2026-05-02","Per=Y","Days=T","Dir=V")</f>
        <v>0</v>
      </c>
      <c r="I2">
        <f>BDH("ALGT US Equity","BS_LT_BORROW","1993-06-18","2026-05-02","Per=Y","Days=T","Dir=V")</f>
        <v>0</v>
      </c>
      <c r="K2">
        <f>BDH("ALGT US Equity","BS_CASH_NEAR_CASH_ITEM","1993-06-18","2026-05-02","Per=Y","Days=T","Dir=V")</f>
        <v>0</v>
      </c>
      <c r="M2">
        <f>BDH("ALGT US Equity","BS_CUR_ASSET_REPORT","1993-06-18","2026-05-02","Per=Y","Days=T","Dir=V")</f>
        <v>0</v>
      </c>
      <c r="O2">
        <f>BDH("ALGT US Equity","BS_CUR_LIAB","1993-06-18","2026-05-02","Per=Y","Days=T","Dir=V")</f>
        <v>0</v>
      </c>
      <c r="Q2">
        <f>BDH("ALGT US Equity","BS_SHAREHOLDER_EQY_ENDING_PERIOD","1993-06-18","2026-05-02","Per=Y","Days=T","Dir=V")</f>
        <v>0</v>
      </c>
      <c r="S2">
        <f>BDH("ALGT US Equity","BS_ACCT_NOTE_RCV","1993-06-18","2026-05-02","Per=Y","Days=T","Dir=V")</f>
        <v>0</v>
      </c>
      <c r="U2">
        <f>BDH("ALGT US Equity","BS_INVENTORIES","1993-06-18","2026-05-02","Per=Y","Days=T","Dir=V")</f>
        <v>0</v>
      </c>
      <c r="W2">
        <f>BDH("ALGT US Equity","WORKING_CAPITAL","1993-06-18","2026-05-02","Per=Y","Days=T","Dir=V")</f>
        <v>0</v>
      </c>
      <c r="Y2">
        <f>BDH("ALGT US Equity","SALES_REV_TURN","1993-06-18","2026-05-02","Per=Y","Days=T","Dir=V")</f>
        <v>0</v>
      </c>
      <c r="AA2">
        <f>BDH("ALGT US Equity","EBIT","1993-06-18","2026-05-02","Per=Y","Days=T","Dir=V")</f>
        <v>0</v>
      </c>
      <c r="AC2">
        <f>BDH("ALGT US Equity","EBITDA","1993-06-18","2026-05-02","Per=Y","Days=T","Dir=V")</f>
        <v>0</v>
      </c>
      <c r="AE2">
        <f>BDH("ALGT US Equity","NET_INCOME","1993-06-18","2026-05-02","Per=Y","Days=T","Dir=V")</f>
        <v>0</v>
      </c>
      <c r="AG2">
        <f>BDH("ALGT US Equity","IS_INT_EXPENSE","1993-06-18","2026-05-02","Per=Y","Days=T","Dir=V")</f>
        <v>0</v>
      </c>
      <c r="AI2">
        <f>BDH("ALGT US Equity","IS_DEPR_EXP","1993-06-18","2026-05-02","Per=Y","Days=T","Dir=V")</f>
        <v>0</v>
      </c>
      <c r="AK2">
        <f>BDH("ALGT US Equity","CF_CASH_FROM_OPER","1993-06-18","2026-05-02","Per=Y","Days=T","Dir=V")</f>
        <v>0</v>
      </c>
      <c r="AM2">
        <f>BDH("ALGT US Equity","CAPITAL_EXPEND","1993-06-18","2026-05-02","Per=Y","Days=T","Dir=V")</f>
        <v>0</v>
      </c>
      <c r="AO2">
        <f>BDH("ALGT US Equity","CF_FREE_CASH_FLOW","1993-06-18","2026-05-02","Per=Y","Days=T","Dir=V")</f>
        <v>0</v>
      </c>
      <c r="AQ2">
        <f>BDH("ALGT US Equity","PX_LAST","1993-06-18","2026-05-02","Per=M","Days=T","Dir=V")</f>
        <v>0</v>
      </c>
      <c r="AS2">
        <f>BDH("ALGT US Equity","CUR_MKT_CAP","1993-06-18","2026-05-02","Per=M","Days=T","Dir=V")</f>
        <v>0</v>
      </c>
      <c r="AU2">
        <f>BDH("ALGT US Equity","EQY_SH_OUT","1993-06-18","2026-05-02","Per=M","Days=T","Dir=V")</f>
        <v>0</v>
      </c>
      <c r="AW2">
        <f>BDH("ALGT US Equity","PX_VOLUME","1993-06-18","2026-05-02","Per=M","Days=T","Dir=V")</f>
        <v>0</v>
      </c>
      <c r="AY2">
        <f>BDH("ALGT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BDH("ALH US Equity","BS_TOT_ASSET","1993-06-18","2026-05-02","Per=Y","Days=T","Dir=V")</f>
        <v>0</v>
      </c>
      <c r="C2">
        <f>BDH("ALH US Equity","BS_TOT_LIAB2","1993-06-18","2026-05-02","Per=Y","Days=T","Dir=V")</f>
        <v>0</v>
      </c>
      <c r="E2">
        <f>BDH("ALH US Equity","SHORT_AND_LONG_TERM_DEBT","1993-06-18","2026-05-02","Per=Y","Days=T","Dir=V")</f>
        <v>0</v>
      </c>
      <c r="G2">
        <f>BDH("ALH US Equity","BS_ST_BORROW","1993-06-18","2026-05-02","Per=Y","Days=T","Dir=V")</f>
        <v>0</v>
      </c>
      <c r="I2">
        <f>BDH("ALH US Equity","BS_LT_BORROW","1993-06-18","2026-05-02","Per=Y","Days=T","Dir=V")</f>
        <v>0</v>
      </c>
      <c r="K2">
        <f>BDH("ALH US Equity","BS_CASH_NEAR_CASH_ITEM","1993-06-18","2026-05-02","Per=Y","Days=T","Dir=V")</f>
        <v>0</v>
      </c>
      <c r="M2">
        <f>BDH("ALH US Equity","BS_CUR_ASSET_REPORT","1993-06-18","2026-05-02","Per=Y","Days=T","Dir=V")</f>
        <v>0</v>
      </c>
      <c r="O2">
        <f>BDH("ALH US Equity","BS_CUR_LIAB","1993-06-18","2026-05-02","Per=Y","Days=T","Dir=V")</f>
        <v>0</v>
      </c>
      <c r="Q2">
        <f>BDH("ALH US Equity","BS_SHAREHOLDER_EQY_ENDING_PERIOD","1993-06-18","2026-05-02","Per=Y","Days=T","Dir=V")</f>
        <v>0</v>
      </c>
      <c r="S2">
        <f>BDH("ALH US Equity","BS_ACCT_NOTE_RCV","1993-06-18","2026-05-02","Per=Y","Days=T","Dir=V")</f>
        <v>0</v>
      </c>
      <c r="U2">
        <f>BDH("ALH US Equity","BS_INVENTORIES","1993-06-18","2026-05-02","Per=Y","Days=T","Dir=V")</f>
        <v>0</v>
      </c>
      <c r="W2">
        <f>BDH("ALH US Equity","WORKING_CAPITAL","1993-06-18","2026-05-02","Per=Y","Days=T","Dir=V")</f>
        <v>0</v>
      </c>
      <c r="Y2">
        <f>BDH("ALH US Equity","SALES_REV_TURN","1993-06-18","2026-05-02","Per=Y","Days=T","Dir=V")</f>
        <v>0</v>
      </c>
      <c r="AA2">
        <f>BDH("ALH US Equity","EBIT","1993-06-18","2026-05-02","Per=Y","Days=T","Dir=V")</f>
        <v>0</v>
      </c>
      <c r="AC2">
        <f>BDH("ALH US Equity","EBITDA","1993-06-18","2026-05-02","Per=Y","Days=T","Dir=V")</f>
        <v>0</v>
      </c>
      <c r="AE2">
        <f>BDH("ALH US Equity","NET_INCOME","1993-06-18","2026-05-02","Per=Y","Days=T","Dir=V")</f>
        <v>0</v>
      </c>
      <c r="AG2">
        <f>BDH("ALH US Equity","IS_INT_EXPENSE","1993-06-18","2026-05-02","Per=Y","Days=T","Dir=V")</f>
        <v>0</v>
      </c>
      <c r="AI2">
        <f>BDH("ALH US Equity","IS_DEPR_EXP","1993-06-18","2026-05-02","Per=Y","Days=T","Dir=V")</f>
        <v>0</v>
      </c>
      <c r="AK2">
        <f>BDH("ALH US Equity","CF_CASH_FROM_OPER","1993-06-18","2026-05-02","Per=Y","Days=T","Dir=V")</f>
        <v>0</v>
      </c>
      <c r="AM2">
        <f>BDH("ALH US Equity","CAPITAL_EXPEND","1993-06-18","2026-05-02","Per=Y","Days=T","Dir=V")</f>
        <v>0</v>
      </c>
      <c r="AO2">
        <f>BDH("ALH US Equity","CF_FREE_CASH_FLOW","1993-06-18","2026-05-02","Per=Y","Days=T","Dir=V")</f>
        <v>0</v>
      </c>
      <c r="AQ2">
        <f>BDH("ALH US Equity","PX_LAST","1993-06-18","2026-05-02","Per=M","Days=T","Dir=V")</f>
        <v>0</v>
      </c>
      <c r="AS2">
        <f>BDH("ALH US Equity","CUR_MKT_CAP","1993-06-18","2026-05-02","Per=M","Days=T","Dir=V")</f>
        <v>0</v>
      </c>
      <c r="AU2">
        <f>BDH("ALH US Equity","EQY_SH_OUT","1993-06-18","2026-05-02","Per=M","Days=T","Dir=V")</f>
        <v>0</v>
      </c>
      <c r="AW2">
        <f>BDH("ALH US Equity","PX_VOLUME","1993-06-18","2026-05-02","Per=M","Days=T","Dir=V")</f>
        <v>0</v>
      </c>
      <c r="AY2">
        <f>BDH("ALH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BDH("ALHC US Equity","BS_TOT_ASSET","1993-06-18","2026-05-02","Per=Y","Days=T","Dir=V")</f>
        <v>0</v>
      </c>
      <c r="C2">
        <f>BDH("ALHC US Equity","BS_TOT_LIAB2","1993-06-18","2026-05-02","Per=Y","Days=T","Dir=V")</f>
        <v>0</v>
      </c>
      <c r="E2">
        <f>BDH("ALHC US Equity","SHORT_AND_LONG_TERM_DEBT","1993-06-18","2026-05-02","Per=Y","Days=T","Dir=V")</f>
        <v>0</v>
      </c>
      <c r="G2">
        <f>BDH("ALHC US Equity","BS_ST_BORROW","1993-06-18","2026-05-02","Per=Y","Days=T","Dir=V")</f>
        <v>0</v>
      </c>
      <c r="I2">
        <f>BDH("ALHC US Equity","BS_LT_BORROW","1993-06-18","2026-05-02","Per=Y","Days=T","Dir=V")</f>
        <v>0</v>
      </c>
      <c r="K2">
        <f>BDH("ALHC US Equity","BS_CASH_NEAR_CASH_ITEM","1993-06-18","2026-05-02","Per=Y","Days=T","Dir=V")</f>
        <v>0</v>
      </c>
      <c r="M2">
        <f>BDH("ALHC US Equity","BS_CUR_ASSET_REPORT","1993-06-18","2026-05-02","Per=Y","Days=T","Dir=V")</f>
        <v>0</v>
      </c>
      <c r="O2">
        <f>BDH("ALHC US Equity","BS_CUR_LIAB","1993-06-18","2026-05-02","Per=Y","Days=T","Dir=V")</f>
        <v>0</v>
      </c>
      <c r="Q2">
        <f>BDH("ALHC US Equity","BS_SHAREHOLDER_EQY_ENDING_PERIOD","1993-06-18","2026-05-02","Per=Y","Days=T","Dir=V")</f>
        <v>0</v>
      </c>
      <c r="S2">
        <f>BDH("ALHC US Equity","BS_ACCT_NOTE_RCV","1993-06-18","2026-05-02","Per=Y","Days=T","Dir=V")</f>
        <v>0</v>
      </c>
      <c r="U2">
        <f>BDH("ALHC US Equity","BS_INVENTORIES","1993-06-18","2026-05-02","Per=Y","Days=T","Dir=V")</f>
        <v>0</v>
      </c>
      <c r="W2">
        <f>BDH("ALHC US Equity","WORKING_CAPITAL","1993-06-18","2026-05-02","Per=Y","Days=T","Dir=V")</f>
        <v>0</v>
      </c>
      <c r="Y2">
        <f>BDH("ALHC US Equity","SALES_REV_TURN","1993-06-18","2026-05-02","Per=Y","Days=T","Dir=V")</f>
        <v>0</v>
      </c>
      <c r="AA2">
        <f>BDH("ALHC US Equity","EBIT","1993-06-18","2026-05-02","Per=Y","Days=T","Dir=V")</f>
        <v>0</v>
      </c>
      <c r="AC2">
        <f>BDH("ALHC US Equity","EBITDA","1993-06-18","2026-05-02","Per=Y","Days=T","Dir=V")</f>
        <v>0</v>
      </c>
      <c r="AE2">
        <f>BDH("ALHC US Equity","NET_INCOME","1993-06-18","2026-05-02","Per=Y","Days=T","Dir=V")</f>
        <v>0</v>
      </c>
      <c r="AG2">
        <f>BDH("ALHC US Equity","IS_INT_EXPENSE","1993-06-18","2026-05-02","Per=Y","Days=T","Dir=V")</f>
        <v>0</v>
      </c>
      <c r="AI2">
        <f>BDH("ALHC US Equity","IS_DEPR_EXP","1993-06-18","2026-05-02","Per=Y","Days=T","Dir=V")</f>
        <v>0</v>
      </c>
      <c r="AK2">
        <f>BDH("ALHC US Equity","CF_CASH_FROM_OPER","1993-06-18","2026-05-02","Per=Y","Days=T","Dir=V")</f>
        <v>0</v>
      </c>
      <c r="AM2">
        <f>BDH("ALHC US Equity","CAPITAL_EXPEND","1993-06-18","2026-05-02","Per=Y","Days=T","Dir=V")</f>
        <v>0</v>
      </c>
      <c r="AO2">
        <f>BDH("ALHC US Equity","CF_FREE_CASH_FLOW","1993-06-18","2026-05-02","Per=Y","Days=T","Dir=V")</f>
        <v>0</v>
      </c>
      <c r="AQ2">
        <f>BDH("ALHC US Equity","PX_LAST","1993-06-18","2026-05-02","Per=M","Days=T","Dir=V")</f>
        <v>0</v>
      </c>
      <c r="AS2">
        <f>BDH("ALHC US Equity","CUR_MKT_CAP","1993-06-18","2026-05-02","Per=M","Days=T","Dir=V")</f>
        <v>0</v>
      </c>
      <c r="AU2">
        <f>BDH("ALHC US Equity","EQY_SH_OUT","1993-06-18","2026-05-02","Per=M","Days=T","Dir=V")</f>
        <v>0</v>
      </c>
      <c r="AW2">
        <f>BDH("ALHC US Equity","PX_VOLUME","1993-06-18","2026-05-02","Per=M","Days=T","Dir=V")</f>
        <v>0</v>
      </c>
      <c r="AY2">
        <f>BDH("ALHC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BDH("ALIT US Equity","BS_TOT_ASSET","1993-06-18","2026-05-02","Per=Y","Days=T","Dir=V")</f>
        <v>0</v>
      </c>
      <c r="C2">
        <f>BDH("ALIT US Equity","BS_TOT_LIAB2","1993-06-18","2026-05-02","Per=Y","Days=T","Dir=V")</f>
        <v>0</v>
      </c>
      <c r="E2">
        <f>BDH("ALIT US Equity","SHORT_AND_LONG_TERM_DEBT","1993-06-18","2026-05-02","Per=Y","Days=T","Dir=V")</f>
        <v>0</v>
      </c>
      <c r="G2">
        <f>BDH("ALIT US Equity","BS_ST_BORROW","1993-06-18","2026-05-02","Per=Y","Days=T","Dir=V")</f>
        <v>0</v>
      </c>
      <c r="I2">
        <f>BDH("ALIT US Equity","BS_LT_BORROW","1993-06-18","2026-05-02","Per=Y","Days=T","Dir=V")</f>
        <v>0</v>
      </c>
      <c r="K2">
        <f>BDH("ALIT US Equity","BS_CASH_NEAR_CASH_ITEM","1993-06-18","2026-05-02","Per=Y","Days=T","Dir=V")</f>
        <v>0</v>
      </c>
      <c r="M2">
        <f>BDH("ALIT US Equity","BS_CUR_ASSET_REPORT","1993-06-18","2026-05-02","Per=Y","Days=T","Dir=V")</f>
        <v>0</v>
      </c>
      <c r="O2">
        <f>BDH("ALIT US Equity","BS_CUR_LIAB","1993-06-18","2026-05-02","Per=Y","Days=T","Dir=V")</f>
        <v>0</v>
      </c>
      <c r="Q2">
        <f>BDH("ALIT US Equity","BS_SHAREHOLDER_EQY_ENDING_PERIOD","1993-06-18","2026-05-02","Per=Y","Days=T","Dir=V")</f>
        <v>0</v>
      </c>
      <c r="S2">
        <f>BDH("ALIT US Equity","BS_ACCT_NOTE_RCV","1993-06-18","2026-05-02","Per=Y","Days=T","Dir=V")</f>
        <v>0</v>
      </c>
      <c r="U2">
        <f>BDH("ALIT US Equity","BS_INVENTORIES","1993-06-18","2026-05-02","Per=Y","Days=T","Dir=V")</f>
        <v>0</v>
      </c>
      <c r="W2">
        <f>BDH("ALIT US Equity","WORKING_CAPITAL","1993-06-18","2026-05-02","Per=Y","Days=T","Dir=V")</f>
        <v>0</v>
      </c>
      <c r="Y2">
        <f>BDH("ALIT US Equity","SALES_REV_TURN","1993-06-18","2026-05-02","Per=Y","Days=T","Dir=V")</f>
        <v>0</v>
      </c>
      <c r="AA2">
        <f>BDH("ALIT US Equity","EBIT","1993-06-18","2026-05-02","Per=Y","Days=T","Dir=V")</f>
        <v>0</v>
      </c>
      <c r="AC2">
        <f>BDH("ALIT US Equity","EBITDA","1993-06-18","2026-05-02","Per=Y","Days=T","Dir=V")</f>
        <v>0</v>
      </c>
      <c r="AE2">
        <f>BDH("ALIT US Equity","NET_INCOME","1993-06-18","2026-05-02","Per=Y","Days=T","Dir=V")</f>
        <v>0</v>
      </c>
      <c r="AG2">
        <f>BDH("ALIT US Equity","IS_INT_EXPENSE","1993-06-18","2026-05-02","Per=Y","Days=T","Dir=V")</f>
        <v>0</v>
      </c>
      <c r="AI2">
        <f>BDH("ALIT US Equity","IS_DEPR_EXP","1993-06-18","2026-05-02","Per=Y","Days=T","Dir=V")</f>
        <v>0</v>
      </c>
      <c r="AK2">
        <f>BDH("ALIT US Equity","CF_CASH_FROM_OPER","1993-06-18","2026-05-02","Per=Y","Days=T","Dir=V")</f>
        <v>0</v>
      </c>
      <c r="AM2">
        <f>BDH("ALIT US Equity","CAPITAL_EXPEND","1993-06-18","2026-05-02","Per=Y","Days=T","Dir=V")</f>
        <v>0</v>
      </c>
      <c r="AO2">
        <f>BDH("ALIT US Equity","CF_FREE_CASH_FLOW","1993-06-18","2026-05-02","Per=Y","Days=T","Dir=V")</f>
        <v>0</v>
      </c>
      <c r="AQ2">
        <f>BDH("ALIT US Equity","PX_LAST","1993-06-18","2026-05-02","Per=M","Days=T","Dir=V")</f>
        <v>0</v>
      </c>
      <c r="AS2">
        <f>BDH("ALIT US Equity","CUR_MKT_CAP","1993-06-18","2026-05-02","Per=M","Days=T","Dir=V")</f>
        <v>0</v>
      </c>
      <c r="AU2">
        <f>BDH("ALIT US Equity","EQY_SH_OUT","1993-06-18","2026-05-02","Per=M","Days=T","Dir=V")</f>
        <v>0</v>
      </c>
      <c r="AW2">
        <f>BDH("ALIT US Equity","PX_VOLUME","1993-06-18","2026-05-02","Per=M","Days=T","Dir=V")</f>
        <v>0</v>
      </c>
      <c r="AY2">
        <f>BDH("ALIT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BDH("ALK US Equity","BS_TOT_ASSET","1993-06-18","2026-05-02","Per=Y","Days=T","Dir=V")</f>
        <v>0</v>
      </c>
      <c r="C2">
        <f>BDH("ALK US Equity","BS_TOT_LIAB2","1993-06-18","2026-05-02","Per=Y","Days=T","Dir=V")</f>
        <v>0</v>
      </c>
      <c r="E2">
        <f>BDH("ALK US Equity","SHORT_AND_LONG_TERM_DEBT","1993-06-18","2026-05-02","Per=Y","Days=T","Dir=V")</f>
        <v>0</v>
      </c>
      <c r="G2">
        <f>BDH("ALK US Equity","BS_ST_BORROW","1993-06-18","2026-05-02","Per=Y","Days=T","Dir=V")</f>
        <v>0</v>
      </c>
      <c r="I2">
        <f>BDH("ALK US Equity","BS_LT_BORROW","1993-06-18","2026-05-02","Per=Y","Days=T","Dir=V")</f>
        <v>0</v>
      </c>
      <c r="K2">
        <f>BDH("ALK US Equity","BS_CASH_NEAR_CASH_ITEM","1993-06-18","2026-05-02","Per=Y","Days=T","Dir=V")</f>
        <v>0</v>
      </c>
      <c r="M2">
        <f>BDH("ALK US Equity","BS_CUR_ASSET_REPORT","1993-06-18","2026-05-02","Per=Y","Days=T","Dir=V")</f>
        <v>0</v>
      </c>
      <c r="O2">
        <f>BDH("ALK US Equity","BS_CUR_LIAB","1993-06-18","2026-05-02","Per=Y","Days=T","Dir=V")</f>
        <v>0</v>
      </c>
      <c r="Q2">
        <f>BDH("ALK US Equity","BS_SHAREHOLDER_EQY_ENDING_PERIOD","1993-06-18","2026-05-02","Per=Y","Days=T","Dir=V")</f>
        <v>0</v>
      </c>
      <c r="S2">
        <f>BDH("ALK US Equity","BS_ACCT_NOTE_RCV","1993-06-18","2026-05-02","Per=Y","Days=T","Dir=V")</f>
        <v>0</v>
      </c>
      <c r="U2">
        <f>BDH("ALK US Equity","BS_INVENTORIES","1993-06-18","2026-05-02","Per=Y","Days=T","Dir=V")</f>
        <v>0</v>
      </c>
      <c r="W2">
        <f>BDH("ALK US Equity","WORKING_CAPITAL","1993-06-18","2026-05-02","Per=Y","Days=T","Dir=V")</f>
        <v>0</v>
      </c>
      <c r="Y2">
        <f>BDH("ALK US Equity","SALES_REV_TURN","1993-06-18","2026-05-02","Per=Y","Days=T","Dir=V")</f>
        <v>0</v>
      </c>
      <c r="AA2">
        <f>BDH("ALK US Equity","EBIT","1993-06-18","2026-05-02","Per=Y","Days=T","Dir=V")</f>
        <v>0</v>
      </c>
      <c r="AC2">
        <f>BDH("ALK US Equity","EBITDA","1993-06-18","2026-05-02","Per=Y","Days=T","Dir=V")</f>
        <v>0</v>
      </c>
      <c r="AE2">
        <f>BDH("ALK US Equity","NET_INCOME","1993-06-18","2026-05-02","Per=Y","Days=T","Dir=V")</f>
        <v>0</v>
      </c>
      <c r="AG2">
        <f>BDH("ALK US Equity","IS_INT_EXPENSE","1993-06-18","2026-05-02","Per=Y","Days=T","Dir=V")</f>
        <v>0</v>
      </c>
      <c r="AI2">
        <f>BDH("ALK US Equity","IS_DEPR_EXP","1993-06-18","2026-05-02","Per=Y","Days=T","Dir=V")</f>
        <v>0</v>
      </c>
      <c r="AK2">
        <f>BDH("ALK US Equity","CF_CASH_FROM_OPER","1993-06-18","2026-05-02","Per=Y","Days=T","Dir=V")</f>
        <v>0</v>
      </c>
      <c r="AM2">
        <f>BDH("ALK US Equity","CAPITAL_EXPEND","1993-06-18","2026-05-02","Per=Y","Days=T","Dir=V")</f>
        <v>0</v>
      </c>
      <c r="AO2">
        <f>BDH("ALK US Equity","CF_FREE_CASH_FLOW","1993-06-18","2026-05-02","Per=Y","Days=T","Dir=V")</f>
        <v>0</v>
      </c>
      <c r="AQ2">
        <f>BDH("ALK US Equity","PX_LAST","1993-06-18","2026-05-02","Per=M","Days=T","Dir=V")</f>
        <v>0</v>
      </c>
      <c r="AS2">
        <f>BDH("ALK US Equity","CUR_MKT_CAP","1993-06-18","2026-05-02","Per=M","Days=T","Dir=V")</f>
        <v>0</v>
      </c>
      <c r="AU2">
        <f>BDH("ALK US Equity","EQY_SH_OUT","1993-06-18","2026-05-02","Per=M","Days=T","Dir=V")</f>
        <v>0</v>
      </c>
      <c r="AW2">
        <f>BDH("ALK US Equity","PX_VOLUME","1993-06-18","2026-05-02","Per=M","Days=T","Dir=V")</f>
        <v>0</v>
      </c>
      <c r="AY2">
        <f>BDH("ALK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BDH("ALKT US Equity","BS_TOT_ASSET","1993-06-18","2026-05-02","Per=Y","Days=T","Dir=V")</f>
        <v>0</v>
      </c>
      <c r="C2">
        <f>BDH("ALKT US Equity","BS_TOT_LIAB2","1993-06-18","2026-05-02","Per=Y","Days=T","Dir=V")</f>
        <v>0</v>
      </c>
      <c r="E2">
        <f>BDH("ALKT US Equity","SHORT_AND_LONG_TERM_DEBT","1993-06-18","2026-05-02","Per=Y","Days=T","Dir=V")</f>
        <v>0</v>
      </c>
      <c r="G2">
        <f>BDH("ALKT US Equity","BS_ST_BORROW","1993-06-18","2026-05-02","Per=Y","Days=T","Dir=V")</f>
        <v>0</v>
      </c>
      <c r="I2">
        <f>BDH("ALKT US Equity","BS_LT_BORROW","1993-06-18","2026-05-02","Per=Y","Days=T","Dir=V")</f>
        <v>0</v>
      </c>
      <c r="K2">
        <f>BDH("ALKT US Equity","BS_CASH_NEAR_CASH_ITEM","1993-06-18","2026-05-02","Per=Y","Days=T","Dir=V")</f>
        <v>0</v>
      </c>
      <c r="M2">
        <f>BDH("ALKT US Equity","BS_CUR_ASSET_REPORT","1993-06-18","2026-05-02","Per=Y","Days=T","Dir=V")</f>
        <v>0</v>
      </c>
      <c r="O2">
        <f>BDH("ALKT US Equity","BS_CUR_LIAB","1993-06-18","2026-05-02","Per=Y","Days=T","Dir=V")</f>
        <v>0</v>
      </c>
      <c r="Q2">
        <f>BDH("ALKT US Equity","BS_SHAREHOLDER_EQY_ENDING_PERIOD","1993-06-18","2026-05-02","Per=Y","Days=T","Dir=V")</f>
        <v>0</v>
      </c>
      <c r="S2">
        <f>BDH("ALKT US Equity","BS_ACCT_NOTE_RCV","1993-06-18","2026-05-02","Per=Y","Days=T","Dir=V")</f>
        <v>0</v>
      </c>
      <c r="U2">
        <f>BDH("ALKT US Equity","BS_INVENTORIES","1993-06-18","2026-05-02","Per=Y","Days=T","Dir=V")</f>
        <v>0</v>
      </c>
      <c r="W2">
        <f>BDH("ALKT US Equity","WORKING_CAPITAL","1993-06-18","2026-05-02","Per=Y","Days=T","Dir=V")</f>
        <v>0</v>
      </c>
      <c r="Y2">
        <f>BDH("ALKT US Equity","SALES_REV_TURN","1993-06-18","2026-05-02","Per=Y","Days=T","Dir=V")</f>
        <v>0</v>
      </c>
      <c r="AA2">
        <f>BDH("ALKT US Equity","EBIT","1993-06-18","2026-05-02","Per=Y","Days=T","Dir=V")</f>
        <v>0</v>
      </c>
      <c r="AC2">
        <f>BDH("ALKT US Equity","EBITDA","1993-06-18","2026-05-02","Per=Y","Days=T","Dir=V")</f>
        <v>0</v>
      </c>
      <c r="AE2">
        <f>BDH("ALKT US Equity","NET_INCOME","1993-06-18","2026-05-02","Per=Y","Days=T","Dir=V")</f>
        <v>0</v>
      </c>
      <c r="AG2">
        <f>BDH("ALKT US Equity","IS_INT_EXPENSE","1993-06-18","2026-05-02","Per=Y","Days=T","Dir=V")</f>
        <v>0</v>
      </c>
      <c r="AI2">
        <f>BDH("ALKT US Equity","IS_DEPR_EXP","1993-06-18","2026-05-02","Per=Y","Days=T","Dir=V")</f>
        <v>0</v>
      </c>
      <c r="AK2">
        <f>BDH("ALKT US Equity","CF_CASH_FROM_OPER","1993-06-18","2026-05-02","Per=Y","Days=T","Dir=V")</f>
        <v>0</v>
      </c>
      <c r="AM2">
        <f>BDH("ALKT US Equity","CAPITAL_EXPEND","1993-06-18","2026-05-02","Per=Y","Days=T","Dir=V")</f>
        <v>0</v>
      </c>
      <c r="AO2">
        <f>BDH("ALKT US Equity","CF_FREE_CASH_FLOW","1993-06-18","2026-05-02","Per=Y","Days=T","Dir=V")</f>
        <v>0</v>
      </c>
      <c r="AQ2">
        <f>BDH("ALKT US Equity","PX_LAST","1993-06-18","2026-05-02","Per=M","Days=T","Dir=V")</f>
        <v>0</v>
      </c>
      <c r="AS2">
        <f>BDH("ALKT US Equity","CUR_MKT_CAP","1993-06-18","2026-05-02","Per=M","Days=T","Dir=V")</f>
        <v>0</v>
      </c>
      <c r="AU2">
        <f>BDH("ALKT US Equity","EQY_SH_OUT","1993-06-18","2026-05-02","Per=M","Days=T","Dir=V")</f>
        <v>0</v>
      </c>
      <c r="AW2">
        <f>BDH("ALKT US Equity","PX_VOLUME","1993-06-18","2026-05-02","Per=M","Days=T","Dir=V")</f>
        <v>0</v>
      </c>
      <c r="AY2">
        <f>BDH("ALKT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BDH("ALLE US Equity","BS_TOT_ASSET","1993-06-18","2026-05-02","Per=Y","Days=T","Dir=V")</f>
        <v>0</v>
      </c>
      <c r="C2">
        <f>BDH("ALLE US Equity","BS_TOT_LIAB2","1993-06-18","2026-05-02","Per=Y","Days=T","Dir=V")</f>
        <v>0</v>
      </c>
      <c r="E2">
        <f>BDH("ALLE US Equity","SHORT_AND_LONG_TERM_DEBT","1993-06-18","2026-05-02","Per=Y","Days=T","Dir=V")</f>
        <v>0</v>
      </c>
      <c r="G2">
        <f>BDH("ALLE US Equity","BS_ST_BORROW","1993-06-18","2026-05-02","Per=Y","Days=T","Dir=V")</f>
        <v>0</v>
      </c>
      <c r="I2">
        <f>BDH("ALLE US Equity","BS_LT_BORROW","1993-06-18","2026-05-02","Per=Y","Days=T","Dir=V")</f>
        <v>0</v>
      </c>
      <c r="K2">
        <f>BDH("ALLE US Equity","BS_CASH_NEAR_CASH_ITEM","1993-06-18","2026-05-02","Per=Y","Days=T","Dir=V")</f>
        <v>0</v>
      </c>
      <c r="M2">
        <f>BDH("ALLE US Equity","BS_CUR_ASSET_REPORT","1993-06-18","2026-05-02","Per=Y","Days=T","Dir=V")</f>
        <v>0</v>
      </c>
      <c r="O2">
        <f>BDH("ALLE US Equity","BS_CUR_LIAB","1993-06-18","2026-05-02","Per=Y","Days=T","Dir=V")</f>
        <v>0</v>
      </c>
      <c r="Q2">
        <f>BDH("ALLE US Equity","BS_SHAREHOLDER_EQY_ENDING_PERIOD","1993-06-18","2026-05-02","Per=Y","Days=T","Dir=V")</f>
        <v>0</v>
      </c>
      <c r="S2">
        <f>BDH("ALLE US Equity","BS_ACCT_NOTE_RCV","1993-06-18","2026-05-02","Per=Y","Days=T","Dir=V")</f>
        <v>0</v>
      </c>
      <c r="U2">
        <f>BDH("ALLE US Equity","BS_INVENTORIES","1993-06-18","2026-05-02","Per=Y","Days=T","Dir=V")</f>
        <v>0</v>
      </c>
      <c r="W2">
        <f>BDH("ALLE US Equity","WORKING_CAPITAL","1993-06-18","2026-05-02","Per=Y","Days=T","Dir=V")</f>
        <v>0</v>
      </c>
      <c r="Y2">
        <f>BDH("ALLE US Equity","SALES_REV_TURN","1993-06-18","2026-05-02","Per=Y","Days=T","Dir=V")</f>
        <v>0</v>
      </c>
      <c r="AA2">
        <f>BDH("ALLE US Equity","EBIT","1993-06-18","2026-05-02","Per=Y","Days=T","Dir=V")</f>
        <v>0</v>
      </c>
      <c r="AC2">
        <f>BDH("ALLE US Equity","EBITDA","1993-06-18","2026-05-02","Per=Y","Days=T","Dir=V")</f>
        <v>0</v>
      </c>
      <c r="AE2">
        <f>BDH("ALLE US Equity","NET_INCOME","1993-06-18","2026-05-02","Per=Y","Days=T","Dir=V")</f>
        <v>0</v>
      </c>
      <c r="AG2">
        <f>BDH("ALLE US Equity","IS_INT_EXPENSE","1993-06-18","2026-05-02","Per=Y","Days=T","Dir=V")</f>
        <v>0</v>
      </c>
      <c r="AI2">
        <f>BDH("ALLE US Equity","IS_DEPR_EXP","1993-06-18","2026-05-02","Per=Y","Days=T","Dir=V")</f>
        <v>0</v>
      </c>
      <c r="AK2">
        <f>BDH("ALLE US Equity","CF_CASH_FROM_OPER","1993-06-18","2026-05-02","Per=Y","Days=T","Dir=V")</f>
        <v>0</v>
      </c>
      <c r="AM2">
        <f>BDH("ALLE US Equity","CAPITAL_EXPEND","1993-06-18","2026-05-02","Per=Y","Days=T","Dir=V")</f>
        <v>0</v>
      </c>
      <c r="AO2">
        <f>BDH("ALLE US Equity","CF_FREE_CASH_FLOW","1993-06-18","2026-05-02","Per=Y","Days=T","Dir=V")</f>
        <v>0</v>
      </c>
      <c r="AQ2">
        <f>BDH("ALLE US Equity","PX_LAST","1993-06-18","2026-05-02","Per=M","Days=T","Dir=V")</f>
        <v>0</v>
      </c>
      <c r="AS2">
        <f>BDH("ALLE US Equity","CUR_MKT_CAP","1993-06-18","2026-05-02","Per=M","Days=T","Dir=V")</f>
        <v>0</v>
      </c>
      <c r="AU2">
        <f>BDH("ALLE US Equity","EQY_SH_OUT","1993-06-18","2026-05-02","Per=M","Days=T","Dir=V")</f>
        <v>0</v>
      </c>
      <c r="AW2">
        <f>BDH("ALLE US Equity","PX_VOLUME","1993-06-18","2026-05-02","Per=M","Days=T","Dir=V")</f>
        <v>0</v>
      </c>
      <c r="AY2">
        <f>BDH("ALLE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BDH("ALLO US Equity","BS_TOT_ASSET","1993-06-18","2026-05-02","Per=Y","Days=T","Dir=V")</f>
        <v>0</v>
      </c>
      <c r="C2">
        <f>BDH("ALLO US Equity","BS_TOT_LIAB2","1993-06-18","2026-05-02","Per=Y","Days=T","Dir=V")</f>
        <v>0</v>
      </c>
      <c r="E2">
        <f>BDH("ALLO US Equity","SHORT_AND_LONG_TERM_DEBT","1993-06-18","2026-05-02","Per=Y","Days=T","Dir=V")</f>
        <v>0</v>
      </c>
      <c r="G2">
        <f>BDH("ALLO US Equity","BS_ST_BORROW","1993-06-18","2026-05-02","Per=Y","Days=T","Dir=V")</f>
        <v>0</v>
      </c>
      <c r="I2">
        <f>BDH("ALLO US Equity","BS_LT_BORROW","1993-06-18","2026-05-02","Per=Y","Days=T","Dir=V")</f>
        <v>0</v>
      </c>
      <c r="K2">
        <f>BDH("ALLO US Equity","BS_CASH_NEAR_CASH_ITEM","1993-06-18","2026-05-02","Per=Y","Days=T","Dir=V")</f>
        <v>0</v>
      </c>
      <c r="M2">
        <f>BDH("ALLO US Equity","BS_CUR_ASSET_REPORT","1993-06-18","2026-05-02","Per=Y","Days=T","Dir=V")</f>
        <v>0</v>
      </c>
      <c r="O2">
        <f>BDH("ALLO US Equity","BS_CUR_LIAB","1993-06-18","2026-05-02","Per=Y","Days=T","Dir=V")</f>
        <v>0</v>
      </c>
      <c r="Q2">
        <f>BDH("ALLO US Equity","BS_SHAREHOLDER_EQY_ENDING_PERIOD","1993-06-18","2026-05-02","Per=Y","Days=T","Dir=V")</f>
        <v>0</v>
      </c>
      <c r="S2">
        <f>BDH("ALLO US Equity","BS_ACCT_NOTE_RCV","1993-06-18","2026-05-02","Per=Y","Days=T","Dir=V")</f>
        <v>0</v>
      </c>
      <c r="U2">
        <f>BDH("ALLO US Equity","BS_INVENTORIES","1993-06-18","2026-05-02","Per=Y","Days=T","Dir=V")</f>
        <v>0</v>
      </c>
      <c r="W2">
        <f>BDH("ALLO US Equity","WORKING_CAPITAL","1993-06-18","2026-05-02","Per=Y","Days=T","Dir=V")</f>
        <v>0</v>
      </c>
      <c r="Y2">
        <f>BDH("ALLO US Equity","SALES_REV_TURN","1993-06-18","2026-05-02","Per=Y","Days=T","Dir=V")</f>
        <v>0</v>
      </c>
      <c r="AA2">
        <f>BDH("ALLO US Equity","EBIT","1993-06-18","2026-05-02","Per=Y","Days=T","Dir=V")</f>
        <v>0</v>
      </c>
      <c r="AC2">
        <f>BDH("ALLO US Equity","EBITDA","1993-06-18","2026-05-02","Per=Y","Days=T","Dir=V")</f>
        <v>0</v>
      </c>
      <c r="AE2">
        <f>BDH("ALLO US Equity","NET_INCOME","1993-06-18","2026-05-02","Per=Y","Days=T","Dir=V")</f>
        <v>0</v>
      </c>
      <c r="AG2">
        <f>BDH("ALLO US Equity","IS_INT_EXPENSE","1993-06-18","2026-05-02","Per=Y","Days=T","Dir=V")</f>
        <v>0</v>
      </c>
      <c r="AI2">
        <f>BDH("ALLO US Equity","IS_DEPR_EXP","1993-06-18","2026-05-02","Per=Y","Days=T","Dir=V")</f>
        <v>0</v>
      </c>
      <c r="AK2">
        <f>BDH("ALLO US Equity","CF_CASH_FROM_OPER","1993-06-18","2026-05-02","Per=Y","Days=T","Dir=V")</f>
        <v>0</v>
      </c>
      <c r="AM2">
        <f>BDH("ALLO US Equity","CAPITAL_EXPEND","1993-06-18","2026-05-02","Per=Y","Days=T","Dir=V")</f>
        <v>0</v>
      </c>
      <c r="AO2">
        <f>BDH("ALLO US Equity","CF_FREE_CASH_FLOW","1993-06-18","2026-05-02","Per=Y","Days=T","Dir=V")</f>
        <v>0</v>
      </c>
      <c r="AQ2">
        <f>BDH("ALLO US Equity","PX_LAST","1993-06-18","2026-05-02","Per=M","Days=T","Dir=V")</f>
        <v>0</v>
      </c>
      <c r="AS2">
        <f>BDH("ALLO US Equity","CUR_MKT_CAP","1993-06-18","2026-05-02","Per=M","Days=T","Dir=V")</f>
        <v>0</v>
      </c>
      <c r="AU2">
        <f>BDH("ALLO US Equity","EQY_SH_OUT","1993-06-18","2026-05-02","Per=M","Days=T","Dir=V")</f>
        <v>0</v>
      </c>
      <c r="AW2">
        <f>BDH("ALLO US Equity","PX_VOLUME","1993-06-18","2026-05-02","Per=M","Days=T","Dir=V")</f>
        <v>0</v>
      </c>
      <c r="AY2">
        <f>BDH("ALLO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BDH("ALLR US Equity","BS_TOT_ASSET","1993-06-18","2026-05-02","Per=Y","Days=T","Dir=V")</f>
        <v>0</v>
      </c>
      <c r="C2">
        <f>BDH("ALLR US Equity","BS_TOT_LIAB2","1993-06-18","2026-05-02","Per=Y","Days=T","Dir=V")</f>
        <v>0</v>
      </c>
      <c r="E2">
        <f>BDH("ALLR US Equity","SHORT_AND_LONG_TERM_DEBT","1993-06-18","2026-05-02","Per=Y","Days=T","Dir=V")</f>
        <v>0</v>
      </c>
      <c r="G2">
        <f>BDH("ALLR US Equity","BS_ST_BORROW","1993-06-18","2026-05-02","Per=Y","Days=T","Dir=V")</f>
        <v>0</v>
      </c>
      <c r="I2">
        <f>BDH("ALLR US Equity","BS_LT_BORROW","1993-06-18","2026-05-02","Per=Y","Days=T","Dir=V")</f>
        <v>0</v>
      </c>
      <c r="K2">
        <f>BDH("ALLR US Equity","BS_CASH_NEAR_CASH_ITEM","1993-06-18","2026-05-02","Per=Y","Days=T","Dir=V")</f>
        <v>0</v>
      </c>
      <c r="M2">
        <f>BDH("ALLR US Equity","BS_CUR_ASSET_REPORT","1993-06-18","2026-05-02","Per=Y","Days=T","Dir=V")</f>
        <v>0</v>
      </c>
      <c r="O2">
        <f>BDH("ALLR US Equity","BS_CUR_LIAB","1993-06-18","2026-05-02","Per=Y","Days=T","Dir=V")</f>
        <v>0</v>
      </c>
      <c r="Q2">
        <f>BDH("ALLR US Equity","BS_SHAREHOLDER_EQY_ENDING_PERIOD","1993-06-18","2026-05-02","Per=Y","Days=T","Dir=V")</f>
        <v>0</v>
      </c>
      <c r="S2">
        <f>BDH("ALLR US Equity","BS_ACCT_NOTE_RCV","1993-06-18","2026-05-02","Per=Y","Days=T","Dir=V")</f>
        <v>0</v>
      </c>
      <c r="U2">
        <f>BDH("ALLR US Equity","BS_INVENTORIES","1993-06-18","2026-05-02","Per=Y","Days=T","Dir=V")</f>
        <v>0</v>
      </c>
      <c r="W2">
        <f>BDH("ALLR US Equity","WORKING_CAPITAL","1993-06-18","2026-05-02","Per=Y","Days=T","Dir=V")</f>
        <v>0</v>
      </c>
      <c r="Y2">
        <f>BDH("ALLR US Equity","SALES_REV_TURN","1993-06-18","2026-05-02","Per=Y","Days=T","Dir=V")</f>
        <v>0</v>
      </c>
      <c r="AA2">
        <f>BDH("ALLR US Equity","EBIT","1993-06-18","2026-05-02","Per=Y","Days=T","Dir=V")</f>
        <v>0</v>
      </c>
      <c r="AC2">
        <f>BDH("ALLR US Equity","EBITDA","1993-06-18","2026-05-02","Per=Y","Days=T","Dir=V")</f>
        <v>0</v>
      </c>
      <c r="AE2">
        <f>BDH("ALLR US Equity","NET_INCOME","1993-06-18","2026-05-02","Per=Y","Days=T","Dir=V")</f>
        <v>0</v>
      </c>
      <c r="AG2">
        <f>BDH("ALLR US Equity","IS_INT_EXPENSE","1993-06-18","2026-05-02","Per=Y","Days=T","Dir=V")</f>
        <v>0</v>
      </c>
      <c r="AI2">
        <f>BDH("ALLR US Equity","IS_DEPR_EXP","1993-06-18","2026-05-02","Per=Y","Days=T","Dir=V")</f>
        <v>0</v>
      </c>
      <c r="AK2">
        <f>BDH("ALLR US Equity","CF_CASH_FROM_OPER","1993-06-18","2026-05-02","Per=Y","Days=T","Dir=V")</f>
        <v>0</v>
      </c>
      <c r="AM2">
        <f>BDH("ALLR US Equity","CAPITAL_EXPEND","1993-06-18","2026-05-02","Per=Y","Days=T","Dir=V")</f>
        <v>0</v>
      </c>
      <c r="AO2">
        <f>BDH("ALLR US Equity","CF_FREE_CASH_FLOW","1993-06-18","2026-05-02","Per=Y","Days=T","Dir=V")</f>
        <v>0</v>
      </c>
      <c r="AQ2">
        <f>BDH("ALLR US Equity","PX_LAST","1993-06-18","2026-05-02","Per=M","Days=T","Dir=V")</f>
        <v>0</v>
      </c>
      <c r="AS2">
        <f>BDH("ALLR US Equity","CUR_MKT_CAP","1993-06-18","2026-05-02","Per=M","Days=T","Dir=V")</f>
        <v>0</v>
      </c>
      <c r="AU2">
        <f>BDH("ALLR US Equity","EQY_SH_OUT","1993-06-18","2026-05-02","Per=M","Days=T","Dir=V")</f>
        <v>0</v>
      </c>
      <c r="AW2">
        <f>BDH("ALLR US Equity","PX_VOLUME","1993-06-18","2026-05-02","Per=M","Days=T","Dir=V")</f>
        <v>0</v>
      </c>
      <c r="AY2">
        <f>BDH("ALLR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BDH("ALMR US Equity","BS_TOT_ASSET","1993-06-18","2026-05-02","Per=Y","Days=T","Dir=V")</f>
        <v>0</v>
      </c>
      <c r="C2">
        <f>BDH("ALMR US Equity","BS_TOT_LIAB2","1993-06-18","2026-05-02","Per=Y","Days=T","Dir=V")</f>
        <v>0</v>
      </c>
      <c r="E2">
        <f>BDH("ALMR US Equity","SHORT_AND_LONG_TERM_DEBT","1993-06-18","2026-05-02","Per=Y","Days=T","Dir=V")</f>
        <v>0</v>
      </c>
      <c r="G2">
        <f>BDH("ALMR US Equity","BS_ST_BORROW","1993-06-18","2026-05-02","Per=Y","Days=T","Dir=V")</f>
        <v>0</v>
      </c>
      <c r="I2">
        <f>BDH("ALMR US Equity","BS_LT_BORROW","1993-06-18","2026-05-02","Per=Y","Days=T","Dir=V")</f>
        <v>0</v>
      </c>
      <c r="K2">
        <f>BDH("ALMR US Equity","BS_CASH_NEAR_CASH_ITEM","1993-06-18","2026-05-02","Per=Y","Days=T","Dir=V")</f>
        <v>0</v>
      </c>
      <c r="M2">
        <f>BDH("ALMR US Equity","BS_CUR_ASSET_REPORT","1993-06-18","2026-05-02","Per=Y","Days=T","Dir=V")</f>
        <v>0</v>
      </c>
      <c r="O2">
        <f>BDH("ALMR US Equity","BS_CUR_LIAB","1993-06-18","2026-05-02","Per=Y","Days=T","Dir=V")</f>
        <v>0</v>
      </c>
      <c r="Q2">
        <f>BDH("ALMR US Equity","BS_SHAREHOLDER_EQY_ENDING_PERIOD","1993-06-18","2026-05-02","Per=Y","Days=T","Dir=V")</f>
        <v>0</v>
      </c>
      <c r="S2">
        <f>BDH("ALMR US Equity","BS_ACCT_NOTE_RCV","1993-06-18","2026-05-02","Per=Y","Days=T","Dir=V")</f>
        <v>0</v>
      </c>
      <c r="U2">
        <f>BDH("ALMR US Equity","BS_INVENTORIES","1993-06-18","2026-05-02","Per=Y","Days=T","Dir=V")</f>
        <v>0</v>
      </c>
      <c r="W2">
        <f>BDH("ALMR US Equity","WORKING_CAPITAL","1993-06-18","2026-05-02","Per=Y","Days=T","Dir=V")</f>
        <v>0</v>
      </c>
      <c r="Y2">
        <f>BDH("ALMR US Equity","SALES_REV_TURN","1993-06-18","2026-05-02","Per=Y","Days=T","Dir=V")</f>
        <v>0</v>
      </c>
      <c r="AA2">
        <f>BDH("ALMR US Equity","EBIT","1993-06-18","2026-05-02","Per=Y","Days=T","Dir=V")</f>
        <v>0</v>
      </c>
      <c r="AC2">
        <f>BDH("ALMR US Equity","EBITDA","1993-06-18","2026-05-02","Per=Y","Days=T","Dir=V")</f>
        <v>0</v>
      </c>
      <c r="AE2">
        <f>BDH("ALMR US Equity","NET_INCOME","1993-06-18","2026-05-02","Per=Y","Days=T","Dir=V")</f>
        <v>0</v>
      </c>
      <c r="AG2">
        <f>BDH("ALMR US Equity","IS_INT_EXPENSE","1993-06-18","2026-05-02","Per=Y","Days=T","Dir=V")</f>
        <v>0</v>
      </c>
      <c r="AI2">
        <f>BDH("ALMR US Equity","IS_DEPR_EXP","1993-06-18","2026-05-02","Per=Y","Days=T","Dir=V")</f>
        <v>0</v>
      </c>
      <c r="AK2">
        <f>BDH("ALMR US Equity","CF_CASH_FROM_OPER","1993-06-18","2026-05-02","Per=Y","Days=T","Dir=V")</f>
        <v>0</v>
      </c>
      <c r="AM2">
        <f>BDH("ALMR US Equity","CAPITAL_EXPEND","1993-06-18","2026-05-02","Per=Y","Days=T","Dir=V")</f>
        <v>0</v>
      </c>
      <c r="AO2">
        <f>BDH("ALMR US Equity","CF_FREE_CASH_FLOW","1993-06-18","2026-05-02","Per=Y","Days=T","Dir=V")</f>
        <v>0</v>
      </c>
      <c r="AQ2">
        <f>BDH("ALMR US Equity","PX_LAST","1993-06-18","2026-05-02","Per=M","Days=T","Dir=V")</f>
        <v>0</v>
      </c>
      <c r="AS2">
        <f>BDH("ALMR US Equity","CUR_MKT_CAP","1993-06-18","2026-05-02","Per=M","Days=T","Dir=V")</f>
        <v>0</v>
      </c>
      <c r="AU2">
        <f>BDH("ALMR US Equity","EQY_SH_OUT","1993-06-18","2026-05-02","Per=M","Days=T","Dir=V")</f>
        <v>0</v>
      </c>
      <c r="AW2">
        <f>BDH("ALMR US Equity","PX_VOLUME","1993-06-18","2026-05-02","Per=M","Days=T","Dir=V")</f>
        <v>0</v>
      </c>
      <c r="AY2">
        <f>BDH("ALMR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BDH("ALMS US Equity","BS_TOT_ASSET","1993-06-18","2026-05-02","Per=Y","Days=T","Dir=V")</f>
        <v>0</v>
      </c>
      <c r="C2">
        <f>BDH("ALMS US Equity","BS_TOT_LIAB2","1993-06-18","2026-05-02","Per=Y","Days=T","Dir=V")</f>
        <v>0</v>
      </c>
      <c r="E2">
        <f>BDH("ALMS US Equity","SHORT_AND_LONG_TERM_DEBT","1993-06-18","2026-05-02","Per=Y","Days=T","Dir=V")</f>
        <v>0</v>
      </c>
      <c r="G2">
        <f>BDH("ALMS US Equity","BS_ST_BORROW","1993-06-18","2026-05-02","Per=Y","Days=T","Dir=V")</f>
        <v>0</v>
      </c>
      <c r="I2">
        <f>BDH("ALMS US Equity","BS_LT_BORROW","1993-06-18","2026-05-02","Per=Y","Days=T","Dir=V")</f>
        <v>0</v>
      </c>
      <c r="K2">
        <f>BDH("ALMS US Equity","BS_CASH_NEAR_CASH_ITEM","1993-06-18","2026-05-02","Per=Y","Days=T","Dir=V")</f>
        <v>0</v>
      </c>
      <c r="M2">
        <f>BDH("ALMS US Equity","BS_CUR_ASSET_REPORT","1993-06-18","2026-05-02","Per=Y","Days=T","Dir=V")</f>
        <v>0</v>
      </c>
      <c r="O2">
        <f>BDH("ALMS US Equity","BS_CUR_LIAB","1993-06-18","2026-05-02","Per=Y","Days=T","Dir=V")</f>
        <v>0</v>
      </c>
      <c r="Q2">
        <f>BDH("ALMS US Equity","BS_SHAREHOLDER_EQY_ENDING_PERIOD","1993-06-18","2026-05-02","Per=Y","Days=T","Dir=V")</f>
        <v>0</v>
      </c>
      <c r="S2">
        <f>BDH("ALMS US Equity","BS_ACCT_NOTE_RCV","1993-06-18","2026-05-02","Per=Y","Days=T","Dir=V")</f>
        <v>0</v>
      </c>
      <c r="U2">
        <f>BDH("ALMS US Equity","BS_INVENTORIES","1993-06-18","2026-05-02","Per=Y","Days=T","Dir=V")</f>
        <v>0</v>
      </c>
      <c r="W2">
        <f>BDH("ALMS US Equity","WORKING_CAPITAL","1993-06-18","2026-05-02","Per=Y","Days=T","Dir=V")</f>
        <v>0</v>
      </c>
      <c r="Y2">
        <f>BDH("ALMS US Equity","SALES_REV_TURN","1993-06-18","2026-05-02","Per=Y","Days=T","Dir=V")</f>
        <v>0</v>
      </c>
      <c r="AA2">
        <f>BDH("ALMS US Equity","EBIT","1993-06-18","2026-05-02","Per=Y","Days=T","Dir=V")</f>
        <v>0</v>
      </c>
      <c r="AC2">
        <f>BDH("ALMS US Equity","EBITDA","1993-06-18","2026-05-02","Per=Y","Days=T","Dir=V")</f>
        <v>0</v>
      </c>
      <c r="AE2">
        <f>BDH("ALMS US Equity","NET_INCOME","1993-06-18","2026-05-02","Per=Y","Days=T","Dir=V")</f>
        <v>0</v>
      </c>
      <c r="AG2">
        <f>BDH("ALMS US Equity","IS_INT_EXPENSE","1993-06-18","2026-05-02","Per=Y","Days=T","Dir=V")</f>
        <v>0</v>
      </c>
      <c r="AI2">
        <f>BDH("ALMS US Equity","IS_DEPR_EXP","1993-06-18","2026-05-02","Per=Y","Days=T","Dir=V")</f>
        <v>0</v>
      </c>
      <c r="AK2">
        <f>BDH("ALMS US Equity","CF_CASH_FROM_OPER","1993-06-18","2026-05-02","Per=Y","Days=T","Dir=V")</f>
        <v>0</v>
      </c>
      <c r="AM2">
        <f>BDH("ALMS US Equity","CAPITAL_EXPEND","1993-06-18","2026-05-02","Per=Y","Days=T","Dir=V")</f>
        <v>0</v>
      </c>
      <c r="AO2">
        <f>BDH("ALMS US Equity","CF_FREE_CASH_FLOW","1993-06-18","2026-05-02","Per=Y","Days=T","Dir=V")</f>
        <v>0</v>
      </c>
      <c r="AQ2">
        <f>BDH("ALMS US Equity","PX_LAST","1993-06-18","2026-05-02","Per=M","Days=T","Dir=V")</f>
        <v>0</v>
      </c>
      <c r="AS2">
        <f>BDH("ALMS US Equity","CUR_MKT_CAP","1993-06-18","2026-05-02","Per=M","Days=T","Dir=V")</f>
        <v>0</v>
      </c>
      <c r="AU2">
        <f>BDH("ALMS US Equity","EQY_SH_OUT","1993-06-18","2026-05-02","Per=M","Days=T","Dir=V")</f>
        <v>0</v>
      </c>
      <c r="AW2">
        <f>BDH("ALMS US Equity","PX_VOLUME","1993-06-18","2026-05-02","Per=M","Days=T","Dir=V")</f>
        <v>0</v>
      </c>
      <c r="AY2">
        <f>BDH("ALMS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BDH("ALMU US Equity","BS_TOT_ASSET","1993-06-18","2026-05-02","Per=Y","Days=T","Dir=V")</f>
        <v>0</v>
      </c>
      <c r="C2">
        <f>BDH("ALMU US Equity","BS_TOT_LIAB2","1993-06-18","2026-05-02","Per=Y","Days=T","Dir=V")</f>
        <v>0</v>
      </c>
      <c r="E2">
        <f>BDH("ALMU US Equity","SHORT_AND_LONG_TERM_DEBT","1993-06-18","2026-05-02","Per=Y","Days=T","Dir=V")</f>
        <v>0</v>
      </c>
      <c r="G2">
        <f>BDH("ALMU US Equity","BS_ST_BORROW","1993-06-18","2026-05-02","Per=Y","Days=T","Dir=V")</f>
        <v>0</v>
      </c>
      <c r="I2">
        <f>BDH("ALMU US Equity","BS_LT_BORROW","1993-06-18","2026-05-02","Per=Y","Days=T","Dir=V")</f>
        <v>0</v>
      </c>
      <c r="K2">
        <f>BDH("ALMU US Equity","BS_CASH_NEAR_CASH_ITEM","1993-06-18","2026-05-02","Per=Y","Days=T","Dir=V")</f>
        <v>0</v>
      </c>
      <c r="M2">
        <f>BDH("ALMU US Equity","BS_CUR_ASSET_REPORT","1993-06-18","2026-05-02","Per=Y","Days=T","Dir=V")</f>
        <v>0</v>
      </c>
      <c r="O2">
        <f>BDH("ALMU US Equity","BS_CUR_LIAB","1993-06-18","2026-05-02","Per=Y","Days=T","Dir=V")</f>
        <v>0</v>
      </c>
      <c r="Q2">
        <f>BDH("ALMU US Equity","BS_SHAREHOLDER_EQY_ENDING_PERIOD","1993-06-18","2026-05-02","Per=Y","Days=T","Dir=V")</f>
        <v>0</v>
      </c>
      <c r="S2">
        <f>BDH("ALMU US Equity","BS_ACCT_NOTE_RCV","1993-06-18","2026-05-02","Per=Y","Days=T","Dir=V")</f>
        <v>0</v>
      </c>
      <c r="U2">
        <f>BDH("ALMU US Equity","BS_INVENTORIES","1993-06-18","2026-05-02","Per=Y","Days=T","Dir=V")</f>
        <v>0</v>
      </c>
      <c r="W2">
        <f>BDH("ALMU US Equity","WORKING_CAPITAL","1993-06-18","2026-05-02","Per=Y","Days=T","Dir=V")</f>
        <v>0</v>
      </c>
      <c r="Y2">
        <f>BDH("ALMU US Equity","SALES_REV_TURN","1993-06-18","2026-05-02","Per=Y","Days=T","Dir=V")</f>
        <v>0</v>
      </c>
      <c r="AA2">
        <f>BDH("ALMU US Equity","EBIT","1993-06-18","2026-05-02","Per=Y","Days=T","Dir=V")</f>
        <v>0</v>
      </c>
      <c r="AC2">
        <f>BDH("ALMU US Equity","EBITDA","1993-06-18","2026-05-02","Per=Y","Days=T","Dir=V")</f>
        <v>0</v>
      </c>
      <c r="AE2">
        <f>BDH("ALMU US Equity","NET_INCOME","1993-06-18","2026-05-02","Per=Y","Days=T","Dir=V")</f>
        <v>0</v>
      </c>
      <c r="AG2">
        <f>BDH("ALMU US Equity","IS_INT_EXPENSE","1993-06-18","2026-05-02","Per=Y","Days=T","Dir=V")</f>
        <v>0</v>
      </c>
      <c r="AI2">
        <f>BDH("ALMU US Equity","IS_DEPR_EXP","1993-06-18","2026-05-02","Per=Y","Days=T","Dir=V")</f>
        <v>0</v>
      </c>
      <c r="AK2">
        <f>BDH("ALMU US Equity","CF_CASH_FROM_OPER","1993-06-18","2026-05-02","Per=Y","Days=T","Dir=V")</f>
        <v>0</v>
      </c>
      <c r="AM2">
        <f>BDH("ALMU US Equity","CAPITAL_EXPEND","1993-06-18","2026-05-02","Per=Y","Days=T","Dir=V")</f>
        <v>0</v>
      </c>
      <c r="AO2">
        <f>BDH("ALMU US Equity","CF_FREE_CASH_FLOW","1993-06-18","2026-05-02","Per=Y","Days=T","Dir=V")</f>
        <v>0</v>
      </c>
      <c r="AQ2">
        <f>BDH("ALMU US Equity","PX_LAST","1993-06-18","2026-05-02","Per=M","Days=T","Dir=V")</f>
        <v>0</v>
      </c>
      <c r="AS2">
        <f>BDH("ALMU US Equity","CUR_MKT_CAP","1993-06-18","2026-05-02","Per=M","Days=T","Dir=V")</f>
        <v>0</v>
      </c>
      <c r="AU2">
        <f>BDH("ALMU US Equity","EQY_SH_OUT","1993-06-18","2026-05-02","Per=M","Days=T","Dir=V")</f>
        <v>0</v>
      </c>
      <c r="AW2">
        <f>BDH("ALMU US Equity","PX_VOLUME","1993-06-18","2026-05-02","Per=M","Days=T","Dir=V")</f>
        <v>0</v>
      </c>
      <c r="AY2">
        <f>BDH("ALMU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BDH("ALNT US Equity","BS_TOT_ASSET","1993-06-18","2026-05-02","Per=Y","Days=T","Dir=V")</f>
        <v>0</v>
      </c>
      <c r="C2">
        <f>BDH("ALNT US Equity","BS_TOT_LIAB2","1993-06-18","2026-05-02","Per=Y","Days=T","Dir=V")</f>
        <v>0</v>
      </c>
      <c r="E2">
        <f>BDH("ALNT US Equity","SHORT_AND_LONG_TERM_DEBT","1993-06-18","2026-05-02","Per=Y","Days=T","Dir=V")</f>
        <v>0</v>
      </c>
      <c r="G2">
        <f>BDH("ALNT US Equity","BS_ST_BORROW","1993-06-18","2026-05-02","Per=Y","Days=T","Dir=V")</f>
        <v>0</v>
      </c>
      <c r="I2">
        <f>BDH("ALNT US Equity","BS_LT_BORROW","1993-06-18","2026-05-02","Per=Y","Days=T","Dir=V")</f>
        <v>0</v>
      </c>
      <c r="K2">
        <f>BDH("ALNT US Equity","BS_CASH_NEAR_CASH_ITEM","1993-06-18","2026-05-02","Per=Y","Days=T","Dir=V")</f>
        <v>0</v>
      </c>
      <c r="M2">
        <f>BDH("ALNT US Equity","BS_CUR_ASSET_REPORT","1993-06-18","2026-05-02","Per=Y","Days=T","Dir=V")</f>
        <v>0</v>
      </c>
      <c r="O2">
        <f>BDH("ALNT US Equity","BS_CUR_LIAB","1993-06-18","2026-05-02","Per=Y","Days=T","Dir=V")</f>
        <v>0</v>
      </c>
      <c r="Q2">
        <f>BDH("ALNT US Equity","BS_SHAREHOLDER_EQY_ENDING_PERIOD","1993-06-18","2026-05-02","Per=Y","Days=T","Dir=V")</f>
        <v>0</v>
      </c>
      <c r="S2">
        <f>BDH("ALNT US Equity","BS_ACCT_NOTE_RCV","1993-06-18","2026-05-02","Per=Y","Days=T","Dir=V")</f>
        <v>0</v>
      </c>
      <c r="U2">
        <f>BDH("ALNT US Equity","BS_INVENTORIES","1993-06-18","2026-05-02","Per=Y","Days=T","Dir=V")</f>
        <v>0</v>
      </c>
      <c r="W2">
        <f>BDH("ALNT US Equity","WORKING_CAPITAL","1993-06-18","2026-05-02","Per=Y","Days=T","Dir=V")</f>
        <v>0</v>
      </c>
      <c r="Y2">
        <f>BDH("ALNT US Equity","SALES_REV_TURN","1993-06-18","2026-05-02","Per=Y","Days=T","Dir=V")</f>
        <v>0</v>
      </c>
      <c r="AA2">
        <f>BDH("ALNT US Equity","EBIT","1993-06-18","2026-05-02","Per=Y","Days=T","Dir=V")</f>
        <v>0</v>
      </c>
      <c r="AC2">
        <f>BDH("ALNT US Equity","EBITDA","1993-06-18","2026-05-02","Per=Y","Days=T","Dir=V")</f>
        <v>0</v>
      </c>
      <c r="AE2">
        <f>BDH("ALNT US Equity","NET_INCOME","1993-06-18","2026-05-02","Per=Y","Days=T","Dir=V")</f>
        <v>0</v>
      </c>
      <c r="AG2">
        <f>BDH("ALNT US Equity","IS_INT_EXPENSE","1993-06-18","2026-05-02","Per=Y","Days=T","Dir=V")</f>
        <v>0</v>
      </c>
      <c r="AI2">
        <f>BDH("ALNT US Equity","IS_DEPR_EXP","1993-06-18","2026-05-02","Per=Y","Days=T","Dir=V")</f>
        <v>0</v>
      </c>
      <c r="AK2">
        <f>BDH("ALNT US Equity","CF_CASH_FROM_OPER","1993-06-18","2026-05-02","Per=Y","Days=T","Dir=V")</f>
        <v>0</v>
      </c>
      <c r="AM2">
        <f>BDH("ALNT US Equity","CAPITAL_EXPEND","1993-06-18","2026-05-02","Per=Y","Days=T","Dir=V")</f>
        <v>0</v>
      </c>
      <c r="AO2">
        <f>BDH("ALNT US Equity","CF_FREE_CASH_FLOW","1993-06-18","2026-05-02","Per=Y","Days=T","Dir=V")</f>
        <v>0</v>
      </c>
      <c r="AQ2">
        <f>BDH("ALNT US Equity","PX_LAST","1993-06-18","2026-05-02","Per=M","Days=T","Dir=V")</f>
        <v>0</v>
      </c>
      <c r="AS2">
        <f>BDH("ALNT US Equity","CUR_MKT_CAP","1993-06-18","2026-05-02","Per=M","Days=T","Dir=V")</f>
        <v>0</v>
      </c>
      <c r="AU2">
        <f>BDH("ALNT US Equity","EQY_SH_OUT","1993-06-18","2026-05-02","Per=M","Days=T","Dir=V")</f>
        <v>0</v>
      </c>
      <c r="AW2">
        <f>BDH("ALNT US Equity","PX_VOLUME","1993-06-18","2026-05-02","Per=M","Days=T","Dir=V")</f>
        <v>0</v>
      </c>
      <c r="AY2">
        <f>BDH("ALNT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BDH("ALNY US Equity","BS_TOT_ASSET","1993-06-18","2026-05-02","Per=Y","Days=T","Dir=V")</f>
        <v>0</v>
      </c>
      <c r="C2">
        <f>BDH("ALNY US Equity","BS_TOT_LIAB2","1993-06-18","2026-05-02","Per=Y","Days=T","Dir=V")</f>
        <v>0</v>
      </c>
      <c r="E2">
        <f>BDH("ALNY US Equity","SHORT_AND_LONG_TERM_DEBT","1993-06-18","2026-05-02","Per=Y","Days=T","Dir=V")</f>
        <v>0</v>
      </c>
      <c r="G2">
        <f>BDH("ALNY US Equity","BS_ST_BORROW","1993-06-18","2026-05-02","Per=Y","Days=T","Dir=V")</f>
        <v>0</v>
      </c>
      <c r="I2">
        <f>BDH("ALNY US Equity","BS_LT_BORROW","1993-06-18","2026-05-02","Per=Y","Days=T","Dir=V")</f>
        <v>0</v>
      </c>
      <c r="K2">
        <f>BDH("ALNY US Equity","BS_CASH_NEAR_CASH_ITEM","1993-06-18","2026-05-02","Per=Y","Days=T","Dir=V")</f>
        <v>0</v>
      </c>
      <c r="M2">
        <f>BDH("ALNY US Equity","BS_CUR_ASSET_REPORT","1993-06-18","2026-05-02","Per=Y","Days=T","Dir=V")</f>
        <v>0</v>
      </c>
      <c r="O2">
        <f>BDH("ALNY US Equity","BS_CUR_LIAB","1993-06-18","2026-05-02","Per=Y","Days=T","Dir=V")</f>
        <v>0</v>
      </c>
      <c r="Q2">
        <f>BDH("ALNY US Equity","BS_SHAREHOLDER_EQY_ENDING_PERIOD","1993-06-18","2026-05-02","Per=Y","Days=T","Dir=V")</f>
        <v>0</v>
      </c>
      <c r="S2">
        <f>BDH("ALNY US Equity","BS_ACCT_NOTE_RCV","1993-06-18","2026-05-02","Per=Y","Days=T","Dir=V")</f>
        <v>0</v>
      </c>
      <c r="U2">
        <f>BDH("ALNY US Equity","BS_INVENTORIES","1993-06-18","2026-05-02","Per=Y","Days=T","Dir=V")</f>
        <v>0</v>
      </c>
      <c r="W2">
        <f>BDH("ALNY US Equity","WORKING_CAPITAL","1993-06-18","2026-05-02","Per=Y","Days=T","Dir=V")</f>
        <v>0</v>
      </c>
      <c r="Y2">
        <f>BDH("ALNY US Equity","SALES_REV_TURN","1993-06-18","2026-05-02","Per=Y","Days=T","Dir=V")</f>
        <v>0</v>
      </c>
      <c r="AA2">
        <f>BDH("ALNY US Equity","EBIT","1993-06-18","2026-05-02","Per=Y","Days=T","Dir=V")</f>
        <v>0</v>
      </c>
      <c r="AC2">
        <f>BDH("ALNY US Equity","EBITDA","1993-06-18","2026-05-02","Per=Y","Days=T","Dir=V")</f>
        <v>0</v>
      </c>
      <c r="AE2">
        <f>BDH("ALNY US Equity","NET_INCOME","1993-06-18","2026-05-02","Per=Y","Days=T","Dir=V")</f>
        <v>0</v>
      </c>
      <c r="AG2">
        <f>BDH("ALNY US Equity","IS_INT_EXPENSE","1993-06-18","2026-05-02","Per=Y","Days=T","Dir=V")</f>
        <v>0</v>
      </c>
      <c r="AI2">
        <f>BDH("ALNY US Equity","IS_DEPR_EXP","1993-06-18","2026-05-02","Per=Y","Days=T","Dir=V")</f>
        <v>0</v>
      </c>
      <c r="AK2">
        <f>BDH("ALNY US Equity","CF_CASH_FROM_OPER","1993-06-18","2026-05-02","Per=Y","Days=T","Dir=V")</f>
        <v>0</v>
      </c>
      <c r="AM2">
        <f>BDH("ALNY US Equity","CAPITAL_EXPEND","1993-06-18","2026-05-02","Per=Y","Days=T","Dir=V")</f>
        <v>0</v>
      </c>
      <c r="AO2">
        <f>BDH("ALNY US Equity","CF_FREE_CASH_FLOW","1993-06-18","2026-05-02","Per=Y","Days=T","Dir=V")</f>
        <v>0</v>
      </c>
      <c r="AQ2">
        <f>BDH("ALNY US Equity","PX_LAST","1993-06-18","2026-05-02","Per=M","Days=T","Dir=V")</f>
        <v>0</v>
      </c>
      <c r="AS2">
        <f>BDH("ALNY US Equity","CUR_MKT_CAP","1993-06-18","2026-05-02","Per=M","Days=T","Dir=V")</f>
        <v>0</v>
      </c>
      <c r="AU2">
        <f>BDH("ALNY US Equity","EQY_SH_OUT","1993-06-18","2026-05-02","Per=M","Days=T","Dir=V")</f>
        <v>0</v>
      </c>
      <c r="AW2">
        <f>BDH("ALNY US Equity","PX_VOLUME","1993-06-18","2026-05-02","Per=M","Days=T","Dir=V")</f>
        <v>0</v>
      </c>
      <c r="AY2">
        <f>BDH("ALNY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BDH("ALOY US Equity","BS_TOT_ASSET","1993-06-18","2026-05-02","Per=Y","Days=T","Dir=V")</f>
        <v>0</v>
      </c>
      <c r="C2">
        <f>BDH("ALOY US Equity","BS_TOT_LIAB2","1993-06-18","2026-05-02","Per=Y","Days=T","Dir=V")</f>
        <v>0</v>
      </c>
      <c r="E2">
        <f>BDH("ALOY US Equity","SHORT_AND_LONG_TERM_DEBT","1993-06-18","2026-05-02","Per=Y","Days=T","Dir=V")</f>
        <v>0</v>
      </c>
      <c r="G2">
        <f>BDH("ALOY US Equity","BS_ST_BORROW","1993-06-18","2026-05-02","Per=Y","Days=T","Dir=V")</f>
        <v>0</v>
      </c>
      <c r="I2">
        <f>BDH("ALOY US Equity","BS_LT_BORROW","1993-06-18","2026-05-02","Per=Y","Days=T","Dir=V")</f>
        <v>0</v>
      </c>
      <c r="K2">
        <f>BDH("ALOY US Equity","BS_CASH_NEAR_CASH_ITEM","1993-06-18","2026-05-02","Per=Y","Days=T","Dir=V")</f>
        <v>0</v>
      </c>
      <c r="M2">
        <f>BDH("ALOY US Equity","BS_CUR_ASSET_REPORT","1993-06-18","2026-05-02","Per=Y","Days=T","Dir=V")</f>
        <v>0</v>
      </c>
      <c r="O2">
        <f>BDH("ALOY US Equity","BS_CUR_LIAB","1993-06-18","2026-05-02","Per=Y","Days=T","Dir=V")</f>
        <v>0</v>
      </c>
      <c r="Q2">
        <f>BDH("ALOY US Equity","BS_SHAREHOLDER_EQY_ENDING_PERIOD","1993-06-18","2026-05-02","Per=Y","Days=T","Dir=V")</f>
        <v>0</v>
      </c>
      <c r="S2">
        <f>BDH("ALOY US Equity","BS_ACCT_NOTE_RCV","1993-06-18","2026-05-02","Per=Y","Days=T","Dir=V")</f>
        <v>0</v>
      </c>
      <c r="U2">
        <f>BDH("ALOY US Equity","BS_INVENTORIES","1993-06-18","2026-05-02","Per=Y","Days=T","Dir=V")</f>
        <v>0</v>
      </c>
      <c r="W2">
        <f>BDH("ALOY US Equity","WORKING_CAPITAL","1993-06-18","2026-05-02","Per=Y","Days=T","Dir=V")</f>
        <v>0</v>
      </c>
      <c r="Y2">
        <f>BDH("ALOY US Equity","SALES_REV_TURN","1993-06-18","2026-05-02","Per=Y","Days=T","Dir=V")</f>
        <v>0</v>
      </c>
      <c r="AA2">
        <f>BDH("ALOY US Equity","EBIT","1993-06-18","2026-05-02","Per=Y","Days=T","Dir=V")</f>
        <v>0</v>
      </c>
      <c r="AC2">
        <f>BDH("ALOY US Equity","EBITDA","1993-06-18","2026-05-02","Per=Y","Days=T","Dir=V")</f>
        <v>0</v>
      </c>
      <c r="AE2">
        <f>BDH("ALOY US Equity","NET_INCOME","1993-06-18","2026-05-02","Per=Y","Days=T","Dir=V")</f>
        <v>0</v>
      </c>
      <c r="AG2">
        <f>BDH("ALOY US Equity","IS_INT_EXPENSE","1993-06-18","2026-05-02","Per=Y","Days=T","Dir=V")</f>
        <v>0</v>
      </c>
      <c r="AI2">
        <f>BDH("ALOY US Equity","IS_DEPR_EXP","1993-06-18","2026-05-02","Per=Y","Days=T","Dir=V")</f>
        <v>0</v>
      </c>
      <c r="AK2">
        <f>BDH("ALOY US Equity","CF_CASH_FROM_OPER","1993-06-18","2026-05-02","Per=Y","Days=T","Dir=V")</f>
        <v>0</v>
      </c>
      <c r="AM2">
        <f>BDH("ALOY US Equity","CAPITAL_EXPEND","1993-06-18","2026-05-02","Per=Y","Days=T","Dir=V")</f>
        <v>0</v>
      </c>
      <c r="AO2">
        <f>BDH("ALOY US Equity","CF_FREE_CASH_FLOW","1993-06-18","2026-05-02","Per=Y","Days=T","Dir=V")</f>
        <v>0</v>
      </c>
      <c r="AQ2">
        <f>BDH("ALOY US Equity","PX_LAST","1993-06-18","2026-05-02","Per=M","Days=T","Dir=V")</f>
        <v>0</v>
      </c>
      <c r="AS2">
        <f>BDH("ALOY US Equity","CUR_MKT_CAP","1993-06-18","2026-05-02","Per=M","Days=T","Dir=V")</f>
        <v>0</v>
      </c>
      <c r="AU2">
        <f>BDH("ALOY US Equity","EQY_SH_OUT","1993-06-18","2026-05-02","Per=M","Days=T","Dir=V")</f>
        <v>0</v>
      </c>
      <c r="AW2">
        <f>BDH("ALOY US Equity","PX_VOLUME","1993-06-18","2026-05-02","Per=M","Days=T","Dir=V")</f>
        <v>0</v>
      </c>
      <c r="AY2">
        <f>BDH("ALOY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BDH("ALRM US Equity","BS_TOT_ASSET","1993-06-18","2026-05-02","Per=Y","Days=T","Dir=V")</f>
        <v>0</v>
      </c>
      <c r="C2">
        <f>BDH("ALRM US Equity","BS_TOT_LIAB2","1993-06-18","2026-05-02","Per=Y","Days=T","Dir=V")</f>
        <v>0</v>
      </c>
      <c r="E2">
        <f>BDH("ALRM US Equity","SHORT_AND_LONG_TERM_DEBT","1993-06-18","2026-05-02","Per=Y","Days=T","Dir=V")</f>
        <v>0</v>
      </c>
      <c r="G2">
        <f>BDH("ALRM US Equity","BS_ST_BORROW","1993-06-18","2026-05-02","Per=Y","Days=T","Dir=V")</f>
        <v>0</v>
      </c>
      <c r="I2">
        <f>BDH("ALRM US Equity","BS_LT_BORROW","1993-06-18","2026-05-02","Per=Y","Days=T","Dir=V")</f>
        <v>0</v>
      </c>
      <c r="K2">
        <f>BDH("ALRM US Equity","BS_CASH_NEAR_CASH_ITEM","1993-06-18","2026-05-02","Per=Y","Days=T","Dir=V")</f>
        <v>0</v>
      </c>
      <c r="M2">
        <f>BDH("ALRM US Equity","BS_CUR_ASSET_REPORT","1993-06-18","2026-05-02","Per=Y","Days=T","Dir=V")</f>
        <v>0</v>
      </c>
      <c r="O2">
        <f>BDH("ALRM US Equity","BS_CUR_LIAB","1993-06-18","2026-05-02","Per=Y","Days=T","Dir=V")</f>
        <v>0</v>
      </c>
      <c r="Q2">
        <f>BDH("ALRM US Equity","BS_SHAREHOLDER_EQY_ENDING_PERIOD","1993-06-18","2026-05-02","Per=Y","Days=T","Dir=V")</f>
        <v>0</v>
      </c>
      <c r="S2">
        <f>BDH("ALRM US Equity","BS_ACCT_NOTE_RCV","1993-06-18","2026-05-02","Per=Y","Days=T","Dir=V")</f>
        <v>0</v>
      </c>
      <c r="U2">
        <f>BDH("ALRM US Equity","BS_INVENTORIES","1993-06-18","2026-05-02","Per=Y","Days=T","Dir=V")</f>
        <v>0</v>
      </c>
      <c r="W2">
        <f>BDH("ALRM US Equity","WORKING_CAPITAL","1993-06-18","2026-05-02","Per=Y","Days=T","Dir=V")</f>
        <v>0</v>
      </c>
      <c r="Y2">
        <f>BDH("ALRM US Equity","SALES_REV_TURN","1993-06-18","2026-05-02","Per=Y","Days=T","Dir=V")</f>
        <v>0</v>
      </c>
      <c r="AA2">
        <f>BDH("ALRM US Equity","EBIT","1993-06-18","2026-05-02","Per=Y","Days=T","Dir=V")</f>
        <v>0</v>
      </c>
      <c r="AC2">
        <f>BDH("ALRM US Equity","EBITDA","1993-06-18","2026-05-02","Per=Y","Days=T","Dir=V")</f>
        <v>0</v>
      </c>
      <c r="AE2">
        <f>BDH("ALRM US Equity","NET_INCOME","1993-06-18","2026-05-02","Per=Y","Days=T","Dir=V")</f>
        <v>0</v>
      </c>
      <c r="AG2">
        <f>BDH("ALRM US Equity","IS_INT_EXPENSE","1993-06-18","2026-05-02","Per=Y","Days=T","Dir=V")</f>
        <v>0</v>
      </c>
      <c r="AI2">
        <f>BDH("ALRM US Equity","IS_DEPR_EXP","1993-06-18","2026-05-02","Per=Y","Days=T","Dir=V")</f>
        <v>0</v>
      </c>
      <c r="AK2">
        <f>BDH("ALRM US Equity","CF_CASH_FROM_OPER","1993-06-18","2026-05-02","Per=Y","Days=T","Dir=V")</f>
        <v>0</v>
      </c>
      <c r="AM2">
        <f>BDH("ALRM US Equity","CAPITAL_EXPEND","1993-06-18","2026-05-02","Per=Y","Days=T","Dir=V")</f>
        <v>0</v>
      </c>
      <c r="AO2">
        <f>BDH("ALRM US Equity","CF_FREE_CASH_FLOW","1993-06-18","2026-05-02","Per=Y","Days=T","Dir=V")</f>
        <v>0</v>
      </c>
      <c r="AQ2">
        <f>BDH("ALRM US Equity","PX_LAST","1993-06-18","2026-05-02","Per=M","Days=T","Dir=V")</f>
        <v>0</v>
      </c>
      <c r="AS2">
        <f>BDH("ALRM US Equity","CUR_MKT_CAP","1993-06-18","2026-05-02","Per=M","Days=T","Dir=V")</f>
        <v>0</v>
      </c>
      <c r="AU2">
        <f>BDH("ALRM US Equity","EQY_SH_OUT","1993-06-18","2026-05-02","Per=M","Days=T","Dir=V")</f>
        <v>0</v>
      </c>
      <c r="AW2">
        <f>BDH("ALRM US Equity","PX_VOLUME","1993-06-18","2026-05-02","Per=M","Days=T","Dir=V")</f>
        <v>0</v>
      </c>
      <c r="AY2">
        <f>BDH("ALRM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BDH("ALSN US Equity","BS_TOT_ASSET","1993-06-18","2026-05-02","Per=Y","Days=T","Dir=V")</f>
        <v>0</v>
      </c>
      <c r="C2">
        <f>BDH("ALSN US Equity","BS_TOT_LIAB2","1993-06-18","2026-05-02","Per=Y","Days=T","Dir=V")</f>
        <v>0</v>
      </c>
      <c r="E2">
        <f>BDH("ALSN US Equity","SHORT_AND_LONG_TERM_DEBT","1993-06-18","2026-05-02","Per=Y","Days=T","Dir=V")</f>
        <v>0</v>
      </c>
      <c r="G2">
        <f>BDH("ALSN US Equity","BS_ST_BORROW","1993-06-18","2026-05-02","Per=Y","Days=T","Dir=V")</f>
        <v>0</v>
      </c>
      <c r="I2">
        <f>BDH("ALSN US Equity","BS_LT_BORROW","1993-06-18","2026-05-02","Per=Y","Days=T","Dir=V")</f>
        <v>0</v>
      </c>
      <c r="K2">
        <f>BDH("ALSN US Equity","BS_CASH_NEAR_CASH_ITEM","1993-06-18","2026-05-02","Per=Y","Days=T","Dir=V")</f>
        <v>0</v>
      </c>
      <c r="M2">
        <f>BDH("ALSN US Equity","BS_CUR_ASSET_REPORT","1993-06-18","2026-05-02","Per=Y","Days=T","Dir=V")</f>
        <v>0</v>
      </c>
      <c r="O2">
        <f>BDH("ALSN US Equity","BS_CUR_LIAB","1993-06-18","2026-05-02","Per=Y","Days=T","Dir=V")</f>
        <v>0</v>
      </c>
      <c r="Q2">
        <f>BDH("ALSN US Equity","BS_SHAREHOLDER_EQY_ENDING_PERIOD","1993-06-18","2026-05-02","Per=Y","Days=T","Dir=V")</f>
        <v>0</v>
      </c>
      <c r="S2">
        <f>BDH("ALSN US Equity","BS_ACCT_NOTE_RCV","1993-06-18","2026-05-02","Per=Y","Days=T","Dir=V")</f>
        <v>0</v>
      </c>
      <c r="U2">
        <f>BDH("ALSN US Equity","BS_INVENTORIES","1993-06-18","2026-05-02","Per=Y","Days=T","Dir=V")</f>
        <v>0</v>
      </c>
      <c r="W2">
        <f>BDH("ALSN US Equity","WORKING_CAPITAL","1993-06-18","2026-05-02","Per=Y","Days=T","Dir=V")</f>
        <v>0</v>
      </c>
      <c r="Y2">
        <f>BDH("ALSN US Equity","SALES_REV_TURN","1993-06-18","2026-05-02","Per=Y","Days=T","Dir=V")</f>
        <v>0</v>
      </c>
      <c r="AA2">
        <f>BDH("ALSN US Equity","EBIT","1993-06-18","2026-05-02","Per=Y","Days=T","Dir=V")</f>
        <v>0</v>
      </c>
      <c r="AC2">
        <f>BDH("ALSN US Equity","EBITDA","1993-06-18","2026-05-02","Per=Y","Days=T","Dir=V")</f>
        <v>0</v>
      </c>
      <c r="AE2">
        <f>BDH("ALSN US Equity","NET_INCOME","1993-06-18","2026-05-02","Per=Y","Days=T","Dir=V")</f>
        <v>0</v>
      </c>
      <c r="AG2">
        <f>BDH("ALSN US Equity","IS_INT_EXPENSE","1993-06-18","2026-05-02","Per=Y","Days=T","Dir=V")</f>
        <v>0</v>
      </c>
      <c r="AI2">
        <f>BDH("ALSN US Equity","IS_DEPR_EXP","1993-06-18","2026-05-02","Per=Y","Days=T","Dir=V")</f>
        <v>0</v>
      </c>
      <c r="AK2">
        <f>BDH("ALSN US Equity","CF_CASH_FROM_OPER","1993-06-18","2026-05-02","Per=Y","Days=T","Dir=V")</f>
        <v>0</v>
      </c>
      <c r="AM2">
        <f>BDH("ALSN US Equity","CAPITAL_EXPEND","1993-06-18","2026-05-02","Per=Y","Days=T","Dir=V")</f>
        <v>0</v>
      </c>
      <c r="AO2">
        <f>BDH("ALSN US Equity","CF_FREE_CASH_FLOW","1993-06-18","2026-05-02","Per=Y","Days=T","Dir=V")</f>
        <v>0</v>
      </c>
      <c r="AQ2">
        <f>BDH("ALSN US Equity","PX_LAST","1993-06-18","2026-05-02","Per=M","Days=T","Dir=V")</f>
        <v>0</v>
      </c>
      <c r="AS2">
        <f>BDH("ALSN US Equity","CUR_MKT_CAP","1993-06-18","2026-05-02","Per=M","Days=T","Dir=V")</f>
        <v>0</v>
      </c>
      <c r="AU2">
        <f>BDH("ALSN US Equity","EQY_SH_OUT","1993-06-18","2026-05-02","Per=M","Days=T","Dir=V")</f>
        <v>0</v>
      </c>
      <c r="AW2">
        <f>BDH("ALSN US Equity","PX_VOLUME","1993-06-18","2026-05-02","Per=M","Days=T","Dir=V")</f>
        <v>0</v>
      </c>
      <c r="AY2">
        <f>BDH("ALSN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BDH("ALT US Equity","BS_TOT_ASSET","1993-06-18","2026-05-02","Per=Y","Days=T","Dir=V")</f>
        <v>0</v>
      </c>
      <c r="C2">
        <f>BDH("ALT US Equity","BS_TOT_LIAB2","1993-06-18","2026-05-02","Per=Y","Days=T","Dir=V")</f>
        <v>0</v>
      </c>
      <c r="E2">
        <f>BDH("ALT US Equity","SHORT_AND_LONG_TERM_DEBT","1993-06-18","2026-05-02","Per=Y","Days=T","Dir=V")</f>
        <v>0</v>
      </c>
      <c r="G2">
        <f>BDH("ALT US Equity","BS_ST_BORROW","1993-06-18","2026-05-02","Per=Y","Days=T","Dir=V")</f>
        <v>0</v>
      </c>
      <c r="I2">
        <f>BDH("ALT US Equity","BS_LT_BORROW","1993-06-18","2026-05-02","Per=Y","Days=T","Dir=V")</f>
        <v>0</v>
      </c>
      <c r="K2">
        <f>BDH("ALT US Equity","BS_CASH_NEAR_CASH_ITEM","1993-06-18","2026-05-02","Per=Y","Days=T","Dir=V")</f>
        <v>0</v>
      </c>
      <c r="M2">
        <f>BDH("ALT US Equity","BS_CUR_ASSET_REPORT","1993-06-18","2026-05-02","Per=Y","Days=T","Dir=V")</f>
        <v>0</v>
      </c>
      <c r="O2">
        <f>BDH("ALT US Equity","BS_CUR_LIAB","1993-06-18","2026-05-02","Per=Y","Days=T","Dir=V")</f>
        <v>0</v>
      </c>
      <c r="Q2">
        <f>BDH("ALT US Equity","BS_SHAREHOLDER_EQY_ENDING_PERIOD","1993-06-18","2026-05-02","Per=Y","Days=T","Dir=V")</f>
        <v>0</v>
      </c>
      <c r="S2">
        <f>BDH("ALT US Equity","BS_ACCT_NOTE_RCV","1993-06-18","2026-05-02","Per=Y","Days=T","Dir=V")</f>
        <v>0</v>
      </c>
      <c r="U2">
        <f>BDH("ALT US Equity","BS_INVENTORIES","1993-06-18","2026-05-02","Per=Y","Days=T","Dir=V")</f>
        <v>0</v>
      </c>
      <c r="W2">
        <f>BDH("ALT US Equity","WORKING_CAPITAL","1993-06-18","2026-05-02","Per=Y","Days=T","Dir=V")</f>
        <v>0</v>
      </c>
      <c r="Y2">
        <f>BDH("ALT US Equity","SALES_REV_TURN","1993-06-18","2026-05-02","Per=Y","Days=T","Dir=V")</f>
        <v>0</v>
      </c>
      <c r="AA2">
        <f>BDH("ALT US Equity","EBIT","1993-06-18","2026-05-02","Per=Y","Days=T","Dir=V")</f>
        <v>0</v>
      </c>
      <c r="AC2">
        <f>BDH("ALT US Equity","EBITDA","1993-06-18","2026-05-02","Per=Y","Days=T","Dir=V")</f>
        <v>0</v>
      </c>
      <c r="AE2">
        <f>BDH("ALT US Equity","NET_INCOME","1993-06-18","2026-05-02","Per=Y","Days=T","Dir=V")</f>
        <v>0</v>
      </c>
      <c r="AG2">
        <f>BDH("ALT US Equity","IS_INT_EXPENSE","1993-06-18","2026-05-02","Per=Y","Days=T","Dir=V")</f>
        <v>0</v>
      </c>
      <c r="AI2">
        <f>BDH("ALT US Equity","IS_DEPR_EXP","1993-06-18","2026-05-02","Per=Y","Days=T","Dir=V")</f>
        <v>0</v>
      </c>
      <c r="AK2">
        <f>BDH("ALT US Equity","CF_CASH_FROM_OPER","1993-06-18","2026-05-02","Per=Y","Days=T","Dir=V")</f>
        <v>0</v>
      </c>
      <c r="AM2">
        <f>BDH("ALT US Equity","CAPITAL_EXPEND","1993-06-18","2026-05-02","Per=Y","Days=T","Dir=V")</f>
        <v>0</v>
      </c>
      <c r="AO2">
        <f>BDH("ALT US Equity","CF_FREE_CASH_FLOW","1993-06-18","2026-05-02","Per=Y","Days=T","Dir=V")</f>
        <v>0</v>
      </c>
      <c r="AQ2">
        <f>BDH("ALT US Equity","PX_LAST","1993-06-18","2026-05-02","Per=M","Days=T","Dir=V")</f>
        <v>0</v>
      </c>
      <c r="AS2">
        <f>BDH("ALT US Equity","CUR_MKT_CAP","1993-06-18","2026-05-02","Per=M","Days=T","Dir=V")</f>
        <v>0</v>
      </c>
      <c r="AU2">
        <f>BDH("ALT US Equity","EQY_SH_OUT","1993-06-18","2026-05-02","Per=M","Days=T","Dir=V")</f>
        <v>0</v>
      </c>
      <c r="AW2">
        <f>BDH("ALT US Equity","PX_VOLUME","1993-06-18","2026-05-02","Per=M","Days=T","Dir=V")</f>
        <v>0</v>
      </c>
      <c r="AY2">
        <f>BDH("ALT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BDH("ALTG US Equity","BS_TOT_ASSET","1993-06-18","2026-05-02","Per=Y","Days=T","Dir=V")</f>
        <v>0</v>
      </c>
      <c r="C2">
        <f>BDH("ALTG US Equity","BS_TOT_LIAB2","1993-06-18","2026-05-02","Per=Y","Days=T","Dir=V")</f>
        <v>0</v>
      </c>
      <c r="E2">
        <f>BDH("ALTG US Equity","SHORT_AND_LONG_TERM_DEBT","1993-06-18","2026-05-02","Per=Y","Days=T","Dir=V")</f>
        <v>0</v>
      </c>
      <c r="G2">
        <f>BDH("ALTG US Equity","BS_ST_BORROW","1993-06-18","2026-05-02","Per=Y","Days=T","Dir=V")</f>
        <v>0</v>
      </c>
      <c r="I2">
        <f>BDH("ALTG US Equity","BS_LT_BORROW","1993-06-18","2026-05-02","Per=Y","Days=T","Dir=V")</f>
        <v>0</v>
      </c>
      <c r="K2">
        <f>BDH("ALTG US Equity","BS_CASH_NEAR_CASH_ITEM","1993-06-18","2026-05-02","Per=Y","Days=T","Dir=V")</f>
        <v>0</v>
      </c>
      <c r="M2">
        <f>BDH("ALTG US Equity","BS_CUR_ASSET_REPORT","1993-06-18","2026-05-02","Per=Y","Days=T","Dir=V")</f>
        <v>0</v>
      </c>
      <c r="O2">
        <f>BDH("ALTG US Equity","BS_CUR_LIAB","1993-06-18","2026-05-02","Per=Y","Days=T","Dir=V")</f>
        <v>0</v>
      </c>
      <c r="Q2">
        <f>BDH("ALTG US Equity","BS_SHAREHOLDER_EQY_ENDING_PERIOD","1993-06-18","2026-05-02","Per=Y","Days=T","Dir=V")</f>
        <v>0</v>
      </c>
      <c r="S2">
        <f>BDH("ALTG US Equity","BS_ACCT_NOTE_RCV","1993-06-18","2026-05-02","Per=Y","Days=T","Dir=V")</f>
        <v>0</v>
      </c>
      <c r="U2">
        <f>BDH("ALTG US Equity","BS_INVENTORIES","1993-06-18","2026-05-02","Per=Y","Days=T","Dir=V")</f>
        <v>0</v>
      </c>
      <c r="W2">
        <f>BDH("ALTG US Equity","WORKING_CAPITAL","1993-06-18","2026-05-02","Per=Y","Days=T","Dir=V")</f>
        <v>0</v>
      </c>
      <c r="Y2">
        <f>BDH("ALTG US Equity","SALES_REV_TURN","1993-06-18","2026-05-02","Per=Y","Days=T","Dir=V")</f>
        <v>0</v>
      </c>
      <c r="AA2">
        <f>BDH("ALTG US Equity","EBIT","1993-06-18","2026-05-02","Per=Y","Days=T","Dir=V")</f>
        <v>0</v>
      </c>
      <c r="AC2">
        <f>BDH("ALTG US Equity","EBITDA","1993-06-18","2026-05-02","Per=Y","Days=T","Dir=V")</f>
        <v>0</v>
      </c>
      <c r="AE2">
        <f>BDH("ALTG US Equity","NET_INCOME","1993-06-18","2026-05-02","Per=Y","Days=T","Dir=V")</f>
        <v>0</v>
      </c>
      <c r="AG2">
        <f>BDH("ALTG US Equity","IS_INT_EXPENSE","1993-06-18","2026-05-02","Per=Y","Days=T","Dir=V")</f>
        <v>0</v>
      </c>
      <c r="AI2">
        <f>BDH("ALTG US Equity","IS_DEPR_EXP","1993-06-18","2026-05-02","Per=Y","Days=T","Dir=V")</f>
        <v>0</v>
      </c>
      <c r="AK2">
        <f>BDH("ALTG US Equity","CF_CASH_FROM_OPER","1993-06-18","2026-05-02","Per=Y","Days=T","Dir=V")</f>
        <v>0</v>
      </c>
      <c r="AM2">
        <f>BDH("ALTG US Equity","CAPITAL_EXPEND","1993-06-18","2026-05-02","Per=Y","Days=T","Dir=V")</f>
        <v>0</v>
      </c>
      <c r="AO2">
        <f>BDH("ALTG US Equity","CF_FREE_CASH_FLOW","1993-06-18","2026-05-02","Per=Y","Days=T","Dir=V")</f>
        <v>0</v>
      </c>
      <c r="AQ2">
        <f>BDH("ALTG US Equity","PX_LAST","1993-06-18","2026-05-02","Per=M","Days=T","Dir=V")</f>
        <v>0</v>
      </c>
      <c r="AS2">
        <f>BDH("ALTG US Equity","CUR_MKT_CAP","1993-06-18","2026-05-02","Per=M","Days=T","Dir=V")</f>
        <v>0</v>
      </c>
      <c r="AU2">
        <f>BDH("ALTG US Equity","EQY_SH_OUT","1993-06-18","2026-05-02","Per=M","Days=T","Dir=V")</f>
        <v>0</v>
      </c>
      <c r="AW2">
        <f>BDH("ALTG US Equity","PX_VOLUME","1993-06-18","2026-05-02","Per=M","Days=T","Dir=V")</f>
        <v>0</v>
      </c>
      <c r="AY2">
        <f>BDH("ALTG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BDH("ALTO US Equity","BS_TOT_ASSET","1993-06-18","2026-05-02","Per=Y","Days=T","Dir=V")</f>
        <v>0</v>
      </c>
      <c r="C2">
        <f>BDH("ALTO US Equity","BS_TOT_LIAB2","1993-06-18","2026-05-02","Per=Y","Days=T","Dir=V")</f>
        <v>0</v>
      </c>
      <c r="E2">
        <f>BDH("ALTO US Equity","SHORT_AND_LONG_TERM_DEBT","1993-06-18","2026-05-02","Per=Y","Days=T","Dir=V")</f>
        <v>0</v>
      </c>
      <c r="G2">
        <f>BDH("ALTO US Equity","BS_ST_BORROW","1993-06-18","2026-05-02","Per=Y","Days=T","Dir=V")</f>
        <v>0</v>
      </c>
      <c r="I2">
        <f>BDH("ALTO US Equity","BS_LT_BORROW","1993-06-18","2026-05-02","Per=Y","Days=T","Dir=V")</f>
        <v>0</v>
      </c>
      <c r="K2">
        <f>BDH("ALTO US Equity","BS_CASH_NEAR_CASH_ITEM","1993-06-18","2026-05-02","Per=Y","Days=T","Dir=V")</f>
        <v>0</v>
      </c>
      <c r="M2">
        <f>BDH("ALTO US Equity","BS_CUR_ASSET_REPORT","1993-06-18","2026-05-02","Per=Y","Days=T","Dir=V")</f>
        <v>0</v>
      </c>
      <c r="O2">
        <f>BDH("ALTO US Equity","BS_CUR_LIAB","1993-06-18","2026-05-02","Per=Y","Days=T","Dir=V")</f>
        <v>0</v>
      </c>
      <c r="Q2">
        <f>BDH("ALTO US Equity","BS_SHAREHOLDER_EQY_ENDING_PERIOD","1993-06-18","2026-05-02","Per=Y","Days=T","Dir=V")</f>
        <v>0</v>
      </c>
      <c r="S2">
        <f>BDH("ALTO US Equity","BS_ACCT_NOTE_RCV","1993-06-18","2026-05-02","Per=Y","Days=T","Dir=V")</f>
        <v>0</v>
      </c>
      <c r="U2">
        <f>BDH("ALTO US Equity","BS_INVENTORIES","1993-06-18","2026-05-02","Per=Y","Days=T","Dir=V")</f>
        <v>0</v>
      </c>
      <c r="W2">
        <f>BDH("ALTO US Equity","WORKING_CAPITAL","1993-06-18","2026-05-02","Per=Y","Days=T","Dir=V")</f>
        <v>0</v>
      </c>
      <c r="Y2">
        <f>BDH("ALTO US Equity","SALES_REV_TURN","1993-06-18","2026-05-02","Per=Y","Days=T","Dir=V")</f>
        <v>0</v>
      </c>
      <c r="AA2">
        <f>BDH("ALTO US Equity","EBIT","1993-06-18","2026-05-02","Per=Y","Days=T","Dir=V")</f>
        <v>0</v>
      </c>
      <c r="AC2">
        <f>BDH("ALTO US Equity","EBITDA","1993-06-18","2026-05-02","Per=Y","Days=T","Dir=V")</f>
        <v>0</v>
      </c>
      <c r="AE2">
        <f>BDH("ALTO US Equity","NET_INCOME","1993-06-18","2026-05-02","Per=Y","Days=T","Dir=V")</f>
        <v>0</v>
      </c>
      <c r="AG2">
        <f>BDH("ALTO US Equity","IS_INT_EXPENSE","1993-06-18","2026-05-02","Per=Y","Days=T","Dir=V")</f>
        <v>0</v>
      </c>
      <c r="AI2">
        <f>BDH("ALTO US Equity","IS_DEPR_EXP","1993-06-18","2026-05-02","Per=Y","Days=T","Dir=V")</f>
        <v>0</v>
      </c>
      <c r="AK2">
        <f>BDH("ALTO US Equity","CF_CASH_FROM_OPER","1993-06-18","2026-05-02","Per=Y","Days=T","Dir=V")</f>
        <v>0</v>
      </c>
      <c r="AM2">
        <f>BDH("ALTO US Equity","CAPITAL_EXPEND","1993-06-18","2026-05-02","Per=Y","Days=T","Dir=V")</f>
        <v>0</v>
      </c>
      <c r="AO2">
        <f>BDH("ALTO US Equity","CF_FREE_CASH_FLOW","1993-06-18","2026-05-02","Per=Y","Days=T","Dir=V")</f>
        <v>0</v>
      </c>
      <c r="AQ2">
        <f>BDH("ALTO US Equity","PX_LAST","1993-06-18","2026-05-02","Per=M","Days=T","Dir=V")</f>
        <v>0</v>
      </c>
      <c r="AS2">
        <f>BDH("ALTO US Equity","CUR_MKT_CAP","1993-06-18","2026-05-02","Per=M","Days=T","Dir=V")</f>
        <v>0</v>
      </c>
      <c r="AU2">
        <f>BDH("ALTO US Equity","EQY_SH_OUT","1993-06-18","2026-05-02","Per=M","Days=T","Dir=V")</f>
        <v>0</v>
      </c>
      <c r="AW2">
        <f>BDH("ALTO US Equity","PX_VOLUME","1993-06-18","2026-05-02","Per=M","Days=T","Dir=V")</f>
        <v>0</v>
      </c>
      <c r="AY2">
        <f>BDH("ALTO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BDH("ALXO US Equity","BS_TOT_ASSET","1993-06-18","2026-05-02","Per=Y","Days=T","Dir=V")</f>
        <v>0</v>
      </c>
      <c r="C2">
        <f>BDH("ALXO US Equity","BS_TOT_LIAB2","1993-06-18","2026-05-02","Per=Y","Days=T","Dir=V")</f>
        <v>0</v>
      </c>
      <c r="E2">
        <f>BDH("ALXO US Equity","SHORT_AND_LONG_TERM_DEBT","1993-06-18","2026-05-02","Per=Y","Days=T","Dir=V")</f>
        <v>0</v>
      </c>
      <c r="G2">
        <f>BDH("ALXO US Equity","BS_ST_BORROW","1993-06-18","2026-05-02","Per=Y","Days=T","Dir=V")</f>
        <v>0</v>
      </c>
      <c r="I2">
        <f>BDH("ALXO US Equity","BS_LT_BORROW","1993-06-18","2026-05-02","Per=Y","Days=T","Dir=V")</f>
        <v>0</v>
      </c>
      <c r="K2">
        <f>BDH("ALXO US Equity","BS_CASH_NEAR_CASH_ITEM","1993-06-18","2026-05-02","Per=Y","Days=T","Dir=V")</f>
        <v>0</v>
      </c>
      <c r="M2">
        <f>BDH("ALXO US Equity","BS_CUR_ASSET_REPORT","1993-06-18","2026-05-02","Per=Y","Days=T","Dir=V")</f>
        <v>0</v>
      </c>
      <c r="O2">
        <f>BDH("ALXO US Equity","BS_CUR_LIAB","1993-06-18","2026-05-02","Per=Y","Days=T","Dir=V")</f>
        <v>0</v>
      </c>
      <c r="Q2">
        <f>BDH("ALXO US Equity","BS_SHAREHOLDER_EQY_ENDING_PERIOD","1993-06-18","2026-05-02","Per=Y","Days=T","Dir=V")</f>
        <v>0</v>
      </c>
      <c r="S2">
        <f>BDH("ALXO US Equity","BS_ACCT_NOTE_RCV","1993-06-18","2026-05-02","Per=Y","Days=T","Dir=V")</f>
        <v>0</v>
      </c>
      <c r="U2">
        <f>BDH("ALXO US Equity","BS_INVENTORIES","1993-06-18","2026-05-02","Per=Y","Days=T","Dir=V")</f>
        <v>0</v>
      </c>
      <c r="W2">
        <f>BDH("ALXO US Equity","WORKING_CAPITAL","1993-06-18","2026-05-02","Per=Y","Days=T","Dir=V")</f>
        <v>0</v>
      </c>
      <c r="Y2">
        <f>BDH("ALXO US Equity","SALES_REV_TURN","1993-06-18","2026-05-02","Per=Y","Days=T","Dir=V")</f>
        <v>0</v>
      </c>
      <c r="AA2">
        <f>BDH("ALXO US Equity","EBIT","1993-06-18","2026-05-02","Per=Y","Days=T","Dir=V")</f>
        <v>0</v>
      </c>
      <c r="AC2">
        <f>BDH("ALXO US Equity","EBITDA","1993-06-18","2026-05-02","Per=Y","Days=T","Dir=V")</f>
        <v>0</v>
      </c>
      <c r="AE2">
        <f>BDH("ALXO US Equity","NET_INCOME","1993-06-18","2026-05-02","Per=Y","Days=T","Dir=V")</f>
        <v>0</v>
      </c>
      <c r="AG2">
        <f>BDH("ALXO US Equity","IS_INT_EXPENSE","1993-06-18","2026-05-02","Per=Y","Days=T","Dir=V")</f>
        <v>0</v>
      </c>
      <c r="AI2">
        <f>BDH("ALXO US Equity","IS_DEPR_EXP","1993-06-18","2026-05-02","Per=Y","Days=T","Dir=V")</f>
        <v>0</v>
      </c>
      <c r="AK2">
        <f>BDH("ALXO US Equity","CF_CASH_FROM_OPER","1993-06-18","2026-05-02","Per=Y","Days=T","Dir=V")</f>
        <v>0</v>
      </c>
      <c r="AM2">
        <f>BDH("ALXO US Equity","CAPITAL_EXPEND","1993-06-18","2026-05-02","Per=Y","Days=T","Dir=V")</f>
        <v>0</v>
      </c>
      <c r="AO2">
        <f>BDH("ALXO US Equity","CF_FREE_CASH_FLOW","1993-06-18","2026-05-02","Per=Y","Days=T","Dir=V")</f>
        <v>0</v>
      </c>
      <c r="AQ2">
        <f>BDH("ALXO US Equity","PX_LAST","1993-06-18","2026-05-02","Per=M","Days=T","Dir=V")</f>
        <v>0</v>
      </c>
      <c r="AS2">
        <f>BDH("ALXO US Equity","CUR_MKT_CAP","1993-06-18","2026-05-02","Per=M","Days=T","Dir=V")</f>
        <v>0</v>
      </c>
      <c r="AU2">
        <f>BDH("ALXO US Equity","EQY_SH_OUT","1993-06-18","2026-05-02","Per=M","Days=T","Dir=V")</f>
        <v>0</v>
      </c>
      <c r="AW2">
        <f>BDH("ALXO US Equity","PX_VOLUME","1993-06-18","2026-05-02","Per=M","Days=T","Dir=V")</f>
        <v>0</v>
      </c>
      <c r="AY2">
        <f>BDH("ALXO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BDH("ALZN US Equity","BS_TOT_ASSET","1993-06-18","2026-05-02","Per=Y","Days=T","Dir=V")</f>
        <v>0</v>
      </c>
      <c r="C2">
        <f>BDH("ALZN US Equity","BS_TOT_LIAB2","1993-06-18","2026-05-02","Per=Y","Days=T","Dir=V")</f>
        <v>0</v>
      </c>
      <c r="E2">
        <f>BDH("ALZN US Equity","SHORT_AND_LONG_TERM_DEBT","1993-06-18","2026-05-02","Per=Y","Days=T","Dir=V")</f>
        <v>0</v>
      </c>
      <c r="G2">
        <f>BDH("ALZN US Equity","BS_ST_BORROW","1993-06-18","2026-05-02","Per=Y","Days=T","Dir=V")</f>
        <v>0</v>
      </c>
      <c r="I2">
        <f>BDH("ALZN US Equity","BS_LT_BORROW","1993-06-18","2026-05-02","Per=Y","Days=T","Dir=V")</f>
        <v>0</v>
      </c>
      <c r="K2">
        <f>BDH("ALZN US Equity","BS_CASH_NEAR_CASH_ITEM","1993-06-18","2026-05-02","Per=Y","Days=T","Dir=V")</f>
        <v>0</v>
      </c>
      <c r="M2">
        <f>BDH("ALZN US Equity","BS_CUR_ASSET_REPORT","1993-06-18","2026-05-02","Per=Y","Days=T","Dir=V")</f>
        <v>0</v>
      </c>
      <c r="O2">
        <f>BDH("ALZN US Equity","BS_CUR_LIAB","1993-06-18","2026-05-02","Per=Y","Days=T","Dir=V")</f>
        <v>0</v>
      </c>
      <c r="Q2">
        <f>BDH("ALZN US Equity","BS_SHAREHOLDER_EQY_ENDING_PERIOD","1993-06-18","2026-05-02","Per=Y","Days=T","Dir=V")</f>
        <v>0</v>
      </c>
      <c r="S2">
        <f>BDH("ALZN US Equity","BS_ACCT_NOTE_RCV","1993-06-18","2026-05-02","Per=Y","Days=T","Dir=V")</f>
        <v>0</v>
      </c>
      <c r="U2">
        <f>BDH("ALZN US Equity","BS_INVENTORIES","1993-06-18","2026-05-02","Per=Y","Days=T","Dir=V")</f>
        <v>0</v>
      </c>
      <c r="W2">
        <f>BDH("ALZN US Equity","WORKING_CAPITAL","1993-06-18","2026-05-02","Per=Y","Days=T","Dir=V")</f>
        <v>0</v>
      </c>
      <c r="Y2">
        <f>BDH("ALZN US Equity","SALES_REV_TURN","1993-06-18","2026-05-02","Per=Y","Days=T","Dir=V")</f>
        <v>0</v>
      </c>
      <c r="AA2">
        <f>BDH("ALZN US Equity","EBIT","1993-06-18","2026-05-02","Per=Y","Days=T","Dir=V")</f>
        <v>0</v>
      </c>
      <c r="AC2">
        <f>BDH("ALZN US Equity","EBITDA","1993-06-18","2026-05-02","Per=Y","Days=T","Dir=V")</f>
        <v>0</v>
      </c>
      <c r="AE2">
        <f>BDH("ALZN US Equity","NET_INCOME","1993-06-18","2026-05-02","Per=Y","Days=T","Dir=V")</f>
        <v>0</v>
      </c>
      <c r="AG2">
        <f>BDH("ALZN US Equity","IS_INT_EXPENSE","1993-06-18","2026-05-02","Per=Y","Days=T","Dir=V")</f>
        <v>0</v>
      </c>
      <c r="AI2">
        <f>BDH("ALZN US Equity","IS_DEPR_EXP","1993-06-18","2026-05-02","Per=Y","Days=T","Dir=V")</f>
        <v>0</v>
      </c>
      <c r="AK2">
        <f>BDH("ALZN US Equity","CF_CASH_FROM_OPER","1993-06-18","2026-05-02","Per=Y","Days=T","Dir=V")</f>
        <v>0</v>
      </c>
      <c r="AM2">
        <f>BDH("ALZN US Equity","CAPITAL_EXPEND","1993-06-18","2026-05-02","Per=Y","Days=T","Dir=V")</f>
        <v>0</v>
      </c>
      <c r="AO2">
        <f>BDH("ALZN US Equity","CF_FREE_CASH_FLOW","1993-06-18","2026-05-02","Per=Y","Days=T","Dir=V")</f>
        <v>0</v>
      </c>
      <c r="AQ2">
        <f>BDH("ALZN US Equity","PX_LAST","1993-06-18","2026-05-02","Per=M","Days=T","Dir=V")</f>
        <v>0</v>
      </c>
      <c r="AS2">
        <f>BDH("ALZN US Equity","CUR_MKT_CAP","1993-06-18","2026-05-02","Per=M","Days=T","Dir=V")</f>
        <v>0</v>
      </c>
      <c r="AU2">
        <f>BDH("ALZN US Equity","EQY_SH_OUT","1993-06-18","2026-05-02","Per=M","Days=T","Dir=V")</f>
        <v>0</v>
      </c>
      <c r="AW2">
        <f>BDH("ALZN US Equity","PX_VOLUME","1993-06-18","2026-05-02","Per=M","Days=T","Dir=V")</f>
        <v>0</v>
      </c>
      <c r="AY2">
        <f>BDH("ALZN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 US Equity","BS_TOT_ASSET","1993-06-18","2026-05-02","Per=Y","Days=T","Dir=V")</f>
        <v>0</v>
      </c>
      <c r="C2">
        <f>BDH("AM US Equity","BS_TOT_LIAB2","1993-06-18","2026-05-02","Per=Y","Days=T","Dir=V")</f>
        <v>0</v>
      </c>
      <c r="E2">
        <f>BDH("AM US Equity","SHORT_AND_LONG_TERM_DEBT","1993-06-18","2026-05-02","Per=Y","Days=T","Dir=V")</f>
        <v>0</v>
      </c>
      <c r="G2">
        <f>BDH("AM US Equity","BS_ST_BORROW","1993-06-18","2026-05-02","Per=Y","Days=T","Dir=V")</f>
        <v>0</v>
      </c>
      <c r="I2">
        <f>BDH("AM US Equity","BS_LT_BORROW","1993-06-18","2026-05-02","Per=Y","Days=T","Dir=V")</f>
        <v>0</v>
      </c>
      <c r="K2">
        <f>BDH("AM US Equity","BS_CASH_NEAR_CASH_ITEM","1993-06-18","2026-05-02","Per=Y","Days=T","Dir=V")</f>
        <v>0</v>
      </c>
      <c r="M2">
        <f>BDH("AM US Equity","BS_CUR_ASSET_REPORT","1993-06-18","2026-05-02","Per=Y","Days=T","Dir=V")</f>
        <v>0</v>
      </c>
      <c r="O2">
        <f>BDH("AM US Equity","BS_CUR_LIAB","1993-06-18","2026-05-02","Per=Y","Days=T","Dir=V")</f>
        <v>0</v>
      </c>
      <c r="Q2">
        <f>BDH("AM US Equity","BS_SHAREHOLDER_EQY_ENDING_PERIOD","1993-06-18","2026-05-02","Per=Y","Days=T","Dir=V")</f>
        <v>0</v>
      </c>
      <c r="S2">
        <f>BDH("AM US Equity","BS_ACCT_NOTE_RCV","1993-06-18","2026-05-02","Per=Y","Days=T","Dir=V")</f>
        <v>0</v>
      </c>
      <c r="U2">
        <f>BDH("AM US Equity","BS_INVENTORIES","1993-06-18","2026-05-02","Per=Y","Days=T","Dir=V")</f>
        <v>0</v>
      </c>
      <c r="W2">
        <f>BDH("AM US Equity","WORKING_CAPITAL","1993-06-18","2026-05-02","Per=Y","Days=T","Dir=V")</f>
        <v>0</v>
      </c>
      <c r="Y2">
        <f>BDH("AM US Equity","SALES_REV_TURN","1993-06-18","2026-05-02","Per=Y","Days=T","Dir=V")</f>
        <v>0</v>
      </c>
      <c r="AA2">
        <f>BDH("AM US Equity","EBIT","1993-06-18","2026-05-02","Per=Y","Days=T","Dir=V")</f>
        <v>0</v>
      </c>
      <c r="AC2">
        <f>BDH("AM US Equity","EBITDA","1993-06-18","2026-05-02","Per=Y","Days=T","Dir=V")</f>
        <v>0</v>
      </c>
      <c r="AE2">
        <f>BDH("AM US Equity","NET_INCOME","1993-06-18","2026-05-02","Per=Y","Days=T","Dir=V")</f>
        <v>0</v>
      </c>
      <c r="AG2">
        <f>BDH("AM US Equity","IS_INT_EXPENSE","1993-06-18","2026-05-02","Per=Y","Days=T","Dir=V")</f>
        <v>0</v>
      </c>
      <c r="AI2">
        <f>BDH("AM US Equity","IS_DEPR_EXP","1993-06-18","2026-05-02","Per=Y","Days=T","Dir=V")</f>
        <v>0</v>
      </c>
      <c r="AK2">
        <f>BDH("AM US Equity","CF_CASH_FROM_OPER","1993-06-18","2026-05-02","Per=Y","Days=T","Dir=V")</f>
        <v>0</v>
      </c>
      <c r="AM2">
        <f>BDH("AM US Equity","CAPITAL_EXPEND","1993-06-18","2026-05-02","Per=Y","Days=T","Dir=V")</f>
        <v>0</v>
      </c>
      <c r="AO2">
        <f>BDH("AM US Equity","CF_FREE_CASH_FLOW","1993-06-18","2026-05-02","Per=Y","Days=T","Dir=V")</f>
        <v>0</v>
      </c>
      <c r="AQ2">
        <f>BDH("AM US Equity","PX_LAST","1993-06-18","2026-05-02","Per=M","Days=T","Dir=V")</f>
        <v>0</v>
      </c>
      <c r="AS2">
        <f>BDH("AM US Equity","CUR_MKT_CAP","1993-06-18","2026-05-02","Per=M","Days=T","Dir=V")</f>
        <v>0</v>
      </c>
      <c r="AU2">
        <f>BDH("AM US Equity","EQY_SH_OUT","1993-06-18","2026-05-02","Per=M","Days=T","Dir=V")</f>
        <v>0</v>
      </c>
      <c r="AW2">
        <f>BDH("AM US Equity","PX_VOLUME","1993-06-18","2026-05-02","Per=M","Days=T","Dir=V")</f>
        <v>0</v>
      </c>
      <c r="AY2">
        <f>BDH("AM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BDH("AMAT US Equity","BS_TOT_ASSET","1993-06-18","2026-05-02","Per=Y","Days=T","Dir=V")</f>
        <v>0</v>
      </c>
      <c r="C2">
        <f>BDH("AMAT US Equity","BS_TOT_LIAB2","1993-06-18","2026-05-02","Per=Y","Days=T","Dir=V")</f>
        <v>0</v>
      </c>
      <c r="E2">
        <f>BDH("AMAT US Equity","SHORT_AND_LONG_TERM_DEBT","1993-06-18","2026-05-02","Per=Y","Days=T","Dir=V")</f>
        <v>0</v>
      </c>
      <c r="G2">
        <f>BDH("AMAT US Equity","BS_ST_BORROW","1993-06-18","2026-05-02","Per=Y","Days=T","Dir=V")</f>
        <v>0</v>
      </c>
      <c r="I2">
        <f>BDH("AMAT US Equity","BS_LT_BORROW","1993-06-18","2026-05-02","Per=Y","Days=T","Dir=V")</f>
        <v>0</v>
      </c>
      <c r="K2">
        <f>BDH("AMAT US Equity","BS_CASH_NEAR_CASH_ITEM","1993-06-18","2026-05-02","Per=Y","Days=T","Dir=V")</f>
        <v>0</v>
      </c>
      <c r="M2">
        <f>BDH("AMAT US Equity","BS_CUR_ASSET_REPORT","1993-06-18","2026-05-02","Per=Y","Days=T","Dir=V")</f>
        <v>0</v>
      </c>
      <c r="O2">
        <f>BDH("AMAT US Equity","BS_CUR_LIAB","1993-06-18","2026-05-02","Per=Y","Days=T","Dir=V")</f>
        <v>0</v>
      </c>
      <c r="Q2">
        <f>BDH("AMAT US Equity","BS_SHAREHOLDER_EQY_ENDING_PERIOD","1993-06-18","2026-05-02","Per=Y","Days=T","Dir=V")</f>
        <v>0</v>
      </c>
      <c r="S2">
        <f>BDH("AMAT US Equity","BS_ACCT_NOTE_RCV","1993-06-18","2026-05-02","Per=Y","Days=T","Dir=V")</f>
        <v>0</v>
      </c>
      <c r="U2">
        <f>BDH("AMAT US Equity","BS_INVENTORIES","1993-06-18","2026-05-02","Per=Y","Days=T","Dir=V")</f>
        <v>0</v>
      </c>
      <c r="W2">
        <f>BDH("AMAT US Equity","WORKING_CAPITAL","1993-06-18","2026-05-02","Per=Y","Days=T","Dir=V")</f>
        <v>0</v>
      </c>
      <c r="Y2">
        <f>BDH("AMAT US Equity","SALES_REV_TURN","1993-06-18","2026-05-02","Per=Y","Days=T","Dir=V")</f>
        <v>0</v>
      </c>
      <c r="AA2">
        <f>BDH("AMAT US Equity","EBIT","1993-06-18","2026-05-02","Per=Y","Days=T","Dir=V")</f>
        <v>0</v>
      </c>
      <c r="AC2">
        <f>BDH("AMAT US Equity","EBITDA","1993-06-18","2026-05-02","Per=Y","Days=T","Dir=V")</f>
        <v>0</v>
      </c>
      <c r="AE2">
        <f>BDH("AMAT US Equity","NET_INCOME","1993-06-18","2026-05-02","Per=Y","Days=T","Dir=V")</f>
        <v>0</v>
      </c>
      <c r="AG2">
        <f>BDH("AMAT US Equity","IS_INT_EXPENSE","1993-06-18","2026-05-02","Per=Y","Days=T","Dir=V")</f>
        <v>0</v>
      </c>
      <c r="AI2">
        <f>BDH("AMAT US Equity","IS_DEPR_EXP","1993-06-18","2026-05-02","Per=Y","Days=T","Dir=V")</f>
        <v>0</v>
      </c>
      <c r="AK2">
        <f>BDH("AMAT US Equity","CF_CASH_FROM_OPER","1993-06-18","2026-05-02","Per=Y","Days=T","Dir=V")</f>
        <v>0</v>
      </c>
      <c r="AM2">
        <f>BDH("AMAT US Equity","CAPITAL_EXPEND","1993-06-18","2026-05-02","Per=Y","Days=T","Dir=V")</f>
        <v>0</v>
      </c>
      <c r="AO2">
        <f>BDH("AMAT US Equity","CF_FREE_CASH_FLOW","1993-06-18","2026-05-02","Per=Y","Days=T","Dir=V")</f>
        <v>0</v>
      </c>
      <c r="AQ2">
        <f>BDH("AMAT US Equity","PX_LAST","1993-06-18","2026-05-02","Per=M","Days=T","Dir=V")</f>
        <v>0</v>
      </c>
      <c r="AS2">
        <f>BDH("AMAT US Equity","CUR_MKT_CAP","1993-06-18","2026-05-02","Per=M","Days=T","Dir=V")</f>
        <v>0</v>
      </c>
      <c r="AU2">
        <f>BDH("AMAT US Equity","EQY_SH_OUT","1993-06-18","2026-05-02","Per=M","Days=T","Dir=V")</f>
        <v>0</v>
      </c>
      <c r="AW2">
        <f>BDH("AMAT US Equity","PX_VOLUME","1993-06-18","2026-05-02","Per=M","Days=T","Dir=V")</f>
        <v>0</v>
      </c>
      <c r="AY2">
        <f>BDH("AMAT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BDH("AMBA US Equity","BS_TOT_ASSET","1993-06-18","2026-05-02","Per=Y","Days=T","Dir=V")</f>
        <v>0</v>
      </c>
      <c r="C2">
        <f>BDH("AMBA US Equity","BS_TOT_LIAB2","1993-06-18","2026-05-02","Per=Y","Days=T","Dir=V")</f>
        <v>0</v>
      </c>
      <c r="E2">
        <f>BDH("AMBA US Equity","SHORT_AND_LONG_TERM_DEBT","1993-06-18","2026-05-02","Per=Y","Days=T","Dir=V")</f>
        <v>0</v>
      </c>
      <c r="G2">
        <f>BDH("AMBA US Equity","BS_ST_BORROW","1993-06-18","2026-05-02","Per=Y","Days=T","Dir=V")</f>
        <v>0</v>
      </c>
      <c r="I2">
        <f>BDH("AMBA US Equity","BS_LT_BORROW","1993-06-18","2026-05-02","Per=Y","Days=T","Dir=V")</f>
        <v>0</v>
      </c>
      <c r="K2">
        <f>BDH("AMBA US Equity","BS_CASH_NEAR_CASH_ITEM","1993-06-18","2026-05-02","Per=Y","Days=T","Dir=V")</f>
        <v>0</v>
      </c>
      <c r="M2">
        <f>BDH("AMBA US Equity","BS_CUR_ASSET_REPORT","1993-06-18","2026-05-02","Per=Y","Days=T","Dir=V")</f>
        <v>0</v>
      </c>
      <c r="O2">
        <f>BDH("AMBA US Equity","BS_CUR_LIAB","1993-06-18","2026-05-02","Per=Y","Days=T","Dir=V")</f>
        <v>0</v>
      </c>
      <c r="Q2">
        <f>BDH("AMBA US Equity","BS_SHAREHOLDER_EQY_ENDING_PERIOD","1993-06-18","2026-05-02","Per=Y","Days=T","Dir=V")</f>
        <v>0</v>
      </c>
      <c r="S2">
        <f>BDH("AMBA US Equity","BS_ACCT_NOTE_RCV","1993-06-18","2026-05-02","Per=Y","Days=T","Dir=V")</f>
        <v>0</v>
      </c>
      <c r="U2">
        <f>BDH("AMBA US Equity","BS_INVENTORIES","1993-06-18","2026-05-02","Per=Y","Days=T","Dir=V")</f>
        <v>0</v>
      </c>
      <c r="W2">
        <f>BDH("AMBA US Equity","WORKING_CAPITAL","1993-06-18","2026-05-02","Per=Y","Days=T","Dir=V")</f>
        <v>0</v>
      </c>
      <c r="Y2">
        <f>BDH("AMBA US Equity","SALES_REV_TURN","1993-06-18","2026-05-02","Per=Y","Days=T","Dir=V")</f>
        <v>0</v>
      </c>
      <c r="AA2">
        <f>BDH("AMBA US Equity","EBIT","1993-06-18","2026-05-02","Per=Y","Days=T","Dir=V")</f>
        <v>0</v>
      </c>
      <c r="AC2">
        <f>BDH("AMBA US Equity","EBITDA","1993-06-18","2026-05-02","Per=Y","Days=T","Dir=V")</f>
        <v>0</v>
      </c>
      <c r="AE2">
        <f>BDH("AMBA US Equity","NET_INCOME","1993-06-18","2026-05-02","Per=Y","Days=T","Dir=V")</f>
        <v>0</v>
      </c>
      <c r="AG2">
        <f>BDH("AMBA US Equity","IS_INT_EXPENSE","1993-06-18","2026-05-02","Per=Y","Days=T","Dir=V")</f>
        <v>0</v>
      </c>
      <c r="AI2">
        <f>BDH("AMBA US Equity","IS_DEPR_EXP","1993-06-18","2026-05-02","Per=Y","Days=T","Dir=V")</f>
        <v>0</v>
      </c>
      <c r="AK2">
        <f>BDH("AMBA US Equity","CF_CASH_FROM_OPER","1993-06-18","2026-05-02","Per=Y","Days=T","Dir=V")</f>
        <v>0</v>
      </c>
      <c r="AM2">
        <f>BDH("AMBA US Equity","CAPITAL_EXPEND","1993-06-18","2026-05-02","Per=Y","Days=T","Dir=V")</f>
        <v>0</v>
      </c>
      <c r="AO2">
        <f>BDH("AMBA US Equity","CF_FREE_CASH_FLOW","1993-06-18","2026-05-02","Per=Y","Days=T","Dir=V")</f>
        <v>0</v>
      </c>
      <c r="AQ2">
        <f>BDH("AMBA US Equity","PX_LAST","1993-06-18","2026-05-02","Per=M","Days=T","Dir=V")</f>
        <v>0</v>
      </c>
      <c r="AS2">
        <f>BDH("AMBA US Equity","CUR_MKT_CAP","1993-06-18","2026-05-02","Per=M","Days=T","Dir=V")</f>
        <v>0</v>
      </c>
      <c r="AU2">
        <f>BDH("AMBA US Equity","EQY_SH_OUT","1993-06-18","2026-05-02","Per=M","Days=T","Dir=V")</f>
        <v>0</v>
      </c>
      <c r="AW2">
        <f>BDH("AMBA US Equity","PX_VOLUME","1993-06-18","2026-05-02","Per=M","Days=T","Dir=V")</f>
        <v>0</v>
      </c>
      <c r="AY2">
        <f>BDH("AMBA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BDH("AMBQ US Equity","BS_TOT_ASSET","1993-06-18","2026-05-02","Per=Y","Days=T","Dir=V")</f>
        <v>0</v>
      </c>
      <c r="C2">
        <f>BDH("AMBQ US Equity","BS_TOT_LIAB2","1993-06-18","2026-05-02","Per=Y","Days=T","Dir=V")</f>
        <v>0</v>
      </c>
      <c r="E2">
        <f>BDH("AMBQ US Equity","SHORT_AND_LONG_TERM_DEBT","1993-06-18","2026-05-02","Per=Y","Days=T","Dir=V")</f>
        <v>0</v>
      </c>
      <c r="G2">
        <f>BDH("AMBQ US Equity","BS_ST_BORROW","1993-06-18","2026-05-02","Per=Y","Days=T","Dir=V")</f>
        <v>0</v>
      </c>
      <c r="I2">
        <f>BDH("AMBQ US Equity","BS_LT_BORROW","1993-06-18","2026-05-02","Per=Y","Days=T","Dir=V")</f>
        <v>0</v>
      </c>
      <c r="K2">
        <f>BDH("AMBQ US Equity","BS_CASH_NEAR_CASH_ITEM","1993-06-18","2026-05-02","Per=Y","Days=T","Dir=V")</f>
        <v>0</v>
      </c>
      <c r="M2">
        <f>BDH("AMBQ US Equity","BS_CUR_ASSET_REPORT","1993-06-18","2026-05-02","Per=Y","Days=T","Dir=V")</f>
        <v>0</v>
      </c>
      <c r="O2">
        <f>BDH("AMBQ US Equity","BS_CUR_LIAB","1993-06-18","2026-05-02","Per=Y","Days=T","Dir=V")</f>
        <v>0</v>
      </c>
      <c r="Q2">
        <f>BDH("AMBQ US Equity","BS_SHAREHOLDER_EQY_ENDING_PERIOD","1993-06-18","2026-05-02","Per=Y","Days=T","Dir=V")</f>
        <v>0</v>
      </c>
      <c r="S2">
        <f>BDH("AMBQ US Equity","BS_ACCT_NOTE_RCV","1993-06-18","2026-05-02","Per=Y","Days=T","Dir=V")</f>
        <v>0</v>
      </c>
      <c r="U2">
        <f>BDH("AMBQ US Equity","BS_INVENTORIES","1993-06-18","2026-05-02","Per=Y","Days=T","Dir=V")</f>
        <v>0</v>
      </c>
      <c r="W2">
        <f>BDH("AMBQ US Equity","WORKING_CAPITAL","1993-06-18","2026-05-02","Per=Y","Days=T","Dir=V")</f>
        <v>0</v>
      </c>
      <c r="Y2">
        <f>BDH("AMBQ US Equity","SALES_REV_TURN","1993-06-18","2026-05-02","Per=Y","Days=T","Dir=V")</f>
        <v>0</v>
      </c>
      <c r="AA2">
        <f>BDH("AMBQ US Equity","EBIT","1993-06-18","2026-05-02","Per=Y","Days=T","Dir=V")</f>
        <v>0</v>
      </c>
      <c r="AC2">
        <f>BDH("AMBQ US Equity","EBITDA","1993-06-18","2026-05-02","Per=Y","Days=T","Dir=V")</f>
        <v>0</v>
      </c>
      <c r="AE2">
        <f>BDH("AMBQ US Equity","NET_INCOME","1993-06-18","2026-05-02","Per=Y","Days=T","Dir=V")</f>
        <v>0</v>
      </c>
      <c r="AG2">
        <f>BDH("AMBQ US Equity","IS_INT_EXPENSE","1993-06-18","2026-05-02","Per=Y","Days=T","Dir=V")</f>
        <v>0</v>
      </c>
      <c r="AI2">
        <f>BDH("AMBQ US Equity","IS_DEPR_EXP","1993-06-18","2026-05-02","Per=Y","Days=T","Dir=V")</f>
        <v>0</v>
      </c>
      <c r="AK2">
        <f>BDH("AMBQ US Equity","CF_CASH_FROM_OPER","1993-06-18","2026-05-02","Per=Y","Days=T","Dir=V")</f>
        <v>0</v>
      </c>
      <c r="AM2">
        <f>BDH("AMBQ US Equity","CAPITAL_EXPEND","1993-06-18","2026-05-02","Per=Y","Days=T","Dir=V")</f>
        <v>0</v>
      </c>
      <c r="AO2">
        <f>BDH("AMBQ US Equity","CF_FREE_CASH_FLOW","1993-06-18","2026-05-02","Per=Y","Days=T","Dir=V")</f>
        <v>0</v>
      </c>
      <c r="AQ2">
        <f>BDH("AMBQ US Equity","PX_LAST","1993-06-18","2026-05-02","Per=M","Days=T","Dir=V")</f>
        <v>0</v>
      </c>
      <c r="AS2">
        <f>BDH("AMBQ US Equity","CUR_MKT_CAP","1993-06-18","2026-05-02","Per=M","Days=T","Dir=V")</f>
        <v>0</v>
      </c>
      <c r="AU2">
        <f>BDH("AMBQ US Equity","EQY_SH_OUT","1993-06-18","2026-05-02","Per=M","Days=T","Dir=V")</f>
        <v>0</v>
      </c>
      <c r="AW2">
        <f>BDH("AMBQ US Equity","PX_VOLUME","1993-06-18","2026-05-02","Per=M","Days=T","Dir=V")</f>
        <v>0</v>
      </c>
      <c r="AY2">
        <f>BDH("AMBQ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BDH("AMC US Equity","BS_TOT_ASSET","1993-06-18","2026-05-02","Per=Y","Days=T","Dir=V")</f>
        <v>0</v>
      </c>
      <c r="C2">
        <f>BDH("AMC US Equity","BS_TOT_LIAB2","1993-06-18","2026-05-02","Per=Y","Days=T","Dir=V")</f>
        <v>0</v>
      </c>
      <c r="E2">
        <f>BDH("AMC US Equity","SHORT_AND_LONG_TERM_DEBT","1993-06-18","2026-05-02","Per=Y","Days=T","Dir=V")</f>
        <v>0</v>
      </c>
      <c r="G2">
        <f>BDH("AMC US Equity","BS_ST_BORROW","1993-06-18","2026-05-02","Per=Y","Days=T","Dir=V")</f>
        <v>0</v>
      </c>
      <c r="I2">
        <f>BDH("AMC US Equity","BS_LT_BORROW","1993-06-18","2026-05-02","Per=Y","Days=T","Dir=V")</f>
        <v>0</v>
      </c>
      <c r="K2">
        <f>BDH("AMC US Equity","BS_CASH_NEAR_CASH_ITEM","1993-06-18","2026-05-02","Per=Y","Days=T","Dir=V")</f>
        <v>0</v>
      </c>
      <c r="M2">
        <f>BDH("AMC US Equity","BS_CUR_ASSET_REPORT","1993-06-18","2026-05-02","Per=Y","Days=T","Dir=V")</f>
        <v>0</v>
      </c>
      <c r="O2">
        <f>BDH("AMC US Equity","BS_CUR_LIAB","1993-06-18","2026-05-02","Per=Y","Days=T","Dir=V")</f>
        <v>0</v>
      </c>
      <c r="Q2">
        <f>BDH("AMC US Equity","BS_SHAREHOLDER_EQY_ENDING_PERIOD","1993-06-18","2026-05-02","Per=Y","Days=T","Dir=V")</f>
        <v>0</v>
      </c>
      <c r="S2">
        <f>BDH("AMC US Equity","BS_ACCT_NOTE_RCV","1993-06-18","2026-05-02","Per=Y","Days=T","Dir=V")</f>
        <v>0</v>
      </c>
      <c r="U2">
        <f>BDH("AMC US Equity","BS_INVENTORIES","1993-06-18","2026-05-02","Per=Y","Days=T","Dir=V")</f>
        <v>0</v>
      </c>
      <c r="W2">
        <f>BDH("AMC US Equity","WORKING_CAPITAL","1993-06-18","2026-05-02","Per=Y","Days=T","Dir=V")</f>
        <v>0</v>
      </c>
      <c r="Y2">
        <f>BDH("AMC US Equity","SALES_REV_TURN","1993-06-18","2026-05-02","Per=Y","Days=T","Dir=V")</f>
        <v>0</v>
      </c>
      <c r="AA2">
        <f>BDH("AMC US Equity","EBIT","1993-06-18","2026-05-02","Per=Y","Days=T","Dir=V")</f>
        <v>0</v>
      </c>
      <c r="AC2">
        <f>BDH("AMC US Equity","EBITDA","1993-06-18","2026-05-02","Per=Y","Days=T","Dir=V")</f>
        <v>0</v>
      </c>
      <c r="AE2">
        <f>BDH("AMC US Equity","NET_INCOME","1993-06-18","2026-05-02","Per=Y","Days=T","Dir=V")</f>
        <v>0</v>
      </c>
      <c r="AG2">
        <f>BDH("AMC US Equity","IS_INT_EXPENSE","1993-06-18","2026-05-02","Per=Y","Days=T","Dir=V")</f>
        <v>0</v>
      </c>
      <c r="AI2">
        <f>BDH("AMC US Equity","IS_DEPR_EXP","1993-06-18","2026-05-02","Per=Y","Days=T","Dir=V")</f>
        <v>0</v>
      </c>
      <c r="AK2">
        <f>BDH("AMC US Equity","CF_CASH_FROM_OPER","1993-06-18","2026-05-02","Per=Y","Days=T","Dir=V")</f>
        <v>0</v>
      </c>
      <c r="AM2">
        <f>BDH("AMC US Equity","CAPITAL_EXPEND","1993-06-18","2026-05-02","Per=Y","Days=T","Dir=V")</f>
        <v>0</v>
      </c>
      <c r="AO2">
        <f>BDH("AMC US Equity","CF_FREE_CASH_FLOW","1993-06-18","2026-05-02","Per=Y","Days=T","Dir=V")</f>
        <v>0</v>
      </c>
      <c r="AQ2">
        <f>BDH("AMC US Equity","PX_LAST","1993-06-18","2026-05-02","Per=M","Days=T","Dir=V")</f>
        <v>0</v>
      </c>
      <c r="AS2">
        <f>BDH("AMC US Equity","CUR_MKT_CAP","1993-06-18","2026-05-02","Per=M","Days=T","Dir=V")</f>
        <v>0</v>
      </c>
      <c r="AU2">
        <f>BDH("AMC US Equity","EQY_SH_OUT","1993-06-18","2026-05-02","Per=M","Days=T","Dir=V")</f>
        <v>0</v>
      </c>
      <c r="AW2">
        <f>BDH("AMC US Equity","PX_VOLUME","1993-06-18","2026-05-02","Per=M","Days=T","Dir=V")</f>
        <v>0</v>
      </c>
      <c r="AY2">
        <f>BDH("AMC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BDH("AMCI US Equity","BS_TOT_ASSET","1993-06-18","2026-05-02","Per=Y","Days=T","Dir=V")</f>
        <v>0</v>
      </c>
      <c r="C2">
        <f>BDH("AMCI US Equity","BS_TOT_LIAB2","1993-06-18","2026-05-02","Per=Y","Days=T","Dir=V")</f>
        <v>0</v>
      </c>
      <c r="E2">
        <f>BDH("AMCI US Equity","SHORT_AND_LONG_TERM_DEBT","1993-06-18","2026-05-02","Per=Y","Days=T","Dir=V")</f>
        <v>0</v>
      </c>
      <c r="G2">
        <f>BDH("AMCI US Equity","BS_ST_BORROW","1993-06-18","2026-05-02","Per=Y","Days=T","Dir=V")</f>
        <v>0</v>
      </c>
      <c r="I2">
        <f>BDH("AMCI US Equity","BS_LT_BORROW","1993-06-18","2026-05-02","Per=Y","Days=T","Dir=V")</f>
        <v>0</v>
      </c>
      <c r="K2">
        <f>BDH("AMCI US Equity","BS_CASH_NEAR_CASH_ITEM","1993-06-18","2026-05-02","Per=Y","Days=T","Dir=V")</f>
        <v>0</v>
      </c>
      <c r="M2">
        <f>BDH("AMCI US Equity","BS_CUR_ASSET_REPORT","1993-06-18","2026-05-02","Per=Y","Days=T","Dir=V")</f>
        <v>0</v>
      </c>
      <c r="O2">
        <f>BDH("AMCI US Equity","BS_CUR_LIAB","1993-06-18","2026-05-02","Per=Y","Days=T","Dir=V")</f>
        <v>0</v>
      </c>
      <c r="Q2">
        <f>BDH("AMCI US Equity","BS_SHAREHOLDER_EQY_ENDING_PERIOD","1993-06-18","2026-05-02","Per=Y","Days=T","Dir=V")</f>
        <v>0</v>
      </c>
      <c r="S2">
        <f>BDH("AMCI US Equity","BS_ACCT_NOTE_RCV","1993-06-18","2026-05-02","Per=Y","Days=T","Dir=V")</f>
        <v>0</v>
      </c>
      <c r="U2">
        <f>BDH("AMCI US Equity","BS_INVENTORIES","1993-06-18","2026-05-02","Per=Y","Days=T","Dir=V")</f>
        <v>0</v>
      </c>
      <c r="W2">
        <f>BDH("AMCI US Equity","WORKING_CAPITAL","1993-06-18","2026-05-02","Per=Y","Days=T","Dir=V")</f>
        <v>0</v>
      </c>
      <c r="Y2">
        <f>BDH("AMCI US Equity","SALES_REV_TURN","1993-06-18","2026-05-02","Per=Y","Days=T","Dir=V")</f>
        <v>0</v>
      </c>
      <c r="AA2">
        <f>BDH("AMCI US Equity","EBIT","1993-06-18","2026-05-02","Per=Y","Days=T","Dir=V")</f>
        <v>0</v>
      </c>
      <c r="AC2">
        <f>BDH("AMCI US Equity","EBITDA","1993-06-18","2026-05-02","Per=Y","Days=T","Dir=V")</f>
        <v>0</v>
      </c>
      <c r="AE2">
        <f>BDH("AMCI US Equity","NET_INCOME","1993-06-18","2026-05-02","Per=Y","Days=T","Dir=V")</f>
        <v>0</v>
      </c>
      <c r="AG2">
        <f>BDH("AMCI US Equity","IS_INT_EXPENSE","1993-06-18","2026-05-02","Per=Y","Days=T","Dir=V")</f>
        <v>0</v>
      </c>
      <c r="AI2">
        <f>BDH("AMCI US Equity","IS_DEPR_EXP","1993-06-18","2026-05-02","Per=Y","Days=T","Dir=V")</f>
        <v>0</v>
      </c>
      <c r="AK2">
        <f>BDH("AMCI US Equity","CF_CASH_FROM_OPER","1993-06-18","2026-05-02","Per=Y","Days=T","Dir=V")</f>
        <v>0</v>
      </c>
      <c r="AM2">
        <f>BDH("AMCI US Equity","CAPITAL_EXPEND","1993-06-18","2026-05-02","Per=Y","Days=T","Dir=V")</f>
        <v>0</v>
      </c>
      <c r="AO2">
        <f>BDH("AMCI US Equity","CF_FREE_CASH_FLOW","1993-06-18","2026-05-02","Per=Y","Days=T","Dir=V")</f>
        <v>0</v>
      </c>
      <c r="AQ2">
        <f>BDH("AMCI US Equity","PX_LAST","1993-06-18","2026-05-02","Per=M","Days=T","Dir=V")</f>
        <v>0</v>
      </c>
      <c r="AS2">
        <f>BDH("AMCI US Equity","CUR_MKT_CAP","1993-06-18","2026-05-02","Per=M","Days=T","Dir=V")</f>
        <v>0</v>
      </c>
      <c r="AU2">
        <f>BDH("AMCI US Equity","EQY_SH_OUT","1993-06-18","2026-05-02","Per=M","Days=T","Dir=V")</f>
        <v>0</v>
      </c>
      <c r="AW2">
        <f>BDH("AMCI US Equity","PX_VOLUME","1993-06-18","2026-05-02","Per=M","Days=T","Dir=V")</f>
        <v>0</v>
      </c>
      <c r="AY2">
        <f>BDH("AMCI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BDH("AMCX US Equity","BS_TOT_ASSET","1993-06-18","2026-05-02","Per=Y","Days=T","Dir=V")</f>
        <v>0</v>
      </c>
      <c r="C2">
        <f>BDH("AMCX US Equity","BS_TOT_LIAB2","1993-06-18","2026-05-02","Per=Y","Days=T","Dir=V")</f>
        <v>0</v>
      </c>
      <c r="E2">
        <f>BDH("AMCX US Equity","SHORT_AND_LONG_TERM_DEBT","1993-06-18","2026-05-02","Per=Y","Days=T","Dir=V")</f>
        <v>0</v>
      </c>
      <c r="G2">
        <f>BDH("AMCX US Equity","BS_ST_BORROW","1993-06-18","2026-05-02","Per=Y","Days=T","Dir=V")</f>
        <v>0</v>
      </c>
      <c r="I2">
        <f>BDH("AMCX US Equity","BS_LT_BORROW","1993-06-18","2026-05-02","Per=Y","Days=T","Dir=V")</f>
        <v>0</v>
      </c>
      <c r="K2">
        <f>BDH("AMCX US Equity","BS_CASH_NEAR_CASH_ITEM","1993-06-18","2026-05-02","Per=Y","Days=T","Dir=V")</f>
        <v>0</v>
      </c>
      <c r="M2">
        <f>BDH("AMCX US Equity","BS_CUR_ASSET_REPORT","1993-06-18","2026-05-02","Per=Y","Days=T","Dir=V")</f>
        <v>0</v>
      </c>
      <c r="O2">
        <f>BDH("AMCX US Equity","BS_CUR_LIAB","1993-06-18","2026-05-02","Per=Y","Days=T","Dir=V")</f>
        <v>0</v>
      </c>
      <c r="Q2">
        <f>BDH("AMCX US Equity","BS_SHAREHOLDER_EQY_ENDING_PERIOD","1993-06-18","2026-05-02","Per=Y","Days=T","Dir=V")</f>
        <v>0</v>
      </c>
      <c r="S2">
        <f>BDH("AMCX US Equity","BS_ACCT_NOTE_RCV","1993-06-18","2026-05-02","Per=Y","Days=T","Dir=V")</f>
        <v>0</v>
      </c>
      <c r="U2">
        <f>BDH("AMCX US Equity","BS_INVENTORIES","1993-06-18","2026-05-02","Per=Y","Days=T","Dir=V")</f>
        <v>0</v>
      </c>
      <c r="W2">
        <f>BDH("AMCX US Equity","WORKING_CAPITAL","1993-06-18","2026-05-02","Per=Y","Days=T","Dir=V")</f>
        <v>0</v>
      </c>
      <c r="Y2">
        <f>BDH("AMCX US Equity","SALES_REV_TURN","1993-06-18","2026-05-02","Per=Y","Days=T","Dir=V")</f>
        <v>0</v>
      </c>
      <c r="AA2">
        <f>BDH("AMCX US Equity","EBIT","1993-06-18","2026-05-02","Per=Y","Days=T","Dir=V")</f>
        <v>0</v>
      </c>
      <c r="AC2">
        <f>BDH("AMCX US Equity","EBITDA","1993-06-18","2026-05-02","Per=Y","Days=T","Dir=V")</f>
        <v>0</v>
      </c>
      <c r="AE2">
        <f>BDH("AMCX US Equity","NET_INCOME","1993-06-18","2026-05-02","Per=Y","Days=T","Dir=V")</f>
        <v>0</v>
      </c>
      <c r="AG2">
        <f>BDH("AMCX US Equity","IS_INT_EXPENSE","1993-06-18","2026-05-02","Per=Y","Days=T","Dir=V")</f>
        <v>0</v>
      </c>
      <c r="AI2">
        <f>BDH("AMCX US Equity","IS_DEPR_EXP","1993-06-18","2026-05-02","Per=Y","Days=T","Dir=V")</f>
        <v>0</v>
      </c>
      <c r="AK2">
        <f>BDH("AMCX US Equity","CF_CASH_FROM_OPER","1993-06-18","2026-05-02","Per=Y","Days=T","Dir=V")</f>
        <v>0</v>
      </c>
      <c r="AM2">
        <f>BDH("AMCX US Equity","CAPITAL_EXPEND","1993-06-18","2026-05-02","Per=Y","Days=T","Dir=V")</f>
        <v>0</v>
      </c>
      <c r="AO2">
        <f>BDH("AMCX US Equity","CF_FREE_CASH_FLOW","1993-06-18","2026-05-02","Per=Y","Days=T","Dir=V")</f>
        <v>0</v>
      </c>
      <c r="AQ2">
        <f>BDH("AMCX US Equity","PX_LAST","1993-06-18","2026-05-02","Per=M","Days=T","Dir=V")</f>
        <v>0</v>
      </c>
      <c r="AS2">
        <f>BDH("AMCX US Equity","CUR_MKT_CAP","1993-06-18","2026-05-02","Per=M","Days=T","Dir=V")</f>
        <v>0</v>
      </c>
      <c r="AU2">
        <f>BDH("AMCX US Equity","EQY_SH_OUT","1993-06-18","2026-05-02","Per=M","Days=T","Dir=V")</f>
        <v>0</v>
      </c>
      <c r="AW2">
        <f>BDH("AMCX US Equity","PX_VOLUME","1993-06-18","2026-05-02","Per=M","Days=T","Dir=V")</f>
        <v>0</v>
      </c>
      <c r="AY2">
        <f>BDH("AMCX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BDH("AMD US Equity","BS_TOT_ASSET","1993-06-18","2026-05-02","Per=Y","Days=T","Dir=V")</f>
        <v>0</v>
      </c>
      <c r="C2">
        <f>BDH("AMD US Equity","BS_TOT_LIAB2","1993-06-18","2026-05-02","Per=Y","Days=T","Dir=V")</f>
        <v>0</v>
      </c>
      <c r="E2">
        <f>BDH("AMD US Equity","SHORT_AND_LONG_TERM_DEBT","1993-06-18","2026-05-02","Per=Y","Days=T","Dir=V")</f>
        <v>0</v>
      </c>
      <c r="G2">
        <f>BDH("AMD US Equity","BS_ST_BORROW","1993-06-18","2026-05-02","Per=Y","Days=T","Dir=V")</f>
        <v>0</v>
      </c>
      <c r="I2">
        <f>BDH("AMD US Equity","BS_LT_BORROW","1993-06-18","2026-05-02","Per=Y","Days=T","Dir=V")</f>
        <v>0</v>
      </c>
      <c r="K2">
        <f>BDH("AMD US Equity","BS_CASH_NEAR_CASH_ITEM","1993-06-18","2026-05-02","Per=Y","Days=T","Dir=V")</f>
        <v>0</v>
      </c>
      <c r="M2">
        <f>BDH("AMD US Equity","BS_CUR_ASSET_REPORT","1993-06-18","2026-05-02","Per=Y","Days=T","Dir=V")</f>
        <v>0</v>
      </c>
      <c r="O2">
        <f>BDH("AMD US Equity","BS_CUR_LIAB","1993-06-18","2026-05-02","Per=Y","Days=T","Dir=V")</f>
        <v>0</v>
      </c>
      <c r="Q2">
        <f>BDH("AMD US Equity","BS_SHAREHOLDER_EQY_ENDING_PERIOD","1993-06-18","2026-05-02","Per=Y","Days=T","Dir=V")</f>
        <v>0</v>
      </c>
      <c r="S2">
        <f>BDH("AMD US Equity","BS_ACCT_NOTE_RCV","1993-06-18","2026-05-02","Per=Y","Days=T","Dir=V")</f>
        <v>0</v>
      </c>
      <c r="U2">
        <f>BDH("AMD US Equity","BS_INVENTORIES","1993-06-18","2026-05-02","Per=Y","Days=T","Dir=V")</f>
        <v>0</v>
      </c>
      <c r="W2">
        <f>BDH("AMD US Equity","WORKING_CAPITAL","1993-06-18","2026-05-02","Per=Y","Days=T","Dir=V")</f>
        <v>0</v>
      </c>
      <c r="Y2">
        <f>BDH("AMD US Equity","SALES_REV_TURN","1993-06-18","2026-05-02","Per=Y","Days=T","Dir=V")</f>
        <v>0</v>
      </c>
      <c r="AA2">
        <f>BDH("AMD US Equity","EBIT","1993-06-18","2026-05-02","Per=Y","Days=T","Dir=V")</f>
        <v>0</v>
      </c>
      <c r="AC2">
        <f>BDH("AMD US Equity","EBITDA","1993-06-18","2026-05-02","Per=Y","Days=T","Dir=V")</f>
        <v>0</v>
      </c>
      <c r="AE2">
        <f>BDH("AMD US Equity","NET_INCOME","1993-06-18","2026-05-02","Per=Y","Days=T","Dir=V")</f>
        <v>0</v>
      </c>
      <c r="AG2">
        <f>BDH("AMD US Equity","IS_INT_EXPENSE","1993-06-18","2026-05-02","Per=Y","Days=T","Dir=V")</f>
        <v>0</v>
      </c>
      <c r="AI2">
        <f>BDH("AMD US Equity","IS_DEPR_EXP","1993-06-18","2026-05-02","Per=Y","Days=T","Dir=V")</f>
        <v>0</v>
      </c>
      <c r="AK2">
        <f>BDH("AMD US Equity","CF_CASH_FROM_OPER","1993-06-18","2026-05-02","Per=Y","Days=T","Dir=V")</f>
        <v>0</v>
      </c>
      <c r="AM2">
        <f>BDH("AMD US Equity","CAPITAL_EXPEND","1993-06-18","2026-05-02","Per=Y","Days=T","Dir=V")</f>
        <v>0</v>
      </c>
      <c r="AO2">
        <f>BDH("AMD US Equity","CF_FREE_CASH_FLOW","1993-06-18","2026-05-02","Per=Y","Days=T","Dir=V")</f>
        <v>0</v>
      </c>
      <c r="AQ2">
        <f>BDH("AMD US Equity","PX_LAST","1993-06-18","2026-05-02","Per=M","Days=T","Dir=V")</f>
        <v>0</v>
      </c>
      <c r="AS2">
        <f>BDH("AMD US Equity","CUR_MKT_CAP","1993-06-18","2026-05-02","Per=M","Days=T","Dir=V")</f>
        <v>0</v>
      </c>
      <c r="AU2">
        <f>BDH("AMD US Equity","EQY_SH_OUT","1993-06-18","2026-05-02","Per=M","Days=T","Dir=V")</f>
        <v>0</v>
      </c>
      <c r="AW2">
        <f>BDH("AMD US Equity","PX_VOLUME","1993-06-18","2026-05-02","Per=M","Days=T","Dir=V")</f>
        <v>0</v>
      </c>
      <c r="AY2">
        <f>BDH("AMD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BDH("AME US Equity","BS_TOT_ASSET","1993-06-18","2026-05-02","Per=Y","Days=T","Dir=V")</f>
        <v>0</v>
      </c>
      <c r="C2">
        <f>BDH("AME US Equity","BS_TOT_LIAB2","1993-06-18","2026-05-02","Per=Y","Days=T","Dir=V")</f>
        <v>0</v>
      </c>
      <c r="E2">
        <f>BDH("AME US Equity","SHORT_AND_LONG_TERM_DEBT","1993-06-18","2026-05-02","Per=Y","Days=T","Dir=V")</f>
        <v>0</v>
      </c>
      <c r="G2">
        <f>BDH("AME US Equity","BS_ST_BORROW","1993-06-18","2026-05-02","Per=Y","Days=T","Dir=V")</f>
        <v>0</v>
      </c>
      <c r="I2">
        <f>BDH("AME US Equity","BS_LT_BORROW","1993-06-18","2026-05-02","Per=Y","Days=T","Dir=V")</f>
        <v>0</v>
      </c>
      <c r="K2">
        <f>BDH("AME US Equity","BS_CASH_NEAR_CASH_ITEM","1993-06-18","2026-05-02","Per=Y","Days=T","Dir=V")</f>
        <v>0</v>
      </c>
      <c r="M2">
        <f>BDH("AME US Equity","BS_CUR_ASSET_REPORT","1993-06-18","2026-05-02","Per=Y","Days=T","Dir=V")</f>
        <v>0</v>
      </c>
      <c r="O2">
        <f>BDH("AME US Equity","BS_CUR_LIAB","1993-06-18","2026-05-02","Per=Y","Days=T","Dir=V")</f>
        <v>0</v>
      </c>
      <c r="Q2">
        <f>BDH("AME US Equity","BS_SHAREHOLDER_EQY_ENDING_PERIOD","1993-06-18","2026-05-02","Per=Y","Days=T","Dir=V")</f>
        <v>0</v>
      </c>
      <c r="S2">
        <f>BDH("AME US Equity","BS_ACCT_NOTE_RCV","1993-06-18","2026-05-02","Per=Y","Days=T","Dir=V")</f>
        <v>0</v>
      </c>
      <c r="U2">
        <f>BDH("AME US Equity","BS_INVENTORIES","1993-06-18","2026-05-02","Per=Y","Days=T","Dir=V")</f>
        <v>0</v>
      </c>
      <c r="W2">
        <f>BDH("AME US Equity","WORKING_CAPITAL","1993-06-18","2026-05-02","Per=Y","Days=T","Dir=V")</f>
        <v>0</v>
      </c>
      <c r="Y2">
        <f>BDH("AME US Equity","SALES_REV_TURN","1993-06-18","2026-05-02","Per=Y","Days=T","Dir=V")</f>
        <v>0</v>
      </c>
      <c r="AA2">
        <f>BDH("AME US Equity","EBIT","1993-06-18","2026-05-02","Per=Y","Days=T","Dir=V")</f>
        <v>0</v>
      </c>
      <c r="AC2">
        <f>BDH("AME US Equity","EBITDA","1993-06-18","2026-05-02","Per=Y","Days=T","Dir=V")</f>
        <v>0</v>
      </c>
      <c r="AE2">
        <f>BDH("AME US Equity","NET_INCOME","1993-06-18","2026-05-02","Per=Y","Days=T","Dir=V")</f>
        <v>0</v>
      </c>
      <c r="AG2">
        <f>BDH("AME US Equity","IS_INT_EXPENSE","1993-06-18","2026-05-02","Per=Y","Days=T","Dir=V")</f>
        <v>0</v>
      </c>
      <c r="AI2">
        <f>BDH("AME US Equity","IS_DEPR_EXP","1993-06-18","2026-05-02","Per=Y","Days=T","Dir=V")</f>
        <v>0</v>
      </c>
      <c r="AK2">
        <f>BDH("AME US Equity","CF_CASH_FROM_OPER","1993-06-18","2026-05-02","Per=Y","Days=T","Dir=V")</f>
        <v>0</v>
      </c>
      <c r="AM2">
        <f>BDH("AME US Equity","CAPITAL_EXPEND","1993-06-18","2026-05-02","Per=Y","Days=T","Dir=V")</f>
        <v>0</v>
      </c>
      <c r="AO2">
        <f>BDH("AME US Equity","CF_FREE_CASH_FLOW","1993-06-18","2026-05-02","Per=Y","Days=T","Dir=V")</f>
        <v>0</v>
      </c>
      <c r="AQ2">
        <f>BDH("AME US Equity","PX_LAST","1993-06-18","2026-05-02","Per=M","Days=T","Dir=V")</f>
        <v>0</v>
      </c>
      <c r="AS2">
        <f>BDH("AME US Equity","CUR_MKT_CAP","1993-06-18","2026-05-02","Per=M","Days=T","Dir=V")</f>
        <v>0</v>
      </c>
      <c r="AU2">
        <f>BDH("AME US Equity","EQY_SH_OUT","1993-06-18","2026-05-02","Per=M","Days=T","Dir=V")</f>
        <v>0</v>
      </c>
      <c r="AW2">
        <f>BDH("AME US Equity","PX_VOLUME","1993-06-18","2026-05-02","Per=M","Days=T","Dir=V")</f>
        <v>0</v>
      </c>
      <c r="AY2">
        <f>BDH("AME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BDH("AMGN US Equity","BS_TOT_ASSET","1993-06-18","2026-05-02","Per=Y","Days=T","Dir=V")</f>
        <v>0</v>
      </c>
      <c r="C2">
        <f>BDH("AMGN US Equity","BS_TOT_LIAB2","1993-06-18","2026-05-02","Per=Y","Days=T","Dir=V")</f>
        <v>0</v>
      </c>
      <c r="E2">
        <f>BDH("AMGN US Equity","SHORT_AND_LONG_TERM_DEBT","1993-06-18","2026-05-02","Per=Y","Days=T","Dir=V")</f>
        <v>0</v>
      </c>
      <c r="G2">
        <f>BDH("AMGN US Equity","BS_ST_BORROW","1993-06-18","2026-05-02","Per=Y","Days=T","Dir=V")</f>
        <v>0</v>
      </c>
      <c r="I2">
        <f>BDH("AMGN US Equity","BS_LT_BORROW","1993-06-18","2026-05-02","Per=Y","Days=T","Dir=V")</f>
        <v>0</v>
      </c>
      <c r="K2">
        <f>BDH("AMGN US Equity","BS_CASH_NEAR_CASH_ITEM","1993-06-18","2026-05-02","Per=Y","Days=T","Dir=V")</f>
        <v>0</v>
      </c>
      <c r="M2">
        <f>BDH("AMGN US Equity","BS_CUR_ASSET_REPORT","1993-06-18","2026-05-02","Per=Y","Days=T","Dir=V")</f>
        <v>0</v>
      </c>
      <c r="O2">
        <f>BDH("AMGN US Equity","BS_CUR_LIAB","1993-06-18","2026-05-02","Per=Y","Days=T","Dir=V")</f>
        <v>0</v>
      </c>
      <c r="Q2">
        <f>BDH("AMGN US Equity","BS_SHAREHOLDER_EQY_ENDING_PERIOD","1993-06-18","2026-05-02","Per=Y","Days=T","Dir=V")</f>
        <v>0</v>
      </c>
      <c r="S2">
        <f>BDH("AMGN US Equity","BS_ACCT_NOTE_RCV","1993-06-18","2026-05-02","Per=Y","Days=T","Dir=V")</f>
        <v>0</v>
      </c>
      <c r="U2">
        <f>BDH("AMGN US Equity","BS_INVENTORIES","1993-06-18","2026-05-02","Per=Y","Days=T","Dir=V")</f>
        <v>0</v>
      </c>
      <c r="W2">
        <f>BDH("AMGN US Equity","WORKING_CAPITAL","1993-06-18","2026-05-02","Per=Y","Days=T","Dir=V")</f>
        <v>0</v>
      </c>
      <c r="Y2">
        <f>BDH("AMGN US Equity","SALES_REV_TURN","1993-06-18","2026-05-02","Per=Y","Days=T","Dir=V")</f>
        <v>0</v>
      </c>
      <c r="AA2">
        <f>BDH("AMGN US Equity","EBIT","1993-06-18","2026-05-02","Per=Y","Days=T","Dir=V")</f>
        <v>0</v>
      </c>
      <c r="AC2">
        <f>BDH("AMGN US Equity","EBITDA","1993-06-18","2026-05-02","Per=Y","Days=T","Dir=V")</f>
        <v>0</v>
      </c>
      <c r="AE2">
        <f>BDH("AMGN US Equity","NET_INCOME","1993-06-18","2026-05-02","Per=Y","Days=T","Dir=V")</f>
        <v>0</v>
      </c>
      <c r="AG2">
        <f>BDH("AMGN US Equity","IS_INT_EXPENSE","1993-06-18","2026-05-02","Per=Y","Days=T","Dir=V")</f>
        <v>0</v>
      </c>
      <c r="AI2">
        <f>BDH("AMGN US Equity","IS_DEPR_EXP","1993-06-18","2026-05-02","Per=Y","Days=T","Dir=V")</f>
        <v>0</v>
      </c>
      <c r="AK2">
        <f>BDH("AMGN US Equity","CF_CASH_FROM_OPER","1993-06-18","2026-05-02","Per=Y","Days=T","Dir=V")</f>
        <v>0</v>
      </c>
      <c r="AM2">
        <f>BDH("AMGN US Equity","CAPITAL_EXPEND","1993-06-18","2026-05-02","Per=Y","Days=T","Dir=V")</f>
        <v>0</v>
      </c>
      <c r="AO2">
        <f>BDH("AMGN US Equity","CF_FREE_CASH_FLOW","1993-06-18","2026-05-02","Per=Y","Days=T","Dir=V")</f>
        <v>0</v>
      </c>
      <c r="AQ2">
        <f>BDH("AMGN US Equity","PX_LAST","1993-06-18","2026-05-02","Per=M","Days=T","Dir=V")</f>
        <v>0</v>
      </c>
      <c r="AS2">
        <f>BDH("AMGN US Equity","CUR_MKT_CAP","1993-06-18","2026-05-02","Per=M","Days=T","Dir=V")</f>
        <v>0</v>
      </c>
      <c r="AU2">
        <f>BDH("AMGN US Equity","EQY_SH_OUT","1993-06-18","2026-05-02","Per=M","Days=T","Dir=V")</f>
        <v>0</v>
      </c>
      <c r="AW2">
        <f>BDH("AMGN US Equity","PX_VOLUME","1993-06-18","2026-05-02","Per=M","Days=T","Dir=V")</f>
        <v>0</v>
      </c>
      <c r="AY2">
        <f>BDH("AMGN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BDH("AMIX US Equity","BS_TOT_ASSET","1993-06-18","2026-05-02","Per=Y","Days=T","Dir=V")</f>
        <v>0</v>
      </c>
      <c r="C2">
        <f>BDH("AMIX US Equity","BS_TOT_LIAB2","1993-06-18","2026-05-02","Per=Y","Days=T","Dir=V")</f>
        <v>0</v>
      </c>
      <c r="E2">
        <f>BDH("AMIX US Equity","SHORT_AND_LONG_TERM_DEBT","1993-06-18","2026-05-02","Per=Y","Days=T","Dir=V")</f>
        <v>0</v>
      </c>
      <c r="G2">
        <f>BDH("AMIX US Equity","BS_ST_BORROW","1993-06-18","2026-05-02","Per=Y","Days=T","Dir=V")</f>
        <v>0</v>
      </c>
      <c r="I2">
        <f>BDH("AMIX US Equity","BS_LT_BORROW","1993-06-18","2026-05-02","Per=Y","Days=T","Dir=V")</f>
        <v>0</v>
      </c>
      <c r="K2">
        <f>BDH("AMIX US Equity","BS_CASH_NEAR_CASH_ITEM","1993-06-18","2026-05-02","Per=Y","Days=T","Dir=V")</f>
        <v>0</v>
      </c>
      <c r="M2">
        <f>BDH("AMIX US Equity","BS_CUR_ASSET_REPORT","1993-06-18","2026-05-02","Per=Y","Days=T","Dir=V")</f>
        <v>0</v>
      </c>
      <c r="O2">
        <f>BDH("AMIX US Equity","BS_CUR_LIAB","1993-06-18","2026-05-02","Per=Y","Days=T","Dir=V")</f>
        <v>0</v>
      </c>
      <c r="Q2">
        <f>BDH("AMIX US Equity","BS_SHAREHOLDER_EQY_ENDING_PERIOD","1993-06-18","2026-05-02","Per=Y","Days=T","Dir=V")</f>
        <v>0</v>
      </c>
      <c r="S2">
        <f>BDH("AMIX US Equity","BS_ACCT_NOTE_RCV","1993-06-18","2026-05-02","Per=Y","Days=T","Dir=V")</f>
        <v>0</v>
      </c>
      <c r="U2">
        <f>BDH("AMIX US Equity","BS_INVENTORIES","1993-06-18","2026-05-02","Per=Y","Days=T","Dir=V")</f>
        <v>0</v>
      </c>
      <c r="W2">
        <f>BDH("AMIX US Equity","WORKING_CAPITAL","1993-06-18","2026-05-02","Per=Y","Days=T","Dir=V")</f>
        <v>0</v>
      </c>
      <c r="Y2">
        <f>BDH("AMIX US Equity","SALES_REV_TURN","1993-06-18","2026-05-02","Per=Y","Days=T","Dir=V")</f>
        <v>0</v>
      </c>
      <c r="AA2">
        <f>BDH("AMIX US Equity","EBIT","1993-06-18","2026-05-02","Per=Y","Days=T","Dir=V")</f>
        <v>0</v>
      </c>
      <c r="AC2">
        <f>BDH("AMIX US Equity","EBITDA","1993-06-18","2026-05-02","Per=Y","Days=T","Dir=V")</f>
        <v>0</v>
      </c>
      <c r="AE2">
        <f>BDH("AMIX US Equity","NET_INCOME","1993-06-18","2026-05-02","Per=Y","Days=T","Dir=V")</f>
        <v>0</v>
      </c>
      <c r="AG2">
        <f>BDH("AMIX US Equity","IS_INT_EXPENSE","1993-06-18","2026-05-02","Per=Y","Days=T","Dir=V")</f>
        <v>0</v>
      </c>
      <c r="AI2">
        <f>BDH("AMIX US Equity","IS_DEPR_EXP","1993-06-18","2026-05-02","Per=Y","Days=T","Dir=V")</f>
        <v>0</v>
      </c>
      <c r="AK2">
        <f>BDH("AMIX US Equity","CF_CASH_FROM_OPER","1993-06-18","2026-05-02","Per=Y","Days=T","Dir=V")</f>
        <v>0</v>
      </c>
      <c r="AM2">
        <f>BDH("AMIX US Equity","CAPITAL_EXPEND","1993-06-18","2026-05-02","Per=Y","Days=T","Dir=V")</f>
        <v>0</v>
      </c>
      <c r="AO2">
        <f>BDH("AMIX US Equity","CF_FREE_CASH_FLOW","1993-06-18","2026-05-02","Per=Y","Days=T","Dir=V")</f>
        <v>0</v>
      </c>
      <c r="AQ2">
        <f>BDH("AMIX US Equity","PX_LAST","1993-06-18","2026-05-02","Per=M","Days=T","Dir=V")</f>
        <v>0</v>
      </c>
      <c r="AS2">
        <f>BDH("AMIX US Equity","CUR_MKT_CAP","1993-06-18","2026-05-02","Per=M","Days=T","Dir=V")</f>
        <v>0</v>
      </c>
      <c r="AU2">
        <f>BDH("AMIX US Equity","EQY_SH_OUT","1993-06-18","2026-05-02","Per=M","Days=T","Dir=V")</f>
        <v>0</v>
      </c>
      <c r="AW2">
        <f>BDH("AMIX US Equity","PX_VOLUME","1993-06-18","2026-05-02","Per=M","Days=T","Dir=V")</f>
        <v>0</v>
      </c>
      <c r="AY2">
        <f>BDH("AMIX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BDH("AMKR US Equity","BS_TOT_ASSET","1993-06-18","2026-05-02","Per=Y","Days=T","Dir=V")</f>
        <v>0</v>
      </c>
      <c r="C2">
        <f>BDH("AMKR US Equity","BS_TOT_LIAB2","1993-06-18","2026-05-02","Per=Y","Days=T","Dir=V")</f>
        <v>0</v>
      </c>
      <c r="E2">
        <f>BDH("AMKR US Equity","SHORT_AND_LONG_TERM_DEBT","1993-06-18","2026-05-02","Per=Y","Days=T","Dir=V")</f>
        <v>0</v>
      </c>
      <c r="G2">
        <f>BDH("AMKR US Equity","BS_ST_BORROW","1993-06-18","2026-05-02","Per=Y","Days=T","Dir=V")</f>
        <v>0</v>
      </c>
      <c r="I2">
        <f>BDH("AMKR US Equity","BS_LT_BORROW","1993-06-18","2026-05-02","Per=Y","Days=T","Dir=V")</f>
        <v>0</v>
      </c>
      <c r="K2">
        <f>BDH("AMKR US Equity","BS_CASH_NEAR_CASH_ITEM","1993-06-18","2026-05-02","Per=Y","Days=T","Dir=V")</f>
        <v>0</v>
      </c>
      <c r="M2">
        <f>BDH("AMKR US Equity","BS_CUR_ASSET_REPORT","1993-06-18","2026-05-02","Per=Y","Days=T","Dir=V")</f>
        <v>0</v>
      </c>
      <c r="O2">
        <f>BDH("AMKR US Equity","BS_CUR_LIAB","1993-06-18","2026-05-02","Per=Y","Days=T","Dir=V")</f>
        <v>0</v>
      </c>
      <c r="Q2">
        <f>BDH("AMKR US Equity","BS_SHAREHOLDER_EQY_ENDING_PERIOD","1993-06-18","2026-05-02","Per=Y","Days=T","Dir=V")</f>
        <v>0</v>
      </c>
      <c r="S2">
        <f>BDH("AMKR US Equity","BS_ACCT_NOTE_RCV","1993-06-18","2026-05-02","Per=Y","Days=T","Dir=V")</f>
        <v>0</v>
      </c>
      <c r="U2">
        <f>BDH("AMKR US Equity","BS_INVENTORIES","1993-06-18","2026-05-02","Per=Y","Days=T","Dir=V")</f>
        <v>0</v>
      </c>
      <c r="W2">
        <f>BDH("AMKR US Equity","WORKING_CAPITAL","1993-06-18","2026-05-02","Per=Y","Days=T","Dir=V")</f>
        <v>0</v>
      </c>
      <c r="Y2">
        <f>BDH("AMKR US Equity","SALES_REV_TURN","1993-06-18","2026-05-02","Per=Y","Days=T","Dir=V")</f>
        <v>0</v>
      </c>
      <c r="AA2">
        <f>BDH("AMKR US Equity","EBIT","1993-06-18","2026-05-02","Per=Y","Days=T","Dir=V")</f>
        <v>0</v>
      </c>
      <c r="AC2">
        <f>BDH("AMKR US Equity","EBITDA","1993-06-18","2026-05-02","Per=Y","Days=T","Dir=V")</f>
        <v>0</v>
      </c>
      <c r="AE2">
        <f>BDH("AMKR US Equity","NET_INCOME","1993-06-18","2026-05-02","Per=Y","Days=T","Dir=V")</f>
        <v>0</v>
      </c>
      <c r="AG2">
        <f>BDH("AMKR US Equity","IS_INT_EXPENSE","1993-06-18","2026-05-02","Per=Y","Days=T","Dir=V")</f>
        <v>0</v>
      </c>
      <c r="AI2">
        <f>BDH("AMKR US Equity","IS_DEPR_EXP","1993-06-18","2026-05-02","Per=Y","Days=T","Dir=V")</f>
        <v>0</v>
      </c>
      <c r="AK2">
        <f>BDH("AMKR US Equity","CF_CASH_FROM_OPER","1993-06-18","2026-05-02","Per=Y","Days=T","Dir=V")</f>
        <v>0</v>
      </c>
      <c r="AM2">
        <f>BDH("AMKR US Equity","CAPITAL_EXPEND","1993-06-18","2026-05-02","Per=Y","Days=T","Dir=V")</f>
        <v>0</v>
      </c>
      <c r="AO2">
        <f>BDH("AMKR US Equity","CF_FREE_CASH_FLOW","1993-06-18","2026-05-02","Per=Y","Days=T","Dir=V")</f>
        <v>0</v>
      </c>
      <c r="AQ2">
        <f>BDH("AMKR US Equity","PX_LAST","1993-06-18","2026-05-02","Per=M","Days=T","Dir=V")</f>
        <v>0</v>
      </c>
      <c r="AS2">
        <f>BDH("AMKR US Equity","CUR_MKT_CAP","1993-06-18","2026-05-02","Per=M","Days=T","Dir=V")</f>
        <v>0</v>
      </c>
      <c r="AU2">
        <f>BDH("AMKR US Equity","EQY_SH_OUT","1993-06-18","2026-05-02","Per=M","Days=T","Dir=V")</f>
        <v>0</v>
      </c>
      <c r="AW2">
        <f>BDH("AMKR US Equity","PX_VOLUME","1993-06-18","2026-05-02","Per=M","Days=T","Dir=V")</f>
        <v>0</v>
      </c>
      <c r="AY2">
        <f>BDH("AMKR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BDH("AMLX US Equity","BS_TOT_ASSET","1993-06-18","2026-05-02","Per=Y","Days=T","Dir=V")</f>
        <v>0</v>
      </c>
      <c r="C2">
        <f>BDH("AMLX US Equity","BS_TOT_LIAB2","1993-06-18","2026-05-02","Per=Y","Days=T","Dir=V")</f>
        <v>0</v>
      </c>
      <c r="E2">
        <f>BDH("AMLX US Equity","SHORT_AND_LONG_TERM_DEBT","1993-06-18","2026-05-02","Per=Y","Days=T","Dir=V")</f>
        <v>0</v>
      </c>
      <c r="G2">
        <f>BDH("AMLX US Equity","BS_ST_BORROW","1993-06-18","2026-05-02","Per=Y","Days=T","Dir=V")</f>
        <v>0</v>
      </c>
      <c r="I2">
        <f>BDH("AMLX US Equity","BS_LT_BORROW","1993-06-18","2026-05-02","Per=Y","Days=T","Dir=V")</f>
        <v>0</v>
      </c>
      <c r="K2">
        <f>BDH("AMLX US Equity","BS_CASH_NEAR_CASH_ITEM","1993-06-18","2026-05-02","Per=Y","Days=T","Dir=V")</f>
        <v>0</v>
      </c>
      <c r="M2">
        <f>BDH("AMLX US Equity","BS_CUR_ASSET_REPORT","1993-06-18","2026-05-02","Per=Y","Days=T","Dir=V")</f>
        <v>0</v>
      </c>
      <c r="O2">
        <f>BDH("AMLX US Equity","BS_CUR_LIAB","1993-06-18","2026-05-02","Per=Y","Days=T","Dir=V")</f>
        <v>0</v>
      </c>
      <c r="Q2">
        <f>BDH("AMLX US Equity","BS_SHAREHOLDER_EQY_ENDING_PERIOD","1993-06-18","2026-05-02","Per=Y","Days=T","Dir=V")</f>
        <v>0</v>
      </c>
      <c r="S2">
        <f>BDH("AMLX US Equity","BS_ACCT_NOTE_RCV","1993-06-18","2026-05-02","Per=Y","Days=T","Dir=V")</f>
        <v>0</v>
      </c>
      <c r="U2">
        <f>BDH("AMLX US Equity","BS_INVENTORIES","1993-06-18","2026-05-02","Per=Y","Days=T","Dir=V")</f>
        <v>0</v>
      </c>
      <c r="W2">
        <f>BDH("AMLX US Equity","WORKING_CAPITAL","1993-06-18","2026-05-02","Per=Y","Days=T","Dir=V")</f>
        <v>0</v>
      </c>
      <c r="Y2">
        <f>BDH("AMLX US Equity","SALES_REV_TURN","1993-06-18","2026-05-02","Per=Y","Days=T","Dir=V")</f>
        <v>0</v>
      </c>
      <c r="AA2">
        <f>BDH("AMLX US Equity","EBIT","1993-06-18","2026-05-02","Per=Y","Days=T","Dir=V")</f>
        <v>0</v>
      </c>
      <c r="AC2">
        <f>BDH("AMLX US Equity","EBITDA","1993-06-18","2026-05-02","Per=Y","Days=T","Dir=V")</f>
        <v>0</v>
      </c>
      <c r="AE2">
        <f>BDH("AMLX US Equity","NET_INCOME","1993-06-18","2026-05-02","Per=Y","Days=T","Dir=V")</f>
        <v>0</v>
      </c>
      <c r="AG2">
        <f>BDH("AMLX US Equity","IS_INT_EXPENSE","1993-06-18","2026-05-02","Per=Y","Days=T","Dir=V")</f>
        <v>0</v>
      </c>
      <c r="AI2">
        <f>BDH("AMLX US Equity","IS_DEPR_EXP","1993-06-18","2026-05-02","Per=Y","Days=T","Dir=V")</f>
        <v>0</v>
      </c>
      <c r="AK2">
        <f>BDH("AMLX US Equity","CF_CASH_FROM_OPER","1993-06-18","2026-05-02","Per=Y","Days=T","Dir=V")</f>
        <v>0</v>
      </c>
      <c r="AM2">
        <f>BDH("AMLX US Equity","CAPITAL_EXPEND","1993-06-18","2026-05-02","Per=Y","Days=T","Dir=V")</f>
        <v>0</v>
      </c>
      <c r="AO2">
        <f>BDH("AMLX US Equity","CF_FREE_CASH_FLOW","1993-06-18","2026-05-02","Per=Y","Days=T","Dir=V")</f>
        <v>0</v>
      </c>
      <c r="AQ2">
        <f>BDH("AMLX US Equity","PX_LAST","1993-06-18","2026-05-02","Per=M","Days=T","Dir=V")</f>
        <v>0</v>
      </c>
      <c r="AS2">
        <f>BDH("AMLX US Equity","CUR_MKT_CAP","1993-06-18","2026-05-02","Per=M","Days=T","Dir=V")</f>
        <v>0</v>
      </c>
      <c r="AU2">
        <f>BDH("AMLX US Equity","EQY_SH_OUT","1993-06-18","2026-05-02","Per=M","Days=T","Dir=V")</f>
        <v>0</v>
      </c>
      <c r="AW2">
        <f>BDH("AMLX US Equity","PX_VOLUME","1993-06-18","2026-05-02","Per=M","Days=T","Dir=V")</f>
        <v>0</v>
      </c>
      <c r="AY2">
        <f>BDH("AMLX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BDH("AMN US Equity","BS_TOT_ASSET","1993-06-18","2026-05-02","Per=Y","Days=T","Dir=V")</f>
        <v>0</v>
      </c>
      <c r="C2">
        <f>BDH("AMN US Equity","BS_TOT_LIAB2","1993-06-18","2026-05-02","Per=Y","Days=T","Dir=V")</f>
        <v>0</v>
      </c>
      <c r="E2">
        <f>BDH("AMN US Equity","SHORT_AND_LONG_TERM_DEBT","1993-06-18","2026-05-02","Per=Y","Days=T","Dir=V")</f>
        <v>0</v>
      </c>
      <c r="G2">
        <f>BDH("AMN US Equity","BS_ST_BORROW","1993-06-18","2026-05-02","Per=Y","Days=T","Dir=V")</f>
        <v>0</v>
      </c>
      <c r="I2">
        <f>BDH("AMN US Equity","BS_LT_BORROW","1993-06-18","2026-05-02","Per=Y","Days=T","Dir=V")</f>
        <v>0</v>
      </c>
      <c r="K2">
        <f>BDH("AMN US Equity","BS_CASH_NEAR_CASH_ITEM","1993-06-18","2026-05-02","Per=Y","Days=T","Dir=V")</f>
        <v>0</v>
      </c>
      <c r="M2">
        <f>BDH("AMN US Equity","BS_CUR_ASSET_REPORT","1993-06-18","2026-05-02","Per=Y","Days=T","Dir=V")</f>
        <v>0</v>
      </c>
      <c r="O2">
        <f>BDH("AMN US Equity","BS_CUR_LIAB","1993-06-18","2026-05-02","Per=Y","Days=T","Dir=V")</f>
        <v>0</v>
      </c>
      <c r="Q2">
        <f>BDH("AMN US Equity","BS_SHAREHOLDER_EQY_ENDING_PERIOD","1993-06-18","2026-05-02","Per=Y","Days=T","Dir=V")</f>
        <v>0</v>
      </c>
      <c r="S2">
        <f>BDH("AMN US Equity","BS_ACCT_NOTE_RCV","1993-06-18","2026-05-02","Per=Y","Days=T","Dir=V")</f>
        <v>0</v>
      </c>
      <c r="U2">
        <f>BDH("AMN US Equity","BS_INVENTORIES","1993-06-18","2026-05-02","Per=Y","Days=T","Dir=V")</f>
        <v>0</v>
      </c>
      <c r="W2">
        <f>BDH("AMN US Equity","WORKING_CAPITAL","1993-06-18","2026-05-02","Per=Y","Days=T","Dir=V")</f>
        <v>0</v>
      </c>
      <c r="Y2">
        <f>BDH("AMN US Equity","SALES_REV_TURN","1993-06-18","2026-05-02","Per=Y","Days=T","Dir=V")</f>
        <v>0</v>
      </c>
      <c r="AA2">
        <f>BDH("AMN US Equity","EBIT","1993-06-18","2026-05-02","Per=Y","Days=T","Dir=V")</f>
        <v>0</v>
      </c>
      <c r="AC2">
        <f>BDH("AMN US Equity","EBITDA","1993-06-18","2026-05-02","Per=Y","Days=T","Dir=V")</f>
        <v>0</v>
      </c>
      <c r="AE2">
        <f>BDH("AMN US Equity","NET_INCOME","1993-06-18","2026-05-02","Per=Y","Days=T","Dir=V")</f>
        <v>0</v>
      </c>
      <c r="AG2">
        <f>BDH("AMN US Equity","IS_INT_EXPENSE","1993-06-18","2026-05-02","Per=Y","Days=T","Dir=V")</f>
        <v>0</v>
      </c>
      <c r="AI2">
        <f>BDH("AMN US Equity","IS_DEPR_EXP","1993-06-18","2026-05-02","Per=Y","Days=T","Dir=V")</f>
        <v>0</v>
      </c>
      <c r="AK2">
        <f>BDH("AMN US Equity","CF_CASH_FROM_OPER","1993-06-18","2026-05-02","Per=Y","Days=T","Dir=V")</f>
        <v>0</v>
      </c>
      <c r="AM2">
        <f>BDH("AMN US Equity","CAPITAL_EXPEND","1993-06-18","2026-05-02","Per=Y","Days=T","Dir=V")</f>
        <v>0</v>
      </c>
      <c r="AO2">
        <f>BDH("AMN US Equity","CF_FREE_CASH_FLOW","1993-06-18","2026-05-02","Per=Y","Days=T","Dir=V")</f>
        <v>0</v>
      </c>
      <c r="AQ2">
        <f>BDH("AMN US Equity","PX_LAST","1993-06-18","2026-05-02","Per=M","Days=T","Dir=V")</f>
        <v>0</v>
      </c>
      <c r="AS2">
        <f>BDH("AMN US Equity","CUR_MKT_CAP","1993-06-18","2026-05-02","Per=M","Days=T","Dir=V")</f>
        <v>0</v>
      </c>
      <c r="AU2">
        <f>BDH("AMN US Equity","EQY_SH_OUT","1993-06-18","2026-05-02","Per=M","Days=T","Dir=V")</f>
        <v>0</v>
      </c>
      <c r="AW2">
        <f>BDH("AMN US Equity","PX_VOLUME","1993-06-18","2026-05-02","Per=M","Days=T","Dir=V")</f>
        <v>0</v>
      </c>
      <c r="AY2">
        <f>BDH("AMN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BDH("AMPG US Equity","BS_TOT_ASSET","1993-06-18","2026-05-02","Per=Y","Days=T","Dir=V")</f>
        <v>0</v>
      </c>
      <c r="C2">
        <f>BDH("AMPG US Equity","BS_TOT_LIAB2","1993-06-18","2026-05-02","Per=Y","Days=T","Dir=V")</f>
        <v>0</v>
      </c>
      <c r="E2">
        <f>BDH("AMPG US Equity","SHORT_AND_LONG_TERM_DEBT","1993-06-18","2026-05-02","Per=Y","Days=T","Dir=V")</f>
        <v>0</v>
      </c>
      <c r="G2">
        <f>BDH("AMPG US Equity","BS_ST_BORROW","1993-06-18","2026-05-02","Per=Y","Days=T","Dir=V")</f>
        <v>0</v>
      </c>
      <c r="I2">
        <f>BDH("AMPG US Equity","BS_LT_BORROW","1993-06-18","2026-05-02","Per=Y","Days=T","Dir=V")</f>
        <v>0</v>
      </c>
      <c r="K2">
        <f>BDH("AMPG US Equity","BS_CASH_NEAR_CASH_ITEM","1993-06-18","2026-05-02","Per=Y","Days=T","Dir=V")</f>
        <v>0</v>
      </c>
      <c r="M2">
        <f>BDH("AMPG US Equity","BS_CUR_ASSET_REPORT","1993-06-18","2026-05-02","Per=Y","Days=T","Dir=V")</f>
        <v>0</v>
      </c>
      <c r="O2">
        <f>BDH("AMPG US Equity","BS_CUR_LIAB","1993-06-18","2026-05-02","Per=Y","Days=T","Dir=V")</f>
        <v>0</v>
      </c>
      <c r="Q2">
        <f>BDH("AMPG US Equity","BS_SHAREHOLDER_EQY_ENDING_PERIOD","1993-06-18","2026-05-02","Per=Y","Days=T","Dir=V")</f>
        <v>0</v>
      </c>
      <c r="S2">
        <f>BDH("AMPG US Equity","BS_ACCT_NOTE_RCV","1993-06-18","2026-05-02","Per=Y","Days=T","Dir=V")</f>
        <v>0</v>
      </c>
      <c r="U2">
        <f>BDH("AMPG US Equity","BS_INVENTORIES","1993-06-18","2026-05-02","Per=Y","Days=T","Dir=V")</f>
        <v>0</v>
      </c>
      <c r="W2">
        <f>BDH("AMPG US Equity","WORKING_CAPITAL","1993-06-18","2026-05-02","Per=Y","Days=T","Dir=V")</f>
        <v>0</v>
      </c>
      <c r="Y2">
        <f>BDH("AMPG US Equity","SALES_REV_TURN","1993-06-18","2026-05-02","Per=Y","Days=T","Dir=V")</f>
        <v>0</v>
      </c>
      <c r="AA2">
        <f>BDH("AMPG US Equity","EBIT","1993-06-18","2026-05-02","Per=Y","Days=T","Dir=V")</f>
        <v>0</v>
      </c>
      <c r="AC2">
        <f>BDH("AMPG US Equity","EBITDA","1993-06-18","2026-05-02","Per=Y","Days=T","Dir=V")</f>
        <v>0</v>
      </c>
      <c r="AE2">
        <f>BDH("AMPG US Equity","NET_INCOME","1993-06-18","2026-05-02","Per=Y","Days=T","Dir=V")</f>
        <v>0</v>
      </c>
      <c r="AG2">
        <f>BDH("AMPG US Equity","IS_INT_EXPENSE","1993-06-18","2026-05-02","Per=Y","Days=T","Dir=V")</f>
        <v>0</v>
      </c>
      <c r="AI2">
        <f>BDH("AMPG US Equity","IS_DEPR_EXP","1993-06-18","2026-05-02","Per=Y","Days=T","Dir=V")</f>
        <v>0</v>
      </c>
      <c r="AK2">
        <f>BDH("AMPG US Equity","CF_CASH_FROM_OPER","1993-06-18","2026-05-02","Per=Y","Days=T","Dir=V")</f>
        <v>0</v>
      </c>
      <c r="AM2">
        <f>BDH("AMPG US Equity","CAPITAL_EXPEND","1993-06-18","2026-05-02","Per=Y","Days=T","Dir=V")</f>
        <v>0</v>
      </c>
      <c r="AO2">
        <f>BDH("AMPG US Equity","CF_FREE_CASH_FLOW","1993-06-18","2026-05-02","Per=Y","Days=T","Dir=V")</f>
        <v>0</v>
      </c>
      <c r="AQ2">
        <f>BDH("AMPG US Equity","PX_LAST","1993-06-18","2026-05-02","Per=M","Days=T","Dir=V")</f>
        <v>0</v>
      </c>
      <c r="AS2">
        <f>BDH("AMPG US Equity","CUR_MKT_CAP","1993-06-18","2026-05-02","Per=M","Days=T","Dir=V")</f>
        <v>0</v>
      </c>
      <c r="AU2">
        <f>BDH("AMPG US Equity","EQY_SH_OUT","1993-06-18","2026-05-02","Per=M","Days=T","Dir=V")</f>
        <v>0</v>
      </c>
      <c r="AW2">
        <f>BDH("AMPG US Equity","PX_VOLUME","1993-06-18","2026-05-02","Per=M","Days=T","Dir=V")</f>
        <v>0</v>
      </c>
      <c r="AY2">
        <f>BDH("AMPG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BDH("AMPGZ US Equity","BS_TOT_ASSET","1993-06-18","2026-05-02","Per=Y","Days=T","Dir=V")</f>
        <v>0</v>
      </c>
      <c r="C2">
        <f>BDH("AMPGZ US Equity","BS_TOT_LIAB2","1993-06-18","2026-05-02","Per=Y","Days=T","Dir=V")</f>
        <v>0</v>
      </c>
      <c r="E2">
        <f>BDH("AMPGZ US Equity","SHORT_AND_LONG_TERM_DEBT","1993-06-18","2026-05-02","Per=Y","Days=T","Dir=V")</f>
        <v>0</v>
      </c>
      <c r="G2">
        <f>BDH("AMPGZ US Equity","BS_ST_BORROW","1993-06-18","2026-05-02","Per=Y","Days=T","Dir=V")</f>
        <v>0</v>
      </c>
      <c r="I2">
        <f>BDH("AMPGZ US Equity","BS_LT_BORROW","1993-06-18","2026-05-02","Per=Y","Days=T","Dir=V")</f>
        <v>0</v>
      </c>
      <c r="K2">
        <f>BDH("AMPGZ US Equity","BS_CASH_NEAR_CASH_ITEM","1993-06-18","2026-05-02","Per=Y","Days=T","Dir=V")</f>
        <v>0</v>
      </c>
      <c r="M2">
        <f>BDH("AMPGZ US Equity","BS_CUR_ASSET_REPORT","1993-06-18","2026-05-02","Per=Y","Days=T","Dir=V")</f>
        <v>0</v>
      </c>
      <c r="O2">
        <f>BDH("AMPGZ US Equity","BS_CUR_LIAB","1993-06-18","2026-05-02","Per=Y","Days=T","Dir=V")</f>
        <v>0</v>
      </c>
      <c r="Q2">
        <f>BDH("AMPGZ US Equity","BS_SHAREHOLDER_EQY_ENDING_PERIOD","1993-06-18","2026-05-02","Per=Y","Days=T","Dir=V")</f>
        <v>0</v>
      </c>
      <c r="S2">
        <f>BDH("AMPGZ US Equity","BS_ACCT_NOTE_RCV","1993-06-18","2026-05-02","Per=Y","Days=T","Dir=V")</f>
        <v>0</v>
      </c>
      <c r="U2">
        <f>BDH("AMPGZ US Equity","BS_INVENTORIES","1993-06-18","2026-05-02","Per=Y","Days=T","Dir=V")</f>
        <v>0</v>
      </c>
      <c r="W2">
        <f>BDH("AMPGZ US Equity","WORKING_CAPITAL","1993-06-18","2026-05-02","Per=Y","Days=T","Dir=V")</f>
        <v>0</v>
      </c>
      <c r="Y2">
        <f>BDH("AMPGZ US Equity","SALES_REV_TURN","1993-06-18","2026-05-02","Per=Y","Days=T","Dir=V")</f>
        <v>0</v>
      </c>
      <c r="AA2">
        <f>BDH("AMPGZ US Equity","EBIT","1993-06-18","2026-05-02","Per=Y","Days=T","Dir=V")</f>
        <v>0</v>
      </c>
      <c r="AC2">
        <f>BDH("AMPGZ US Equity","EBITDA","1993-06-18","2026-05-02","Per=Y","Days=T","Dir=V")</f>
        <v>0</v>
      </c>
      <c r="AE2">
        <f>BDH("AMPGZ US Equity","NET_INCOME","1993-06-18","2026-05-02","Per=Y","Days=T","Dir=V")</f>
        <v>0</v>
      </c>
      <c r="AG2">
        <f>BDH("AMPGZ US Equity","IS_INT_EXPENSE","1993-06-18","2026-05-02","Per=Y","Days=T","Dir=V")</f>
        <v>0</v>
      </c>
      <c r="AI2">
        <f>BDH("AMPGZ US Equity","IS_DEPR_EXP","1993-06-18","2026-05-02","Per=Y","Days=T","Dir=V")</f>
        <v>0</v>
      </c>
      <c r="AK2">
        <f>BDH("AMPGZ US Equity","CF_CASH_FROM_OPER","1993-06-18","2026-05-02","Per=Y","Days=T","Dir=V")</f>
        <v>0</v>
      </c>
      <c r="AM2">
        <f>BDH("AMPGZ US Equity","CAPITAL_EXPEND","1993-06-18","2026-05-02","Per=Y","Days=T","Dir=V")</f>
        <v>0</v>
      </c>
      <c r="AO2">
        <f>BDH("AMPGZ US Equity","CF_FREE_CASH_FLOW","1993-06-18","2026-05-02","Per=Y","Days=T","Dir=V")</f>
        <v>0</v>
      </c>
      <c r="AQ2">
        <f>BDH("AMPGZ US Equity","PX_LAST","1993-06-18","2026-05-02","Per=M","Days=T","Dir=V")</f>
        <v>0</v>
      </c>
      <c r="AS2">
        <f>BDH("AMPGZ US Equity","CUR_MKT_CAP","1993-06-18","2026-05-02","Per=M","Days=T","Dir=V")</f>
        <v>0</v>
      </c>
      <c r="AU2">
        <f>BDH("AMPGZ US Equity","EQY_SH_OUT","1993-06-18","2026-05-02","Per=M","Days=T","Dir=V")</f>
        <v>0</v>
      </c>
      <c r="AW2">
        <f>BDH("AMPGZ US Equity","PX_VOLUME","1993-06-18","2026-05-02","Per=M","Days=T","Dir=V")</f>
        <v>0</v>
      </c>
      <c r="AY2">
        <f>BDH("AMPGZ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BDH("AMPH US Equity","BS_TOT_ASSET","1993-06-18","2026-05-02","Per=Y","Days=T","Dir=V")</f>
        <v>0</v>
      </c>
      <c r="C2">
        <f>BDH("AMPH US Equity","BS_TOT_LIAB2","1993-06-18","2026-05-02","Per=Y","Days=T","Dir=V")</f>
        <v>0</v>
      </c>
      <c r="E2">
        <f>BDH("AMPH US Equity","SHORT_AND_LONG_TERM_DEBT","1993-06-18","2026-05-02","Per=Y","Days=T","Dir=V")</f>
        <v>0</v>
      </c>
      <c r="G2">
        <f>BDH("AMPH US Equity","BS_ST_BORROW","1993-06-18","2026-05-02","Per=Y","Days=T","Dir=V")</f>
        <v>0</v>
      </c>
      <c r="I2">
        <f>BDH("AMPH US Equity","BS_LT_BORROW","1993-06-18","2026-05-02","Per=Y","Days=T","Dir=V")</f>
        <v>0</v>
      </c>
      <c r="K2">
        <f>BDH("AMPH US Equity","BS_CASH_NEAR_CASH_ITEM","1993-06-18","2026-05-02","Per=Y","Days=T","Dir=V")</f>
        <v>0</v>
      </c>
      <c r="M2">
        <f>BDH("AMPH US Equity","BS_CUR_ASSET_REPORT","1993-06-18","2026-05-02","Per=Y","Days=T","Dir=V")</f>
        <v>0</v>
      </c>
      <c r="O2">
        <f>BDH("AMPH US Equity","BS_CUR_LIAB","1993-06-18","2026-05-02","Per=Y","Days=T","Dir=V")</f>
        <v>0</v>
      </c>
      <c r="Q2">
        <f>BDH("AMPH US Equity","BS_SHAREHOLDER_EQY_ENDING_PERIOD","1993-06-18","2026-05-02","Per=Y","Days=T","Dir=V")</f>
        <v>0</v>
      </c>
      <c r="S2">
        <f>BDH("AMPH US Equity","BS_ACCT_NOTE_RCV","1993-06-18","2026-05-02","Per=Y","Days=T","Dir=V")</f>
        <v>0</v>
      </c>
      <c r="U2">
        <f>BDH("AMPH US Equity","BS_INVENTORIES","1993-06-18","2026-05-02","Per=Y","Days=T","Dir=V")</f>
        <v>0</v>
      </c>
      <c r="W2">
        <f>BDH("AMPH US Equity","WORKING_CAPITAL","1993-06-18","2026-05-02","Per=Y","Days=T","Dir=V")</f>
        <v>0</v>
      </c>
      <c r="Y2">
        <f>BDH("AMPH US Equity","SALES_REV_TURN","1993-06-18","2026-05-02","Per=Y","Days=T","Dir=V")</f>
        <v>0</v>
      </c>
      <c r="AA2">
        <f>BDH("AMPH US Equity","EBIT","1993-06-18","2026-05-02","Per=Y","Days=T","Dir=V")</f>
        <v>0</v>
      </c>
      <c r="AC2">
        <f>BDH("AMPH US Equity","EBITDA","1993-06-18","2026-05-02","Per=Y","Days=T","Dir=V")</f>
        <v>0</v>
      </c>
      <c r="AE2">
        <f>BDH("AMPH US Equity","NET_INCOME","1993-06-18","2026-05-02","Per=Y","Days=T","Dir=V")</f>
        <v>0</v>
      </c>
      <c r="AG2">
        <f>BDH("AMPH US Equity","IS_INT_EXPENSE","1993-06-18","2026-05-02","Per=Y","Days=T","Dir=V")</f>
        <v>0</v>
      </c>
      <c r="AI2">
        <f>BDH("AMPH US Equity","IS_DEPR_EXP","1993-06-18","2026-05-02","Per=Y","Days=T","Dir=V")</f>
        <v>0</v>
      </c>
      <c r="AK2">
        <f>BDH("AMPH US Equity","CF_CASH_FROM_OPER","1993-06-18","2026-05-02","Per=Y","Days=T","Dir=V")</f>
        <v>0</v>
      </c>
      <c r="AM2">
        <f>BDH("AMPH US Equity","CAPITAL_EXPEND","1993-06-18","2026-05-02","Per=Y","Days=T","Dir=V")</f>
        <v>0</v>
      </c>
      <c r="AO2">
        <f>BDH("AMPH US Equity","CF_FREE_CASH_FLOW","1993-06-18","2026-05-02","Per=Y","Days=T","Dir=V")</f>
        <v>0</v>
      </c>
      <c r="AQ2">
        <f>BDH("AMPH US Equity","PX_LAST","1993-06-18","2026-05-02","Per=M","Days=T","Dir=V")</f>
        <v>0</v>
      </c>
      <c r="AS2">
        <f>BDH("AMPH US Equity","CUR_MKT_CAP","1993-06-18","2026-05-02","Per=M","Days=T","Dir=V")</f>
        <v>0</v>
      </c>
      <c r="AU2">
        <f>BDH("AMPH US Equity","EQY_SH_OUT","1993-06-18","2026-05-02","Per=M","Days=T","Dir=V")</f>
        <v>0</v>
      </c>
      <c r="AW2">
        <f>BDH("AMPH US Equity","PX_VOLUME","1993-06-18","2026-05-02","Per=M","Days=T","Dir=V")</f>
        <v>0</v>
      </c>
      <c r="AY2">
        <f>BDH("AMPH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BDH("AMPL US Equity","BS_TOT_ASSET","1993-06-18","2026-05-02","Per=Y","Days=T","Dir=V")</f>
        <v>0</v>
      </c>
      <c r="C2">
        <f>BDH("AMPL US Equity","BS_TOT_LIAB2","1993-06-18","2026-05-02","Per=Y","Days=T","Dir=V")</f>
        <v>0</v>
      </c>
      <c r="E2">
        <f>BDH("AMPL US Equity","SHORT_AND_LONG_TERM_DEBT","1993-06-18","2026-05-02","Per=Y","Days=T","Dir=V")</f>
        <v>0</v>
      </c>
      <c r="G2">
        <f>BDH("AMPL US Equity","BS_ST_BORROW","1993-06-18","2026-05-02","Per=Y","Days=T","Dir=V")</f>
        <v>0</v>
      </c>
      <c r="I2">
        <f>BDH("AMPL US Equity","BS_LT_BORROW","1993-06-18","2026-05-02","Per=Y","Days=T","Dir=V")</f>
        <v>0</v>
      </c>
      <c r="K2">
        <f>BDH("AMPL US Equity","BS_CASH_NEAR_CASH_ITEM","1993-06-18","2026-05-02","Per=Y","Days=T","Dir=V")</f>
        <v>0</v>
      </c>
      <c r="M2">
        <f>BDH("AMPL US Equity","BS_CUR_ASSET_REPORT","1993-06-18","2026-05-02","Per=Y","Days=T","Dir=V")</f>
        <v>0</v>
      </c>
      <c r="O2">
        <f>BDH("AMPL US Equity","BS_CUR_LIAB","1993-06-18","2026-05-02","Per=Y","Days=T","Dir=V")</f>
        <v>0</v>
      </c>
      <c r="Q2">
        <f>BDH("AMPL US Equity","BS_SHAREHOLDER_EQY_ENDING_PERIOD","1993-06-18","2026-05-02","Per=Y","Days=T","Dir=V")</f>
        <v>0</v>
      </c>
      <c r="S2">
        <f>BDH("AMPL US Equity","BS_ACCT_NOTE_RCV","1993-06-18","2026-05-02","Per=Y","Days=T","Dir=V")</f>
        <v>0</v>
      </c>
      <c r="U2">
        <f>BDH("AMPL US Equity","BS_INVENTORIES","1993-06-18","2026-05-02","Per=Y","Days=T","Dir=V")</f>
        <v>0</v>
      </c>
      <c r="W2">
        <f>BDH("AMPL US Equity","WORKING_CAPITAL","1993-06-18","2026-05-02","Per=Y","Days=T","Dir=V")</f>
        <v>0</v>
      </c>
      <c r="Y2">
        <f>BDH("AMPL US Equity","SALES_REV_TURN","1993-06-18","2026-05-02","Per=Y","Days=T","Dir=V")</f>
        <v>0</v>
      </c>
      <c r="AA2">
        <f>BDH("AMPL US Equity","EBIT","1993-06-18","2026-05-02","Per=Y","Days=T","Dir=V")</f>
        <v>0</v>
      </c>
      <c r="AC2">
        <f>BDH("AMPL US Equity","EBITDA","1993-06-18","2026-05-02","Per=Y","Days=T","Dir=V")</f>
        <v>0</v>
      </c>
      <c r="AE2">
        <f>BDH("AMPL US Equity","NET_INCOME","1993-06-18","2026-05-02","Per=Y","Days=T","Dir=V")</f>
        <v>0</v>
      </c>
      <c r="AG2">
        <f>BDH("AMPL US Equity","IS_INT_EXPENSE","1993-06-18","2026-05-02","Per=Y","Days=T","Dir=V")</f>
        <v>0</v>
      </c>
      <c r="AI2">
        <f>BDH("AMPL US Equity","IS_DEPR_EXP","1993-06-18","2026-05-02","Per=Y","Days=T","Dir=V")</f>
        <v>0</v>
      </c>
      <c r="AK2">
        <f>BDH("AMPL US Equity","CF_CASH_FROM_OPER","1993-06-18","2026-05-02","Per=Y","Days=T","Dir=V")</f>
        <v>0</v>
      </c>
      <c r="AM2">
        <f>BDH("AMPL US Equity","CAPITAL_EXPEND","1993-06-18","2026-05-02","Per=Y","Days=T","Dir=V")</f>
        <v>0</v>
      </c>
      <c r="AO2">
        <f>BDH("AMPL US Equity","CF_FREE_CASH_FLOW","1993-06-18","2026-05-02","Per=Y","Days=T","Dir=V")</f>
        <v>0</v>
      </c>
      <c r="AQ2">
        <f>BDH("AMPL US Equity","PX_LAST","1993-06-18","2026-05-02","Per=M","Days=T","Dir=V")</f>
        <v>0</v>
      </c>
      <c r="AS2">
        <f>BDH("AMPL US Equity","CUR_MKT_CAP","1993-06-18","2026-05-02","Per=M","Days=T","Dir=V")</f>
        <v>0</v>
      </c>
      <c r="AU2">
        <f>BDH("AMPL US Equity","EQY_SH_OUT","1993-06-18","2026-05-02","Per=M","Days=T","Dir=V")</f>
        <v>0</v>
      </c>
      <c r="AW2">
        <f>BDH("AMPL US Equity","PX_VOLUME","1993-06-18","2026-05-02","Per=M","Days=T","Dir=V")</f>
        <v>0</v>
      </c>
      <c r="AY2">
        <f>BDH("AMPL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BDH("AMPY US Equity","BS_TOT_ASSET","1993-06-18","2026-05-02","Per=Y","Days=T","Dir=V")</f>
        <v>0</v>
      </c>
      <c r="C2">
        <f>BDH("AMPY US Equity","BS_TOT_LIAB2","1993-06-18","2026-05-02","Per=Y","Days=T","Dir=V")</f>
        <v>0</v>
      </c>
      <c r="E2">
        <f>BDH("AMPY US Equity","SHORT_AND_LONG_TERM_DEBT","1993-06-18","2026-05-02","Per=Y","Days=T","Dir=V")</f>
        <v>0</v>
      </c>
      <c r="G2">
        <f>BDH("AMPY US Equity","BS_ST_BORROW","1993-06-18","2026-05-02","Per=Y","Days=T","Dir=V")</f>
        <v>0</v>
      </c>
      <c r="I2">
        <f>BDH("AMPY US Equity","BS_LT_BORROW","1993-06-18","2026-05-02","Per=Y","Days=T","Dir=V")</f>
        <v>0</v>
      </c>
      <c r="K2">
        <f>BDH("AMPY US Equity","BS_CASH_NEAR_CASH_ITEM","1993-06-18","2026-05-02","Per=Y","Days=T","Dir=V")</f>
        <v>0</v>
      </c>
      <c r="M2">
        <f>BDH("AMPY US Equity","BS_CUR_ASSET_REPORT","1993-06-18","2026-05-02","Per=Y","Days=T","Dir=V")</f>
        <v>0</v>
      </c>
      <c r="O2">
        <f>BDH("AMPY US Equity","BS_CUR_LIAB","1993-06-18","2026-05-02","Per=Y","Days=T","Dir=V")</f>
        <v>0</v>
      </c>
      <c r="Q2">
        <f>BDH("AMPY US Equity","BS_SHAREHOLDER_EQY_ENDING_PERIOD","1993-06-18","2026-05-02","Per=Y","Days=T","Dir=V")</f>
        <v>0</v>
      </c>
      <c r="S2">
        <f>BDH("AMPY US Equity","BS_ACCT_NOTE_RCV","1993-06-18","2026-05-02","Per=Y","Days=T","Dir=V")</f>
        <v>0</v>
      </c>
      <c r="U2">
        <f>BDH("AMPY US Equity","BS_INVENTORIES","1993-06-18","2026-05-02","Per=Y","Days=T","Dir=V")</f>
        <v>0</v>
      </c>
      <c r="W2">
        <f>BDH("AMPY US Equity","WORKING_CAPITAL","1993-06-18","2026-05-02","Per=Y","Days=T","Dir=V")</f>
        <v>0</v>
      </c>
      <c r="Y2">
        <f>BDH("AMPY US Equity","SALES_REV_TURN","1993-06-18","2026-05-02","Per=Y","Days=T","Dir=V")</f>
        <v>0</v>
      </c>
      <c r="AA2">
        <f>BDH("AMPY US Equity","EBIT","1993-06-18","2026-05-02","Per=Y","Days=T","Dir=V")</f>
        <v>0</v>
      </c>
      <c r="AC2">
        <f>BDH("AMPY US Equity","EBITDA","1993-06-18","2026-05-02","Per=Y","Days=T","Dir=V")</f>
        <v>0</v>
      </c>
      <c r="AE2">
        <f>BDH("AMPY US Equity","NET_INCOME","1993-06-18","2026-05-02","Per=Y","Days=T","Dir=V")</f>
        <v>0</v>
      </c>
      <c r="AG2">
        <f>BDH("AMPY US Equity","IS_INT_EXPENSE","1993-06-18","2026-05-02","Per=Y","Days=T","Dir=V")</f>
        <v>0</v>
      </c>
      <c r="AI2">
        <f>BDH("AMPY US Equity","IS_DEPR_EXP","1993-06-18","2026-05-02","Per=Y","Days=T","Dir=V")</f>
        <v>0</v>
      </c>
      <c r="AK2">
        <f>BDH("AMPY US Equity","CF_CASH_FROM_OPER","1993-06-18","2026-05-02","Per=Y","Days=T","Dir=V")</f>
        <v>0</v>
      </c>
      <c r="AM2">
        <f>BDH("AMPY US Equity","CAPITAL_EXPEND","1993-06-18","2026-05-02","Per=Y","Days=T","Dir=V")</f>
        <v>0</v>
      </c>
      <c r="AO2">
        <f>BDH("AMPY US Equity","CF_FREE_CASH_FLOW","1993-06-18","2026-05-02","Per=Y","Days=T","Dir=V")</f>
        <v>0</v>
      </c>
      <c r="AQ2">
        <f>BDH("AMPY US Equity","PX_LAST","1993-06-18","2026-05-02","Per=M","Days=T","Dir=V")</f>
        <v>0</v>
      </c>
      <c r="AS2">
        <f>BDH("AMPY US Equity","CUR_MKT_CAP","1993-06-18","2026-05-02","Per=M","Days=T","Dir=V")</f>
        <v>0</v>
      </c>
      <c r="AU2">
        <f>BDH("AMPY US Equity","EQY_SH_OUT","1993-06-18","2026-05-02","Per=M","Days=T","Dir=V")</f>
        <v>0</v>
      </c>
      <c r="AW2">
        <f>BDH("AMPY US Equity","PX_VOLUME","1993-06-18","2026-05-02","Per=M","Days=T","Dir=V")</f>
        <v>0</v>
      </c>
      <c r="AY2">
        <f>BDH("AMPY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BDH("AMR US Equity","BS_TOT_ASSET","1993-06-18","2026-05-02","Per=Y","Days=T","Dir=V")</f>
        <v>0</v>
      </c>
      <c r="C2">
        <f>BDH("AMR US Equity","BS_TOT_LIAB2","1993-06-18","2026-05-02","Per=Y","Days=T","Dir=V")</f>
        <v>0</v>
      </c>
      <c r="E2">
        <f>BDH("AMR US Equity","SHORT_AND_LONG_TERM_DEBT","1993-06-18","2026-05-02","Per=Y","Days=T","Dir=V")</f>
        <v>0</v>
      </c>
      <c r="G2">
        <f>BDH("AMR US Equity","BS_ST_BORROW","1993-06-18","2026-05-02","Per=Y","Days=T","Dir=V")</f>
        <v>0</v>
      </c>
      <c r="I2">
        <f>BDH("AMR US Equity","BS_LT_BORROW","1993-06-18","2026-05-02","Per=Y","Days=T","Dir=V")</f>
        <v>0</v>
      </c>
      <c r="K2">
        <f>BDH("AMR US Equity","BS_CASH_NEAR_CASH_ITEM","1993-06-18","2026-05-02","Per=Y","Days=T","Dir=V")</f>
        <v>0</v>
      </c>
      <c r="M2">
        <f>BDH("AMR US Equity","BS_CUR_ASSET_REPORT","1993-06-18","2026-05-02","Per=Y","Days=T","Dir=V")</f>
        <v>0</v>
      </c>
      <c r="O2">
        <f>BDH("AMR US Equity","BS_CUR_LIAB","1993-06-18","2026-05-02","Per=Y","Days=T","Dir=V")</f>
        <v>0</v>
      </c>
      <c r="Q2">
        <f>BDH("AMR US Equity","BS_SHAREHOLDER_EQY_ENDING_PERIOD","1993-06-18","2026-05-02","Per=Y","Days=T","Dir=V")</f>
        <v>0</v>
      </c>
      <c r="S2">
        <f>BDH("AMR US Equity","BS_ACCT_NOTE_RCV","1993-06-18","2026-05-02","Per=Y","Days=T","Dir=V")</f>
        <v>0</v>
      </c>
      <c r="U2">
        <f>BDH("AMR US Equity","BS_INVENTORIES","1993-06-18","2026-05-02","Per=Y","Days=T","Dir=V")</f>
        <v>0</v>
      </c>
      <c r="W2">
        <f>BDH("AMR US Equity","WORKING_CAPITAL","1993-06-18","2026-05-02","Per=Y","Days=T","Dir=V")</f>
        <v>0</v>
      </c>
      <c r="Y2">
        <f>BDH("AMR US Equity","SALES_REV_TURN","1993-06-18","2026-05-02","Per=Y","Days=T","Dir=V")</f>
        <v>0</v>
      </c>
      <c r="AA2">
        <f>BDH("AMR US Equity","EBIT","1993-06-18","2026-05-02","Per=Y","Days=T","Dir=V")</f>
        <v>0</v>
      </c>
      <c r="AC2">
        <f>BDH("AMR US Equity","EBITDA","1993-06-18","2026-05-02","Per=Y","Days=T","Dir=V")</f>
        <v>0</v>
      </c>
      <c r="AE2">
        <f>BDH("AMR US Equity","NET_INCOME","1993-06-18","2026-05-02","Per=Y","Days=T","Dir=V")</f>
        <v>0</v>
      </c>
      <c r="AG2">
        <f>BDH("AMR US Equity","IS_INT_EXPENSE","1993-06-18","2026-05-02","Per=Y","Days=T","Dir=V")</f>
        <v>0</v>
      </c>
      <c r="AI2">
        <f>BDH("AMR US Equity","IS_DEPR_EXP","1993-06-18","2026-05-02","Per=Y","Days=T","Dir=V")</f>
        <v>0</v>
      </c>
      <c r="AK2">
        <f>BDH("AMR US Equity","CF_CASH_FROM_OPER","1993-06-18","2026-05-02","Per=Y","Days=T","Dir=V")</f>
        <v>0</v>
      </c>
      <c r="AM2">
        <f>BDH("AMR US Equity","CAPITAL_EXPEND","1993-06-18","2026-05-02","Per=Y","Days=T","Dir=V")</f>
        <v>0</v>
      </c>
      <c r="AO2">
        <f>BDH("AMR US Equity","CF_FREE_CASH_FLOW","1993-06-18","2026-05-02","Per=Y","Days=T","Dir=V")</f>
        <v>0</v>
      </c>
      <c r="AQ2">
        <f>BDH("AMR US Equity","PX_LAST","1993-06-18","2026-05-02","Per=M","Days=T","Dir=V")</f>
        <v>0</v>
      </c>
      <c r="AS2">
        <f>BDH("AMR US Equity","CUR_MKT_CAP","1993-06-18","2026-05-02","Per=M","Days=T","Dir=V")</f>
        <v>0</v>
      </c>
      <c r="AU2">
        <f>BDH("AMR US Equity","EQY_SH_OUT","1993-06-18","2026-05-02","Per=M","Days=T","Dir=V")</f>
        <v>0</v>
      </c>
      <c r="AW2">
        <f>BDH("AMR US Equity","PX_VOLUME","1993-06-18","2026-05-02","Per=M","Days=T","Dir=V")</f>
        <v>0</v>
      </c>
      <c r="AY2">
        <f>BDH("AMR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BDH("AMRC US Equity","BS_TOT_ASSET","1993-06-18","2026-05-02","Per=Y","Days=T","Dir=V")</f>
        <v>0</v>
      </c>
      <c r="C2">
        <f>BDH("AMRC US Equity","BS_TOT_LIAB2","1993-06-18","2026-05-02","Per=Y","Days=T","Dir=V")</f>
        <v>0</v>
      </c>
      <c r="E2">
        <f>BDH("AMRC US Equity","SHORT_AND_LONG_TERM_DEBT","1993-06-18","2026-05-02","Per=Y","Days=T","Dir=V")</f>
        <v>0</v>
      </c>
      <c r="G2">
        <f>BDH("AMRC US Equity","BS_ST_BORROW","1993-06-18","2026-05-02","Per=Y","Days=T","Dir=V")</f>
        <v>0</v>
      </c>
      <c r="I2">
        <f>BDH("AMRC US Equity","BS_LT_BORROW","1993-06-18","2026-05-02","Per=Y","Days=T","Dir=V")</f>
        <v>0</v>
      </c>
      <c r="K2">
        <f>BDH("AMRC US Equity","BS_CASH_NEAR_CASH_ITEM","1993-06-18","2026-05-02","Per=Y","Days=T","Dir=V")</f>
        <v>0</v>
      </c>
      <c r="M2">
        <f>BDH("AMRC US Equity","BS_CUR_ASSET_REPORT","1993-06-18","2026-05-02","Per=Y","Days=T","Dir=V")</f>
        <v>0</v>
      </c>
      <c r="O2">
        <f>BDH("AMRC US Equity","BS_CUR_LIAB","1993-06-18","2026-05-02","Per=Y","Days=T","Dir=V")</f>
        <v>0</v>
      </c>
      <c r="Q2">
        <f>BDH("AMRC US Equity","BS_SHAREHOLDER_EQY_ENDING_PERIOD","1993-06-18","2026-05-02","Per=Y","Days=T","Dir=V")</f>
        <v>0</v>
      </c>
      <c r="S2">
        <f>BDH("AMRC US Equity","BS_ACCT_NOTE_RCV","1993-06-18","2026-05-02","Per=Y","Days=T","Dir=V")</f>
        <v>0</v>
      </c>
      <c r="U2">
        <f>BDH("AMRC US Equity","BS_INVENTORIES","1993-06-18","2026-05-02","Per=Y","Days=T","Dir=V")</f>
        <v>0</v>
      </c>
      <c r="W2">
        <f>BDH("AMRC US Equity","WORKING_CAPITAL","1993-06-18","2026-05-02","Per=Y","Days=T","Dir=V")</f>
        <v>0</v>
      </c>
      <c r="Y2">
        <f>BDH("AMRC US Equity","SALES_REV_TURN","1993-06-18","2026-05-02","Per=Y","Days=T","Dir=V")</f>
        <v>0</v>
      </c>
      <c r="AA2">
        <f>BDH("AMRC US Equity","EBIT","1993-06-18","2026-05-02","Per=Y","Days=T","Dir=V")</f>
        <v>0</v>
      </c>
      <c r="AC2">
        <f>BDH("AMRC US Equity","EBITDA","1993-06-18","2026-05-02","Per=Y","Days=T","Dir=V")</f>
        <v>0</v>
      </c>
      <c r="AE2">
        <f>BDH("AMRC US Equity","NET_INCOME","1993-06-18","2026-05-02","Per=Y","Days=T","Dir=V")</f>
        <v>0</v>
      </c>
      <c r="AG2">
        <f>BDH("AMRC US Equity","IS_INT_EXPENSE","1993-06-18","2026-05-02","Per=Y","Days=T","Dir=V")</f>
        <v>0</v>
      </c>
      <c r="AI2">
        <f>BDH("AMRC US Equity","IS_DEPR_EXP","1993-06-18","2026-05-02","Per=Y","Days=T","Dir=V")</f>
        <v>0</v>
      </c>
      <c r="AK2">
        <f>BDH("AMRC US Equity","CF_CASH_FROM_OPER","1993-06-18","2026-05-02","Per=Y","Days=T","Dir=V")</f>
        <v>0</v>
      </c>
      <c r="AM2">
        <f>BDH("AMRC US Equity","CAPITAL_EXPEND","1993-06-18","2026-05-02","Per=Y","Days=T","Dir=V")</f>
        <v>0</v>
      </c>
      <c r="AO2">
        <f>BDH("AMRC US Equity","CF_FREE_CASH_FLOW","1993-06-18","2026-05-02","Per=Y","Days=T","Dir=V")</f>
        <v>0</v>
      </c>
      <c r="AQ2">
        <f>BDH("AMRC US Equity","PX_LAST","1993-06-18","2026-05-02","Per=M","Days=T","Dir=V")</f>
        <v>0</v>
      </c>
      <c r="AS2">
        <f>BDH("AMRC US Equity","CUR_MKT_CAP","1993-06-18","2026-05-02","Per=M","Days=T","Dir=V")</f>
        <v>0</v>
      </c>
      <c r="AU2">
        <f>BDH("AMRC US Equity","EQY_SH_OUT","1993-06-18","2026-05-02","Per=M","Days=T","Dir=V")</f>
        <v>0</v>
      </c>
      <c r="AW2">
        <f>BDH("AMRC US Equity","PX_VOLUME","1993-06-18","2026-05-02","Per=M","Days=T","Dir=V")</f>
        <v>0</v>
      </c>
      <c r="AY2">
        <f>BDH("AMRC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BDH("AMRX US Equity","BS_TOT_ASSET","1993-06-18","2026-05-02","Per=Y","Days=T","Dir=V")</f>
        <v>0</v>
      </c>
      <c r="C2">
        <f>BDH("AMRX US Equity","BS_TOT_LIAB2","1993-06-18","2026-05-02","Per=Y","Days=T","Dir=V")</f>
        <v>0</v>
      </c>
      <c r="E2">
        <f>BDH("AMRX US Equity","SHORT_AND_LONG_TERM_DEBT","1993-06-18","2026-05-02","Per=Y","Days=T","Dir=V")</f>
        <v>0</v>
      </c>
      <c r="G2">
        <f>BDH("AMRX US Equity","BS_ST_BORROW","1993-06-18","2026-05-02","Per=Y","Days=T","Dir=V")</f>
        <v>0</v>
      </c>
      <c r="I2">
        <f>BDH("AMRX US Equity","BS_LT_BORROW","1993-06-18","2026-05-02","Per=Y","Days=T","Dir=V")</f>
        <v>0</v>
      </c>
      <c r="K2">
        <f>BDH("AMRX US Equity","BS_CASH_NEAR_CASH_ITEM","1993-06-18","2026-05-02","Per=Y","Days=T","Dir=V")</f>
        <v>0</v>
      </c>
      <c r="M2">
        <f>BDH("AMRX US Equity","BS_CUR_ASSET_REPORT","1993-06-18","2026-05-02","Per=Y","Days=T","Dir=V")</f>
        <v>0</v>
      </c>
      <c r="O2">
        <f>BDH("AMRX US Equity","BS_CUR_LIAB","1993-06-18","2026-05-02","Per=Y","Days=T","Dir=V")</f>
        <v>0</v>
      </c>
      <c r="Q2">
        <f>BDH("AMRX US Equity","BS_SHAREHOLDER_EQY_ENDING_PERIOD","1993-06-18","2026-05-02","Per=Y","Days=T","Dir=V")</f>
        <v>0</v>
      </c>
      <c r="S2">
        <f>BDH("AMRX US Equity","BS_ACCT_NOTE_RCV","1993-06-18","2026-05-02","Per=Y","Days=T","Dir=V")</f>
        <v>0</v>
      </c>
      <c r="U2">
        <f>BDH("AMRX US Equity","BS_INVENTORIES","1993-06-18","2026-05-02","Per=Y","Days=T","Dir=V")</f>
        <v>0</v>
      </c>
      <c r="W2">
        <f>BDH("AMRX US Equity","WORKING_CAPITAL","1993-06-18","2026-05-02","Per=Y","Days=T","Dir=V")</f>
        <v>0</v>
      </c>
      <c r="Y2">
        <f>BDH("AMRX US Equity","SALES_REV_TURN","1993-06-18","2026-05-02","Per=Y","Days=T","Dir=V")</f>
        <v>0</v>
      </c>
      <c r="AA2">
        <f>BDH("AMRX US Equity","EBIT","1993-06-18","2026-05-02","Per=Y","Days=T","Dir=V")</f>
        <v>0</v>
      </c>
      <c r="AC2">
        <f>BDH("AMRX US Equity","EBITDA","1993-06-18","2026-05-02","Per=Y","Days=T","Dir=V")</f>
        <v>0</v>
      </c>
      <c r="AE2">
        <f>BDH("AMRX US Equity","NET_INCOME","1993-06-18","2026-05-02","Per=Y","Days=T","Dir=V")</f>
        <v>0</v>
      </c>
      <c r="AG2">
        <f>BDH("AMRX US Equity","IS_INT_EXPENSE","1993-06-18","2026-05-02","Per=Y","Days=T","Dir=V")</f>
        <v>0</v>
      </c>
      <c r="AI2">
        <f>BDH("AMRX US Equity","IS_DEPR_EXP","1993-06-18","2026-05-02","Per=Y","Days=T","Dir=V")</f>
        <v>0</v>
      </c>
      <c r="AK2">
        <f>BDH("AMRX US Equity","CF_CASH_FROM_OPER","1993-06-18","2026-05-02","Per=Y","Days=T","Dir=V")</f>
        <v>0</v>
      </c>
      <c r="AM2">
        <f>BDH("AMRX US Equity","CAPITAL_EXPEND","1993-06-18","2026-05-02","Per=Y","Days=T","Dir=V")</f>
        <v>0</v>
      </c>
      <c r="AO2">
        <f>BDH("AMRX US Equity","CF_FREE_CASH_FLOW","1993-06-18","2026-05-02","Per=Y","Days=T","Dir=V")</f>
        <v>0</v>
      </c>
      <c r="AQ2">
        <f>BDH("AMRX US Equity","PX_LAST","1993-06-18","2026-05-02","Per=M","Days=T","Dir=V")</f>
        <v>0</v>
      </c>
      <c r="AS2">
        <f>BDH("AMRX US Equity","CUR_MKT_CAP","1993-06-18","2026-05-02","Per=M","Days=T","Dir=V")</f>
        <v>0</v>
      </c>
      <c r="AU2">
        <f>BDH("AMRX US Equity","EQY_SH_OUT","1993-06-18","2026-05-02","Per=M","Days=T","Dir=V")</f>
        <v>0</v>
      </c>
      <c r="AW2">
        <f>BDH("AMRX US Equity","PX_VOLUME","1993-06-18","2026-05-02","Per=M","Days=T","Dir=V")</f>
        <v>0</v>
      </c>
      <c r="AY2">
        <f>BDH("AMRX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BDH("AMS US Equity","BS_TOT_ASSET","1993-06-18","2026-05-02","Per=Y","Days=T","Dir=V")</f>
        <v>0</v>
      </c>
      <c r="C2">
        <f>BDH("AMS US Equity","BS_TOT_LIAB2","1993-06-18","2026-05-02","Per=Y","Days=T","Dir=V")</f>
        <v>0</v>
      </c>
      <c r="E2">
        <f>BDH("AMS US Equity","SHORT_AND_LONG_TERM_DEBT","1993-06-18","2026-05-02","Per=Y","Days=T","Dir=V")</f>
        <v>0</v>
      </c>
      <c r="G2">
        <f>BDH("AMS US Equity","BS_ST_BORROW","1993-06-18","2026-05-02","Per=Y","Days=T","Dir=V")</f>
        <v>0</v>
      </c>
      <c r="I2">
        <f>BDH("AMS US Equity","BS_LT_BORROW","1993-06-18","2026-05-02","Per=Y","Days=T","Dir=V")</f>
        <v>0</v>
      </c>
      <c r="K2">
        <f>BDH("AMS US Equity","BS_CASH_NEAR_CASH_ITEM","1993-06-18","2026-05-02","Per=Y","Days=T","Dir=V")</f>
        <v>0</v>
      </c>
      <c r="M2">
        <f>BDH("AMS US Equity","BS_CUR_ASSET_REPORT","1993-06-18","2026-05-02","Per=Y","Days=T","Dir=V")</f>
        <v>0</v>
      </c>
      <c r="O2">
        <f>BDH("AMS US Equity","BS_CUR_LIAB","1993-06-18","2026-05-02","Per=Y","Days=T","Dir=V")</f>
        <v>0</v>
      </c>
      <c r="Q2">
        <f>BDH("AMS US Equity","BS_SHAREHOLDER_EQY_ENDING_PERIOD","1993-06-18","2026-05-02","Per=Y","Days=T","Dir=V")</f>
        <v>0</v>
      </c>
      <c r="S2">
        <f>BDH("AMS US Equity","BS_ACCT_NOTE_RCV","1993-06-18","2026-05-02","Per=Y","Days=T","Dir=V")</f>
        <v>0</v>
      </c>
      <c r="U2">
        <f>BDH("AMS US Equity","BS_INVENTORIES","1993-06-18","2026-05-02","Per=Y","Days=T","Dir=V")</f>
        <v>0</v>
      </c>
      <c r="W2">
        <f>BDH("AMS US Equity","WORKING_CAPITAL","1993-06-18","2026-05-02","Per=Y","Days=T","Dir=V")</f>
        <v>0</v>
      </c>
      <c r="Y2">
        <f>BDH("AMS US Equity","SALES_REV_TURN","1993-06-18","2026-05-02","Per=Y","Days=T","Dir=V")</f>
        <v>0</v>
      </c>
      <c r="AA2">
        <f>BDH("AMS US Equity","EBIT","1993-06-18","2026-05-02","Per=Y","Days=T","Dir=V")</f>
        <v>0</v>
      </c>
      <c r="AC2">
        <f>BDH("AMS US Equity","EBITDA","1993-06-18","2026-05-02","Per=Y","Days=T","Dir=V")</f>
        <v>0</v>
      </c>
      <c r="AE2">
        <f>BDH("AMS US Equity","NET_INCOME","1993-06-18","2026-05-02","Per=Y","Days=T","Dir=V")</f>
        <v>0</v>
      </c>
      <c r="AG2">
        <f>BDH("AMS US Equity","IS_INT_EXPENSE","1993-06-18","2026-05-02","Per=Y","Days=T","Dir=V")</f>
        <v>0</v>
      </c>
      <c r="AI2">
        <f>BDH("AMS US Equity","IS_DEPR_EXP","1993-06-18","2026-05-02","Per=Y","Days=T","Dir=V")</f>
        <v>0</v>
      </c>
      <c r="AK2">
        <f>BDH("AMS US Equity","CF_CASH_FROM_OPER","1993-06-18","2026-05-02","Per=Y","Days=T","Dir=V")</f>
        <v>0</v>
      </c>
      <c r="AM2">
        <f>BDH("AMS US Equity","CAPITAL_EXPEND","1993-06-18","2026-05-02","Per=Y","Days=T","Dir=V")</f>
        <v>0</v>
      </c>
      <c r="AO2">
        <f>BDH("AMS US Equity","CF_FREE_CASH_FLOW","1993-06-18","2026-05-02","Per=Y","Days=T","Dir=V")</f>
        <v>0</v>
      </c>
      <c r="AQ2">
        <f>BDH("AMS US Equity","PX_LAST","1993-06-18","2026-05-02","Per=M","Days=T","Dir=V")</f>
        <v>0</v>
      </c>
      <c r="AS2">
        <f>BDH("AMS US Equity","CUR_MKT_CAP","1993-06-18","2026-05-02","Per=M","Days=T","Dir=V")</f>
        <v>0</v>
      </c>
      <c r="AU2">
        <f>BDH("AMS US Equity","EQY_SH_OUT","1993-06-18","2026-05-02","Per=M","Days=T","Dir=V")</f>
        <v>0</v>
      </c>
      <c r="AW2">
        <f>BDH("AMS US Equity","PX_VOLUME","1993-06-18","2026-05-02","Per=M","Days=T","Dir=V")</f>
        <v>0</v>
      </c>
      <c r="AY2">
        <f>BDH("AMS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BDH("AMSC US Equity","BS_TOT_ASSET","1993-06-18","2026-05-02","Per=Y","Days=T","Dir=V")</f>
        <v>0</v>
      </c>
      <c r="C2">
        <f>BDH("AMSC US Equity","BS_TOT_LIAB2","1993-06-18","2026-05-02","Per=Y","Days=T","Dir=V")</f>
        <v>0</v>
      </c>
      <c r="E2">
        <f>BDH("AMSC US Equity","SHORT_AND_LONG_TERM_DEBT","1993-06-18","2026-05-02","Per=Y","Days=T","Dir=V")</f>
        <v>0</v>
      </c>
      <c r="G2">
        <f>BDH("AMSC US Equity","BS_ST_BORROW","1993-06-18","2026-05-02","Per=Y","Days=T","Dir=V")</f>
        <v>0</v>
      </c>
      <c r="I2">
        <f>BDH("AMSC US Equity","BS_LT_BORROW","1993-06-18","2026-05-02","Per=Y","Days=T","Dir=V")</f>
        <v>0</v>
      </c>
      <c r="K2">
        <f>BDH("AMSC US Equity","BS_CASH_NEAR_CASH_ITEM","1993-06-18","2026-05-02","Per=Y","Days=T","Dir=V")</f>
        <v>0</v>
      </c>
      <c r="M2">
        <f>BDH("AMSC US Equity","BS_CUR_ASSET_REPORT","1993-06-18","2026-05-02","Per=Y","Days=T","Dir=V")</f>
        <v>0</v>
      </c>
      <c r="O2">
        <f>BDH("AMSC US Equity","BS_CUR_LIAB","1993-06-18","2026-05-02","Per=Y","Days=T","Dir=V")</f>
        <v>0</v>
      </c>
      <c r="Q2">
        <f>BDH("AMSC US Equity","BS_SHAREHOLDER_EQY_ENDING_PERIOD","1993-06-18","2026-05-02","Per=Y","Days=T","Dir=V")</f>
        <v>0</v>
      </c>
      <c r="S2">
        <f>BDH("AMSC US Equity","BS_ACCT_NOTE_RCV","1993-06-18","2026-05-02","Per=Y","Days=T","Dir=V")</f>
        <v>0</v>
      </c>
      <c r="U2">
        <f>BDH("AMSC US Equity","BS_INVENTORIES","1993-06-18","2026-05-02","Per=Y","Days=T","Dir=V")</f>
        <v>0</v>
      </c>
      <c r="W2">
        <f>BDH("AMSC US Equity","WORKING_CAPITAL","1993-06-18","2026-05-02","Per=Y","Days=T","Dir=V")</f>
        <v>0</v>
      </c>
      <c r="Y2">
        <f>BDH("AMSC US Equity","SALES_REV_TURN","1993-06-18","2026-05-02","Per=Y","Days=T","Dir=V")</f>
        <v>0</v>
      </c>
      <c r="AA2">
        <f>BDH("AMSC US Equity","EBIT","1993-06-18","2026-05-02","Per=Y","Days=T","Dir=V")</f>
        <v>0</v>
      </c>
      <c r="AC2">
        <f>BDH("AMSC US Equity","EBITDA","1993-06-18","2026-05-02","Per=Y","Days=T","Dir=V")</f>
        <v>0</v>
      </c>
      <c r="AE2">
        <f>BDH("AMSC US Equity","NET_INCOME","1993-06-18","2026-05-02","Per=Y","Days=T","Dir=V")</f>
        <v>0</v>
      </c>
      <c r="AG2">
        <f>BDH("AMSC US Equity","IS_INT_EXPENSE","1993-06-18","2026-05-02","Per=Y","Days=T","Dir=V")</f>
        <v>0</v>
      </c>
      <c r="AI2">
        <f>BDH("AMSC US Equity","IS_DEPR_EXP","1993-06-18","2026-05-02","Per=Y","Days=T","Dir=V")</f>
        <v>0</v>
      </c>
      <c r="AK2">
        <f>BDH("AMSC US Equity","CF_CASH_FROM_OPER","1993-06-18","2026-05-02","Per=Y","Days=T","Dir=V")</f>
        <v>0</v>
      </c>
      <c r="AM2">
        <f>BDH("AMSC US Equity","CAPITAL_EXPEND","1993-06-18","2026-05-02","Per=Y","Days=T","Dir=V")</f>
        <v>0</v>
      </c>
      <c r="AO2">
        <f>BDH("AMSC US Equity","CF_FREE_CASH_FLOW","1993-06-18","2026-05-02","Per=Y","Days=T","Dir=V")</f>
        <v>0</v>
      </c>
      <c r="AQ2">
        <f>BDH("AMSC US Equity","PX_LAST","1993-06-18","2026-05-02","Per=M","Days=T","Dir=V")</f>
        <v>0</v>
      </c>
      <c r="AS2">
        <f>BDH("AMSC US Equity","CUR_MKT_CAP","1993-06-18","2026-05-02","Per=M","Days=T","Dir=V")</f>
        <v>0</v>
      </c>
      <c r="AU2">
        <f>BDH("AMSC US Equity","EQY_SH_OUT","1993-06-18","2026-05-02","Per=M","Days=T","Dir=V")</f>
        <v>0</v>
      </c>
      <c r="AW2">
        <f>BDH("AMSC US Equity","PX_VOLUME","1993-06-18","2026-05-02","Per=M","Days=T","Dir=V")</f>
        <v>0</v>
      </c>
      <c r="AY2">
        <f>BDH("AMSC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BDH("AMSS US Equity","BS_TOT_ASSET","1993-06-18","2026-05-02","Per=Y","Days=T","Dir=V")</f>
        <v>0</v>
      </c>
      <c r="C2">
        <f>BDH("AMSS US Equity","BS_TOT_LIAB2","1993-06-18","2026-05-02","Per=Y","Days=T","Dir=V")</f>
        <v>0</v>
      </c>
      <c r="E2">
        <f>BDH("AMSS US Equity","SHORT_AND_LONG_TERM_DEBT","1993-06-18","2026-05-02","Per=Y","Days=T","Dir=V")</f>
        <v>0</v>
      </c>
      <c r="G2">
        <f>BDH("AMSS US Equity","BS_ST_BORROW","1993-06-18","2026-05-02","Per=Y","Days=T","Dir=V")</f>
        <v>0</v>
      </c>
      <c r="I2">
        <f>BDH("AMSS US Equity","BS_LT_BORROW","1993-06-18","2026-05-02","Per=Y","Days=T","Dir=V")</f>
        <v>0</v>
      </c>
      <c r="K2">
        <f>BDH("AMSS US Equity","BS_CASH_NEAR_CASH_ITEM","1993-06-18","2026-05-02","Per=Y","Days=T","Dir=V")</f>
        <v>0</v>
      </c>
      <c r="M2">
        <f>BDH("AMSS US Equity","BS_CUR_ASSET_REPORT","1993-06-18","2026-05-02","Per=Y","Days=T","Dir=V")</f>
        <v>0</v>
      </c>
      <c r="O2">
        <f>BDH("AMSS US Equity","BS_CUR_LIAB","1993-06-18","2026-05-02","Per=Y","Days=T","Dir=V")</f>
        <v>0</v>
      </c>
      <c r="Q2">
        <f>BDH("AMSS US Equity","BS_SHAREHOLDER_EQY_ENDING_PERIOD","1993-06-18","2026-05-02","Per=Y","Days=T","Dir=V")</f>
        <v>0</v>
      </c>
      <c r="S2">
        <f>BDH("AMSS US Equity","BS_ACCT_NOTE_RCV","1993-06-18","2026-05-02","Per=Y","Days=T","Dir=V")</f>
        <v>0</v>
      </c>
      <c r="U2">
        <f>BDH("AMSS US Equity","BS_INVENTORIES","1993-06-18","2026-05-02","Per=Y","Days=T","Dir=V")</f>
        <v>0</v>
      </c>
      <c r="W2">
        <f>BDH("AMSS US Equity","WORKING_CAPITAL","1993-06-18","2026-05-02","Per=Y","Days=T","Dir=V")</f>
        <v>0</v>
      </c>
      <c r="Y2">
        <f>BDH("AMSS US Equity","SALES_REV_TURN","1993-06-18","2026-05-02","Per=Y","Days=T","Dir=V")</f>
        <v>0</v>
      </c>
      <c r="AA2">
        <f>BDH("AMSS US Equity","EBIT","1993-06-18","2026-05-02","Per=Y","Days=T","Dir=V")</f>
        <v>0</v>
      </c>
      <c r="AC2">
        <f>BDH("AMSS US Equity","EBITDA","1993-06-18","2026-05-02","Per=Y","Days=T","Dir=V")</f>
        <v>0</v>
      </c>
      <c r="AE2">
        <f>BDH("AMSS US Equity","NET_INCOME","1993-06-18","2026-05-02","Per=Y","Days=T","Dir=V")</f>
        <v>0</v>
      </c>
      <c r="AG2">
        <f>BDH("AMSS US Equity","IS_INT_EXPENSE","1993-06-18","2026-05-02","Per=Y","Days=T","Dir=V")</f>
        <v>0</v>
      </c>
      <c r="AI2">
        <f>BDH("AMSS US Equity","IS_DEPR_EXP","1993-06-18","2026-05-02","Per=Y","Days=T","Dir=V")</f>
        <v>0</v>
      </c>
      <c r="AK2">
        <f>BDH("AMSS US Equity","CF_CASH_FROM_OPER","1993-06-18","2026-05-02","Per=Y","Days=T","Dir=V")</f>
        <v>0</v>
      </c>
      <c r="AM2">
        <f>BDH("AMSS US Equity","CAPITAL_EXPEND","1993-06-18","2026-05-02","Per=Y","Days=T","Dir=V")</f>
        <v>0</v>
      </c>
      <c r="AO2">
        <f>BDH("AMSS US Equity","CF_FREE_CASH_FLOW","1993-06-18","2026-05-02","Per=Y","Days=T","Dir=V")</f>
        <v>0</v>
      </c>
      <c r="AQ2">
        <f>BDH("AMSS US Equity","PX_LAST","1993-06-18","2026-05-02","Per=M","Days=T","Dir=V")</f>
        <v>0</v>
      </c>
      <c r="AS2">
        <f>BDH("AMSS US Equity","CUR_MKT_CAP","1993-06-18","2026-05-02","Per=M","Days=T","Dir=V")</f>
        <v>0</v>
      </c>
      <c r="AU2">
        <f>BDH("AMSS US Equity","EQY_SH_OUT","1993-06-18","2026-05-02","Per=M","Days=T","Dir=V")</f>
        <v>0</v>
      </c>
      <c r="AW2">
        <f>BDH("AMSS US Equity","PX_VOLUME","1993-06-18","2026-05-02","Per=M","Days=T","Dir=V")</f>
        <v>0</v>
      </c>
      <c r="AY2">
        <f>BDH("AMSS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BDH("AMST US Equity","BS_TOT_ASSET","1993-06-18","2026-05-02","Per=Y","Days=T","Dir=V")</f>
        <v>0</v>
      </c>
      <c r="C2">
        <f>BDH("AMST US Equity","BS_TOT_LIAB2","1993-06-18","2026-05-02","Per=Y","Days=T","Dir=V")</f>
        <v>0</v>
      </c>
      <c r="E2">
        <f>BDH("AMST US Equity","SHORT_AND_LONG_TERM_DEBT","1993-06-18","2026-05-02","Per=Y","Days=T","Dir=V")</f>
        <v>0</v>
      </c>
      <c r="G2">
        <f>BDH("AMST US Equity","BS_ST_BORROW","1993-06-18","2026-05-02","Per=Y","Days=T","Dir=V")</f>
        <v>0</v>
      </c>
      <c r="I2">
        <f>BDH("AMST US Equity","BS_LT_BORROW","1993-06-18","2026-05-02","Per=Y","Days=T","Dir=V")</f>
        <v>0</v>
      </c>
      <c r="K2">
        <f>BDH("AMST US Equity","BS_CASH_NEAR_CASH_ITEM","1993-06-18","2026-05-02","Per=Y","Days=T","Dir=V")</f>
        <v>0</v>
      </c>
      <c r="M2">
        <f>BDH("AMST US Equity","BS_CUR_ASSET_REPORT","1993-06-18","2026-05-02","Per=Y","Days=T","Dir=V")</f>
        <v>0</v>
      </c>
      <c r="O2">
        <f>BDH("AMST US Equity","BS_CUR_LIAB","1993-06-18","2026-05-02","Per=Y","Days=T","Dir=V")</f>
        <v>0</v>
      </c>
      <c r="Q2">
        <f>BDH("AMST US Equity","BS_SHAREHOLDER_EQY_ENDING_PERIOD","1993-06-18","2026-05-02","Per=Y","Days=T","Dir=V")</f>
        <v>0</v>
      </c>
      <c r="S2">
        <f>BDH("AMST US Equity","BS_ACCT_NOTE_RCV","1993-06-18","2026-05-02","Per=Y","Days=T","Dir=V")</f>
        <v>0</v>
      </c>
      <c r="U2">
        <f>BDH("AMST US Equity","BS_INVENTORIES","1993-06-18","2026-05-02","Per=Y","Days=T","Dir=V")</f>
        <v>0</v>
      </c>
      <c r="W2">
        <f>BDH("AMST US Equity","WORKING_CAPITAL","1993-06-18","2026-05-02","Per=Y","Days=T","Dir=V")</f>
        <v>0</v>
      </c>
      <c r="Y2">
        <f>BDH("AMST US Equity","SALES_REV_TURN","1993-06-18","2026-05-02","Per=Y","Days=T","Dir=V")</f>
        <v>0</v>
      </c>
      <c r="AA2">
        <f>BDH("AMST US Equity","EBIT","1993-06-18","2026-05-02","Per=Y","Days=T","Dir=V")</f>
        <v>0</v>
      </c>
      <c r="AC2">
        <f>BDH("AMST US Equity","EBITDA","1993-06-18","2026-05-02","Per=Y","Days=T","Dir=V")</f>
        <v>0</v>
      </c>
      <c r="AE2">
        <f>BDH("AMST US Equity","NET_INCOME","1993-06-18","2026-05-02","Per=Y","Days=T","Dir=V")</f>
        <v>0</v>
      </c>
      <c r="AG2">
        <f>BDH("AMST US Equity","IS_INT_EXPENSE","1993-06-18","2026-05-02","Per=Y","Days=T","Dir=V")</f>
        <v>0</v>
      </c>
      <c r="AI2">
        <f>BDH("AMST US Equity","IS_DEPR_EXP","1993-06-18","2026-05-02","Per=Y","Days=T","Dir=V")</f>
        <v>0</v>
      </c>
      <c r="AK2">
        <f>BDH("AMST US Equity","CF_CASH_FROM_OPER","1993-06-18","2026-05-02","Per=Y","Days=T","Dir=V")</f>
        <v>0</v>
      </c>
      <c r="AM2">
        <f>BDH("AMST US Equity","CAPITAL_EXPEND","1993-06-18","2026-05-02","Per=Y","Days=T","Dir=V")</f>
        <v>0</v>
      </c>
      <c r="AO2">
        <f>BDH("AMST US Equity","CF_FREE_CASH_FLOW","1993-06-18","2026-05-02","Per=Y","Days=T","Dir=V")</f>
        <v>0</v>
      </c>
      <c r="AQ2">
        <f>BDH("AMST US Equity","PX_LAST","1993-06-18","2026-05-02","Per=M","Days=T","Dir=V")</f>
        <v>0</v>
      </c>
      <c r="AS2">
        <f>BDH("AMST US Equity","CUR_MKT_CAP","1993-06-18","2026-05-02","Per=M","Days=T","Dir=V")</f>
        <v>0</v>
      </c>
      <c r="AU2">
        <f>BDH("AMST US Equity","EQY_SH_OUT","1993-06-18","2026-05-02","Per=M","Days=T","Dir=V")</f>
        <v>0</v>
      </c>
      <c r="AW2">
        <f>BDH("AMST US Equity","PX_VOLUME","1993-06-18","2026-05-02","Per=M","Days=T","Dir=V")</f>
        <v>0</v>
      </c>
      <c r="AY2">
        <f>BDH("AMST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BDH("AMTM US Equity","BS_TOT_ASSET","1993-06-18","2026-05-02","Per=Y","Days=T","Dir=V")</f>
        <v>0</v>
      </c>
      <c r="C2">
        <f>BDH("AMTM US Equity","BS_TOT_LIAB2","1993-06-18","2026-05-02","Per=Y","Days=T","Dir=V")</f>
        <v>0</v>
      </c>
      <c r="E2">
        <f>BDH("AMTM US Equity","SHORT_AND_LONG_TERM_DEBT","1993-06-18","2026-05-02","Per=Y","Days=T","Dir=V")</f>
        <v>0</v>
      </c>
      <c r="G2">
        <f>BDH("AMTM US Equity","BS_ST_BORROW","1993-06-18","2026-05-02","Per=Y","Days=T","Dir=V")</f>
        <v>0</v>
      </c>
      <c r="I2">
        <f>BDH("AMTM US Equity","BS_LT_BORROW","1993-06-18","2026-05-02","Per=Y","Days=T","Dir=V")</f>
        <v>0</v>
      </c>
      <c r="K2">
        <f>BDH("AMTM US Equity","BS_CASH_NEAR_CASH_ITEM","1993-06-18","2026-05-02","Per=Y","Days=T","Dir=V")</f>
        <v>0</v>
      </c>
      <c r="M2">
        <f>BDH("AMTM US Equity","BS_CUR_ASSET_REPORT","1993-06-18","2026-05-02","Per=Y","Days=T","Dir=V")</f>
        <v>0</v>
      </c>
      <c r="O2">
        <f>BDH("AMTM US Equity","BS_CUR_LIAB","1993-06-18","2026-05-02","Per=Y","Days=T","Dir=V")</f>
        <v>0</v>
      </c>
      <c r="Q2">
        <f>BDH("AMTM US Equity","BS_SHAREHOLDER_EQY_ENDING_PERIOD","1993-06-18","2026-05-02","Per=Y","Days=T","Dir=V")</f>
        <v>0</v>
      </c>
      <c r="S2">
        <f>BDH("AMTM US Equity","BS_ACCT_NOTE_RCV","1993-06-18","2026-05-02","Per=Y","Days=T","Dir=V")</f>
        <v>0</v>
      </c>
      <c r="U2">
        <f>BDH("AMTM US Equity","BS_INVENTORIES","1993-06-18","2026-05-02","Per=Y","Days=T","Dir=V")</f>
        <v>0</v>
      </c>
      <c r="W2">
        <f>BDH("AMTM US Equity","WORKING_CAPITAL","1993-06-18","2026-05-02","Per=Y","Days=T","Dir=V")</f>
        <v>0</v>
      </c>
      <c r="Y2">
        <f>BDH("AMTM US Equity","SALES_REV_TURN","1993-06-18","2026-05-02","Per=Y","Days=T","Dir=V")</f>
        <v>0</v>
      </c>
      <c r="AA2">
        <f>BDH("AMTM US Equity","EBIT","1993-06-18","2026-05-02","Per=Y","Days=T","Dir=V")</f>
        <v>0</v>
      </c>
      <c r="AC2">
        <f>BDH("AMTM US Equity","EBITDA","1993-06-18","2026-05-02","Per=Y","Days=T","Dir=V")</f>
        <v>0</v>
      </c>
      <c r="AE2">
        <f>BDH("AMTM US Equity","NET_INCOME","1993-06-18","2026-05-02","Per=Y","Days=T","Dir=V")</f>
        <v>0</v>
      </c>
      <c r="AG2">
        <f>BDH("AMTM US Equity","IS_INT_EXPENSE","1993-06-18","2026-05-02","Per=Y","Days=T","Dir=V")</f>
        <v>0</v>
      </c>
      <c r="AI2">
        <f>BDH("AMTM US Equity","IS_DEPR_EXP","1993-06-18","2026-05-02","Per=Y","Days=T","Dir=V")</f>
        <v>0</v>
      </c>
      <c r="AK2">
        <f>BDH("AMTM US Equity","CF_CASH_FROM_OPER","1993-06-18","2026-05-02","Per=Y","Days=T","Dir=V")</f>
        <v>0</v>
      </c>
      <c r="AM2">
        <f>BDH("AMTM US Equity","CAPITAL_EXPEND","1993-06-18","2026-05-02","Per=Y","Days=T","Dir=V")</f>
        <v>0</v>
      </c>
      <c r="AO2">
        <f>BDH("AMTM US Equity","CF_FREE_CASH_FLOW","1993-06-18","2026-05-02","Per=Y","Days=T","Dir=V")</f>
        <v>0</v>
      </c>
      <c r="AQ2">
        <f>BDH("AMTM US Equity","PX_LAST","1993-06-18","2026-05-02","Per=M","Days=T","Dir=V")</f>
        <v>0</v>
      </c>
      <c r="AS2">
        <f>BDH("AMTM US Equity","CUR_MKT_CAP","1993-06-18","2026-05-02","Per=M","Days=T","Dir=V")</f>
        <v>0</v>
      </c>
      <c r="AU2">
        <f>BDH("AMTM US Equity","EQY_SH_OUT","1993-06-18","2026-05-02","Per=M","Days=T","Dir=V")</f>
        <v>0</v>
      </c>
      <c r="AW2">
        <f>BDH("AMTM US Equity","PX_VOLUME","1993-06-18","2026-05-02","Per=M","Days=T","Dir=V")</f>
        <v>0</v>
      </c>
      <c r="AY2">
        <f>BDH("AMTM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BDH("AMTX US Equity","BS_TOT_ASSET","1993-06-18","2026-05-02","Per=Y","Days=T","Dir=V")</f>
        <v>0</v>
      </c>
      <c r="C2">
        <f>BDH("AMTX US Equity","BS_TOT_LIAB2","1993-06-18","2026-05-02","Per=Y","Days=T","Dir=V")</f>
        <v>0</v>
      </c>
      <c r="E2">
        <f>BDH("AMTX US Equity","SHORT_AND_LONG_TERM_DEBT","1993-06-18","2026-05-02","Per=Y","Days=T","Dir=V")</f>
        <v>0</v>
      </c>
      <c r="G2">
        <f>BDH("AMTX US Equity","BS_ST_BORROW","1993-06-18","2026-05-02","Per=Y","Days=T","Dir=V")</f>
        <v>0</v>
      </c>
      <c r="I2">
        <f>BDH("AMTX US Equity","BS_LT_BORROW","1993-06-18","2026-05-02","Per=Y","Days=T","Dir=V")</f>
        <v>0</v>
      </c>
      <c r="K2">
        <f>BDH("AMTX US Equity","BS_CASH_NEAR_CASH_ITEM","1993-06-18","2026-05-02","Per=Y","Days=T","Dir=V")</f>
        <v>0</v>
      </c>
      <c r="M2">
        <f>BDH("AMTX US Equity","BS_CUR_ASSET_REPORT","1993-06-18","2026-05-02","Per=Y","Days=T","Dir=V")</f>
        <v>0</v>
      </c>
      <c r="O2">
        <f>BDH("AMTX US Equity","BS_CUR_LIAB","1993-06-18","2026-05-02","Per=Y","Days=T","Dir=V")</f>
        <v>0</v>
      </c>
      <c r="Q2">
        <f>BDH("AMTX US Equity","BS_SHAREHOLDER_EQY_ENDING_PERIOD","1993-06-18","2026-05-02","Per=Y","Days=T","Dir=V")</f>
        <v>0</v>
      </c>
      <c r="S2">
        <f>BDH("AMTX US Equity","BS_ACCT_NOTE_RCV","1993-06-18","2026-05-02","Per=Y","Days=T","Dir=V")</f>
        <v>0</v>
      </c>
      <c r="U2">
        <f>BDH("AMTX US Equity","BS_INVENTORIES","1993-06-18","2026-05-02","Per=Y","Days=T","Dir=V")</f>
        <v>0</v>
      </c>
      <c r="W2">
        <f>BDH("AMTX US Equity","WORKING_CAPITAL","1993-06-18","2026-05-02","Per=Y","Days=T","Dir=V")</f>
        <v>0</v>
      </c>
      <c r="Y2">
        <f>BDH("AMTX US Equity","SALES_REV_TURN","1993-06-18","2026-05-02","Per=Y","Days=T","Dir=V")</f>
        <v>0</v>
      </c>
      <c r="AA2">
        <f>BDH("AMTX US Equity","EBIT","1993-06-18","2026-05-02","Per=Y","Days=T","Dir=V")</f>
        <v>0</v>
      </c>
      <c r="AC2">
        <f>BDH("AMTX US Equity","EBITDA","1993-06-18","2026-05-02","Per=Y","Days=T","Dir=V")</f>
        <v>0</v>
      </c>
      <c r="AE2">
        <f>BDH("AMTX US Equity","NET_INCOME","1993-06-18","2026-05-02","Per=Y","Days=T","Dir=V")</f>
        <v>0</v>
      </c>
      <c r="AG2">
        <f>BDH("AMTX US Equity","IS_INT_EXPENSE","1993-06-18","2026-05-02","Per=Y","Days=T","Dir=V")</f>
        <v>0</v>
      </c>
      <c r="AI2">
        <f>BDH("AMTX US Equity","IS_DEPR_EXP","1993-06-18","2026-05-02","Per=Y","Days=T","Dir=V")</f>
        <v>0</v>
      </c>
      <c r="AK2">
        <f>BDH("AMTX US Equity","CF_CASH_FROM_OPER","1993-06-18","2026-05-02","Per=Y","Days=T","Dir=V")</f>
        <v>0</v>
      </c>
      <c r="AM2">
        <f>BDH("AMTX US Equity","CAPITAL_EXPEND","1993-06-18","2026-05-02","Per=Y","Days=T","Dir=V")</f>
        <v>0</v>
      </c>
      <c r="AO2">
        <f>BDH("AMTX US Equity","CF_FREE_CASH_FLOW","1993-06-18","2026-05-02","Per=Y","Days=T","Dir=V")</f>
        <v>0</v>
      </c>
      <c r="AQ2">
        <f>BDH("AMTX US Equity","PX_LAST","1993-06-18","2026-05-02","Per=M","Days=T","Dir=V")</f>
        <v>0</v>
      </c>
      <c r="AS2">
        <f>BDH("AMTX US Equity","CUR_MKT_CAP","1993-06-18","2026-05-02","Per=M","Days=T","Dir=V")</f>
        <v>0</v>
      </c>
      <c r="AU2">
        <f>BDH("AMTX US Equity","EQY_SH_OUT","1993-06-18","2026-05-02","Per=M","Days=T","Dir=V")</f>
        <v>0</v>
      </c>
      <c r="AW2">
        <f>BDH("AMTX US Equity","PX_VOLUME","1993-06-18","2026-05-02","Per=M","Days=T","Dir=V")</f>
        <v>0</v>
      </c>
      <c r="AY2">
        <f>BDH("AMTX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BDH("AMWL US Equity","BS_TOT_ASSET","1993-06-18","2026-05-02","Per=Y","Days=T","Dir=V")</f>
        <v>0</v>
      </c>
      <c r="C2">
        <f>BDH("AMWL US Equity","BS_TOT_LIAB2","1993-06-18","2026-05-02","Per=Y","Days=T","Dir=V")</f>
        <v>0</v>
      </c>
      <c r="E2">
        <f>BDH("AMWL US Equity","SHORT_AND_LONG_TERM_DEBT","1993-06-18","2026-05-02","Per=Y","Days=T","Dir=V")</f>
        <v>0</v>
      </c>
      <c r="G2">
        <f>BDH("AMWL US Equity","BS_ST_BORROW","1993-06-18","2026-05-02","Per=Y","Days=T","Dir=V")</f>
        <v>0</v>
      </c>
      <c r="I2">
        <f>BDH("AMWL US Equity","BS_LT_BORROW","1993-06-18","2026-05-02","Per=Y","Days=T","Dir=V")</f>
        <v>0</v>
      </c>
      <c r="K2">
        <f>BDH("AMWL US Equity","BS_CASH_NEAR_CASH_ITEM","1993-06-18","2026-05-02","Per=Y","Days=T","Dir=V")</f>
        <v>0</v>
      </c>
      <c r="M2">
        <f>BDH("AMWL US Equity","BS_CUR_ASSET_REPORT","1993-06-18","2026-05-02","Per=Y","Days=T","Dir=V")</f>
        <v>0</v>
      </c>
      <c r="O2">
        <f>BDH("AMWL US Equity","BS_CUR_LIAB","1993-06-18","2026-05-02","Per=Y","Days=T","Dir=V")</f>
        <v>0</v>
      </c>
      <c r="Q2">
        <f>BDH("AMWL US Equity","BS_SHAREHOLDER_EQY_ENDING_PERIOD","1993-06-18","2026-05-02","Per=Y","Days=T","Dir=V")</f>
        <v>0</v>
      </c>
      <c r="S2">
        <f>BDH("AMWL US Equity","BS_ACCT_NOTE_RCV","1993-06-18","2026-05-02","Per=Y","Days=T","Dir=V")</f>
        <v>0</v>
      </c>
      <c r="U2">
        <f>BDH("AMWL US Equity","BS_INVENTORIES","1993-06-18","2026-05-02","Per=Y","Days=T","Dir=V")</f>
        <v>0</v>
      </c>
      <c r="W2">
        <f>BDH("AMWL US Equity","WORKING_CAPITAL","1993-06-18","2026-05-02","Per=Y","Days=T","Dir=V")</f>
        <v>0</v>
      </c>
      <c r="Y2">
        <f>BDH("AMWL US Equity","SALES_REV_TURN","1993-06-18","2026-05-02","Per=Y","Days=T","Dir=V")</f>
        <v>0</v>
      </c>
      <c r="AA2">
        <f>BDH("AMWL US Equity","EBIT","1993-06-18","2026-05-02","Per=Y","Days=T","Dir=V")</f>
        <v>0</v>
      </c>
      <c r="AC2">
        <f>BDH("AMWL US Equity","EBITDA","1993-06-18","2026-05-02","Per=Y","Days=T","Dir=V")</f>
        <v>0</v>
      </c>
      <c r="AE2">
        <f>BDH("AMWL US Equity","NET_INCOME","1993-06-18","2026-05-02","Per=Y","Days=T","Dir=V")</f>
        <v>0</v>
      </c>
      <c r="AG2">
        <f>BDH("AMWL US Equity","IS_INT_EXPENSE","1993-06-18","2026-05-02","Per=Y","Days=T","Dir=V")</f>
        <v>0</v>
      </c>
      <c r="AI2">
        <f>BDH("AMWL US Equity","IS_DEPR_EXP","1993-06-18","2026-05-02","Per=Y","Days=T","Dir=V")</f>
        <v>0</v>
      </c>
      <c r="AK2">
        <f>BDH("AMWL US Equity","CF_CASH_FROM_OPER","1993-06-18","2026-05-02","Per=Y","Days=T","Dir=V")</f>
        <v>0</v>
      </c>
      <c r="AM2">
        <f>BDH("AMWL US Equity","CAPITAL_EXPEND","1993-06-18","2026-05-02","Per=Y","Days=T","Dir=V")</f>
        <v>0</v>
      </c>
      <c r="AO2">
        <f>BDH("AMWL US Equity","CF_FREE_CASH_FLOW","1993-06-18","2026-05-02","Per=Y","Days=T","Dir=V")</f>
        <v>0</v>
      </c>
      <c r="AQ2">
        <f>BDH("AMWL US Equity","PX_LAST","1993-06-18","2026-05-02","Per=M","Days=T","Dir=V")</f>
        <v>0</v>
      </c>
      <c r="AS2">
        <f>BDH("AMWL US Equity","CUR_MKT_CAP","1993-06-18","2026-05-02","Per=M","Days=T","Dir=V")</f>
        <v>0</v>
      </c>
      <c r="AU2">
        <f>BDH("AMWL US Equity","EQY_SH_OUT","1993-06-18","2026-05-02","Per=M","Days=T","Dir=V")</f>
        <v>0</v>
      </c>
      <c r="AW2">
        <f>BDH("AMWL US Equity","PX_VOLUME","1993-06-18","2026-05-02","Per=M","Days=T","Dir=V")</f>
        <v>0</v>
      </c>
      <c r="AY2">
        <f>BDH("AMWL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BDH("AMZN US Equity","BS_TOT_ASSET","1993-06-18","2026-05-02","Per=Y","Days=T","Dir=V")</f>
        <v>0</v>
      </c>
      <c r="C2">
        <f>BDH("AMZN US Equity","BS_TOT_LIAB2","1993-06-18","2026-05-02","Per=Y","Days=T","Dir=V")</f>
        <v>0</v>
      </c>
      <c r="E2">
        <f>BDH("AMZN US Equity","SHORT_AND_LONG_TERM_DEBT","1993-06-18","2026-05-02","Per=Y","Days=T","Dir=V")</f>
        <v>0</v>
      </c>
      <c r="G2">
        <f>BDH("AMZN US Equity","BS_ST_BORROW","1993-06-18","2026-05-02","Per=Y","Days=T","Dir=V")</f>
        <v>0</v>
      </c>
      <c r="I2">
        <f>BDH("AMZN US Equity","BS_LT_BORROW","1993-06-18","2026-05-02","Per=Y","Days=T","Dir=V")</f>
        <v>0</v>
      </c>
      <c r="K2">
        <f>BDH("AMZN US Equity","BS_CASH_NEAR_CASH_ITEM","1993-06-18","2026-05-02","Per=Y","Days=T","Dir=V")</f>
        <v>0</v>
      </c>
      <c r="M2">
        <f>BDH("AMZN US Equity","BS_CUR_ASSET_REPORT","1993-06-18","2026-05-02","Per=Y","Days=T","Dir=V")</f>
        <v>0</v>
      </c>
      <c r="O2">
        <f>BDH("AMZN US Equity","BS_CUR_LIAB","1993-06-18","2026-05-02","Per=Y","Days=T","Dir=V")</f>
        <v>0</v>
      </c>
      <c r="Q2">
        <f>BDH("AMZN US Equity","BS_SHAREHOLDER_EQY_ENDING_PERIOD","1993-06-18","2026-05-02","Per=Y","Days=T","Dir=V")</f>
        <v>0</v>
      </c>
      <c r="S2">
        <f>BDH("AMZN US Equity","BS_ACCT_NOTE_RCV","1993-06-18","2026-05-02","Per=Y","Days=T","Dir=V")</f>
        <v>0</v>
      </c>
      <c r="U2">
        <f>BDH("AMZN US Equity","BS_INVENTORIES","1993-06-18","2026-05-02","Per=Y","Days=T","Dir=V")</f>
        <v>0</v>
      </c>
      <c r="W2">
        <f>BDH("AMZN US Equity","WORKING_CAPITAL","1993-06-18","2026-05-02","Per=Y","Days=T","Dir=V")</f>
        <v>0</v>
      </c>
      <c r="Y2">
        <f>BDH("AMZN US Equity","SALES_REV_TURN","1993-06-18","2026-05-02","Per=Y","Days=T","Dir=V")</f>
        <v>0</v>
      </c>
      <c r="AA2">
        <f>BDH("AMZN US Equity","EBIT","1993-06-18","2026-05-02","Per=Y","Days=T","Dir=V")</f>
        <v>0</v>
      </c>
      <c r="AC2">
        <f>BDH("AMZN US Equity","EBITDA","1993-06-18","2026-05-02","Per=Y","Days=T","Dir=V")</f>
        <v>0</v>
      </c>
      <c r="AE2">
        <f>BDH("AMZN US Equity","NET_INCOME","1993-06-18","2026-05-02","Per=Y","Days=T","Dir=V")</f>
        <v>0</v>
      </c>
      <c r="AG2">
        <f>BDH("AMZN US Equity","IS_INT_EXPENSE","1993-06-18","2026-05-02","Per=Y","Days=T","Dir=V")</f>
        <v>0</v>
      </c>
      <c r="AI2">
        <f>BDH("AMZN US Equity","IS_DEPR_EXP","1993-06-18","2026-05-02","Per=Y","Days=T","Dir=V")</f>
        <v>0</v>
      </c>
      <c r="AK2">
        <f>BDH("AMZN US Equity","CF_CASH_FROM_OPER","1993-06-18","2026-05-02","Per=Y","Days=T","Dir=V")</f>
        <v>0</v>
      </c>
      <c r="AM2">
        <f>BDH("AMZN US Equity","CAPITAL_EXPEND","1993-06-18","2026-05-02","Per=Y","Days=T","Dir=V")</f>
        <v>0</v>
      </c>
      <c r="AO2">
        <f>BDH("AMZN US Equity","CF_FREE_CASH_FLOW","1993-06-18","2026-05-02","Per=Y","Days=T","Dir=V")</f>
        <v>0</v>
      </c>
      <c r="AQ2">
        <f>BDH("AMZN US Equity","PX_LAST","1993-06-18","2026-05-02","Per=M","Days=T","Dir=V")</f>
        <v>0</v>
      </c>
      <c r="AS2">
        <f>BDH("AMZN US Equity","CUR_MKT_CAP","1993-06-18","2026-05-02","Per=M","Days=T","Dir=V")</f>
        <v>0</v>
      </c>
      <c r="AU2">
        <f>BDH("AMZN US Equity","EQY_SH_OUT","1993-06-18","2026-05-02","Per=M","Days=T","Dir=V")</f>
        <v>0</v>
      </c>
      <c r="AW2">
        <f>BDH("AMZN US Equity","PX_VOLUME","1993-06-18","2026-05-02","Per=M","Days=T","Dir=V")</f>
        <v>0</v>
      </c>
      <c r="AY2">
        <f>BDH("AMZN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 US Equity","BS_TOT_ASSET","1993-06-18","2026-05-02","Per=Y","Days=T","Dir=V")</f>
        <v>0</v>
      </c>
      <c r="C2">
        <f>BDH("AN US Equity","BS_TOT_LIAB2","1993-06-18","2026-05-02","Per=Y","Days=T","Dir=V")</f>
        <v>0</v>
      </c>
      <c r="E2">
        <f>BDH("AN US Equity","SHORT_AND_LONG_TERM_DEBT","1993-06-18","2026-05-02","Per=Y","Days=T","Dir=V")</f>
        <v>0</v>
      </c>
      <c r="G2">
        <f>BDH("AN US Equity","BS_ST_BORROW","1993-06-18","2026-05-02","Per=Y","Days=T","Dir=V")</f>
        <v>0</v>
      </c>
      <c r="I2">
        <f>BDH("AN US Equity","BS_LT_BORROW","1993-06-18","2026-05-02","Per=Y","Days=T","Dir=V")</f>
        <v>0</v>
      </c>
      <c r="K2">
        <f>BDH("AN US Equity","BS_CASH_NEAR_CASH_ITEM","1993-06-18","2026-05-02","Per=Y","Days=T","Dir=V")</f>
        <v>0</v>
      </c>
      <c r="M2">
        <f>BDH("AN US Equity","BS_CUR_ASSET_REPORT","1993-06-18","2026-05-02","Per=Y","Days=T","Dir=V")</f>
        <v>0</v>
      </c>
      <c r="O2">
        <f>BDH("AN US Equity","BS_CUR_LIAB","1993-06-18","2026-05-02","Per=Y","Days=T","Dir=V")</f>
        <v>0</v>
      </c>
      <c r="Q2">
        <f>BDH("AN US Equity","BS_SHAREHOLDER_EQY_ENDING_PERIOD","1993-06-18","2026-05-02","Per=Y","Days=T","Dir=V")</f>
        <v>0</v>
      </c>
      <c r="S2">
        <f>BDH("AN US Equity","BS_ACCT_NOTE_RCV","1993-06-18","2026-05-02","Per=Y","Days=T","Dir=V")</f>
        <v>0</v>
      </c>
      <c r="U2">
        <f>BDH("AN US Equity","BS_INVENTORIES","1993-06-18","2026-05-02","Per=Y","Days=T","Dir=V")</f>
        <v>0</v>
      </c>
      <c r="W2">
        <f>BDH("AN US Equity","WORKING_CAPITAL","1993-06-18","2026-05-02","Per=Y","Days=T","Dir=V")</f>
        <v>0</v>
      </c>
      <c r="Y2">
        <f>BDH("AN US Equity","SALES_REV_TURN","1993-06-18","2026-05-02","Per=Y","Days=T","Dir=V")</f>
        <v>0</v>
      </c>
      <c r="AA2">
        <f>BDH("AN US Equity","EBIT","1993-06-18","2026-05-02","Per=Y","Days=T","Dir=V")</f>
        <v>0</v>
      </c>
      <c r="AC2">
        <f>BDH("AN US Equity","EBITDA","1993-06-18","2026-05-02","Per=Y","Days=T","Dir=V")</f>
        <v>0</v>
      </c>
      <c r="AE2">
        <f>BDH("AN US Equity","NET_INCOME","1993-06-18","2026-05-02","Per=Y","Days=T","Dir=V")</f>
        <v>0</v>
      </c>
      <c r="AG2">
        <f>BDH("AN US Equity","IS_INT_EXPENSE","1993-06-18","2026-05-02","Per=Y","Days=T","Dir=V")</f>
        <v>0</v>
      </c>
      <c r="AI2">
        <f>BDH("AN US Equity","IS_DEPR_EXP","1993-06-18","2026-05-02","Per=Y","Days=T","Dir=V")</f>
        <v>0</v>
      </c>
      <c r="AK2">
        <f>BDH("AN US Equity","CF_CASH_FROM_OPER","1993-06-18","2026-05-02","Per=Y","Days=T","Dir=V")</f>
        <v>0</v>
      </c>
      <c r="AM2">
        <f>BDH("AN US Equity","CAPITAL_EXPEND","1993-06-18","2026-05-02","Per=Y","Days=T","Dir=V")</f>
        <v>0</v>
      </c>
      <c r="AO2">
        <f>BDH("AN US Equity","CF_FREE_CASH_FLOW","1993-06-18","2026-05-02","Per=Y","Days=T","Dir=V")</f>
        <v>0</v>
      </c>
      <c r="AQ2">
        <f>BDH("AN US Equity","PX_LAST","1993-06-18","2026-05-02","Per=M","Days=T","Dir=V")</f>
        <v>0</v>
      </c>
      <c r="AS2">
        <f>BDH("AN US Equity","CUR_MKT_CAP","1993-06-18","2026-05-02","Per=M","Days=T","Dir=V")</f>
        <v>0</v>
      </c>
      <c r="AU2">
        <f>BDH("AN US Equity","EQY_SH_OUT","1993-06-18","2026-05-02","Per=M","Days=T","Dir=V")</f>
        <v>0</v>
      </c>
      <c r="AW2">
        <f>BDH("AN US Equity","PX_VOLUME","1993-06-18","2026-05-02","Per=M","Days=T","Dir=V")</f>
        <v>0</v>
      </c>
      <c r="AY2">
        <f>BDH("AN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BDH("ANAB US Equity","BS_TOT_ASSET","1993-06-18","2026-05-02","Per=Y","Days=T","Dir=V")</f>
        <v>0</v>
      </c>
      <c r="C2">
        <f>BDH("ANAB US Equity","BS_TOT_LIAB2","1993-06-18","2026-05-02","Per=Y","Days=T","Dir=V")</f>
        <v>0</v>
      </c>
      <c r="E2">
        <f>BDH("ANAB US Equity","SHORT_AND_LONG_TERM_DEBT","1993-06-18","2026-05-02","Per=Y","Days=T","Dir=V")</f>
        <v>0</v>
      </c>
      <c r="G2">
        <f>BDH("ANAB US Equity","BS_ST_BORROW","1993-06-18","2026-05-02","Per=Y","Days=T","Dir=V")</f>
        <v>0</v>
      </c>
      <c r="I2">
        <f>BDH("ANAB US Equity","BS_LT_BORROW","1993-06-18","2026-05-02","Per=Y","Days=T","Dir=V")</f>
        <v>0</v>
      </c>
      <c r="K2">
        <f>BDH("ANAB US Equity","BS_CASH_NEAR_CASH_ITEM","1993-06-18","2026-05-02","Per=Y","Days=T","Dir=V")</f>
        <v>0</v>
      </c>
      <c r="M2">
        <f>BDH("ANAB US Equity","BS_CUR_ASSET_REPORT","1993-06-18","2026-05-02","Per=Y","Days=T","Dir=V")</f>
        <v>0</v>
      </c>
      <c r="O2">
        <f>BDH("ANAB US Equity","BS_CUR_LIAB","1993-06-18","2026-05-02","Per=Y","Days=T","Dir=V")</f>
        <v>0</v>
      </c>
      <c r="Q2">
        <f>BDH("ANAB US Equity","BS_SHAREHOLDER_EQY_ENDING_PERIOD","1993-06-18","2026-05-02","Per=Y","Days=T","Dir=V")</f>
        <v>0</v>
      </c>
      <c r="S2">
        <f>BDH("ANAB US Equity","BS_ACCT_NOTE_RCV","1993-06-18","2026-05-02","Per=Y","Days=T","Dir=V")</f>
        <v>0</v>
      </c>
      <c r="U2">
        <f>BDH("ANAB US Equity","BS_INVENTORIES","1993-06-18","2026-05-02","Per=Y","Days=T","Dir=V")</f>
        <v>0</v>
      </c>
      <c r="W2">
        <f>BDH("ANAB US Equity","WORKING_CAPITAL","1993-06-18","2026-05-02","Per=Y","Days=T","Dir=V")</f>
        <v>0</v>
      </c>
      <c r="Y2">
        <f>BDH("ANAB US Equity","SALES_REV_TURN","1993-06-18","2026-05-02","Per=Y","Days=T","Dir=V")</f>
        <v>0</v>
      </c>
      <c r="AA2">
        <f>BDH("ANAB US Equity","EBIT","1993-06-18","2026-05-02","Per=Y","Days=T","Dir=V")</f>
        <v>0</v>
      </c>
      <c r="AC2">
        <f>BDH("ANAB US Equity","EBITDA","1993-06-18","2026-05-02","Per=Y","Days=T","Dir=V")</f>
        <v>0</v>
      </c>
      <c r="AE2">
        <f>BDH("ANAB US Equity","NET_INCOME","1993-06-18","2026-05-02","Per=Y","Days=T","Dir=V")</f>
        <v>0</v>
      </c>
      <c r="AG2">
        <f>BDH("ANAB US Equity","IS_INT_EXPENSE","1993-06-18","2026-05-02","Per=Y","Days=T","Dir=V")</f>
        <v>0</v>
      </c>
      <c r="AI2">
        <f>BDH("ANAB US Equity","IS_DEPR_EXP","1993-06-18","2026-05-02","Per=Y","Days=T","Dir=V")</f>
        <v>0</v>
      </c>
      <c r="AK2">
        <f>BDH("ANAB US Equity","CF_CASH_FROM_OPER","1993-06-18","2026-05-02","Per=Y","Days=T","Dir=V")</f>
        <v>0</v>
      </c>
      <c r="AM2">
        <f>BDH("ANAB US Equity","CAPITAL_EXPEND","1993-06-18","2026-05-02","Per=Y","Days=T","Dir=V")</f>
        <v>0</v>
      </c>
      <c r="AO2">
        <f>BDH("ANAB US Equity","CF_FREE_CASH_FLOW","1993-06-18","2026-05-02","Per=Y","Days=T","Dir=V")</f>
        <v>0</v>
      </c>
      <c r="AQ2">
        <f>BDH("ANAB US Equity","PX_LAST","1993-06-18","2026-05-02","Per=M","Days=T","Dir=V")</f>
        <v>0</v>
      </c>
      <c r="AS2">
        <f>BDH("ANAB US Equity","CUR_MKT_CAP","1993-06-18","2026-05-02","Per=M","Days=T","Dir=V")</f>
        <v>0</v>
      </c>
      <c r="AU2">
        <f>BDH("ANAB US Equity","EQY_SH_OUT","1993-06-18","2026-05-02","Per=M","Days=T","Dir=V")</f>
        <v>0</v>
      </c>
      <c r="AW2">
        <f>BDH("ANAB US Equity","PX_VOLUME","1993-06-18","2026-05-02","Per=M","Days=T","Dir=V")</f>
        <v>0</v>
      </c>
      <c r="AY2">
        <f>BDH("ANAB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BDH("ANDE US Equity","BS_TOT_ASSET","1993-06-18","2026-05-02","Per=Y","Days=T","Dir=V")</f>
        <v>0</v>
      </c>
      <c r="C2">
        <f>BDH("ANDE US Equity","BS_TOT_LIAB2","1993-06-18","2026-05-02","Per=Y","Days=T","Dir=V")</f>
        <v>0</v>
      </c>
      <c r="E2">
        <f>BDH("ANDE US Equity","SHORT_AND_LONG_TERM_DEBT","1993-06-18","2026-05-02","Per=Y","Days=T","Dir=V")</f>
        <v>0</v>
      </c>
      <c r="G2">
        <f>BDH("ANDE US Equity","BS_ST_BORROW","1993-06-18","2026-05-02","Per=Y","Days=T","Dir=V")</f>
        <v>0</v>
      </c>
      <c r="I2">
        <f>BDH("ANDE US Equity","BS_LT_BORROW","1993-06-18","2026-05-02","Per=Y","Days=T","Dir=V")</f>
        <v>0</v>
      </c>
      <c r="K2">
        <f>BDH("ANDE US Equity","BS_CASH_NEAR_CASH_ITEM","1993-06-18","2026-05-02","Per=Y","Days=T","Dir=V")</f>
        <v>0</v>
      </c>
      <c r="M2">
        <f>BDH("ANDE US Equity","BS_CUR_ASSET_REPORT","1993-06-18","2026-05-02","Per=Y","Days=T","Dir=V")</f>
        <v>0</v>
      </c>
      <c r="O2">
        <f>BDH("ANDE US Equity","BS_CUR_LIAB","1993-06-18","2026-05-02","Per=Y","Days=T","Dir=V")</f>
        <v>0</v>
      </c>
      <c r="Q2">
        <f>BDH("ANDE US Equity","BS_SHAREHOLDER_EQY_ENDING_PERIOD","1993-06-18","2026-05-02","Per=Y","Days=T","Dir=V")</f>
        <v>0</v>
      </c>
      <c r="S2">
        <f>BDH("ANDE US Equity","BS_ACCT_NOTE_RCV","1993-06-18","2026-05-02","Per=Y","Days=T","Dir=V")</f>
        <v>0</v>
      </c>
      <c r="U2">
        <f>BDH("ANDE US Equity","BS_INVENTORIES","1993-06-18","2026-05-02","Per=Y","Days=T","Dir=V")</f>
        <v>0</v>
      </c>
      <c r="W2">
        <f>BDH("ANDE US Equity","WORKING_CAPITAL","1993-06-18","2026-05-02","Per=Y","Days=T","Dir=V")</f>
        <v>0</v>
      </c>
      <c r="Y2">
        <f>BDH("ANDE US Equity","SALES_REV_TURN","1993-06-18","2026-05-02","Per=Y","Days=T","Dir=V")</f>
        <v>0</v>
      </c>
      <c r="AA2">
        <f>BDH("ANDE US Equity","EBIT","1993-06-18","2026-05-02","Per=Y","Days=T","Dir=V")</f>
        <v>0</v>
      </c>
      <c r="AC2">
        <f>BDH("ANDE US Equity","EBITDA","1993-06-18","2026-05-02","Per=Y","Days=T","Dir=V")</f>
        <v>0</v>
      </c>
      <c r="AE2">
        <f>BDH("ANDE US Equity","NET_INCOME","1993-06-18","2026-05-02","Per=Y","Days=T","Dir=V")</f>
        <v>0</v>
      </c>
      <c r="AG2">
        <f>BDH("ANDE US Equity","IS_INT_EXPENSE","1993-06-18","2026-05-02","Per=Y","Days=T","Dir=V")</f>
        <v>0</v>
      </c>
      <c r="AI2">
        <f>BDH("ANDE US Equity","IS_DEPR_EXP","1993-06-18","2026-05-02","Per=Y","Days=T","Dir=V")</f>
        <v>0</v>
      </c>
      <c r="AK2">
        <f>BDH("ANDE US Equity","CF_CASH_FROM_OPER","1993-06-18","2026-05-02","Per=Y","Days=T","Dir=V")</f>
        <v>0</v>
      </c>
      <c r="AM2">
        <f>BDH("ANDE US Equity","CAPITAL_EXPEND","1993-06-18","2026-05-02","Per=Y","Days=T","Dir=V")</f>
        <v>0</v>
      </c>
      <c r="AO2">
        <f>BDH("ANDE US Equity","CF_FREE_CASH_FLOW","1993-06-18","2026-05-02","Per=Y","Days=T","Dir=V")</f>
        <v>0</v>
      </c>
      <c r="AQ2">
        <f>BDH("ANDE US Equity","PX_LAST","1993-06-18","2026-05-02","Per=M","Days=T","Dir=V")</f>
        <v>0</v>
      </c>
      <c r="AS2">
        <f>BDH("ANDE US Equity","CUR_MKT_CAP","1993-06-18","2026-05-02","Per=M","Days=T","Dir=V")</f>
        <v>0</v>
      </c>
      <c r="AU2">
        <f>BDH("ANDE US Equity","EQY_SH_OUT","1993-06-18","2026-05-02","Per=M","Days=T","Dir=V")</f>
        <v>0</v>
      </c>
      <c r="AW2">
        <f>BDH("ANDE US Equity","PX_VOLUME","1993-06-18","2026-05-02","Per=M","Days=T","Dir=V")</f>
        <v>0</v>
      </c>
      <c r="AY2">
        <f>BDH("ANDE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BDH("ANET US Equity","BS_TOT_ASSET","1993-06-18","2026-05-02","Per=Y","Days=T","Dir=V")</f>
        <v>0</v>
      </c>
      <c r="C2">
        <f>BDH("ANET US Equity","BS_TOT_LIAB2","1993-06-18","2026-05-02","Per=Y","Days=T","Dir=V")</f>
        <v>0</v>
      </c>
      <c r="E2">
        <f>BDH("ANET US Equity","SHORT_AND_LONG_TERM_DEBT","1993-06-18","2026-05-02","Per=Y","Days=T","Dir=V")</f>
        <v>0</v>
      </c>
      <c r="G2">
        <f>BDH("ANET US Equity","BS_ST_BORROW","1993-06-18","2026-05-02","Per=Y","Days=T","Dir=V")</f>
        <v>0</v>
      </c>
      <c r="I2">
        <f>BDH("ANET US Equity","BS_LT_BORROW","1993-06-18","2026-05-02","Per=Y","Days=T","Dir=V")</f>
        <v>0</v>
      </c>
      <c r="K2">
        <f>BDH("ANET US Equity","BS_CASH_NEAR_CASH_ITEM","1993-06-18","2026-05-02","Per=Y","Days=T","Dir=V")</f>
        <v>0</v>
      </c>
      <c r="M2">
        <f>BDH("ANET US Equity","BS_CUR_ASSET_REPORT","1993-06-18","2026-05-02","Per=Y","Days=T","Dir=V")</f>
        <v>0</v>
      </c>
      <c r="O2">
        <f>BDH("ANET US Equity","BS_CUR_LIAB","1993-06-18","2026-05-02","Per=Y","Days=T","Dir=V")</f>
        <v>0</v>
      </c>
      <c r="Q2">
        <f>BDH("ANET US Equity","BS_SHAREHOLDER_EQY_ENDING_PERIOD","1993-06-18","2026-05-02","Per=Y","Days=T","Dir=V")</f>
        <v>0</v>
      </c>
      <c r="S2">
        <f>BDH("ANET US Equity","BS_ACCT_NOTE_RCV","1993-06-18","2026-05-02","Per=Y","Days=T","Dir=V")</f>
        <v>0</v>
      </c>
      <c r="U2">
        <f>BDH("ANET US Equity","BS_INVENTORIES","1993-06-18","2026-05-02","Per=Y","Days=T","Dir=V")</f>
        <v>0</v>
      </c>
      <c r="W2">
        <f>BDH("ANET US Equity","WORKING_CAPITAL","1993-06-18","2026-05-02","Per=Y","Days=T","Dir=V")</f>
        <v>0</v>
      </c>
      <c r="Y2">
        <f>BDH("ANET US Equity","SALES_REV_TURN","1993-06-18","2026-05-02","Per=Y","Days=T","Dir=V")</f>
        <v>0</v>
      </c>
      <c r="AA2">
        <f>BDH("ANET US Equity","EBIT","1993-06-18","2026-05-02","Per=Y","Days=T","Dir=V")</f>
        <v>0</v>
      </c>
      <c r="AC2">
        <f>BDH("ANET US Equity","EBITDA","1993-06-18","2026-05-02","Per=Y","Days=T","Dir=V")</f>
        <v>0</v>
      </c>
      <c r="AE2">
        <f>BDH("ANET US Equity","NET_INCOME","1993-06-18","2026-05-02","Per=Y","Days=T","Dir=V")</f>
        <v>0</v>
      </c>
      <c r="AG2">
        <f>BDH("ANET US Equity","IS_INT_EXPENSE","1993-06-18","2026-05-02","Per=Y","Days=T","Dir=V")</f>
        <v>0</v>
      </c>
      <c r="AI2">
        <f>BDH("ANET US Equity","IS_DEPR_EXP","1993-06-18","2026-05-02","Per=Y","Days=T","Dir=V")</f>
        <v>0</v>
      </c>
      <c r="AK2">
        <f>BDH("ANET US Equity","CF_CASH_FROM_OPER","1993-06-18","2026-05-02","Per=Y","Days=T","Dir=V")</f>
        <v>0</v>
      </c>
      <c r="AM2">
        <f>BDH("ANET US Equity","CAPITAL_EXPEND","1993-06-18","2026-05-02","Per=Y","Days=T","Dir=V")</f>
        <v>0</v>
      </c>
      <c r="AO2">
        <f>BDH("ANET US Equity","CF_FREE_CASH_FLOW","1993-06-18","2026-05-02","Per=Y","Days=T","Dir=V")</f>
        <v>0</v>
      </c>
      <c r="AQ2">
        <f>BDH("ANET US Equity","PX_LAST","1993-06-18","2026-05-02","Per=M","Days=T","Dir=V")</f>
        <v>0</v>
      </c>
      <c r="AS2">
        <f>BDH("ANET US Equity","CUR_MKT_CAP","1993-06-18","2026-05-02","Per=M","Days=T","Dir=V")</f>
        <v>0</v>
      </c>
      <c r="AU2">
        <f>BDH("ANET US Equity","EQY_SH_OUT","1993-06-18","2026-05-02","Per=M","Days=T","Dir=V")</f>
        <v>0</v>
      </c>
      <c r="AW2">
        <f>BDH("ANET US Equity","PX_VOLUME","1993-06-18","2026-05-02","Per=M","Days=T","Dir=V")</f>
        <v>0</v>
      </c>
      <c r="AY2">
        <f>BDH("ANET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BDH("ANF US Equity","BS_TOT_ASSET","1993-06-18","2026-05-02","Per=Y","Days=T","Dir=V")</f>
        <v>0</v>
      </c>
      <c r="C2">
        <f>BDH("ANF US Equity","BS_TOT_LIAB2","1993-06-18","2026-05-02","Per=Y","Days=T","Dir=V")</f>
        <v>0</v>
      </c>
      <c r="E2">
        <f>BDH("ANF US Equity","SHORT_AND_LONG_TERM_DEBT","1993-06-18","2026-05-02","Per=Y","Days=T","Dir=V")</f>
        <v>0</v>
      </c>
      <c r="G2">
        <f>BDH("ANF US Equity","BS_ST_BORROW","1993-06-18","2026-05-02","Per=Y","Days=T","Dir=V")</f>
        <v>0</v>
      </c>
      <c r="I2">
        <f>BDH("ANF US Equity","BS_LT_BORROW","1993-06-18","2026-05-02","Per=Y","Days=T","Dir=V")</f>
        <v>0</v>
      </c>
      <c r="K2">
        <f>BDH("ANF US Equity","BS_CASH_NEAR_CASH_ITEM","1993-06-18","2026-05-02","Per=Y","Days=T","Dir=V")</f>
        <v>0</v>
      </c>
      <c r="M2">
        <f>BDH("ANF US Equity","BS_CUR_ASSET_REPORT","1993-06-18","2026-05-02","Per=Y","Days=T","Dir=V")</f>
        <v>0</v>
      </c>
      <c r="O2">
        <f>BDH("ANF US Equity","BS_CUR_LIAB","1993-06-18","2026-05-02","Per=Y","Days=T","Dir=V")</f>
        <v>0</v>
      </c>
      <c r="Q2">
        <f>BDH("ANF US Equity","BS_SHAREHOLDER_EQY_ENDING_PERIOD","1993-06-18","2026-05-02","Per=Y","Days=T","Dir=V")</f>
        <v>0</v>
      </c>
      <c r="S2">
        <f>BDH("ANF US Equity","BS_ACCT_NOTE_RCV","1993-06-18","2026-05-02","Per=Y","Days=T","Dir=V")</f>
        <v>0</v>
      </c>
      <c r="U2">
        <f>BDH("ANF US Equity","BS_INVENTORIES","1993-06-18","2026-05-02","Per=Y","Days=T","Dir=V")</f>
        <v>0</v>
      </c>
      <c r="W2">
        <f>BDH("ANF US Equity","WORKING_CAPITAL","1993-06-18","2026-05-02","Per=Y","Days=T","Dir=V")</f>
        <v>0</v>
      </c>
      <c r="Y2">
        <f>BDH("ANF US Equity","SALES_REV_TURN","1993-06-18","2026-05-02","Per=Y","Days=T","Dir=V")</f>
        <v>0</v>
      </c>
      <c r="AA2">
        <f>BDH("ANF US Equity","EBIT","1993-06-18","2026-05-02","Per=Y","Days=T","Dir=V")</f>
        <v>0</v>
      </c>
      <c r="AC2">
        <f>BDH("ANF US Equity","EBITDA","1993-06-18","2026-05-02","Per=Y","Days=T","Dir=V")</f>
        <v>0</v>
      </c>
      <c r="AE2">
        <f>BDH("ANF US Equity","NET_INCOME","1993-06-18","2026-05-02","Per=Y","Days=T","Dir=V")</f>
        <v>0</v>
      </c>
      <c r="AG2">
        <f>BDH("ANF US Equity","IS_INT_EXPENSE","1993-06-18","2026-05-02","Per=Y","Days=T","Dir=V")</f>
        <v>0</v>
      </c>
      <c r="AI2">
        <f>BDH("ANF US Equity","IS_DEPR_EXP","1993-06-18","2026-05-02","Per=Y","Days=T","Dir=V")</f>
        <v>0</v>
      </c>
      <c r="AK2">
        <f>BDH("ANF US Equity","CF_CASH_FROM_OPER","1993-06-18","2026-05-02","Per=Y","Days=T","Dir=V")</f>
        <v>0</v>
      </c>
      <c r="AM2">
        <f>BDH("ANF US Equity","CAPITAL_EXPEND","1993-06-18","2026-05-02","Per=Y","Days=T","Dir=V")</f>
        <v>0</v>
      </c>
      <c r="AO2">
        <f>BDH("ANF US Equity","CF_FREE_CASH_FLOW","1993-06-18","2026-05-02","Per=Y","Days=T","Dir=V")</f>
        <v>0</v>
      </c>
      <c r="AQ2">
        <f>BDH("ANF US Equity","PX_LAST","1993-06-18","2026-05-02","Per=M","Days=T","Dir=V")</f>
        <v>0</v>
      </c>
      <c r="AS2">
        <f>BDH("ANF US Equity","CUR_MKT_CAP","1993-06-18","2026-05-02","Per=M","Days=T","Dir=V")</f>
        <v>0</v>
      </c>
      <c r="AU2">
        <f>BDH("ANF US Equity","EQY_SH_OUT","1993-06-18","2026-05-02","Per=M","Days=T","Dir=V")</f>
        <v>0</v>
      </c>
      <c r="AW2">
        <f>BDH("ANF US Equity","PX_VOLUME","1993-06-18","2026-05-02","Per=M","Days=T","Dir=V")</f>
        <v>0</v>
      </c>
      <c r="AY2">
        <f>BDH("ANF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BDH("ANGI US Equity","BS_TOT_ASSET","1993-06-18","2026-05-02","Per=Y","Days=T","Dir=V")</f>
        <v>0</v>
      </c>
      <c r="C2">
        <f>BDH("ANGI US Equity","BS_TOT_LIAB2","1993-06-18","2026-05-02","Per=Y","Days=T","Dir=V")</f>
        <v>0</v>
      </c>
      <c r="E2">
        <f>BDH("ANGI US Equity","SHORT_AND_LONG_TERM_DEBT","1993-06-18","2026-05-02","Per=Y","Days=T","Dir=V")</f>
        <v>0</v>
      </c>
      <c r="G2">
        <f>BDH("ANGI US Equity","BS_ST_BORROW","1993-06-18","2026-05-02","Per=Y","Days=T","Dir=V")</f>
        <v>0</v>
      </c>
      <c r="I2">
        <f>BDH("ANGI US Equity","BS_LT_BORROW","1993-06-18","2026-05-02","Per=Y","Days=T","Dir=V")</f>
        <v>0</v>
      </c>
      <c r="K2">
        <f>BDH("ANGI US Equity","BS_CASH_NEAR_CASH_ITEM","1993-06-18","2026-05-02","Per=Y","Days=T","Dir=V")</f>
        <v>0</v>
      </c>
      <c r="M2">
        <f>BDH("ANGI US Equity","BS_CUR_ASSET_REPORT","1993-06-18","2026-05-02","Per=Y","Days=T","Dir=V")</f>
        <v>0</v>
      </c>
      <c r="O2">
        <f>BDH("ANGI US Equity","BS_CUR_LIAB","1993-06-18","2026-05-02","Per=Y","Days=T","Dir=V")</f>
        <v>0</v>
      </c>
      <c r="Q2">
        <f>BDH("ANGI US Equity","BS_SHAREHOLDER_EQY_ENDING_PERIOD","1993-06-18","2026-05-02","Per=Y","Days=T","Dir=V")</f>
        <v>0</v>
      </c>
      <c r="S2">
        <f>BDH("ANGI US Equity","BS_ACCT_NOTE_RCV","1993-06-18","2026-05-02","Per=Y","Days=T","Dir=V")</f>
        <v>0</v>
      </c>
      <c r="U2">
        <f>BDH("ANGI US Equity","BS_INVENTORIES","1993-06-18","2026-05-02","Per=Y","Days=T","Dir=V")</f>
        <v>0</v>
      </c>
      <c r="W2">
        <f>BDH("ANGI US Equity","WORKING_CAPITAL","1993-06-18","2026-05-02","Per=Y","Days=T","Dir=V")</f>
        <v>0</v>
      </c>
      <c r="Y2">
        <f>BDH("ANGI US Equity","SALES_REV_TURN","1993-06-18","2026-05-02","Per=Y","Days=T","Dir=V")</f>
        <v>0</v>
      </c>
      <c r="AA2">
        <f>BDH("ANGI US Equity","EBIT","1993-06-18","2026-05-02","Per=Y","Days=T","Dir=V")</f>
        <v>0</v>
      </c>
      <c r="AC2">
        <f>BDH("ANGI US Equity","EBITDA","1993-06-18","2026-05-02","Per=Y","Days=T","Dir=V")</f>
        <v>0</v>
      </c>
      <c r="AE2">
        <f>BDH("ANGI US Equity","NET_INCOME","1993-06-18","2026-05-02","Per=Y","Days=T","Dir=V")</f>
        <v>0</v>
      </c>
      <c r="AG2">
        <f>BDH("ANGI US Equity","IS_INT_EXPENSE","1993-06-18","2026-05-02","Per=Y","Days=T","Dir=V")</f>
        <v>0</v>
      </c>
      <c r="AI2">
        <f>BDH("ANGI US Equity","IS_DEPR_EXP","1993-06-18","2026-05-02","Per=Y","Days=T","Dir=V")</f>
        <v>0</v>
      </c>
      <c r="AK2">
        <f>BDH("ANGI US Equity","CF_CASH_FROM_OPER","1993-06-18","2026-05-02","Per=Y","Days=T","Dir=V")</f>
        <v>0</v>
      </c>
      <c r="AM2">
        <f>BDH("ANGI US Equity","CAPITAL_EXPEND","1993-06-18","2026-05-02","Per=Y","Days=T","Dir=V")</f>
        <v>0</v>
      </c>
      <c r="AO2">
        <f>BDH("ANGI US Equity","CF_FREE_CASH_FLOW","1993-06-18","2026-05-02","Per=Y","Days=T","Dir=V")</f>
        <v>0</v>
      </c>
      <c r="AQ2">
        <f>BDH("ANGI US Equity","PX_LAST","1993-06-18","2026-05-02","Per=M","Days=T","Dir=V")</f>
        <v>0</v>
      </c>
      <c r="AS2">
        <f>BDH("ANGI US Equity","CUR_MKT_CAP","1993-06-18","2026-05-02","Per=M","Days=T","Dir=V")</f>
        <v>0</v>
      </c>
      <c r="AU2">
        <f>BDH("ANGI US Equity","EQY_SH_OUT","1993-06-18","2026-05-02","Per=M","Days=T","Dir=V")</f>
        <v>0</v>
      </c>
      <c r="AW2">
        <f>BDH("ANGI US Equity","PX_VOLUME","1993-06-18","2026-05-02","Per=M","Days=T","Dir=V")</f>
        <v>0</v>
      </c>
      <c r="AY2">
        <f>BDH("ANGI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BDH("ANGO US Equity","BS_TOT_ASSET","1993-06-18","2026-05-02","Per=Y","Days=T","Dir=V")</f>
        <v>0</v>
      </c>
      <c r="C2">
        <f>BDH("ANGO US Equity","BS_TOT_LIAB2","1993-06-18","2026-05-02","Per=Y","Days=T","Dir=V")</f>
        <v>0</v>
      </c>
      <c r="E2">
        <f>BDH("ANGO US Equity","SHORT_AND_LONG_TERM_DEBT","1993-06-18","2026-05-02","Per=Y","Days=T","Dir=V")</f>
        <v>0</v>
      </c>
      <c r="G2">
        <f>BDH("ANGO US Equity","BS_ST_BORROW","1993-06-18","2026-05-02","Per=Y","Days=T","Dir=V")</f>
        <v>0</v>
      </c>
      <c r="I2">
        <f>BDH("ANGO US Equity","BS_LT_BORROW","1993-06-18","2026-05-02","Per=Y","Days=T","Dir=V")</f>
        <v>0</v>
      </c>
      <c r="K2">
        <f>BDH("ANGO US Equity","BS_CASH_NEAR_CASH_ITEM","1993-06-18","2026-05-02","Per=Y","Days=T","Dir=V")</f>
        <v>0</v>
      </c>
      <c r="M2">
        <f>BDH("ANGO US Equity","BS_CUR_ASSET_REPORT","1993-06-18","2026-05-02","Per=Y","Days=T","Dir=V")</f>
        <v>0</v>
      </c>
      <c r="O2">
        <f>BDH("ANGO US Equity","BS_CUR_LIAB","1993-06-18","2026-05-02","Per=Y","Days=T","Dir=V")</f>
        <v>0</v>
      </c>
      <c r="Q2">
        <f>BDH("ANGO US Equity","BS_SHAREHOLDER_EQY_ENDING_PERIOD","1993-06-18","2026-05-02","Per=Y","Days=T","Dir=V")</f>
        <v>0</v>
      </c>
      <c r="S2">
        <f>BDH("ANGO US Equity","BS_ACCT_NOTE_RCV","1993-06-18","2026-05-02","Per=Y","Days=T","Dir=V")</f>
        <v>0</v>
      </c>
      <c r="U2">
        <f>BDH("ANGO US Equity","BS_INVENTORIES","1993-06-18","2026-05-02","Per=Y","Days=T","Dir=V")</f>
        <v>0</v>
      </c>
      <c r="W2">
        <f>BDH("ANGO US Equity","WORKING_CAPITAL","1993-06-18","2026-05-02","Per=Y","Days=T","Dir=V")</f>
        <v>0</v>
      </c>
      <c r="Y2">
        <f>BDH("ANGO US Equity","SALES_REV_TURN","1993-06-18","2026-05-02","Per=Y","Days=T","Dir=V")</f>
        <v>0</v>
      </c>
      <c r="AA2">
        <f>BDH("ANGO US Equity","EBIT","1993-06-18","2026-05-02","Per=Y","Days=T","Dir=V")</f>
        <v>0</v>
      </c>
      <c r="AC2">
        <f>BDH("ANGO US Equity","EBITDA","1993-06-18","2026-05-02","Per=Y","Days=T","Dir=V")</f>
        <v>0</v>
      </c>
      <c r="AE2">
        <f>BDH("ANGO US Equity","NET_INCOME","1993-06-18","2026-05-02","Per=Y","Days=T","Dir=V")</f>
        <v>0</v>
      </c>
      <c r="AG2">
        <f>BDH("ANGO US Equity","IS_INT_EXPENSE","1993-06-18","2026-05-02","Per=Y","Days=T","Dir=V")</f>
        <v>0</v>
      </c>
      <c r="AI2">
        <f>BDH("ANGO US Equity","IS_DEPR_EXP","1993-06-18","2026-05-02","Per=Y","Days=T","Dir=V")</f>
        <v>0</v>
      </c>
      <c r="AK2">
        <f>BDH("ANGO US Equity","CF_CASH_FROM_OPER","1993-06-18","2026-05-02","Per=Y","Days=T","Dir=V")</f>
        <v>0</v>
      </c>
      <c r="AM2">
        <f>BDH("ANGO US Equity","CAPITAL_EXPEND","1993-06-18","2026-05-02","Per=Y","Days=T","Dir=V")</f>
        <v>0</v>
      </c>
      <c r="AO2">
        <f>BDH("ANGO US Equity","CF_FREE_CASH_FLOW","1993-06-18","2026-05-02","Per=Y","Days=T","Dir=V")</f>
        <v>0</v>
      </c>
      <c r="AQ2">
        <f>BDH("ANGO US Equity","PX_LAST","1993-06-18","2026-05-02","Per=M","Days=T","Dir=V")</f>
        <v>0</v>
      </c>
      <c r="AS2">
        <f>BDH("ANGO US Equity","CUR_MKT_CAP","1993-06-18","2026-05-02","Per=M","Days=T","Dir=V")</f>
        <v>0</v>
      </c>
      <c r="AU2">
        <f>BDH("ANGO US Equity","EQY_SH_OUT","1993-06-18","2026-05-02","Per=M","Days=T","Dir=V")</f>
        <v>0</v>
      </c>
      <c r="AW2">
        <f>BDH("ANGO US Equity","PX_VOLUME","1993-06-18","2026-05-02","Per=M","Days=T","Dir=V")</f>
        <v>0</v>
      </c>
      <c r="AY2">
        <f>BDH("ANGO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BDH("ANGX US Equity","BS_TOT_ASSET","1993-06-18","2026-05-02","Per=Y","Days=T","Dir=V")</f>
        <v>0</v>
      </c>
      <c r="C2">
        <f>BDH("ANGX US Equity","BS_TOT_LIAB2","1993-06-18","2026-05-02","Per=Y","Days=T","Dir=V")</f>
        <v>0</v>
      </c>
      <c r="E2">
        <f>BDH("ANGX US Equity","SHORT_AND_LONG_TERM_DEBT","1993-06-18","2026-05-02","Per=Y","Days=T","Dir=V")</f>
        <v>0</v>
      </c>
      <c r="G2">
        <f>BDH("ANGX US Equity","BS_ST_BORROW","1993-06-18","2026-05-02","Per=Y","Days=T","Dir=V")</f>
        <v>0</v>
      </c>
      <c r="I2">
        <f>BDH("ANGX US Equity","BS_LT_BORROW","1993-06-18","2026-05-02","Per=Y","Days=T","Dir=V")</f>
        <v>0</v>
      </c>
      <c r="K2">
        <f>BDH("ANGX US Equity","BS_CASH_NEAR_CASH_ITEM","1993-06-18","2026-05-02","Per=Y","Days=T","Dir=V")</f>
        <v>0</v>
      </c>
      <c r="M2">
        <f>BDH("ANGX US Equity","BS_CUR_ASSET_REPORT","1993-06-18","2026-05-02","Per=Y","Days=T","Dir=V")</f>
        <v>0</v>
      </c>
      <c r="O2">
        <f>BDH("ANGX US Equity","BS_CUR_LIAB","1993-06-18","2026-05-02","Per=Y","Days=T","Dir=V")</f>
        <v>0</v>
      </c>
      <c r="Q2">
        <f>BDH("ANGX US Equity","BS_SHAREHOLDER_EQY_ENDING_PERIOD","1993-06-18","2026-05-02","Per=Y","Days=T","Dir=V")</f>
        <v>0</v>
      </c>
      <c r="S2">
        <f>BDH("ANGX US Equity","BS_ACCT_NOTE_RCV","1993-06-18","2026-05-02","Per=Y","Days=T","Dir=V")</f>
        <v>0</v>
      </c>
      <c r="U2">
        <f>BDH("ANGX US Equity","BS_INVENTORIES","1993-06-18","2026-05-02","Per=Y","Days=T","Dir=V")</f>
        <v>0</v>
      </c>
      <c r="W2">
        <f>BDH("ANGX US Equity","WORKING_CAPITAL","1993-06-18","2026-05-02","Per=Y","Days=T","Dir=V")</f>
        <v>0</v>
      </c>
      <c r="Y2">
        <f>BDH("ANGX US Equity","SALES_REV_TURN","1993-06-18","2026-05-02","Per=Y","Days=T","Dir=V")</f>
        <v>0</v>
      </c>
      <c r="AA2">
        <f>BDH("ANGX US Equity","EBIT","1993-06-18","2026-05-02","Per=Y","Days=T","Dir=V")</f>
        <v>0</v>
      </c>
      <c r="AC2">
        <f>BDH("ANGX US Equity","EBITDA","1993-06-18","2026-05-02","Per=Y","Days=T","Dir=V")</f>
        <v>0</v>
      </c>
      <c r="AE2">
        <f>BDH("ANGX US Equity","NET_INCOME","1993-06-18","2026-05-02","Per=Y","Days=T","Dir=V")</f>
        <v>0</v>
      </c>
      <c r="AG2">
        <f>BDH("ANGX US Equity","IS_INT_EXPENSE","1993-06-18","2026-05-02","Per=Y","Days=T","Dir=V")</f>
        <v>0</v>
      </c>
      <c r="AI2">
        <f>BDH("ANGX US Equity","IS_DEPR_EXP","1993-06-18","2026-05-02","Per=Y","Days=T","Dir=V")</f>
        <v>0</v>
      </c>
      <c r="AK2">
        <f>BDH("ANGX US Equity","CF_CASH_FROM_OPER","1993-06-18","2026-05-02","Per=Y","Days=T","Dir=V")</f>
        <v>0</v>
      </c>
      <c r="AM2">
        <f>BDH("ANGX US Equity","CAPITAL_EXPEND","1993-06-18","2026-05-02","Per=Y","Days=T","Dir=V")</f>
        <v>0</v>
      </c>
      <c r="AO2">
        <f>BDH("ANGX US Equity","CF_FREE_CASH_FLOW","1993-06-18","2026-05-02","Per=Y","Days=T","Dir=V")</f>
        <v>0</v>
      </c>
      <c r="AQ2">
        <f>BDH("ANGX US Equity","PX_LAST","1993-06-18","2026-05-02","Per=M","Days=T","Dir=V")</f>
        <v>0</v>
      </c>
      <c r="AS2">
        <f>BDH("ANGX US Equity","CUR_MKT_CAP","1993-06-18","2026-05-02","Per=M","Days=T","Dir=V")</f>
        <v>0</v>
      </c>
      <c r="AU2">
        <f>BDH("ANGX US Equity","EQY_SH_OUT","1993-06-18","2026-05-02","Per=M","Days=T","Dir=V")</f>
        <v>0</v>
      </c>
      <c r="AW2">
        <f>BDH("ANGX US Equity","PX_VOLUME","1993-06-18","2026-05-02","Per=M","Days=T","Dir=V")</f>
        <v>0</v>
      </c>
      <c r="AY2">
        <f>BDH("ANGX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BDH("ANIK US Equity","BS_TOT_ASSET","1993-06-18","2026-05-02","Per=Y","Days=T","Dir=V")</f>
        <v>0</v>
      </c>
      <c r="C2">
        <f>BDH("ANIK US Equity","BS_TOT_LIAB2","1993-06-18","2026-05-02","Per=Y","Days=T","Dir=V")</f>
        <v>0</v>
      </c>
      <c r="E2">
        <f>BDH("ANIK US Equity","SHORT_AND_LONG_TERM_DEBT","1993-06-18","2026-05-02","Per=Y","Days=T","Dir=V")</f>
        <v>0</v>
      </c>
      <c r="G2">
        <f>BDH("ANIK US Equity","BS_ST_BORROW","1993-06-18","2026-05-02","Per=Y","Days=T","Dir=V")</f>
        <v>0</v>
      </c>
      <c r="I2">
        <f>BDH("ANIK US Equity","BS_LT_BORROW","1993-06-18","2026-05-02","Per=Y","Days=T","Dir=V")</f>
        <v>0</v>
      </c>
      <c r="K2">
        <f>BDH("ANIK US Equity","BS_CASH_NEAR_CASH_ITEM","1993-06-18","2026-05-02","Per=Y","Days=T","Dir=V")</f>
        <v>0</v>
      </c>
      <c r="M2">
        <f>BDH("ANIK US Equity","BS_CUR_ASSET_REPORT","1993-06-18","2026-05-02","Per=Y","Days=T","Dir=V")</f>
        <v>0</v>
      </c>
      <c r="O2">
        <f>BDH("ANIK US Equity","BS_CUR_LIAB","1993-06-18","2026-05-02","Per=Y","Days=T","Dir=V")</f>
        <v>0</v>
      </c>
      <c r="Q2">
        <f>BDH("ANIK US Equity","BS_SHAREHOLDER_EQY_ENDING_PERIOD","1993-06-18","2026-05-02","Per=Y","Days=T","Dir=V")</f>
        <v>0</v>
      </c>
      <c r="S2">
        <f>BDH("ANIK US Equity","BS_ACCT_NOTE_RCV","1993-06-18","2026-05-02","Per=Y","Days=T","Dir=V")</f>
        <v>0</v>
      </c>
      <c r="U2">
        <f>BDH("ANIK US Equity","BS_INVENTORIES","1993-06-18","2026-05-02","Per=Y","Days=T","Dir=V")</f>
        <v>0</v>
      </c>
      <c r="W2">
        <f>BDH("ANIK US Equity","WORKING_CAPITAL","1993-06-18","2026-05-02","Per=Y","Days=T","Dir=V")</f>
        <v>0</v>
      </c>
      <c r="Y2">
        <f>BDH("ANIK US Equity","SALES_REV_TURN","1993-06-18","2026-05-02","Per=Y","Days=T","Dir=V")</f>
        <v>0</v>
      </c>
      <c r="AA2">
        <f>BDH("ANIK US Equity","EBIT","1993-06-18","2026-05-02","Per=Y","Days=T","Dir=V")</f>
        <v>0</v>
      </c>
      <c r="AC2">
        <f>BDH("ANIK US Equity","EBITDA","1993-06-18","2026-05-02","Per=Y","Days=T","Dir=V")</f>
        <v>0</v>
      </c>
      <c r="AE2">
        <f>BDH("ANIK US Equity","NET_INCOME","1993-06-18","2026-05-02","Per=Y","Days=T","Dir=V")</f>
        <v>0</v>
      </c>
      <c r="AG2">
        <f>BDH("ANIK US Equity","IS_INT_EXPENSE","1993-06-18","2026-05-02","Per=Y","Days=T","Dir=V")</f>
        <v>0</v>
      </c>
      <c r="AI2">
        <f>BDH("ANIK US Equity","IS_DEPR_EXP","1993-06-18","2026-05-02","Per=Y","Days=T","Dir=V")</f>
        <v>0</v>
      </c>
      <c r="AK2">
        <f>BDH("ANIK US Equity","CF_CASH_FROM_OPER","1993-06-18","2026-05-02","Per=Y","Days=T","Dir=V")</f>
        <v>0</v>
      </c>
      <c r="AM2">
        <f>BDH("ANIK US Equity","CAPITAL_EXPEND","1993-06-18","2026-05-02","Per=Y","Days=T","Dir=V")</f>
        <v>0</v>
      </c>
      <c r="AO2">
        <f>BDH("ANIK US Equity","CF_FREE_CASH_FLOW","1993-06-18","2026-05-02","Per=Y","Days=T","Dir=V")</f>
        <v>0</v>
      </c>
      <c r="AQ2">
        <f>BDH("ANIK US Equity","PX_LAST","1993-06-18","2026-05-02","Per=M","Days=T","Dir=V")</f>
        <v>0</v>
      </c>
      <c r="AS2">
        <f>BDH("ANIK US Equity","CUR_MKT_CAP","1993-06-18","2026-05-02","Per=M","Days=T","Dir=V")</f>
        <v>0</v>
      </c>
      <c r="AU2">
        <f>BDH("ANIK US Equity","EQY_SH_OUT","1993-06-18","2026-05-02","Per=M","Days=T","Dir=V")</f>
        <v>0</v>
      </c>
      <c r="AW2">
        <f>BDH("ANIK US Equity","PX_VOLUME","1993-06-18","2026-05-02","Per=M","Days=T","Dir=V")</f>
        <v>0</v>
      </c>
      <c r="AY2">
        <f>BDH("ANIK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BDH("ANIP US Equity","BS_TOT_ASSET","1993-06-18","2026-05-02","Per=Y","Days=T","Dir=V")</f>
        <v>0</v>
      </c>
      <c r="C2">
        <f>BDH("ANIP US Equity","BS_TOT_LIAB2","1993-06-18","2026-05-02","Per=Y","Days=T","Dir=V")</f>
        <v>0</v>
      </c>
      <c r="E2">
        <f>BDH("ANIP US Equity","SHORT_AND_LONG_TERM_DEBT","1993-06-18","2026-05-02","Per=Y","Days=T","Dir=V")</f>
        <v>0</v>
      </c>
      <c r="G2">
        <f>BDH("ANIP US Equity","BS_ST_BORROW","1993-06-18","2026-05-02","Per=Y","Days=T","Dir=V")</f>
        <v>0</v>
      </c>
      <c r="I2">
        <f>BDH("ANIP US Equity","BS_LT_BORROW","1993-06-18","2026-05-02","Per=Y","Days=T","Dir=V")</f>
        <v>0</v>
      </c>
      <c r="K2">
        <f>BDH("ANIP US Equity","BS_CASH_NEAR_CASH_ITEM","1993-06-18","2026-05-02","Per=Y","Days=T","Dir=V")</f>
        <v>0</v>
      </c>
      <c r="M2">
        <f>BDH("ANIP US Equity","BS_CUR_ASSET_REPORT","1993-06-18","2026-05-02","Per=Y","Days=T","Dir=V")</f>
        <v>0</v>
      </c>
      <c r="O2">
        <f>BDH("ANIP US Equity","BS_CUR_LIAB","1993-06-18","2026-05-02","Per=Y","Days=T","Dir=V")</f>
        <v>0</v>
      </c>
      <c r="Q2">
        <f>BDH("ANIP US Equity","BS_SHAREHOLDER_EQY_ENDING_PERIOD","1993-06-18","2026-05-02","Per=Y","Days=T","Dir=V")</f>
        <v>0</v>
      </c>
      <c r="S2">
        <f>BDH("ANIP US Equity","BS_ACCT_NOTE_RCV","1993-06-18","2026-05-02","Per=Y","Days=T","Dir=V")</f>
        <v>0</v>
      </c>
      <c r="U2">
        <f>BDH("ANIP US Equity","BS_INVENTORIES","1993-06-18","2026-05-02","Per=Y","Days=T","Dir=V")</f>
        <v>0</v>
      </c>
      <c r="W2">
        <f>BDH("ANIP US Equity","WORKING_CAPITAL","1993-06-18","2026-05-02","Per=Y","Days=T","Dir=V")</f>
        <v>0</v>
      </c>
      <c r="Y2">
        <f>BDH("ANIP US Equity","SALES_REV_TURN","1993-06-18","2026-05-02","Per=Y","Days=T","Dir=V")</f>
        <v>0</v>
      </c>
      <c r="AA2">
        <f>BDH("ANIP US Equity","EBIT","1993-06-18","2026-05-02","Per=Y","Days=T","Dir=V")</f>
        <v>0</v>
      </c>
      <c r="AC2">
        <f>BDH("ANIP US Equity","EBITDA","1993-06-18","2026-05-02","Per=Y","Days=T","Dir=V")</f>
        <v>0</v>
      </c>
      <c r="AE2">
        <f>BDH("ANIP US Equity","NET_INCOME","1993-06-18","2026-05-02","Per=Y","Days=T","Dir=V")</f>
        <v>0</v>
      </c>
      <c r="AG2">
        <f>BDH("ANIP US Equity","IS_INT_EXPENSE","1993-06-18","2026-05-02","Per=Y","Days=T","Dir=V")</f>
        <v>0</v>
      </c>
      <c r="AI2">
        <f>BDH("ANIP US Equity","IS_DEPR_EXP","1993-06-18","2026-05-02","Per=Y","Days=T","Dir=V")</f>
        <v>0</v>
      </c>
      <c r="AK2">
        <f>BDH("ANIP US Equity","CF_CASH_FROM_OPER","1993-06-18","2026-05-02","Per=Y","Days=T","Dir=V")</f>
        <v>0</v>
      </c>
      <c r="AM2">
        <f>BDH("ANIP US Equity","CAPITAL_EXPEND","1993-06-18","2026-05-02","Per=Y","Days=T","Dir=V")</f>
        <v>0</v>
      </c>
      <c r="AO2">
        <f>BDH("ANIP US Equity","CF_FREE_CASH_FLOW","1993-06-18","2026-05-02","Per=Y","Days=T","Dir=V")</f>
        <v>0</v>
      </c>
      <c r="AQ2">
        <f>BDH("ANIP US Equity","PX_LAST","1993-06-18","2026-05-02","Per=M","Days=T","Dir=V")</f>
        <v>0</v>
      </c>
      <c r="AS2">
        <f>BDH("ANIP US Equity","CUR_MKT_CAP","1993-06-18","2026-05-02","Per=M","Days=T","Dir=V")</f>
        <v>0</v>
      </c>
      <c r="AU2">
        <f>BDH("ANIP US Equity","EQY_SH_OUT","1993-06-18","2026-05-02","Per=M","Days=T","Dir=V")</f>
        <v>0</v>
      </c>
      <c r="AW2">
        <f>BDH("ANIP US Equity","PX_VOLUME","1993-06-18","2026-05-02","Per=M","Days=T","Dir=V")</f>
        <v>0</v>
      </c>
      <c r="AY2">
        <f>BDH("ANIP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BDH("ANIX US Equity","BS_TOT_ASSET","1993-06-18","2026-05-02","Per=Y","Days=T","Dir=V")</f>
        <v>0</v>
      </c>
      <c r="C2">
        <f>BDH("ANIX US Equity","BS_TOT_LIAB2","1993-06-18","2026-05-02","Per=Y","Days=T","Dir=V")</f>
        <v>0</v>
      </c>
      <c r="E2">
        <f>BDH("ANIX US Equity","SHORT_AND_LONG_TERM_DEBT","1993-06-18","2026-05-02","Per=Y","Days=T","Dir=V")</f>
        <v>0</v>
      </c>
      <c r="G2">
        <f>BDH("ANIX US Equity","BS_ST_BORROW","1993-06-18","2026-05-02","Per=Y","Days=T","Dir=V")</f>
        <v>0</v>
      </c>
      <c r="I2">
        <f>BDH("ANIX US Equity","BS_LT_BORROW","1993-06-18","2026-05-02","Per=Y","Days=T","Dir=V")</f>
        <v>0</v>
      </c>
      <c r="K2">
        <f>BDH("ANIX US Equity","BS_CASH_NEAR_CASH_ITEM","1993-06-18","2026-05-02","Per=Y","Days=T","Dir=V")</f>
        <v>0</v>
      </c>
      <c r="M2">
        <f>BDH("ANIX US Equity","BS_CUR_ASSET_REPORT","1993-06-18","2026-05-02","Per=Y","Days=T","Dir=V")</f>
        <v>0</v>
      </c>
      <c r="O2">
        <f>BDH("ANIX US Equity","BS_CUR_LIAB","1993-06-18","2026-05-02","Per=Y","Days=T","Dir=V")</f>
        <v>0</v>
      </c>
      <c r="Q2">
        <f>BDH("ANIX US Equity","BS_SHAREHOLDER_EQY_ENDING_PERIOD","1993-06-18","2026-05-02","Per=Y","Days=T","Dir=V")</f>
        <v>0</v>
      </c>
      <c r="S2">
        <f>BDH("ANIX US Equity","BS_ACCT_NOTE_RCV","1993-06-18","2026-05-02","Per=Y","Days=T","Dir=V")</f>
        <v>0</v>
      </c>
      <c r="U2">
        <f>BDH("ANIX US Equity","BS_INVENTORIES","1993-06-18","2026-05-02","Per=Y","Days=T","Dir=V")</f>
        <v>0</v>
      </c>
      <c r="W2">
        <f>BDH("ANIX US Equity","WORKING_CAPITAL","1993-06-18","2026-05-02","Per=Y","Days=T","Dir=V")</f>
        <v>0</v>
      </c>
      <c r="Y2">
        <f>BDH("ANIX US Equity","SALES_REV_TURN","1993-06-18","2026-05-02","Per=Y","Days=T","Dir=V")</f>
        <v>0</v>
      </c>
      <c r="AA2">
        <f>BDH("ANIX US Equity","EBIT","1993-06-18","2026-05-02","Per=Y","Days=T","Dir=V")</f>
        <v>0</v>
      </c>
      <c r="AC2">
        <f>BDH("ANIX US Equity","EBITDA","1993-06-18","2026-05-02","Per=Y","Days=T","Dir=V")</f>
        <v>0</v>
      </c>
      <c r="AE2">
        <f>BDH("ANIX US Equity","NET_INCOME","1993-06-18","2026-05-02","Per=Y","Days=T","Dir=V")</f>
        <v>0</v>
      </c>
      <c r="AG2">
        <f>BDH("ANIX US Equity","IS_INT_EXPENSE","1993-06-18","2026-05-02","Per=Y","Days=T","Dir=V")</f>
        <v>0</v>
      </c>
      <c r="AI2">
        <f>BDH("ANIX US Equity","IS_DEPR_EXP","1993-06-18","2026-05-02","Per=Y","Days=T","Dir=V")</f>
        <v>0</v>
      </c>
      <c r="AK2">
        <f>BDH("ANIX US Equity","CF_CASH_FROM_OPER","1993-06-18","2026-05-02","Per=Y","Days=T","Dir=V")</f>
        <v>0</v>
      </c>
      <c r="AM2">
        <f>BDH("ANIX US Equity","CAPITAL_EXPEND","1993-06-18","2026-05-02","Per=Y","Days=T","Dir=V")</f>
        <v>0</v>
      </c>
      <c r="AO2">
        <f>BDH("ANIX US Equity","CF_FREE_CASH_FLOW","1993-06-18","2026-05-02","Per=Y","Days=T","Dir=V")</f>
        <v>0</v>
      </c>
      <c r="AQ2">
        <f>BDH("ANIX US Equity","PX_LAST","1993-06-18","2026-05-02","Per=M","Days=T","Dir=V")</f>
        <v>0</v>
      </c>
      <c r="AS2">
        <f>BDH("ANIX US Equity","CUR_MKT_CAP","1993-06-18","2026-05-02","Per=M","Days=T","Dir=V")</f>
        <v>0</v>
      </c>
      <c r="AU2">
        <f>BDH("ANIX US Equity","EQY_SH_OUT","1993-06-18","2026-05-02","Per=M","Days=T","Dir=V")</f>
        <v>0</v>
      </c>
      <c r="AW2">
        <f>BDH("ANIX US Equity","PX_VOLUME","1993-06-18","2026-05-02","Per=M","Days=T","Dir=V")</f>
        <v>0</v>
      </c>
      <c r="AY2">
        <f>BDH("ANIX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BDH("ANNA US Equity","BS_TOT_ASSET","1993-06-18","2026-05-02","Per=Y","Days=T","Dir=V")</f>
        <v>0</v>
      </c>
      <c r="C2">
        <f>BDH("ANNA US Equity","BS_TOT_LIAB2","1993-06-18","2026-05-02","Per=Y","Days=T","Dir=V")</f>
        <v>0</v>
      </c>
      <c r="E2">
        <f>BDH("ANNA US Equity","SHORT_AND_LONG_TERM_DEBT","1993-06-18","2026-05-02","Per=Y","Days=T","Dir=V")</f>
        <v>0</v>
      </c>
      <c r="G2">
        <f>BDH("ANNA US Equity","BS_ST_BORROW","1993-06-18","2026-05-02","Per=Y","Days=T","Dir=V")</f>
        <v>0</v>
      </c>
      <c r="I2">
        <f>BDH("ANNA US Equity","BS_LT_BORROW","1993-06-18","2026-05-02","Per=Y","Days=T","Dir=V")</f>
        <v>0</v>
      </c>
      <c r="K2">
        <f>BDH("ANNA US Equity","BS_CASH_NEAR_CASH_ITEM","1993-06-18","2026-05-02","Per=Y","Days=T","Dir=V")</f>
        <v>0</v>
      </c>
      <c r="M2">
        <f>BDH("ANNA US Equity","BS_CUR_ASSET_REPORT","1993-06-18","2026-05-02","Per=Y","Days=T","Dir=V")</f>
        <v>0</v>
      </c>
      <c r="O2">
        <f>BDH("ANNA US Equity","BS_CUR_LIAB","1993-06-18","2026-05-02","Per=Y","Days=T","Dir=V")</f>
        <v>0</v>
      </c>
      <c r="Q2">
        <f>BDH("ANNA US Equity","BS_SHAREHOLDER_EQY_ENDING_PERIOD","1993-06-18","2026-05-02","Per=Y","Days=T","Dir=V")</f>
        <v>0</v>
      </c>
      <c r="S2">
        <f>BDH("ANNA US Equity","BS_ACCT_NOTE_RCV","1993-06-18","2026-05-02","Per=Y","Days=T","Dir=V")</f>
        <v>0</v>
      </c>
      <c r="U2">
        <f>BDH("ANNA US Equity","BS_INVENTORIES","1993-06-18","2026-05-02","Per=Y","Days=T","Dir=V")</f>
        <v>0</v>
      </c>
      <c r="W2">
        <f>BDH("ANNA US Equity","WORKING_CAPITAL","1993-06-18","2026-05-02","Per=Y","Days=T","Dir=V")</f>
        <v>0</v>
      </c>
      <c r="Y2">
        <f>BDH("ANNA US Equity","SALES_REV_TURN","1993-06-18","2026-05-02","Per=Y","Days=T","Dir=V")</f>
        <v>0</v>
      </c>
      <c r="AA2">
        <f>BDH("ANNA US Equity","EBIT","1993-06-18","2026-05-02","Per=Y","Days=T","Dir=V")</f>
        <v>0</v>
      </c>
      <c r="AC2">
        <f>BDH("ANNA US Equity","EBITDA","1993-06-18","2026-05-02","Per=Y","Days=T","Dir=V")</f>
        <v>0</v>
      </c>
      <c r="AE2">
        <f>BDH("ANNA US Equity","NET_INCOME","1993-06-18","2026-05-02","Per=Y","Days=T","Dir=V")</f>
        <v>0</v>
      </c>
      <c r="AG2">
        <f>BDH("ANNA US Equity","IS_INT_EXPENSE","1993-06-18","2026-05-02","Per=Y","Days=T","Dir=V")</f>
        <v>0</v>
      </c>
      <c r="AI2">
        <f>BDH("ANNA US Equity","IS_DEPR_EXP","1993-06-18","2026-05-02","Per=Y","Days=T","Dir=V")</f>
        <v>0</v>
      </c>
      <c r="AK2">
        <f>BDH("ANNA US Equity","CF_CASH_FROM_OPER","1993-06-18","2026-05-02","Per=Y","Days=T","Dir=V")</f>
        <v>0</v>
      </c>
      <c r="AM2">
        <f>BDH("ANNA US Equity","CAPITAL_EXPEND","1993-06-18","2026-05-02","Per=Y","Days=T","Dir=V")</f>
        <v>0</v>
      </c>
      <c r="AO2">
        <f>BDH("ANNA US Equity","CF_FREE_CASH_FLOW","1993-06-18","2026-05-02","Per=Y","Days=T","Dir=V")</f>
        <v>0</v>
      </c>
      <c r="AQ2">
        <f>BDH("ANNA US Equity","PX_LAST","1993-06-18","2026-05-02","Per=M","Days=T","Dir=V")</f>
        <v>0</v>
      </c>
      <c r="AS2">
        <f>BDH("ANNA US Equity","CUR_MKT_CAP","1993-06-18","2026-05-02","Per=M","Days=T","Dir=V")</f>
        <v>0</v>
      </c>
      <c r="AU2">
        <f>BDH("ANNA US Equity","EQY_SH_OUT","1993-06-18","2026-05-02","Per=M","Days=T","Dir=V")</f>
        <v>0</v>
      </c>
      <c r="AW2">
        <f>BDH("ANNA US Equity","PX_VOLUME","1993-06-18","2026-05-02","Per=M","Days=T","Dir=V")</f>
        <v>0</v>
      </c>
      <c r="AY2">
        <f>BDH("ANNA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BDH("ANNAW US Equity","BS_TOT_ASSET","1993-06-18","2026-05-02","Per=Y","Days=T","Dir=V")</f>
        <v>0</v>
      </c>
      <c r="C2">
        <f>BDH("ANNAW US Equity","BS_TOT_LIAB2","1993-06-18","2026-05-02","Per=Y","Days=T","Dir=V")</f>
        <v>0</v>
      </c>
      <c r="E2">
        <f>BDH("ANNAW US Equity","SHORT_AND_LONG_TERM_DEBT","1993-06-18","2026-05-02","Per=Y","Days=T","Dir=V")</f>
        <v>0</v>
      </c>
      <c r="G2">
        <f>BDH("ANNAW US Equity","BS_ST_BORROW","1993-06-18","2026-05-02","Per=Y","Days=T","Dir=V")</f>
        <v>0</v>
      </c>
      <c r="I2">
        <f>BDH("ANNAW US Equity","BS_LT_BORROW","1993-06-18","2026-05-02","Per=Y","Days=T","Dir=V")</f>
        <v>0</v>
      </c>
      <c r="K2">
        <f>BDH("ANNAW US Equity","BS_CASH_NEAR_CASH_ITEM","1993-06-18","2026-05-02","Per=Y","Days=T","Dir=V")</f>
        <v>0</v>
      </c>
      <c r="M2">
        <f>BDH("ANNAW US Equity","BS_CUR_ASSET_REPORT","1993-06-18","2026-05-02","Per=Y","Days=T","Dir=V")</f>
        <v>0</v>
      </c>
      <c r="O2">
        <f>BDH("ANNAW US Equity","BS_CUR_LIAB","1993-06-18","2026-05-02","Per=Y","Days=T","Dir=V")</f>
        <v>0</v>
      </c>
      <c r="Q2">
        <f>BDH("ANNAW US Equity","BS_SHAREHOLDER_EQY_ENDING_PERIOD","1993-06-18","2026-05-02","Per=Y","Days=T","Dir=V")</f>
        <v>0</v>
      </c>
      <c r="S2">
        <f>BDH("ANNAW US Equity","BS_ACCT_NOTE_RCV","1993-06-18","2026-05-02","Per=Y","Days=T","Dir=V")</f>
        <v>0</v>
      </c>
      <c r="U2">
        <f>BDH("ANNAW US Equity","BS_INVENTORIES","1993-06-18","2026-05-02","Per=Y","Days=T","Dir=V")</f>
        <v>0</v>
      </c>
      <c r="W2">
        <f>BDH("ANNAW US Equity","WORKING_CAPITAL","1993-06-18","2026-05-02","Per=Y","Days=T","Dir=V")</f>
        <v>0</v>
      </c>
      <c r="Y2">
        <f>BDH("ANNAW US Equity","SALES_REV_TURN","1993-06-18","2026-05-02","Per=Y","Days=T","Dir=V")</f>
        <v>0</v>
      </c>
      <c r="AA2">
        <f>BDH("ANNAW US Equity","EBIT","1993-06-18","2026-05-02","Per=Y","Days=T","Dir=V")</f>
        <v>0</v>
      </c>
      <c r="AC2">
        <f>BDH("ANNAW US Equity","EBITDA","1993-06-18","2026-05-02","Per=Y","Days=T","Dir=V")</f>
        <v>0</v>
      </c>
      <c r="AE2">
        <f>BDH("ANNAW US Equity","NET_INCOME","1993-06-18","2026-05-02","Per=Y","Days=T","Dir=V")</f>
        <v>0</v>
      </c>
      <c r="AG2">
        <f>BDH("ANNAW US Equity","IS_INT_EXPENSE","1993-06-18","2026-05-02","Per=Y","Days=T","Dir=V")</f>
        <v>0</v>
      </c>
      <c r="AI2">
        <f>BDH("ANNAW US Equity","IS_DEPR_EXP","1993-06-18","2026-05-02","Per=Y","Days=T","Dir=V")</f>
        <v>0</v>
      </c>
      <c r="AK2">
        <f>BDH("ANNAW US Equity","CF_CASH_FROM_OPER","1993-06-18","2026-05-02","Per=Y","Days=T","Dir=V")</f>
        <v>0</v>
      </c>
      <c r="AM2">
        <f>BDH("ANNAW US Equity","CAPITAL_EXPEND","1993-06-18","2026-05-02","Per=Y","Days=T","Dir=V")</f>
        <v>0</v>
      </c>
      <c r="AO2">
        <f>BDH("ANNAW US Equity","CF_FREE_CASH_FLOW","1993-06-18","2026-05-02","Per=Y","Days=T","Dir=V")</f>
        <v>0</v>
      </c>
      <c r="AQ2">
        <f>BDH("ANNAW US Equity","PX_LAST","1993-06-18","2026-05-02","Per=M","Days=T","Dir=V")</f>
        <v>0</v>
      </c>
      <c r="AS2">
        <f>BDH("ANNAW US Equity","CUR_MKT_CAP","1993-06-18","2026-05-02","Per=M","Days=T","Dir=V")</f>
        <v>0</v>
      </c>
      <c r="AU2">
        <f>BDH("ANNAW US Equity","EQY_SH_OUT","1993-06-18","2026-05-02","Per=M","Days=T","Dir=V")</f>
        <v>0</v>
      </c>
      <c r="AW2">
        <f>BDH("ANNAW US Equity","PX_VOLUME","1993-06-18","2026-05-02","Per=M","Days=T","Dir=V")</f>
        <v>0</v>
      </c>
      <c r="AY2">
        <f>BDH("ANNAW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BDH("ANNX US Equity","BS_TOT_ASSET","1993-06-18","2026-05-02","Per=Y","Days=T","Dir=V")</f>
        <v>0</v>
      </c>
      <c r="C2">
        <f>BDH("ANNX US Equity","BS_TOT_LIAB2","1993-06-18","2026-05-02","Per=Y","Days=T","Dir=V")</f>
        <v>0</v>
      </c>
      <c r="E2">
        <f>BDH("ANNX US Equity","SHORT_AND_LONG_TERM_DEBT","1993-06-18","2026-05-02","Per=Y","Days=T","Dir=V")</f>
        <v>0</v>
      </c>
      <c r="G2">
        <f>BDH("ANNX US Equity","BS_ST_BORROW","1993-06-18","2026-05-02","Per=Y","Days=T","Dir=V")</f>
        <v>0</v>
      </c>
      <c r="I2">
        <f>BDH("ANNX US Equity","BS_LT_BORROW","1993-06-18","2026-05-02","Per=Y","Days=T","Dir=V")</f>
        <v>0</v>
      </c>
      <c r="K2">
        <f>BDH("ANNX US Equity","BS_CASH_NEAR_CASH_ITEM","1993-06-18","2026-05-02","Per=Y","Days=T","Dir=V")</f>
        <v>0</v>
      </c>
      <c r="M2">
        <f>BDH("ANNX US Equity","BS_CUR_ASSET_REPORT","1993-06-18","2026-05-02","Per=Y","Days=T","Dir=V")</f>
        <v>0</v>
      </c>
      <c r="O2">
        <f>BDH("ANNX US Equity","BS_CUR_LIAB","1993-06-18","2026-05-02","Per=Y","Days=T","Dir=V")</f>
        <v>0</v>
      </c>
      <c r="Q2">
        <f>BDH("ANNX US Equity","BS_SHAREHOLDER_EQY_ENDING_PERIOD","1993-06-18","2026-05-02","Per=Y","Days=T","Dir=V")</f>
        <v>0</v>
      </c>
      <c r="S2">
        <f>BDH("ANNX US Equity","BS_ACCT_NOTE_RCV","1993-06-18","2026-05-02","Per=Y","Days=T","Dir=V")</f>
        <v>0</v>
      </c>
      <c r="U2">
        <f>BDH("ANNX US Equity","BS_INVENTORIES","1993-06-18","2026-05-02","Per=Y","Days=T","Dir=V")</f>
        <v>0</v>
      </c>
      <c r="W2">
        <f>BDH("ANNX US Equity","WORKING_CAPITAL","1993-06-18","2026-05-02","Per=Y","Days=T","Dir=V")</f>
        <v>0</v>
      </c>
      <c r="Y2">
        <f>BDH("ANNX US Equity","SALES_REV_TURN","1993-06-18","2026-05-02","Per=Y","Days=T","Dir=V")</f>
        <v>0</v>
      </c>
      <c r="AA2">
        <f>BDH("ANNX US Equity","EBIT","1993-06-18","2026-05-02","Per=Y","Days=T","Dir=V")</f>
        <v>0</v>
      </c>
      <c r="AC2">
        <f>BDH("ANNX US Equity","EBITDA","1993-06-18","2026-05-02","Per=Y","Days=T","Dir=V")</f>
        <v>0</v>
      </c>
      <c r="AE2">
        <f>BDH("ANNX US Equity","NET_INCOME","1993-06-18","2026-05-02","Per=Y","Days=T","Dir=V")</f>
        <v>0</v>
      </c>
      <c r="AG2">
        <f>BDH("ANNX US Equity","IS_INT_EXPENSE","1993-06-18","2026-05-02","Per=Y","Days=T","Dir=V")</f>
        <v>0</v>
      </c>
      <c r="AI2">
        <f>BDH("ANNX US Equity","IS_DEPR_EXP","1993-06-18","2026-05-02","Per=Y","Days=T","Dir=V")</f>
        <v>0</v>
      </c>
      <c r="AK2">
        <f>BDH("ANNX US Equity","CF_CASH_FROM_OPER","1993-06-18","2026-05-02","Per=Y","Days=T","Dir=V")</f>
        <v>0</v>
      </c>
      <c r="AM2">
        <f>BDH("ANNX US Equity","CAPITAL_EXPEND","1993-06-18","2026-05-02","Per=Y","Days=T","Dir=V")</f>
        <v>0</v>
      </c>
      <c r="AO2">
        <f>BDH("ANNX US Equity","CF_FREE_CASH_FLOW","1993-06-18","2026-05-02","Per=Y","Days=T","Dir=V")</f>
        <v>0</v>
      </c>
      <c r="AQ2">
        <f>BDH("ANNX US Equity","PX_LAST","1993-06-18","2026-05-02","Per=M","Days=T","Dir=V")</f>
        <v>0</v>
      </c>
      <c r="AS2">
        <f>BDH("ANNX US Equity","CUR_MKT_CAP","1993-06-18","2026-05-02","Per=M","Days=T","Dir=V")</f>
        <v>0</v>
      </c>
      <c r="AU2">
        <f>BDH("ANNX US Equity","EQY_SH_OUT","1993-06-18","2026-05-02","Per=M","Days=T","Dir=V")</f>
        <v>0</v>
      </c>
      <c r="AW2">
        <f>BDH("ANNX US Equity","PX_VOLUME","1993-06-18","2026-05-02","Per=M","Days=T","Dir=V")</f>
        <v>0</v>
      </c>
      <c r="AY2">
        <f>BDH("ANNX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BDH("ANRO US Equity","BS_TOT_ASSET","1993-06-18","2026-05-02","Per=Y","Days=T","Dir=V")</f>
        <v>0</v>
      </c>
      <c r="C2">
        <f>BDH("ANRO US Equity","BS_TOT_LIAB2","1993-06-18","2026-05-02","Per=Y","Days=T","Dir=V")</f>
        <v>0</v>
      </c>
      <c r="E2">
        <f>BDH("ANRO US Equity","SHORT_AND_LONG_TERM_DEBT","1993-06-18","2026-05-02","Per=Y","Days=T","Dir=V")</f>
        <v>0</v>
      </c>
      <c r="G2">
        <f>BDH("ANRO US Equity","BS_ST_BORROW","1993-06-18","2026-05-02","Per=Y","Days=T","Dir=V")</f>
        <v>0</v>
      </c>
      <c r="I2">
        <f>BDH("ANRO US Equity","BS_LT_BORROW","1993-06-18","2026-05-02","Per=Y","Days=T","Dir=V")</f>
        <v>0</v>
      </c>
      <c r="K2">
        <f>BDH("ANRO US Equity","BS_CASH_NEAR_CASH_ITEM","1993-06-18","2026-05-02","Per=Y","Days=T","Dir=V")</f>
        <v>0</v>
      </c>
      <c r="M2">
        <f>BDH("ANRO US Equity","BS_CUR_ASSET_REPORT","1993-06-18","2026-05-02","Per=Y","Days=T","Dir=V")</f>
        <v>0</v>
      </c>
      <c r="O2">
        <f>BDH("ANRO US Equity","BS_CUR_LIAB","1993-06-18","2026-05-02","Per=Y","Days=T","Dir=V")</f>
        <v>0</v>
      </c>
      <c r="Q2">
        <f>BDH("ANRO US Equity","BS_SHAREHOLDER_EQY_ENDING_PERIOD","1993-06-18","2026-05-02","Per=Y","Days=T","Dir=V")</f>
        <v>0</v>
      </c>
      <c r="S2">
        <f>BDH("ANRO US Equity","BS_ACCT_NOTE_RCV","1993-06-18","2026-05-02","Per=Y","Days=T","Dir=V")</f>
        <v>0</v>
      </c>
      <c r="U2">
        <f>BDH("ANRO US Equity","BS_INVENTORIES","1993-06-18","2026-05-02","Per=Y","Days=T","Dir=V")</f>
        <v>0</v>
      </c>
      <c r="W2">
        <f>BDH("ANRO US Equity","WORKING_CAPITAL","1993-06-18","2026-05-02","Per=Y","Days=T","Dir=V")</f>
        <v>0</v>
      </c>
      <c r="Y2">
        <f>BDH("ANRO US Equity","SALES_REV_TURN","1993-06-18","2026-05-02","Per=Y","Days=T","Dir=V")</f>
        <v>0</v>
      </c>
      <c r="AA2">
        <f>BDH("ANRO US Equity","EBIT","1993-06-18","2026-05-02","Per=Y","Days=T","Dir=V")</f>
        <v>0</v>
      </c>
      <c r="AC2">
        <f>BDH("ANRO US Equity","EBITDA","1993-06-18","2026-05-02","Per=Y","Days=T","Dir=V")</f>
        <v>0</v>
      </c>
      <c r="AE2">
        <f>BDH("ANRO US Equity","NET_INCOME","1993-06-18","2026-05-02","Per=Y","Days=T","Dir=V")</f>
        <v>0</v>
      </c>
      <c r="AG2">
        <f>BDH("ANRO US Equity","IS_INT_EXPENSE","1993-06-18","2026-05-02","Per=Y","Days=T","Dir=V")</f>
        <v>0</v>
      </c>
      <c r="AI2">
        <f>BDH("ANRO US Equity","IS_DEPR_EXP","1993-06-18","2026-05-02","Per=Y","Days=T","Dir=V")</f>
        <v>0</v>
      </c>
      <c r="AK2">
        <f>BDH("ANRO US Equity","CF_CASH_FROM_OPER","1993-06-18","2026-05-02","Per=Y","Days=T","Dir=V")</f>
        <v>0</v>
      </c>
      <c r="AM2">
        <f>BDH("ANRO US Equity","CAPITAL_EXPEND","1993-06-18","2026-05-02","Per=Y","Days=T","Dir=V")</f>
        <v>0</v>
      </c>
      <c r="AO2">
        <f>BDH("ANRO US Equity","CF_FREE_CASH_FLOW","1993-06-18","2026-05-02","Per=Y","Days=T","Dir=V")</f>
        <v>0</v>
      </c>
      <c r="AQ2">
        <f>BDH("ANRO US Equity","PX_LAST","1993-06-18","2026-05-02","Per=M","Days=T","Dir=V")</f>
        <v>0</v>
      </c>
      <c r="AS2">
        <f>BDH("ANRO US Equity","CUR_MKT_CAP","1993-06-18","2026-05-02","Per=M","Days=T","Dir=V")</f>
        <v>0</v>
      </c>
      <c r="AU2">
        <f>BDH("ANRO US Equity","EQY_SH_OUT","1993-06-18","2026-05-02","Per=M","Days=T","Dir=V")</f>
        <v>0</v>
      </c>
      <c r="AW2">
        <f>BDH("ANRO US Equity","PX_VOLUME","1993-06-18","2026-05-02","Per=M","Days=T","Dir=V")</f>
        <v>0</v>
      </c>
      <c r="AY2">
        <f>BDH("ANRO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BDH("ANTX US Equity","BS_TOT_ASSET","1993-06-18","2026-05-02","Per=Y","Days=T","Dir=V")</f>
        <v>0</v>
      </c>
      <c r="C2">
        <f>BDH("ANTX US Equity","BS_TOT_LIAB2","1993-06-18","2026-05-02","Per=Y","Days=T","Dir=V")</f>
        <v>0</v>
      </c>
      <c r="E2">
        <f>BDH("ANTX US Equity","SHORT_AND_LONG_TERM_DEBT","1993-06-18","2026-05-02","Per=Y","Days=T","Dir=V")</f>
        <v>0</v>
      </c>
      <c r="G2">
        <f>BDH("ANTX US Equity","BS_ST_BORROW","1993-06-18","2026-05-02","Per=Y","Days=T","Dir=V")</f>
        <v>0</v>
      </c>
      <c r="I2">
        <f>BDH("ANTX US Equity","BS_LT_BORROW","1993-06-18","2026-05-02","Per=Y","Days=T","Dir=V")</f>
        <v>0</v>
      </c>
      <c r="K2">
        <f>BDH("ANTX US Equity","BS_CASH_NEAR_CASH_ITEM","1993-06-18","2026-05-02","Per=Y","Days=T","Dir=V")</f>
        <v>0</v>
      </c>
      <c r="M2">
        <f>BDH("ANTX US Equity","BS_CUR_ASSET_REPORT","1993-06-18","2026-05-02","Per=Y","Days=T","Dir=V")</f>
        <v>0</v>
      </c>
      <c r="O2">
        <f>BDH("ANTX US Equity","BS_CUR_LIAB","1993-06-18","2026-05-02","Per=Y","Days=T","Dir=V")</f>
        <v>0</v>
      </c>
      <c r="Q2">
        <f>BDH("ANTX US Equity","BS_SHAREHOLDER_EQY_ENDING_PERIOD","1993-06-18","2026-05-02","Per=Y","Days=T","Dir=V")</f>
        <v>0</v>
      </c>
      <c r="S2">
        <f>BDH("ANTX US Equity","BS_ACCT_NOTE_RCV","1993-06-18","2026-05-02","Per=Y","Days=T","Dir=V")</f>
        <v>0</v>
      </c>
      <c r="U2">
        <f>BDH("ANTX US Equity","BS_INVENTORIES","1993-06-18","2026-05-02","Per=Y","Days=T","Dir=V")</f>
        <v>0</v>
      </c>
      <c r="W2">
        <f>BDH("ANTX US Equity","WORKING_CAPITAL","1993-06-18","2026-05-02","Per=Y","Days=T","Dir=V")</f>
        <v>0</v>
      </c>
      <c r="Y2">
        <f>BDH("ANTX US Equity","SALES_REV_TURN","1993-06-18","2026-05-02","Per=Y","Days=T","Dir=V")</f>
        <v>0</v>
      </c>
      <c r="AA2">
        <f>BDH("ANTX US Equity","EBIT","1993-06-18","2026-05-02","Per=Y","Days=T","Dir=V")</f>
        <v>0</v>
      </c>
      <c r="AC2">
        <f>BDH("ANTX US Equity","EBITDA","1993-06-18","2026-05-02","Per=Y","Days=T","Dir=V")</f>
        <v>0</v>
      </c>
      <c r="AE2">
        <f>BDH("ANTX US Equity","NET_INCOME","1993-06-18","2026-05-02","Per=Y","Days=T","Dir=V")</f>
        <v>0</v>
      </c>
      <c r="AG2">
        <f>BDH("ANTX US Equity","IS_INT_EXPENSE","1993-06-18","2026-05-02","Per=Y","Days=T","Dir=V")</f>
        <v>0</v>
      </c>
      <c r="AI2">
        <f>BDH("ANTX US Equity","IS_DEPR_EXP","1993-06-18","2026-05-02","Per=Y","Days=T","Dir=V")</f>
        <v>0</v>
      </c>
      <c r="AK2">
        <f>BDH("ANTX US Equity","CF_CASH_FROM_OPER","1993-06-18","2026-05-02","Per=Y","Days=T","Dir=V")</f>
        <v>0</v>
      </c>
      <c r="AM2">
        <f>BDH("ANTX US Equity","CAPITAL_EXPEND","1993-06-18","2026-05-02","Per=Y","Days=T","Dir=V")</f>
        <v>0</v>
      </c>
      <c r="AO2">
        <f>BDH("ANTX US Equity","CF_FREE_CASH_FLOW","1993-06-18","2026-05-02","Per=Y","Days=T","Dir=V")</f>
        <v>0</v>
      </c>
      <c r="AQ2">
        <f>BDH("ANTX US Equity","PX_LAST","1993-06-18","2026-05-02","Per=M","Days=T","Dir=V")</f>
        <v>0</v>
      </c>
      <c r="AS2">
        <f>BDH("ANTX US Equity","CUR_MKT_CAP","1993-06-18","2026-05-02","Per=M","Days=T","Dir=V")</f>
        <v>0</v>
      </c>
      <c r="AU2">
        <f>BDH("ANTX US Equity","EQY_SH_OUT","1993-06-18","2026-05-02","Per=M","Days=T","Dir=V")</f>
        <v>0</v>
      </c>
      <c r="AW2">
        <f>BDH("ANTX US Equity","PX_VOLUME","1993-06-18","2026-05-02","Per=M","Days=T","Dir=V")</f>
        <v>0</v>
      </c>
      <c r="AY2">
        <f>BDH("ANTX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BDH("ANVS US Equity","BS_TOT_ASSET","1993-06-18","2026-05-02","Per=Y","Days=T","Dir=V")</f>
        <v>0</v>
      </c>
      <c r="C2">
        <f>BDH("ANVS US Equity","BS_TOT_LIAB2","1993-06-18","2026-05-02","Per=Y","Days=T","Dir=V")</f>
        <v>0</v>
      </c>
      <c r="E2">
        <f>BDH("ANVS US Equity","SHORT_AND_LONG_TERM_DEBT","1993-06-18","2026-05-02","Per=Y","Days=T","Dir=V")</f>
        <v>0</v>
      </c>
      <c r="G2">
        <f>BDH("ANVS US Equity","BS_ST_BORROW","1993-06-18","2026-05-02","Per=Y","Days=T","Dir=V")</f>
        <v>0</v>
      </c>
      <c r="I2">
        <f>BDH("ANVS US Equity","BS_LT_BORROW","1993-06-18","2026-05-02","Per=Y","Days=T","Dir=V")</f>
        <v>0</v>
      </c>
      <c r="K2">
        <f>BDH("ANVS US Equity","BS_CASH_NEAR_CASH_ITEM","1993-06-18","2026-05-02","Per=Y","Days=T","Dir=V")</f>
        <v>0</v>
      </c>
      <c r="M2">
        <f>BDH("ANVS US Equity","BS_CUR_ASSET_REPORT","1993-06-18","2026-05-02","Per=Y","Days=T","Dir=V")</f>
        <v>0</v>
      </c>
      <c r="O2">
        <f>BDH("ANVS US Equity","BS_CUR_LIAB","1993-06-18","2026-05-02","Per=Y","Days=T","Dir=V")</f>
        <v>0</v>
      </c>
      <c r="Q2">
        <f>BDH("ANVS US Equity","BS_SHAREHOLDER_EQY_ENDING_PERIOD","1993-06-18","2026-05-02","Per=Y","Days=T","Dir=V")</f>
        <v>0</v>
      </c>
      <c r="S2">
        <f>BDH("ANVS US Equity","BS_ACCT_NOTE_RCV","1993-06-18","2026-05-02","Per=Y","Days=T","Dir=V")</f>
        <v>0</v>
      </c>
      <c r="U2">
        <f>BDH("ANVS US Equity","BS_INVENTORIES","1993-06-18","2026-05-02","Per=Y","Days=T","Dir=V")</f>
        <v>0</v>
      </c>
      <c r="W2">
        <f>BDH("ANVS US Equity","WORKING_CAPITAL","1993-06-18","2026-05-02","Per=Y","Days=T","Dir=V")</f>
        <v>0</v>
      </c>
      <c r="Y2">
        <f>BDH("ANVS US Equity","SALES_REV_TURN","1993-06-18","2026-05-02","Per=Y","Days=T","Dir=V")</f>
        <v>0</v>
      </c>
      <c r="AA2">
        <f>BDH("ANVS US Equity","EBIT","1993-06-18","2026-05-02","Per=Y","Days=T","Dir=V")</f>
        <v>0</v>
      </c>
      <c r="AC2">
        <f>BDH("ANVS US Equity","EBITDA","1993-06-18","2026-05-02","Per=Y","Days=T","Dir=V")</f>
        <v>0</v>
      </c>
      <c r="AE2">
        <f>BDH("ANVS US Equity","NET_INCOME","1993-06-18","2026-05-02","Per=Y","Days=T","Dir=V")</f>
        <v>0</v>
      </c>
      <c r="AG2">
        <f>BDH("ANVS US Equity","IS_INT_EXPENSE","1993-06-18","2026-05-02","Per=Y","Days=T","Dir=V")</f>
        <v>0</v>
      </c>
      <c r="AI2">
        <f>BDH("ANVS US Equity","IS_DEPR_EXP","1993-06-18","2026-05-02","Per=Y","Days=T","Dir=V")</f>
        <v>0</v>
      </c>
      <c r="AK2">
        <f>BDH("ANVS US Equity","CF_CASH_FROM_OPER","1993-06-18","2026-05-02","Per=Y","Days=T","Dir=V")</f>
        <v>0</v>
      </c>
      <c r="AM2">
        <f>BDH("ANVS US Equity","CAPITAL_EXPEND","1993-06-18","2026-05-02","Per=Y","Days=T","Dir=V")</f>
        <v>0</v>
      </c>
      <c r="AO2">
        <f>BDH("ANVS US Equity","CF_FREE_CASH_FLOW","1993-06-18","2026-05-02","Per=Y","Days=T","Dir=V")</f>
        <v>0</v>
      </c>
      <c r="AQ2">
        <f>BDH("ANVS US Equity","PX_LAST","1993-06-18","2026-05-02","Per=M","Days=T","Dir=V")</f>
        <v>0</v>
      </c>
      <c r="AS2">
        <f>BDH("ANVS US Equity","CUR_MKT_CAP","1993-06-18","2026-05-02","Per=M","Days=T","Dir=V")</f>
        <v>0</v>
      </c>
      <c r="AU2">
        <f>BDH("ANVS US Equity","EQY_SH_OUT","1993-06-18","2026-05-02","Per=M","Days=T","Dir=V")</f>
        <v>0</v>
      </c>
      <c r="AW2">
        <f>BDH("ANVS US Equity","PX_VOLUME","1993-06-18","2026-05-02","Per=M","Days=T","Dir=V")</f>
        <v>0</v>
      </c>
      <c r="AY2">
        <f>BDH("ANVS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BDH("AORT US Equity","BS_TOT_ASSET","1993-06-18","2026-05-02","Per=Y","Days=T","Dir=V")</f>
        <v>0</v>
      </c>
      <c r="C2">
        <f>BDH("AORT US Equity","BS_TOT_LIAB2","1993-06-18","2026-05-02","Per=Y","Days=T","Dir=V")</f>
        <v>0</v>
      </c>
      <c r="E2">
        <f>BDH("AORT US Equity","SHORT_AND_LONG_TERM_DEBT","1993-06-18","2026-05-02","Per=Y","Days=T","Dir=V")</f>
        <v>0</v>
      </c>
      <c r="G2">
        <f>BDH("AORT US Equity","BS_ST_BORROW","1993-06-18","2026-05-02","Per=Y","Days=T","Dir=V")</f>
        <v>0</v>
      </c>
      <c r="I2">
        <f>BDH("AORT US Equity","BS_LT_BORROW","1993-06-18","2026-05-02","Per=Y","Days=T","Dir=V")</f>
        <v>0</v>
      </c>
      <c r="K2">
        <f>BDH("AORT US Equity","BS_CASH_NEAR_CASH_ITEM","1993-06-18","2026-05-02","Per=Y","Days=T","Dir=V")</f>
        <v>0</v>
      </c>
      <c r="M2">
        <f>BDH("AORT US Equity","BS_CUR_ASSET_REPORT","1993-06-18","2026-05-02","Per=Y","Days=T","Dir=V")</f>
        <v>0</v>
      </c>
      <c r="O2">
        <f>BDH("AORT US Equity","BS_CUR_LIAB","1993-06-18","2026-05-02","Per=Y","Days=T","Dir=V")</f>
        <v>0</v>
      </c>
      <c r="Q2">
        <f>BDH("AORT US Equity","BS_SHAREHOLDER_EQY_ENDING_PERIOD","1993-06-18","2026-05-02","Per=Y","Days=T","Dir=V")</f>
        <v>0</v>
      </c>
      <c r="S2">
        <f>BDH("AORT US Equity","BS_ACCT_NOTE_RCV","1993-06-18","2026-05-02","Per=Y","Days=T","Dir=V")</f>
        <v>0</v>
      </c>
      <c r="U2">
        <f>BDH("AORT US Equity","BS_INVENTORIES","1993-06-18","2026-05-02","Per=Y","Days=T","Dir=V")</f>
        <v>0</v>
      </c>
      <c r="W2">
        <f>BDH("AORT US Equity","WORKING_CAPITAL","1993-06-18","2026-05-02","Per=Y","Days=T","Dir=V")</f>
        <v>0</v>
      </c>
      <c r="Y2">
        <f>BDH("AORT US Equity","SALES_REV_TURN","1993-06-18","2026-05-02","Per=Y","Days=T","Dir=V")</f>
        <v>0</v>
      </c>
      <c r="AA2">
        <f>BDH("AORT US Equity","EBIT","1993-06-18","2026-05-02","Per=Y","Days=T","Dir=V")</f>
        <v>0</v>
      </c>
      <c r="AC2">
        <f>BDH("AORT US Equity","EBITDA","1993-06-18","2026-05-02","Per=Y","Days=T","Dir=V")</f>
        <v>0</v>
      </c>
      <c r="AE2">
        <f>BDH("AORT US Equity","NET_INCOME","1993-06-18","2026-05-02","Per=Y","Days=T","Dir=V")</f>
        <v>0</v>
      </c>
      <c r="AG2">
        <f>BDH("AORT US Equity","IS_INT_EXPENSE","1993-06-18","2026-05-02","Per=Y","Days=T","Dir=V")</f>
        <v>0</v>
      </c>
      <c r="AI2">
        <f>BDH("AORT US Equity","IS_DEPR_EXP","1993-06-18","2026-05-02","Per=Y","Days=T","Dir=V")</f>
        <v>0</v>
      </c>
      <c r="AK2">
        <f>BDH("AORT US Equity","CF_CASH_FROM_OPER","1993-06-18","2026-05-02","Per=Y","Days=T","Dir=V")</f>
        <v>0</v>
      </c>
      <c r="AM2">
        <f>BDH("AORT US Equity","CAPITAL_EXPEND","1993-06-18","2026-05-02","Per=Y","Days=T","Dir=V")</f>
        <v>0</v>
      </c>
      <c r="AO2">
        <f>BDH("AORT US Equity","CF_FREE_CASH_FLOW","1993-06-18","2026-05-02","Per=Y","Days=T","Dir=V")</f>
        <v>0</v>
      </c>
      <c r="AQ2">
        <f>BDH("AORT US Equity","PX_LAST","1993-06-18","2026-05-02","Per=M","Days=T","Dir=V")</f>
        <v>0</v>
      </c>
      <c r="AS2">
        <f>BDH("AORT US Equity","CUR_MKT_CAP","1993-06-18","2026-05-02","Per=M","Days=T","Dir=V")</f>
        <v>0</v>
      </c>
      <c r="AU2">
        <f>BDH("AORT US Equity","EQY_SH_OUT","1993-06-18","2026-05-02","Per=M","Days=T","Dir=V")</f>
        <v>0</v>
      </c>
      <c r="AW2">
        <f>BDH("AORT US Equity","PX_VOLUME","1993-06-18","2026-05-02","Per=M","Days=T","Dir=V")</f>
        <v>0</v>
      </c>
      <c r="AY2">
        <f>BDH("AORT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BDH("AOS US Equity","BS_TOT_ASSET","1993-06-18","2026-05-02","Per=Y","Days=T","Dir=V")</f>
        <v>0</v>
      </c>
      <c r="C2">
        <f>BDH("AOS US Equity","BS_TOT_LIAB2","1993-06-18","2026-05-02","Per=Y","Days=T","Dir=V")</f>
        <v>0</v>
      </c>
      <c r="E2">
        <f>BDH("AOS US Equity","SHORT_AND_LONG_TERM_DEBT","1993-06-18","2026-05-02","Per=Y","Days=T","Dir=V")</f>
        <v>0</v>
      </c>
      <c r="G2">
        <f>BDH("AOS US Equity","BS_ST_BORROW","1993-06-18","2026-05-02","Per=Y","Days=T","Dir=V")</f>
        <v>0</v>
      </c>
      <c r="I2">
        <f>BDH("AOS US Equity","BS_LT_BORROW","1993-06-18","2026-05-02","Per=Y","Days=T","Dir=V")</f>
        <v>0</v>
      </c>
      <c r="K2">
        <f>BDH("AOS US Equity","BS_CASH_NEAR_CASH_ITEM","1993-06-18","2026-05-02","Per=Y","Days=T","Dir=V")</f>
        <v>0</v>
      </c>
      <c r="M2">
        <f>BDH("AOS US Equity","BS_CUR_ASSET_REPORT","1993-06-18","2026-05-02","Per=Y","Days=T","Dir=V")</f>
        <v>0</v>
      </c>
      <c r="O2">
        <f>BDH("AOS US Equity","BS_CUR_LIAB","1993-06-18","2026-05-02","Per=Y","Days=T","Dir=V")</f>
        <v>0</v>
      </c>
      <c r="Q2">
        <f>BDH("AOS US Equity","BS_SHAREHOLDER_EQY_ENDING_PERIOD","1993-06-18","2026-05-02","Per=Y","Days=T","Dir=V")</f>
        <v>0</v>
      </c>
      <c r="S2">
        <f>BDH("AOS US Equity","BS_ACCT_NOTE_RCV","1993-06-18","2026-05-02","Per=Y","Days=T","Dir=V")</f>
        <v>0</v>
      </c>
      <c r="U2">
        <f>BDH("AOS US Equity","BS_INVENTORIES","1993-06-18","2026-05-02","Per=Y","Days=T","Dir=V")</f>
        <v>0</v>
      </c>
      <c r="W2">
        <f>BDH("AOS US Equity","WORKING_CAPITAL","1993-06-18","2026-05-02","Per=Y","Days=T","Dir=V")</f>
        <v>0</v>
      </c>
      <c r="Y2">
        <f>BDH("AOS US Equity","SALES_REV_TURN","1993-06-18","2026-05-02","Per=Y","Days=T","Dir=V")</f>
        <v>0</v>
      </c>
      <c r="AA2">
        <f>BDH("AOS US Equity","EBIT","1993-06-18","2026-05-02","Per=Y","Days=T","Dir=V")</f>
        <v>0</v>
      </c>
      <c r="AC2">
        <f>BDH("AOS US Equity","EBITDA","1993-06-18","2026-05-02","Per=Y","Days=T","Dir=V")</f>
        <v>0</v>
      </c>
      <c r="AE2">
        <f>BDH("AOS US Equity","NET_INCOME","1993-06-18","2026-05-02","Per=Y","Days=T","Dir=V")</f>
        <v>0</v>
      </c>
      <c r="AG2">
        <f>BDH("AOS US Equity","IS_INT_EXPENSE","1993-06-18","2026-05-02","Per=Y","Days=T","Dir=V")</f>
        <v>0</v>
      </c>
      <c r="AI2">
        <f>BDH("AOS US Equity","IS_DEPR_EXP","1993-06-18","2026-05-02","Per=Y","Days=T","Dir=V")</f>
        <v>0</v>
      </c>
      <c r="AK2">
        <f>BDH("AOS US Equity","CF_CASH_FROM_OPER","1993-06-18","2026-05-02","Per=Y","Days=T","Dir=V")</f>
        <v>0</v>
      </c>
      <c r="AM2">
        <f>BDH("AOS US Equity","CAPITAL_EXPEND","1993-06-18","2026-05-02","Per=Y","Days=T","Dir=V")</f>
        <v>0</v>
      </c>
      <c r="AO2">
        <f>BDH("AOS US Equity","CF_FREE_CASH_FLOW","1993-06-18","2026-05-02","Per=Y","Days=T","Dir=V")</f>
        <v>0</v>
      </c>
      <c r="AQ2">
        <f>BDH("AOS US Equity","PX_LAST","1993-06-18","2026-05-02","Per=M","Days=T","Dir=V")</f>
        <v>0</v>
      </c>
      <c r="AS2">
        <f>BDH("AOS US Equity","CUR_MKT_CAP","1993-06-18","2026-05-02","Per=M","Days=T","Dir=V")</f>
        <v>0</v>
      </c>
      <c r="AU2">
        <f>BDH("AOS US Equity","EQY_SH_OUT","1993-06-18","2026-05-02","Per=M","Days=T","Dir=V")</f>
        <v>0</v>
      </c>
      <c r="AW2">
        <f>BDH("AOS US Equity","PX_VOLUME","1993-06-18","2026-05-02","Per=M","Days=T","Dir=V")</f>
        <v>0</v>
      </c>
      <c r="AY2">
        <f>BDH("AOS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BDH("AOUT US Equity","BS_TOT_ASSET","1993-06-18","2026-05-02","Per=Y","Days=T","Dir=V")</f>
        <v>0</v>
      </c>
      <c r="C2">
        <f>BDH("AOUT US Equity","BS_TOT_LIAB2","1993-06-18","2026-05-02","Per=Y","Days=T","Dir=V")</f>
        <v>0</v>
      </c>
      <c r="E2">
        <f>BDH("AOUT US Equity","SHORT_AND_LONG_TERM_DEBT","1993-06-18","2026-05-02","Per=Y","Days=T","Dir=V")</f>
        <v>0</v>
      </c>
      <c r="G2">
        <f>BDH("AOUT US Equity","BS_ST_BORROW","1993-06-18","2026-05-02","Per=Y","Days=T","Dir=V")</f>
        <v>0</v>
      </c>
      <c r="I2">
        <f>BDH("AOUT US Equity","BS_LT_BORROW","1993-06-18","2026-05-02","Per=Y","Days=T","Dir=V")</f>
        <v>0</v>
      </c>
      <c r="K2">
        <f>BDH("AOUT US Equity","BS_CASH_NEAR_CASH_ITEM","1993-06-18","2026-05-02","Per=Y","Days=T","Dir=V")</f>
        <v>0</v>
      </c>
      <c r="M2">
        <f>BDH("AOUT US Equity","BS_CUR_ASSET_REPORT","1993-06-18","2026-05-02","Per=Y","Days=T","Dir=V")</f>
        <v>0</v>
      </c>
      <c r="O2">
        <f>BDH("AOUT US Equity","BS_CUR_LIAB","1993-06-18","2026-05-02","Per=Y","Days=T","Dir=V")</f>
        <v>0</v>
      </c>
      <c r="Q2">
        <f>BDH("AOUT US Equity","BS_SHAREHOLDER_EQY_ENDING_PERIOD","1993-06-18","2026-05-02","Per=Y","Days=T","Dir=V")</f>
        <v>0</v>
      </c>
      <c r="S2">
        <f>BDH("AOUT US Equity","BS_ACCT_NOTE_RCV","1993-06-18","2026-05-02","Per=Y","Days=T","Dir=V")</f>
        <v>0</v>
      </c>
      <c r="U2">
        <f>BDH("AOUT US Equity","BS_INVENTORIES","1993-06-18","2026-05-02","Per=Y","Days=T","Dir=V")</f>
        <v>0</v>
      </c>
      <c r="W2">
        <f>BDH("AOUT US Equity","WORKING_CAPITAL","1993-06-18","2026-05-02","Per=Y","Days=T","Dir=V")</f>
        <v>0</v>
      </c>
      <c r="Y2">
        <f>BDH("AOUT US Equity","SALES_REV_TURN","1993-06-18","2026-05-02","Per=Y","Days=T","Dir=V")</f>
        <v>0</v>
      </c>
      <c r="AA2">
        <f>BDH("AOUT US Equity","EBIT","1993-06-18","2026-05-02","Per=Y","Days=T","Dir=V")</f>
        <v>0</v>
      </c>
      <c r="AC2">
        <f>BDH("AOUT US Equity","EBITDA","1993-06-18","2026-05-02","Per=Y","Days=T","Dir=V")</f>
        <v>0</v>
      </c>
      <c r="AE2">
        <f>BDH("AOUT US Equity","NET_INCOME","1993-06-18","2026-05-02","Per=Y","Days=T","Dir=V")</f>
        <v>0</v>
      </c>
      <c r="AG2">
        <f>BDH("AOUT US Equity","IS_INT_EXPENSE","1993-06-18","2026-05-02","Per=Y","Days=T","Dir=V")</f>
        <v>0</v>
      </c>
      <c r="AI2">
        <f>BDH("AOUT US Equity","IS_DEPR_EXP","1993-06-18","2026-05-02","Per=Y","Days=T","Dir=V")</f>
        <v>0</v>
      </c>
      <c r="AK2">
        <f>BDH("AOUT US Equity","CF_CASH_FROM_OPER","1993-06-18","2026-05-02","Per=Y","Days=T","Dir=V")</f>
        <v>0</v>
      </c>
      <c r="AM2">
        <f>BDH("AOUT US Equity","CAPITAL_EXPEND","1993-06-18","2026-05-02","Per=Y","Days=T","Dir=V")</f>
        <v>0</v>
      </c>
      <c r="AO2">
        <f>BDH("AOUT US Equity","CF_FREE_CASH_FLOW","1993-06-18","2026-05-02","Per=Y","Days=T","Dir=V")</f>
        <v>0</v>
      </c>
      <c r="AQ2">
        <f>BDH("AOUT US Equity","PX_LAST","1993-06-18","2026-05-02","Per=M","Days=T","Dir=V")</f>
        <v>0</v>
      </c>
      <c r="AS2">
        <f>BDH("AOUT US Equity","CUR_MKT_CAP","1993-06-18","2026-05-02","Per=M","Days=T","Dir=V")</f>
        <v>0</v>
      </c>
      <c r="AU2">
        <f>BDH("AOUT US Equity","EQY_SH_OUT","1993-06-18","2026-05-02","Per=M","Days=T","Dir=V")</f>
        <v>0</v>
      </c>
      <c r="AW2">
        <f>BDH("AOUT US Equity","PX_VOLUME","1993-06-18","2026-05-02","Per=M","Days=T","Dir=V")</f>
        <v>0</v>
      </c>
      <c r="AY2">
        <f>BDH("AOUT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 US Equity","BS_TOT_ASSET","1993-06-18","2026-05-02","Per=Y","Days=T","Dir=V")</f>
        <v>0</v>
      </c>
      <c r="C2">
        <f>BDH("AP US Equity","BS_TOT_LIAB2","1993-06-18","2026-05-02","Per=Y","Days=T","Dir=V")</f>
        <v>0</v>
      </c>
      <c r="E2">
        <f>BDH("AP US Equity","SHORT_AND_LONG_TERM_DEBT","1993-06-18","2026-05-02","Per=Y","Days=T","Dir=V")</f>
        <v>0</v>
      </c>
      <c r="G2">
        <f>BDH("AP US Equity","BS_ST_BORROW","1993-06-18","2026-05-02","Per=Y","Days=T","Dir=V")</f>
        <v>0</v>
      </c>
      <c r="I2">
        <f>BDH("AP US Equity","BS_LT_BORROW","1993-06-18","2026-05-02","Per=Y","Days=T","Dir=V")</f>
        <v>0</v>
      </c>
      <c r="K2">
        <f>BDH("AP US Equity","BS_CASH_NEAR_CASH_ITEM","1993-06-18","2026-05-02","Per=Y","Days=T","Dir=V")</f>
        <v>0</v>
      </c>
      <c r="M2">
        <f>BDH("AP US Equity","BS_CUR_ASSET_REPORT","1993-06-18","2026-05-02","Per=Y","Days=T","Dir=V")</f>
        <v>0</v>
      </c>
      <c r="O2">
        <f>BDH("AP US Equity","BS_CUR_LIAB","1993-06-18","2026-05-02","Per=Y","Days=T","Dir=V")</f>
        <v>0</v>
      </c>
      <c r="Q2">
        <f>BDH("AP US Equity","BS_SHAREHOLDER_EQY_ENDING_PERIOD","1993-06-18","2026-05-02","Per=Y","Days=T","Dir=V")</f>
        <v>0</v>
      </c>
      <c r="S2">
        <f>BDH("AP US Equity","BS_ACCT_NOTE_RCV","1993-06-18","2026-05-02","Per=Y","Days=T","Dir=V")</f>
        <v>0</v>
      </c>
      <c r="U2">
        <f>BDH("AP US Equity","BS_INVENTORIES","1993-06-18","2026-05-02","Per=Y","Days=T","Dir=V")</f>
        <v>0</v>
      </c>
      <c r="W2">
        <f>BDH("AP US Equity","WORKING_CAPITAL","1993-06-18","2026-05-02","Per=Y","Days=T","Dir=V")</f>
        <v>0</v>
      </c>
      <c r="Y2">
        <f>BDH("AP US Equity","SALES_REV_TURN","1993-06-18","2026-05-02","Per=Y","Days=T","Dir=V")</f>
        <v>0</v>
      </c>
      <c r="AA2">
        <f>BDH("AP US Equity","EBIT","1993-06-18","2026-05-02","Per=Y","Days=T","Dir=V")</f>
        <v>0</v>
      </c>
      <c r="AC2">
        <f>BDH("AP US Equity","EBITDA","1993-06-18","2026-05-02","Per=Y","Days=T","Dir=V")</f>
        <v>0</v>
      </c>
      <c r="AE2">
        <f>BDH("AP US Equity","NET_INCOME","1993-06-18","2026-05-02","Per=Y","Days=T","Dir=V")</f>
        <v>0</v>
      </c>
      <c r="AG2">
        <f>BDH("AP US Equity","IS_INT_EXPENSE","1993-06-18","2026-05-02","Per=Y","Days=T","Dir=V")</f>
        <v>0</v>
      </c>
      <c r="AI2">
        <f>BDH("AP US Equity","IS_DEPR_EXP","1993-06-18","2026-05-02","Per=Y","Days=T","Dir=V")</f>
        <v>0</v>
      </c>
      <c r="AK2">
        <f>BDH("AP US Equity","CF_CASH_FROM_OPER","1993-06-18","2026-05-02","Per=Y","Days=T","Dir=V")</f>
        <v>0</v>
      </c>
      <c r="AM2">
        <f>BDH("AP US Equity","CAPITAL_EXPEND","1993-06-18","2026-05-02","Per=Y","Days=T","Dir=V")</f>
        <v>0</v>
      </c>
      <c r="AO2">
        <f>BDH("AP US Equity","CF_FREE_CASH_FLOW","1993-06-18","2026-05-02","Per=Y","Days=T","Dir=V")</f>
        <v>0</v>
      </c>
      <c r="AQ2">
        <f>BDH("AP US Equity","PX_LAST","1993-06-18","2026-05-02","Per=M","Days=T","Dir=V")</f>
        <v>0</v>
      </c>
      <c r="AS2">
        <f>BDH("AP US Equity","CUR_MKT_CAP","1993-06-18","2026-05-02","Per=M","Days=T","Dir=V")</f>
        <v>0</v>
      </c>
      <c r="AU2">
        <f>BDH("AP US Equity","EQY_SH_OUT","1993-06-18","2026-05-02","Per=M","Days=T","Dir=V")</f>
        <v>0</v>
      </c>
      <c r="AW2">
        <f>BDH("AP US Equity","PX_VOLUME","1993-06-18","2026-05-02","Per=M","Days=T","Dir=V")</f>
        <v>0</v>
      </c>
      <c r="AY2">
        <f>BDH("AP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BDH("APA US Equity","BS_TOT_ASSET","1993-06-18","2026-05-02","Per=Y","Days=T","Dir=V")</f>
        <v>0</v>
      </c>
      <c r="C2">
        <f>BDH("APA US Equity","BS_TOT_LIAB2","1993-06-18","2026-05-02","Per=Y","Days=T","Dir=V")</f>
        <v>0</v>
      </c>
      <c r="E2">
        <f>BDH("APA US Equity","SHORT_AND_LONG_TERM_DEBT","1993-06-18","2026-05-02","Per=Y","Days=T","Dir=V")</f>
        <v>0</v>
      </c>
      <c r="G2">
        <f>BDH("APA US Equity","BS_ST_BORROW","1993-06-18","2026-05-02","Per=Y","Days=T","Dir=V")</f>
        <v>0</v>
      </c>
      <c r="I2">
        <f>BDH("APA US Equity","BS_LT_BORROW","1993-06-18","2026-05-02","Per=Y","Days=T","Dir=V")</f>
        <v>0</v>
      </c>
      <c r="K2">
        <f>BDH("APA US Equity","BS_CASH_NEAR_CASH_ITEM","1993-06-18","2026-05-02","Per=Y","Days=T","Dir=V")</f>
        <v>0</v>
      </c>
      <c r="M2">
        <f>BDH("APA US Equity","BS_CUR_ASSET_REPORT","1993-06-18","2026-05-02","Per=Y","Days=T","Dir=V")</f>
        <v>0</v>
      </c>
      <c r="O2">
        <f>BDH("APA US Equity","BS_CUR_LIAB","1993-06-18","2026-05-02","Per=Y","Days=T","Dir=V")</f>
        <v>0</v>
      </c>
      <c r="Q2">
        <f>BDH("APA US Equity","BS_SHAREHOLDER_EQY_ENDING_PERIOD","1993-06-18","2026-05-02","Per=Y","Days=T","Dir=V")</f>
        <v>0</v>
      </c>
      <c r="S2">
        <f>BDH("APA US Equity","BS_ACCT_NOTE_RCV","1993-06-18","2026-05-02","Per=Y","Days=T","Dir=V")</f>
        <v>0</v>
      </c>
      <c r="U2">
        <f>BDH("APA US Equity","BS_INVENTORIES","1993-06-18","2026-05-02","Per=Y","Days=T","Dir=V")</f>
        <v>0</v>
      </c>
      <c r="W2">
        <f>BDH("APA US Equity","WORKING_CAPITAL","1993-06-18","2026-05-02","Per=Y","Days=T","Dir=V")</f>
        <v>0</v>
      </c>
      <c r="Y2">
        <f>BDH("APA US Equity","SALES_REV_TURN","1993-06-18","2026-05-02","Per=Y","Days=T","Dir=V")</f>
        <v>0</v>
      </c>
      <c r="AA2">
        <f>BDH("APA US Equity","EBIT","1993-06-18","2026-05-02","Per=Y","Days=T","Dir=V")</f>
        <v>0</v>
      </c>
      <c r="AC2">
        <f>BDH("APA US Equity","EBITDA","1993-06-18","2026-05-02","Per=Y","Days=T","Dir=V")</f>
        <v>0</v>
      </c>
      <c r="AE2">
        <f>BDH("APA US Equity","NET_INCOME","1993-06-18","2026-05-02","Per=Y","Days=T","Dir=V")</f>
        <v>0</v>
      </c>
      <c r="AG2">
        <f>BDH("APA US Equity","IS_INT_EXPENSE","1993-06-18","2026-05-02","Per=Y","Days=T","Dir=V")</f>
        <v>0</v>
      </c>
      <c r="AI2">
        <f>BDH("APA US Equity","IS_DEPR_EXP","1993-06-18","2026-05-02","Per=Y","Days=T","Dir=V")</f>
        <v>0</v>
      </c>
      <c r="AK2">
        <f>BDH("APA US Equity","CF_CASH_FROM_OPER","1993-06-18","2026-05-02","Per=Y","Days=T","Dir=V")</f>
        <v>0</v>
      </c>
      <c r="AM2">
        <f>BDH("APA US Equity","CAPITAL_EXPEND","1993-06-18","2026-05-02","Per=Y","Days=T","Dir=V")</f>
        <v>0</v>
      </c>
      <c r="AO2">
        <f>BDH("APA US Equity","CF_FREE_CASH_FLOW","1993-06-18","2026-05-02","Per=Y","Days=T","Dir=V")</f>
        <v>0</v>
      </c>
      <c r="AQ2">
        <f>BDH("APA US Equity","PX_LAST","1993-06-18","2026-05-02","Per=M","Days=T","Dir=V")</f>
        <v>0</v>
      </c>
      <c r="AS2">
        <f>BDH("APA US Equity","CUR_MKT_CAP","1993-06-18","2026-05-02","Per=M","Days=T","Dir=V")</f>
        <v>0</v>
      </c>
      <c r="AU2">
        <f>BDH("APA US Equity","EQY_SH_OUT","1993-06-18","2026-05-02","Per=M","Days=T","Dir=V")</f>
        <v>0</v>
      </c>
      <c r="AW2">
        <f>BDH("APA US Equity","PX_VOLUME","1993-06-18","2026-05-02","Per=M","Days=T","Dir=V")</f>
        <v>0</v>
      </c>
      <c r="AY2">
        <f>BDH("APA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BDH("APC US Equity","BS_TOT_ASSET","1993-06-18","2026-05-02","Per=Y","Days=T","Dir=V")</f>
        <v>0</v>
      </c>
      <c r="C2">
        <f>BDH("APC US Equity","BS_TOT_LIAB2","1993-06-18","2026-05-02","Per=Y","Days=T","Dir=V")</f>
        <v>0</v>
      </c>
      <c r="E2">
        <f>BDH("APC US Equity","SHORT_AND_LONG_TERM_DEBT","1993-06-18","2026-05-02","Per=Y","Days=T","Dir=V")</f>
        <v>0</v>
      </c>
      <c r="G2">
        <f>BDH("APC US Equity","BS_ST_BORROW","1993-06-18","2026-05-02","Per=Y","Days=T","Dir=V")</f>
        <v>0</v>
      </c>
      <c r="I2">
        <f>BDH("APC US Equity","BS_LT_BORROW","1993-06-18","2026-05-02","Per=Y","Days=T","Dir=V")</f>
        <v>0</v>
      </c>
      <c r="K2">
        <f>BDH("APC US Equity","BS_CASH_NEAR_CASH_ITEM","1993-06-18","2026-05-02","Per=Y","Days=T","Dir=V")</f>
        <v>0</v>
      </c>
      <c r="M2">
        <f>BDH("APC US Equity","BS_CUR_ASSET_REPORT","1993-06-18","2026-05-02","Per=Y","Days=T","Dir=V")</f>
        <v>0</v>
      </c>
      <c r="O2">
        <f>BDH("APC US Equity","BS_CUR_LIAB","1993-06-18","2026-05-02","Per=Y","Days=T","Dir=V")</f>
        <v>0</v>
      </c>
      <c r="Q2">
        <f>BDH("APC US Equity","BS_SHAREHOLDER_EQY_ENDING_PERIOD","1993-06-18","2026-05-02","Per=Y","Days=T","Dir=V")</f>
        <v>0</v>
      </c>
      <c r="S2">
        <f>BDH("APC US Equity","BS_ACCT_NOTE_RCV","1993-06-18","2026-05-02","Per=Y","Days=T","Dir=V")</f>
        <v>0</v>
      </c>
      <c r="U2">
        <f>BDH("APC US Equity","BS_INVENTORIES","1993-06-18","2026-05-02","Per=Y","Days=T","Dir=V")</f>
        <v>0</v>
      </c>
      <c r="W2">
        <f>BDH("APC US Equity","WORKING_CAPITAL","1993-06-18","2026-05-02","Per=Y","Days=T","Dir=V")</f>
        <v>0</v>
      </c>
      <c r="Y2">
        <f>BDH("APC US Equity","SALES_REV_TURN","1993-06-18","2026-05-02","Per=Y","Days=T","Dir=V")</f>
        <v>0</v>
      </c>
      <c r="AA2">
        <f>BDH("APC US Equity","EBIT","1993-06-18","2026-05-02","Per=Y","Days=T","Dir=V")</f>
        <v>0</v>
      </c>
      <c r="AC2">
        <f>BDH("APC US Equity","EBITDA","1993-06-18","2026-05-02","Per=Y","Days=T","Dir=V")</f>
        <v>0</v>
      </c>
      <c r="AE2">
        <f>BDH("APC US Equity","NET_INCOME","1993-06-18","2026-05-02","Per=Y","Days=T","Dir=V")</f>
        <v>0</v>
      </c>
      <c r="AG2">
        <f>BDH("APC US Equity","IS_INT_EXPENSE","1993-06-18","2026-05-02","Per=Y","Days=T","Dir=V")</f>
        <v>0</v>
      </c>
      <c r="AI2">
        <f>BDH("APC US Equity","IS_DEPR_EXP","1993-06-18","2026-05-02","Per=Y","Days=T","Dir=V")</f>
        <v>0</v>
      </c>
      <c r="AK2">
        <f>BDH("APC US Equity","CF_CASH_FROM_OPER","1993-06-18","2026-05-02","Per=Y","Days=T","Dir=V")</f>
        <v>0</v>
      </c>
      <c r="AM2">
        <f>BDH("APC US Equity","CAPITAL_EXPEND","1993-06-18","2026-05-02","Per=Y","Days=T","Dir=V")</f>
        <v>0</v>
      </c>
      <c r="AO2">
        <f>BDH("APC US Equity","CF_FREE_CASH_FLOW","1993-06-18","2026-05-02","Per=Y","Days=T","Dir=V")</f>
        <v>0</v>
      </c>
      <c r="AQ2">
        <f>BDH("APC US Equity","PX_LAST","1993-06-18","2026-05-02","Per=M","Days=T","Dir=V")</f>
        <v>0</v>
      </c>
      <c r="AS2">
        <f>BDH("APC US Equity","CUR_MKT_CAP","1993-06-18","2026-05-02","Per=M","Days=T","Dir=V")</f>
        <v>0</v>
      </c>
      <c r="AU2">
        <f>BDH("APC US Equity","EQY_SH_OUT","1993-06-18","2026-05-02","Per=M","Days=T","Dir=V")</f>
        <v>0</v>
      </c>
      <c r="AW2">
        <f>BDH("APC US Equity","PX_VOLUME","1993-06-18","2026-05-02","Per=M","Days=T","Dir=V")</f>
        <v>0</v>
      </c>
      <c r="AY2">
        <f>BDH("APC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BDH("APD US Equity","BS_TOT_ASSET","1993-06-18","2026-05-02","Per=Y","Days=T","Dir=V")</f>
        <v>0</v>
      </c>
      <c r="C2">
        <f>BDH("APD US Equity","BS_TOT_LIAB2","1993-06-18","2026-05-02","Per=Y","Days=T","Dir=V")</f>
        <v>0</v>
      </c>
      <c r="E2">
        <f>BDH("APD US Equity","SHORT_AND_LONG_TERM_DEBT","1993-06-18","2026-05-02","Per=Y","Days=T","Dir=V")</f>
        <v>0</v>
      </c>
      <c r="G2">
        <f>BDH("APD US Equity","BS_ST_BORROW","1993-06-18","2026-05-02","Per=Y","Days=T","Dir=V")</f>
        <v>0</v>
      </c>
      <c r="I2">
        <f>BDH("APD US Equity","BS_LT_BORROW","1993-06-18","2026-05-02","Per=Y","Days=T","Dir=V")</f>
        <v>0</v>
      </c>
      <c r="K2">
        <f>BDH("APD US Equity","BS_CASH_NEAR_CASH_ITEM","1993-06-18","2026-05-02","Per=Y","Days=T","Dir=V")</f>
        <v>0</v>
      </c>
      <c r="M2">
        <f>BDH("APD US Equity","BS_CUR_ASSET_REPORT","1993-06-18","2026-05-02","Per=Y","Days=T","Dir=V")</f>
        <v>0</v>
      </c>
      <c r="O2">
        <f>BDH("APD US Equity","BS_CUR_LIAB","1993-06-18","2026-05-02","Per=Y","Days=T","Dir=V")</f>
        <v>0</v>
      </c>
      <c r="Q2">
        <f>BDH("APD US Equity","BS_SHAREHOLDER_EQY_ENDING_PERIOD","1993-06-18","2026-05-02","Per=Y","Days=T","Dir=V")</f>
        <v>0</v>
      </c>
      <c r="S2">
        <f>BDH("APD US Equity","BS_ACCT_NOTE_RCV","1993-06-18","2026-05-02","Per=Y","Days=T","Dir=V")</f>
        <v>0</v>
      </c>
      <c r="U2">
        <f>BDH("APD US Equity","BS_INVENTORIES","1993-06-18","2026-05-02","Per=Y","Days=T","Dir=V")</f>
        <v>0</v>
      </c>
      <c r="W2">
        <f>BDH("APD US Equity","WORKING_CAPITAL","1993-06-18","2026-05-02","Per=Y","Days=T","Dir=V")</f>
        <v>0</v>
      </c>
      <c r="Y2">
        <f>BDH("APD US Equity","SALES_REV_TURN","1993-06-18","2026-05-02","Per=Y","Days=T","Dir=V")</f>
        <v>0</v>
      </c>
      <c r="AA2">
        <f>BDH("APD US Equity","EBIT","1993-06-18","2026-05-02","Per=Y","Days=T","Dir=V")</f>
        <v>0</v>
      </c>
      <c r="AC2">
        <f>BDH("APD US Equity","EBITDA","1993-06-18","2026-05-02","Per=Y","Days=T","Dir=V")</f>
        <v>0</v>
      </c>
      <c r="AE2">
        <f>BDH("APD US Equity","NET_INCOME","1993-06-18","2026-05-02","Per=Y","Days=T","Dir=V")</f>
        <v>0</v>
      </c>
      <c r="AG2">
        <f>BDH("APD US Equity","IS_INT_EXPENSE","1993-06-18","2026-05-02","Per=Y","Days=T","Dir=V")</f>
        <v>0</v>
      </c>
      <c r="AI2">
        <f>BDH("APD US Equity","IS_DEPR_EXP","1993-06-18","2026-05-02","Per=Y","Days=T","Dir=V")</f>
        <v>0</v>
      </c>
      <c r="AK2">
        <f>BDH("APD US Equity","CF_CASH_FROM_OPER","1993-06-18","2026-05-02","Per=Y","Days=T","Dir=V")</f>
        <v>0</v>
      </c>
      <c r="AM2">
        <f>BDH("APD US Equity","CAPITAL_EXPEND","1993-06-18","2026-05-02","Per=Y","Days=T","Dir=V")</f>
        <v>0</v>
      </c>
      <c r="AO2">
        <f>BDH("APD US Equity","CF_FREE_CASH_FLOW","1993-06-18","2026-05-02","Per=Y","Days=T","Dir=V")</f>
        <v>0</v>
      </c>
      <c r="AQ2">
        <f>BDH("APD US Equity","PX_LAST","1993-06-18","2026-05-02","Per=M","Days=T","Dir=V")</f>
        <v>0</v>
      </c>
      <c r="AS2">
        <f>BDH("APD US Equity","CUR_MKT_CAP","1993-06-18","2026-05-02","Per=M","Days=T","Dir=V")</f>
        <v>0</v>
      </c>
      <c r="AU2">
        <f>BDH("APD US Equity","EQY_SH_OUT","1993-06-18","2026-05-02","Per=M","Days=T","Dir=V")</f>
        <v>0</v>
      </c>
      <c r="AW2">
        <f>BDH("APD US Equity","PX_VOLUME","1993-06-18","2026-05-02","Per=M","Days=T","Dir=V")</f>
        <v>0</v>
      </c>
      <c r="AY2">
        <f>BDH("APD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BDH("APG US Equity","BS_TOT_ASSET","1993-06-18","2026-05-02","Per=Y","Days=T","Dir=V")</f>
        <v>0</v>
      </c>
      <c r="C2">
        <f>BDH("APG US Equity","BS_TOT_LIAB2","1993-06-18","2026-05-02","Per=Y","Days=T","Dir=V")</f>
        <v>0</v>
      </c>
      <c r="E2">
        <f>BDH("APG US Equity","SHORT_AND_LONG_TERM_DEBT","1993-06-18","2026-05-02","Per=Y","Days=T","Dir=V")</f>
        <v>0</v>
      </c>
      <c r="G2">
        <f>BDH("APG US Equity","BS_ST_BORROW","1993-06-18","2026-05-02","Per=Y","Days=T","Dir=V")</f>
        <v>0</v>
      </c>
      <c r="I2">
        <f>BDH("APG US Equity","BS_LT_BORROW","1993-06-18","2026-05-02","Per=Y","Days=T","Dir=V")</f>
        <v>0</v>
      </c>
      <c r="K2">
        <f>BDH("APG US Equity","BS_CASH_NEAR_CASH_ITEM","1993-06-18","2026-05-02","Per=Y","Days=T","Dir=V")</f>
        <v>0</v>
      </c>
      <c r="M2">
        <f>BDH("APG US Equity","BS_CUR_ASSET_REPORT","1993-06-18","2026-05-02","Per=Y","Days=T","Dir=V")</f>
        <v>0</v>
      </c>
      <c r="O2">
        <f>BDH("APG US Equity","BS_CUR_LIAB","1993-06-18","2026-05-02","Per=Y","Days=T","Dir=V")</f>
        <v>0</v>
      </c>
      <c r="Q2">
        <f>BDH("APG US Equity","BS_SHAREHOLDER_EQY_ENDING_PERIOD","1993-06-18","2026-05-02","Per=Y","Days=T","Dir=V")</f>
        <v>0</v>
      </c>
      <c r="S2">
        <f>BDH("APG US Equity","BS_ACCT_NOTE_RCV","1993-06-18","2026-05-02","Per=Y","Days=T","Dir=V")</f>
        <v>0</v>
      </c>
      <c r="U2">
        <f>BDH("APG US Equity","BS_INVENTORIES","1993-06-18","2026-05-02","Per=Y","Days=T","Dir=V")</f>
        <v>0</v>
      </c>
      <c r="W2">
        <f>BDH("APG US Equity","WORKING_CAPITAL","1993-06-18","2026-05-02","Per=Y","Days=T","Dir=V")</f>
        <v>0</v>
      </c>
      <c r="Y2">
        <f>BDH("APG US Equity","SALES_REV_TURN","1993-06-18","2026-05-02","Per=Y","Days=T","Dir=V")</f>
        <v>0</v>
      </c>
      <c r="AA2">
        <f>BDH("APG US Equity","EBIT","1993-06-18","2026-05-02","Per=Y","Days=T","Dir=V")</f>
        <v>0</v>
      </c>
      <c r="AC2">
        <f>BDH("APG US Equity","EBITDA","1993-06-18","2026-05-02","Per=Y","Days=T","Dir=V")</f>
        <v>0</v>
      </c>
      <c r="AE2">
        <f>BDH("APG US Equity","NET_INCOME","1993-06-18","2026-05-02","Per=Y","Days=T","Dir=V")</f>
        <v>0</v>
      </c>
      <c r="AG2">
        <f>BDH("APG US Equity","IS_INT_EXPENSE","1993-06-18","2026-05-02","Per=Y","Days=T","Dir=V")</f>
        <v>0</v>
      </c>
      <c r="AI2">
        <f>BDH("APG US Equity","IS_DEPR_EXP","1993-06-18","2026-05-02","Per=Y","Days=T","Dir=V")</f>
        <v>0</v>
      </c>
      <c r="AK2">
        <f>BDH("APG US Equity","CF_CASH_FROM_OPER","1993-06-18","2026-05-02","Per=Y","Days=T","Dir=V")</f>
        <v>0</v>
      </c>
      <c r="AM2">
        <f>BDH("APG US Equity","CAPITAL_EXPEND","1993-06-18","2026-05-02","Per=Y","Days=T","Dir=V")</f>
        <v>0</v>
      </c>
      <c r="AO2">
        <f>BDH("APG US Equity","CF_FREE_CASH_FLOW","1993-06-18","2026-05-02","Per=Y","Days=T","Dir=V")</f>
        <v>0</v>
      </c>
      <c r="AQ2">
        <f>BDH("APG US Equity","PX_LAST","1993-06-18","2026-05-02","Per=M","Days=T","Dir=V")</f>
        <v>0</v>
      </c>
      <c r="AS2">
        <f>BDH("APG US Equity","CUR_MKT_CAP","1993-06-18","2026-05-02","Per=M","Days=T","Dir=V")</f>
        <v>0</v>
      </c>
      <c r="AU2">
        <f>BDH("APG US Equity","EQY_SH_OUT","1993-06-18","2026-05-02","Per=M","Days=T","Dir=V")</f>
        <v>0</v>
      </c>
      <c r="AW2">
        <f>BDH("APG US Equity","PX_VOLUME","1993-06-18","2026-05-02","Per=M","Days=T","Dir=V")</f>
        <v>0</v>
      </c>
      <c r="AY2">
        <f>BDH("APG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BDH("APH US Equity","BS_TOT_ASSET","1993-06-18","2026-05-02","Per=Y","Days=T","Dir=V")</f>
        <v>0</v>
      </c>
      <c r="C2">
        <f>BDH("APH US Equity","BS_TOT_LIAB2","1993-06-18","2026-05-02","Per=Y","Days=T","Dir=V")</f>
        <v>0</v>
      </c>
      <c r="E2">
        <f>BDH("APH US Equity","SHORT_AND_LONG_TERM_DEBT","1993-06-18","2026-05-02","Per=Y","Days=T","Dir=V")</f>
        <v>0</v>
      </c>
      <c r="G2">
        <f>BDH("APH US Equity","BS_ST_BORROW","1993-06-18","2026-05-02","Per=Y","Days=T","Dir=V")</f>
        <v>0</v>
      </c>
      <c r="I2">
        <f>BDH("APH US Equity","BS_LT_BORROW","1993-06-18","2026-05-02","Per=Y","Days=T","Dir=V")</f>
        <v>0</v>
      </c>
      <c r="K2">
        <f>BDH("APH US Equity","BS_CASH_NEAR_CASH_ITEM","1993-06-18","2026-05-02","Per=Y","Days=T","Dir=V")</f>
        <v>0</v>
      </c>
      <c r="M2">
        <f>BDH("APH US Equity","BS_CUR_ASSET_REPORT","1993-06-18","2026-05-02","Per=Y","Days=T","Dir=V")</f>
        <v>0</v>
      </c>
      <c r="O2">
        <f>BDH("APH US Equity","BS_CUR_LIAB","1993-06-18","2026-05-02","Per=Y","Days=T","Dir=V")</f>
        <v>0</v>
      </c>
      <c r="Q2">
        <f>BDH("APH US Equity","BS_SHAREHOLDER_EQY_ENDING_PERIOD","1993-06-18","2026-05-02","Per=Y","Days=T","Dir=V")</f>
        <v>0</v>
      </c>
      <c r="S2">
        <f>BDH("APH US Equity","BS_ACCT_NOTE_RCV","1993-06-18","2026-05-02","Per=Y","Days=T","Dir=V")</f>
        <v>0</v>
      </c>
      <c r="U2">
        <f>BDH("APH US Equity","BS_INVENTORIES","1993-06-18","2026-05-02","Per=Y","Days=T","Dir=V")</f>
        <v>0</v>
      </c>
      <c r="W2">
        <f>BDH("APH US Equity","WORKING_CAPITAL","1993-06-18","2026-05-02","Per=Y","Days=T","Dir=V")</f>
        <v>0</v>
      </c>
      <c r="Y2">
        <f>BDH("APH US Equity","SALES_REV_TURN","1993-06-18","2026-05-02","Per=Y","Days=T","Dir=V")</f>
        <v>0</v>
      </c>
      <c r="AA2">
        <f>BDH("APH US Equity","EBIT","1993-06-18","2026-05-02","Per=Y","Days=T","Dir=V")</f>
        <v>0</v>
      </c>
      <c r="AC2">
        <f>BDH("APH US Equity","EBITDA","1993-06-18","2026-05-02","Per=Y","Days=T","Dir=V")</f>
        <v>0</v>
      </c>
      <c r="AE2">
        <f>BDH("APH US Equity","NET_INCOME","1993-06-18","2026-05-02","Per=Y","Days=T","Dir=V")</f>
        <v>0</v>
      </c>
      <c r="AG2">
        <f>BDH("APH US Equity","IS_INT_EXPENSE","1993-06-18","2026-05-02","Per=Y","Days=T","Dir=V")</f>
        <v>0</v>
      </c>
      <c r="AI2">
        <f>BDH("APH US Equity","IS_DEPR_EXP","1993-06-18","2026-05-02","Per=Y","Days=T","Dir=V")</f>
        <v>0</v>
      </c>
      <c r="AK2">
        <f>BDH("APH US Equity","CF_CASH_FROM_OPER","1993-06-18","2026-05-02","Per=Y","Days=T","Dir=V")</f>
        <v>0</v>
      </c>
      <c r="AM2">
        <f>BDH("APH US Equity","CAPITAL_EXPEND","1993-06-18","2026-05-02","Per=Y","Days=T","Dir=V")</f>
        <v>0</v>
      </c>
      <c r="AO2">
        <f>BDH("APH US Equity","CF_FREE_CASH_FLOW","1993-06-18","2026-05-02","Per=Y","Days=T","Dir=V")</f>
        <v>0</v>
      </c>
      <c r="AQ2">
        <f>BDH("APH US Equity","PX_LAST","1993-06-18","2026-05-02","Per=M","Days=T","Dir=V")</f>
        <v>0</v>
      </c>
      <c r="AS2">
        <f>BDH("APH US Equity","CUR_MKT_CAP","1993-06-18","2026-05-02","Per=M","Days=T","Dir=V")</f>
        <v>0</v>
      </c>
      <c r="AU2">
        <f>BDH("APH US Equity","EQY_SH_OUT","1993-06-18","2026-05-02","Per=M","Days=T","Dir=V")</f>
        <v>0</v>
      </c>
      <c r="AW2">
        <f>BDH("APH US Equity","PX_VOLUME","1993-06-18","2026-05-02","Per=M","Days=T","Dir=V")</f>
        <v>0</v>
      </c>
      <c r="AY2">
        <f>BDH("APH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BDH("APLD US Equity","BS_TOT_ASSET","1993-06-18","2026-05-02","Per=Y","Days=T","Dir=V")</f>
        <v>0</v>
      </c>
      <c r="C2">
        <f>BDH("APLD US Equity","BS_TOT_LIAB2","1993-06-18","2026-05-02","Per=Y","Days=T","Dir=V")</f>
        <v>0</v>
      </c>
      <c r="E2">
        <f>BDH("APLD US Equity","SHORT_AND_LONG_TERM_DEBT","1993-06-18","2026-05-02","Per=Y","Days=T","Dir=V")</f>
        <v>0</v>
      </c>
      <c r="G2">
        <f>BDH("APLD US Equity","BS_ST_BORROW","1993-06-18","2026-05-02","Per=Y","Days=T","Dir=V")</f>
        <v>0</v>
      </c>
      <c r="I2">
        <f>BDH("APLD US Equity","BS_LT_BORROW","1993-06-18","2026-05-02","Per=Y","Days=T","Dir=V")</f>
        <v>0</v>
      </c>
      <c r="K2">
        <f>BDH("APLD US Equity","BS_CASH_NEAR_CASH_ITEM","1993-06-18","2026-05-02","Per=Y","Days=T","Dir=V")</f>
        <v>0</v>
      </c>
      <c r="M2">
        <f>BDH("APLD US Equity","BS_CUR_ASSET_REPORT","1993-06-18","2026-05-02","Per=Y","Days=T","Dir=V")</f>
        <v>0</v>
      </c>
      <c r="O2">
        <f>BDH("APLD US Equity","BS_CUR_LIAB","1993-06-18","2026-05-02","Per=Y","Days=T","Dir=V")</f>
        <v>0</v>
      </c>
      <c r="Q2">
        <f>BDH("APLD US Equity","BS_SHAREHOLDER_EQY_ENDING_PERIOD","1993-06-18","2026-05-02","Per=Y","Days=T","Dir=V")</f>
        <v>0</v>
      </c>
      <c r="S2">
        <f>BDH("APLD US Equity","BS_ACCT_NOTE_RCV","1993-06-18","2026-05-02","Per=Y","Days=T","Dir=V")</f>
        <v>0</v>
      </c>
      <c r="U2">
        <f>BDH("APLD US Equity","BS_INVENTORIES","1993-06-18","2026-05-02","Per=Y","Days=T","Dir=V")</f>
        <v>0</v>
      </c>
      <c r="W2">
        <f>BDH("APLD US Equity","WORKING_CAPITAL","1993-06-18","2026-05-02","Per=Y","Days=T","Dir=V")</f>
        <v>0</v>
      </c>
      <c r="Y2">
        <f>BDH("APLD US Equity","SALES_REV_TURN","1993-06-18","2026-05-02","Per=Y","Days=T","Dir=V")</f>
        <v>0</v>
      </c>
      <c r="AA2">
        <f>BDH("APLD US Equity","EBIT","1993-06-18","2026-05-02","Per=Y","Days=T","Dir=V")</f>
        <v>0</v>
      </c>
      <c r="AC2">
        <f>BDH("APLD US Equity","EBITDA","1993-06-18","2026-05-02","Per=Y","Days=T","Dir=V")</f>
        <v>0</v>
      </c>
      <c r="AE2">
        <f>BDH("APLD US Equity","NET_INCOME","1993-06-18","2026-05-02","Per=Y","Days=T","Dir=V")</f>
        <v>0</v>
      </c>
      <c r="AG2">
        <f>BDH("APLD US Equity","IS_INT_EXPENSE","1993-06-18","2026-05-02","Per=Y","Days=T","Dir=V")</f>
        <v>0</v>
      </c>
      <c r="AI2">
        <f>BDH("APLD US Equity","IS_DEPR_EXP","1993-06-18","2026-05-02","Per=Y","Days=T","Dir=V")</f>
        <v>0</v>
      </c>
      <c r="AK2">
        <f>BDH("APLD US Equity","CF_CASH_FROM_OPER","1993-06-18","2026-05-02","Per=Y","Days=T","Dir=V")</f>
        <v>0</v>
      </c>
      <c r="AM2">
        <f>BDH("APLD US Equity","CAPITAL_EXPEND","1993-06-18","2026-05-02","Per=Y","Days=T","Dir=V")</f>
        <v>0</v>
      </c>
      <c r="AO2">
        <f>BDH("APLD US Equity","CF_FREE_CASH_FLOW","1993-06-18","2026-05-02","Per=Y","Days=T","Dir=V")</f>
        <v>0</v>
      </c>
      <c r="AQ2">
        <f>BDH("APLD US Equity","PX_LAST","1993-06-18","2026-05-02","Per=M","Days=T","Dir=V")</f>
        <v>0</v>
      </c>
      <c r="AS2">
        <f>BDH("APLD US Equity","CUR_MKT_CAP","1993-06-18","2026-05-02","Per=M","Days=T","Dir=V")</f>
        <v>0</v>
      </c>
      <c r="AU2">
        <f>BDH("APLD US Equity","EQY_SH_OUT","1993-06-18","2026-05-02","Per=M","Days=T","Dir=V")</f>
        <v>0</v>
      </c>
      <c r="AW2">
        <f>BDH("APLD US Equity","PX_VOLUME","1993-06-18","2026-05-02","Per=M","Days=T","Dir=V")</f>
        <v>0</v>
      </c>
      <c r="AY2">
        <f>BDH("APLD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BDH("APLM US Equity","BS_TOT_ASSET","1993-06-18","2026-05-02","Per=Y","Days=T","Dir=V")</f>
        <v>0</v>
      </c>
      <c r="C2">
        <f>BDH("APLM US Equity","BS_TOT_LIAB2","1993-06-18","2026-05-02","Per=Y","Days=T","Dir=V")</f>
        <v>0</v>
      </c>
      <c r="E2">
        <f>BDH("APLM US Equity","SHORT_AND_LONG_TERM_DEBT","1993-06-18","2026-05-02","Per=Y","Days=T","Dir=V")</f>
        <v>0</v>
      </c>
      <c r="G2">
        <f>BDH("APLM US Equity","BS_ST_BORROW","1993-06-18","2026-05-02","Per=Y","Days=T","Dir=V")</f>
        <v>0</v>
      </c>
      <c r="I2">
        <f>BDH("APLM US Equity","BS_LT_BORROW","1993-06-18","2026-05-02","Per=Y","Days=T","Dir=V")</f>
        <v>0</v>
      </c>
      <c r="K2">
        <f>BDH("APLM US Equity","BS_CASH_NEAR_CASH_ITEM","1993-06-18","2026-05-02","Per=Y","Days=T","Dir=V")</f>
        <v>0</v>
      </c>
      <c r="M2">
        <f>BDH("APLM US Equity","BS_CUR_ASSET_REPORT","1993-06-18","2026-05-02","Per=Y","Days=T","Dir=V")</f>
        <v>0</v>
      </c>
      <c r="O2">
        <f>BDH("APLM US Equity","BS_CUR_LIAB","1993-06-18","2026-05-02","Per=Y","Days=T","Dir=V")</f>
        <v>0</v>
      </c>
      <c r="Q2">
        <f>BDH("APLM US Equity","BS_SHAREHOLDER_EQY_ENDING_PERIOD","1993-06-18","2026-05-02","Per=Y","Days=T","Dir=V")</f>
        <v>0</v>
      </c>
      <c r="S2">
        <f>BDH("APLM US Equity","BS_ACCT_NOTE_RCV","1993-06-18","2026-05-02","Per=Y","Days=T","Dir=V")</f>
        <v>0</v>
      </c>
      <c r="U2">
        <f>BDH("APLM US Equity","BS_INVENTORIES","1993-06-18","2026-05-02","Per=Y","Days=T","Dir=V")</f>
        <v>0</v>
      </c>
      <c r="W2">
        <f>BDH("APLM US Equity","WORKING_CAPITAL","1993-06-18","2026-05-02","Per=Y","Days=T","Dir=V")</f>
        <v>0</v>
      </c>
      <c r="Y2">
        <f>BDH("APLM US Equity","SALES_REV_TURN","1993-06-18","2026-05-02","Per=Y","Days=T","Dir=V")</f>
        <v>0</v>
      </c>
      <c r="AA2">
        <f>BDH("APLM US Equity","EBIT","1993-06-18","2026-05-02","Per=Y","Days=T","Dir=V")</f>
        <v>0</v>
      </c>
      <c r="AC2">
        <f>BDH("APLM US Equity","EBITDA","1993-06-18","2026-05-02","Per=Y","Days=T","Dir=V")</f>
        <v>0</v>
      </c>
      <c r="AE2">
        <f>BDH("APLM US Equity","NET_INCOME","1993-06-18","2026-05-02","Per=Y","Days=T","Dir=V")</f>
        <v>0</v>
      </c>
      <c r="AG2">
        <f>BDH("APLM US Equity","IS_INT_EXPENSE","1993-06-18","2026-05-02","Per=Y","Days=T","Dir=V")</f>
        <v>0</v>
      </c>
      <c r="AI2">
        <f>BDH("APLM US Equity","IS_DEPR_EXP","1993-06-18","2026-05-02","Per=Y","Days=T","Dir=V")</f>
        <v>0</v>
      </c>
      <c r="AK2">
        <f>BDH("APLM US Equity","CF_CASH_FROM_OPER","1993-06-18","2026-05-02","Per=Y","Days=T","Dir=V")</f>
        <v>0</v>
      </c>
      <c r="AM2">
        <f>BDH("APLM US Equity","CAPITAL_EXPEND","1993-06-18","2026-05-02","Per=Y","Days=T","Dir=V")</f>
        <v>0</v>
      </c>
      <c r="AO2">
        <f>BDH("APLM US Equity","CF_FREE_CASH_FLOW","1993-06-18","2026-05-02","Per=Y","Days=T","Dir=V")</f>
        <v>0</v>
      </c>
      <c r="AQ2">
        <f>BDH("APLM US Equity","PX_LAST","1993-06-18","2026-05-02","Per=M","Days=T","Dir=V")</f>
        <v>0</v>
      </c>
      <c r="AS2">
        <f>BDH("APLM US Equity","CUR_MKT_CAP","1993-06-18","2026-05-02","Per=M","Days=T","Dir=V")</f>
        <v>0</v>
      </c>
      <c r="AU2">
        <f>BDH("APLM US Equity","EQY_SH_OUT","1993-06-18","2026-05-02","Per=M","Days=T","Dir=V")</f>
        <v>0</v>
      </c>
      <c r="AW2">
        <f>BDH("APLM US Equity","PX_VOLUME","1993-06-18","2026-05-02","Per=M","Days=T","Dir=V")</f>
        <v>0</v>
      </c>
      <c r="AY2">
        <f>BDH("APLM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BDH("APMD US Equity","BS_TOT_ASSET","1993-06-18","2026-05-02","Per=Y","Days=T","Dir=V")</f>
        <v>0</v>
      </c>
      <c r="C2">
        <f>BDH("APMD US Equity","BS_TOT_LIAB2","1993-06-18","2026-05-02","Per=Y","Days=T","Dir=V")</f>
        <v>0</v>
      </c>
      <c r="E2">
        <f>BDH("APMD US Equity","SHORT_AND_LONG_TERM_DEBT","1993-06-18","2026-05-02","Per=Y","Days=T","Dir=V")</f>
        <v>0</v>
      </c>
      <c r="G2">
        <f>BDH("APMD US Equity","BS_ST_BORROW","1993-06-18","2026-05-02","Per=Y","Days=T","Dir=V")</f>
        <v>0</v>
      </c>
      <c r="I2">
        <f>BDH("APMD US Equity","BS_LT_BORROW","1993-06-18","2026-05-02","Per=Y","Days=T","Dir=V")</f>
        <v>0</v>
      </c>
      <c r="K2">
        <f>BDH("APMD US Equity","BS_CASH_NEAR_CASH_ITEM","1993-06-18","2026-05-02","Per=Y","Days=T","Dir=V")</f>
        <v>0</v>
      </c>
      <c r="M2">
        <f>BDH("APMD US Equity","BS_CUR_ASSET_REPORT","1993-06-18","2026-05-02","Per=Y","Days=T","Dir=V")</f>
        <v>0</v>
      </c>
      <c r="O2">
        <f>BDH("APMD US Equity","BS_CUR_LIAB","1993-06-18","2026-05-02","Per=Y","Days=T","Dir=V")</f>
        <v>0</v>
      </c>
      <c r="Q2">
        <f>BDH("APMD US Equity","BS_SHAREHOLDER_EQY_ENDING_PERIOD","1993-06-18","2026-05-02","Per=Y","Days=T","Dir=V")</f>
        <v>0</v>
      </c>
      <c r="S2">
        <f>BDH("APMD US Equity","BS_ACCT_NOTE_RCV","1993-06-18","2026-05-02","Per=Y","Days=T","Dir=V")</f>
        <v>0</v>
      </c>
      <c r="U2">
        <f>BDH("APMD US Equity","BS_INVENTORIES","1993-06-18","2026-05-02","Per=Y","Days=T","Dir=V")</f>
        <v>0</v>
      </c>
      <c r="W2">
        <f>BDH("APMD US Equity","WORKING_CAPITAL","1993-06-18","2026-05-02","Per=Y","Days=T","Dir=V")</f>
        <v>0</v>
      </c>
      <c r="Y2">
        <f>BDH("APMD US Equity","SALES_REV_TURN","1993-06-18","2026-05-02","Per=Y","Days=T","Dir=V")</f>
        <v>0</v>
      </c>
      <c r="AA2">
        <f>BDH("APMD US Equity","EBIT","1993-06-18","2026-05-02","Per=Y","Days=T","Dir=V")</f>
        <v>0</v>
      </c>
      <c r="AC2">
        <f>BDH("APMD US Equity","EBITDA","1993-06-18","2026-05-02","Per=Y","Days=T","Dir=V")</f>
        <v>0</v>
      </c>
      <c r="AE2">
        <f>BDH("APMD US Equity","NET_INCOME","1993-06-18","2026-05-02","Per=Y","Days=T","Dir=V")</f>
        <v>0</v>
      </c>
      <c r="AG2">
        <f>BDH("APMD US Equity","IS_INT_EXPENSE","1993-06-18","2026-05-02","Per=Y","Days=T","Dir=V")</f>
        <v>0</v>
      </c>
      <c r="AI2">
        <f>BDH("APMD US Equity","IS_DEPR_EXP","1993-06-18","2026-05-02","Per=Y","Days=T","Dir=V")</f>
        <v>0</v>
      </c>
      <c r="AK2">
        <f>BDH("APMD US Equity","CF_CASH_FROM_OPER","1993-06-18","2026-05-02","Per=Y","Days=T","Dir=V")</f>
        <v>0</v>
      </c>
      <c r="AM2">
        <f>BDH("APMD US Equity","CAPITAL_EXPEND","1993-06-18","2026-05-02","Per=Y","Days=T","Dir=V")</f>
        <v>0</v>
      </c>
      <c r="AO2">
        <f>BDH("APMD US Equity","CF_FREE_CASH_FLOW","1993-06-18","2026-05-02","Per=Y","Days=T","Dir=V")</f>
        <v>0</v>
      </c>
      <c r="AQ2">
        <f>BDH("APMD US Equity","PX_LAST","1993-06-18","2026-05-02","Per=M","Days=T","Dir=V")</f>
        <v>0</v>
      </c>
      <c r="AS2">
        <f>BDH("APMD US Equity","CUR_MKT_CAP","1993-06-18","2026-05-02","Per=M","Days=T","Dir=V")</f>
        <v>0</v>
      </c>
      <c r="AU2">
        <f>BDH("APMD US Equity","EQY_SH_OUT","1993-06-18","2026-05-02","Per=M","Days=T","Dir=V")</f>
        <v>0</v>
      </c>
      <c r="AW2">
        <f>BDH("APMD US Equity","PX_VOLUME","1993-06-18","2026-05-02","Per=M","Days=T","Dir=V")</f>
        <v>0</v>
      </c>
      <c r="AY2">
        <f>BDH("APMD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BDH("APOG US Equity","BS_TOT_ASSET","1993-06-18","2026-05-02","Per=Y","Days=T","Dir=V")</f>
        <v>0</v>
      </c>
      <c r="C2">
        <f>BDH("APOG US Equity","BS_TOT_LIAB2","1993-06-18","2026-05-02","Per=Y","Days=T","Dir=V")</f>
        <v>0</v>
      </c>
      <c r="E2">
        <f>BDH("APOG US Equity","SHORT_AND_LONG_TERM_DEBT","1993-06-18","2026-05-02","Per=Y","Days=T","Dir=V")</f>
        <v>0</v>
      </c>
      <c r="G2">
        <f>BDH("APOG US Equity","BS_ST_BORROW","1993-06-18","2026-05-02","Per=Y","Days=T","Dir=V")</f>
        <v>0</v>
      </c>
      <c r="I2">
        <f>BDH("APOG US Equity","BS_LT_BORROW","1993-06-18","2026-05-02","Per=Y","Days=T","Dir=V")</f>
        <v>0</v>
      </c>
      <c r="K2">
        <f>BDH("APOG US Equity","BS_CASH_NEAR_CASH_ITEM","1993-06-18","2026-05-02","Per=Y","Days=T","Dir=V")</f>
        <v>0</v>
      </c>
      <c r="M2">
        <f>BDH("APOG US Equity","BS_CUR_ASSET_REPORT","1993-06-18","2026-05-02","Per=Y","Days=T","Dir=V")</f>
        <v>0</v>
      </c>
      <c r="O2">
        <f>BDH("APOG US Equity","BS_CUR_LIAB","1993-06-18","2026-05-02","Per=Y","Days=T","Dir=V")</f>
        <v>0</v>
      </c>
      <c r="Q2">
        <f>BDH("APOG US Equity","BS_SHAREHOLDER_EQY_ENDING_PERIOD","1993-06-18","2026-05-02","Per=Y","Days=T","Dir=V")</f>
        <v>0</v>
      </c>
      <c r="S2">
        <f>BDH("APOG US Equity","BS_ACCT_NOTE_RCV","1993-06-18","2026-05-02","Per=Y","Days=T","Dir=V")</f>
        <v>0</v>
      </c>
      <c r="U2">
        <f>BDH("APOG US Equity","BS_INVENTORIES","1993-06-18","2026-05-02","Per=Y","Days=T","Dir=V")</f>
        <v>0</v>
      </c>
      <c r="W2">
        <f>BDH("APOG US Equity","WORKING_CAPITAL","1993-06-18","2026-05-02","Per=Y","Days=T","Dir=V")</f>
        <v>0</v>
      </c>
      <c r="Y2">
        <f>BDH("APOG US Equity","SALES_REV_TURN","1993-06-18","2026-05-02","Per=Y","Days=T","Dir=V")</f>
        <v>0</v>
      </c>
      <c r="AA2">
        <f>BDH("APOG US Equity","EBIT","1993-06-18","2026-05-02","Per=Y","Days=T","Dir=V")</f>
        <v>0</v>
      </c>
      <c r="AC2">
        <f>BDH("APOG US Equity","EBITDA","1993-06-18","2026-05-02","Per=Y","Days=T","Dir=V")</f>
        <v>0</v>
      </c>
      <c r="AE2">
        <f>BDH("APOG US Equity","NET_INCOME","1993-06-18","2026-05-02","Per=Y","Days=T","Dir=V")</f>
        <v>0</v>
      </c>
      <c r="AG2">
        <f>BDH("APOG US Equity","IS_INT_EXPENSE","1993-06-18","2026-05-02","Per=Y","Days=T","Dir=V")</f>
        <v>0</v>
      </c>
      <c r="AI2">
        <f>BDH("APOG US Equity","IS_DEPR_EXP","1993-06-18","2026-05-02","Per=Y","Days=T","Dir=V")</f>
        <v>0</v>
      </c>
      <c r="AK2">
        <f>BDH("APOG US Equity","CF_CASH_FROM_OPER","1993-06-18","2026-05-02","Per=Y","Days=T","Dir=V")</f>
        <v>0</v>
      </c>
      <c r="AM2">
        <f>BDH("APOG US Equity","CAPITAL_EXPEND","1993-06-18","2026-05-02","Per=Y","Days=T","Dir=V")</f>
        <v>0</v>
      </c>
      <c r="AO2">
        <f>BDH("APOG US Equity","CF_FREE_CASH_FLOW","1993-06-18","2026-05-02","Per=Y","Days=T","Dir=V")</f>
        <v>0</v>
      </c>
      <c r="AQ2">
        <f>BDH("APOG US Equity","PX_LAST","1993-06-18","2026-05-02","Per=M","Days=T","Dir=V")</f>
        <v>0</v>
      </c>
      <c r="AS2">
        <f>BDH("APOG US Equity","CUR_MKT_CAP","1993-06-18","2026-05-02","Per=M","Days=T","Dir=V")</f>
        <v>0</v>
      </c>
      <c r="AU2">
        <f>BDH("APOG US Equity","EQY_SH_OUT","1993-06-18","2026-05-02","Per=M","Days=T","Dir=V")</f>
        <v>0</v>
      </c>
      <c r="AW2">
        <f>BDH("APOG US Equity","PX_VOLUME","1993-06-18","2026-05-02","Per=M","Days=T","Dir=V")</f>
        <v>0</v>
      </c>
      <c r="AY2">
        <f>BDH("APOG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BDH("APP US Equity","BS_TOT_ASSET","1993-06-18","2026-05-02","Per=Y","Days=T","Dir=V")</f>
        <v>0</v>
      </c>
      <c r="C2">
        <f>BDH("APP US Equity","BS_TOT_LIAB2","1993-06-18","2026-05-02","Per=Y","Days=T","Dir=V")</f>
        <v>0</v>
      </c>
      <c r="E2">
        <f>BDH("APP US Equity","SHORT_AND_LONG_TERM_DEBT","1993-06-18","2026-05-02","Per=Y","Days=T","Dir=V")</f>
        <v>0</v>
      </c>
      <c r="G2">
        <f>BDH("APP US Equity","BS_ST_BORROW","1993-06-18","2026-05-02","Per=Y","Days=T","Dir=V")</f>
        <v>0</v>
      </c>
      <c r="I2">
        <f>BDH("APP US Equity","BS_LT_BORROW","1993-06-18","2026-05-02","Per=Y","Days=T","Dir=V")</f>
        <v>0</v>
      </c>
      <c r="K2">
        <f>BDH("APP US Equity","BS_CASH_NEAR_CASH_ITEM","1993-06-18","2026-05-02","Per=Y","Days=T","Dir=V")</f>
        <v>0</v>
      </c>
      <c r="M2">
        <f>BDH("APP US Equity","BS_CUR_ASSET_REPORT","1993-06-18","2026-05-02","Per=Y","Days=T","Dir=V")</f>
        <v>0</v>
      </c>
      <c r="O2">
        <f>BDH("APP US Equity","BS_CUR_LIAB","1993-06-18","2026-05-02","Per=Y","Days=T","Dir=V")</f>
        <v>0</v>
      </c>
      <c r="Q2">
        <f>BDH("APP US Equity","BS_SHAREHOLDER_EQY_ENDING_PERIOD","1993-06-18","2026-05-02","Per=Y","Days=T","Dir=V")</f>
        <v>0</v>
      </c>
      <c r="S2">
        <f>BDH("APP US Equity","BS_ACCT_NOTE_RCV","1993-06-18","2026-05-02","Per=Y","Days=T","Dir=V")</f>
        <v>0</v>
      </c>
      <c r="U2">
        <f>BDH("APP US Equity","BS_INVENTORIES","1993-06-18","2026-05-02","Per=Y","Days=T","Dir=V")</f>
        <v>0</v>
      </c>
      <c r="W2">
        <f>BDH("APP US Equity","WORKING_CAPITAL","1993-06-18","2026-05-02","Per=Y","Days=T","Dir=V")</f>
        <v>0</v>
      </c>
      <c r="Y2">
        <f>BDH("APP US Equity","SALES_REV_TURN","1993-06-18","2026-05-02","Per=Y","Days=T","Dir=V")</f>
        <v>0</v>
      </c>
      <c r="AA2">
        <f>BDH("APP US Equity","EBIT","1993-06-18","2026-05-02","Per=Y","Days=T","Dir=V")</f>
        <v>0</v>
      </c>
      <c r="AC2">
        <f>BDH("APP US Equity","EBITDA","1993-06-18","2026-05-02","Per=Y","Days=T","Dir=V")</f>
        <v>0</v>
      </c>
      <c r="AE2">
        <f>BDH("APP US Equity","NET_INCOME","1993-06-18","2026-05-02","Per=Y","Days=T","Dir=V")</f>
        <v>0</v>
      </c>
      <c r="AG2">
        <f>BDH("APP US Equity","IS_INT_EXPENSE","1993-06-18","2026-05-02","Per=Y","Days=T","Dir=V")</f>
        <v>0</v>
      </c>
      <c r="AI2">
        <f>BDH("APP US Equity","IS_DEPR_EXP","1993-06-18","2026-05-02","Per=Y","Days=T","Dir=V")</f>
        <v>0</v>
      </c>
      <c r="AK2">
        <f>BDH("APP US Equity","CF_CASH_FROM_OPER","1993-06-18","2026-05-02","Per=Y","Days=T","Dir=V")</f>
        <v>0</v>
      </c>
      <c r="AM2">
        <f>BDH("APP US Equity","CAPITAL_EXPEND","1993-06-18","2026-05-02","Per=Y","Days=T","Dir=V")</f>
        <v>0</v>
      </c>
      <c r="AO2">
        <f>BDH("APP US Equity","CF_FREE_CASH_FLOW","1993-06-18","2026-05-02","Per=Y","Days=T","Dir=V")</f>
        <v>0</v>
      </c>
      <c r="AQ2">
        <f>BDH("APP US Equity","PX_LAST","1993-06-18","2026-05-02","Per=M","Days=T","Dir=V")</f>
        <v>0</v>
      </c>
      <c r="AS2">
        <f>BDH("APP US Equity","CUR_MKT_CAP","1993-06-18","2026-05-02","Per=M","Days=T","Dir=V")</f>
        <v>0</v>
      </c>
      <c r="AU2">
        <f>BDH("APP US Equity","EQY_SH_OUT","1993-06-18","2026-05-02","Per=M","Days=T","Dir=V")</f>
        <v>0</v>
      </c>
      <c r="AW2">
        <f>BDH("APP US Equity","PX_VOLUME","1993-06-18","2026-05-02","Per=M","Days=T","Dir=V")</f>
        <v>0</v>
      </c>
      <c r="AY2">
        <f>BDH("APP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BDH("APPF US Equity","BS_TOT_ASSET","1993-06-18","2026-05-02","Per=Y","Days=T","Dir=V")</f>
        <v>0</v>
      </c>
      <c r="C2">
        <f>BDH("APPF US Equity","BS_TOT_LIAB2","1993-06-18","2026-05-02","Per=Y","Days=T","Dir=V")</f>
        <v>0</v>
      </c>
      <c r="E2">
        <f>BDH("APPF US Equity","SHORT_AND_LONG_TERM_DEBT","1993-06-18","2026-05-02","Per=Y","Days=T","Dir=V")</f>
        <v>0</v>
      </c>
      <c r="G2">
        <f>BDH("APPF US Equity","BS_ST_BORROW","1993-06-18","2026-05-02","Per=Y","Days=T","Dir=V")</f>
        <v>0</v>
      </c>
      <c r="I2">
        <f>BDH("APPF US Equity","BS_LT_BORROW","1993-06-18","2026-05-02","Per=Y","Days=T","Dir=V")</f>
        <v>0</v>
      </c>
      <c r="K2">
        <f>BDH("APPF US Equity","BS_CASH_NEAR_CASH_ITEM","1993-06-18","2026-05-02","Per=Y","Days=T","Dir=V")</f>
        <v>0</v>
      </c>
      <c r="M2">
        <f>BDH("APPF US Equity","BS_CUR_ASSET_REPORT","1993-06-18","2026-05-02","Per=Y","Days=T","Dir=V")</f>
        <v>0</v>
      </c>
      <c r="O2">
        <f>BDH("APPF US Equity","BS_CUR_LIAB","1993-06-18","2026-05-02","Per=Y","Days=T","Dir=V")</f>
        <v>0</v>
      </c>
      <c r="Q2">
        <f>BDH("APPF US Equity","BS_SHAREHOLDER_EQY_ENDING_PERIOD","1993-06-18","2026-05-02","Per=Y","Days=T","Dir=V")</f>
        <v>0</v>
      </c>
      <c r="S2">
        <f>BDH("APPF US Equity","BS_ACCT_NOTE_RCV","1993-06-18","2026-05-02","Per=Y","Days=T","Dir=V")</f>
        <v>0</v>
      </c>
      <c r="U2">
        <f>BDH("APPF US Equity","BS_INVENTORIES","1993-06-18","2026-05-02","Per=Y","Days=T","Dir=V")</f>
        <v>0</v>
      </c>
      <c r="W2">
        <f>BDH("APPF US Equity","WORKING_CAPITAL","1993-06-18","2026-05-02","Per=Y","Days=T","Dir=V")</f>
        <v>0</v>
      </c>
      <c r="Y2">
        <f>BDH("APPF US Equity","SALES_REV_TURN","1993-06-18","2026-05-02","Per=Y","Days=T","Dir=V")</f>
        <v>0</v>
      </c>
      <c r="AA2">
        <f>BDH("APPF US Equity","EBIT","1993-06-18","2026-05-02","Per=Y","Days=T","Dir=V")</f>
        <v>0</v>
      </c>
      <c r="AC2">
        <f>BDH("APPF US Equity","EBITDA","1993-06-18","2026-05-02","Per=Y","Days=T","Dir=V")</f>
        <v>0</v>
      </c>
      <c r="AE2">
        <f>BDH("APPF US Equity","NET_INCOME","1993-06-18","2026-05-02","Per=Y","Days=T","Dir=V")</f>
        <v>0</v>
      </c>
      <c r="AG2">
        <f>BDH("APPF US Equity","IS_INT_EXPENSE","1993-06-18","2026-05-02","Per=Y","Days=T","Dir=V")</f>
        <v>0</v>
      </c>
      <c r="AI2">
        <f>BDH("APPF US Equity","IS_DEPR_EXP","1993-06-18","2026-05-02","Per=Y","Days=T","Dir=V")</f>
        <v>0</v>
      </c>
      <c r="AK2">
        <f>BDH("APPF US Equity","CF_CASH_FROM_OPER","1993-06-18","2026-05-02","Per=Y","Days=T","Dir=V")</f>
        <v>0</v>
      </c>
      <c r="AM2">
        <f>BDH("APPF US Equity","CAPITAL_EXPEND","1993-06-18","2026-05-02","Per=Y","Days=T","Dir=V")</f>
        <v>0</v>
      </c>
      <c r="AO2">
        <f>BDH("APPF US Equity","CF_FREE_CASH_FLOW","1993-06-18","2026-05-02","Per=Y","Days=T","Dir=V")</f>
        <v>0</v>
      </c>
      <c r="AQ2">
        <f>BDH("APPF US Equity","PX_LAST","1993-06-18","2026-05-02","Per=M","Days=T","Dir=V")</f>
        <v>0</v>
      </c>
      <c r="AS2">
        <f>BDH("APPF US Equity","CUR_MKT_CAP","1993-06-18","2026-05-02","Per=M","Days=T","Dir=V")</f>
        <v>0</v>
      </c>
      <c r="AU2">
        <f>BDH("APPF US Equity","EQY_SH_OUT","1993-06-18","2026-05-02","Per=M","Days=T","Dir=V")</f>
        <v>0</v>
      </c>
      <c r="AW2">
        <f>BDH("APPF US Equity","PX_VOLUME","1993-06-18","2026-05-02","Per=M","Days=T","Dir=V")</f>
        <v>0</v>
      </c>
      <c r="AY2">
        <f>BDH("APPF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BDH("APPN US Equity","BS_TOT_ASSET","1993-06-18","2026-05-02","Per=Y","Days=T","Dir=V")</f>
        <v>0</v>
      </c>
      <c r="C2">
        <f>BDH("APPN US Equity","BS_TOT_LIAB2","1993-06-18","2026-05-02","Per=Y","Days=T","Dir=V")</f>
        <v>0</v>
      </c>
      <c r="E2">
        <f>BDH("APPN US Equity","SHORT_AND_LONG_TERM_DEBT","1993-06-18","2026-05-02","Per=Y","Days=T","Dir=V")</f>
        <v>0</v>
      </c>
      <c r="G2">
        <f>BDH("APPN US Equity","BS_ST_BORROW","1993-06-18","2026-05-02","Per=Y","Days=T","Dir=V")</f>
        <v>0</v>
      </c>
      <c r="I2">
        <f>BDH("APPN US Equity","BS_LT_BORROW","1993-06-18","2026-05-02","Per=Y","Days=T","Dir=V")</f>
        <v>0</v>
      </c>
      <c r="K2">
        <f>BDH("APPN US Equity","BS_CASH_NEAR_CASH_ITEM","1993-06-18","2026-05-02","Per=Y","Days=T","Dir=V")</f>
        <v>0</v>
      </c>
      <c r="M2">
        <f>BDH("APPN US Equity","BS_CUR_ASSET_REPORT","1993-06-18","2026-05-02","Per=Y","Days=T","Dir=V")</f>
        <v>0</v>
      </c>
      <c r="O2">
        <f>BDH("APPN US Equity","BS_CUR_LIAB","1993-06-18","2026-05-02","Per=Y","Days=T","Dir=V")</f>
        <v>0</v>
      </c>
      <c r="Q2">
        <f>BDH("APPN US Equity","BS_SHAREHOLDER_EQY_ENDING_PERIOD","1993-06-18","2026-05-02","Per=Y","Days=T","Dir=V")</f>
        <v>0</v>
      </c>
      <c r="S2">
        <f>BDH("APPN US Equity","BS_ACCT_NOTE_RCV","1993-06-18","2026-05-02","Per=Y","Days=T","Dir=V")</f>
        <v>0</v>
      </c>
      <c r="U2">
        <f>BDH("APPN US Equity","BS_INVENTORIES","1993-06-18","2026-05-02","Per=Y","Days=T","Dir=V")</f>
        <v>0</v>
      </c>
      <c r="W2">
        <f>BDH("APPN US Equity","WORKING_CAPITAL","1993-06-18","2026-05-02","Per=Y","Days=T","Dir=V")</f>
        <v>0</v>
      </c>
      <c r="Y2">
        <f>BDH("APPN US Equity","SALES_REV_TURN","1993-06-18","2026-05-02","Per=Y","Days=T","Dir=V")</f>
        <v>0</v>
      </c>
      <c r="AA2">
        <f>BDH("APPN US Equity","EBIT","1993-06-18","2026-05-02","Per=Y","Days=T","Dir=V")</f>
        <v>0</v>
      </c>
      <c r="AC2">
        <f>BDH("APPN US Equity","EBITDA","1993-06-18","2026-05-02","Per=Y","Days=T","Dir=V")</f>
        <v>0</v>
      </c>
      <c r="AE2">
        <f>BDH("APPN US Equity","NET_INCOME","1993-06-18","2026-05-02","Per=Y","Days=T","Dir=V")</f>
        <v>0</v>
      </c>
      <c r="AG2">
        <f>BDH("APPN US Equity","IS_INT_EXPENSE","1993-06-18","2026-05-02","Per=Y","Days=T","Dir=V")</f>
        <v>0</v>
      </c>
      <c r="AI2">
        <f>BDH("APPN US Equity","IS_DEPR_EXP","1993-06-18","2026-05-02","Per=Y","Days=T","Dir=V")</f>
        <v>0</v>
      </c>
      <c r="AK2">
        <f>BDH("APPN US Equity","CF_CASH_FROM_OPER","1993-06-18","2026-05-02","Per=Y","Days=T","Dir=V")</f>
        <v>0</v>
      </c>
      <c r="AM2">
        <f>BDH("APPN US Equity","CAPITAL_EXPEND","1993-06-18","2026-05-02","Per=Y","Days=T","Dir=V")</f>
        <v>0</v>
      </c>
      <c r="AO2">
        <f>BDH("APPN US Equity","CF_FREE_CASH_FLOW","1993-06-18","2026-05-02","Per=Y","Days=T","Dir=V")</f>
        <v>0</v>
      </c>
      <c r="AQ2">
        <f>BDH("APPN US Equity","PX_LAST","1993-06-18","2026-05-02","Per=M","Days=T","Dir=V")</f>
        <v>0</v>
      </c>
      <c r="AS2">
        <f>BDH("APPN US Equity","CUR_MKT_CAP","1993-06-18","2026-05-02","Per=M","Days=T","Dir=V")</f>
        <v>0</v>
      </c>
      <c r="AU2">
        <f>BDH("APPN US Equity","EQY_SH_OUT","1993-06-18","2026-05-02","Per=M","Days=T","Dir=V")</f>
        <v>0</v>
      </c>
      <c r="AW2">
        <f>BDH("APPN US Equity","PX_VOLUME","1993-06-18","2026-05-02","Per=M","Days=T","Dir=V")</f>
        <v>0</v>
      </c>
      <c r="AY2">
        <f>BDH("APPN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BDH("APRE US Equity","BS_TOT_ASSET","1993-06-18","2026-05-02","Per=Y","Days=T","Dir=V")</f>
        <v>0</v>
      </c>
      <c r="C2">
        <f>BDH("APRE US Equity","BS_TOT_LIAB2","1993-06-18","2026-05-02","Per=Y","Days=T","Dir=V")</f>
        <v>0</v>
      </c>
      <c r="E2">
        <f>BDH("APRE US Equity","SHORT_AND_LONG_TERM_DEBT","1993-06-18","2026-05-02","Per=Y","Days=T","Dir=V")</f>
        <v>0</v>
      </c>
      <c r="G2">
        <f>BDH("APRE US Equity","BS_ST_BORROW","1993-06-18","2026-05-02","Per=Y","Days=T","Dir=V")</f>
        <v>0</v>
      </c>
      <c r="I2">
        <f>BDH("APRE US Equity","BS_LT_BORROW","1993-06-18","2026-05-02","Per=Y","Days=T","Dir=V")</f>
        <v>0</v>
      </c>
      <c r="K2">
        <f>BDH("APRE US Equity","BS_CASH_NEAR_CASH_ITEM","1993-06-18","2026-05-02","Per=Y","Days=T","Dir=V")</f>
        <v>0</v>
      </c>
      <c r="M2">
        <f>BDH("APRE US Equity","BS_CUR_ASSET_REPORT","1993-06-18","2026-05-02","Per=Y","Days=T","Dir=V")</f>
        <v>0</v>
      </c>
      <c r="O2">
        <f>BDH("APRE US Equity","BS_CUR_LIAB","1993-06-18","2026-05-02","Per=Y","Days=T","Dir=V")</f>
        <v>0</v>
      </c>
      <c r="Q2">
        <f>BDH("APRE US Equity","BS_SHAREHOLDER_EQY_ENDING_PERIOD","1993-06-18","2026-05-02","Per=Y","Days=T","Dir=V")</f>
        <v>0</v>
      </c>
      <c r="S2">
        <f>BDH("APRE US Equity","BS_ACCT_NOTE_RCV","1993-06-18","2026-05-02","Per=Y","Days=T","Dir=V")</f>
        <v>0</v>
      </c>
      <c r="U2">
        <f>BDH("APRE US Equity","BS_INVENTORIES","1993-06-18","2026-05-02","Per=Y","Days=T","Dir=V")</f>
        <v>0</v>
      </c>
      <c r="W2">
        <f>BDH("APRE US Equity","WORKING_CAPITAL","1993-06-18","2026-05-02","Per=Y","Days=T","Dir=V")</f>
        <v>0</v>
      </c>
      <c r="Y2">
        <f>BDH("APRE US Equity","SALES_REV_TURN","1993-06-18","2026-05-02","Per=Y","Days=T","Dir=V")</f>
        <v>0</v>
      </c>
      <c r="AA2">
        <f>BDH("APRE US Equity","EBIT","1993-06-18","2026-05-02","Per=Y","Days=T","Dir=V")</f>
        <v>0</v>
      </c>
      <c r="AC2">
        <f>BDH("APRE US Equity","EBITDA","1993-06-18","2026-05-02","Per=Y","Days=T","Dir=V")</f>
        <v>0</v>
      </c>
      <c r="AE2">
        <f>BDH("APRE US Equity","NET_INCOME","1993-06-18","2026-05-02","Per=Y","Days=T","Dir=V")</f>
        <v>0</v>
      </c>
      <c r="AG2">
        <f>BDH("APRE US Equity","IS_INT_EXPENSE","1993-06-18","2026-05-02","Per=Y","Days=T","Dir=V")</f>
        <v>0</v>
      </c>
      <c r="AI2">
        <f>BDH("APRE US Equity","IS_DEPR_EXP","1993-06-18","2026-05-02","Per=Y","Days=T","Dir=V")</f>
        <v>0</v>
      </c>
      <c r="AK2">
        <f>BDH("APRE US Equity","CF_CASH_FROM_OPER","1993-06-18","2026-05-02","Per=Y","Days=T","Dir=V")</f>
        <v>0</v>
      </c>
      <c r="AM2">
        <f>BDH("APRE US Equity","CAPITAL_EXPEND","1993-06-18","2026-05-02","Per=Y","Days=T","Dir=V")</f>
        <v>0</v>
      </c>
      <c r="AO2">
        <f>BDH("APRE US Equity","CF_FREE_CASH_FLOW","1993-06-18","2026-05-02","Per=Y","Days=T","Dir=V")</f>
        <v>0</v>
      </c>
      <c r="AQ2">
        <f>BDH("APRE US Equity","PX_LAST","1993-06-18","2026-05-02","Per=M","Days=T","Dir=V")</f>
        <v>0</v>
      </c>
      <c r="AS2">
        <f>BDH("APRE US Equity","CUR_MKT_CAP","1993-06-18","2026-05-02","Per=M","Days=T","Dir=V")</f>
        <v>0</v>
      </c>
      <c r="AU2">
        <f>BDH("APRE US Equity","EQY_SH_OUT","1993-06-18","2026-05-02","Per=M","Days=T","Dir=V")</f>
        <v>0</v>
      </c>
      <c r="AW2">
        <f>BDH("APRE US Equity","PX_VOLUME","1993-06-18","2026-05-02","Per=M","Days=T","Dir=V")</f>
        <v>0</v>
      </c>
      <c r="AY2">
        <f>BDH("APRE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BDH("APVO US Equity","BS_TOT_ASSET","1993-06-18","2026-05-02","Per=Y","Days=T","Dir=V")</f>
        <v>0</v>
      </c>
      <c r="C2">
        <f>BDH("APVO US Equity","BS_TOT_LIAB2","1993-06-18","2026-05-02","Per=Y","Days=T","Dir=V")</f>
        <v>0</v>
      </c>
      <c r="E2">
        <f>BDH("APVO US Equity","SHORT_AND_LONG_TERM_DEBT","1993-06-18","2026-05-02","Per=Y","Days=T","Dir=V")</f>
        <v>0</v>
      </c>
      <c r="G2">
        <f>BDH("APVO US Equity","BS_ST_BORROW","1993-06-18","2026-05-02","Per=Y","Days=T","Dir=V")</f>
        <v>0</v>
      </c>
      <c r="I2">
        <f>BDH("APVO US Equity","BS_LT_BORROW","1993-06-18","2026-05-02","Per=Y","Days=T","Dir=V")</f>
        <v>0</v>
      </c>
      <c r="K2">
        <f>BDH("APVO US Equity","BS_CASH_NEAR_CASH_ITEM","1993-06-18","2026-05-02","Per=Y","Days=T","Dir=V")</f>
        <v>0</v>
      </c>
      <c r="M2">
        <f>BDH("APVO US Equity","BS_CUR_ASSET_REPORT","1993-06-18","2026-05-02","Per=Y","Days=T","Dir=V")</f>
        <v>0</v>
      </c>
      <c r="O2">
        <f>BDH("APVO US Equity","BS_CUR_LIAB","1993-06-18","2026-05-02","Per=Y","Days=T","Dir=V")</f>
        <v>0</v>
      </c>
      <c r="Q2">
        <f>BDH("APVO US Equity","BS_SHAREHOLDER_EQY_ENDING_PERIOD","1993-06-18","2026-05-02","Per=Y","Days=T","Dir=V")</f>
        <v>0</v>
      </c>
      <c r="S2">
        <f>BDH("APVO US Equity","BS_ACCT_NOTE_RCV","1993-06-18","2026-05-02","Per=Y","Days=T","Dir=V")</f>
        <v>0</v>
      </c>
      <c r="U2">
        <f>BDH("APVO US Equity","BS_INVENTORIES","1993-06-18","2026-05-02","Per=Y","Days=T","Dir=V")</f>
        <v>0</v>
      </c>
      <c r="W2">
        <f>BDH("APVO US Equity","WORKING_CAPITAL","1993-06-18","2026-05-02","Per=Y","Days=T","Dir=V")</f>
        <v>0</v>
      </c>
      <c r="Y2">
        <f>BDH("APVO US Equity","SALES_REV_TURN","1993-06-18","2026-05-02","Per=Y","Days=T","Dir=V")</f>
        <v>0</v>
      </c>
      <c r="AA2">
        <f>BDH("APVO US Equity","EBIT","1993-06-18","2026-05-02","Per=Y","Days=T","Dir=V")</f>
        <v>0</v>
      </c>
      <c r="AC2">
        <f>BDH("APVO US Equity","EBITDA","1993-06-18","2026-05-02","Per=Y","Days=T","Dir=V")</f>
        <v>0</v>
      </c>
      <c r="AE2">
        <f>BDH("APVO US Equity","NET_INCOME","1993-06-18","2026-05-02","Per=Y","Days=T","Dir=V")</f>
        <v>0</v>
      </c>
      <c r="AG2">
        <f>BDH("APVO US Equity","IS_INT_EXPENSE","1993-06-18","2026-05-02","Per=Y","Days=T","Dir=V")</f>
        <v>0</v>
      </c>
      <c r="AI2">
        <f>BDH("APVO US Equity","IS_DEPR_EXP","1993-06-18","2026-05-02","Per=Y","Days=T","Dir=V")</f>
        <v>0</v>
      </c>
      <c r="AK2">
        <f>BDH("APVO US Equity","CF_CASH_FROM_OPER","1993-06-18","2026-05-02","Per=Y","Days=T","Dir=V")</f>
        <v>0</v>
      </c>
      <c r="AM2">
        <f>BDH("APVO US Equity","CAPITAL_EXPEND","1993-06-18","2026-05-02","Per=Y","Days=T","Dir=V")</f>
        <v>0</v>
      </c>
      <c r="AO2">
        <f>BDH("APVO US Equity","CF_FREE_CASH_FLOW","1993-06-18","2026-05-02","Per=Y","Days=T","Dir=V")</f>
        <v>0</v>
      </c>
      <c r="AQ2">
        <f>BDH("APVO US Equity","PX_LAST","1993-06-18","2026-05-02","Per=M","Days=T","Dir=V")</f>
        <v>0</v>
      </c>
      <c r="AS2">
        <f>BDH("APVO US Equity","CUR_MKT_CAP","1993-06-18","2026-05-02","Per=M","Days=T","Dir=V")</f>
        <v>0</v>
      </c>
      <c r="AU2">
        <f>BDH("APVO US Equity","EQY_SH_OUT","1993-06-18","2026-05-02","Per=M","Days=T","Dir=V")</f>
        <v>0</v>
      </c>
      <c r="AW2">
        <f>BDH("APVO US Equity","PX_VOLUME","1993-06-18","2026-05-02","Per=M","Days=T","Dir=V")</f>
        <v>0</v>
      </c>
      <c r="AY2">
        <f>BDH("APVO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BDH("APYX US Equity","BS_TOT_ASSET","1993-06-18","2026-05-02","Per=Y","Days=T","Dir=V")</f>
        <v>0</v>
      </c>
      <c r="C2">
        <f>BDH("APYX US Equity","BS_TOT_LIAB2","1993-06-18","2026-05-02","Per=Y","Days=T","Dir=V")</f>
        <v>0</v>
      </c>
      <c r="E2">
        <f>BDH("APYX US Equity","SHORT_AND_LONG_TERM_DEBT","1993-06-18","2026-05-02","Per=Y","Days=T","Dir=V")</f>
        <v>0</v>
      </c>
      <c r="G2">
        <f>BDH("APYX US Equity","BS_ST_BORROW","1993-06-18","2026-05-02","Per=Y","Days=T","Dir=V")</f>
        <v>0</v>
      </c>
      <c r="I2">
        <f>BDH("APYX US Equity","BS_LT_BORROW","1993-06-18","2026-05-02","Per=Y","Days=T","Dir=V")</f>
        <v>0</v>
      </c>
      <c r="K2">
        <f>BDH("APYX US Equity","BS_CASH_NEAR_CASH_ITEM","1993-06-18","2026-05-02","Per=Y","Days=T","Dir=V")</f>
        <v>0</v>
      </c>
      <c r="M2">
        <f>BDH("APYX US Equity","BS_CUR_ASSET_REPORT","1993-06-18","2026-05-02","Per=Y","Days=T","Dir=V")</f>
        <v>0</v>
      </c>
      <c r="O2">
        <f>BDH("APYX US Equity","BS_CUR_LIAB","1993-06-18","2026-05-02","Per=Y","Days=T","Dir=V")</f>
        <v>0</v>
      </c>
      <c r="Q2">
        <f>BDH("APYX US Equity","BS_SHAREHOLDER_EQY_ENDING_PERIOD","1993-06-18","2026-05-02","Per=Y","Days=T","Dir=V")</f>
        <v>0</v>
      </c>
      <c r="S2">
        <f>BDH("APYX US Equity","BS_ACCT_NOTE_RCV","1993-06-18","2026-05-02","Per=Y","Days=T","Dir=V")</f>
        <v>0</v>
      </c>
      <c r="U2">
        <f>BDH("APYX US Equity","BS_INVENTORIES","1993-06-18","2026-05-02","Per=Y","Days=T","Dir=V")</f>
        <v>0</v>
      </c>
      <c r="W2">
        <f>BDH("APYX US Equity","WORKING_CAPITAL","1993-06-18","2026-05-02","Per=Y","Days=T","Dir=V")</f>
        <v>0</v>
      </c>
      <c r="Y2">
        <f>BDH("APYX US Equity","SALES_REV_TURN","1993-06-18","2026-05-02","Per=Y","Days=T","Dir=V")</f>
        <v>0</v>
      </c>
      <c r="AA2">
        <f>BDH("APYX US Equity","EBIT","1993-06-18","2026-05-02","Per=Y","Days=T","Dir=V")</f>
        <v>0</v>
      </c>
      <c r="AC2">
        <f>BDH("APYX US Equity","EBITDA","1993-06-18","2026-05-02","Per=Y","Days=T","Dir=V")</f>
        <v>0</v>
      </c>
      <c r="AE2">
        <f>BDH("APYX US Equity","NET_INCOME","1993-06-18","2026-05-02","Per=Y","Days=T","Dir=V")</f>
        <v>0</v>
      </c>
      <c r="AG2">
        <f>BDH("APYX US Equity","IS_INT_EXPENSE","1993-06-18","2026-05-02","Per=Y","Days=T","Dir=V")</f>
        <v>0</v>
      </c>
      <c r="AI2">
        <f>BDH("APYX US Equity","IS_DEPR_EXP","1993-06-18","2026-05-02","Per=Y","Days=T","Dir=V")</f>
        <v>0</v>
      </c>
      <c r="AK2">
        <f>BDH("APYX US Equity","CF_CASH_FROM_OPER","1993-06-18","2026-05-02","Per=Y","Days=T","Dir=V")</f>
        <v>0</v>
      </c>
      <c r="AM2">
        <f>BDH("APYX US Equity","CAPITAL_EXPEND","1993-06-18","2026-05-02","Per=Y","Days=T","Dir=V")</f>
        <v>0</v>
      </c>
      <c r="AO2">
        <f>BDH("APYX US Equity","CF_FREE_CASH_FLOW","1993-06-18","2026-05-02","Per=Y","Days=T","Dir=V")</f>
        <v>0</v>
      </c>
      <c r="AQ2">
        <f>BDH("APYX US Equity","PX_LAST","1993-06-18","2026-05-02","Per=M","Days=T","Dir=V")</f>
        <v>0</v>
      </c>
      <c r="AS2">
        <f>BDH("APYX US Equity","CUR_MKT_CAP","1993-06-18","2026-05-02","Per=M","Days=T","Dir=V")</f>
        <v>0</v>
      </c>
      <c r="AU2">
        <f>BDH("APYX US Equity","EQY_SH_OUT","1993-06-18","2026-05-02","Per=M","Days=T","Dir=V")</f>
        <v>0</v>
      </c>
      <c r="AW2">
        <f>BDH("APYX US Equity","PX_VOLUME","1993-06-18","2026-05-02","Per=M","Days=T","Dir=V")</f>
        <v>0</v>
      </c>
      <c r="AY2">
        <f>BDH("APYX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BDH("AQB US Equity","BS_TOT_ASSET","1993-06-18","2026-05-02","Per=Y","Days=T","Dir=V")</f>
        <v>0</v>
      </c>
      <c r="C2">
        <f>BDH("AQB US Equity","BS_TOT_LIAB2","1993-06-18","2026-05-02","Per=Y","Days=T","Dir=V")</f>
        <v>0</v>
      </c>
      <c r="E2">
        <f>BDH("AQB US Equity","SHORT_AND_LONG_TERM_DEBT","1993-06-18","2026-05-02","Per=Y","Days=T","Dir=V")</f>
        <v>0</v>
      </c>
      <c r="G2">
        <f>BDH("AQB US Equity","BS_ST_BORROW","1993-06-18","2026-05-02","Per=Y","Days=T","Dir=V")</f>
        <v>0</v>
      </c>
      <c r="I2">
        <f>BDH("AQB US Equity","BS_LT_BORROW","1993-06-18","2026-05-02","Per=Y","Days=T","Dir=V")</f>
        <v>0</v>
      </c>
      <c r="K2">
        <f>BDH("AQB US Equity","BS_CASH_NEAR_CASH_ITEM","1993-06-18","2026-05-02","Per=Y","Days=T","Dir=V")</f>
        <v>0</v>
      </c>
      <c r="M2">
        <f>BDH("AQB US Equity","BS_CUR_ASSET_REPORT","1993-06-18","2026-05-02","Per=Y","Days=T","Dir=V")</f>
        <v>0</v>
      </c>
      <c r="O2">
        <f>BDH("AQB US Equity","BS_CUR_LIAB","1993-06-18","2026-05-02","Per=Y","Days=T","Dir=V")</f>
        <v>0</v>
      </c>
      <c r="Q2">
        <f>BDH("AQB US Equity","BS_SHAREHOLDER_EQY_ENDING_PERIOD","1993-06-18","2026-05-02","Per=Y","Days=T","Dir=V")</f>
        <v>0</v>
      </c>
      <c r="S2">
        <f>BDH("AQB US Equity","BS_ACCT_NOTE_RCV","1993-06-18","2026-05-02","Per=Y","Days=T","Dir=V")</f>
        <v>0</v>
      </c>
      <c r="U2">
        <f>BDH("AQB US Equity","BS_INVENTORIES","1993-06-18","2026-05-02","Per=Y","Days=T","Dir=V")</f>
        <v>0</v>
      </c>
      <c r="W2">
        <f>BDH("AQB US Equity","WORKING_CAPITAL","1993-06-18","2026-05-02","Per=Y","Days=T","Dir=V")</f>
        <v>0</v>
      </c>
      <c r="Y2">
        <f>BDH("AQB US Equity","SALES_REV_TURN","1993-06-18","2026-05-02","Per=Y","Days=T","Dir=V")</f>
        <v>0</v>
      </c>
      <c r="AA2">
        <f>BDH("AQB US Equity","EBIT","1993-06-18","2026-05-02","Per=Y","Days=T","Dir=V")</f>
        <v>0</v>
      </c>
      <c r="AC2">
        <f>BDH("AQB US Equity","EBITDA","1993-06-18","2026-05-02","Per=Y","Days=T","Dir=V")</f>
        <v>0</v>
      </c>
      <c r="AE2">
        <f>BDH("AQB US Equity","NET_INCOME","1993-06-18","2026-05-02","Per=Y","Days=T","Dir=V")</f>
        <v>0</v>
      </c>
      <c r="AG2">
        <f>BDH("AQB US Equity","IS_INT_EXPENSE","1993-06-18","2026-05-02","Per=Y","Days=T","Dir=V")</f>
        <v>0</v>
      </c>
      <c r="AI2">
        <f>BDH("AQB US Equity","IS_DEPR_EXP","1993-06-18","2026-05-02","Per=Y","Days=T","Dir=V")</f>
        <v>0</v>
      </c>
      <c r="AK2">
        <f>BDH("AQB US Equity","CF_CASH_FROM_OPER","1993-06-18","2026-05-02","Per=Y","Days=T","Dir=V")</f>
        <v>0</v>
      </c>
      <c r="AM2">
        <f>BDH("AQB US Equity","CAPITAL_EXPEND","1993-06-18","2026-05-02","Per=Y","Days=T","Dir=V")</f>
        <v>0</v>
      </c>
      <c r="AO2">
        <f>BDH("AQB US Equity","CF_FREE_CASH_FLOW","1993-06-18","2026-05-02","Per=Y","Days=T","Dir=V")</f>
        <v>0</v>
      </c>
      <c r="AQ2">
        <f>BDH("AQB US Equity","PX_LAST","1993-06-18","2026-05-02","Per=M","Days=T","Dir=V")</f>
        <v>0</v>
      </c>
      <c r="AS2">
        <f>BDH("AQB US Equity","CUR_MKT_CAP","1993-06-18","2026-05-02","Per=M","Days=T","Dir=V")</f>
        <v>0</v>
      </c>
      <c r="AU2">
        <f>BDH("AQB US Equity","EQY_SH_OUT","1993-06-18","2026-05-02","Per=M","Days=T","Dir=V")</f>
        <v>0</v>
      </c>
      <c r="AW2">
        <f>BDH("AQB US Equity","PX_VOLUME","1993-06-18","2026-05-02","Per=M","Days=T","Dir=V")</f>
        <v>0</v>
      </c>
      <c r="AY2">
        <f>BDH("AQB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BDH("AQMS US Equity","BS_TOT_ASSET","1993-06-18","2026-05-02","Per=Y","Days=T","Dir=V")</f>
        <v>0</v>
      </c>
      <c r="C2">
        <f>BDH("AQMS US Equity","BS_TOT_LIAB2","1993-06-18","2026-05-02","Per=Y","Days=T","Dir=V")</f>
        <v>0</v>
      </c>
      <c r="E2">
        <f>BDH("AQMS US Equity","SHORT_AND_LONG_TERM_DEBT","1993-06-18","2026-05-02","Per=Y","Days=T","Dir=V")</f>
        <v>0</v>
      </c>
      <c r="G2">
        <f>BDH("AQMS US Equity","BS_ST_BORROW","1993-06-18","2026-05-02","Per=Y","Days=T","Dir=V")</f>
        <v>0</v>
      </c>
      <c r="I2">
        <f>BDH("AQMS US Equity","BS_LT_BORROW","1993-06-18","2026-05-02","Per=Y","Days=T","Dir=V")</f>
        <v>0</v>
      </c>
      <c r="K2">
        <f>BDH("AQMS US Equity","BS_CASH_NEAR_CASH_ITEM","1993-06-18","2026-05-02","Per=Y","Days=T","Dir=V")</f>
        <v>0</v>
      </c>
      <c r="M2">
        <f>BDH("AQMS US Equity","BS_CUR_ASSET_REPORT","1993-06-18","2026-05-02","Per=Y","Days=T","Dir=V")</f>
        <v>0</v>
      </c>
      <c r="O2">
        <f>BDH("AQMS US Equity","BS_CUR_LIAB","1993-06-18","2026-05-02","Per=Y","Days=T","Dir=V")</f>
        <v>0</v>
      </c>
      <c r="Q2">
        <f>BDH("AQMS US Equity","BS_SHAREHOLDER_EQY_ENDING_PERIOD","1993-06-18","2026-05-02","Per=Y","Days=T","Dir=V")</f>
        <v>0</v>
      </c>
      <c r="S2">
        <f>BDH("AQMS US Equity","BS_ACCT_NOTE_RCV","1993-06-18","2026-05-02","Per=Y","Days=T","Dir=V")</f>
        <v>0</v>
      </c>
      <c r="U2">
        <f>BDH("AQMS US Equity","BS_INVENTORIES","1993-06-18","2026-05-02","Per=Y","Days=T","Dir=V")</f>
        <v>0</v>
      </c>
      <c r="W2">
        <f>BDH("AQMS US Equity","WORKING_CAPITAL","1993-06-18","2026-05-02","Per=Y","Days=T","Dir=V")</f>
        <v>0</v>
      </c>
      <c r="Y2">
        <f>BDH("AQMS US Equity","SALES_REV_TURN","1993-06-18","2026-05-02","Per=Y","Days=T","Dir=V")</f>
        <v>0</v>
      </c>
      <c r="AA2">
        <f>BDH("AQMS US Equity","EBIT","1993-06-18","2026-05-02","Per=Y","Days=T","Dir=V")</f>
        <v>0</v>
      </c>
      <c r="AC2">
        <f>BDH("AQMS US Equity","EBITDA","1993-06-18","2026-05-02","Per=Y","Days=T","Dir=V")</f>
        <v>0</v>
      </c>
      <c r="AE2">
        <f>BDH("AQMS US Equity","NET_INCOME","1993-06-18","2026-05-02","Per=Y","Days=T","Dir=V")</f>
        <v>0</v>
      </c>
      <c r="AG2">
        <f>BDH("AQMS US Equity","IS_INT_EXPENSE","1993-06-18","2026-05-02","Per=Y","Days=T","Dir=V")</f>
        <v>0</v>
      </c>
      <c r="AI2">
        <f>BDH("AQMS US Equity","IS_DEPR_EXP","1993-06-18","2026-05-02","Per=Y","Days=T","Dir=V")</f>
        <v>0</v>
      </c>
      <c r="AK2">
        <f>BDH("AQMS US Equity","CF_CASH_FROM_OPER","1993-06-18","2026-05-02","Per=Y","Days=T","Dir=V")</f>
        <v>0</v>
      </c>
      <c r="AM2">
        <f>BDH("AQMS US Equity","CAPITAL_EXPEND","1993-06-18","2026-05-02","Per=Y","Days=T","Dir=V")</f>
        <v>0</v>
      </c>
      <c r="AO2">
        <f>BDH("AQMS US Equity","CF_FREE_CASH_FLOW","1993-06-18","2026-05-02","Per=Y","Days=T","Dir=V")</f>
        <v>0</v>
      </c>
      <c r="AQ2">
        <f>BDH("AQMS US Equity","PX_LAST","1993-06-18","2026-05-02","Per=M","Days=T","Dir=V")</f>
        <v>0</v>
      </c>
      <c r="AS2">
        <f>BDH("AQMS US Equity","CUR_MKT_CAP","1993-06-18","2026-05-02","Per=M","Days=T","Dir=V")</f>
        <v>0</v>
      </c>
      <c r="AU2">
        <f>BDH("AQMS US Equity","EQY_SH_OUT","1993-06-18","2026-05-02","Per=M","Days=T","Dir=V")</f>
        <v>0</v>
      </c>
      <c r="AW2">
        <f>BDH("AQMS US Equity","PX_VOLUME","1993-06-18","2026-05-02","Per=M","Days=T","Dir=V")</f>
        <v>0</v>
      </c>
      <c r="AY2">
        <f>BDH("AQMS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BDH("AQN US Equity","BS_TOT_ASSET","1993-06-18","2026-05-02","Per=Y","Days=T","Dir=V")</f>
        <v>0</v>
      </c>
      <c r="C2">
        <f>BDH("AQN US Equity","BS_TOT_LIAB2","1993-06-18","2026-05-02","Per=Y","Days=T","Dir=V")</f>
        <v>0</v>
      </c>
      <c r="E2">
        <f>BDH("AQN US Equity","SHORT_AND_LONG_TERM_DEBT","1993-06-18","2026-05-02","Per=Y","Days=T","Dir=V")</f>
        <v>0</v>
      </c>
      <c r="G2">
        <f>BDH("AQN US Equity","BS_ST_BORROW","1993-06-18","2026-05-02","Per=Y","Days=T","Dir=V")</f>
        <v>0</v>
      </c>
      <c r="I2">
        <f>BDH("AQN US Equity","BS_LT_BORROW","1993-06-18","2026-05-02","Per=Y","Days=T","Dir=V")</f>
        <v>0</v>
      </c>
      <c r="K2">
        <f>BDH("AQN US Equity","BS_CASH_NEAR_CASH_ITEM","1993-06-18","2026-05-02","Per=Y","Days=T","Dir=V")</f>
        <v>0</v>
      </c>
      <c r="M2">
        <f>BDH("AQN US Equity","BS_CUR_ASSET_REPORT","1993-06-18","2026-05-02","Per=Y","Days=T","Dir=V")</f>
        <v>0</v>
      </c>
      <c r="O2">
        <f>BDH("AQN US Equity","BS_CUR_LIAB","1993-06-18","2026-05-02","Per=Y","Days=T","Dir=V")</f>
        <v>0</v>
      </c>
      <c r="Q2">
        <f>BDH("AQN US Equity","BS_SHAREHOLDER_EQY_ENDING_PERIOD","1993-06-18","2026-05-02","Per=Y","Days=T","Dir=V")</f>
        <v>0</v>
      </c>
      <c r="S2">
        <f>BDH("AQN US Equity","BS_ACCT_NOTE_RCV","1993-06-18","2026-05-02","Per=Y","Days=T","Dir=V")</f>
        <v>0</v>
      </c>
      <c r="U2">
        <f>BDH("AQN US Equity","BS_INVENTORIES","1993-06-18","2026-05-02","Per=Y","Days=T","Dir=V")</f>
        <v>0</v>
      </c>
      <c r="W2">
        <f>BDH("AQN US Equity","WORKING_CAPITAL","1993-06-18","2026-05-02","Per=Y","Days=T","Dir=V")</f>
        <v>0</v>
      </c>
      <c r="Y2">
        <f>BDH("AQN US Equity","SALES_REV_TURN","1993-06-18","2026-05-02","Per=Y","Days=T","Dir=V")</f>
        <v>0</v>
      </c>
      <c r="AA2">
        <f>BDH("AQN US Equity","EBIT","1993-06-18","2026-05-02","Per=Y","Days=T","Dir=V")</f>
        <v>0</v>
      </c>
      <c r="AC2">
        <f>BDH("AQN US Equity","EBITDA","1993-06-18","2026-05-02","Per=Y","Days=T","Dir=V")</f>
        <v>0</v>
      </c>
      <c r="AE2">
        <f>BDH("AQN US Equity","NET_INCOME","1993-06-18","2026-05-02","Per=Y","Days=T","Dir=V")</f>
        <v>0</v>
      </c>
      <c r="AG2">
        <f>BDH("AQN US Equity","IS_INT_EXPENSE","1993-06-18","2026-05-02","Per=Y","Days=T","Dir=V")</f>
        <v>0</v>
      </c>
      <c r="AI2">
        <f>BDH("AQN US Equity","IS_DEPR_EXP","1993-06-18","2026-05-02","Per=Y","Days=T","Dir=V")</f>
        <v>0</v>
      </c>
      <c r="AK2">
        <f>BDH("AQN US Equity","CF_CASH_FROM_OPER","1993-06-18","2026-05-02","Per=Y","Days=T","Dir=V")</f>
        <v>0</v>
      </c>
      <c r="AM2">
        <f>BDH("AQN US Equity","CAPITAL_EXPEND","1993-06-18","2026-05-02","Per=Y","Days=T","Dir=V")</f>
        <v>0</v>
      </c>
      <c r="AO2">
        <f>BDH("AQN US Equity","CF_FREE_CASH_FLOW","1993-06-18","2026-05-02","Per=Y","Days=T","Dir=V")</f>
        <v>0</v>
      </c>
      <c r="AQ2">
        <f>BDH("AQN US Equity","PX_LAST","1993-06-18","2026-05-02","Per=M","Days=T","Dir=V")</f>
        <v>0</v>
      </c>
      <c r="AS2">
        <f>BDH("AQN US Equity","CUR_MKT_CAP","1993-06-18","2026-05-02","Per=M","Days=T","Dir=V")</f>
        <v>0</v>
      </c>
      <c r="AU2">
        <f>BDH("AQN US Equity","EQY_SH_OUT","1993-06-18","2026-05-02","Per=M","Days=T","Dir=V")</f>
        <v>0</v>
      </c>
      <c r="AW2">
        <f>BDH("AQN US Equity","PX_VOLUME","1993-06-18","2026-05-02","Per=M","Days=T","Dir=V")</f>
        <v>0</v>
      </c>
      <c r="AY2">
        <f>BDH("AQN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BDH("AQNB US Equity","BS_TOT_ASSET","1993-06-18","2026-05-02","Per=Y","Days=T","Dir=V")</f>
        <v>0</v>
      </c>
      <c r="C2">
        <f>BDH("AQNB US Equity","BS_TOT_LIAB2","1993-06-18","2026-05-02","Per=Y","Days=T","Dir=V")</f>
        <v>0</v>
      </c>
      <c r="E2">
        <f>BDH("AQNB US Equity","SHORT_AND_LONG_TERM_DEBT","1993-06-18","2026-05-02","Per=Y","Days=T","Dir=V")</f>
        <v>0</v>
      </c>
      <c r="G2">
        <f>BDH("AQNB US Equity","BS_ST_BORROW","1993-06-18","2026-05-02","Per=Y","Days=T","Dir=V")</f>
        <v>0</v>
      </c>
      <c r="I2">
        <f>BDH("AQNB US Equity","BS_LT_BORROW","1993-06-18","2026-05-02","Per=Y","Days=T","Dir=V")</f>
        <v>0</v>
      </c>
      <c r="K2">
        <f>BDH("AQNB US Equity","BS_CASH_NEAR_CASH_ITEM","1993-06-18","2026-05-02","Per=Y","Days=T","Dir=V")</f>
        <v>0</v>
      </c>
      <c r="M2">
        <f>BDH("AQNB US Equity","BS_CUR_ASSET_REPORT","1993-06-18","2026-05-02","Per=Y","Days=T","Dir=V")</f>
        <v>0</v>
      </c>
      <c r="O2">
        <f>BDH("AQNB US Equity","BS_CUR_LIAB","1993-06-18","2026-05-02","Per=Y","Days=T","Dir=V")</f>
        <v>0</v>
      </c>
      <c r="Q2">
        <f>BDH("AQNB US Equity","BS_SHAREHOLDER_EQY_ENDING_PERIOD","1993-06-18","2026-05-02","Per=Y","Days=T","Dir=V")</f>
        <v>0</v>
      </c>
      <c r="S2">
        <f>BDH("AQNB US Equity","BS_ACCT_NOTE_RCV","1993-06-18","2026-05-02","Per=Y","Days=T","Dir=V")</f>
        <v>0</v>
      </c>
      <c r="U2">
        <f>BDH("AQNB US Equity","BS_INVENTORIES","1993-06-18","2026-05-02","Per=Y","Days=T","Dir=V")</f>
        <v>0</v>
      </c>
      <c r="W2">
        <f>BDH("AQNB US Equity","WORKING_CAPITAL","1993-06-18","2026-05-02","Per=Y","Days=T","Dir=V")</f>
        <v>0</v>
      </c>
      <c r="Y2">
        <f>BDH("AQNB US Equity","SALES_REV_TURN","1993-06-18","2026-05-02","Per=Y","Days=T","Dir=V")</f>
        <v>0</v>
      </c>
      <c r="AA2">
        <f>BDH("AQNB US Equity","EBIT","1993-06-18","2026-05-02","Per=Y","Days=T","Dir=V")</f>
        <v>0</v>
      </c>
      <c r="AC2">
        <f>BDH("AQNB US Equity","EBITDA","1993-06-18","2026-05-02","Per=Y","Days=T","Dir=V")</f>
        <v>0</v>
      </c>
      <c r="AE2">
        <f>BDH("AQNB US Equity","NET_INCOME","1993-06-18","2026-05-02","Per=Y","Days=T","Dir=V")</f>
        <v>0</v>
      </c>
      <c r="AG2">
        <f>BDH("AQNB US Equity","IS_INT_EXPENSE","1993-06-18","2026-05-02","Per=Y","Days=T","Dir=V")</f>
        <v>0</v>
      </c>
      <c r="AI2">
        <f>BDH("AQNB US Equity","IS_DEPR_EXP","1993-06-18","2026-05-02","Per=Y","Days=T","Dir=V")</f>
        <v>0</v>
      </c>
      <c r="AK2">
        <f>BDH("AQNB US Equity","CF_CASH_FROM_OPER","1993-06-18","2026-05-02","Per=Y","Days=T","Dir=V")</f>
        <v>0</v>
      </c>
      <c r="AM2">
        <f>BDH("AQNB US Equity","CAPITAL_EXPEND","1993-06-18","2026-05-02","Per=Y","Days=T","Dir=V")</f>
        <v>0</v>
      </c>
      <c r="AO2">
        <f>BDH("AQNB US Equity","CF_FREE_CASH_FLOW","1993-06-18","2026-05-02","Per=Y","Days=T","Dir=V")</f>
        <v>0</v>
      </c>
      <c r="AQ2">
        <f>BDH("AQNB US Equity","PX_LAST","1993-06-18","2026-05-02","Per=M","Days=T","Dir=V")</f>
        <v>0</v>
      </c>
      <c r="AS2">
        <f>BDH("AQNB US Equity","CUR_MKT_CAP","1993-06-18","2026-05-02","Per=M","Days=T","Dir=V")</f>
        <v>0</v>
      </c>
      <c r="AU2">
        <f>BDH("AQNB US Equity","EQY_SH_OUT","1993-06-18","2026-05-02","Per=M","Days=T","Dir=V")</f>
        <v>0</v>
      </c>
      <c r="AW2">
        <f>BDH("AQNB US Equity","PX_VOLUME","1993-06-18","2026-05-02","Per=M","Days=T","Dir=V")</f>
        <v>0</v>
      </c>
      <c r="AY2">
        <f>BDH("AQNB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BDH("AQST US Equity","BS_TOT_ASSET","1993-06-18","2026-05-02","Per=Y","Days=T","Dir=V")</f>
        <v>0</v>
      </c>
      <c r="C2">
        <f>BDH("AQST US Equity","BS_TOT_LIAB2","1993-06-18","2026-05-02","Per=Y","Days=T","Dir=V")</f>
        <v>0</v>
      </c>
      <c r="E2">
        <f>BDH("AQST US Equity","SHORT_AND_LONG_TERM_DEBT","1993-06-18","2026-05-02","Per=Y","Days=T","Dir=V")</f>
        <v>0</v>
      </c>
      <c r="G2">
        <f>BDH("AQST US Equity","BS_ST_BORROW","1993-06-18","2026-05-02","Per=Y","Days=T","Dir=V")</f>
        <v>0</v>
      </c>
      <c r="I2">
        <f>BDH("AQST US Equity","BS_LT_BORROW","1993-06-18","2026-05-02","Per=Y","Days=T","Dir=V")</f>
        <v>0</v>
      </c>
      <c r="K2">
        <f>BDH("AQST US Equity","BS_CASH_NEAR_CASH_ITEM","1993-06-18","2026-05-02","Per=Y","Days=T","Dir=V")</f>
        <v>0</v>
      </c>
      <c r="M2">
        <f>BDH("AQST US Equity","BS_CUR_ASSET_REPORT","1993-06-18","2026-05-02","Per=Y","Days=T","Dir=V")</f>
        <v>0</v>
      </c>
      <c r="O2">
        <f>BDH("AQST US Equity","BS_CUR_LIAB","1993-06-18","2026-05-02","Per=Y","Days=T","Dir=V")</f>
        <v>0</v>
      </c>
      <c r="Q2">
        <f>BDH("AQST US Equity","BS_SHAREHOLDER_EQY_ENDING_PERIOD","1993-06-18","2026-05-02","Per=Y","Days=T","Dir=V")</f>
        <v>0</v>
      </c>
      <c r="S2">
        <f>BDH("AQST US Equity","BS_ACCT_NOTE_RCV","1993-06-18","2026-05-02","Per=Y","Days=T","Dir=V")</f>
        <v>0</v>
      </c>
      <c r="U2">
        <f>BDH("AQST US Equity","BS_INVENTORIES","1993-06-18","2026-05-02","Per=Y","Days=T","Dir=V")</f>
        <v>0</v>
      </c>
      <c r="W2">
        <f>BDH("AQST US Equity","WORKING_CAPITAL","1993-06-18","2026-05-02","Per=Y","Days=T","Dir=V")</f>
        <v>0</v>
      </c>
      <c r="Y2">
        <f>BDH("AQST US Equity","SALES_REV_TURN","1993-06-18","2026-05-02","Per=Y","Days=T","Dir=V")</f>
        <v>0</v>
      </c>
      <c r="AA2">
        <f>BDH("AQST US Equity","EBIT","1993-06-18","2026-05-02","Per=Y","Days=T","Dir=V")</f>
        <v>0</v>
      </c>
      <c r="AC2">
        <f>BDH("AQST US Equity","EBITDA","1993-06-18","2026-05-02","Per=Y","Days=T","Dir=V")</f>
        <v>0</v>
      </c>
      <c r="AE2">
        <f>BDH("AQST US Equity","NET_INCOME","1993-06-18","2026-05-02","Per=Y","Days=T","Dir=V")</f>
        <v>0</v>
      </c>
      <c r="AG2">
        <f>BDH("AQST US Equity","IS_INT_EXPENSE","1993-06-18","2026-05-02","Per=Y","Days=T","Dir=V")</f>
        <v>0</v>
      </c>
      <c r="AI2">
        <f>BDH("AQST US Equity","IS_DEPR_EXP","1993-06-18","2026-05-02","Per=Y","Days=T","Dir=V")</f>
        <v>0</v>
      </c>
      <c r="AK2">
        <f>BDH("AQST US Equity","CF_CASH_FROM_OPER","1993-06-18","2026-05-02","Per=Y","Days=T","Dir=V")</f>
        <v>0</v>
      </c>
      <c r="AM2">
        <f>BDH("AQST US Equity","CAPITAL_EXPEND","1993-06-18","2026-05-02","Per=Y","Days=T","Dir=V")</f>
        <v>0</v>
      </c>
      <c r="AO2">
        <f>BDH("AQST US Equity","CF_FREE_CASH_FLOW","1993-06-18","2026-05-02","Per=Y","Days=T","Dir=V")</f>
        <v>0</v>
      </c>
      <c r="AQ2">
        <f>BDH("AQST US Equity","PX_LAST","1993-06-18","2026-05-02","Per=M","Days=T","Dir=V")</f>
        <v>0</v>
      </c>
      <c r="AS2">
        <f>BDH("AQST US Equity","CUR_MKT_CAP","1993-06-18","2026-05-02","Per=M","Days=T","Dir=V")</f>
        <v>0</v>
      </c>
      <c r="AU2">
        <f>BDH("AQST US Equity","EQY_SH_OUT","1993-06-18","2026-05-02","Per=M","Days=T","Dir=V")</f>
        <v>0</v>
      </c>
      <c r="AW2">
        <f>BDH("AQST US Equity","PX_VOLUME","1993-06-18","2026-05-02","Per=M","Days=T","Dir=V")</f>
        <v>0</v>
      </c>
      <c r="AY2">
        <f>BDH("AQST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 US Equity","BS_TOT_ASSET","1993-06-18","2026-05-02","Per=Y","Days=T","Dir=V")</f>
        <v>0</v>
      </c>
      <c r="C2">
        <f>BDH("AR US Equity","BS_TOT_LIAB2","1993-06-18","2026-05-02","Per=Y","Days=T","Dir=V")</f>
        <v>0</v>
      </c>
      <c r="E2">
        <f>BDH("AR US Equity","SHORT_AND_LONG_TERM_DEBT","1993-06-18","2026-05-02","Per=Y","Days=T","Dir=V")</f>
        <v>0</v>
      </c>
      <c r="G2">
        <f>BDH("AR US Equity","BS_ST_BORROW","1993-06-18","2026-05-02","Per=Y","Days=T","Dir=V")</f>
        <v>0</v>
      </c>
      <c r="I2">
        <f>BDH("AR US Equity","BS_LT_BORROW","1993-06-18","2026-05-02","Per=Y","Days=T","Dir=V")</f>
        <v>0</v>
      </c>
      <c r="K2">
        <f>BDH("AR US Equity","BS_CASH_NEAR_CASH_ITEM","1993-06-18","2026-05-02","Per=Y","Days=T","Dir=V")</f>
        <v>0</v>
      </c>
      <c r="M2">
        <f>BDH("AR US Equity","BS_CUR_ASSET_REPORT","1993-06-18","2026-05-02","Per=Y","Days=T","Dir=V")</f>
        <v>0</v>
      </c>
      <c r="O2">
        <f>BDH("AR US Equity","BS_CUR_LIAB","1993-06-18","2026-05-02","Per=Y","Days=T","Dir=V")</f>
        <v>0</v>
      </c>
      <c r="Q2">
        <f>BDH("AR US Equity","BS_SHAREHOLDER_EQY_ENDING_PERIOD","1993-06-18","2026-05-02","Per=Y","Days=T","Dir=V")</f>
        <v>0</v>
      </c>
      <c r="S2">
        <f>BDH("AR US Equity","BS_ACCT_NOTE_RCV","1993-06-18","2026-05-02","Per=Y","Days=T","Dir=V")</f>
        <v>0</v>
      </c>
      <c r="U2">
        <f>BDH("AR US Equity","BS_INVENTORIES","1993-06-18","2026-05-02","Per=Y","Days=T","Dir=V")</f>
        <v>0</v>
      </c>
      <c r="W2">
        <f>BDH("AR US Equity","WORKING_CAPITAL","1993-06-18","2026-05-02","Per=Y","Days=T","Dir=V")</f>
        <v>0</v>
      </c>
      <c r="Y2">
        <f>BDH("AR US Equity","SALES_REV_TURN","1993-06-18","2026-05-02","Per=Y","Days=T","Dir=V")</f>
        <v>0</v>
      </c>
      <c r="AA2">
        <f>BDH("AR US Equity","EBIT","1993-06-18","2026-05-02","Per=Y","Days=T","Dir=V")</f>
        <v>0</v>
      </c>
      <c r="AC2">
        <f>BDH("AR US Equity","EBITDA","1993-06-18","2026-05-02","Per=Y","Days=T","Dir=V")</f>
        <v>0</v>
      </c>
      <c r="AE2">
        <f>BDH("AR US Equity","NET_INCOME","1993-06-18","2026-05-02","Per=Y","Days=T","Dir=V")</f>
        <v>0</v>
      </c>
      <c r="AG2">
        <f>BDH("AR US Equity","IS_INT_EXPENSE","1993-06-18","2026-05-02","Per=Y","Days=T","Dir=V")</f>
        <v>0</v>
      </c>
      <c r="AI2">
        <f>BDH("AR US Equity","IS_DEPR_EXP","1993-06-18","2026-05-02","Per=Y","Days=T","Dir=V")</f>
        <v>0</v>
      </c>
      <c r="AK2">
        <f>BDH("AR US Equity","CF_CASH_FROM_OPER","1993-06-18","2026-05-02","Per=Y","Days=T","Dir=V")</f>
        <v>0</v>
      </c>
      <c r="AM2">
        <f>BDH("AR US Equity","CAPITAL_EXPEND","1993-06-18","2026-05-02","Per=Y","Days=T","Dir=V")</f>
        <v>0</v>
      </c>
      <c r="AO2">
        <f>BDH("AR US Equity","CF_FREE_CASH_FLOW","1993-06-18","2026-05-02","Per=Y","Days=T","Dir=V")</f>
        <v>0</v>
      </c>
      <c r="AQ2">
        <f>BDH("AR US Equity","PX_LAST","1993-06-18","2026-05-02","Per=M","Days=T","Dir=V")</f>
        <v>0</v>
      </c>
      <c r="AS2">
        <f>BDH("AR US Equity","CUR_MKT_CAP","1993-06-18","2026-05-02","Per=M","Days=T","Dir=V")</f>
        <v>0</v>
      </c>
      <c r="AU2">
        <f>BDH("AR US Equity","EQY_SH_OUT","1993-06-18","2026-05-02","Per=M","Days=T","Dir=V")</f>
        <v>0</v>
      </c>
      <c r="AW2">
        <f>BDH("AR US Equity","PX_VOLUME","1993-06-18","2026-05-02","Per=M","Days=T","Dir=V")</f>
        <v>0</v>
      </c>
      <c r="AY2">
        <f>BDH("AR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BDH("ARAI US Equity","BS_TOT_ASSET","1993-06-18","2026-05-02","Per=Y","Days=T","Dir=V")</f>
        <v>0</v>
      </c>
      <c r="C2">
        <f>BDH("ARAI US Equity","BS_TOT_LIAB2","1993-06-18","2026-05-02","Per=Y","Days=T","Dir=V")</f>
        <v>0</v>
      </c>
      <c r="E2">
        <f>BDH("ARAI US Equity","SHORT_AND_LONG_TERM_DEBT","1993-06-18","2026-05-02","Per=Y","Days=T","Dir=V")</f>
        <v>0</v>
      </c>
      <c r="G2">
        <f>BDH("ARAI US Equity","BS_ST_BORROW","1993-06-18","2026-05-02","Per=Y","Days=T","Dir=V")</f>
        <v>0</v>
      </c>
      <c r="I2">
        <f>BDH("ARAI US Equity","BS_LT_BORROW","1993-06-18","2026-05-02","Per=Y","Days=T","Dir=V")</f>
        <v>0</v>
      </c>
      <c r="K2">
        <f>BDH("ARAI US Equity","BS_CASH_NEAR_CASH_ITEM","1993-06-18","2026-05-02","Per=Y","Days=T","Dir=V")</f>
        <v>0</v>
      </c>
      <c r="M2">
        <f>BDH("ARAI US Equity","BS_CUR_ASSET_REPORT","1993-06-18","2026-05-02","Per=Y","Days=T","Dir=V")</f>
        <v>0</v>
      </c>
      <c r="O2">
        <f>BDH("ARAI US Equity","BS_CUR_LIAB","1993-06-18","2026-05-02","Per=Y","Days=T","Dir=V")</f>
        <v>0</v>
      </c>
      <c r="Q2">
        <f>BDH("ARAI US Equity","BS_SHAREHOLDER_EQY_ENDING_PERIOD","1993-06-18","2026-05-02","Per=Y","Days=T","Dir=V")</f>
        <v>0</v>
      </c>
      <c r="S2">
        <f>BDH("ARAI US Equity","BS_ACCT_NOTE_RCV","1993-06-18","2026-05-02","Per=Y","Days=T","Dir=V")</f>
        <v>0</v>
      </c>
      <c r="U2">
        <f>BDH("ARAI US Equity","BS_INVENTORIES","1993-06-18","2026-05-02","Per=Y","Days=T","Dir=V")</f>
        <v>0</v>
      </c>
      <c r="W2">
        <f>BDH("ARAI US Equity","WORKING_CAPITAL","1993-06-18","2026-05-02","Per=Y","Days=T","Dir=V")</f>
        <v>0</v>
      </c>
      <c r="Y2">
        <f>BDH("ARAI US Equity","SALES_REV_TURN","1993-06-18","2026-05-02","Per=Y","Days=T","Dir=V")</f>
        <v>0</v>
      </c>
      <c r="AA2">
        <f>BDH("ARAI US Equity","EBIT","1993-06-18","2026-05-02","Per=Y","Days=T","Dir=V")</f>
        <v>0</v>
      </c>
      <c r="AC2">
        <f>BDH("ARAI US Equity","EBITDA","1993-06-18","2026-05-02","Per=Y","Days=T","Dir=V")</f>
        <v>0</v>
      </c>
      <c r="AE2">
        <f>BDH("ARAI US Equity","NET_INCOME","1993-06-18","2026-05-02","Per=Y","Days=T","Dir=V")</f>
        <v>0</v>
      </c>
      <c r="AG2">
        <f>BDH("ARAI US Equity","IS_INT_EXPENSE","1993-06-18","2026-05-02","Per=Y","Days=T","Dir=V")</f>
        <v>0</v>
      </c>
      <c r="AI2">
        <f>BDH("ARAI US Equity","IS_DEPR_EXP","1993-06-18","2026-05-02","Per=Y","Days=T","Dir=V")</f>
        <v>0</v>
      </c>
      <c r="AK2">
        <f>BDH("ARAI US Equity","CF_CASH_FROM_OPER","1993-06-18","2026-05-02","Per=Y","Days=T","Dir=V")</f>
        <v>0</v>
      </c>
      <c r="AM2">
        <f>BDH("ARAI US Equity","CAPITAL_EXPEND","1993-06-18","2026-05-02","Per=Y","Days=T","Dir=V")</f>
        <v>0</v>
      </c>
      <c r="AO2">
        <f>BDH("ARAI US Equity","CF_FREE_CASH_FLOW","1993-06-18","2026-05-02","Per=Y","Days=T","Dir=V")</f>
        <v>0</v>
      </c>
      <c r="AQ2">
        <f>BDH("ARAI US Equity","PX_LAST","1993-06-18","2026-05-02","Per=M","Days=T","Dir=V")</f>
        <v>0</v>
      </c>
      <c r="AS2">
        <f>BDH("ARAI US Equity","CUR_MKT_CAP","1993-06-18","2026-05-02","Per=M","Days=T","Dir=V")</f>
        <v>0</v>
      </c>
      <c r="AU2">
        <f>BDH("ARAI US Equity","EQY_SH_OUT","1993-06-18","2026-05-02","Per=M","Days=T","Dir=V")</f>
        <v>0</v>
      </c>
      <c r="AW2">
        <f>BDH("ARAI US Equity","PX_VOLUME","1993-06-18","2026-05-02","Per=M","Days=T","Dir=V")</f>
        <v>0</v>
      </c>
      <c r="AY2">
        <f>BDH("ARAI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BDH("ARAY US Equity","BS_TOT_ASSET","1993-06-18","2026-05-02","Per=Y","Days=T","Dir=V")</f>
        <v>0</v>
      </c>
      <c r="C2">
        <f>BDH("ARAY US Equity","BS_TOT_LIAB2","1993-06-18","2026-05-02","Per=Y","Days=T","Dir=V")</f>
        <v>0</v>
      </c>
      <c r="E2">
        <f>BDH("ARAY US Equity","SHORT_AND_LONG_TERM_DEBT","1993-06-18","2026-05-02","Per=Y","Days=T","Dir=V")</f>
        <v>0</v>
      </c>
      <c r="G2">
        <f>BDH("ARAY US Equity","BS_ST_BORROW","1993-06-18","2026-05-02","Per=Y","Days=T","Dir=V")</f>
        <v>0</v>
      </c>
      <c r="I2">
        <f>BDH("ARAY US Equity","BS_LT_BORROW","1993-06-18","2026-05-02","Per=Y","Days=T","Dir=V")</f>
        <v>0</v>
      </c>
      <c r="K2">
        <f>BDH("ARAY US Equity","BS_CASH_NEAR_CASH_ITEM","1993-06-18","2026-05-02","Per=Y","Days=T","Dir=V")</f>
        <v>0</v>
      </c>
      <c r="M2">
        <f>BDH("ARAY US Equity","BS_CUR_ASSET_REPORT","1993-06-18","2026-05-02","Per=Y","Days=T","Dir=V")</f>
        <v>0</v>
      </c>
      <c r="O2">
        <f>BDH("ARAY US Equity","BS_CUR_LIAB","1993-06-18","2026-05-02","Per=Y","Days=T","Dir=V")</f>
        <v>0</v>
      </c>
      <c r="Q2">
        <f>BDH("ARAY US Equity","BS_SHAREHOLDER_EQY_ENDING_PERIOD","1993-06-18","2026-05-02","Per=Y","Days=T","Dir=V")</f>
        <v>0</v>
      </c>
      <c r="S2">
        <f>BDH("ARAY US Equity","BS_ACCT_NOTE_RCV","1993-06-18","2026-05-02","Per=Y","Days=T","Dir=V")</f>
        <v>0</v>
      </c>
      <c r="U2">
        <f>BDH("ARAY US Equity","BS_INVENTORIES","1993-06-18","2026-05-02","Per=Y","Days=T","Dir=V")</f>
        <v>0</v>
      </c>
      <c r="W2">
        <f>BDH("ARAY US Equity","WORKING_CAPITAL","1993-06-18","2026-05-02","Per=Y","Days=T","Dir=V")</f>
        <v>0</v>
      </c>
      <c r="Y2">
        <f>BDH("ARAY US Equity","SALES_REV_TURN","1993-06-18","2026-05-02","Per=Y","Days=T","Dir=V")</f>
        <v>0</v>
      </c>
      <c r="AA2">
        <f>BDH("ARAY US Equity","EBIT","1993-06-18","2026-05-02","Per=Y","Days=T","Dir=V")</f>
        <v>0</v>
      </c>
      <c r="AC2">
        <f>BDH("ARAY US Equity","EBITDA","1993-06-18","2026-05-02","Per=Y","Days=T","Dir=V")</f>
        <v>0</v>
      </c>
      <c r="AE2">
        <f>BDH("ARAY US Equity","NET_INCOME","1993-06-18","2026-05-02","Per=Y","Days=T","Dir=V")</f>
        <v>0</v>
      </c>
      <c r="AG2">
        <f>BDH("ARAY US Equity","IS_INT_EXPENSE","1993-06-18","2026-05-02","Per=Y","Days=T","Dir=V")</f>
        <v>0</v>
      </c>
      <c r="AI2">
        <f>BDH("ARAY US Equity","IS_DEPR_EXP","1993-06-18","2026-05-02","Per=Y","Days=T","Dir=V")</f>
        <v>0</v>
      </c>
      <c r="AK2">
        <f>BDH("ARAY US Equity","CF_CASH_FROM_OPER","1993-06-18","2026-05-02","Per=Y","Days=T","Dir=V")</f>
        <v>0</v>
      </c>
      <c r="AM2">
        <f>BDH("ARAY US Equity","CAPITAL_EXPEND","1993-06-18","2026-05-02","Per=Y","Days=T","Dir=V")</f>
        <v>0</v>
      </c>
      <c r="AO2">
        <f>BDH("ARAY US Equity","CF_FREE_CASH_FLOW","1993-06-18","2026-05-02","Per=Y","Days=T","Dir=V")</f>
        <v>0</v>
      </c>
      <c r="AQ2">
        <f>BDH("ARAY US Equity","PX_LAST","1993-06-18","2026-05-02","Per=M","Days=T","Dir=V")</f>
        <v>0</v>
      </c>
      <c r="AS2">
        <f>BDH("ARAY US Equity","CUR_MKT_CAP","1993-06-18","2026-05-02","Per=M","Days=T","Dir=V")</f>
        <v>0</v>
      </c>
      <c r="AU2">
        <f>BDH("ARAY US Equity","EQY_SH_OUT","1993-06-18","2026-05-02","Per=M","Days=T","Dir=V")</f>
        <v>0</v>
      </c>
      <c r="AW2">
        <f>BDH("ARAY US Equity","PX_VOLUME","1993-06-18","2026-05-02","Per=M","Days=T","Dir=V")</f>
        <v>0</v>
      </c>
      <c r="AY2">
        <f>BDH("ARAY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BDH("ARCB US Equity","BS_TOT_ASSET","1993-06-18","2026-05-02","Per=Y","Days=T","Dir=V")</f>
        <v>0</v>
      </c>
      <c r="C2">
        <f>BDH("ARCB US Equity","BS_TOT_LIAB2","1993-06-18","2026-05-02","Per=Y","Days=T","Dir=V")</f>
        <v>0</v>
      </c>
      <c r="E2">
        <f>BDH("ARCB US Equity","SHORT_AND_LONG_TERM_DEBT","1993-06-18","2026-05-02","Per=Y","Days=T","Dir=V")</f>
        <v>0</v>
      </c>
      <c r="G2">
        <f>BDH("ARCB US Equity","BS_ST_BORROW","1993-06-18","2026-05-02","Per=Y","Days=T","Dir=V")</f>
        <v>0</v>
      </c>
      <c r="I2">
        <f>BDH("ARCB US Equity","BS_LT_BORROW","1993-06-18","2026-05-02","Per=Y","Days=T","Dir=V")</f>
        <v>0</v>
      </c>
      <c r="K2">
        <f>BDH("ARCB US Equity","BS_CASH_NEAR_CASH_ITEM","1993-06-18","2026-05-02","Per=Y","Days=T","Dir=V")</f>
        <v>0</v>
      </c>
      <c r="M2">
        <f>BDH("ARCB US Equity","BS_CUR_ASSET_REPORT","1993-06-18","2026-05-02","Per=Y","Days=T","Dir=V")</f>
        <v>0</v>
      </c>
      <c r="O2">
        <f>BDH("ARCB US Equity","BS_CUR_LIAB","1993-06-18","2026-05-02","Per=Y","Days=T","Dir=V")</f>
        <v>0</v>
      </c>
      <c r="Q2">
        <f>BDH("ARCB US Equity","BS_SHAREHOLDER_EQY_ENDING_PERIOD","1993-06-18","2026-05-02","Per=Y","Days=T","Dir=V")</f>
        <v>0</v>
      </c>
      <c r="S2">
        <f>BDH("ARCB US Equity","BS_ACCT_NOTE_RCV","1993-06-18","2026-05-02","Per=Y","Days=T","Dir=V")</f>
        <v>0</v>
      </c>
      <c r="U2">
        <f>BDH("ARCB US Equity","BS_INVENTORIES","1993-06-18","2026-05-02","Per=Y","Days=T","Dir=V")</f>
        <v>0</v>
      </c>
      <c r="W2">
        <f>BDH("ARCB US Equity","WORKING_CAPITAL","1993-06-18","2026-05-02","Per=Y","Days=T","Dir=V")</f>
        <v>0</v>
      </c>
      <c r="Y2">
        <f>BDH("ARCB US Equity","SALES_REV_TURN","1993-06-18","2026-05-02","Per=Y","Days=T","Dir=V")</f>
        <v>0</v>
      </c>
      <c r="AA2">
        <f>BDH("ARCB US Equity","EBIT","1993-06-18","2026-05-02","Per=Y","Days=T","Dir=V")</f>
        <v>0</v>
      </c>
      <c r="AC2">
        <f>BDH("ARCB US Equity","EBITDA","1993-06-18","2026-05-02","Per=Y","Days=T","Dir=V")</f>
        <v>0</v>
      </c>
      <c r="AE2">
        <f>BDH("ARCB US Equity","NET_INCOME","1993-06-18","2026-05-02","Per=Y","Days=T","Dir=V")</f>
        <v>0</v>
      </c>
      <c r="AG2">
        <f>BDH("ARCB US Equity","IS_INT_EXPENSE","1993-06-18","2026-05-02","Per=Y","Days=T","Dir=V")</f>
        <v>0</v>
      </c>
      <c r="AI2">
        <f>BDH("ARCB US Equity","IS_DEPR_EXP","1993-06-18","2026-05-02","Per=Y","Days=T","Dir=V")</f>
        <v>0</v>
      </c>
      <c r="AK2">
        <f>BDH("ARCB US Equity","CF_CASH_FROM_OPER","1993-06-18","2026-05-02","Per=Y","Days=T","Dir=V")</f>
        <v>0</v>
      </c>
      <c r="AM2">
        <f>BDH("ARCB US Equity","CAPITAL_EXPEND","1993-06-18","2026-05-02","Per=Y","Days=T","Dir=V")</f>
        <v>0</v>
      </c>
      <c r="AO2">
        <f>BDH("ARCB US Equity","CF_FREE_CASH_FLOW","1993-06-18","2026-05-02","Per=Y","Days=T","Dir=V")</f>
        <v>0</v>
      </c>
      <c r="AQ2">
        <f>BDH("ARCB US Equity","PX_LAST","1993-06-18","2026-05-02","Per=M","Days=T","Dir=V")</f>
        <v>0</v>
      </c>
      <c r="AS2">
        <f>BDH("ARCB US Equity","CUR_MKT_CAP","1993-06-18","2026-05-02","Per=M","Days=T","Dir=V")</f>
        <v>0</v>
      </c>
      <c r="AU2">
        <f>BDH("ARCB US Equity","EQY_SH_OUT","1993-06-18","2026-05-02","Per=M","Days=T","Dir=V")</f>
        <v>0</v>
      </c>
      <c r="AW2">
        <f>BDH("ARCB US Equity","PX_VOLUME","1993-06-18","2026-05-02","Per=M","Days=T","Dir=V")</f>
        <v>0</v>
      </c>
      <c r="AY2">
        <f>BDH("ARCB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BDH("ARDT US Equity","BS_TOT_ASSET","1993-06-18","2026-05-02","Per=Y","Days=T","Dir=V")</f>
        <v>0</v>
      </c>
      <c r="C2">
        <f>BDH("ARDT US Equity","BS_TOT_LIAB2","1993-06-18","2026-05-02","Per=Y","Days=T","Dir=V")</f>
        <v>0</v>
      </c>
      <c r="E2">
        <f>BDH("ARDT US Equity","SHORT_AND_LONG_TERM_DEBT","1993-06-18","2026-05-02","Per=Y","Days=T","Dir=V")</f>
        <v>0</v>
      </c>
      <c r="G2">
        <f>BDH("ARDT US Equity","BS_ST_BORROW","1993-06-18","2026-05-02","Per=Y","Days=T","Dir=V")</f>
        <v>0</v>
      </c>
      <c r="I2">
        <f>BDH("ARDT US Equity","BS_LT_BORROW","1993-06-18","2026-05-02","Per=Y","Days=T","Dir=V")</f>
        <v>0</v>
      </c>
      <c r="K2">
        <f>BDH("ARDT US Equity","BS_CASH_NEAR_CASH_ITEM","1993-06-18","2026-05-02","Per=Y","Days=T","Dir=V")</f>
        <v>0</v>
      </c>
      <c r="M2">
        <f>BDH("ARDT US Equity","BS_CUR_ASSET_REPORT","1993-06-18","2026-05-02","Per=Y","Days=T","Dir=V")</f>
        <v>0</v>
      </c>
      <c r="O2">
        <f>BDH("ARDT US Equity","BS_CUR_LIAB","1993-06-18","2026-05-02","Per=Y","Days=T","Dir=V")</f>
        <v>0</v>
      </c>
      <c r="Q2">
        <f>BDH("ARDT US Equity","BS_SHAREHOLDER_EQY_ENDING_PERIOD","1993-06-18","2026-05-02","Per=Y","Days=T","Dir=V")</f>
        <v>0</v>
      </c>
      <c r="S2">
        <f>BDH("ARDT US Equity","BS_ACCT_NOTE_RCV","1993-06-18","2026-05-02","Per=Y","Days=T","Dir=V")</f>
        <v>0</v>
      </c>
      <c r="U2">
        <f>BDH("ARDT US Equity","BS_INVENTORIES","1993-06-18","2026-05-02","Per=Y","Days=T","Dir=V")</f>
        <v>0</v>
      </c>
      <c r="W2">
        <f>BDH("ARDT US Equity","WORKING_CAPITAL","1993-06-18","2026-05-02","Per=Y","Days=T","Dir=V")</f>
        <v>0</v>
      </c>
      <c r="Y2">
        <f>BDH("ARDT US Equity","SALES_REV_TURN","1993-06-18","2026-05-02","Per=Y","Days=T","Dir=V")</f>
        <v>0</v>
      </c>
      <c r="AA2">
        <f>BDH("ARDT US Equity","EBIT","1993-06-18","2026-05-02","Per=Y","Days=T","Dir=V")</f>
        <v>0</v>
      </c>
      <c r="AC2">
        <f>BDH("ARDT US Equity","EBITDA","1993-06-18","2026-05-02","Per=Y","Days=T","Dir=V")</f>
        <v>0</v>
      </c>
      <c r="AE2">
        <f>BDH("ARDT US Equity","NET_INCOME","1993-06-18","2026-05-02","Per=Y","Days=T","Dir=V")</f>
        <v>0</v>
      </c>
      <c r="AG2">
        <f>BDH("ARDT US Equity","IS_INT_EXPENSE","1993-06-18","2026-05-02","Per=Y","Days=T","Dir=V")</f>
        <v>0</v>
      </c>
      <c r="AI2">
        <f>BDH("ARDT US Equity","IS_DEPR_EXP","1993-06-18","2026-05-02","Per=Y","Days=T","Dir=V")</f>
        <v>0</v>
      </c>
      <c r="AK2">
        <f>BDH("ARDT US Equity","CF_CASH_FROM_OPER","1993-06-18","2026-05-02","Per=Y","Days=T","Dir=V")</f>
        <v>0</v>
      </c>
      <c r="AM2">
        <f>BDH("ARDT US Equity","CAPITAL_EXPEND","1993-06-18","2026-05-02","Per=Y","Days=T","Dir=V")</f>
        <v>0</v>
      </c>
      <c r="AO2">
        <f>BDH("ARDT US Equity","CF_FREE_CASH_FLOW","1993-06-18","2026-05-02","Per=Y","Days=T","Dir=V")</f>
        <v>0</v>
      </c>
      <c r="AQ2">
        <f>BDH("ARDT US Equity","PX_LAST","1993-06-18","2026-05-02","Per=M","Days=T","Dir=V")</f>
        <v>0</v>
      </c>
      <c r="AS2">
        <f>BDH("ARDT US Equity","CUR_MKT_CAP","1993-06-18","2026-05-02","Per=M","Days=T","Dir=V")</f>
        <v>0</v>
      </c>
      <c r="AU2">
        <f>BDH("ARDT US Equity","EQY_SH_OUT","1993-06-18","2026-05-02","Per=M","Days=T","Dir=V")</f>
        <v>0</v>
      </c>
      <c r="AW2">
        <f>BDH("ARDT US Equity","PX_VOLUME","1993-06-18","2026-05-02","Per=M","Days=T","Dir=V")</f>
        <v>0</v>
      </c>
      <c r="AY2">
        <f>BDH("ARDT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BDH("ARDX US Equity","BS_TOT_ASSET","1993-06-18","2026-05-02","Per=Y","Days=T","Dir=V")</f>
        <v>0</v>
      </c>
      <c r="C2">
        <f>BDH("ARDX US Equity","BS_TOT_LIAB2","1993-06-18","2026-05-02","Per=Y","Days=T","Dir=V")</f>
        <v>0</v>
      </c>
      <c r="E2">
        <f>BDH("ARDX US Equity","SHORT_AND_LONG_TERM_DEBT","1993-06-18","2026-05-02","Per=Y","Days=T","Dir=V")</f>
        <v>0</v>
      </c>
      <c r="G2">
        <f>BDH("ARDX US Equity","BS_ST_BORROW","1993-06-18","2026-05-02","Per=Y","Days=T","Dir=V")</f>
        <v>0</v>
      </c>
      <c r="I2">
        <f>BDH("ARDX US Equity","BS_LT_BORROW","1993-06-18","2026-05-02","Per=Y","Days=T","Dir=V")</f>
        <v>0</v>
      </c>
      <c r="K2">
        <f>BDH("ARDX US Equity","BS_CASH_NEAR_CASH_ITEM","1993-06-18","2026-05-02","Per=Y","Days=T","Dir=V")</f>
        <v>0</v>
      </c>
      <c r="M2">
        <f>BDH("ARDX US Equity","BS_CUR_ASSET_REPORT","1993-06-18","2026-05-02","Per=Y","Days=T","Dir=V")</f>
        <v>0</v>
      </c>
      <c r="O2">
        <f>BDH("ARDX US Equity","BS_CUR_LIAB","1993-06-18","2026-05-02","Per=Y","Days=T","Dir=V")</f>
        <v>0</v>
      </c>
      <c r="Q2">
        <f>BDH("ARDX US Equity","BS_SHAREHOLDER_EQY_ENDING_PERIOD","1993-06-18","2026-05-02","Per=Y","Days=T","Dir=V")</f>
        <v>0</v>
      </c>
      <c r="S2">
        <f>BDH("ARDX US Equity","BS_ACCT_NOTE_RCV","1993-06-18","2026-05-02","Per=Y","Days=T","Dir=V")</f>
        <v>0</v>
      </c>
      <c r="U2">
        <f>BDH("ARDX US Equity","BS_INVENTORIES","1993-06-18","2026-05-02","Per=Y","Days=T","Dir=V")</f>
        <v>0</v>
      </c>
      <c r="W2">
        <f>BDH("ARDX US Equity","WORKING_CAPITAL","1993-06-18","2026-05-02","Per=Y","Days=T","Dir=V")</f>
        <v>0</v>
      </c>
      <c r="Y2">
        <f>BDH("ARDX US Equity","SALES_REV_TURN","1993-06-18","2026-05-02","Per=Y","Days=T","Dir=V")</f>
        <v>0</v>
      </c>
      <c r="AA2">
        <f>BDH("ARDX US Equity","EBIT","1993-06-18","2026-05-02","Per=Y","Days=T","Dir=V")</f>
        <v>0</v>
      </c>
      <c r="AC2">
        <f>BDH("ARDX US Equity","EBITDA","1993-06-18","2026-05-02","Per=Y","Days=T","Dir=V")</f>
        <v>0</v>
      </c>
      <c r="AE2">
        <f>BDH("ARDX US Equity","NET_INCOME","1993-06-18","2026-05-02","Per=Y","Days=T","Dir=V")</f>
        <v>0</v>
      </c>
      <c r="AG2">
        <f>BDH("ARDX US Equity","IS_INT_EXPENSE","1993-06-18","2026-05-02","Per=Y","Days=T","Dir=V")</f>
        <v>0</v>
      </c>
      <c r="AI2">
        <f>BDH("ARDX US Equity","IS_DEPR_EXP","1993-06-18","2026-05-02","Per=Y","Days=T","Dir=V")</f>
        <v>0</v>
      </c>
      <c r="AK2">
        <f>BDH("ARDX US Equity","CF_CASH_FROM_OPER","1993-06-18","2026-05-02","Per=Y","Days=T","Dir=V")</f>
        <v>0</v>
      </c>
      <c r="AM2">
        <f>BDH("ARDX US Equity","CAPITAL_EXPEND","1993-06-18","2026-05-02","Per=Y","Days=T","Dir=V")</f>
        <v>0</v>
      </c>
      <c r="AO2">
        <f>BDH("ARDX US Equity","CF_FREE_CASH_FLOW","1993-06-18","2026-05-02","Per=Y","Days=T","Dir=V")</f>
        <v>0</v>
      </c>
      <c r="AQ2">
        <f>BDH("ARDX US Equity","PX_LAST","1993-06-18","2026-05-02","Per=M","Days=T","Dir=V")</f>
        <v>0</v>
      </c>
      <c r="AS2">
        <f>BDH("ARDX US Equity","CUR_MKT_CAP","1993-06-18","2026-05-02","Per=M","Days=T","Dir=V")</f>
        <v>0</v>
      </c>
      <c r="AU2">
        <f>BDH("ARDX US Equity","EQY_SH_OUT","1993-06-18","2026-05-02","Per=M","Days=T","Dir=V")</f>
        <v>0</v>
      </c>
      <c r="AW2">
        <f>BDH("ARDX US Equity","PX_VOLUME","1993-06-18","2026-05-02","Per=M","Days=T","Dir=V")</f>
        <v>0</v>
      </c>
      <c r="AY2">
        <f>BDH("ARDX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BDH("AREC US Equity","BS_TOT_ASSET","1993-06-18","2026-05-02","Per=Y","Days=T","Dir=V")</f>
        <v>0</v>
      </c>
      <c r="C2">
        <f>BDH("AREC US Equity","BS_TOT_LIAB2","1993-06-18","2026-05-02","Per=Y","Days=T","Dir=V")</f>
        <v>0</v>
      </c>
      <c r="E2">
        <f>BDH("AREC US Equity","SHORT_AND_LONG_TERM_DEBT","1993-06-18","2026-05-02","Per=Y","Days=T","Dir=V")</f>
        <v>0</v>
      </c>
      <c r="G2">
        <f>BDH("AREC US Equity","BS_ST_BORROW","1993-06-18","2026-05-02","Per=Y","Days=T","Dir=V")</f>
        <v>0</v>
      </c>
      <c r="I2">
        <f>BDH("AREC US Equity","BS_LT_BORROW","1993-06-18","2026-05-02","Per=Y","Days=T","Dir=V")</f>
        <v>0</v>
      </c>
      <c r="K2">
        <f>BDH("AREC US Equity","BS_CASH_NEAR_CASH_ITEM","1993-06-18","2026-05-02","Per=Y","Days=T","Dir=V")</f>
        <v>0</v>
      </c>
      <c r="M2">
        <f>BDH("AREC US Equity","BS_CUR_ASSET_REPORT","1993-06-18","2026-05-02","Per=Y","Days=T","Dir=V")</f>
        <v>0</v>
      </c>
      <c r="O2">
        <f>BDH("AREC US Equity","BS_CUR_LIAB","1993-06-18","2026-05-02","Per=Y","Days=T","Dir=V")</f>
        <v>0</v>
      </c>
      <c r="Q2">
        <f>BDH("AREC US Equity","BS_SHAREHOLDER_EQY_ENDING_PERIOD","1993-06-18","2026-05-02","Per=Y","Days=T","Dir=V")</f>
        <v>0</v>
      </c>
      <c r="S2">
        <f>BDH("AREC US Equity","BS_ACCT_NOTE_RCV","1993-06-18","2026-05-02","Per=Y","Days=T","Dir=V")</f>
        <v>0</v>
      </c>
      <c r="U2">
        <f>BDH("AREC US Equity","BS_INVENTORIES","1993-06-18","2026-05-02","Per=Y","Days=T","Dir=V")</f>
        <v>0</v>
      </c>
      <c r="W2">
        <f>BDH("AREC US Equity","WORKING_CAPITAL","1993-06-18","2026-05-02","Per=Y","Days=T","Dir=V")</f>
        <v>0</v>
      </c>
      <c r="Y2">
        <f>BDH("AREC US Equity","SALES_REV_TURN","1993-06-18","2026-05-02","Per=Y","Days=T","Dir=V")</f>
        <v>0</v>
      </c>
      <c r="AA2">
        <f>BDH("AREC US Equity","EBIT","1993-06-18","2026-05-02","Per=Y","Days=T","Dir=V")</f>
        <v>0</v>
      </c>
      <c r="AC2">
        <f>BDH("AREC US Equity","EBITDA","1993-06-18","2026-05-02","Per=Y","Days=T","Dir=V")</f>
        <v>0</v>
      </c>
      <c r="AE2">
        <f>BDH("AREC US Equity","NET_INCOME","1993-06-18","2026-05-02","Per=Y","Days=T","Dir=V")</f>
        <v>0</v>
      </c>
      <c r="AG2">
        <f>BDH("AREC US Equity","IS_INT_EXPENSE","1993-06-18","2026-05-02","Per=Y","Days=T","Dir=V")</f>
        <v>0</v>
      </c>
      <c r="AI2">
        <f>BDH("AREC US Equity","IS_DEPR_EXP","1993-06-18","2026-05-02","Per=Y","Days=T","Dir=V")</f>
        <v>0</v>
      </c>
      <c r="AK2">
        <f>BDH("AREC US Equity","CF_CASH_FROM_OPER","1993-06-18","2026-05-02","Per=Y","Days=T","Dir=V")</f>
        <v>0</v>
      </c>
      <c r="AM2">
        <f>BDH("AREC US Equity","CAPITAL_EXPEND","1993-06-18","2026-05-02","Per=Y","Days=T","Dir=V")</f>
        <v>0</v>
      </c>
      <c r="AO2">
        <f>BDH("AREC US Equity","CF_FREE_CASH_FLOW","1993-06-18","2026-05-02","Per=Y","Days=T","Dir=V")</f>
        <v>0</v>
      </c>
      <c r="AQ2">
        <f>BDH("AREC US Equity","PX_LAST","1993-06-18","2026-05-02","Per=M","Days=T","Dir=V")</f>
        <v>0</v>
      </c>
      <c r="AS2">
        <f>BDH("AREC US Equity","CUR_MKT_CAP","1993-06-18","2026-05-02","Per=M","Days=T","Dir=V")</f>
        <v>0</v>
      </c>
      <c r="AU2">
        <f>BDH("AREC US Equity","EQY_SH_OUT","1993-06-18","2026-05-02","Per=M","Days=T","Dir=V")</f>
        <v>0</v>
      </c>
      <c r="AW2">
        <f>BDH("AREC US Equity","PX_VOLUME","1993-06-18","2026-05-02","Per=M","Days=T","Dir=V")</f>
        <v>0</v>
      </c>
      <c r="AY2">
        <f>BDH("AREC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BDH("ARHS US Equity","BS_TOT_ASSET","1993-06-18","2026-05-02","Per=Y","Days=T","Dir=V")</f>
        <v>0</v>
      </c>
      <c r="C2">
        <f>BDH("ARHS US Equity","BS_TOT_LIAB2","1993-06-18","2026-05-02","Per=Y","Days=T","Dir=V")</f>
        <v>0</v>
      </c>
      <c r="E2">
        <f>BDH("ARHS US Equity","SHORT_AND_LONG_TERM_DEBT","1993-06-18","2026-05-02","Per=Y","Days=T","Dir=V")</f>
        <v>0</v>
      </c>
      <c r="G2">
        <f>BDH("ARHS US Equity","BS_ST_BORROW","1993-06-18","2026-05-02","Per=Y","Days=T","Dir=V")</f>
        <v>0</v>
      </c>
      <c r="I2">
        <f>BDH("ARHS US Equity","BS_LT_BORROW","1993-06-18","2026-05-02","Per=Y","Days=T","Dir=V")</f>
        <v>0</v>
      </c>
      <c r="K2">
        <f>BDH("ARHS US Equity","BS_CASH_NEAR_CASH_ITEM","1993-06-18","2026-05-02","Per=Y","Days=T","Dir=V")</f>
        <v>0</v>
      </c>
      <c r="M2">
        <f>BDH("ARHS US Equity","BS_CUR_ASSET_REPORT","1993-06-18","2026-05-02","Per=Y","Days=T","Dir=V")</f>
        <v>0</v>
      </c>
      <c r="O2">
        <f>BDH("ARHS US Equity","BS_CUR_LIAB","1993-06-18","2026-05-02","Per=Y","Days=T","Dir=V")</f>
        <v>0</v>
      </c>
      <c r="Q2">
        <f>BDH("ARHS US Equity","BS_SHAREHOLDER_EQY_ENDING_PERIOD","1993-06-18","2026-05-02","Per=Y","Days=T","Dir=V")</f>
        <v>0</v>
      </c>
      <c r="S2">
        <f>BDH("ARHS US Equity","BS_ACCT_NOTE_RCV","1993-06-18","2026-05-02","Per=Y","Days=T","Dir=V")</f>
        <v>0</v>
      </c>
      <c r="U2">
        <f>BDH("ARHS US Equity","BS_INVENTORIES","1993-06-18","2026-05-02","Per=Y","Days=T","Dir=V")</f>
        <v>0</v>
      </c>
      <c r="W2">
        <f>BDH("ARHS US Equity","WORKING_CAPITAL","1993-06-18","2026-05-02","Per=Y","Days=T","Dir=V")</f>
        <v>0</v>
      </c>
      <c r="Y2">
        <f>BDH("ARHS US Equity","SALES_REV_TURN","1993-06-18","2026-05-02","Per=Y","Days=T","Dir=V")</f>
        <v>0</v>
      </c>
      <c r="AA2">
        <f>BDH("ARHS US Equity","EBIT","1993-06-18","2026-05-02","Per=Y","Days=T","Dir=V")</f>
        <v>0</v>
      </c>
      <c r="AC2">
        <f>BDH("ARHS US Equity","EBITDA","1993-06-18","2026-05-02","Per=Y","Days=T","Dir=V")</f>
        <v>0</v>
      </c>
      <c r="AE2">
        <f>BDH("ARHS US Equity","NET_INCOME","1993-06-18","2026-05-02","Per=Y","Days=T","Dir=V")</f>
        <v>0</v>
      </c>
      <c r="AG2">
        <f>BDH("ARHS US Equity","IS_INT_EXPENSE","1993-06-18","2026-05-02","Per=Y","Days=T","Dir=V")</f>
        <v>0</v>
      </c>
      <c r="AI2">
        <f>BDH("ARHS US Equity","IS_DEPR_EXP","1993-06-18","2026-05-02","Per=Y","Days=T","Dir=V")</f>
        <v>0</v>
      </c>
      <c r="AK2">
        <f>BDH("ARHS US Equity","CF_CASH_FROM_OPER","1993-06-18","2026-05-02","Per=Y","Days=T","Dir=V")</f>
        <v>0</v>
      </c>
      <c r="AM2">
        <f>BDH("ARHS US Equity","CAPITAL_EXPEND","1993-06-18","2026-05-02","Per=Y","Days=T","Dir=V")</f>
        <v>0</v>
      </c>
      <c r="AO2">
        <f>BDH("ARHS US Equity","CF_FREE_CASH_FLOW","1993-06-18","2026-05-02","Per=Y","Days=T","Dir=V")</f>
        <v>0</v>
      </c>
      <c r="AQ2">
        <f>BDH("ARHS US Equity","PX_LAST","1993-06-18","2026-05-02","Per=M","Days=T","Dir=V")</f>
        <v>0</v>
      </c>
      <c r="AS2">
        <f>BDH("ARHS US Equity","CUR_MKT_CAP","1993-06-18","2026-05-02","Per=M","Days=T","Dir=V")</f>
        <v>0</v>
      </c>
      <c r="AU2">
        <f>BDH("ARHS US Equity","EQY_SH_OUT","1993-06-18","2026-05-02","Per=M","Days=T","Dir=V")</f>
        <v>0</v>
      </c>
      <c r="AW2">
        <f>BDH("ARHS US Equity","PX_VOLUME","1993-06-18","2026-05-02","Per=M","Days=T","Dir=V")</f>
        <v>0</v>
      </c>
      <c r="AY2">
        <f>BDH("ARHS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BDH("ARKO US Equity","BS_TOT_ASSET","1993-06-18","2026-05-02","Per=Y","Days=T","Dir=V")</f>
        <v>0</v>
      </c>
      <c r="C2">
        <f>BDH("ARKO US Equity","BS_TOT_LIAB2","1993-06-18","2026-05-02","Per=Y","Days=T","Dir=V")</f>
        <v>0</v>
      </c>
      <c r="E2">
        <f>BDH("ARKO US Equity","SHORT_AND_LONG_TERM_DEBT","1993-06-18","2026-05-02","Per=Y","Days=T","Dir=V")</f>
        <v>0</v>
      </c>
      <c r="G2">
        <f>BDH("ARKO US Equity","BS_ST_BORROW","1993-06-18","2026-05-02","Per=Y","Days=T","Dir=V")</f>
        <v>0</v>
      </c>
      <c r="I2">
        <f>BDH("ARKO US Equity","BS_LT_BORROW","1993-06-18","2026-05-02","Per=Y","Days=T","Dir=V")</f>
        <v>0</v>
      </c>
      <c r="K2">
        <f>BDH("ARKO US Equity","BS_CASH_NEAR_CASH_ITEM","1993-06-18","2026-05-02","Per=Y","Days=T","Dir=V")</f>
        <v>0</v>
      </c>
      <c r="M2">
        <f>BDH("ARKO US Equity","BS_CUR_ASSET_REPORT","1993-06-18","2026-05-02","Per=Y","Days=T","Dir=V")</f>
        <v>0</v>
      </c>
      <c r="O2">
        <f>BDH("ARKO US Equity","BS_CUR_LIAB","1993-06-18","2026-05-02","Per=Y","Days=T","Dir=V")</f>
        <v>0</v>
      </c>
      <c r="Q2">
        <f>BDH("ARKO US Equity","BS_SHAREHOLDER_EQY_ENDING_PERIOD","1993-06-18","2026-05-02","Per=Y","Days=T","Dir=V")</f>
        <v>0</v>
      </c>
      <c r="S2">
        <f>BDH("ARKO US Equity","BS_ACCT_NOTE_RCV","1993-06-18","2026-05-02","Per=Y","Days=T","Dir=V")</f>
        <v>0</v>
      </c>
      <c r="U2">
        <f>BDH("ARKO US Equity","BS_INVENTORIES","1993-06-18","2026-05-02","Per=Y","Days=T","Dir=V")</f>
        <v>0</v>
      </c>
      <c r="W2">
        <f>BDH("ARKO US Equity","WORKING_CAPITAL","1993-06-18","2026-05-02","Per=Y","Days=T","Dir=V")</f>
        <v>0</v>
      </c>
      <c r="Y2">
        <f>BDH("ARKO US Equity","SALES_REV_TURN","1993-06-18","2026-05-02","Per=Y","Days=T","Dir=V")</f>
        <v>0</v>
      </c>
      <c r="AA2">
        <f>BDH("ARKO US Equity","EBIT","1993-06-18","2026-05-02","Per=Y","Days=T","Dir=V")</f>
        <v>0</v>
      </c>
      <c r="AC2">
        <f>BDH("ARKO US Equity","EBITDA","1993-06-18","2026-05-02","Per=Y","Days=T","Dir=V")</f>
        <v>0</v>
      </c>
      <c r="AE2">
        <f>BDH("ARKO US Equity","NET_INCOME","1993-06-18","2026-05-02","Per=Y","Days=T","Dir=V")</f>
        <v>0</v>
      </c>
      <c r="AG2">
        <f>BDH("ARKO US Equity","IS_INT_EXPENSE","1993-06-18","2026-05-02","Per=Y","Days=T","Dir=V")</f>
        <v>0</v>
      </c>
      <c r="AI2">
        <f>BDH("ARKO US Equity","IS_DEPR_EXP","1993-06-18","2026-05-02","Per=Y","Days=T","Dir=V")</f>
        <v>0</v>
      </c>
      <c r="AK2">
        <f>BDH("ARKO US Equity","CF_CASH_FROM_OPER","1993-06-18","2026-05-02","Per=Y","Days=T","Dir=V")</f>
        <v>0</v>
      </c>
      <c r="AM2">
        <f>BDH("ARKO US Equity","CAPITAL_EXPEND","1993-06-18","2026-05-02","Per=Y","Days=T","Dir=V")</f>
        <v>0</v>
      </c>
      <c r="AO2">
        <f>BDH("ARKO US Equity","CF_FREE_CASH_FLOW","1993-06-18","2026-05-02","Per=Y","Days=T","Dir=V")</f>
        <v>0</v>
      </c>
      <c r="AQ2">
        <f>BDH("ARKO US Equity","PX_LAST","1993-06-18","2026-05-02","Per=M","Days=T","Dir=V")</f>
        <v>0</v>
      </c>
      <c r="AS2">
        <f>BDH("ARKO US Equity","CUR_MKT_CAP","1993-06-18","2026-05-02","Per=M","Days=T","Dir=V")</f>
        <v>0</v>
      </c>
      <c r="AU2">
        <f>BDH("ARKO US Equity","EQY_SH_OUT","1993-06-18","2026-05-02","Per=M","Days=T","Dir=V")</f>
        <v>0</v>
      </c>
      <c r="AW2">
        <f>BDH("ARKO US Equity","PX_VOLUME","1993-06-18","2026-05-02","Per=M","Days=T","Dir=V")</f>
        <v>0</v>
      </c>
      <c r="AY2">
        <f>BDH("ARKO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BDH("ARKR US Equity","BS_TOT_ASSET","1993-06-18","2026-05-02","Per=Y","Days=T","Dir=V")</f>
        <v>0</v>
      </c>
      <c r="C2">
        <f>BDH("ARKR US Equity","BS_TOT_LIAB2","1993-06-18","2026-05-02","Per=Y","Days=T","Dir=V")</f>
        <v>0</v>
      </c>
      <c r="E2">
        <f>BDH("ARKR US Equity","SHORT_AND_LONG_TERM_DEBT","1993-06-18","2026-05-02","Per=Y","Days=T","Dir=V")</f>
        <v>0</v>
      </c>
      <c r="G2">
        <f>BDH("ARKR US Equity","BS_ST_BORROW","1993-06-18","2026-05-02","Per=Y","Days=T","Dir=V")</f>
        <v>0</v>
      </c>
      <c r="I2">
        <f>BDH("ARKR US Equity","BS_LT_BORROW","1993-06-18","2026-05-02","Per=Y","Days=T","Dir=V")</f>
        <v>0</v>
      </c>
      <c r="K2">
        <f>BDH("ARKR US Equity","BS_CASH_NEAR_CASH_ITEM","1993-06-18","2026-05-02","Per=Y","Days=T","Dir=V")</f>
        <v>0</v>
      </c>
      <c r="M2">
        <f>BDH("ARKR US Equity","BS_CUR_ASSET_REPORT","1993-06-18","2026-05-02","Per=Y","Days=T","Dir=V")</f>
        <v>0</v>
      </c>
      <c r="O2">
        <f>BDH("ARKR US Equity","BS_CUR_LIAB","1993-06-18","2026-05-02","Per=Y","Days=T","Dir=V")</f>
        <v>0</v>
      </c>
      <c r="Q2">
        <f>BDH("ARKR US Equity","BS_SHAREHOLDER_EQY_ENDING_PERIOD","1993-06-18","2026-05-02","Per=Y","Days=T","Dir=V")</f>
        <v>0</v>
      </c>
      <c r="S2">
        <f>BDH("ARKR US Equity","BS_ACCT_NOTE_RCV","1993-06-18","2026-05-02","Per=Y","Days=T","Dir=V")</f>
        <v>0</v>
      </c>
      <c r="U2">
        <f>BDH("ARKR US Equity","BS_INVENTORIES","1993-06-18","2026-05-02","Per=Y","Days=T","Dir=V")</f>
        <v>0</v>
      </c>
      <c r="W2">
        <f>BDH("ARKR US Equity","WORKING_CAPITAL","1993-06-18","2026-05-02","Per=Y","Days=T","Dir=V")</f>
        <v>0</v>
      </c>
      <c r="Y2">
        <f>BDH("ARKR US Equity","SALES_REV_TURN","1993-06-18","2026-05-02","Per=Y","Days=T","Dir=V")</f>
        <v>0</v>
      </c>
      <c r="AA2">
        <f>BDH("ARKR US Equity","EBIT","1993-06-18","2026-05-02","Per=Y","Days=T","Dir=V")</f>
        <v>0</v>
      </c>
      <c r="AC2">
        <f>BDH("ARKR US Equity","EBITDA","1993-06-18","2026-05-02","Per=Y","Days=T","Dir=V")</f>
        <v>0</v>
      </c>
      <c r="AE2">
        <f>BDH("ARKR US Equity","NET_INCOME","1993-06-18","2026-05-02","Per=Y","Days=T","Dir=V")</f>
        <v>0</v>
      </c>
      <c r="AG2">
        <f>BDH("ARKR US Equity","IS_INT_EXPENSE","1993-06-18","2026-05-02","Per=Y","Days=T","Dir=V")</f>
        <v>0</v>
      </c>
      <c r="AI2">
        <f>BDH("ARKR US Equity","IS_DEPR_EXP","1993-06-18","2026-05-02","Per=Y","Days=T","Dir=V")</f>
        <v>0</v>
      </c>
      <c r="AK2">
        <f>BDH("ARKR US Equity","CF_CASH_FROM_OPER","1993-06-18","2026-05-02","Per=Y","Days=T","Dir=V")</f>
        <v>0</v>
      </c>
      <c r="AM2">
        <f>BDH("ARKR US Equity","CAPITAL_EXPEND","1993-06-18","2026-05-02","Per=Y","Days=T","Dir=V")</f>
        <v>0</v>
      </c>
      <c r="AO2">
        <f>BDH("ARKR US Equity","CF_FREE_CASH_FLOW","1993-06-18","2026-05-02","Per=Y","Days=T","Dir=V")</f>
        <v>0</v>
      </c>
      <c r="AQ2">
        <f>BDH("ARKR US Equity","PX_LAST","1993-06-18","2026-05-02","Per=M","Days=T","Dir=V")</f>
        <v>0</v>
      </c>
      <c r="AS2">
        <f>BDH("ARKR US Equity","CUR_MKT_CAP","1993-06-18","2026-05-02","Per=M","Days=T","Dir=V")</f>
        <v>0</v>
      </c>
      <c r="AU2">
        <f>BDH("ARKR US Equity","EQY_SH_OUT","1993-06-18","2026-05-02","Per=M","Days=T","Dir=V")</f>
        <v>0</v>
      </c>
      <c r="AW2">
        <f>BDH("ARKR US Equity","PX_VOLUME","1993-06-18","2026-05-02","Per=M","Days=T","Dir=V")</f>
        <v>0</v>
      </c>
      <c r="AY2">
        <f>BDH("ARKR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BDH("ARLO US Equity","BS_TOT_ASSET","1993-06-18","2026-05-02","Per=Y","Days=T","Dir=V")</f>
        <v>0</v>
      </c>
      <c r="C2">
        <f>BDH("ARLO US Equity","BS_TOT_LIAB2","1993-06-18","2026-05-02","Per=Y","Days=T","Dir=V")</f>
        <v>0</v>
      </c>
      <c r="E2">
        <f>BDH("ARLO US Equity","SHORT_AND_LONG_TERM_DEBT","1993-06-18","2026-05-02","Per=Y","Days=T","Dir=V")</f>
        <v>0</v>
      </c>
      <c r="G2">
        <f>BDH("ARLO US Equity","BS_ST_BORROW","1993-06-18","2026-05-02","Per=Y","Days=T","Dir=V")</f>
        <v>0</v>
      </c>
      <c r="I2">
        <f>BDH("ARLO US Equity","BS_LT_BORROW","1993-06-18","2026-05-02","Per=Y","Days=T","Dir=V")</f>
        <v>0</v>
      </c>
      <c r="K2">
        <f>BDH("ARLO US Equity","BS_CASH_NEAR_CASH_ITEM","1993-06-18","2026-05-02","Per=Y","Days=T","Dir=V")</f>
        <v>0</v>
      </c>
      <c r="M2">
        <f>BDH("ARLO US Equity","BS_CUR_ASSET_REPORT","1993-06-18","2026-05-02","Per=Y","Days=T","Dir=V")</f>
        <v>0</v>
      </c>
      <c r="O2">
        <f>BDH("ARLO US Equity","BS_CUR_LIAB","1993-06-18","2026-05-02","Per=Y","Days=T","Dir=V")</f>
        <v>0</v>
      </c>
      <c r="Q2">
        <f>BDH("ARLO US Equity","BS_SHAREHOLDER_EQY_ENDING_PERIOD","1993-06-18","2026-05-02","Per=Y","Days=T","Dir=V")</f>
        <v>0</v>
      </c>
      <c r="S2">
        <f>BDH("ARLO US Equity","BS_ACCT_NOTE_RCV","1993-06-18","2026-05-02","Per=Y","Days=T","Dir=V")</f>
        <v>0</v>
      </c>
      <c r="U2">
        <f>BDH("ARLO US Equity","BS_INVENTORIES","1993-06-18","2026-05-02","Per=Y","Days=T","Dir=V")</f>
        <v>0</v>
      </c>
      <c r="W2">
        <f>BDH("ARLO US Equity","WORKING_CAPITAL","1993-06-18","2026-05-02","Per=Y","Days=T","Dir=V")</f>
        <v>0</v>
      </c>
      <c r="Y2">
        <f>BDH("ARLO US Equity","SALES_REV_TURN","1993-06-18","2026-05-02","Per=Y","Days=T","Dir=V")</f>
        <v>0</v>
      </c>
      <c r="AA2">
        <f>BDH("ARLO US Equity","EBIT","1993-06-18","2026-05-02","Per=Y","Days=T","Dir=V")</f>
        <v>0</v>
      </c>
      <c r="AC2">
        <f>BDH("ARLO US Equity","EBITDA","1993-06-18","2026-05-02","Per=Y","Days=T","Dir=V")</f>
        <v>0</v>
      </c>
      <c r="AE2">
        <f>BDH("ARLO US Equity","NET_INCOME","1993-06-18","2026-05-02","Per=Y","Days=T","Dir=V")</f>
        <v>0</v>
      </c>
      <c r="AG2">
        <f>BDH("ARLO US Equity","IS_INT_EXPENSE","1993-06-18","2026-05-02","Per=Y","Days=T","Dir=V")</f>
        <v>0</v>
      </c>
      <c r="AI2">
        <f>BDH("ARLO US Equity","IS_DEPR_EXP","1993-06-18","2026-05-02","Per=Y","Days=T","Dir=V")</f>
        <v>0</v>
      </c>
      <c r="AK2">
        <f>BDH("ARLO US Equity","CF_CASH_FROM_OPER","1993-06-18","2026-05-02","Per=Y","Days=T","Dir=V")</f>
        <v>0</v>
      </c>
      <c r="AM2">
        <f>BDH("ARLO US Equity","CAPITAL_EXPEND","1993-06-18","2026-05-02","Per=Y","Days=T","Dir=V")</f>
        <v>0</v>
      </c>
      <c r="AO2">
        <f>BDH("ARLO US Equity","CF_FREE_CASH_FLOW","1993-06-18","2026-05-02","Per=Y","Days=T","Dir=V")</f>
        <v>0</v>
      </c>
      <c r="AQ2">
        <f>BDH("ARLO US Equity","PX_LAST","1993-06-18","2026-05-02","Per=M","Days=T","Dir=V")</f>
        <v>0</v>
      </c>
      <c r="AS2">
        <f>BDH("ARLO US Equity","CUR_MKT_CAP","1993-06-18","2026-05-02","Per=M","Days=T","Dir=V")</f>
        <v>0</v>
      </c>
      <c r="AU2">
        <f>BDH("ARLO US Equity","EQY_SH_OUT","1993-06-18","2026-05-02","Per=M","Days=T","Dir=V")</f>
        <v>0</v>
      </c>
      <c r="AW2">
        <f>BDH("ARLO US Equity","PX_VOLUME","1993-06-18","2026-05-02","Per=M","Days=T","Dir=V")</f>
        <v>0</v>
      </c>
      <c r="AY2">
        <f>BDH("ARLO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BDH("ARLP US Equity","BS_TOT_ASSET","1993-06-18","2026-05-02","Per=Y","Days=T","Dir=V")</f>
        <v>0</v>
      </c>
      <c r="C2">
        <f>BDH("ARLP US Equity","BS_TOT_LIAB2","1993-06-18","2026-05-02","Per=Y","Days=T","Dir=V")</f>
        <v>0</v>
      </c>
      <c r="E2">
        <f>BDH("ARLP US Equity","SHORT_AND_LONG_TERM_DEBT","1993-06-18","2026-05-02","Per=Y","Days=T","Dir=V")</f>
        <v>0</v>
      </c>
      <c r="G2">
        <f>BDH("ARLP US Equity","BS_ST_BORROW","1993-06-18","2026-05-02","Per=Y","Days=T","Dir=V")</f>
        <v>0</v>
      </c>
      <c r="I2">
        <f>BDH("ARLP US Equity","BS_LT_BORROW","1993-06-18","2026-05-02","Per=Y","Days=T","Dir=V")</f>
        <v>0</v>
      </c>
      <c r="K2">
        <f>BDH("ARLP US Equity","BS_CASH_NEAR_CASH_ITEM","1993-06-18","2026-05-02","Per=Y","Days=T","Dir=V")</f>
        <v>0</v>
      </c>
      <c r="M2">
        <f>BDH("ARLP US Equity","BS_CUR_ASSET_REPORT","1993-06-18","2026-05-02","Per=Y","Days=T","Dir=V")</f>
        <v>0</v>
      </c>
      <c r="O2">
        <f>BDH("ARLP US Equity","BS_CUR_LIAB","1993-06-18","2026-05-02","Per=Y","Days=T","Dir=V")</f>
        <v>0</v>
      </c>
      <c r="Q2">
        <f>BDH("ARLP US Equity","BS_SHAREHOLDER_EQY_ENDING_PERIOD","1993-06-18","2026-05-02","Per=Y","Days=T","Dir=V")</f>
        <v>0</v>
      </c>
      <c r="S2">
        <f>BDH("ARLP US Equity","BS_ACCT_NOTE_RCV","1993-06-18","2026-05-02","Per=Y","Days=T","Dir=V")</f>
        <v>0</v>
      </c>
      <c r="U2">
        <f>BDH("ARLP US Equity","BS_INVENTORIES","1993-06-18","2026-05-02","Per=Y","Days=T","Dir=V")</f>
        <v>0</v>
      </c>
      <c r="W2">
        <f>BDH("ARLP US Equity","WORKING_CAPITAL","1993-06-18","2026-05-02","Per=Y","Days=T","Dir=V")</f>
        <v>0</v>
      </c>
      <c r="Y2">
        <f>BDH("ARLP US Equity","SALES_REV_TURN","1993-06-18","2026-05-02","Per=Y","Days=T","Dir=V")</f>
        <v>0</v>
      </c>
      <c r="AA2">
        <f>BDH("ARLP US Equity","EBIT","1993-06-18","2026-05-02","Per=Y","Days=T","Dir=V")</f>
        <v>0</v>
      </c>
      <c r="AC2">
        <f>BDH("ARLP US Equity","EBITDA","1993-06-18","2026-05-02","Per=Y","Days=T","Dir=V")</f>
        <v>0</v>
      </c>
      <c r="AE2">
        <f>BDH("ARLP US Equity","NET_INCOME","1993-06-18","2026-05-02","Per=Y","Days=T","Dir=V")</f>
        <v>0</v>
      </c>
      <c r="AG2">
        <f>BDH("ARLP US Equity","IS_INT_EXPENSE","1993-06-18","2026-05-02","Per=Y","Days=T","Dir=V")</f>
        <v>0</v>
      </c>
      <c r="AI2">
        <f>BDH("ARLP US Equity","IS_DEPR_EXP","1993-06-18","2026-05-02","Per=Y","Days=T","Dir=V")</f>
        <v>0</v>
      </c>
      <c r="AK2">
        <f>BDH("ARLP US Equity","CF_CASH_FROM_OPER","1993-06-18","2026-05-02","Per=Y","Days=T","Dir=V")</f>
        <v>0</v>
      </c>
      <c r="AM2">
        <f>BDH("ARLP US Equity","CAPITAL_EXPEND","1993-06-18","2026-05-02","Per=Y","Days=T","Dir=V")</f>
        <v>0</v>
      </c>
      <c r="AO2">
        <f>BDH("ARLP US Equity","CF_FREE_CASH_FLOW","1993-06-18","2026-05-02","Per=Y","Days=T","Dir=V")</f>
        <v>0</v>
      </c>
      <c r="AQ2">
        <f>BDH("ARLP US Equity","PX_LAST","1993-06-18","2026-05-02","Per=M","Days=T","Dir=V")</f>
        <v>0</v>
      </c>
      <c r="AS2">
        <f>BDH("ARLP US Equity","CUR_MKT_CAP","1993-06-18","2026-05-02","Per=M","Days=T","Dir=V")</f>
        <v>0</v>
      </c>
      <c r="AU2">
        <f>BDH("ARLP US Equity","EQY_SH_OUT","1993-06-18","2026-05-02","Per=M","Days=T","Dir=V")</f>
        <v>0</v>
      </c>
      <c r="AW2">
        <f>BDH("ARLP US Equity","PX_VOLUME","1993-06-18","2026-05-02","Per=M","Days=T","Dir=V")</f>
        <v>0</v>
      </c>
      <c r="AY2">
        <f>BDH("ARLP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BDH("ARMK US Equity","BS_TOT_ASSET","1993-06-18","2026-05-02","Per=Y","Days=T","Dir=V")</f>
        <v>0</v>
      </c>
      <c r="C2">
        <f>BDH("ARMK US Equity","BS_TOT_LIAB2","1993-06-18","2026-05-02","Per=Y","Days=T","Dir=V")</f>
        <v>0</v>
      </c>
      <c r="E2">
        <f>BDH("ARMK US Equity","SHORT_AND_LONG_TERM_DEBT","1993-06-18","2026-05-02","Per=Y","Days=T","Dir=V")</f>
        <v>0</v>
      </c>
      <c r="G2">
        <f>BDH("ARMK US Equity","BS_ST_BORROW","1993-06-18","2026-05-02","Per=Y","Days=T","Dir=V")</f>
        <v>0</v>
      </c>
      <c r="I2">
        <f>BDH("ARMK US Equity","BS_LT_BORROW","1993-06-18","2026-05-02","Per=Y","Days=T","Dir=V")</f>
        <v>0</v>
      </c>
      <c r="K2">
        <f>BDH("ARMK US Equity","BS_CASH_NEAR_CASH_ITEM","1993-06-18","2026-05-02","Per=Y","Days=T","Dir=V")</f>
        <v>0</v>
      </c>
      <c r="M2">
        <f>BDH("ARMK US Equity","BS_CUR_ASSET_REPORT","1993-06-18","2026-05-02","Per=Y","Days=T","Dir=V")</f>
        <v>0</v>
      </c>
      <c r="O2">
        <f>BDH("ARMK US Equity","BS_CUR_LIAB","1993-06-18","2026-05-02","Per=Y","Days=T","Dir=V")</f>
        <v>0</v>
      </c>
      <c r="Q2">
        <f>BDH("ARMK US Equity","BS_SHAREHOLDER_EQY_ENDING_PERIOD","1993-06-18","2026-05-02","Per=Y","Days=T","Dir=V")</f>
        <v>0</v>
      </c>
      <c r="S2">
        <f>BDH("ARMK US Equity","BS_ACCT_NOTE_RCV","1993-06-18","2026-05-02","Per=Y","Days=T","Dir=V")</f>
        <v>0</v>
      </c>
      <c r="U2">
        <f>BDH("ARMK US Equity","BS_INVENTORIES","1993-06-18","2026-05-02","Per=Y","Days=T","Dir=V")</f>
        <v>0</v>
      </c>
      <c r="W2">
        <f>BDH("ARMK US Equity","WORKING_CAPITAL","1993-06-18","2026-05-02","Per=Y","Days=T","Dir=V")</f>
        <v>0</v>
      </c>
      <c r="Y2">
        <f>BDH("ARMK US Equity","SALES_REV_TURN","1993-06-18","2026-05-02","Per=Y","Days=T","Dir=V")</f>
        <v>0</v>
      </c>
      <c r="AA2">
        <f>BDH("ARMK US Equity","EBIT","1993-06-18","2026-05-02","Per=Y","Days=T","Dir=V")</f>
        <v>0</v>
      </c>
      <c r="AC2">
        <f>BDH("ARMK US Equity","EBITDA","1993-06-18","2026-05-02","Per=Y","Days=T","Dir=V")</f>
        <v>0</v>
      </c>
      <c r="AE2">
        <f>BDH("ARMK US Equity","NET_INCOME","1993-06-18","2026-05-02","Per=Y","Days=T","Dir=V")</f>
        <v>0</v>
      </c>
      <c r="AG2">
        <f>BDH("ARMK US Equity","IS_INT_EXPENSE","1993-06-18","2026-05-02","Per=Y","Days=T","Dir=V")</f>
        <v>0</v>
      </c>
      <c r="AI2">
        <f>BDH("ARMK US Equity","IS_DEPR_EXP","1993-06-18","2026-05-02","Per=Y","Days=T","Dir=V")</f>
        <v>0</v>
      </c>
      <c r="AK2">
        <f>BDH("ARMK US Equity","CF_CASH_FROM_OPER","1993-06-18","2026-05-02","Per=Y","Days=T","Dir=V")</f>
        <v>0</v>
      </c>
      <c r="AM2">
        <f>BDH("ARMK US Equity","CAPITAL_EXPEND","1993-06-18","2026-05-02","Per=Y","Days=T","Dir=V")</f>
        <v>0</v>
      </c>
      <c r="AO2">
        <f>BDH("ARMK US Equity","CF_FREE_CASH_FLOW","1993-06-18","2026-05-02","Per=Y","Days=T","Dir=V")</f>
        <v>0</v>
      </c>
      <c r="AQ2">
        <f>BDH("ARMK US Equity","PX_LAST","1993-06-18","2026-05-02","Per=M","Days=T","Dir=V")</f>
        <v>0</v>
      </c>
      <c r="AS2">
        <f>BDH("ARMK US Equity","CUR_MKT_CAP","1993-06-18","2026-05-02","Per=M","Days=T","Dir=V")</f>
        <v>0</v>
      </c>
      <c r="AU2">
        <f>BDH("ARMK US Equity","EQY_SH_OUT","1993-06-18","2026-05-02","Per=M","Days=T","Dir=V")</f>
        <v>0</v>
      </c>
      <c r="AW2">
        <f>BDH("ARMK US Equity","PX_VOLUME","1993-06-18","2026-05-02","Per=M","Days=T","Dir=V")</f>
        <v>0</v>
      </c>
      <c r="AY2">
        <f>BDH("ARMK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BDH("ARMP US Equity","BS_TOT_ASSET","1993-06-18","2026-05-02","Per=Y","Days=T","Dir=V")</f>
        <v>0</v>
      </c>
      <c r="C2">
        <f>BDH("ARMP US Equity","BS_TOT_LIAB2","1993-06-18","2026-05-02","Per=Y","Days=T","Dir=V")</f>
        <v>0</v>
      </c>
      <c r="E2">
        <f>BDH("ARMP US Equity","SHORT_AND_LONG_TERM_DEBT","1993-06-18","2026-05-02","Per=Y","Days=T","Dir=V")</f>
        <v>0</v>
      </c>
      <c r="G2">
        <f>BDH("ARMP US Equity","BS_ST_BORROW","1993-06-18","2026-05-02","Per=Y","Days=T","Dir=V")</f>
        <v>0</v>
      </c>
      <c r="I2">
        <f>BDH("ARMP US Equity","BS_LT_BORROW","1993-06-18","2026-05-02","Per=Y","Days=T","Dir=V")</f>
        <v>0</v>
      </c>
      <c r="K2">
        <f>BDH("ARMP US Equity","BS_CASH_NEAR_CASH_ITEM","1993-06-18","2026-05-02","Per=Y","Days=T","Dir=V")</f>
        <v>0</v>
      </c>
      <c r="M2">
        <f>BDH("ARMP US Equity","BS_CUR_ASSET_REPORT","1993-06-18","2026-05-02","Per=Y","Days=T","Dir=V")</f>
        <v>0</v>
      </c>
      <c r="O2">
        <f>BDH("ARMP US Equity","BS_CUR_LIAB","1993-06-18","2026-05-02","Per=Y","Days=T","Dir=V")</f>
        <v>0</v>
      </c>
      <c r="Q2">
        <f>BDH("ARMP US Equity","BS_SHAREHOLDER_EQY_ENDING_PERIOD","1993-06-18","2026-05-02","Per=Y","Days=T","Dir=V")</f>
        <v>0</v>
      </c>
      <c r="S2">
        <f>BDH("ARMP US Equity","BS_ACCT_NOTE_RCV","1993-06-18","2026-05-02","Per=Y","Days=T","Dir=V")</f>
        <v>0</v>
      </c>
      <c r="U2">
        <f>BDH("ARMP US Equity","BS_INVENTORIES","1993-06-18","2026-05-02","Per=Y","Days=T","Dir=V")</f>
        <v>0</v>
      </c>
      <c r="W2">
        <f>BDH("ARMP US Equity","WORKING_CAPITAL","1993-06-18","2026-05-02","Per=Y","Days=T","Dir=V")</f>
        <v>0</v>
      </c>
      <c r="Y2">
        <f>BDH("ARMP US Equity","SALES_REV_TURN","1993-06-18","2026-05-02","Per=Y","Days=T","Dir=V")</f>
        <v>0</v>
      </c>
      <c r="AA2">
        <f>BDH("ARMP US Equity","EBIT","1993-06-18","2026-05-02","Per=Y","Days=T","Dir=V")</f>
        <v>0</v>
      </c>
      <c r="AC2">
        <f>BDH("ARMP US Equity","EBITDA","1993-06-18","2026-05-02","Per=Y","Days=T","Dir=V")</f>
        <v>0</v>
      </c>
      <c r="AE2">
        <f>BDH("ARMP US Equity","NET_INCOME","1993-06-18","2026-05-02","Per=Y","Days=T","Dir=V")</f>
        <v>0</v>
      </c>
      <c r="AG2">
        <f>BDH("ARMP US Equity","IS_INT_EXPENSE","1993-06-18","2026-05-02","Per=Y","Days=T","Dir=V")</f>
        <v>0</v>
      </c>
      <c r="AI2">
        <f>BDH("ARMP US Equity","IS_DEPR_EXP","1993-06-18","2026-05-02","Per=Y","Days=T","Dir=V")</f>
        <v>0</v>
      </c>
      <c r="AK2">
        <f>BDH("ARMP US Equity","CF_CASH_FROM_OPER","1993-06-18","2026-05-02","Per=Y","Days=T","Dir=V")</f>
        <v>0</v>
      </c>
      <c r="AM2">
        <f>BDH("ARMP US Equity","CAPITAL_EXPEND","1993-06-18","2026-05-02","Per=Y","Days=T","Dir=V")</f>
        <v>0</v>
      </c>
      <c r="AO2">
        <f>BDH("ARMP US Equity","CF_FREE_CASH_FLOW","1993-06-18","2026-05-02","Per=Y","Days=T","Dir=V")</f>
        <v>0</v>
      </c>
      <c r="AQ2">
        <f>BDH("ARMP US Equity","PX_LAST","1993-06-18","2026-05-02","Per=M","Days=T","Dir=V")</f>
        <v>0</v>
      </c>
      <c r="AS2">
        <f>BDH("ARMP US Equity","CUR_MKT_CAP","1993-06-18","2026-05-02","Per=M","Days=T","Dir=V")</f>
        <v>0</v>
      </c>
      <c r="AU2">
        <f>BDH("ARMP US Equity","EQY_SH_OUT","1993-06-18","2026-05-02","Per=M","Days=T","Dir=V")</f>
        <v>0</v>
      </c>
      <c r="AW2">
        <f>BDH("ARMP US Equity","PX_VOLUME","1993-06-18","2026-05-02","Per=M","Days=T","Dir=V")</f>
        <v>0</v>
      </c>
      <c r="AY2">
        <f>BDH("ARMP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BDH("AROC US Equity","BS_TOT_ASSET","1993-06-18","2026-05-02","Per=Y","Days=T","Dir=V")</f>
        <v>0</v>
      </c>
      <c r="C2">
        <f>BDH("AROC US Equity","BS_TOT_LIAB2","1993-06-18","2026-05-02","Per=Y","Days=T","Dir=V")</f>
        <v>0</v>
      </c>
      <c r="E2">
        <f>BDH("AROC US Equity","SHORT_AND_LONG_TERM_DEBT","1993-06-18","2026-05-02","Per=Y","Days=T","Dir=V")</f>
        <v>0</v>
      </c>
      <c r="G2">
        <f>BDH("AROC US Equity","BS_ST_BORROW","1993-06-18","2026-05-02","Per=Y","Days=T","Dir=V")</f>
        <v>0</v>
      </c>
      <c r="I2">
        <f>BDH("AROC US Equity","BS_LT_BORROW","1993-06-18","2026-05-02","Per=Y","Days=T","Dir=V")</f>
        <v>0</v>
      </c>
      <c r="K2">
        <f>BDH("AROC US Equity","BS_CASH_NEAR_CASH_ITEM","1993-06-18","2026-05-02","Per=Y","Days=T","Dir=V")</f>
        <v>0</v>
      </c>
      <c r="M2">
        <f>BDH("AROC US Equity","BS_CUR_ASSET_REPORT","1993-06-18","2026-05-02","Per=Y","Days=T","Dir=V")</f>
        <v>0</v>
      </c>
      <c r="O2">
        <f>BDH("AROC US Equity","BS_CUR_LIAB","1993-06-18","2026-05-02","Per=Y","Days=T","Dir=V")</f>
        <v>0</v>
      </c>
      <c r="Q2">
        <f>BDH("AROC US Equity","BS_SHAREHOLDER_EQY_ENDING_PERIOD","1993-06-18","2026-05-02","Per=Y","Days=T","Dir=V")</f>
        <v>0</v>
      </c>
      <c r="S2">
        <f>BDH("AROC US Equity","BS_ACCT_NOTE_RCV","1993-06-18","2026-05-02","Per=Y","Days=T","Dir=V")</f>
        <v>0</v>
      </c>
      <c r="U2">
        <f>BDH("AROC US Equity","BS_INVENTORIES","1993-06-18","2026-05-02","Per=Y","Days=T","Dir=V")</f>
        <v>0</v>
      </c>
      <c r="W2">
        <f>BDH("AROC US Equity","WORKING_CAPITAL","1993-06-18","2026-05-02","Per=Y","Days=T","Dir=V")</f>
        <v>0</v>
      </c>
      <c r="Y2">
        <f>BDH("AROC US Equity","SALES_REV_TURN","1993-06-18","2026-05-02","Per=Y","Days=T","Dir=V")</f>
        <v>0</v>
      </c>
      <c r="AA2">
        <f>BDH("AROC US Equity","EBIT","1993-06-18","2026-05-02","Per=Y","Days=T","Dir=V")</f>
        <v>0</v>
      </c>
      <c r="AC2">
        <f>BDH("AROC US Equity","EBITDA","1993-06-18","2026-05-02","Per=Y","Days=T","Dir=V")</f>
        <v>0</v>
      </c>
      <c r="AE2">
        <f>BDH("AROC US Equity","NET_INCOME","1993-06-18","2026-05-02","Per=Y","Days=T","Dir=V")</f>
        <v>0</v>
      </c>
      <c r="AG2">
        <f>BDH("AROC US Equity","IS_INT_EXPENSE","1993-06-18","2026-05-02","Per=Y","Days=T","Dir=V")</f>
        <v>0</v>
      </c>
      <c r="AI2">
        <f>BDH("AROC US Equity","IS_DEPR_EXP","1993-06-18","2026-05-02","Per=Y","Days=T","Dir=V")</f>
        <v>0</v>
      </c>
      <c r="AK2">
        <f>BDH("AROC US Equity","CF_CASH_FROM_OPER","1993-06-18","2026-05-02","Per=Y","Days=T","Dir=V")</f>
        <v>0</v>
      </c>
      <c r="AM2">
        <f>BDH("AROC US Equity","CAPITAL_EXPEND","1993-06-18","2026-05-02","Per=Y","Days=T","Dir=V")</f>
        <v>0</v>
      </c>
      <c r="AO2">
        <f>BDH("AROC US Equity","CF_FREE_CASH_FLOW","1993-06-18","2026-05-02","Per=Y","Days=T","Dir=V")</f>
        <v>0</v>
      </c>
      <c r="AQ2">
        <f>BDH("AROC US Equity","PX_LAST","1993-06-18","2026-05-02","Per=M","Days=T","Dir=V")</f>
        <v>0</v>
      </c>
      <c r="AS2">
        <f>BDH("AROC US Equity","CUR_MKT_CAP","1993-06-18","2026-05-02","Per=M","Days=T","Dir=V")</f>
        <v>0</v>
      </c>
      <c r="AU2">
        <f>BDH("AROC US Equity","EQY_SH_OUT","1993-06-18","2026-05-02","Per=M","Days=T","Dir=V")</f>
        <v>0</v>
      </c>
      <c r="AW2">
        <f>BDH("AROC US Equity","PX_VOLUME","1993-06-18","2026-05-02","Per=M","Days=T","Dir=V")</f>
        <v>0</v>
      </c>
      <c r="AY2">
        <f>BDH("AROC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BDH("ARQ US Equity","BS_TOT_ASSET","1993-06-18","2026-05-02","Per=Y","Days=T","Dir=V")</f>
        <v>0</v>
      </c>
      <c r="C2">
        <f>BDH("ARQ US Equity","BS_TOT_LIAB2","1993-06-18","2026-05-02","Per=Y","Days=T","Dir=V")</f>
        <v>0</v>
      </c>
      <c r="E2">
        <f>BDH("ARQ US Equity","SHORT_AND_LONG_TERM_DEBT","1993-06-18","2026-05-02","Per=Y","Days=T","Dir=V")</f>
        <v>0</v>
      </c>
      <c r="G2">
        <f>BDH("ARQ US Equity","BS_ST_BORROW","1993-06-18","2026-05-02","Per=Y","Days=T","Dir=V")</f>
        <v>0</v>
      </c>
      <c r="I2">
        <f>BDH("ARQ US Equity","BS_LT_BORROW","1993-06-18","2026-05-02","Per=Y","Days=T","Dir=V")</f>
        <v>0</v>
      </c>
      <c r="K2">
        <f>BDH("ARQ US Equity","BS_CASH_NEAR_CASH_ITEM","1993-06-18","2026-05-02","Per=Y","Days=T","Dir=V")</f>
        <v>0</v>
      </c>
      <c r="M2">
        <f>BDH("ARQ US Equity","BS_CUR_ASSET_REPORT","1993-06-18","2026-05-02","Per=Y","Days=T","Dir=V")</f>
        <v>0</v>
      </c>
      <c r="O2">
        <f>BDH("ARQ US Equity","BS_CUR_LIAB","1993-06-18","2026-05-02","Per=Y","Days=T","Dir=V")</f>
        <v>0</v>
      </c>
      <c r="Q2">
        <f>BDH("ARQ US Equity","BS_SHAREHOLDER_EQY_ENDING_PERIOD","1993-06-18","2026-05-02","Per=Y","Days=T","Dir=V")</f>
        <v>0</v>
      </c>
      <c r="S2">
        <f>BDH("ARQ US Equity","BS_ACCT_NOTE_RCV","1993-06-18","2026-05-02","Per=Y","Days=T","Dir=V")</f>
        <v>0</v>
      </c>
      <c r="U2">
        <f>BDH("ARQ US Equity","BS_INVENTORIES","1993-06-18","2026-05-02","Per=Y","Days=T","Dir=V")</f>
        <v>0</v>
      </c>
      <c r="W2">
        <f>BDH("ARQ US Equity","WORKING_CAPITAL","1993-06-18","2026-05-02","Per=Y","Days=T","Dir=V")</f>
        <v>0</v>
      </c>
      <c r="Y2">
        <f>BDH("ARQ US Equity","SALES_REV_TURN","1993-06-18","2026-05-02","Per=Y","Days=T","Dir=V")</f>
        <v>0</v>
      </c>
      <c r="AA2">
        <f>BDH("ARQ US Equity","EBIT","1993-06-18","2026-05-02","Per=Y","Days=T","Dir=V")</f>
        <v>0</v>
      </c>
      <c r="AC2">
        <f>BDH("ARQ US Equity","EBITDA","1993-06-18","2026-05-02","Per=Y","Days=T","Dir=V")</f>
        <v>0</v>
      </c>
      <c r="AE2">
        <f>BDH("ARQ US Equity","NET_INCOME","1993-06-18","2026-05-02","Per=Y","Days=T","Dir=V")</f>
        <v>0</v>
      </c>
      <c r="AG2">
        <f>BDH("ARQ US Equity","IS_INT_EXPENSE","1993-06-18","2026-05-02","Per=Y","Days=T","Dir=V")</f>
        <v>0</v>
      </c>
      <c r="AI2">
        <f>BDH("ARQ US Equity","IS_DEPR_EXP","1993-06-18","2026-05-02","Per=Y","Days=T","Dir=V")</f>
        <v>0</v>
      </c>
      <c r="AK2">
        <f>BDH("ARQ US Equity","CF_CASH_FROM_OPER","1993-06-18","2026-05-02","Per=Y","Days=T","Dir=V")</f>
        <v>0</v>
      </c>
      <c r="AM2">
        <f>BDH("ARQ US Equity","CAPITAL_EXPEND","1993-06-18","2026-05-02","Per=Y","Days=T","Dir=V")</f>
        <v>0</v>
      </c>
      <c r="AO2">
        <f>BDH("ARQ US Equity","CF_FREE_CASH_FLOW","1993-06-18","2026-05-02","Per=Y","Days=T","Dir=V")</f>
        <v>0</v>
      </c>
      <c r="AQ2">
        <f>BDH("ARQ US Equity","PX_LAST","1993-06-18","2026-05-02","Per=M","Days=T","Dir=V")</f>
        <v>0</v>
      </c>
      <c r="AS2">
        <f>BDH("ARQ US Equity","CUR_MKT_CAP","1993-06-18","2026-05-02","Per=M","Days=T","Dir=V")</f>
        <v>0</v>
      </c>
      <c r="AU2">
        <f>BDH("ARQ US Equity","EQY_SH_OUT","1993-06-18","2026-05-02","Per=M","Days=T","Dir=V")</f>
        <v>0</v>
      </c>
      <c r="AW2">
        <f>BDH("ARQ US Equity","PX_VOLUME","1993-06-18","2026-05-02","Per=M","Days=T","Dir=V")</f>
        <v>0</v>
      </c>
      <c r="AY2">
        <f>BDH("ARQ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BDH("ARQT US Equity","BS_TOT_ASSET","1993-06-18","2026-05-02","Per=Y","Days=T","Dir=V")</f>
        <v>0</v>
      </c>
      <c r="C2">
        <f>BDH("ARQT US Equity","BS_TOT_LIAB2","1993-06-18","2026-05-02","Per=Y","Days=T","Dir=V")</f>
        <v>0</v>
      </c>
      <c r="E2">
        <f>BDH("ARQT US Equity","SHORT_AND_LONG_TERM_DEBT","1993-06-18","2026-05-02","Per=Y","Days=T","Dir=V")</f>
        <v>0</v>
      </c>
      <c r="G2">
        <f>BDH("ARQT US Equity","BS_ST_BORROW","1993-06-18","2026-05-02","Per=Y","Days=T","Dir=V")</f>
        <v>0</v>
      </c>
      <c r="I2">
        <f>BDH("ARQT US Equity","BS_LT_BORROW","1993-06-18","2026-05-02","Per=Y","Days=T","Dir=V")</f>
        <v>0</v>
      </c>
      <c r="K2">
        <f>BDH("ARQT US Equity","BS_CASH_NEAR_CASH_ITEM","1993-06-18","2026-05-02","Per=Y","Days=T","Dir=V")</f>
        <v>0</v>
      </c>
      <c r="M2">
        <f>BDH("ARQT US Equity","BS_CUR_ASSET_REPORT","1993-06-18","2026-05-02","Per=Y","Days=T","Dir=V")</f>
        <v>0</v>
      </c>
      <c r="O2">
        <f>BDH("ARQT US Equity","BS_CUR_LIAB","1993-06-18","2026-05-02","Per=Y","Days=T","Dir=V")</f>
        <v>0</v>
      </c>
      <c r="Q2">
        <f>BDH("ARQT US Equity","BS_SHAREHOLDER_EQY_ENDING_PERIOD","1993-06-18","2026-05-02","Per=Y","Days=T","Dir=V")</f>
        <v>0</v>
      </c>
      <c r="S2">
        <f>BDH("ARQT US Equity","BS_ACCT_NOTE_RCV","1993-06-18","2026-05-02","Per=Y","Days=T","Dir=V")</f>
        <v>0</v>
      </c>
      <c r="U2">
        <f>BDH("ARQT US Equity","BS_INVENTORIES","1993-06-18","2026-05-02","Per=Y","Days=T","Dir=V")</f>
        <v>0</v>
      </c>
      <c r="W2">
        <f>BDH("ARQT US Equity","WORKING_CAPITAL","1993-06-18","2026-05-02","Per=Y","Days=T","Dir=V")</f>
        <v>0</v>
      </c>
      <c r="Y2">
        <f>BDH("ARQT US Equity","SALES_REV_TURN","1993-06-18","2026-05-02","Per=Y","Days=T","Dir=V")</f>
        <v>0</v>
      </c>
      <c r="AA2">
        <f>BDH("ARQT US Equity","EBIT","1993-06-18","2026-05-02","Per=Y","Days=T","Dir=V")</f>
        <v>0</v>
      </c>
      <c r="AC2">
        <f>BDH("ARQT US Equity","EBITDA","1993-06-18","2026-05-02","Per=Y","Days=T","Dir=V")</f>
        <v>0</v>
      </c>
      <c r="AE2">
        <f>BDH("ARQT US Equity","NET_INCOME","1993-06-18","2026-05-02","Per=Y","Days=T","Dir=V")</f>
        <v>0</v>
      </c>
      <c r="AG2">
        <f>BDH("ARQT US Equity","IS_INT_EXPENSE","1993-06-18","2026-05-02","Per=Y","Days=T","Dir=V")</f>
        <v>0</v>
      </c>
      <c r="AI2">
        <f>BDH("ARQT US Equity","IS_DEPR_EXP","1993-06-18","2026-05-02","Per=Y","Days=T","Dir=V")</f>
        <v>0</v>
      </c>
      <c r="AK2">
        <f>BDH("ARQT US Equity","CF_CASH_FROM_OPER","1993-06-18","2026-05-02","Per=Y","Days=T","Dir=V")</f>
        <v>0</v>
      </c>
      <c r="AM2">
        <f>BDH("ARQT US Equity","CAPITAL_EXPEND","1993-06-18","2026-05-02","Per=Y","Days=T","Dir=V")</f>
        <v>0</v>
      </c>
      <c r="AO2">
        <f>BDH("ARQT US Equity","CF_FREE_CASH_FLOW","1993-06-18","2026-05-02","Per=Y","Days=T","Dir=V")</f>
        <v>0</v>
      </c>
      <c r="AQ2">
        <f>BDH("ARQT US Equity","PX_LAST","1993-06-18","2026-05-02","Per=M","Days=T","Dir=V")</f>
        <v>0</v>
      </c>
      <c r="AS2">
        <f>BDH("ARQT US Equity","CUR_MKT_CAP","1993-06-18","2026-05-02","Per=M","Days=T","Dir=V")</f>
        <v>0</v>
      </c>
      <c r="AU2">
        <f>BDH("ARQT US Equity","EQY_SH_OUT","1993-06-18","2026-05-02","Per=M","Days=T","Dir=V")</f>
        <v>0</v>
      </c>
      <c r="AW2">
        <f>BDH("ARQT US Equity","PX_VOLUME","1993-06-18","2026-05-02","Per=M","Days=T","Dir=V")</f>
        <v>0</v>
      </c>
      <c r="AY2">
        <f>BDH("ARQT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BDH("ARRY US Equity","BS_TOT_ASSET","1993-06-18","2026-05-02","Per=Y","Days=T","Dir=V")</f>
        <v>0</v>
      </c>
      <c r="C2">
        <f>BDH("ARRY US Equity","BS_TOT_LIAB2","1993-06-18","2026-05-02","Per=Y","Days=T","Dir=V")</f>
        <v>0</v>
      </c>
      <c r="E2">
        <f>BDH("ARRY US Equity","SHORT_AND_LONG_TERM_DEBT","1993-06-18","2026-05-02","Per=Y","Days=T","Dir=V")</f>
        <v>0</v>
      </c>
      <c r="G2">
        <f>BDH("ARRY US Equity","BS_ST_BORROW","1993-06-18","2026-05-02","Per=Y","Days=T","Dir=V")</f>
        <v>0</v>
      </c>
      <c r="I2">
        <f>BDH("ARRY US Equity","BS_LT_BORROW","1993-06-18","2026-05-02","Per=Y","Days=T","Dir=V")</f>
        <v>0</v>
      </c>
      <c r="K2">
        <f>BDH("ARRY US Equity","BS_CASH_NEAR_CASH_ITEM","1993-06-18","2026-05-02","Per=Y","Days=T","Dir=V")</f>
        <v>0</v>
      </c>
      <c r="M2">
        <f>BDH("ARRY US Equity","BS_CUR_ASSET_REPORT","1993-06-18","2026-05-02","Per=Y","Days=T","Dir=V")</f>
        <v>0</v>
      </c>
      <c r="O2">
        <f>BDH("ARRY US Equity","BS_CUR_LIAB","1993-06-18","2026-05-02","Per=Y","Days=T","Dir=V")</f>
        <v>0</v>
      </c>
      <c r="Q2">
        <f>BDH("ARRY US Equity","BS_SHAREHOLDER_EQY_ENDING_PERIOD","1993-06-18","2026-05-02","Per=Y","Days=T","Dir=V")</f>
        <v>0</v>
      </c>
      <c r="S2">
        <f>BDH("ARRY US Equity","BS_ACCT_NOTE_RCV","1993-06-18","2026-05-02","Per=Y","Days=T","Dir=V")</f>
        <v>0</v>
      </c>
      <c r="U2">
        <f>BDH("ARRY US Equity","BS_INVENTORIES","1993-06-18","2026-05-02","Per=Y","Days=T","Dir=V")</f>
        <v>0</v>
      </c>
      <c r="W2">
        <f>BDH("ARRY US Equity","WORKING_CAPITAL","1993-06-18","2026-05-02","Per=Y","Days=T","Dir=V")</f>
        <v>0</v>
      </c>
      <c r="Y2">
        <f>BDH("ARRY US Equity","SALES_REV_TURN","1993-06-18","2026-05-02","Per=Y","Days=T","Dir=V")</f>
        <v>0</v>
      </c>
      <c r="AA2">
        <f>BDH("ARRY US Equity","EBIT","1993-06-18","2026-05-02","Per=Y","Days=T","Dir=V")</f>
        <v>0</v>
      </c>
      <c r="AC2">
        <f>BDH("ARRY US Equity","EBITDA","1993-06-18","2026-05-02","Per=Y","Days=T","Dir=V")</f>
        <v>0</v>
      </c>
      <c r="AE2">
        <f>BDH("ARRY US Equity","NET_INCOME","1993-06-18","2026-05-02","Per=Y","Days=T","Dir=V")</f>
        <v>0</v>
      </c>
      <c r="AG2">
        <f>BDH("ARRY US Equity","IS_INT_EXPENSE","1993-06-18","2026-05-02","Per=Y","Days=T","Dir=V")</f>
        <v>0</v>
      </c>
      <c r="AI2">
        <f>BDH("ARRY US Equity","IS_DEPR_EXP","1993-06-18","2026-05-02","Per=Y","Days=T","Dir=V")</f>
        <v>0</v>
      </c>
      <c r="AK2">
        <f>BDH("ARRY US Equity","CF_CASH_FROM_OPER","1993-06-18","2026-05-02","Per=Y","Days=T","Dir=V")</f>
        <v>0</v>
      </c>
      <c r="AM2">
        <f>BDH("ARRY US Equity","CAPITAL_EXPEND","1993-06-18","2026-05-02","Per=Y","Days=T","Dir=V")</f>
        <v>0</v>
      </c>
      <c r="AO2">
        <f>BDH("ARRY US Equity","CF_FREE_CASH_FLOW","1993-06-18","2026-05-02","Per=Y","Days=T","Dir=V")</f>
        <v>0</v>
      </c>
      <c r="AQ2">
        <f>BDH("ARRY US Equity","PX_LAST","1993-06-18","2026-05-02","Per=M","Days=T","Dir=V")</f>
        <v>0</v>
      </c>
      <c r="AS2">
        <f>BDH("ARRY US Equity","CUR_MKT_CAP","1993-06-18","2026-05-02","Per=M","Days=T","Dir=V")</f>
        <v>0</v>
      </c>
      <c r="AU2">
        <f>BDH("ARRY US Equity","EQY_SH_OUT","1993-06-18","2026-05-02","Per=M","Days=T","Dir=V")</f>
        <v>0</v>
      </c>
      <c r="AW2">
        <f>BDH("ARRY US Equity","PX_VOLUME","1993-06-18","2026-05-02","Per=M","Days=T","Dir=V")</f>
        <v>0</v>
      </c>
      <c r="AY2">
        <f>BDH("ARRY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BDH("ARTL US Equity","BS_TOT_ASSET","1993-06-18","2026-05-02","Per=Y","Days=T","Dir=V")</f>
        <v>0</v>
      </c>
      <c r="C2">
        <f>BDH("ARTL US Equity","BS_TOT_LIAB2","1993-06-18","2026-05-02","Per=Y","Days=T","Dir=V")</f>
        <v>0</v>
      </c>
      <c r="E2">
        <f>BDH("ARTL US Equity","SHORT_AND_LONG_TERM_DEBT","1993-06-18","2026-05-02","Per=Y","Days=T","Dir=V")</f>
        <v>0</v>
      </c>
      <c r="G2">
        <f>BDH("ARTL US Equity","BS_ST_BORROW","1993-06-18","2026-05-02","Per=Y","Days=T","Dir=V")</f>
        <v>0</v>
      </c>
      <c r="I2">
        <f>BDH("ARTL US Equity","BS_LT_BORROW","1993-06-18","2026-05-02","Per=Y","Days=T","Dir=V")</f>
        <v>0</v>
      </c>
      <c r="K2">
        <f>BDH("ARTL US Equity","BS_CASH_NEAR_CASH_ITEM","1993-06-18","2026-05-02","Per=Y","Days=T","Dir=V")</f>
        <v>0</v>
      </c>
      <c r="M2">
        <f>BDH("ARTL US Equity","BS_CUR_ASSET_REPORT","1993-06-18","2026-05-02","Per=Y","Days=T","Dir=V")</f>
        <v>0</v>
      </c>
      <c r="O2">
        <f>BDH("ARTL US Equity","BS_CUR_LIAB","1993-06-18","2026-05-02","Per=Y","Days=T","Dir=V")</f>
        <v>0</v>
      </c>
      <c r="Q2">
        <f>BDH("ARTL US Equity","BS_SHAREHOLDER_EQY_ENDING_PERIOD","1993-06-18","2026-05-02","Per=Y","Days=T","Dir=V")</f>
        <v>0</v>
      </c>
      <c r="S2">
        <f>BDH("ARTL US Equity","BS_ACCT_NOTE_RCV","1993-06-18","2026-05-02","Per=Y","Days=T","Dir=V")</f>
        <v>0</v>
      </c>
      <c r="U2">
        <f>BDH("ARTL US Equity","BS_INVENTORIES","1993-06-18","2026-05-02","Per=Y","Days=T","Dir=V")</f>
        <v>0</v>
      </c>
      <c r="W2">
        <f>BDH("ARTL US Equity","WORKING_CAPITAL","1993-06-18","2026-05-02","Per=Y","Days=T","Dir=V")</f>
        <v>0</v>
      </c>
      <c r="Y2">
        <f>BDH("ARTL US Equity","SALES_REV_TURN","1993-06-18","2026-05-02","Per=Y","Days=T","Dir=V")</f>
        <v>0</v>
      </c>
      <c r="AA2">
        <f>BDH("ARTL US Equity","EBIT","1993-06-18","2026-05-02","Per=Y","Days=T","Dir=V")</f>
        <v>0</v>
      </c>
      <c r="AC2">
        <f>BDH("ARTL US Equity","EBITDA","1993-06-18","2026-05-02","Per=Y","Days=T","Dir=V")</f>
        <v>0</v>
      </c>
      <c r="AE2">
        <f>BDH("ARTL US Equity","NET_INCOME","1993-06-18","2026-05-02","Per=Y","Days=T","Dir=V")</f>
        <v>0</v>
      </c>
      <c r="AG2">
        <f>BDH("ARTL US Equity","IS_INT_EXPENSE","1993-06-18","2026-05-02","Per=Y","Days=T","Dir=V")</f>
        <v>0</v>
      </c>
      <c r="AI2">
        <f>BDH("ARTL US Equity","IS_DEPR_EXP","1993-06-18","2026-05-02","Per=Y","Days=T","Dir=V")</f>
        <v>0</v>
      </c>
      <c r="AK2">
        <f>BDH("ARTL US Equity","CF_CASH_FROM_OPER","1993-06-18","2026-05-02","Per=Y","Days=T","Dir=V")</f>
        <v>0</v>
      </c>
      <c r="AM2">
        <f>BDH("ARTL US Equity","CAPITAL_EXPEND","1993-06-18","2026-05-02","Per=Y","Days=T","Dir=V")</f>
        <v>0</v>
      </c>
      <c r="AO2">
        <f>BDH("ARTL US Equity","CF_FREE_CASH_FLOW","1993-06-18","2026-05-02","Per=Y","Days=T","Dir=V")</f>
        <v>0</v>
      </c>
      <c r="AQ2">
        <f>BDH("ARTL US Equity","PX_LAST","1993-06-18","2026-05-02","Per=M","Days=T","Dir=V")</f>
        <v>0</v>
      </c>
      <c r="AS2">
        <f>BDH("ARTL US Equity","CUR_MKT_CAP","1993-06-18","2026-05-02","Per=M","Days=T","Dir=V")</f>
        <v>0</v>
      </c>
      <c r="AU2">
        <f>BDH("ARTL US Equity","EQY_SH_OUT","1993-06-18","2026-05-02","Per=M","Days=T","Dir=V")</f>
        <v>0</v>
      </c>
      <c r="AW2">
        <f>BDH("ARTL US Equity","PX_VOLUME","1993-06-18","2026-05-02","Per=M","Days=T","Dir=V")</f>
        <v>0</v>
      </c>
      <c r="AY2">
        <f>BDH("ARTL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BDH("ARTNA US Equity","BS_TOT_ASSET","1993-06-18","2026-05-02","Per=Y","Days=T","Dir=V")</f>
        <v>0</v>
      </c>
      <c r="C2">
        <f>BDH("ARTNA US Equity","BS_TOT_LIAB2","1993-06-18","2026-05-02","Per=Y","Days=T","Dir=V")</f>
        <v>0</v>
      </c>
      <c r="E2">
        <f>BDH("ARTNA US Equity","SHORT_AND_LONG_TERM_DEBT","1993-06-18","2026-05-02","Per=Y","Days=T","Dir=V")</f>
        <v>0</v>
      </c>
      <c r="G2">
        <f>BDH("ARTNA US Equity","BS_ST_BORROW","1993-06-18","2026-05-02","Per=Y","Days=T","Dir=V")</f>
        <v>0</v>
      </c>
      <c r="I2">
        <f>BDH("ARTNA US Equity","BS_LT_BORROW","1993-06-18","2026-05-02","Per=Y","Days=T","Dir=V")</f>
        <v>0</v>
      </c>
      <c r="K2">
        <f>BDH("ARTNA US Equity","BS_CASH_NEAR_CASH_ITEM","1993-06-18","2026-05-02","Per=Y","Days=T","Dir=V")</f>
        <v>0</v>
      </c>
      <c r="M2">
        <f>BDH("ARTNA US Equity","BS_CUR_ASSET_REPORT","1993-06-18","2026-05-02","Per=Y","Days=T","Dir=V")</f>
        <v>0</v>
      </c>
      <c r="O2">
        <f>BDH("ARTNA US Equity","BS_CUR_LIAB","1993-06-18","2026-05-02","Per=Y","Days=T","Dir=V")</f>
        <v>0</v>
      </c>
      <c r="Q2">
        <f>BDH("ARTNA US Equity","BS_SHAREHOLDER_EQY_ENDING_PERIOD","1993-06-18","2026-05-02","Per=Y","Days=T","Dir=V")</f>
        <v>0</v>
      </c>
      <c r="S2">
        <f>BDH("ARTNA US Equity","BS_ACCT_NOTE_RCV","1993-06-18","2026-05-02","Per=Y","Days=T","Dir=V")</f>
        <v>0</v>
      </c>
      <c r="U2">
        <f>BDH("ARTNA US Equity","BS_INVENTORIES","1993-06-18","2026-05-02","Per=Y","Days=T","Dir=V")</f>
        <v>0</v>
      </c>
      <c r="W2">
        <f>BDH("ARTNA US Equity","WORKING_CAPITAL","1993-06-18","2026-05-02","Per=Y","Days=T","Dir=V")</f>
        <v>0</v>
      </c>
      <c r="Y2">
        <f>BDH("ARTNA US Equity","SALES_REV_TURN","1993-06-18","2026-05-02","Per=Y","Days=T","Dir=V")</f>
        <v>0</v>
      </c>
      <c r="AA2">
        <f>BDH("ARTNA US Equity","EBIT","1993-06-18","2026-05-02","Per=Y","Days=T","Dir=V")</f>
        <v>0</v>
      </c>
      <c r="AC2">
        <f>BDH("ARTNA US Equity","EBITDA","1993-06-18","2026-05-02","Per=Y","Days=T","Dir=V")</f>
        <v>0</v>
      </c>
      <c r="AE2">
        <f>BDH("ARTNA US Equity","NET_INCOME","1993-06-18","2026-05-02","Per=Y","Days=T","Dir=V")</f>
        <v>0</v>
      </c>
      <c r="AG2">
        <f>BDH("ARTNA US Equity","IS_INT_EXPENSE","1993-06-18","2026-05-02","Per=Y","Days=T","Dir=V")</f>
        <v>0</v>
      </c>
      <c r="AI2">
        <f>BDH("ARTNA US Equity","IS_DEPR_EXP","1993-06-18","2026-05-02","Per=Y","Days=T","Dir=V")</f>
        <v>0</v>
      </c>
      <c r="AK2">
        <f>BDH("ARTNA US Equity","CF_CASH_FROM_OPER","1993-06-18","2026-05-02","Per=Y","Days=T","Dir=V")</f>
        <v>0</v>
      </c>
      <c r="AM2">
        <f>BDH("ARTNA US Equity","CAPITAL_EXPEND","1993-06-18","2026-05-02","Per=Y","Days=T","Dir=V")</f>
        <v>0</v>
      </c>
      <c r="AO2">
        <f>BDH("ARTNA US Equity","CF_FREE_CASH_FLOW","1993-06-18","2026-05-02","Per=Y","Days=T","Dir=V")</f>
        <v>0</v>
      </c>
      <c r="AQ2">
        <f>BDH("ARTNA US Equity","PX_LAST","1993-06-18","2026-05-02","Per=M","Days=T","Dir=V")</f>
        <v>0</v>
      </c>
      <c r="AS2">
        <f>BDH("ARTNA US Equity","CUR_MKT_CAP","1993-06-18","2026-05-02","Per=M","Days=T","Dir=V")</f>
        <v>0</v>
      </c>
      <c r="AU2">
        <f>BDH("ARTNA US Equity","EQY_SH_OUT","1993-06-18","2026-05-02","Per=M","Days=T","Dir=V")</f>
        <v>0</v>
      </c>
      <c r="AW2">
        <f>BDH("ARTNA US Equity","PX_VOLUME","1993-06-18","2026-05-02","Per=M","Days=T","Dir=V")</f>
        <v>0</v>
      </c>
      <c r="AY2">
        <f>BDH("ARTNA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BDH("ARTV US Equity","BS_TOT_ASSET","1993-06-18","2026-05-02","Per=Y","Days=T","Dir=V")</f>
        <v>0</v>
      </c>
      <c r="C2">
        <f>BDH("ARTV US Equity","BS_TOT_LIAB2","1993-06-18","2026-05-02","Per=Y","Days=T","Dir=V")</f>
        <v>0</v>
      </c>
      <c r="E2">
        <f>BDH("ARTV US Equity","SHORT_AND_LONG_TERM_DEBT","1993-06-18","2026-05-02","Per=Y","Days=T","Dir=V")</f>
        <v>0</v>
      </c>
      <c r="G2">
        <f>BDH("ARTV US Equity","BS_ST_BORROW","1993-06-18","2026-05-02","Per=Y","Days=T","Dir=V")</f>
        <v>0</v>
      </c>
      <c r="I2">
        <f>BDH("ARTV US Equity","BS_LT_BORROW","1993-06-18","2026-05-02","Per=Y","Days=T","Dir=V")</f>
        <v>0</v>
      </c>
      <c r="K2">
        <f>BDH("ARTV US Equity","BS_CASH_NEAR_CASH_ITEM","1993-06-18","2026-05-02","Per=Y","Days=T","Dir=V")</f>
        <v>0</v>
      </c>
      <c r="M2">
        <f>BDH("ARTV US Equity","BS_CUR_ASSET_REPORT","1993-06-18","2026-05-02","Per=Y","Days=T","Dir=V")</f>
        <v>0</v>
      </c>
      <c r="O2">
        <f>BDH("ARTV US Equity","BS_CUR_LIAB","1993-06-18","2026-05-02","Per=Y","Days=T","Dir=V")</f>
        <v>0</v>
      </c>
      <c r="Q2">
        <f>BDH("ARTV US Equity","BS_SHAREHOLDER_EQY_ENDING_PERIOD","1993-06-18","2026-05-02","Per=Y","Days=T","Dir=V")</f>
        <v>0</v>
      </c>
      <c r="S2">
        <f>BDH("ARTV US Equity","BS_ACCT_NOTE_RCV","1993-06-18","2026-05-02","Per=Y","Days=T","Dir=V")</f>
        <v>0</v>
      </c>
      <c r="U2">
        <f>BDH("ARTV US Equity","BS_INVENTORIES","1993-06-18","2026-05-02","Per=Y","Days=T","Dir=V")</f>
        <v>0</v>
      </c>
      <c r="W2">
        <f>BDH("ARTV US Equity","WORKING_CAPITAL","1993-06-18","2026-05-02","Per=Y","Days=T","Dir=V")</f>
        <v>0</v>
      </c>
      <c r="Y2">
        <f>BDH("ARTV US Equity","SALES_REV_TURN","1993-06-18","2026-05-02","Per=Y","Days=T","Dir=V")</f>
        <v>0</v>
      </c>
      <c r="AA2">
        <f>BDH("ARTV US Equity","EBIT","1993-06-18","2026-05-02","Per=Y","Days=T","Dir=V")</f>
        <v>0</v>
      </c>
      <c r="AC2">
        <f>BDH("ARTV US Equity","EBITDA","1993-06-18","2026-05-02","Per=Y","Days=T","Dir=V")</f>
        <v>0</v>
      </c>
      <c r="AE2">
        <f>BDH("ARTV US Equity","NET_INCOME","1993-06-18","2026-05-02","Per=Y","Days=T","Dir=V")</f>
        <v>0</v>
      </c>
      <c r="AG2">
        <f>BDH("ARTV US Equity","IS_INT_EXPENSE","1993-06-18","2026-05-02","Per=Y","Days=T","Dir=V")</f>
        <v>0</v>
      </c>
      <c r="AI2">
        <f>BDH("ARTV US Equity","IS_DEPR_EXP","1993-06-18","2026-05-02","Per=Y","Days=T","Dir=V")</f>
        <v>0</v>
      </c>
      <c r="AK2">
        <f>BDH("ARTV US Equity","CF_CASH_FROM_OPER","1993-06-18","2026-05-02","Per=Y","Days=T","Dir=V")</f>
        <v>0</v>
      </c>
      <c r="AM2">
        <f>BDH("ARTV US Equity","CAPITAL_EXPEND","1993-06-18","2026-05-02","Per=Y","Days=T","Dir=V")</f>
        <v>0</v>
      </c>
      <c r="AO2">
        <f>BDH("ARTV US Equity","CF_FREE_CASH_FLOW","1993-06-18","2026-05-02","Per=Y","Days=T","Dir=V")</f>
        <v>0</v>
      </c>
      <c r="AQ2">
        <f>BDH("ARTV US Equity","PX_LAST","1993-06-18","2026-05-02","Per=M","Days=T","Dir=V")</f>
        <v>0</v>
      </c>
      <c r="AS2">
        <f>BDH("ARTV US Equity","CUR_MKT_CAP","1993-06-18","2026-05-02","Per=M","Days=T","Dir=V")</f>
        <v>0</v>
      </c>
      <c r="AU2">
        <f>BDH("ARTV US Equity","EQY_SH_OUT","1993-06-18","2026-05-02","Per=M","Days=T","Dir=V")</f>
        <v>0</v>
      </c>
      <c r="AW2">
        <f>BDH("ARTV US Equity","PX_VOLUME","1993-06-18","2026-05-02","Per=M","Days=T","Dir=V")</f>
        <v>0</v>
      </c>
      <c r="AY2">
        <f>BDH("ARTV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1158</v>
      </c>
      <c r="O1" t="s">
        <v>1159</v>
      </c>
      <c r="P1" t="s">
        <v>1160</v>
      </c>
      <c r="Q1" t="s">
        <v>1161</v>
      </c>
      <c r="R1" t="s">
        <v>1162</v>
      </c>
      <c r="S1" t="s">
        <v>1163</v>
      </c>
      <c r="T1" t="s">
        <v>1164</v>
      </c>
      <c r="U1" t="s">
        <v>1165</v>
      </c>
      <c r="V1" t="s">
        <v>1166</v>
      </c>
      <c r="W1" t="s">
        <v>1167</v>
      </c>
      <c r="X1" t="s">
        <v>1168</v>
      </c>
      <c r="Y1" t="s">
        <v>1169</v>
      </c>
      <c r="Z1" t="s">
        <v>1170</v>
      </c>
      <c r="AA1" t="s">
        <v>1171</v>
      </c>
      <c r="AB1" t="s">
        <v>1172</v>
      </c>
      <c r="AC1" t="s">
        <v>1173</v>
      </c>
      <c r="AD1" t="s">
        <v>1174</v>
      </c>
      <c r="AE1" t="s">
        <v>1175</v>
      </c>
      <c r="AF1" t="s">
        <v>1176</v>
      </c>
      <c r="AG1" t="s">
        <v>1177</v>
      </c>
      <c r="AH1" t="s">
        <v>1178</v>
      </c>
      <c r="AI1" t="s">
        <v>1179</v>
      </c>
      <c r="AJ1" t="s">
        <v>1180</v>
      </c>
      <c r="AK1" t="s">
        <v>1181</v>
      </c>
      <c r="AL1" t="s">
        <v>1182</v>
      </c>
      <c r="AM1" t="s">
        <v>1183</v>
      </c>
      <c r="AN1" t="s">
        <v>1184</v>
      </c>
      <c r="AO1" t="s">
        <v>1185</v>
      </c>
      <c r="AP1" t="s">
        <v>1186</v>
      </c>
      <c r="AQ1" t="s">
        <v>1187</v>
      </c>
      <c r="AR1" t="s">
        <v>1188</v>
      </c>
      <c r="AS1" t="s">
        <v>1189</v>
      </c>
      <c r="AT1" t="s">
        <v>1190</v>
      </c>
      <c r="AU1" t="s">
        <v>1191</v>
      </c>
      <c r="AV1" t="s">
        <v>1192</v>
      </c>
      <c r="AW1" t="s">
        <v>1193</v>
      </c>
      <c r="AX1" t="s">
        <v>1194</v>
      </c>
      <c r="AY1" t="s">
        <v>1195</v>
      </c>
      <c r="AZ1" t="s">
        <v>1196</v>
      </c>
    </row>
    <row r="2" spans="1:52">
      <c r="A2">
        <f>BDH("ARTW US Equity","BS_TOT_ASSET","1993-06-18","2026-05-02","Per=Y","Days=T","Dir=V")</f>
        <v>0</v>
      </c>
      <c r="C2">
        <f>BDH("ARTW US Equity","BS_TOT_LIAB2","1993-06-18","2026-05-02","Per=Y","Days=T","Dir=V")</f>
        <v>0</v>
      </c>
      <c r="E2">
        <f>BDH("ARTW US Equity","SHORT_AND_LONG_TERM_DEBT","1993-06-18","2026-05-02","Per=Y","Days=T","Dir=V")</f>
        <v>0</v>
      </c>
      <c r="G2">
        <f>BDH("ARTW US Equity","BS_ST_BORROW","1993-06-18","2026-05-02","Per=Y","Days=T","Dir=V")</f>
        <v>0</v>
      </c>
      <c r="I2">
        <f>BDH("ARTW US Equity","BS_LT_BORROW","1993-06-18","2026-05-02","Per=Y","Days=T","Dir=V")</f>
        <v>0</v>
      </c>
      <c r="K2">
        <f>BDH("ARTW US Equity","BS_CASH_NEAR_CASH_ITEM","1993-06-18","2026-05-02","Per=Y","Days=T","Dir=V")</f>
        <v>0</v>
      </c>
      <c r="M2">
        <f>BDH("ARTW US Equity","BS_CUR_ASSET_REPORT","1993-06-18","2026-05-02","Per=Y","Days=T","Dir=V")</f>
        <v>0</v>
      </c>
      <c r="O2">
        <f>BDH("ARTW US Equity","BS_CUR_LIAB","1993-06-18","2026-05-02","Per=Y","Days=T","Dir=V")</f>
        <v>0</v>
      </c>
      <c r="Q2">
        <f>BDH("ARTW US Equity","BS_SHAREHOLDER_EQY_ENDING_PERIOD","1993-06-18","2026-05-02","Per=Y","Days=T","Dir=V")</f>
        <v>0</v>
      </c>
      <c r="S2">
        <f>BDH("ARTW US Equity","BS_ACCT_NOTE_RCV","1993-06-18","2026-05-02","Per=Y","Days=T","Dir=V")</f>
        <v>0</v>
      </c>
      <c r="U2">
        <f>BDH("ARTW US Equity","BS_INVENTORIES","1993-06-18","2026-05-02","Per=Y","Days=T","Dir=V")</f>
        <v>0</v>
      </c>
      <c r="W2">
        <f>BDH("ARTW US Equity","WORKING_CAPITAL","1993-06-18","2026-05-02","Per=Y","Days=T","Dir=V")</f>
        <v>0</v>
      </c>
      <c r="Y2">
        <f>BDH("ARTW US Equity","SALES_REV_TURN","1993-06-18","2026-05-02","Per=Y","Days=T","Dir=V")</f>
        <v>0</v>
      </c>
      <c r="AA2">
        <f>BDH("ARTW US Equity","EBIT","1993-06-18","2026-05-02","Per=Y","Days=T","Dir=V")</f>
        <v>0</v>
      </c>
      <c r="AC2">
        <f>BDH("ARTW US Equity","EBITDA","1993-06-18","2026-05-02","Per=Y","Days=T","Dir=V")</f>
        <v>0</v>
      </c>
      <c r="AE2">
        <f>BDH("ARTW US Equity","NET_INCOME","1993-06-18","2026-05-02","Per=Y","Days=T","Dir=V")</f>
        <v>0</v>
      </c>
      <c r="AG2">
        <f>BDH("ARTW US Equity","IS_INT_EXPENSE","1993-06-18","2026-05-02","Per=Y","Days=T","Dir=V")</f>
        <v>0</v>
      </c>
      <c r="AI2">
        <f>BDH("ARTW US Equity","IS_DEPR_EXP","1993-06-18","2026-05-02","Per=Y","Days=T","Dir=V")</f>
        <v>0</v>
      </c>
      <c r="AK2">
        <f>BDH("ARTW US Equity","CF_CASH_FROM_OPER","1993-06-18","2026-05-02","Per=Y","Days=T","Dir=V")</f>
        <v>0</v>
      </c>
      <c r="AM2">
        <f>BDH("ARTW US Equity","CAPITAL_EXPEND","1993-06-18","2026-05-02","Per=Y","Days=T","Dir=V")</f>
        <v>0</v>
      </c>
      <c r="AO2">
        <f>BDH("ARTW US Equity","CF_FREE_CASH_FLOW","1993-06-18","2026-05-02","Per=Y","Days=T","Dir=V")</f>
        <v>0</v>
      </c>
      <c r="AQ2">
        <f>BDH("ARTW US Equity","PX_LAST","1993-06-18","2026-05-02","Per=M","Days=T","Dir=V")</f>
        <v>0</v>
      </c>
      <c r="AS2">
        <f>BDH("ARTW US Equity","CUR_MKT_CAP","1993-06-18","2026-05-02","Per=M","Days=T","Dir=V")</f>
        <v>0</v>
      </c>
      <c r="AU2">
        <f>BDH("ARTW US Equity","EQY_SH_OUT","1993-06-18","2026-05-02","Per=M","Days=T","Dir=V")</f>
        <v>0</v>
      </c>
      <c r="AW2">
        <f>BDH("ARTW US Equity","PX_VOLUME","1993-06-18","2026-05-02","Per=M","Days=T","Dir=V")</f>
        <v>0</v>
      </c>
      <c r="AY2">
        <f>BDH("ARTW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SA_293_Zynex Inc</vt:lpstr>
      <vt:lpstr>SA_306_Luminar Technologies Inc</vt:lpstr>
      <vt:lpstr>SA_16_Ecd Automotive Design Inc</vt:lpstr>
      <vt:lpstr>SA_201_Inspire Veterinary Partn</vt:lpstr>
      <vt:lpstr>SA_300_Nine Energy Service Inc</vt:lpstr>
      <vt:lpstr>SA_1_Twin Hospitality Group Inc</vt:lpstr>
      <vt:lpstr>SA_147_Fat Brands Inc</vt:lpstr>
      <vt:lpstr>SA_101_Blue Hat Interactive Ent</vt:lpstr>
      <vt:lpstr>SA_167_Io Biotech Inc</vt:lpstr>
      <vt:lpstr>SA_98_Qvc Group Inc</vt:lpstr>
      <vt:lpstr>SA_245_American Rebel Holdings </vt:lpstr>
      <vt:lpstr>SA_37_Society Pass Incorporated</vt:lpstr>
      <vt:lpstr>SA_183_Inotiv Inc</vt:lpstr>
      <vt:lpstr>SA_229_Gohealth Inc</vt:lpstr>
      <vt:lpstr>SA_146_Sleep Number Corp</vt:lpstr>
      <vt:lpstr>SA_301_Devvstream Corp</vt:lpstr>
      <vt:lpstr>SA_63_Aditxt Inc</vt:lpstr>
      <vt:lpstr>SA_148_Origin Materials Inc</vt:lpstr>
      <vt:lpstr>SA_269_Visionary Holdings Inc</vt:lpstr>
      <vt:lpstr>NB_0_Agilent Technologies Inc. </vt:lpstr>
      <vt:lpstr>NB_1_Alcoa Corporation Common S</vt:lpstr>
      <vt:lpstr>NB_2_American Airlines Group In</vt:lpstr>
      <vt:lpstr>NB_3_Applied Optoelectronics In</vt:lpstr>
      <vt:lpstr>NB_4_AAON Inc. Common Stock</vt:lpstr>
      <vt:lpstr>NB_5_Advance Auto Parts Inc.</vt:lpstr>
      <vt:lpstr>NB_6_Apple Inc. Common Stock</vt:lpstr>
      <vt:lpstr>NB_7_Aardvark Therapeutics Inc.</vt:lpstr>
      <vt:lpstr>NB_8_American Battery Technolog</vt:lpstr>
      <vt:lpstr>NB_9_AbbVie Inc. Common Stock</vt:lpstr>
      <vt:lpstr>NB_10_Abeona Therapeutics Inc. </vt:lpstr>
      <vt:lpstr>NB_11_Asbury Automotive Group I</vt:lpstr>
      <vt:lpstr>NB_12_ABM Industries Incorporat</vt:lpstr>
      <vt:lpstr>NB_13_Airbnb Inc. Class A Commo</vt:lpstr>
      <vt:lpstr>NB_14_Acumen Pharmaceuticals In</vt:lpstr>
      <vt:lpstr>NB_15_Absci Corporation Common </vt:lpstr>
      <vt:lpstr>NB_16_Abbott Laboratories Commo</vt:lpstr>
      <vt:lpstr>NB_17_ABVC BioPharma Inc. Commo</vt:lpstr>
      <vt:lpstr>NB_18_Arcosa Inc. Common Stock</vt:lpstr>
      <vt:lpstr>NB_19_ACADIA Pharmaceuticals In</vt:lpstr>
      <vt:lpstr>NB_20_Acco Brands Corporation C</vt:lpstr>
      <vt:lpstr>NB_21_ACCESS Newswire Inc. Comm</vt:lpstr>
      <vt:lpstr>NB_22_ProFrac Holding Corp. Cla</vt:lpstr>
      <vt:lpstr>NB_23_Accel Entertainment Inc.</vt:lpstr>
      <vt:lpstr>NB_24_Adicet Bio Inc. Common St</vt:lpstr>
      <vt:lpstr>NB_25_Acorn Energy Inc. Common </vt:lpstr>
      <vt:lpstr>NB_26_Accendra Health Inc. Comm</vt:lpstr>
      <vt:lpstr>NB_27_Acadia Healthcare Company</vt:lpstr>
      <vt:lpstr>NB_28_Archer Aviation Inc. Clas</vt:lpstr>
      <vt:lpstr>NB_29_Achieve Life Sciences Inc</vt:lpstr>
      <vt:lpstr>NB_30_Albertsons Companies Inc.</vt:lpstr>
      <vt:lpstr>NB_31_ACI Worldwide Inc. Common</vt:lpstr>
      <vt:lpstr>NB_32_Axcelis Technologies Inc.</vt:lpstr>
      <vt:lpstr>NB_33_AECOM Common Stock</vt:lpstr>
      <vt:lpstr>NB_34_ACM Research Inc. Class A</vt:lpstr>
      <vt:lpstr>NB_35_Ascent Industries Co. Com</vt:lpstr>
      <vt:lpstr>NB_36_Aclarion Inc. Common Stoc</vt:lpstr>
      <vt:lpstr>NB_37_Aclaris Therapeutics Inc.</vt:lpstr>
      <vt:lpstr>NB_38_Acrivon Therapeutics Inc.</vt:lpstr>
      <vt:lpstr>NB_39_Actuate Therapeutics Inc.</vt:lpstr>
      <vt:lpstr>NB_40_Acme United Corporation. </vt:lpstr>
      <vt:lpstr>NB_41_ACV Auctions Inc. Class A</vt:lpstr>
      <vt:lpstr>NB_42_Acurx Pharmaceuticals Inc</vt:lpstr>
      <vt:lpstr>NB_43_Array Digital Infrastruct</vt:lpstr>
      <vt:lpstr>NB_44_Adobe Inc. Common Stock</vt:lpstr>
      <vt:lpstr>NB_45_Adeia Inc. Common Stock</vt:lpstr>
      <vt:lpstr>NB_46_Adagio Medical Holdings I</vt:lpstr>
      <vt:lpstr>NB_47_Analog Devices Inc. Commo</vt:lpstr>
      <vt:lpstr>NB_48_ADI Global Distribution I</vt:lpstr>
      <vt:lpstr>NB_49_Adial Pharmaceuticals Inc</vt:lpstr>
      <vt:lpstr>NB_50_Archer-Daniels-Midland Co</vt:lpstr>
      <vt:lpstr>NB_51_ADMA Biologics Inc Common</vt:lpstr>
      <vt:lpstr>NB_52_Adient plc Ordinary Share</vt:lpstr>
      <vt:lpstr>NB_53_Automatic Data Processing</vt:lpstr>
      <vt:lpstr>NB_54_Adaptive Biotechnologies </vt:lpstr>
      <vt:lpstr>NB_55_Autodesk Inc. Common Stoc</vt:lpstr>
      <vt:lpstr>NB_56_ADT Inc. Common Stock</vt:lpstr>
      <vt:lpstr>NB_57_ADTRAN Holdings Inc. Comm</vt:lpstr>
      <vt:lpstr>NB_58_Addus HomeCare Corporatio</vt:lpstr>
      <vt:lpstr>NB_59_Advantage Solutions Inc. </vt:lpstr>
      <vt:lpstr>NB_60_Ameren Corporation Common</vt:lpstr>
      <vt:lpstr>NB_61_Aehr Test Systems Common </vt:lpstr>
      <vt:lpstr>NB_62_Advanced Energy Industrie</vt:lpstr>
      <vt:lpstr>NB_63_Aethlon Medical Inc. Comm</vt:lpstr>
      <vt:lpstr>NB_64_Alliance Entertainment Ho</vt:lpstr>
      <vt:lpstr>NB_65_American Eagle Outfitters</vt:lpstr>
      <vt:lpstr>NB_66_AEON Biopharma Inc. Class</vt:lpstr>
      <vt:lpstr>NB_67_American Electric Power C</vt:lpstr>
      <vt:lpstr>NB_68_Aeries Technology Inc. Cl</vt:lpstr>
      <vt:lpstr>NB_69_The AES Corporation Commo</vt:lpstr>
      <vt:lpstr>NB_70_Atlas Energy Solutions In</vt:lpstr>
      <vt:lpstr>NB_71_Aeva Technologies Inc. Co</vt:lpstr>
      <vt:lpstr>NB_72_AudioEye Inc. Common Stoc</vt:lpstr>
      <vt:lpstr>NB_73_AGCO Corporation Common S</vt:lpstr>
      <vt:lpstr>NB_74_Agenus Inc. Common Stock</vt:lpstr>
      <vt:lpstr>NB_75_Abundia Global Impact Gro</vt:lpstr>
      <vt:lpstr>NB_76_Agios Pharmaceuticals Inc</vt:lpstr>
      <vt:lpstr>NB_77_agilon health inc. Common</vt:lpstr>
      <vt:lpstr>NB_78_Axe Compute Inc. Common S</vt:lpstr>
      <vt:lpstr>NB_79_Argan Inc. Common Stock</vt:lpstr>
      <vt:lpstr>NB_80_Agilysys Inc. Common Stoc</vt:lpstr>
      <vt:lpstr>NB_81_AdaptHealth Corp. Common </vt:lpstr>
      <vt:lpstr>NB_82_C3.ai Inc. Class A Common</vt:lpstr>
      <vt:lpstr>NB_83_AIAI Holdings Corporation</vt:lpstr>
      <vt:lpstr>NB_84_2020 Biolabs Inc. Common </vt:lpstr>
      <vt:lpstr>NB_85_All In FutureTech Allianc</vt:lpstr>
      <vt:lpstr>NB_86_Firefly Neuroscience Inc.</vt:lpstr>
      <vt:lpstr>NB_87_Ainos Inc. Common Stock</vt:lpstr>
      <vt:lpstr>NB_88_Ainos Inc. Warrants</vt:lpstr>
      <vt:lpstr>NB_89_Albany International Corp</vt:lpstr>
      <vt:lpstr>NB_90_PowerFleet Inc. Common St</vt:lpstr>
      <vt:lpstr>NB_91_Arteris Inc. Common Stock</vt:lpstr>
      <vt:lpstr>NB_92_AAR Corp. Common Stock</vt:lpstr>
      <vt:lpstr>NB_93_Airgain Inc. Common Stock</vt:lpstr>
      <vt:lpstr>NB_94_Air Industries Group Comm</vt:lpstr>
      <vt:lpstr>NB_95_AirJoule Technologies Cor</vt:lpstr>
      <vt:lpstr>NB_96_AirJoule Technologies Cor</vt:lpstr>
      <vt:lpstr>NB_97_AIRO Group Holdings Inc. </vt:lpstr>
      <vt:lpstr>NB_98_AirSculpt Technologies In</vt:lpstr>
      <vt:lpstr>NB_99_Air T Inc. Common Stock</vt:lpstr>
      <vt:lpstr>NB_100_Air T Inc. Air T Funding</vt:lpstr>
      <vt:lpstr>NB_101_Airship AI Holdings Inc.</vt:lpstr>
      <vt:lpstr>NB_102_Airship AI Holdings Inc.</vt:lpstr>
      <vt:lpstr>NB_103_Applied Industrial Techn</vt:lpstr>
      <vt:lpstr>NB_104_Akamai Technologies Inc.</vt:lpstr>
      <vt:lpstr>NB_105_Akebia Therapeutics Inc.</vt:lpstr>
      <vt:lpstr>NB_106_Aktis Oncology Inc. Comm</vt:lpstr>
      <vt:lpstr>NB_107_Astera Labs Inc. Common </vt:lpstr>
      <vt:lpstr>NB_108_Albemarle Corporation Co</vt:lpstr>
      <vt:lpstr>NB_109_Alico Inc. Common Stock</vt:lpstr>
      <vt:lpstr>NB_110_Aldeyra Therapeutics Inc</vt:lpstr>
      <vt:lpstr>NB_111_Alector Inc. Common Stoc</vt:lpstr>
      <vt:lpstr>NB_112_Alamo Group Inc. Common </vt:lpstr>
      <vt:lpstr>NB_113_Allegro MicroSystems Inc</vt:lpstr>
      <vt:lpstr>NB_114_Align Technology Inc. Co</vt:lpstr>
      <vt:lpstr>NB_115_Aligos Therapeutics Inc.</vt:lpstr>
      <vt:lpstr>NB_116_Allegiant Travel Company</vt:lpstr>
      <vt:lpstr>NB_117_Alliance Laundry Holding</vt:lpstr>
      <vt:lpstr>NB_118_Alignment Healthcare Inc</vt:lpstr>
      <vt:lpstr>NB_119_Alight Inc. Class A Comm</vt:lpstr>
      <vt:lpstr>NB_120_Alaska Air Group Inc. Co</vt:lpstr>
      <vt:lpstr>NB_121_Alkami Technology Inc. C</vt:lpstr>
      <vt:lpstr>NB_122_Allegion plc Ordinary Sh</vt:lpstr>
      <vt:lpstr>NB_123_Allogene Therapeutics In</vt:lpstr>
      <vt:lpstr>NB_124_Allarity Therapeutics In</vt:lpstr>
      <vt:lpstr>NB_125_Alamar Biosciences Inc. </vt:lpstr>
      <vt:lpstr>NB_126_Alumis Inc. Common Stock</vt:lpstr>
      <vt:lpstr>NB_127_Aeluma Inc. Common Stock</vt:lpstr>
      <vt:lpstr>NB_128_Allient Inc. Common Stoc</vt:lpstr>
      <vt:lpstr>NB_129_Alnylam Pharmaceuticals </vt:lpstr>
      <vt:lpstr>NB_130_REalloys Inc. Common Sto</vt:lpstr>
      <vt:lpstr>NB_131_Alarm.com Holdings Inc. </vt:lpstr>
      <vt:lpstr>NB_132_Allison Transmission Hol</vt:lpstr>
      <vt:lpstr>NB_133_Altimmune Inc. Common St</vt:lpstr>
      <vt:lpstr>NB_134_Alta Equipment Group Inc</vt:lpstr>
      <vt:lpstr>NB_135_Alto Ingredients Inc. Co</vt:lpstr>
      <vt:lpstr>NB_136_ALX Oncology Holdings In</vt:lpstr>
      <vt:lpstr>NB_137_Alzamend Neuro Inc. Comm</vt:lpstr>
      <vt:lpstr>NB_138_Antero Midstream Corpora</vt:lpstr>
      <vt:lpstr>NB_139_Applied Materials Inc. C</vt:lpstr>
      <vt:lpstr>NB_140_Ambarella Inc. Ordinary </vt:lpstr>
      <vt:lpstr>NB_141_Ambiq Micro Inc. Common </vt:lpstr>
      <vt:lpstr>NB_142_AMC Entertainment Holdin</vt:lpstr>
      <vt:lpstr>NB_143_AMC Robotics Corporation</vt:lpstr>
      <vt:lpstr>NB_144_AMC Global Media Inc. Cl</vt:lpstr>
      <vt:lpstr>NB_145_Advanced Micro Devices I</vt:lpstr>
      <vt:lpstr>NB_146_AMETEK Inc.</vt:lpstr>
      <vt:lpstr>NB_147_Amgen Inc. Common Stock</vt:lpstr>
      <vt:lpstr>NB_148_Autonomix Medical Inc. C</vt:lpstr>
      <vt:lpstr>NB_149_Amkor Technology Inc. Co</vt:lpstr>
      <vt:lpstr>NB_150_Amylyx Pharmaceuticals I</vt:lpstr>
      <vt:lpstr>NB_151_AMN Healthcare Services </vt:lpstr>
      <vt:lpstr>NB_152_Amplitech Group Inc. Com</vt:lpstr>
      <vt:lpstr>NB_153_Amplitech Group Inc. Ser</vt:lpstr>
      <vt:lpstr>NB_154_Amphastar Pharmaceutical</vt:lpstr>
      <vt:lpstr>NB_155_Amplitude Inc. Class A C</vt:lpstr>
      <vt:lpstr>NB_156_Amplify Energy Corp. Com</vt:lpstr>
      <vt:lpstr>NB_157_Alpha Metallurgical Reso</vt:lpstr>
      <vt:lpstr>NB_158_Ameresco Inc. Class A Co</vt:lpstr>
      <vt:lpstr>NB_159_Amneal Pharmaceuticals I</vt:lpstr>
      <vt:lpstr>NB_160_American Shared Hospital</vt:lpstr>
      <vt:lpstr>NB_161_American Superconductor </vt:lpstr>
      <vt:lpstr>NB_162_AMASS Brands Inc. Common</vt:lpstr>
      <vt:lpstr>NB_163_Amesite Inc. Common Stoc</vt:lpstr>
      <vt:lpstr>NB_164_Amentum Holdings Inc. Co</vt:lpstr>
      <vt:lpstr>NB_165_Aemetis Inc. (DE) Common</vt:lpstr>
      <vt:lpstr>NB_166_American Well Corporatio</vt:lpstr>
      <vt:lpstr>NB_167_Amazon.com Inc. Common S</vt:lpstr>
      <vt:lpstr>NB_168_AutoNation Inc. Common S</vt:lpstr>
      <vt:lpstr>NB_169_AnaptysBio Inc. Common S</vt:lpstr>
      <vt:lpstr>NB_170_Andersons Inc. (The) Com</vt:lpstr>
      <vt:lpstr>NB_171_Arista Networks Inc. Com</vt:lpstr>
      <vt:lpstr>NB_172_Abercrombie &amp; Fitch Comp</vt:lpstr>
      <vt:lpstr>NB_173_Angi Inc. Class A Common</vt:lpstr>
      <vt:lpstr>NB_174_AngioDynamics Inc. Commo</vt:lpstr>
      <vt:lpstr>NB_175_Angel Studios Inc. Class</vt:lpstr>
      <vt:lpstr>NB_176_Anika Therapeutics Inc. </vt:lpstr>
      <vt:lpstr>NB_177_ANI Pharmaceuticals Inc.</vt:lpstr>
      <vt:lpstr>NB_178_Anixa Biosciences Inc. C</vt:lpstr>
      <vt:lpstr>NB_179_AleAnna Inc. Class A Com</vt:lpstr>
      <vt:lpstr>NB_180_AleAnna Inc. Warrant</vt:lpstr>
      <vt:lpstr>NB_181_Annexon Inc. Common Stoc</vt:lpstr>
      <vt:lpstr>NB_182_Alto Neuroscience Inc. C</vt:lpstr>
      <vt:lpstr>NB_183_AN2 Therapeutics Inc. Co</vt:lpstr>
      <vt:lpstr>NB_184_Annovis Bio Inc. Common </vt:lpstr>
      <vt:lpstr>NB_185_Artivion Inc. Common Sto</vt:lpstr>
      <vt:lpstr>NB_186_A.O. Smith Corporation C</vt:lpstr>
      <vt:lpstr>NB_187_American Outdoor Brands </vt:lpstr>
      <vt:lpstr>NB_188_Ampco-Pittsburgh Corpora</vt:lpstr>
      <vt:lpstr>NB_189_APA Corporation Common S</vt:lpstr>
      <vt:lpstr>NB_190_ARKO Petroleum Corp. Cla</vt:lpstr>
      <vt:lpstr>NB_191_Air Products and Chemica</vt:lpstr>
      <vt:lpstr>NB_192_APi Group Corporation Co</vt:lpstr>
      <vt:lpstr>NB_193_Amphenol Corporation Com</vt:lpstr>
      <vt:lpstr>NB_194_Applied Digital Corporat</vt:lpstr>
      <vt:lpstr>NB_195_Apollomics Inc. Class A </vt:lpstr>
      <vt:lpstr>NB_196_Apnimed Inc. Common Stoc</vt:lpstr>
      <vt:lpstr>NB_197_Apogee Enterprises Inc. </vt:lpstr>
      <vt:lpstr>NB_198_Applovin Corporation Cla</vt:lpstr>
      <vt:lpstr>NB_199_AppFolio Inc. Class A Co</vt:lpstr>
      <vt:lpstr>NB_200_Appian Corporation Class</vt:lpstr>
      <vt:lpstr>NB_201_Aprea Therapeutics Inc. </vt:lpstr>
      <vt:lpstr>NB_202_Aptevo Therapeutics Inc.</vt:lpstr>
      <vt:lpstr>NB_203_Apyx Medical Corporation</vt:lpstr>
      <vt:lpstr>NB_204_AquaBounty Technologies </vt:lpstr>
      <vt:lpstr>NB_205_Aqua Metals Inc. Common </vt:lpstr>
      <vt:lpstr>NB_206_Algonquin Power &amp; Utilit</vt:lpstr>
      <vt:lpstr>NB_207_Algonquin Power &amp; Utilit</vt:lpstr>
      <vt:lpstr>NB_208_Aquestive Therapeutics I</vt:lpstr>
      <vt:lpstr>NB_209_Antero Resources Corpora</vt:lpstr>
      <vt:lpstr>NB_210_Arrive AI Inc. Common St</vt:lpstr>
      <vt:lpstr>NB_211_Accuray Incorporated Com</vt:lpstr>
      <vt:lpstr>NB_212_ArcBest Corporation Comm</vt:lpstr>
      <vt:lpstr>NB_213_Ardent Health Inc. Commo</vt:lpstr>
      <vt:lpstr>NB_214_Ardelyx Inc. Common Stoc</vt:lpstr>
      <vt:lpstr>NB_215_American Resources Corpo</vt:lpstr>
      <vt:lpstr>NB_216_Arhaus Inc. Class A Comm</vt:lpstr>
      <vt:lpstr>NB_217_ARKO Corp. Common Stock</vt:lpstr>
      <vt:lpstr>NB_218_Ark Restaurants Corp. Co</vt:lpstr>
      <vt:lpstr>NB_219_Arlo Technologies Inc. C</vt:lpstr>
      <vt:lpstr>NB_220_Alliance Resource Partne</vt:lpstr>
      <vt:lpstr>NB_221_Aramark Common Stock</vt:lpstr>
      <vt:lpstr>NB_222_Armata Pharmaceuticals I</vt:lpstr>
      <vt:lpstr>NB_223_Archrock Inc. Common Sto</vt:lpstr>
      <vt:lpstr>NB_224_Arq Inc. Common Stock</vt:lpstr>
      <vt:lpstr>NB_225_Arcutis Biotherapeutics </vt:lpstr>
      <vt:lpstr>NB_226_Array Technologies Inc. </vt:lpstr>
      <vt:lpstr>NB_227_Artelo Biosciences Inc. </vt:lpstr>
      <vt:lpstr>NB_228_Artesian Resources Corpo</vt:lpstr>
      <vt:lpstr>NB_229_Artiva Biotherapeutics I</vt:lpstr>
      <vt:lpstr>NB_230_Art's-Way Manufacturing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2026-10-05T19:45:10Z</dcterms:created>
  <dcterms:modified xsi:type="dcterms:W3CDTF">2026-10-05T19:45:10Z</dcterms:modified>
</cp:coreProperties>
</file>