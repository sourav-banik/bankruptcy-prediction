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SA_105_National Equipment Servi" sheetId="2" r:id="rId2"/>
    <sheet name="SA_203_Crown Pacific Partners L" sheetId="3" r:id="rId3"/>
    <sheet name="SA_117_DDI Corp." sheetId="4" r:id="rId4"/>
    <sheet name="SA_68_NorthWestern Corporation" sheetId="5" r:id="rId5"/>
    <sheet name="SA_251_Cone Mills Corp" sheetId="6" r:id="rId6"/>
    <sheet name="SA_47_Rouge Industries, Inc." sheetId="7" r:id="rId7"/>
    <sheet name="SA_136_Atlas Air Worldwide Hold" sheetId="8" r:id="rId8"/>
    <sheet name="SA_0_Avado Brands Inc." sheetId="9" r:id="rId9"/>
    <sheet name="SA_268_RCN Corporation" sheetId="10" r:id="rId10"/>
    <sheet name="SA_13_Choice One Communications" sheetId="11" r:id="rId11"/>
    <sheet name="SA_70_Huffy Corp." sheetId="12" r:id="rId12"/>
    <sheet name="SA_165_ATA Holdings Corp." sheetId="13" r:id="rId13"/>
    <sheet name="SA_287_Amcast Industrial Corpor" sheetId="14" r:id="rId14"/>
    <sheet name="SA_206_Trico Marine Services, I" sheetId="15" r:id="rId15"/>
    <sheet name="SA_207_Falcon Products, Inc." sheetId="16" r:id="rId16"/>
    <sheet name="SA_182_Tower Automotive, Inc." sheetId="17" r:id="rId17"/>
    <sheet name="SA_53_Winn-Dixie Stores, Inc." sheetId="18" r:id="rId18"/>
    <sheet name="SA_158_WHX Corporation" sheetId="19" r:id="rId19"/>
    <sheet name="SA_88_Collins &amp; Aikman Corporat" sheetId="20" r:id="rId20"/>
    <sheet name="SA_120_Allied Holdings, Inc." sheetId="21" r:id="rId21"/>
    <sheet name="SA_267_Delta Air Lines, Inc." sheetId="22" r:id="rId22"/>
    <sheet name="SA_5_Northwest Airlines Corpora" sheetId="23" r:id="rId23"/>
    <sheet name="SA_79_FLYi, Inc." sheetId="24" r:id="rId24"/>
    <sheet name="SA_190_Global Power Equipment G" sheetId="25" r:id="rId25"/>
    <sheet name="SA_71_Granite Broadcasting Corp" sheetId="26" r:id="rId26"/>
    <sheet name="SA_49_Hancock Fabrics, Inc." sheetId="27" r:id="rId27"/>
    <sheet name="SA_93_Pope &amp; Talbot, Inc." sheetId="28" r:id="rId28"/>
    <sheet name="SA_39_TOUSA, Inc." sheetId="29" r:id="rId29"/>
    <sheet name="SA_153_MPC Corporation" sheetId="30" r:id="rId30"/>
    <sheet name="SA_211_BearingPoint, Inc." sheetId="31" r:id="rId31"/>
    <sheet name="SA_27_Journal Register Company" sheetId="32" r:id="rId32"/>
    <sheet name="SA_171_Chemtura Corporation" sheetId="33" r:id="rId33"/>
    <sheet name="SA_243_Charter Communications, " sheetId="34" r:id="rId34"/>
    <sheet name="SA_309_Idearc Inc." sheetId="35" r:id="rId35"/>
    <sheet name="SA_115_Dayton Superior Corporat" sheetId="36" r:id="rId36"/>
    <sheet name="SA_7_Asyst Technologies, Inc." sheetId="37" r:id="rId37"/>
    <sheet name="SA_129_Visteon Corporation" sheetId="38" r:id="rId38"/>
    <sheet name="SA_202_R.H. Donnelley Corporati" sheetId="39" r:id="rId39"/>
    <sheet name="SA_102_Lear Corporation" sheetId="40" r:id="rId40"/>
    <sheet name="SA_78_Barzel Industries Inc." sheetId="41" r:id="rId41"/>
    <sheet name="SA_248_Edge Petroleum Corporati" sheetId="42" r:id="rId42"/>
    <sheet name="SA_164_Champion Enterprises, In" sheetId="43" r:id="rId43"/>
    <sheet name="SA_106_Neff Corp." sheetId="44" r:id="rId44"/>
    <sheet name="SA_40_Blockbuster Inc." sheetId="45" r:id="rId45"/>
    <sheet name="SA_57_Seahawk Drilling, Inc." sheetId="46" r:id="rId46"/>
    <sheet name="SA_209_Jackson Hewitt Tax Servi" sheetId="47" r:id="rId47"/>
    <sheet name="SA_266_ShengdaTech, Inc." sheetId="48" r:id="rId48"/>
    <sheet name="SA_307_Syms Corp." sheetId="49" r:id="rId49"/>
    <sheet name="SA_186_Dynegy Holdings, LLC" sheetId="50" r:id="rId50"/>
    <sheet name="SA_274_Trident Microsystems, In" sheetId="51" r:id="rId51"/>
  </sheets>
  <calcPr calcId="124519" fullCalcOnLoad="1"/>
</workbook>
</file>

<file path=xl/sharedStrings.xml><?xml version="1.0" encoding="utf-8"?>
<sst xmlns="http://schemas.openxmlformats.org/spreadsheetml/2006/main" count="3361" uniqueCount="412">
  <si>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</si>
  <si>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</si>
  <si>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</si>
  <si>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</si>
  <si>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</si>
  <si>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</si>
  <si>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</si>
  <si>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</si>
  <si>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</si>
  <si>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</si>
  <si>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</si>
  <si>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SA_105</t>
  </si>
  <si>
    <t>bankrupt</t>
  </si>
  <si>
    <t>2003-06-27</t>
  </si>
  <si>
    <t>NSV</t>
  </si>
  <si>
    <t>National Equipment Services Inc.</t>
  </si>
  <si>
    <t/>
  </si>
  <si>
    <t>NEQSQ US Equity</t>
  </si>
  <si>
    <t>2003-03-29</t>
  </si>
  <si>
    <t>1998-03-29</t>
  </si>
  <si>
    <t>SA_203</t>
  </si>
  <si>
    <t>2003-06-29</t>
  </si>
  <si>
    <t>CRPP</t>
  </si>
  <si>
    <t>Crown Pacific Partners L.P.</t>
  </si>
  <si>
    <t>1514052D US Equity</t>
  </si>
  <si>
    <t>2003-03-31</t>
  </si>
  <si>
    <t>1998-03-31</t>
  </si>
  <si>
    <t>SA_117</t>
  </si>
  <si>
    <t>2003-08-20</t>
  </si>
  <si>
    <t>DDICQ</t>
  </si>
  <si>
    <t>DDI Corp.</t>
  </si>
  <si>
    <t>DDICQ US Equity</t>
  </si>
  <si>
    <t>2003-05-22</t>
  </si>
  <si>
    <t>1998-05-22</t>
  </si>
  <si>
    <t>SA_68</t>
  </si>
  <si>
    <t>2003-09-14</t>
  </si>
  <si>
    <t>NTHWQ</t>
  </si>
  <si>
    <t>NorthWestern Corporation</t>
  </si>
  <si>
    <t>NTHWQ US Equity</t>
  </si>
  <si>
    <t>2003-06-16</t>
  </si>
  <si>
    <t>1998-06-16</t>
  </si>
  <si>
    <t>SA_251</t>
  </si>
  <si>
    <t>2003-09-24</t>
  </si>
  <si>
    <t>CJML</t>
  </si>
  <si>
    <t>Cone Mills Corp</t>
  </si>
  <si>
    <t>CJML US Equity</t>
  </si>
  <si>
    <t>2003-06-26</t>
  </si>
  <si>
    <t>1998-06-26</t>
  </si>
  <si>
    <t>SA_47</t>
  </si>
  <si>
    <t>2003-10-23</t>
  </si>
  <si>
    <t>RGIDQ</t>
  </si>
  <si>
    <t>Rouge Industries, Inc.</t>
  </si>
  <si>
    <t>RGIDQ US Equity</t>
  </si>
  <si>
    <t>2003-07-25</t>
  </si>
  <si>
    <t>1998-07-25</t>
  </si>
  <si>
    <t>SA_136</t>
  </si>
  <si>
    <t>2004-01-30</t>
  </si>
  <si>
    <t>AAWHQ</t>
  </si>
  <si>
    <t>Atlas Air Worldwide Holdings Inc.</t>
  </si>
  <si>
    <t>AAWHQ US Equity</t>
  </si>
  <si>
    <t>2003-11-01</t>
  </si>
  <si>
    <t>1998-11-01</t>
  </si>
  <si>
    <t>SA_0</t>
  </si>
  <si>
    <t>2004-02-04</t>
  </si>
  <si>
    <t>AVDO</t>
  </si>
  <si>
    <t>Avado Brands Inc.</t>
  </si>
  <si>
    <t>AVDO US Equity</t>
  </si>
  <si>
    <t>2003-11-06</t>
  </si>
  <si>
    <t>1998-11-06</t>
  </si>
  <si>
    <t>SA_268</t>
  </si>
  <si>
    <t>2004-05-27</t>
  </si>
  <si>
    <t>RCNCQ</t>
  </si>
  <si>
    <t>RCN Corporation</t>
  </si>
  <si>
    <t>RCNCQ US Equity</t>
  </si>
  <si>
    <t>2004-02-27</t>
  </si>
  <si>
    <t>1999-02-27</t>
  </si>
  <si>
    <t>SA_13</t>
  </si>
  <si>
    <t>2004-10-05</t>
  </si>
  <si>
    <t>CWONQ</t>
  </si>
  <si>
    <t>Choice One Communications, Inc.</t>
  </si>
  <si>
    <t>CWONQ US Equity</t>
  </si>
  <si>
    <t>2004-07-07</t>
  </si>
  <si>
    <t>1999-07-07</t>
  </si>
  <si>
    <t>SA_70</t>
  </si>
  <si>
    <t>2004-10-20</t>
  </si>
  <si>
    <t>HUFCQ</t>
  </si>
  <si>
    <t>Huffy Corp.</t>
  </si>
  <si>
    <t>HUFCQ US Equity</t>
  </si>
  <si>
    <t>2004-07-22</t>
  </si>
  <si>
    <t>1999-07-22</t>
  </si>
  <si>
    <t>SA_165</t>
  </si>
  <si>
    <t>2004-10-26</t>
  </si>
  <si>
    <t>ATAHQ</t>
  </si>
  <si>
    <t>ATA Holdings Corp.</t>
  </si>
  <si>
    <t>ATAHQ US Equity</t>
  </si>
  <si>
    <t>2004-07-28</t>
  </si>
  <si>
    <t>1999-07-28</t>
  </si>
  <si>
    <t>SA_287</t>
  </si>
  <si>
    <t>2004-11-30</t>
  </si>
  <si>
    <t>AICOQ</t>
  </si>
  <si>
    <t>Amcast Industrial Corporation (2004)</t>
  </si>
  <si>
    <t>AICOQ US Equity</t>
  </si>
  <si>
    <t>2004-09-01</t>
  </si>
  <si>
    <t>1999-09-01</t>
  </si>
  <si>
    <t>SA_206</t>
  </si>
  <si>
    <t>2004-12-21</t>
  </si>
  <si>
    <t>TMARQ</t>
  </si>
  <si>
    <t>Trico Marine Services, Inc. (2004)</t>
  </si>
  <si>
    <t>TRMAQ US Equity</t>
  </si>
  <si>
    <t>2004-09-22</t>
  </si>
  <si>
    <t>1999-09-22</t>
  </si>
  <si>
    <t>SA_207</t>
  </si>
  <si>
    <t>2005-01-31</t>
  </si>
  <si>
    <t>FCPR</t>
  </si>
  <si>
    <t>Falcon Products, Inc.</t>
  </si>
  <si>
    <t>FCPR US Equity</t>
  </si>
  <si>
    <t>2004-11-02</t>
  </si>
  <si>
    <t>1999-11-02</t>
  </si>
  <si>
    <t>SA_182</t>
  </si>
  <si>
    <t>2005-02-02</t>
  </si>
  <si>
    <t>TWRAQ</t>
  </si>
  <si>
    <t>Tower Automotive, Inc.</t>
  </si>
  <si>
    <t>TWRAQ US Equity</t>
  </si>
  <si>
    <t>2004-11-04</t>
  </si>
  <si>
    <t>1999-11-04</t>
  </si>
  <si>
    <t>SA_53</t>
  </si>
  <si>
    <t>2005-02-21</t>
  </si>
  <si>
    <t>WNDXQ</t>
  </si>
  <si>
    <t>Winn-Dixie Stores, Inc.</t>
  </si>
  <si>
    <t>1986047D US Equity</t>
  </si>
  <si>
    <t>2004-11-23</t>
  </si>
  <si>
    <t>1999-11-23</t>
  </si>
  <si>
    <t>SA_158</t>
  </si>
  <si>
    <t>2005-03-07</t>
  </si>
  <si>
    <t>WHXCQ</t>
  </si>
  <si>
    <t>WHX Corporation</t>
  </si>
  <si>
    <t>WHXCQ US Equity</t>
  </si>
  <si>
    <t>2004-12-07</t>
  </si>
  <si>
    <t>1999-12-07</t>
  </si>
  <si>
    <t>SA_88</t>
  </si>
  <si>
    <t>2005-05-17</t>
  </si>
  <si>
    <t>CKCRQ</t>
  </si>
  <si>
    <t>Collins &amp; Aikman Corporation</t>
  </si>
  <si>
    <t>CKCRQ US Equity</t>
  </si>
  <si>
    <t>2005-02-16</t>
  </si>
  <si>
    <t>2000-02-16</t>
  </si>
  <si>
    <t>SA_120</t>
  </si>
  <si>
    <t>2005-07-31</t>
  </si>
  <si>
    <t>AHIZQ</t>
  </si>
  <si>
    <t>Allied Holdings, Inc.</t>
  </si>
  <si>
    <t>AHIZQ US Equity</t>
  </si>
  <si>
    <t>2005-05-02</t>
  </si>
  <si>
    <t>2000-05-02</t>
  </si>
  <si>
    <t>SA_267</t>
  </si>
  <si>
    <t>2005-09-14</t>
  </si>
  <si>
    <t>DALRQ</t>
  </si>
  <si>
    <t>Delta Air Lines, Inc.</t>
  </si>
  <si>
    <t>DALRQ US Equity</t>
  </si>
  <si>
    <t>2005-06-16</t>
  </si>
  <si>
    <t>2000-06-16</t>
  </si>
  <si>
    <t>SA_5</t>
  </si>
  <si>
    <t>NWACQ</t>
  </si>
  <si>
    <t>Northwest Airlines Corporation</t>
  </si>
  <si>
    <t>NWACQ US Equity</t>
  </si>
  <si>
    <t>SA_79</t>
  </si>
  <si>
    <t>2005-11-07</t>
  </si>
  <si>
    <t>FLYIQ</t>
  </si>
  <si>
    <t>FLYi, Inc.</t>
  </si>
  <si>
    <t>FLYIQ US Equity</t>
  </si>
  <si>
    <t>2005-08-09</t>
  </si>
  <si>
    <t>2000-08-09</t>
  </si>
  <si>
    <t>SA_190</t>
  </si>
  <si>
    <t>2006-09-28</t>
  </si>
  <si>
    <t>GEGQQ</t>
  </si>
  <si>
    <t>Global Power Equipment Group Inc.</t>
  </si>
  <si>
    <t>GEGQQ US Equity</t>
  </si>
  <si>
    <t>2006-06-30</t>
  </si>
  <si>
    <t>2001-06-30</t>
  </si>
  <si>
    <t>SA_71</t>
  </si>
  <si>
    <t>2006-12-11</t>
  </si>
  <si>
    <t>GBTVQ</t>
  </si>
  <si>
    <t>Granite Broadcasting Corporation</t>
  </si>
  <si>
    <t>GBTVQ US Equity</t>
  </si>
  <si>
    <t>2006-09-12</t>
  </si>
  <si>
    <t>2001-09-12</t>
  </si>
  <si>
    <t>SA_49</t>
  </si>
  <si>
    <t>2007-03-21</t>
  </si>
  <si>
    <t>HKFIQ</t>
  </si>
  <si>
    <t>Hancock Fabrics, Inc.</t>
  </si>
  <si>
    <t>HKFIQ US Equity</t>
  </si>
  <si>
    <t>2006-12-21</t>
  </si>
  <si>
    <t>2001-12-21</t>
  </si>
  <si>
    <t>SA_93</t>
  </si>
  <si>
    <t>2007-11-19</t>
  </si>
  <si>
    <t>PTBTQ</t>
  </si>
  <si>
    <t>Pope &amp; Talbot, Inc.</t>
  </si>
  <si>
    <t>PTBTQ US Equity</t>
  </si>
  <si>
    <t>2007-08-21</t>
  </si>
  <si>
    <t>2002-08-21</t>
  </si>
  <si>
    <t>SA_39</t>
  </si>
  <si>
    <t>2008-01-29</t>
  </si>
  <si>
    <t>TOUSQ</t>
  </si>
  <si>
    <t>TOUSA, Inc.</t>
  </si>
  <si>
    <t>TOUSQ US Equity</t>
  </si>
  <si>
    <t>2007-10-31</t>
  </si>
  <si>
    <t>2002-10-31</t>
  </si>
  <si>
    <t>SA_153</t>
  </si>
  <si>
    <t>2008-11-06</t>
  </si>
  <si>
    <t>MPCCQ</t>
  </si>
  <si>
    <t>MPC Corporation</t>
  </si>
  <si>
    <t>MPCCQ US Equity</t>
  </si>
  <si>
    <t>2008-08-08</t>
  </si>
  <si>
    <t>2003-08-08</t>
  </si>
  <si>
    <t>SA_211</t>
  </si>
  <si>
    <t>2009-02-18</t>
  </si>
  <si>
    <t>BGPTQ</t>
  </si>
  <si>
    <t>BearingPoint, Inc.</t>
  </si>
  <si>
    <t>BGPTQ US Equity</t>
  </si>
  <si>
    <t>2008-11-20</t>
  </si>
  <si>
    <t>2003-11-20</t>
  </si>
  <si>
    <t>SA_27</t>
  </si>
  <si>
    <t>2009-02-21</t>
  </si>
  <si>
    <t>JRCOQ</t>
  </si>
  <si>
    <t>Journal Register Company</t>
  </si>
  <si>
    <t>JRCOQ US Equity</t>
  </si>
  <si>
    <t>2008-11-23</t>
  </si>
  <si>
    <t>2003-11-23</t>
  </si>
  <si>
    <t>SA_171</t>
  </si>
  <si>
    <t>2009-03-18</t>
  </si>
  <si>
    <t>CEMJQ</t>
  </si>
  <si>
    <t>Chemtura Corporation</t>
  </si>
  <si>
    <t>CEMJQ US Equity</t>
  </si>
  <si>
    <t>2008-12-18</t>
  </si>
  <si>
    <t>2003-12-18</t>
  </si>
  <si>
    <t>SA_243</t>
  </si>
  <si>
    <t>2009-03-27</t>
  </si>
  <si>
    <t>CHTRQ</t>
  </si>
  <si>
    <t>Charter Communications, Inc.</t>
  </si>
  <si>
    <t>CHTRQ US Equity</t>
  </si>
  <si>
    <t>2008-12-27</t>
  </si>
  <si>
    <t>2003-12-27</t>
  </si>
  <si>
    <t>SA_309</t>
  </si>
  <si>
    <t>2009-03-31</t>
  </si>
  <si>
    <t>IDARQ</t>
  </si>
  <si>
    <t>Idearc Inc.</t>
  </si>
  <si>
    <t>IDARQ US Equity</t>
  </si>
  <si>
    <t>2008-12-31</t>
  </si>
  <si>
    <t>2003-12-31</t>
  </si>
  <si>
    <t>SA_115</t>
  </si>
  <si>
    <t>2009-04-19</t>
  </si>
  <si>
    <t>DSUPQ</t>
  </si>
  <si>
    <t>Dayton Superior Corporation</t>
  </si>
  <si>
    <t>DSUPQ US Equity</t>
  </si>
  <si>
    <t>2009-01-19</t>
  </si>
  <si>
    <t>2004-01-19</t>
  </si>
  <si>
    <t>SA_7</t>
  </si>
  <si>
    <t>2009-04-20</t>
  </si>
  <si>
    <t>ASYTQ</t>
  </si>
  <si>
    <t>Asyst Technologies, Inc.</t>
  </si>
  <si>
    <t>ASYTQ US Equity</t>
  </si>
  <si>
    <t>2009-01-20</t>
  </si>
  <si>
    <t>2004-01-20</t>
  </si>
  <si>
    <t>SA_129</t>
  </si>
  <si>
    <t>2009-05-28</t>
  </si>
  <si>
    <t>VSTNQ</t>
  </si>
  <si>
    <t>Visteon Corporation</t>
  </si>
  <si>
    <t>VSTNQ US Equity</t>
  </si>
  <si>
    <t>2009-02-27</t>
  </si>
  <si>
    <t>SA_202</t>
  </si>
  <si>
    <t>RHDCQ</t>
  </si>
  <si>
    <t>R.H. Donnelley Corporation</t>
  </si>
  <si>
    <t>RHDCQ US Equity</t>
  </si>
  <si>
    <t>SA_102</t>
  </si>
  <si>
    <t>2009-07-07</t>
  </si>
  <si>
    <t>LEARQ</t>
  </si>
  <si>
    <t>Lear Corporation</t>
  </si>
  <si>
    <t>LEARQ US Equity</t>
  </si>
  <si>
    <t>2009-04-08</t>
  </si>
  <si>
    <t>2004-04-08</t>
  </si>
  <si>
    <t>SA_78</t>
  </si>
  <si>
    <t>2009-09-15</t>
  </si>
  <si>
    <t>TPUTQ</t>
  </si>
  <si>
    <t>Barzel Industries Inc.</t>
  </si>
  <si>
    <t>TPUTQ US Equity</t>
  </si>
  <si>
    <t>2009-06-17</t>
  </si>
  <si>
    <t>2004-06-17</t>
  </si>
  <si>
    <t>SA_248</t>
  </si>
  <si>
    <t>2009-10-01</t>
  </si>
  <si>
    <t>EPEXQ</t>
  </si>
  <si>
    <t>Edge Petroleum Corporation</t>
  </si>
  <si>
    <t>EPEXQ US Equity</t>
  </si>
  <si>
    <t>2009-07-03</t>
  </si>
  <si>
    <t>2004-07-03</t>
  </si>
  <si>
    <t>SA_164</t>
  </si>
  <si>
    <t>2009-11-15</t>
  </si>
  <si>
    <t>CJHBQ</t>
  </si>
  <si>
    <t>Champion Enterprises, Inc.</t>
  </si>
  <si>
    <t>CJHBQ US Equity</t>
  </si>
  <si>
    <t>2009-08-17</t>
  </si>
  <si>
    <t>2004-08-17</t>
  </si>
  <si>
    <t>SA_106</t>
  </si>
  <si>
    <t>2010-05-16</t>
  </si>
  <si>
    <t>NFFCA</t>
  </si>
  <si>
    <t>Neff Corp.</t>
  </si>
  <si>
    <t>NFFCA US Equity</t>
  </si>
  <si>
    <t>2010-02-15</t>
  </si>
  <si>
    <t>2005-02-15</t>
  </si>
  <si>
    <t>SA_40</t>
  </si>
  <si>
    <t>2010-09-23</t>
  </si>
  <si>
    <t>BLIAQ</t>
  </si>
  <si>
    <t>Blockbuster Inc.</t>
  </si>
  <si>
    <t>BLIAQ US Equity</t>
  </si>
  <si>
    <t>2010-06-25</t>
  </si>
  <si>
    <t>2005-06-25</t>
  </si>
  <si>
    <t>SA_57</t>
  </si>
  <si>
    <t>2011-02-11</t>
  </si>
  <si>
    <t>HAWKQ</t>
  </si>
  <si>
    <t>Seahawk Drilling, Inc.</t>
  </si>
  <si>
    <t>HAWKQ US Equity</t>
  </si>
  <si>
    <t>2010-11-13</t>
  </si>
  <si>
    <t>2005-11-13</t>
  </si>
  <si>
    <t>SA_209</t>
  </si>
  <si>
    <t>2011-05-24</t>
  </si>
  <si>
    <t>JHTXQ</t>
  </si>
  <si>
    <t>Jackson Hewitt Tax Service Inc.</t>
  </si>
  <si>
    <t>JHTXQ US Equity</t>
  </si>
  <si>
    <t>2011-02-23</t>
  </si>
  <si>
    <t>2006-02-23</t>
  </si>
  <si>
    <t>SA_266</t>
  </si>
  <si>
    <t>2011-08-19</t>
  </si>
  <si>
    <t>SDTHQ</t>
  </si>
  <si>
    <t>ShengdaTech, Inc.</t>
  </si>
  <si>
    <t>SDTHQ US Equity</t>
  </si>
  <si>
    <t>2011-05-21</t>
  </si>
  <si>
    <t>2006-05-21</t>
  </si>
  <si>
    <t>SA_307</t>
  </si>
  <si>
    <t>2011-11-02</t>
  </si>
  <si>
    <t>SYMSQ</t>
  </si>
  <si>
    <t>Syms Corp.</t>
  </si>
  <si>
    <t>SYMSQ US Equity</t>
  </si>
  <si>
    <t>2011-08-04</t>
  </si>
  <si>
    <t>2006-08-04</t>
  </si>
  <si>
    <t>SA_186</t>
  </si>
  <si>
    <t>2011-11-07</t>
  </si>
  <si>
    <t>DYNIQ</t>
  </si>
  <si>
    <t>Dynegy Holdings, LLC</t>
  </si>
  <si>
    <t>DYNIQ US Equity</t>
  </si>
  <si>
    <t>2011-08-09</t>
  </si>
  <si>
    <t>2006-08-09</t>
  </si>
  <si>
    <t>SA_274</t>
  </si>
  <si>
    <t>2012-01-04</t>
  </si>
  <si>
    <t>TRIDQ</t>
  </si>
  <si>
    <t>Trident Microsystems, Inc.</t>
  </si>
  <si>
    <t>TRIDQ US Equity</t>
  </si>
  <si>
    <t>2011-10-06</t>
  </si>
  <si>
    <t>2006-10-06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</si>
  <si>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</si>
  <si>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</si>
  <si>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</si>
  <si>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</si>
  <si>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</si>
  <si>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</si>
  <si>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</si>
  <si>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</si>
  <si>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</si>
  <si>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</si>
  <si>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</si>
  <si>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</si>
  <si>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</si>
  <si>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</si>
  <si>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</si>
  <si>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</si>
  <si>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</si>
  <si>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</si>
  <si>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</si>
  <si>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</si>
  <si>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</si>
  <si>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</si>
  <si>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</si>
  <si>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</si>
  <si>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</si>
  <si>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</si>
  <si>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</si>
  <si>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</si>
  <si>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</si>
  <si>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</si>
  <si>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</si>
  <si>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</si>
  <si>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</si>
  <si>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</si>
  <si>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</si>
  <si>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</si>
  <si>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</si>
  <si>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</si>
  <si>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</si>
  <si>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</si>
  <si>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</si>
  <si>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</si>
  <si>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</si>
  <si>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</si>
  <si>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</si>
  <si>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</si>
  <si>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</si>
  <si>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</si>
  <si>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beta_Date</t>
  </si>
  <si>
    <t>beta_Value</t>
  </si>
  <si>
    <t>volume_Date</t>
  </si>
  <si>
    <t>volume_Value</t>
  </si>
  <si>
    <t>turnover_Date</t>
  </si>
  <si>
    <t>turnover_Value</t>
  </si>
  <si>
    <t>bid_ask_spread_Date</t>
  </si>
  <si>
    <t>bid_ask_spread_Value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</si>
</sst>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theme" Target="theme/theme1.xml"/><Relationship Id="rId53" Type="http://schemas.openxmlformats.org/officeDocument/2006/relationships/styles" Target="styles.xml"/><Relationship Id="rId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1"/>
  <sheetViews>
    <sheetView tabSelected="1" workbookViewId="0"/>
  </sheetViews>
  <sheetFormatPr defaultRowHeight="15"/>
  <cols>
    <col min="1" max="11" width="18.710937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16</v>
      </c>
      <c r="H2" t="s">
        <v>17</v>
      </c>
      <c r="I2" t="s">
        <v>18</v>
      </c>
      <c r="J2" t="s">
        <v>19</v>
      </c>
      <c r="K2" t="s">
        <v>18</v>
      </c>
    </row>
    <row r="3" spans="1:11">
      <c r="A3" t="s">
        <v>20</v>
      </c>
      <c r="B3" t="s">
        <v>12</v>
      </c>
      <c r="C3" t="s">
        <v>21</v>
      </c>
      <c r="D3" t="s">
        <v>22</v>
      </c>
      <c r="E3" t="s">
        <v>23</v>
      </c>
      <c r="F3" t="s">
        <v>16</v>
      </c>
      <c r="G3" t="s">
        <v>16</v>
      </c>
      <c r="H3" t="s">
        <v>24</v>
      </c>
      <c r="I3" t="s">
        <v>25</v>
      </c>
      <c r="J3" t="s">
        <v>26</v>
      </c>
      <c r="K3" t="s">
        <v>25</v>
      </c>
    </row>
    <row r="4" spans="1:11">
      <c r="A4" t="s">
        <v>27</v>
      </c>
      <c r="B4" t="s">
        <v>12</v>
      </c>
      <c r="C4" t="s">
        <v>28</v>
      </c>
      <c r="D4" t="s">
        <v>29</v>
      </c>
      <c r="E4" t="s">
        <v>30</v>
      </c>
      <c r="F4" t="s">
        <v>16</v>
      </c>
      <c r="G4" t="s">
        <v>16</v>
      </c>
      <c r="H4" t="s">
        <v>31</v>
      </c>
      <c r="I4" t="s">
        <v>32</v>
      </c>
      <c r="J4" t="s">
        <v>33</v>
      </c>
      <c r="K4" t="s">
        <v>32</v>
      </c>
    </row>
    <row r="5" spans="1:11">
      <c r="A5" t="s">
        <v>34</v>
      </c>
      <c r="B5" t="s">
        <v>12</v>
      </c>
      <c r="C5" t="s">
        <v>35</v>
      </c>
      <c r="D5" t="s">
        <v>36</v>
      </c>
      <c r="E5" t="s">
        <v>37</v>
      </c>
      <c r="F5" t="s">
        <v>16</v>
      </c>
      <c r="G5" t="s">
        <v>16</v>
      </c>
      <c r="H5" t="s">
        <v>38</v>
      </c>
      <c r="I5" t="s">
        <v>39</v>
      </c>
      <c r="J5" t="s">
        <v>40</v>
      </c>
      <c r="K5" t="s">
        <v>39</v>
      </c>
    </row>
    <row r="6" spans="1:11">
      <c r="A6" t="s">
        <v>41</v>
      </c>
      <c r="B6" t="s">
        <v>12</v>
      </c>
      <c r="C6" t="s">
        <v>42</v>
      </c>
      <c r="D6" t="s">
        <v>43</v>
      </c>
      <c r="E6" t="s">
        <v>44</v>
      </c>
      <c r="F6" t="s">
        <v>16</v>
      </c>
      <c r="G6" t="s">
        <v>16</v>
      </c>
      <c r="H6" t="s">
        <v>45</v>
      </c>
      <c r="I6" t="s">
        <v>46</v>
      </c>
      <c r="J6" t="s">
        <v>47</v>
      </c>
      <c r="K6" t="s">
        <v>46</v>
      </c>
    </row>
    <row r="7" spans="1:11">
      <c r="A7" t="s">
        <v>48</v>
      </c>
      <c r="B7" t="s">
        <v>12</v>
      </c>
      <c r="C7" t="s">
        <v>49</v>
      </c>
      <c r="D7" t="s">
        <v>50</v>
      </c>
      <c r="E7" t="s">
        <v>51</v>
      </c>
      <c r="F7" t="s">
        <v>16</v>
      </c>
      <c r="G7" t="s">
        <v>16</v>
      </c>
      <c r="H7" t="s">
        <v>52</v>
      </c>
      <c r="I7" t="s">
        <v>53</v>
      </c>
      <c r="J7" t="s">
        <v>54</v>
      </c>
      <c r="K7" t="s">
        <v>53</v>
      </c>
    </row>
    <row r="8" spans="1:11">
      <c r="A8" t="s">
        <v>55</v>
      </c>
      <c r="B8" t="s">
        <v>12</v>
      </c>
      <c r="C8" t="s">
        <v>56</v>
      </c>
      <c r="D8" t="s">
        <v>57</v>
      </c>
      <c r="E8" t="s">
        <v>58</v>
      </c>
      <c r="F8" t="s">
        <v>16</v>
      </c>
      <c r="G8" t="s">
        <v>16</v>
      </c>
      <c r="H8" t="s">
        <v>59</v>
      </c>
      <c r="I8" t="s">
        <v>60</v>
      </c>
      <c r="J8" t="s">
        <v>61</v>
      </c>
      <c r="K8" t="s">
        <v>60</v>
      </c>
    </row>
    <row r="9" spans="1:11">
      <c r="A9" t="s">
        <v>62</v>
      </c>
      <c r="B9" t="s">
        <v>12</v>
      </c>
      <c r="C9" t="s">
        <v>63</v>
      </c>
      <c r="D9" t="s">
        <v>64</v>
      </c>
      <c r="E9" t="s">
        <v>65</v>
      </c>
      <c r="F9" t="s">
        <v>16</v>
      </c>
      <c r="G9" t="s">
        <v>16</v>
      </c>
      <c r="H9" t="s">
        <v>66</v>
      </c>
      <c r="I9" t="s">
        <v>67</v>
      </c>
      <c r="J9" t="s">
        <v>68</v>
      </c>
      <c r="K9" t="s">
        <v>67</v>
      </c>
    </row>
    <row r="10" spans="1:11">
      <c r="A10" t="s">
        <v>69</v>
      </c>
      <c r="B10" t="s">
        <v>12</v>
      </c>
      <c r="C10" t="s">
        <v>70</v>
      </c>
      <c r="D10" t="s">
        <v>71</v>
      </c>
      <c r="E10" t="s">
        <v>72</v>
      </c>
      <c r="F10" t="s">
        <v>16</v>
      </c>
      <c r="G10" t="s">
        <v>16</v>
      </c>
      <c r="H10" t="s">
        <v>73</v>
      </c>
      <c r="I10" t="s">
        <v>74</v>
      </c>
      <c r="J10" t="s">
        <v>75</v>
      </c>
      <c r="K10" t="s">
        <v>74</v>
      </c>
    </row>
    <row r="11" spans="1:11">
      <c r="A11" t="s">
        <v>76</v>
      </c>
      <c r="B11" t="s">
        <v>12</v>
      </c>
      <c r="C11" t="s">
        <v>77</v>
      </c>
      <c r="D11" t="s">
        <v>78</v>
      </c>
      <c r="E11" t="s">
        <v>79</v>
      </c>
      <c r="F11" t="s">
        <v>16</v>
      </c>
      <c r="G11" t="s">
        <v>16</v>
      </c>
      <c r="H11" t="s">
        <v>80</v>
      </c>
      <c r="I11" t="s">
        <v>81</v>
      </c>
      <c r="J11" t="s">
        <v>82</v>
      </c>
      <c r="K11" t="s">
        <v>81</v>
      </c>
    </row>
    <row r="12" spans="1:11">
      <c r="A12" t="s">
        <v>83</v>
      </c>
      <c r="B12" t="s">
        <v>12</v>
      </c>
      <c r="C12" t="s">
        <v>84</v>
      </c>
      <c r="D12" t="s">
        <v>85</v>
      </c>
      <c r="E12" t="s">
        <v>86</v>
      </c>
      <c r="F12" t="s">
        <v>16</v>
      </c>
      <c r="G12" t="s">
        <v>16</v>
      </c>
      <c r="H12" t="s">
        <v>87</v>
      </c>
      <c r="I12" t="s">
        <v>88</v>
      </c>
      <c r="J12" t="s">
        <v>89</v>
      </c>
      <c r="K12" t="s">
        <v>88</v>
      </c>
    </row>
    <row r="13" spans="1:11">
      <c r="A13" t="s">
        <v>90</v>
      </c>
      <c r="B13" t="s">
        <v>12</v>
      </c>
      <c r="C13" t="s">
        <v>91</v>
      </c>
      <c r="D13" t="s">
        <v>92</v>
      </c>
      <c r="E13" t="s">
        <v>93</v>
      </c>
      <c r="F13" t="s">
        <v>16</v>
      </c>
      <c r="G13" t="s">
        <v>16</v>
      </c>
      <c r="H13" t="s">
        <v>94</v>
      </c>
      <c r="I13" t="s">
        <v>95</v>
      </c>
      <c r="J13" t="s">
        <v>96</v>
      </c>
      <c r="K13" t="s">
        <v>95</v>
      </c>
    </row>
    <row r="14" spans="1:11">
      <c r="A14" t="s">
        <v>97</v>
      </c>
      <c r="B14" t="s">
        <v>12</v>
      </c>
      <c r="C14" t="s">
        <v>98</v>
      </c>
      <c r="D14" t="s">
        <v>99</v>
      </c>
      <c r="E14" t="s">
        <v>100</v>
      </c>
      <c r="F14" t="s">
        <v>16</v>
      </c>
      <c r="G14" t="s">
        <v>16</v>
      </c>
      <c r="H14" t="s">
        <v>101</v>
      </c>
      <c r="I14" t="s">
        <v>102</v>
      </c>
      <c r="J14" t="s">
        <v>103</v>
      </c>
      <c r="K14" t="s">
        <v>102</v>
      </c>
    </row>
    <row r="15" spans="1:11">
      <c r="A15" t="s">
        <v>104</v>
      </c>
      <c r="B15" t="s">
        <v>12</v>
      </c>
      <c r="C15" t="s">
        <v>105</v>
      </c>
      <c r="D15" t="s">
        <v>106</v>
      </c>
      <c r="E15" t="s">
        <v>107</v>
      </c>
      <c r="F15" t="s">
        <v>16</v>
      </c>
      <c r="G15" t="s">
        <v>16</v>
      </c>
      <c r="H15" t="s">
        <v>108</v>
      </c>
      <c r="I15" t="s">
        <v>109</v>
      </c>
      <c r="J15" t="s">
        <v>110</v>
      </c>
      <c r="K15" t="s">
        <v>109</v>
      </c>
    </row>
    <row r="16" spans="1:11">
      <c r="A16" t="s">
        <v>111</v>
      </c>
      <c r="B16" t="s">
        <v>12</v>
      </c>
      <c r="C16" t="s">
        <v>112</v>
      </c>
      <c r="D16" t="s">
        <v>113</v>
      </c>
      <c r="E16" t="s">
        <v>114</v>
      </c>
      <c r="F16" t="s">
        <v>16</v>
      </c>
      <c r="G16" t="s">
        <v>16</v>
      </c>
      <c r="H16" t="s">
        <v>115</v>
      </c>
      <c r="I16" t="s">
        <v>116</v>
      </c>
      <c r="J16" t="s">
        <v>117</v>
      </c>
      <c r="K16" t="s">
        <v>116</v>
      </c>
    </row>
    <row r="17" spans="1:11">
      <c r="A17" t="s">
        <v>118</v>
      </c>
      <c r="B17" t="s">
        <v>12</v>
      </c>
      <c r="C17" t="s">
        <v>119</v>
      </c>
      <c r="D17" t="s">
        <v>120</v>
      </c>
      <c r="E17" t="s">
        <v>121</v>
      </c>
      <c r="F17" t="s">
        <v>16</v>
      </c>
      <c r="G17" t="s">
        <v>16</v>
      </c>
      <c r="H17" t="s">
        <v>122</v>
      </c>
      <c r="I17" t="s">
        <v>123</v>
      </c>
      <c r="J17" t="s">
        <v>124</v>
      </c>
      <c r="K17" t="s">
        <v>123</v>
      </c>
    </row>
    <row r="18" spans="1:11">
      <c r="A18" t="s">
        <v>125</v>
      </c>
      <c r="B18" t="s">
        <v>12</v>
      </c>
      <c r="C18" t="s">
        <v>126</v>
      </c>
      <c r="D18" t="s">
        <v>127</v>
      </c>
      <c r="E18" t="s">
        <v>128</v>
      </c>
      <c r="F18" t="s">
        <v>16</v>
      </c>
      <c r="G18" t="s">
        <v>16</v>
      </c>
      <c r="H18" t="s">
        <v>129</v>
      </c>
      <c r="I18" t="s">
        <v>130</v>
      </c>
      <c r="J18" t="s">
        <v>131</v>
      </c>
      <c r="K18" t="s">
        <v>130</v>
      </c>
    </row>
    <row r="19" spans="1:11">
      <c r="A19" t="s">
        <v>132</v>
      </c>
      <c r="B19" t="s">
        <v>12</v>
      </c>
      <c r="C19" t="s">
        <v>133</v>
      </c>
      <c r="D19" t="s">
        <v>134</v>
      </c>
      <c r="E19" t="s">
        <v>135</v>
      </c>
      <c r="F19" t="s">
        <v>16</v>
      </c>
      <c r="G19" t="s">
        <v>16</v>
      </c>
      <c r="H19" t="s">
        <v>136</v>
      </c>
      <c r="I19" t="s">
        <v>137</v>
      </c>
      <c r="J19" t="s">
        <v>138</v>
      </c>
      <c r="K19" t="s">
        <v>137</v>
      </c>
    </row>
    <row r="20" spans="1:11">
      <c r="A20" t="s">
        <v>139</v>
      </c>
      <c r="B20" t="s">
        <v>12</v>
      </c>
      <c r="C20" t="s">
        <v>140</v>
      </c>
      <c r="D20" t="s">
        <v>141</v>
      </c>
      <c r="E20" t="s">
        <v>142</v>
      </c>
      <c r="F20" t="s">
        <v>16</v>
      </c>
      <c r="G20" t="s">
        <v>16</v>
      </c>
      <c r="H20" t="s">
        <v>143</v>
      </c>
      <c r="I20" t="s">
        <v>144</v>
      </c>
      <c r="J20" t="s">
        <v>145</v>
      </c>
      <c r="K20" t="s">
        <v>144</v>
      </c>
    </row>
    <row r="21" spans="1:11">
      <c r="A21" t="s">
        <v>146</v>
      </c>
      <c r="B21" t="s">
        <v>12</v>
      </c>
      <c r="C21" t="s">
        <v>147</v>
      </c>
      <c r="D21" t="s">
        <v>148</v>
      </c>
      <c r="E21" t="s">
        <v>149</v>
      </c>
      <c r="F21" t="s">
        <v>16</v>
      </c>
      <c r="G21" t="s">
        <v>16</v>
      </c>
      <c r="H21" t="s">
        <v>150</v>
      </c>
      <c r="I21" t="s">
        <v>151</v>
      </c>
      <c r="J21" t="s">
        <v>152</v>
      </c>
      <c r="K21" t="s">
        <v>151</v>
      </c>
    </row>
    <row r="22" spans="1:11">
      <c r="A22" t="s">
        <v>153</v>
      </c>
      <c r="B22" t="s">
        <v>12</v>
      </c>
      <c r="C22" t="s">
        <v>154</v>
      </c>
      <c r="D22" t="s">
        <v>155</v>
      </c>
      <c r="E22" t="s">
        <v>156</v>
      </c>
      <c r="F22" t="s">
        <v>16</v>
      </c>
      <c r="G22" t="s">
        <v>16</v>
      </c>
      <c r="H22" t="s">
        <v>157</v>
      </c>
      <c r="I22" t="s">
        <v>158</v>
      </c>
      <c r="J22" t="s">
        <v>159</v>
      </c>
      <c r="K22" t="s">
        <v>158</v>
      </c>
    </row>
    <row r="23" spans="1:11">
      <c r="A23" t="s">
        <v>160</v>
      </c>
      <c r="B23" t="s">
        <v>12</v>
      </c>
      <c r="C23" t="s">
        <v>154</v>
      </c>
      <c r="D23" t="s">
        <v>161</v>
      </c>
      <c r="E23" t="s">
        <v>162</v>
      </c>
      <c r="F23" t="s">
        <v>16</v>
      </c>
      <c r="G23" t="s">
        <v>16</v>
      </c>
      <c r="H23" t="s">
        <v>163</v>
      </c>
      <c r="I23" t="s">
        <v>158</v>
      </c>
      <c r="J23" t="s">
        <v>159</v>
      </c>
      <c r="K23" t="s">
        <v>158</v>
      </c>
    </row>
    <row r="24" spans="1:11">
      <c r="A24" t="s">
        <v>164</v>
      </c>
      <c r="B24" t="s">
        <v>12</v>
      </c>
      <c r="C24" t="s">
        <v>165</v>
      </c>
      <c r="D24" t="s">
        <v>166</v>
      </c>
      <c r="E24" t="s">
        <v>167</v>
      </c>
      <c r="F24" t="s">
        <v>16</v>
      </c>
      <c r="G24" t="s">
        <v>16</v>
      </c>
      <c r="H24" t="s">
        <v>168</v>
      </c>
      <c r="I24" t="s">
        <v>169</v>
      </c>
      <c r="J24" t="s">
        <v>170</v>
      </c>
      <c r="K24" t="s">
        <v>169</v>
      </c>
    </row>
    <row r="25" spans="1:11">
      <c r="A25" t="s">
        <v>171</v>
      </c>
      <c r="B25" t="s">
        <v>12</v>
      </c>
      <c r="C25" t="s">
        <v>172</v>
      </c>
      <c r="D25" t="s">
        <v>173</v>
      </c>
      <c r="E25" t="s">
        <v>174</v>
      </c>
      <c r="F25" t="s">
        <v>16</v>
      </c>
      <c r="G25" t="s">
        <v>16</v>
      </c>
      <c r="H25" t="s">
        <v>175</v>
      </c>
      <c r="I25" t="s">
        <v>176</v>
      </c>
      <c r="J25" t="s">
        <v>177</v>
      </c>
      <c r="K25" t="s">
        <v>176</v>
      </c>
    </row>
    <row r="26" spans="1:11">
      <c r="A26" t="s">
        <v>178</v>
      </c>
      <c r="B26" t="s">
        <v>12</v>
      </c>
      <c r="C26" t="s">
        <v>179</v>
      </c>
      <c r="D26" t="s">
        <v>180</v>
      </c>
      <c r="E26" t="s">
        <v>181</v>
      </c>
      <c r="F26" t="s">
        <v>16</v>
      </c>
      <c r="G26" t="s">
        <v>16</v>
      </c>
      <c r="H26" t="s">
        <v>182</v>
      </c>
      <c r="I26" t="s">
        <v>183</v>
      </c>
      <c r="J26" t="s">
        <v>184</v>
      </c>
      <c r="K26" t="s">
        <v>183</v>
      </c>
    </row>
    <row r="27" spans="1:11">
      <c r="A27" t="s">
        <v>185</v>
      </c>
      <c r="B27" t="s">
        <v>12</v>
      </c>
      <c r="C27" t="s">
        <v>186</v>
      </c>
      <c r="D27" t="s">
        <v>187</v>
      </c>
      <c r="E27" t="s">
        <v>188</v>
      </c>
      <c r="F27" t="s">
        <v>16</v>
      </c>
      <c r="G27" t="s">
        <v>16</v>
      </c>
      <c r="H27" t="s">
        <v>189</v>
      </c>
      <c r="I27" t="s">
        <v>190</v>
      </c>
      <c r="J27" t="s">
        <v>191</v>
      </c>
      <c r="K27" t="s">
        <v>190</v>
      </c>
    </row>
    <row r="28" spans="1:11">
      <c r="A28" t="s">
        <v>192</v>
      </c>
      <c r="B28" t="s">
        <v>12</v>
      </c>
      <c r="C28" t="s">
        <v>193</v>
      </c>
      <c r="D28" t="s">
        <v>194</v>
      </c>
      <c r="E28" t="s">
        <v>195</v>
      </c>
      <c r="F28" t="s">
        <v>16</v>
      </c>
      <c r="G28" t="s">
        <v>16</v>
      </c>
      <c r="H28" t="s">
        <v>196</v>
      </c>
      <c r="I28" t="s">
        <v>197</v>
      </c>
      <c r="J28" t="s">
        <v>198</v>
      </c>
      <c r="K28" t="s">
        <v>197</v>
      </c>
    </row>
    <row r="29" spans="1:11">
      <c r="A29" t="s">
        <v>199</v>
      </c>
      <c r="B29" t="s">
        <v>12</v>
      </c>
      <c r="C29" t="s">
        <v>200</v>
      </c>
      <c r="D29" t="s">
        <v>201</v>
      </c>
      <c r="E29" t="s">
        <v>202</v>
      </c>
      <c r="F29" t="s">
        <v>16</v>
      </c>
      <c r="G29" t="s">
        <v>16</v>
      </c>
      <c r="H29" t="s">
        <v>203</v>
      </c>
      <c r="I29" t="s">
        <v>204</v>
      </c>
      <c r="J29" t="s">
        <v>205</v>
      </c>
      <c r="K29" t="s">
        <v>204</v>
      </c>
    </row>
    <row r="30" spans="1:11">
      <c r="A30" t="s">
        <v>206</v>
      </c>
      <c r="B30" t="s">
        <v>12</v>
      </c>
      <c r="C30" t="s">
        <v>207</v>
      </c>
      <c r="D30" t="s">
        <v>208</v>
      </c>
      <c r="E30" t="s">
        <v>209</v>
      </c>
      <c r="F30" t="s">
        <v>16</v>
      </c>
      <c r="G30" t="s">
        <v>16</v>
      </c>
      <c r="H30" t="s">
        <v>210</v>
      </c>
      <c r="I30" t="s">
        <v>211</v>
      </c>
      <c r="J30" t="s">
        <v>212</v>
      </c>
      <c r="K30" t="s">
        <v>211</v>
      </c>
    </row>
    <row r="31" spans="1:11">
      <c r="A31" t="s">
        <v>213</v>
      </c>
      <c r="B31" t="s">
        <v>12</v>
      </c>
      <c r="C31" t="s">
        <v>214</v>
      </c>
      <c r="D31" t="s">
        <v>215</v>
      </c>
      <c r="E31" t="s">
        <v>216</v>
      </c>
      <c r="F31" t="s">
        <v>16</v>
      </c>
      <c r="G31" t="s">
        <v>16</v>
      </c>
      <c r="H31" t="s">
        <v>217</v>
      </c>
      <c r="I31" t="s">
        <v>218</v>
      </c>
      <c r="J31" t="s">
        <v>219</v>
      </c>
      <c r="K31" t="s">
        <v>218</v>
      </c>
    </row>
    <row r="32" spans="1:11">
      <c r="A32" t="s">
        <v>220</v>
      </c>
      <c r="B32" t="s">
        <v>12</v>
      </c>
      <c r="C32" t="s">
        <v>221</v>
      </c>
      <c r="D32" t="s">
        <v>222</v>
      </c>
      <c r="E32" t="s">
        <v>223</v>
      </c>
      <c r="F32" t="s">
        <v>16</v>
      </c>
      <c r="G32" t="s">
        <v>16</v>
      </c>
      <c r="H32" t="s">
        <v>224</v>
      </c>
      <c r="I32" t="s">
        <v>225</v>
      </c>
      <c r="J32" t="s">
        <v>226</v>
      </c>
      <c r="K32" t="s">
        <v>225</v>
      </c>
    </row>
    <row r="33" spans="1:11">
      <c r="A33" t="s">
        <v>227</v>
      </c>
      <c r="B33" t="s">
        <v>12</v>
      </c>
      <c r="C33" t="s">
        <v>228</v>
      </c>
      <c r="D33" t="s">
        <v>229</v>
      </c>
      <c r="E33" t="s">
        <v>230</v>
      </c>
      <c r="F33" t="s">
        <v>16</v>
      </c>
      <c r="G33" t="s">
        <v>16</v>
      </c>
      <c r="H33" t="s">
        <v>231</v>
      </c>
      <c r="I33" t="s">
        <v>232</v>
      </c>
      <c r="J33" t="s">
        <v>233</v>
      </c>
      <c r="K33" t="s">
        <v>232</v>
      </c>
    </row>
    <row r="34" spans="1:11">
      <c r="A34" t="s">
        <v>234</v>
      </c>
      <c r="B34" t="s">
        <v>12</v>
      </c>
      <c r="C34" t="s">
        <v>235</v>
      </c>
      <c r="D34" t="s">
        <v>236</v>
      </c>
      <c r="E34" t="s">
        <v>237</v>
      </c>
      <c r="F34" t="s">
        <v>16</v>
      </c>
      <c r="G34" t="s">
        <v>16</v>
      </c>
      <c r="H34" t="s">
        <v>238</v>
      </c>
      <c r="I34" t="s">
        <v>239</v>
      </c>
      <c r="J34" t="s">
        <v>240</v>
      </c>
      <c r="K34" t="s">
        <v>239</v>
      </c>
    </row>
    <row r="35" spans="1:11">
      <c r="A35" t="s">
        <v>241</v>
      </c>
      <c r="B35" t="s">
        <v>12</v>
      </c>
      <c r="C35" t="s">
        <v>242</v>
      </c>
      <c r="D35" t="s">
        <v>243</v>
      </c>
      <c r="E35" t="s">
        <v>244</v>
      </c>
      <c r="F35" t="s">
        <v>16</v>
      </c>
      <c r="G35" t="s">
        <v>16</v>
      </c>
      <c r="H35" t="s">
        <v>245</v>
      </c>
      <c r="I35" t="s">
        <v>246</v>
      </c>
      <c r="J35" t="s">
        <v>247</v>
      </c>
      <c r="K35" t="s">
        <v>246</v>
      </c>
    </row>
    <row r="36" spans="1:11">
      <c r="A36" t="s">
        <v>248</v>
      </c>
      <c r="B36" t="s">
        <v>12</v>
      </c>
      <c r="C36" t="s">
        <v>249</v>
      </c>
      <c r="D36" t="s">
        <v>250</v>
      </c>
      <c r="E36" t="s">
        <v>251</v>
      </c>
      <c r="F36" t="s">
        <v>16</v>
      </c>
      <c r="G36" t="s">
        <v>16</v>
      </c>
      <c r="H36" t="s">
        <v>252</v>
      </c>
      <c r="I36" t="s">
        <v>253</v>
      </c>
      <c r="J36" t="s">
        <v>254</v>
      </c>
      <c r="K36" t="s">
        <v>253</v>
      </c>
    </row>
    <row r="37" spans="1:11">
      <c r="A37" t="s">
        <v>255</v>
      </c>
      <c r="B37" t="s">
        <v>12</v>
      </c>
      <c r="C37" t="s">
        <v>256</v>
      </c>
      <c r="D37" t="s">
        <v>257</v>
      </c>
      <c r="E37" t="s">
        <v>258</v>
      </c>
      <c r="F37" t="s">
        <v>16</v>
      </c>
      <c r="G37" t="s">
        <v>16</v>
      </c>
      <c r="H37" t="s">
        <v>259</v>
      </c>
      <c r="I37" t="s">
        <v>260</v>
      </c>
      <c r="J37" t="s">
        <v>261</v>
      </c>
      <c r="K37" t="s">
        <v>260</v>
      </c>
    </row>
    <row r="38" spans="1:11">
      <c r="A38" t="s">
        <v>262</v>
      </c>
      <c r="B38" t="s">
        <v>12</v>
      </c>
      <c r="C38" t="s">
        <v>263</v>
      </c>
      <c r="D38" t="s">
        <v>264</v>
      </c>
      <c r="E38" t="s">
        <v>265</v>
      </c>
      <c r="F38" t="s">
        <v>16</v>
      </c>
      <c r="G38" t="s">
        <v>16</v>
      </c>
      <c r="H38" t="s">
        <v>266</v>
      </c>
      <c r="I38" t="s">
        <v>267</v>
      </c>
      <c r="J38" t="s">
        <v>74</v>
      </c>
      <c r="K38" t="s">
        <v>267</v>
      </c>
    </row>
    <row r="39" spans="1:11">
      <c r="A39" t="s">
        <v>268</v>
      </c>
      <c r="B39" t="s">
        <v>12</v>
      </c>
      <c r="C39" t="s">
        <v>263</v>
      </c>
      <c r="D39" t="s">
        <v>269</v>
      </c>
      <c r="E39" t="s">
        <v>270</v>
      </c>
      <c r="F39" t="s">
        <v>16</v>
      </c>
      <c r="G39" t="s">
        <v>16</v>
      </c>
      <c r="H39" t="s">
        <v>271</v>
      </c>
      <c r="I39" t="s">
        <v>267</v>
      </c>
      <c r="J39" t="s">
        <v>74</v>
      </c>
      <c r="K39" t="s">
        <v>267</v>
      </c>
    </row>
    <row r="40" spans="1:11">
      <c r="A40" t="s">
        <v>272</v>
      </c>
      <c r="B40" t="s">
        <v>12</v>
      </c>
      <c r="C40" t="s">
        <v>273</v>
      </c>
      <c r="D40" t="s">
        <v>274</v>
      </c>
      <c r="E40" t="s">
        <v>275</v>
      </c>
      <c r="F40" t="s">
        <v>16</v>
      </c>
      <c r="G40" t="s">
        <v>16</v>
      </c>
      <c r="H40" t="s">
        <v>276</v>
      </c>
      <c r="I40" t="s">
        <v>277</v>
      </c>
      <c r="J40" t="s">
        <v>278</v>
      </c>
      <c r="K40" t="s">
        <v>277</v>
      </c>
    </row>
    <row r="41" spans="1:11">
      <c r="A41" t="s">
        <v>279</v>
      </c>
      <c r="B41" t="s">
        <v>12</v>
      </c>
      <c r="C41" t="s">
        <v>280</v>
      </c>
      <c r="D41" t="s">
        <v>281</v>
      </c>
      <c r="E41" t="s">
        <v>282</v>
      </c>
      <c r="F41" t="s">
        <v>16</v>
      </c>
      <c r="G41" t="s">
        <v>16</v>
      </c>
      <c r="H41" t="s">
        <v>283</v>
      </c>
      <c r="I41" t="s">
        <v>284</v>
      </c>
      <c r="J41" t="s">
        <v>285</v>
      </c>
      <c r="K41" t="s">
        <v>284</v>
      </c>
    </row>
    <row r="42" spans="1:11">
      <c r="A42" t="s">
        <v>286</v>
      </c>
      <c r="B42" t="s">
        <v>12</v>
      </c>
      <c r="C42" t="s">
        <v>287</v>
      </c>
      <c r="D42" t="s">
        <v>288</v>
      </c>
      <c r="E42" t="s">
        <v>289</v>
      </c>
      <c r="F42" t="s">
        <v>16</v>
      </c>
      <c r="G42" t="s">
        <v>16</v>
      </c>
      <c r="H42" t="s">
        <v>290</v>
      </c>
      <c r="I42" t="s">
        <v>291</v>
      </c>
      <c r="J42" t="s">
        <v>292</v>
      </c>
      <c r="K42" t="s">
        <v>291</v>
      </c>
    </row>
    <row r="43" spans="1:11">
      <c r="A43" t="s">
        <v>293</v>
      </c>
      <c r="B43" t="s">
        <v>12</v>
      </c>
      <c r="C43" t="s">
        <v>294</v>
      </c>
      <c r="D43" t="s">
        <v>295</v>
      </c>
      <c r="E43" t="s">
        <v>296</v>
      </c>
      <c r="F43" t="s">
        <v>16</v>
      </c>
      <c r="G43" t="s">
        <v>16</v>
      </c>
      <c r="H43" t="s">
        <v>297</v>
      </c>
      <c r="I43" t="s">
        <v>298</v>
      </c>
      <c r="J43" t="s">
        <v>299</v>
      </c>
      <c r="K43" t="s">
        <v>298</v>
      </c>
    </row>
    <row r="44" spans="1:11">
      <c r="A44" t="s">
        <v>300</v>
      </c>
      <c r="B44" t="s">
        <v>12</v>
      </c>
      <c r="C44" t="s">
        <v>301</v>
      </c>
      <c r="D44" t="s">
        <v>302</v>
      </c>
      <c r="E44" t="s">
        <v>303</v>
      </c>
      <c r="F44" t="s">
        <v>16</v>
      </c>
      <c r="G44" t="s">
        <v>16</v>
      </c>
      <c r="H44" t="s">
        <v>304</v>
      </c>
      <c r="I44" t="s">
        <v>305</v>
      </c>
      <c r="J44" t="s">
        <v>306</v>
      </c>
      <c r="K44" t="s">
        <v>305</v>
      </c>
    </row>
    <row r="45" spans="1:11">
      <c r="A45" t="s">
        <v>307</v>
      </c>
      <c r="B45" t="s">
        <v>12</v>
      </c>
      <c r="C45" t="s">
        <v>308</v>
      </c>
      <c r="D45" t="s">
        <v>309</v>
      </c>
      <c r="E45" t="s">
        <v>310</v>
      </c>
      <c r="F45" t="s">
        <v>16</v>
      </c>
      <c r="G45" t="s">
        <v>16</v>
      </c>
      <c r="H45" t="s">
        <v>311</v>
      </c>
      <c r="I45" t="s">
        <v>312</v>
      </c>
      <c r="J45" t="s">
        <v>313</v>
      </c>
      <c r="K45" t="s">
        <v>312</v>
      </c>
    </row>
    <row r="46" spans="1:11">
      <c r="A46" t="s">
        <v>314</v>
      </c>
      <c r="B46" t="s">
        <v>12</v>
      </c>
      <c r="C46" t="s">
        <v>315</v>
      </c>
      <c r="D46" t="s">
        <v>316</v>
      </c>
      <c r="E46" t="s">
        <v>317</v>
      </c>
      <c r="F46" t="s">
        <v>16</v>
      </c>
      <c r="G46" t="s">
        <v>16</v>
      </c>
      <c r="H46" t="s">
        <v>318</v>
      </c>
      <c r="I46" t="s">
        <v>319</v>
      </c>
      <c r="J46" t="s">
        <v>320</v>
      </c>
      <c r="K46" t="s">
        <v>319</v>
      </c>
    </row>
    <row r="47" spans="1:11">
      <c r="A47" t="s">
        <v>321</v>
      </c>
      <c r="B47" t="s">
        <v>12</v>
      </c>
      <c r="C47" t="s">
        <v>322</v>
      </c>
      <c r="D47" t="s">
        <v>323</v>
      </c>
      <c r="E47" t="s">
        <v>324</v>
      </c>
      <c r="F47" t="s">
        <v>16</v>
      </c>
      <c r="G47" t="s">
        <v>16</v>
      </c>
      <c r="H47" t="s">
        <v>325</v>
      </c>
      <c r="I47" t="s">
        <v>326</v>
      </c>
      <c r="J47" t="s">
        <v>327</v>
      </c>
      <c r="K47" t="s">
        <v>326</v>
      </c>
    </row>
    <row r="48" spans="1:11">
      <c r="A48" t="s">
        <v>328</v>
      </c>
      <c r="B48" t="s">
        <v>12</v>
      </c>
      <c r="C48" t="s">
        <v>329</v>
      </c>
      <c r="D48" t="s">
        <v>330</v>
      </c>
      <c r="E48" t="s">
        <v>331</v>
      </c>
      <c r="F48" t="s">
        <v>16</v>
      </c>
      <c r="G48" t="s">
        <v>16</v>
      </c>
      <c r="H48" t="s">
        <v>332</v>
      </c>
      <c r="I48" t="s">
        <v>333</v>
      </c>
      <c r="J48" t="s">
        <v>334</v>
      </c>
      <c r="K48" t="s">
        <v>333</v>
      </c>
    </row>
    <row r="49" spans="1:11">
      <c r="A49" t="s">
        <v>335</v>
      </c>
      <c r="B49" t="s">
        <v>12</v>
      </c>
      <c r="C49" t="s">
        <v>336</v>
      </c>
      <c r="D49" t="s">
        <v>337</v>
      </c>
      <c r="E49" t="s">
        <v>338</v>
      </c>
      <c r="F49" t="s">
        <v>16</v>
      </c>
      <c r="G49" t="s">
        <v>16</v>
      </c>
      <c r="H49" t="s">
        <v>339</v>
      </c>
      <c r="I49" t="s">
        <v>340</v>
      </c>
      <c r="J49" t="s">
        <v>341</v>
      </c>
      <c r="K49" t="s">
        <v>340</v>
      </c>
    </row>
    <row r="50" spans="1:11">
      <c r="A50" t="s">
        <v>342</v>
      </c>
      <c r="B50" t="s">
        <v>12</v>
      </c>
      <c r="C50" t="s">
        <v>343</v>
      </c>
      <c r="D50" t="s">
        <v>344</v>
      </c>
      <c r="E50" t="s">
        <v>345</v>
      </c>
      <c r="F50" t="s">
        <v>16</v>
      </c>
      <c r="G50" t="s">
        <v>16</v>
      </c>
      <c r="H50" t="s">
        <v>346</v>
      </c>
      <c r="I50" t="s">
        <v>347</v>
      </c>
      <c r="J50" t="s">
        <v>348</v>
      </c>
      <c r="K50" t="s">
        <v>347</v>
      </c>
    </row>
    <row r="51" spans="1:11">
      <c r="A51" t="s">
        <v>349</v>
      </c>
      <c r="B51" t="s">
        <v>12</v>
      </c>
      <c r="C51" t="s">
        <v>350</v>
      </c>
      <c r="D51" t="s">
        <v>351</v>
      </c>
      <c r="E51" t="s">
        <v>352</v>
      </c>
      <c r="F51" t="s">
        <v>16</v>
      </c>
      <c r="G51" t="s">
        <v>16</v>
      </c>
      <c r="H51" t="s">
        <v>353</v>
      </c>
      <c r="I51" t="s">
        <v>354</v>
      </c>
      <c r="J51" t="s">
        <v>355</v>
      </c>
      <c r="K51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BDH("NEQSQ US Equity","BS_TOT_ASSET","1998-03-29","2003-03-29","Per=Y","Days=T","Dir=V")</f>
        <v>0</v>
      </c>
      <c r="C2">
        <f>BDH("NEQSQ US Equity","BS_TOT_LIAB2","1998-03-29","2003-03-29","Per=Y","Days=T","Dir=V")</f>
        <v>0</v>
      </c>
      <c r="E2">
        <f>BDH("NEQSQ US Equity","SHORT_AND_LONG_TERM_DEBT","1998-03-29","2003-03-29","Per=Y","Days=T","Dir=V")</f>
        <v>0</v>
      </c>
      <c r="G2">
        <f>BDH("NEQSQ US Equity","BS_ST_BORROW","1998-03-29","2003-03-29","Per=Y","Days=T","Dir=V")</f>
        <v>0</v>
      </c>
      <c r="I2">
        <f>BDH("NEQSQ US Equity","BS_LT_BORROW","1998-03-29","2003-03-29","Per=Y","Days=T","Dir=V")</f>
        <v>0</v>
      </c>
      <c r="K2">
        <f>BDH("NEQSQ US Equity","BS_CASH_NEAR_CASH_ITEM","1998-03-29","2003-03-29","Per=Y","Days=T","Dir=V")</f>
        <v>0</v>
      </c>
      <c r="M2">
        <f>BDH("NEQSQ US Equity","BS_CUR_ASSET_REPORT","1998-03-29","2003-03-29","Per=Y","Days=T","Dir=V")</f>
        <v>0</v>
      </c>
      <c r="O2">
        <f>BDH("NEQSQ US Equity","BS_CUR_LIAB","1998-03-29","2003-03-29","Per=Y","Days=T","Dir=V")</f>
        <v>0</v>
      </c>
      <c r="Q2">
        <f>BDH("NEQSQ US Equity","BS_SHAREHOLDER_EQY_ENDING_PERIOD","1998-03-29","2003-03-29","Per=Y","Days=T","Dir=V")</f>
        <v>0</v>
      </c>
      <c r="S2">
        <f>BDH("NEQSQ US Equity","BS_ACCT_NOTE_RCV","1998-03-29","2003-03-29","Per=Y","Days=T","Dir=V")</f>
        <v>0</v>
      </c>
      <c r="U2">
        <f>BDH("NEQSQ US Equity","BS_INVENTORIES","1998-03-29","2003-03-29","Per=Y","Days=T","Dir=V")</f>
        <v>0</v>
      </c>
      <c r="W2">
        <f>BDH("NEQSQ US Equity","WORKING_CAPITAL","1998-03-29","2003-03-29","Per=Y","Days=T","Dir=V")</f>
        <v>0</v>
      </c>
      <c r="Y2">
        <f>BDH("NEQSQ US Equity","SALES_REV_TURN","1998-03-29","2003-03-29","Per=Y","Days=T","Dir=V")</f>
        <v>0</v>
      </c>
      <c r="AA2">
        <f>BDH("NEQSQ US Equity","EBIT","1998-03-29","2003-03-29","Per=Y","Days=T","Dir=V")</f>
        <v>0</v>
      </c>
      <c r="AC2">
        <f>BDH("NEQSQ US Equity","EBITDA","1998-03-29","2003-03-29","Per=Y","Days=T","Dir=V")</f>
        <v>0</v>
      </c>
      <c r="AE2">
        <f>BDH("NEQSQ US Equity","NET_INCOME","1998-03-29","2003-03-29","Per=Y","Days=T","Dir=V")</f>
        <v>0</v>
      </c>
      <c r="AG2">
        <f>BDH("NEQSQ US Equity","IS_INT_EXPENSE","1998-03-29","2003-03-29","Per=Y","Days=T","Dir=V")</f>
        <v>0</v>
      </c>
      <c r="AI2">
        <f>BDH("NEQSQ US Equity","IS_DEPR_EXP","1998-03-29","2003-03-29","Per=Y","Days=T","Dir=V")</f>
        <v>0</v>
      </c>
      <c r="AK2">
        <f>BDH("NEQSQ US Equity","CF_CASH_FROM_OPER","1998-03-29","2003-03-29","Per=Y","Days=T","Dir=V")</f>
        <v>0</v>
      </c>
      <c r="AM2">
        <f>BDH("NEQSQ US Equity","CAPITAL_EXPEND","1998-03-29","2003-03-29","Per=Y","Days=T","Dir=V")</f>
        <v>0</v>
      </c>
      <c r="AO2">
        <f>BDH("NEQSQ US Equity","CF_FREE_CASH_FLOW","1998-03-29","2003-03-29","Per=Y","Days=T","Dir=V")</f>
        <v>0</v>
      </c>
      <c r="AQ2">
        <f>BDH("NEQSQ US Equity","PX_LAST","1998-03-29","2003-03-29","Per=M","Days=T","Dir=V")</f>
        <v>0</v>
      </c>
      <c r="AS2">
        <f>BDH("NEQSQ US Equity","CUR_MKT_CAP","1998-03-29","2003-03-29","Per=M","Days=T","Dir=V")</f>
        <v>0</v>
      </c>
      <c r="AU2">
        <f>BDH("NEQSQ US Equity","EQY_SH_OUT","1998-03-29","2003-03-29","Per=M","Days=T","Dir=V")</f>
        <v>0</v>
      </c>
      <c r="AW2">
        <f>BDH("NEQSQ US Equity","BETA_RAW_OVERRIABLE","1998-03-29","2003-03-29","Per=M","Days=T","Dir=V")</f>
        <v>0</v>
      </c>
      <c r="AY2">
        <f>BDH("NEQSQ US Equity","PX_VOLUME","1998-03-29","2003-03-29","Per=M","Days=T","Dir=V")</f>
        <v>0</v>
      </c>
      <c r="BA2">
        <f>BDH("NEQSQ US Equity","TURNOVER","1998-03-29","2003-03-29","Per=M","Days=T","Dir=V")</f>
        <v>0</v>
      </c>
      <c r="BC2">
        <f>BDH("NEQSQ US Equity","SPREAD_BA_CR","1998-03-29","2003-03-29","Per=M","Days=T","Dir=V")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BDH("1514052D US Equity","BS_TOT_ASSET","1998-03-31","2003-03-31","Per=Y","Days=T","Dir=V")</f>
        <v>0</v>
      </c>
      <c r="C2">
        <f>BDH("1514052D US Equity","BS_TOT_LIAB2","1998-03-31","2003-03-31","Per=Y","Days=T","Dir=V")</f>
        <v>0</v>
      </c>
      <c r="E2">
        <f>BDH("1514052D US Equity","SHORT_AND_LONG_TERM_DEBT","1998-03-31","2003-03-31","Per=Y","Days=T","Dir=V")</f>
        <v>0</v>
      </c>
      <c r="G2">
        <f>BDH("1514052D US Equity","BS_ST_BORROW","1998-03-31","2003-03-31","Per=Y","Days=T","Dir=V")</f>
        <v>0</v>
      </c>
      <c r="I2">
        <f>BDH("1514052D US Equity","BS_LT_BORROW","1998-03-31","2003-03-31","Per=Y","Days=T","Dir=V")</f>
        <v>0</v>
      </c>
      <c r="K2">
        <f>BDH("1514052D US Equity","BS_CASH_NEAR_CASH_ITEM","1998-03-31","2003-03-31","Per=Y","Days=T","Dir=V")</f>
        <v>0</v>
      </c>
      <c r="M2">
        <f>BDH("1514052D US Equity","BS_CUR_ASSET_REPORT","1998-03-31","2003-03-31","Per=Y","Days=T","Dir=V")</f>
        <v>0</v>
      </c>
      <c r="O2">
        <f>BDH("1514052D US Equity","BS_CUR_LIAB","1998-03-31","2003-03-31","Per=Y","Days=T","Dir=V")</f>
        <v>0</v>
      </c>
      <c r="Q2">
        <f>BDH("1514052D US Equity","BS_SHAREHOLDER_EQY_ENDING_PERIOD","1998-03-31","2003-03-31","Per=Y","Days=T","Dir=V")</f>
        <v>0</v>
      </c>
      <c r="S2">
        <f>BDH("1514052D US Equity","BS_ACCT_NOTE_RCV","1998-03-31","2003-03-31","Per=Y","Days=T","Dir=V")</f>
        <v>0</v>
      </c>
      <c r="U2">
        <f>BDH("1514052D US Equity","BS_INVENTORIES","1998-03-31","2003-03-31","Per=Y","Days=T","Dir=V")</f>
        <v>0</v>
      </c>
      <c r="W2">
        <f>BDH("1514052D US Equity","WORKING_CAPITAL","1998-03-31","2003-03-31","Per=Y","Days=T","Dir=V")</f>
        <v>0</v>
      </c>
      <c r="Y2">
        <f>BDH("1514052D US Equity","SALES_REV_TURN","1998-03-31","2003-03-31","Per=Y","Days=T","Dir=V")</f>
        <v>0</v>
      </c>
      <c r="AA2">
        <f>BDH("1514052D US Equity","EBIT","1998-03-31","2003-03-31","Per=Y","Days=T","Dir=V")</f>
        <v>0</v>
      </c>
      <c r="AC2">
        <f>BDH("1514052D US Equity","EBITDA","1998-03-31","2003-03-31","Per=Y","Days=T","Dir=V")</f>
        <v>0</v>
      </c>
      <c r="AE2">
        <f>BDH("1514052D US Equity","NET_INCOME","1998-03-31","2003-03-31","Per=Y","Days=T","Dir=V")</f>
        <v>0</v>
      </c>
      <c r="AG2">
        <f>BDH("1514052D US Equity","IS_INT_EXPENSE","1998-03-31","2003-03-31","Per=Y","Days=T","Dir=V")</f>
        <v>0</v>
      </c>
      <c r="AI2">
        <f>BDH("1514052D US Equity","IS_DEPR_EXP","1998-03-31","2003-03-31","Per=Y","Days=T","Dir=V")</f>
        <v>0</v>
      </c>
      <c r="AK2">
        <f>BDH("1514052D US Equity","CF_CASH_FROM_OPER","1998-03-31","2003-03-31","Per=Y","Days=T","Dir=V")</f>
        <v>0</v>
      </c>
      <c r="AM2">
        <f>BDH("1514052D US Equity","CAPITAL_EXPEND","1998-03-31","2003-03-31","Per=Y","Days=T","Dir=V")</f>
        <v>0</v>
      </c>
      <c r="AO2">
        <f>BDH("1514052D US Equity","CF_FREE_CASH_FLOW","1998-03-31","2003-03-31","Per=Y","Days=T","Dir=V")</f>
        <v>0</v>
      </c>
      <c r="AQ2">
        <f>BDH("1514052D US Equity","PX_LAST","1998-03-31","2003-03-31","Per=M","Days=T","Dir=V")</f>
        <v>0</v>
      </c>
      <c r="AS2">
        <f>BDH("1514052D US Equity","CUR_MKT_CAP","1998-03-31","2003-03-31","Per=M","Days=T","Dir=V")</f>
        <v>0</v>
      </c>
      <c r="AU2">
        <f>BDH("1514052D US Equity","EQY_SH_OUT","1998-03-31","2003-03-31","Per=M","Days=T","Dir=V")</f>
        <v>0</v>
      </c>
      <c r="AW2">
        <f>BDH("1514052D US Equity","BETA_RAW_OVERRIABLE","1998-03-31","2003-03-31","Per=M","Days=T","Dir=V")</f>
        <v>0</v>
      </c>
      <c r="AY2">
        <f>BDH("1514052D US Equity","PX_VOLUME","1998-03-31","2003-03-31","Per=M","Days=T","Dir=V")</f>
        <v>0</v>
      </c>
      <c r="BA2">
        <f>BDH("1514052D US Equity","TURNOVER","1998-03-31","2003-03-31","Per=M","Days=T","Dir=V")</f>
        <v>0</v>
      </c>
      <c r="BC2">
        <f>BDH("1514052D US Equity","SPREAD_BA_CR","1998-03-31","2003-03-31","Per=M","Days=T","Dir=V")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BDH("DDICQ US Equity","BS_TOT_ASSET","1998-05-22","2003-05-22","Per=Y","Days=T","Dir=V")</f>
        <v>0</v>
      </c>
      <c r="C2">
        <f>BDH("DDICQ US Equity","BS_TOT_LIAB2","1998-05-22","2003-05-22","Per=Y","Days=T","Dir=V")</f>
        <v>0</v>
      </c>
      <c r="E2">
        <f>BDH("DDICQ US Equity","SHORT_AND_LONG_TERM_DEBT","1998-05-22","2003-05-22","Per=Y","Days=T","Dir=V")</f>
        <v>0</v>
      </c>
      <c r="G2">
        <f>BDH("DDICQ US Equity","BS_ST_BORROW","1998-05-22","2003-05-22","Per=Y","Days=T","Dir=V")</f>
        <v>0</v>
      </c>
      <c r="I2">
        <f>BDH("DDICQ US Equity","BS_LT_BORROW","1998-05-22","2003-05-22","Per=Y","Days=T","Dir=V")</f>
        <v>0</v>
      </c>
      <c r="K2">
        <f>BDH("DDICQ US Equity","BS_CASH_NEAR_CASH_ITEM","1998-05-22","2003-05-22","Per=Y","Days=T","Dir=V")</f>
        <v>0</v>
      </c>
      <c r="M2">
        <f>BDH("DDICQ US Equity","BS_CUR_ASSET_REPORT","1998-05-22","2003-05-22","Per=Y","Days=T","Dir=V")</f>
        <v>0</v>
      </c>
      <c r="O2">
        <f>BDH("DDICQ US Equity","BS_CUR_LIAB","1998-05-22","2003-05-22","Per=Y","Days=T","Dir=V")</f>
        <v>0</v>
      </c>
      <c r="Q2">
        <f>BDH("DDICQ US Equity","BS_SHAREHOLDER_EQY_ENDING_PERIOD","1998-05-22","2003-05-22","Per=Y","Days=T","Dir=V")</f>
        <v>0</v>
      </c>
      <c r="S2">
        <f>BDH("DDICQ US Equity","BS_ACCT_NOTE_RCV","1998-05-22","2003-05-22","Per=Y","Days=T","Dir=V")</f>
        <v>0</v>
      </c>
      <c r="U2">
        <f>BDH("DDICQ US Equity","BS_INVENTORIES","1998-05-22","2003-05-22","Per=Y","Days=T","Dir=V")</f>
        <v>0</v>
      </c>
      <c r="W2">
        <f>BDH("DDICQ US Equity","WORKING_CAPITAL","1998-05-22","2003-05-22","Per=Y","Days=T","Dir=V")</f>
        <v>0</v>
      </c>
      <c r="Y2">
        <f>BDH("DDICQ US Equity","SALES_REV_TURN","1998-05-22","2003-05-22","Per=Y","Days=T","Dir=V")</f>
        <v>0</v>
      </c>
      <c r="AA2">
        <f>BDH("DDICQ US Equity","EBIT","1998-05-22","2003-05-22","Per=Y","Days=T","Dir=V")</f>
        <v>0</v>
      </c>
      <c r="AC2">
        <f>BDH("DDICQ US Equity","EBITDA","1998-05-22","2003-05-22","Per=Y","Days=T","Dir=V")</f>
        <v>0</v>
      </c>
      <c r="AE2">
        <f>BDH("DDICQ US Equity","NET_INCOME","1998-05-22","2003-05-22","Per=Y","Days=T","Dir=V")</f>
        <v>0</v>
      </c>
      <c r="AG2">
        <f>BDH("DDICQ US Equity","IS_INT_EXPENSE","1998-05-22","2003-05-22","Per=Y","Days=T","Dir=V")</f>
        <v>0</v>
      </c>
      <c r="AI2">
        <f>BDH("DDICQ US Equity","IS_DEPR_EXP","1998-05-22","2003-05-22","Per=Y","Days=T","Dir=V")</f>
        <v>0</v>
      </c>
      <c r="AK2">
        <f>BDH("DDICQ US Equity","CF_CASH_FROM_OPER","1998-05-22","2003-05-22","Per=Y","Days=T","Dir=V")</f>
        <v>0</v>
      </c>
      <c r="AM2">
        <f>BDH("DDICQ US Equity","CAPITAL_EXPEND","1998-05-22","2003-05-22","Per=Y","Days=T","Dir=V")</f>
        <v>0</v>
      </c>
      <c r="AO2">
        <f>BDH("DDICQ US Equity","CF_FREE_CASH_FLOW","1998-05-22","2003-05-22","Per=Y","Days=T","Dir=V")</f>
        <v>0</v>
      </c>
      <c r="AQ2">
        <f>BDH("DDICQ US Equity","PX_LAST","1998-05-22","2003-05-22","Per=M","Days=T","Dir=V")</f>
        <v>0</v>
      </c>
      <c r="AS2">
        <f>BDH("DDICQ US Equity","CUR_MKT_CAP","1998-05-22","2003-05-22","Per=M","Days=T","Dir=V")</f>
        <v>0</v>
      </c>
      <c r="AU2">
        <f>BDH("DDICQ US Equity","EQY_SH_OUT","1998-05-22","2003-05-22","Per=M","Days=T","Dir=V")</f>
        <v>0</v>
      </c>
      <c r="AW2">
        <f>BDH("DDICQ US Equity","BETA_RAW_OVERRIABLE","1998-05-22","2003-05-22","Per=M","Days=T","Dir=V")</f>
        <v>0</v>
      </c>
      <c r="AY2">
        <f>BDH("DDICQ US Equity","PX_VOLUME","1998-05-22","2003-05-22","Per=M","Days=T","Dir=V")</f>
        <v>0</v>
      </c>
      <c r="BA2">
        <f>BDH("DDICQ US Equity","TURNOVER","1998-05-22","2003-05-22","Per=M","Days=T","Dir=V")</f>
        <v>0</v>
      </c>
      <c r="BC2">
        <f>BDH("DDICQ US Equity","SPREAD_BA_CR","1998-05-22","2003-05-22","Per=M","Days=T","Dir=V")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BDH("NTHWQ US Equity","BS_TOT_ASSET","1998-06-16","2003-06-16","Per=Y","Days=T","Dir=V")</f>
        <v>0</v>
      </c>
      <c r="C2">
        <f>BDH("NTHWQ US Equity","BS_TOT_LIAB2","1998-06-16","2003-06-16","Per=Y","Days=T","Dir=V")</f>
        <v>0</v>
      </c>
      <c r="E2">
        <f>BDH("NTHWQ US Equity","SHORT_AND_LONG_TERM_DEBT","1998-06-16","2003-06-16","Per=Y","Days=T","Dir=V")</f>
        <v>0</v>
      </c>
      <c r="G2">
        <f>BDH("NTHWQ US Equity","BS_ST_BORROW","1998-06-16","2003-06-16","Per=Y","Days=T","Dir=V")</f>
        <v>0</v>
      </c>
      <c r="I2">
        <f>BDH("NTHWQ US Equity","BS_LT_BORROW","1998-06-16","2003-06-16","Per=Y","Days=T","Dir=V")</f>
        <v>0</v>
      </c>
      <c r="K2">
        <f>BDH("NTHWQ US Equity","BS_CASH_NEAR_CASH_ITEM","1998-06-16","2003-06-16","Per=Y","Days=T","Dir=V")</f>
        <v>0</v>
      </c>
      <c r="M2">
        <f>BDH("NTHWQ US Equity","BS_CUR_ASSET_REPORT","1998-06-16","2003-06-16","Per=Y","Days=T","Dir=V")</f>
        <v>0</v>
      </c>
      <c r="O2">
        <f>BDH("NTHWQ US Equity","BS_CUR_LIAB","1998-06-16","2003-06-16","Per=Y","Days=T","Dir=V")</f>
        <v>0</v>
      </c>
      <c r="Q2">
        <f>BDH("NTHWQ US Equity","BS_SHAREHOLDER_EQY_ENDING_PERIOD","1998-06-16","2003-06-16","Per=Y","Days=T","Dir=V")</f>
        <v>0</v>
      </c>
      <c r="S2">
        <f>BDH("NTHWQ US Equity","BS_ACCT_NOTE_RCV","1998-06-16","2003-06-16","Per=Y","Days=T","Dir=V")</f>
        <v>0</v>
      </c>
      <c r="U2">
        <f>BDH("NTHWQ US Equity","BS_INVENTORIES","1998-06-16","2003-06-16","Per=Y","Days=T","Dir=V")</f>
        <v>0</v>
      </c>
      <c r="W2">
        <f>BDH("NTHWQ US Equity","WORKING_CAPITAL","1998-06-16","2003-06-16","Per=Y","Days=T","Dir=V")</f>
        <v>0</v>
      </c>
      <c r="Y2">
        <f>BDH("NTHWQ US Equity","SALES_REV_TURN","1998-06-16","2003-06-16","Per=Y","Days=T","Dir=V")</f>
        <v>0</v>
      </c>
      <c r="AA2">
        <f>BDH("NTHWQ US Equity","EBIT","1998-06-16","2003-06-16","Per=Y","Days=T","Dir=V")</f>
        <v>0</v>
      </c>
      <c r="AC2">
        <f>BDH("NTHWQ US Equity","EBITDA","1998-06-16","2003-06-16","Per=Y","Days=T","Dir=V")</f>
        <v>0</v>
      </c>
      <c r="AE2">
        <f>BDH("NTHWQ US Equity","NET_INCOME","1998-06-16","2003-06-16","Per=Y","Days=T","Dir=V")</f>
        <v>0</v>
      </c>
      <c r="AG2">
        <f>BDH("NTHWQ US Equity","IS_INT_EXPENSE","1998-06-16","2003-06-16","Per=Y","Days=T","Dir=V")</f>
        <v>0</v>
      </c>
      <c r="AI2">
        <f>BDH("NTHWQ US Equity","IS_DEPR_EXP","1998-06-16","2003-06-16","Per=Y","Days=T","Dir=V")</f>
        <v>0</v>
      </c>
      <c r="AK2">
        <f>BDH("NTHWQ US Equity","CF_CASH_FROM_OPER","1998-06-16","2003-06-16","Per=Y","Days=T","Dir=V")</f>
        <v>0</v>
      </c>
      <c r="AM2">
        <f>BDH("NTHWQ US Equity","CAPITAL_EXPEND","1998-06-16","2003-06-16","Per=Y","Days=T","Dir=V")</f>
        <v>0</v>
      </c>
      <c r="AO2">
        <f>BDH("NTHWQ US Equity","CF_FREE_CASH_FLOW","1998-06-16","2003-06-16","Per=Y","Days=T","Dir=V")</f>
        <v>0</v>
      </c>
      <c r="AQ2">
        <f>BDH("NTHWQ US Equity","PX_LAST","1998-06-16","2003-06-16","Per=M","Days=T","Dir=V")</f>
        <v>0</v>
      </c>
      <c r="AS2">
        <f>BDH("NTHWQ US Equity","CUR_MKT_CAP","1998-06-16","2003-06-16","Per=M","Days=T","Dir=V")</f>
        <v>0</v>
      </c>
      <c r="AU2">
        <f>BDH("NTHWQ US Equity","EQY_SH_OUT","1998-06-16","2003-06-16","Per=M","Days=T","Dir=V")</f>
        <v>0</v>
      </c>
      <c r="AW2">
        <f>BDH("NTHWQ US Equity","BETA_RAW_OVERRIABLE","1998-06-16","2003-06-16","Per=M","Days=T","Dir=V")</f>
        <v>0</v>
      </c>
      <c r="AY2">
        <f>BDH("NTHWQ US Equity","PX_VOLUME","1998-06-16","2003-06-16","Per=M","Days=T","Dir=V")</f>
        <v>0</v>
      </c>
      <c r="BA2">
        <f>BDH("NTHWQ US Equity","TURNOVER","1998-06-16","2003-06-16","Per=M","Days=T","Dir=V")</f>
        <v>0</v>
      </c>
      <c r="BC2">
        <f>BDH("NTHWQ US Equity","SPREAD_BA_CR","1998-06-16","2003-06-16","Per=M","Days=T","Dir=V")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BDH("CJML US Equity","BS_TOT_ASSET","1998-06-26","2003-06-26","Per=Y","Days=T","Dir=V")</f>
        <v>0</v>
      </c>
      <c r="C2">
        <f>BDH("CJML US Equity","BS_TOT_LIAB2","1998-06-26","2003-06-26","Per=Y","Days=T","Dir=V")</f>
        <v>0</v>
      </c>
      <c r="E2">
        <f>BDH("CJML US Equity","SHORT_AND_LONG_TERM_DEBT","1998-06-26","2003-06-26","Per=Y","Days=T","Dir=V")</f>
        <v>0</v>
      </c>
      <c r="G2">
        <f>BDH("CJML US Equity","BS_ST_BORROW","1998-06-26","2003-06-26","Per=Y","Days=T","Dir=V")</f>
        <v>0</v>
      </c>
      <c r="I2">
        <f>BDH("CJML US Equity","BS_LT_BORROW","1998-06-26","2003-06-26","Per=Y","Days=T","Dir=V")</f>
        <v>0</v>
      </c>
      <c r="K2">
        <f>BDH("CJML US Equity","BS_CASH_NEAR_CASH_ITEM","1998-06-26","2003-06-26","Per=Y","Days=T","Dir=V")</f>
        <v>0</v>
      </c>
      <c r="M2">
        <f>BDH("CJML US Equity","BS_CUR_ASSET_REPORT","1998-06-26","2003-06-26","Per=Y","Days=T","Dir=V")</f>
        <v>0</v>
      </c>
      <c r="O2">
        <f>BDH("CJML US Equity","BS_CUR_LIAB","1998-06-26","2003-06-26","Per=Y","Days=T","Dir=V")</f>
        <v>0</v>
      </c>
      <c r="Q2">
        <f>BDH("CJML US Equity","BS_SHAREHOLDER_EQY_ENDING_PERIOD","1998-06-26","2003-06-26","Per=Y","Days=T","Dir=V")</f>
        <v>0</v>
      </c>
      <c r="S2">
        <f>BDH("CJML US Equity","BS_ACCT_NOTE_RCV","1998-06-26","2003-06-26","Per=Y","Days=T","Dir=V")</f>
        <v>0</v>
      </c>
      <c r="U2">
        <f>BDH("CJML US Equity","BS_INVENTORIES","1998-06-26","2003-06-26","Per=Y","Days=T","Dir=V")</f>
        <v>0</v>
      </c>
      <c r="W2">
        <f>BDH("CJML US Equity","WORKING_CAPITAL","1998-06-26","2003-06-26","Per=Y","Days=T","Dir=V")</f>
        <v>0</v>
      </c>
      <c r="Y2">
        <f>BDH("CJML US Equity","SALES_REV_TURN","1998-06-26","2003-06-26","Per=Y","Days=T","Dir=V")</f>
        <v>0</v>
      </c>
      <c r="AA2">
        <f>BDH("CJML US Equity","EBIT","1998-06-26","2003-06-26","Per=Y","Days=T","Dir=V")</f>
        <v>0</v>
      </c>
      <c r="AC2">
        <f>BDH("CJML US Equity","EBITDA","1998-06-26","2003-06-26","Per=Y","Days=T","Dir=V")</f>
        <v>0</v>
      </c>
      <c r="AE2">
        <f>BDH("CJML US Equity","NET_INCOME","1998-06-26","2003-06-26","Per=Y","Days=T","Dir=V")</f>
        <v>0</v>
      </c>
      <c r="AG2">
        <f>BDH("CJML US Equity","IS_INT_EXPENSE","1998-06-26","2003-06-26","Per=Y","Days=T","Dir=V")</f>
        <v>0</v>
      </c>
      <c r="AI2">
        <f>BDH("CJML US Equity","IS_DEPR_EXP","1998-06-26","2003-06-26","Per=Y","Days=T","Dir=V")</f>
        <v>0</v>
      </c>
      <c r="AK2">
        <f>BDH("CJML US Equity","CF_CASH_FROM_OPER","1998-06-26","2003-06-26","Per=Y","Days=T","Dir=V")</f>
        <v>0</v>
      </c>
      <c r="AM2">
        <f>BDH("CJML US Equity","CAPITAL_EXPEND","1998-06-26","2003-06-26","Per=Y","Days=T","Dir=V")</f>
        <v>0</v>
      </c>
      <c r="AO2">
        <f>BDH("CJML US Equity","CF_FREE_CASH_FLOW","1998-06-26","2003-06-26","Per=Y","Days=T","Dir=V")</f>
        <v>0</v>
      </c>
      <c r="AQ2">
        <f>BDH("CJML US Equity","PX_LAST","1998-06-26","2003-06-26","Per=M","Days=T","Dir=V")</f>
        <v>0</v>
      </c>
      <c r="AS2">
        <f>BDH("CJML US Equity","CUR_MKT_CAP","1998-06-26","2003-06-26","Per=M","Days=T","Dir=V")</f>
        <v>0</v>
      </c>
      <c r="AU2">
        <f>BDH("CJML US Equity","EQY_SH_OUT","1998-06-26","2003-06-26","Per=M","Days=T","Dir=V")</f>
        <v>0</v>
      </c>
      <c r="AW2">
        <f>BDH("CJML US Equity","BETA_RAW_OVERRIABLE","1998-06-26","2003-06-26","Per=M","Days=T","Dir=V")</f>
        <v>0</v>
      </c>
      <c r="AY2">
        <f>BDH("CJML US Equity","PX_VOLUME","1998-06-26","2003-06-26","Per=M","Days=T","Dir=V")</f>
        <v>0</v>
      </c>
      <c r="BA2">
        <f>BDH("CJML US Equity","TURNOVER","1998-06-26","2003-06-26","Per=M","Days=T","Dir=V")</f>
        <v>0</v>
      </c>
      <c r="BC2">
        <f>BDH("CJML US Equity","SPREAD_BA_CR","1998-06-26","2003-06-26","Per=M","Days=T","Dir=V")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BDH("RGIDQ US Equity","BS_TOT_ASSET","1998-07-25","2003-07-25","Per=Y","Days=T","Dir=V")</f>
        <v>0</v>
      </c>
      <c r="C2">
        <f>BDH("RGIDQ US Equity","BS_TOT_LIAB2","1998-07-25","2003-07-25","Per=Y","Days=T","Dir=V")</f>
        <v>0</v>
      </c>
      <c r="E2">
        <f>BDH("RGIDQ US Equity","SHORT_AND_LONG_TERM_DEBT","1998-07-25","2003-07-25","Per=Y","Days=T","Dir=V")</f>
        <v>0</v>
      </c>
      <c r="G2">
        <f>BDH("RGIDQ US Equity","BS_ST_BORROW","1998-07-25","2003-07-25","Per=Y","Days=T","Dir=V")</f>
        <v>0</v>
      </c>
      <c r="I2">
        <f>BDH("RGIDQ US Equity","BS_LT_BORROW","1998-07-25","2003-07-25","Per=Y","Days=T","Dir=V")</f>
        <v>0</v>
      </c>
      <c r="K2">
        <f>BDH("RGIDQ US Equity","BS_CASH_NEAR_CASH_ITEM","1998-07-25","2003-07-25","Per=Y","Days=T","Dir=V")</f>
        <v>0</v>
      </c>
      <c r="M2">
        <f>BDH("RGIDQ US Equity","BS_CUR_ASSET_REPORT","1998-07-25","2003-07-25","Per=Y","Days=T","Dir=V")</f>
        <v>0</v>
      </c>
      <c r="O2">
        <f>BDH("RGIDQ US Equity","BS_CUR_LIAB","1998-07-25","2003-07-25","Per=Y","Days=T","Dir=V")</f>
        <v>0</v>
      </c>
      <c r="Q2">
        <f>BDH("RGIDQ US Equity","BS_SHAREHOLDER_EQY_ENDING_PERIOD","1998-07-25","2003-07-25","Per=Y","Days=T","Dir=V")</f>
        <v>0</v>
      </c>
      <c r="S2">
        <f>BDH("RGIDQ US Equity","BS_ACCT_NOTE_RCV","1998-07-25","2003-07-25","Per=Y","Days=T","Dir=V")</f>
        <v>0</v>
      </c>
      <c r="U2">
        <f>BDH("RGIDQ US Equity","BS_INVENTORIES","1998-07-25","2003-07-25","Per=Y","Days=T","Dir=V")</f>
        <v>0</v>
      </c>
      <c r="W2">
        <f>BDH("RGIDQ US Equity","WORKING_CAPITAL","1998-07-25","2003-07-25","Per=Y","Days=T","Dir=V")</f>
        <v>0</v>
      </c>
      <c r="Y2">
        <f>BDH("RGIDQ US Equity","SALES_REV_TURN","1998-07-25","2003-07-25","Per=Y","Days=T","Dir=V")</f>
        <v>0</v>
      </c>
      <c r="AA2">
        <f>BDH("RGIDQ US Equity","EBIT","1998-07-25","2003-07-25","Per=Y","Days=T","Dir=V")</f>
        <v>0</v>
      </c>
      <c r="AC2">
        <f>BDH("RGIDQ US Equity","EBITDA","1998-07-25","2003-07-25","Per=Y","Days=T","Dir=V")</f>
        <v>0</v>
      </c>
      <c r="AE2">
        <f>BDH("RGIDQ US Equity","NET_INCOME","1998-07-25","2003-07-25","Per=Y","Days=T","Dir=V")</f>
        <v>0</v>
      </c>
      <c r="AG2">
        <f>BDH("RGIDQ US Equity","IS_INT_EXPENSE","1998-07-25","2003-07-25","Per=Y","Days=T","Dir=V")</f>
        <v>0</v>
      </c>
      <c r="AI2">
        <f>BDH("RGIDQ US Equity","IS_DEPR_EXP","1998-07-25","2003-07-25","Per=Y","Days=T","Dir=V")</f>
        <v>0</v>
      </c>
      <c r="AK2">
        <f>BDH("RGIDQ US Equity","CF_CASH_FROM_OPER","1998-07-25","2003-07-25","Per=Y","Days=T","Dir=V")</f>
        <v>0</v>
      </c>
      <c r="AM2">
        <f>BDH("RGIDQ US Equity","CAPITAL_EXPEND","1998-07-25","2003-07-25","Per=Y","Days=T","Dir=V")</f>
        <v>0</v>
      </c>
      <c r="AO2">
        <f>BDH("RGIDQ US Equity","CF_FREE_CASH_FLOW","1998-07-25","2003-07-25","Per=Y","Days=T","Dir=V")</f>
        <v>0</v>
      </c>
      <c r="AQ2">
        <f>BDH("RGIDQ US Equity","PX_LAST","1998-07-25","2003-07-25","Per=M","Days=T","Dir=V")</f>
        <v>0</v>
      </c>
      <c r="AS2">
        <f>BDH("RGIDQ US Equity","CUR_MKT_CAP","1998-07-25","2003-07-25","Per=M","Days=T","Dir=V")</f>
        <v>0</v>
      </c>
      <c r="AU2">
        <f>BDH("RGIDQ US Equity","EQY_SH_OUT","1998-07-25","2003-07-25","Per=M","Days=T","Dir=V")</f>
        <v>0</v>
      </c>
      <c r="AW2">
        <f>BDH("RGIDQ US Equity","BETA_RAW_OVERRIABLE","1998-07-25","2003-07-25","Per=M","Days=T","Dir=V")</f>
        <v>0</v>
      </c>
      <c r="AY2">
        <f>BDH("RGIDQ US Equity","PX_VOLUME","1998-07-25","2003-07-25","Per=M","Days=T","Dir=V")</f>
        <v>0</v>
      </c>
      <c r="BA2">
        <f>BDH("RGIDQ US Equity","TURNOVER","1998-07-25","2003-07-25","Per=M","Days=T","Dir=V")</f>
        <v>0</v>
      </c>
      <c r="BC2">
        <f>BDH("RGIDQ US Equity","SPREAD_BA_CR","1998-07-25","2003-07-25","Per=M","Days=T","Dir=V")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BDH("AAWHQ US Equity","BS_TOT_ASSET","1998-11-01","2003-11-01","Per=Y","Days=T","Dir=V")</f>
        <v>0</v>
      </c>
      <c r="C2">
        <f>BDH("AAWHQ US Equity","BS_TOT_LIAB2","1998-11-01","2003-11-01","Per=Y","Days=T","Dir=V")</f>
        <v>0</v>
      </c>
      <c r="E2">
        <f>BDH("AAWHQ US Equity","SHORT_AND_LONG_TERM_DEBT","1998-11-01","2003-11-01","Per=Y","Days=T","Dir=V")</f>
        <v>0</v>
      </c>
      <c r="G2">
        <f>BDH("AAWHQ US Equity","BS_ST_BORROW","1998-11-01","2003-11-01","Per=Y","Days=T","Dir=V")</f>
        <v>0</v>
      </c>
      <c r="I2">
        <f>BDH("AAWHQ US Equity","BS_LT_BORROW","1998-11-01","2003-11-01","Per=Y","Days=T","Dir=V")</f>
        <v>0</v>
      </c>
      <c r="K2">
        <f>BDH("AAWHQ US Equity","BS_CASH_NEAR_CASH_ITEM","1998-11-01","2003-11-01","Per=Y","Days=T","Dir=V")</f>
        <v>0</v>
      </c>
      <c r="M2">
        <f>BDH("AAWHQ US Equity","BS_CUR_ASSET_REPORT","1998-11-01","2003-11-01","Per=Y","Days=T","Dir=V")</f>
        <v>0</v>
      </c>
      <c r="O2">
        <f>BDH("AAWHQ US Equity","BS_CUR_LIAB","1998-11-01","2003-11-01","Per=Y","Days=T","Dir=V")</f>
        <v>0</v>
      </c>
      <c r="Q2">
        <f>BDH("AAWHQ US Equity","BS_SHAREHOLDER_EQY_ENDING_PERIOD","1998-11-01","2003-11-01","Per=Y","Days=T","Dir=V")</f>
        <v>0</v>
      </c>
      <c r="S2">
        <f>BDH("AAWHQ US Equity","BS_ACCT_NOTE_RCV","1998-11-01","2003-11-01","Per=Y","Days=T","Dir=V")</f>
        <v>0</v>
      </c>
      <c r="U2">
        <f>BDH("AAWHQ US Equity","BS_INVENTORIES","1998-11-01","2003-11-01","Per=Y","Days=T","Dir=V")</f>
        <v>0</v>
      </c>
      <c r="W2">
        <f>BDH("AAWHQ US Equity","WORKING_CAPITAL","1998-11-01","2003-11-01","Per=Y","Days=T","Dir=V")</f>
        <v>0</v>
      </c>
      <c r="Y2">
        <f>BDH("AAWHQ US Equity","SALES_REV_TURN","1998-11-01","2003-11-01","Per=Y","Days=T","Dir=V")</f>
        <v>0</v>
      </c>
      <c r="AA2">
        <f>BDH("AAWHQ US Equity","EBIT","1998-11-01","2003-11-01","Per=Y","Days=T","Dir=V")</f>
        <v>0</v>
      </c>
      <c r="AC2">
        <f>BDH("AAWHQ US Equity","EBITDA","1998-11-01","2003-11-01","Per=Y","Days=T","Dir=V")</f>
        <v>0</v>
      </c>
      <c r="AE2">
        <f>BDH("AAWHQ US Equity","NET_INCOME","1998-11-01","2003-11-01","Per=Y","Days=T","Dir=V")</f>
        <v>0</v>
      </c>
      <c r="AG2">
        <f>BDH("AAWHQ US Equity","IS_INT_EXPENSE","1998-11-01","2003-11-01","Per=Y","Days=T","Dir=V")</f>
        <v>0</v>
      </c>
      <c r="AI2">
        <f>BDH("AAWHQ US Equity","IS_DEPR_EXP","1998-11-01","2003-11-01","Per=Y","Days=T","Dir=V")</f>
        <v>0</v>
      </c>
      <c r="AK2">
        <f>BDH("AAWHQ US Equity","CF_CASH_FROM_OPER","1998-11-01","2003-11-01","Per=Y","Days=T","Dir=V")</f>
        <v>0</v>
      </c>
      <c r="AM2">
        <f>BDH("AAWHQ US Equity","CAPITAL_EXPEND","1998-11-01","2003-11-01","Per=Y","Days=T","Dir=V")</f>
        <v>0</v>
      </c>
      <c r="AO2">
        <f>BDH("AAWHQ US Equity","CF_FREE_CASH_FLOW","1998-11-01","2003-11-01","Per=Y","Days=T","Dir=V")</f>
        <v>0</v>
      </c>
      <c r="AQ2">
        <f>BDH("AAWHQ US Equity","PX_LAST","1998-11-01","2003-11-01","Per=M","Days=T","Dir=V")</f>
        <v>0</v>
      </c>
      <c r="AS2">
        <f>BDH("AAWHQ US Equity","CUR_MKT_CAP","1998-11-01","2003-11-01","Per=M","Days=T","Dir=V")</f>
        <v>0</v>
      </c>
      <c r="AU2">
        <f>BDH("AAWHQ US Equity","EQY_SH_OUT","1998-11-01","2003-11-01","Per=M","Days=T","Dir=V")</f>
        <v>0</v>
      </c>
      <c r="AW2">
        <f>BDH("AAWHQ US Equity","BETA_RAW_OVERRIABLE","1998-11-01","2003-11-01","Per=M","Days=T","Dir=V")</f>
        <v>0</v>
      </c>
      <c r="AY2">
        <f>BDH("AAWHQ US Equity","PX_VOLUME","1998-11-01","2003-11-01","Per=M","Days=T","Dir=V")</f>
        <v>0</v>
      </c>
      <c r="BA2">
        <f>BDH("AAWHQ US Equity","TURNOVER","1998-11-01","2003-11-01","Per=M","Days=T","Dir=V")</f>
        <v>0</v>
      </c>
      <c r="BC2">
        <f>BDH("AAWHQ US Equity","SPREAD_BA_CR","1998-11-01","2003-11-01","Per=M","Days=T","Dir=V")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BDH("AVDO US Equity","BS_TOT_ASSET","1998-11-06","2003-11-06","Per=Y","Days=T","Dir=V")</f>
        <v>0</v>
      </c>
      <c r="C2">
        <f>BDH("AVDO US Equity","BS_TOT_LIAB2","1998-11-06","2003-11-06","Per=Y","Days=T","Dir=V")</f>
        <v>0</v>
      </c>
      <c r="E2">
        <f>BDH("AVDO US Equity","SHORT_AND_LONG_TERM_DEBT","1998-11-06","2003-11-06","Per=Y","Days=T","Dir=V")</f>
        <v>0</v>
      </c>
      <c r="G2">
        <f>BDH("AVDO US Equity","BS_ST_BORROW","1998-11-06","2003-11-06","Per=Y","Days=T","Dir=V")</f>
        <v>0</v>
      </c>
      <c r="I2">
        <f>BDH("AVDO US Equity","BS_LT_BORROW","1998-11-06","2003-11-06","Per=Y","Days=T","Dir=V")</f>
        <v>0</v>
      </c>
      <c r="K2">
        <f>BDH("AVDO US Equity","BS_CASH_NEAR_CASH_ITEM","1998-11-06","2003-11-06","Per=Y","Days=T","Dir=V")</f>
        <v>0</v>
      </c>
      <c r="M2">
        <f>BDH("AVDO US Equity","BS_CUR_ASSET_REPORT","1998-11-06","2003-11-06","Per=Y","Days=T","Dir=V")</f>
        <v>0</v>
      </c>
      <c r="O2">
        <f>BDH("AVDO US Equity","BS_CUR_LIAB","1998-11-06","2003-11-06","Per=Y","Days=T","Dir=V")</f>
        <v>0</v>
      </c>
      <c r="Q2">
        <f>BDH("AVDO US Equity","BS_SHAREHOLDER_EQY_ENDING_PERIOD","1998-11-06","2003-11-06","Per=Y","Days=T","Dir=V")</f>
        <v>0</v>
      </c>
      <c r="S2">
        <f>BDH("AVDO US Equity","BS_ACCT_NOTE_RCV","1998-11-06","2003-11-06","Per=Y","Days=T","Dir=V")</f>
        <v>0</v>
      </c>
      <c r="U2">
        <f>BDH("AVDO US Equity","BS_INVENTORIES","1998-11-06","2003-11-06","Per=Y","Days=T","Dir=V")</f>
        <v>0</v>
      </c>
      <c r="W2">
        <f>BDH("AVDO US Equity","WORKING_CAPITAL","1998-11-06","2003-11-06","Per=Y","Days=T","Dir=V")</f>
        <v>0</v>
      </c>
      <c r="Y2">
        <f>BDH("AVDO US Equity","SALES_REV_TURN","1998-11-06","2003-11-06","Per=Y","Days=T","Dir=V")</f>
        <v>0</v>
      </c>
      <c r="AA2">
        <f>BDH("AVDO US Equity","EBIT","1998-11-06","2003-11-06","Per=Y","Days=T","Dir=V")</f>
        <v>0</v>
      </c>
      <c r="AC2">
        <f>BDH("AVDO US Equity","EBITDA","1998-11-06","2003-11-06","Per=Y","Days=T","Dir=V")</f>
        <v>0</v>
      </c>
      <c r="AE2">
        <f>BDH("AVDO US Equity","NET_INCOME","1998-11-06","2003-11-06","Per=Y","Days=T","Dir=V")</f>
        <v>0</v>
      </c>
      <c r="AG2">
        <f>BDH("AVDO US Equity","IS_INT_EXPENSE","1998-11-06","2003-11-06","Per=Y","Days=T","Dir=V")</f>
        <v>0</v>
      </c>
      <c r="AI2">
        <f>BDH("AVDO US Equity","IS_DEPR_EXP","1998-11-06","2003-11-06","Per=Y","Days=T","Dir=V")</f>
        <v>0</v>
      </c>
      <c r="AK2">
        <f>BDH("AVDO US Equity","CF_CASH_FROM_OPER","1998-11-06","2003-11-06","Per=Y","Days=T","Dir=V")</f>
        <v>0</v>
      </c>
      <c r="AM2">
        <f>BDH("AVDO US Equity","CAPITAL_EXPEND","1998-11-06","2003-11-06","Per=Y","Days=T","Dir=V")</f>
        <v>0</v>
      </c>
      <c r="AO2">
        <f>BDH("AVDO US Equity","CF_FREE_CASH_FLOW","1998-11-06","2003-11-06","Per=Y","Days=T","Dir=V")</f>
        <v>0</v>
      </c>
      <c r="AQ2">
        <f>BDH("AVDO US Equity","PX_LAST","1998-11-06","2003-11-06","Per=M","Days=T","Dir=V")</f>
        <v>0</v>
      </c>
      <c r="AS2">
        <f>BDH("AVDO US Equity","CUR_MKT_CAP","1998-11-06","2003-11-06","Per=M","Days=T","Dir=V")</f>
        <v>0</v>
      </c>
      <c r="AU2">
        <f>BDH("AVDO US Equity","EQY_SH_OUT","1998-11-06","2003-11-06","Per=M","Days=T","Dir=V")</f>
        <v>0</v>
      </c>
      <c r="AW2">
        <f>BDH("AVDO US Equity","BETA_RAW_OVERRIABLE","1998-11-06","2003-11-06","Per=M","Days=T","Dir=V")</f>
        <v>0</v>
      </c>
      <c r="AY2">
        <f>BDH("AVDO US Equity","PX_VOLUME","1998-11-06","2003-11-06","Per=M","Days=T","Dir=V")</f>
        <v>0</v>
      </c>
      <c r="BA2">
        <f>BDH("AVDO US Equity","TURNOVER","1998-11-06","2003-11-06","Per=M","Days=T","Dir=V")</f>
        <v>0</v>
      </c>
      <c r="BC2">
        <f>BDH("AVDO US Equity","SPREAD_BA_CR","1998-11-06","2003-11-06","Per=M","Days=T","Dir=V")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BDH("RCNCQ US Equity","BS_TOT_ASSET","1999-02-27","2004-02-27","Per=Y","Days=T","Dir=V")</f>
        <v>0</v>
      </c>
      <c r="C2">
        <f>BDH("RCNCQ US Equity","BS_TOT_LIAB2","1999-02-27","2004-02-27","Per=Y","Days=T","Dir=V")</f>
        <v>0</v>
      </c>
      <c r="E2">
        <f>BDH("RCNCQ US Equity","SHORT_AND_LONG_TERM_DEBT","1999-02-27","2004-02-27","Per=Y","Days=T","Dir=V")</f>
        <v>0</v>
      </c>
      <c r="G2">
        <f>BDH("RCNCQ US Equity","BS_ST_BORROW","1999-02-27","2004-02-27","Per=Y","Days=T","Dir=V")</f>
        <v>0</v>
      </c>
      <c r="I2">
        <f>BDH("RCNCQ US Equity","BS_LT_BORROW","1999-02-27","2004-02-27","Per=Y","Days=T","Dir=V")</f>
        <v>0</v>
      </c>
      <c r="K2">
        <f>BDH("RCNCQ US Equity","BS_CASH_NEAR_CASH_ITEM","1999-02-27","2004-02-27","Per=Y","Days=T","Dir=V")</f>
        <v>0</v>
      </c>
      <c r="M2">
        <f>BDH("RCNCQ US Equity","BS_CUR_ASSET_REPORT","1999-02-27","2004-02-27","Per=Y","Days=T","Dir=V")</f>
        <v>0</v>
      </c>
      <c r="O2">
        <f>BDH("RCNCQ US Equity","BS_CUR_LIAB","1999-02-27","2004-02-27","Per=Y","Days=T","Dir=V")</f>
        <v>0</v>
      </c>
      <c r="Q2">
        <f>BDH("RCNCQ US Equity","BS_SHAREHOLDER_EQY_ENDING_PERIOD","1999-02-27","2004-02-27","Per=Y","Days=T","Dir=V")</f>
        <v>0</v>
      </c>
      <c r="S2">
        <f>BDH("RCNCQ US Equity","BS_ACCT_NOTE_RCV","1999-02-27","2004-02-27","Per=Y","Days=T","Dir=V")</f>
        <v>0</v>
      </c>
      <c r="U2">
        <f>BDH("RCNCQ US Equity","BS_INVENTORIES","1999-02-27","2004-02-27","Per=Y","Days=T","Dir=V")</f>
        <v>0</v>
      </c>
      <c r="W2">
        <f>BDH("RCNCQ US Equity","WORKING_CAPITAL","1999-02-27","2004-02-27","Per=Y","Days=T","Dir=V")</f>
        <v>0</v>
      </c>
      <c r="Y2">
        <f>BDH("RCNCQ US Equity","SALES_REV_TURN","1999-02-27","2004-02-27","Per=Y","Days=T","Dir=V")</f>
        <v>0</v>
      </c>
      <c r="AA2">
        <f>BDH("RCNCQ US Equity","EBIT","1999-02-27","2004-02-27","Per=Y","Days=T","Dir=V")</f>
        <v>0</v>
      </c>
      <c r="AC2">
        <f>BDH("RCNCQ US Equity","EBITDA","1999-02-27","2004-02-27","Per=Y","Days=T","Dir=V")</f>
        <v>0</v>
      </c>
      <c r="AE2">
        <f>BDH("RCNCQ US Equity","NET_INCOME","1999-02-27","2004-02-27","Per=Y","Days=T","Dir=V")</f>
        <v>0</v>
      </c>
      <c r="AG2">
        <f>BDH("RCNCQ US Equity","IS_INT_EXPENSE","1999-02-27","2004-02-27","Per=Y","Days=T","Dir=V")</f>
        <v>0</v>
      </c>
      <c r="AI2">
        <f>BDH("RCNCQ US Equity","IS_DEPR_EXP","1999-02-27","2004-02-27","Per=Y","Days=T","Dir=V")</f>
        <v>0</v>
      </c>
      <c r="AK2">
        <f>BDH("RCNCQ US Equity","CF_CASH_FROM_OPER","1999-02-27","2004-02-27","Per=Y","Days=T","Dir=V")</f>
        <v>0</v>
      </c>
      <c r="AM2">
        <f>BDH("RCNCQ US Equity","CAPITAL_EXPEND","1999-02-27","2004-02-27","Per=Y","Days=T","Dir=V")</f>
        <v>0</v>
      </c>
      <c r="AO2">
        <f>BDH("RCNCQ US Equity","CF_FREE_CASH_FLOW","1999-02-27","2004-02-27","Per=Y","Days=T","Dir=V")</f>
        <v>0</v>
      </c>
      <c r="AQ2">
        <f>BDH("RCNCQ US Equity","PX_LAST","1999-02-27","2004-02-27","Per=M","Days=T","Dir=V")</f>
        <v>0</v>
      </c>
      <c r="AS2">
        <f>BDH("RCNCQ US Equity","CUR_MKT_CAP","1999-02-27","2004-02-27","Per=M","Days=T","Dir=V")</f>
        <v>0</v>
      </c>
      <c r="AU2">
        <f>BDH("RCNCQ US Equity","EQY_SH_OUT","1999-02-27","2004-02-27","Per=M","Days=T","Dir=V")</f>
        <v>0</v>
      </c>
      <c r="AW2">
        <f>BDH("RCNCQ US Equity","BETA_RAW_OVERRIABLE","1999-02-27","2004-02-27","Per=M","Days=T","Dir=V")</f>
        <v>0</v>
      </c>
      <c r="AY2">
        <f>BDH("RCNCQ US Equity","PX_VOLUME","1999-02-27","2004-02-27","Per=M","Days=T","Dir=V")</f>
        <v>0</v>
      </c>
      <c r="BA2">
        <f>BDH("RCNCQ US Equity","TURNOVER","1999-02-27","2004-02-27","Per=M","Days=T","Dir=V")</f>
        <v>0</v>
      </c>
      <c r="BC2">
        <f>BDH("RCNCQ US Equity","SPREAD_BA_CR","1999-02-27","2004-02-27","Per=M","Days=T","Dir=V")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BDH("CWONQ US Equity","BS_TOT_ASSET","1999-07-07","2004-07-07","Per=Y","Days=T","Dir=V")</f>
        <v>0</v>
      </c>
      <c r="C2">
        <f>BDH("CWONQ US Equity","BS_TOT_LIAB2","1999-07-07","2004-07-07","Per=Y","Days=T","Dir=V")</f>
        <v>0</v>
      </c>
      <c r="E2">
        <f>BDH("CWONQ US Equity","SHORT_AND_LONG_TERM_DEBT","1999-07-07","2004-07-07","Per=Y","Days=T","Dir=V")</f>
        <v>0</v>
      </c>
      <c r="G2">
        <f>BDH("CWONQ US Equity","BS_ST_BORROW","1999-07-07","2004-07-07","Per=Y","Days=T","Dir=V")</f>
        <v>0</v>
      </c>
      <c r="I2">
        <f>BDH("CWONQ US Equity","BS_LT_BORROW","1999-07-07","2004-07-07","Per=Y","Days=T","Dir=V")</f>
        <v>0</v>
      </c>
      <c r="K2">
        <f>BDH("CWONQ US Equity","BS_CASH_NEAR_CASH_ITEM","1999-07-07","2004-07-07","Per=Y","Days=T","Dir=V")</f>
        <v>0</v>
      </c>
      <c r="M2">
        <f>BDH("CWONQ US Equity","BS_CUR_ASSET_REPORT","1999-07-07","2004-07-07","Per=Y","Days=T","Dir=V")</f>
        <v>0</v>
      </c>
      <c r="O2">
        <f>BDH("CWONQ US Equity","BS_CUR_LIAB","1999-07-07","2004-07-07","Per=Y","Days=T","Dir=V")</f>
        <v>0</v>
      </c>
      <c r="Q2">
        <f>BDH("CWONQ US Equity","BS_SHAREHOLDER_EQY_ENDING_PERIOD","1999-07-07","2004-07-07","Per=Y","Days=T","Dir=V")</f>
        <v>0</v>
      </c>
      <c r="S2">
        <f>BDH("CWONQ US Equity","BS_ACCT_NOTE_RCV","1999-07-07","2004-07-07","Per=Y","Days=T","Dir=V")</f>
        <v>0</v>
      </c>
      <c r="U2">
        <f>BDH("CWONQ US Equity","BS_INVENTORIES","1999-07-07","2004-07-07","Per=Y","Days=T","Dir=V")</f>
        <v>0</v>
      </c>
      <c r="W2">
        <f>BDH("CWONQ US Equity","WORKING_CAPITAL","1999-07-07","2004-07-07","Per=Y","Days=T","Dir=V")</f>
        <v>0</v>
      </c>
      <c r="Y2">
        <f>BDH("CWONQ US Equity","SALES_REV_TURN","1999-07-07","2004-07-07","Per=Y","Days=T","Dir=V")</f>
        <v>0</v>
      </c>
      <c r="AA2">
        <f>BDH("CWONQ US Equity","EBIT","1999-07-07","2004-07-07","Per=Y","Days=T","Dir=V")</f>
        <v>0</v>
      </c>
      <c r="AC2">
        <f>BDH("CWONQ US Equity","EBITDA","1999-07-07","2004-07-07","Per=Y","Days=T","Dir=V")</f>
        <v>0</v>
      </c>
      <c r="AE2">
        <f>BDH("CWONQ US Equity","NET_INCOME","1999-07-07","2004-07-07","Per=Y","Days=T","Dir=V")</f>
        <v>0</v>
      </c>
      <c r="AG2">
        <f>BDH("CWONQ US Equity","IS_INT_EXPENSE","1999-07-07","2004-07-07","Per=Y","Days=T","Dir=V")</f>
        <v>0</v>
      </c>
      <c r="AI2">
        <f>BDH("CWONQ US Equity","IS_DEPR_EXP","1999-07-07","2004-07-07","Per=Y","Days=T","Dir=V")</f>
        <v>0</v>
      </c>
      <c r="AK2">
        <f>BDH("CWONQ US Equity","CF_CASH_FROM_OPER","1999-07-07","2004-07-07","Per=Y","Days=T","Dir=V")</f>
        <v>0</v>
      </c>
      <c r="AM2">
        <f>BDH("CWONQ US Equity","CAPITAL_EXPEND","1999-07-07","2004-07-07","Per=Y","Days=T","Dir=V")</f>
        <v>0</v>
      </c>
      <c r="AO2">
        <f>BDH("CWONQ US Equity","CF_FREE_CASH_FLOW","1999-07-07","2004-07-07","Per=Y","Days=T","Dir=V")</f>
        <v>0</v>
      </c>
      <c r="AQ2">
        <f>BDH("CWONQ US Equity","PX_LAST","1999-07-07","2004-07-07","Per=M","Days=T","Dir=V")</f>
        <v>0</v>
      </c>
      <c r="AS2">
        <f>BDH("CWONQ US Equity","CUR_MKT_CAP","1999-07-07","2004-07-07","Per=M","Days=T","Dir=V")</f>
        <v>0</v>
      </c>
      <c r="AU2">
        <f>BDH("CWONQ US Equity","EQY_SH_OUT","1999-07-07","2004-07-07","Per=M","Days=T","Dir=V")</f>
        <v>0</v>
      </c>
      <c r="AW2">
        <f>BDH("CWONQ US Equity","BETA_RAW_OVERRIABLE","1999-07-07","2004-07-07","Per=M","Days=T","Dir=V")</f>
        <v>0</v>
      </c>
      <c r="AY2">
        <f>BDH("CWONQ US Equity","PX_VOLUME","1999-07-07","2004-07-07","Per=M","Days=T","Dir=V")</f>
        <v>0</v>
      </c>
      <c r="BA2">
        <f>BDH("CWONQ US Equity","TURNOVER","1999-07-07","2004-07-07","Per=M","Days=T","Dir=V")</f>
        <v>0</v>
      </c>
      <c r="BC2">
        <f>BDH("CWONQ US Equity","SPREAD_BA_CR","1999-07-07","2004-07-07","Per=M","Days=T","Dir=V")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BDH("HUFCQ US Equity","BS_TOT_ASSET","1999-07-22","2004-07-22","Per=Y","Days=T","Dir=V")</f>
        <v>0</v>
      </c>
      <c r="C2">
        <f>BDH("HUFCQ US Equity","BS_TOT_LIAB2","1999-07-22","2004-07-22","Per=Y","Days=T","Dir=V")</f>
        <v>0</v>
      </c>
      <c r="E2">
        <f>BDH("HUFCQ US Equity","SHORT_AND_LONG_TERM_DEBT","1999-07-22","2004-07-22","Per=Y","Days=T","Dir=V")</f>
        <v>0</v>
      </c>
      <c r="G2">
        <f>BDH("HUFCQ US Equity","BS_ST_BORROW","1999-07-22","2004-07-22","Per=Y","Days=T","Dir=V")</f>
        <v>0</v>
      </c>
      <c r="I2">
        <f>BDH("HUFCQ US Equity","BS_LT_BORROW","1999-07-22","2004-07-22","Per=Y","Days=T","Dir=V")</f>
        <v>0</v>
      </c>
      <c r="K2">
        <f>BDH("HUFCQ US Equity","BS_CASH_NEAR_CASH_ITEM","1999-07-22","2004-07-22","Per=Y","Days=T","Dir=V")</f>
        <v>0</v>
      </c>
      <c r="M2">
        <f>BDH("HUFCQ US Equity","BS_CUR_ASSET_REPORT","1999-07-22","2004-07-22","Per=Y","Days=T","Dir=V")</f>
        <v>0</v>
      </c>
      <c r="O2">
        <f>BDH("HUFCQ US Equity","BS_CUR_LIAB","1999-07-22","2004-07-22","Per=Y","Days=T","Dir=V")</f>
        <v>0</v>
      </c>
      <c r="Q2">
        <f>BDH("HUFCQ US Equity","BS_SHAREHOLDER_EQY_ENDING_PERIOD","1999-07-22","2004-07-22","Per=Y","Days=T","Dir=V")</f>
        <v>0</v>
      </c>
      <c r="S2">
        <f>BDH("HUFCQ US Equity","BS_ACCT_NOTE_RCV","1999-07-22","2004-07-22","Per=Y","Days=T","Dir=V")</f>
        <v>0</v>
      </c>
      <c r="U2">
        <f>BDH("HUFCQ US Equity","BS_INVENTORIES","1999-07-22","2004-07-22","Per=Y","Days=T","Dir=V")</f>
        <v>0</v>
      </c>
      <c r="W2">
        <f>BDH("HUFCQ US Equity","WORKING_CAPITAL","1999-07-22","2004-07-22","Per=Y","Days=T","Dir=V")</f>
        <v>0</v>
      </c>
      <c r="Y2">
        <f>BDH("HUFCQ US Equity","SALES_REV_TURN","1999-07-22","2004-07-22","Per=Y","Days=T","Dir=V")</f>
        <v>0</v>
      </c>
      <c r="AA2">
        <f>BDH("HUFCQ US Equity","EBIT","1999-07-22","2004-07-22","Per=Y","Days=T","Dir=V")</f>
        <v>0</v>
      </c>
      <c r="AC2">
        <f>BDH("HUFCQ US Equity","EBITDA","1999-07-22","2004-07-22","Per=Y","Days=T","Dir=V")</f>
        <v>0</v>
      </c>
      <c r="AE2">
        <f>BDH("HUFCQ US Equity","NET_INCOME","1999-07-22","2004-07-22","Per=Y","Days=T","Dir=V")</f>
        <v>0</v>
      </c>
      <c r="AG2">
        <f>BDH("HUFCQ US Equity","IS_INT_EXPENSE","1999-07-22","2004-07-22","Per=Y","Days=T","Dir=V")</f>
        <v>0</v>
      </c>
      <c r="AI2">
        <f>BDH("HUFCQ US Equity","IS_DEPR_EXP","1999-07-22","2004-07-22","Per=Y","Days=T","Dir=V")</f>
        <v>0</v>
      </c>
      <c r="AK2">
        <f>BDH("HUFCQ US Equity","CF_CASH_FROM_OPER","1999-07-22","2004-07-22","Per=Y","Days=T","Dir=V")</f>
        <v>0</v>
      </c>
      <c r="AM2">
        <f>BDH("HUFCQ US Equity","CAPITAL_EXPEND","1999-07-22","2004-07-22","Per=Y","Days=T","Dir=V")</f>
        <v>0</v>
      </c>
      <c r="AO2">
        <f>BDH("HUFCQ US Equity","CF_FREE_CASH_FLOW","1999-07-22","2004-07-22","Per=Y","Days=T","Dir=V")</f>
        <v>0</v>
      </c>
      <c r="AQ2">
        <f>BDH("HUFCQ US Equity","PX_LAST","1999-07-22","2004-07-22","Per=M","Days=T","Dir=V")</f>
        <v>0</v>
      </c>
      <c r="AS2">
        <f>BDH("HUFCQ US Equity","CUR_MKT_CAP","1999-07-22","2004-07-22","Per=M","Days=T","Dir=V")</f>
        <v>0</v>
      </c>
      <c r="AU2">
        <f>BDH("HUFCQ US Equity","EQY_SH_OUT","1999-07-22","2004-07-22","Per=M","Days=T","Dir=V")</f>
        <v>0</v>
      </c>
      <c r="AW2">
        <f>BDH("HUFCQ US Equity","BETA_RAW_OVERRIABLE","1999-07-22","2004-07-22","Per=M","Days=T","Dir=V")</f>
        <v>0</v>
      </c>
      <c r="AY2">
        <f>BDH("HUFCQ US Equity","PX_VOLUME","1999-07-22","2004-07-22","Per=M","Days=T","Dir=V")</f>
        <v>0</v>
      </c>
      <c r="BA2">
        <f>BDH("HUFCQ US Equity","TURNOVER","1999-07-22","2004-07-22","Per=M","Days=T","Dir=V")</f>
        <v>0</v>
      </c>
      <c r="BC2">
        <f>BDH("HUFCQ US Equity","SPREAD_BA_CR","1999-07-22","2004-07-22","Per=M","Days=T","Dir=V")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BDH("ATAHQ US Equity","BS_TOT_ASSET","1999-07-28","2004-07-28","Per=Y","Days=T","Dir=V")</f>
        <v>0</v>
      </c>
      <c r="C2">
        <f>BDH("ATAHQ US Equity","BS_TOT_LIAB2","1999-07-28","2004-07-28","Per=Y","Days=T","Dir=V")</f>
        <v>0</v>
      </c>
      <c r="E2">
        <f>BDH("ATAHQ US Equity","SHORT_AND_LONG_TERM_DEBT","1999-07-28","2004-07-28","Per=Y","Days=T","Dir=V")</f>
        <v>0</v>
      </c>
      <c r="G2">
        <f>BDH("ATAHQ US Equity","BS_ST_BORROW","1999-07-28","2004-07-28","Per=Y","Days=T","Dir=V")</f>
        <v>0</v>
      </c>
      <c r="I2">
        <f>BDH("ATAHQ US Equity","BS_LT_BORROW","1999-07-28","2004-07-28","Per=Y","Days=T","Dir=V")</f>
        <v>0</v>
      </c>
      <c r="K2">
        <f>BDH("ATAHQ US Equity","BS_CASH_NEAR_CASH_ITEM","1999-07-28","2004-07-28","Per=Y","Days=T","Dir=V")</f>
        <v>0</v>
      </c>
      <c r="M2">
        <f>BDH("ATAHQ US Equity","BS_CUR_ASSET_REPORT","1999-07-28","2004-07-28","Per=Y","Days=T","Dir=V")</f>
        <v>0</v>
      </c>
      <c r="O2">
        <f>BDH("ATAHQ US Equity","BS_CUR_LIAB","1999-07-28","2004-07-28","Per=Y","Days=T","Dir=V")</f>
        <v>0</v>
      </c>
      <c r="Q2">
        <f>BDH("ATAHQ US Equity","BS_SHAREHOLDER_EQY_ENDING_PERIOD","1999-07-28","2004-07-28","Per=Y","Days=T","Dir=V")</f>
        <v>0</v>
      </c>
      <c r="S2">
        <f>BDH("ATAHQ US Equity","BS_ACCT_NOTE_RCV","1999-07-28","2004-07-28","Per=Y","Days=T","Dir=V")</f>
        <v>0</v>
      </c>
      <c r="U2">
        <f>BDH("ATAHQ US Equity","BS_INVENTORIES","1999-07-28","2004-07-28","Per=Y","Days=T","Dir=V")</f>
        <v>0</v>
      </c>
      <c r="W2">
        <f>BDH("ATAHQ US Equity","WORKING_CAPITAL","1999-07-28","2004-07-28","Per=Y","Days=T","Dir=V")</f>
        <v>0</v>
      </c>
      <c r="Y2">
        <f>BDH("ATAHQ US Equity","SALES_REV_TURN","1999-07-28","2004-07-28","Per=Y","Days=T","Dir=V")</f>
        <v>0</v>
      </c>
      <c r="AA2">
        <f>BDH("ATAHQ US Equity","EBIT","1999-07-28","2004-07-28","Per=Y","Days=T","Dir=V")</f>
        <v>0</v>
      </c>
      <c r="AC2">
        <f>BDH("ATAHQ US Equity","EBITDA","1999-07-28","2004-07-28","Per=Y","Days=T","Dir=V")</f>
        <v>0</v>
      </c>
      <c r="AE2">
        <f>BDH("ATAHQ US Equity","NET_INCOME","1999-07-28","2004-07-28","Per=Y","Days=T","Dir=V")</f>
        <v>0</v>
      </c>
      <c r="AG2">
        <f>BDH("ATAHQ US Equity","IS_INT_EXPENSE","1999-07-28","2004-07-28","Per=Y","Days=T","Dir=V")</f>
        <v>0</v>
      </c>
      <c r="AI2">
        <f>BDH("ATAHQ US Equity","IS_DEPR_EXP","1999-07-28","2004-07-28","Per=Y","Days=T","Dir=V")</f>
        <v>0</v>
      </c>
      <c r="AK2">
        <f>BDH("ATAHQ US Equity","CF_CASH_FROM_OPER","1999-07-28","2004-07-28","Per=Y","Days=T","Dir=V")</f>
        <v>0</v>
      </c>
      <c r="AM2">
        <f>BDH("ATAHQ US Equity","CAPITAL_EXPEND","1999-07-28","2004-07-28","Per=Y","Days=T","Dir=V")</f>
        <v>0</v>
      </c>
      <c r="AO2">
        <f>BDH("ATAHQ US Equity","CF_FREE_CASH_FLOW","1999-07-28","2004-07-28","Per=Y","Days=T","Dir=V")</f>
        <v>0</v>
      </c>
      <c r="AQ2">
        <f>BDH("ATAHQ US Equity","PX_LAST","1999-07-28","2004-07-28","Per=M","Days=T","Dir=V")</f>
        <v>0</v>
      </c>
      <c r="AS2">
        <f>BDH("ATAHQ US Equity","CUR_MKT_CAP","1999-07-28","2004-07-28","Per=M","Days=T","Dir=V")</f>
        <v>0</v>
      </c>
      <c r="AU2">
        <f>BDH("ATAHQ US Equity","EQY_SH_OUT","1999-07-28","2004-07-28","Per=M","Days=T","Dir=V")</f>
        <v>0</v>
      </c>
      <c r="AW2">
        <f>BDH("ATAHQ US Equity","BETA_RAW_OVERRIABLE","1999-07-28","2004-07-28","Per=M","Days=T","Dir=V")</f>
        <v>0</v>
      </c>
      <c r="AY2">
        <f>BDH("ATAHQ US Equity","PX_VOLUME","1999-07-28","2004-07-28","Per=M","Days=T","Dir=V")</f>
        <v>0</v>
      </c>
      <c r="BA2">
        <f>BDH("ATAHQ US Equity","TURNOVER","1999-07-28","2004-07-28","Per=M","Days=T","Dir=V")</f>
        <v>0</v>
      </c>
      <c r="BC2">
        <f>BDH("ATAHQ US Equity","SPREAD_BA_CR","1999-07-28","2004-07-28","Per=M","Days=T","Dir=V")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BDH("AICOQ US Equity","BS_TOT_ASSET","1999-09-01","2004-09-01","Per=Y","Days=T","Dir=V")</f>
        <v>0</v>
      </c>
      <c r="C2">
        <f>BDH("AICOQ US Equity","BS_TOT_LIAB2","1999-09-01","2004-09-01","Per=Y","Days=T","Dir=V")</f>
        <v>0</v>
      </c>
      <c r="E2">
        <f>BDH("AICOQ US Equity","SHORT_AND_LONG_TERM_DEBT","1999-09-01","2004-09-01","Per=Y","Days=T","Dir=V")</f>
        <v>0</v>
      </c>
      <c r="G2">
        <f>BDH("AICOQ US Equity","BS_ST_BORROW","1999-09-01","2004-09-01","Per=Y","Days=T","Dir=V")</f>
        <v>0</v>
      </c>
      <c r="I2">
        <f>BDH("AICOQ US Equity","BS_LT_BORROW","1999-09-01","2004-09-01","Per=Y","Days=T","Dir=V")</f>
        <v>0</v>
      </c>
      <c r="K2">
        <f>BDH("AICOQ US Equity","BS_CASH_NEAR_CASH_ITEM","1999-09-01","2004-09-01","Per=Y","Days=T","Dir=V")</f>
        <v>0</v>
      </c>
      <c r="M2">
        <f>BDH("AICOQ US Equity","BS_CUR_ASSET_REPORT","1999-09-01","2004-09-01","Per=Y","Days=T","Dir=V")</f>
        <v>0</v>
      </c>
      <c r="O2">
        <f>BDH("AICOQ US Equity","BS_CUR_LIAB","1999-09-01","2004-09-01","Per=Y","Days=T","Dir=V")</f>
        <v>0</v>
      </c>
      <c r="Q2">
        <f>BDH("AICOQ US Equity","BS_SHAREHOLDER_EQY_ENDING_PERIOD","1999-09-01","2004-09-01","Per=Y","Days=T","Dir=V")</f>
        <v>0</v>
      </c>
      <c r="S2">
        <f>BDH("AICOQ US Equity","BS_ACCT_NOTE_RCV","1999-09-01","2004-09-01","Per=Y","Days=T","Dir=V")</f>
        <v>0</v>
      </c>
      <c r="U2">
        <f>BDH("AICOQ US Equity","BS_INVENTORIES","1999-09-01","2004-09-01","Per=Y","Days=T","Dir=V")</f>
        <v>0</v>
      </c>
      <c r="W2">
        <f>BDH("AICOQ US Equity","WORKING_CAPITAL","1999-09-01","2004-09-01","Per=Y","Days=T","Dir=V")</f>
        <v>0</v>
      </c>
      <c r="Y2">
        <f>BDH("AICOQ US Equity","SALES_REV_TURN","1999-09-01","2004-09-01","Per=Y","Days=T","Dir=V")</f>
        <v>0</v>
      </c>
      <c r="AA2">
        <f>BDH("AICOQ US Equity","EBIT","1999-09-01","2004-09-01","Per=Y","Days=T","Dir=V")</f>
        <v>0</v>
      </c>
      <c r="AC2">
        <f>BDH("AICOQ US Equity","EBITDA","1999-09-01","2004-09-01","Per=Y","Days=T","Dir=V")</f>
        <v>0</v>
      </c>
      <c r="AE2">
        <f>BDH("AICOQ US Equity","NET_INCOME","1999-09-01","2004-09-01","Per=Y","Days=T","Dir=V")</f>
        <v>0</v>
      </c>
      <c r="AG2">
        <f>BDH("AICOQ US Equity","IS_INT_EXPENSE","1999-09-01","2004-09-01","Per=Y","Days=T","Dir=V")</f>
        <v>0</v>
      </c>
      <c r="AI2">
        <f>BDH("AICOQ US Equity","IS_DEPR_EXP","1999-09-01","2004-09-01","Per=Y","Days=T","Dir=V")</f>
        <v>0</v>
      </c>
      <c r="AK2">
        <f>BDH("AICOQ US Equity","CF_CASH_FROM_OPER","1999-09-01","2004-09-01","Per=Y","Days=T","Dir=V")</f>
        <v>0</v>
      </c>
      <c r="AM2">
        <f>BDH("AICOQ US Equity","CAPITAL_EXPEND","1999-09-01","2004-09-01","Per=Y","Days=T","Dir=V")</f>
        <v>0</v>
      </c>
      <c r="AO2">
        <f>BDH("AICOQ US Equity","CF_FREE_CASH_FLOW","1999-09-01","2004-09-01","Per=Y","Days=T","Dir=V")</f>
        <v>0</v>
      </c>
      <c r="AQ2">
        <f>BDH("AICOQ US Equity","PX_LAST","1999-09-01","2004-09-01","Per=M","Days=T","Dir=V")</f>
        <v>0</v>
      </c>
      <c r="AS2">
        <f>BDH("AICOQ US Equity","CUR_MKT_CAP","1999-09-01","2004-09-01","Per=M","Days=T","Dir=V")</f>
        <v>0</v>
      </c>
      <c r="AU2">
        <f>BDH("AICOQ US Equity","EQY_SH_OUT","1999-09-01","2004-09-01","Per=M","Days=T","Dir=V")</f>
        <v>0</v>
      </c>
      <c r="AW2">
        <f>BDH("AICOQ US Equity","BETA_RAW_OVERRIABLE","1999-09-01","2004-09-01","Per=M","Days=T","Dir=V")</f>
        <v>0</v>
      </c>
      <c r="AY2">
        <f>BDH("AICOQ US Equity","PX_VOLUME","1999-09-01","2004-09-01","Per=M","Days=T","Dir=V")</f>
        <v>0</v>
      </c>
      <c r="BA2">
        <f>BDH("AICOQ US Equity","TURNOVER","1999-09-01","2004-09-01","Per=M","Days=T","Dir=V")</f>
        <v>0</v>
      </c>
      <c r="BC2">
        <f>BDH("AICOQ US Equity","SPREAD_BA_CR","1999-09-01","2004-09-01","Per=M","Days=T","Dir=V")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BDH("TRMAQ US Equity","BS_TOT_ASSET","1999-09-22","2004-09-22","Per=Y","Days=T","Dir=V")</f>
        <v>0</v>
      </c>
      <c r="C2">
        <f>BDH("TRMAQ US Equity","BS_TOT_LIAB2","1999-09-22","2004-09-22","Per=Y","Days=T","Dir=V")</f>
        <v>0</v>
      </c>
      <c r="E2">
        <f>BDH("TRMAQ US Equity","SHORT_AND_LONG_TERM_DEBT","1999-09-22","2004-09-22","Per=Y","Days=T","Dir=V")</f>
        <v>0</v>
      </c>
      <c r="G2">
        <f>BDH("TRMAQ US Equity","BS_ST_BORROW","1999-09-22","2004-09-22","Per=Y","Days=T","Dir=V")</f>
        <v>0</v>
      </c>
      <c r="I2">
        <f>BDH("TRMAQ US Equity","BS_LT_BORROW","1999-09-22","2004-09-22","Per=Y","Days=T","Dir=V")</f>
        <v>0</v>
      </c>
      <c r="K2">
        <f>BDH("TRMAQ US Equity","BS_CASH_NEAR_CASH_ITEM","1999-09-22","2004-09-22","Per=Y","Days=T","Dir=V")</f>
        <v>0</v>
      </c>
      <c r="M2">
        <f>BDH("TRMAQ US Equity","BS_CUR_ASSET_REPORT","1999-09-22","2004-09-22","Per=Y","Days=T","Dir=V")</f>
        <v>0</v>
      </c>
      <c r="O2">
        <f>BDH("TRMAQ US Equity","BS_CUR_LIAB","1999-09-22","2004-09-22","Per=Y","Days=T","Dir=V")</f>
        <v>0</v>
      </c>
      <c r="Q2">
        <f>BDH("TRMAQ US Equity","BS_SHAREHOLDER_EQY_ENDING_PERIOD","1999-09-22","2004-09-22","Per=Y","Days=T","Dir=V")</f>
        <v>0</v>
      </c>
      <c r="S2">
        <f>BDH("TRMAQ US Equity","BS_ACCT_NOTE_RCV","1999-09-22","2004-09-22","Per=Y","Days=T","Dir=V")</f>
        <v>0</v>
      </c>
      <c r="U2">
        <f>BDH("TRMAQ US Equity","BS_INVENTORIES","1999-09-22","2004-09-22","Per=Y","Days=T","Dir=V")</f>
        <v>0</v>
      </c>
      <c r="W2">
        <f>BDH("TRMAQ US Equity","WORKING_CAPITAL","1999-09-22","2004-09-22","Per=Y","Days=T","Dir=V")</f>
        <v>0</v>
      </c>
      <c r="Y2">
        <f>BDH("TRMAQ US Equity","SALES_REV_TURN","1999-09-22","2004-09-22","Per=Y","Days=T","Dir=V")</f>
        <v>0</v>
      </c>
      <c r="AA2">
        <f>BDH("TRMAQ US Equity","EBIT","1999-09-22","2004-09-22","Per=Y","Days=T","Dir=V")</f>
        <v>0</v>
      </c>
      <c r="AC2">
        <f>BDH("TRMAQ US Equity","EBITDA","1999-09-22","2004-09-22","Per=Y","Days=T","Dir=V")</f>
        <v>0</v>
      </c>
      <c r="AE2">
        <f>BDH("TRMAQ US Equity","NET_INCOME","1999-09-22","2004-09-22","Per=Y","Days=T","Dir=V")</f>
        <v>0</v>
      </c>
      <c r="AG2">
        <f>BDH("TRMAQ US Equity","IS_INT_EXPENSE","1999-09-22","2004-09-22","Per=Y","Days=T","Dir=V")</f>
        <v>0</v>
      </c>
      <c r="AI2">
        <f>BDH("TRMAQ US Equity","IS_DEPR_EXP","1999-09-22","2004-09-22","Per=Y","Days=T","Dir=V")</f>
        <v>0</v>
      </c>
      <c r="AK2">
        <f>BDH("TRMAQ US Equity","CF_CASH_FROM_OPER","1999-09-22","2004-09-22","Per=Y","Days=T","Dir=V")</f>
        <v>0</v>
      </c>
      <c r="AM2">
        <f>BDH("TRMAQ US Equity","CAPITAL_EXPEND","1999-09-22","2004-09-22","Per=Y","Days=T","Dir=V")</f>
        <v>0</v>
      </c>
      <c r="AO2">
        <f>BDH("TRMAQ US Equity","CF_FREE_CASH_FLOW","1999-09-22","2004-09-22","Per=Y","Days=T","Dir=V")</f>
        <v>0</v>
      </c>
      <c r="AQ2">
        <f>BDH("TRMAQ US Equity","PX_LAST","1999-09-22","2004-09-22","Per=M","Days=T","Dir=V")</f>
        <v>0</v>
      </c>
      <c r="AS2">
        <f>BDH("TRMAQ US Equity","CUR_MKT_CAP","1999-09-22","2004-09-22","Per=M","Days=T","Dir=V")</f>
        <v>0</v>
      </c>
      <c r="AU2">
        <f>BDH("TRMAQ US Equity","EQY_SH_OUT","1999-09-22","2004-09-22","Per=M","Days=T","Dir=V")</f>
        <v>0</v>
      </c>
      <c r="AW2">
        <f>BDH("TRMAQ US Equity","BETA_RAW_OVERRIABLE","1999-09-22","2004-09-22","Per=M","Days=T","Dir=V")</f>
        <v>0</v>
      </c>
      <c r="AY2">
        <f>BDH("TRMAQ US Equity","PX_VOLUME","1999-09-22","2004-09-22","Per=M","Days=T","Dir=V")</f>
        <v>0</v>
      </c>
      <c r="BA2">
        <f>BDH("TRMAQ US Equity","TURNOVER","1999-09-22","2004-09-22","Per=M","Days=T","Dir=V")</f>
        <v>0</v>
      </c>
      <c r="BC2">
        <f>BDH("TRMAQ US Equity","SPREAD_BA_CR","1999-09-22","2004-09-22","Per=M","Days=T","Dir=V")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BDH("FCPR US Equity","BS_TOT_ASSET","1999-11-02","2004-11-02","Per=Y","Days=T","Dir=V")</f>
        <v>0</v>
      </c>
      <c r="C2">
        <f>BDH("FCPR US Equity","BS_TOT_LIAB2","1999-11-02","2004-11-02","Per=Y","Days=T","Dir=V")</f>
        <v>0</v>
      </c>
      <c r="E2">
        <f>BDH("FCPR US Equity","SHORT_AND_LONG_TERM_DEBT","1999-11-02","2004-11-02","Per=Y","Days=T","Dir=V")</f>
        <v>0</v>
      </c>
      <c r="G2">
        <f>BDH("FCPR US Equity","BS_ST_BORROW","1999-11-02","2004-11-02","Per=Y","Days=T","Dir=V")</f>
        <v>0</v>
      </c>
      <c r="I2">
        <f>BDH("FCPR US Equity","BS_LT_BORROW","1999-11-02","2004-11-02","Per=Y","Days=T","Dir=V")</f>
        <v>0</v>
      </c>
      <c r="K2">
        <f>BDH("FCPR US Equity","BS_CASH_NEAR_CASH_ITEM","1999-11-02","2004-11-02","Per=Y","Days=T","Dir=V")</f>
        <v>0</v>
      </c>
      <c r="M2">
        <f>BDH("FCPR US Equity","BS_CUR_ASSET_REPORT","1999-11-02","2004-11-02","Per=Y","Days=T","Dir=V")</f>
        <v>0</v>
      </c>
      <c r="O2">
        <f>BDH("FCPR US Equity","BS_CUR_LIAB","1999-11-02","2004-11-02","Per=Y","Days=T","Dir=V")</f>
        <v>0</v>
      </c>
      <c r="Q2">
        <f>BDH("FCPR US Equity","BS_SHAREHOLDER_EQY_ENDING_PERIOD","1999-11-02","2004-11-02","Per=Y","Days=T","Dir=V")</f>
        <v>0</v>
      </c>
      <c r="S2">
        <f>BDH("FCPR US Equity","BS_ACCT_NOTE_RCV","1999-11-02","2004-11-02","Per=Y","Days=T","Dir=V")</f>
        <v>0</v>
      </c>
      <c r="U2">
        <f>BDH("FCPR US Equity","BS_INVENTORIES","1999-11-02","2004-11-02","Per=Y","Days=T","Dir=V")</f>
        <v>0</v>
      </c>
      <c r="W2">
        <f>BDH("FCPR US Equity","WORKING_CAPITAL","1999-11-02","2004-11-02","Per=Y","Days=T","Dir=V")</f>
        <v>0</v>
      </c>
      <c r="Y2">
        <f>BDH("FCPR US Equity","SALES_REV_TURN","1999-11-02","2004-11-02","Per=Y","Days=T","Dir=V")</f>
        <v>0</v>
      </c>
      <c r="AA2">
        <f>BDH("FCPR US Equity","EBIT","1999-11-02","2004-11-02","Per=Y","Days=T","Dir=V")</f>
        <v>0</v>
      </c>
      <c r="AC2">
        <f>BDH("FCPR US Equity","EBITDA","1999-11-02","2004-11-02","Per=Y","Days=T","Dir=V")</f>
        <v>0</v>
      </c>
      <c r="AE2">
        <f>BDH("FCPR US Equity","NET_INCOME","1999-11-02","2004-11-02","Per=Y","Days=T","Dir=V")</f>
        <v>0</v>
      </c>
      <c r="AG2">
        <f>BDH("FCPR US Equity","IS_INT_EXPENSE","1999-11-02","2004-11-02","Per=Y","Days=T","Dir=V")</f>
        <v>0</v>
      </c>
      <c r="AI2">
        <f>BDH("FCPR US Equity","IS_DEPR_EXP","1999-11-02","2004-11-02","Per=Y","Days=T","Dir=V")</f>
        <v>0</v>
      </c>
      <c r="AK2">
        <f>BDH("FCPR US Equity","CF_CASH_FROM_OPER","1999-11-02","2004-11-02","Per=Y","Days=T","Dir=V")</f>
        <v>0</v>
      </c>
      <c r="AM2">
        <f>BDH("FCPR US Equity","CAPITAL_EXPEND","1999-11-02","2004-11-02","Per=Y","Days=T","Dir=V")</f>
        <v>0</v>
      </c>
      <c r="AO2">
        <f>BDH("FCPR US Equity","CF_FREE_CASH_FLOW","1999-11-02","2004-11-02","Per=Y","Days=T","Dir=V")</f>
        <v>0</v>
      </c>
      <c r="AQ2">
        <f>BDH("FCPR US Equity","PX_LAST","1999-11-02","2004-11-02","Per=M","Days=T","Dir=V")</f>
        <v>0</v>
      </c>
      <c r="AS2">
        <f>BDH("FCPR US Equity","CUR_MKT_CAP","1999-11-02","2004-11-02","Per=M","Days=T","Dir=V")</f>
        <v>0</v>
      </c>
      <c r="AU2">
        <f>BDH("FCPR US Equity","EQY_SH_OUT","1999-11-02","2004-11-02","Per=M","Days=T","Dir=V")</f>
        <v>0</v>
      </c>
      <c r="AW2">
        <f>BDH("FCPR US Equity","BETA_RAW_OVERRIABLE","1999-11-02","2004-11-02","Per=M","Days=T","Dir=V")</f>
        <v>0</v>
      </c>
      <c r="AY2">
        <f>BDH("FCPR US Equity","PX_VOLUME","1999-11-02","2004-11-02","Per=M","Days=T","Dir=V")</f>
        <v>0</v>
      </c>
      <c r="BA2">
        <f>BDH("FCPR US Equity","TURNOVER","1999-11-02","2004-11-02","Per=M","Days=T","Dir=V")</f>
        <v>0</v>
      </c>
      <c r="BC2">
        <f>BDH("FCPR US Equity","SPREAD_BA_CR","1999-11-02","2004-11-02","Per=M","Days=T","Dir=V")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BDH("TWRAQ US Equity","BS_TOT_ASSET","1999-11-04","2004-11-04","Per=Y","Days=T","Dir=V")</f>
        <v>0</v>
      </c>
      <c r="C2">
        <f>BDH("TWRAQ US Equity","BS_TOT_LIAB2","1999-11-04","2004-11-04","Per=Y","Days=T","Dir=V")</f>
        <v>0</v>
      </c>
      <c r="E2">
        <f>BDH("TWRAQ US Equity","SHORT_AND_LONG_TERM_DEBT","1999-11-04","2004-11-04","Per=Y","Days=T","Dir=V")</f>
        <v>0</v>
      </c>
      <c r="G2">
        <f>BDH("TWRAQ US Equity","BS_ST_BORROW","1999-11-04","2004-11-04","Per=Y","Days=T","Dir=V")</f>
        <v>0</v>
      </c>
      <c r="I2">
        <f>BDH("TWRAQ US Equity","BS_LT_BORROW","1999-11-04","2004-11-04","Per=Y","Days=T","Dir=V")</f>
        <v>0</v>
      </c>
      <c r="K2">
        <f>BDH("TWRAQ US Equity","BS_CASH_NEAR_CASH_ITEM","1999-11-04","2004-11-04","Per=Y","Days=T","Dir=V")</f>
        <v>0</v>
      </c>
      <c r="M2">
        <f>BDH("TWRAQ US Equity","BS_CUR_ASSET_REPORT","1999-11-04","2004-11-04","Per=Y","Days=T","Dir=V")</f>
        <v>0</v>
      </c>
      <c r="O2">
        <f>BDH("TWRAQ US Equity","BS_CUR_LIAB","1999-11-04","2004-11-04","Per=Y","Days=T","Dir=V")</f>
        <v>0</v>
      </c>
      <c r="Q2">
        <f>BDH("TWRAQ US Equity","BS_SHAREHOLDER_EQY_ENDING_PERIOD","1999-11-04","2004-11-04","Per=Y","Days=T","Dir=V")</f>
        <v>0</v>
      </c>
      <c r="S2">
        <f>BDH("TWRAQ US Equity","BS_ACCT_NOTE_RCV","1999-11-04","2004-11-04","Per=Y","Days=T","Dir=V")</f>
        <v>0</v>
      </c>
      <c r="U2">
        <f>BDH("TWRAQ US Equity","BS_INVENTORIES","1999-11-04","2004-11-04","Per=Y","Days=T","Dir=V")</f>
        <v>0</v>
      </c>
      <c r="W2">
        <f>BDH("TWRAQ US Equity","WORKING_CAPITAL","1999-11-04","2004-11-04","Per=Y","Days=T","Dir=V")</f>
        <v>0</v>
      </c>
      <c r="Y2">
        <f>BDH("TWRAQ US Equity","SALES_REV_TURN","1999-11-04","2004-11-04","Per=Y","Days=T","Dir=V")</f>
        <v>0</v>
      </c>
      <c r="AA2">
        <f>BDH("TWRAQ US Equity","EBIT","1999-11-04","2004-11-04","Per=Y","Days=T","Dir=V")</f>
        <v>0</v>
      </c>
      <c r="AC2">
        <f>BDH("TWRAQ US Equity","EBITDA","1999-11-04","2004-11-04","Per=Y","Days=T","Dir=V")</f>
        <v>0</v>
      </c>
      <c r="AE2">
        <f>BDH("TWRAQ US Equity","NET_INCOME","1999-11-04","2004-11-04","Per=Y","Days=T","Dir=V")</f>
        <v>0</v>
      </c>
      <c r="AG2">
        <f>BDH("TWRAQ US Equity","IS_INT_EXPENSE","1999-11-04","2004-11-04","Per=Y","Days=T","Dir=V")</f>
        <v>0</v>
      </c>
      <c r="AI2">
        <f>BDH("TWRAQ US Equity","IS_DEPR_EXP","1999-11-04","2004-11-04","Per=Y","Days=T","Dir=V")</f>
        <v>0</v>
      </c>
      <c r="AK2">
        <f>BDH("TWRAQ US Equity","CF_CASH_FROM_OPER","1999-11-04","2004-11-04","Per=Y","Days=T","Dir=V")</f>
        <v>0</v>
      </c>
      <c r="AM2">
        <f>BDH("TWRAQ US Equity","CAPITAL_EXPEND","1999-11-04","2004-11-04","Per=Y","Days=T","Dir=V")</f>
        <v>0</v>
      </c>
      <c r="AO2">
        <f>BDH("TWRAQ US Equity","CF_FREE_CASH_FLOW","1999-11-04","2004-11-04","Per=Y","Days=T","Dir=V")</f>
        <v>0</v>
      </c>
      <c r="AQ2">
        <f>BDH("TWRAQ US Equity","PX_LAST","1999-11-04","2004-11-04","Per=M","Days=T","Dir=V")</f>
        <v>0</v>
      </c>
      <c r="AS2">
        <f>BDH("TWRAQ US Equity","CUR_MKT_CAP","1999-11-04","2004-11-04","Per=M","Days=T","Dir=V")</f>
        <v>0</v>
      </c>
      <c r="AU2">
        <f>BDH("TWRAQ US Equity","EQY_SH_OUT","1999-11-04","2004-11-04","Per=M","Days=T","Dir=V")</f>
        <v>0</v>
      </c>
      <c r="AW2">
        <f>BDH("TWRAQ US Equity","BETA_RAW_OVERRIABLE","1999-11-04","2004-11-04","Per=M","Days=T","Dir=V")</f>
        <v>0</v>
      </c>
      <c r="AY2">
        <f>BDH("TWRAQ US Equity","PX_VOLUME","1999-11-04","2004-11-04","Per=M","Days=T","Dir=V")</f>
        <v>0</v>
      </c>
      <c r="BA2">
        <f>BDH("TWRAQ US Equity","TURNOVER","1999-11-04","2004-11-04","Per=M","Days=T","Dir=V")</f>
        <v>0</v>
      </c>
      <c r="BC2">
        <f>BDH("TWRAQ US Equity","SPREAD_BA_CR","1999-11-04","2004-11-04","Per=M","Days=T","Dir=V")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BDH("1986047D US Equity","BS_TOT_ASSET","1999-11-23","2004-11-23","Per=Y","Days=T","Dir=V")</f>
        <v>0</v>
      </c>
      <c r="C2">
        <f>BDH("1986047D US Equity","BS_TOT_LIAB2","1999-11-23","2004-11-23","Per=Y","Days=T","Dir=V")</f>
        <v>0</v>
      </c>
      <c r="E2">
        <f>BDH("1986047D US Equity","SHORT_AND_LONG_TERM_DEBT","1999-11-23","2004-11-23","Per=Y","Days=T","Dir=V")</f>
        <v>0</v>
      </c>
      <c r="G2">
        <f>BDH("1986047D US Equity","BS_ST_BORROW","1999-11-23","2004-11-23","Per=Y","Days=T","Dir=V")</f>
        <v>0</v>
      </c>
      <c r="I2">
        <f>BDH("1986047D US Equity","BS_LT_BORROW","1999-11-23","2004-11-23","Per=Y","Days=T","Dir=V")</f>
        <v>0</v>
      </c>
      <c r="K2">
        <f>BDH("1986047D US Equity","BS_CASH_NEAR_CASH_ITEM","1999-11-23","2004-11-23","Per=Y","Days=T","Dir=V")</f>
        <v>0</v>
      </c>
      <c r="M2">
        <f>BDH("1986047D US Equity","BS_CUR_ASSET_REPORT","1999-11-23","2004-11-23","Per=Y","Days=T","Dir=V")</f>
        <v>0</v>
      </c>
      <c r="O2">
        <f>BDH("1986047D US Equity","BS_CUR_LIAB","1999-11-23","2004-11-23","Per=Y","Days=T","Dir=V")</f>
        <v>0</v>
      </c>
      <c r="Q2">
        <f>BDH("1986047D US Equity","BS_SHAREHOLDER_EQY_ENDING_PERIOD","1999-11-23","2004-11-23","Per=Y","Days=T","Dir=V")</f>
        <v>0</v>
      </c>
      <c r="S2">
        <f>BDH("1986047D US Equity","BS_ACCT_NOTE_RCV","1999-11-23","2004-11-23","Per=Y","Days=T","Dir=V")</f>
        <v>0</v>
      </c>
      <c r="U2">
        <f>BDH("1986047D US Equity","BS_INVENTORIES","1999-11-23","2004-11-23","Per=Y","Days=T","Dir=V")</f>
        <v>0</v>
      </c>
      <c r="W2">
        <f>BDH("1986047D US Equity","WORKING_CAPITAL","1999-11-23","2004-11-23","Per=Y","Days=T","Dir=V")</f>
        <v>0</v>
      </c>
      <c r="Y2">
        <f>BDH("1986047D US Equity","SALES_REV_TURN","1999-11-23","2004-11-23","Per=Y","Days=T","Dir=V")</f>
        <v>0</v>
      </c>
      <c r="AA2">
        <f>BDH("1986047D US Equity","EBIT","1999-11-23","2004-11-23","Per=Y","Days=T","Dir=V")</f>
        <v>0</v>
      </c>
      <c r="AC2">
        <f>BDH("1986047D US Equity","EBITDA","1999-11-23","2004-11-23","Per=Y","Days=T","Dir=V")</f>
        <v>0</v>
      </c>
      <c r="AE2">
        <f>BDH("1986047D US Equity","NET_INCOME","1999-11-23","2004-11-23","Per=Y","Days=T","Dir=V")</f>
        <v>0</v>
      </c>
      <c r="AG2">
        <f>BDH("1986047D US Equity","IS_INT_EXPENSE","1999-11-23","2004-11-23","Per=Y","Days=T","Dir=V")</f>
        <v>0</v>
      </c>
      <c r="AI2">
        <f>BDH("1986047D US Equity","IS_DEPR_EXP","1999-11-23","2004-11-23","Per=Y","Days=T","Dir=V")</f>
        <v>0</v>
      </c>
      <c r="AK2">
        <f>BDH("1986047D US Equity","CF_CASH_FROM_OPER","1999-11-23","2004-11-23","Per=Y","Days=T","Dir=V")</f>
        <v>0</v>
      </c>
      <c r="AM2">
        <f>BDH("1986047D US Equity","CAPITAL_EXPEND","1999-11-23","2004-11-23","Per=Y","Days=T","Dir=V")</f>
        <v>0</v>
      </c>
      <c r="AO2">
        <f>BDH("1986047D US Equity","CF_FREE_CASH_FLOW","1999-11-23","2004-11-23","Per=Y","Days=T","Dir=V")</f>
        <v>0</v>
      </c>
      <c r="AQ2">
        <f>BDH("1986047D US Equity","PX_LAST","1999-11-23","2004-11-23","Per=M","Days=T","Dir=V")</f>
        <v>0</v>
      </c>
      <c r="AS2">
        <f>BDH("1986047D US Equity","CUR_MKT_CAP","1999-11-23","2004-11-23","Per=M","Days=T","Dir=V")</f>
        <v>0</v>
      </c>
      <c r="AU2">
        <f>BDH("1986047D US Equity","EQY_SH_OUT","1999-11-23","2004-11-23","Per=M","Days=T","Dir=V")</f>
        <v>0</v>
      </c>
      <c r="AW2">
        <f>BDH("1986047D US Equity","BETA_RAW_OVERRIABLE","1999-11-23","2004-11-23","Per=M","Days=T","Dir=V")</f>
        <v>0</v>
      </c>
      <c r="AY2">
        <f>BDH("1986047D US Equity","PX_VOLUME","1999-11-23","2004-11-23","Per=M","Days=T","Dir=V")</f>
        <v>0</v>
      </c>
      <c r="BA2">
        <f>BDH("1986047D US Equity","TURNOVER","1999-11-23","2004-11-23","Per=M","Days=T","Dir=V")</f>
        <v>0</v>
      </c>
      <c r="BC2">
        <f>BDH("1986047D US Equity","SPREAD_BA_CR","1999-11-23","2004-11-23","Per=M","Days=T","Dir=V")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BDH("WHXCQ US Equity","BS_TOT_ASSET","1999-12-07","2004-12-07","Per=Y","Days=T","Dir=V")</f>
        <v>0</v>
      </c>
      <c r="C2">
        <f>BDH("WHXCQ US Equity","BS_TOT_LIAB2","1999-12-07","2004-12-07","Per=Y","Days=T","Dir=V")</f>
        <v>0</v>
      </c>
      <c r="E2">
        <f>BDH("WHXCQ US Equity","SHORT_AND_LONG_TERM_DEBT","1999-12-07","2004-12-07","Per=Y","Days=T","Dir=V")</f>
        <v>0</v>
      </c>
      <c r="G2">
        <f>BDH("WHXCQ US Equity","BS_ST_BORROW","1999-12-07","2004-12-07","Per=Y","Days=T","Dir=V")</f>
        <v>0</v>
      </c>
      <c r="I2">
        <f>BDH("WHXCQ US Equity","BS_LT_BORROW","1999-12-07","2004-12-07","Per=Y","Days=T","Dir=V")</f>
        <v>0</v>
      </c>
      <c r="K2">
        <f>BDH("WHXCQ US Equity","BS_CASH_NEAR_CASH_ITEM","1999-12-07","2004-12-07","Per=Y","Days=T","Dir=V")</f>
        <v>0</v>
      </c>
      <c r="M2">
        <f>BDH("WHXCQ US Equity","BS_CUR_ASSET_REPORT","1999-12-07","2004-12-07","Per=Y","Days=T","Dir=V")</f>
        <v>0</v>
      </c>
      <c r="O2">
        <f>BDH("WHXCQ US Equity","BS_CUR_LIAB","1999-12-07","2004-12-07","Per=Y","Days=T","Dir=V")</f>
        <v>0</v>
      </c>
      <c r="Q2">
        <f>BDH("WHXCQ US Equity","BS_SHAREHOLDER_EQY_ENDING_PERIOD","1999-12-07","2004-12-07","Per=Y","Days=T","Dir=V")</f>
        <v>0</v>
      </c>
      <c r="S2">
        <f>BDH("WHXCQ US Equity","BS_ACCT_NOTE_RCV","1999-12-07","2004-12-07","Per=Y","Days=T","Dir=V")</f>
        <v>0</v>
      </c>
      <c r="U2">
        <f>BDH("WHXCQ US Equity","BS_INVENTORIES","1999-12-07","2004-12-07","Per=Y","Days=T","Dir=V")</f>
        <v>0</v>
      </c>
      <c r="W2">
        <f>BDH("WHXCQ US Equity","WORKING_CAPITAL","1999-12-07","2004-12-07","Per=Y","Days=T","Dir=V")</f>
        <v>0</v>
      </c>
      <c r="Y2">
        <f>BDH("WHXCQ US Equity","SALES_REV_TURN","1999-12-07","2004-12-07","Per=Y","Days=T","Dir=V")</f>
        <v>0</v>
      </c>
      <c r="AA2">
        <f>BDH("WHXCQ US Equity","EBIT","1999-12-07","2004-12-07","Per=Y","Days=T","Dir=V")</f>
        <v>0</v>
      </c>
      <c r="AC2">
        <f>BDH("WHXCQ US Equity","EBITDA","1999-12-07","2004-12-07","Per=Y","Days=T","Dir=V")</f>
        <v>0</v>
      </c>
      <c r="AE2">
        <f>BDH("WHXCQ US Equity","NET_INCOME","1999-12-07","2004-12-07","Per=Y","Days=T","Dir=V")</f>
        <v>0</v>
      </c>
      <c r="AG2">
        <f>BDH("WHXCQ US Equity","IS_INT_EXPENSE","1999-12-07","2004-12-07","Per=Y","Days=T","Dir=V")</f>
        <v>0</v>
      </c>
      <c r="AI2">
        <f>BDH("WHXCQ US Equity","IS_DEPR_EXP","1999-12-07","2004-12-07","Per=Y","Days=T","Dir=V")</f>
        <v>0</v>
      </c>
      <c r="AK2">
        <f>BDH("WHXCQ US Equity","CF_CASH_FROM_OPER","1999-12-07","2004-12-07","Per=Y","Days=T","Dir=V")</f>
        <v>0</v>
      </c>
      <c r="AM2">
        <f>BDH("WHXCQ US Equity","CAPITAL_EXPEND","1999-12-07","2004-12-07","Per=Y","Days=T","Dir=V")</f>
        <v>0</v>
      </c>
      <c r="AO2">
        <f>BDH("WHXCQ US Equity","CF_FREE_CASH_FLOW","1999-12-07","2004-12-07","Per=Y","Days=T","Dir=V")</f>
        <v>0</v>
      </c>
      <c r="AQ2">
        <f>BDH("WHXCQ US Equity","PX_LAST","1999-12-07","2004-12-07","Per=M","Days=T","Dir=V")</f>
        <v>0</v>
      </c>
      <c r="AS2">
        <f>BDH("WHXCQ US Equity","CUR_MKT_CAP","1999-12-07","2004-12-07","Per=M","Days=T","Dir=V")</f>
        <v>0</v>
      </c>
      <c r="AU2">
        <f>BDH("WHXCQ US Equity","EQY_SH_OUT","1999-12-07","2004-12-07","Per=M","Days=T","Dir=V")</f>
        <v>0</v>
      </c>
      <c r="AW2">
        <f>BDH("WHXCQ US Equity","BETA_RAW_OVERRIABLE","1999-12-07","2004-12-07","Per=M","Days=T","Dir=V")</f>
        <v>0</v>
      </c>
      <c r="AY2">
        <f>BDH("WHXCQ US Equity","PX_VOLUME","1999-12-07","2004-12-07","Per=M","Days=T","Dir=V")</f>
        <v>0</v>
      </c>
      <c r="BA2">
        <f>BDH("WHXCQ US Equity","TURNOVER","1999-12-07","2004-12-07","Per=M","Days=T","Dir=V")</f>
        <v>0</v>
      </c>
      <c r="BC2">
        <f>BDH("WHXCQ US Equity","SPREAD_BA_CR","1999-12-07","2004-12-07","Per=M","Days=T","Dir=V")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BDH("CKCRQ US Equity","BS_TOT_ASSET","2000-02-16","2005-02-16","Per=Y","Days=T","Dir=V")</f>
        <v>0</v>
      </c>
      <c r="C2">
        <f>BDH("CKCRQ US Equity","BS_TOT_LIAB2","2000-02-16","2005-02-16","Per=Y","Days=T","Dir=V")</f>
        <v>0</v>
      </c>
      <c r="E2">
        <f>BDH("CKCRQ US Equity","SHORT_AND_LONG_TERM_DEBT","2000-02-16","2005-02-16","Per=Y","Days=T","Dir=V")</f>
        <v>0</v>
      </c>
      <c r="G2">
        <f>BDH("CKCRQ US Equity","BS_ST_BORROW","2000-02-16","2005-02-16","Per=Y","Days=T","Dir=V")</f>
        <v>0</v>
      </c>
      <c r="I2">
        <f>BDH("CKCRQ US Equity","BS_LT_BORROW","2000-02-16","2005-02-16","Per=Y","Days=T","Dir=V")</f>
        <v>0</v>
      </c>
      <c r="K2">
        <f>BDH("CKCRQ US Equity","BS_CASH_NEAR_CASH_ITEM","2000-02-16","2005-02-16","Per=Y","Days=T","Dir=V")</f>
        <v>0</v>
      </c>
      <c r="M2">
        <f>BDH("CKCRQ US Equity","BS_CUR_ASSET_REPORT","2000-02-16","2005-02-16","Per=Y","Days=T","Dir=V")</f>
        <v>0</v>
      </c>
      <c r="O2">
        <f>BDH("CKCRQ US Equity","BS_CUR_LIAB","2000-02-16","2005-02-16","Per=Y","Days=T","Dir=V")</f>
        <v>0</v>
      </c>
      <c r="Q2">
        <f>BDH("CKCRQ US Equity","BS_SHAREHOLDER_EQY_ENDING_PERIOD","2000-02-16","2005-02-16","Per=Y","Days=T","Dir=V")</f>
        <v>0</v>
      </c>
      <c r="S2">
        <f>BDH("CKCRQ US Equity","BS_ACCT_NOTE_RCV","2000-02-16","2005-02-16","Per=Y","Days=T","Dir=V")</f>
        <v>0</v>
      </c>
      <c r="U2">
        <f>BDH("CKCRQ US Equity","BS_INVENTORIES","2000-02-16","2005-02-16","Per=Y","Days=T","Dir=V")</f>
        <v>0</v>
      </c>
      <c r="W2">
        <f>BDH("CKCRQ US Equity","WORKING_CAPITAL","2000-02-16","2005-02-16","Per=Y","Days=T","Dir=V")</f>
        <v>0</v>
      </c>
      <c r="Y2">
        <f>BDH("CKCRQ US Equity","SALES_REV_TURN","2000-02-16","2005-02-16","Per=Y","Days=T","Dir=V")</f>
        <v>0</v>
      </c>
      <c r="AA2">
        <f>BDH("CKCRQ US Equity","EBIT","2000-02-16","2005-02-16","Per=Y","Days=T","Dir=V")</f>
        <v>0</v>
      </c>
      <c r="AC2">
        <f>BDH("CKCRQ US Equity","EBITDA","2000-02-16","2005-02-16","Per=Y","Days=T","Dir=V")</f>
        <v>0</v>
      </c>
      <c r="AE2">
        <f>BDH("CKCRQ US Equity","NET_INCOME","2000-02-16","2005-02-16","Per=Y","Days=T","Dir=V")</f>
        <v>0</v>
      </c>
      <c r="AG2">
        <f>BDH("CKCRQ US Equity","IS_INT_EXPENSE","2000-02-16","2005-02-16","Per=Y","Days=T","Dir=V")</f>
        <v>0</v>
      </c>
      <c r="AI2">
        <f>BDH("CKCRQ US Equity","IS_DEPR_EXP","2000-02-16","2005-02-16","Per=Y","Days=T","Dir=V")</f>
        <v>0</v>
      </c>
      <c r="AK2">
        <f>BDH("CKCRQ US Equity","CF_CASH_FROM_OPER","2000-02-16","2005-02-16","Per=Y","Days=T","Dir=V")</f>
        <v>0</v>
      </c>
      <c r="AM2">
        <f>BDH("CKCRQ US Equity","CAPITAL_EXPEND","2000-02-16","2005-02-16","Per=Y","Days=T","Dir=V")</f>
        <v>0</v>
      </c>
      <c r="AO2">
        <f>BDH("CKCRQ US Equity","CF_FREE_CASH_FLOW","2000-02-16","2005-02-16","Per=Y","Days=T","Dir=V")</f>
        <v>0</v>
      </c>
      <c r="AQ2">
        <f>BDH("CKCRQ US Equity","PX_LAST","2000-02-16","2005-02-16","Per=M","Days=T","Dir=V")</f>
        <v>0</v>
      </c>
      <c r="AS2">
        <f>BDH("CKCRQ US Equity","CUR_MKT_CAP","2000-02-16","2005-02-16","Per=M","Days=T","Dir=V")</f>
        <v>0</v>
      </c>
      <c r="AU2">
        <f>BDH("CKCRQ US Equity","EQY_SH_OUT","2000-02-16","2005-02-16","Per=M","Days=T","Dir=V")</f>
        <v>0</v>
      </c>
      <c r="AW2">
        <f>BDH("CKCRQ US Equity","BETA_RAW_OVERRIABLE","2000-02-16","2005-02-16","Per=M","Days=T","Dir=V")</f>
        <v>0</v>
      </c>
      <c r="AY2">
        <f>BDH("CKCRQ US Equity","PX_VOLUME","2000-02-16","2005-02-16","Per=M","Days=T","Dir=V")</f>
        <v>0</v>
      </c>
      <c r="BA2">
        <f>BDH("CKCRQ US Equity","TURNOVER","2000-02-16","2005-02-16","Per=M","Days=T","Dir=V")</f>
        <v>0</v>
      </c>
      <c r="BC2">
        <f>BDH("CKCRQ US Equity","SPREAD_BA_CR","2000-02-16","2005-02-16","Per=M","Days=T","Dir=V")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BDH("AHIZQ US Equity","BS_TOT_ASSET","2000-05-02","2005-05-02","Per=Y","Days=T","Dir=V")</f>
        <v>0</v>
      </c>
      <c r="C2">
        <f>BDH("AHIZQ US Equity","BS_TOT_LIAB2","2000-05-02","2005-05-02","Per=Y","Days=T","Dir=V")</f>
        <v>0</v>
      </c>
      <c r="E2">
        <f>BDH("AHIZQ US Equity","SHORT_AND_LONG_TERM_DEBT","2000-05-02","2005-05-02","Per=Y","Days=T","Dir=V")</f>
        <v>0</v>
      </c>
      <c r="G2">
        <f>BDH("AHIZQ US Equity","BS_ST_BORROW","2000-05-02","2005-05-02","Per=Y","Days=T","Dir=V")</f>
        <v>0</v>
      </c>
      <c r="I2">
        <f>BDH("AHIZQ US Equity","BS_LT_BORROW","2000-05-02","2005-05-02","Per=Y","Days=T","Dir=V")</f>
        <v>0</v>
      </c>
      <c r="K2">
        <f>BDH("AHIZQ US Equity","BS_CASH_NEAR_CASH_ITEM","2000-05-02","2005-05-02","Per=Y","Days=T","Dir=V")</f>
        <v>0</v>
      </c>
      <c r="M2">
        <f>BDH("AHIZQ US Equity","BS_CUR_ASSET_REPORT","2000-05-02","2005-05-02","Per=Y","Days=T","Dir=V")</f>
        <v>0</v>
      </c>
      <c r="O2">
        <f>BDH("AHIZQ US Equity","BS_CUR_LIAB","2000-05-02","2005-05-02","Per=Y","Days=T","Dir=V")</f>
        <v>0</v>
      </c>
      <c r="Q2">
        <f>BDH("AHIZQ US Equity","BS_SHAREHOLDER_EQY_ENDING_PERIOD","2000-05-02","2005-05-02","Per=Y","Days=T","Dir=V")</f>
        <v>0</v>
      </c>
      <c r="S2">
        <f>BDH("AHIZQ US Equity","BS_ACCT_NOTE_RCV","2000-05-02","2005-05-02","Per=Y","Days=T","Dir=V")</f>
        <v>0</v>
      </c>
      <c r="U2">
        <f>BDH("AHIZQ US Equity","BS_INVENTORIES","2000-05-02","2005-05-02","Per=Y","Days=T","Dir=V")</f>
        <v>0</v>
      </c>
      <c r="W2">
        <f>BDH("AHIZQ US Equity","WORKING_CAPITAL","2000-05-02","2005-05-02","Per=Y","Days=T","Dir=V")</f>
        <v>0</v>
      </c>
      <c r="Y2">
        <f>BDH("AHIZQ US Equity","SALES_REV_TURN","2000-05-02","2005-05-02","Per=Y","Days=T","Dir=V")</f>
        <v>0</v>
      </c>
      <c r="AA2">
        <f>BDH("AHIZQ US Equity","EBIT","2000-05-02","2005-05-02","Per=Y","Days=T","Dir=V")</f>
        <v>0</v>
      </c>
      <c r="AC2">
        <f>BDH("AHIZQ US Equity","EBITDA","2000-05-02","2005-05-02","Per=Y","Days=T","Dir=V")</f>
        <v>0</v>
      </c>
      <c r="AE2">
        <f>BDH("AHIZQ US Equity","NET_INCOME","2000-05-02","2005-05-02","Per=Y","Days=T","Dir=V")</f>
        <v>0</v>
      </c>
      <c r="AG2">
        <f>BDH("AHIZQ US Equity","IS_INT_EXPENSE","2000-05-02","2005-05-02","Per=Y","Days=T","Dir=V")</f>
        <v>0</v>
      </c>
      <c r="AI2">
        <f>BDH("AHIZQ US Equity","IS_DEPR_EXP","2000-05-02","2005-05-02","Per=Y","Days=T","Dir=V")</f>
        <v>0</v>
      </c>
      <c r="AK2">
        <f>BDH("AHIZQ US Equity","CF_CASH_FROM_OPER","2000-05-02","2005-05-02","Per=Y","Days=T","Dir=V")</f>
        <v>0</v>
      </c>
      <c r="AM2">
        <f>BDH("AHIZQ US Equity","CAPITAL_EXPEND","2000-05-02","2005-05-02","Per=Y","Days=T","Dir=V")</f>
        <v>0</v>
      </c>
      <c r="AO2">
        <f>BDH("AHIZQ US Equity","CF_FREE_CASH_FLOW","2000-05-02","2005-05-02","Per=Y","Days=T","Dir=V")</f>
        <v>0</v>
      </c>
      <c r="AQ2">
        <f>BDH("AHIZQ US Equity","PX_LAST","2000-05-02","2005-05-02","Per=M","Days=T","Dir=V")</f>
        <v>0</v>
      </c>
      <c r="AS2">
        <f>BDH("AHIZQ US Equity","CUR_MKT_CAP","2000-05-02","2005-05-02","Per=M","Days=T","Dir=V")</f>
        <v>0</v>
      </c>
      <c r="AU2">
        <f>BDH("AHIZQ US Equity","EQY_SH_OUT","2000-05-02","2005-05-02","Per=M","Days=T","Dir=V")</f>
        <v>0</v>
      </c>
      <c r="AW2">
        <f>BDH("AHIZQ US Equity","BETA_RAW_OVERRIABLE","2000-05-02","2005-05-02","Per=M","Days=T","Dir=V")</f>
        <v>0</v>
      </c>
      <c r="AY2">
        <f>BDH("AHIZQ US Equity","PX_VOLUME","2000-05-02","2005-05-02","Per=M","Days=T","Dir=V")</f>
        <v>0</v>
      </c>
      <c r="BA2">
        <f>BDH("AHIZQ US Equity","TURNOVER","2000-05-02","2005-05-02","Per=M","Days=T","Dir=V")</f>
        <v>0</v>
      </c>
      <c r="BC2">
        <f>BDH("AHIZQ US Equity","SPREAD_BA_CR","2000-05-02","2005-05-02","Per=M","Days=T","Dir=V")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BDH("DALRQ US Equity","BS_TOT_ASSET","2000-06-16","2005-06-16","Per=Y","Days=T","Dir=V")</f>
        <v>0</v>
      </c>
      <c r="C2">
        <f>BDH("DALRQ US Equity","BS_TOT_LIAB2","2000-06-16","2005-06-16","Per=Y","Days=T","Dir=V")</f>
        <v>0</v>
      </c>
      <c r="E2">
        <f>BDH("DALRQ US Equity","SHORT_AND_LONG_TERM_DEBT","2000-06-16","2005-06-16","Per=Y","Days=T","Dir=V")</f>
        <v>0</v>
      </c>
      <c r="G2">
        <f>BDH("DALRQ US Equity","BS_ST_BORROW","2000-06-16","2005-06-16","Per=Y","Days=T","Dir=V")</f>
        <v>0</v>
      </c>
      <c r="I2">
        <f>BDH("DALRQ US Equity","BS_LT_BORROW","2000-06-16","2005-06-16","Per=Y","Days=T","Dir=V")</f>
        <v>0</v>
      </c>
      <c r="K2">
        <f>BDH("DALRQ US Equity","BS_CASH_NEAR_CASH_ITEM","2000-06-16","2005-06-16","Per=Y","Days=T","Dir=V")</f>
        <v>0</v>
      </c>
      <c r="M2">
        <f>BDH("DALRQ US Equity","BS_CUR_ASSET_REPORT","2000-06-16","2005-06-16","Per=Y","Days=T","Dir=V")</f>
        <v>0</v>
      </c>
      <c r="O2">
        <f>BDH("DALRQ US Equity","BS_CUR_LIAB","2000-06-16","2005-06-16","Per=Y","Days=T","Dir=V")</f>
        <v>0</v>
      </c>
      <c r="Q2">
        <f>BDH("DALRQ US Equity","BS_SHAREHOLDER_EQY_ENDING_PERIOD","2000-06-16","2005-06-16","Per=Y","Days=T","Dir=V")</f>
        <v>0</v>
      </c>
      <c r="S2">
        <f>BDH("DALRQ US Equity","BS_ACCT_NOTE_RCV","2000-06-16","2005-06-16","Per=Y","Days=T","Dir=V")</f>
        <v>0</v>
      </c>
      <c r="U2">
        <f>BDH("DALRQ US Equity","BS_INVENTORIES","2000-06-16","2005-06-16","Per=Y","Days=T","Dir=V")</f>
        <v>0</v>
      </c>
      <c r="W2">
        <f>BDH("DALRQ US Equity","WORKING_CAPITAL","2000-06-16","2005-06-16","Per=Y","Days=T","Dir=V")</f>
        <v>0</v>
      </c>
      <c r="Y2">
        <f>BDH("DALRQ US Equity","SALES_REV_TURN","2000-06-16","2005-06-16","Per=Y","Days=T","Dir=V")</f>
        <v>0</v>
      </c>
      <c r="AA2">
        <f>BDH("DALRQ US Equity","EBIT","2000-06-16","2005-06-16","Per=Y","Days=T","Dir=V")</f>
        <v>0</v>
      </c>
      <c r="AC2">
        <f>BDH("DALRQ US Equity","EBITDA","2000-06-16","2005-06-16","Per=Y","Days=T","Dir=V")</f>
        <v>0</v>
      </c>
      <c r="AE2">
        <f>BDH("DALRQ US Equity","NET_INCOME","2000-06-16","2005-06-16","Per=Y","Days=T","Dir=V")</f>
        <v>0</v>
      </c>
      <c r="AG2">
        <f>BDH("DALRQ US Equity","IS_INT_EXPENSE","2000-06-16","2005-06-16","Per=Y","Days=T","Dir=V")</f>
        <v>0</v>
      </c>
      <c r="AI2">
        <f>BDH("DALRQ US Equity","IS_DEPR_EXP","2000-06-16","2005-06-16","Per=Y","Days=T","Dir=V")</f>
        <v>0</v>
      </c>
      <c r="AK2">
        <f>BDH("DALRQ US Equity","CF_CASH_FROM_OPER","2000-06-16","2005-06-16","Per=Y","Days=T","Dir=V")</f>
        <v>0</v>
      </c>
      <c r="AM2">
        <f>BDH("DALRQ US Equity","CAPITAL_EXPEND","2000-06-16","2005-06-16","Per=Y","Days=T","Dir=V")</f>
        <v>0</v>
      </c>
      <c r="AO2">
        <f>BDH("DALRQ US Equity","CF_FREE_CASH_FLOW","2000-06-16","2005-06-16","Per=Y","Days=T","Dir=V")</f>
        <v>0</v>
      </c>
      <c r="AQ2">
        <f>BDH("DALRQ US Equity","PX_LAST","2000-06-16","2005-06-16","Per=M","Days=T","Dir=V")</f>
        <v>0</v>
      </c>
      <c r="AS2">
        <f>BDH("DALRQ US Equity","CUR_MKT_CAP","2000-06-16","2005-06-16","Per=M","Days=T","Dir=V")</f>
        <v>0</v>
      </c>
      <c r="AU2">
        <f>BDH("DALRQ US Equity","EQY_SH_OUT","2000-06-16","2005-06-16","Per=M","Days=T","Dir=V")</f>
        <v>0</v>
      </c>
      <c r="AW2">
        <f>BDH("DALRQ US Equity","BETA_RAW_OVERRIABLE","2000-06-16","2005-06-16","Per=M","Days=T","Dir=V")</f>
        <v>0</v>
      </c>
      <c r="AY2">
        <f>BDH("DALRQ US Equity","PX_VOLUME","2000-06-16","2005-06-16","Per=M","Days=T","Dir=V")</f>
        <v>0</v>
      </c>
      <c r="BA2">
        <f>BDH("DALRQ US Equity","TURNOVER","2000-06-16","2005-06-16","Per=M","Days=T","Dir=V")</f>
        <v>0</v>
      </c>
      <c r="BC2">
        <f>BDH("DALRQ US Equity","SPREAD_BA_CR","2000-06-16","2005-06-16","Per=M","Days=T","Dir=V")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BDH("NWACQ US Equity","BS_TOT_ASSET","2000-06-16","2005-06-16","Per=Y","Days=T","Dir=V")</f>
        <v>0</v>
      </c>
      <c r="C2">
        <f>BDH("NWACQ US Equity","BS_TOT_LIAB2","2000-06-16","2005-06-16","Per=Y","Days=T","Dir=V")</f>
        <v>0</v>
      </c>
      <c r="E2">
        <f>BDH("NWACQ US Equity","SHORT_AND_LONG_TERM_DEBT","2000-06-16","2005-06-16","Per=Y","Days=T","Dir=V")</f>
        <v>0</v>
      </c>
      <c r="G2">
        <f>BDH("NWACQ US Equity","BS_ST_BORROW","2000-06-16","2005-06-16","Per=Y","Days=T","Dir=V")</f>
        <v>0</v>
      </c>
      <c r="I2">
        <f>BDH("NWACQ US Equity","BS_LT_BORROW","2000-06-16","2005-06-16","Per=Y","Days=T","Dir=V")</f>
        <v>0</v>
      </c>
      <c r="K2">
        <f>BDH("NWACQ US Equity","BS_CASH_NEAR_CASH_ITEM","2000-06-16","2005-06-16","Per=Y","Days=T","Dir=V")</f>
        <v>0</v>
      </c>
      <c r="M2">
        <f>BDH("NWACQ US Equity","BS_CUR_ASSET_REPORT","2000-06-16","2005-06-16","Per=Y","Days=T","Dir=V")</f>
        <v>0</v>
      </c>
      <c r="O2">
        <f>BDH("NWACQ US Equity","BS_CUR_LIAB","2000-06-16","2005-06-16","Per=Y","Days=T","Dir=V")</f>
        <v>0</v>
      </c>
      <c r="Q2">
        <f>BDH("NWACQ US Equity","BS_SHAREHOLDER_EQY_ENDING_PERIOD","2000-06-16","2005-06-16","Per=Y","Days=T","Dir=V")</f>
        <v>0</v>
      </c>
      <c r="S2">
        <f>BDH("NWACQ US Equity","BS_ACCT_NOTE_RCV","2000-06-16","2005-06-16","Per=Y","Days=T","Dir=V")</f>
        <v>0</v>
      </c>
      <c r="U2">
        <f>BDH("NWACQ US Equity","BS_INVENTORIES","2000-06-16","2005-06-16","Per=Y","Days=T","Dir=V")</f>
        <v>0</v>
      </c>
      <c r="W2">
        <f>BDH("NWACQ US Equity","WORKING_CAPITAL","2000-06-16","2005-06-16","Per=Y","Days=T","Dir=V")</f>
        <v>0</v>
      </c>
      <c r="Y2">
        <f>BDH("NWACQ US Equity","SALES_REV_TURN","2000-06-16","2005-06-16","Per=Y","Days=T","Dir=V")</f>
        <v>0</v>
      </c>
      <c r="AA2">
        <f>BDH("NWACQ US Equity","EBIT","2000-06-16","2005-06-16","Per=Y","Days=T","Dir=V")</f>
        <v>0</v>
      </c>
      <c r="AC2">
        <f>BDH("NWACQ US Equity","EBITDA","2000-06-16","2005-06-16","Per=Y","Days=T","Dir=V")</f>
        <v>0</v>
      </c>
      <c r="AE2">
        <f>BDH("NWACQ US Equity","NET_INCOME","2000-06-16","2005-06-16","Per=Y","Days=T","Dir=V")</f>
        <v>0</v>
      </c>
      <c r="AG2">
        <f>BDH("NWACQ US Equity","IS_INT_EXPENSE","2000-06-16","2005-06-16","Per=Y","Days=T","Dir=V")</f>
        <v>0</v>
      </c>
      <c r="AI2">
        <f>BDH("NWACQ US Equity","IS_DEPR_EXP","2000-06-16","2005-06-16","Per=Y","Days=T","Dir=V")</f>
        <v>0</v>
      </c>
      <c r="AK2">
        <f>BDH("NWACQ US Equity","CF_CASH_FROM_OPER","2000-06-16","2005-06-16","Per=Y","Days=T","Dir=V")</f>
        <v>0</v>
      </c>
      <c r="AM2">
        <f>BDH("NWACQ US Equity","CAPITAL_EXPEND","2000-06-16","2005-06-16","Per=Y","Days=T","Dir=V")</f>
        <v>0</v>
      </c>
      <c r="AO2">
        <f>BDH("NWACQ US Equity","CF_FREE_CASH_FLOW","2000-06-16","2005-06-16","Per=Y","Days=T","Dir=V")</f>
        <v>0</v>
      </c>
      <c r="AQ2">
        <f>BDH("NWACQ US Equity","PX_LAST","2000-06-16","2005-06-16","Per=M","Days=T","Dir=V")</f>
        <v>0</v>
      </c>
      <c r="AS2">
        <f>BDH("NWACQ US Equity","CUR_MKT_CAP","2000-06-16","2005-06-16","Per=M","Days=T","Dir=V")</f>
        <v>0</v>
      </c>
      <c r="AU2">
        <f>BDH("NWACQ US Equity","EQY_SH_OUT","2000-06-16","2005-06-16","Per=M","Days=T","Dir=V")</f>
        <v>0</v>
      </c>
      <c r="AW2">
        <f>BDH("NWACQ US Equity","BETA_RAW_OVERRIABLE","2000-06-16","2005-06-16","Per=M","Days=T","Dir=V")</f>
        <v>0</v>
      </c>
      <c r="AY2">
        <f>BDH("NWACQ US Equity","PX_VOLUME","2000-06-16","2005-06-16","Per=M","Days=T","Dir=V")</f>
        <v>0</v>
      </c>
      <c r="BA2">
        <f>BDH("NWACQ US Equity","TURNOVER","2000-06-16","2005-06-16","Per=M","Days=T","Dir=V")</f>
        <v>0</v>
      </c>
      <c r="BC2">
        <f>BDH("NWACQ US Equity","SPREAD_BA_CR","2000-06-16","2005-06-16","Per=M","Days=T","Dir=V")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BDH("FLYIQ US Equity","BS_TOT_ASSET","2000-08-09","2005-08-09","Per=Y","Days=T","Dir=V")</f>
        <v>0</v>
      </c>
      <c r="C2">
        <f>BDH("FLYIQ US Equity","BS_TOT_LIAB2","2000-08-09","2005-08-09","Per=Y","Days=T","Dir=V")</f>
        <v>0</v>
      </c>
      <c r="E2">
        <f>BDH("FLYIQ US Equity","SHORT_AND_LONG_TERM_DEBT","2000-08-09","2005-08-09","Per=Y","Days=T","Dir=V")</f>
        <v>0</v>
      </c>
      <c r="G2">
        <f>BDH("FLYIQ US Equity","BS_ST_BORROW","2000-08-09","2005-08-09","Per=Y","Days=T","Dir=V")</f>
        <v>0</v>
      </c>
      <c r="I2">
        <f>BDH("FLYIQ US Equity","BS_LT_BORROW","2000-08-09","2005-08-09","Per=Y","Days=T","Dir=V")</f>
        <v>0</v>
      </c>
      <c r="K2">
        <f>BDH("FLYIQ US Equity","BS_CASH_NEAR_CASH_ITEM","2000-08-09","2005-08-09","Per=Y","Days=T","Dir=V")</f>
        <v>0</v>
      </c>
      <c r="M2">
        <f>BDH("FLYIQ US Equity","BS_CUR_ASSET_REPORT","2000-08-09","2005-08-09","Per=Y","Days=T","Dir=V")</f>
        <v>0</v>
      </c>
      <c r="O2">
        <f>BDH("FLYIQ US Equity","BS_CUR_LIAB","2000-08-09","2005-08-09","Per=Y","Days=T","Dir=V")</f>
        <v>0</v>
      </c>
      <c r="Q2">
        <f>BDH("FLYIQ US Equity","BS_SHAREHOLDER_EQY_ENDING_PERIOD","2000-08-09","2005-08-09","Per=Y","Days=T","Dir=V")</f>
        <v>0</v>
      </c>
      <c r="S2">
        <f>BDH("FLYIQ US Equity","BS_ACCT_NOTE_RCV","2000-08-09","2005-08-09","Per=Y","Days=T","Dir=V")</f>
        <v>0</v>
      </c>
      <c r="U2">
        <f>BDH("FLYIQ US Equity","BS_INVENTORIES","2000-08-09","2005-08-09","Per=Y","Days=T","Dir=V")</f>
        <v>0</v>
      </c>
      <c r="W2">
        <f>BDH("FLYIQ US Equity","WORKING_CAPITAL","2000-08-09","2005-08-09","Per=Y","Days=T","Dir=V")</f>
        <v>0</v>
      </c>
      <c r="Y2">
        <f>BDH("FLYIQ US Equity","SALES_REV_TURN","2000-08-09","2005-08-09","Per=Y","Days=T","Dir=V")</f>
        <v>0</v>
      </c>
      <c r="AA2">
        <f>BDH("FLYIQ US Equity","EBIT","2000-08-09","2005-08-09","Per=Y","Days=T","Dir=V")</f>
        <v>0</v>
      </c>
      <c r="AC2">
        <f>BDH("FLYIQ US Equity","EBITDA","2000-08-09","2005-08-09","Per=Y","Days=T","Dir=V")</f>
        <v>0</v>
      </c>
      <c r="AE2">
        <f>BDH("FLYIQ US Equity","NET_INCOME","2000-08-09","2005-08-09","Per=Y","Days=T","Dir=V")</f>
        <v>0</v>
      </c>
      <c r="AG2">
        <f>BDH("FLYIQ US Equity","IS_INT_EXPENSE","2000-08-09","2005-08-09","Per=Y","Days=T","Dir=V")</f>
        <v>0</v>
      </c>
      <c r="AI2">
        <f>BDH("FLYIQ US Equity","IS_DEPR_EXP","2000-08-09","2005-08-09","Per=Y","Days=T","Dir=V")</f>
        <v>0</v>
      </c>
      <c r="AK2">
        <f>BDH("FLYIQ US Equity","CF_CASH_FROM_OPER","2000-08-09","2005-08-09","Per=Y","Days=T","Dir=V")</f>
        <v>0</v>
      </c>
      <c r="AM2">
        <f>BDH("FLYIQ US Equity","CAPITAL_EXPEND","2000-08-09","2005-08-09","Per=Y","Days=T","Dir=V")</f>
        <v>0</v>
      </c>
      <c r="AO2">
        <f>BDH("FLYIQ US Equity","CF_FREE_CASH_FLOW","2000-08-09","2005-08-09","Per=Y","Days=T","Dir=V")</f>
        <v>0</v>
      </c>
      <c r="AQ2">
        <f>BDH("FLYIQ US Equity","PX_LAST","2000-08-09","2005-08-09","Per=M","Days=T","Dir=V")</f>
        <v>0</v>
      </c>
      <c r="AS2">
        <f>BDH("FLYIQ US Equity","CUR_MKT_CAP","2000-08-09","2005-08-09","Per=M","Days=T","Dir=V")</f>
        <v>0</v>
      </c>
      <c r="AU2">
        <f>BDH("FLYIQ US Equity","EQY_SH_OUT","2000-08-09","2005-08-09","Per=M","Days=T","Dir=V")</f>
        <v>0</v>
      </c>
      <c r="AW2">
        <f>BDH("FLYIQ US Equity","BETA_RAW_OVERRIABLE","2000-08-09","2005-08-09","Per=M","Days=T","Dir=V")</f>
        <v>0</v>
      </c>
      <c r="AY2">
        <f>BDH("FLYIQ US Equity","PX_VOLUME","2000-08-09","2005-08-09","Per=M","Days=T","Dir=V")</f>
        <v>0</v>
      </c>
      <c r="BA2">
        <f>BDH("FLYIQ US Equity","TURNOVER","2000-08-09","2005-08-09","Per=M","Days=T","Dir=V")</f>
        <v>0</v>
      </c>
      <c r="BC2">
        <f>BDH("FLYIQ US Equity","SPREAD_BA_CR","2000-08-09","2005-08-09","Per=M","Days=T","Dir=V")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BDH("GEGQQ US Equity","BS_TOT_ASSET","2001-06-30","2006-06-30","Per=Y","Days=T","Dir=V")</f>
        <v>0</v>
      </c>
      <c r="C2">
        <f>BDH("GEGQQ US Equity","BS_TOT_LIAB2","2001-06-30","2006-06-30","Per=Y","Days=T","Dir=V")</f>
        <v>0</v>
      </c>
      <c r="E2">
        <f>BDH("GEGQQ US Equity","SHORT_AND_LONG_TERM_DEBT","2001-06-30","2006-06-30","Per=Y","Days=T","Dir=V")</f>
        <v>0</v>
      </c>
      <c r="G2">
        <f>BDH("GEGQQ US Equity","BS_ST_BORROW","2001-06-30","2006-06-30","Per=Y","Days=T","Dir=V")</f>
        <v>0</v>
      </c>
      <c r="I2">
        <f>BDH("GEGQQ US Equity","BS_LT_BORROW","2001-06-30","2006-06-30","Per=Y","Days=T","Dir=V")</f>
        <v>0</v>
      </c>
      <c r="K2">
        <f>BDH("GEGQQ US Equity","BS_CASH_NEAR_CASH_ITEM","2001-06-30","2006-06-30","Per=Y","Days=T","Dir=V")</f>
        <v>0</v>
      </c>
      <c r="M2">
        <f>BDH("GEGQQ US Equity","BS_CUR_ASSET_REPORT","2001-06-30","2006-06-30","Per=Y","Days=T","Dir=V")</f>
        <v>0</v>
      </c>
      <c r="O2">
        <f>BDH("GEGQQ US Equity","BS_CUR_LIAB","2001-06-30","2006-06-30","Per=Y","Days=T","Dir=V")</f>
        <v>0</v>
      </c>
      <c r="Q2">
        <f>BDH("GEGQQ US Equity","BS_SHAREHOLDER_EQY_ENDING_PERIOD","2001-06-30","2006-06-30","Per=Y","Days=T","Dir=V")</f>
        <v>0</v>
      </c>
      <c r="S2">
        <f>BDH("GEGQQ US Equity","BS_ACCT_NOTE_RCV","2001-06-30","2006-06-30","Per=Y","Days=T","Dir=V")</f>
        <v>0</v>
      </c>
      <c r="U2">
        <f>BDH("GEGQQ US Equity","BS_INVENTORIES","2001-06-30","2006-06-30","Per=Y","Days=T","Dir=V")</f>
        <v>0</v>
      </c>
      <c r="W2">
        <f>BDH("GEGQQ US Equity","WORKING_CAPITAL","2001-06-30","2006-06-30","Per=Y","Days=T","Dir=V")</f>
        <v>0</v>
      </c>
      <c r="Y2">
        <f>BDH("GEGQQ US Equity","SALES_REV_TURN","2001-06-30","2006-06-30","Per=Y","Days=T","Dir=V")</f>
        <v>0</v>
      </c>
      <c r="AA2">
        <f>BDH("GEGQQ US Equity","EBIT","2001-06-30","2006-06-30","Per=Y","Days=T","Dir=V")</f>
        <v>0</v>
      </c>
      <c r="AC2">
        <f>BDH("GEGQQ US Equity","EBITDA","2001-06-30","2006-06-30","Per=Y","Days=T","Dir=V")</f>
        <v>0</v>
      </c>
      <c r="AE2">
        <f>BDH("GEGQQ US Equity","NET_INCOME","2001-06-30","2006-06-30","Per=Y","Days=T","Dir=V")</f>
        <v>0</v>
      </c>
      <c r="AG2">
        <f>BDH("GEGQQ US Equity","IS_INT_EXPENSE","2001-06-30","2006-06-30","Per=Y","Days=T","Dir=V")</f>
        <v>0</v>
      </c>
      <c r="AI2">
        <f>BDH("GEGQQ US Equity","IS_DEPR_EXP","2001-06-30","2006-06-30","Per=Y","Days=T","Dir=V")</f>
        <v>0</v>
      </c>
      <c r="AK2">
        <f>BDH("GEGQQ US Equity","CF_CASH_FROM_OPER","2001-06-30","2006-06-30","Per=Y","Days=T","Dir=V")</f>
        <v>0</v>
      </c>
      <c r="AM2">
        <f>BDH("GEGQQ US Equity","CAPITAL_EXPEND","2001-06-30","2006-06-30","Per=Y","Days=T","Dir=V")</f>
        <v>0</v>
      </c>
      <c r="AO2">
        <f>BDH("GEGQQ US Equity","CF_FREE_CASH_FLOW","2001-06-30","2006-06-30","Per=Y","Days=T","Dir=V")</f>
        <v>0</v>
      </c>
      <c r="AQ2">
        <f>BDH("GEGQQ US Equity","PX_LAST","2001-06-30","2006-06-30","Per=M","Days=T","Dir=V")</f>
        <v>0</v>
      </c>
      <c r="AS2">
        <f>BDH("GEGQQ US Equity","CUR_MKT_CAP","2001-06-30","2006-06-30","Per=M","Days=T","Dir=V")</f>
        <v>0</v>
      </c>
      <c r="AU2">
        <f>BDH("GEGQQ US Equity","EQY_SH_OUT","2001-06-30","2006-06-30","Per=M","Days=T","Dir=V")</f>
        <v>0</v>
      </c>
      <c r="AW2">
        <f>BDH("GEGQQ US Equity","BETA_RAW_OVERRIABLE","2001-06-30","2006-06-30","Per=M","Days=T","Dir=V")</f>
        <v>0</v>
      </c>
      <c r="AY2">
        <f>BDH("GEGQQ US Equity","PX_VOLUME","2001-06-30","2006-06-30","Per=M","Days=T","Dir=V")</f>
        <v>0</v>
      </c>
      <c r="BA2">
        <f>BDH("GEGQQ US Equity","TURNOVER","2001-06-30","2006-06-30","Per=M","Days=T","Dir=V")</f>
        <v>0</v>
      </c>
      <c r="BC2">
        <f>BDH("GEGQQ US Equity","SPREAD_BA_CR","2001-06-30","2006-06-30","Per=M","Days=T","Dir=V")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BDH("GBTVQ US Equity","BS_TOT_ASSET","2001-09-12","2006-09-12","Per=Y","Days=T","Dir=V")</f>
        <v>0</v>
      </c>
      <c r="C2">
        <f>BDH("GBTVQ US Equity","BS_TOT_LIAB2","2001-09-12","2006-09-12","Per=Y","Days=T","Dir=V")</f>
        <v>0</v>
      </c>
      <c r="E2">
        <f>BDH("GBTVQ US Equity","SHORT_AND_LONG_TERM_DEBT","2001-09-12","2006-09-12","Per=Y","Days=T","Dir=V")</f>
        <v>0</v>
      </c>
      <c r="G2">
        <f>BDH("GBTVQ US Equity","BS_ST_BORROW","2001-09-12","2006-09-12","Per=Y","Days=T","Dir=V")</f>
        <v>0</v>
      </c>
      <c r="I2">
        <f>BDH("GBTVQ US Equity","BS_LT_BORROW","2001-09-12","2006-09-12","Per=Y","Days=T","Dir=V")</f>
        <v>0</v>
      </c>
      <c r="K2">
        <f>BDH("GBTVQ US Equity","BS_CASH_NEAR_CASH_ITEM","2001-09-12","2006-09-12","Per=Y","Days=T","Dir=V")</f>
        <v>0</v>
      </c>
      <c r="M2">
        <f>BDH("GBTVQ US Equity","BS_CUR_ASSET_REPORT","2001-09-12","2006-09-12","Per=Y","Days=T","Dir=V")</f>
        <v>0</v>
      </c>
      <c r="O2">
        <f>BDH("GBTVQ US Equity","BS_CUR_LIAB","2001-09-12","2006-09-12","Per=Y","Days=T","Dir=V")</f>
        <v>0</v>
      </c>
      <c r="Q2">
        <f>BDH("GBTVQ US Equity","BS_SHAREHOLDER_EQY_ENDING_PERIOD","2001-09-12","2006-09-12","Per=Y","Days=T","Dir=V")</f>
        <v>0</v>
      </c>
      <c r="S2">
        <f>BDH("GBTVQ US Equity","BS_ACCT_NOTE_RCV","2001-09-12","2006-09-12","Per=Y","Days=T","Dir=V")</f>
        <v>0</v>
      </c>
      <c r="U2">
        <f>BDH("GBTVQ US Equity","BS_INVENTORIES","2001-09-12","2006-09-12","Per=Y","Days=T","Dir=V")</f>
        <v>0</v>
      </c>
      <c r="W2">
        <f>BDH("GBTVQ US Equity","WORKING_CAPITAL","2001-09-12","2006-09-12","Per=Y","Days=T","Dir=V")</f>
        <v>0</v>
      </c>
      <c r="Y2">
        <f>BDH("GBTVQ US Equity","SALES_REV_TURN","2001-09-12","2006-09-12","Per=Y","Days=T","Dir=V")</f>
        <v>0</v>
      </c>
      <c r="AA2">
        <f>BDH("GBTVQ US Equity","EBIT","2001-09-12","2006-09-12","Per=Y","Days=T","Dir=V")</f>
        <v>0</v>
      </c>
      <c r="AC2">
        <f>BDH("GBTVQ US Equity","EBITDA","2001-09-12","2006-09-12","Per=Y","Days=T","Dir=V")</f>
        <v>0</v>
      </c>
      <c r="AE2">
        <f>BDH("GBTVQ US Equity","NET_INCOME","2001-09-12","2006-09-12","Per=Y","Days=T","Dir=V")</f>
        <v>0</v>
      </c>
      <c r="AG2">
        <f>BDH("GBTVQ US Equity","IS_INT_EXPENSE","2001-09-12","2006-09-12","Per=Y","Days=T","Dir=V")</f>
        <v>0</v>
      </c>
      <c r="AI2">
        <f>BDH("GBTVQ US Equity","IS_DEPR_EXP","2001-09-12","2006-09-12","Per=Y","Days=T","Dir=V")</f>
        <v>0</v>
      </c>
      <c r="AK2">
        <f>BDH("GBTVQ US Equity","CF_CASH_FROM_OPER","2001-09-12","2006-09-12","Per=Y","Days=T","Dir=V")</f>
        <v>0</v>
      </c>
      <c r="AM2">
        <f>BDH("GBTVQ US Equity","CAPITAL_EXPEND","2001-09-12","2006-09-12","Per=Y","Days=T","Dir=V")</f>
        <v>0</v>
      </c>
      <c r="AO2">
        <f>BDH("GBTVQ US Equity","CF_FREE_CASH_FLOW","2001-09-12","2006-09-12","Per=Y","Days=T","Dir=V")</f>
        <v>0</v>
      </c>
      <c r="AQ2">
        <f>BDH("GBTVQ US Equity","PX_LAST","2001-09-12","2006-09-12","Per=M","Days=T","Dir=V")</f>
        <v>0</v>
      </c>
      <c r="AS2">
        <f>BDH("GBTVQ US Equity","CUR_MKT_CAP","2001-09-12","2006-09-12","Per=M","Days=T","Dir=V")</f>
        <v>0</v>
      </c>
      <c r="AU2">
        <f>BDH("GBTVQ US Equity","EQY_SH_OUT","2001-09-12","2006-09-12","Per=M","Days=T","Dir=V")</f>
        <v>0</v>
      </c>
      <c r="AW2">
        <f>BDH("GBTVQ US Equity","BETA_RAW_OVERRIABLE","2001-09-12","2006-09-12","Per=M","Days=T","Dir=V")</f>
        <v>0</v>
      </c>
      <c r="AY2">
        <f>BDH("GBTVQ US Equity","PX_VOLUME","2001-09-12","2006-09-12","Per=M","Days=T","Dir=V")</f>
        <v>0</v>
      </c>
      <c r="BA2">
        <f>BDH("GBTVQ US Equity","TURNOVER","2001-09-12","2006-09-12","Per=M","Days=T","Dir=V")</f>
        <v>0</v>
      </c>
      <c r="BC2">
        <f>BDH("GBTVQ US Equity","SPREAD_BA_CR","2001-09-12","2006-09-12","Per=M","Days=T","Dir=V")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BDH("HKFIQ US Equity","BS_TOT_ASSET","2001-12-21","2006-12-21","Per=Y","Days=T","Dir=V")</f>
        <v>0</v>
      </c>
      <c r="C2">
        <f>BDH("HKFIQ US Equity","BS_TOT_LIAB2","2001-12-21","2006-12-21","Per=Y","Days=T","Dir=V")</f>
        <v>0</v>
      </c>
      <c r="E2">
        <f>BDH("HKFIQ US Equity","SHORT_AND_LONG_TERM_DEBT","2001-12-21","2006-12-21","Per=Y","Days=T","Dir=V")</f>
        <v>0</v>
      </c>
      <c r="G2">
        <f>BDH("HKFIQ US Equity","BS_ST_BORROW","2001-12-21","2006-12-21","Per=Y","Days=T","Dir=V")</f>
        <v>0</v>
      </c>
      <c r="I2">
        <f>BDH("HKFIQ US Equity","BS_LT_BORROW","2001-12-21","2006-12-21","Per=Y","Days=T","Dir=V")</f>
        <v>0</v>
      </c>
      <c r="K2">
        <f>BDH("HKFIQ US Equity","BS_CASH_NEAR_CASH_ITEM","2001-12-21","2006-12-21","Per=Y","Days=T","Dir=V")</f>
        <v>0</v>
      </c>
      <c r="M2">
        <f>BDH("HKFIQ US Equity","BS_CUR_ASSET_REPORT","2001-12-21","2006-12-21","Per=Y","Days=T","Dir=V")</f>
        <v>0</v>
      </c>
      <c r="O2">
        <f>BDH("HKFIQ US Equity","BS_CUR_LIAB","2001-12-21","2006-12-21","Per=Y","Days=T","Dir=V")</f>
        <v>0</v>
      </c>
      <c r="Q2">
        <f>BDH("HKFIQ US Equity","BS_SHAREHOLDER_EQY_ENDING_PERIOD","2001-12-21","2006-12-21","Per=Y","Days=T","Dir=V")</f>
        <v>0</v>
      </c>
      <c r="S2">
        <f>BDH("HKFIQ US Equity","BS_ACCT_NOTE_RCV","2001-12-21","2006-12-21","Per=Y","Days=T","Dir=V")</f>
        <v>0</v>
      </c>
      <c r="U2">
        <f>BDH("HKFIQ US Equity","BS_INVENTORIES","2001-12-21","2006-12-21","Per=Y","Days=T","Dir=V")</f>
        <v>0</v>
      </c>
      <c r="W2">
        <f>BDH("HKFIQ US Equity","WORKING_CAPITAL","2001-12-21","2006-12-21","Per=Y","Days=T","Dir=V")</f>
        <v>0</v>
      </c>
      <c r="Y2">
        <f>BDH("HKFIQ US Equity","SALES_REV_TURN","2001-12-21","2006-12-21","Per=Y","Days=T","Dir=V")</f>
        <v>0</v>
      </c>
      <c r="AA2">
        <f>BDH("HKFIQ US Equity","EBIT","2001-12-21","2006-12-21","Per=Y","Days=T","Dir=V")</f>
        <v>0</v>
      </c>
      <c r="AC2">
        <f>BDH("HKFIQ US Equity","EBITDA","2001-12-21","2006-12-21","Per=Y","Days=T","Dir=V")</f>
        <v>0</v>
      </c>
      <c r="AE2">
        <f>BDH("HKFIQ US Equity","NET_INCOME","2001-12-21","2006-12-21","Per=Y","Days=T","Dir=V")</f>
        <v>0</v>
      </c>
      <c r="AG2">
        <f>BDH("HKFIQ US Equity","IS_INT_EXPENSE","2001-12-21","2006-12-21","Per=Y","Days=T","Dir=V")</f>
        <v>0</v>
      </c>
      <c r="AI2">
        <f>BDH("HKFIQ US Equity","IS_DEPR_EXP","2001-12-21","2006-12-21","Per=Y","Days=T","Dir=V")</f>
        <v>0</v>
      </c>
      <c r="AK2">
        <f>BDH("HKFIQ US Equity","CF_CASH_FROM_OPER","2001-12-21","2006-12-21","Per=Y","Days=T","Dir=V")</f>
        <v>0</v>
      </c>
      <c r="AM2">
        <f>BDH("HKFIQ US Equity","CAPITAL_EXPEND","2001-12-21","2006-12-21","Per=Y","Days=T","Dir=V")</f>
        <v>0</v>
      </c>
      <c r="AO2">
        <f>BDH("HKFIQ US Equity","CF_FREE_CASH_FLOW","2001-12-21","2006-12-21","Per=Y","Days=T","Dir=V")</f>
        <v>0</v>
      </c>
      <c r="AQ2">
        <f>BDH("HKFIQ US Equity","PX_LAST","2001-12-21","2006-12-21","Per=M","Days=T","Dir=V")</f>
        <v>0</v>
      </c>
      <c r="AS2">
        <f>BDH("HKFIQ US Equity","CUR_MKT_CAP","2001-12-21","2006-12-21","Per=M","Days=T","Dir=V")</f>
        <v>0</v>
      </c>
      <c r="AU2">
        <f>BDH("HKFIQ US Equity","EQY_SH_OUT","2001-12-21","2006-12-21","Per=M","Days=T","Dir=V")</f>
        <v>0</v>
      </c>
      <c r="AW2">
        <f>BDH("HKFIQ US Equity","BETA_RAW_OVERRIABLE","2001-12-21","2006-12-21","Per=M","Days=T","Dir=V")</f>
        <v>0</v>
      </c>
      <c r="AY2">
        <f>BDH("HKFIQ US Equity","PX_VOLUME","2001-12-21","2006-12-21","Per=M","Days=T","Dir=V")</f>
        <v>0</v>
      </c>
      <c r="BA2">
        <f>BDH("HKFIQ US Equity","TURNOVER","2001-12-21","2006-12-21","Per=M","Days=T","Dir=V")</f>
        <v>0</v>
      </c>
      <c r="BC2">
        <f>BDH("HKFIQ US Equity","SPREAD_BA_CR","2001-12-21","2006-12-21","Per=M","Days=T","Dir=V")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BDH("PTBTQ US Equity","BS_TOT_ASSET","2002-08-21","2007-08-21","Per=Y","Days=T","Dir=V")</f>
        <v>0</v>
      </c>
      <c r="C2">
        <f>BDH("PTBTQ US Equity","BS_TOT_LIAB2","2002-08-21","2007-08-21","Per=Y","Days=T","Dir=V")</f>
        <v>0</v>
      </c>
      <c r="E2">
        <f>BDH("PTBTQ US Equity","SHORT_AND_LONG_TERM_DEBT","2002-08-21","2007-08-21","Per=Y","Days=T","Dir=V")</f>
        <v>0</v>
      </c>
      <c r="G2">
        <f>BDH("PTBTQ US Equity","BS_ST_BORROW","2002-08-21","2007-08-21","Per=Y","Days=T","Dir=V")</f>
        <v>0</v>
      </c>
      <c r="I2">
        <f>BDH("PTBTQ US Equity","BS_LT_BORROW","2002-08-21","2007-08-21","Per=Y","Days=T","Dir=V")</f>
        <v>0</v>
      </c>
      <c r="K2">
        <f>BDH("PTBTQ US Equity","BS_CASH_NEAR_CASH_ITEM","2002-08-21","2007-08-21","Per=Y","Days=T","Dir=V")</f>
        <v>0</v>
      </c>
      <c r="M2">
        <f>BDH("PTBTQ US Equity","BS_CUR_ASSET_REPORT","2002-08-21","2007-08-21","Per=Y","Days=T","Dir=V")</f>
        <v>0</v>
      </c>
      <c r="O2">
        <f>BDH("PTBTQ US Equity","BS_CUR_LIAB","2002-08-21","2007-08-21","Per=Y","Days=T","Dir=V")</f>
        <v>0</v>
      </c>
      <c r="Q2">
        <f>BDH("PTBTQ US Equity","BS_SHAREHOLDER_EQY_ENDING_PERIOD","2002-08-21","2007-08-21","Per=Y","Days=T","Dir=V")</f>
        <v>0</v>
      </c>
      <c r="S2">
        <f>BDH("PTBTQ US Equity","BS_ACCT_NOTE_RCV","2002-08-21","2007-08-21","Per=Y","Days=T","Dir=V")</f>
        <v>0</v>
      </c>
      <c r="U2">
        <f>BDH("PTBTQ US Equity","BS_INVENTORIES","2002-08-21","2007-08-21","Per=Y","Days=T","Dir=V")</f>
        <v>0</v>
      </c>
      <c r="W2">
        <f>BDH("PTBTQ US Equity","WORKING_CAPITAL","2002-08-21","2007-08-21","Per=Y","Days=T","Dir=V")</f>
        <v>0</v>
      </c>
      <c r="Y2">
        <f>BDH("PTBTQ US Equity","SALES_REV_TURN","2002-08-21","2007-08-21","Per=Y","Days=T","Dir=V")</f>
        <v>0</v>
      </c>
      <c r="AA2">
        <f>BDH("PTBTQ US Equity","EBIT","2002-08-21","2007-08-21","Per=Y","Days=T","Dir=V")</f>
        <v>0</v>
      </c>
      <c r="AC2">
        <f>BDH("PTBTQ US Equity","EBITDA","2002-08-21","2007-08-21","Per=Y","Days=T","Dir=V")</f>
        <v>0</v>
      </c>
      <c r="AE2">
        <f>BDH("PTBTQ US Equity","NET_INCOME","2002-08-21","2007-08-21","Per=Y","Days=T","Dir=V")</f>
        <v>0</v>
      </c>
      <c r="AG2">
        <f>BDH("PTBTQ US Equity","IS_INT_EXPENSE","2002-08-21","2007-08-21","Per=Y","Days=T","Dir=V")</f>
        <v>0</v>
      </c>
      <c r="AI2">
        <f>BDH("PTBTQ US Equity","IS_DEPR_EXP","2002-08-21","2007-08-21","Per=Y","Days=T","Dir=V")</f>
        <v>0</v>
      </c>
      <c r="AK2">
        <f>BDH("PTBTQ US Equity","CF_CASH_FROM_OPER","2002-08-21","2007-08-21","Per=Y","Days=T","Dir=V")</f>
        <v>0</v>
      </c>
      <c r="AM2">
        <f>BDH("PTBTQ US Equity","CAPITAL_EXPEND","2002-08-21","2007-08-21","Per=Y","Days=T","Dir=V")</f>
        <v>0</v>
      </c>
      <c r="AO2">
        <f>BDH("PTBTQ US Equity","CF_FREE_CASH_FLOW","2002-08-21","2007-08-21","Per=Y","Days=T","Dir=V")</f>
        <v>0</v>
      </c>
      <c r="AQ2">
        <f>BDH("PTBTQ US Equity","PX_LAST","2002-08-21","2007-08-21","Per=M","Days=T","Dir=V")</f>
        <v>0</v>
      </c>
      <c r="AS2">
        <f>BDH("PTBTQ US Equity","CUR_MKT_CAP","2002-08-21","2007-08-21","Per=M","Days=T","Dir=V")</f>
        <v>0</v>
      </c>
      <c r="AU2">
        <f>BDH("PTBTQ US Equity","EQY_SH_OUT","2002-08-21","2007-08-21","Per=M","Days=T","Dir=V")</f>
        <v>0</v>
      </c>
      <c r="AW2">
        <f>BDH("PTBTQ US Equity","BETA_RAW_OVERRIABLE","2002-08-21","2007-08-21","Per=M","Days=T","Dir=V")</f>
        <v>0</v>
      </c>
      <c r="AY2">
        <f>BDH("PTBTQ US Equity","PX_VOLUME","2002-08-21","2007-08-21","Per=M","Days=T","Dir=V")</f>
        <v>0</v>
      </c>
      <c r="BA2">
        <f>BDH("PTBTQ US Equity","TURNOVER","2002-08-21","2007-08-21","Per=M","Days=T","Dir=V")</f>
        <v>0</v>
      </c>
      <c r="BC2">
        <f>BDH("PTBTQ US Equity","SPREAD_BA_CR","2002-08-21","2007-08-21","Per=M","Days=T","Dir=V")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BDH("TOUSQ US Equity","BS_TOT_ASSET","2002-10-31","2007-10-31","Per=Y","Days=T","Dir=V")</f>
        <v>0</v>
      </c>
      <c r="C2">
        <f>BDH("TOUSQ US Equity","BS_TOT_LIAB2","2002-10-31","2007-10-31","Per=Y","Days=T","Dir=V")</f>
        <v>0</v>
      </c>
      <c r="E2">
        <f>BDH("TOUSQ US Equity","SHORT_AND_LONG_TERM_DEBT","2002-10-31","2007-10-31","Per=Y","Days=T","Dir=V")</f>
        <v>0</v>
      </c>
      <c r="G2">
        <f>BDH("TOUSQ US Equity","BS_ST_BORROW","2002-10-31","2007-10-31","Per=Y","Days=T","Dir=V")</f>
        <v>0</v>
      </c>
      <c r="I2">
        <f>BDH("TOUSQ US Equity","BS_LT_BORROW","2002-10-31","2007-10-31","Per=Y","Days=T","Dir=V")</f>
        <v>0</v>
      </c>
      <c r="K2">
        <f>BDH("TOUSQ US Equity","BS_CASH_NEAR_CASH_ITEM","2002-10-31","2007-10-31","Per=Y","Days=T","Dir=V")</f>
        <v>0</v>
      </c>
      <c r="M2">
        <f>BDH("TOUSQ US Equity","BS_CUR_ASSET_REPORT","2002-10-31","2007-10-31","Per=Y","Days=T","Dir=V")</f>
        <v>0</v>
      </c>
      <c r="O2">
        <f>BDH("TOUSQ US Equity","BS_CUR_LIAB","2002-10-31","2007-10-31","Per=Y","Days=T","Dir=V")</f>
        <v>0</v>
      </c>
      <c r="Q2">
        <f>BDH("TOUSQ US Equity","BS_SHAREHOLDER_EQY_ENDING_PERIOD","2002-10-31","2007-10-31","Per=Y","Days=T","Dir=V")</f>
        <v>0</v>
      </c>
      <c r="S2">
        <f>BDH("TOUSQ US Equity","BS_ACCT_NOTE_RCV","2002-10-31","2007-10-31","Per=Y","Days=T","Dir=V")</f>
        <v>0</v>
      </c>
      <c r="U2">
        <f>BDH("TOUSQ US Equity","BS_INVENTORIES","2002-10-31","2007-10-31","Per=Y","Days=T","Dir=V")</f>
        <v>0</v>
      </c>
      <c r="W2">
        <f>BDH("TOUSQ US Equity","WORKING_CAPITAL","2002-10-31","2007-10-31","Per=Y","Days=T","Dir=V")</f>
        <v>0</v>
      </c>
      <c r="Y2">
        <f>BDH("TOUSQ US Equity","SALES_REV_TURN","2002-10-31","2007-10-31","Per=Y","Days=T","Dir=V")</f>
        <v>0</v>
      </c>
      <c r="AA2">
        <f>BDH("TOUSQ US Equity","EBIT","2002-10-31","2007-10-31","Per=Y","Days=T","Dir=V")</f>
        <v>0</v>
      </c>
      <c r="AC2">
        <f>BDH("TOUSQ US Equity","EBITDA","2002-10-31","2007-10-31","Per=Y","Days=T","Dir=V")</f>
        <v>0</v>
      </c>
      <c r="AE2">
        <f>BDH("TOUSQ US Equity","NET_INCOME","2002-10-31","2007-10-31","Per=Y","Days=T","Dir=V")</f>
        <v>0</v>
      </c>
      <c r="AG2">
        <f>BDH("TOUSQ US Equity","IS_INT_EXPENSE","2002-10-31","2007-10-31","Per=Y","Days=T","Dir=V")</f>
        <v>0</v>
      </c>
      <c r="AI2">
        <f>BDH("TOUSQ US Equity","IS_DEPR_EXP","2002-10-31","2007-10-31","Per=Y","Days=T","Dir=V")</f>
        <v>0</v>
      </c>
      <c r="AK2">
        <f>BDH("TOUSQ US Equity","CF_CASH_FROM_OPER","2002-10-31","2007-10-31","Per=Y","Days=T","Dir=V")</f>
        <v>0</v>
      </c>
      <c r="AM2">
        <f>BDH("TOUSQ US Equity","CAPITAL_EXPEND","2002-10-31","2007-10-31","Per=Y","Days=T","Dir=V")</f>
        <v>0</v>
      </c>
      <c r="AO2">
        <f>BDH("TOUSQ US Equity","CF_FREE_CASH_FLOW","2002-10-31","2007-10-31","Per=Y","Days=T","Dir=V")</f>
        <v>0</v>
      </c>
      <c r="AQ2">
        <f>BDH("TOUSQ US Equity","PX_LAST","2002-10-31","2007-10-31","Per=M","Days=T","Dir=V")</f>
        <v>0</v>
      </c>
      <c r="AS2">
        <f>BDH("TOUSQ US Equity","CUR_MKT_CAP","2002-10-31","2007-10-31","Per=M","Days=T","Dir=V")</f>
        <v>0</v>
      </c>
      <c r="AU2">
        <f>BDH("TOUSQ US Equity","EQY_SH_OUT","2002-10-31","2007-10-31","Per=M","Days=T","Dir=V")</f>
        <v>0</v>
      </c>
      <c r="AW2">
        <f>BDH("TOUSQ US Equity","BETA_RAW_OVERRIABLE","2002-10-31","2007-10-31","Per=M","Days=T","Dir=V")</f>
        <v>0</v>
      </c>
      <c r="AY2">
        <f>BDH("TOUSQ US Equity","PX_VOLUME","2002-10-31","2007-10-31","Per=M","Days=T","Dir=V")</f>
        <v>0</v>
      </c>
      <c r="BA2">
        <f>BDH("TOUSQ US Equity","TURNOVER","2002-10-31","2007-10-31","Per=M","Days=T","Dir=V")</f>
        <v>0</v>
      </c>
      <c r="BC2">
        <f>BDH("TOUSQ US Equity","SPREAD_BA_CR","2002-10-31","2007-10-31","Per=M","Days=T","Dir=V")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BDH("MPCCQ US Equity","BS_TOT_ASSET","2003-08-08","2008-08-08","Per=Y","Days=T","Dir=V")</f>
        <v>0</v>
      </c>
      <c r="C2">
        <f>BDH("MPCCQ US Equity","BS_TOT_LIAB2","2003-08-08","2008-08-08","Per=Y","Days=T","Dir=V")</f>
        <v>0</v>
      </c>
      <c r="E2">
        <f>BDH("MPCCQ US Equity","SHORT_AND_LONG_TERM_DEBT","2003-08-08","2008-08-08","Per=Y","Days=T","Dir=V")</f>
        <v>0</v>
      </c>
      <c r="G2">
        <f>BDH("MPCCQ US Equity","BS_ST_BORROW","2003-08-08","2008-08-08","Per=Y","Days=T","Dir=V")</f>
        <v>0</v>
      </c>
      <c r="I2">
        <f>BDH("MPCCQ US Equity","BS_LT_BORROW","2003-08-08","2008-08-08","Per=Y","Days=T","Dir=V")</f>
        <v>0</v>
      </c>
      <c r="K2">
        <f>BDH("MPCCQ US Equity","BS_CASH_NEAR_CASH_ITEM","2003-08-08","2008-08-08","Per=Y","Days=T","Dir=V")</f>
        <v>0</v>
      </c>
      <c r="M2">
        <f>BDH("MPCCQ US Equity","BS_CUR_ASSET_REPORT","2003-08-08","2008-08-08","Per=Y","Days=T","Dir=V")</f>
        <v>0</v>
      </c>
      <c r="O2">
        <f>BDH("MPCCQ US Equity","BS_CUR_LIAB","2003-08-08","2008-08-08","Per=Y","Days=T","Dir=V")</f>
        <v>0</v>
      </c>
      <c r="Q2">
        <f>BDH("MPCCQ US Equity","BS_SHAREHOLDER_EQY_ENDING_PERIOD","2003-08-08","2008-08-08","Per=Y","Days=T","Dir=V")</f>
        <v>0</v>
      </c>
      <c r="S2">
        <f>BDH("MPCCQ US Equity","BS_ACCT_NOTE_RCV","2003-08-08","2008-08-08","Per=Y","Days=T","Dir=V")</f>
        <v>0</v>
      </c>
      <c r="U2">
        <f>BDH("MPCCQ US Equity","BS_INVENTORIES","2003-08-08","2008-08-08","Per=Y","Days=T","Dir=V")</f>
        <v>0</v>
      </c>
      <c r="W2">
        <f>BDH("MPCCQ US Equity","WORKING_CAPITAL","2003-08-08","2008-08-08","Per=Y","Days=T","Dir=V")</f>
        <v>0</v>
      </c>
      <c r="Y2">
        <f>BDH("MPCCQ US Equity","SALES_REV_TURN","2003-08-08","2008-08-08","Per=Y","Days=T","Dir=V")</f>
        <v>0</v>
      </c>
      <c r="AA2">
        <f>BDH("MPCCQ US Equity","EBIT","2003-08-08","2008-08-08","Per=Y","Days=T","Dir=V")</f>
        <v>0</v>
      </c>
      <c r="AC2">
        <f>BDH("MPCCQ US Equity","EBITDA","2003-08-08","2008-08-08","Per=Y","Days=T","Dir=V")</f>
        <v>0</v>
      </c>
      <c r="AE2">
        <f>BDH("MPCCQ US Equity","NET_INCOME","2003-08-08","2008-08-08","Per=Y","Days=T","Dir=V")</f>
        <v>0</v>
      </c>
      <c r="AG2">
        <f>BDH("MPCCQ US Equity","IS_INT_EXPENSE","2003-08-08","2008-08-08","Per=Y","Days=T","Dir=V")</f>
        <v>0</v>
      </c>
      <c r="AI2">
        <f>BDH("MPCCQ US Equity","IS_DEPR_EXP","2003-08-08","2008-08-08","Per=Y","Days=T","Dir=V")</f>
        <v>0</v>
      </c>
      <c r="AK2">
        <f>BDH("MPCCQ US Equity","CF_CASH_FROM_OPER","2003-08-08","2008-08-08","Per=Y","Days=T","Dir=V")</f>
        <v>0</v>
      </c>
      <c r="AM2">
        <f>BDH("MPCCQ US Equity","CAPITAL_EXPEND","2003-08-08","2008-08-08","Per=Y","Days=T","Dir=V")</f>
        <v>0</v>
      </c>
      <c r="AO2">
        <f>BDH("MPCCQ US Equity","CF_FREE_CASH_FLOW","2003-08-08","2008-08-08","Per=Y","Days=T","Dir=V")</f>
        <v>0</v>
      </c>
      <c r="AQ2">
        <f>BDH("MPCCQ US Equity","PX_LAST","2003-08-08","2008-08-08","Per=M","Days=T","Dir=V")</f>
        <v>0</v>
      </c>
      <c r="AS2">
        <f>BDH("MPCCQ US Equity","CUR_MKT_CAP","2003-08-08","2008-08-08","Per=M","Days=T","Dir=V")</f>
        <v>0</v>
      </c>
      <c r="AU2">
        <f>BDH("MPCCQ US Equity","EQY_SH_OUT","2003-08-08","2008-08-08","Per=M","Days=T","Dir=V")</f>
        <v>0</v>
      </c>
      <c r="AW2">
        <f>BDH("MPCCQ US Equity","BETA_RAW_OVERRIABLE","2003-08-08","2008-08-08","Per=M","Days=T","Dir=V")</f>
        <v>0</v>
      </c>
      <c r="AY2">
        <f>BDH("MPCCQ US Equity","PX_VOLUME","2003-08-08","2008-08-08","Per=M","Days=T","Dir=V")</f>
        <v>0</v>
      </c>
      <c r="BA2">
        <f>BDH("MPCCQ US Equity","TURNOVER","2003-08-08","2008-08-08","Per=M","Days=T","Dir=V")</f>
        <v>0</v>
      </c>
      <c r="BC2">
        <f>BDH("MPCCQ US Equity","SPREAD_BA_CR","2003-08-08","2008-08-08","Per=M","Days=T","Dir=V")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BDH("BGPTQ US Equity","BS_TOT_ASSET","2003-11-20","2008-11-20","Per=Y","Days=T","Dir=V")</f>
        <v>0</v>
      </c>
      <c r="C2">
        <f>BDH("BGPTQ US Equity","BS_TOT_LIAB2","2003-11-20","2008-11-20","Per=Y","Days=T","Dir=V")</f>
        <v>0</v>
      </c>
      <c r="E2">
        <f>BDH("BGPTQ US Equity","SHORT_AND_LONG_TERM_DEBT","2003-11-20","2008-11-20","Per=Y","Days=T","Dir=V")</f>
        <v>0</v>
      </c>
      <c r="G2">
        <f>BDH("BGPTQ US Equity","BS_ST_BORROW","2003-11-20","2008-11-20","Per=Y","Days=T","Dir=V")</f>
        <v>0</v>
      </c>
      <c r="I2">
        <f>BDH("BGPTQ US Equity","BS_LT_BORROW","2003-11-20","2008-11-20","Per=Y","Days=T","Dir=V")</f>
        <v>0</v>
      </c>
      <c r="K2">
        <f>BDH("BGPTQ US Equity","BS_CASH_NEAR_CASH_ITEM","2003-11-20","2008-11-20","Per=Y","Days=T","Dir=V")</f>
        <v>0</v>
      </c>
      <c r="M2">
        <f>BDH("BGPTQ US Equity","BS_CUR_ASSET_REPORT","2003-11-20","2008-11-20","Per=Y","Days=T","Dir=V")</f>
        <v>0</v>
      </c>
      <c r="O2">
        <f>BDH("BGPTQ US Equity","BS_CUR_LIAB","2003-11-20","2008-11-20","Per=Y","Days=T","Dir=V")</f>
        <v>0</v>
      </c>
      <c r="Q2">
        <f>BDH("BGPTQ US Equity","BS_SHAREHOLDER_EQY_ENDING_PERIOD","2003-11-20","2008-11-20","Per=Y","Days=T","Dir=V")</f>
        <v>0</v>
      </c>
      <c r="S2">
        <f>BDH("BGPTQ US Equity","BS_ACCT_NOTE_RCV","2003-11-20","2008-11-20","Per=Y","Days=T","Dir=V")</f>
        <v>0</v>
      </c>
      <c r="U2">
        <f>BDH("BGPTQ US Equity","BS_INVENTORIES","2003-11-20","2008-11-20","Per=Y","Days=T","Dir=V")</f>
        <v>0</v>
      </c>
      <c r="W2">
        <f>BDH("BGPTQ US Equity","WORKING_CAPITAL","2003-11-20","2008-11-20","Per=Y","Days=T","Dir=V")</f>
        <v>0</v>
      </c>
      <c r="Y2">
        <f>BDH("BGPTQ US Equity","SALES_REV_TURN","2003-11-20","2008-11-20","Per=Y","Days=T","Dir=V")</f>
        <v>0</v>
      </c>
      <c r="AA2">
        <f>BDH("BGPTQ US Equity","EBIT","2003-11-20","2008-11-20","Per=Y","Days=T","Dir=V")</f>
        <v>0</v>
      </c>
      <c r="AC2">
        <f>BDH("BGPTQ US Equity","EBITDA","2003-11-20","2008-11-20","Per=Y","Days=T","Dir=V")</f>
        <v>0</v>
      </c>
      <c r="AE2">
        <f>BDH("BGPTQ US Equity","NET_INCOME","2003-11-20","2008-11-20","Per=Y","Days=T","Dir=V")</f>
        <v>0</v>
      </c>
      <c r="AG2">
        <f>BDH("BGPTQ US Equity","IS_INT_EXPENSE","2003-11-20","2008-11-20","Per=Y","Days=T","Dir=V")</f>
        <v>0</v>
      </c>
      <c r="AI2">
        <f>BDH("BGPTQ US Equity","IS_DEPR_EXP","2003-11-20","2008-11-20","Per=Y","Days=T","Dir=V")</f>
        <v>0</v>
      </c>
      <c r="AK2">
        <f>BDH("BGPTQ US Equity","CF_CASH_FROM_OPER","2003-11-20","2008-11-20","Per=Y","Days=T","Dir=V")</f>
        <v>0</v>
      </c>
      <c r="AM2">
        <f>BDH("BGPTQ US Equity","CAPITAL_EXPEND","2003-11-20","2008-11-20","Per=Y","Days=T","Dir=V")</f>
        <v>0</v>
      </c>
      <c r="AO2">
        <f>BDH("BGPTQ US Equity","CF_FREE_CASH_FLOW","2003-11-20","2008-11-20","Per=Y","Days=T","Dir=V")</f>
        <v>0</v>
      </c>
      <c r="AQ2">
        <f>BDH("BGPTQ US Equity","PX_LAST","2003-11-20","2008-11-20","Per=M","Days=T","Dir=V")</f>
        <v>0</v>
      </c>
      <c r="AS2">
        <f>BDH("BGPTQ US Equity","CUR_MKT_CAP","2003-11-20","2008-11-20","Per=M","Days=T","Dir=V")</f>
        <v>0</v>
      </c>
      <c r="AU2">
        <f>BDH("BGPTQ US Equity","EQY_SH_OUT","2003-11-20","2008-11-20","Per=M","Days=T","Dir=V")</f>
        <v>0</v>
      </c>
      <c r="AW2">
        <f>BDH("BGPTQ US Equity","BETA_RAW_OVERRIABLE","2003-11-20","2008-11-20","Per=M","Days=T","Dir=V")</f>
        <v>0</v>
      </c>
      <c r="AY2">
        <f>BDH("BGPTQ US Equity","PX_VOLUME","2003-11-20","2008-11-20","Per=M","Days=T","Dir=V")</f>
        <v>0</v>
      </c>
      <c r="BA2">
        <f>BDH("BGPTQ US Equity","TURNOVER","2003-11-20","2008-11-20","Per=M","Days=T","Dir=V")</f>
        <v>0</v>
      </c>
      <c r="BC2">
        <f>BDH("BGPTQ US Equity","SPREAD_BA_CR","2003-11-20","2008-11-20","Per=M","Days=T","Dir=V")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BDH("JRCOQ US Equity","BS_TOT_ASSET","2003-11-23","2008-11-23","Per=Y","Days=T","Dir=V")</f>
        <v>0</v>
      </c>
      <c r="C2">
        <f>BDH("JRCOQ US Equity","BS_TOT_LIAB2","2003-11-23","2008-11-23","Per=Y","Days=T","Dir=V")</f>
        <v>0</v>
      </c>
      <c r="E2">
        <f>BDH("JRCOQ US Equity","SHORT_AND_LONG_TERM_DEBT","2003-11-23","2008-11-23","Per=Y","Days=T","Dir=V")</f>
        <v>0</v>
      </c>
      <c r="G2">
        <f>BDH("JRCOQ US Equity","BS_ST_BORROW","2003-11-23","2008-11-23","Per=Y","Days=T","Dir=V")</f>
        <v>0</v>
      </c>
      <c r="I2">
        <f>BDH("JRCOQ US Equity","BS_LT_BORROW","2003-11-23","2008-11-23","Per=Y","Days=T","Dir=V")</f>
        <v>0</v>
      </c>
      <c r="K2">
        <f>BDH("JRCOQ US Equity","BS_CASH_NEAR_CASH_ITEM","2003-11-23","2008-11-23","Per=Y","Days=T","Dir=V")</f>
        <v>0</v>
      </c>
      <c r="M2">
        <f>BDH("JRCOQ US Equity","BS_CUR_ASSET_REPORT","2003-11-23","2008-11-23","Per=Y","Days=T","Dir=V")</f>
        <v>0</v>
      </c>
      <c r="O2">
        <f>BDH("JRCOQ US Equity","BS_CUR_LIAB","2003-11-23","2008-11-23","Per=Y","Days=T","Dir=V")</f>
        <v>0</v>
      </c>
      <c r="Q2">
        <f>BDH("JRCOQ US Equity","BS_SHAREHOLDER_EQY_ENDING_PERIOD","2003-11-23","2008-11-23","Per=Y","Days=T","Dir=V")</f>
        <v>0</v>
      </c>
      <c r="S2">
        <f>BDH("JRCOQ US Equity","BS_ACCT_NOTE_RCV","2003-11-23","2008-11-23","Per=Y","Days=T","Dir=V")</f>
        <v>0</v>
      </c>
      <c r="U2">
        <f>BDH("JRCOQ US Equity","BS_INVENTORIES","2003-11-23","2008-11-23","Per=Y","Days=T","Dir=V")</f>
        <v>0</v>
      </c>
      <c r="W2">
        <f>BDH("JRCOQ US Equity","WORKING_CAPITAL","2003-11-23","2008-11-23","Per=Y","Days=T","Dir=V")</f>
        <v>0</v>
      </c>
      <c r="Y2">
        <f>BDH("JRCOQ US Equity","SALES_REV_TURN","2003-11-23","2008-11-23","Per=Y","Days=T","Dir=V")</f>
        <v>0</v>
      </c>
      <c r="AA2">
        <f>BDH("JRCOQ US Equity","EBIT","2003-11-23","2008-11-23","Per=Y","Days=T","Dir=V")</f>
        <v>0</v>
      </c>
      <c r="AC2">
        <f>BDH("JRCOQ US Equity","EBITDA","2003-11-23","2008-11-23","Per=Y","Days=T","Dir=V")</f>
        <v>0</v>
      </c>
      <c r="AE2">
        <f>BDH("JRCOQ US Equity","NET_INCOME","2003-11-23","2008-11-23","Per=Y","Days=T","Dir=V")</f>
        <v>0</v>
      </c>
      <c r="AG2">
        <f>BDH("JRCOQ US Equity","IS_INT_EXPENSE","2003-11-23","2008-11-23","Per=Y","Days=T","Dir=V")</f>
        <v>0</v>
      </c>
      <c r="AI2">
        <f>BDH("JRCOQ US Equity","IS_DEPR_EXP","2003-11-23","2008-11-23","Per=Y","Days=T","Dir=V")</f>
        <v>0</v>
      </c>
      <c r="AK2">
        <f>BDH("JRCOQ US Equity","CF_CASH_FROM_OPER","2003-11-23","2008-11-23","Per=Y","Days=T","Dir=V")</f>
        <v>0</v>
      </c>
      <c r="AM2">
        <f>BDH("JRCOQ US Equity","CAPITAL_EXPEND","2003-11-23","2008-11-23","Per=Y","Days=T","Dir=V")</f>
        <v>0</v>
      </c>
      <c r="AO2">
        <f>BDH("JRCOQ US Equity","CF_FREE_CASH_FLOW","2003-11-23","2008-11-23","Per=Y","Days=T","Dir=V")</f>
        <v>0</v>
      </c>
      <c r="AQ2">
        <f>BDH("JRCOQ US Equity","PX_LAST","2003-11-23","2008-11-23","Per=M","Days=T","Dir=V")</f>
        <v>0</v>
      </c>
      <c r="AS2">
        <f>BDH("JRCOQ US Equity","CUR_MKT_CAP","2003-11-23","2008-11-23","Per=M","Days=T","Dir=V")</f>
        <v>0</v>
      </c>
      <c r="AU2">
        <f>BDH("JRCOQ US Equity","EQY_SH_OUT","2003-11-23","2008-11-23","Per=M","Days=T","Dir=V")</f>
        <v>0</v>
      </c>
      <c r="AW2">
        <f>BDH("JRCOQ US Equity","BETA_RAW_OVERRIABLE","2003-11-23","2008-11-23","Per=M","Days=T","Dir=V")</f>
        <v>0</v>
      </c>
      <c r="AY2">
        <f>BDH("JRCOQ US Equity","PX_VOLUME","2003-11-23","2008-11-23","Per=M","Days=T","Dir=V")</f>
        <v>0</v>
      </c>
      <c r="BA2">
        <f>BDH("JRCOQ US Equity","TURNOVER","2003-11-23","2008-11-23","Per=M","Days=T","Dir=V")</f>
        <v>0</v>
      </c>
      <c r="BC2">
        <f>BDH("JRCOQ US Equity","SPREAD_BA_CR","2003-11-23","2008-11-23","Per=M","Days=T","Dir=V")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BDH("CEMJQ US Equity","BS_TOT_ASSET","2003-12-18","2008-12-18","Per=Y","Days=T","Dir=V")</f>
        <v>0</v>
      </c>
      <c r="C2">
        <f>BDH("CEMJQ US Equity","BS_TOT_LIAB2","2003-12-18","2008-12-18","Per=Y","Days=T","Dir=V")</f>
        <v>0</v>
      </c>
      <c r="E2">
        <f>BDH("CEMJQ US Equity","SHORT_AND_LONG_TERM_DEBT","2003-12-18","2008-12-18","Per=Y","Days=T","Dir=V")</f>
        <v>0</v>
      </c>
      <c r="G2">
        <f>BDH("CEMJQ US Equity","BS_ST_BORROW","2003-12-18","2008-12-18","Per=Y","Days=T","Dir=V")</f>
        <v>0</v>
      </c>
      <c r="I2">
        <f>BDH("CEMJQ US Equity","BS_LT_BORROW","2003-12-18","2008-12-18","Per=Y","Days=T","Dir=V")</f>
        <v>0</v>
      </c>
      <c r="K2">
        <f>BDH("CEMJQ US Equity","BS_CASH_NEAR_CASH_ITEM","2003-12-18","2008-12-18","Per=Y","Days=T","Dir=V")</f>
        <v>0</v>
      </c>
      <c r="M2">
        <f>BDH("CEMJQ US Equity","BS_CUR_ASSET_REPORT","2003-12-18","2008-12-18","Per=Y","Days=T","Dir=V")</f>
        <v>0</v>
      </c>
      <c r="O2">
        <f>BDH("CEMJQ US Equity","BS_CUR_LIAB","2003-12-18","2008-12-18","Per=Y","Days=T","Dir=V")</f>
        <v>0</v>
      </c>
      <c r="Q2">
        <f>BDH("CEMJQ US Equity","BS_SHAREHOLDER_EQY_ENDING_PERIOD","2003-12-18","2008-12-18","Per=Y","Days=T","Dir=V")</f>
        <v>0</v>
      </c>
      <c r="S2">
        <f>BDH("CEMJQ US Equity","BS_ACCT_NOTE_RCV","2003-12-18","2008-12-18","Per=Y","Days=T","Dir=V")</f>
        <v>0</v>
      </c>
      <c r="U2">
        <f>BDH("CEMJQ US Equity","BS_INVENTORIES","2003-12-18","2008-12-18","Per=Y","Days=T","Dir=V")</f>
        <v>0</v>
      </c>
      <c r="W2">
        <f>BDH("CEMJQ US Equity","WORKING_CAPITAL","2003-12-18","2008-12-18","Per=Y","Days=T","Dir=V")</f>
        <v>0</v>
      </c>
      <c r="Y2">
        <f>BDH("CEMJQ US Equity","SALES_REV_TURN","2003-12-18","2008-12-18","Per=Y","Days=T","Dir=V")</f>
        <v>0</v>
      </c>
      <c r="AA2">
        <f>BDH("CEMJQ US Equity","EBIT","2003-12-18","2008-12-18","Per=Y","Days=T","Dir=V")</f>
        <v>0</v>
      </c>
      <c r="AC2">
        <f>BDH("CEMJQ US Equity","EBITDA","2003-12-18","2008-12-18","Per=Y","Days=T","Dir=V")</f>
        <v>0</v>
      </c>
      <c r="AE2">
        <f>BDH("CEMJQ US Equity","NET_INCOME","2003-12-18","2008-12-18","Per=Y","Days=T","Dir=V")</f>
        <v>0</v>
      </c>
      <c r="AG2">
        <f>BDH("CEMJQ US Equity","IS_INT_EXPENSE","2003-12-18","2008-12-18","Per=Y","Days=T","Dir=V")</f>
        <v>0</v>
      </c>
      <c r="AI2">
        <f>BDH("CEMJQ US Equity","IS_DEPR_EXP","2003-12-18","2008-12-18","Per=Y","Days=T","Dir=V")</f>
        <v>0</v>
      </c>
      <c r="AK2">
        <f>BDH("CEMJQ US Equity","CF_CASH_FROM_OPER","2003-12-18","2008-12-18","Per=Y","Days=T","Dir=V")</f>
        <v>0</v>
      </c>
      <c r="AM2">
        <f>BDH("CEMJQ US Equity","CAPITAL_EXPEND","2003-12-18","2008-12-18","Per=Y","Days=T","Dir=V")</f>
        <v>0</v>
      </c>
      <c r="AO2">
        <f>BDH("CEMJQ US Equity","CF_FREE_CASH_FLOW","2003-12-18","2008-12-18","Per=Y","Days=T","Dir=V")</f>
        <v>0</v>
      </c>
      <c r="AQ2">
        <f>BDH("CEMJQ US Equity","PX_LAST","2003-12-18","2008-12-18","Per=M","Days=T","Dir=V")</f>
        <v>0</v>
      </c>
      <c r="AS2">
        <f>BDH("CEMJQ US Equity","CUR_MKT_CAP","2003-12-18","2008-12-18","Per=M","Days=T","Dir=V")</f>
        <v>0</v>
      </c>
      <c r="AU2">
        <f>BDH("CEMJQ US Equity","EQY_SH_OUT","2003-12-18","2008-12-18","Per=M","Days=T","Dir=V")</f>
        <v>0</v>
      </c>
      <c r="AW2">
        <f>BDH("CEMJQ US Equity","BETA_RAW_OVERRIABLE","2003-12-18","2008-12-18","Per=M","Days=T","Dir=V")</f>
        <v>0</v>
      </c>
      <c r="AY2">
        <f>BDH("CEMJQ US Equity","PX_VOLUME","2003-12-18","2008-12-18","Per=M","Days=T","Dir=V")</f>
        <v>0</v>
      </c>
      <c r="BA2">
        <f>BDH("CEMJQ US Equity","TURNOVER","2003-12-18","2008-12-18","Per=M","Days=T","Dir=V")</f>
        <v>0</v>
      </c>
      <c r="BC2">
        <f>BDH("CEMJQ US Equity","SPREAD_BA_CR","2003-12-18","2008-12-18","Per=M","Days=T","Dir=V")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BDH("CHTRQ US Equity","BS_TOT_ASSET","2003-12-27","2008-12-27","Per=Y","Days=T","Dir=V")</f>
        <v>0</v>
      </c>
      <c r="C2">
        <f>BDH("CHTRQ US Equity","BS_TOT_LIAB2","2003-12-27","2008-12-27","Per=Y","Days=T","Dir=V")</f>
        <v>0</v>
      </c>
      <c r="E2">
        <f>BDH("CHTRQ US Equity","SHORT_AND_LONG_TERM_DEBT","2003-12-27","2008-12-27","Per=Y","Days=T","Dir=V")</f>
        <v>0</v>
      </c>
      <c r="G2">
        <f>BDH("CHTRQ US Equity","BS_ST_BORROW","2003-12-27","2008-12-27","Per=Y","Days=T","Dir=V")</f>
        <v>0</v>
      </c>
      <c r="I2">
        <f>BDH("CHTRQ US Equity","BS_LT_BORROW","2003-12-27","2008-12-27","Per=Y","Days=T","Dir=V")</f>
        <v>0</v>
      </c>
      <c r="K2">
        <f>BDH("CHTRQ US Equity","BS_CASH_NEAR_CASH_ITEM","2003-12-27","2008-12-27","Per=Y","Days=T","Dir=V")</f>
        <v>0</v>
      </c>
      <c r="M2">
        <f>BDH("CHTRQ US Equity","BS_CUR_ASSET_REPORT","2003-12-27","2008-12-27","Per=Y","Days=T","Dir=V")</f>
        <v>0</v>
      </c>
      <c r="O2">
        <f>BDH("CHTRQ US Equity","BS_CUR_LIAB","2003-12-27","2008-12-27","Per=Y","Days=T","Dir=V")</f>
        <v>0</v>
      </c>
      <c r="Q2">
        <f>BDH("CHTRQ US Equity","BS_SHAREHOLDER_EQY_ENDING_PERIOD","2003-12-27","2008-12-27","Per=Y","Days=T","Dir=V")</f>
        <v>0</v>
      </c>
      <c r="S2">
        <f>BDH("CHTRQ US Equity","BS_ACCT_NOTE_RCV","2003-12-27","2008-12-27","Per=Y","Days=T","Dir=V")</f>
        <v>0</v>
      </c>
      <c r="U2">
        <f>BDH("CHTRQ US Equity","BS_INVENTORIES","2003-12-27","2008-12-27","Per=Y","Days=T","Dir=V")</f>
        <v>0</v>
      </c>
      <c r="W2">
        <f>BDH("CHTRQ US Equity","WORKING_CAPITAL","2003-12-27","2008-12-27","Per=Y","Days=T","Dir=V")</f>
        <v>0</v>
      </c>
      <c r="Y2">
        <f>BDH("CHTRQ US Equity","SALES_REV_TURN","2003-12-27","2008-12-27","Per=Y","Days=T","Dir=V")</f>
        <v>0</v>
      </c>
      <c r="AA2">
        <f>BDH("CHTRQ US Equity","EBIT","2003-12-27","2008-12-27","Per=Y","Days=T","Dir=V")</f>
        <v>0</v>
      </c>
      <c r="AC2">
        <f>BDH("CHTRQ US Equity","EBITDA","2003-12-27","2008-12-27","Per=Y","Days=T","Dir=V")</f>
        <v>0</v>
      </c>
      <c r="AE2">
        <f>BDH("CHTRQ US Equity","NET_INCOME","2003-12-27","2008-12-27","Per=Y","Days=T","Dir=V")</f>
        <v>0</v>
      </c>
      <c r="AG2">
        <f>BDH("CHTRQ US Equity","IS_INT_EXPENSE","2003-12-27","2008-12-27","Per=Y","Days=T","Dir=V")</f>
        <v>0</v>
      </c>
      <c r="AI2">
        <f>BDH("CHTRQ US Equity","IS_DEPR_EXP","2003-12-27","2008-12-27","Per=Y","Days=T","Dir=V")</f>
        <v>0</v>
      </c>
      <c r="AK2">
        <f>BDH("CHTRQ US Equity","CF_CASH_FROM_OPER","2003-12-27","2008-12-27","Per=Y","Days=T","Dir=V")</f>
        <v>0</v>
      </c>
      <c r="AM2">
        <f>BDH("CHTRQ US Equity","CAPITAL_EXPEND","2003-12-27","2008-12-27","Per=Y","Days=T","Dir=V")</f>
        <v>0</v>
      </c>
      <c r="AO2">
        <f>BDH("CHTRQ US Equity","CF_FREE_CASH_FLOW","2003-12-27","2008-12-27","Per=Y","Days=T","Dir=V")</f>
        <v>0</v>
      </c>
      <c r="AQ2">
        <f>BDH("CHTRQ US Equity","PX_LAST","2003-12-27","2008-12-27","Per=M","Days=T","Dir=V")</f>
        <v>0</v>
      </c>
      <c r="AS2">
        <f>BDH("CHTRQ US Equity","CUR_MKT_CAP","2003-12-27","2008-12-27","Per=M","Days=T","Dir=V")</f>
        <v>0</v>
      </c>
      <c r="AU2">
        <f>BDH("CHTRQ US Equity","EQY_SH_OUT","2003-12-27","2008-12-27","Per=M","Days=T","Dir=V")</f>
        <v>0</v>
      </c>
      <c r="AW2">
        <f>BDH("CHTRQ US Equity","BETA_RAW_OVERRIABLE","2003-12-27","2008-12-27","Per=M","Days=T","Dir=V")</f>
        <v>0</v>
      </c>
      <c r="AY2">
        <f>BDH("CHTRQ US Equity","PX_VOLUME","2003-12-27","2008-12-27","Per=M","Days=T","Dir=V")</f>
        <v>0</v>
      </c>
      <c r="BA2">
        <f>BDH("CHTRQ US Equity","TURNOVER","2003-12-27","2008-12-27","Per=M","Days=T","Dir=V")</f>
        <v>0</v>
      </c>
      <c r="BC2">
        <f>BDH("CHTRQ US Equity","SPREAD_BA_CR","2003-12-27","2008-12-27","Per=M","Days=T","Dir=V")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BDH("IDARQ US Equity","BS_TOT_ASSET","2003-12-31","2008-12-31","Per=Y","Days=T","Dir=V")</f>
        <v>0</v>
      </c>
      <c r="C2">
        <f>BDH("IDARQ US Equity","BS_TOT_LIAB2","2003-12-31","2008-12-31","Per=Y","Days=T","Dir=V")</f>
        <v>0</v>
      </c>
      <c r="E2">
        <f>BDH("IDARQ US Equity","SHORT_AND_LONG_TERM_DEBT","2003-12-31","2008-12-31","Per=Y","Days=T","Dir=V")</f>
        <v>0</v>
      </c>
      <c r="G2">
        <f>BDH("IDARQ US Equity","BS_ST_BORROW","2003-12-31","2008-12-31","Per=Y","Days=T","Dir=V")</f>
        <v>0</v>
      </c>
      <c r="I2">
        <f>BDH("IDARQ US Equity","BS_LT_BORROW","2003-12-31","2008-12-31","Per=Y","Days=T","Dir=V")</f>
        <v>0</v>
      </c>
      <c r="K2">
        <f>BDH("IDARQ US Equity","BS_CASH_NEAR_CASH_ITEM","2003-12-31","2008-12-31","Per=Y","Days=T","Dir=V")</f>
        <v>0</v>
      </c>
      <c r="M2">
        <f>BDH("IDARQ US Equity","BS_CUR_ASSET_REPORT","2003-12-31","2008-12-31","Per=Y","Days=T","Dir=V")</f>
        <v>0</v>
      </c>
      <c r="O2">
        <f>BDH("IDARQ US Equity","BS_CUR_LIAB","2003-12-31","2008-12-31","Per=Y","Days=T","Dir=V")</f>
        <v>0</v>
      </c>
      <c r="Q2">
        <f>BDH("IDARQ US Equity","BS_SHAREHOLDER_EQY_ENDING_PERIOD","2003-12-31","2008-12-31","Per=Y","Days=T","Dir=V")</f>
        <v>0</v>
      </c>
      <c r="S2">
        <f>BDH("IDARQ US Equity","BS_ACCT_NOTE_RCV","2003-12-31","2008-12-31","Per=Y","Days=T","Dir=V")</f>
        <v>0</v>
      </c>
      <c r="U2">
        <f>BDH("IDARQ US Equity","BS_INVENTORIES","2003-12-31","2008-12-31","Per=Y","Days=T","Dir=V")</f>
        <v>0</v>
      </c>
      <c r="W2">
        <f>BDH("IDARQ US Equity","WORKING_CAPITAL","2003-12-31","2008-12-31","Per=Y","Days=T","Dir=V")</f>
        <v>0</v>
      </c>
      <c r="Y2">
        <f>BDH("IDARQ US Equity","SALES_REV_TURN","2003-12-31","2008-12-31","Per=Y","Days=T","Dir=V")</f>
        <v>0</v>
      </c>
      <c r="AA2">
        <f>BDH("IDARQ US Equity","EBIT","2003-12-31","2008-12-31","Per=Y","Days=T","Dir=V")</f>
        <v>0</v>
      </c>
      <c r="AC2">
        <f>BDH("IDARQ US Equity","EBITDA","2003-12-31","2008-12-31","Per=Y","Days=T","Dir=V")</f>
        <v>0</v>
      </c>
      <c r="AE2">
        <f>BDH("IDARQ US Equity","NET_INCOME","2003-12-31","2008-12-31","Per=Y","Days=T","Dir=V")</f>
        <v>0</v>
      </c>
      <c r="AG2">
        <f>BDH("IDARQ US Equity","IS_INT_EXPENSE","2003-12-31","2008-12-31","Per=Y","Days=T","Dir=V")</f>
        <v>0</v>
      </c>
      <c r="AI2">
        <f>BDH("IDARQ US Equity","IS_DEPR_EXP","2003-12-31","2008-12-31","Per=Y","Days=T","Dir=V")</f>
        <v>0</v>
      </c>
      <c r="AK2">
        <f>BDH("IDARQ US Equity","CF_CASH_FROM_OPER","2003-12-31","2008-12-31","Per=Y","Days=T","Dir=V")</f>
        <v>0</v>
      </c>
      <c r="AM2">
        <f>BDH("IDARQ US Equity","CAPITAL_EXPEND","2003-12-31","2008-12-31","Per=Y","Days=T","Dir=V")</f>
        <v>0</v>
      </c>
      <c r="AO2">
        <f>BDH("IDARQ US Equity","CF_FREE_CASH_FLOW","2003-12-31","2008-12-31","Per=Y","Days=T","Dir=V")</f>
        <v>0</v>
      </c>
      <c r="AQ2">
        <f>BDH("IDARQ US Equity","PX_LAST","2003-12-31","2008-12-31","Per=M","Days=T","Dir=V")</f>
        <v>0</v>
      </c>
      <c r="AS2">
        <f>BDH("IDARQ US Equity","CUR_MKT_CAP","2003-12-31","2008-12-31","Per=M","Days=T","Dir=V")</f>
        <v>0</v>
      </c>
      <c r="AU2">
        <f>BDH("IDARQ US Equity","EQY_SH_OUT","2003-12-31","2008-12-31","Per=M","Days=T","Dir=V")</f>
        <v>0</v>
      </c>
      <c r="AW2">
        <f>BDH("IDARQ US Equity","BETA_RAW_OVERRIABLE","2003-12-31","2008-12-31","Per=M","Days=T","Dir=V")</f>
        <v>0</v>
      </c>
      <c r="AY2">
        <f>BDH("IDARQ US Equity","PX_VOLUME","2003-12-31","2008-12-31","Per=M","Days=T","Dir=V")</f>
        <v>0</v>
      </c>
      <c r="BA2">
        <f>BDH("IDARQ US Equity","TURNOVER","2003-12-31","2008-12-31","Per=M","Days=T","Dir=V")</f>
        <v>0</v>
      </c>
      <c r="BC2">
        <f>BDH("IDARQ US Equity","SPREAD_BA_CR","2003-12-31","2008-12-31","Per=M","Days=T","Dir=V")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BDH("DSUPQ US Equity","BS_TOT_ASSET","2004-01-19","2009-01-19","Per=Y","Days=T","Dir=V")</f>
        <v>0</v>
      </c>
      <c r="C2">
        <f>BDH("DSUPQ US Equity","BS_TOT_LIAB2","2004-01-19","2009-01-19","Per=Y","Days=T","Dir=V")</f>
        <v>0</v>
      </c>
      <c r="E2">
        <f>BDH("DSUPQ US Equity","SHORT_AND_LONG_TERM_DEBT","2004-01-19","2009-01-19","Per=Y","Days=T","Dir=V")</f>
        <v>0</v>
      </c>
      <c r="G2">
        <f>BDH("DSUPQ US Equity","BS_ST_BORROW","2004-01-19","2009-01-19","Per=Y","Days=T","Dir=V")</f>
        <v>0</v>
      </c>
      <c r="I2">
        <f>BDH("DSUPQ US Equity","BS_LT_BORROW","2004-01-19","2009-01-19","Per=Y","Days=T","Dir=V")</f>
        <v>0</v>
      </c>
      <c r="K2">
        <f>BDH("DSUPQ US Equity","BS_CASH_NEAR_CASH_ITEM","2004-01-19","2009-01-19","Per=Y","Days=T","Dir=V")</f>
        <v>0</v>
      </c>
      <c r="M2">
        <f>BDH("DSUPQ US Equity","BS_CUR_ASSET_REPORT","2004-01-19","2009-01-19","Per=Y","Days=T","Dir=V")</f>
        <v>0</v>
      </c>
      <c r="O2">
        <f>BDH("DSUPQ US Equity","BS_CUR_LIAB","2004-01-19","2009-01-19","Per=Y","Days=T","Dir=V")</f>
        <v>0</v>
      </c>
      <c r="Q2">
        <f>BDH("DSUPQ US Equity","BS_SHAREHOLDER_EQY_ENDING_PERIOD","2004-01-19","2009-01-19","Per=Y","Days=T","Dir=V")</f>
        <v>0</v>
      </c>
      <c r="S2">
        <f>BDH("DSUPQ US Equity","BS_ACCT_NOTE_RCV","2004-01-19","2009-01-19","Per=Y","Days=T","Dir=V")</f>
        <v>0</v>
      </c>
      <c r="U2">
        <f>BDH("DSUPQ US Equity","BS_INVENTORIES","2004-01-19","2009-01-19","Per=Y","Days=T","Dir=V")</f>
        <v>0</v>
      </c>
      <c r="W2">
        <f>BDH("DSUPQ US Equity","WORKING_CAPITAL","2004-01-19","2009-01-19","Per=Y","Days=T","Dir=V")</f>
        <v>0</v>
      </c>
      <c r="Y2">
        <f>BDH("DSUPQ US Equity","SALES_REV_TURN","2004-01-19","2009-01-19","Per=Y","Days=T","Dir=V")</f>
        <v>0</v>
      </c>
      <c r="AA2">
        <f>BDH("DSUPQ US Equity","EBIT","2004-01-19","2009-01-19","Per=Y","Days=T","Dir=V")</f>
        <v>0</v>
      </c>
      <c r="AC2">
        <f>BDH("DSUPQ US Equity","EBITDA","2004-01-19","2009-01-19","Per=Y","Days=T","Dir=V")</f>
        <v>0</v>
      </c>
      <c r="AE2">
        <f>BDH("DSUPQ US Equity","NET_INCOME","2004-01-19","2009-01-19","Per=Y","Days=T","Dir=V")</f>
        <v>0</v>
      </c>
      <c r="AG2">
        <f>BDH("DSUPQ US Equity","IS_INT_EXPENSE","2004-01-19","2009-01-19","Per=Y","Days=T","Dir=V")</f>
        <v>0</v>
      </c>
      <c r="AI2">
        <f>BDH("DSUPQ US Equity","IS_DEPR_EXP","2004-01-19","2009-01-19","Per=Y","Days=T","Dir=V")</f>
        <v>0</v>
      </c>
      <c r="AK2">
        <f>BDH("DSUPQ US Equity","CF_CASH_FROM_OPER","2004-01-19","2009-01-19","Per=Y","Days=T","Dir=V")</f>
        <v>0</v>
      </c>
      <c r="AM2">
        <f>BDH("DSUPQ US Equity","CAPITAL_EXPEND","2004-01-19","2009-01-19","Per=Y","Days=T","Dir=V")</f>
        <v>0</v>
      </c>
      <c r="AO2">
        <f>BDH("DSUPQ US Equity","CF_FREE_CASH_FLOW","2004-01-19","2009-01-19","Per=Y","Days=T","Dir=V")</f>
        <v>0</v>
      </c>
      <c r="AQ2">
        <f>BDH("DSUPQ US Equity","PX_LAST","2004-01-19","2009-01-19","Per=M","Days=T","Dir=V")</f>
        <v>0</v>
      </c>
      <c r="AS2">
        <f>BDH("DSUPQ US Equity","CUR_MKT_CAP","2004-01-19","2009-01-19","Per=M","Days=T","Dir=V")</f>
        <v>0</v>
      </c>
      <c r="AU2">
        <f>BDH("DSUPQ US Equity","EQY_SH_OUT","2004-01-19","2009-01-19","Per=M","Days=T","Dir=V")</f>
        <v>0</v>
      </c>
      <c r="AW2">
        <f>BDH("DSUPQ US Equity","BETA_RAW_OVERRIABLE","2004-01-19","2009-01-19","Per=M","Days=T","Dir=V")</f>
        <v>0</v>
      </c>
      <c r="AY2">
        <f>BDH("DSUPQ US Equity","PX_VOLUME","2004-01-19","2009-01-19","Per=M","Days=T","Dir=V")</f>
        <v>0</v>
      </c>
      <c r="BA2">
        <f>BDH("DSUPQ US Equity","TURNOVER","2004-01-19","2009-01-19","Per=M","Days=T","Dir=V")</f>
        <v>0</v>
      </c>
      <c r="BC2">
        <f>BDH("DSUPQ US Equity","SPREAD_BA_CR","2004-01-19","2009-01-19","Per=M","Days=T","Dir=V")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BDH("ASYTQ US Equity","BS_TOT_ASSET","2004-01-20","2009-01-20","Per=Y","Days=T","Dir=V")</f>
        <v>0</v>
      </c>
      <c r="C2">
        <f>BDH("ASYTQ US Equity","BS_TOT_LIAB2","2004-01-20","2009-01-20","Per=Y","Days=T","Dir=V")</f>
        <v>0</v>
      </c>
      <c r="E2">
        <f>BDH("ASYTQ US Equity","SHORT_AND_LONG_TERM_DEBT","2004-01-20","2009-01-20","Per=Y","Days=T","Dir=V")</f>
        <v>0</v>
      </c>
      <c r="G2">
        <f>BDH("ASYTQ US Equity","BS_ST_BORROW","2004-01-20","2009-01-20","Per=Y","Days=T","Dir=V")</f>
        <v>0</v>
      </c>
      <c r="I2">
        <f>BDH("ASYTQ US Equity","BS_LT_BORROW","2004-01-20","2009-01-20","Per=Y","Days=T","Dir=V")</f>
        <v>0</v>
      </c>
      <c r="K2">
        <f>BDH("ASYTQ US Equity","BS_CASH_NEAR_CASH_ITEM","2004-01-20","2009-01-20","Per=Y","Days=T","Dir=V")</f>
        <v>0</v>
      </c>
      <c r="M2">
        <f>BDH("ASYTQ US Equity","BS_CUR_ASSET_REPORT","2004-01-20","2009-01-20","Per=Y","Days=T","Dir=V")</f>
        <v>0</v>
      </c>
      <c r="O2">
        <f>BDH("ASYTQ US Equity","BS_CUR_LIAB","2004-01-20","2009-01-20","Per=Y","Days=T","Dir=V")</f>
        <v>0</v>
      </c>
      <c r="Q2">
        <f>BDH("ASYTQ US Equity","BS_SHAREHOLDER_EQY_ENDING_PERIOD","2004-01-20","2009-01-20","Per=Y","Days=T","Dir=V")</f>
        <v>0</v>
      </c>
      <c r="S2">
        <f>BDH("ASYTQ US Equity","BS_ACCT_NOTE_RCV","2004-01-20","2009-01-20","Per=Y","Days=T","Dir=V")</f>
        <v>0</v>
      </c>
      <c r="U2">
        <f>BDH("ASYTQ US Equity","BS_INVENTORIES","2004-01-20","2009-01-20","Per=Y","Days=T","Dir=V")</f>
        <v>0</v>
      </c>
      <c r="W2">
        <f>BDH("ASYTQ US Equity","WORKING_CAPITAL","2004-01-20","2009-01-20","Per=Y","Days=T","Dir=V")</f>
        <v>0</v>
      </c>
      <c r="Y2">
        <f>BDH("ASYTQ US Equity","SALES_REV_TURN","2004-01-20","2009-01-20","Per=Y","Days=T","Dir=V")</f>
        <v>0</v>
      </c>
      <c r="AA2">
        <f>BDH("ASYTQ US Equity","EBIT","2004-01-20","2009-01-20","Per=Y","Days=T","Dir=V")</f>
        <v>0</v>
      </c>
      <c r="AC2">
        <f>BDH("ASYTQ US Equity","EBITDA","2004-01-20","2009-01-20","Per=Y","Days=T","Dir=V")</f>
        <v>0</v>
      </c>
      <c r="AE2">
        <f>BDH("ASYTQ US Equity","NET_INCOME","2004-01-20","2009-01-20","Per=Y","Days=T","Dir=V")</f>
        <v>0</v>
      </c>
      <c r="AG2">
        <f>BDH("ASYTQ US Equity","IS_INT_EXPENSE","2004-01-20","2009-01-20","Per=Y","Days=T","Dir=V")</f>
        <v>0</v>
      </c>
      <c r="AI2">
        <f>BDH("ASYTQ US Equity","IS_DEPR_EXP","2004-01-20","2009-01-20","Per=Y","Days=T","Dir=V")</f>
        <v>0</v>
      </c>
      <c r="AK2">
        <f>BDH("ASYTQ US Equity","CF_CASH_FROM_OPER","2004-01-20","2009-01-20","Per=Y","Days=T","Dir=V")</f>
        <v>0</v>
      </c>
      <c r="AM2">
        <f>BDH("ASYTQ US Equity","CAPITAL_EXPEND","2004-01-20","2009-01-20","Per=Y","Days=T","Dir=V")</f>
        <v>0</v>
      </c>
      <c r="AO2">
        <f>BDH("ASYTQ US Equity","CF_FREE_CASH_FLOW","2004-01-20","2009-01-20","Per=Y","Days=T","Dir=V")</f>
        <v>0</v>
      </c>
      <c r="AQ2">
        <f>BDH("ASYTQ US Equity","PX_LAST","2004-01-20","2009-01-20","Per=M","Days=T","Dir=V")</f>
        <v>0</v>
      </c>
      <c r="AS2">
        <f>BDH("ASYTQ US Equity","CUR_MKT_CAP","2004-01-20","2009-01-20","Per=M","Days=T","Dir=V")</f>
        <v>0</v>
      </c>
      <c r="AU2">
        <f>BDH("ASYTQ US Equity","EQY_SH_OUT","2004-01-20","2009-01-20","Per=M","Days=T","Dir=V")</f>
        <v>0</v>
      </c>
      <c r="AW2">
        <f>BDH("ASYTQ US Equity","BETA_RAW_OVERRIABLE","2004-01-20","2009-01-20","Per=M","Days=T","Dir=V")</f>
        <v>0</v>
      </c>
      <c r="AY2">
        <f>BDH("ASYTQ US Equity","PX_VOLUME","2004-01-20","2009-01-20","Per=M","Days=T","Dir=V")</f>
        <v>0</v>
      </c>
      <c r="BA2">
        <f>BDH("ASYTQ US Equity","TURNOVER","2004-01-20","2009-01-20","Per=M","Days=T","Dir=V")</f>
        <v>0</v>
      </c>
      <c r="BC2">
        <f>BDH("ASYTQ US Equity","SPREAD_BA_CR","2004-01-20","2009-01-20","Per=M","Days=T","Dir=V")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BDH("VSTNQ US Equity","BS_TOT_ASSET","2004-02-27","2009-02-27","Per=Y","Days=T","Dir=V")</f>
        <v>0</v>
      </c>
      <c r="C2">
        <f>BDH("VSTNQ US Equity","BS_TOT_LIAB2","2004-02-27","2009-02-27","Per=Y","Days=T","Dir=V")</f>
        <v>0</v>
      </c>
      <c r="E2">
        <f>BDH("VSTNQ US Equity","SHORT_AND_LONG_TERM_DEBT","2004-02-27","2009-02-27","Per=Y","Days=T","Dir=V")</f>
        <v>0</v>
      </c>
      <c r="G2">
        <f>BDH("VSTNQ US Equity","BS_ST_BORROW","2004-02-27","2009-02-27","Per=Y","Days=T","Dir=V")</f>
        <v>0</v>
      </c>
      <c r="I2">
        <f>BDH("VSTNQ US Equity","BS_LT_BORROW","2004-02-27","2009-02-27","Per=Y","Days=T","Dir=V")</f>
        <v>0</v>
      </c>
      <c r="K2">
        <f>BDH("VSTNQ US Equity","BS_CASH_NEAR_CASH_ITEM","2004-02-27","2009-02-27","Per=Y","Days=T","Dir=V")</f>
        <v>0</v>
      </c>
      <c r="M2">
        <f>BDH("VSTNQ US Equity","BS_CUR_ASSET_REPORT","2004-02-27","2009-02-27","Per=Y","Days=T","Dir=V")</f>
        <v>0</v>
      </c>
      <c r="O2">
        <f>BDH("VSTNQ US Equity","BS_CUR_LIAB","2004-02-27","2009-02-27","Per=Y","Days=T","Dir=V")</f>
        <v>0</v>
      </c>
      <c r="Q2">
        <f>BDH("VSTNQ US Equity","BS_SHAREHOLDER_EQY_ENDING_PERIOD","2004-02-27","2009-02-27","Per=Y","Days=T","Dir=V")</f>
        <v>0</v>
      </c>
      <c r="S2">
        <f>BDH("VSTNQ US Equity","BS_ACCT_NOTE_RCV","2004-02-27","2009-02-27","Per=Y","Days=T","Dir=V")</f>
        <v>0</v>
      </c>
      <c r="U2">
        <f>BDH("VSTNQ US Equity","BS_INVENTORIES","2004-02-27","2009-02-27","Per=Y","Days=T","Dir=V")</f>
        <v>0</v>
      </c>
      <c r="W2">
        <f>BDH("VSTNQ US Equity","WORKING_CAPITAL","2004-02-27","2009-02-27","Per=Y","Days=T","Dir=V")</f>
        <v>0</v>
      </c>
      <c r="Y2">
        <f>BDH("VSTNQ US Equity","SALES_REV_TURN","2004-02-27","2009-02-27","Per=Y","Days=T","Dir=V")</f>
        <v>0</v>
      </c>
      <c r="AA2">
        <f>BDH("VSTNQ US Equity","EBIT","2004-02-27","2009-02-27","Per=Y","Days=T","Dir=V")</f>
        <v>0</v>
      </c>
      <c r="AC2">
        <f>BDH("VSTNQ US Equity","EBITDA","2004-02-27","2009-02-27","Per=Y","Days=T","Dir=V")</f>
        <v>0</v>
      </c>
      <c r="AE2">
        <f>BDH("VSTNQ US Equity","NET_INCOME","2004-02-27","2009-02-27","Per=Y","Days=T","Dir=V")</f>
        <v>0</v>
      </c>
      <c r="AG2">
        <f>BDH("VSTNQ US Equity","IS_INT_EXPENSE","2004-02-27","2009-02-27","Per=Y","Days=T","Dir=V")</f>
        <v>0</v>
      </c>
      <c r="AI2">
        <f>BDH("VSTNQ US Equity","IS_DEPR_EXP","2004-02-27","2009-02-27","Per=Y","Days=T","Dir=V")</f>
        <v>0</v>
      </c>
      <c r="AK2">
        <f>BDH("VSTNQ US Equity","CF_CASH_FROM_OPER","2004-02-27","2009-02-27","Per=Y","Days=T","Dir=V")</f>
        <v>0</v>
      </c>
      <c r="AM2">
        <f>BDH("VSTNQ US Equity","CAPITAL_EXPEND","2004-02-27","2009-02-27","Per=Y","Days=T","Dir=V")</f>
        <v>0</v>
      </c>
      <c r="AO2">
        <f>BDH("VSTNQ US Equity","CF_FREE_CASH_FLOW","2004-02-27","2009-02-27","Per=Y","Days=T","Dir=V")</f>
        <v>0</v>
      </c>
      <c r="AQ2">
        <f>BDH("VSTNQ US Equity","PX_LAST","2004-02-27","2009-02-27","Per=M","Days=T","Dir=V")</f>
        <v>0</v>
      </c>
      <c r="AS2">
        <f>BDH("VSTNQ US Equity","CUR_MKT_CAP","2004-02-27","2009-02-27","Per=M","Days=T","Dir=V")</f>
        <v>0</v>
      </c>
      <c r="AU2">
        <f>BDH("VSTNQ US Equity","EQY_SH_OUT","2004-02-27","2009-02-27","Per=M","Days=T","Dir=V")</f>
        <v>0</v>
      </c>
      <c r="AW2">
        <f>BDH("VSTNQ US Equity","BETA_RAW_OVERRIABLE","2004-02-27","2009-02-27","Per=M","Days=T","Dir=V")</f>
        <v>0</v>
      </c>
      <c r="AY2">
        <f>BDH("VSTNQ US Equity","PX_VOLUME","2004-02-27","2009-02-27","Per=M","Days=T","Dir=V")</f>
        <v>0</v>
      </c>
      <c r="BA2">
        <f>BDH("VSTNQ US Equity","TURNOVER","2004-02-27","2009-02-27","Per=M","Days=T","Dir=V")</f>
        <v>0</v>
      </c>
      <c r="BC2">
        <f>BDH("VSTNQ US Equity","SPREAD_BA_CR","2004-02-27","2009-02-27","Per=M","Days=T","Dir=V")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BDH("RHDCQ US Equity","BS_TOT_ASSET","2004-02-27","2009-02-27","Per=Y","Days=T","Dir=V")</f>
        <v>0</v>
      </c>
      <c r="C2">
        <f>BDH("RHDCQ US Equity","BS_TOT_LIAB2","2004-02-27","2009-02-27","Per=Y","Days=T","Dir=V")</f>
        <v>0</v>
      </c>
      <c r="E2">
        <f>BDH("RHDCQ US Equity","SHORT_AND_LONG_TERM_DEBT","2004-02-27","2009-02-27","Per=Y","Days=T","Dir=V")</f>
        <v>0</v>
      </c>
      <c r="G2">
        <f>BDH("RHDCQ US Equity","BS_ST_BORROW","2004-02-27","2009-02-27","Per=Y","Days=T","Dir=V")</f>
        <v>0</v>
      </c>
      <c r="I2">
        <f>BDH("RHDCQ US Equity","BS_LT_BORROW","2004-02-27","2009-02-27","Per=Y","Days=T","Dir=V")</f>
        <v>0</v>
      </c>
      <c r="K2">
        <f>BDH("RHDCQ US Equity","BS_CASH_NEAR_CASH_ITEM","2004-02-27","2009-02-27","Per=Y","Days=T","Dir=V")</f>
        <v>0</v>
      </c>
      <c r="M2">
        <f>BDH("RHDCQ US Equity","BS_CUR_ASSET_REPORT","2004-02-27","2009-02-27","Per=Y","Days=T","Dir=V")</f>
        <v>0</v>
      </c>
      <c r="O2">
        <f>BDH("RHDCQ US Equity","BS_CUR_LIAB","2004-02-27","2009-02-27","Per=Y","Days=T","Dir=V")</f>
        <v>0</v>
      </c>
      <c r="Q2">
        <f>BDH("RHDCQ US Equity","BS_SHAREHOLDER_EQY_ENDING_PERIOD","2004-02-27","2009-02-27","Per=Y","Days=T","Dir=V")</f>
        <v>0</v>
      </c>
      <c r="S2">
        <f>BDH("RHDCQ US Equity","BS_ACCT_NOTE_RCV","2004-02-27","2009-02-27","Per=Y","Days=T","Dir=V")</f>
        <v>0</v>
      </c>
      <c r="U2">
        <f>BDH("RHDCQ US Equity","BS_INVENTORIES","2004-02-27","2009-02-27","Per=Y","Days=T","Dir=V")</f>
        <v>0</v>
      </c>
      <c r="W2">
        <f>BDH("RHDCQ US Equity","WORKING_CAPITAL","2004-02-27","2009-02-27","Per=Y","Days=T","Dir=V")</f>
        <v>0</v>
      </c>
      <c r="Y2">
        <f>BDH("RHDCQ US Equity","SALES_REV_TURN","2004-02-27","2009-02-27","Per=Y","Days=T","Dir=V")</f>
        <v>0</v>
      </c>
      <c r="AA2">
        <f>BDH("RHDCQ US Equity","EBIT","2004-02-27","2009-02-27","Per=Y","Days=T","Dir=V")</f>
        <v>0</v>
      </c>
      <c r="AC2">
        <f>BDH("RHDCQ US Equity","EBITDA","2004-02-27","2009-02-27","Per=Y","Days=T","Dir=V")</f>
        <v>0</v>
      </c>
      <c r="AE2">
        <f>BDH("RHDCQ US Equity","NET_INCOME","2004-02-27","2009-02-27","Per=Y","Days=T","Dir=V")</f>
        <v>0</v>
      </c>
      <c r="AG2">
        <f>BDH("RHDCQ US Equity","IS_INT_EXPENSE","2004-02-27","2009-02-27","Per=Y","Days=T","Dir=V")</f>
        <v>0</v>
      </c>
      <c r="AI2">
        <f>BDH("RHDCQ US Equity","IS_DEPR_EXP","2004-02-27","2009-02-27","Per=Y","Days=T","Dir=V")</f>
        <v>0</v>
      </c>
      <c r="AK2">
        <f>BDH("RHDCQ US Equity","CF_CASH_FROM_OPER","2004-02-27","2009-02-27","Per=Y","Days=T","Dir=V")</f>
        <v>0</v>
      </c>
      <c r="AM2">
        <f>BDH("RHDCQ US Equity","CAPITAL_EXPEND","2004-02-27","2009-02-27","Per=Y","Days=T","Dir=V")</f>
        <v>0</v>
      </c>
      <c r="AO2">
        <f>BDH("RHDCQ US Equity","CF_FREE_CASH_FLOW","2004-02-27","2009-02-27","Per=Y","Days=T","Dir=V")</f>
        <v>0</v>
      </c>
      <c r="AQ2">
        <f>BDH("RHDCQ US Equity","PX_LAST","2004-02-27","2009-02-27","Per=M","Days=T","Dir=V")</f>
        <v>0</v>
      </c>
      <c r="AS2">
        <f>BDH("RHDCQ US Equity","CUR_MKT_CAP","2004-02-27","2009-02-27","Per=M","Days=T","Dir=V")</f>
        <v>0</v>
      </c>
      <c r="AU2">
        <f>BDH("RHDCQ US Equity","EQY_SH_OUT","2004-02-27","2009-02-27","Per=M","Days=T","Dir=V")</f>
        <v>0</v>
      </c>
      <c r="AW2">
        <f>BDH("RHDCQ US Equity","BETA_RAW_OVERRIABLE","2004-02-27","2009-02-27","Per=M","Days=T","Dir=V")</f>
        <v>0</v>
      </c>
      <c r="AY2">
        <f>BDH("RHDCQ US Equity","PX_VOLUME","2004-02-27","2009-02-27","Per=M","Days=T","Dir=V")</f>
        <v>0</v>
      </c>
      <c r="BA2">
        <f>BDH("RHDCQ US Equity","TURNOVER","2004-02-27","2009-02-27","Per=M","Days=T","Dir=V")</f>
        <v>0</v>
      </c>
      <c r="BC2">
        <f>BDH("RHDCQ US Equity","SPREAD_BA_CR","2004-02-27","2009-02-27","Per=M","Days=T","Dir=V")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BDH("LEARQ US Equity","BS_TOT_ASSET","2004-04-08","2009-04-08","Per=Y","Days=T","Dir=V")</f>
        <v>0</v>
      </c>
      <c r="C2">
        <f>BDH("LEARQ US Equity","BS_TOT_LIAB2","2004-04-08","2009-04-08","Per=Y","Days=T","Dir=V")</f>
        <v>0</v>
      </c>
      <c r="E2">
        <f>BDH("LEARQ US Equity","SHORT_AND_LONG_TERM_DEBT","2004-04-08","2009-04-08","Per=Y","Days=T","Dir=V")</f>
        <v>0</v>
      </c>
      <c r="G2">
        <f>BDH("LEARQ US Equity","BS_ST_BORROW","2004-04-08","2009-04-08","Per=Y","Days=T","Dir=V")</f>
        <v>0</v>
      </c>
      <c r="I2">
        <f>BDH("LEARQ US Equity","BS_LT_BORROW","2004-04-08","2009-04-08","Per=Y","Days=T","Dir=V")</f>
        <v>0</v>
      </c>
      <c r="K2">
        <f>BDH("LEARQ US Equity","BS_CASH_NEAR_CASH_ITEM","2004-04-08","2009-04-08","Per=Y","Days=T","Dir=V")</f>
        <v>0</v>
      </c>
      <c r="M2">
        <f>BDH("LEARQ US Equity","BS_CUR_ASSET_REPORT","2004-04-08","2009-04-08","Per=Y","Days=T","Dir=V")</f>
        <v>0</v>
      </c>
      <c r="O2">
        <f>BDH("LEARQ US Equity","BS_CUR_LIAB","2004-04-08","2009-04-08","Per=Y","Days=T","Dir=V")</f>
        <v>0</v>
      </c>
      <c r="Q2">
        <f>BDH("LEARQ US Equity","BS_SHAREHOLDER_EQY_ENDING_PERIOD","2004-04-08","2009-04-08","Per=Y","Days=T","Dir=V")</f>
        <v>0</v>
      </c>
      <c r="S2">
        <f>BDH("LEARQ US Equity","BS_ACCT_NOTE_RCV","2004-04-08","2009-04-08","Per=Y","Days=T","Dir=V")</f>
        <v>0</v>
      </c>
      <c r="U2">
        <f>BDH("LEARQ US Equity","BS_INVENTORIES","2004-04-08","2009-04-08","Per=Y","Days=T","Dir=V")</f>
        <v>0</v>
      </c>
      <c r="W2">
        <f>BDH("LEARQ US Equity","WORKING_CAPITAL","2004-04-08","2009-04-08","Per=Y","Days=T","Dir=V")</f>
        <v>0</v>
      </c>
      <c r="Y2">
        <f>BDH("LEARQ US Equity","SALES_REV_TURN","2004-04-08","2009-04-08","Per=Y","Days=T","Dir=V")</f>
        <v>0</v>
      </c>
      <c r="AA2">
        <f>BDH("LEARQ US Equity","EBIT","2004-04-08","2009-04-08","Per=Y","Days=T","Dir=V")</f>
        <v>0</v>
      </c>
      <c r="AC2">
        <f>BDH("LEARQ US Equity","EBITDA","2004-04-08","2009-04-08","Per=Y","Days=T","Dir=V")</f>
        <v>0</v>
      </c>
      <c r="AE2">
        <f>BDH("LEARQ US Equity","NET_INCOME","2004-04-08","2009-04-08","Per=Y","Days=T","Dir=V")</f>
        <v>0</v>
      </c>
      <c r="AG2">
        <f>BDH("LEARQ US Equity","IS_INT_EXPENSE","2004-04-08","2009-04-08","Per=Y","Days=T","Dir=V")</f>
        <v>0</v>
      </c>
      <c r="AI2">
        <f>BDH("LEARQ US Equity","IS_DEPR_EXP","2004-04-08","2009-04-08","Per=Y","Days=T","Dir=V")</f>
        <v>0</v>
      </c>
      <c r="AK2">
        <f>BDH("LEARQ US Equity","CF_CASH_FROM_OPER","2004-04-08","2009-04-08","Per=Y","Days=T","Dir=V")</f>
        <v>0</v>
      </c>
      <c r="AM2">
        <f>BDH("LEARQ US Equity","CAPITAL_EXPEND","2004-04-08","2009-04-08","Per=Y","Days=T","Dir=V")</f>
        <v>0</v>
      </c>
      <c r="AO2">
        <f>BDH("LEARQ US Equity","CF_FREE_CASH_FLOW","2004-04-08","2009-04-08","Per=Y","Days=T","Dir=V")</f>
        <v>0</v>
      </c>
      <c r="AQ2">
        <f>BDH("LEARQ US Equity","PX_LAST","2004-04-08","2009-04-08","Per=M","Days=T","Dir=V")</f>
        <v>0</v>
      </c>
      <c r="AS2">
        <f>BDH("LEARQ US Equity","CUR_MKT_CAP","2004-04-08","2009-04-08","Per=M","Days=T","Dir=V")</f>
        <v>0</v>
      </c>
      <c r="AU2">
        <f>BDH("LEARQ US Equity","EQY_SH_OUT","2004-04-08","2009-04-08","Per=M","Days=T","Dir=V")</f>
        <v>0</v>
      </c>
      <c r="AW2">
        <f>BDH("LEARQ US Equity","BETA_RAW_OVERRIABLE","2004-04-08","2009-04-08","Per=M","Days=T","Dir=V")</f>
        <v>0</v>
      </c>
      <c r="AY2">
        <f>BDH("LEARQ US Equity","PX_VOLUME","2004-04-08","2009-04-08","Per=M","Days=T","Dir=V")</f>
        <v>0</v>
      </c>
      <c r="BA2">
        <f>BDH("LEARQ US Equity","TURNOVER","2004-04-08","2009-04-08","Per=M","Days=T","Dir=V")</f>
        <v>0</v>
      </c>
      <c r="BC2">
        <f>BDH("LEARQ US Equity","SPREAD_BA_CR","2004-04-08","2009-04-08","Per=M","Days=T","Dir=V")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BDH("TPUTQ US Equity","BS_TOT_ASSET","2004-06-17","2009-06-17","Per=Y","Days=T","Dir=V")</f>
        <v>0</v>
      </c>
      <c r="C2">
        <f>BDH("TPUTQ US Equity","BS_TOT_LIAB2","2004-06-17","2009-06-17","Per=Y","Days=T","Dir=V")</f>
        <v>0</v>
      </c>
      <c r="E2">
        <f>BDH("TPUTQ US Equity","SHORT_AND_LONG_TERM_DEBT","2004-06-17","2009-06-17","Per=Y","Days=T","Dir=V")</f>
        <v>0</v>
      </c>
      <c r="G2">
        <f>BDH("TPUTQ US Equity","BS_ST_BORROW","2004-06-17","2009-06-17","Per=Y","Days=T","Dir=V")</f>
        <v>0</v>
      </c>
      <c r="I2">
        <f>BDH("TPUTQ US Equity","BS_LT_BORROW","2004-06-17","2009-06-17","Per=Y","Days=T","Dir=V")</f>
        <v>0</v>
      </c>
      <c r="K2">
        <f>BDH("TPUTQ US Equity","BS_CASH_NEAR_CASH_ITEM","2004-06-17","2009-06-17","Per=Y","Days=T","Dir=V")</f>
        <v>0</v>
      </c>
      <c r="M2">
        <f>BDH("TPUTQ US Equity","BS_CUR_ASSET_REPORT","2004-06-17","2009-06-17","Per=Y","Days=T","Dir=V")</f>
        <v>0</v>
      </c>
      <c r="O2">
        <f>BDH("TPUTQ US Equity","BS_CUR_LIAB","2004-06-17","2009-06-17","Per=Y","Days=T","Dir=V")</f>
        <v>0</v>
      </c>
      <c r="Q2">
        <f>BDH("TPUTQ US Equity","BS_SHAREHOLDER_EQY_ENDING_PERIOD","2004-06-17","2009-06-17","Per=Y","Days=T","Dir=V")</f>
        <v>0</v>
      </c>
      <c r="S2">
        <f>BDH("TPUTQ US Equity","BS_ACCT_NOTE_RCV","2004-06-17","2009-06-17","Per=Y","Days=T","Dir=V")</f>
        <v>0</v>
      </c>
      <c r="U2">
        <f>BDH("TPUTQ US Equity","BS_INVENTORIES","2004-06-17","2009-06-17","Per=Y","Days=T","Dir=V")</f>
        <v>0</v>
      </c>
      <c r="W2">
        <f>BDH("TPUTQ US Equity","WORKING_CAPITAL","2004-06-17","2009-06-17","Per=Y","Days=T","Dir=V")</f>
        <v>0</v>
      </c>
      <c r="Y2">
        <f>BDH("TPUTQ US Equity","SALES_REV_TURN","2004-06-17","2009-06-17","Per=Y","Days=T","Dir=V")</f>
        <v>0</v>
      </c>
      <c r="AA2">
        <f>BDH("TPUTQ US Equity","EBIT","2004-06-17","2009-06-17","Per=Y","Days=T","Dir=V")</f>
        <v>0</v>
      </c>
      <c r="AC2">
        <f>BDH("TPUTQ US Equity","EBITDA","2004-06-17","2009-06-17","Per=Y","Days=T","Dir=V")</f>
        <v>0</v>
      </c>
      <c r="AE2">
        <f>BDH("TPUTQ US Equity","NET_INCOME","2004-06-17","2009-06-17","Per=Y","Days=T","Dir=V")</f>
        <v>0</v>
      </c>
      <c r="AG2">
        <f>BDH("TPUTQ US Equity","IS_INT_EXPENSE","2004-06-17","2009-06-17","Per=Y","Days=T","Dir=V")</f>
        <v>0</v>
      </c>
      <c r="AI2">
        <f>BDH("TPUTQ US Equity","IS_DEPR_EXP","2004-06-17","2009-06-17","Per=Y","Days=T","Dir=V")</f>
        <v>0</v>
      </c>
      <c r="AK2">
        <f>BDH("TPUTQ US Equity","CF_CASH_FROM_OPER","2004-06-17","2009-06-17","Per=Y","Days=T","Dir=V")</f>
        <v>0</v>
      </c>
      <c r="AM2">
        <f>BDH("TPUTQ US Equity","CAPITAL_EXPEND","2004-06-17","2009-06-17","Per=Y","Days=T","Dir=V")</f>
        <v>0</v>
      </c>
      <c r="AO2">
        <f>BDH("TPUTQ US Equity","CF_FREE_CASH_FLOW","2004-06-17","2009-06-17","Per=Y","Days=T","Dir=V")</f>
        <v>0</v>
      </c>
      <c r="AQ2">
        <f>BDH("TPUTQ US Equity","PX_LAST","2004-06-17","2009-06-17","Per=M","Days=T","Dir=V")</f>
        <v>0</v>
      </c>
      <c r="AS2">
        <f>BDH("TPUTQ US Equity","CUR_MKT_CAP","2004-06-17","2009-06-17","Per=M","Days=T","Dir=V")</f>
        <v>0</v>
      </c>
      <c r="AU2">
        <f>BDH("TPUTQ US Equity","EQY_SH_OUT","2004-06-17","2009-06-17","Per=M","Days=T","Dir=V")</f>
        <v>0</v>
      </c>
      <c r="AW2">
        <f>BDH("TPUTQ US Equity","BETA_RAW_OVERRIABLE","2004-06-17","2009-06-17","Per=M","Days=T","Dir=V")</f>
        <v>0</v>
      </c>
      <c r="AY2">
        <f>BDH("TPUTQ US Equity","PX_VOLUME","2004-06-17","2009-06-17","Per=M","Days=T","Dir=V")</f>
        <v>0</v>
      </c>
      <c r="BA2">
        <f>BDH("TPUTQ US Equity","TURNOVER","2004-06-17","2009-06-17","Per=M","Days=T","Dir=V")</f>
        <v>0</v>
      </c>
      <c r="BC2">
        <f>BDH("TPUTQ US Equity","SPREAD_BA_CR","2004-06-17","2009-06-17","Per=M","Days=T","Dir=V")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BDH("EPEXQ US Equity","BS_TOT_ASSET","2004-07-03","2009-07-03","Per=Y","Days=T","Dir=V")</f>
        <v>0</v>
      </c>
      <c r="C2">
        <f>BDH("EPEXQ US Equity","BS_TOT_LIAB2","2004-07-03","2009-07-03","Per=Y","Days=T","Dir=V")</f>
        <v>0</v>
      </c>
      <c r="E2">
        <f>BDH("EPEXQ US Equity","SHORT_AND_LONG_TERM_DEBT","2004-07-03","2009-07-03","Per=Y","Days=T","Dir=V")</f>
        <v>0</v>
      </c>
      <c r="G2">
        <f>BDH("EPEXQ US Equity","BS_ST_BORROW","2004-07-03","2009-07-03","Per=Y","Days=T","Dir=V")</f>
        <v>0</v>
      </c>
      <c r="I2">
        <f>BDH("EPEXQ US Equity","BS_LT_BORROW","2004-07-03","2009-07-03","Per=Y","Days=T","Dir=V")</f>
        <v>0</v>
      </c>
      <c r="K2">
        <f>BDH("EPEXQ US Equity","BS_CASH_NEAR_CASH_ITEM","2004-07-03","2009-07-03","Per=Y","Days=T","Dir=V")</f>
        <v>0</v>
      </c>
      <c r="M2">
        <f>BDH("EPEXQ US Equity","BS_CUR_ASSET_REPORT","2004-07-03","2009-07-03","Per=Y","Days=T","Dir=V")</f>
        <v>0</v>
      </c>
      <c r="O2">
        <f>BDH("EPEXQ US Equity","BS_CUR_LIAB","2004-07-03","2009-07-03","Per=Y","Days=T","Dir=V")</f>
        <v>0</v>
      </c>
      <c r="Q2">
        <f>BDH("EPEXQ US Equity","BS_SHAREHOLDER_EQY_ENDING_PERIOD","2004-07-03","2009-07-03","Per=Y","Days=T","Dir=V")</f>
        <v>0</v>
      </c>
      <c r="S2">
        <f>BDH("EPEXQ US Equity","BS_ACCT_NOTE_RCV","2004-07-03","2009-07-03","Per=Y","Days=T","Dir=V")</f>
        <v>0</v>
      </c>
      <c r="U2">
        <f>BDH("EPEXQ US Equity","BS_INVENTORIES","2004-07-03","2009-07-03","Per=Y","Days=T","Dir=V")</f>
        <v>0</v>
      </c>
      <c r="W2">
        <f>BDH("EPEXQ US Equity","WORKING_CAPITAL","2004-07-03","2009-07-03","Per=Y","Days=T","Dir=V")</f>
        <v>0</v>
      </c>
      <c r="Y2">
        <f>BDH("EPEXQ US Equity","SALES_REV_TURN","2004-07-03","2009-07-03","Per=Y","Days=T","Dir=V")</f>
        <v>0</v>
      </c>
      <c r="AA2">
        <f>BDH("EPEXQ US Equity","EBIT","2004-07-03","2009-07-03","Per=Y","Days=T","Dir=V")</f>
        <v>0</v>
      </c>
      <c r="AC2">
        <f>BDH("EPEXQ US Equity","EBITDA","2004-07-03","2009-07-03","Per=Y","Days=T","Dir=V")</f>
        <v>0</v>
      </c>
      <c r="AE2">
        <f>BDH("EPEXQ US Equity","NET_INCOME","2004-07-03","2009-07-03","Per=Y","Days=T","Dir=V")</f>
        <v>0</v>
      </c>
      <c r="AG2">
        <f>BDH("EPEXQ US Equity","IS_INT_EXPENSE","2004-07-03","2009-07-03","Per=Y","Days=T","Dir=V")</f>
        <v>0</v>
      </c>
      <c r="AI2">
        <f>BDH("EPEXQ US Equity","IS_DEPR_EXP","2004-07-03","2009-07-03","Per=Y","Days=T","Dir=V")</f>
        <v>0</v>
      </c>
      <c r="AK2">
        <f>BDH("EPEXQ US Equity","CF_CASH_FROM_OPER","2004-07-03","2009-07-03","Per=Y","Days=T","Dir=V")</f>
        <v>0</v>
      </c>
      <c r="AM2">
        <f>BDH("EPEXQ US Equity","CAPITAL_EXPEND","2004-07-03","2009-07-03","Per=Y","Days=T","Dir=V")</f>
        <v>0</v>
      </c>
      <c r="AO2">
        <f>BDH("EPEXQ US Equity","CF_FREE_CASH_FLOW","2004-07-03","2009-07-03","Per=Y","Days=T","Dir=V")</f>
        <v>0</v>
      </c>
      <c r="AQ2">
        <f>BDH("EPEXQ US Equity","PX_LAST","2004-07-03","2009-07-03","Per=M","Days=T","Dir=V")</f>
        <v>0</v>
      </c>
      <c r="AS2">
        <f>BDH("EPEXQ US Equity","CUR_MKT_CAP","2004-07-03","2009-07-03","Per=M","Days=T","Dir=V")</f>
        <v>0</v>
      </c>
      <c r="AU2">
        <f>BDH("EPEXQ US Equity","EQY_SH_OUT","2004-07-03","2009-07-03","Per=M","Days=T","Dir=V")</f>
        <v>0</v>
      </c>
      <c r="AW2">
        <f>BDH("EPEXQ US Equity","BETA_RAW_OVERRIABLE","2004-07-03","2009-07-03","Per=M","Days=T","Dir=V")</f>
        <v>0</v>
      </c>
      <c r="AY2">
        <f>BDH("EPEXQ US Equity","PX_VOLUME","2004-07-03","2009-07-03","Per=M","Days=T","Dir=V")</f>
        <v>0</v>
      </c>
      <c r="BA2">
        <f>BDH("EPEXQ US Equity","TURNOVER","2004-07-03","2009-07-03","Per=M","Days=T","Dir=V")</f>
        <v>0</v>
      </c>
      <c r="BC2">
        <f>BDH("EPEXQ US Equity","SPREAD_BA_CR","2004-07-03","2009-07-03","Per=M","Days=T","Dir=V")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BDH("CJHBQ US Equity","BS_TOT_ASSET","2004-08-17","2009-08-17","Per=Y","Days=T","Dir=V")</f>
        <v>0</v>
      </c>
      <c r="C2">
        <f>BDH("CJHBQ US Equity","BS_TOT_LIAB2","2004-08-17","2009-08-17","Per=Y","Days=T","Dir=V")</f>
        <v>0</v>
      </c>
      <c r="E2">
        <f>BDH("CJHBQ US Equity","SHORT_AND_LONG_TERM_DEBT","2004-08-17","2009-08-17","Per=Y","Days=T","Dir=V")</f>
        <v>0</v>
      </c>
      <c r="G2">
        <f>BDH("CJHBQ US Equity","BS_ST_BORROW","2004-08-17","2009-08-17","Per=Y","Days=T","Dir=V")</f>
        <v>0</v>
      </c>
      <c r="I2">
        <f>BDH("CJHBQ US Equity","BS_LT_BORROW","2004-08-17","2009-08-17","Per=Y","Days=T","Dir=V")</f>
        <v>0</v>
      </c>
      <c r="K2">
        <f>BDH("CJHBQ US Equity","BS_CASH_NEAR_CASH_ITEM","2004-08-17","2009-08-17","Per=Y","Days=T","Dir=V")</f>
        <v>0</v>
      </c>
      <c r="M2">
        <f>BDH("CJHBQ US Equity","BS_CUR_ASSET_REPORT","2004-08-17","2009-08-17","Per=Y","Days=T","Dir=V")</f>
        <v>0</v>
      </c>
      <c r="O2">
        <f>BDH("CJHBQ US Equity","BS_CUR_LIAB","2004-08-17","2009-08-17","Per=Y","Days=T","Dir=V")</f>
        <v>0</v>
      </c>
      <c r="Q2">
        <f>BDH("CJHBQ US Equity","BS_SHAREHOLDER_EQY_ENDING_PERIOD","2004-08-17","2009-08-17","Per=Y","Days=T","Dir=V")</f>
        <v>0</v>
      </c>
      <c r="S2">
        <f>BDH("CJHBQ US Equity","BS_ACCT_NOTE_RCV","2004-08-17","2009-08-17","Per=Y","Days=T","Dir=V")</f>
        <v>0</v>
      </c>
      <c r="U2">
        <f>BDH("CJHBQ US Equity","BS_INVENTORIES","2004-08-17","2009-08-17","Per=Y","Days=T","Dir=V")</f>
        <v>0</v>
      </c>
      <c r="W2">
        <f>BDH("CJHBQ US Equity","WORKING_CAPITAL","2004-08-17","2009-08-17","Per=Y","Days=T","Dir=V")</f>
        <v>0</v>
      </c>
      <c r="Y2">
        <f>BDH("CJHBQ US Equity","SALES_REV_TURN","2004-08-17","2009-08-17","Per=Y","Days=T","Dir=V")</f>
        <v>0</v>
      </c>
      <c r="AA2">
        <f>BDH("CJHBQ US Equity","EBIT","2004-08-17","2009-08-17","Per=Y","Days=T","Dir=V")</f>
        <v>0</v>
      </c>
      <c r="AC2">
        <f>BDH("CJHBQ US Equity","EBITDA","2004-08-17","2009-08-17","Per=Y","Days=T","Dir=V")</f>
        <v>0</v>
      </c>
      <c r="AE2">
        <f>BDH("CJHBQ US Equity","NET_INCOME","2004-08-17","2009-08-17","Per=Y","Days=T","Dir=V")</f>
        <v>0</v>
      </c>
      <c r="AG2">
        <f>BDH("CJHBQ US Equity","IS_INT_EXPENSE","2004-08-17","2009-08-17","Per=Y","Days=T","Dir=V")</f>
        <v>0</v>
      </c>
      <c r="AI2">
        <f>BDH("CJHBQ US Equity","IS_DEPR_EXP","2004-08-17","2009-08-17","Per=Y","Days=T","Dir=V")</f>
        <v>0</v>
      </c>
      <c r="AK2">
        <f>BDH("CJHBQ US Equity","CF_CASH_FROM_OPER","2004-08-17","2009-08-17","Per=Y","Days=T","Dir=V")</f>
        <v>0</v>
      </c>
      <c r="AM2">
        <f>BDH("CJHBQ US Equity","CAPITAL_EXPEND","2004-08-17","2009-08-17","Per=Y","Days=T","Dir=V")</f>
        <v>0</v>
      </c>
      <c r="AO2">
        <f>BDH("CJHBQ US Equity","CF_FREE_CASH_FLOW","2004-08-17","2009-08-17","Per=Y","Days=T","Dir=V")</f>
        <v>0</v>
      </c>
      <c r="AQ2">
        <f>BDH("CJHBQ US Equity","PX_LAST","2004-08-17","2009-08-17","Per=M","Days=T","Dir=V")</f>
        <v>0</v>
      </c>
      <c r="AS2">
        <f>BDH("CJHBQ US Equity","CUR_MKT_CAP","2004-08-17","2009-08-17","Per=M","Days=T","Dir=V")</f>
        <v>0</v>
      </c>
      <c r="AU2">
        <f>BDH("CJHBQ US Equity","EQY_SH_OUT","2004-08-17","2009-08-17","Per=M","Days=T","Dir=V")</f>
        <v>0</v>
      </c>
      <c r="AW2">
        <f>BDH("CJHBQ US Equity","BETA_RAW_OVERRIABLE","2004-08-17","2009-08-17","Per=M","Days=T","Dir=V")</f>
        <v>0</v>
      </c>
      <c r="AY2">
        <f>BDH("CJHBQ US Equity","PX_VOLUME","2004-08-17","2009-08-17","Per=M","Days=T","Dir=V")</f>
        <v>0</v>
      </c>
      <c r="BA2">
        <f>BDH("CJHBQ US Equity","TURNOVER","2004-08-17","2009-08-17","Per=M","Days=T","Dir=V")</f>
        <v>0</v>
      </c>
      <c r="BC2">
        <f>BDH("CJHBQ US Equity","SPREAD_BA_CR","2004-08-17","2009-08-17","Per=M","Days=T","Dir=V")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BDH("NFFCA US Equity","BS_TOT_ASSET","2005-02-15","2010-02-15","Per=Y","Days=T","Dir=V")</f>
        <v>0</v>
      </c>
      <c r="C2">
        <f>BDH("NFFCA US Equity","BS_TOT_LIAB2","2005-02-15","2010-02-15","Per=Y","Days=T","Dir=V")</f>
        <v>0</v>
      </c>
      <c r="E2">
        <f>BDH("NFFCA US Equity","SHORT_AND_LONG_TERM_DEBT","2005-02-15","2010-02-15","Per=Y","Days=T","Dir=V")</f>
        <v>0</v>
      </c>
      <c r="G2">
        <f>BDH("NFFCA US Equity","BS_ST_BORROW","2005-02-15","2010-02-15","Per=Y","Days=T","Dir=V")</f>
        <v>0</v>
      </c>
      <c r="I2">
        <f>BDH("NFFCA US Equity","BS_LT_BORROW","2005-02-15","2010-02-15","Per=Y","Days=T","Dir=V")</f>
        <v>0</v>
      </c>
      <c r="K2">
        <f>BDH("NFFCA US Equity","BS_CASH_NEAR_CASH_ITEM","2005-02-15","2010-02-15","Per=Y","Days=T","Dir=V")</f>
        <v>0</v>
      </c>
      <c r="M2">
        <f>BDH("NFFCA US Equity","BS_CUR_ASSET_REPORT","2005-02-15","2010-02-15","Per=Y","Days=T","Dir=V")</f>
        <v>0</v>
      </c>
      <c r="O2">
        <f>BDH("NFFCA US Equity","BS_CUR_LIAB","2005-02-15","2010-02-15","Per=Y","Days=T","Dir=V")</f>
        <v>0</v>
      </c>
      <c r="Q2">
        <f>BDH("NFFCA US Equity","BS_SHAREHOLDER_EQY_ENDING_PERIOD","2005-02-15","2010-02-15","Per=Y","Days=T","Dir=V")</f>
        <v>0</v>
      </c>
      <c r="S2">
        <f>BDH("NFFCA US Equity","BS_ACCT_NOTE_RCV","2005-02-15","2010-02-15","Per=Y","Days=T","Dir=V")</f>
        <v>0</v>
      </c>
      <c r="U2">
        <f>BDH("NFFCA US Equity","BS_INVENTORIES","2005-02-15","2010-02-15","Per=Y","Days=T","Dir=V")</f>
        <v>0</v>
      </c>
      <c r="W2">
        <f>BDH("NFFCA US Equity","WORKING_CAPITAL","2005-02-15","2010-02-15","Per=Y","Days=T","Dir=V")</f>
        <v>0</v>
      </c>
      <c r="Y2">
        <f>BDH("NFFCA US Equity","SALES_REV_TURN","2005-02-15","2010-02-15","Per=Y","Days=T","Dir=V")</f>
        <v>0</v>
      </c>
      <c r="AA2">
        <f>BDH("NFFCA US Equity","EBIT","2005-02-15","2010-02-15","Per=Y","Days=T","Dir=V")</f>
        <v>0</v>
      </c>
      <c r="AC2">
        <f>BDH("NFFCA US Equity","EBITDA","2005-02-15","2010-02-15","Per=Y","Days=T","Dir=V")</f>
        <v>0</v>
      </c>
      <c r="AE2">
        <f>BDH("NFFCA US Equity","NET_INCOME","2005-02-15","2010-02-15","Per=Y","Days=T","Dir=V")</f>
        <v>0</v>
      </c>
      <c r="AG2">
        <f>BDH("NFFCA US Equity","IS_INT_EXPENSE","2005-02-15","2010-02-15","Per=Y","Days=T","Dir=V")</f>
        <v>0</v>
      </c>
      <c r="AI2">
        <f>BDH("NFFCA US Equity","IS_DEPR_EXP","2005-02-15","2010-02-15","Per=Y","Days=T","Dir=V")</f>
        <v>0</v>
      </c>
      <c r="AK2">
        <f>BDH("NFFCA US Equity","CF_CASH_FROM_OPER","2005-02-15","2010-02-15","Per=Y","Days=T","Dir=V")</f>
        <v>0</v>
      </c>
      <c r="AM2">
        <f>BDH("NFFCA US Equity","CAPITAL_EXPEND","2005-02-15","2010-02-15","Per=Y","Days=T","Dir=V")</f>
        <v>0</v>
      </c>
      <c r="AO2">
        <f>BDH("NFFCA US Equity","CF_FREE_CASH_FLOW","2005-02-15","2010-02-15","Per=Y","Days=T","Dir=V")</f>
        <v>0</v>
      </c>
      <c r="AQ2">
        <f>BDH("NFFCA US Equity","PX_LAST","2005-02-15","2010-02-15","Per=M","Days=T","Dir=V")</f>
        <v>0</v>
      </c>
      <c r="AS2">
        <f>BDH("NFFCA US Equity","CUR_MKT_CAP","2005-02-15","2010-02-15","Per=M","Days=T","Dir=V")</f>
        <v>0</v>
      </c>
      <c r="AU2">
        <f>BDH("NFFCA US Equity","EQY_SH_OUT","2005-02-15","2010-02-15","Per=M","Days=T","Dir=V")</f>
        <v>0</v>
      </c>
      <c r="AW2">
        <f>BDH("NFFCA US Equity","BETA_RAW_OVERRIABLE","2005-02-15","2010-02-15","Per=M","Days=T","Dir=V")</f>
        <v>0</v>
      </c>
      <c r="AY2">
        <f>BDH("NFFCA US Equity","PX_VOLUME","2005-02-15","2010-02-15","Per=M","Days=T","Dir=V")</f>
        <v>0</v>
      </c>
      <c r="BA2">
        <f>BDH("NFFCA US Equity","TURNOVER","2005-02-15","2010-02-15","Per=M","Days=T","Dir=V")</f>
        <v>0</v>
      </c>
      <c r="BC2">
        <f>BDH("NFFCA US Equity","SPREAD_BA_CR","2005-02-15","2010-02-15","Per=M","Days=T","Dir=V")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BDH("BLIAQ US Equity","BS_TOT_ASSET","2005-06-25","2010-06-25","Per=Y","Days=T","Dir=V")</f>
        <v>0</v>
      </c>
      <c r="C2">
        <f>BDH("BLIAQ US Equity","BS_TOT_LIAB2","2005-06-25","2010-06-25","Per=Y","Days=T","Dir=V")</f>
        <v>0</v>
      </c>
      <c r="E2">
        <f>BDH("BLIAQ US Equity","SHORT_AND_LONG_TERM_DEBT","2005-06-25","2010-06-25","Per=Y","Days=T","Dir=V")</f>
        <v>0</v>
      </c>
      <c r="G2">
        <f>BDH("BLIAQ US Equity","BS_ST_BORROW","2005-06-25","2010-06-25","Per=Y","Days=T","Dir=V")</f>
        <v>0</v>
      </c>
      <c r="I2">
        <f>BDH("BLIAQ US Equity","BS_LT_BORROW","2005-06-25","2010-06-25","Per=Y","Days=T","Dir=V")</f>
        <v>0</v>
      </c>
      <c r="K2">
        <f>BDH("BLIAQ US Equity","BS_CASH_NEAR_CASH_ITEM","2005-06-25","2010-06-25","Per=Y","Days=T","Dir=V")</f>
        <v>0</v>
      </c>
      <c r="M2">
        <f>BDH("BLIAQ US Equity","BS_CUR_ASSET_REPORT","2005-06-25","2010-06-25","Per=Y","Days=T","Dir=V")</f>
        <v>0</v>
      </c>
      <c r="O2">
        <f>BDH("BLIAQ US Equity","BS_CUR_LIAB","2005-06-25","2010-06-25","Per=Y","Days=T","Dir=V")</f>
        <v>0</v>
      </c>
      <c r="Q2">
        <f>BDH("BLIAQ US Equity","BS_SHAREHOLDER_EQY_ENDING_PERIOD","2005-06-25","2010-06-25","Per=Y","Days=T","Dir=V")</f>
        <v>0</v>
      </c>
      <c r="S2">
        <f>BDH("BLIAQ US Equity","BS_ACCT_NOTE_RCV","2005-06-25","2010-06-25","Per=Y","Days=T","Dir=V")</f>
        <v>0</v>
      </c>
      <c r="U2">
        <f>BDH("BLIAQ US Equity","BS_INVENTORIES","2005-06-25","2010-06-25","Per=Y","Days=T","Dir=V")</f>
        <v>0</v>
      </c>
      <c r="W2">
        <f>BDH("BLIAQ US Equity","WORKING_CAPITAL","2005-06-25","2010-06-25","Per=Y","Days=T","Dir=V")</f>
        <v>0</v>
      </c>
      <c r="Y2">
        <f>BDH("BLIAQ US Equity","SALES_REV_TURN","2005-06-25","2010-06-25","Per=Y","Days=T","Dir=V")</f>
        <v>0</v>
      </c>
      <c r="AA2">
        <f>BDH("BLIAQ US Equity","EBIT","2005-06-25","2010-06-25","Per=Y","Days=T","Dir=V")</f>
        <v>0</v>
      </c>
      <c r="AC2">
        <f>BDH("BLIAQ US Equity","EBITDA","2005-06-25","2010-06-25","Per=Y","Days=T","Dir=V")</f>
        <v>0</v>
      </c>
      <c r="AE2">
        <f>BDH("BLIAQ US Equity","NET_INCOME","2005-06-25","2010-06-25","Per=Y","Days=T","Dir=V")</f>
        <v>0</v>
      </c>
      <c r="AG2">
        <f>BDH("BLIAQ US Equity","IS_INT_EXPENSE","2005-06-25","2010-06-25","Per=Y","Days=T","Dir=V")</f>
        <v>0</v>
      </c>
      <c r="AI2">
        <f>BDH("BLIAQ US Equity","IS_DEPR_EXP","2005-06-25","2010-06-25","Per=Y","Days=T","Dir=V")</f>
        <v>0</v>
      </c>
      <c r="AK2">
        <f>BDH("BLIAQ US Equity","CF_CASH_FROM_OPER","2005-06-25","2010-06-25","Per=Y","Days=T","Dir=V")</f>
        <v>0</v>
      </c>
      <c r="AM2">
        <f>BDH("BLIAQ US Equity","CAPITAL_EXPEND","2005-06-25","2010-06-25","Per=Y","Days=T","Dir=V")</f>
        <v>0</v>
      </c>
      <c r="AO2">
        <f>BDH("BLIAQ US Equity","CF_FREE_CASH_FLOW","2005-06-25","2010-06-25","Per=Y","Days=T","Dir=V")</f>
        <v>0</v>
      </c>
      <c r="AQ2">
        <f>BDH("BLIAQ US Equity","PX_LAST","2005-06-25","2010-06-25","Per=M","Days=T","Dir=V")</f>
        <v>0</v>
      </c>
      <c r="AS2">
        <f>BDH("BLIAQ US Equity","CUR_MKT_CAP","2005-06-25","2010-06-25","Per=M","Days=T","Dir=V")</f>
        <v>0</v>
      </c>
      <c r="AU2">
        <f>BDH("BLIAQ US Equity","EQY_SH_OUT","2005-06-25","2010-06-25","Per=M","Days=T","Dir=V")</f>
        <v>0</v>
      </c>
      <c r="AW2">
        <f>BDH("BLIAQ US Equity","BETA_RAW_OVERRIABLE","2005-06-25","2010-06-25","Per=M","Days=T","Dir=V")</f>
        <v>0</v>
      </c>
      <c r="AY2">
        <f>BDH("BLIAQ US Equity","PX_VOLUME","2005-06-25","2010-06-25","Per=M","Days=T","Dir=V")</f>
        <v>0</v>
      </c>
      <c r="BA2">
        <f>BDH("BLIAQ US Equity","TURNOVER","2005-06-25","2010-06-25","Per=M","Days=T","Dir=V")</f>
        <v>0</v>
      </c>
      <c r="BC2">
        <f>BDH("BLIAQ US Equity","SPREAD_BA_CR","2005-06-25","2010-06-25","Per=M","Days=T","Dir=V")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BDH("HAWKQ US Equity","BS_TOT_ASSET","2005-11-13","2010-11-13","Per=Y","Days=T","Dir=V")</f>
        <v>0</v>
      </c>
      <c r="C2">
        <f>BDH("HAWKQ US Equity","BS_TOT_LIAB2","2005-11-13","2010-11-13","Per=Y","Days=T","Dir=V")</f>
        <v>0</v>
      </c>
      <c r="E2">
        <f>BDH("HAWKQ US Equity","SHORT_AND_LONG_TERM_DEBT","2005-11-13","2010-11-13","Per=Y","Days=T","Dir=V")</f>
        <v>0</v>
      </c>
      <c r="G2">
        <f>BDH("HAWKQ US Equity","BS_ST_BORROW","2005-11-13","2010-11-13","Per=Y","Days=T","Dir=V")</f>
        <v>0</v>
      </c>
      <c r="I2">
        <f>BDH("HAWKQ US Equity","BS_LT_BORROW","2005-11-13","2010-11-13","Per=Y","Days=T","Dir=V")</f>
        <v>0</v>
      </c>
      <c r="K2">
        <f>BDH("HAWKQ US Equity","BS_CASH_NEAR_CASH_ITEM","2005-11-13","2010-11-13","Per=Y","Days=T","Dir=V")</f>
        <v>0</v>
      </c>
      <c r="M2">
        <f>BDH("HAWKQ US Equity","BS_CUR_ASSET_REPORT","2005-11-13","2010-11-13","Per=Y","Days=T","Dir=V")</f>
        <v>0</v>
      </c>
      <c r="O2">
        <f>BDH("HAWKQ US Equity","BS_CUR_LIAB","2005-11-13","2010-11-13","Per=Y","Days=T","Dir=V")</f>
        <v>0</v>
      </c>
      <c r="Q2">
        <f>BDH("HAWKQ US Equity","BS_SHAREHOLDER_EQY_ENDING_PERIOD","2005-11-13","2010-11-13","Per=Y","Days=T","Dir=V")</f>
        <v>0</v>
      </c>
      <c r="S2">
        <f>BDH("HAWKQ US Equity","BS_ACCT_NOTE_RCV","2005-11-13","2010-11-13","Per=Y","Days=T","Dir=V")</f>
        <v>0</v>
      </c>
      <c r="U2">
        <f>BDH("HAWKQ US Equity","BS_INVENTORIES","2005-11-13","2010-11-13","Per=Y","Days=T","Dir=V")</f>
        <v>0</v>
      </c>
      <c r="W2">
        <f>BDH("HAWKQ US Equity","WORKING_CAPITAL","2005-11-13","2010-11-13","Per=Y","Days=T","Dir=V")</f>
        <v>0</v>
      </c>
      <c r="Y2">
        <f>BDH("HAWKQ US Equity","SALES_REV_TURN","2005-11-13","2010-11-13","Per=Y","Days=T","Dir=V")</f>
        <v>0</v>
      </c>
      <c r="AA2">
        <f>BDH("HAWKQ US Equity","EBIT","2005-11-13","2010-11-13","Per=Y","Days=T","Dir=V")</f>
        <v>0</v>
      </c>
      <c r="AC2">
        <f>BDH("HAWKQ US Equity","EBITDA","2005-11-13","2010-11-13","Per=Y","Days=T","Dir=V")</f>
        <v>0</v>
      </c>
      <c r="AE2">
        <f>BDH("HAWKQ US Equity","NET_INCOME","2005-11-13","2010-11-13","Per=Y","Days=T","Dir=V")</f>
        <v>0</v>
      </c>
      <c r="AG2">
        <f>BDH("HAWKQ US Equity","IS_INT_EXPENSE","2005-11-13","2010-11-13","Per=Y","Days=T","Dir=V")</f>
        <v>0</v>
      </c>
      <c r="AI2">
        <f>BDH("HAWKQ US Equity","IS_DEPR_EXP","2005-11-13","2010-11-13","Per=Y","Days=T","Dir=V")</f>
        <v>0</v>
      </c>
      <c r="AK2">
        <f>BDH("HAWKQ US Equity","CF_CASH_FROM_OPER","2005-11-13","2010-11-13","Per=Y","Days=T","Dir=V")</f>
        <v>0</v>
      </c>
      <c r="AM2">
        <f>BDH("HAWKQ US Equity","CAPITAL_EXPEND","2005-11-13","2010-11-13","Per=Y","Days=T","Dir=V")</f>
        <v>0</v>
      </c>
      <c r="AO2">
        <f>BDH("HAWKQ US Equity","CF_FREE_CASH_FLOW","2005-11-13","2010-11-13","Per=Y","Days=T","Dir=V")</f>
        <v>0</v>
      </c>
      <c r="AQ2">
        <f>BDH("HAWKQ US Equity","PX_LAST","2005-11-13","2010-11-13","Per=M","Days=T","Dir=V")</f>
        <v>0</v>
      </c>
      <c r="AS2">
        <f>BDH("HAWKQ US Equity","CUR_MKT_CAP","2005-11-13","2010-11-13","Per=M","Days=T","Dir=V")</f>
        <v>0</v>
      </c>
      <c r="AU2">
        <f>BDH("HAWKQ US Equity","EQY_SH_OUT","2005-11-13","2010-11-13","Per=M","Days=T","Dir=V")</f>
        <v>0</v>
      </c>
      <c r="AW2">
        <f>BDH("HAWKQ US Equity","BETA_RAW_OVERRIABLE","2005-11-13","2010-11-13","Per=M","Days=T","Dir=V")</f>
        <v>0</v>
      </c>
      <c r="AY2">
        <f>BDH("HAWKQ US Equity","PX_VOLUME","2005-11-13","2010-11-13","Per=M","Days=T","Dir=V")</f>
        <v>0</v>
      </c>
      <c r="BA2">
        <f>BDH("HAWKQ US Equity","TURNOVER","2005-11-13","2010-11-13","Per=M","Days=T","Dir=V")</f>
        <v>0</v>
      </c>
      <c r="BC2">
        <f>BDH("HAWKQ US Equity","SPREAD_BA_CR","2005-11-13","2010-11-13","Per=M","Days=T","Dir=V")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BDH("JHTXQ US Equity","BS_TOT_ASSET","2006-02-23","2011-02-23","Per=Y","Days=T","Dir=V")</f>
        <v>0</v>
      </c>
      <c r="C2">
        <f>BDH("JHTXQ US Equity","BS_TOT_LIAB2","2006-02-23","2011-02-23","Per=Y","Days=T","Dir=V")</f>
        <v>0</v>
      </c>
      <c r="E2">
        <f>BDH("JHTXQ US Equity","SHORT_AND_LONG_TERM_DEBT","2006-02-23","2011-02-23","Per=Y","Days=T","Dir=V")</f>
        <v>0</v>
      </c>
      <c r="G2">
        <f>BDH("JHTXQ US Equity","BS_ST_BORROW","2006-02-23","2011-02-23","Per=Y","Days=T","Dir=V")</f>
        <v>0</v>
      </c>
      <c r="I2">
        <f>BDH("JHTXQ US Equity","BS_LT_BORROW","2006-02-23","2011-02-23","Per=Y","Days=T","Dir=V")</f>
        <v>0</v>
      </c>
      <c r="K2">
        <f>BDH("JHTXQ US Equity","BS_CASH_NEAR_CASH_ITEM","2006-02-23","2011-02-23","Per=Y","Days=T","Dir=V")</f>
        <v>0</v>
      </c>
      <c r="M2">
        <f>BDH("JHTXQ US Equity","BS_CUR_ASSET_REPORT","2006-02-23","2011-02-23","Per=Y","Days=T","Dir=V")</f>
        <v>0</v>
      </c>
      <c r="O2">
        <f>BDH("JHTXQ US Equity","BS_CUR_LIAB","2006-02-23","2011-02-23","Per=Y","Days=T","Dir=V")</f>
        <v>0</v>
      </c>
      <c r="Q2">
        <f>BDH("JHTXQ US Equity","BS_SHAREHOLDER_EQY_ENDING_PERIOD","2006-02-23","2011-02-23","Per=Y","Days=T","Dir=V")</f>
        <v>0</v>
      </c>
      <c r="S2">
        <f>BDH("JHTXQ US Equity","BS_ACCT_NOTE_RCV","2006-02-23","2011-02-23","Per=Y","Days=T","Dir=V")</f>
        <v>0</v>
      </c>
      <c r="U2">
        <f>BDH("JHTXQ US Equity","BS_INVENTORIES","2006-02-23","2011-02-23","Per=Y","Days=T","Dir=V")</f>
        <v>0</v>
      </c>
      <c r="W2">
        <f>BDH("JHTXQ US Equity","WORKING_CAPITAL","2006-02-23","2011-02-23","Per=Y","Days=T","Dir=V")</f>
        <v>0</v>
      </c>
      <c r="Y2">
        <f>BDH("JHTXQ US Equity","SALES_REV_TURN","2006-02-23","2011-02-23","Per=Y","Days=T","Dir=V")</f>
        <v>0</v>
      </c>
      <c r="AA2">
        <f>BDH("JHTXQ US Equity","EBIT","2006-02-23","2011-02-23","Per=Y","Days=T","Dir=V")</f>
        <v>0</v>
      </c>
      <c r="AC2">
        <f>BDH("JHTXQ US Equity","EBITDA","2006-02-23","2011-02-23","Per=Y","Days=T","Dir=V")</f>
        <v>0</v>
      </c>
      <c r="AE2">
        <f>BDH("JHTXQ US Equity","NET_INCOME","2006-02-23","2011-02-23","Per=Y","Days=T","Dir=V")</f>
        <v>0</v>
      </c>
      <c r="AG2">
        <f>BDH("JHTXQ US Equity","IS_INT_EXPENSE","2006-02-23","2011-02-23","Per=Y","Days=T","Dir=V")</f>
        <v>0</v>
      </c>
      <c r="AI2">
        <f>BDH("JHTXQ US Equity","IS_DEPR_EXP","2006-02-23","2011-02-23","Per=Y","Days=T","Dir=V")</f>
        <v>0</v>
      </c>
      <c r="AK2">
        <f>BDH("JHTXQ US Equity","CF_CASH_FROM_OPER","2006-02-23","2011-02-23","Per=Y","Days=T","Dir=V")</f>
        <v>0</v>
      </c>
      <c r="AM2">
        <f>BDH("JHTXQ US Equity","CAPITAL_EXPEND","2006-02-23","2011-02-23","Per=Y","Days=T","Dir=V")</f>
        <v>0</v>
      </c>
      <c r="AO2">
        <f>BDH("JHTXQ US Equity","CF_FREE_CASH_FLOW","2006-02-23","2011-02-23","Per=Y","Days=T","Dir=V")</f>
        <v>0</v>
      </c>
      <c r="AQ2">
        <f>BDH("JHTXQ US Equity","PX_LAST","2006-02-23","2011-02-23","Per=M","Days=T","Dir=V")</f>
        <v>0</v>
      </c>
      <c r="AS2">
        <f>BDH("JHTXQ US Equity","CUR_MKT_CAP","2006-02-23","2011-02-23","Per=M","Days=T","Dir=V")</f>
        <v>0</v>
      </c>
      <c r="AU2">
        <f>BDH("JHTXQ US Equity","EQY_SH_OUT","2006-02-23","2011-02-23","Per=M","Days=T","Dir=V")</f>
        <v>0</v>
      </c>
      <c r="AW2">
        <f>BDH("JHTXQ US Equity","BETA_RAW_OVERRIABLE","2006-02-23","2011-02-23","Per=M","Days=T","Dir=V")</f>
        <v>0</v>
      </c>
      <c r="AY2">
        <f>BDH("JHTXQ US Equity","PX_VOLUME","2006-02-23","2011-02-23","Per=M","Days=T","Dir=V")</f>
        <v>0</v>
      </c>
      <c r="BA2">
        <f>BDH("JHTXQ US Equity","TURNOVER","2006-02-23","2011-02-23","Per=M","Days=T","Dir=V")</f>
        <v>0</v>
      </c>
      <c r="BC2">
        <f>BDH("JHTXQ US Equity","SPREAD_BA_CR","2006-02-23","2011-02-23","Per=M","Days=T","Dir=V")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BDH("SDTHQ US Equity","BS_TOT_ASSET","2006-05-21","2011-05-21","Per=Y","Days=T","Dir=V")</f>
        <v>0</v>
      </c>
      <c r="C2">
        <f>BDH("SDTHQ US Equity","BS_TOT_LIAB2","2006-05-21","2011-05-21","Per=Y","Days=T","Dir=V")</f>
        <v>0</v>
      </c>
      <c r="E2">
        <f>BDH("SDTHQ US Equity","SHORT_AND_LONG_TERM_DEBT","2006-05-21","2011-05-21","Per=Y","Days=T","Dir=V")</f>
        <v>0</v>
      </c>
      <c r="G2">
        <f>BDH("SDTHQ US Equity","BS_ST_BORROW","2006-05-21","2011-05-21","Per=Y","Days=T","Dir=V")</f>
        <v>0</v>
      </c>
      <c r="I2">
        <f>BDH("SDTHQ US Equity","BS_LT_BORROW","2006-05-21","2011-05-21","Per=Y","Days=T","Dir=V")</f>
        <v>0</v>
      </c>
      <c r="K2">
        <f>BDH("SDTHQ US Equity","BS_CASH_NEAR_CASH_ITEM","2006-05-21","2011-05-21","Per=Y","Days=T","Dir=V")</f>
        <v>0</v>
      </c>
      <c r="M2">
        <f>BDH("SDTHQ US Equity","BS_CUR_ASSET_REPORT","2006-05-21","2011-05-21","Per=Y","Days=T","Dir=V")</f>
        <v>0</v>
      </c>
      <c r="O2">
        <f>BDH("SDTHQ US Equity","BS_CUR_LIAB","2006-05-21","2011-05-21","Per=Y","Days=T","Dir=V")</f>
        <v>0</v>
      </c>
      <c r="Q2">
        <f>BDH("SDTHQ US Equity","BS_SHAREHOLDER_EQY_ENDING_PERIOD","2006-05-21","2011-05-21","Per=Y","Days=T","Dir=V")</f>
        <v>0</v>
      </c>
      <c r="S2">
        <f>BDH("SDTHQ US Equity","BS_ACCT_NOTE_RCV","2006-05-21","2011-05-21","Per=Y","Days=T","Dir=V")</f>
        <v>0</v>
      </c>
      <c r="U2">
        <f>BDH("SDTHQ US Equity","BS_INVENTORIES","2006-05-21","2011-05-21","Per=Y","Days=T","Dir=V")</f>
        <v>0</v>
      </c>
      <c r="W2">
        <f>BDH("SDTHQ US Equity","WORKING_CAPITAL","2006-05-21","2011-05-21","Per=Y","Days=T","Dir=V")</f>
        <v>0</v>
      </c>
      <c r="Y2">
        <f>BDH("SDTHQ US Equity","SALES_REV_TURN","2006-05-21","2011-05-21","Per=Y","Days=T","Dir=V")</f>
        <v>0</v>
      </c>
      <c r="AA2">
        <f>BDH("SDTHQ US Equity","EBIT","2006-05-21","2011-05-21","Per=Y","Days=T","Dir=V")</f>
        <v>0</v>
      </c>
      <c r="AC2">
        <f>BDH("SDTHQ US Equity","EBITDA","2006-05-21","2011-05-21","Per=Y","Days=T","Dir=V")</f>
        <v>0</v>
      </c>
      <c r="AE2">
        <f>BDH("SDTHQ US Equity","NET_INCOME","2006-05-21","2011-05-21","Per=Y","Days=T","Dir=V")</f>
        <v>0</v>
      </c>
      <c r="AG2">
        <f>BDH("SDTHQ US Equity","IS_INT_EXPENSE","2006-05-21","2011-05-21","Per=Y","Days=T","Dir=V")</f>
        <v>0</v>
      </c>
      <c r="AI2">
        <f>BDH("SDTHQ US Equity","IS_DEPR_EXP","2006-05-21","2011-05-21","Per=Y","Days=T","Dir=V")</f>
        <v>0</v>
      </c>
      <c r="AK2">
        <f>BDH("SDTHQ US Equity","CF_CASH_FROM_OPER","2006-05-21","2011-05-21","Per=Y","Days=T","Dir=V")</f>
        <v>0</v>
      </c>
      <c r="AM2">
        <f>BDH("SDTHQ US Equity","CAPITAL_EXPEND","2006-05-21","2011-05-21","Per=Y","Days=T","Dir=V")</f>
        <v>0</v>
      </c>
      <c r="AO2">
        <f>BDH("SDTHQ US Equity","CF_FREE_CASH_FLOW","2006-05-21","2011-05-21","Per=Y","Days=T","Dir=V")</f>
        <v>0</v>
      </c>
      <c r="AQ2">
        <f>BDH("SDTHQ US Equity","PX_LAST","2006-05-21","2011-05-21","Per=M","Days=T","Dir=V")</f>
        <v>0</v>
      </c>
      <c r="AS2">
        <f>BDH("SDTHQ US Equity","CUR_MKT_CAP","2006-05-21","2011-05-21","Per=M","Days=T","Dir=V")</f>
        <v>0</v>
      </c>
      <c r="AU2">
        <f>BDH("SDTHQ US Equity","EQY_SH_OUT","2006-05-21","2011-05-21","Per=M","Days=T","Dir=V")</f>
        <v>0</v>
      </c>
      <c r="AW2">
        <f>BDH("SDTHQ US Equity","BETA_RAW_OVERRIABLE","2006-05-21","2011-05-21","Per=M","Days=T","Dir=V")</f>
        <v>0</v>
      </c>
      <c r="AY2">
        <f>BDH("SDTHQ US Equity","PX_VOLUME","2006-05-21","2011-05-21","Per=M","Days=T","Dir=V")</f>
        <v>0</v>
      </c>
      <c r="BA2">
        <f>BDH("SDTHQ US Equity","TURNOVER","2006-05-21","2011-05-21","Per=M","Days=T","Dir=V")</f>
        <v>0</v>
      </c>
      <c r="BC2">
        <f>BDH("SDTHQ US Equity","SPREAD_BA_CR","2006-05-21","2011-05-21","Per=M","Days=T","Dir=V")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BDH("SYMSQ US Equity","BS_TOT_ASSET","2006-08-04","2011-08-04","Per=Y","Days=T","Dir=V")</f>
        <v>0</v>
      </c>
      <c r="C2">
        <f>BDH("SYMSQ US Equity","BS_TOT_LIAB2","2006-08-04","2011-08-04","Per=Y","Days=T","Dir=V")</f>
        <v>0</v>
      </c>
      <c r="E2">
        <f>BDH("SYMSQ US Equity","SHORT_AND_LONG_TERM_DEBT","2006-08-04","2011-08-04","Per=Y","Days=T","Dir=V")</f>
        <v>0</v>
      </c>
      <c r="G2">
        <f>BDH("SYMSQ US Equity","BS_ST_BORROW","2006-08-04","2011-08-04","Per=Y","Days=T","Dir=V")</f>
        <v>0</v>
      </c>
      <c r="I2">
        <f>BDH("SYMSQ US Equity","BS_LT_BORROW","2006-08-04","2011-08-04","Per=Y","Days=T","Dir=V")</f>
        <v>0</v>
      </c>
      <c r="K2">
        <f>BDH("SYMSQ US Equity","BS_CASH_NEAR_CASH_ITEM","2006-08-04","2011-08-04","Per=Y","Days=T","Dir=V")</f>
        <v>0</v>
      </c>
      <c r="M2">
        <f>BDH("SYMSQ US Equity","BS_CUR_ASSET_REPORT","2006-08-04","2011-08-04","Per=Y","Days=T","Dir=V")</f>
        <v>0</v>
      </c>
      <c r="O2">
        <f>BDH("SYMSQ US Equity","BS_CUR_LIAB","2006-08-04","2011-08-04","Per=Y","Days=T","Dir=V")</f>
        <v>0</v>
      </c>
      <c r="Q2">
        <f>BDH("SYMSQ US Equity","BS_SHAREHOLDER_EQY_ENDING_PERIOD","2006-08-04","2011-08-04","Per=Y","Days=T","Dir=V")</f>
        <v>0</v>
      </c>
      <c r="S2">
        <f>BDH("SYMSQ US Equity","BS_ACCT_NOTE_RCV","2006-08-04","2011-08-04","Per=Y","Days=T","Dir=V")</f>
        <v>0</v>
      </c>
      <c r="U2">
        <f>BDH("SYMSQ US Equity","BS_INVENTORIES","2006-08-04","2011-08-04","Per=Y","Days=T","Dir=V")</f>
        <v>0</v>
      </c>
      <c r="W2">
        <f>BDH("SYMSQ US Equity","WORKING_CAPITAL","2006-08-04","2011-08-04","Per=Y","Days=T","Dir=V")</f>
        <v>0</v>
      </c>
      <c r="Y2">
        <f>BDH("SYMSQ US Equity","SALES_REV_TURN","2006-08-04","2011-08-04","Per=Y","Days=T","Dir=V")</f>
        <v>0</v>
      </c>
      <c r="AA2">
        <f>BDH("SYMSQ US Equity","EBIT","2006-08-04","2011-08-04","Per=Y","Days=T","Dir=V")</f>
        <v>0</v>
      </c>
      <c r="AC2">
        <f>BDH("SYMSQ US Equity","EBITDA","2006-08-04","2011-08-04","Per=Y","Days=T","Dir=V")</f>
        <v>0</v>
      </c>
      <c r="AE2">
        <f>BDH("SYMSQ US Equity","NET_INCOME","2006-08-04","2011-08-04","Per=Y","Days=T","Dir=V")</f>
        <v>0</v>
      </c>
      <c r="AG2">
        <f>BDH("SYMSQ US Equity","IS_INT_EXPENSE","2006-08-04","2011-08-04","Per=Y","Days=T","Dir=V")</f>
        <v>0</v>
      </c>
      <c r="AI2">
        <f>BDH("SYMSQ US Equity","IS_DEPR_EXP","2006-08-04","2011-08-04","Per=Y","Days=T","Dir=V")</f>
        <v>0</v>
      </c>
      <c r="AK2">
        <f>BDH("SYMSQ US Equity","CF_CASH_FROM_OPER","2006-08-04","2011-08-04","Per=Y","Days=T","Dir=V")</f>
        <v>0</v>
      </c>
      <c r="AM2">
        <f>BDH("SYMSQ US Equity","CAPITAL_EXPEND","2006-08-04","2011-08-04","Per=Y","Days=T","Dir=V")</f>
        <v>0</v>
      </c>
      <c r="AO2">
        <f>BDH("SYMSQ US Equity","CF_FREE_CASH_FLOW","2006-08-04","2011-08-04","Per=Y","Days=T","Dir=V")</f>
        <v>0</v>
      </c>
      <c r="AQ2">
        <f>BDH("SYMSQ US Equity","PX_LAST","2006-08-04","2011-08-04","Per=M","Days=T","Dir=V")</f>
        <v>0</v>
      </c>
      <c r="AS2">
        <f>BDH("SYMSQ US Equity","CUR_MKT_CAP","2006-08-04","2011-08-04","Per=M","Days=T","Dir=V")</f>
        <v>0</v>
      </c>
      <c r="AU2">
        <f>BDH("SYMSQ US Equity","EQY_SH_OUT","2006-08-04","2011-08-04","Per=M","Days=T","Dir=V")</f>
        <v>0</v>
      </c>
      <c r="AW2">
        <f>BDH("SYMSQ US Equity","BETA_RAW_OVERRIABLE","2006-08-04","2011-08-04","Per=M","Days=T","Dir=V")</f>
        <v>0</v>
      </c>
      <c r="AY2">
        <f>BDH("SYMSQ US Equity","PX_VOLUME","2006-08-04","2011-08-04","Per=M","Days=T","Dir=V")</f>
        <v>0</v>
      </c>
      <c r="BA2">
        <f>BDH("SYMSQ US Equity","TURNOVER","2006-08-04","2011-08-04","Per=M","Days=T","Dir=V")</f>
        <v>0</v>
      </c>
      <c r="BC2">
        <f>BDH("SYMSQ US Equity","SPREAD_BA_CR","2006-08-04","2011-08-04","Per=M","Days=T","Dir=V")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BDH("DYNIQ US Equity","BS_TOT_ASSET","2006-08-09","2011-08-09","Per=Y","Days=T","Dir=V")</f>
        <v>0</v>
      </c>
      <c r="C2">
        <f>BDH("DYNIQ US Equity","BS_TOT_LIAB2","2006-08-09","2011-08-09","Per=Y","Days=T","Dir=V")</f>
        <v>0</v>
      </c>
      <c r="E2">
        <f>BDH("DYNIQ US Equity","SHORT_AND_LONG_TERM_DEBT","2006-08-09","2011-08-09","Per=Y","Days=T","Dir=V")</f>
        <v>0</v>
      </c>
      <c r="G2">
        <f>BDH("DYNIQ US Equity","BS_ST_BORROW","2006-08-09","2011-08-09","Per=Y","Days=T","Dir=V")</f>
        <v>0</v>
      </c>
      <c r="I2">
        <f>BDH("DYNIQ US Equity","BS_LT_BORROW","2006-08-09","2011-08-09","Per=Y","Days=T","Dir=V")</f>
        <v>0</v>
      </c>
      <c r="K2">
        <f>BDH("DYNIQ US Equity","BS_CASH_NEAR_CASH_ITEM","2006-08-09","2011-08-09","Per=Y","Days=T","Dir=V")</f>
        <v>0</v>
      </c>
      <c r="M2">
        <f>BDH("DYNIQ US Equity","BS_CUR_ASSET_REPORT","2006-08-09","2011-08-09","Per=Y","Days=T","Dir=V")</f>
        <v>0</v>
      </c>
      <c r="O2">
        <f>BDH("DYNIQ US Equity","BS_CUR_LIAB","2006-08-09","2011-08-09","Per=Y","Days=T","Dir=V")</f>
        <v>0</v>
      </c>
      <c r="Q2">
        <f>BDH("DYNIQ US Equity","BS_SHAREHOLDER_EQY_ENDING_PERIOD","2006-08-09","2011-08-09","Per=Y","Days=T","Dir=V")</f>
        <v>0</v>
      </c>
      <c r="S2">
        <f>BDH("DYNIQ US Equity","BS_ACCT_NOTE_RCV","2006-08-09","2011-08-09","Per=Y","Days=T","Dir=V")</f>
        <v>0</v>
      </c>
      <c r="U2">
        <f>BDH("DYNIQ US Equity","BS_INVENTORIES","2006-08-09","2011-08-09","Per=Y","Days=T","Dir=V")</f>
        <v>0</v>
      </c>
      <c r="W2">
        <f>BDH("DYNIQ US Equity","WORKING_CAPITAL","2006-08-09","2011-08-09","Per=Y","Days=T","Dir=V")</f>
        <v>0</v>
      </c>
      <c r="Y2">
        <f>BDH("DYNIQ US Equity","SALES_REV_TURN","2006-08-09","2011-08-09","Per=Y","Days=T","Dir=V")</f>
        <v>0</v>
      </c>
      <c r="AA2">
        <f>BDH("DYNIQ US Equity","EBIT","2006-08-09","2011-08-09","Per=Y","Days=T","Dir=V")</f>
        <v>0</v>
      </c>
      <c r="AC2">
        <f>BDH("DYNIQ US Equity","EBITDA","2006-08-09","2011-08-09","Per=Y","Days=T","Dir=V")</f>
        <v>0</v>
      </c>
      <c r="AE2">
        <f>BDH("DYNIQ US Equity","NET_INCOME","2006-08-09","2011-08-09","Per=Y","Days=T","Dir=V")</f>
        <v>0</v>
      </c>
      <c r="AG2">
        <f>BDH("DYNIQ US Equity","IS_INT_EXPENSE","2006-08-09","2011-08-09","Per=Y","Days=T","Dir=V")</f>
        <v>0</v>
      </c>
      <c r="AI2">
        <f>BDH("DYNIQ US Equity","IS_DEPR_EXP","2006-08-09","2011-08-09","Per=Y","Days=T","Dir=V")</f>
        <v>0</v>
      </c>
      <c r="AK2">
        <f>BDH("DYNIQ US Equity","CF_CASH_FROM_OPER","2006-08-09","2011-08-09","Per=Y","Days=T","Dir=V")</f>
        <v>0</v>
      </c>
      <c r="AM2">
        <f>BDH("DYNIQ US Equity","CAPITAL_EXPEND","2006-08-09","2011-08-09","Per=Y","Days=T","Dir=V")</f>
        <v>0</v>
      </c>
      <c r="AO2">
        <f>BDH("DYNIQ US Equity","CF_FREE_CASH_FLOW","2006-08-09","2011-08-09","Per=Y","Days=T","Dir=V")</f>
        <v>0</v>
      </c>
      <c r="AQ2">
        <f>BDH("DYNIQ US Equity","PX_LAST","2006-08-09","2011-08-09","Per=M","Days=T","Dir=V")</f>
        <v>0</v>
      </c>
      <c r="AS2">
        <f>BDH("DYNIQ US Equity","CUR_MKT_CAP","2006-08-09","2011-08-09","Per=M","Days=T","Dir=V")</f>
        <v>0</v>
      </c>
      <c r="AU2">
        <f>BDH("DYNIQ US Equity","EQY_SH_OUT","2006-08-09","2011-08-09","Per=M","Days=T","Dir=V")</f>
        <v>0</v>
      </c>
      <c r="AW2">
        <f>BDH("DYNIQ US Equity","BETA_RAW_OVERRIABLE","2006-08-09","2011-08-09","Per=M","Days=T","Dir=V")</f>
        <v>0</v>
      </c>
      <c r="AY2">
        <f>BDH("DYNIQ US Equity","PX_VOLUME","2006-08-09","2011-08-09","Per=M","Days=T","Dir=V")</f>
        <v>0</v>
      </c>
      <c r="BA2">
        <f>BDH("DYNIQ US Equity","TURNOVER","2006-08-09","2011-08-09","Per=M","Days=T","Dir=V")</f>
        <v>0</v>
      </c>
      <c r="BC2">
        <f>BDH("DYNIQ US Equity","SPREAD_BA_CR","2006-08-09","2011-08-09","Per=M","Days=T","Dir=V")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356</v>
      </c>
      <c r="B1" t="s">
        <v>357</v>
      </c>
      <c r="C1" t="s">
        <v>358</v>
      </c>
      <c r="D1" t="s">
        <v>359</v>
      </c>
      <c r="E1" t="s">
        <v>360</v>
      </c>
      <c r="F1" t="s">
        <v>361</v>
      </c>
      <c r="G1" t="s">
        <v>362</v>
      </c>
      <c r="H1" t="s">
        <v>363</v>
      </c>
      <c r="I1" t="s">
        <v>364</v>
      </c>
      <c r="J1" t="s">
        <v>365</v>
      </c>
      <c r="K1" t="s">
        <v>366</v>
      </c>
      <c r="L1" t="s">
        <v>367</v>
      </c>
      <c r="M1" t="s">
        <v>368</v>
      </c>
      <c r="N1" t="s">
        <v>369</v>
      </c>
      <c r="O1" t="s">
        <v>370</v>
      </c>
      <c r="P1" t="s">
        <v>371</v>
      </c>
      <c r="Q1" t="s">
        <v>372</v>
      </c>
      <c r="R1" t="s">
        <v>373</v>
      </c>
      <c r="S1" t="s">
        <v>374</v>
      </c>
      <c r="T1" t="s">
        <v>375</v>
      </c>
      <c r="U1" t="s">
        <v>376</v>
      </c>
      <c r="V1" t="s">
        <v>377</v>
      </c>
      <c r="W1" t="s">
        <v>378</v>
      </c>
      <c r="X1" t="s">
        <v>379</v>
      </c>
      <c r="Y1" t="s">
        <v>380</v>
      </c>
      <c r="Z1" t="s">
        <v>381</v>
      </c>
      <c r="AA1" t="s">
        <v>382</v>
      </c>
      <c r="AB1" t="s">
        <v>383</v>
      </c>
      <c r="AC1" t="s">
        <v>384</v>
      </c>
      <c r="AD1" t="s">
        <v>385</v>
      </c>
      <c r="AE1" t="s">
        <v>386</v>
      </c>
      <c r="AF1" t="s">
        <v>387</v>
      </c>
      <c r="AG1" t="s">
        <v>388</v>
      </c>
      <c r="AH1" t="s">
        <v>389</v>
      </c>
      <c r="AI1" t="s">
        <v>390</v>
      </c>
      <c r="AJ1" t="s">
        <v>391</v>
      </c>
      <c r="AK1" t="s">
        <v>392</v>
      </c>
      <c r="AL1" t="s">
        <v>393</v>
      </c>
      <c r="AM1" t="s">
        <v>394</v>
      </c>
      <c r="AN1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T1" t="s">
        <v>401</v>
      </c>
      <c r="AU1" t="s">
        <v>402</v>
      </c>
      <c r="AV1" t="s">
        <v>403</v>
      </c>
      <c r="AW1" t="s">
        <v>404</v>
      </c>
      <c r="AX1" t="s">
        <v>405</v>
      </c>
      <c r="AY1" t="s">
        <v>406</v>
      </c>
      <c r="AZ1" t="s">
        <v>407</v>
      </c>
      <c r="BA1" t="s">
        <v>408</v>
      </c>
      <c r="BB1" t="s">
        <v>409</v>
      </c>
      <c r="BC1" t="s">
        <v>410</v>
      </c>
      <c r="BD1" t="s">
        <v>411</v>
      </c>
    </row>
    <row r="2" spans="1:56">
      <c r="A2">
        <f>BDH("TRIDQ US Equity","BS_TOT_ASSET","2006-10-06","2011-10-06","Per=Y","Days=T","Dir=V")</f>
        <v>0</v>
      </c>
      <c r="C2">
        <f>BDH("TRIDQ US Equity","BS_TOT_LIAB2","2006-10-06","2011-10-06","Per=Y","Days=T","Dir=V")</f>
        <v>0</v>
      </c>
      <c r="E2">
        <f>BDH("TRIDQ US Equity","SHORT_AND_LONG_TERM_DEBT","2006-10-06","2011-10-06","Per=Y","Days=T","Dir=V")</f>
        <v>0</v>
      </c>
      <c r="G2">
        <f>BDH("TRIDQ US Equity","BS_ST_BORROW","2006-10-06","2011-10-06","Per=Y","Days=T","Dir=V")</f>
        <v>0</v>
      </c>
      <c r="I2">
        <f>BDH("TRIDQ US Equity","BS_LT_BORROW","2006-10-06","2011-10-06","Per=Y","Days=T","Dir=V")</f>
        <v>0</v>
      </c>
      <c r="K2">
        <f>BDH("TRIDQ US Equity","BS_CASH_NEAR_CASH_ITEM","2006-10-06","2011-10-06","Per=Y","Days=T","Dir=V")</f>
        <v>0</v>
      </c>
      <c r="M2">
        <f>BDH("TRIDQ US Equity","BS_CUR_ASSET_REPORT","2006-10-06","2011-10-06","Per=Y","Days=T","Dir=V")</f>
        <v>0</v>
      </c>
      <c r="O2">
        <f>BDH("TRIDQ US Equity","BS_CUR_LIAB","2006-10-06","2011-10-06","Per=Y","Days=T","Dir=V")</f>
        <v>0</v>
      </c>
      <c r="Q2">
        <f>BDH("TRIDQ US Equity","BS_SHAREHOLDER_EQY_ENDING_PERIOD","2006-10-06","2011-10-06","Per=Y","Days=T","Dir=V")</f>
        <v>0</v>
      </c>
      <c r="S2">
        <f>BDH("TRIDQ US Equity","BS_ACCT_NOTE_RCV","2006-10-06","2011-10-06","Per=Y","Days=T","Dir=V")</f>
        <v>0</v>
      </c>
      <c r="U2">
        <f>BDH("TRIDQ US Equity","BS_INVENTORIES","2006-10-06","2011-10-06","Per=Y","Days=T","Dir=V")</f>
        <v>0</v>
      </c>
      <c r="W2">
        <f>BDH("TRIDQ US Equity","WORKING_CAPITAL","2006-10-06","2011-10-06","Per=Y","Days=T","Dir=V")</f>
        <v>0</v>
      </c>
      <c r="Y2">
        <f>BDH("TRIDQ US Equity","SALES_REV_TURN","2006-10-06","2011-10-06","Per=Y","Days=T","Dir=V")</f>
        <v>0</v>
      </c>
      <c r="AA2">
        <f>BDH("TRIDQ US Equity","EBIT","2006-10-06","2011-10-06","Per=Y","Days=T","Dir=V")</f>
        <v>0</v>
      </c>
      <c r="AC2">
        <f>BDH("TRIDQ US Equity","EBITDA","2006-10-06","2011-10-06","Per=Y","Days=T","Dir=V")</f>
        <v>0</v>
      </c>
      <c r="AE2">
        <f>BDH("TRIDQ US Equity","NET_INCOME","2006-10-06","2011-10-06","Per=Y","Days=T","Dir=V")</f>
        <v>0</v>
      </c>
      <c r="AG2">
        <f>BDH("TRIDQ US Equity","IS_INT_EXPENSE","2006-10-06","2011-10-06","Per=Y","Days=T","Dir=V")</f>
        <v>0</v>
      </c>
      <c r="AI2">
        <f>BDH("TRIDQ US Equity","IS_DEPR_EXP","2006-10-06","2011-10-06","Per=Y","Days=T","Dir=V")</f>
        <v>0</v>
      </c>
      <c r="AK2">
        <f>BDH("TRIDQ US Equity","CF_CASH_FROM_OPER","2006-10-06","2011-10-06","Per=Y","Days=T","Dir=V")</f>
        <v>0</v>
      </c>
      <c r="AM2">
        <f>BDH("TRIDQ US Equity","CAPITAL_EXPEND","2006-10-06","2011-10-06","Per=Y","Days=T","Dir=V")</f>
        <v>0</v>
      </c>
      <c r="AO2">
        <f>BDH("TRIDQ US Equity","CF_FREE_CASH_FLOW","2006-10-06","2011-10-06","Per=Y","Days=T","Dir=V")</f>
        <v>0</v>
      </c>
      <c r="AQ2">
        <f>BDH("TRIDQ US Equity","PX_LAST","2006-10-06","2011-10-06","Per=M","Days=T","Dir=V")</f>
        <v>0</v>
      </c>
      <c r="AS2">
        <f>BDH("TRIDQ US Equity","CUR_MKT_CAP","2006-10-06","2011-10-06","Per=M","Days=T","Dir=V")</f>
        <v>0</v>
      </c>
      <c r="AU2">
        <f>BDH("TRIDQ US Equity","EQY_SH_OUT","2006-10-06","2011-10-06","Per=M","Days=T","Dir=V")</f>
        <v>0</v>
      </c>
      <c r="AW2">
        <f>BDH("TRIDQ US Equity","BETA_RAW_OVERRIABLE","2006-10-06","2011-10-06","Per=M","Days=T","Dir=V")</f>
        <v>0</v>
      </c>
      <c r="AY2">
        <f>BDH("TRIDQ US Equity","PX_VOLUME","2006-10-06","2011-10-06","Per=M","Days=T","Dir=V")</f>
        <v>0</v>
      </c>
      <c r="BA2">
        <f>BDH("TRIDQ US Equity","TURNOVER","2006-10-06","2011-10-06","Per=M","Days=T","Dir=V")</f>
        <v>0</v>
      </c>
      <c r="BC2">
        <f>BDH("TRIDQ US Equity","SPREAD_BA_CR","2006-10-06","2011-10-06","Per=M","Days=T","Dir=V")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Security_List</vt:lpstr>
      <vt:lpstr>SA_105_National Equipment Servi</vt:lpstr>
      <vt:lpstr>SA_203_Crown Pacific Partners L</vt:lpstr>
      <vt:lpstr>SA_117_DDI Corp.</vt:lpstr>
      <vt:lpstr>SA_68_NorthWestern Corporation</vt:lpstr>
      <vt:lpstr>SA_251_Cone Mills Corp</vt:lpstr>
      <vt:lpstr>SA_47_Rouge Industries, Inc.</vt:lpstr>
      <vt:lpstr>SA_136_Atlas Air Worldwide Hold</vt:lpstr>
      <vt:lpstr>SA_0_Avado Brands Inc.</vt:lpstr>
      <vt:lpstr>SA_268_RCN Corporation</vt:lpstr>
      <vt:lpstr>SA_13_Choice One Communications</vt:lpstr>
      <vt:lpstr>SA_70_Huffy Corp.</vt:lpstr>
      <vt:lpstr>SA_165_ATA Holdings Corp.</vt:lpstr>
      <vt:lpstr>SA_287_Amcast Industrial Corpor</vt:lpstr>
      <vt:lpstr>SA_206_Trico Marine Services, I</vt:lpstr>
      <vt:lpstr>SA_207_Falcon Products, Inc.</vt:lpstr>
      <vt:lpstr>SA_182_Tower Automotive, Inc.</vt:lpstr>
      <vt:lpstr>SA_53_Winn-Dixie Stores, Inc.</vt:lpstr>
      <vt:lpstr>SA_158_WHX Corporation</vt:lpstr>
      <vt:lpstr>SA_88_Collins &amp; Aikman Corporat</vt:lpstr>
      <vt:lpstr>SA_120_Allied Holdings, Inc.</vt:lpstr>
      <vt:lpstr>SA_267_Delta Air Lines, Inc.</vt:lpstr>
      <vt:lpstr>SA_5_Northwest Airlines Corpora</vt:lpstr>
      <vt:lpstr>SA_79_FLYi, Inc.</vt:lpstr>
      <vt:lpstr>SA_190_Global Power Equipment G</vt:lpstr>
      <vt:lpstr>SA_71_Granite Broadcasting Corp</vt:lpstr>
      <vt:lpstr>SA_49_Hancock Fabrics, Inc.</vt:lpstr>
      <vt:lpstr>SA_93_Pope &amp; Talbot, Inc.</vt:lpstr>
      <vt:lpstr>SA_39_TOUSA, Inc.</vt:lpstr>
      <vt:lpstr>SA_153_MPC Corporation</vt:lpstr>
      <vt:lpstr>SA_211_BearingPoint, Inc.</vt:lpstr>
      <vt:lpstr>SA_27_Journal Register Company</vt:lpstr>
      <vt:lpstr>SA_171_Chemtura Corporation</vt:lpstr>
      <vt:lpstr>SA_243_Charter Communications, </vt:lpstr>
      <vt:lpstr>SA_309_Idearc Inc.</vt:lpstr>
      <vt:lpstr>SA_115_Dayton Superior Corporat</vt:lpstr>
      <vt:lpstr>SA_7_Asyst Technologies, Inc.</vt:lpstr>
      <vt:lpstr>SA_129_Visteon Corporation</vt:lpstr>
      <vt:lpstr>SA_202_R.H. Donnelley Corporati</vt:lpstr>
      <vt:lpstr>SA_102_Lear Corporation</vt:lpstr>
      <vt:lpstr>SA_78_Barzel Industries Inc.</vt:lpstr>
      <vt:lpstr>SA_248_Edge Petroleum Corporati</vt:lpstr>
      <vt:lpstr>SA_164_Champion Enterprises, In</vt:lpstr>
      <vt:lpstr>SA_106_Neff Corp.</vt:lpstr>
      <vt:lpstr>SA_40_Blockbuster Inc.</vt:lpstr>
      <vt:lpstr>SA_57_Seahawk Drilling, Inc.</vt:lpstr>
      <vt:lpstr>SA_209_Jackson Hewitt Tax Servi</vt:lpstr>
      <vt:lpstr>SA_266_ShengdaTech, Inc.</vt:lpstr>
      <vt:lpstr>SA_307_Syms Corp.</vt:lpstr>
      <vt:lpstr>SA_186_Dynegy Holdings, LLC</vt:lpstr>
      <vt:lpstr>SA_274_Trident Microsystems, 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2026-09-30T16:51:34Z</dcterms:created>
  <dcterms:modified xsi:type="dcterms:W3CDTF">2026-09-30T16:51:34Z</dcterms:modified>
</cp:coreProperties>
</file>