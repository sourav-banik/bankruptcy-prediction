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_List" sheetId="1" r:id="rId1"/>
    <sheet name="NB_481_Candel Therapeutics Inc." sheetId="2" r:id="rId2"/>
    <sheet name="NB_482_ConAgra Brands Inc. Comm" sheetId="3" r:id="rId3"/>
    <sheet name="NB_483_Cardinal Health Inc. Com" sheetId="4" r:id="rId4"/>
    <sheet name="NB_484_Caris Life Sciences Inc." sheetId="5" r:id="rId5"/>
    <sheet name="NB_485_Cheesecake Factory Incor" sheetId="6" r:id="rId6"/>
    <sheet name="NB_486_Caleres Inc. Common Stoc" sheetId="7" r:id="rId7"/>
    <sheet name="NB_487_CalciMedica Inc. Common " sheetId="8" r:id="rId8"/>
    <sheet name="NB_488_Cal-Maine Foods Inc. Com" sheetId="9" r:id="rId9"/>
    <sheet name="NB_489_Calix Inc Common Stock" sheetId="10" r:id="rId10"/>
    <sheet name="NB_490_Callaway Golf Company Co" sheetId="11" r:id="rId11"/>
    <sheet name="NB_491_CAMP4 Therapeutics Corpo" sheetId="12" r:id="rId12"/>
    <sheet name="NB_492_CrossAmerica Partners LP" sheetId="13" r:id="rId13"/>
    <sheet name="NB_493_Capricor Therapeutics In" sheetId="14" r:id="rId14"/>
    <sheet name="NB_494_Capstone Holding Corp. C" sheetId="15" r:id="rId15"/>
    <sheet name="NB_495_Avis Budget Group Inc. C" sheetId="16" r:id="rId16"/>
    <sheet name="NB_496_CarGurus Inc. Class A Co" sheetId="17" r:id="rId17"/>
    <sheet name="NB_497_Carlsmed Inc. Common Sto" sheetId="18" r:id="rId18"/>
    <sheet name="NB_498_Carrier Global Corporati" sheetId="19" r:id="rId19"/>
    <sheet name="NB_499_Cars.com Inc. Common Sto" sheetId="20" r:id="rId20"/>
    <sheet name="NB_500_Maplebear Inc. Common St" sheetId="21" r:id="rId21"/>
    <sheet name="NB_501_Cass Information Systems" sheetId="22" r:id="rId22"/>
    <sheet name="NB_502_FreeCast Inc. Class A Co" sheetId="23" r:id="rId23"/>
    <sheet name="NB_503_Casey's General Stores I" sheetId="24" r:id="rId24"/>
    <sheet name="NB_504_Caterpillar Inc. Common " sheetId="25" r:id="rId25"/>
    <sheet name="NB_505_Cato Corporation (The) C" sheetId="26" r:id="rId26"/>
    <sheet name="NB_506_Perspective Therapeutics" sheetId="27" r:id="rId27"/>
    <sheet name="NB_507_CAVA Group Inc. Common S" sheetId="28" r:id="rId28"/>
    <sheet name="NB_508_Crescent Biopharma Inc. " sheetId="29" r:id="rId29"/>
    <sheet name="NB_509_CeriBell Inc. Common Sto" sheetId="30" r:id="rId30"/>
    <sheet name="NB_510_Cracker Barrel Old Count" sheetId="31" r:id="rId31"/>
    <sheet name="NB_511_Cerebras Systems Inc. Cl" sheetId="32" r:id="rId32"/>
    <sheet name="NB_512_Cabot Corporation Common" sheetId="33" r:id="rId33"/>
    <sheet name="NB_513_Cibus Inc. Class A Commo" sheetId="34" r:id="rId34"/>
    <sheet name="NB_514_CBIZ Inc. Common Stock" sheetId="35" r:id="rId35"/>
    <sheet name="NB_515_Chemours Company (The) C" sheetId="36" r:id="rId36"/>
    <sheet name="NB_516_CCC Intelligent Solution" sheetId="37" r:id="rId37"/>
    <sheet name="NB_517_C4 Therapeutics Inc. Com" sheetId="38" r:id="rId38"/>
    <sheet name="NB_518_Cryo-Cell International " sheetId="39" r:id="rId39"/>
    <sheet name="NB_519_Crown Holdings Inc." sheetId="40" r:id="rId40"/>
    <sheet name="NB_520_Carnival Corporation Ltd" sheetId="41" r:id="rId41"/>
    <sheet name="NB_521_CareCloud Inc. Common St" sheetId="42" r:id="rId42"/>
    <sheet name="NB_522_Clear Channel Outdoor Ho" sheetId="43" r:id="rId43"/>
    <sheet name="NB_523_Cogent Communications Ho" sheetId="44" r:id="rId44"/>
    <sheet name="NB_524_Century Communities Inc." sheetId="45" r:id="rId45"/>
    <sheet name="NB_525_Consensus Cloud Solution" sheetId="46" r:id="rId46"/>
    <sheet name="NB_526_Comcast Holdings ZONES" sheetId="47" r:id="rId47"/>
    <sheet name="NB_527_Coeur Mining Inc. Common" sheetId="48" r:id="rId48"/>
    <sheet name="NB_528_Cardio Diagnostics Holdi" sheetId="49" r:id="rId49"/>
    <sheet name="NB_529_Cardlytics Inc. Common S" sheetId="50" r:id="rId50"/>
    <sheet name="NB_530_CareDx Inc. Common Stock" sheetId="51" r:id="rId51"/>
    <sheet name="NB_531_Cardinal Infrastructure " sheetId="52" r:id="rId52"/>
    <sheet name="NB_532_Cadence Design Systems I" sheetId="53" r:id="rId53"/>
    <sheet name="NB_533_Cadre Holdings Inc. Comm" sheetId="54" r:id="rId54"/>
    <sheet name="NB_534_CDT Equity Inc. Common S" sheetId="55" r:id="rId55"/>
    <sheet name="NB_535_CDT Equity Inc. Warrant" sheetId="56" r:id="rId56"/>
    <sheet name="NB_536_CDW Corporation Common S" sheetId="57" r:id="rId57"/>
    <sheet name="NB_537_Codexis Inc. Common Stoc" sheetId="58" r:id="rId58"/>
    <sheet name="NB_538_CADIZ Inc. Common Stock" sheetId="59" r:id="rId59"/>
    <sheet name="NB_539_Cadiz Inc. Depositary Sh" sheetId="60" r:id="rId60"/>
    <sheet name="NB_540_Celanese Corporation Com" sheetId="61" r:id="rId61"/>
    <sheet name="NB_541_CECO Environmental Corp." sheetId="62" r:id="rId62"/>
    <sheet name="NB_542_Constellation Energy Cor" sheetId="63" r:id="rId63"/>
    <sheet name="NB_543_Celcuity Inc. Common Sto" sheetId="64" r:id="rId64"/>
    <sheet name="NB_544_Celsius Holdings Inc. Co" sheetId="65" r:id="rId65"/>
    <sheet name="NB_545_Celularity Inc. Class A " sheetId="66" r:id="rId66"/>
    <sheet name="NB_546_Creative Medical Technol" sheetId="67" r:id="rId67"/>
    <sheet name="NB_547_Central Garden &amp; Pet Com" sheetId="68" r:id="rId68"/>
    <sheet name="NB_548_Central Garden &amp; Pet Com" sheetId="69" r:id="rId69"/>
    <sheet name="NB_549_Century Aluminum Company" sheetId="70" r:id="rId70"/>
    <sheet name="NB_550_Capstone Energy Plus Inc" sheetId="71" r:id="rId71"/>
    <sheet name="NB_551_Cerus Corporation Common" sheetId="72" r:id="rId72"/>
    <sheet name="NB_552_Certara Inc. Common Stoc" sheetId="73" r:id="rId73"/>
    <sheet name="NB_553_Cemtrex Inc. Common Stoc" sheetId="74" r:id="rId74"/>
    <sheet name="NB_554_Clean Energy Technologie" sheetId="75" r:id="rId75"/>
    <sheet name="NB_555_CEVA Inc. Common Stock" sheetId="76" r:id="rId76"/>
    <sheet name="NB_556_CF Industries Holdings I" sheetId="77" r:id="rId77"/>
    <sheet name="NB_557_Cullinan Therapeutics In" sheetId="78" r:id="rId78"/>
    <sheet name="NB_558_Cognex Corporation Commo" sheetId="79" r:id="rId79"/>
    <sheet name="NB_559_CG Oncology Inc. Common " sheetId="80" r:id="rId80"/>
    <sheet name="NB_560_Cognition Therapeutics I" sheetId="81" r:id="rId81"/>
    <sheet name="NB_561_Church &amp; Dwight Company " sheetId="82" r:id="rId82"/>
    <sheet name="NB_562_Churchill Downs Incorpor" sheetId="83" r:id="rId83"/>
    <sheet name="NB_563_Chemed Corp" sheetId="84" r:id="rId84"/>
    <sheet name="NB_564_The Chefs' Warehouse Inc" sheetId="85" r:id="rId85"/>
    <sheet name="NB_565_Change Agents Corporatio" sheetId="86" r:id="rId86"/>
    <sheet name="NB_566_Choice Hotels Internatio" sheetId="87" r:id="rId87"/>
    <sheet name="NB_567_Chord Energy Corporation" sheetId="88" r:id="rId88"/>
    <sheet name="NB_568_ChronoScale Holdings Cor" sheetId="89" r:id="rId89"/>
    <sheet name="NB_569_Coherus Oncology Inc. Co" sheetId="90" r:id="rId90"/>
    <sheet name="NB_570_C.H. Robinson Worldwide " sheetId="91" r:id="rId91"/>
    <sheet name="NB_571_CHS Inc Class B Cumulati" sheetId="92" r:id="rId92"/>
    <sheet name="NB_572_CHS Inc Class B Reset Ra" sheetId="93" r:id="rId93"/>
    <sheet name="NB_573_CHS Inc Preferred Class " sheetId="94" r:id="rId94"/>
    <sheet name="NB_574_CHS Inc. Class B Cumulat" sheetId="95" r:id="rId95"/>
    <sheet name="NB_575_CHS Inc. 8%  Cumulative " sheetId="96" r:id="rId96"/>
    <sheet name="NB_576_Charter Communications I" sheetId="97" r:id="rId97"/>
    <sheet name="NB_577_Charter Communications I" sheetId="98" r:id="rId98"/>
    <sheet name="NB_578_Chewy Inc. Class A Commo" sheetId="99" r:id="rId99"/>
    <sheet name="NB_579_The Cigna Group Common S" sheetId="100" r:id="rId100"/>
    <sheet name="NB_580_Ciena Corporation Common" sheetId="101" r:id="rId101"/>
    <sheet name="NB_581_Cingulate Inc. Common St" sheetId="102" r:id="rId102"/>
    <sheet name="NB_582_Circle8 Group Inc. Commo" sheetId="103" r:id="rId103"/>
    <sheet name="NB_583_CISO Global Inc. Common " sheetId="104" r:id="rId104"/>
    <sheet name="NB_584_CompX International Inc." sheetId="105" r:id="rId105"/>
    <sheet name="NB_585_Callan JMB Inc. Common S" sheetId="106" r:id="rId106"/>
    <sheet name="NB_586_CKX Lands Inc. Common St" sheetId="107" r:id="rId107"/>
    <sheet name="NB_587_Colgate-Palmolive Compan" sheetId="108" r:id="rId108"/>
    <sheet name="NB_588_Clarus Corporation Commo" sheetId="109" r:id="rId109"/>
    <sheet name="NB_589_Celldex Therapeutics Inc" sheetId="110" r:id="rId110"/>
    <sheet name="NB_590_Cleveland-Cliffs Inc. Co" sheetId="111" r:id="rId111"/>
    <sheet name="NB_591_Clearfield Inc. Common S" sheetId="112" r:id="rId112"/>
    <sheet name="NB_592_Clean Harbors Inc. Commo" sheetId="113" r:id="rId113"/>
    <sheet name="NB_593_ClearSign Technologies C" sheetId="114" r:id="rId114"/>
    <sheet name="NB_594_Climb Global Solutions I" sheetId="115" r:id="rId115"/>
    <sheet name="NB_595_Calumet Inc. Common Stoc" sheetId="116" r:id="rId116"/>
    <sheet name="NB_596_Clean Energy Fuels Corp." sheetId="117" r:id="rId117"/>
    <sheet name="NB_597_Clene Inc. Common Stock" sheetId="118" r:id="rId118"/>
    <sheet name="NB_598_Clover Health Investment" sheetId="119" r:id="rId119"/>
    <sheet name="NB_599_ClearPoint Neuro Inc. Co" sheetId="120" r:id="rId120"/>
    <sheet name="NB_600_Cellectar Biosciences In" sheetId="121" r:id="rId121"/>
    <sheet name="NB_601_ClearOne Inc. Common Sto" sheetId="122" r:id="rId122"/>
    <sheet name="NB_602_Clearwater Paper Corpora" sheetId="123" r:id="rId123"/>
    <sheet name="NB_603_Clorox Company (The) Com" sheetId="124" r:id="rId124"/>
    <sheet name="NB_604_Climb Bio Inc. Common St" sheetId="125" r:id="rId125"/>
    <sheet name="NB_605_Commercial Metals Compan" sheetId="126" r:id="rId126"/>
    <sheet name="NB_606_Columbus McKinnon Corpor" sheetId="127" r:id="rId127"/>
    <sheet name="NB_607_Comcast Corporation Clas" sheetId="128" r:id="rId128"/>
    <sheet name="NB_608_Chipotle Mexican Grill I" sheetId="129" r:id="rId129"/>
    <sheet name="NB_609_Cummins Inc. Common Stoc" sheetId="130" r:id="rId130"/>
    <sheet name="NB_610_Compass Minerals Intl In" sheetId="131" r:id="rId131"/>
    <sheet name="NB_611_Compass Therapeutics Inc" sheetId="132" r:id="rId132"/>
    <sheet name="NB_612_Commerce.com Inc. Series" sheetId="133" r:id="rId133"/>
    <sheet name="NB_613_CMS Energy Corporation C" sheetId="134" r:id="rId134"/>
    <sheet name="NB_614_CMS Energy Corporation 5" sheetId="135" r:id="rId135"/>
    <sheet name="NB_615_CMS Energy Corporation 5" sheetId="136" r:id="rId136"/>
    <sheet name="NB_616_CMS Energy Corporation 5" sheetId="137" r:id="rId137"/>
    <sheet name="NB_617_Core Molding Technologie" sheetId="138" r:id="rId138"/>
    <sheet name="NB_618_Comtech Telecommunicatio" sheetId="139" r:id="rId139"/>
    <sheet name="NB_619_Centene Corporation Comm" sheetId="140" r:id="rId140"/>
    <sheet name="NB_620_Conduent Incorporated Co" sheetId="141" r:id="rId141"/>
    <sheet name="NB_621_Cinemark Holdings Inc Ci" sheetId="142" r:id="rId142"/>
    <sheet name="NB_622_Core &amp; Main Inc. Class A" sheetId="143" r:id="rId143"/>
    <sheet name="NB_623_CONMED Corporation Commo" sheetId="144" r:id="rId144"/>
    <sheet name="NB_624_Cannae Holdings Inc. Com" sheetId="145" r:id="rId145"/>
    <sheet name="NB_625_CenterPoint Energy Inc (" sheetId="146" r:id="rId146"/>
    <sheet name="NB_626_Core Natural Resources I" sheetId="147" r:id="rId147"/>
    <sheet name="NB_627_CNS Pharmaceuticals Inc." sheetId="148" r:id="rId148"/>
    <sheet name="NB_628_Cerenome Inc. Common Sto" sheetId="149" r:id="rId149"/>
    <sheet name="NB_629_Canton Strategic Holding" sheetId="150" r:id="rId150"/>
    <sheet name="NB_630_Context Therapeutics Inc" sheetId="151" r:id="rId151"/>
    <sheet name="NB_631_Century Casinos Inc. Com" sheetId="152" r:id="rId152"/>
    <sheet name="NB_632_Cineverse Corp. Class A " sheetId="153" r:id="rId153"/>
    <sheet name="NB_633_CNX Resources Corporatio" sheetId="154" r:id="rId154"/>
    <sheet name="NB_634_Concentrix Corporation C" sheetId="155" r:id="rId155"/>
    <sheet name="NB_635_PC Connection Inc. Commo" sheetId="156" r:id="rId156"/>
    <sheet name="NB_636_Conexeu Sciences Inc. Co" sheetId="157" r:id="rId157"/>
    <sheet name="NB_637_Hemab Therapeutics Holdi" sheetId="158" r:id="rId158"/>
    <sheet name="NB_638_Envoy Medical Inc. Class" sheetId="159" r:id="rId159"/>
    <sheet name="NB_639_Envoy Medical Inc Warran" sheetId="160" r:id="rId160"/>
    <sheet name="NB_640_The Vita Coco Company In" sheetId="161" r:id="rId161"/>
    <sheet name="NB_641_Cocrystal Pharma Inc. Co" sheetId="162" r:id="rId162"/>
    <sheet name="NB_642_Coda Octopus Group Inc. " sheetId="163" r:id="rId163"/>
    <sheet name="NB_643_DBA Compass Diversified " sheetId="164" r:id="rId164"/>
    <sheet name="NB_644_Co-Diagnostics Inc. Comm" sheetId="165" r:id="rId165"/>
    <sheet name="NB_645_Cogent Biosciences Inc. " sheetId="166" r:id="rId166"/>
    <sheet name="NB_646_Coherent Corp. Common St" sheetId="167" r:id="rId167"/>
    <sheet name="NB_647_Cohu Inc. Common Stock" sheetId="168" r:id="rId168"/>
    <sheet name="NB_648_Coca-Cola Consolidated I" sheetId="169" r:id="rId169"/>
    <sheet name="NB_649_Collegium Pharmaceutical" sheetId="170" r:id="rId170"/>
    <sheet name="NB_650_Columbia Sportswear Comp" sheetId="171" r:id="rId171"/>
    <sheet name="NB_651_Concentra Group Holdings" sheetId="172" r:id="rId172"/>
    <sheet name="NB_652_The Cooper Companies Inc" sheetId="173" r:id="rId173"/>
    <sheet name="NB_653_Traeger Inc. Common Stoc" sheetId="174" r:id="rId174"/>
    <sheet name="NB_654_ConocoPhillips Common St" sheetId="175" r:id="rId175"/>
    <sheet name="NB_655_Cencora Inc. Common Stoc" sheetId="176" r:id="rId176"/>
    <sheet name="NB_656_Corcept Therapeutics Inc" sheetId="177" r:id="rId177"/>
    <sheet name="NB_657_Cosmos Health Inc. Commo" sheetId="178" r:id="rId178"/>
    <sheet name="NB_658_Costco Wholesale Corpora" sheetId="179" r:id="rId179"/>
    <sheet name="NB_659_Coty Inc. Class A Common" sheetId="180" r:id="rId180"/>
    <sheet name="NB_660_Coursera Inc. Common Sto" sheetId="181" r:id="rId181"/>
    <sheet name="NB_661_Coya Therapeutics Inc. C" sheetId="182" r:id="rId182"/>
    <sheet name="NB_662_Corpay Inc. Common Stock" sheetId="183" r:id="rId183"/>
    <sheet name="NB_663_The Campbell's Company C" sheetId="184" r:id="rId184"/>
    <sheet name="NB_664_Canterbury Park Holding " sheetId="185" r:id="rId185"/>
    <sheet name="NB_665_Cumberland Pharmaceutica" sheetId="186" r:id="rId186"/>
    <sheet name="NB_666_Chesapeake Utilities Cor" sheetId="187" r:id="rId187"/>
    <sheet name="NB_667_Coupang Inc. Class A Com" sheetId="188" r:id="rId188"/>
    <sheet name="NB_668_Copart Inc. (DE) Common " sheetId="189" r:id="rId189"/>
    <sheet name="NB_669_Cooper-Standard Holdings" sheetId="190" r:id="rId190"/>
    <sheet name="NB_670_CPS Technologies Corp. C" sheetId="191" r:id="rId191"/>
    <sheet name="NB_671_Cheniere Energy Partners" sheetId="192" r:id="rId192"/>
    <sheet name="NB_672_Crane Company Common Sto" sheetId="193" r:id="rId193"/>
    <sheet name="NB_673_CRA International Inc. C" sheetId="194" r:id="rId194"/>
    <sheet name="NB_674_Corbus Pharmaceuticals H" sheetId="195" r:id="rId195"/>
    <sheet name="NB_675_Caribou Biosciences Inc." sheetId="196" r:id="rId196"/>
    <sheet name="NB_676_California Resources Cor" sheetId="197" r:id="rId197"/>
    <sheet name="NB_677_Cricut Inc. Class A Comm" sheetId="198" r:id="rId198"/>
    <sheet name="NB_678_Cardiff Oncology Inc. Co" sheetId="199" r:id="rId199"/>
    <sheet name="NB_679_Credo Technology Group H" sheetId="200" r:id="rId200"/>
    <sheet name="NB_680_Creative Realities Inc. " sheetId="201" r:id="rId201"/>
    <sheet name="NB_681_Crescent Energy Company " sheetId="202" r:id="rId202"/>
    <sheet name="NB_682_Carter's Inc. Common Sto" sheetId="203" r:id="rId203"/>
    <sheet name="NB_683_Curis Inc. Common Stock" sheetId="204" r:id="rId204"/>
    <sheet name="NB_684_Comstock Resources Inc. " sheetId="205" r:id="rId205"/>
    <sheet name="NB_685_Charles River Laboratori" sheetId="206" r:id="rId206"/>
    <sheet name="NB_686_Salesforce Inc. Common S" sheetId="207" r:id="rId207"/>
    <sheet name="NB_687_CorMedix Inc. Common Sto" sheetId="208" r:id="rId208"/>
    <sheet name="NB_688_America's Car-Mart Inc C" sheetId="209" r:id="rId209"/>
    <sheet name="NB_689_Cerence Inc. Common Stoc" sheetId="210" r:id="rId210"/>
    <sheet name="NB_690_Crocs Inc. Common Stock" sheetId="211" r:id="rId211"/>
    <sheet name="NB_691_Carpenter Technology Cor" sheetId="212" r:id="rId212"/>
    <sheet name="NB_692_Corsair Gaming Inc. Comm" sheetId="213" r:id="rId213"/>
    <sheet name="NB_693_Cross Timbers Royalty Tr" sheetId="214" r:id="rId214"/>
    <sheet name="NB_694_Cirrus Logic Inc. Common" sheetId="215" r:id="rId215"/>
    <sheet name="NB_695_CervoMed Inc. Common Sto" sheetId="216" r:id="rId216"/>
    <sheet name="NB_696_Corvus Pharmaceuticals I" sheetId="217" r:id="rId217"/>
    <sheet name="NB_697_CrowdStrike Holdings Inc" sheetId="218" r:id="rId218"/>
    <sheet name="NB_698_Crown Crafts Inc Common " sheetId="219" r:id="rId219"/>
    <sheet name="NB_699_CoreWeave Inc. Class A C" sheetId="220" r:id="rId220"/>
    <sheet name="NB_700_Cloudastructure Inc. Cla" sheetId="221" r:id="rId221"/>
    <sheet name="NB_701_Champions Oncology Inc. " sheetId="222" r:id="rId222"/>
    <sheet name="NB_702_Cisco Systems Inc. Commo" sheetId="223" r:id="rId223"/>
    <sheet name="NB_703_Carlisle Companies Incor" sheetId="224" r:id="rId224"/>
    <sheet name="NB_704_CSP Inc. Common Stock" sheetId="225" r:id="rId225"/>
    <sheet name="NB_705_Castle Biosciences Inc. " sheetId="226" r:id="rId226"/>
    <sheet name="NB_706_Carriage Services Inc. C" sheetId="227" r:id="rId227"/>
    <sheet name="NB_707_CSW Industrials Inc. Com" sheetId="228" r:id="rId228"/>
    <sheet name="NB_708_Capital Southwest Corpor" sheetId="229" r:id="rId229"/>
    <sheet name="NB_709_CSX Corporation Common S" sheetId="230" r:id="rId230"/>
    <sheet name="NB_710_Cintas Corporation Commo" sheetId="231" r:id="rId231"/>
    <sheet name="NB_711_Claritev Corporation Cla" sheetId="232" r:id="rId232"/>
    <sheet name="NB_712_Contango Silver &amp; Gold I" sheetId="233" r:id="rId233"/>
    <sheet name="NB_713_Cytek Biosciences Inc. C" sheetId="234" r:id="rId234"/>
    <sheet name="NB_714_CytomX Therapeutics Inc." sheetId="235" r:id="rId235"/>
    <sheet name="NB_715_Contineum Therapeutics I" sheetId="236" r:id="rId236"/>
    <sheet name="NB_716_Cheetah Net Supply Chain" sheetId="237" r:id="rId237"/>
    <sheet name="NB_717_Citius Oncology Inc. Com" sheetId="238" r:id="rId238"/>
    <sheet name="NB_718_Centuri Holdings Inc. Co" sheetId="239" r:id="rId239"/>
    <sheet name="NB_719_Citi Trends Inc. Common " sheetId="240" r:id="rId240"/>
    <sheet name="NB_720_CTS Corporation Common S" sheetId="241" r:id="rId241"/>
    <sheet name="NB_721_Cognizant Technology Sol" sheetId="242" r:id="rId242"/>
    <sheet name="NB_722_Cytosorbents Corporation" sheetId="243" r:id="rId243"/>
    <sheet name="NB_723_Corteva Inc. Common Stoc" sheetId="244" r:id="rId244"/>
    <sheet name="NB_724_Citius Pharmaceuticals I" sheetId="245" r:id="rId245"/>
    <sheet name="NB_725_Lionheart Holdings Class" sheetId="246" r:id="rId246"/>
    <sheet name="NB_726_Lionheart Holdings Warra" sheetId="247" r:id="rId247"/>
    <sheet name="NB_727_Cue Biopharma Inc. Commo" sheetId="248" r:id="rId248"/>
    <sheet name="NB_728_Culp Inc. Common Stock" sheetId="249" r:id="rId249"/>
    <sheet name="NB_729_CuriosityStream Inc. Cla" sheetId="250" r:id="rId250"/>
    <sheet name="NB_730_Torrid Holdings Inc. Com" sheetId="251" r:id="rId251"/>
  </sheets>
  <calcPr calcId="124519" fullCalcOnLoad="1"/>
</workbook>
</file>

<file path=xl/sharedStrings.xml><?xml version="1.0" encoding="utf-8"?>
<sst xmlns="http://schemas.openxmlformats.org/spreadsheetml/2006/main" count="15763" uniqueCount="1165">
  <si>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</si>
  <si>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</si>
  <si>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</si>
  <si>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</si>
  <si>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</si>
  <si>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</si>
  <si>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</si>
  <si>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</si>
  <si>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</si>
  <si>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</si>
  <si>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</si>
  <si>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bloomberg_sector</t>
  </si>
  <si>
    <t>bloomberg_industry</t>
  </si>
  <si>
    <t>NB_481</t>
  </si>
  <si>
    <t>nonbankrupt</t>
  </si>
  <si>
    <t/>
  </si>
  <si>
    <t>CADL</t>
  </si>
  <si>
    <t>Candel Therapeutics Inc. Common Stock</t>
  </si>
  <si>
    <t>Health Care</t>
  </si>
  <si>
    <t>Biotechnology: Biological Products (No Diagnostic Substances)</t>
  </si>
  <si>
    <t>CADL US Equity</t>
  </si>
  <si>
    <t>1993-06-18</t>
  </si>
  <si>
    <t>2026-05-02</t>
  </si>
  <si>
    <t>NB_482</t>
  </si>
  <si>
    <t>CAG</t>
  </si>
  <si>
    <t>ConAgra Brands Inc. Common Stock</t>
  </si>
  <si>
    <t>Consumer Staples</t>
  </si>
  <si>
    <t>Packaged Foods</t>
  </si>
  <si>
    <t>CAG US Equity</t>
  </si>
  <si>
    <t>NB_483</t>
  </si>
  <si>
    <t>CAH</t>
  </si>
  <si>
    <t>Cardinal Health Inc. Common Stock</t>
  </si>
  <si>
    <t>Other Pharmaceuticals</t>
  </si>
  <si>
    <t>CAH US Equity</t>
  </si>
  <si>
    <t>NB_484</t>
  </si>
  <si>
    <t>CAI</t>
  </si>
  <si>
    <t>Caris Life Sciences Inc. Common Stock</t>
  </si>
  <si>
    <t>Medical Specialities</t>
  </si>
  <si>
    <t>CAI US Equity</t>
  </si>
  <si>
    <t>NB_485</t>
  </si>
  <si>
    <t>CAKE</t>
  </si>
  <si>
    <t>Cheesecake Factory Incorporated (The) Common Stock</t>
  </si>
  <si>
    <t>Consumer Discretionary</t>
  </si>
  <si>
    <t>Restaurants</t>
  </si>
  <si>
    <t>CAKE US Equity</t>
  </si>
  <si>
    <t>NB_486</t>
  </si>
  <si>
    <t>CAL</t>
  </si>
  <si>
    <t>Caleres Inc. Common Stock</t>
  </si>
  <si>
    <t>Shoe Manufacturing</t>
  </si>
  <si>
    <t>CAL US Equity</t>
  </si>
  <si>
    <t>NB_487</t>
  </si>
  <si>
    <t>CALC</t>
  </si>
  <si>
    <t>CalciMedica Inc. Common Stock</t>
  </si>
  <si>
    <t>Biotechnology: Pharmaceutical Preparations</t>
  </si>
  <si>
    <t>CALC US Equity</t>
  </si>
  <si>
    <t>NB_488</t>
  </si>
  <si>
    <t>CALM</t>
  </si>
  <si>
    <t>Cal-Maine Foods Inc. Common Stock</t>
  </si>
  <si>
    <t>Farming/Seeds/Milling</t>
  </si>
  <si>
    <t>CALM US Equity</t>
  </si>
  <si>
    <t>NB_489</t>
  </si>
  <si>
    <t>CALX</t>
  </si>
  <si>
    <t>Calix Inc Common Stock</t>
  </si>
  <si>
    <t>Telecommunications Equipment</t>
  </si>
  <si>
    <t>CALX US Equity</t>
  </si>
  <si>
    <t>NB_490</t>
  </si>
  <si>
    <t>CALY</t>
  </si>
  <si>
    <t>Callaway Golf Company Common Stock</t>
  </si>
  <si>
    <t>Recreational Games/Products/Toys</t>
  </si>
  <si>
    <t>CALY US Equity</t>
  </si>
  <si>
    <t>NB_491</t>
  </si>
  <si>
    <t>CAMP</t>
  </si>
  <si>
    <t>CAMP4 Therapeutics Corporation Common Stock</t>
  </si>
  <si>
    <t>CAMP US Equity</t>
  </si>
  <si>
    <t>NB_492</t>
  </si>
  <si>
    <t>CAPL</t>
  </si>
  <si>
    <t>CrossAmerica Partners LP Common Units representing limited partner interests</t>
  </si>
  <si>
    <t>Energy</t>
  </si>
  <si>
    <t>Oil Refining/Marketing</t>
  </si>
  <si>
    <t>CAPL US Equity</t>
  </si>
  <si>
    <t>NB_493</t>
  </si>
  <si>
    <t>CAPR</t>
  </si>
  <si>
    <t>Capricor Therapeutics Inc. Common Stock</t>
  </si>
  <si>
    <t>CAPR US Equity</t>
  </si>
  <si>
    <t>NB_494</t>
  </si>
  <si>
    <t>CAPS</t>
  </si>
  <si>
    <t>Capstone Holding Corp. Common Stock</t>
  </si>
  <si>
    <t>RETAIL: Building Materials</t>
  </si>
  <si>
    <t>CAPS US Equity</t>
  </si>
  <si>
    <t>NB_495</t>
  </si>
  <si>
    <t>CAR</t>
  </si>
  <si>
    <t>Avis Budget Group Inc. Common Stock</t>
  </si>
  <si>
    <t>Rental/Leasing Companies</t>
  </si>
  <si>
    <t>CAR US Equity</t>
  </si>
  <si>
    <t>NB_496</t>
  </si>
  <si>
    <t>CARG</t>
  </si>
  <si>
    <t>CarGurus Inc. Class A Common Stock</t>
  </si>
  <si>
    <t>Technology</t>
  </si>
  <si>
    <t>EDP Services</t>
  </si>
  <si>
    <t>CARG US Equity</t>
  </si>
  <si>
    <t>NB_497</t>
  </si>
  <si>
    <t>CARL</t>
  </si>
  <si>
    <t>Carlsmed Inc. Common Stock</t>
  </si>
  <si>
    <t>Medical/Dental Instruments</t>
  </si>
  <si>
    <t>CARL US Equity</t>
  </si>
  <si>
    <t>NB_498</t>
  </si>
  <si>
    <t>CARR</t>
  </si>
  <si>
    <t>Carrier Global Corporation Common Stock</t>
  </si>
  <si>
    <t>Industrials</t>
  </si>
  <si>
    <t>Industrial Machinery/Components</t>
  </si>
  <si>
    <t>CARR US Equity</t>
  </si>
  <si>
    <t>NB_499</t>
  </si>
  <si>
    <t>CARS</t>
  </si>
  <si>
    <t>Cars.com Inc. Common Stock</t>
  </si>
  <si>
    <t>CARS US Equity</t>
  </si>
  <si>
    <t>NB_500</t>
  </si>
  <si>
    <t>CART</t>
  </si>
  <si>
    <t>Maplebear Inc. Common Stock</t>
  </si>
  <si>
    <t>Business Services</t>
  </si>
  <si>
    <t>CART US Equity</t>
  </si>
  <si>
    <t>NB_501</t>
  </si>
  <si>
    <t>CASS</t>
  </si>
  <si>
    <t>Cass Information Systems Inc Common Stock</t>
  </si>
  <si>
    <t>CASS US Equity</t>
  </si>
  <si>
    <t>NB_502</t>
  </si>
  <si>
    <t>CAST</t>
  </si>
  <si>
    <t>FreeCast Inc. Class A Common Stock</t>
  </si>
  <si>
    <t>CAST US Equity</t>
  </si>
  <si>
    <t>NB_503</t>
  </si>
  <si>
    <t>CASY</t>
  </si>
  <si>
    <t>Casey's General Stores Inc. Common Stock</t>
  </si>
  <si>
    <t>Retail-Auto Dealers and Gas Stations</t>
  </si>
  <si>
    <t>CASY US Equity</t>
  </si>
  <si>
    <t>NB_504</t>
  </si>
  <si>
    <t>CAT</t>
  </si>
  <si>
    <t>Caterpillar Inc. Common Stock</t>
  </si>
  <si>
    <t>Construction/Ag Equipment/Trucks</t>
  </si>
  <si>
    <t>CAT US Equity</t>
  </si>
  <si>
    <t>NB_505</t>
  </si>
  <si>
    <t>CATO</t>
  </si>
  <si>
    <t>Cato Corporation (The) Class A Common Stock</t>
  </si>
  <si>
    <t>Clothing/Shoe/Accessory Stores</t>
  </si>
  <si>
    <t>CATO US Equity</t>
  </si>
  <si>
    <t>NB_506</t>
  </si>
  <si>
    <t>CATX</t>
  </si>
  <si>
    <t>Perspective Therapeutics Inc. Common Stock</t>
  </si>
  <si>
    <t>CATX US Equity</t>
  </si>
  <si>
    <t>NB_507</t>
  </si>
  <si>
    <t>CAVA</t>
  </si>
  <si>
    <t>CAVA Group Inc. Common Stock</t>
  </si>
  <si>
    <t>CAVA US Equity</t>
  </si>
  <si>
    <t>NB_508</t>
  </si>
  <si>
    <t>CBIO</t>
  </si>
  <si>
    <t>Crescent Biopharma Inc. Common Stock</t>
  </si>
  <si>
    <t>CBIO US Equity</t>
  </si>
  <si>
    <t>NB_509</t>
  </si>
  <si>
    <t>CBLL</t>
  </si>
  <si>
    <t>CeriBell Inc. Common Stock</t>
  </si>
  <si>
    <t>Biotechnology: Electromedical &amp; Electrotherapeutic Apparatus</t>
  </si>
  <si>
    <t>CBLL US Equity</t>
  </si>
  <si>
    <t>NB_510</t>
  </si>
  <si>
    <t>CBRL</t>
  </si>
  <si>
    <t>Cracker Barrel Old Country Store Inc Common Stock</t>
  </si>
  <si>
    <t>CBRL US Equity</t>
  </si>
  <si>
    <t>NB_511</t>
  </si>
  <si>
    <t>CBRS</t>
  </si>
  <si>
    <t>Cerebras Systems Inc. Class A Common Stock</t>
  </si>
  <si>
    <t>Semiconductors</t>
  </si>
  <si>
    <t>CBRS US Equity</t>
  </si>
  <si>
    <t>NB_512</t>
  </si>
  <si>
    <t>CBT</t>
  </si>
  <si>
    <t>Cabot Corporation Common Stock</t>
  </si>
  <si>
    <t>Major Chemicals</t>
  </si>
  <si>
    <t>CBT US Equity</t>
  </si>
  <si>
    <t>NB_513</t>
  </si>
  <si>
    <t>CBUS</t>
  </si>
  <si>
    <t>Cibus Inc. Class A Common Stock</t>
  </si>
  <si>
    <t>Agricultural Chemicals</t>
  </si>
  <si>
    <t>CBUS US Equity</t>
  </si>
  <si>
    <t>NB_514</t>
  </si>
  <si>
    <t>CBZ</t>
  </si>
  <si>
    <t>CBIZ Inc. Common Stock</t>
  </si>
  <si>
    <t>CBZ US Equity</t>
  </si>
  <si>
    <t>NB_515</t>
  </si>
  <si>
    <t>CC</t>
  </si>
  <si>
    <t>Chemours Company (The) Common Stock</t>
  </si>
  <si>
    <t>CC US Equity</t>
  </si>
  <si>
    <t>NB_516</t>
  </si>
  <si>
    <t>CCC</t>
  </si>
  <si>
    <t>CCC Intelligent Solutions Holdings Inc. Common Stock</t>
  </si>
  <si>
    <t>Computer Software: Prepackaged Software</t>
  </si>
  <si>
    <t>CCC US Equity</t>
  </si>
  <si>
    <t>NB_517</t>
  </si>
  <si>
    <t>CCCC</t>
  </si>
  <si>
    <t>C4 Therapeutics Inc. Common Stock</t>
  </si>
  <si>
    <t>CCCC US Equity</t>
  </si>
  <si>
    <t>NB_518</t>
  </si>
  <si>
    <t>CCEL</t>
  </si>
  <si>
    <t>Cryo-Cell International Inc. Common Stock</t>
  </si>
  <si>
    <t>Misc Health and Biotechnology Services</t>
  </si>
  <si>
    <t>CCEL US Equity</t>
  </si>
  <si>
    <t>NB_519</t>
  </si>
  <si>
    <t>CCK</t>
  </si>
  <si>
    <t>Crown Holdings Inc.</t>
  </si>
  <si>
    <t>Containers/Packaging</t>
  </si>
  <si>
    <t>CCK US Equity</t>
  </si>
  <si>
    <t>NB_520</t>
  </si>
  <si>
    <t>CCL</t>
  </si>
  <si>
    <t>Carnival Corporation Ltd. Common Shares</t>
  </si>
  <si>
    <t>Marine Transportation</t>
  </si>
  <si>
    <t>CCL US Equity</t>
  </si>
  <si>
    <t>NB_521</t>
  </si>
  <si>
    <t>CCLD</t>
  </si>
  <si>
    <t>CareCloud Inc. Common Stock</t>
  </si>
  <si>
    <t>CCLD US Equity</t>
  </si>
  <si>
    <t>NB_522</t>
  </si>
  <si>
    <t>CCO</t>
  </si>
  <si>
    <t>Clear Channel Outdoor Holdings Inc. Common Stock</t>
  </si>
  <si>
    <t>Advertising</t>
  </si>
  <si>
    <t>CCO US Equity</t>
  </si>
  <si>
    <t>NB_523</t>
  </si>
  <si>
    <t>CCOI</t>
  </si>
  <si>
    <t>Cogent Communications Holdings Inc.</t>
  </si>
  <si>
    <t>CCOI US Equity</t>
  </si>
  <si>
    <t>NB_524</t>
  </si>
  <si>
    <t>CCS</t>
  </si>
  <si>
    <t>Century Communities Inc. Common Stock</t>
  </si>
  <si>
    <t>Homebuilding</t>
  </si>
  <si>
    <t>CCS US Equity</t>
  </si>
  <si>
    <t>NB_525</t>
  </si>
  <si>
    <t>CCSI</t>
  </si>
  <si>
    <t>Consensus Cloud Solutions Inc. Common Stock</t>
  </si>
  <si>
    <t>CCSI US Equity</t>
  </si>
  <si>
    <t>NB_526</t>
  </si>
  <si>
    <t>CCZ</t>
  </si>
  <si>
    <t>Comcast Holdings ZONES</t>
  </si>
  <si>
    <t>Telecommunications</t>
  </si>
  <si>
    <t>Cable &amp; Other Pay Television Services</t>
  </si>
  <si>
    <t>CCZ US Equity</t>
  </si>
  <si>
    <t>NB_527</t>
  </si>
  <si>
    <t>CDE</t>
  </si>
  <si>
    <t>Coeur Mining Inc. Common Stock</t>
  </si>
  <si>
    <t>Basic Materials</t>
  </si>
  <si>
    <t>Precious Metals</t>
  </si>
  <si>
    <t>CDE US Equity</t>
  </si>
  <si>
    <t>NB_528</t>
  </si>
  <si>
    <t>CDIO</t>
  </si>
  <si>
    <t>Cardio Diagnostics Holdings Inc. Common stock</t>
  </si>
  <si>
    <t>Biotechnology: In Vitro &amp; In Vivo Diagnostic Substances</t>
  </si>
  <si>
    <t>CDIO US Equity</t>
  </si>
  <si>
    <t>NB_529</t>
  </si>
  <si>
    <t>CDLX</t>
  </si>
  <si>
    <t>Cardlytics Inc. Common Stock</t>
  </si>
  <si>
    <t>Computer Software: Programming Data Processing</t>
  </si>
  <si>
    <t>CDLX US Equity</t>
  </si>
  <si>
    <t>NB_530</t>
  </si>
  <si>
    <t>CDNA</t>
  </si>
  <si>
    <t>CareDx Inc. Common Stock</t>
  </si>
  <si>
    <t>CDNA US Equity</t>
  </si>
  <si>
    <t>NB_531</t>
  </si>
  <si>
    <t>CDNL</t>
  </si>
  <si>
    <t>Cardinal Infrastructure Group Inc. Class A Common Stock</t>
  </si>
  <si>
    <t>Military/Government/Technical</t>
  </si>
  <si>
    <t>CDNL US Equity</t>
  </si>
  <si>
    <t>NB_532</t>
  </si>
  <si>
    <t>CDNS</t>
  </si>
  <si>
    <t>Cadence Design Systems Inc. Common Stock</t>
  </si>
  <si>
    <t>CDNS US Equity</t>
  </si>
  <si>
    <t>NB_533</t>
  </si>
  <si>
    <t>CDRE</t>
  </si>
  <si>
    <t>Cadre Holdings Inc. Common Stock</t>
  </si>
  <si>
    <t>Industrial Specialties</t>
  </si>
  <si>
    <t>CDRE US Equity</t>
  </si>
  <si>
    <t>NB_534</t>
  </si>
  <si>
    <t>CDT</t>
  </si>
  <si>
    <t>CDT Equity Inc. Common Stock</t>
  </si>
  <si>
    <t>CDT US Equity</t>
  </si>
  <si>
    <t>NB_535</t>
  </si>
  <si>
    <t>CDTTW</t>
  </si>
  <si>
    <t>CDT Equity Inc. Warrant</t>
  </si>
  <si>
    <t>CDTTW US Equity</t>
  </si>
  <si>
    <t>NB_536</t>
  </si>
  <si>
    <t>CDW</t>
  </si>
  <si>
    <t>CDW Corporation Common Stock</t>
  </si>
  <si>
    <t>Catalog/Specialty Distribution</t>
  </si>
  <si>
    <t>CDW US Equity</t>
  </si>
  <si>
    <t>NB_537</t>
  </si>
  <si>
    <t>CDXS</t>
  </si>
  <si>
    <t>Codexis Inc. Common Stock</t>
  </si>
  <si>
    <t>CDXS US Equity</t>
  </si>
  <si>
    <t>NB_538</t>
  </si>
  <si>
    <t>CDZI</t>
  </si>
  <si>
    <t>CADIZ Inc. Common Stock</t>
  </si>
  <si>
    <t>Utilities</t>
  </si>
  <si>
    <t>Water Supply</t>
  </si>
  <si>
    <t>CDZI US Equity</t>
  </si>
  <si>
    <t>NB_539</t>
  </si>
  <si>
    <t>CDZIP</t>
  </si>
  <si>
    <t>Cadiz Inc. Depositary Shares</t>
  </si>
  <si>
    <t>CDZIP US Equity</t>
  </si>
  <si>
    <t>NB_540</t>
  </si>
  <si>
    <t>CE</t>
  </si>
  <si>
    <t>Celanese Corporation Common Stock</t>
  </si>
  <si>
    <t>CE US Equity</t>
  </si>
  <si>
    <t>NB_541</t>
  </si>
  <si>
    <t>CECO</t>
  </si>
  <si>
    <t>CECO Environmental Corp. Common Stock</t>
  </si>
  <si>
    <t>Pollution Control Equipment</t>
  </si>
  <si>
    <t>CECO US Equity</t>
  </si>
  <si>
    <t>NB_542</t>
  </si>
  <si>
    <t>CEG</t>
  </si>
  <si>
    <t>Constellation Energy Corporation Common Stock</t>
  </si>
  <si>
    <t>Electric Utilities: Central</t>
  </si>
  <si>
    <t>CEG US Equity</t>
  </si>
  <si>
    <t>NB_543</t>
  </si>
  <si>
    <t>CELC</t>
  </si>
  <si>
    <t>Celcuity Inc. Common Stock</t>
  </si>
  <si>
    <t>CELC US Equity</t>
  </si>
  <si>
    <t>NB_544</t>
  </si>
  <si>
    <t>CELH</t>
  </si>
  <si>
    <t>Celsius Holdings Inc. Common Stock</t>
  </si>
  <si>
    <t>Beverages (Production/Distribution)</t>
  </si>
  <si>
    <t>CELH US Equity</t>
  </si>
  <si>
    <t>NB_545</t>
  </si>
  <si>
    <t>CELU</t>
  </si>
  <si>
    <t>Celularity Inc. Class A Common Stock</t>
  </si>
  <si>
    <t>CELU US Equity</t>
  </si>
  <si>
    <t>NB_546</t>
  </si>
  <si>
    <t>CELZ</t>
  </si>
  <si>
    <t>Creative Medical Technology Holdings Inc. Common Stock</t>
  </si>
  <si>
    <t>CELZ US Equity</t>
  </si>
  <si>
    <t>NB_547</t>
  </si>
  <si>
    <t>CENT</t>
  </si>
  <si>
    <t>Central Garden &amp; Pet Company Common Stock</t>
  </si>
  <si>
    <t>Consumer Specialties</t>
  </si>
  <si>
    <t>CENT US Equity</t>
  </si>
  <si>
    <t>NB_548</t>
  </si>
  <si>
    <t>CENTA</t>
  </si>
  <si>
    <t>Central Garden &amp; Pet Company Class A Common Stock Nonvoting</t>
  </si>
  <si>
    <t>CENTA US Equity</t>
  </si>
  <si>
    <t>NB_549</t>
  </si>
  <si>
    <t>CENX</t>
  </si>
  <si>
    <t>Century Aluminum Company Common Stock</t>
  </si>
  <si>
    <t>Aluminum</t>
  </si>
  <si>
    <t>CENX US Equity</t>
  </si>
  <si>
    <t>NB_550</t>
  </si>
  <si>
    <t>CEPL</t>
  </si>
  <si>
    <t>Capstone Energy Plus Inc. Common Stock</t>
  </si>
  <si>
    <t>CEPL US Equity</t>
  </si>
  <si>
    <t>NB_551</t>
  </si>
  <si>
    <t>CERS</t>
  </si>
  <si>
    <t>Cerus Corporation Common Stock</t>
  </si>
  <si>
    <t>CERS US Equity</t>
  </si>
  <si>
    <t>NB_552</t>
  </si>
  <si>
    <t>CERT</t>
  </si>
  <si>
    <t>Certara Inc. Common Stock</t>
  </si>
  <si>
    <t>CERT US Equity</t>
  </si>
  <si>
    <t>NB_553</t>
  </si>
  <si>
    <t>CETX</t>
  </si>
  <si>
    <t>Cemtrex Inc. Common Stock</t>
  </si>
  <si>
    <t>Electrical Products</t>
  </si>
  <si>
    <t>CETX US Equity</t>
  </si>
  <si>
    <t>NB_554</t>
  </si>
  <si>
    <t>CETY</t>
  </si>
  <si>
    <t>Clean Energy Technologies Inc. Common Stock</t>
  </si>
  <si>
    <t>Oil/Gas Transmission</t>
  </si>
  <si>
    <t>CETY US Equity</t>
  </si>
  <si>
    <t>NB_555</t>
  </si>
  <si>
    <t>CEVA</t>
  </si>
  <si>
    <t>CEVA Inc. Common Stock</t>
  </si>
  <si>
    <t>CEVA US Equity</t>
  </si>
  <si>
    <t>NB_556</t>
  </si>
  <si>
    <t>CF</t>
  </si>
  <si>
    <t>CF Industries Holdings Inc. Common Stock</t>
  </si>
  <si>
    <t>CF US Equity</t>
  </si>
  <si>
    <t>NB_557</t>
  </si>
  <si>
    <t>CGEM</t>
  </si>
  <si>
    <t>Cullinan Therapeutics Inc. Common Stock</t>
  </si>
  <si>
    <t>CGEM US Equity</t>
  </si>
  <si>
    <t>NB_558</t>
  </si>
  <si>
    <t>CGNX</t>
  </si>
  <si>
    <t>Cognex Corporation Common Stock</t>
  </si>
  <si>
    <t>CGNX US Equity</t>
  </si>
  <si>
    <t>NB_559</t>
  </si>
  <si>
    <t>CGON</t>
  </si>
  <si>
    <t>CG Oncology Inc. Common stock</t>
  </si>
  <si>
    <t>CGON US Equity</t>
  </si>
  <si>
    <t>NB_560</t>
  </si>
  <si>
    <t>CGTX</t>
  </si>
  <si>
    <t>Cognition Therapeutics Inc. Common Stock</t>
  </si>
  <si>
    <t>CGTX US Equity</t>
  </si>
  <si>
    <t>NB_561</t>
  </si>
  <si>
    <t>CHD</t>
  </si>
  <si>
    <t>Church &amp; Dwight Company Inc. Common Stock</t>
  </si>
  <si>
    <t>Package Goods/Cosmetics</t>
  </si>
  <si>
    <t>CHD US Equity</t>
  </si>
  <si>
    <t>NB_562</t>
  </si>
  <si>
    <t>CHDN</t>
  </si>
  <si>
    <t>Churchill Downs Incorporated Common Stock</t>
  </si>
  <si>
    <t>Services-Misc. Amusement &amp; Recreation</t>
  </si>
  <si>
    <t>CHDN US Equity</t>
  </si>
  <si>
    <t>NB_563</t>
  </si>
  <si>
    <t>CHE</t>
  </si>
  <si>
    <t>Chemed Corp</t>
  </si>
  <si>
    <t>Medical/Nursing Services</t>
  </si>
  <si>
    <t>CHE US Equity</t>
  </si>
  <si>
    <t>NB_564</t>
  </si>
  <si>
    <t>CHEF</t>
  </si>
  <si>
    <t>The Chefs' Warehouse Inc. Common Stock</t>
  </si>
  <si>
    <t>Food Distributors</t>
  </si>
  <si>
    <t>CHEF US Equity</t>
  </si>
  <si>
    <t>NB_565</t>
  </si>
  <si>
    <t>CHGA</t>
  </si>
  <si>
    <t>Change Agents Corporation Common Stock</t>
  </si>
  <si>
    <t>CHGA US Equity</t>
  </si>
  <si>
    <t>NB_566</t>
  </si>
  <si>
    <t>CHH</t>
  </si>
  <si>
    <t>Choice Hotels International Inc. Common Stock</t>
  </si>
  <si>
    <t>Hotels/Resorts</t>
  </si>
  <si>
    <t>CHH US Equity</t>
  </si>
  <si>
    <t>NB_567</t>
  </si>
  <si>
    <t>CHRD</t>
  </si>
  <si>
    <t>Chord Energy Corporation Common Stock</t>
  </si>
  <si>
    <t>Oil &amp; Gas Production</t>
  </si>
  <si>
    <t>CHRD US Equity</t>
  </si>
  <si>
    <t>NB_568</t>
  </si>
  <si>
    <t>CHRN</t>
  </si>
  <si>
    <t>ChronoScale Holdings Corporation Common Stock</t>
  </si>
  <si>
    <t>CHRN US Equity</t>
  </si>
  <si>
    <t>NB_569</t>
  </si>
  <si>
    <t>CHRS</t>
  </si>
  <si>
    <t>Coherus Oncology Inc. Common Stock</t>
  </si>
  <si>
    <t>CHRS US Equity</t>
  </si>
  <si>
    <t>NB_570</t>
  </si>
  <si>
    <t>CHRW</t>
  </si>
  <si>
    <t>C.H. Robinson Worldwide Inc. Common Stock</t>
  </si>
  <si>
    <t>Integrated Freight &amp; Logistics</t>
  </si>
  <si>
    <t>CHRW US Equity</t>
  </si>
  <si>
    <t>NB_571</t>
  </si>
  <si>
    <t>CHSCL</t>
  </si>
  <si>
    <t>CHS Inc Class B Cumulative Redeemable Preferred Stock Series 4</t>
  </si>
  <si>
    <t>CHSCL US Equity</t>
  </si>
  <si>
    <t>NB_572</t>
  </si>
  <si>
    <t>CHSCM</t>
  </si>
  <si>
    <t>CHS Inc Class B Reset Rate Cumulative Redeemable Preferred Stock Series 3</t>
  </si>
  <si>
    <t>CHSCM US Equity</t>
  </si>
  <si>
    <t>NB_573</t>
  </si>
  <si>
    <t>CHSCN</t>
  </si>
  <si>
    <t>CHS Inc Preferred Class B Series 2 Reset Rate</t>
  </si>
  <si>
    <t>CHSCN US Equity</t>
  </si>
  <si>
    <t>NB_574</t>
  </si>
  <si>
    <t>CHSCO</t>
  </si>
  <si>
    <t>CHS Inc. Class B Cumulative Redeemable Preferred Stock</t>
  </si>
  <si>
    <t>CHSCO US Equity</t>
  </si>
  <si>
    <t>NB_575</t>
  </si>
  <si>
    <t>CHSCP</t>
  </si>
  <si>
    <t>CHS Inc. 8%  Cumulative Redeemable Preferred Stock</t>
  </si>
  <si>
    <t>CHSCP US Equity</t>
  </si>
  <si>
    <t>NB_576</t>
  </si>
  <si>
    <t>CHTR</t>
  </si>
  <si>
    <t>Charter Communications Inc. Class A Common Stock New</t>
  </si>
  <si>
    <t>CHTR US Equity</t>
  </si>
  <si>
    <t>NB_577</t>
  </si>
  <si>
    <t>CHTRP</t>
  </si>
  <si>
    <t>Charter Communications Inc. Series A Cumulative Redeemable Preferred Stock</t>
  </si>
  <si>
    <t>CHTRP US Equity</t>
  </si>
  <si>
    <t>NB_578</t>
  </si>
  <si>
    <t>CHWY</t>
  </si>
  <si>
    <t>Chewy Inc. Class A Common Stock</t>
  </si>
  <si>
    <t>CHWY US Equity</t>
  </si>
  <si>
    <t>NB_579</t>
  </si>
  <si>
    <t>CI</t>
  </si>
  <si>
    <t>The Cigna Group Common Stock</t>
  </si>
  <si>
    <t>CI US Equity</t>
  </si>
  <si>
    <t>NB_580</t>
  </si>
  <si>
    <t>CIEN</t>
  </si>
  <si>
    <t>Ciena Corporation Common Stock</t>
  </si>
  <si>
    <t>CIEN US Equity</t>
  </si>
  <si>
    <t>NB_581</t>
  </si>
  <si>
    <t>CING</t>
  </si>
  <si>
    <t>Cingulate Inc. Common Stock</t>
  </si>
  <si>
    <t>CING US Equity</t>
  </si>
  <si>
    <t>NB_582</t>
  </si>
  <si>
    <t>CIRC</t>
  </si>
  <si>
    <t>Circle8 Group Inc. Common Stock</t>
  </si>
  <si>
    <t>Biotechnology: Laboratory Analytical Instruments</t>
  </si>
  <si>
    <t>CIRC US Equity</t>
  </si>
  <si>
    <t>NB_583</t>
  </si>
  <si>
    <t>CISO</t>
  </si>
  <si>
    <t>CISO Global Inc. Common Stock</t>
  </si>
  <si>
    <t>Professional Services</t>
  </si>
  <si>
    <t>CISO US Equity</t>
  </si>
  <si>
    <t>NB_584</t>
  </si>
  <si>
    <t>CIX</t>
  </si>
  <si>
    <t>CompX International Inc. Common Stock</t>
  </si>
  <si>
    <t>CIX US Equity</t>
  </si>
  <si>
    <t>NB_585</t>
  </si>
  <si>
    <t>CJMB</t>
  </si>
  <si>
    <t>Callan JMB Inc. Common Stock</t>
  </si>
  <si>
    <t>CJMB US Equity</t>
  </si>
  <si>
    <t>NB_586</t>
  </si>
  <si>
    <t>CKX</t>
  </si>
  <si>
    <t>CKX Lands Inc. Common Stock</t>
  </si>
  <si>
    <t>CKX US Equity</t>
  </si>
  <si>
    <t>NB_587</t>
  </si>
  <si>
    <t>CL</t>
  </si>
  <si>
    <t>Colgate-Palmolive Company Common Stock</t>
  </si>
  <si>
    <t>CL US Equity</t>
  </si>
  <si>
    <t>NB_588</t>
  </si>
  <si>
    <t>CLAR</t>
  </si>
  <si>
    <t>Clarus Corporation Common Stock</t>
  </si>
  <si>
    <t>CLAR US Equity</t>
  </si>
  <si>
    <t>NB_589</t>
  </si>
  <si>
    <t>CLDX</t>
  </si>
  <si>
    <t>Celldex Therapeutics Inc.</t>
  </si>
  <si>
    <t>CLDX US Equity</t>
  </si>
  <si>
    <t>NB_590</t>
  </si>
  <si>
    <t>CLF</t>
  </si>
  <si>
    <t>Cleveland-Cliffs Inc. Common Stock</t>
  </si>
  <si>
    <t>Metal Mining</t>
  </si>
  <si>
    <t>CLF US Equity</t>
  </si>
  <si>
    <t>NB_591</t>
  </si>
  <si>
    <t>CLFD</t>
  </si>
  <si>
    <t>Clearfield Inc. Common Stock</t>
  </si>
  <si>
    <t>CLFD US Equity</t>
  </si>
  <si>
    <t>NB_592</t>
  </si>
  <si>
    <t>CLH</t>
  </si>
  <si>
    <t>Clean Harbors Inc. Common Stock</t>
  </si>
  <si>
    <t>Environmental Services</t>
  </si>
  <si>
    <t>CLH US Equity</t>
  </si>
  <si>
    <t>NB_593</t>
  </si>
  <si>
    <t>CLIR</t>
  </si>
  <si>
    <t>ClearSign Technologies Corporation Common Stock (DE)</t>
  </si>
  <si>
    <t>CLIR US Equity</t>
  </si>
  <si>
    <t>NB_594</t>
  </si>
  <si>
    <t>CLMB</t>
  </si>
  <si>
    <t>Climb Global Solutions Inc. Common Stock</t>
  </si>
  <si>
    <t>Retail: Computer Software &amp; Peripheral Equipment</t>
  </si>
  <si>
    <t>CLMB US Equity</t>
  </si>
  <si>
    <t>NB_595</t>
  </si>
  <si>
    <t>CLMT</t>
  </si>
  <si>
    <t>Calumet Inc. Common Stock</t>
  </si>
  <si>
    <t>Integrated oil Companies</t>
  </si>
  <si>
    <t>CLMT US Equity</t>
  </si>
  <si>
    <t>NB_596</t>
  </si>
  <si>
    <t>CLNE</t>
  </si>
  <si>
    <t>Clean Energy Fuels Corp. Common Stock</t>
  </si>
  <si>
    <t>Natural Gas Distribution</t>
  </si>
  <si>
    <t>CLNE US Equity</t>
  </si>
  <si>
    <t>NB_597</t>
  </si>
  <si>
    <t>CLNN</t>
  </si>
  <si>
    <t>Clene Inc. Common Stock</t>
  </si>
  <si>
    <t>CLNN US Equity</t>
  </si>
  <si>
    <t>NB_598</t>
  </si>
  <si>
    <t>CLOV</t>
  </si>
  <si>
    <t>Clover Health Investments Corp. Class A Common Stock</t>
  </si>
  <si>
    <t>CLOV US Equity</t>
  </si>
  <si>
    <t>NB_599</t>
  </si>
  <si>
    <t>CLPT</t>
  </si>
  <si>
    <t>ClearPoint Neuro Inc. Common Stock</t>
  </si>
  <si>
    <t>CLPT US Equity</t>
  </si>
  <si>
    <t>NB_600</t>
  </si>
  <si>
    <t>CLRB</t>
  </si>
  <si>
    <t>Cellectar Biosciences Inc.  Common Stock</t>
  </si>
  <si>
    <t>CLRB US Equity</t>
  </si>
  <si>
    <t>NB_601</t>
  </si>
  <si>
    <t>CLRO</t>
  </si>
  <si>
    <t>ClearOne Inc. Common Stock</t>
  </si>
  <si>
    <t>CLRO US Equity</t>
  </si>
  <si>
    <t>NB_602</t>
  </si>
  <si>
    <t>CLW</t>
  </si>
  <si>
    <t>Clearwater Paper Corporation Common Stock</t>
  </si>
  <si>
    <t>Paper</t>
  </si>
  <si>
    <t>CLW US Equity</t>
  </si>
  <si>
    <t>NB_603</t>
  </si>
  <si>
    <t>CLX</t>
  </si>
  <si>
    <t>Clorox Company (The) Common Stock</t>
  </si>
  <si>
    <t>Specialty Chemicals</t>
  </si>
  <si>
    <t>CLX US Equity</t>
  </si>
  <si>
    <t>NB_604</t>
  </si>
  <si>
    <t>CLYM</t>
  </si>
  <si>
    <t>Climb Bio Inc. Common Stock</t>
  </si>
  <si>
    <t>CLYM US Equity</t>
  </si>
  <si>
    <t>NB_605</t>
  </si>
  <si>
    <t>CMC</t>
  </si>
  <si>
    <t>Commercial Metals Company Common Stock</t>
  </si>
  <si>
    <t>Steel/Iron Ore</t>
  </si>
  <si>
    <t>CMC US Equity</t>
  </si>
  <si>
    <t>NB_606</t>
  </si>
  <si>
    <t>CMCO</t>
  </si>
  <si>
    <t>Columbus McKinnon Corporation Common Stock</t>
  </si>
  <si>
    <t>CMCO US Equity</t>
  </si>
  <si>
    <t>NB_607</t>
  </si>
  <si>
    <t>CMCSA</t>
  </si>
  <si>
    <t>Comcast Corporation Class A Common Stock</t>
  </si>
  <si>
    <t>CMCSA US Equity</t>
  </si>
  <si>
    <t>NB_608</t>
  </si>
  <si>
    <t>CMG</t>
  </si>
  <si>
    <t>Chipotle Mexican Grill Inc. Common Stock</t>
  </si>
  <si>
    <t>CMG US Equity</t>
  </si>
  <si>
    <t>NB_609</t>
  </si>
  <si>
    <t>CMI</t>
  </si>
  <si>
    <t>Cummins Inc. Common Stock</t>
  </si>
  <si>
    <t>CMI US Equity</t>
  </si>
  <si>
    <t>NB_610</t>
  </si>
  <si>
    <t>CMP</t>
  </si>
  <si>
    <t>Compass Minerals Intl Inc Common Stock</t>
  </si>
  <si>
    <t>Mining &amp; Quarrying of Nonmetallic Minerals (No Fuels)</t>
  </si>
  <si>
    <t>CMP US Equity</t>
  </si>
  <si>
    <t>NB_611</t>
  </si>
  <si>
    <t>CMPX</t>
  </si>
  <si>
    <t>Compass Therapeutics Inc. Common Stock</t>
  </si>
  <si>
    <t>CMPX US Equity</t>
  </si>
  <si>
    <t>NB_612</t>
  </si>
  <si>
    <t>CMRC</t>
  </si>
  <si>
    <t>Commerce.com Inc. Series 1 Common Stock</t>
  </si>
  <si>
    <t>CMRC US Equity</t>
  </si>
  <si>
    <t>NB_613</t>
  </si>
  <si>
    <t>CMS</t>
  </si>
  <si>
    <t>CMS Energy Corporation Common Stock</t>
  </si>
  <si>
    <t>Power Generation</t>
  </si>
  <si>
    <t>CMS US Equity</t>
  </si>
  <si>
    <t>NB_614</t>
  </si>
  <si>
    <t>CMSA</t>
  </si>
  <si>
    <t>CMS Energy Corporation 5.625% Junior Subordinated Notes due 2078</t>
  </si>
  <si>
    <t>CMSA US Equity</t>
  </si>
  <si>
    <t>NB_615</t>
  </si>
  <si>
    <t>CMSC</t>
  </si>
  <si>
    <t>CMS Energy Corporation 5.875% Junior Subordinated Notes due 2078</t>
  </si>
  <si>
    <t>CMSC US Equity</t>
  </si>
  <si>
    <t>NB_616</t>
  </si>
  <si>
    <t>CMSD</t>
  </si>
  <si>
    <t>CMS Energy Corporation 5.875% Junior Subordinated Notes due 2079</t>
  </si>
  <si>
    <t>CMSD US Equity</t>
  </si>
  <si>
    <t>NB_617</t>
  </si>
  <si>
    <t>CMT</t>
  </si>
  <si>
    <t>Core Molding Technologies Inc Common Stock</t>
  </si>
  <si>
    <t>Plastic Products</t>
  </si>
  <si>
    <t>CMT US Equity</t>
  </si>
  <si>
    <t>NB_618</t>
  </si>
  <si>
    <t>CMTL</t>
  </si>
  <si>
    <t>Comtech Telecommunications Corp. Common Stock</t>
  </si>
  <si>
    <t>Radio And Television Broadcasting And Communications Equipment</t>
  </si>
  <si>
    <t>CMTL US Equity</t>
  </si>
  <si>
    <t>NB_619</t>
  </si>
  <si>
    <t>CNC</t>
  </si>
  <si>
    <t>Centene Corporation Common Stock</t>
  </si>
  <si>
    <t>CNC US Equity</t>
  </si>
  <si>
    <t>NB_620</t>
  </si>
  <si>
    <t>CNDT</t>
  </si>
  <si>
    <t>Conduent Incorporated Common Stock</t>
  </si>
  <si>
    <t>CNDT US Equity</t>
  </si>
  <si>
    <t>NB_621</t>
  </si>
  <si>
    <t>CNK</t>
  </si>
  <si>
    <t>Cinemark Holdings Inc Cinemark Holdings Inc. Common Stock</t>
  </si>
  <si>
    <t>Movies/Entertainment</t>
  </si>
  <si>
    <t>CNK US Equity</t>
  </si>
  <si>
    <t>NB_622</t>
  </si>
  <si>
    <t>CNM</t>
  </si>
  <si>
    <t>Core &amp; Main Inc. Class A Common Stock</t>
  </si>
  <si>
    <t>Durable Goods</t>
  </si>
  <si>
    <t>CNM US Equity</t>
  </si>
  <si>
    <t>NB_623</t>
  </si>
  <si>
    <t>CNMD</t>
  </si>
  <si>
    <t>CONMED Corporation Common Stock</t>
  </si>
  <si>
    <t>CNMD US Equity</t>
  </si>
  <si>
    <t>NB_624</t>
  </si>
  <si>
    <t>CNNE</t>
  </si>
  <si>
    <t>Cannae Holdings Inc. Common Stock</t>
  </si>
  <si>
    <t>CNNE US Equity</t>
  </si>
  <si>
    <t>NB_625</t>
  </si>
  <si>
    <t>CNP</t>
  </si>
  <si>
    <t>CenterPoint Energy Inc (Holding Co) Common Stock</t>
  </si>
  <si>
    <t>CNP US Equity</t>
  </si>
  <si>
    <t>NB_626</t>
  </si>
  <si>
    <t>CNR</t>
  </si>
  <si>
    <t>Core Natural Resources Inc. Common Stock</t>
  </si>
  <si>
    <t>Coal Mining</t>
  </si>
  <si>
    <t>CNR US Equity</t>
  </si>
  <si>
    <t>NB_627</t>
  </si>
  <si>
    <t>CNSP</t>
  </si>
  <si>
    <t>CNS Pharmaceuticals Inc. Common Stock</t>
  </si>
  <si>
    <t>CNSP US Equity</t>
  </si>
  <si>
    <t>NB_628</t>
  </si>
  <si>
    <t>CNSY</t>
  </si>
  <si>
    <t>Cerenome Inc. Common Stock</t>
  </si>
  <si>
    <t>CNSY US Equity</t>
  </si>
  <si>
    <t>NB_629</t>
  </si>
  <si>
    <t>CNTN</t>
  </si>
  <si>
    <t>Canton Strategic Holdings Inc. Common Stock</t>
  </si>
  <si>
    <t>CNTN US Equity</t>
  </si>
  <si>
    <t>NB_630</t>
  </si>
  <si>
    <t>CNTX</t>
  </si>
  <si>
    <t>Context Therapeutics Inc. Common Stock</t>
  </si>
  <si>
    <t>CNTX US Equity</t>
  </si>
  <si>
    <t>NB_631</t>
  </si>
  <si>
    <t>CNTY</t>
  </si>
  <si>
    <t>Century Casinos Inc. Common Stock</t>
  </si>
  <si>
    <t>CNTY US Equity</t>
  </si>
  <si>
    <t>NB_632</t>
  </si>
  <si>
    <t>CNVS</t>
  </si>
  <si>
    <t>Cineverse Corp. Class A Common Stock</t>
  </si>
  <si>
    <t>Consumer Electronics/Video Chains</t>
  </si>
  <si>
    <t>CNVS US Equity</t>
  </si>
  <si>
    <t>NB_633</t>
  </si>
  <si>
    <t>CNX</t>
  </si>
  <si>
    <t>CNX Resources Corporation Common Stock</t>
  </si>
  <si>
    <t>CNX US Equity</t>
  </si>
  <si>
    <t>NB_634</t>
  </si>
  <si>
    <t>CNXC</t>
  </si>
  <si>
    <t>Concentrix Corporation Common Stock</t>
  </si>
  <si>
    <t>CNXC US Equity</t>
  </si>
  <si>
    <t>NB_635</t>
  </si>
  <si>
    <t>CNXN</t>
  </si>
  <si>
    <t>PC Connection Inc. Common Stock</t>
  </si>
  <si>
    <t>CNXN US Equity</t>
  </si>
  <si>
    <t>NB_636</t>
  </si>
  <si>
    <t>CNXU</t>
  </si>
  <si>
    <t>Conexeu Sciences Inc. Common Stock</t>
  </si>
  <si>
    <t>CNXU US Equity</t>
  </si>
  <si>
    <t>NB_637</t>
  </si>
  <si>
    <t>COAG</t>
  </si>
  <si>
    <t>Hemab Therapeutics Holdings Inc. Common Stock</t>
  </si>
  <si>
    <t>COAG US Equity</t>
  </si>
  <si>
    <t>NB_638</t>
  </si>
  <si>
    <t>COCH</t>
  </si>
  <si>
    <t>Envoy Medical Inc. Class A Common Stock</t>
  </si>
  <si>
    <t>COCH US Equity</t>
  </si>
  <si>
    <t>NB_639</t>
  </si>
  <si>
    <t>COCHW</t>
  </si>
  <si>
    <t>Envoy Medical Inc Warrant</t>
  </si>
  <si>
    <t>COCHW US Equity</t>
  </si>
  <si>
    <t>NB_640</t>
  </si>
  <si>
    <t>COCO</t>
  </si>
  <si>
    <t>The Vita Coco Company Inc. Common Stock</t>
  </si>
  <si>
    <t>COCO US Equity</t>
  </si>
  <si>
    <t>NB_641</t>
  </si>
  <si>
    <t>COCP</t>
  </si>
  <si>
    <t>Cocrystal Pharma Inc. Common Stock</t>
  </si>
  <si>
    <t>COCP US Equity</t>
  </si>
  <si>
    <t>NB_642</t>
  </si>
  <si>
    <t>CODA</t>
  </si>
  <si>
    <t>Coda Octopus Group Inc. Common stock</t>
  </si>
  <si>
    <t>CODA US Equity</t>
  </si>
  <si>
    <t>NB_643</t>
  </si>
  <si>
    <t>CODI</t>
  </si>
  <si>
    <t>D/B/A Compass Diversified Holdings Shares of Beneficial Interest</t>
  </si>
  <si>
    <t>Home Furnishings</t>
  </si>
  <si>
    <t>CODI US Equity</t>
  </si>
  <si>
    <t>NB_644</t>
  </si>
  <si>
    <t>CODX</t>
  </si>
  <si>
    <t>Co-Diagnostics Inc. Common Stock</t>
  </si>
  <si>
    <t>CODX US Equity</t>
  </si>
  <si>
    <t>NB_645</t>
  </si>
  <si>
    <t>COGT</t>
  </si>
  <si>
    <t>Cogent Biosciences Inc. Common Stock</t>
  </si>
  <si>
    <t>COGT US Equity</t>
  </si>
  <si>
    <t>NB_646</t>
  </si>
  <si>
    <t>COHR</t>
  </si>
  <si>
    <t>Coherent Corp. Common Stock</t>
  </si>
  <si>
    <t>Electronic Components</t>
  </si>
  <si>
    <t>COHR US Equity</t>
  </si>
  <si>
    <t>NB_647</t>
  </si>
  <si>
    <t>COHU</t>
  </si>
  <si>
    <t>Cohu Inc. Common Stock</t>
  </si>
  <si>
    <t>COHU US Equity</t>
  </si>
  <si>
    <t>NB_648</t>
  </si>
  <si>
    <t>COKE</t>
  </si>
  <si>
    <t>Coca-Cola Consolidated Inc. Common Stock</t>
  </si>
  <si>
    <t>COKE US Equity</t>
  </si>
  <si>
    <t>NB_649</t>
  </si>
  <si>
    <t>COLL</t>
  </si>
  <si>
    <t>Collegium Pharmaceutical Inc. Common Stock</t>
  </si>
  <si>
    <t>COLL US Equity</t>
  </si>
  <si>
    <t>NB_650</t>
  </si>
  <si>
    <t>COLM</t>
  </si>
  <si>
    <t>Columbia Sportswear Company Common Stock</t>
  </si>
  <si>
    <t>Apparel</t>
  </si>
  <si>
    <t>COLM US Equity</t>
  </si>
  <si>
    <t>NB_651</t>
  </si>
  <si>
    <t>CON</t>
  </si>
  <si>
    <t>Concentra Group Holdings Parent Inc. Common Stock</t>
  </si>
  <si>
    <t>CON US Equity</t>
  </si>
  <si>
    <t>NB_652</t>
  </si>
  <si>
    <t>COO</t>
  </si>
  <si>
    <t>The Cooper Companies Inc. Common Stock</t>
  </si>
  <si>
    <t>Ophthalmic Goods</t>
  </si>
  <si>
    <t>COO US Equity</t>
  </si>
  <si>
    <t>NB_653</t>
  </si>
  <si>
    <t>COOK</t>
  </si>
  <si>
    <t>Traeger Inc. Common Stock</t>
  </si>
  <si>
    <t>Consumer Electronics/Appliances</t>
  </si>
  <si>
    <t>COOK US Equity</t>
  </si>
  <si>
    <t>NB_654</t>
  </si>
  <si>
    <t>COP</t>
  </si>
  <si>
    <t>ConocoPhillips Common Stock</t>
  </si>
  <si>
    <t>COP US Equity</t>
  </si>
  <si>
    <t>NB_655</t>
  </si>
  <si>
    <t>COR</t>
  </si>
  <si>
    <t>Cencora Inc. Common Stock</t>
  </si>
  <si>
    <t>COR US Equity</t>
  </si>
  <si>
    <t>NB_656</t>
  </si>
  <si>
    <t>CORT</t>
  </si>
  <si>
    <t>Corcept Therapeutics Incorporated Common Stock</t>
  </si>
  <si>
    <t>CORT US Equity</t>
  </si>
  <si>
    <t>NB_657</t>
  </si>
  <si>
    <t>COSM</t>
  </si>
  <si>
    <t>Cosmos Health Inc. Common Stock</t>
  </si>
  <si>
    <t>COSM US Equity</t>
  </si>
  <si>
    <t>NB_658</t>
  </si>
  <si>
    <t>COST</t>
  </si>
  <si>
    <t>Costco Wholesale Corporation Common Stock</t>
  </si>
  <si>
    <t>Department/Specialty Retail Stores</t>
  </si>
  <si>
    <t>COST US Equity</t>
  </si>
  <si>
    <t>NB_659</t>
  </si>
  <si>
    <t>COTY</t>
  </si>
  <si>
    <t>Coty Inc. Class A Common Stock</t>
  </si>
  <si>
    <t>COTY US Equity</t>
  </si>
  <si>
    <t>NB_660</t>
  </si>
  <si>
    <t>COUR</t>
  </si>
  <si>
    <t>Coursera Inc. Common Stock</t>
  </si>
  <si>
    <t>COUR US Equity</t>
  </si>
  <si>
    <t>NB_661</t>
  </si>
  <si>
    <t>COYA</t>
  </si>
  <si>
    <t>Coya Therapeutics Inc. Common Stock</t>
  </si>
  <si>
    <t>COYA US Equity</t>
  </si>
  <si>
    <t>NB_662</t>
  </si>
  <si>
    <t>CPAY</t>
  </si>
  <si>
    <t>Corpay Inc. Common Stock</t>
  </si>
  <si>
    <t>CPAY US Equity</t>
  </si>
  <si>
    <t>NB_663</t>
  </si>
  <si>
    <t>CPB</t>
  </si>
  <si>
    <t>The Campbell's Company Common Stock</t>
  </si>
  <si>
    <t>CPB US Equity</t>
  </si>
  <si>
    <t>NB_664</t>
  </si>
  <si>
    <t>CPHC</t>
  </si>
  <si>
    <t>Canterbury Park Holding Corporation 'New' Common Stock</t>
  </si>
  <si>
    <t>CPHC US Equity</t>
  </si>
  <si>
    <t>NB_665</t>
  </si>
  <si>
    <t>CPIX</t>
  </si>
  <si>
    <t>Cumberland Pharmaceuticals Inc. Common Stock</t>
  </si>
  <si>
    <t>CPIX US Equity</t>
  </si>
  <si>
    <t>NB_666</t>
  </si>
  <si>
    <t>CPK</t>
  </si>
  <si>
    <t>Chesapeake Utilities Corporation Common Stock</t>
  </si>
  <si>
    <t>CPK US Equity</t>
  </si>
  <si>
    <t>NB_667</t>
  </si>
  <si>
    <t>CPNG</t>
  </si>
  <si>
    <t>Coupang Inc. Class A Common Stock</t>
  </si>
  <si>
    <t>CPNG US Equity</t>
  </si>
  <si>
    <t>NB_668</t>
  </si>
  <si>
    <t>CPRT</t>
  </si>
  <si>
    <t>Copart Inc. (DE) Common Stock</t>
  </si>
  <si>
    <t>CPRT US Equity</t>
  </si>
  <si>
    <t>NB_669</t>
  </si>
  <si>
    <t>CPS</t>
  </si>
  <si>
    <t>Cooper-Standard Holdings Inc. Common Stock</t>
  </si>
  <si>
    <t>Auto Parts:O.E.M.</t>
  </si>
  <si>
    <t>CPS US Equity</t>
  </si>
  <si>
    <t>NB_670</t>
  </si>
  <si>
    <t>CPSH</t>
  </si>
  <si>
    <t>CPS Technologies Corp. Common Stock</t>
  </si>
  <si>
    <t>Building Materials</t>
  </si>
  <si>
    <t>CPSH US Equity</t>
  </si>
  <si>
    <t>NB_671</t>
  </si>
  <si>
    <t>CQP</t>
  </si>
  <si>
    <t>Cheniere Energy Partners LP Common Units</t>
  </si>
  <si>
    <t>CQP US Equity</t>
  </si>
  <si>
    <t>NB_672</t>
  </si>
  <si>
    <t>CR</t>
  </si>
  <si>
    <t>Crane Company Common Stock</t>
  </si>
  <si>
    <t>Metal Fabrications</t>
  </si>
  <si>
    <t>CR US Equity</t>
  </si>
  <si>
    <t>NB_673</t>
  </si>
  <si>
    <t>CRAI</t>
  </si>
  <si>
    <t>CRA International Inc. Common Stock</t>
  </si>
  <si>
    <t>Other Consumer Services</t>
  </si>
  <si>
    <t>CRAI US Equity</t>
  </si>
  <si>
    <t>NB_674</t>
  </si>
  <si>
    <t>CRBP</t>
  </si>
  <si>
    <t>Corbus Pharmaceuticals Holdings Inc. Common Stock</t>
  </si>
  <si>
    <t>CRBP US Equity</t>
  </si>
  <si>
    <t>NB_675</t>
  </si>
  <si>
    <t>CRBU</t>
  </si>
  <si>
    <t>Caribou Biosciences Inc. Common Stock</t>
  </si>
  <si>
    <t>CRBU US Equity</t>
  </si>
  <si>
    <t>NB_676</t>
  </si>
  <si>
    <t>CRC</t>
  </si>
  <si>
    <t>California Resources Corporation Common Stock</t>
  </si>
  <si>
    <t>CRC US Equity</t>
  </si>
  <si>
    <t>NB_677</t>
  </si>
  <si>
    <t>CRCT</t>
  </si>
  <si>
    <t>Cricut Inc. Class A Common Stock</t>
  </si>
  <si>
    <t>CRCT US Equity</t>
  </si>
  <si>
    <t>NB_678</t>
  </si>
  <si>
    <t>CRDF</t>
  </si>
  <si>
    <t>Cardiff Oncology Inc. Common Stock</t>
  </si>
  <si>
    <t>CRDF US Equity</t>
  </si>
  <si>
    <t>NB_679</t>
  </si>
  <si>
    <t>CRDO</t>
  </si>
  <si>
    <t>Credo Technology Group Holding Ltd Ordinary Shares</t>
  </si>
  <si>
    <t>CRDO US Equity</t>
  </si>
  <si>
    <t>NB_680</t>
  </si>
  <si>
    <t>CREX</t>
  </si>
  <si>
    <t>Creative Realities Inc. Common Stock</t>
  </si>
  <si>
    <t>CREX US Equity</t>
  </si>
  <si>
    <t>NB_681</t>
  </si>
  <si>
    <t>CRGY</t>
  </si>
  <si>
    <t>Crescent Energy Company Class A Common Stock</t>
  </si>
  <si>
    <t>CRGY US Equity</t>
  </si>
  <si>
    <t>NB_682</t>
  </si>
  <si>
    <t>CRI</t>
  </si>
  <si>
    <t>Carter's Inc. Common Stock</t>
  </si>
  <si>
    <t>CRI US Equity</t>
  </si>
  <si>
    <t>NB_683</t>
  </si>
  <si>
    <t>CRIS</t>
  </si>
  <si>
    <t>Curis Inc. Common Stock</t>
  </si>
  <si>
    <t>CRIS US Equity</t>
  </si>
  <si>
    <t>NB_684</t>
  </si>
  <si>
    <t>CRK</t>
  </si>
  <si>
    <t>Comstock Resources Inc. Common Stock</t>
  </si>
  <si>
    <t>CRK US Equity</t>
  </si>
  <si>
    <t>NB_685</t>
  </si>
  <si>
    <t>CRL</t>
  </si>
  <si>
    <t>Charles River Laboratories International Inc. Common Stock</t>
  </si>
  <si>
    <t>Biotechnology: Commercial Physical &amp; Biological Resarch</t>
  </si>
  <si>
    <t>CRL US Equity</t>
  </si>
  <si>
    <t>NB_686</t>
  </si>
  <si>
    <t>CRM</t>
  </si>
  <si>
    <t>Salesforce Inc. Common Stock</t>
  </si>
  <si>
    <t>CRM US Equity</t>
  </si>
  <si>
    <t>NB_687</t>
  </si>
  <si>
    <t>CRMD</t>
  </si>
  <si>
    <t>CorMedix Inc. Common Stock</t>
  </si>
  <si>
    <t>CRMD US Equity</t>
  </si>
  <si>
    <t>NB_688</t>
  </si>
  <si>
    <t>CRMT</t>
  </si>
  <si>
    <t>America's Car-Mart Inc Common Stock</t>
  </si>
  <si>
    <t>CRMT US Equity</t>
  </si>
  <si>
    <t>NB_689</t>
  </si>
  <si>
    <t>CRNC</t>
  </si>
  <si>
    <t>Cerence Inc. Common Stock</t>
  </si>
  <si>
    <t>CRNC US Equity</t>
  </si>
  <si>
    <t>NB_690</t>
  </si>
  <si>
    <t>CROX</t>
  </si>
  <si>
    <t>Crocs Inc. Common Stock</t>
  </si>
  <si>
    <t>CROX US Equity</t>
  </si>
  <si>
    <t>NB_691</t>
  </si>
  <si>
    <t>CRS</t>
  </si>
  <si>
    <t>Carpenter Technology Corporation Common Stock</t>
  </si>
  <si>
    <t>CRS US Equity</t>
  </si>
  <si>
    <t>NB_692</t>
  </si>
  <si>
    <t>CRSR</t>
  </si>
  <si>
    <t>Corsair Gaming Inc. Common Stock</t>
  </si>
  <si>
    <t>Computer peripheral equipment</t>
  </si>
  <si>
    <t>CRSR US Equity</t>
  </si>
  <si>
    <t>NB_693</t>
  </si>
  <si>
    <t>CRT</t>
  </si>
  <si>
    <t>Cross Timbers Royalty Trust Common Stock</t>
  </si>
  <si>
    <t>CRT US Equity</t>
  </si>
  <si>
    <t>NB_694</t>
  </si>
  <si>
    <t>CRUS</t>
  </si>
  <si>
    <t>Cirrus Logic Inc. Common Stock</t>
  </si>
  <si>
    <t>CRUS US Equity</t>
  </si>
  <si>
    <t>NB_695</t>
  </si>
  <si>
    <t>CRVO</t>
  </si>
  <si>
    <t>CervoMed Inc. Common Stock</t>
  </si>
  <si>
    <t>CRVO US Equity</t>
  </si>
  <si>
    <t>NB_696</t>
  </si>
  <si>
    <t>CRVS</t>
  </si>
  <si>
    <t>Corvus Pharmaceuticals Inc. Common Stock</t>
  </si>
  <si>
    <t>CRVS US Equity</t>
  </si>
  <si>
    <t>NB_697</t>
  </si>
  <si>
    <t>CRWD</t>
  </si>
  <si>
    <t>CrowdStrike Holdings Inc. Class A Common Stock</t>
  </si>
  <si>
    <t>CRWD US Equity</t>
  </si>
  <si>
    <t>NB_698</t>
  </si>
  <si>
    <t>CRWS</t>
  </si>
  <si>
    <t>Crown Crafts Inc Common Stock</t>
  </si>
  <si>
    <t>Textiles</t>
  </si>
  <si>
    <t>CRWS US Equity</t>
  </si>
  <si>
    <t>NB_699</t>
  </si>
  <si>
    <t>CRWV</t>
  </si>
  <si>
    <t>CoreWeave Inc. Class A Common Stock</t>
  </si>
  <si>
    <t>CRWV US Equity</t>
  </si>
  <si>
    <t>NB_700</t>
  </si>
  <si>
    <t>CSAI</t>
  </si>
  <si>
    <t>Cloudastructure Inc. Class A Common Stock</t>
  </si>
  <si>
    <t>CSAI US Equity</t>
  </si>
  <si>
    <t>NB_701</t>
  </si>
  <si>
    <t>CSBR</t>
  </si>
  <si>
    <t>Champions Oncology Inc. Common Stock</t>
  </si>
  <si>
    <t>CSBR US Equity</t>
  </si>
  <si>
    <t>NB_702</t>
  </si>
  <si>
    <t>CSCO</t>
  </si>
  <si>
    <t>Cisco Systems Inc. Common Stock (DE)</t>
  </si>
  <si>
    <t>Computer Communications Equipment</t>
  </si>
  <si>
    <t>CSCO US Equity</t>
  </si>
  <si>
    <t>NB_703</t>
  </si>
  <si>
    <t>CSL</t>
  </si>
  <si>
    <t>Carlisle Companies Incorporated Common Stock</t>
  </si>
  <si>
    <t>CSL US Equity</t>
  </si>
  <si>
    <t>NB_704</t>
  </si>
  <si>
    <t>CSPI</t>
  </si>
  <si>
    <t>CSP Inc. Common Stock</t>
  </si>
  <si>
    <t>CSPI US Equity</t>
  </si>
  <si>
    <t>NB_705</t>
  </si>
  <si>
    <t>CSTL</t>
  </si>
  <si>
    <t>Castle Biosciences Inc. Common Stock</t>
  </si>
  <si>
    <t>CSTL US Equity</t>
  </si>
  <si>
    <t>NB_706</t>
  </si>
  <si>
    <t>CSV</t>
  </si>
  <si>
    <t>Carriage Services Inc. Common Stock</t>
  </si>
  <si>
    <t>CSV US Equity</t>
  </si>
  <si>
    <t>NB_707</t>
  </si>
  <si>
    <t>CSW</t>
  </si>
  <si>
    <t>CSW Industrials Inc. Common Stock</t>
  </si>
  <si>
    <t>CSW US Equity</t>
  </si>
  <si>
    <t>NB_708</t>
  </si>
  <si>
    <t>CSWC</t>
  </si>
  <si>
    <t>Capital Southwest Corporation Common Stock</t>
  </si>
  <si>
    <t>CSWC US Equity</t>
  </si>
  <si>
    <t>NB_709</t>
  </si>
  <si>
    <t>CSX</t>
  </si>
  <si>
    <t>CSX Corporation Common Stock</t>
  </si>
  <si>
    <t>Railroads</t>
  </si>
  <si>
    <t>CSX US Equity</t>
  </si>
  <si>
    <t>NB_710</t>
  </si>
  <si>
    <t>CTAS</t>
  </si>
  <si>
    <t>Cintas Corporation Common Stock</t>
  </si>
  <si>
    <t>Garments and Clothing</t>
  </si>
  <si>
    <t>CTAS US Equity</t>
  </si>
  <si>
    <t>NB_711</t>
  </si>
  <si>
    <t>CTEV</t>
  </si>
  <si>
    <t>Claritev Corporation Class A Common Stock</t>
  </si>
  <si>
    <t>CTEV US Equity</t>
  </si>
  <si>
    <t>NB_712</t>
  </si>
  <si>
    <t>CTGO</t>
  </si>
  <si>
    <t>Contango Silver &amp; Gold Inc. Common Stock</t>
  </si>
  <si>
    <t>CTGO US Equity</t>
  </si>
  <si>
    <t>NB_713</t>
  </si>
  <si>
    <t>CTKB</t>
  </si>
  <si>
    <t>Cytek Biosciences Inc. Common Stock</t>
  </si>
  <si>
    <t>CTKB US Equity</t>
  </si>
  <si>
    <t>NB_714</t>
  </si>
  <si>
    <t>CTMX</t>
  </si>
  <si>
    <t>CytomX Therapeutics Inc. Common Stock</t>
  </si>
  <si>
    <t>CTMX US Equity</t>
  </si>
  <si>
    <t>NB_715</t>
  </si>
  <si>
    <t>CTNM</t>
  </si>
  <si>
    <t>Contineum Therapeutics Inc. Class A Common Stock</t>
  </si>
  <si>
    <t>CTNM US Equity</t>
  </si>
  <si>
    <t>NB_716</t>
  </si>
  <si>
    <t>CTNT</t>
  </si>
  <si>
    <t>Cheetah Net Supply Chain Service Inc Class A Common Stock</t>
  </si>
  <si>
    <t>Motor Vehicles</t>
  </si>
  <si>
    <t>CTNT US Equity</t>
  </si>
  <si>
    <t>NB_717</t>
  </si>
  <si>
    <t>CTOR</t>
  </si>
  <si>
    <t>Citius Oncology Inc. Common Stock</t>
  </si>
  <si>
    <t>CTOR US Equity</t>
  </si>
  <si>
    <t>NB_718</t>
  </si>
  <si>
    <t>CTRI</t>
  </si>
  <si>
    <t>Centuri Holdings Inc. Common Stock</t>
  </si>
  <si>
    <t>CTRI US Equity</t>
  </si>
  <si>
    <t>NB_719</t>
  </si>
  <si>
    <t>CTRN</t>
  </si>
  <si>
    <t>Citi Trends Inc. Common Stock</t>
  </si>
  <si>
    <t>CTRN US Equity</t>
  </si>
  <si>
    <t>NB_720</t>
  </si>
  <si>
    <t>CTS</t>
  </si>
  <si>
    <t>CTS Corporation Common Stock</t>
  </si>
  <si>
    <t>CTS US Equity</t>
  </si>
  <si>
    <t>NB_721</t>
  </si>
  <si>
    <t>CTSH</t>
  </si>
  <si>
    <t>Cognizant Technology Solutions Corporation Class A Common Stock</t>
  </si>
  <si>
    <t>CTSH US Equity</t>
  </si>
  <si>
    <t>NB_722</t>
  </si>
  <si>
    <t>CTSO</t>
  </si>
  <si>
    <t>Cytosorbents Corporation Common Stock</t>
  </si>
  <si>
    <t>CTSO US Equity</t>
  </si>
  <si>
    <t>NB_723</t>
  </si>
  <si>
    <t>CTVA</t>
  </si>
  <si>
    <t>Corteva Inc. Common Stock</t>
  </si>
  <si>
    <t>CTVA US Equity</t>
  </si>
  <si>
    <t>NB_724</t>
  </si>
  <si>
    <t>CTXR</t>
  </si>
  <si>
    <t>Citius Pharmaceuticals Inc. Common Stock</t>
  </si>
  <si>
    <t>CTXR US Equity</t>
  </si>
  <si>
    <t>NB_725</t>
  </si>
  <si>
    <t>CUB</t>
  </si>
  <si>
    <t>Lionheart Holdings Class A Ordinary Shares</t>
  </si>
  <si>
    <t>CUB US Equity</t>
  </si>
  <si>
    <t>NB_726</t>
  </si>
  <si>
    <t>CUBWW</t>
  </si>
  <si>
    <t>Lionheart Holdings Warrant</t>
  </si>
  <si>
    <t>CUBWW US Equity</t>
  </si>
  <si>
    <t>NB_727</t>
  </si>
  <si>
    <t>CUE</t>
  </si>
  <si>
    <t>Cue Biopharma Inc. Common Stock</t>
  </si>
  <si>
    <t>CUE US Equity</t>
  </si>
  <si>
    <t>NB_728</t>
  </si>
  <si>
    <t>CULP</t>
  </si>
  <si>
    <t>Culp Inc. Common Stock</t>
  </si>
  <si>
    <t>CULP US Equity</t>
  </si>
  <si>
    <t>NB_729</t>
  </si>
  <si>
    <t>CURI</t>
  </si>
  <si>
    <t>CuriosityStream Inc. Class A Common Stock</t>
  </si>
  <si>
    <t>CURI US Equity</t>
  </si>
  <si>
    <t>NB_730</t>
  </si>
  <si>
    <t>CURV</t>
  </si>
  <si>
    <t>Torrid Holdings Inc. Common Stock</t>
  </si>
  <si>
    <t>CURV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</si>
  <si>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</si>
  <si>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</si>
  <si>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</si>
  <si>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</si>
  <si>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</si>
  <si>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</si>
  <si>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</si>
  <si>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</si>
  <si>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</si>
  <si>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</si>
  <si>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</si>
  <si>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</si>
  <si>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</si>
  <si>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</si>
  <si>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</si>
  <si>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</si>
  <si>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</si>
  <si>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</si>
  <si>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</si>
  <si>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</si>
  <si>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</si>
  <si>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</si>
  <si>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</si>
  <si>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</si>
  <si>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</si>
  <si>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</si>
  <si>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</si>
  <si>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</si>
  <si>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</si>
  <si>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</si>
  <si>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</si>
  <si>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</si>
  <si>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</si>
  <si>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</si>
  <si>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</si>
  <si>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</si>
  <si>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</si>
  <si>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</si>
  <si>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</si>
  <si>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</si>
  <si>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</si>
  <si>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</si>
  <si>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</si>
  <si>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</si>
  <si>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</si>
  <si>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</si>
  <si>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</si>
  <si>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</si>
  <si>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volume_Date</t>
  </si>
  <si>
    <t>volume_Value</t>
  </si>
  <si>
    <t>turnover_Date</t>
  </si>
  <si>
    <t>turnover_Value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</si>
</sst>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theme" Target="theme/theme1.xml"/><Relationship Id="rId253" Type="http://schemas.openxmlformats.org/officeDocument/2006/relationships/styles" Target="styles.xml"/><Relationship Id="rId2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cols>
    <col min="1" max="11" width="18.7109375" customWidth="1"/>
    <col min="12" max="13" width="32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15</v>
      </c>
      <c r="J2" t="s">
        <v>21</v>
      </c>
      <c r="K2" t="s">
        <v>22</v>
      </c>
      <c r="L2">
        <f>BDP($H2,"BICS_LEVEL_1_SECTOR_NAME")</f>
        <v/>
      </c>
      <c r="M2">
        <f>BDP($H2,"BICS_LEVEL_3_INDUSTRY_NAME")</f>
        <v/>
      </c>
    </row>
    <row r="3" spans="1:13">
      <c r="A3" t="s">
        <v>23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15</v>
      </c>
      <c r="J3" t="s">
        <v>21</v>
      </c>
      <c r="K3" t="s">
        <v>22</v>
      </c>
      <c r="L3">
        <f>BDP($H3,"BICS_LEVEL_1_SECTOR_NAME")</f>
        <v/>
      </c>
      <c r="M3">
        <f>BDP($H3,"BICS_LEVEL_3_INDUSTRY_NAME")</f>
        <v/>
      </c>
    </row>
    <row r="4" spans="1:13">
      <c r="A4" t="s">
        <v>29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32</v>
      </c>
      <c r="H4" t="s">
        <v>33</v>
      </c>
      <c r="I4" t="s">
        <v>15</v>
      </c>
      <c r="J4" t="s">
        <v>21</v>
      </c>
      <c r="K4" t="s">
        <v>22</v>
      </c>
      <c r="L4">
        <f>BDP($H4,"BICS_LEVEL_1_SECTOR_NAME")</f>
        <v/>
      </c>
      <c r="M4">
        <f>BDP($H4,"BICS_LEVEL_3_INDUSTRY_NAME")</f>
        <v/>
      </c>
    </row>
    <row r="5" spans="1:13">
      <c r="A5" t="s">
        <v>34</v>
      </c>
      <c r="B5" t="s">
        <v>14</v>
      </c>
      <c r="C5" t="s">
        <v>15</v>
      </c>
      <c r="D5" t="s">
        <v>35</v>
      </c>
      <c r="E5" t="s">
        <v>36</v>
      </c>
      <c r="F5" t="s">
        <v>18</v>
      </c>
      <c r="G5" t="s">
        <v>37</v>
      </c>
      <c r="H5" t="s">
        <v>38</v>
      </c>
      <c r="I5" t="s">
        <v>15</v>
      </c>
      <c r="J5" t="s">
        <v>21</v>
      </c>
      <c r="K5" t="s">
        <v>22</v>
      </c>
      <c r="L5">
        <f>BDP($H5,"BICS_LEVEL_1_SECTOR_NAME")</f>
        <v/>
      </c>
      <c r="M5">
        <f>BDP($H5,"BICS_LEVEL_3_INDUSTRY_NAME")</f>
        <v/>
      </c>
    </row>
    <row r="6" spans="1:13">
      <c r="A6" t="s">
        <v>39</v>
      </c>
      <c r="B6" t="s">
        <v>14</v>
      </c>
      <c r="C6" t="s">
        <v>15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15</v>
      </c>
      <c r="J6" t="s">
        <v>21</v>
      </c>
      <c r="K6" t="s">
        <v>22</v>
      </c>
      <c r="L6">
        <f>BDP($H6,"BICS_LEVEL_1_SECTOR_NAME")</f>
        <v/>
      </c>
      <c r="M6">
        <f>BDP($H6,"BICS_LEVEL_3_INDUSTRY_NAME")</f>
        <v/>
      </c>
    </row>
    <row r="7" spans="1:13">
      <c r="A7" t="s">
        <v>45</v>
      </c>
      <c r="B7" t="s">
        <v>14</v>
      </c>
      <c r="C7" t="s">
        <v>15</v>
      </c>
      <c r="D7" t="s">
        <v>46</v>
      </c>
      <c r="E7" t="s">
        <v>47</v>
      </c>
      <c r="F7" t="s">
        <v>42</v>
      </c>
      <c r="G7" t="s">
        <v>48</v>
      </c>
      <c r="H7" t="s">
        <v>49</v>
      </c>
      <c r="I7" t="s">
        <v>15</v>
      </c>
      <c r="J7" t="s">
        <v>21</v>
      </c>
      <c r="K7" t="s">
        <v>22</v>
      </c>
      <c r="L7">
        <f>BDP($H7,"BICS_LEVEL_1_SECTOR_NAME")</f>
        <v/>
      </c>
      <c r="M7">
        <f>BDP($H7,"BICS_LEVEL_3_INDUSTRY_NAME")</f>
        <v/>
      </c>
    </row>
    <row r="8" spans="1:13">
      <c r="A8" t="s">
        <v>50</v>
      </c>
      <c r="B8" t="s">
        <v>14</v>
      </c>
      <c r="C8" t="s">
        <v>15</v>
      </c>
      <c r="D8" t="s">
        <v>51</v>
      </c>
      <c r="E8" t="s">
        <v>52</v>
      </c>
      <c r="F8" t="s">
        <v>18</v>
      </c>
      <c r="G8" t="s">
        <v>53</v>
      </c>
      <c r="H8" t="s">
        <v>54</v>
      </c>
      <c r="I8" t="s">
        <v>15</v>
      </c>
      <c r="J8" t="s">
        <v>21</v>
      </c>
      <c r="K8" t="s">
        <v>22</v>
      </c>
      <c r="L8">
        <f>BDP($H8,"BICS_LEVEL_1_SECTOR_NAME")</f>
        <v/>
      </c>
      <c r="M8">
        <f>BDP($H8,"BICS_LEVEL_3_INDUSTRY_NAME")</f>
        <v/>
      </c>
    </row>
    <row r="9" spans="1:13">
      <c r="A9" t="s">
        <v>55</v>
      </c>
      <c r="B9" t="s">
        <v>14</v>
      </c>
      <c r="C9" t="s">
        <v>15</v>
      </c>
      <c r="D9" t="s">
        <v>56</v>
      </c>
      <c r="E9" t="s">
        <v>57</v>
      </c>
      <c r="F9" t="s">
        <v>26</v>
      </c>
      <c r="G9" t="s">
        <v>58</v>
      </c>
      <c r="H9" t="s">
        <v>59</v>
      </c>
      <c r="I9" t="s">
        <v>15</v>
      </c>
      <c r="J9" t="s">
        <v>21</v>
      </c>
      <c r="K9" t="s">
        <v>22</v>
      </c>
      <c r="L9">
        <f>BDP($H9,"BICS_LEVEL_1_SECTOR_NAME")</f>
        <v/>
      </c>
      <c r="M9">
        <f>BDP($H9,"BICS_LEVEL_3_INDUSTRY_NAME")</f>
        <v/>
      </c>
    </row>
    <row r="10" spans="1:13">
      <c r="A10" t="s">
        <v>60</v>
      </c>
      <c r="B10" t="s">
        <v>14</v>
      </c>
      <c r="C10" t="s">
        <v>15</v>
      </c>
      <c r="D10" t="s">
        <v>61</v>
      </c>
      <c r="E10" t="s">
        <v>62</v>
      </c>
      <c r="F10" t="s">
        <v>42</v>
      </c>
      <c r="G10" t="s">
        <v>63</v>
      </c>
      <c r="H10" t="s">
        <v>64</v>
      </c>
      <c r="I10" t="s">
        <v>15</v>
      </c>
      <c r="J10" t="s">
        <v>21</v>
      </c>
      <c r="K10" t="s">
        <v>22</v>
      </c>
      <c r="L10">
        <f>BDP($H10,"BICS_LEVEL_1_SECTOR_NAME")</f>
        <v/>
      </c>
      <c r="M10">
        <f>BDP($H10,"BICS_LEVEL_3_INDUSTRY_NAME")</f>
        <v/>
      </c>
    </row>
    <row r="11" spans="1:13">
      <c r="A11" t="s">
        <v>65</v>
      </c>
      <c r="B11" t="s">
        <v>14</v>
      </c>
      <c r="C11" t="s">
        <v>15</v>
      </c>
      <c r="D11" t="s">
        <v>66</v>
      </c>
      <c r="E11" t="s">
        <v>67</v>
      </c>
      <c r="F11" t="s">
        <v>42</v>
      </c>
      <c r="G11" t="s">
        <v>68</v>
      </c>
      <c r="H11" t="s">
        <v>69</v>
      </c>
      <c r="I11" t="s">
        <v>15</v>
      </c>
      <c r="J11" t="s">
        <v>21</v>
      </c>
      <c r="K11" t="s">
        <v>22</v>
      </c>
      <c r="L11">
        <f>BDP($H11,"BICS_LEVEL_1_SECTOR_NAME")</f>
        <v/>
      </c>
      <c r="M11">
        <f>BDP($H11,"BICS_LEVEL_3_INDUSTRY_NAME")</f>
        <v/>
      </c>
    </row>
    <row r="12" spans="1:13">
      <c r="A12" t="s">
        <v>70</v>
      </c>
      <c r="B12" t="s">
        <v>14</v>
      </c>
      <c r="C12" t="s">
        <v>15</v>
      </c>
      <c r="D12" t="s">
        <v>71</v>
      </c>
      <c r="E12" t="s">
        <v>72</v>
      </c>
      <c r="F12" t="s">
        <v>18</v>
      </c>
      <c r="G12" t="s">
        <v>53</v>
      </c>
      <c r="H12" t="s">
        <v>73</v>
      </c>
      <c r="I12" t="s">
        <v>15</v>
      </c>
      <c r="J12" t="s">
        <v>21</v>
      </c>
      <c r="K12" t="s">
        <v>22</v>
      </c>
      <c r="L12">
        <f>BDP($H12,"BICS_LEVEL_1_SECTOR_NAME")</f>
        <v/>
      </c>
      <c r="M12">
        <f>BDP($H12,"BICS_LEVEL_3_INDUSTRY_NAME")</f>
        <v/>
      </c>
    </row>
    <row r="13" spans="1:13">
      <c r="A13" t="s">
        <v>74</v>
      </c>
      <c r="B13" t="s">
        <v>14</v>
      </c>
      <c r="C13" t="s">
        <v>15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15</v>
      </c>
      <c r="J13" t="s">
        <v>21</v>
      </c>
      <c r="K13" t="s">
        <v>22</v>
      </c>
      <c r="L13">
        <f>BDP($H13,"BICS_LEVEL_1_SECTOR_NAME")</f>
        <v/>
      </c>
      <c r="M13">
        <f>BDP($H13,"BICS_LEVEL_3_INDUSTRY_NAME")</f>
        <v/>
      </c>
    </row>
    <row r="14" spans="1:13">
      <c r="A14" t="s">
        <v>80</v>
      </c>
      <c r="B14" t="s">
        <v>14</v>
      </c>
      <c r="C14" t="s">
        <v>15</v>
      </c>
      <c r="D14" t="s">
        <v>81</v>
      </c>
      <c r="E14" t="s">
        <v>82</v>
      </c>
      <c r="F14" t="s">
        <v>18</v>
      </c>
      <c r="G14" t="s">
        <v>53</v>
      </c>
      <c r="H14" t="s">
        <v>83</v>
      </c>
      <c r="I14" t="s">
        <v>15</v>
      </c>
      <c r="J14" t="s">
        <v>21</v>
      </c>
      <c r="K14" t="s">
        <v>22</v>
      </c>
      <c r="L14">
        <f>BDP($H14,"BICS_LEVEL_1_SECTOR_NAME")</f>
        <v/>
      </c>
      <c r="M14">
        <f>BDP($H14,"BICS_LEVEL_3_INDUSTRY_NAME")</f>
        <v/>
      </c>
    </row>
    <row r="15" spans="1:13">
      <c r="A15" t="s">
        <v>84</v>
      </c>
      <c r="B15" t="s">
        <v>14</v>
      </c>
      <c r="C15" t="s">
        <v>15</v>
      </c>
      <c r="D15" t="s">
        <v>85</v>
      </c>
      <c r="E15" t="s">
        <v>86</v>
      </c>
      <c r="F15" t="s">
        <v>42</v>
      </c>
      <c r="G15" t="s">
        <v>87</v>
      </c>
      <c r="H15" t="s">
        <v>88</v>
      </c>
      <c r="I15" t="s">
        <v>15</v>
      </c>
      <c r="J15" t="s">
        <v>21</v>
      </c>
      <c r="K15" t="s">
        <v>22</v>
      </c>
      <c r="L15">
        <f>BDP($H15,"BICS_LEVEL_1_SECTOR_NAME")</f>
        <v/>
      </c>
      <c r="M15">
        <f>BDP($H15,"BICS_LEVEL_3_INDUSTRY_NAME")</f>
        <v/>
      </c>
    </row>
    <row r="16" spans="1:13">
      <c r="A16" t="s">
        <v>89</v>
      </c>
      <c r="B16" t="s">
        <v>14</v>
      </c>
      <c r="C16" t="s">
        <v>15</v>
      </c>
      <c r="D16" t="s">
        <v>90</v>
      </c>
      <c r="E16" t="s">
        <v>91</v>
      </c>
      <c r="F16" t="s">
        <v>42</v>
      </c>
      <c r="G16" t="s">
        <v>92</v>
      </c>
      <c r="H16" t="s">
        <v>93</v>
      </c>
      <c r="I16" t="s">
        <v>15</v>
      </c>
      <c r="J16" t="s">
        <v>21</v>
      </c>
      <c r="K16" t="s">
        <v>22</v>
      </c>
      <c r="L16">
        <f>BDP($H16,"BICS_LEVEL_1_SECTOR_NAME")</f>
        <v/>
      </c>
      <c r="M16">
        <f>BDP($H16,"BICS_LEVEL_3_INDUSTRY_NAME")</f>
        <v/>
      </c>
    </row>
    <row r="17" spans="1:13">
      <c r="A17" t="s">
        <v>94</v>
      </c>
      <c r="B17" t="s">
        <v>14</v>
      </c>
      <c r="C17" t="s">
        <v>15</v>
      </c>
      <c r="D17" t="s">
        <v>95</v>
      </c>
      <c r="E17" t="s">
        <v>96</v>
      </c>
      <c r="F17" t="s">
        <v>97</v>
      </c>
      <c r="G17" t="s">
        <v>98</v>
      </c>
      <c r="H17" t="s">
        <v>99</v>
      </c>
      <c r="I17" t="s">
        <v>15</v>
      </c>
      <c r="J17" t="s">
        <v>21</v>
      </c>
      <c r="K17" t="s">
        <v>22</v>
      </c>
      <c r="L17">
        <f>BDP($H17,"BICS_LEVEL_1_SECTOR_NAME")</f>
        <v/>
      </c>
      <c r="M17">
        <f>BDP($H17,"BICS_LEVEL_3_INDUSTRY_NAME")</f>
        <v/>
      </c>
    </row>
    <row r="18" spans="1:13">
      <c r="A18" t="s">
        <v>100</v>
      </c>
      <c r="B18" t="s">
        <v>14</v>
      </c>
      <c r="C18" t="s">
        <v>15</v>
      </c>
      <c r="D18" t="s">
        <v>101</v>
      </c>
      <c r="E18" t="s">
        <v>102</v>
      </c>
      <c r="F18" t="s">
        <v>18</v>
      </c>
      <c r="G18" t="s">
        <v>103</v>
      </c>
      <c r="H18" t="s">
        <v>104</v>
      </c>
      <c r="I18" t="s">
        <v>15</v>
      </c>
      <c r="J18" t="s">
        <v>21</v>
      </c>
      <c r="K18" t="s">
        <v>22</v>
      </c>
      <c r="L18">
        <f>BDP($H18,"BICS_LEVEL_1_SECTOR_NAME")</f>
        <v/>
      </c>
      <c r="M18">
        <f>BDP($H18,"BICS_LEVEL_3_INDUSTRY_NAME")</f>
        <v/>
      </c>
    </row>
    <row r="19" spans="1:13">
      <c r="A19" t="s">
        <v>105</v>
      </c>
      <c r="B19" t="s">
        <v>14</v>
      </c>
      <c r="C19" t="s">
        <v>15</v>
      </c>
      <c r="D19" t="s">
        <v>106</v>
      </c>
      <c r="E19" t="s">
        <v>107</v>
      </c>
      <c r="F19" t="s">
        <v>108</v>
      </c>
      <c r="G19" t="s">
        <v>109</v>
      </c>
      <c r="H19" t="s">
        <v>110</v>
      </c>
      <c r="I19" t="s">
        <v>15</v>
      </c>
      <c r="J19" t="s">
        <v>21</v>
      </c>
      <c r="K19" t="s">
        <v>22</v>
      </c>
      <c r="L19">
        <f>BDP($H19,"BICS_LEVEL_1_SECTOR_NAME")</f>
        <v/>
      </c>
      <c r="M19">
        <f>BDP($H19,"BICS_LEVEL_3_INDUSTRY_NAME")</f>
        <v/>
      </c>
    </row>
    <row r="20" spans="1:13">
      <c r="A20" t="s">
        <v>111</v>
      </c>
      <c r="B20" t="s">
        <v>14</v>
      </c>
      <c r="C20" t="s">
        <v>15</v>
      </c>
      <c r="D20" t="s">
        <v>112</v>
      </c>
      <c r="E20" t="s">
        <v>113</v>
      </c>
      <c r="F20" t="s">
        <v>97</v>
      </c>
      <c r="G20" t="s">
        <v>98</v>
      </c>
      <c r="H20" t="s">
        <v>114</v>
      </c>
      <c r="I20" t="s">
        <v>15</v>
      </c>
      <c r="J20" t="s">
        <v>21</v>
      </c>
      <c r="K20" t="s">
        <v>22</v>
      </c>
      <c r="L20">
        <f>BDP($H20,"BICS_LEVEL_1_SECTOR_NAME")</f>
        <v/>
      </c>
      <c r="M20">
        <f>BDP($H20,"BICS_LEVEL_3_INDUSTRY_NAME")</f>
        <v/>
      </c>
    </row>
    <row r="21" spans="1:13">
      <c r="A21" t="s">
        <v>115</v>
      </c>
      <c r="B21" t="s">
        <v>14</v>
      </c>
      <c r="C21" t="s">
        <v>15</v>
      </c>
      <c r="D21" t="s">
        <v>116</v>
      </c>
      <c r="E21" t="s">
        <v>117</v>
      </c>
      <c r="F21" t="s">
        <v>42</v>
      </c>
      <c r="G21" t="s">
        <v>118</v>
      </c>
      <c r="H21" t="s">
        <v>119</v>
      </c>
      <c r="I21" t="s">
        <v>15</v>
      </c>
      <c r="J21" t="s">
        <v>21</v>
      </c>
      <c r="K21" t="s">
        <v>22</v>
      </c>
      <c r="L21">
        <f>BDP($H21,"BICS_LEVEL_1_SECTOR_NAME")</f>
        <v/>
      </c>
      <c r="M21">
        <f>BDP($H21,"BICS_LEVEL_3_INDUSTRY_NAME")</f>
        <v/>
      </c>
    </row>
    <row r="22" spans="1:13">
      <c r="A22" t="s">
        <v>120</v>
      </c>
      <c r="B22" t="s">
        <v>14</v>
      </c>
      <c r="C22" t="s">
        <v>15</v>
      </c>
      <c r="D22" t="s">
        <v>121</v>
      </c>
      <c r="E22" t="s">
        <v>122</v>
      </c>
      <c r="F22" t="s">
        <v>42</v>
      </c>
      <c r="G22" t="s">
        <v>118</v>
      </c>
      <c r="H22" t="s">
        <v>123</v>
      </c>
      <c r="I22" t="s">
        <v>15</v>
      </c>
      <c r="J22" t="s">
        <v>21</v>
      </c>
      <c r="K22" t="s">
        <v>22</v>
      </c>
      <c r="L22">
        <f>BDP($H22,"BICS_LEVEL_1_SECTOR_NAME")</f>
        <v/>
      </c>
      <c r="M22">
        <f>BDP($H22,"BICS_LEVEL_3_INDUSTRY_NAME")</f>
        <v/>
      </c>
    </row>
    <row r="23" spans="1:13">
      <c r="A23" t="s">
        <v>124</v>
      </c>
      <c r="B23" t="s">
        <v>14</v>
      </c>
      <c r="C23" t="s">
        <v>15</v>
      </c>
      <c r="D23" t="s">
        <v>125</v>
      </c>
      <c r="E23" t="s">
        <v>126</v>
      </c>
      <c r="F23" t="s">
        <v>97</v>
      </c>
      <c r="G23" t="s">
        <v>98</v>
      </c>
      <c r="H23" t="s">
        <v>127</v>
      </c>
      <c r="I23" t="s">
        <v>15</v>
      </c>
      <c r="J23" t="s">
        <v>21</v>
      </c>
      <c r="K23" t="s">
        <v>22</v>
      </c>
      <c r="L23">
        <f>BDP($H23,"BICS_LEVEL_1_SECTOR_NAME")</f>
        <v/>
      </c>
      <c r="M23">
        <f>BDP($H23,"BICS_LEVEL_3_INDUSTRY_NAME")</f>
        <v/>
      </c>
    </row>
    <row r="24" spans="1:13">
      <c r="A24" t="s">
        <v>128</v>
      </c>
      <c r="B24" t="s">
        <v>14</v>
      </c>
      <c r="C24" t="s">
        <v>15</v>
      </c>
      <c r="D24" t="s">
        <v>129</v>
      </c>
      <c r="E24" t="s">
        <v>130</v>
      </c>
      <c r="F24" t="s">
        <v>42</v>
      </c>
      <c r="G24" t="s">
        <v>131</v>
      </c>
      <c r="H24" t="s">
        <v>132</v>
      </c>
      <c r="I24" t="s">
        <v>15</v>
      </c>
      <c r="J24" t="s">
        <v>21</v>
      </c>
      <c r="K24" t="s">
        <v>22</v>
      </c>
      <c r="L24">
        <f>BDP($H24,"BICS_LEVEL_1_SECTOR_NAME")</f>
        <v/>
      </c>
      <c r="M24">
        <f>BDP($H24,"BICS_LEVEL_3_INDUSTRY_NAME")</f>
        <v/>
      </c>
    </row>
    <row r="25" spans="1:13">
      <c r="A25" t="s">
        <v>133</v>
      </c>
      <c r="B25" t="s">
        <v>14</v>
      </c>
      <c r="C25" t="s">
        <v>15</v>
      </c>
      <c r="D25" t="s">
        <v>134</v>
      </c>
      <c r="E25" t="s">
        <v>135</v>
      </c>
      <c r="F25" t="s">
        <v>108</v>
      </c>
      <c r="G25" t="s">
        <v>136</v>
      </c>
      <c r="H25" t="s">
        <v>137</v>
      </c>
      <c r="I25" t="s">
        <v>15</v>
      </c>
      <c r="J25" t="s">
        <v>21</v>
      </c>
      <c r="K25" t="s">
        <v>22</v>
      </c>
      <c r="L25">
        <f>BDP($H25,"BICS_LEVEL_1_SECTOR_NAME")</f>
        <v/>
      </c>
      <c r="M25">
        <f>BDP($H25,"BICS_LEVEL_3_INDUSTRY_NAME")</f>
        <v/>
      </c>
    </row>
    <row r="26" spans="1:13">
      <c r="A26" t="s">
        <v>138</v>
      </c>
      <c r="B26" t="s">
        <v>14</v>
      </c>
      <c r="C26" t="s">
        <v>15</v>
      </c>
      <c r="D26" t="s">
        <v>139</v>
      </c>
      <c r="E26" t="s">
        <v>140</v>
      </c>
      <c r="F26" t="s">
        <v>42</v>
      </c>
      <c r="G26" t="s">
        <v>141</v>
      </c>
      <c r="H26" t="s">
        <v>142</v>
      </c>
      <c r="I26" t="s">
        <v>15</v>
      </c>
      <c r="J26" t="s">
        <v>21</v>
      </c>
      <c r="K26" t="s">
        <v>22</v>
      </c>
      <c r="L26">
        <f>BDP($H26,"BICS_LEVEL_1_SECTOR_NAME")</f>
        <v/>
      </c>
      <c r="M26">
        <f>BDP($H26,"BICS_LEVEL_3_INDUSTRY_NAME")</f>
        <v/>
      </c>
    </row>
    <row r="27" spans="1:13">
      <c r="A27" t="s">
        <v>143</v>
      </c>
      <c r="B27" t="s">
        <v>14</v>
      </c>
      <c r="C27" t="s">
        <v>15</v>
      </c>
      <c r="D27" t="s">
        <v>144</v>
      </c>
      <c r="E27" t="s">
        <v>145</v>
      </c>
      <c r="F27" t="s">
        <v>18</v>
      </c>
      <c r="G27" t="s">
        <v>53</v>
      </c>
      <c r="H27" t="s">
        <v>146</v>
      </c>
      <c r="I27" t="s">
        <v>15</v>
      </c>
      <c r="J27" t="s">
        <v>21</v>
      </c>
      <c r="K27" t="s">
        <v>22</v>
      </c>
      <c r="L27">
        <f>BDP($H27,"BICS_LEVEL_1_SECTOR_NAME")</f>
        <v/>
      </c>
      <c r="M27">
        <f>BDP($H27,"BICS_LEVEL_3_INDUSTRY_NAME")</f>
        <v/>
      </c>
    </row>
    <row r="28" spans="1:13">
      <c r="A28" t="s">
        <v>147</v>
      </c>
      <c r="B28" t="s">
        <v>14</v>
      </c>
      <c r="C28" t="s">
        <v>15</v>
      </c>
      <c r="D28" t="s">
        <v>148</v>
      </c>
      <c r="E28" t="s">
        <v>149</v>
      </c>
      <c r="F28" t="s">
        <v>42</v>
      </c>
      <c r="G28" t="s">
        <v>43</v>
      </c>
      <c r="H28" t="s">
        <v>150</v>
      </c>
      <c r="I28" t="s">
        <v>15</v>
      </c>
      <c r="J28" t="s">
        <v>21</v>
      </c>
      <c r="K28" t="s">
        <v>22</v>
      </c>
      <c r="L28">
        <f>BDP($H28,"BICS_LEVEL_1_SECTOR_NAME")</f>
        <v/>
      </c>
      <c r="M28">
        <f>BDP($H28,"BICS_LEVEL_3_INDUSTRY_NAME")</f>
        <v/>
      </c>
    </row>
    <row r="29" spans="1:13">
      <c r="A29" t="s">
        <v>151</v>
      </c>
      <c r="B29" t="s">
        <v>14</v>
      </c>
      <c r="C29" t="s">
        <v>15</v>
      </c>
      <c r="D29" t="s">
        <v>152</v>
      </c>
      <c r="E29" t="s">
        <v>153</v>
      </c>
      <c r="F29" t="s">
        <v>18</v>
      </c>
      <c r="G29" t="s">
        <v>53</v>
      </c>
      <c r="H29" t="s">
        <v>154</v>
      </c>
      <c r="I29" t="s">
        <v>15</v>
      </c>
      <c r="J29" t="s">
        <v>21</v>
      </c>
      <c r="K29" t="s">
        <v>22</v>
      </c>
      <c r="L29">
        <f>BDP($H29,"BICS_LEVEL_1_SECTOR_NAME")</f>
        <v/>
      </c>
      <c r="M29">
        <f>BDP($H29,"BICS_LEVEL_3_INDUSTRY_NAME")</f>
        <v/>
      </c>
    </row>
    <row r="30" spans="1:13">
      <c r="A30" t="s">
        <v>155</v>
      </c>
      <c r="B30" t="s">
        <v>14</v>
      </c>
      <c r="C30" t="s">
        <v>15</v>
      </c>
      <c r="D30" t="s">
        <v>156</v>
      </c>
      <c r="E30" t="s">
        <v>157</v>
      </c>
      <c r="F30" t="s">
        <v>18</v>
      </c>
      <c r="G30" t="s">
        <v>158</v>
      </c>
      <c r="H30" t="s">
        <v>159</v>
      </c>
      <c r="I30" t="s">
        <v>15</v>
      </c>
      <c r="J30" t="s">
        <v>21</v>
      </c>
      <c r="K30" t="s">
        <v>22</v>
      </c>
      <c r="L30">
        <f>BDP($H30,"BICS_LEVEL_1_SECTOR_NAME")</f>
        <v/>
      </c>
      <c r="M30">
        <f>BDP($H30,"BICS_LEVEL_3_INDUSTRY_NAME")</f>
        <v/>
      </c>
    </row>
    <row r="31" spans="1:13">
      <c r="A31" t="s">
        <v>160</v>
      </c>
      <c r="B31" t="s">
        <v>14</v>
      </c>
      <c r="C31" t="s">
        <v>15</v>
      </c>
      <c r="D31" t="s">
        <v>161</v>
      </c>
      <c r="E31" t="s">
        <v>162</v>
      </c>
      <c r="F31" t="s">
        <v>42</v>
      </c>
      <c r="G31" t="s">
        <v>43</v>
      </c>
      <c r="H31" t="s">
        <v>163</v>
      </c>
      <c r="I31" t="s">
        <v>15</v>
      </c>
      <c r="J31" t="s">
        <v>21</v>
      </c>
      <c r="K31" t="s">
        <v>22</v>
      </c>
      <c r="L31">
        <f>BDP($H31,"BICS_LEVEL_1_SECTOR_NAME")</f>
        <v/>
      </c>
      <c r="M31">
        <f>BDP($H31,"BICS_LEVEL_3_INDUSTRY_NAME")</f>
        <v/>
      </c>
    </row>
    <row r="32" spans="1:13">
      <c r="A32" t="s">
        <v>164</v>
      </c>
      <c r="B32" t="s">
        <v>14</v>
      </c>
      <c r="C32" t="s">
        <v>15</v>
      </c>
      <c r="D32" t="s">
        <v>165</v>
      </c>
      <c r="E32" t="s">
        <v>166</v>
      </c>
      <c r="F32" t="s">
        <v>97</v>
      </c>
      <c r="G32" t="s">
        <v>167</v>
      </c>
      <c r="H32" t="s">
        <v>168</v>
      </c>
      <c r="I32" t="s">
        <v>15</v>
      </c>
      <c r="J32" t="s">
        <v>21</v>
      </c>
      <c r="K32" t="s">
        <v>22</v>
      </c>
      <c r="L32">
        <f>BDP($H32,"BICS_LEVEL_1_SECTOR_NAME")</f>
        <v/>
      </c>
      <c r="M32">
        <f>BDP($H32,"BICS_LEVEL_3_INDUSTRY_NAME")</f>
        <v/>
      </c>
    </row>
    <row r="33" spans="1:13">
      <c r="A33" t="s">
        <v>169</v>
      </c>
      <c r="B33" t="s">
        <v>14</v>
      </c>
      <c r="C33" t="s">
        <v>15</v>
      </c>
      <c r="D33" t="s">
        <v>170</v>
      </c>
      <c r="E33" t="s">
        <v>171</v>
      </c>
      <c r="F33" t="s">
        <v>108</v>
      </c>
      <c r="G33" t="s">
        <v>172</v>
      </c>
      <c r="H33" t="s">
        <v>173</v>
      </c>
      <c r="I33" t="s">
        <v>15</v>
      </c>
      <c r="J33" t="s">
        <v>21</v>
      </c>
      <c r="K33" t="s">
        <v>22</v>
      </c>
      <c r="L33">
        <f>BDP($H33,"BICS_LEVEL_1_SECTOR_NAME")</f>
        <v/>
      </c>
      <c r="M33">
        <f>BDP($H33,"BICS_LEVEL_3_INDUSTRY_NAME")</f>
        <v/>
      </c>
    </row>
    <row r="34" spans="1:13">
      <c r="A34" t="s">
        <v>174</v>
      </c>
      <c r="B34" t="s">
        <v>14</v>
      </c>
      <c r="C34" t="s">
        <v>15</v>
      </c>
      <c r="D34" t="s">
        <v>175</v>
      </c>
      <c r="E34" t="s">
        <v>176</v>
      </c>
      <c r="F34" t="s">
        <v>108</v>
      </c>
      <c r="G34" t="s">
        <v>177</v>
      </c>
      <c r="H34" t="s">
        <v>178</v>
      </c>
      <c r="I34" t="s">
        <v>15</v>
      </c>
      <c r="J34" t="s">
        <v>21</v>
      </c>
      <c r="K34" t="s">
        <v>22</v>
      </c>
      <c r="L34">
        <f>BDP($H34,"BICS_LEVEL_1_SECTOR_NAME")</f>
        <v/>
      </c>
      <c r="M34">
        <f>BDP($H34,"BICS_LEVEL_3_INDUSTRY_NAME")</f>
        <v/>
      </c>
    </row>
    <row r="35" spans="1:13">
      <c r="A35" t="s">
        <v>179</v>
      </c>
      <c r="B35" t="s">
        <v>14</v>
      </c>
      <c r="C35" t="s">
        <v>15</v>
      </c>
      <c r="D35" t="s">
        <v>180</v>
      </c>
      <c r="E35" t="s">
        <v>181</v>
      </c>
      <c r="F35" t="s">
        <v>42</v>
      </c>
      <c r="G35" t="s">
        <v>118</v>
      </c>
      <c r="H35" t="s">
        <v>182</v>
      </c>
      <c r="I35" t="s">
        <v>15</v>
      </c>
      <c r="J35" t="s">
        <v>21</v>
      </c>
      <c r="K35" t="s">
        <v>22</v>
      </c>
      <c r="L35">
        <f>BDP($H35,"BICS_LEVEL_1_SECTOR_NAME")</f>
        <v/>
      </c>
      <c r="M35">
        <f>BDP($H35,"BICS_LEVEL_3_INDUSTRY_NAME")</f>
        <v/>
      </c>
    </row>
    <row r="36" spans="1:13">
      <c r="A36" t="s">
        <v>183</v>
      </c>
      <c r="B36" t="s">
        <v>14</v>
      </c>
      <c r="C36" t="s">
        <v>15</v>
      </c>
      <c r="D36" t="s">
        <v>184</v>
      </c>
      <c r="E36" t="s">
        <v>185</v>
      </c>
      <c r="F36" t="s">
        <v>108</v>
      </c>
      <c r="G36" t="s">
        <v>172</v>
      </c>
      <c r="H36" t="s">
        <v>186</v>
      </c>
      <c r="I36" t="s">
        <v>15</v>
      </c>
      <c r="J36" t="s">
        <v>21</v>
      </c>
      <c r="K36" t="s">
        <v>22</v>
      </c>
      <c r="L36">
        <f>BDP($H36,"BICS_LEVEL_1_SECTOR_NAME")</f>
        <v/>
      </c>
      <c r="M36">
        <f>BDP($H36,"BICS_LEVEL_3_INDUSTRY_NAME")</f>
        <v/>
      </c>
    </row>
    <row r="37" spans="1:13">
      <c r="A37" t="s">
        <v>187</v>
      </c>
      <c r="B37" t="s">
        <v>14</v>
      </c>
      <c r="C37" t="s">
        <v>15</v>
      </c>
      <c r="D37" t="s">
        <v>188</v>
      </c>
      <c r="E37" t="s">
        <v>189</v>
      </c>
      <c r="F37" t="s">
        <v>97</v>
      </c>
      <c r="G37" t="s">
        <v>190</v>
      </c>
      <c r="H37" t="s">
        <v>191</v>
      </c>
      <c r="I37" t="s">
        <v>15</v>
      </c>
      <c r="J37" t="s">
        <v>21</v>
      </c>
      <c r="K37" t="s">
        <v>22</v>
      </c>
      <c r="L37">
        <f>BDP($H37,"BICS_LEVEL_1_SECTOR_NAME")</f>
        <v/>
      </c>
      <c r="M37">
        <f>BDP($H37,"BICS_LEVEL_3_INDUSTRY_NAME")</f>
        <v/>
      </c>
    </row>
    <row r="38" spans="1:13">
      <c r="A38" t="s">
        <v>192</v>
      </c>
      <c r="B38" t="s">
        <v>14</v>
      </c>
      <c r="C38" t="s">
        <v>15</v>
      </c>
      <c r="D38" t="s">
        <v>193</v>
      </c>
      <c r="E38" t="s">
        <v>194</v>
      </c>
      <c r="F38" t="s">
        <v>18</v>
      </c>
      <c r="G38" t="s">
        <v>19</v>
      </c>
      <c r="H38" t="s">
        <v>195</v>
      </c>
      <c r="I38" t="s">
        <v>15</v>
      </c>
      <c r="J38" t="s">
        <v>21</v>
      </c>
      <c r="K38" t="s">
        <v>22</v>
      </c>
      <c r="L38">
        <f>BDP($H38,"BICS_LEVEL_1_SECTOR_NAME")</f>
        <v/>
      </c>
      <c r="M38">
        <f>BDP($H38,"BICS_LEVEL_3_INDUSTRY_NAME")</f>
        <v/>
      </c>
    </row>
    <row r="39" spans="1:13">
      <c r="A39" t="s">
        <v>196</v>
      </c>
      <c r="B39" t="s">
        <v>14</v>
      </c>
      <c r="C39" t="s">
        <v>15</v>
      </c>
      <c r="D39" t="s">
        <v>197</v>
      </c>
      <c r="E39" t="s">
        <v>198</v>
      </c>
      <c r="F39" t="s">
        <v>18</v>
      </c>
      <c r="G39" t="s">
        <v>199</v>
      </c>
      <c r="H39" t="s">
        <v>200</v>
      </c>
      <c r="I39" t="s">
        <v>15</v>
      </c>
      <c r="J39" t="s">
        <v>21</v>
      </c>
      <c r="K39" t="s">
        <v>22</v>
      </c>
      <c r="L39">
        <f>BDP($H39,"BICS_LEVEL_1_SECTOR_NAME")</f>
        <v/>
      </c>
      <c r="M39">
        <f>BDP($H39,"BICS_LEVEL_3_INDUSTRY_NAME")</f>
        <v/>
      </c>
    </row>
    <row r="40" spans="1:13">
      <c r="A40" t="s">
        <v>201</v>
      </c>
      <c r="B40" t="s">
        <v>14</v>
      </c>
      <c r="C40" t="s">
        <v>15</v>
      </c>
      <c r="D40" t="s">
        <v>202</v>
      </c>
      <c r="E40" t="s">
        <v>203</v>
      </c>
      <c r="F40" t="s">
        <v>108</v>
      </c>
      <c r="G40" t="s">
        <v>204</v>
      </c>
      <c r="H40" t="s">
        <v>205</v>
      </c>
      <c r="I40" t="s">
        <v>15</v>
      </c>
      <c r="J40" t="s">
        <v>21</v>
      </c>
      <c r="K40" t="s">
        <v>22</v>
      </c>
      <c r="L40">
        <f>BDP($H40,"BICS_LEVEL_1_SECTOR_NAME")</f>
        <v/>
      </c>
      <c r="M40">
        <f>BDP($H40,"BICS_LEVEL_3_INDUSTRY_NAME")</f>
        <v/>
      </c>
    </row>
    <row r="41" spans="1:13">
      <c r="A41" t="s">
        <v>206</v>
      </c>
      <c r="B41" t="s">
        <v>14</v>
      </c>
      <c r="C41" t="s">
        <v>15</v>
      </c>
      <c r="D41" t="s">
        <v>207</v>
      </c>
      <c r="E41" t="s">
        <v>208</v>
      </c>
      <c r="F41" t="s">
        <v>42</v>
      </c>
      <c r="G41" t="s">
        <v>209</v>
      </c>
      <c r="H41" t="s">
        <v>210</v>
      </c>
      <c r="I41" t="s">
        <v>15</v>
      </c>
      <c r="J41" t="s">
        <v>21</v>
      </c>
      <c r="K41" t="s">
        <v>22</v>
      </c>
      <c r="L41">
        <f>BDP($H41,"BICS_LEVEL_1_SECTOR_NAME")</f>
        <v/>
      </c>
      <c r="M41">
        <f>BDP($H41,"BICS_LEVEL_3_INDUSTRY_NAME")</f>
        <v/>
      </c>
    </row>
    <row r="42" spans="1:13">
      <c r="A42" t="s">
        <v>211</v>
      </c>
      <c r="B42" t="s">
        <v>14</v>
      </c>
      <c r="C42" t="s">
        <v>15</v>
      </c>
      <c r="D42" t="s">
        <v>212</v>
      </c>
      <c r="E42" t="s">
        <v>213</v>
      </c>
      <c r="F42" t="s">
        <v>97</v>
      </c>
      <c r="G42" t="s">
        <v>190</v>
      </c>
      <c r="H42" t="s">
        <v>214</v>
      </c>
      <c r="I42" t="s">
        <v>15</v>
      </c>
      <c r="J42" t="s">
        <v>21</v>
      </c>
      <c r="K42" t="s">
        <v>22</v>
      </c>
      <c r="L42">
        <f>BDP($H42,"BICS_LEVEL_1_SECTOR_NAME")</f>
        <v/>
      </c>
      <c r="M42">
        <f>BDP($H42,"BICS_LEVEL_3_INDUSTRY_NAME")</f>
        <v/>
      </c>
    </row>
    <row r="43" spans="1:13">
      <c r="A43" t="s">
        <v>215</v>
      </c>
      <c r="B43" t="s">
        <v>14</v>
      </c>
      <c r="C43" t="s">
        <v>15</v>
      </c>
      <c r="D43" t="s">
        <v>216</v>
      </c>
      <c r="E43" t="s">
        <v>217</v>
      </c>
      <c r="F43" t="s">
        <v>42</v>
      </c>
      <c r="G43" t="s">
        <v>218</v>
      </c>
      <c r="H43" t="s">
        <v>219</v>
      </c>
      <c r="I43" t="s">
        <v>15</v>
      </c>
      <c r="J43" t="s">
        <v>21</v>
      </c>
      <c r="K43" t="s">
        <v>22</v>
      </c>
      <c r="L43">
        <f>BDP($H43,"BICS_LEVEL_1_SECTOR_NAME")</f>
        <v/>
      </c>
      <c r="M43">
        <f>BDP($H43,"BICS_LEVEL_3_INDUSTRY_NAME")</f>
        <v/>
      </c>
    </row>
    <row r="44" spans="1:13">
      <c r="A44" t="s">
        <v>220</v>
      </c>
      <c r="B44" t="s">
        <v>14</v>
      </c>
      <c r="C44" t="s">
        <v>15</v>
      </c>
      <c r="D44" t="s">
        <v>221</v>
      </c>
      <c r="E44" t="s">
        <v>222</v>
      </c>
      <c r="F44" t="s">
        <v>42</v>
      </c>
      <c r="G44" t="s">
        <v>63</v>
      </c>
      <c r="H44" t="s">
        <v>223</v>
      </c>
      <c r="I44" t="s">
        <v>15</v>
      </c>
      <c r="J44" t="s">
        <v>21</v>
      </c>
      <c r="K44" t="s">
        <v>22</v>
      </c>
      <c r="L44">
        <f>BDP($H44,"BICS_LEVEL_1_SECTOR_NAME")</f>
        <v/>
      </c>
      <c r="M44">
        <f>BDP($H44,"BICS_LEVEL_3_INDUSTRY_NAME")</f>
        <v/>
      </c>
    </row>
    <row r="45" spans="1:13">
      <c r="A45" t="s">
        <v>224</v>
      </c>
      <c r="B45" t="s">
        <v>14</v>
      </c>
      <c r="C45" t="s">
        <v>15</v>
      </c>
      <c r="D45" t="s">
        <v>225</v>
      </c>
      <c r="E45" t="s">
        <v>226</v>
      </c>
      <c r="F45" t="s">
        <v>42</v>
      </c>
      <c r="G45" t="s">
        <v>227</v>
      </c>
      <c r="H45" t="s">
        <v>228</v>
      </c>
      <c r="I45" t="s">
        <v>15</v>
      </c>
      <c r="J45" t="s">
        <v>21</v>
      </c>
      <c r="K45" t="s">
        <v>22</v>
      </c>
      <c r="L45">
        <f>BDP($H45,"BICS_LEVEL_1_SECTOR_NAME")</f>
        <v/>
      </c>
      <c r="M45">
        <f>BDP($H45,"BICS_LEVEL_3_INDUSTRY_NAME")</f>
        <v/>
      </c>
    </row>
    <row r="46" spans="1:13">
      <c r="A46" t="s">
        <v>229</v>
      </c>
      <c r="B46" t="s">
        <v>14</v>
      </c>
      <c r="C46" t="s">
        <v>15</v>
      </c>
      <c r="D46" t="s">
        <v>230</v>
      </c>
      <c r="E46" t="s">
        <v>231</v>
      </c>
      <c r="F46" t="s">
        <v>97</v>
      </c>
      <c r="G46" t="s">
        <v>190</v>
      </c>
      <c r="H46" t="s">
        <v>232</v>
      </c>
      <c r="I46" t="s">
        <v>15</v>
      </c>
      <c r="J46" t="s">
        <v>21</v>
      </c>
      <c r="K46" t="s">
        <v>22</v>
      </c>
      <c r="L46">
        <f>BDP($H46,"BICS_LEVEL_1_SECTOR_NAME")</f>
        <v/>
      </c>
      <c r="M46">
        <f>BDP($H46,"BICS_LEVEL_3_INDUSTRY_NAME")</f>
        <v/>
      </c>
    </row>
    <row r="47" spans="1:13">
      <c r="A47" t="s">
        <v>233</v>
      </c>
      <c r="B47" t="s">
        <v>14</v>
      </c>
      <c r="C47" t="s">
        <v>15</v>
      </c>
      <c r="D47" t="s">
        <v>234</v>
      </c>
      <c r="E47" t="s">
        <v>235</v>
      </c>
      <c r="F47" t="s">
        <v>236</v>
      </c>
      <c r="G47" t="s">
        <v>237</v>
      </c>
      <c r="H47" t="s">
        <v>238</v>
      </c>
      <c r="I47" t="s">
        <v>15</v>
      </c>
      <c r="J47" t="s">
        <v>21</v>
      </c>
      <c r="K47" t="s">
        <v>22</v>
      </c>
      <c r="L47">
        <f>BDP($H47,"BICS_LEVEL_1_SECTOR_NAME")</f>
        <v/>
      </c>
      <c r="M47">
        <f>BDP($H47,"BICS_LEVEL_3_INDUSTRY_NAME")</f>
        <v/>
      </c>
    </row>
    <row r="48" spans="1:13">
      <c r="A48" t="s">
        <v>239</v>
      </c>
      <c r="B48" t="s">
        <v>14</v>
      </c>
      <c r="C48" t="s">
        <v>15</v>
      </c>
      <c r="D48" t="s">
        <v>240</v>
      </c>
      <c r="E48" t="s">
        <v>241</v>
      </c>
      <c r="F48" t="s">
        <v>242</v>
      </c>
      <c r="G48" t="s">
        <v>243</v>
      </c>
      <c r="H48" t="s">
        <v>244</v>
      </c>
      <c r="I48" t="s">
        <v>15</v>
      </c>
      <c r="J48" t="s">
        <v>21</v>
      </c>
      <c r="K48" t="s">
        <v>22</v>
      </c>
      <c r="L48">
        <f>BDP($H48,"BICS_LEVEL_1_SECTOR_NAME")</f>
        <v/>
      </c>
      <c r="M48">
        <f>BDP($H48,"BICS_LEVEL_3_INDUSTRY_NAME")</f>
        <v/>
      </c>
    </row>
    <row r="49" spans="1:13">
      <c r="A49" t="s">
        <v>245</v>
      </c>
      <c r="B49" t="s">
        <v>14</v>
      </c>
      <c r="C49" t="s">
        <v>15</v>
      </c>
      <c r="D49" t="s">
        <v>246</v>
      </c>
      <c r="E49" t="s">
        <v>247</v>
      </c>
      <c r="F49" t="s">
        <v>18</v>
      </c>
      <c r="G49" t="s">
        <v>248</v>
      </c>
      <c r="H49" t="s">
        <v>249</v>
      </c>
      <c r="I49" t="s">
        <v>15</v>
      </c>
      <c r="J49" t="s">
        <v>21</v>
      </c>
      <c r="K49" t="s">
        <v>22</v>
      </c>
      <c r="L49">
        <f>BDP($H49,"BICS_LEVEL_1_SECTOR_NAME")</f>
        <v/>
      </c>
      <c r="M49">
        <f>BDP($H49,"BICS_LEVEL_3_INDUSTRY_NAME")</f>
        <v/>
      </c>
    </row>
    <row r="50" spans="1:13">
      <c r="A50" t="s">
        <v>250</v>
      </c>
      <c r="B50" t="s">
        <v>14</v>
      </c>
      <c r="C50" t="s">
        <v>15</v>
      </c>
      <c r="D50" t="s">
        <v>251</v>
      </c>
      <c r="E50" t="s">
        <v>252</v>
      </c>
      <c r="F50" t="s">
        <v>97</v>
      </c>
      <c r="G50" t="s">
        <v>253</v>
      </c>
      <c r="H50" t="s">
        <v>254</v>
      </c>
      <c r="I50" t="s">
        <v>15</v>
      </c>
      <c r="J50" t="s">
        <v>21</v>
      </c>
      <c r="K50" t="s">
        <v>22</v>
      </c>
      <c r="L50">
        <f>BDP($H50,"BICS_LEVEL_1_SECTOR_NAME")</f>
        <v/>
      </c>
      <c r="M50">
        <f>BDP($H50,"BICS_LEVEL_3_INDUSTRY_NAME")</f>
        <v/>
      </c>
    </row>
    <row r="51" spans="1:13">
      <c r="A51" t="s">
        <v>255</v>
      </c>
      <c r="B51" t="s">
        <v>14</v>
      </c>
      <c r="C51" t="s">
        <v>15</v>
      </c>
      <c r="D51" t="s">
        <v>256</v>
      </c>
      <c r="E51" t="s">
        <v>257</v>
      </c>
      <c r="F51" t="s">
        <v>18</v>
      </c>
      <c r="G51" t="s">
        <v>37</v>
      </c>
      <c r="H51" t="s">
        <v>258</v>
      </c>
      <c r="I51" t="s">
        <v>15</v>
      </c>
      <c r="J51" t="s">
        <v>21</v>
      </c>
      <c r="K51" t="s">
        <v>22</v>
      </c>
      <c r="L51">
        <f>BDP($H51,"BICS_LEVEL_1_SECTOR_NAME")</f>
        <v/>
      </c>
      <c r="M51">
        <f>BDP($H51,"BICS_LEVEL_3_INDUSTRY_NAME")</f>
        <v/>
      </c>
    </row>
    <row r="52" spans="1:13">
      <c r="A52" t="s">
        <v>259</v>
      </c>
      <c r="B52" t="s">
        <v>14</v>
      </c>
      <c r="C52" t="s">
        <v>15</v>
      </c>
      <c r="D52" t="s">
        <v>260</v>
      </c>
      <c r="E52" t="s">
        <v>261</v>
      </c>
      <c r="F52" t="s">
        <v>108</v>
      </c>
      <c r="G52" t="s">
        <v>262</v>
      </c>
      <c r="H52" t="s">
        <v>263</v>
      </c>
      <c r="I52" t="s">
        <v>15</v>
      </c>
      <c r="J52" t="s">
        <v>21</v>
      </c>
      <c r="K52" t="s">
        <v>22</v>
      </c>
      <c r="L52">
        <f>BDP($H52,"BICS_LEVEL_1_SECTOR_NAME")</f>
        <v/>
      </c>
      <c r="M52">
        <f>BDP($H52,"BICS_LEVEL_3_INDUSTRY_NAME")</f>
        <v/>
      </c>
    </row>
    <row r="53" spans="1:13">
      <c r="A53" t="s">
        <v>264</v>
      </c>
      <c r="B53" t="s">
        <v>14</v>
      </c>
      <c r="C53" t="s">
        <v>15</v>
      </c>
      <c r="D53" t="s">
        <v>265</v>
      </c>
      <c r="E53" t="s">
        <v>266</v>
      </c>
      <c r="F53" t="s">
        <v>97</v>
      </c>
      <c r="G53" t="s">
        <v>190</v>
      </c>
      <c r="H53" t="s">
        <v>267</v>
      </c>
      <c r="I53" t="s">
        <v>15</v>
      </c>
      <c r="J53" t="s">
        <v>21</v>
      </c>
      <c r="K53" t="s">
        <v>22</v>
      </c>
      <c r="L53">
        <f>BDP($H53,"BICS_LEVEL_1_SECTOR_NAME")</f>
        <v/>
      </c>
      <c r="M53">
        <f>BDP($H53,"BICS_LEVEL_3_INDUSTRY_NAME")</f>
        <v/>
      </c>
    </row>
    <row r="54" spans="1:13">
      <c r="A54" t="s">
        <v>268</v>
      </c>
      <c r="B54" t="s">
        <v>14</v>
      </c>
      <c r="C54" t="s">
        <v>15</v>
      </c>
      <c r="D54" t="s">
        <v>269</v>
      </c>
      <c r="E54" t="s">
        <v>270</v>
      </c>
      <c r="F54" t="s">
        <v>18</v>
      </c>
      <c r="G54" t="s">
        <v>271</v>
      </c>
      <c r="H54" t="s">
        <v>272</v>
      </c>
      <c r="I54" t="s">
        <v>15</v>
      </c>
      <c r="J54" t="s">
        <v>21</v>
      </c>
      <c r="K54" t="s">
        <v>22</v>
      </c>
      <c r="L54">
        <f>BDP($H54,"BICS_LEVEL_1_SECTOR_NAME")</f>
        <v/>
      </c>
      <c r="M54">
        <f>BDP($H54,"BICS_LEVEL_3_INDUSTRY_NAME")</f>
        <v/>
      </c>
    </row>
    <row r="55" spans="1:13">
      <c r="A55" t="s">
        <v>273</v>
      </c>
      <c r="B55" t="s">
        <v>14</v>
      </c>
      <c r="C55" t="s">
        <v>15</v>
      </c>
      <c r="D55" t="s">
        <v>274</v>
      </c>
      <c r="E55" t="s">
        <v>275</v>
      </c>
      <c r="F55" t="s">
        <v>18</v>
      </c>
      <c r="G55" t="s">
        <v>53</v>
      </c>
      <c r="H55" t="s">
        <v>276</v>
      </c>
      <c r="I55" t="s">
        <v>15</v>
      </c>
      <c r="J55" t="s">
        <v>21</v>
      </c>
      <c r="K55" t="s">
        <v>22</v>
      </c>
      <c r="L55">
        <f>BDP($H55,"BICS_LEVEL_1_SECTOR_NAME")</f>
        <v/>
      </c>
      <c r="M55">
        <f>BDP($H55,"BICS_LEVEL_3_INDUSTRY_NAME")</f>
        <v/>
      </c>
    </row>
    <row r="56" spans="1:13">
      <c r="A56" t="s">
        <v>277</v>
      </c>
      <c r="B56" t="s">
        <v>14</v>
      </c>
      <c r="C56" t="s">
        <v>15</v>
      </c>
      <c r="D56" t="s">
        <v>278</v>
      </c>
      <c r="E56" t="s">
        <v>279</v>
      </c>
      <c r="F56" t="s">
        <v>18</v>
      </c>
      <c r="G56" t="s">
        <v>53</v>
      </c>
      <c r="H56" t="s">
        <v>280</v>
      </c>
      <c r="I56" t="s">
        <v>15</v>
      </c>
      <c r="J56" t="s">
        <v>21</v>
      </c>
      <c r="K56" t="s">
        <v>22</v>
      </c>
      <c r="L56">
        <f>BDP($H56,"BICS_LEVEL_1_SECTOR_NAME")</f>
        <v/>
      </c>
      <c r="M56">
        <f>BDP($H56,"BICS_LEVEL_3_INDUSTRY_NAME")</f>
        <v/>
      </c>
    </row>
    <row r="57" spans="1:13">
      <c r="A57" t="s">
        <v>281</v>
      </c>
      <c r="B57" t="s">
        <v>14</v>
      </c>
      <c r="C57" t="s">
        <v>15</v>
      </c>
      <c r="D57" t="s">
        <v>282</v>
      </c>
      <c r="E57" t="s">
        <v>283</v>
      </c>
      <c r="F57" t="s">
        <v>42</v>
      </c>
      <c r="G57" t="s">
        <v>284</v>
      </c>
      <c r="H57" t="s">
        <v>285</v>
      </c>
      <c r="I57" t="s">
        <v>15</v>
      </c>
      <c r="J57" t="s">
        <v>21</v>
      </c>
      <c r="K57" t="s">
        <v>22</v>
      </c>
      <c r="L57">
        <f>BDP($H57,"BICS_LEVEL_1_SECTOR_NAME")</f>
        <v/>
      </c>
      <c r="M57">
        <f>BDP($H57,"BICS_LEVEL_3_INDUSTRY_NAME")</f>
        <v/>
      </c>
    </row>
    <row r="58" spans="1:13">
      <c r="A58" t="s">
        <v>286</v>
      </c>
      <c r="B58" t="s">
        <v>14</v>
      </c>
      <c r="C58" t="s">
        <v>15</v>
      </c>
      <c r="D58" t="s">
        <v>287</v>
      </c>
      <c r="E58" t="s">
        <v>288</v>
      </c>
      <c r="F58" t="s">
        <v>108</v>
      </c>
      <c r="G58" t="s">
        <v>172</v>
      </c>
      <c r="H58" t="s">
        <v>289</v>
      </c>
      <c r="I58" t="s">
        <v>15</v>
      </c>
      <c r="J58" t="s">
        <v>21</v>
      </c>
      <c r="K58" t="s">
        <v>22</v>
      </c>
      <c r="L58">
        <f>BDP($H58,"BICS_LEVEL_1_SECTOR_NAME")</f>
        <v/>
      </c>
      <c r="M58">
        <f>BDP($H58,"BICS_LEVEL_3_INDUSTRY_NAME")</f>
        <v/>
      </c>
    </row>
    <row r="59" spans="1:13">
      <c r="A59" t="s">
        <v>290</v>
      </c>
      <c r="B59" t="s">
        <v>14</v>
      </c>
      <c r="C59" t="s">
        <v>15</v>
      </c>
      <c r="D59" t="s">
        <v>291</v>
      </c>
      <c r="E59" t="s">
        <v>292</v>
      </c>
      <c r="F59" t="s">
        <v>293</v>
      </c>
      <c r="G59" t="s">
        <v>294</v>
      </c>
      <c r="H59" t="s">
        <v>295</v>
      </c>
      <c r="I59" t="s">
        <v>15</v>
      </c>
      <c r="J59" t="s">
        <v>21</v>
      </c>
      <c r="K59" t="s">
        <v>22</v>
      </c>
      <c r="L59">
        <f>BDP($H59,"BICS_LEVEL_1_SECTOR_NAME")</f>
        <v/>
      </c>
      <c r="M59">
        <f>BDP($H59,"BICS_LEVEL_3_INDUSTRY_NAME")</f>
        <v/>
      </c>
    </row>
    <row r="60" spans="1:13">
      <c r="A60" t="s">
        <v>296</v>
      </c>
      <c r="B60" t="s">
        <v>14</v>
      </c>
      <c r="C60" t="s">
        <v>15</v>
      </c>
      <c r="D60" t="s">
        <v>297</v>
      </c>
      <c r="E60" t="s">
        <v>298</v>
      </c>
      <c r="F60" t="s">
        <v>293</v>
      </c>
      <c r="G60" t="s">
        <v>294</v>
      </c>
      <c r="H60" t="s">
        <v>299</v>
      </c>
      <c r="I60" t="s">
        <v>15</v>
      </c>
      <c r="J60" t="s">
        <v>21</v>
      </c>
      <c r="K60" t="s">
        <v>22</v>
      </c>
      <c r="L60">
        <f>BDP($H60,"BICS_LEVEL_1_SECTOR_NAME")</f>
        <v/>
      </c>
      <c r="M60">
        <f>BDP($H60,"BICS_LEVEL_3_INDUSTRY_NAME")</f>
        <v/>
      </c>
    </row>
    <row r="61" spans="1:13">
      <c r="A61" t="s">
        <v>300</v>
      </c>
      <c r="B61" t="s">
        <v>14</v>
      </c>
      <c r="C61" t="s">
        <v>15</v>
      </c>
      <c r="D61" t="s">
        <v>301</v>
      </c>
      <c r="E61" t="s">
        <v>302</v>
      </c>
      <c r="F61" t="s">
        <v>108</v>
      </c>
      <c r="G61" t="s">
        <v>172</v>
      </c>
      <c r="H61" t="s">
        <v>303</v>
      </c>
      <c r="I61" t="s">
        <v>15</v>
      </c>
      <c r="J61" t="s">
        <v>21</v>
      </c>
      <c r="K61" t="s">
        <v>22</v>
      </c>
      <c r="L61">
        <f>BDP($H61,"BICS_LEVEL_1_SECTOR_NAME")</f>
        <v/>
      </c>
      <c r="M61">
        <f>BDP($H61,"BICS_LEVEL_3_INDUSTRY_NAME")</f>
        <v/>
      </c>
    </row>
    <row r="62" spans="1:13">
      <c r="A62" t="s">
        <v>304</v>
      </c>
      <c r="B62" t="s">
        <v>14</v>
      </c>
      <c r="C62" t="s">
        <v>15</v>
      </c>
      <c r="D62" t="s">
        <v>305</v>
      </c>
      <c r="E62" t="s">
        <v>306</v>
      </c>
      <c r="F62" t="s">
        <v>108</v>
      </c>
      <c r="G62" t="s">
        <v>307</v>
      </c>
      <c r="H62" t="s">
        <v>308</v>
      </c>
      <c r="I62" t="s">
        <v>15</v>
      </c>
      <c r="J62" t="s">
        <v>21</v>
      </c>
      <c r="K62" t="s">
        <v>22</v>
      </c>
      <c r="L62">
        <f>BDP($H62,"BICS_LEVEL_1_SECTOR_NAME")</f>
        <v/>
      </c>
      <c r="M62">
        <f>BDP($H62,"BICS_LEVEL_3_INDUSTRY_NAME")</f>
        <v/>
      </c>
    </row>
    <row r="63" spans="1:13">
      <c r="A63" t="s">
        <v>309</v>
      </c>
      <c r="B63" t="s">
        <v>14</v>
      </c>
      <c r="C63" t="s">
        <v>15</v>
      </c>
      <c r="D63" t="s">
        <v>310</v>
      </c>
      <c r="E63" t="s">
        <v>311</v>
      </c>
      <c r="F63" t="s">
        <v>293</v>
      </c>
      <c r="G63" t="s">
        <v>312</v>
      </c>
      <c r="H63" t="s">
        <v>313</v>
      </c>
      <c r="I63" t="s">
        <v>15</v>
      </c>
      <c r="J63" t="s">
        <v>21</v>
      </c>
      <c r="K63" t="s">
        <v>22</v>
      </c>
      <c r="L63">
        <f>BDP($H63,"BICS_LEVEL_1_SECTOR_NAME")</f>
        <v/>
      </c>
      <c r="M63">
        <f>BDP($H63,"BICS_LEVEL_3_INDUSTRY_NAME")</f>
        <v/>
      </c>
    </row>
    <row r="64" spans="1:13">
      <c r="A64" t="s">
        <v>314</v>
      </c>
      <c r="B64" t="s">
        <v>14</v>
      </c>
      <c r="C64" t="s">
        <v>15</v>
      </c>
      <c r="D64" t="s">
        <v>315</v>
      </c>
      <c r="E64" t="s">
        <v>316</v>
      </c>
      <c r="F64" t="s">
        <v>18</v>
      </c>
      <c r="G64" t="s">
        <v>37</v>
      </c>
      <c r="H64" t="s">
        <v>317</v>
      </c>
      <c r="I64" t="s">
        <v>15</v>
      </c>
      <c r="J64" t="s">
        <v>21</v>
      </c>
      <c r="K64" t="s">
        <v>22</v>
      </c>
      <c r="L64">
        <f>BDP($H64,"BICS_LEVEL_1_SECTOR_NAME")</f>
        <v/>
      </c>
      <c r="M64">
        <f>BDP($H64,"BICS_LEVEL_3_INDUSTRY_NAME")</f>
        <v/>
      </c>
    </row>
    <row r="65" spans="1:13">
      <c r="A65" t="s">
        <v>318</v>
      </c>
      <c r="B65" t="s">
        <v>14</v>
      </c>
      <c r="C65" t="s">
        <v>15</v>
      </c>
      <c r="D65" t="s">
        <v>319</v>
      </c>
      <c r="E65" t="s">
        <v>320</v>
      </c>
      <c r="F65" t="s">
        <v>26</v>
      </c>
      <c r="G65" t="s">
        <v>321</v>
      </c>
      <c r="H65" t="s">
        <v>322</v>
      </c>
      <c r="I65" t="s">
        <v>15</v>
      </c>
      <c r="J65" t="s">
        <v>21</v>
      </c>
      <c r="K65" t="s">
        <v>22</v>
      </c>
      <c r="L65">
        <f>BDP($H65,"BICS_LEVEL_1_SECTOR_NAME")</f>
        <v/>
      </c>
      <c r="M65">
        <f>BDP($H65,"BICS_LEVEL_3_INDUSTRY_NAME")</f>
        <v/>
      </c>
    </row>
    <row r="66" spans="1:13">
      <c r="A66" t="s">
        <v>323</v>
      </c>
      <c r="B66" t="s">
        <v>14</v>
      </c>
      <c r="C66" t="s">
        <v>15</v>
      </c>
      <c r="D66" t="s">
        <v>324</v>
      </c>
      <c r="E66" t="s">
        <v>325</v>
      </c>
      <c r="F66" t="s">
        <v>18</v>
      </c>
      <c r="G66" t="s">
        <v>53</v>
      </c>
      <c r="H66" t="s">
        <v>326</v>
      </c>
      <c r="I66" t="s">
        <v>15</v>
      </c>
      <c r="J66" t="s">
        <v>21</v>
      </c>
      <c r="K66" t="s">
        <v>22</v>
      </c>
      <c r="L66">
        <f>BDP($H66,"BICS_LEVEL_1_SECTOR_NAME")</f>
        <v/>
      </c>
      <c r="M66">
        <f>BDP($H66,"BICS_LEVEL_3_INDUSTRY_NAME")</f>
        <v/>
      </c>
    </row>
    <row r="67" spans="1:13">
      <c r="A67" t="s">
        <v>327</v>
      </c>
      <c r="B67" t="s">
        <v>14</v>
      </c>
      <c r="C67" t="s">
        <v>15</v>
      </c>
      <c r="D67" t="s">
        <v>328</v>
      </c>
      <c r="E67" t="s">
        <v>329</v>
      </c>
      <c r="F67" t="s">
        <v>18</v>
      </c>
      <c r="G67" t="s">
        <v>19</v>
      </c>
      <c r="H67" t="s">
        <v>330</v>
      </c>
      <c r="I67" t="s">
        <v>15</v>
      </c>
      <c r="J67" t="s">
        <v>21</v>
      </c>
      <c r="K67" t="s">
        <v>22</v>
      </c>
      <c r="L67">
        <f>BDP($H67,"BICS_LEVEL_1_SECTOR_NAME")</f>
        <v/>
      </c>
      <c r="M67">
        <f>BDP($H67,"BICS_LEVEL_3_INDUSTRY_NAME")</f>
        <v/>
      </c>
    </row>
    <row r="68" spans="1:13">
      <c r="A68" t="s">
        <v>331</v>
      </c>
      <c r="B68" t="s">
        <v>14</v>
      </c>
      <c r="C68" t="s">
        <v>15</v>
      </c>
      <c r="D68" t="s">
        <v>332</v>
      </c>
      <c r="E68" t="s">
        <v>333</v>
      </c>
      <c r="F68" t="s">
        <v>42</v>
      </c>
      <c r="G68" t="s">
        <v>334</v>
      </c>
      <c r="H68" t="s">
        <v>335</v>
      </c>
      <c r="I68" t="s">
        <v>15</v>
      </c>
      <c r="J68" t="s">
        <v>21</v>
      </c>
      <c r="K68" t="s">
        <v>22</v>
      </c>
      <c r="L68">
        <f>BDP($H68,"BICS_LEVEL_1_SECTOR_NAME")</f>
        <v/>
      </c>
      <c r="M68">
        <f>BDP($H68,"BICS_LEVEL_3_INDUSTRY_NAME")</f>
        <v/>
      </c>
    </row>
    <row r="69" spans="1:13">
      <c r="A69" t="s">
        <v>336</v>
      </c>
      <c r="B69" t="s">
        <v>14</v>
      </c>
      <c r="C69" t="s">
        <v>15</v>
      </c>
      <c r="D69" t="s">
        <v>337</v>
      </c>
      <c r="E69" t="s">
        <v>338</v>
      </c>
      <c r="F69" t="s">
        <v>42</v>
      </c>
      <c r="G69" t="s">
        <v>334</v>
      </c>
      <c r="H69" t="s">
        <v>339</v>
      </c>
      <c r="I69" t="s">
        <v>15</v>
      </c>
      <c r="J69" t="s">
        <v>21</v>
      </c>
      <c r="K69" t="s">
        <v>22</v>
      </c>
      <c r="L69">
        <f>BDP($H69,"BICS_LEVEL_1_SECTOR_NAME")</f>
        <v/>
      </c>
      <c r="M69">
        <f>BDP($H69,"BICS_LEVEL_3_INDUSTRY_NAME")</f>
        <v/>
      </c>
    </row>
    <row r="70" spans="1:13">
      <c r="A70" t="s">
        <v>340</v>
      </c>
      <c r="B70" t="s">
        <v>14</v>
      </c>
      <c r="C70" t="s">
        <v>15</v>
      </c>
      <c r="D70" t="s">
        <v>341</v>
      </c>
      <c r="E70" t="s">
        <v>342</v>
      </c>
      <c r="F70" t="s">
        <v>108</v>
      </c>
      <c r="G70" t="s">
        <v>343</v>
      </c>
      <c r="H70" t="s">
        <v>344</v>
      </c>
      <c r="I70" t="s">
        <v>15</v>
      </c>
      <c r="J70" t="s">
        <v>21</v>
      </c>
      <c r="K70" t="s">
        <v>22</v>
      </c>
      <c r="L70">
        <f>BDP($H70,"BICS_LEVEL_1_SECTOR_NAME")</f>
        <v/>
      </c>
      <c r="M70">
        <f>BDP($H70,"BICS_LEVEL_3_INDUSTRY_NAME")</f>
        <v/>
      </c>
    </row>
    <row r="71" spans="1:13">
      <c r="A71" t="s">
        <v>345</v>
      </c>
      <c r="B71" t="s">
        <v>14</v>
      </c>
      <c r="C71" t="s">
        <v>15</v>
      </c>
      <c r="D71" t="s">
        <v>346</v>
      </c>
      <c r="E71" t="s">
        <v>347</v>
      </c>
      <c r="F71" t="s">
        <v>108</v>
      </c>
      <c r="G71" t="s">
        <v>109</v>
      </c>
      <c r="H71" t="s">
        <v>348</v>
      </c>
      <c r="I71" t="s">
        <v>15</v>
      </c>
      <c r="J71" t="s">
        <v>21</v>
      </c>
      <c r="K71" t="s">
        <v>22</v>
      </c>
      <c r="L71">
        <f>BDP($H71,"BICS_LEVEL_1_SECTOR_NAME")</f>
        <v/>
      </c>
      <c r="M71">
        <f>BDP($H71,"BICS_LEVEL_3_INDUSTRY_NAME")</f>
        <v/>
      </c>
    </row>
    <row r="72" spans="1:13">
      <c r="A72" t="s">
        <v>349</v>
      </c>
      <c r="B72" t="s">
        <v>14</v>
      </c>
      <c r="C72" t="s">
        <v>15</v>
      </c>
      <c r="D72" t="s">
        <v>350</v>
      </c>
      <c r="E72" t="s">
        <v>351</v>
      </c>
      <c r="F72" t="s">
        <v>18</v>
      </c>
      <c r="G72" t="s">
        <v>103</v>
      </c>
      <c r="H72" t="s">
        <v>352</v>
      </c>
      <c r="I72" t="s">
        <v>15</v>
      </c>
      <c r="J72" t="s">
        <v>21</v>
      </c>
      <c r="K72" t="s">
        <v>22</v>
      </c>
      <c r="L72">
        <f>BDP($H72,"BICS_LEVEL_1_SECTOR_NAME")</f>
        <v/>
      </c>
      <c r="M72">
        <f>BDP($H72,"BICS_LEVEL_3_INDUSTRY_NAME")</f>
        <v/>
      </c>
    </row>
    <row r="73" spans="1:13">
      <c r="A73" t="s">
        <v>353</v>
      </c>
      <c r="B73" t="s">
        <v>14</v>
      </c>
      <c r="C73" t="s">
        <v>15</v>
      </c>
      <c r="D73" t="s">
        <v>354</v>
      </c>
      <c r="E73" t="s">
        <v>355</v>
      </c>
      <c r="F73" t="s">
        <v>97</v>
      </c>
      <c r="G73" t="s">
        <v>190</v>
      </c>
      <c r="H73" t="s">
        <v>356</v>
      </c>
      <c r="I73" t="s">
        <v>15</v>
      </c>
      <c r="J73" t="s">
        <v>21</v>
      </c>
      <c r="K73" t="s">
        <v>22</v>
      </c>
      <c r="L73">
        <f>BDP($H73,"BICS_LEVEL_1_SECTOR_NAME")</f>
        <v/>
      </c>
      <c r="M73">
        <f>BDP($H73,"BICS_LEVEL_3_INDUSTRY_NAME")</f>
        <v/>
      </c>
    </row>
    <row r="74" spans="1:13">
      <c r="A74" t="s">
        <v>357</v>
      </c>
      <c r="B74" t="s">
        <v>14</v>
      </c>
      <c r="C74" t="s">
        <v>15</v>
      </c>
      <c r="D74" t="s">
        <v>358</v>
      </c>
      <c r="E74" t="s">
        <v>359</v>
      </c>
      <c r="F74" t="s">
        <v>97</v>
      </c>
      <c r="G74" t="s">
        <v>360</v>
      </c>
      <c r="H74" t="s">
        <v>361</v>
      </c>
      <c r="I74" t="s">
        <v>15</v>
      </c>
      <c r="J74" t="s">
        <v>21</v>
      </c>
      <c r="K74" t="s">
        <v>22</v>
      </c>
      <c r="L74">
        <f>BDP($H74,"BICS_LEVEL_1_SECTOR_NAME")</f>
        <v/>
      </c>
      <c r="M74">
        <f>BDP($H74,"BICS_LEVEL_3_INDUSTRY_NAME")</f>
        <v/>
      </c>
    </row>
    <row r="75" spans="1:13">
      <c r="A75" t="s">
        <v>362</v>
      </c>
      <c r="B75" t="s">
        <v>14</v>
      </c>
      <c r="C75" t="s">
        <v>15</v>
      </c>
      <c r="D75" t="s">
        <v>363</v>
      </c>
      <c r="E75" t="s">
        <v>364</v>
      </c>
      <c r="F75" t="s">
        <v>293</v>
      </c>
      <c r="G75" t="s">
        <v>365</v>
      </c>
      <c r="H75" t="s">
        <v>366</v>
      </c>
      <c r="I75" t="s">
        <v>15</v>
      </c>
      <c r="J75" t="s">
        <v>21</v>
      </c>
      <c r="K75" t="s">
        <v>22</v>
      </c>
      <c r="L75">
        <f>BDP($H75,"BICS_LEVEL_1_SECTOR_NAME")</f>
        <v/>
      </c>
      <c r="M75">
        <f>BDP($H75,"BICS_LEVEL_3_INDUSTRY_NAME")</f>
        <v/>
      </c>
    </row>
    <row r="76" spans="1:13">
      <c r="A76" t="s">
        <v>367</v>
      </c>
      <c r="B76" t="s">
        <v>14</v>
      </c>
      <c r="C76" t="s">
        <v>15</v>
      </c>
      <c r="D76" t="s">
        <v>368</v>
      </c>
      <c r="E76" t="s">
        <v>369</v>
      </c>
      <c r="F76" t="s">
        <v>97</v>
      </c>
      <c r="G76" t="s">
        <v>253</v>
      </c>
      <c r="H76" t="s">
        <v>370</v>
      </c>
      <c r="I76" t="s">
        <v>15</v>
      </c>
      <c r="J76" t="s">
        <v>21</v>
      </c>
      <c r="K76" t="s">
        <v>22</v>
      </c>
      <c r="L76">
        <f>BDP($H76,"BICS_LEVEL_1_SECTOR_NAME")</f>
        <v/>
      </c>
      <c r="M76">
        <f>BDP($H76,"BICS_LEVEL_3_INDUSTRY_NAME")</f>
        <v/>
      </c>
    </row>
    <row r="77" spans="1:13">
      <c r="A77" t="s">
        <v>371</v>
      </c>
      <c r="B77" t="s">
        <v>14</v>
      </c>
      <c r="C77" t="s">
        <v>15</v>
      </c>
      <c r="D77" t="s">
        <v>372</v>
      </c>
      <c r="E77" t="s">
        <v>373</v>
      </c>
      <c r="F77" t="s">
        <v>108</v>
      </c>
      <c r="G77" t="s">
        <v>177</v>
      </c>
      <c r="H77" t="s">
        <v>374</v>
      </c>
      <c r="I77" t="s">
        <v>15</v>
      </c>
      <c r="J77" t="s">
        <v>21</v>
      </c>
      <c r="K77" t="s">
        <v>22</v>
      </c>
      <c r="L77">
        <f>BDP($H77,"BICS_LEVEL_1_SECTOR_NAME")</f>
        <v/>
      </c>
      <c r="M77">
        <f>BDP($H77,"BICS_LEVEL_3_INDUSTRY_NAME")</f>
        <v/>
      </c>
    </row>
    <row r="78" spans="1:13">
      <c r="A78" t="s">
        <v>375</v>
      </c>
      <c r="B78" t="s">
        <v>14</v>
      </c>
      <c r="C78" t="s">
        <v>15</v>
      </c>
      <c r="D78" t="s">
        <v>376</v>
      </c>
      <c r="E78" t="s">
        <v>377</v>
      </c>
      <c r="F78" t="s">
        <v>18</v>
      </c>
      <c r="G78" t="s">
        <v>19</v>
      </c>
      <c r="H78" t="s">
        <v>378</v>
      </c>
      <c r="I78" t="s">
        <v>15</v>
      </c>
      <c r="J78" t="s">
        <v>21</v>
      </c>
      <c r="K78" t="s">
        <v>22</v>
      </c>
      <c r="L78">
        <f>BDP($H78,"BICS_LEVEL_1_SECTOR_NAME")</f>
        <v/>
      </c>
      <c r="M78">
        <f>BDP($H78,"BICS_LEVEL_3_INDUSTRY_NAME")</f>
        <v/>
      </c>
    </row>
    <row r="79" spans="1:13">
      <c r="A79" t="s">
        <v>379</v>
      </c>
      <c r="B79" t="s">
        <v>14</v>
      </c>
      <c r="C79" t="s">
        <v>15</v>
      </c>
      <c r="D79" t="s">
        <v>380</v>
      </c>
      <c r="E79" t="s">
        <v>381</v>
      </c>
      <c r="F79" t="s">
        <v>108</v>
      </c>
      <c r="G79" t="s">
        <v>109</v>
      </c>
      <c r="H79" t="s">
        <v>382</v>
      </c>
      <c r="I79" t="s">
        <v>15</v>
      </c>
      <c r="J79" t="s">
        <v>21</v>
      </c>
      <c r="K79" t="s">
        <v>22</v>
      </c>
      <c r="L79">
        <f>BDP($H79,"BICS_LEVEL_1_SECTOR_NAME")</f>
        <v/>
      </c>
      <c r="M79">
        <f>BDP($H79,"BICS_LEVEL_3_INDUSTRY_NAME")</f>
        <v/>
      </c>
    </row>
    <row r="80" spans="1:13">
      <c r="A80" t="s">
        <v>383</v>
      </c>
      <c r="B80" t="s">
        <v>14</v>
      </c>
      <c r="C80" t="s">
        <v>15</v>
      </c>
      <c r="D80" t="s">
        <v>384</v>
      </c>
      <c r="E80" t="s">
        <v>385</v>
      </c>
      <c r="F80" t="s">
        <v>18</v>
      </c>
      <c r="G80" t="s">
        <v>19</v>
      </c>
      <c r="H80" t="s">
        <v>386</v>
      </c>
      <c r="I80" t="s">
        <v>15</v>
      </c>
      <c r="J80" t="s">
        <v>21</v>
      </c>
      <c r="K80" t="s">
        <v>22</v>
      </c>
      <c r="L80">
        <f>BDP($H80,"BICS_LEVEL_1_SECTOR_NAME")</f>
        <v/>
      </c>
      <c r="M80">
        <f>BDP($H80,"BICS_LEVEL_3_INDUSTRY_NAME")</f>
        <v/>
      </c>
    </row>
    <row r="81" spans="1:13">
      <c r="A81" t="s">
        <v>387</v>
      </c>
      <c r="B81" t="s">
        <v>14</v>
      </c>
      <c r="C81" t="s">
        <v>15</v>
      </c>
      <c r="D81" t="s">
        <v>388</v>
      </c>
      <c r="E81" t="s">
        <v>389</v>
      </c>
      <c r="F81" t="s">
        <v>18</v>
      </c>
      <c r="G81" t="s">
        <v>19</v>
      </c>
      <c r="H81" t="s">
        <v>390</v>
      </c>
      <c r="I81" t="s">
        <v>15</v>
      </c>
      <c r="J81" t="s">
        <v>21</v>
      </c>
      <c r="K81" t="s">
        <v>22</v>
      </c>
      <c r="L81">
        <f>BDP($H81,"BICS_LEVEL_1_SECTOR_NAME")</f>
        <v/>
      </c>
      <c r="M81">
        <f>BDP($H81,"BICS_LEVEL_3_INDUSTRY_NAME")</f>
        <v/>
      </c>
    </row>
    <row r="82" spans="1:13">
      <c r="A82" t="s">
        <v>391</v>
      </c>
      <c r="B82" t="s">
        <v>14</v>
      </c>
      <c r="C82" t="s">
        <v>15</v>
      </c>
      <c r="D82" t="s">
        <v>392</v>
      </c>
      <c r="E82" t="s">
        <v>393</v>
      </c>
      <c r="F82" t="s">
        <v>42</v>
      </c>
      <c r="G82" t="s">
        <v>394</v>
      </c>
      <c r="H82" t="s">
        <v>395</v>
      </c>
      <c r="I82" t="s">
        <v>15</v>
      </c>
      <c r="J82" t="s">
        <v>21</v>
      </c>
      <c r="K82" t="s">
        <v>22</v>
      </c>
      <c r="L82">
        <f>BDP($H82,"BICS_LEVEL_1_SECTOR_NAME")</f>
        <v/>
      </c>
      <c r="M82">
        <f>BDP($H82,"BICS_LEVEL_3_INDUSTRY_NAME")</f>
        <v/>
      </c>
    </row>
    <row r="83" spans="1:13">
      <c r="A83" t="s">
        <v>396</v>
      </c>
      <c r="B83" t="s">
        <v>14</v>
      </c>
      <c r="C83" t="s">
        <v>15</v>
      </c>
      <c r="D83" t="s">
        <v>397</v>
      </c>
      <c r="E83" t="s">
        <v>398</v>
      </c>
      <c r="F83" t="s">
        <v>42</v>
      </c>
      <c r="G83" t="s">
        <v>399</v>
      </c>
      <c r="H83" t="s">
        <v>400</v>
      </c>
      <c r="I83" t="s">
        <v>15</v>
      </c>
      <c r="J83" t="s">
        <v>21</v>
      </c>
      <c r="K83" t="s">
        <v>22</v>
      </c>
      <c r="L83">
        <f>BDP($H83,"BICS_LEVEL_1_SECTOR_NAME")</f>
        <v/>
      </c>
      <c r="M83">
        <f>BDP($H83,"BICS_LEVEL_3_INDUSTRY_NAME")</f>
        <v/>
      </c>
    </row>
    <row r="84" spans="1:13">
      <c r="A84" t="s">
        <v>401</v>
      </c>
      <c r="B84" t="s">
        <v>14</v>
      </c>
      <c r="C84" t="s">
        <v>15</v>
      </c>
      <c r="D84" t="s">
        <v>402</v>
      </c>
      <c r="E84" t="s">
        <v>403</v>
      </c>
      <c r="F84" t="s">
        <v>18</v>
      </c>
      <c r="G84" t="s">
        <v>404</v>
      </c>
      <c r="H84" t="s">
        <v>405</v>
      </c>
      <c r="I84" t="s">
        <v>15</v>
      </c>
      <c r="J84" t="s">
        <v>21</v>
      </c>
      <c r="K84" t="s">
        <v>22</v>
      </c>
      <c r="L84">
        <f>BDP($H84,"BICS_LEVEL_1_SECTOR_NAME")</f>
        <v/>
      </c>
      <c r="M84">
        <f>BDP($H84,"BICS_LEVEL_3_INDUSTRY_NAME")</f>
        <v/>
      </c>
    </row>
    <row r="85" spans="1:13">
      <c r="A85" t="s">
        <v>406</v>
      </c>
      <c r="B85" t="s">
        <v>14</v>
      </c>
      <c r="C85" t="s">
        <v>15</v>
      </c>
      <c r="D85" t="s">
        <v>407</v>
      </c>
      <c r="E85" t="s">
        <v>408</v>
      </c>
      <c r="F85" t="s">
        <v>42</v>
      </c>
      <c r="G85" t="s">
        <v>409</v>
      </c>
      <c r="H85" t="s">
        <v>410</v>
      </c>
      <c r="I85" t="s">
        <v>15</v>
      </c>
      <c r="J85" t="s">
        <v>21</v>
      </c>
      <c r="K85" t="s">
        <v>22</v>
      </c>
      <c r="L85">
        <f>BDP($H85,"BICS_LEVEL_1_SECTOR_NAME")</f>
        <v/>
      </c>
      <c r="M85">
        <f>BDP($H85,"BICS_LEVEL_3_INDUSTRY_NAME")</f>
        <v/>
      </c>
    </row>
    <row r="86" spans="1:13">
      <c r="A86" t="s">
        <v>411</v>
      </c>
      <c r="B86" t="s">
        <v>14</v>
      </c>
      <c r="C86" t="s">
        <v>15</v>
      </c>
      <c r="D86" t="s">
        <v>412</v>
      </c>
      <c r="E86" t="s">
        <v>413</v>
      </c>
      <c r="F86" t="s">
        <v>97</v>
      </c>
      <c r="G86" t="s">
        <v>98</v>
      </c>
      <c r="H86" t="s">
        <v>414</v>
      </c>
      <c r="I86" t="s">
        <v>15</v>
      </c>
      <c r="J86" t="s">
        <v>21</v>
      </c>
      <c r="K86" t="s">
        <v>22</v>
      </c>
      <c r="L86">
        <f>BDP($H86,"BICS_LEVEL_1_SECTOR_NAME")</f>
        <v/>
      </c>
      <c r="M86">
        <f>BDP($H86,"BICS_LEVEL_3_INDUSTRY_NAME")</f>
        <v/>
      </c>
    </row>
    <row r="87" spans="1:13">
      <c r="A87" t="s">
        <v>415</v>
      </c>
      <c r="B87" t="s">
        <v>14</v>
      </c>
      <c r="C87" t="s">
        <v>15</v>
      </c>
      <c r="D87" t="s">
        <v>416</v>
      </c>
      <c r="E87" t="s">
        <v>417</v>
      </c>
      <c r="F87" t="s">
        <v>42</v>
      </c>
      <c r="G87" t="s">
        <v>418</v>
      </c>
      <c r="H87" t="s">
        <v>419</v>
      </c>
      <c r="I87" t="s">
        <v>15</v>
      </c>
      <c r="J87" t="s">
        <v>21</v>
      </c>
      <c r="K87" t="s">
        <v>22</v>
      </c>
      <c r="L87">
        <f>BDP($H87,"BICS_LEVEL_1_SECTOR_NAME")</f>
        <v/>
      </c>
      <c r="M87">
        <f>BDP($H87,"BICS_LEVEL_3_INDUSTRY_NAME")</f>
        <v/>
      </c>
    </row>
    <row r="88" spans="1:13">
      <c r="A88" t="s">
        <v>420</v>
      </c>
      <c r="B88" t="s">
        <v>14</v>
      </c>
      <c r="C88" t="s">
        <v>15</v>
      </c>
      <c r="D88" t="s">
        <v>421</v>
      </c>
      <c r="E88" t="s">
        <v>422</v>
      </c>
      <c r="F88" t="s">
        <v>77</v>
      </c>
      <c r="G88" t="s">
        <v>423</v>
      </c>
      <c r="H88" t="s">
        <v>424</v>
      </c>
      <c r="I88" t="s">
        <v>15</v>
      </c>
      <c r="J88" t="s">
        <v>21</v>
      </c>
      <c r="K88" t="s">
        <v>22</v>
      </c>
      <c r="L88">
        <f>BDP($H88,"BICS_LEVEL_1_SECTOR_NAME")</f>
        <v/>
      </c>
      <c r="M88">
        <f>BDP($H88,"BICS_LEVEL_3_INDUSTRY_NAME")</f>
        <v/>
      </c>
    </row>
    <row r="89" spans="1:13">
      <c r="A89" t="s">
        <v>425</v>
      </c>
      <c r="B89" t="s">
        <v>14</v>
      </c>
      <c r="C89" t="s">
        <v>15</v>
      </c>
      <c r="D89" t="s">
        <v>426</v>
      </c>
      <c r="E89" t="s">
        <v>427</v>
      </c>
      <c r="F89" t="s">
        <v>108</v>
      </c>
      <c r="G89" t="s">
        <v>109</v>
      </c>
      <c r="H89" t="s">
        <v>428</v>
      </c>
      <c r="I89" t="s">
        <v>15</v>
      </c>
      <c r="J89" t="s">
        <v>21</v>
      </c>
      <c r="K89" t="s">
        <v>22</v>
      </c>
      <c r="L89">
        <f>BDP($H89,"BICS_LEVEL_1_SECTOR_NAME")</f>
        <v/>
      </c>
      <c r="M89">
        <f>BDP($H89,"BICS_LEVEL_3_INDUSTRY_NAME")</f>
        <v/>
      </c>
    </row>
    <row r="90" spans="1:13">
      <c r="A90" t="s">
        <v>429</v>
      </c>
      <c r="B90" t="s">
        <v>14</v>
      </c>
      <c r="C90" t="s">
        <v>15</v>
      </c>
      <c r="D90" t="s">
        <v>430</v>
      </c>
      <c r="E90" t="s">
        <v>431</v>
      </c>
      <c r="F90" t="s">
        <v>18</v>
      </c>
      <c r="G90" t="s">
        <v>19</v>
      </c>
      <c r="H90" t="s">
        <v>432</v>
      </c>
      <c r="I90" t="s">
        <v>15</v>
      </c>
      <c r="J90" t="s">
        <v>21</v>
      </c>
      <c r="K90" t="s">
        <v>22</v>
      </c>
      <c r="L90">
        <f>BDP($H90,"BICS_LEVEL_1_SECTOR_NAME")</f>
        <v/>
      </c>
      <c r="M90">
        <f>BDP($H90,"BICS_LEVEL_3_INDUSTRY_NAME")</f>
        <v/>
      </c>
    </row>
    <row r="91" spans="1:13">
      <c r="A91" t="s">
        <v>433</v>
      </c>
      <c r="B91" t="s">
        <v>14</v>
      </c>
      <c r="C91" t="s">
        <v>15</v>
      </c>
      <c r="D91" t="s">
        <v>434</v>
      </c>
      <c r="E91" t="s">
        <v>435</v>
      </c>
      <c r="F91" t="s">
        <v>108</v>
      </c>
      <c r="G91" t="s">
        <v>436</v>
      </c>
      <c r="H91" t="s">
        <v>437</v>
      </c>
      <c r="I91" t="s">
        <v>15</v>
      </c>
      <c r="J91" t="s">
        <v>21</v>
      </c>
      <c r="K91" t="s">
        <v>22</v>
      </c>
      <c r="L91">
        <f>BDP($H91,"BICS_LEVEL_1_SECTOR_NAME")</f>
        <v/>
      </c>
      <c r="M91">
        <f>BDP($H91,"BICS_LEVEL_3_INDUSTRY_NAME")</f>
        <v/>
      </c>
    </row>
    <row r="92" spans="1:13">
      <c r="A92" t="s">
        <v>438</v>
      </c>
      <c r="B92" t="s">
        <v>14</v>
      </c>
      <c r="C92" t="s">
        <v>15</v>
      </c>
      <c r="D92" t="s">
        <v>439</v>
      </c>
      <c r="E92" t="s">
        <v>440</v>
      </c>
      <c r="F92" t="s">
        <v>108</v>
      </c>
      <c r="G92" t="s">
        <v>58</v>
      </c>
      <c r="H92" t="s">
        <v>441</v>
      </c>
      <c r="I92" t="s">
        <v>15</v>
      </c>
      <c r="J92" t="s">
        <v>21</v>
      </c>
      <c r="K92" t="s">
        <v>22</v>
      </c>
      <c r="L92">
        <f>BDP($H92,"BICS_LEVEL_1_SECTOR_NAME")</f>
        <v/>
      </c>
      <c r="M92">
        <f>BDP($H92,"BICS_LEVEL_3_INDUSTRY_NAME")</f>
        <v/>
      </c>
    </row>
    <row r="93" spans="1:13">
      <c r="A93" t="s">
        <v>442</v>
      </c>
      <c r="B93" t="s">
        <v>14</v>
      </c>
      <c r="C93" t="s">
        <v>15</v>
      </c>
      <c r="D93" t="s">
        <v>443</v>
      </c>
      <c r="E93" t="s">
        <v>444</v>
      </c>
      <c r="F93" t="s">
        <v>108</v>
      </c>
      <c r="G93" t="s">
        <v>58</v>
      </c>
      <c r="H93" t="s">
        <v>445</v>
      </c>
      <c r="I93" t="s">
        <v>15</v>
      </c>
      <c r="J93" t="s">
        <v>21</v>
      </c>
      <c r="K93" t="s">
        <v>22</v>
      </c>
      <c r="L93">
        <f>BDP($H93,"BICS_LEVEL_1_SECTOR_NAME")</f>
        <v/>
      </c>
      <c r="M93">
        <f>BDP($H93,"BICS_LEVEL_3_INDUSTRY_NAME")</f>
        <v/>
      </c>
    </row>
    <row r="94" spans="1:13">
      <c r="A94" t="s">
        <v>446</v>
      </c>
      <c r="B94" t="s">
        <v>14</v>
      </c>
      <c r="C94" t="s">
        <v>15</v>
      </c>
      <c r="D94" t="s">
        <v>447</v>
      </c>
      <c r="E94" t="s">
        <v>448</v>
      </c>
      <c r="F94" t="s">
        <v>108</v>
      </c>
      <c r="G94" t="s">
        <v>58</v>
      </c>
      <c r="H94" t="s">
        <v>449</v>
      </c>
      <c r="I94" t="s">
        <v>15</v>
      </c>
      <c r="J94" t="s">
        <v>21</v>
      </c>
      <c r="K94" t="s">
        <v>22</v>
      </c>
      <c r="L94">
        <f>BDP($H94,"BICS_LEVEL_1_SECTOR_NAME")</f>
        <v/>
      </c>
      <c r="M94">
        <f>BDP($H94,"BICS_LEVEL_3_INDUSTRY_NAME")</f>
        <v/>
      </c>
    </row>
    <row r="95" spans="1:13">
      <c r="A95" t="s">
        <v>450</v>
      </c>
      <c r="B95" t="s">
        <v>14</v>
      </c>
      <c r="C95" t="s">
        <v>15</v>
      </c>
      <c r="D95" t="s">
        <v>451</v>
      </c>
      <c r="E95" t="s">
        <v>452</v>
      </c>
      <c r="F95" t="s">
        <v>108</v>
      </c>
      <c r="G95" t="s">
        <v>58</v>
      </c>
      <c r="H95" t="s">
        <v>453</v>
      </c>
      <c r="I95" t="s">
        <v>15</v>
      </c>
      <c r="J95" t="s">
        <v>21</v>
      </c>
      <c r="K95" t="s">
        <v>22</v>
      </c>
      <c r="L95">
        <f>BDP($H95,"BICS_LEVEL_1_SECTOR_NAME")</f>
        <v/>
      </c>
      <c r="M95">
        <f>BDP($H95,"BICS_LEVEL_3_INDUSTRY_NAME")</f>
        <v/>
      </c>
    </row>
    <row r="96" spans="1:13">
      <c r="A96" t="s">
        <v>454</v>
      </c>
      <c r="B96" t="s">
        <v>14</v>
      </c>
      <c r="C96" t="s">
        <v>15</v>
      </c>
      <c r="D96" t="s">
        <v>455</v>
      </c>
      <c r="E96" t="s">
        <v>456</v>
      </c>
      <c r="F96" t="s">
        <v>108</v>
      </c>
      <c r="G96" t="s">
        <v>58</v>
      </c>
      <c r="H96" t="s">
        <v>457</v>
      </c>
      <c r="I96" t="s">
        <v>15</v>
      </c>
      <c r="J96" t="s">
        <v>21</v>
      </c>
      <c r="K96" t="s">
        <v>22</v>
      </c>
      <c r="L96">
        <f>BDP($H96,"BICS_LEVEL_1_SECTOR_NAME")</f>
        <v/>
      </c>
      <c r="M96">
        <f>BDP($H96,"BICS_LEVEL_3_INDUSTRY_NAME")</f>
        <v/>
      </c>
    </row>
    <row r="97" spans="1:13">
      <c r="A97" t="s">
        <v>458</v>
      </c>
      <c r="B97" t="s">
        <v>14</v>
      </c>
      <c r="C97" t="s">
        <v>15</v>
      </c>
      <c r="D97" t="s">
        <v>459</v>
      </c>
      <c r="E97" t="s">
        <v>460</v>
      </c>
      <c r="F97" t="s">
        <v>236</v>
      </c>
      <c r="G97" t="s">
        <v>237</v>
      </c>
      <c r="H97" t="s">
        <v>461</v>
      </c>
      <c r="I97" t="s">
        <v>15</v>
      </c>
      <c r="J97" t="s">
        <v>21</v>
      </c>
      <c r="K97" t="s">
        <v>22</v>
      </c>
      <c r="L97">
        <f>BDP($H97,"BICS_LEVEL_1_SECTOR_NAME")</f>
        <v/>
      </c>
      <c r="M97">
        <f>BDP($H97,"BICS_LEVEL_3_INDUSTRY_NAME")</f>
        <v/>
      </c>
    </row>
    <row r="98" spans="1:13">
      <c r="A98" t="s">
        <v>462</v>
      </c>
      <c r="B98" t="s">
        <v>14</v>
      </c>
      <c r="C98" t="s">
        <v>15</v>
      </c>
      <c r="D98" t="s">
        <v>463</v>
      </c>
      <c r="E98" t="s">
        <v>464</v>
      </c>
      <c r="F98" t="s">
        <v>236</v>
      </c>
      <c r="G98" t="s">
        <v>237</v>
      </c>
      <c r="H98" t="s">
        <v>465</v>
      </c>
      <c r="I98" t="s">
        <v>15</v>
      </c>
      <c r="J98" t="s">
        <v>21</v>
      </c>
      <c r="K98" t="s">
        <v>22</v>
      </c>
      <c r="L98">
        <f>BDP($H98,"BICS_LEVEL_1_SECTOR_NAME")</f>
        <v/>
      </c>
      <c r="M98">
        <f>BDP($H98,"BICS_LEVEL_3_INDUSTRY_NAME")</f>
        <v/>
      </c>
    </row>
    <row r="99" spans="1:13">
      <c r="A99" t="s">
        <v>466</v>
      </c>
      <c r="B99" t="s">
        <v>14</v>
      </c>
      <c r="C99" t="s">
        <v>15</v>
      </c>
      <c r="D99" t="s">
        <v>467</v>
      </c>
      <c r="E99" t="s">
        <v>468</v>
      </c>
      <c r="F99" t="s">
        <v>42</v>
      </c>
      <c r="G99" t="s">
        <v>284</v>
      </c>
      <c r="H99" t="s">
        <v>469</v>
      </c>
      <c r="I99" t="s">
        <v>15</v>
      </c>
      <c r="J99" t="s">
        <v>21</v>
      </c>
      <c r="K99" t="s">
        <v>22</v>
      </c>
      <c r="L99">
        <f>BDP($H99,"BICS_LEVEL_1_SECTOR_NAME")</f>
        <v/>
      </c>
      <c r="M99">
        <f>BDP($H99,"BICS_LEVEL_3_INDUSTRY_NAME")</f>
        <v/>
      </c>
    </row>
    <row r="100" spans="1:13">
      <c r="A100" t="s">
        <v>470</v>
      </c>
      <c r="B100" t="s">
        <v>14</v>
      </c>
      <c r="C100" t="s">
        <v>15</v>
      </c>
      <c r="D100" t="s">
        <v>471</v>
      </c>
      <c r="E100" t="s">
        <v>472</v>
      </c>
      <c r="F100" t="s">
        <v>18</v>
      </c>
      <c r="G100" t="s">
        <v>37</v>
      </c>
      <c r="H100" t="s">
        <v>473</v>
      </c>
      <c r="I100" t="s">
        <v>15</v>
      </c>
      <c r="J100" t="s">
        <v>21</v>
      </c>
      <c r="K100" t="s">
        <v>22</v>
      </c>
      <c r="L100">
        <f>BDP($H100,"BICS_LEVEL_1_SECTOR_NAME")</f>
        <v/>
      </c>
      <c r="M100">
        <f>BDP($H100,"BICS_LEVEL_3_INDUSTRY_NAME")</f>
        <v/>
      </c>
    </row>
    <row r="101" spans="1:13">
      <c r="A101" t="s">
        <v>474</v>
      </c>
      <c r="B101" t="s">
        <v>14</v>
      </c>
      <c r="C101" t="s">
        <v>15</v>
      </c>
      <c r="D101" t="s">
        <v>475</v>
      </c>
      <c r="E101" t="s">
        <v>476</v>
      </c>
      <c r="F101" t="s">
        <v>293</v>
      </c>
      <c r="G101" t="s">
        <v>63</v>
      </c>
      <c r="H101" t="s">
        <v>477</v>
      </c>
      <c r="I101" t="s">
        <v>15</v>
      </c>
      <c r="J101" t="s">
        <v>21</v>
      </c>
      <c r="K101" t="s">
        <v>22</v>
      </c>
      <c r="L101">
        <f>BDP($H101,"BICS_LEVEL_1_SECTOR_NAME")</f>
        <v/>
      </c>
      <c r="M101">
        <f>BDP($H101,"BICS_LEVEL_3_INDUSTRY_NAME")</f>
        <v/>
      </c>
    </row>
    <row r="102" spans="1:13">
      <c r="A102" t="s">
        <v>478</v>
      </c>
      <c r="B102" t="s">
        <v>14</v>
      </c>
      <c r="C102" t="s">
        <v>15</v>
      </c>
      <c r="D102" t="s">
        <v>479</v>
      </c>
      <c r="E102" t="s">
        <v>480</v>
      </c>
      <c r="F102" t="s">
        <v>18</v>
      </c>
      <c r="G102" t="s">
        <v>53</v>
      </c>
      <c r="H102" t="s">
        <v>481</v>
      </c>
      <c r="I102" t="s">
        <v>15</v>
      </c>
      <c r="J102" t="s">
        <v>21</v>
      </c>
      <c r="K102" t="s">
        <v>22</v>
      </c>
      <c r="L102">
        <f>BDP($H102,"BICS_LEVEL_1_SECTOR_NAME")</f>
        <v/>
      </c>
      <c r="M102">
        <f>BDP($H102,"BICS_LEVEL_3_INDUSTRY_NAME")</f>
        <v/>
      </c>
    </row>
    <row r="103" spans="1:13">
      <c r="A103" t="s">
        <v>482</v>
      </c>
      <c r="B103" t="s">
        <v>14</v>
      </c>
      <c r="C103" t="s">
        <v>15</v>
      </c>
      <c r="D103" t="s">
        <v>483</v>
      </c>
      <c r="E103" t="s">
        <v>484</v>
      </c>
      <c r="F103" t="s">
        <v>108</v>
      </c>
      <c r="G103" t="s">
        <v>485</v>
      </c>
      <c r="H103" t="s">
        <v>486</v>
      </c>
      <c r="I103" t="s">
        <v>15</v>
      </c>
      <c r="J103" t="s">
        <v>21</v>
      </c>
      <c r="K103" t="s">
        <v>22</v>
      </c>
      <c r="L103">
        <f>BDP($H103,"BICS_LEVEL_1_SECTOR_NAME")</f>
        <v/>
      </c>
      <c r="M103">
        <f>BDP($H103,"BICS_LEVEL_3_INDUSTRY_NAME")</f>
        <v/>
      </c>
    </row>
    <row r="104" spans="1:13">
      <c r="A104" t="s">
        <v>487</v>
      </c>
      <c r="B104" t="s">
        <v>14</v>
      </c>
      <c r="C104" t="s">
        <v>15</v>
      </c>
      <c r="D104" t="s">
        <v>488</v>
      </c>
      <c r="E104" t="s">
        <v>489</v>
      </c>
      <c r="F104" t="s">
        <v>42</v>
      </c>
      <c r="G104" t="s">
        <v>490</v>
      </c>
      <c r="H104" t="s">
        <v>491</v>
      </c>
      <c r="I104" t="s">
        <v>15</v>
      </c>
      <c r="J104" t="s">
        <v>21</v>
      </c>
      <c r="K104" t="s">
        <v>22</v>
      </c>
      <c r="L104">
        <f>BDP($H104,"BICS_LEVEL_1_SECTOR_NAME")</f>
        <v/>
      </c>
      <c r="M104">
        <f>BDP($H104,"BICS_LEVEL_3_INDUSTRY_NAME")</f>
        <v/>
      </c>
    </row>
    <row r="105" spans="1:13">
      <c r="A105" t="s">
        <v>492</v>
      </c>
      <c r="B105" t="s">
        <v>14</v>
      </c>
      <c r="C105" t="s">
        <v>15</v>
      </c>
      <c r="D105" t="s">
        <v>493</v>
      </c>
      <c r="E105" t="s">
        <v>494</v>
      </c>
      <c r="F105" t="s">
        <v>42</v>
      </c>
      <c r="G105" t="s">
        <v>109</v>
      </c>
      <c r="H105" t="s">
        <v>495</v>
      </c>
      <c r="I105" t="s">
        <v>15</v>
      </c>
      <c r="J105" t="s">
        <v>21</v>
      </c>
      <c r="K105" t="s">
        <v>22</v>
      </c>
      <c r="L105">
        <f>BDP($H105,"BICS_LEVEL_1_SECTOR_NAME")</f>
        <v/>
      </c>
      <c r="M105">
        <f>BDP($H105,"BICS_LEVEL_3_INDUSTRY_NAME")</f>
        <v/>
      </c>
    </row>
    <row r="106" spans="1:13">
      <c r="A106" t="s">
        <v>496</v>
      </c>
      <c r="B106" t="s">
        <v>14</v>
      </c>
      <c r="C106" t="s">
        <v>15</v>
      </c>
      <c r="D106" t="s">
        <v>497</v>
      </c>
      <c r="E106" t="s">
        <v>498</v>
      </c>
      <c r="F106" t="s">
        <v>42</v>
      </c>
      <c r="G106" t="s">
        <v>118</v>
      </c>
      <c r="H106" t="s">
        <v>499</v>
      </c>
      <c r="I106" t="s">
        <v>15</v>
      </c>
      <c r="J106" t="s">
        <v>21</v>
      </c>
      <c r="K106" t="s">
        <v>22</v>
      </c>
      <c r="L106">
        <f>BDP($H106,"BICS_LEVEL_1_SECTOR_NAME")</f>
        <v/>
      </c>
      <c r="M106">
        <f>BDP($H106,"BICS_LEVEL_3_INDUSTRY_NAME")</f>
        <v/>
      </c>
    </row>
    <row r="107" spans="1:13">
      <c r="A107" t="s">
        <v>500</v>
      </c>
      <c r="B107" t="s">
        <v>14</v>
      </c>
      <c r="C107" t="s">
        <v>15</v>
      </c>
      <c r="D107" t="s">
        <v>501</v>
      </c>
      <c r="E107" t="s">
        <v>502</v>
      </c>
      <c r="F107" t="s">
        <v>77</v>
      </c>
      <c r="G107" t="s">
        <v>423</v>
      </c>
      <c r="H107" t="s">
        <v>503</v>
      </c>
      <c r="I107" t="s">
        <v>15</v>
      </c>
      <c r="J107" t="s">
        <v>21</v>
      </c>
      <c r="K107" t="s">
        <v>22</v>
      </c>
      <c r="L107">
        <f>BDP($H107,"BICS_LEVEL_1_SECTOR_NAME")</f>
        <v/>
      </c>
      <c r="M107">
        <f>BDP($H107,"BICS_LEVEL_3_INDUSTRY_NAME")</f>
        <v/>
      </c>
    </row>
    <row r="108" spans="1:13">
      <c r="A108" t="s">
        <v>504</v>
      </c>
      <c r="B108" t="s">
        <v>14</v>
      </c>
      <c r="C108" t="s">
        <v>15</v>
      </c>
      <c r="D108" t="s">
        <v>505</v>
      </c>
      <c r="E108" t="s">
        <v>506</v>
      </c>
      <c r="F108" t="s">
        <v>42</v>
      </c>
      <c r="G108" t="s">
        <v>394</v>
      </c>
      <c r="H108" t="s">
        <v>507</v>
      </c>
      <c r="I108" t="s">
        <v>15</v>
      </c>
      <c r="J108" t="s">
        <v>21</v>
      </c>
      <c r="K108" t="s">
        <v>22</v>
      </c>
      <c r="L108">
        <f>BDP($H108,"BICS_LEVEL_1_SECTOR_NAME")</f>
        <v/>
      </c>
      <c r="M108">
        <f>BDP($H108,"BICS_LEVEL_3_INDUSTRY_NAME")</f>
        <v/>
      </c>
    </row>
    <row r="109" spans="1:13">
      <c r="A109" t="s">
        <v>508</v>
      </c>
      <c r="B109" t="s">
        <v>14</v>
      </c>
      <c r="C109" t="s">
        <v>15</v>
      </c>
      <c r="D109" t="s">
        <v>509</v>
      </c>
      <c r="E109" t="s">
        <v>510</v>
      </c>
      <c r="F109" t="s">
        <v>42</v>
      </c>
      <c r="G109" t="s">
        <v>68</v>
      </c>
      <c r="H109" t="s">
        <v>511</v>
      </c>
      <c r="I109" t="s">
        <v>15</v>
      </c>
      <c r="J109" t="s">
        <v>21</v>
      </c>
      <c r="K109" t="s">
        <v>22</v>
      </c>
      <c r="L109">
        <f>BDP($H109,"BICS_LEVEL_1_SECTOR_NAME")</f>
        <v/>
      </c>
      <c r="M109">
        <f>BDP($H109,"BICS_LEVEL_3_INDUSTRY_NAME")</f>
        <v/>
      </c>
    </row>
    <row r="110" spans="1:13">
      <c r="A110" t="s">
        <v>512</v>
      </c>
      <c r="B110" t="s">
        <v>14</v>
      </c>
      <c r="C110" t="s">
        <v>15</v>
      </c>
      <c r="D110" t="s">
        <v>513</v>
      </c>
      <c r="E110" t="s">
        <v>514</v>
      </c>
      <c r="F110" t="s">
        <v>18</v>
      </c>
      <c r="G110" t="s">
        <v>248</v>
      </c>
      <c r="H110" t="s">
        <v>515</v>
      </c>
      <c r="I110" t="s">
        <v>15</v>
      </c>
      <c r="J110" t="s">
        <v>21</v>
      </c>
      <c r="K110" t="s">
        <v>22</v>
      </c>
      <c r="L110">
        <f>BDP($H110,"BICS_LEVEL_1_SECTOR_NAME")</f>
        <v/>
      </c>
      <c r="M110">
        <f>BDP($H110,"BICS_LEVEL_3_INDUSTRY_NAME")</f>
        <v/>
      </c>
    </row>
    <row r="111" spans="1:13">
      <c r="A111" t="s">
        <v>516</v>
      </c>
      <c r="B111" t="s">
        <v>14</v>
      </c>
      <c r="C111" t="s">
        <v>15</v>
      </c>
      <c r="D111" t="s">
        <v>517</v>
      </c>
      <c r="E111" t="s">
        <v>518</v>
      </c>
      <c r="F111" t="s">
        <v>242</v>
      </c>
      <c r="G111" t="s">
        <v>519</v>
      </c>
      <c r="H111" t="s">
        <v>520</v>
      </c>
      <c r="I111" t="s">
        <v>15</v>
      </c>
      <c r="J111" t="s">
        <v>21</v>
      </c>
      <c r="K111" t="s">
        <v>22</v>
      </c>
      <c r="L111">
        <f>BDP($H111,"BICS_LEVEL_1_SECTOR_NAME")</f>
        <v/>
      </c>
      <c r="M111">
        <f>BDP($H111,"BICS_LEVEL_3_INDUSTRY_NAME")</f>
        <v/>
      </c>
    </row>
    <row r="112" spans="1:13">
      <c r="A112" t="s">
        <v>521</v>
      </c>
      <c r="B112" t="s">
        <v>14</v>
      </c>
      <c r="C112" t="s">
        <v>15</v>
      </c>
      <c r="D112" t="s">
        <v>522</v>
      </c>
      <c r="E112" t="s">
        <v>523</v>
      </c>
      <c r="F112" t="s">
        <v>293</v>
      </c>
      <c r="G112" t="s">
        <v>63</v>
      </c>
      <c r="H112" t="s">
        <v>524</v>
      </c>
      <c r="I112" t="s">
        <v>15</v>
      </c>
      <c r="J112" t="s">
        <v>21</v>
      </c>
      <c r="K112" t="s">
        <v>22</v>
      </c>
      <c r="L112">
        <f>BDP($H112,"BICS_LEVEL_1_SECTOR_NAME")</f>
        <v/>
      </c>
      <c r="M112">
        <f>BDP($H112,"BICS_LEVEL_3_INDUSTRY_NAME")</f>
        <v/>
      </c>
    </row>
    <row r="113" spans="1:13">
      <c r="A113" t="s">
        <v>525</v>
      </c>
      <c r="B113" t="s">
        <v>14</v>
      </c>
      <c r="C113" t="s">
        <v>15</v>
      </c>
      <c r="D113" t="s">
        <v>526</v>
      </c>
      <c r="E113" t="s">
        <v>527</v>
      </c>
      <c r="F113" t="s">
        <v>108</v>
      </c>
      <c r="G113" t="s">
        <v>528</v>
      </c>
      <c r="H113" t="s">
        <v>529</v>
      </c>
      <c r="I113" t="s">
        <v>15</v>
      </c>
      <c r="J113" t="s">
        <v>21</v>
      </c>
      <c r="K113" t="s">
        <v>22</v>
      </c>
      <c r="L113">
        <f>BDP($H113,"BICS_LEVEL_1_SECTOR_NAME")</f>
        <v/>
      </c>
      <c r="M113">
        <f>BDP($H113,"BICS_LEVEL_3_INDUSTRY_NAME")</f>
        <v/>
      </c>
    </row>
    <row r="114" spans="1:13">
      <c r="A114" t="s">
        <v>530</v>
      </c>
      <c r="B114" t="s">
        <v>14</v>
      </c>
      <c r="C114" t="s">
        <v>15</v>
      </c>
      <c r="D114" t="s">
        <v>531</v>
      </c>
      <c r="E114" t="s">
        <v>532</v>
      </c>
      <c r="F114" t="s">
        <v>108</v>
      </c>
      <c r="G114" t="s">
        <v>109</v>
      </c>
      <c r="H114" t="s">
        <v>533</v>
      </c>
      <c r="I114" t="s">
        <v>15</v>
      </c>
      <c r="J114" t="s">
        <v>21</v>
      </c>
      <c r="K114" t="s">
        <v>22</v>
      </c>
      <c r="L114">
        <f>BDP($H114,"BICS_LEVEL_1_SECTOR_NAME")</f>
        <v/>
      </c>
      <c r="M114">
        <f>BDP($H114,"BICS_LEVEL_3_INDUSTRY_NAME")</f>
        <v/>
      </c>
    </row>
    <row r="115" spans="1:13">
      <c r="A115" t="s">
        <v>534</v>
      </c>
      <c r="B115" t="s">
        <v>14</v>
      </c>
      <c r="C115" t="s">
        <v>15</v>
      </c>
      <c r="D115" t="s">
        <v>535</v>
      </c>
      <c r="E115" t="s">
        <v>536</v>
      </c>
      <c r="F115" t="s">
        <v>97</v>
      </c>
      <c r="G115" t="s">
        <v>537</v>
      </c>
      <c r="H115" t="s">
        <v>538</v>
      </c>
      <c r="I115" t="s">
        <v>15</v>
      </c>
      <c r="J115" t="s">
        <v>21</v>
      </c>
      <c r="K115" t="s">
        <v>22</v>
      </c>
      <c r="L115">
        <f>BDP($H115,"BICS_LEVEL_1_SECTOR_NAME")</f>
        <v/>
      </c>
      <c r="M115">
        <f>BDP($H115,"BICS_LEVEL_3_INDUSTRY_NAME")</f>
        <v/>
      </c>
    </row>
    <row r="116" spans="1:13">
      <c r="A116" t="s">
        <v>539</v>
      </c>
      <c r="B116" t="s">
        <v>14</v>
      </c>
      <c r="C116" t="s">
        <v>15</v>
      </c>
      <c r="D116" t="s">
        <v>540</v>
      </c>
      <c r="E116" t="s">
        <v>541</v>
      </c>
      <c r="F116" t="s">
        <v>77</v>
      </c>
      <c r="G116" t="s">
        <v>542</v>
      </c>
      <c r="H116" t="s">
        <v>543</v>
      </c>
      <c r="I116" t="s">
        <v>15</v>
      </c>
      <c r="J116" t="s">
        <v>21</v>
      </c>
      <c r="K116" t="s">
        <v>22</v>
      </c>
      <c r="L116">
        <f>BDP($H116,"BICS_LEVEL_1_SECTOR_NAME")</f>
        <v/>
      </c>
      <c r="M116">
        <f>BDP($H116,"BICS_LEVEL_3_INDUSTRY_NAME")</f>
        <v/>
      </c>
    </row>
    <row r="117" spans="1:13">
      <c r="A117" t="s">
        <v>544</v>
      </c>
      <c r="B117" t="s">
        <v>14</v>
      </c>
      <c r="C117" t="s">
        <v>15</v>
      </c>
      <c r="D117" t="s">
        <v>545</v>
      </c>
      <c r="E117" t="s">
        <v>546</v>
      </c>
      <c r="F117" t="s">
        <v>293</v>
      </c>
      <c r="G117" t="s">
        <v>547</v>
      </c>
      <c r="H117" t="s">
        <v>548</v>
      </c>
      <c r="I117" t="s">
        <v>15</v>
      </c>
      <c r="J117" t="s">
        <v>21</v>
      </c>
      <c r="K117" t="s">
        <v>22</v>
      </c>
      <c r="L117">
        <f>BDP($H117,"BICS_LEVEL_1_SECTOR_NAME")</f>
        <v/>
      </c>
      <c r="M117">
        <f>BDP($H117,"BICS_LEVEL_3_INDUSTRY_NAME")</f>
        <v/>
      </c>
    </row>
    <row r="118" spans="1:13">
      <c r="A118" t="s">
        <v>549</v>
      </c>
      <c r="B118" t="s">
        <v>14</v>
      </c>
      <c r="C118" t="s">
        <v>15</v>
      </c>
      <c r="D118" t="s">
        <v>550</v>
      </c>
      <c r="E118" t="s">
        <v>551</v>
      </c>
      <c r="F118" t="s">
        <v>18</v>
      </c>
      <c r="G118" t="s">
        <v>53</v>
      </c>
      <c r="H118" t="s">
        <v>552</v>
      </c>
      <c r="I118" t="s">
        <v>15</v>
      </c>
      <c r="J118" t="s">
        <v>21</v>
      </c>
      <c r="K118" t="s">
        <v>22</v>
      </c>
      <c r="L118">
        <f>BDP($H118,"BICS_LEVEL_1_SECTOR_NAME")</f>
        <v/>
      </c>
      <c r="M118">
        <f>BDP($H118,"BICS_LEVEL_3_INDUSTRY_NAME")</f>
        <v/>
      </c>
    </row>
    <row r="119" spans="1:13">
      <c r="A119" t="s">
        <v>553</v>
      </c>
      <c r="B119" t="s">
        <v>14</v>
      </c>
      <c r="C119" t="s">
        <v>15</v>
      </c>
      <c r="D119" t="s">
        <v>554</v>
      </c>
      <c r="E119" t="s">
        <v>555</v>
      </c>
      <c r="F119" t="s">
        <v>18</v>
      </c>
      <c r="G119" t="s">
        <v>37</v>
      </c>
      <c r="H119" t="s">
        <v>556</v>
      </c>
      <c r="I119" t="s">
        <v>15</v>
      </c>
      <c r="J119" t="s">
        <v>21</v>
      </c>
      <c r="K119" t="s">
        <v>22</v>
      </c>
      <c r="L119">
        <f>BDP($H119,"BICS_LEVEL_1_SECTOR_NAME")</f>
        <v/>
      </c>
      <c r="M119">
        <f>BDP($H119,"BICS_LEVEL_3_INDUSTRY_NAME")</f>
        <v/>
      </c>
    </row>
    <row r="120" spans="1:13">
      <c r="A120" t="s">
        <v>557</v>
      </c>
      <c r="B120" t="s">
        <v>14</v>
      </c>
      <c r="C120" t="s">
        <v>15</v>
      </c>
      <c r="D120" t="s">
        <v>558</v>
      </c>
      <c r="E120" t="s">
        <v>559</v>
      </c>
      <c r="F120" t="s">
        <v>18</v>
      </c>
      <c r="G120" t="s">
        <v>103</v>
      </c>
      <c r="H120" t="s">
        <v>560</v>
      </c>
      <c r="I120" t="s">
        <v>15</v>
      </c>
      <c r="J120" t="s">
        <v>21</v>
      </c>
      <c r="K120" t="s">
        <v>22</v>
      </c>
      <c r="L120">
        <f>BDP($H120,"BICS_LEVEL_1_SECTOR_NAME")</f>
        <v/>
      </c>
      <c r="M120">
        <f>BDP($H120,"BICS_LEVEL_3_INDUSTRY_NAME")</f>
        <v/>
      </c>
    </row>
    <row r="121" spans="1:13">
      <c r="A121" t="s">
        <v>561</v>
      </c>
      <c r="B121" t="s">
        <v>14</v>
      </c>
      <c r="C121" t="s">
        <v>15</v>
      </c>
      <c r="D121" t="s">
        <v>562</v>
      </c>
      <c r="E121" t="s">
        <v>563</v>
      </c>
      <c r="F121" t="s">
        <v>18</v>
      </c>
      <c r="G121" t="s">
        <v>53</v>
      </c>
      <c r="H121" t="s">
        <v>564</v>
      </c>
      <c r="I121" t="s">
        <v>15</v>
      </c>
      <c r="J121" t="s">
        <v>21</v>
      </c>
      <c r="K121" t="s">
        <v>22</v>
      </c>
      <c r="L121">
        <f>BDP($H121,"BICS_LEVEL_1_SECTOR_NAME")</f>
        <v/>
      </c>
      <c r="M121">
        <f>BDP($H121,"BICS_LEVEL_3_INDUSTRY_NAME")</f>
        <v/>
      </c>
    </row>
    <row r="122" spans="1:13">
      <c r="A122" t="s">
        <v>565</v>
      </c>
      <c r="B122" t="s">
        <v>14</v>
      </c>
      <c r="C122" t="s">
        <v>15</v>
      </c>
      <c r="D122" t="s">
        <v>566</v>
      </c>
      <c r="E122" t="s">
        <v>567</v>
      </c>
      <c r="F122" t="s">
        <v>293</v>
      </c>
      <c r="G122" t="s">
        <v>63</v>
      </c>
      <c r="H122" t="s">
        <v>568</v>
      </c>
      <c r="I122" t="s">
        <v>15</v>
      </c>
      <c r="J122" t="s">
        <v>21</v>
      </c>
      <c r="K122" t="s">
        <v>22</v>
      </c>
      <c r="L122">
        <f>BDP($H122,"BICS_LEVEL_1_SECTOR_NAME")</f>
        <v/>
      </c>
      <c r="M122">
        <f>BDP($H122,"BICS_LEVEL_3_INDUSTRY_NAME")</f>
        <v/>
      </c>
    </row>
    <row r="123" spans="1:13">
      <c r="A123" t="s">
        <v>569</v>
      </c>
      <c r="B123" t="s">
        <v>14</v>
      </c>
      <c r="C123" t="s">
        <v>15</v>
      </c>
      <c r="D123" t="s">
        <v>570</v>
      </c>
      <c r="E123" t="s">
        <v>571</v>
      </c>
      <c r="F123" t="s">
        <v>242</v>
      </c>
      <c r="G123" t="s">
        <v>572</v>
      </c>
      <c r="H123" t="s">
        <v>573</v>
      </c>
      <c r="I123" t="s">
        <v>15</v>
      </c>
      <c r="J123" t="s">
        <v>21</v>
      </c>
      <c r="K123" t="s">
        <v>22</v>
      </c>
      <c r="L123">
        <f>BDP($H123,"BICS_LEVEL_1_SECTOR_NAME")</f>
        <v/>
      </c>
      <c r="M123">
        <f>BDP($H123,"BICS_LEVEL_3_INDUSTRY_NAME")</f>
        <v/>
      </c>
    </row>
    <row r="124" spans="1:13">
      <c r="A124" t="s">
        <v>574</v>
      </c>
      <c r="B124" t="s">
        <v>14</v>
      </c>
      <c r="C124" t="s">
        <v>15</v>
      </c>
      <c r="D124" t="s">
        <v>575</v>
      </c>
      <c r="E124" t="s">
        <v>576</v>
      </c>
      <c r="F124" t="s">
        <v>42</v>
      </c>
      <c r="G124" t="s">
        <v>577</v>
      </c>
      <c r="H124" t="s">
        <v>578</v>
      </c>
      <c r="I124" t="s">
        <v>15</v>
      </c>
      <c r="J124" t="s">
        <v>21</v>
      </c>
      <c r="K124" t="s">
        <v>22</v>
      </c>
      <c r="L124">
        <f>BDP($H124,"BICS_LEVEL_1_SECTOR_NAME")</f>
        <v/>
      </c>
      <c r="M124">
        <f>BDP($H124,"BICS_LEVEL_3_INDUSTRY_NAME")</f>
        <v/>
      </c>
    </row>
    <row r="125" spans="1:13">
      <c r="A125" t="s">
        <v>579</v>
      </c>
      <c r="B125" t="s">
        <v>14</v>
      </c>
      <c r="C125" t="s">
        <v>15</v>
      </c>
      <c r="D125" t="s">
        <v>580</v>
      </c>
      <c r="E125" t="s">
        <v>581</v>
      </c>
      <c r="F125" t="s">
        <v>18</v>
      </c>
      <c r="G125" t="s">
        <v>53</v>
      </c>
      <c r="H125" t="s">
        <v>582</v>
      </c>
      <c r="I125" t="s">
        <v>15</v>
      </c>
      <c r="J125" t="s">
        <v>21</v>
      </c>
      <c r="K125" t="s">
        <v>22</v>
      </c>
      <c r="L125">
        <f>BDP($H125,"BICS_LEVEL_1_SECTOR_NAME")</f>
        <v/>
      </c>
      <c r="M125">
        <f>BDP($H125,"BICS_LEVEL_3_INDUSTRY_NAME")</f>
        <v/>
      </c>
    </row>
    <row r="126" spans="1:13">
      <c r="A126" t="s">
        <v>583</v>
      </c>
      <c r="B126" t="s">
        <v>14</v>
      </c>
      <c r="C126" t="s">
        <v>15</v>
      </c>
      <c r="D126" t="s">
        <v>584</v>
      </c>
      <c r="E126" t="s">
        <v>585</v>
      </c>
      <c r="F126" t="s">
        <v>108</v>
      </c>
      <c r="G126" t="s">
        <v>586</v>
      </c>
      <c r="H126" t="s">
        <v>587</v>
      </c>
      <c r="I126" t="s">
        <v>15</v>
      </c>
      <c r="J126" t="s">
        <v>21</v>
      </c>
      <c r="K126" t="s">
        <v>22</v>
      </c>
      <c r="L126">
        <f>BDP($H126,"BICS_LEVEL_1_SECTOR_NAME")</f>
        <v/>
      </c>
      <c r="M126">
        <f>BDP($H126,"BICS_LEVEL_3_INDUSTRY_NAME")</f>
        <v/>
      </c>
    </row>
    <row r="127" spans="1:13">
      <c r="A127" t="s">
        <v>588</v>
      </c>
      <c r="B127" t="s">
        <v>14</v>
      </c>
      <c r="C127" t="s">
        <v>15</v>
      </c>
      <c r="D127" t="s">
        <v>589</v>
      </c>
      <c r="E127" t="s">
        <v>590</v>
      </c>
      <c r="F127" t="s">
        <v>108</v>
      </c>
      <c r="G127" t="s">
        <v>136</v>
      </c>
      <c r="H127" t="s">
        <v>591</v>
      </c>
      <c r="I127" t="s">
        <v>15</v>
      </c>
      <c r="J127" t="s">
        <v>21</v>
      </c>
      <c r="K127" t="s">
        <v>22</v>
      </c>
      <c r="L127">
        <f>BDP($H127,"BICS_LEVEL_1_SECTOR_NAME")</f>
        <v/>
      </c>
      <c r="M127">
        <f>BDP($H127,"BICS_LEVEL_3_INDUSTRY_NAME")</f>
        <v/>
      </c>
    </row>
    <row r="128" spans="1:13">
      <c r="A128" t="s">
        <v>592</v>
      </c>
      <c r="B128" t="s">
        <v>14</v>
      </c>
      <c r="C128" t="s">
        <v>15</v>
      </c>
      <c r="D128" t="s">
        <v>593</v>
      </c>
      <c r="E128" t="s">
        <v>594</v>
      </c>
      <c r="F128" t="s">
        <v>236</v>
      </c>
      <c r="G128" t="s">
        <v>237</v>
      </c>
      <c r="H128" t="s">
        <v>595</v>
      </c>
      <c r="I128" t="s">
        <v>15</v>
      </c>
      <c r="J128" t="s">
        <v>21</v>
      </c>
      <c r="K128" t="s">
        <v>22</v>
      </c>
      <c r="L128">
        <f>BDP($H128,"BICS_LEVEL_1_SECTOR_NAME")</f>
        <v/>
      </c>
      <c r="M128">
        <f>BDP($H128,"BICS_LEVEL_3_INDUSTRY_NAME")</f>
        <v/>
      </c>
    </row>
    <row r="129" spans="1:13">
      <c r="A129" t="s">
        <v>596</v>
      </c>
      <c r="B129" t="s">
        <v>14</v>
      </c>
      <c r="C129" t="s">
        <v>15</v>
      </c>
      <c r="D129" t="s">
        <v>597</v>
      </c>
      <c r="E129" t="s">
        <v>598</v>
      </c>
      <c r="F129" t="s">
        <v>42</v>
      </c>
      <c r="G129" t="s">
        <v>43</v>
      </c>
      <c r="H129" t="s">
        <v>599</v>
      </c>
      <c r="I129" t="s">
        <v>15</v>
      </c>
      <c r="J129" t="s">
        <v>21</v>
      </c>
      <c r="K129" t="s">
        <v>22</v>
      </c>
      <c r="L129">
        <f>BDP($H129,"BICS_LEVEL_1_SECTOR_NAME")</f>
        <v/>
      </c>
      <c r="M129">
        <f>BDP($H129,"BICS_LEVEL_3_INDUSTRY_NAME")</f>
        <v/>
      </c>
    </row>
    <row r="130" spans="1:13">
      <c r="A130" t="s">
        <v>600</v>
      </c>
      <c r="B130" t="s">
        <v>14</v>
      </c>
      <c r="C130" t="s">
        <v>15</v>
      </c>
      <c r="D130" t="s">
        <v>601</v>
      </c>
      <c r="E130" t="s">
        <v>602</v>
      </c>
      <c r="F130" t="s">
        <v>108</v>
      </c>
      <c r="G130" t="s">
        <v>109</v>
      </c>
      <c r="H130" t="s">
        <v>603</v>
      </c>
      <c r="I130" t="s">
        <v>15</v>
      </c>
      <c r="J130" t="s">
        <v>21</v>
      </c>
      <c r="K130" t="s">
        <v>22</v>
      </c>
      <c r="L130">
        <f>BDP($H130,"BICS_LEVEL_1_SECTOR_NAME")</f>
        <v/>
      </c>
      <c r="M130">
        <f>BDP($H130,"BICS_LEVEL_3_INDUSTRY_NAME")</f>
        <v/>
      </c>
    </row>
    <row r="131" spans="1:13">
      <c r="A131" t="s">
        <v>604</v>
      </c>
      <c r="B131" t="s">
        <v>14</v>
      </c>
      <c r="C131" t="s">
        <v>15</v>
      </c>
      <c r="D131" t="s">
        <v>605</v>
      </c>
      <c r="E131" t="s">
        <v>606</v>
      </c>
      <c r="F131" t="s">
        <v>108</v>
      </c>
      <c r="G131" t="s">
        <v>607</v>
      </c>
      <c r="H131" t="s">
        <v>608</v>
      </c>
      <c r="I131" t="s">
        <v>15</v>
      </c>
      <c r="J131" t="s">
        <v>21</v>
      </c>
      <c r="K131" t="s">
        <v>22</v>
      </c>
      <c r="L131">
        <f>BDP($H131,"BICS_LEVEL_1_SECTOR_NAME")</f>
        <v/>
      </c>
      <c r="M131">
        <f>BDP($H131,"BICS_LEVEL_3_INDUSTRY_NAME")</f>
        <v/>
      </c>
    </row>
    <row r="132" spans="1:13">
      <c r="A132" t="s">
        <v>609</v>
      </c>
      <c r="B132" t="s">
        <v>14</v>
      </c>
      <c r="C132" t="s">
        <v>15</v>
      </c>
      <c r="D132" t="s">
        <v>610</v>
      </c>
      <c r="E132" t="s">
        <v>611</v>
      </c>
      <c r="F132" t="s">
        <v>18</v>
      </c>
      <c r="G132" t="s">
        <v>19</v>
      </c>
      <c r="H132" t="s">
        <v>612</v>
      </c>
      <c r="I132" t="s">
        <v>15</v>
      </c>
      <c r="J132" t="s">
        <v>21</v>
      </c>
      <c r="K132" t="s">
        <v>22</v>
      </c>
      <c r="L132">
        <f>BDP($H132,"BICS_LEVEL_1_SECTOR_NAME")</f>
        <v/>
      </c>
      <c r="M132">
        <f>BDP($H132,"BICS_LEVEL_3_INDUSTRY_NAME")</f>
        <v/>
      </c>
    </row>
    <row r="133" spans="1:13">
      <c r="A133" t="s">
        <v>613</v>
      </c>
      <c r="B133" t="s">
        <v>14</v>
      </c>
      <c r="C133" t="s">
        <v>15</v>
      </c>
      <c r="D133" t="s">
        <v>614</v>
      </c>
      <c r="E133" t="s">
        <v>615</v>
      </c>
      <c r="F133" t="s">
        <v>97</v>
      </c>
      <c r="G133" t="s">
        <v>190</v>
      </c>
      <c r="H133" t="s">
        <v>616</v>
      </c>
      <c r="I133" t="s">
        <v>15</v>
      </c>
      <c r="J133" t="s">
        <v>21</v>
      </c>
      <c r="K133" t="s">
        <v>22</v>
      </c>
      <c r="L133">
        <f>BDP($H133,"BICS_LEVEL_1_SECTOR_NAME")</f>
        <v/>
      </c>
      <c r="M133">
        <f>BDP($H133,"BICS_LEVEL_3_INDUSTRY_NAME")</f>
        <v/>
      </c>
    </row>
    <row r="134" spans="1:13">
      <c r="A134" t="s">
        <v>617</v>
      </c>
      <c r="B134" t="s">
        <v>14</v>
      </c>
      <c r="C134" t="s">
        <v>15</v>
      </c>
      <c r="D134" t="s">
        <v>618</v>
      </c>
      <c r="E134" t="s">
        <v>619</v>
      </c>
      <c r="F134" t="s">
        <v>293</v>
      </c>
      <c r="G134" t="s">
        <v>620</v>
      </c>
      <c r="H134" t="s">
        <v>621</v>
      </c>
      <c r="I134" t="s">
        <v>15</v>
      </c>
      <c r="J134" t="s">
        <v>21</v>
      </c>
      <c r="K134" t="s">
        <v>22</v>
      </c>
      <c r="L134">
        <f>BDP($H134,"BICS_LEVEL_1_SECTOR_NAME")</f>
        <v/>
      </c>
      <c r="M134">
        <f>BDP($H134,"BICS_LEVEL_3_INDUSTRY_NAME")</f>
        <v/>
      </c>
    </row>
    <row r="135" spans="1:13">
      <c r="A135" t="s">
        <v>622</v>
      </c>
      <c r="B135" t="s">
        <v>14</v>
      </c>
      <c r="C135" t="s">
        <v>15</v>
      </c>
      <c r="D135" t="s">
        <v>623</v>
      </c>
      <c r="E135" t="s">
        <v>624</v>
      </c>
      <c r="F135" t="s">
        <v>293</v>
      </c>
      <c r="G135" t="s">
        <v>620</v>
      </c>
      <c r="H135" t="s">
        <v>625</v>
      </c>
      <c r="I135" t="s">
        <v>15</v>
      </c>
      <c r="J135" t="s">
        <v>21</v>
      </c>
      <c r="K135" t="s">
        <v>22</v>
      </c>
      <c r="L135">
        <f>BDP($H135,"BICS_LEVEL_1_SECTOR_NAME")</f>
        <v/>
      </c>
      <c r="M135">
        <f>BDP($H135,"BICS_LEVEL_3_INDUSTRY_NAME")</f>
        <v/>
      </c>
    </row>
    <row r="136" spans="1:13">
      <c r="A136" t="s">
        <v>626</v>
      </c>
      <c r="B136" t="s">
        <v>14</v>
      </c>
      <c r="C136" t="s">
        <v>15</v>
      </c>
      <c r="D136" t="s">
        <v>627</v>
      </c>
      <c r="E136" t="s">
        <v>628</v>
      </c>
      <c r="F136" t="s">
        <v>293</v>
      </c>
      <c r="G136" t="s">
        <v>620</v>
      </c>
      <c r="H136" t="s">
        <v>629</v>
      </c>
      <c r="I136" t="s">
        <v>15</v>
      </c>
      <c r="J136" t="s">
        <v>21</v>
      </c>
      <c r="K136" t="s">
        <v>22</v>
      </c>
      <c r="L136">
        <f>BDP($H136,"BICS_LEVEL_1_SECTOR_NAME")</f>
        <v/>
      </c>
      <c r="M136">
        <f>BDP($H136,"BICS_LEVEL_3_INDUSTRY_NAME")</f>
        <v/>
      </c>
    </row>
    <row r="137" spans="1:13">
      <c r="A137" t="s">
        <v>630</v>
      </c>
      <c r="B137" t="s">
        <v>14</v>
      </c>
      <c r="C137" t="s">
        <v>15</v>
      </c>
      <c r="D137" t="s">
        <v>631</v>
      </c>
      <c r="E137" t="s">
        <v>632</v>
      </c>
      <c r="F137" t="s">
        <v>293</v>
      </c>
      <c r="G137" t="s">
        <v>620</v>
      </c>
      <c r="H137" t="s">
        <v>633</v>
      </c>
      <c r="I137" t="s">
        <v>15</v>
      </c>
      <c r="J137" t="s">
        <v>21</v>
      </c>
      <c r="K137" t="s">
        <v>22</v>
      </c>
      <c r="L137">
        <f>BDP($H137,"BICS_LEVEL_1_SECTOR_NAME")</f>
        <v/>
      </c>
      <c r="M137">
        <f>BDP($H137,"BICS_LEVEL_3_INDUSTRY_NAME")</f>
        <v/>
      </c>
    </row>
    <row r="138" spans="1:13">
      <c r="A138" t="s">
        <v>634</v>
      </c>
      <c r="B138" t="s">
        <v>14</v>
      </c>
      <c r="C138" t="s">
        <v>15</v>
      </c>
      <c r="D138" t="s">
        <v>635</v>
      </c>
      <c r="E138" t="s">
        <v>636</v>
      </c>
      <c r="F138" t="s">
        <v>108</v>
      </c>
      <c r="G138" t="s">
        <v>637</v>
      </c>
      <c r="H138" t="s">
        <v>638</v>
      </c>
      <c r="I138" t="s">
        <v>15</v>
      </c>
      <c r="J138" t="s">
        <v>21</v>
      </c>
      <c r="K138" t="s">
        <v>22</v>
      </c>
      <c r="L138">
        <f>BDP($H138,"BICS_LEVEL_1_SECTOR_NAME")</f>
        <v/>
      </c>
      <c r="M138">
        <f>BDP($H138,"BICS_LEVEL_3_INDUSTRY_NAME")</f>
        <v/>
      </c>
    </row>
    <row r="139" spans="1:13">
      <c r="A139" t="s">
        <v>639</v>
      </c>
      <c r="B139" t="s">
        <v>14</v>
      </c>
      <c r="C139" t="s">
        <v>15</v>
      </c>
      <c r="D139" t="s">
        <v>640</v>
      </c>
      <c r="E139" t="s">
        <v>641</v>
      </c>
      <c r="F139" t="s">
        <v>97</v>
      </c>
      <c r="G139" t="s">
        <v>642</v>
      </c>
      <c r="H139" t="s">
        <v>643</v>
      </c>
      <c r="I139" t="s">
        <v>15</v>
      </c>
      <c r="J139" t="s">
        <v>21</v>
      </c>
      <c r="K139" t="s">
        <v>22</v>
      </c>
      <c r="L139">
        <f>BDP($H139,"BICS_LEVEL_1_SECTOR_NAME")</f>
        <v/>
      </c>
      <c r="M139">
        <f>BDP($H139,"BICS_LEVEL_3_INDUSTRY_NAME")</f>
        <v/>
      </c>
    </row>
    <row r="140" spans="1:13">
      <c r="A140" t="s">
        <v>644</v>
      </c>
      <c r="B140" t="s">
        <v>14</v>
      </c>
      <c r="C140" t="s">
        <v>15</v>
      </c>
      <c r="D140" t="s">
        <v>645</v>
      </c>
      <c r="E140" t="s">
        <v>646</v>
      </c>
      <c r="F140" t="s">
        <v>18</v>
      </c>
      <c r="G140" t="s">
        <v>37</v>
      </c>
      <c r="H140" t="s">
        <v>647</v>
      </c>
      <c r="I140" t="s">
        <v>15</v>
      </c>
      <c r="J140" t="s">
        <v>21</v>
      </c>
      <c r="K140" t="s">
        <v>22</v>
      </c>
      <c r="L140">
        <f>BDP($H140,"BICS_LEVEL_1_SECTOR_NAME")</f>
        <v/>
      </c>
      <c r="M140">
        <f>BDP($H140,"BICS_LEVEL_3_INDUSTRY_NAME")</f>
        <v/>
      </c>
    </row>
    <row r="141" spans="1:13">
      <c r="A141" t="s">
        <v>648</v>
      </c>
      <c r="B141" t="s">
        <v>14</v>
      </c>
      <c r="C141" t="s">
        <v>15</v>
      </c>
      <c r="D141" t="s">
        <v>649</v>
      </c>
      <c r="E141" t="s">
        <v>650</v>
      </c>
      <c r="F141" t="s">
        <v>42</v>
      </c>
      <c r="G141" t="s">
        <v>118</v>
      </c>
      <c r="H141" t="s">
        <v>651</v>
      </c>
      <c r="I141" t="s">
        <v>15</v>
      </c>
      <c r="J141" t="s">
        <v>21</v>
      </c>
      <c r="K141" t="s">
        <v>22</v>
      </c>
      <c r="L141">
        <f>BDP($H141,"BICS_LEVEL_1_SECTOR_NAME")</f>
        <v/>
      </c>
      <c r="M141">
        <f>BDP($H141,"BICS_LEVEL_3_INDUSTRY_NAME")</f>
        <v/>
      </c>
    </row>
    <row r="142" spans="1:13">
      <c r="A142" t="s">
        <v>652</v>
      </c>
      <c r="B142" t="s">
        <v>14</v>
      </c>
      <c r="C142" t="s">
        <v>15</v>
      </c>
      <c r="D142" t="s">
        <v>653</v>
      </c>
      <c r="E142" t="s">
        <v>654</v>
      </c>
      <c r="F142" t="s">
        <v>42</v>
      </c>
      <c r="G142" t="s">
        <v>655</v>
      </c>
      <c r="H142" t="s">
        <v>656</v>
      </c>
      <c r="I142" t="s">
        <v>15</v>
      </c>
      <c r="J142" t="s">
        <v>21</v>
      </c>
      <c r="K142" t="s">
        <v>22</v>
      </c>
      <c r="L142">
        <f>BDP($H142,"BICS_LEVEL_1_SECTOR_NAME")</f>
        <v/>
      </c>
      <c r="M142">
        <f>BDP($H142,"BICS_LEVEL_3_INDUSTRY_NAME")</f>
        <v/>
      </c>
    </row>
    <row r="143" spans="1:13">
      <c r="A143" t="s">
        <v>657</v>
      </c>
      <c r="B143" t="s">
        <v>14</v>
      </c>
      <c r="C143" t="s">
        <v>15</v>
      </c>
      <c r="D143" t="s">
        <v>658</v>
      </c>
      <c r="E143" t="s">
        <v>659</v>
      </c>
      <c r="F143" t="s">
        <v>42</v>
      </c>
      <c r="G143" t="s">
        <v>660</v>
      </c>
      <c r="H143" t="s">
        <v>661</v>
      </c>
      <c r="I143" t="s">
        <v>15</v>
      </c>
      <c r="J143" t="s">
        <v>21</v>
      </c>
      <c r="K143" t="s">
        <v>22</v>
      </c>
      <c r="L143">
        <f>BDP($H143,"BICS_LEVEL_1_SECTOR_NAME")</f>
        <v/>
      </c>
      <c r="M143">
        <f>BDP($H143,"BICS_LEVEL_3_INDUSTRY_NAME")</f>
        <v/>
      </c>
    </row>
    <row r="144" spans="1:13">
      <c r="A144" t="s">
        <v>662</v>
      </c>
      <c r="B144" t="s">
        <v>14</v>
      </c>
      <c r="C144" t="s">
        <v>15</v>
      </c>
      <c r="D144" t="s">
        <v>663</v>
      </c>
      <c r="E144" t="s">
        <v>664</v>
      </c>
      <c r="F144" t="s">
        <v>18</v>
      </c>
      <c r="G144" t="s">
        <v>158</v>
      </c>
      <c r="H144" t="s">
        <v>665</v>
      </c>
      <c r="I144" t="s">
        <v>15</v>
      </c>
      <c r="J144" t="s">
        <v>21</v>
      </c>
      <c r="K144" t="s">
        <v>22</v>
      </c>
      <c r="L144">
        <f>BDP($H144,"BICS_LEVEL_1_SECTOR_NAME")</f>
        <v/>
      </c>
      <c r="M144">
        <f>BDP($H144,"BICS_LEVEL_3_INDUSTRY_NAME")</f>
        <v/>
      </c>
    </row>
    <row r="145" spans="1:13">
      <c r="A145" t="s">
        <v>666</v>
      </c>
      <c r="B145" t="s">
        <v>14</v>
      </c>
      <c r="C145" t="s">
        <v>15</v>
      </c>
      <c r="D145" t="s">
        <v>667</v>
      </c>
      <c r="E145" t="s">
        <v>668</v>
      </c>
      <c r="F145" t="s">
        <v>42</v>
      </c>
      <c r="G145" t="s">
        <v>43</v>
      </c>
      <c r="H145" t="s">
        <v>669</v>
      </c>
      <c r="I145" t="s">
        <v>15</v>
      </c>
      <c r="J145" t="s">
        <v>21</v>
      </c>
      <c r="K145" t="s">
        <v>22</v>
      </c>
      <c r="L145">
        <f>BDP($H145,"BICS_LEVEL_1_SECTOR_NAME")</f>
        <v/>
      </c>
      <c r="M145">
        <f>BDP($H145,"BICS_LEVEL_3_INDUSTRY_NAME")</f>
        <v/>
      </c>
    </row>
    <row r="146" spans="1:13">
      <c r="A146" t="s">
        <v>670</v>
      </c>
      <c r="B146" t="s">
        <v>14</v>
      </c>
      <c r="C146" t="s">
        <v>15</v>
      </c>
      <c r="D146" t="s">
        <v>671</v>
      </c>
      <c r="E146" t="s">
        <v>672</v>
      </c>
      <c r="F146" t="s">
        <v>293</v>
      </c>
      <c r="G146" t="s">
        <v>312</v>
      </c>
      <c r="H146" t="s">
        <v>673</v>
      </c>
      <c r="I146" t="s">
        <v>15</v>
      </c>
      <c r="J146" t="s">
        <v>21</v>
      </c>
      <c r="K146" t="s">
        <v>22</v>
      </c>
      <c r="L146">
        <f>BDP($H146,"BICS_LEVEL_1_SECTOR_NAME")</f>
        <v/>
      </c>
      <c r="M146">
        <f>BDP($H146,"BICS_LEVEL_3_INDUSTRY_NAME")</f>
        <v/>
      </c>
    </row>
    <row r="147" spans="1:13">
      <c r="A147" t="s">
        <v>674</v>
      </c>
      <c r="B147" t="s">
        <v>14</v>
      </c>
      <c r="C147" t="s">
        <v>15</v>
      </c>
      <c r="D147" t="s">
        <v>675</v>
      </c>
      <c r="E147" t="s">
        <v>676</v>
      </c>
      <c r="F147" t="s">
        <v>77</v>
      </c>
      <c r="G147" t="s">
        <v>677</v>
      </c>
      <c r="H147" t="s">
        <v>678</v>
      </c>
      <c r="I147" t="s">
        <v>15</v>
      </c>
      <c r="J147" t="s">
        <v>21</v>
      </c>
      <c r="K147" t="s">
        <v>22</v>
      </c>
      <c r="L147">
        <f>BDP($H147,"BICS_LEVEL_1_SECTOR_NAME")</f>
        <v/>
      </c>
      <c r="M147">
        <f>BDP($H147,"BICS_LEVEL_3_INDUSTRY_NAME")</f>
        <v/>
      </c>
    </row>
    <row r="148" spans="1:13">
      <c r="A148" t="s">
        <v>679</v>
      </c>
      <c r="B148" t="s">
        <v>14</v>
      </c>
      <c r="C148" t="s">
        <v>15</v>
      </c>
      <c r="D148" t="s">
        <v>680</v>
      </c>
      <c r="E148" t="s">
        <v>681</v>
      </c>
      <c r="F148" t="s">
        <v>18</v>
      </c>
      <c r="G148" t="s">
        <v>53</v>
      </c>
      <c r="H148" t="s">
        <v>682</v>
      </c>
      <c r="I148" t="s">
        <v>15</v>
      </c>
      <c r="J148" t="s">
        <v>21</v>
      </c>
      <c r="K148" t="s">
        <v>22</v>
      </c>
      <c r="L148">
        <f>BDP($H148,"BICS_LEVEL_1_SECTOR_NAME")</f>
        <v/>
      </c>
      <c r="M148">
        <f>BDP($H148,"BICS_LEVEL_3_INDUSTRY_NAME")</f>
        <v/>
      </c>
    </row>
    <row r="149" spans="1:13">
      <c r="A149" t="s">
        <v>683</v>
      </c>
      <c r="B149" t="s">
        <v>14</v>
      </c>
      <c r="C149" t="s">
        <v>15</v>
      </c>
      <c r="D149" t="s">
        <v>684</v>
      </c>
      <c r="E149" t="s">
        <v>685</v>
      </c>
      <c r="F149" t="s">
        <v>18</v>
      </c>
      <c r="G149" t="s">
        <v>103</v>
      </c>
      <c r="H149" t="s">
        <v>686</v>
      </c>
      <c r="I149" t="s">
        <v>15</v>
      </c>
      <c r="J149" t="s">
        <v>21</v>
      </c>
      <c r="K149" t="s">
        <v>22</v>
      </c>
      <c r="L149">
        <f>BDP($H149,"BICS_LEVEL_1_SECTOR_NAME")</f>
        <v/>
      </c>
      <c r="M149">
        <f>BDP($H149,"BICS_LEVEL_3_INDUSTRY_NAME")</f>
        <v/>
      </c>
    </row>
    <row r="150" spans="1:13">
      <c r="A150" t="s">
        <v>687</v>
      </c>
      <c r="B150" t="s">
        <v>14</v>
      </c>
      <c r="C150" t="s">
        <v>15</v>
      </c>
      <c r="D150" t="s">
        <v>688</v>
      </c>
      <c r="E150" t="s">
        <v>689</v>
      </c>
      <c r="F150" t="s">
        <v>18</v>
      </c>
      <c r="G150" t="s">
        <v>53</v>
      </c>
      <c r="H150" t="s">
        <v>690</v>
      </c>
      <c r="I150" t="s">
        <v>15</v>
      </c>
      <c r="J150" t="s">
        <v>21</v>
      </c>
      <c r="K150" t="s">
        <v>22</v>
      </c>
      <c r="L150">
        <f>BDP($H150,"BICS_LEVEL_1_SECTOR_NAME")</f>
        <v/>
      </c>
      <c r="M150">
        <f>BDP($H150,"BICS_LEVEL_3_INDUSTRY_NAME")</f>
        <v/>
      </c>
    </row>
    <row r="151" spans="1:13">
      <c r="A151" t="s">
        <v>691</v>
      </c>
      <c r="B151" t="s">
        <v>14</v>
      </c>
      <c r="C151" t="s">
        <v>15</v>
      </c>
      <c r="D151" t="s">
        <v>692</v>
      </c>
      <c r="E151" t="s">
        <v>693</v>
      </c>
      <c r="F151" t="s">
        <v>18</v>
      </c>
      <c r="G151" t="s">
        <v>53</v>
      </c>
      <c r="H151" t="s">
        <v>694</v>
      </c>
      <c r="I151" t="s">
        <v>15</v>
      </c>
      <c r="J151" t="s">
        <v>21</v>
      </c>
      <c r="K151" t="s">
        <v>22</v>
      </c>
      <c r="L151">
        <f>BDP($H151,"BICS_LEVEL_1_SECTOR_NAME")</f>
        <v/>
      </c>
      <c r="M151">
        <f>BDP($H151,"BICS_LEVEL_3_INDUSTRY_NAME")</f>
        <v/>
      </c>
    </row>
    <row r="152" spans="1:13">
      <c r="A152" t="s">
        <v>695</v>
      </c>
      <c r="B152" t="s">
        <v>14</v>
      </c>
      <c r="C152" t="s">
        <v>15</v>
      </c>
      <c r="D152" t="s">
        <v>696</v>
      </c>
      <c r="E152" t="s">
        <v>697</v>
      </c>
      <c r="F152" t="s">
        <v>42</v>
      </c>
      <c r="G152" t="s">
        <v>418</v>
      </c>
      <c r="H152" t="s">
        <v>698</v>
      </c>
      <c r="I152" t="s">
        <v>15</v>
      </c>
      <c r="J152" t="s">
        <v>21</v>
      </c>
      <c r="K152" t="s">
        <v>22</v>
      </c>
      <c r="L152">
        <f>BDP($H152,"BICS_LEVEL_1_SECTOR_NAME")</f>
        <v/>
      </c>
      <c r="M152">
        <f>BDP($H152,"BICS_LEVEL_3_INDUSTRY_NAME")</f>
        <v/>
      </c>
    </row>
    <row r="153" spans="1:13">
      <c r="A153" t="s">
        <v>699</v>
      </c>
      <c r="B153" t="s">
        <v>14</v>
      </c>
      <c r="C153" t="s">
        <v>15</v>
      </c>
      <c r="D153" t="s">
        <v>700</v>
      </c>
      <c r="E153" t="s">
        <v>701</v>
      </c>
      <c r="F153" t="s">
        <v>42</v>
      </c>
      <c r="G153" t="s">
        <v>702</v>
      </c>
      <c r="H153" t="s">
        <v>703</v>
      </c>
      <c r="I153" t="s">
        <v>15</v>
      </c>
      <c r="J153" t="s">
        <v>21</v>
      </c>
      <c r="K153" t="s">
        <v>22</v>
      </c>
      <c r="L153">
        <f>BDP($H153,"BICS_LEVEL_1_SECTOR_NAME")</f>
        <v/>
      </c>
      <c r="M153">
        <f>BDP($H153,"BICS_LEVEL_3_INDUSTRY_NAME")</f>
        <v/>
      </c>
    </row>
    <row r="154" spans="1:13">
      <c r="A154" t="s">
        <v>704</v>
      </c>
      <c r="B154" t="s">
        <v>14</v>
      </c>
      <c r="C154" t="s">
        <v>15</v>
      </c>
      <c r="D154" t="s">
        <v>705</v>
      </c>
      <c r="E154" t="s">
        <v>706</v>
      </c>
      <c r="F154" t="s">
        <v>77</v>
      </c>
      <c r="G154" t="s">
        <v>423</v>
      </c>
      <c r="H154" t="s">
        <v>707</v>
      </c>
      <c r="I154" t="s">
        <v>15</v>
      </c>
      <c r="J154" t="s">
        <v>21</v>
      </c>
      <c r="K154" t="s">
        <v>22</v>
      </c>
      <c r="L154">
        <f>BDP($H154,"BICS_LEVEL_1_SECTOR_NAME")</f>
        <v/>
      </c>
      <c r="M154">
        <f>BDP($H154,"BICS_LEVEL_3_INDUSTRY_NAME")</f>
        <v/>
      </c>
    </row>
    <row r="155" spans="1:13">
      <c r="A155" t="s">
        <v>708</v>
      </c>
      <c r="B155" t="s">
        <v>14</v>
      </c>
      <c r="C155" t="s">
        <v>15</v>
      </c>
      <c r="D155" t="s">
        <v>709</v>
      </c>
      <c r="E155" t="s">
        <v>710</v>
      </c>
      <c r="F155" t="s">
        <v>97</v>
      </c>
      <c r="G155" t="s">
        <v>190</v>
      </c>
      <c r="H155" t="s">
        <v>711</v>
      </c>
      <c r="I155" t="s">
        <v>15</v>
      </c>
      <c r="J155" t="s">
        <v>21</v>
      </c>
      <c r="K155" t="s">
        <v>22</v>
      </c>
      <c r="L155">
        <f>BDP($H155,"BICS_LEVEL_1_SECTOR_NAME")</f>
        <v/>
      </c>
      <c r="M155">
        <f>BDP($H155,"BICS_LEVEL_3_INDUSTRY_NAME")</f>
        <v/>
      </c>
    </row>
    <row r="156" spans="1:13">
      <c r="A156" t="s">
        <v>712</v>
      </c>
      <c r="B156" t="s">
        <v>14</v>
      </c>
      <c r="C156" t="s">
        <v>15</v>
      </c>
      <c r="D156" t="s">
        <v>713</v>
      </c>
      <c r="E156" t="s">
        <v>714</v>
      </c>
      <c r="F156" t="s">
        <v>42</v>
      </c>
      <c r="G156" t="s">
        <v>284</v>
      </c>
      <c r="H156" t="s">
        <v>715</v>
      </c>
      <c r="I156" t="s">
        <v>15</v>
      </c>
      <c r="J156" t="s">
        <v>21</v>
      </c>
      <c r="K156" t="s">
        <v>22</v>
      </c>
      <c r="L156">
        <f>BDP($H156,"BICS_LEVEL_1_SECTOR_NAME")</f>
        <v/>
      </c>
      <c r="M156">
        <f>BDP($H156,"BICS_LEVEL_3_INDUSTRY_NAME")</f>
        <v/>
      </c>
    </row>
    <row r="157" spans="1:13">
      <c r="A157" t="s">
        <v>716</v>
      </c>
      <c r="B157" t="s">
        <v>14</v>
      </c>
      <c r="C157" t="s">
        <v>15</v>
      </c>
      <c r="D157" t="s">
        <v>717</v>
      </c>
      <c r="E157" t="s">
        <v>718</v>
      </c>
      <c r="F157" t="s">
        <v>18</v>
      </c>
      <c r="G157" t="s">
        <v>271</v>
      </c>
      <c r="H157" t="s">
        <v>719</v>
      </c>
      <c r="I157" t="s">
        <v>15</v>
      </c>
      <c r="J157" t="s">
        <v>21</v>
      </c>
      <c r="K157" t="s">
        <v>22</v>
      </c>
      <c r="L157">
        <f>BDP($H157,"BICS_LEVEL_1_SECTOR_NAME")</f>
        <v/>
      </c>
      <c r="M157">
        <f>BDP($H157,"BICS_LEVEL_3_INDUSTRY_NAME")</f>
        <v/>
      </c>
    </row>
    <row r="158" spans="1:13">
      <c r="A158" t="s">
        <v>720</v>
      </c>
      <c r="B158" t="s">
        <v>14</v>
      </c>
      <c r="C158" t="s">
        <v>15</v>
      </c>
      <c r="D158" t="s">
        <v>721</v>
      </c>
      <c r="E158" t="s">
        <v>722</v>
      </c>
      <c r="F158" t="s">
        <v>18</v>
      </c>
      <c r="G158" t="s">
        <v>19</v>
      </c>
      <c r="H158" t="s">
        <v>723</v>
      </c>
      <c r="I158" t="s">
        <v>15</v>
      </c>
      <c r="J158" t="s">
        <v>21</v>
      </c>
      <c r="K158" t="s">
        <v>22</v>
      </c>
      <c r="L158">
        <f>BDP($H158,"BICS_LEVEL_1_SECTOR_NAME")</f>
        <v/>
      </c>
      <c r="M158">
        <f>BDP($H158,"BICS_LEVEL_3_INDUSTRY_NAME")</f>
        <v/>
      </c>
    </row>
    <row r="159" spans="1:13">
      <c r="A159" t="s">
        <v>724</v>
      </c>
      <c r="B159" t="s">
        <v>14</v>
      </c>
      <c r="C159" t="s">
        <v>15</v>
      </c>
      <c r="D159" t="s">
        <v>725</v>
      </c>
      <c r="E159" t="s">
        <v>726</v>
      </c>
      <c r="F159" t="s">
        <v>18</v>
      </c>
      <c r="G159" t="s">
        <v>271</v>
      </c>
      <c r="H159" t="s">
        <v>727</v>
      </c>
      <c r="I159" t="s">
        <v>15</v>
      </c>
      <c r="J159" t="s">
        <v>21</v>
      </c>
      <c r="K159" t="s">
        <v>22</v>
      </c>
      <c r="L159">
        <f>BDP($H159,"BICS_LEVEL_1_SECTOR_NAME")</f>
        <v/>
      </c>
      <c r="M159">
        <f>BDP($H159,"BICS_LEVEL_3_INDUSTRY_NAME")</f>
        <v/>
      </c>
    </row>
    <row r="160" spans="1:13">
      <c r="A160" t="s">
        <v>728</v>
      </c>
      <c r="B160" t="s">
        <v>14</v>
      </c>
      <c r="C160" t="s">
        <v>15</v>
      </c>
      <c r="D160" t="s">
        <v>729</v>
      </c>
      <c r="E160" t="s">
        <v>730</v>
      </c>
      <c r="F160" t="s">
        <v>18</v>
      </c>
      <c r="G160" t="s">
        <v>271</v>
      </c>
      <c r="H160" t="s">
        <v>731</v>
      </c>
      <c r="I160" t="s">
        <v>15</v>
      </c>
      <c r="J160" t="s">
        <v>21</v>
      </c>
      <c r="K160" t="s">
        <v>22</v>
      </c>
      <c r="L160">
        <f>BDP($H160,"BICS_LEVEL_1_SECTOR_NAME")</f>
        <v/>
      </c>
      <c r="M160">
        <f>BDP($H160,"BICS_LEVEL_3_INDUSTRY_NAME")</f>
        <v/>
      </c>
    </row>
    <row r="161" spans="1:13">
      <c r="A161" t="s">
        <v>732</v>
      </c>
      <c r="B161" t="s">
        <v>14</v>
      </c>
      <c r="C161" t="s">
        <v>15</v>
      </c>
      <c r="D161" t="s">
        <v>733</v>
      </c>
      <c r="E161" t="s">
        <v>734</v>
      </c>
      <c r="F161" t="s">
        <v>26</v>
      </c>
      <c r="G161" t="s">
        <v>321</v>
      </c>
      <c r="H161" t="s">
        <v>735</v>
      </c>
      <c r="I161" t="s">
        <v>15</v>
      </c>
      <c r="J161" t="s">
        <v>21</v>
      </c>
      <c r="K161" t="s">
        <v>22</v>
      </c>
      <c r="L161">
        <f>BDP($H161,"BICS_LEVEL_1_SECTOR_NAME")</f>
        <v/>
      </c>
      <c r="M161">
        <f>BDP($H161,"BICS_LEVEL_3_INDUSTRY_NAME")</f>
        <v/>
      </c>
    </row>
    <row r="162" spans="1:13">
      <c r="A162" t="s">
        <v>736</v>
      </c>
      <c r="B162" t="s">
        <v>14</v>
      </c>
      <c r="C162" t="s">
        <v>15</v>
      </c>
      <c r="D162" t="s">
        <v>737</v>
      </c>
      <c r="E162" t="s">
        <v>738</v>
      </c>
      <c r="F162" t="s">
        <v>18</v>
      </c>
      <c r="G162" t="s">
        <v>53</v>
      </c>
      <c r="H162" t="s">
        <v>739</v>
      </c>
      <c r="I162" t="s">
        <v>15</v>
      </c>
      <c r="J162" t="s">
        <v>21</v>
      </c>
      <c r="K162" t="s">
        <v>22</v>
      </c>
      <c r="L162">
        <f>BDP($H162,"BICS_LEVEL_1_SECTOR_NAME")</f>
        <v/>
      </c>
      <c r="M162">
        <f>BDP($H162,"BICS_LEVEL_3_INDUSTRY_NAME")</f>
        <v/>
      </c>
    </row>
    <row r="163" spans="1:13">
      <c r="A163" t="s">
        <v>740</v>
      </c>
      <c r="B163" t="s">
        <v>14</v>
      </c>
      <c r="C163" t="s">
        <v>15</v>
      </c>
      <c r="D163" t="s">
        <v>741</v>
      </c>
      <c r="E163" t="s">
        <v>742</v>
      </c>
      <c r="F163" t="s">
        <v>108</v>
      </c>
      <c r="G163" t="s">
        <v>109</v>
      </c>
      <c r="H163" t="s">
        <v>743</v>
      </c>
      <c r="I163" t="s">
        <v>15</v>
      </c>
      <c r="J163" t="s">
        <v>21</v>
      </c>
      <c r="K163" t="s">
        <v>22</v>
      </c>
      <c r="L163">
        <f>BDP($H163,"BICS_LEVEL_1_SECTOR_NAME")</f>
        <v/>
      </c>
      <c r="M163">
        <f>BDP($H163,"BICS_LEVEL_3_INDUSTRY_NAME")</f>
        <v/>
      </c>
    </row>
    <row r="164" spans="1:13">
      <c r="A164" t="s">
        <v>744</v>
      </c>
      <c r="B164" t="s">
        <v>14</v>
      </c>
      <c r="C164" t="s">
        <v>15</v>
      </c>
      <c r="D164" t="s">
        <v>745</v>
      </c>
      <c r="E164" t="s">
        <v>746</v>
      </c>
      <c r="F164" t="s">
        <v>42</v>
      </c>
      <c r="G164" t="s">
        <v>747</v>
      </c>
      <c r="H164" t="s">
        <v>748</v>
      </c>
      <c r="I164" t="s">
        <v>15</v>
      </c>
      <c r="J164" t="s">
        <v>21</v>
      </c>
      <c r="K164" t="s">
        <v>22</v>
      </c>
      <c r="L164">
        <f>BDP($H164,"BICS_LEVEL_1_SECTOR_NAME")</f>
        <v/>
      </c>
      <c r="M164">
        <f>BDP($H164,"BICS_LEVEL_3_INDUSTRY_NAME")</f>
        <v/>
      </c>
    </row>
    <row r="165" spans="1:13">
      <c r="A165" t="s">
        <v>749</v>
      </c>
      <c r="B165" t="s">
        <v>14</v>
      </c>
      <c r="C165" t="s">
        <v>15</v>
      </c>
      <c r="D165" t="s">
        <v>750</v>
      </c>
      <c r="E165" t="s">
        <v>751</v>
      </c>
      <c r="F165" t="s">
        <v>18</v>
      </c>
      <c r="G165" t="s">
        <v>103</v>
      </c>
      <c r="H165" t="s">
        <v>752</v>
      </c>
      <c r="I165" t="s">
        <v>15</v>
      </c>
      <c r="J165" t="s">
        <v>21</v>
      </c>
      <c r="K165" t="s">
        <v>22</v>
      </c>
      <c r="L165">
        <f>BDP($H165,"BICS_LEVEL_1_SECTOR_NAME")</f>
        <v/>
      </c>
      <c r="M165">
        <f>BDP($H165,"BICS_LEVEL_3_INDUSTRY_NAME")</f>
        <v/>
      </c>
    </row>
    <row r="166" spans="1:13">
      <c r="A166" t="s">
        <v>753</v>
      </c>
      <c r="B166" t="s">
        <v>14</v>
      </c>
      <c r="C166" t="s">
        <v>15</v>
      </c>
      <c r="D166" t="s">
        <v>754</v>
      </c>
      <c r="E166" t="s">
        <v>755</v>
      </c>
      <c r="F166" t="s">
        <v>18</v>
      </c>
      <c r="G166" t="s">
        <v>53</v>
      </c>
      <c r="H166" t="s">
        <v>756</v>
      </c>
      <c r="I166" t="s">
        <v>15</v>
      </c>
      <c r="J166" t="s">
        <v>21</v>
      </c>
      <c r="K166" t="s">
        <v>22</v>
      </c>
      <c r="L166">
        <f>BDP($H166,"BICS_LEVEL_1_SECTOR_NAME")</f>
        <v/>
      </c>
      <c r="M166">
        <f>BDP($H166,"BICS_LEVEL_3_INDUSTRY_NAME")</f>
        <v/>
      </c>
    </row>
    <row r="167" spans="1:13">
      <c r="A167" t="s">
        <v>757</v>
      </c>
      <c r="B167" t="s">
        <v>14</v>
      </c>
      <c r="C167" t="s">
        <v>15</v>
      </c>
      <c r="D167" t="s">
        <v>758</v>
      </c>
      <c r="E167" t="s">
        <v>759</v>
      </c>
      <c r="F167" t="s">
        <v>97</v>
      </c>
      <c r="G167" t="s">
        <v>760</v>
      </c>
      <c r="H167" t="s">
        <v>761</v>
      </c>
      <c r="I167" t="s">
        <v>15</v>
      </c>
      <c r="J167" t="s">
        <v>21</v>
      </c>
      <c r="K167" t="s">
        <v>22</v>
      </c>
      <c r="L167">
        <f>BDP($H167,"BICS_LEVEL_1_SECTOR_NAME")</f>
        <v/>
      </c>
      <c r="M167">
        <f>BDP($H167,"BICS_LEVEL_3_INDUSTRY_NAME")</f>
        <v/>
      </c>
    </row>
    <row r="168" spans="1:13">
      <c r="A168" t="s">
        <v>762</v>
      </c>
      <c r="B168" t="s">
        <v>14</v>
      </c>
      <c r="C168" t="s">
        <v>15</v>
      </c>
      <c r="D168" t="s">
        <v>763</v>
      </c>
      <c r="E168" t="s">
        <v>764</v>
      </c>
      <c r="F168" t="s">
        <v>108</v>
      </c>
      <c r="G168" t="s">
        <v>360</v>
      </c>
      <c r="H168" t="s">
        <v>765</v>
      </c>
      <c r="I168" t="s">
        <v>15</v>
      </c>
      <c r="J168" t="s">
        <v>21</v>
      </c>
      <c r="K168" t="s">
        <v>22</v>
      </c>
      <c r="L168">
        <f>BDP($H168,"BICS_LEVEL_1_SECTOR_NAME")</f>
        <v/>
      </c>
      <c r="M168">
        <f>BDP($H168,"BICS_LEVEL_3_INDUSTRY_NAME")</f>
        <v/>
      </c>
    </row>
    <row r="169" spans="1:13">
      <c r="A169" t="s">
        <v>766</v>
      </c>
      <c r="B169" t="s">
        <v>14</v>
      </c>
      <c r="C169" t="s">
        <v>15</v>
      </c>
      <c r="D169" t="s">
        <v>767</v>
      </c>
      <c r="E169" t="s">
        <v>768</v>
      </c>
      <c r="F169" t="s">
        <v>26</v>
      </c>
      <c r="G169" t="s">
        <v>321</v>
      </c>
      <c r="H169" t="s">
        <v>769</v>
      </c>
      <c r="I169" t="s">
        <v>15</v>
      </c>
      <c r="J169" t="s">
        <v>21</v>
      </c>
      <c r="K169" t="s">
        <v>22</v>
      </c>
      <c r="L169">
        <f>BDP($H169,"BICS_LEVEL_1_SECTOR_NAME")</f>
        <v/>
      </c>
      <c r="M169">
        <f>BDP($H169,"BICS_LEVEL_3_INDUSTRY_NAME")</f>
        <v/>
      </c>
    </row>
    <row r="170" spans="1:13">
      <c r="A170" t="s">
        <v>770</v>
      </c>
      <c r="B170" t="s">
        <v>14</v>
      </c>
      <c r="C170" t="s">
        <v>15</v>
      </c>
      <c r="D170" t="s">
        <v>771</v>
      </c>
      <c r="E170" t="s">
        <v>772</v>
      </c>
      <c r="F170" t="s">
        <v>18</v>
      </c>
      <c r="G170" t="s">
        <v>53</v>
      </c>
      <c r="H170" t="s">
        <v>773</v>
      </c>
      <c r="I170" t="s">
        <v>15</v>
      </c>
      <c r="J170" t="s">
        <v>21</v>
      </c>
      <c r="K170" t="s">
        <v>22</v>
      </c>
      <c r="L170">
        <f>BDP($H170,"BICS_LEVEL_1_SECTOR_NAME")</f>
        <v/>
      </c>
      <c r="M170">
        <f>BDP($H170,"BICS_LEVEL_3_INDUSTRY_NAME")</f>
        <v/>
      </c>
    </row>
    <row r="171" spans="1:13">
      <c r="A171" t="s">
        <v>774</v>
      </c>
      <c r="B171" t="s">
        <v>14</v>
      </c>
      <c r="C171" t="s">
        <v>15</v>
      </c>
      <c r="D171" t="s">
        <v>775</v>
      </c>
      <c r="E171" t="s">
        <v>776</v>
      </c>
      <c r="F171" t="s">
        <v>42</v>
      </c>
      <c r="G171" t="s">
        <v>777</v>
      </c>
      <c r="H171" t="s">
        <v>778</v>
      </c>
      <c r="I171" t="s">
        <v>15</v>
      </c>
      <c r="J171" t="s">
        <v>21</v>
      </c>
      <c r="K171" t="s">
        <v>22</v>
      </c>
      <c r="L171">
        <f>BDP($H171,"BICS_LEVEL_1_SECTOR_NAME")</f>
        <v/>
      </c>
      <c r="M171">
        <f>BDP($H171,"BICS_LEVEL_3_INDUSTRY_NAME")</f>
        <v/>
      </c>
    </row>
    <row r="172" spans="1:13">
      <c r="A172" t="s">
        <v>779</v>
      </c>
      <c r="B172" t="s">
        <v>14</v>
      </c>
      <c r="C172" t="s">
        <v>15</v>
      </c>
      <c r="D172" t="s">
        <v>780</v>
      </c>
      <c r="E172" t="s">
        <v>781</v>
      </c>
      <c r="F172" t="s">
        <v>18</v>
      </c>
      <c r="G172" t="s">
        <v>37</v>
      </c>
      <c r="H172" t="s">
        <v>782</v>
      </c>
      <c r="I172" t="s">
        <v>15</v>
      </c>
      <c r="J172" t="s">
        <v>21</v>
      </c>
      <c r="K172" t="s">
        <v>22</v>
      </c>
      <c r="L172">
        <f>BDP($H172,"BICS_LEVEL_1_SECTOR_NAME")</f>
        <v/>
      </c>
      <c r="M172">
        <f>BDP($H172,"BICS_LEVEL_3_INDUSTRY_NAME")</f>
        <v/>
      </c>
    </row>
    <row r="173" spans="1:13">
      <c r="A173" t="s">
        <v>783</v>
      </c>
      <c r="B173" t="s">
        <v>14</v>
      </c>
      <c r="C173" t="s">
        <v>15</v>
      </c>
      <c r="D173" t="s">
        <v>784</v>
      </c>
      <c r="E173" t="s">
        <v>785</v>
      </c>
      <c r="F173" t="s">
        <v>18</v>
      </c>
      <c r="G173" t="s">
        <v>786</v>
      </c>
      <c r="H173" t="s">
        <v>787</v>
      </c>
      <c r="I173" t="s">
        <v>15</v>
      </c>
      <c r="J173" t="s">
        <v>21</v>
      </c>
      <c r="K173" t="s">
        <v>22</v>
      </c>
      <c r="L173">
        <f>BDP($H173,"BICS_LEVEL_1_SECTOR_NAME")</f>
        <v/>
      </c>
      <c r="M173">
        <f>BDP($H173,"BICS_LEVEL_3_INDUSTRY_NAME")</f>
        <v/>
      </c>
    </row>
    <row r="174" spans="1:13">
      <c r="A174" t="s">
        <v>788</v>
      </c>
      <c r="B174" t="s">
        <v>14</v>
      </c>
      <c r="C174" t="s">
        <v>15</v>
      </c>
      <c r="D174" t="s">
        <v>789</v>
      </c>
      <c r="E174" t="s">
        <v>790</v>
      </c>
      <c r="F174" t="s">
        <v>42</v>
      </c>
      <c r="G174" t="s">
        <v>791</v>
      </c>
      <c r="H174" t="s">
        <v>792</v>
      </c>
      <c r="I174" t="s">
        <v>15</v>
      </c>
      <c r="J174" t="s">
        <v>21</v>
      </c>
      <c r="K174" t="s">
        <v>22</v>
      </c>
      <c r="L174">
        <f>BDP($H174,"BICS_LEVEL_1_SECTOR_NAME")</f>
        <v/>
      </c>
      <c r="M174">
        <f>BDP($H174,"BICS_LEVEL_3_INDUSTRY_NAME")</f>
        <v/>
      </c>
    </row>
    <row r="175" spans="1:13">
      <c r="A175" t="s">
        <v>793</v>
      </c>
      <c r="B175" t="s">
        <v>14</v>
      </c>
      <c r="C175" t="s">
        <v>15</v>
      </c>
      <c r="D175" t="s">
        <v>794</v>
      </c>
      <c r="E175" t="s">
        <v>795</v>
      </c>
      <c r="F175" t="s">
        <v>77</v>
      </c>
      <c r="G175" t="s">
        <v>542</v>
      </c>
      <c r="H175" t="s">
        <v>796</v>
      </c>
      <c r="I175" t="s">
        <v>15</v>
      </c>
      <c r="J175" t="s">
        <v>21</v>
      </c>
      <c r="K175" t="s">
        <v>22</v>
      </c>
      <c r="L175">
        <f>BDP($H175,"BICS_LEVEL_1_SECTOR_NAME")</f>
        <v/>
      </c>
      <c r="M175">
        <f>BDP($H175,"BICS_LEVEL_3_INDUSTRY_NAME")</f>
        <v/>
      </c>
    </row>
    <row r="176" spans="1:13">
      <c r="A176" t="s">
        <v>797</v>
      </c>
      <c r="B176" t="s">
        <v>14</v>
      </c>
      <c r="C176" t="s">
        <v>15</v>
      </c>
      <c r="D176" t="s">
        <v>798</v>
      </c>
      <c r="E176" t="s">
        <v>799</v>
      </c>
      <c r="F176" t="s">
        <v>18</v>
      </c>
      <c r="G176" t="s">
        <v>32</v>
      </c>
      <c r="H176" t="s">
        <v>800</v>
      </c>
      <c r="I176" t="s">
        <v>15</v>
      </c>
      <c r="J176" t="s">
        <v>21</v>
      </c>
      <c r="K176" t="s">
        <v>22</v>
      </c>
      <c r="L176">
        <f>BDP($H176,"BICS_LEVEL_1_SECTOR_NAME")</f>
        <v/>
      </c>
      <c r="M176">
        <f>BDP($H176,"BICS_LEVEL_3_INDUSTRY_NAME")</f>
        <v/>
      </c>
    </row>
    <row r="177" spans="1:13">
      <c r="A177" t="s">
        <v>801</v>
      </c>
      <c r="B177" t="s">
        <v>14</v>
      </c>
      <c r="C177" t="s">
        <v>15</v>
      </c>
      <c r="D177" t="s">
        <v>802</v>
      </c>
      <c r="E177" t="s">
        <v>803</v>
      </c>
      <c r="F177" t="s">
        <v>18</v>
      </c>
      <c r="G177" t="s">
        <v>53</v>
      </c>
      <c r="H177" t="s">
        <v>804</v>
      </c>
      <c r="I177" t="s">
        <v>15</v>
      </c>
      <c r="J177" t="s">
        <v>21</v>
      </c>
      <c r="K177" t="s">
        <v>22</v>
      </c>
      <c r="L177">
        <f>BDP($H177,"BICS_LEVEL_1_SECTOR_NAME")</f>
        <v/>
      </c>
      <c r="M177">
        <f>BDP($H177,"BICS_LEVEL_3_INDUSTRY_NAME")</f>
        <v/>
      </c>
    </row>
    <row r="178" spans="1:13">
      <c r="A178" t="s">
        <v>805</v>
      </c>
      <c r="B178" t="s">
        <v>14</v>
      </c>
      <c r="C178" t="s">
        <v>15</v>
      </c>
      <c r="D178" t="s">
        <v>806</v>
      </c>
      <c r="E178" t="s">
        <v>807</v>
      </c>
      <c r="F178" t="s">
        <v>18</v>
      </c>
      <c r="G178" t="s">
        <v>32</v>
      </c>
      <c r="H178" t="s">
        <v>808</v>
      </c>
      <c r="I178" t="s">
        <v>15</v>
      </c>
      <c r="J178" t="s">
        <v>21</v>
      </c>
      <c r="K178" t="s">
        <v>22</v>
      </c>
      <c r="L178">
        <f>BDP($H178,"BICS_LEVEL_1_SECTOR_NAME")</f>
        <v/>
      </c>
      <c r="M178">
        <f>BDP($H178,"BICS_LEVEL_3_INDUSTRY_NAME")</f>
        <v/>
      </c>
    </row>
    <row r="179" spans="1:13">
      <c r="A179" t="s">
        <v>809</v>
      </c>
      <c r="B179" t="s">
        <v>14</v>
      </c>
      <c r="C179" t="s">
        <v>15</v>
      </c>
      <c r="D179" t="s">
        <v>810</v>
      </c>
      <c r="E179" t="s">
        <v>811</v>
      </c>
      <c r="F179" t="s">
        <v>42</v>
      </c>
      <c r="G179" t="s">
        <v>812</v>
      </c>
      <c r="H179" t="s">
        <v>813</v>
      </c>
      <c r="I179" t="s">
        <v>15</v>
      </c>
      <c r="J179" t="s">
        <v>21</v>
      </c>
      <c r="K179" t="s">
        <v>22</v>
      </c>
      <c r="L179">
        <f>BDP($H179,"BICS_LEVEL_1_SECTOR_NAME")</f>
        <v/>
      </c>
      <c r="M179">
        <f>BDP($H179,"BICS_LEVEL_3_INDUSTRY_NAME")</f>
        <v/>
      </c>
    </row>
    <row r="180" spans="1:13">
      <c r="A180" t="s">
        <v>814</v>
      </c>
      <c r="B180" t="s">
        <v>14</v>
      </c>
      <c r="C180" t="s">
        <v>15</v>
      </c>
      <c r="D180" t="s">
        <v>815</v>
      </c>
      <c r="E180" t="s">
        <v>816</v>
      </c>
      <c r="F180" t="s">
        <v>42</v>
      </c>
      <c r="G180" t="s">
        <v>394</v>
      </c>
      <c r="H180" t="s">
        <v>817</v>
      </c>
      <c r="I180" t="s">
        <v>15</v>
      </c>
      <c r="J180" t="s">
        <v>21</v>
      </c>
      <c r="K180" t="s">
        <v>22</v>
      </c>
      <c r="L180">
        <f>BDP($H180,"BICS_LEVEL_1_SECTOR_NAME")</f>
        <v/>
      </c>
      <c r="M180">
        <f>BDP($H180,"BICS_LEVEL_3_INDUSTRY_NAME")</f>
        <v/>
      </c>
    </row>
    <row r="181" spans="1:13">
      <c r="A181" t="s">
        <v>818</v>
      </c>
      <c r="B181" t="s">
        <v>14</v>
      </c>
      <c r="C181" t="s">
        <v>15</v>
      </c>
      <c r="D181" t="s">
        <v>819</v>
      </c>
      <c r="E181" t="s">
        <v>820</v>
      </c>
      <c r="F181" t="s">
        <v>97</v>
      </c>
      <c r="G181" t="s">
        <v>190</v>
      </c>
      <c r="H181" t="s">
        <v>821</v>
      </c>
      <c r="I181" t="s">
        <v>15</v>
      </c>
      <c r="J181" t="s">
        <v>21</v>
      </c>
      <c r="K181" t="s">
        <v>22</v>
      </c>
      <c r="L181">
        <f>BDP($H181,"BICS_LEVEL_1_SECTOR_NAME")</f>
        <v/>
      </c>
      <c r="M181">
        <f>BDP($H181,"BICS_LEVEL_3_INDUSTRY_NAME")</f>
        <v/>
      </c>
    </row>
    <row r="182" spans="1:13">
      <c r="A182" t="s">
        <v>822</v>
      </c>
      <c r="B182" t="s">
        <v>14</v>
      </c>
      <c r="C182" t="s">
        <v>15</v>
      </c>
      <c r="D182" t="s">
        <v>823</v>
      </c>
      <c r="E182" t="s">
        <v>824</v>
      </c>
      <c r="F182" t="s">
        <v>18</v>
      </c>
      <c r="G182" t="s">
        <v>53</v>
      </c>
      <c r="H182" t="s">
        <v>825</v>
      </c>
      <c r="I182" t="s">
        <v>15</v>
      </c>
      <c r="J182" t="s">
        <v>21</v>
      </c>
      <c r="K182" t="s">
        <v>22</v>
      </c>
      <c r="L182">
        <f>BDP($H182,"BICS_LEVEL_1_SECTOR_NAME")</f>
        <v/>
      </c>
      <c r="M182">
        <f>BDP($H182,"BICS_LEVEL_3_INDUSTRY_NAME")</f>
        <v/>
      </c>
    </row>
    <row r="183" spans="1:13">
      <c r="A183" t="s">
        <v>826</v>
      </c>
      <c r="B183" t="s">
        <v>14</v>
      </c>
      <c r="C183" t="s">
        <v>15</v>
      </c>
      <c r="D183" t="s">
        <v>827</v>
      </c>
      <c r="E183" t="s">
        <v>828</v>
      </c>
      <c r="F183" t="s">
        <v>42</v>
      </c>
      <c r="G183" t="s">
        <v>118</v>
      </c>
      <c r="H183" t="s">
        <v>829</v>
      </c>
      <c r="I183" t="s">
        <v>15</v>
      </c>
      <c r="J183" t="s">
        <v>21</v>
      </c>
      <c r="K183" t="s">
        <v>22</v>
      </c>
      <c r="L183">
        <f>BDP($H183,"BICS_LEVEL_1_SECTOR_NAME")</f>
        <v/>
      </c>
      <c r="M183">
        <f>BDP($H183,"BICS_LEVEL_3_INDUSTRY_NAME")</f>
        <v/>
      </c>
    </row>
    <row r="184" spans="1:13">
      <c r="A184" t="s">
        <v>830</v>
      </c>
      <c r="B184" t="s">
        <v>14</v>
      </c>
      <c r="C184" t="s">
        <v>15</v>
      </c>
      <c r="D184" t="s">
        <v>831</v>
      </c>
      <c r="E184" t="s">
        <v>832</v>
      </c>
      <c r="F184" t="s">
        <v>26</v>
      </c>
      <c r="G184" t="s">
        <v>27</v>
      </c>
      <c r="H184" t="s">
        <v>833</v>
      </c>
      <c r="I184" t="s">
        <v>15</v>
      </c>
      <c r="J184" t="s">
        <v>21</v>
      </c>
      <c r="K184" t="s">
        <v>22</v>
      </c>
      <c r="L184">
        <f>BDP($H184,"BICS_LEVEL_1_SECTOR_NAME")</f>
        <v/>
      </c>
      <c r="M184">
        <f>BDP($H184,"BICS_LEVEL_3_INDUSTRY_NAME")</f>
        <v/>
      </c>
    </row>
    <row r="185" spans="1:13">
      <c r="A185" t="s">
        <v>834</v>
      </c>
      <c r="B185" t="s">
        <v>14</v>
      </c>
      <c r="C185" t="s">
        <v>15</v>
      </c>
      <c r="D185" t="s">
        <v>835</v>
      </c>
      <c r="E185" t="s">
        <v>836</v>
      </c>
      <c r="F185" t="s">
        <v>42</v>
      </c>
      <c r="G185" t="s">
        <v>399</v>
      </c>
      <c r="H185" t="s">
        <v>837</v>
      </c>
      <c r="I185" t="s">
        <v>15</v>
      </c>
      <c r="J185" t="s">
        <v>21</v>
      </c>
      <c r="K185" t="s">
        <v>22</v>
      </c>
      <c r="L185">
        <f>BDP($H185,"BICS_LEVEL_1_SECTOR_NAME")</f>
        <v/>
      </c>
      <c r="M185">
        <f>BDP($H185,"BICS_LEVEL_3_INDUSTRY_NAME")</f>
        <v/>
      </c>
    </row>
    <row r="186" spans="1:13">
      <c r="A186" t="s">
        <v>838</v>
      </c>
      <c r="B186" t="s">
        <v>14</v>
      </c>
      <c r="C186" t="s">
        <v>15</v>
      </c>
      <c r="D186" t="s">
        <v>839</v>
      </c>
      <c r="E186" t="s">
        <v>840</v>
      </c>
      <c r="F186" t="s">
        <v>18</v>
      </c>
      <c r="G186" t="s">
        <v>53</v>
      </c>
      <c r="H186" t="s">
        <v>841</v>
      </c>
      <c r="I186" t="s">
        <v>15</v>
      </c>
      <c r="J186" t="s">
        <v>21</v>
      </c>
      <c r="K186" t="s">
        <v>22</v>
      </c>
      <c r="L186">
        <f>BDP($H186,"BICS_LEVEL_1_SECTOR_NAME")</f>
        <v/>
      </c>
      <c r="M186">
        <f>BDP($H186,"BICS_LEVEL_3_INDUSTRY_NAME")</f>
        <v/>
      </c>
    </row>
    <row r="187" spans="1:13">
      <c r="A187" t="s">
        <v>842</v>
      </c>
      <c r="B187" t="s">
        <v>14</v>
      </c>
      <c r="C187" t="s">
        <v>15</v>
      </c>
      <c r="D187" t="s">
        <v>843</v>
      </c>
      <c r="E187" t="s">
        <v>844</v>
      </c>
      <c r="F187" t="s">
        <v>293</v>
      </c>
      <c r="G187" t="s">
        <v>423</v>
      </c>
      <c r="H187" t="s">
        <v>845</v>
      </c>
      <c r="I187" t="s">
        <v>15</v>
      </c>
      <c r="J187" t="s">
        <v>21</v>
      </c>
      <c r="K187" t="s">
        <v>22</v>
      </c>
      <c r="L187">
        <f>BDP($H187,"BICS_LEVEL_1_SECTOR_NAME")</f>
        <v/>
      </c>
      <c r="M187">
        <f>BDP($H187,"BICS_LEVEL_3_INDUSTRY_NAME")</f>
        <v/>
      </c>
    </row>
    <row r="188" spans="1:13">
      <c r="A188" t="s">
        <v>846</v>
      </c>
      <c r="B188" t="s">
        <v>14</v>
      </c>
      <c r="C188" t="s">
        <v>15</v>
      </c>
      <c r="D188" t="s">
        <v>847</v>
      </c>
      <c r="E188" t="s">
        <v>848</v>
      </c>
      <c r="F188" t="s">
        <v>42</v>
      </c>
      <c r="G188" t="s">
        <v>284</v>
      </c>
      <c r="H188" t="s">
        <v>849</v>
      </c>
      <c r="I188" t="s">
        <v>15</v>
      </c>
      <c r="J188" t="s">
        <v>21</v>
      </c>
      <c r="K188" t="s">
        <v>22</v>
      </c>
      <c r="L188">
        <f>BDP($H188,"BICS_LEVEL_1_SECTOR_NAME")</f>
        <v/>
      </c>
      <c r="M188">
        <f>BDP($H188,"BICS_LEVEL_3_INDUSTRY_NAME")</f>
        <v/>
      </c>
    </row>
    <row r="189" spans="1:13">
      <c r="A189" t="s">
        <v>850</v>
      </c>
      <c r="B189" t="s">
        <v>14</v>
      </c>
      <c r="C189" t="s">
        <v>15</v>
      </c>
      <c r="D189" t="s">
        <v>851</v>
      </c>
      <c r="E189" t="s">
        <v>852</v>
      </c>
      <c r="F189" t="s">
        <v>42</v>
      </c>
      <c r="G189" t="s">
        <v>131</v>
      </c>
      <c r="H189" t="s">
        <v>853</v>
      </c>
      <c r="I189" t="s">
        <v>15</v>
      </c>
      <c r="J189" t="s">
        <v>21</v>
      </c>
      <c r="K189" t="s">
        <v>22</v>
      </c>
      <c r="L189">
        <f>BDP($H189,"BICS_LEVEL_1_SECTOR_NAME")</f>
        <v/>
      </c>
      <c r="M189">
        <f>BDP($H189,"BICS_LEVEL_3_INDUSTRY_NAME")</f>
        <v/>
      </c>
    </row>
    <row r="190" spans="1:13">
      <c r="A190" t="s">
        <v>854</v>
      </c>
      <c r="B190" t="s">
        <v>14</v>
      </c>
      <c r="C190" t="s">
        <v>15</v>
      </c>
      <c r="D190" t="s">
        <v>855</v>
      </c>
      <c r="E190" t="s">
        <v>856</v>
      </c>
      <c r="F190" t="s">
        <v>42</v>
      </c>
      <c r="G190" t="s">
        <v>857</v>
      </c>
      <c r="H190" t="s">
        <v>858</v>
      </c>
      <c r="I190" t="s">
        <v>15</v>
      </c>
      <c r="J190" t="s">
        <v>21</v>
      </c>
      <c r="K190" t="s">
        <v>22</v>
      </c>
      <c r="L190">
        <f>BDP($H190,"BICS_LEVEL_1_SECTOR_NAME")</f>
        <v/>
      </c>
      <c r="M190">
        <f>BDP($H190,"BICS_LEVEL_3_INDUSTRY_NAME")</f>
        <v/>
      </c>
    </row>
    <row r="191" spans="1:13">
      <c r="A191" t="s">
        <v>859</v>
      </c>
      <c r="B191" t="s">
        <v>14</v>
      </c>
      <c r="C191" t="s">
        <v>15</v>
      </c>
      <c r="D191" t="s">
        <v>860</v>
      </c>
      <c r="E191" t="s">
        <v>861</v>
      </c>
      <c r="F191" t="s">
        <v>42</v>
      </c>
      <c r="G191" t="s">
        <v>862</v>
      </c>
      <c r="H191" t="s">
        <v>863</v>
      </c>
      <c r="I191" t="s">
        <v>15</v>
      </c>
      <c r="J191" t="s">
        <v>21</v>
      </c>
      <c r="K191" t="s">
        <v>22</v>
      </c>
      <c r="L191">
        <f>BDP($H191,"BICS_LEVEL_1_SECTOR_NAME")</f>
        <v/>
      </c>
      <c r="M191">
        <f>BDP($H191,"BICS_LEVEL_3_INDUSTRY_NAME")</f>
        <v/>
      </c>
    </row>
    <row r="192" spans="1:13">
      <c r="A192" t="s">
        <v>864</v>
      </c>
      <c r="B192" t="s">
        <v>14</v>
      </c>
      <c r="C192" t="s">
        <v>15</v>
      </c>
      <c r="D192" t="s">
        <v>865</v>
      </c>
      <c r="E192" t="s">
        <v>866</v>
      </c>
      <c r="F192" t="s">
        <v>293</v>
      </c>
      <c r="G192" t="s">
        <v>365</v>
      </c>
      <c r="H192" t="s">
        <v>867</v>
      </c>
      <c r="I192" t="s">
        <v>15</v>
      </c>
      <c r="J192" t="s">
        <v>21</v>
      </c>
      <c r="K192" t="s">
        <v>22</v>
      </c>
      <c r="L192">
        <f>BDP($H192,"BICS_LEVEL_1_SECTOR_NAME")</f>
        <v/>
      </c>
      <c r="M192">
        <f>BDP($H192,"BICS_LEVEL_3_INDUSTRY_NAME")</f>
        <v/>
      </c>
    </row>
    <row r="193" spans="1:13">
      <c r="A193" t="s">
        <v>868</v>
      </c>
      <c r="B193" t="s">
        <v>14</v>
      </c>
      <c r="C193" t="s">
        <v>15</v>
      </c>
      <c r="D193" t="s">
        <v>869</v>
      </c>
      <c r="E193" t="s">
        <v>870</v>
      </c>
      <c r="F193" t="s">
        <v>108</v>
      </c>
      <c r="G193" t="s">
        <v>871</v>
      </c>
      <c r="H193" t="s">
        <v>872</v>
      </c>
      <c r="I193" t="s">
        <v>15</v>
      </c>
      <c r="J193" t="s">
        <v>21</v>
      </c>
      <c r="K193" t="s">
        <v>22</v>
      </c>
      <c r="L193">
        <f>BDP($H193,"BICS_LEVEL_1_SECTOR_NAME")</f>
        <v/>
      </c>
      <c r="M193">
        <f>BDP($H193,"BICS_LEVEL_3_INDUSTRY_NAME")</f>
        <v/>
      </c>
    </row>
    <row r="194" spans="1:13">
      <c r="A194" t="s">
        <v>873</v>
      </c>
      <c r="B194" t="s">
        <v>14</v>
      </c>
      <c r="C194" t="s">
        <v>15</v>
      </c>
      <c r="D194" t="s">
        <v>874</v>
      </c>
      <c r="E194" t="s">
        <v>875</v>
      </c>
      <c r="F194" t="s">
        <v>42</v>
      </c>
      <c r="G194" t="s">
        <v>876</v>
      </c>
      <c r="H194" t="s">
        <v>877</v>
      </c>
      <c r="I194" t="s">
        <v>15</v>
      </c>
      <c r="J194" t="s">
        <v>21</v>
      </c>
      <c r="K194" t="s">
        <v>22</v>
      </c>
      <c r="L194">
        <f>BDP($H194,"BICS_LEVEL_1_SECTOR_NAME")</f>
        <v/>
      </c>
      <c r="M194">
        <f>BDP($H194,"BICS_LEVEL_3_INDUSTRY_NAME")</f>
        <v/>
      </c>
    </row>
    <row r="195" spans="1:13">
      <c r="A195" t="s">
        <v>878</v>
      </c>
      <c r="B195" t="s">
        <v>14</v>
      </c>
      <c r="C195" t="s">
        <v>15</v>
      </c>
      <c r="D195" t="s">
        <v>879</v>
      </c>
      <c r="E195" t="s">
        <v>880</v>
      </c>
      <c r="F195" t="s">
        <v>18</v>
      </c>
      <c r="G195" t="s">
        <v>53</v>
      </c>
      <c r="H195" t="s">
        <v>881</v>
      </c>
      <c r="I195" t="s">
        <v>15</v>
      </c>
      <c r="J195" t="s">
        <v>21</v>
      </c>
      <c r="K195" t="s">
        <v>22</v>
      </c>
      <c r="L195">
        <f>BDP($H195,"BICS_LEVEL_1_SECTOR_NAME")</f>
        <v/>
      </c>
      <c r="M195">
        <f>BDP($H195,"BICS_LEVEL_3_INDUSTRY_NAME")</f>
        <v/>
      </c>
    </row>
    <row r="196" spans="1:13">
      <c r="A196" t="s">
        <v>882</v>
      </c>
      <c r="B196" t="s">
        <v>14</v>
      </c>
      <c r="C196" t="s">
        <v>15</v>
      </c>
      <c r="D196" t="s">
        <v>883</v>
      </c>
      <c r="E196" t="s">
        <v>884</v>
      </c>
      <c r="F196" t="s">
        <v>18</v>
      </c>
      <c r="G196" t="s">
        <v>19</v>
      </c>
      <c r="H196" t="s">
        <v>885</v>
      </c>
      <c r="I196" t="s">
        <v>15</v>
      </c>
      <c r="J196" t="s">
        <v>21</v>
      </c>
      <c r="K196" t="s">
        <v>22</v>
      </c>
      <c r="L196">
        <f>BDP($H196,"BICS_LEVEL_1_SECTOR_NAME")</f>
        <v/>
      </c>
      <c r="M196">
        <f>BDP($H196,"BICS_LEVEL_3_INDUSTRY_NAME")</f>
        <v/>
      </c>
    </row>
    <row r="197" spans="1:13">
      <c r="A197" t="s">
        <v>886</v>
      </c>
      <c r="B197" t="s">
        <v>14</v>
      </c>
      <c r="C197" t="s">
        <v>15</v>
      </c>
      <c r="D197" t="s">
        <v>887</v>
      </c>
      <c r="E197" t="s">
        <v>888</v>
      </c>
      <c r="F197" t="s">
        <v>77</v>
      </c>
      <c r="G197" t="s">
        <v>423</v>
      </c>
      <c r="H197" t="s">
        <v>889</v>
      </c>
      <c r="I197" t="s">
        <v>15</v>
      </c>
      <c r="J197" t="s">
        <v>21</v>
      </c>
      <c r="K197" t="s">
        <v>22</v>
      </c>
      <c r="L197">
        <f>BDP($H197,"BICS_LEVEL_1_SECTOR_NAME")</f>
        <v/>
      </c>
      <c r="M197">
        <f>BDP($H197,"BICS_LEVEL_3_INDUSTRY_NAME")</f>
        <v/>
      </c>
    </row>
    <row r="198" spans="1:13">
      <c r="A198" t="s">
        <v>890</v>
      </c>
      <c r="B198" t="s">
        <v>14</v>
      </c>
      <c r="C198" t="s">
        <v>15</v>
      </c>
      <c r="D198" t="s">
        <v>891</v>
      </c>
      <c r="E198" t="s">
        <v>892</v>
      </c>
      <c r="F198" t="s">
        <v>97</v>
      </c>
      <c r="G198" t="s">
        <v>109</v>
      </c>
      <c r="H198" t="s">
        <v>893</v>
      </c>
      <c r="I198" t="s">
        <v>15</v>
      </c>
      <c r="J198" t="s">
        <v>21</v>
      </c>
      <c r="K198" t="s">
        <v>22</v>
      </c>
      <c r="L198">
        <f>BDP($H198,"BICS_LEVEL_1_SECTOR_NAME")</f>
        <v/>
      </c>
      <c r="M198">
        <f>BDP($H198,"BICS_LEVEL_3_INDUSTRY_NAME")</f>
        <v/>
      </c>
    </row>
    <row r="199" spans="1:13">
      <c r="A199" t="s">
        <v>894</v>
      </c>
      <c r="B199" t="s">
        <v>14</v>
      </c>
      <c r="C199" t="s">
        <v>15</v>
      </c>
      <c r="D199" t="s">
        <v>895</v>
      </c>
      <c r="E199" t="s">
        <v>896</v>
      </c>
      <c r="F199" t="s">
        <v>18</v>
      </c>
      <c r="G199" t="s">
        <v>19</v>
      </c>
      <c r="H199" t="s">
        <v>897</v>
      </c>
      <c r="I199" t="s">
        <v>15</v>
      </c>
      <c r="J199" t="s">
        <v>21</v>
      </c>
      <c r="K199" t="s">
        <v>22</v>
      </c>
      <c r="L199">
        <f>BDP($H199,"BICS_LEVEL_1_SECTOR_NAME")</f>
        <v/>
      </c>
      <c r="M199">
        <f>BDP($H199,"BICS_LEVEL_3_INDUSTRY_NAME")</f>
        <v/>
      </c>
    </row>
    <row r="200" spans="1:13">
      <c r="A200" t="s">
        <v>898</v>
      </c>
      <c r="B200" t="s">
        <v>14</v>
      </c>
      <c r="C200" t="s">
        <v>15</v>
      </c>
      <c r="D200" t="s">
        <v>899</v>
      </c>
      <c r="E200" t="s">
        <v>900</v>
      </c>
      <c r="F200" t="s">
        <v>97</v>
      </c>
      <c r="G200" t="s">
        <v>167</v>
      </c>
      <c r="H200" t="s">
        <v>901</v>
      </c>
      <c r="I200" t="s">
        <v>15</v>
      </c>
      <c r="J200" t="s">
        <v>21</v>
      </c>
      <c r="K200" t="s">
        <v>22</v>
      </c>
      <c r="L200">
        <f>BDP($H200,"BICS_LEVEL_1_SECTOR_NAME")</f>
        <v/>
      </c>
      <c r="M200">
        <f>BDP($H200,"BICS_LEVEL_3_INDUSTRY_NAME")</f>
        <v/>
      </c>
    </row>
    <row r="201" spans="1:13">
      <c r="A201" t="s">
        <v>902</v>
      </c>
      <c r="B201" t="s">
        <v>14</v>
      </c>
      <c r="C201" t="s">
        <v>15</v>
      </c>
      <c r="D201" t="s">
        <v>903</v>
      </c>
      <c r="E201" t="s">
        <v>904</v>
      </c>
      <c r="F201" t="s">
        <v>97</v>
      </c>
      <c r="G201" t="s">
        <v>98</v>
      </c>
      <c r="H201" t="s">
        <v>905</v>
      </c>
      <c r="I201" t="s">
        <v>15</v>
      </c>
      <c r="J201" t="s">
        <v>21</v>
      </c>
      <c r="K201" t="s">
        <v>22</v>
      </c>
      <c r="L201">
        <f>BDP($H201,"BICS_LEVEL_1_SECTOR_NAME")</f>
        <v/>
      </c>
      <c r="M201">
        <f>BDP($H201,"BICS_LEVEL_3_INDUSTRY_NAME")</f>
        <v/>
      </c>
    </row>
    <row r="202" spans="1:13">
      <c r="A202" t="s">
        <v>906</v>
      </c>
      <c r="B202" t="s">
        <v>14</v>
      </c>
      <c r="C202" t="s">
        <v>15</v>
      </c>
      <c r="D202" t="s">
        <v>907</v>
      </c>
      <c r="E202" t="s">
        <v>908</v>
      </c>
      <c r="F202" t="s">
        <v>77</v>
      </c>
      <c r="G202" t="s">
        <v>423</v>
      </c>
      <c r="H202" t="s">
        <v>909</v>
      </c>
      <c r="I202" t="s">
        <v>15</v>
      </c>
      <c r="J202" t="s">
        <v>21</v>
      </c>
      <c r="K202" t="s">
        <v>22</v>
      </c>
      <c r="L202">
        <f>BDP($H202,"BICS_LEVEL_1_SECTOR_NAME")</f>
        <v/>
      </c>
      <c r="M202">
        <f>BDP($H202,"BICS_LEVEL_3_INDUSTRY_NAME")</f>
        <v/>
      </c>
    </row>
    <row r="203" spans="1:13">
      <c r="A203" t="s">
        <v>910</v>
      </c>
      <c r="B203" t="s">
        <v>14</v>
      </c>
      <c r="C203" t="s">
        <v>15</v>
      </c>
      <c r="D203" t="s">
        <v>911</v>
      </c>
      <c r="E203" t="s">
        <v>912</v>
      </c>
      <c r="F203" t="s">
        <v>42</v>
      </c>
      <c r="G203" t="s">
        <v>777</v>
      </c>
      <c r="H203" t="s">
        <v>913</v>
      </c>
      <c r="I203" t="s">
        <v>15</v>
      </c>
      <c r="J203" t="s">
        <v>21</v>
      </c>
      <c r="K203" t="s">
        <v>22</v>
      </c>
      <c r="L203">
        <f>BDP($H203,"BICS_LEVEL_1_SECTOR_NAME")</f>
        <v/>
      </c>
      <c r="M203">
        <f>BDP($H203,"BICS_LEVEL_3_INDUSTRY_NAME")</f>
        <v/>
      </c>
    </row>
    <row r="204" spans="1:13">
      <c r="A204" t="s">
        <v>914</v>
      </c>
      <c r="B204" t="s">
        <v>14</v>
      </c>
      <c r="C204" t="s">
        <v>15</v>
      </c>
      <c r="D204" t="s">
        <v>915</v>
      </c>
      <c r="E204" t="s">
        <v>916</v>
      </c>
      <c r="F204" t="s">
        <v>18</v>
      </c>
      <c r="G204" t="s">
        <v>19</v>
      </c>
      <c r="H204" t="s">
        <v>917</v>
      </c>
      <c r="I204" t="s">
        <v>15</v>
      </c>
      <c r="J204" t="s">
        <v>21</v>
      </c>
      <c r="K204" t="s">
        <v>22</v>
      </c>
      <c r="L204">
        <f>BDP($H204,"BICS_LEVEL_1_SECTOR_NAME")</f>
        <v/>
      </c>
      <c r="M204">
        <f>BDP($H204,"BICS_LEVEL_3_INDUSTRY_NAME")</f>
        <v/>
      </c>
    </row>
    <row r="205" spans="1:13">
      <c r="A205" t="s">
        <v>918</v>
      </c>
      <c r="B205" t="s">
        <v>14</v>
      </c>
      <c r="C205" t="s">
        <v>15</v>
      </c>
      <c r="D205" t="s">
        <v>919</v>
      </c>
      <c r="E205" t="s">
        <v>920</v>
      </c>
      <c r="F205" t="s">
        <v>77</v>
      </c>
      <c r="G205" t="s">
        <v>423</v>
      </c>
      <c r="H205" t="s">
        <v>921</v>
      </c>
      <c r="I205" t="s">
        <v>15</v>
      </c>
      <c r="J205" t="s">
        <v>21</v>
      </c>
      <c r="K205" t="s">
        <v>22</v>
      </c>
      <c r="L205">
        <f>BDP($H205,"BICS_LEVEL_1_SECTOR_NAME")</f>
        <v/>
      </c>
      <c r="M205">
        <f>BDP($H205,"BICS_LEVEL_3_INDUSTRY_NAME")</f>
        <v/>
      </c>
    </row>
    <row r="206" spans="1:13">
      <c r="A206" t="s">
        <v>922</v>
      </c>
      <c r="B206" t="s">
        <v>14</v>
      </c>
      <c r="C206" t="s">
        <v>15</v>
      </c>
      <c r="D206" t="s">
        <v>923</v>
      </c>
      <c r="E206" t="s">
        <v>924</v>
      </c>
      <c r="F206" t="s">
        <v>18</v>
      </c>
      <c r="G206" t="s">
        <v>925</v>
      </c>
      <c r="H206" t="s">
        <v>926</v>
      </c>
      <c r="I206" t="s">
        <v>15</v>
      </c>
      <c r="J206" t="s">
        <v>21</v>
      </c>
      <c r="K206" t="s">
        <v>22</v>
      </c>
      <c r="L206">
        <f>BDP($H206,"BICS_LEVEL_1_SECTOR_NAME")</f>
        <v/>
      </c>
      <c r="M206">
        <f>BDP($H206,"BICS_LEVEL_3_INDUSTRY_NAME")</f>
        <v/>
      </c>
    </row>
    <row r="207" spans="1:13">
      <c r="A207" t="s">
        <v>927</v>
      </c>
      <c r="B207" t="s">
        <v>14</v>
      </c>
      <c r="C207" t="s">
        <v>15</v>
      </c>
      <c r="D207" t="s">
        <v>928</v>
      </c>
      <c r="E207" t="s">
        <v>929</v>
      </c>
      <c r="F207" t="s">
        <v>97</v>
      </c>
      <c r="G207" t="s">
        <v>190</v>
      </c>
      <c r="H207" t="s">
        <v>930</v>
      </c>
      <c r="I207" t="s">
        <v>15</v>
      </c>
      <c r="J207" t="s">
        <v>21</v>
      </c>
      <c r="K207" t="s">
        <v>22</v>
      </c>
      <c r="L207">
        <f>BDP($H207,"BICS_LEVEL_1_SECTOR_NAME")</f>
        <v/>
      </c>
      <c r="M207">
        <f>BDP($H207,"BICS_LEVEL_3_INDUSTRY_NAME")</f>
        <v/>
      </c>
    </row>
    <row r="208" spans="1:13">
      <c r="A208" t="s">
        <v>931</v>
      </c>
      <c r="B208" t="s">
        <v>14</v>
      </c>
      <c r="C208" t="s">
        <v>15</v>
      </c>
      <c r="D208" t="s">
        <v>932</v>
      </c>
      <c r="E208" t="s">
        <v>933</v>
      </c>
      <c r="F208" t="s">
        <v>18</v>
      </c>
      <c r="G208" t="s">
        <v>53</v>
      </c>
      <c r="H208" t="s">
        <v>934</v>
      </c>
      <c r="I208" t="s">
        <v>15</v>
      </c>
      <c r="J208" t="s">
        <v>21</v>
      </c>
      <c r="K208" t="s">
        <v>22</v>
      </c>
      <c r="L208">
        <f>BDP($H208,"BICS_LEVEL_1_SECTOR_NAME")</f>
        <v/>
      </c>
      <c r="M208">
        <f>BDP($H208,"BICS_LEVEL_3_INDUSTRY_NAME")</f>
        <v/>
      </c>
    </row>
    <row r="209" spans="1:13">
      <c r="A209" t="s">
        <v>935</v>
      </c>
      <c r="B209" t="s">
        <v>14</v>
      </c>
      <c r="C209" t="s">
        <v>15</v>
      </c>
      <c r="D209" t="s">
        <v>936</v>
      </c>
      <c r="E209" t="s">
        <v>937</v>
      </c>
      <c r="F209" t="s">
        <v>42</v>
      </c>
      <c r="G209" t="s">
        <v>131</v>
      </c>
      <c r="H209" t="s">
        <v>938</v>
      </c>
      <c r="I209" t="s">
        <v>15</v>
      </c>
      <c r="J209" t="s">
        <v>21</v>
      </c>
      <c r="K209" t="s">
        <v>22</v>
      </c>
      <c r="L209">
        <f>BDP($H209,"BICS_LEVEL_1_SECTOR_NAME")</f>
        <v/>
      </c>
      <c r="M209">
        <f>BDP($H209,"BICS_LEVEL_3_INDUSTRY_NAME")</f>
        <v/>
      </c>
    </row>
    <row r="210" spans="1:13">
      <c r="A210" t="s">
        <v>939</v>
      </c>
      <c r="B210" t="s">
        <v>14</v>
      </c>
      <c r="C210" t="s">
        <v>15</v>
      </c>
      <c r="D210" t="s">
        <v>940</v>
      </c>
      <c r="E210" t="s">
        <v>941</v>
      </c>
      <c r="F210" t="s">
        <v>97</v>
      </c>
      <c r="G210" t="s">
        <v>190</v>
      </c>
      <c r="H210" t="s">
        <v>942</v>
      </c>
      <c r="I210" t="s">
        <v>15</v>
      </c>
      <c r="J210" t="s">
        <v>21</v>
      </c>
      <c r="K210" t="s">
        <v>22</v>
      </c>
      <c r="L210">
        <f>BDP($H210,"BICS_LEVEL_1_SECTOR_NAME")</f>
        <v/>
      </c>
      <c r="M210">
        <f>BDP($H210,"BICS_LEVEL_3_INDUSTRY_NAME")</f>
        <v/>
      </c>
    </row>
    <row r="211" spans="1:13">
      <c r="A211" t="s">
        <v>943</v>
      </c>
      <c r="B211" t="s">
        <v>14</v>
      </c>
      <c r="C211" t="s">
        <v>15</v>
      </c>
      <c r="D211" t="s">
        <v>944</v>
      </c>
      <c r="E211" t="s">
        <v>945</v>
      </c>
      <c r="F211" t="s">
        <v>42</v>
      </c>
      <c r="G211" t="s">
        <v>48</v>
      </c>
      <c r="H211" t="s">
        <v>946</v>
      </c>
      <c r="I211" t="s">
        <v>15</v>
      </c>
      <c r="J211" t="s">
        <v>21</v>
      </c>
      <c r="K211" t="s">
        <v>22</v>
      </c>
      <c r="L211">
        <f>BDP($H211,"BICS_LEVEL_1_SECTOR_NAME")</f>
        <v/>
      </c>
      <c r="M211">
        <f>BDP($H211,"BICS_LEVEL_3_INDUSTRY_NAME")</f>
        <v/>
      </c>
    </row>
    <row r="212" spans="1:13">
      <c r="A212" t="s">
        <v>947</v>
      </c>
      <c r="B212" t="s">
        <v>14</v>
      </c>
      <c r="C212" t="s">
        <v>15</v>
      </c>
      <c r="D212" t="s">
        <v>948</v>
      </c>
      <c r="E212" t="s">
        <v>949</v>
      </c>
      <c r="F212" t="s">
        <v>108</v>
      </c>
      <c r="G212" t="s">
        <v>586</v>
      </c>
      <c r="H212" t="s">
        <v>950</v>
      </c>
      <c r="I212" t="s">
        <v>15</v>
      </c>
      <c r="J212" t="s">
        <v>21</v>
      </c>
      <c r="K212" t="s">
        <v>22</v>
      </c>
      <c r="L212">
        <f>BDP($H212,"BICS_LEVEL_1_SECTOR_NAME")</f>
        <v/>
      </c>
      <c r="M212">
        <f>BDP($H212,"BICS_LEVEL_3_INDUSTRY_NAME")</f>
        <v/>
      </c>
    </row>
    <row r="213" spans="1:13">
      <c r="A213" t="s">
        <v>951</v>
      </c>
      <c r="B213" t="s">
        <v>14</v>
      </c>
      <c r="C213" t="s">
        <v>15</v>
      </c>
      <c r="D213" t="s">
        <v>952</v>
      </c>
      <c r="E213" t="s">
        <v>953</v>
      </c>
      <c r="F213" t="s">
        <v>97</v>
      </c>
      <c r="G213" t="s">
        <v>954</v>
      </c>
      <c r="H213" t="s">
        <v>955</v>
      </c>
      <c r="I213" t="s">
        <v>15</v>
      </c>
      <c r="J213" t="s">
        <v>21</v>
      </c>
      <c r="K213" t="s">
        <v>22</v>
      </c>
      <c r="L213">
        <f>BDP($H213,"BICS_LEVEL_1_SECTOR_NAME")</f>
        <v/>
      </c>
      <c r="M213">
        <f>BDP($H213,"BICS_LEVEL_3_INDUSTRY_NAME")</f>
        <v/>
      </c>
    </row>
    <row r="214" spans="1:13">
      <c r="A214" t="s">
        <v>956</v>
      </c>
      <c r="B214" t="s">
        <v>14</v>
      </c>
      <c r="C214" t="s">
        <v>15</v>
      </c>
      <c r="D214" t="s">
        <v>957</v>
      </c>
      <c r="E214" t="s">
        <v>958</v>
      </c>
      <c r="F214" t="s">
        <v>77</v>
      </c>
      <c r="G214" t="s">
        <v>423</v>
      </c>
      <c r="H214" t="s">
        <v>959</v>
      </c>
      <c r="I214" t="s">
        <v>15</v>
      </c>
      <c r="J214" t="s">
        <v>21</v>
      </c>
      <c r="K214" t="s">
        <v>22</v>
      </c>
      <c r="L214">
        <f>BDP($H214,"BICS_LEVEL_1_SECTOR_NAME")</f>
        <v/>
      </c>
      <c r="M214">
        <f>BDP($H214,"BICS_LEVEL_3_INDUSTRY_NAME")</f>
        <v/>
      </c>
    </row>
    <row r="215" spans="1:13">
      <c r="A215" t="s">
        <v>960</v>
      </c>
      <c r="B215" t="s">
        <v>14</v>
      </c>
      <c r="C215" t="s">
        <v>15</v>
      </c>
      <c r="D215" t="s">
        <v>961</v>
      </c>
      <c r="E215" t="s">
        <v>962</v>
      </c>
      <c r="F215" t="s">
        <v>97</v>
      </c>
      <c r="G215" t="s">
        <v>167</v>
      </c>
      <c r="H215" t="s">
        <v>963</v>
      </c>
      <c r="I215" t="s">
        <v>15</v>
      </c>
      <c r="J215" t="s">
        <v>21</v>
      </c>
      <c r="K215" t="s">
        <v>22</v>
      </c>
      <c r="L215">
        <f>BDP($H215,"BICS_LEVEL_1_SECTOR_NAME")</f>
        <v/>
      </c>
      <c r="M215">
        <f>BDP($H215,"BICS_LEVEL_3_INDUSTRY_NAME")</f>
        <v/>
      </c>
    </row>
    <row r="216" spans="1:13">
      <c r="A216" t="s">
        <v>964</v>
      </c>
      <c r="B216" t="s">
        <v>14</v>
      </c>
      <c r="C216" t="s">
        <v>15</v>
      </c>
      <c r="D216" t="s">
        <v>965</v>
      </c>
      <c r="E216" t="s">
        <v>966</v>
      </c>
      <c r="F216" t="s">
        <v>18</v>
      </c>
      <c r="G216" t="s">
        <v>53</v>
      </c>
      <c r="H216" t="s">
        <v>967</v>
      </c>
      <c r="I216" t="s">
        <v>15</v>
      </c>
      <c r="J216" t="s">
        <v>21</v>
      </c>
      <c r="K216" t="s">
        <v>22</v>
      </c>
      <c r="L216">
        <f>BDP($H216,"BICS_LEVEL_1_SECTOR_NAME")</f>
        <v/>
      </c>
      <c r="M216">
        <f>BDP($H216,"BICS_LEVEL_3_INDUSTRY_NAME")</f>
        <v/>
      </c>
    </row>
    <row r="217" spans="1:13">
      <c r="A217" t="s">
        <v>968</v>
      </c>
      <c r="B217" t="s">
        <v>14</v>
      </c>
      <c r="C217" t="s">
        <v>15</v>
      </c>
      <c r="D217" t="s">
        <v>969</v>
      </c>
      <c r="E217" t="s">
        <v>970</v>
      </c>
      <c r="F217" t="s">
        <v>18</v>
      </c>
      <c r="G217" t="s">
        <v>53</v>
      </c>
      <c r="H217" t="s">
        <v>971</v>
      </c>
      <c r="I217" t="s">
        <v>15</v>
      </c>
      <c r="J217" t="s">
        <v>21</v>
      </c>
      <c r="K217" t="s">
        <v>22</v>
      </c>
      <c r="L217">
        <f>BDP($H217,"BICS_LEVEL_1_SECTOR_NAME")</f>
        <v/>
      </c>
      <c r="M217">
        <f>BDP($H217,"BICS_LEVEL_3_INDUSTRY_NAME")</f>
        <v/>
      </c>
    </row>
    <row r="218" spans="1:13">
      <c r="A218" t="s">
        <v>972</v>
      </c>
      <c r="B218" t="s">
        <v>14</v>
      </c>
      <c r="C218" t="s">
        <v>15</v>
      </c>
      <c r="D218" t="s">
        <v>973</v>
      </c>
      <c r="E218" t="s">
        <v>974</v>
      </c>
      <c r="F218" t="s">
        <v>97</v>
      </c>
      <c r="G218" t="s">
        <v>190</v>
      </c>
      <c r="H218" t="s">
        <v>975</v>
      </c>
      <c r="I218" t="s">
        <v>15</v>
      </c>
      <c r="J218" t="s">
        <v>21</v>
      </c>
      <c r="K218" t="s">
        <v>22</v>
      </c>
      <c r="L218">
        <f>BDP($H218,"BICS_LEVEL_1_SECTOR_NAME")</f>
        <v/>
      </c>
      <c r="M218">
        <f>BDP($H218,"BICS_LEVEL_3_INDUSTRY_NAME")</f>
        <v/>
      </c>
    </row>
    <row r="219" spans="1:13">
      <c r="A219" t="s">
        <v>976</v>
      </c>
      <c r="B219" t="s">
        <v>14</v>
      </c>
      <c r="C219" t="s">
        <v>15</v>
      </c>
      <c r="D219" t="s">
        <v>977</v>
      </c>
      <c r="E219" t="s">
        <v>978</v>
      </c>
      <c r="F219" t="s">
        <v>42</v>
      </c>
      <c r="G219" t="s">
        <v>979</v>
      </c>
      <c r="H219" t="s">
        <v>980</v>
      </c>
      <c r="I219" t="s">
        <v>15</v>
      </c>
      <c r="J219" t="s">
        <v>21</v>
      </c>
      <c r="K219" t="s">
        <v>22</v>
      </c>
      <c r="L219">
        <f>BDP($H219,"BICS_LEVEL_1_SECTOR_NAME")</f>
        <v/>
      </c>
      <c r="M219">
        <f>BDP($H219,"BICS_LEVEL_3_INDUSTRY_NAME")</f>
        <v/>
      </c>
    </row>
    <row r="220" spans="1:13">
      <c r="A220" t="s">
        <v>981</v>
      </c>
      <c r="B220" t="s">
        <v>14</v>
      </c>
      <c r="C220" t="s">
        <v>15</v>
      </c>
      <c r="D220" t="s">
        <v>982</v>
      </c>
      <c r="E220" t="s">
        <v>983</v>
      </c>
      <c r="F220" t="s">
        <v>97</v>
      </c>
      <c r="G220" t="s">
        <v>190</v>
      </c>
      <c r="H220" t="s">
        <v>984</v>
      </c>
      <c r="I220" t="s">
        <v>15</v>
      </c>
      <c r="J220" t="s">
        <v>21</v>
      </c>
      <c r="K220" t="s">
        <v>22</v>
      </c>
      <c r="L220">
        <f>BDP($H220,"BICS_LEVEL_1_SECTOR_NAME")</f>
        <v/>
      </c>
      <c r="M220">
        <f>BDP($H220,"BICS_LEVEL_3_INDUSTRY_NAME")</f>
        <v/>
      </c>
    </row>
    <row r="221" spans="1:13">
      <c r="A221" t="s">
        <v>985</v>
      </c>
      <c r="B221" t="s">
        <v>14</v>
      </c>
      <c r="C221" t="s">
        <v>15</v>
      </c>
      <c r="D221" t="s">
        <v>986</v>
      </c>
      <c r="E221" t="s">
        <v>987</v>
      </c>
      <c r="F221" t="s">
        <v>97</v>
      </c>
      <c r="G221" t="s">
        <v>253</v>
      </c>
      <c r="H221" t="s">
        <v>988</v>
      </c>
      <c r="I221" t="s">
        <v>15</v>
      </c>
      <c r="J221" t="s">
        <v>21</v>
      </c>
      <c r="K221" t="s">
        <v>22</v>
      </c>
      <c r="L221">
        <f>BDP($H221,"BICS_LEVEL_1_SECTOR_NAME")</f>
        <v/>
      </c>
      <c r="M221">
        <f>BDP($H221,"BICS_LEVEL_3_INDUSTRY_NAME")</f>
        <v/>
      </c>
    </row>
    <row r="222" spans="1:13">
      <c r="A222" t="s">
        <v>989</v>
      </c>
      <c r="B222" t="s">
        <v>14</v>
      </c>
      <c r="C222" t="s">
        <v>15</v>
      </c>
      <c r="D222" t="s">
        <v>990</v>
      </c>
      <c r="E222" t="s">
        <v>991</v>
      </c>
      <c r="F222" t="s">
        <v>18</v>
      </c>
      <c r="G222" t="s">
        <v>19</v>
      </c>
      <c r="H222" t="s">
        <v>992</v>
      </c>
      <c r="I222" t="s">
        <v>15</v>
      </c>
      <c r="J222" t="s">
        <v>21</v>
      </c>
      <c r="K222" t="s">
        <v>22</v>
      </c>
      <c r="L222">
        <f>BDP($H222,"BICS_LEVEL_1_SECTOR_NAME")</f>
        <v/>
      </c>
      <c r="M222">
        <f>BDP($H222,"BICS_LEVEL_3_INDUSTRY_NAME")</f>
        <v/>
      </c>
    </row>
    <row r="223" spans="1:13">
      <c r="A223" t="s">
        <v>993</v>
      </c>
      <c r="B223" t="s">
        <v>14</v>
      </c>
      <c r="C223" t="s">
        <v>15</v>
      </c>
      <c r="D223" t="s">
        <v>994</v>
      </c>
      <c r="E223" t="s">
        <v>995</v>
      </c>
      <c r="F223" t="s">
        <v>236</v>
      </c>
      <c r="G223" t="s">
        <v>996</v>
      </c>
      <c r="H223" t="s">
        <v>997</v>
      </c>
      <c r="I223" t="s">
        <v>15</v>
      </c>
      <c r="J223" t="s">
        <v>21</v>
      </c>
      <c r="K223" t="s">
        <v>22</v>
      </c>
      <c r="L223">
        <f>BDP($H223,"BICS_LEVEL_1_SECTOR_NAME")</f>
        <v/>
      </c>
      <c r="M223">
        <f>BDP($H223,"BICS_LEVEL_3_INDUSTRY_NAME")</f>
        <v/>
      </c>
    </row>
    <row r="224" spans="1:13">
      <c r="A224" t="s">
        <v>998</v>
      </c>
      <c r="B224" t="s">
        <v>14</v>
      </c>
      <c r="C224" t="s">
        <v>15</v>
      </c>
      <c r="D224" t="s">
        <v>999</v>
      </c>
      <c r="E224" t="s">
        <v>1000</v>
      </c>
      <c r="F224" t="s">
        <v>108</v>
      </c>
      <c r="G224" t="s">
        <v>577</v>
      </c>
      <c r="H224" t="s">
        <v>1001</v>
      </c>
      <c r="I224" t="s">
        <v>15</v>
      </c>
      <c r="J224" t="s">
        <v>21</v>
      </c>
      <c r="K224" t="s">
        <v>22</v>
      </c>
      <c r="L224">
        <f>BDP($H224,"BICS_LEVEL_1_SECTOR_NAME")</f>
        <v/>
      </c>
      <c r="M224">
        <f>BDP($H224,"BICS_LEVEL_3_INDUSTRY_NAME")</f>
        <v/>
      </c>
    </row>
    <row r="225" spans="1:13">
      <c r="A225" t="s">
        <v>1002</v>
      </c>
      <c r="B225" t="s">
        <v>14</v>
      </c>
      <c r="C225" t="s">
        <v>15</v>
      </c>
      <c r="D225" t="s">
        <v>1003</v>
      </c>
      <c r="E225" t="s">
        <v>1004</v>
      </c>
      <c r="F225" t="s">
        <v>97</v>
      </c>
      <c r="G225" t="s">
        <v>98</v>
      </c>
      <c r="H225" t="s">
        <v>1005</v>
      </c>
      <c r="I225" t="s">
        <v>15</v>
      </c>
      <c r="J225" t="s">
        <v>21</v>
      </c>
      <c r="K225" t="s">
        <v>22</v>
      </c>
      <c r="L225">
        <f>BDP($H225,"BICS_LEVEL_1_SECTOR_NAME")</f>
        <v/>
      </c>
      <c r="M225">
        <f>BDP($H225,"BICS_LEVEL_3_INDUSTRY_NAME")</f>
        <v/>
      </c>
    </row>
    <row r="226" spans="1:13">
      <c r="A226" t="s">
        <v>1006</v>
      </c>
      <c r="B226" t="s">
        <v>14</v>
      </c>
      <c r="C226" t="s">
        <v>15</v>
      </c>
      <c r="D226" t="s">
        <v>1007</v>
      </c>
      <c r="E226" t="s">
        <v>1008</v>
      </c>
      <c r="F226" t="s">
        <v>18</v>
      </c>
      <c r="G226" t="s">
        <v>37</v>
      </c>
      <c r="H226" t="s">
        <v>1009</v>
      </c>
      <c r="I226" t="s">
        <v>15</v>
      </c>
      <c r="J226" t="s">
        <v>21</v>
      </c>
      <c r="K226" t="s">
        <v>22</v>
      </c>
      <c r="L226">
        <f>BDP($H226,"BICS_LEVEL_1_SECTOR_NAME")</f>
        <v/>
      </c>
      <c r="M226">
        <f>BDP($H226,"BICS_LEVEL_3_INDUSTRY_NAME")</f>
        <v/>
      </c>
    </row>
    <row r="227" spans="1:13">
      <c r="A227" t="s">
        <v>1010</v>
      </c>
      <c r="B227" t="s">
        <v>14</v>
      </c>
      <c r="C227" t="s">
        <v>15</v>
      </c>
      <c r="D227" t="s">
        <v>1011</v>
      </c>
      <c r="E227" t="s">
        <v>1012</v>
      </c>
      <c r="F227" t="s">
        <v>42</v>
      </c>
      <c r="G227" t="s">
        <v>876</v>
      </c>
      <c r="H227" t="s">
        <v>1013</v>
      </c>
      <c r="I227" t="s">
        <v>15</v>
      </c>
      <c r="J227" t="s">
        <v>21</v>
      </c>
      <c r="K227" t="s">
        <v>22</v>
      </c>
      <c r="L227">
        <f>BDP($H227,"BICS_LEVEL_1_SECTOR_NAME")</f>
        <v/>
      </c>
      <c r="M227">
        <f>BDP($H227,"BICS_LEVEL_3_INDUSTRY_NAME")</f>
        <v/>
      </c>
    </row>
    <row r="228" spans="1:13">
      <c r="A228" t="s">
        <v>1014</v>
      </c>
      <c r="B228" t="s">
        <v>14</v>
      </c>
      <c r="C228" t="s">
        <v>15</v>
      </c>
      <c r="D228" t="s">
        <v>1015</v>
      </c>
      <c r="E228" t="s">
        <v>1016</v>
      </c>
      <c r="F228" t="s">
        <v>108</v>
      </c>
      <c r="G228" t="s">
        <v>747</v>
      </c>
      <c r="H228" t="s">
        <v>1017</v>
      </c>
      <c r="I228" t="s">
        <v>15</v>
      </c>
      <c r="J228" t="s">
        <v>21</v>
      </c>
      <c r="K228" t="s">
        <v>22</v>
      </c>
      <c r="L228">
        <f>BDP($H228,"BICS_LEVEL_1_SECTOR_NAME")</f>
        <v/>
      </c>
      <c r="M228">
        <f>BDP($H228,"BICS_LEVEL_3_INDUSTRY_NAME")</f>
        <v/>
      </c>
    </row>
    <row r="229" spans="1:13">
      <c r="A229" t="s">
        <v>1018</v>
      </c>
      <c r="B229" t="s">
        <v>14</v>
      </c>
      <c r="C229" t="s">
        <v>15</v>
      </c>
      <c r="D229" t="s">
        <v>1019</v>
      </c>
      <c r="E229" t="s">
        <v>1020</v>
      </c>
      <c r="F229" t="s">
        <v>42</v>
      </c>
      <c r="G229" t="s">
        <v>979</v>
      </c>
      <c r="H229" t="s">
        <v>1021</v>
      </c>
      <c r="I229" t="s">
        <v>15</v>
      </c>
      <c r="J229" t="s">
        <v>21</v>
      </c>
      <c r="K229" t="s">
        <v>22</v>
      </c>
      <c r="L229">
        <f>BDP($H229,"BICS_LEVEL_1_SECTOR_NAME")</f>
        <v/>
      </c>
      <c r="M229">
        <f>BDP($H229,"BICS_LEVEL_3_INDUSTRY_NAME")</f>
        <v/>
      </c>
    </row>
    <row r="230" spans="1:13">
      <c r="A230" t="s">
        <v>1022</v>
      </c>
      <c r="B230" t="s">
        <v>14</v>
      </c>
      <c r="C230" t="s">
        <v>15</v>
      </c>
      <c r="D230" t="s">
        <v>1023</v>
      </c>
      <c r="E230" t="s">
        <v>1024</v>
      </c>
      <c r="F230" t="s">
        <v>108</v>
      </c>
      <c r="G230" t="s">
        <v>1025</v>
      </c>
      <c r="H230" t="s">
        <v>1026</v>
      </c>
      <c r="I230" t="s">
        <v>15</v>
      </c>
      <c r="J230" t="s">
        <v>21</v>
      </c>
      <c r="K230" t="s">
        <v>22</v>
      </c>
      <c r="L230">
        <f>BDP($H230,"BICS_LEVEL_1_SECTOR_NAME")</f>
        <v/>
      </c>
      <c r="M230">
        <f>BDP($H230,"BICS_LEVEL_3_INDUSTRY_NAME")</f>
        <v/>
      </c>
    </row>
    <row r="231" spans="1:13">
      <c r="A231" t="s">
        <v>1027</v>
      </c>
      <c r="B231" t="s">
        <v>14</v>
      </c>
      <c r="C231" t="s">
        <v>15</v>
      </c>
      <c r="D231" t="s">
        <v>1028</v>
      </c>
      <c r="E231" t="s">
        <v>1029</v>
      </c>
      <c r="F231" t="s">
        <v>108</v>
      </c>
      <c r="G231" t="s">
        <v>1030</v>
      </c>
      <c r="H231" t="s">
        <v>1031</v>
      </c>
      <c r="I231" t="s">
        <v>15</v>
      </c>
      <c r="J231" t="s">
        <v>21</v>
      </c>
      <c r="K231" t="s">
        <v>22</v>
      </c>
      <c r="L231">
        <f>BDP($H231,"BICS_LEVEL_1_SECTOR_NAME")</f>
        <v/>
      </c>
      <c r="M231">
        <f>BDP($H231,"BICS_LEVEL_3_INDUSTRY_NAME")</f>
        <v/>
      </c>
    </row>
    <row r="232" spans="1:13">
      <c r="A232" t="s">
        <v>1032</v>
      </c>
      <c r="B232" t="s">
        <v>14</v>
      </c>
      <c r="C232" t="s">
        <v>15</v>
      </c>
      <c r="D232" t="s">
        <v>1033</v>
      </c>
      <c r="E232" t="s">
        <v>1034</v>
      </c>
      <c r="F232" t="s">
        <v>42</v>
      </c>
      <c r="G232" t="s">
        <v>118</v>
      </c>
      <c r="H232" t="s">
        <v>1035</v>
      </c>
      <c r="I232" t="s">
        <v>15</v>
      </c>
      <c r="J232" t="s">
        <v>21</v>
      </c>
      <c r="K232" t="s">
        <v>22</v>
      </c>
      <c r="L232">
        <f>BDP($H232,"BICS_LEVEL_1_SECTOR_NAME")</f>
        <v/>
      </c>
      <c r="M232">
        <f>BDP($H232,"BICS_LEVEL_3_INDUSTRY_NAME")</f>
        <v/>
      </c>
    </row>
    <row r="233" spans="1:13">
      <c r="A233" t="s">
        <v>1036</v>
      </c>
      <c r="B233" t="s">
        <v>14</v>
      </c>
      <c r="C233" t="s">
        <v>15</v>
      </c>
      <c r="D233" t="s">
        <v>1037</v>
      </c>
      <c r="E233" t="s">
        <v>1038</v>
      </c>
      <c r="F233" t="s">
        <v>242</v>
      </c>
      <c r="G233" t="s">
        <v>243</v>
      </c>
      <c r="H233" t="s">
        <v>1039</v>
      </c>
      <c r="I233" t="s">
        <v>15</v>
      </c>
      <c r="J233" t="s">
        <v>21</v>
      </c>
      <c r="K233" t="s">
        <v>22</v>
      </c>
      <c r="L233">
        <f>BDP($H233,"BICS_LEVEL_1_SECTOR_NAME")</f>
        <v/>
      </c>
      <c r="M233">
        <f>BDP($H233,"BICS_LEVEL_3_INDUSTRY_NAME")</f>
        <v/>
      </c>
    </row>
    <row r="234" spans="1:13">
      <c r="A234" t="s">
        <v>1040</v>
      </c>
      <c r="B234" t="s">
        <v>14</v>
      </c>
      <c r="C234" t="s">
        <v>15</v>
      </c>
      <c r="D234" t="s">
        <v>1041</v>
      </c>
      <c r="E234" t="s">
        <v>1042</v>
      </c>
      <c r="F234" t="s">
        <v>108</v>
      </c>
      <c r="G234" t="s">
        <v>485</v>
      </c>
      <c r="H234" t="s">
        <v>1043</v>
      </c>
      <c r="I234" t="s">
        <v>15</v>
      </c>
      <c r="J234" t="s">
        <v>21</v>
      </c>
      <c r="K234" t="s">
        <v>22</v>
      </c>
      <c r="L234">
        <f>BDP($H234,"BICS_LEVEL_1_SECTOR_NAME")</f>
        <v/>
      </c>
      <c r="M234">
        <f>BDP($H234,"BICS_LEVEL_3_INDUSTRY_NAME")</f>
        <v/>
      </c>
    </row>
    <row r="235" spans="1:13">
      <c r="A235" t="s">
        <v>1044</v>
      </c>
      <c r="B235" t="s">
        <v>14</v>
      </c>
      <c r="C235" t="s">
        <v>15</v>
      </c>
      <c r="D235" t="s">
        <v>1045</v>
      </c>
      <c r="E235" t="s">
        <v>1046</v>
      </c>
      <c r="F235" t="s">
        <v>18</v>
      </c>
      <c r="G235" t="s">
        <v>53</v>
      </c>
      <c r="H235" t="s">
        <v>1047</v>
      </c>
      <c r="I235" t="s">
        <v>15</v>
      </c>
      <c r="J235" t="s">
        <v>21</v>
      </c>
      <c r="K235" t="s">
        <v>22</v>
      </c>
      <c r="L235">
        <f>BDP($H235,"BICS_LEVEL_1_SECTOR_NAME")</f>
        <v/>
      </c>
      <c r="M235">
        <f>BDP($H235,"BICS_LEVEL_3_INDUSTRY_NAME")</f>
        <v/>
      </c>
    </row>
    <row r="236" spans="1:13">
      <c r="A236" t="s">
        <v>1048</v>
      </c>
      <c r="B236" t="s">
        <v>14</v>
      </c>
      <c r="C236" t="s">
        <v>15</v>
      </c>
      <c r="D236" t="s">
        <v>1049</v>
      </c>
      <c r="E236" t="s">
        <v>1050</v>
      </c>
      <c r="F236" t="s">
        <v>18</v>
      </c>
      <c r="G236" t="s">
        <v>53</v>
      </c>
      <c r="H236" t="s">
        <v>1051</v>
      </c>
      <c r="I236" t="s">
        <v>15</v>
      </c>
      <c r="J236" t="s">
        <v>21</v>
      </c>
      <c r="K236" t="s">
        <v>22</v>
      </c>
      <c r="L236">
        <f>BDP($H236,"BICS_LEVEL_1_SECTOR_NAME")</f>
        <v/>
      </c>
      <c r="M236">
        <f>BDP($H236,"BICS_LEVEL_3_INDUSTRY_NAME")</f>
        <v/>
      </c>
    </row>
    <row r="237" spans="1:13">
      <c r="A237" t="s">
        <v>1052</v>
      </c>
      <c r="B237" t="s">
        <v>14</v>
      </c>
      <c r="C237" t="s">
        <v>15</v>
      </c>
      <c r="D237" t="s">
        <v>1053</v>
      </c>
      <c r="E237" t="s">
        <v>1054</v>
      </c>
      <c r="F237" t="s">
        <v>42</v>
      </c>
      <c r="G237" t="s">
        <v>1055</v>
      </c>
      <c r="H237" t="s">
        <v>1056</v>
      </c>
      <c r="I237" t="s">
        <v>15</v>
      </c>
      <c r="J237" t="s">
        <v>21</v>
      </c>
      <c r="K237" t="s">
        <v>22</v>
      </c>
      <c r="L237">
        <f>BDP($H237,"BICS_LEVEL_1_SECTOR_NAME")</f>
        <v/>
      </c>
      <c r="M237">
        <f>BDP($H237,"BICS_LEVEL_3_INDUSTRY_NAME")</f>
        <v/>
      </c>
    </row>
    <row r="238" spans="1:13">
      <c r="A238" t="s">
        <v>1057</v>
      </c>
      <c r="B238" t="s">
        <v>14</v>
      </c>
      <c r="C238" t="s">
        <v>15</v>
      </c>
      <c r="D238" t="s">
        <v>1058</v>
      </c>
      <c r="E238" t="s">
        <v>1059</v>
      </c>
      <c r="F238" t="s">
        <v>18</v>
      </c>
      <c r="G238" t="s">
        <v>53</v>
      </c>
      <c r="H238" t="s">
        <v>1060</v>
      </c>
      <c r="I238" t="s">
        <v>15</v>
      </c>
      <c r="J238" t="s">
        <v>21</v>
      </c>
      <c r="K238" t="s">
        <v>22</v>
      </c>
      <c r="L238">
        <f>BDP($H238,"BICS_LEVEL_1_SECTOR_NAME")</f>
        <v/>
      </c>
      <c r="M238">
        <f>BDP($H238,"BICS_LEVEL_3_INDUSTRY_NAME")</f>
        <v/>
      </c>
    </row>
    <row r="239" spans="1:13">
      <c r="A239" t="s">
        <v>1061</v>
      </c>
      <c r="B239" t="s">
        <v>14</v>
      </c>
      <c r="C239" t="s">
        <v>15</v>
      </c>
      <c r="D239" t="s">
        <v>1062</v>
      </c>
      <c r="E239" t="s">
        <v>1063</v>
      </c>
      <c r="F239" t="s">
        <v>293</v>
      </c>
      <c r="G239" t="s">
        <v>423</v>
      </c>
      <c r="H239" t="s">
        <v>1064</v>
      </c>
      <c r="I239" t="s">
        <v>15</v>
      </c>
      <c r="J239" t="s">
        <v>21</v>
      </c>
      <c r="K239" t="s">
        <v>22</v>
      </c>
      <c r="L239">
        <f>BDP($H239,"BICS_LEVEL_1_SECTOR_NAME")</f>
        <v/>
      </c>
      <c r="M239">
        <f>BDP($H239,"BICS_LEVEL_3_INDUSTRY_NAME")</f>
        <v/>
      </c>
    </row>
    <row r="240" spans="1:13">
      <c r="A240" t="s">
        <v>1065</v>
      </c>
      <c r="B240" t="s">
        <v>14</v>
      </c>
      <c r="C240" t="s">
        <v>15</v>
      </c>
      <c r="D240" t="s">
        <v>1066</v>
      </c>
      <c r="E240" t="s">
        <v>1067</v>
      </c>
      <c r="F240" t="s">
        <v>42</v>
      </c>
      <c r="G240" t="s">
        <v>141</v>
      </c>
      <c r="H240" t="s">
        <v>1068</v>
      </c>
      <c r="I240" t="s">
        <v>15</v>
      </c>
      <c r="J240" t="s">
        <v>21</v>
      </c>
      <c r="K240" t="s">
        <v>22</v>
      </c>
      <c r="L240">
        <f>BDP($H240,"BICS_LEVEL_1_SECTOR_NAME")</f>
        <v/>
      </c>
      <c r="M240">
        <f>BDP($H240,"BICS_LEVEL_3_INDUSTRY_NAME")</f>
        <v/>
      </c>
    </row>
    <row r="241" spans="1:13">
      <c r="A241" t="s">
        <v>1069</v>
      </c>
      <c r="B241" t="s">
        <v>14</v>
      </c>
      <c r="C241" t="s">
        <v>15</v>
      </c>
      <c r="D241" t="s">
        <v>1070</v>
      </c>
      <c r="E241" t="s">
        <v>1071</v>
      </c>
      <c r="F241" t="s">
        <v>97</v>
      </c>
      <c r="G241" t="s">
        <v>360</v>
      </c>
      <c r="H241" t="s">
        <v>1072</v>
      </c>
      <c r="I241" t="s">
        <v>15</v>
      </c>
      <c r="J241" t="s">
        <v>21</v>
      </c>
      <c r="K241" t="s">
        <v>22</v>
      </c>
      <c r="L241">
        <f>BDP($H241,"BICS_LEVEL_1_SECTOR_NAME")</f>
        <v/>
      </c>
      <c r="M241">
        <f>BDP($H241,"BICS_LEVEL_3_INDUSTRY_NAME")</f>
        <v/>
      </c>
    </row>
    <row r="242" spans="1:13">
      <c r="A242" t="s">
        <v>1073</v>
      </c>
      <c r="B242" t="s">
        <v>14</v>
      </c>
      <c r="C242" t="s">
        <v>15</v>
      </c>
      <c r="D242" t="s">
        <v>1074</v>
      </c>
      <c r="E242" t="s">
        <v>1075</v>
      </c>
      <c r="F242" t="s">
        <v>97</v>
      </c>
      <c r="G242" t="s">
        <v>98</v>
      </c>
      <c r="H242" t="s">
        <v>1076</v>
      </c>
      <c r="I242" t="s">
        <v>15</v>
      </c>
      <c r="J242" t="s">
        <v>21</v>
      </c>
      <c r="K242" t="s">
        <v>22</v>
      </c>
      <c r="L242">
        <f>BDP($H242,"BICS_LEVEL_1_SECTOR_NAME")</f>
        <v/>
      </c>
      <c r="M242">
        <f>BDP($H242,"BICS_LEVEL_3_INDUSTRY_NAME")</f>
        <v/>
      </c>
    </row>
    <row r="243" spans="1:13">
      <c r="A243" t="s">
        <v>1077</v>
      </c>
      <c r="B243" t="s">
        <v>14</v>
      </c>
      <c r="C243" t="s">
        <v>15</v>
      </c>
      <c r="D243" t="s">
        <v>1078</v>
      </c>
      <c r="E243" t="s">
        <v>1079</v>
      </c>
      <c r="F243" t="s">
        <v>18</v>
      </c>
      <c r="G243" t="s">
        <v>103</v>
      </c>
      <c r="H243" t="s">
        <v>1080</v>
      </c>
      <c r="I243" t="s">
        <v>15</v>
      </c>
      <c r="J243" t="s">
        <v>21</v>
      </c>
      <c r="K243" t="s">
        <v>22</v>
      </c>
      <c r="L243">
        <f>BDP($H243,"BICS_LEVEL_1_SECTOR_NAME")</f>
        <v/>
      </c>
      <c r="M243">
        <f>BDP($H243,"BICS_LEVEL_3_INDUSTRY_NAME")</f>
        <v/>
      </c>
    </row>
    <row r="244" spans="1:13">
      <c r="A244" t="s">
        <v>1081</v>
      </c>
      <c r="B244" t="s">
        <v>14</v>
      </c>
      <c r="C244" t="s">
        <v>15</v>
      </c>
      <c r="D244" t="s">
        <v>1082</v>
      </c>
      <c r="E244" t="s">
        <v>1083</v>
      </c>
      <c r="F244" t="s">
        <v>26</v>
      </c>
      <c r="G244" t="s">
        <v>58</v>
      </c>
      <c r="H244" t="s">
        <v>1084</v>
      </c>
      <c r="I244" t="s">
        <v>15</v>
      </c>
      <c r="J244" t="s">
        <v>21</v>
      </c>
      <c r="K244" t="s">
        <v>22</v>
      </c>
      <c r="L244">
        <f>BDP($H244,"BICS_LEVEL_1_SECTOR_NAME")</f>
        <v/>
      </c>
      <c r="M244">
        <f>BDP($H244,"BICS_LEVEL_3_INDUSTRY_NAME")</f>
        <v/>
      </c>
    </row>
    <row r="245" spans="1:13">
      <c r="A245" t="s">
        <v>1085</v>
      </c>
      <c r="B245" t="s">
        <v>14</v>
      </c>
      <c r="C245" t="s">
        <v>15</v>
      </c>
      <c r="D245" t="s">
        <v>1086</v>
      </c>
      <c r="E245" t="s">
        <v>1087</v>
      </c>
      <c r="F245" t="s">
        <v>18</v>
      </c>
      <c r="G245" t="s">
        <v>53</v>
      </c>
      <c r="H245" t="s">
        <v>1088</v>
      </c>
      <c r="I245" t="s">
        <v>15</v>
      </c>
      <c r="J245" t="s">
        <v>21</v>
      </c>
      <c r="K245" t="s">
        <v>22</v>
      </c>
      <c r="L245">
        <f>BDP($H245,"BICS_LEVEL_1_SECTOR_NAME")</f>
        <v/>
      </c>
      <c r="M245">
        <f>BDP($H245,"BICS_LEVEL_3_INDUSTRY_NAME")</f>
        <v/>
      </c>
    </row>
    <row r="246" spans="1:13">
      <c r="A246" t="s">
        <v>1089</v>
      </c>
      <c r="B246" t="s">
        <v>14</v>
      </c>
      <c r="C246" t="s">
        <v>15</v>
      </c>
      <c r="D246" t="s">
        <v>1090</v>
      </c>
      <c r="E246" t="s">
        <v>1091</v>
      </c>
      <c r="F246" t="s">
        <v>108</v>
      </c>
      <c r="G246" t="s">
        <v>109</v>
      </c>
      <c r="H246" t="s">
        <v>1092</v>
      </c>
      <c r="I246" t="s">
        <v>15</v>
      </c>
      <c r="J246" t="s">
        <v>21</v>
      </c>
      <c r="K246" t="s">
        <v>22</v>
      </c>
      <c r="L246">
        <f>BDP($H246,"BICS_LEVEL_1_SECTOR_NAME")</f>
        <v/>
      </c>
      <c r="M246">
        <f>BDP($H246,"BICS_LEVEL_3_INDUSTRY_NAME")</f>
        <v/>
      </c>
    </row>
    <row r="247" spans="1:13">
      <c r="A247" t="s">
        <v>1093</v>
      </c>
      <c r="B247" t="s">
        <v>14</v>
      </c>
      <c r="C247" t="s">
        <v>15</v>
      </c>
      <c r="D247" t="s">
        <v>1094</v>
      </c>
      <c r="E247" t="s">
        <v>1095</v>
      </c>
      <c r="F247" t="s">
        <v>108</v>
      </c>
      <c r="G247" t="s">
        <v>109</v>
      </c>
      <c r="H247" t="s">
        <v>1096</v>
      </c>
      <c r="I247" t="s">
        <v>15</v>
      </c>
      <c r="J247" t="s">
        <v>21</v>
      </c>
      <c r="K247" t="s">
        <v>22</v>
      </c>
      <c r="L247">
        <f>BDP($H247,"BICS_LEVEL_1_SECTOR_NAME")</f>
        <v/>
      </c>
      <c r="M247">
        <f>BDP($H247,"BICS_LEVEL_3_INDUSTRY_NAME")</f>
        <v/>
      </c>
    </row>
    <row r="248" spans="1:13">
      <c r="A248" t="s">
        <v>1097</v>
      </c>
      <c r="B248" t="s">
        <v>14</v>
      </c>
      <c r="C248" t="s">
        <v>15</v>
      </c>
      <c r="D248" t="s">
        <v>1098</v>
      </c>
      <c r="E248" t="s">
        <v>1099</v>
      </c>
      <c r="F248" t="s">
        <v>18</v>
      </c>
      <c r="G248" t="s">
        <v>53</v>
      </c>
      <c r="H248" t="s">
        <v>1100</v>
      </c>
      <c r="I248" t="s">
        <v>15</v>
      </c>
      <c r="J248" t="s">
        <v>21</v>
      </c>
      <c r="K248" t="s">
        <v>22</v>
      </c>
      <c r="L248">
        <f>BDP($H248,"BICS_LEVEL_1_SECTOR_NAME")</f>
        <v/>
      </c>
      <c r="M248">
        <f>BDP($H248,"BICS_LEVEL_3_INDUSTRY_NAME")</f>
        <v/>
      </c>
    </row>
    <row r="249" spans="1:13">
      <c r="A249" t="s">
        <v>1101</v>
      </c>
      <c r="B249" t="s">
        <v>14</v>
      </c>
      <c r="C249" t="s">
        <v>15</v>
      </c>
      <c r="D249" t="s">
        <v>1102</v>
      </c>
      <c r="E249" t="s">
        <v>1103</v>
      </c>
      <c r="F249" t="s">
        <v>42</v>
      </c>
      <c r="G249" t="s">
        <v>979</v>
      </c>
      <c r="H249" t="s">
        <v>1104</v>
      </c>
      <c r="I249" t="s">
        <v>15</v>
      </c>
      <c r="J249" t="s">
        <v>21</v>
      </c>
      <c r="K249" t="s">
        <v>22</v>
      </c>
      <c r="L249">
        <f>BDP($H249,"BICS_LEVEL_1_SECTOR_NAME")</f>
        <v/>
      </c>
      <c r="M249">
        <f>BDP($H249,"BICS_LEVEL_3_INDUSTRY_NAME")</f>
        <v/>
      </c>
    </row>
    <row r="250" spans="1:13">
      <c r="A250" t="s">
        <v>1105</v>
      </c>
      <c r="B250" t="s">
        <v>14</v>
      </c>
      <c r="C250" t="s">
        <v>15</v>
      </c>
      <c r="D250" t="s">
        <v>1106</v>
      </c>
      <c r="E250" t="s">
        <v>1107</v>
      </c>
      <c r="F250" t="s">
        <v>42</v>
      </c>
      <c r="G250" t="s">
        <v>655</v>
      </c>
      <c r="H250" t="s">
        <v>1108</v>
      </c>
      <c r="I250" t="s">
        <v>15</v>
      </c>
      <c r="J250" t="s">
        <v>21</v>
      </c>
      <c r="K250" t="s">
        <v>22</v>
      </c>
      <c r="L250">
        <f>BDP($H250,"BICS_LEVEL_1_SECTOR_NAME")</f>
        <v/>
      </c>
      <c r="M250">
        <f>BDP($H250,"BICS_LEVEL_3_INDUSTRY_NAME")</f>
        <v/>
      </c>
    </row>
    <row r="251" spans="1:13">
      <c r="A251" t="s">
        <v>1109</v>
      </c>
      <c r="B251" t="s">
        <v>14</v>
      </c>
      <c r="C251" t="s">
        <v>15</v>
      </c>
      <c r="D251" t="s">
        <v>1110</v>
      </c>
      <c r="E251" t="s">
        <v>1111</v>
      </c>
      <c r="F251" t="s">
        <v>42</v>
      </c>
      <c r="G251" t="s">
        <v>141</v>
      </c>
      <c r="H251" t="s">
        <v>1112</v>
      </c>
      <c r="I251" t="s">
        <v>15</v>
      </c>
      <c r="J251" t="s">
        <v>21</v>
      </c>
      <c r="K251" t="s">
        <v>22</v>
      </c>
      <c r="L251">
        <f>BDP($H251,"BICS_LEVEL_1_SECTOR_NAME")</f>
        <v/>
      </c>
      <c r="M251">
        <f>BDP($H251,"BICS_LEVEL_3_INDUSTRY_NAME")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BDH("CADL US Equity","BS_TOT_ASSET","1993-06-18","2026-05-02","Per=Y","Days=T","Dir=V")</f>
        <v>0</v>
      </c>
      <c r="C2">
        <f>BDH("CADL US Equity","BS_TOT_LIAB2","1993-06-18","2026-05-02","Per=Y","Days=T","Dir=V")</f>
        <v>0</v>
      </c>
      <c r="E2">
        <f>BDH("CADL US Equity","SHORT_AND_LONG_TERM_DEBT","1993-06-18","2026-05-02","Per=Y","Days=T","Dir=V")</f>
        <v>0</v>
      </c>
      <c r="G2">
        <f>BDH("CADL US Equity","BS_ST_BORROW","1993-06-18","2026-05-02","Per=Y","Days=T","Dir=V")</f>
        <v>0</v>
      </c>
      <c r="I2">
        <f>BDH("CADL US Equity","BS_LT_BORROW","1993-06-18","2026-05-02","Per=Y","Days=T","Dir=V")</f>
        <v>0</v>
      </c>
      <c r="K2">
        <f>BDH("CADL US Equity","BS_CASH_NEAR_CASH_ITEM","1993-06-18","2026-05-02","Per=Y","Days=T","Dir=V")</f>
        <v>0</v>
      </c>
      <c r="M2">
        <f>BDH("CADL US Equity","BS_CUR_ASSET_REPORT","1993-06-18","2026-05-02","Per=Y","Days=T","Dir=V")</f>
        <v>0</v>
      </c>
      <c r="O2">
        <f>BDH("CADL US Equity","BS_CUR_LIAB","1993-06-18","2026-05-02","Per=Y","Days=T","Dir=V")</f>
        <v>0</v>
      </c>
      <c r="Q2">
        <f>BDH("CADL US Equity","BS_SHAREHOLDER_EQY_ENDING_PERIOD","1993-06-18","2026-05-02","Per=Y","Days=T","Dir=V")</f>
        <v>0</v>
      </c>
      <c r="S2">
        <f>BDH("CADL US Equity","BS_ACCT_NOTE_RCV","1993-06-18","2026-05-02","Per=Y","Days=T","Dir=V")</f>
        <v>0</v>
      </c>
      <c r="U2">
        <f>BDH("CADL US Equity","BS_INVENTORIES","1993-06-18","2026-05-02","Per=Y","Days=T","Dir=V")</f>
        <v>0</v>
      </c>
      <c r="W2">
        <f>BDH("CADL US Equity","WORKING_CAPITAL","1993-06-18","2026-05-02","Per=Y","Days=T","Dir=V")</f>
        <v>0</v>
      </c>
      <c r="Y2">
        <f>BDH("CADL US Equity","SALES_REV_TURN","1993-06-18","2026-05-02","Per=Y","Days=T","Dir=V")</f>
        <v>0</v>
      </c>
      <c r="AA2">
        <f>BDH("CADL US Equity","EBIT","1993-06-18","2026-05-02","Per=Y","Days=T","Dir=V")</f>
        <v>0</v>
      </c>
      <c r="AC2">
        <f>BDH("CADL US Equity","EBITDA","1993-06-18","2026-05-02","Per=Y","Days=T","Dir=V")</f>
        <v>0</v>
      </c>
      <c r="AE2">
        <f>BDH("CADL US Equity","NET_INCOME","1993-06-18","2026-05-02","Per=Y","Days=T","Dir=V")</f>
        <v>0</v>
      </c>
      <c r="AG2">
        <f>BDH("CADL US Equity","IS_INT_EXPENSE","1993-06-18","2026-05-02","Per=Y","Days=T","Dir=V")</f>
        <v>0</v>
      </c>
      <c r="AI2">
        <f>BDH("CADL US Equity","IS_DEPR_EXP","1993-06-18","2026-05-02","Per=Y","Days=T","Dir=V")</f>
        <v>0</v>
      </c>
      <c r="AK2">
        <f>BDH("CADL US Equity","CF_CASH_FROM_OPER","1993-06-18","2026-05-02","Per=Y","Days=T","Dir=V")</f>
        <v>0</v>
      </c>
      <c r="AM2">
        <f>BDH("CADL US Equity","CAPITAL_EXPEND","1993-06-18","2026-05-02","Per=Y","Days=T","Dir=V")</f>
        <v>0</v>
      </c>
      <c r="AO2">
        <f>BDH("CADL US Equity","CF_FREE_CASH_FLOW","1993-06-18","2026-05-02","Per=Y","Days=T","Dir=V")</f>
        <v>0</v>
      </c>
      <c r="AQ2">
        <f>BDH("CADL US Equity","PX_LAST","1993-06-18","2026-05-02","Per=M","Days=T","Dir=V")</f>
        <v>0</v>
      </c>
      <c r="AS2">
        <f>BDH("CADL US Equity","CUR_MKT_CAP","1993-06-18","2026-05-02","Per=M","Days=T","Dir=V")</f>
        <v>0</v>
      </c>
      <c r="AU2">
        <f>BDH("CADL US Equity","EQY_SH_OUT","1993-06-18","2026-05-02","Per=M","Days=T","Dir=V")</f>
        <v>0</v>
      </c>
      <c r="AW2">
        <f>BDH("CADL US Equity","PX_VOLUME","1993-06-18","2026-05-02","Per=M","Days=T","Dir=V")</f>
        <v>0</v>
      </c>
      <c r="AY2">
        <f>BDH("CADL US Equity","TURNOVER","1993-06-18","2026-05-02","Per=M","Days=T","Dir=V")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BDH("CAG US Equity","BS_TOT_ASSET","1993-06-18","2026-05-02","Per=Y","Days=T","Dir=V")</f>
        <v>0</v>
      </c>
      <c r="C2">
        <f>BDH("CAG US Equity","BS_TOT_LIAB2","1993-06-18","2026-05-02","Per=Y","Days=T","Dir=V")</f>
        <v>0</v>
      </c>
      <c r="E2">
        <f>BDH("CAG US Equity","SHORT_AND_LONG_TERM_DEBT","1993-06-18","2026-05-02","Per=Y","Days=T","Dir=V")</f>
        <v>0</v>
      </c>
      <c r="G2">
        <f>BDH("CAG US Equity","BS_ST_BORROW","1993-06-18","2026-05-02","Per=Y","Days=T","Dir=V")</f>
        <v>0</v>
      </c>
      <c r="I2">
        <f>BDH("CAG US Equity","BS_LT_BORROW","1993-06-18","2026-05-02","Per=Y","Days=T","Dir=V")</f>
        <v>0</v>
      </c>
      <c r="K2">
        <f>BDH("CAG US Equity","BS_CASH_NEAR_CASH_ITEM","1993-06-18","2026-05-02","Per=Y","Days=T","Dir=V")</f>
        <v>0</v>
      </c>
      <c r="M2">
        <f>BDH("CAG US Equity","BS_CUR_ASSET_REPORT","1993-06-18","2026-05-02","Per=Y","Days=T","Dir=V")</f>
        <v>0</v>
      </c>
      <c r="O2">
        <f>BDH("CAG US Equity","BS_CUR_LIAB","1993-06-18","2026-05-02","Per=Y","Days=T","Dir=V")</f>
        <v>0</v>
      </c>
      <c r="Q2">
        <f>BDH("CAG US Equity","BS_SHAREHOLDER_EQY_ENDING_PERIOD","1993-06-18","2026-05-02","Per=Y","Days=T","Dir=V")</f>
        <v>0</v>
      </c>
      <c r="S2">
        <f>BDH("CAG US Equity","BS_ACCT_NOTE_RCV","1993-06-18","2026-05-02","Per=Y","Days=T","Dir=V")</f>
        <v>0</v>
      </c>
      <c r="U2">
        <f>BDH("CAG US Equity","BS_INVENTORIES","1993-06-18","2026-05-02","Per=Y","Days=T","Dir=V")</f>
        <v>0</v>
      </c>
      <c r="W2">
        <f>BDH("CAG US Equity","WORKING_CAPITAL","1993-06-18","2026-05-02","Per=Y","Days=T","Dir=V")</f>
        <v>0</v>
      </c>
      <c r="Y2">
        <f>BDH("CAG US Equity","SALES_REV_TURN","1993-06-18","2026-05-02","Per=Y","Days=T","Dir=V")</f>
        <v>0</v>
      </c>
      <c r="AA2">
        <f>BDH("CAG US Equity","EBIT","1993-06-18","2026-05-02","Per=Y","Days=T","Dir=V")</f>
        <v>0</v>
      </c>
      <c r="AC2">
        <f>BDH("CAG US Equity","EBITDA","1993-06-18","2026-05-02","Per=Y","Days=T","Dir=V")</f>
        <v>0</v>
      </c>
      <c r="AE2">
        <f>BDH("CAG US Equity","NET_INCOME","1993-06-18","2026-05-02","Per=Y","Days=T","Dir=V")</f>
        <v>0</v>
      </c>
      <c r="AG2">
        <f>BDH("CAG US Equity","IS_INT_EXPENSE","1993-06-18","2026-05-02","Per=Y","Days=T","Dir=V")</f>
        <v>0</v>
      </c>
      <c r="AI2">
        <f>BDH("CAG US Equity","IS_DEPR_EXP","1993-06-18","2026-05-02","Per=Y","Days=T","Dir=V")</f>
        <v>0</v>
      </c>
      <c r="AK2">
        <f>BDH("CAG US Equity","CF_CASH_FROM_OPER","1993-06-18","2026-05-02","Per=Y","Days=T","Dir=V")</f>
        <v>0</v>
      </c>
      <c r="AM2">
        <f>BDH("CAG US Equity","CAPITAL_EXPEND","1993-06-18","2026-05-02","Per=Y","Days=T","Dir=V")</f>
        <v>0</v>
      </c>
      <c r="AO2">
        <f>BDH("CAG US Equity","CF_FREE_CASH_FLOW","1993-06-18","2026-05-02","Per=Y","Days=T","Dir=V")</f>
        <v>0</v>
      </c>
      <c r="AQ2">
        <f>BDH("CAG US Equity","PX_LAST","1993-06-18","2026-05-02","Per=M","Days=T","Dir=V")</f>
        <v>0</v>
      </c>
      <c r="AS2">
        <f>BDH("CAG US Equity","CUR_MKT_CAP","1993-06-18","2026-05-02","Per=M","Days=T","Dir=V")</f>
        <v>0</v>
      </c>
      <c r="AU2">
        <f>BDH("CAG US Equity","EQY_SH_OUT","1993-06-18","2026-05-02","Per=M","Days=T","Dir=V")</f>
        <v>0</v>
      </c>
      <c r="AW2">
        <f>BDH("CAG US Equity","PX_VOLUME","1993-06-18","2026-05-02","Per=M","Days=T","Dir=V")</f>
        <v>0</v>
      </c>
      <c r="AY2">
        <f>BDH("CAG US Equity","TURNOVER","1993-06-18","2026-05-02","Per=M","Days=T","Dir=V")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BDH("CAH US Equity","BS_TOT_ASSET","1993-06-18","2026-05-02","Per=Y","Days=T","Dir=V")</f>
        <v>0</v>
      </c>
      <c r="C2">
        <f>BDH("CAH US Equity","BS_TOT_LIAB2","1993-06-18","2026-05-02","Per=Y","Days=T","Dir=V")</f>
        <v>0</v>
      </c>
      <c r="E2">
        <f>BDH("CAH US Equity","SHORT_AND_LONG_TERM_DEBT","1993-06-18","2026-05-02","Per=Y","Days=T","Dir=V")</f>
        <v>0</v>
      </c>
      <c r="G2">
        <f>BDH("CAH US Equity","BS_ST_BORROW","1993-06-18","2026-05-02","Per=Y","Days=T","Dir=V")</f>
        <v>0</v>
      </c>
      <c r="I2">
        <f>BDH("CAH US Equity","BS_LT_BORROW","1993-06-18","2026-05-02","Per=Y","Days=T","Dir=V")</f>
        <v>0</v>
      </c>
      <c r="K2">
        <f>BDH("CAH US Equity","BS_CASH_NEAR_CASH_ITEM","1993-06-18","2026-05-02","Per=Y","Days=T","Dir=V")</f>
        <v>0</v>
      </c>
      <c r="M2">
        <f>BDH("CAH US Equity","BS_CUR_ASSET_REPORT","1993-06-18","2026-05-02","Per=Y","Days=T","Dir=V")</f>
        <v>0</v>
      </c>
      <c r="O2">
        <f>BDH("CAH US Equity","BS_CUR_LIAB","1993-06-18","2026-05-02","Per=Y","Days=T","Dir=V")</f>
        <v>0</v>
      </c>
      <c r="Q2">
        <f>BDH("CAH US Equity","BS_SHAREHOLDER_EQY_ENDING_PERIOD","1993-06-18","2026-05-02","Per=Y","Days=T","Dir=V")</f>
        <v>0</v>
      </c>
      <c r="S2">
        <f>BDH("CAH US Equity","BS_ACCT_NOTE_RCV","1993-06-18","2026-05-02","Per=Y","Days=T","Dir=V")</f>
        <v>0</v>
      </c>
      <c r="U2">
        <f>BDH("CAH US Equity","BS_INVENTORIES","1993-06-18","2026-05-02","Per=Y","Days=T","Dir=V")</f>
        <v>0</v>
      </c>
      <c r="W2">
        <f>BDH("CAH US Equity","WORKING_CAPITAL","1993-06-18","2026-05-02","Per=Y","Days=T","Dir=V")</f>
        <v>0</v>
      </c>
      <c r="Y2">
        <f>BDH("CAH US Equity","SALES_REV_TURN","1993-06-18","2026-05-02","Per=Y","Days=T","Dir=V")</f>
        <v>0</v>
      </c>
      <c r="AA2">
        <f>BDH("CAH US Equity","EBIT","1993-06-18","2026-05-02","Per=Y","Days=T","Dir=V")</f>
        <v>0</v>
      </c>
      <c r="AC2">
        <f>BDH("CAH US Equity","EBITDA","1993-06-18","2026-05-02","Per=Y","Days=T","Dir=V")</f>
        <v>0</v>
      </c>
      <c r="AE2">
        <f>BDH("CAH US Equity","NET_INCOME","1993-06-18","2026-05-02","Per=Y","Days=T","Dir=V")</f>
        <v>0</v>
      </c>
      <c r="AG2">
        <f>BDH("CAH US Equity","IS_INT_EXPENSE","1993-06-18","2026-05-02","Per=Y","Days=T","Dir=V")</f>
        <v>0</v>
      </c>
      <c r="AI2">
        <f>BDH("CAH US Equity","IS_DEPR_EXP","1993-06-18","2026-05-02","Per=Y","Days=T","Dir=V")</f>
        <v>0</v>
      </c>
      <c r="AK2">
        <f>BDH("CAH US Equity","CF_CASH_FROM_OPER","1993-06-18","2026-05-02","Per=Y","Days=T","Dir=V")</f>
        <v>0</v>
      </c>
      <c r="AM2">
        <f>BDH("CAH US Equity","CAPITAL_EXPEND","1993-06-18","2026-05-02","Per=Y","Days=T","Dir=V")</f>
        <v>0</v>
      </c>
      <c r="AO2">
        <f>BDH("CAH US Equity","CF_FREE_CASH_FLOW","1993-06-18","2026-05-02","Per=Y","Days=T","Dir=V")</f>
        <v>0</v>
      </c>
      <c r="AQ2">
        <f>BDH("CAH US Equity","PX_LAST","1993-06-18","2026-05-02","Per=M","Days=T","Dir=V")</f>
        <v>0</v>
      </c>
      <c r="AS2">
        <f>BDH("CAH US Equity","CUR_MKT_CAP","1993-06-18","2026-05-02","Per=M","Days=T","Dir=V")</f>
        <v>0</v>
      </c>
      <c r="AU2">
        <f>BDH("CAH US Equity","EQY_SH_OUT","1993-06-18","2026-05-02","Per=M","Days=T","Dir=V")</f>
        <v>0</v>
      </c>
      <c r="AW2">
        <f>BDH("CAH US Equity","PX_VOLUME","1993-06-18","2026-05-02","Per=M","Days=T","Dir=V")</f>
        <v>0</v>
      </c>
      <c r="AY2">
        <f>BDH("CAH US Equity","TURNOVER","1993-06-18","2026-05-02","Per=M","Days=T","Dir=V")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BDH("CAI US Equity","BS_TOT_ASSET","1993-06-18","2026-05-02","Per=Y","Days=T","Dir=V")</f>
        <v>0</v>
      </c>
      <c r="C2">
        <f>BDH("CAI US Equity","BS_TOT_LIAB2","1993-06-18","2026-05-02","Per=Y","Days=T","Dir=V")</f>
        <v>0</v>
      </c>
      <c r="E2">
        <f>BDH("CAI US Equity","SHORT_AND_LONG_TERM_DEBT","1993-06-18","2026-05-02","Per=Y","Days=T","Dir=V")</f>
        <v>0</v>
      </c>
      <c r="G2">
        <f>BDH("CAI US Equity","BS_ST_BORROW","1993-06-18","2026-05-02","Per=Y","Days=T","Dir=V")</f>
        <v>0</v>
      </c>
      <c r="I2">
        <f>BDH("CAI US Equity","BS_LT_BORROW","1993-06-18","2026-05-02","Per=Y","Days=T","Dir=V")</f>
        <v>0</v>
      </c>
      <c r="K2">
        <f>BDH("CAI US Equity","BS_CASH_NEAR_CASH_ITEM","1993-06-18","2026-05-02","Per=Y","Days=T","Dir=V")</f>
        <v>0</v>
      </c>
      <c r="M2">
        <f>BDH("CAI US Equity","BS_CUR_ASSET_REPORT","1993-06-18","2026-05-02","Per=Y","Days=T","Dir=V")</f>
        <v>0</v>
      </c>
      <c r="O2">
        <f>BDH("CAI US Equity","BS_CUR_LIAB","1993-06-18","2026-05-02","Per=Y","Days=T","Dir=V")</f>
        <v>0</v>
      </c>
      <c r="Q2">
        <f>BDH("CAI US Equity","BS_SHAREHOLDER_EQY_ENDING_PERIOD","1993-06-18","2026-05-02","Per=Y","Days=T","Dir=V")</f>
        <v>0</v>
      </c>
      <c r="S2">
        <f>BDH("CAI US Equity","BS_ACCT_NOTE_RCV","1993-06-18","2026-05-02","Per=Y","Days=T","Dir=V")</f>
        <v>0</v>
      </c>
      <c r="U2">
        <f>BDH("CAI US Equity","BS_INVENTORIES","1993-06-18","2026-05-02","Per=Y","Days=T","Dir=V")</f>
        <v>0</v>
      </c>
      <c r="W2">
        <f>BDH("CAI US Equity","WORKING_CAPITAL","1993-06-18","2026-05-02","Per=Y","Days=T","Dir=V")</f>
        <v>0</v>
      </c>
      <c r="Y2">
        <f>BDH("CAI US Equity","SALES_REV_TURN","1993-06-18","2026-05-02","Per=Y","Days=T","Dir=V")</f>
        <v>0</v>
      </c>
      <c r="AA2">
        <f>BDH("CAI US Equity","EBIT","1993-06-18","2026-05-02","Per=Y","Days=T","Dir=V")</f>
        <v>0</v>
      </c>
      <c r="AC2">
        <f>BDH("CAI US Equity","EBITDA","1993-06-18","2026-05-02","Per=Y","Days=T","Dir=V")</f>
        <v>0</v>
      </c>
      <c r="AE2">
        <f>BDH("CAI US Equity","NET_INCOME","1993-06-18","2026-05-02","Per=Y","Days=T","Dir=V")</f>
        <v>0</v>
      </c>
      <c r="AG2">
        <f>BDH("CAI US Equity","IS_INT_EXPENSE","1993-06-18","2026-05-02","Per=Y","Days=T","Dir=V")</f>
        <v>0</v>
      </c>
      <c r="AI2">
        <f>BDH("CAI US Equity","IS_DEPR_EXP","1993-06-18","2026-05-02","Per=Y","Days=T","Dir=V")</f>
        <v>0</v>
      </c>
      <c r="AK2">
        <f>BDH("CAI US Equity","CF_CASH_FROM_OPER","1993-06-18","2026-05-02","Per=Y","Days=T","Dir=V")</f>
        <v>0</v>
      </c>
      <c r="AM2">
        <f>BDH("CAI US Equity","CAPITAL_EXPEND","1993-06-18","2026-05-02","Per=Y","Days=T","Dir=V")</f>
        <v>0</v>
      </c>
      <c r="AO2">
        <f>BDH("CAI US Equity","CF_FREE_CASH_FLOW","1993-06-18","2026-05-02","Per=Y","Days=T","Dir=V")</f>
        <v>0</v>
      </c>
      <c r="AQ2">
        <f>BDH("CAI US Equity","PX_LAST","1993-06-18","2026-05-02","Per=M","Days=T","Dir=V")</f>
        <v>0</v>
      </c>
      <c r="AS2">
        <f>BDH("CAI US Equity","CUR_MKT_CAP","1993-06-18","2026-05-02","Per=M","Days=T","Dir=V")</f>
        <v>0</v>
      </c>
      <c r="AU2">
        <f>BDH("CAI US Equity","EQY_SH_OUT","1993-06-18","2026-05-02","Per=M","Days=T","Dir=V")</f>
        <v>0</v>
      </c>
      <c r="AW2">
        <f>BDH("CAI US Equity","PX_VOLUME","1993-06-18","2026-05-02","Per=M","Days=T","Dir=V")</f>
        <v>0</v>
      </c>
      <c r="AY2">
        <f>BDH("CAI US Equity","TURNOVER","1993-06-18","2026-05-02","Per=M","Days=T","Dir=V")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BDH("CAKE US Equity","BS_TOT_ASSET","1993-06-18","2026-05-02","Per=Y","Days=T","Dir=V")</f>
        <v>0</v>
      </c>
      <c r="C2">
        <f>BDH("CAKE US Equity","BS_TOT_LIAB2","1993-06-18","2026-05-02","Per=Y","Days=T","Dir=V")</f>
        <v>0</v>
      </c>
      <c r="E2">
        <f>BDH("CAKE US Equity","SHORT_AND_LONG_TERM_DEBT","1993-06-18","2026-05-02","Per=Y","Days=T","Dir=V")</f>
        <v>0</v>
      </c>
      <c r="G2">
        <f>BDH("CAKE US Equity","BS_ST_BORROW","1993-06-18","2026-05-02","Per=Y","Days=T","Dir=V")</f>
        <v>0</v>
      </c>
      <c r="I2">
        <f>BDH("CAKE US Equity","BS_LT_BORROW","1993-06-18","2026-05-02","Per=Y","Days=T","Dir=V")</f>
        <v>0</v>
      </c>
      <c r="K2">
        <f>BDH("CAKE US Equity","BS_CASH_NEAR_CASH_ITEM","1993-06-18","2026-05-02","Per=Y","Days=T","Dir=V")</f>
        <v>0</v>
      </c>
      <c r="M2">
        <f>BDH("CAKE US Equity","BS_CUR_ASSET_REPORT","1993-06-18","2026-05-02","Per=Y","Days=T","Dir=V")</f>
        <v>0</v>
      </c>
      <c r="O2">
        <f>BDH("CAKE US Equity","BS_CUR_LIAB","1993-06-18","2026-05-02","Per=Y","Days=T","Dir=V")</f>
        <v>0</v>
      </c>
      <c r="Q2">
        <f>BDH("CAKE US Equity","BS_SHAREHOLDER_EQY_ENDING_PERIOD","1993-06-18","2026-05-02","Per=Y","Days=T","Dir=V")</f>
        <v>0</v>
      </c>
      <c r="S2">
        <f>BDH("CAKE US Equity","BS_ACCT_NOTE_RCV","1993-06-18","2026-05-02","Per=Y","Days=T","Dir=V")</f>
        <v>0</v>
      </c>
      <c r="U2">
        <f>BDH("CAKE US Equity","BS_INVENTORIES","1993-06-18","2026-05-02","Per=Y","Days=T","Dir=V")</f>
        <v>0</v>
      </c>
      <c r="W2">
        <f>BDH("CAKE US Equity","WORKING_CAPITAL","1993-06-18","2026-05-02","Per=Y","Days=T","Dir=V")</f>
        <v>0</v>
      </c>
      <c r="Y2">
        <f>BDH("CAKE US Equity","SALES_REV_TURN","1993-06-18","2026-05-02","Per=Y","Days=T","Dir=V")</f>
        <v>0</v>
      </c>
      <c r="AA2">
        <f>BDH("CAKE US Equity","EBIT","1993-06-18","2026-05-02","Per=Y","Days=T","Dir=V")</f>
        <v>0</v>
      </c>
      <c r="AC2">
        <f>BDH("CAKE US Equity","EBITDA","1993-06-18","2026-05-02","Per=Y","Days=T","Dir=V")</f>
        <v>0</v>
      </c>
      <c r="AE2">
        <f>BDH("CAKE US Equity","NET_INCOME","1993-06-18","2026-05-02","Per=Y","Days=T","Dir=V")</f>
        <v>0</v>
      </c>
      <c r="AG2">
        <f>BDH("CAKE US Equity","IS_INT_EXPENSE","1993-06-18","2026-05-02","Per=Y","Days=T","Dir=V")</f>
        <v>0</v>
      </c>
      <c r="AI2">
        <f>BDH("CAKE US Equity","IS_DEPR_EXP","1993-06-18","2026-05-02","Per=Y","Days=T","Dir=V")</f>
        <v>0</v>
      </c>
      <c r="AK2">
        <f>BDH("CAKE US Equity","CF_CASH_FROM_OPER","1993-06-18","2026-05-02","Per=Y","Days=T","Dir=V")</f>
        <v>0</v>
      </c>
      <c r="AM2">
        <f>BDH("CAKE US Equity","CAPITAL_EXPEND","1993-06-18","2026-05-02","Per=Y","Days=T","Dir=V")</f>
        <v>0</v>
      </c>
      <c r="AO2">
        <f>BDH("CAKE US Equity","CF_FREE_CASH_FLOW","1993-06-18","2026-05-02","Per=Y","Days=T","Dir=V")</f>
        <v>0</v>
      </c>
      <c r="AQ2">
        <f>BDH("CAKE US Equity","PX_LAST","1993-06-18","2026-05-02","Per=M","Days=T","Dir=V")</f>
        <v>0</v>
      </c>
      <c r="AS2">
        <f>BDH("CAKE US Equity","CUR_MKT_CAP","1993-06-18","2026-05-02","Per=M","Days=T","Dir=V")</f>
        <v>0</v>
      </c>
      <c r="AU2">
        <f>BDH("CAKE US Equity","EQY_SH_OUT","1993-06-18","2026-05-02","Per=M","Days=T","Dir=V")</f>
        <v>0</v>
      </c>
      <c r="AW2">
        <f>BDH("CAKE US Equity","PX_VOLUME","1993-06-18","2026-05-02","Per=M","Days=T","Dir=V")</f>
        <v>0</v>
      </c>
      <c r="AY2">
        <f>BDH("CAKE US Equity","TURNOVER","1993-06-18","2026-05-02","Per=M","Days=T","Dir=V")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BDH("CAL US Equity","BS_TOT_ASSET","1993-06-18","2026-05-02","Per=Y","Days=T","Dir=V")</f>
        <v>0</v>
      </c>
      <c r="C2">
        <f>BDH("CAL US Equity","BS_TOT_LIAB2","1993-06-18","2026-05-02","Per=Y","Days=T","Dir=V")</f>
        <v>0</v>
      </c>
      <c r="E2">
        <f>BDH("CAL US Equity","SHORT_AND_LONG_TERM_DEBT","1993-06-18","2026-05-02","Per=Y","Days=T","Dir=V")</f>
        <v>0</v>
      </c>
      <c r="G2">
        <f>BDH("CAL US Equity","BS_ST_BORROW","1993-06-18","2026-05-02","Per=Y","Days=T","Dir=V")</f>
        <v>0</v>
      </c>
      <c r="I2">
        <f>BDH("CAL US Equity","BS_LT_BORROW","1993-06-18","2026-05-02","Per=Y","Days=T","Dir=V")</f>
        <v>0</v>
      </c>
      <c r="K2">
        <f>BDH("CAL US Equity","BS_CASH_NEAR_CASH_ITEM","1993-06-18","2026-05-02","Per=Y","Days=T","Dir=V")</f>
        <v>0</v>
      </c>
      <c r="M2">
        <f>BDH("CAL US Equity","BS_CUR_ASSET_REPORT","1993-06-18","2026-05-02","Per=Y","Days=T","Dir=V")</f>
        <v>0</v>
      </c>
      <c r="O2">
        <f>BDH("CAL US Equity","BS_CUR_LIAB","1993-06-18","2026-05-02","Per=Y","Days=T","Dir=V")</f>
        <v>0</v>
      </c>
      <c r="Q2">
        <f>BDH("CAL US Equity","BS_SHAREHOLDER_EQY_ENDING_PERIOD","1993-06-18","2026-05-02","Per=Y","Days=T","Dir=V")</f>
        <v>0</v>
      </c>
      <c r="S2">
        <f>BDH("CAL US Equity","BS_ACCT_NOTE_RCV","1993-06-18","2026-05-02","Per=Y","Days=T","Dir=V")</f>
        <v>0</v>
      </c>
      <c r="U2">
        <f>BDH("CAL US Equity","BS_INVENTORIES","1993-06-18","2026-05-02","Per=Y","Days=T","Dir=V")</f>
        <v>0</v>
      </c>
      <c r="W2">
        <f>BDH("CAL US Equity","WORKING_CAPITAL","1993-06-18","2026-05-02","Per=Y","Days=T","Dir=V")</f>
        <v>0</v>
      </c>
      <c r="Y2">
        <f>BDH("CAL US Equity","SALES_REV_TURN","1993-06-18","2026-05-02","Per=Y","Days=T","Dir=V")</f>
        <v>0</v>
      </c>
      <c r="AA2">
        <f>BDH("CAL US Equity","EBIT","1993-06-18","2026-05-02","Per=Y","Days=T","Dir=V")</f>
        <v>0</v>
      </c>
      <c r="AC2">
        <f>BDH("CAL US Equity","EBITDA","1993-06-18","2026-05-02","Per=Y","Days=T","Dir=V")</f>
        <v>0</v>
      </c>
      <c r="AE2">
        <f>BDH("CAL US Equity","NET_INCOME","1993-06-18","2026-05-02","Per=Y","Days=T","Dir=V")</f>
        <v>0</v>
      </c>
      <c r="AG2">
        <f>BDH("CAL US Equity","IS_INT_EXPENSE","1993-06-18","2026-05-02","Per=Y","Days=T","Dir=V")</f>
        <v>0</v>
      </c>
      <c r="AI2">
        <f>BDH("CAL US Equity","IS_DEPR_EXP","1993-06-18","2026-05-02","Per=Y","Days=T","Dir=V")</f>
        <v>0</v>
      </c>
      <c r="AK2">
        <f>BDH("CAL US Equity","CF_CASH_FROM_OPER","1993-06-18","2026-05-02","Per=Y","Days=T","Dir=V")</f>
        <v>0</v>
      </c>
      <c r="AM2">
        <f>BDH("CAL US Equity","CAPITAL_EXPEND","1993-06-18","2026-05-02","Per=Y","Days=T","Dir=V")</f>
        <v>0</v>
      </c>
      <c r="AO2">
        <f>BDH("CAL US Equity","CF_FREE_CASH_FLOW","1993-06-18","2026-05-02","Per=Y","Days=T","Dir=V")</f>
        <v>0</v>
      </c>
      <c r="AQ2">
        <f>BDH("CAL US Equity","PX_LAST","1993-06-18","2026-05-02","Per=M","Days=T","Dir=V")</f>
        <v>0</v>
      </c>
      <c r="AS2">
        <f>BDH("CAL US Equity","CUR_MKT_CAP","1993-06-18","2026-05-02","Per=M","Days=T","Dir=V")</f>
        <v>0</v>
      </c>
      <c r="AU2">
        <f>BDH("CAL US Equity","EQY_SH_OUT","1993-06-18","2026-05-02","Per=M","Days=T","Dir=V")</f>
        <v>0</v>
      </c>
      <c r="AW2">
        <f>BDH("CAL US Equity","PX_VOLUME","1993-06-18","2026-05-02","Per=M","Days=T","Dir=V")</f>
        <v>0</v>
      </c>
      <c r="AY2">
        <f>BDH("CAL US Equity","TURNOVER","1993-06-18","2026-05-02","Per=M","Days=T","Dir=V")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BDH("CALC US Equity","BS_TOT_ASSET","1993-06-18","2026-05-02","Per=Y","Days=T","Dir=V")</f>
        <v>0</v>
      </c>
      <c r="C2">
        <f>BDH("CALC US Equity","BS_TOT_LIAB2","1993-06-18","2026-05-02","Per=Y","Days=T","Dir=V")</f>
        <v>0</v>
      </c>
      <c r="E2">
        <f>BDH("CALC US Equity","SHORT_AND_LONG_TERM_DEBT","1993-06-18","2026-05-02","Per=Y","Days=T","Dir=V")</f>
        <v>0</v>
      </c>
      <c r="G2">
        <f>BDH("CALC US Equity","BS_ST_BORROW","1993-06-18","2026-05-02","Per=Y","Days=T","Dir=V")</f>
        <v>0</v>
      </c>
      <c r="I2">
        <f>BDH("CALC US Equity","BS_LT_BORROW","1993-06-18","2026-05-02","Per=Y","Days=T","Dir=V")</f>
        <v>0</v>
      </c>
      <c r="K2">
        <f>BDH("CALC US Equity","BS_CASH_NEAR_CASH_ITEM","1993-06-18","2026-05-02","Per=Y","Days=T","Dir=V")</f>
        <v>0</v>
      </c>
      <c r="M2">
        <f>BDH("CALC US Equity","BS_CUR_ASSET_REPORT","1993-06-18","2026-05-02","Per=Y","Days=T","Dir=V")</f>
        <v>0</v>
      </c>
      <c r="O2">
        <f>BDH("CALC US Equity","BS_CUR_LIAB","1993-06-18","2026-05-02","Per=Y","Days=T","Dir=V")</f>
        <v>0</v>
      </c>
      <c r="Q2">
        <f>BDH("CALC US Equity","BS_SHAREHOLDER_EQY_ENDING_PERIOD","1993-06-18","2026-05-02","Per=Y","Days=T","Dir=V")</f>
        <v>0</v>
      </c>
      <c r="S2">
        <f>BDH("CALC US Equity","BS_ACCT_NOTE_RCV","1993-06-18","2026-05-02","Per=Y","Days=T","Dir=V")</f>
        <v>0</v>
      </c>
      <c r="U2">
        <f>BDH("CALC US Equity","BS_INVENTORIES","1993-06-18","2026-05-02","Per=Y","Days=T","Dir=V")</f>
        <v>0</v>
      </c>
      <c r="W2">
        <f>BDH("CALC US Equity","WORKING_CAPITAL","1993-06-18","2026-05-02","Per=Y","Days=T","Dir=V")</f>
        <v>0</v>
      </c>
      <c r="Y2">
        <f>BDH("CALC US Equity","SALES_REV_TURN","1993-06-18","2026-05-02","Per=Y","Days=T","Dir=V")</f>
        <v>0</v>
      </c>
      <c r="AA2">
        <f>BDH("CALC US Equity","EBIT","1993-06-18","2026-05-02","Per=Y","Days=T","Dir=V")</f>
        <v>0</v>
      </c>
      <c r="AC2">
        <f>BDH("CALC US Equity","EBITDA","1993-06-18","2026-05-02","Per=Y","Days=T","Dir=V")</f>
        <v>0</v>
      </c>
      <c r="AE2">
        <f>BDH("CALC US Equity","NET_INCOME","1993-06-18","2026-05-02","Per=Y","Days=T","Dir=V")</f>
        <v>0</v>
      </c>
      <c r="AG2">
        <f>BDH("CALC US Equity","IS_INT_EXPENSE","1993-06-18","2026-05-02","Per=Y","Days=T","Dir=V")</f>
        <v>0</v>
      </c>
      <c r="AI2">
        <f>BDH("CALC US Equity","IS_DEPR_EXP","1993-06-18","2026-05-02","Per=Y","Days=T","Dir=V")</f>
        <v>0</v>
      </c>
      <c r="AK2">
        <f>BDH("CALC US Equity","CF_CASH_FROM_OPER","1993-06-18","2026-05-02","Per=Y","Days=T","Dir=V")</f>
        <v>0</v>
      </c>
      <c r="AM2">
        <f>BDH("CALC US Equity","CAPITAL_EXPEND","1993-06-18","2026-05-02","Per=Y","Days=T","Dir=V")</f>
        <v>0</v>
      </c>
      <c r="AO2">
        <f>BDH("CALC US Equity","CF_FREE_CASH_FLOW","1993-06-18","2026-05-02","Per=Y","Days=T","Dir=V")</f>
        <v>0</v>
      </c>
      <c r="AQ2">
        <f>BDH("CALC US Equity","PX_LAST","1993-06-18","2026-05-02","Per=M","Days=T","Dir=V")</f>
        <v>0</v>
      </c>
      <c r="AS2">
        <f>BDH("CALC US Equity","CUR_MKT_CAP","1993-06-18","2026-05-02","Per=M","Days=T","Dir=V")</f>
        <v>0</v>
      </c>
      <c r="AU2">
        <f>BDH("CALC US Equity","EQY_SH_OUT","1993-06-18","2026-05-02","Per=M","Days=T","Dir=V")</f>
        <v>0</v>
      </c>
      <c r="AW2">
        <f>BDH("CALC US Equity","PX_VOLUME","1993-06-18","2026-05-02","Per=M","Days=T","Dir=V")</f>
        <v>0</v>
      </c>
      <c r="AY2">
        <f>BDH("CALC US Equity","TURNOVER","1993-06-18","2026-05-02","Per=M","Days=T","Dir=V")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BDH("CALM US Equity","BS_TOT_ASSET","1993-06-18","2026-05-02","Per=Y","Days=T","Dir=V")</f>
        <v>0</v>
      </c>
      <c r="C2">
        <f>BDH("CALM US Equity","BS_TOT_LIAB2","1993-06-18","2026-05-02","Per=Y","Days=T","Dir=V")</f>
        <v>0</v>
      </c>
      <c r="E2">
        <f>BDH("CALM US Equity","SHORT_AND_LONG_TERM_DEBT","1993-06-18","2026-05-02","Per=Y","Days=T","Dir=V")</f>
        <v>0</v>
      </c>
      <c r="G2">
        <f>BDH("CALM US Equity","BS_ST_BORROW","1993-06-18","2026-05-02","Per=Y","Days=T","Dir=V")</f>
        <v>0</v>
      </c>
      <c r="I2">
        <f>BDH("CALM US Equity","BS_LT_BORROW","1993-06-18","2026-05-02","Per=Y","Days=T","Dir=V")</f>
        <v>0</v>
      </c>
      <c r="K2">
        <f>BDH("CALM US Equity","BS_CASH_NEAR_CASH_ITEM","1993-06-18","2026-05-02","Per=Y","Days=T","Dir=V")</f>
        <v>0</v>
      </c>
      <c r="M2">
        <f>BDH("CALM US Equity","BS_CUR_ASSET_REPORT","1993-06-18","2026-05-02","Per=Y","Days=T","Dir=V")</f>
        <v>0</v>
      </c>
      <c r="O2">
        <f>BDH("CALM US Equity","BS_CUR_LIAB","1993-06-18","2026-05-02","Per=Y","Days=T","Dir=V")</f>
        <v>0</v>
      </c>
      <c r="Q2">
        <f>BDH("CALM US Equity","BS_SHAREHOLDER_EQY_ENDING_PERIOD","1993-06-18","2026-05-02","Per=Y","Days=T","Dir=V")</f>
        <v>0</v>
      </c>
      <c r="S2">
        <f>BDH("CALM US Equity","BS_ACCT_NOTE_RCV","1993-06-18","2026-05-02","Per=Y","Days=T","Dir=V")</f>
        <v>0</v>
      </c>
      <c r="U2">
        <f>BDH("CALM US Equity","BS_INVENTORIES","1993-06-18","2026-05-02","Per=Y","Days=T","Dir=V")</f>
        <v>0</v>
      </c>
      <c r="W2">
        <f>BDH("CALM US Equity","WORKING_CAPITAL","1993-06-18","2026-05-02","Per=Y","Days=T","Dir=V")</f>
        <v>0</v>
      </c>
      <c r="Y2">
        <f>BDH("CALM US Equity","SALES_REV_TURN","1993-06-18","2026-05-02","Per=Y","Days=T","Dir=V")</f>
        <v>0</v>
      </c>
      <c r="AA2">
        <f>BDH("CALM US Equity","EBIT","1993-06-18","2026-05-02","Per=Y","Days=T","Dir=V")</f>
        <v>0</v>
      </c>
      <c r="AC2">
        <f>BDH("CALM US Equity","EBITDA","1993-06-18","2026-05-02","Per=Y","Days=T","Dir=V")</f>
        <v>0</v>
      </c>
      <c r="AE2">
        <f>BDH("CALM US Equity","NET_INCOME","1993-06-18","2026-05-02","Per=Y","Days=T","Dir=V")</f>
        <v>0</v>
      </c>
      <c r="AG2">
        <f>BDH("CALM US Equity","IS_INT_EXPENSE","1993-06-18","2026-05-02","Per=Y","Days=T","Dir=V")</f>
        <v>0</v>
      </c>
      <c r="AI2">
        <f>BDH("CALM US Equity","IS_DEPR_EXP","1993-06-18","2026-05-02","Per=Y","Days=T","Dir=V")</f>
        <v>0</v>
      </c>
      <c r="AK2">
        <f>BDH("CALM US Equity","CF_CASH_FROM_OPER","1993-06-18","2026-05-02","Per=Y","Days=T","Dir=V")</f>
        <v>0</v>
      </c>
      <c r="AM2">
        <f>BDH("CALM US Equity","CAPITAL_EXPEND","1993-06-18","2026-05-02","Per=Y","Days=T","Dir=V")</f>
        <v>0</v>
      </c>
      <c r="AO2">
        <f>BDH("CALM US Equity","CF_FREE_CASH_FLOW","1993-06-18","2026-05-02","Per=Y","Days=T","Dir=V")</f>
        <v>0</v>
      </c>
      <c r="AQ2">
        <f>BDH("CALM US Equity","PX_LAST","1993-06-18","2026-05-02","Per=M","Days=T","Dir=V")</f>
        <v>0</v>
      </c>
      <c r="AS2">
        <f>BDH("CALM US Equity","CUR_MKT_CAP","1993-06-18","2026-05-02","Per=M","Days=T","Dir=V")</f>
        <v>0</v>
      </c>
      <c r="AU2">
        <f>BDH("CALM US Equity","EQY_SH_OUT","1993-06-18","2026-05-02","Per=M","Days=T","Dir=V")</f>
        <v>0</v>
      </c>
      <c r="AW2">
        <f>BDH("CALM US Equity","PX_VOLUME","1993-06-18","2026-05-02","Per=M","Days=T","Dir=V")</f>
        <v>0</v>
      </c>
      <c r="AY2">
        <f>BDH("CALM US Equity","TURNOVER","1993-06-18","2026-05-02","Per=M","Days=T","Dir=V")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BDH("CALX US Equity","BS_TOT_ASSET","1993-06-18","2026-05-02","Per=Y","Days=T","Dir=V")</f>
        <v>0</v>
      </c>
      <c r="C2">
        <f>BDH("CALX US Equity","BS_TOT_LIAB2","1993-06-18","2026-05-02","Per=Y","Days=T","Dir=V")</f>
        <v>0</v>
      </c>
      <c r="E2">
        <f>BDH("CALX US Equity","SHORT_AND_LONG_TERM_DEBT","1993-06-18","2026-05-02","Per=Y","Days=T","Dir=V")</f>
        <v>0</v>
      </c>
      <c r="G2">
        <f>BDH("CALX US Equity","BS_ST_BORROW","1993-06-18","2026-05-02","Per=Y","Days=T","Dir=V")</f>
        <v>0</v>
      </c>
      <c r="I2">
        <f>BDH("CALX US Equity","BS_LT_BORROW","1993-06-18","2026-05-02","Per=Y","Days=T","Dir=V")</f>
        <v>0</v>
      </c>
      <c r="K2">
        <f>BDH("CALX US Equity","BS_CASH_NEAR_CASH_ITEM","1993-06-18","2026-05-02","Per=Y","Days=T","Dir=V")</f>
        <v>0</v>
      </c>
      <c r="M2">
        <f>BDH("CALX US Equity","BS_CUR_ASSET_REPORT","1993-06-18","2026-05-02","Per=Y","Days=T","Dir=V")</f>
        <v>0</v>
      </c>
      <c r="O2">
        <f>BDH("CALX US Equity","BS_CUR_LIAB","1993-06-18","2026-05-02","Per=Y","Days=T","Dir=V")</f>
        <v>0</v>
      </c>
      <c r="Q2">
        <f>BDH("CALX US Equity","BS_SHAREHOLDER_EQY_ENDING_PERIOD","1993-06-18","2026-05-02","Per=Y","Days=T","Dir=V")</f>
        <v>0</v>
      </c>
      <c r="S2">
        <f>BDH("CALX US Equity","BS_ACCT_NOTE_RCV","1993-06-18","2026-05-02","Per=Y","Days=T","Dir=V")</f>
        <v>0</v>
      </c>
      <c r="U2">
        <f>BDH("CALX US Equity","BS_INVENTORIES","1993-06-18","2026-05-02","Per=Y","Days=T","Dir=V")</f>
        <v>0</v>
      </c>
      <c r="W2">
        <f>BDH("CALX US Equity","WORKING_CAPITAL","1993-06-18","2026-05-02","Per=Y","Days=T","Dir=V")</f>
        <v>0</v>
      </c>
      <c r="Y2">
        <f>BDH("CALX US Equity","SALES_REV_TURN","1993-06-18","2026-05-02","Per=Y","Days=T","Dir=V")</f>
        <v>0</v>
      </c>
      <c r="AA2">
        <f>BDH("CALX US Equity","EBIT","1993-06-18","2026-05-02","Per=Y","Days=T","Dir=V")</f>
        <v>0</v>
      </c>
      <c r="AC2">
        <f>BDH("CALX US Equity","EBITDA","1993-06-18","2026-05-02","Per=Y","Days=T","Dir=V")</f>
        <v>0</v>
      </c>
      <c r="AE2">
        <f>BDH("CALX US Equity","NET_INCOME","1993-06-18","2026-05-02","Per=Y","Days=T","Dir=V")</f>
        <v>0</v>
      </c>
      <c r="AG2">
        <f>BDH("CALX US Equity","IS_INT_EXPENSE","1993-06-18","2026-05-02","Per=Y","Days=T","Dir=V")</f>
        <v>0</v>
      </c>
      <c r="AI2">
        <f>BDH("CALX US Equity","IS_DEPR_EXP","1993-06-18","2026-05-02","Per=Y","Days=T","Dir=V")</f>
        <v>0</v>
      </c>
      <c r="AK2">
        <f>BDH("CALX US Equity","CF_CASH_FROM_OPER","1993-06-18","2026-05-02","Per=Y","Days=T","Dir=V")</f>
        <v>0</v>
      </c>
      <c r="AM2">
        <f>BDH("CALX US Equity","CAPITAL_EXPEND","1993-06-18","2026-05-02","Per=Y","Days=T","Dir=V")</f>
        <v>0</v>
      </c>
      <c r="AO2">
        <f>BDH("CALX US Equity","CF_FREE_CASH_FLOW","1993-06-18","2026-05-02","Per=Y","Days=T","Dir=V")</f>
        <v>0</v>
      </c>
      <c r="AQ2">
        <f>BDH("CALX US Equity","PX_LAST","1993-06-18","2026-05-02","Per=M","Days=T","Dir=V")</f>
        <v>0</v>
      </c>
      <c r="AS2">
        <f>BDH("CALX US Equity","CUR_MKT_CAP","1993-06-18","2026-05-02","Per=M","Days=T","Dir=V")</f>
        <v>0</v>
      </c>
      <c r="AU2">
        <f>BDH("CALX US Equity","EQY_SH_OUT","1993-06-18","2026-05-02","Per=M","Days=T","Dir=V")</f>
        <v>0</v>
      </c>
      <c r="AW2">
        <f>BDH("CALX US Equity","PX_VOLUME","1993-06-18","2026-05-02","Per=M","Days=T","Dir=V")</f>
        <v>0</v>
      </c>
      <c r="AY2">
        <f>BDH("CALX US Equity","TURNOVER","1993-06-18","2026-05-02","Per=M","Days=T","Dir=V")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BDH("CALY US Equity","BS_TOT_ASSET","1993-06-18","2026-05-02","Per=Y","Days=T","Dir=V")</f>
        <v>0</v>
      </c>
      <c r="C2">
        <f>BDH("CALY US Equity","BS_TOT_LIAB2","1993-06-18","2026-05-02","Per=Y","Days=T","Dir=V")</f>
        <v>0</v>
      </c>
      <c r="E2">
        <f>BDH("CALY US Equity","SHORT_AND_LONG_TERM_DEBT","1993-06-18","2026-05-02","Per=Y","Days=T","Dir=V")</f>
        <v>0</v>
      </c>
      <c r="G2">
        <f>BDH("CALY US Equity","BS_ST_BORROW","1993-06-18","2026-05-02","Per=Y","Days=T","Dir=V")</f>
        <v>0</v>
      </c>
      <c r="I2">
        <f>BDH("CALY US Equity","BS_LT_BORROW","1993-06-18","2026-05-02","Per=Y","Days=T","Dir=V")</f>
        <v>0</v>
      </c>
      <c r="K2">
        <f>BDH("CALY US Equity","BS_CASH_NEAR_CASH_ITEM","1993-06-18","2026-05-02","Per=Y","Days=T","Dir=V")</f>
        <v>0</v>
      </c>
      <c r="M2">
        <f>BDH("CALY US Equity","BS_CUR_ASSET_REPORT","1993-06-18","2026-05-02","Per=Y","Days=T","Dir=V")</f>
        <v>0</v>
      </c>
      <c r="O2">
        <f>BDH("CALY US Equity","BS_CUR_LIAB","1993-06-18","2026-05-02","Per=Y","Days=T","Dir=V")</f>
        <v>0</v>
      </c>
      <c r="Q2">
        <f>BDH("CALY US Equity","BS_SHAREHOLDER_EQY_ENDING_PERIOD","1993-06-18","2026-05-02","Per=Y","Days=T","Dir=V")</f>
        <v>0</v>
      </c>
      <c r="S2">
        <f>BDH("CALY US Equity","BS_ACCT_NOTE_RCV","1993-06-18","2026-05-02","Per=Y","Days=T","Dir=V")</f>
        <v>0</v>
      </c>
      <c r="U2">
        <f>BDH("CALY US Equity","BS_INVENTORIES","1993-06-18","2026-05-02","Per=Y","Days=T","Dir=V")</f>
        <v>0</v>
      </c>
      <c r="W2">
        <f>BDH("CALY US Equity","WORKING_CAPITAL","1993-06-18","2026-05-02","Per=Y","Days=T","Dir=V")</f>
        <v>0</v>
      </c>
      <c r="Y2">
        <f>BDH("CALY US Equity","SALES_REV_TURN","1993-06-18","2026-05-02","Per=Y","Days=T","Dir=V")</f>
        <v>0</v>
      </c>
      <c r="AA2">
        <f>BDH("CALY US Equity","EBIT","1993-06-18","2026-05-02","Per=Y","Days=T","Dir=V")</f>
        <v>0</v>
      </c>
      <c r="AC2">
        <f>BDH("CALY US Equity","EBITDA","1993-06-18","2026-05-02","Per=Y","Days=T","Dir=V")</f>
        <v>0</v>
      </c>
      <c r="AE2">
        <f>BDH("CALY US Equity","NET_INCOME","1993-06-18","2026-05-02","Per=Y","Days=T","Dir=V")</f>
        <v>0</v>
      </c>
      <c r="AG2">
        <f>BDH("CALY US Equity","IS_INT_EXPENSE","1993-06-18","2026-05-02","Per=Y","Days=T","Dir=V")</f>
        <v>0</v>
      </c>
      <c r="AI2">
        <f>BDH("CALY US Equity","IS_DEPR_EXP","1993-06-18","2026-05-02","Per=Y","Days=T","Dir=V")</f>
        <v>0</v>
      </c>
      <c r="AK2">
        <f>BDH("CALY US Equity","CF_CASH_FROM_OPER","1993-06-18","2026-05-02","Per=Y","Days=T","Dir=V")</f>
        <v>0</v>
      </c>
      <c r="AM2">
        <f>BDH("CALY US Equity","CAPITAL_EXPEND","1993-06-18","2026-05-02","Per=Y","Days=T","Dir=V")</f>
        <v>0</v>
      </c>
      <c r="AO2">
        <f>BDH("CALY US Equity","CF_FREE_CASH_FLOW","1993-06-18","2026-05-02","Per=Y","Days=T","Dir=V")</f>
        <v>0</v>
      </c>
      <c r="AQ2">
        <f>BDH("CALY US Equity","PX_LAST","1993-06-18","2026-05-02","Per=M","Days=T","Dir=V")</f>
        <v>0</v>
      </c>
      <c r="AS2">
        <f>BDH("CALY US Equity","CUR_MKT_CAP","1993-06-18","2026-05-02","Per=M","Days=T","Dir=V")</f>
        <v>0</v>
      </c>
      <c r="AU2">
        <f>BDH("CALY US Equity","EQY_SH_OUT","1993-06-18","2026-05-02","Per=M","Days=T","Dir=V")</f>
        <v>0</v>
      </c>
      <c r="AW2">
        <f>BDH("CALY US Equity","PX_VOLUME","1993-06-18","2026-05-02","Per=M","Days=T","Dir=V")</f>
        <v>0</v>
      </c>
      <c r="AY2">
        <f>BDH("CALY US Equity","TURNOVER","1993-06-18","2026-05-02","Per=M","Days=T","Dir=V")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BDH("CAMP US Equity","BS_TOT_ASSET","1993-06-18","2026-05-02","Per=Y","Days=T","Dir=V")</f>
        <v>0</v>
      </c>
      <c r="C2">
        <f>BDH("CAMP US Equity","BS_TOT_LIAB2","1993-06-18","2026-05-02","Per=Y","Days=T","Dir=V")</f>
        <v>0</v>
      </c>
      <c r="E2">
        <f>BDH("CAMP US Equity","SHORT_AND_LONG_TERM_DEBT","1993-06-18","2026-05-02","Per=Y","Days=T","Dir=V")</f>
        <v>0</v>
      </c>
      <c r="G2">
        <f>BDH("CAMP US Equity","BS_ST_BORROW","1993-06-18","2026-05-02","Per=Y","Days=T","Dir=V")</f>
        <v>0</v>
      </c>
      <c r="I2">
        <f>BDH("CAMP US Equity","BS_LT_BORROW","1993-06-18","2026-05-02","Per=Y","Days=T","Dir=V")</f>
        <v>0</v>
      </c>
      <c r="K2">
        <f>BDH("CAMP US Equity","BS_CASH_NEAR_CASH_ITEM","1993-06-18","2026-05-02","Per=Y","Days=T","Dir=V")</f>
        <v>0</v>
      </c>
      <c r="M2">
        <f>BDH("CAMP US Equity","BS_CUR_ASSET_REPORT","1993-06-18","2026-05-02","Per=Y","Days=T","Dir=V")</f>
        <v>0</v>
      </c>
      <c r="O2">
        <f>BDH("CAMP US Equity","BS_CUR_LIAB","1993-06-18","2026-05-02","Per=Y","Days=T","Dir=V")</f>
        <v>0</v>
      </c>
      <c r="Q2">
        <f>BDH("CAMP US Equity","BS_SHAREHOLDER_EQY_ENDING_PERIOD","1993-06-18","2026-05-02","Per=Y","Days=T","Dir=V")</f>
        <v>0</v>
      </c>
      <c r="S2">
        <f>BDH("CAMP US Equity","BS_ACCT_NOTE_RCV","1993-06-18","2026-05-02","Per=Y","Days=T","Dir=V")</f>
        <v>0</v>
      </c>
      <c r="U2">
        <f>BDH("CAMP US Equity","BS_INVENTORIES","1993-06-18","2026-05-02","Per=Y","Days=T","Dir=V")</f>
        <v>0</v>
      </c>
      <c r="W2">
        <f>BDH("CAMP US Equity","WORKING_CAPITAL","1993-06-18","2026-05-02","Per=Y","Days=T","Dir=V")</f>
        <v>0</v>
      </c>
      <c r="Y2">
        <f>BDH("CAMP US Equity","SALES_REV_TURN","1993-06-18","2026-05-02","Per=Y","Days=T","Dir=V")</f>
        <v>0</v>
      </c>
      <c r="AA2">
        <f>BDH("CAMP US Equity","EBIT","1993-06-18","2026-05-02","Per=Y","Days=T","Dir=V")</f>
        <v>0</v>
      </c>
      <c r="AC2">
        <f>BDH("CAMP US Equity","EBITDA","1993-06-18","2026-05-02","Per=Y","Days=T","Dir=V")</f>
        <v>0</v>
      </c>
      <c r="AE2">
        <f>BDH("CAMP US Equity","NET_INCOME","1993-06-18","2026-05-02","Per=Y","Days=T","Dir=V")</f>
        <v>0</v>
      </c>
      <c r="AG2">
        <f>BDH("CAMP US Equity","IS_INT_EXPENSE","1993-06-18","2026-05-02","Per=Y","Days=T","Dir=V")</f>
        <v>0</v>
      </c>
      <c r="AI2">
        <f>BDH("CAMP US Equity","IS_DEPR_EXP","1993-06-18","2026-05-02","Per=Y","Days=T","Dir=V")</f>
        <v>0</v>
      </c>
      <c r="AK2">
        <f>BDH("CAMP US Equity","CF_CASH_FROM_OPER","1993-06-18","2026-05-02","Per=Y","Days=T","Dir=V")</f>
        <v>0</v>
      </c>
      <c r="AM2">
        <f>BDH("CAMP US Equity","CAPITAL_EXPEND","1993-06-18","2026-05-02","Per=Y","Days=T","Dir=V")</f>
        <v>0</v>
      </c>
      <c r="AO2">
        <f>BDH("CAMP US Equity","CF_FREE_CASH_FLOW","1993-06-18","2026-05-02","Per=Y","Days=T","Dir=V")</f>
        <v>0</v>
      </c>
      <c r="AQ2">
        <f>BDH("CAMP US Equity","PX_LAST","1993-06-18","2026-05-02","Per=M","Days=T","Dir=V")</f>
        <v>0</v>
      </c>
      <c r="AS2">
        <f>BDH("CAMP US Equity","CUR_MKT_CAP","1993-06-18","2026-05-02","Per=M","Days=T","Dir=V")</f>
        <v>0</v>
      </c>
      <c r="AU2">
        <f>BDH("CAMP US Equity","EQY_SH_OUT","1993-06-18","2026-05-02","Per=M","Days=T","Dir=V")</f>
        <v>0</v>
      </c>
      <c r="AW2">
        <f>BDH("CAMP US Equity","PX_VOLUME","1993-06-18","2026-05-02","Per=M","Days=T","Dir=V")</f>
        <v>0</v>
      </c>
      <c r="AY2">
        <f>BDH("CAMP US Equity","TURNOVER","1993-06-18","2026-05-02","Per=M","Days=T","Dir=V")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BDH("CAPL US Equity","BS_TOT_ASSET","1993-06-18","2026-05-02","Per=Y","Days=T","Dir=V")</f>
        <v>0</v>
      </c>
      <c r="C2">
        <f>BDH("CAPL US Equity","BS_TOT_LIAB2","1993-06-18","2026-05-02","Per=Y","Days=T","Dir=V")</f>
        <v>0</v>
      </c>
      <c r="E2">
        <f>BDH("CAPL US Equity","SHORT_AND_LONG_TERM_DEBT","1993-06-18","2026-05-02","Per=Y","Days=T","Dir=V")</f>
        <v>0</v>
      </c>
      <c r="G2">
        <f>BDH("CAPL US Equity","BS_ST_BORROW","1993-06-18","2026-05-02","Per=Y","Days=T","Dir=V")</f>
        <v>0</v>
      </c>
      <c r="I2">
        <f>BDH("CAPL US Equity","BS_LT_BORROW","1993-06-18","2026-05-02","Per=Y","Days=T","Dir=V")</f>
        <v>0</v>
      </c>
      <c r="K2">
        <f>BDH("CAPL US Equity","BS_CASH_NEAR_CASH_ITEM","1993-06-18","2026-05-02","Per=Y","Days=T","Dir=V")</f>
        <v>0</v>
      </c>
      <c r="M2">
        <f>BDH("CAPL US Equity","BS_CUR_ASSET_REPORT","1993-06-18","2026-05-02","Per=Y","Days=T","Dir=V")</f>
        <v>0</v>
      </c>
      <c r="O2">
        <f>BDH("CAPL US Equity","BS_CUR_LIAB","1993-06-18","2026-05-02","Per=Y","Days=T","Dir=V")</f>
        <v>0</v>
      </c>
      <c r="Q2">
        <f>BDH("CAPL US Equity","BS_SHAREHOLDER_EQY_ENDING_PERIOD","1993-06-18","2026-05-02","Per=Y","Days=T","Dir=V")</f>
        <v>0</v>
      </c>
      <c r="S2">
        <f>BDH("CAPL US Equity","BS_ACCT_NOTE_RCV","1993-06-18","2026-05-02","Per=Y","Days=T","Dir=V")</f>
        <v>0</v>
      </c>
      <c r="U2">
        <f>BDH("CAPL US Equity","BS_INVENTORIES","1993-06-18","2026-05-02","Per=Y","Days=T","Dir=V")</f>
        <v>0</v>
      </c>
      <c r="W2">
        <f>BDH("CAPL US Equity","WORKING_CAPITAL","1993-06-18","2026-05-02","Per=Y","Days=T","Dir=V")</f>
        <v>0</v>
      </c>
      <c r="Y2">
        <f>BDH("CAPL US Equity","SALES_REV_TURN","1993-06-18","2026-05-02","Per=Y","Days=T","Dir=V")</f>
        <v>0</v>
      </c>
      <c r="AA2">
        <f>BDH("CAPL US Equity","EBIT","1993-06-18","2026-05-02","Per=Y","Days=T","Dir=V")</f>
        <v>0</v>
      </c>
      <c r="AC2">
        <f>BDH("CAPL US Equity","EBITDA","1993-06-18","2026-05-02","Per=Y","Days=T","Dir=V")</f>
        <v>0</v>
      </c>
      <c r="AE2">
        <f>BDH("CAPL US Equity","NET_INCOME","1993-06-18","2026-05-02","Per=Y","Days=T","Dir=V")</f>
        <v>0</v>
      </c>
      <c r="AG2">
        <f>BDH("CAPL US Equity","IS_INT_EXPENSE","1993-06-18","2026-05-02","Per=Y","Days=T","Dir=V")</f>
        <v>0</v>
      </c>
      <c r="AI2">
        <f>BDH("CAPL US Equity","IS_DEPR_EXP","1993-06-18","2026-05-02","Per=Y","Days=T","Dir=V")</f>
        <v>0</v>
      </c>
      <c r="AK2">
        <f>BDH("CAPL US Equity","CF_CASH_FROM_OPER","1993-06-18","2026-05-02","Per=Y","Days=T","Dir=V")</f>
        <v>0</v>
      </c>
      <c r="AM2">
        <f>BDH("CAPL US Equity","CAPITAL_EXPEND","1993-06-18","2026-05-02","Per=Y","Days=T","Dir=V")</f>
        <v>0</v>
      </c>
      <c r="AO2">
        <f>BDH("CAPL US Equity","CF_FREE_CASH_FLOW","1993-06-18","2026-05-02","Per=Y","Days=T","Dir=V")</f>
        <v>0</v>
      </c>
      <c r="AQ2">
        <f>BDH("CAPL US Equity","PX_LAST","1993-06-18","2026-05-02","Per=M","Days=T","Dir=V")</f>
        <v>0</v>
      </c>
      <c r="AS2">
        <f>BDH("CAPL US Equity","CUR_MKT_CAP","1993-06-18","2026-05-02","Per=M","Days=T","Dir=V")</f>
        <v>0</v>
      </c>
      <c r="AU2">
        <f>BDH("CAPL US Equity","EQY_SH_OUT","1993-06-18","2026-05-02","Per=M","Days=T","Dir=V")</f>
        <v>0</v>
      </c>
      <c r="AW2">
        <f>BDH("CAPL US Equity","PX_VOLUME","1993-06-18","2026-05-02","Per=M","Days=T","Dir=V")</f>
        <v>0</v>
      </c>
      <c r="AY2">
        <f>BDH("CAPL US Equity","TURNOVER","1993-06-18","2026-05-02","Per=M","Days=T","Dir=V")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BDH("CAPR US Equity","BS_TOT_ASSET","1993-06-18","2026-05-02","Per=Y","Days=T","Dir=V")</f>
        <v>0</v>
      </c>
      <c r="C2">
        <f>BDH("CAPR US Equity","BS_TOT_LIAB2","1993-06-18","2026-05-02","Per=Y","Days=T","Dir=V")</f>
        <v>0</v>
      </c>
      <c r="E2">
        <f>BDH("CAPR US Equity","SHORT_AND_LONG_TERM_DEBT","1993-06-18","2026-05-02","Per=Y","Days=T","Dir=V")</f>
        <v>0</v>
      </c>
      <c r="G2">
        <f>BDH("CAPR US Equity","BS_ST_BORROW","1993-06-18","2026-05-02","Per=Y","Days=T","Dir=V")</f>
        <v>0</v>
      </c>
      <c r="I2">
        <f>BDH("CAPR US Equity","BS_LT_BORROW","1993-06-18","2026-05-02","Per=Y","Days=T","Dir=V")</f>
        <v>0</v>
      </c>
      <c r="K2">
        <f>BDH("CAPR US Equity","BS_CASH_NEAR_CASH_ITEM","1993-06-18","2026-05-02","Per=Y","Days=T","Dir=V")</f>
        <v>0</v>
      </c>
      <c r="M2">
        <f>BDH("CAPR US Equity","BS_CUR_ASSET_REPORT","1993-06-18","2026-05-02","Per=Y","Days=T","Dir=V")</f>
        <v>0</v>
      </c>
      <c r="O2">
        <f>BDH("CAPR US Equity","BS_CUR_LIAB","1993-06-18","2026-05-02","Per=Y","Days=T","Dir=V")</f>
        <v>0</v>
      </c>
      <c r="Q2">
        <f>BDH("CAPR US Equity","BS_SHAREHOLDER_EQY_ENDING_PERIOD","1993-06-18","2026-05-02","Per=Y","Days=T","Dir=V")</f>
        <v>0</v>
      </c>
      <c r="S2">
        <f>BDH("CAPR US Equity","BS_ACCT_NOTE_RCV","1993-06-18","2026-05-02","Per=Y","Days=T","Dir=V")</f>
        <v>0</v>
      </c>
      <c r="U2">
        <f>BDH("CAPR US Equity","BS_INVENTORIES","1993-06-18","2026-05-02","Per=Y","Days=T","Dir=V")</f>
        <v>0</v>
      </c>
      <c r="W2">
        <f>BDH("CAPR US Equity","WORKING_CAPITAL","1993-06-18","2026-05-02","Per=Y","Days=T","Dir=V")</f>
        <v>0</v>
      </c>
      <c r="Y2">
        <f>BDH("CAPR US Equity","SALES_REV_TURN","1993-06-18","2026-05-02","Per=Y","Days=T","Dir=V")</f>
        <v>0</v>
      </c>
      <c r="AA2">
        <f>BDH("CAPR US Equity","EBIT","1993-06-18","2026-05-02","Per=Y","Days=T","Dir=V")</f>
        <v>0</v>
      </c>
      <c r="AC2">
        <f>BDH("CAPR US Equity","EBITDA","1993-06-18","2026-05-02","Per=Y","Days=T","Dir=V")</f>
        <v>0</v>
      </c>
      <c r="AE2">
        <f>BDH("CAPR US Equity","NET_INCOME","1993-06-18","2026-05-02","Per=Y","Days=T","Dir=V")</f>
        <v>0</v>
      </c>
      <c r="AG2">
        <f>BDH("CAPR US Equity","IS_INT_EXPENSE","1993-06-18","2026-05-02","Per=Y","Days=T","Dir=V")</f>
        <v>0</v>
      </c>
      <c r="AI2">
        <f>BDH("CAPR US Equity","IS_DEPR_EXP","1993-06-18","2026-05-02","Per=Y","Days=T","Dir=V")</f>
        <v>0</v>
      </c>
      <c r="AK2">
        <f>BDH("CAPR US Equity","CF_CASH_FROM_OPER","1993-06-18","2026-05-02","Per=Y","Days=T","Dir=V")</f>
        <v>0</v>
      </c>
      <c r="AM2">
        <f>BDH("CAPR US Equity","CAPITAL_EXPEND","1993-06-18","2026-05-02","Per=Y","Days=T","Dir=V")</f>
        <v>0</v>
      </c>
      <c r="AO2">
        <f>BDH("CAPR US Equity","CF_FREE_CASH_FLOW","1993-06-18","2026-05-02","Per=Y","Days=T","Dir=V")</f>
        <v>0</v>
      </c>
      <c r="AQ2">
        <f>BDH("CAPR US Equity","PX_LAST","1993-06-18","2026-05-02","Per=M","Days=T","Dir=V")</f>
        <v>0</v>
      </c>
      <c r="AS2">
        <f>BDH("CAPR US Equity","CUR_MKT_CAP","1993-06-18","2026-05-02","Per=M","Days=T","Dir=V")</f>
        <v>0</v>
      </c>
      <c r="AU2">
        <f>BDH("CAPR US Equity","EQY_SH_OUT","1993-06-18","2026-05-02","Per=M","Days=T","Dir=V")</f>
        <v>0</v>
      </c>
      <c r="AW2">
        <f>BDH("CAPR US Equity","PX_VOLUME","1993-06-18","2026-05-02","Per=M","Days=T","Dir=V")</f>
        <v>0</v>
      </c>
      <c r="AY2">
        <f>BDH("CAPR US Equity","TURNOVER","1993-06-18","2026-05-02","Per=M","Days=T","Dir=V")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BDH("CAPS US Equity","BS_TOT_ASSET","1993-06-18","2026-05-02","Per=Y","Days=T","Dir=V")</f>
        <v>0</v>
      </c>
      <c r="C2">
        <f>BDH("CAPS US Equity","BS_TOT_LIAB2","1993-06-18","2026-05-02","Per=Y","Days=T","Dir=V")</f>
        <v>0</v>
      </c>
      <c r="E2">
        <f>BDH("CAPS US Equity","SHORT_AND_LONG_TERM_DEBT","1993-06-18","2026-05-02","Per=Y","Days=T","Dir=V")</f>
        <v>0</v>
      </c>
      <c r="G2">
        <f>BDH("CAPS US Equity","BS_ST_BORROW","1993-06-18","2026-05-02","Per=Y","Days=T","Dir=V")</f>
        <v>0</v>
      </c>
      <c r="I2">
        <f>BDH("CAPS US Equity","BS_LT_BORROW","1993-06-18","2026-05-02","Per=Y","Days=T","Dir=V")</f>
        <v>0</v>
      </c>
      <c r="K2">
        <f>BDH("CAPS US Equity","BS_CASH_NEAR_CASH_ITEM","1993-06-18","2026-05-02","Per=Y","Days=T","Dir=V")</f>
        <v>0</v>
      </c>
      <c r="M2">
        <f>BDH("CAPS US Equity","BS_CUR_ASSET_REPORT","1993-06-18","2026-05-02","Per=Y","Days=T","Dir=V")</f>
        <v>0</v>
      </c>
      <c r="O2">
        <f>BDH("CAPS US Equity","BS_CUR_LIAB","1993-06-18","2026-05-02","Per=Y","Days=T","Dir=V")</f>
        <v>0</v>
      </c>
      <c r="Q2">
        <f>BDH("CAPS US Equity","BS_SHAREHOLDER_EQY_ENDING_PERIOD","1993-06-18","2026-05-02","Per=Y","Days=T","Dir=V")</f>
        <v>0</v>
      </c>
      <c r="S2">
        <f>BDH("CAPS US Equity","BS_ACCT_NOTE_RCV","1993-06-18","2026-05-02","Per=Y","Days=T","Dir=V")</f>
        <v>0</v>
      </c>
      <c r="U2">
        <f>BDH("CAPS US Equity","BS_INVENTORIES","1993-06-18","2026-05-02","Per=Y","Days=T","Dir=V")</f>
        <v>0</v>
      </c>
      <c r="W2">
        <f>BDH("CAPS US Equity","WORKING_CAPITAL","1993-06-18","2026-05-02","Per=Y","Days=T","Dir=V")</f>
        <v>0</v>
      </c>
      <c r="Y2">
        <f>BDH("CAPS US Equity","SALES_REV_TURN","1993-06-18","2026-05-02","Per=Y","Days=T","Dir=V")</f>
        <v>0</v>
      </c>
      <c r="AA2">
        <f>BDH("CAPS US Equity","EBIT","1993-06-18","2026-05-02","Per=Y","Days=T","Dir=V")</f>
        <v>0</v>
      </c>
      <c r="AC2">
        <f>BDH("CAPS US Equity","EBITDA","1993-06-18","2026-05-02","Per=Y","Days=T","Dir=V")</f>
        <v>0</v>
      </c>
      <c r="AE2">
        <f>BDH("CAPS US Equity","NET_INCOME","1993-06-18","2026-05-02","Per=Y","Days=T","Dir=V")</f>
        <v>0</v>
      </c>
      <c r="AG2">
        <f>BDH("CAPS US Equity","IS_INT_EXPENSE","1993-06-18","2026-05-02","Per=Y","Days=T","Dir=V")</f>
        <v>0</v>
      </c>
      <c r="AI2">
        <f>BDH("CAPS US Equity","IS_DEPR_EXP","1993-06-18","2026-05-02","Per=Y","Days=T","Dir=V")</f>
        <v>0</v>
      </c>
      <c r="AK2">
        <f>BDH("CAPS US Equity","CF_CASH_FROM_OPER","1993-06-18","2026-05-02","Per=Y","Days=T","Dir=V")</f>
        <v>0</v>
      </c>
      <c r="AM2">
        <f>BDH("CAPS US Equity","CAPITAL_EXPEND","1993-06-18","2026-05-02","Per=Y","Days=T","Dir=V")</f>
        <v>0</v>
      </c>
      <c r="AO2">
        <f>BDH("CAPS US Equity","CF_FREE_CASH_FLOW","1993-06-18","2026-05-02","Per=Y","Days=T","Dir=V")</f>
        <v>0</v>
      </c>
      <c r="AQ2">
        <f>BDH("CAPS US Equity","PX_LAST","1993-06-18","2026-05-02","Per=M","Days=T","Dir=V")</f>
        <v>0</v>
      </c>
      <c r="AS2">
        <f>BDH("CAPS US Equity","CUR_MKT_CAP","1993-06-18","2026-05-02","Per=M","Days=T","Dir=V")</f>
        <v>0</v>
      </c>
      <c r="AU2">
        <f>BDH("CAPS US Equity","EQY_SH_OUT","1993-06-18","2026-05-02","Per=M","Days=T","Dir=V")</f>
        <v>0</v>
      </c>
      <c r="AW2">
        <f>BDH("CAPS US Equity","PX_VOLUME","1993-06-18","2026-05-02","Per=M","Days=T","Dir=V")</f>
        <v>0</v>
      </c>
      <c r="AY2">
        <f>BDH("CAPS US Equity","TURNOVER","1993-06-18","2026-05-02","Per=M","Days=T","Dir=V")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BDH("CAR US Equity","BS_TOT_ASSET","1993-06-18","2026-05-02","Per=Y","Days=T","Dir=V")</f>
        <v>0</v>
      </c>
      <c r="C2">
        <f>BDH("CAR US Equity","BS_TOT_LIAB2","1993-06-18","2026-05-02","Per=Y","Days=T","Dir=V")</f>
        <v>0</v>
      </c>
      <c r="E2">
        <f>BDH("CAR US Equity","SHORT_AND_LONG_TERM_DEBT","1993-06-18","2026-05-02","Per=Y","Days=T","Dir=V")</f>
        <v>0</v>
      </c>
      <c r="G2">
        <f>BDH("CAR US Equity","BS_ST_BORROW","1993-06-18","2026-05-02","Per=Y","Days=T","Dir=V")</f>
        <v>0</v>
      </c>
      <c r="I2">
        <f>BDH("CAR US Equity","BS_LT_BORROW","1993-06-18","2026-05-02","Per=Y","Days=T","Dir=V")</f>
        <v>0</v>
      </c>
      <c r="K2">
        <f>BDH("CAR US Equity","BS_CASH_NEAR_CASH_ITEM","1993-06-18","2026-05-02","Per=Y","Days=T","Dir=V")</f>
        <v>0</v>
      </c>
      <c r="M2">
        <f>BDH("CAR US Equity","BS_CUR_ASSET_REPORT","1993-06-18","2026-05-02","Per=Y","Days=T","Dir=V")</f>
        <v>0</v>
      </c>
      <c r="O2">
        <f>BDH("CAR US Equity","BS_CUR_LIAB","1993-06-18","2026-05-02","Per=Y","Days=T","Dir=V")</f>
        <v>0</v>
      </c>
      <c r="Q2">
        <f>BDH("CAR US Equity","BS_SHAREHOLDER_EQY_ENDING_PERIOD","1993-06-18","2026-05-02","Per=Y","Days=T","Dir=V")</f>
        <v>0</v>
      </c>
      <c r="S2">
        <f>BDH("CAR US Equity","BS_ACCT_NOTE_RCV","1993-06-18","2026-05-02","Per=Y","Days=T","Dir=V")</f>
        <v>0</v>
      </c>
      <c r="U2">
        <f>BDH("CAR US Equity","BS_INVENTORIES","1993-06-18","2026-05-02","Per=Y","Days=T","Dir=V")</f>
        <v>0</v>
      </c>
      <c r="W2">
        <f>BDH("CAR US Equity","WORKING_CAPITAL","1993-06-18","2026-05-02","Per=Y","Days=T","Dir=V")</f>
        <v>0</v>
      </c>
      <c r="Y2">
        <f>BDH("CAR US Equity","SALES_REV_TURN","1993-06-18","2026-05-02","Per=Y","Days=T","Dir=V")</f>
        <v>0</v>
      </c>
      <c r="AA2">
        <f>BDH("CAR US Equity","EBIT","1993-06-18","2026-05-02","Per=Y","Days=T","Dir=V")</f>
        <v>0</v>
      </c>
      <c r="AC2">
        <f>BDH("CAR US Equity","EBITDA","1993-06-18","2026-05-02","Per=Y","Days=T","Dir=V")</f>
        <v>0</v>
      </c>
      <c r="AE2">
        <f>BDH("CAR US Equity","NET_INCOME","1993-06-18","2026-05-02","Per=Y","Days=T","Dir=V")</f>
        <v>0</v>
      </c>
      <c r="AG2">
        <f>BDH("CAR US Equity","IS_INT_EXPENSE","1993-06-18","2026-05-02","Per=Y","Days=T","Dir=V")</f>
        <v>0</v>
      </c>
      <c r="AI2">
        <f>BDH("CAR US Equity","IS_DEPR_EXP","1993-06-18","2026-05-02","Per=Y","Days=T","Dir=V")</f>
        <v>0</v>
      </c>
      <c r="AK2">
        <f>BDH("CAR US Equity","CF_CASH_FROM_OPER","1993-06-18","2026-05-02","Per=Y","Days=T","Dir=V")</f>
        <v>0</v>
      </c>
      <c r="AM2">
        <f>BDH("CAR US Equity","CAPITAL_EXPEND","1993-06-18","2026-05-02","Per=Y","Days=T","Dir=V")</f>
        <v>0</v>
      </c>
      <c r="AO2">
        <f>BDH("CAR US Equity","CF_FREE_CASH_FLOW","1993-06-18","2026-05-02","Per=Y","Days=T","Dir=V")</f>
        <v>0</v>
      </c>
      <c r="AQ2">
        <f>BDH("CAR US Equity","PX_LAST","1993-06-18","2026-05-02","Per=M","Days=T","Dir=V")</f>
        <v>0</v>
      </c>
      <c r="AS2">
        <f>BDH("CAR US Equity","CUR_MKT_CAP","1993-06-18","2026-05-02","Per=M","Days=T","Dir=V")</f>
        <v>0</v>
      </c>
      <c r="AU2">
        <f>BDH("CAR US Equity","EQY_SH_OUT","1993-06-18","2026-05-02","Per=M","Days=T","Dir=V")</f>
        <v>0</v>
      </c>
      <c r="AW2">
        <f>BDH("CAR US Equity","PX_VOLUME","1993-06-18","2026-05-02","Per=M","Days=T","Dir=V")</f>
        <v>0</v>
      </c>
      <c r="AY2">
        <f>BDH("CAR US Equity","TURNOVER","1993-06-18","2026-05-02","Per=M","Days=T","Dir=V")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BDH("CARG US Equity","BS_TOT_ASSET","1993-06-18","2026-05-02","Per=Y","Days=T","Dir=V")</f>
        <v>0</v>
      </c>
      <c r="C2">
        <f>BDH("CARG US Equity","BS_TOT_LIAB2","1993-06-18","2026-05-02","Per=Y","Days=T","Dir=V")</f>
        <v>0</v>
      </c>
      <c r="E2">
        <f>BDH("CARG US Equity","SHORT_AND_LONG_TERM_DEBT","1993-06-18","2026-05-02","Per=Y","Days=T","Dir=V")</f>
        <v>0</v>
      </c>
      <c r="G2">
        <f>BDH("CARG US Equity","BS_ST_BORROW","1993-06-18","2026-05-02","Per=Y","Days=T","Dir=V")</f>
        <v>0</v>
      </c>
      <c r="I2">
        <f>BDH("CARG US Equity","BS_LT_BORROW","1993-06-18","2026-05-02","Per=Y","Days=T","Dir=V")</f>
        <v>0</v>
      </c>
      <c r="K2">
        <f>BDH("CARG US Equity","BS_CASH_NEAR_CASH_ITEM","1993-06-18","2026-05-02","Per=Y","Days=T","Dir=V")</f>
        <v>0</v>
      </c>
      <c r="M2">
        <f>BDH("CARG US Equity","BS_CUR_ASSET_REPORT","1993-06-18","2026-05-02","Per=Y","Days=T","Dir=V")</f>
        <v>0</v>
      </c>
      <c r="O2">
        <f>BDH("CARG US Equity","BS_CUR_LIAB","1993-06-18","2026-05-02","Per=Y","Days=T","Dir=V")</f>
        <v>0</v>
      </c>
      <c r="Q2">
        <f>BDH("CARG US Equity","BS_SHAREHOLDER_EQY_ENDING_PERIOD","1993-06-18","2026-05-02","Per=Y","Days=T","Dir=V")</f>
        <v>0</v>
      </c>
      <c r="S2">
        <f>BDH("CARG US Equity","BS_ACCT_NOTE_RCV","1993-06-18","2026-05-02","Per=Y","Days=T","Dir=V")</f>
        <v>0</v>
      </c>
      <c r="U2">
        <f>BDH("CARG US Equity","BS_INVENTORIES","1993-06-18","2026-05-02","Per=Y","Days=T","Dir=V")</f>
        <v>0</v>
      </c>
      <c r="W2">
        <f>BDH("CARG US Equity","WORKING_CAPITAL","1993-06-18","2026-05-02","Per=Y","Days=T","Dir=V")</f>
        <v>0</v>
      </c>
      <c r="Y2">
        <f>BDH("CARG US Equity","SALES_REV_TURN","1993-06-18","2026-05-02","Per=Y","Days=T","Dir=V")</f>
        <v>0</v>
      </c>
      <c r="AA2">
        <f>BDH("CARG US Equity","EBIT","1993-06-18","2026-05-02","Per=Y","Days=T","Dir=V")</f>
        <v>0</v>
      </c>
      <c r="AC2">
        <f>BDH("CARG US Equity","EBITDA","1993-06-18","2026-05-02","Per=Y","Days=T","Dir=V")</f>
        <v>0</v>
      </c>
      <c r="AE2">
        <f>BDH("CARG US Equity","NET_INCOME","1993-06-18","2026-05-02","Per=Y","Days=T","Dir=V")</f>
        <v>0</v>
      </c>
      <c r="AG2">
        <f>BDH("CARG US Equity","IS_INT_EXPENSE","1993-06-18","2026-05-02","Per=Y","Days=T","Dir=V")</f>
        <v>0</v>
      </c>
      <c r="AI2">
        <f>BDH("CARG US Equity","IS_DEPR_EXP","1993-06-18","2026-05-02","Per=Y","Days=T","Dir=V")</f>
        <v>0</v>
      </c>
      <c r="AK2">
        <f>BDH("CARG US Equity","CF_CASH_FROM_OPER","1993-06-18","2026-05-02","Per=Y","Days=T","Dir=V")</f>
        <v>0</v>
      </c>
      <c r="AM2">
        <f>BDH("CARG US Equity","CAPITAL_EXPEND","1993-06-18","2026-05-02","Per=Y","Days=T","Dir=V")</f>
        <v>0</v>
      </c>
      <c r="AO2">
        <f>BDH("CARG US Equity","CF_FREE_CASH_FLOW","1993-06-18","2026-05-02","Per=Y","Days=T","Dir=V")</f>
        <v>0</v>
      </c>
      <c r="AQ2">
        <f>BDH("CARG US Equity","PX_LAST","1993-06-18","2026-05-02","Per=M","Days=T","Dir=V")</f>
        <v>0</v>
      </c>
      <c r="AS2">
        <f>BDH("CARG US Equity","CUR_MKT_CAP","1993-06-18","2026-05-02","Per=M","Days=T","Dir=V")</f>
        <v>0</v>
      </c>
      <c r="AU2">
        <f>BDH("CARG US Equity","EQY_SH_OUT","1993-06-18","2026-05-02","Per=M","Days=T","Dir=V")</f>
        <v>0</v>
      </c>
      <c r="AW2">
        <f>BDH("CARG US Equity","PX_VOLUME","1993-06-18","2026-05-02","Per=M","Days=T","Dir=V")</f>
        <v>0</v>
      </c>
      <c r="AY2">
        <f>BDH("CARG US Equity","TURNOVER","1993-06-18","2026-05-02","Per=M","Days=T","Dir=V")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BDH("CARL US Equity","BS_TOT_ASSET","1993-06-18","2026-05-02","Per=Y","Days=T","Dir=V")</f>
        <v>0</v>
      </c>
      <c r="C2">
        <f>BDH("CARL US Equity","BS_TOT_LIAB2","1993-06-18","2026-05-02","Per=Y","Days=T","Dir=V")</f>
        <v>0</v>
      </c>
      <c r="E2">
        <f>BDH("CARL US Equity","SHORT_AND_LONG_TERM_DEBT","1993-06-18","2026-05-02","Per=Y","Days=T","Dir=V")</f>
        <v>0</v>
      </c>
      <c r="G2">
        <f>BDH("CARL US Equity","BS_ST_BORROW","1993-06-18","2026-05-02","Per=Y","Days=T","Dir=V")</f>
        <v>0</v>
      </c>
      <c r="I2">
        <f>BDH("CARL US Equity","BS_LT_BORROW","1993-06-18","2026-05-02","Per=Y","Days=T","Dir=V")</f>
        <v>0</v>
      </c>
      <c r="K2">
        <f>BDH("CARL US Equity","BS_CASH_NEAR_CASH_ITEM","1993-06-18","2026-05-02","Per=Y","Days=T","Dir=V")</f>
        <v>0</v>
      </c>
      <c r="M2">
        <f>BDH("CARL US Equity","BS_CUR_ASSET_REPORT","1993-06-18","2026-05-02","Per=Y","Days=T","Dir=V")</f>
        <v>0</v>
      </c>
      <c r="O2">
        <f>BDH("CARL US Equity","BS_CUR_LIAB","1993-06-18","2026-05-02","Per=Y","Days=T","Dir=V")</f>
        <v>0</v>
      </c>
      <c r="Q2">
        <f>BDH("CARL US Equity","BS_SHAREHOLDER_EQY_ENDING_PERIOD","1993-06-18","2026-05-02","Per=Y","Days=T","Dir=V")</f>
        <v>0</v>
      </c>
      <c r="S2">
        <f>BDH("CARL US Equity","BS_ACCT_NOTE_RCV","1993-06-18","2026-05-02","Per=Y","Days=T","Dir=V")</f>
        <v>0</v>
      </c>
      <c r="U2">
        <f>BDH("CARL US Equity","BS_INVENTORIES","1993-06-18","2026-05-02","Per=Y","Days=T","Dir=V")</f>
        <v>0</v>
      </c>
      <c r="W2">
        <f>BDH("CARL US Equity","WORKING_CAPITAL","1993-06-18","2026-05-02","Per=Y","Days=T","Dir=V")</f>
        <v>0</v>
      </c>
      <c r="Y2">
        <f>BDH("CARL US Equity","SALES_REV_TURN","1993-06-18","2026-05-02","Per=Y","Days=T","Dir=V")</f>
        <v>0</v>
      </c>
      <c r="AA2">
        <f>BDH("CARL US Equity","EBIT","1993-06-18","2026-05-02","Per=Y","Days=T","Dir=V")</f>
        <v>0</v>
      </c>
      <c r="AC2">
        <f>BDH("CARL US Equity","EBITDA","1993-06-18","2026-05-02","Per=Y","Days=T","Dir=V")</f>
        <v>0</v>
      </c>
      <c r="AE2">
        <f>BDH("CARL US Equity","NET_INCOME","1993-06-18","2026-05-02","Per=Y","Days=T","Dir=V")</f>
        <v>0</v>
      </c>
      <c r="AG2">
        <f>BDH("CARL US Equity","IS_INT_EXPENSE","1993-06-18","2026-05-02","Per=Y","Days=T","Dir=V")</f>
        <v>0</v>
      </c>
      <c r="AI2">
        <f>BDH("CARL US Equity","IS_DEPR_EXP","1993-06-18","2026-05-02","Per=Y","Days=T","Dir=V")</f>
        <v>0</v>
      </c>
      <c r="AK2">
        <f>BDH("CARL US Equity","CF_CASH_FROM_OPER","1993-06-18","2026-05-02","Per=Y","Days=T","Dir=V")</f>
        <v>0</v>
      </c>
      <c r="AM2">
        <f>BDH("CARL US Equity","CAPITAL_EXPEND","1993-06-18","2026-05-02","Per=Y","Days=T","Dir=V")</f>
        <v>0</v>
      </c>
      <c r="AO2">
        <f>BDH("CARL US Equity","CF_FREE_CASH_FLOW","1993-06-18","2026-05-02","Per=Y","Days=T","Dir=V")</f>
        <v>0</v>
      </c>
      <c r="AQ2">
        <f>BDH("CARL US Equity","PX_LAST","1993-06-18","2026-05-02","Per=M","Days=T","Dir=V")</f>
        <v>0</v>
      </c>
      <c r="AS2">
        <f>BDH("CARL US Equity","CUR_MKT_CAP","1993-06-18","2026-05-02","Per=M","Days=T","Dir=V")</f>
        <v>0</v>
      </c>
      <c r="AU2">
        <f>BDH("CARL US Equity","EQY_SH_OUT","1993-06-18","2026-05-02","Per=M","Days=T","Dir=V")</f>
        <v>0</v>
      </c>
      <c r="AW2">
        <f>BDH("CARL US Equity","PX_VOLUME","1993-06-18","2026-05-02","Per=M","Days=T","Dir=V")</f>
        <v>0</v>
      </c>
      <c r="AY2">
        <f>BDH("CARL US Equity","TURNOVER","1993-06-18","2026-05-02","Per=M","Days=T","Dir=V")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BDH("CARR US Equity","BS_TOT_ASSET","1993-06-18","2026-05-02","Per=Y","Days=T","Dir=V")</f>
        <v>0</v>
      </c>
      <c r="C2">
        <f>BDH("CARR US Equity","BS_TOT_LIAB2","1993-06-18","2026-05-02","Per=Y","Days=T","Dir=V")</f>
        <v>0</v>
      </c>
      <c r="E2">
        <f>BDH("CARR US Equity","SHORT_AND_LONG_TERM_DEBT","1993-06-18","2026-05-02","Per=Y","Days=T","Dir=V")</f>
        <v>0</v>
      </c>
      <c r="G2">
        <f>BDH("CARR US Equity","BS_ST_BORROW","1993-06-18","2026-05-02","Per=Y","Days=T","Dir=V")</f>
        <v>0</v>
      </c>
      <c r="I2">
        <f>BDH("CARR US Equity","BS_LT_BORROW","1993-06-18","2026-05-02","Per=Y","Days=T","Dir=V")</f>
        <v>0</v>
      </c>
      <c r="K2">
        <f>BDH("CARR US Equity","BS_CASH_NEAR_CASH_ITEM","1993-06-18","2026-05-02","Per=Y","Days=T","Dir=V")</f>
        <v>0</v>
      </c>
      <c r="M2">
        <f>BDH("CARR US Equity","BS_CUR_ASSET_REPORT","1993-06-18","2026-05-02","Per=Y","Days=T","Dir=V")</f>
        <v>0</v>
      </c>
      <c r="O2">
        <f>BDH("CARR US Equity","BS_CUR_LIAB","1993-06-18","2026-05-02","Per=Y","Days=T","Dir=V")</f>
        <v>0</v>
      </c>
      <c r="Q2">
        <f>BDH("CARR US Equity","BS_SHAREHOLDER_EQY_ENDING_PERIOD","1993-06-18","2026-05-02","Per=Y","Days=T","Dir=V")</f>
        <v>0</v>
      </c>
      <c r="S2">
        <f>BDH("CARR US Equity","BS_ACCT_NOTE_RCV","1993-06-18","2026-05-02","Per=Y","Days=T","Dir=V")</f>
        <v>0</v>
      </c>
      <c r="U2">
        <f>BDH("CARR US Equity","BS_INVENTORIES","1993-06-18","2026-05-02","Per=Y","Days=T","Dir=V")</f>
        <v>0</v>
      </c>
      <c r="W2">
        <f>BDH("CARR US Equity","WORKING_CAPITAL","1993-06-18","2026-05-02","Per=Y","Days=T","Dir=V")</f>
        <v>0</v>
      </c>
      <c r="Y2">
        <f>BDH("CARR US Equity","SALES_REV_TURN","1993-06-18","2026-05-02","Per=Y","Days=T","Dir=V")</f>
        <v>0</v>
      </c>
      <c r="AA2">
        <f>BDH("CARR US Equity","EBIT","1993-06-18","2026-05-02","Per=Y","Days=T","Dir=V")</f>
        <v>0</v>
      </c>
      <c r="AC2">
        <f>BDH("CARR US Equity","EBITDA","1993-06-18","2026-05-02","Per=Y","Days=T","Dir=V")</f>
        <v>0</v>
      </c>
      <c r="AE2">
        <f>BDH("CARR US Equity","NET_INCOME","1993-06-18","2026-05-02","Per=Y","Days=T","Dir=V")</f>
        <v>0</v>
      </c>
      <c r="AG2">
        <f>BDH("CARR US Equity","IS_INT_EXPENSE","1993-06-18","2026-05-02","Per=Y","Days=T","Dir=V")</f>
        <v>0</v>
      </c>
      <c r="AI2">
        <f>BDH("CARR US Equity","IS_DEPR_EXP","1993-06-18","2026-05-02","Per=Y","Days=T","Dir=V")</f>
        <v>0</v>
      </c>
      <c r="AK2">
        <f>BDH("CARR US Equity","CF_CASH_FROM_OPER","1993-06-18","2026-05-02","Per=Y","Days=T","Dir=V")</f>
        <v>0</v>
      </c>
      <c r="AM2">
        <f>BDH("CARR US Equity","CAPITAL_EXPEND","1993-06-18","2026-05-02","Per=Y","Days=T","Dir=V")</f>
        <v>0</v>
      </c>
      <c r="AO2">
        <f>BDH("CARR US Equity","CF_FREE_CASH_FLOW","1993-06-18","2026-05-02","Per=Y","Days=T","Dir=V")</f>
        <v>0</v>
      </c>
      <c r="AQ2">
        <f>BDH("CARR US Equity","PX_LAST","1993-06-18","2026-05-02","Per=M","Days=T","Dir=V")</f>
        <v>0</v>
      </c>
      <c r="AS2">
        <f>BDH("CARR US Equity","CUR_MKT_CAP","1993-06-18","2026-05-02","Per=M","Days=T","Dir=V")</f>
        <v>0</v>
      </c>
      <c r="AU2">
        <f>BDH("CARR US Equity","EQY_SH_OUT","1993-06-18","2026-05-02","Per=M","Days=T","Dir=V")</f>
        <v>0</v>
      </c>
      <c r="AW2">
        <f>BDH("CARR US Equity","PX_VOLUME","1993-06-18","2026-05-02","Per=M","Days=T","Dir=V")</f>
        <v>0</v>
      </c>
      <c r="AY2">
        <f>BDH("CARR US Equity","TURNOVER","1993-06-18","2026-05-02","Per=M","Days=T","Dir=V")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BDH("CARS US Equity","BS_TOT_ASSET","1993-06-18","2026-05-02","Per=Y","Days=T","Dir=V")</f>
        <v>0</v>
      </c>
      <c r="C2">
        <f>BDH("CARS US Equity","BS_TOT_LIAB2","1993-06-18","2026-05-02","Per=Y","Days=T","Dir=V")</f>
        <v>0</v>
      </c>
      <c r="E2">
        <f>BDH("CARS US Equity","SHORT_AND_LONG_TERM_DEBT","1993-06-18","2026-05-02","Per=Y","Days=T","Dir=V")</f>
        <v>0</v>
      </c>
      <c r="G2">
        <f>BDH("CARS US Equity","BS_ST_BORROW","1993-06-18","2026-05-02","Per=Y","Days=T","Dir=V")</f>
        <v>0</v>
      </c>
      <c r="I2">
        <f>BDH("CARS US Equity","BS_LT_BORROW","1993-06-18","2026-05-02","Per=Y","Days=T","Dir=V")</f>
        <v>0</v>
      </c>
      <c r="K2">
        <f>BDH("CARS US Equity","BS_CASH_NEAR_CASH_ITEM","1993-06-18","2026-05-02","Per=Y","Days=T","Dir=V")</f>
        <v>0</v>
      </c>
      <c r="M2">
        <f>BDH("CARS US Equity","BS_CUR_ASSET_REPORT","1993-06-18","2026-05-02","Per=Y","Days=T","Dir=V")</f>
        <v>0</v>
      </c>
      <c r="O2">
        <f>BDH("CARS US Equity","BS_CUR_LIAB","1993-06-18","2026-05-02","Per=Y","Days=T","Dir=V")</f>
        <v>0</v>
      </c>
      <c r="Q2">
        <f>BDH("CARS US Equity","BS_SHAREHOLDER_EQY_ENDING_PERIOD","1993-06-18","2026-05-02","Per=Y","Days=T","Dir=V")</f>
        <v>0</v>
      </c>
      <c r="S2">
        <f>BDH("CARS US Equity","BS_ACCT_NOTE_RCV","1993-06-18","2026-05-02","Per=Y","Days=T","Dir=V")</f>
        <v>0</v>
      </c>
      <c r="U2">
        <f>BDH("CARS US Equity","BS_INVENTORIES","1993-06-18","2026-05-02","Per=Y","Days=T","Dir=V")</f>
        <v>0</v>
      </c>
      <c r="W2">
        <f>BDH("CARS US Equity","WORKING_CAPITAL","1993-06-18","2026-05-02","Per=Y","Days=T","Dir=V")</f>
        <v>0</v>
      </c>
      <c r="Y2">
        <f>BDH("CARS US Equity","SALES_REV_TURN","1993-06-18","2026-05-02","Per=Y","Days=T","Dir=V")</f>
        <v>0</v>
      </c>
      <c r="AA2">
        <f>BDH("CARS US Equity","EBIT","1993-06-18","2026-05-02","Per=Y","Days=T","Dir=V")</f>
        <v>0</v>
      </c>
      <c r="AC2">
        <f>BDH("CARS US Equity","EBITDA","1993-06-18","2026-05-02","Per=Y","Days=T","Dir=V")</f>
        <v>0</v>
      </c>
      <c r="AE2">
        <f>BDH("CARS US Equity","NET_INCOME","1993-06-18","2026-05-02","Per=Y","Days=T","Dir=V")</f>
        <v>0</v>
      </c>
      <c r="AG2">
        <f>BDH("CARS US Equity","IS_INT_EXPENSE","1993-06-18","2026-05-02","Per=Y","Days=T","Dir=V")</f>
        <v>0</v>
      </c>
      <c r="AI2">
        <f>BDH("CARS US Equity","IS_DEPR_EXP","1993-06-18","2026-05-02","Per=Y","Days=T","Dir=V")</f>
        <v>0</v>
      </c>
      <c r="AK2">
        <f>BDH("CARS US Equity","CF_CASH_FROM_OPER","1993-06-18","2026-05-02","Per=Y","Days=T","Dir=V")</f>
        <v>0</v>
      </c>
      <c r="AM2">
        <f>BDH("CARS US Equity","CAPITAL_EXPEND","1993-06-18","2026-05-02","Per=Y","Days=T","Dir=V")</f>
        <v>0</v>
      </c>
      <c r="AO2">
        <f>BDH("CARS US Equity","CF_FREE_CASH_FLOW","1993-06-18","2026-05-02","Per=Y","Days=T","Dir=V")</f>
        <v>0</v>
      </c>
      <c r="AQ2">
        <f>BDH("CARS US Equity","PX_LAST","1993-06-18","2026-05-02","Per=M","Days=T","Dir=V")</f>
        <v>0</v>
      </c>
      <c r="AS2">
        <f>BDH("CARS US Equity","CUR_MKT_CAP","1993-06-18","2026-05-02","Per=M","Days=T","Dir=V")</f>
        <v>0</v>
      </c>
      <c r="AU2">
        <f>BDH("CARS US Equity","EQY_SH_OUT","1993-06-18","2026-05-02","Per=M","Days=T","Dir=V")</f>
        <v>0</v>
      </c>
      <c r="AW2">
        <f>BDH("CARS US Equity","PX_VOLUME","1993-06-18","2026-05-02","Per=M","Days=T","Dir=V")</f>
        <v>0</v>
      </c>
      <c r="AY2">
        <f>BDH("CARS US Equity","TURNOVER","1993-06-18","2026-05-02","Per=M","Days=T","Dir=V")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BDH("CART US Equity","BS_TOT_ASSET","1993-06-18","2026-05-02","Per=Y","Days=T","Dir=V")</f>
        <v>0</v>
      </c>
      <c r="C2">
        <f>BDH("CART US Equity","BS_TOT_LIAB2","1993-06-18","2026-05-02","Per=Y","Days=T","Dir=V")</f>
        <v>0</v>
      </c>
      <c r="E2">
        <f>BDH("CART US Equity","SHORT_AND_LONG_TERM_DEBT","1993-06-18","2026-05-02","Per=Y","Days=T","Dir=V")</f>
        <v>0</v>
      </c>
      <c r="G2">
        <f>BDH("CART US Equity","BS_ST_BORROW","1993-06-18","2026-05-02","Per=Y","Days=T","Dir=V")</f>
        <v>0</v>
      </c>
      <c r="I2">
        <f>BDH("CART US Equity","BS_LT_BORROW","1993-06-18","2026-05-02","Per=Y","Days=T","Dir=V")</f>
        <v>0</v>
      </c>
      <c r="K2">
        <f>BDH("CART US Equity","BS_CASH_NEAR_CASH_ITEM","1993-06-18","2026-05-02","Per=Y","Days=T","Dir=V")</f>
        <v>0</v>
      </c>
      <c r="M2">
        <f>BDH("CART US Equity","BS_CUR_ASSET_REPORT","1993-06-18","2026-05-02","Per=Y","Days=T","Dir=V")</f>
        <v>0</v>
      </c>
      <c r="O2">
        <f>BDH("CART US Equity","BS_CUR_LIAB","1993-06-18","2026-05-02","Per=Y","Days=T","Dir=V")</f>
        <v>0</v>
      </c>
      <c r="Q2">
        <f>BDH("CART US Equity","BS_SHAREHOLDER_EQY_ENDING_PERIOD","1993-06-18","2026-05-02","Per=Y","Days=T","Dir=V")</f>
        <v>0</v>
      </c>
      <c r="S2">
        <f>BDH("CART US Equity","BS_ACCT_NOTE_RCV","1993-06-18","2026-05-02","Per=Y","Days=T","Dir=V")</f>
        <v>0</v>
      </c>
      <c r="U2">
        <f>BDH("CART US Equity","BS_INVENTORIES","1993-06-18","2026-05-02","Per=Y","Days=T","Dir=V")</f>
        <v>0</v>
      </c>
      <c r="W2">
        <f>BDH("CART US Equity","WORKING_CAPITAL","1993-06-18","2026-05-02","Per=Y","Days=T","Dir=V")</f>
        <v>0</v>
      </c>
      <c r="Y2">
        <f>BDH("CART US Equity","SALES_REV_TURN","1993-06-18","2026-05-02","Per=Y","Days=T","Dir=V")</f>
        <v>0</v>
      </c>
      <c r="AA2">
        <f>BDH("CART US Equity","EBIT","1993-06-18","2026-05-02","Per=Y","Days=T","Dir=V")</f>
        <v>0</v>
      </c>
      <c r="AC2">
        <f>BDH("CART US Equity","EBITDA","1993-06-18","2026-05-02","Per=Y","Days=T","Dir=V")</f>
        <v>0</v>
      </c>
      <c r="AE2">
        <f>BDH("CART US Equity","NET_INCOME","1993-06-18","2026-05-02","Per=Y","Days=T","Dir=V")</f>
        <v>0</v>
      </c>
      <c r="AG2">
        <f>BDH("CART US Equity","IS_INT_EXPENSE","1993-06-18","2026-05-02","Per=Y","Days=T","Dir=V")</f>
        <v>0</v>
      </c>
      <c r="AI2">
        <f>BDH("CART US Equity","IS_DEPR_EXP","1993-06-18","2026-05-02","Per=Y","Days=T","Dir=V")</f>
        <v>0</v>
      </c>
      <c r="AK2">
        <f>BDH("CART US Equity","CF_CASH_FROM_OPER","1993-06-18","2026-05-02","Per=Y","Days=T","Dir=V")</f>
        <v>0</v>
      </c>
      <c r="AM2">
        <f>BDH("CART US Equity","CAPITAL_EXPEND","1993-06-18","2026-05-02","Per=Y","Days=T","Dir=V")</f>
        <v>0</v>
      </c>
      <c r="AO2">
        <f>BDH("CART US Equity","CF_FREE_CASH_FLOW","1993-06-18","2026-05-02","Per=Y","Days=T","Dir=V")</f>
        <v>0</v>
      </c>
      <c r="AQ2">
        <f>BDH("CART US Equity","PX_LAST","1993-06-18","2026-05-02","Per=M","Days=T","Dir=V")</f>
        <v>0</v>
      </c>
      <c r="AS2">
        <f>BDH("CART US Equity","CUR_MKT_CAP","1993-06-18","2026-05-02","Per=M","Days=T","Dir=V")</f>
        <v>0</v>
      </c>
      <c r="AU2">
        <f>BDH("CART US Equity","EQY_SH_OUT","1993-06-18","2026-05-02","Per=M","Days=T","Dir=V")</f>
        <v>0</v>
      </c>
      <c r="AW2">
        <f>BDH("CART US Equity","PX_VOLUME","1993-06-18","2026-05-02","Per=M","Days=T","Dir=V")</f>
        <v>0</v>
      </c>
      <c r="AY2">
        <f>BDH("CART US Equity","TURNOVER","1993-06-18","2026-05-02","Per=M","Days=T","Dir=V")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BDH("CASS US Equity","BS_TOT_ASSET","1993-06-18","2026-05-02","Per=Y","Days=T","Dir=V")</f>
        <v>0</v>
      </c>
      <c r="C2">
        <f>BDH("CASS US Equity","BS_TOT_LIAB2","1993-06-18","2026-05-02","Per=Y","Days=T","Dir=V")</f>
        <v>0</v>
      </c>
      <c r="E2">
        <f>BDH("CASS US Equity","SHORT_AND_LONG_TERM_DEBT","1993-06-18","2026-05-02","Per=Y","Days=T","Dir=V")</f>
        <v>0</v>
      </c>
      <c r="G2">
        <f>BDH("CASS US Equity","BS_ST_BORROW","1993-06-18","2026-05-02","Per=Y","Days=T","Dir=V")</f>
        <v>0</v>
      </c>
      <c r="I2">
        <f>BDH("CASS US Equity","BS_LT_BORROW","1993-06-18","2026-05-02","Per=Y","Days=T","Dir=V")</f>
        <v>0</v>
      </c>
      <c r="K2">
        <f>BDH("CASS US Equity","BS_CASH_NEAR_CASH_ITEM","1993-06-18","2026-05-02","Per=Y","Days=T","Dir=V")</f>
        <v>0</v>
      </c>
      <c r="M2">
        <f>BDH("CASS US Equity","BS_CUR_ASSET_REPORT","1993-06-18","2026-05-02","Per=Y","Days=T","Dir=V")</f>
        <v>0</v>
      </c>
      <c r="O2">
        <f>BDH("CASS US Equity","BS_CUR_LIAB","1993-06-18","2026-05-02","Per=Y","Days=T","Dir=V")</f>
        <v>0</v>
      </c>
      <c r="Q2">
        <f>BDH("CASS US Equity","BS_SHAREHOLDER_EQY_ENDING_PERIOD","1993-06-18","2026-05-02","Per=Y","Days=T","Dir=V")</f>
        <v>0</v>
      </c>
      <c r="S2">
        <f>BDH("CASS US Equity","BS_ACCT_NOTE_RCV","1993-06-18","2026-05-02","Per=Y","Days=T","Dir=V")</f>
        <v>0</v>
      </c>
      <c r="U2">
        <f>BDH("CASS US Equity","BS_INVENTORIES","1993-06-18","2026-05-02","Per=Y","Days=T","Dir=V")</f>
        <v>0</v>
      </c>
      <c r="W2">
        <f>BDH("CASS US Equity","WORKING_CAPITAL","1993-06-18","2026-05-02","Per=Y","Days=T","Dir=V")</f>
        <v>0</v>
      </c>
      <c r="Y2">
        <f>BDH("CASS US Equity","SALES_REV_TURN","1993-06-18","2026-05-02","Per=Y","Days=T","Dir=V")</f>
        <v>0</v>
      </c>
      <c r="AA2">
        <f>BDH("CASS US Equity","EBIT","1993-06-18","2026-05-02","Per=Y","Days=T","Dir=V")</f>
        <v>0</v>
      </c>
      <c r="AC2">
        <f>BDH("CASS US Equity","EBITDA","1993-06-18","2026-05-02","Per=Y","Days=T","Dir=V")</f>
        <v>0</v>
      </c>
      <c r="AE2">
        <f>BDH("CASS US Equity","NET_INCOME","1993-06-18","2026-05-02","Per=Y","Days=T","Dir=V")</f>
        <v>0</v>
      </c>
      <c r="AG2">
        <f>BDH("CASS US Equity","IS_INT_EXPENSE","1993-06-18","2026-05-02","Per=Y","Days=T","Dir=V")</f>
        <v>0</v>
      </c>
      <c r="AI2">
        <f>BDH("CASS US Equity","IS_DEPR_EXP","1993-06-18","2026-05-02","Per=Y","Days=T","Dir=V")</f>
        <v>0</v>
      </c>
      <c r="AK2">
        <f>BDH("CASS US Equity","CF_CASH_FROM_OPER","1993-06-18","2026-05-02","Per=Y","Days=T","Dir=V")</f>
        <v>0</v>
      </c>
      <c r="AM2">
        <f>BDH("CASS US Equity","CAPITAL_EXPEND","1993-06-18","2026-05-02","Per=Y","Days=T","Dir=V")</f>
        <v>0</v>
      </c>
      <c r="AO2">
        <f>BDH("CASS US Equity","CF_FREE_CASH_FLOW","1993-06-18","2026-05-02","Per=Y","Days=T","Dir=V")</f>
        <v>0</v>
      </c>
      <c r="AQ2">
        <f>BDH("CASS US Equity","PX_LAST","1993-06-18","2026-05-02","Per=M","Days=T","Dir=V")</f>
        <v>0</v>
      </c>
      <c r="AS2">
        <f>BDH("CASS US Equity","CUR_MKT_CAP","1993-06-18","2026-05-02","Per=M","Days=T","Dir=V")</f>
        <v>0</v>
      </c>
      <c r="AU2">
        <f>BDH("CASS US Equity","EQY_SH_OUT","1993-06-18","2026-05-02","Per=M","Days=T","Dir=V")</f>
        <v>0</v>
      </c>
      <c r="AW2">
        <f>BDH("CASS US Equity","PX_VOLUME","1993-06-18","2026-05-02","Per=M","Days=T","Dir=V")</f>
        <v>0</v>
      </c>
      <c r="AY2">
        <f>BDH("CASS US Equity","TURNOVER","1993-06-18","2026-05-02","Per=M","Days=T","Dir=V")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BDH("CAST US Equity","BS_TOT_ASSET","1993-06-18","2026-05-02","Per=Y","Days=T","Dir=V")</f>
        <v>0</v>
      </c>
      <c r="C2">
        <f>BDH("CAST US Equity","BS_TOT_LIAB2","1993-06-18","2026-05-02","Per=Y","Days=T","Dir=V")</f>
        <v>0</v>
      </c>
      <c r="E2">
        <f>BDH("CAST US Equity","SHORT_AND_LONG_TERM_DEBT","1993-06-18","2026-05-02","Per=Y","Days=T","Dir=V")</f>
        <v>0</v>
      </c>
      <c r="G2">
        <f>BDH("CAST US Equity","BS_ST_BORROW","1993-06-18","2026-05-02","Per=Y","Days=T","Dir=V")</f>
        <v>0</v>
      </c>
      <c r="I2">
        <f>BDH("CAST US Equity","BS_LT_BORROW","1993-06-18","2026-05-02","Per=Y","Days=T","Dir=V")</f>
        <v>0</v>
      </c>
      <c r="K2">
        <f>BDH("CAST US Equity","BS_CASH_NEAR_CASH_ITEM","1993-06-18","2026-05-02","Per=Y","Days=T","Dir=V")</f>
        <v>0</v>
      </c>
      <c r="M2">
        <f>BDH("CAST US Equity","BS_CUR_ASSET_REPORT","1993-06-18","2026-05-02","Per=Y","Days=T","Dir=V")</f>
        <v>0</v>
      </c>
      <c r="O2">
        <f>BDH("CAST US Equity","BS_CUR_LIAB","1993-06-18","2026-05-02","Per=Y","Days=T","Dir=V")</f>
        <v>0</v>
      </c>
      <c r="Q2">
        <f>BDH("CAST US Equity","BS_SHAREHOLDER_EQY_ENDING_PERIOD","1993-06-18","2026-05-02","Per=Y","Days=T","Dir=V")</f>
        <v>0</v>
      </c>
      <c r="S2">
        <f>BDH("CAST US Equity","BS_ACCT_NOTE_RCV","1993-06-18","2026-05-02","Per=Y","Days=T","Dir=V")</f>
        <v>0</v>
      </c>
      <c r="U2">
        <f>BDH("CAST US Equity","BS_INVENTORIES","1993-06-18","2026-05-02","Per=Y","Days=T","Dir=V")</f>
        <v>0</v>
      </c>
      <c r="W2">
        <f>BDH("CAST US Equity","WORKING_CAPITAL","1993-06-18","2026-05-02","Per=Y","Days=T","Dir=V")</f>
        <v>0</v>
      </c>
      <c r="Y2">
        <f>BDH("CAST US Equity","SALES_REV_TURN","1993-06-18","2026-05-02","Per=Y","Days=T","Dir=V")</f>
        <v>0</v>
      </c>
      <c r="AA2">
        <f>BDH("CAST US Equity","EBIT","1993-06-18","2026-05-02","Per=Y","Days=T","Dir=V")</f>
        <v>0</v>
      </c>
      <c r="AC2">
        <f>BDH("CAST US Equity","EBITDA","1993-06-18","2026-05-02","Per=Y","Days=T","Dir=V")</f>
        <v>0</v>
      </c>
      <c r="AE2">
        <f>BDH("CAST US Equity","NET_INCOME","1993-06-18","2026-05-02","Per=Y","Days=T","Dir=V")</f>
        <v>0</v>
      </c>
      <c r="AG2">
        <f>BDH("CAST US Equity","IS_INT_EXPENSE","1993-06-18","2026-05-02","Per=Y","Days=T","Dir=V")</f>
        <v>0</v>
      </c>
      <c r="AI2">
        <f>BDH("CAST US Equity","IS_DEPR_EXP","1993-06-18","2026-05-02","Per=Y","Days=T","Dir=V")</f>
        <v>0</v>
      </c>
      <c r="AK2">
        <f>BDH("CAST US Equity","CF_CASH_FROM_OPER","1993-06-18","2026-05-02","Per=Y","Days=T","Dir=V")</f>
        <v>0</v>
      </c>
      <c r="AM2">
        <f>BDH("CAST US Equity","CAPITAL_EXPEND","1993-06-18","2026-05-02","Per=Y","Days=T","Dir=V")</f>
        <v>0</v>
      </c>
      <c r="AO2">
        <f>BDH("CAST US Equity","CF_FREE_CASH_FLOW","1993-06-18","2026-05-02","Per=Y","Days=T","Dir=V")</f>
        <v>0</v>
      </c>
      <c r="AQ2">
        <f>BDH("CAST US Equity","PX_LAST","1993-06-18","2026-05-02","Per=M","Days=T","Dir=V")</f>
        <v>0</v>
      </c>
      <c r="AS2">
        <f>BDH("CAST US Equity","CUR_MKT_CAP","1993-06-18","2026-05-02","Per=M","Days=T","Dir=V")</f>
        <v>0</v>
      </c>
      <c r="AU2">
        <f>BDH("CAST US Equity","EQY_SH_OUT","1993-06-18","2026-05-02","Per=M","Days=T","Dir=V")</f>
        <v>0</v>
      </c>
      <c r="AW2">
        <f>BDH("CAST US Equity","PX_VOLUME","1993-06-18","2026-05-02","Per=M","Days=T","Dir=V")</f>
        <v>0</v>
      </c>
      <c r="AY2">
        <f>BDH("CAST US Equity","TURNOVER","1993-06-18","2026-05-02","Per=M","Days=T","Dir=V")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BDH("CASY US Equity","BS_TOT_ASSET","1993-06-18","2026-05-02","Per=Y","Days=T","Dir=V")</f>
        <v>0</v>
      </c>
      <c r="C2">
        <f>BDH("CASY US Equity","BS_TOT_LIAB2","1993-06-18","2026-05-02","Per=Y","Days=T","Dir=V")</f>
        <v>0</v>
      </c>
      <c r="E2">
        <f>BDH("CASY US Equity","SHORT_AND_LONG_TERM_DEBT","1993-06-18","2026-05-02","Per=Y","Days=T","Dir=V")</f>
        <v>0</v>
      </c>
      <c r="G2">
        <f>BDH("CASY US Equity","BS_ST_BORROW","1993-06-18","2026-05-02","Per=Y","Days=T","Dir=V")</f>
        <v>0</v>
      </c>
      <c r="I2">
        <f>BDH("CASY US Equity","BS_LT_BORROW","1993-06-18","2026-05-02","Per=Y","Days=T","Dir=V")</f>
        <v>0</v>
      </c>
      <c r="K2">
        <f>BDH("CASY US Equity","BS_CASH_NEAR_CASH_ITEM","1993-06-18","2026-05-02","Per=Y","Days=T","Dir=V")</f>
        <v>0</v>
      </c>
      <c r="M2">
        <f>BDH("CASY US Equity","BS_CUR_ASSET_REPORT","1993-06-18","2026-05-02","Per=Y","Days=T","Dir=V")</f>
        <v>0</v>
      </c>
      <c r="O2">
        <f>BDH("CASY US Equity","BS_CUR_LIAB","1993-06-18","2026-05-02","Per=Y","Days=T","Dir=V")</f>
        <v>0</v>
      </c>
      <c r="Q2">
        <f>BDH("CASY US Equity","BS_SHAREHOLDER_EQY_ENDING_PERIOD","1993-06-18","2026-05-02","Per=Y","Days=T","Dir=V")</f>
        <v>0</v>
      </c>
      <c r="S2">
        <f>BDH("CASY US Equity","BS_ACCT_NOTE_RCV","1993-06-18","2026-05-02","Per=Y","Days=T","Dir=V")</f>
        <v>0</v>
      </c>
      <c r="U2">
        <f>BDH("CASY US Equity","BS_INVENTORIES","1993-06-18","2026-05-02","Per=Y","Days=T","Dir=V")</f>
        <v>0</v>
      </c>
      <c r="W2">
        <f>BDH("CASY US Equity","WORKING_CAPITAL","1993-06-18","2026-05-02","Per=Y","Days=T","Dir=V")</f>
        <v>0</v>
      </c>
      <c r="Y2">
        <f>BDH("CASY US Equity","SALES_REV_TURN","1993-06-18","2026-05-02","Per=Y","Days=T","Dir=V")</f>
        <v>0</v>
      </c>
      <c r="AA2">
        <f>BDH("CASY US Equity","EBIT","1993-06-18","2026-05-02","Per=Y","Days=T","Dir=V")</f>
        <v>0</v>
      </c>
      <c r="AC2">
        <f>BDH("CASY US Equity","EBITDA","1993-06-18","2026-05-02","Per=Y","Days=T","Dir=V")</f>
        <v>0</v>
      </c>
      <c r="AE2">
        <f>BDH("CASY US Equity","NET_INCOME","1993-06-18","2026-05-02","Per=Y","Days=T","Dir=V")</f>
        <v>0</v>
      </c>
      <c r="AG2">
        <f>BDH("CASY US Equity","IS_INT_EXPENSE","1993-06-18","2026-05-02","Per=Y","Days=T","Dir=V")</f>
        <v>0</v>
      </c>
      <c r="AI2">
        <f>BDH("CASY US Equity","IS_DEPR_EXP","1993-06-18","2026-05-02","Per=Y","Days=T","Dir=V")</f>
        <v>0</v>
      </c>
      <c r="AK2">
        <f>BDH("CASY US Equity","CF_CASH_FROM_OPER","1993-06-18","2026-05-02","Per=Y","Days=T","Dir=V")</f>
        <v>0</v>
      </c>
      <c r="AM2">
        <f>BDH("CASY US Equity","CAPITAL_EXPEND","1993-06-18","2026-05-02","Per=Y","Days=T","Dir=V")</f>
        <v>0</v>
      </c>
      <c r="AO2">
        <f>BDH("CASY US Equity","CF_FREE_CASH_FLOW","1993-06-18","2026-05-02","Per=Y","Days=T","Dir=V")</f>
        <v>0</v>
      </c>
      <c r="AQ2">
        <f>BDH("CASY US Equity","PX_LAST","1993-06-18","2026-05-02","Per=M","Days=T","Dir=V")</f>
        <v>0</v>
      </c>
      <c r="AS2">
        <f>BDH("CASY US Equity","CUR_MKT_CAP","1993-06-18","2026-05-02","Per=M","Days=T","Dir=V")</f>
        <v>0</v>
      </c>
      <c r="AU2">
        <f>BDH("CASY US Equity","EQY_SH_OUT","1993-06-18","2026-05-02","Per=M","Days=T","Dir=V")</f>
        <v>0</v>
      </c>
      <c r="AW2">
        <f>BDH("CASY US Equity","PX_VOLUME","1993-06-18","2026-05-02","Per=M","Days=T","Dir=V")</f>
        <v>0</v>
      </c>
      <c r="AY2">
        <f>BDH("CASY US Equity","TURNOVER","1993-06-18","2026-05-02","Per=M","Days=T","Dir=V")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BDH("CAT US Equity","BS_TOT_ASSET","1993-06-18","2026-05-02","Per=Y","Days=T","Dir=V")</f>
        <v>0</v>
      </c>
      <c r="C2">
        <f>BDH("CAT US Equity","BS_TOT_LIAB2","1993-06-18","2026-05-02","Per=Y","Days=T","Dir=V")</f>
        <v>0</v>
      </c>
      <c r="E2">
        <f>BDH("CAT US Equity","SHORT_AND_LONG_TERM_DEBT","1993-06-18","2026-05-02","Per=Y","Days=T","Dir=V")</f>
        <v>0</v>
      </c>
      <c r="G2">
        <f>BDH("CAT US Equity","BS_ST_BORROW","1993-06-18","2026-05-02","Per=Y","Days=T","Dir=V")</f>
        <v>0</v>
      </c>
      <c r="I2">
        <f>BDH("CAT US Equity","BS_LT_BORROW","1993-06-18","2026-05-02","Per=Y","Days=T","Dir=V")</f>
        <v>0</v>
      </c>
      <c r="K2">
        <f>BDH("CAT US Equity","BS_CASH_NEAR_CASH_ITEM","1993-06-18","2026-05-02","Per=Y","Days=T","Dir=V")</f>
        <v>0</v>
      </c>
      <c r="M2">
        <f>BDH("CAT US Equity","BS_CUR_ASSET_REPORT","1993-06-18","2026-05-02","Per=Y","Days=T","Dir=V")</f>
        <v>0</v>
      </c>
      <c r="O2">
        <f>BDH("CAT US Equity","BS_CUR_LIAB","1993-06-18","2026-05-02","Per=Y","Days=T","Dir=V")</f>
        <v>0</v>
      </c>
      <c r="Q2">
        <f>BDH("CAT US Equity","BS_SHAREHOLDER_EQY_ENDING_PERIOD","1993-06-18","2026-05-02","Per=Y","Days=T","Dir=V")</f>
        <v>0</v>
      </c>
      <c r="S2">
        <f>BDH("CAT US Equity","BS_ACCT_NOTE_RCV","1993-06-18","2026-05-02","Per=Y","Days=T","Dir=V")</f>
        <v>0</v>
      </c>
      <c r="U2">
        <f>BDH("CAT US Equity","BS_INVENTORIES","1993-06-18","2026-05-02","Per=Y","Days=T","Dir=V")</f>
        <v>0</v>
      </c>
      <c r="W2">
        <f>BDH("CAT US Equity","WORKING_CAPITAL","1993-06-18","2026-05-02","Per=Y","Days=T","Dir=V")</f>
        <v>0</v>
      </c>
      <c r="Y2">
        <f>BDH("CAT US Equity","SALES_REV_TURN","1993-06-18","2026-05-02","Per=Y","Days=T","Dir=V")</f>
        <v>0</v>
      </c>
      <c r="AA2">
        <f>BDH("CAT US Equity","EBIT","1993-06-18","2026-05-02","Per=Y","Days=T","Dir=V")</f>
        <v>0</v>
      </c>
      <c r="AC2">
        <f>BDH("CAT US Equity","EBITDA","1993-06-18","2026-05-02","Per=Y","Days=T","Dir=V")</f>
        <v>0</v>
      </c>
      <c r="AE2">
        <f>BDH("CAT US Equity","NET_INCOME","1993-06-18","2026-05-02","Per=Y","Days=T","Dir=V")</f>
        <v>0</v>
      </c>
      <c r="AG2">
        <f>BDH("CAT US Equity","IS_INT_EXPENSE","1993-06-18","2026-05-02","Per=Y","Days=T","Dir=V")</f>
        <v>0</v>
      </c>
      <c r="AI2">
        <f>BDH("CAT US Equity","IS_DEPR_EXP","1993-06-18","2026-05-02","Per=Y","Days=T","Dir=V")</f>
        <v>0</v>
      </c>
      <c r="AK2">
        <f>BDH("CAT US Equity","CF_CASH_FROM_OPER","1993-06-18","2026-05-02","Per=Y","Days=T","Dir=V")</f>
        <v>0</v>
      </c>
      <c r="AM2">
        <f>BDH("CAT US Equity","CAPITAL_EXPEND","1993-06-18","2026-05-02","Per=Y","Days=T","Dir=V")</f>
        <v>0</v>
      </c>
      <c r="AO2">
        <f>BDH("CAT US Equity","CF_FREE_CASH_FLOW","1993-06-18","2026-05-02","Per=Y","Days=T","Dir=V")</f>
        <v>0</v>
      </c>
      <c r="AQ2">
        <f>BDH("CAT US Equity","PX_LAST","1993-06-18","2026-05-02","Per=M","Days=T","Dir=V")</f>
        <v>0</v>
      </c>
      <c r="AS2">
        <f>BDH("CAT US Equity","CUR_MKT_CAP","1993-06-18","2026-05-02","Per=M","Days=T","Dir=V")</f>
        <v>0</v>
      </c>
      <c r="AU2">
        <f>BDH("CAT US Equity","EQY_SH_OUT","1993-06-18","2026-05-02","Per=M","Days=T","Dir=V")</f>
        <v>0</v>
      </c>
      <c r="AW2">
        <f>BDH("CAT US Equity","PX_VOLUME","1993-06-18","2026-05-02","Per=M","Days=T","Dir=V")</f>
        <v>0</v>
      </c>
      <c r="AY2">
        <f>BDH("CAT US Equity","TURNOVER","1993-06-18","2026-05-02","Per=M","Days=T","Dir=V")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BDH("CATO US Equity","BS_TOT_ASSET","1993-06-18","2026-05-02","Per=Y","Days=T","Dir=V")</f>
        <v>0</v>
      </c>
      <c r="C2">
        <f>BDH("CATO US Equity","BS_TOT_LIAB2","1993-06-18","2026-05-02","Per=Y","Days=T","Dir=V")</f>
        <v>0</v>
      </c>
      <c r="E2">
        <f>BDH("CATO US Equity","SHORT_AND_LONG_TERM_DEBT","1993-06-18","2026-05-02","Per=Y","Days=T","Dir=V")</f>
        <v>0</v>
      </c>
      <c r="G2">
        <f>BDH("CATO US Equity","BS_ST_BORROW","1993-06-18","2026-05-02","Per=Y","Days=T","Dir=V")</f>
        <v>0</v>
      </c>
      <c r="I2">
        <f>BDH("CATO US Equity","BS_LT_BORROW","1993-06-18","2026-05-02","Per=Y","Days=T","Dir=V")</f>
        <v>0</v>
      </c>
      <c r="K2">
        <f>BDH("CATO US Equity","BS_CASH_NEAR_CASH_ITEM","1993-06-18","2026-05-02","Per=Y","Days=T","Dir=V")</f>
        <v>0</v>
      </c>
      <c r="M2">
        <f>BDH("CATO US Equity","BS_CUR_ASSET_REPORT","1993-06-18","2026-05-02","Per=Y","Days=T","Dir=V")</f>
        <v>0</v>
      </c>
      <c r="O2">
        <f>BDH("CATO US Equity","BS_CUR_LIAB","1993-06-18","2026-05-02","Per=Y","Days=T","Dir=V")</f>
        <v>0</v>
      </c>
      <c r="Q2">
        <f>BDH("CATO US Equity","BS_SHAREHOLDER_EQY_ENDING_PERIOD","1993-06-18","2026-05-02","Per=Y","Days=T","Dir=V")</f>
        <v>0</v>
      </c>
      <c r="S2">
        <f>BDH("CATO US Equity","BS_ACCT_NOTE_RCV","1993-06-18","2026-05-02","Per=Y","Days=T","Dir=V")</f>
        <v>0</v>
      </c>
      <c r="U2">
        <f>BDH("CATO US Equity","BS_INVENTORIES","1993-06-18","2026-05-02","Per=Y","Days=T","Dir=V")</f>
        <v>0</v>
      </c>
      <c r="W2">
        <f>BDH("CATO US Equity","WORKING_CAPITAL","1993-06-18","2026-05-02","Per=Y","Days=T","Dir=V")</f>
        <v>0</v>
      </c>
      <c r="Y2">
        <f>BDH("CATO US Equity","SALES_REV_TURN","1993-06-18","2026-05-02","Per=Y","Days=T","Dir=V")</f>
        <v>0</v>
      </c>
      <c r="AA2">
        <f>BDH("CATO US Equity","EBIT","1993-06-18","2026-05-02","Per=Y","Days=T","Dir=V")</f>
        <v>0</v>
      </c>
      <c r="AC2">
        <f>BDH("CATO US Equity","EBITDA","1993-06-18","2026-05-02","Per=Y","Days=T","Dir=V")</f>
        <v>0</v>
      </c>
      <c r="AE2">
        <f>BDH("CATO US Equity","NET_INCOME","1993-06-18","2026-05-02","Per=Y","Days=T","Dir=V")</f>
        <v>0</v>
      </c>
      <c r="AG2">
        <f>BDH("CATO US Equity","IS_INT_EXPENSE","1993-06-18","2026-05-02","Per=Y","Days=T","Dir=V")</f>
        <v>0</v>
      </c>
      <c r="AI2">
        <f>BDH("CATO US Equity","IS_DEPR_EXP","1993-06-18","2026-05-02","Per=Y","Days=T","Dir=V")</f>
        <v>0</v>
      </c>
      <c r="AK2">
        <f>BDH("CATO US Equity","CF_CASH_FROM_OPER","1993-06-18","2026-05-02","Per=Y","Days=T","Dir=V")</f>
        <v>0</v>
      </c>
      <c r="AM2">
        <f>BDH("CATO US Equity","CAPITAL_EXPEND","1993-06-18","2026-05-02","Per=Y","Days=T","Dir=V")</f>
        <v>0</v>
      </c>
      <c r="AO2">
        <f>BDH("CATO US Equity","CF_FREE_CASH_FLOW","1993-06-18","2026-05-02","Per=Y","Days=T","Dir=V")</f>
        <v>0</v>
      </c>
      <c r="AQ2">
        <f>BDH("CATO US Equity","PX_LAST","1993-06-18","2026-05-02","Per=M","Days=T","Dir=V")</f>
        <v>0</v>
      </c>
      <c r="AS2">
        <f>BDH("CATO US Equity","CUR_MKT_CAP","1993-06-18","2026-05-02","Per=M","Days=T","Dir=V")</f>
        <v>0</v>
      </c>
      <c r="AU2">
        <f>BDH("CATO US Equity","EQY_SH_OUT","1993-06-18","2026-05-02","Per=M","Days=T","Dir=V")</f>
        <v>0</v>
      </c>
      <c r="AW2">
        <f>BDH("CATO US Equity","PX_VOLUME","1993-06-18","2026-05-02","Per=M","Days=T","Dir=V")</f>
        <v>0</v>
      </c>
      <c r="AY2">
        <f>BDH("CATO US Equity","TURNOVER","1993-06-18","2026-05-02","Per=M","Days=T","Dir=V")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BDH("CATX US Equity","BS_TOT_ASSET","1993-06-18","2026-05-02","Per=Y","Days=T","Dir=V")</f>
        <v>0</v>
      </c>
      <c r="C2">
        <f>BDH("CATX US Equity","BS_TOT_LIAB2","1993-06-18","2026-05-02","Per=Y","Days=T","Dir=V")</f>
        <v>0</v>
      </c>
      <c r="E2">
        <f>BDH("CATX US Equity","SHORT_AND_LONG_TERM_DEBT","1993-06-18","2026-05-02","Per=Y","Days=T","Dir=V")</f>
        <v>0</v>
      </c>
      <c r="G2">
        <f>BDH("CATX US Equity","BS_ST_BORROW","1993-06-18","2026-05-02","Per=Y","Days=T","Dir=V")</f>
        <v>0</v>
      </c>
      <c r="I2">
        <f>BDH("CATX US Equity","BS_LT_BORROW","1993-06-18","2026-05-02","Per=Y","Days=T","Dir=V")</f>
        <v>0</v>
      </c>
      <c r="K2">
        <f>BDH("CATX US Equity","BS_CASH_NEAR_CASH_ITEM","1993-06-18","2026-05-02","Per=Y","Days=T","Dir=V")</f>
        <v>0</v>
      </c>
      <c r="M2">
        <f>BDH("CATX US Equity","BS_CUR_ASSET_REPORT","1993-06-18","2026-05-02","Per=Y","Days=T","Dir=V")</f>
        <v>0</v>
      </c>
      <c r="O2">
        <f>BDH("CATX US Equity","BS_CUR_LIAB","1993-06-18","2026-05-02","Per=Y","Days=T","Dir=V")</f>
        <v>0</v>
      </c>
      <c r="Q2">
        <f>BDH("CATX US Equity","BS_SHAREHOLDER_EQY_ENDING_PERIOD","1993-06-18","2026-05-02","Per=Y","Days=T","Dir=V")</f>
        <v>0</v>
      </c>
      <c r="S2">
        <f>BDH("CATX US Equity","BS_ACCT_NOTE_RCV","1993-06-18","2026-05-02","Per=Y","Days=T","Dir=V")</f>
        <v>0</v>
      </c>
      <c r="U2">
        <f>BDH("CATX US Equity","BS_INVENTORIES","1993-06-18","2026-05-02","Per=Y","Days=T","Dir=V")</f>
        <v>0</v>
      </c>
      <c r="W2">
        <f>BDH("CATX US Equity","WORKING_CAPITAL","1993-06-18","2026-05-02","Per=Y","Days=T","Dir=V")</f>
        <v>0</v>
      </c>
      <c r="Y2">
        <f>BDH("CATX US Equity","SALES_REV_TURN","1993-06-18","2026-05-02","Per=Y","Days=T","Dir=V")</f>
        <v>0</v>
      </c>
      <c r="AA2">
        <f>BDH("CATX US Equity","EBIT","1993-06-18","2026-05-02","Per=Y","Days=T","Dir=V")</f>
        <v>0</v>
      </c>
      <c r="AC2">
        <f>BDH("CATX US Equity","EBITDA","1993-06-18","2026-05-02","Per=Y","Days=T","Dir=V")</f>
        <v>0</v>
      </c>
      <c r="AE2">
        <f>BDH("CATX US Equity","NET_INCOME","1993-06-18","2026-05-02","Per=Y","Days=T","Dir=V")</f>
        <v>0</v>
      </c>
      <c r="AG2">
        <f>BDH("CATX US Equity","IS_INT_EXPENSE","1993-06-18","2026-05-02","Per=Y","Days=T","Dir=V")</f>
        <v>0</v>
      </c>
      <c r="AI2">
        <f>BDH("CATX US Equity","IS_DEPR_EXP","1993-06-18","2026-05-02","Per=Y","Days=T","Dir=V")</f>
        <v>0</v>
      </c>
      <c r="AK2">
        <f>BDH("CATX US Equity","CF_CASH_FROM_OPER","1993-06-18","2026-05-02","Per=Y","Days=T","Dir=V")</f>
        <v>0</v>
      </c>
      <c r="AM2">
        <f>BDH("CATX US Equity","CAPITAL_EXPEND","1993-06-18","2026-05-02","Per=Y","Days=T","Dir=V")</f>
        <v>0</v>
      </c>
      <c r="AO2">
        <f>BDH("CATX US Equity","CF_FREE_CASH_FLOW","1993-06-18","2026-05-02","Per=Y","Days=T","Dir=V")</f>
        <v>0</v>
      </c>
      <c r="AQ2">
        <f>BDH("CATX US Equity","PX_LAST","1993-06-18","2026-05-02","Per=M","Days=T","Dir=V")</f>
        <v>0</v>
      </c>
      <c r="AS2">
        <f>BDH("CATX US Equity","CUR_MKT_CAP","1993-06-18","2026-05-02","Per=M","Days=T","Dir=V")</f>
        <v>0</v>
      </c>
      <c r="AU2">
        <f>BDH("CATX US Equity","EQY_SH_OUT","1993-06-18","2026-05-02","Per=M","Days=T","Dir=V")</f>
        <v>0</v>
      </c>
      <c r="AW2">
        <f>BDH("CATX US Equity","PX_VOLUME","1993-06-18","2026-05-02","Per=M","Days=T","Dir=V")</f>
        <v>0</v>
      </c>
      <c r="AY2">
        <f>BDH("CATX US Equity","TURNOVER","1993-06-18","2026-05-02","Per=M","Days=T","Dir=V")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BDH("CAVA US Equity","BS_TOT_ASSET","1993-06-18","2026-05-02","Per=Y","Days=T","Dir=V")</f>
        <v>0</v>
      </c>
      <c r="C2">
        <f>BDH("CAVA US Equity","BS_TOT_LIAB2","1993-06-18","2026-05-02","Per=Y","Days=T","Dir=V")</f>
        <v>0</v>
      </c>
      <c r="E2">
        <f>BDH("CAVA US Equity","SHORT_AND_LONG_TERM_DEBT","1993-06-18","2026-05-02","Per=Y","Days=T","Dir=V")</f>
        <v>0</v>
      </c>
      <c r="G2">
        <f>BDH("CAVA US Equity","BS_ST_BORROW","1993-06-18","2026-05-02","Per=Y","Days=T","Dir=V")</f>
        <v>0</v>
      </c>
      <c r="I2">
        <f>BDH("CAVA US Equity","BS_LT_BORROW","1993-06-18","2026-05-02","Per=Y","Days=T","Dir=V")</f>
        <v>0</v>
      </c>
      <c r="K2">
        <f>BDH("CAVA US Equity","BS_CASH_NEAR_CASH_ITEM","1993-06-18","2026-05-02","Per=Y","Days=T","Dir=V")</f>
        <v>0</v>
      </c>
      <c r="M2">
        <f>BDH("CAVA US Equity","BS_CUR_ASSET_REPORT","1993-06-18","2026-05-02","Per=Y","Days=T","Dir=V")</f>
        <v>0</v>
      </c>
      <c r="O2">
        <f>BDH("CAVA US Equity","BS_CUR_LIAB","1993-06-18","2026-05-02","Per=Y","Days=T","Dir=V")</f>
        <v>0</v>
      </c>
      <c r="Q2">
        <f>BDH("CAVA US Equity","BS_SHAREHOLDER_EQY_ENDING_PERIOD","1993-06-18","2026-05-02","Per=Y","Days=T","Dir=V")</f>
        <v>0</v>
      </c>
      <c r="S2">
        <f>BDH("CAVA US Equity","BS_ACCT_NOTE_RCV","1993-06-18","2026-05-02","Per=Y","Days=T","Dir=V")</f>
        <v>0</v>
      </c>
      <c r="U2">
        <f>BDH("CAVA US Equity","BS_INVENTORIES","1993-06-18","2026-05-02","Per=Y","Days=T","Dir=V")</f>
        <v>0</v>
      </c>
      <c r="W2">
        <f>BDH("CAVA US Equity","WORKING_CAPITAL","1993-06-18","2026-05-02","Per=Y","Days=T","Dir=V")</f>
        <v>0</v>
      </c>
      <c r="Y2">
        <f>BDH("CAVA US Equity","SALES_REV_TURN","1993-06-18","2026-05-02","Per=Y","Days=T","Dir=V")</f>
        <v>0</v>
      </c>
      <c r="AA2">
        <f>BDH("CAVA US Equity","EBIT","1993-06-18","2026-05-02","Per=Y","Days=T","Dir=V")</f>
        <v>0</v>
      </c>
      <c r="AC2">
        <f>BDH("CAVA US Equity","EBITDA","1993-06-18","2026-05-02","Per=Y","Days=T","Dir=V")</f>
        <v>0</v>
      </c>
      <c r="AE2">
        <f>BDH("CAVA US Equity","NET_INCOME","1993-06-18","2026-05-02","Per=Y","Days=T","Dir=V")</f>
        <v>0</v>
      </c>
      <c r="AG2">
        <f>BDH("CAVA US Equity","IS_INT_EXPENSE","1993-06-18","2026-05-02","Per=Y","Days=T","Dir=V")</f>
        <v>0</v>
      </c>
      <c r="AI2">
        <f>BDH("CAVA US Equity","IS_DEPR_EXP","1993-06-18","2026-05-02","Per=Y","Days=T","Dir=V")</f>
        <v>0</v>
      </c>
      <c r="AK2">
        <f>BDH("CAVA US Equity","CF_CASH_FROM_OPER","1993-06-18","2026-05-02","Per=Y","Days=T","Dir=V")</f>
        <v>0</v>
      </c>
      <c r="AM2">
        <f>BDH("CAVA US Equity","CAPITAL_EXPEND","1993-06-18","2026-05-02","Per=Y","Days=T","Dir=V")</f>
        <v>0</v>
      </c>
      <c r="AO2">
        <f>BDH("CAVA US Equity","CF_FREE_CASH_FLOW","1993-06-18","2026-05-02","Per=Y","Days=T","Dir=V")</f>
        <v>0</v>
      </c>
      <c r="AQ2">
        <f>BDH("CAVA US Equity","PX_LAST","1993-06-18","2026-05-02","Per=M","Days=T","Dir=V")</f>
        <v>0</v>
      </c>
      <c r="AS2">
        <f>BDH("CAVA US Equity","CUR_MKT_CAP","1993-06-18","2026-05-02","Per=M","Days=T","Dir=V")</f>
        <v>0</v>
      </c>
      <c r="AU2">
        <f>BDH("CAVA US Equity","EQY_SH_OUT","1993-06-18","2026-05-02","Per=M","Days=T","Dir=V")</f>
        <v>0</v>
      </c>
      <c r="AW2">
        <f>BDH("CAVA US Equity","PX_VOLUME","1993-06-18","2026-05-02","Per=M","Days=T","Dir=V")</f>
        <v>0</v>
      </c>
      <c r="AY2">
        <f>BDH("CAVA US Equity","TURNOVER","1993-06-18","2026-05-02","Per=M","Days=T","Dir=V")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BDH("CBIO US Equity","BS_TOT_ASSET","1993-06-18","2026-05-02","Per=Y","Days=T","Dir=V")</f>
        <v>0</v>
      </c>
      <c r="C2">
        <f>BDH("CBIO US Equity","BS_TOT_LIAB2","1993-06-18","2026-05-02","Per=Y","Days=T","Dir=V")</f>
        <v>0</v>
      </c>
      <c r="E2">
        <f>BDH("CBIO US Equity","SHORT_AND_LONG_TERM_DEBT","1993-06-18","2026-05-02","Per=Y","Days=T","Dir=V")</f>
        <v>0</v>
      </c>
      <c r="G2">
        <f>BDH("CBIO US Equity","BS_ST_BORROW","1993-06-18","2026-05-02","Per=Y","Days=T","Dir=V")</f>
        <v>0</v>
      </c>
      <c r="I2">
        <f>BDH("CBIO US Equity","BS_LT_BORROW","1993-06-18","2026-05-02","Per=Y","Days=T","Dir=V")</f>
        <v>0</v>
      </c>
      <c r="K2">
        <f>BDH("CBIO US Equity","BS_CASH_NEAR_CASH_ITEM","1993-06-18","2026-05-02","Per=Y","Days=T","Dir=V")</f>
        <v>0</v>
      </c>
      <c r="M2">
        <f>BDH("CBIO US Equity","BS_CUR_ASSET_REPORT","1993-06-18","2026-05-02","Per=Y","Days=T","Dir=V")</f>
        <v>0</v>
      </c>
      <c r="O2">
        <f>BDH("CBIO US Equity","BS_CUR_LIAB","1993-06-18","2026-05-02","Per=Y","Days=T","Dir=V")</f>
        <v>0</v>
      </c>
      <c r="Q2">
        <f>BDH("CBIO US Equity","BS_SHAREHOLDER_EQY_ENDING_PERIOD","1993-06-18","2026-05-02","Per=Y","Days=T","Dir=V")</f>
        <v>0</v>
      </c>
      <c r="S2">
        <f>BDH("CBIO US Equity","BS_ACCT_NOTE_RCV","1993-06-18","2026-05-02","Per=Y","Days=T","Dir=V")</f>
        <v>0</v>
      </c>
      <c r="U2">
        <f>BDH("CBIO US Equity","BS_INVENTORIES","1993-06-18","2026-05-02","Per=Y","Days=T","Dir=V")</f>
        <v>0</v>
      </c>
      <c r="W2">
        <f>BDH("CBIO US Equity","WORKING_CAPITAL","1993-06-18","2026-05-02","Per=Y","Days=T","Dir=V")</f>
        <v>0</v>
      </c>
      <c r="Y2">
        <f>BDH("CBIO US Equity","SALES_REV_TURN","1993-06-18","2026-05-02","Per=Y","Days=T","Dir=V")</f>
        <v>0</v>
      </c>
      <c r="AA2">
        <f>BDH("CBIO US Equity","EBIT","1993-06-18","2026-05-02","Per=Y","Days=T","Dir=V")</f>
        <v>0</v>
      </c>
      <c r="AC2">
        <f>BDH("CBIO US Equity","EBITDA","1993-06-18","2026-05-02","Per=Y","Days=T","Dir=V")</f>
        <v>0</v>
      </c>
      <c r="AE2">
        <f>BDH("CBIO US Equity","NET_INCOME","1993-06-18","2026-05-02","Per=Y","Days=T","Dir=V")</f>
        <v>0</v>
      </c>
      <c r="AG2">
        <f>BDH("CBIO US Equity","IS_INT_EXPENSE","1993-06-18","2026-05-02","Per=Y","Days=T","Dir=V")</f>
        <v>0</v>
      </c>
      <c r="AI2">
        <f>BDH("CBIO US Equity","IS_DEPR_EXP","1993-06-18","2026-05-02","Per=Y","Days=T","Dir=V")</f>
        <v>0</v>
      </c>
      <c r="AK2">
        <f>BDH("CBIO US Equity","CF_CASH_FROM_OPER","1993-06-18","2026-05-02","Per=Y","Days=T","Dir=V")</f>
        <v>0</v>
      </c>
      <c r="AM2">
        <f>BDH("CBIO US Equity","CAPITAL_EXPEND","1993-06-18","2026-05-02","Per=Y","Days=T","Dir=V")</f>
        <v>0</v>
      </c>
      <c r="AO2">
        <f>BDH("CBIO US Equity","CF_FREE_CASH_FLOW","1993-06-18","2026-05-02","Per=Y","Days=T","Dir=V")</f>
        <v>0</v>
      </c>
      <c r="AQ2">
        <f>BDH("CBIO US Equity","PX_LAST","1993-06-18","2026-05-02","Per=M","Days=T","Dir=V")</f>
        <v>0</v>
      </c>
      <c r="AS2">
        <f>BDH("CBIO US Equity","CUR_MKT_CAP","1993-06-18","2026-05-02","Per=M","Days=T","Dir=V")</f>
        <v>0</v>
      </c>
      <c r="AU2">
        <f>BDH("CBIO US Equity","EQY_SH_OUT","1993-06-18","2026-05-02","Per=M","Days=T","Dir=V")</f>
        <v>0</v>
      </c>
      <c r="AW2">
        <f>BDH("CBIO US Equity","PX_VOLUME","1993-06-18","2026-05-02","Per=M","Days=T","Dir=V")</f>
        <v>0</v>
      </c>
      <c r="AY2">
        <f>BDH("CBIO US Equity","TURNOVER","1993-06-18","2026-05-02","Per=M","Days=T","Dir=V")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BDH("CBLL US Equity","BS_TOT_ASSET","1993-06-18","2026-05-02","Per=Y","Days=T","Dir=V")</f>
        <v>0</v>
      </c>
      <c r="C2">
        <f>BDH("CBLL US Equity","BS_TOT_LIAB2","1993-06-18","2026-05-02","Per=Y","Days=T","Dir=V")</f>
        <v>0</v>
      </c>
      <c r="E2">
        <f>BDH("CBLL US Equity","SHORT_AND_LONG_TERM_DEBT","1993-06-18","2026-05-02","Per=Y","Days=T","Dir=V")</f>
        <v>0</v>
      </c>
      <c r="G2">
        <f>BDH("CBLL US Equity","BS_ST_BORROW","1993-06-18","2026-05-02","Per=Y","Days=T","Dir=V")</f>
        <v>0</v>
      </c>
      <c r="I2">
        <f>BDH("CBLL US Equity","BS_LT_BORROW","1993-06-18","2026-05-02","Per=Y","Days=T","Dir=V")</f>
        <v>0</v>
      </c>
      <c r="K2">
        <f>BDH("CBLL US Equity","BS_CASH_NEAR_CASH_ITEM","1993-06-18","2026-05-02","Per=Y","Days=T","Dir=V")</f>
        <v>0</v>
      </c>
      <c r="M2">
        <f>BDH("CBLL US Equity","BS_CUR_ASSET_REPORT","1993-06-18","2026-05-02","Per=Y","Days=T","Dir=V")</f>
        <v>0</v>
      </c>
      <c r="O2">
        <f>BDH("CBLL US Equity","BS_CUR_LIAB","1993-06-18","2026-05-02","Per=Y","Days=T","Dir=V")</f>
        <v>0</v>
      </c>
      <c r="Q2">
        <f>BDH("CBLL US Equity","BS_SHAREHOLDER_EQY_ENDING_PERIOD","1993-06-18","2026-05-02","Per=Y","Days=T","Dir=V")</f>
        <v>0</v>
      </c>
      <c r="S2">
        <f>BDH("CBLL US Equity","BS_ACCT_NOTE_RCV","1993-06-18","2026-05-02","Per=Y","Days=T","Dir=V")</f>
        <v>0</v>
      </c>
      <c r="U2">
        <f>BDH("CBLL US Equity","BS_INVENTORIES","1993-06-18","2026-05-02","Per=Y","Days=T","Dir=V")</f>
        <v>0</v>
      </c>
      <c r="W2">
        <f>BDH("CBLL US Equity","WORKING_CAPITAL","1993-06-18","2026-05-02","Per=Y","Days=T","Dir=V")</f>
        <v>0</v>
      </c>
      <c r="Y2">
        <f>BDH("CBLL US Equity","SALES_REV_TURN","1993-06-18","2026-05-02","Per=Y","Days=T","Dir=V")</f>
        <v>0</v>
      </c>
      <c r="AA2">
        <f>BDH("CBLL US Equity","EBIT","1993-06-18","2026-05-02","Per=Y","Days=T","Dir=V")</f>
        <v>0</v>
      </c>
      <c r="AC2">
        <f>BDH("CBLL US Equity","EBITDA","1993-06-18","2026-05-02","Per=Y","Days=T","Dir=V")</f>
        <v>0</v>
      </c>
      <c r="AE2">
        <f>BDH("CBLL US Equity","NET_INCOME","1993-06-18","2026-05-02","Per=Y","Days=T","Dir=V")</f>
        <v>0</v>
      </c>
      <c r="AG2">
        <f>BDH("CBLL US Equity","IS_INT_EXPENSE","1993-06-18","2026-05-02","Per=Y","Days=T","Dir=V")</f>
        <v>0</v>
      </c>
      <c r="AI2">
        <f>BDH("CBLL US Equity","IS_DEPR_EXP","1993-06-18","2026-05-02","Per=Y","Days=T","Dir=V")</f>
        <v>0</v>
      </c>
      <c r="AK2">
        <f>BDH("CBLL US Equity","CF_CASH_FROM_OPER","1993-06-18","2026-05-02","Per=Y","Days=T","Dir=V")</f>
        <v>0</v>
      </c>
      <c r="AM2">
        <f>BDH("CBLL US Equity","CAPITAL_EXPEND","1993-06-18","2026-05-02","Per=Y","Days=T","Dir=V")</f>
        <v>0</v>
      </c>
      <c r="AO2">
        <f>BDH("CBLL US Equity","CF_FREE_CASH_FLOW","1993-06-18","2026-05-02","Per=Y","Days=T","Dir=V")</f>
        <v>0</v>
      </c>
      <c r="AQ2">
        <f>BDH("CBLL US Equity","PX_LAST","1993-06-18","2026-05-02","Per=M","Days=T","Dir=V")</f>
        <v>0</v>
      </c>
      <c r="AS2">
        <f>BDH("CBLL US Equity","CUR_MKT_CAP","1993-06-18","2026-05-02","Per=M","Days=T","Dir=V")</f>
        <v>0</v>
      </c>
      <c r="AU2">
        <f>BDH("CBLL US Equity","EQY_SH_OUT","1993-06-18","2026-05-02","Per=M","Days=T","Dir=V")</f>
        <v>0</v>
      </c>
      <c r="AW2">
        <f>BDH("CBLL US Equity","PX_VOLUME","1993-06-18","2026-05-02","Per=M","Days=T","Dir=V")</f>
        <v>0</v>
      </c>
      <c r="AY2">
        <f>BDH("CBLL US Equity","TURNOVER","1993-06-18","2026-05-02","Per=M","Days=T","Dir=V")</f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BDH("CBRL US Equity","BS_TOT_ASSET","1993-06-18","2026-05-02","Per=Y","Days=T","Dir=V")</f>
        <v>0</v>
      </c>
      <c r="C2">
        <f>BDH("CBRL US Equity","BS_TOT_LIAB2","1993-06-18","2026-05-02","Per=Y","Days=T","Dir=V")</f>
        <v>0</v>
      </c>
      <c r="E2">
        <f>BDH("CBRL US Equity","SHORT_AND_LONG_TERM_DEBT","1993-06-18","2026-05-02","Per=Y","Days=T","Dir=V")</f>
        <v>0</v>
      </c>
      <c r="G2">
        <f>BDH("CBRL US Equity","BS_ST_BORROW","1993-06-18","2026-05-02","Per=Y","Days=T","Dir=V")</f>
        <v>0</v>
      </c>
      <c r="I2">
        <f>BDH("CBRL US Equity","BS_LT_BORROW","1993-06-18","2026-05-02","Per=Y","Days=T","Dir=V")</f>
        <v>0</v>
      </c>
      <c r="K2">
        <f>BDH("CBRL US Equity","BS_CASH_NEAR_CASH_ITEM","1993-06-18","2026-05-02","Per=Y","Days=T","Dir=V")</f>
        <v>0</v>
      </c>
      <c r="M2">
        <f>BDH("CBRL US Equity","BS_CUR_ASSET_REPORT","1993-06-18","2026-05-02","Per=Y","Days=T","Dir=V")</f>
        <v>0</v>
      </c>
      <c r="O2">
        <f>BDH("CBRL US Equity","BS_CUR_LIAB","1993-06-18","2026-05-02","Per=Y","Days=T","Dir=V")</f>
        <v>0</v>
      </c>
      <c r="Q2">
        <f>BDH("CBRL US Equity","BS_SHAREHOLDER_EQY_ENDING_PERIOD","1993-06-18","2026-05-02","Per=Y","Days=T","Dir=V")</f>
        <v>0</v>
      </c>
      <c r="S2">
        <f>BDH("CBRL US Equity","BS_ACCT_NOTE_RCV","1993-06-18","2026-05-02","Per=Y","Days=T","Dir=V")</f>
        <v>0</v>
      </c>
      <c r="U2">
        <f>BDH("CBRL US Equity","BS_INVENTORIES","1993-06-18","2026-05-02","Per=Y","Days=T","Dir=V")</f>
        <v>0</v>
      </c>
      <c r="W2">
        <f>BDH("CBRL US Equity","WORKING_CAPITAL","1993-06-18","2026-05-02","Per=Y","Days=T","Dir=V")</f>
        <v>0</v>
      </c>
      <c r="Y2">
        <f>BDH("CBRL US Equity","SALES_REV_TURN","1993-06-18","2026-05-02","Per=Y","Days=T","Dir=V")</f>
        <v>0</v>
      </c>
      <c r="AA2">
        <f>BDH("CBRL US Equity","EBIT","1993-06-18","2026-05-02","Per=Y","Days=T","Dir=V")</f>
        <v>0</v>
      </c>
      <c r="AC2">
        <f>BDH("CBRL US Equity","EBITDA","1993-06-18","2026-05-02","Per=Y","Days=T","Dir=V")</f>
        <v>0</v>
      </c>
      <c r="AE2">
        <f>BDH("CBRL US Equity","NET_INCOME","1993-06-18","2026-05-02","Per=Y","Days=T","Dir=V")</f>
        <v>0</v>
      </c>
      <c r="AG2">
        <f>BDH("CBRL US Equity","IS_INT_EXPENSE","1993-06-18","2026-05-02","Per=Y","Days=T","Dir=V")</f>
        <v>0</v>
      </c>
      <c r="AI2">
        <f>BDH("CBRL US Equity","IS_DEPR_EXP","1993-06-18","2026-05-02","Per=Y","Days=T","Dir=V")</f>
        <v>0</v>
      </c>
      <c r="AK2">
        <f>BDH("CBRL US Equity","CF_CASH_FROM_OPER","1993-06-18","2026-05-02","Per=Y","Days=T","Dir=V")</f>
        <v>0</v>
      </c>
      <c r="AM2">
        <f>BDH("CBRL US Equity","CAPITAL_EXPEND","1993-06-18","2026-05-02","Per=Y","Days=T","Dir=V")</f>
        <v>0</v>
      </c>
      <c r="AO2">
        <f>BDH("CBRL US Equity","CF_FREE_CASH_FLOW","1993-06-18","2026-05-02","Per=Y","Days=T","Dir=V")</f>
        <v>0</v>
      </c>
      <c r="AQ2">
        <f>BDH("CBRL US Equity","PX_LAST","1993-06-18","2026-05-02","Per=M","Days=T","Dir=V")</f>
        <v>0</v>
      </c>
      <c r="AS2">
        <f>BDH("CBRL US Equity","CUR_MKT_CAP","1993-06-18","2026-05-02","Per=M","Days=T","Dir=V")</f>
        <v>0</v>
      </c>
      <c r="AU2">
        <f>BDH("CBRL US Equity","EQY_SH_OUT","1993-06-18","2026-05-02","Per=M","Days=T","Dir=V")</f>
        <v>0</v>
      </c>
      <c r="AW2">
        <f>BDH("CBRL US Equity","PX_VOLUME","1993-06-18","2026-05-02","Per=M","Days=T","Dir=V")</f>
        <v>0</v>
      </c>
      <c r="AY2">
        <f>BDH("CBRL US Equity","TURNOVER","1993-06-18","2026-05-02","Per=M","Days=T","Dir=V")</f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BDH("CBRS US Equity","BS_TOT_ASSET","1993-06-18","2026-05-02","Per=Y","Days=T","Dir=V")</f>
        <v>0</v>
      </c>
      <c r="C2">
        <f>BDH("CBRS US Equity","BS_TOT_LIAB2","1993-06-18","2026-05-02","Per=Y","Days=T","Dir=V")</f>
        <v>0</v>
      </c>
      <c r="E2">
        <f>BDH("CBRS US Equity","SHORT_AND_LONG_TERM_DEBT","1993-06-18","2026-05-02","Per=Y","Days=T","Dir=V")</f>
        <v>0</v>
      </c>
      <c r="G2">
        <f>BDH("CBRS US Equity","BS_ST_BORROW","1993-06-18","2026-05-02","Per=Y","Days=T","Dir=V")</f>
        <v>0</v>
      </c>
      <c r="I2">
        <f>BDH("CBRS US Equity","BS_LT_BORROW","1993-06-18","2026-05-02","Per=Y","Days=T","Dir=V")</f>
        <v>0</v>
      </c>
      <c r="K2">
        <f>BDH("CBRS US Equity","BS_CASH_NEAR_CASH_ITEM","1993-06-18","2026-05-02","Per=Y","Days=T","Dir=V")</f>
        <v>0</v>
      </c>
      <c r="M2">
        <f>BDH("CBRS US Equity","BS_CUR_ASSET_REPORT","1993-06-18","2026-05-02","Per=Y","Days=T","Dir=V")</f>
        <v>0</v>
      </c>
      <c r="O2">
        <f>BDH("CBRS US Equity","BS_CUR_LIAB","1993-06-18","2026-05-02","Per=Y","Days=T","Dir=V")</f>
        <v>0</v>
      </c>
      <c r="Q2">
        <f>BDH("CBRS US Equity","BS_SHAREHOLDER_EQY_ENDING_PERIOD","1993-06-18","2026-05-02","Per=Y","Days=T","Dir=V")</f>
        <v>0</v>
      </c>
      <c r="S2">
        <f>BDH("CBRS US Equity","BS_ACCT_NOTE_RCV","1993-06-18","2026-05-02","Per=Y","Days=T","Dir=V")</f>
        <v>0</v>
      </c>
      <c r="U2">
        <f>BDH("CBRS US Equity","BS_INVENTORIES","1993-06-18","2026-05-02","Per=Y","Days=T","Dir=V")</f>
        <v>0</v>
      </c>
      <c r="W2">
        <f>BDH("CBRS US Equity","WORKING_CAPITAL","1993-06-18","2026-05-02","Per=Y","Days=T","Dir=V")</f>
        <v>0</v>
      </c>
      <c r="Y2">
        <f>BDH("CBRS US Equity","SALES_REV_TURN","1993-06-18","2026-05-02","Per=Y","Days=T","Dir=V")</f>
        <v>0</v>
      </c>
      <c r="AA2">
        <f>BDH("CBRS US Equity","EBIT","1993-06-18","2026-05-02","Per=Y","Days=T","Dir=V")</f>
        <v>0</v>
      </c>
      <c r="AC2">
        <f>BDH("CBRS US Equity","EBITDA","1993-06-18","2026-05-02","Per=Y","Days=T","Dir=V")</f>
        <v>0</v>
      </c>
      <c r="AE2">
        <f>BDH("CBRS US Equity","NET_INCOME","1993-06-18","2026-05-02","Per=Y","Days=T","Dir=V")</f>
        <v>0</v>
      </c>
      <c r="AG2">
        <f>BDH("CBRS US Equity","IS_INT_EXPENSE","1993-06-18","2026-05-02","Per=Y","Days=T","Dir=V")</f>
        <v>0</v>
      </c>
      <c r="AI2">
        <f>BDH("CBRS US Equity","IS_DEPR_EXP","1993-06-18","2026-05-02","Per=Y","Days=T","Dir=V")</f>
        <v>0</v>
      </c>
      <c r="AK2">
        <f>BDH("CBRS US Equity","CF_CASH_FROM_OPER","1993-06-18","2026-05-02","Per=Y","Days=T","Dir=V")</f>
        <v>0</v>
      </c>
      <c r="AM2">
        <f>BDH("CBRS US Equity","CAPITAL_EXPEND","1993-06-18","2026-05-02","Per=Y","Days=T","Dir=V")</f>
        <v>0</v>
      </c>
      <c r="AO2">
        <f>BDH("CBRS US Equity","CF_FREE_CASH_FLOW","1993-06-18","2026-05-02","Per=Y","Days=T","Dir=V")</f>
        <v>0</v>
      </c>
      <c r="AQ2">
        <f>BDH("CBRS US Equity","PX_LAST","1993-06-18","2026-05-02","Per=M","Days=T","Dir=V")</f>
        <v>0</v>
      </c>
      <c r="AS2">
        <f>BDH("CBRS US Equity","CUR_MKT_CAP","1993-06-18","2026-05-02","Per=M","Days=T","Dir=V")</f>
        <v>0</v>
      </c>
      <c r="AU2">
        <f>BDH("CBRS US Equity","EQY_SH_OUT","1993-06-18","2026-05-02","Per=M","Days=T","Dir=V")</f>
        <v>0</v>
      </c>
      <c r="AW2">
        <f>BDH("CBRS US Equity","PX_VOLUME","1993-06-18","2026-05-02","Per=M","Days=T","Dir=V")</f>
        <v>0</v>
      </c>
      <c r="AY2">
        <f>BDH("CBRS US Equity","TURNOVER","1993-06-18","2026-05-02","Per=M","Days=T","Dir=V")</f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BDH("CBT US Equity","BS_TOT_ASSET","1993-06-18","2026-05-02","Per=Y","Days=T","Dir=V")</f>
        <v>0</v>
      </c>
      <c r="C2">
        <f>BDH("CBT US Equity","BS_TOT_LIAB2","1993-06-18","2026-05-02","Per=Y","Days=T","Dir=V")</f>
        <v>0</v>
      </c>
      <c r="E2">
        <f>BDH("CBT US Equity","SHORT_AND_LONG_TERM_DEBT","1993-06-18","2026-05-02","Per=Y","Days=T","Dir=V")</f>
        <v>0</v>
      </c>
      <c r="G2">
        <f>BDH("CBT US Equity","BS_ST_BORROW","1993-06-18","2026-05-02","Per=Y","Days=T","Dir=V")</f>
        <v>0</v>
      </c>
      <c r="I2">
        <f>BDH("CBT US Equity","BS_LT_BORROW","1993-06-18","2026-05-02","Per=Y","Days=T","Dir=V")</f>
        <v>0</v>
      </c>
      <c r="K2">
        <f>BDH("CBT US Equity","BS_CASH_NEAR_CASH_ITEM","1993-06-18","2026-05-02","Per=Y","Days=T","Dir=V")</f>
        <v>0</v>
      </c>
      <c r="M2">
        <f>BDH("CBT US Equity","BS_CUR_ASSET_REPORT","1993-06-18","2026-05-02","Per=Y","Days=T","Dir=V")</f>
        <v>0</v>
      </c>
      <c r="O2">
        <f>BDH("CBT US Equity","BS_CUR_LIAB","1993-06-18","2026-05-02","Per=Y","Days=T","Dir=V")</f>
        <v>0</v>
      </c>
      <c r="Q2">
        <f>BDH("CBT US Equity","BS_SHAREHOLDER_EQY_ENDING_PERIOD","1993-06-18","2026-05-02","Per=Y","Days=T","Dir=V")</f>
        <v>0</v>
      </c>
      <c r="S2">
        <f>BDH("CBT US Equity","BS_ACCT_NOTE_RCV","1993-06-18","2026-05-02","Per=Y","Days=T","Dir=V")</f>
        <v>0</v>
      </c>
      <c r="U2">
        <f>BDH("CBT US Equity","BS_INVENTORIES","1993-06-18","2026-05-02","Per=Y","Days=T","Dir=V")</f>
        <v>0</v>
      </c>
      <c r="W2">
        <f>BDH("CBT US Equity","WORKING_CAPITAL","1993-06-18","2026-05-02","Per=Y","Days=T","Dir=V")</f>
        <v>0</v>
      </c>
      <c r="Y2">
        <f>BDH("CBT US Equity","SALES_REV_TURN","1993-06-18","2026-05-02","Per=Y","Days=T","Dir=V")</f>
        <v>0</v>
      </c>
      <c r="AA2">
        <f>BDH("CBT US Equity","EBIT","1993-06-18","2026-05-02","Per=Y","Days=T","Dir=V")</f>
        <v>0</v>
      </c>
      <c r="AC2">
        <f>BDH("CBT US Equity","EBITDA","1993-06-18","2026-05-02","Per=Y","Days=T","Dir=V")</f>
        <v>0</v>
      </c>
      <c r="AE2">
        <f>BDH("CBT US Equity","NET_INCOME","1993-06-18","2026-05-02","Per=Y","Days=T","Dir=V")</f>
        <v>0</v>
      </c>
      <c r="AG2">
        <f>BDH("CBT US Equity","IS_INT_EXPENSE","1993-06-18","2026-05-02","Per=Y","Days=T","Dir=V")</f>
        <v>0</v>
      </c>
      <c r="AI2">
        <f>BDH("CBT US Equity","IS_DEPR_EXP","1993-06-18","2026-05-02","Per=Y","Days=T","Dir=V")</f>
        <v>0</v>
      </c>
      <c r="AK2">
        <f>BDH("CBT US Equity","CF_CASH_FROM_OPER","1993-06-18","2026-05-02","Per=Y","Days=T","Dir=V")</f>
        <v>0</v>
      </c>
      <c r="AM2">
        <f>BDH("CBT US Equity","CAPITAL_EXPEND","1993-06-18","2026-05-02","Per=Y","Days=T","Dir=V")</f>
        <v>0</v>
      </c>
      <c r="AO2">
        <f>BDH("CBT US Equity","CF_FREE_CASH_FLOW","1993-06-18","2026-05-02","Per=Y","Days=T","Dir=V")</f>
        <v>0</v>
      </c>
      <c r="AQ2">
        <f>BDH("CBT US Equity","PX_LAST","1993-06-18","2026-05-02","Per=M","Days=T","Dir=V")</f>
        <v>0</v>
      </c>
      <c r="AS2">
        <f>BDH("CBT US Equity","CUR_MKT_CAP","1993-06-18","2026-05-02","Per=M","Days=T","Dir=V")</f>
        <v>0</v>
      </c>
      <c r="AU2">
        <f>BDH("CBT US Equity","EQY_SH_OUT","1993-06-18","2026-05-02","Per=M","Days=T","Dir=V")</f>
        <v>0</v>
      </c>
      <c r="AW2">
        <f>BDH("CBT US Equity","PX_VOLUME","1993-06-18","2026-05-02","Per=M","Days=T","Dir=V")</f>
        <v>0</v>
      </c>
      <c r="AY2">
        <f>BDH("CBT US Equity","TURNOVER","1993-06-18","2026-05-02","Per=M","Days=T","Dir=V")</f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BDH("CBUS US Equity","BS_TOT_ASSET","1993-06-18","2026-05-02","Per=Y","Days=T","Dir=V")</f>
        <v>0</v>
      </c>
      <c r="C2">
        <f>BDH("CBUS US Equity","BS_TOT_LIAB2","1993-06-18","2026-05-02","Per=Y","Days=T","Dir=V")</f>
        <v>0</v>
      </c>
      <c r="E2">
        <f>BDH("CBUS US Equity","SHORT_AND_LONG_TERM_DEBT","1993-06-18","2026-05-02","Per=Y","Days=T","Dir=V")</f>
        <v>0</v>
      </c>
      <c r="G2">
        <f>BDH("CBUS US Equity","BS_ST_BORROW","1993-06-18","2026-05-02","Per=Y","Days=T","Dir=V")</f>
        <v>0</v>
      </c>
      <c r="I2">
        <f>BDH("CBUS US Equity","BS_LT_BORROW","1993-06-18","2026-05-02","Per=Y","Days=T","Dir=V")</f>
        <v>0</v>
      </c>
      <c r="K2">
        <f>BDH("CBUS US Equity","BS_CASH_NEAR_CASH_ITEM","1993-06-18","2026-05-02","Per=Y","Days=T","Dir=V")</f>
        <v>0</v>
      </c>
      <c r="M2">
        <f>BDH("CBUS US Equity","BS_CUR_ASSET_REPORT","1993-06-18","2026-05-02","Per=Y","Days=T","Dir=V")</f>
        <v>0</v>
      </c>
      <c r="O2">
        <f>BDH("CBUS US Equity","BS_CUR_LIAB","1993-06-18","2026-05-02","Per=Y","Days=T","Dir=V")</f>
        <v>0</v>
      </c>
      <c r="Q2">
        <f>BDH("CBUS US Equity","BS_SHAREHOLDER_EQY_ENDING_PERIOD","1993-06-18","2026-05-02","Per=Y","Days=T","Dir=V")</f>
        <v>0</v>
      </c>
      <c r="S2">
        <f>BDH("CBUS US Equity","BS_ACCT_NOTE_RCV","1993-06-18","2026-05-02","Per=Y","Days=T","Dir=V")</f>
        <v>0</v>
      </c>
      <c r="U2">
        <f>BDH("CBUS US Equity","BS_INVENTORIES","1993-06-18","2026-05-02","Per=Y","Days=T","Dir=V")</f>
        <v>0</v>
      </c>
      <c r="W2">
        <f>BDH("CBUS US Equity","WORKING_CAPITAL","1993-06-18","2026-05-02","Per=Y","Days=T","Dir=V")</f>
        <v>0</v>
      </c>
      <c r="Y2">
        <f>BDH("CBUS US Equity","SALES_REV_TURN","1993-06-18","2026-05-02","Per=Y","Days=T","Dir=V")</f>
        <v>0</v>
      </c>
      <c r="AA2">
        <f>BDH("CBUS US Equity","EBIT","1993-06-18","2026-05-02","Per=Y","Days=T","Dir=V")</f>
        <v>0</v>
      </c>
      <c r="AC2">
        <f>BDH("CBUS US Equity","EBITDA","1993-06-18","2026-05-02","Per=Y","Days=T","Dir=V")</f>
        <v>0</v>
      </c>
      <c r="AE2">
        <f>BDH("CBUS US Equity","NET_INCOME","1993-06-18","2026-05-02","Per=Y","Days=T","Dir=V")</f>
        <v>0</v>
      </c>
      <c r="AG2">
        <f>BDH("CBUS US Equity","IS_INT_EXPENSE","1993-06-18","2026-05-02","Per=Y","Days=T","Dir=V")</f>
        <v>0</v>
      </c>
      <c r="AI2">
        <f>BDH("CBUS US Equity","IS_DEPR_EXP","1993-06-18","2026-05-02","Per=Y","Days=T","Dir=V")</f>
        <v>0</v>
      </c>
      <c r="AK2">
        <f>BDH("CBUS US Equity","CF_CASH_FROM_OPER","1993-06-18","2026-05-02","Per=Y","Days=T","Dir=V")</f>
        <v>0</v>
      </c>
      <c r="AM2">
        <f>BDH("CBUS US Equity","CAPITAL_EXPEND","1993-06-18","2026-05-02","Per=Y","Days=T","Dir=V")</f>
        <v>0</v>
      </c>
      <c r="AO2">
        <f>BDH("CBUS US Equity","CF_FREE_CASH_FLOW","1993-06-18","2026-05-02","Per=Y","Days=T","Dir=V")</f>
        <v>0</v>
      </c>
      <c r="AQ2">
        <f>BDH("CBUS US Equity","PX_LAST","1993-06-18","2026-05-02","Per=M","Days=T","Dir=V")</f>
        <v>0</v>
      </c>
      <c r="AS2">
        <f>BDH("CBUS US Equity","CUR_MKT_CAP","1993-06-18","2026-05-02","Per=M","Days=T","Dir=V")</f>
        <v>0</v>
      </c>
      <c r="AU2">
        <f>BDH("CBUS US Equity","EQY_SH_OUT","1993-06-18","2026-05-02","Per=M","Days=T","Dir=V")</f>
        <v>0</v>
      </c>
      <c r="AW2">
        <f>BDH("CBUS US Equity","PX_VOLUME","1993-06-18","2026-05-02","Per=M","Days=T","Dir=V")</f>
        <v>0</v>
      </c>
      <c r="AY2">
        <f>BDH("CBUS US Equity","TURNOVER","1993-06-18","2026-05-02","Per=M","Days=T","Dir=V")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BDH("CBZ US Equity","BS_TOT_ASSET","1993-06-18","2026-05-02","Per=Y","Days=T","Dir=V")</f>
        <v>0</v>
      </c>
      <c r="C2">
        <f>BDH("CBZ US Equity","BS_TOT_LIAB2","1993-06-18","2026-05-02","Per=Y","Days=T","Dir=V")</f>
        <v>0</v>
      </c>
      <c r="E2">
        <f>BDH("CBZ US Equity","SHORT_AND_LONG_TERM_DEBT","1993-06-18","2026-05-02","Per=Y","Days=T","Dir=V")</f>
        <v>0</v>
      </c>
      <c r="G2">
        <f>BDH("CBZ US Equity","BS_ST_BORROW","1993-06-18","2026-05-02","Per=Y","Days=T","Dir=V")</f>
        <v>0</v>
      </c>
      <c r="I2">
        <f>BDH("CBZ US Equity","BS_LT_BORROW","1993-06-18","2026-05-02","Per=Y","Days=T","Dir=V")</f>
        <v>0</v>
      </c>
      <c r="K2">
        <f>BDH("CBZ US Equity","BS_CASH_NEAR_CASH_ITEM","1993-06-18","2026-05-02","Per=Y","Days=T","Dir=V")</f>
        <v>0</v>
      </c>
      <c r="M2">
        <f>BDH("CBZ US Equity","BS_CUR_ASSET_REPORT","1993-06-18","2026-05-02","Per=Y","Days=T","Dir=V")</f>
        <v>0</v>
      </c>
      <c r="O2">
        <f>BDH("CBZ US Equity","BS_CUR_LIAB","1993-06-18","2026-05-02","Per=Y","Days=T","Dir=V")</f>
        <v>0</v>
      </c>
      <c r="Q2">
        <f>BDH("CBZ US Equity","BS_SHAREHOLDER_EQY_ENDING_PERIOD","1993-06-18","2026-05-02","Per=Y","Days=T","Dir=V")</f>
        <v>0</v>
      </c>
      <c r="S2">
        <f>BDH("CBZ US Equity","BS_ACCT_NOTE_RCV","1993-06-18","2026-05-02","Per=Y","Days=T","Dir=V")</f>
        <v>0</v>
      </c>
      <c r="U2">
        <f>BDH("CBZ US Equity","BS_INVENTORIES","1993-06-18","2026-05-02","Per=Y","Days=T","Dir=V")</f>
        <v>0</v>
      </c>
      <c r="W2">
        <f>BDH("CBZ US Equity","WORKING_CAPITAL","1993-06-18","2026-05-02","Per=Y","Days=T","Dir=V")</f>
        <v>0</v>
      </c>
      <c r="Y2">
        <f>BDH("CBZ US Equity","SALES_REV_TURN","1993-06-18","2026-05-02","Per=Y","Days=T","Dir=V")</f>
        <v>0</v>
      </c>
      <c r="AA2">
        <f>BDH("CBZ US Equity","EBIT","1993-06-18","2026-05-02","Per=Y","Days=T","Dir=V")</f>
        <v>0</v>
      </c>
      <c r="AC2">
        <f>BDH("CBZ US Equity","EBITDA","1993-06-18","2026-05-02","Per=Y","Days=T","Dir=V")</f>
        <v>0</v>
      </c>
      <c r="AE2">
        <f>BDH("CBZ US Equity","NET_INCOME","1993-06-18","2026-05-02","Per=Y","Days=T","Dir=V")</f>
        <v>0</v>
      </c>
      <c r="AG2">
        <f>BDH("CBZ US Equity","IS_INT_EXPENSE","1993-06-18","2026-05-02","Per=Y","Days=T","Dir=V")</f>
        <v>0</v>
      </c>
      <c r="AI2">
        <f>BDH("CBZ US Equity","IS_DEPR_EXP","1993-06-18","2026-05-02","Per=Y","Days=T","Dir=V")</f>
        <v>0</v>
      </c>
      <c r="AK2">
        <f>BDH("CBZ US Equity","CF_CASH_FROM_OPER","1993-06-18","2026-05-02","Per=Y","Days=T","Dir=V")</f>
        <v>0</v>
      </c>
      <c r="AM2">
        <f>BDH("CBZ US Equity","CAPITAL_EXPEND","1993-06-18","2026-05-02","Per=Y","Days=T","Dir=V")</f>
        <v>0</v>
      </c>
      <c r="AO2">
        <f>BDH("CBZ US Equity","CF_FREE_CASH_FLOW","1993-06-18","2026-05-02","Per=Y","Days=T","Dir=V")</f>
        <v>0</v>
      </c>
      <c r="AQ2">
        <f>BDH("CBZ US Equity","PX_LAST","1993-06-18","2026-05-02","Per=M","Days=T","Dir=V")</f>
        <v>0</v>
      </c>
      <c r="AS2">
        <f>BDH("CBZ US Equity","CUR_MKT_CAP","1993-06-18","2026-05-02","Per=M","Days=T","Dir=V")</f>
        <v>0</v>
      </c>
      <c r="AU2">
        <f>BDH("CBZ US Equity","EQY_SH_OUT","1993-06-18","2026-05-02","Per=M","Days=T","Dir=V")</f>
        <v>0</v>
      </c>
      <c r="AW2">
        <f>BDH("CBZ US Equity","PX_VOLUME","1993-06-18","2026-05-02","Per=M","Days=T","Dir=V")</f>
        <v>0</v>
      </c>
      <c r="AY2">
        <f>BDH("CBZ US Equity","TURNOVER","1993-06-18","2026-05-02","Per=M","Days=T","Dir=V")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BDH("CC US Equity","BS_TOT_ASSET","1993-06-18","2026-05-02","Per=Y","Days=T","Dir=V")</f>
        <v>0</v>
      </c>
      <c r="C2">
        <f>BDH("CC US Equity","BS_TOT_LIAB2","1993-06-18","2026-05-02","Per=Y","Days=T","Dir=V")</f>
        <v>0</v>
      </c>
      <c r="E2">
        <f>BDH("CC US Equity","SHORT_AND_LONG_TERM_DEBT","1993-06-18","2026-05-02","Per=Y","Days=T","Dir=V")</f>
        <v>0</v>
      </c>
      <c r="G2">
        <f>BDH("CC US Equity","BS_ST_BORROW","1993-06-18","2026-05-02","Per=Y","Days=T","Dir=V")</f>
        <v>0</v>
      </c>
      <c r="I2">
        <f>BDH("CC US Equity","BS_LT_BORROW","1993-06-18","2026-05-02","Per=Y","Days=T","Dir=V")</f>
        <v>0</v>
      </c>
      <c r="K2">
        <f>BDH("CC US Equity","BS_CASH_NEAR_CASH_ITEM","1993-06-18","2026-05-02","Per=Y","Days=T","Dir=V")</f>
        <v>0</v>
      </c>
      <c r="M2">
        <f>BDH("CC US Equity","BS_CUR_ASSET_REPORT","1993-06-18","2026-05-02","Per=Y","Days=T","Dir=V")</f>
        <v>0</v>
      </c>
      <c r="O2">
        <f>BDH("CC US Equity","BS_CUR_LIAB","1993-06-18","2026-05-02","Per=Y","Days=T","Dir=V")</f>
        <v>0</v>
      </c>
      <c r="Q2">
        <f>BDH("CC US Equity","BS_SHAREHOLDER_EQY_ENDING_PERIOD","1993-06-18","2026-05-02","Per=Y","Days=T","Dir=V")</f>
        <v>0</v>
      </c>
      <c r="S2">
        <f>BDH("CC US Equity","BS_ACCT_NOTE_RCV","1993-06-18","2026-05-02","Per=Y","Days=T","Dir=V")</f>
        <v>0</v>
      </c>
      <c r="U2">
        <f>BDH("CC US Equity","BS_INVENTORIES","1993-06-18","2026-05-02","Per=Y","Days=T","Dir=V")</f>
        <v>0</v>
      </c>
      <c r="W2">
        <f>BDH("CC US Equity","WORKING_CAPITAL","1993-06-18","2026-05-02","Per=Y","Days=T","Dir=V")</f>
        <v>0</v>
      </c>
      <c r="Y2">
        <f>BDH("CC US Equity","SALES_REV_TURN","1993-06-18","2026-05-02","Per=Y","Days=T","Dir=V")</f>
        <v>0</v>
      </c>
      <c r="AA2">
        <f>BDH("CC US Equity","EBIT","1993-06-18","2026-05-02","Per=Y","Days=T","Dir=V")</f>
        <v>0</v>
      </c>
      <c r="AC2">
        <f>BDH("CC US Equity","EBITDA","1993-06-18","2026-05-02","Per=Y","Days=T","Dir=V")</f>
        <v>0</v>
      </c>
      <c r="AE2">
        <f>BDH("CC US Equity","NET_INCOME","1993-06-18","2026-05-02","Per=Y","Days=T","Dir=V")</f>
        <v>0</v>
      </c>
      <c r="AG2">
        <f>BDH("CC US Equity","IS_INT_EXPENSE","1993-06-18","2026-05-02","Per=Y","Days=T","Dir=V")</f>
        <v>0</v>
      </c>
      <c r="AI2">
        <f>BDH("CC US Equity","IS_DEPR_EXP","1993-06-18","2026-05-02","Per=Y","Days=T","Dir=V")</f>
        <v>0</v>
      </c>
      <c r="AK2">
        <f>BDH("CC US Equity","CF_CASH_FROM_OPER","1993-06-18","2026-05-02","Per=Y","Days=T","Dir=V")</f>
        <v>0</v>
      </c>
      <c r="AM2">
        <f>BDH("CC US Equity","CAPITAL_EXPEND","1993-06-18","2026-05-02","Per=Y","Days=T","Dir=V")</f>
        <v>0</v>
      </c>
      <c r="AO2">
        <f>BDH("CC US Equity","CF_FREE_CASH_FLOW","1993-06-18","2026-05-02","Per=Y","Days=T","Dir=V")</f>
        <v>0</v>
      </c>
      <c r="AQ2">
        <f>BDH("CC US Equity","PX_LAST","1993-06-18","2026-05-02","Per=M","Days=T","Dir=V")</f>
        <v>0</v>
      </c>
      <c r="AS2">
        <f>BDH("CC US Equity","CUR_MKT_CAP","1993-06-18","2026-05-02","Per=M","Days=T","Dir=V")</f>
        <v>0</v>
      </c>
      <c r="AU2">
        <f>BDH("CC US Equity","EQY_SH_OUT","1993-06-18","2026-05-02","Per=M","Days=T","Dir=V")</f>
        <v>0</v>
      </c>
      <c r="AW2">
        <f>BDH("CC US Equity","PX_VOLUME","1993-06-18","2026-05-02","Per=M","Days=T","Dir=V")</f>
        <v>0</v>
      </c>
      <c r="AY2">
        <f>BDH("CC US Equity","TURNOVER","1993-06-18","2026-05-02","Per=M","Days=T","Dir=V")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BDH("CCC US Equity","BS_TOT_ASSET","1993-06-18","2026-05-02","Per=Y","Days=T","Dir=V")</f>
        <v>0</v>
      </c>
      <c r="C2">
        <f>BDH("CCC US Equity","BS_TOT_LIAB2","1993-06-18","2026-05-02","Per=Y","Days=T","Dir=V")</f>
        <v>0</v>
      </c>
      <c r="E2">
        <f>BDH("CCC US Equity","SHORT_AND_LONG_TERM_DEBT","1993-06-18","2026-05-02","Per=Y","Days=T","Dir=V")</f>
        <v>0</v>
      </c>
      <c r="G2">
        <f>BDH("CCC US Equity","BS_ST_BORROW","1993-06-18","2026-05-02","Per=Y","Days=T","Dir=V")</f>
        <v>0</v>
      </c>
      <c r="I2">
        <f>BDH("CCC US Equity","BS_LT_BORROW","1993-06-18","2026-05-02","Per=Y","Days=T","Dir=V")</f>
        <v>0</v>
      </c>
      <c r="K2">
        <f>BDH("CCC US Equity","BS_CASH_NEAR_CASH_ITEM","1993-06-18","2026-05-02","Per=Y","Days=T","Dir=V")</f>
        <v>0</v>
      </c>
      <c r="M2">
        <f>BDH("CCC US Equity","BS_CUR_ASSET_REPORT","1993-06-18","2026-05-02","Per=Y","Days=T","Dir=V")</f>
        <v>0</v>
      </c>
      <c r="O2">
        <f>BDH("CCC US Equity","BS_CUR_LIAB","1993-06-18","2026-05-02","Per=Y","Days=T","Dir=V")</f>
        <v>0</v>
      </c>
      <c r="Q2">
        <f>BDH("CCC US Equity","BS_SHAREHOLDER_EQY_ENDING_PERIOD","1993-06-18","2026-05-02","Per=Y","Days=T","Dir=V")</f>
        <v>0</v>
      </c>
      <c r="S2">
        <f>BDH("CCC US Equity","BS_ACCT_NOTE_RCV","1993-06-18","2026-05-02","Per=Y","Days=T","Dir=V")</f>
        <v>0</v>
      </c>
      <c r="U2">
        <f>BDH("CCC US Equity","BS_INVENTORIES","1993-06-18","2026-05-02","Per=Y","Days=T","Dir=V")</f>
        <v>0</v>
      </c>
      <c r="W2">
        <f>BDH("CCC US Equity","WORKING_CAPITAL","1993-06-18","2026-05-02","Per=Y","Days=T","Dir=V")</f>
        <v>0</v>
      </c>
      <c r="Y2">
        <f>BDH("CCC US Equity","SALES_REV_TURN","1993-06-18","2026-05-02","Per=Y","Days=T","Dir=V")</f>
        <v>0</v>
      </c>
      <c r="AA2">
        <f>BDH("CCC US Equity","EBIT","1993-06-18","2026-05-02","Per=Y","Days=T","Dir=V")</f>
        <v>0</v>
      </c>
      <c r="AC2">
        <f>BDH("CCC US Equity","EBITDA","1993-06-18","2026-05-02","Per=Y","Days=T","Dir=V")</f>
        <v>0</v>
      </c>
      <c r="AE2">
        <f>BDH("CCC US Equity","NET_INCOME","1993-06-18","2026-05-02","Per=Y","Days=T","Dir=V")</f>
        <v>0</v>
      </c>
      <c r="AG2">
        <f>BDH("CCC US Equity","IS_INT_EXPENSE","1993-06-18","2026-05-02","Per=Y","Days=T","Dir=V")</f>
        <v>0</v>
      </c>
      <c r="AI2">
        <f>BDH("CCC US Equity","IS_DEPR_EXP","1993-06-18","2026-05-02","Per=Y","Days=T","Dir=V")</f>
        <v>0</v>
      </c>
      <c r="AK2">
        <f>BDH("CCC US Equity","CF_CASH_FROM_OPER","1993-06-18","2026-05-02","Per=Y","Days=T","Dir=V")</f>
        <v>0</v>
      </c>
      <c r="AM2">
        <f>BDH("CCC US Equity","CAPITAL_EXPEND","1993-06-18","2026-05-02","Per=Y","Days=T","Dir=V")</f>
        <v>0</v>
      </c>
      <c r="AO2">
        <f>BDH("CCC US Equity","CF_FREE_CASH_FLOW","1993-06-18","2026-05-02","Per=Y","Days=T","Dir=V")</f>
        <v>0</v>
      </c>
      <c r="AQ2">
        <f>BDH("CCC US Equity","PX_LAST","1993-06-18","2026-05-02","Per=M","Days=T","Dir=V")</f>
        <v>0</v>
      </c>
      <c r="AS2">
        <f>BDH("CCC US Equity","CUR_MKT_CAP","1993-06-18","2026-05-02","Per=M","Days=T","Dir=V")</f>
        <v>0</v>
      </c>
      <c r="AU2">
        <f>BDH("CCC US Equity","EQY_SH_OUT","1993-06-18","2026-05-02","Per=M","Days=T","Dir=V")</f>
        <v>0</v>
      </c>
      <c r="AW2">
        <f>BDH("CCC US Equity","PX_VOLUME","1993-06-18","2026-05-02","Per=M","Days=T","Dir=V")</f>
        <v>0</v>
      </c>
      <c r="AY2">
        <f>BDH("CCC US Equity","TURNOVER","1993-06-18","2026-05-02","Per=M","Days=T","Dir=V")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BDH("CCCC US Equity","BS_TOT_ASSET","1993-06-18","2026-05-02","Per=Y","Days=T","Dir=V")</f>
        <v>0</v>
      </c>
      <c r="C2">
        <f>BDH("CCCC US Equity","BS_TOT_LIAB2","1993-06-18","2026-05-02","Per=Y","Days=T","Dir=V")</f>
        <v>0</v>
      </c>
      <c r="E2">
        <f>BDH("CCCC US Equity","SHORT_AND_LONG_TERM_DEBT","1993-06-18","2026-05-02","Per=Y","Days=T","Dir=V")</f>
        <v>0</v>
      </c>
      <c r="G2">
        <f>BDH("CCCC US Equity","BS_ST_BORROW","1993-06-18","2026-05-02","Per=Y","Days=T","Dir=V")</f>
        <v>0</v>
      </c>
      <c r="I2">
        <f>BDH("CCCC US Equity","BS_LT_BORROW","1993-06-18","2026-05-02","Per=Y","Days=T","Dir=V")</f>
        <v>0</v>
      </c>
      <c r="K2">
        <f>BDH("CCCC US Equity","BS_CASH_NEAR_CASH_ITEM","1993-06-18","2026-05-02","Per=Y","Days=T","Dir=V")</f>
        <v>0</v>
      </c>
      <c r="M2">
        <f>BDH("CCCC US Equity","BS_CUR_ASSET_REPORT","1993-06-18","2026-05-02","Per=Y","Days=T","Dir=V")</f>
        <v>0</v>
      </c>
      <c r="O2">
        <f>BDH("CCCC US Equity","BS_CUR_LIAB","1993-06-18","2026-05-02","Per=Y","Days=T","Dir=V")</f>
        <v>0</v>
      </c>
      <c r="Q2">
        <f>BDH("CCCC US Equity","BS_SHAREHOLDER_EQY_ENDING_PERIOD","1993-06-18","2026-05-02","Per=Y","Days=T","Dir=V")</f>
        <v>0</v>
      </c>
      <c r="S2">
        <f>BDH("CCCC US Equity","BS_ACCT_NOTE_RCV","1993-06-18","2026-05-02","Per=Y","Days=T","Dir=V")</f>
        <v>0</v>
      </c>
      <c r="U2">
        <f>BDH("CCCC US Equity","BS_INVENTORIES","1993-06-18","2026-05-02","Per=Y","Days=T","Dir=V")</f>
        <v>0</v>
      </c>
      <c r="W2">
        <f>BDH("CCCC US Equity","WORKING_CAPITAL","1993-06-18","2026-05-02","Per=Y","Days=T","Dir=V")</f>
        <v>0</v>
      </c>
      <c r="Y2">
        <f>BDH("CCCC US Equity","SALES_REV_TURN","1993-06-18","2026-05-02","Per=Y","Days=T","Dir=V")</f>
        <v>0</v>
      </c>
      <c r="AA2">
        <f>BDH("CCCC US Equity","EBIT","1993-06-18","2026-05-02","Per=Y","Days=T","Dir=V")</f>
        <v>0</v>
      </c>
      <c r="AC2">
        <f>BDH("CCCC US Equity","EBITDA","1993-06-18","2026-05-02","Per=Y","Days=T","Dir=V")</f>
        <v>0</v>
      </c>
      <c r="AE2">
        <f>BDH("CCCC US Equity","NET_INCOME","1993-06-18","2026-05-02","Per=Y","Days=T","Dir=V")</f>
        <v>0</v>
      </c>
      <c r="AG2">
        <f>BDH("CCCC US Equity","IS_INT_EXPENSE","1993-06-18","2026-05-02","Per=Y","Days=T","Dir=V")</f>
        <v>0</v>
      </c>
      <c r="AI2">
        <f>BDH("CCCC US Equity","IS_DEPR_EXP","1993-06-18","2026-05-02","Per=Y","Days=T","Dir=V")</f>
        <v>0</v>
      </c>
      <c r="AK2">
        <f>BDH("CCCC US Equity","CF_CASH_FROM_OPER","1993-06-18","2026-05-02","Per=Y","Days=T","Dir=V")</f>
        <v>0</v>
      </c>
      <c r="AM2">
        <f>BDH("CCCC US Equity","CAPITAL_EXPEND","1993-06-18","2026-05-02","Per=Y","Days=T","Dir=V")</f>
        <v>0</v>
      </c>
      <c r="AO2">
        <f>BDH("CCCC US Equity","CF_FREE_CASH_FLOW","1993-06-18","2026-05-02","Per=Y","Days=T","Dir=V")</f>
        <v>0</v>
      </c>
      <c r="AQ2">
        <f>BDH("CCCC US Equity","PX_LAST","1993-06-18","2026-05-02","Per=M","Days=T","Dir=V")</f>
        <v>0</v>
      </c>
      <c r="AS2">
        <f>BDH("CCCC US Equity","CUR_MKT_CAP","1993-06-18","2026-05-02","Per=M","Days=T","Dir=V")</f>
        <v>0</v>
      </c>
      <c r="AU2">
        <f>BDH("CCCC US Equity","EQY_SH_OUT","1993-06-18","2026-05-02","Per=M","Days=T","Dir=V")</f>
        <v>0</v>
      </c>
      <c r="AW2">
        <f>BDH("CCCC US Equity","PX_VOLUME","1993-06-18","2026-05-02","Per=M","Days=T","Dir=V")</f>
        <v>0</v>
      </c>
      <c r="AY2">
        <f>BDH("CCCC US Equity","TURNOVER","1993-06-18","2026-05-02","Per=M","Days=T","Dir=V")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BDH("CCEL US Equity","BS_TOT_ASSET","1993-06-18","2026-05-02","Per=Y","Days=T","Dir=V")</f>
        <v>0</v>
      </c>
      <c r="C2">
        <f>BDH("CCEL US Equity","BS_TOT_LIAB2","1993-06-18","2026-05-02","Per=Y","Days=T","Dir=V")</f>
        <v>0</v>
      </c>
      <c r="E2">
        <f>BDH("CCEL US Equity","SHORT_AND_LONG_TERM_DEBT","1993-06-18","2026-05-02","Per=Y","Days=T","Dir=V")</f>
        <v>0</v>
      </c>
      <c r="G2">
        <f>BDH("CCEL US Equity","BS_ST_BORROW","1993-06-18","2026-05-02","Per=Y","Days=T","Dir=V")</f>
        <v>0</v>
      </c>
      <c r="I2">
        <f>BDH("CCEL US Equity","BS_LT_BORROW","1993-06-18","2026-05-02","Per=Y","Days=T","Dir=V")</f>
        <v>0</v>
      </c>
      <c r="K2">
        <f>BDH("CCEL US Equity","BS_CASH_NEAR_CASH_ITEM","1993-06-18","2026-05-02","Per=Y","Days=T","Dir=V")</f>
        <v>0</v>
      </c>
      <c r="M2">
        <f>BDH("CCEL US Equity","BS_CUR_ASSET_REPORT","1993-06-18","2026-05-02","Per=Y","Days=T","Dir=V")</f>
        <v>0</v>
      </c>
      <c r="O2">
        <f>BDH("CCEL US Equity","BS_CUR_LIAB","1993-06-18","2026-05-02","Per=Y","Days=T","Dir=V")</f>
        <v>0</v>
      </c>
      <c r="Q2">
        <f>BDH("CCEL US Equity","BS_SHAREHOLDER_EQY_ENDING_PERIOD","1993-06-18","2026-05-02","Per=Y","Days=T","Dir=V")</f>
        <v>0</v>
      </c>
      <c r="S2">
        <f>BDH("CCEL US Equity","BS_ACCT_NOTE_RCV","1993-06-18","2026-05-02","Per=Y","Days=T","Dir=V")</f>
        <v>0</v>
      </c>
      <c r="U2">
        <f>BDH("CCEL US Equity","BS_INVENTORIES","1993-06-18","2026-05-02","Per=Y","Days=T","Dir=V")</f>
        <v>0</v>
      </c>
      <c r="W2">
        <f>BDH("CCEL US Equity","WORKING_CAPITAL","1993-06-18","2026-05-02","Per=Y","Days=T","Dir=V")</f>
        <v>0</v>
      </c>
      <c r="Y2">
        <f>BDH("CCEL US Equity","SALES_REV_TURN","1993-06-18","2026-05-02","Per=Y","Days=T","Dir=V")</f>
        <v>0</v>
      </c>
      <c r="AA2">
        <f>BDH("CCEL US Equity","EBIT","1993-06-18","2026-05-02","Per=Y","Days=T","Dir=V")</f>
        <v>0</v>
      </c>
      <c r="AC2">
        <f>BDH("CCEL US Equity","EBITDA","1993-06-18","2026-05-02","Per=Y","Days=T","Dir=V")</f>
        <v>0</v>
      </c>
      <c r="AE2">
        <f>BDH("CCEL US Equity","NET_INCOME","1993-06-18","2026-05-02","Per=Y","Days=T","Dir=V")</f>
        <v>0</v>
      </c>
      <c r="AG2">
        <f>BDH("CCEL US Equity","IS_INT_EXPENSE","1993-06-18","2026-05-02","Per=Y","Days=T","Dir=V")</f>
        <v>0</v>
      </c>
      <c r="AI2">
        <f>BDH("CCEL US Equity","IS_DEPR_EXP","1993-06-18","2026-05-02","Per=Y","Days=T","Dir=V")</f>
        <v>0</v>
      </c>
      <c r="AK2">
        <f>BDH("CCEL US Equity","CF_CASH_FROM_OPER","1993-06-18","2026-05-02","Per=Y","Days=T","Dir=V")</f>
        <v>0</v>
      </c>
      <c r="AM2">
        <f>BDH("CCEL US Equity","CAPITAL_EXPEND","1993-06-18","2026-05-02","Per=Y","Days=T","Dir=V")</f>
        <v>0</v>
      </c>
      <c r="AO2">
        <f>BDH("CCEL US Equity","CF_FREE_CASH_FLOW","1993-06-18","2026-05-02","Per=Y","Days=T","Dir=V")</f>
        <v>0</v>
      </c>
      <c r="AQ2">
        <f>BDH("CCEL US Equity","PX_LAST","1993-06-18","2026-05-02","Per=M","Days=T","Dir=V")</f>
        <v>0</v>
      </c>
      <c r="AS2">
        <f>BDH("CCEL US Equity","CUR_MKT_CAP","1993-06-18","2026-05-02","Per=M","Days=T","Dir=V")</f>
        <v>0</v>
      </c>
      <c r="AU2">
        <f>BDH("CCEL US Equity","EQY_SH_OUT","1993-06-18","2026-05-02","Per=M","Days=T","Dir=V")</f>
        <v>0</v>
      </c>
      <c r="AW2">
        <f>BDH("CCEL US Equity","PX_VOLUME","1993-06-18","2026-05-02","Per=M","Days=T","Dir=V")</f>
        <v>0</v>
      </c>
      <c r="AY2">
        <f>BDH("CCEL US Equity","TURNOVER","1993-06-18","2026-05-02","Per=M","Days=T","Dir=V")</f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BDH("CCK US Equity","BS_TOT_ASSET","1993-06-18","2026-05-02","Per=Y","Days=T","Dir=V")</f>
        <v>0</v>
      </c>
      <c r="C2">
        <f>BDH("CCK US Equity","BS_TOT_LIAB2","1993-06-18","2026-05-02","Per=Y","Days=T","Dir=V")</f>
        <v>0</v>
      </c>
      <c r="E2">
        <f>BDH("CCK US Equity","SHORT_AND_LONG_TERM_DEBT","1993-06-18","2026-05-02","Per=Y","Days=T","Dir=V")</f>
        <v>0</v>
      </c>
      <c r="G2">
        <f>BDH("CCK US Equity","BS_ST_BORROW","1993-06-18","2026-05-02","Per=Y","Days=T","Dir=V")</f>
        <v>0</v>
      </c>
      <c r="I2">
        <f>BDH("CCK US Equity","BS_LT_BORROW","1993-06-18","2026-05-02","Per=Y","Days=T","Dir=V")</f>
        <v>0</v>
      </c>
      <c r="K2">
        <f>BDH("CCK US Equity","BS_CASH_NEAR_CASH_ITEM","1993-06-18","2026-05-02","Per=Y","Days=T","Dir=V")</f>
        <v>0</v>
      </c>
      <c r="M2">
        <f>BDH("CCK US Equity","BS_CUR_ASSET_REPORT","1993-06-18","2026-05-02","Per=Y","Days=T","Dir=V")</f>
        <v>0</v>
      </c>
      <c r="O2">
        <f>BDH("CCK US Equity","BS_CUR_LIAB","1993-06-18","2026-05-02","Per=Y","Days=T","Dir=V")</f>
        <v>0</v>
      </c>
      <c r="Q2">
        <f>BDH("CCK US Equity","BS_SHAREHOLDER_EQY_ENDING_PERIOD","1993-06-18","2026-05-02","Per=Y","Days=T","Dir=V")</f>
        <v>0</v>
      </c>
      <c r="S2">
        <f>BDH("CCK US Equity","BS_ACCT_NOTE_RCV","1993-06-18","2026-05-02","Per=Y","Days=T","Dir=V")</f>
        <v>0</v>
      </c>
      <c r="U2">
        <f>BDH("CCK US Equity","BS_INVENTORIES","1993-06-18","2026-05-02","Per=Y","Days=T","Dir=V")</f>
        <v>0</v>
      </c>
      <c r="W2">
        <f>BDH("CCK US Equity","WORKING_CAPITAL","1993-06-18","2026-05-02","Per=Y","Days=T","Dir=V")</f>
        <v>0</v>
      </c>
      <c r="Y2">
        <f>BDH("CCK US Equity","SALES_REV_TURN","1993-06-18","2026-05-02","Per=Y","Days=T","Dir=V")</f>
        <v>0</v>
      </c>
      <c r="AA2">
        <f>BDH("CCK US Equity","EBIT","1993-06-18","2026-05-02","Per=Y","Days=T","Dir=V")</f>
        <v>0</v>
      </c>
      <c r="AC2">
        <f>BDH("CCK US Equity","EBITDA","1993-06-18","2026-05-02","Per=Y","Days=T","Dir=V")</f>
        <v>0</v>
      </c>
      <c r="AE2">
        <f>BDH("CCK US Equity","NET_INCOME","1993-06-18","2026-05-02","Per=Y","Days=T","Dir=V")</f>
        <v>0</v>
      </c>
      <c r="AG2">
        <f>BDH("CCK US Equity","IS_INT_EXPENSE","1993-06-18","2026-05-02","Per=Y","Days=T","Dir=V")</f>
        <v>0</v>
      </c>
      <c r="AI2">
        <f>BDH("CCK US Equity","IS_DEPR_EXP","1993-06-18","2026-05-02","Per=Y","Days=T","Dir=V")</f>
        <v>0</v>
      </c>
      <c r="AK2">
        <f>BDH("CCK US Equity","CF_CASH_FROM_OPER","1993-06-18","2026-05-02","Per=Y","Days=T","Dir=V")</f>
        <v>0</v>
      </c>
      <c r="AM2">
        <f>BDH("CCK US Equity","CAPITAL_EXPEND","1993-06-18","2026-05-02","Per=Y","Days=T","Dir=V")</f>
        <v>0</v>
      </c>
      <c r="AO2">
        <f>BDH("CCK US Equity","CF_FREE_CASH_FLOW","1993-06-18","2026-05-02","Per=Y","Days=T","Dir=V")</f>
        <v>0</v>
      </c>
      <c r="AQ2">
        <f>BDH("CCK US Equity","PX_LAST","1993-06-18","2026-05-02","Per=M","Days=T","Dir=V")</f>
        <v>0</v>
      </c>
      <c r="AS2">
        <f>BDH("CCK US Equity","CUR_MKT_CAP","1993-06-18","2026-05-02","Per=M","Days=T","Dir=V")</f>
        <v>0</v>
      </c>
      <c r="AU2">
        <f>BDH("CCK US Equity","EQY_SH_OUT","1993-06-18","2026-05-02","Per=M","Days=T","Dir=V")</f>
        <v>0</v>
      </c>
      <c r="AW2">
        <f>BDH("CCK US Equity","PX_VOLUME","1993-06-18","2026-05-02","Per=M","Days=T","Dir=V")</f>
        <v>0</v>
      </c>
      <c r="AY2">
        <f>BDH("CCK US Equity","TURNOVER","1993-06-18","2026-05-02","Per=M","Days=T","Dir=V")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BDH("CCL US Equity","BS_TOT_ASSET","1993-06-18","2026-05-02","Per=Y","Days=T","Dir=V")</f>
        <v>0</v>
      </c>
      <c r="C2">
        <f>BDH("CCL US Equity","BS_TOT_LIAB2","1993-06-18","2026-05-02","Per=Y","Days=T","Dir=V")</f>
        <v>0</v>
      </c>
      <c r="E2">
        <f>BDH("CCL US Equity","SHORT_AND_LONG_TERM_DEBT","1993-06-18","2026-05-02","Per=Y","Days=T","Dir=V")</f>
        <v>0</v>
      </c>
      <c r="G2">
        <f>BDH("CCL US Equity","BS_ST_BORROW","1993-06-18","2026-05-02","Per=Y","Days=T","Dir=V")</f>
        <v>0</v>
      </c>
      <c r="I2">
        <f>BDH("CCL US Equity","BS_LT_BORROW","1993-06-18","2026-05-02","Per=Y","Days=T","Dir=V")</f>
        <v>0</v>
      </c>
      <c r="K2">
        <f>BDH("CCL US Equity","BS_CASH_NEAR_CASH_ITEM","1993-06-18","2026-05-02","Per=Y","Days=T","Dir=V")</f>
        <v>0</v>
      </c>
      <c r="M2">
        <f>BDH("CCL US Equity","BS_CUR_ASSET_REPORT","1993-06-18","2026-05-02","Per=Y","Days=T","Dir=V")</f>
        <v>0</v>
      </c>
      <c r="O2">
        <f>BDH("CCL US Equity","BS_CUR_LIAB","1993-06-18","2026-05-02","Per=Y","Days=T","Dir=V")</f>
        <v>0</v>
      </c>
      <c r="Q2">
        <f>BDH("CCL US Equity","BS_SHAREHOLDER_EQY_ENDING_PERIOD","1993-06-18","2026-05-02","Per=Y","Days=T","Dir=V")</f>
        <v>0</v>
      </c>
      <c r="S2">
        <f>BDH("CCL US Equity","BS_ACCT_NOTE_RCV","1993-06-18","2026-05-02","Per=Y","Days=T","Dir=V")</f>
        <v>0</v>
      </c>
      <c r="U2">
        <f>BDH("CCL US Equity","BS_INVENTORIES","1993-06-18","2026-05-02","Per=Y","Days=T","Dir=V")</f>
        <v>0</v>
      </c>
      <c r="W2">
        <f>BDH("CCL US Equity","WORKING_CAPITAL","1993-06-18","2026-05-02","Per=Y","Days=T","Dir=V")</f>
        <v>0</v>
      </c>
      <c r="Y2">
        <f>BDH("CCL US Equity","SALES_REV_TURN","1993-06-18","2026-05-02","Per=Y","Days=T","Dir=V")</f>
        <v>0</v>
      </c>
      <c r="AA2">
        <f>BDH("CCL US Equity","EBIT","1993-06-18","2026-05-02","Per=Y","Days=T","Dir=V")</f>
        <v>0</v>
      </c>
      <c r="AC2">
        <f>BDH("CCL US Equity","EBITDA","1993-06-18","2026-05-02","Per=Y","Days=T","Dir=V")</f>
        <v>0</v>
      </c>
      <c r="AE2">
        <f>BDH("CCL US Equity","NET_INCOME","1993-06-18","2026-05-02","Per=Y","Days=T","Dir=V")</f>
        <v>0</v>
      </c>
      <c r="AG2">
        <f>BDH("CCL US Equity","IS_INT_EXPENSE","1993-06-18","2026-05-02","Per=Y","Days=T","Dir=V")</f>
        <v>0</v>
      </c>
      <c r="AI2">
        <f>BDH("CCL US Equity","IS_DEPR_EXP","1993-06-18","2026-05-02","Per=Y","Days=T","Dir=V")</f>
        <v>0</v>
      </c>
      <c r="AK2">
        <f>BDH("CCL US Equity","CF_CASH_FROM_OPER","1993-06-18","2026-05-02","Per=Y","Days=T","Dir=V")</f>
        <v>0</v>
      </c>
      <c r="AM2">
        <f>BDH("CCL US Equity","CAPITAL_EXPEND","1993-06-18","2026-05-02","Per=Y","Days=T","Dir=V")</f>
        <v>0</v>
      </c>
      <c r="AO2">
        <f>BDH("CCL US Equity","CF_FREE_CASH_FLOW","1993-06-18","2026-05-02","Per=Y","Days=T","Dir=V")</f>
        <v>0</v>
      </c>
      <c r="AQ2">
        <f>BDH("CCL US Equity","PX_LAST","1993-06-18","2026-05-02","Per=M","Days=T","Dir=V")</f>
        <v>0</v>
      </c>
      <c r="AS2">
        <f>BDH("CCL US Equity","CUR_MKT_CAP","1993-06-18","2026-05-02","Per=M","Days=T","Dir=V")</f>
        <v>0</v>
      </c>
      <c r="AU2">
        <f>BDH("CCL US Equity","EQY_SH_OUT","1993-06-18","2026-05-02","Per=M","Days=T","Dir=V")</f>
        <v>0</v>
      </c>
      <c r="AW2">
        <f>BDH("CCL US Equity","PX_VOLUME","1993-06-18","2026-05-02","Per=M","Days=T","Dir=V")</f>
        <v>0</v>
      </c>
      <c r="AY2">
        <f>BDH("CCL US Equity","TURNOVER","1993-06-18","2026-05-02","Per=M","Days=T","Dir=V")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BDH("CCLD US Equity","BS_TOT_ASSET","1993-06-18","2026-05-02","Per=Y","Days=T","Dir=V")</f>
        <v>0</v>
      </c>
      <c r="C2">
        <f>BDH("CCLD US Equity","BS_TOT_LIAB2","1993-06-18","2026-05-02","Per=Y","Days=T","Dir=V")</f>
        <v>0</v>
      </c>
      <c r="E2">
        <f>BDH("CCLD US Equity","SHORT_AND_LONG_TERM_DEBT","1993-06-18","2026-05-02","Per=Y","Days=T","Dir=V")</f>
        <v>0</v>
      </c>
      <c r="G2">
        <f>BDH("CCLD US Equity","BS_ST_BORROW","1993-06-18","2026-05-02","Per=Y","Days=T","Dir=V")</f>
        <v>0</v>
      </c>
      <c r="I2">
        <f>BDH("CCLD US Equity","BS_LT_BORROW","1993-06-18","2026-05-02","Per=Y","Days=T","Dir=V")</f>
        <v>0</v>
      </c>
      <c r="K2">
        <f>BDH("CCLD US Equity","BS_CASH_NEAR_CASH_ITEM","1993-06-18","2026-05-02","Per=Y","Days=T","Dir=V")</f>
        <v>0</v>
      </c>
      <c r="M2">
        <f>BDH("CCLD US Equity","BS_CUR_ASSET_REPORT","1993-06-18","2026-05-02","Per=Y","Days=T","Dir=V")</f>
        <v>0</v>
      </c>
      <c r="O2">
        <f>BDH("CCLD US Equity","BS_CUR_LIAB","1993-06-18","2026-05-02","Per=Y","Days=T","Dir=V")</f>
        <v>0</v>
      </c>
      <c r="Q2">
        <f>BDH("CCLD US Equity","BS_SHAREHOLDER_EQY_ENDING_PERIOD","1993-06-18","2026-05-02","Per=Y","Days=T","Dir=V")</f>
        <v>0</v>
      </c>
      <c r="S2">
        <f>BDH("CCLD US Equity","BS_ACCT_NOTE_RCV","1993-06-18","2026-05-02","Per=Y","Days=T","Dir=V")</f>
        <v>0</v>
      </c>
      <c r="U2">
        <f>BDH("CCLD US Equity","BS_INVENTORIES","1993-06-18","2026-05-02","Per=Y","Days=T","Dir=V")</f>
        <v>0</v>
      </c>
      <c r="W2">
        <f>BDH("CCLD US Equity","WORKING_CAPITAL","1993-06-18","2026-05-02","Per=Y","Days=T","Dir=V")</f>
        <v>0</v>
      </c>
      <c r="Y2">
        <f>BDH("CCLD US Equity","SALES_REV_TURN","1993-06-18","2026-05-02","Per=Y","Days=T","Dir=V")</f>
        <v>0</v>
      </c>
      <c r="AA2">
        <f>BDH("CCLD US Equity","EBIT","1993-06-18","2026-05-02","Per=Y","Days=T","Dir=V")</f>
        <v>0</v>
      </c>
      <c r="AC2">
        <f>BDH("CCLD US Equity","EBITDA","1993-06-18","2026-05-02","Per=Y","Days=T","Dir=V")</f>
        <v>0</v>
      </c>
      <c r="AE2">
        <f>BDH("CCLD US Equity","NET_INCOME","1993-06-18","2026-05-02","Per=Y","Days=T","Dir=V")</f>
        <v>0</v>
      </c>
      <c r="AG2">
        <f>BDH("CCLD US Equity","IS_INT_EXPENSE","1993-06-18","2026-05-02","Per=Y","Days=T","Dir=V")</f>
        <v>0</v>
      </c>
      <c r="AI2">
        <f>BDH("CCLD US Equity","IS_DEPR_EXP","1993-06-18","2026-05-02","Per=Y","Days=T","Dir=V")</f>
        <v>0</v>
      </c>
      <c r="AK2">
        <f>BDH("CCLD US Equity","CF_CASH_FROM_OPER","1993-06-18","2026-05-02","Per=Y","Days=T","Dir=V")</f>
        <v>0</v>
      </c>
      <c r="AM2">
        <f>BDH("CCLD US Equity","CAPITAL_EXPEND","1993-06-18","2026-05-02","Per=Y","Days=T","Dir=V")</f>
        <v>0</v>
      </c>
      <c r="AO2">
        <f>BDH("CCLD US Equity","CF_FREE_CASH_FLOW","1993-06-18","2026-05-02","Per=Y","Days=T","Dir=V")</f>
        <v>0</v>
      </c>
      <c r="AQ2">
        <f>BDH("CCLD US Equity","PX_LAST","1993-06-18","2026-05-02","Per=M","Days=T","Dir=V")</f>
        <v>0</v>
      </c>
      <c r="AS2">
        <f>BDH("CCLD US Equity","CUR_MKT_CAP","1993-06-18","2026-05-02","Per=M","Days=T","Dir=V")</f>
        <v>0</v>
      </c>
      <c r="AU2">
        <f>BDH("CCLD US Equity","EQY_SH_OUT","1993-06-18","2026-05-02","Per=M","Days=T","Dir=V")</f>
        <v>0</v>
      </c>
      <c r="AW2">
        <f>BDH("CCLD US Equity","PX_VOLUME","1993-06-18","2026-05-02","Per=M","Days=T","Dir=V")</f>
        <v>0</v>
      </c>
      <c r="AY2">
        <f>BDH("CCLD US Equity","TURNOVER","1993-06-18","2026-05-02","Per=M","Days=T","Dir=V")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BDH("CCO US Equity","BS_TOT_ASSET","1993-06-18","2026-05-02","Per=Y","Days=T","Dir=V")</f>
        <v>0</v>
      </c>
      <c r="C2">
        <f>BDH("CCO US Equity","BS_TOT_LIAB2","1993-06-18","2026-05-02","Per=Y","Days=T","Dir=V")</f>
        <v>0</v>
      </c>
      <c r="E2">
        <f>BDH("CCO US Equity","SHORT_AND_LONG_TERM_DEBT","1993-06-18","2026-05-02","Per=Y","Days=T","Dir=V")</f>
        <v>0</v>
      </c>
      <c r="G2">
        <f>BDH("CCO US Equity","BS_ST_BORROW","1993-06-18","2026-05-02","Per=Y","Days=T","Dir=V")</f>
        <v>0</v>
      </c>
      <c r="I2">
        <f>BDH("CCO US Equity","BS_LT_BORROW","1993-06-18","2026-05-02","Per=Y","Days=T","Dir=V")</f>
        <v>0</v>
      </c>
      <c r="K2">
        <f>BDH("CCO US Equity","BS_CASH_NEAR_CASH_ITEM","1993-06-18","2026-05-02","Per=Y","Days=T","Dir=V")</f>
        <v>0</v>
      </c>
      <c r="M2">
        <f>BDH("CCO US Equity","BS_CUR_ASSET_REPORT","1993-06-18","2026-05-02","Per=Y","Days=T","Dir=V")</f>
        <v>0</v>
      </c>
      <c r="O2">
        <f>BDH("CCO US Equity","BS_CUR_LIAB","1993-06-18","2026-05-02","Per=Y","Days=T","Dir=V")</f>
        <v>0</v>
      </c>
      <c r="Q2">
        <f>BDH("CCO US Equity","BS_SHAREHOLDER_EQY_ENDING_PERIOD","1993-06-18","2026-05-02","Per=Y","Days=T","Dir=V")</f>
        <v>0</v>
      </c>
      <c r="S2">
        <f>BDH("CCO US Equity","BS_ACCT_NOTE_RCV","1993-06-18","2026-05-02","Per=Y","Days=T","Dir=V")</f>
        <v>0</v>
      </c>
      <c r="U2">
        <f>BDH("CCO US Equity","BS_INVENTORIES","1993-06-18","2026-05-02","Per=Y","Days=T","Dir=V")</f>
        <v>0</v>
      </c>
      <c r="W2">
        <f>BDH("CCO US Equity","WORKING_CAPITAL","1993-06-18","2026-05-02","Per=Y","Days=T","Dir=V")</f>
        <v>0</v>
      </c>
      <c r="Y2">
        <f>BDH("CCO US Equity","SALES_REV_TURN","1993-06-18","2026-05-02","Per=Y","Days=T","Dir=V")</f>
        <v>0</v>
      </c>
      <c r="AA2">
        <f>BDH("CCO US Equity","EBIT","1993-06-18","2026-05-02","Per=Y","Days=T","Dir=V")</f>
        <v>0</v>
      </c>
      <c r="AC2">
        <f>BDH("CCO US Equity","EBITDA","1993-06-18","2026-05-02","Per=Y","Days=T","Dir=V")</f>
        <v>0</v>
      </c>
      <c r="AE2">
        <f>BDH("CCO US Equity","NET_INCOME","1993-06-18","2026-05-02","Per=Y","Days=T","Dir=V")</f>
        <v>0</v>
      </c>
      <c r="AG2">
        <f>BDH("CCO US Equity","IS_INT_EXPENSE","1993-06-18","2026-05-02","Per=Y","Days=T","Dir=V")</f>
        <v>0</v>
      </c>
      <c r="AI2">
        <f>BDH("CCO US Equity","IS_DEPR_EXP","1993-06-18","2026-05-02","Per=Y","Days=T","Dir=V")</f>
        <v>0</v>
      </c>
      <c r="AK2">
        <f>BDH("CCO US Equity","CF_CASH_FROM_OPER","1993-06-18","2026-05-02","Per=Y","Days=T","Dir=V")</f>
        <v>0</v>
      </c>
      <c r="AM2">
        <f>BDH("CCO US Equity","CAPITAL_EXPEND","1993-06-18","2026-05-02","Per=Y","Days=T","Dir=V")</f>
        <v>0</v>
      </c>
      <c r="AO2">
        <f>BDH("CCO US Equity","CF_FREE_CASH_FLOW","1993-06-18","2026-05-02","Per=Y","Days=T","Dir=V")</f>
        <v>0</v>
      </c>
      <c r="AQ2">
        <f>BDH("CCO US Equity","PX_LAST","1993-06-18","2026-05-02","Per=M","Days=T","Dir=V")</f>
        <v>0</v>
      </c>
      <c r="AS2">
        <f>BDH("CCO US Equity","CUR_MKT_CAP","1993-06-18","2026-05-02","Per=M","Days=T","Dir=V")</f>
        <v>0</v>
      </c>
      <c r="AU2">
        <f>BDH("CCO US Equity","EQY_SH_OUT","1993-06-18","2026-05-02","Per=M","Days=T","Dir=V")</f>
        <v>0</v>
      </c>
      <c r="AW2">
        <f>BDH("CCO US Equity","PX_VOLUME","1993-06-18","2026-05-02","Per=M","Days=T","Dir=V")</f>
        <v>0</v>
      </c>
      <c r="AY2">
        <f>BDH("CCO US Equity","TURNOVER","1993-06-18","2026-05-02","Per=M","Days=T","Dir=V")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BDH("CCOI US Equity","BS_TOT_ASSET","1993-06-18","2026-05-02","Per=Y","Days=T","Dir=V")</f>
        <v>0</v>
      </c>
      <c r="C2">
        <f>BDH("CCOI US Equity","BS_TOT_LIAB2","1993-06-18","2026-05-02","Per=Y","Days=T","Dir=V")</f>
        <v>0</v>
      </c>
      <c r="E2">
        <f>BDH("CCOI US Equity","SHORT_AND_LONG_TERM_DEBT","1993-06-18","2026-05-02","Per=Y","Days=T","Dir=V")</f>
        <v>0</v>
      </c>
      <c r="G2">
        <f>BDH("CCOI US Equity","BS_ST_BORROW","1993-06-18","2026-05-02","Per=Y","Days=T","Dir=V")</f>
        <v>0</v>
      </c>
      <c r="I2">
        <f>BDH("CCOI US Equity","BS_LT_BORROW","1993-06-18","2026-05-02","Per=Y","Days=T","Dir=V")</f>
        <v>0</v>
      </c>
      <c r="K2">
        <f>BDH("CCOI US Equity","BS_CASH_NEAR_CASH_ITEM","1993-06-18","2026-05-02","Per=Y","Days=T","Dir=V")</f>
        <v>0</v>
      </c>
      <c r="M2">
        <f>BDH("CCOI US Equity","BS_CUR_ASSET_REPORT","1993-06-18","2026-05-02","Per=Y","Days=T","Dir=V")</f>
        <v>0</v>
      </c>
      <c r="O2">
        <f>BDH("CCOI US Equity","BS_CUR_LIAB","1993-06-18","2026-05-02","Per=Y","Days=T","Dir=V")</f>
        <v>0</v>
      </c>
      <c r="Q2">
        <f>BDH("CCOI US Equity","BS_SHAREHOLDER_EQY_ENDING_PERIOD","1993-06-18","2026-05-02","Per=Y","Days=T","Dir=V")</f>
        <v>0</v>
      </c>
      <c r="S2">
        <f>BDH("CCOI US Equity","BS_ACCT_NOTE_RCV","1993-06-18","2026-05-02","Per=Y","Days=T","Dir=V")</f>
        <v>0</v>
      </c>
      <c r="U2">
        <f>BDH("CCOI US Equity","BS_INVENTORIES","1993-06-18","2026-05-02","Per=Y","Days=T","Dir=V")</f>
        <v>0</v>
      </c>
      <c r="W2">
        <f>BDH("CCOI US Equity","WORKING_CAPITAL","1993-06-18","2026-05-02","Per=Y","Days=T","Dir=V")</f>
        <v>0</v>
      </c>
      <c r="Y2">
        <f>BDH("CCOI US Equity","SALES_REV_TURN","1993-06-18","2026-05-02","Per=Y","Days=T","Dir=V")</f>
        <v>0</v>
      </c>
      <c r="AA2">
        <f>BDH("CCOI US Equity","EBIT","1993-06-18","2026-05-02","Per=Y","Days=T","Dir=V")</f>
        <v>0</v>
      </c>
      <c r="AC2">
        <f>BDH("CCOI US Equity","EBITDA","1993-06-18","2026-05-02","Per=Y","Days=T","Dir=V")</f>
        <v>0</v>
      </c>
      <c r="AE2">
        <f>BDH("CCOI US Equity","NET_INCOME","1993-06-18","2026-05-02","Per=Y","Days=T","Dir=V")</f>
        <v>0</v>
      </c>
      <c r="AG2">
        <f>BDH("CCOI US Equity","IS_INT_EXPENSE","1993-06-18","2026-05-02","Per=Y","Days=T","Dir=V")</f>
        <v>0</v>
      </c>
      <c r="AI2">
        <f>BDH("CCOI US Equity","IS_DEPR_EXP","1993-06-18","2026-05-02","Per=Y","Days=T","Dir=V")</f>
        <v>0</v>
      </c>
      <c r="AK2">
        <f>BDH("CCOI US Equity","CF_CASH_FROM_OPER","1993-06-18","2026-05-02","Per=Y","Days=T","Dir=V")</f>
        <v>0</v>
      </c>
      <c r="AM2">
        <f>BDH("CCOI US Equity","CAPITAL_EXPEND","1993-06-18","2026-05-02","Per=Y","Days=T","Dir=V")</f>
        <v>0</v>
      </c>
      <c r="AO2">
        <f>BDH("CCOI US Equity","CF_FREE_CASH_FLOW","1993-06-18","2026-05-02","Per=Y","Days=T","Dir=V")</f>
        <v>0</v>
      </c>
      <c r="AQ2">
        <f>BDH("CCOI US Equity","PX_LAST","1993-06-18","2026-05-02","Per=M","Days=T","Dir=V")</f>
        <v>0</v>
      </c>
      <c r="AS2">
        <f>BDH("CCOI US Equity","CUR_MKT_CAP","1993-06-18","2026-05-02","Per=M","Days=T","Dir=V")</f>
        <v>0</v>
      </c>
      <c r="AU2">
        <f>BDH("CCOI US Equity","EQY_SH_OUT","1993-06-18","2026-05-02","Per=M","Days=T","Dir=V")</f>
        <v>0</v>
      </c>
      <c r="AW2">
        <f>BDH("CCOI US Equity","PX_VOLUME","1993-06-18","2026-05-02","Per=M","Days=T","Dir=V")</f>
        <v>0</v>
      </c>
      <c r="AY2">
        <f>BDH("CCOI US Equity","TURNOVER","1993-06-18","2026-05-02","Per=M","Days=T","Dir=V")</f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BDH("CCS US Equity","BS_TOT_ASSET","1993-06-18","2026-05-02","Per=Y","Days=T","Dir=V")</f>
        <v>0</v>
      </c>
      <c r="C2">
        <f>BDH("CCS US Equity","BS_TOT_LIAB2","1993-06-18","2026-05-02","Per=Y","Days=T","Dir=V")</f>
        <v>0</v>
      </c>
      <c r="E2">
        <f>BDH("CCS US Equity","SHORT_AND_LONG_TERM_DEBT","1993-06-18","2026-05-02","Per=Y","Days=T","Dir=V")</f>
        <v>0</v>
      </c>
      <c r="G2">
        <f>BDH("CCS US Equity","BS_ST_BORROW","1993-06-18","2026-05-02","Per=Y","Days=T","Dir=V")</f>
        <v>0</v>
      </c>
      <c r="I2">
        <f>BDH("CCS US Equity","BS_LT_BORROW","1993-06-18","2026-05-02","Per=Y","Days=T","Dir=V")</f>
        <v>0</v>
      </c>
      <c r="K2">
        <f>BDH("CCS US Equity","BS_CASH_NEAR_CASH_ITEM","1993-06-18","2026-05-02","Per=Y","Days=T","Dir=V")</f>
        <v>0</v>
      </c>
      <c r="M2">
        <f>BDH("CCS US Equity","BS_CUR_ASSET_REPORT","1993-06-18","2026-05-02","Per=Y","Days=T","Dir=V")</f>
        <v>0</v>
      </c>
      <c r="O2">
        <f>BDH("CCS US Equity","BS_CUR_LIAB","1993-06-18","2026-05-02","Per=Y","Days=T","Dir=V")</f>
        <v>0</v>
      </c>
      <c r="Q2">
        <f>BDH("CCS US Equity","BS_SHAREHOLDER_EQY_ENDING_PERIOD","1993-06-18","2026-05-02","Per=Y","Days=T","Dir=V")</f>
        <v>0</v>
      </c>
      <c r="S2">
        <f>BDH("CCS US Equity","BS_ACCT_NOTE_RCV","1993-06-18","2026-05-02","Per=Y","Days=T","Dir=V")</f>
        <v>0</v>
      </c>
      <c r="U2">
        <f>BDH("CCS US Equity","BS_INVENTORIES","1993-06-18","2026-05-02","Per=Y","Days=T","Dir=V")</f>
        <v>0</v>
      </c>
      <c r="W2">
        <f>BDH("CCS US Equity","WORKING_CAPITAL","1993-06-18","2026-05-02","Per=Y","Days=T","Dir=V")</f>
        <v>0</v>
      </c>
      <c r="Y2">
        <f>BDH("CCS US Equity","SALES_REV_TURN","1993-06-18","2026-05-02","Per=Y","Days=T","Dir=V")</f>
        <v>0</v>
      </c>
      <c r="AA2">
        <f>BDH("CCS US Equity","EBIT","1993-06-18","2026-05-02","Per=Y","Days=T","Dir=V")</f>
        <v>0</v>
      </c>
      <c r="AC2">
        <f>BDH("CCS US Equity","EBITDA","1993-06-18","2026-05-02","Per=Y","Days=T","Dir=V")</f>
        <v>0</v>
      </c>
      <c r="AE2">
        <f>BDH("CCS US Equity","NET_INCOME","1993-06-18","2026-05-02","Per=Y","Days=T","Dir=V")</f>
        <v>0</v>
      </c>
      <c r="AG2">
        <f>BDH("CCS US Equity","IS_INT_EXPENSE","1993-06-18","2026-05-02","Per=Y","Days=T","Dir=V")</f>
        <v>0</v>
      </c>
      <c r="AI2">
        <f>BDH("CCS US Equity","IS_DEPR_EXP","1993-06-18","2026-05-02","Per=Y","Days=T","Dir=V")</f>
        <v>0</v>
      </c>
      <c r="AK2">
        <f>BDH("CCS US Equity","CF_CASH_FROM_OPER","1993-06-18","2026-05-02","Per=Y","Days=T","Dir=V")</f>
        <v>0</v>
      </c>
      <c r="AM2">
        <f>BDH("CCS US Equity","CAPITAL_EXPEND","1993-06-18","2026-05-02","Per=Y","Days=T","Dir=V")</f>
        <v>0</v>
      </c>
      <c r="AO2">
        <f>BDH("CCS US Equity","CF_FREE_CASH_FLOW","1993-06-18","2026-05-02","Per=Y","Days=T","Dir=V")</f>
        <v>0</v>
      </c>
      <c r="AQ2">
        <f>BDH("CCS US Equity","PX_LAST","1993-06-18","2026-05-02","Per=M","Days=T","Dir=V")</f>
        <v>0</v>
      </c>
      <c r="AS2">
        <f>BDH("CCS US Equity","CUR_MKT_CAP","1993-06-18","2026-05-02","Per=M","Days=T","Dir=V")</f>
        <v>0</v>
      </c>
      <c r="AU2">
        <f>BDH("CCS US Equity","EQY_SH_OUT","1993-06-18","2026-05-02","Per=M","Days=T","Dir=V")</f>
        <v>0</v>
      </c>
      <c r="AW2">
        <f>BDH("CCS US Equity","PX_VOLUME","1993-06-18","2026-05-02","Per=M","Days=T","Dir=V")</f>
        <v>0</v>
      </c>
      <c r="AY2">
        <f>BDH("CCS US Equity","TURNOVER","1993-06-18","2026-05-02","Per=M","Days=T","Dir=V")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BDH("CCSI US Equity","BS_TOT_ASSET","1993-06-18","2026-05-02","Per=Y","Days=T","Dir=V")</f>
        <v>0</v>
      </c>
      <c r="C2">
        <f>BDH("CCSI US Equity","BS_TOT_LIAB2","1993-06-18","2026-05-02","Per=Y","Days=T","Dir=V")</f>
        <v>0</v>
      </c>
      <c r="E2">
        <f>BDH("CCSI US Equity","SHORT_AND_LONG_TERM_DEBT","1993-06-18","2026-05-02","Per=Y","Days=T","Dir=V")</f>
        <v>0</v>
      </c>
      <c r="G2">
        <f>BDH("CCSI US Equity","BS_ST_BORROW","1993-06-18","2026-05-02","Per=Y","Days=T","Dir=V")</f>
        <v>0</v>
      </c>
      <c r="I2">
        <f>BDH("CCSI US Equity","BS_LT_BORROW","1993-06-18","2026-05-02","Per=Y","Days=T","Dir=V")</f>
        <v>0</v>
      </c>
      <c r="K2">
        <f>BDH("CCSI US Equity","BS_CASH_NEAR_CASH_ITEM","1993-06-18","2026-05-02","Per=Y","Days=T","Dir=V")</f>
        <v>0</v>
      </c>
      <c r="M2">
        <f>BDH("CCSI US Equity","BS_CUR_ASSET_REPORT","1993-06-18","2026-05-02","Per=Y","Days=T","Dir=V")</f>
        <v>0</v>
      </c>
      <c r="O2">
        <f>BDH("CCSI US Equity","BS_CUR_LIAB","1993-06-18","2026-05-02","Per=Y","Days=T","Dir=V")</f>
        <v>0</v>
      </c>
      <c r="Q2">
        <f>BDH("CCSI US Equity","BS_SHAREHOLDER_EQY_ENDING_PERIOD","1993-06-18","2026-05-02","Per=Y","Days=T","Dir=V")</f>
        <v>0</v>
      </c>
      <c r="S2">
        <f>BDH("CCSI US Equity","BS_ACCT_NOTE_RCV","1993-06-18","2026-05-02","Per=Y","Days=T","Dir=V")</f>
        <v>0</v>
      </c>
      <c r="U2">
        <f>BDH("CCSI US Equity","BS_INVENTORIES","1993-06-18","2026-05-02","Per=Y","Days=T","Dir=V")</f>
        <v>0</v>
      </c>
      <c r="W2">
        <f>BDH("CCSI US Equity","WORKING_CAPITAL","1993-06-18","2026-05-02","Per=Y","Days=T","Dir=V")</f>
        <v>0</v>
      </c>
      <c r="Y2">
        <f>BDH("CCSI US Equity","SALES_REV_TURN","1993-06-18","2026-05-02","Per=Y","Days=T","Dir=V")</f>
        <v>0</v>
      </c>
      <c r="AA2">
        <f>BDH("CCSI US Equity","EBIT","1993-06-18","2026-05-02","Per=Y","Days=T","Dir=V")</f>
        <v>0</v>
      </c>
      <c r="AC2">
        <f>BDH("CCSI US Equity","EBITDA","1993-06-18","2026-05-02","Per=Y","Days=T","Dir=V")</f>
        <v>0</v>
      </c>
      <c r="AE2">
        <f>BDH("CCSI US Equity","NET_INCOME","1993-06-18","2026-05-02","Per=Y","Days=T","Dir=V")</f>
        <v>0</v>
      </c>
      <c r="AG2">
        <f>BDH("CCSI US Equity","IS_INT_EXPENSE","1993-06-18","2026-05-02","Per=Y","Days=T","Dir=V")</f>
        <v>0</v>
      </c>
      <c r="AI2">
        <f>BDH("CCSI US Equity","IS_DEPR_EXP","1993-06-18","2026-05-02","Per=Y","Days=T","Dir=V")</f>
        <v>0</v>
      </c>
      <c r="AK2">
        <f>BDH("CCSI US Equity","CF_CASH_FROM_OPER","1993-06-18","2026-05-02","Per=Y","Days=T","Dir=V")</f>
        <v>0</v>
      </c>
      <c r="AM2">
        <f>BDH("CCSI US Equity","CAPITAL_EXPEND","1993-06-18","2026-05-02","Per=Y","Days=T","Dir=V")</f>
        <v>0</v>
      </c>
      <c r="AO2">
        <f>BDH("CCSI US Equity","CF_FREE_CASH_FLOW","1993-06-18","2026-05-02","Per=Y","Days=T","Dir=V")</f>
        <v>0</v>
      </c>
      <c r="AQ2">
        <f>BDH("CCSI US Equity","PX_LAST","1993-06-18","2026-05-02","Per=M","Days=T","Dir=V")</f>
        <v>0</v>
      </c>
      <c r="AS2">
        <f>BDH("CCSI US Equity","CUR_MKT_CAP","1993-06-18","2026-05-02","Per=M","Days=T","Dir=V")</f>
        <v>0</v>
      </c>
      <c r="AU2">
        <f>BDH("CCSI US Equity","EQY_SH_OUT","1993-06-18","2026-05-02","Per=M","Days=T","Dir=V")</f>
        <v>0</v>
      </c>
      <c r="AW2">
        <f>BDH("CCSI US Equity","PX_VOLUME","1993-06-18","2026-05-02","Per=M","Days=T","Dir=V")</f>
        <v>0</v>
      </c>
      <c r="AY2">
        <f>BDH("CCSI US Equity","TURNOVER","1993-06-18","2026-05-02","Per=M","Days=T","Dir=V")</f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BDH("CCZ US Equity","BS_TOT_ASSET","1993-06-18","2026-05-02","Per=Y","Days=T","Dir=V")</f>
        <v>0</v>
      </c>
      <c r="C2">
        <f>BDH("CCZ US Equity","BS_TOT_LIAB2","1993-06-18","2026-05-02","Per=Y","Days=T","Dir=V")</f>
        <v>0</v>
      </c>
      <c r="E2">
        <f>BDH("CCZ US Equity","SHORT_AND_LONG_TERM_DEBT","1993-06-18","2026-05-02","Per=Y","Days=T","Dir=V")</f>
        <v>0</v>
      </c>
      <c r="G2">
        <f>BDH("CCZ US Equity","BS_ST_BORROW","1993-06-18","2026-05-02","Per=Y","Days=T","Dir=V")</f>
        <v>0</v>
      </c>
      <c r="I2">
        <f>BDH("CCZ US Equity","BS_LT_BORROW","1993-06-18","2026-05-02","Per=Y","Days=T","Dir=V")</f>
        <v>0</v>
      </c>
      <c r="K2">
        <f>BDH("CCZ US Equity","BS_CASH_NEAR_CASH_ITEM","1993-06-18","2026-05-02","Per=Y","Days=T","Dir=V")</f>
        <v>0</v>
      </c>
      <c r="M2">
        <f>BDH("CCZ US Equity","BS_CUR_ASSET_REPORT","1993-06-18","2026-05-02","Per=Y","Days=T","Dir=V")</f>
        <v>0</v>
      </c>
      <c r="O2">
        <f>BDH("CCZ US Equity","BS_CUR_LIAB","1993-06-18","2026-05-02","Per=Y","Days=T","Dir=V")</f>
        <v>0</v>
      </c>
      <c r="Q2">
        <f>BDH("CCZ US Equity","BS_SHAREHOLDER_EQY_ENDING_PERIOD","1993-06-18","2026-05-02","Per=Y","Days=T","Dir=V")</f>
        <v>0</v>
      </c>
      <c r="S2">
        <f>BDH("CCZ US Equity","BS_ACCT_NOTE_RCV","1993-06-18","2026-05-02","Per=Y","Days=T","Dir=V")</f>
        <v>0</v>
      </c>
      <c r="U2">
        <f>BDH("CCZ US Equity","BS_INVENTORIES","1993-06-18","2026-05-02","Per=Y","Days=T","Dir=V")</f>
        <v>0</v>
      </c>
      <c r="W2">
        <f>BDH("CCZ US Equity","WORKING_CAPITAL","1993-06-18","2026-05-02","Per=Y","Days=T","Dir=V")</f>
        <v>0</v>
      </c>
      <c r="Y2">
        <f>BDH("CCZ US Equity","SALES_REV_TURN","1993-06-18","2026-05-02","Per=Y","Days=T","Dir=V")</f>
        <v>0</v>
      </c>
      <c r="AA2">
        <f>BDH("CCZ US Equity","EBIT","1993-06-18","2026-05-02","Per=Y","Days=T","Dir=V")</f>
        <v>0</v>
      </c>
      <c r="AC2">
        <f>BDH("CCZ US Equity","EBITDA","1993-06-18","2026-05-02","Per=Y","Days=T","Dir=V")</f>
        <v>0</v>
      </c>
      <c r="AE2">
        <f>BDH("CCZ US Equity","NET_INCOME","1993-06-18","2026-05-02","Per=Y","Days=T","Dir=V")</f>
        <v>0</v>
      </c>
      <c r="AG2">
        <f>BDH("CCZ US Equity","IS_INT_EXPENSE","1993-06-18","2026-05-02","Per=Y","Days=T","Dir=V")</f>
        <v>0</v>
      </c>
      <c r="AI2">
        <f>BDH("CCZ US Equity","IS_DEPR_EXP","1993-06-18","2026-05-02","Per=Y","Days=T","Dir=V")</f>
        <v>0</v>
      </c>
      <c r="AK2">
        <f>BDH("CCZ US Equity","CF_CASH_FROM_OPER","1993-06-18","2026-05-02","Per=Y","Days=T","Dir=V")</f>
        <v>0</v>
      </c>
      <c r="AM2">
        <f>BDH("CCZ US Equity","CAPITAL_EXPEND","1993-06-18","2026-05-02","Per=Y","Days=T","Dir=V")</f>
        <v>0</v>
      </c>
      <c r="AO2">
        <f>BDH("CCZ US Equity","CF_FREE_CASH_FLOW","1993-06-18","2026-05-02","Per=Y","Days=T","Dir=V")</f>
        <v>0</v>
      </c>
      <c r="AQ2">
        <f>BDH("CCZ US Equity","PX_LAST","1993-06-18","2026-05-02","Per=M","Days=T","Dir=V")</f>
        <v>0</v>
      </c>
      <c r="AS2">
        <f>BDH("CCZ US Equity","CUR_MKT_CAP","1993-06-18","2026-05-02","Per=M","Days=T","Dir=V")</f>
        <v>0</v>
      </c>
      <c r="AU2">
        <f>BDH("CCZ US Equity","EQY_SH_OUT","1993-06-18","2026-05-02","Per=M","Days=T","Dir=V")</f>
        <v>0</v>
      </c>
      <c r="AW2">
        <f>BDH("CCZ US Equity","PX_VOLUME","1993-06-18","2026-05-02","Per=M","Days=T","Dir=V")</f>
        <v>0</v>
      </c>
      <c r="AY2">
        <f>BDH("CCZ US Equity","TURNOVER","1993-06-18","2026-05-02","Per=M","Days=T","Dir=V")</f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BDH("CDE US Equity","BS_TOT_ASSET","1993-06-18","2026-05-02","Per=Y","Days=T","Dir=V")</f>
        <v>0</v>
      </c>
      <c r="C2">
        <f>BDH("CDE US Equity","BS_TOT_LIAB2","1993-06-18","2026-05-02","Per=Y","Days=T","Dir=V")</f>
        <v>0</v>
      </c>
      <c r="E2">
        <f>BDH("CDE US Equity","SHORT_AND_LONG_TERM_DEBT","1993-06-18","2026-05-02","Per=Y","Days=T","Dir=V")</f>
        <v>0</v>
      </c>
      <c r="G2">
        <f>BDH("CDE US Equity","BS_ST_BORROW","1993-06-18","2026-05-02","Per=Y","Days=T","Dir=V")</f>
        <v>0</v>
      </c>
      <c r="I2">
        <f>BDH("CDE US Equity","BS_LT_BORROW","1993-06-18","2026-05-02","Per=Y","Days=T","Dir=V")</f>
        <v>0</v>
      </c>
      <c r="K2">
        <f>BDH("CDE US Equity","BS_CASH_NEAR_CASH_ITEM","1993-06-18","2026-05-02","Per=Y","Days=T","Dir=V")</f>
        <v>0</v>
      </c>
      <c r="M2">
        <f>BDH("CDE US Equity","BS_CUR_ASSET_REPORT","1993-06-18","2026-05-02","Per=Y","Days=T","Dir=V")</f>
        <v>0</v>
      </c>
      <c r="O2">
        <f>BDH("CDE US Equity","BS_CUR_LIAB","1993-06-18","2026-05-02","Per=Y","Days=T","Dir=V")</f>
        <v>0</v>
      </c>
      <c r="Q2">
        <f>BDH("CDE US Equity","BS_SHAREHOLDER_EQY_ENDING_PERIOD","1993-06-18","2026-05-02","Per=Y","Days=T","Dir=V")</f>
        <v>0</v>
      </c>
      <c r="S2">
        <f>BDH("CDE US Equity","BS_ACCT_NOTE_RCV","1993-06-18","2026-05-02","Per=Y","Days=T","Dir=V")</f>
        <v>0</v>
      </c>
      <c r="U2">
        <f>BDH("CDE US Equity","BS_INVENTORIES","1993-06-18","2026-05-02","Per=Y","Days=T","Dir=V")</f>
        <v>0</v>
      </c>
      <c r="W2">
        <f>BDH("CDE US Equity","WORKING_CAPITAL","1993-06-18","2026-05-02","Per=Y","Days=T","Dir=V")</f>
        <v>0</v>
      </c>
      <c r="Y2">
        <f>BDH("CDE US Equity","SALES_REV_TURN","1993-06-18","2026-05-02","Per=Y","Days=T","Dir=V")</f>
        <v>0</v>
      </c>
      <c r="AA2">
        <f>BDH("CDE US Equity","EBIT","1993-06-18","2026-05-02","Per=Y","Days=T","Dir=V")</f>
        <v>0</v>
      </c>
      <c r="AC2">
        <f>BDH("CDE US Equity","EBITDA","1993-06-18","2026-05-02","Per=Y","Days=T","Dir=V")</f>
        <v>0</v>
      </c>
      <c r="AE2">
        <f>BDH("CDE US Equity","NET_INCOME","1993-06-18","2026-05-02","Per=Y","Days=T","Dir=V")</f>
        <v>0</v>
      </c>
      <c r="AG2">
        <f>BDH("CDE US Equity","IS_INT_EXPENSE","1993-06-18","2026-05-02","Per=Y","Days=T","Dir=V")</f>
        <v>0</v>
      </c>
      <c r="AI2">
        <f>BDH("CDE US Equity","IS_DEPR_EXP","1993-06-18","2026-05-02","Per=Y","Days=T","Dir=V")</f>
        <v>0</v>
      </c>
      <c r="AK2">
        <f>BDH("CDE US Equity","CF_CASH_FROM_OPER","1993-06-18","2026-05-02","Per=Y","Days=T","Dir=V")</f>
        <v>0</v>
      </c>
      <c r="AM2">
        <f>BDH("CDE US Equity","CAPITAL_EXPEND","1993-06-18","2026-05-02","Per=Y","Days=T","Dir=V")</f>
        <v>0</v>
      </c>
      <c r="AO2">
        <f>BDH("CDE US Equity","CF_FREE_CASH_FLOW","1993-06-18","2026-05-02","Per=Y","Days=T","Dir=V")</f>
        <v>0</v>
      </c>
      <c r="AQ2">
        <f>BDH("CDE US Equity","PX_LAST","1993-06-18","2026-05-02","Per=M","Days=T","Dir=V")</f>
        <v>0</v>
      </c>
      <c r="AS2">
        <f>BDH("CDE US Equity","CUR_MKT_CAP","1993-06-18","2026-05-02","Per=M","Days=T","Dir=V")</f>
        <v>0</v>
      </c>
      <c r="AU2">
        <f>BDH("CDE US Equity","EQY_SH_OUT","1993-06-18","2026-05-02","Per=M","Days=T","Dir=V")</f>
        <v>0</v>
      </c>
      <c r="AW2">
        <f>BDH("CDE US Equity","PX_VOLUME","1993-06-18","2026-05-02","Per=M","Days=T","Dir=V")</f>
        <v>0</v>
      </c>
      <c r="AY2">
        <f>BDH("CDE US Equity","TURNOVER","1993-06-18","2026-05-02","Per=M","Days=T","Dir=V")</f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BDH("CDIO US Equity","BS_TOT_ASSET","1993-06-18","2026-05-02","Per=Y","Days=T","Dir=V")</f>
        <v>0</v>
      </c>
      <c r="C2">
        <f>BDH("CDIO US Equity","BS_TOT_LIAB2","1993-06-18","2026-05-02","Per=Y","Days=T","Dir=V")</f>
        <v>0</v>
      </c>
      <c r="E2">
        <f>BDH("CDIO US Equity","SHORT_AND_LONG_TERM_DEBT","1993-06-18","2026-05-02","Per=Y","Days=T","Dir=V")</f>
        <v>0</v>
      </c>
      <c r="G2">
        <f>BDH("CDIO US Equity","BS_ST_BORROW","1993-06-18","2026-05-02","Per=Y","Days=T","Dir=V")</f>
        <v>0</v>
      </c>
      <c r="I2">
        <f>BDH("CDIO US Equity","BS_LT_BORROW","1993-06-18","2026-05-02","Per=Y","Days=T","Dir=V")</f>
        <v>0</v>
      </c>
      <c r="K2">
        <f>BDH("CDIO US Equity","BS_CASH_NEAR_CASH_ITEM","1993-06-18","2026-05-02","Per=Y","Days=T","Dir=V")</f>
        <v>0</v>
      </c>
      <c r="M2">
        <f>BDH("CDIO US Equity","BS_CUR_ASSET_REPORT","1993-06-18","2026-05-02","Per=Y","Days=T","Dir=V")</f>
        <v>0</v>
      </c>
      <c r="O2">
        <f>BDH("CDIO US Equity","BS_CUR_LIAB","1993-06-18","2026-05-02","Per=Y","Days=T","Dir=V")</f>
        <v>0</v>
      </c>
      <c r="Q2">
        <f>BDH("CDIO US Equity","BS_SHAREHOLDER_EQY_ENDING_PERIOD","1993-06-18","2026-05-02","Per=Y","Days=T","Dir=V")</f>
        <v>0</v>
      </c>
      <c r="S2">
        <f>BDH("CDIO US Equity","BS_ACCT_NOTE_RCV","1993-06-18","2026-05-02","Per=Y","Days=T","Dir=V")</f>
        <v>0</v>
      </c>
      <c r="U2">
        <f>BDH("CDIO US Equity","BS_INVENTORIES","1993-06-18","2026-05-02","Per=Y","Days=T","Dir=V")</f>
        <v>0</v>
      </c>
      <c r="W2">
        <f>BDH("CDIO US Equity","WORKING_CAPITAL","1993-06-18","2026-05-02","Per=Y","Days=T","Dir=V")</f>
        <v>0</v>
      </c>
      <c r="Y2">
        <f>BDH("CDIO US Equity","SALES_REV_TURN","1993-06-18","2026-05-02","Per=Y","Days=T","Dir=V")</f>
        <v>0</v>
      </c>
      <c r="AA2">
        <f>BDH("CDIO US Equity","EBIT","1993-06-18","2026-05-02","Per=Y","Days=T","Dir=V")</f>
        <v>0</v>
      </c>
      <c r="AC2">
        <f>BDH("CDIO US Equity","EBITDA","1993-06-18","2026-05-02","Per=Y","Days=T","Dir=V")</f>
        <v>0</v>
      </c>
      <c r="AE2">
        <f>BDH("CDIO US Equity","NET_INCOME","1993-06-18","2026-05-02","Per=Y","Days=T","Dir=V")</f>
        <v>0</v>
      </c>
      <c r="AG2">
        <f>BDH("CDIO US Equity","IS_INT_EXPENSE","1993-06-18","2026-05-02","Per=Y","Days=T","Dir=V")</f>
        <v>0</v>
      </c>
      <c r="AI2">
        <f>BDH("CDIO US Equity","IS_DEPR_EXP","1993-06-18","2026-05-02","Per=Y","Days=T","Dir=V")</f>
        <v>0</v>
      </c>
      <c r="AK2">
        <f>BDH("CDIO US Equity","CF_CASH_FROM_OPER","1993-06-18","2026-05-02","Per=Y","Days=T","Dir=V")</f>
        <v>0</v>
      </c>
      <c r="AM2">
        <f>BDH("CDIO US Equity","CAPITAL_EXPEND","1993-06-18","2026-05-02","Per=Y","Days=T","Dir=V")</f>
        <v>0</v>
      </c>
      <c r="AO2">
        <f>BDH("CDIO US Equity","CF_FREE_CASH_FLOW","1993-06-18","2026-05-02","Per=Y","Days=T","Dir=V")</f>
        <v>0</v>
      </c>
      <c r="AQ2">
        <f>BDH("CDIO US Equity","PX_LAST","1993-06-18","2026-05-02","Per=M","Days=T","Dir=V")</f>
        <v>0</v>
      </c>
      <c r="AS2">
        <f>BDH("CDIO US Equity","CUR_MKT_CAP","1993-06-18","2026-05-02","Per=M","Days=T","Dir=V")</f>
        <v>0</v>
      </c>
      <c r="AU2">
        <f>BDH("CDIO US Equity","EQY_SH_OUT","1993-06-18","2026-05-02","Per=M","Days=T","Dir=V")</f>
        <v>0</v>
      </c>
      <c r="AW2">
        <f>BDH("CDIO US Equity","PX_VOLUME","1993-06-18","2026-05-02","Per=M","Days=T","Dir=V")</f>
        <v>0</v>
      </c>
      <c r="AY2">
        <f>BDH("CDIO US Equity","TURNOVER","1993-06-18","2026-05-02","Per=M","Days=T","Dir=V")</f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BDH("CDLX US Equity","BS_TOT_ASSET","1993-06-18","2026-05-02","Per=Y","Days=T","Dir=V")</f>
        <v>0</v>
      </c>
      <c r="C2">
        <f>BDH("CDLX US Equity","BS_TOT_LIAB2","1993-06-18","2026-05-02","Per=Y","Days=T","Dir=V")</f>
        <v>0</v>
      </c>
      <c r="E2">
        <f>BDH("CDLX US Equity","SHORT_AND_LONG_TERM_DEBT","1993-06-18","2026-05-02","Per=Y","Days=T","Dir=V")</f>
        <v>0</v>
      </c>
      <c r="G2">
        <f>BDH("CDLX US Equity","BS_ST_BORROW","1993-06-18","2026-05-02","Per=Y","Days=T","Dir=V")</f>
        <v>0</v>
      </c>
      <c r="I2">
        <f>BDH("CDLX US Equity","BS_LT_BORROW","1993-06-18","2026-05-02","Per=Y","Days=T","Dir=V")</f>
        <v>0</v>
      </c>
      <c r="K2">
        <f>BDH("CDLX US Equity","BS_CASH_NEAR_CASH_ITEM","1993-06-18","2026-05-02","Per=Y","Days=T","Dir=V")</f>
        <v>0</v>
      </c>
      <c r="M2">
        <f>BDH("CDLX US Equity","BS_CUR_ASSET_REPORT","1993-06-18","2026-05-02","Per=Y","Days=T","Dir=V")</f>
        <v>0</v>
      </c>
      <c r="O2">
        <f>BDH("CDLX US Equity","BS_CUR_LIAB","1993-06-18","2026-05-02","Per=Y","Days=T","Dir=V")</f>
        <v>0</v>
      </c>
      <c r="Q2">
        <f>BDH("CDLX US Equity","BS_SHAREHOLDER_EQY_ENDING_PERIOD","1993-06-18","2026-05-02","Per=Y","Days=T","Dir=V")</f>
        <v>0</v>
      </c>
      <c r="S2">
        <f>BDH("CDLX US Equity","BS_ACCT_NOTE_RCV","1993-06-18","2026-05-02","Per=Y","Days=T","Dir=V")</f>
        <v>0</v>
      </c>
      <c r="U2">
        <f>BDH("CDLX US Equity","BS_INVENTORIES","1993-06-18","2026-05-02","Per=Y","Days=T","Dir=V")</f>
        <v>0</v>
      </c>
      <c r="W2">
        <f>BDH("CDLX US Equity","WORKING_CAPITAL","1993-06-18","2026-05-02","Per=Y","Days=T","Dir=V")</f>
        <v>0</v>
      </c>
      <c r="Y2">
        <f>BDH("CDLX US Equity","SALES_REV_TURN","1993-06-18","2026-05-02","Per=Y","Days=T","Dir=V")</f>
        <v>0</v>
      </c>
      <c r="AA2">
        <f>BDH("CDLX US Equity","EBIT","1993-06-18","2026-05-02","Per=Y","Days=T","Dir=V")</f>
        <v>0</v>
      </c>
      <c r="AC2">
        <f>BDH("CDLX US Equity","EBITDA","1993-06-18","2026-05-02","Per=Y","Days=T","Dir=V")</f>
        <v>0</v>
      </c>
      <c r="AE2">
        <f>BDH("CDLX US Equity","NET_INCOME","1993-06-18","2026-05-02","Per=Y","Days=T","Dir=V")</f>
        <v>0</v>
      </c>
      <c r="AG2">
        <f>BDH("CDLX US Equity","IS_INT_EXPENSE","1993-06-18","2026-05-02","Per=Y","Days=T","Dir=V")</f>
        <v>0</v>
      </c>
      <c r="AI2">
        <f>BDH("CDLX US Equity","IS_DEPR_EXP","1993-06-18","2026-05-02","Per=Y","Days=T","Dir=V")</f>
        <v>0</v>
      </c>
      <c r="AK2">
        <f>BDH("CDLX US Equity","CF_CASH_FROM_OPER","1993-06-18","2026-05-02","Per=Y","Days=T","Dir=V")</f>
        <v>0</v>
      </c>
      <c r="AM2">
        <f>BDH("CDLX US Equity","CAPITAL_EXPEND","1993-06-18","2026-05-02","Per=Y","Days=T","Dir=V")</f>
        <v>0</v>
      </c>
      <c r="AO2">
        <f>BDH("CDLX US Equity","CF_FREE_CASH_FLOW","1993-06-18","2026-05-02","Per=Y","Days=T","Dir=V")</f>
        <v>0</v>
      </c>
      <c r="AQ2">
        <f>BDH("CDLX US Equity","PX_LAST","1993-06-18","2026-05-02","Per=M","Days=T","Dir=V")</f>
        <v>0</v>
      </c>
      <c r="AS2">
        <f>BDH("CDLX US Equity","CUR_MKT_CAP","1993-06-18","2026-05-02","Per=M","Days=T","Dir=V")</f>
        <v>0</v>
      </c>
      <c r="AU2">
        <f>BDH("CDLX US Equity","EQY_SH_OUT","1993-06-18","2026-05-02","Per=M","Days=T","Dir=V")</f>
        <v>0</v>
      </c>
      <c r="AW2">
        <f>BDH("CDLX US Equity","PX_VOLUME","1993-06-18","2026-05-02","Per=M","Days=T","Dir=V")</f>
        <v>0</v>
      </c>
      <c r="AY2">
        <f>BDH("CDLX US Equity","TURNOVER","1993-06-18","2026-05-02","Per=M","Days=T","Dir=V")</f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BDH("CDNA US Equity","BS_TOT_ASSET","1993-06-18","2026-05-02","Per=Y","Days=T","Dir=V")</f>
        <v>0</v>
      </c>
      <c r="C2">
        <f>BDH("CDNA US Equity","BS_TOT_LIAB2","1993-06-18","2026-05-02","Per=Y","Days=T","Dir=V")</f>
        <v>0</v>
      </c>
      <c r="E2">
        <f>BDH("CDNA US Equity","SHORT_AND_LONG_TERM_DEBT","1993-06-18","2026-05-02","Per=Y","Days=T","Dir=V")</f>
        <v>0</v>
      </c>
      <c r="G2">
        <f>BDH("CDNA US Equity","BS_ST_BORROW","1993-06-18","2026-05-02","Per=Y","Days=T","Dir=V")</f>
        <v>0</v>
      </c>
      <c r="I2">
        <f>BDH("CDNA US Equity","BS_LT_BORROW","1993-06-18","2026-05-02","Per=Y","Days=T","Dir=V")</f>
        <v>0</v>
      </c>
      <c r="K2">
        <f>BDH("CDNA US Equity","BS_CASH_NEAR_CASH_ITEM","1993-06-18","2026-05-02","Per=Y","Days=T","Dir=V")</f>
        <v>0</v>
      </c>
      <c r="M2">
        <f>BDH("CDNA US Equity","BS_CUR_ASSET_REPORT","1993-06-18","2026-05-02","Per=Y","Days=T","Dir=V")</f>
        <v>0</v>
      </c>
      <c r="O2">
        <f>BDH("CDNA US Equity","BS_CUR_LIAB","1993-06-18","2026-05-02","Per=Y","Days=T","Dir=V")</f>
        <v>0</v>
      </c>
      <c r="Q2">
        <f>BDH("CDNA US Equity","BS_SHAREHOLDER_EQY_ENDING_PERIOD","1993-06-18","2026-05-02","Per=Y","Days=T","Dir=V")</f>
        <v>0</v>
      </c>
      <c r="S2">
        <f>BDH("CDNA US Equity","BS_ACCT_NOTE_RCV","1993-06-18","2026-05-02","Per=Y","Days=T","Dir=V")</f>
        <v>0</v>
      </c>
      <c r="U2">
        <f>BDH("CDNA US Equity","BS_INVENTORIES","1993-06-18","2026-05-02","Per=Y","Days=T","Dir=V")</f>
        <v>0</v>
      </c>
      <c r="W2">
        <f>BDH("CDNA US Equity","WORKING_CAPITAL","1993-06-18","2026-05-02","Per=Y","Days=T","Dir=V")</f>
        <v>0</v>
      </c>
      <c r="Y2">
        <f>BDH("CDNA US Equity","SALES_REV_TURN","1993-06-18","2026-05-02","Per=Y","Days=T","Dir=V")</f>
        <v>0</v>
      </c>
      <c r="AA2">
        <f>BDH("CDNA US Equity","EBIT","1993-06-18","2026-05-02","Per=Y","Days=T","Dir=V")</f>
        <v>0</v>
      </c>
      <c r="AC2">
        <f>BDH("CDNA US Equity","EBITDA","1993-06-18","2026-05-02","Per=Y","Days=T","Dir=V")</f>
        <v>0</v>
      </c>
      <c r="AE2">
        <f>BDH("CDNA US Equity","NET_INCOME","1993-06-18","2026-05-02","Per=Y","Days=T","Dir=V")</f>
        <v>0</v>
      </c>
      <c r="AG2">
        <f>BDH("CDNA US Equity","IS_INT_EXPENSE","1993-06-18","2026-05-02","Per=Y","Days=T","Dir=V")</f>
        <v>0</v>
      </c>
      <c r="AI2">
        <f>BDH("CDNA US Equity","IS_DEPR_EXP","1993-06-18","2026-05-02","Per=Y","Days=T","Dir=V")</f>
        <v>0</v>
      </c>
      <c r="AK2">
        <f>BDH("CDNA US Equity","CF_CASH_FROM_OPER","1993-06-18","2026-05-02","Per=Y","Days=T","Dir=V")</f>
        <v>0</v>
      </c>
      <c r="AM2">
        <f>BDH("CDNA US Equity","CAPITAL_EXPEND","1993-06-18","2026-05-02","Per=Y","Days=T","Dir=V")</f>
        <v>0</v>
      </c>
      <c r="AO2">
        <f>BDH("CDNA US Equity","CF_FREE_CASH_FLOW","1993-06-18","2026-05-02","Per=Y","Days=T","Dir=V")</f>
        <v>0</v>
      </c>
      <c r="AQ2">
        <f>BDH("CDNA US Equity","PX_LAST","1993-06-18","2026-05-02","Per=M","Days=T","Dir=V")</f>
        <v>0</v>
      </c>
      <c r="AS2">
        <f>BDH("CDNA US Equity","CUR_MKT_CAP","1993-06-18","2026-05-02","Per=M","Days=T","Dir=V")</f>
        <v>0</v>
      </c>
      <c r="AU2">
        <f>BDH("CDNA US Equity","EQY_SH_OUT","1993-06-18","2026-05-02","Per=M","Days=T","Dir=V")</f>
        <v>0</v>
      </c>
      <c r="AW2">
        <f>BDH("CDNA US Equity","PX_VOLUME","1993-06-18","2026-05-02","Per=M","Days=T","Dir=V")</f>
        <v>0</v>
      </c>
      <c r="AY2">
        <f>BDH("CDNA US Equity","TURNOVER","1993-06-18","2026-05-02","Per=M","Days=T","Dir=V")</f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BDH("CDNL US Equity","BS_TOT_ASSET","1993-06-18","2026-05-02","Per=Y","Days=T","Dir=V")</f>
        <v>0</v>
      </c>
      <c r="C2">
        <f>BDH("CDNL US Equity","BS_TOT_LIAB2","1993-06-18","2026-05-02","Per=Y","Days=T","Dir=V")</f>
        <v>0</v>
      </c>
      <c r="E2">
        <f>BDH("CDNL US Equity","SHORT_AND_LONG_TERM_DEBT","1993-06-18","2026-05-02","Per=Y","Days=T","Dir=V")</f>
        <v>0</v>
      </c>
      <c r="G2">
        <f>BDH("CDNL US Equity","BS_ST_BORROW","1993-06-18","2026-05-02","Per=Y","Days=T","Dir=V")</f>
        <v>0</v>
      </c>
      <c r="I2">
        <f>BDH("CDNL US Equity","BS_LT_BORROW","1993-06-18","2026-05-02","Per=Y","Days=T","Dir=V")</f>
        <v>0</v>
      </c>
      <c r="K2">
        <f>BDH("CDNL US Equity","BS_CASH_NEAR_CASH_ITEM","1993-06-18","2026-05-02","Per=Y","Days=T","Dir=V")</f>
        <v>0</v>
      </c>
      <c r="M2">
        <f>BDH("CDNL US Equity","BS_CUR_ASSET_REPORT","1993-06-18","2026-05-02","Per=Y","Days=T","Dir=V")</f>
        <v>0</v>
      </c>
      <c r="O2">
        <f>BDH("CDNL US Equity","BS_CUR_LIAB","1993-06-18","2026-05-02","Per=Y","Days=T","Dir=V")</f>
        <v>0</v>
      </c>
      <c r="Q2">
        <f>BDH("CDNL US Equity","BS_SHAREHOLDER_EQY_ENDING_PERIOD","1993-06-18","2026-05-02","Per=Y","Days=T","Dir=V")</f>
        <v>0</v>
      </c>
      <c r="S2">
        <f>BDH("CDNL US Equity","BS_ACCT_NOTE_RCV","1993-06-18","2026-05-02","Per=Y","Days=T","Dir=V")</f>
        <v>0</v>
      </c>
      <c r="U2">
        <f>BDH("CDNL US Equity","BS_INVENTORIES","1993-06-18","2026-05-02","Per=Y","Days=T","Dir=V")</f>
        <v>0</v>
      </c>
      <c r="W2">
        <f>BDH("CDNL US Equity","WORKING_CAPITAL","1993-06-18","2026-05-02","Per=Y","Days=T","Dir=V")</f>
        <v>0</v>
      </c>
      <c r="Y2">
        <f>BDH("CDNL US Equity","SALES_REV_TURN","1993-06-18","2026-05-02","Per=Y","Days=T","Dir=V")</f>
        <v>0</v>
      </c>
      <c r="AA2">
        <f>BDH("CDNL US Equity","EBIT","1993-06-18","2026-05-02","Per=Y","Days=T","Dir=V")</f>
        <v>0</v>
      </c>
      <c r="AC2">
        <f>BDH("CDNL US Equity","EBITDA","1993-06-18","2026-05-02","Per=Y","Days=T","Dir=V")</f>
        <v>0</v>
      </c>
      <c r="AE2">
        <f>BDH("CDNL US Equity","NET_INCOME","1993-06-18","2026-05-02","Per=Y","Days=T","Dir=V")</f>
        <v>0</v>
      </c>
      <c r="AG2">
        <f>BDH("CDNL US Equity","IS_INT_EXPENSE","1993-06-18","2026-05-02","Per=Y","Days=T","Dir=V")</f>
        <v>0</v>
      </c>
      <c r="AI2">
        <f>BDH("CDNL US Equity","IS_DEPR_EXP","1993-06-18","2026-05-02","Per=Y","Days=T","Dir=V")</f>
        <v>0</v>
      </c>
      <c r="AK2">
        <f>BDH("CDNL US Equity","CF_CASH_FROM_OPER","1993-06-18","2026-05-02","Per=Y","Days=T","Dir=V")</f>
        <v>0</v>
      </c>
      <c r="AM2">
        <f>BDH("CDNL US Equity","CAPITAL_EXPEND","1993-06-18","2026-05-02","Per=Y","Days=T","Dir=V")</f>
        <v>0</v>
      </c>
      <c r="AO2">
        <f>BDH("CDNL US Equity","CF_FREE_CASH_FLOW","1993-06-18","2026-05-02","Per=Y","Days=T","Dir=V")</f>
        <v>0</v>
      </c>
      <c r="AQ2">
        <f>BDH("CDNL US Equity","PX_LAST","1993-06-18","2026-05-02","Per=M","Days=T","Dir=V")</f>
        <v>0</v>
      </c>
      <c r="AS2">
        <f>BDH("CDNL US Equity","CUR_MKT_CAP","1993-06-18","2026-05-02","Per=M","Days=T","Dir=V")</f>
        <v>0</v>
      </c>
      <c r="AU2">
        <f>BDH("CDNL US Equity","EQY_SH_OUT","1993-06-18","2026-05-02","Per=M","Days=T","Dir=V")</f>
        <v>0</v>
      </c>
      <c r="AW2">
        <f>BDH("CDNL US Equity","PX_VOLUME","1993-06-18","2026-05-02","Per=M","Days=T","Dir=V")</f>
        <v>0</v>
      </c>
      <c r="AY2">
        <f>BDH("CDNL US Equity","TURNOVER","1993-06-18","2026-05-02","Per=M","Days=T","Dir=V")</f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BDH("CDNS US Equity","BS_TOT_ASSET","1993-06-18","2026-05-02","Per=Y","Days=T","Dir=V")</f>
        <v>0</v>
      </c>
      <c r="C2">
        <f>BDH("CDNS US Equity","BS_TOT_LIAB2","1993-06-18","2026-05-02","Per=Y","Days=T","Dir=V")</f>
        <v>0</v>
      </c>
      <c r="E2">
        <f>BDH("CDNS US Equity","SHORT_AND_LONG_TERM_DEBT","1993-06-18","2026-05-02","Per=Y","Days=T","Dir=V")</f>
        <v>0</v>
      </c>
      <c r="G2">
        <f>BDH("CDNS US Equity","BS_ST_BORROW","1993-06-18","2026-05-02","Per=Y","Days=T","Dir=V")</f>
        <v>0</v>
      </c>
      <c r="I2">
        <f>BDH("CDNS US Equity","BS_LT_BORROW","1993-06-18","2026-05-02","Per=Y","Days=T","Dir=V")</f>
        <v>0</v>
      </c>
      <c r="K2">
        <f>BDH("CDNS US Equity","BS_CASH_NEAR_CASH_ITEM","1993-06-18","2026-05-02","Per=Y","Days=T","Dir=V")</f>
        <v>0</v>
      </c>
      <c r="M2">
        <f>BDH("CDNS US Equity","BS_CUR_ASSET_REPORT","1993-06-18","2026-05-02","Per=Y","Days=T","Dir=V")</f>
        <v>0</v>
      </c>
      <c r="O2">
        <f>BDH("CDNS US Equity","BS_CUR_LIAB","1993-06-18","2026-05-02","Per=Y","Days=T","Dir=V")</f>
        <v>0</v>
      </c>
      <c r="Q2">
        <f>BDH("CDNS US Equity","BS_SHAREHOLDER_EQY_ENDING_PERIOD","1993-06-18","2026-05-02","Per=Y","Days=T","Dir=V")</f>
        <v>0</v>
      </c>
      <c r="S2">
        <f>BDH("CDNS US Equity","BS_ACCT_NOTE_RCV","1993-06-18","2026-05-02","Per=Y","Days=T","Dir=V")</f>
        <v>0</v>
      </c>
      <c r="U2">
        <f>BDH("CDNS US Equity","BS_INVENTORIES","1993-06-18","2026-05-02","Per=Y","Days=T","Dir=V")</f>
        <v>0</v>
      </c>
      <c r="W2">
        <f>BDH("CDNS US Equity","WORKING_CAPITAL","1993-06-18","2026-05-02","Per=Y","Days=T","Dir=V")</f>
        <v>0</v>
      </c>
      <c r="Y2">
        <f>BDH("CDNS US Equity","SALES_REV_TURN","1993-06-18","2026-05-02","Per=Y","Days=T","Dir=V")</f>
        <v>0</v>
      </c>
      <c r="AA2">
        <f>BDH("CDNS US Equity","EBIT","1993-06-18","2026-05-02","Per=Y","Days=T","Dir=V")</f>
        <v>0</v>
      </c>
      <c r="AC2">
        <f>BDH("CDNS US Equity","EBITDA","1993-06-18","2026-05-02","Per=Y","Days=T","Dir=V")</f>
        <v>0</v>
      </c>
      <c r="AE2">
        <f>BDH("CDNS US Equity","NET_INCOME","1993-06-18","2026-05-02","Per=Y","Days=T","Dir=V")</f>
        <v>0</v>
      </c>
      <c r="AG2">
        <f>BDH("CDNS US Equity","IS_INT_EXPENSE","1993-06-18","2026-05-02","Per=Y","Days=T","Dir=V")</f>
        <v>0</v>
      </c>
      <c r="AI2">
        <f>BDH("CDNS US Equity","IS_DEPR_EXP","1993-06-18","2026-05-02","Per=Y","Days=T","Dir=V")</f>
        <v>0</v>
      </c>
      <c r="AK2">
        <f>BDH("CDNS US Equity","CF_CASH_FROM_OPER","1993-06-18","2026-05-02","Per=Y","Days=T","Dir=V")</f>
        <v>0</v>
      </c>
      <c r="AM2">
        <f>BDH("CDNS US Equity","CAPITAL_EXPEND","1993-06-18","2026-05-02","Per=Y","Days=T","Dir=V")</f>
        <v>0</v>
      </c>
      <c r="AO2">
        <f>BDH("CDNS US Equity","CF_FREE_CASH_FLOW","1993-06-18","2026-05-02","Per=Y","Days=T","Dir=V")</f>
        <v>0</v>
      </c>
      <c r="AQ2">
        <f>BDH("CDNS US Equity","PX_LAST","1993-06-18","2026-05-02","Per=M","Days=T","Dir=V")</f>
        <v>0</v>
      </c>
      <c r="AS2">
        <f>BDH("CDNS US Equity","CUR_MKT_CAP","1993-06-18","2026-05-02","Per=M","Days=T","Dir=V")</f>
        <v>0</v>
      </c>
      <c r="AU2">
        <f>BDH("CDNS US Equity","EQY_SH_OUT","1993-06-18","2026-05-02","Per=M","Days=T","Dir=V")</f>
        <v>0</v>
      </c>
      <c r="AW2">
        <f>BDH("CDNS US Equity","PX_VOLUME","1993-06-18","2026-05-02","Per=M","Days=T","Dir=V")</f>
        <v>0</v>
      </c>
      <c r="AY2">
        <f>BDH("CDNS US Equity","TURNOVER","1993-06-18","2026-05-02","Per=M","Days=T","Dir=V")</f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BDH("CDRE US Equity","BS_TOT_ASSET","1993-06-18","2026-05-02","Per=Y","Days=T","Dir=V")</f>
        <v>0</v>
      </c>
      <c r="C2">
        <f>BDH("CDRE US Equity","BS_TOT_LIAB2","1993-06-18","2026-05-02","Per=Y","Days=T","Dir=V")</f>
        <v>0</v>
      </c>
      <c r="E2">
        <f>BDH("CDRE US Equity","SHORT_AND_LONG_TERM_DEBT","1993-06-18","2026-05-02","Per=Y","Days=T","Dir=V")</f>
        <v>0</v>
      </c>
      <c r="G2">
        <f>BDH("CDRE US Equity","BS_ST_BORROW","1993-06-18","2026-05-02","Per=Y","Days=T","Dir=V")</f>
        <v>0</v>
      </c>
      <c r="I2">
        <f>BDH("CDRE US Equity","BS_LT_BORROW","1993-06-18","2026-05-02","Per=Y","Days=T","Dir=V")</f>
        <v>0</v>
      </c>
      <c r="K2">
        <f>BDH("CDRE US Equity","BS_CASH_NEAR_CASH_ITEM","1993-06-18","2026-05-02","Per=Y","Days=T","Dir=V")</f>
        <v>0</v>
      </c>
      <c r="M2">
        <f>BDH("CDRE US Equity","BS_CUR_ASSET_REPORT","1993-06-18","2026-05-02","Per=Y","Days=T","Dir=V")</f>
        <v>0</v>
      </c>
      <c r="O2">
        <f>BDH("CDRE US Equity","BS_CUR_LIAB","1993-06-18","2026-05-02","Per=Y","Days=T","Dir=V")</f>
        <v>0</v>
      </c>
      <c r="Q2">
        <f>BDH("CDRE US Equity","BS_SHAREHOLDER_EQY_ENDING_PERIOD","1993-06-18","2026-05-02","Per=Y","Days=T","Dir=V")</f>
        <v>0</v>
      </c>
      <c r="S2">
        <f>BDH("CDRE US Equity","BS_ACCT_NOTE_RCV","1993-06-18","2026-05-02","Per=Y","Days=T","Dir=V")</f>
        <v>0</v>
      </c>
      <c r="U2">
        <f>BDH("CDRE US Equity","BS_INVENTORIES","1993-06-18","2026-05-02","Per=Y","Days=T","Dir=V")</f>
        <v>0</v>
      </c>
      <c r="W2">
        <f>BDH("CDRE US Equity","WORKING_CAPITAL","1993-06-18","2026-05-02","Per=Y","Days=T","Dir=V")</f>
        <v>0</v>
      </c>
      <c r="Y2">
        <f>BDH("CDRE US Equity","SALES_REV_TURN","1993-06-18","2026-05-02","Per=Y","Days=T","Dir=V")</f>
        <v>0</v>
      </c>
      <c r="AA2">
        <f>BDH("CDRE US Equity","EBIT","1993-06-18","2026-05-02","Per=Y","Days=T","Dir=V")</f>
        <v>0</v>
      </c>
      <c r="AC2">
        <f>BDH("CDRE US Equity","EBITDA","1993-06-18","2026-05-02","Per=Y","Days=T","Dir=V")</f>
        <v>0</v>
      </c>
      <c r="AE2">
        <f>BDH("CDRE US Equity","NET_INCOME","1993-06-18","2026-05-02","Per=Y","Days=T","Dir=V")</f>
        <v>0</v>
      </c>
      <c r="AG2">
        <f>BDH("CDRE US Equity","IS_INT_EXPENSE","1993-06-18","2026-05-02","Per=Y","Days=T","Dir=V")</f>
        <v>0</v>
      </c>
      <c r="AI2">
        <f>BDH("CDRE US Equity","IS_DEPR_EXP","1993-06-18","2026-05-02","Per=Y","Days=T","Dir=V")</f>
        <v>0</v>
      </c>
      <c r="AK2">
        <f>BDH("CDRE US Equity","CF_CASH_FROM_OPER","1993-06-18","2026-05-02","Per=Y","Days=T","Dir=V")</f>
        <v>0</v>
      </c>
      <c r="AM2">
        <f>BDH("CDRE US Equity","CAPITAL_EXPEND","1993-06-18","2026-05-02","Per=Y","Days=T","Dir=V")</f>
        <v>0</v>
      </c>
      <c r="AO2">
        <f>BDH("CDRE US Equity","CF_FREE_CASH_FLOW","1993-06-18","2026-05-02","Per=Y","Days=T","Dir=V")</f>
        <v>0</v>
      </c>
      <c r="AQ2">
        <f>BDH("CDRE US Equity","PX_LAST","1993-06-18","2026-05-02","Per=M","Days=T","Dir=V")</f>
        <v>0</v>
      </c>
      <c r="AS2">
        <f>BDH("CDRE US Equity","CUR_MKT_CAP","1993-06-18","2026-05-02","Per=M","Days=T","Dir=V")</f>
        <v>0</v>
      </c>
      <c r="AU2">
        <f>BDH("CDRE US Equity","EQY_SH_OUT","1993-06-18","2026-05-02","Per=M","Days=T","Dir=V")</f>
        <v>0</v>
      </c>
      <c r="AW2">
        <f>BDH("CDRE US Equity","PX_VOLUME","1993-06-18","2026-05-02","Per=M","Days=T","Dir=V")</f>
        <v>0</v>
      </c>
      <c r="AY2">
        <f>BDH("CDRE US Equity","TURNOVER","1993-06-18","2026-05-02","Per=M","Days=T","Dir=V")</f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BDH("CDT US Equity","BS_TOT_ASSET","1993-06-18","2026-05-02","Per=Y","Days=T","Dir=V")</f>
        <v>0</v>
      </c>
      <c r="C2">
        <f>BDH("CDT US Equity","BS_TOT_LIAB2","1993-06-18","2026-05-02","Per=Y","Days=T","Dir=V")</f>
        <v>0</v>
      </c>
      <c r="E2">
        <f>BDH("CDT US Equity","SHORT_AND_LONG_TERM_DEBT","1993-06-18","2026-05-02","Per=Y","Days=T","Dir=V")</f>
        <v>0</v>
      </c>
      <c r="G2">
        <f>BDH("CDT US Equity","BS_ST_BORROW","1993-06-18","2026-05-02","Per=Y","Days=T","Dir=V")</f>
        <v>0</v>
      </c>
      <c r="I2">
        <f>BDH("CDT US Equity","BS_LT_BORROW","1993-06-18","2026-05-02","Per=Y","Days=T","Dir=V")</f>
        <v>0</v>
      </c>
      <c r="K2">
        <f>BDH("CDT US Equity","BS_CASH_NEAR_CASH_ITEM","1993-06-18","2026-05-02","Per=Y","Days=T","Dir=V")</f>
        <v>0</v>
      </c>
      <c r="M2">
        <f>BDH("CDT US Equity","BS_CUR_ASSET_REPORT","1993-06-18","2026-05-02","Per=Y","Days=T","Dir=V")</f>
        <v>0</v>
      </c>
      <c r="O2">
        <f>BDH("CDT US Equity","BS_CUR_LIAB","1993-06-18","2026-05-02","Per=Y","Days=T","Dir=V")</f>
        <v>0</v>
      </c>
      <c r="Q2">
        <f>BDH("CDT US Equity","BS_SHAREHOLDER_EQY_ENDING_PERIOD","1993-06-18","2026-05-02","Per=Y","Days=T","Dir=V")</f>
        <v>0</v>
      </c>
      <c r="S2">
        <f>BDH("CDT US Equity","BS_ACCT_NOTE_RCV","1993-06-18","2026-05-02","Per=Y","Days=T","Dir=V")</f>
        <v>0</v>
      </c>
      <c r="U2">
        <f>BDH("CDT US Equity","BS_INVENTORIES","1993-06-18","2026-05-02","Per=Y","Days=T","Dir=V")</f>
        <v>0</v>
      </c>
      <c r="W2">
        <f>BDH("CDT US Equity","WORKING_CAPITAL","1993-06-18","2026-05-02","Per=Y","Days=T","Dir=V")</f>
        <v>0</v>
      </c>
      <c r="Y2">
        <f>BDH("CDT US Equity","SALES_REV_TURN","1993-06-18","2026-05-02","Per=Y","Days=T","Dir=V")</f>
        <v>0</v>
      </c>
      <c r="AA2">
        <f>BDH("CDT US Equity","EBIT","1993-06-18","2026-05-02","Per=Y","Days=T","Dir=V")</f>
        <v>0</v>
      </c>
      <c r="AC2">
        <f>BDH("CDT US Equity","EBITDA","1993-06-18","2026-05-02","Per=Y","Days=T","Dir=V")</f>
        <v>0</v>
      </c>
      <c r="AE2">
        <f>BDH("CDT US Equity","NET_INCOME","1993-06-18","2026-05-02","Per=Y","Days=T","Dir=V")</f>
        <v>0</v>
      </c>
      <c r="AG2">
        <f>BDH("CDT US Equity","IS_INT_EXPENSE","1993-06-18","2026-05-02","Per=Y","Days=T","Dir=V")</f>
        <v>0</v>
      </c>
      <c r="AI2">
        <f>BDH("CDT US Equity","IS_DEPR_EXP","1993-06-18","2026-05-02","Per=Y","Days=T","Dir=V")</f>
        <v>0</v>
      </c>
      <c r="AK2">
        <f>BDH("CDT US Equity","CF_CASH_FROM_OPER","1993-06-18","2026-05-02","Per=Y","Days=T","Dir=V")</f>
        <v>0</v>
      </c>
      <c r="AM2">
        <f>BDH("CDT US Equity","CAPITAL_EXPEND","1993-06-18","2026-05-02","Per=Y","Days=T","Dir=V")</f>
        <v>0</v>
      </c>
      <c r="AO2">
        <f>BDH("CDT US Equity","CF_FREE_CASH_FLOW","1993-06-18","2026-05-02","Per=Y","Days=T","Dir=V")</f>
        <v>0</v>
      </c>
      <c r="AQ2">
        <f>BDH("CDT US Equity","PX_LAST","1993-06-18","2026-05-02","Per=M","Days=T","Dir=V")</f>
        <v>0</v>
      </c>
      <c r="AS2">
        <f>BDH("CDT US Equity","CUR_MKT_CAP","1993-06-18","2026-05-02","Per=M","Days=T","Dir=V")</f>
        <v>0</v>
      </c>
      <c r="AU2">
        <f>BDH("CDT US Equity","EQY_SH_OUT","1993-06-18","2026-05-02","Per=M","Days=T","Dir=V")</f>
        <v>0</v>
      </c>
      <c r="AW2">
        <f>BDH("CDT US Equity","PX_VOLUME","1993-06-18","2026-05-02","Per=M","Days=T","Dir=V")</f>
        <v>0</v>
      </c>
      <c r="AY2">
        <f>BDH("CDT US Equity","TURNOVER","1993-06-18","2026-05-02","Per=M","Days=T","Dir=V")</f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BDH("CDTTW US Equity","BS_TOT_ASSET","1993-06-18","2026-05-02","Per=Y","Days=T","Dir=V")</f>
        <v>0</v>
      </c>
      <c r="C2">
        <f>BDH("CDTTW US Equity","BS_TOT_LIAB2","1993-06-18","2026-05-02","Per=Y","Days=T","Dir=V")</f>
        <v>0</v>
      </c>
      <c r="E2">
        <f>BDH("CDTTW US Equity","SHORT_AND_LONG_TERM_DEBT","1993-06-18","2026-05-02","Per=Y","Days=T","Dir=V")</f>
        <v>0</v>
      </c>
      <c r="G2">
        <f>BDH("CDTTW US Equity","BS_ST_BORROW","1993-06-18","2026-05-02","Per=Y","Days=T","Dir=V")</f>
        <v>0</v>
      </c>
      <c r="I2">
        <f>BDH("CDTTW US Equity","BS_LT_BORROW","1993-06-18","2026-05-02","Per=Y","Days=T","Dir=V")</f>
        <v>0</v>
      </c>
      <c r="K2">
        <f>BDH("CDTTW US Equity","BS_CASH_NEAR_CASH_ITEM","1993-06-18","2026-05-02","Per=Y","Days=T","Dir=V")</f>
        <v>0</v>
      </c>
      <c r="M2">
        <f>BDH("CDTTW US Equity","BS_CUR_ASSET_REPORT","1993-06-18","2026-05-02","Per=Y","Days=T","Dir=V")</f>
        <v>0</v>
      </c>
      <c r="O2">
        <f>BDH("CDTTW US Equity","BS_CUR_LIAB","1993-06-18","2026-05-02","Per=Y","Days=T","Dir=V")</f>
        <v>0</v>
      </c>
      <c r="Q2">
        <f>BDH("CDTTW US Equity","BS_SHAREHOLDER_EQY_ENDING_PERIOD","1993-06-18","2026-05-02","Per=Y","Days=T","Dir=V")</f>
        <v>0</v>
      </c>
      <c r="S2">
        <f>BDH("CDTTW US Equity","BS_ACCT_NOTE_RCV","1993-06-18","2026-05-02","Per=Y","Days=T","Dir=V")</f>
        <v>0</v>
      </c>
      <c r="U2">
        <f>BDH("CDTTW US Equity","BS_INVENTORIES","1993-06-18","2026-05-02","Per=Y","Days=T","Dir=V")</f>
        <v>0</v>
      </c>
      <c r="W2">
        <f>BDH("CDTTW US Equity","WORKING_CAPITAL","1993-06-18","2026-05-02","Per=Y","Days=T","Dir=V")</f>
        <v>0</v>
      </c>
      <c r="Y2">
        <f>BDH("CDTTW US Equity","SALES_REV_TURN","1993-06-18","2026-05-02","Per=Y","Days=T","Dir=V")</f>
        <v>0</v>
      </c>
      <c r="AA2">
        <f>BDH("CDTTW US Equity","EBIT","1993-06-18","2026-05-02","Per=Y","Days=T","Dir=V")</f>
        <v>0</v>
      </c>
      <c r="AC2">
        <f>BDH("CDTTW US Equity","EBITDA","1993-06-18","2026-05-02","Per=Y","Days=T","Dir=V")</f>
        <v>0</v>
      </c>
      <c r="AE2">
        <f>BDH("CDTTW US Equity","NET_INCOME","1993-06-18","2026-05-02","Per=Y","Days=T","Dir=V")</f>
        <v>0</v>
      </c>
      <c r="AG2">
        <f>BDH("CDTTW US Equity","IS_INT_EXPENSE","1993-06-18","2026-05-02","Per=Y","Days=T","Dir=V")</f>
        <v>0</v>
      </c>
      <c r="AI2">
        <f>BDH("CDTTW US Equity","IS_DEPR_EXP","1993-06-18","2026-05-02","Per=Y","Days=T","Dir=V")</f>
        <v>0</v>
      </c>
      <c r="AK2">
        <f>BDH("CDTTW US Equity","CF_CASH_FROM_OPER","1993-06-18","2026-05-02","Per=Y","Days=T","Dir=V")</f>
        <v>0</v>
      </c>
      <c r="AM2">
        <f>BDH("CDTTW US Equity","CAPITAL_EXPEND","1993-06-18","2026-05-02","Per=Y","Days=T","Dir=V")</f>
        <v>0</v>
      </c>
      <c r="AO2">
        <f>BDH("CDTTW US Equity","CF_FREE_CASH_FLOW","1993-06-18","2026-05-02","Per=Y","Days=T","Dir=V")</f>
        <v>0</v>
      </c>
      <c r="AQ2">
        <f>BDH("CDTTW US Equity","PX_LAST","1993-06-18","2026-05-02","Per=M","Days=T","Dir=V")</f>
        <v>0</v>
      </c>
      <c r="AS2">
        <f>BDH("CDTTW US Equity","CUR_MKT_CAP","1993-06-18","2026-05-02","Per=M","Days=T","Dir=V")</f>
        <v>0</v>
      </c>
      <c r="AU2">
        <f>BDH("CDTTW US Equity","EQY_SH_OUT","1993-06-18","2026-05-02","Per=M","Days=T","Dir=V")</f>
        <v>0</v>
      </c>
      <c r="AW2">
        <f>BDH("CDTTW US Equity","PX_VOLUME","1993-06-18","2026-05-02","Per=M","Days=T","Dir=V")</f>
        <v>0</v>
      </c>
      <c r="AY2">
        <f>BDH("CDTTW US Equity","TURNOVER","1993-06-18","2026-05-02","Per=M","Days=T","Dir=V")</f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BDH("CDW US Equity","BS_TOT_ASSET","1993-06-18","2026-05-02","Per=Y","Days=T","Dir=V")</f>
        <v>0</v>
      </c>
      <c r="C2">
        <f>BDH("CDW US Equity","BS_TOT_LIAB2","1993-06-18","2026-05-02","Per=Y","Days=T","Dir=V")</f>
        <v>0</v>
      </c>
      <c r="E2">
        <f>BDH("CDW US Equity","SHORT_AND_LONG_TERM_DEBT","1993-06-18","2026-05-02","Per=Y","Days=T","Dir=V")</f>
        <v>0</v>
      </c>
      <c r="G2">
        <f>BDH("CDW US Equity","BS_ST_BORROW","1993-06-18","2026-05-02","Per=Y","Days=T","Dir=V")</f>
        <v>0</v>
      </c>
      <c r="I2">
        <f>BDH("CDW US Equity","BS_LT_BORROW","1993-06-18","2026-05-02","Per=Y","Days=T","Dir=V")</f>
        <v>0</v>
      </c>
      <c r="K2">
        <f>BDH("CDW US Equity","BS_CASH_NEAR_CASH_ITEM","1993-06-18","2026-05-02","Per=Y","Days=T","Dir=V")</f>
        <v>0</v>
      </c>
      <c r="M2">
        <f>BDH("CDW US Equity","BS_CUR_ASSET_REPORT","1993-06-18","2026-05-02","Per=Y","Days=T","Dir=V")</f>
        <v>0</v>
      </c>
      <c r="O2">
        <f>BDH("CDW US Equity","BS_CUR_LIAB","1993-06-18","2026-05-02","Per=Y","Days=T","Dir=V")</f>
        <v>0</v>
      </c>
      <c r="Q2">
        <f>BDH("CDW US Equity","BS_SHAREHOLDER_EQY_ENDING_PERIOD","1993-06-18","2026-05-02","Per=Y","Days=T","Dir=V")</f>
        <v>0</v>
      </c>
      <c r="S2">
        <f>BDH("CDW US Equity","BS_ACCT_NOTE_RCV","1993-06-18","2026-05-02","Per=Y","Days=T","Dir=V")</f>
        <v>0</v>
      </c>
      <c r="U2">
        <f>BDH("CDW US Equity","BS_INVENTORIES","1993-06-18","2026-05-02","Per=Y","Days=T","Dir=V")</f>
        <v>0</v>
      </c>
      <c r="W2">
        <f>BDH("CDW US Equity","WORKING_CAPITAL","1993-06-18","2026-05-02","Per=Y","Days=T","Dir=V")</f>
        <v>0</v>
      </c>
      <c r="Y2">
        <f>BDH("CDW US Equity","SALES_REV_TURN","1993-06-18","2026-05-02","Per=Y","Days=T","Dir=V")</f>
        <v>0</v>
      </c>
      <c r="AA2">
        <f>BDH("CDW US Equity","EBIT","1993-06-18","2026-05-02","Per=Y","Days=T","Dir=V")</f>
        <v>0</v>
      </c>
      <c r="AC2">
        <f>BDH("CDW US Equity","EBITDA","1993-06-18","2026-05-02","Per=Y","Days=T","Dir=V")</f>
        <v>0</v>
      </c>
      <c r="AE2">
        <f>BDH("CDW US Equity","NET_INCOME","1993-06-18","2026-05-02","Per=Y","Days=T","Dir=V")</f>
        <v>0</v>
      </c>
      <c r="AG2">
        <f>BDH("CDW US Equity","IS_INT_EXPENSE","1993-06-18","2026-05-02","Per=Y","Days=T","Dir=V")</f>
        <v>0</v>
      </c>
      <c r="AI2">
        <f>BDH("CDW US Equity","IS_DEPR_EXP","1993-06-18","2026-05-02","Per=Y","Days=T","Dir=V")</f>
        <v>0</v>
      </c>
      <c r="AK2">
        <f>BDH("CDW US Equity","CF_CASH_FROM_OPER","1993-06-18","2026-05-02","Per=Y","Days=T","Dir=V")</f>
        <v>0</v>
      </c>
      <c r="AM2">
        <f>BDH("CDW US Equity","CAPITAL_EXPEND","1993-06-18","2026-05-02","Per=Y","Days=T","Dir=V")</f>
        <v>0</v>
      </c>
      <c r="AO2">
        <f>BDH("CDW US Equity","CF_FREE_CASH_FLOW","1993-06-18","2026-05-02","Per=Y","Days=T","Dir=V")</f>
        <v>0</v>
      </c>
      <c r="AQ2">
        <f>BDH("CDW US Equity","PX_LAST","1993-06-18","2026-05-02","Per=M","Days=T","Dir=V")</f>
        <v>0</v>
      </c>
      <c r="AS2">
        <f>BDH("CDW US Equity","CUR_MKT_CAP","1993-06-18","2026-05-02","Per=M","Days=T","Dir=V")</f>
        <v>0</v>
      </c>
      <c r="AU2">
        <f>BDH("CDW US Equity","EQY_SH_OUT","1993-06-18","2026-05-02","Per=M","Days=T","Dir=V")</f>
        <v>0</v>
      </c>
      <c r="AW2">
        <f>BDH("CDW US Equity","PX_VOLUME","1993-06-18","2026-05-02","Per=M","Days=T","Dir=V")</f>
        <v>0</v>
      </c>
      <c r="AY2">
        <f>BDH("CDW US Equity","TURNOVER","1993-06-18","2026-05-02","Per=M","Days=T","Dir=V")</f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BDH("CDXS US Equity","BS_TOT_ASSET","1993-06-18","2026-05-02","Per=Y","Days=T","Dir=V")</f>
        <v>0</v>
      </c>
      <c r="C2">
        <f>BDH("CDXS US Equity","BS_TOT_LIAB2","1993-06-18","2026-05-02","Per=Y","Days=T","Dir=V")</f>
        <v>0</v>
      </c>
      <c r="E2">
        <f>BDH("CDXS US Equity","SHORT_AND_LONG_TERM_DEBT","1993-06-18","2026-05-02","Per=Y","Days=T","Dir=V")</f>
        <v>0</v>
      </c>
      <c r="G2">
        <f>BDH("CDXS US Equity","BS_ST_BORROW","1993-06-18","2026-05-02","Per=Y","Days=T","Dir=V")</f>
        <v>0</v>
      </c>
      <c r="I2">
        <f>BDH("CDXS US Equity","BS_LT_BORROW","1993-06-18","2026-05-02","Per=Y","Days=T","Dir=V")</f>
        <v>0</v>
      </c>
      <c r="K2">
        <f>BDH("CDXS US Equity","BS_CASH_NEAR_CASH_ITEM","1993-06-18","2026-05-02","Per=Y","Days=T","Dir=V")</f>
        <v>0</v>
      </c>
      <c r="M2">
        <f>BDH("CDXS US Equity","BS_CUR_ASSET_REPORT","1993-06-18","2026-05-02","Per=Y","Days=T","Dir=V")</f>
        <v>0</v>
      </c>
      <c r="O2">
        <f>BDH("CDXS US Equity","BS_CUR_LIAB","1993-06-18","2026-05-02","Per=Y","Days=T","Dir=V")</f>
        <v>0</v>
      </c>
      <c r="Q2">
        <f>BDH("CDXS US Equity","BS_SHAREHOLDER_EQY_ENDING_PERIOD","1993-06-18","2026-05-02","Per=Y","Days=T","Dir=V")</f>
        <v>0</v>
      </c>
      <c r="S2">
        <f>BDH("CDXS US Equity","BS_ACCT_NOTE_RCV","1993-06-18","2026-05-02","Per=Y","Days=T","Dir=V")</f>
        <v>0</v>
      </c>
      <c r="U2">
        <f>BDH("CDXS US Equity","BS_INVENTORIES","1993-06-18","2026-05-02","Per=Y","Days=T","Dir=V")</f>
        <v>0</v>
      </c>
      <c r="W2">
        <f>BDH("CDXS US Equity","WORKING_CAPITAL","1993-06-18","2026-05-02","Per=Y","Days=T","Dir=V")</f>
        <v>0</v>
      </c>
      <c r="Y2">
        <f>BDH("CDXS US Equity","SALES_REV_TURN","1993-06-18","2026-05-02","Per=Y","Days=T","Dir=V")</f>
        <v>0</v>
      </c>
      <c r="AA2">
        <f>BDH("CDXS US Equity","EBIT","1993-06-18","2026-05-02","Per=Y","Days=T","Dir=V")</f>
        <v>0</v>
      </c>
      <c r="AC2">
        <f>BDH("CDXS US Equity","EBITDA","1993-06-18","2026-05-02","Per=Y","Days=T","Dir=V")</f>
        <v>0</v>
      </c>
      <c r="AE2">
        <f>BDH("CDXS US Equity","NET_INCOME","1993-06-18","2026-05-02","Per=Y","Days=T","Dir=V")</f>
        <v>0</v>
      </c>
      <c r="AG2">
        <f>BDH("CDXS US Equity","IS_INT_EXPENSE","1993-06-18","2026-05-02","Per=Y","Days=T","Dir=V")</f>
        <v>0</v>
      </c>
      <c r="AI2">
        <f>BDH("CDXS US Equity","IS_DEPR_EXP","1993-06-18","2026-05-02","Per=Y","Days=T","Dir=V")</f>
        <v>0</v>
      </c>
      <c r="AK2">
        <f>BDH("CDXS US Equity","CF_CASH_FROM_OPER","1993-06-18","2026-05-02","Per=Y","Days=T","Dir=V")</f>
        <v>0</v>
      </c>
      <c r="AM2">
        <f>BDH("CDXS US Equity","CAPITAL_EXPEND","1993-06-18","2026-05-02","Per=Y","Days=T","Dir=V")</f>
        <v>0</v>
      </c>
      <c r="AO2">
        <f>BDH("CDXS US Equity","CF_FREE_CASH_FLOW","1993-06-18","2026-05-02","Per=Y","Days=T","Dir=V")</f>
        <v>0</v>
      </c>
      <c r="AQ2">
        <f>BDH("CDXS US Equity","PX_LAST","1993-06-18","2026-05-02","Per=M","Days=T","Dir=V")</f>
        <v>0</v>
      </c>
      <c r="AS2">
        <f>BDH("CDXS US Equity","CUR_MKT_CAP","1993-06-18","2026-05-02","Per=M","Days=T","Dir=V")</f>
        <v>0</v>
      </c>
      <c r="AU2">
        <f>BDH("CDXS US Equity","EQY_SH_OUT","1993-06-18","2026-05-02","Per=M","Days=T","Dir=V")</f>
        <v>0</v>
      </c>
      <c r="AW2">
        <f>BDH("CDXS US Equity","PX_VOLUME","1993-06-18","2026-05-02","Per=M","Days=T","Dir=V")</f>
        <v>0</v>
      </c>
      <c r="AY2">
        <f>BDH("CDXS US Equity","TURNOVER","1993-06-18","2026-05-02","Per=M","Days=T","Dir=V")</f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BDH("CDZI US Equity","BS_TOT_ASSET","1993-06-18","2026-05-02","Per=Y","Days=T","Dir=V")</f>
        <v>0</v>
      </c>
      <c r="C2">
        <f>BDH("CDZI US Equity","BS_TOT_LIAB2","1993-06-18","2026-05-02","Per=Y","Days=T","Dir=V")</f>
        <v>0</v>
      </c>
      <c r="E2">
        <f>BDH("CDZI US Equity","SHORT_AND_LONG_TERM_DEBT","1993-06-18","2026-05-02","Per=Y","Days=T","Dir=V")</f>
        <v>0</v>
      </c>
      <c r="G2">
        <f>BDH("CDZI US Equity","BS_ST_BORROW","1993-06-18","2026-05-02","Per=Y","Days=T","Dir=V")</f>
        <v>0</v>
      </c>
      <c r="I2">
        <f>BDH("CDZI US Equity","BS_LT_BORROW","1993-06-18","2026-05-02","Per=Y","Days=T","Dir=V")</f>
        <v>0</v>
      </c>
      <c r="K2">
        <f>BDH("CDZI US Equity","BS_CASH_NEAR_CASH_ITEM","1993-06-18","2026-05-02","Per=Y","Days=T","Dir=V")</f>
        <v>0</v>
      </c>
      <c r="M2">
        <f>BDH("CDZI US Equity","BS_CUR_ASSET_REPORT","1993-06-18","2026-05-02","Per=Y","Days=T","Dir=V")</f>
        <v>0</v>
      </c>
      <c r="O2">
        <f>BDH("CDZI US Equity","BS_CUR_LIAB","1993-06-18","2026-05-02","Per=Y","Days=T","Dir=V")</f>
        <v>0</v>
      </c>
      <c r="Q2">
        <f>BDH("CDZI US Equity","BS_SHAREHOLDER_EQY_ENDING_PERIOD","1993-06-18","2026-05-02","Per=Y","Days=T","Dir=V")</f>
        <v>0</v>
      </c>
      <c r="S2">
        <f>BDH("CDZI US Equity","BS_ACCT_NOTE_RCV","1993-06-18","2026-05-02","Per=Y","Days=T","Dir=V")</f>
        <v>0</v>
      </c>
      <c r="U2">
        <f>BDH("CDZI US Equity","BS_INVENTORIES","1993-06-18","2026-05-02","Per=Y","Days=T","Dir=V")</f>
        <v>0</v>
      </c>
      <c r="W2">
        <f>BDH("CDZI US Equity","WORKING_CAPITAL","1993-06-18","2026-05-02","Per=Y","Days=T","Dir=V")</f>
        <v>0</v>
      </c>
      <c r="Y2">
        <f>BDH("CDZI US Equity","SALES_REV_TURN","1993-06-18","2026-05-02","Per=Y","Days=T","Dir=V")</f>
        <v>0</v>
      </c>
      <c r="AA2">
        <f>BDH("CDZI US Equity","EBIT","1993-06-18","2026-05-02","Per=Y","Days=T","Dir=V")</f>
        <v>0</v>
      </c>
      <c r="AC2">
        <f>BDH("CDZI US Equity","EBITDA","1993-06-18","2026-05-02","Per=Y","Days=T","Dir=V")</f>
        <v>0</v>
      </c>
      <c r="AE2">
        <f>BDH("CDZI US Equity","NET_INCOME","1993-06-18","2026-05-02","Per=Y","Days=T","Dir=V")</f>
        <v>0</v>
      </c>
      <c r="AG2">
        <f>BDH("CDZI US Equity","IS_INT_EXPENSE","1993-06-18","2026-05-02","Per=Y","Days=T","Dir=V")</f>
        <v>0</v>
      </c>
      <c r="AI2">
        <f>BDH("CDZI US Equity","IS_DEPR_EXP","1993-06-18","2026-05-02","Per=Y","Days=T","Dir=V")</f>
        <v>0</v>
      </c>
      <c r="AK2">
        <f>BDH("CDZI US Equity","CF_CASH_FROM_OPER","1993-06-18","2026-05-02","Per=Y","Days=T","Dir=V")</f>
        <v>0</v>
      </c>
      <c r="AM2">
        <f>BDH("CDZI US Equity","CAPITAL_EXPEND","1993-06-18","2026-05-02","Per=Y","Days=T","Dir=V")</f>
        <v>0</v>
      </c>
      <c r="AO2">
        <f>BDH("CDZI US Equity","CF_FREE_CASH_FLOW","1993-06-18","2026-05-02","Per=Y","Days=T","Dir=V")</f>
        <v>0</v>
      </c>
      <c r="AQ2">
        <f>BDH("CDZI US Equity","PX_LAST","1993-06-18","2026-05-02","Per=M","Days=T","Dir=V")</f>
        <v>0</v>
      </c>
      <c r="AS2">
        <f>BDH("CDZI US Equity","CUR_MKT_CAP","1993-06-18","2026-05-02","Per=M","Days=T","Dir=V")</f>
        <v>0</v>
      </c>
      <c r="AU2">
        <f>BDH("CDZI US Equity","EQY_SH_OUT","1993-06-18","2026-05-02","Per=M","Days=T","Dir=V")</f>
        <v>0</v>
      </c>
      <c r="AW2">
        <f>BDH("CDZI US Equity","PX_VOLUME","1993-06-18","2026-05-02","Per=M","Days=T","Dir=V")</f>
        <v>0</v>
      </c>
      <c r="AY2">
        <f>BDH("CDZI US Equity","TURNOVER","1993-06-18","2026-05-02","Per=M","Days=T","Dir=V")</f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BDH("CDZIP US Equity","BS_TOT_ASSET","1993-06-18","2026-05-02","Per=Y","Days=T","Dir=V")</f>
        <v>0</v>
      </c>
      <c r="C2">
        <f>BDH("CDZIP US Equity","BS_TOT_LIAB2","1993-06-18","2026-05-02","Per=Y","Days=T","Dir=V")</f>
        <v>0</v>
      </c>
      <c r="E2">
        <f>BDH("CDZIP US Equity","SHORT_AND_LONG_TERM_DEBT","1993-06-18","2026-05-02","Per=Y","Days=T","Dir=V")</f>
        <v>0</v>
      </c>
      <c r="G2">
        <f>BDH("CDZIP US Equity","BS_ST_BORROW","1993-06-18","2026-05-02","Per=Y","Days=T","Dir=V")</f>
        <v>0</v>
      </c>
      <c r="I2">
        <f>BDH("CDZIP US Equity","BS_LT_BORROW","1993-06-18","2026-05-02","Per=Y","Days=T","Dir=V")</f>
        <v>0</v>
      </c>
      <c r="K2">
        <f>BDH("CDZIP US Equity","BS_CASH_NEAR_CASH_ITEM","1993-06-18","2026-05-02","Per=Y","Days=T","Dir=V")</f>
        <v>0</v>
      </c>
      <c r="M2">
        <f>BDH("CDZIP US Equity","BS_CUR_ASSET_REPORT","1993-06-18","2026-05-02","Per=Y","Days=T","Dir=V")</f>
        <v>0</v>
      </c>
      <c r="O2">
        <f>BDH("CDZIP US Equity","BS_CUR_LIAB","1993-06-18","2026-05-02","Per=Y","Days=T","Dir=V")</f>
        <v>0</v>
      </c>
      <c r="Q2">
        <f>BDH("CDZIP US Equity","BS_SHAREHOLDER_EQY_ENDING_PERIOD","1993-06-18","2026-05-02","Per=Y","Days=T","Dir=V")</f>
        <v>0</v>
      </c>
      <c r="S2">
        <f>BDH("CDZIP US Equity","BS_ACCT_NOTE_RCV","1993-06-18","2026-05-02","Per=Y","Days=T","Dir=V")</f>
        <v>0</v>
      </c>
      <c r="U2">
        <f>BDH("CDZIP US Equity","BS_INVENTORIES","1993-06-18","2026-05-02","Per=Y","Days=T","Dir=V")</f>
        <v>0</v>
      </c>
      <c r="W2">
        <f>BDH("CDZIP US Equity","WORKING_CAPITAL","1993-06-18","2026-05-02","Per=Y","Days=T","Dir=V")</f>
        <v>0</v>
      </c>
      <c r="Y2">
        <f>BDH("CDZIP US Equity","SALES_REV_TURN","1993-06-18","2026-05-02","Per=Y","Days=T","Dir=V")</f>
        <v>0</v>
      </c>
      <c r="AA2">
        <f>BDH("CDZIP US Equity","EBIT","1993-06-18","2026-05-02","Per=Y","Days=T","Dir=V")</f>
        <v>0</v>
      </c>
      <c r="AC2">
        <f>BDH("CDZIP US Equity","EBITDA","1993-06-18","2026-05-02","Per=Y","Days=T","Dir=V")</f>
        <v>0</v>
      </c>
      <c r="AE2">
        <f>BDH("CDZIP US Equity","NET_INCOME","1993-06-18","2026-05-02","Per=Y","Days=T","Dir=V")</f>
        <v>0</v>
      </c>
      <c r="AG2">
        <f>BDH("CDZIP US Equity","IS_INT_EXPENSE","1993-06-18","2026-05-02","Per=Y","Days=T","Dir=V")</f>
        <v>0</v>
      </c>
      <c r="AI2">
        <f>BDH("CDZIP US Equity","IS_DEPR_EXP","1993-06-18","2026-05-02","Per=Y","Days=T","Dir=V")</f>
        <v>0</v>
      </c>
      <c r="AK2">
        <f>BDH("CDZIP US Equity","CF_CASH_FROM_OPER","1993-06-18","2026-05-02","Per=Y","Days=T","Dir=V")</f>
        <v>0</v>
      </c>
      <c r="AM2">
        <f>BDH("CDZIP US Equity","CAPITAL_EXPEND","1993-06-18","2026-05-02","Per=Y","Days=T","Dir=V")</f>
        <v>0</v>
      </c>
      <c r="AO2">
        <f>BDH("CDZIP US Equity","CF_FREE_CASH_FLOW","1993-06-18","2026-05-02","Per=Y","Days=T","Dir=V")</f>
        <v>0</v>
      </c>
      <c r="AQ2">
        <f>BDH("CDZIP US Equity","PX_LAST","1993-06-18","2026-05-02","Per=M","Days=T","Dir=V")</f>
        <v>0</v>
      </c>
      <c r="AS2">
        <f>BDH("CDZIP US Equity","CUR_MKT_CAP","1993-06-18","2026-05-02","Per=M","Days=T","Dir=V")</f>
        <v>0</v>
      </c>
      <c r="AU2">
        <f>BDH("CDZIP US Equity","EQY_SH_OUT","1993-06-18","2026-05-02","Per=M","Days=T","Dir=V")</f>
        <v>0</v>
      </c>
      <c r="AW2">
        <f>BDH("CDZIP US Equity","PX_VOLUME","1993-06-18","2026-05-02","Per=M","Days=T","Dir=V")</f>
        <v>0</v>
      </c>
      <c r="AY2">
        <f>BDH("CDZIP US Equity","TURNOVER","1993-06-18","2026-05-02","Per=M","Days=T","Dir=V")</f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BDH("CE US Equity","BS_TOT_ASSET","1993-06-18","2026-05-02","Per=Y","Days=T","Dir=V")</f>
        <v>0</v>
      </c>
      <c r="C2">
        <f>BDH("CE US Equity","BS_TOT_LIAB2","1993-06-18","2026-05-02","Per=Y","Days=T","Dir=V")</f>
        <v>0</v>
      </c>
      <c r="E2">
        <f>BDH("CE US Equity","SHORT_AND_LONG_TERM_DEBT","1993-06-18","2026-05-02","Per=Y","Days=T","Dir=V")</f>
        <v>0</v>
      </c>
      <c r="G2">
        <f>BDH("CE US Equity","BS_ST_BORROW","1993-06-18","2026-05-02","Per=Y","Days=T","Dir=V")</f>
        <v>0</v>
      </c>
      <c r="I2">
        <f>BDH("CE US Equity","BS_LT_BORROW","1993-06-18","2026-05-02","Per=Y","Days=T","Dir=V")</f>
        <v>0</v>
      </c>
      <c r="K2">
        <f>BDH("CE US Equity","BS_CASH_NEAR_CASH_ITEM","1993-06-18","2026-05-02","Per=Y","Days=T","Dir=V")</f>
        <v>0</v>
      </c>
      <c r="M2">
        <f>BDH("CE US Equity","BS_CUR_ASSET_REPORT","1993-06-18","2026-05-02","Per=Y","Days=T","Dir=V")</f>
        <v>0</v>
      </c>
      <c r="O2">
        <f>BDH("CE US Equity","BS_CUR_LIAB","1993-06-18","2026-05-02","Per=Y","Days=T","Dir=V")</f>
        <v>0</v>
      </c>
      <c r="Q2">
        <f>BDH("CE US Equity","BS_SHAREHOLDER_EQY_ENDING_PERIOD","1993-06-18","2026-05-02","Per=Y","Days=T","Dir=V")</f>
        <v>0</v>
      </c>
      <c r="S2">
        <f>BDH("CE US Equity","BS_ACCT_NOTE_RCV","1993-06-18","2026-05-02","Per=Y","Days=T","Dir=V")</f>
        <v>0</v>
      </c>
      <c r="U2">
        <f>BDH("CE US Equity","BS_INVENTORIES","1993-06-18","2026-05-02","Per=Y","Days=T","Dir=V")</f>
        <v>0</v>
      </c>
      <c r="W2">
        <f>BDH("CE US Equity","WORKING_CAPITAL","1993-06-18","2026-05-02","Per=Y","Days=T","Dir=V")</f>
        <v>0</v>
      </c>
      <c r="Y2">
        <f>BDH("CE US Equity","SALES_REV_TURN","1993-06-18","2026-05-02","Per=Y","Days=T","Dir=V")</f>
        <v>0</v>
      </c>
      <c r="AA2">
        <f>BDH("CE US Equity","EBIT","1993-06-18","2026-05-02","Per=Y","Days=T","Dir=V")</f>
        <v>0</v>
      </c>
      <c r="AC2">
        <f>BDH("CE US Equity","EBITDA","1993-06-18","2026-05-02","Per=Y","Days=T","Dir=V")</f>
        <v>0</v>
      </c>
      <c r="AE2">
        <f>BDH("CE US Equity","NET_INCOME","1993-06-18","2026-05-02","Per=Y","Days=T","Dir=V")</f>
        <v>0</v>
      </c>
      <c r="AG2">
        <f>BDH("CE US Equity","IS_INT_EXPENSE","1993-06-18","2026-05-02","Per=Y","Days=T","Dir=V")</f>
        <v>0</v>
      </c>
      <c r="AI2">
        <f>BDH("CE US Equity","IS_DEPR_EXP","1993-06-18","2026-05-02","Per=Y","Days=T","Dir=V")</f>
        <v>0</v>
      </c>
      <c r="AK2">
        <f>BDH("CE US Equity","CF_CASH_FROM_OPER","1993-06-18","2026-05-02","Per=Y","Days=T","Dir=V")</f>
        <v>0</v>
      </c>
      <c r="AM2">
        <f>BDH("CE US Equity","CAPITAL_EXPEND","1993-06-18","2026-05-02","Per=Y","Days=T","Dir=V")</f>
        <v>0</v>
      </c>
      <c r="AO2">
        <f>BDH("CE US Equity","CF_FREE_CASH_FLOW","1993-06-18","2026-05-02","Per=Y","Days=T","Dir=V")</f>
        <v>0</v>
      </c>
      <c r="AQ2">
        <f>BDH("CE US Equity","PX_LAST","1993-06-18","2026-05-02","Per=M","Days=T","Dir=V")</f>
        <v>0</v>
      </c>
      <c r="AS2">
        <f>BDH("CE US Equity","CUR_MKT_CAP","1993-06-18","2026-05-02","Per=M","Days=T","Dir=V")</f>
        <v>0</v>
      </c>
      <c r="AU2">
        <f>BDH("CE US Equity","EQY_SH_OUT","1993-06-18","2026-05-02","Per=M","Days=T","Dir=V")</f>
        <v>0</v>
      </c>
      <c r="AW2">
        <f>BDH("CE US Equity","PX_VOLUME","1993-06-18","2026-05-02","Per=M","Days=T","Dir=V")</f>
        <v>0</v>
      </c>
      <c r="AY2">
        <f>BDH("CE US Equity","TURNOVER","1993-06-18","2026-05-02","Per=M","Days=T","Dir=V")</f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BDH("CECO US Equity","BS_TOT_ASSET","1993-06-18","2026-05-02","Per=Y","Days=T","Dir=V")</f>
        <v>0</v>
      </c>
      <c r="C2">
        <f>BDH("CECO US Equity","BS_TOT_LIAB2","1993-06-18","2026-05-02","Per=Y","Days=T","Dir=V")</f>
        <v>0</v>
      </c>
      <c r="E2">
        <f>BDH("CECO US Equity","SHORT_AND_LONG_TERM_DEBT","1993-06-18","2026-05-02","Per=Y","Days=T","Dir=V")</f>
        <v>0</v>
      </c>
      <c r="G2">
        <f>BDH("CECO US Equity","BS_ST_BORROW","1993-06-18","2026-05-02","Per=Y","Days=T","Dir=V")</f>
        <v>0</v>
      </c>
      <c r="I2">
        <f>BDH("CECO US Equity","BS_LT_BORROW","1993-06-18","2026-05-02","Per=Y","Days=T","Dir=V")</f>
        <v>0</v>
      </c>
      <c r="K2">
        <f>BDH("CECO US Equity","BS_CASH_NEAR_CASH_ITEM","1993-06-18","2026-05-02","Per=Y","Days=T","Dir=V")</f>
        <v>0</v>
      </c>
      <c r="M2">
        <f>BDH("CECO US Equity","BS_CUR_ASSET_REPORT","1993-06-18","2026-05-02","Per=Y","Days=T","Dir=V")</f>
        <v>0</v>
      </c>
      <c r="O2">
        <f>BDH("CECO US Equity","BS_CUR_LIAB","1993-06-18","2026-05-02","Per=Y","Days=T","Dir=V")</f>
        <v>0</v>
      </c>
      <c r="Q2">
        <f>BDH("CECO US Equity","BS_SHAREHOLDER_EQY_ENDING_PERIOD","1993-06-18","2026-05-02","Per=Y","Days=T","Dir=V")</f>
        <v>0</v>
      </c>
      <c r="S2">
        <f>BDH("CECO US Equity","BS_ACCT_NOTE_RCV","1993-06-18","2026-05-02","Per=Y","Days=T","Dir=V")</f>
        <v>0</v>
      </c>
      <c r="U2">
        <f>BDH("CECO US Equity","BS_INVENTORIES","1993-06-18","2026-05-02","Per=Y","Days=T","Dir=V")</f>
        <v>0</v>
      </c>
      <c r="W2">
        <f>BDH("CECO US Equity","WORKING_CAPITAL","1993-06-18","2026-05-02","Per=Y","Days=T","Dir=V")</f>
        <v>0</v>
      </c>
      <c r="Y2">
        <f>BDH("CECO US Equity","SALES_REV_TURN","1993-06-18","2026-05-02","Per=Y","Days=T","Dir=V")</f>
        <v>0</v>
      </c>
      <c r="AA2">
        <f>BDH("CECO US Equity","EBIT","1993-06-18","2026-05-02","Per=Y","Days=T","Dir=V")</f>
        <v>0</v>
      </c>
      <c r="AC2">
        <f>BDH("CECO US Equity","EBITDA","1993-06-18","2026-05-02","Per=Y","Days=T","Dir=V")</f>
        <v>0</v>
      </c>
      <c r="AE2">
        <f>BDH("CECO US Equity","NET_INCOME","1993-06-18","2026-05-02","Per=Y","Days=T","Dir=V")</f>
        <v>0</v>
      </c>
      <c r="AG2">
        <f>BDH("CECO US Equity","IS_INT_EXPENSE","1993-06-18","2026-05-02","Per=Y","Days=T","Dir=V")</f>
        <v>0</v>
      </c>
      <c r="AI2">
        <f>BDH("CECO US Equity","IS_DEPR_EXP","1993-06-18","2026-05-02","Per=Y","Days=T","Dir=V")</f>
        <v>0</v>
      </c>
      <c r="AK2">
        <f>BDH("CECO US Equity","CF_CASH_FROM_OPER","1993-06-18","2026-05-02","Per=Y","Days=T","Dir=V")</f>
        <v>0</v>
      </c>
      <c r="AM2">
        <f>BDH("CECO US Equity","CAPITAL_EXPEND","1993-06-18","2026-05-02","Per=Y","Days=T","Dir=V")</f>
        <v>0</v>
      </c>
      <c r="AO2">
        <f>BDH("CECO US Equity","CF_FREE_CASH_FLOW","1993-06-18","2026-05-02","Per=Y","Days=T","Dir=V")</f>
        <v>0</v>
      </c>
      <c r="AQ2">
        <f>BDH("CECO US Equity","PX_LAST","1993-06-18","2026-05-02","Per=M","Days=T","Dir=V")</f>
        <v>0</v>
      </c>
      <c r="AS2">
        <f>BDH("CECO US Equity","CUR_MKT_CAP","1993-06-18","2026-05-02","Per=M","Days=T","Dir=V")</f>
        <v>0</v>
      </c>
      <c r="AU2">
        <f>BDH("CECO US Equity","EQY_SH_OUT","1993-06-18","2026-05-02","Per=M","Days=T","Dir=V")</f>
        <v>0</v>
      </c>
      <c r="AW2">
        <f>BDH("CECO US Equity","PX_VOLUME","1993-06-18","2026-05-02","Per=M","Days=T","Dir=V")</f>
        <v>0</v>
      </c>
      <c r="AY2">
        <f>BDH("CECO US Equity","TURNOVER","1993-06-18","2026-05-02","Per=M","Days=T","Dir=V")</f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BDH("CEG US Equity","BS_TOT_ASSET","1993-06-18","2026-05-02","Per=Y","Days=T","Dir=V")</f>
        <v>0</v>
      </c>
      <c r="C2">
        <f>BDH("CEG US Equity","BS_TOT_LIAB2","1993-06-18","2026-05-02","Per=Y","Days=T","Dir=V")</f>
        <v>0</v>
      </c>
      <c r="E2">
        <f>BDH("CEG US Equity","SHORT_AND_LONG_TERM_DEBT","1993-06-18","2026-05-02","Per=Y","Days=T","Dir=V")</f>
        <v>0</v>
      </c>
      <c r="G2">
        <f>BDH("CEG US Equity","BS_ST_BORROW","1993-06-18","2026-05-02","Per=Y","Days=T","Dir=V")</f>
        <v>0</v>
      </c>
      <c r="I2">
        <f>BDH("CEG US Equity","BS_LT_BORROW","1993-06-18","2026-05-02","Per=Y","Days=T","Dir=V")</f>
        <v>0</v>
      </c>
      <c r="K2">
        <f>BDH("CEG US Equity","BS_CASH_NEAR_CASH_ITEM","1993-06-18","2026-05-02","Per=Y","Days=T","Dir=V")</f>
        <v>0</v>
      </c>
      <c r="M2">
        <f>BDH("CEG US Equity","BS_CUR_ASSET_REPORT","1993-06-18","2026-05-02","Per=Y","Days=T","Dir=V")</f>
        <v>0</v>
      </c>
      <c r="O2">
        <f>BDH("CEG US Equity","BS_CUR_LIAB","1993-06-18","2026-05-02","Per=Y","Days=T","Dir=V")</f>
        <v>0</v>
      </c>
      <c r="Q2">
        <f>BDH("CEG US Equity","BS_SHAREHOLDER_EQY_ENDING_PERIOD","1993-06-18","2026-05-02","Per=Y","Days=T","Dir=V")</f>
        <v>0</v>
      </c>
      <c r="S2">
        <f>BDH("CEG US Equity","BS_ACCT_NOTE_RCV","1993-06-18","2026-05-02","Per=Y","Days=T","Dir=V")</f>
        <v>0</v>
      </c>
      <c r="U2">
        <f>BDH("CEG US Equity","BS_INVENTORIES","1993-06-18","2026-05-02","Per=Y","Days=T","Dir=V")</f>
        <v>0</v>
      </c>
      <c r="W2">
        <f>BDH("CEG US Equity","WORKING_CAPITAL","1993-06-18","2026-05-02","Per=Y","Days=T","Dir=V")</f>
        <v>0</v>
      </c>
      <c r="Y2">
        <f>BDH("CEG US Equity","SALES_REV_TURN","1993-06-18","2026-05-02","Per=Y","Days=T","Dir=V")</f>
        <v>0</v>
      </c>
      <c r="AA2">
        <f>BDH("CEG US Equity","EBIT","1993-06-18","2026-05-02","Per=Y","Days=T","Dir=V")</f>
        <v>0</v>
      </c>
      <c r="AC2">
        <f>BDH("CEG US Equity","EBITDA","1993-06-18","2026-05-02","Per=Y","Days=T","Dir=V")</f>
        <v>0</v>
      </c>
      <c r="AE2">
        <f>BDH("CEG US Equity","NET_INCOME","1993-06-18","2026-05-02","Per=Y","Days=T","Dir=V")</f>
        <v>0</v>
      </c>
      <c r="AG2">
        <f>BDH("CEG US Equity","IS_INT_EXPENSE","1993-06-18","2026-05-02","Per=Y","Days=T","Dir=V")</f>
        <v>0</v>
      </c>
      <c r="AI2">
        <f>BDH("CEG US Equity","IS_DEPR_EXP","1993-06-18","2026-05-02","Per=Y","Days=T","Dir=V")</f>
        <v>0</v>
      </c>
      <c r="AK2">
        <f>BDH("CEG US Equity","CF_CASH_FROM_OPER","1993-06-18","2026-05-02","Per=Y","Days=T","Dir=V")</f>
        <v>0</v>
      </c>
      <c r="AM2">
        <f>BDH("CEG US Equity","CAPITAL_EXPEND","1993-06-18","2026-05-02","Per=Y","Days=T","Dir=V")</f>
        <v>0</v>
      </c>
      <c r="AO2">
        <f>BDH("CEG US Equity","CF_FREE_CASH_FLOW","1993-06-18","2026-05-02","Per=Y","Days=T","Dir=V")</f>
        <v>0</v>
      </c>
      <c r="AQ2">
        <f>BDH("CEG US Equity","PX_LAST","1993-06-18","2026-05-02","Per=M","Days=T","Dir=V")</f>
        <v>0</v>
      </c>
      <c r="AS2">
        <f>BDH("CEG US Equity","CUR_MKT_CAP","1993-06-18","2026-05-02","Per=M","Days=T","Dir=V")</f>
        <v>0</v>
      </c>
      <c r="AU2">
        <f>BDH("CEG US Equity","EQY_SH_OUT","1993-06-18","2026-05-02","Per=M","Days=T","Dir=V")</f>
        <v>0</v>
      </c>
      <c r="AW2">
        <f>BDH("CEG US Equity","PX_VOLUME","1993-06-18","2026-05-02","Per=M","Days=T","Dir=V")</f>
        <v>0</v>
      </c>
      <c r="AY2">
        <f>BDH("CEG US Equity","TURNOVER","1993-06-18","2026-05-02","Per=M","Days=T","Dir=V")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BDH("CELC US Equity","BS_TOT_ASSET","1993-06-18","2026-05-02","Per=Y","Days=T","Dir=V")</f>
        <v>0</v>
      </c>
      <c r="C2">
        <f>BDH("CELC US Equity","BS_TOT_LIAB2","1993-06-18","2026-05-02","Per=Y","Days=T","Dir=V")</f>
        <v>0</v>
      </c>
      <c r="E2">
        <f>BDH("CELC US Equity","SHORT_AND_LONG_TERM_DEBT","1993-06-18","2026-05-02","Per=Y","Days=T","Dir=V")</f>
        <v>0</v>
      </c>
      <c r="G2">
        <f>BDH("CELC US Equity","BS_ST_BORROW","1993-06-18","2026-05-02","Per=Y","Days=T","Dir=V")</f>
        <v>0</v>
      </c>
      <c r="I2">
        <f>BDH("CELC US Equity","BS_LT_BORROW","1993-06-18","2026-05-02","Per=Y","Days=T","Dir=V")</f>
        <v>0</v>
      </c>
      <c r="K2">
        <f>BDH("CELC US Equity","BS_CASH_NEAR_CASH_ITEM","1993-06-18","2026-05-02","Per=Y","Days=T","Dir=V")</f>
        <v>0</v>
      </c>
      <c r="M2">
        <f>BDH("CELC US Equity","BS_CUR_ASSET_REPORT","1993-06-18","2026-05-02","Per=Y","Days=T","Dir=V")</f>
        <v>0</v>
      </c>
      <c r="O2">
        <f>BDH("CELC US Equity","BS_CUR_LIAB","1993-06-18","2026-05-02","Per=Y","Days=T","Dir=V")</f>
        <v>0</v>
      </c>
      <c r="Q2">
        <f>BDH("CELC US Equity","BS_SHAREHOLDER_EQY_ENDING_PERIOD","1993-06-18","2026-05-02","Per=Y","Days=T","Dir=V")</f>
        <v>0</v>
      </c>
      <c r="S2">
        <f>BDH("CELC US Equity","BS_ACCT_NOTE_RCV","1993-06-18","2026-05-02","Per=Y","Days=T","Dir=V")</f>
        <v>0</v>
      </c>
      <c r="U2">
        <f>BDH("CELC US Equity","BS_INVENTORIES","1993-06-18","2026-05-02","Per=Y","Days=T","Dir=V")</f>
        <v>0</v>
      </c>
      <c r="W2">
        <f>BDH("CELC US Equity","WORKING_CAPITAL","1993-06-18","2026-05-02","Per=Y","Days=T","Dir=V")</f>
        <v>0</v>
      </c>
      <c r="Y2">
        <f>BDH("CELC US Equity","SALES_REV_TURN","1993-06-18","2026-05-02","Per=Y","Days=T","Dir=V")</f>
        <v>0</v>
      </c>
      <c r="AA2">
        <f>BDH("CELC US Equity","EBIT","1993-06-18","2026-05-02","Per=Y","Days=T","Dir=V")</f>
        <v>0</v>
      </c>
      <c r="AC2">
        <f>BDH("CELC US Equity","EBITDA","1993-06-18","2026-05-02","Per=Y","Days=T","Dir=V")</f>
        <v>0</v>
      </c>
      <c r="AE2">
        <f>BDH("CELC US Equity","NET_INCOME","1993-06-18","2026-05-02","Per=Y","Days=T","Dir=V")</f>
        <v>0</v>
      </c>
      <c r="AG2">
        <f>BDH("CELC US Equity","IS_INT_EXPENSE","1993-06-18","2026-05-02","Per=Y","Days=T","Dir=V")</f>
        <v>0</v>
      </c>
      <c r="AI2">
        <f>BDH("CELC US Equity","IS_DEPR_EXP","1993-06-18","2026-05-02","Per=Y","Days=T","Dir=V")</f>
        <v>0</v>
      </c>
      <c r="AK2">
        <f>BDH("CELC US Equity","CF_CASH_FROM_OPER","1993-06-18","2026-05-02","Per=Y","Days=T","Dir=V")</f>
        <v>0</v>
      </c>
      <c r="AM2">
        <f>BDH("CELC US Equity","CAPITAL_EXPEND","1993-06-18","2026-05-02","Per=Y","Days=T","Dir=V")</f>
        <v>0</v>
      </c>
      <c r="AO2">
        <f>BDH("CELC US Equity","CF_FREE_CASH_FLOW","1993-06-18","2026-05-02","Per=Y","Days=T","Dir=V")</f>
        <v>0</v>
      </c>
      <c r="AQ2">
        <f>BDH("CELC US Equity","PX_LAST","1993-06-18","2026-05-02","Per=M","Days=T","Dir=V")</f>
        <v>0</v>
      </c>
      <c r="AS2">
        <f>BDH("CELC US Equity","CUR_MKT_CAP","1993-06-18","2026-05-02","Per=M","Days=T","Dir=V")</f>
        <v>0</v>
      </c>
      <c r="AU2">
        <f>BDH("CELC US Equity","EQY_SH_OUT","1993-06-18","2026-05-02","Per=M","Days=T","Dir=V")</f>
        <v>0</v>
      </c>
      <c r="AW2">
        <f>BDH("CELC US Equity","PX_VOLUME","1993-06-18","2026-05-02","Per=M","Days=T","Dir=V")</f>
        <v>0</v>
      </c>
      <c r="AY2">
        <f>BDH("CELC US Equity","TURNOVER","1993-06-18","2026-05-02","Per=M","Days=T","Dir=V")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BDH("CELH US Equity","BS_TOT_ASSET","1993-06-18","2026-05-02","Per=Y","Days=T","Dir=V")</f>
        <v>0</v>
      </c>
      <c r="C2">
        <f>BDH("CELH US Equity","BS_TOT_LIAB2","1993-06-18","2026-05-02","Per=Y","Days=T","Dir=V")</f>
        <v>0</v>
      </c>
      <c r="E2">
        <f>BDH("CELH US Equity","SHORT_AND_LONG_TERM_DEBT","1993-06-18","2026-05-02","Per=Y","Days=T","Dir=V")</f>
        <v>0</v>
      </c>
      <c r="G2">
        <f>BDH("CELH US Equity","BS_ST_BORROW","1993-06-18","2026-05-02","Per=Y","Days=T","Dir=V")</f>
        <v>0</v>
      </c>
      <c r="I2">
        <f>BDH("CELH US Equity","BS_LT_BORROW","1993-06-18","2026-05-02","Per=Y","Days=T","Dir=V")</f>
        <v>0</v>
      </c>
      <c r="K2">
        <f>BDH("CELH US Equity","BS_CASH_NEAR_CASH_ITEM","1993-06-18","2026-05-02","Per=Y","Days=T","Dir=V")</f>
        <v>0</v>
      </c>
      <c r="M2">
        <f>BDH("CELH US Equity","BS_CUR_ASSET_REPORT","1993-06-18","2026-05-02","Per=Y","Days=T","Dir=V")</f>
        <v>0</v>
      </c>
      <c r="O2">
        <f>BDH("CELH US Equity","BS_CUR_LIAB","1993-06-18","2026-05-02","Per=Y","Days=T","Dir=V")</f>
        <v>0</v>
      </c>
      <c r="Q2">
        <f>BDH("CELH US Equity","BS_SHAREHOLDER_EQY_ENDING_PERIOD","1993-06-18","2026-05-02","Per=Y","Days=T","Dir=V")</f>
        <v>0</v>
      </c>
      <c r="S2">
        <f>BDH("CELH US Equity","BS_ACCT_NOTE_RCV","1993-06-18","2026-05-02","Per=Y","Days=T","Dir=V")</f>
        <v>0</v>
      </c>
      <c r="U2">
        <f>BDH("CELH US Equity","BS_INVENTORIES","1993-06-18","2026-05-02","Per=Y","Days=T","Dir=V")</f>
        <v>0</v>
      </c>
      <c r="W2">
        <f>BDH("CELH US Equity","WORKING_CAPITAL","1993-06-18","2026-05-02","Per=Y","Days=T","Dir=V")</f>
        <v>0</v>
      </c>
      <c r="Y2">
        <f>BDH("CELH US Equity","SALES_REV_TURN","1993-06-18","2026-05-02","Per=Y","Days=T","Dir=V")</f>
        <v>0</v>
      </c>
      <c r="AA2">
        <f>BDH("CELH US Equity","EBIT","1993-06-18","2026-05-02","Per=Y","Days=T","Dir=V")</f>
        <v>0</v>
      </c>
      <c r="AC2">
        <f>BDH("CELH US Equity","EBITDA","1993-06-18","2026-05-02","Per=Y","Days=T","Dir=V")</f>
        <v>0</v>
      </c>
      <c r="AE2">
        <f>BDH("CELH US Equity","NET_INCOME","1993-06-18","2026-05-02","Per=Y","Days=T","Dir=V")</f>
        <v>0</v>
      </c>
      <c r="AG2">
        <f>BDH("CELH US Equity","IS_INT_EXPENSE","1993-06-18","2026-05-02","Per=Y","Days=T","Dir=V")</f>
        <v>0</v>
      </c>
      <c r="AI2">
        <f>BDH("CELH US Equity","IS_DEPR_EXP","1993-06-18","2026-05-02","Per=Y","Days=T","Dir=V")</f>
        <v>0</v>
      </c>
      <c r="AK2">
        <f>BDH("CELH US Equity","CF_CASH_FROM_OPER","1993-06-18","2026-05-02","Per=Y","Days=T","Dir=V")</f>
        <v>0</v>
      </c>
      <c r="AM2">
        <f>BDH("CELH US Equity","CAPITAL_EXPEND","1993-06-18","2026-05-02","Per=Y","Days=T","Dir=V")</f>
        <v>0</v>
      </c>
      <c r="AO2">
        <f>BDH("CELH US Equity","CF_FREE_CASH_FLOW","1993-06-18","2026-05-02","Per=Y","Days=T","Dir=V")</f>
        <v>0</v>
      </c>
      <c r="AQ2">
        <f>BDH("CELH US Equity","PX_LAST","1993-06-18","2026-05-02","Per=M","Days=T","Dir=V")</f>
        <v>0</v>
      </c>
      <c r="AS2">
        <f>BDH("CELH US Equity","CUR_MKT_CAP","1993-06-18","2026-05-02","Per=M","Days=T","Dir=V")</f>
        <v>0</v>
      </c>
      <c r="AU2">
        <f>BDH("CELH US Equity","EQY_SH_OUT","1993-06-18","2026-05-02","Per=M","Days=T","Dir=V")</f>
        <v>0</v>
      </c>
      <c r="AW2">
        <f>BDH("CELH US Equity","PX_VOLUME","1993-06-18","2026-05-02","Per=M","Days=T","Dir=V")</f>
        <v>0</v>
      </c>
      <c r="AY2">
        <f>BDH("CELH US Equity","TURNOVER","1993-06-18","2026-05-02","Per=M","Days=T","Dir=V")</f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BDH("CELU US Equity","BS_TOT_ASSET","1993-06-18","2026-05-02","Per=Y","Days=T","Dir=V")</f>
        <v>0</v>
      </c>
      <c r="C2">
        <f>BDH("CELU US Equity","BS_TOT_LIAB2","1993-06-18","2026-05-02","Per=Y","Days=T","Dir=V")</f>
        <v>0</v>
      </c>
      <c r="E2">
        <f>BDH("CELU US Equity","SHORT_AND_LONG_TERM_DEBT","1993-06-18","2026-05-02","Per=Y","Days=T","Dir=V")</f>
        <v>0</v>
      </c>
      <c r="G2">
        <f>BDH("CELU US Equity","BS_ST_BORROW","1993-06-18","2026-05-02","Per=Y","Days=T","Dir=V")</f>
        <v>0</v>
      </c>
      <c r="I2">
        <f>BDH("CELU US Equity","BS_LT_BORROW","1993-06-18","2026-05-02","Per=Y","Days=T","Dir=V")</f>
        <v>0</v>
      </c>
      <c r="K2">
        <f>BDH("CELU US Equity","BS_CASH_NEAR_CASH_ITEM","1993-06-18","2026-05-02","Per=Y","Days=T","Dir=V")</f>
        <v>0</v>
      </c>
      <c r="M2">
        <f>BDH("CELU US Equity","BS_CUR_ASSET_REPORT","1993-06-18","2026-05-02","Per=Y","Days=T","Dir=V")</f>
        <v>0</v>
      </c>
      <c r="O2">
        <f>BDH("CELU US Equity","BS_CUR_LIAB","1993-06-18","2026-05-02","Per=Y","Days=T","Dir=V")</f>
        <v>0</v>
      </c>
      <c r="Q2">
        <f>BDH("CELU US Equity","BS_SHAREHOLDER_EQY_ENDING_PERIOD","1993-06-18","2026-05-02","Per=Y","Days=T","Dir=V")</f>
        <v>0</v>
      </c>
      <c r="S2">
        <f>BDH("CELU US Equity","BS_ACCT_NOTE_RCV","1993-06-18","2026-05-02","Per=Y","Days=T","Dir=V")</f>
        <v>0</v>
      </c>
      <c r="U2">
        <f>BDH("CELU US Equity","BS_INVENTORIES","1993-06-18","2026-05-02","Per=Y","Days=T","Dir=V")</f>
        <v>0</v>
      </c>
      <c r="W2">
        <f>BDH("CELU US Equity","WORKING_CAPITAL","1993-06-18","2026-05-02","Per=Y","Days=T","Dir=V")</f>
        <v>0</v>
      </c>
      <c r="Y2">
        <f>BDH("CELU US Equity","SALES_REV_TURN","1993-06-18","2026-05-02","Per=Y","Days=T","Dir=V")</f>
        <v>0</v>
      </c>
      <c r="AA2">
        <f>BDH("CELU US Equity","EBIT","1993-06-18","2026-05-02","Per=Y","Days=T","Dir=V")</f>
        <v>0</v>
      </c>
      <c r="AC2">
        <f>BDH("CELU US Equity","EBITDA","1993-06-18","2026-05-02","Per=Y","Days=T","Dir=V")</f>
        <v>0</v>
      </c>
      <c r="AE2">
        <f>BDH("CELU US Equity","NET_INCOME","1993-06-18","2026-05-02","Per=Y","Days=T","Dir=V")</f>
        <v>0</v>
      </c>
      <c r="AG2">
        <f>BDH("CELU US Equity","IS_INT_EXPENSE","1993-06-18","2026-05-02","Per=Y","Days=T","Dir=V")</f>
        <v>0</v>
      </c>
      <c r="AI2">
        <f>BDH("CELU US Equity","IS_DEPR_EXP","1993-06-18","2026-05-02","Per=Y","Days=T","Dir=V")</f>
        <v>0</v>
      </c>
      <c r="AK2">
        <f>BDH("CELU US Equity","CF_CASH_FROM_OPER","1993-06-18","2026-05-02","Per=Y","Days=T","Dir=V")</f>
        <v>0</v>
      </c>
      <c r="AM2">
        <f>BDH("CELU US Equity","CAPITAL_EXPEND","1993-06-18","2026-05-02","Per=Y","Days=T","Dir=V")</f>
        <v>0</v>
      </c>
      <c r="AO2">
        <f>BDH("CELU US Equity","CF_FREE_CASH_FLOW","1993-06-18","2026-05-02","Per=Y","Days=T","Dir=V")</f>
        <v>0</v>
      </c>
      <c r="AQ2">
        <f>BDH("CELU US Equity","PX_LAST","1993-06-18","2026-05-02","Per=M","Days=T","Dir=V")</f>
        <v>0</v>
      </c>
      <c r="AS2">
        <f>BDH("CELU US Equity","CUR_MKT_CAP","1993-06-18","2026-05-02","Per=M","Days=T","Dir=V")</f>
        <v>0</v>
      </c>
      <c r="AU2">
        <f>BDH("CELU US Equity","EQY_SH_OUT","1993-06-18","2026-05-02","Per=M","Days=T","Dir=V")</f>
        <v>0</v>
      </c>
      <c r="AW2">
        <f>BDH("CELU US Equity","PX_VOLUME","1993-06-18","2026-05-02","Per=M","Days=T","Dir=V")</f>
        <v>0</v>
      </c>
      <c r="AY2">
        <f>BDH("CELU US Equity","TURNOVER","1993-06-18","2026-05-02","Per=M","Days=T","Dir=V")</f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BDH("CELZ US Equity","BS_TOT_ASSET","1993-06-18","2026-05-02","Per=Y","Days=T","Dir=V")</f>
        <v>0</v>
      </c>
      <c r="C2">
        <f>BDH("CELZ US Equity","BS_TOT_LIAB2","1993-06-18","2026-05-02","Per=Y","Days=T","Dir=V")</f>
        <v>0</v>
      </c>
      <c r="E2">
        <f>BDH("CELZ US Equity","SHORT_AND_LONG_TERM_DEBT","1993-06-18","2026-05-02","Per=Y","Days=T","Dir=V")</f>
        <v>0</v>
      </c>
      <c r="G2">
        <f>BDH("CELZ US Equity","BS_ST_BORROW","1993-06-18","2026-05-02","Per=Y","Days=T","Dir=V")</f>
        <v>0</v>
      </c>
      <c r="I2">
        <f>BDH("CELZ US Equity","BS_LT_BORROW","1993-06-18","2026-05-02","Per=Y","Days=T","Dir=V")</f>
        <v>0</v>
      </c>
      <c r="K2">
        <f>BDH("CELZ US Equity","BS_CASH_NEAR_CASH_ITEM","1993-06-18","2026-05-02","Per=Y","Days=T","Dir=V")</f>
        <v>0</v>
      </c>
      <c r="M2">
        <f>BDH("CELZ US Equity","BS_CUR_ASSET_REPORT","1993-06-18","2026-05-02","Per=Y","Days=T","Dir=V")</f>
        <v>0</v>
      </c>
      <c r="O2">
        <f>BDH("CELZ US Equity","BS_CUR_LIAB","1993-06-18","2026-05-02","Per=Y","Days=T","Dir=V")</f>
        <v>0</v>
      </c>
      <c r="Q2">
        <f>BDH("CELZ US Equity","BS_SHAREHOLDER_EQY_ENDING_PERIOD","1993-06-18","2026-05-02","Per=Y","Days=T","Dir=V")</f>
        <v>0</v>
      </c>
      <c r="S2">
        <f>BDH("CELZ US Equity","BS_ACCT_NOTE_RCV","1993-06-18","2026-05-02","Per=Y","Days=T","Dir=V")</f>
        <v>0</v>
      </c>
      <c r="U2">
        <f>BDH("CELZ US Equity","BS_INVENTORIES","1993-06-18","2026-05-02","Per=Y","Days=T","Dir=V")</f>
        <v>0</v>
      </c>
      <c r="W2">
        <f>BDH("CELZ US Equity","WORKING_CAPITAL","1993-06-18","2026-05-02","Per=Y","Days=T","Dir=V")</f>
        <v>0</v>
      </c>
      <c r="Y2">
        <f>BDH("CELZ US Equity","SALES_REV_TURN","1993-06-18","2026-05-02","Per=Y","Days=T","Dir=V")</f>
        <v>0</v>
      </c>
      <c r="AA2">
        <f>BDH("CELZ US Equity","EBIT","1993-06-18","2026-05-02","Per=Y","Days=T","Dir=V")</f>
        <v>0</v>
      </c>
      <c r="AC2">
        <f>BDH("CELZ US Equity","EBITDA","1993-06-18","2026-05-02","Per=Y","Days=T","Dir=V")</f>
        <v>0</v>
      </c>
      <c r="AE2">
        <f>BDH("CELZ US Equity","NET_INCOME","1993-06-18","2026-05-02","Per=Y","Days=T","Dir=V")</f>
        <v>0</v>
      </c>
      <c r="AG2">
        <f>BDH("CELZ US Equity","IS_INT_EXPENSE","1993-06-18","2026-05-02","Per=Y","Days=T","Dir=V")</f>
        <v>0</v>
      </c>
      <c r="AI2">
        <f>BDH("CELZ US Equity","IS_DEPR_EXP","1993-06-18","2026-05-02","Per=Y","Days=T","Dir=V")</f>
        <v>0</v>
      </c>
      <c r="AK2">
        <f>BDH("CELZ US Equity","CF_CASH_FROM_OPER","1993-06-18","2026-05-02","Per=Y","Days=T","Dir=V")</f>
        <v>0</v>
      </c>
      <c r="AM2">
        <f>BDH("CELZ US Equity","CAPITAL_EXPEND","1993-06-18","2026-05-02","Per=Y","Days=T","Dir=V")</f>
        <v>0</v>
      </c>
      <c r="AO2">
        <f>BDH("CELZ US Equity","CF_FREE_CASH_FLOW","1993-06-18","2026-05-02","Per=Y","Days=T","Dir=V")</f>
        <v>0</v>
      </c>
      <c r="AQ2">
        <f>BDH("CELZ US Equity","PX_LAST","1993-06-18","2026-05-02","Per=M","Days=T","Dir=V")</f>
        <v>0</v>
      </c>
      <c r="AS2">
        <f>BDH("CELZ US Equity","CUR_MKT_CAP","1993-06-18","2026-05-02","Per=M","Days=T","Dir=V")</f>
        <v>0</v>
      </c>
      <c r="AU2">
        <f>BDH("CELZ US Equity","EQY_SH_OUT","1993-06-18","2026-05-02","Per=M","Days=T","Dir=V")</f>
        <v>0</v>
      </c>
      <c r="AW2">
        <f>BDH("CELZ US Equity","PX_VOLUME","1993-06-18","2026-05-02","Per=M","Days=T","Dir=V")</f>
        <v>0</v>
      </c>
      <c r="AY2">
        <f>BDH("CELZ US Equity","TURNOVER","1993-06-18","2026-05-02","Per=M","Days=T","Dir=V")</f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BDH("CENT US Equity","BS_TOT_ASSET","1993-06-18","2026-05-02","Per=Y","Days=T","Dir=V")</f>
        <v>0</v>
      </c>
      <c r="C2">
        <f>BDH("CENT US Equity","BS_TOT_LIAB2","1993-06-18","2026-05-02","Per=Y","Days=T","Dir=V")</f>
        <v>0</v>
      </c>
      <c r="E2">
        <f>BDH("CENT US Equity","SHORT_AND_LONG_TERM_DEBT","1993-06-18","2026-05-02","Per=Y","Days=T","Dir=V")</f>
        <v>0</v>
      </c>
      <c r="G2">
        <f>BDH("CENT US Equity","BS_ST_BORROW","1993-06-18","2026-05-02","Per=Y","Days=T","Dir=V")</f>
        <v>0</v>
      </c>
      <c r="I2">
        <f>BDH("CENT US Equity","BS_LT_BORROW","1993-06-18","2026-05-02","Per=Y","Days=T","Dir=V")</f>
        <v>0</v>
      </c>
      <c r="K2">
        <f>BDH("CENT US Equity","BS_CASH_NEAR_CASH_ITEM","1993-06-18","2026-05-02","Per=Y","Days=T","Dir=V")</f>
        <v>0</v>
      </c>
      <c r="M2">
        <f>BDH("CENT US Equity","BS_CUR_ASSET_REPORT","1993-06-18","2026-05-02","Per=Y","Days=T","Dir=V")</f>
        <v>0</v>
      </c>
      <c r="O2">
        <f>BDH("CENT US Equity","BS_CUR_LIAB","1993-06-18","2026-05-02","Per=Y","Days=T","Dir=V")</f>
        <v>0</v>
      </c>
      <c r="Q2">
        <f>BDH("CENT US Equity","BS_SHAREHOLDER_EQY_ENDING_PERIOD","1993-06-18","2026-05-02","Per=Y","Days=T","Dir=V")</f>
        <v>0</v>
      </c>
      <c r="S2">
        <f>BDH("CENT US Equity","BS_ACCT_NOTE_RCV","1993-06-18","2026-05-02","Per=Y","Days=T","Dir=V")</f>
        <v>0</v>
      </c>
      <c r="U2">
        <f>BDH("CENT US Equity","BS_INVENTORIES","1993-06-18","2026-05-02","Per=Y","Days=T","Dir=V")</f>
        <v>0</v>
      </c>
      <c r="W2">
        <f>BDH("CENT US Equity","WORKING_CAPITAL","1993-06-18","2026-05-02","Per=Y","Days=T","Dir=V")</f>
        <v>0</v>
      </c>
      <c r="Y2">
        <f>BDH("CENT US Equity","SALES_REV_TURN","1993-06-18","2026-05-02","Per=Y","Days=T","Dir=V")</f>
        <v>0</v>
      </c>
      <c r="AA2">
        <f>BDH("CENT US Equity","EBIT","1993-06-18","2026-05-02","Per=Y","Days=T","Dir=V")</f>
        <v>0</v>
      </c>
      <c r="AC2">
        <f>BDH("CENT US Equity","EBITDA","1993-06-18","2026-05-02","Per=Y","Days=T","Dir=V")</f>
        <v>0</v>
      </c>
      <c r="AE2">
        <f>BDH("CENT US Equity","NET_INCOME","1993-06-18","2026-05-02","Per=Y","Days=T","Dir=V")</f>
        <v>0</v>
      </c>
      <c r="AG2">
        <f>BDH("CENT US Equity","IS_INT_EXPENSE","1993-06-18","2026-05-02","Per=Y","Days=T","Dir=V")</f>
        <v>0</v>
      </c>
      <c r="AI2">
        <f>BDH("CENT US Equity","IS_DEPR_EXP","1993-06-18","2026-05-02","Per=Y","Days=T","Dir=V")</f>
        <v>0</v>
      </c>
      <c r="AK2">
        <f>BDH("CENT US Equity","CF_CASH_FROM_OPER","1993-06-18","2026-05-02","Per=Y","Days=T","Dir=V")</f>
        <v>0</v>
      </c>
      <c r="AM2">
        <f>BDH("CENT US Equity","CAPITAL_EXPEND","1993-06-18","2026-05-02","Per=Y","Days=T","Dir=V")</f>
        <v>0</v>
      </c>
      <c r="AO2">
        <f>BDH("CENT US Equity","CF_FREE_CASH_FLOW","1993-06-18","2026-05-02","Per=Y","Days=T","Dir=V")</f>
        <v>0</v>
      </c>
      <c r="AQ2">
        <f>BDH("CENT US Equity","PX_LAST","1993-06-18","2026-05-02","Per=M","Days=T","Dir=V")</f>
        <v>0</v>
      </c>
      <c r="AS2">
        <f>BDH("CENT US Equity","CUR_MKT_CAP","1993-06-18","2026-05-02","Per=M","Days=T","Dir=V")</f>
        <v>0</v>
      </c>
      <c r="AU2">
        <f>BDH("CENT US Equity","EQY_SH_OUT","1993-06-18","2026-05-02","Per=M","Days=T","Dir=V")</f>
        <v>0</v>
      </c>
      <c r="AW2">
        <f>BDH("CENT US Equity","PX_VOLUME","1993-06-18","2026-05-02","Per=M","Days=T","Dir=V")</f>
        <v>0</v>
      </c>
      <c r="AY2">
        <f>BDH("CENT US Equity","TURNOVER","1993-06-18","2026-05-02","Per=M","Days=T","Dir=V")</f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BDH("CENTA US Equity","BS_TOT_ASSET","1993-06-18","2026-05-02","Per=Y","Days=T","Dir=V")</f>
        <v>0</v>
      </c>
      <c r="C2">
        <f>BDH("CENTA US Equity","BS_TOT_LIAB2","1993-06-18","2026-05-02","Per=Y","Days=T","Dir=V")</f>
        <v>0</v>
      </c>
      <c r="E2">
        <f>BDH("CENTA US Equity","SHORT_AND_LONG_TERM_DEBT","1993-06-18","2026-05-02","Per=Y","Days=T","Dir=V")</f>
        <v>0</v>
      </c>
      <c r="G2">
        <f>BDH("CENTA US Equity","BS_ST_BORROW","1993-06-18","2026-05-02","Per=Y","Days=T","Dir=V")</f>
        <v>0</v>
      </c>
      <c r="I2">
        <f>BDH("CENTA US Equity","BS_LT_BORROW","1993-06-18","2026-05-02","Per=Y","Days=T","Dir=V")</f>
        <v>0</v>
      </c>
      <c r="K2">
        <f>BDH("CENTA US Equity","BS_CASH_NEAR_CASH_ITEM","1993-06-18","2026-05-02","Per=Y","Days=T","Dir=V")</f>
        <v>0</v>
      </c>
      <c r="M2">
        <f>BDH("CENTA US Equity","BS_CUR_ASSET_REPORT","1993-06-18","2026-05-02","Per=Y","Days=T","Dir=V")</f>
        <v>0</v>
      </c>
      <c r="O2">
        <f>BDH("CENTA US Equity","BS_CUR_LIAB","1993-06-18","2026-05-02","Per=Y","Days=T","Dir=V")</f>
        <v>0</v>
      </c>
      <c r="Q2">
        <f>BDH("CENTA US Equity","BS_SHAREHOLDER_EQY_ENDING_PERIOD","1993-06-18","2026-05-02","Per=Y","Days=T","Dir=V")</f>
        <v>0</v>
      </c>
      <c r="S2">
        <f>BDH("CENTA US Equity","BS_ACCT_NOTE_RCV","1993-06-18","2026-05-02","Per=Y","Days=T","Dir=V")</f>
        <v>0</v>
      </c>
      <c r="U2">
        <f>BDH("CENTA US Equity","BS_INVENTORIES","1993-06-18","2026-05-02","Per=Y","Days=T","Dir=V")</f>
        <v>0</v>
      </c>
      <c r="W2">
        <f>BDH("CENTA US Equity","WORKING_CAPITAL","1993-06-18","2026-05-02","Per=Y","Days=T","Dir=V")</f>
        <v>0</v>
      </c>
      <c r="Y2">
        <f>BDH("CENTA US Equity","SALES_REV_TURN","1993-06-18","2026-05-02","Per=Y","Days=T","Dir=V")</f>
        <v>0</v>
      </c>
      <c r="AA2">
        <f>BDH("CENTA US Equity","EBIT","1993-06-18","2026-05-02","Per=Y","Days=T","Dir=V")</f>
        <v>0</v>
      </c>
      <c r="AC2">
        <f>BDH("CENTA US Equity","EBITDA","1993-06-18","2026-05-02","Per=Y","Days=T","Dir=V")</f>
        <v>0</v>
      </c>
      <c r="AE2">
        <f>BDH("CENTA US Equity","NET_INCOME","1993-06-18","2026-05-02","Per=Y","Days=T","Dir=V")</f>
        <v>0</v>
      </c>
      <c r="AG2">
        <f>BDH("CENTA US Equity","IS_INT_EXPENSE","1993-06-18","2026-05-02","Per=Y","Days=T","Dir=V")</f>
        <v>0</v>
      </c>
      <c r="AI2">
        <f>BDH("CENTA US Equity","IS_DEPR_EXP","1993-06-18","2026-05-02","Per=Y","Days=T","Dir=V")</f>
        <v>0</v>
      </c>
      <c r="AK2">
        <f>BDH("CENTA US Equity","CF_CASH_FROM_OPER","1993-06-18","2026-05-02","Per=Y","Days=T","Dir=V")</f>
        <v>0</v>
      </c>
      <c r="AM2">
        <f>BDH("CENTA US Equity","CAPITAL_EXPEND","1993-06-18","2026-05-02","Per=Y","Days=T","Dir=V")</f>
        <v>0</v>
      </c>
      <c r="AO2">
        <f>BDH("CENTA US Equity","CF_FREE_CASH_FLOW","1993-06-18","2026-05-02","Per=Y","Days=T","Dir=V")</f>
        <v>0</v>
      </c>
      <c r="AQ2">
        <f>BDH("CENTA US Equity","PX_LAST","1993-06-18","2026-05-02","Per=M","Days=T","Dir=V")</f>
        <v>0</v>
      </c>
      <c r="AS2">
        <f>BDH("CENTA US Equity","CUR_MKT_CAP","1993-06-18","2026-05-02","Per=M","Days=T","Dir=V")</f>
        <v>0</v>
      </c>
      <c r="AU2">
        <f>BDH("CENTA US Equity","EQY_SH_OUT","1993-06-18","2026-05-02","Per=M","Days=T","Dir=V")</f>
        <v>0</v>
      </c>
      <c r="AW2">
        <f>BDH("CENTA US Equity","PX_VOLUME","1993-06-18","2026-05-02","Per=M","Days=T","Dir=V")</f>
        <v>0</v>
      </c>
      <c r="AY2">
        <f>BDH("CENTA US Equity","TURNOVER","1993-06-18","2026-05-02","Per=M","Days=T","Dir=V")</f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BDH("CENX US Equity","BS_TOT_ASSET","1993-06-18","2026-05-02","Per=Y","Days=T","Dir=V")</f>
        <v>0</v>
      </c>
      <c r="C2">
        <f>BDH("CENX US Equity","BS_TOT_LIAB2","1993-06-18","2026-05-02","Per=Y","Days=T","Dir=V")</f>
        <v>0</v>
      </c>
      <c r="E2">
        <f>BDH("CENX US Equity","SHORT_AND_LONG_TERM_DEBT","1993-06-18","2026-05-02","Per=Y","Days=T","Dir=V")</f>
        <v>0</v>
      </c>
      <c r="G2">
        <f>BDH("CENX US Equity","BS_ST_BORROW","1993-06-18","2026-05-02","Per=Y","Days=T","Dir=V")</f>
        <v>0</v>
      </c>
      <c r="I2">
        <f>BDH("CENX US Equity","BS_LT_BORROW","1993-06-18","2026-05-02","Per=Y","Days=T","Dir=V")</f>
        <v>0</v>
      </c>
      <c r="K2">
        <f>BDH("CENX US Equity","BS_CASH_NEAR_CASH_ITEM","1993-06-18","2026-05-02","Per=Y","Days=T","Dir=V")</f>
        <v>0</v>
      </c>
      <c r="M2">
        <f>BDH("CENX US Equity","BS_CUR_ASSET_REPORT","1993-06-18","2026-05-02","Per=Y","Days=T","Dir=V")</f>
        <v>0</v>
      </c>
      <c r="O2">
        <f>BDH("CENX US Equity","BS_CUR_LIAB","1993-06-18","2026-05-02","Per=Y","Days=T","Dir=V")</f>
        <v>0</v>
      </c>
      <c r="Q2">
        <f>BDH("CENX US Equity","BS_SHAREHOLDER_EQY_ENDING_PERIOD","1993-06-18","2026-05-02","Per=Y","Days=T","Dir=V")</f>
        <v>0</v>
      </c>
      <c r="S2">
        <f>BDH("CENX US Equity","BS_ACCT_NOTE_RCV","1993-06-18","2026-05-02","Per=Y","Days=T","Dir=V")</f>
        <v>0</v>
      </c>
      <c r="U2">
        <f>BDH("CENX US Equity","BS_INVENTORIES","1993-06-18","2026-05-02","Per=Y","Days=T","Dir=V")</f>
        <v>0</v>
      </c>
      <c r="W2">
        <f>BDH("CENX US Equity","WORKING_CAPITAL","1993-06-18","2026-05-02","Per=Y","Days=T","Dir=V")</f>
        <v>0</v>
      </c>
      <c r="Y2">
        <f>BDH("CENX US Equity","SALES_REV_TURN","1993-06-18","2026-05-02","Per=Y","Days=T","Dir=V")</f>
        <v>0</v>
      </c>
      <c r="AA2">
        <f>BDH("CENX US Equity","EBIT","1993-06-18","2026-05-02","Per=Y","Days=T","Dir=V")</f>
        <v>0</v>
      </c>
      <c r="AC2">
        <f>BDH("CENX US Equity","EBITDA","1993-06-18","2026-05-02","Per=Y","Days=T","Dir=V")</f>
        <v>0</v>
      </c>
      <c r="AE2">
        <f>BDH("CENX US Equity","NET_INCOME","1993-06-18","2026-05-02","Per=Y","Days=T","Dir=V")</f>
        <v>0</v>
      </c>
      <c r="AG2">
        <f>BDH("CENX US Equity","IS_INT_EXPENSE","1993-06-18","2026-05-02","Per=Y","Days=T","Dir=V")</f>
        <v>0</v>
      </c>
      <c r="AI2">
        <f>BDH("CENX US Equity","IS_DEPR_EXP","1993-06-18","2026-05-02","Per=Y","Days=T","Dir=V")</f>
        <v>0</v>
      </c>
      <c r="AK2">
        <f>BDH("CENX US Equity","CF_CASH_FROM_OPER","1993-06-18","2026-05-02","Per=Y","Days=T","Dir=V")</f>
        <v>0</v>
      </c>
      <c r="AM2">
        <f>BDH("CENX US Equity","CAPITAL_EXPEND","1993-06-18","2026-05-02","Per=Y","Days=T","Dir=V")</f>
        <v>0</v>
      </c>
      <c r="AO2">
        <f>BDH("CENX US Equity","CF_FREE_CASH_FLOW","1993-06-18","2026-05-02","Per=Y","Days=T","Dir=V")</f>
        <v>0</v>
      </c>
      <c r="AQ2">
        <f>BDH("CENX US Equity","PX_LAST","1993-06-18","2026-05-02","Per=M","Days=T","Dir=V")</f>
        <v>0</v>
      </c>
      <c r="AS2">
        <f>BDH("CENX US Equity","CUR_MKT_CAP","1993-06-18","2026-05-02","Per=M","Days=T","Dir=V")</f>
        <v>0</v>
      </c>
      <c r="AU2">
        <f>BDH("CENX US Equity","EQY_SH_OUT","1993-06-18","2026-05-02","Per=M","Days=T","Dir=V")</f>
        <v>0</v>
      </c>
      <c r="AW2">
        <f>BDH("CENX US Equity","PX_VOLUME","1993-06-18","2026-05-02","Per=M","Days=T","Dir=V")</f>
        <v>0</v>
      </c>
      <c r="AY2">
        <f>BDH("CENX US Equity","TURNOVER","1993-06-18","2026-05-02","Per=M","Days=T","Dir=V")</f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BDH("CEPL US Equity","BS_TOT_ASSET","1993-06-18","2026-05-02","Per=Y","Days=T","Dir=V")</f>
        <v>0</v>
      </c>
      <c r="C2">
        <f>BDH("CEPL US Equity","BS_TOT_LIAB2","1993-06-18","2026-05-02","Per=Y","Days=T","Dir=V")</f>
        <v>0</v>
      </c>
      <c r="E2">
        <f>BDH("CEPL US Equity","SHORT_AND_LONG_TERM_DEBT","1993-06-18","2026-05-02","Per=Y","Days=T","Dir=V")</f>
        <v>0</v>
      </c>
      <c r="G2">
        <f>BDH("CEPL US Equity","BS_ST_BORROW","1993-06-18","2026-05-02","Per=Y","Days=T","Dir=V")</f>
        <v>0</v>
      </c>
      <c r="I2">
        <f>BDH("CEPL US Equity","BS_LT_BORROW","1993-06-18","2026-05-02","Per=Y","Days=T","Dir=V")</f>
        <v>0</v>
      </c>
      <c r="K2">
        <f>BDH("CEPL US Equity","BS_CASH_NEAR_CASH_ITEM","1993-06-18","2026-05-02","Per=Y","Days=T","Dir=V")</f>
        <v>0</v>
      </c>
      <c r="M2">
        <f>BDH("CEPL US Equity","BS_CUR_ASSET_REPORT","1993-06-18","2026-05-02","Per=Y","Days=T","Dir=V")</f>
        <v>0</v>
      </c>
      <c r="O2">
        <f>BDH("CEPL US Equity","BS_CUR_LIAB","1993-06-18","2026-05-02","Per=Y","Days=T","Dir=V")</f>
        <v>0</v>
      </c>
      <c r="Q2">
        <f>BDH("CEPL US Equity","BS_SHAREHOLDER_EQY_ENDING_PERIOD","1993-06-18","2026-05-02","Per=Y","Days=T","Dir=V")</f>
        <v>0</v>
      </c>
      <c r="S2">
        <f>BDH("CEPL US Equity","BS_ACCT_NOTE_RCV","1993-06-18","2026-05-02","Per=Y","Days=T","Dir=V")</f>
        <v>0</v>
      </c>
      <c r="U2">
        <f>BDH("CEPL US Equity","BS_INVENTORIES","1993-06-18","2026-05-02","Per=Y","Days=T","Dir=V")</f>
        <v>0</v>
      </c>
      <c r="W2">
        <f>BDH("CEPL US Equity","WORKING_CAPITAL","1993-06-18","2026-05-02","Per=Y","Days=T","Dir=V")</f>
        <v>0</v>
      </c>
      <c r="Y2">
        <f>BDH("CEPL US Equity","SALES_REV_TURN","1993-06-18","2026-05-02","Per=Y","Days=T","Dir=V")</f>
        <v>0</v>
      </c>
      <c r="AA2">
        <f>BDH("CEPL US Equity","EBIT","1993-06-18","2026-05-02","Per=Y","Days=T","Dir=V")</f>
        <v>0</v>
      </c>
      <c r="AC2">
        <f>BDH("CEPL US Equity","EBITDA","1993-06-18","2026-05-02","Per=Y","Days=T","Dir=V")</f>
        <v>0</v>
      </c>
      <c r="AE2">
        <f>BDH("CEPL US Equity","NET_INCOME","1993-06-18","2026-05-02","Per=Y","Days=T","Dir=V")</f>
        <v>0</v>
      </c>
      <c r="AG2">
        <f>BDH("CEPL US Equity","IS_INT_EXPENSE","1993-06-18","2026-05-02","Per=Y","Days=T","Dir=V")</f>
        <v>0</v>
      </c>
      <c r="AI2">
        <f>BDH("CEPL US Equity","IS_DEPR_EXP","1993-06-18","2026-05-02","Per=Y","Days=T","Dir=V")</f>
        <v>0</v>
      </c>
      <c r="AK2">
        <f>BDH("CEPL US Equity","CF_CASH_FROM_OPER","1993-06-18","2026-05-02","Per=Y","Days=T","Dir=V")</f>
        <v>0</v>
      </c>
      <c r="AM2">
        <f>BDH("CEPL US Equity","CAPITAL_EXPEND","1993-06-18","2026-05-02","Per=Y","Days=T","Dir=V")</f>
        <v>0</v>
      </c>
      <c r="AO2">
        <f>BDH("CEPL US Equity","CF_FREE_CASH_FLOW","1993-06-18","2026-05-02","Per=Y","Days=T","Dir=V")</f>
        <v>0</v>
      </c>
      <c r="AQ2">
        <f>BDH("CEPL US Equity","PX_LAST","1993-06-18","2026-05-02","Per=M","Days=T","Dir=V")</f>
        <v>0</v>
      </c>
      <c r="AS2">
        <f>BDH("CEPL US Equity","CUR_MKT_CAP","1993-06-18","2026-05-02","Per=M","Days=T","Dir=V")</f>
        <v>0</v>
      </c>
      <c r="AU2">
        <f>BDH("CEPL US Equity","EQY_SH_OUT","1993-06-18","2026-05-02","Per=M","Days=T","Dir=V")</f>
        <v>0</v>
      </c>
      <c r="AW2">
        <f>BDH("CEPL US Equity","PX_VOLUME","1993-06-18","2026-05-02","Per=M","Days=T","Dir=V")</f>
        <v>0</v>
      </c>
      <c r="AY2">
        <f>BDH("CEPL US Equity","TURNOVER","1993-06-18","2026-05-02","Per=M","Days=T","Dir=V")</f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BDH("CERS US Equity","BS_TOT_ASSET","1993-06-18","2026-05-02","Per=Y","Days=T","Dir=V")</f>
        <v>0</v>
      </c>
      <c r="C2">
        <f>BDH("CERS US Equity","BS_TOT_LIAB2","1993-06-18","2026-05-02","Per=Y","Days=T","Dir=V")</f>
        <v>0</v>
      </c>
      <c r="E2">
        <f>BDH("CERS US Equity","SHORT_AND_LONG_TERM_DEBT","1993-06-18","2026-05-02","Per=Y","Days=T","Dir=V")</f>
        <v>0</v>
      </c>
      <c r="G2">
        <f>BDH("CERS US Equity","BS_ST_BORROW","1993-06-18","2026-05-02","Per=Y","Days=T","Dir=V")</f>
        <v>0</v>
      </c>
      <c r="I2">
        <f>BDH("CERS US Equity","BS_LT_BORROW","1993-06-18","2026-05-02","Per=Y","Days=T","Dir=V")</f>
        <v>0</v>
      </c>
      <c r="K2">
        <f>BDH("CERS US Equity","BS_CASH_NEAR_CASH_ITEM","1993-06-18","2026-05-02","Per=Y","Days=T","Dir=V")</f>
        <v>0</v>
      </c>
      <c r="M2">
        <f>BDH("CERS US Equity","BS_CUR_ASSET_REPORT","1993-06-18","2026-05-02","Per=Y","Days=T","Dir=V")</f>
        <v>0</v>
      </c>
      <c r="O2">
        <f>BDH("CERS US Equity","BS_CUR_LIAB","1993-06-18","2026-05-02","Per=Y","Days=T","Dir=V")</f>
        <v>0</v>
      </c>
      <c r="Q2">
        <f>BDH("CERS US Equity","BS_SHAREHOLDER_EQY_ENDING_PERIOD","1993-06-18","2026-05-02","Per=Y","Days=T","Dir=V")</f>
        <v>0</v>
      </c>
      <c r="S2">
        <f>BDH("CERS US Equity","BS_ACCT_NOTE_RCV","1993-06-18","2026-05-02","Per=Y","Days=T","Dir=V")</f>
        <v>0</v>
      </c>
      <c r="U2">
        <f>BDH("CERS US Equity","BS_INVENTORIES","1993-06-18","2026-05-02","Per=Y","Days=T","Dir=V")</f>
        <v>0</v>
      </c>
      <c r="W2">
        <f>BDH("CERS US Equity","WORKING_CAPITAL","1993-06-18","2026-05-02","Per=Y","Days=T","Dir=V")</f>
        <v>0</v>
      </c>
      <c r="Y2">
        <f>BDH("CERS US Equity","SALES_REV_TURN","1993-06-18","2026-05-02","Per=Y","Days=T","Dir=V")</f>
        <v>0</v>
      </c>
      <c r="AA2">
        <f>BDH("CERS US Equity","EBIT","1993-06-18","2026-05-02","Per=Y","Days=T","Dir=V")</f>
        <v>0</v>
      </c>
      <c r="AC2">
        <f>BDH("CERS US Equity","EBITDA","1993-06-18","2026-05-02","Per=Y","Days=T","Dir=V")</f>
        <v>0</v>
      </c>
      <c r="AE2">
        <f>BDH("CERS US Equity","NET_INCOME","1993-06-18","2026-05-02","Per=Y","Days=T","Dir=V")</f>
        <v>0</v>
      </c>
      <c r="AG2">
        <f>BDH("CERS US Equity","IS_INT_EXPENSE","1993-06-18","2026-05-02","Per=Y","Days=T","Dir=V")</f>
        <v>0</v>
      </c>
      <c r="AI2">
        <f>BDH("CERS US Equity","IS_DEPR_EXP","1993-06-18","2026-05-02","Per=Y","Days=T","Dir=V")</f>
        <v>0</v>
      </c>
      <c r="AK2">
        <f>BDH("CERS US Equity","CF_CASH_FROM_OPER","1993-06-18","2026-05-02","Per=Y","Days=T","Dir=V")</f>
        <v>0</v>
      </c>
      <c r="AM2">
        <f>BDH("CERS US Equity","CAPITAL_EXPEND","1993-06-18","2026-05-02","Per=Y","Days=T","Dir=V")</f>
        <v>0</v>
      </c>
      <c r="AO2">
        <f>BDH("CERS US Equity","CF_FREE_CASH_FLOW","1993-06-18","2026-05-02","Per=Y","Days=T","Dir=V")</f>
        <v>0</v>
      </c>
      <c r="AQ2">
        <f>BDH("CERS US Equity","PX_LAST","1993-06-18","2026-05-02","Per=M","Days=T","Dir=V")</f>
        <v>0</v>
      </c>
      <c r="AS2">
        <f>BDH("CERS US Equity","CUR_MKT_CAP","1993-06-18","2026-05-02","Per=M","Days=T","Dir=V")</f>
        <v>0</v>
      </c>
      <c r="AU2">
        <f>BDH("CERS US Equity","EQY_SH_OUT","1993-06-18","2026-05-02","Per=M","Days=T","Dir=V")</f>
        <v>0</v>
      </c>
      <c r="AW2">
        <f>BDH("CERS US Equity","PX_VOLUME","1993-06-18","2026-05-02","Per=M","Days=T","Dir=V")</f>
        <v>0</v>
      </c>
      <c r="AY2">
        <f>BDH("CERS US Equity","TURNOVER","1993-06-18","2026-05-02","Per=M","Days=T","Dir=V")</f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BDH("CERT US Equity","BS_TOT_ASSET","1993-06-18","2026-05-02","Per=Y","Days=T","Dir=V")</f>
        <v>0</v>
      </c>
      <c r="C2">
        <f>BDH("CERT US Equity","BS_TOT_LIAB2","1993-06-18","2026-05-02","Per=Y","Days=T","Dir=V")</f>
        <v>0</v>
      </c>
      <c r="E2">
        <f>BDH("CERT US Equity","SHORT_AND_LONG_TERM_DEBT","1993-06-18","2026-05-02","Per=Y","Days=T","Dir=V")</f>
        <v>0</v>
      </c>
      <c r="G2">
        <f>BDH("CERT US Equity","BS_ST_BORROW","1993-06-18","2026-05-02","Per=Y","Days=T","Dir=V")</f>
        <v>0</v>
      </c>
      <c r="I2">
        <f>BDH("CERT US Equity","BS_LT_BORROW","1993-06-18","2026-05-02","Per=Y","Days=T","Dir=V")</f>
        <v>0</v>
      </c>
      <c r="K2">
        <f>BDH("CERT US Equity","BS_CASH_NEAR_CASH_ITEM","1993-06-18","2026-05-02","Per=Y","Days=T","Dir=V")</f>
        <v>0</v>
      </c>
      <c r="M2">
        <f>BDH("CERT US Equity","BS_CUR_ASSET_REPORT","1993-06-18","2026-05-02","Per=Y","Days=T","Dir=V")</f>
        <v>0</v>
      </c>
      <c r="O2">
        <f>BDH("CERT US Equity","BS_CUR_LIAB","1993-06-18","2026-05-02","Per=Y","Days=T","Dir=V")</f>
        <v>0</v>
      </c>
      <c r="Q2">
        <f>BDH("CERT US Equity","BS_SHAREHOLDER_EQY_ENDING_PERIOD","1993-06-18","2026-05-02","Per=Y","Days=T","Dir=V")</f>
        <v>0</v>
      </c>
      <c r="S2">
        <f>BDH("CERT US Equity","BS_ACCT_NOTE_RCV","1993-06-18","2026-05-02","Per=Y","Days=T","Dir=V")</f>
        <v>0</v>
      </c>
      <c r="U2">
        <f>BDH("CERT US Equity","BS_INVENTORIES","1993-06-18","2026-05-02","Per=Y","Days=T","Dir=V")</f>
        <v>0</v>
      </c>
      <c r="W2">
        <f>BDH("CERT US Equity","WORKING_CAPITAL","1993-06-18","2026-05-02","Per=Y","Days=T","Dir=V")</f>
        <v>0</v>
      </c>
      <c r="Y2">
        <f>BDH("CERT US Equity","SALES_REV_TURN","1993-06-18","2026-05-02","Per=Y","Days=T","Dir=V")</f>
        <v>0</v>
      </c>
      <c r="AA2">
        <f>BDH("CERT US Equity","EBIT","1993-06-18","2026-05-02","Per=Y","Days=T","Dir=V")</f>
        <v>0</v>
      </c>
      <c r="AC2">
        <f>BDH("CERT US Equity","EBITDA","1993-06-18","2026-05-02","Per=Y","Days=T","Dir=V")</f>
        <v>0</v>
      </c>
      <c r="AE2">
        <f>BDH("CERT US Equity","NET_INCOME","1993-06-18","2026-05-02","Per=Y","Days=T","Dir=V")</f>
        <v>0</v>
      </c>
      <c r="AG2">
        <f>BDH("CERT US Equity","IS_INT_EXPENSE","1993-06-18","2026-05-02","Per=Y","Days=T","Dir=V")</f>
        <v>0</v>
      </c>
      <c r="AI2">
        <f>BDH("CERT US Equity","IS_DEPR_EXP","1993-06-18","2026-05-02","Per=Y","Days=T","Dir=V")</f>
        <v>0</v>
      </c>
      <c r="AK2">
        <f>BDH("CERT US Equity","CF_CASH_FROM_OPER","1993-06-18","2026-05-02","Per=Y","Days=T","Dir=V")</f>
        <v>0</v>
      </c>
      <c r="AM2">
        <f>BDH("CERT US Equity","CAPITAL_EXPEND","1993-06-18","2026-05-02","Per=Y","Days=T","Dir=V")</f>
        <v>0</v>
      </c>
      <c r="AO2">
        <f>BDH("CERT US Equity","CF_FREE_CASH_FLOW","1993-06-18","2026-05-02","Per=Y","Days=T","Dir=V")</f>
        <v>0</v>
      </c>
      <c r="AQ2">
        <f>BDH("CERT US Equity","PX_LAST","1993-06-18","2026-05-02","Per=M","Days=T","Dir=V")</f>
        <v>0</v>
      </c>
      <c r="AS2">
        <f>BDH("CERT US Equity","CUR_MKT_CAP","1993-06-18","2026-05-02","Per=M","Days=T","Dir=V")</f>
        <v>0</v>
      </c>
      <c r="AU2">
        <f>BDH("CERT US Equity","EQY_SH_OUT","1993-06-18","2026-05-02","Per=M","Days=T","Dir=V")</f>
        <v>0</v>
      </c>
      <c r="AW2">
        <f>BDH("CERT US Equity","PX_VOLUME","1993-06-18","2026-05-02","Per=M","Days=T","Dir=V")</f>
        <v>0</v>
      </c>
      <c r="AY2">
        <f>BDH("CERT US Equity","TURNOVER","1993-06-18","2026-05-02","Per=M","Days=T","Dir=V")</f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BDH("CETX US Equity","BS_TOT_ASSET","1993-06-18","2026-05-02","Per=Y","Days=T","Dir=V")</f>
        <v>0</v>
      </c>
      <c r="C2">
        <f>BDH("CETX US Equity","BS_TOT_LIAB2","1993-06-18","2026-05-02","Per=Y","Days=T","Dir=V")</f>
        <v>0</v>
      </c>
      <c r="E2">
        <f>BDH("CETX US Equity","SHORT_AND_LONG_TERM_DEBT","1993-06-18","2026-05-02","Per=Y","Days=T","Dir=V")</f>
        <v>0</v>
      </c>
      <c r="G2">
        <f>BDH("CETX US Equity","BS_ST_BORROW","1993-06-18","2026-05-02","Per=Y","Days=T","Dir=V")</f>
        <v>0</v>
      </c>
      <c r="I2">
        <f>BDH("CETX US Equity","BS_LT_BORROW","1993-06-18","2026-05-02","Per=Y","Days=T","Dir=V")</f>
        <v>0</v>
      </c>
      <c r="K2">
        <f>BDH("CETX US Equity","BS_CASH_NEAR_CASH_ITEM","1993-06-18","2026-05-02","Per=Y","Days=T","Dir=V")</f>
        <v>0</v>
      </c>
      <c r="M2">
        <f>BDH("CETX US Equity","BS_CUR_ASSET_REPORT","1993-06-18","2026-05-02","Per=Y","Days=T","Dir=V")</f>
        <v>0</v>
      </c>
      <c r="O2">
        <f>BDH("CETX US Equity","BS_CUR_LIAB","1993-06-18","2026-05-02","Per=Y","Days=T","Dir=V")</f>
        <v>0</v>
      </c>
      <c r="Q2">
        <f>BDH("CETX US Equity","BS_SHAREHOLDER_EQY_ENDING_PERIOD","1993-06-18","2026-05-02","Per=Y","Days=T","Dir=V")</f>
        <v>0</v>
      </c>
      <c r="S2">
        <f>BDH("CETX US Equity","BS_ACCT_NOTE_RCV","1993-06-18","2026-05-02","Per=Y","Days=T","Dir=V")</f>
        <v>0</v>
      </c>
      <c r="U2">
        <f>BDH("CETX US Equity","BS_INVENTORIES","1993-06-18","2026-05-02","Per=Y","Days=T","Dir=V")</f>
        <v>0</v>
      </c>
      <c r="W2">
        <f>BDH("CETX US Equity","WORKING_CAPITAL","1993-06-18","2026-05-02","Per=Y","Days=T","Dir=V")</f>
        <v>0</v>
      </c>
      <c r="Y2">
        <f>BDH("CETX US Equity","SALES_REV_TURN","1993-06-18","2026-05-02","Per=Y","Days=T","Dir=V")</f>
        <v>0</v>
      </c>
      <c r="AA2">
        <f>BDH("CETX US Equity","EBIT","1993-06-18","2026-05-02","Per=Y","Days=T","Dir=V")</f>
        <v>0</v>
      </c>
      <c r="AC2">
        <f>BDH("CETX US Equity","EBITDA","1993-06-18","2026-05-02","Per=Y","Days=T","Dir=V")</f>
        <v>0</v>
      </c>
      <c r="AE2">
        <f>BDH("CETX US Equity","NET_INCOME","1993-06-18","2026-05-02","Per=Y","Days=T","Dir=V")</f>
        <v>0</v>
      </c>
      <c r="AG2">
        <f>BDH("CETX US Equity","IS_INT_EXPENSE","1993-06-18","2026-05-02","Per=Y","Days=T","Dir=V")</f>
        <v>0</v>
      </c>
      <c r="AI2">
        <f>BDH("CETX US Equity","IS_DEPR_EXP","1993-06-18","2026-05-02","Per=Y","Days=T","Dir=V")</f>
        <v>0</v>
      </c>
      <c r="AK2">
        <f>BDH("CETX US Equity","CF_CASH_FROM_OPER","1993-06-18","2026-05-02","Per=Y","Days=T","Dir=V")</f>
        <v>0</v>
      </c>
      <c r="AM2">
        <f>BDH("CETX US Equity","CAPITAL_EXPEND","1993-06-18","2026-05-02","Per=Y","Days=T","Dir=V")</f>
        <v>0</v>
      </c>
      <c r="AO2">
        <f>BDH("CETX US Equity","CF_FREE_CASH_FLOW","1993-06-18","2026-05-02","Per=Y","Days=T","Dir=V")</f>
        <v>0</v>
      </c>
      <c r="AQ2">
        <f>BDH("CETX US Equity","PX_LAST","1993-06-18","2026-05-02","Per=M","Days=T","Dir=V")</f>
        <v>0</v>
      </c>
      <c r="AS2">
        <f>BDH("CETX US Equity","CUR_MKT_CAP","1993-06-18","2026-05-02","Per=M","Days=T","Dir=V")</f>
        <v>0</v>
      </c>
      <c r="AU2">
        <f>BDH("CETX US Equity","EQY_SH_OUT","1993-06-18","2026-05-02","Per=M","Days=T","Dir=V")</f>
        <v>0</v>
      </c>
      <c r="AW2">
        <f>BDH("CETX US Equity","PX_VOLUME","1993-06-18","2026-05-02","Per=M","Days=T","Dir=V")</f>
        <v>0</v>
      </c>
      <c r="AY2">
        <f>BDH("CETX US Equity","TURNOVER","1993-06-18","2026-05-02","Per=M","Days=T","Dir=V")</f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BDH("CETY US Equity","BS_TOT_ASSET","1993-06-18","2026-05-02","Per=Y","Days=T","Dir=V")</f>
        <v>0</v>
      </c>
      <c r="C2">
        <f>BDH("CETY US Equity","BS_TOT_LIAB2","1993-06-18","2026-05-02","Per=Y","Days=T","Dir=V")</f>
        <v>0</v>
      </c>
      <c r="E2">
        <f>BDH("CETY US Equity","SHORT_AND_LONG_TERM_DEBT","1993-06-18","2026-05-02","Per=Y","Days=T","Dir=V")</f>
        <v>0</v>
      </c>
      <c r="G2">
        <f>BDH("CETY US Equity","BS_ST_BORROW","1993-06-18","2026-05-02","Per=Y","Days=T","Dir=V")</f>
        <v>0</v>
      </c>
      <c r="I2">
        <f>BDH("CETY US Equity","BS_LT_BORROW","1993-06-18","2026-05-02","Per=Y","Days=T","Dir=V")</f>
        <v>0</v>
      </c>
      <c r="K2">
        <f>BDH("CETY US Equity","BS_CASH_NEAR_CASH_ITEM","1993-06-18","2026-05-02","Per=Y","Days=T","Dir=V")</f>
        <v>0</v>
      </c>
      <c r="M2">
        <f>BDH("CETY US Equity","BS_CUR_ASSET_REPORT","1993-06-18","2026-05-02","Per=Y","Days=T","Dir=V")</f>
        <v>0</v>
      </c>
      <c r="O2">
        <f>BDH("CETY US Equity","BS_CUR_LIAB","1993-06-18","2026-05-02","Per=Y","Days=T","Dir=V")</f>
        <v>0</v>
      </c>
      <c r="Q2">
        <f>BDH("CETY US Equity","BS_SHAREHOLDER_EQY_ENDING_PERIOD","1993-06-18","2026-05-02","Per=Y","Days=T","Dir=V")</f>
        <v>0</v>
      </c>
      <c r="S2">
        <f>BDH("CETY US Equity","BS_ACCT_NOTE_RCV","1993-06-18","2026-05-02","Per=Y","Days=T","Dir=V")</f>
        <v>0</v>
      </c>
      <c r="U2">
        <f>BDH("CETY US Equity","BS_INVENTORIES","1993-06-18","2026-05-02","Per=Y","Days=T","Dir=V")</f>
        <v>0</v>
      </c>
      <c r="W2">
        <f>BDH("CETY US Equity","WORKING_CAPITAL","1993-06-18","2026-05-02","Per=Y","Days=T","Dir=V")</f>
        <v>0</v>
      </c>
      <c r="Y2">
        <f>BDH("CETY US Equity","SALES_REV_TURN","1993-06-18","2026-05-02","Per=Y","Days=T","Dir=V")</f>
        <v>0</v>
      </c>
      <c r="AA2">
        <f>BDH("CETY US Equity","EBIT","1993-06-18","2026-05-02","Per=Y","Days=T","Dir=V")</f>
        <v>0</v>
      </c>
      <c r="AC2">
        <f>BDH("CETY US Equity","EBITDA","1993-06-18","2026-05-02","Per=Y","Days=T","Dir=V")</f>
        <v>0</v>
      </c>
      <c r="AE2">
        <f>BDH("CETY US Equity","NET_INCOME","1993-06-18","2026-05-02","Per=Y","Days=T","Dir=V")</f>
        <v>0</v>
      </c>
      <c r="AG2">
        <f>BDH("CETY US Equity","IS_INT_EXPENSE","1993-06-18","2026-05-02","Per=Y","Days=T","Dir=V")</f>
        <v>0</v>
      </c>
      <c r="AI2">
        <f>BDH("CETY US Equity","IS_DEPR_EXP","1993-06-18","2026-05-02","Per=Y","Days=T","Dir=V")</f>
        <v>0</v>
      </c>
      <c r="AK2">
        <f>BDH("CETY US Equity","CF_CASH_FROM_OPER","1993-06-18","2026-05-02","Per=Y","Days=T","Dir=V")</f>
        <v>0</v>
      </c>
      <c r="AM2">
        <f>BDH("CETY US Equity","CAPITAL_EXPEND","1993-06-18","2026-05-02","Per=Y","Days=T","Dir=V")</f>
        <v>0</v>
      </c>
      <c r="AO2">
        <f>BDH("CETY US Equity","CF_FREE_CASH_FLOW","1993-06-18","2026-05-02","Per=Y","Days=T","Dir=V")</f>
        <v>0</v>
      </c>
      <c r="AQ2">
        <f>BDH("CETY US Equity","PX_LAST","1993-06-18","2026-05-02","Per=M","Days=T","Dir=V")</f>
        <v>0</v>
      </c>
      <c r="AS2">
        <f>BDH("CETY US Equity","CUR_MKT_CAP","1993-06-18","2026-05-02","Per=M","Days=T","Dir=V")</f>
        <v>0</v>
      </c>
      <c r="AU2">
        <f>BDH("CETY US Equity","EQY_SH_OUT","1993-06-18","2026-05-02","Per=M","Days=T","Dir=V")</f>
        <v>0</v>
      </c>
      <c r="AW2">
        <f>BDH("CETY US Equity","PX_VOLUME","1993-06-18","2026-05-02","Per=M","Days=T","Dir=V")</f>
        <v>0</v>
      </c>
      <c r="AY2">
        <f>BDH("CETY US Equity","TURNOVER","1993-06-18","2026-05-02","Per=M","Days=T","Dir=V")</f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BDH("CEVA US Equity","BS_TOT_ASSET","1993-06-18","2026-05-02","Per=Y","Days=T","Dir=V")</f>
        <v>0</v>
      </c>
      <c r="C2">
        <f>BDH("CEVA US Equity","BS_TOT_LIAB2","1993-06-18","2026-05-02","Per=Y","Days=T","Dir=V")</f>
        <v>0</v>
      </c>
      <c r="E2">
        <f>BDH("CEVA US Equity","SHORT_AND_LONG_TERM_DEBT","1993-06-18","2026-05-02","Per=Y","Days=T","Dir=V")</f>
        <v>0</v>
      </c>
      <c r="G2">
        <f>BDH("CEVA US Equity","BS_ST_BORROW","1993-06-18","2026-05-02","Per=Y","Days=T","Dir=V")</f>
        <v>0</v>
      </c>
      <c r="I2">
        <f>BDH("CEVA US Equity","BS_LT_BORROW","1993-06-18","2026-05-02","Per=Y","Days=T","Dir=V")</f>
        <v>0</v>
      </c>
      <c r="K2">
        <f>BDH("CEVA US Equity","BS_CASH_NEAR_CASH_ITEM","1993-06-18","2026-05-02","Per=Y","Days=T","Dir=V")</f>
        <v>0</v>
      </c>
      <c r="M2">
        <f>BDH("CEVA US Equity","BS_CUR_ASSET_REPORT","1993-06-18","2026-05-02","Per=Y","Days=T","Dir=V")</f>
        <v>0</v>
      </c>
      <c r="O2">
        <f>BDH("CEVA US Equity","BS_CUR_LIAB","1993-06-18","2026-05-02","Per=Y","Days=T","Dir=V")</f>
        <v>0</v>
      </c>
      <c r="Q2">
        <f>BDH("CEVA US Equity","BS_SHAREHOLDER_EQY_ENDING_PERIOD","1993-06-18","2026-05-02","Per=Y","Days=T","Dir=V")</f>
        <v>0</v>
      </c>
      <c r="S2">
        <f>BDH("CEVA US Equity","BS_ACCT_NOTE_RCV","1993-06-18","2026-05-02","Per=Y","Days=T","Dir=V")</f>
        <v>0</v>
      </c>
      <c r="U2">
        <f>BDH("CEVA US Equity","BS_INVENTORIES","1993-06-18","2026-05-02","Per=Y","Days=T","Dir=V")</f>
        <v>0</v>
      </c>
      <c r="W2">
        <f>BDH("CEVA US Equity","WORKING_CAPITAL","1993-06-18","2026-05-02","Per=Y","Days=T","Dir=V")</f>
        <v>0</v>
      </c>
      <c r="Y2">
        <f>BDH("CEVA US Equity","SALES_REV_TURN","1993-06-18","2026-05-02","Per=Y","Days=T","Dir=V")</f>
        <v>0</v>
      </c>
      <c r="AA2">
        <f>BDH("CEVA US Equity","EBIT","1993-06-18","2026-05-02","Per=Y","Days=T","Dir=V")</f>
        <v>0</v>
      </c>
      <c r="AC2">
        <f>BDH("CEVA US Equity","EBITDA","1993-06-18","2026-05-02","Per=Y","Days=T","Dir=V")</f>
        <v>0</v>
      </c>
      <c r="AE2">
        <f>BDH("CEVA US Equity","NET_INCOME","1993-06-18","2026-05-02","Per=Y","Days=T","Dir=V")</f>
        <v>0</v>
      </c>
      <c r="AG2">
        <f>BDH("CEVA US Equity","IS_INT_EXPENSE","1993-06-18","2026-05-02","Per=Y","Days=T","Dir=V")</f>
        <v>0</v>
      </c>
      <c r="AI2">
        <f>BDH("CEVA US Equity","IS_DEPR_EXP","1993-06-18","2026-05-02","Per=Y","Days=T","Dir=V")</f>
        <v>0</v>
      </c>
      <c r="AK2">
        <f>BDH("CEVA US Equity","CF_CASH_FROM_OPER","1993-06-18","2026-05-02","Per=Y","Days=T","Dir=V")</f>
        <v>0</v>
      </c>
      <c r="AM2">
        <f>BDH("CEVA US Equity","CAPITAL_EXPEND","1993-06-18","2026-05-02","Per=Y","Days=T","Dir=V")</f>
        <v>0</v>
      </c>
      <c r="AO2">
        <f>BDH("CEVA US Equity","CF_FREE_CASH_FLOW","1993-06-18","2026-05-02","Per=Y","Days=T","Dir=V")</f>
        <v>0</v>
      </c>
      <c r="AQ2">
        <f>BDH("CEVA US Equity","PX_LAST","1993-06-18","2026-05-02","Per=M","Days=T","Dir=V")</f>
        <v>0</v>
      </c>
      <c r="AS2">
        <f>BDH("CEVA US Equity","CUR_MKT_CAP","1993-06-18","2026-05-02","Per=M","Days=T","Dir=V")</f>
        <v>0</v>
      </c>
      <c r="AU2">
        <f>BDH("CEVA US Equity","EQY_SH_OUT","1993-06-18","2026-05-02","Per=M","Days=T","Dir=V")</f>
        <v>0</v>
      </c>
      <c r="AW2">
        <f>BDH("CEVA US Equity","PX_VOLUME","1993-06-18","2026-05-02","Per=M","Days=T","Dir=V")</f>
        <v>0</v>
      </c>
      <c r="AY2">
        <f>BDH("CEVA US Equity","TURNOVER","1993-06-18","2026-05-02","Per=M","Days=T","Dir=V")</f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BDH("CF US Equity","BS_TOT_ASSET","1993-06-18","2026-05-02","Per=Y","Days=T","Dir=V")</f>
        <v>0</v>
      </c>
      <c r="C2">
        <f>BDH("CF US Equity","BS_TOT_LIAB2","1993-06-18","2026-05-02","Per=Y","Days=T","Dir=V")</f>
        <v>0</v>
      </c>
      <c r="E2">
        <f>BDH("CF US Equity","SHORT_AND_LONG_TERM_DEBT","1993-06-18","2026-05-02","Per=Y","Days=T","Dir=V")</f>
        <v>0</v>
      </c>
      <c r="G2">
        <f>BDH("CF US Equity","BS_ST_BORROW","1993-06-18","2026-05-02","Per=Y","Days=T","Dir=V")</f>
        <v>0</v>
      </c>
      <c r="I2">
        <f>BDH("CF US Equity","BS_LT_BORROW","1993-06-18","2026-05-02","Per=Y","Days=T","Dir=V")</f>
        <v>0</v>
      </c>
      <c r="K2">
        <f>BDH("CF US Equity","BS_CASH_NEAR_CASH_ITEM","1993-06-18","2026-05-02","Per=Y","Days=T","Dir=V")</f>
        <v>0</v>
      </c>
      <c r="M2">
        <f>BDH("CF US Equity","BS_CUR_ASSET_REPORT","1993-06-18","2026-05-02","Per=Y","Days=T","Dir=V")</f>
        <v>0</v>
      </c>
      <c r="O2">
        <f>BDH("CF US Equity","BS_CUR_LIAB","1993-06-18","2026-05-02","Per=Y","Days=T","Dir=V")</f>
        <v>0</v>
      </c>
      <c r="Q2">
        <f>BDH("CF US Equity","BS_SHAREHOLDER_EQY_ENDING_PERIOD","1993-06-18","2026-05-02","Per=Y","Days=T","Dir=V")</f>
        <v>0</v>
      </c>
      <c r="S2">
        <f>BDH("CF US Equity","BS_ACCT_NOTE_RCV","1993-06-18","2026-05-02","Per=Y","Days=T","Dir=V")</f>
        <v>0</v>
      </c>
      <c r="U2">
        <f>BDH("CF US Equity","BS_INVENTORIES","1993-06-18","2026-05-02","Per=Y","Days=T","Dir=V")</f>
        <v>0</v>
      </c>
      <c r="W2">
        <f>BDH("CF US Equity","WORKING_CAPITAL","1993-06-18","2026-05-02","Per=Y","Days=T","Dir=V")</f>
        <v>0</v>
      </c>
      <c r="Y2">
        <f>BDH("CF US Equity","SALES_REV_TURN","1993-06-18","2026-05-02","Per=Y","Days=T","Dir=V")</f>
        <v>0</v>
      </c>
      <c r="AA2">
        <f>BDH("CF US Equity","EBIT","1993-06-18","2026-05-02","Per=Y","Days=T","Dir=V")</f>
        <v>0</v>
      </c>
      <c r="AC2">
        <f>BDH("CF US Equity","EBITDA","1993-06-18","2026-05-02","Per=Y","Days=T","Dir=V")</f>
        <v>0</v>
      </c>
      <c r="AE2">
        <f>BDH("CF US Equity","NET_INCOME","1993-06-18","2026-05-02","Per=Y","Days=T","Dir=V")</f>
        <v>0</v>
      </c>
      <c r="AG2">
        <f>BDH("CF US Equity","IS_INT_EXPENSE","1993-06-18","2026-05-02","Per=Y","Days=T","Dir=V")</f>
        <v>0</v>
      </c>
      <c r="AI2">
        <f>BDH("CF US Equity","IS_DEPR_EXP","1993-06-18","2026-05-02","Per=Y","Days=T","Dir=V")</f>
        <v>0</v>
      </c>
      <c r="AK2">
        <f>BDH("CF US Equity","CF_CASH_FROM_OPER","1993-06-18","2026-05-02","Per=Y","Days=T","Dir=V")</f>
        <v>0</v>
      </c>
      <c r="AM2">
        <f>BDH("CF US Equity","CAPITAL_EXPEND","1993-06-18","2026-05-02","Per=Y","Days=T","Dir=V")</f>
        <v>0</v>
      </c>
      <c r="AO2">
        <f>BDH("CF US Equity","CF_FREE_CASH_FLOW","1993-06-18","2026-05-02","Per=Y","Days=T","Dir=V")</f>
        <v>0</v>
      </c>
      <c r="AQ2">
        <f>BDH("CF US Equity","PX_LAST","1993-06-18","2026-05-02","Per=M","Days=T","Dir=V")</f>
        <v>0</v>
      </c>
      <c r="AS2">
        <f>BDH("CF US Equity","CUR_MKT_CAP","1993-06-18","2026-05-02","Per=M","Days=T","Dir=V")</f>
        <v>0</v>
      </c>
      <c r="AU2">
        <f>BDH("CF US Equity","EQY_SH_OUT","1993-06-18","2026-05-02","Per=M","Days=T","Dir=V")</f>
        <v>0</v>
      </c>
      <c r="AW2">
        <f>BDH("CF US Equity","PX_VOLUME","1993-06-18","2026-05-02","Per=M","Days=T","Dir=V")</f>
        <v>0</v>
      </c>
      <c r="AY2">
        <f>BDH("CF US Equity","TURNOVER","1993-06-18","2026-05-02","Per=M","Days=T","Dir=V")</f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BDH("CGEM US Equity","BS_TOT_ASSET","1993-06-18","2026-05-02","Per=Y","Days=T","Dir=V")</f>
        <v>0</v>
      </c>
      <c r="C2">
        <f>BDH("CGEM US Equity","BS_TOT_LIAB2","1993-06-18","2026-05-02","Per=Y","Days=T","Dir=V")</f>
        <v>0</v>
      </c>
      <c r="E2">
        <f>BDH("CGEM US Equity","SHORT_AND_LONG_TERM_DEBT","1993-06-18","2026-05-02","Per=Y","Days=T","Dir=V")</f>
        <v>0</v>
      </c>
      <c r="G2">
        <f>BDH("CGEM US Equity","BS_ST_BORROW","1993-06-18","2026-05-02","Per=Y","Days=T","Dir=V")</f>
        <v>0</v>
      </c>
      <c r="I2">
        <f>BDH("CGEM US Equity","BS_LT_BORROW","1993-06-18","2026-05-02","Per=Y","Days=T","Dir=V")</f>
        <v>0</v>
      </c>
      <c r="K2">
        <f>BDH("CGEM US Equity","BS_CASH_NEAR_CASH_ITEM","1993-06-18","2026-05-02","Per=Y","Days=T","Dir=V")</f>
        <v>0</v>
      </c>
      <c r="M2">
        <f>BDH("CGEM US Equity","BS_CUR_ASSET_REPORT","1993-06-18","2026-05-02","Per=Y","Days=T","Dir=V")</f>
        <v>0</v>
      </c>
      <c r="O2">
        <f>BDH("CGEM US Equity","BS_CUR_LIAB","1993-06-18","2026-05-02","Per=Y","Days=T","Dir=V")</f>
        <v>0</v>
      </c>
      <c r="Q2">
        <f>BDH("CGEM US Equity","BS_SHAREHOLDER_EQY_ENDING_PERIOD","1993-06-18","2026-05-02","Per=Y","Days=T","Dir=V")</f>
        <v>0</v>
      </c>
      <c r="S2">
        <f>BDH("CGEM US Equity","BS_ACCT_NOTE_RCV","1993-06-18","2026-05-02","Per=Y","Days=T","Dir=V")</f>
        <v>0</v>
      </c>
      <c r="U2">
        <f>BDH("CGEM US Equity","BS_INVENTORIES","1993-06-18","2026-05-02","Per=Y","Days=T","Dir=V")</f>
        <v>0</v>
      </c>
      <c r="W2">
        <f>BDH("CGEM US Equity","WORKING_CAPITAL","1993-06-18","2026-05-02","Per=Y","Days=T","Dir=V")</f>
        <v>0</v>
      </c>
      <c r="Y2">
        <f>BDH("CGEM US Equity","SALES_REV_TURN","1993-06-18","2026-05-02","Per=Y","Days=T","Dir=V")</f>
        <v>0</v>
      </c>
      <c r="AA2">
        <f>BDH("CGEM US Equity","EBIT","1993-06-18","2026-05-02","Per=Y","Days=T","Dir=V")</f>
        <v>0</v>
      </c>
      <c r="AC2">
        <f>BDH("CGEM US Equity","EBITDA","1993-06-18","2026-05-02","Per=Y","Days=T","Dir=V")</f>
        <v>0</v>
      </c>
      <c r="AE2">
        <f>BDH("CGEM US Equity","NET_INCOME","1993-06-18","2026-05-02","Per=Y","Days=T","Dir=V")</f>
        <v>0</v>
      </c>
      <c r="AG2">
        <f>BDH("CGEM US Equity","IS_INT_EXPENSE","1993-06-18","2026-05-02","Per=Y","Days=T","Dir=V")</f>
        <v>0</v>
      </c>
      <c r="AI2">
        <f>BDH("CGEM US Equity","IS_DEPR_EXP","1993-06-18","2026-05-02","Per=Y","Days=T","Dir=V")</f>
        <v>0</v>
      </c>
      <c r="AK2">
        <f>BDH("CGEM US Equity","CF_CASH_FROM_OPER","1993-06-18","2026-05-02","Per=Y","Days=T","Dir=V")</f>
        <v>0</v>
      </c>
      <c r="AM2">
        <f>BDH("CGEM US Equity","CAPITAL_EXPEND","1993-06-18","2026-05-02","Per=Y","Days=T","Dir=V")</f>
        <v>0</v>
      </c>
      <c r="AO2">
        <f>BDH("CGEM US Equity","CF_FREE_CASH_FLOW","1993-06-18","2026-05-02","Per=Y","Days=T","Dir=V")</f>
        <v>0</v>
      </c>
      <c r="AQ2">
        <f>BDH("CGEM US Equity","PX_LAST","1993-06-18","2026-05-02","Per=M","Days=T","Dir=V")</f>
        <v>0</v>
      </c>
      <c r="AS2">
        <f>BDH("CGEM US Equity","CUR_MKT_CAP","1993-06-18","2026-05-02","Per=M","Days=T","Dir=V")</f>
        <v>0</v>
      </c>
      <c r="AU2">
        <f>BDH("CGEM US Equity","EQY_SH_OUT","1993-06-18","2026-05-02","Per=M","Days=T","Dir=V")</f>
        <v>0</v>
      </c>
      <c r="AW2">
        <f>BDH("CGEM US Equity","PX_VOLUME","1993-06-18","2026-05-02","Per=M","Days=T","Dir=V")</f>
        <v>0</v>
      </c>
      <c r="AY2">
        <f>BDH("CGEM US Equity","TURNOVER","1993-06-18","2026-05-02","Per=M","Days=T","Dir=V")</f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BDH("CGNX US Equity","BS_TOT_ASSET","1993-06-18","2026-05-02","Per=Y","Days=T","Dir=V")</f>
        <v>0</v>
      </c>
      <c r="C2">
        <f>BDH("CGNX US Equity","BS_TOT_LIAB2","1993-06-18","2026-05-02","Per=Y","Days=T","Dir=V")</f>
        <v>0</v>
      </c>
      <c r="E2">
        <f>BDH("CGNX US Equity","SHORT_AND_LONG_TERM_DEBT","1993-06-18","2026-05-02","Per=Y","Days=T","Dir=V")</f>
        <v>0</v>
      </c>
      <c r="G2">
        <f>BDH("CGNX US Equity","BS_ST_BORROW","1993-06-18","2026-05-02","Per=Y","Days=T","Dir=V")</f>
        <v>0</v>
      </c>
      <c r="I2">
        <f>BDH("CGNX US Equity","BS_LT_BORROW","1993-06-18","2026-05-02","Per=Y","Days=T","Dir=V")</f>
        <v>0</v>
      </c>
      <c r="K2">
        <f>BDH("CGNX US Equity","BS_CASH_NEAR_CASH_ITEM","1993-06-18","2026-05-02","Per=Y","Days=T","Dir=V")</f>
        <v>0</v>
      </c>
      <c r="M2">
        <f>BDH("CGNX US Equity","BS_CUR_ASSET_REPORT","1993-06-18","2026-05-02","Per=Y","Days=T","Dir=V")</f>
        <v>0</v>
      </c>
      <c r="O2">
        <f>BDH("CGNX US Equity","BS_CUR_LIAB","1993-06-18","2026-05-02","Per=Y","Days=T","Dir=V")</f>
        <v>0</v>
      </c>
      <c r="Q2">
        <f>BDH("CGNX US Equity","BS_SHAREHOLDER_EQY_ENDING_PERIOD","1993-06-18","2026-05-02","Per=Y","Days=T","Dir=V")</f>
        <v>0</v>
      </c>
      <c r="S2">
        <f>BDH("CGNX US Equity","BS_ACCT_NOTE_RCV","1993-06-18","2026-05-02","Per=Y","Days=T","Dir=V")</f>
        <v>0</v>
      </c>
      <c r="U2">
        <f>BDH("CGNX US Equity","BS_INVENTORIES","1993-06-18","2026-05-02","Per=Y","Days=T","Dir=V")</f>
        <v>0</v>
      </c>
      <c r="W2">
        <f>BDH("CGNX US Equity","WORKING_CAPITAL","1993-06-18","2026-05-02","Per=Y","Days=T","Dir=V")</f>
        <v>0</v>
      </c>
      <c r="Y2">
        <f>BDH("CGNX US Equity","SALES_REV_TURN","1993-06-18","2026-05-02","Per=Y","Days=T","Dir=V")</f>
        <v>0</v>
      </c>
      <c r="AA2">
        <f>BDH("CGNX US Equity","EBIT","1993-06-18","2026-05-02","Per=Y","Days=T","Dir=V")</f>
        <v>0</v>
      </c>
      <c r="AC2">
        <f>BDH("CGNX US Equity","EBITDA","1993-06-18","2026-05-02","Per=Y","Days=T","Dir=V")</f>
        <v>0</v>
      </c>
      <c r="AE2">
        <f>BDH("CGNX US Equity","NET_INCOME","1993-06-18","2026-05-02","Per=Y","Days=T","Dir=V")</f>
        <v>0</v>
      </c>
      <c r="AG2">
        <f>BDH("CGNX US Equity","IS_INT_EXPENSE","1993-06-18","2026-05-02","Per=Y","Days=T","Dir=V")</f>
        <v>0</v>
      </c>
      <c r="AI2">
        <f>BDH("CGNX US Equity","IS_DEPR_EXP","1993-06-18","2026-05-02","Per=Y","Days=T","Dir=V")</f>
        <v>0</v>
      </c>
      <c r="AK2">
        <f>BDH("CGNX US Equity","CF_CASH_FROM_OPER","1993-06-18","2026-05-02","Per=Y","Days=T","Dir=V")</f>
        <v>0</v>
      </c>
      <c r="AM2">
        <f>BDH("CGNX US Equity","CAPITAL_EXPEND","1993-06-18","2026-05-02","Per=Y","Days=T","Dir=V")</f>
        <v>0</v>
      </c>
      <c r="AO2">
        <f>BDH("CGNX US Equity","CF_FREE_CASH_FLOW","1993-06-18","2026-05-02","Per=Y","Days=T","Dir=V")</f>
        <v>0</v>
      </c>
      <c r="AQ2">
        <f>BDH("CGNX US Equity","PX_LAST","1993-06-18","2026-05-02","Per=M","Days=T","Dir=V")</f>
        <v>0</v>
      </c>
      <c r="AS2">
        <f>BDH("CGNX US Equity","CUR_MKT_CAP","1993-06-18","2026-05-02","Per=M","Days=T","Dir=V")</f>
        <v>0</v>
      </c>
      <c r="AU2">
        <f>BDH("CGNX US Equity","EQY_SH_OUT","1993-06-18","2026-05-02","Per=M","Days=T","Dir=V")</f>
        <v>0</v>
      </c>
      <c r="AW2">
        <f>BDH("CGNX US Equity","PX_VOLUME","1993-06-18","2026-05-02","Per=M","Days=T","Dir=V")</f>
        <v>0</v>
      </c>
      <c r="AY2">
        <f>BDH("CGNX US Equity","TURNOVER","1993-06-18","2026-05-02","Per=M","Days=T","Dir=V")</f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BDH("CGON US Equity","BS_TOT_ASSET","1993-06-18","2026-05-02","Per=Y","Days=T","Dir=V")</f>
        <v>0</v>
      </c>
      <c r="C2">
        <f>BDH("CGON US Equity","BS_TOT_LIAB2","1993-06-18","2026-05-02","Per=Y","Days=T","Dir=V")</f>
        <v>0</v>
      </c>
      <c r="E2">
        <f>BDH("CGON US Equity","SHORT_AND_LONG_TERM_DEBT","1993-06-18","2026-05-02","Per=Y","Days=T","Dir=V")</f>
        <v>0</v>
      </c>
      <c r="G2">
        <f>BDH("CGON US Equity","BS_ST_BORROW","1993-06-18","2026-05-02","Per=Y","Days=T","Dir=V")</f>
        <v>0</v>
      </c>
      <c r="I2">
        <f>BDH("CGON US Equity","BS_LT_BORROW","1993-06-18","2026-05-02","Per=Y","Days=T","Dir=V")</f>
        <v>0</v>
      </c>
      <c r="K2">
        <f>BDH("CGON US Equity","BS_CASH_NEAR_CASH_ITEM","1993-06-18","2026-05-02","Per=Y","Days=T","Dir=V")</f>
        <v>0</v>
      </c>
      <c r="M2">
        <f>BDH("CGON US Equity","BS_CUR_ASSET_REPORT","1993-06-18","2026-05-02","Per=Y","Days=T","Dir=V")</f>
        <v>0</v>
      </c>
      <c r="O2">
        <f>BDH("CGON US Equity","BS_CUR_LIAB","1993-06-18","2026-05-02","Per=Y","Days=T","Dir=V")</f>
        <v>0</v>
      </c>
      <c r="Q2">
        <f>BDH("CGON US Equity","BS_SHAREHOLDER_EQY_ENDING_PERIOD","1993-06-18","2026-05-02","Per=Y","Days=T","Dir=V")</f>
        <v>0</v>
      </c>
      <c r="S2">
        <f>BDH("CGON US Equity","BS_ACCT_NOTE_RCV","1993-06-18","2026-05-02","Per=Y","Days=T","Dir=V")</f>
        <v>0</v>
      </c>
      <c r="U2">
        <f>BDH("CGON US Equity","BS_INVENTORIES","1993-06-18","2026-05-02","Per=Y","Days=T","Dir=V")</f>
        <v>0</v>
      </c>
      <c r="W2">
        <f>BDH("CGON US Equity","WORKING_CAPITAL","1993-06-18","2026-05-02","Per=Y","Days=T","Dir=V")</f>
        <v>0</v>
      </c>
      <c r="Y2">
        <f>BDH("CGON US Equity","SALES_REV_TURN","1993-06-18","2026-05-02","Per=Y","Days=T","Dir=V")</f>
        <v>0</v>
      </c>
      <c r="AA2">
        <f>BDH("CGON US Equity","EBIT","1993-06-18","2026-05-02","Per=Y","Days=T","Dir=V")</f>
        <v>0</v>
      </c>
      <c r="AC2">
        <f>BDH("CGON US Equity","EBITDA","1993-06-18","2026-05-02","Per=Y","Days=T","Dir=V")</f>
        <v>0</v>
      </c>
      <c r="AE2">
        <f>BDH("CGON US Equity","NET_INCOME","1993-06-18","2026-05-02","Per=Y","Days=T","Dir=V")</f>
        <v>0</v>
      </c>
      <c r="AG2">
        <f>BDH("CGON US Equity","IS_INT_EXPENSE","1993-06-18","2026-05-02","Per=Y","Days=T","Dir=V")</f>
        <v>0</v>
      </c>
      <c r="AI2">
        <f>BDH("CGON US Equity","IS_DEPR_EXP","1993-06-18","2026-05-02","Per=Y","Days=T","Dir=V")</f>
        <v>0</v>
      </c>
      <c r="AK2">
        <f>BDH("CGON US Equity","CF_CASH_FROM_OPER","1993-06-18","2026-05-02","Per=Y","Days=T","Dir=V")</f>
        <v>0</v>
      </c>
      <c r="AM2">
        <f>BDH("CGON US Equity","CAPITAL_EXPEND","1993-06-18","2026-05-02","Per=Y","Days=T","Dir=V")</f>
        <v>0</v>
      </c>
      <c r="AO2">
        <f>BDH("CGON US Equity","CF_FREE_CASH_FLOW","1993-06-18","2026-05-02","Per=Y","Days=T","Dir=V")</f>
        <v>0</v>
      </c>
      <c r="AQ2">
        <f>BDH("CGON US Equity","PX_LAST","1993-06-18","2026-05-02","Per=M","Days=T","Dir=V")</f>
        <v>0</v>
      </c>
      <c r="AS2">
        <f>BDH("CGON US Equity","CUR_MKT_CAP","1993-06-18","2026-05-02","Per=M","Days=T","Dir=V")</f>
        <v>0</v>
      </c>
      <c r="AU2">
        <f>BDH("CGON US Equity","EQY_SH_OUT","1993-06-18","2026-05-02","Per=M","Days=T","Dir=V")</f>
        <v>0</v>
      </c>
      <c r="AW2">
        <f>BDH("CGON US Equity","PX_VOLUME","1993-06-18","2026-05-02","Per=M","Days=T","Dir=V")</f>
        <v>0</v>
      </c>
      <c r="AY2">
        <f>BDH("CGON US Equity","TURNOVER","1993-06-18","2026-05-02","Per=M","Days=T","Dir=V")</f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BDH("CGTX US Equity","BS_TOT_ASSET","1993-06-18","2026-05-02","Per=Y","Days=T","Dir=V")</f>
        <v>0</v>
      </c>
      <c r="C2">
        <f>BDH("CGTX US Equity","BS_TOT_LIAB2","1993-06-18","2026-05-02","Per=Y","Days=T","Dir=V")</f>
        <v>0</v>
      </c>
      <c r="E2">
        <f>BDH("CGTX US Equity","SHORT_AND_LONG_TERM_DEBT","1993-06-18","2026-05-02","Per=Y","Days=T","Dir=V")</f>
        <v>0</v>
      </c>
      <c r="G2">
        <f>BDH("CGTX US Equity","BS_ST_BORROW","1993-06-18","2026-05-02","Per=Y","Days=T","Dir=V")</f>
        <v>0</v>
      </c>
      <c r="I2">
        <f>BDH("CGTX US Equity","BS_LT_BORROW","1993-06-18","2026-05-02","Per=Y","Days=T","Dir=V")</f>
        <v>0</v>
      </c>
      <c r="K2">
        <f>BDH("CGTX US Equity","BS_CASH_NEAR_CASH_ITEM","1993-06-18","2026-05-02","Per=Y","Days=T","Dir=V")</f>
        <v>0</v>
      </c>
      <c r="M2">
        <f>BDH("CGTX US Equity","BS_CUR_ASSET_REPORT","1993-06-18","2026-05-02","Per=Y","Days=T","Dir=V")</f>
        <v>0</v>
      </c>
      <c r="O2">
        <f>BDH("CGTX US Equity","BS_CUR_LIAB","1993-06-18","2026-05-02","Per=Y","Days=T","Dir=V")</f>
        <v>0</v>
      </c>
      <c r="Q2">
        <f>BDH("CGTX US Equity","BS_SHAREHOLDER_EQY_ENDING_PERIOD","1993-06-18","2026-05-02","Per=Y","Days=T","Dir=V")</f>
        <v>0</v>
      </c>
      <c r="S2">
        <f>BDH("CGTX US Equity","BS_ACCT_NOTE_RCV","1993-06-18","2026-05-02","Per=Y","Days=T","Dir=V")</f>
        <v>0</v>
      </c>
      <c r="U2">
        <f>BDH("CGTX US Equity","BS_INVENTORIES","1993-06-18","2026-05-02","Per=Y","Days=T","Dir=V")</f>
        <v>0</v>
      </c>
      <c r="W2">
        <f>BDH("CGTX US Equity","WORKING_CAPITAL","1993-06-18","2026-05-02","Per=Y","Days=T","Dir=V")</f>
        <v>0</v>
      </c>
      <c r="Y2">
        <f>BDH("CGTX US Equity","SALES_REV_TURN","1993-06-18","2026-05-02","Per=Y","Days=T","Dir=V")</f>
        <v>0</v>
      </c>
      <c r="AA2">
        <f>BDH("CGTX US Equity","EBIT","1993-06-18","2026-05-02","Per=Y","Days=T","Dir=V")</f>
        <v>0</v>
      </c>
      <c r="AC2">
        <f>BDH("CGTX US Equity","EBITDA","1993-06-18","2026-05-02","Per=Y","Days=T","Dir=V")</f>
        <v>0</v>
      </c>
      <c r="AE2">
        <f>BDH("CGTX US Equity","NET_INCOME","1993-06-18","2026-05-02","Per=Y","Days=T","Dir=V")</f>
        <v>0</v>
      </c>
      <c r="AG2">
        <f>BDH("CGTX US Equity","IS_INT_EXPENSE","1993-06-18","2026-05-02","Per=Y","Days=T","Dir=V")</f>
        <v>0</v>
      </c>
      <c r="AI2">
        <f>BDH("CGTX US Equity","IS_DEPR_EXP","1993-06-18","2026-05-02","Per=Y","Days=T","Dir=V")</f>
        <v>0</v>
      </c>
      <c r="AK2">
        <f>BDH("CGTX US Equity","CF_CASH_FROM_OPER","1993-06-18","2026-05-02","Per=Y","Days=T","Dir=V")</f>
        <v>0</v>
      </c>
      <c r="AM2">
        <f>BDH("CGTX US Equity","CAPITAL_EXPEND","1993-06-18","2026-05-02","Per=Y","Days=T","Dir=V")</f>
        <v>0</v>
      </c>
      <c r="AO2">
        <f>BDH("CGTX US Equity","CF_FREE_CASH_FLOW","1993-06-18","2026-05-02","Per=Y","Days=T","Dir=V")</f>
        <v>0</v>
      </c>
      <c r="AQ2">
        <f>BDH("CGTX US Equity","PX_LAST","1993-06-18","2026-05-02","Per=M","Days=T","Dir=V")</f>
        <v>0</v>
      </c>
      <c r="AS2">
        <f>BDH("CGTX US Equity","CUR_MKT_CAP","1993-06-18","2026-05-02","Per=M","Days=T","Dir=V")</f>
        <v>0</v>
      </c>
      <c r="AU2">
        <f>BDH("CGTX US Equity","EQY_SH_OUT","1993-06-18","2026-05-02","Per=M","Days=T","Dir=V")</f>
        <v>0</v>
      </c>
      <c r="AW2">
        <f>BDH("CGTX US Equity","PX_VOLUME","1993-06-18","2026-05-02","Per=M","Days=T","Dir=V")</f>
        <v>0</v>
      </c>
      <c r="AY2">
        <f>BDH("CGTX US Equity","TURNOVER","1993-06-18","2026-05-02","Per=M","Days=T","Dir=V")</f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BDH("CHD US Equity","BS_TOT_ASSET","1993-06-18","2026-05-02","Per=Y","Days=T","Dir=V")</f>
        <v>0</v>
      </c>
      <c r="C2">
        <f>BDH("CHD US Equity","BS_TOT_LIAB2","1993-06-18","2026-05-02","Per=Y","Days=T","Dir=V")</f>
        <v>0</v>
      </c>
      <c r="E2">
        <f>BDH("CHD US Equity","SHORT_AND_LONG_TERM_DEBT","1993-06-18","2026-05-02","Per=Y","Days=T","Dir=V")</f>
        <v>0</v>
      </c>
      <c r="G2">
        <f>BDH("CHD US Equity","BS_ST_BORROW","1993-06-18","2026-05-02","Per=Y","Days=T","Dir=V")</f>
        <v>0</v>
      </c>
      <c r="I2">
        <f>BDH("CHD US Equity","BS_LT_BORROW","1993-06-18","2026-05-02","Per=Y","Days=T","Dir=V")</f>
        <v>0</v>
      </c>
      <c r="K2">
        <f>BDH("CHD US Equity","BS_CASH_NEAR_CASH_ITEM","1993-06-18","2026-05-02","Per=Y","Days=T","Dir=V")</f>
        <v>0</v>
      </c>
      <c r="M2">
        <f>BDH("CHD US Equity","BS_CUR_ASSET_REPORT","1993-06-18","2026-05-02","Per=Y","Days=T","Dir=V")</f>
        <v>0</v>
      </c>
      <c r="O2">
        <f>BDH("CHD US Equity","BS_CUR_LIAB","1993-06-18","2026-05-02","Per=Y","Days=T","Dir=V")</f>
        <v>0</v>
      </c>
      <c r="Q2">
        <f>BDH("CHD US Equity","BS_SHAREHOLDER_EQY_ENDING_PERIOD","1993-06-18","2026-05-02","Per=Y","Days=T","Dir=V")</f>
        <v>0</v>
      </c>
      <c r="S2">
        <f>BDH("CHD US Equity","BS_ACCT_NOTE_RCV","1993-06-18","2026-05-02","Per=Y","Days=T","Dir=V")</f>
        <v>0</v>
      </c>
      <c r="U2">
        <f>BDH("CHD US Equity","BS_INVENTORIES","1993-06-18","2026-05-02","Per=Y","Days=T","Dir=V")</f>
        <v>0</v>
      </c>
      <c r="W2">
        <f>BDH("CHD US Equity","WORKING_CAPITAL","1993-06-18","2026-05-02","Per=Y","Days=T","Dir=V")</f>
        <v>0</v>
      </c>
      <c r="Y2">
        <f>BDH("CHD US Equity","SALES_REV_TURN","1993-06-18","2026-05-02","Per=Y","Days=T","Dir=V")</f>
        <v>0</v>
      </c>
      <c r="AA2">
        <f>BDH("CHD US Equity","EBIT","1993-06-18","2026-05-02","Per=Y","Days=T","Dir=V")</f>
        <v>0</v>
      </c>
      <c r="AC2">
        <f>BDH("CHD US Equity","EBITDA","1993-06-18","2026-05-02","Per=Y","Days=T","Dir=V")</f>
        <v>0</v>
      </c>
      <c r="AE2">
        <f>BDH("CHD US Equity","NET_INCOME","1993-06-18","2026-05-02","Per=Y","Days=T","Dir=V")</f>
        <v>0</v>
      </c>
      <c r="AG2">
        <f>BDH("CHD US Equity","IS_INT_EXPENSE","1993-06-18","2026-05-02","Per=Y","Days=T","Dir=V")</f>
        <v>0</v>
      </c>
      <c r="AI2">
        <f>BDH("CHD US Equity","IS_DEPR_EXP","1993-06-18","2026-05-02","Per=Y","Days=T","Dir=V")</f>
        <v>0</v>
      </c>
      <c r="AK2">
        <f>BDH("CHD US Equity","CF_CASH_FROM_OPER","1993-06-18","2026-05-02","Per=Y","Days=T","Dir=V")</f>
        <v>0</v>
      </c>
      <c r="AM2">
        <f>BDH("CHD US Equity","CAPITAL_EXPEND","1993-06-18","2026-05-02","Per=Y","Days=T","Dir=V")</f>
        <v>0</v>
      </c>
      <c r="AO2">
        <f>BDH("CHD US Equity","CF_FREE_CASH_FLOW","1993-06-18","2026-05-02","Per=Y","Days=T","Dir=V")</f>
        <v>0</v>
      </c>
      <c r="AQ2">
        <f>BDH("CHD US Equity","PX_LAST","1993-06-18","2026-05-02","Per=M","Days=T","Dir=V")</f>
        <v>0</v>
      </c>
      <c r="AS2">
        <f>BDH("CHD US Equity","CUR_MKT_CAP","1993-06-18","2026-05-02","Per=M","Days=T","Dir=V")</f>
        <v>0</v>
      </c>
      <c r="AU2">
        <f>BDH("CHD US Equity","EQY_SH_OUT","1993-06-18","2026-05-02","Per=M","Days=T","Dir=V")</f>
        <v>0</v>
      </c>
      <c r="AW2">
        <f>BDH("CHD US Equity","PX_VOLUME","1993-06-18","2026-05-02","Per=M","Days=T","Dir=V")</f>
        <v>0</v>
      </c>
      <c r="AY2">
        <f>BDH("CHD US Equity","TURNOVER","1993-06-18","2026-05-02","Per=M","Days=T","Dir=V")</f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BDH("CHDN US Equity","BS_TOT_ASSET","1993-06-18","2026-05-02","Per=Y","Days=T","Dir=V")</f>
        <v>0</v>
      </c>
      <c r="C2">
        <f>BDH("CHDN US Equity","BS_TOT_LIAB2","1993-06-18","2026-05-02","Per=Y","Days=T","Dir=V")</f>
        <v>0</v>
      </c>
      <c r="E2">
        <f>BDH("CHDN US Equity","SHORT_AND_LONG_TERM_DEBT","1993-06-18","2026-05-02","Per=Y","Days=T","Dir=V")</f>
        <v>0</v>
      </c>
      <c r="G2">
        <f>BDH("CHDN US Equity","BS_ST_BORROW","1993-06-18","2026-05-02","Per=Y","Days=T","Dir=V")</f>
        <v>0</v>
      </c>
      <c r="I2">
        <f>BDH("CHDN US Equity","BS_LT_BORROW","1993-06-18","2026-05-02","Per=Y","Days=T","Dir=V")</f>
        <v>0</v>
      </c>
      <c r="K2">
        <f>BDH("CHDN US Equity","BS_CASH_NEAR_CASH_ITEM","1993-06-18","2026-05-02","Per=Y","Days=T","Dir=V")</f>
        <v>0</v>
      </c>
      <c r="M2">
        <f>BDH("CHDN US Equity","BS_CUR_ASSET_REPORT","1993-06-18","2026-05-02","Per=Y","Days=T","Dir=V")</f>
        <v>0</v>
      </c>
      <c r="O2">
        <f>BDH("CHDN US Equity","BS_CUR_LIAB","1993-06-18","2026-05-02","Per=Y","Days=T","Dir=V")</f>
        <v>0</v>
      </c>
      <c r="Q2">
        <f>BDH("CHDN US Equity","BS_SHAREHOLDER_EQY_ENDING_PERIOD","1993-06-18","2026-05-02","Per=Y","Days=T","Dir=V")</f>
        <v>0</v>
      </c>
      <c r="S2">
        <f>BDH("CHDN US Equity","BS_ACCT_NOTE_RCV","1993-06-18","2026-05-02","Per=Y","Days=T","Dir=V")</f>
        <v>0</v>
      </c>
      <c r="U2">
        <f>BDH("CHDN US Equity","BS_INVENTORIES","1993-06-18","2026-05-02","Per=Y","Days=T","Dir=V")</f>
        <v>0</v>
      </c>
      <c r="W2">
        <f>BDH("CHDN US Equity","WORKING_CAPITAL","1993-06-18","2026-05-02","Per=Y","Days=T","Dir=V")</f>
        <v>0</v>
      </c>
      <c r="Y2">
        <f>BDH("CHDN US Equity","SALES_REV_TURN","1993-06-18","2026-05-02","Per=Y","Days=T","Dir=V")</f>
        <v>0</v>
      </c>
      <c r="AA2">
        <f>BDH("CHDN US Equity","EBIT","1993-06-18","2026-05-02","Per=Y","Days=T","Dir=V")</f>
        <v>0</v>
      </c>
      <c r="AC2">
        <f>BDH("CHDN US Equity","EBITDA","1993-06-18","2026-05-02","Per=Y","Days=T","Dir=V")</f>
        <v>0</v>
      </c>
      <c r="AE2">
        <f>BDH("CHDN US Equity","NET_INCOME","1993-06-18","2026-05-02","Per=Y","Days=T","Dir=V")</f>
        <v>0</v>
      </c>
      <c r="AG2">
        <f>BDH("CHDN US Equity","IS_INT_EXPENSE","1993-06-18","2026-05-02","Per=Y","Days=T","Dir=V")</f>
        <v>0</v>
      </c>
      <c r="AI2">
        <f>BDH("CHDN US Equity","IS_DEPR_EXP","1993-06-18","2026-05-02","Per=Y","Days=T","Dir=V")</f>
        <v>0</v>
      </c>
      <c r="AK2">
        <f>BDH("CHDN US Equity","CF_CASH_FROM_OPER","1993-06-18","2026-05-02","Per=Y","Days=T","Dir=V")</f>
        <v>0</v>
      </c>
      <c r="AM2">
        <f>BDH("CHDN US Equity","CAPITAL_EXPEND","1993-06-18","2026-05-02","Per=Y","Days=T","Dir=V")</f>
        <v>0</v>
      </c>
      <c r="AO2">
        <f>BDH("CHDN US Equity","CF_FREE_CASH_FLOW","1993-06-18","2026-05-02","Per=Y","Days=T","Dir=V")</f>
        <v>0</v>
      </c>
      <c r="AQ2">
        <f>BDH("CHDN US Equity","PX_LAST","1993-06-18","2026-05-02","Per=M","Days=T","Dir=V")</f>
        <v>0</v>
      </c>
      <c r="AS2">
        <f>BDH("CHDN US Equity","CUR_MKT_CAP","1993-06-18","2026-05-02","Per=M","Days=T","Dir=V")</f>
        <v>0</v>
      </c>
      <c r="AU2">
        <f>BDH("CHDN US Equity","EQY_SH_OUT","1993-06-18","2026-05-02","Per=M","Days=T","Dir=V")</f>
        <v>0</v>
      </c>
      <c r="AW2">
        <f>BDH("CHDN US Equity","PX_VOLUME","1993-06-18","2026-05-02","Per=M","Days=T","Dir=V")</f>
        <v>0</v>
      </c>
      <c r="AY2">
        <f>BDH("CHDN US Equity","TURNOVER","1993-06-18","2026-05-02","Per=M","Days=T","Dir=V")</f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BDH("CHE US Equity","BS_TOT_ASSET","1993-06-18","2026-05-02","Per=Y","Days=T","Dir=V")</f>
        <v>0</v>
      </c>
      <c r="C2">
        <f>BDH("CHE US Equity","BS_TOT_LIAB2","1993-06-18","2026-05-02","Per=Y","Days=T","Dir=V")</f>
        <v>0</v>
      </c>
      <c r="E2">
        <f>BDH("CHE US Equity","SHORT_AND_LONG_TERM_DEBT","1993-06-18","2026-05-02","Per=Y","Days=T","Dir=V")</f>
        <v>0</v>
      </c>
      <c r="G2">
        <f>BDH("CHE US Equity","BS_ST_BORROW","1993-06-18","2026-05-02","Per=Y","Days=T","Dir=V")</f>
        <v>0</v>
      </c>
      <c r="I2">
        <f>BDH("CHE US Equity","BS_LT_BORROW","1993-06-18","2026-05-02","Per=Y","Days=T","Dir=V")</f>
        <v>0</v>
      </c>
      <c r="K2">
        <f>BDH("CHE US Equity","BS_CASH_NEAR_CASH_ITEM","1993-06-18","2026-05-02","Per=Y","Days=T","Dir=V")</f>
        <v>0</v>
      </c>
      <c r="M2">
        <f>BDH("CHE US Equity","BS_CUR_ASSET_REPORT","1993-06-18","2026-05-02","Per=Y","Days=T","Dir=V")</f>
        <v>0</v>
      </c>
      <c r="O2">
        <f>BDH("CHE US Equity","BS_CUR_LIAB","1993-06-18","2026-05-02","Per=Y","Days=T","Dir=V")</f>
        <v>0</v>
      </c>
      <c r="Q2">
        <f>BDH("CHE US Equity","BS_SHAREHOLDER_EQY_ENDING_PERIOD","1993-06-18","2026-05-02","Per=Y","Days=T","Dir=V")</f>
        <v>0</v>
      </c>
      <c r="S2">
        <f>BDH("CHE US Equity","BS_ACCT_NOTE_RCV","1993-06-18","2026-05-02","Per=Y","Days=T","Dir=V")</f>
        <v>0</v>
      </c>
      <c r="U2">
        <f>BDH("CHE US Equity","BS_INVENTORIES","1993-06-18","2026-05-02","Per=Y","Days=T","Dir=V")</f>
        <v>0</v>
      </c>
      <c r="W2">
        <f>BDH("CHE US Equity","WORKING_CAPITAL","1993-06-18","2026-05-02","Per=Y","Days=T","Dir=V")</f>
        <v>0</v>
      </c>
      <c r="Y2">
        <f>BDH("CHE US Equity","SALES_REV_TURN","1993-06-18","2026-05-02","Per=Y","Days=T","Dir=V")</f>
        <v>0</v>
      </c>
      <c r="AA2">
        <f>BDH("CHE US Equity","EBIT","1993-06-18","2026-05-02","Per=Y","Days=T","Dir=V")</f>
        <v>0</v>
      </c>
      <c r="AC2">
        <f>BDH("CHE US Equity","EBITDA","1993-06-18","2026-05-02","Per=Y","Days=T","Dir=V")</f>
        <v>0</v>
      </c>
      <c r="AE2">
        <f>BDH("CHE US Equity","NET_INCOME","1993-06-18","2026-05-02","Per=Y","Days=T","Dir=V")</f>
        <v>0</v>
      </c>
      <c r="AG2">
        <f>BDH("CHE US Equity","IS_INT_EXPENSE","1993-06-18","2026-05-02","Per=Y","Days=T","Dir=V")</f>
        <v>0</v>
      </c>
      <c r="AI2">
        <f>BDH("CHE US Equity","IS_DEPR_EXP","1993-06-18","2026-05-02","Per=Y","Days=T","Dir=V")</f>
        <v>0</v>
      </c>
      <c r="AK2">
        <f>BDH("CHE US Equity","CF_CASH_FROM_OPER","1993-06-18","2026-05-02","Per=Y","Days=T","Dir=V")</f>
        <v>0</v>
      </c>
      <c r="AM2">
        <f>BDH("CHE US Equity","CAPITAL_EXPEND","1993-06-18","2026-05-02","Per=Y","Days=T","Dir=V")</f>
        <v>0</v>
      </c>
      <c r="AO2">
        <f>BDH("CHE US Equity","CF_FREE_CASH_FLOW","1993-06-18","2026-05-02","Per=Y","Days=T","Dir=V")</f>
        <v>0</v>
      </c>
      <c r="AQ2">
        <f>BDH("CHE US Equity","PX_LAST","1993-06-18","2026-05-02","Per=M","Days=T","Dir=V")</f>
        <v>0</v>
      </c>
      <c r="AS2">
        <f>BDH("CHE US Equity","CUR_MKT_CAP","1993-06-18","2026-05-02","Per=M","Days=T","Dir=V")</f>
        <v>0</v>
      </c>
      <c r="AU2">
        <f>BDH("CHE US Equity","EQY_SH_OUT","1993-06-18","2026-05-02","Per=M","Days=T","Dir=V")</f>
        <v>0</v>
      </c>
      <c r="AW2">
        <f>BDH("CHE US Equity","PX_VOLUME","1993-06-18","2026-05-02","Per=M","Days=T","Dir=V")</f>
        <v>0</v>
      </c>
      <c r="AY2">
        <f>BDH("CHE US Equity","TURNOVER","1993-06-18","2026-05-02","Per=M","Days=T","Dir=V")</f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BDH("CHEF US Equity","BS_TOT_ASSET","1993-06-18","2026-05-02","Per=Y","Days=T","Dir=V")</f>
        <v>0</v>
      </c>
      <c r="C2">
        <f>BDH("CHEF US Equity","BS_TOT_LIAB2","1993-06-18","2026-05-02","Per=Y","Days=T","Dir=V")</f>
        <v>0</v>
      </c>
      <c r="E2">
        <f>BDH("CHEF US Equity","SHORT_AND_LONG_TERM_DEBT","1993-06-18","2026-05-02","Per=Y","Days=T","Dir=V")</f>
        <v>0</v>
      </c>
      <c r="G2">
        <f>BDH("CHEF US Equity","BS_ST_BORROW","1993-06-18","2026-05-02","Per=Y","Days=T","Dir=V")</f>
        <v>0</v>
      </c>
      <c r="I2">
        <f>BDH("CHEF US Equity","BS_LT_BORROW","1993-06-18","2026-05-02","Per=Y","Days=T","Dir=V")</f>
        <v>0</v>
      </c>
      <c r="K2">
        <f>BDH("CHEF US Equity","BS_CASH_NEAR_CASH_ITEM","1993-06-18","2026-05-02","Per=Y","Days=T","Dir=V")</f>
        <v>0</v>
      </c>
      <c r="M2">
        <f>BDH("CHEF US Equity","BS_CUR_ASSET_REPORT","1993-06-18","2026-05-02","Per=Y","Days=T","Dir=V")</f>
        <v>0</v>
      </c>
      <c r="O2">
        <f>BDH("CHEF US Equity","BS_CUR_LIAB","1993-06-18","2026-05-02","Per=Y","Days=T","Dir=V")</f>
        <v>0</v>
      </c>
      <c r="Q2">
        <f>BDH("CHEF US Equity","BS_SHAREHOLDER_EQY_ENDING_PERIOD","1993-06-18","2026-05-02","Per=Y","Days=T","Dir=V")</f>
        <v>0</v>
      </c>
      <c r="S2">
        <f>BDH("CHEF US Equity","BS_ACCT_NOTE_RCV","1993-06-18","2026-05-02","Per=Y","Days=T","Dir=V")</f>
        <v>0</v>
      </c>
      <c r="U2">
        <f>BDH("CHEF US Equity","BS_INVENTORIES","1993-06-18","2026-05-02","Per=Y","Days=T","Dir=V")</f>
        <v>0</v>
      </c>
      <c r="W2">
        <f>BDH("CHEF US Equity","WORKING_CAPITAL","1993-06-18","2026-05-02","Per=Y","Days=T","Dir=V")</f>
        <v>0</v>
      </c>
      <c r="Y2">
        <f>BDH("CHEF US Equity","SALES_REV_TURN","1993-06-18","2026-05-02","Per=Y","Days=T","Dir=V")</f>
        <v>0</v>
      </c>
      <c r="AA2">
        <f>BDH("CHEF US Equity","EBIT","1993-06-18","2026-05-02","Per=Y","Days=T","Dir=V")</f>
        <v>0</v>
      </c>
      <c r="AC2">
        <f>BDH("CHEF US Equity","EBITDA","1993-06-18","2026-05-02","Per=Y","Days=T","Dir=V")</f>
        <v>0</v>
      </c>
      <c r="AE2">
        <f>BDH("CHEF US Equity","NET_INCOME","1993-06-18","2026-05-02","Per=Y","Days=T","Dir=V")</f>
        <v>0</v>
      </c>
      <c r="AG2">
        <f>BDH("CHEF US Equity","IS_INT_EXPENSE","1993-06-18","2026-05-02","Per=Y","Days=T","Dir=V")</f>
        <v>0</v>
      </c>
      <c r="AI2">
        <f>BDH("CHEF US Equity","IS_DEPR_EXP","1993-06-18","2026-05-02","Per=Y","Days=T","Dir=V")</f>
        <v>0</v>
      </c>
      <c r="AK2">
        <f>BDH("CHEF US Equity","CF_CASH_FROM_OPER","1993-06-18","2026-05-02","Per=Y","Days=T","Dir=V")</f>
        <v>0</v>
      </c>
      <c r="AM2">
        <f>BDH("CHEF US Equity","CAPITAL_EXPEND","1993-06-18","2026-05-02","Per=Y","Days=T","Dir=V")</f>
        <v>0</v>
      </c>
      <c r="AO2">
        <f>BDH("CHEF US Equity","CF_FREE_CASH_FLOW","1993-06-18","2026-05-02","Per=Y","Days=T","Dir=V")</f>
        <v>0</v>
      </c>
      <c r="AQ2">
        <f>BDH("CHEF US Equity","PX_LAST","1993-06-18","2026-05-02","Per=M","Days=T","Dir=V")</f>
        <v>0</v>
      </c>
      <c r="AS2">
        <f>BDH("CHEF US Equity","CUR_MKT_CAP","1993-06-18","2026-05-02","Per=M","Days=T","Dir=V")</f>
        <v>0</v>
      </c>
      <c r="AU2">
        <f>BDH("CHEF US Equity","EQY_SH_OUT","1993-06-18","2026-05-02","Per=M","Days=T","Dir=V")</f>
        <v>0</v>
      </c>
      <c r="AW2">
        <f>BDH("CHEF US Equity","PX_VOLUME","1993-06-18","2026-05-02","Per=M","Days=T","Dir=V")</f>
        <v>0</v>
      </c>
      <c r="AY2">
        <f>BDH("CHEF US Equity","TURNOVER","1993-06-18","2026-05-02","Per=M","Days=T","Dir=V")</f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BDH("CHGA US Equity","BS_TOT_ASSET","1993-06-18","2026-05-02","Per=Y","Days=T","Dir=V")</f>
        <v>0</v>
      </c>
      <c r="C2">
        <f>BDH("CHGA US Equity","BS_TOT_LIAB2","1993-06-18","2026-05-02","Per=Y","Days=T","Dir=V")</f>
        <v>0</v>
      </c>
      <c r="E2">
        <f>BDH("CHGA US Equity","SHORT_AND_LONG_TERM_DEBT","1993-06-18","2026-05-02","Per=Y","Days=T","Dir=V")</f>
        <v>0</v>
      </c>
      <c r="G2">
        <f>BDH("CHGA US Equity","BS_ST_BORROW","1993-06-18","2026-05-02","Per=Y","Days=T","Dir=V")</f>
        <v>0</v>
      </c>
      <c r="I2">
        <f>BDH("CHGA US Equity","BS_LT_BORROW","1993-06-18","2026-05-02","Per=Y","Days=T","Dir=V")</f>
        <v>0</v>
      </c>
      <c r="K2">
        <f>BDH("CHGA US Equity","BS_CASH_NEAR_CASH_ITEM","1993-06-18","2026-05-02","Per=Y","Days=T","Dir=V")</f>
        <v>0</v>
      </c>
      <c r="M2">
        <f>BDH("CHGA US Equity","BS_CUR_ASSET_REPORT","1993-06-18","2026-05-02","Per=Y","Days=T","Dir=V")</f>
        <v>0</v>
      </c>
      <c r="O2">
        <f>BDH("CHGA US Equity","BS_CUR_LIAB","1993-06-18","2026-05-02","Per=Y","Days=T","Dir=V")</f>
        <v>0</v>
      </c>
      <c r="Q2">
        <f>BDH("CHGA US Equity","BS_SHAREHOLDER_EQY_ENDING_PERIOD","1993-06-18","2026-05-02","Per=Y","Days=T","Dir=V")</f>
        <v>0</v>
      </c>
      <c r="S2">
        <f>BDH("CHGA US Equity","BS_ACCT_NOTE_RCV","1993-06-18","2026-05-02","Per=Y","Days=T","Dir=V")</f>
        <v>0</v>
      </c>
      <c r="U2">
        <f>BDH("CHGA US Equity","BS_INVENTORIES","1993-06-18","2026-05-02","Per=Y","Days=T","Dir=V")</f>
        <v>0</v>
      </c>
      <c r="W2">
        <f>BDH("CHGA US Equity","WORKING_CAPITAL","1993-06-18","2026-05-02","Per=Y","Days=T","Dir=V")</f>
        <v>0</v>
      </c>
      <c r="Y2">
        <f>BDH("CHGA US Equity","SALES_REV_TURN","1993-06-18","2026-05-02","Per=Y","Days=T","Dir=V")</f>
        <v>0</v>
      </c>
      <c r="AA2">
        <f>BDH("CHGA US Equity","EBIT","1993-06-18","2026-05-02","Per=Y","Days=T","Dir=V")</f>
        <v>0</v>
      </c>
      <c r="AC2">
        <f>BDH("CHGA US Equity","EBITDA","1993-06-18","2026-05-02","Per=Y","Days=T","Dir=V")</f>
        <v>0</v>
      </c>
      <c r="AE2">
        <f>BDH("CHGA US Equity","NET_INCOME","1993-06-18","2026-05-02","Per=Y","Days=T","Dir=V")</f>
        <v>0</v>
      </c>
      <c r="AG2">
        <f>BDH("CHGA US Equity","IS_INT_EXPENSE","1993-06-18","2026-05-02","Per=Y","Days=T","Dir=V")</f>
        <v>0</v>
      </c>
      <c r="AI2">
        <f>BDH("CHGA US Equity","IS_DEPR_EXP","1993-06-18","2026-05-02","Per=Y","Days=T","Dir=V")</f>
        <v>0</v>
      </c>
      <c r="AK2">
        <f>BDH("CHGA US Equity","CF_CASH_FROM_OPER","1993-06-18","2026-05-02","Per=Y","Days=T","Dir=V")</f>
        <v>0</v>
      </c>
      <c r="AM2">
        <f>BDH("CHGA US Equity","CAPITAL_EXPEND","1993-06-18","2026-05-02","Per=Y","Days=T","Dir=V")</f>
        <v>0</v>
      </c>
      <c r="AO2">
        <f>BDH("CHGA US Equity","CF_FREE_CASH_FLOW","1993-06-18","2026-05-02","Per=Y","Days=T","Dir=V")</f>
        <v>0</v>
      </c>
      <c r="AQ2">
        <f>BDH("CHGA US Equity","PX_LAST","1993-06-18","2026-05-02","Per=M","Days=T","Dir=V")</f>
        <v>0</v>
      </c>
      <c r="AS2">
        <f>BDH("CHGA US Equity","CUR_MKT_CAP","1993-06-18","2026-05-02","Per=M","Days=T","Dir=V")</f>
        <v>0</v>
      </c>
      <c r="AU2">
        <f>BDH("CHGA US Equity","EQY_SH_OUT","1993-06-18","2026-05-02","Per=M","Days=T","Dir=V")</f>
        <v>0</v>
      </c>
      <c r="AW2">
        <f>BDH("CHGA US Equity","PX_VOLUME","1993-06-18","2026-05-02","Per=M","Days=T","Dir=V")</f>
        <v>0</v>
      </c>
      <c r="AY2">
        <f>BDH("CHGA US Equity","TURNOVER","1993-06-18","2026-05-02","Per=M","Days=T","Dir=V")</f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BDH("CHH US Equity","BS_TOT_ASSET","1993-06-18","2026-05-02","Per=Y","Days=T","Dir=V")</f>
        <v>0</v>
      </c>
      <c r="C2">
        <f>BDH("CHH US Equity","BS_TOT_LIAB2","1993-06-18","2026-05-02","Per=Y","Days=T","Dir=V")</f>
        <v>0</v>
      </c>
      <c r="E2">
        <f>BDH("CHH US Equity","SHORT_AND_LONG_TERM_DEBT","1993-06-18","2026-05-02","Per=Y","Days=T","Dir=V")</f>
        <v>0</v>
      </c>
      <c r="G2">
        <f>BDH("CHH US Equity","BS_ST_BORROW","1993-06-18","2026-05-02","Per=Y","Days=T","Dir=V")</f>
        <v>0</v>
      </c>
      <c r="I2">
        <f>BDH("CHH US Equity","BS_LT_BORROW","1993-06-18","2026-05-02","Per=Y","Days=T","Dir=V")</f>
        <v>0</v>
      </c>
      <c r="K2">
        <f>BDH("CHH US Equity","BS_CASH_NEAR_CASH_ITEM","1993-06-18","2026-05-02","Per=Y","Days=T","Dir=V")</f>
        <v>0</v>
      </c>
      <c r="M2">
        <f>BDH("CHH US Equity","BS_CUR_ASSET_REPORT","1993-06-18","2026-05-02","Per=Y","Days=T","Dir=V")</f>
        <v>0</v>
      </c>
      <c r="O2">
        <f>BDH("CHH US Equity","BS_CUR_LIAB","1993-06-18","2026-05-02","Per=Y","Days=T","Dir=V")</f>
        <v>0</v>
      </c>
      <c r="Q2">
        <f>BDH("CHH US Equity","BS_SHAREHOLDER_EQY_ENDING_PERIOD","1993-06-18","2026-05-02","Per=Y","Days=T","Dir=V")</f>
        <v>0</v>
      </c>
      <c r="S2">
        <f>BDH("CHH US Equity","BS_ACCT_NOTE_RCV","1993-06-18","2026-05-02","Per=Y","Days=T","Dir=V")</f>
        <v>0</v>
      </c>
      <c r="U2">
        <f>BDH("CHH US Equity","BS_INVENTORIES","1993-06-18","2026-05-02","Per=Y","Days=T","Dir=V")</f>
        <v>0</v>
      </c>
      <c r="W2">
        <f>BDH("CHH US Equity","WORKING_CAPITAL","1993-06-18","2026-05-02","Per=Y","Days=T","Dir=V")</f>
        <v>0</v>
      </c>
      <c r="Y2">
        <f>BDH("CHH US Equity","SALES_REV_TURN","1993-06-18","2026-05-02","Per=Y","Days=T","Dir=V")</f>
        <v>0</v>
      </c>
      <c r="AA2">
        <f>BDH("CHH US Equity","EBIT","1993-06-18","2026-05-02","Per=Y","Days=T","Dir=V")</f>
        <v>0</v>
      </c>
      <c r="AC2">
        <f>BDH("CHH US Equity","EBITDA","1993-06-18","2026-05-02","Per=Y","Days=T","Dir=V")</f>
        <v>0</v>
      </c>
      <c r="AE2">
        <f>BDH("CHH US Equity","NET_INCOME","1993-06-18","2026-05-02","Per=Y","Days=T","Dir=V")</f>
        <v>0</v>
      </c>
      <c r="AG2">
        <f>BDH("CHH US Equity","IS_INT_EXPENSE","1993-06-18","2026-05-02","Per=Y","Days=T","Dir=V")</f>
        <v>0</v>
      </c>
      <c r="AI2">
        <f>BDH("CHH US Equity","IS_DEPR_EXP","1993-06-18","2026-05-02","Per=Y","Days=T","Dir=V")</f>
        <v>0</v>
      </c>
      <c r="AK2">
        <f>BDH("CHH US Equity","CF_CASH_FROM_OPER","1993-06-18","2026-05-02","Per=Y","Days=T","Dir=V")</f>
        <v>0</v>
      </c>
      <c r="AM2">
        <f>BDH("CHH US Equity","CAPITAL_EXPEND","1993-06-18","2026-05-02","Per=Y","Days=T","Dir=V")</f>
        <v>0</v>
      </c>
      <c r="AO2">
        <f>BDH("CHH US Equity","CF_FREE_CASH_FLOW","1993-06-18","2026-05-02","Per=Y","Days=T","Dir=V")</f>
        <v>0</v>
      </c>
      <c r="AQ2">
        <f>BDH("CHH US Equity","PX_LAST","1993-06-18","2026-05-02","Per=M","Days=T","Dir=V")</f>
        <v>0</v>
      </c>
      <c r="AS2">
        <f>BDH("CHH US Equity","CUR_MKT_CAP","1993-06-18","2026-05-02","Per=M","Days=T","Dir=V")</f>
        <v>0</v>
      </c>
      <c r="AU2">
        <f>BDH("CHH US Equity","EQY_SH_OUT","1993-06-18","2026-05-02","Per=M","Days=T","Dir=V")</f>
        <v>0</v>
      </c>
      <c r="AW2">
        <f>BDH("CHH US Equity","PX_VOLUME","1993-06-18","2026-05-02","Per=M","Days=T","Dir=V")</f>
        <v>0</v>
      </c>
      <c r="AY2">
        <f>BDH("CHH US Equity","TURNOVER","1993-06-18","2026-05-02","Per=M","Days=T","Dir=V")</f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BDH("CHRD US Equity","BS_TOT_ASSET","1993-06-18","2026-05-02","Per=Y","Days=T","Dir=V")</f>
        <v>0</v>
      </c>
      <c r="C2">
        <f>BDH("CHRD US Equity","BS_TOT_LIAB2","1993-06-18","2026-05-02","Per=Y","Days=T","Dir=V")</f>
        <v>0</v>
      </c>
      <c r="E2">
        <f>BDH("CHRD US Equity","SHORT_AND_LONG_TERM_DEBT","1993-06-18","2026-05-02","Per=Y","Days=T","Dir=V")</f>
        <v>0</v>
      </c>
      <c r="G2">
        <f>BDH("CHRD US Equity","BS_ST_BORROW","1993-06-18","2026-05-02","Per=Y","Days=T","Dir=V")</f>
        <v>0</v>
      </c>
      <c r="I2">
        <f>BDH("CHRD US Equity","BS_LT_BORROW","1993-06-18","2026-05-02","Per=Y","Days=T","Dir=V")</f>
        <v>0</v>
      </c>
      <c r="K2">
        <f>BDH("CHRD US Equity","BS_CASH_NEAR_CASH_ITEM","1993-06-18","2026-05-02","Per=Y","Days=T","Dir=V")</f>
        <v>0</v>
      </c>
      <c r="M2">
        <f>BDH("CHRD US Equity","BS_CUR_ASSET_REPORT","1993-06-18","2026-05-02","Per=Y","Days=T","Dir=V")</f>
        <v>0</v>
      </c>
      <c r="O2">
        <f>BDH("CHRD US Equity","BS_CUR_LIAB","1993-06-18","2026-05-02","Per=Y","Days=T","Dir=V")</f>
        <v>0</v>
      </c>
      <c r="Q2">
        <f>BDH("CHRD US Equity","BS_SHAREHOLDER_EQY_ENDING_PERIOD","1993-06-18","2026-05-02","Per=Y","Days=T","Dir=V")</f>
        <v>0</v>
      </c>
      <c r="S2">
        <f>BDH("CHRD US Equity","BS_ACCT_NOTE_RCV","1993-06-18","2026-05-02","Per=Y","Days=T","Dir=V")</f>
        <v>0</v>
      </c>
      <c r="U2">
        <f>BDH("CHRD US Equity","BS_INVENTORIES","1993-06-18","2026-05-02","Per=Y","Days=T","Dir=V")</f>
        <v>0</v>
      </c>
      <c r="W2">
        <f>BDH("CHRD US Equity","WORKING_CAPITAL","1993-06-18","2026-05-02","Per=Y","Days=T","Dir=V")</f>
        <v>0</v>
      </c>
      <c r="Y2">
        <f>BDH("CHRD US Equity","SALES_REV_TURN","1993-06-18","2026-05-02","Per=Y","Days=T","Dir=V")</f>
        <v>0</v>
      </c>
      <c r="AA2">
        <f>BDH("CHRD US Equity","EBIT","1993-06-18","2026-05-02","Per=Y","Days=T","Dir=V")</f>
        <v>0</v>
      </c>
      <c r="AC2">
        <f>BDH("CHRD US Equity","EBITDA","1993-06-18","2026-05-02","Per=Y","Days=T","Dir=V")</f>
        <v>0</v>
      </c>
      <c r="AE2">
        <f>BDH("CHRD US Equity","NET_INCOME","1993-06-18","2026-05-02","Per=Y","Days=T","Dir=V")</f>
        <v>0</v>
      </c>
      <c r="AG2">
        <f>BDH("CHRD US Equity","IS_INT_EXPENSE","1993-06-18","2026-05-02","Per=Y","Days=T","Dir=V")</f>
        <v>0</v>
      </c>
      <c r="AI2">
        <f>BDH("CHRD US Equity","IS_DEPR_EXP","1993-06-18","2026-05-02","Per=Y","Days=T","Dir=V")</f>
        <v>0</v>
      </c>
      <c r="AK2">
        <f>BDH("CHRD US Equity","CF_CASH_FROM_OPER","1993-06-18","2026-05-02","Per=Y","Days=T","Dir=V")</f>
        <v>0</v>
      </c>
      <c r="AM2">
        <f>BDH("CHRD US Equity","CAPITAL_EXPEND","1993-06-18","2026-05-02","Per=Y","Days=T","Dir=V")</f>
        <v>0</v>
      </c>
      <c r="AO2">
        <f>BDH("CHRD US Equity","CF_FREE_CASH_FLOW","1993-06-18","2026-05-02","Per=Y","Days=T","Dir=V")</f>
        <v>0</v>
      </c>
      <c r="AQ2">
        <f>BDH("CHRD US Equity","PX_LAST","1993-06-18","2026-05-02","Per=M","Days=T","Dir=V")</f>
        <v>0</v>
      </c>
      <c r="AS2">
        <f>BDH("CHRD US Equity","CUR_MKT_CAP","1993-06-18","2026-05-02","Per=M","Days=T","Dir=V")</f>
        <v>0</v>
      </c>
      <c r="AU2">
        <f>BDH("CHRD US Equity","EQY_SH_OUT","1993-06-18","2026-05-02","Per=M","Days=T","Dir=V")</f>
        <v>0</v>
      </c>
      <c r="AW2">
        <f>BDH("CHRD US Equity","PX_VOLUME","1993-06-18","2026-05-02","Per=M","Days=T","Dir=V")</f>
        <v>0</v>
      </c>
      <c r="AY2">
        <f>BDH("CHRD US Equity","TURNOVER","1993-06-18","2026-05-02","Per=M","Days=T","Dir=V")</f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BDH("CHRN US Equity","BS_TOT_ASSET","1993-06-18","2026-05-02","Per=Y","Days=T","Dir=V")</f>
        <v>0</v>
      </c>
      <c r="C2">
        <f>BDH("CHRN US Equity","BS_TOT_LIAB2","1993-06-18","2026-05-02","Per=Y","Days=T","Dir=V")</f>
        <v>0</v>
      </c>
      <c r="E2">
        <f>BDH("CHRN US Equity","SHORT_AND_LONG_TERM_DEBT","1993-06-18","2026-05-02","Per=Y","Days=T","Dir=V")</f>
        <v>0</v>
      </c>
      <c r="G2">
        <f>BDH("CHRN US Equity","BS_ST_BORROW","1993-06-18","2026-05-02","Per=Y","Days=T","Dir=V")</f>
        <v>0</v>
      </c>
      <c r="I2">
        <f>BDH("CHRN US Equity","BS_LT_BORROW","1993-06-18","2026-05-02","Per=Y","Days=T","Dir=V")</f>
        <v>0</v>
      </c>
      <c r="K2">
        <f>BDH("CHRN US Equity","BS_CASH_NEAR_CASH_ITEM","1993-06-18","2026-05-02","Per=Y","Days=T","Dir=V")</f>
        <v>0</v>
      </c>
      <c r="M2">
        <f>BDH("CHRN US Equity","BS_CUR_ASSET_REPORT","1993-06-18","2026-05-02","Per=Y","Days=T","Dir=V")</f>
        <v>0</v>
      </c>
      <c r="O2">
        <f>BDH("CHRN US Equity","BS_CUR_LIAB","1993-06-18","2026-05-02","Per=Y","Days=T","Dir=V")</f>
        <v>0</v>
      </c>
      <c r="Q2">
        <f>BDH("CHRN US Equity","BS_SHAREHOLDER_EQY_ENDING_PERIOD","1993-06-18","2026-05-02","Per=Y","Days=T","Dir=V")</f>
        <v>0</v>
      </c>
      <c r="S2">
        <f>BDH("CHRN US Equity","BS_ACCT_NOTE_RCV","1993-06-18","2026-05-02","Per=Y","Days=T","Dir=V")</f>
        <v>0</v>
      </c>
      <c r="U2">
        <f>BDH("CHRN US Equity","BS_INVENTORIES","1993-06-18","2026-05-02","Per=Y","Days=T","Dir=V")</f>
        <v>0</v>
      </c>
      <c r="W2">
        <f>BDH("CHRN US Equity","WORKING_CAPITAL","1993-06-18","2026-05-02","Per=Y","Days=T","Dir=V")</f>
        <v>0</v>
      </c>
      <c r="Y2">
        <f>BDH("CHRN US Equity","SALES_REV_TURN","1993-06-18","2026-05-02","Per=Y","Days=T","Dir=V")</f>
        <v>0</v>
      </c>
      <c r="AA2">
        <f>BDH("CHRN US Equity","EBIT","1993-06-18","2026-05-02","Per=Y","Days=T","Dir=V")</f>
        <v>0</v>
      </c>
      <c r="AC2">
        <f>BDH("CHRN US Equity","EBITDA","1993-06-18","2026-05-02","Per=Y","Days=T","Dir=V")</f>
        <v>0</v>
      </c>
      <c r="AE2">
        <f>BDH("CHRN US Equity","NET_INCOME","1993-06-18","2026-05-02","Per=Y","Days=T","Dir=V")</f>
        <v>0</v>
      </c>
      <c r="AG2">
        <f>BDH("CHRN US Equity","IS_INT_EXPENSE","1993-06-18","2026-05-02","Per=Y","Days=T","Dir=V")</f>
        <v>0</v>
      </c>
      <c r="AI2">
        <f>BDH("CHRN US Equity","IS_DEPR_EXP","1993-06-18","2026-05-02","Per=Y","Days=T","Dir=V")</f>
        <v>0</v>
      </c>
      <c r="AK2">
        <f>BDH("CHRN US Equity","CF_CASH_FROM_OPER","1993-06-18","2026-05-02","Per=Y","Days=T","Dir=V")</f>
        <v>0</v>
      </c>
      <c r="AM2">
        <f>BDH("CHRN US Equity","CAPITAL_EXPEND","1993-06-18","2026-05-02","Per=Y","Days=T","Dir=V")</f>
        <v>0</v>
      </c>
      <c r="AO2">
        <f>BDH("CHRN US Equity","CF_FREE_CASH_FLOW","1993-06-18","2026-05-02","Per=Y","Days=T","Dir=V")</f>
        <v>0</v>
      </c>
      <c r="AQ2">
        <f>BDH("CHRN US Equity","PX_LAST","1993-06-18","2026-05-02","Per=M","Days=T","Dir=V")</f>
        <v>0</v>
      </c>
      <c r="AS2">
        <f>BDH("CHRN US Equity","CUR_MKT_CAP","1993-06-18","2026-05-02","Per=M","Days=T","Dir=V")</f>
        <v>0</v>
      </c>
      <c r="AU2">
        <f>BDH("CHRN US Equity","EQY_SH_OUT","1993-06-18","2026-05-02","Per=M","Days=T","Dir=V")</f>
        <v>0</v>
      </c>
      <c r="AW2">
        <f>BDH("CHRN US Equity","PX_VOLUME","1993-06-18","2026-05-02","Per=M","Days=T","Dir=V")</f>
        <v>0</v>
      </c>
      <c r="AY2">
        <f>BDH("CHRN US Equity","TURNOVER","1993-06-18","2026-05-02","Per=M","Days=T","Dir=V")</f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BDH("CHRS US Equity","BS_TOT_ASSET","1993-06-18","2026-05-02","Per=Y","Days=T","Dir=V")</f>
        <v>0</v>
      </c>
      <c r="C2">
        <f>BDH("CHRS US Equity","BS_TOT_LIAB2","1993-06-18","2026-05-02","Per=Y","Days=T","Dir=V")</f>
        <v>0</v>
      </c>
      <c r="E2">
        <f>BDH("CHRS US Equity","SHORT_AND_LONG_TERM_DEBT","1993-06-18","2026-05-02","Per=Y","Days=T","Dir=V")</f>
        <v>0</v>
      </c>
      <c r="G2">
        <f>BDH("CHRS US Equity","BS_ST_BORROW","1993-06-18","2026-05-02","Per=Y","Days=T","Dir=V")</f>
        <v>0</v>
      </c>
      <c r="I2">
        <f>BDH("CHRS US Equity","BS_LT_BORROW","1993-06-18","2026-05-02","Per=Y","Days=T","Dir=V")</f>
        <v>0</v>
      </c>
      <c r="K2">
        <f>BDH("CHRS US Equity","BS_CASH_NEAR_CASH_ITEM","1993-06-18","2026-05-02","Per=Y","Days=T","Dir=V")</f>
        <v>0</v>
      </c>
      <c r="M2">
        <f>BDH("CHRS US Equity","BS_CUR_ASSET_REPORT","1993-06-18","2026-05-02","Per=Y","Days=T","Dir=V")</f>
        <v>0</v>
      </c>
      <c r="O2">
        <f>BDH("CHRS US Equity","BS_CUR_LIAB","1993-06-18","2026-05-02","Per=Y","Days=T","Dir=V")</f>
        <v>0</v>
      </c>
      <c r="Q2">
        <f>BDH("CHRS US Equity","BS_SHAREHOLDER_EQY_ENDING_PERIOD","1993-06-18","2026-05-02","Per=Y","Days=T","Dir=V")</f>
        <v>0</v>
      </c>
      <c r="S2">
        <f>BDH("CHRS US Equity","BS_ACCT_NOTE_RCV","1993-06-18","2026-05-02","Per=Y","Days=T","Dir=V")</f>
        <v>0</v>
      </c>
      <c r="U2">
        <f>BDH("CHRS US Equity","BS_INVENTORIES","1993-06-18","2026-05-02","Per=Y","Days=T","Dir=V")</f>
        <v>0</v>
      </c>
      <c r="W2">
        <f>BDH("CHRS US Equity","WORKING_CAPITAL","1993-06-18","2026-05-02","Per=Y","Days=T","Dir=V")</f>
        <v>0</v>
      </c>
      <c r="Y2">
        <f>BDH("CHRS US Equity","SALES_REV_TURN","1993-06-18","2026-05-02","Per=Y","Days=T","Dir=V")</f>
        <v>0</v>
      </c>
      <c r="AA2">
        <f>BDH("CHRS US Equity","EBIT","1993-06-18","2026-05-02","Per=Y","Days=T","Dir=V")</f>
        <v>0</v>
      </c>
      <c r="AC2">
        <f>BDH("CHRS US Equity","EBITDA","1993-06-18","2026-05-02","Per=Y","Days=T","Dir=V")</f>
        <v>0</v>
      </c>
      <c r="AE2">
        <f>BDH("CHRS US Equity","NET_INCOME","1993-06-18","2026-05-02","Per=Y","Days=T","Dir=V")</f>
        <v>0</v>
      </c>
      <c r="AG2">
        <f>BDH("CHRS US Equity","IS_INT_EXPENSE","1993-06-18","2026-05-02","Per=Y","Days=T","Dir=V")</f>
        <v>0</v>
      </c>
      <c r="AI2">
        <f>BDH("CHRS US Equity","IS_DEPR_EXP","1993-06-18","2026-05-02","Per=Y","Days=T","Dir=V")</f>
        <v>0</v>
      </c>
      <c r="AK2">
        <f>BDH("CHRS US Equity","CF_CASH_FROM_OPER","1993-06-18","2026-05-02","Per=Y","Days=T","Dir=V")</f>
        <v>0</v>
      </c>
      <c r="AM2">
        <f>BDH("CHRS US Equity","CAPITAL_EXPEND","1993-06-18","2026-05-02","Per=Y","Days=T","Dir=V")</f>
        <v>0</v>
      </c>
      <c r="AO2">
        <f>BDH("CHRS US Equity","CF_FREE_CASH_FLOW","1993-06-18","2026-05-02","Per=Y","Days=T","Dir=V")</f>
        <v>0</v>
      </c>
      <c r="AQ2">
        <f>BDH("CHRS US Equity","PX_LAST","1993-06-18","2026-05-02","Per=M","Days=T","Dir=V")</f>
        <v>0</v>
      </c>
      <c r="AS2">
        <f>BDH("CHRS US Equity","CUR_MKT_CAP","1993-06-18","2026-05-02","Per=M","Days=T","Dir=V")</f>
        <v>0</v>
      </c>
      <c r="AU2">
        <f>BDH("CHRS US Equity","EQY_SH_OUT","1993-06-18","2026-05-02","Per=M","Days=T","Dir=V")</f>
        <v>0</v>
      </c>
      <c r="AW2">
        <f>BDH("CHRS US Equity","PX_VOLUME","1993-06-18","2026-05-02","Per=M","Days=T","Dir=V")</f>
        <v>0</v>
      </c>
      <c r="AY2">
        <f>BDH("CHRS US Equity","TURNOVER","1993-06-18","2026-05-02","Per=M","Days=T","Dir=V")</f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BDH("CHRW US Equity","BS_TOT_ASSET","1993-06-18","2026-05-02","Per=Y","Days=T","Dir=V")</f>
        <v>0</v>
      </c>
      <c r="C2">
        <f>BDH("CHRW US Equity","BS_TOT_LIAB2","1993-06-18","2026-05-02","Per=Y","Days=T","Dir=V")</f>
        <v>0</v>
      </c>
      <c r="E2">
        <f>BDH("CHRW US Equity","SHORT_AND_LONG_TERM_DEBT","1993-06-18","2026-05-02","Per=Y","Days=T","Dir=V")</f>
        <v>0</v>
      </c>
      <c r="G2">
        <f>BDH("CHRW US Equity","BS_ST_BORROW","1993-06-18","2026-05-02","Per=Y","Days=T","Dir=V")</f>
        <v>0</v>
      </c>
      <c r="I2">
        <f>BDH("CHRW US Equity","BS_LT_BORROW","1993-06-18","2026-05-02","Per=Y","Days=T","Dir=V")</f>
        <v>0</v>
      </c>
      <c r="K2">
        <f>BDH("CHRW US Equity","BS_CASH_NEAR_CASH_ITEM","1993-06-18","2026-05-02","Per=Y","Days=T","Dir=V")</f>
        <v>0</v>
      </c>
      <c r="M2">
        <f>BDH("CHRW US Equity","BS_CUR_ASSET_REPORT","1993-06-18","2026-05-02","Per=Y","Days=T","Dir=V")</f>
        <v>0</v>
      </c>
      <c r="O2">
        <f>BDH("CHRW US Equity","BS_CUR_LIAB","1993-06-18","2026-05-02","Per=Y","Days=T","Dir=V")</f>
        <v>0</v>
      </c>
      <c r="Q2">
        <f>BDH("CHRW US Equity","BS_SHAREHOLDER_EQY_ENDING_PERIOD","1993-06-18","2026-05-02","Per=Y","Days=T","Dir=V")</f>
        <v>0</v>
      </c>
      <c r="S2">
        <f>BDH("CHRW US Equity","BS_ACCT_NOTE_RCV","1993-06-18","2026-05-02","Per=Y","Days=T","Dir=V")</f>
        <v>0</v>
      </c>
      <c r="U2">
        <f>BDH("CHRW US Equity","BS_INVENTORIES","1993-06-18","2026-05-02","Per=Y","Days=T","Dir=V")</f>
        <v>0</v>
      </c>
      <c r="W2">
        <f>BDH("CHRW US Equity","WORKING_CAPITAL","1993-06-18","2026-05-02","Per=Y","Days=T","Dir=V")</f>
        <v>0</v>
      </c>
      <c r="Y2">
        <f>BDH("CHRW US Equity","SALES_REV_TURN","1993-06-18","2026-05-02","Per=Y","Days=T","Dir=V")</f>
        <v>0</v>
      </c>
      <c r="AA2">
        <f>BDH("CHRW US Equity","EBIT","1993-06-18","2026-05-02","Per=Y","Days=T","Dir=V")</f>
        <v>0</v>
      </c>
      <c r="AC2">
        <f>BDH("CHRW US Equity","EBITDA","1993-06-18","2026-05-02","Per=Y","Days=T","Dir=V")</f>
        <v>0</v>
      </c>
      <c r="AE2">
        <f>BDH("CHRW US Equity","NET_INCOME","1993-06-18","2026-05-02","Per=Y","Days=T","Dir=V")</f>
        <v>0</v>
      </c>
      <c r="AG2">
        <f>BDH("CHRW US Equity","IS_INT_EXPENSE","1993-06-18","2026-05-02","Per=Y","Days=T","Dir=V")</f>
        <v>0</v>
      </c>
      <c r="AI2">
        <f>BDH("CHRW US Equity","IS_DEPR_EXP","1993-06-18","2026-05-02","Per=Y","Days=T","Dir=V")</f>
        <v>0</v>
      </c>
      <c r="AK2">
        <f>BDH("CHRW US Equity","CF_CASH_FROM_OPER","1993-06-18","2026-05-02","Per=Y","Days=T","Dir=V")</f>
        <v>0</v>
      </c>
      <c r="AM2">
        <f>BDH("CHRW US Equity","CAPITAL_EXPEND","1993-06-18","2026-05-02","Per=Y","Days=T","Dir=V")</f>
        <v>0</v>
      </c>
      <c r="AO2">
        <f>BDH("CHRW US Equity","CF_FREE_CASH_FLOW","1993-06-18","2026-05-02","Per=Y","Days=T","Dir=V")</f>
        <v>0</v>
      </c>
      <c r="AQ2">
        <f>BDH("CHRW US Equity","PX_LAST","1993-06-18","2026-05-02","Per=M","Days=T","Dir=V")</f>
        <v>0</v>
      </c>
      <c r="AS2">
        <f>BDH("CHRW US Equity","CUR_MKT_CAP","1993-06-18","2026-05-02","Per=M","Days=T","Dir=V")</f>
        <v>0</v>
      </c>
      <c r="AU2">
        <f>BDH("CHRW US Equity","EQY_SH_OUT","1993-06-18","2026-05-02","Per=M","Days=T","Dir=V")</f>
        <v>0</v>
      </c>
      <c r="AW2">
        <f>BDH("CHRW US Equity","PX_VOLUME","1993-06-18","2026-05-02","Per=M","Days=T","Dir=V")</f>
        <v>0</v>
      </c>
      <c r="AY2">
        <f>BDH("CHRW US Equity","TURNOVER","1993-06-18","2026-05-02","Per=M","Days=T","Dir=V")</f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BDH("CHSCL US Equity","BS_TOT_ASSET","1993-06-18","2026-05-02","Per=Y","Days=T","Dir=V")</f>
        <v>0</v>
      </c>
      <c r="C2">
        <f>BDH("CHSCL US Equity","BS_TOT_LIAB2","1993-06-18","2026-05-02","Per=Y","Days=T","Dir=V")</f>
        <v>0</v>
      </c>
      <c r="E2">
        <f>BDH("CHSCL US Equity","SHORT_AND_LONG_TERM_DEBT","1993-06-18","2026-05-02","Per=Y","Days=T","Dir=V")</f>
        <v>0</v>
      </c>
      <c r="G2">
        <f>BDH("CHSCL US Equity","BS_ST_BORROW","1993-06-18","2026-05-02","Per=Y","Days=T","Dir=V")</f>
        <v>0</v>
      </c>
      <c r="I2">
        <f>BDH("CHSCL US Equity","BS_LT_BORROW","1993-06-18","2026-05-02","Per=Y","Days=T","Dir=V")</f>
        <v>0</v>
      </c>
      <c r="K2">
        <f>BDH("CHSCL US Equity","BS_CASH_NEAR_CASH_ITEM","1993-06-18","2026-05-02","Per=Y","Days=T","Dir=V")</f>
        <v>0</v>
      </c>
      <c r="M2">
        <f>BDH("CHSCL US Equity","BS_CUR_ASSET_REPORT","1993-06-18","2026-05-02","Per=Y","Days=T","Dir=V")</f>
        <v>0</v>
      </c>
      <c r="O2">
        <f>BDH("CHSCL US Equity","BS_CUR_LIAB","1993-06-18","2026-05-02","Per=Y","Days=T","Dir=V")</f>
        <v>0</v>
      </c>
      <c r="Q2">
        <f>BDH("CHSCL US Equity","BS_SHAREHOLDER_EQY_ENDING_PERIOD","1993-06-18","2026-05-02","Per=Y","Days=T","Dir=V")</f>
        <v>0</v>
      </c>
      <c r="S2">
        <f>BDH("CHSCL US Equity","BS_ACCT_NOTE_RCV","1993-06-18","2026-05-02","Per=Y","Days=T","Dir=V")</f>
        <v>0</v>
      </c>
      <c r="U2">
        <f>BDH("CHSCL US Equity","BS_INVENTORIES","1993-06-18","2026-05-02","Per=Y","Days=T","Dir=V")</f>
        <v>0</v>
      </c>
      <c r="W2">
        <f>BDH("CHSCL US Equity","WORKING_CAPITAL","1993-06-18","2026-05-02","Per=Y","Days=T","Dir=V")</f>
        <v>0</v>
      </c>
      <c r="Y2">
        <f>BDH("CHSCL US Equity","SALES_REV_TURN","1993-06-18","2026-05-02","Per=Y","Days=T","Dir=V")</f>
        <v>0</v>
      </c>
      <c r="AA2">
        <f>BDH("CHSCL US Equity","EBIT","1993-06-18","2026-05-02","Per=Y","Days=T","Dir=V")</f>
        <v>0</v>
      </c>
      <c r="AC2">
        <f>BDH("CHSCL US Equity","EBITDA","1993-06-18","2026-05-02","Per=Y","Days=T","Dir=V")</f>
        <v>0</v>
      </c>
      <c r="AE2">
        <f>BDH("CHSCL US Equity","NET_INCOME","1993-06-18","2026-05-02","Per=Y","Days=T","Dir=V")</f>
        <v>0</v>
      </c>
      <c r="AG2">
        <f>BDH("CHSCL US Equity","IS_INT_EXPENSE","1993-06-18","2026-05-02","Per=Y","Days=T","Dir=V")</f>
        <v>0</v>
      </c>
      <c r="AI2">
        <f>BDH("CHSCL US Equity","IS_DEPR_EXP","1993-06-18","2026-05-02","Per=Y","Days=T","Dir=V")</f>
        <v>0</v>
      </c>
      <c r="AK2">
        <f>BDH("CHSCL US Equity","CF_CASH_FROM_OPER","1993-06-18","2026-05-02","Per=Y","Days=T","Dir=V")</f>
        <v>0</v>
      </c>
      <c r="AM2">
        <f>BDH("CHSCL US Equity","CAPITAL_EXPEND","1993-06-18","2026-05-02","Per=Y","Days=T","Dir=V")</f>
        <v>0</v>
      </c>
      <c r="AO2">
        <f>BDH("CHSCL US Equity","CF_FREE_CASH_FLOW","1993-06-18","2026-05-02","Per=Y","Days=T","Dir=V")</f>
        <v>0</v>
      </c>
      <c r="AQ2">
        <f>BDH("CHSCL US Equity","PX_LAST","1993-06-18","2026-05-02","Per=M","Days=T","Dir=V")</f>
        <v>0</v>
      </c>
      <c r="AS2">
        <f>BDH("CHSCL US Equity","CUR_MKT_CAP","1993-06-18","2026-05-02","Per=M","Days=T","Dir=V")</f>
        <v>0</v>
      </c>
      <c r="AU2">
        <f>BDH("CHSCL US Equity","EQY_SH_OUT","1993-06-18","2026-05-02","Per=M","Days=T","Dir=V")</f>
        <v>0</v>
      </c>
      <c r="AW2">
        <f>BDH("CHSCL US Equity","PX_VOLUME","1993-06-18","2026-05-02","Per=M","Days=T","Dir=V")</f>
        <v>0</v>
      </c>
      <c r="AY2">
        <f>BDH("CHSCL US Equity","TURNOVER","1993-06-18","2026-05-02","Per=M","Days=T","Dir=V")</f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BDH("CHSCM US Equity","BS_TOT_ASSET","1993-06-18","2026-05-02","Per=Y","Days=T","Dir=V")</f>
        <v>0</v>
      </c>
      <c r="C2">
        <f>BDH("CHSCM US Equity","BS_TOT_LIAB2","1993-06-18","2026-05-02","Per=Y","Days=T","Dir=V")</f>
        <v>0</v>
      </c>
      <c r="E2">
        <f>BDH("CHSCM US Equity","SHORT_AND_LONG_TERM_DEBT","1993-06-18","2026-05-02","Per=Y","Days=T","Dir=V")</f>
        <v>0</v>
      </c>
      <c r="G2">
        <f>BDH("CHSCM US Equity","BS_ST_BORROW","1993-06-18","2026-05-02","Per=Y","Days=T","Dir=V")</f>
        <v>0</v>
      </c>
      <c r="I2">
        <f>BDH("CHSCM US Equity","BS_LT_BORROW","1993-06-18","2026-05-02","Per=Y","Days=T","Dir=V")</f>
        <v>0</v>
      </c>
      <c r="K2">
        <f>BDH("CHSCM US Equity","BS_CASH_NEAR_CASH_ITEM","1993-06-18","2026-05-02","Per=Y","Days=T","Dir=V")</f>
        <v>0</v>
      </c>
      <c r="M2">
        <f>BDH("CHSCM US Equity","BS_CUR_ASSET_REPORT","1993-06-18","2026-05-02","Per=Y","Days=T","Dir=V")</f>
        <v>0</v>
      </c>
      <c r="O2">
        <f>BDH("CHSCM US Equity","BS_CUR_LIAB","1993-06-18","2026-05-02","Per=Y","Days=T","Dir=V")</f>
        <v>0</v>
      </c>
      <c r="Q2">
        <f>BDH("CHSCM US Equity","BS_SHAREHOLDER_EQY_ENDING_PERIOD","1993-06-18","2026-05-02","Per=Y","Days=T","Dir=V")</f>
        <v>0</v>
      </c>
      <c r="S2">
        <f>BDH("CHSCM US Equity","BS_ACCT_NOTE_RCV","1993-06-18","2026-05-02","Per=Y","Days=T","Dir=V")</f>
        <v>0</v>
      </c>
      <c r="U2">
        <f>BDH("CHSCM US Equity","BS_INVENTORIES","1993-06-18","2026-05-02","Per=Y","Days=T","Dir=V")</f>
        <v>0</v>
      </c>
      <c r="W2">
        <f>BDH("CHSCM US Equity","WORKING_CAPITAL","1993-06-18","2026-05-02","Per=Y","Days=T","Dir=V")</f>
        <v>0</v>
      </c>
      <c r="Y2">
        <f>BDH("CHSCM US Equity","SALES_REV_TURN","1993-06-18","2026-05-02","Per=Y","Days=T","Dir=V")</f>
        <v>0</v>
      </c>
      <c r="AA2">
        <f>BDH("CHSCM US Equity","EBIT","1993-06-18","2026-05-02","Per=Y","Days=T","Dir=V")</f>
        <v>0</v>
      </c>
      <c r="AC2">
        <f>BDH("CHSCM US Equity","EBITDA","1993-06-18","2026-05-02","Per=Y","Days=T","Dir=V")</f>
        <v>0</v>
      </c>
      <c r="AE2">
        <f>BDH("CHSCM US Equity","NET_INCOME","1993-06-18","2026-05-02","Per=Y","Days=T","Dir=V")</f>
        <v>0</v>
      </c>
      <c r="AG2">
        <f>BDH("CHSCM US Equity","IS_INT_EXPENSE","1993-06-18","2026-05-02","Per=Y","Days=T","Dir=V")</f>
        <v>0</v>
      </c>
      <c r="AI2">
        <f>BDH("CHSCM US Equity","IS_DEPR_EXP","1993-06-18","2026-05-02","Per=Y","Days=T","Dir=V")</f>
        <v>0</v>
      </c>
      <c r="AK2">
        <f>BDH("CHSCM US Equity","CF_CASH_FROM_OPER","1993-06-18","2026-05-02","Per=Y","Days=T","Dir=V")</f>
        <v>0</v>
      </c>
      <c r="AM2">
        <f>BDH("CHSCM US Equity","CAPITAL_EXPEND","1993-06-18","2026-05-02","Per=Y","Days=T","Dir=V")</f>
        <v>0</v>
      </c>
      <c r="AO2">
        <f>BDH("CHSCM US Equity","CF_FREE_CASH_FLOW","1993-06-18","2026-05-02","Per=Y","Days=T","Dir=V")</f>
        <v>0</v>
      </c>
      <c r="AQ2">
        <f>BDH("CHSCM US Equity","PX_LAST","1993-06-18","2026-05-02","Per=M","Days=T","Dir=V")</f>
        <v>0</v>
      </c>
      <c r="AS2">
        <f>BDH("CHSCM US Equity","CUR_MKT_CAP","1993-06-18","2026-05-02","Per=M","Days=T","Dir=V")</f>
        <v>0</v>
      </c>
      <c r="AU2">
        <f>BDH("CHSCM US Equity","EQY_SH_OUT","1993-06-18","2026-05-02","Per=M","Days=T","Dir=V")</f>
        <v>0</v>
      </c>
      <c r="AW2">
        <f>BDH("CHSCM US Equity","PX_VOLUME","1993-06-18","2026-05-02","Per=M","Days=T","Dir=V")</f>
        <v>0</v>
      </c>
      <c r="AY2">
        <f>BDH("CHSCM US Equity","TURNOVER","1993-06-18","2026-05-02","Per=M","Days=T","Dir=V")</f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BDH("CHSCN US Equity","BS_TOT_ASSET","1993-06-18","2026-05-02","Per=Y","Days=T","Dir=V")</f>
        <v>0</v>
      </c>
      <c r="C2">
        <f>BDH("CHSCN US Equity","BS_TOT_LIAB2","1993-06-18","2026-05-02","Per=Y","Days=T","Dir=V")</f>
        <v>0</v>
      </c>
      <c r="E2">
        <f>BDH("CHSCN US Equity","SHORT_AND_LONG_TERM_DEBT","1993-06-18","2026-05-02","Per=Y","Days=T","Dir=V")</f>
        <v>0</v>
      </c>
      <c r="G2">
        <f>BDH("CHSCN US Equity","BS_ST_BORROW","1993-06-18","2026-05-02","Per=Y","Days=T","Dir=V")</f>
        <v>0</v>
      </c>
      <c r="I2">
        <f>BDH("CHSCN US Equity","BS_LT_BORROW","1993-06-18","2026-05-02","Per=Y","Days=T","Dir=V")</f>
        <v>0</v>
      </c>
      <c r="K2">
        <f>BDH("CHSCN US Equity","BS_CASH_NEAR_CASH_ITEM","1993-06-18","2026-05-02","Per=Y","Days=T","Dir=V")</f>
        <v>0</v>
      </c>
      <c r="M2">
        <f>BDH("CHSCN US Equity","BS_CUR_ASSET_REPORT","1993-06-18","2026-05-02","Per=Y","Days=T","Dir=V")</f>
        <v>0</v>
      </c>
      <c r="O2">
        <f>BDH("CHSCN US Equity","BS_CUR_LIAB","1993-06-18","2026-05-02","Per=Y","Days=T","Dir=V")</f>
        <v>0</v>
      </c>
      <c r="Q2">
        <f>BDH("CHSCN US Equity","BS_SHAREHOLDER_EQY_ENDING_PERIOD","1993-06-18","2026-05-02","Per=Y","Days=T","Dir=V")</f>
        <v>0</v>
      </c>
      <c r="S2">
        <f>BDH("CHSCN US Equity","BS_ACCT_NOTE_RCV","1993-06-18","2026-05-02","Per=Y","Days=T","Dir=V")</f>
        <v>0</v>
      </c>
      <c r="U2">
        <f>BDH("CHSCN US Equity","BS_INVENTORIES","1993-06-18","2026-05-02","Per=Y","Days=T","Dir=V")</f>
        <v>0</v>
      </c>
      <c r="W2">
        <f>BDH("CHSCN US Equity","WORKING_CAPITAL","1993-06-18","2026-05-02","Per=Y","Days=T","Dir=V")</f>
        <v>0</v>
      </c>
      <c r="Y2">
        <f>BDH("CHSCN US Equity","SALES_REV_TURN","1993-06-18","2026-05-02","Per=Y","Days=T","Dir=V")</f>
        <v>0</v>
      </c>
      <c r="AA2">
        <f>BDH("CHSCN US Equity","EBIT","1993-06-18","2026-05-02","Per=Y","Days=T","Dir=V")</f>
        <v>0</v>
      </c>
      <c r="AC2">
        <f>BDH("CHSCN US Equity","EBITDA","1993-06-18","2026-05-02","Per=Y","Days=T","Dir=V")</f>
        <v>0</v>
      </c>
      <c r="AE2">
        <f>BDH("CHSCN US Equity","NET_INCOME","1993-06-18","2026-05-02","Per=Y","Days=T","Dir=V")</f>
        <v>0</v>
      </c>
      <c r="AG2">
        <f>BDH("CHSCN US Equity","IS_INT_EXPENSE","1993-06-18","2026-05-02","Per=Y","Days=T","Dir=V")</f>
        <v>0</v>
      </c>
      <c r="AI2">
        <f>BDH("CHSCN US Equity","IS_DEPR_EXP","1993-06-18","2026-05-02","Per=Y","Days=T","Dir=V")</f>
        <v>0</v>
      </c>
      <c r="AK2">
        <f>BDH("CHSCN US Equity","CF_CASH_FROM_OPER","1993-06-18","2026-05-02","Per=Y","Days=T","Dir=V")</f>
        <v>0</v>
      </c>
      <c r="AM2">
        <f>BDH("CHSCN US Equity","CAPITAL_EXPEND","1993-06-18","2026-05-02","Per=Y","Days=T","Dir=V")</f>
        <v>0</v>
      </c>
      <c r="AO2">
        <f>BDH("CHSCN US Equity","CF_FREE_CASH_FLOW","1993-06-18","2026-05-02","Per=Y","Days=T","Dir=V")</f>
        <v>0</v>
      </c>
      <c r="AQ2">
        <f>BDH("CHSCN US Equity","PX_LAST","1993-06-18","2026-05-02","Per=M","Days=T","Dir=V")</f>
        <v>0</v>
      </c>
      <c r="AS2">
        <f>BDH("CHSCN US Equity","CUR_MKT_CAP","1993-06-18","2026-05-02","Per=M","Days=T","Dir=V")</f>
        <v>0</v>
      </c>
      <c r="AU2">
        <f>BDH("CHSCN US Equity","EQY_SH_OUT","1993-06-18","2026-05-02","Per=M","Days=T","Dir=V")</f>
        <v>0</v>
      </c>
      <c r="AW2">
        <f>BDH("CHSCN US Equity","PX_VOLUME","1993-06-18","2026-05-02","Per=M","Days=T","Dir=V")</f>
        <v>0</v>
      </c>
      <c r="AY2">
        <f>BDH("CHSCN US Equity","TURNOVER","1993-06-18","2026-05-02","Per=M","Days=T","Dir=V")</f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BDH("CHSCO US Equity","BS_TOT_ASSET","1993-06-18","2026-05-02","Per=Y","Days=T","Dir=V")</f>
        <v>0</v>
      </c>
      <c r="C2">
        <f>BDH("CHSCO US Equity","BS_TOT_LIAB2","1993-06-18","2026-05-02","Per=Y","Days=T","Dir=V")</f>
        <v>0</v>
      </c>
      <c r="E2">
        <f>BDH("CHSCO US Equity","SHORT_AND_LONG_TERM_DEBT","1993-06-18","2026-05-02","Per=Y","Days=T","Dir=V")</f>
        <v>0</v>
      </c>
      <c r="G2">
        <f>BDH("CHSCO US Equity","BS_ST_BORROW","1993-06-18","2026-05-02","Per=Y","Days=T","Dir=V")</f>
        <v>0</v>
      </c>
      <c r="I2">
        <f>BDH("CHSCO US Equity","BS_LT_BORROW","1993-06-18","2026-05-02","Per=Y","Days=T","Dir=V")</f>
        <v>0</v>
      </c>
      <c r="K2">
        <f>BDH("CHSCO US Equity","BS_CASH_NEAR_CASH_ITEM","1993-06-18","2026-05-02","Per=Y","Days=T","Dir=V")</f>
        <v>0</v>
      </c>
      <c r="M2">
        <f>BDH("CHSCO US Equity","BS_CUR_ASSET_REPORT","1993-06-18","2026-05-02","Per=Y","Days=T","Dir=V")</f>
        <v>0</v>
      </c>
      <c r="O2">
        <f>BDH("CHSCO US Equity","BS_CUR_LIAB","1993-06-18","2026-05-02","Per=Y","Days=T","Dir=V")</f>
        <v>0</v>
      </c>
      <c r="Q2">
        <f>BDH("CHSCO US Equity","BS_SHAREHOLDER_EQY_ENDING_PERIOD","1993-06-18","2026-05-02","Per=Y","Days=T","Dir=V")</f>
        <v>0</v>
      </c>
      <c r="S2">
        <f>BDH("CHSCO US Equity","BS_ACCT_NOTE_RCV","1993-06-18","2026-05-02","Per=Y","Days=T","Dir=V")</f>
        <v>0</v>
      </c>
      <c r="U2">
        <f>BDH("CHSCO US Equity","BS_INVENTORIES","1993-06-18","2026-05-02","Per=Y","Days=T","Dir=V")</f>
        <v>0</v>
      </c>
      <c r="W2">
        <f>BDH("CHSCO US Equity","WORKING_CAPITAL","1993-06-18","2026-05-02","Per=Y","Days=T","Dir=V")</f>
        <v>0</v>
      </c>
      <c r="Y2">
        <f>BDH("CHSCO US Equity","SALES_REV_TURN","1993-06-18","2026-05-02","Per=Y","Days=T","Dir=V")</f>
        <v>0</v>
      </c>
      <c r="AA2">
        <f>BDH("CHSCO US Equity","EBIT","1993-06-18","2026-05-02","Per=Y","Days=T","Dir=V")</f>
        <v>0</v>
      </c>
      <c r="AC2">
        <f>BDH("CHSCO US Equity","EBITDA","1993-06-18","2026-05-02","Per=Y","Days=T","Dir=V")</f>
        <v>0</v>
      </c>
      <c r="AE2">
        <f>BDH("CHSCO US Equity","NET_INCOME","1993-06-18","2026-05-02","Per=Y","Days=T","Dir=V")</f>
        <v>0</v>
      </c>
      <c r="AG2">
        <f>BDH("CHSCO US Equity","IS_INT_EXPENSE","1993-06-18","2026-05-02","Per=Y","Days=T","Dir=V")</f>
        <v>0</v>
      </c>
      <c r="AI2">
        <f>BDH("CHSCO US Equity","IS_DEPR_EXP","1993-06-18","2026-05-02","Per=Y","Days=T","Dir=V")</f>
        <v>0</v>
      </c>
      <c r="AK2">
        <f>BDH("CHSCO US Equity","CF_CASH_FROM_OPER","1993-06-18","2026-05-02","Per=Y","Days=T","Dir=V")</f>
        <v>0</v>
      </c>
      <c r="AM2">
        <f>BDH("CHSCO US Equity","CAPITAL_EXPEND","1993-06-18","2026-05-02","Per=Y","Days=T","Dir=V")</f>
        <v>0</v>
      </c>
      <c r="AO2">
        <f>BDH("CHSCO US Equity","CF_FREE_CASH_FLOW","1993-06-18","2026-05-02","Per=Y","Days=T","Dir=V")</f>
        <v>0</v>
      </c>
      <c r="AQ2">
        <f>BDH("CHSCO US Equity","PX_LAST","1993-06-18","2026-05-02","Per=M","Days=T","Dir=V")</f>
        <v>0</v>
      </c>
      <c r="AS2">
        <f>BDH("CHSCO US Equity","CUR_MKT_CAP","1993-06-18","2026-05-02","Per=M","Days=T","Dir=V")</f>
        <v>0</v>
      </c>
      <c r="AU2">
        <f>BDH("CHSCO US Equity","EQY_SH_OUT","1993-06-18","2026-05-02","Per=M","Days=T","Dir=V")</f>
        <v>0</v>
      </c>
      <c r="AW2">
        <f>BDH("CHSCO US Equity","PX_VOLUME","1993-06-18","2026-05-02","Per=M","Days=T","Dir=V")</f>
        <v>0</v>
      </c>
      <c r="AY2">
        <f>BDH("CHSCO US Equity","TURNOVER","1993-06-18","2026-05-02","Per=M","Days=T","Dir=V")</f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BDH("CHSCP US Equity","BS_TOT_ASSET","1993-06-18","2026-05-02","Per=Y","Days=T","Dir=V")</f>
        <v>0</v>
      </c>
      <c r="C2">
        <f>BDH("CHSCP US Equity","BS_TOT_LIAB2","1993-06-18","2026-05-02","Per=Y","Days=T","Dir=V")</f>
        <v>0</v>
      </c>
      <c r="E2">
        <f>BDH("CHSCP US Equity","SHORT_AND_LONG_TERM_DEBT","1993-06-18","2026-05-02","Per=Y","Days=T","Dir=V")</f>
        <v>0</v>
      </c>
      <c r="G2">
        <f>BDH("CHSCP US Equity","BS_ST_BORROW","1993-06-18","2026-05-02","Per=Y","Days=T","Dir=V")</f>
        <v>0</v>
      </c>
      <c r="I2">
        <f>BDH("CHSCP US Equity","BS_LT_BORROW","1993-06-18","2026-05-02","Per=Y","Days=T","Dir=V")</f>
        <v>0</v>
      </c>
      <c r="K2">
        <f>BDH("CHSCP US Equity","BS_CASH_NEAR_CASH_ITEM","1993-06-18","2026-05-02","Per=Y","Days=T","Dir=V")</f>
        <v>0</v>
      </c>
      <c r="M2">
        <f>BDH("CHSCP US Equity","BS_CUR_ASSET_REPORT","1993-06-18","2026-05-02","Per=Y","Days=T","Dir=V")</f>
        <v>0</v>
      </c>
      <c r="O2">
        <f>BDH("CHSCP US Equity","BS_CUR_LIAB","1993-06-18","2026-05-02","Per=Y","Days=T","Dir=V")</f>
        <v>0</v>
      </c>
      <c r="Q2">
        <f>BDH("CHSCP US Equity","BS_SHAREHOLDER_EQY_ENDING_PERIOD","1993-06-18","2026-05-02","Per=Y","Days=T","Dir=V")</f>
        <v>0</v>
      </c>
      <c r="S2">
        <f>BDH("CHSCP US Equity","BS_ACCT_NOTE_RCV","1993-06-18","2026-05-02","Per=Y","Days=T","Dir=V")</f>
        <v>0</v>
      </c>
      <c r="U2">
        <f>BDH("CHSCP US Equity","BS_INVENTORIES","1993-06-18","2026-05-02","Per=Y","Days=T","Dir=V")</f>
        <v>0</v>
      </c>
      <c r="W2">
        <f>BDH("CHSCP US Equity","WORKING_CAPITAL","1993-06-18","2026-05-02","Per=Y","Days=T","Dir=V")</f>
        <v>0</v>
      </c>
      <c r="Y2">
        <f>BDH("CHSCP US Equity","SALES_REV_TURN","1993-06-18","2026-05-02","Per=Y","Days=T","Dir=V")</f>
        <v>0</v>
      </c>
      <c r="AA2">
        <f>BDH("CHSCP US Equity","EBIT","1993-06-18","2026-05-02","Per=Y","Days=T","Dir=V")</f>
        <v>0</v>
      </c>
      <c r="AC2">
        <f>BDH("CHSCP US Equity","EBITDA","1993-06-18","2026-05-02","Per=Y","Days=T","Dir=V")</f>
        <v>0</v>
      </c>
      <c r="AE2">
        <f>BDH("CHSCP US Equity","NET_INCOME","1993-06-18","2026-05-02","Per=Y","Days=T","Dir=V")</f>
        <v>0</v>
      </c>
      <c r="AG2">
        <f>BDH("CHSCP US Equity","IS_INT_EXPENSE","1993-06-18","2026-05-02","Per=Y","Days=T","Dir=V")</f>
        <v>0</v>
      </c>
      <c r="AI2">
        <f>BDH("CHSCP US Equity","IS_DEPR_EXP","1993-06-18","2026-05-02","Per=Y","Days=T","Dir=V")</f>
        <v>0</v>
      </c>
      <c r="AK2">
        <f>BDH("CHSCP US Equity","CF_CASH_FROM_OPER","1993-06-18","2026-05-02","Per=Y","Days=T","Dir=V")</f>
        <v>0</v>
      </c>
      <c r="AM2">
        <f>BDH("CHSCP US Equity","CAPITAL_EXPEND","1993-06-18","2026-05-02","Per=Y","Days=T","Dir=V")</f>
        <v>0</v>
      </c>
      <c r="AO2">
        <f>BDH("CHSCP US Equity","CF_FREE_CASH_FLOW","1993-06-18","2026-05-02","Per=Y","Days=T","Dir=V")</f>
        <v>0</v>
      </c>
      <c r="AQ2">
        <f>BDH("CHSCP US Equity","PX_LAST","1993-06-18","2026-05-02","Per=M","Days=T","Dir=V")</f>
        <v>0</v>
      </c>
      <c r="AS2">
        <f>BDH("CHSCP US Equity","CUR_MKT_CAP","1993-06-18","2026-05-02","Per=M","Days=T","Dir=V")</f>
        <v>0</v>
      </c>
      <c r="AU2">
        <f>BDH("CHSCP US Equity","EQY_SH_OUT","1993-06-18","2026-05-02","Per=M","Days=T","Dir=V")</f>
        <v>0</v>
      </c>
      <c r="AW2">
        <f>BDH("CHSCP US Equity","PX_VOLUME","1993-06-18","2026-05-02","Per=M","Days=T","Dir=V")</f>
        <v>0</v>
      </c>
      <c r="AY2">
        <f>BDH("CHSCP US Equity","TURNOVER","1993-06-18","2026-05-02","Per=M","Days=T","Dir=V")</f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BDH("CHTR US Equity","BS_TOT_ASSET","1993-06-18","2026-05-02","Per=Y","Days=T","Dir=V")</f>
        <v>0</v>
      </c>
      <c r="C2">
        <f>BDH("CHTR US Equity","BS_TOT_LIAB2","1993-06-18","2026-05-02","Per=Y","Days=T","Dir=V")</f>
        <v>0</v>
      </c>
      <c r="E2">
        <f>BDH("CHTR US Equity","SHORT_AND_LONG_TERM_DEBT","1993-06-18","2026-05-02","Per=Y","Days=T","Dir=V")</f>
        <v>0</v>
      </c>
      <c r="G2">
        <f>BDH("CHTR US Equity","BS_ST_BORROW","1993-06-18","2026-05-02","Per=Y","Days=T","Dir=V")</f>
        <v>0</v>
      </c>
      <c r="I2">
        <f>BDH("CHTR US Equity","BS_LT_BORROW","1993-06-18","2026-05-02","Per=Y","Days=T","Dir=V")</f>
        <v>0</v>
      </c>
      <c r="K2">
        <f>BDH("CHTR US Equity","BS_CASH_NEAR_CASH_ITEM","1993-06-18","2026-05-02","Per=Y","Days=T","Dir=V")</f>
        <v>0</v>
      </c>
      <c r="M2">
        <f>BDH("CHTR US Equity","BS_CUR_ASSET_REPORT","1993-06-18","2026-05-02","Per=Y","Days=T","Dir=V")</f>
        <v>0</v>
      </c>
      <c r="O2">
        <f>BDH("CHTR US Equity","BS_CUR_LIAB","1993-06-18","2026-05-02","Per=Y","Days=T","Dir=V")</f>
        <v>0</v>
      </c>
      <c r="Q2">
        <f>BDH("CHTR US Equity","BS_SHAREHOLDER_EQY_ENDING_PERIOD","1993-06-18","2026-05-02","Per=Y","Days=T","Dir=V")</f>
        <v>0</v>
      </c>
      <c r="S2">
        <f>BDH("CHTR US Equity","BS_ACCT_NOTE_RCV","1993-06-18","2026-05-02","Per=Y","Days=T","Dir=V")</f>
        <v>0</v>
      </c>
      <c r="U2">
        <f>BDH("CHTR US Equity","BS_INVENTORIES","1993-06-18","2026-05-02","Per=Y","Days=T","Dir=V")</f>
        <v>0</v>
      </c>
      <c r="W2">
        <f>BDH("CHTR US Equity","WORKING_CAPITAL","1993-06-18","2026-05-02","Per=Y","Days=T","Dir=V")</f>
        <v>0</v>
      </c>
      <c r="Y2">
        <f>BDH("CHTR US Equity","SALES_REV_TURN","1993-06-18","2026-05-02","Per=Y","Days=T","Dir=V")</f>
        <v>0</v>
      </c>
      <c r="AA2">
        <f>BDH("CHTR US Equity","EBIT","1993-06-18","2026-05-02","Per=Y","Days=T","Dir=V")</f>
        <v>0</v>
      </c>
      <c r="AC2">
        <f>BDH("CHTR US Equity","EBITDA","1993-06-18","2026-05-02","Per=Y","Days=T","Dir=V")</f>
        <v>0</v>
      </c>
      <c r="AE2">
        <f>BDH("CHTR US Equity","NET_INCOME","1993-06-18","2026-05-02","Per=Y","Days=T","Dir=V")</f>
        <v>0</v>
      </c>
      <c r="AG2">
        <f>BDH("CHTR US Equity","IS_INT_EXPENSE","1993-06-18","2026-05-02","Per=Y","Days=T","Dir=V")</f>
        <v>0</v>
      </c>
      <c r="AI2">
        <f>BDH("CHTR US Equity","IS_DEPR_EXP","1993-06-18","2026-05-02","Per=Y","Days=T","Dir=V")</f>
        <v>0</v>
      </c>
      <c r="AK2">
        <f>BDH("CHTR US Equity","CF_CASH_FROM_OPER","1993-06-18","2026-05-02","Per=Y","Days=T","Dir=V")</f>
        <v>0</v>
      </c>
      <c r="AM2">
        <f>BDH("CHTR US Equity","CAPITAL_EXPEND","1993-06-18","2026-05-02","Per=Y","Days=T","Dir=V")</f>
        <v>0</v>
      </c>
      <c r="AO2">
        <f>BDH("CHTR US Equity","CF_FREE_CASH_FLOW","1993-06-18","2026-05-02","Per=Y","Days=T","Dir=V")</f>
        <v>0</v>
      </c>
      <c r="AQ2">
        <f>BDH("CHTR US Equity","PX_LAST","1993-06-18","2026-05-02","Per=M","Days=T","Dir=V")</f>
        <v>0</v>
      </c>
      <c r="AS2">
        <f>BDH("CHTR US Equity","CUR_MKT_CAP","1993-06-18","2026-05-02","Per=M","Days=T","Dir=V")</f>
        <v>0</v>
      </c>
      <c r="AU2">
        <f>BDH("CHTR US Equity","EQY_SH_OUT","1993-06-18","2026-05-02","Per=M","Days=T","Dir=V")</f>
        <v>0</v>
      </c>
      <c r="AW2">
        <f>BDH("CHTR US Equity","PX_VOLUME","1993-06-18","2026-05-02","Per=M","Days=T","Dir=V")</f>
        <v>0</v>
      </c>
      <c r="AY2">
        <f>BDH("CHTR US Equity","TURNOVER","1993-06-18","2026-05-02","Per=M","Days=T","Dir=V")</f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BDH("CHTRP US Equity","BS_TOT_ASSET","1993-06-18","2026-05-02","Per=Y","Days=T","Dir=V")</f>
        <v>0</v>
      </c>
      <c r="C2">
        <f>BDH("CHTRP US Equity","BS_TOT_LIAB2","1993-06-18","2026-05-02","Per=Y","Days=T","Dir=V")</f>
        <v>0</v>
      </c>
      <c r="E2">
        <f>BDH("CHTRP US Equity","SHORT_AND_LONG_TERM_DEBT","1993-06-18","2026-05-02","Per=Y","Days=T","Dir=V")</f>
        <v>0</v>
      </c>
      <c r="G2">
        <f>BDH("CHTRP US Equity","BS_ST_BORROW","1993-06-18","2026-05-02","Per=Y","Days=T","Dir=V")</f>
        <v>0</v>
      </c>
      <c r="I2">
        <f>BDH("CHTRP US Equity","BS_LT_BORROW","1993-06-18","2026-05-02","Per=Y","Days=T","Dir=V")</f>
        <v>0</v>
      </c>
      <c r="K2">
        <f>BDH("CHTRP US Equity","BS_CASH_NEAR_CASH_ITEM","1993-06-18","2026-05-02","Per=Y","Days=T","Dir=V")</f>
        <v>0</v>
      </c>
      <c r="M2">
        <f>BDH("CHTRP US Equity","BS_CUR_ASSET_REPORT","1993-06-18","2026-05-02","Per=Y","Days=T","Dir=V")</f>
        <v>0</v>
      </c>
      <c r="O2">
        <f>BDH("CHTRP US Equity","BS_CUR_LIAB","1993-06-18","2026-05-02","Per=Y","Days=T","Dir=V")</f>
        <v>0</v>
      </c>
      <c r="Q2">
        <f>BDH("CHTRP US Equity","BS_SHAREHOLDER_EQY_ENDING_PERIOD","1993-06-18","2026-05-02","Per=Y","Days=T","Dir=V")</f>
        <v>0</v>
      </c>
      <c r="S2">
        <f>BDH("CHTRP US Equity","BS_ACCT_NOTE_RCV","1993-06-18","2026-05-02","Per=Y","Days=T","Dir=V")</f>
        <v>0</v>
      </c>
      <c r="U2">
        <f>BDH("CHTRP US Equity","BS_INVENTORIES","1993-06-18","2026-05-02","Per=Y","Days=T","Dir=V")</f>
        <v>0</v>
      </c>
      <c r="W2">
        <f>BDH("CHTRP US Equity","WORKING_CAPITAL","1993-06-18","2026-05-02","Per=Y","Days=T","Dir=V")</f>
        <v>0</v>
      </c>
      <c r="Y2">
        <f>BDH("CHTRP US Equity","SALES_REV_TURN","1993-06-18","2026-05-02","Per=Y","Days=T","Dir=V")</f>
        <v>0</v>
      </c>
      <c r="AA2">
        <f>BDH("CHTRP US Equity","EBIT","1993-06-18","2026-05-02","Per=Y","Days=T","Dir=V")</f>
        <v>0</v>
      </c>
      <c r="AC2">
        <f>BDH("CHTRP US Equity","EBITDA","1993-06-18","2026-05-02","Per=Y","Days=T","Dir=V")</f>
        <v>0</v>
      </c>
      <c r="AE2">
        <f>BDH("CHTRP US Equity","NET_INCOME","1993-06-18","2026-05-02","Per=Y","Days=T","Dir=V")</f>
        <v>0</v>
      </c>
      <c r="AG2">
        <f>BDH("CHTRP US Equity","IS_INT_EXPENSE","1993-06-18","2026-05-02","Per=Y","Days=T","Dir=V")</f>
        <v>0</v>
      </c>
      <c r="AI2">
        <f>BDH("CHTRP US Equity","IS_DEPR_EXP","1993-06-18","2026-05-02","Per=Y","Days=T","Dir=V")</f>
        <v>0</v>
      </c>
      <c r="AK2">
        <f>BDH("CHTRP US Equity","CF_CASH_FROM_OPER","1993-06-18","2026-05-02","Per=Y","Days=T","Dir=V")</f>
        <v>0</v>
      </c>
      <c r="AM2">
        <f>BDH("CHTRP US Equity","CAPITAL_EXPEND","1993-06-18","2026-05-02","Per=Y","Days=T","Dir=V")</f>
        <v>0</v>
      </c>
      <c r="AO2">
        <f>BDH("CHTRP US Equity","CF_FREE_CASH_FLOW","1993-06-18","2026-05-02","Per=Y","Days=T","Dir=V")</f>
        <v>0</v>
      </c>
      <c r="AQ2">
        <f>BDH("CHTRP US Equity","PX_LAST","1993-06-18","2026-05-02","Per=M","Days=T","Dir=V")</f>
        <v>0</v>
      </c>
      <c r="AS2">
        <f>BDH("CHTRP US Equity","CUR_MKT_CAP","1993-06-18","2026-05-02","Per=M","Days=T","Dir=V")</f>
        <v>0</v>
      </c>
      <c r="AU2">
        <f>BDH("CHTRP US Equity","EQY_SH_OUT","1993-06-18","2026-05-02","Per=M","Days=T","Dir=V")</f>
        <v>0</v>
      </c>
      <c r="AW2">
        <f>BDH("CHTRP US Equity","PX_VOLUME","1993-06-18","2026-05-02","Per=M","Days=T","Dir=V")</f>
        <v>0</v>
      </c>
      <c r="AY2">
        <f>BDH("CHTRP US Equity","TURNOVER","1993-06-18","2026-05-02","Per=M","Days=T","Dir=V")</f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BDH("CHWY US Equity","BS_TOT_ASSET","1993-06-18","2026-05-02","Per=Y","Days=T","Dir=V")</f>
        <v>0</v>
      </c>
      <c r="C2">
        <f>BDH("CHWY US Equity","BS_TOT_LIAB2","1993-06-18","2026-05-02","Per=Y","Days=T","Dir=V")</f>
        <v>0</v>
      </c>
      <c r="E2">
        <f>BDH("CHWY US Equity","SHORT_AND_LONG_TERM_DEBT","1993-06-18","2026-05-02","Per=Y","Days=T","Dir=V")</f>
        <v>0</v>
      </c>
      <c r="G2">
        <f>BDH("CHWY US Equity","BS_ST_BORROW","1993-06-18","2026-05-02","Per=Y","Days=T","Dir=V")</f>
        <v>0</v>
      </c>
      <c r="I2">
        <f>BDH("CHWY US Equity","BS_LT_BORROW","1993-06-18","2026-05-02","Per=Y","Days=T","Dir=V")</f>
        <v>0</v>
      </c>
      <c r="K2">
        <f>BDH("CHWY US Equity","BS_CASH_NEAR_CASH_ITEM","1993-06-18","2026-05-02","Per=Y","Days=T","Dir=V")</f>
        <v>0</v>
      </c>
      <c r="M2">
        <f>BDH("CHWY US Equity","BS_CUR_ASSET_REPORT","1993-06-18","2026-05-02","Per=Y","Days=T","Dir=V")</f>
        <v>0</v>
      </c>
      <c r="O2">
        <f>BDH("CHWY US Equity","BS_CUR_LIAB","1993-06-18","2026-05-02","Per=Y","Days=T","Dir=V")</f>
        <v>0</v>
      </c>
      <c r="Q2">
        <f>BDH("CHWY US Equity","BS_SHAREHOLDER_EQY_ENDING_PERIOD","1993-06-18","2026-05-02","Per=Y","Days=T","Dir=V")</f>
        <v>0</v>
      </c>
      <c r="S2">
        <f>BDH("CHWY US Equity","BS_ACCT_NOTE_RCV","1993-06-18","2026-05-02","Per=Y","Days=T","Dir=V")</f>
        <v>0</v>
      </c>
      <c r="U2">
        <f>BDH("CHWY US Equity","BS_INVENTORIES","1993-06-18","2026-05-02","Per=Y","Days=T","Dir=V")</f>
        <v>0</v>
      </c>
      <c r="W2">
        <f>BDH("CHWY US Equity","WORKING_CAPITAL","1993-06-18","2026-05-02","Per=Y","Days=T","Dir=V")</f>
        <v>0</v>
      </c>
      <c r="Y2">
        <f>BDH("CHWY US Equity","SALES_REV_TURN","1993-06-18","2026-05-02","Per=Y","Days=T","Dir=V")</f>
        <v>0</v>
      </c>
      <c r="AA2">
        <f>BDH("CHWY US Equity","EBIT","1993-06-18","2026-05-02","Per=Y","Days=T","Dir=V")</f>
        <v>0</v>
      </c>
      <c r="AC2">
        <f>BDH("CHWY US Equity","EBITDA","1993-06-18","2026-05-02","Per=Y","Days=T","Dir=V")</f>
        <v>0</v>
      </c>
      <c r="AE2">
        <f>BDH("CHWY US Equity","NET_INCOME","1993-06-18","2026-05-02","Per=Y","Days=T","Dir=V")</f>
        <v>0</v>
      </c>
      <c r="AG2">
        <f>BDH("CHWY US Equity","IS_INT_EXPENSE","1993-06-18","2026-05-02","Per=Y","Days=T","Dir=V")</f>
        <v>0</v>
      </c>
      <c r="AI2">
        <f>BDH("CHWY US Equity","IS_DEPR_EXP","1993-06-18","2026-05-02","Per=Y","Days=T","Dir=V")</f>
        <v>0</v>
      </c>
      <c r="AK2">
        <f>BDH("CHWY US Equity","CF_CASH_FROM_OPER","1993-06-18","2026-05-02","Per=Y","Days=T","Dir=V")</f>
        <v>0</v>
      </c>
      <c r="AM2">
        <f>BDH("CHWY US Equity","CAPITAL_EXPEND","1993-06-18","2026-05-02","Per=Y","Days=T","Dir=V")</f>
        <v>0</v>
      </c>
      <c r="AO2">
        <f>BDH("CHWY US Equity","CF_FREE_CASH_FLOW","1993-06-18","2026-05-02","Per=Y","Days=T","Dir=V")</f>
        <v>0</v>
      </c>
      <c r="AQ2">
        <f>BDH("CHWY US Equity","PX_LAST","1993-06-18","2026-05-02","Per=M","Days=T","Dir=V")</f>
        <v>0</v>
      </c>
      <c r="AS2">
        <f>BDH("CHWY US Equity","CUR_MKT_CAP","1993-06-18","2026-05-02","Per=M","Days=T","Dir=V")</f>
        <v>0</v>
      </c>
      <c r="AU2">
        <f>BDH("CHWY US Equity","EQY_SH_OUT","1993-06-18","2026-05-02","Per=M","Days=T","Dir=V")</f>
        <v>0</v>
      </c>
      <c r="AW2">
        <f>BDH("CHWY US Equity","PX_VOLUME","1993-06-18","2026-05-02","Per=M","Days=T","Dir=V")</f>
        <v>0</v>
      </c>
      <c r="AY2">
        <f>BDH("CHWY US Equity","TURNOVER","1993-06-18","2026-05-02","Per=M","Days=T","Dir=V")</f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BDH("CI US Equity","BS_TOT_ASSET","1993-06-18","2026-05-02","Per=Y","Days=T","Dir=V")</f>
        <v>0</v>
      </c>
      <c r="C2">
        <f>BDH("CI US Equity","BS_TOT_LIAB2","1993-06-18","2026-05-02","Per=Y","Days=T","Dir=V")</f>
        <v>0</v>
      </c>
      <c r="E2">
        <f>BDH("CI US Equity","SHORT_AND_LONG_TERM_DEBT","1993-06-18","2026-05-02","Per=Y","Days=T","Dir=V")</f>
        <v>0</v>
      </c>
      <c r="G2">
        <f>BDH("CI US Equity","BS_ST_BORROW","1993-06-18","2026-05-02","Per=Y","Days=T","Dir=V")</f>
        <v>0</v>
      </c>
      <c r="I2">
        <f>BDH("CI US Equity","BS_LT_BORROW","1993-06-18","2026-05-02","Per=Y","Days=T","Dir=V")</f>
        <v>0</v>
      </c>
      <c r="K2">
        <f>BDH("CI US Equity","BS_CASH_NEAR_CASH_ITEM","1993-06-18","2026-05-02","Per=Y","Days=T","Dir=V")</f>
        <v>0</v>
      </c>
      <c r="M2">
        <f>BDH("CI US Equity","BS_CUR_ASSET_REPORT","1993-06-18","2026-05-02","Per=Y","Days=T","Dir=V")</f>
        <v>0</v>
      </c>
      <c r="O2">
        <f>BDH("CI US Equity","BS_CUR_LIAB","1993-06-18","2026-05-02","Per=Y","Days=T","Dir=V")</f>
        <v>0</v>
      </c>
      <c r="Q2">
        <f>BDH("CI US Equity","BS_SHAREHOLDER_EQY_ENDING_PERIOD","1993-06-18","2026-05-02","Per=Y","Days=T","Dir=V")</f>
        <v>0</v>
      </c>
      <c r="S2">
        <f>BDH("CI US Equity","BS_ACCT_NOTE_RCV","1993-06-18","2026-05-02","Per=Y","Days=T","Dir=V")</f>
        <v>0</v>
      </c>
      <c r="U2">
        <f>BDH("CI US Equity","BS_INVENTORIES","1993-06-18","2026-05-02","Per=Y","Days=T","Dir=V")</f>
        <v>0</v>
      </c>
      <c r="W2">
        <f>BDH("CI US Equity","WORKING_CAPITAL","1993-06-18","2026-05-02","Per=Y","Days=T","Dir=V")</f>
        <v>0</v>
      </c>
      <c r="Y2">
        <f>BDH("CI US Equity","SALES_REV_TURN","1993-06-18","2026-05-02","Per=Y","Days=T","Dir=V")</f>
        <v>0</v>
      </c>
      <c r="AA2">
        <f>BDH("CI US Equity","EBIT","1993-06-18","2026-05-02","Per=Y","Days=T","Dir=V")</f>
        <v>0</v>
      </c>
      <c r="AC2">
        <f>BDH("CI US Equity","EBITDA","1993-06-18","2026-05-02","Per=Y","Days=T","Dir=V")</f>
        <v>0</v>
      </c>
      <c r="AE2">
        <f>BDH("CI US Equity","NET_INCOME","1993-06-18","2026-05-02","Per=Y","Days=T","Dir=V")</f>
        <v>0</v>
      </c>
      <c r="AG2">
        <f>BDH("CI US Equity","IS_INT_EXPENSE","1993-06-18","2026-05-02","Per=Y","Days=T","Dir=V")</f>
        <v>0</v>
      </c>
      <c r="AI2">
        <f>BDH("CI US Equity","IS_DEPR_EXP","1993-06-18","2026-05-02","Per=Y","Days=T","Dir=V")</f>
        <v>0</v>
      </c>
      <c r="AK2">
        <f>BDH("CI US Equity","CF_CASH_FROM_OPER","1993-06-18","2026-05-02","Per=Y","Days=T","Dir=V")</f>
        <v>0</v>
      </c>
      <c r="AM2">
        <f>BDH("CI US Equity","CAPITAL_EXPEND","1993-06-18","2026-05-02","Per=Y","Days=T","Dir=V")</f>
        <v>0</v>
      </c>
      <c r="AO2">
        <f>BDH("CI US Equity","CF_FREE_CASH_FLOW","1993-06-18","2026-05-02","Per=Y","Days=T","Dir=V")</f>
        <v>0</v>
      </c>
      <c r="AQ2">
        <f>BDH("CI US Equity","PX_LAST","1993-06-18","2026-05-02","Per=M","Days=T","Dir=V")</f>
        <v>0</v>
      </c>
      <c r="AS2">
        <f>BDH("CI US Equity","CUR_MKT_CAP","1993-06-18","2026-05-02","Per=M","Days=T","Dir=V")</f>
        <v>0</v>
      </c>
      <c r="AU2">
        <f>BDH("CI US Equity","EQY_SH_OUT","1993-06-18","2026-05-02","Per=M","Days=T","Dir=V")</f>
        <v>0</v>
      </c>
      <c r="AW2">
        <f>BDH("CI US Equity","PX_VOLUME","1993-06-18","2026-05-02","Per=M","Days=T","Dir=V")</f>
        <v>0</v>
      </c>
      <c r="AY2">
        <f>BDH("CI US Equity","TURNOVER","1993-06-18","2026-05-02","Per=M","Days=T","Dir=V")</f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BDH("CIEN US Equity","BS_TOT_ASSET","1993-06-18","2026-05-02","Per=Y","Days=T","Dir=V")</f>
        <v>0</v>
      </c>
      <c r="C2">
        <f>BDH("CIEN US Equity","BS_TOT_LIAB2","1993-06-18","2026-05-02","Per=Y","Days=T","Dir=V")</f>
        <v>0</v>
      </c>
      <c r="E2">
        <f>BDH("CIEN US Equity","SHORT_AND_LONG_TERM_DEBT","1993-06-18","2026-05-02","Per=Y","Days=T","Dir=V")</f>
        <v>0</v>
      </c>
      <c r="G2">
        <f>BDH("CIEN US Equity","BS_ST_BORROW","1993-06-18","2026-05-02","Per=Y","Days=T","Dir=V")</f>
        <v>0</v>
      </c>
      <c r="I2">
        <f>BDH("CIEN US Equity","BS_LT_BORROW","1993-06-18","2026-05-02","Per=Y","Days=T","Dir=V")</f>
        <v>0</v>
      </c>
      <c r="K2">
        <f>BDH("CIEN US Equity","BS_CASH_NEAR_CASH_ITEM","1993-06-18","2026-05-02","Per=Y","Days=T","Dir=V")</f>
        <v>0</v>
      </c>
      <c r="M2">
        <f>BDH("CIEN US Equity","BS_CUR_ASSET_REPORT","1993-06-18","2026-05-02","Per=Y","Days=T","Dir=V")</f>
        <v>0</v>
      </c>
      <c r="O2">
        <f>BDH("CIEN US Equity","BS_CUR_LIAB","1993-06-18","2026-05-02","Per=Y","Days=T","Dir=V")</f>
        <v>0</v>
      </c>
      <c r="Q2">
        <f>BDH("CIEN US Equity","BS_SHAREHOLDER_EQY_ENDING_PERIOD","1993-06-18","2026-05-02","Per=Y","Days=T","Dir=V")</f>
        <v>0</v>
      </c>
      <c r="S2">
        <f>BDH("CIEN US Equity","BS_ACCT_NOTE_RCV","1993-06-18","2026-05-02","Per=Y","Days=T","Dir=V")</f>
        <v>0</v>
      </c>
      <c r="U2">
        <f>BDH("CIEN US Equity","BS_INVENTORIES","1993-06-18","2026-05-02","Per=Y","Days=T","Dir=V")</f>
        <v>0</v>
      </c>
      <c r="W2">
        <f>BDH("CIEN US Equity","WORKING_CAPITAL","1993-06-18","2026-05-02","Per=Y","Days=T","Dir=V")</f>
        <v>0</v>
      </c>
      <c r="Y2">
        <f>BDH("CIEN US Equity","SALES_REV_TURN","1993-06-18","2026-05-02","Per=Y","Days=T","Dir=V")</f>
        <v>0</v>
      </c>
      <c r="AA2">
        <f>BDH("CIEN US Equity","EBIT","1993-06-18","2026-05-02","Per=Y","Days=T","Dir=V")</f>
        <v>0</v>
      </c>
      <c r="AC2">
        <f>BDH("CIEN US Equity","EBITDA","1993-06-18","2026-05-02","Per=Y","Days=T","Dir=V")</f>
        <v>0</v>
      </c>
      <c r="AE2">
        <f>BDH("CIEN US Equity","NET_INCOME","1993-06-18","2026-05-02","Per=Y","Days=T","Dir=V")</f>
        <v>0</v>
      </c>
      <c r="AG2">
        <f>BDH("CIEN US Equity","IS_INT_EXPENSE","1993-06-18","2026-05-02","Per=Y","Days=T","Dir=V")</f>
        <v>0</v>
      </c>
      <c r="AI2">
        <f>BDH("CIEN US Equity","IS_DEPR_EXP","1993-06-18","2026-05-02","Per=Y","Days=T","Dir=V")</f>
        <v>0</v>
      </c>
      <c r="AK2">
        <f>BDH("CIEN US Equity","CF_CASH_FROM_OPER","1993-06-18","2026-05-02","Per=Y","Days=T","Dir=V")</f>
        <v>0</v>
      </c>
      <c r="AM2">
        <f>BDH("CIEN US Equity","CAPITAL_EXPEND","1993-06-18","2026-05-02","Per=Y","Days=T","Dir=V")</f>
        <v>0</v>
      </c>
      <c r="AO2">
        <f>BDH("CIEN US Equity","CF_FREE_CASH_FLOW","1993-06-18","2026-05-02","Per=Y","Days=T","Dir=V")</f>
        <v>0</v>
      </c>
      <c r="AQ2">
        <f>BDH("CIEN US Equity","PX_LAST","1993-06-18","2026-05-02","Per=M","Days=T","Dir=V")</f>
        <v>0</v>
      </c>
      <c r="AS2">
        <f>BDH("CIEN US Equity","CUR_MKT_CAP","1993-06-18","2026-05-02","Per=M","Days=T","Dir=V")</f>
        <v>0</v>
      </c>
      <c r="AU2">
        <f>BDH("CIEN US Equity","EQY_SH_OUT","1993-06-18","2026-05-02","Per=M","Days=T","Dir=V")</f>
        <v>0</v>
      </c>
      <c r="AW2">
        <f>BDH("CIEN US Equity","PX_VOLUME","1993-06-18","2026-05-02","Per=M","Days=T","Dir=V")</f>
        <v>0</v>
      </c>
      <c r="AY2">
        <f>BDH("CIEN US Equity","TURNOVER","1993-06-18","2026-05-02","Per=M","Days=T","Dir=V")</f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BDH("CING US Equity","BS_TOT_ASSET","1993-06-18","2026-05-02","Per=Y","Days=T","Dir=V")</f>
        <v>0</v>
      </c>
      <c r="C2">
        <f>BDH("CING US Equity","BS_TOT_LIAB2","1993-06-18","2026-05-02","Per=Y","Days=T","Dir=V")</f>
        <v>0</v>
      </c>
      <c r="E2">
        <f>BDH("CING US Equity","SHORT_AND_LONG_TERM_DEBT","1993-06-18","2026-05-02","Per=Y","Days=T","Dir=V")</f>
        <v>0</v>
      </c>
      <c r="G2">
        <f>BDH("CING US Equity","BS_ST_BORROW","1993-06-18","2026-05-02","Per=Y","Days=T","Dir=V")</f>
        <v>0</v>
      </c>
      <c r="I2">
        <f>BDH("CING US Equity","BS_LT_BORROW","1993-06-18","2026-05-02","Per=Y","Days=T","Dir=V")</f>
        <v>0</v>
      </c>
      <c r="K2">
        <f>BDH("CING US Equity","BS_CASH_NEAR_CASH_ITEM","1993-06-18","2026-05-02","Per=Y","Days=T","Dir=V")</f>
        <v>0</v>
      </c>
      <c r="M2">
        <f>BDH("CING US Equity","BS_CUR_ASSET_REPORT","1993-06-18","2026-05-02","Per=Y","Days=T","Dir=V")</f>
        <v>0</v>
      </c>
      <c r="O2">
        <f>BDH("CING US Equity","BS_CUR_LIAB","1993-06-18","2026-05-02","Per=Y","Days=T","Dir=V")</f>
        <v>0</v>
      </c>
      <c r="Q2">
        <f>BDH("CING US Equity","BS_SHAREHOLDER_EQY_ENDING_PERIOD","1993-06-18","2026-05-02","Per=Y","Days=T","Dir=V")</f>
        <v>0</v>
      </c>
      <c r="S2">
        <f>BDH("CING US Equity","BS_ACCT_NOTE_RCV","1993-06-18","2026-05-02","Per=Y","Days=T","Dir=V")</f>
        <v>0</v>
      </c>
      <c r="U2">
        <f>BDH("CING US Equity","BS_INVENTORIES","1993-06-18","2026-05-02","Per=Y","Days=T","Dir=V")</f>
        <v>0</v>
      </c>
      <c r="W2">
        <f>BDH("CING US Equity","WORKING_CAPITAL","1993-06-18","2026-05-02","Per=Y","Days=T","Dir=V")</f>
        <v>0</v>
      </c>
      <c r="Y2">
        <f>BDH("CING US Equity","SALES_REV_TURN","1993-06-18","2026-05-02","Per=Y","Days=T","Dir=V")</f>
        <v>0</v>
      </c>
      <c r="AA2">
        <f>BDH("CING US Equity","EBIT","1993-06-18","2026-05-02","Per=Y","Days=T","Dir=V")</f>
        <v>0</v>
      </c>
      <c r="AC2">
        <f>BDH("CING US Equity","EBITDA","1993-06-18","2026-05-02","Per=Y","Days=T","Dir=V")</f>
        <v>0</v>
      </c>
      <c r="AE2">
        <f>BDH("CING US Equity","NET_INCOME","1993-06-18","2026-05-02","Per=Y","Days=T","Dir=V")</f>
        <v>0</v>
      </c>
      <c r="AG2">
        <f>BDH("CING US Equity","IS_INT_EXPENSE","1993-06-18","2026-05-02","Per=Y","Days=T","Dir=V")</f>
        <v>0</v>
      </c>
      <c r="AI2">
        <f>BDH("CING US Equity","IS_DEPR_EXP","1993-06-18","2026-05-02","Per=Y","Days=T","Dir=V")</f>
        <v>0</v>
      </c>
      <c r="AK2">
        <f>BDH("CING US Equity","CF_CASH_FROM_OPER","1993-06-18","2026-05-02","Per=Y","Days=T","Dir=V")</f>
        <v>0</v>
      </c>
      <c r="AM2">
        <f>BDH("CING US Equity","CAPITAL_EXPEND","1993-06-18","2026-05-02","Per=Y","Days=T","Dir=V")</f>
        <v>0</v>
      </c>
      <c r="AO2">
        <f>BDH("CING US Equity","CF_FREE_CASH_FLOW","1993-06-18","2026-05-02","Per=Y","Days=T","Dir=V")</f>
        <v>0</v>
      </c>
      <c r="AQ2">
        <f>BDH("CING US Equity","PX_LAST","1993-06-18","2026-05-02","Per=M","Days=T","Dir=V")</f>
        <v>0</v>
      </c>
      <c r="AS2">
        <f>BDH("CING US Equity","CUR_MKT_CAP","1993-06-18","2026-05-02","Per=M","Days=T","Dir=V")</f>
        <v>0</v>
      </c>
      <c r="AU2">
        <f>BDH("CING US Equity","EQY_SH_OUT","1993-06-18","2026-05-02","Per=M","Days=T","Dir=V")</f>
        <v>0</v>
      </c>
      <c r="AW2">
        <f>BDH("CING US Equity","PX_VOLUME","1993-06-18","2026-05-02","Per=M","Days=T","Dir=V")</f>
        <v>0</v>
      </c>
      <c r="AY2">
        <f>BDH("CING US Equity","TURNOVER","1993-06-18","2026-05-02","Per=M","Days=T","Dir=V")</f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BDH("CIRC US Equity","BS_TOT_ASSET","1993-06-18","2026-05-02","Per=Y","Days=T","Dir=V")</f>
        <v>0</v>
      </c>
      <c r="C2">
        <f>BDH("CIRC US Equity","BS_TOT_LIAB2","1993-06-18","2026-05-02","Per=Y","Days=T","Dir=V")</f>
        <v>0</v>
      </c>
      <c r="E2">
        <f>BDH("CIRC US Equity","SHORT_AND_LONG_TERM_DEBT","1993-06-18","2026-05-02","Per=Y","Days=T","Dir=V")</f>
        <v>0</v>
      </c>
      <c r="G2">
        <f>BDH("CIRC US Equity","BS_ST_BORROW","1993-06-18","2026-05-02","Per=Y","Days=T","Dir=V")</f>
        <v>0</v>
      </c>
      <c r="I2">
        <f>BDH("CIRC US Equity","BS_LT_BORROW","1993-06-18","2026-05-02","Per=Y","Days=T","Dir=V")</f>
        <v>0</v>
      </c>
      <c r="K2">
        <f>BDH("CIRC US Equity","BS_CASH_NEAR_CASH_ITEM","1993-06-18","2026-05-02","Per=Y","Days=T","Dir=V")</f>
        <v>0</v>
      </c>
      <c r="M2">
        <f>BDH("CIRC US Equity","BS_CUR_ASSET_REPORT","1993-06-18","2026-05-02","Per=Y","Days=T","Dir=V")</f>
        <v>0</v>
      </c>
      <c r="O2">
        <f>BDH("CIRC US Equity","BS_CUR_LIAB","1993-06-18","2026-05-02","Per=Y","Days=T","Dir=V")</f>
        <v>0</v>
      </c>
      <c r="Q2">
        <f>BDH("CIRC US Equity","BS_SHAREHOLDER_EQY_ENDING_PERIOD","1993-06-18","2026-05-02","Per=Y","Days=T","Dir=V")</f>
        <v>0</v>
      </c>
      <c r="S2">
        <f>BDH("CIRC US Equity","BS_ACCT_NOTE_RCV","1993-06-18","2026-05-02","Per=Y","Days=T","Dir=V")</f>
        <v>0</v>
      </c>
      <c r="U2">
        <f>BDH("CIRC US Equity","BS_INVENTORIES","1993-06-18","2026-05-02","Per=Y","Days=T","Dir=V")</f>
        <v>0</v>
      </c>
      <c r="W2">
        <f>BDH("CIRC US Equity","WORKING_CAPITAL","1993-06-18","2026-05-02","Per=Y","Days=T","Dir=V")</f>
        <v>0</v>
      </c>
      <c r="Y2">
        <f>BDH("CIRC US Equity","SALES_REV_TURN","1993-06-18","2026-05-02","Per=Y","Days=T","Dir=V")</f>
        <v>0</v>
      </c>
      <c r="AA2">
        <f>BDH("CIRC US Equity","EBIT","1993-06-18","2026-05-02","Per=Y","Days=T","Dir=V")</f>
        <v>0</v>
      </c>
      <c r="AC2">
        <f>BDH("CIRC US Equity","EBITDA","1993-06-18","2026-05-02","Per=Y","Days=T","Dir=V")</f>
        <v>0</v>
      </c>
      <c r="AE2">
        <f>BDH("CIRC US Equity","NET_INCOME","1993-06-18","2026-05-02","Per=Y","Days=T","Dir=V")</f>
        <v>0</v>
      </c>
      <c r="AG2">
        <f>BDH("CIRC US Equity","IS_INT_EXPENSE","1993-06-18","2026-05-02","Per=Y","Days=T","Dir=V")</f>
        <v>0</v>
      </c>
      <c r="AI2">
        <f>BDH("CIRC US Equity","IS_DEPR_EXP","1993-06-18","2026-05-02","Per=Y","Days=T","Dir=V")</f>
        <v>0</v>
      </c>
      <c r="AK2">
        <f>BDH("CIRC US Equity","CF_CASH_FROM_OPER","1993-06-18","2026-05-02","Per=Y","Days=T","Dir=V")</f>
        <v>0</v>
      </c>
      <c r="AM2">
        <f>BDH("CIRC US Equity","CAPITAL_EXPEND","1993-06-18","2026-05-02","Per=Y","Days=T","Dir=V")</f>
        <v>0</v>
      </c>
      <c r="AO2">
        <f>BDH("CIRC US Equity","CF_FREE_CASH_FLOW","1993-06-18","2026-05-02","Per=Y","Days=T","Dir=V")</f>
        <v>0</v>
      </c>
      <c r="AQ2">
        <f>BDH("CIRC US Equity","PX_LAST","1993-06-18","2026-05-02","Per=M","Days=T","Dir=V")</f>
        <v>0</v>
      </c>
      <c r="AS2">
        <f>BDH("CIRC US Equity","CUR_MKT_CAP","1993-06-18","2026-05-02","Per=M","Days=T","Dir=V")</f>
        <v>0</v>
      </c>
      <c r="AU2">
        <f>BDH("CIRC US Equity","EQY_SH_OUT","1993-06-18","2026-05-02","Per=M","Days=T","Dir=V")</f>
        <v>0</v>
      </c>
      <c r="AW2">
        <f>BDH("CIRC US Equity","PX_VOLUME","1993-06-18","2026-05-02","Per=M","Days=T","Dir=V")</f>
        <v>0</v>
      </c>
      <c r="AY2">
        <f>BDH("CIRC US Equity","TURNOVER","1993-06-18","2026-05-02","Per=M","Days=T","Dir=V")</f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BDH("CISO US Equity","BS_TOT_ASSET","1993-06-18","2026-05-02","Per=Y","Days=T","Dir=V")</f>
        <v>0</v>
      </c>
      <c r="C2">
        <f>BDH("CISO US Equity","BS_TOT_LIAB2","1993-06-18","2026-05-02","Per=Y","Days=T","Dir=V")</f>
        <v>0</v>
      </c>
      <c r="E2">
        <f>BDH("CISO US Equity","SHORT_AND_LONG_TERM_DEBT","1993-06-18","2026-05-02","Per=Y","Days=T","Dir=V")</f>
        <v>0</v>
      </c>
      <c r="G2">
        <f>BDH("CISO US Equity","BS_ST_BORROW","1993-06-18","2026-05-02","Per=Y","Days=T","Dir=V")</f>
        <v>0</v>
      </c>
      <c r="I2">
        <f>BDH("CISO US Equity","BS_LT_BORROW","1993-06-18","2026-05-02","Per=Y","Days=T","Dir=V")</f>
        <v>0</v>
      </c>
      <c r="K2">
        <f>BDH("CISO US Equity","BS_CASH_NEAR_CASH_ITEM","1993-06-18","2026-05-02","Per=Y","Days=T","Dir=V")</f>
        <v>0</v>
      </c>
      <c r="M2">
        <f>BDH("CISO US Equity","BS_CUR_ASSET_REPORT","1993-06-18","2026-05-02","Per=Y","Days=T","Dir=V")</f>
        <v>0</v>
      </c>
      <c r="O2">
        <f>BDH("CISO US Equity","BS_CUR_LIAB","1993-06-18","2026-05-02","Per=Y","Days=T","Dir=V")</f>
        <v>0</v>
      </c>
      <c r="Q2">
        <f>BDH("CISO US Equity","BS_SHAREHOLDER_EQY_ENDING_PERIOD","1993-06-18","2026-05-02","Per=Y","Days=T","Dir=V")</f>
        <v>0</v>
      </c>
      <c r="S2">
        <f>BDH("CISO US Equity","BS_ACCT_NOTE_RCV","1993-06-18","2026-05-02","Per=Y","Days=T","Dir=V")</f>
        <v>0</v>
      </c>
      <c r="U2">
        <f>BDH("CISO US Equity","BS_INVENTORIES","1993-06-18","2026-05-02","Per=Y","Days=T","Dir=V")</f>
        <v>0</v>
      </c>
      <c r="W2">
        <f>BDH("CISO US Equity","WORKING_CAPITAL","1993-06-18","2026-05-02","Per=Y","Days=T","Dir=V")</f>
        <v>0</v>
      </c>
      <c r="Y2">
        <f>BDH("CISO US Equity","SALES_REV_TURN","1993-06-18","2026-05-02","Per=Y","Days=T","Dir=V")</f>
        <v>0</v>
      </c>
      <c r="AA2">
        <f>BDH("CISO US Equity","EBIT","1993-06-18","2026-05-02","Per=Y","Days=T","Dir=V")</f>
        <v>0</v>
      </c>
      <c r="AC2">
        <f>BDH("CISO US Equity","EBITDA","1993-06-18","2026-05-02","Per=Y","Days=T","Dir=V")</f>
        <v>0</v>
      </c>
      <c r="AE2">
        <f>BDH("CISO US Equity","NET_INCOME","1993-06-18","2026-05-02","Per=Y","Days=T","Dir=V")</f>
        <v>0</v>
      </c>
      <c r="AG2">
        <f>BDH("CISO US Equity","IS_INT_EXPENSE","1993-06-18","2026-05-02","Per=Y","Days=T","Dir=V")</f>
        <v>0</v>
      </c>
      <c r="AI2">
        <f>BDH("CISO US Equity","IS_DEPR_EXP","1993-06-18","2026-05-02","Per=Y","Days=T","Dir=V")</f>
        <v>0</v>
      </c>
      <c r="AK2">
        <f>BDH("CISO US Equity","CF_CASH_FROM_OPER","1993-06-18","2026-05-02","Per=Y","Days=T","Dir=V")</f>
        <v>0</v>
      </c>
      <c r="AM2">
        <f>BDH("CISO US Equity","CAPITAL_EXPEND","1993-06-18","2026-05-02","Per=Y","Days=T","Dir=V")</f>
        <v>0</v>
      </c>
      <c r="AO2">
        <f>BDH("CISO US Equity","CF_FREE_CASH_FLOW","1993-06-18","2026-05-02","Per=Y","Days=T","Dir=V")</f>
        <v>0</v>
      </c>
      <c r="AQ2">
        <f>BDH("CISO US Equity","PX_LAST","1993-06-18","2026-05-02","Per=M","Days=T","Dir=V")</f>
        <v>0</v>
      </c>
      <c r="AS2">
        <f>BDH("CISO US Equity","CUR_MKT_CAP","1993-06-18","2026-05-02","Per=M","Days=T","Dir=V")</f>
        <v>0</v>
      </c>
      <c r="AU2">
        <f>BDH("CISO US Equity","EQY_SH_OUT","1993-06-18","2026-05-02","Per=M","Days=T","Dir=V")</f>
        <v>0</v>
      </c>
      <c r="AW2">
        <f>BDH("CISO US Equity","PX_VOLUME","1993-06-18","2026-05-02","Per=M","Days=T","Dir=V")</f>
        <v>0</v>
      </c>
      <c r="AY2">
        <f>BDH("CISO US Equity","TURNOVER","1993-06-18","2026-05-02","Per=M","Days=T","Dir=V")</f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BDH("CIX US Equity","BS_TOT_ASSET","1993-06-18","2026-05-02","Per=Y","Days=T","Dir=V")</f>
        <v>0</v>
      </c>
      <c r="C2">
        <f>BDH("CIX US Equity","BS_TOT_LIAB2","1993-06-18","2026-05-02","Per=Y","Days=T","Dir=V")</f>
        <v>0</v>
      </c>
      <c r="E2">
        <f>BDH("CIX US Equity","SHORT_AND_LONG_TERM_DEBT","1993-06-18","2026-05-02","Per=Y","Days=T","Dir=V")</f>
        <v>0</v>
      </c>
      <c r="G2">
        <f>BDH("CIX US Equity","BS_ST_BORROW","1993-06-18","2026-05-02","Per=Y","Days=T","Dir=V")</f>
        <v>0</v>
      </c>
      <c r="I2">
        <f>BDH("CIX US Equity","BS_LT_BORROW","1993-06-18","2026-05-02","Per=Y","Days=T","Dir=V")</f>
        <v>0</v>
      </c>
      <c r="K2">
        <f>BDH("CIX US Equity","BS_CASH_NEAR_CASH_ITEM","1993-06-18","2026-05-02","Per=Y","Days=T","Dir=V")</f>
        <v>0</v>
      </c>
      <c r="M2">
        <f>BDH("CIX US Equity","BS_CUR_ASSET_REPORT","1993-06-18","2026-05-02","Per=Y","Days=T","Dir=V")</f>
        <v>0</v>
      </c>
      <c r="O2">
        <f>BDH("CIX US Equity","BS_CUR_LIAB","1993-06-18","2026-05-02","Per=Y","Days=T","Dir=V")</f>
        <v>0</v>
      </c>
      <c r="Q2">
        <f>BDH("CIX US Equity","BS_SHAREHOLDER_EQY_ENDING_PERIOD","1993-06-18","2026-05-02","Per=Y","Days=T","Dir=V")</f>
        <v>0</v>
      </c>
      <c r="S2">
        <f>BDH("CIX US Equity","BS_ACCT_NOTE_RCV","1993-06-18","2026-05-02","Per=Y","Days=T","Dir=V")</f>
        <v>0</v>
      </c>
      <c r="U2">
        <f>BDH("CIX US Equity","BS_INVENTORIES","1993-06-18","2026-05-02","Per=Y","Days=T","Dir=V")</f>
        <v>0</v>
      </c>
      <c r="W2">
        <f>BDH("CIX US Equity","WORKING_CAPITAL","1993-06-18","2026-05-02","Per=Y","Days=T","Dir=V")</f>
        <v>0</v>
      </c>
      <c r="Y2">
        <f>BDH("CIX US Equity","SALES_REV_TURN","1993-06-18","2026-05-02","Per=Y","Days=T","Dir=V")</f>
        <v>0</v>
      </c>
      <c r="AA2">
        <f>BDH("CIX US Equity","EBIT","1993-06-18","2026-05-02","Per=Y","Days=T","Dir=V")</f>
        <v>0</v>
      </c>
      <c r="AC2">
        <f>BDH("CIX US Equity","EBITDA","1993-06-18","2026-05-02","Per=Y","Days=T","Dir=V")</f>
        <v>0</v>
      </c>
      <c r="AE2">
        <f>BDH("CIX US Equity","NET_INCOME","1993-06-18","2026-05-02","Per=Y","Days=T","Dir=V")</f>
        <v>0</v>
      </c>
      <c r="AG2">
        <f>BDH("CIX US Equity","IS_INT_EXPENSE","1993-06-18","2026-05-02","Per=Y","Days=T","Dir=V")</f>
        <v>0</v>
      </c>
      <c r="AI2">
        <f>BDH("CIX US Equity","IS_DEPR_EXP","1993-06-18","2026-05-02","Per=Y","Days=T","Dir=V")</f>
        <v>0</v>
      </c>
      <c r="AK2">
        <f>BDH("CIX US Equity","CF_CASH_FROM_OPER","1993-06-18","2026-05-02","Per=Y","Days=T","Dir=V")</f>
        <v>0</v>
      </c>
      <c r="AM2">
        <f>BDH("CIX US Equity","CAPITAL_EXPEND","1993-06-18","2026-05-02","Per=Y","Days=T","Dir=V")</f>
        <v>0</v>
      </c>
      <c r="AO2">
        <f>BDH("CIX US Equity","CF_FREE_CASH_FLOW","1993-06-18","2026-05-02","Per=Y","Days=T","Dir=V")</f>
        <v>0</v>
      </c>
      <c r="AQ2">
        <f>BDH("CIX US Equity","PX_LAST","1993-06-18","2026-05-02","Per=M","Days=T","Dir=V")</f>
        <v>0</v>
      </c>
      <c r="AS2">
        <f>BDH("CIX US Equity","CUR_MKT_CAP","1993-06-18","2026-05-02","Per=M","Days=T","Dir=V")</f>
        <v>0</v>
      </c>
      <c r="AU2">
        <f>BDH("CIX US Equity","EQY_SH_OUT","1993-06-18","2026-05-02","Per=M","Days=T","Dir=V")</f>
        <v>0</v>
      </c>
      <c r="AW2">
        <f>BDH("CIX US Equity","PX_VOLUME","1993-06-18","2026-05-02","Per=M","Days=T","Dir=V")</f>
        <v>0</v>
      </c>
      <c r="AY2">
        <f>BDH("CIX US Equity","TURNOVER","1993-06-18","2026-05-02","Per=M","Days=T","Dir=V")</f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BDH("CJMB US Equity","BS_TOT_ASSET","1993-06-18","2026-05-02","Per=Y","Days=T","Dir=V")</f>
        <v>0</v>
      </c>
      <c r="C2">
        <f>BDH("CJMB US Equity","BS_TOT_LIAB2","1993-06-18","2026-05-02","Per=Y","Days=T","Dir=V")</f>
        <v>0</v>
      </c>
      <c r="E2">
        <f>BDH("CJMB US Equity","SHORT_AND_LONG_TERM_DEBT","1993-06-18","2026-05-02","Per=Y","Days=T","Dir=V")</f>
        <v>0</v>
      </c>
      <c r="G2">
        <f>BDH("CJMB US Equity","BS_ST_BORROW","1993-06-18","2026-05-02","Per=Y","Days=T","Dir=V")</f>
        <v>0</v>
      </c>
      <c r="I2">
        <f>BDH("CJMB US Equity","BS_LT_BORROW","1993-06-18","2026-05-02","Per=Y","Days=T","Dir=V")</f>
        <v>0</v>
      </c>
      <c r="K2">
        <f>BDH("CJMB US Equity","BS_CASH_NEAR_CASH_ITEM","1993-06-18","2026-05-02","Per=Y","Days=T","Dir=V")</f>
        <v>0</v>
      </c>
      <c r="M2">
        <f>BDH("CJMB US Equity","BS_CUR_ASSET_REPORT","1993-06-18","2026-05-02","Per=Y","Days=T","Dir=V")</f>
        <v>0</v>
      </c>
      <c r="O2">
        <f>BDH("CJMB US Equity","BS_CUR_LIAB","1993-06-18","2026-05-02","Per=Y","Days=T","Dir=V")</f>
        <v>0</v>
      </c>
      <c r="Q2">
        <f>BDH("CJMB US Equity","BS_SHAREHOLDER_EQY_ENDING_PERIOD","1993-06-18","2026-05-02","Per=Y","Days=T","Dir=V")</f>
        <v>0</v>
      </c>
      <c r="S2">
        <f>BDH("CJMB US Equity","BS_ACCT_NOTE_RCV","1993-06-18","2026-05-02","Per=Y","Days=T","Dir=V")</f>
        <v>0</v>
      </c>
      <c r="U2">
        <f>BDH("CJMB US Equity","BS_INVENTORIES","1993-06-18","2026-05-02","Per=Y","Days=T","Dir=V")</f>
        <v>0</v>
      </c>
      <c r="W2">
        <f>BDH("CJMB US Equity","WORKING_CAPITAL","1993-06-18","2026-05-02","Per=Y","Days=T","Dir=V")</f>
        <v>0</v>
      </c>
      <c r="Y2">
        <f>BDH("CJMB US Equity","SALES_REV_TURN","1993-06-18","2026-05-02","Per=Y","Days=T","Dir=V")</f>
        <v>0</v>
      </c>
      <c r="AA2">
        <f>BDH("CJMB US Equity","EBIT","1993-06-18","2026-05-02","Per=Y","Days=T","Dir=V")</f>
        <v>0</v>
      </c>
      <c r="AC2">
        <f>BDH("CJMB US Equity","EBITDA","1993-06-18","2026-05-02","Per=Y","Days=T","Dir=V")</f>
        <v>0</v>
      </c>
      <c r="AE2">
        <f>BDH("CJMB US Equity","NET_INCOME","1993-06-18","2026-05-02","Per=Y","Days=T","Dir=V")</f>
        <v>0</v>
      </c>
      <c r="AG2">
        <f>BDH("CJMB US Equity","IS_INT_EXPENSE","1993-06-18","2026-05-02","Per=Y","Days=T","Dir=V")</f>
        <v>0</v>
      </c>
      <c r="AI2">
        <f>BDH("CJMB US Equity","IS_DEPR_EXP","1993-06-18","2026-05-02","Per=Y","Days=T","Dir=V")</f>
        <v>0</v>
      </c>
      <c r="AK2">
        <f>BDH("CJMB US Equity","CF_CASH_FROM_OPER","1993-06-18","2026-05-02","Per=Y","Days=T","Dir=V")</f>
        <v>0</v>
      </c>
      <c r="AM2">
        <f>BDH("CJMB US Equity","CAPITAL_EXPEND","1993-06-18","2026-05-02","Per=Y","Days=T","Dir=V")</f>
        <v>0</v>
      </c>
      <c r="AO2">
        <f>BDH("CJMB US Equity","CF_FREE_CASH_FLOW","1993-06-18","2026-05-02","Per=Y","Days=T","Dir=V")</f>
        <v>0</v>
      </c>
      <c r="AQ2">
        <f>BDH("CJMB US Equity","PX_LAST","1993-06-18","2026-05-02","Per=M","Days=T","Dir=V")</f>
        <v>0</v>
      </c>
      <c r="AS2">
        <f>BDH("CJMB US Equity","CUR_MKT_CAP","1993-06-18","2026-05-02","Per=M","Days=T","Dir=V")</f>
        <v>0</v>
      </c>
      <c r="AU2">
        <f>BDH("CJMB US Equity","EQY_SH_OUT","1993-06-18","2026-05-02","Per=M","Days=T","Dir=V")</f>
        <v>0</v>
      </c>
      <c r="AW2">
        <f>BDH("CJMB US Equity","PX_VOLUME","1993-06-18","2026-05-02","Per=M","Days=T","Dir=V")</f>
        <v>0</v>
      </c>
      <c r="AY2">
        <f>BDH("CJMB US Equity","TURNOVER","1993-06-18","2026-05-02","Per=M","Days=T","Dir=V")</f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BDH("CKX US Equity","BS_TOT_ASSET","1993-06-18","2026-05-02","Per=Y","Days=T","Dir=V")</f>
        <v>0</v>
      </c>
      <c r="C2">
        <f>BDH("CKX US Equity","BS_TOT_LIAB2","1993-06-18","2026-05-02","Per=Y","Days=T","Dir=V")</f>
        <v>0</v>
      </c>
      <c r="E2">
        <f>BDH("CKX US Equity","SHORT_AND_LONG_TERM_DEBT","1993-06-18","2026-05-02","Per=Y","Days=T","Dir=V")</f>
        <v>0</v>
      </c>
      <c r="G2">
        <f>BDH("CKX US Equity","BS_ST_BORROW","1993-06-18","2026-05-02","Per=Y","Days=T","Dir=V")</f>
        <v>0</v>
      </c>
      <c r="I2">
        <f>BDH("CKX US Equity","BS_LT_BORROW","1993-06-18","2026-05-02","Per=Y","Days=T","Dir=V")</f>
        <v>0</v>
      </c>
      <c r="K2">
        <f>BDH("CKX US Equity","BS_CASH_NEAR_CASH_ITEM","1993-06-18","2026-05-02","Per=Y","Days=T","Dir=V")</f>
        <v>0</v>
      </c>
      <c r="M2">
        <f>BDH("CKX US Equity","BS_CUR_ASSET_REPORT","1993-06-18","2026-05-02","Per=Y","Days=T","Dir=V")</f>
        <v>0</v>
      </c>
      <c r="O2">
        <f>BDH("CKX US Equity","BS_CUR_LIAB","1993-06-18","2026-05-02","Per=Y","Days=T","Dir=V")</f>
        <v>0</v>
      </c>
      <c r="Q2">
        <f>BDH("CKX US Equity","BS_SHAREHOLDER_EQY_ENDING_PERIOD","1993-06-18","2026-05-02","Per=Y","Days=T","Dir=V")</f>
        <v>0</v>
      </c>
      <c r="S2">
        <f>BDH("CKX US Equity","BS_ACCT_NOTE_RCV","1993-06-18","2026-05-02","Per=Y","Days=T","Dir=V")</f>
        <v>0</v>
      </c>
      <c r="U2">
        <f>BDH("CKX US Equity","BS_INVENTORIES","1993-06-18","2026-05-02","Per=Y","Days=T","Dir=V")</f>
        <v>0</v>
      </c>
      <c r="W2">
        <f>BDH("CKX US Equity","WORKING_CAPITAL","1993-06-18","2026-05-02","Per=Y","Days=T","Dir=V")</f>
        <v>0</v>
      </c>
      <c r="Y2">
        <f>BDH("CKX US Equity","SALES_REV_TURN","1993-06-18","2026-05-02","Per=Y","Days=T","Dir=V")</f>
        <v>0</v>
      </c>
      <c r="AA2">
        <f>BDH("CKX US Equity","EBIT","1993-06-18","2026-05-02","Per=Y","Days=T","Dir=V")</f>
        <v>0</v>
      </c>
      <c r="AC2">
        <f>BDH("CKX US Equity","EBITDA","1993-06-18","2026-05-02","Per=Y","Days=T","Dir=V")</f>
        <v>0</v>
      </c>
      <c r="AE2">
        <f>BDH("CKX US Equity","NET_INCOME","1993-06-18","2026-05-02","Per=Y","Days=T","Dir=V")</f>
        <v>0</v>
      </c>
      <c r="AG2">
        <f>BDH("CKX US Equity","IS_INT_EXPENSE","1993-06-18","2026-05-02","Per=Y","Days=T","Dir=V")</f>
        <v>0</v>
      </c>
      <c r="AI2">
        <f>BDH("CKX US Equity","IS_DEPR_EXP","1993-06-18","2026-05-02","Per=Y","Days=T","Dir=V")</f>
        <v>0</v>
      </c>
      <c r="AK2">
        <f>BDH("CKX US Equity","CF_CASH_FROM_OPER","1993-06-18","2026-05-02","Per=Y","Days=T","Dir=V")</f>
        <v>0</v>
      </c>
      <c r="AM2">
        <f>BDH("CKX US Equity","CAPITAL_EXPEND","1993-06-18","2026-05-02","Per=Y","Days=T","Dir=V")</f>
        <v>0</v>
      </c>
      <c r="AO2">
        <f>BDH("CKX US Equity","CF_FREE_CASH_FLOW","1993-06-18","2026-05-02","Per=Y","Days=T","Dir=V")</f>
        <v>0</v>
      </c>
      <c r="AQ2">
        <f>BDH("CKX US Equity","PX_LAST","1993-06-18","2026-05-02","Per=M","Days=T","Dir=V")</f>
        <v>0</v>
      </c>
      <c r="AS2">
        <f>BDH("CKX US Equity","CUR_MKT_CAP","1993-06-18","2026-05-02","Per=M","Days=T","Dir=V")</f>
        <v>0</v>
      </c>
      <c r="AU2">
        <f>BDH("CKX US Equity","EQY_SH_OUT","1993-06-18","2026-05-02","Per=M","Days=T","Dir=V")</f>
        <v>0</v>
      </c>
      <c r="AW2">
        <f>BDH("CKX US Equity","PX_VOLUME","1993-06-18","2026-05-02","Per=M","Days=T","Dir=V")</f>
        <v>0</v>
      </c>
      <c r="AY2">
        <f>BDH("CKX US Equity","TURNOVER","1993-06-18","2026-05-02","Per=M","Days=T","Dir=V")</f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 US Equity","BS_TOT_ASSET","1993-06-18","2026-05-02","Per=Y","Days=T","Dir=V")</f>
        <v>0</v>
      </c>
      <c r="C2">
        <f>BDH("CL US Equity","BS_TOT_LIAB2","1993-06-18","2026-05-02","Per=Y","Days=T","Dir=V")</f>
        <v>0</v>
      </c>
      <c r="E2">
        <f>BDH("CL US Equity","SHORT_AND_LONG_TERM_DEBT","1993-06-18","2026-05-02","Per=Y","Days=T","Dir=V")</f>
        <v>0</v>
      </c>
      <c r="G2">
        <f>BDH("CL US Equity","BS_ST_BORROW","1993-06-18","2026-05-02","Per=Y","Days=T","Dir=V")</f>
        <v>0</v>
      </c>
      <c r="I2">
        <f>BDH("CL US Equity","BS_LT_BORROW","1993-06-18","2026-05-02","Per=Y","Days=T","Dir=V")</f>
        <v>0</v>
      </c>
      <c r="K2">
        <f>BDH("CL US Equity","BS_CASH_NEAR_CASH_ITEM","1993-06-18","2026-05-02","Per=Y","Days=T","Dir=V")</f>
        <v>0</v>
      </c>
      <c r="M2">
        <f>BDH("CL US Equity","BS_CUR_ASSET_REPORT","1993-06-18","2026-05-02","Per=Y","Days=T","Dir=V")</f>
        <v>0</v>
      </c>
      <c r="O2">
        <f>BDH("CL US Equity","BS_CUR_LIAB","1993-06-18","2026-05-02","Per=Y","Days=T","Dir=V")</f>
        <v>0</v>
      </c>
      <c r="Q2">
        <f>BDH("CL US Equity","BS_SHAREHOLDER_EQY_ENDING_PERIOD","1993-06-18","2026-05-02","Per=Y","Days=T","Dir=V")</f>
        <v>0</v>
      </c>
      <c r="S2">
        <f>BDH("CL US Equity","BS_ACCT_NOTE_RCV","1993-06-18","2026-05-02","Per=Y","Days=T","Dir=V")</f>
        <v>0</v>
      </c>
      <c r="U2">
        <f>BDH("CL US Equity","BS_INVENTORIES","1993-06-18","2026-05-02","Per=Y","Days=T","Dir=V")</f>
        <v>0</v>
      </c>
      <c r="W2">
        <f>BDH("CL US Equity","WORKING_CAPITAL","1993-06-18","2026-05-02","Per=Y","Days=T","Dir=V")</f>
        <v>0</v>
      </c>
      <c r="Y2">
        <f>BDH("CL US Equity","SALES_REV_TURN","1993-06-18","2026-05-02","Per=Y","Days=T","Dir=V")</f>
        <v>0</v>
      </c>
      <c r="AA2">
        <f>BDH("CL US Equity","EBIT","1993-06-18","2026-05-02","Per=Y","Days=T","Dir=V")</f>
        <v>0</v>
      </c>
      <c r="AC2">
        <f>BDH("CL US Equity","EBITDA","1993-06-18","2026-05-02","Per=Y","Days=T","Dir=V")</f>
        <v>0</v>
      </c>
      <c r="AE2">
        <f>BDH("CL US Equity","NET_INCOME","1993-06-18","2026-05-02","Per=Y","Days=T","Dir=V")</f>
        <v>0</v>
      </c>
      <c r="AG2">
        <f>BDH("CL US Equity","IS_INT_EXPENSE","1993-06-18","2026-05-02","Per=Y","Days=T","Dir=V")</f>
        <v>0</v>
      </c>
      <c r="AI2">
        <f>BDH("CL US Equity","IS_DEPR_EXP","1993-06-18","2026-05-02","Per=Y","Days=T","Dir=V")</f>
        <v>0</v>
      </c>
      <c r="AK2">
        <f>BDH("CL US Equity","CF_CASH_FROM_OPER","1993-06-18","2026-05-02","Per=Y","Days=T","Dir=V")</f>
        <v>0</v>
      </c>
      <c r="AM2">
        <f>BDH("CL US Equity","CAPITAL_EXPEND","1993-06-18","2026-05-02","Per=Y","Days=T","Dir=V")</f>
        <v>0</v>
      </c>
      <c r="AO2">
        <f>BDH("CL US Equity","CF_FREE_CASH_FLOW","1993-06-18","2026-05-02","Per=Y","Days=T","Dir=V")</f>
        <v>0</v>
      </c>
      <c r="AQ2">
        <f>BDH("CL US Equity","PX_LAST","1993-06-18","2026-05-02","Per=M","Days=T","Dir=V")</f>
        <v>0</v>
      </c>
      <c r="AS2">
        <f>BDH("CL US Equity","CUR_MKT_CAP","1993-06-18","2026-05-02","Per=M","Days=T","Dir=V")</f>
        <v>0</v>
      </c>
      <c r="AU2">
        <f>BDH("CL US Equity","EQY_SH_OUT","1993-06-18","2026-05-02","Per=M","Days=T","Dir=V")</f>
        <v>0</v>
      </c>
      <c r="AW2">
        <f>BDH("CL US Equity","PX_VOLUME","1993-06-18","2026-05-02","Per=M","Days=T","Dir=V")</f>
        <v>0</v>
      </c>
      <c r="AY2">
        <f>BDH("CL US Equity","TURNOVER","1993-06-18","2026-05-02","Per=M","Days=T","Dir=V")</f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BDH("CLAR US Equity","BS_TOT_ASSET","1993-06-18","2026-05-02","Per=Y","Days=T","Dir=V")</f>
        <v>0</v>
      </c>
      <c r="C2">
        <f>BDH("CLAR US Equity","BS_TOT_LIAB2","1993-06-18","2026-05-02","Per=Y","Days=T","Dir=V")</f>
        <v>0</v>
      </c>
      <c r="E2">
        <f>BDH("CLAR US Equity","SHORT_AND_LONG_TERM_DEBT","1993-06-18","2026-05-02","Per=Y","Days=T","Dir=V")</f>
        <v>0</v>
      </c>
      <c r="G2">
        <f>BDH("CLAR US Equity","BS_ST_BORROW","1993-06-18","2026-05-02","Per=Y","Days=T","Dir=V")</f>
        <v>0</v>
      </c>
      <c r="I2">
        <f>BDH("CLAR US Equity","BS_LT_BORROW","1993-06-18","2026-05-02","Per=Y","Days=T","Dir=V")</f>
        <v>0</v>
      </c>
      <c r="K2">
        <f>BDH("CLAR US Equity","BS_CASH_NEAR_CASH_ITEM","1993-06-18","2026-05-02","Per=Y","Days=T","Dir=V")</f>
        <v>0</v>
      </c>
      <c r="M2">
        <f>BDH("CLAR US Equity","BS_CUR_ASSET_REPORT","1993-06-18","2026-05-02","Per=Y","Days=T","Dir=V")</f>
        <v>0</v>
      </c>
      <c r="O2">
        <f>BDH("CLAR US Equity","BS_CUR_LIAB","1993-06-18","2026-05-02","Per=Y","Days=T","Dir=V")</f>
        <v>0</v>
      </c>
      <c r="Q2">
        <f>BDH("CLAR US Equity","BS_SHAREHOLDER_EQY_ENDING_PERIOD","1993-06-18","2026-05-02","Per=Y","Days=T","Dir=V")</f>
        <v>0</v>
      </c>
      <c r="S2">
        <f>BDH("CLAR US Equity","BS_ACCT_NOTE_RCV","1993-06-18","2026-05-02","Per=Y","Days=T","Dir=V")</f>
        <v>0</v>
      </c>
      <c r="U2">
        <f>BDH("CLAR US Equity","BS_INVENTORIES","1993-06-18","2026-05-02","Per=Y","Days=T","Dir=V")</f>
        <v>0</v>
      </c>
      <c r="W2">
        <f>BDH("CLAR US Equity","WORKING_CAPITAL","1993-06-18","2026-05-02","Per=Y","Days=T","Dir=V")</f>
        <v>0</v>
      </c>
      <c r="Y2">
        <f>BDH("CLAR US Equity","SALES_REV_TURN","1993-06-18","2026-05-02","Per=Y","Days=T","Dir=V")</f>
        <v>0</v>
      </c>
      <c r="AA2">
        <f>BDH("CLAR US Equity","EBIT","1993-06-18","2026-05-02","Per=Y","Days=T","Dir=V")</f>
        <v>0</v>
      </c>
      <c r="AC2">
        <f>BDH("CLAR US Equity","EBITDA","1993-06-18","2026-05-02","Per=Y","Days=T","Dir=V")</f>
        <v>0</v>
      </c>
      <c r="AE2">
        <f>BDH("CLAR US Equity","NET_INCOME","1993-06-18","2026-05-02","Per=Y","Days=T","Dir=V")</f>
        <v>0</v>
      </c>
      <c r="AG2">
        <f>BDH("CLAR US Equity","IS_INT_EXPENSE","1993-06-18","2026-05-02","Per=Y","Days=T","Dir=V")</f>
        <v>0</v>
      </c>
      <c r="AI2">
        <f>BDH("CLAR US Equity","IS_DEPR_EXP","1993-06-18","2026-05-02","Per=Y","Days=T","Dir=V")</f>
        <v>0</v>
      </c>
      <c r="AK2">
        <f>BDH("CLAR US Equity","CF_CASH_FROM_OPER","1993-06-18","2026-05-02","Per=Y","Days=T","Dir=V")</f>
        <v>0</v>
      </c>
      <c r="AM2">
        <f>BDH("CLAR US Equity","CAPITAL_EXPEND","1993-06-18","2026-05-02","Per=Y","Days=T","Dir=V")</f>
        <v>0</v>
      </c>
      <c r="AO2">
        <f>BDH("CLAR US Equity","CF_FREE_CASH_FLOW","1993-06-18","2026-05-02","Per=Y","Days=T","Dir=V")</f>
        <v>0</v>
      </c>
      <c r="AQ2">
        <f>BDH("CLAR US Equity","PX_LAST","1993-06-18","2026-05-02","Per=M","Days=T","Dir=V")</f>
        <v>0</v>
      </c>
      <c r="AS2">
        <f>BDH("CLAR US Equity","CUR_MKT_CAP","1993-06-18","2026-05-02","Per=M","Days=T","Dir=V")</f>
        <v>0</v>
      </c>
      <c r="AU2">
        <f>BDH("CLAR US Equity","EQY_SH_OUT","1993-06-18","2026-05-02","Per=M","Days=T","Dir=V")</f>
        <v>0</v>
      </c>
      <c r="AW2">
        <f>BDH("CLAR US Equity","PX_VOLUME","1993-06-18","2026-05-02","Per=M","Days=T","Dir=V")</f>
        <v>0</v>
      </c>
      <c r="AY2">
        <f>BDH("CLAR US Equity","TURNOVER","1993-06-18","2026-05-02","Per=M","Days=T","Dir=V")</f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BDH("CLDX US Equity","BS_TOT_ASSET","1993-06-18","2026-05-02","Per=Y","Days=T","Dir=V")</f>
        <v>0</v>
      </c>
      <c r="C2">
        <f>BDH("CLDX US Equity","BS_TOT_LIAB2","1993-06-18","2026-05-02","Per=Y","Days=T","Dir=V")</f>
        <v>0</v>
      </c>
      <c r="E2">
        <f>BDH("CLDX US Equity","SHORT_AND_LONG_TERM_DEBT","1993-06-18","2026-05-02","Per=Y","Days=T","Dir=V")</f>
        <v>0</v>
      </c>
      <c r="G2">
        <f>BDH("CLDX US Equity","BS_ST_BORROW","1993-06-18","2026-05-02","Per=Y","Days=T","Dir=V")</f>
        <v>0</v>
      </c>
      <c r="I2">
        <f>BDH("CLDX US Equity","BS_LT_BORROW","1993-06-18","2026-05-02","Per=Y","Days=T","Dir=V")</f>
        <v>0</v>
      </c>
      <c r="K2">
        <f>BDH("CLDX US Equity","BS_CASH_NEAR_CASH_ITEM","1993-06-18","2026-05-02","Per=Y","Days=T","Dir=V")</f>
        <v>0</v>
      </c>
      <c r="M2">
        <f>BDH("CLDX US Equity","BS_CUR_ASSET_REPORT","1993-06-18","2026-05-02","Per=Y","Days=T","Dir=V")</f>
        <v>0</v>
      </c>
      <c r="O2">
        <f>BDH("CLDX US Equity","BS_CUR_LIAB","1993-06-18","2026-05-02","Per=Y","Days=T","Dir=V")</f>
        <v>0</v>
      </c>
      <c r="Q2">
        <f>BDH("CLDX US Equity","BS_SHAREHOLDER_EQY_ENDING_PERIOD","1993-06-18","2026-05-02","Per=Y","Days=T","Dir=V")</f>
        <v>0</v>
      </c>
      <c r="S2">
        <f>BDH("CLDX US Equity","BS_ACCT_NOTE_RCV","1993-06-18","2026-05-02","Per=Y","Days=T","Dir=V")</f>
        <v>0</v>
      </c>
      <c r="U2">
        <f>BDH("CLDX US Equity","BS_INVENTORIES","1993-06-18","2026-05-02","Per=Y","Days=T","Dir=V")</f>
        <v>0</v>
      </c>
      <c r="W2">
        <f>BDH("CLDX US Equity","WORKING_CAPITAL","1993-06-18","2026-05-02","Per=Y","Days=T","Dir=V")</f>
        <v>0</v>
      </c>
      <c r="Y2">
        <f>BDH("CLDX US Equity","SALES_REV_TURN","1993-06-18","2026-05-02","Per=Y","Days=T","Dir=V")</f>
        <v>0</v>
      </c>
      <c r="AA2">
        <f>BDH("CLDX US Equity","EBIT","1993-06-18","2026-05-02","Per=Y","Days=T","Dir=V")</f>
        <v>0</v>
      </c>
      <c r="AC2">
        <f>BDH("CLDX US Equity","EBITDA","1993-06-18","2026-05-02","Per=Y","Days=T","Dir=V")</f>
        <v>0</v>
      </c>
      <c r="AE2">
        <f>BDH("CLDX US Equity","NET_INCOME","1993-06-18","2026-05-02","Per=Y","Days=T","Dir=V")</f>
        <v>0</v>
      </c>
      <c r="AG2">
        <f>BDH("CLDX US Equity","IS_INT_EXPENSE","1993-06-18","2026-05-02","Per=Y","Days=T","Dir=V")</f>
        <v>0</v>
      </c>
      <c r="AI2">
        <f>BDH("CLDX US Equity","IS_DEPR_EXP","1993-06-18","2026-05-02","Per=Y","Days=T","Dir=V")</f>
        <v>0</v>
      </c>
      <c r="AK2">
        <f>BDH("CLDX US Equity","CF_CASH_FROM_OPER","1993-06-18","2026-05-02","Per=Y","Days=T","Dir=V")</f>
        <v>0</v>
      </c>
      <c r="AM2">
        <f>BDH("CLDX US Equity","CAPITAL_EXPEND","1993-06-18","2026-05-02","Per=Y","Days=T","Dir=V")</f>
        <v>0</v>
      </c>
      <c r="AO2">
        <f>BDH("CLDX US Equity","CF_FREE_CASH_FLOW","1993-06-18","2026-05-02","Per=Y","Days=T","Dir=V")</f>
        <v>0</v>
      </c>
      <c r="AQ2">
        <f>BDH("CLDX US Equity","PX_LAST","1993-06-18","2026-05-02","Per=M","Days=T","Dir=V")</f>
        <v>0</v>
      </c>
      <c r="AS2">
        <f>BDH("CLDX US Equity","CUR_MKT_CAP","1993-06-18","2026-05-02","Per=M","Days=T","Dir=V")</f>
        <v>0</v>
      </c>
      <c r="AU2">
        <f>BDH("CLDX US Equity","EQY_SH_OUT","1993-06-18","2026-05-02","Per=M","Days=T","Dir=V")</f>
        <v>0</v>
      </c>
      <c r="AW2">
        <f>BDH("CLDX US Equity","PX_VOLUME","1993-06-18","2026-05-02","Per=M","Days=T","Dir=V")</f>
        <v>0</v>
      </c>
      <c r="AY2">
        <f>BDH("CLDX US Equity","TURNOVER","1993-06-18","2026-05-02","Per=M","Days=T","Dir=V")</f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BDH("CLF US Equity","BS_TOT_ASSET","1993-06-18","2026-05-02","Per=Y","Days=T","Dir=V")</f>
        <v>0</v>
      </c>
      <c r="C2">
        <f>BDH("CLF US Equity","BS_TOT_LIAB2","1993-06-18","2026-05-02","Per=Y","Days=T","Dir=V")</f>
        <v>0</v>
      </c>
      <c r="E2">
        <f>BDH("CLF US Equity","SHORT_AND_LONG_TERM_DEBT","1993-06-18","2026-05-02","Per=Y","Days=T","Dir=V")</f>
        <v>0</v>
      </c>
      <c r="G2">
        <f>BDH("CLF US Equity","BS_ST_BORROW","1993-06-18","2026-05-02","Per=Y","Days=T","Dir=V")</f>
        <v>0</v>
      </c>
      <c r="I2">
        <f>BDH("CLF US Equity","BS_LT_BORROW","1993-06-18","2026-05-02","Per=Y","Days=T","Dir=V")</f>
        <v>0</v>
      </c>
      <c r="K2">
        <f>BDH("CLF US Equity","BS_CASH_NEAR_CASH_ITEM","1993-06-18","2026-05-02","Per=Y","Days=T","Dir=V")</f>
        <v>0</v>
      </c>
      <c r="M2">
        <f>BDH("CLF US Equity","BS_CUR_ASSET_REPORT","1993-06-18","2026-05-02","Per=Y","Days=T","Dir=V")</f>
        <v>0</v>
      </c>
      <c r="O2">
        <f>BDH("CLF US Equity","BS_CUR_LIAB","1993-06-18","2026-05-02","Per=Y","Days=T","Dir=V")</f>
        <v>0</v>
      </c>
      <c r="Q2">
        <f>BDH("CLF US Equity","BS_SHAREHOLDER_EQY_ENDING_PERIOD","1993-06-18","2026-05-02","Per=Y","Days=T","Dir=V")</f>
        <v>0</v>
      </c>
      <c r="S2">
        <f>BDH("CLF US Equity","BS_ACCT_NOTE_RCV","1993-06-18","2026-05-02","Per=Y","Days=T","Dir=V")</f>
        <v>0</v>
      </c>
      <c r="U2">
        <f>BDH("CLF US Equity","BS_INVENTORIES","1993-06-18","2026-05-02","Per=Y","Days=T","Dir=V")</f>
        <v>0</v>
      </c>
      <c r="W2">
        <f>BDH("CLF US Equity","WORKING_CAPITAL","1993-06-18","2026-05-02","Per=Y","Days=T","Dir=V")</f>
        <v>0</v>
      </c>
      <c r="Y2">
        <f>BDH("CLF US Equity","SALES_REV_TURN","1993-06-18","2026-05-02","Per=Y","Days=T","Dir=V")</f>
        <v>0</v>
      </c>
      <c r="AA2">
        <f>BDH("CLF US Equity","EBIT","1993-06-18","2026-05-02","Per=Y","Days=T","Dir=V")</f>
        <v>0</v>
      </c>
      <c r="AC2">
        <f>BDH("CLF US Equity","EBITDA","1993-06-18","2026-05-02","Per=Y","Days=T","Dir=V")</f>
        <v>0</v>
      </c>
      <c r="AE2">
        <f>BDH("CLF US Equity","NET_INCOME","1993-06-18","2026-05-02","Per=Y","Days=T","Dir=V")</f>
        <v>0</v>
      </c>
      <c r="AG2">
        <f>BDH("CLF US Equity","IS_INT_EXPENSE","1993-06-18","2026-05-02","Per=Y","Days=T","Dir=V")</f>
        <v>0</v>
      </c>
      <c r="AI2">
        <f>BDH("CLF US Equity","IS_DEPR_EXP","1993-06-18","2026-05-02","Per=Y","Days=T","Dir=V")</f>
        <v>0</v>
      </c>
      <c r="AK2">
        <f>BDH("CLF US Equity","CF_CASH_FROM_OPER","1993-06-18","2026-05-02","Per=Y","Days=T","Dir=V")</f>
        <v>0</v>
      </c>
      <c r="AM2">
        <f>BDH("CLF US Equity","CAPITAL_EXPEND","1993-06-18","2026-05-02","Per=Y","Days=T","Dir=V")</f>
        <v>0</v>
      </c>
      <c r="AO2">
        <f>BDH("CLF US Equity","CF_FREE_CASH_FLOW","1993-06-18","2026-05-02","Per=Y","Days=T","Dir=V")</f>
        <v>0</v>
      </c>
      <c r="AQ2">
        <f>BDH("CLF US Equity","PX_LAST","1993-06-18","2026-05-02","Per=M","Days=T","Dir=V")</f>
        <v>0</v>
      </c>
      <c r="AS2">
        <f>BDH("CLF US Equity","CUR_MKT_CAP","1993-06-18","2026-05-02","Per=M","Days=T","Dir=V")</f>
        <v>0</v>
      </c>
      <c r="AU2">
        <f>BDH("CLF US Equity","EQY_SH_OUT","1993-06-18","2026-05-02","Per=M","Days=T","Dir=V")</f>
        <v>0</v>
      </c>
      <c r="AW2">
        <f>BDH("CLF US Equity","PX_VOLUME","1993-06-18","2026-05-02","Per=M","Days=T","Dir=V")</f>
        <v>0</v>
      </c>
      <c r="AY2">
        <f>BDH("CLF US Equity","TURNOVER","1993-06-18","2026-05-02","Per=M","Days=T","Dir=V")</f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BDH("CLFD US Equity","BS_TOT_ASSET","1993-06-18","2026-05-02","Per=Y","Days=T","Dir=V")</f>
        <v>0</v>
      </c>
      <c r="C2">
        <f>BDH("CLFD US Equity","BS_TOT_LIAB2","1993-06-18","2026-05-02","Per=Y","Days=T","Dir=V")</f>
        <v>0</v>
      </c>
      <c r="E2">
        <f>BDH("CLFD US Equity","SHORT_AND_LONG_TERM_DEBT","1993-06-18","2026-05-02","Per=Y","Days=T","Dir=V")</f>
        <v>0</v>
      </c>
      <c r="G2">
        <f>BDH("CLFD US Equity","BS_ST_BORROW","1993-06-18","2026-05-02","Per=Y","Days=T","Dir=V")</f>
        <v>0</v>
      </c>
      <c r="I2">
        <f>BDH("CLFD US Equity","BS_LT_BORROW","1993-06-18","2026-05-02","Per=Y","Days=T","Dir=V")</f>
        <v>0</v>
      </c>
      <c r="K2">
        <f>BDH("CLFD US Equity","BS_CASH_NEAR_CASH_ITEM","1993-06-18","2026-05-02","Per=Y","Days=T","Dir=V")</f>
        <v>0</v>
      </c>
      <c r="M2">
        <f>BDH("CLFD US Equity","BS_CUR_ASSET_REPORT","1993-06-18","2026-05-02","Per=Y","Days=T","Dir=V")</f>
        <v>0</v>
      </c>
      <c r="O2">
        <f>BDH("CLFD US Equity","BS_CUR_LIAB","1993-06-18","2026-05-02","Per=Y","Days=T","Dir=V")</f>
        <v>0</v>
      </c>
      <c r="Q2">
        <f>BDH("CLFD US Equity","BS_SHAREHOLDER_EQY_ENDING_PERIOD","1993-06-18","2026-05-02","Per=Y","Days=T","Dir=V")</f>
        <v>0</v>
      </c>
      <c r="S2">
        <f>BDH("CLFD US Equity","BS_ACCT_NOTE_RCV","1993-06-18","2026-05-02","Per=Y","Days=T","Dir=V")</f>
        <v>0</v>
      </c>
      <c r="U2">
        <f>BDH("CLFD US Equity","BS_INVENTORIES","1993-06-18","2026-05-02","Per=Y","Days=T","Dir=V")</f>
        <v>0</v>
      </c>
      <c r="W2">
        <f>BDH("CLFD US Equity","WORKING_CAPITAL","1993-06-18","2026-05-02","Per=Y","Days=T","Dir=V")</f>
        <v>0</v>
      </c>
      <c r="Y2">
        <f>BDH("CLFD US Equity","SALES_REV_TURN","1993-06-18","2026-05-02","Per=Y","Days=T","Dir=V")</f>
        <v>0</v>
      </c>
      <c r="AA2">
        <f>BDH("CLFD US Equity","EBIT","1993-06-18","2026-05-02","Per=Y","Days=T","Dir=V")</f>
        <v>0</v>
      </c>
      <c r="AC2">
        <f>BDH("CLFD US Equity","EBITDA","1993-06-18","2026-05-02","Per=Y","Days=T","Dir=V")</f>
        <v>0</v>
      </c>
      <c r="AE2">
        <f>BDH("CLFD US Equity","NET_INCOME","1993-06-18","2026-05-02","Per=Y","Days=T","Dir=V")</f>
        <v>0</v>
      </c>
      <c r="AG2">
        <f>BDH("CLFD US Equity","IS_INT_EXPENSE","1993-06-18","2026-05-02","Per=Y","Days=T","Dir=V")</f>
        <v>0</v>
      </c>
      <c r="AI2">
        <f>BDH("CLFD US Equity","IS_DEPR_EXP","1993-06-18","2026-05-02","Per=Y","Days=T","Dir=V")</f>
        <v>0</v>
      </c>
      <c r="AK2">
        <f>BDH("CLFD US Equity","CF_CASH_FROM_OPER","1993-06-18","2026-05-02","Per=Y","Days=T","Dir=V")</f>
        <v>0</v>
      </c>
      <c r="AM2">
        <f>BDH("CLFD US Equity","CAPITAL_EXPEND","1993-06-18","2026-05-02","Per=Y","Days=T","Dir=V")</f>
        <v>0</v>
      </c>
      <c r="AO2">
        <f>BDH("CLFD US Equity","CF_FREE_CASH_FLOW","1993-06-18","2026-05-02","Per=Y","Days=T","Dir=V")</f>
        <v>0</v>
      </c>
      <c r="AQ2">
        <f>BDH("CLFD US Equity","PX_LAST","1993-06-18","2026-05-02","Per=M","Days=T","Dir=V")</f>
        <v>0</v>
      </c>
      <c r="AS2">
        <f>BDH("CLFD US Equity","CUR_MKT_CAP","1993-06-18","2026-05-02","Per=M","Days=T","Dir=V")</f>
        <v>0</v>
      </c>
      <c r="AU2">
        <f>BDH("CLFD US Equity","EQY_SH_OUT","1993-06-18","2026-05-02","Per=M","Days=T","Dir=V")</f>
        <v>0</v>
      </c>
      <c r="AW2">
        <f>BDH("CLFD US Equity","PX_VOLUME","1993-06-18","2026-05-02","Per=M","Days=T","Dir=V")</f>
        <v>0</v>
      </c>
      <c r="AY2">
        <f>BDH("CLFD US Equity","TURNOVER","1993-06-18","2026-05-02","Per=M","Days=T","Dir=V")</f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BDH("CLH US Equity","BS_TOT_ASSET","1993-06-18","2026-05-02","Per=Y","Days=T","Dir=V")</f>
        <v>0</v>
      </c>
      <c r="C2">
        <f>BDH("CLH US Equity","BS_TOT_LIAB2","1993-06-18","2026-05-02","Per=Y","Days=T","Dir=V")</f>
        <v>0</v>
      </c>
      <c r="E2">
        <f>BDH("CLH US Equity","SHORT_AND_LONG_TERM_DEBT","1993-06-18","2026-05-02","Per=Y","Days=T","Dir=V")</f>
        <v>0</v>
      </c>
      <c r="G2">
        <f>BDH("CLH US Equity","BS_ST_BORROW","1993-06-18","2026-05-02","Per=Y","Days=T","Dir=V")</f>
        <v>0</v>
      </c>
      <c r="I2">
        <f>BDH("CLH US Equity","BS_LT_BORROW","1993-06-18","2026-05-02","Per=Y","Days=T","Dir=V")</f>
        <v>0</v>
      </c>
      <c r="K2">
        <f>BDH("CLH US Equity","BS_CASH_NEAR_CASH_ITEM","1993-06-18","2026-05-02","Per=Y","Days=T","Dir=V")</f>
        <v>0</v>
      </c>
      <c r="M2">
        <f>BDH("CLH US Equity","BS_CUR_ASSET_REPORT","1993-06-18","2026-05-02","Per=Y","Days=T","Dir=V")</f>
        <v>0</v>
      </c>
      <c r="O2">
        <f>BDH("CLH US Equity","BS_CUR_LIAB","1993-06-18","2026-05-02","Per=Y","Days=T","Dir=V")</f>
        <v>0</v>
      </c>
      <c r="Q2">
        <f>BDH("CLH US Equity","BS_SHAREHOLDER_EQY_ENDING_PERIOD","1993-06-18","2026-05-02","Per=Y","Days=T","Dir=V")</f>
        <v>0</v>
      </c>
      <c r="S2">
        <f>BDH("CLH US Equity","BS_ACCT_NOTE_RCV","1993-06-18","2026-05-02","Per=Y","Days=T","Dir=V")</f>
        <v>0</v>
      </c>
      <c r="U2">
        <f>BDH("CLH US Equity","BS_INVENTORIES","1993-06-18","2026-05-02","Per=Y","Days=T","Dir=V")</f>
        <v>0</v>
      </c>
      <c r="W2">
        <f>BDH("CLH US Equity","WORKING_CAPITAL","1993-06-18","2026-05-02","Per=Y","Days=T","Dir=V")</f>
        <v>0</v>
      </c>
      <c r="Y2">
        <f>BDH("CLH US Equity","SALES_REV_TURN","1993-06-18","2026-05-02","Per=Y","Days=T","Dir=V")</f>
        <v>0</v>
      </c>
      <c r="AA2">
        <f>BDH("CLH US Equity","EBIT","1993-06-18","2026-05-02","Per=Y","Days=T","Dir=V")</f>
        <v>0</v>
      </c>
      <c r="AC2">
        <f>BDH("CLH US Equity","EBITDA","1993-06-18","2026-05-02","Per=Y","Days=T","Dir=V")</f>
        <v>0</v>
      </c>
      <c r="AE2">
        <f>BDH("CLH US Equity","NET_INCOME","1993-06-18","2026-05-02","Per=Y","Days=T","Dir=V")</f>
        <v>0</v>
      </c>
      <c r="AG2">
        <f>BDH("CLH US Equity","IS_INT_EXPENSE","1993-06-18","2026-05-02","Per=Y","Days=T","Dir=V")</f>
        <v>0</v>
      </c>
      <c r="AI2">
        <f>BDH("CLH US Equity","IS_DEPR_EXP","1993-06-18","2026-05-02","Per=Y","Days=T","Dir=V")</f>
        <v>0</v>
      </c>
      <c r="AK2">
        <f>BDH("CLH US Equity","CF_CASH_FROM_OPER","1993-06-18","2026-05-02","Per=Y","Days=T","Dir=V")</f>
        <v>0</v>
      </c>
      <c r="AM2">
        <f>BDH("CLH US Equity","CAPITAL_EXPEND","1993-06-18","2026-05-02","Per=Y","Days=T","Dir=V")</f>
        <v>0</v>
      </c>
      <c r="AO2">
        <f>BDH("CLH US Equity","CF_FREE_CASH_FLOW","1993-06-18","2026-05-02","Per=Y","Days=T","Dir=V")</f>
        <v>0</v>
      </c>
      <c r="AQ2">
        <f>BDH("CLH US Equity","PX_LAST","1993-06-18","2026-05-02","Per=M","Days=T","Dir=V")</f>
        <v>0</v>
      </c>
      <c r="AS2">
        <f>BDH("CLH US Equity","CUR_MKT_CAP","1993-06-18","2026-05-02","Per=M","Days=T","Dir=V")</f>
        <v>0</v>
      </c>
      <c r="AU2">
        <f>BDH("CLH US Equity","EQY_SH_OUT","1993-06-18","2026-05-02","Per=M","Days=T","Dir=V")</f>
        <v>0</v>
      </c>
      <c r="AW2">
        <f>BDH("CLH US Equity","PX_VOLUME","1993-06-18","2026-05-02","Per=M","Days=T","Dir=V")</f>
        <v>0</v>
      </c>
      <c r="AY2">
        <f>BDH("CLH US Equity","TURNOVER","1993-06-18","2026-05-02","Per=M","Days=T","Dir=V")</f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BDH("CLIR US Equity","BS_TOT_ASSET","1993-06-18","2026-05-02","Per=Y","Days=T","Dir=V")</f>
        <v>0</v>
      </c>
      <c r="C2">
        <f>BDH("CLIR US Equity","BS_TOT_LIAB2","1993-06-18","2026-05-02","Per=Y","Days=T","Dir=V")</f>
        <v>0</v>
      </c>
      <c r="E2">
        <f>BDH("CLIR US Equity","SHORT_AND_LONG_TERM_DEBT","1993-06-18","2026-05-02","Per=Y","Days=T","Dir=V")</f>
        <v>0</v>
      </c>
      <c r="G2">
        <f>BDH("CLIR US Equity","BS_ST_BORROW","1993-06-18","2026-05-02","Per=Y","Days=T","Dir=V")</f>
        <v>0</v>
      </c>
      <c r="I2">
        <f>BDH("CLIR US Equity","BS_LT_BORROW","1993-06-18","2026-05-02","Per=Y","Days=T","Dir=V")</f>
        <v>0</v>
      </c>
      <c r="K2">
        <f>BDH("CLIR US Equity","BS_CASH_NEAR_CASH_ITEM","1993-06-18","2026-05-02","Per=Y","Days=T","Dir=V")</f>
        <v>0</v>
      </c>
      <c r="M2">
        <f>BDH("CLIR US Equity","BS_CUR_ASSET_REPORT","1993-06-18","2026-05-02","Per=Y","Days=T","Dir=V")</f>
        <v>0</v>
      </c>
      <c r="O2">
        <f>BDH("CLIR US Equity","BS_CUR_LIAB","1993-06-18","2026-05-02","Per=Y","Days=T","Dir=V")</f>
        <v>0</v>
      </c>
      <c r="Q2">
        <f>BDH("CLIR US Equity","BS_SHAREHOLDER_EQY_ENDING_PERIOD","1993-06-18","2026-05-02","Per=Y","Days=T","Dir=V")</f>
        <v>0</v>
      </c>
      <c r="S2">
        <f>BDH("CLIR US Equity","BS_ACCT_NOTE_RCV","1993-06-18","2026-05-02","Per=Y","Days=T","Dir=V")</f>
        <v>0</v>
      </c>
      <c r="U2">
        <f>BDH("CLIR US Equity","BS_INVENTORIES","1993-06-18","2026-05-02","Per=Y","Days=T","Dir=V")</f>
        <v>0</v>
      </c>
      <c r="W2">
        <f>BDH("CLIR US Equity","WORKING_CAPITAL","1993-06-18","2026-05-02","Per=Y","Days=T","Dir=V")</f>
        <v>0</v>
      </c>
      <c r="Y2">
        <f>BDH("CLIR US Equity","SALES_REV_TURN","1993-06-18","2026-05-02","Per=Y","Days=T","Dir=V")</f>
        <v>0</v>
      </c>
      <c r="AA2">
        <f>BDH("CLIR US Equity","EBIT","1993-06-18","2026-05-02","Per=Y","Days=T","Dir=V")</f>
        <v>0</v>
      </c>
      <c r="AC2">
        <f>BDH("CLIR US Equity","EBITDA","1993-06-18","2026-05-02","Per=Y","Days=T","Dir=V")</f>
        <v>0</v>
      </c>
      <c r="AE2">
        <f>BDH("CLIR US Equity","NET_INCOME","1993-06-18","2026-05-02","Per=Y","Days=T","Dir=V")</f>
        <v>0</v>
      </c>
      <c r="AG2">
        <f>BDH("CLIR US Equity","IS_INT_EXPENSE","1993-06-18","2026-05-02","Per=Y","Days=T","Dir=V")</f>
        <v>0</v>
      </c>
      <c r="AI2">
        <f>BDH("CLIR US Equity","IS_DEPR_EXP","1993-06-18","2026-05-02","Per=Y","Days=T","Dir=V")</f>
        <v>0</v>
      </c>
      <c r="AK2">
        <f>BDH("CLIR US Equity","CF_CASH_FROM_OPER","1993-06-18","2026-05-02","Per=Y","Days=T","Dir=V")</f>
        <v>0</v>
      </c>
      <c r="AM2">
        <f>BDH("CLIR US Equity","CAPITAL_EXPEND","1993-06-18","2026-05-02","Per=Y","Days=T","Dir=V")</f>
        <v>0</v>
      </c>
      <c r="AO2">
        <f>BDH("CLIR US Equity","CF_FREE_CASH_FLOW","1993-06-18","2026-05-02","Per=Y","Days=T","Dir=V")</f>
        <v>0</v>
      </c>
      <c r="AQ2">
        <f>BDH("CLIR US Equity","PX_LAST","1993-06-18","2026-05-02","Per=M","Days=T","Dir=V")</f>
        <v>0</v>
      </c>
      <c r="AS2">
        <f>BDH("CLIR US Equity","CUR_MKT_CAP","1993-06-18","2026-05-02","Per=M","Days=T","Dir=V")</f>
        <v>0</v>
      </c>
      <c r="AU2">
        <f>BDH("CLIR US Equity","EQY_SH_OUT","1993-06-18","2026-05-02","Per=M","Days=T","Dir=V")</f>
        <v>0</v>
      </c>
      <c r="AW2">
        <f>BDH("CLIR US Equity","PX_VOLUME","1993-06-18","2026-05-02","Per=M","Days=T","Dir=V")</f>
        <v>0</v>
      </c>
      <c r="AY2">
        <f>BDH("CLIR US Equity","TURNOVER","1993-06-18","2026-05-02","Per=M","Days=T","Dir=V")</f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BDH("CLMB US Equity","BS_TOT_ASSET","1993-06-18","2026-05-02","Per=Y","Days=T","Dir=V")</f>
        <v>0</v>
      </c>
      <c r="C2">
        <f>BDH("CLMB US Equity","BS_TOT_LIAB2","1993-06-18","2026-05-02","Per=Y","Days=T","Dir=V")</f>
        <v>0</v>
      </c>
      <c r="E2">
        <f>BDH("CLMB US Equity","SHORT_AND_LONG_TERM_DEBT","1993-06-18","2026-05-02","Per=Y","Days=T","Dir=V")</f>
        <v>0</v>
      </c>
      <c r="G2">
        <f>BDH("CLMB US Equity","BS_ST_BORROW","1993-06-18","2026-05-02","Per=Y","Days=T","Dir=V")</f>
        <v>0</v>
      </c>
      <c r="I2">
        <f>BDH("CLMB US Equity","BS_LT_BORROW","1993-06-18","2026-05-02","Per=Y","Days=T","Dir=V")</f>
        <v>0</v>
      </c>
      <c r="K2">
        <f>BDH("CLMB US Equity","BS_CASH_NEAR_CASH_ITEM","1993-06-18","2026-05-02","Per=Y","Days=T","Dir=V")</f>
        <v>0</v>
      </c>
      <c r="M2">
        <f>BDH("CLMB US Equity","BS_CUR_ASSET_REPORT","1993-06-18","2026-05-02","Per=Y","Days=T","Dir=V")</f>
        <v>0</v>
      </c>
      <c r="O2">
        <f>BDH("CLMB US Equity","BS_CUR_LIAB","1993-06-18","2026-05-02","Per=Y","Days=T","Dir=V")</f>
        <v>0</v>
      </c>
      <c r="Q2">
        <f>BDH("CLMB US Equity","BS_SHAREHOLDER_EQY_ENDING_PERIOD","1993-06-18","2026-05-02","Per=Y","Days=T","Dir=V")</f>
        <v>0</v>
      </c>
      <c r="S2">
        <f>BDH("CLMB US Equity","BS_ACCT_NOTE_RCV","1993-06-18","2026-05-02","Per=Y","Days=T","Dir=V")</f>
        <v>0</v>
      </c>
      <c r="U2">
        <f>BDH("CLMB US Equity","BS_INVENTORIES","1993-06-18","2026-05-02","Per=Y","Days=T","Dir=V")</f>
        <v>0</v>
      </c>
      <c r="W2">
        <f>BDH("CLMB US Equity","WORKING_CAPITAL","1993-06-18","2026-05-02","Per=Y","Days=T","Dir=V")</f>
        <v>0</v>
      </c>
      <c r="Y2">
        <f>BDH("CLMB US Equity","SALES_REV_TURN","1993-06-18","2026-05-02","Per=Y","Days=T","Dir=V")</f>
        <v>0</v>
      </c>
      <c r="AA2">
        <f>BDH("CLMB US Equity","EBIT","1993-06-18","2026-05-02","Per=Y","Days=T","Dir=V")</f>
        <v>0</v>
      </c>
      <c r="AC2">
        <f>BDH("CLMB US Equity","EBITDA","1993-06-18","2026-05-02","Per=Y","Days=T","Dir=V")</f>
        <v>0</v>
      </c>
      <c r="AE2">
        <f>BDH("CLMB US Equity","NET_INCOME","1993-06-18","2026-05-02","Per=Y","Days=T","Dir=V")</f>
        <v>0</v>
      </c>
      <c r="AG2">
        <f>BDH("CLMB US Equity","IS_INT_EXPENSE","1993-06-18","2026-05-02","Per=Y","Days=T","Dir=V")</f>
        <v>0</v>
      </c>
      <c r="AI2">
        <f>BDH("CLMB US Equity","IS_DEPR_EXP","1993-06-18","2026-05-02","Per=Y","Days=T","Dir=V")</f>
        <v>0</v>
      </c>
      <c r="AK2">
        <f>BDH("CLMB US Equity","CF_CASH_FROM_OPER","1993-06-18","2026-05-02","Per=Y","Days=T","Dir=V")</f>
        <v>0</v>
      </c>
      <c r="AM2">
        <f>BDH("CLMB US Equity","CAPITAL_EXPEND","1993-06-18","2026-05-02","Per=Y","Days=T","Dir=V")</f>
        <v>0</v>
      </c>
      <c r="AO2">
        <f>BDH("CLMB US Equity","CF_FREE_CASH_FLOW","1993-06-18","2026-05-02","Per=Y","Days=T","Dir=V")</f>
        <v>0</v>
      </c>
      <c r="AQ2">
        <f>BDH("CLMB US Equity","PX_LAST","1993-06-18","2026-05-02","Per=M","Days=T","Dir=V")</f>
        <v>0</v>
      </c>
      <c r="AS2">
        <f>BDH("CLMB US Equity","CUR_MKT_CAP","1993-06-18","2026-05-02","Per=M","Days=T","Dir=V")</f>
        <v>0</v>
      </c>
      <c r="AU2">
        <f>BDH("CLMB US Equity","EQY_SH_OUT","1993-06-18","2026-05-02","Per=M","Days=T","Dir=V")</f>
        <v>0</v>
      </c>
      <c r="AW2">
        <f>BDH("CLMB US Equity","PX_VOLUME","1993-06-18","2026-05-02","Per=M","Days=T","Dir=V")</f>
        <v>0</v>
      </c>
      <c r="AY2">
        <f>BDH("CLMB US Equity","TURNOVER","1993-06-18","2026-05-02","Per=M","Days=T","Dir=V")</f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BDH("CLMT US Equity","BS_TOT_ASSET","1993-06-18","2026-05-02","Per=Y","Days=T","Dir=V")</f>
        <v>0</v>
      </c>
      <c r="C2">
        <f>BDH("CLMT US Equity","BS_TOT_LIAB2","1993-06-18","2026-05-02","Per=Y","Days=T","Dir=V")</f>
        <v>0</v>
      </c>
      <c r="E2">
        <f>BDH("CLMT US Equity","SHORT_AND_LONG_TERM_DEBT","1993-06-18","2026-05-02","Per=Y","Days=T","Dir=V")</f>
        <v>0</v>
      </c>
      <c r="G2">
        <f>BDH("CLMT US Equity","BS_ST_BORROW","1993-06-18","2026-05-02","Per=Y","Days=T","Dir=V")</f>
        <v>0</v>
      </c>
      <c r="I2">
        <f>BDH("CLMT US Equity","BS_LT_BORROW","1993-06-18","2026-05-02","Per=Y","Days=T","Dir=V")</f>
        <v>0</v>
      </c>
      <c r="K2">
        <f>BDH("CLMT US Equity","BS_CASH_NEAR_CASH_ITEM","1993-06-18","2026-05-02","Per=Y","Days=T","Dir=V")</f>
        <v>0</v>
      </c>
      <c r="M2">
        <f>BDH("CLMT US Equity","BS_CUR_ASSET_REPORT","1993-06-18","2026-05-02","Per=Y","Days=T","Dir=V")</f>
        <v>0</v>
      </c>
      <c r="O2">
        <f>BDH("CLMT US Equity","BS_CUR_LIAB","1993-06-18","2026-05-02","Per=Y","Days=T","Dir=V")</f>
        <v>0</v>
      </c>
      <c r="Q2">
        <f>BDH("CLMT US Equity","BS_SHAREHOLDER_EQY_ENDING_PERIOD","1993-06-18","2026-05-02","Per=Y","Days=T","Dir=V")</f>
        <v>0</v>
      </c>
      <c r="S2">
        <f>BDH("CLMT US Equity","BS_ACCT_NOTE_RCV","1993-06-18","2026-05-02","Per=Y","Days=T","Dir=V")</f>
        <v>0</v>
      </c>
      <c r="U2">
        <f>BDH("CLMT US Equity","BS_INVENTORIES","1993-06-18","2026-05-02","Per=Y","Days=T","Dir=V")</f>
        <v>0</v>
      </c>
      <c r="W2">
        <f>BDH("CLMT US Equity","WORKING_CAPITAL","1993-06-18","2026-05-02","Per=Y","Days=T","Dir=V")</f>
        <v>0</v>
      </c>
      <c r="Y2">
        <f>BDH("CLMT US Equity","SALES_REV_TURN","1993-06-18","2026-05-02","Per=Y","Days=T","Dir=V")</f>
        <v>0</v>
      </c>
      <c r="AA2">
        <f>BDH("CLMT US Equity","EBIT","1993-06-18","2026-05-02","Per=Y","Days=T","Dir=V")</f>
        <v>0</v>
      </c>
      <c r="AC2">
        <f>BDH("CLMT US Equity","EBITDA","1993-06-18","2026-05-02","Per=Y","Days=T","Dir=V")</f>
        <v>0</v>
      </c>
      <c r="AE2">
        <f>BDH("CLMT US Equity","NET_INCOME","1993-06-18","2026-05-02","Per=Y","Days=T","Dir=V")</f>
        <v>0</v>
      </c>
      <c r="AG2">
        <f>BDH("CLMT US Equity","IS_INT_EXPENSE","1993-06-18","2026-05-02","Per=Y","Days=T","Dir=V")</f>
        <v>0</v>
      </c>
      <c r="AI2">
        <f>BDH("CLMT US Equity","IS_DEPR_EXP","1993-06-18","2026-05-02","Per=Y","Days=T","Dir=V")</f>
        <v>0</v>
      </c>
      <c r="AK2">
        <f>BDH("CLMT US Equity","CF_CASH_FROM_OPER","1993-06-18","2026-05-02","Per=Y","Days=T","Dir=V")</f>
        <v>0</v>
      </c>
      <c r="AM2">
        <f>BDH("CLMT US Equity","CAPITAL_EXPEND","1993-06-18","2026-05-02","Per=Y","Days=T","Dir=V")</f>
        <v>0</v>
      </c>
      <c r="AO2">
        <f>BDH("CLMT US Equity","CF_FREE_CASH_FLOW","1993-06-18","2026-05-02","Per=Y","Days=T","Dir=V")</f>
        <v>0</v>
      </c>
      <c r="AQ2">
        <f>BDH("CLMT US Equity","PX_LAST","1993-06-18","2026-05-02","Per=M","Days=T","Dir=V")</f>
        <v>0</v>
      </c>
      <c r="AS2">
        <f>BDH("CLMT US Equity","CUR_MKT_CAP","1993-06-18","2026-05-02","Per=M","Days=T","Dir=V")</f>
        <v>0</v>
      </c>
      <c r="AU2">
        <f>BDH("CLMT US Equity","EQY_SH_OUT","1993-06-18","2026-05-02","Per=M","Days=T","Dir=V")</f>
        <v>0</v>
      </c>
      <c r="AW2">
        <f>BDH("CLMT US Equity","PX_VOLUME","1993-06-18","2026-05-02","Per=M","Days=T","Dir=V")</f>
        <v>0</v>
      </c>
      <c r="AY2">
        <f>BDH("CLMT US Equity","TURNOVER","1993-06-18","2026-05-02","Per=M","Days=T","Dir=V")</f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BDH("CLNE US Equity","BS_TOT_ASSET","1993-06-18","2026-05-02","Per=Y","Days=T","Dir=V")</f>
        <v>0</v>
      </c>
      <c r="C2">
        <f>BDH("CLNE US Equity","BS_TOT_LIAB2","1993-06-18","2026-05-02","Per=Y","Days=T","Dir=V")</f>
        <v>0</v>
      </c>
      <c r="E2">
        <f>BDH("CLNE US Equity","SHORT_AND_LONG_TERM_DEBT","1993-06-18","2026-05-02","Per=Y","Days=T","Dir=V")</f>
        <v>0</v>
      </c>
      <c r="G2">
        <f>BDH("CLNE US Equity","BS_ST_BORROW","1993-06-18","2026-05-02","Per=Y","Days=T","Dir=V")</f>
        <v>0</v>
      </c>
      <c r="I2">
        <f>BDH("CLNE US Equity","BS_LT_BORROW","1993-06-18","2026-05-02","Per=Y","Days=T","Dir=V")</f>
        <v>0</v>
      </c>
      <c r="K2">
        <f>BDH("CLNE US Equity","BS_CASH_NEAR_CASH_ITEM","1993-06-18","2026-05-02","Per=Y","Days=T","Dir=V")</f>
        <v>0</v>
      </c>
      <c r="M2">
        <f>BDH("CLNE US Equity","BS_CUR_ASSET_REPORT","1993-06-18","2026-05-02","Per=Y","Days=T","Dir=V")</f>
        <v>0</v>
      </c>
      <c r="O2">
        <f>BDH("CLNE US Equity","BS_CUR_LIAB","1993-06-18","2026-05-02","Per=Y","Days=T","Dir=V")</f>
        <v>0</v>
      </c>
      <c r="Q2">
        <f>BDH("CLNE US Equity","BS_SHAREHOLDER_EQY_ENDING_PERIOD","1993-06-18","2026-05-02","Per=Y","Days=T","Dir=V")</f>
        <v>0</v>
      </c>
      <c r="S2">
        <f>BDH("CLNE US Equity","BS_ACCT_NOTE_RCV","1993-06-18","2026-05-02","Per=Y","Days=T","Dir=V")</f>
        <v>0</v>
      </c>
      <c r="U2">
        <f>BDH("CLNE US Equity","BS_INVENTORIES","1993-06-18","2026-05-02","Per=Y","Days=T","Dir=V")</f>
        <v>0</v>
      </c>
      <c r="W2">
        <f>BDH("CLNE US Equity","WORKING_CAPITAL","1993-06-18","2026-05-02","Per=Y","Days=T","Dir=V")</f>
        <v>0</v>
      </c>
      <c r="Y2">
        <f>BDH("CLNE US Equity","SALES_REV_TURN","1993-06-18","2026-05-02","Per=Y","Days=T","Dir=V")</f>
        <v>0</v>
      </c>
      <c r="AA2">
        <f>BDH("CLNE US Equity","EBIT","1993-06-18","2026-05-02","Per=Y","Days=T","Dir=V")</f>
        <v>0</v>
      </c>
      <c r="AC2">
        <f>BDH("CLNE US Equity","EBITDA","1993-06-18","2026-05-02","Per=Y","Days=T","Dir=V")</f>
        <v>0</v>
      </c>
      <c r="AE2">
        <f>BDH("CLNE US Equity","NET_INCOME","1993-06-18","2026-05-02","Per=Y","Days=T","Dir=V")</f>
        <v>0</v>
      </c>
      <c r="AG2">
        <f>BDH("CLNE US Equity","IS_INT_EXPENSE","1993-06-18","2026-05-02","Per=Y","Days=T","Dir=V")</f>
        <v>0</v>
      </c>
      <c r="AI2">
        <f>BDH("CLNE US Equity","IS_DEPR_EXP","1993-06-18","2026-05-02","Per=Y","Days=T","Dir=V")</f>
        <v>0</v>
      </c>
      <c r="AK2">
        <f>BDH("CLNE US Equity","CF_CASH_FROM_OPER","1993-06-18","2026-05-02","Per=Y","Days=T","Dir=V")</f>
        <v>0</v>
      </c>
      <c r="AM2">
        <f>BDH("CLNE US Equity","CAPITAL_EXPEND","1993-06-18","2026-05-02","Per=Y","Days=T","Dir=V")</f>
        <v>0</v>
      </c>
      <c r="AO2">
        <f>BDH("CLNE US Equity","CF_FREE_CASH_FLOW","1993-06-18","2026-05-02","Per=Y","Days=T","Dir=V")</f>
        <v>0</v>
      </c>
      <c r="AQ2">
        <f>BDH("CLNE US Equity","PX_LAST","1993-06-18","2026-05-02","Per=M","Days=T","Dir=V")</f>
        <v>0</v>
      </c>
      <c r="AS2">
        <f>BDH("CLNE US Equity","CUR_MKT_CAP","1993-06-18","2026-05-02","Per=M","Days=T","Dir=V")</f>
        <v>0</v>
      </c>
      <c r="AU2">
        <f>BDH("CLNE US Equity","EQY_SH_OUT","1993-06-18","2026-05-02","Per=M","Days=T","Dir=V")</f>
        <v>0</v>
      </c>
      <c r="AW2">
        <f>BDH("CLNE US Equity","PX_VOLUME","1993-06-18","2026-05-02","Per=M","Days=T","Dir=V")</f>
        <v>0</v>
      </c>
      <c r="AY2">
        <f>BDH("CLNE US Equity","TURNOVER","1993-06-18","2026-05-02","Per=M","Days=T","Dir=V")</f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BDH("CLNN US Equity","BS_TOT_ASSET","1993-06-18","2026-05-02","Per=Y","Days=T","Dir=V")</f>
        <v>0</v>
      </c>
      <c r="C2">
        <f>BDH("CLNN US Equity","BS_TOT_LIAB2","1993-06-18","2026-05-02","Per=Y","Days=T","Dir=V")</f>
        <v>0</v>
      </c>
      <c r="E2">
        <f>BDH("CLNN US Equity","SHORT_AND_LONG_TERM_DEBT","1993-06-18","2026-05-02","Per=Y","Days=T","Dir=V")</f>
        <v>0</v>
      </c>
      <c r="G2">
        <f>BDH("CLNN US Equity","BS_ST_BORROW","1993-06-18","2026-05-02","Per=Y","Days=T","Dir=V")</f>
        <v>0</v>
      </c>
      <c r="I2">
        <f>BDH("CLNN US Equity","BS_LT_BORROW","1993-06-18","2026-05-02","Per=Y","Days=T","Dir=V")</f>
        <v>0</v>
      </c>
      <c r="K2">
        <f>BDH("CLNN US Equity","BS_CASH_NEAR_CASH_ITEM","1993-06-18","2026-05-02","Per=Y","Days=T","Dir=V")</f>
        <v>0</v>
      </c>
      <c r="M2">
        <f>BDH("CLNN US Equity","BS_CUR_ASSET_REPORT","1993-06-18","2026-05-02","Per=Y","Days=T","Dir=V")</f>
        <v>0</v>
      </c>
      <c r="O2">
        <f>BDH("CLNN US Equity","BS_CUR_LIAB","1993-06-18","2026-05-02","Per=Y","Days=T","Dir=V")</f>
        <v>0</v>
      </c>
      <c r="Q2">
        <f>BDH("CLNN US Equity","BS_SHAREHOLDER_EQY_ENDING_PERIOD","1993-06-18","2026-05-02","Per=Y","Days=T","Dir=V")</f>
        <v>0</v>
      </c>
      <c r="S2">
        <f>BDH("CLNN US Equity","BS_ACCT_NOTE_RCV","1993-06-18","2026-05-02","Per=Y","Days=T","Dir=V")</f>
        <v>0</v>
      </c>
      <c r="U2">
        <f>BDH("CLNN US Equity","BS_INVENTORIES","1993-06-18","2026-05-02","Per=Y","Days=T","Dir=V")</f>
        <v>0</v>
      </c>
      <c r="W2">
        <f>BDH("CLNN US Equity","WORKING_CAPITAL","1993-06-18","2026-05-02","Per=Y","Days=T","Dir=V")</f>
        <v>0</v>
      </c>
      <c r="Y2">
        <f>BDH("CLNN US Equity","SALES_REV_TURN","1993-06-18","2026-05-02","Per=Y","Days=T","Dir=V")</f>
        <v>0</v>
      </c>
      <c r="AA2">
        <f>BDH("CLNN US Equity","EBIT","1993-06-18","2026-05-02","Per=Y","Days=T","Dir=V")</f>
        <v>0</v>
      </c>
      <c r="AC2">
        <f>BDH("CLNN US Equity","EBITDA","1993-06-18","2026-05-02","Per=Y","Days=T","Dir=V")</f>
        <v>0</v>
      </c>
      <c r="AE2">
        <f>BDH("CLNN US Equity","NET_INCOME","1993-06-18","2026-05-02","Per=Y","Days=T","Dir=V")</f>
        <v>0</v>
      </c>
      <c r="AG2">
        <f>BDH("CLNN US Equity","IS_INT_EXPENSE","1993-06-18","2026-05-02","Per=Y","Days=T","Dir=V")</f>
        <v>0</v>
      </c>
      <c r="AI2">
        <f>BDH("CLNN US Equity","IS_DEPR_EXP","1993-06-18","2026-05-02","Per=Y","Days=T","Dir=V")</f>
        <v>0</v>
      </c>
      <c r="AK2">
        <f>BDH("CLNN US Equity","CF_CASH_FROM_OPER","1993-06-18","2026-05-02","Per=Y","Days=T","Dir=V")</f>
        <v>0</v>
      </c>
      <c r="AM2">
        <f>BDH("CLNN US Equity","CAPITAL_EXPEND","1993-06-18","2026-05-02","Per=Y","Days=T","Dir=V")</f>
        <v>0</v>
      </c>
      <c r="AO2">
        <f>BDH("CLNN US Equity","CF_FREE_CASH_FLOW","1993-06-18","2026-05-02","Per=Y","Days=T","Dir=V")</f>
        <v>0</v>
      </c>
      <c r="AQ2">
        <f>BDH("CLNN US Equity","PX_LAST","1993-06-18","2026-05-02","Per=M","Days=T","Dir=V")</f>
        <v>0</v>
      </c>
      <c r="AS2">
        <f>BDH("CLNN US Equity","CUR_MKT_CAP","1993-06-18","2026-05-02","Per=M","Days=T","Dir=V")</f>
        <v>0</v>
      </c>
      <c r="AU2">
        <f>BDH("CLNN US Equity","EQY_SH_OUT","1993-06-18","2026-05-02","Per=M","Days=T","Dir=V")</f>
        <v>0</v>
      </c>
      <c r="AW2">
        <f>BDH("CLNN US Equity","PX_VOLUME","1993-06-18","2026-05-02","Per=M","Days=T","Dir=V")</f>
        <v>0</v>
      </c>
      <c r="AY2">
        <f>BDH("CLNN US Equity","TURNOVER","1993-06-18","2026-05-02","Per=M","Days=T","Dir=V")</f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BDH("CLOV US Equity","BS_TOT_ASSET","1993-06-18","2026-05-02","Per=Y","Days=T","Dir=V")</f>
        <v>0</v>
      </c>
      <c r="C2">
        <f>BDH("CLOV US Equity","BS_TOT_LIAB2","1993-06-18","2026-05-02","Per=Y","Days=T","Dir=V")</f>
        <v>0</v>
      </c>
      <c r="E2">
        <f>BDH("CLOV US Equity","SHORT_AND_LONG_TERM_DEBT","1993-06-18","2026-05-02","Per=Y","Days=T","Dir=V")</f>
        <v>0</v>
      </c>
      <c r="G2">
        <f>BDH("CLOV US Equity","BS_ST_BORROW","1993-06-18","2026-05-02","Per=Y","Days=T","Dir=V")</f>
        <v>0</v>
      </c>
      <c r="I2">
        <f>BDH("CLOV US Equity","BS_LT_BORROW","1993-06-18","2026-05-02","Per=Y","Days=T","Dir=V")</f>
        <v>0</v>
      </c>
      <c r="K2">
        <f>BDH("CLOV US Equity","BS_CASH_NEAR_CASH_ITEM","1993-06-18","2026-05-02","Per=Y","Days=T","Dir=V")</f>
        <v>0</v>
      </c>
      <c r="M2">
        <f>BDH("CLOV US Equity","BS_CUR_ASSET_REPORT","1993-06-18","2026-05-02","Per=Y","Days=T","Dir=V")</f>
        <v>0</v>
      </c>
      <c r="O2">
        <f>BDH("CLOV US Equity","BS_CUR_LIAB","1993-06-18","2026-05-02","Per=Y","Days=T","Dir=V")</f>
        <v>0</v>
      </c>
      <c r="Q2">
        <f>BDH("CLOV US Equity","BS_SHAREHOLDER_EQY_ENDING_PERIOD","1993-06-18","2026-05-02","Per=Y","Days=T","Dir=V")</f>
        <v>0</v>
      </c>
      <c r="S2">
        <f>BDH("CLOV US Equity","BS_ACCT_NOTE_RCV","1993-06-18","2026-05-02","Per=Y","Days=T","Dir=V")</f>
        <v>0</v>
      </c>
      <c r="U2">
        <f>BDH("CLOV US Equity","BS_INVENTORIES","1993-06-18","2026-05-02","Per=Y","Days=T","Dir=V")</f>
        <v>0</v>
      </c>
      <c r="W2">
        <f>BDH("CLOV US Equity","WORKING_CAPITAL","1993-06-18","2026-05-02","Per=Y","Days=T","Dir=V")</f>
        <v>0</v>
      </c>
      <c r="Y2">
        <f>BDH("CLOV US Equity","SALES_REV_TURN","1993-06-18","2026-05-02","Per=Y","Days=T","Dir=V")</f>
        <v>0</v>
      </c>
      <c r="AA2">
        <f>BDH("CLOV US Equity","EBIT","1993-06-18","2026-05-02","Per=Y","Days=T","Dir=V")</f>
        <v>0</v>
      </c>
      <c r="AC2">
        <f>BDH("CLOV US Equity","EBITDA","1993-06-18","2026-05-02","Per=Y","Days=T","Dir=V")</f>
        <v>0</v>
      </c>
      <c r="AE2">
        <f>BDH("CLOV US Equity","NET_INCOME","1993-06-18","2026-05-02","Per=Y","Days=T","Dir=V")</f>
        <v>0</v>
      </c>
      <c r="AG2">
        <f>BDH("CLOV US Equity","IS_INT_EXPENSE","1993-06-18","2026-05-02","Per=Y","Days=T","Dir=V")</f>
        <v>0</v>
      </c>
      <c r="AI2">
        <f>BDH("CLOV US Equity","IS_DEPR_EXP","1993-06-18","2026-05-02","Per=Y","Days=T","Dir=V")</f>
        <v>0</v>
      </c>
      <c r="AK2">
        <f>BDH("CLOV US Equity","CF_CASH_FROM_OPER","1993-06-18","2026-05-02","Per=Y","Days=T","Dir=V")</f>
        <v>0</v>
      </c>
      <c r="AM2">
        <f>BDH("CLOV US Equity","CAPITAL_EXPEND","1993-06-18","2026-05-02","Per=Y","Days=T","Dir=V")</f>
        <v>0</v>
      </c>
      <c r="AO2">
        <f>BDH("CLOV US Equity","CF_FREE_CASH_FLOW","1993-06-18","2026-05-02","Per=Y","Days=T","Dir=V")</f>
        <v>0</v>
      </c>
      <c r="AQ2">
        <f>BDH("CLOV US Equity","PX_LAST","1993-06-18","2026-05-02","Per=M","Days=T","Dir=V")</f>
        <v>0</v>
      </c>
      <c r="AS2">
        <f>BDH("CLOV US Equity","CUR_MKT_CAP","1993-06-18","2026-05-02","Per=M","Days=T","Dir=V")</f>
        <v>0</v>
      </c>
      <c r="AU2">
        <f>BDH("CLOV US Equity","EQY_SH_OUT","1993-06-18","2026-05-02","Per=M","Days=T","Dir=V")</f>
        <v>0</v>
      </c>
      <c r="AW2">
        <f>BDH("CLOV US Equity","PX_VOLUME","1993-06-18","2026-05-02","Per=M","Days=T","Dir=V")</f>
        <v>0</v>
      </c>
      <c r="AY2">
        <f>BDH("CLOV US Equity","TURNOVER","1993-06-18","2026-05-02","Per=M","Days=T","Dir=V")</f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BDH("CLPT US Equity","BS_TOT_ASSET","1993-06-18","2026-05-02","Per=Y","Days=T","Dir=V")</f>
        <v>0</v>
      </c>
      <c r="C2">
        <f>BDH("CLPT US Equity","BS_TOT_LIAB2","1993-06-18","2026-05-02","Per=Y","Days=T","Dir=V")</f>
        <v>0</v>
      </c>
      <c r="E2">
        <f>BDH("CLPT US Equity","SHORT_AND_LONG_TERM_DEBT","1993-06-18","2026-05-02","Per=Y","Days=T","Dir=V")</f>
        <v>0</v>
      </c>
      <c r="G2">
        <f>BDH("CLPT US Equity","BS_ST_BORROW","1993-06-18","2026-05-02","Per=Y","Days=T","Dir=V")</f>
        <v>0</v>
      </c>
      <c r="I2">
        <f>BDH("CLPT US Equity","BS_LT_BORROW","1993-06-18","2026-05-02","Per=Y","Days=T","Dir=V")</f>
        <v>0</v>
      </c>
      <c r="K2">
        <f>BDH("CLPT US Equity","BS_CASH_NEAR_CASH_ITEM","1993-06-18","2026-05-02","Per=Y","Days=T","Dir=V")</f>
        <v>0</v>
      </c>
      <c r="M2">
        <f>BDH("CLPT US Equity","BS_CUR_ASSET_REPORT","1993-06-18","2026-05-02","Per=Y","Days=T","Dir=V")</f>
        <v>0</v>
      </c>
      <c r="O2">
        <f>BDH("CLPT US Equity","BS_CUR_LIAB","1993-06-18","2026-05-02","Per=Y","Days=T","Dir=V")</f>
        <v>0</v>
      </c>
      <c r="Q2">
        <f>BDH("CLPT US Equity","BS_SHAREHOLDER_EQY_ENDING_PERIOD","1993-06-18","2026-05-02","Per=Y","Days=T","Dir=V")</f>
        <v>0</v>
      </c>
      <c r="S2">
        <f>BDH("CLPT US Equity","BS_ACCT_NOTE_RCV","1993-06-18","2026-05-02","Per=Y","Days=T","Dir=V")</f>
        <v>0</v>
      </c>
      <c r="U2">
        <f>BDH("CLPT US Equity","BS_INVENTORIES","1993-06-18","2026-05-02","Per=Y","Days=T","Dir=V")</f>
        <v>0</v>
      </c>
      <c r="W2">
        <f>BDH("CLPT US Equity","WORKING_CAPITAL","1993-06-18","2026-05-02","Per=Y","Days=T","Dir=V")</f>
        <v>0</v>
      </c>
      <c r="Y2">
        <f>BDH("CLPT US Equity","SALES_REV_TURN","1993-06-18","2026-05-02","Per=Y","Days=T","Dir=V")</f>
        <v>0</v>
      </c>
      <c r="AA2">
        <f>BDH("CLPT US Equity","EBIT","1993-06-18","2026-05-02","Per=Y","Days=T","Dir=V")</f>
        <v>0</v>
      </c>
      <c r="AC2">
        <f>BDH("CLPT US Equity","EBITDA","1993-06-18","2026-05-02","Per=Y","Days=T","Dir=V")</f>
        <v>0</v>
      </c>
      <c r="AE2">
        <f>BDH("CLPT US Equity","NET_INCOME","1993-06-18","2026-05-02","Per=Y","Days=T","Dir=V")</f>
        <v>0</v>
      </c>
      <c r="AG2">
        <f>BDH("CLPT US Equity","IS_INT_EXPENSE","1993-06-18","2026-05-02","Per=Y","Days=T","Dir=V")</f>
        <v>0</v>
      </c>
      <c r="AI2">
        <f>BDH("CLPT US Equity","IS_DEPR_EXP","1993-06-18","2026-05-02","Per=Y","Days=T","Dir=V")</f>
        <v>0</v>
      </c>
      <c r="AK2">
        <f>BDH("CLPT US Equity","CF_CASH_FROM_OPER","1993-06-18","2026-05-02","Per=Y","Days=T","Dir=V")</f>
        <v>0</v>
      </c>
      <c r="AM2">
        <f>BDH("CLPT US Equity","CAPITAL_EXPEND","1993-06-18","2026-05-02","Per=Y","Days=T","Dir=V")</f>
        <v>0</v>
      </c>
      <c r="AO2">
        <f>BDH("CLPT US Equity","CF_FREE_CASH_FLOW","1993-06-18","2026-05-02","Per=Y","Days=T","Dir=V")</f>
        <v>0</v>
      </c>
      <c r="AQ2">
        <f>BDH("CLPT US Equity","PX_LAST","1993-06-18","2026-05-02","Per=M","Days=T","Dir=V")</f>
        <v>0</v>
      </c>
      <c r="AS2">
        <f>BDH("CLPT US Equity","CUR_MKT_CAP","1993-06-18","2026-05-02","Per=M","Days=T","Dir=V")</f>
        <v>0</v>
      </c>
      <c r="AU2">
        <f>BDH("CLPT US Equity","EQY_SH_OUT","1993-06-18","2026-05-02","Per=M","Days=T","Dir=V")</f>
        <v>0</v>
      </c>
      <c r="AW2">
        <f>BDH("CLPT US Equity","PX_VOLUME","1993-06-18","2026-05-02","Per=M","Days=T","Dir=V")</f>
        <v>0</v>
      </c>
      <c r="AY2">
        <f>BDH("CLPT US Equity","TURNOVER","1993-06-18","2026-05-02","Per=M","Days=T","Dir=V")</f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BDH("CLRB US Equity","BS_TOT_ASSET","1993-06-18","2026-05-02","Per=Y","Days=T","Dir=V")</f>
        <v>0</v>
      </c>
      <c r="C2">
        <f>BDH("CLRB US Equity","BS_TOT_LIAB2","1993-06-18","2026-05-02","Per=Y","Days=T","Dir=V")</f>
        <v>0</v>
      </c>
      <c r="E2">
        <f>BDH("CLRB US Equity","SHORT_AND_LONG_TERM_DEBT","1993-06-18","2026-05-02","Per=Y","Days=T","Dir=V")</f>
        <v>0</v>
      </c>
      <c r="G2">
        <f>BDH("CLRB US Equity","BS_ST_BORROW","1993-06-18","2026-05-02","Per=Y","Days=T","Dir=V")</f>
        <v>0</v>
      </c>
      <c r="I2">
        <f>BDH("CLRB US Equity","BS_LT_BORROW","1993-06-18","2026-05-02","Per=Y","Days=T","Dir=V")</f>
        <v>0</v>
      </c>
      <c r="K2">
        <f>BDH("CLRB US Equity","BS_CASH_NEAR_CASH_ITEM","1993-06-18","2026-05-02","Per=Y","Days=T","Dir=V")</f>
        <v>0</v>
      </c>
      <c r="M2">
        <f>BDH("CLRB US Equity","BS_CUR_ASSET_REPORT","1993-06-18","2026-05-02","Per=Y","Days=T","Dir=V")</f>
        <v>0</v>
      </c>
      <c r="O2">
        <f>BDH("CLRB US Equity","BS_CUR_LIAB","1993-06-18","2026-05-02","Per=Y","Days=T","Dir=V")</f>
        <v>0</v>
      </c>
      <c r="Q2">
        <f>BDH("CLRB US Equity","BS_SHAREHOLDER_EQY_ENDING_PERIOD","1993-06-18","2026-05-02","Per=Y","Days=T","Dir=V")</f>
        <v>0</v>
      </c>
      <c r="S2">
        <f>BDH("CLRB US Equity","BS_ACCT_NOTE_RCV","1993-06-18","2026-05-02","Per=Y","Days=T","Dir=V")</f>
        <v>0</v>
      </c>
      <c r="U2">
        <f>BDH("CLRB US Equity","BS_INVENTORIES","1993-06-18","2026-05-02","Per=Y","Days=T","Dir=V")</f>
        <v>0</v>
      </c>
      <c r="W2">
        <f>BDH("CLRB US Equity","WORKING_CAPITAL","1993-06-18","2026-05-02","Per=Y","Days=T","Dir=V")</f>
        <v>0</v>
      </c>
      <c r="Y2">
        <f>BDH("CLRB US Equity","SALES_REV_TURN","1993-06-18","2026-05-02","Per=Y","Days=T","Dir=V")</f>
        <v>0</v>
      </c>
      <c r="AA2">
        <f>BDH("CLRB US Equity","EBIT","1993-06-18","2026-05-02","Per=Y","Days=T","Dir=V")</f>
        <v>0</v>
      </c>
      <c r="AC2">
        <f>BDH("CLRB US Equity","EBITDA","1993-06-18","2026-05-02","Per=Y","Days=T","Dir=V")</f>
        <v>0</v>
      </c>
      <c r="AE2">
        <f>BDH("CLRB US Equity","NET_INCOME","1993-06-18","2026-05-02","Per=Y","Days=T","Dir=V")</f>
        <v>0</v>
      </c>
      <c r="AG2">
        <f>BDH("CLRB US Equity","IS_INT_EXPENSE","1993-06-18","2026-05-02","Per=Y","Days=T","Dir=V")</f>
        <v>0</v>
      </c>
      <c r="AI2">
        <f>BDH("CLRB US Equity","IS_DEPR_EXP","1993-06-18","2026-05-02","Per=Y","Days=T","Dir=V")</f>
        <v>0</v>
      </c>
      <c r="AK2">
        <f>BDH("CLRB US Equity","CF_CASH_FROM_OPER","1993-06-18","2026-05-02","Per=Y","Days=T","Dir=V")</f>
        <v>0</v>
      </c>
      <c r="AM2">
        <f>BDH("CLRB US Equity","CAPITAL_EXPEND","1993-06-18","2026-05-02","Per=Y","Days=T","Dir=V")</f>
        <v>0</v>
      </c>
      <c r="AO2">
        <f>BDH("CLRB US Equity","CF_FREE_CASH_FLOW","1993-06-18","2026-05-02","Per=Y","Days=T","Dir=V")</f>
        <v>0</v>
      </c>
      <c r="AQ2">
        <f>BDH("CLRB US Equity","PX_LAST","1993-06-18","2026-05-02","Per=M","Days=T","Dir=V")</f>
        <v>0</v>
      </c>
      <c r="AS2">
        <f>BDH("CLRB US Equity","CUR_MKT_CAP","1993-06-18","2026-05-02","Per=M","Days=T","Dir=V")</f>
        <v>0</v>
      </c>
      <c r="AU2">
        <f>BDH("CLRB US Equity","EQY_SH_OUT","1993-06-18","2026-05-02","Per=M","Days=T","Dir=V")</f>
        <v>0</v>
      </c>
      <c r="AW2">
        <f>BDH("CLRB US Equity","PX_VOLUME","1993-06-18","2026-05-02","Per=M","Days=T","Dir=V")</f>
        <v>0</v>
      </c>
      <c r="AY2">
        <f>BDH("CLRB US Equity","TURNOVER","1993-06-18","2026-05-02","Per=M","Days=T","Dir=V")</f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BDH("CLRO US Equity","BS_TOT_ASSET","1993-06-18","2026-05-02","Per=Y","Days=T","Dir=V")</f>
        <v>0</v>
      </c>
      <c r="C2">
        <f>BDH("CLRO US Equity","BS_TOT_LIAB2","1993-06-18","2026-05-02","Per=Y","Days=T","Dir=V")</f>
        <v>0</v>
      </c>
      <c r="E2">
        <f>BDH("CLRO US Equity","SHORT_AND_LONG_TERM_DEBT","1993-06-18","2026-05-02","Per=Y","Days=T","Dir=V")</f>
        <v>0</v>
      </c>
      <c r="G2">
        <f>BDH("CLRO US Equity","BS_ST_BORROW","1993-06-18","2026-05-02","Per=Y","Days=T","Dir=V")</f>
        <v>0</v>
      </c>
      <c r="I2">
        <f>BDH("CLRO US Equity","BS_LT_BORROW","1993-06-18","2026-05-02","Per=Y","Days=T","Dir=V")</f>
        <v>0</v>
      </c>
      <c r="K2">
        <f>BDH("CLRO US Equity","BS_CASH_NEAR_CASH_ITEM","1993-06-18","2026-05-02","Per=Y","Days=T","Dir=V")</f>
        <v>0</v>
      </c>
      <c r="M2">
        <f>BDH("CLRO US Equity","BS_CUR_ASSET_REPORT","1993-06-18","2026-05-02","Per=Y","Days=T","Dir=V")</f>
        <v>0</v>
      </c>
      <c r="O2">
        <f>BDH("CLRO US Equity","BS_CUR_LIAB","1993-06-18","2026-05-02","Per=Y","Days=T","Dir=V")</f>
        <v>0</v>
      </c>
      <c r="Q2">
        <f>BDH("CLRO US Equity","BS_SHAREHOLDER_EQY_ENDING_PERIOD","1993-06-18","2026-05-02","Per=Y","Days=T","Dir=V")</f>
        <v>0</v>
      </c>
      <c r="S2">
        <f>BDH("CLRO US Equity","BS_ACCT_NOTE_RCV","1993-06-18","2026-05-02","Per=Y","Days=T","Dir=V")</f>
        <v>0</v>
      </c>
      <c r="U2">
        <f>BDH("CLRO US Equity","BS_INVENTORIES","1993-06-18","2026-05-02","Per=Y","Days=T","Dir=V")</f>
        <v>0</v>
      </c>
      <c r="W2">
        <f>BDH("CLRO US Equity","WORKING_CAPITAL","1993-06-18","2026-05-02","Per=Y","Days=T","Dir=V")</f>
        <v>0</v>
      </c>
      <c r="Y2">
        <f>BDH("CLRO US Equity","SALES_REV_TURN","1993-06-18","2026-05-02","Per=Y","Days=T","Dir=V")</f>
        <v>0</v>
      </c>
      <c r="AA2">
        <f>BDH("CLRO US Equity","EBIT","1993-06-18","2026-05-02","Per=Y","Days=T","Dir=V")</f>
        <v>0</v>
      </c>
      <c r="AC2">
        <f>BDH("CLRO US Equity","EBITDA","1993-06-18","2026-05-02","Per=Y","Days=T","Dir=V")</f>
        <v>0</v>
      </c>
      <c r="AE2">
        <f>BDH("CLRO US Equity","NET_INCOME","1993-06-18","2026-05-02","Per=Y","Days=T","Dir=V")</f>
        <v>0</v>
      </c>
      <c r="AG2">
        <f>BDH("CLRO US Equity","IS_INT_EXPENSE","1993-06-18","2026-05-02","Per=Y","Days=T","Dir=V")</f>
        <v>0</v>
      </c>
      <c r="AI2">
        <f>BDH("CLRO US Equity","IS_DEPR_EXP","1993-06-18","2026-05-02","Per=Y","Days=T","Dir=V")</f>
        <v>0</v>
      </c>
      <c r="AK2">
        <f>BDH("CLRO US Equity","CF_CASH_FROM_OPER","1993-06-18","2026-05-02","Per=Y","Days=T","Dir=V")</f>
        <v>0</v>
      </c>
      <c r="AM2">
        <f>BDH("CLRO US Equity","CAPITAL_EXPEND","1993-06-18","2026-05-02","Per=Y","Days=T","Dir=V")</f>
        <v>0</v>
      </c>
      <c r="AO2">
        <f>BDH("CLRO US Equity","CF_FREE_CASH_FLOW","1993-06-18","2026-05-02","Per=Y","Days=T","Dir=V")</f>
        <v>0</v>
      </c>
      <c r="AQ2">
        <f>BDH("CLRO US Equity","PX_LAST","1993-06-18","2026-05-02","Per=M","Days=T","Dir=V")</f>
        <v>0</v>
      </c>
      <c r="AS2">
        <f>BDH("CLRO US Equity","CUR_MKT_CAP","1993-06-18","2026-05-02","Per=M","Days=T","Dir=V")</f>
        <v>0</v>
      </c>
      <c r="AU2">
        <f>BDH("CLRO US Equity","EQY_SH_OUT","1993-06-18","2026-05-02","Per=M","Days=T","Dir=V")</f>
        <v>0</v>
      </c>
      <c r="AW2">
        <f>BDH("CLRO US Equity","PX_VOLUME","1993-06-18","2026-05-02","Per=M","Days=T","Dir=V")</f>
        <v>0</v>
      </c>
      <c r="AY2">
        <f>BDH("CLRO US Equity","TURNOVER","1993-06-18","2026-05-02","Per=M","Days=T","Dir=V")</f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BDH("CLW US Equity","BS_TOT_ASSET","1993-06-18","2026-05-02","Per=Y","Days=T","Dir=V")</f>
        <v>0</v>
      </c>
      <c r="C2">
        <f>BDH("CLW US Equity","BS_TOT_LIAB2","1993-06-18","2026-05-02","Per=Y","Days=T","Dir=V")</f>
        <v>0</v>
      </c>
      <c r="E2">
        <f>BDH("CLW US Equity","SHORT_AND_LONG_TERM_DEBT","1993-06-18","2026-05-02","Per=Y","Days=T","Dir=V")</f>
        <v>0</v>
      </c>
      <c r="G2">
        <f>BDH("CLW US Equity","BS_ST_BORROW","1993-06-18","2026-05-02","Per=Y","Days=T","Dir=V")</f>
        <v>0</v>
      </c>
      <c r="I2">
        <f>BDH("CLW US Equity","BS_LT_BORROW","1993-06-18","2026-05-02","Per=Y","Days=T","Dir=V")</f>
        <v>0</v>
      </c>
      <c r="K2">
        <f>BDH("CLW US Equity","BS_CASH_NEAR_CASH_ITEM","1993-06-18","2026-05-02","Per=Y","Days=T","Dir=V")</f>
        <v>0</v>
      </c>
      <c r="M2">
        <f>BDH("CLW US Equity","BS_CUR_ASSET_REPORT","1993-06-18","2026-05-02","Per=Y","Days=T","Dir=V")</f>
        <v>0</v>
      </c>
      <c r="O2">
        <f>BDH("CLW US Equity","BS_CUR_LIAB","1993-06-18","2026-05-02","Per=Y","Days=T","Dir=V")</f>
        <v>0</v>
      </c>
      <c r="Q2">
        <f>BDH("CLW US Equity","BS_SHAREHOLDER_EQY_ENDING_PERIOD","1993-06-18","2026-05-02","Per=Y","Days=T","Dir=V")</f>
        <v>0</v>
      </c>
      <c r="S2">
        <f>BDH("CLW US Equity","BS_ACCT_NOTE_RCV","1993-06-18","2026-05-02","Per=Y","Days=T","Dir=V")</f>
        <v>0</v>
      </c>
      <c r="U2">
        <f>BDH("CLW US Equity","BS_INVENTORIES","1993-06-18","2026-05-02","Per=Y","Days=T","Dir=V")</f>
        <v>0</v>
      </c>
      <c r="W2">
        <f>BDH("CLW US Equity","WORKING_CAPITAL","1993-06-18","2026-05-02","Per=Y","Days=T","Dir=V")</f>
        <v>0</v>
      </c>
      <c r="Y2">
        <f>BDH("CLW US Equity","SALES_REV_TURN","1993-06-18","2026-05-02","Per=Y","Days=T","Dir=V")</f>
        <v>0</v>
      </c>
      <c r="AA2">
        <f>BDH("CLW US Equity","EBIT","1993-06-18","2026-05-02","Per=Y","Days=T","Dir=V")</f>
        <v>0</v>
      </c>
      <c r="AC2">
        <f>BDH("CLW US Equity","EBITDA","1993-06-18","2026-05-02","Per=Y","Days=T","Dir=V")</f>
        <v>0</v>
      </c>
      <c r="AE2">
        <f>BDH("CLW US Equity","NET_INCOME","1993-06-18","2026-05-02","Per=Y","Days=T","Dir=V")</f>
        <v>0</v>
      </c>
      <c r="AG2">
        <f>BDH("CLW US Equity","IS_INT_EXPENSE","1993-06-18","2026-05-02","Per=Y","Days=T","Dir=V")</f>
        <v>0</v>
      </c>
      <c r="AI2">
        <f>BDH("CLW US Equity","IS_DEPR_EXP","1993-06-18","2026-05-02","Per=Y","Days=T","Dir=V")</f>
        <v>0</v>
      </c>
      <c r="AK2">
        <f>BDH("CLW US Equity","CF_CASH_FROM_OPER","1993-06-18","2026-05-02","Per=Y","Days=T","Dir=V")</f>
        <v>0</v>
      </c>
      <c r="AM2">
        <f>BDH("CLW US Equity","CAPITAL_EXPEND","1993-06-18","2026-05-02","Per=Y","Days=T","Dir=V")</f>
        <v>0</v>
      </c>
      <c r="AO2">
        <f>BDH("CLW US Equity","CF_FREE_CASH_FLOW","1993-06-18","2026-05-02","Per=Y","Days=T","Dir=V")</f>
        <v>0</v>
      </c>
      <c r="AQ2">
        <f>BDH("CLW US Equity","PX_LAST","1993-06-18","2026-05-02","Per=M","Days=T","Dir=V")</f>
        <v>0</v>
      </c>
      <c r="AS2">
        <f>BDH("CLW US Equity","CUR_MKT_CAP","1993-06-18","2026-05-02","Per=M","Days=T","Dir=V")</f>
        <v>0</v>
      </c>
      <c r="AU2">
        <f>BDH("CLW US Equity","EQY_SH_OUT","1993-06-18","2026-05-02","Per=M","Days=T","Dir=V")</f>
        <v>0</v>
      </c>
      <c r="AW2">
        <f>BDH("CLW US Equity","PX_VOLUME","1993-06-18","2026-05-02","Per=M","Days=T","Dir=V")</f>
        <v>0</v>
      </c>
      <c r="AY2">
        <f>BDH("CLW US Equity","TURNOVER","1993-06-18","2026-05-02","Per=M","Days=T","Dir=V")</f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BDH("CLX US Equity","BS_TOT_ASSET","1993-06-18","2026-05-02","Per=Y","Days=T","Dir=V")</f>
        <v>0</v>
      </c>
      <c r="C2">
        <f>BDH("CLX US Equity","BS_TOT_LIAB2","1993-06-18","2026-05-02","Per=Y","Days=T","Dir=V")</f>
        <v>0</v>
      </c>
      <c r="E2">
        <f>BDH("CLX US Equity","SHORT_AND_LONG_TERM_DEBT","1993-06-18","2026-05-02","Per=Y","Days=T","Dir=V")</f>
        <v>0</v>
      </c>
      <c r="G2">
        <f>BDH("CLX US Equity","BS_ST_BORROW","1993-06-18","2026-05-02","Per=Y","Days=T","Dir=V")</f>
        <v>0</v>
      </c>
      <c r="I2">
        <f>BDH("CLX US Equity","BS_LT_BORROW","1993-06-18","2026-05-02","Per=Y","Days=T","Dir=V")</f>
        <v>0</v>
      </c>
      <c r="K2">
        <f>BDH("CLX US Equity","BS_CASH_NEAR_CASH_ITEM","1993-06-18","2026-05-02","Per=Y","Days=T","Dir=V")</f>
        <v>0</v>
      </c>
      <c r="M2">
        <f>BDH("CLX US Equity","BS_CUR_ASSET_REPORT","1993-06-18","2026-05-02","Per=Y","Days=T","Dir=V")</f>
        <v>0</v>
      </c>
      <c r="O2">
        <f>BDH("CLX US Equity","BS_CUR_LIAB","1993-06-18","2026-05-02","Per=Y","Days=T","Dir=V")</f>
        <v>0</v>
      </c>
      <c r="Q2">
        <f>BDH("CLX US Equity","BS_SHAREHOLDER_EQY_ENDING_PERIOD","1993-06-18","2026-05-02","Per=Y","Days=T","Dir=V")</f>
        <v>0</v>
      </c>
      <c r="S2">
        <f>BDH("CLX US Equity","BS_ACCT_NOTE_RCV","1993-06-18","2026-05-02","Per=Y","Days=T","Dir=V")</f>
        <v>0</v>
      </c>
      <c r="U2">
        <f>BDH("CLX US Equity","BS_INVENTORIES","1993-06-18","2026-05-02","Per=Y","Days=T","Dir=V")</f>
        <v>0</v>
      </c>
      <c r="W2">
        <f>BDH("CLX US Equity","WORKING_CAPITAL","1993-06-18","2026-05-02","Per=Y","Days=T","Dir=V")</f>
        <v>0</v>
      </c>
      <c r="Y2">
        <f>BDH("CLX US Equity","SALES_REV_TURN","1993-06-18","2026-05-02","Per=Y","Days=T","Dir=V")</f>
        <v>0</v>
      </c>
      <c r="AA2">
        <f>BDH("CLX US Equity","EBIT","1993-06-18","2026-05-02","Per=Y","Days=T","Dir=V")</f>
        <v>0</v>
      </c>
      <c r="AC2">
        <f>BDH("CLX US Equity","EBITDA","1993-06-18","2026-05-02","Per=Y","Days=T","Dir=V")</f>
        <v>0</v>
      </c>
      <c r="AE2">
        <f>BDH("CLX US Equity","NET_INCOME","1993-06-18","2026-05-02","Per=Y","Days=T","Dir=V")</f>
        <v>0</v>
      </c>
      <c r="AG2">
        <f>BDH("CLX US Equity","IS_INT_EXPENSE","1993-06-18","2026-05-02","Per=Y","Days=T","Dir=V")</f>
        <v>0</v>
      </c>
      <c r="AI2">
        <f>BDH("CLX US Equity","IS_DEPR_EXP","1993-06-18","2026-05-02","Per=Y","Days=T","Dir=V")</f>
        <v>0</v>
      </c>
      <c r="AK2">
        <f>BDH("CLX US Equity","CF_CASH_FROM_OPER","1993-06-18","2026-05-02","Per=Y","Days=T","Dir=V")</f>
        <v>0</v>
      </c>
      <c r="AM2">
        <f>BDH("CLX US Equity","CAPITAL_EXPEND","1993-06-18","2026-05-02","Per=Y","Days=T","Dir=V")</f>
        <v>0</v>
      </c>
      <c r="AO2">
        <f>BDH("CLX US Equity","CF_FREE_CASH_FLOW","1993-06-18","2026-05-02","Per=Y","Days=T","Dir=V")</f>
        <v>0</v>
      </c>
      <c r="AQ2">
        <f>BDH("CLX US Equity","PX_LAST","1993-06-18","2026-05-02","Per=M","Days=T","Dir=V")</f>
        <v>0</v>
      </c>
      <c r="AS2">
        <f>BDH("CLX US Equity","CUR_MKT_CAP","1993-06-18","2026-05-02","Per=M","Days=T","Dir=V")</f>
        <v>0</v>
      </c>
      <c r="AU2">
        <f>BDH("CLX US Equity","EQY_SH_OUT","1993-06-18","2026-05-02","Per=M","Days=T","Dir=V")</f>
        <v>0</v>
      </c>
      <c r="AW2">
        <f>BDH("CLX US Equity","PX_VOLUME","1993-06-18","2026-05-02","Per=M","Days=T","Dir=V")</f>
        <v>0</v>
      </c>
      <c r="AY2">
        <f>BDH("CLX US Equity","TURNOVER","1993-06-18","2026-05-02","Per=M","Days=T","Dir=V")</f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BDH("CLYM US Equity","BS_TOT_ASSET","1993-06-18","2026-05-02","Per=Y","Days=T","Dir=V")</f>
        <v>0</v>
      </c>
      <c r="C2">
        <f>BDH("CLYM US Equity","BS_TOT_LIAB2","1993-06-18","2026-05-02","Per=Y","Days=T","Dir=V")</f>
        <v>0</v>
      </c>
      <c r="E2">
        <f>BDH("CLYM US Equity","SHORT_AND_LONG_TERM_DEBT","1993-06-18","2026-05-02","Per=Y","Days=T","Dir=V")</f>
        <v>0</v>
      </c>
      <c r="G2">
        <f>BDH("CLYM US Equity","BS_ST_BORROW","1993-06-18","2026-05-02","Per=Y","Days=T","Dir=V")</f>
        <v>0</v>
      </c>
      <c r="I2">
        <f>BDH("CLYM US Equity","BS_LT_BORROW","1993-06-18","2026-05-02","Per=Y","Days=T","Dir=V")</f>
        <v>0</v>
      </c>
      <c r="K2">
        <f>BDH("CLYM US Equity","BS_CASH_NEAR_CASH_ITEM","1993-06-18","2026-05-02","Per=Y","Days=T","Dir=V")</f>
        <v>0</v>
      </c>
      <c r="M2">
        <f>BDH("CLYM US Equity","BS_CUR_ASSET_REPORT","1993-06-18","2026-05-02","Per=Y","Days=T","Dir=V")</f>
        <v>0</v>
      </c>
      <c r="O2">
        <f>BDH("CLYM US Equity","BS_CUR_LIAB","1993-06-18","2026-05-02","Per=Y","Days=T","Dir=V")</f>
        <v>0</v>
      </c>
      <c r="Q2">
        <f>BDH("CLYM US Equity","BS_SHAREHOLDER_EQY_ENDING_PERIOD","1993-06-18","2026-05-02","Per=Y","Days=T","Dir=V")</f>
        <v>0</v>
      </c>
      <c r="S2">
        <f>BDH("CLYM US Equity","BS_ACCT_NOTE_RCV","1993-06-18","2026-05-02","Per=Y","Days=T","Dir=V")</f>
        <v>0</v>
      </c>
      <c r="U2">
        <f>BDH("CLYM US Equity","BS_INVENTORIES","1993-06-18","2026-05-02","Per=Y","Days=T","Dir=V")</f>
        <v>0</v>
      </c>
      <c r="W2">
        <f>BDH("CLYM US Equity","WORKING_CAPITAL","1993-06-18","2026-05-02","Per=Y","Days=T","Dir=V")</f>
        <v>0</v>
      </c>
      <c r="Y2">
        <f>BDH("CLYM US Equity","SALES_REV_TURN","1993-06-18","2026-05-02","Per=Y","Days=T","Dir=V")</f>
        <v>0</v>
      </c>
      <c r="AA2">
        <f>BDH("CLYM US Equity","EBIT","1993-06-18","2026-05-02","Per=Y","Days=T","Dir=V")</f>
        <v>0</v>
      </c>
      <c r="AC2">
        <f>BDH("CLYM US Equity","EBITDA","1993-06-18","2026-05-02","Per=Y","Days=T","Dir=V")</f>
        <v>0</v>
      </c>
      <c r="AE2">
        <f>BDH("CLYM US Equity","NET_INCOME","1993-06-18","2026-05-02","Per=Y","Days=T","Dir=V")</f>
        <v>0</v>
      </c>
      <c r="AG2">
        <f>BDH("CLYM US Equity","IS_INT_EXPENSE","1993-06-18","2026-05-02","Per=Y","Days=T","Dir=V")</f>
        <v>0</v>
      </c>
      <c r="AI2">
        <f>BDH("CLYM US Equity","IS_DEPR_EXP","1993-06-18","2026-05-02","Per=Y","Days=T","Dir=V")</f>
        <v>0</v>
      </c>
      <c r="AK2">
        <f>BDH("CLYM US Equity","CF_CASH_FROM_OPER","1993-06-18","2026-05-02","Per=Y","Days=T","Dir=V")</f>
        <v>0</v>
      </c>
      <c r="AM2">
        <f>BDH("CLYM US Equity","CAPITAL_EXPEND","1993-06-18","2026-05-02","Per=Y","Days=T","Dir=V")</f>
        <v>0</v>
      </c>
      <c r="AO2">
        <f>BDH("CLYM US Equity","CF_FREE_CASH_FLOW","1993-06-18","2026-05-02","Per=Y","Days=T","Dir=V")</f>
        <v>0</v>
      </c>
      <c r="AQ2">
        <f>BDH("CLYM US Equity","PX_LAST","1993-06-18","2026-05-02","Per=M","Days=T","Dir=V")</f>
        <v>0</v>
      </c>
      <c r="AS2">
        <f>BDH("CLYM US Equity","CUR_MKT_CAP","1993-06-18","2026-05-02","Per=M","Days=T","Dir=V")</f>
        <v>0</v>
      </c>
      <c r="AU2">
        <f>BDH("CLYM US Equity","EQY_SH_OUT","1993-06-18","2026-05-02","Per=M","Days=T","Dir=V")</f>
        <v>0</v>
      </c>
      <c r="AW2">
        <f>BDH("CLYM US Equity","PX_VOLUME","1993-06-18","2026-05-02","Per=M","Days=T","Dir=V")</f>
        <v>0</v>
      </c>
      <c r="AY2">
        <f>BDH("CLYM US Equity","TURNOVER","1993-06-18","2026-05-02","Per=M","Days=T","Dir=V")</f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BDH("CMC US Equity","BS_TOT_ASSET","1993-06-18","2026-05-02","Per=Y","Days=T","Dir=V")</f>
        <v>0</v>
      </c>
      <c r="C2">
        <f>BDH("CMC US Equity","BS_TOT_LIAB2","1993-06-18","2026-05-02","Per=Y","Days=T","Dir=V")</f>
        <v>0</v>
      </c>
      <c r="E2">
        <f>BDH("CMC US Equity","SHORT_AND_LONG_TERM_DEBT","1993-06-18","2026-05-02","Per=Y","Days=T","Dir=V")</f>
        <v>0</v>
      </c>
      <c r="G2">
        <f>BDH("CMC US Equity","BS_ST_BORROW","1993-06-18","2026-05-02","Per=Y","Days=T","Dir=V")</f>
        <v>0</v>
      </c>
      <c r="I2">
        <f>BDH("CMC US Equity","BS_LT_BORROW","1993-06-18","2026-05-02","Per=Y","Days=T","Dir=V")</f>
        <v>0</v>
      </c>
      <c r="K2">
        <f>BDH("CMC US Equity","BS_CASH_NEAR_CASH_ITEM","1993-06-18","2026-05-02","Per=Y","Days=T","Dir=V")</f>
        <v>0</v>
      </c>
      <c r="M2">
        <f>BDH("CMC US Equity","BS_CUR_ASSET_REPORT","1993-06-18","2026-05-02","Per=Y","Days=T","Dir=V")</f>
        <v>0</v>
      </c>
      <c r="O2">
        <f>BDH("CMC US Equity","BS_CUR_LIAB","1993-06-18","2026-05-02","Per=Y","Days=T","Dir=V")</f>
        <v>0</v>
      </c>
      <c r="Q2">
        <f>BDH("CMC US Equity","BS_SHAREHOLDER_EQY_ENDING_PERIOD","1993-06-18","2026-05-02","Per=Y","Days=T","Dir=V")</f>
        <v>0</v>
      </c>
      <c r="S2">
        <f>BDH("CMC US Equity","BS_ACCT_NOTE_RCV","1993-06-18","2026-05-02","Per=Y","Days=T","Dir=V")</f>
        <v>0</v>
      </c>
      <c r="U2">
        <f>BDH("CMC US Equity","BS_INVENTORIES","1993-06-18","2026-05-02","Per=Y","Days=T","Dir=V")</f>
        <v>0</v>
      </c>
      <c r="W2">
        <f>BDH("CMC US Equity","WORKING_CAPITAL","1993-06-18","2026-05-02","Per=Y","Days=T","Dir=V")</f>
        <v>0</v>
      </c>
      <c r="Y2">
        <f>BDH("CMC US Equity","SALES_REV_TURN","1993-06-18","2026-05-02","Per=Y","Days=T","Dir=V")</f>
        <v>0</v>
      </c>
      <c r="AA2">
        <f>BDH("CMC US Equity","EBIT","1993-06-18","2026-05-02","Per=Y","Days=T","Dir=V")</f>
        <v>0</v>
      </c>
      <c r="AC2">
        <f>BDH("CMC US Equity","EBITDA","1993-06-18","2026-05-02","Per=Y","Days=T","Dir=V")</f>
        <v>0</v>
      </c>
      <c r="AE2">
        <f>BDH("CMC US Equity","NET_INCOME","1993-06-18","2026-05-02","Per=Y","Days=T","Dir=V")</f>
        <v>0</v>
      </c>
      <c r="AG2">
        <f>BDH("CMC US Equity","IS_INT_EXPENSE","1993-06-18","2026-05-02","Per=Y","Days=T","Dir=V")</f>
        <v>0</v>
      </c>
      <c r="AI2">
        <f>BDH("CMC US Equity","IS_DEPR_EXP","1993-06-18","2026-05-02","Per=Y","Days=T","Dir=V")</f>
        <v>0</v>
      </c>
      <c r="AK2">
        <f>BDH("CMC US Equity","CF_CASH_FROM_OPER","1993-06-18","2026-05-02","Per=Y","Days=T","Dir=V")</f>
        <v>0</v>
      </c>
      <c r="AM2">
        <f>BDH("CMC US Equity","CAPITAL_EXPEND","1993-06-18","2026-05-02","Per=Y","Days=T","Dir=V")</f>
        <v>0</v>
      </c>
      <c r="AO2">
        <f>BDH("CMC US Equity","CF_FREE_CASH_FLOW","1993-06-18","2026-05-02","Per=Y","Days=T","Dir=V")</f>
        <v>0</v>
      </c>
      <c r="AQ2">
        <f>BDH("CMC US Equity","PX_LAST","1993-06-18","2026-05-02","Per=M","Days=T","Dir=V")</f>
        <v>0</v>
      </c>
      <c r="AS2">
        <f>BDH("CMC US Equity","CUR_MKT_CAP","1993-06-18","2026-05-02","Per=M","Days=T","Dir=V")</f>
        <v>0</v>
      </c>
      <c r="AU2">
        <f>BDH("CMC US Equity","EQY_SH_OUT","1993-06-18","2026-05-02","Per=M","Days=T","Dir=V")</f>
        <v>0</v>
      </c>
      <c r="AW2">
        <f>BDH("CMC US Equity","PX_VOLUME","1993-06-18","2026-05-02","Per=M","Days=T","Dir=V")</f>
        <v>0</v>
      </c>
      <c r="AY2">
        <f>BDH("CMC US Equity","TURNOVER","1993-06-18","2026-05-02","Per=M","Days=T","Dir=V")</f>
        <v>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BDH("CMCO US Equity","BS_TOT_ASSET","1993-06-18","2026-05-02","Per=Y","Days=T","Dir=V")</f>
        <v>0</v>
      </c>
      <c r="C2">
        <f>BDH("CMCO US Equity","BS_TOT_LIAB2","1993-06-18","2026-05-02","Per=Y","Days=T","Dir=V")</f>
        <v>0</v>
      </c>
      <c r="E2">
        <f>BDH("CMCO US Equity","SHORT_AND_LONG_TERM_DEBT","1993-06-18","2026-05-02","Per=Y","Days=T","Dir=V")</f>
        <v>0</v>
      </c>
      <c r="G2">
        <f>BDH("CMCO US Equity","BS_ST_BORROW","1993-06-18","2026-05-02","Per=Y","Days=T","Dir=V")</f>
        <v>0</v>
      </c>
      <c r="I2">
        <f>BDH("CMCO US Equity","BS_LT_BORROW","1993-06-18","2026-05-02","Per=Y","Days=T","Dir=V")</f>
        <v>0</v>
      </c>
      <c r="K2">
        <f>BDH("CMCO US Equity","BS_CASH_NEAR_CASH_ITEM","1993-06-18","2026-05-02","Per=Y","Days=T","Dir=V")</f>
        <v>0</v>
      </c>
      <c r="M2">
        <f>BDH("CMCO US Equity","BS_CUR_ASSET_REPORT","1993-06-18","2026-05-02","Per=Y","Days=T","Dir=V")</f>
        <v>0</v>
      </c>
      <c r="O2">
        <f>BDH("CMCO US Equity","BS_CUR_LIAB","1993-06-18","2026-05-02","Per=Y","Days=T","Dir=V")</f>
        <v>0</v>
      </c>
      <c r="Q2">
        <f>BDH("CMCO US Equity","BS_SHAREHOLDER_EQY_ENDING_PERIOD","1993-06-18","2026-05-02","Per=Y","Days=T","Dir=V")</f>
        <v>0</v>
      </c>
      <c r="S2">
        <f>BDH("CMCO US Equity","BS_ACCT_NOTE_RCV","1993-06-18","2026-05-02","Per=Y","Days=T","Dir=V")</f>
        <v>0</v>
      </c>
      <c r="U2">
        <f>BDH("CMCO US Equity","BS_INVENTORIES","1993-06-18","2026-05-02","Per=Y","Days=T","Dir=V")</f>
        <v>0</v>
      </c>
      <c r="W2">
        <f>BDH("CMCO US Equity","WORKING_CAPITAL","1993-06-18","2026-05-02","Per=Y","Days=T","Dir=V")</f>
        <v>0</v>
      </c>
      <c r="Y2">
        <f>BDH("CMCO US Equity","SALES_REV_TURN","1993-06-18","2026-05-02","Per=Y","Days=T","Dir=V")</f>
        <v>0</v>
      </c>
      <c r="AA2">
        <f>BDH("CMCO US Equity","EBIT","1993-06-18","2026-05-02","Per=Y","Days=T","Dir=V")</f>
        <v>0</v>
      </c>
      <c r="AC2">
        <f>BDH("CMCO US Equity","EBITDA","1993-06-18","2026-05-02","Per=Y","Days=T","Dir=V")</f>
        <v>0</v>
      </c>
      <c r="AE2">
        <f>BDH("CMCO US Equity","NET_INCOME","1993-06-18","2026-05-02","Per=Y","Days=T","Dir=V")</f>
        <v>0</v>
      </c>
      <c r="AG2">
        <f>BDH("CMCO US Equity","IS_INT_EXPENSE","1993-06-18","2026-05-02","Per=Y","Days=T","Dir=V")</f>
        <v>0</v>
      </c>
      <c r="AI2">
        <f>BDH("CMCO US Equity","IS_DEPR_EXP","1993-06-18","2026-05-02","Per=Y","Days=T","Dir=V")</f>
        <v>0</v>
      </c>
      <c r="AK2">
        <f>BDH("CMCO US Equity","CF_CASH_FROM_OPER","1993-06-18","2026-05-02","Per=Y","Days=T","Dir=V")</f>
        <v>0</v>
      </c>
      <c r="AM2">
        <f>BDH("CMCO US Equity","CAPITAL_EXPEND","1993-06-18","2026-05-02","Per=Y","Days=T","Dir=V")</f>
        <v>0</v>
      </c>
      <c r="AO2">
        <f>BDH("CMCO US Equity","CF_FREE_CASH_FLOW","1993-06-18","2026-05-02","Per=Y","Days=T","Dir=V")</f>
        <v>0</v>
      </c>
      <c r="AQ2">
        <f>BDH("CMCO US Equity","PX_LAST","1993-06-18","2026-05-02","Per=M","Days=T","Dir=V")</f>
        <v>0</v>
      </c>
      <c r="AS2">
        <f>BDH("CMCO US Equity","CUR_MKT_CAP","1993-06-18","2026-05-02","Per=M","Days=T","Dir=V")</f>
        <v>0</v>
      </c>
      <c r="AU2">
        <f>BDH("CMCO US Equity","EQY_SH_OUT","1993-06-18","2026-05-02","Per=M","Days=T","Dir=V")</f>
        <v>0</v>
      </c>
      <c r="AW2">
        <f>BDH("CMCO US Equity","PX_VOLUME","1993-06-18","2026-05-02","Per=M","Days=T","Dir=V")</f>
        <v>0</v>
      </c>
      <c r="AY2">
        <f>BDH("CMCO US Equity","TURNOVER","1993-06-18","2026-05-02","Per=M","Days=T","Dir=V")</f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BDH("CMCSA US Equity","BS_TOT_ASSET","1993-06-18","2026-05-02","Per=Y","Days=T","Dir=V")</f>
        <v>0</v>
      </c>
      <c r="C2">
        <f>BDH("CMCSA US Equity","BS_TOT_LIAB2","1993-06-18","2026-05-02","Per=Y","Days=T","Dir=V")</f>
        <v>0</v>
      </c>
      <c r="E2">
        <f>BDH("CMCSA US Equity","SHORT_AND_LONG_TERM_DEBT","1993-06-18","2026-05-02","Per=Y","Days=T","Dir=V")</f>
        <v>0</v>
      </c>
      <c r="G2">
        <f>BDH("CMCSA US Equity","BS_ST_BORROW","1993-06-18","2026-05-02","Per=Y","Days=T","Dir=V")</f>
        <v>0</v>
      </c>
      <c r="I2">
        <f>BDH("CMCSA US Equity","BS_LT_BORROW","1993-06-18","2026-05-02","Per=Y","Days=T","Dir=V")</f>
        <v>0</v>
      </c>
      <c r="K2">
        <f>BDH("CMCSA US Equity","BS_CASH_NEAR_CASH_ITEM","1993-06-18","2026-05-02","Per=Y","Days=T","Dir=V")</f>
        <v>0</v>
      </c>
      <c r="M2">
        <f>BDH("CMCSA US Equity","BS_CUR_ASSET_REPORT","1993-06-18","2026-05-02","Per=Y","Days=T","Dir=V")</f>
        <v>0</v>
      </c>
      <c r="O2">
        <f>BDH("CMCSA US Equity","BS_CUR_LIAB","1993-06-18","2026-05-02","Per=Y","Days=T","Dir=V")</f>
        <v>0</v>
      </c>
      <c r="Q2">
        <f>BDH("CMCSA US Equity","BS_SHAREHOLDER_EQY_ENDING_PERIOD","1993-06-18","2026-05-02","Per=Y","Days=T","Dir=V")</f>
        <v>0</v>
      </c>
      <c r="S2">
        <f>BDH("CMCSA US Equity","BS_ACCT_NOTE_RCV","1993-06-18","2026-05-02","Per=Y","Days=T","Dir=V")</f>
        <v>0</v>
      </c>
      <c r="U2">
        <f>BDH("CMCSA US Equity","BS_INVENTORIES","1993-06-18","2026-05-02","Per=Y","Days=T","Dir=V")</f>
        <v>0</v>
      </c>
      <c r="W2">
        <f>BDH("CMCSA US Equity","WORKING_CAPITAL","1993-06-18","2026-05-02","Per=Y","Days=T","Dir=V")</f>
        <v>0</v>
      </c>
      <c r="Y2">
        <f>BDH("CMCSA US Equity","SALES_REV_TURN","1993-06-18","2026-05-02","Per=Y","Days=T","Dir=V")</f>
        <v>0</v>
      </c>
      <c r="AA2">
        <f>BDH("CMCSA US Equity","EBIT","1993-06-18","2026-05-02","Per=Y","Days=T","Dir=V")</f>
        <v>0</v>
      </c>
      <c r="AC2">
        <f>BDH("CMCSA US Equity","EBITDA","1993-06-18","2026-05-02","Per=Y","Days=T","Dir=V")</f>
        <v>0</v>
      </c>
      <c r="AE2">
        <f>BDH("CMCSA US Equity","NET_INCOME","1993-06-18","2026-05-02","Per=Y","Days=T","Dir=V")</f>
        <v>0</v>
      </c>
      <c r="AG2">
        <f>BDH("CMCSA US Equity","IS_INT_EXPENSE","1993-06-18","2026-05-02","Per=Y","Days=T","Dir=V")</f>
        <v>0</v>
      </c>
      <c r="AI2">
        <f>BDH("CMCSA US Equity","IS_DEPR_EXP","1993-06-18","2026-05-02","Per=Y","Days=T","Dir=V")</f>
        <v>0</v>
      </c>
      <c r="AK2">
        <f>BDH("CMCSA US Equity","CF_CASH_FROM_OPER","1993-06-18","2026-05-02","Per=Y","Days=T","Dir=V")</f>
        <v>0</v>
      </c>
      <c r="AM2">
        <f>BDH("CMCSA US Equity","CAPITAL_EXPEND","1993-06-18","2026-05-02","Per=Y","Days=T","Dir=V")</f>
        <v>0</v>
      </c>
      <c r="AO2">
        <f>BDH("CMCSA US Equity","CF_FREE_CASH_FLOW","1993-06-18","2026-05-02","Per=Y","Days=T","Dir=V")</f>
        <v>0</v>
      </c>
      <c r="AQ2">
        <f>BDH("CMCSA US Equity","PX_LAST","1993-06-18","2026-05-02","Per=M","Days=T","Dir=V")</f>
        <v>0</v>
      </c>
      <c r="AS2">
        <f>BDH("CMCSA US Equity","CUR_MKT_CAP","1993-06-18","2026-05-02","Per=M","Days=T","Dir=V")</f>
        <v>0</v>
      </c>
      <c r="AU2">
        <f>BDH("CMCSA US Equity","EQY_SH_OUT","1993-06-18","2026-05-02","Per=M","Days=T","Dir=V")</f>
        <v>0</v>
      </c>
      <c r="AW2">
        <f>BDH("CMCSA US Equity","PX_VOLUME","1993-06-18","2026-05-02","Per=M","Days=T","Dir=V")</f>
        <v>0</v>
      </c>
      <c r="AY2">
        <f>BDH("CMCSA US Equity","TURNOVER","1993-06-18","2026-05-02","Per=M","Days=T","Dir=V")</f>
        <v>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BDH("CMG US Equity","BS_TOT_ASSET","1993-06-18","2026-05-02","Per=Y","Days=T","Dir=V")</f>
        <v>0</v>
      </c>
      <c r="C2">
        <f>BDH("CMG US Equity","BS_TOT_LIAB2","1993-06-18","2026-05-02","Per=Y","Days=T","Dir=V")</f>
        <v>0</v>
      </c>
      <c r="E2">
        <f>BDH("CMG US Equity","SHORT_AND_LONG_TERM_DEBT","1993-06-18","2026-05-02","Per=Y","Days=T","Dir=V")</f>
        <v>0</v>
      </c>
      <c r="G2">
        <f>BDH("CMG US Equity","BS_ST_BORROW","1993-06-18","2026-05-02","Per=Y","Days=T","Dir=V")</f>
        <v>0</v>
      </c>
      <c r="I2">
        <f>BDH("CMG US Equity","BS_LT_BORROW","1993-06-18","2026-05-02","Per=Y","Days=T","Dir=V")</f>
        <v>0</v>
      </c>
      <c r="K2">
        <f>BDH("CMG US Equity","BS_CASH_NEAR_CASH_ITEM","1993-06-18","2026-05-02","Per=Y","Days=T","Dir=V")</f>
        <v>0</v>
      </c>
      <c r="M2">
        <f>BDH("CMG US Equity","BS_CUR_ASSET_REPORT","1993-06-18","2026-05-02","Per=Y","Days=T","Dir=V")</f>
        <v>0</v>
      </c>
      <c r="O2">
        <f>BDH("CMG US Equity","BS_CUR_LIAB","1993-06-18","2026-05-02","Per=Y","Days=T","Dir=V")</f>
        <v>0</v>
      </c>
      <c r="Q2">
        <f>BDH("CMG US Equity","BS_SHAREHOLDER_EQY_ENDING_PERIOD","1993-06-18","2026-05-02","Per=Y","Days=T","Dir=V")</f>
        <v>0</v>
      </c>
      <c r="S2">
        <f>BDH("CMG US Equity","BS_ACCT_NOTE_RCV","1993-06-18","2026-05-02","Per=Y","Days=T","Dir=V")</f>
        <v>0</v>
      </c>
      <c r="U2">
        <f>BDH("CMG US Equity","BS_INVENTORIES","1993-06-18","2026-05-02","Per=Y","Days=T","Dir=V")</f>
        <v>0</v>
      </c>
      <c r="W2">
        <f>BDH("CMG US Equity","WORKING_CAPITAL","1993-06-18","2026-05-02","Per=Y","Days=T","Dir=V")</f>
        <v>0</v>
      </c>
      <c r="Y2">
        <f>BDH("CMG US Equity","SALES_REV_TURN","1993-06-18","2026-05-02","Per=Y","Days=T","Dir=V")</f>
        <v>0</v>
      </c>
      <c r="AA2">
        <f>BDH("CMG US Equity","EBIT","1993-06-18","2026-05-02","Per=Y","Days=T","Dir=V")</f>
        <v>0</v>
      </c>
      <c r="AC2">
        <f>BDH("CMG US Equity","EBITDA","1993-06-18","2026-05-02","Per=Y","Days=T","Dir=V")</f>
        <v>0</v>
      </c>
      <c r="AE2">
        <f>BDH("CMG US Equity","NET_INCOME","1993-06-18","2026-05-02","Per=Y","Days=T","Dir=V")</f>
        <v>0</v>
      </c>
      <c r="AG2">
        <f>BDH("CMG US Equity","IS_INT_EXPENSE","1993-06-18","2026-05-02","Per=Y","Days=T","Dir=V")</f>
        <v>0</v>
      </c>
      <c r="AI2">
        <f>BDH("CMG US Equity","IS_DEPR_EXP","1993-06-18","2026-05-02","Per=Y","Days=T","Dir=V")</f>
        <v>0</v>
      </c>
      <c r="AK2">
        <f>BDH("CMG US Equity","CF_CASH_FROM_OPER","1993-06-18","2026-05-02","Per=Y","Days=T","Dir=V")</f>
        <v>0</v>
      </c>
      <c r="AM2">
        <f>BDH("CMG US Equity","CAPITAL_EXPEND","1993-06-18","2026-05-02","Per=Y","Days=T","Dir=V")</f>
        <v>0</v>
      </c>
      <c r="AO2">
        <f>BDH("CMG US Equity","CF_FREE_CASH_FLOW","1993-06-18","2026-05-02","Per=Y","Days=T","Dir=V")</f>
        <v>0</v>
      </c>
      <c r="AQ2">
        <f>BDH("CMG US Equity","PX_LAST","1993-06-18","2026-05-02","Per=M","Days=T","Dir=V")</f>
        <v>0</v>
      </c>
      <c r="AS2">
        <f>BDH("CMG US Equity","CUR_MKT_CAP","1993-06-18","2026-05-02","Per=M","Days=T","Dir=V")</f>
        <v>0</v>
      </c>
      <c r="AU2">
        <f>BDH("CMG US Equity","EQY_SH_OUT","1993-06-18","2026-05-02","Per=M","Days=T","Dir=V")</f>
        <v>0</v>
      </c>
      <c r="AW2">
        <f>BDH("CMG US Equity","PX_VOLUME","1993-06-18","2026-05-02","Per=M","Days=T","Dir=V")</f>
        <v>0</v>
      </c>
      <c r="AY2">
        <f>BDH("CMG US Equity","TURNOVER","1993-06-18","2026-05-02","Per=M","Days=T","Dir=V")</f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BDH("CMI US Equity","BS_TOT_ASSET","1993-06-18","2026-05-02","Per=Y","Days=T","Dir=V")</f>
        <v>0</v>
      </c>
      <c r="C2">
        <f>BDH("CMI US Equity","BS_TOT_LIAB2","1993-06-18","2026-05-02","Per=Y","Days=T","Dir=V")</f>
        <v>0</v>
      </c>
      <c r="E2">
        <f>BDH("CMI US Equity","SHORT_AND_LONG_TERM_DEBT","1993-06-18","2026-05-02","Per=Y","Days=T","Dir=V")</f>
        <v>0</v>
      </c>
      <c r="G2">
        <f>BDH("CMI US Equity","BS_ST_BORROW","1993-06-18","2026-05-02","Per=Y","Days=T","Dir=V")</f>
        <v>0</v>
      </c>
      <c r="I2">
        <f>BDH("CMI US Equity","BS_LT_BORROW","1993-06-18","2026-05-02","Per=Y","Days=T","Dir=V")</f>
        <v>0</v>
      </c>
      <c r="K2">
        <f>BDH("CMI US Equity","BS_CASH_NEAR_CASH_ITEM","1993-06-18","2026-05-02","Per=Y","Days=T","Dir=V")</f>
        <v>0</v>
      </c>
      <c r="M2">
        <f>BDH("CMI US Equity","BS_CUR_ASSET_REPORT","1993-06-18","2026-05-02","Per=Y","Days=T","Dir=V")</f>
        <v>0</v>
      </c>
      <c r="O2">
        <f>BDH("CMI US Equity","BS_CUR_LIAB","1993-06-18","2026-05-02","Per=Y","Days=T","Dir=V")</f>
        <v>0</v>
      </c>
      <c r="Q2">
        <f>BDH("CMI US Equity","BS_SHAREHOLDER_EQY_ENDING_PERIOD","1993-06-18","2026-05-02","Per=Y","Days=T","Dir=V")</f>
        <v>0</v>
      </c>
      <c r="S2">
        <f>BDH("CMI US Equity","BS_ACCT_NOTE_RCV","1993-06-18","2026-05-02","Per=Y","Days=T","Dir=V")</f>
        <v>0</v>
      </c>
      <c r="U2">
        <f>BDH("CMI US Equity","BS_INVENTORIES","1993-06-18","2026-05-02","Per=Y","Days=T","Dir=V")</f>
        <v>0</v>
      </c>
      <c r="W2">
        <f>BDH("CMI US Equity","WORKING_CAPITAL","1993-06-18","2026-05-02","Per=Y","Days=T","Dir=V")</f>
        <v>0</v>
      </c>
      <c r="Y2">
        <f>BDH("CMI US Equity","SALES_REV_TURN","1993-06-18","2026-05-02","Per=Y","Days=T","Dir=V")</f>
        <v>0</v>
      </c>
      <c r="AA2">
        <f>BDH("CMI US Equity","EBIT","1993-06-18","2026-05-02","Per=Y","Days=T","Dir=V")</f>
        <v>0</v>
      </c>
      <c r="AC2">
        <f>BDH("CMI US Equity","EBITDA","1993-06-18","2026-05-02","Per=Y","Days=T","Dir=V")</f>
        <v>0</v>
      </c>
      <c r="AE2">
        <f>BDH("CMI US Equity","NET_INCOME","1993-06-18","2026-05-02","Per=Y","Days=T","Dir=V")</f>
        <v>0</v>
      </c>
      <c r="AG2">
        <f>BDH("CMI US Equity","IS_INT_EXPENSE","1993-06-18","2026-05-02","Per=Y","Days=T","Dir=V")</f>
        <v>0</v>
      </c>
      <c r="AI2">
        <f>BDH("CMI US Equity","IS_DEPR_EXP","1993-06-18","2026-05-02","Per=Y","Days=T","Dir=V")</f>
        <v>0</v>
      </c>
      <c r="AK2">
        <f>BDH("CMI US Equity","CF_CASH_FROM_OPER","1993-06-18","2026-05-02","Per=Y","Days=T","Dir=V")</f>
        <v>0</v>
      </c>
      <c r="AM2">
        <f>BDH("CMI US Equity","CAPITAL_EXPEND","1993-06-18","2026-05-02","Per=Y","Days=T","Dir=V")</f>
        <v>0</v>
      </c>
      <c r="AO2">
        <f>BDH("CMI US Equity","CF_FREE_CASH_FLOW","1993-06-18","2026-05-02","Per=Y","Days=T","Dir=V")</f>
        <v>0</v>
      </c>
      <c r="AQ2">
        <f>BDH("CMI US Equity","PX_LAST","1993-06-18","2026-05-02","Per=M","Days=T","Dir=V")</f>
        <v>0</v>
      </c>
      <c r="AS2">
        <f>BDH("CMI US Equity","CUR_MKT_CAP","1993-06-18","2026-05-02","Per=M","Days=T","Dir=V")</f>
        <v>0</v>
      </c>
      <c r="AU2">
        <f>BDH("CMI US Equity","EQY_SH_OUT","1993-06-18","2026-05-02","Per=M","Days=T","Dir=V")</f>
        <v>0</v>
      </c>
      <c r="AW2">
        <f>BDH("CMI US Equity","PX_VOLUME","1993-06-18","2026-05-02","Per=M","Days=T","Dir=V")</f>
        <v>0</v>
      </c>
      <c r="AY2">
        <f>BDH("CMI US Equity","TURNOVER","1993-06-18","2026-05-02","Per=M","Days=T","Dir=V")</f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BDH("CMP US Equity","BS_TOT_ASSET","1993-06-18","2026-05-02","Per=Y","Days=T","Dir=V")</f>
        <v>0</v>
      </c>
      <c r="C2">
        <f>BDH("CMP US Equity","BS_TOT_LIAB2","1993-06-18","2026-05-02","Per=Y","Days=T","Dir=V")</f>
        <v>0</v>
      </c>
      <c r="E2">
        <f>BDH("CMP US Equity","SHORT_AND_LONG_TERM_DEBT","1993-06-18","2026-05-02","Per=Y","Days=T","Dir=V")</f>
        <v>0</v>
      </c>
      <c r="G2">
        <f>BDH("CMP US Equity","BS_ST_BORROW","1993-06-18","2026-05-02","Per=Y","Days=T","Dir=V")</f>
        <v>0</v>
      </c>
      <c r="I2">
        <f>BDH("CMP US Equity","BS_LT_BORROW","1993-06-18","2026-05-02","Per=Y","Days=T","Dir=V")</f>
        <v>0</v>
      </c>
      <c r="K2">
        <f>BDH("CMP US Equity","BS_CASH_NEAR_CASH_ITEM","1993-06-18","2026-05-02","Per=Y","Days=T","Dir=V")</f>
        <v>0</v>
      </c>
      <c r="M2">
        <f>BDH("CMP US Equity","BS_CUR_ASSET_REPORT","1993-06-18","2026-05-02","Per=Y","Days=T","Dir=V")</f>
        <v>0</v>
      </c>
      <c r="O2">
        <f>BDH("CMP US Equity","BS_CUR_LIAB","1993-06-18","2026-05-02","Per=Y","Days=T","Dir=V")</f>
        <v>0</v>
      </c>
      <c r="Q2">
        <f>BDH("CMP US Equity","BS_SHAREHOLDER_EQY_ENDING_PERIOD","1993-06-18","2026-05-02","Per=Y","Days=T","Dir=V")</f>
        <v>0</v>
      </c>
      <c r="S2">
        <f>BDH("CMP US Equity","BS_ACCT_NOTE_RCV","1993-06-18","2026-05-02","Per=Y","Days=T","Dir=V")</f>
        <v>0</v>
      </c>
      <c r="U2">
        <f>BDH("CMP US Equity","BS_INVENTORIES","1993-06-18","2026-05-02","Per=Y","Days=T","Dir=V")</f>
        <v>0</v>
      </c>
      <c r="W2">
        <f>BDH("CMP US Equity","WORKING_CAPITAL","1993-06-18","2026-05-02","Per=Y","Days=T","Dir=V")</f>
        <v>0</v>
      </c>
      <c r="Y2">
        <f>BDH("CMP US Equity","SALES_REV_TURN","1993-06-18","2026-05-02","Per=Y","Days=T","Dir=V")</f>
        <v>0</v>
      </c>
      <c r="AA2">
        <f>BDH("CMP US Equity","EBIT","1993-06-18","2026-05-02","Per=Y","Days=T","Dir=V")</f>
        <v>0</v>
      </c>
      <c r="AC2">
        <f>BDH("CMP US Equity","EBITDA","1993-06-18","2026-05-02","Per=Y","Days=T","Dir=V")</f>
        <v>0</v>
      </c>
      <c r="AE2">
        <f>BDH("CMP US Equity","NET_INCOME","1993-06-18","2026-05-02","Per=Y","Days=T","Dir=V")</f>
        <v>0</v>
      </c>
      <c r="AG2">
        <f>BDH("CMP US Equity","IS_INT_EXPENSE","1993-06-18","2026-05-02","Per=Y","Days=T","Dir=V")</f>
        <v>0</v>
      </c>
      <c r="AI2">
        <f>BDH("CMP US Equity","IS_DEPR_EXP","1993-06-18","2026-05-02","Per=Y","Days=T","Dir=V")</f>
        <v>0</v>
      </c>
      <c r="AK2">
        <f>BDH("CMP US Equity","CF_CASH_FROM_OPER","1993-06-18","2026-05-02","Per=Y","Days=T","Dir=V")</f>
        <v>0</v>
      </c>
      <c r="AM2">
        <f>BDH("CMP US Equity","CAPITAL_EXPEND","1993-06-18","2026-05-02","Per=Y","Days=T","Dir=V")</f>
        <v>0</v>
      </c>
      <c r="AO2">
        <f>BDH("CMP US Equity","CF_FREE_CASH_FLOW","1993-06-18","2026-05-02","Per=Y","Days=T","Dir=V")</f>
        <v>0</v>
      </c>
      <c r="AQ2">
        <f>BDH("CMP US Equity","PX_LAST","1993-06-18","2026-05-02","Per=M","Days=T","Dir=V")</f>
        <v>0</v>
      </c>
      <c r="AS2">
        <f>BDH("CMP US Equity","CUR_MKT_CAP","1993-06-18","2026-05-02","Per=M","Days=T","Dir=V")</f>
        <v>0</v>
      </c>
      <c r="AU2">
        <f>BDH("CMP US Equity","EQY_SH_OUT","1993-06-18","2026-05-02","Per=M","Days=T","Dir=V")</f>
        <v>0</v>
      </c>
      <c r="AW2">
        <f>BDH("CMP US Equity","PX_VOLUME","1993-06-18","2026-05-02","Per=M","Days=T","Dir=V")</f>
        <v>0</v>
      </c>
      <c r="AY2">
        <f>BDH("CMP US Equity","TURNOVER","1993-06-18","2026-05-02","Per=M","Days=T","Dir=V")</f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BDH("CMPX US Equity","BS_TOT_ASSET","1993-06-18","2026-05-02","Per=Y","Days=T","Dir=V")</f>
        <v>0</v>
      </c>
      <c r="C2">
        <f>BDH("CMPX US Equity","BS_TOT_LIAB2","1993-06-18","2026-05-02","Per=Y","Days=T","Dir=V")</f>
        <v>0</v>
      </c>
      <c r="E2">
        <f>BDH("CMPX US Equity","SHORT_AND_LONG_TERM_DEBT","1993-06-18","2026-05-02","Per=Y","Days=T","Dir=V")</f>
        <v>0</v>
      </c>
      <c r="G2">
        <f>BDH("CMPX US Equity","BS_ST_BORROW","1993-06-18","2026-05-02","Per=Y","Days=T","Dir=V")</f>
        <v>0</v>
      </c>
      <c r="I2">
        <f>BDH("CMPX US Equity","BS_LT_BORROW","1993-06-18","2026-05-02","Per=Y","Days=T","Dir=V")</f>
        <v>0</v>
      </c>
      <c r="K2">
        <f>BDH("CMPX US Equity","BS_CASH_NEAR_CASH_ITEM","1993-06-18","2026-05-02","Per=Y","Days=T","Dir=V")</f>
        <v>0</v>
      </c>
      <c r="M2">
        <f>BDH("CMPX US Equity","BS_CUR_ASSET_REPORT","1993-06-18","2026-05-02","Per=Y","Days=T","Dir=V")</f>
        <v>0</v>
      </c>
      <c r="O2">
        <f>BDH("CMPX US Equity","BS_CUR_LIAB","1993-06-18","2026-05-02","Per=Y","Days=T","Dir=V")</f>
        <v>0</v>
      </c>
      <c r="Q2">
        <f>BDH("CMPX US Equity","BS_SHAREHOLDER_EQY_ENDING_PERIOD","1993-06-18","2026-05-02","Per=Y","Days=T","Dir=V")</f>
        <v>0</v>
      </c>
      <c r="S2">
        <f>BDH("CMPX US Equity","BS_ACCT_NOTE_RCV","1993-06-18","2026-05-02","Per=Y","Days=T","Dir=V")</f>
        <v>0</v>
      </c>
      <c r="U2">
        <f>BDH("CMPX US Equity","BS_INVENTORIES","1993-06-18","2026-05-02","Per=Y","Days=T","Dir=V")</f>
        <v>0</v>
      </c>
      <c r="W2">
        <f>BDH("CMPX US Equity","WORKING_CAPITAL","1993-06-18","2026-05-02","Per=Y","Days=T","Dir=V")</f>
        <v>0</v>
      </c>
      <c r="Y2">
        <f>BDH("CMPX US Equity","SALES_REV_TURN","1993-06-18","2026-05-02","Per=Y","Days=T","Dir=V")</f>
        <v>0</v>
      </c>
      <c r="AA2">
        <f>BDH("CMPX US Equity","EBIT","1993-06-18","2026-05-02","Per=Y","Days=T","Dir=V")</f>
        <v>0</v>
      </c>
      <c r="AC2">
        <f>BDH("CMPX US Equity","EBITDA","1993-06-18","2026-05-02","Per=Y","Days=T","Dir=V")</f>
        <v>0</v>
      </c>
      <c r="AE2">
        <f>BDH("CMPX US Equity","NET_INCOME","1993-06-18","2026-05-02","Per=Y","Days=T","Dir=V")</f>
        <v>0</v>
      </c>
      <c r="AG2">
        <f>BDH("CMPX US Equity","IS_INT_EXPENSE","1993-06-18","2026-05-02","Per=Y","Days=T","Dir=V")</f>
        <v>0</v>
      </c>
      <c r="AI2">
        <f>BDH("CMPX US Equity","IS_DEPR_EXP","1993-06-18","2026-05-02","Per=Y","Days=T","Dir=V")</f>
        <v>0</v>
      </c>
      <c r="AK2">
        <f>BDH("CMPX US Equity","CF_CASH_FROM_OPER","1993-06-18","2026-05-02","Per=Y","Days=T","Dir=V")</f>
        <v>0</v>
      </c>
      <c r="AM2">
        <f>BDH("CMPX US Equity","CAPITAL_EXPEND","1993-06-18","2026-05-02","Per=Y","Days=T","Dir=V")</f>
        <v>0</v>
      </c>
      <c r="AO2">
        <f>BDH("CMPX US Equity","CF_FREE_CASH_FLOW","1993-06-18","2026-05-02","Per=Y","Days=T","Dir=V")</f>
        <v>0</v>
      </c>
      <c r="AQ2">
        <f>BDH("CMPX US Equity","PX_LAST","1993-06-18","2026-05-02","Per=M","Days=T","Dir=V")</f>
        <v>0</v>
      </c>
      <c r="AS2">
        <f>BDH("CMPX US Equity","CUR_MKT_CAP","1993-06-18","2026-05-02","Per=M","Days=T","Dir=V")</f>
        <v>0</v>
      </c>
      <c r="AU2">
        <f>BDH("CMPX US Equity","EQY_SH_OUT","1993-06-18","2026-05-02","Per=M","Days=T","Dir=V")</f>
        <v>0</v>
      </c>
      <c r="AW2">
        <f>BDH("CMPX US Equity","PX_VOLUME","1993-06-18","2026-05-02","Per=M","Days=T","Dir=V")</f>
        <v>0</v>
      </c>
      <c r="AY2">
        <f>BDH("CMPX US Equity","TURNOVER","1993-06-18","2026-05-02","Per=M","Days=T","Dir=V")</f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BDH("CMRC US Equity","BS_TOT_ASSET","1993-06-18","2026-05-02","Per=Y","Days=T","Dir=V")</f>
        <v>0</v>
      </c>
      <c r="C2">
        <f>BDH("CMRC US Equity","BS_TOT_LIAB2","1993-06-18","2026-05-02","Per=Y","Days=T","Dir=V")</f>
        <v>0</v>
      </c>
      <c r="E2">
        <f>BDH("CMRC US Equity","SHORT_AND_LONG_TERM_DEBT","1993-06-18","2026-05-02","Per=Y","Days=T","Dir=V")</f>
        <v>0</v>
      </c>
      <c r="G2">
        <f>BDH("CMRC US Equity","BS_ST_BORROW","1993-06-18","2026-05-02","Per=Y","Days=T","Dir=V")</f>
        <v>0</v>
      </c>
      <c r="I2">
        <f>BDH("CMRC US Equity","BS_LT_BORROW","1993-06-18","2026-05-02","Per=Y","Days=T","Dir=V")</f>
        <v>0</v>
      </c>
      <c r="K2">
        <f>BDH("CMRC US Equity","BS_CASH_NEAR_CASH_ITEM","1993-06-18","2026-05-02","Per=Y","Days=T","Dir=V")</f>
        <v>0</v>
      </c>
      <c r="M2">
        <f>BDH("CMRC US Equity","BS_CUR_ASSET_REPORT","1993-06-18","2026-05-02","Per=Y","Days=T","Dir=V")</f>
        <v>0</v>
      </c>
      <c r="O2">
        <f>BDH("CMRC US Equity","BS_CUR_LIAB","1993-06-18","2026-05-02","Per=Y","Days=T","Dir=V")</f>
        <v>0</v>
      </c>
      <c r="Q2">
        <f>BDH("CMRC US Equity","BS_SHAREHOLDER_EQY_ENDING_PERIOD","1993-06-18","2026-05-02","Per=Y","Days=T","Dir=V")</f>
        <v>0</v>
      </c>
      <c r="S2">
        <f>BDH("CMRC US Equity","BS_ACCT_NOTE_RCV","1993-06-18","2026-05-02","Per=Y","Days=T","Dir=V")</f>
        <v>0</v>
      </c>
      <c r="U2">
        <f>BDH("CMRC US Equity","BS_INVENTORIES","1993-06-18","2026-05-02","Per=Y","Days=T","Dir=V")</f>
        <v>0</v>
      </c>
      <c r="W2">
        <f>BDH("CMRC US Equity","WORKING_CAPITAL","1993-06-18","2026-05-02","Per=Y","Days=T","Dir=V")</f>
        <v>0</v>
      </c>
      <c r="Y2">
        <f>BDH("CMRC US Equity","SALES_REV_TURN","1993-06-18","2026-05-02","Per=Y","Days=T","Dir=V")</f>
        <v>0</v>
      </c>
      <c r="AA2">
        <f>BDH("CMRC US Equity","EBIT","1993-06-18","2026-05-02","Per=Y","Days=T","Dir=V")</f>
        <v>0</v>
      </c>
      <c r="AC2">
        <f>BDH("CMRC US Equity","EBITDA","1993-06-18","2026-05-02","Per=Y","Days=T","Dir=V")</f>
        <v>0</v>
      </c>
      <c r="AE2">
        <f>BDH("CMRC US Equity","NET_INCOME","1993-06-18","2026-05-02","Per=Y","Days=T","Dir=V")</f>
        <v>0</v>
      </c>
      <c r="AG2">
        <f>BDH("CMRC US Equity","IS_INT_EXPENSE","1993-06-18","2026-05-02","Per=Y","Days=T","Dir=V")</f>
        <v>0</v>
      </c>
      <c r="AI2">
        <f>BDH("CMRC US Equity","IS_DEPR_EXP","1993-06-18","2026-05-02","Per=Y","Days=T","Dir=V")</f>
        <v>0</v>
      </c>
      <c r="AK2">
        <f>BDH("CMRC US Equity","CF_CASH_FROM_OPER","1993-06-18","2026-05-02","Per=Y","Days=T","Dir=V")</f>
        <v>0</v>
      </c>
      <c r="AM2">
        <f>BDH("CMRC US Equity","CAPITAL_EXPEND","1993-06-18","2026-05-02","Per=Y","Days=T","Dir=V")</f>
        <v>0</v>
      </c>
      <c r="AO2">
        <f>BDH("CMRC US Equity","CF_FREE_CASH_FLOW","1993-06-18","2026-05-02","Per=Y","Days=T","Dir=V")</f>
        <v>0</v>
      </c>
      <c r="AQ2">
        <f>BDH("CMRC US Equity","PX_LAST","1993-06-18","2026-05-02","Per=M","Days=T","Dir=V")</f>
        <v>0</v>
      </c>
      <c r="AS2">
        <f>BDH("CMRC US Equity","CUR_MKT_CAP","1993-06-18","2026-05-02","Per=M","Days=T","Dir=V")</f>
        <v>0</v>
      </c>
      <c r="AU2">
        <f>BDH("CMRC US Equity","EQY_SH_OUT","1993-06-18","2026-05-02","Per=M","Days=T","Dir=V")</f>
        <v>0</v>
      </c>
      <c r="AW2">
        <f>BDH("CMRC US Equity","PX_VOLUME","1993-06-18","2026-05-02","Per=M","Days=T","Dir=V")</f>
        <v>0</v>
      </c>
      <c r="AY2">
        <f>BDH("CMRC US Equity","TURNOVER","1993-06-18","2026-05-02","Per=M","Days=T","Dir=V")</f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BDH("CMS US Equity","BS_TOT_ASSET","1993-06-18","2026-05-02","Per=Y","Days=T","Dir=V")</f>
        <v>0</v>
      </c>
      <c r="C2">
        <f>BDH("CMS US Equity","BS_TOT_LIAB2","1993-06-18","2026-05-02","Per=Y","Days=T","Dir=V")</f>
        <v>0</v>
      </c>
      <c r="E2">
        <f>BDH("CMS US Equity","SHORT_AND_LONG_TERM_DEBT","1993-06-18","2026-05-02","Per=Y","Days=T","Dir=V")</f>
        <v>0</v>
      </c>
      <c r="G2">
        <f>BDH("CMS US Equity","BS_ST_BORROW","1993-06-18","2026-05-02","Per=Y","Days=T","Dir=V")</f>
        <v>0</v>
      </c>
      <c r="I2">
        <f>BDH("CMS US Equity","BS_LT_BORROW","1993-06-18","2026-05-02","Per=Y","Days=T","Dir=V")</f>
        <v>0</v>
      </c>
      <c r="K2">
        <f>BDH("CMS US Equity","BS_CASH_NEAR_CASH_ITEM","1993-06-18","2026-05-02","Per=Y","Days=T","Dir=V")</f>
        <v>0</v>
      </c>
      <c r="M2">
        <f>BDH("CMS US Equity","BS_CUR_ASSET_REPORT","1993-06-18","2026-05-02","Per=Y","Days=T","Dir=V")</f>
        <v>0</v>
      </c>
      <c r="O2">
        <f>BDH("CMS US Equity","BS_CUR_LIAB","1993-06-18","2026-05-02","Per=Y","Days=T","Dir=V")</f>
        <v>0</v>
      </c>
      <c r="Q2">
        <f>BDH("CMS US Equity","BS_SHAREHOLDER_EQY_ENDING_PERIOD","1993-06-18","2026-05-02","Per=Y","Days=T","Dir=V")</f>
        <v>0</v>
      </c>
      <c r="S2">
        <f>BDH("CMS US Equity","BS_ACCT_NOTE_RCV","1993-06-18","2026-05-02","Per=Y","Days=T","Dir=V")</f>
        <v>0</v>
      </c>
      <c r="U2">
        <f>BDH("CMS US Equity","BS_INVENTORIES","1993-06-18","2026-05-02","Per=Y","Days=T","Dir=V")</f>
        <v>0</v>
      </c>
      <c r="W2">
        <f>BDH("CMS US Equity","WORKING_CAPITAL","1993-06-18","2026-05-02","Per=Y","Days=T","Dir=V")</f>
        <v>0</v>
      </c>
      <c r="Y2">
        <f>BDH("CMS US Equity","SALES_REV_TURN","1993-06-18","2026-05-02","Per=Y","Days=T","Dir=V")</f>
        <v>0</v>
      </c>
      <c r="AA2">
        <f>BDH("CMS US Equity","EBIT","1993-06-18","2026-05-02","Per=Y","Days=T","Dir=V")</f>
        <v>0</v>
      </c>
      <c r="AC2">
        <f>BDH("CMS US Equity","EBITDA","1993-06-18","2026-05-02","Per=Y","Days=T","Dir=V")</f>
        <v>0</v>
      </c>
      <c r="AE2">
        <f>BDH("CMS US Equity","NET_INCOME","1993-06-18","2026-05-02","Per=Y","Days=T","Dir=V")</f>
        <v>0</v>
      </c>
      <c r="AG2">
        <f>BDH("CMS US Equity","IS_INT_EXPENSE","1993-06-18","2026-05-02","Per=Y","Days=T","Dir=V")</f>
        <v>0</v>
      </c>
      <c r="AI2">
        <f>BDH("CMS US Equity","IS_DEPR_EXP","1993-06-18","2026-05-02","Per=Y","Days=T","Dir=V")</f>
        <v>0</v>
      </c>
      <c r="AK2">
        <f>BDH("CMS US Equity","CF_CASH_FROM_OPER","1993-06-18","2026-05-02","Per=Y","Days=T","Dir=V")</f>
        <v>0</v>
      </c>
      <c r="AM2">
        <f>BDH("CMS US Equity","CAPITAL_EXPEND","1993-06-18","2026-05-02","Per=Y","Days=T","Dir=V")</f>
        <v>0</v>
      </c>
      <c r="AO2">
        <f>BDH("CMS US Equity","CF_FREE_CASH_FLOW","1993-06-18","2026-05-02","Per=Y","Days=T","Dir=V")</f>
        <v>0</v>
      </c>
      <c r="AQ2">
        <f>BDH("CMS US Equity","PX_LAST","1993-06-18","2026-05-02","Per=M","Days=T","Dir=V")</f>
        <v>0</v>
      </c>
      <c r="AS2">
        <f>BDH("CMS US Equity","CUR_MKT_CAP","1993-06-18","2026-05-02","Per=M","Days=T","Dir=V")</f>
        <v>0</v>
      </c>
      <c r="AU2">
        <f>BDH("CMS US Equity","EQY_SH_OUT","1993-06-18","2026-05-02","Per=M","Days=T","Dir=V")</f>
        <v>0</v>
      </c>
      <c r="AW2">
        <f>BDH("CMS US Equity","PX_VOLUME","1993-06-18","2026-05-02","Per=M","Days=T","Dir=V")</f>
        <v>0</v>
      </c>
      <c r="AY2">
        <f>BDH("CMS US Equity","TURNOVER","1993-06-18","2026-05-02","Per=M","Days=T","Dir=V")</f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BDH("CMSA US Equity","BS_TOT_ASSET","1993-06-18","2026-05-02","Per=Y","Days=T","Dir=V")</f>
        <v>0</v>
      </c>
      <c r="C2">
        <f>BDH("CMSA US Equity","BS_TOT_LIAB2","1993-06-18","2026-05-02","Per=Y","Days=T","Dir=V")</f>
        <v>0</v>
      </c>
      <c r="E2">
        <f>BDH("CMSA US Equity","SHORT_AND_LONG_TERM_DEBT","1993-06-18","2026-05-02","Per=Y","Days=T","Dir=V")</f>
        <v>0</v>
      </c>
      <c r="G2">
        <f>BDH("CMSA US Equity","BS_ST_BORROW","1993-06-18","2026-05-02","Per=Y","Days=T","Dir=V")</f>
        <v>0</v>
      </c>
      <c r="I2">
        <f>BDH("CMSA US Equity","BS_LT_BORROW","1993-06-18","2026-05-02","Per=Y","Days=T","Dir=V")</f>
        <v>0</v>
      </c>
      <c r="K2">
        <f>BDH("CMSA US Equity","BS_CASH_NEAR_CASH_ITEM","1993-06-18","2026-05-02","Per=Y","Days=T","Dir=V")</f>
        <v>0</v>
      </c>
      <c r="M2">
        <f>BDH("CMSA US Equity","BS_CUR_ASSET_REPORT","1993-06-18","2026-05-02","Per=Y","Days=T","Dir=V")</f>
        <v>0</v>
      </c>
      <c r="O2">
        <f>BDH("CMSA US Equity","BS_CUR_LIAB","1993-06-18","2026-05-02","Per=Y","Days=T","Dir=V")</f>
        <v>0</v>
      </c>
      <c r="Q2">
        <f>BDH("CMSA US Equity","BS_SHAREHOLDER_EQY_ENDING_PERIOD","1993-06-18","2026-05-02","Per=Y","Days=T","Dir=V")</f>
        <v>0</v>
      </c>
      <c r="S2">
        <f>BDH("CMSA US Equity","BS_ACCT_NOTE_RCV","1993-06-18","2026-05-02","Per=Y","Days=T","Dir=V")</f>
        <v>0</v>
      </c>
      <c r="U2">
        <f>BDH("CMSA US Equity","BS_INVENTORIES","1993-06-18","2026-05-02","Per=Y","Days=T","Dir=V")</f>
        <v>0</v>
      </c>
      <c r="W2">
        <f>BDH("CMSA US Equity","WORKING_CAPITAL","1993-06-18","2026-05-02","Per=Y","Days=T","Dir=V")</f>
        <v>0</v>
      </c>
      <c r="Y2">
        <f>BDH("CMSA US Equity","SALES_REV_TURN","1993-06-18","2026-05-02","Per=Y","Days=T","Dir=V")</f>
        <v>0</v>
      </c>
      <c r="AA2">
        <f>BDH("CMSA US Equity","EBIT","1993-06-18","2026-05-02","Per=Y","Days=T","Dir=V")</f>
        <v>0</v>
      </c>
      <c r="AC2">
        <f>BDH("CMSA US Equity","EBITDA","1993-06-18","2026-05-02","Per=Y","Days=T","Dir=V")</f>
        <v>0</v>
      </c>
      <c r="AE2">
        <f>BDH("CMSA US Equity","NET_INCOME","1993-06-18","2026-05-02","Per=Y","Days=T","Dir=V")</f>
        <v>0</v>
      </c>
      <c r="AG2">
        <f>BDH("CMSA US Equity","IS_INT_EXPENSE","1993-06-18","2026-05-02","Per=Y","Days=T","Dir=V")</f>
        <v>0</v>
      </c>
      <c r="AI2">
        <f>BDH("CMSA US Equity","IS_DEPR_EXP","1993-06-18","2026-05-02","Per=Y","Days=T","Dir=V")</f>
        <v>0</v>
      </c>
      <c r="AK2">
        <f>BDH("CMSA US Equity","CF_CASH_FROM_OPER","1993-06-18","2026-05-02","Per=Y","Days=T","Dir=V")</f>
        <v>0</v>
      </c>
      <c r="AM2">
        <f>BDH("CMSA US Equity","CAPITAL_EXPEND","1993-06-18","2026-05-02","Per=Y","Days=T","Dir=V")</f>
        <v>0</v>
      </c>
      <c r="AO2">
        <f>BDH("CMSA US Equity","CF_FREE_CASH_FLOW","1993-06-18","2026-05-02","Per=Y","Days=T","Dir=V")</f>
        <v>0</v>
      </c>
      <c r="AQ2">
        <f>BDH("CMSA US Equity","PX_LAST","1993-06-18","2026-05-02","Per=M","Days=T","Dir=V")</f>
        <v>0</v>
      </c>
      <c r="AS2">
        <f>BDH("CMSA US Equity","CUR_MKT_CAP","1993-06-18","2026-05-02","Per=M","Days=T","Dir=V")</f>
        <v>0</v>
      </c>
      <c r="AU2">
        <f>BDH("CMSA US Equity","EQY_SH_OUT","1993-06-18","2026-05-02","Per=M","Days=T","Dir=V")</f>
        <v>0</v>
      </c>
      <c r="AW2">
        <f>BDH("CMSA US Equity","PX_VOLUME","1993-06-18","2026-05-02","Per=M","Days=T","Dir=V")</f>
        <v>0</v>
      </c>
      <c r="AY2">
        <f>BDH("CMSA US Equity","TURNOVER","1993-06-18","2026-05-02","Per=M","Days=T","Dir=V")</f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BDH("CMSC US Equity","BS_TOT_ASSET","1993-06-18","2026-05-02","Per=Y","Days=T","Dir=V")</f>
        <v>0</v>
      </c>
      <c r="C2">
        <f>BDH("CMSC US Equity","BS_TOT_LIAB2","1993-06-18","2026-05-02","Per=Y","Days=T","Dir=V")</f>
        <v>0</v>
      </c>
      <c r="E2">
        <f>BDH("CMSC US Equity","SHORT_AND_LONG_TERM_DEBT","1993-06-18","2026-05-02","Per=Y","Days=T","Dir=V")</f>
        <v>0</v>
      </c>
      <c r="G2">
        <f>BDH("CMSC US Equity","BS_ST_BORROW","1993-06-18","2026-05-02","Per=Y","Days=T","Dir=V")</f>
        <v>0</v>
      </c>
      <c r="I2">
        <f>BDH("CMSC US Equity","BS_LT_BORROW","1993-06-18","2026-05-02","Per=Y","Days=T","Dir=V")</f>
        <v>0</v>
      </c>
      <c r="K2">
        <f>BDH("CMSC US Equity","BS_CASH_NEAR_CASH_ITEM","1993-06-18","2026-05-02","Per=Y","Days=T","Dir=V")</f>
        <v>0</v>
      </c>
      <c r="M2">
        <f>BDH("CMSC US Equity","BS_CUR_ASSET_REPORT","1993-06-18","2026-05-02","Per=Y","Days=T","Dir=V")</f>
        <v>0</v>
      </c>
      <c r="O2">
        <f>BDH("CMSC US Equity","BS_CUR_LIAB","1993-06-18","2026-05-02","Per=Y","Days=T","Dir=V")</f>
        <v>0</v>
      </c>
      <c r="Q2">
        <f>BDH("CMSC US Equity","BS_SHAREHOLDER_EQY_ENDING_PERIOD","1993-06-18","2026-05-02","Per=Y","Days=T","Dir=V")</f>
        <v>0</v>
      </c>
      <c r="S2">
        <f>BDH("CMSC US Equity","BS_ACCT_NOTE_RCV","1993-06-18","2026-05-02","Per=Y","Days=T","Dir=V")</f>
        <v>0</v>
      </c>
      <c r="U2">
        <f>BDH("CMSC US Equity","BS_INVENTORIES","1993-06-18","2026-05-02","Per=Y","Days=T","Dir=V")</f>
        <v>0</v>
      </c>
      <c r="W2">
        <f>BDH("CMSC US Equity","WORKING_CAPITAL","1993-06-18","2026-05-02","Per=Y","Days=T","Dir=V")</f>
        <v>0</v>
      </c>
      <c r="Y2">
        <f>BDH("CMSC US Equity","SALES_REV_TURN","1993-06-18","2026-05-02","Per=Y","Days=T","Dir=V")</f>
        <v>0</v>
      </c>
      <c r="AA2">
        <f>BDH("CMSC US Equity","EBIT","1993-06-18","2026-05-02","Per=Y","Days=T","Dir=V")</f>
        <v>0</v>
      </c>
      <c r="AC2">
        <f>BDH("CMSC US Equity","EBITDA","1993-06-18","2026-05-02","Per=Y","Days=T","Dir=V")</f>
        <v>0</v>
      </c>
      <c r="AE2">
        <f>BDH("CMSC US Equity","NET_INCOME","1993-06-18","2026-05-02","Per=Y","Days=T","Dir=V")</f>
        <v>0</v>
      </c>
      <c r="AG2">
        <f>BDH("CMSC US Equity","IS_INT_EXPENSE","1993-06-18","2026-05-02","Per=Y","Days=T","Dir=V")</f>
        <v>0</v>
      </c>
      <c r="AI2">
        <f>BDH("CMSC US Equity","IS_DEPR_EXP","1993-06-18","2026-05-02","Per=Y","Days=T","Dir=V")</f>
        <v>0</v>
      </c>
      <c r="AK2">
        <f>BDH("CMSC US Equity","CF_CASH_FROM_OPER","1993-06-18","2026-05-02","Per=Y","Days=T","Dir=V")</f>
        <v>0</v>
      </c>
      <c r="AM2">
        <f>BDH("CMSC US Equity","CAPITAL_EXPEND","1993-06-18","2026-05-02","Per=Y","Days=T","Dir=V")</f>
        <v>0</v>
      </c>
      <c r="AO2">
        <f>BDH("CMSC US Equity","CF_FREE_CASH_FLOW","1993-06-18","2026-05-02","Per=Y","Days=T","Dir=V")</f>
        <v>0</v>
      </c>
      <c r="AQ2">
        <f>BDH("CMSC US Equity","PX_LAST","1993-06-18","2026-05-02","Per=M","Days=T","Dir=V")</f>
        <v>0</v>
      </c>
      <c r="AS2">
        <f>BDH("CMSC US Equity","CUR_MKT_CAP","1993-06-18","2026-05-02","Per=M","Days=T","Dir=V")</f>
        <v>0</v>
      </c>
      <c r="AU2">
        <f>BDH("CMSC US Equity","EQY_SH_OUT","1993-06-18","2026-05-02","Per=M","Days=T","Dir=V")</f>
        <v>0</v>
      </c>
      <c r="AW2">
        <f>BDH("CMSC US Equity","PX_VOLUME","1993-06-18","2026-05-02","Per=M","Days=T","Dir=V")</f>
        <v>0</v>
      </c>
      <c r="AY2">
        <f>BDH("CMSC US Equity","TURNOVER","1993-06-18","2026-05-02","Per=M","Days=T","Dir=V")</f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BDH("CMSD US Equity","BS_TOT_ASSET","1993-06-18","2026-05-02","Per=Y","Days=T","Dir=V")</f>
        <v>0</v>
      </c>
      <c r="C2">
        <f>BDH("CMSD US Equity","BS_TOT_LIAB2","1993-06-18","2026-05-02","Per=Y","Days=T","Dir=V")</f>
        <v>0</v>
      </c>
      <c r="E2">
        <f>BDH("CMSD US Equity","SHORT_AND_LONG_TERM_DEBT","1993-06-18","2026-05-02","Per=Y","Days=T","Dir=V")</f>
        <v>0</v>
      </c>
      <c r="G2">
        <f>BDH("CMSD US Equity","BS_ST_BORROW","1993-06-18","2026-05-02","Per=Y","Days=T","Dir=V")</f>
        <v>0</v>
      </c>
      <c r="I2">
        <f>BDH("CMSD US Equity","BS_LT_BORROW","1993-06-18","2026-05-02","Per=Y","Days=T","Dir=V")</f>
        <v>0</v>
      </c>
      <c r="K2">
        <f>BDH("CMSD US Equity","BS_CASH_NEAR_CASH_ITEM","1993-06-18","2026-05-02","Per=Y","Days=T","Dir=V")</f>
        <v>0</v>
      </c>
      <c r="M2">
        <f>BDH("CMSD US Equity","BS_CUR_ASSET_REPORT","1993-06-18","2026-05-02","Per=Y","Days=T","Dir=V")</f>
        <v>0</v>
      </c>
      <c r="O2">
        <f>BDH("CMSD US Equity","BS_CUR_LIAB","1993-06-18","2026-05-02","Per=Y","Days=T","Dir=V")</f>
        <v>0</v>
      </c>
      <c r="Q2">
        <f>BDH("CMSD US Equity","BS_SHAREHOLDER_EQY_ENDING_PERIOD","1993-06-18","2026-05-02","Per=Y","Days=T","Dir=V")</f>
        <v>0</v>
      </c>
      <c r="S2">
        <f>BDH("CMSD US Equity","BS_ACCT_NOTE_RCV","1993-06-18","2026-05-02","Per=Y","Days=T","Dir=V")</f>
        <v>0</v>
      </c>
      <c r="U2">
        <f>BDH("CMSD US Equity","BS_INVENTORIES","1993-06-18","2026-05-02","Per=Y","Days=T","Dir=V")</f>
        <v>0</v>
      </c>
      <c r="W2">
        <f>BDH("CMSD US Equity","WORKING_CAPITAL","1993-06-18","2026-05-02","Per=Y","Days=T","Dir=V")</f>
        <v>0</v>
      </c>
      <c r="Y2">
        <f>BDH("CMSD US Equity","SALES_REV_TURN","1993-06-18","2026-05-02","Per=Y","Days=T","Dir=V")</f>
        <v>0</v>
      </c>
      <c r="AA2">
        <f>BDH("CMSD US Equity","EBIT","1993-06-18","2026-05-02","Per=Y","Days=T","Dir=V")</f>
        <v>0</v>
      </c>
      <c r="AC2">
        <f>BDH("CMSD US Equity","EBITDA","1993-06-18","2026-05-02","Per=Y","Days=T","Dir=V")</f>
        <v>0</v>
      </c>
      <c r="AE2">
        <f>BDH("CMSD US Equity","NET_INCOME","1993-06-18","2026-05-02","Per=Y","Days=T","Dir=V")</f>
        <v>0</v>
      </c>
      <c r="AG2">
        <f>BDH("CMSD US Equity","IS_INT_EXPENSE","1993-06-18","2026-05-02","Per=Y","Days=T","Dir=V")</f>
        <v>0</v>
      </c>
      <c r="AI2">
        <f>BDH("CMSD US Equity","IS_DEPR_EXP","1993-06-18","2026-05-02","Per=Y","Days=T","Dir=V")</f>
        <v>0</v>
      </c>
      <c r="AK2">
        <f>BDH("CMSD US Equity","CF_CASH_FROM_OPER","1993-06-18","2026-05-02","Per=Y","Days=T","Dir=V")</f>
        <v>0</v>
      </c>
      <c r="AM2">
        <f>BDH("CMSD US Equity","CAPITAL_EXPEND","1993-06-18","2026-05-02","Per=Y","Days=T","Dir=V")</f>
        <v>0</v>
      </c>
      <c r="AO2">
        <f>BDH("CMSD US Equity","CF_FREE_CASH_FLOW","1993-06-18","2026-05-02","Per=Y","Days=T","Dir=V")</f>
        <v>0</v>
      </c>
      <c r="AQ2">
        <f>BDH("CMSD US Equity","PX_LAST","1993-06-18","2026-05-02","Per=M","Days=T","Dir=V")</f>
        <v>0</v>
      </c>
      <c r="AS2">
        <f>BDH("CMSD US Equity","CUR_MKT_CAP","1993-06-18","2026-05-02","Per=M","Days=T","Dir=V")</f>
        <v>0</v>
      </c>
      <c r="AU2">
        <f>BDH("CMSD US Equity","EQY_SH_OUT","1993-06-18","2026-05-02","Per=M","Days=T","Dir=V")</f>
        <v>0</v>
      </c>
      <c r="AW2">
        <f>BDH("CMSD US Equity","PX_VOLUME","1993-06-18","2026-05-02","Per=M","Days=T","Dir=V")</f>
        <v>0</v>
      </c>
      <c r="AY2">
        <f>BDH("CMSD US Equity","TURNOVER","1993-06-18","2026-05-02","Per=M","Days=T","Dir=V")</f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BDH("CMT US Equity","BS_TOT_ASSET","1993-06-18","2026-05-02","Per=Y","Days=T","Dir=V")</f>
        <v>0</v>
      </c>
      <c r="C2">
        <f>BDH("CMT US Equity","BS_TOT_LIAB2","1993-06-18","2026-05-02","Per=Y","Days=T","Dir=V")</f>
        <v>0</v>
      </c>
      <c r="E2">
        <f>BDH("CMT US Equity","SHORT_AND_LONG_TERM_DEBT","1993-06-18","2026-05-02","Per=Y","Days=T","Dir=V")</f>
        <v>0</v>
      </c>
      <c r="G2">
        <f>BDH("CMT US Equity","BS_ST_BORROW","1993-06-18","2026-05-02","Per=Y","Days=T","Dir=V")</f>
        <v>0</v>
      </c>
      <c r="I2">
        <f>BDH("CMT US Equity","BS_LT_BORROW","1993-06-18","2026-05-02","Per=Y","Days=T","Dir=V")</f>
        <v>0</v>
      </c>
      <c r="K2">
        <f>BDH("CMT US Equity","BS_CASH_NEAR_CASH_ITEM","1993-06-18","2026-05-02","Per=Y","Days=T","Dir=V")</f>
        <v>0</v>
      </c>
      <c r="M2">
        <f>BDH("CMT US Equity","BS_CUR_ASSET_REPORT","1993-06-18","2026-05-02","Per=Y","Days=T","Dir=V")</f>
        <v>0</v>
      </c>
      <c r="O2">
        <f>BDH("CMT US Equity","BS_CUR_LIAB","1993-06-18","2026-05-02","Per=Y","Days=T","Dir=V")</f>
        <v>0</v>
      </c>
      <c r="Q2">
        <f>BDH("CMT US Equity","BS_SHAREHOLDER_EQY_ENDING_PERIOD","1993-06-18","2026-05-02","Per=Y","Days=T","Dir=V")</f>
        <v>0</v>
      </c>
      <c r="S2">
        <f>BDH("CMT US Equity","BS_ACCT_NOTE_RCV","1993-06-18","2026-05-02","Per=Y","Days=T","Dir=V")</f>
        <v>0</v>
      </c>
      <c r="U2">
        <f>BDH("CMT US Equity","BS_INVENTORIES","1993-06-18","2026-05-02","Per=Y","Days=T","Dir=V")</f>
        <v>0</v>
      </c>
      <c r="W2">
        <f>BDH("CMT US Equity","WORKING_CAPITAL","1993-06-18","2026-05-02","Per=Y","Days=T","Dir=V")</f>
        <v>0</v>
      </c>
      <c r="Y2">
        <f>BDH("CMT US Equity","SALES_REV_TURN","1993-06-18","2026-05-02","Per=Y","Days=T","Dir=V")</f>
        <v>0</v>
      </c>
      <c r="AA2">
        <f>BDH("CMT US Equity","EBIT","1993-06-18","2026-05-02","Per=Y","Days=T","Dir=V")</f>
        <v>0</v>
      </c>
      <c r="AC2">
        <f>BDH("CMT US Equity","EBITDA","1993-06-18","2026-05-02","Per=Y","Days=T","Dir=V")</f>
        <v>0</v>
      </c>
      <c r="AE2">
        <f>BDH("CMT US Equity","NET_INCOME","1993-06-18","2026-05-02","Per=Y","Days=T","Dir=V")</f>
        <v>0</v>
      </c>
      <c r="AG2">
        <f>BDH("CMT US Equity","IS_INT_EXPENSE","1993-06-18","2026-05-02","Per=Y","Days=T","Dir=V")</f>
        <v>0</v>
      </c>
      <c r="AI2">
        <f>BDH("CMT US Equity","IS_DEPR_EXP","1993-06-18","2026-05-02","Per=Y","Days=T","Dir=V")</f>
        <v>0</v>
      </c>
      <c r="AK2">
        <f>BDH("CMT US Equity","CF_CASH_FROM_OPER","1993-06-18","2026-05-02","Per=Y","Days=T","Dir=V")</f>
        <v>0</v>
      </c>
      <c r="AM2">
        <f>BDH("CMT US Equity","CAPITAL_EXPEND","1993-06-18","2026-05-02","Per=Y","Days=T","Dir=V")</f>
        <v>0</v>
      </c>
      <c r="AO2">
        <f>BDH("CMT US Equity","CF_FREE_CASH_FLOW","1993-06-18","2026-05-02","Per=Y","Days=T","Dir=V")</f>
        <v>0</v>
      </c>
      <c r="AQ2">
        <f>BDH("CMT US Equity","PX_LAST","1993-06-18","2026-05-02","Per=M","Days=T","Dir=V")</f>
        <v>0</v>
      </c>
      <c r="AS2">
        <f>BDH("CMT US Equity","CUR_MKT_CAP","1993-06-18","2026-05-02","Per=M","Days=T","Dir=V")</f>
        <v>0</v>
      </c>
      <c r="AU2">
        <f>BDH("CMT US Equity","EQY_SH_OUT","1993-06-18","2026-05-02","Per=M","Days=T","Dir=V")</f>
        <v>0</v>
      </c>
      <c r="AW2">
        <f>BDH("CMT US Equity","PX_VOLUME","1993-06-18","2026-05-02","Per=M","Days=T","Dir=V")</f>
        <v>0</v>
      </c>
      <c r="AY2">
        <f>BDH("CMT US Equity","TURNOVER","1993-06-18","2026-05-02","Per=M","Days=T","Dir=V")</f>
        <v>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BDH("CMTL US Equity","BS_TOT_ASSET","1993-06-18","2026-05-02","Per=Y","Days=T","Dir=V")</f>
        <v>0</v>
      </c>
      <c r="C2">
        <f>BDH("CMTL US Equity","BS_TOT_LIAB2","1993-06-18","2026-05-02","Per=Y","Days=T","Dir=V")</f>
        <v>0</v>
      </c>
      <c r="E2">
        <f>BDH("CMTL US Equity","SHORT_AND_LONG_TERM_DEBT","1993-06-18","2026-05-02","Per=Y","Days=T","Dir=V")</f>
        <v>0</v>
      </c>
      <c r="G2">
        <f>BDH("CMTL US Equity","BS_ST_BORROW","1993-06-18","2026-05-02","Per=Y","Days=T","Dir=V")</f>
        <v>0</v>
      </c>
      <c r="I2">
        <f>BDH("CMTL US Equity","BS_LT_BORROW","1993-06-18","2026-05-02","Per=Y","Days=T","Dir=V")</f>
        <v>0</v>
      </c>
      <c r="K2">
        <f>BDH("CMTL US Equity","BS_CASH_NEAR_CASH_ITEM","1993-06-18","2026-05-02","Per=Y","Days=T","Dir=V")</f>
        <v>0</v>
      </c>
      <c r="M2">
        <f>BDH("CMTL US Equity","BS_CUR_ASSET_REPORT","1993-06-18","2026-05-02","Per=Y","Days=T","Dir=V")</f>
        <v>0</v>
      </c>
      <c r="O2">
        <f>BDH("CMTL US Equity","BS_CUR_LIAB","1993-06-18","2026-05-02","Per=Y","Days=T","Dir=V")</f>
        <v>0</v>
      </c>
      <c r="Q2">
        <f>BDH("CMTL US Equity","BS_SHAREHOLDER_EQY_ENDING_PERIOD","1993-06-18","2026-05-02","Per=Y","Days=T","Dir=V")</f>
        <v>0</v>
      </c>
      <c r="S2">
        <f>BDH("CMTL US Equity","BS_ACCT_NOTE_RCV","1993-06-18","2026-05-02","Per=Y","Days=T","Dir=V")</f>
        <v>0</v>
      </c>
      <c r="U2">
        <f>BDH("CMTL US Equity","BS_INVENTORIES","1993-06-18","2026-05-02","Per=Y","Days=T","Dir=V")</f>
        <v>0</v>
      </c>
      <c r="W2">
        <f>BDH("CMTL US Equity","WORKING_CAPITAL","1993-06-18","2026-05-02","Per=Y","Days=T","Dir=V")</f>
        <v>0</v>
      </c>
      <c r="Y2">
        <f>BDH("CMTL US Equity","SALES_REV_TURN","1993-06-18","2026-05-02","Per=Y","Days=T","Dir=V")</f>
        <v>0</v>
      </c>
      <c r="AA2">
        <f>BDH("CMTL US Equity","EBIT","1993-06-18","2026-05-02","Per=Y","Days=T","Dir=V")</f>
        <v>0</v>
      </c>
      <c r="AC2">
        <f>BDH("CMTL US Equity","EBITDA","1993-06-18","2026-05-02","Per=Y","Days=T","Dir=V")</f>
        <v>0</v>
      </c>
      <c r="AE2">
        <f>BDH("CMTL US Equity","NET_INCOME","1993-06-18","2026-05-02","Per=Y","Days=T","Dir=V")</f>
        <v>0</v>
      </c>
      <c r="AG2">
        <f>BDH("CMTL US Equity","IS_INT_EXPENSE","1993-06-18","2026-05-02","Per=Y","Days=T","Dir=V")</f>
        <v>0</v>
      </c>
      <c r="AI2">
        <f>BDH("CMTL US Equity","IS_DEPR_EXP","1993-06-18","2026-05-02","Per=Y","Days=T","Dir=V")</f>
        <v>0</v>
      </c>
      <c r="AK2">
        <f>BDH("CMTL US Equity","CF_CASH_FROM_OPER","1993-06-18","2026-05-02","Per=Y","Days=T","Dir=V")</f>
        <v>0</v>
      </c>
      <c r="AM2">
        <f>BDH("CMTL US Equity","CAPITAL_EXPEND","1993-06-18","2026-05-02","Per=Y","Days=T","Dir=V")</f>
        <v>0</v>
      </c>
      <c r="AO2">
        <f>BDH("CMTL US Equity","CF_FREE_CASH_FLOW","1993-06-18","2026-05-02","Per=Y","Days=T","Dir=V")</f>
        <v>0</v>
      </c>
      <c r="AQ2">
        <f>BDH("CMTL US Equity","PX_LAST","1993-06-18","2026-05-02","Per=M","Days=T","Dir=V")</f>
        <v>0</v>
      </c>
      <c r="AS2">
        <f>BDH("CMTL US Equity","CUR_MKT_CAP","1993-06-18","2026-05-02","Per=M","Days=T","Dir=V")</f>
        <v>0</v>
      </c>
      <c r="AU2">
        <f>BDH("CMTL US Equity","EQY_SH_OUT","1993-06-18","2026-05-02","Per=M","Days=T","Dir=V")</f>
        <v>0</v>
      </c>
      <c r="AW2">
        <f>BDH("CMTL US Equity","PX_VOLUME","1993-06-18","2026-05-02","Per=M","Days=T","Dir=V")</f>
        <v>0</v>
      </c>
      <c r="AY2">
        <f>BDH("CMTL US Equity","TURNOVER","1993-06-18","2026-05-02","Per=M","Days=T","Dir=V")</f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BDH("CNC US Equity","BS_TOT_ASSET","1993-06-18","2026-05-02","Per=Y","Days=T","Dir=V")</f>
        <v>0</v>
      </c>
      <c r="C2">
        <f>BDH("CNC US Equity","BS_TOT_LIAB2","1993-06-18","2026-05-02","Per=Y","Days=T","Dir=V")</f>
        <v>0</v>
      </c>
      <c r="E2">
        <f>BDH("CNC US Equity","SHORT_AND_LONG_TERM_DEBT","1993-06-18","2026-05-02","Per=Y","Days=T","Dir=V")</f>
        <v>0</v>
      </c>
      <c r="G2">
        <f>BDH("CNC US Equity","BS_ST_BORROW","1993-06-18","2026-05-02","Per=Y","Days=T","Dir=V")</f>
        <v>0</v>
      </c>
      <c r="I2">
        <f>BDH("CNC US Equity","BS_LT_BORROW","1993-06-18","2026-05-02","Per=Y","Days=T","Dir=V")</f>
        <v>0</v>
      </c>
      <c r="K2">
        <f>BDH("CNC US Equity","BS_CASH_NEAR_CASH_ITEM","1993-06-18","2026-05-02","Per=Y","Days=T","Dir=V")</f>
        <v>0</v>
      </c>
      <c r="M2">
        <f>BDH("CNC US Equity","BS_CUR_ASSET_REPORT","1993-06-18","2026-05-02","Per=Y","Days=T","Dir=V")</f>
        <v>0</v>
      </c>
      <c r="O2">
        <f>BDH("CNC US Equity","BS_CUR_LIAB","1993-06-18","2026-05-02","Per=Y","Days=T","Dir=V")</f>
        <v>0</v>
      </c>
      <c r="Q2">
        <f>BDH("CNC US Equity","BS_SHAREHOLDER_EQY_ENDING_PERIOD","1993-06-18","2026-05-02","Per=Y","Days=T","Dir=V")</f>
        <v>0</v>
      </c>
      <c r="S2">
        <f>BDH("CNC US Equity","BS_ACCT_NOTE_RCV","1993-06-18","2026-05-02","Per=Y","Days=T","Dir=V")</f>
        <v>0</v>
      </c>
      <c r="U2">
        <f>BDH("CNC US Equity","BS_INVENTORIES","1993-06-18","2026-05-02","Per=Y","Days=T","Dir=V")</f>
        <v>0</v>
      </c>
      <c r="W2">
        <f>BDH("CNC US Equity","WORKING_CAPITAL","1993-06-18","2026-05-02","Per=Y","Days=T","Dir=V")</f>
        <v>0</v>
      </c>
      <c r="Y2">
        <f>BDH("CNC US Equity","SALES_REV_TURN","1993-06-18","2026-05-02","Per=Y","Days=T","Dir=V")</f>
        <v>0</v>
      </c>
      <c r="AA2">
        <f>BDH("CNC US Equity","EBIT","1993-06-18","2026-05-02","Per=Y","Days=T","Dir=V")</f>
        <v>0</v>
      </c>
      <c r="AC2">
        <f>BDH("CNC US Equity","EBITDA","1993-06-18","2026-05-02","Per=Y","Days=T","Dir=V")</f>
        <v>0</v>
      </c>
      <c r="AE2">
        <f>BDH("CNC US Equity","NET_INCOME","1993-06-18","2026-05-02","Per=Y","Days=T","Dir=V")</f>
        <v>0</v>
      </c>
      <c r="AG2">
        <f>BDH("CNC US Equity","IS_INT_EXPENSE","1993-06-18","2026-05-02","Per=Y","Days=T","Dir=V")</f>
        <v>0</v>
      </c>
      <c r="AI2">
        <f>BDH("CNC US Equity","IS_DEPR_EXP","1993-06-18","2026-05-02","Per=Y","Days=T","Dir=V")</f>
        <v>0</v>
      </c>
      <c r="AK2">
        <f>BDH("CNC US Equity","CF_CASH_FROM_OPER","1993-06-18","2026-05-02","Per=Y","Days=T","Dir=V")</f>
        <v>0</v>
      </c>
      <c r="AM2">
        <f>BDH("CNC US Equity","CAPITAL_EXPEND","1993-06-18","2026-05-02","Per=Y","Days=T","Dir=V")</f>
        <v>0</v>
      </c>
      <c r="AO2">
        <f>BDH("CNC US Equity","CF_FREE_CASH_FLOW","1993-06-18","2026-05-02","Per=Y","Days=T","Dir=V")</f>
        <v>0</v>
      </c>
      <c r="AQ2">
        <f>BDH("CNC US Equity","PX_LAST","1993-06-18","2026-05-02","Per=M","Days=T","Dir=V")</f>
        <v>0</v>
      </c>
      <c r="AS2">
        <f>BDH("CNC US Equity","CUR_MKT_CAP","1993-06-18","2026-05-02","Per=M","Days=T","Dir=V")</f>
        <v>0</v>
      </c>
      <c r="AU2">
        <f>BDH("CNC US Equity","EQY_SH_OUT","1993-06-18","2026-05-02","Per=M","Days=T","Dir=V")</f>
        <v>0</v>
      </c>
      <c r="AW2">
        <f>BDH("CNC US Equity","PX_VOLUME","1993-06-18","2026-05-02","Per=M","Days=T","Dir=V")</f>
        <v>0</v>
      </c>
      <c r="AY2">
        <f>BDH("CNC US Equity","TURNOVER","1993-06-18","2026-05-02","Per=M","Days=T","Dir=V")</f>
        <v>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BDH("CNDT US Equity","BS_TOT_ASSET","1993-06-18","2026-05-02","Per=Y","Days=T","Dir=V")</f>
        <v>0</v>
      </c>
      <c r="C2">
        <f>BDH("CNDT US Equity","BS_TOT_LIAB2","1993-06-18","2026-05-02","Per=Y","Days=T","Dir=V")</f>
        <v>0</v>
      </c>
      <c r="E2">
        <f>BDH("CNDT US Equity","SHORT_AND_LONG_TERM_DEBT","1993-06-18","2026-05-02","Per=Y","Days=T","Dir=V")</f>
        <v>0</v>
      </c>
      <c r="G2">
        <f>BDH("CNDT US Equity","BS_ST_BORROW","1993-06-18","2026-05-02","Per=Y","Days=T","Dir=V")</f>
        <v>0</v>
      </c>
      <c r="I2">
        <f>BDH("CNDT US Equity","BS_LT_BORROW","1993-06-18","2026-05-02","Per=Y","Days=T","Dir=V")</f>
        <v>0</v>
      </c>
      <c r="K2">
        <f>BDH("CNDT US Equity","BS_CASH_NEAR_CASH_ITEM","1993-06-18","2026-05-02","Per=Y","Days=T","Dir=V")</f>
        <v>0</v>
      </c>
      <c r="M2">
        <f>BDH("CNDT US Equity","BS_CUR_ASSET_REPORT","1993-06-18","2026-05-02","Per=Y","Days=T","Dir=V")</f>
        <v>0</v>
      </c>
      <c r="O2">
        <f>BDH("CNDT US Equity","BS_CUR_LIAB","1993-06-18","2026-05-02","Per=Y","Days=T","Dir=V")</f>
        <v>0</v>
      </c>
      <c r="Q2">
        <f>BDH("CNDT US Equity","BS_SHAREHOLDER_EQY_ENDING_PERIOD","1993-06-18","2026-05-02","Per=Y","Days=T","Dir=V")</f>
        <v>0</v>
      </c>
      <c r="S2">
        <f>BDH("CNDT US Equity","BS_ACCT_NOTE_RCV","1993-06-18","2026-05-02","Per=Y","Days=T","Dir=V")</f>
        <v>0</v>
      </c>
      <c r="U2">
        <f>BDH("CNDT US Equity","BS_INVENTORIES","1993-06-18","2026-05-02","Per=Y","Days=T","Dir=V")</f>
        <v>0</v>
      </c>
      <c r="W2">
        <f>BDH("CNDT US Equity","WORKING_CAPITAL","1993-06-18","2026-05-02","Per=Y","Days=T","Dir=V")</f>
        <v>0</v>
      </c>
      <c r="Y2">
        <f>BDH("CNDT US Equity","SALES_REV_TURN","1993-06-18","2026-05-02","Per=Y","Days=T","Dir=V")</f>
        <v>0</v>
      </c>
      <c r="AA2">
        <f>BDH("CNDT US Equity","EBIT","1993-06-18","2026-05-02","Per=Y","Days=T","Dir=V")</f>
        <v>0</v>
      </c>
      <c r="AC2">
        <f>BDH("CNDT US Equity","EBITDA","1993-06-18","2026-05-02","Per=Y","Days=T","Dir=V")</f>
        <v>0</v>
      </c>
      <c r="AE2">
        <f>BDH("CNDT US Equity","NET_INCOME","1993-06-18","2026-05-02","Per=Y","Days=T","Dir=V")</f>
        <v>0</v>
      </c>
      <c r="AG2">
        <f>BDH("CNDT US Equity","IS_INT_EXPENSE","1993-06-18","2026-05-02","Per=Y","Days=T","Dir=V")</f>
        <v>0</v>
      </c>
      <c r="AI2">
        <f>BDH("CNDT US Equity","IS_DEPR_EXP","1993-06-18","2026-05-02","Per=Y","Days=T","Dir=V")</f>
        <v>0</v>
      </c>
      <c r="AK2">
        <f>BDH("CNDT US Equity","CF_CASH_FROM_OPER","1993-06-18","2026-05-02","Per=Y","Days=T","Dir=V")</f>
        <v>0</v>
      </c>
      <c r="AM2">
        <f>BDH("CNDT US Equity","CAPITAL_EXPEND","1993-06-18","2026-05-02","Per=Y","Days=T","Dir=V")</f>
        <v>0</v>
      </c>
      <c r="AO2">
        <f>BDH("CNDT US Equity","CF_FREE_CASH_FLOW","1993-06-18","2026-05-02","Per=Y","Days=T","Dir=V")</f>
        <v>0</v>
      </c>
      <c r="AQ2">
        <f>BDH("CNDT US Equity","PX_LAST","1993-06-18","2026-05-02","Per=M","Days=T","Dir=V")</f>
        <v>0</v>
      </c>
      <c r="AS2">
        <f>BDH("CNDT US Equity","CUR_MKT_CAP","1993-06-18","2026-05-02","Per=M","Days=T","Dir=V")</f>
        <v>0</v>
      </c>
      <c r="AU2">
        <f>BDH("CNDT US Equity","EQY_SH_OUT","1993-06-18","2026-05-02","Per=M","Days=T","Dir=V")</f>
        <v>0</v>
      </c>
      <c r="AW2">
        <f>BDH("CNDT US Equity","PX_VOLUME","1993-06-18","2026-05-02","Per=M","Days=T","Dir=V")</f>
        <v>0</v>
      </c>
      <c r="AY2">
        <f>BDH("CNDT US Equity","TURNOVER","1993-06-18","2026-05-02","Per=M","Days=T","Dir=V")</f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BDH("CNK US Equity","BS_TOT_ASSET","1993-06-18","2026-05-02","Per=Y","Days=T","Dir=V")</f>
        <v>0</v>
      </c>
      <c r="C2">
        <f>BDH("CNK US Equity","BS_TOT_LIAB2","1993-06-18","2026-05-02","Per=Y","Days=T","Dir=V")</f>
        <v>0</v>
      </c>
      <c r="E2">
        <f>BDH("CNK US Equity","SHORT_AND_LONG_TERM_DEBT","1993-06-18","2026-05-02","Per=Y","Days=T","Dir=V")</f>
        <v>0</v>
      </c>
      <c r="G2">
        <f>BDH("CNK US Equity","BS_ST_BORROW","1993-06-18","2026-05-02","Per=Y","Days=T","Dir=V")</f>
        <v>0</v>
      </c>
      <c r="I2">
        <f>BDH("CNK US Equity","BS_LT_BORROW","1993-06-18","2026-05-02","Per=Y","Days=T","Dir=V")</f>
        <v>0</v>
      </c>
      <c r="K2">
        <f>BDH("CNK US Equity","BS_CASH_NEAR_CASH_ITEM","1993-06-18","2026-05-02","Per=Y","Days=T","Dir=V")</f>
        <v>0</v>
      </c>
      <c r="M2">
        <f>BDH("CNK US Equity","BS_CUR_ASSET_REPORT","1993-06-18","2026-05-02","Per=Y","Days=T","Dir=V")</f>
        <v>0</v>
      </c>
      <c r="O2">
        <f>BDH("CNK US Equity","BS_CUR_LIAB","1993-06-18","2026-05-02","Per=Y","Days=T","Dir=V")</f>
        <v>0</v>
      </c>
      <c r="Q2">
        <f>BDH("CNK US Equity","BS_SHAREHOLDER_EQY_ENDING_PERIOD","1993-06-18","2026-05-02","Per=Y","Days=T","Dir=V")</f>
        <v>0</v>
      </c>
      <c r="S2">
        <f>BDH("CNK US Equity","BS_ACCT_NOTE_RCV","1993-06-18","2026-05-02","Per=Y","Days=T","Dir=V")</f>
        <v>0</v>
      </c>
      <c r="U2">
        <f>BDH("CNK US Equity","BS_INVENTORIES","1993-06-18","2026-05-02","Per=Y","Days=T","Dir=V")</f>
        <v>0</v>
      </c>
      <c r="W2">
        <f>BDH("CNK US Equity","WORKING_CAPITAL","1993-06-18","2026-05-02","Per=Y","Days=T","Dir=V")</f>
        <v>0</v>
      </c>
      <c r="Y2">
        <f>BDH("CNK US Equity","SALES_REV_TURN","1993-06-18","2026-05-02","Per=Y","Days=T","Dir=V")</f>
        <v>0</v>
      </c>
      <c r="AA2">
        <f>BDH("CNK US Equity","EBIT","1993-06-18","2026-05-02","Per=Y","Days=T","Dir=V")</f>
        <v>0</v>
      </c>
      <c r="AC2">
        <f>BDH("CNK US Equity","EBITDA","1993-06-18","2026-05-02","Per=Y","Days=T","Dir=V")</f>
        <v>0</v>
      </c>
      <c r="AE2">
        <f>BDH("CNK US Equity","NET_INCOME","1993-06-18","2026-05-02","Per=Y","Days=T","Dir=V")</f>
        <v>0</v>
      </c>
      <c r="AG2">
        <f>BDH("CNK US Equity","IS_INT_EXPENSE","1993-06-18","2026-05-02","Per=Y","Days=T","Dir=V")</f>
        <v>0</v>
      </c>
      <c r="AI2">
        <f>BDH("CNK US Equity","IS_DEPR_EXP","1993-06-18","2026-05-02","Per=Y","Days=T","Dir=V")</f>
        <v>0</v>
      </c>
      <c r="AK2">
        <f>BDH("CNK US Equity","CF_CASH_FROM_OPER","1993-06-18","2026-05-02","Per=Y","Days=T","Dir=V")</f>
        <v>0</v>
      </c>
      <c r="AM2">
        <f>BDH("CNK US Equity","CAPITAL_EXPEND","1993-06-18","2026-05-02","Per=Y","Days=T","Dir=V")</f>
        <v>0</v>
      </c>
      <c r="AO2">
        <f>BDH("CNK US Equity","CF_FREE_CASH_FLOW","1993-06-18","2026-05-02","Per=Y","Days=T","Dir=V")</f>
        <v>0</v>
      </c>
      <c r="AQ2">
        <f>BDH("CNK US Equity","PX_LAST","1993-06-18","2026-05-02","Per=M","Days=T","Dir=V")</f>
        <v>0</v>
      </c>
      <c r="AS2">
        <f>BDH("CNK US Equity","CUR_MKT_CAP","1993-06-18","2026-05-02","Per=M","Days=T","Dir=V")</f>
        <v>0</v>
      </c>
      <c r="AU2">
        <f>BDH("CNK US Equity","EQY_SH_OUT","1993-06-18","2026-05-02","Per=M","Days=T","Dir=V")</f>
        <v>0</v>
      </c>
      <c r="AW2">
        <f>BDH("CNK US Equity","PX_VOLUME","1993-06-18","2026-05-02","Per=M","Days=T","Dir=V")</f>
        <v>0</v>
      </c>
      <c r="AY2">
        <f>BDH("CNK US Equity","TURNOVER","1993-06-18","2026-05-02","Per=M","Days=T","Dir=V")</f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BDH("CNM US Equity","BS_TOT_ASSET","1993-06-18","2026-05-02","Per=Y","Days=T","Dir=V")</f>
        <v>0</v>
      </c>
      <c r="C2">
        <f>BDH("CNM US Equity","BS_TOT_LIAB2","1993-06-18","2026-05-02","Per=Y","Days=T","Dir=V")</f>
        <v>0</v>
      </c>
      <c r="E2">
        <f>BDH("CNM US Equity","SHORT_AND_LONG_TERM_DEBT","1993-06-18","2026-05-02","Per=Y","Days=T","Dir=V")</f>
        <v>0</v>
      </c>
      <c r="G2">
        <f>BDH("CNM US Equity","BS_ST_BORROW","1993-06-18","2026-05-02","Per=Y","Days=T","Dir=V")</f>
        <v>0</v>
      </c>
      <c r="I2">
        <f>BDH("CNM US Equity","BS_LT_BORROW","1993-06-18","2026-05-02","Per=Y","Days=T","Dir=V")</f>
        <v>0</v>
      </c>
      <c r="K2">
        <f>BDH("CNM US Equity","BS_CASH_NEAR_CASH_ITEM","1993-06-18","2026-05-02","Per=Y","Days=T","Dir=V")</f>
        <v>0</v>
      </c>
      <c r="M2">
        <f>BDH("CNM US Equity","BS_CUR_ASSET_REPORT","1993-06-18","2026-05-02","Per=Y","Days=T","Dir=V")</f>
        <v>0</v>
      </c>
      <c r="O2">
        <f>BDH("CNM US Equity","BS_CUR_LIAB","1993-06-18","2026-05-02","Per=Y","Days=T","Dir=V")</f>
        <v>0</v>
      </c>
      <c r="Q2">
        <f>BDH("CNM US Equity","BS_SHAREHOLDER_EQY_ENDING_PERIOD","1993-06-18","2026-05-02","Per=Y","Days=T","Dir=V")</f>
        <v>0</v>
      </c>
      <c r="S2">
        <f>BDH("CNM US Equity","BS_ACCT_NOTE_RCV","1993-06-18","2026-05-02","Per=Y","Days=T","Dir=V")</f>
        <v>0</v>
      </c>
      <c r="U2">
        <f>BDH("CNM US Equity","BS_INVENTORIES","1993-06-18","2026-05-02","Per=Y","Days=T","Dir=V")</f>
        <v>0</v>
      </c>
      <c r="W2">
        <f>BDH("CNM US Equity","WORKING_CAPITAL","1993-06-18","2026-05-02","Per=Y","Days=T","Dir=V")</f>
        <v>0</v>
      </c>
      <c r="Y2">
        <f>BDH("CNM US Equity","SALES_REV_TURN","1993-06-18","2026-05-02","Per=Y","Days=T","Dir=V")</f>
        <v>0</v>
      </c>
      <c r="AA2">
        <f>BDH("CNM US Equity","EBIT","1993-06-18","2026-05-02","Per=Y","Days=T","Dir=V")</f>
        <v>0</v>
      </c>
      <c r="AC2">
        <f>BDH("CNM US Equity","EBITDA","1993-06-18","2026-05-02","Per=Y","Days=T","Dir=V")</f>
        <v>0</v>
      </c>
      <c r="AE2">
        <f>BDH("CNM US Equity","NET_INCOME","1993-06-18","2026-05-02","Per=Y","Days=T","Dir=V")</f>
        <v>0</v>
      </c>
      <c r="AG2">
        <f>BDH("CNM US Equity","IS_INT_EXPENSE","1993-06-18","2026-05-02","Per=Y","Days=T","Dir=V")</f>
        <v>0</v>
      </c>
      <c r="AI2">
        <f>BDH("CNM US Equity","IS_DEPR_EXP","1993-06-18","2026-05-02","Per=Y","Days=T","Dir=V")</f>
        <v>0</v>
      </c>
      <c r="AK2">
        <f>BDH("CNM US Equity","CF_CASH_FROM_OPER","1993-06-18","2026-05-02","Per=Y","Days=T","Dir=V")</f>
        <v>0</v>
      </c>
      <c r="AM2">
        <f>BDH("CNM US Equity","CAPITAL_EXPEND","1993-06-18","2026-05-02","Per=Y","Days=T","Dir=V")</f>
        <v>0</v>
      </c>
      <c r="AO2">
        <f>BDH("CNM US Equity","CF_FREE_CASH_FLOW","1993-06-18","2026-05-02","Per=Y","Days=T","Dir=V")</f>
        <v>0</v>
      </c>
      <c r="AQ2">
        <f>BDH("CNM US Equity","PX_LAST","1993-06-18","2026-05-02","Per=M","Days=T","Dir=V")</f>
        <v>0</v>
      </c>
      <c r="AS2">
        <f>BDH("CNM US Equity","CUR_MKT_CAP","1993-06-18","2026-05-02","Per=M","Days=T","Dir=V")</f>
        <v>0</v>
      </c>
      <c r="AU2">
        <f>BDH("CNM US Equity","EQY_SH_OUT","1993-06-18","2026-05-02","Per=M","Days=T","Dir=V")</f>
        <v>0</v>
      </c>
      <c r="AW2">
        <f>BDH("CNM US Equity","PX_VOLUME","1993-06-18","2026-05-02","Per=M","Days=T","Dir=V")</f>
        <v>0</v>
      </c>
      <c r="AY2">
        <f>BDH("CNM US Equity","TURNOVER","1993-06-18","2026-05-02","Per=M","Days=T","Dir=V")</f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BDH("CNMD US Equity","BS_TOT_ASSET","1993-06-18","2026-05-02","Per=Y","Days=T","Dir=V")</f>
        <v>0</v>
      </c>
      <c r="C2">
        <f>BDH("CNMD US Equity","BS_TOT_LIAB2","1993-06-18","2026-05-02","Per=Y","Days=T","Dir=V")</f>
        <v>0</v>
      </c>
      <c r="E2">
        <f>BDH("CNMD US Equity","SHORT_AND_LONG_TERM_DEBT","1993-06-18","2026-05-02","Per=Y","Days=T","Dir=V")</f>
        <v>0</v>
      </c>
      <c r="G2">
        <f>BDH("CNMD US Equity","BS_ST_BORROW","1993-06-18","2026-05-02","Per=Y","Days=T","Dir=V")</f>
        <v>0</v>
      </c>
      <c r="I2">
        <f>BDH("CNMD US Equity","BS_LT_BORROW","1993-06-18","2026-05-02","Per=Y","Days=T","Dir=V")</f>
        <v>0</v>
      </c>
      <c r="K2">
        <f>BDH("CNMD US Equity","BS_CASH_NEAR_CASH_ITEM","1993-06-18","2026-05-02","Per=Y","Days=T","Dir=V")</f>
        <v>0</v>
      </c>
      <c r="M2">
        <f>BDH("CNMD US Equity","BS_CUR_ASSET_REPORT","1993-06-18","2026-05-02","Per=Y","Days=T","Dir=V")</f>
        <v>0</v>
      </c>
      <c r="O2">
        <f>BDH("CNMD US Equity","BS_CUR_LIAB","1993-06-18","2026-05-02","Per=Y","Days=T","Dir=V")</f>
        <v>0</v>
      </c>
      <c r="Q2">
        <f>BDH("CNMD US Equity","BS_SHAREHOLDER_EQY_ENDING_PERIOD","1993-06-18","2026-05-02","Per=Y","Days=T","Dir=V")</f>
        <v>0</v>
      </c>
      <c r="S2">
        <f>BDH("CNMD US Equity","BS_ACCT_NOTE_RCV","1993-06-18","2026-05-02","Per=Y","Days=T","Dir=V")</f>
        <v>0</v>
      </c>
      <c r="U2">
        <f>BDH("CNMD US Equity","BS_INVENTORIES","1993-06-18","2026-05-02","Per=Y","Days=T","Dir=V")</f>
        <v>0</v>
      </c>
      <c r="W2">
        <f>BDH("CNMD US Equity","WORKING_CAPITAL","1993-06-18","2026-05-02","Per=Y","Days=T","Dir=V")</f>
        <v>0</v>
      </c>
      <c r="Y2">
        <f>BDH("CNMD US Equity","SALES_REV_TURN","1993-06-18","2026-05-02","Per=Y","Days=T","Dir=V")</f>
        <v>0</v>
      </c>
      <c r="AA2">
        <f>BDH("CNMD US Equity","EBIT","1993-06-18","2026-05-02","Per=Y","Days=T","Dir=V")</f>
        <v>0</v>
      </c>
      <c r="AC2">
        <f>BDH("CNMD US Equity","EBITDA","1993-06-18","2026-05-02","Per=Y","Days=T","Dir=V")</f>
        <v>0</v>
      </c>
      <c r="AE2">
        <f>BDH("CNMD US Equity","NET_INCOME","1993-06-18","2026-05-02","Per=Y","Days=T","Dir=V")</f>
        <v>0</v>
      </c>
      <c r="AG2">
        <f>BDH("CNMD US Equity","IS_INT_EXPENSE","1993-06-18","2026-05-02","Per=Y","Days=T","Dir=V")</f>
        <v>0</v>
      </c>
      <c r="AI2">
        <f>BDH("CNMD US Equity","IS_DEPR_EXP","1993-06-18","2026-05-02","Per=Y","Days=T","Dir=V")</f>
        <v>0</v>
      </c>
      <c r="AK2">
        <f>BDH("CNMD US Equity","CF_CASH_FROM_OPER","1993-06-18","2026-05-02","Per=Y","Days=T","Dir=V")</f>
        <v>0</v>
      </c>
      <c r="AM2">
        <f>BDH("CNMD US Equity","CAPITAL_EXPEND","1993-06-18","2026-05-02","Per=Y","Days=T","Dir=V")</f>
        <v>0</v>
      </c>
      <c r="AO2">
        <f>BDH("CNMD US Equity","CF_FREE_CASH_FLOW","1993-06-18","2026-05-02","Per=Y","Days=T","Dir=V")</f>
        <v>0</v>
      </c>
      <c r="AQ2">
        <f>BDH("CNMD US Equity","PX_LAST","1993-06-18","2026-05-02","Per=M","Days=T","Dir=V")</f>
        <v>0</v>
      </c>
      <c r="AS2">
        <f>BDH("CNMD US Equity","CUR_MKT_CAP","1993-06-18","2026-05-02","Per=M","Days=T","Dir=V")</f>
        <v>0</v>
      </c>
      <c r="AU2">
        <f>BDH("CNMD US Equity","EQY_SH_OUT","1993-06-18","2026-05-02","Per=M","Days=T","Dir=V")</f>
        <v>0</v>
      </c>
      <c r="AW2">
        <f>BDH("CNMD US Equity","PX_VOLUME","1993-06-18","2026-05-02","Per=M","Days=T","Dir=V")</f>
        <v>0</v>
      </c>
      <c r="AY2">
        <f>BDH("CNMD US Equity","TURNOVER","1993-06-18","2026-05-02","Per=M","Days=T","Dir=V")</f>
        <v>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BDH("CNNE US Equity","BS_TOT_ASSET","1993-06-18","2026-05-02","Per=Y","Days=T","Dir=V")</f>
        <v>0</v>
      </c>
      <c r="C2">
        <f>BDH("CNNE US Equity","BS_TOT_LIAB2","1993-06-18","2026-05-02","Per=Y","Days=T","Dir=V")</f>
        <v>0</v>
      </c>
      <c r="E2">
        <f>BDH("CNNE US Equity","SHORT_AND_LONG_TERM_DEBT","1993-06-18","2026-05-02","Per=Y","Days=T","Dir=V")</f>
        <v>0</v>
      </c>
      <c r="G2">
        <f>BDH("CNNE US Equity","BS_ST_BORROW","1993-06-18","2026-05-02","Per=Y","Days=T","Dir=V")</f>
        <v>0</v>
      </c>
      <c r="I2">
        <f>BDH("CNNE US Equity","BS_LT_BORROW","1993-06-18","2026-05-02","Per=Y","Days=T","Dir=V")</f>
        <v>0</v>
      </c>
      <c r="K2">
        <f>BDH("CNNE US Equity","BS_CASH_NEAR_CASH_ITEM","1993-06-18","2026-05-02","Per=Y","Days=T","Dir=V")</f>
        <v>0</v>
      </c>
      <c r="M2">
        <f>BDH("CNNE US Equity","BS_CUR_ASSET_REPORT","1993-06-18","2026-05-02","Per=Y","Days=T","Dir=V")</f>
        <v>0</v>
      </c>
      <c r="O2">
        <f>BDH("CNNE US Equity","BS_CUR_LIAB","1993-06-18","2026-05-02","Per=Y","Days=T","Dir=V")</f>
        <v>0</v>
      </c>
      <c r="Q2">
        <f>BDH("CNNE US Equity","BS_SHAREHOLDER_EQY_ENDING_PERIOD","1993-06-18","2026-05-02","Per=Y","Days=T","Dir=V")</f>
        <v>0</v>
      </c>
      <c r="S2">
        <f>BDH("CNNE US Equity","BS_ACCT_NOTE_RCV","1993-06-18","2026-05-02","Per=Y","Days=T","Dir=V")</f>
        <v>0</v>
      </c>
      <c r="U2">
        <f>BDH("CNNE US Equity","BS_INVENTORIES","1993-06-18","2026-05-02","Per=Y","Days=T","Dir=V")</f>
        <v>0</v>
      </c>
      <c r="W2">
        <f>BDH("CNNE US Equity","WORKING_CAPITAL","1993-06-18","2026-05-02","Per=Y","Days=T","Dir=V")</f>
        <v>0</v>
      </c>
      <c r="Y2">
        <f>BDH("CNNE US Equity","SALES_REV_TURN","1993-06-18","2026-05-02","Per=Y","Days=T","Dir=V")</f>
        <v>0</v>
      </c>
      <c r="AA2">
        <f>BDH("CNNE US Equity","EBIT","1993-06-18","2026-05-02","Per=Y","Days=T","Dir=V")</f>
        <v>0</v>
      </c>
      <c r="AC2">
        <f>BDH("CNNE US Equity","EBITDA","1993-06-18","2026-05-02","Per=Y","Days=T","Dir=V")</f>
        <v>0</v>
      </c>
      <c r="AE2">
        <f>BDH("CNNE US Equity","NET_INCOME","1993-06-18","2026-05-02","Per=Y","Days=T","Dir=V")</f>
        <v>0</v>
      </c>
      <c r="AG2">
        <f>BDH("CNNE US Equity","IS_INT_EXPENSE","1993-06-18","2026-05-02","Per=Y","Days=T","Dir=V")</f>
        <v>0</v>
      </c>
      <c r="AI2">
        <f>BDH("CNNE US Equity","IS_DEPR_EXP","1993-06-18","2026-05-02","Per=Y","Days=T","Dir=V")</f>
        <v>0</v>
      </c>
      <c r="AK2">
        <f>BDH("CNNE US Equity","CF_CASH_FROM_OPER","1993-06-18","2026-05-02","Per=Y","Days=T","Dir=V")</f>
        <v>0</v>
      </c>
      <c r="AM2">
        <f>BDH("CNNE US Equity","CAPITAL_EXPEND","1993-06-18","2026-05-02","Per=Y","Days=T","Dir=V")</f>
        <v>0</v>
      </c>
      <c r="AO2">
        <f>BDH("CNNE US Equity","CF_FREE_CASH_FLOW","1993-06-18","2026-05-02","Per=Y","Days=T","Dir=V")</f>
        <v>0</v>
      </c>
      <c r="AQ2">
        <f>BDH("CNNE US Equity","PX_LAST","1993-06-18","2026-05-02","Per=M","Days=T","Dir=V")</f>
        <v>0</v>
      </c>
      <c r="AS2">
        <f>BDH("CNNE US Equity","CUR_MKT_CAP","1993-06-18","2026-05-02","Per=M","Days=T","Dir=V")</f>
        <v>0</v>
      </c>
      <c r="AU2">
        <f>BDH("CNNE US Equity","EQY_SH_OUT","1993-06-18","2026-05-02","Per=M","Days=T","Dir=V")</f>
        <v>0</v>
      </c>
      <c r="AW2">
        <f>BDH("CNNE US Equity","PX_VOLUME","1993-06-18","2026-05-02","Per=M","Days=T","Dir=V")</f>
        <v>0</v>
      </c>
      <c r="AY2">
        <f>BDH("CNNE US Equity","TURNOVER","1993-06-18","2026-05-02","Per=M","Days=T","Dir=V")</f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BDH("CNP US Equity","BS_TOT_ASSET","1993-06-18","2026-05-02","Per=Y","Days=T","Dir=V")</f>
        <v>0</v>
      </c>
      <c r="C2">
        <f>BDH("CNP US Equity","BS_TOT_LIAB2","1993-06-18","2026-05-02","Per=Y","Days=T","Dir=V")</f>
        <v>0</v>
      </c>
      <c r="E2">
        <f>BDH("CNP US Equity","SHORT_AND_LONG_TERM_DEBT","1993-06-18","2026-05-02","Per=Y","Days=T","Dir=V")</f>
        <v>0</v>
      </c>
      <c r="G2">
        <f>BDH("CNP US Equity","BS_ST_BORROW","1993-06-18","2026-05-02","Per=Y","Days=T","Dir=V")</f>
        <v>0</v>
      </c>
      <c r="I2">
        <f>BDH("CNP US Equity","BS_LT_BORROW","1993-06-18","2026-05-02","Per=Y","Days=T","Dir=V")</f>
        <v>0</v>
      </c>
      <c r="K2">
        <f>BDH("CNP US Equity","BS_CASH_NEAR_CASH_ITEM","1993-06-18","2026-05-02","Per=Y","Days=T","Dir=V")</f>
        <v>0</v>
      </c>
      <c r="M2">
        <f>BDH("CNP US Equity","BS_CUR_ASSET_REPORT","1993-06-18","2026-05-02","Per=Y","Days=T","Dir=V")</f>
        <v>0</v>
      </c>
      <c r="O2">
        <f>BDH("CNP US Equity","BS_CUR_LIAB","1993-06-18","2026-05-02","Per=Y","Days=T","Dir=V")</f>
        <v>0</v>
      </c>
      <c r="Q2">
        <f>BDH("CNP US Equity","BS_SHAREHOLDER_EQY_ENDING_PERIOD","1993-06-18","2026-05-02","Per=Y","Days=T","Dir=V")</f>
        <v>0</v>
      </c>
      <c r="S2">
        <f>BDH("CNP US Equity","BS_ACCT_NOTE_RCV","1993-06-18","2026-05-02","Per=Y","Days=T","Dir=V")</f>
        <v>0</v>
      </c>
      <c r="U2">
        <f>BDH("CNP US Equity","BS_INVENTORIES","1993-06-18","2026-05-02","Per=Y","Days=T","Dir=V")</f>
        <v>0</v>
      </c>
      <c r="W2">
        <f>BDH("CNP US Equity","WORKING_CAPITAL","1993-06-18","2026-05-02","Per=Y","Days=T","Dir=V")</f>
        <v>0</v>
      </c>
      <c r="Y2">
        <f>BDH("CNP US Equity","SALES_REV_TURN","1993-06-18","2026-05-02","Per=Y","Days=T","Dir=V")</f>
        <v>0</v>
      </c>
      <c r="AA2">
        <f>BDH("CNP US Equity","EBIT","1993-06-18","2026-05-02","Per=Y","Days=T","Dir=V")</f>
        <v>0</v>
      </c>
      <c r="AC2">
        <f>BDH("CNP US Equity","EBITDA","1993-06-18","2026-05-02","Per=Y","Days=T","Dir=V")</f>
        <v>0</v>
      </c>
      <c r="AE2">
        <f>BDH("CNP US Equity","NET_INCOME","1993-06-18","2026-05-02","Per=Y","Days=T","Dir=V")</f>
        <v>0</v>
      </c>
      <c r="AG2">
        <f>BDH("CNP US Equity","IS_INT_EXPENSE","1993-06-18","2026-05-02","Per=Y","Days=T","Dir=V")</f>
        <v>0</v>
      </c>
      <c r="AI2">
        <f>BDH("CNP US Equity","IS_DEPR_EXP","1993-06-18","2026-05-02","Per=Y","Days=T","Dir=V")</f>
        <v>0</v>
      </c>
      <c r="AK2">
        <f>BDH("CNP US Equity","CF_CASH_FROM_OPER","1993-06-18","2026-05-02","Per=Y","Days=T","Dir=V")</f>
        <v>0</v>
      </c>
      <c r="AM2">
        <f>BDH("CNP US Equity","CAPITAL_EXPEND","1993-06-18","2026-05-02","Per=Y","Days=T","Dir=V")</f>
        <v>0</v>
      </c>
      <c r="AO2">
        <f>BDH("CNP US Equity","CF_FREE_CASH_FLOW","1993-06-18","2026-05-02","Per=Y","Days=T","Dir=V")</f>
        <v>0</v>
      </c>
      <c r="AQ2">
        <f>BDH("CNP US Equity","PX_LAST","1993-06-18","2026-05-02","Per=M","Days=T","Dir=V")</f>
        <v>0</v>
      </c>
      <c r="AS2">
        <f>BDH("CNP US Equity","CUR_MKT_CAP","1993-06-18","2026-05-02","Per=M","Days=T","Dir=V")</f>
        <v>0</v>
      </c>
      <c r="AU2">
        <f>BDH("CNP US Equity","EQY_SH_OUT","1993-06-18","2026-05-02","Per=M","Days=T","Dir=V")</f>
        <v>0</v>
      </c>
      <c r="AW2">
        <f>BDH("CNP US Equity","PX_VOLUME","1993-06-18","2026-05-02","Per=M","Days=T","Dir=V")</f>
        <v>0</v>
      </c>
      <c r="AY2">
        <f>BDH("CNP US Equity","TURNOVER","1993-06-18","2026-05-02","Per=M","Days=T","Dir=V")</f>
        <v>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BDH("CNR US Equity","BS_TOT_ASSET","1993-06-18","2026-05-02","Per=Y","Days=T","Dir=V")</f>
        <v>0</v>
      </c>
      <c r="C2">
        <f>BDH("CNR US Equity","BS_TOT_LIAB2","1993-06-18","2026-05-02","Per=Y","Days=T","Dir=V")</f>
        <v>0</v>
      </c>
      <c r="E2">
        <f>BDH("CNR US Equity","SHORT_AND_LONG_TERM_DEBT","1993-06-18","2026-05-02","Per=Y","Days=T","Dir=V")</f>
        <v>0</v>
      </c>
      <c r="G2">
        <f>BDH("CNR US Equity","BS_ST_BORROW","1993-06-18","2026-05-02","Per=Y","Days=T","Dir=V")</f>
        <v>0</v>
      </c>
      <c r="I2">
        <f>BDH("CNR US Equity","BS_LT_BORROW","1993-06-18","2026-05-02","Per=Y","Days=T","Dir=V")</f>
        <v>0</v>
      </c>
      <c r="K2">
        <f>BDH("CNR US Equity","BS_CASH_NEAR_CASH_ITEM","1993-06-18","2026-05-02","Per=Y","Days=T","Dir=V")</f>
        <v>0</v>
      </c>
      <c r="M2">
        <f>BDH("CNR US Equity","BS_CUR_ASSET_REPORT","1993-06-18","2026-05-02","Per=Y","Days=T","Dir=V")</f>
        <v>0</v>
      </c>
      <c r="O2">
        <f>BDH("CNR US Equity","BS_CUR_LIAB","1993-06-18","2026-05-02","Per=Y","Days=T","Dir=V")</f>
        <v>0</v>
      </c>
      <c r="Q2">
        <f>BDH("CNR US Equity","BS_SHAREHOLDER_EQY_ENDING_PERIOD","1993-06-18","2026-05-02","Per=Y","Days=T","Dir=V")</f>
        <v>0</v>
      </c>
      <c r="S2">
        <f>BDH("CNR US Equity","BS_ACCT_NOTE_RCV","1993-06-18","2026-05-02","Per=Y","Days=T","Dir=V")</f>
        <v>0</v>
      </c>
      <c r="U2">
        <f>BDH("CNR US Equity","BS_INVENTORIES","1993-06-18","2026-05-02","Per=Y","Days=T","Dir=V")</f>
        <v>0</v>
      </c>
      <c r="W2">
        <f>BDH("CNR US Equity","WORKING_CAPITAL","1993-06-18","2026-05-02","Per=Y","Days=T","Dir=V")</f>
        <v>0</v>
      </c>
      <c r="Y2">
        <f>BDH("CNR US Equity","SALES_REV_TURN","1993-06-18","2026-05-02","Per=Y","Days=T","Dir=V")</f>
        <v>0</v>
      </c>
      <c r="AA2">
        <f>BDH("CNR US Equity","EBIT","1993-06-18","2026-05-02","Per=Y","Days=T","Dir=V")</f>
        <v>0</v>
      </c>
      <c r="AC2">
        <f>BDH("CNR US Equity","EBITDA","1993-06-18","2026-05-02","Per=Y","Days=T","Dir=V")</f>
        <v>0</v>
      </c>
      <c r="AE2">
        <f>BDH("CNR US Equity","NET_INCOME","1993-06-18","2026-05-02","Per=Y","Days=T","Dir=V")</f>
        <v>0</v>
      </c>
      <c r="AG2">
        <f>BDH("CNR US Equity","IS_INT_EXPENSE","1993-06-18","2026-05-02","Per=Y","Days=T","Dir=V")</f>
        <v>0</v>
      </c>
      <c r="AI2">
        <f>BDH("CNR US Equity","IS_DEPR_EXP","1993-06-18","2026-05-02","Per=Y","Days=T","Dir=V")</f>
        <v>0</v>
      </c>
      <c r="AK2">
        <f>BDH("CNR US Equity","CF_CASH_FROM_OPER","1993-06-18","2026-05-02","Per=Y","Days=T","Dir=V")</f>
        <v>0</v>
      </c>
      <c r="AM2">
        <f>BDH("CNR US Equity","CAPITAL_EXPEND","1993-06-18","2026-05-02","Per=Y","Days=T","Dir=V")</f>
        <v>0</v>
      </c>
      <c r="AO2">
        <f>BDH("CNR US Equity","CF_FREE_CASH_FLOW","1993-06-18","2026-05-02","Per=Y","Days=T","Dir=V")</f>
        <v>0</v>
      </c>
      <c r="AQ2">
        <f>BDH("CNR US Equity","PX_LAST","1993-06-18","2026-05-02","Per=M","Days=T","Dir=V")</f>
        <v>0</v>
      </c>
      <c r="AS2">
        <f>BDH("CNR US Equity","CUR_MKT_CAP","1993-06-18","2026-05-02","Per=M","Days=T","Dir=V")</f>
        <v>0</v>
      </c>
      <c r="AU2">
        <f>BDH("CNR US Equity","EQY_SH_OUT","1993-06-18","2026-05-02","Per=M","Days=T","Dir=V")</f>
        <v>0</v>
      </c>
      <c r="AW2">
        <f>BDH("CNR US Equity","PX_VOLUME","1993-06-18","2026-05-02","Per=M","Days=T","Dir=V")</f>
        <v>0</v>
      </c>
      <c r="AY2">
        <f>BDH("CNR US Equity","TURNOVER","1993-06-18","2026-05-02","Per=M","Days=T","Dir=V")</f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BDH("CNSP US Equity","BS_TOT_ASSET","1993-06-18","2026-05-02","Per=Y","Days=T","Dir=V")</f>
        <v>0</v>
      </c>
      <c r="C2">
        <f>BDH("CNSP US Equity","BS_TOT_LIAB2","1993-06-18","2026-05-02","Per=Y","Days=T","Dir=V")</f>
        <v>0</v>
      </c>
      <c r="E2">
        <f>BDH("CNSP US Equity","SHORT_AND_LONG_TERM_DEBT","1993-06-18","2026-05-02","Per=Y","Days=T","Dir=V")</f>
        <v>0</v>
      </c>
      <c r="G2">
        <f>BDH("CNSP US Equity","BS_ST_BORROW","1993-06-18","2026-05-02","Per=Y","Days=T","Dir=V")</f>
        <v>0</v>
      </c>
      <c r="I2">
        <f>BDH("CNSP US Equity","BS_LT_BORROW","1993-06-18","2026-05-02","Per=Y","Days=T","Dir=V")</f>
        <v>0</v>
      </c>
      <c r="K2">
        <f>BDH("CNSP US Equity","BS_CASH_NEAR_CASH_ITEM","1993-06-18","2026-05-02","Per=Y","Days=T","Dir=V")</f>
        <v>0</v>
      </c>
      <c r="M2">
        <f>BDH("CNSP US Equity","BS_CUR_ASSET_REPORT","1993-06-18","2026-05-02","Per=Y","Days=T","Dir=V")</f>
        <v>0</v>
      </c>
      <c r="O2">
        <f>BDH("CNSP US Equity","BS_CUR_LIAB","1993-06-18","2026-05-02","Per=Y","Days=T","Dir=V")</f>
        <v>0</v>
      </c>
      <c r="Q2">
        <f>BDH("CNSP US Equity","BS_SHAREHOLDER_EQY_ENDING_PERIOD","1993-06-18","2026-05-02","Per=Y","Days=T","Dir=V")</f>
        <v>0</v>
      </c>
      <c r="S2">
        <f>BDH("CNSP US Equity","BS_ACCT_NOTE_RCV","1993-06-18","2026-05-02","Per=Y","Days=T","Dir=V")</f>
        <v>0</v>
      </c>
      <c r="U2">
        <f>BDH("CNSP US Equity","BS_INVENTORIES","1993-06-18","2026-05-02","Per=Y","Days=T","Dir=V")</f>
        <v>0</v>
      </c>
      <c r="W2">
        <f>BDH("CNSP US Equity","WORKING_CAPITAL","1993-06-18","2026-05-02","Per=Y","Days=T","Dir=V")</f>
        <v>0</v>
      </c>
      <c r="Y2">
        <f>BDH("CNSP US Equity","SALES_REV_TURN","1993-06-18","2026-05-02","Per=Y","Days=T","Dir=V")</f>
        <v>0</v>
      </c>
      <c r="AA2">
        <f>BDH("CNSP US Equity","EBIT","1993-06-18","2026-05-02","Per=Y","Days=T","Dir=V")</f>
        <v>0</v>
      </c>
      <c r="AC2">
        <f>BDH("CNSP US Equity","EBITDA","1993-06-18","2026-05-02","Per=Y","Days=T","Dir=V")</f>
        <v>0</v>
      </c>
      <c r="AE2">
        <f>BDH("CNSP US Equity","NET_INCOME","1993-06-18","2026-05-02","Per=Y","Days=T","Dir=V")</f>
        <v>0</v>
      </c>
      <c r="AG2">
        <f>BDH("CNSP US Equity","IS_INT_EXPENSE","1993-06-18","2026-05-02","Per=Y","Days=T","Dir=V")</f>
        <v>0</v>
      </c>
      <c r="AI2">
        <f>BDH("CNSP US Equity","IS_DEPR_EXP","1993-06-18","2026-05-02","Per=Y","Days=T","Dir=V")</f>
        <v>0</v>
      </c>
      <c r="AK2">
        <f>BDH("CNSP US Equity","CF_CASH_FROM_OPER","1993-06-18","2026-05-02","Per=Y","Days=T","Dir=V")</f>
        <v>0</v>
      </c>
      <c r="AM2">
        <f>BDH("CNSP US Equity","CAPITAL_EXPEND","1993-06-18","2026-05-02","Per=Y","Days=T","Dir=V")</f>
        <v>0</v>
      </c>
      <c r="AO2">
        <f>BDH("CNSP US Equity","CF_FREE_CASH_FLOW","1993-06-18","2026-05-02","Per=Y","Days=T","Dir=V")</f>
        <v>0</v>
      </c>
      <c r="AQ2">
        <f>BDH("CNSP US Equity","PX_LAST","1993-06-18","2026-05-02","Per=M","Days=T","Dir=V")</f>
        <v>0</v>
      </c>
      <c r="AS2">
        <f>BDH("CNSP US Equity","CUR_MKT_CAP","1993-06-18","2026-05-02","Per=M","Days=T","Dir=V")</f>
        <v>0</v>
      </c>
      <c r="AU2">
        <f>BDH("CNSP US Equity","EQY_SH_OUT","1993-06-18","2026-05-02","Per=M","Days=T","Dir=V")</f>
        <v>0</v>
      </c>
      <c r="AW2">
        <f>BDH("CNSP US Equity","PX_VOLUME","1993-06-18","2026-05-02","Per=M","Days=T","Dir=V")</f>
        <v>0</v>
      </c>
      <c r="AY2">
        <f>BDH("CNSP US Equity","TURNOVER","1993-06-18","2026-05-02","Per=M","Days=T","Dir=V")</f>
        <v>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BDH("CNSY US Equity","BS_TOT_ASSET","1993-06-18","2026-05-02","Per=Y","Days=T","Dir=V")</f>
        <v>0</v>
      </c>
      <c r="C2">
        <f>BDH("CNSY US Equity","BS_TOT_LIAB2","1993-06-18","2026-05-02","Per=Y","Days=T","Dir=V")</f>
        <v>0</v>
      </c>
      <c r="E2">
        <f>BDH("CNSY US Equity","SHORT_AND_LONG_TERM_DEBT","1993-06-18","2026-05-02","Per=Y","Days=T","Dir=V")</f>
        <v>0</v>
      </c>
      <c r="G2">
        <f>BDH("CNSY US Equity","BS_ST_BORROW","1993-06-18","2026-05-02","Per=Y","Days=T","Dir=V")</f>
        <v>0</v>
      </c>
      <c r="I2">
        <f>BDH("CNSY US Equity","BS_LT_BORROW","1993-06-18","2026-05-02","Per=Y","Days=T","Dir=V")</f>
        <v>0</v>
      </c>
      <c r="K2">
        <f>BDH("CNSY US Equity","BS_CASH_NEAR_CASH_ITEM","1993-06-18","2026-05-02","Per=Y","Days=T","Dir=V")</f>
        <v>0</v>
      </c>
      <c r="M2">
        <f>BDH("CNSY US Equity","BS_CUR_ASSET_REPORT","1993-06-18","2026-05-02","Per=Y","Days=T","Dir=V")</f>
        <v>0</v>
      </c>
      <c r="O2">
        <f>BDH("CNSY US Equity","BS_CUR_LIAB","1993-06-18","2026-05-02","Per=Y","Days=T","Dir=V")</f>
        <v>0</v>
      </c>
      <c r="Q2">
        <f>BDH("CNSY US Equity","BS_SHAREHOLDER_EQY_ENDING_PERIOD","1993-06-18","2026-05-02","Per=Y","Days=T","Dir=V")</f>
        <v>0</v>
      </c>
      <c r="S2">
        <f>BDH("CNSY US Equity","BS_ACCT_NOTE_RCV","1993-06-18","2026-05-02","Per=Y","Days=T","Dir=V")</f>
        <v>0</v>
      </c>
      <c r="U2">
        <f>BDH("CNSY US Equity","BS_INVENTORIES","1993-06-18","2026-05-02","Per=Y","Days=T","Dir=V")</f>
        <v>0</v>
      </c>
      <c r="W2">
        <f>BDH("CNSY US Equity","WORKING_CAPITAL","1993-06-18","2026-05-02","Per=Y","Days=T","Dir=V")</f>
        <v>0</v>
      </c>
      <c r="Y2">
        <f>BDH("CNSY US Equity","SALES_REV_TURN","1993-06-18","2026-05-02","Per=Y","Days=T","Dir=V")</f>
        <v>0</v>
      </c>
      <c r="AA2">
        <f>BDH("CNSY US Equity","EBIT","1993-06-18","2026-05-02","Per=Y","Days=T","Dir=V")</f>
        <v>0</v>
      </c>
      <c r="AC2">
        <f>BDH("CNSY US Equity","EBITDA","1993-06-18","2026-05-02","Per=Y","Days=T","Dir=V")</f>
        <v>0</v>
      </c>
      <c r="AE2">
        <f>BDH("CNSY US Equity","NET_INCOME","1993-06-18","2026-05-02","Per=Y","Days=T","Dir=V")</f>
        <v>0</v>
      </c>
      <c r="AG2">
        <f>BDH("CNSY US Equity","IS_INT_EXPENSE","1993-06-18","2026-05-02","Per=Y","Days=T","Dir=V")</f>
        <v>0</v>
      </c>
      <c r="AI2">
        <f>BDH("CNSY US Equity","IS_DEPR_EXP","1993-06-18","2026-05-02","Per=Y","Days=T","Dir=V")</f>
        <v>0</v>
      </c>
      <c r="AK2">
        <f>BDH("CNSY US Equity","CF_CASH_FROM_OPER","1993-06-18","2026-05-02","Per=Y","Days=T","Dir=V")</f>
        <v>0</v>
      </c>
      <c r="AM2">
        <f>BDH("CNSY US Equity","CAPITAL_EXPEND","1993-06-18","2026-05-02","Per=Y","Days=T","Dir=V")</f>
        <v>0</v>
      </c>
      <c r="AO2">
        <f>BDH("CNSY US Equity","CF_FREE_CASH_FLOW","1993-06-18","2026-05-02","Per=Y","Days=T","Dir=V")</f>
        <v>0</v>
      </c>
      <c r="AQ2">
        <f>BDH("CNSY US Equity","PX_LAST","1993-06-18","2026-05-02","Per=M","Days=T","Dir=V")</f>
        <v>0</v>
      </c>
      <c r="AS2">
        <f>BDH("CNSY US Equity","CUR_MKT_CAP","1993-06-18","2026-05-02","Per=M","Days=T","Dir=V")</f>
        <v>0</v>
      </c>
      <c r="AU2">
        <f>BDH("CNSY US Equity","EQY_SH_OUT","1993-06-18","2026-05-02","Per=M","Days=T","Dir=V")</f>
        <v>0</v>
      </c>
      <c r="AW2">
        <f>BDH("CNSY US Equity","PX_VOLUME","1993-06-18","2026-05-02","Per=M","Days=T","Dir=V")</f>
        <v>0</v>
      </c>
      <c r="AY2">
        <f>BDH("CNSY US Equity","TURNOVER","1993-06-18","2026-05-02","Per=M","Days=T","Dir=V")</f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BDH("CNTN US Equity","BS_TOT_ASSET","1993-06-18","2026-05-02","Per=Y","Days=T","Dir=V")</f>
        <v>0</v>
      </c>
      <c r="C2">
        <f>BDH("CNTN US Equity","BS_TOT_LIAB2","1993-06-18","2026-05-02","Per=Y","Days=T","Dir=V")</f>
        <v>0</v>
      </c>
      <c r="E2">
        <f>BDH("CNTN US Equity","SHORT_AND_LONG_TERM_DEBT","1993-06-18","2026-05-02","Per=Y","Days=T","Dir=V")</f>
        <v>0</v>
      </c>
      <c r="G2">
        <f>BDH("CNTN US Equity","BS_ST_BORROW","1993-06-18","2026-05-02","Per=Y","Days=T","Dir=V")</f>
        <v>0</v>
      </c>
      <c r="I2">
        <f>BDH("CNTN US Equity","BS_LT_BORROW","1993-06-18","2026-05-02","Per=Y","Days=T","Dir=V")</f>
        <v>0</v>
      </c>
      <c r="K2">
        <f>BDH("CNTN US Equity","BS_CASH_NEAR_CASH_ITEM","1993-06-18","2026-05-02","Per=Y","Days=T","Dir=V")</f>
        <v>0</v>
      </c>
      <c r="M2">
        <f>BDH("CNTN US Equity","BS_CUR_ASSET_REPORT","1993-06-18","2026-05-02","Per=Y","Days=T","Dir=V")</f>
        <v>0</v>
      </c>
      <c r="O2">
        <f>BDH("CNTN US Equity","BS_CUR_LIAB","1993-06-18","2026-05-02","Per=Y","Days=T","Dir=V")</f>
        <v>0</v>
      </c>
      <c r="Q2">
        <f>BDH("CNTN US Equity","BS_SHAREHOLDER_EQY_ENDING_PERIOD","1993-06-18","2026-05-02","Per=Y","Days=T","Dir=V")</f>
        <v>0</v>
      </c>
      <c r="S2">
        <f>BDH("CNTN US Equity","BS_ACCT_NOTE_RCV","1993-06-18","2026-05-02","Per=Y","Days=T","Dir=V")</f>
        <v>0</v>
      </c>
      <c r="U2">
        <f>BDH("CNTN US Equity","BS_INVENTORIES","1993-06-18","2026-05-02","Per=Y","Days=T","Dir=V")</f>
        <v>0</v>
      </c>
      <c r="W2">
        <f>BDH("CNTN US Equity","WORKING_CAPITAL","1993-06-18","2026-05-02","Per=Y","Days=T","Dir=V")</f>
        <v>0</v>
      </c>
      <c r="Y2">
        <f>BDH("CNTN US Equity","SALES_REV_TURN","1993-06-18","2026-05-02","Per=Y","Days=T","Dir=V")</f>
        <v>0</v>
      </c>
      <c r="AA2">
        <f>BDH("CNTN US Equity","EBIT","1993-06-18","2026-05-02","Per=Y","Days=T","Dir=V")</f>
        <v>0</v>
      </c>
      <c r="AC2">
        <f>BDH("CNTN US Equity","EBITDA","1993-06-18","2026-05-02","Per=Y","Days=T","Dir=V")</f>
        <v>0</v>
      </c>
      <c r="AE2">
        <f>BDH("CNTN US Equity","NET_INCOME","1993-06-18","2026-05-02","Per=Y","Days=T","Dir=V")</f>
        <v>0</v>
      </c>
      <c r="AG2">
        <f>BDH("CNTN US Equity","IS_INT_EXPENSE","1993-06-18","2026-05-02","Per=Y","Days=T","Dir=V")</f>
        <v>0</v>
      </c>
      <c r="AI2">
        <f>BDH("CNTN US Equity","IS_DEPR_EXP","1993-06-18","2026-05-02","Per=Y","Days=T","Dir=V")</f>
        <v>0</v>
      </c>
      <c r="AK2">
        <f>BDH("CNTN US Equity","CF_CASH_FROM_OPER","1993-06-18","2026-05-02","Per=Y","Days=T","Dir=V")</f>
        <v>0</v>
      </c>
      <c r="AM2">
        <f>BDH("CNTN US Equity","CAPITAL_EXPEND","1993-06-18","2026-05-02","Per=Y","Days=T","Dir=V")</f>
        <v>0</v>
      </c>
      <c r="AO2">
        <f>BDH("CNTN US Equity","CF_FREE_CASH_FLOW","1993-06-18","2026-05-02","Per=Y","Days=T","Dir=V")</f>
        <v>0</v>
      </c>
      <c r="AQ2">
        <f>BDH("CNTN US Equity","PX_LAST","1993-06-18","2026-05-02","Per=M","Days=T","Dir=V")</f>
        <v>0</v>
      </c>
      <c r="AS2">
        <f>BDH("CNTN US Equity","CUR_MKT_CAP","1993-06-18","2026-05-02","Per=M","Days=T","Dir=V")</f>
        <v>0</v>
      </c>
      <c r="AU2">
        <f>BDH("CNTN US Equity","EQY_SH_OUT","1993-06-18","2026-05-02","Per=M","Days=T","Dir=V")</f>
        <v>0</v>
      </c>
      <c r="AW2">
        <f>BDH("CNTN US Equity","PX_VOLUME","1993-06-18","2026-05-02","Per=M","Days=T","Dir=V")</f>
        <v>0</v>
      </c>
      <c r="AY2">
        <f>BDH("CNTN US Equity","TURNOVER","1993-06-18","2026-05-02","Per=M","Days=T","Dir=V")</f>
        <v>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BDH("CNTX US Equity","BS_TOT_ASSET","1993-06-18","2026-05-02","Per=Y","Days=T","Dir=V")</f>
        <v>0</v>
      </c>
      <c r="C2">
        <f>BDH("CNTX US Equity","BS_TOT_LIAB2","1993-06-18","2026-05-02","Per=Y","Days=T","Dir=V")</f>
        <v>0</v>
      </c>
      <c r="E2">
        <f>BDH("CNTX US Equity","SHORT_AND_LONG_TERM_DEBT","1993-06-18","2026-05-02","Per=Y","Days=T","Dir=V")</f>
        <v>0</v>
      </c>
      <c r="G2">
        <f>BDH("CNTX US Equity","BS_ST_BORROW","1993-06-18","2026-05-02","Per=Y","Days=T","Dir=V")</f>
        <v>0</v>
      </c>
      <c r="I2">
        <f>BDH("CNTX US Equity","BS_LT_BORROW","1993-06-18","2026-05-02","Per=Y","Days=T","Dir=V")</f>
        <v>0</v>
      </c>
      <c r="K2">
        <f>BDH("CNTX US Equity","BS_CASH_NEAR_CASH_ITEM","1993-06-18","2026-05-02","Per=Y","Days=T","Dir=V")</f>
        <v>0</v>
      </c>
      <c r="M2">
        <f>BDH("CNTX US Equity","BS_CUR_ASSET_REPORT","1993-06-18","2026-05-02","Per=Y","Days=T","Dir=V")</f>
        <v>0</v>
      </c>
      <c r="O2">
        <f>BDH("CNTX US Equity","BS_CUR_LIAB","1993-06-18","2026-05-02","Per=Y","Days=T","Dir=V")</f>
        <v>0</v>
      </c>
      <c r="Q2">
        <f>BDH("CNTX US Equity","BS_SHAREHOLDER_EQY_ENDING_PERIOD","1993-06-18","2026-05-02","Per=Y","Days=T","Dir=V")</f>
        <v>0</v>
      </c>
      <c r="S2">
        <f>BDH("CNTX US Equity","BS_ACCT_NOTE_RCV","1993-06-18","2026-05-02","Per=Y","Days=T","Dir=V")</f>
        <v>0</v>
      </c>
      <c r="U2">
        <f>BDH("CNTX US Equity","BS_INVENTORIES","1993-06-18","2026-05-02","Per=Y","Days=T","Dir=V")</f>
        <v>0</v>
      </c>
      <c r="W2">
        <f>BDH("CNTX US Equity","WORKING_CAPITAL","1993-06-18","2026-05-02","Per=Y","Days=T","Dir=V")</f>
        <v>0</v>
      </c>
      <c r="Y2">
        <f>BDH("CNTX US Equity","SALES_REV_TURN","1993-06-18","2026-05-02","Per=Y","Days=T","Dir=V")</f>
        <v>0</v>
      </c>
      <c r="AA2">
        <f>BDH("CNTX US Equity","EBIT","1993-06-18","2026-05-02","Per=Y","Days=T","Dir=V")</f>
        <v>0</v>
      </c>
      <c r="AC2">
        <f>BDH("CNTX US Equity","EBITDA","1993-06-18","2026-05-02","Per=Y","Days=T","Dir=V")</f>
        <v>0</v>
      </c>
      <c r="AE2">
        <f>BDH("CNTX US Equity","NET_INCOME","1993-06-18","2026-05-02","Per=Y","Days=T","Dir=V")</f>
        <v>0</v>
      </c>
      <c r="AG2">
        <f>BDH("CNTX US Equity","IS_INT_EXPENSE","1993-06-18","2026-05-02","Per=Y","Days=T","Dir=V")</f>
        <v>0</v>
      </c>
      <c r="AI2">
        <f>BDH("CNTX US Equity","IS_DEPR_EXP","1993-06-18","2026-05-02","Per=Y","Days=T","Dir=V")</f>
        <v>0</v>
      </c>
      <c r="AK2">
        <f>BDH("CNTX US Equity","CF_CASH_FROM_OPER","1993-06-18","2026-05-02","Per=Y","Days=T","Dir=V")</f>
        <v>0</v>
      </c>
      <c r="AM2">
        <f>BDH("CNTX US Equity","CAPITAL_EXPEND","1993-06-18","2026-05-02","Per=Y","Days=T","Dir=V")</f>
        <v>0</v>
      </c>
      <c r="AO2">
        <f>BDH("CNTX US Equity","CF_FREE_CASH_FLOW","1993-06-18","2026-05-02","Per=Y","Days=T","Dir=V")</f>
        <v>0</v>
      </c>
      <c r="AQ2">
        <f>BDH("CNTX US Equity","PX_LAST","1993-06-18","2026-05-02","Per=M","Days=T","Dir=V")</f>
        <v>0</v>
      </c>
      <c r="AS2">
        <f>BDH("CNTX US Equity","CUR_MKT_CAP","1993-06-18","2026-05-02","Per=M","Days=T","Dir=V")</f>
        <v>0</v>
      </c>
      <c r="AU2">
        <f>BDH("CNTX US Equity","EQY_SH_OUT","1993-06-18","2026-05-02","Per=M","Days=T","Dir=V")</f>
        <v>0</v>
      </c>
      <c r="AW2">
        <f>BDH("CNTX US Equity","PX_VOLUME","1993-06-18","2026-05-02","Per=M","Days=T","Dir=V")</f>
        <v>0</v>
      </c>
      <c r="AY2">
        <f>BDH("CNTX US Equity","TURNOVER","1993-06-18","2026-05-02","Per=M","Days=T","Dir=V")</f>
        <v>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BDH("CNTY US Equity","BS_TOT_ASSET","1993-06-18","2026-05-02","Per=Y","Days=T","Dir=V")</f>
        <v>0</v>
      </c>
      <c r="C2">
        <f>BDH("CNTY US Equity","BS_TOT_LIAB2","1993-06-18","2026-05-02","Per=Y","Days=T","Dir=V")</f>
        <v>0</v>
      </c>
      <c r="E2">
        <f>BDH("CNTY US Equity","SHORT_AND_LONG_TERM_DEBT","1993-06-18","2026-05-02","Per=Y","Days=T","Dir=V")</f>
        <v>0</v>
      </c>
      <c r="G2">
        <f>BDH("CNTY US Equity","BS_ST_BORROW","1993-06-18","2026-05-02","Per=Y","Days=T","Dir=V")</f>
        <v>0</v>
      </c>
      <c r="I2">
        <f>BDH("CNTY US Equity","BS_LT_BORROW","1993-06-18","2026-05-02","Per=Y","Days=T","Dir=V")</f>
        <v>0</v>
      </c>
      <c r="K2">
        <f>BDH("CNTY US Equity","BS_CASH_NEAR_CASH_ITEM","1993-06-18","2026-05-02","Per=Y","Days=T","Dir=V")</f>
        <v>0</v>
      </c>
      <c r="M2">
        <f>BDH("CNTY US Equity","BS_CUR_ASSET_REPORT","1993-06-18","2026-05-02","Per=Y","Days=T","Dir=V")</f>
        <v>0</v>
      </c>
      <c r="O2">
        <f>BDH("CNTY US Equity","BS_CUR_LIAB","1993-06-18","2026-05-02","Per=Y","Days=T","Dir=V")</f>
        <v>0</v>
      </c>
      <c r="Q2">
        <f>BDH("CNTY US Equity","BS_SHAREHOLDER_EQY_ENDING_PERIOD","1993-06-18","2026-05-02","Per=Y","Days=T","Dir=V")</f>
        <v>0</v>
      </c>
      <c r="S2">
        <f>BDH("CNTY US Equity","BS_ACCT_NOTE_RCV","1993-06-18","2026-05-02","Per=Y","Days=T","Dir=V")</f>
        <v>0</v>
      </c>
      <c r="U2">
        <f>BDH("CNTY US Equity","BS_INVENTORIES","1993-06-18","2026-05-02","Per=Y","Days=T","Dir=V")</f>
        <v>0</v>
      </c>
      <c r="W2">
        <f>BDH("CNTY US Equity","WORKING_CAPITAL","1993-06-18","2026-05-02","Per=Y","Days=T","Dir=V")</f>
        <v>0</v>
      </c>
      <c r="Y2">
        <f>BDH("CNTY US Equity","SALES_REV_TURN","1993-06-18","2026-05-02","Per=Y","Days=T","Dir=V")</f>
        <v>0</v>
      </c>
      <c r="AA2">
        <f>BDH("CNTY US Equity","EBIT","1993-06-18","2026-05-02","Per=Y","Days=T","Dir=V")</f>
        <v>0</v>
      </c>
      <c r="AC2">
        <f>BDH("CNTY US Equity","EBITDA","1993-06-18","2026-05-02","Per=Y","Days=T","Dir=V")</f>
        <v>0</v>
      </c>
      <c r="AE2">
        <f>BDH("CNTY US Equity","NET_INCOME","1993-06-18","2026-05-02","Per=Y","Days=T","Dir=V")</f>
        <v>0</v>
      </c>
      <c r="AG2">
        <f>BDH("CNTY US Equity","IS_INT_EXPENSE","1993-06-18","2026-05-02","Per=Y","Days=T","Dir=V")</f>
        <v>0</v>
      </c>
      <c r="AI2">
        <f>BDH("CNTY US Equity","IS_DEPR_EXP","1993-06-18","2026-05-02","Per=Y","Days=T","Dir=V")</f>
        <v>0</v>
      </c>
      <c r="AK2">
        <f>BDH("CNTY US Equity","CF_CASH_FROM_OPER","1993-06-18","2026-05-02","Per=Y","Days=T","Dir=V")</f>
        <v>0</v>
      </c>
      <c r="AM2">
        <f>BDH("CNTY US Equity","CAPITAL_EXPEND","1993-06-18","2026-05-02","Per=Y","Days=T","Dir=V")</f>
        <v>0</v>
      </c>
      <c r="AO2">
        <f>BDH("CNTY US Equity","CF_FREE_CASH_FLOW","1993-06-18","2026-05-02","Per=Y","Days=T","Dir=V")</f>
        <v>0</v>
      </c>
      <c r="AQ2">
        <f>BDH("CNTY US Equity","PX_LAST","1993-06-18","2026-05-02","Per=M","Days=T","Dir=V")</f>
        <v>0</v>
      </c>
      <c r="AS2">
        <f>BDH("CNTY US Equity","CUR_MKT_CAP","1993-06-18","2026-05-02","Per=M","Days=T","Dir=V")</f>
        <v>0</v>
      </c>
      <c r="AU2">
        <f>BDH("CNTY US Equity","EQY_SH_OUT","1993-06-18","2026-05-02","Per=M","Days=T","Dir=V")</f>
        <v>0</v>
      </c>
      <c r="AW2">
        <f>BDH("CNTY US Equity","PX_VOLUME","1993-06-18","2026-05-02","Per=M","Days=T","Dir=V")</f>
        <v>0</v>
      </c>
      <c r="AY2">
        <f>BDH("CNTY US Equity","TURNOVER","1993-06-18","2026-05-02","Per=M","Days=T","Dir=V")</f>
        <v>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BDH("CNVS US Equity","BS_TOT_ASSET","1993-06-18","2026-05-02","Per=Y","Days=T","Dir=V")</f>
        <v>0</v>
      </c>
      <c r="C2">
        <f>BDH("CNVS US Equity","BS_TOT_LIAB2","1993-06-18","2026-05-02","Per=Y","Days=T","Dir=V")</f>
        <v>0</v>
      </c>
      <c r="E2">
        <f>BDH("CNVS US Equity","SHORT_AND_LONG_TERM_DEBT","1993-06-18","2026-05-02","Per=Y","Days=T","Dir=V")</f>
        <v>0</v>
      </c>
      <c r="G2">
        <f>BDH("CNVS US Equity","BS_ST_BORROW","1993-06-18","2026-05-02","Per=Y","Days=T","Dir=V")</f>
        <v>0</v>
      </c>
      <c r="I2">
        <f>BDH("CNVS US Equity","BS_LT_BORROW","1993-06-18","2026-05-02","Per=Y","Days=T","Dir=V")</f>
        <v>0</v>
      </c>
      <c r="K2">
        <f>BDH("CNVS US Equity","BS_CASH_NEAR_CASH_ITEM","1993-06-18","2026-05-02","Per=Y","Days=T","Dir=V")</f>
        <v>0</v>
      </c>
      <c r="M2">
        <f>BDH("CNVS US Equity","BS_CUR_ASSET_REPORT","1993-06-18","2026-05-02","Per=Y","Days=T","Dir=V")</f>
        <v>0</v>
      </c>
      <c r="O2">
        <f>BDH("CNVS US Equity","BS_CUR_LIAB","1993-06-18","2026-05-02","Per=Y","Days=T","Dir=V")</f>
        <v>0</v>
      </c>
      <c r="Q2">
        <f>BDH("CNVS US Equity","BS_SHAREHOLDER_EQY_ENDING_PERIOD","1993-06-18","2026-05-02","Per=Y","Days=T","Dir=V")</f>
        <v>0</v>
      </c>
      <c r="S2">
        <f>BDH("CNVS US Equity","BS_ACCT_NOTE_RCV","1993-06-18","2026-05-02","Per=Y","Days=T","Dir=V")</f>
        <v>0</v>
      </c>
      <c r="U2">
        <f>BDH("CNVS US Equity","BS_INVENTORIES","1993-06-18","2026-05-02","Per=Y","Days=T","Dir=V")</f>
        <v>0</v>
      </c>
      <c r="W2">
        <f>BDH("CNVS US Equity","WORKING_CAPITAL","1993-06-18","2026-05-02","Per=Y","Days=T","Dir=V")</f>
        <v>0</v>
      </c>
      <c r="Y2">
        <f>BDH("CNVS US Equity","SALES_REV_TURN","1993-06-18","2026-05-02","Per=Y","Days=T","Dir=V")</f>
        <v>0</v>
      </c>
      <c r="AA2">
        <f>BDH("CNVS US Equity","EBIT","1993-06-18","2026-05-02","Per=Y","Days=T","Dir=V")</f>
        <v>0</v>
      </c>
      <c r="AC2">
        <f>BDH("CNVS US Equity","EBITDA","1993-06-18","2026-05-02","Per=Y","Days=T","Dir=V")</f>
        <v>0</v>
      </c>
      <c r="AE2">
        <f>BDH("CNVS US Equity","NET_INCOME","1993-06-18","2026-05-02","Per=Y","Days=T","Dir=V")</f>
        <v>0</v>
      </c>
      <c r="AG2">
        <f>BDH("CNVS US Equity","IS_INT_EXPENSE","1993-06-18","2026-05-02","Per=Y","Days=T","Dir=V")</f>
        <v>0</v>
      </c>
      <c r="AI2">
        <f>BDH("CNVS US Equity","IS_DEPR_EXP","1993-06-18","2026-05-02","Per=Y","Days=T","Dir=V")</f>
        <v>0</v>
      </c>
      <c r="AK2">
        <f>BDH("CNVS US Equity","CF_CASH_FROM_OPER","1993-06-18","2026-05-02","Per=Y","Days=T","Dir=V")</f>
        <v>0</v>
      </c>
      <c r="AM2">
        <f>BDH("CNVS US Equity","CAPITAL_EXPEND","1993-06-18","2026-05-02","Per=Y","Days=T","Dir=V")</f>
        <v>0</v>
      </c>
      <c r="AO2">
        <f>BDH("CNVS US Equity","CF_FREE_CASH_FLOW","1993-06-18","2026-05-02","Per=Y","Days=T","Dir=V")</f>
        <v>0</v>
      </c>
      <c r="AQ2">
        <f>BDH("CNVS US Equity","PX_LAST","1993-06-18","2026-05-02","Per=M","Days=T","Dir=V")</f>
        <v>0</v>
      </c>
      <c r="AS2">
        <f>BDH("CNVS US Equity","CUR_MKT_CAP","1993-06-18","2026-05-02","Per=M","Days=T","Dir=V")</f>
        <v>0</v>
      </c>
      <c r="AU2">
        <f>BDH("CNVS US Equity","EQY_SH_OUT","1993-06-18","2026-05-02","Per=M","Days=T","Dir=V")</f>
        <v>0</v>
      </c>
      <c r="AW2">
        <f>BDH("CNVS US Equity","PX_VOLUME","1993-06-18","2026-05-02","Per=M","Days=T","Dir=V")</f>
        <v>0</v>
      </c>
      <c r="AY2">
        <f>BDH("CNVS US Equity","TURNOVER","1993-06-18","2026-05-02","Per=M","Days=T","Dir=V")</f>
        <v>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BDH("CNX US Equity","BS_TOT_ASSET","1993-06-18","2026-05-02","Per=Y","Days=T","Dir=V")</f>
        <v>0</v>
      </c>
      <c r="C2">
        <f>BDH("CNX US Equity","BS_TOT_LIAB2","1993-06-18","2026-05-02","Per=Y","Days=T","Dir=V")</f>
        <v>0</v>
      </c>
      <c r="E2">
        <f>BDH("CNX US Equity","SHORT_AND_LONG_TERM_DEBT","1993-06-18","2026-05-02","Per=Y","Days=T","Dir=V")</f>
        <v>0</v>
      </c>
      <c r="G2">
        <f>BDH("CNX US Equity","BS_ST_BORROW","1993-06-18","2026-05-02","Per=Y","Days=T","Dir=V")</f>
        <v>0</v>
      </c>
      <c r="I2">
        <f>BDH("CNX US Equity","BS_LT_BORROW","1993-06-18","2026-05-02","Per=Y","Days=T","Dir=V")</f>
        <v>0</v>
      </c>
      <c r="K2">
        <f>BDH("CNX US Equity","BS_CASH_NEAR_CASH_ITEM","1993-06-18","2026-05-02","Per=Y","Days=T","Dir=V")</f>
        <v>0</v>
      </c>
      <c r="M2">
        <f>BDH("CNX US Equity","BS_CUR_ASSET_REPORT","1993-06-18","2026-05-02","Per=Y","Days=T","Dir=V")</f>
        <v>0</v>
      </c>
      <c r="O2">
        <f>BDH("CNX US Equity","BS_CUR_LIAB","1993-06-18","2026-05-02","Per=Y","Days=T","Dir=V")</f>
        <v>0</v>
      </c>
      <c r="Q2">
        <f>BDH("CNX US Equity","BS_SHAREHOLDER_EQY_ENDING_PERIOD","1993-06-18","2026-05-02","Per=Y","Days=T","Dir=V")</f>
        <v>0</v>
      </c>
      <c r="S2">
        <f>BDH("CNX US Equity","BS_ACCT_NOTE_RCV","1993-06-18","2026-05-02","Per=Y","Days=T","Dir=V")</f>
        <v>0</v>
      </c>
      <c r="U2">
        <f>BDH("CNX US Equity","BS_INVENTORIES","1993-06-18","2026-05-02","Per=Y","Days=T","Dir=V")</f>
        <v>0</v>
      </c>
      <c r="W2">
        <f>BDH("CNX US Equity","WORKING_CAPITAL","1993-06-18","2026-05-02","Per=Y","Days=T","Dir=V")</f>
        <v>0</v>
      </c>
      <c r="Y2">
        <f>BDH("CNX US Equity","SALES_REV_TURN","1993-06-18","2026-05-02","Per=Y","Days=T","Dir=V")</f>
        <v>0</v>
      </c>
      <c r="AA2">
        <f>BDH("CNX US Equity","EBIT","1993-06-18","2026-05-02","Per=Y","Days=T","Dir=V")</f>
        <v>0</v>
      </c>
      <c r="AC2">
        <f>BDH("CNX US Equity","EBITDA","1993-06-18","2026-05-02","Per=Y","Days=T","Dir=V")</f>
        <v>0</v>
      </c>
      <c r="AE2">
        <f>BDH("CNX US Equity","NET_INCOME","1993-06-18","2026-05-02","Per=Y","Days=T","Dir=V")</f>
        <v>0</v>
      </c>
      <c r="AG2">
        <f>BDH("CNX US Equity","IS_INT_EXPENSE","1993-06-18","2026-05-02","Per=Y","Days=T","Dir=V")</f>
        <v>0</v>
      </c>
      <c r="AI2">
        <f>BDH("CNX US Equity","IS_DEPR_EXP","1993-06-18","2026-05-02","Per=Y","Days=T","Dir=V")</f>
        <v>0</v>
      </c>
      <c r="AK2">
        <f>BDH("CNX US Equity","CF_CASH_FROM_OPER","1993-06-18","2026-05-02","Per=Y","Days=T","Dir=V")</f>
        <v>0</v>
      </c>
      <c r="AM2">
        <f>BDH("CNX US Equity","CAPITAL_EXPEND","1993-06-18","2026-05-02","Per=Y","Days=T","Dir=V")</f>
        <v>0</v>
      </c>
      <c r="AO2">
        <f>BDH("CNX US Equity","CF_FREE_CASH_FLOW","1993-06-18","2026-05-02","Per=Y","Days=T","Dir=V")</f>
        <v>0</v>
      </c>
      <c r="AQ2">
        <f>BDH("CNX US Equity","PX_LAST","1993-06-18","2026-05-02","Per=M","Days=T","Dir=V")</f>
        <v>0</v>
      </c>
      <c r="AS2">
        <f>BDH("CNX US Equity","CUR_MKT_CAP","1993-06-18","2026-05-02","Per=M","Days=T","Dir=V")</f>
        <v>0</v>
      </c>
      <c r="AU2">
        <f>BDH("CNX US Equity","EQY_SH_OUT","1993-06-18","2026-05-02","Per=M","Days=T","Dir=V")</f>
        <v>0</v>
      </c>
      <c r="AW2">
        <f>BDH("CNX US Equity","PX_VOLUME","1993-06-18","2026-05-02","Per=M","Days=T","Dir=V")</f>
        <v>0</v>
      </c>
      <c r="AY2">
        <f>BDH("CNX US Equity","TURNOVER","1993-06-18","2026-05-02","Per=M","Days=T","Dir=V")</f>
        <v>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BDH("CNXC US Equity","BS_TOT_ASSET","1993-06-18","2026-05-02","Per=Y","Days=T","Dir=V")</f>
        <v>0</v>
      </c>
      <c r="C2">
        <f>BDH("CNXC US Equity","BS_TOT_LIAB2","1993-06-18","2026-05-02","Per=Y","Days=T","Dir=V")</f>
        <v>0</v>
      </c>
      <c r="E2">
        <f>BDH("CNXC US Equity","SHORT_AND_LONG_TERM_DEBT","1993-06-18","2026-05-02","Per=Y","Days=T","Dir=V")</f>
        <v>0</v>
      </c>
      <c r="G2">
        <f>BDH("CNXC US Equity","BS_ST_BORROW","1993-06-18","2026-05-02","Per=Y","Days=T","Dir=V")</f>
        <v>0</v>
      </c>
      <c r="I2">
        <f>BDH("CNXC US Equity","BS_LT_BORROW","1993-06-18","2026-05-02","Per=Y","Days=T","Dir=V")</f>
        <v>0</v>
      </c>
      <c r="K2">
        <f>BDH("CNXC US Equity","BS_CASH_NEAR_CASH_ITEM","1993-06-18","2026-05-02","Per=Y","Days=T","Dir=V")</f>
        <v>0</v>
      </c>
      <c r="M2">
        <f>BDH("CNXC US Equity","BS_CUR_ASSET_REPORT","1993-06-18","2026-05-02","Per=Y","Days=T","Dir=V")</f>
        <v>0</v>
      </c>
      <c r="O2">
        <f>BDH("CNXC US Equity","BS_CUR_LIAB","1993-06-18","2026-05-02","Per=Y","Days=T","Dir=V")</f>
        <v>0</v>
      </c>
      <c r="Q2">
        <f>BDH("CNXC US Equity","BS_SHAREHOLDER_EQY_ENDING_PERIOD","1993-06-18","2026-05-02","Per=Y","Days=T","Dir=V")</f>
        <v>0</v>
      </c>
      <c r="S2">
        <f>BDH("CNXC US Equity","BS_ACCT_NOTE_RCV","1993-06-18","2026-05-02","Per=Y","Days=T","Dir=V")</f>
        <v>0</v>
      </c>
      <c r="U2">
        <f>BDH("CNXC US Equity","BS_INVENTORIES","1993-06-18","2026-05-02","Per=Y","Days=T","Dir=V")</f>
        <v>0</v>
      </c>
      <c r="W2">
        <f>BDH("CNXC US Equity","WORKING_CAPITAL","1993-06-18","2026-05-02","Per=Y","Days=T","Dir=V")</f>
        <v>0</v>
      </c>
      <c r="Y2">
        <f>BDH("CNXC US Equity","SALES_REV_TURN","1993-06-18","2026-05-02","Per=Y","Days=T","Dir=V")</f>
        <v>0</v>
      </c>
      <c r="AA2">
        <f>BDH("CNXC US Equity","EBIT","1993-06-18","2026-05-02","Per=Y","Days=T","Dir=V")</f>
        <v>0</v>
      </c>
      <c r="AC2">
        <f>BDH("CNXC US Equity","EBITDA","1993-06-18","2026-05-02","Per=Y","Days=T","Dir=V")</f>
        <v>0</v>
      </c>
      <c r="AE2">
        <f>BDH("CNXC US Equity","NET_INCOME","1993-06-18","2026-05-02","Per=Y","Days=T","Dir=V")</f>
        <v>0</v>
      </c>
      <c r="AG2">
        <f>BDH("CNXC US Equity","IS_INT_EXPENSE","1993-06-18","2026-05-02","Per=Y","Days=T","Dir=V")</f>
        <v>0</v>
      </c>
      <c r="AI2">
        <f>BDH("CNXC US Equity","IS_DEPR_EXP","1993-06-18","2026-05-02","Per=Y","Days=T","Dir=V")</f>
        <v>0</v>
      </c>
      <c r="AK2">
        <f>BDH("CNXC US Equity","CF_CASH_FROM_OPER","1993-06-18","2026-05-02","Per=Y","Days=T","Dir=V")</f>
        <v>0</v>
      </c>
      <c r="AM2">
        <f>BDH("CNXC US Equity","CAPITAL_EXPEND","1993-06-18","2026-05-02","Per=Y","Days=T","Dir=V")</f>
        <v>0</v>
      </c>
      <c r="AO2">
        <f>BDH("CNXC US Equity","CF_FREE_CASH_FLOW","1993-06-18","2026-05-02","Per=Y","Days=T","Dir=V")</f>
        <v>0</v>
      </c>
      <c r="AQ2">
        <f>BDH("CNXC US Equity","PX_LAST","1993-06-18","2026-05-02","Per=M","Days=T","Dir=V")</f>
        <v>0</v>
      </c>
      <c r="AS2">
        <f>BDH("CNXC US Equity","CUR_MKT_CAP","1993-06-18","2026-05-02","Per=M","Days=T","Dir=V")</f>
        <v>0</v>
      </c>
      <c r="AU2">
        <f>BDH("CNXC US Equity","EQY_SH_OUT","1993-06-18","2026-05-02","Per=M","Days=T","Dir=V")</f>
        <v>0</v>
      </c>
      <c r="AW2">
        <f>BDH("CNXC US Equity","PX_VOLUME","1993-06-18","2026-05-02","Per=M","Days=T","Dir=V")</f>
        <v>0</v>
      </c>
      <c r="AY2">
        <f>BDH("CNXC US Equity","TURNOVER","1993-06-18","2026-05-02","Per=M","Days=T","Dir=V")</f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BDH("CNXN US Equity","BS_TOT_ASSET","1993-06-18","2026-05-02","Per=Y","Days=T","Dir=V")</f>
        <v>0</v>
      </c>
      <c r="C2">
        <f>BDH("CNXN US Equity","BS_TOT_LIAB2","1993-06-18","2026-05-02","Per=Y","Days=T","Dir=V")</f>
        <v>0</v>
      </c>
      <c r="E2">
        <f>BDH("CNXN US Equity","SHORT_AND_LONG_TERM_DEBT","1993-06-18","2026-05-02","Per=Y","Days=T","Dir=V")</f>
        <v>0</v>
      </c>
      <c r="G2">
        <f>BDH("CNXN US Equity","BS_ST_BORROW","1993-06-18","2026-05-02","Per=Y","Days=T","Dir=V")</f>
        <v>0</v>
      </c>
      <c r="I2">
        <f>BDH("CNXN US Equity","BS_LT_BORROW","1993-06-18","2026-05-02","Per=Y","Days=T","Dir=V")</f>
        <v>0</v>
      </c>
      <c r="K2">
        <f>BDH("CNXN US Equity","BS_CASH_NEAR_CASH_ITEM","1993-06-18","2026-05-02","Per=Y","Days=T","Dir=V")</f>
        <v>0</v>
      </c>
      <c r="M2">
        <f>BDH("CNXN US Equity","BS_CUR_ASSET_REPORT","1993-06-18","2026-05-02","Per=Y","Days=T","Dir=V")</f>
        <v>0</v>
      </c>
      <c r="O2">
        <f>BDH("CNXN US Equity","BS_CUR_LIAB","1993-06-18","2026-05-02","Per=Y","Days=T","Dir=V")</f>
        <v>0</v>
      </c>
      <c r="Q2">
        <f>BDH("CNXN US Equity","BS_SHAREHOLDER_EQY_ENDING_PERIOD","1993-06-18","2026-05-02","Per=Y","Days=T","Dir=V")</f>
        <v>0</v>
      </c>
      <c r="S2">
        <f>BDH("CNXN US Equity","BS_ACCT_NOTE_RCV","1993-06-18","2026-05-02","Per=Y","Days=T","Dir=V")</f>
        <v>0</v>
      </c>
      <c r="U2">
        <f>BDH("CNXN US Equity","BS_INVENTORIES","1993-06-18","2026-05-02","Per=Y","Days=T","Dir=V")</f>
        <v>0</v>
      </c>
      <c r="W2">
        <f>BDH("CNXN US Equity","WORKING_CAPITAL","1993-06-18","2026-05-02","Per=Y","Days=T","Dir=V")</f>
        <v>0</v>
      </c>
      <c r="Y2">
        <f>BDH("CNXN US Equity","SALES_REV_TURN","1993-06-18","2026-05-02","Per=Y","Days=T","Dir=V")</f>
        <v>0</v>
      </c>
      <c r="AA2">
        <f>BDH("CNXN US Equity","EBIT","1993-06-18","2026-05-02","Per=Y","Days=T","Dir=V")</f>
        <v>0</v>
      </c>
      <c r="AC2">
        <f>BDH("CNXN US Equity","EBITDA","1993-06-18","2026-05-02","Per=Y","Days=T","Dir=V")</f>
        <v>0</v>
      </c>
      <c r="AE2">
        <f>BDH("CNXN US Equity","NET_INCOME","1993-06-18","2026-05-02","Per=Y","Days=T","Dir=V")</f>
        <v>0</v>
      </c>
      <c r="AG2">
        <f>BDH("CNXN US Equity","IS_INT_EXPENSE","1993-06-18","2026-05-02","Per=Y","Days=T","Dir=V")</f>
        <v>0</v>
      </c>
      <c r="AI2">
        <f>BDH("CNXN US Equity","IS_DEPR_EXP","1993-06-18","2026-05-02","Per=Y","Days=T","Dir=V")</f>
        <v>0</v>
      </c>
      <c r="AK2">
        <f>BDH("CNXN US Equity","CF_CASH_FROM_OPER","1993-06-18","2026-05-02","Per=Y","Days=T","Dir=V")</f>
        <v>0</v>
      </c>
      <c r="AM2">
        <f>BDH("CNXN US Equity","CAPITAL_EXPEND","1993-06-18","2026-05-02","Per=Y","Days=T","Dir=V")</f>
        <v>0</v>
      </c>
      <c r="AO2">
        <f>BDH("CNXN US Equity","CF_FREE_CASH_FLOW","1993-06-18","2026-05-02","Per=Y","Days=T","Dir=V")</f>
        <v>0</v>
      </c>
      <c r="AQ2">
        <f>BDH("CNXN US Equity","PX_LAST","1993-06-18","2026-05-02","Per=M","Days=T","Dir=V")</f>
        <v>0</v>
      </c>
      <c r="AS2">
        <f>BDH("CNXN US Equity","CUR_MKT_CAP","1993-06-18","2026-05-02","Per=M","Days=T","Dir=V")</f>
        <v>0</v>
      </c>
      <c r="AU2">
        <f>BDH("CNXN US Equity","EQY_SH_OUT","1993-06-18","2026-05-02","Per=M","Days=T","Dir=V")</f>
        <v>0</v>
      </c>
      <c r="AW2">
        <f>BDH("CNXN US Equity","PX_VOLUME","1993-06-18","2026-05-02","Per=M","Days=T","Dir=V")</f>
        <v>0</v>
      </c>
      <c r="AY2">
        <f>BDH("CNXN US Equity","TURNOVER","1993-06-18","2026-05-02","Per=M","Days=T","Dir=V")</f>
        <v>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BDH("CNXU US Equity","BS_TOT_ASSET","1993-06-18","2026-05-02","Per=Y","Days=T","Dir=V")</f>
        <v>0</v>
      </c>
      <c r="C2">
        <f>BDH("CNXU US Equity","BS_TOT_LIAB2","1993-06-18","2026-05-02","Per=Y","Days=T","Dir=V")</f>
        <v>0</v>
      </c>
      <c r="E2">
        <f>BDH("CNXU US Equity","SHORT_AND_LONG_TERM_DEBT","1993-06-18","2026-05-02","Per=Y","Days=T","Dir=V")</f>
        <v>0</v>
      </c>
      <c r="G2">
        <f>BDH("CNXU US Equity","BS_ST_BORROW","1993-06-18","2026-05-02","Per=Y","Days=T","Dir=V")</f>
        <v>0</v>
      </c>
      <c r="I2">
        <f>BDH("CNXU US Equity","BS_LT_BORROW","1993-06-18","2026-05-02","Per=Y","Days=T","Dir=V")</f>
        <v>0</v>
      </c>
      <c r="K2">
        <f>BDH("CNXU US Equity","BS_CASH_NEAR_CASH_ITEM","1993-06-18","2026-05-02","Per=Y","Days=T","Dir=V")</f>
        <v>0</v>
      </c>
      <c r="M2">
        <f>BDH("CNXU US Equity","BS_CUR_ASSET_REPORT","1993-06-18","2026-05-02","Per=Y","Days=T","Dir=V")</f>
        <v>0</v>
      </c>
      <c r="O2">
        <f>BDH("CNXU US Equity","BS_CUR_LIAB","1993-06-18","2026-05-02","Per=Y","Days=T","Dir=V")</f>
        <v>0</v>
      </c>
      <c r="Q2">
        <f>BDH("CNXU US Equity","BS_SHAREHOLDER_EQY_ENDING_PERIOD","1993-06-18","2026-05-02","Per=Y","Days=T","Dir=V")</f>
        <v>0</v>
      </c>
      <c r="S2">
        <f>BDH("CNXU US Equity","BS_ACCT_NOTE_RCV","1993-06-18","2026-05-02","Per=Y","Days=T","Dir=V")</f>
        <v>0</v>
      </c>
      <c r="U2">
        <f>BDH("CNXU US Equity","BS_INVENTORIES","1993-06-18","2026-05-02","Per=Y","Days=T","Dir=V")</f>
        <v>0</v>
      </c>
      <c r="W2">
        <f>BDH("CNXU US Equity","WORKING_CAPITAL","1993-06-18","2026-05-02","Per=Y","Days=T","Dir=V")</f>
        <v>0</v>
      </c>
      <c r="Y2">
        <f>BDH("CNXU US Equity","SALES_REV_TURN","1993-06-18","2026-05-02","Per=Y","Days=T","Dir=V")</f>
        <v>0</v>
      </c>
      <c r="AA2">
        <f>BDH("CNXU US Equity","EBIT","1993-06-18","2026-05-02","Per=Y","Days=T","Dir=V")</f>
        <v>0</v>
      </c>
      <c r="AC2">
        <f>BDH("CNXU US Equity","EBITDA","1993-06-18","2026-05-02","Per=Y","Days=T","Dir=V")</f>
        <v>0</v>
      </c>
      <c r="AE2">
        <f>BDH("CNXU US Equity","NET_INCOME","1993-06-18","2026-05-02","Per=Y","Days=T","Dir=V")</f>
        <v>0</v>
      </c>
      <c r="AG2">
        <f>BDH("CNXU US Equity","IS_INT_EXPENSE","1993-06-18","2026-05-02","Per=Y","Days=T","Dir=V")</f>
        <v>0</v>
      </c>
      <c r="AI2">
        <f>BDH("CNXU US Equity","IS_DEPR_EXP","1993-06-18","2026-05-02","Per=Y","Days=T","Dir=V")</f>
        <v>0</v>
      </c>
      <c r="AK2">
        <f>BDH("CNXU US Equity","CF_CASH_FROM_OPER","1993-06-18","2026-05-02","Per=Y","Days=T","Dir=V")</f>
        <v>0</v>
      </c>
      <c r="AM2">
        <f>BDH("CNXU US Equity","CAPITAL_EXPEND","1993-06-18","2026-05-02","Per=Y","Days=T","Dir=V")</f>
        <v>0</v>
      </c>
      <c r="AO2">
        <f>BDH("CNXU US Equity","CF_FREE_CASH_FLOW","1993-06-18","2026-05-02","Per=Y","Days=T","Dir=V")</f>
        <v>0</v>
      </c>
      <c r="AQ2">
        <f>BDH("CNXU US Equity","PX_LAST","1993-06-18","2026-05-02","Per=M","Days=T","Dir=V")</f>
        <v>0</v>
      </c>
      <c r="AS2">
        <f>BDH("CNXU US Equity","CUR_MKT_CAP","1993-06-18","2026-05-02","Per=M","Days=T","Dir=V")</f>
        <v>0</v>
      </c>
      <c r="AU2">
        <f>BDH("CNXU US Equity","EQY_SH_OUT","1993-06-18","2026-05-02","Per=M","Days=T","Dir=V")</f>
        <v>0</v>
      </c>
      <c r="AW2">
        <f>BDH("CNXU US Equity","PX_VOLUME","1993-06-18","2026-05-02","Per=M","Days=T","Dir=V")</f>
        <v>0</v>
      </c>
      <c r="AY2">
        <f>BDH("CNXU US Equity","TURNOVER","1993-06-18","2026-05-02","Per=M","Days=T","Dir=V")</f>
        <v>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BDH("COAG US Equity","BS_TOT_ASSET","1993-06-18","2026-05-02","Per=Y","Days=T","Dir=V")</f>
        <v>0</v>
      </c>
      <c r="C2">
        <f>BDH("COAG US Equity","BS_TOT_LIAB2","1993-06-18","2026-05-02","Per=Y","Days=T","Dir=V")</f>
        <v>0</v>
      </c>
      <c r="E2">
        <f>BDH("COAG US Equity","SHORT_AND_LONG_TERM_DEBT","1993-06-18","2026-05-02","Per=Y","Days=T","Dir=V")</f>
        <v>0</v>
      </c>
      <c r="G2">
        <f>BDH("COAG US Equity","BS_ST_BORROW","1993-06-18","2026-05-02","Per=Y","Days=T","Dir=V")</f>
        <v>0</v>
      </c>
      <c r="I2">
        <f>BDH("COAG US Equity","BS_LT_BORROW","1993-06-18","2026-05-02","Per=Y","Days=T","Dir=V")</f>
        <v>0</v>
      </c>
      <c r="K2">
        <f>BDH("COAG US Equity","BS_CASH_NEAR_CASH_ITEM","1993-06-18","2026-05-02","Per=Y","Days=T","Dir=V")</f>
        <v>0</v>
      </c>
      <c r="M2">
        <f>BDH("COAG US Equity","BS_CUR_ASSET_REPORT","1993-06-18","2026-05-02","Per=Y","Days=T","Dir=V")</f>
        <v>0</v>
      </c>
      <c r="O2">
        <f>BDH("COAG US Equity","BS_CUR_LIAB","1993-06-18","2026-05-02","Per=Y","Days=T","Dir=V")</f>
        <v>0</v>
      </c>
      <c r="Q2">
        <f>BDH("COAG US Equity","BS_SHAREHOLDER_EQY_ENDING_PERIOD","1993-06-18","2026-05-02","Per=Y","Days=T","Dir=V")</f>
        <v>0</v>
      </c>
      <c r="S2">
        <f>BDH("COAG US Equity","BS_ACCT_NOTE_RCV","1993-06-18","2026-05-02","Per=Y","Days=T","Dir=V")</f>
        <v>0</v>
      </c>
      <c r="U2">
        <f>BDH("COAG US Equity","BS_INVENTORIES","1993-06-18","2026-05-02","Per=Y","Days=T","Dir=V")</f>
        <v>0</v>
      </c>
      <c r="W2">
        <f>BDH("COAG US Equity","WORKING_CAPITAL","1993-06-18","2026-05-02","Per=Y","Days=T","Dir=V")</f>
        <v>0</v>
      </c>
      <c r="Y2">
        <f>BDH("COAG US Equity","SALES_REV_TURN","1993-06-18","2026-05-02","Per=Y","Days=T","Dir=V")</f>
        <v>0</v>
      </c>
      <c r="AA2">
        <f>BDH("COAG US Equity","EBIT","1993-06-18","2026-05-02","Per=Y","Days=T","Dir=V")</f>
        <v>0</v>
      </c>
      <c r="AC2">
        <f>BDH("COAG US Equity","EBITDA","1993-06-18","2026-05-02","Per=Y","Days=T","Dir=V")</f>
        <v>0</v>
      </c>
      <c r="AE2">
        <f>BDH("COAG US Equity","NET_INCOME","1993-06-18","2026-05-02","Per=Y","Days=T","Dir=V")</f>
        <v>0</v>
      </c>
      <c r="AG2">
        <f>BDH("COAG US Equity","IS_INT_EXPENSE","1993-06-18","2026-05-02","Per=Y","Days=T","Dir=V")</f>
        <v>0</v>
      </c>
      <c r="AI2">
        <f>BDH("COAG US Equity","IS_DEPR_EXP","1993-06-18","2026-05-02","Per=Y","Days=T","Dir=V")</f>
        <v>0</v>
      </c>
      <c r="AK2">
        <f>BDH("COAG US Equity","CF_CASH_FROM_OPER","1993-06-18","2026-05-02","Per=Y","Days=T","Dir=V")</f>
        <v>0</v>
      </c>
      <c r="AM2">
        <f>BDH("COAG US Equity","CAPITAL_EXPEND","1993-06-18","2026-05-02","Per=Y","Days=T","Dir=V")</f>
        <v>0</v>
      </c>
      <c r="AO2">
        <f>BDH("COAG US Equity","CF_FREE_CASH_FLOW","1993-06-18","2026-05-02","Per=Y","Days=T","Dir=V")</f>
        <v>0</v>
      </c>
      <c r="AQ2">
        <f>BDH("COAG US Equity","PX_LAST","1993-06-18","2026-05-02","Per=M","Days=T","Dir=V")</f>
        <v>0</v>
      </c>
      <c r="AS2">
        <f>BDH("COAG US Equity","CUR_MKT_CAP","1993-06-18","2026-05-02","Per=M","Days=T","Dir=V")</f>
        <v>0</v>
      </c>
      <c r="AU2">
        <f>BDH("COAG US Equity","EQY_SH_OUT","1993-06-18","2026-05-02","Per=M","Days=T","Dir=V")</f>
        <v>0</v>
      </c>
      <c r="AW2">
        <f>BDH("COAG US Equity","PX_VOLUME","1993-06-18","2026-05-02","Per=M","Days=T","Dir=V")</f>
        <v>0</v>
      </c>
      <c r="AY2">
        <f>BDH("COAG US Equity","TURNOVER","1993-06-18","2026-05-02","Per=M","Days=T","Dir=V")</f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BDH("COCH US Equity","BS_TOT_ASSET","1993-06-18","2026-05-02","Per=Y","Days=T","Dir=V")</f>
        <v>0</v>
      </c>
      <c r="C2">
        <f>BDH("COCH US Equity","BS_TOT_LIAB2","1993-06-18","2026-05-02","Per=Y","Days=T","Dir=V")</f>
        <v>0</v>
      </c>
      <c r="E2">
        <f>BDH("COCH US Equity","SHORT_AND_LONG_TERM_DEBT","1993-06-18","2026-05-02","Per=Y","Days=T","Dir=V")</f>
        <v>0</v>
      </c>
      <c r="G2">
        <f>BDH("COCH US Equity","BS_ST_BORROW","1993-06-18","2026-05-02","Per=Y","Days=T","Dir=V")</f>
        <v>0</v>
      </c>
      <c r="I2">
        <f>BDH("COCH US Equity","BS_LT_BORROW","1993-06-18","2026-05-02","Per=Y","Days=T","Dir=V")</f>
        <v>0</v>
      </c>
      <c r="K2">
        <f>BDH("COCH US Equity","BS_CASH_NEAR_CASH_ITEM","1993-06-18","2026-05-02","Per=Y","Days=T","Dir=V")</f>
        <v>0</v>
      </c>
      <c r="M2">
        <f>BDH("COCH US Equity","BS_CUR_ASSET_REPORT","1993-06-18","2026-05-02","Per=Y","Days=T","Dir=V")</f>
        <v>0</v>
      </c>
      <c r="O2">
        <f>BDH("COCH US Equity","BS_CUR_LIAB","1993-06-18","2026-05-02","Per=Y","Days=T","Dir=V")</f>
        <v>0</v>
      </c>
      <c r="Q2">
        <f>BDH("COCH US Equity","BS_SHAREHOLDER_EQY_ENDING_PERIOD","1993-06-18","2026-05-02","Per=Y","Days=T","Dir=V")</f>
        <v>0</v>
      </c>
      <c r="S2">
        <f>BDH("COCH US Equity","BS_ACCT_NOTE_RCV","1993-06-18","2026-05-02","Per=Y","Days=T","Dir=V")</f>
        <v>0</v>
      </c>
      <c r="U2">
        <f>BDH("COCH US Equity","BS_INVENTORIES","1993-06-18","2026-05-02","Per=Y","Days=T","Dir=V")</f>
        <v>0</v>
      </c>
      <c r="W2">
        <f>BDH("COCH US Equity","WORKING_CAPITAL","1993-06-18","2026-05-02","Per=Y","Days=T","Dir=V")</f>
        <v>0</v>
      </c>
      <c r="Y2">
        <f>BDH("COCH US Equity","SALES_REV_TURN","1993-06-18","2026-05-02","Per=Y","Days=T","Dir=V")</f>
        <v>0</v>
      </c>
      <c r="AA2">
        <f>BDH("COCH US Equity","EBIT","1993-06-18","2026-05-02","Per=Y","Days=T","Dir=V")</f>
        <v>0</v>
      </c>
      <c r="AC2">
        <f>BDH("COCH US Equity","EBITDA","1993-06-18","2026-05-02","Per=Y","Days=T","Dir=V")</f>
        <v>0</v>
      </c>
      <c r="AE2">
        <f>BDH("COCH US Equity","NET_INCOME","1993-06-18","2026-05-02","Per=Y","Days=T","Dir=V")</f>
        <v>0</v>
      </c>
      <c r="AG2">
        <f>BDH("COCH US Equity","IS_INT_EXPENSE","1993-06-18","2026-05-02","Per=Y","Days=T","Dir=V")</f>
        <v>0</v>
      </c>
      <c r="AI2">
        <f>BDH("COCH US Equity","IS_DEPR_EXP","1993-06-18","2026-05-02","Per=Y","Days=T","Dir=V")</f>
        <v>0</v>
      </c>
      <c r="AK2">
        <f>BDH("COCH US Equity","CF_CASH_FROM_OPER","1993-06-18","2026-05-02","Per=Y","Days=T","Dir=V")</f>
        <v>0</v>
      </c>
      <c r="AM2">
        <f>BDH("COCH US Equity","CAPITAL_EXPEND","1993-06-18","2026-05-02","Per=Y","Days=T","Dir=V")</f>
        <v>0</v>
      </c>
      <c r="AO2">
        <f>BDH("COCH US Equity","CF_FREE_CASH_FLOW","1993-06-18","2026-05-02","Per=Y","Days=T","Dir=V")</f>
        <v>0</v>
      </c>
      <c r="AQ2">
        <f>BDH("COCH US Equity","PX_LAST","1993-06-18","2026-05-02","Per=M","Days=T","Dir=V")</f>
        <v>0</v>
      </c>
      <c r="AS2">
        <f>BDH("COCH US Equity","CUR_MKT_CAP","1993-06-18","2026-05-02","Per=M","Days=T","Dir=V")</f>
        <v>0</v>
      </c>
      <c r="AU2">
        <f>BDH("COCH US Equity","EQY_SH_OUT","1993-06-18","2026-05-02","Per=M","Days=T","Dir=V")</f>
        <v>0</v>
      </c>
      <c r="AW2">
        <f>BDH("COCH US Equity","PX_VOLUME","1993-06-18","2026-05-02","Per=M","Days=T","Dir=V")</f>
        <v>0</v>
      </c>
      <c r="AY2">
        <f>BDH("COCH US Equity","TURNOVER","1993-06-18","2026-05-02","Per=M","Days=T","Dir=V")</f>
        <v>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BDH("COCHW US Equity","BS_TOT_ASSET","1993-06-18","2026-05-02","Per=Y","Days=T","Dir=V")</f>
        <v>0</v>
      </c>
      <c r="C2">
        <f>BDH("COCHW US Equity","BS_TOT_LIAB2","1993-06-18","2026-05-02","Per=Y","Days=T","Dir=V")</f>
        <v>0</v>
      </c>
      <c r="E2">
        <f>BDH("COCHW US Equity","SHORT_AND_LONG_TERM_DEBT","1993-06-18","2026-05-02","Per=Y","Days=T","Dir=V")</f>
        <v>0</v>
      </c>
      <c r="G2">
        <f>BDH("COCHW US Equity","BS_ST_BORROW","1993-06-18","2026-05-02","Per=Y","Days=T","Dir=V")</f>
        <v>0</v>
      </c>
      <c r="I2">
        <f>BDH("COCHW US Equity","BS_LT_BORROW","1993-06-18","2026-05-02","Per=Y","Days=T","Dir=V")</f>
        <v>0</v>
      </c>
      <c r="K2">
        <f>BDH("COCHW US Equity","BS_CASH_NEAR_CASH_ITEM","1993-06-18","2026-05-02","Per=Y","Days=T","Dir=V")</f>
        <v>0</v>
      </c>
      <c r="M2">
        <f>BDH("COCHW US Equity","BS_CUR_ASSET_REPORT","1993-06-18","2026-05-02","Per=Y","Days=T","Dir=V")</f>
        <v>0</v>
      </c>
      <c r="O2">
        <f>BDH("COCHW US Equity","BS_CUR_LIAB","1993-06-18","2026-05-02","Per=Y","Days=T","Dir=V")</f>
        <v>0</v>
      </c>
      <c r="Q2">
        <f>BDH("COCHW US Equity","BS_SHAREHOLDER_EQY_ENDING_PERIOD","1993-06-18","2026-05-02","Per=Y","Days=T","Dir=V")</f>
        <v>0</v>
      </c>
      <c r="S2">
        <f>BDH("COCHW US Equity","BS_ACCT_NOTE_RCV","1993-06-18","2026-05-02","Per=Y","Days=T","Dir=V")</f>
        <v>0</v>
      </c>
      <c r="U2">
        <f>BDH("COCHW US Equity","BS_INVENTORIES","1993-06-18","2026-05-02","Per=Y","Days=T","Dir=V")</f>
        <v>0</v>
      </c>
      <c r="W2">
        <f>BDH("COCHW US Equity","WORKING_CAPITAL","1993-06-18","2026-05-02","Per=Y","Days=T","Dir=V")</f>
        <v>0</v>
      </c>
      <c r="Y2">
        <f>BDH("COCHW US Equity","SALES_REV_TURN","1993-06-18","2026-05-02","Per=Y","Days=T","Dir=V")</f>
        <v>0</v>
      </c>
      <c r="AA2">
        <f>BDH("COCHW US Equity","EBIT","1993-06-18","2026-05-02","Per=Y","Days=T","Dir=V")</f>
        <v>0</v>
      </c>
      <c r="AC2">
        <f>BDH("COCHW US Equity","EBITDA","1993-06-18","2026-05-02","Per=Y","Days=T","Dir=V")</f>
        <v>0</v>
      </c>
      <c r="AE2">
        <f>BDH("COCHW US Equity","NET_INCOME","1993-06-18","2026-05-02","Per=Y","Days=T","Dir=V")</f>
        <v>0</v>
      </c>
      <c r="AG2">
        <f>BDH("COCHW US Equity","IS_INT_EXPENSE","1993-06-18","2026-05-02","Per=Y","Days=T","Dir=V")</f>
        <v>0</v>
      </c>
      <c r="AI2">
        <f>BDH("COCHW US Equity","IS_DEPR_EXP","1993-06-18","2026-05-02","Per=Y","Days=T","Dir=V")</f>
        <v>0</v>
      </c>
      <c r="AK2">
        <f>BDH("COCHW US Equity","CF_CASH_FROM_OPER","1993-06-18","2026-05-02","Per=Y","Days=T","Dir=V")</f>
        <v>0</v>
      </c>
      <c r="AM2">
        <f>BDH("COCHW US Equity","CAPITAL_EXPEND","1993-06-18","2026-05-02","Per=Y","Days=T","Dir=V")</f>
        <v>0</v>
      </c>
      <c r="AO2">
        <f>BDH("COCHW US Equity","CF_FREE_CASH_FLOW","1993-06-18","2026-05-02","Per=Y","Days=T","Dir=V")</f>
        <v>0</v>
      </c>
      <c r="AQ2">
        <f>BDH("COCHW US Equity","PX_LAST","1993-06-18","2026-05-02","Per=M","Days=T","Dir=V")</f>
        <v>0</v>
      </c>
      <c r="AS2">
        <f>BDH("COCHW US Equity","CUR_MKT_CAP","1993-06-18","2026-05-02","Per=M","Days=T","Dir=V")</f>
        <v>0</v>
      </c>
      <c r="AU2">
        <f>BDH("COCHW US Equity","EQY_SH_OUT","1993-06-18","2026-05-02","Per=M","Days=T","Dir=V")</f>
        <v>0</v>
      </c>
      <c r="AW2">
        <f>BDH("COCHW US Equity","PX_VOLUME","1993-06-18","2026-05-02","Per=M","Days=T","Dir=V")</f>
        <v>0</v>
      </c>
      <c r="AY2">
        <f>BDH("COCHW US Equity","TURNOVER","1993-06-18","2026-05-02","Per=M","Days=T","Dir=V")</f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BDH("COCO US Equity","BS_TOT_ASSET","1993-06-18","2026-05-02","Per=Y","Days=T","Dir=V")</f>
        <v>0</v>
      </c>
      <c r="C2">
        <f>BDH("COCO US Equity","BS_TOT_LIAB2","1993-06-18","2026-05-02","Per=Y","Days=T","Dir=V")</f>
        <v>0</v>
      </c>
      <c r="E2">
        <f>BDH("COCO US Equity","SHORT_AND_LONG_TERM_DEBT","1993-06-18","2026-05-02","Per=Y","Days=T","Dir=V")</f>
        <v>0</v>
      </c>
      <c r="G2">
        <f>BDH("COCO US Equity","BS_ST_BORROW","1993-06-18","2026-05-02","Per=Y","Days=T","Dir=V")</f>
        <v>0</v>
      </c>
      <c r="I2">
        <f>BDH("COCO US Equity","BS_LT_BORROW","1993-06-18","2026-05-02","Per=Y","Days=T","Dir=V")</f>
        <v>0</v>
      </c>
      <c r="K2">
        <f>BDH("COCO US Equity","BS_CASH_NEAR_CASH_ITEM","1993-06-18","2026-05-02","Per=Y","Days=T","Dir=V")</f>
        <v>0</v>
      </c>
      <c r="M2">
        <f>BDH("COCO US Equity","BS_CUR_ASSET_REPORT","1993-06-18","2026-05-02","Per=Y","Days=T","Dir=V")</f>
        <v>0</v>
      </c>
      <c r="O2">
        <f>BDH("COCO US Equity","BS_CUR_LIAB","1993-06-18","2026-05-02","Per=Y","Days=T","Dir=V")</f>
        <v>0</v>
      </c>
      <c r="Q2">
        <f>BDH("COCO US Equity","BS_SHAREHOLDER_EQY_ENDING_PERIOD","1993-06-18","2026-05-02","Per=Y","Days=T","Dir=V")</f>
        <v>0</v>
      </c>
      <c r="S2">
        <f>BDH("COCO US Equity","BS_ACCT_NOTE_RCV","1993-06-18","2026-05-02","Per=Y","Days=T","Dir=V")</f>
        <v>0</v>
      </c>
      <c r="U2">
        <f>BDH("COCO US Equity","BS_INVENTORIES","1993-06-18","2026-05-02","Per=Y","Days=T","Dir=V")</f>
        <v>0</v>
      </c>
      <c r="W2">
        <f>BDH("COCO US Equity","WORKING_CAPITAL","1993-06-18","2026-05-02","Per=Y","Days=T","Dir=V")</f>
        <v>0</v>
      </c>
      <c r="Y2">
        <f>BDH("COCO US Equity","SALES_REV_TURN","1993-06-18","2026-05-02","Per=Y","Days=T","Dir=V")</f>
        <v>0</v>
      </c>
      <c r="AA2">
        <f>BDH("COCO US Equity","EBIT","1993-06-18","2026-05-02","Per=Y","Days=T","Dir=V")</f>
        <v>0</v>
      </c>
      <c r="AC2">
        <f>BDH("COCO US Equity","EBITDA","1993-06-18","2026-05-02","Per=Y","Days=T","Dir=V")</f>
        <v>0</v>
      </c>
      <c r="AE2">
        <f>BDH("COCO US Equity","NET_INCOME","1993-06-18","2026-05-02","Per=Y","Days=T","Dir=V")</f>
        <v>0</v>
      </c>
      <c r="AG2">
        <f>BDH("COCO US Equity","IS_INT_EXPENSE","1993-06-18","2026-05-02","Per=Y","Days=T","Dir=V")</f>
        <v>0</v>
      </c>
      <c r="AI2">
        <f>BDH("COCO US Equity","IS_DEPR_EXP","1993-06-18","2026-05-02","Per=Y","Days=T","Dir=V")</f>
        <v>0</v>
      </c>
      <c r="AK2">
        <f>BDH("COCO US Equity","CF_CASH_FROM_OPER","1993-06-18","2026-05-02","Per=Y","Days=T","Dir=V")</f>
        <v>0</v>
      </c>
      <c r="AM2">
        <f>BDH("COCO US Equity","CAPITAL_EXPEND","1993-06-18","2026-05-02","Per=Y","Days=T","Dir=V")</f>
        <v>0</v>
      </c>
      <c r="AO2">
        <f>BDH("COCO US Equity","CF_FREE_CASH_FLOW","1993-06-18","2026-05-02","Per=Y","Days=T","Dir=V")</f>
        <v>0</v>
      </c>
      <c r="AQ2">
        <f>BDH("COCO US Equity","PX_LAST","1993-06-18","2026-05-02","Per=M","Days=T","Dir=V")</f>
        <v>0</v>
      </c>
      <c r="AS2">
        <f>BDH("COCO US Equity","CUR_MKT_CAP","1993-06-18","2026-05-02","Per=M","Days=T","Dir=V")</f>
        <v>0</v>
      </c>
      <c r="AU2">
        <f>BDH("COCO US Equity","EQY_SH_OUT","1993-06-18","2026-05-02","Per=M","Days=T","Dir=V")</f>
        <v>0</v>
      </c>
      <c r="AW2">
        <f>BDH("COCO US Equity","PX_VOLUME","1993-06-18","2026-05-02","Per=M","Days=T","Dir=V")</f>
        <v>0</v>
      </c>
      <c r="AY2">
        <f>BDH("COCO US Equity","TURNOVER","1993-06-18","2026-05-02","Per=M","Days=T","Dir=V")</f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BDH("COCP US Equity","BS_TOT_ASSET","1993-06-18","2026-05-02","Per=Y","Days=T","Dir=V")</f>
        <v>0</v>
      </c>
      <c r="C2">
        <f>BDH("COCP US Equity","BS_TOT_LIAB2","1993-06-18","2026-05-02","Per=Y","Days=T","Dir=V")</f>
        <v>0</v>
      </c>
      <c r="E2">
        <f>BDH("COCP US Equity","SHORT_AND_LONG_TERM_DEBT","1993-06-18","2026-05-02","Per=Y","Days=T","Dir=V")</f>
        <v>0</v>
      </c>
      <c r="G2">
        <f>BDH("COCP US Equity","BS_ST_BORROW","1993-06-18","2026-05-02","Per=Y","Days=T","Dir=V")</f>
        <v>0</v>
      </c>
      <c r="I2">
        <f>BDH("COCP US Equity","BS_LT_BORROW","1993-06-18","2026-05-02","Per=Y","Days=T","Dir=V")</f>
        <v>0</v>
      </c>
      <c r="K2">
        <f>BDH("COCP US Equity","BS_CASH_NEAR_CASH_ITEM","1993-06-18","2026-05-02","Per=Y","Days=T","Dir=V")</f>
        <v>0</v>
      </c>
      <c r="M2">
        <f>BDH("COCP US Equity","BS_CUR_ASSET_REPORT","1993-06-18","2026-05-02","Per=Y","Days=T","Dir=V")</f>
        <v>0</v>
      </c>
      <c r="O2">
        <f>BDH("COCP US Equity","BS_CUR_LIAB","1993-06-18","2026-05-02","Per=Y","Days=T","Dir=V")</f>
        <v>0</v>
      </c>
      <c r="Q2">
        <f>BDH("COCP US Equity","BS_SHAREHOLDER_EQY_ENDING_PERIOD","1993-06-18","2026-05-02","Per=Y","Days=T","Dir=V")</f>
        <v>0</v>
      </c>
      <c r="S2">
        <f>BDH("COCP US Equity","BS_ACCT_NOTE_RCV","1993-06-18","2026-05-02","Per=Y","Days=T","Dir=V")</f>
        <v>0</v>
      </c>
      <c r="U2">
        <f>BDH("COCP US Equity","BS_INVENTORIES","1993-06-18","2026-05-02","Per=Y","Days=T","Dir=V")</f>
        <v>0</v>
      </c>
      <c r="W2">
        <f>BDH("COCP US Equity","WORKING_CAPITAL","1993-06-18","2026-05-02","Per=Y","Days=T","Dir=V")</f>
        <v>0</v>
      </c>
      <c r="Y2">
        <f>BDH("COCP US Equity","SALES_REV_TURN","1993-06-18","2026-05-02","Per=Y","Days=T","Dir=V")</f>
        <v>0</v>
      </c>
      <c r="AA2">
        <f>BDH("COCP US Equity","EBIT","1993-06-18","2026-05-02","Per=Y","Days=T","Dir=V")</f>
        <v>0</v>
      </c>
      <c r="AC2">
        <f>BDH("COCP US Equity","EBITDA","1993-06-18","2026-05-02","Per=Y","Days=T","Dir=V")</f>
        <v>0</v>
      </c>
      <c r="AE2">
        <f>BDH("COCP US Equity","NET_INCOME","1993-06-18","2026-05-02","Per=Y","Days=T","Dir=V")</f>
        <v>0</v>
      </c>
      <c r="AG2">
        <f>BDH("COCP US Equity","IS_INT_EXPENSE","1993-06-18","2026-05-02","Per=Y","Days=T","Dir=V")</f>
        <v>0</v>
      </c>
      <c r="AI2">
        <f>BDH("COCP US Equity","IS_DEPR_EXP","1993-06-18","2026-05-02","Per=Y","Days=T","Dir=V")</f>
        <v>0</v>
      </c>
      <c r="AK2">
        <f>BDH("COCP US Equity","CF_CASH_FROM_OPER","1993-06-18","2026-05-02","Per=Y","Days=T","Dir=V")</f>
        <v>0</v>
      </c>
      <c r="AM2">
        <f>BDH("COCP US Equity","CAPITAL_EXPEND","1993-06-18","2026-05-02","Per=Y","Days=T","Dir=V")</f>
        <v>0</v>
      </c>
      <c r="AO2">
        <f>BDH("COCP US Equity","CF_FREE_CASH_FLOW","1993-06-18","2026-05-02","Per=Y","Days=T","Dir=V")</f>
        <v>0</v>
      </c>
      <c r="AQ2">
        <f>BDH("COCP US Equity","PX_LAST","1993-06-18","2026-05-02","Per=M","Days=T","Dir=V")</f>
        <v>0</v>
      </c>
      <c r="AS2">
        <f>BDH("COCP US Equity","CUR_MKT_CAP","1993-06-18","2026-05-02","Per=M","Days=T","Dir=V")</f>
        <v>0</v>
      </c>
      <c r="AU2">
        <f>BDH("COCP US Equity","EQY_SH_OUT","1993-06-18","2026-05-02","Per=M","Days=T","Dir=V")</f>
        <v>0</v>
      </c>
      <c r="AW2">
        <f>BDH("COCP US Equity","PX_VOLUME","1993-06-18","2026-05-02","Per=M","Days=T","Dir=V")</f>
        <v>0</v>
      </c>
      <c r="AY2">
        <f>BDH("COCP US Equity","TURNOVER","1993-06-18","2026-05-02","Per=M","Days=T","Dir=V")</f>
        <v>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BDH("CODA US Equity","BS_TOT_ASSET","1993-06-18","2026-05-02","Per=Y","Days=T","Dir=V")</f>
        <v>0</v>
      </c>
      <c r="C2">
        <f>BDH("CODA US Equity","BS_TOT_LIAB2","1993-06-18","2026-05-02","Per=Y","Days=T","Dir=V")</f>
        <v>0</v>
      </c>
      <c r="E2">
        <f>BDH("CODA US Equity","SHORT_AND_LONG_TERM_DEBT","1993-06-18","2026-05-02","Per=Y","Days=T","Dir=V")</f>
        <v>0</v>
      </c>
      <c r="G2">
        <f>BDH("CODA US Equity","BS_ST_BORROW","1993-06-18","2026-05-02","Per=Y","Days=T","Dir=V")</f>
        <v>0</v>
      </c>
      <c r="I2">
        <f>BDH("CODA US Equity","BS_LT_BORROW","1993-06-18","2026-05-02","Per=Y","Days=T","Dir=V")</f>
        <v>0</v>
      </c>
      <c r="K2">
        <f>BDH("CODA US Equity","BS_CASH_NEAR_CASH_ITEM","1993-06-18","2026-05-02","Per=Y","Days=T","Dir=V")</f>
        <v>0</v>
      </c>
      <c r="M2">
        <f>BDH("CODA US Equity","BS_CUR_ASSET_REPORT","1993-06-18","2026-05-02","Per=Y","Days=T","Dir=V")</f>
        <v>0</v>
      </c>
      <c r="O2">
        <f>BDH("CODA US Equity","BS_CUR_LIAB","1993-06-18","2026-05-02","Per=Y","Days=T","Dir=V")</f>
        <v>0</v>
      </c>
      <c r="Q2">
        <f>BDH("CODA US Equity","BS_SHAREHOLDER_EQY_ENDING_PERIOD","1993-06-18","2026-05-02","Per=Y","Days=T","Dir=V")</f>
        <v>0</v>
      </c>
      <c r="S2">
        <f>BDH("CODA US Equity","BS_ACCT_NOTE_RCV","1993-06-18","2026-05-02","Per=Y","Days=T","Dir=V")</f>
        <v>0</v>
      </c>
      <c r="U2">
        <f>BDH("CODA US Equity","BS_INVENTORIES","1993-06-18","2026-05-02","Per=Y","Days=T","Dir=V")</f>
        <v>0</v>
      </c>
      <c r="W2">
        <f>BDH("CODA US Equity","WORKING_CAPITAL","1993-06-18","2026-05-02","Per=Y","Days=T","Dir=V")</f>
        <v>0</v>
      </c>
      <c r="Y2">
        <f>BDH("CODA US Equity","SALES_REV_TURN","1993-06-18","2026-05-02","Per=Y","Days=T","Dir=V")</f>
        <v>0</v>
      </c>
      <c r="AA2">
        <f>BDH("CODA US Equity","EBIT","1993-06-18","2026-05-02","Per=Y","Days=T","Dir=V")</f>
        <v>0</v>
      </c>
      <c r="AC2">
        <f>BDH("CODA US Equity","EBITDA","1993-06-18","2026-05-02","Per=Y","Days=T","Dir=V")</f>
        <v>0</v>
      </c>
      <c r="AE2">
        <f>BDH("CODA US Equity","NET_INCOME","1993-06-18","2026-05-02","Per=Y","Days=T","Dir=V")</f>
        <v>0</v>
      </c>
      <c r="AG2">
        <f>BDH("CODA US Equity","IS_INT_EXPENSE","1993-06-18","2026-05-02","Per=Y","Days=T","Dir=V")</f>
        <v>0</v>
      </c>
      <c r="AI2">
        <f>BDH("CODA US Equity","IS_DEPR_EXP","1993-06-18","2026-05-02","Per=Y","Days=T","Dir=V")</f>
        <v>0</v>
      </c>
      <c r="AK2">
        <f>BDH("CODA US Equity","CF_CASH_FROM_OPER","1993-06-18","2026-05-02","Per=Y","Days=T","Dir=V")</f>
        <v>0</v>
      </c>
      <c r="AM2">
        <f>BDH("CODA US Equity","CAPITAL_EXPEND","1993-06-18","2026-05-02","Per=Y","Days=T","Dir=V")</f>
        <v>0</v>
      </c>
      <c r="AO2">
        <f>BDH("CODA US Equity","CF_FREE_CASH_FLOW","1993-06-18","2026-05-02","Per=Y","Days=T","Dir=V")</f>
        <v>0</v>
      </c>
      <c r="AQ2">
        <f>BDH("CODA US Equity","PX_LAST","1993-06-18","2026-05-02","Per=M","Days=T","Dir=V")</f>
        <v>0</v>
      </c>
      <c r="AS2">
        <f>BDH("CODA US Equity","CUR_MKT_CAP","1993-06-18","2026-05-02","Per=M","Days=T","Dir=V")</f>
        <v>0</v>
      </c>
      <c r="AU2">
        <f>BDH("CODA US Equity","EQY_SH_OUT","1993-06-18","2026-05-02","Per=M","Days=T","Dir=V")</f>
        <v>0</v>
      </c>
      <c r="AW2">
        <f>BDH("CODA US Equity","PX_VOLUME","1993-06-18","2026-05-02","Per=M","Days=T","Dir=V")</f>
        <v>0</v>
      </c>
      <c r="AY2">
        <f>BDH("CODA US Equity","TURNOVER","1993-06-18","2026-05-02","Per=M","Days=T","Dir=V")</f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BDH("CODI US Equity","BS_TOT_ASSET","1993-06-18","2026-05-02","Per=Y","Days=T","Dir=V")</f>
        <v>0</v>
      </c>
      <c r="C2">
        <f>BDH("CODI US Equity","BS_TOT_LIAB2","1993-06-18","2026-05-02","Per=Y","Days=T","Dir=V")</f>
        <v>0</v>
      </c>
      <c r="E2">
        <f>BDH("CODI US Equity","SHORT_AND_LONG_TERM_DEBT","1993-06-18","2026-05-02","Per=Y","Days=T","Dir=V")</f>
        <v>0</v>
      </c>
      <c r="G2">
        <f>BDH("CODI US Equity","BS_ST_BORROW","1993-06-18","2026-05-02","Per=Y","Days=T","Dir=V")</f>
        <v>0</v>
      </c>
      <c r="I2">
        <f>BDH("CODI US Equity","BS_LT_BORROW","1993-06-18","2026-05-02","Per=Y","Days=T","Dir=V")</f>
        <v>0</v>
      </c>
      <c r="K2">
        <f>BDH("CODI US Equity","BS_CASH_NEAR_CASH_ITEM","1993-06-18","2026-05-02","Per=Y","Days=T","Dir=V")</f>
        <v>0</v>
      </c>
      <c r="M2">
        <f>BDH("CODI US Equity","BS_CUR_ASSET_REPORT","1993-06-18","2026-05-02","Per=Y","Days=T","Dir=V")</f>
        <v>0</v>
      </c>
      <c r="O2">
        <f>BDH("CODI US Equity","BS_CUR_LIAB","1993-06-18","2026-05-02","Per=Y","Days=T","Dir=V")</f>
        <v>0</v>
      </c>
      <c r="Q2">
        <f>BDH("CODI US Equity","BS_SHAREHOLDER_EQY_ENDING_PERIOD","1993-06-18","2026-05-02","Per=Y","Days=T","Dir=V")</f>
        <v>0</v>
      </c>
      <c r="S2">
        <f>BDH("CODI US Equity","BS_ACCT_NOTE_RCV","1993-06-18","2026-05-02","Per=Y","Days=T","Dir=V")</f>
        <v>0</v>
      </c>
      <c r="U2">
        <f>BDH("CODI US Equity","BS_INVENTORIES","1993-06-18","2026-05-02","Per=Y","Days=T","Dir=V")</f>
        <v>0</v>
      </c>
      <c r="W2">
        <f>BDH("CODI US Equity","WORKING_CAPITAL","1993-06-18","2026-05-02","Per=Y","Days=T","Dir=V")</f>
        <v>0</v>
      </c>
      <c r="Y2">
        <f>BDH("CODI US Equity","SALES_REV_TURN","1993-06-18","2026-05-02","Per=Y","Days=T","Dir=V")</f>
        <v>0</v>
      </c>
      <c r="AA2">
        <f>BDH("CODI US Equity","EBIT","1993-06-18","2026-05-02","Per=Y","Days=T","Dir=V")</f>
        <v>0</v>
      </c>
      <c r="AC2">
        <f>BDH("CODI US Equity","EBITDA","1993-06-18","2026-05-02","Per=Y","Days=T","Dir=V")</f>
        <v>0</v>
      </c>
      <c r="AE2">
        <f>BDH("CODI US Equity","NET_INCOME","1993-06-18","2026-05-02","Per=Y","Days=T","Dir=V")</f>
        <v>0</v>
      </c>
      <c r="AG2">
        <f>BDH("CODI US Equity","IS_INT_EXPENSE","1993-06-18","2026-05-02","Per=Y","Days=T","Dir=V")</f>
        <v>0</v>
      </c>
      <c r="AI2">
        <f>BDH("CODI US Equity","IS_DEPR_EXP","1993-06-18","2026-05-02","Per=Y","Days=T","Dir=V")</f>
        <v>0</v>
      </c>
      <c r="AK2">
        <f>BDH("CODI US Equity","CF_CASH_FROM_OPER","1993-06-18","2026-05-02","Per=Y","Days=T","Dir=V")</f>
        <v>0</v>
      </c>
      <c r="AM2">
        <f>BDH("CODI US Equity","CAPITAL_EXPEND","1993-06-18","2026-05-02","Per=Y","Days=T","Dir=V")</f>
        <v>0</v>
      </c>
      <c r="AO2">
        <f>BDH("CODI US Equity","CF_FREE_CASH_FLOW","1993-06-18","2026-05-02","Per=Y","Days=T","Dir=V")</f>
        <v>0</v>
      </c>
      <c r="AQ2">
        <f>BDH("CODI US Equity","PX_LAST","1993-06-18","2026-05-02","Per=M","Days=T","Dir=V")</f>
        <v>0</v>
      </c>
      <c r="AS2">
        <f>BDH("CODI US Equity","CUR_MKT_CAP","1993-06-18","2026-05-02","Per=M","Days=T","Dir=V")</f>
        <v>0</v>
      </c>
      <c r="AU2">
        <f>BDH("CODI US Equity","EQY_SH_OUT","1993-06-18","2026-05-02","Per=M","Days=T","Dir=V")</f>
        <v>0</v>
      </c>
      <c r="AW2">
        <f>BDH("CODI US Equity","PX_VOLUME","1993-06-18","2026-05-02","Per=M","Days=T","Dir=V")</f>
        <v>0</v>
      </c>
      <c r="AY2">
        <f>BDH("CODI US Equity","TURNOVER","1993-06-18","2026-05-02","Per=M","Days=T","Dir=V")</f>
        <v>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BDH("CODX US Equity","BS_TOT_ASSET","1993-06-18","2026-05-02","Per=Y","Days=T","Dir=V")</f>
        <v>0</v>
      </c>
      <c r="C2">
        <f>BDH("CODX US Equity","BS_TOT_LIAB2","1993-06-18","2026-05-02","Per=Y","Days=T","Dir=V")</f>
        <v>0</v>
      </c>
      <c r="E2">
        <f>BDH("CODX US Equity","SHORT_AND_LONG_TERM_DEBT","1993-06-18","2026-05-02","Per=Y","Days=T","Dir=V")</f>
        <v>0</v>
      </c>
      <c r="G2">
        <f>BDH("CODX US Equity","BS_ST_BORROW","1993-06-18","2026-05-02","Per=Y","Days=T","Dir=V")</f>
        <v>0</v>
      </c>
      <c r="I2">
        <f>BDH("CODX US Equity","BS_LT_BORROW","1993-06-18","2026-05-02","Per=Y","Days=T","Dir=V")</f>
        <v>0</v>
      </c>
      <c r="K2">
        <f>BDH("CODX US Equity","BS_CASH_NEAR_CASH_ITEM","1993-06-18","2026-05-02","Per=Y","Days=T","Dir=V")</f>
        <v>0</v>
      </c>
      <c r="M2">
        <f>BDH("CODX US Equity","BS_CUR_ASSET_REPORT","1993-06-18","2026-05-02","Per=Y","Days=T","Dir=V")</f>
        <v>0</v>
      </c>
      <c r="O2">
        <f>BDH("CODX US Equity","BS_CUR_LIAB","1993-06-18","2026-05-02","Per=Y","Days=T","Dir=V")</f>
        <v>0</v>
      </c>
      <c r="Q2">
        <f>BDH("CODX US Equity","BS_SHAREHOLDER_EQY_ENDING_PERIOD","1993-06-18","2026-05-02","Per=Y","Days=T","Dir=V")</f>
        <v>0</v>
      </c>
      <c r="S2">
        <f>BDH("CODX US Equity","BS_ACCT_NOTE_RCV","1993-06-18","2026-05-02","Per=Y","Days=T","Dir=V")</f>
        <v>0</v>
      </c>
      <c r="U2">
        <f>BDH("CODX US Equity","BS_INVENTORIES","1993-06-18","2026-05-02","Per=Y","Days=T","Dir=V")</f>
        <v>0</v>
      </c>
      <c r="W2">
        <f>BDH("CODX US Equity","WORKING_CAPITAL","1993-06-18","2026-05-02","Per=Y","Days=T","Dir=V")</f>
        <v>0</v>
      </c>
      <c r="Y2">
        <f>BDH("CODX US Equity","SALES_REV_TURN","1993-06-18","2026-05-02","Per=Y","Days=T","Dir=V")</f>
        <v>0</v>
      </c>
      <c r="AA2">
        <f>BDH("CODX US Equity","EBIT","1993-06-18","2026-05-02","Per=Y","Days=T","Dir=V")</f>
        <v>0</v>
      </c>
      <c r="AC2">
        <f>BDH("CODX US Equity","EBITDA","1993-06-18","2026-05-02","Per=Y","Days=T","Dir=V")</f>
        <v>0</v>
      </c>
      <c r="AE2">
        <f>BDH("CODX US Equity","NET_INCOME","1993-06-18","2026-05-02","Per=Y","Days=T","Dir=V")</f>
        <v>0</v>
      </c>
      <c r="AG2">
        <f>BDH("CODX US Equity","IS_INT_EXPENSE","1993-06-18","2026-05-02","Per=Y","Days=T","Dir=V")</f>
        <v>0</v>
      </c>
      <c r="AI2">
        <f>BDH("CODX US Equity","IS_DEPR_EXP","1993-06-18","2026-05-02","Per=Y","Days=T","Dir=V")</f>
        <v>0</v>
      </c>
      <c r="AK2">
        <f>BDH("CODX US Equity","CF_CASH_FROM_OPER","1993-06-18","2026-05-02","Per=Y","Days=T","Dir=V")</f>
        <v>0</v>
      </c>
      <c r="AM2">
        <f>BDH("CODX US Equity","CAPITAL_EXPEND","1993-06-18","2026-05-02","Per=Y","Days=T","Dir=V")</f>
        <v>0</v>
      </c>
      <c r="AO2">
        <f>BDH("CODX US Equity","CF_FREE_CASH_FLOW","1993-06-18","2026-05-02","Per=Y","Days=T","Dir=V")</f>
        <v>0</v>
      </c>
      <c r="AQ2">
        <f>BDH("CODX US Equity","PX_LAST","1993-06-18","2026-05-02","Per=M","Days=T","Dir=V")</f>
        <v>0</v>
      </c>
      <c r="AS2">
        <f>BDH("CODX US Equity","CUR_MKT_CAP","1993-06-18","2026-05-02","Per=M","Days=T","Dir=V")</f>
        <v>0</v>
      </c>
      <c r="AU2">
        <f>BDH("CODX US Equity","EQY_SH_OUT","1993-06-18","2026-05-02","Per=M","Days=T","Dir=V")</f>
        <v>0</v>
      </c>
      <c r="AW2">
        <f>BDH("CODX US Equity","PX_VOLUME","1993-06-18","2026-05-02","Per=M","Days=T","Dir=V")</f>
        <v>0</v>
      </c>
      <c r="AY2">
        <f>BDH("CODX US Equity","TURNOVER","1993-06-18","2026-05-02","Per=M","Days=T","Dir=V")</f>
        <v>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BDH("COGT US Equity","BS_TOT_ASSET","1993-06-18","2026-05-02","Per=Y","Days=T","Dir=V")</f>
        <v>0</v>
      </c>
      <c r="C2">
        <f>BDH("COGT US Equity","BS_TOT_LIAB2","1993-06-18","2026-05-02","Per=Y","Days=T","Dir=V")</f>
        <v>0</v>
      </c>
      <c r="E2">
        <f>BDH("COGT US Equity","SHORT_AND_LONG_TERM_DEBT","1993-06-18","2026-05-02","Per=Y","Days=T","Dir=V")</f>
        <v>0</v>
      </c>
      <c r="G2">
        <f>BDH("COGT US Equity","BS_ST_BORROW","1993-06-18","2026-05-02","Per=Y","Days=T","Dir=V")</f>
        <v>0</v>
      </c>
      <c r="I2">
        <f>BDH("COGT US Equity","BS_LT_BORROW","1993-06-18","2026-05-02","Per=Y","Days=T","Dir=V")</f>
        <v>0</v>
      </c>
      <c r="K2">
        <f>BDH("COGT US Equity","BS_CASH_NEAR_CASH_ITEM","1993-06-18","2026-05-02","Per=Y","Days=T","Dir=V")</f>
        <v>0</v>
      </c>
      <c r="M2">
        <f>BDH("COGT US Equity","BS_CUR_ASSET_REPORT","1993-06-18","2026-05-02","Per=Y","Days=T","Dir=V")</f>
        <v>0</v>
      </c>
      <c r="O2">
        <f>BDH("COGT US Equity","BS_CUR_LIAB","1993-06-18","2026-05-02","Per=Y","Days=T","Dir=V")</f>
        <v>0</v>
      </c>
      <c r="Q2">
        <f>BDH("COGT US Equity","BS_SHAREHOLDER_EQY_ENDING_PERIOD","1993-06-18","2026-05-02","Per=Y","Days=T","Dir=V")</f>
        <v>0</v>
      </c>
      <c r="S2">
        <f>BDH("COGT US Equity","BS_ACCT_NOTE_RCV","1993-06-18","2026-05-02","Per=Y","Days=T","Dir=V")</f>
        <v>0</v>
      </c>
      <c r="U2">
        <f>BDH("COGT US Equity","BS_INVENTORIES","1993-06-18","2026-05-02","Per=Y","Days=T","Dir=V")</f>
        <v>0</v>
      </c>
      <c r="W2">
        <f>BDH("COGT US Equity","WORKING_CAPITAL","1993-06-18","2026-05-02","Per=Y","Days=T","Dir=V")</f>
        <v>0</v>
      </c>
      <c r="Y2">
        <f>BDH("COGT US Equity","SALES_REV_TURN","1993-06-18","2026-05-02","Per=Y","Days=T","Dir=V")</f>
        <v>0</v>
      </c>
      <c r="AA2">
        <f>BDH("COGT US Equity","EBIT","1993-06-18","2026-05-02","Per=Y","Days=T","Dir=V")</f>
        <v>0</v>
      </c>
      <c r="AC2">
        <f>BDH("COGT US Equity","EBITDA","1993-06-18","2026-05-02","Per=Y","Days=T","Dir=V")</f>
        <v>0</v>
      </c>
      <c r="AE2">
        <f>BDH("COGT US Equity","NET_INCOME","1993-06-18","2026-05-02","Per=Y","Days=T","Dir=V")</f>
        <v>0</v>
      </c>
      <c r="AG2">
        <f>BDH("COGT US Equity","IS_INT_EXPENSE","1993-06-18","2026-05-02","Per=Y","Days=T","Dir=V")</f>
        <v>0</v>
      </c>
      <c r="AI2">
        <f>BDH("COGT US Equity","IS_DEPR_EXP","1993-06-18","2026-05-02","Per=Y","Days=T","Dir=V")</f>
        <v>0</v>
      </c>
      <c r="AK2">
        <f>BDH("COGT US Equity","CF_CASH_FROM_OPER","1993-06-18","2026-05-02","Per=Y","Days=T","Dir=V")</f>
        <v>0</v>
      </c>
      <c r="AM2">
        <f>BDH("COGT US Equity","CAPITAL_EXPEND","1993-06-18","2026-05-02","Per=Y","Days=T","Dir=V")</f>
        <v>0</v>
      </c>
      <c r="AO2">
        <f>BDH("COGT US Equity","CF_FREE_CASH_FLOW","1993-06-18","2026-05-02","Per=Y","Days=T","Dir=V")</f>
        <v>0</v>
      </c>
      <c r="AQ2">
        <f>BDH("COGT US Equity","PX_LAST","1993-06-18","2026-05-02","Per=M","Days=T","Dir=V")</f>
        <v>0</v>
      </c>
      <c r="AS2">
        <f>BDH("COGT US Equity","CUR_MKT_CAP","1993-06-18","2026-05-02","Per=M","Days=T","Dir=V")</f>
        <v>0</v>
      </c>
      <c r="AU2">
        <f>BDH("COGT US Equity","EQY_SH_OUT","1993-06-18","2026-05-02","Per=M","Days=T","Dir=V")</f>
        <v>0</v>
      </c>
      <c r="AW2">
        <f>BDH("COGT US Equity","PX_VOLUME","1993-06-18","2026-05-02","Per=M","Days=T","Dir=V")</f>
        <v>0</v>
      </c>
      <c r="AY2">
        <f>BDH("COGT US Equity","TURNOVER","1993-06-18","2026-05-02","Per=M","Days=T","Dir=V")</f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BDH("COHR US Equity","BS_TOT_ASSET","1993-06-18","2026-05-02","Per=Y","Days=T","Dir=V")</f>
        <v>0</v>
      </c>
      <c r="C2">
        <f>BDH("COHR US Equity","BS_TOT_LIAB2","1993-06-18","2026-05-02","Per=Y","Days=T","Dir=V")</f>
        <v>0</v>
      </c>
      <c r="E2">
        <f>BDH("COHR US Equity","SHORT_AND_LONG_TERM_DEBT","1993-06-18","2026-05-02","Per=Y","Days=T","Dir=V")</f>
        <v>0</v>
      </c>
      <c r="G2">
        <f>BDH("COHR US Equity","BS_ST_BORROW","1993-06-18","2026-05-02","Per=Y","Days=T","Dir=V")</f>
        <v>0</v>
      </c>
      <c r="I2">
        <f>BDH("COHR US Equity","BS_LT_BORROW","1993-06-18","2026-05-02","Per=Y","Days=T","Dir=V")</f>
        <v>0</v>
      </c>
      <c r="K2">
        <f>BDH("COHR US Equity","BS_CASH_NEAR_CASH_ITEM","1993-06-18","2026-05-02","Per=Y","Days=T","Dir=V")</f>
        <v>0</v>
      </c>
      <c r="M2">
        <f>BDH("COHR US Equity","BS_CUR_ASSET_REPORT","1993-06-18","2026-05-02","Per=Y","Days=T","Dir=V")</f>
        <v>0</v>
      </c>
      <c r="O2">
        <f>BDH("COHR US Equity","BS_CUR_LIAB","1993-06-18","2026-05-02","Per=Y","Days=T","Dir=V")</f>
        <v>0</v>
      </c>
      <c r="Q2">
        <f>BDH("COHR US Equity","BS_SHAREHOLDER_EQY_ENDING_PERIOD","1993-06-18","2026-05-02","Per=Y","Days=T","Dir=V")</f>
        <v>0</v>
      </c>
      <c r="S2">
        <f>BDH("COHR US Equity","BS_ACCT_NOTE_RCV","1993-06-18","2026-05-02","Per=Y","Days=T","Dir=V")</f>
        <v>0</v>
      </c>
      <c r="U2">
        <f>BDH("COHR US Equity","BS_INVENTORIES","1993-06-18","2026-05-02","Per=Y","Days=T","Dir=V")</f>
        <v>0</v>
      </c>
      <c r="W2">
        <f>BDH("COHR US Equity","WORKING_CAPITAL","1993-06-18","2026-05-02","Per=Y","Days=T","Dir=V")</f>
        <v>0</v>
      </c>
      <c r="Y2">
        <f>BDH("COHR US Equity","SALES_REV_TURN","1993-06-18","2026-05-02","Per=Y","Days=T","Dir=V")</f>
        <v>0</v>
      </c>
      <c r="AA2">
        <f>BDH("COHR US Equity","EBIT","1993-06-18","2026-05-02","Per=Y","Days=T","Dir=V")</f>
        <v>0</v>
      </c>
      <c r="AC2">
        <f>BDH("COHR US Equity","EBITDA","1993-06-18","2026-05-02","Per=Y","Days=T","Dir=V")</f>
        <v>0</v>
      </c>
      <c r="AE2">
        <f>BDH("COHR US Equity","NET_INCOME","1993-06-18","2026-05-02","Per=Y","Days=T","Dir=V")</f>
        <v>0</v>
      </c>
      <c r="AG2">
        <f>BDH("COHR US Equity","IS_INT_EXPENSE","1993-06-18","2026-05-02","Per=Y","Days=T","Dir=V")</f>
        <v>0</v>
      </c>
      <c r="AI2">
        <f>BDH("COHR US Equity","IS_DEPR_EXP","1993-06-18","2026-05-02","Per=Y","Days=T","Dir=V")</f>
        <v>0</v>
      </c>
      <c r="AK2">
        <f>BDH("COHR US Equity","CF_CASH_FROM_OPER","1993-06-18","2026-05-02","Per=Y","Days=T","Dir=V")</f>
        <v>0</v>
      </c>
      <c r="AM2">
        <f>BDH("COHR US Equity","CAPITAL_EXPEND","1993-06-18","2026-05-02","Per=Y","Days=T","Dir=V")</f>
        <v>0</v>
      </c>
      <c r="AO2">
        <f>BDH("COHR US Equity","CF_FREE_CASH_FLOW","1993-06-18","2026-05-02","Per=Y","Days=T","Dir=V")</f>
        <v>0</v>
      </c>
      <c r="AQ2">
        <f>BDH("COHR US Equity","PX_LAST","1993-06-18","2026-05-02","Per=M","Days=T","Dir=V")</f>
        <v>0</v>
      </c>
      <c r="AS2">
        <f>BDH("COHR US Equity","CUR_MKT_CAP","1993-06-18","2026-05-02","Per=M","Days=T","Dir=V")</f>
        <v>0</v>
      </c>
      <c r="AU2">
        <f>BDH("COHR US Equity","EQY_SH_OUT","1993-06-18","2026-05-02","Per=M","Days=T","Dir=V")</f>
        <v>0</v>
      </c>
      <c r="AW2">
        <f>BDH("COHR US Equity","PX_VOLUME","1993-06-18","2026-05-02","Per=M","Days=T","Dir=V")</f>
        <v>0</v>
      </c>
      <c r="AY2">
        <f>BDH("COHR US Equity","TURNOVER","1993-06-18","2026-05-02","Per=M","Days=T","Dir=V")</f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BDH("COHU US Equity","BS_TOT_ASSET","1993-06-18","2026-05-02","Per=Y","Days=T","Dir=V")</f>
        <v>0</v>
      </c>
      <c r="C2">
        <f>BDH("COHU US Equity","BS_TOT_LIAB2","1993-06-18","2026-05-02","Per=Y","Days=T","Dir=V")</f>
        <v>0</v>
      </c>
      <c r="E2">
        <f>BDH("COHU US Equity","SHORT_AND_LONG_TERM_DEBT","1993-06-18","2026-05-02","Per=Y","Days=T","Dir=V")</f>
        <v>0</v>
      </c>
      <c r="G2">
        <f>BDH("COHU US Equity","BS_ST_BORROW","1993-06-18","2026-05-02","Per=Y","Days=T","Dir=V")</f>
        <v>0</v>
      </c>
      <c r="I2">
        <f>BDH("COHU US Equity","BS_LT_BORROW","1993-06-18","2026-05-02","Per=Y","Days=T","Dir=V")</f>
        <v>0</v>
      </c>
      <c r="K2">
        <f>BDH("COHU US Equity","BS_CASH_NEAR_CASH_ITEM","1993-06-18","2026-05-02","Per=Y","Days=T","Dir=V")</f>
        <v>0</v>
      </c>
      <c r="M2">
        <f>BDH("COHU US Equity","BS_CUR_ASSET_REPORT","1993-06-18","2026-05-02","Per=Y","Days=T","Dir=V")</f>
        <v>0</v>
      </c>
      <c r="O2">
        <f>BDH("COHU US Equity","BS_CUR_LIAB","1993-06-18","2026-05-02","Per=Y","Days=T","Dir=V")</f>
        <v>0</v>
      </c>
      <c r="Q2">
        <f>BDH("COHU US Equity","BS_SHAREHOLDER_EQY_ENDING_PERIOD","1993-06-18","2026-05-02","Per=Y","Days=T","Dir=V")</f>
        <v>0</v>
      </c>
      <c r="S2">
        <f>BDH("COHU US Equity","BS_ACCT_NOTE_RCV","1993-06-18","2026-05-02","Per=Y","Days=T","Dir=V")</f>
        <v>0</v>
      </c>
      <c r="U2">
        <f>BDH("COHU US Equity","BS_INVENTORIES","1993-06-18","2026-05-02","Per=Y","Days=T","Dir=V")</f>
        <v>0</v>
      </c>
      <c r="W2">
        <f>BDH("COHU US Equity","WORKING_CAPITAL","1993-06-18","2026-05-02","Per=Y","Days=T","Dir=V")</f>
        <v>0</v>
      </c>
      <c r="Y2">
        <f>BDH("COHU US Equity","SALES_REV_TURN","1993-06-18","2026-05-02","Per=Y","Days=T","Dir=V")</f>
        <v>0</v>
      </c>
      <c r="AA2">
        <f>BDH("COHU US Equity","EBIT","1993-06-18","2026-05-02","Per=Y","Days=T","Dir=V")</f>
        <v>0</v>
      </c>
      <c r="AC2">
        <f>BDH("COHU US Equity","EBITDA","1993-06-18","2026-05-02","Per=Y","Days=T","Dir=V")</f>
        <v>0</v>
      </c>
      <c r="AE2">
        <f>BDH("COHU US Equity","NET_INCOME","1993-06-18","2026-05-02","Per=Y","Days=T","Dir=V")</f>
        <v>0</v>
      </c>
      <c r="AG2">
        <f>BDH("COHU US Equity","IS_INT_EXPENSE","1993-06-18","2026-05-02","Per=Y","Days=T","Dir=V")</f>
        <v>0</v>
      </c>
      <c r="AI2">
        <f>BDH("COHU US Equity","IS_DEPR_EXP","1993-06-18","2026-05-02","Per=Y","Days=T","Dir=V")</f>
        <v>0</v>
      </c>
      <c r="AK2">
        <f>BDH("COHU US Equity","CF_CASH_FROM_OPER","1993-06-18","2026-05-02","Per=Y","Days=T","Dir=V")</f>
        <v>0</v>
      </c>
      <c r="AM2">
        <f>BDH("COHU US Equity","CAPITAL_EXPEND","1993-06-18","2026-05-02","Per=Y","Days=T","Dir=V")</f>
        <v>0</v>
      </c>
      <c r="AO2">
        <f>BDH("COHU US Equity","CF_FREE_CASH_FLOW","1993-06-18","2026-05-02","Per=Y","Days=T","Dir=V")</f>
        <v>0</v>
      </c>
      <c r="AQ2">
        <f>BDH("COHU US Equity","PX_LAST","1993-06-18","2026-05-02","Per=M","Days=T","Dir=V")</f>
        <v>0</v>
      </c>
      <c r="AS2">
        <f>BDH("COHU US Equity","CUR_MKT_CAP","1993-06-18","2026-05-02","Per=M","Days=T","Dir=V")</f>
        <v>0</v>
      </c>
      <c r="AU2">
        <f>BDH("COHU US Equity","EQY_SH_OUT","1993-06-18","2026-05-02","Per=M","Days=T","Dir=V")</f>
        <v>0</v>
      </c>
      <c r="AW2">
        <f>BDH("COHU US Equity","PX_VOLUME","1993-06-18","2026-05-02","Per=M","Days=T","Dir=V")</f>
        <v>0</v>
      </c>
      <c r="AY2">
        <f>BDH("COHU US Equity","TURNOVER","1993-06-18","2026-05-02","Per=M","Days=T","Dir=V")</f>
        <v>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BDH("COKE US Equity","BS_TOT_ASSET","1993-06-18","2026-05-02","Per=Y","Days=T","Dir=V")</f>
        <v>0</v>
      </c>
      <c r="C2">
        <f>BDH("COKE US Equity","BS_TOT_LIAB2","1993-06-18","2026-05-02","Per=Y","Days=T","Dir=V")</f>
        <v>0</v>
      </c>
      <c r="E2">
        <f>BDH("COKE US Equity","SHORT_AND_LONG_TERM_DEBT","1993-06-18","2026-05-02","Per=Y","Days=T","Dir=V")</f>
        <v>0</v>
      </c>
      <c r="G2">
        <f>BDH("COKE US Equity","BS_ST_BORROW","1993-06-18","2026-05-02","Per=Y","Days=T","Dir=V")</f>
        <v>0</v>
      </c>
      <c r="I2">
        <f>BDH("COKE US Equity","BS_LT_BORROW","1993-06-18","2026-05-02","Per=Y","Days=T","Dir=V")</f>
        <v>0</v>
      </c>
      <c r="K2">
        <f>BDH("COKE US Equity","BS_CASH_NEAR_CASH_ITEM","1993-06-18","2026-05-02","Per=Y","Days=T","Dir=V")</f>
        <v>0</v>
      </c>
      <c r="M2">
        <f>BDH("COKE US Equity","BS_CUR_ASSET_REPORT","1993-06-18","2026-05-02","Per=Y","Days=T","Dir=V")</f>
        <v>0</v>
      </c>
      <c r="O2">
        <f>BDH("COKE US Equity","BS_CUR_LIAB","1993-06-18","2026-05-02","Per=Y","Days=T","Dir=V")</f>
        <v>0</v>
      </c>
      <c r="Q2">
        <f>BDH("COKE US Equity","BS_SHAREHOLDER_EQY_ENDING_PERIOD","1993-06-18","2026-05-02","Per=Y","Days=T","Dir=V")</f>
        <v>0</v>
      </c>
      <c r="S2">
        <f>BDH("COKE US Equity","BS_ACCT_NOTE_RCV","1993-06-18","2026-05-02","Per=Y","Days=T","Dir=V")</f>
        <v>0</v>
      </c>
      <c r="U2">
        <f>BDH("COKE US Equity","BS_INVENTORIES","1993-06-18","2026-05-02","Per=Y","Days=T","Dir=V")</f>
        <v>0</v>
      </c>
      <c r="W2">
        <f>BDH("COKE US Equity","WORKING_CAPITAL","1993-06-18","2026-05-02","Per=Y","Days=T","Dir=V")</f>
        <v>0</v>
      </c>
      <c r="Y2">
        <f>BDH("COKE US Equity","SALES_REV_TURN","1993-06-18","2026-05-02","Per=Y","Days=T","Dir=V")</f>
        <v>0</v>
      </c>
      <c r="AA2">
        <f>BDH("COKE US Equity","EBIT","1993-06-18","2026-05-02","Per=Y","Days=T","Dir=V")</f>
        <v>0</v>
      </c>
      <c r="AC2">
        <f>BDH("COKE US Equity","EBITDA","1993-06-18","2026-05-02","Per=Y","Days=T","Dir=V")</f>
        <v>0</v>
      </c>
      <c r="AE2">
        <f>BDH("COKE US Equity","NET_INCOME","1993-06-18","2026-05-02","Per=Y","Days=T","Dir=V")</f>
        <v>0</v>
      </c>
      <c r="AG2">
        <f>BDH("COKE US Equity","IS_INT_EXPENSE","1993-06-18","2026-05-02","Per=Y","Days=T","Dir=V")</f>
        <v>0</v>
      </c>
      <c r="AI2">
        <f>BDH("COKE US Equity","IS_DEPR_EXP","1993-06-18","2026-05-02","Per=Y","Days=T","Dir=V")</f>
        <v>0</v>
      </c>
      <c r="AK2">
        <f>BDH("COKE US Equity","CF_CASH_FROM_OPER","1993-06-18","2026-05-02","Per=Y","Days=T","Dir=V")</f>
        <v>0</v>
      </c>
      <c r="AM2">
        <f>BDH("COKE US Equity","CAPITAL_EXPEND","1993-06-18","2026-05-02","Per=Y","Days=T","Dir=V")</f>
        <v>0</v>
      </c>
      <c r="AO2">
        <f>BDH("COKE US Equity","CF_FREE_CASH_FLOW","1993-06-18","2026-05-02","Per=Y","Days=T","Dir=V")</f>
        <v>0</v>
      </c>
      <c r="AQ2">
        <f>BDH("COKE US Equity","PX_LAST","1993-06-18","2026-05-02","Per=M","Days=T","Dir=V")</f>
        <v>0</v>
      </c>
      <c r="AS2">
        <f>BDH("COKE US Equity","CUR_MKT_CAP","1993-06-18","2026-05-02","Per=M","Days=T","Dir=V")</f>
        <v>0</v>
      </c>
      <c r="AU2">
        <f>BDH("COKE US Equity","EQY_SH_OUT","1993-06-18","2026-05-02","Per=M","Days=T","Dir=V")</f>
        <v>0</v>
      </c>
      <c r="AW2">
        <f>BDH("COKE US Equity","PX_VOLUME","1993-06-18","2026-05-02","Per=M","Days=T","Dir=V")</f>
        <v>0</v>
      </c>
      <c r="AY2">
        <f>BDH("COKE US Equity","TURNOVER","1993-06-18","2026-05-02","Per=M","Days=T","Dir=V")</f>
        <v>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BDH("COLL US Equity","BS_TOT_ASSET","1993-06-18","2026-05-02","Per=Y","Days=T","Dir=V")</f>
        <v>0</v>
      </c>
      <c r="C2">
        <f>BDH("COLL US Equity","BS_TOT_LIAB2","1993-06-18","2026-05-02","Per=Y","Days=T","Dir=V")</f>
        <v>0</v>
      </c>
      <c r="E2">
        <f>BDH("COLL US Equity","SHORT_AND_LONG_TERM_DEBT","1993-06-18","2026-05-02","Per=Y","Days=T","Dir=V")</f>
        <v>0</v>
      </c>
      <c r="G2">
        <f>BDH("COLL US Equity","BS_ST_BORROW","1993-06-18","2026-05-02","Per=Y","Days=T","Dir=V")</f>
        <v>0</v>
      </c>
      <c r="I2">
        <f>BDH("COLL US Equity","BS_LT_BORROW","1993-06-18","2026-05-02","Per=Y","Days=T","Dir=V")</f>
        <v>0</v>
      </c>
      <c r="K2">
        <f>BDH("COLL US Equity","BS_CASH_NEAR_CASH_ITEM","1993-06-18","2026-05-02","Per=Y","Days=T","Dir=V")</f>
        <v>0</v>
      </c>
      <c r="M2">
        <f>BDH("COLL US Equity","BS_CUR_ASSET_REPORT","1993-06-18","2026-05-02","Per=Y","Days=T","Dir=V")</f>
        <v>0</v>
      </c>
      <c r="O2">
        <f>BDH("COLL US Equity","BS_CUR_LIAB","1993-06-18","2026-05-02","Per=Y","Days=T","Dir=V")</f>
        <v>0</v>
      </c>
      <c r="Q2">
        <f>BDH("COLL US Equity","BS_SHAREHOLDER_EQY_ENDING_PERIOD","1993-06-18","2026-05-02","Per=Y","Days=T","Dir=V")</f>
        <v>0</v>
      </c>
      <c r="S2">
        <f>BDH("COLL US Equity","BS_ACCT_NOTE_RCV","1993-06-18","2026-05-02","Per=Y","Days=T","Dir=V")</f>
        <v>0</v>
      </c>
      <c r="U2">
        <f>BDH("COLL US Equity","BS_INVENTORIES","1993-06-18","2026-05-02","Per=Y","Days=T","Dir=V")</f>
        <v>0</v>
      </c>
      <c r="W2">
        <f>BDH("COLL US Equity","WORKING_CAPITAL","1993-06-18","2026-05-02","Per=Y","Days=T","Dir=V")</f>
        <v>0</v>
      </c>
      <c r="Y2">
        <f>BDH("COLL US Equity","SALES_REV_TURN","1993-06-18","2026-05-02","Per=Y","Days=T","Dir=V")</f>
        <v>0</v>
      </c>
      <c r="AA2">
        <f>BDH("COLL US Equity","EBIT","1993-06-18","2026-05-02","Per=Y","Days=T","Dir=V")</f>
        <v>0</v>
      </c>
      <c r="AC2">
        <f>BDH("COLL US Equity","EBITDA","1993-06-18","2026-05-02","Per=Y","Days=T","Dir=V")</f>
        <v>0</v>
      </c>
      <c r="AE2">
        <f>BDH("COLL US Equity","NET_INCOME","1993-06-18","2026-05-02","Per=Y","Days=T","Dir=V")</f>
        <v>0</v>
      </c>
      <c r="AG2">
        <f>BDH("COLL US Equity","IS_INT_EXPENSE","1993-06-18","2026-05-02","Per=Y","Days=T","Dir=V")</f>
        <v>0</v>
      </c>
      <c r="AI2">
        <f>BDH("COLL US Equity","IS_DEPR_EXP","1993-06-18","2026-05-02","Per=Y","Days=T","Dir=V")</f>
        <v>0</v>
      </c>
      <c r="AK2">
        <f>BDH("COLL US Equity","CF_CASH_FROM_OPER","1993-06-18","2026-05-02","Per=Y","Days=T","Dir=V")</f>
        <v>0</v>
      </c>
      <c r="AM2">
        <f>BDH("COLL US Equity","CAPITAL_EXPEND","1993-06-18","2026-05-02","Per=Y","Days=T","Dir=V")</f>
        <v>0</v>
      </c>
      <c r="AO2">
        <f>BDH("COLL US Equity","CF_FREE_CASH_FLOW","1993-06-18","2026-05-02","Per=Y","Days=T","Dir=V")</f>
        <v>0</v>
      </c>
      <c r="AQ2">
        <f>BDH("COLL US Equity","PX_LAST","1993-06-18","2026-05-02","Per=M","Days=T","Dir=V")</f>
        <v>0</v>
      </c>
      <c r="AS2">
        <f>BDH("COLL US Equity","CUR_MKT_CAP","1993-06-18","2026-05-02","Per=M","Days=T","Dir=V")</f>
        <v>0</v>
      </c>
      <c r="AU2">
        <f>BDH("COLL US Equity","EQY_SH_OUT","1993-06-18","2026-05-02","Per=M","Days=T","Dir=V")</f>
        <v>0</v>
      </c>
      <c r="AW2">
        <f>BDH("COLL US Equity","PX_VOLUME","1993-06-18","2026-05-02","Per=M","Days=T","Dir=V")</f>
        <v>0</v>
      </c>
      <c r="AY2">
        <f>BDH("COLL US Equity","TURNOVER","1993-06-18","2026-05-02","Per=M","Days=T","Dir=V")</f>
        <v>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BDH("COLM US Equity","BS_TOT_ASSET","1993-06-18","2026-05-02","Per=Y","Days=T","Dir=V")</f>
        <v>0</v>
      </c>
      <c r="C2">
        <f>BDH("COLM US Equity","BS_TOT_LIAB2","1993-06-18","2026-05-02","Per=Y","Days=T","Dir=V")</f>
        <v>0</v>
      </c>
      <c r="E2">
        <f>BDH("COLM US Equity","SHORT_AND_LONG_TERM_DEBT","1993-06-18","2026-05-02","Per=Y","Days=T","Dir=V")</f>
        <v>0</v>
      </c>
      <c r="G2">
        <f>BDH("COLM US Equity","BS_ST_BORROW","1993-06-18","2026-05-02","Per=Y","Days=T","Dir=V")</f>
        <v>0</v>
      </c>
      <c r="I2">
        <f>BDH("COLM US Equity","BS_LT_BORROW","1993-06-18","2026-05-02","Per=Y","Days=T","Dir=V")</f>
        <v>0</v>
      </c>
      <c r="K2">
        <f>BDH("COLM US Equity","BS_CASH_NEAR_CASH_ITEM","1993-06-18","2026-05-02","Per=Y","Days=T","Dir=V")</f>
        <v>0</v>
      </c>
      <c r="M2">
        <f>BDH("COLM US Equity","BS_CUR_ASSET_REPORT","1993-06-18","2026-05-02","Per=Y","Days=T","Dir=V")</f>
        <v>0</v>
      </c>
      <c r="O2">
        <f>BDH("COLM US Equity","BS_CUR_LIAB","1993-06-18","2026-05-02","Per=Y","Days=T","Dir=V")</f>
        <v>0</v>
      </c>
      <c r="Q2">
        <f>BDH("COLM US Equity","BS_SHAREHOLDER_EQY_ENDING_PERIOD","1993-06-18","2026-05-02","Per=Y","Days=T","Dir=V")</f>
        <v>0</v>
      </c>
      <c r="S2">
        <f>BDH("COLM US Equity","BS_ACCT_NOTE_RCV","1993-06-18","2026-05-02","Per=Y","Days=T","Dir=V")</f>
        <v>0</v>
      </c>
      <c r="U2">
        <f>BDH("COLM US Equity","BS_INVENTORIES","1993-06-18","2026-05-02","Per=Y","Days=T","Dir=V")</f>
        <v>0</v>
      </c>
      <c r="W2">
        <f>BDH("COLM US Equity","WORKING_CAPITAL","1993-06-18","2026-05-02","Per=Y","Days=T","Dir=V")</f>
        <v>0</v>
      </c>
      <c r="Y2">
        <f>BDH("COLM US Equity","SALES_REV_TURN","1993-06-18","2026-05-02","Per=Y","Days=T","Dir=V")</f>
        <v>0</v>
      </c>
      <c r="AA2">
        <f>BDH("COLM US Equity","EBIT","1993-06-18","2026-05-02","Per=Y","Days=T","Dir=V")</f>
        <v>0</v>
      </c>
      <c r="AC2">
        <f>BDH("COLM US Equity","EBITDA","1993-06-18","2026-05-02","Per=Y","Days=T","Dir=V")</f>
        <v>0</v>
      </c>
      <c r="AE2">
        <f>BDH("COLM US Equity","NET_INCOME","1993-06-18","2026-05-02","Per=Y","Days=T","Dir=V")</f>
        <v>0</v>
      </c>
      <c r="AG2">
        <f>BDH("COLM US Equity","IS_INT_EXPENSE","1993-06-18","2026-05-02","Per=Y","Days=T","Dir=V")</f>
        <v>0</v>
      </c>
      <c r="AI2">
        <f>BDH("COLM US Equity","IS_DEPR_EXP","1993-06-18","2026-05-02","Per=Y","Days=T","Dir=V")</f>
        <v>0</v>
      </c>
      <c r="AK2">
        <f>BDH("COLM US Equity","CF_CASH_FROM_OPER","1993-06-18","2026-05-02","Per=Y","Days=T","Dir=V")</f>
        <v>0</v>
      </c>
      <c r="AM2">
        <f>BDH("COLM US Equity","CAPITAL_EXPEND","1993-06-18","2026-05-02","Per=Y","Days=T","Dir=V")</f>
        <v>0</v>
      </c>
      <c r="AO2">
        <f>BDH("COLM US Equity","CF_FREE_CASH_FLOW","1993-06-18","2026-05-02","Per=Y","Days=T","Dir=V")</f>
        <v>0</v>
      </c>
      <c r="AQ2">
        <f>BDH("COLM US Equity","PX_LAST","1993-06-18","2026-05-02","Per=M","Days=T","Dir=V")</f>
        <v>0</v>
      </c>
      <c r="AS2">
        <f>BDH("COLM US Equity","CUR_MKT_CAP","1993-06-18","2026-05-02","Per=M","Days=T","Dir=V")</f>
        <v>0</v>
      </c>
      <c r="AU2">
        <f>BDH("COLM US Equity","EQY_SH_OUT","1993-06-18","2026-05-02","Per=M","Days=T","Dir=V")</f>
        <v>0</v>
      </c>
      <c r="AW2">
        <f>BDH("COLM US Equity","PX_VOLUME","1993-06-18","2026-05-02","Per=M","Days=T","Dir=V")</f>
        <v>0</v>
      </c>
      <c r="AY2">
        <f>BDH("COLM US Equity","TURNOVER","1993-06-18","2026-05-02","Per=M","Days=T","Dir=V")</f>
        <v>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BDH("CON US Equity","BS_TOT_ASSET","1993-06-18","2026-05-02","Per=Y","Days=T","Dir=V")</f>
        <v>0</v>
      </c>
      <c r="C2">
        <f>BDH("CON US Equity","BS_TOT_LIAB2","1993-06-18","2026-05-02","Per=Y","Days=T","Dir=V")</f>
        <v>0</v>
      </c>
      <c r="E2">
        <f>BDH("CON US Equity","SHORT_AND_LONG_TERM_DEBT","1993-06-18","2026-05-02","Per=Y","Days=T","Dir=V")</f>
        <v>0</v>
      </c>
      <c r="G2">
        <f>BDH("CON US Equity","BS_ST_BORROW","1993-06-18","2026-05-02","Per=Y","Days=T","Dir=V")</f>
        <v>0</v>
      </c>
      <c r="I2">
        <f>BDH("CON US Equity","BS_LT_BORROW","1993-06-18","2026-05-02","Per=Y","Days=T","Dir=V")</f>
        <v>0</v>
      </c>
      <c r="K2">
        <f>BDH("CON US Equity","BS_CASH_NEAR_CASH_ITEM","1993-06-18","2026-05-02","Per=Y","Days=T","Dir=V")</f>
        <v>0</v>
      </c>
      <c r="M2">
        <f>BDH("CON US Equity","BS_CUR_ASSET_REPORT","1993-06-18","2026-05-02","Per=Y","Days=T","Dir=V")</f>
        <v>0</v>
      </c>
      <c r="O2">
        <f>BDH("CON US Equity","BS_CUR_LIAB","1993-06-18","2026-05-02","Per=Y","Days=T","Dir=V")</f>
        <v>0</v>
      </c>
      <c r="Q2">
        <f>BDH("CON US Equity","BS_SHAREHOLDER_EQY_ENDING_PERIOD","1993-06-18","2026-05-02","Per=Y","Days=T","Dir=V")</f>
        <v>0</v>
      </c>
      <c r="S2">
        <f>BDH("CON US Equity","BS_ACCT_NOTE_RCV","1993-06-18","2026-05-02","Per=Y","Days=T","Dir=V")</f>
        <v>0</v>
      </c>
      <c r="U2">
        <f>BDH("CON US Equity","BS_INVENTORIES","1993-06-18","2026-05-02","Per=Y","Days=T","Dir=V")</f>
        <v>0</v>
      </c>
      <c r="W2">
        <f>BDH("CON US Equity","WORKING_CAPITAL","1993-06-18","2026-05-02","Per=Y","Days=T","Dir=V")</f>
        <v>0</v>
      </c>
      <c r="Y2">
        <f>BDH("CON US Equity","SALES_REV_TURN","1993-06-18","2026-05-02","Per=Y","Days=T","Dir=V")</f>
        <v>0</v>
      </c>
      <c r="AA2">
        <f>BDH("CON US Equity","EBIT","1993-06-18","2026-05-02","Per=Y","Days=T","Dir=V")</f>
        <v>0</v>
      </c>
      <c r="AC2">
        <f>BDH("CON US Equity","EBITDA","1993-06-18","2026-05-02","Per=Y","Days=T","Dir=V")</f>
        <v>0</v>
      </c>
      <c r="AE2">
        <f>BDH("CON US Equity","NET_INCOME","1993-06-18","2026-05-02","Per=Y","Days=T","Dir=V")</f>
        <v>0</v>
      </c>
      <c r="AG2">
        <f>BDH("CON US Equity","IS_INT_EXPENSE","1993-06-18","2026-05-02","Per=Y","Days=T","Dir=V")</f>
        <v>0</v>
      </c>
      <c r="AI2">
        <f>BDH("CON US Equity","IS_DEPR_EXP","1993-06-18","2026-05-02","Per=Y","Days=T","Dir=V")</f>
        <v>0</v>
      </c>
      <c r="AK2">
        <f>BDH("CON US Equity","CF_CASH_FROM_OPER","1993-06-18","2026-05-02","Per=Y","Days=T","Dir=V")</f>
        <v>0</v>
      </c>
      <c r="AM2">
        <f>BDH("CON US Equity","CAPITAL_EXPEND","1993-06-18","2026-05-02","Per=Y","Days=T","Dir=V")</f>
        <v>0</v>
      </c>
      <c r="AO2">
        <f>BDH("CON US Equity","CF_FREE_CASH_FLOW","1993-06-18","2026-05-02","Per=Y","Days=T","Dir=V")</f>
        <v>0</v>
      </c>
      <c r="AQ2">
        <f>BDH("CON US Equity","PX_LAST","1993-06-18","2026-05-02","Per=M","Days=T","Dir=V")</f>
        <v>0</v>
      </c>
      <c r="AS2">
        <f>BDH("CON US Equity","CUR_MKT_CAP","1993-06-18","2026-05-02","Per=M","Days=T","Dir=V")</f>
        <v>0</v>
      </c>
      <c r="AU2">
        <f>BDH("CON US Equity","EQY_SH_OUT","1993-06-18","2026-05-02","Per=M","Days=T","Dir=V")</f>
        <v>0</v>
      </c>
      <c r="AW2">
        <f>BDH("CON US Equity","PX_VOLUME","1993-06-18","2026-05-02","Per=M","Days=T","Dir=V")</f>
        <v>0</v>
      </c>
      <c r="AY2">
        <f>BDH("CON US Equity","TURNOVER","1993-06-18","2026-05-02","Per=M","Days=T","Dir=V")</f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BDH("COO US Equity","BS_TOT_ASSET","1993-06-18","2026-05-02","Per=Y","Days=T","Dir=V")</f>
        <v>0</v>
      </c>
      <c r="C2">
        <f>BDH("COO US Equity","BS_TOT_LIAB2","1993-06-18","2026-05-02","Per=Y","Days=T","Dir=V")</f>
        <v>0</v>
      </c>
      <c r="E2">
        <f>BDH("COO US Equity","SHORT_AND_LONG_TERM_DEBT","1993-06-18","2026-05-02","Per=Y","Days=T","Dir=V")</f>
        <v>0</v>
      </c>
      <c r="G2">
        <f>BDH("COO US Equity","BS_ST_BORROW","1993-06-18","2026-05-02","Per=Y","Days=T","Dir=V")</f>
        <v>0</v>
      </c>
      <c r="I2">
        <f>BDH("COO US Equity","BS_LT_BORROW","1993-06-18","2026-05-02","Per=Y","Days=T","Dir=V")</f>
        <v>0</v>
      </c>
      <c r="K2">
        <f>BDH("COO US Equity","BS_CASH_NEAR_CASH_ITEM","1993-06-18","2026-05-02","Per=Y","Days=T","Dir=V")</f>
        <v>0</v>
      </c>
      <c r="M2">
        <f>BDH("COO US Equity","BS_CUR_ASSET_REPORT","1993-06-18","2026-05-02","Per=Y","Days=T","Dir=V")</f>
        <v>0</v>
      </c>
      <c r="O2">
        <f>BDH("COO US Equity","BS_CUR_LIAB","1993-06-18","2026-05-02","Per=Y","Days=T","Dir=V")</f>
        <v>0</v>
      </c>
      <c r="Q2">
        <f>BDH("COO US Equity","BS_SHAREHOLDER_EQY_ENDING_PERIOD","1993-06-18","2026-05-02","Per=Y","Days=T","Dir=V")</f>
        <v>0</v>
      </c>
      <c r="S2">
        <f>BDH("COO US Equity","BS_ACCT_NOTE_RCV","1993-06-18","2026-05-02","Per=Y","Days=T","Dir=V")</f>
        <v>0</v>
      </c>
      <c r="U2">
        <f>BDH("COO US Equity","BS_INVENTORIES","1993-06-18","2026-05-02","Per=Y","Days=T","Dir=V")</f>
        <v>0</v>
      </c>
      <c r="W2">
        <f>BDH("COO US Equity","WORKING_CAPITAL","1993-06-18","2026-05-02","Per=Y","Days=T","Dir=V")</f>
        <v>0</v>
      </c>
      <c r="Y2">
        <f>BDH("COO US Equity","SALES_REV_TURN","1993-06-18","2026-05-02","Per=Y","Days=T","Dir=V")</f>
        <v>0</v>
      </c>
      <c r="AA2">
        <f>BDH("COO US Equity","EBIT","1993-06-18","2026-05-02","Per=Y","Days=T","Dir=V")</f>
        <v>0</v>
      </c>
      <c r="AC2">
        <f>BDH("COO US Equity","EBITDA","1993-06-18","2026-05-02","Per=Y","Days=T","Dir=V")</f>
        <v>0</v>
      </c>
      <c r="AE2">
        <f>BDH("COO US Equity","NET_INCOME","1993-06-18","2026-05-02","Per=Y","Days=T","Dir=V")</f>
        <v>0</v>
      </c>
      <c r="AG2">
        <f>BDH("COO US Equity","IS_INT_EXPENSE","1993-06-18","2026-05-02","Per=Y","Days=T","Dir=V")</f>
        <v>0</v>
      </c>
      <c r="AI2">
        <f>BDH("COO US Equity","IS_DEPR_EXP","1993-06-18","2026-05-02","Per=Y","Days=T","Dir=V")</f>
        <v>0</v>
      </c>
      <c r="AK2">
        <f>BDH("COO US Equity","CF_CASH_FROM_OPER","1993-06-18","2026-05-02","Per=Y","Days=T","Dir=V")</f>
        <v>0</v>
      </c>
      <c r="AM2">
        <f>BDH("COO US Equity","CAPITAL_EXPEND","1993-06-18","2026-05-02","Per=Y","Days=T","Dir=V")</f>
        <v>0</v>
      </c>
      <c r="AO2">
        <f>BDH("COO US Equity","CF_FREE_CASH_FLOW","1993-06-18","2026-05-02","Per=Y","Days=T","Dir=V")</f>
        <v>0</v>
      </c>
      <c r="AQ2">
        <f>BDH("COO US Equity","PX_LAST","1993-06-18","2026-05-02","Per=M","Days=T","Dir=V")</f>
        <v>0</v>
      </c>
      <c r="AS2">
        <f>BDH("COO US Equity","CUR_MKT_CAP","1993-06-18","2026-05-02","Per=M","Days=T","Dir=V")</f>
        <v>0</v>
      </c>
      <c r="AU2">
        <f>BDH("COO US Equity","EQY_SH_OUT","1993-06-18","2026-05-02","Per=M","Days=T","Dir=V")</f>
        <v>0</v>
      </c>
      <c r="AW2">
        <f>BDH("COO US Equity","PX_VOLUME","1993-06-18","2026-05-02","Per=M","Days=T","Dir=V")</f>
        <v>0</v>
      </c>
      <c r="AY2">
        <f>BDH("COO US Equity","TURNOVER","1993-06-18","2026-05-02","Per=M","Days=T","Dir=V")</f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BDH("COOK US Equity","BS_TOT_ASSET","1993-06-18","2026-05-02","Per=Y","Days=T","Dir=V")</f>
        <v>0</v>
      </c>
      <c r="C2">
        <f>BDH("COOK US Equity","BS_TOT_LIAB2","1993-06-18","2026-05-02","Per=Y","Days=T","Dir=V")</f>
        <v>0</v>
      </c>
      <c r="E2">
        <f>BDH("COOK US Equity","SHORT_AND_LONG_TERM_DEBT","1993-06-18","2026-05-02","Per=Y","Days=T","Dir=V")</f>
        <v>0</v>
      </c>
      <c r="G2">
        <f>BDH("COOK US Equity","BS_ST_BORROW","1993-06-18","2026-05-02","Per=Y","Days=T","Dir=V")</f>
        <v>0</v>
      </c>
      <c r="I2">
        <f>BDH("COOK US Equity","BS_LT_BORROW","1993-06-18","2026-05-02","Per=Y","Days=T","Dir=V")</f>
        <v>0</v>
      </c>
      <c r="K2">
        <f>BDH("COOK US Equity","BS_CASH_NEAR_CASH_ITEM","1993-06-18","2026-05-02","Per=Y","Days=T","Dir=V")</f>
        <v>0</v>
      </c>
      <c r="M2">
        <f>BDH("COOK US Equity","BS_CUR_ASSET_REPORT","1993-06-18","2026-05-02","Per=Y","Days=T","Dir=V")</f>
        <v>0</v>
      </c>
      <c r="O2">
        <f>BDH("COOK US Equity","BS_CUR_LIAB","1993-06-18","2026-05-02","Per=Y","Days=T","Dir=V")</f>
        <v>0</v>
      </c>
      <c r="Q2">
        <f>BDH("COOK US Equity","BS_SHAREHOLDER_EQY_ENDING_PERIOD","1993-06-18","2026-05-02","Per=Y","Days=T","Dir=V")</f>
        <v>0</v>
      </c>
      <c r="S2">
        <f>BDH("COOK US Equity","BS_ACCT_NOTE_RCV","1993-06-18","2026-05-02","Per=Y","Days=T","Dir=V")</f>
        <v>0</v>
      </c>
      <c r="U2">
        <f>BDH("COOK US Equity","BS_INVENTORIES","1993-06-18","2026-05-02","Per=Y","Days=T","Dir=V")</f>
        <v>0</v>
      </c>
      <c r="W2">
        <f>BDH("COOK US Equity","WORKING_CAPITAL","1993-06-18","2026-05-02","Per=Y","Days=T","Dir=V")</f>
        <v>0</v>
      </c>
      <c r="Y2">
        <f>BDH("COOK US Equity","SALES_REV_TURN","1993-06-18","2026-05-02","Per=Y","Days=T","Dir=V")</f>
        <v>0</v>
      </c>
      <c r="AA2">
        <f>BDH("COOK US Equity","EBIT","1993-06-18","2026-05-02","Per=Y","Days=T","Dir=V")</f>
        <v>0</v>
      </c>
      <c r="AC2">
        <f>BDH("COOK US Equity","EBITDA","1993-06-18","2026-05-02","Per=Y","Days=T","Dir=V")</f>
        <v>0</v>
      </c>
      <c r="AE2">
        <f>BDH("COOK US Equity","NET_INCOME","1993-06-18","2026-05-02","Per=Y","Days=T","Dir=V")</f>
        <v>0</v>
      </c>
      <c r="AG2">
        <f>BDH("COOK US Equity","IS_INT_EXPENSE","1993-06-18","2026-05-02","Per=Y","Days=T","Dir=V")</f>
        <v>0</v>
      </c>
      <c r="AI2">
        <f>BDH("COOK US Equity","IS_DEPR_EXP","1993-06-18","2026-05-02","Per=Y","Days=T","Dir=V")</f>
        <v>0</v>
      </c>
      <c r="AK2">
        <f>BDH("COOK US Equity","CF_CASH_FROM_OPER","1993-06-18","2026-05-02","Per=Y","Days=T","Dir=V")</f>
        <v>0</v>
      </c>
      <c r="AM2">
        <f>BDH("COOK US Equity","CAPITAL_EXPEND","1993-06-18","2026-05-02","Per=Y","Days=T","Dir=V")</f>
        <v>0</v>
      </c>
      <c r="AO2">
        <f>BDH("COOK US Equity","CF_FREE_CASH_FLOW","1993-06-18","2026-05-02","Per=Y","Days=T","Dir=V")</f>
        <v>0</v>
      </c>
      <c r="AQ2">
        <f>BDH("COOK US Equity","PX_LAST","1993-06-18","2026-05-02","Per=M","Days=T","Dir=V")</f>
        <v>0</v>
      </c>
      <c r="AS2">
        <f>BDH("COOK US Equity","CUR_MKT_CAP","1993-06-18","2026-05-02","Per=M","Days=T","Dir=V")</f>
        <v>0</v>
      </c>
      <c r="AU2">
        <f>BDH("COOK US Equity","EQY_SH_OUT","1993-06-18","2026-05-02","Per=M","Days=T","Dir=V")</f>
        <v>0</v>
      </c>
      <c r="AW2">
        <f>BDH("COOK US Equity","PX_VOLUME","1993-06-18","2026-05-02","Per=M","Days=T","Dir=V")</f>
        <v>0</v>
      </c>
      <c r="AY2">
        <f>BDH("COOK US Equity","TURNOVER","1993-06-18","2026-05-02","Per=M","Days=T","Dir=V")</f>
        <v>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BDH("COP US Equity","BS_TOT_ASSET","1993-06-18","2026-05-02","Per=Y","Days=T","Dir=V")</f>
        <v>0</v>
      </c>
      <c r="C2">
        <f>BDH("COP US Equity","BS_TOT_LIAB2","1993-06-18","2026-05-02","Per=Y","Days=T","Dir=V")</f>
        <v>0</v>
      </c>
      <c r="E2">
        <f>BDH("COP US Equity","SHORT_AND_LONG_TERM_DEBT","1993-06-18","2026-05-02","Per=Y","Days=T","Dir=V")</f>
        <v>0</v>
      </c>
      <c r="G2">
        <f>BDH("COP US Equity","BS_ST_BORROW","1993-06-18","2026-05-02","Per=Y","Days=T","Dir=V")</f>
        <v>0</v>
      </c>
      <c r="I2">
        <f>BDH("COP US Equity","BS_LT_BORROW","1993-06-18","2026-05-02","Per=Y","Days=T","Dir=V")</f>
        <v>0</v>
      </c>
      <c r="K2">
        <f>BDH("COP US Equity","BS_CASH_NEAR_CASH_ITEM","1993-06-18","2026-05-02","Per=Y","Days=T","Dir=V")</f>
        <v>0</v>
      </c>
      <c r="M2">
        <f>BDH("COP US Equity","BS_CUR_ASSET_REPORT","1993-06-18","2026-05-02","Per=Y","Days=T","Dir=V")</f>
        <v>0</v>
      </c>
      <c r="O2">
        <f>BDH("COP US Equity","BS_CUR_LIAB","1993-06-18","2026-05-02","Per=Y","Days=T","Dir=V")</f>
        <v>0</v>
      </c>
      <c r="Q2">
        <f>BDH("COP US Equity","BS_SHAREHOLDER_EQY_ENDING_PERIOD","1993-06-18","2026-05-02","Per=Y","Days=T","Dir=V")</f>
        <v>0</v>
      </c>
      <c r="S2">
        <f>BDH("COP US Equity","BS_ACCT_NOTE_RCV","1993-06-18","2026-05-02","Per=Y","Days=T","Dir=V")</f>
        <v>0</v>
      </c>
      <c r="U2">
        <f>BDH("COP US Equity","BS_INVENTORIES","1993-06-18","2026-05-02","Per=Y","Days=T","Dir=V")</f>
        <v>0</v>
      </c>
      <c r="W2">
        <f>BDH("COP US Equity","WORKING_CAPITAL","1993-06-18","2026-05-02","Per=Y","Days=T","Dir=V")</f>
        <v>0</v>
      </c>
      <c r="Y2">
        <f>BDH("COP US Equity","SALES_REV_TURN","1993-06-18","2026-05-02","Per=Y","Days=T","Dir=V")</f>
        <v>0</v>
      </c>
      <c r="AA2">
        <f>BDH("COP US Equity","EBIT","1993-06-18","2026-05-02","Per=Y","Days=T","Dir=V")</f>
        <v>0</v>
      </c>
      <c r="AC2">
        <f>BDH("COP US Equity","EBITDA","1993-06-18","2026-05-02","Per=Y","Days=T","Dir=V")</f>
        <v>0</v>
      </c>
      <c r="AE2">
        <f>BDH("COP US Equity","NET_INCOME","1993-06-18","2026-05-02","Per=Y","Days=T","Dir=V")</f>
        <v>0</v>
      </c>
      <c r="AG2">
        <f>BDH("COP US Equity","IS_INT_EXPENSE","1993-06-18","2026-05-02","Per=Y","Days=T","Dir=V")</f>
        <v>0</v>
      </c>
      <c r="AI2">
        <f>BDH("COP US Equity","IS_DEPR_EXP","1993-06-18","2026-05-02","Per=Y","Days=T","Dir=V")</f>
        <v>0</v>
      </c>
      <c r="AK2">
        <f>BDH("COP US Equity","CF_CASH_FROM_OPER","1993-06-18","2026-05-02","Per=Y","Days=T","Dir=V")</f>
        <v>0</v>
      </c>
      <c r="AM2">
        <f>BDH("COP US Equity","CAPITAL_EXPEND","1993-06-18","2026-05-02","Per=Y","Days=T","Dir=V")</f>
        <v>0</v>
      </c>
      <c r="AO2">
        <f>BDH("COP US Equity","CF_FREE_CASH_FLOW","1993-06-18","2026-05-02","Per=Y","Days=T","Dir=V")</f>
        <v>0</v>
      </c>
      <c r="AQ2">
        <f>BDH("COP US Equity","PX_LAST","1993-06-18","2026-05-02","Per=M","Days=T","Dir=V")</f>
        <v>0</v>
      </c>
      <c r="AS2">
        <f>BDH("COP US Equity","CUR_MKT_CAP","1993-06-18","2026-05-02","Per=M","Days=T","Dir=V")</f>
        <v>0</v>
      </c>
      <c r="AU2">
        <f>BDH("COP US Equity","EQY_SH_OUT","1993-06-18","2026-05-02","Per=M","Days=T","Dir=V")</f>
        <v>0</v>
      </c>
      <c r="AW2">
        <f>BDH("COP US Equity","PX_VOLUME","1993-06-18","2026-05-02","Per=M","Days=T","Dir=V")</f>
        <v>0</v>
      </c>
      <c r="AY2">
        <f>BDH("COP US Equity","TURNOVER","1993-06-18","2026-05-02","Per=M","Days=T","Dir=V")</f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BDH("COR US Equity","BS_TOT_ASSET","1993-06-18","2026-05-02","Per=Y","Days=T","Dir=V")</f>
        <v>0</v>
      </c>
      <c r="C2">
        <f>BDH("COR US Equity","BS_TOT_LIAB2","1993-06-18","2026-05-02","Per=Y","Days=T","Dir=V")</f>
        <v>0</v>
      </c>
      <c r="E2">
        <f>BDH("COR US Equity","SHORT_AND_LONG_TERM_DEBT","1993-06-18","2026-05-02","Per=Y","Days=T","Dir=V")</f>
        <v>0</v>
      </c>
      <c r="G2">
        <f>BDH("COR US Equity","BS_ST_BORROW","1993-06-18","2026-05-02","Per=Y","Days=T","Dir=V")</f>
        <v>0</v>
      </c>
      <c r="I2">
        <f>BDH("COR US Equity","BS_LT_BORROW","1993-06-18","2026-05-02","Per=Y","Days=T","Dir=V")</f>
        <v>0</v>
      </c>
      <c r="K2">
        <f>BDH("COR US Equity","BS_CASH_NEAR_CASH_ITEM","1993-06-18","2026-05-02","Per=Y","Days=T","Dir=V")</f>
        <v>0</v>
      </c>
      <c r="M2">
        <f>BDH("COR US Equity","BS_CUR_ASSET_REPORT","1993-06-18","2026-05-02","Per=Y","Days=T","Dir=V")</f>
        <v>0</v>
      </c>
      <c r="O2">
        <f>BDH("COR US Equity","BS_CUR_LIAB","1993-06-18","2026-05-02","Per=Y","Days=T","Dir=V")</f>
        <v>0</v>
      </c>
      <c r="Q2">
        <f>BDH("COR US Equity","BS_SHAREHOLDER_EQY_ENDING_PERIOD","1993-06-18","2026-05-02","Per=Y","Days=T","Dir=V")</f>
        <v>0</v>
      </c>
      <c r="S2">
        <f>BDH("COR US Equity","BS_ACCT_NOTE_RCV","1993-06-18","2026-05-02","Per=Y","Days=T","Dir=V")</f>
        <v>0</v>
      </c>
      <c r="U2">
        <f>BDH("COR US Equity","BS_INVENTORIES","1993-06-18","2026-05-02","Per=Y","Days=T","Dir=V")</f>
        <v>0</v>
      </c>
      <c r="W2">
        <f>BDH("COR US Equity","WORKING_CAPITAL","1993-06-18","2026-05-02","Per=Y","Days=T","Dir=V")</f>
        <v>0</v>
      </c>
      <c r="Y2">
        <f>BDH("COR US Equity","SALES_REV_TURN","1993-06-18","2026-05-02","Per=Y","Days=T","Dir=V")</f>
        <v>0</v>
      </c>
      <c r="AA2">
        <f>BDH("COR US Equity","EBIT","1993-06-18","2026-05-02","Per=Y","Days=T","Dir=V")</f>
        <v>0</v>
      </c>
      <c r="AC2">
        <f>BDH("COR US Equity","EBITDA","1993-06-18","2026-05-02","Per=Y","Days=T","Dir=V")</f>
        <v>0</v>
      </c>
      <c r="AE2">
        <f>BDH("COR US Equity","NET_INCOME","1993-06-18","2026-05-02","Per=Y","Days=T","Dir=V")</f>
        <v>0</v>
      </c>
      <c r="AG2">
        <f>BDH("COR US Equity","IS_INT_EXPENSE","1993-06-18","2026-05-02","Per=Y","Days=T","Dir=V")</f>
        <v>0</v>
      </c>
      <c r="AI2">
        <f>BDH("COR US Equity","IS_DEPR_EXP","1993-06-18","2026-05-02","Per=Y","Days=T","Dir=V")</f>
        <v>0</v>
      </c>
      <c r="AK2">
        <f>BDH("COR US Equity","CF_CASH_FROM_OPER","1993-06-18","2026-05-02","Per=Y","Days=T","Dir=V")</f>
        <v>0</v>
      </c>
      <c r="AM2">
        <f>BDH("COR US Equity","CAPITAL_EXPEND","1993-06-18","2026-05-02","Per=Y","Days=T","Dir=V")</f>
        <v>0</v>
      </c>
      <c r="AO2">
        <f>BDH("COR US Equity","CF_FREE_CASH_FLOW","1993-06-18","2026-05-02","Per=Y","Days=T","Dir=V")</f>
        <v>0</v>
      </c>
      <c r="AQ2">
        <f>BDH("COR US Equity","PX_LAST","1993-06-18","2026-05-02","Per=M","Days=T","Dir=V")</f>
        <v>0</v>
      </c>
      <c r="AS2">
        <f>BDH("COR US Equity","CUR_MKT_CAP","1993-06-18","2026-05-02","Per=M","Days=T","Dir=V")</f>
        <v>0</v>
      </c>
      <c r="AU2">
        <f>BDH("COR US Equity","EQY_SH_OUT","1993-06-18","2026-05-02","Per=M","Days=T","Dir=V")</f>
        <v>0</v>
      </c>
      <c r="AW2">
        <f>BDH("COR US Equity","PX_VOLUME","1993-06-18","2026-05-02","Per=M","Days=T","Dir=V")</f>
        <v>0</v>
      </c>
      <c r="AY2">
        <f>BDH("COR US Equity","TURNOVER","1993-06-18","2026-05-02","Per=M","Days=T","Dir=V")</f>
        <v>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BDH("CORT US Equity","BS_TOT_ASSET","1993-06-18","2026-05-02","Per=Y","Days=T","Dir=V")</f>
        <v>0</v>
      </c>
      <c r="C2">
        <f>BDH("CORT US Equity","BS_TOT_LIAB2","1993-06-18","2026-05-02","Per=Y","Days=T","Dir=V")</f>
        <v>0</v>
      </c>
      <c r="E2">
        <f>BDH("CORT US Equity","SHORT_AND_LONG_TERM_DEBT","1993-06-18","2026-05-02","Per=Y","Days=T","Dir=V")</f>
        <v>0</v>
      </c>
      <c r="G2">
        <f>BDH("CORT US Equity","BS_ST_BORROW","1993-06-18","2026-05-02","Per=Y","Days=T","Dir=V")</f>
        <v>0</v>
      </c>
      <c r="I2">
        <f>BDH("CORT US Equity","BS_LT_BORROW","1993-06-18","2026-05-02","Per=Y","Days=T","Dir=V")</f>
        <v>0</v>
      </c>
      <c r="K2">
        <f>BDH("CORT US Equity","BS_CASH_NEAR_CASH_ITEM","1993-06-18","2026-05-02","Per=Y","Days=T","Dir=V")</f>
        <v>0</v>
      </c>
      <c r="M2">
        <f>BDH("CORT US Equity","BS_CUR_ASSET_REPORT","1993-06-18","2026-05-02","Per=Y","Days=T","Dir=V")</f>
        <v>0</v>
      </c>
      <c r="O2">
        <f>BDH("CORT US Equity","BS_CUR_LIAB","1993-06-18","2026-05-02","Per=Y","Days=T","Dir=V")</f>
        <v>0</v>
      </c>
      <c r="Q2">
        <f>BDH("CORT US Equity","BS_SHAREHOLDER_EQY_ENDING_PERIOD","1993-06-18","2026-05-02","Per=Y","Days=T","Dir=V")</f>
        <v>0</v>
      </c>
      <c r="S2">
        <f>BDH("CORT US Equity","BS_ACCT_NOTE_RCV","1993-06-18","2026-05-02","Per=Y","Days=T","Dir=V")</f>
        <v>0</v>
      </c>
      <c r="U2">
        <f>BDH("CORT US Equity","BS_INVENTORIES","1993-06-18","2026-05-02","Per=Y","Days=T","Dir=V")</f>
        <v>0</v>
      </c>
      <c r="W2">
        <f>BDH("CORT US Equity","WORKING_CAPITAL","1993-06-18","2026-05-02","Per=Y","Days=T","Dir=V")</f>
        <v>0</v>
      </c>
      <c r="Y2">
        <f>BDH("CORT US Equity","SALES_REV_TURN","1993-06-18","2026-05-02","Per=Y","Days=T","Dir=V")</f>
        <v>0</v>
      </c>
      <c r="AA2">
        <f>BDH("CORT US Equity","EBIT","1993-06-18","2026-05-02","Per=Y","Days=T","Dir=V")</f>
        <v>0</v>
      </c>
      <c r="AC2">
        <f>BDH("CORT US Equity","EBITDA","1993-06-18","2026-05-02","Per=Y","Days=T","Dir=V")</f>
        <v>0</v>
      </c>
      <c r="AE2">
        <f>BDH("CORT US Equity","NET_INCOME","1993-06-18","2026-05-02","Per=Y","Days=T","Dir=V")</f>
        <v>0</v>
      </c>
      <c r="AG2">
        <f>BDH("CORT US Equity","IS_INT_EXPENSE","1993-06-18","2026-05-02","Per=Y","Days=T","Dir=V")</f>
        <v>0</v>
      </c>
      <c r="AI2">
        <f>BDH("CORT US Equity","IS_DEPR_EXP","1993-06-18","2026-05-02","Per=Y","Days=T","Dir=V")</f>
        <v>0</v>
      </c>
      <c r="AK2">
        <f>BDH("CORT US Equity","CF_CASH_FROM_OPER","1993-06-18","2026-05-02","Per=Y","Days=T","Dir=V")</f>
        <v>0</v>
      </c>
      <c r="AM2">
        <f>BDH("CORT US Equity","CAPITAL_EXPEND","1993-06-18","2026-05-02","Per=Y","Days=T","Dir=V")</f>
        <v>0</v>
      </c>
      <c r="AO2">
        <f>BDH("CORT US Equity","CF_FREE_CASH_FLOW","1993-06-18","2026-05-02","Per=Y","Days=T","Dir=V")</f>
        <v>0</v>
      </c>
      <c r="AQ2">
        <f>BDH("CORT US Equity","PX_LAST","1993-06-18","2026-05-02","Per=M","Days=T","Dir=V")</f>
        <v>0</v>
      </c>
      <c r="AS2">
        <f>BDH("CORT US Equity","CUR_MKT_CAP","1993-06-18","2026-05-02","Per=M","Days=T","Dir=V")</f>
        <v>0</v>
      </c>
      <c r="AU2">
        <f>BDH("CORT US Equity","EQY_SH_OUT","1993-06-18","2026-05-02","Per=M","Days=T","Dir=V")</f>
        <v>0</v>
      </c>
      <c r="AW2">
        <f>BDH("CORT US Equity","PX_VOLUME","1993-06-18","2026-05-02","Per=M","Days=T","Dir=V")</f>
        <v>0</v>
      </c>
      <c r="AY2">
        <f>BDH("CORT US Equity","TURNOVER","1993-06-18","2026-05-02","Per=M","Days=T","Dir=V")</f>
        <v>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BDH("COSM US Equity","BS_TOT_ASSET","1993-06-18","2026-05-02","Per=Y","Days=T","Dir=V")</f>
        <v>0</v>
      </c>
      <c r="C2">
        <f>BDH("COSM US Equity","BS_TOT_LIAB2","1993-06-18","2026-05-02","Per=Y","Days=T","Dir=V")</f>
        <v>0</v>
      </c>
      <c r="E2">
        <f>BDH("COSM US Equity","SHORT_AND_LONG_TERM_DEBT","1993-06-18","2026-05-02","Per=Y","Days=T","Dir=V")</f>
        <v>0</v>
      </c>
      <c r="G2">
        <f>BDH("COSM US Equity","BS_ST_BORROW","1993-06-18","2026-05-02","Per=Y","Days=T","Dir=V")</f>
        <v>0</v>
      </c>
      <c r="I2">
        <f>BDH("COSM US Equity","BS_LT_BORROW","1993-06-18","2026-05-02","Per=Y","Days=T","Dir=V")</f>
        <v>0</v>
      </c>
      <c r="K2">
        <f>BDH("COSM US Equity","BS_CASH_NEAR_CASH_ITEM","1993-06-18","2026-05-02","Per=Y","Days=T","Dir=V")</f>
        <v>0</v>
      </c>
      <c r="M2">
        <f>BDH("COSM US Equity","BS_CUR_ASSET_REPORT","1993-06-18","2026-05-02","Per=Y","Days=T","Dir=V")</f>
        <v>0</v>
      </c>
      <c r="O2">
        <f>BDH("COSM US Equity","BS_CUR_LIAB","1993-06-18","2026-05-02","Per=Y","Days=T","Dir=V")</f>
        <v>0</v>
      </c>
      <c r="Q2">
        <f>BDH("COSM US Equity","BS_SHAREHOLDER_EQY_ENDING_PERIOD","1993-06-18","2026-05-02","Per=Y","Days=T","Dir=V")</f>
        <v>0</v>
      </c>
      <c r="S2">
        <f>BDH("COSM US Equity","BS_ACCT_NOTE_RCV","1993-06-18","2026-05-02","Per=Y","Days=T","Dir=V")</f>
        <v>0</v>
      </c>
      <c r="U2">
        <f>BDH("COSM US Equity","BS_INVENTORIES","1993-06-18","2026-05-02","Per=Y","Days=T","Dir=V")</f>
        <v>0</v>
      </c>
      <c r="W2">
        <f>BDH("COSM US Equity","WORKING_CAPITAL","1993-06-18","2026-05-02","Per=Y","Days=T","Dir=V")</f>
        <v>0</v>
      </c>
      <c r="Y2">
        <f>BDH("COSM US Equity","SALES_REV_TURN","1993-06-18","2026-05-02","Per=Y","Days=T","Dir=V")</f>
        <v>0</v>
      </c>
      <c r="AA2">
        <f>BDH("COSM US Equity","EBIT","1993-06-18","2026-05-02","Per=Y","Days=T","Dir=V")</f>
        <v>0</v>
      </c>
      <c r="AC2">
        <f>BDH("COSM US Equity","EBITDA","1993-06-18","2026-05-02","Per=Y","Days=T","Dir=V")</f>
        <v>0</v>
      </c>
      <c r="AE2">
        <f>BDH("COSM US Equity","NET_INCOME","1993-06-18","2026-05-02","Per=Y","Days=T","Dir=V")</f>
        <v>0</v>
      </c>
      <c r="AG2">
        <f>BDH("COSM US Equity","IS_INT_EXPENSE","1993-06-18","2026-05-02","Per=Y","Days=T","Dir=V")</f>
        <v>0</v>
      </c>
      <c r="AI2">
        <f>BDH("COSM US Equity","IS_DEPR_EXP","1993-06-18","2026-05-02","Per=Y","Days=T","Dir=V")</f>
        <v>0</v>
      </c>
      <c r="AK2">
        <f>BDH("COSM US Equity","CF_CASH_FROM_OPER","1993-06-18","2026-05-02","Per=Y","Days=T","Dir=V")</f>
        <v>0</v>
      </c>
      <c r="AM2">
        <f>BDH("COSM US Equity","CAPITAL_EXPEND","1993-06-18","2026-05-02","Per=Y","Days=T","Dir=V")</f>
        <v>0</v>
      </c>
      <c r="AO2">
        <f>BDH("COSM US Equity","CF_FREE_CASH_FLOW","1993-06-18","2026-05-02","Per=Y","Days=T","Dir=V")</f>
        <v>0</v>
      </c>
      <c r="AQ2">
        <f>BDH("COSM US Equity","PX_LAST","1993-06-18","2026-05-02","Per=M","Days=T","Dir=V")</f>
        <v>0</v>
      </c>
      <c r="AS2">
        <f>BDH("COSM US Equity","CUR_MKT_CAP","1993-06-18","2026-05-02","Per=M","Days=T","Dir=V")</f>
        <v>0</v>
      </c>
      <c r="AU2">
        <f>BDH("COSM US Equity","EQY_SH_OUT","1993-06-18","2026-05-02","Per=M","Days=T","Dir=V")</f>
        <v>0</v>
      </c>
      <c r="AW2">
        <f>BDH("COSM US Equity","PX_VOLUME","1993-06-18","2026-05-02","Per=M","Days=T","Dir=V")</f>
        <v>0</v>
      </c>
      <c r="AY2">
        <f>BDH("COSM US Equity","TURNOVER","1993-06-18","2026-05-02","Per=M","Days=T","Dir=V")</f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BDH("COST US Equity","BS_TOT_ASSET","1993-06-18","2026-05-02","Per=Y","Days=T","Dir=V")</f>
        <v>0</v>
      </c>
      <c r="C2">
        <f>BDH("COST US Equity","BS_TOT_LIAB2","1993-06-18","2026-05-02","Per=Y","Days=T","Dir=V")</f>
        <v>0</v>
      </c>
      <c r="E2">
        <f>BDH("COST US Equity","SHORT_AND_LONG_TERM_DEBT","1993-06-18","2026-05-02","Per=Y","Days=T","Dir=V")</f>
        <v>0</v>
      </c>
      <c r="G2">
        <f>BDH("COST US Equity","BS_ST_BORROW","1993-06-18","2026-05-02","Per=Y","Days=T","Dir=V")</f>
        <v>0</v>
      </c>
      <c r="I2">
        <f>BDH("COST US Equity","BS_LT_BORROW","1993-06-18","2026-05-02","Per=Y","Days=T","Dir=V")</f>
        <v>0</v>
      </c>
      <c r="K2">
        <f>BDH("COST US Equity","BS_CASH_NEAR_CASH_ITEM","1993-06-18","2026-05-02","Per=Y","Days=T","Dir=V")</f>
        <v>0</v>
      </c>
      <c r="M2">
        <f>BDH("COST US Equity","BS_CUR_ASSET_REPORT","1993-06-18","2026-05-02","Per=Y","Days=T","Dir=V")</f>
        <v>0</v>
      </c>
      <c r="O2">
        <f>BDH("COST US Equity","BS_CUR_LIAB","1993-06-18","2026-05-02","Per=Y","Days=T","Dir=V")</f>
        <v>0</v>
      </c>
      <c r="Q2">
        <f>BDH("COST US Equity","BS_SHAREHOLDER_EQY_ENDING_PERIOD","1993-06-18","2026-05-02","Per=Y","Days=T","Dir=V")</f>
        <v>0</v>
      </c>
      <c r="S2">
        <f>BDH("COST US Equity","BS_ACCT_NOTE_RCV","1993-06-18","2026-05-02","Per=Y","Days=T","Dir=V")</f>
        <v>0</v>
      </c>
      <c r="U2">
        <f>BDH("COST US Equity","BS_INVENTORIES","1993-06-18","2026-05-02","Per=Y","Days=T","Dir=V")</f>
        <v>0</v>
      </c>
      <c r="W2">
        <f>BDH("COST US Equity","WORKING_CAPITAL","1993-06-18","2026-05-02","Per=Y","Days=T","Dir=V")</f>
        <v>0</v>
      </c>
      <c r="Y2">
        <f>BDH("COST US Equity","SALES_REV_TURN","1993-06-18","2026-05-02","Per=Y","Days=T","Dir=V")</f>
        <v>0</v>
      </c>
      <c r="AA2">
        <f>BDH("COST US Equity","EBIT","1993-06-18","2026-05-02","Per=Y","Days=T","Dir=V")</f>
        <v>0</v>
      </c>
      <c r="AC2">
        <f>BDH("COST US Equity","EBITDA","1993-06-18","2026-05-02","Per=Y","Days=T","Dir=V")</f>
        <v>0</v>
      </c>
      <c r="AE2">
        <f>BDH("COST US Equity","NET_INCOME","1993-06-18","2026-05-02","Per=Y","Days=T","Dir=V")</f>
        <v>0</v>
      </c>
      <c r="AG2">
        <f>BDH("COST US Equity","IS_INT_EXPENSE","1993-06-18","2026-05-02","Per=Y","Days=T","Dir=V")</f>
        <v>0</v>
      </c>
      <c r="AI2">
        <f>BDH("COST US Equity","IS_DEPR_EXP","1993-06-18","2026-05-02","Per=Y","Days=T","Dir=V")</f>
        <v>0</v>
      </c>
      <c r="AK2">
        <f>BDH("COST US Equity","CF_CASH_FROM_OPER","1993-06-18","2026-05-02","Per=Y","Days=T","Dir=V")</f>
        <v>0</v>
      </c>
      <c r="AM2">
        <f>BDH("COST US Equity","CAPITAL_EXPEND","1993-06-18","2026-05-02","Per=Y","Days=T","Dir=V")</f>
        <v>0</v>
      </c>
      <c r="AO2">
        <f>BDH("COST US Equity","CF_FREE_CASH_FLOW","1993-06-18","2026-05-02","Per=Y","Days=T","Dir=V")</f>
        <v>0</v>
      </c>
      <c r="AQ2">
        <f>BDH("COST US Equity","PX_LAST","1993-06-18","2026-05-02","Per=M","Days=T","Dir=V")</f>
        <v>0</v>
      </c>
      <c r="AS2">
        <f>BDH("COST US Equity","CUR_MKT_CAP","1993-06-18","2026-05-02","Per=M","Days=T","Dir=V")</f>
        <v>0</v>
      </c>
      <c r="AU2">
        <f>BDH("COST US Equity","EQY_SH_OUT","1993-06-18","2026-05-02","Per=M","Days=T","Dir=V")</f>
        <v>0</v>
      </c>
      <c r="AW2">
        <f>BDH("COST US Equity","PX_VOLUME","1993-06-18","2026-05-02","Per=M","Days=T","Dir=V")</f>
        <v>0</v>
      </c>
      <c r="AY2">
        <f>BDH("COST US Equity","TURNOVER","1993-06-18","2026-05-02","Per=M","Days=T","Dir=V")</f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BDH("COTY US Equity","BS_TOT_ASSET","1993-06-18","2026-05-02","Per=Y","Days=T","Dir=V")</f>
        <v>0</v>
      </c>
      <c r="C2">
        <f>BDH("COTY US Equity","BS_TOT_LIAB2","1993-06-18","2026-05-02","Per=Y","Days=T","Dir=V")</f>
        <v>0</v>
      </c>
      <c r="E2">
        <f>BDH("COTY US Equity","SHORT_AND_LONG_TERM_DEBT","1993-06-18","2026-05-02","Per=Y","Days=T","Dir=V")</f>
        <v>0</v>
      </c>
      <c r="G2">
        <f>BDH("COTY US Equity","BS_ST_BORROW","1993-06-18","2026-05-02","Per=Y","Days=T","Dir=V")</f>
        <v>0</v>
      </c>
      <c r="I2">
        <f>BDH("COTY US Equity","BS_LT_BORROW","1993-06-18","2026-05-02","Per=Y","Days=T","Dir=V")</f>
        <v>0</v>
      </c>
      <c r="K2">
        <f>BDH("COTY US Equity","BS_CASH_NEAR_CASH_ITEM","1993-06-18","2026-05-02","Per=Y","Days=T","Dir=V")</f>
        <v>0</v>
      </c>
      <c r="M2">
        <f>BDH("COTY US Equity","BS_CUR_ASSET_REPORT","1993-06-18","2026-05-02","Per=Y","Days=T","Dir=V")</f>
        <v>0</v>
      </c>
      <c r="O2">
        <f>BDH("COTY US Equity","BS_CUR_LIAB","1993-06-18","2026-05-02","Per=Y","Days=T","Dir=V")</f>
        <v>0</v>
      </c>
      <c r="Q2">
        <f>BDH("COTY US Equity","BS_SHAREHOLDER_EQY_ENDING_PERIOD","1993-06-18","2026-05-02","Per=Y","Days=T","Dir=V")</f>
        <v>0</v>
      </c>
      <c r="S2">
        <f>BDH("COTY US Equity","BS_ACCT_NOTE_RCV","1993-06-18","2026-05-02","Per=Y","Days=T","Dir=V")</f>
        <v>0</v>
      </c>
      <c r="U2">
        <f>BDH("COTY US Equity","BS_INVENTORIES","1993-06-18","2026-05-02","Per=Y","Days=T","Dir=V")</f>
        <v>0</v>
      </c>
      <c r="W2">
        <f>BDH("COTY US Equity","WORKING_CAPITAL","1993-06-18","2026-05-02","Per=Y","Days=T","Dir=V")</f>
        <v>0</v>
      </c>
      <c r="Y2">
        <f>BDH("COTY US Equity","SALES_REV_TURN","1993-06-18","2026-05-02","Per=Y","Days=T","Dir=V")</f>
        <v>0</v>
      </c>
      <c r="AA2">
        <f>BDH("COTY US Equity","EBIT","1993-06-18","2026-05-02","Per=Y","Days=T","Dir=V")</f>
        <v>0</v>
      </c>
      <c r="AC2">
        <f>BDH("COTY US Equity","EBITDA","1993-06-18","2026-05-02","Per=Y","Days=T","Dir=V")</f>
        <v>0</v>
      </c>
      <c r="AE2">
        <f>BDH("COTY US Equity","NET_INCOME","1993-06-18","2026-05-02","Per=Y","Days=T","Dir=V")</f>
        <v>0</v>
      </c>
      <c r="AG2">
        <f>BDH("COTY US Equity","IS_INT_EXPENSE","1993-06-18","2026-05-02","Per=Y","Days=T","Dir=V")</f>
        <v>0</v>
      </c>
      <c r="AI2">
        <f>BDH("COTY US Equity","IS_DEPR_EXP","1993-06-18","2026-05-02","Per=Y","Days=T","Dir=V")</f>
        <v>0</v>
      </c>
      <c r="AK2">
        <f>BDH("COTY US Equity","CF_CASH_FROM_OPER","1993-06-18","2026-05-02","Per=Y","Days=T","Dir=V")</f>
        <v>0</v>
      </c>
      <c r="AM2">
        <f>BDH("COTY US Equity","CAPITAL_EXPEND","1993-06-18","2026-05-02","Per=Y","Days=T","Dir=V")</f>
        <v>0</v>
      </c>
      <c r="AO2">
        <f>BDH("COTY US Equity","CF_FREE_CASH_FLOW","1993-06-18","2026-05-02","Per=Y","Days=T","Dir=V")</f>
        <v>0</v>
      </c>
      <c r="AQ2">
        <f>BDH("COTY US Equity","PX_LAST","1993-06-18","2026-05-02","Per=M","Days=T","Dir=V")</f>
        <v>0</v>
      </c>
      <c r="AS2">
        <f>BDH("COTY US Equity","CUR_MKT_CAP","1993-06-18","2026-05-02","Per=M","Days=T","Dir=V")</f>
        <v>0</v>
      </c>
      <c r="AU2">
        <f>BDH("COTY US Equity","EQY_SH_OUT","1993-06-18","2026-05-02","Per=M","Days=T","Dir=V")</f>
        <v>0</v>
      </c>
      <c r="AW2">
        <f>BDH("COTY US Equity","PX_VOLUME","1993-06-18","2026-05-02","Per=M","Days=T","Dir=V")</f>
        <v>0</v>
      </c>
      <c r="AY2">
        <f>BDH("COTY US Equity","TURNOVER","1993-06-18","2026-05-02","Per=M","Days=T","Dir=V")</f>
        <v>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BDH("COUR US Equity","BS_TOT_ASSET","1993-06-18","2026-05-02","Per=Y","Days=T","Dir=V")</f>
        <v>0</v>
      </c>
      <c r="C2">
        <f>BDH("COUR US Equity","BS_TOT_LIAB2","1993-06-18","2026-05-02","Per=Y","Days=T","Dir=V")</f>
        <v>0</v>
      </c>
      <c r="E2">
        <f>BDH("COUR US Equity","SHORT_AND_LONG_TERM_DEBT","1993-06-18","2026-05-02","Per=Y","Days=T","Dir=V")</f>
        <v>0</v>
      </c>
      <c r="G2">
        <f>BDH("COUR US Equity","BS_ST_BORROW","1993-06-18","2026-05-02","Per=Y","Days=T","Dir=V")</f>
        <v>0</v>
      </c>
      <c r="I2">
        <f>BDH("COUR US Equity","BS_LT_BORROW","1993-06-18","2026-05-02","Per=Y","Days=T","Dir=V")</f>
        <v>0</v>
      </c>
      <c r="K2">
        <f>BDH("COUR US Equity","BS_CASH_NEAR_CASH_ITEM","1993-06-18","2026-05-02","Per=Y","Days=T","Dir=V")</f>
        <v>0</v>
      </c>
      <c r="M2">
        <f>BDH("COUR US Equity","BS_CUR_ASSET_REPORT","1993-06-18","2026-05-02","Per=Y","Days=T","Dir=V")</f>
        <v>0</v>
      </c>
      <c r="O2">
        <f>BDH("COUR US Equity","BS_CUR_LIAB","1993-06-18","2026-05-02","Per=Y","Days=T","Dir=V")</f>
        <v>0</v>
      </c>
      <c r="Q2">
        <f>BDH("COUR US Equity","BS_SHAREHOLDER_EQY_ENDING_PERIOD","1993-06-18","2026-05-02","Per=Y","Days=T","Dir=V")</f>
        <v>0</v>
      </c>
      <c r="S2">
        <f>BDH("COUR US Equity","BS_ACCT_NOTE_RCV","1993-06-18","2026-05-02","Per=Y","Days=T","Dir=V")</f>
        <v>0</v>
      </c>
      <c r="U2">
        <f>BDH("COUR US Equity","BS_INVENTORIES","1993-06-18","2026-05-02","Per=Y","Days=T","Dir=V")</f>
        <v>0</v>
      </c>
      <c r="W2">
        <f>BDH("COUR US Equity","WORKING_CAPITAL","1993-06-18","2026-05-02","Per=Y","Days=T","Dir=V")</f>
        <v>0</v>
      </c>
      <c r="Y2">
        <f>BDH("COUR US Equity","SALES_REV_TURN","1993-06-18","2026-05-02","Per=Y","Days=T","Dir=V")</f>
        <v>0</v>
      </c>
      <c r="AA2">
        <f>BDH("COUR US Equity","EBIT","1993-06-18","2026-05-02","Per=Y","Days=T","Dir=V")</f>
        <v>0</v>
      </c>
      <c r="AC2">
        <f>BDH("COUR US Equity","EBITDA","1993-06-18","2026-05-02","Per=Y","Days=T","Dir=V")</f>
        <v>0</v>
      </c>
      <c r="AE2">
        <f>BDH("COUR US Equity","NET_INCOME","1993-06-18","2026-05-02","Per=Y","Days=T","Dir=V")</f>
        <v>0</v>
      </c>
      <c r="AG2">
        <f>BDH("COUR US Equity","IS_INT_EXPENSE","1993-06-18","2026-05-02","Per=Y","Days=T","Dir=V")</f>
        <v>0</v>
      </c>
      <c r="AI2">
        <f>BDH("COUR US Equity","IS_DEPR_EXP","1993-06-18","2026-05-02","Per=Y","Days=T","Dir=V")</f>
        <v>0</v>
      </c>
      <c r="AK2">
        <f>BDH("COUR US Equity","CF_CASH_FROM_OPER","1993-06-18","2026-05-02","Per=Y","Days=T","Dir=V")</f>
        <v>0</v>
      </c>
      <c r="AM2">
        <f>BDH("COUR US Equity","CAPITAL_EXPEND","1993-06-18","2026-05-02","Per=Y","Days=T","Dir=V")</f>
        <v>0</v>
      </c>
      <c r="AO2">
        <f>BDH("COUR US Equity","CF_FREE_CASH_FLOW","1993-06-18","2026-05-02","Per=Y","Days=T","Dir=V")</f>
        <v>0</v>
      </c>
      <c r="AQ2">
        <f>BDH("COUR US Equity","PX_LAST","1993-06-18","2026-05-02","Per=M","Days=T","Dir=V")</f>
        <v>0</v>
      </c>
      <c r="AS2">
        <f>BDH("COUR US Equity","CUR_MKT_CAP","1993-06-18","2026-05-02","Per=M","Days=T","Dir=V")</f>
        <v>0</v>
      </c>
      <c r="AU2">
        <f>BDH("COUR US Equity","EQY_SH_OUT","1993-06-18","2026-05-02","Per=M","Days=T","Dir=V")</f>
        <v>0</v>
      </c>
      <c r="AW2">
        <f>BDH("COUR US Equity","PX_VOLUME","1993-06-18","2026-05-02","Per=M","Days=T","Dir=V")</f>
        <v>0</v>
      </c>
      <c r="AY2">
        <f>BDH("COUR US Equity","TURNOVER","1993-06-18","2026-05-02","Per=M","Days=T","Dir=V")</f>
        <v>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BDH("COYA US Equity","BS_TOT_ASSET","1993-06-18","2026-05-02","Per=Y","Days=T","Dir=V")</f>
        <v>0</v>
      </c>
      <c r="C2">
        <f>BDH("COYA US Equity","BS_TOT_LIAB2","1993-06-18","2026-05-02","Per=Y","Days=T","Dir=V")</f>
        <v>0</v>
      </c>
      <c r="E2">
        <f>BDH("COYA US Equity","SHORT_AND_LONG_TERM_DEBT","1993-06-18","2026-05-02","Per=Y","Days=T","Dir=V")</f>
        <v>0</v>
      </c>
      <c r="G2">
        <f>BDH("COYA US Equity","BS_ST_BORROW","1993-06-18","2026-05-02","Per=Y","Days=T","Dir=V")</f>
        <v>0</v>
      </c>
      <c r="I2">
        <f>BDH("COYA US Equity","BS_LT_BORROW","1993-06-18","2026-05-02","Per=Y","Days=T","Dir=V")</f>
        <v>0</v>
      </c>
      <c r="K2">
        <f>BDH("COYA US Equity","BS_CASH_NEAR_CASH_ITEM","1993-06-18","2026-05-02","Per=Y","Days=T","Dir=V")</f>
        <v>0</v>
      </c>
      <c r="M2">
        <f>BDH("COYA US Equity","BS_CUR_ASSET_REPORT","1993-06-18","2026-05-02","Per=Y","Days=T","Dir=V")</f>
        <v>0</v>
      </c>
      <c r="O2">
        <f>BDH("COYA US Equity","BS_CUR_LIAB","1993-06-18","2026-05-02","Per=Y","Days=T","Dir=V")</f>
        <v>0</v>
      </c>
      <c r="Q2">
        <f>BDH("COYA US Equity","BS_SHAREHOLDER_EQY_ENDING_PERIOD","1993-06-18","2026-05-02","Per=Y","Days=T","Dir=V")</f>
        <v>0</v>
      </c>
      <c r="S2">
        <f>BDH("COYA US Equity","BS_ACCT_NOTE_RCV","1993-06-18","2026-05-02","Per=Y","Days=T","Dir=V")</f>
        <v>0</v>
      </c>
      <c r="U2">
        <f>BDH("COYA US Equity","BS_INVENTORIES","1993-06-18","2026-05-02","Per=Y","Days=T","Dir=V")</f>
        <v>0</v>
      </c>
      <c r="W2">
        <f>BDH("COYA US Equity","WORKING_CAPITAL","1993-06-18","2026-05-02","Per=Y","Days=T","Dir=V")</f>
        <v>0</v>
      </c>
      <c r="Y2">
        <f>BDH("COYA US Equity","SALES_REV_TURN","1993-06-18","2026-05-02","Per=Y","Days=T","Dir=V")</f>
        <v>0</v>
      </c>
      <c r="AA2">
        <f>BDH("COYA US Equity","EBIT","1993-06-18","2026-05-02","Per=Y","Days=T","Dir=V")</f>
        <v>0</v>
      </c>
      <c r="AC2">
        <f>BDH("COYA US Equity","EBITDA","1993-06-18","2026-05-02","Per=Y","Days=T","Dir=V")</f>
        <v>0</v>
      </c>
      <c r="AE2">
        <f>BDH("COYA US Equity","NET_INCOME","1993-06-18","2026-05-02","Per=Y","Days=T","Dir=V")</f>
        <v>0</v>
      </c>
      <c r="AG2">
        <f>BDH("COYA US Equity","IS_INT_EXPENSE","1993-06-18","2026-05-02","Per=Y","Days=T","Dir=V")</f>
        <v>0</v>
      </c>
      <c r="AI2">
        <f>BDH("COYA US Equity","IS_DEPR_EXP","1993-06-18","2026-05-02","Per=Y","Days=T","Dir=V")</f>
        <v>0</v>
      </c>
      <c r="AK2">
        <f>BDH("COYA US Equity","CF_CASH_FROM_OPER","1993-06-18","2026-05-02","Per=Y","Days=T","Dir=V")</f>
        <v>0</v>
      </c>
      <c r="AM2">
        <f>BDH("COYA US Equity","CAPITAL_EXPEND","1993-06-18","2026-05-02","Per=Y","Days=T","Dir=V")</f>
        <v>0</v>
      </c>
      <c r="AO2">
        <f>BDH("COYA US Equity","CF_FREE_CASH_FLOW","1993-06-18","2026-05-02","Per=Y","Days=T","Dir=V")</f>
        <v>0</v>
      </c>
      <c r="AQ2">
        <f>BDH("COYA US Equity","PX_LAST","1993-06-18","2026-05-02","Per=M","Days=T","Dir=V")</f>
        <v>0</v>
      </c>
      <c r="AS2">
        <f>BDH("COYA US Equity","CUR_MKT_CAP","1993-06-18","2026-05-02","Per=M","Days=T","Dir=V")</f>
        <v>0</v>
      </c>
      <c r="AU2">
        <f>BDH("COYA US Equity","EQY_SH_OUT","1993-06-18","2026-05-02","Per=M","Days=T","Dir=V")</f>
        <v>0</v>
      </c>
      <c r="AW2">
        <f>BDH("COYA US Equity","PX_VOLUME","1993-06-18","2026-05-02","Per=M","Days=T","Dir=V")</f>
        <v>0</v>
      </c>
      <c r="AY2">
        <f>BDH("COYA US Equity","TURNOVER","1993-06-18","2026-05-02","Per=M","Days=T","Dir=V")</f>
        <v>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BDH("CPAY US Equity","BS_TOT_ASSET","1993-06-18","2026-05-02","Per=Y","Days=T","Dir=V")</f>
        <v>0</v>
      </c>
      <c r="C2">
        <f>BDH("CPAY US Equity","BS_TOT_LIAB2","1993-06-18","2026-05-02","Per=Y","Days=T","Dir=V")</f>
        <v>0</v>
      </c>
      <c r="E2">
        <f>BDH("CPAY US Equity","SHORT_AND_LONG_TERM_DEBT","1993-06-18","2026-05-02","Per=Y","Days=T","Dir=V")</f>
        <v>0</v>
      </c>
      <c r="G2">
        <f>BDH("CPAY US Equity","BS_ST_BORROW","1993-06-18","2026-05-02","Per=Y","Days=T","Dir=V")</f>
        <v>0</v>
      </c>
      <c r="I2">
        <f>BDH("CPAY US Equity","BS_LT_BORROW","1993-06-18","2026-05-02","Per=Y","Days=T","Dir=V")</f>
        <v>0</v>
      </c>
      <c r="K2">
        <f>BDH("CPAY US Equity","BS_CASH_NEAR_CASH_ITEM","1993-06-18","2026-05-02","Per=Y","Days=T","Dir=V")</f>
        <v>0</v>
      </c>
      <c r="M2">
        <f>BDH("CPAY US Equity","BS_CUR_ASSET_REPORT","1993-06-18","2026-05-02","Per=Y","Days=T","Dir=V")</f>
        <v>0</v>
      </c>
      <c r="O2">
        <f>BDH("CPAY US Equity","BS_CUR_LIAB","1993-06-18","2026-05-02","Per=Y","Days=T","Dir=V")</f>
        <v>0</v>
      </c>
      <c r="Q2">
        <f>BDH("CPAY US Equity","BS_SHAREHOLDER_EQY_ENDING_PERIOD","1993-06-18","2026-05-02","Per=Y","Days=T","Dir=V")</f>
        <v>0</v>
      </c>
      <c r="S2">
        <f>BDH("CPAY US Equity","BS_ACCT_NOTE_RCV","1993-06-18","2026-05-02","Per=Y","Days=T","Dir=V")</f>
        <v>0</v>
      </c>
      <c r="U2">
        <f>BDH("CPAY US Equity","BS_INVENTORIES","1993-06-18","2026-05-02","Per=Y","Days=T","Dir=V")</f>
        <v>0</v>
      </c>
      <c r="W2">
        <f>BDH("CPAY US Equity","WORKING_CAPITAL","1993-06-18","2026-05-02","Per=Y","Days=T","Dir=V")</f>
        <v>0</v>
      </c>
      <c r="Y2">
        <f>BDH("CPAY US Equity","SALES_REV_TURN","1993-06-18","2026-05-02","Per=Y","Days=T","Dir=V")</f>
        <v>0</v>
      </c>
      <c r="AA2">
        <f>BDH("CPAY US Equity","EBIT","1993-06-18","2026-05-02","Per=Y","Days=T","Dir=V")</f>
        <v>0</v>
      </c>
      <c r="AC2">
        <f>BDH("CPAY US Equity","EBITDA","1993-06-18","2026-05-02","Per=Y","Days=T","Dir=V")</f>
        <v>0</v>
      </c>
      <c r="AE2">
        <f>BDH("CPAY US Equity","NET_INCOME","1993-06-18","2026-05-02","Per=Y","Days=T","Dir=V")</f>
        <v>0</v>
      </c>
      <c r="AG2">
        <f>BDH("CPAY US Equity","IS_INT_EXPENSE","1993-06-18","2026-05-02","Per=Y","Days=T","Dir=V")</f>
        <v>0</v>
      </c>
      <c r="AI2">
        <f>BDH("CPAY US Equity","IS_DEPR_EXP","1993-06-18","2026-05-02","Per=Y","Days=T","Dir=V")</f>
        <v>0</v>
      </c>
      <c r="AK2">
        <f>BDH("CPAY US Equity","CF_CASH_FROM_OPER","1993-06-18","2026-05-02","Per=Y","Days=T","Dir=V")</f>
        <v>0</v>
      </c>
      <c r="AM2">
        <f>BDH("CPAY US Equity","CAPITAL_EXPEND","1993-06-18","2026-05-02","Per=Y","Days=T","Dir=V")</f>
        <v>0</v>
      </c>
      <c r="AO2">
        <f>BDH("CPAY US Equity","CF_FREE_CASH_FLOW","1993-06-18","2026-05-02","Per=Y","Days=T","Dir=V")</f>
        <v>0</v>
      </c>
      <c r="AQ2">
        <f>BDH("CPAY US Equity","PX_LAST","1993-06-18","2026-05-02","Per=M","Days=T","Dir=V")</f>
        <v>0</v>
      </c>
      <c r="AS2">
        <f>BDH("CPAY US Equity","CUR_MKT_CAP","1993-06-18","2026-05-02","Per=M","Days=T","Dir=V")</f>
        <v>0</v>
      </c>
      <c r="AU2">
        <f>BDH("CPAY US Equity","EQY_SH_OUT","1993-06-18","2026-05-02","Per=M","Days=T","Dir=V")</f>
        <v>0</v>
      </c>
      <c r="AW2">
        <f>BDH("CPAY US Equity","PX_VOLUME","1993-06-18","2026-05-02","Per=M","Days=T","Dir=V")</f>
        <v>0</v>
      </c>
      <c r="AY2">
        <f>BDH("CPAY US Equity","TURNOVER","1993-06-18","2026-05-02","Per=M","Days=T","Dir=V")</f>
        <v>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BDH("CPB US Equity","BS_TOT_ASSET","1993-06-18","2026-05-02","Per=Y","Days=T","Dir=V")</f>
        <v>0</v>
      </c>
      <c r="C2">
        <f>BDH("CPB US Equity","BS_TOT_LIAB2","1993-06-18","2026-05-02","Per=Y","Days=T","Dir=V")</f>
        <v>0</v>
      </c>
      <c r="E2">
        <f>BDH("CPB US Equity","SHORT_AND_LONG_TERM_DEBT","1993-06-18","2026-05-02","Per=Y","Days=T","Dir=V")</f>
        <v>0</v>
      </c>
      <c r="G2">
        <f>BDH("CPB US Equity","BS_ST_BORROW","1993-06-18","2026-05-02","Per=Y","Days=T","Dir=V")</f>
        <v>0</v>
      </c>
      <c r="I2">
        <f>BDH("CPB US Equity","BS_LT_BORROW","1993-06-18","2026-05-02","Per=Y","Days=T","Dir=V")</f>
        <v>0</v>
      </c>
      <c r="K2">
        <f>BDH("CPB US Equity","BS_CASH_NEAR_CASH_ITEM","1993-06-18","2026-05-02","Per=Y","Days=T","Dir=V")</f>
        <v>0</v>
      </c>
      <c r="M2">
        <f>BDH("CPB US Equity","BS_CUR_ASSET_REPORT","1993-06-18","2026-05-02","Per=Y","Days=T","Dir=V")</f>
        <v>0</v>
      </c>
      <c r="O2">
        <f>BDH("CPB US Equity","BS_CUR_LIAB","1993-06-18","2026-05-02","Per=Y","Days=T","Dir=V")</f>
        <v>0</v>
      </c>
      <c r="Q2">
        <f>BDH("CPB US Equity","BS_SHAREHOLDER_EQY_ENDING_PERIOD","1993-06-18","2026-05-02","Per=Y","Days=T","Dir=V")</f>
        <v>0</v>
      </c>
      <c r="S2">
        <f>BDH("CPB US Equity","BS_ACCT_NOTE_RCV","1993-06-18","2026-05-02","Per=Y","Days=T","Dir=V")</f>
        <v>0</v>
      </c>
      <c r="U2">
        <f>BDH("CPB US Equity","BS_INVENTORIES","1993-06-18","2026-05-02","Per=Y","Days=T","Dir=V")</f>
        <v>0</v>
      </c>
      <c r="W2">
        <f>BDH("CPB US Equity","WORKING_CAPITAL","1993-06-18","2026-05-02","Per=Y","Days=T","Dir=V")</f>
        <v>0</v>
      </c>
      <c r="Y2">
        <f>BDH("CPB US Equity","SALES_REV_TURN","1993-06-18","2026-05-02","Per=Y","Days=T","Dir=V")</f>
        <v>0</v>
      </c>
      <c r="AA2">
        <f>BDH("CPB US Equity","EBIT","1993-06-18","2026-05-02","Per=Y","Days=T","Dir=V")</f>
        <v>0</v>
      </c>
      <c r="AC2">
        <f>BDH("CPB US Equity","EBITDA","1993-06-18","2026-05-02","Per=Y","Days=T","Dir=V")</f>
        <v>0</v>
      </c>
      <c r="AE2">
        <f>BDH("CPB US Equity","NET_INCOME","1993-06-18","2026-05-02","Per=Y","Days=T","Dir=V")</f>
        <v>0</v>
      </c>
      <c r="AG2">
        <f>BDH("CPB US Equity","IS_INT_EXPENSE","1993-06-18","2026-05-02","Per=Y","Days=T","Dir=V")</f>
        <v>0</v>
      </c>
      <c r="AI2">
        <f>BDH("CPB US Equity","IS_DEPR_EXP","1993-06-18","2026-05-02","Per=Y","Days=T","Dir=V")</f>
        <v>0</v>
      </c>
      <c r="AK2">
        <f>BDH("CPB US Equity","CF_CASH_FROM_OPER","1993-06-18","2026-05-02","Per=Y","Days=T","Dir=V")</f>
        <v>0</v>
      </c>
      <c r="AM2">
        <f>BDH("CPB US Equity","CAPITAL_EXPEND","1993-06-18","2026-05-02","Per=Y","Days=T","Dir=V")</f>
        <v>0</v>
      </c>
      <c r="AO2">
        <f>BDH("CPB US Equity","CF_FREE_CASH_FLOW","1993-06-18","2026-05-02","Per=Y","Days=T","Dir=V")</f>
        <v>0</v>
      </c>
      <c r="AQ2">
        <f>BDH("CPB US Equity","PX_LAST","1993-06-18","2026-05-02","Per=M","Days=T","Dir=V")</f>
        <v>0</v>
      </c>
      <c r="AS2">
        <f>BDH("CPB US Equity","CUR_MKT_CAP","1993-06-18","2026-05-02","Per=M","Days=T","Dir=V")</f>
        <v>0</v>
      </c>
      <c r="AU2">
        <f>BDH("CPB US Equity","EQY_SH_OUT","1993-06-18","2026-05-02","Per=M","Days=T","Dir=V")</f>
        <v>0</v>
      </c>
      <c r="AW2">
        <f>BDH("CPB US Equity","PX_VOLUME","1993-06-18","2026-05-02","Per=M","Days=T","Dir=V")</f>
        <v>0</v>
      </c>
      <c r="AY2">
        <f>BDH("CPB US Equity","TURNOVER","1993-06-18","2026-05-02","Per=M","Days=T","Dir=V")</f>
        <v>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BDH("CPHC US Equity","BS_TOT_ASSET","1993-06-18","2026-05-02","Per=Y","Days=T","Dir=V")</f>
        <v>0</v>
      </c>
      <c r="C2">
        <f>BDH("CPHC US Equity","BS_TOT_LIAB2","1993-06-18","2026-05-02","Per=Y","Days=T","Dir=V")</f>
        <v>0</v>
      </c>
      <c r="E2">
        <f>BDH("CPHC US Equity","SHORT_AND_LONG_TERM_DEBT","1993-06-18","2026-05-02","Per=Y","Days=T","Dir=V")</f>
        <v>0</v>
      </c>
      <c r="G2">
        <f>BDH("CPHC US Equity","BS_ST_BORROW","1993-06-18","2026-05-02","Per=Y","Days=T","Dir=V")</f>
        <v>0</v>
      </c>
      <c r="I2">
        <f>BDH("CPHC US Equity","BS_LT_BORROW","1993-06-18","2026-05-02","Per=Y","Days=T","Dir=V")</f>
        <v>0</v>
      </c>
      <c r="K2">
        <f>BDH("CPHC US Equity","BS_CASH_NEAR_CASH_ITEM","1993-06-18","2026-05-02","Per=Y","Days=T","Dir=V")</f>
        <v>0</v>
      </c>
      <c r="M2">
        <f>BDH("CPHC US Equity","BS_CUR_ASSET_REPORT","1993-06-18","2026-05-02","Per=Y","Days=T","Dir=V")</f>
        <v>0</v>
      </c>
      <c r="O2">
        <f>BDH("CPHC US Equity","BS_CUR_LIAB","1993-06-18","2026-05-02","Per=Y","Days=T","Dir=V")</f>
        <v>0</v>
      </c>
      <c r="Q2">
        <f>BDH("CPHC US Equity","BS_SHAREHOLDER_EQY_ENDING_PERIOD","1993-06-18","2026-05-02","Per=Y","Days=T","Dir=V")</f>
        <v>0</v>
      </c>
      <c r="S2">
        <f>BDH("CPHC US Equity","BS_ACCT_NOTE_RCV","1993-06-18","2026-05-02","Per=Y","Days=T","Dir=V")</f>
        <v>0</v>
      </c>
      <c r="U2">
        <f>BDH("CPHC US Equity","BS_INVENTORIES","1993-06-18","2026-05-02","Per=Y","Days=T","Dir=V")</f>
        <v>0</v>
      </c>
      <c r="W2">
        <f>BDH("CPHC US Equity","WORKING_CAPITAL","1993-06-18","2026-05-02","Per=Y","Days=T","Dir=V")</f>
        <v>0</v>
      </c>
      <c r="Y2">
        <f>BDH("CPHC US Equity","SALES_REV_TURN","1993-06-18","2026-05-02","Per=Y","Days=T","Dir=V")</f>
        <v>0</v>
      </c>
      <c r="AA2">
        <f>BDH("CPHC US Equity","EBIT","1993-06-18","2026-05-02","Per=Y","Days=T","Dir=V")</f>
        <v>0</v>
      </c>
      <c r="AC2">
        <f>BDH("CPHC US Equity","EBITDA","1993-06-18","2026-05-02","Per=Y","Days=T","Dir=V")</f>
        <v>0</v>
      </c>
      <c r="AE2">
        <f>BDH("CPHC US Equity","NET_INCOME","1993-06-18","2026-05-02","Per=Y","Days=T","Dir=V")</f>
        <v>0</v>
      </c>
      <c r="AG2">
        <f>BDH("CPHC US Equity","IS_INT_EXPENSE","1993-06-18","2026-05-02","Per=Y","Days=T","Dir=V")</f>
        <v>0</v>
      </c>
      <c r="AI2">
        <f>BDH("CPHC US Equity","IS_DEPR_EXP","1993-06-18","2026-05-02","Per=Y","Days=T","Dir=V")</f>
        <v>0</v>
      </c>
      <c r="AK2">
        <f>BDH("CPHC US Equity","CF_CASH_FROM_OPER","1993-06-18","2026-05-02","Per=Y","Days=T","Dir=V")</f>
        <v>0</v>
      </c>
      <c r="AM2">
        <f>BDH("CPHC US Equity","CAPITAL_EXPEND","1993-06-18","2026-05-02","Per=Y","Days=T","Dir=V")</f>
        <v>0</v>
      </c>
      <c r="AO2">
        <f>BDH("CPHC US Equity","CF_FREE_CASH_FLOW","1993-06-18","2026-05-02","Per=Y","Days=T","Dir=V")</f>
        <v>0</v>
      </c>
      <c r="AQ2">
        <f>BDH("CPHC US Equity","PX_LAST","1993-06-18","2026-05-02","Per=M","Days=T","Dir=V")</f>
        <v>0</v>
      </c>
      <c r="AS2">
        <f>BDH("CPHC US Equity","CUR_MKT_CAP","1993-06-18","2026-05-02","Per=M","Days=T","Dir=V")</f>
        <v>0</v>
      </c>
      <c r="AU2">
        <f>BDH("CPHC US Equity","EQY_SH_OUT","1993-06-18","2026-05-02","Per=M","Days=T","Dir=V")</f>
        <v>0</v>
      </c>
      <c r="AW2">
        <f>BDH("CPHC US Equity","PX_VOLUME","1993-06-18","2026-05-02","Per=M","Days=T","Dir=V")</f>
        <v>0</v>
      </c>
      <c r="AY2">
        <f>BDH("CPHC US Equity","TURNOVER","1993-06-18","2026-05-02","Per=M","Days=T","Dir=V")</f>
        <v>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BDH("CPIX US Equity","BS_TOT_ASSET","1993-06-18","2026-05-02","Per=Y","Days=T","Dir=V")</f>
        <v>0</v>
      </c>
      <c r="C2">
        <f>BDH("CPIX US Equity","BS_TOT_LIAB2","1993-06-18","2026-05-02","Per=Y","Days=T","Dir=V")</f>
        <v>0</v>
      </c>
      <c r="E2">
        <f>BDH("CPIX US Equity","SHORT_AND_LONG_TERM_DEBT","1993-06-18","2026-05-02","Per=Y","Days=T","Dir=V")</f>
        <v>0</v>
      </c>
      <c r="G2">
        <f>BDH("CPIX US Equity","BS_ST_BORROW","1993-06-18","2026-05-02","Per=Y","Days=T","Dir=V")</f>
        <v>0</v>
      </c>
      <c r="I2">
        <f>BDH("CPIX US Equity","BS_LT_BORROW","1993-06-18","2026-05-02","Per=Y","Days=T","Dir=V")</f>
        <v>0</v>
      </c>
      <c r="K2">
        <f>BDH("CPIX US Equity","BS_CASH_NEAR_CASH_ITEM","1993-06-18","2026-05-02","Per=Y","Days=T","Dir=V")</f>
        <v>0</v>
      </c>
      <c r="M2">
        <f>BDH("CPIX US Equity","BS_CUR_ASSET_REPORT","1993-06-18","2026-05-02","Per=Y","Days=T","Dir=V")</f>
        <v>0</v>
      </c>
      <c r="O2">
        <f>BDH("CPIX US Equity","BS_CUR_LIAB","1993-06-18","2026-05-02","Per=Y","Days=T","Dir=V")</f>
        <v>0</v>
      </c>
      <c r="Q2">
        <f>BDH("CPIX US Equity","BS_SHAREHOLDER_EQY_ENDING_PERIOD","1993-06-18","2026-05-02","Per=Y","Days=T","Dir=V")</f>
        <v>0</v>
      </c>
      <c r="S2">
        <f>BDH("CPIX US Equity","BS_ACCT_NOTE_RCV","1993-06-18","2026-05-02","Per=Y","Days=T","Dir=V")</f>
        <v>0</v>
      </c>
      <c r="U2">
        <f>BDH("CPIX US Equity","BS_INVENTORIES","1993-06-18","2026-05-02","Per=Y","Days=T","Dir=V")</f>
        <v>0</v>
      </c>
      <c r="W2">
        <f>BDH("CPIX US Equity","WORKING_CAPITAL","1993-06-18","2026-05-02","Per=Y","Days=T","Dir=V")</f>
        <v>0</v>
      </c>
      <c r="Y2">
        <f>BDH("CPIX US Equity","SALES_REV_TURN","1993-06-18","2026-05-02","Per=Y","Days=T","Dir=V")</f>
        <v>0</v>
      </c>
      <c r="AA2">
        <f>BDH("CPIX US Equity","EBIT","1993-06-18","2026-05-02","Per=Y","Days=T","Dir=V")</f>
        <v>0</v>
      </c>
      <c r="AC2">
        <f>BDH("CPIX US Equity","EBITDA","1993-06-18","2026-05-02","Per=Y","Days=T","Dir=V")</f>
        <v>0</v>
      </c>
      <c r="AE2">
        <f>BDH("CPIX US Equity","NET_INCOME","1993-06-18","2026-05-02","Per=Y","Days=T","Dir=V")</f>
        <v>0</v>
      </c>
      <c r="AG2">
        <f>BDH("CPIX US Equity","IS_INT_EXPENSE","1993-06-18","2026-05-02","Per=Y","Days=T","Dir=V")</f>
        <v>0</v>
      </c>
      <c r="AI2">
        <f>BDH("CPIX US Equity","IS_DEPR_EXP","1993-06-18","2026-05-02","Per=Y","Days=T","Dir=V")</f>
        <v>0</v>
      </c>
      <c r="AK2">
        <f>BDH("CPIX US Equity","CF_CASH_FROM_OPER","1993-06-18","2026-05-02","Per=Y","Days=T","Dir=V")</f>
        <v>0</v>
      </c>
      <c r="AM2">
        <f>BDH("CPIX US Equity","CAPITAL_EXPEND","1993-06-18","2026-05-02","Per=Y","Days=T","Dir=V")</f>
        <v>0</v>
      </c>
      <c r="AO2">
        <f>BDH("CPIX US Equity","CF_FREE_CASH_FLOW","1993-06-18","2026-05-02","Per=Y","Days=T","Dir=V")</f>
        <v>0</v>
      </c>
      <c r="AQ2">
        <f>BDH("CPIX US Equity","PX_LAST","1993-06-18","2026-05-02","Per=M","Days=T","Dir=V")</f>
        <v>0</v>
      </c>
      <c r="AS2">
        <f>BDH("CPIX US Equity","CUR_MKT_CAP","1993-06-18","2026-05-02","Per=M","Days=T","Dir=V")</f>
        <v>0</v>
      </c>
      <c r="AU2">
        <f>BDH("CPIX US Equity","EQY_SH_OUT","1993-06-18","2026-05-02","Per=M","Days=T","Dir=V")</f>
        <v>0</v>
      </c>
      <c r="AW2">
        <f>BDH("CPIX US Equity","PX_VOLUME","1993-06-18","2026-05-02","Per=M","Days=T","Dir=V")</f>
        <v>0</v>
      </c>
      <c r="AY2">
        <f>BDH("CPIX US Equity","TURNOVER","1993-06-18","2026-05-02","Per=M","Days=T","Dir=V")</f>
        <v>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BDH("CPK US Equity","BS_TOT_ASSET","1993-06-18","2026-05-02","Per=Y","Days=T","Dir=V")</f>
        <v>0</v>
      </c>
      <c r="C2">
        <f>BDH("CPK US Equity","BS_TOT_LIAB2","1993-06-18","2026-05-02","Per=Y","Days=T","Dir=V")</f>
        <v>0</v>
      </c>
      <c r="E2">
        <f>BDH("CPK US Equity","SHORT_AND_LONG_TERM_DEBT","1993-06-18","2026-05-02","Per=Y","Days=T","Dir=V")</f>
        <v>0</v>
      </c>
      <c r="G2">
        <f>BDH("CPK US Equity","BS_ST_BORROW","1993-06-18","2026-05-02","Per=Y","Days=T","Dir=V")</f>
        <v>0</v>
      </c>
      <c r="I2">
        <f>BDH("CPK US Equity","BS_LT_BORROW","1993-06-18","2026-05-02","Per=Y","Days=T","Dir=V")</f>
        <v>0</v>
      </c>
      <c r="K2">
        <f>BDH("CPK US Equity","BS_CASH_NEAR_CASH_ITEM","1993-06-18","2026-05-02","Per=Y","Days=T","Dir=V")</f>
        <v>0</v>
      </c>
      <c r="M2">
        <f>BDH("CPK US Equity","BS_CUR_ASSET_REPORT","1993-06-18","2026-05-02","Per=Y","Days=T","Dir=V")</f>
        <v>0</v>
      </c>
      <c r="O2">
        <f>BDH("CPK US Equity","BS_CUR_LIAB","1993-06-18","2026-05-02","Per=Y","Days=T","Dir=V")</f>
        <v>0</v>
      </c>
      <c r="Q2">
        <f>BDH("CPK US Equity","BS_SHAREHOLDER_EQY_ENDING_PERIOD","1993-06-18","2026-05-02","Per=Y","Days=T","Dir=V")</f>
        <v>0</v>
      </c>
      <c r="S2">
        <f>BDH("CPK US Equity","BS_ACCT_NOTE_RCV","1993-06-18","2026-05-02","Per=Y","Days=T","Dir=V")</f>
        <v>0</v>
      </c>
      <c r="U2">
        <f>BDH("CPK US Equity","BS_INVENTORIES","1993-06-18","2026-05-02","Per=Y","Days=T","Dir=V")</f>
        <v>0</v>
      </c>
      <c r="W2">
        <f>BDH("CPK US Equity","WORKING_CAPITAL","1993-06-18","2026-05-02","Per=Y","Days=T","Dir=V")</f>
        <v>0</v>
      </c>
      <c r="Y2">
        <f>BDH("CPK US Equity","SALES_REV_TURN","1993-06-18","2026-05-02","Per=Y","Days=T","Dir=V")</f>
        <v>0</v>
      </c>
      <c r="AA2">
        <f>BDH("CPK US Equity","EBIT","1993-06-18","2026-05-02","Per=Y","Days=T","Dir=V")</f>
        <v>0</v>
      </c>
      <c r="AC2">
        <f>BDH("CPK US Equity","EBITDA","1993-06-18","2026-05-02","Per=Y","Days=T","Dir=V")</f>
        <v>0</v>
      </c>
      <c r="AE2">
        <f>BDH("CPK US Equity","NET_INCOME","1993-06-18","2026-05-02","Per=Y","Days=T","Dir=V")</f>
        <v>0</v>
      </c>
      <c r="AG2">
        <f>BDH("CPK US Equity","IS_INT_EXPENSE","1993-06-18","2026-05-02","Per=Y","Days=T","Dir=V")</f>
        <v>0</v>
      </c>
      <c r="AI2">
        <f>BDH("CPK US Equity","IS_DEPR_EXP","1993-06-18","2026-05-02","Per=Y","Days=T","Dir=V")</f>
        <v>0</v>
      </c>
      <c r="AK2">
        <f>BDH("CPK US Equity","CF_CASH_FROM_OPER","1993-06-18","2026-05-02","Per=Y","Days=T","Dir=V")</f>
        <v>0</v>
      </c>
      <c r="AM2">
        <f>BDH("CPK US Equity","CAPITAL_EXPEND","1993-06-18","2026-05-02","Per=Y","Days=T","Dir=V")</f>
        <v>0</v>
      </c>
      <c r="AO2">
        <f>BDH("CPK US Equity","CF_FREE_CASH_FLOW","1993-06-18","2026-05-02","Per=Y","Days=T","Dir=V")</f>
        <v>0</v>
      </c>
      <c r="AQ2">
        <f>BDH("CPK US Equity","PX_LAST","1993-06-18","2026-05-02","Per=M","Days=T","Dir=V")</f>
        <v>0</v>
      </c>
      <c r="AS2">
        <f>BDH("CPK US Equity","CUR_MKT_CAP","1993-06-18","2026-05-02","Per=M","Days=T","Dir=V")</f>
        <v>0</v>
      </c>
      <c r="AU2">
        <f>BDH("CPK US Equity","EQY_SH_OUT","1993-06-18","2026-05-02","Per=M","Days=T","Dir=V")</f>
        <v>0</v>
      </c>
      <c r="AW2">
        <f>BDH("CPK US Equity","PX_VOLUME","1993-06-18","2026-05-02","Per=M","Days=T","Dir=V")</f>
        <v>0</v>
      </c>
      <c r="AY2">
        <f>BDH("CPK US Equity","TURNOVER","1993-06-18","2026-05-02","Per=M","Days=T","Dir=V")</f>
        <v>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BDH("CPNG US Equity","BS_TOT_ASSET","1993-06-18","2026-05-02","Per=Y","Days=T","Dir=V")</f>
        <v>0</v>
      </c>
      <c r="C2">
        <f>BDH("CPNG US Equity","BS_TOT_LIAB2","1993-06-18","2026-05-02","Per=Y","Days=T","Dir=V")</f>
        <v>0</v>
      </c>
      <c r="E2">
        <f>BDH("CPNG US Equity","SHORT_AND_LONG_TERM_DEBT","1993-06-18","2026-05-02","Per=Y","Days=T","Dir=V")</f>
        <v>0</v>
      </c>
      <c r="G2">
        <f>BDH("CPNG US Equity","BS_ST_BORROW","1993-06-18","2026-05-02","Per=Y","Days=T","Dir=V")</f>
        <v>0</v>
      </c>
      <c r="I2">
        <f>BDH("CPNG US Equity","BS_LT_BORROW","1993-06-18","2026-05-02","Per=Y","Days=T","Dir=V")</f>
        <v>0</v>
      </c>
      <c r="K2">
        <f>BDH("CPNG US Equity","BS_CASH_NEAR_CASH_ITEM","1993-06-18","2026-05-02","Per=Y","Days=T","Dir=V")</f>
        <v>0</v>
      </c>
      <c r="M2">
        <f>BDH("CPNG US Equity","BS_CUR_ASSET_REPORT","1993-06-18","2026-05-02","Per=Y","Days=T","Dir=V")</f>
        <v>0</v>
      </c>
      <c r="O2">
        <f>BDH("CPNG US Equity","BS_CUR_LIAB","1993-06-18","2026-05-02","Per=Y","Days=T","Dir=V")</f>
        <v>0</v>
      </c>
      <c r="Q2">
        <f>BDH("CPNG US Equity","BS_SHAREHOLDER_EQY_ENDING_PERIOD","1993-06-18","2026-05-02","Per=Y","Days=T","Dir=V")</f>
        <v>0</v>
      </c>
      <c r="S2">
        <f>BDH("CPNG US Equity","BS_ACCT_NOTE_RCV","1993-06-18","2026-05-02","Per=Y","Days=T","Dir=V")</f>
        <v>0</v>
      </c>
      <c r="U2">
        <f>BDH("CPNG US Equity","BS_INVENTORIES","1993-06-18","2026-05-02","Per=Y","Days=T","Dir=V")</f>
        <v>0</v>
      </c>
      <c r="W2">
        <f>BDH("CPNG US Equity","WORKING_CAPITAL","1993-06-18","2026-05-02","Per=Y","Days=T","Dir=V")</f>
        <v>0</v>
      </c>
      <c r="Y2">
        <f>BDH("CPNG US Equity","SALES_REV_TURN","1993-06-18","2026-05-02","Per=Y","Days=T","Dir=V")</f>
        <v>0</v>
      </c>
      <c r="AA2">
        <f>BDH("CPNG US Equity","EBIT","1993-06-18","2026-05-02","Per=Y","Days=T","Dir=V")</f>
        <v>0</v>
      </c>
      <c r="AC2">
        <f>BDH("CPNG US Equity","EBITDA","1993-06-18","2026-05-02","Per=Y","Days=T","Dir=V")</f>
        <v>0</v>
      </c>
      <c r="AE2">
        <f>BDH("CPNG US Equity","NET_INCOME","1993-06-18","2026-05-02","Per=Y","Days=T","Dir=V")</f>
        <v>0</v>
      </c>
      <c r="AG2">
        <f>BDH("CPNG US Equity","IS_INT_EXPENSE","1993-06-18","2026-05-02","Per=Y","Days=T","Dir=V")</f>
        <v>0</v>
      </c>
      <c r="AI2">
        <f>BDH("CPNG US Equity","IS_DEPR_EXP","1993-06-18","2026-05-02","Per=Y","Days=T","Dir=V")</f>
        <v>0</v>
      </c>
      <c r="AK2">
        <f>BDH("CPNG US Equity","CF_CASH_FROM_OPER","1993-06-18","2026-05-02","Per=Y","Days=T","Dir=V")</f>
        <v>0</v>
      </c>
      <c r="AM2">
        <f>BDH("CPNG US Equity","CAPITAL_EXPEND","1993-06-18","2026-05-02","Per=Y","Days=T","Dir=V")</f>
        <v>0</v>
      </c>
      <c r="AO2">
        <f>BDH("CPNG US Equity","CF_FREE_CASH_FLOW","1993-06-18","2026-05-02","Per=Y","Days=T","Dir=V")</f>
        <v>0</v>
      </c>
      <c r="AQ2">
        <f>BDH("CPNG US Equity","PX_LAST","1993-06-18","2026-05-02","Per=M","Days=T","Dir=V")</f>
        <v>0</v>
      </c>
      <c r="AS2">
        <f>BDH("CPNG US Equity","CUR_MKT_CAP","1993-06-18","2026-05-02","Per=M","Days=T","Dir=V")</f>
        <v>0</v>
      </c>
      <c r="AU2">
        <f>BDH("CPNG US Equity","EQY_SH_OUT","1993-06-18","2026-05-02","Per=M","Days=T","Dir=V")</f>
        <v>0</v>
      </c>
      <c r="AW2">
        <f>BDH("CPNG US Equity","PX_VOLUME","1993-06-18","2026-05-02","Per=M","Days=T","Dir=V")</f>
        <v>0</v>
      </c>
      <c r="AY2">
        <f>BDH("CPNG US Equity","TURNOVER","1993-06-18","2026-05-02","Per=M","Days=T","Dir=V")</f>
        <v>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BDH("CPRT US Equity","BS_TOT_ASSET","1993-06-18","2026-05-02","Per=Y","Days=T","Dir=V")</f>
        <v>0</v>
      </c>
      <c r="C2">
        <f>BDH("CPRT US Equity","BS_TOT_LIAB2","1993-06-18","2026-05-02","Per=Y","Days=T","Dir=V")</f>
        <v>0</v>
      </c>
      <c r="E2">
        <f>BDH("CPRT US Equity","SHORT_AND_LONG_TERM_DEBT","1993-06-18","2026-05-02","Per=Y","Days=T","Dir=V")</f>
        <v>0</v>
      </c>
      <c r="G2">
        <f>BDH("CPRT US Equity","BS_ST_BORROW","1993-06-18","2026-05-02","Per=Y","Days=T","Dir=V")</f>
        <v>0</v>
      </c>
      <c r="I2">
        <f>BDH("CPRT US Equity","BS_LT_BORROW","1993-06-18","2026-05-02","Per=Y","Days=T","Dir=V")</f>
        <v>0</v>
      </c>
      <c r="K2">
        <f>BDH("CPRT US Equity","BS_CASH_NEAR_CASH_ITEM","1993-06-18","2026-05-02","Per=Y","Days=T","Dir=V")</f>
        <v>0</v>
      </c>
      <c r="M2">
        <f>BDH("CPRT US Equity","BS_CUR_ASSET_REPORT","1993-06-18","2026-05-02","Per=Y","Days=T","Dir=V")</f>
        <v>0</v>
      </c>
      <c r="O2">
        <f>BDH("CPRT US Equity","BS_CUR_LIAB","1993-06-18","2026-05-02","Per=Y","Days=T","Dir=V")</f>
        <v>0</v>
      </c>
      <c r="Q2">
        <f>BDH("CPRT US Equity","BS_SHAREHOLDER_EQY_ENDING_PERIOD","1993-06-18","2026-05-02","Per=Y","Days=T","Dir=V")</f>
        <v>0</v>
      </c>
      <c r="S2">
        <f>BDH("CPRT US Equity","BS_ACCT_NOTE_RCV","1993-06-18","2026-05-02","Per=Y","Days=T","Dir=V")</f>
        <v>0</v>
      </c>
      <c r="U2">
        <f>BDH("CPRT US Equity","BS_INVENTORIES","1993-06-18","2026-05-02","Per=Y","Days=T","Dir=V")</f>
        <v>0</v>
      </c>
      <c r="W2">
        <f>BDH("CPRT US Equity","WORKING_CAPITAL","1993-06-18","2026-05-02","Per=Y","Days=T","Dir=V")</f>
        <v>0</v>
      </c>
      <c r="Y2">
        <f>BDH("CPRT US Equity","SALES_REV_TURN","1993-06-18","2026-05-02","Per=Y","Days=T","Dir=V")</f>
        <v>0</v>
      </c>
      <c r="AA2">
        <f>BDH("CPRT US Equity","EBIT","1993-06-18","2026-05-02","Per=Y","Days=T","Dir=V")</f>
        <v>0</v>
      </c>
      <c r="AC2">
        <f>BDH("CPRT US Equity","EBITDA","1993-06-18","2026-05-02","Per=Y","Days=T","Dir=V")</f>
        <v>0</v>
      </c>
      <c r="AE2">
        <f>BDH("CPRT US Equity","NET_INCOME","1993-06-18","2026-05-02","Per=Y","Days=T","Dir=V")</f>
        <v>0</v>
      </c>
      <c r="AG2">
        <f>BDH("CPRT US Equity","IS_INT_EXPENSE","1993-06-18","2026-05-02","Per=Y","Days=T","Dir=V")</f>
        <v>0</v>
      </c>
      <c r="AI2">
        <f>BDH("CPRT US Equity","IS_DEPR_EXP","1993-06-18","2026-05-02","Per=Y","Days=T","Dir=V")</f>
        <v>0</v>
      </c>
      <c r="AK2">
        <f>BDH("CPRT US Equity","CF_CASH_FROM_OPER","1993-06-18","2026-05-02","Per=Y","Days=T","Dir=V")</f>
        <v>0</v>
      </c>
      <c r="AM2">
        <f>BDH("CPRT US Equity","CAPITAL_EXPEND","1993-06-18","2026-05-02","Per=Y","Days=T","Dir=V")</f>
        <v>0</v>
      </c>
      <c r="AO2">
        <f>BDH("CPRT US Equity","CF_FREE_CASH_FLOW","1993-06-18","2026-05-02","Per=Y","Days=T","Dir=V")</f>
        <v>0</v>
      </c>
      <c r="AQ2">
        <f>BDH("CPRT US Equity","PX_LAST","1993-06-18","2026-05-02","Per=M","Days=T","Dir=V")</f>
        <v>0</v>
      </c>
      <c r="AS2">
        <f>BDH("CPRT US Equity","CUR_MKT_CAP","1993-06-18","2026-05-02","Per=M","Days=T","Dir=V")</f>
        <v>0</v>
      </c>
      <c r="AU2">
        <f>BDH("CPRT US Equity","EQY_SH_OUT","1993-06-18","2026-05-02","Per=M","Days=T","Dir=V")</f>
        <v>0</v>
      </c>
      <c r="AW2">
        <f>BDH("CPRT US Equity","PX_VOLUME","1993-06-18","2026-05-02","Per=M","Days=T","Dir=V")</f>
        <v>0</v>
      </c>
      <c r="AY2">
        <f>BDH("CPRT US Equity","TURNOVER","1993-06-18","2026-05-02","Per=M","Days=T","Dir=V")</f>
        <v>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BDH("CPS US Equity","BS_TOT_ASSET","1993-06-18","2026-05-02","Per=Y","Days=T","Dir=V")</f>
        <v>0</v>
      </c>
      <c r="C2">
        <f>BDH("CPS US Equity","BS_TOT_LIAB2","1993-06-18","2026-05-02","Per=Y","Days=T","Dir=V")</f>
        <v>0</v>
      </c>
      <c r="E2">
        <f>BDH("CPS US Equity","SHORT_AND_LONG_TERM_DEBT","1993-06-18","2026-05-02","Per=Y","Days=T","Dir=V")</f>
        <v>0</v>
      </c>
      <c r="G2">
        <f>BDH("CPS US Equity","BS_ST_BORROW","1993-06-18","2026-05-02","Per=Y","Days=T","Dir=V")</f>
        <v>0</v>
      </c>
      <c r="I2">
        <f>BDH("CPS US Equity","BS_LT_BORROW","1993-06-18","2026-05-02","Per=Y","Days=T","Dir=V")</f>
        <v>0</v>
      </c>
      <c r="K2">
        <f>BDH("CPS US Equity","BS_CASH_NEAR_CASH_ITEM","1993-06-18","2026-05-02","Per=Y","Days=T","Dir=V")</f>
        <v>0</v>
      </c>
      <c r="M2">
        <f>BDH("CPS US Equity","BS_CUR_ASSET_REPORT","1993-06-18","2026-05-02","Per=Y","Days=T","Dir=V")</f>
        <v>0</v>
      </c>
      <c r="O2">
        <f>BDH("CPS US Equity","BS_CUR_LIAB","1993-06-18","2026-05-02","Per=Y","Days=T","Dir=V")</f>
        <v>0</v>
      </c>
      <c r="Q2">
        <f>BDH("CPS US Equity","BS_SHAREHOLDER_EQY_ENDING_PERIOD","1993-06-18","2026-05-02","Per=Y","Days=T","Dir=V")</f>
        <v>0</v>
      </c>
      <c r="S2">
        <f>BDH("CPS US Equity","BS_ACCT_NOTE_RCV","1993-06-18","2026-05-02","Per=Y","Days=T","Dir=V")</f>
        <v>0</v>
      </c>
      <c r="U2">
        <f>BDH("CPS US Equity","BS_INVENTORIES","1993-06-18","2026-05-02","Per=Y","Days=T","Dir=V")</f>
        <v>0</v>
      </c>
      <c r="W2">
        <f>BDH("CPS US Equity","WORKING_CAPITAL","1993-06-18","2026-05-02","Per=Y","Days=T","Dir=V")</f>
        <v>0</v>
      </c>
      <c r="Y2">
        <f>BDH("CPS US Equity","SALES_REV_TURN","1993-06-18","2026-05-02","Per=Y","Days=T","Dir=V")</f>
        <v>0</v>
      </c>
      <c r="AA2">
        <f>BDH("CPS US Equity","EBIT","1993-06-18","2026-05-02","Per=Y","Days=T","Dir=V")</f>
        <v>0</v>
      </c>
      <c r="AC2">
        <f>BDH("CPS US Equity","EBITDA","1993-06-18","2026-05-02","Per=Y","Days=T","Dir=V")</f>
        <v>0</v>
      </c>
      <c r="AE2">
        <f>BDH("CPS US Equity","NET_INCOME","1993-06-18","2026-05-02","Per=Y","Days=T","Dir=V")</f>
        <v>0</v>
      </c>
      <c r="AG2">
        <f>BDH("CPS US Equity","IS_INT_EXPENSE","1993-06-18","2026-05-02","Per=Y","Days=T","Dir=V")</f>
        <v>0</v>
      </c>
      <c r="AI2">
        <f>BDH("CPS US Equity","IS_DEPR_EXP","1993-06-18","2026-05-02","Per=Y","Days=T","Dir=V")</f>
        <v>0</v>
      </c>
      <c r="AK2">
        <f>BDH("CPS US Equity","CF_CASH_FROM_OPER","1993-06-18","2026-05-02","Per=Y","Days=T","Dir=V")</f>
        <v>0</v>
      </c>
      <c r="AM2">
        <f>BDH("CPS US Equity","CAPITAL_EXPEND","1993-06-18","2026-05-02","Per=Y","Days=T","Dir=V")</f>
        <v>0</v>
      </c>
      <c r="AO2">
        <f>BDH("CPS US Equity","CF_FREE_CASH_FLOW","1993-06-18","2026-05-02","Per=Y","Days=T","Dir=V")</f>
        <v>0</v>
      </c>
      <c r="AQ2">
        <f>BDH("CPS US Equity","PX_LAST","1993-06-18","2026-05-02","Per=M","Days=T","Dir=V")</f>
        <v>0</v>
      </c>
      <c r="AS2">
        <f>BDH("CPS US Equity","CUR_MKT_CAP","1993-06-18","2026-05-02","Per=M","Days=T","Dir=V")</f>
        <v>0</v>
      </c>
      <c r="AU2">
        <f>BDH("CPS US Equity","EQY_SH_OUT","1993-06-18","2026-05-02","Per=M","Days=T","Dir=V")</f>
        <v>0</v>
      </c>
      <c r="AW2">
        <f>BDH("CPS US Equity","PX_VOLUME","1993-06-18","2026-05-02","Per=M","Days=T","Dir=V")</f>
        <v>0</v>
      </c>
      <c r="AY2">
        <f>BDH("CPS US Equity","TURNOVER","1993-06-18","2026-05-02","Per=M","Days=T","Dir=V")</f>
        <v>0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BDH("CPSH US Equity","BS_TOT_ASSET","1993-06-18","2026-05-02","Per=Y","Days=T","Dir=V")</f>
        <v>0</v>
      </c>
      <c r="C2">
        <f>BDH("CPSH US Equity","BS_TOT_LIAB2","1993-06-18","2026-05-02","Per=Y","Days=T","Dir=V")</f>
        <v>0</v>
      </c>
      <c r="E2">
        <f>BDH("CPSH US Equity","SHORT_AND_LONG_TERM_DEBT","1993-06-18","2026-05-02","Per=Y","Days=T","Dir=V")</f>
        <v>0</v>
      </c>
      <c r="G2">
        <f>BDH("CPSH US Equity","BS_ST_BORROW","1993-06-18","2026-05-02","Per=Y","Days=T","Dir=V")</f>
        <v>0</v>
      </c>
      <c r="I2">
        <f>BDH("CPSH US Equity","BS_LT_BORROW","1993-06-18","2026-05-02","Per=Y","Days=T","Dir=V")</f>
        <v>0</v>
      </c>
      <c r="K2">
        <f>BDH("CPSH US Equity","BS_CASH_NEAR_CASH_ITEM","1993-06-18","2026-05-02","Per=Y","Days=T","Dir=V")</f>
        <v>0</v>
      </c>
      <c r="M2">
        <f>BDH("CPSH US Equity","BS_CUR_ASSET_REPORT","1993-06-18","2026-05-02","Per=Y","Days=T","Dir=V")</f>
        <v>0</v>
      </c>
      <c r="O2">
        <f>BDH("CPSH US Equity","BS_CUR_LIAB","1993-06-18","2026-05-02","Per=Y","Days=T","Dir=V")</f>
        <v>0</v>
      </c>
      <c r="Q2">
        <f>BDH("CPSH US Equity","BS_SHAREHOLDER_EQY_ENDING_PERIOD","1993-06-18","2026-05-02","Per=Y","Days=T","Dir=V")</f>
        <v>0</v>
      </c>
      <c r="S2">
        <f>BDH("CPSH US Equity","BS_ACCT_NOTE_RCV","1993-06-18","2026-05-02","Per=Y","Days=T","Dir=V")</f>
        <v>0</v>
      </c>
      <c r="U2">
        <f>BDH("CPSH US Equity","BS_INVENTORIES","1993-06-18","2026-05-02","Per=Y","Days=T","Dir=V")</f>
        <v>0</v>
      </c>
      <c r="W2">
        <f>BDH("CPSH US Equity","WORKING_CAPITAL","1993-06-18","2026-05-02","Per=Y","Days=T","Dir=V")</f>
        <v>0</v>
      </c>
      <c r="Y2">
        <f>BDH("CPSH US Equity","SALES_REV_TURN","1993-06-18","2026-05-02","Per=Y","Days=T","Dir=V")</f>
        <v>0</v>
      </c>
      <c r="AA2">
        <f>BDH("CPSH US Equity","EBIT","1993-06-18","2026-05-02","Per=Y","Days=T","Dir=V")</f>
        <v>0</v>
      </c>
      <c r="AC2">
        <f>BDH("CPSH US Equity","EBITDA","1993-06-18","2026-05-02","Per=Y","Days=T","Dir=V")</f>
        <v>0</v>
      </c>
      <c r="AE2">
        <f>BDH("CPSH US Equity","NET_INCOME","1993-06-18","2026-05-02","Per=Y","Days=T","Dir=V")</f>
        <v>0</v>
      </c>
      <c r="AG2">
        <f>BDH("CPSH US Equity","IS_INT_EXPENSE","1993-06-18","2026-05-02","Per=Y","Days=T","Dir=V")</f>
        <v>0</v>
      </c>
      <c r="AI2">
        <f>BDH("CPSH US Equity","IS_DEPR_EXP","1993-06-18","2026-05-02","Per=Y","Days=T","Dir=V")</f>
        <v>0</v>
      </c>
      <c r="AK2">
        <f>BDH("CPSH US Equity","CF_CASH_FROM_OPER","1993-06-18","2026-05-02","Per=Y","Days=T","Dir=V")</f>
        <v>0</v>
      </c>
      <c r="AM2">
        <f>BDH("CPSH US Equity","CAPITAL_EXPEND","1993-06-18","2026-05-02","Per=Y","Days=T","Dir=V")</f>
        <v>0</v>
      </c>
      <c r="AO2">
        <f>BDH("CPSH US Equity","CF_FREE_CASH_FLOW","1993-06-18","2026-05-02","Per=Y","Days=T","Dir=V")</f>
        <v>0</v>
      </c>
      <c r="AQ2">
        <f>BDH("CPSH US Equity","PX_LAST","1993-06-18","2026-05-02","Per=M","Days=T","Dir=V")</f>
        <v>0</v>
      </c>
      <c r="AS2">
        <f>BDH("CPSH US Equity","CUR_MKT_CAP","1993-06-18","2026-05-02","Per=M","Days=T","Dir=V")</f>
        <v>0</v>
      </c>
      <c r="AU2">
        <f>BDH("CPSH US Equity","EQY_SH_OUT","1993-06-18","2026-05-02","Per=M","Days=T","Dir=V")</f>
        <v>0</v>
      </c>
      <c r="AW2">
        <f>BDH("CPSH US Equity","PX_VOLUME","1993-06-18","2026-05-02","Per=M","Days=T","Dir=V")</f>
        <v>0</v>
      </c>
      <c r="AY2">
        <f>BDH("CPSH US Equity","TURNOVER","1993-06-18","2026-05-02","Per=M","Days=T","Dir=V")</f>
        <v>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BDH("CQP US Equity","BS_TOT_ASSET","1993-06-18","2026-05-02","Per=Y","Days=T","Dir=V")</f>
        <v>0</v>
      </c>
      <c r="C2">
        <f>BDH("CQP US Equity","BS_TOT_LIAB2","1993-06-18","2026-05-02","Per=Y","Days=T","Dir=V")</f>
        <v>0</v>
      </c>
      <c r="E2">
        <f>BDH("CQP US Equity","SHORT_AND_LONG_TERM_DEBT","1993-06-18","2026-05-02","Per=Y","Days=T","Dir=V")</f>
        <v>0</v>
      </c>
      <c r="G2">
        <f>BDH("CQP US Equity","BS_ST_BORROW","1993-06-18","2026-05-02","Per=Y","Days=T","Dir=V")</f>
        <v>0</v>
      </c>
      <c r="I2">
        <f>BDH("CQP US Equity","BS_LT_BORROW","1993-06-18","2026-05-02","Per=Y","Days=T","Dir=V")</f>
        <v>0</v>
      </c>
      <c r="K2">
        <f>BDH("CQP US Equity","BS_CASH_NEAR_CASH_ITEM","1993-06-18","2026-05-02","Per=Y","Days=T","Dir=V")</f>
        <v>0</v>
      </c>
      <c r="M2">
        <f>BDH("CQP US Equity","BS_CUR_ASSET_REPORT","1993-06-18","2026-05-02","Per=Y","Days=T","Dir=V")</f>
        <v>0</v>
      </c>
      <c r="O2">
        <f>BDH("CQP US Equity","BS_CUR_LIAB","1993-06-18","2026-05-02","Per=Y","Days=T","Dir=V")</f>
        <v>0</v>
      </c>
      <c r="Q2">
        <f>BDH("CQP US Equity","BS_SHAREHOLDER_EQY_ENDING_PERIOD","1993-06-18","2026-05-02","Per=Y","Days=T","Dir=V")</f>
        <v>0</v>
      </c>
      <c r="S2">
        <f>BDH("CQP US Equity","BS_ACCT_NOTE_RCV","1993-06-18","2026-05-02","Per=Y","Days=T","Dir=V")</f>
        <v>0</v>
      </c>
      <c r="U2">
        <f>BDH("CQP US Equity","BS_INVENTORIES","1993-06-18","2026-05-02","Per=Y","Days=T","Dir=V")</f>
        <v>0</v>
      </c>
      <c r="W2">
        <f>BDH("CQP US Equity","WORKING_CAPITAL","1993-06-18","2026-05-02","Per=Y","Days=T","Dir=V")</f>
        <v>0</v>
      </c>
      <c r="Y2">
        <f>BDH("CQP US Equity","SALES_REV_TURN","1993-06-18","2026-05-02","Per=Y","Days=T","Dir=V")</f>
        <v>0</v>
      </c>
      <c r="AA2">
        <f>BDH("CQP US Equity","EBIT","1993-06-18","2026-05-02","Per=Y","Days=T","Dir=V")</f>
        <v>0</v>
      </c>
      <c r="AC2">
        <f>BDH("CQP US Equity","EBITDA","1993-06-18","2026-05-02","Per=Y","Days=T","Dir=V")</f>
        <v>0</v>
      </c>
      <c r="AE2">
        <f>BDH("CQP US Equity","NET_INCOME","1993-06-18","2026-05-02","Per=Y","Days=T","Dir=V")</f>
        <v>0</v>
      </c>
      <c r="AG2">
        <f>BDH("CQP US Equity","IS_INT_EXPENSE","1993-06-18","2026-05-02","Per=Y","Days=T","Dir=V")</f>
        <v>0</v>
      </c>
      <c r="AI2">
        <f>BDH("CQP US Equity","IS_DEPR_EXP","1993-06-18","2026-05-02","Per=Y","Days=T","Dir=V")</f>
        <v>0</v>
      </c>
      <c r="AK2">
        <f>BDH("CQP US Equity","CF_CASH_FROM_OPER","1993-06-18","2026-05-02","Per=Y","Days=T","Dir=V")</f>
        <v>0</v>
      </c>
      <c r="AM2">
        <f>BDH("CQP US Equity","CAPITAL_EXPEND","1993-06-18","2026-05-02","Per=Y","Days=T","Dir=V")</f>
        <v>0</v>
      </c>
      <c r="AO2">
        <f>BDH("CQP US Equity","CF_FREE_CASH_FLOW","1993-06-18","2026-05-02","Per=Y","Days=T","Dir=V")</f>
        <v>0</v>
      </c>
      <c r="AQ2">
        <f>BDH("CQP US Equity","PX_LAST","1993-06-18","2026-05-02","Per=M","Days=T","Dir=V")</f>
        <v>0</v>
      </c>
      <c r="AS2">
        <f>BDH("CQP US Equity","CUR_MKT_CAP","1993-06-18","2026-05-02","Per=M","Days=T","Dir=V")</f>
        <v>0</v>
      </c>
      <c r="AU2">
        <f>BDH("CQP US Equity","EQY_SH_OUT","1993-06-18","2026-05-02","Per=M","Days=T","Dir=V")</f>
        <v>0</v>
      </c>
      <c r="AW2">
        <f>BDH("CQP US Equity","PX_VOLUME","1993-06-18","2026-05-02","Per=M","Days=T","Dir=V")</f>
        <v>0</v>
      </c>
      <c r="AY2">
        <f>BDH("CQP US Equity","TURNOVER","1993-06-18","2026-05-02","Per=M","Days=T","Dir=V")</f>
        <v>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 US Equity","BS_TOT_ASSET","1993-06-18","2026-05-02","Per=Y","Days=T","Dir=V")</f>
        <v>0</v>
      </c>
      <c r="C2">
        <f>BDH("CR US Equity","BS_TOT_LIAB2","1993-06-18","2026-05-02","Per=Y","Days=T","Dir=V")</f>
        <v>0</v>
      </c>
      <c r="E2">
        <f>BDH("CR US Equity","SHORT_AND_LONG_TERM_DEBT","1993-06-18","2026-05-02","Per=Y","Days=T","Dir=V")</f>
        <v>0</v>
      </c>
      <c r="G2">
        <f>BDH("CR US Equity","BS_ST_BORROW","1993-06-18","2026-05-02","Per=Y","Days=T","Dir=V")</f>
        <v>0</v>
      </c>
      <c r="I2">
        <f>BDH("CR US Equity","BS_LT_BORROW","1993-06-18","2026-05-02","Per=Y","Days=T","Dir=V")</f>
        <v>0</v>
      </c>
      <c r="K2">
        <f>BDH("CR US Equity","BS_CASH_NEAR_CASH_ITEM","1993-06-18","2026-05-02","Per=Y","Days=T","Dir=V")</f>
        <v>0</v>
      </c>
      <c r="M2">
        <f>BDH("CR US Equity","BS_CUR_ASSET_REPORT","1993-06-18","2026-05-02","Per=Y","Days=T","Dir=V")</f>
        <v>0</v>
      </c>
      <c r="O2">
        <f>BDH("CR US Equity","BS_CUR_LIAB","1993-06-18","2026-05-02","Per=Y","Days=T","Dir=V")</f>
        <v>0</v>
      </c>
      <c r="Q2">
        <f>BDH("CR US Equity","BS_SHAREHOLDER_EQY_ENDING_PERIOD","1993-06-18","2026-05-02","Per=Y","Days=T","Dir=V")</f>
        <v>0</v>
      </c>
      <c r="S2">
        <f>BDH("CR US Equity","BS_ACCT_NOTE_RCV","1993-06-18","2026-05-02","Per=Y","Days=T","Dir=V")</f>
        <v>0</v>
      </c>
      <c r="U2">
        <f>BDH("CR US Equity","BS_INVENTORIES","1993-06-18","2026-05-02","Per=Y","Days=T","Dir=V")</f>
        <v>0</v>
      </c>
      <c r="W2">
        <f>BDH("CR US Equity","WORKING_CAPITAL","1993-06-18","2026-05-02","Per=Y","Days=T","Dir=V")</f>
        <v>0</v>
      </c>
      <c r="Y2">
        <f>BDH("CR US Equity","SALES_REV_TURN","1993-06-18","2026-05-02","Per=Y","Days=T","Dir=V")</f>
        <v>0</v>
      </c>
      <c r="AA2">
        <f>BDH("CR US Equity","EBIT","1993-06-18","2026-05-02","Per=Y","Days=T","Dir=V")</f>
        <v>0</v>
      </c>
      <c r="AC2">
        <f>BDH("CR US Equity","EBITDA","1993-06-18","2026-05-02","Per=Y","Days=T","Dir=V")</f>
        <v>0</v>
      </c>
      <c r="AE2">
        <f>BDH("CR US Equity","NET_INCOME","1993-06-18","2026-05-02","Per=Y","Days=T","Dir=V")</f>
        <v>0</v>
      </c>
      <c r="AG2">
        <f>BDH("CR US Equity","IS_INT_EXPENSE","1993-06-18","2026-05-02","Per=Y","Days=T","Dir=V")</f>
        <v>0</v>
      </c>
      <c r="AI2">
        <f>BDH("CR US Equity","IS_DEPR_EXP","1993-06-18","2026-05-02","Per=Y","Days=T","Dir=V")</f>
        <v>0</v>
      </c>
      <c r="AK2">
        <f>BDH("CR US Equity","CF_CASH_FROM_OPER","1993-06-18","2026-05-02","Per=Y","Days=T","Dir=V")</f>
        <v>0</v>
      </c>
      <c r="AM2">
        <f>BDH("CR US Equity","CAPITAL_EXPEND","1993-06-18","2026-05-02","Per=Y","Days=T","Dir=V")</f>
        <v>0</v>
      </c>
      <c r="AO2">
        <f>BDH("CR US Equity","CF_FREE_CASH_FLOW","1993-06-18","2026-05-02","Per=Y","Days=T","Dir=V")</f>
        <v>0</v>
      </c>
      <c r="AQ2">
        <f>BDH("CR US Equity","PX_LAST","1993-06-18","2026-05-02","Per=M","Days=T","Dir=V")</f>
        <v>0</v>
      </c>
      <c r="AS2">
        <f>BDH("CR US Equity","CUR_MKT_CAP","1993-06-18","2026-05-02","Per=M","Days=T","Dir=V")</f>
        <v>0</v>
      </c>
      <c r="AU2">
        <f>BDH("CR US Equity","EQY_SH_OUT","1993-06-18","2026-05-02","Per=M","Days=T","Dir=V")</f>
        <v>0</v>
      </c>
      <c r="AW2">
        <f>BDH("CR US Equity","PX_VOLUME","1993-06-18","2026-05-02","Per=M","Days=T","Dir=V")</f>
        <v>0</v>
      </c>
      <c r="AY2">
        <f>BDH("CR US Equity","TURNOVER","1993-06-18","2026-05-02","Per=M","Days=T","Dir=V")</f>
        <v>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BDH("CRAI US Equity","BS_TOT_ASSET","1993-06-18","2026-05-02","Per=Y","Days=T","Dir=V")</f>
        <v>0</v>
      </c>
      <c r="C2">
        <f>BDH("CRAI US Equity","BS_TOT_LIAB2","1993-06-18","2026-05-02","Per=Y","Days=T","Dir=V")</f>
        <v>0</v>
      </c>
      <c r="E2">
        <f>BDH("CRAI US Equity","SHORT_AND_LONG_TERM_DEBT","1993-06-18","2026-05-02","Per=Y","Days=T","Dir=V")</f>
        <v>0</v>
      </c>
      <c r="G2">
        <f>BDH("CRAI US Equity","BS_ST_BORROW","1993-06-18","2026-05-02","Per=Y","Days=T","Dir=V")</f>
        <v>0</v>
      </c>
      <c r="I2">
        <f>BDH("CRAI US Equity","BS_LT_BORROW","1993-06-18","2026-05-02","Per=Y","Days=T","Dir=V")</f>
        <v>0</v>
      </c>
      <c r="K2">
        <f>BDH("CRAI US Equity","BS_CASH_NEAR_CASH_ITEM","1993-06-18","2026-05-02","Per=Y","Days=T","Dir=V")</f>
        <v>0</v>
      </c>
      <c r="M2">
        <f>BDH("CRAI US Equity","BS_CUR_ASSET_REPORT","1993-06-18","2026-05-02","Per=Y","Days=T","Dir=V")</f>
        <v>0</v>
      </c>
      <c r="O2">
        <f>BDH("CRAI US Equity","BS_CUR_LIAB","1993-06-18","2026-05-02","Per=Y","Days=T","Dir=V")</f>
        <v>0</v>
      </c>
      <c r="Q2">
        <f>BDH("CRAI US Equity","BS_SHAREHOLDER_EQY_ENDING_PERIOD","1993-06-18","2026-05-02","Per=Y","Days=T","Dir=V")</f>
        <v>0</v>
      </c>
      <c r="S2">
        <f>BDH("CRAI US Equity","BS_ACCT_NOTE_RCV","1993-06-18","2026-05-02","Per=Y","Days=T","Dir=V")</f>
        <v>0</v>
      </c>
      <c r="U2">
        <f>BDH("CRAI US Equity","BS_INVENTORIES","1993-06-18","2026-05-02","Per=Y","Days=T","Dir=V")</f>
        <v>0</v>
      </c>
      <c r="W2">
        <f>BDH("CRAI US Equity","WORKING_CAPITAL","1993-06-18","2026-05-02","Per=Y","Days=T","Dir=V")</f>
        <v>0</v>
      </c>
      <c r="Y2">
        <f>BDH("CRAI US Equity","SALES_REV_TURN","1993-06-18","2026-05-02","Per=Y","Days=T","Dir=V")</f>
        <v>0</v>
      </c>
      <c r="AA2">
        <f>BDH("CRAI US Equity","EBIT","1993-06-18","2026-05-02","Per=Y","Days=T","Dir=V")</f>
        <v>0</v>
      </c>
      <c r="AC2">
        <f>BDH("CRAI US Equity","EBITDA","1993-06-18","2026-05-02","Per=Y","Days=T","Dir=V")</f>
        <v>0</v>
      </c>
      <c r="AE2">
        <f>BDH("CRAI US Equity","NET_INCOME","1993-06-18","2026-05-02","Per=Y","Days=T","Dir=V")</f>
        <v>0</v>
      </c>
      <c r="AG2">
        <f>BDH("CRAI US Equity","IS_INT_EXPENSE","1993-06-18","2026-05-02","Per=Y","Days=T","Dir=V")</f>
        <v>0</v>
      </c>
      <c r="AI2">
        <f>BDH("CRAI US Equity","IS_DEPR_EXP","1993-06-18","2026-05-02","Per=Y","Days=T","Dir=V")</f>
        <v>0</v>
      </c>
      <c r="AK2">
        <f>BDH("CRAI US Equity","CF_CASH_FROM_OPER","1993-06-18","2026-05-02","Per=Y","Days=T","Dir=V")</f>
        <v>0</v>
      </c>
      <c r="AM2">
        <f>BDH("CRAI US Equity","CAPITAL_EXPEND","1993-06-18","2026-05-02","Per=Y","Days=T","Dir=V")</f>
        <v>0</v>
      </c>
      <c r="AO2">
        <f>BDH("CRAI US Equity","CF_FREE_CASH_FLOW","1993-06-18","2026-05-02","Per=Y","Days=T","Dir=V")</f>
        <v>0</v>
      </c>
      <c r="AQ2">
        <f>BDH("CRAI US Equity","PX_LAST","1993-06-18","2026-05-02","Per=M","Days=T","Dir=V")</f>
        <v>0</v>
      </c>
      <c r="AS2">
        <f>BDH("CRAI US Equity","CUR_MKT_CAP","1993-06-18","2026-05-02","Per=M","Days=T","Dir=V")</f>
        <v>0</v>
      </c>
      <c r="AU2">
        <f>BDH("CRAI US Equity","EQY_SH_OUT","1993-06-18","2026-05-02","Per=M","Days=T","Dir=V")</f>
        <v>0</v>
      </c>
      <c r="AW2">
        <f>BDH("CRAI US Equity","PX_VOLUME","1993-06-18","2026-05-02","Per=M","Days=T","Dir=V")</f>
        <v>0</v>
      </c>
      <c r="AY2">
        <f>BDH("CRAI US Equity","TURNOVER","1993-06-18","2026-05-02","Per=M","Days=T","Dir=V")</f>
        <v>0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BDH("CRBP US Equity","BS_TOT_ASSET","1993-06-18","2026-05-02","Per=Y","Days=T","Dir=V")</f>
        <v>0</v>
      </c>
      <c r="C2">
        <f>BDH("CRBP US Equity","BS_TOT_LIAB2","1993-06-18","2026-05-02","Per=Y","Days=T","Dir=V")</f>
        <v>0</v>
      </c>
      <c r="E2">
        <f>BDH("CRBP US Equity","SHORT_AND_LONG_TERM_DEBT","1993-06-18","2026-05-02","Per=Y","Days=T","Dir=V")</f>
        <v>0</v>
      </c>
      <c r="G2">
        <f>BDH("CRBP US Equity","BS_ST_BORROW","1993-06-18","2026-05-02","Per=Y","Days=T","Dir=V")</f>
        <v>0</v>
      </c>
      <c r="I2">
        <f>BDH("CRBP US Equity","BS_LT_BORROW","1993-06-18","2026-05-02","Per=Y","Days=T","Dir=V")</f>
        <v>0</v>
      </c>
      <c r="K2">
        <f>BDH("CRBP US Equity","BS_CASH_NEAR_CASH_ITEM","1993-06-18","2026-05-02","Per=Y","Days=T","Dir=V")</f>
        <v>0</v>
      </c>
      <c r="M2">
        <f>BDH("CRBP US Equity","BS_CUR_ASSET_REPORT","1993-06-18","2026-05-02","Per=Y","Days=T","Dir=V")</f>
        <v>0</v>
      </c>
      <c r="O2">
        <f>BDH("CRBP US Equity","BS_CUR_LIAB","1993-06-18","2026-05-02","Per=Y","Days=T","Dir=V")</f>
        <v>0</v>
      </c>
      <c r="Q2">
        <f>BDH("CRBP US Equity","BS_SHAREHOLDER_EQY_ENDING_PERIOD","1993-06-18","2026-05-02","Per=Y","Days=T","Dir=V")</f>
        <v>0</v>
      </c>
      <c r="S2">
        <f>BDH("CRBP US Equity","BS_ACCT_NOTE_RCV","1993-06-18","2026-05-02","Per=Y","Days=T","Dir=V")</f>
        <v>0</v>
      </c>
      <c r="U2">
        <f>BDH("CRBP US Equity","BS_INVENTORIES","1993-06-18","2026-05-02","Per=Y","Days=T","Dir=V")</f>
        <v>0</v>
      </c>
      <c r="W2">
        <f>BDH("CRBP US Equity","WORKING_CAPITAL","1993-06-18","2026-05-02","Per=Y","Days=T","Dir=V")</f>
        <v>0</v>
      </c>
      <c r="Y2">
        <f>BDH("CRBP US Equity","SALES_REV_TURN","1993-06-18","2026-05-02","Per=Y","Days=T","Dir=V")</f>
        <v>0</v>
      </c>
      <c r="AA2">
        <f>BDH("CRBP US Equity","EBIT","1993-06-18","2026-05-02","Per=Y","Days=T","Dir=V")</f>
        <v>0</v>
      </c>
      <c r="AC2">
        <f>BDH("CRBP US Equity","EBITDA","1993-06-18","2026-05-02","Per=Y","Days=T","Dir=V")</f>
        <v>0</v>
      </c>
      <c r="AE2">
        <f>BDH("CRBP US Equity","NET_INCOME","1993-06-18","2026-05-02","Per=Y","Days=T","Dir=V")</f>
        <v>0</v>
      </c>
      <c r="AG2">
        <f>BDH("CRBP US Equity","IS_INT_EXPENSE","1993-06-18","2026-05-02","Per=Y","Days=T","Dir=V")</f>
        <v>0</v>
      </c>
      <c r="AI2">
        <f>BDH("CRBP US Equity","IS_DEPR_EXP","1993-06-18","2026-05-02","Per=Y","Days=T","Dir=V")</f>
        <v>0</v>
      </c>
      <c r="AK2">
        <f>BDH("CRBP US Equity","CF_CASH_FROM_OPER","1993-06-18","2026-05-02","Per=Y","Days=T","Dir=V")</f>
        <v>0</v>
      </c>
      <c r="AM2">
        <f>BDH("CRBP US Equity","CAPITAL_EXPEND","1993-06-18","2026-05-02","Per=Y","Days=T","Dir=V")</f>
        <v>0</v>
      </c>
      <c r="AO2">
        <f>BDH("CRBP US Equity","CF_FREE_CASH_FLOW","1993-06-18","2026-05-02","Per=Y","Days=T","Dir=V")</f>
        <v>0</v>
      </c>
      <c r="AQ2">
        <f>BDH("CRBP US Equity","PX_LAST","1993-06-18","2026-05-02","Per=M","Days=T","Dir=V")</f>
        <v>0</v>
      </c>
      <c r="AS2">
        <f>BDH("CRBP US Equity","CUR_MKT_CAP","1993-06-18","2026-05-02","Per=M","Days=T","Dir=V")</f>
        <v>0</v>
      </c>
      <c r="AU2">
        <f>BDH("CRBP US Equity","EQY_SH_OUT","1993-06-18","2026-05-02","Per=M","Days=T","Dir=V")</f>
        <v>0</v>
      </c>
      <c r="AW2">
        <f>BDH("CRBP US Equity","PX_VOLUME","1993-06-18","2026-05-02","Per=M","Days=T","Dir=V")</f>
        <v>0</v>
      </c>
      <c r="AY2">
        <f>BDH("CRBP US Equity","TURNOVER","1993-06-18","2026-05-02","Per=M","Days=T","Dir=V")</f>
        <v>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BDH("CRBU US Equity","BS_TOT_ASSET","1993-06-18","2026-05-02","Per=Y","Days=T","Dir=V")</f>
        <v>0</v>
      </c>
      <c r="C2">
        <f>BDH("CRBU US Equity","BS_TOT_LIAB2","1993-06-18","2026-05-02","Per=Y","Days=T","Dir=V")</f>
        <v>0</v>
      </c>
      <c r="E2">
        <f>BDH("CRBU US Equity","SHORT_AND_LONG_TERM_DEBT","1993-06-18","2026-05-02","Per=Y","Days=T","Dir=V")</f>
        <v>0</v>
      </c>
      <c r="G2">
        <f>BDH("CRBU US Equity","BS_ST_BORROW","1993-06-18","2026-05-02","Per=Y","Days=T","Dir=V")</f>
        <v>0</v>
      </c>
      <c r="I2">
        <f>BDH("CRBU US Equity","BS_LT_BORROW","1993-06-18","2026-05-02","Per=Y","Days=T","Dir=V")</f>
        <v>0</v>
      </c>
      <c r="K2">
        <f>BDH("CRBU US Equity","BS_CASH_NEAR_CASH_ITEM","1993-06-18","2026-05-02","Per=Y","Days=T","Dir=V")</f>
        <v>0</v>
      </c>
      <c r="M2">
        <f>BDH("CRBU US Equity","BS_CUR_ASSET_REPORT","1993-06-18","2026-05-02","Per=Y","Days=T","Dir=V")</f>
        <v>0</v>
      </c>
      <c r="O2">
        <f>BDH("CRBU US Equity","BS_CUR_LIAB","1993-06-18","2026-05-02","Per=Y","Days=T","Dir=V")</f>
        <v>0</v>
      </c>
      <c r="Q2">
        <f>BDH("CRBU US Equity","BS_SHAREHOLDER_EQY_ENDING_PERIOD","1993-06-18","2026-05-02","Per=Y","Days=T","Dir=V")</f>
        <v>0</v>
      </c>
      <c r="S2">
        <f>BDH("CRBU US Equity","BS_ACCT_NOTE_RCV","1993-06-18","2026-05-02","Per=Y","Days=T","Dir=V")</f>
        <v>0</v>
      </c>
      <c r="U2">
        <f>BDH("CRBU US Equity","BS_INVENTORIES","1993-06-18","2026-05-02","Per=Y","Days=T","Dir=V")</f>
        <v>0</v>
      </c>
      <c r="W2">
        <f>BDH("CRBU US Equity","WORKING_CAPITAL","1993-06-18","2026-05-02","Per=Y","Days=T","Dir=V")</f>
        <v>0</v>
      </c>
      <c r="Y2">
        <f>BDH("CRBU US Equity","SALES_REV_TURN","1993-06-18","2026-05-02","Per=Y","Days=T","Dir=V")</f>
        <v>0</v>
      </c>
      <c r="AA2">
        <f>BDH("CRBU US Equity","EBIT","1993-06-18","2026-05-02","Per=Y","Days=T","Dir=V")</f>
        <v>0</v>
      </c>
      <c r="AC2">
        <f>BDH("CRBU US Equity","EBITDA","1993-06-18","2026-05-02","Per=Y","Days=T","Dir=V")</f>
        <v>0</v>
      </c>
      <c r="AE2">
        <f>BDH("CRBU US Equity","NET_INCOME","1993-06-18","2026-05-02","Per=Y","Days=T","Dir=V")</f>
        <v>0</v>
      </c>
      <c r="AG2">
        <f>BDH("CRBU US Equity","IS_INT_EXPENSE","1993-06-18","2026-05-02","Per=Y","Days=T","Dir=V")</f>
        <v>0</v>
      </c>
      <c r="AI2">
        <f>BDH("CRBU US Equity","IS_DEPR_EXP","1993-06-18","2026-05-02","Per=Y","Days=T","Dir=V")</f>
        <v>0</v>
      </c>
      <c r="AK2">
        <f>BDH("CRBU US Equity","CF_CASH_FROM_OPER","1993-06-18","2026-05-02","Per=Y","Days=T","Dir=V")</f>
        <v>0</v>
      </c>
      <c r="AM2">
        <f>BDH("CRBU US Equity","CAPITAL_EXPEND","1993-06-18","2026-05-02","Per=Y","Days=T","Dir=V")</f>
        <v>0</v>
      </c>
      <c r="AO2">
        <f>BDH("CRBU US Equity","CF_FREE_CASH_FLOW","1993-06-18","2026-05-02","Per=Y","Days=T","Dir=V")</f>
        <v>0</v>
      </c>
      <c r="AQ2">
        <f>BDH("CRBU US Equity","PX_LAST","1993-06-18","2026-05-02","Per=M","Days=T","Dir=V")</f>
        <v>0</v>
      </c>
      <c r="AS2">
        <f>BDH("CRBU US Equity","CUR_MKT_CAP","1993-06-18","2026-05-02","Per=M","Days=T","Dir=V")</f>
        <v>0</v>
      </c>
      <c r="AU2">
        <f>BDH("CRBU US Equity","EQY_SH_OUT","1993-06-18","2026-05-02","Per=M","Days=T","Dir=V")</f>
        <v>0</v>
      </c>
      <c r="AW2">
        <f>BDH("CRBU US Equity","PX_VOLUME","1993-06-18","2026-05-02","Per=M","Days=T","Dir=V")</f>
        <v>0</v>
      </c>
      <c r="AY2">
        <f>BDH("CRBU US Equity","TURNOVER","1993-06-18","2026-05-02","Per=M","Days=T","Dir=V")</f>
        <v>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BDH("CRC US Equity","BS_TOT_ASSET","1993-06-18","2026-05-02","Per=Y","Days=T","Dir=V")</f>
        <v>0</v>
      </c>
      <c r="C2">
        <f>BDH("CRC US Equity","BS_TOT_LIAB2","1993-06-18","2026-05-02","Per=Y","Days=T","Dir=V")</f>
        <v>0</v>
      </c>
      <c r="E2">
        <f>BDH("CRC US Equity","SHORT_AND_LONG_TERM_DEBT","1993-06-18","2026-05-02","Per=Y","Days=T","Dir=V")</f>
        <v>0</v>
      </c>
      <c r="G2">
        <f>BDH("CRC US Equity","BS_ST_BORROW","1993-06-18","2026-05-02","Per=Y","Days=T","Dir=V")</f>
        <v>0</v>
      </c>
      <c r="I2">
        <f>BDH("CRC US Equity","BS_LT_BORROW","1993-06-18","2026-05-02","Per=Y","Days=T","Dir=V")</f>
        <v>0</v>
      </c>
      <c r="K2">
        <f>BDH("CRC US Equity","BS_CASH_NEAR_CASH_ITEM","1993-06-18","2026-05-02","Per=Y","Days=T","Dir=V")</f>
        <v>0</v>
      </c>
      <c r="M2">
        <f>BDH("CRC US Equity","BS_CUR_ASSET_REPORT","1993-06-18","2026-05-02","Per=Y","Days=T","Dir=V")</f>
        <v>0</v>
      </c>
      <c r="O2">
        <f>BDH("CRC US Equity","BS_CUR_LIAB","1993-06-18","2026-05-02","Per=Y","Days=T","Dir=V")</f>
        <v>0</v>
      </c>
      <c r="Q2">
        <f>BDH("CRC US Equity","BS_SHAREHOLDER_EQY_ENDING_PERIOD","1993-06-18","2026-05-02","Per=Y","Days=T","Dir=V")</f>
        <v>0</v>
      </c>
      <c r="S2">
        <f>BDH("CRC US Equity","BS_ACCT_NOTE_RCV","1993-06-18","2026-05-02","Per=Y","Days=T","Dir=V")</f>
        <v>0</v>
      </c>
      <c r="U2">
        <f>BDH("CRC US Equity","BS_INVENTORIES","1993-06-18","2026-05-02","Per=Y","Days=T","Dir=V")</f>
        <v>0</v>
      </c>
      <c r="W2">
        <f>BDH("CRC US Equity","WORKING_CAPITAL","1993-06-18","2026-05-02","Per=Y","Days=T","Dir=V")</f>
        <v>0</v>
      </c>
      <c r="Y2">
        <f>BDH("CRC US Equity","SALES_REV_TURN","1993-06-18","2026-05-02","Per=Y","Days=T","Dir=V")</f>
        <v>0</v>
      </c>
      <c r="AA2">
        <f>BDH("CRC US Equity","EBIT","1993-06-18","2026-05-02","Per=Y","Days=T","Dir=V")</f>
        <v>0</v>
      </c>
      <c r="AC2">
        <f>BDH("CRC US Equity","EBITDA","1993-06-18","2026-05-02","Per=Y","Days=T","Dir=V")</f>
        <v>0</v>
      </c>
      <c r="AE2">
        <f>BDH("CRC US Equity","NET_INCOME","1993-06-18","2026-05-02","Per=Y","Days=T","Dir=V")</f>
        <v>0</v>
      </c>
      <c r="AG2">
        <f>BDH("CRC US Equity","IS_INT_EXPENSE","1993-06-18","2026-05-02","Per=Y","Days=T","Dir=V")</f>
        <v>0</v>
      </c>
      <c r="AI2">
        <f>BDH("CRC US Equity","IS_DEPR_EXP","1993-06-18","2026-05-02","Per=Y","Days=T","Dir=V")</f>
        <v>0</v>
      </c>
      <c r="AK2">
        <f>BDH("CRC US Equity","CF_CASH_FROM_OPER","1993-06-18","2026-05-02","Per=Y","Days=T","Dir=V")</f>
        <v>0</v>
      </c>
      <c r="AM2">
        <f>BDH("CRC US Equity","CAPITAL_EXPEND","1993-06-18","2026-05-02","Per=Y","Days=T","Dir=V")</f>
        <v>0</v>
      </c>
      <c r="AO2">
        <f>BDH("CRC US Equity","CF_FREE_CASH_FLOW","1993-06-18","2026-05-02","Per=Y","Days=T","Dir=V")</f>
        <v>0</v>
      </c>
      <c r="AQ2">
        <f>BDH("CRC US Equity","PX_LAST","1993-06-18","2026-05-02","Per=M","Days=T","Dir=V")</f>
        <v>0</v>
      </c>
      <c r="AS2">
        <f>BDH("CRC US Equity","CUR_MKT_CAP","1993-06-18","2026-05-02","Per=M","Days=T","Dir=V")</f>
        <v>0</v>
      </c>
      <c r="AU2">
        <f>BDH("CRC US Equity","EQY_SH_OUT","1993-06-18","2026-05-02","Per=M","Days=T","Dir=V")</f>
        <v>0</v>
      </c>
      <c r="AW2">
        <f>BDH("CRC US Equity","PX_VOLUME","1993-06-18","2026-05-02","Per=M","Days=T","Dir=V")</f>
        <v>0</v>
      </c>
      <c r="AY2">
        <f>BDH("CRC US Equity","TURNOVER","1993-06-18","2026-05-02","Per=M","Days=T","Dir=V")</f>
        <v>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BDH("CRCT US Equity","BS_TOT_ASSET","1993-06-18","2026-05-02","Per=Y","Days=T","Dir=V")</f>
        <v>0</v>
      </c>
      <c r="C2">
        <f>BDH("CRCT US Equity","BS_TOT_LIAB2","1993-06-18","2026-05-02","Per=Y","Days=T","Dir=V")</f>
        <v>0</v>
      </c>
      <c r="E2">
        <f>BDH("CRCT US Equity","SHORT_AND_LONG_TERM_DEBT","1993-06-18","2026-05-02","Per=Y","Days=T","Dir=V")</f>
        <v>0</v>
      </c>
      <c r="G2">
        <f>BDH("CRCT US Equity","BS_ST_BORROW","1993-06-18","2026-05-02","Per=Y","Days=T","Dir=V")</f>
        <v>0</v>
      </c>
      <c r="I2">
        <f>BDH("CRCT US Equity","BS_LT_BORROW","1993-06-18","2026-05-02","Per=Y","Days=T","Dir=V")</f>
        <v>0</v>
      </c>
      <c r="K2">
        <f>BDH("CRCT US Equity","BS_CASH_NEAR_CASH_ITEM","1993-06-18","2026-05-02","Per=Y","Days=T","Dir=V")</f>
        <v>0</v>
      </c>
      <c r="M2">
        <f>BDH("CRCT US Equity","BS_CUR_ASSET_REPORT","1993-06-18","2026-05-02","Per=Y","Days=T","Dir=V")</f>
        <v>0</v>
      </c>
      <c r="O2">
        <f>BDH("CRCT US Equity","BS_CUR_LIAB","1993-06-18","2026-05-02","Per=Y","Days=T","Dir=V")</f>
        <v>0</v>
      </c>
      <c r="Q2">
        <f>BDH("CRCT US Equity","BS_SHAREHOLDER_EQY_ENDING_PERIOD","1993-06-18","2026-05-02","Per=Y","Days=T","Dir=V")</f>
        <v>0</v>
      </c>
      <c r="S2">
        <f>BDH("CRCT US Equity","BS_ACCT_NOTE_RCV","1993-06-18","2026-05-02","Per=Y","Days=T","Dir=V")</f>
        <v>0</v>
      </c>
      <c r="U2">
        <f>BDH("CRCT US Equity","BS_INVENTORIES","1993-06-18","2026-05-02","Per=Y","Days=T","Dir=V")</f>
        <v>0</v>
      </c>
      <c r="W2">
        <f>BDH("CRCT US Equity","WORKING_CAPITAL","1993-06-18","2026-05-02","Per=Y","Days=T","Dir=V")</f>
        <v>0</v>
      </c>
      <c r="Y2">
        <f>BDH("CRCT US Equity","SALES_REV_TURN","1993-06-18","2026-05-02","Per=Y","Days=T","Dir=V")</f>
        <v>0</v>
      </c>
      <c r="AA2">
        <f>BDH("CRCT US Equity","EBIT","1993-06-18","2026-05-02","Per=Y","Days=T","Dir=V")</f>
        <v>0</v>
      </c>
      <c r="AC2">
        <f>BDH("CRCT US Equity","EBITDA","1993-06-18","2026-05-02","Per=Y","Days=T","Dir=V")</f>
        <v>0</v>
      </c>
      <c r="AE2">
        <f>BDH("CRCT US Equity","NET_INCOME","1993-06-18","2026-05-02","Per=Y","Days=T","Dir=V")</f>
        <v>0</v>
      </c>
      <c r="AG2">
        <f>BDH("CRCT US Equity","IS_INT_EXPENSE","1993-06-18","2026-05-02","Per=Y","Days=T","Dir=V")</f>
        <v>0</v>
      </c>
      <c r="AI2">
        <f>BDH("CRCT US Equity","IS_DEPR_EXP","1993-06-18","2026-05-02","Per=Y","Days=T","Dir=V")</f>
        <v>0</v>
      </c>
      <c r="AK2">
        <f>BDH("CRCT US Equity","CF_CASH_FROM_OPER","1993-06-18","2026-05-02","Per=Y","Days=T","Dir=V")</f>
        <v>0</v>
      </c>
      <c r="AM2">
        <f>BDH("CRCT US Equity","CAPITAL_EXPEND","1993-06-18","2026-05-02","Per=Y","Days=T","Dir=V")</f>
        <v>0</v>
      </c>
      <c r="AO2">
        <f>BDH("CRCT US Equity","CF_FREE_CASH_FLOW","1993-06-18","2026-05-02","Per=Y","Days=T","Dir=V")</f>
        <v>0</v>
      </c>
      <c r="AQ2">
        <f>BDH("CRCT US Equity","PX_LAST","1993-06-18","2026-05-02","Per=M","Days=T","Dir=V")</f>
        <v>0</v>
      </c>
      <c r="AS2">
        <f>BDH("CRCT US Equity","CUR_MKT_CAP","1993-06-18","2026-05-02","Per=M","Days=T","Dir=V")</f>
        <v>0</v>
      </c>
      <c r="AU2">
        <f>BDH("CRCT US Equity","EQY_SH_OUT","1993-06-18","2026-05-02","Per=M","Days=T","Dir=V")</f>
        <v>0</v>
      </c>
      <c r="AW2">
        <f>BDH("CRCT US Equity","PX_VOLUME","1993-06-18","2026-05-02","Per=M","Days=T","Dir=V")</f>
        <v>0</v>
      </c>
      <c r="AY2">
        <f>BDH("CRCT US Equity","TURNOVER","1993-06-18","2026-05-02","Per=M","Days=T","Dir=V")</f>
        <v>0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BDH("CRDF US Equity","BS_TOT_ASSET","1993-06-18","2026-05-02","Per=Y","Days=T","Dir=V")</f>
        <v>0</v>
      </c>
      <c r="C2">
        <f>BDH("CRDF US Equity","BS_TOT_LIAB2","1993-06-18","2026-05-02","Per=Y","Days=T","Dir=V")</f>
        <v>0</v>
      </c>
      <c r="E2">
        <f>BDH("CRDF US Equity","SHORT_AND_LONG_TERM_DEBT","1993-06-18","2026-05-02","Per=Y","Days=T","Dir=V")</f>
        <v>0</v>
      </c>
      <c r="G2">
        <f>BDH("CRDF US Equity","BS_ST_BORROW","1993-06-18","2026-05-02","Per=Y","Days=T","Dir=V")</f>
        <v>0</v>
      </c>
      <c r="I2">
        <f>BDH("CRDF US Equity","BS_LT_BORROW","1993-06-18","2026-05-02","Per=Y","Days=T","Dir=V")</f>
        <v>0</v>
      </c>
      <c r="K2">
        <f>BDH("CRDF US Equity","BS_CASH_NEAR_CASH_ITEM","1993-06-18","2026-05-02","Per=Y","Days=T","Dir=V")</f>
        <v>0</v>
      </c>
      <c r="M2">
        <f>BDH("CRDF US Equity","BS_CUR_ASSET_REPORT","1993-06-18","2026-05-02","Per=Y","Days=T","Dir=V")</f>
        <v>0</v>
      </c>
      <c r="O2">
        <f>BDH("CRDF US Equity","BS_CUR_LIAB","1993-06-18","2026-05-02","Per=Y","Days=T","Dir=V")</f>
        <v>0</v>
      </c>
      <c r="Q2">
        <f>BDH("CRDF US Equity","BS_SHAREHOLDER_EQY_ENDING_PERIOD","1993-06-18","2026-05-02","Per=Y","Days=T","Dir=V")</f>
        <v>0</v>
      </c>
      <c r="S2">
        <f>BDH("CRDF US Equity","BS_ACCT_NOTE_RCV","1993-06-18","2026-05-02","Per=Y","Days=T","Dir=V")</f>
        <v>0</v>
      </c>
      <c r="U2">
        <f>BDH("CRDF US Equity","BS_INVENTORIES","1993-06-18","2026-05-02","Per=Y","Days=T","Dir=V")</f>
        <v>0</v>
      </c>
      <c r="W2">
        <f>BDH("CRDF US Equity","WORKING_CAPITAL","1993-06-18","2026-05-02","Per=Y","Days=T","Dir=V")</f>
        <v>0</v>
      </c>
      <c r="Y2">
        <f>BDH("CRDF US Equity","SALES_REV_TURN","1993-06-18","2026-05-02","Per=Y","Days=T","Dir=V")</f>
        <v>0</v>
      </c>
      <c r="AA2">
        <f>BDH("CRDF US Equity","EBIT","1993-06-18","2026-05-02","Per=Y","Days=T","Dir=V")</f>
        <v>0</v>
      </c>
      <c r="AC2">
        <f>BDH("CRDF US Equity","EBITDA","1993-06-18","2026-05-02","Per=Y","Days=T","Dir=V")</f>
        <v>0</v>
      </c>
      <c r="AE2">
        <f>BDH("CRDF US Equity","NET_INCOME","1993-06-18","2026-05-02","Per=Y","Days=T","Dir=V")</f>
        <v>0</v>
      </c>
      <c r="AG2">
        <f>BDH("CRDF US Equity","IS_INT_EXPENSE","1993-06-18","2026-05-02","Per=Y","Days=T","Dir=V")</f>
        <v>0</v>
      </c>
      <c r="AI2">
        <f>BDH("CRDF US Equity","IS_DEPR_EXP","1993-06-18","2026-05-02","Per=Y","Days=T","Dir=V")</f>
        <v>0</v>
      </c>
      <c r="AK2">
        <f>BDH("CRDF US Equity","CF_CASH_FROM_OPER","1993-06-18","2026-05-02","Per=Y","Days=T","Dir=V")</f>
        <v>0</v>
      </c>
      <c r="AM2">
        <f>BDH("CRDF US Equity","CAPITAL_EXPEND","1993-06-18","2026-05-02","Per=Y","Days=T","Dir=V")</f>
        <v>0</v>
      </c>
      <c r="AO2">
        <f>BDH("CRDF US Equity","CF_FREE_CASH_FLOW","1993-06-18","2026-05-02","Per=Y","Days=T","Dir=V")</f>
        <v>0</v>
      </c>
      <c r="AQ2">
        <f>BDH("CRDF US Equity","PX_LAST","1993-06-18","2026-05-02","Per=M","Days=T","Dir=V")</f>
        <v>0</v>
      </c>
      <c r="AS2">
        <f>BDH("CRDF US Equity","CUR_MKT_CAP","1993-06-18","2026-05-02","Per=M","Days=T","Dir=V")</f>
        <v>0</v>
      </c>
      <c r="AU2">
        <f>BDH("CRDF US Equity","EQY_SH_OUT","1993-06-18","2026-05-02","Per=M","Days=T","Dir=V")</f>
        <v>0</v>
      </c>
      <c r="AW2">
        <f>BDH("CRDF US Equity","PX_VOLUME","1993-06-18","2026-05-02","Per=M","Days=T","Dir=V")</f>
        <v>0</v>
      </c>
      <c r="AY2">
        <f>BDH("CRDF US Equity","TURNOVER","1993-06-18","2026-05-02","Per=M","Days=T","Dir=V")</f>
        <v>0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BDH("CRDO US Equity","BS_TOT_ASSET","1993-06-18","2026-05-02","Per=Y","Days=T","Dir=V")</f>
        <v>0</v>
      </c>
      <c r="C2">
        <f>BDH("CRDO US Equity","BS_TOT_LIAB2","1993-06-18","2026-05-02","Per=Y","Days=T","Dir=V")</f>
        <v>0</v>
      </c>
      <c r="E2">
        <f>BDH("CRDO US Equity","SHORT_AND_LONG_TERM_DEBT","1993-06-18","2026-05-02","Per=Y","Days=T","Dir=V")</f>
        <v>0</v>
      </c>
      <c r="G2">
        <f>BDH("CRDO US Equity","BS_ST_BORROW","1993-06-18","2026-05-02","Per=Y","Days=T","Dir=V")</f>
        <v>0</v>
      </c>
      <c r="I2">
        <f>BDH("CRDO US Equity","BS_LT_BORROW","1993-06-18","2026-05-02","Per=Y","Days=T","Dir=V")</f>
        <v>0</v>
      </c>
      <c r="K2">
        <f>BDH("CRDO US Equity","BS_CASH_NEAR_CASH_ITEM","1993-06-18","2026-05-02","Per=Y","Days=T","Dir=V")</f>
        <v>0</v>
      </c>
      <c r="M2">
        <f>BDH("CRDO US Equity","BS_CUR_ASSET_REPORT","1993-06-18","2026-05-02","Per=Y","Days=T","Dir=V")</f>
        <v>0</v>
      </c>
      <c r="O2">
        <f>BDH("CRDO US Equity","BS_CUR_LIAB","1993-06-18","2026-05-02","Per=Y","Days=T","Dir=V")</f>
        <v>0</v>
      </c>
      <c r="Q2">
        <f>BDH("CRDO US Equity","BS_SHAREHOLDER_EQY_ENDING_PERIOD","1993-06-18","2026-05-02","Per=Y","Days=T","Dir=V")</f>
        <v>0</v>
      </c>
      <c r="S2">
        <f>BDH("CRDO US Equity","BS_ACCT_NOTE_RCV","1993-06-18","2026-05-02","Per=Y","Days=T","Dir=V")</f>
        <v>0</v>
      </c>
      <c r="U2">
        <f>BDH("CRDO US Equity","BS_INVENTORIES","1993-06-18","2026-05-02","Per=Y","Days=T","Dir=V")</f>
        <v>0</v>
      </c>
      <c r="W2">
        <f>BDH("CRDO US Equity","WORKING_CAPITAL","1993-06-18","2026-05-02","Per=Y","Days=T","Dir=V")</f>
        <v>0</v>
      </c>
      <c r="Y2">
        <f>BDH("CRDO US Equity","SALES_REV_TURN","1993-06-18","2026-05-02","Per=Y","Days=T","Dir=V")</f>
        <v>0</v>
      </c>
      <c r="AA2">
        <f>BDH("CRDO US Equity","EBIT","1993-06-18","2026-05-02","Per=Y","Days=T","Dir=V")</f>
        <v>0</v>
      </c>
      <c r="AC2">
        <f>BDH("CRDO US Equity","EBITDA","1993-06-18","2026-05-02","Per=Y","Days=T","Dir=V")</f>
        <v>0</v>
      </c>
      <c r="AE2">
        <f>BDH("CRDO US Equity","NET_INCOME","1993-06-18","2026-05-02","Per=Y","Days=T","Dir=V")</f>
        <v>0</v>
      </c>
      <c r="AG2">
        <f>BDH("CRDO US Equity","IS_INT_EXPENSE","1993-06-18","2026-05-02","Per=Y","Days=T","Dir=V")</f>
        <v>0</v>
      </c>
      <c r="AI2">
        <f>BDH("CRDO US Equity","IS_DEPR_EXP","1993-06-18","2026-05-02","Per=Y","Days=T","Dir=V")</f>
        <v>0</v>
      </c>
      <c r="AK2">
        <f>BDH("CRDO US Equity","CF_CASH_FROM_OPER","1993-06-18","2026-05-02","Per=Y","Days=T","Dir=V")</f>
        <v>0</v>
      </c>
      <c r="AM2">
        <f>BDH("CRDO US Equity","CAPITAL_EXPEND","1993-06-18","2026-05-02","Per=Y","Days=T","Dir=V")</f>
        <v>0</v>
      </c>
      <c r="AO2">
        <f>BDH("CRDO US Equity","CF_FREE_CASH_FLOW","1993-06-18","2026-05-02","Per=Y","Days=T","Dir=V")</f>
        <v>0</v>
      </c>
      <c r="AQ2">
        <f>BDH("CRDO US Equity","PX_LAST","1993-06-18","2026-05-02","Per=M","Days=T","Dir=V")</f>
        <v>0</v>
      </c>
      <c r="AS2">
        <f>BDH("CRDO US Equity","CUR_MKT_CAP","1993-06-18","2026-05-02","Per=M","Days=T","Dir=V")</f>
        <v>0</v>
      </c>
      <c r="AU2">
        <f>BDH("CRDO US Equity","EQY_SH_OUT","1993-06-18","2026-05-02","Per=M","Days=T","Dir=V")</f>
        <v>0</v>
      </c>
      <c r="AW2">
        <f>BDH("CRDO US Equity","PX_VOLUME","1993-06-18","2026-05-02","Per=M","Days=T","Dir=V")</f>
        <v>0</v>
      </c>
      <c r="AY2">
        <f>BDH("CRDO US Equity","TURNOVER","1993-06-18","2026-05-02","Per=M","Days=T","Dir=V")</f>
        <v>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BDH("CREX US Equity","BS_TOT_ASSET","1993-06-18","2026-05-02","Per=Y","Days=T","Dir=V")</f>
        <v>0</v>
      </c>
      <c r="C2">
        <f>BDH("CREX US Equity","BS_TOT_LIAB2","1993-06-18","2026-05-02","Per=Y","Days=T","Dir=V")</f>
        <v>0</v>
      </c>
      <c r="E2">
        <f>BDH("CREX US Equity","SHORT_AND_LONG_TERM_DEBT","1993-06-18","2026-05-02","Per=Y","Days=T","Dir=V")</f>
        <v>0</v>
      </c>
      <c r="G2">
        <f>BDH("CREX US Equity","BS_ST_BORROW","1993-06-18","2026-05-02","Per=Y","Days=T","Dir=V")</f>
        <v>0</v>
      </c>
      <c r="I2">
        <f>BDH("CREX US Equity","BS_LT_BORROW","1993-06-18","2026-05-02","Per=Y","Days=T","Dir=V")</f>
        <v>0</v>
      </c>
      <c r="K2">
        <f>BDH("CREX US Equity","BS_CASH_NEAR_CASH_ITEM","1993-06-18","2026-05-02","Per=Y","Days=T","Dir=V")</f>
        <v>0</v>
      </c>
      <c r="M2">
        <f>BDH("CREX US Equity","BS_CUR_ASSET_REPORT","1993-06-18","2026-05-02","Per=Y","Days=T","Dir=V")</f>
        <v>0</v>
      </c>
      <c r="O2">
        <f>BDH("CREX US Equity","BS_CUR_LIAB","1993-06-18","2026-05-02","Per=Y","Days=T","Dir=V")</f>
        <v>0</v>
      </c>
      <c r="Q2">
        <f>BDH("CREX US Equity","BS_SHAREHOLDER_EQY_ENDING_PERIOD","1993-06-18","2026-05-02","Per=Y","Days=T","Dir=V")</f>
        <v>0</v>
      </c>
      <c r="S2">
        <f>BDH("CREX US Equity","BS_ACCT_NOTE_RCV","1993-06-18","2026-05-02","Per=Y","Days=T","Dir=V")</f>
        <v>0</v>
      </c>
      <c r="U2">
        <f>BDH("CREX US Equity","BS_INVENTORIES","1993-06-18","2026-05-02","Per=Y","Days=T","Dir=V")</f>
        <v>0</v>
      </c>
      <c r="W2">
        <f>BDH("CREX US Equity","WORKING_CAPITAL","1993-06-18","2026-05-02","Per=Y","Days=T","Dir=V")</f>
        <v>0</v>
      </c>
      <c r="Y2">
        <f>BDH("CREX US Equity","SALES_REV_TURN","1993-06-18","2026-05-02","Per=Y","Days=T","Dir=V")</f>
        <v>0</v>
      </c>
      <c r="AA2">
        <f>BDH("CREX US Equity","EBIT","1993-06-18","2026-05-02","Per=Y","Days=T","Dir=V")</f>
        <v>0</v>
      </c>
      <c r="AC2">
        <f>BDH("CREX US Equity","EBITDA","1993-06-18","2026-05-02","Per=Y","Days=T","Dir=V")</f>
        <v>0</v>
      </c>
      <c r="AE2">
        <f>BDH("CREX US Equity","NET_INCOME","1993-06-18","2026-05-02","Per=Y","Days=T","Dir=V")</f>
        <v>0</v>
      </c>
      <c r="AG2">
        <f>BDH("CREX US Equity","IS_INT_EXPENSE","1993-06-18","2026-05-02","Per=Y","Days=T","Dir=V")</f>
        <v>0</v>
      </c>
      <c r="AI2">
        <f>BDH("CREX US Equity","IS_DEPR_EXP","1993-06-18","2026-05-02","Per=Y","Days=T","Dir=V")</f>
        <v>0</v>
      </c>
      <c r="AK2">
        <f>BDH("CREX US Equity","CF_CASH_FROM_OPER","1993-06-18","2026-05-02","Per=Y","Days=T","Dir=V")</f>
        <v>0</v>
      </c>
      <c r="AM2">
        <f>BDH("CREX US Equity","CAPITAL_EXPEND","1993-06-18","2026-05-02","Per=Y","Days=T","Dir=V")</f>
        <v>0</v>
      </c>
      <c r="AO2">
        <f>BDH("CREX US Equity","CF_FREE_CASH_FLOW","1993-06-18","2026-05-02","Per=Y","Days=T","Dir=V")</f>
        <v>0</v>
      </c>
      <c r="AQ2">
        <f>BDH("CREX US Equity","PX_LAST","1993-06-18","2026-05-02","Per=M","Days=T","Dir=V")</f>
        <v>0</v>
      </c>
      <c r="AS2">
        <f>BDH("CREX US Equity","CUR_MKT_CAP","1993-06-18","2026-05-02","Per=M","Days=T","Dir=V")</f>
        <v>0</v>
      </c>
      <c r="AU2">
        <f>BDH("CREX US Equity","EQY_SH_OUT","1993-06-18","2026-05-02","Per=M","Days=T","Dir=V")</f>
        <v>0</v>
      </c>
      <c r="AW2">
        <f>BDH("CREX US Equity","PX_VOLUME","1993-06-18","2026-05-02","Per=M","Days=T","Dir=V")</f>
        <v>0</v>
      </c>
      <c r="AY2">
        <f>BDH("CREX US Equity","TURNOVER","1993-06-18","2026-05-02","Per=M","Days=T","Dir=V")</f>
        <v>0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BDH("CRGY US Equity","BS_TOT_ASSET","1993-06-18","2026-05-02","Per=Y","Days=T","Dir=V")</f>
        <v>0</v>
      </c>
      <c r="C2">
        <f>BDH("CRGY US Equity","BS_TOT_LIAB2","1993-06-18","2026-05-02","Per=Y","Days=T","Dir=V")</f>
        <v>0</v>
      </c>
      <c r="E2">
        <f>BDH("CRGY US Equity","SHORT_AND_LONG_TERM_DEBT","1993-06-18","2026-05-02","Per=Y","Days=T","Dir=V")</f>
        <v>0</v>
      </c>
      <c r="G2">
        <f>BDH("CRGY US Equity","BS_ST_BORROW","1993-06-18","2026-05-02","Per=Y","Days=T","Dir=V")</f>
        <v>0</v>
      </c>
      <c r="I2">
        <f>BDH("CRGY US Equity","BS_LT_BORROW","1993-06-18","2026-05-02","Per=Y","Days=T","Dir=V")</f>
        <v>0</v>
      </c>
      <c r="K2">
        <f>BDH("CRGY US Equity","BS_CASH_NEAR_CASH_ITEM","1993-06-18","2026-05-02","Per=Y","Days=T","Dir=V")</f>
        <v>0</v>
      </c>
      <c r="M2">
        <f>BDH("CRGY US Equity","BS_CUR_ASSET_REPORT","1993-06-18","2026-05-02","Per=Y","Days=T","Dir=V")</f>
        <v>0</v>
      </c>
      <c r="O2">
        <f>BDH("CRGY US Equity","BS_CUR_LIAB","1993-06-18","2026-05-02","Per=Y","Days=T","Dir=V")</f>
        <v>0</v>
      </c>
      <c r="Q2">
        <f>BDH("CRGY US Equity","BS_SHAREHOLDER_EQY_ENDING_PERIOD","1993-06-18","2026-05-02","Per=Y","Days=T","Dir=V")</f>
        <v>0</v>
      </c>
      <c r="S2">
        <f>BDH("CRGY US Equity","BS_ACCT_NOTE_RCV","1993-06-18","2026-05-02","Per=Y","Days=T","Dir=V")</f>
        <v>0</v>
      </c>
      <c r="U2">
        <f>BDH("CRGY US Equity","BS_INVENTORIES","1993-06-18","2026-05-02","Per=Y","Days=T","Dir=V")</f>
        <v>0</v>
      </c>
      <c r="W2">
        <f>BDH("CRGY US Equity","WORKING_CAPITAL","1993-06-18","2026-05-02","Per=Y","Days=T","Dir=V")</f>
        <v>0</v>
      </c>
      <c r="Y2">
        <f>BDH("CRGY US Equity","SALES_REV_TURN","1993-06-18","2026-05-02","Per=Y","Days=T","Dir=V")</f>
        <v>0</v>
      </c>
      <c r="AA2">
        <f>BDH("CRGY US Equity","EBIT","1993-06-18","2026-05-02","Per=Y","Days=T","Dir=V")</f>
        <v>0</v>
      </c>
      <c r="AC2">
        <f>BDH("CRGY US Equity","EBITDA","1993-06-18","2026-05-02","Per=Y","Days=T","Dir=V")</f>
        <v>0</v>
      </c>
      <c r="AE2">
        <f>BDH("CRGY US Equity","NET_INCOME","1993-06-18","2026-05-02","Per=Y","Days=T","Dir=V")</f>
        <v>0</v>
      </c>
      <c r="AG2">
        <f>BDH("CRGY US Equity","IS_INT_EXPENSE","1993-06-18","2026-05-02","Per=Y","Days=T","Dir=V")</f>
        <v>0</v>
      </c>
      <c r="AI2">
        <f>BDH("CRGY US Equity","IS_DEPR_EXP","1993-06-18","2026-05-02","Per=Y","Days=T","Dir=V")</f>
        <v>0</v>
      </c>
      <c r="AK2">
        <f>BDH("CRGY US Equity","CF_CASH_FROM_OPER","1993-06-18","2026-05-02","Per=Y","Days=T","Dir=V")</f>
        <v>0</v>
      </c>
      <c r="AM2">
        <f>BDH("CRGY US Equity","CAPITAL_EXPEND","1993-06-18","2026-05-02","Per=Y","Days=T","Dir=V")</f>
        <v>0</v>
      </c>
      <c r="AO2">
        <f>BDH("CRGY US Equity","CF_FREE_CASH_FLOW","1993-06-18","2026-05-02","Per=Y","Days=T","Dir=V")</f>
        <v>0</v>
      </c>
      <c r="AQ2">
        <f>BDH("CRGY US Equity","PX_LAST","1993-06-18","2026-05-02","Per=M","Days=T","Dir=V")</f>
        <v>0</v>
      </c>
      <c r="AS2">
        <f>BDH("CRGY US Equity","CUR_MKT_CAP","1993-06-18","2026-05-02","Per=M","Days=T","Dir=V")</f>
        <v>0</v>
      </c>
      <c r="AU2">
        <f>BDH("CRGY US Equity","EQY_SH_OUT","1993-06-18","2026-05-02","Per=M","Days=T","Dir=V")</f>
        <v>0</v>
      </c>
      <c r="AW2">
        <f>BDH("CRGY US Equity","PX_VOLUME","1993-06-18","2026-05-02","Per=M","Days=T","Dir=V")</f>
        <v>0</v>
      </c>
      <c r="AY2">
        <f>BDH("CRGY US Equity","TURNOVER","1993-06-18","2026-05-02","Per=M","Days=T","Dir=V")</f>
        <v>0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BDH("CRI US Equity","BS_TOT_ASSET","1993-06-18","2026-05-02","Per=Y","Days=T","Dir=V")</f>
        <v>0</v>
      </c>
      <c r="C2">
        <f>BDH("CRI US Equity","BS_TOT_LIAB2","1993-06-18","2026-05-02","Per=Y","Days=T","Dir=V")</f>
        <v>0</v>
      </c>
      <c r="E2">
        <f>BDH("CRI US Equity","SHORT_AND_LONG_TERM_DEBT","1993-06-18","2026-05-02","Per=Y","Days=T","Dir=V")</f>
        <v>0</v>
      </c>
      <c r="G2">
        <f>BDH("CRI US Equity","BS_ST_BORROW","1993-06-18","2026-05-02","Per=Y","Days=T","Dir=V")</f>
        <v>0</v>
      </c>
      <c r="I2">
        <f>BDH("CRI US Equity","BS_LT_BORROW","1993-06-18","2026-05-02","Per=Y","Days=T","Dir=V")</f>
        <v>0</v>
      </c>
      <c r="K2">
        <f>BDH("CRI US Equity","BS_CASH_NEAR_CASH_ITEM","1993-06-18","2026-05-02","Per=Y","Days=T","Dir=V")</f>
        <v>0</v>
      </c>
      <c r="M2">
        <f>BDH("CRI US Equity","BS_CUR_ASSET_REPORT","1993-06-18","2026-05-02","Per=Y","Days=T","Dir=V")</f>
        <v>0</v>
      </c>
      <c r="O2">
        <f>BDH("CRI US Equity","BS_CUR_LIAB","1993-06-18","2026-05-02","Per=Y","Days=T","Dir=V")</f>
        <v>0</v>
      </c>
      <c r="Q2">
        <f>BDH("CRI US Equity","BS_SHAREHOLDER_EQY_ENDING_PERIOD","1993-06-18","2026-05-02","Per=Y","Days=T","Dir=V")</f>
        <v>0</v>
      </c>
      <c r="S2">
        <f>BDH("CRI US Equity","BS_ACCT_NOTE_RCV","1993-06-18","2026-05-02","Per=Y","Days=T","Dir=V")</f>
        <v>0</v>
      </c>
      <c r="U2">
        <f>BDH("CRI US Equity","BS_INVENTORIES","1993-06-18","2026-05-02","Per=Y","Days=T","Dir=V")</f>
        <v>0</v>
      </c>
      <c r="W2">
        <f>BDH("CRI US Equity","WORKING_CAPITAL","1993-06-18","2026-05-02","Per=Y","Days=T","Dir=V")</f>
        <v>0</v>
      </c>
      <c r="Y2">
        <f>BDH("CRI US Equity","SALES_REV_TURN","1993-06-18","2026-05-02","Per=Y","Days=T","Dir=V")</f>
        <v>0</v>
      </c>
      <c r="AA2">
        <f>BDH("CRI US Equity","EBIT","1993-06-18","2026-05-02","Per=Y","Days=T","Dir=V")</f>
        <v>0</v>
      </c>
      <c r="AC2">
        <f>BDH("CRI US Equity","EBITDA","1993-06-18","2026-05-02","Per=Y","Days=T","Dir=V")</f>
        <v>0</v>
      </c>
      <c r="AE2">
        <f>BDH("CRI US Equity","NET_INCOME","1993-06-18","2026-05-02","Per=Y","Days=T","Dir=V")</f>
        <v>0</v>
      </c>
      <c r="AG2">
        <f>BDH("CRI US Equity","IS_INT_EXPENSE","1993-06-18","2026-05-02","Per=Y","Days=T","Dir=V")</f>
        <v>0</v>
      </c>
      <c r="AI2">
        <f>BDH("CRI US Equity","IS_DEPR_EXP","1993-06-18","2026-05-02","Per=Y","Days=T","Dir=V")</f>
        <v>0</v>
      </c>
      <c r="AK2">
        <f>BDH("CRI US Equity","CF_CASH_FROM_OPER","1993-06-18","2026-05-02","Per=Y","Days=T","Dir=V")</f>
        <v>0</v>
      </c>
      <c r="AM2">
        <f>BDH("CRI US Equity","CAPITAL_EXPEND","1993-06-18","2026-05-02","Per=Y","Days=T","Dir=V")</f>
        <v>0</v>
      </c>
      <c r="AO2">
        <f>BDH("CRI US Equity","CF_FREE_CASH_FLOW","1993-06-18","2026-05-02","Per=Y","Days=T","Dir=V")</f>
        <v>0</v>
      </c>
      <c r="AQ2">
        <f>BDH("CRI US Equity","PX_LAST","1993-06-18","2026-05-02","Per=M","Days=T","Dir=V")</f>
        <v>0</v>
      </c>
      <c r="AS2">
        <f>BDH("CRI US Equity","CUR_MKT_CAP","1993-06-18","2026-05-02","Per=M","Days=T","Dir=V")</f>
        <v>0</v>
      </c>
      <c r="AU2">
        <f>BDH("CRI US Equity","EQY_SH_OUT","1993-06-18","2026-05-02","Per=M","Days=T","Dir=V")</f>
        <v>0</v>
      </c>
      <c r="AW2">
        <f>BDH("CRI US Equity","PX_VOLUME","1993-06-18","2026-05-02","Per=M","Days=T","Dir=V")</f>
        <v>0</v>
      </c>
      <c r="AY2">
        <f>BDH("CRI US Equity","TURNOVER","1993-06-18","2026-05-02","Per=M","Days=T","Dir=V")</f>
        <v>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BDH("CRIS US Equity","BS_TOT_ASSET","1993-06-18","2026-05-02","Per=Y","Days=T","Dir=V")</f>
        <v>0</v>
      </c>
      <c r="C2">
        <f>BDH("CRIS US Equity","BS_TOT_LIAB2","1993-06-18","2026-05-02","Per=Y","Days=T","Dir=V")</f>
        <v>0</v>
      </c>
      <c r="E2">
        <f>BDH("CRIS US Equity","SHORT_AND_LONG_TERM_DEBT","1993-06-18","2026-05-02","Per=Y","Days=T","Dir=V")</f>
        <v>0</v>
      </c>
      <c r="G2">
        <f>BDH("CRIS US Equity","BS_ST_BORROW","1993-06-18","2026-05-02","Per=Y","Days=T","Dir=V")</f>
        <v>0</v>
      </c>
      <c r="I2">
        <f>BDH("CRIS US Equity","BS_LT_BORROW","1993-06-18","2026-05-02","Per=Y","Days=T","Dir=V")</f>
        <v>0</v>
      </c>
      <c r="K2">
        <f>BDH("CRIS US Equity","BS_CASH_NEAR_CASH_ITEM","1993-06-18","2026-05-02","Per=Y","Days=T","Dir=V")</f>
        <v>0</v>
      </c>
      <c r="M2">
        <f>BDH("CRIS US Equity","BS_CUR_ASSET_REPORT","1993-06-18","2026-05-02","Per=Y","Days=T","Dir=V")</f>
        <v>0</v>
      </c>
      <c r="O2">
        <f>BDH("CRIS US Equity","BS_CUR_LIAB","1993-06-18","2026-05-02","Per=Y","Days=T","Dir=V")</f>
        <v>0</v>
      </c>
      <c r="Q2">
        <f>BDH("CRIS US Equity","BS_SHAREHOLDER_EQY_ENDING_PERIOD","1993-06-18","2026-05-02","Per=Y","Days=T","Dir=V")</f>
        <v>0</v>
      </c>
      <c r="S2">
        <f>BDH("CRIS US Equity","BS_ACCT_NOTE_RCV","1993-06-18","2026-05-02","Per=Y","Days=T","Dir=V")</f>
        <v>0</v>
      </c>
      <c r="U2">
        <f>BDH("CRIS US Equity","BS_INVENTORIES","1993-06-18","2026-05-02","Per=Y","Days=T","Dir=V")</f>
        <v>0</v>
      </c>
      <c r="W2">
        <f>BDH("CRIS US Equity","WORKING_CAPITAL","1993-06-18","2026-05-02","Per=Y","Days=T","Dir=V")</f>
        <v>0</v>
      </c>
      <c r="Y2">
        <f>BDH("CRIS US Equity","SALES_REV_TURN","1993-06-18","2026-05-02","Per=Y","Days=T","Dir=V")</f>
        <v>0</v>
      </c>
      <c r="AA2">
        <f>BDH("CRIS US Equity","EBIT","1993-06-18","2026-05-02","Per=Y","Days=T","Dir=V")</f>
        <v>0</v>
      </c>
      <c r="AC2">
        <f>BDH("CRIS US Equity","EBITDA","1993-06-18","2026-05-02","Per=Y","Days=T","Dir=V")</f>
        <v>0</v>
      </c>
      <c r="AE2">
        <f>BDH("CRIS US Equity","NET_INCOME","1993-06-18","2026-05-02","Per=Y","Days=T","Dir=V")</f>
        <v>0</v>
      </c>
      <c r="AG2">
        <f>BDH("CRIS US Equity","IS_INT_EXPENSE","1993-06-18","2026-05-02","Per=Y","Days=T","Dir=V")</f>
        <v>0</v>
      </c>
      <c r="AI2">
        <f>BDH("CRIS US Equity","IS_DEPR_EXP","1993-06-18","2026-05-02","Per=Y","Days=T","Dir=V")</f>
        <v>0</v>
      </c>
      <c r="AK2">
        <f>BDH("CRIS US Equity","CF_CASH_FROM_OPER","1993-06-18","2026-05-02","Per=Y","Days=T","Dir=V")</f>
        <v>0</v>
      </c>
      <c r="AM2">
        <f>BDH("CRIS US Equity","CAPITAL_EXPEND","1993-06-18","2026-05-02","Per=Y","Days=T","Dir=V")</f>
        <v>0</v>
      </c>
      <c r="AO2">
        <f>BDH("CRIS US Equity","CF_FREE_CASH_FLOW","1993-06-18","2026-05-02","Per=Y","Days=T","Dir=V")</f>
        <v>0</v>
      </c>
      <c r="AQ2">
        <f>BDH("CRIS US Equity","PX_LAST","1993-06-18","2026-05-02","Per=M","Days=T","Dir=V")</f>
        <v>0</v>
      </c>
      <c r="AS2">
        <f>BDH("CRIS US Equity","CUR_MKT_CAP","1993-06-18","2026-05-02","Per=M","Days=T","Dir=V")</f>
        <v>0</v>
      </c>
      <c r="AU2">
        <f>BDH("CRIS US Equity","EQY_SH_OUT","1993-06-18","2026-05-02","Per=M","Days=T","Dir=V")</f>
        <v>0</v>
      </c>
      <c r="AW2">
        <f>BDH("CRIS US Equity","PX_VOLUME","1993-06-18","2026-05-02","Per=M","Days=T","Dir=V")</f>
        <v>0</v>
      </c>
      <c r="AY2">
        <f>BDH("CRIS US Equity","TURNOVER","1993-06-18","2026-05-02","Per=M","Days=T","Dir=V")</f>
        <v>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BDH("CRK US Equity","BS_TOT_ASSET","1993-06-18","2026-05-02","Per=Y","Days=T","Dir=V")</f>
        <v>0</v>
      </c>
      <c r="C2">
        <f>BDH("CRK US Equity","BS_TOT_LIAB2","1993-06-18","2026-05-02","Per=Y","Days=T","Dir=V")</f>
        <v>0</v>
      </c>
      <c r="E2">
        <f>BDH("CRK US Equity","SHORT_AND_LONG_TERM_DEBT","1993-06-18","2026-05-02","Per=Y","Days=T","Dir=V")</f>
        <v>0</v>
      </c>
      <c r="G2">
        <f>BDH("CRK US Equity","BS_ST_BORROW","1993-06-18","2026-05-02","Per=Y","Days=T","Dir=V")</f>
        <v>0</v>
      </c>
      <c r="I2">
        <f>BDH("CRK US Equity","BS_LT_BORROW","1993-06-18","2026-05-02","Per=Y","Days=T","Dir=V")</f>
        <v>0</v>
      </c>
      <c r="K2">
        <f>BDH("CRK US Equity","BS_CASH_NEAR_CASH_ITEM","1993-06-18","2026-05-02","Per=Y","Days=T","Dir=V")</f>
        <v>0</v>
      </c>
      <c r="M2">
        <f>BDH("CRK US Equity","BS_CUR_ASSET_REPORT","1993-06-18","2026-05-02","Per=Y","Days=T","Dir=V")</f>
        <v>0</v>
      </c>
      <c r="O2">
        <f>BDH("CRK US Equity","BS_CUR_LIAB","1993-06-18","2026-05-02","Per=Y","Days=T","Dir=V")</f>
        <v>0</v>
      </c>
      <c r="Q2">
        <f>BDH("CRK US Equity","BS_SHAREHOLDER_EQY_ENDING_PERIOD","1993-06-18","2026-05-02","Per=Y","Days=T","Dir=V")</f>
        <v>0</v>
      </c>
      <c r="S2">
        <f>BDH("CRK US Equity","BS_ACCT_NOTE_RCV","1993-06-18","2026-05-02","Per=Y","Days=T","Dir=V")</f>
        <v>0</v>
      </c>
      <c r="U2">
        <f>BDH("CRK US Equity","BS_INVENTORIES","1993-06-18","2026-05-02","Per=Y","Days=T","Dir=V")</f>
        <v>0</v>
      </c>
      <c r="W2">
        <f>BDH("CRK US Equity","WORKING_CAPITAL","1993-06-18","2026-05-02","Per=Y","Days=T","Dir=V")</f>
        <v>0</v>
      </c>
      <c r="Y2">
        <f>BDH("CRK US Equity","SALES_REV_TURN","1993-06-18","2026-05-02","Per=Y","Days=T","Dir=V")</f>
        <v>0</v>
      </c>
      <c r="AA2">
        <f>BDH("CRK US Equity","EBIT","1993-06-18","2026-05-02","Per=Y","Days=T","Dir=V")</f>
        <v>0</v>
      </c>
      <c r="AC2">
        <f>BDH("CRK US Equity","EBITDA","1993-06-18","2026-05-02","Per=Y","Days=T","Dir=V")</f>
        <v>0</v>
      </c>
      <c r="AE2">
        <f>BDH("CRK US Equity","NET_INCOME","1993-06-18","2026-05-02","Per=Y","Days=T","Dir=V")</f>
        <v>0</v>
      </c>
      <c r="AG2">
        <f>BDH("CRK US Equity","IS_INT_EXPENSE","1993-06-18","2026-05-02","Per=Y","Days=T","Dir=V")</f>
        <v>0</v>
      </c>
      <c r="AI2">
        <f>BDH("CRK US Equity","IS_DEPR_EXP","1993-06-18","2026-05-02","Per=Y","Days=T","Dir=V")</f>
        <v>0</v>
      </c>
      <c r="AK2">
        <f>BDH("CRK US Equity","CF_CASH_FROM_OPER","1993-06-18","2026-05-02","Per=Y","Days=T","Dir=V")</f>
        <v>0</v>
      </c>
      <c r="AM2">
        <f>BDH("CRK US Equity","CAPITAL_EXPEND","1993-06-18","2026-05-02","Per=Y","Days=T","Dir=V")</f>
        <v>0</v>
      </c>
      <c r="AO2">
        <f>BDH("CRK US Equity","CF_FREE_CASH_FLOW","1993-06-18","2026-05-02","Per=Y","Days=T","Dir=V")</f>
        <v>0</v>
      </c>
      <c r="AQ2">
        <f>BDH("CRK US Equity","PX_LAST","1993-06-18","2026-05-02","Per=M","Days=T","Dir=V")</f>
        <v>0</v>
      </c>
      <c r="AS2">
        <f>BDH("CRK US Equity","CUR_MKT_CAP","1993-06-18","2026-05-02","Per=M","Days=T","Dir=V")</f>
        <v>0</v>
      </c>
      <c r="AU2">
        <f>BDH("CRK US Equity","EQY_SH_OUT","1993-06-18","2026-05-02","Per=M","Days=T","Dir=V")</f>
        <v>0</v>
      </c>
      <c r="AW2">
        <f>BDH("CRK US Equity","PX_VOLUME","1993-06-18","2026-05-02","Per=M","Days=T","Dir=V")</f>
        <v>0</v>
      </c>
      <c r="AY2">
        <f>BDH("CRK US Equity","TURNOVER","1993-06-18","2026-05-02","Per=M","Days=T","Dir=V")</f>
        <v>0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BDH("CRL US Equity","BS_TOT_ASSET","1993-06-18","2026-05-02","Per=Y","Days=T","Dir=V")</f>
        <v>0</v>
      </c>
      <c r="C2">
        <f>BDH("CRL US Equity","BS_TOT_LIAB2","1993-06-18","2026-05-02","Per=Y","Days=T","Dir=V")</f>
        <v>0</v>
      </c>
      <c r="E2">
        <f>BDH("CRL US Equity","SHORT_AND_LONG_TERM_DEBT","1993-06-18","2026-05-02","Per=Y","Days=T","Dir=V")</f>
        <v>0</v>
      </c>
      <c r="G2">
        <f>BDH("CRL US Equity","BS_ST_BORROW","1993-06-18","2026-05-02","Per=Y","Days=T","Dir=V")</f>
        <v>0</v>
      </c>
      <c r="I2">
        <f>BDH("CRL US Equity","BS_LT_BORROW","1993-06-18","2026-05-02","Per=Y","Days=T","Dir=V")</f>
        <v>0</v>
      </c>
      <c r="K2">
        <f>BDH("CRL US Equity","BS_CASH_NEAR_CASH_ITEM","1993-06-18","2026-05-02","Per=Y","Days=T","Dir=V")</f>
        <v>0</v>
      </c>
      <c r="M2">
        <f>BDH("CRL US Equity","BS_CUR_ASSET_REPORT","1993-06-18","2026-05-02","Per=Y","Days=T","Dir=V")</f>
        <v>0</v>
      </c>
      <c r="O2">
        <f>BDH("CRL US Equity","BS_CUR_LIAB","1993-06-18","2026-05-02","Per=Y","Days=T","Dir=V")</f>
        <v>0</v>
      </c>
      <c r="Q2">
        <f>BDH("CRL US Equity","BS_SHAREHOLDER_EQY_ENDING_PERIOD","1993-06-18","2026-05-02","Per=Y","Days=T","Dir=V")</f>
        <v>0</v>
      </c>
      <c r="S2">
        <f>BDH("CRL US Equity","BS_ACCT_NOTE_RCV","1993-06-18","2026-05-02","Per=Y","Days=T","Dir=V")</f>
        <v>0</v>
      </c>
      <c r="U2">
        <f>BDH("CRL US Equity","BS_INVENTORIES","1993-06-18","2026-05-02","Per=Y","Days=T","Dir=V")</f>
        <v>0</v>
      </c>
      <c r="W2">
        <f>BDH("CRL US Equity","WORKING_CAPITAL","1993-06-18","2026-05-02","Per=Y","Days=T","Dir=V")</f>
        <v>0</v>
      </c>
      <c r="Y2">
        <f>BDH("CRL US Equity","SALES_REV_TURN","1993-06-18","2026-05-02","Per=Y","Days=T","Dir=V")</f>
        <v>0</v>
      </c>
      <c r="AA2">
        <f>BDH("CRL US Equity","EBIT","1993-06-18","2026-05-02","Per=Y","Days=T","Dir=V")</f>
        <v>0</v>
      </c>
      <c r="AC2">
        <f>BDH("CRL US Equity","EBITDA","1993-06-18","2026-05-02","Per=Y","Days=T","Dir=V")</f>
        <v>0</v>
      </c>
      <c r="AE2">
        <f>BDH("CRL US Equity","NET_INCOME","1993-06-18","2026-05-02","Per=Y","Days=T","Dir=V")</f>
        <v>0</v>
      </c>
      <c r="AG2">
        <f>BDH("CRL US Equity","IS_INT_EXPENSE","1993-06-18","2026-05-02","Per=Y","Days=T","Dir=V")</f>
        <v>0</v>
      </c>
      <c r="AI2">
        <f>BDH("CRL US Equity","IS_DEPR_EXP","1993-06-18","2026-05-02","Per=Y","Days=T","Dir=V")</f>
        <v>0</v>
      </c>
      <c r="AK2">
        <f>BDH("CRL US Equity","CF_CASH_FROM_OPER","1993-06-18","2026-05-02","Per=Y","Days=T","Dir=V")</f>
        <v>0</v>
      </c>
      <c r="AM2">
        <f>BDH("CRL US Equity","CAPITAL_EXPEND","1993-06-18","2026-05-02","Per=Y","Days=T","Dir=V")</f>
        <v>0</v>
      </c>
      <c r="AO2">
        <f>BDH("CRL US Equity","CF_FREE_CASH_FLOW","1993-06-18","2026-05-02","Per=Y","Days=T","Dir=V")</f>
        <v>0</v>
      </c>
      <c r="AQ2">
        <f>BDH("CRL US Equity","PX_LAST","1993-06-18","2026-05-02","Per=M","Days=T","Dir=V")</f>
        <v>0</v>
      </c>
      <c r="AS2">
        <f>BDH("CRL US Equity","CUR_MKT_CAP","1993-06-18","2026-05-02","Per=M","Days=T","Dir=V")</f>
        <v>0</v>
      </c>
      <c r="AU2">
        <f>BDH("CRL US Equity","EQY_SH_OUT","1993-06-18","2026-05-02","Per=M","Days=T","Dir=V")</f>
        <v>0</v>
      </c>
      <c r="AW2">
        <f>BDH("CRL US Equity","PX_VOLUME","1993-06-18","2026-05-02","Per=M","Days=T","Dir=V")</f>
        <v>0</v>
      </c>
      <c r="AY2">
        <f>BDH("CRL US Equity","TURNOVER","1993-06-18","2026-05-02","Per=M","Days=T","Dir=V")</f>
        <v>0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BDH("CRM US Equity","BS_TOT_ASSET","1993-06-18","2026-05-02","Per=Y","Days=T","Dir=V")</f>
        <v>0</v>
      </c>
      <c r="C2">
        <f>BDH("CRM US Equity","BS_TOT_LIAB2","1993-06-18","2026-05-02","Per=Y","Days=T","Dir=V")</f>
        <v>0</v>
      </c>
      <c r="E2">
        <f>BDH("CRM US Equity","SHORT_AND_LONG_TERM_DEBT","1993-06-18","2026-05-02","Per=Y","Days=T","Dir=V")</f>
        <v>0</v>
      </c>
      <c r="G2">
        <f>BDH("CRM US Equity","BS_ST_BORROW","1993-06-18","2026-05-02","Per=Y","Days=T","Dir=V")</f>
        <v>0</v>
      </c>
      <c r="I2">
        <f>BDH("CRM US Equity","BS_LT_BORROW","1993-06-18","2026-05-02","Per=Y","Days=T","Dir=V")</f>
        <v>0</v>
      </c>
      <c r="K2">
        <f>BDH("CRM US Equity","BS_CASH_NEAR_CASH_ITEM","1993-06-18","2026-05-02","Per=Y","Days=T","Dir=V")</f>
        <v>0</v>
      </c>
      <c r="M2">
        <f>BDH("CRM US Equity","BS_CUR_ASSET_REPORT","1993-06-18","2026-05-02","Per=Y","Days=T","Dir=V")</f>
        <v>0</v>
      </c>
      <c r="O2">
        <f>BDH("CRM US Equity","BS_CUR_LIAB","1993-06-18","2026-05-02","Per=Y","Days=T","Dir=V")</f>
        <v>0</v>
      </c>
      <c r="Q2">
        <f>BDH("CRM US Equity","BS_SHAREHOLDER_EQY_ENDING_PERIOD","1993-06-18","2026-05-02","Per=Y","Days=T","Dir=V")</f>
        <v>0</v>
      </c>
      <c r="S2">
        <f>BDH("CRM US Equity","BS_ACCT_NOTE_RCV","1993-06-18","2026-05-02","Per=Y","Days=T","Dir=V")</f>
        <v>0</v>
      </c>
      <c r="U2">
        <f>BDH("CRM US Equity","BS_INVENTORIES","1993-06-18","2026-05-02","Per=Y","Days=T","Dir=V")</f>
        <v>0</v>
      </c>
      <c r="W2">
        <f>BDH("CRM US Equity","WORKING_CAPITAL","1993-06-18","2026-05-02","Per=Y","Days=T","Dir=V")</f>
        <v>0</v>
      </c>
      <c r="Y2">
        <f>BDH("CRM US Equity","SALES_REV_TURN","1993-06-18","2026-05-02","Per=Y","Days=T","Dir=V")</f>
        <v>0</v>
      </c>
      <c r="AA2">
        <f>BDH("CRM US Equity","EBIT","1993-06-18","2026-05-02","Per=Y","Days=T","Dir=V")</f>
        <v>0</v>
      </c>
      <c r="AC2">
        <f>BDH("CRM US Equity","EBITDA","1993-06-18","2026-05-02","Per=Y","Days=T","Dir=V")</f>
        <v>0</v>
      </c>
      <c r="AE2">
        <f>BDH("CRM US Equity","NET_INCOME","1993-06-18","2026-05-02","Per=Y","Days=T","Dir=V")</f>
        <v>0</v>
      </c>
      <c r="AG2">
        <f>BDH("CRM US Equity","IS_INT_EXPENSE","1993-06-18","2026-05-02","Per=Y","Days=T","Dir=V")</f>
        <v>0</v>
      </c>
      <c r="AI2">
        <f>BDH("CRM US Equity","IS_DEPR_EXP","1993-06-18","2026-05-02","Per=Y","Days=T","Dir=V")</f>
        <v>0</v>
      </c>
      <c r="AK2">
        <f>BDH("CRM US Equity","CF_CASH_FROM_OPER","1993-06-18","2026-05-02","Per=Y","Days=T","Dir=V")</f>
        <v>0</v>
      </c>
      <c r="AM2">
        <f>BDH("CRM US Equity","CAPITAL_EXPEND","1993-06-18","2026-05-02","Per=Y","Days=T","Dir=V")</f>
        <v>0</v>
      </c>
      <c r="AO2">
        <f>BDH("CRM US Equity","CF_FREE_CASH_FLOW","1993-06-18","2026-05-02","Per=Y","Days=T","Dir=V")</f>
        <v>0</v>
      </c>
      <c r="AQ2">
        <f>BDH("CRM US Equity","PX_LAST","1993-06-18","2026-05-02","Per=M","Days=T","Dir=V")</f>
        <v>0</v>
      </c>
      <c r="AS2">
        <f>BDH("CRM US Equity","CUR_MKT_CAP","1993-06-18","2026-05-02","Per=M","Days=T","Dir=V")</f>
        <v>0</v>
      </c>
      <c r="AU2">
        <f>BDH("CRM US Equity","EQY_SH_OUT","1993-06-18","2026-05-02","Per=M","Days=T","Dir=V")</f>
        <v>0</v>
      </c>
      <c r="AW2">
        <f>BDH("CRM US Equity","PX_VOLUME","1993-06-18","2026-05-02","Per=M","Days=T","Dir=V")</f>
        <v>0</v>
      </c>
      <c r="AY2">
        <f>BDH("CRM US Equity","TURNOVER","1993-06-18","2026-05-02","Per=M","Days=T","Dir=V")</f>
        <v>0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BDH("CRMD US Equity","BS_TOT_ASSET","1993-06-18","2026-05-02","Per=Y","Days=T","Dir=V")</f>
        <v>0</v>
      </c>
      <c r="C2">
        <f>BDH("CRMD US Equity","BS_TOT_LIAB2","1993-06-18","2026-05-02","Per=Y","Days=T","Dir=V")</f>
        <v>0</v>
      </c>
      <c r="E2">
        <f>BDH("CRMD US Equity","SHORT_AND_LONG_TERM_DEBT","1993-06-18","2026-05-02","Per=Y","Days=T","Dir=V")</f>
        <v>0</v>
      </c>
      <c r="G2">
        <f>BDH("CRMD US Equity","BS_ST_BORROW","1993-06-18","2026-05-02","Per=Y","Days=T","Dir=V")</f>
        <v>0</v>
      </c>
      <c r="I2">
        <f>BDH("CRMD US Equity","BS_LT_BORROW","1993-06-18","2026-05-02","Per=Y","Days=T","Dir=V")</f>
        <v>0</v>
      </c>
      <c r="K2">
        <f>BDH("CRMD US Equity","BS_CASH_NEAR_CASH_ITEM","1993-06-18","2026-05-02","Per=Y","Days=T","Dir=V")</f>
        <v>0</v>
      </c>
      <c r="M2">
        <f>BDH("CRMD US Equity","BS_CUR_ASSET_REPORT","1993-06-18","2026-05-02","Per=Y","Days=T","Dir=V")</f>
        <v>0</v>
      </c>
      <c r="O2">
        <f>BDH("CRMD US Equity","BS_CUR_LIAB","1993-06-18","2026-05-02","Per=Y","Days=T","Dir=V")</f>
        <v>0</v>
      </c>
      <c r="Q2">
        <f>BDH("CRMD US Equity","BS_SHAREHOLDER_EQY_ENDING_PERIOD","1993-06-18","2026-05-02","Per=Y","Days=T","Dir=V")</f>
        <v>0</v>
      </c>
      <c r="S2">
        <f>BDH("CRMD US Equity","BS_ACCT_NOTE_RCV","1993-06-18","2026-05-02","Per=Y","Days=T","Dir=V")</f>
        <v>0</v>
      </c>
      <c r="U2">
        <f>BDH("CRMD US Equity","BS_INVENTORIES","1993-06-18","2026-05-02","Per=Y","Days=T","Dir=V")</f>
        <v>0</v>
      </c>
      <c r="W2">
        <f>BDH("CRMD US Equity","WORKING_CAPITAL","1993-06-18","2026-05-02","Per=Y","Days=T","Dir=V")</f>
        <v>0</v>
      </c>
      <c r="Y2">
        <f>BDH("CRMD US Equity","SALES_REV_TURN","1993-06-18","2026-05-02","Per=Y","Days=T","Dir=V")</f>
        <v>0</v>
      </c>
      <c r="AA2">
        <f>BDH("CRMD US Equity","EBIT","1993-06-18","2026-05-02","Per=Y","Days=T","Dir=V")</f>
        <v>0</v>
      </c>
      <c r="AC2">
        <f>BDH("CRMD US Equity","EBITDA","1993-06-18","2026-05-02","Per=Y","Days=T","Dir=V")</f>
        <v>0</v>
      </c>
      <c r="AE2">
        <f>BDH("CRMD US Equity","NET_INCOME","1993-06-18","2026-05-02","Per=Y","Days=T","Dir=V")</f>
        <v>0</v>
      </c>
      <c r="AG2">
        <f>BDH("CRMD US Equity","IS_INT_EXPENSE","1993-06-18","2026-05-02","Per=Y","Days=T","Dir=V")</f>
        <v>0</v>
      </c>
      <c r="AI2">
        <f>BDH("CRMD US Equity","IS_DEPR_EXP","1993-06-18","2026-05-02","Per=Y","Days=T","Dir=V")</f>
        <v>0</v>
      </c>
      <c r="AK2">
        <f>BDH("CRMD US Equity","CF_CASH_FROM_OPER","1993-06-18","2026-05-02","Per=Y","Days=T","Dir=V")</f>
        <v>0</v>
      </c>
      <c r="AM2">
        <f>BDH("CRMD US Equity","CAPITAL_EXPEND","1993-06-18","2026-05-02","Per=Y","Days=T","Dir=V")</f>
        <v>0</v>
      </c>
      <c r="AO2">
        <f>BDH("CRMD US Equity","CF_FREE_CASH_FLOW","1993-06-18","2026-05-02","Per=Y","Days=T","Dir=V")</f>
        <v>0</v>
      </c>
      <c r="AQ2">
        <f>BDH("CRMD US Equity","PX_LAST","1993-06-18","2026-05-02","Per=M","Days=T","Dir=V")</f>
        <v>0</v>
      </c>
      <c r="AS2">
        <f>BDH("CRMD US Equity","CUR_MKT_CAP","1993-06-18","2026-05-02","Per=M","Days=T","Dir=V")</f>
        <v>0</v>
      </c>
      <c r="AU2">
        <f>BDH("CRMD US Equity","EQY_SH_OUT","1993-06-18","2026-05-02","Per=M","Days=T","Dir=V")</f>
        <v>0</v>
      </c>
      <c r="AW2">
        <f>BDH("CRMD US Equity","PX_VOLUME","1993-06-18","2026-05-02","Per=M","Days=T","Dir=V")</f>
        <v>0</v>
      </c>
      <c r="AY2">
        <f>BDH("CRMD US Equity","TURNOVER","1993-06-18","2026-05-02","Per=M","Days=T","Dir=V")</f>
        <v>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BDH("CRMT US Equity","BS_TOT_ASSET","1993-06-18","2026-05-02","Per=Y","Days=T","Dir=V")</f>
        <v>0</v>
      </c>
      <c r="C2">
        <f>BDH("CRMT US Equity","BS_TOT_LIAB2","1993-06-18","2026-05-02","Per=Y","Days=T","Dir=V")</f>
        <v>0</v>
      </c>
      <c r="E2">
        <f>BDH("CRMT US Equity","SHORT_AND_LONG_TERM_DEBT","1993-06-18","2026-05-02","Per=Y","Days=T","Dir=V")</f>
        <v>0</v>
      </c>
      <c r="G2">
        <f>BDH("CRMT US Equity","BS_ST_BORROW","1993-06-18","2026-05-02","Per=Y","Days=T","Dir=V")</f>
        <v>0</v>
      </c>
      <c r="I2">
        <f>BDH("CRMT US Equity","BS_LT_BORROW","1993-06-18","2026-05-02","Per=Y","Days=T","Dir=V")</f>
        <v>0</v>
      </c>
      <c r="K2">
        <f>BDH("CRMT US Equity","BS_CASH_NEAR_CASH_ITEM","1993-06-18","2026-05-02","Per=Y","Days=T","Dir=V")</f>
        <v>0</v>
      </c>
      <c r="M2">
        <f>BDH("CRMT US Equity","BS_CUR_ASSET_REPORT","1993-06-18","2026-05-02","Per=Y","Days=T","Dir=V")</f>
        <v>0</v>
      </c>
      <c r="O2">
        <f>BDH("CRMT US Equity","BS_CUR_LIAB","1993-06-18","2026-05-02","Per=Y","Days=T","Dir=V")</f>
        <v>0</v>
      </c>
      <c r="Q2">
        <f>BDH("CRMT US Equity","BS_SHAREHOLDER_EQY_ENDING_PERIOD","1993-06-18","2026-05-02","Per=Y","Days=T","Dir=V")</f>
        <v>0</v>
      </c>
      <c r="S2">
        <f>BDH("CRMT US Equity","BS_ACCT_NOTE_RCV","1993-06-18","2026-05-02","Per=Y","Days=T","Dir=V")</f>
        <v>0</v>
      </c>
      <c r="U2">
        <f>BDH("CRMT US Equity","BS_INVENTORIES","1993-06-18","2026-05-02","Per=Y","Days=T","Dir=V")</f>
        <v>0</v>
      </c>
      <c r="W2">
        <f>BDH("CRMT US Equity","WORKING_CAPITAL","1993-06-18","2026-05-02","Per=Y","Days=T","Dir=V")</f>
        <v>0</v>
      </c>
      <c r="Y2">
        <f>BDH("CRMT US Equity","SALES_REV_TURN","1993-06-18","2026-05-02","Per=Y","Days=T","Dir=V")</f>
        <v>0</v>
      </c>
      <c r="AA2">
        <f>BDH("CRMT US Equity","EBIT","1993-06-18","2026-05-02","Per=Y","Days=T","Dir=V")</f>
        <v>0</v>
      </c>
      <c r="AC2">
        <f>BDH("CRMT US Equity","EBITDA","1993-06-18","2026-05-02","Per=Y","Days=T","Dir=V")</f>
        <v>0</v>
      </c>
      <c r="AE2">
        <f>BDH("CRMT US Equity","NET_INCOME","1993-06-18","2026-05-02","Per=Y","Days=T","Dir=V")</f>
        <v>0</v>
      </c>
      <c r="AG2">
        <f>BDH("CRMT US Equity","IS_INT_EXPENSE","1993-06-18","2026-05-02","Per=Y","Days=T","Dir=V")</f>
        <v>0</v>
      </c>
      <c r="AI2">
        <f>BDH("CRMT US Equity","IS_DEPR_EXP","1993-06-18","2026-05-02","Per=Y","Days=T","Dir=V")</f>
        <v>0</v>
      </c>
      <c r="AK2">
        <f>BDH("CRMT US Equity","CF_CASH_FROM_OPER","1993-06-18","2026-05-02","Per=Y","Days=T","Dir=V")</f>
        <v>0</v>
      </c>
      <c r="AM2">
        <f>BDH("CRMT US Equity","CAPITAL_EXPEND","1993-06-18","2026-05-02","Per=Y","Days=T","Dir=V")</f>
        <v>0</v>
      </c>
      <c r="AO2">
        <f>BDH("CRMT US Equity","CF_FREE_CASH_FLOW","1993-06-18","2026-05-02","Per=Y","Days=T","Dir=V")</f>
        <v>0</v>
      </c>
      <c r="AQ2">
        <f>BDH("CRMT US Equity","PX_LAST","1993-06-18","2026-05-02","Per=M","Days=T","Dir=V")</f>
        <v>0</v>
      </c>
      <c r="AS2">
        <f>BDH("CRMT US Equity","CUR_MKT_CAP","1993-06-18","2026-05-02","Per=M","Days=T","Dir=V")</f>
        <v>0</v>
      </c>
      <c r="AU2">
        <f>BDH("CRMT US Equity","EQY_SH_OUT","1993-06-18","2026-05-02","Per=M","Days=T","Dir=V")</f>
        <v>0</v>
      </c>
      <c r="AW2">
        <f>BDH("CRMT US Equity","PX_VOLUME","1993-06-18","2026-05-02","Per=M","Days=T","Dir=V")</f>
        <v>0</v>
      </c>
      <c r="AY2">
        <f>BDH("CRMT US Equity","TURNOVER","1993-06-18","2026-05-02","Per=M","Days=T","Dir=V")</f>
        <v>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BDH("CRNC US Equity","BS_TOT_ASSET","1993-06-18","2026-05-02","Per=Y","Days=T","Dir=V")</f>
        <v>0</v>
      </c>
      <c r="C2">
        <f>BDH("CRNC US Equity","BS_TOT_LIAB2","1993-06-18","2026-05-02","Per=Y","Days=T","Dir=V")</f>
        <v>0</v>
      </c>
      <c r="E2">
        <f>BDH("CRNC US Equity","SHORT_AND_LONG_TERM_DEBT","1993-06-18","2026-05-02","Per=Y","Days=T","Dir=V")</f>
        <v>0</v>
      </c>
      <c r="G2">
        <f>BDH("CRNC US Equity","BS_ST_BORROW","1993-06-18","2026-05-02","Per=Y","Days=T","Dir=V")</f>
        <v>0</v>
      </c>
      <c r="I2">
        <f>BDH("CRNC US Equity","BS_LT_BORROW","1993-06-18","2026-05-02","Per=Y","Days=T","Dir=V")</f>
        <v>0</v>
      </c>
      <c r="K2">
        <f>BDH("CRNC US Equity","BS_CASH_NEAR_CASH_ITEM","1993-06-18","2026-05-02","Per=Y","Days=T","Dir=V")</f>
        <v>0</v>
      </c>
      <c r="M2">
        <f>BDH("CRNC US Equity","BS_CUR_ASSET_REPORT","1993-06-18","2026-05-02","Per=Y","Days=T","Dir=V")</f>
        <v>0</v>
      </c>
      <c r="O2">
        <f>BDH("CRNC US Equity","BS_CUR_LIAB","1993-06-18","2026-05-02","Per=Y","Days=T","Dir=V")</f>
        <v>0</v>
      </c>
      <c r="Q2">
        <f>BDH("CRNC US Equity","BS_SHAREHOLDER_EQY_ENDING_PERIOD","1993-06-18","2026-05-02","Per=Y","Days=T","Dir=V")</f>
        <v>0</v>
      </c>
      <c r="S2">
        <f>BDH("CRNC US Equity","BS_ACCT_NOTE_RCV","1993-06-18","2026-05-02","Per=Y","Days=T","Dir=V")</f>
        <v>0</v>
      </c>
      <c r="U2">
        <f>BDH("CRNC US Equity","BS_INVENTORIES","1993-06-18","2026-05-02","Per=Y","Days=T","Dir=V")</f>
        <v>0</v>
      </c>
      <c r="W2">
        <f>BDH("CRNC US Equity","WORKING_CAPITAL","1993-06-18","2026-05-02","Per=Y","Days=T","Dir=V")</f>
        <v>0</v>
      </c>
      <c r="Y2">
        <f>BDH("CRNC US Equity","SALES_REV_TURN","1993-06-18","2026-05-02","Per=Y","Days=T","Dir=V")</f>
        <v>0</v>
      </c>
      <c r="AA2">
        <f>BDH("CRNC US Equity","EBIT","1993-06-18","2026-05-02","Per=Y","Days=T","Dir=V")</f>
        <v>0</v>
      </c>
      <c r="AC2">
        <f>BDH("CRNC US Equity","EBITDA","1993-06-18","2026-05-02","Per=Y","Days=T","Dir=V")</f>
        <v>0</v>
      </c>
      <c r="AE2">
        <f>BDH("CRNC US Equity","NET_INCOME","1993-06-18","2026-05-02","Per=Y","Days=T","Dir=V")</f>
        <v>0</v>
      </c>
      <c r="AG2">
        <f>BDH("CRNC US Equity","IS_INT_EXPENSE","1993-06-18","2026-05-02","Per=Y","Days=T","Dir=V")</f>
        <v>0</v>
      </c>
      <c r="AI2">
        <f>BDH("CRNC US Equity","IS_DEPR_EXP","1993-06-18","2026-05-02","Per=Y","Days=T","Dir=V")</f>
        <v>0</v>
      </c>
      <c r="AK2">
        <f>BDH("CRNC US Equity","CF_CASH_FROM_OPER","1993-06-18","2026-05-02","Per=Y","Days=T","Dir=V")</f>
        <v>0</v>
      </c>
      <c r="AM2">
        <f>BDH("CRNC US Equity","CAPITAL_EXPEND","1993-06-18","2026-05-02","Per=Y","Days=T","Dir=V")</f>
        <v>0</v>
      </c>
      <c r="AO2">
        <f>BDH("CRNC US Equity","CF_FREE_CASH_FLOW","1993-06-18","2026-05-02","Per=Y","Days=T","Dir=V")</f>
        <v>0</v>
      </c>
      <c r="AQ2">
        <f>BDH("CRNC US Equity","PX_LAST","1993-06-18","2026-05-02","Per=M","Days=T","Dir=V")</f>
        <v>0</v>
      </c>
      <c r="AS2">
        <f>BDH("CRNC US Equity","CUR_MKT_CAP","1993-06-18","2026-05-02","Per=M","Days=T","Dir=V")</f>
        <v>0</v>
      </c>
      <c r="AU2">
        <f>BDH("CRNC US Equity","EQY_SH_OUT","1993-06-18","2026-05-02","Per=M","Days=T","Dir=V")</f>
        <v>0</v>
      </c>
      <c r="AW2">
        <f>BDH("CRNC US Equity","PX_VOLUME","1993-06-18","2026-05-02","Per=M","Days=T","Dir=V")</f>
        <v>0</v>
      </c>
      <c r="AY2">
        <f>BDH("CRNC US Equity","TURNOVER","1993-06-18","2026-05-02","Per=M","Days=T","Dir=V")</f>
        <v>0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BDH("CROX US Equity","BS_TOT_ASSET","1993-06-18","2026-05-02","Per=Y","Days=T","Dir=V")</f>
        <v>0</v>
      </c>
      <c r="C2">
        <f>BDH("CROX US Equity","BS_TOT_LIAB2","1993-06-18","2026-05-02","Per=Y","Days=T","Dir=V")</f>
        <v>0</v>
      </c>
      <c r="E2">
        <f>BDH("CROX US Equity","SHORT_AND_LONG_TERM_DEBT","1993-06-18","2026-05-02","Per=Y","Days=T","Dir=V")</f>
        <v>0</v>
      </c>
      <c r="G2">
        <f>BDH("CROX US Equity","BS_ST_BORROW","1993-06-18","2026-05-02","Per=Y","Days=T","Dir=V")</f>
        <v>0</v>
      </c>
      <c r="I2">
        <f>BDH("CROX US Equity","BS_LT_BORROW","1993-06-18","2026-05-02","Per=Y","Days=T","Dir=V")</f>
        <v>0</v>
      </c>
      <c r="K2">
        <f>BDH("CROX US Equity","BS_CASH_NEAR_CASH_ITEM","1993-06-18","2026-05-02","Per=Y","Days=T","Dir=V")</f>
        <v>0</v>
      </c>
      <c r="M2">
        <f>BDH("CROX US Equity","BS_CUR_ASSET_REPORT","1993-06-18","2026-05-02","Per=Y","Days=T","Dir=V")</f>
        <v>0</v>
      </c>
      <c r="O2">
        <f>BDH("CROX US Equity","BS_CUR_LIAB","1993-06-18","2026-05-02","Per=Y","Days=T","Dir=V")</f>
        <v>0</v>
      </c>
      <c r="Q2">
        <f>BDH("CROX US Equity","BS_SHAREHOLDER_EQY_ENDING_PERIOD","1993-06-18","2026-05-02","Per=Y","Days=T","Dir=V")</f>
        <v>0</v>
      </c>
      <c r="S2">
        <f>BDH("CROX US Equity","BS_ACCT_NOTE_RCV","1993-06-18","2026-05-02","Per=Y","Days=T","Dir=V")</f>
        <v>0</v>
      </c>
      <c r="U2">
        <f>BDH("CROX US Equity","BS_INVENTORIES","1993-06-18","2026-05-02","Per=Y","Days=T","Dir=V")</f>
        <v>0</v>
      </c>
      <c r="W2">
        <f>BDH("CROX US Equity","WORKING_CAPITAL","1993-06-18","2026-05-02","Per=Y","Days=T","Dir=V")</f>
        <v>0</v>
      </c>
      <c r="Y2">
        <f>BDH("CROX US Equity","SALES_REV_TURN","1993-06-18","2026-05-02","Per=Y","Days=T","Dir=V")</f>
        <v>0</v>
      </c>
      <c r="AA2">
        <f>BDH("CROX US Equity","EBIT","1993-06-18","2026-05-02","Per=Y","Days=T","Dir=V")</f>
        <v>0</v>
      </c>
      <c r="AC2">
        <f>BDH("CROX US Equity","EBITDA","1993-06-18","2026-05-02","Per=Y","Days=T","Dir=V")</f>
        <v>0</v>
      </c>
      <c r="AE2">
        <f>BDH("CROX US Equity","NET_INCOME","1993-06-18","2026-05-02","Per=Y","Days=T","Dir=V")</f>
        <v>0</v>
      </c>
      <c r="AG2">
        <f>BDH("CROX US Equity","IS_INT_EXPENSE","1993-06-18","2026-05-02","Per=Y","Days=T","Dir=V")</f>
        <v>0</v>
      </c>
      <c r="AI2">
        <f>BDH("CROX US Equity","IS_DEPR_EXP","1993-06-18","2026-05-02","Per=Y","Days=T","Dir=V")</f>
        <v>0</v>
      </c>
      <c r="AK2">
        <f>BDH("CROX US Equity","CF_CASH_FROM_OPER","1993-06-18","2026-05-02","Per=Y","Days=T","Dir=V")</f>
        <v>0</v>
      </c>
      <c r="AM2">
        <f>BDH("CROX US Equity","CAPITAL_EXPEND","1993-06-18","2026-05-02","Per=Y","Days=T","Dir=V")</f>
        <v>0</v>
      </c>
      <c r="AO2">
        <f>BDH("CROX US Equity","CF_FREE_CASH_FLOW","1993-06-18","2026-05-02","Per=Y","Days=T","Dir=V")</f>
        <v>0</v>
      </c>
      <c r="AQ2">
        <f>BDH("CROX US Equity","PX_LAST","1993-06-18","2026-05-02","Per=M","Days=T","Dir=V")</f>
        <v>0</v>
      </c>
      <c r="AS2">
        <f>BDH("CROX US Equity","CUR_MKT_CAP","1993-06-18","2026-05-02","Per=M","Days=T","Dir=V")</f>
        <v>0</v>
      </c>
      <c r="AU2">
        <f>BDH("CROX US Equity","EQY_SH_OUT","1993-06-18","2026-05-02","Per=M","Days=T","Dir=V")</f>
        <v>0</v>
      </c>
      <c r="AW2">
        <f>BDH("CROX US Equity","PX_VOLUME","1993-06-18","2026-05-02","Per=M","Days=T","Dir=V")</f>
        <v>0</v>
      </c>
      <c r="AY2">
        <f>BDH("CROX US Equity","TURNOVER","1993-06-18","2026-05-02","Per=M","Days=T","Dir=V")</f>
        <v>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BDH("CRS US Equity","BS_TOT_ASSET","1993-06-18","2026-05-02","Per=Y","Days=T","Dir=V")</f>
        <v>0</v>
      </c>
      <c r="C2">
        <f>BDH("CRS US Equity","BS_TOT_LIAB2","1993-06-18","2026-05-02","Per=Y","Days=T","Dir=V")</f>
        <v>0</v>
      </c>
      <c r="E2">
        <f>BDH("CRS US Equity","SHORT_AND_LONG_TERM_DEBT","1993-06-18","2026-05-02","Per=Y","Days=T","Dir=V")</f>
        <v>0</v>
      </c>
      <c r="G2">
        <f>BDH("CRS US Equity","BS_ST_BORROW","1993-06-18","2026-05-02","Per=Y","Days=T","Dir=V")</f>
        <v>0</v>
      </c>
      <c r="I2">
        <f>BDH("CRS US Equity","BS_LT_BORROW","1993-06-18","2026-05-02","Per=Y","Days=T","Dir=V")</f>
        <v>0</v>
      </c>
      <c r="K2">
        <f>BDH("CRS US Equity","BS_CASH_NEAR_CASH_ITEM","1993-06-18","2026-05-02","Per=Y","Days=T","Dir=V")</f>
        <v>0</v>
      </c>
      <c r="M2">
        <f>BDH("CRS US Equity","BS_CUR_ASSET_REPORT","1993-06-18","2026-05-02","Per=Y","Days=T","Dir=V")</f>
        <v>0</v>
      </c>
      <c r="O2">
        <f>BDH("CRS US Equity","BS_CUR_LIAB","1993-06-18","2026-05-02","Per=Y","Days=T","Dir=V")</f>
        <v>0</v>
      </c>
      <c r="Q2">
        <f>BDH("CRS US Equity","BS_SHAREHOLDER_EQY_ENDING_PERIOD","1993-06-18","2026-05-02","Per=Y","Days=T","Dir=V")</f>
        <v>0</v>
      </c>
      <c r="S2">
        <f>BDH("CRS US Equity","BS_ACCT_NOTE_RCV","1993-06-18","2026-05-02","Per=Y","Days=T","Dir=V")</f>
        <v>0</v>
      </c>
      <c r="U2">
        <f>BDH("CRS US Equity","BS_INVENTORIES","1993-06-18","2026-05-02","Per=Y","Days=T","Dir=V")</f>
        <v>0</v>
      </c>
      <c r="W2">
        <f>BDH("CRS US Equity","WORKING_CAPITAL","1993-06-18","2026-05-02","Per=Y","Days=T","Dir=V")</f>
        <v>0</v>
      </c>
      <c r="Y2">
        <f>BDH("CRS US Equity","SALES_REV_TURN","1993-06-18","2026-05-02","Per=Y","Days=T","Dir=V")</f>
        <v>0</v>
      </c>
      <c r="AA2">
        <f>BDH("CRS US Equity","EBIT","1993-06-18","2026-05-02","Per=Y","Days=T","Dir=V")</f>
        <v>0</v>
      </c>
      <c r="AC2">
        <f>BDH("CRS US Equity","EBITDA","1993-06-18","2026-05-02","Per=Y","Days=T","Dir=V")</f>
        <v>0</v>
      </c>
      <c r="AE2">
        <f>BDH("CRS US Equity","NET_INCOME","1993-06-18","2026-05-02","Per=Y","Days=T","Dir=V")</f>
        <v>0</v>
      </c>
      <c r="AG2">
        <f>BDH("CRS US Equity","IS_INT_EXPENSE","1993-06-18","2026-05-02","Per=Y","Days=T","Dir=V")</f>
        <v>0</v>
      </c>
      <c r="AI2">
        <f>BDH("CRS US Equity","IS_DEPR_EXP","1993-06-18","2026-05-02","Per=Y","Days=T","Dir=V")</f>
        <v>0</v>
      </c>
      <c r="AK2">
        <f>BDH("CRS US Equity","CF_CASH_FROM_OPER","1993-06-18","2026-05-02","Per=Y","Days=T","Dir=V")</f>
        <v>0</v>
      </c>
      <c r="AM2">
        <f>BDH("CRS US Equity","CAPITAL_EXPEND","1993-06-18","2026-05-02","Per=Y","Days=T","Dir=V")</f>
        <v>0</v>
      </c>
      <c r="AO2">
        <f>BDH("CRS US Equity","CF_FREE_CASH_FLOW","1993-06-18","2026-05-02","Per=Y","Days=T","Dir=V")</f>
        <v>0</v>
      </c>
      <c r="AQ2">
        <f>BDH("CRS US Equity","PX_LAST","1993-06-18","2026-05-02","Per=M","Days=T","Dir=V")</f>
        <v>0</v>
      </c>
      <c r="AS2">
        <f>BDH("CRS US Equity","CUR_MKT_CAP","1993-06-18","2026-05-02","Per=M","Days=T","Dir=V")</f>
        <v>0</v>
      </c>
      <c r="AU2">
        <f>BDH("CRS US Equity","EQY_SH_OUT","1993-06-18","2026-05-02","Per=M","Days=T","Dir=V")</f>
        <v>0</v>
      </c>
      <c r="AW2">
        <f>BDH("CRS US Equity","PX_VOLUME","1993-06-18","2026-05-02","Per=M","Days=T","Dir=V")</f>
        <v>0</v>
      </c>
      <c r="AY2">
        <f>BDH("CRS US Equity","TURNOVER","1993-06-18","2026-05-02","Per=M","Days=T","Dir=V")</f>
        <v>0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BDH("CRSR US Equity","BS_TOT_ASSET","1993-06-18","2026-05-02","Per=Y","Days=T","Dir=V")</f>
        <v>0</v>
      </c>
      <c r="C2">
        <f>BDH("CRSR US Equity","BS_TOT_LIAB2","1993-06-18","2026-05-02","Per=Y","Days=T","Dir=V")</f>
        <v>0</v>
      </c>
      <c r="E2">
        <f>BDH("CRSR US Equity","SHORT_AND_LONG_TERM_DEBT","1993-06-18","2026-05-02","Per=Y","Days=T","Dir=V")</f>
        <v>0</v>
      </c>
      <c r="G2">
        <f>BDH("CRSR US Equity","BS_ST_BORROW","1993-06-18","2026-05-02","Per=Y","Days=T","Dir=V")</f>
        <v>0</v>
      </c>
      <c r="I2">
        <f>BDH("CRSR US Equity","BS_LT_BORROW","1993-06-18","2026-05-02","Per=Y","Days=T","Dir=V")</f>
        <v>0</v>
      </c>
      <c r="K2">
        <f>BDH("CRSR US Equity","BS_CASH_NEAR_CASH_ITEM","1993-06-18","2026-05-02","Per=Y","Days=T","Dir=V")</f>
        <v>0</v>
      </c>
      <c r="M2">
        <f>BDH("CRSR US Equity","BS_CUR_ASSET_REPORT","1993-06-18","2026-05-02","Per=Y","Days=T","Dir=V")</f>
        <v>0</v>
      </c>
      <c r="O2">
        <f>BDH("CRSR US Equity","BS_CUR_LIAB","1993-06-18","2026-05-02","Per=Y","Days=T","Dir=V")</f>
        <v>0</v>
      </c>
      <c r="Q2">
        <f>BDH("CRSR US Equity","BS_SHAREHOLDER_EQY_ENDING_PERIOD","1993-06-18","2026-05-02","Per=Y","Days=T","Dir=V")</f>
        <v>0</v>
      </c>
      <c r="S2">
        <f>BDH("CRSR US Equity","BS_ACCT_NOTE_RCV","1993-06-18","2026-05-02","Per=Y","Days=T","Dir=V")</f>
        <v>0</v>
      </c>
      <c r="U2">
        <f>BDH("CRSR US Equity","BS_INVENTORIES","1993-06-18","2026-05-02","Per=Y","Days=T","Dir=V")</f>
        <v>0</v>
      </c>
      <c r="W2">
        <f>BDH("CRSR US Equity","WORKING_CAPITAL","1993-06-18","2026-05-02","Per=Y","Days=T","Dir=V")</f>
        <v>0</v>
      </c>
      <c r="Y2">
        <f>BDH("CRSR US Equity","SALES_REV_TURN","1993-06-18","2026-05-02","Per=Y","Days=T","Dir=V")</f>
        <v>0</v>
      </c>
      <c r="AA2">
        <f>BDH("CRSR US Equity","EBIT","1993-06-18","2026-05-02","Per=Y","Days=T","Dir=V")</f>
        <v>0</v>
      </c>
      <c r="AC2">
        <f>BDH("CRSR US Equity","EBITDA","1993-06-18","2026-05-02","Per=Y","Days=T","Dir=V")</f>
        <v>0</v>
      </c>
      <c r="AE2">
        <f>BDH("CRSR US Equity","NET_INCOME","1993-06-18","2026-05-02","Per=Y","Days=T","Dir=V")</f>
        <v>0</v>
      </c>
      <c r="AG2">
        <f>BDH("CRSR US Equity","IS_INT_EXPENSE","1993-06-18","2026-05-02","Per=Y","Days=T","Dir=V")</f>
        <v>0</v>
      </c>
      <c r="AI2">
        <f>BDH("CRSR US Equity","IS_DEPR_EXP","1993-06-18","2026-05-02","Per=Y","Days=T","Dir=V")</f>
        <v>0</v>
      </c>
      <c r="AK2">
        <f>BDH("CRSR US Equity","CF_CASH_FROM_OPER","1993-06-18","2026-05-02","Per=Y","Days=T","Dir=V")</f>
        <v>0</v>
      </c>
      <c r="AM2">
        <f>BDH("CRSR US Equity","CAPITAL_EXPEND","1993-06-18","2026-05-02","Per=Y","Days=T","Dir=V")</f>
        <v>0</v>
      </c>
      <c r="AO2">
        <f>BDH("CRSR US Equity","CF_FREE_CASH_FLOW","1993-06-18","2026-05-02","Per=Y","Days=T","Dir=V")</f>
        <v>0</v>
      </c>
      <c r="AQ2">
        <f>BDH("CRSR US Equity","PX_LAST","1993-06-18","2026-05-02","Per=M","Days=T","Dir=V")</f>
        <v>0</v>
      </c>
      <c r="AS2">
        <f>BDH("CRSR US Equity","CUR_MKT_CAP","1993-06-18","2026-05-02","Per=M","Days=T","Dir=V")</f>
        <v>0</v>
      </c>
      <c r="AU2">
        <f>BDH("CRSR US Equity","EQY_SH_OUT","1993-06-18","2026-05-02","Per=M","Days=T","Dir=V")</f>
        <v>0</v>
      </c>
      <c r="AW2">
        <f>BDH("CRSR US Equity","PX_VOLUME","1993-06-18","2026-05-02","Per=M","Days=T","Dir=V")</f>
        <v>0</v>
      </c>
      <c r="AY2">
        <f>BDH("CRSR US Equity","TURNOVER","1993-06-18","2026-05-02","Per=M","Days=T","Dir=V")</f>
        <v>0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BDH("CRT US Equity","BS_TOT_ASSET","1993-06-18","2026-05-02","Per=Y","Days=T","Dir=V")</f>
        <v>0</v>
      </c>
      <c r="C2">
        <f>BDH("CRT US Equity","BS_TOT_LIAB2","1993-06-18","2026-05-02","Per=Y","Days=T","Dir=V")</f>
        <v>0</v>
      </c>
      <c r="E2">
        <f>BDH("CRT US Equity","SHORT_AND_LONG_TERM_DEBT","1993-06-18","2026-05-02","Per=Y","Days=T","Dir=V")</f>
        <v>0</v>
      </c>
      <c r="G2">
        <f>BDH("CRT US Equity","BS_ST_BORROW","1993-06-18","2026-05-02","Per=Y","Days=T","Dir=V")</f>
        <v>0</v>
      </c>
      <c r="I2">
        <f>BDH("CRT US Equity","BS_LT_BORROW","1993-06-18","2026-05-02","Per=Y","Days=T","Dir=V")</f>
        <v>0</v>
      </c>
      <c r="K2">
        <f>BDH("CRT US Equity","BS_CASH_NEAR_CASH_ITEM","1993-06-18","2026-05-02","Per=Y","Days=T","Dir=V")</f>
        <v>0</v>
      </c>
      <c r="M2">
        <f>BDH("CRT US Equity","BS_CUR_ASSET_REPORT","1993-06-18","2026-05-02","Per=Y","Days=T","Dir=V")</f>
        <v>0</v>
      </c>
      <c r="O2">
        <f>BDH("CRT US Equity","BS_CUR_LIAB","1993-06-18","2026-05-02","Per=Y","Days=T","Dir=V")</f>
        <v>0</v>
      </c>
      <c r="Q2">
        <f>BDH("CRT US Equity","BS_SHAREHOLDER_EQY_ENDING_PERIOD","1993-06-18","2026-05-02","Per=Y","Days=T","Dir=V")</f>
        <v>0</v>
      </c>
      <c r="S2">
        <f>BDH("CRT US Equity","BS_ACCT_NOTE_RCV","1993-06-18","2026-05-02","Per=Y","Days=T","Dir=V")</f>
        <v>0</v>
      </c>
      <c r="U2">
        <f>BDH("CRT US Equity","BS_INVENTORIES","1993-06-18","2026-05-02","Per=Y","Days=T","Dir=V")</f>
        <v>0</v>
      </c>
      <c r="W2">
        <f>BDH("CRT US Equity","WORKING_CAPITAL","1993-06-18","2026-05-02","Per=Y","Days=T","Dir=V")</f>
        <v>0</v>
      </c>
      <c r="Y2">
        <f>BDH("CRT US Equity","SALES_REV_TURN","1993-06-18","2026-05-02","Per=Y","Days=T","Dir=V")</f>
        <v>0</v>
      </c>
      <c r="AA2">
        <f>BDH("CRT US Equity","EBIT","1993-06-18","2026-05-02","Per=Y","Days=T","Dir=V")</f>
        <v>0</v>
      </c>
      <c r="AC2">
        <f>BDH("CRT US Equity","EBITDA","1993-06-18","2026-05-02","Per=Y","Days=T","Dir=V")</f>
        <v>0</v>
      </c>
      <c r="AE2">
        <f>BDH("CRT US Equity","NET_INCOME","1993-06-18","2026-05-02","Per=Y","Days=T","Dir=V")</f>
        <v>0</v>
      </c>
      <c r="AG2">
        <f>BDH("CRT US Equity","IS_INT_EXPENSE","1993-06-18","2026-05-02","Per=Y","Days=T","Dir=V")</f>
        <v>0</v>
      </c>
      <c r="AI2">
        <f>BDH("CRT US Equity","IS_DEPR_EXP","1993-06-18","2026-05-02","Per=Y","Days=T","Dir=V")</f>
        <v>0</v>
      </c>
      <c r="AK2">
        <f>BDH("CRT US Equity","CF_CASH_FROM_OPER","1993-06-18","2026-05-02","Per=Y","Days=T","Dir=V")</f>
        <v>0</v>
      </c>
      <c r="AM2">
        <f>BDH("CRT US Equity","CAPITAL_EXPEND","1993-06-18","2026-05-02","Per=Y","Days=T","Dir=V")</f>
        <v>0</v>
      </c>
      <c r="AO2">
        <f>BDH("CRT US Equity","CF_FREE_CASH_FLOW","1993-06-18","2026-05-02","Per=Y","Days=T","Dir=V")</f>
        <v>0</v>
      </c>
      <c r="AQ2">
        <f>BDH("CRT US Equity","PX_LAST","1993-06-18","2026-05-02","Per=M","Days=T","Dir=V")</f>
        <v>0</v>
      </c>
      <c r="AS2">
        <f>BDH("CRT US Equity","CUR_MKT_CAP","1993-06-18","2026-05-02","Per=M","Days=T","Dir=V")</f>
        <v>0</v>
      </c>
      <c r="AU2">
        <f>BDH("CRT US Equity","EQY_SH_OUT","1993-06-18","2026-05-02","Per=M","Days=T","Dir=V")</f>
        <v>0</v>
      </c>
      <c r="AW2">
        <f>BDH("CRT US Equity","PX_VOLUME","1993-06-18","2026-05-02","Per=M","Days=T","Dir=V")</f>
        <v>0</v>
      </c>
      <c r="AY2">
        <f>BDH("CRT US Equity","TURNOVER","1993-06-18","2026-05-02","Per=M","Days=T","Dir=V")</f>
        <v>0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BDH("CRUS US Equity","BS_TOT_ASSET","1993-06-18","2026-05-02","Per=Y","Days=T","Dir=V")</f>
        <v>0</v>
      </c>
      <c r="C2">
        <f>BDH("CRUS US Equity","BS_TOT_LIAB2","1993-06-18","2026-05-02","Per=Y","Days=T","Dir=V")</f>
        <v>0</v>
      </c>
      <c r="E2">
        <f>BDH("CRUS US Equity","SHORT_AND_LONG_TERM_DEBT","1993-06-18","2026-05-02","Per=Y","Days=T","Dir=V")</f>
        <v>0</v>
      </c>
      <c r="G2">
        <f>BDH("CRUS US Equity","BS_ST_BORROW","1993-06-18","2026-05-02","Per=Y","Days=T","Dir=V")</f>
        <v>0</v>
      </c>
      <c r="I2">
        <f>BDH("CRUS US Equity","BS_LT_BORROW","1993-06-18","2026-05-02","Per=Y","Days=T","Dir=V")</f>
        <v>0</v>
      </c>
      <c r="K2">
        <f>BDH("CRUS US Equity","BS_CASH_NEAR_CASH_ITEM","1993-06-18","2026-05-02","Per=Y","Days=T","Dir=V")</f>
        <v>0</v>
      </c>
      <c r="M2">
        <f>BDH("CRUS US Equity","BS_CUR_ASSET_REPORT","1993-06-18","2026-05-02","Per=Y","Days=T","Dir=V")</f>
        <v>0</v>
      </c>
      <c r="O2">
        <f>BDH("CRUS US Equity","BS_CUR_LIAB","1993-06-18","2026-05-02","Per=Y","Days=T","Dir=V")</f>
        <v>0</v>
      </c>
      <c r="Q2">
        <f>BDH("CRUS US Equity","BS_SHAREHOLDER_EQY_ENDING_PERIOD","1993-06-18","2026-05-02","Per=Y","Days=T","Dir=V")</f>
        <v>0</v>
      </c>
      <c r="S2">
        <f>BDH("CRUS US Equity","BS_ACCT_NOTE_RCV","1993-06-18","2026-05-02","Per=Y","Days=T","Dir=V")</f>
        <v>0</v>
      </c>
      <c r="U2">
        <f>BDH("CRUS US Equity","BS_INVENTORIES","1993-06-18","2026-05-02","Per=Y","Days=T","Dir=V")</f>
        <v>0</v>
      </c>
      <c r="W2">
        <f>BDH("CRUS US Equity","WORKING_CAPITAL","1993-06-18","2026-05-02","Per=Y","Days=T","Dir=V")</f>
        <v>0</v>
      </c>
      <c r="Y2">
        <f>BDH("CRUS US Equity","SALES_REV_TURN","1993-06-18","2026-05-02","Per=Y","Days=T","Dir=V")</f>
        <v>0</v>
      </c>
      <c r="AA2">
        <f>BDH("CRUS US Equity","EBIT","1993-06-18","2026-05-02","Per=Y","Days=T","Dir=V")</f>
        <v>0</v>
      </c>
      <c r="AC2">
        <f>BDH("CRUS US Equity","EBITDA","1993-06-18","2026-05-02","Per=Y","Days=T","Dir=V")</f>
        <v>0</v>
      </c>
      <c r="AE2">
        <f>BDH("CRUS US Equity","NET_INCOME","1993-06-18","2026-05-02","Per=Y","Days=T","Dir=V")</f>
        <v>0</v>
      </c>
      <c r="AG2">
        <f>BDH("CRUS US Equity","IS_INT_EXPENSE","1993-06-18","2026-05-02","Per=Y","Days=T","Dir=V")</f>
        <v>0</v>
      </c>
      <c r="AI2">
        <f>BDH("CRUS US Equity","IS_DEPR_EXP","1993-06-18","2026-05-02","Per=Y","Days=T","Dir=V")</f>
        <v>0</v>
      </c>
      <c r="AK2">
        <f>BDH("CRUS US Equity","CF_CASH_FROM_OPER","1993-06-18","2026-05-02","Per=Y","Days=T","Dir=V")</f>
        <v>0</v>
      </c>
      <c r="AM2">
        <f>BDH("CRUS US Equity","CAPITAL_EXPEND","1993-06-18","2026-05-02","Per=Y","Days=T","Dir=V")</f>
        <v>0</v>
      </c>
      <c r="AO2">
        <f>BDH("CRUS US Equity","CF_FREE_CASH_FLOW","1993-06-18","2026-05-02","Per=Y","Days=T","Dir=V")</f>
        <v>0</v>
      </c>
      <c r="AQ2">
        <f>BDH("CRUS US Equity","PX_LAST","1993-06-18","2026-05-02","Per=M","Days=T","Dir=V")</f>
        <v>0</v>
      </c>
      <c r="AS2">
        <f>BDH("CRUS US Equity","CUR_MKT_CAP","1993-06-18","2026-05-02","Per=M","Days=T","Dir=V")</f>
        <v>0</v>
      </c>
      <c r="AU2">
        <f>BDH("CRUS US Equity","EQY_SH_OUT","1993-06-18","2026-05-02","Per=M","Days=T","Dir=V")</f>
        <v>0</v>
      </c>
      <c r="AW2">
        <f>BDH("CRUS US Equity","PX_VOLUME","1993-06-18","2026-05-02","Per=M","Days=T","Dir=V")</f>
        <v>0</v>
      </c>
      <c r="AY2">
        <f>BDH("CRUS US Equity","TURNOVER","1993-06-18","2026-05-02","Per=M","Days=T","Dir=V")</f>
        <v>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BDH("CRVO US Equity","BS_TOT_ASSET","1993-06-18","2026-05-02","Per=Y","Days=T","Dir=V")</f>
        <v>0</v>
      </c>
      <c r="C2">
        <f>BDH("CRVO US Equity","BS_TOT_LIAB2","1993-06-18","2026-05-02","Per=Y","Days=T","Dir=V")</f>
        <v>0</v>
      </c>
      <c r="E2">
        <f>BDH("CRVO US Equity","SHORT_AND_LONG_TERM_DEBT","1993-06-18","2026-05-02","Per=Y","Days=T","Dir=V")</f>
        <v>0</v>
      </c>
      <c r="G2">
        <f>BDH("CRVO US Equity","BS_ST_BORROW","1993-06-18","2026-05-02","Per=Y","Days=T","Dir=V")</f>
        <v>0</v>
      </c>
      <c r="I2">
        <f>BDH("CRVO US Equity","BS_LT_BORROW","1993-06-18","2026-05-02","Per=Y","Days=T","Dir=V")</f>
        <v>0</v>
      </c>
      <c r="K2">
        <f>BDH("CRVO US Equity","BS_CASH_NEAR_CASH_ITEM","1993-06-18","2026-05-02","Per=Y","Days=T","Dir=V")</f>
        <v>0</v>
      </c>
      <c r="M2">
        <f>BDH("CRVO US Equity","BS_CUR_ASSET_REPORT","1993-06-18","2026-05-02","Per=Y","Days=T","Dir=V")</f>
        <v>0</v>
      </c>
      <c r="O2">
        <f>BDH("CRVO US Equity","BS_CUR_LIAB","1993-06-18","2026-05-02","Per=Y","Days=T","Dir=V")</f>
        <v>0</v>
      </c>
      <c r="Q2">
        <f>BDH("CRVO US Equity","BS_SHAREHOLDER_EQY_ENDING_PERIOD","1993-06-18","2026-05-02","Per=Y","Days=T","Dir=V")</f>
        <v>0</v>
      </c>
      <c r="S2">
        <f>BDH("CRVO US Equity","BS_ACCT_NOTE_RCV","1993-06-18","2026-05-02","Per=Y","Days=T","Dir=V")</f>
        <v>0</v>
      </c>
      <c r="U2">
        <f>BDH("CRVO US Equity","BS_INVENTORIES","1993-06-18","2026-05-02","Per=Y","Days=T","Dir=V")</f>
        <v>0</v>
      </c>
      <c r="W2">
        <f>BDH("CRVO US Equity","WORKING_CAPITAL","1993-06-18","2026-05-02","Per=Y","Days=T","Dir=V")</f>
        <v>0</v>
      </c>
      <c r="Y2">
        <f>BDH("CRVO US Equity","SALES_REV_TURN","1993-06-18","2026-05-02","Per=Y","Days=T","Dir=V")</f>
        <v>0</v>
      </c>
      <c r="AA2">
        <f>BDH("CRVO US Equity","EBIT","1993-06-18","2026-05-02","Per=Y","Days=T","Dir=V")</f>
        <v>0</v>
      </c>
      <c r="AC2">
        <f>BDH("CRVO US Equity","EBITDA","1993-06-18","2026-05-02","Per=Y","Days=T","Dir=V")</f>
        <v>0</v>
      </c>
      <c r="AE2">
        <f>BDH("CRVO US Equity","NET_INCOME","1993-06-18","2026-05-02","Per=Y","Days=T","Dir=V")</f>
        <v>0</v>
      </c>
      <c r="AG2">
        <f>BDH("CRVO US Equity","IS_INT_EXPENSE","1993-06-18","2026-05-02","Per=Y","Days=T","Dir=V")</f>
        <v>0</v>
      </c>
      <c r="AI2">
        <f>BDH("CRVO US Equity","IS_DEPR_EXP","1993-06-18","2026-05-02","Per=Y","Days=T","Dir=V")</f>
        <v>0</v>
      </c>
      <c r="AK2">
        <f>BDH("CRVO US Equity","CF_CASH_FROM_OPER","1993-06-18","2026-05-02","Per=Y","Days=T","Dir=V")</f>
        <v>0</v>
      </c>
      <c r="AM2">
        <f>BDH("CRVO US Equity","CAPITAL_EXPEND","1993-06-18","2026-05-02","Per=Y","Days=T","Dir=V")</f>
        <v>0</v>
      </c>
      <c r="AO2">
        <f>BDH("CRVO US Equity","CF_FREE_CASH_FLOW","1993-06-18","2026-05-02","Per=Y","Days=T","Dir=V")</f>
        <v>0</v>
      </c>
      <c r="AQ2">
        <f>BDH("CRVO US Equity","PX_LAST","1993-06-18","2026-05-02","Per=M","Days=T","Dir=V")</f>
        <v>0</v>
      </c>
      <c r="AS2">
        <f>BDH("CRVO US Equity","CUR_MKT_CAP","1993-06-18","2026-05-02","Per=M","Days=T","Dir=V")</f>
        <v>0</v>
      </c>
      <c r="AU2">
        <f>BDH("CRVO US Equity","EQY_SH_OUT","1993-06-18","2026-05-02","Per=M","Days=T","Dir=V")</f>
        <v>0</v>
      </c>
      <c r="AW2">
        <f>BDH("CRVO US Equity","PX_VOLUME","1993-06-18","2026-05-02","Per=M","Days=T","Dir=V")</f>
        <v>0</v>
      </c>
      <c r="AY2">
        <f>BDH("CRVO US Equity","TURNOVER","1993-06-18","2026-05-02","Per=M","Days=T","Dir=V")</f>
        <v>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BDH("CRVS US Equity","BS_TOT_ASSET","1993-06-18","2026-05-02","Per=Y","Days=T","Dir=V")</f>
        <v>0</v>
      </c>
      <c r="C2">
        <f>BDH("CRVS US Equity","BS_TOT_LIAB2","1993-06-18","2026-05-02","Per=Y","Days=T","Dir=V")</f>
        <v>0</v>
      </c>
      <c r="E2">
        <f>BDH("CRVS US Equity","SHORT_AND_LONG_TERM_DEBT","1993-06-18","2026-05-02","Per=Y","Days=T","Dir=V")</f>
        <v>0</v>
      </c>
      <c r="G2">
        <f>BDH("CRVS US Equity","BS_ST_BORROW","1993-06-18","2026-05-02","Per=Y","Days=T","Dir=V")</f>
        <v>0</v>
      </c>
      <c r="I2">
        <f>BDH("CRVS US Equity","BS_LT_BORROW","1993-06-18","2026-05-02","Per=Y","Days=T","Dir=V")</f>
        <v>0</v>
      </c>
      <c r="K2">
        <f>BDH("CRVS US Equity","BS_CASH_NEAR_CASH_ITEM","1993-06-18","2026-05-02","Per=Y","Days=T","Dir=V")</f>
        <v>0</v>
      </c>
      <c r="M2">
        <f>BDH("CRVS US Equity","BS_CUR_ASSET_REPORT","1993-06-18","2026-05-02","Per=Y","Days=T","Dir=V")</f>
        <v>0</v>
      </c>
      <c r="O2">
        <f>BDH("CRVS US Equity","BS_CUR_LIAB","1993-06-18","2026-05-02","Per=Y","Days=T","Dir=V")</f>
        <v>0</v>
      </c>
      <c r="Q2">
        <f>BDH("CRVS US Equity","BS_SHAREHOLDER_EQY_ENDING_PERIOD","1993-06-18","2026-05-02","Per=Y","Days=T","Dir=V")</f>
        <v>0</v>
      </c>
      <c r="S2">
        <f>BDH("CRVS US Equity","BS_ACCT_NOTE_RCV","1993-06-18","2026-05-02","Per=Y","Days=T","Dir=V")</f>
        <v>0</v>
      </c>
      <c r="U2">
        <f>BDH("CRVS US Equity","BS_INVENTORIES","1993-06-18","2026-05-02","Per=Y","Days=T","Dir=V")</f>
        <v>0</v>
      </c>
      <c r="W2">
        <f>BDH("CRVS US Equity","WORKING_CAPITAL","1993-06-18","2026-05-02","Per=Y","Days=T","Dir=V")</f>
        <v>0</v>
      </c>
      <c r="Y2">
        <f>BDH("CRVS US Equity","SALES_REV_TURN","1993-06-18","2026-05-02","Per=Y","Days=T","Dir=V")</f>
        <v>0</v>
      </c>
      <c r="AA2">
        <f>BDH("CRVS US Equity","EBIT","1993-06-18","2026-05-02","Per=Y","Days=T","Dir=V")</f>
        <v>0</v>
      </c>
      <c r="AC2">
        <f>BDH("CRVS US Equity","EBITDA","1993-06-18","2026-05-02","Per=Y","Days=T","Dir=V")</f>
        <v>0</v>
      </c>
      <c r="AE2">
        <f>BDH("CRVS US Equity","NET_INCOME","1993-06-18","2026-05-02","Per=Y","Days=T","Dir=V")</f>
        <v>0</v>
      </c>
      <c r="AG2">
        <f>BDH("CRVS US Equity","IS_INT_EXPENSE","1993-06-18","2026-05-02","Per=Y","Days=T","Dir=V")</f>
        <v>0</v>
      </c>
      <c r="AI2">
        <f>BDH("CRVS US Equity","IS_DEPR_EXP","1993-06-18","2026-05-02","Per=Y","Days=T","Dir=V")</f>
        <v>0</v>
      </c>
      <c r="AK2">
        <f>BDH("CRVS US Equity","CF_CASH_FROM_OPER","1993-06-18","2026-05-02","Per=Y","Days=T","Dir=V")</f>
        <v>0</v>
      </c>
      <c r="AM2">
        <f>BDH("CRVS US Equity","CAPITAL_EXPEND","1993-06-18","2026-05-02","Per=Y","Days=T","Dir=V")</f>
        <v>0</v>
      </c>
      <c r="AO2">
        <f>BDH("CRVS US Equity","CF_FREE_CASH_FLOW","1993-06-18","2026-05-02","Per=Y","Days=T","Dir=V")</f>
        <v>0</v>
      </c>
      <c r="AQ2">
        <f>BDH("CRVS US Equity","PX_LAST","1993-06-18","2026-05-02","Per=M","Days=T","Dir=V")</f>
        <v>0</v>
      </c>
      <c r="AS2">
        <f>BDH("CRVS US Equity","CUR_MKT_CAP","1993-06-18","2026-05-02","Per=M","Days=T","Dir=V")</f>
        <v>0</v>
      </c>
      <c r="AU2">
        <f>BDH("CRVS US Equity","EQY_SH_OUT","1993-06-18","2026-05-02","Per=M","Days=T","Dir=V")</f>
        <v>0</v>
      </c>
      <c r="AW2">
        <f>BDH("CRVS US Equity","PX_VOLUME","1993-06-18","2026-05-02","Per=M","Days=T","Dir=V")</f>
        <v>0</v>
      </c>
      <c r="AY2">
        <f>BDH("CRVS US Equity","TURNOVER","1993-06-18","2026-05-02","Per=M","Days=T","Dir=V")</f>
        <v>0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BDH("CRWD US Equity","BS_TOT_ASSET","1993-06-18","2026-05-02","Per=Y","Days=T","Dir=V")</f>
        <v>0</v>
      </c>
      <c r="C2">
        <f>BDH("CRWD US Equity","BS_TOT_LIAB2","1993-06-18","2026-05-02","Per=Y","Days=T","Dir=V")</f>
        <v>0</v>
      </c>
      <c r="E2">
        <f>BDH("CRWD US Equity","SHORT_AND_LONG_TERM_DEBT","1993-06-18","2026-05-02","Per=Y","Days=T","Dir=V")</f>
        <v>0</v>
      </c>
      <c r="G2">
        <f>BDH("CRWD US Equity","BS_ST_BORROW","1993-06-18","2026-05-02","Per=Y","Days=T","Dir=V")</f>
        <v>0</v>
      </c>
      <c r="I2">
        <f>BDH("CRWD US Equity","BS_LT_BORROW","1993-06-18","2026-05-02","Per=Y","Days=T","Dir=V")</f>
        <v>0</v>
      </c>
      <c r="K2">
        <f>BDH("CRWD US Equity","BS_CASH_NEAR_CASH_ITEM","1993-06-18","2026-05-02","Per=Y","Days=T","Dir=V")</f>
        <v>0</v>
      </c>
      <c r="M2">
        <f>BDH("CRWD US Equity","BS_CUR_ASSET_REPORT","1993-06-18","2026-05-02","Per=Y","Days=T","Dir=V")</f>
        <v>0</v>
      </c>
      <c r="O2">
        <f>BDH("CRWD US Equity","BS_CUR_LIAB","1993-06-18","2026-05-02","Per=Y","Days=T","Dir=V")</f>
        <v>0</v>
      </c>
      <c r="Q2">
        <f>BDH("CRWD US Equity","BS_SHAREHOLDER_EQY_ENDING_PERIOD","1993-06-18","2026-05-02","Per=Y","Days=T","Dir=V")</f>
        <v>0</v>
      </c>
      <c r="S2">
        <f>BDH("CRWD US Equity","BS_ACCT_NOTE_RCV","1993-06-18","2026-05-02","Per=Y","Days=T","Dir=V")</f>
        <v>0</v>
      </c>
      <c r="U2">
        <f>BDH("CRWD US Equity","BS_INVENTORIES","1993-06-18","2026-05-02","Per=Y","Days=T","Dir=V")</f>
        <v>0</v>
      </c>
      <c r="W2">
        <f>BDH("CRWD US Equity","WORKING_CAPITAL","1993-06-18","2026-05-02","Per=Y","Days=T","Dir=V")</f>
        <v>0</v>
      </c>
      <c r="Y2">
        <f>BDH("CRWD US Equity","SALES_REV_TURN","1993-06-18","2026-05-02","Per=Y","Days=T","Dir=V")</f>
        <v>0</v>
      </c>
      <c r="AA2">
        <f>BDH("CRWD US Equity","EBIT","1993-06-18","2026-05-02","Per=Y","Days=T","Dir=V")</f>
        <v>0</v>
      </c>
      <c r="AC2">
        <f>BDH("CRWD US Equity","EBITDA","1993-06-18","2026-05-02","Per=Y","Days=T","Dir=V")</f>
        <v>0</v>
      </c>
      <c r="AE2">
        <f>BDH("CRWD US Equity","NET_INCOME","1993-06-18","2026-05-02","Per=Y","Days=T","Dir=V")</f>
        <v>0</v>
      </c>
      <c r="AG2">
        <f>BDH("CRWD US Equity","IS_INT_EXPENSE","1993-06-18","2026-05-02","Per=Y","Days=T","Dir=V")</f>
        <v>0</v>
      </c>
      <c r="AI2">
        <f>BDH("CRWD US Equity","IS_DEPR_EXP","1993-06-18","2026-05-02","Per=Y","Days=T","Dir=V")</f>
        <v>0</v>
      </c>
      <c r="AK2">
        <f>BDH("CRWD US Equity","CF_CASH_FROM_OPER","1993-06-18","2026-05-02","Per=Y","Days=T","Dir=V")</f>
        <v>0</v>
      </c>
      <c r="AM2">
        <f>BDH("CRWD US Equity","CAPITAL_EXPEND","1993-06-18","2026-05-02","Per=Y","Days=T","Dir=V")</f>
        <v>0</v>
      </c>
      <c r="AO2">
        <f>BDH("CRWD US Equity","CF_FREE_CASH_FLOW","1993-06-18","2026-05-02","Per=Y","Days=T","Dir=V")</f>
        <v>0</v>
      </c>
      <c r="AQ2">
        <f>BDH("CRWD US Equity","PX_LAST","1993-06-18","2026-05-02","Per=M","Days=T","Dir=V")</f>
        <v>0</v>
      </c>
      <c r="AS2">
        <f>BDH("CRWD US Equity","CUR_MKT_CAP","1993-06-18","2026-05-02","Per=M","Days=T","Dir=V")</f>
        <v>0</v>
      </c>
      <c r="AU2">
        <f>BDH("CRWD US Equity","EQY_SH_OUT","1993-06-18","2026-05-02","Per=M","Days=T","Dir=V")</f>
        <v>0</v>
      </c>
      <c r="AW2">
        <f>BDH("CRWD US Equity","PX_VOLUME","1993-06-18","2026-05-02","Per=M","Days=T","Dir=V")</f>
        <v>0</v>
      </c>
      <c r="AY2">
        <f>BDH("CRWD US Equity","TURNOVER","1993-06-18","2026-05-02","Per=M","Days=T","Dir=V")</f>
        <v>0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BDH("CRWS US Equity","BS_TOT_ASSET","1993-06-18","2026-05-02","Per=Y","Days=T","Dir=V")</f>
        <v>0</v>
      </c>
      <c r="C2">
        <f>BDH("CRWS US Equity","BS_TOT_LIAB2","1993-06-18","2026-05-02","Per=Y","Days=T","Dir=V")</f>
        <v>0</v>
      </c>
      <c r="E2">
        <f>BDH("CRWS US Equity","SHORT_AND_LONG_TERM_DEBT","1993-06-18","2026-05-02","Per=Y","Days=T","Dir=V")</f>
        <v>0</v>
      </c>
      <c r="G2">
        <f>BDH("CRWS US Equity","BS_ST_BORROW","1993-06-18","2026-05-02","Per=Y","Days=T","Dir=V")</f>
        <v>0</v>
      </c>
      <c r="I2">
        <f>BDH("CRWS US Equity","BS_LT_BORROW","1993-06-18","2026-05-02","Per=Y","Days=T","Dir=V")</f>
        <v>0</v>
      </c>
      <c r="K2">
        <f>BDH("CRWS US Equity","BS_CASH_NEAR_CASH_ITEM","1993-06-18","2026-05-02","Per=Y","Days=T","Dir=V")</f>
        <v>0</v>
      </c>
      <c r="M2">
        <f>BDH("CRWS US Equity","BS_CUR_ASSET_REPORT","1993-06-18","2026-05-02","Per=Y","Days=T","Dir=V")</f>
        <v>0</v>
      </c>
      <c r="O2">
        <f>BDH("CRWS US Equity","BS_CUR_LIAB","1993-06-18","2026-05-02","Per=Y","Days=T","Dir=V")</f>
        <v>0</v>
      </c>
      <c r="Q2">
        <f>BDH("CRWS US Equity","BS_SHAREHOLDER_EQY_ENDING_PERIOD","1993-06-18","2026-05-02","Per=Y","Days=T","Dir=V")</f>
        <v>0</v>
      </c>
      <c r="S2">
        <f>BDH("CRWS US Equity","BS_ACCT_NOTE_RCV","1993-06-18","2026-05-02","Per=Y","Days=T","Dir=V")</f>
        <v>0</v>
      </c>
      <c r="U2">
        <f>BDH("CRWS US Equity","BS_INVENTORIES","1993-06-18","2026-05-02","Per=Y","Days=T","Dir=V")</f>
        <v>0</v>
      </c>
      <c r="W2">
        <f>BDH("CRWS US Equity","WORKING_CAPITAL","1993-06-18","2026-05-02","Per=Y","Days=T","Dir=V")</f>
        <v>0</v>
      </c>
      <c r="Y2">
        <f>BDH("CRWS US Equity","SALES_REV_TURN","1993-06-18","2026-05-02","Per=Y","Days=T","Dir=V")</f>
        <v>0</v>
      </c>
      <c r="AA2">
        <f>BDH("CRWS US Equity","EBIT","1993-06-18","2026-05-02","Per=Y","Days=T","Dir=V")</f>
        <v>0</v>
      </c>
      <c r="AC2">
        <f>BDH("CRWS US Equity","EBITDA","1993-06-18","2026-05-02","Per=Y","Days=T","Dir=V")</f>
        <v>0</v>
      </c>
      <c r="AE2">
        <f>BDH("CRWS US Equity","NET_INCOME","1993-06-18","2026-05-02","Per=Y","Days=T","Dir=V")</f>
        <v>0</v>
      </c>
      <c r="AG2">
        <f>BDH("CRWS US Equity","IS_INT_EXPENSE","1993-06-18","2026-05-02","Per=Y","Days=T","Dir=V")</f>
        <v>0</v>
      </c>
      <c r="AI2">
        <f>BDH("CRWS US Equity","IS_DEPR_EXP","1993-06-18","2026-05-02","Per=Y","Days=T","Dir=V")</f>
        <v>0</v>
      </c>
      <c r="AK2">
        <f>BDH("CRWS US Equity","CF_CASH_FROM_OPER","1993-06-18","2026-05-02","Per=Y","Days=T","Dir=V")</f>
        <v>0</v>
      </c>
      <c r="AM2">
        <f>BDH("CRWS US Equity","CAPITAL_EXPEND","1993-06-18","2026-05-02","Per=Y","Days=T","Dir=V")</f>
        <v>0</v>
      </c>
      <c r="AO2">
        <f>BDH("CRWS US Equity","CF_FREE_CASH_FLOW","1993-06-18","2026-05-02","Per=Y","Days=T","Dir=V")</f>
        <v>0</v>
      </c>
      <c r="AQ2">
        <f>BDH("CRWS US Equity","PX_LAST","1993-06-18","2026-05-02","Per=M","Days=T","Dir=V")</f>
        <v>0</v>
      </c>
      <c r="AS2">
        <f>BDH("CRWS US Equity","CUR_MKT_CAP","1993-06-18","2026-05-02","Per=M","Days=T","Dir=V")</f>
        <v>0</v>
      </c>
      <c r="AU2">
        <f>BDH("CRWS US Equity","EQY_SH_OUT","1993-06-18","2026-05-02","Per=M","Days=T","Dir=V")</f>
        <v>0</v>
      </c>
      <c r="AW2">
        <f>BDH("CRWS US Equity","PX_VOLUME","1993-06-18","2026-05-02","Per=M","Days=T","Dir=V")</f>
        <v>0</v>
      </c>
      <c r="AY2">
        <f>BDH("CRWS US Equity","TURNOVER","1993-06-18","2026-05-02","Per=M","Days=T","Dir=V")</f>
        <v>0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BDH("CRWV US Equity","BS_TOT_ASSET","1993-06-18","2026-05-02","Per=Y","Days=T","Dir=V")</f>
        <v>0</v>
      </c>
      <c r="C2">
        <f>BDH("CRWV US Equity","BS_TOT_LIAB2","1993-06-18","2026-05-02","Per=Y","Days=T","Dir=V")</f>
        <v>0</v>
      </c>
      <c r="E2">
        <f>BDH("CRWV US Equity","SHORT_AND_LONG_TERM_DEBT","1993-06-18","2026-05-02","Per=Y","Days=T","Dir=V")</f>
        <v>0</v>
      </c>
      <c r="G2">
        <f>BDH("CRWV US Equity","BS_ST_BORROW","1993-06-18","2026-05-02","Per=Y","Days=T","Dir=V")</f>
        <v>0</v>
      </c>
      <c r="I2">
        <f>BDH("CRWV US Equity","BS_LT_BORROW","1993-06-18","2026-05-02","Per=Y","Days=T","Dir=V")</f>
        <v>0</v>
      </c>
      <c r="K2">
        <f>BDH("CRWV US Equity","BS_CASH_NEAR_CASH_ITEM","1993-06-18","2026-05-02","Per=Y","Days=T","Dir=V")</f>
        <v>0</v>
      </c>
      <c r="M2">
        <f>BDH("CRWV US Equity","BS_CUR_ASSET_REPORT","1993-06-18","2026-05-02","Per=Y","Days=T","Dir=V")</f>
        <v>0</v>
      </c>
      <c r="O2">
        <f>BDH("CRWV US Equity","BS_CUR_LIAB","1993-06-18","2026-05-02","Per=Y","Days=T","Dir=V")</f>
        <v>0</v>
      </c>
      <c r="Q2">
        <f>BDH("CRWV US Equity","BS_SHAREHOLDER_EQY_ENDING_PERIOD","1993-06-18","2026-05-02","Per=Y","Days=T","Dir=V")</f>
        <v>0</v>
      </c>
      <c r="S2">
        <f>BDH("CRWV US Equity","BS_ACCT_NOTE_RCV","1993-06-18","2026-05-02","Per=Y","Days=T","Dir=V")</f>
        <v>0</v>
      </c>
      <c r="U2">
        <f>BDH("CRWV US Equity","BS_INVENTORIES","1993-06-18","2026-05-02","Per=Y","Days=T","Dir=V")</f>
        <v>0</v>
      </c>
      <c r="W2">
        <f>BDH("CRWV US Equity","WORKING_CAPITAL","1993-06-18","2026-05-02","Per=Y","Days=T","Dir=V")</f>
        <v>0</v>
      </c>
      <c r="Y2">
        <f>BDH("CRWV US Equity","SALES_REV_TURN","1993-06-18","2026-05-02","Per=Y","Days=T","Dir=V")</f>
        <v>0</v>
      </c>
      <c r="AA2">
        <f>BDH("CRWV US Equity","EBIT","1993-06-18","2026-05-02","Per=Y","Days=T","Dir=V")</f>
        <v>0</v>
      </c>
      <c r="AC2">
        <f>BDH("CRWV US Equity","EBITDA","1993-06-18","2026-05-02","Per=Y","Days=T","Dir=V")</f>
        <v>0</v>
      </c>
      <c r="AE2">
        <f>BDH("CRWV US Equity","NET_INCOME","1993-06-18","2026-05-02","Per=Y","Days=T","Dir=V")</f>
        <v>0</v>
      </c>
      <c r="AG2">
        <f>BDH("CRWV US Equity","IS_INT_EXPENSE","1993-06-18","2026-05-02","Per=Y","Days=T","Dir=V")</f>
        <v>0</v>
      </c>
      <c r="AI2">
        <f>BDH("CRWV US Equity","IS_DEPR_EXP","1993-06-18","2026-05-02","Per=Y","Days=T","Dir=V")</f>
        <v>0</v>
      </c>
      <c r="AK2">
        <f>BDH("CRWV US Equity","CF_CASH_FROM_OPER","1993-06-18","2026-05-02","Per=Y","Days=T","Dir=V")</f>
        <v>0</v>
      </c>
      <c r="AM2">
        <f>BDH("CRWV US Equity","CAPITAL_EXPEND","1993-06-18","2026-05-02","Per=Y","Days=T","Dir=V")</f>
        <v>0</v>
      </c>
      <c r="AO2">
        <f>BDH("CRWV US Equity","CF_FREE_CASH_FLOW","1993-06-18","2026-05-02","Per=Y","Days=T","Dir=V")</f>
        <v>0</v>
      </c>
      <c r="AQ2">
        <f>BDH("CRWV US Equity","PX_LAST","1993-06-18","2026-05-02","Per=M","Days=T","Dir=V")</f>
        <v>0</v>
      </c>
      <c r="AS2">
        <f>BDH("CRWV US Equity","CUR_MKT_CAP","1993-06-18","2026-05-02","Per=M","Days=T","Dir=V")</f>
        <v>0</v>
      </c>
      <c r="AU2">
        <f>BDH("CRWV US Equity","EQY_SH_OUT","1993-06-18","2026-05-02","Per=M","Days=T","Dir=V")</f>
        <v>0</v>
      </c>
      <c r="AW2">
        <f>BDH("CRWV US Equity","PX_VOLUME","1993-06-18","2026-05-02","Per=M","Days=T","Dir=V")</f>
        <v>0</v>
      </c>
      <c r="AY2">
        <f>BDH("CRWV US Equity","TURNOVER","1993-06-18","2026-05-02","Per=M","Days=T","Dir=V")</f>
        <v>0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BDH("CSAI US Equity","BS_TOT_ASSET","1993-06-18","2026-05-02","Per=Y","Days=T","Dir=V")</f>
        <v>0</v>
      </c>
      <c r="C2">
        <f>BDH("CSAI US Equity","BS_TOT_LIAB2","1993-06-18","2026-05-02","Per=Y","Days=T","Dir=V")</f>
        <v>0</v>
      </c>
      <c r="E2">
        <f>BDH("CSAI US Equity","SHORT_AND_LONG_TERM_DEBT","1993-06-18","2026-05-02","Per=Y","Days=T","Dir=V")</f>
        <v>0</v>
      </c>
      <c r="G2">
        <f>BDH("CSAI US Equity","BS_ST_BORROW","1993-06-18","2026-05-02","Per=Y","Days=T","Dir=V")</f>
        <v>0</v>
      </c>
      <c r="I2">
        <f>BDH("CSAI US Equity","BS_LT_BORROW","1993-06-18","2026-05-02","Per=Y","Days=T","Dir=V")</f>
        <v>0</v>
      </c>
      <c r="K2">
        <f>BDH("CSAI US Equity","BS_CASH_NEAR_CASH_ITEM","1993-06-18","2026-05-02","Per=Y","Days=T","Dir=V")</f>
        <v>0</v>
      </c>
      <c r="M2">
        <f>BDH("CSAI US Equity","BS_CUR_ASSET_REPORT","1993-06-18","2026-05-02","Per=Y","Days=T","Dir=V")</f>
        <v>0</v>
      </c>
      <c r="O2">
        <f>BDH("CSAI US Equity","BS_CUR_LIAB","1993-06-18","2026-05-02","Per=Y","Days=T","Dir=V")</f>
        <v>0</v>
      </c>
      <c r="Q2">
        <f>BDH("CSAI US Equity","BS_SHAREHOLDER_EQY_ENDING_PERIOD","1993-06-18","2026-05-02","Per=Y","Days=T","Dir=V")</f>
        <v>0</v>
      </c>
      <c r="S2">
        <f>BDH("CSAI US Equity","BS_ACCT_NOTE_RCV","1993-06-18","2026-05-02","Per=Y","Days=T","Dir=V")</f>
        <v>0</v>
      </c>
      <c r="U2">
        <f>BDH("CSAI US Equity","BS_INVENTORIES","1993-06-18","2026-05-02","Per=Y","Days=T","Dir=V")</f>
        <v>0</v>
      </c>
      <c r="W2">
        <f>BDH("CSAI US Equity","WORKING_CAPITAL","1993-06-18","2026-05-02","Per=Y","Days=T","Dir=V")</f>
        <v>0</v>
      </c>
      <c r="Y2">
        <f>BDH("CSAI US Equity","SALES_REV_TURN","1993-06-18","2026-05-02","Per=Y","Days=T","Dir=V")</f>
        <v>0</v>
      </c>
      <c r="AA2">
        <f>BDH("CSAI US Equity","EBIT","1993-06-18","2026-05-02","Per=Y","Days=T","Dir=V")</f>
        <v>0</v>
      </c>
      <c r="AC2">
        <f>BDH("CSAI US Equity","EBITDA","1993-06-18","2026-05-02","Per=Y","Days=T","Dir=V")</f>
        <v>0</v>
      </c>
      <c r="AE2">
        <f>BDH("CSAI US Equity","NET_INCOME","1993-06-18","2026-05-02","Per=Y","Days=T","Dir=V")</f>
        <v>0</v>
      </c>
      <c r="AG2">
        <f>BDH("CSAI US Equity","IS_INT_EXPENSE","1993-06-18","2026-05-02","Per=Y","Days=T","Dir=V")</f>
        <v>0</v>
      </c>
      <c r="AI2">
        <f>BDH("CSAI US Equity","IS_DEPR_EXP","1993-06-18","2026-05-02","Per=Y","Days=T","Dir=V")</f>
        <v>0</v>
      </c>
      <c r="AK2">
        <f>BDH("CSAI US Equity","CF_CASH_FROM_OPER","1993-06-18","2026-05-02","Per=Y","Days=T","Dir=V")</f>
        <v>0</v>
      </c>
      <c r="AM2">
        <f>BDH("CSAI US Equity","CAPITAL_EXPEND","1993-06-18","2026-05-02","Per=Y","Days=T","Dir=V")</f>
        <v>0</v>
      </c>
      <c r="AO2">
        <f>BDH("CSAI US Equity","CF_FREE_CASH_FLOW","1993-06-18","2026-05-02","Per=Y","Days=T","Dir=V")</f>
        <v>0</v>
      </c>
      <c r="AQ2">
        <f>BDH("CSAI US Equity","PX_LAST","1993-06-18","2026-05-02","Per=M","Days=T","Dir=V")</f>
        <v>0</v>
      </c>
      <c r="AS2">
        <f>BDH("CSAI US Equity","CUR_MKT_CAP","1993-06-18","2026-05-02","Per=M","Days=T","Dir=V")</f>
        <v>0</v>
      </c>
      <c r="AU2">
        <f>BDH("CSAI US Equity","EQY_SH_OUT","1993-06-18","2026-05-02","Per=M","Days=T","Dir=V")</f>
        <v>0</v>
      </c>
      <c r="AW2">
        <f>BDH("CSAI US Equity","PX_VOLUME","1993-06-18","2026-05-02","Per=M","Days=T","Dir=V")</f>
        <v>0</v>
      </c>
      <c r="AY2">
        <f>BDH("CSAI US Equity","TURNOVER","1993-06-18","2026-05-02","Per=M","Days=T","Dir=V")</f>
        <v>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BDH("CSBR US Equity","BS_TOT_ASSET","1993-06-18","2026-05-02","Per=Y","Days=T","Dir=V")</f>
        <v>0</v>
      </c>
      <c r="C2">
        <f>BDH("CSBR US Equity","BS_TOT_LIAB2","1993-06-18","2026-05-02","Per=Y","Days=T","Dir=V")</f>
        <v>0</v>
      </c>
      <c r="E2">
        <f>BDH("CSBR US Equity","SHORT_AND_LONG_TERM_DEBT","1993-06-18","2026-05-02","Per=Y","Days=T","Dir=V")</f>
        <v>0</v>
      </c>
      <c r="G2">
        <f>BDH("CSBR US Equity","BS_ST_BORROW","1993-06-18","2026-05-02","Per=Y","Days=T","Dir=V")</f>
        <v>0</v>
      </c>
      <c r="I2">
        <f>BDH("CSBR US Equity","BS_LT_BORROW","1993-06-18","2026-05-02","Per=Y","Days=T","Dir=V")</f>
        <v>0</v>
      </c>
      <c r="K2">
        <f>BDH("CSBR US Equity","BS_CASH_NEAR_CASH_ITEM","1993-06-18","2026-05-02","Per=Y","Days=T","Dir=V")</f>
        <v>0</v>
      </c>
      <c r="M2">
        <f>BDH("CSBR US Equity","BS_CUR_ASSET_REPORT","1993-06-18","2026-05-02","Per=Y","Days=T","Dir=V")</f>
        <v>0</v>
      </c>
      <c r="O2">
        <f>BDH("CSBR US Equity","BS_CUR_LIAB","1993-06-18","2026-05-02","Per=Y","Days=T","Dir=V")</f>
        <v>0</v>
      </c>
      <c r="Q2">
        <f>BDH("CSBR US Equity","BS_SHAREHOLDER_EQY_ENDING_PERIOD","1993-06-18","2026-05-02","Per=Y","Days=T","Dir=V")</f>
        <v>0</v>
      </c>
      <c r="S2">
        <f>BDH("CSBR US Equity","BS_ACCT_NOTE_RCV","1993-06-18","2026-05-02","Per=Y","Days=T","Dir=V")</f>
        <v>0</v>
      </c>
      <c r="U2">
        <f>BDH("CSBR US Equity","BS_INVENTORIES","1993-06-18","2026-05-02","Per=Y","Days=T","Dir=V")</f>
        <v>0</v>
      </c>
      <c r="W2">
        <f>BDH("CSBR US Equity","WORKING_CAPITAL","1993-06-18","2026-05-02","Per=Y","Days=T","Dir=V")</f>
        <v>0</v>
      </c>
      <c r="Y2">
        <f>BDH("CSBR US Equity","SALES_REV_TURN","1993-06-18","2026-05-02","Per=Y","Days=T","Dir=V")</f>
        <v>0</v>
      </c>
      <c r="AA2">
        <f>BDH("CSBR US Equity","EBIT","1993-06-18","2026-05-02","Per=Y","Days=T","Dir=V")</f>
        <v>0</v>
      </c>
      <c r="AC2">
        <f>BDH("CSBR US Equity","EBITDA","1993-06-18","2026-05-02","Per=Y","Days=T","Dir=V")</f>
        <v>0</v>
      </c>
      <c r="AE2">
        <f>BDH("CSBR US Equity","NET_INCOME","1993-06-18","2026-05-02","Per=Y","Days=T","Dir=V")</f>
        <v>0</v>
      </c>
      <c r="AG2">
        <f>BDH("CSBR US Equity","IS_INT_EXPENSE","1993-06-18","2026-05-02","Per=Y","Days=T","Dir=V")</f>
        <v>0</v>
      </c>
      <c r="AI2">
        <f>BDH("CSBR US Equity","IS_DEPR_EXP","1993-06-18","2026-05-02","Per=Y","Days=T","Dir=V")</f>
        <v>0</v>
      </c>
      <c r="AK2">
        <f>BDH("CSBR US Equity","CF_CASH_FROM_OPER","1993-06-18","2026-05-02","Per=Y","Days=T","Dir=V")</f>
        <v>0</v>
      </c>
      <c r="AM2">
        <f>BDH("CSBR US Equity","CAPITAL_EXPEND","1993-06-18","2026-05-02","Per=Y","Days=T","Dir=V")</f>
        <v>0</v>
      </c>
      <c r="AO2">
        <f>BDH("CSBR US Equity","CF_FREE_CASH_FLOW","1993-06-18","2026-05-02","Per=Y","Days=T","Dir=V")</f>
        <v>0</v>
      </c>
      <c r="AQ2">
        <f>BDH("CSBR US Equity","PX_LAST","1993-06-18","2026-05-02","Per=M","Days=T","Dir=V")</f>
        <v>0</v>
      </c>
      <c r="AS2">
        <f>BDH("CSBR US Equity","CUR_MKT_CAP","1993-06-18","2026-05-02","Per=M","Days=T","Dir=V")</f>
        <v>0</v>
      </c>
      <c r="AU2">
        <f>BDH("CSBR US Equity","EQY_SH_OUT","1993-06-18","2026-05-02","Per=M","Days=T","Dir=V")</f>
        <v>0</v>
      </c>
      <c r="AW2">
        <f>BDH("CSBR US Equity","PX_VOLUME","1993-06-18","2026-05-02","Per=M","Days=T","Dir=V")</f>
        <v>0</v>
      </c>
      <c r="AY2">
        <f>BDH("CSBR US Equity","TURNOVER","1993-06-18","2026-05-02","Per=M","Days=T","Dir=V")</f>
        <v>0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BDH("CSCO US Equity","BS_TOT_ASSET","1993-06-18","2026-05-02","Per=Y","Days=T","Dir=V")</f>
        <v>0</v>
      </c>
      <c r="C2">
        <f>BDH("CSCO US Equity","BS_TOT_LIAB2","1993-06-18","2026-05-02","Per=Y","Days=T","Dir=V")</f>
        <v>0</v>
      </c>
      <c r="E2">
        <f>BDH("CSCO US Equity","SHORT_AND_LONG_TERM_DEBT","1993-06-18","2026-05-02","Per=Y","Days=T","Dir=V")</f>
        <v>0</v>
      </c>
      <c r="G2">
        <f>BDH("CSCO US Equity","BS_ST_BORROW","1993-06-18","2026-05-02","Per=Y","Days=T","Dir=V")</f>
        <v>0</v>
      </c>
      <c r="I2">
        <f>BDH("CSCO US Equity","BS_LT_BORROW","1993-06-18","2026-05-02","Per=Y","Days=T","Dir=V")</f>
        <v>0</v>
      </c>
      <c r="K2">
        <f>BDH("CSCO US Equity","BS_CASH_NEAR_CASH_ITEM","1993-06-18","2026-05-02","Per=Y","Days=T","Dir=V")</f>
        <v>0</v>
      </c>
      <c r="M2">
        <f>BDH("CSCO US Equity","BS_CUR_ASSET_REPORT","1993-06-18","2026-05-02","Per=Y","Days=T","Dir=V")</f>
        <v>0</v>
      </c>
      <c r="O2">
        <f>BDH("CSCO US Equity","BS_CUR_LIAB","1993-06-18","2026-05-02","Per=Y","Days=T","Dir=V")</f>
        <v>0</v>
      </c>
      <c r="Q2">
        <f>BDH("CSCO US Equity","BS_SHAREHOLDER_EQY_ENDING_PERIOD","1993-06-18","2026-05-02","Per=Y","Days=T","Dir=V")</f>
        <v>0</v>
      </c>
      <c r="S2">
        <f>BDH("CSCO US Equity","BS_ACCT_NOTE_RCV","1993-06-18","2026-05-02","Per=Y","Days=T","Dir=V")</f>
        <v>0</v>
      </c>
      <c r="U2">
        <f>BDH("CSCO US Equity","BS_INVENTORIES","1993-06-18","2026-05-02","Per=Y","Days=T","Dir=V")</f>
        <v>0</v>
      </c>
      <c r="W2">
        <f>BDH("CSCO US Equity","WORKING_CAPITAL","1993-06-18","2026-05-02","Per=Y","Days=T","Dir=V")</f>
        <v>0</v>
      </c>
      <c r="Y2">
        <f>BDH("CSCO US Equity","SALES_REV_TURN","1993-06-18","2026-05-02","Per=Y","Days=T","Dir=V")</f>
        <v>0</v>
      </c>
      <c r="AA2">
        <f>BDH("CSCO US Equity","EBIT","1993-06-18","2026-05-02","Per=Y","Days=T","Dir=V")</f>
        <v>0</v>
      </c>
      <c r="AC2">
        <f>BDH("CSCO US Equity","EBITDA","1993-06-18","2026-05-02","Per=Y","Days=T","Dir=V")</f>
        <v>0</v>
      </c>
      <c r="AE2">
        <f>BDH("CSCO US Equity","NET_INCOME","1993-06-18","2026-05-02","Per=Y","Days=T","Dir=V")</f>
        <v>0</v>
      </c>
      <c r="AG2">
        <f>BDH("CSCO US Equity","IS_INT_EXPENSE","1993-06-18","2026-05-02","Per=Y","Days=T","Dir=V")</f>
        <v>0</v>
      </c>
      <c r="AI2">
        <f>BDH("CSCO US Equity","IS_DEPR_EXP","1993-06-18","2026-05-02","Per=Y","Days=T","Dir=V")</f>
        <v>0</v>
      </c>
      <c r="AK2">
        <f>BDH("CSCO US Equity","CF_CASH_FROM_OPER","1993-06-18","2026-05-02","Per=Y","Days=T","Dir=V")</f>
        <v>0</v>
      </c>
      <c r="AM2">
        <f>BDH("CSCO US Equity","CAPITAL_EXPEND","1993-06-18","2026-05-02","Per=Y","Days=T","Dir=V")</f>
        <v>0</v>
      </c>
      <c r="AO2">
        <f>BDH("CSCO US Equity","CF_FREE_CASH_FLOW","1993-06-18","2026-05-02","Per=Y","Days=T","Dir=V")</f>
        <v>0</v>
      </c>
      <c r="AQ2">
        <f>BDH("CSCO US Equity","PX_LAST","1993-06-18","2026-05-02","Per=M","Days=T","Dir=V")</f>
        <v>0</v>
      </c>
      <c r="AS2">
        <f>BDH("CSCO US Equity","CUR_MKT_CAP","1993-06-18","2026-05-02","Per=M","Days=T","Dir=V")</f>
        <v>0</v>
      </c>
      <c r="AU2">
        <f>BDH("CSCO US Equity","EQY_SH_OUT","1993-06-18","2026-05-02","Per=M","Days=T","Dir=V")</f>
        <v>0</v>
      </c>
      <c r="AW2">
        <f>BDH("CSCO US Equity","PX_VOLUME","1993-06-18","2026-05-02","Per=M","Days=T","Dir=V")</f>
        <v>0</v>
      </c>
      <c r="AY2">
        <f>BDH("CSCO US Equity","TURNOVER","1993-06-18","2026-05-02","Per=M","Days=T","Dir=V")</f>
        <v>0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BDH("CSL US Equity","BS_TOT_ASSET","1993-06-18","2026-05-02","Per=Y","Days=T","Dir=V")</f>
        <v>0</v>
      </c>
      <c r="C2">
        <f>BDH("CSL US Equity","BS_TOT_LIAB2","1993-06-18","2026-05-02","Per=Y","Days=T","Dir=V")</f>
        <v>0</v>
      </c>
      <c r="E2">
        <f>BDH("CSL US Equity","SHORT_AND_LONG_TERM_DEBT","1993-06-18","2026-05-02","Per=Y","Days=T","Dir=V")</f>
        <v>0</v>
      </c>
      <c r="G2">
        <f>BDH("CSL US Equity","BS_ST_BORROW","1993-06-18","2026-05-02","Per=Y","Days=T","Dir=V")</f>
        <v>0</v>
      </c>
      <c r="I2">
        <f>BDH("CSL US Equity","BS_LT_BORROW","1993-06-18","2026-05-02","Per=Y","Days=T","Dir=V")</f>
        <v>0</v>
      </c>
      <c r="K2">
        <f>BDH("CSL US Equity","BS_CASH_NEAR_CASH_ITEM","1993-06-18","2026-05-02","Per=Y","Days=T","Dir=V")</f>
        <v>0</v>
      </c>
      <c r="M2">
        <f>BDH("CSL US Equity","BS_CUR_ASSET_REPORT","1993-06-18","2026-05-02","Per=Y","Days=T","Dir=V")</f>
        <v>0</v>
      </c>
      <c r="O2">
        <f>BDH("CSL US Equity","BS_CUR_LIAB","1993-06-18","2026-05-02","Per=Y","Days=T","Dir=V")</f>
        <v>0</v>
      </c>
      <c r="Q2">
        <f>BDH("CSL US Equity","BS_SHAREHOLDER_EQY_ENDING_PERIOD","1993-06-18","2026-05-02","Per=Y","Days=T","Dir=V")</f>
        <v>0</v>
      </c>
      <c r="S2">
        <f>BDH("CSL US Equity","BS_ACCT_NOTE_RCV","1993-06-18","2026-05-02","Per=Y","Days=T","Dir=V")</f>
        <v>0</v>
      </c>
      <c r="U2">
        <f>BDH("CSL US Equity","BS_INVENTORIES","1993-06-18","2026-05-02","Per=Y","Days=T","Dir=V")</f>
        <v>0</v>
      </c>
      <c r="W2">
        <f>BDH("CSL US Equity","WORKING_CAPITAL","1993-06-18","2026-05-02","Per=Y","Days=T","Dir=V")</f>
        <v>0</v>
      </c>
      <c r="Y2">
        <f>BDH("CSL US Equity","SALES_REV_TURN","1993-06-18","2026-05-02","Per=Y","Days=T","Dir=V")</f>
        <v>0</v>
      </c>
      <c r="AA2">
        <f>BDH("CSL US Equity","EBIT","1993-06-18","2026-05-02","Per=Y","Days=T","Dir=V")</f>
        <v>0</v>
      </c>
      <c r="AC2">
        <f>BDH("CSL US Equity","EBITDA","1993-06-18","2026-05-02","Per=Y","Days=T","Dir=V")</f>
        <v>0</v>
      </c>
      <c r="AE2">
        <f>BDH("CSL US Equity","NET_INCOME","1993-06-18","2026-05-02","Per=Y","Days=T","Dir=V")</f>
        <v>0</v>
      </c>
      <c r="AG2">
        <f>BDH("CSL US Equity","IS_INT_EXPENSE","1993-06-18","2026-05-02","Per=Y","Days=T","Dir=V")</f>
        <v>0</v>
      </c>
      <c r="AI2">
        <f>BDH("CSL US Equity","IS_DEPR_EXP","1993-06-18","2026-05-02","Per=Y","Days=T","Dir=V")</f>
        <v>0</v>
      </c>
      <c r="AK2">
        <f>BDH("CSL US Equity","CF_CASH_FROM_OPER","1993-06-18","2026-05-02","Per=Y","Days=T","Dir=V")</f>
        <v>0</v>
      </c>
      <c r="AM2">
        <f>BDH("CSL US Equity","CAPITAL_EXPEND","1993-06-18","2026-05-02","Per=Y","Days=T","Dir=V")</f>
        <v>0</v>
      </c>
      <c r="AO2">
        <f>BDH("CSL US Equity","CF_FREE_CASH_FLOW","1993-06-18","2026-05-02","Per=Y","Days=T","Dir=V")</f>
        <v>0</v>
      </c>
      <c r="AQ2">
        <f>BDH("CSL US Equity","PX_LAST","1993-06-18","2026-05-02","Per=M","Days=T","Dir=V")</f>
        <v>0</v>
      </c>
      <c r="AS2">
        <f>BDH("CSL US Equity","CUR_MKT_CAP","1993-06-18","2026-05-02","Per=M","Days=T","Dir=V")</f>
        <v>0</v>
      </c>
      <c r="AU2">
        <f>BDH("CSL US Equity","EQY_SH_OUT","1993-06-18","2026-05-02","Per=M","Days=T","Dir=V")</f>
        <v>0</v>
      </c>
      <c r="AW2">
        <f>BDH("CSL US Equity","PX_VOLUME","1993-06-18","2026-05-02","Per=M","Days=T","Dir=V")</f>
        <v>0</v>
      </c>
      <c r="AY2">
        <f>BDH("CSL US Equity","TURNOVER","1993-06-18","2026-05-02","Per=M","Days=T","Dir=V")</f>
        <v>0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BDH("CSPI US Equity","BS_TOT_ASSET","1993-06-18","2026-05-02","Per=Y","Days=T","Dir=V")</f>
        <v>0</v>
      </c>
      <c r="C2">
        <f>BDH("CSPI US Equity","BS_TOT_LIAB2","1993-06-18","2026-05-02","Per=Y","Days=T","Dir=V")</f>
        <v>0</v>
      </c>
      <c r="E2">
        <f>BDH("CSPI US Equity","SHORT_AND_LONG_TERM_DEBT","1993-06-18","2026-05-02","Per=Y","Days=T","Dir=V")</f>
        <v>0</v>
      </c>
      <c r="G2">
        <f>BDH("CSPI US Equity","BS_ST_BORROW","1993-06-18","2026-05-02","Per=Y","Days=T","Dir=V")</f>
        <v>0</v>
      </c>
      <c r="I2">
        <f>BDH("CSPI US Equity","BS_LT_BORROW","1993-06-18","2026-05-02","Per=Y","Days=T","Dir=V")</f>
        <v>0</v>
      </c>
      <c r="K2">
        <f>BDH("CSPI US Equity","BS_CASH_NEAR_CASH_ITEM","1993-06-18","2026-05-02","Per=Y","Days=T","Dir=V")</f>
        <v>0</v>
      </c>
      <c r="M2">
        <f>BDH("CSPI US Equity","BS_CUR_ASSET_REPORT","1993-06-18","2026-05-02","Per=Y","Days=T","Dir=V")</f>
        <v>0</v>
      </c>
      <c r="O2">
        <f>BDH("CSPI US Equity","BS_CUR_LIAB","1993-06-18","2026-05-02","Per=Y","Days=T","Dir=V")</f>
        <v>0</v>
      </c>
      <c r="Q2">
        <f>BDH("CSPI US Equity","BS_SHAREHOLDER_EQY_ENDING_PERIOD","1993-06-18","2026-05-02","Per=Y","Days=T","Dir=V")</f>
        <v>0</v>
      </c>
      <c r="S2">
        <f>BDH("CSPI US Equity","BS_ACCT_NOTE_RCV","1993-06-18","2026-05-02","Per=Y","Days=T","Dir=V")</f>
        <v>0</v>
      </c>
      <c r="U2">
        <f>BDH("CSPI US Equity","BS_INVENTORIES","1993-06-18","2026-05-02","Per=Y","Days=T","Dir=V")</f>
        <v>0</v>
      </c>
      <c r="W2">
        <f>BDH("CSPI US Equity","WORKING_CAPITAL","1993-06-18","2026-05-02","Per=Y","Days=T","Dir=V")</f>
        <v>0</v>
      </c>
      <c r="Y2">
        <f>BDH("CSPI US Equity","SALES_REV_TURN","1993-06-18","2026-05-02","Per=Y","Days=T","Dir=V")</f>
        <v>0</v>
      </c>
      <c r="AA2">
        <f>BDH("CSPI US Equity","EBIT","1993-06-18","2026-05-02","Per=Y","Days=T","Dir=V")</f>
        <v>0</v>
      </c>
      <c r="AC2">
        <f>BDH("CSPI US Equity","EBITDA","1993-06-18","2026-05-02","Per=Y","Days=T","Dir=V")</f>
        <v>0</v>
      </c>
      <c r="AE2">
        <f>BDH("CSPI US Equity","NET_INCOME","1993-06-18","2026-05-02","Per=Y","Days=T","Dir=V")</f>
        <v>0</v>
      </c>
      <c r="AG2">
        <f>BDH("CSPI US Equity","IS_INT_EXPENSE","1993-06-18","2026-05-02","Per=Y","Days=T","Dir=V")</f>
        <v>0</v>
      </c>
      <c r="AI2">
        <f>BDH("CSPI US Equity","IS_DEPR_EXP","1993-06-18","2026-05-02","Per=Y","Days=T","Dir=V")</f>
        <v>0</v>
      </c>
      <c r="AK2">
        <f>BDH("CSPI US Equity","CF_CASH_FROM_OPER","1993-06-18","2026-05-02","Per=Y","Days=T","Dir=V")</f>
        <v>0</v>
      </c>
      <c r="AM2">
        <f>BDH("CSPI US Equity","CAPITAL_EXPEND","1993-06-18","2026-05-02","Per=Y","Days=T","Dir=V")</f>
        <v>0</v>
      </c>
      <c r="AO2">
        <f>BDH("CSPI US Equity","CF_FREE_CASH_FLOW","1993-06-18","2026-05-02","Per=Y","Days=T","Dir=V")</f>
        <v>0</v>
      </c>
      <c r="AQ2">
        <f>BDH("CSPI US Equity","PX_LAST","1993-06-18","2026-05-02","Per=M","Days=T","Dir=V")</f>
        <v>0</v>
      </c>
      <c r="AS2">
        <f>BDH("CSPI US Equity","CUR_MKT_CAP","1993-06-18","2026-05-02","Per=M","Days=T","Dir=V")</f>
        <v>0</v>
      </c>
      <c r="AU2">
        <f>BDH("CSPI US Equity","EQY_SH_OUT","1993-06-18","2026-05-02","Per=M","Days=T","Dir=V")</f>
        <v>0</v>
      </c>
      <c r="AW2">
        <f>BDH("CSPI US Equity","PX_VOLUME","1993-06-18","2026-05-02","Per=M","Days=T","Dir=V")</f>
        <v>0</v>
      </c>
      <c r="AY2">
        <f>BDH("CSPI US Equity","TURNOVER","1993-06-18","2026-05-02","Per=M","Days=T","Dir=V")</f>
        <v>0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BDH("CSTL US Equity","BS_TOT_ASSET","1993-06-18","2026-05-02","Per=Y","Days=T","Dir=V")</f>
        <v>0</v>
      </c>
      <c r="C2">
        <f>BDH("CSTL US Equity","BS_TOT_LIAB2","1993-06-18","2026-05-02","Per=Y","Days=T","Dir=V")</f>
        <v>0</v>
      </c>
      <c r="E2">
        <f>BDH("CSTL US Equity","SHORT_AND_LONG_TERM_DEBT","1993-06-18","2026-05-02","Per=Y","Days=T","Dir=V")</f>
        <v>0</v>
      </c>
      <c r="G2">
        <f>BDH("CSTL US Equity","BS_ST_BORROW","1993-06-18","2026-05-02","Per=Y","Days=T","Dir=V")</f>
        <v>0</v>
      </c>
      <c r="I2">
        <f>BDH("CSTL US Equity","BS_LT_BORROW","1993-06-18","2026-05-02","Per=Y","Days=T","Dir=V")</f>
        <v>0</v>
      </c>
      <c r="K2">
        <f>BDH("CSTL US Equity","BS_CASH_NEAR_CASH_ITEM","1993-06-18","2026-05-02","Per=Y","Days=T","Dir=V")</f>
        <v>0</v>
      </c>
      <c r="M2">
        <f>BDH("CSTL US Equity","BS_CUR_ASSET_REPORT","1993-06-18","2026-05-02","Per=Y","Days=T","Dir=V")</f>
        <v>0</v>
      </c>
      <c r="O2">
        <f>BDH("CSTL US Equity","BS_CUR_LIAB","1993-06-18","2026-05-02","Per=Y","Days=T","Dir=V")</f>
        <v>0</v>
      </c>
      <c r="Q2">
        <f>BDH("CSTL US Equity","BS_SHAREHOLDER_EQY_ENDING_PERIOD","1993-06-18","2026-05-02","Per=Y","Days=T","Dir=V")</f>
        <v>0</v>
      </c>
      <c r="S2">
        <f>BDH("CSTL US Equity","BS_ACCT_NOTE_RCV","1993-06-18","2026-05-02","Per=Y","Days=T","Dir=V")</f>
        <v>0</v>
      </c>
      <c r="U2">
        <f>BDH("CSTL US Equity","BS_INVENTORIES","1993-06-18","2026-05-02","Per=Y","Days=T","Dir=V")</f>
        <v>0</v>
      </c>
      <c r="W2">
        <f>BDH("CSTL US Equity","WORKING_CAPITAL","1993-06-18","2026-05-02","Per=Y","Days=T","Dir=V")</f>
        <v>0</v>
      </c>
      <c r="Y2">
        <f>BDH("CSTL US Equity","SALES_REV_TURN","1993-06-18","2026-05-02","Per=Y","Days=T","Dir=V")</f>
        <v>0</v>
      </c>
      <c r="AA2">
        <f>BDH("CSTL US Equity","EBIT","1993-06-18","2026-05-02","Per=Y","Days=T","Dir=V")</f>
        <v>0</v>
      </c>
      <c r="AC2">
        <f>BDH("CSTL US Equity","EBITDA","1993-06-18","2026-05-02","Per=Y","Days=T","Dir=V")</f>
        <v>0</v>
      </c>
      <c r="AE2">
        <f>BDH("CSTL US Equity","NET_INCOME","1993-06-18","2026-05-02","Per=Y","Days=T","Dir=V")</f>
        <v>0</v>
      </c>
      <c r="AG2">
        <f>BDH("CSTL US Equity","IS_INT_EXPENSE","1993-06-18","2026-05-02","Per=Y","Days=T","Dir=V")</f>
        <v>0</v>
      </c>
      <c r="AI2">
        <f>BDH("CSTL US Equity","IS_DEPR_EXP","1993-06-18","2026-05-02","Per=Y","Days=T","Dir=V")</f>
        <v>0</v>
      </c>
      <c r="AK2">
        <f>BDH("CSTL US Equity","CF_CASH_FROM_OPER","1993-06-18","2026-05-02","Per=Y","Days=T","Dir=V")</f>
        <v>0</v>
      </c>
      <c r="AM2">
        <f>BDH("CSTL US Equity","CAPITAL_EXPEND","1993-06-18","2026-05-02","Per=Y","Days=T","Dir=V")</f>
        <v>0</v>
      </c>
      <c r="AO2">
        <f>BDH("CSTL US Equity","CF_FREE_CASH_FLOW","1993-06-18","2026-05-02","Per=Y","Days=T","Dir=V")</f>
        <v>0</v>
      </c>
      <c r="AQ2">
        <f>BDH("CSTL US Equity","PX_LAST","1993-06-18","2026-05-02","Per=M","Days=T","Dir=V")</f>
        <v>0</v>
      </c>
      <c r="AS2">
        <f>BDH("CSTL US Equity","CUR_MKT_CAP","1993-06-18","2026-05-02","Per=M","Days=T","Dir=V")</f>
        <v>0</v>
      </c>
      <c r="AU2">
        <f>BDH("CSTL US Equity","EQY_SH_OUT","1993-06-18","2026-05-02","Per=M","Days=T","Dir=V")</f>
        <v>0</v>
      </c>
      <c r="AW2">
        <f>BDH("CSTL US Equity","PX_VOLUME","1993-06-18","2026-05-02","Per=M","Days=T","Dir=V")</f>
        <v>0</v>
      </c>
      <c r="AY2">
        <f>BDH("CSTL US Equity","TURNOVER","1993-06-18","2026-05-02","Per=M","Days=T","Dir=V")</f>
        <v>0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BDH("CSV US Equity","BS_TOT_ASSET","1993-06-18","2026-05-02","Per=Y","Days=T","Dir=V")</f>
        <v>0</v>
      </c>
      <c r="C2">
        <f>BDH("CSV US Equity","BS_TOT_LIAB2","1993-06-18","2026-05-02","Per=Y","Days=T","Dir=V")</f>
        <v>0</v>
      </c>
      <c r="E2">
        <f>BDH("CSV US Equity","SHORT_AND_LONG_TERM_DEBT","1993-06-18","2026-05-02","Per=Y","Days=T","Dir=V")</f>
        <v>0</v>
      </c>
      <c r="G2">
        <f>BDH("CSV US Equity","BS_ST_BORROW","1993-06-18","2026-05-02","Per=Y","Days=T","Dir=V")</f>
        <v>0</v>
      </c>
      <c r="I2">
        <f>BDH("CSV US Equity","BS_LT_BORROW","1993-06-18","2026-05-02","Per=Y","Days=T","Dir=V")</f>
        <v>0</v>
      </c>
      <c r="K2">
        <f>BDH("CSV US Equity","BS_CASH_NEAR_CASH_ITEM","1993-06-18","2026-05-02","Per=Y","Days=T","Dir=V")</f>
        <v>0</v>
      </c>
      <c r="M2">
        <f>BDH("CSV US Equity","BS_CUR_ASSET_REPORT","1993-06-18","2026-05-02","Per=Y","Days=T","Dir=V")</f>
        <v>0</v>
      </c>
      <c r="O2">
        <f>BDH("CSV US Equity","BS_CUR_LIAB","1993-06-18","2026-05-02","Per=Y","Days=T","Dir=V")</f>
        <v>0</v>
      </c>
      <c r="Q2">
        <f>BDH("CSV US Equity","BS_SHAREHOLDER_EQY_ENDING_PERIOD","1993-06-18","2026-05-02","Per=Y","Days=T","Dir=V")</f>
        <v>0</v>
      </c>
      <c r="S2">
        <f>BDH("CSV US Equity","BS_ACCT_NOTE_RCV","1993-06-18","2026-05-02","Per=Y","Days=T","Dir=V")</f>
        <v>0</v>
      </c>
      <c r="U2">
        <f>BDH("CSV US Equity","BS_INVENTORIES","1993-06-18","2026-05-02","Per=Y","Days=T","Dir=V")</f>
        <v>0</v>
      </c>
      <c r="W2">
        <f>BDH("CSV US Equity","WORKING_CAPITAL","1993-06-18","2026-05-02","Per=Y","Days=T","Dir=V")</f>
        <v>0</v>
      </c>
      <c r="Y2">
        <f>BDH("CSV US Equity","SALES_REV_TURN","1993-06-18","2026-05-02","Per=Y","Days=T","Dir=V")</f>
        <v>0</v>
      </c>
      <c r="AA2">
        <f>BDH("CSV US Equity","EBIT","1993-06-18","2026-05-02","Per=Y","Days=T","Dir=V")</f>
        <v>0</v>
      </c>
      <c r="AC2">
        <f>BDH("CSV US Equity","EBITDA","1993-06-18","2026-05-02","Per=Y","Days=T","Dir=V")</f>
        <v>0</v>
      </c>
      <c r="AE2">
        <f>BDH("CSV US Equity","NET_INCOME","1993-06-18","2026-05-02","Per=Y","Days=T","Dir=V")</f>
        <v>0</v>
      </c>
      <c r="AG2">
        <f>BDH("CSV US Equity","IS_INT_EXPENSE","1993-06-18","2026-05-02","Per=Y","Days=T","Dir=V")</f>
        <v>0</v>
      </c>
      <c r="AI2">
        <f>BDH("CSV US Equity","IS_DEPR_EXP","1993-06-18","2026-05-02","Per=Y","Days=T","Dir=V")</f>
        <v>0</v>
      </c>
      <c r="AK2">
        <f>BDH("CSV US Equity","CF_CASH_FROM_OPER","1993-06-18","2026-05-02","Per=Y","Days=T","Dir=V")</f>
        <v>0</v>
      </c>
      <c r="AM2">
        <f>BDH("CSV US Equity","CAPITAL_EXPEND","1993-06-18","2026-05-02","Per=Y","Days=T","Dir=V")</f>
        <v>0</v>
      </c>
      <c r="AO2">
        <f>BDH("CSV US Equity","CF_FREE_CASH_FLOW","1993-06-18","2026-05-02","Per=Y","Days=T","Dir=V")</f>
        <v>0</v>
      </c>
      <c r="AQ2">
        <f>BDH("CSV US Equity","PX_LAST","1993-06-18","2026-05-02","Per=M","Days=T","Dir=V")</f>
        <v>0</v>
      </c>
      <c r="AS2">
        <f>BDH("CSV US Equity","CUR_MKT_CAP","1993-06-18","2026-05-02","Per=M","Days=T","Dir=V")</f>
        <v>0</v>
      </c>
      <c r="AU2">
        <f>BDH("CSV US Equity","EQY_SH_OUT","1993-06-18","2026-05-02","Per=M","Days=T","Dir=V")</f>
        <v>0</v>
      </c>
      <c r="AW2">
        <f>BDH("CSV US Equity","PX_VOLUME","1993-06-18","2026-05-02","Per=M","Days=T","Dir=V")</f>
        <v>0</v>
      </c>
      <c r="AY2">
        <f>BDH("CSV US Equity","TURNOVER","1993-06-18","2026-05-02","Per=M","Days=T","Dir=V")</f>
        <v>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BDH("CSW US Equity","BS_TOT_ASSET","1993-06-18","2026-05-02","Per=Y","Days=T","Dir=V")</f>
        <v>0</v>
      </c>
      <c r="C2">
        <f>BDH("CSW US Equity","BS_TOT_LIAB2","1993-06-18","2026-05-02","Per=Y","Days=T","Dir=V")</f>
        <v>0</v>
      </c>
      <c r="E2">
        <f>BDH("CSW US Equity","SHORT_AND_LONG_TERM_DEBT","1993-06-18","2026-05-02","Per=Y","Days=T","Dir=V")</f>
        <v>0</v>
      </c>
      <c r="G2">
        <f>BDH("CSW US Equity","BS_ST_BORROW","1993-06-18","2026-05-02","Per=Y","Days=T","Dir=V")</f>
        <v>0</v>
      </c>
      <c r="I2">
        <f>BDH("CSW US Equity","BS_LT_BORROW","1993-06-18","2026-05-02","Per=Y","Days=T","Dir=V")</f>
        <v>0</v>
      </c>
      <c r="K2">
        <f>BDH("CSW US Equity","BS_CASH_NEAR_CASH_ITEM","1993-06-18","2026-05-02","Per=Y","Days=T","Dir=V")</f>
        <v>0</v>
      </c>
      <c r="M2">
        <f>BDH("CSW US Equity","BS_CUR_ASSET_REPORT","1993-06-18","2026-05-02","Per=Y","Days=T","Dir=V")</f>
        <v>0</v>
      </c>
      <c r="O2">
        <f>BDH("CSW US Equity","BS_CUR_LIAB","1993-06-18","2026-05-02","Per=Y","Days=T","Dir=V")</f>
        <v>0</v>
      </c>
      <c r="Q2">
        <f>BDH("CSW US Equity","BS_SHAREHOLDER_EQY_ENDING_PERIOD","1993-06-18","2026-05-02","Per=Y","Days=T","Dir=V")</f>
        <v>0</v>
      </c>
      <c r="S2">
        <f>BDH("CSW US Equity","BS_ACCT_NOTE_RCV","1993-06-18","2026-05-02","Per=Y","Days=T","Dir=V")</f>
        <v>0</v>
      </c>
      <c r="U2">
        <f>BDH("CSW US Equity","BS_INVENTORIES","1993-06-18","2026-05-02","Per=Y","Days=T","Dir=V")</f>
        <v>0</v>
      </c>
      <c r="W2">
        <f>BDH("CSW US Equity","WORKING_CAPITAL","1993-06-18","2026-05-02","Per=Y","Days=T","Dir=V")</f>
        <v>0</v>
      </c>
      <c r="Y2">
        <f>BDH("CSW US Equity","SALES_REV_TURN","1993-06-18","2026-05-02","Per=Y","Days=T","Dir=V")</f>
        <v>0</v>
      </c>
      <c r="AA2">
        <f>BDH("CSW US Equity","EBIT","1993-06-18","2026-05-02","Per=Y","Days=T","Dir=V")</f>
        <v>0</v>
      </c>
      <c r="AC2">
        <f>BDH("CSW US Equity","EBITDA","1993-06-18","2026-05-02","Per=Y","Days=T","Dir=V")</f>
        <v>0</v>
      </c>
      <c r="AE2">
        <f>BDH("CSW US Equity","NET_INCOME","1993-06-18","2026-05-02","Per=Y","Days=T","Dir=V")</f>
        <v>0</v>
      </c>
      <c r="AG2">
        <f>BDH("CSW US Equity","IS_INT_EXPENSE","1993-06-18","2026-05-02","Per=Y","Days=T","Dir=V")</f>
        <v>0</v>
      </c>
      <c r="AI2">
        <f>BDH("CSW US Equity","IS_DEPR_EXP","1993-06-18","2026-05-02","Per=Y","Days=T","Dir=V")</f>
        <v>0</v>
      </c>
      <c r="AK2">
        <f>BDH("CSW US Equity","CF_CASH_FROM_OPER","1993-06-18","2026-05-02","Per=Y","Days=T","Dir=V")</f>
        <v>0</v>
      </c>
      <c r="AM2">
        <f>BDH("CSW US Equity","CAPITAL_EXPEND","1993-06-18","2026-05-02","Per=Y","Days=T","Dir=V")</f>
        <v>0</v>
      </c>
      <c r="AO2">
        <f>BDH("CSW US Equity","CF_FREE_CASH_FLOW","1993-06-18","2026-05-02","Per=Y","Days=T","Dir=V")</f>
        <v>0</v>
      </c>
      <c r="AQ2">
        <f>BDH("CSW US Equity","PX_LAST","1993-06-18","2026-05-02","Per=M","Days=T","Dir=V")</f>
        <v>0</v>
      </c>
      <c r="AS2">
        <f>BDH("CSW US Equity","CUR_MKT_CAP","1993-06-18","2026-05-02","Per=M","Days=T","Dir=V")</f>
        <v>0</v>
      </c>
      <c r="AU2">
        <f>BDH("CSW US Equity","EQY_SH_OUT","1993-06-18","2026-05-02","Per=M","Days=T","Dir=V")</f>
        <v>0</v>
      </c>
      <c r="AW2">
        <f>BDH("CSW US Equity","PX_VOLUME","1993-06-18","2026-05-02","Per=M","Days=T","Dir=V")</f>
        <v>0</v>
      </c>
      <c r="AY2">
        <f>BDH("CSW US Equity","TURNOVER","1993-06-18","2026-05-02","Per=M","Days=T","Dir=V")</f>
        <v>0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BDH("CSWC US Equity","BS_TOT_ASSET","1993-06-18","2026-05-02","Per=Y","Days=T","Dir=V")</f>
        <v>0</v>
      </c>
      <c r="C2">
        <f>BDH("CSWC US Equity","BS_TOT_LIAB2","1993-06-18","2026-05-02","Per=Y","Days=T","Dir=V")</f>
        <v>0</v>
      </c>
      <c r="E2">
        <f>BDH("CSWC US Equity","SHORT_AND_LONG_TERM_DEBT","1993-06-18","2026-05-02","Per=Y","Days=T","Dir=V")</f>
        <v>0</v>
      </c>
      <c r="G2">
        <f>BDH("CSWC US Equity","BS_ST_BORROW","1993-06-18","2026-05-02","Per=Y","Days=T","Dir=V")</f>
        <v>0</v>
      </c>
      <c r="I2">
        <f>BDH("CSWC US Equity","BS_LT_BORROW","1993-06-18","2026-05-02","Per=Y","Days=T","Dir=V")</f>
        <v>0</v>
      </c>
      <c r="K2">
        <f>BDH("CSWC US Equity","BS_CASH_NEAR_CASH_ITEM","1993-06-18","2026-05-02","Per=Y","Days=T","Dir=V")</f>
        <v>0</v>
      </c>
      <c r="M2">
        <f>BDH("CSWC US Equity","BS_CUR_ASSET_REPORT","1993-06-18","2026-05-02","Per=Y","Days=T","Dir=V")</f>
        <v>0</v>
      </c>
      <c r="O2">
        <f>BDH("CSWC US Equity","BS_CUR_LIAB","1993-06-18","2026-05-02","Per=Y","Days=T","Dir=V")</f>
        <v>0</v>
      </c>
      <c r="Q2">
        <f>BDH("CSWC US Equity","BS_SHAREHOLDER_EQY_ENDING_PERIOD","1993-06-18","2026-05-02","Per=Y","Days=T","Dir=V")</f>
        <v>0</v>
      </c>
      <c r="S2">
        <f>BDH("CSWC US Equity","BS_ACCT_NOTE_RCV","1993-06-18","2026-05-02","Per=Y","Days=T","Dir=V")</f>
        <v>0</v>
      </c>
      <c r="U2">
        <f>BDH("CSWC US Equity","BS_INVENTORIES","1993-06-18","2026-05-02","Per=Y","Days=T","Dir=V")</f>
        <v>0</v>
      </c>
      <c r="W2">
        <f>BDH("CSWC US Equity","WORKING_CAPITAL","1993-06-18","2026-05-02","Per=Y","Days=T","Dir=V")</f>
        <v>0</v>
      </c>
      <c r="Y2">
        <f>BDH("CSWC US Equity","SALES_REV_TURN","1993-06-18","2026-05-02","Per=Y","Days=T","Dir=V")</f>
        <v>0</v>
      </c>
      <c r="AA2">
        <f>BDH("CSWC US Equity","EBIT","1993-06-18","2026-05-02","Per=Y","Days=T","Dir=V")</f>
        <v>0</v>
      </c>
      <c r="AC2">
        <f>BDH("CSWC US Equity","EBITDA","1993-06-18","2026-05-02","Per=Y","Days=T","Dir=V")</f>
        <v>0</v>
      </c>
      <c r="AE2">
        <f>BDH("CSWC US Equity","NET_INCOME","1993-06-18","2026-05-02","Per=Y","Days=T","Dir=V")</f>
        <v>0</v>
      </c>
      <c r="AG2">
        <f>BDH("CSWC US Equity","IS_INT_EXPENSE","1993-06-18","2026-05-02","Per=Y","Days=T","Dir=V")</f>
        <v>0</v>
      </c>
      <c r="AI2">
        <f>BDH("CSWC US Equity","IS_DEPR_EXP","1993-06-18","2026-05-02","Per=Y","Days=T","Dir=V")</f>
        <v>0</v>
      </c>
      <c r="AK2">
        <f>BDH("CSWC US Equity","CF_CASH_FROM_OPER","1993-06-18","2026-05-02","Per=Y","Days=T","Dir=V")</f>
        <v>0</v>
      </c>
      <c r="AM2">
        <f>BDH("CSWC US Equity","CAPITAL_EXPEND","1993-06-18","2026-05-02","Per=Y","Days=T","Dir=V")</f>
        <v>0</v>
      </c>
      <c r="AO2">
        <f>BDH("CSWC US Equity","CF_FREE_CASH_FLOW","1993-06-18","2026-05-02","Per=Y","Days=T","Dir=V")</f>
        <v>0</v>
      </c>
      <c r="AQ2">
        <f>BDH("CSWC US Equity","PX_LAST","1993-06-18","2026-05-02","Per=M","Days=T","Dir=V")</f>
        <v>0</v>
      </c>
      <c r="AS2">
        <f>BDH("CSWC US Equity","CUR_MKT_CAP","1993-06-18","2026-05-02","Per=M","Days=T","Dir=V")</f>
        <v>0</v>
      </c>
      <c r="AU2">
        <f>BDH("CSWC US Equity","EQY_SH_OUT","1993-06-18","2026-05-02","Per=M","Days=T","Dir=V")</f>
        <v>0</v>
      </c>
      <c r="AW2">
        <f>BDH("CSWC US Equity","PX_VOLUME","1993-06-18","2026-05-02","Per=M","Days=T","Dir=V")</f>
        <v>0</v>
      </c>
      <c r="AY2">
        <f>BDH("CSWC US Equity","TURNOVER","1993-06-18","2026-05-02","Per=M","Days=T","Dir=V")</f>
        <v>0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BDH("CSX US Equity","BS_TOT_ASSET","1993-06-18","2026-05-02","Per=Y","Days=T","Dir=V")</f>
        <v>0</v>
      </c>
      <c r="C2">
        <f>BDH("CSX US Equity","BS_TOT_LIAB2","1993-06-18","2026-05-02","Per=Y","Days=T","Dir=V")</f>
        <v>0</v>
      </c>
      <c r="E2">
        <f>BDH("CSX US Equity","SHORT_AND_LONG_TERM_DEBT","1993-06-18","2026-05-02","Per=Y","Days=T","Dir=V")</f>
        <v>0</v>
      </c>
      <c r="G2">
        <f>BDH("CSX US Equity","BS_ST_BORROW","1993-06-18","2026-05-02","Per=Y","Days=T","Dir=V")</f>
        <v>0</v>
      </c>
      <c r="I2">
        <f>BDH("CSX US Equity","BS_LT_BORROW","1993-06-18","2026-05-02","Per=Y","Days=T","Dir=V")</f>
        <v>0</v>
      </c>
      <c r="K2">
        <f>BDH("CSX US Equity","BS_CASH_NEAR_CASH_ITEM","1993-06-18","2026-05-02","Per=Y","Days=T","Dir=V")</f>
        <v>0</v>
      </c>
      <c r="M2">
        <f>BDH("CSX US Equity","BS_CUR_ASSET_REPORT","1993-06-18","2026-05-02","Per=Y","Days=T","Dir=V")</f>
        <v>0</v>
      </c>
      <c r="O2">
        <f>BDH("CSX US Equity","BS_CUR_LIAB","1993-06-18","2026-05-02","Per=Y","Days=T","Dir=V")</f>
        <v>0</v>
      </c>
      <c r="Q2">
        <f>BDH("CSX US Equity","BS_SHAREHOLDER_EQY_ENDING_PERIOD","1993-06-18","2026-05-02","Per=Y","Days=T","Dir=V")</f>
        <v>0</v>
      </c>
      <c r="S2">
        <f>BDH("CSX US Equity","BS_ACCT_NOTE_RCV","1993-06-18","2026-05-02","Per=Y","Days=T","Dir=V")</f>
        <v>0</v>
      </c>
      <c r="U2">
        <f>BDH("CSX US Equity","BS_INVENTORIES","1993-06-18","2026-05-02","Per=Y","Days=T","Dir=V")</f>
        <v>0</v>
      </c>
      <c r="W2">
        <f>BDH("CSX US Equity","WORKING_CAPITAL","1993-06-18","2026-05-02","Per=Y","Days=T","Dir=V")</f>
        <v>0</v>
      </c>
      <c r="Y2">
        <f>BDH("CSX US Equity","SALES_REV_TURN","1993-06-18","2026-05-02","Per=Y","Days=T","Dir=V")</f>
        <v>0</v>
      </c>
      <c r="AA2">
        <f>BDH("CSX US Equity","EBIT","1993-06-18","2026-05-02","Per=Y","Days=T","Dir=V")</f>
        <v>0</v>
      </c>
      <c r="AC2">
        <f>BDH("CSX US Equity","EBITDA","1993-06-18","2026-05-02","Per=Y","Days=T","Dir=V")</f>
        <v>0</v>
      </c>
      <c r="AE2">
        <f>BDH("CSX US Equity","NET_INCOME","1993-06-18","2026-05-02","Per=Y","Days=T","Dir=V")</f>
        <v>0</v>
      </c>
      <c r="AG2">
        <f>BDH("CSX US Equity","IS_INT_EXPENSE","1993-06-18","2026-05-02","Per=Y","Days=T","Dir=V")</f>
        <v>0</v>
      </c>
      <c r="AI2">
        <f>BDH("CSX US Equity","IS_DEPR_EXP","1993-06-18","2026-05-02","Per=Y","Days=T","Dir=V")</f>
        <v>0</v>
      </c>
      <c r="AK2">
        <f>BDH("CSX US Equity","CF_CASH_FROM_OPER","1993-06-18","2026-05-02","Per=Y","Days=T","Dir=V")</f>
        <v>0</v>
      </c>
      <c r="AM2">
        <f>BDH("CSX US Equity","CAPITAL_EXPEND","1993-06-18","2026-05-02","Per=Y","Days=T","Dir=V")</f>
        <v>0</v>
      </c>
      <c r="AO2">
        <f>BDH("CSX US Equity","CF_FREE_CASH_FLOW","1993-06-18","2026-05-02","Per=Y","Days=T","Dir=V")</f>
        <v>0</v>
      </c>
      <c r="AQ2">
        <f>BDH("CSX US Equity","PX_LAST","1993-06-18","2026-05-02","Per=M","Days=T","Dir=V")</f>
        <v>0</v>
      </c>
      <c r="AS2">
        <f>BDH("CSX US Equity","CUR_MKT_CAP","1993-06-18","2026-05-02","Per=M","Days=T","Dir=V")</f>
        <v>0</v>
      </c>
      <c r="AU2">
        <f>BDH("CSX US Equity","EQY_SH_OUT","1993-06-18","2026-05-02","Per=M","Days=T","Dir=V")</f>
        <v>0</v>
      </c>
      <c r="AW2">
        <f>BDH("CSX US Equity","PX_VOLUME","1993-06-18","2026-05-02","Per=M","Days=T","Dir=V")</f>
        <v>0</v>
      </c>
      <c r="AY2">
        <f>BDH("CSX US Equity","TURNOVER","1993-06-18","2026-05-02","Per=M","Days=T","Dir=V")</f>
        <v>0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BDH("CTAS US Equity","BS_TOT_ASSET","1993-06-18","2026-05-02","Per=Y","Days=T","Dir=V")</f>
        <v>0</v>
      </c>
      <c r="C2">
        <f>BDH("CTAS US Equity","BS_TOT_LIAB2","1993-06-18","2026-05-02","Per=Y","Days=T","Dir=V")</f>
        <v>0</v>
      </c>
      <c r="E2">
        <f>BDH("CTAS US Equity","SHORT_AND_LONG_TERM_DEBT","1993-06-18","2026-05-02","Per=Y","Days=T","Dir=V")</f>
        <v>0</v>
      </c>
      <c r="G2">
        <f>BDH("CTAS US Equity","BS_ST_BORROW","1993-06-18","2026-05-02","Per=Y","Days=T","Dir=V")</f>
        <v>0</v>
      </c>
      <c r="I2">
        <f>BDH("CTAS US Equity","BS_LT_BORROW","1993-06-18","2026-05-02","Per=Y","Days=T","Dir=V")</f>
        <v>0</v>
      </c>
      <c r="K2">
        <f>BDH("CTAS US Equity","BS_CASH_NEAR_CASH_ITEM","1993-06-18","2026-05-02","Per=Y","Days=T","Dir=V")</f>
        <v>0</v>
      </c>
      <c r="M2">
        <f>BDH("CTAS US Equity","BS_CUR_ASSET_REPORT","1993-06-18","2026-05-02","Per=Y","Days=T","Dir=V")</f>
        <v>0</v>
      </c>
      <c r="O2">
        <f>BDH("CTAS US Equity","BS_CUR_LIAB","1993-06-18","2026-05-02","Per=Y","Days=T","Dir=V")</f>
        <v>0</v>
      </c>
      <c r="Q2">
        <f>BDH("CTAS US Equity","BS_SHAREHOLDER_EQY_ENDING_PERIOD","1993-06-18","2026-05-02","Per=Y","Days=T","Dir=V")</f>
        <v>0</v>
      </c>
      <c r="S2">
        <f>BDH("CTAS US Equity","BS_ACCT_NOTE_RCV","1993-06-18","2026-05-02","Per=Y","Days=T","Dir=V")</f>
        <v>0</v>
      </c>
      <c r="U2">
        <f>BDH("CTAS US Equity","BS_INVENTORIES","1993-06-18","2026-05-02","Per=Y","Days=T","Dir=V")</f>
        <v>0</v>
      </c>
      <c r="W2">
        <f>BDH("CTAS US Equity","WORKING_CAPITAL","1993-06-18","2026-05-02","Per=Y","Days=T","Dir=V")</f>
        <v>0</v>
      </c>
      <c r="Y2">
        <f>BDH("CTAS US Equity","SALES_REV_TURN","1993-06-18","2026-05-02","Per=Y","Days=T","Dir=V")</f>
        <v>0</v>
      </c>
      <c r="AA2">
        <f>BDH("CTAS US Equity","EBIT","1993-06-18","2026-05-02","Per=Y","Days=T","Dir=V")</f>
        <v>0</v>
      </c>
      <c r="AC2">
        <f>BDH("CTAS US Equity","EBITDA","1993-06-18","2026-05-02","Per=Y","Days=T","Dir=V")</f>
        <v>0</v>
      </c>
      <c r="AE2">
        <f>BDH("CTAS US Equity","NET_INCOME","1993-06-18","2026-05-02","Per=Y","Days=T","Dir=V")</f>
        <v>0</v>
      </c>
      <c r="AG2">
        <f>BDH("CTAS US Equity","IS_INT_EXPENSE","1993-06-18","2026-05-02","Per=Y","Days=T","Dir=V")</f>
        <v>0</v>
      </c>
      <c r="AI2">
        <f>BDH("CTAS US Equity","IS_DEPR_EXP","1993-06-18","2026-05-02","Per=Y","Days=T","Dir=V")</f>
        <v>0</v>
      </c>
      <c r="AK2">
        <f>BDH("CTAS US Equity","CF_CASH_FROM_OPER","1993-06-18","2026-05-02","Per=Y","Days=T","Dir=V")</f>
        <v>0</v>
      </c>
      <c r="AM2">
        <f>BDH("CTAS US Equity","CAPITAL_EXPEND","1993-06-18","2026-05-02","Per=Y","Days=T","Dir=V")</f>
        <v>0</v>
      </c>
      <c r="AO2">
        <f>BDH("CTAS US Equity","CF_FREE_CASH_FLOW","1993-06-18","2026-05-02","Per=Y","Days=T","Dir=V")</f>
        <v>0</v>
      </c>
      <c r="AQ2">
        <f>BDH("CTAS US Equity","PX_LAST","1993-06-18","2026-05-02","Per=M","Days=T","Dir=V")</f>
        <v>0</v>
      </c>
      <c r="AS2">
        <f>BDH("CTAS US Equity","CUR_MKT_CAP","1993-06-18","2026-05-02","Per=M","Days=T","Dir=V")</f>
        <v>0</v>
      </c>
      <c r="AU2">
        <f>BDH("CTAS US Equity","EQY_SH_OUT","1993-06-18","2026-05-02","Per=M","Days=T","Dir=V")</f>
        <v>0</v>
      </c>
      <c r="AW2">
        <f>BDH("CTAS US Equity","PX_VOLUME","1993-06-18","2026-05-02","Per=M","Days=T","Dir=V")</f>
        <v>0</v>
      </c>
      <c r="AY2">
        <f>BDH("CTAS US Equity","TURNOVER","1993-06-18","2026-05-02","Per=M","Days=T","Dir=V")</f>
        <v>0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BDH("CTEV US Equity","BS_TOT_ASSET","1993-06-18","2026-05-02","Per=Y","Days=T","Dir=V")</f>
        <v>0</v>
      </c>
      <c r="C2">
        <f>BDH("CTEV US Equity","BS_TOT_LIAB2","1993-06-18","2026-05-02","Per=Y","Days=T","Dir=V")</f>
        <v>0</v>
      </c>
      <c r="E2">
        <f>BDH("CTEV US Equity","SHORT_AND_LONG_TERM_DEBT","1993-06-18","2026-05-02","Per=Y","Days=T","Dir=V")</f>
        <v>0</v>
      </c>
      <c r="G2">
        <f>BDH("CTEV US Equity","BS_ST_BORROW","1993-06-18","2026-05-02","Per=Y","Days=T","Dir=V")</f>
        <v>0</v>
      </c>
      <c r="I2">
        <f>BDH("CTEV US Equity","BS_LT_BORROW","1993-06-18","2026-05-02","Per=Y","Days=T","Dir=V")</f>
        <v>0</v>
      </c>
      <c r="K2">
        <f>BDH("CTEV US Equity","BS_CASH_NEAR_CASH_ITEM","1993-06-18","2026-05-02","Per=Y","Days=T","Dir=V")</f>
        <v>0</v>
      </c>
      <c r="M2">
        <f>BDH("CTEV US Equity","BS_CUR_ASSET_REPORT","1993-06-18","2026-05-02","Per=Y","Days=T","Dir=V")</f>
        <v>0</v>
      </c>
      <c r="O2">
        <f>BDH("CTEV US Equity","BS_CUR_LIAB","1993-06-18","2026-05-02","Per=Y","Days=T","Dir=V")</f>
        <v>0</v>
      </c>
      <c r="Q2">
        <f>BDH("CTEV US Equity","BS_SHAREHOLDER_EQY_ENDING_PERIOD","1993-06-18","2026-05-02","Per=Y","Days=T","Dir=V")</f>
        <v>0</v>
      </c>
      <c r="S2">
        <f>BDH("CTEV US Equity","BS_ACCT_NOTE_RCV","1993-06-18","2026-05-02","Per=Y","Days=T","Dir=V")</f>
        <v>0</v>
      </c>
      <c r="U2">
        <f>BDH("CTEV US Equity","BS_INVENTORIES","1993-06-18","2026-05-02","Per=Y","Days=T","Dir=V")</f>
        <v>0</v>
      </c>
      <c r="W2">
        <f>BDH("CTEV US Equity","WORKING_CAPITAL","1993-06-18","2026-05-02","Per=Y","Days=T","Dir=V")</f>
        <v>0</v>
      </c>
      <c r="Y2">
        <f>BDH("CTEV US Equity","SALES_REV_TURN","1993-06-18","2026-05-02","Per=Y","Days=T","Dir=V")</f>
        <v>0</v>
      </c>
      <c r="AA2">
        <f>BDH("CTEV US Equity","EBIT","1993-06-18","2026-05-02","Per=Y","Days=T","Dir=V")</f>
        <v>0</v>
      </c>
      <c r="AC2">
        <f>BDH("CTEV US Equity","EBITDA","1993-06-18","2026-05-02","Per=Y","Days=T","Dir=V")</f>
        <v>0</v>
      </c>
      <c r="AE2">
        <f>BDH("CTEV US Equity","NET_INCOME","1993-06-18","2026-05-02","Per=Y","Days=T","Dir=V")</f>
        <v>0</v>
      </c>
      <c r="AG2">
        <f>BDH("CTEV US Equity","IS_INT_EXPENSE","1993-06-18","2026-05-02","Per=Y","Days=T","Dir=V")</f>
        <v>0</v>
      </c>
      <c r="AI2">
        <f>BDH("CTEV US Equity","IS_DEPR_EXP","1993-06-18","2026-05-02","Per=Y","Days=T","Dir=V")</f>
        <v>0</v>
      </c>
      <c r="AK2">
        <f>BDH("CTEV US Equity","CF_CASH_FROM_OPER","1993-06-18","2026-05-02","Per=Y","Days=T","Dir=V")</f>
        <v>0</v>
      </c>
      <c r="AM2">
        <f>BDH("CTEV US Equity","CAPITAL_EXPEND","1993-06-18","2026-05-02","Per=Y","Days=T","Dir=V")</f>
        <v>0</v>
      </c>
      <c r="AO2">
        <f>BDH("CTEV US Equity","CF_FREE_CASH_FLOW","1993-06-18","2026-05-02","Per=Y","Days=T","Dir=V")</f>
        <v>0</v>
      </c>
      <c r="AQ2">
        <f>BDH("CTEV US Equity","PX_LAST","1993-06-18","2026-05-02","Per=M","Days=T","Dir=V")</f>
        <v>0</v>
      </c>
      <c r="AS2">
        <f>BDH("CTEV US Equity","CUR_MKT_CAP","1993-06-18","2026-05-02","Per=M","Days=T","Dir=V")</f>
        <v>0</v>
      </c>
      <c r="AU2">
        <f>BDH("CTEV US Equity","EQY_SH_OUT","1993-06-18","2026-05-02","Per=M","Days=T","Dir=V")</f>
        <v>0</v>
      </c>
      <c r="AW2">
        <f>BDH("CTEV US Equity","PX_VOLUME","1993-06-18","2026-05-02","Per=M","Days=T","Dir=V")</f>
        <v>0</v>
      </c>
      <c r="AY2">
        <f>BDH("CTEV US Equity","TURNOVER","1993-06-18","2026-05-02","Per=M","Days=T","Dir=V")</f>
        <v>0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BDH("CTGO US Equity","BS_TOT_ASSET","1993-06-18","2026-05-02","Per=Y","Days=T","Dir=V")</f>
        <v>0</v>
      </c>
      <c r="C2">
        <f>BDH("CTGO US Equity","BS_TOT_LIAB2","1993-06-18","2026-05-02","Per=Y","Days=T","Dir=V")</f>
        <v>0</v>
      </c>
      <c r="E2">
        <f>BDH("CTGO US Equity","SHORT_AND_LONG_TERM_DEBT","1993-06-18","2026-05-02","Per=Y","Days=T","Dir=V")</f>
        <v>0</v>
      </c>
      <c r="G2">
        <f>BDH("CTGO US Equity","BS_ST_BORROW","1993-06-18","2026-05-02","Per=Y","Days=T","Dir=V")</f>
        <v>0</v>
      </c>
      <c r="I2">
        <f>BDH("CTGO US Equity","BS_LT_BORROW","1993-06-18","2026-05-02","Per=Y","Days=T","Dir=V")</f>
        <v>0</v>
      </c>
      <c r="K2">
        <f>BDH("CTGO US Equity","BS_CASH_NEAR_CASH_ITEM","1993-06-18","2026-05-02","Per=Y","Days=T","Dir=V")</f>
        <v>0</v>
      </c>
      <c r="M2">
        <f>BDH("CTGO US Equity","BS_CUR_ASSET_REPORT","1993-06-18","2026-05-02","Per=Y","Days=T","Dir=V")</f>
        <v>0</v>
      </c>
      <c r="O2">
        <f>BDH("CTGO US Equity","BS_CUR_LIAB","1993-06-18","2026-05-02","Per=Y","Days=T","Dir=V")</f>
        <v>0</v>
      </c>
      <c r="Q2">
        <f>BDH("CTGO US Equity","BS_SHAREHOLDER_EQY_ENDING_PERIOD","1993-06-18","2026-05-02","Per=Y","Days=T","Dir=V")</f>
        <v>0</v>
      </c>
      <c r="S2">
        <f>BDH("CTGO US Equity","BS_ACCT_NOTE_RCV","1993-06-18","2026-05-02","Per=Y","Days=T","Dir=V")</f>
        <v>0</v>
      </c>
      <c r="U2">
        <f>BDH("CTGO US Equity","BS_INVENTORIES","1993-06-18","2026-05-02","Per=Y","Days=T","Dir=V")</f>
        <v>0</v>
      </c>
      <c r="W2">
        <f>BDH("CTGO US Equity","WORKING_CAPITAL","1993-06-18","2026-05-02","Per=Y","Days=T","Dir=V")</f>
        <v>0</v>
      </c>
      <c r="Y2">
        <f>BDH("CTGO US Equity","SALES_REV_TURN","1993-06-18","2026-05-02","Per=Y","Days=T","Dir=V")</f>
        <v>0</v>
      </c>
      <c r="AA2">
        <f>BDH("CTGO US Equity","EBIT","1993-06-18","2026-05-02","Per=Y","Days=T","Dir=V")</f>
        <v>0</v>
      </c>
      <c r="AC2">
        <f>BDH("CTGO US Equity","EBITDA","1993-06-18","2026-05-02","Per=Y","Days=T","Dir=V")</f>
        <v>0</v>
      </c>
      <c r="AE2">
        <f>BDH("CTGO US Equity","NET_INCOME","1993-06-18","2026-05-02","Per=Y","Days=T","Dir=V")</f>
        <v>0</v>
      </c>
      <c r="AG2">
        <f>BDH("CTGO US Equity","IS_INT_EXPENSE","1993-06-18","2026-05-02","Per=Y","Days=T","Dir=V")</f>
        <v>0</v>
      </c>
      <c r="AI2">
        <f>BDH("CTGO US Equity","IS_DEPR_EXP","1993-06-18","2026-05-02","Per=Y","Days=T","Dir=V")</f>
        <v>0</v>
      </c>
      <c r="AK2">
        <f>BDH("CTGO US Equity","CF_CASH_FROM_OPER","1993-06-18","2026-05-02","Per=Y","Days=T","Dir=V")</f>
        <v>0</v>
      </c>
      <c r="AM2">
        <f>BDH("CTGO US Equity","CAPITAL_EXPEND","1993-06-18","2026-05-02","Per=Y","Days=T","Dir=V")</f>
        <v>0</v>
      </c>
      <c r="AO2">
        <f>BDH("CTGO US Equity","CF_FREE_CASH_FLOW","1993-06-18","2026-05-02","Per=Y","Days=T","Dir=V")</f>
        <v>0</v>
      </c>
      <c r="AQ2">
        <f>BDH("CTGO US Equity","PX_LAST","1993-06-18","2026-05-02","Per=M","Days=T","Dir=V")</f>
        <v>0</v>
      </c>
      <c r="AS2">
        <f>BDH("CTGO US Equity","CUR_MKT_CAP","1993-06-18","2026-05-02","Per=M","Days=T","Dir=V")</f>
        <v>0</v>
      </c>
      <c r="AU2">
        <f>BDH("CTGO US Equity","EQY_SH_OUT","1993-06-18","2026-05-02","Per=M","Days=T","Dir=V")</f>
        <v>0</v>
      </c>
      <c r="AW2">
        <f>BDH("CTGO US Equity","PX_VOLUME","1993-06-18","2026-05-02","Per=M","Days=T","Dir=V")</f>
        <v>0</v>
      </c>
      <c r="AY2">
        <f>BDH("CTGO US Equity","TURNOVER","1993-06-18","2026-05-02","Per=M","Days=T","Dir=V")</f>
        <v>0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BDH("CTKB US Equity","BS_TOT_ASSET","1993-06-18","2026-05-02","Per=Y","Days=T","Dir=V")</f>
        <v>0</v>
      </c>
      <c r="C2">
        <f>BDH("CTKB US Equity","BS_TOT_LIAB2","1993-06-18","2026-05-02","Per=Y","Days=T","Dir=V")</f>
        <v>0</v>
      </c>
      <c r="E2">
        <f>BDH("CTKB US Equity","SHORT_AND_LONG_TERM_DEBT","1993-06-18","2026-05-02","Per=Y","Days=T","Dir=V")</f>
        <v>0</v>
      </c>
      <c r="G2">
        <f>BDH("CTKB US Equity","BS_ST_BORROW","1993-06-18","2026-05-02","Per=Y","Days=T","Dir=V")</f>
        <v>0</v>
      </c>
      <c r="I2">
        <f>BDH("CTKB US Equity","BS_LT_BORROW","1993-06-18","2026-05-02","Per=Y","Days=T","Dir=V")</f>
        <v>0</v>
      </c>
      <c r="K2">
        <f>BDH("CTKB US Equity","BS_CASH_NEAR_CASH_ITEM","1993-06-18","2026-05-02","Per=Y","Days=T","Dir=V")</f>
        <v>0</v>
      </c>
      <c r="M2">
        <f>BDH("CTKB US Equity","BS_CUR_ASSET_REPORT","1993-06-18","2026-05-02","Per=Y","Days=T","Dir=V")</f>
        <v>0</v>
      </c>
      <c r="O2">
        <f>BDH("CTKB US Equity","BS_CUR_LIAB","1993-06-18","2026-05-02","Per=Y","Days=T","Dir=V")</f>
        <v>0</v>
      </c>
      <c r="Q2">
        <f>BDH("CTKB US Equity","BS_SHAREHOLDER_EQY_ENDING_PERIOD","1993-06-18","2026-05-02","Per=Y","Days=T","Dir=V")</f>
        <v>0</v>
      </c>
      <c r="S2">
        <f>BDH("CTKB US Equity","BS_ACCT_NOTE_RCV","1993-06-18","2026-05-02","Per=Y","Days=T","Dir=V")</f>
        <v>0</v>
      </c>
      <c r="U2">
        <f>BDH("CTKB US Equity","BS_INVENTORIES","1993-06-18","2026-05-02","Per=Y","Days=T","Dir=V")</f>
        <v>0</v>
      </c>
      <c r="W2">
        <f>BDH("CTKB US Equity","WORKING_CAPITAL","1993-06-18","2026-05-02","Per=Y","Days=T","Dir=V")</f>
        <v>0</v>
      </c>
      <c r="Y2">
        <f>BDH("CTKB US Equity","SALES_REV_TURN","1993-06-18","2026-05-02","Per=Y","Days=T","Dir=V")</f>
        <v>0</v>
      </c>
      <c r="AA2">
        <f>BDH("CTKB US Equity","EBIT","1993-06-18","2026-05-02","Per=Y","Days=T","Dir=V")</f>
        <v>0</v>
      </c>
      <c r="AC2">
        <f>BDH("CTKB US Equity","EBITDA","1993-06-18","2026-05-02","Per=Y","Days=T","Dir=V")</f>
        <v>0</v>
      </c>
      <c r="AE2">
        <f>BDH("CTKB US Equity","NET_INCOME","1993-06-18","2026-05-02","Per=Y","Days=T","Dir=V")</f>
        <v>0</v>
      </c>
      <c r="AG2">
        <f>BDH("CTKB US Equity","IS_INT_EXPENSE","1993-06-18","2026-05-02","Per=Y","Days=T","Dir=V")</f>
        <v>0</v>
      </c>
      <c r="AI2">
        <f>BDH("CTKB US Equity","IS_DEPR_EXP","1993-06-18","2026-05-02","Per=Y","Days=T","Dir=V")</f>
        <v>0</v>
      </c>
      <c r="AK2">
        <f>BDH("CTKB US Equity","CF_CASH_FROM_OPER","1993-06-18","2026-05-02","Per=Y","Days=T","Dir=V")</f>
        <v>0</v>
      </c>
      <c r="AM2">
        <f>BDH("CTKB US Equity","CAPITAL_EXPEND","1993-06-18","2026-05-02","Per=Y","Days=T","Dir=V")</f>
        <v>0</v>
      </c>
      <c r="AO2">
        <f>BDH("CTKB US Equity","CF_FREE_CASH_FLOW","1993-06-18","2026-05-02","Per=Y","Days=T","Dir=V")</f>
        <v>0</v>
      </c>
      <c r="AQ2">
        <f>BDH("CTKB US Equity","PX_LAST","1993-06-18","2026-05-02","Per=M","Days=T","Dir=V")</f>
        <v>0</v>
      </c>
      <c r="AS2">
        <f>BDH("CTKB US Equity","CUR_MKT_CAP","1993-06-18","2026-05-02","Per=M","Days=T","Dir=V")</f>
        <v>0</v>
      </c>
      <c r="AU2">
        <f>BDH("CTKB US Equity","EQY_SH_OUT","1993-06-18","2026-05-02","Per=M","Days=T","Dir=V")</f>
        <v>0</v>
      </c>
      <c r="AW2">
        <f>BDH("CTKB US Equity","PX_VOLUME","1993-06-18","2026-05-02","Per=M","Days=T","Dir=V")</f>
        <v>0</v>
      </c>
      <c r="AY2">
        <f>BDH("CTKB US Equity","TURNOVER","1993-06-18","2026-05-02","Per=M","Days=T","Dir=V")</f>
        <v>0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BDH("CTMX US Equity","BS_TOT_ASSET","1993-06-18","2026-05-02","Per=Y","Days=T","Dir=V")</f>
        <v>0</v>
      </c>
      <c r="C2">
        <f>BDH("CTMX US Equity","BS_TOT_LIAB2","1993-06-18","2026-05-02","Per=Y","Days=T","Dir=V")</f>
        <v>0</v>
      </c>
      <c r="E2">
        <f>BDH("CTMX US Equity","SHORT_AND_LONG_TERM_DEBT","1993-06-18","2026-05-02","Per=Y","Days=T","Dir=V")</f>
        <v>0</v>
      </c>
      <c r="G2">
        <f>BDH("CTMX US Equity","BS_ST_BORROW","1993-06-18","2026-05-02","Per=Y","Days=T","Dir=V")</f>
        <v>0</v>
      </c>
      <c r="I2">
        <f>BDH("CTMX US Equity","BS_LT_BORROW","1993-06-18","2026-05-02","Per=Y","Days=T","Dir=V")</f>
        <v>0</v>
      </c>
      <c r="K2">
        <f>BDH("CTMX US Equity","BS_CASH_NEAR_CASH_ITEM","1993-06-18","2026-05-02","Per=Y","Days=T","Dir=V")</f>
        <v>0</v>
      </c>
      <c r="M2">
        <f>BDH("CTMX US Equity","BS_CUR_ASSET_REPORT","1993-06-18","2026-05-02","Per=Y","Days=T","Dir=V")</f>
        <v>0</v>
      </c>
      <c r="O2">
        <f>BDH("CTMX US Equity","BS_CUR_LIAB","1993-06-18","2026-05-02","Per=Y","Days=T","Dir=V")</f>
        <v>0</v>
      </c>
      <c r="Q2">
        <f>BDH("CTMX US Equity","BS_SHAREHOLDER_EQY_ENDING_PERIOD","1993-06-18","2026-05-02","Per=Y","Days=T","Dir=V")</f>
        <v>0</v>
      </c>
      <c r="S2">
        <f>BDH("CTMX US Equity","BS_ACCT_NOTE_RCV","1993-06-18","2026-05-02","Per=Y","Days=T","Dir=V")</f>
        <v>0</v>
      </c>
      <c r="U2">
        <f>BDH("CTMX US Equity","BS_INVENTORIES","1993-06-18","2026-05-02","Per=Y","Days=T","Dir=V")</f>
        <v>0</v>
      </c>
      <c r="W2">
        <f>BDH("CTMX US Equity","WORKING_CAPITAL","1993-06-18","2026-05-02","Per=Y","Days=T","Dir=V")</f>
        <v>0</v>
      </c>
      <c r="Y2">
        <f>BDH("CTMX US Equity","SALES_REV_TURN","1993-06-18","2026-05-02","Per=Y","Days=T","Dir=V")</f>
        <v>0</v>
      </c>
      <c r="AA2">
        <f>BDH("CTMX US Equity","EBIT","1993-06-18","2026-05-02","Per=Y","Days=T","Dir=V")</f>
        <v>0</v>
      </c>
      <c r="AC2">
        <f>BDH("CTMX US Equity","EBITDA","1993-06-18","2026-05-02","Per=Y","Days=T","Dir=V")</f>
        <v>0</v>
      </c>
      <c r="AE2">
        <f>BDH("CTMX US Equity","NET_INCOME","1993-06-18","2026-05-02","Per=Y","Days=T","Dir=V")</f>
        <v>0</v>
      </c>
      <c r="AG2">
        <f>BDH("CTMX US Equity","IS_INT_EXPENSE","1993-06-18","2026-05-02","Per=Y","Days=T","Dir=V")</f>
        <v>0</v>
      </c>
      <c r="AI2">
        <f>BDH("CTMX US Equity","IS_DEPR_EXP","1993-06-18","2026-05-02","Per=Y","Days=T","Dir=V")</f>
        <v>0</v>
      </c>
      <c r="AK2">
        <f>BDH("CTMX US Equity","CF_CASH_FROM_OPER","1993-06-18","2026-05-02","Per=Y","Days=T","Dir=V")</f>
        <v>0</v>
      </c>
      <c r="AM2">
        <f>BDH("CTMX US Equity","CAPITAL_EXPEND","1993-06-18","2026-05-02","Per=Y","Days=T","Dir=V")</f>
        <v>0</v>
      </c>
      <c r="AO2">
        <f>BDH("CTMX US Equity","CF_FREE_CASH_FLOW","1993-06-18","2026-05-02","Per=Y","Days=T","Dir=V")</f>
        <v>0</v>
      </c>
      <c r="AQ2">
        <f>BDH("CTMX US Equity","PX_LAST","1993-06-18","2026-05-02","Per=M","Days=T","Dir=V")</f>
        <v>0</v>
      </c>
      <c r="AS2">
        <f>BDH("CTMX US Equity","CUR_MKT_CAP","1993-06-18","2026-05-02","Per=M","Days=T","Dir=V")</f>
        <v>0</v>
      </c>
      <c r="AU2">
        <f>BDH("CTMX US Equity","EQY_SH_OUT","1993-06-18","2026-05-02","Per=M","Days=T","Dir=V")</f>
        <v>0</v>
      </c>
      <c r="AW2">
        <f>BDH("CTMX US Equity","PX_VOLUME","1993-06-18","2026-05-02","Per=M","Days=T","Dir=V")</f>
        <v>0</v>
      </c>
      <c r="AY2">
        <f>BDH("CTMX US Equity","TURNOVER","1993-06-18","2026-05-02","Per=M","Days=T","Dir=V")</f>
        <v>0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BDH("CTNM US Equity","BS_TOT_ASSET","1993-06-18","2026-05-02","Per=Y","Days=T","Dir=V")</f>
        <v>0</v>
      </c>
      <c r="C2">
        <f>BDH("CTNM US Equity","BS_TOT_LIAB2","1993-06-18","2026-05-02","Per=Y","Days=T","Dir=V")</f>
        <v>0</v>
      </c>
      <c r="E2">
        <f>BDH("CTNM US Equity","SHORT_AND_LONG_TERM_DEBT","1993-06-18","2026-05-02","Per=Y","Days=T","Dir=V")</f>
        <v>0</v>
      </c>
      <c r="G2">
        <f>BDH("CTNM US Equity","BS_ST_BORROW","1993-06-18","2026-05-02","Per=Y","Days=T","Dir=V")</f>
        <v>0</v>
      </c>
      <c r="I2">
        <f>BDH("CTNM US Equity","BS_LT_BORROW","1993-06-18","2026-05-02","Per=Y","Days=T","Dir=V")</f>
        <v>0</v>
      </c>
      <c r="K2">
        <f>BDH("CTNM US Equity","BS_CASH_NEAR_CASH_ITEM","1993-06-18","2026-05-02","Per=Y","Days=T","Dir=V")</f>
        <v>0</v>
      </c>
      <c r="M2">
        <f>BDH("CTNM US Equity","BS_CUR_ASSET_REPORT","1993-06-18","2026-05-02","Per=Y","Days=T","Dir=V")</f>
        <v>0</v>
      </c>
      <c r="O2">
        <f>BDH("CTNM US Equity","BS_CUR_LIAB","1993-06-18","2026-05-02","Per=Y","Days=T","Dir=V")</f>
        <v>0</v>
      </c>
      <c r="Q2">
        <f>BDH("CTNM US Equity","BS_SHAREHOLDER_EQY_ENDING_PERIOD","1993-06-18","2026-05-02","Per=Y","Days=T","Dir=V")</f>
        <v>0</v>
      </c>
      <c r="S2">
        <f>BDH("CTNM US Equity","BS_ACCT_NOTE_RCV","1993-06-18","2026-05-02","Per=Y","Days=T","Dir=V")</f>
        <v>0</v>
      </c>
      <c r="U2">
        <f>BDH("CTNM US Equity","BS_INVENTORIES","1993-06-18","2026-05-02","Per=Y","Days=T","Dir=V")</f>
        <v>0</v>
      </c>
      <c r="W2">
        <f>BDH("CTNM US Equity","WORKING_CAPITAL","1993-06-18","2026-05-02","Per=Y","Days=T","Dir=V")</f>
        <v>0</v>
      </c>
      <c r="Y2">
        <f>BDH("CTNM US Equity","SALES_REV_TURN","1993-06-18","2026-05-02","Per=Y","Days=T","Dir=V")</f>
        <v>0</v>
      </c>
      <c r="AA2">
        <f>BDH("CTNM US Equity","EBIT","1993-06-18","2026-05-02","Per=Y","Days=T","Dir=V")</f>
        <v>0</v>
      </c>
      <c r="AC2">
        <f>BDH("CTNM US Equity","EBITDA","1993-06-18","2026-05-02","Per=Y","Days=T","Dir=V")</f>
        <v>0</v>
      </c>
      <c r="AE2">
        <f>BDH("CTNM US Equity","NET_INCOME","1993-06-18","2026-05-02","Per=Y","Days=T","Dir=V")</f>
        <v>0</v>
      </c>
      <c r="AG2">
        <f>BDH("CTNM US Equity","IS_INT_EXPENSE","1993-06-18","2026-05-02","Per=Y","Days=T","Dir=V")</f>
        <v>0</v>
      </c>
      <c r="AI2">
        <f>BDH("CTNM US Equity","IS_DEPR_EXP","1993-06-18","2026-05-02","Per=Y","Days=T","Dir=V")</f>
        <v>0</v>
      </c>
      <c r="AK2">
        <f>BDH("CTNM US Equity","CF_CASH_FROM_OPER","1993-06-18","2026-05-02","Per=Y","Days=T","Dir=V")</f>
        <v>0</v>
      </c>
      <c r="AM2">
        <f>BDH("CTNM US Equity","CAPITAL_EXPEND","1993-06-18","2026-05-02","Per=Y","Days=T","Dir=V")</f>
        <v>0</v>
      </c>
      <c r="AO2">
        <f>BDH("CTNM US Equity","CF_FREE_CASH_FLOW","1993-06-18","2026-05-02","Per=Y","Days=T","Dir=V")</f>
        <v>0</v>
      </c>
      <c r="AQ2">
        <f>BDH("CTNM US Equity","PX_LAST","1993-06-18","2026-05-02","Per=M","Days=T","Dir=V")</f>
        <v>0</v>
      </c>
      <c r="AS2">
        <f>BDH("CTNM US Equity","CUR_MKT_CAP","1993-06-18","2026-05-02","Per=M","Days=T","Dir=V")</f>
        <v>0</v>
      </c>
      <c r="AU2">
        <f>BDH("CTNM US Equity","EQY_SH_OUT","1993-06-18","2026-05-02","Per=M","Days=T","Dir=V")</f>
        <v>0</v>
      </c>
      <c r="AW2">
        <f>BDH("CTNM US Equity","PX_VOLUME","1993-06-18","2026-05-02","Per=M","Days=T","Dir=V")</f>
        <v>0</v>
      </c>
      <c r="AY2">
        <f>BDH("CTNM US Equity","TURNOVER","1993-06-18","2026-05-02","Per=M","Days=T","Dir=V")</f>
        <v>0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BDH("CTNT US Equity","BS_TOT_ASSET","1993-06-18","2026-05-02","Per=Y","Days=T","Dir=V")</f>
        <v>0</v>
      </c>
      <c r="C2">
        <f>BDH("CTNT US Equity","BS_TOT_LIAB2","1993-06-18","2026-05-02","Per=Y","Days=T","Dir=V")</f>
        <v>0</v>
      </c>
      <c r="E2">
        <f>BDH("CTNT US Equity","SHORT_AND_LONG_TERM_DEBT","1993-06-18","2026-05-02","Per=Y","Days=T","Dir=V")</f>
        <v>0</v>
      </c>
      <c r="G2">
        <f>BDH("CTNT US Equity","BS_ST_BORROW","1993-06-18","2026-05-02","Per=Y","Days=T","Dir=V")</f>
        <v>0</v>
      </c>
      <c r="I2">
        <f>BDH("CTNT US Equity","BS_LT_BORROW","1993-06-18","2026-05-02","Per=Y","Days=T","Dir=V")</f>
        <v>0</v>
      </c>
      <c r="K2">
        <f>BDH("CTNT US Equity","BS_CASH_NEAR_CASH_ITEM","1993-06-18","2026-05-02","Per=Y","Days=T","Dir=V")</f>
        <v>0</v>
      </c>
      <c r="M2">
        <f>BDH("CTNT US Equity","BS_CUR_ASSET_REPORT","1993-06-18","2026-05-02","Per=Y","Days=T","Dir=V")</f>
        <v>0</v>
      </c>
      <c r="O2">
        <f>BDH("CTNT US Equity","BS_CUR_LIAB","1993-06-18","2026-05-02","Per=Y","Days=T","Dir=V")</f>
        <v>0</v>
      </c>
      <c r="Q2">
        <f>BDH("CTNT US Equity","BS_SHAREHOLDER_EQY_ENDING_PERIOD","1993-06-18","2026-05-02","Per=Y","Days=T","Dir=V")</f>
        <v>0</v>
      </c>
      <c r="S2">
        <f>BDH("CTNT US Equity","BS_ACCT_NOTE_RCV","1993-06-18","2026-05-02","Per=Y","Days=T","Dir=V")</f>
        <v>0</v>
      </c>
      <c r="U2">
        <f>BDH("CTNT US Equity","BS_INVENTORIES","1993-06-18","2026-05-02","Per=Y","Days=T","Dir=V")</f>
        <v>0</v>
      </c>
      <c r="W2">
        <f>BDH("CTNT US Equity","WORKING_CAPITAL","1993-06-18","2026-05-02","Per=Y","Days=T","Dir=V")</f>
        <v>0</v>
      </c>
      <c r="Y2">
        <f>BDH("CTNT US Equity","SALES_REV_TURN","1993-06-18","2026-05-02","Per=Y","Days=T","Dir=V")</f>
        <v>0</v>
      </c>
      <c r="AA2">
        <f>BDH("CTNT US Equity","EBIT","1993-06-18","2026-05-02","Per=Y","Days=T","Dir=V")</f>
        <v>0</v>
      </c>
      <c r="AC2">
        <f>BDH("CTNT US Equity","EBITDA","1993-06-18","2026-05-02","Per=Y","Days=T","Dir=V")</f>
        <v>0</v>
      </c>
      <c r="AE2">
        <f>BDH("CTNT US Equity","NET_INCOME","1993-06-18","2026-05-02","Per=Y","Days=T","Dir=V")</f>
        <v>0</v>
      </c>
      <c r="AG2">
        <f>BDH("CTNT US Equity","IS_INT_EXPENSE","1993-06-18","2026-05-02","Per=Y","Days=T","Dir=V")</f>
        <v>0</v>
      </c>
      <c r="AI2">
        <f>BDH("CTNT US Equity","IS_DEPR_EXP","1993-06-18","2026-05-02","Per=Y","Days=T","Dir=V")</f>
        <v>0</v>
      </c>
      <c r="AK2">
        <f>BDH("CTNT US Equity","CF_CASH_FROM_OPER","1993-06-18","2026-05-02","Per=Y","Days=T","Dir=V")</f>
        <v>0</v>
      </c>
      <c r="AM2">
        <f>BDH("CTNT US Equity","CAPITAL_EXPEND","1993-06-18","2026-05-02","Per=Y","Days=T","Dir=V")</f>
        <v>0</v>
      </c>
      <c r="AO2">
        <f>BDH("CTNT US Equity","CF_FREE_CASH_FLOW","1993-06-18","2026-05-02","Per=Y","Days=T","Dir=V")</f>
        <v>0</v>
      </c>
      <c r="AQ2">
        <f>BDH("CTNT US Equity","PX_LAST","1993-06-18","2026-05-02","Per=M","Days=T","Dir=V")</f>
        <v>0</v>
      </c>
      <c r="AS2">
        <f>BDH("CTNT US Equity","CUR_MKT_CAP","1993-06-18","2026-05-02","Per=M","Days=T","Dir=V")</f>
        <v>0</v>
      </c>
      <c r="AU2">
        <f>BDH("CTNT US Equity","EQY_SH_OUT","1993-06-18","2026-05-02","Per=M","Days=T","Dir=V")</f>
        <v>0</v>
      </c>
      <c r="AW2">
        <f>BDH("CTNT US Equity","PX_VOLUME","1993-06-18","2026-05-02","Per=M","Days=T","Dir=V")</f>
        <v>0</v>
      </c>
      <c r="AY2">
        <f>BDH("CTNT US Equity","TURNOVER","1993-06-18","2026-05-02","Per=M","Days=T","Dir=V")</f>
        <v>0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BDH("CTOR US Equity","BS_TOT_ASSET","1993-06-18","2026-05-02","Per=Y","Days=T","Dir=V")</f>
        <v>0</v>
      </c>
      <c r="C2">
        <f>BDH("CTOR US Equity","BS_TOT_LIAB2","1993-06-18","2026-05-02","Per=Y","Days=T","Dir=V")</f>
        <v>0</v>
      </c>
      <c r="E2">
        <f>BDH("CTOR US Equity","SHORT_AND_LONG_TERM_DEBT","1993-06-18","2026-05-02","Per=Y","Days=T","Dir=V")</f>
        <v>0</v>
      </c>
      <c r="G2">
        <f>BDH("CTOR US Equity","BS_ST_BORROW","1993-06-18","2026-05-02","Per=Y","Days=T","Dir=V")</f>
        <v>0</v>
      </c>
      <c r="I2">
        <f>BDH("CTOR US Equity","BS_LT_BORROW","1993-06-18","2026-05-02","Per=Y","Days=T","Dir=V")</f>
        <v>0</v>
      </c>
      <c r="K2">
        <f>BDH("CTOR US Equity","BS_CASH_NEAR_CASH_ITEM","1993-06-18","2026-05-02","Per=Y","Days=T","Dir=V")</f>
        <v>0</v>
      </c>
      <c r="M2">
        <f>BDH("CTOR US Equity","BS_CUR_ASSET_REPORT","1993-06-18","2026-05-02","Per=Y","Days=T","Dir=V")</f>
        <v>0</v>
      </c>
      <c r="O2">
        <f>BDH("CTOR US Equity","BS_CUR_LIAB","1993-06-18","2026-05-02","Per=Y","Days=T","Dir=V")</f>
        <v>0</v>
      </c>
      <c r="Q2">
        <f>BDH("CTOR US Equity","BS_SHAREHOLDER_EQY_ENDING_PERIOD","1993-06-18","2026-05-02","Per=Y","Days=T","Dir=V")</f>
        <v>0</v>
      </c>
      <c r="S2">
        <f>BDH("CTOR US Equity","BS_ACCT_NOTE_RCV","1993-06-18","2026-05-02","Per=Y","Days=T","Dir=V")</f>
        <v>0</v>
      </c>
      <c r="U2">
        <f>BDH("CTOR US Equity","BS_INVENTORIES","1993-06-18","2026-05-02","Per=Y","Days=T","Dir=V")</f>
        <v>0</v>
      </c>
      <c r="W2">
        <f>BDH("CTOR US Equity","WORKING_CAPITAL","1993-06-18","2026-05-02","Per=Y","Days=T","Dir=V")</f>
        <v>0</v>
      </c>
      <c r="Y2">
        <f>BDH("CTOR US Equity","SALES_REV_TURN","1993-06-18","2026-05-02","Per=Y","Days=T","Dir=V")</f>
        <v>0</v>
      </c>
      <c r="AA2">
        <f>BDH("CTOR US Equity","EBIT","1993-06-18","2026-05-02","Per=Y","Days=T","Dir=V")</f>
        <v>0</v>
      </c>
      <c r="AC2">
        <f>BDH("CTOR US Equity","EBITDA","1993-06-18","2026-05-02","Per=Y","Days=T","Dir=V")</f>
        <v>0</v>
      </c>
      <c r="AE2">
        <f>BDH("CTOR US Equity","NET_INCOME","1993-06-18","2026-05-02","Per=Y","Days=T","Dir=V")</f>
        <v>0</v>
      </c>
      <c r="AG2">
        <f>BDH("CTOR US Equity","IS_INT_EXPENSE","1993-06-18","2026-05-02","Per=Y","Days=T","Dir=V")</f>
        <v>0</v>
      </c>
      <c r="AI2">
        <f>BDH("CTOR US Equity","IS_DEPR_EXP","1993-06-18","2026-05-02","Per=Y","Days=T","Dir=V")</f>
        <v>0</v>
      </c>
      <c r="AK2">
        <f>BDH("CTOR US Equity","CF_CASH_FROM_OPER","1993-06-18","2026-05-02","Per=Y","Days=T","Dir=V")</f>
        <v>0</v>
      </c>
      <c r="AM2">
        <f>BDH("CTOR US Equity","CAPITAL_EXPEND","1993-06-18","2026-05-02","Per=Y","Days=T","Dir=V")</f>
        <v>0</v>
      </c>
      <c r="AO2">
        <f>BDH("CTOR US Equity","CF_FREE_CASH_FLOW","1993-06-18","2026-05-02","Per=Y","Days=T","Dir=V")</f>
        <v>0</v>
      </c>
      <c r="AQ2">
        <f>BDH("CTOR US Equity","PX_LAST","1993-06-18","2026-05-02","Per=M","Days=T","Dir=V")</f>
        <v>0</v>
      </c>
      <c r="AS2">
        <f>BDH("CTOR US Equity","CUR_MKT_CAP","1993-06-18","2026-05-02","Per=M","Days=T","Dir=V")</f>
        <v>0</v>
      </c>
      <c r="AU2">
        <f>BDH("CTOR US Equity","EQY_SH_OUT","1993-06-18","2026-05-02","Per=M","Days=T","Dir=V")</f>
        <v>0</v>
      </c>
      <c r="AW2">
        <f>BDH("CTOR US Equity","PX_VOLUME","1993-06-18","2026-05-02","Per=M","Days=T","Dir=V")</f>
        <v>0</v>
      </c>
      <c r="AY2">
        <f>BDH("CTOR US Equity","TURNOVER","1993-06-18","2026-05-02","Per=M","Days=T","Dir=V")</f>
        <v>0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BDH("CTRI US Equity","BS_TOT_ASSET","1993-06-18","2026-05-02","Per=Y","Days=T","Dir=V")</f>
        <v>0</v>
      </c>
      <c r="C2">
        <f>BDH("CTRI US Equity","BS_TOT_LIAB2","1993-06-18","2026-05-02","Per=Y","Days=T","Dir=V")</f>
        <v>0</v>
      </c>
      <c r="E2">
        <f>BDH("CTRI US Equity","SHORT_AND_LONG_TERM_DEBT","1993-06-18","2026-05-02","Per=Y","Days=T","Dir=V")</f>
        <v>0</v>
      </c>
      <c r="G2">
        <f>BDH("CTRI US Equity","BS_ST_BORROW","1993-06-18","2026-05-02","Per=Y","Days=T","Dir=V")</f>
        <v>0</v>
      </c>
      <c r="I2">
        <f>BDH("CTRI US Equity","BS_LT_BORROW","1993-06-18","2026-05-02","Per=Y","Days=T","Dir=V")</f>
        <v>0</v>
      </c>
      <c r="K2">
        <f>BDH("CTRI US Equity","BS_CASH_NEAR_CASH_ITEM","1993-06-18","2026-05-02","Per=Y","Days=T","Dir=V")</f>
        <v>0</v>
      </c>
      <c r="M2">
        <f>BDH("CTRI US Equity","BS_CUR_ASSET_REPORT","1993-06-18","2026-05-02","Per=Y","Days=T","Dir=V")</f>
        <v>0</v>
      </c>
      <c r="O2">
        <f>BDH("CTRI US Equity","BS_CUR_LIAB","1993-06-18","2026-05-02","Per=Y","Days=T","Dir=V")</f>
        <v>0</v>
      </c>
      <c r="Q2">
        <f>BDH("CTRI US Equity","BS_SHAREHOLDER_EQY_ENDING_PERIOD","1993-06-18","2026-05-02","Per=Y","Days=T","Dir=V")</f>
        <v>0</v>
      </c>
      <c r="S2">
        <f>BDH("CTRI US Equity","BS_ACCT_NOTE_RCV","1993-06-18","2026-05-02","Per=Y","Days=T","Dir=V")</f>
        <v>0</v>
      </c>
      <c r="U2">
        <f>BDH("CTRI US Equity","BS_INVENTORIES","1993-06-18","2026-05-02","Per=Y","Days=T","Dir=V")</f>
        <v>0</v>
      </c>
      <c r="W2">
        <f>BDH("CTRI US Equity","WORKING_CAPITAL","1993-06-18","2026-05-02","Per=Y","Days=T","Dir=V")</f>
        <v>0</v>
      </c>
      <c r="Y2">
        <f>BDH("CTRI US Equity","SALES_REV_TURN","1993-06-18","2026-05-02","Per=Y","Days=T","Dir=V")</f>
        <v>0</v>
      </c>
      <c r="AA2">
        <f>BDH("CTRI US Equity","EBIT","1993-06-18","2026-05-02","Per=Y","Days=T","Dir=V")</f>
        <v>0</v>
      </c>
      <c r="AC2">
        <f>BDH("CTRI US Equity","EBITDA","1993-06-18","2026-05-02","Per=Y","Days=T","Dir=V")</f>
        <v>0</v>
      </c>
      <c r="AE2">
        <f>BDH("CTRI US Equity","NET_INCOME","1993-06-18","2026-05-02","Per=Y","Days=T","Dir=V")</f>
        <v>0</v>
      </c>
      <c r="AG2">
        <f>BDH("CTRI US Equity","IS_INT_EXPENSE","1993-06-18","2026-05-02","Per=Y","Days=T","Dir=V")</f>
        <v>0</v>
      </c>
      <c r="AI2">
        <f>BDH("CTRI US Equity","IS_DEPR_EXP","1993-06-18","2026-05-02","Per=Y","Days=T","Dir=V")</f>
        <v>0</v>
      </c>
      <c r="AK2">
        <f>BDH("CTRI US Equity","CF_CASH_FROM_OPER","1993-06-18","2026-05-02","Per=Y","Days=T","Dir=V")</f>
        <v>0</v>
      </c>
      <c r="AM2">
        <f>BDH("CTRI US Equity","CAPITAL_EXPEND","1993-06-18","2026-05-02","Per=Y","Days=T","Dir=V")</f>
        <v>0</v>
      </c>
      <c r="AO2">
        <f>BDH("CTRI US Equity","CF_FREE_CASH_FLOW","1993-06-18","2026-05-02","Per=Y","Days=T","Dir=V")</f>
        <v>0</v>
      </c>
      <c r="AQ2">
        <f>BDH("CTRI US Equity","PX_LAST","1993-06-18","2026-05-02","Per=M","Days=T","Dir=V")</f>
        <v>0</v>
      </c>
      <c r="AS2">
        <f>BDH("CTRI US Equity","CUR_MKT_CAP","1993-06-18","2026-05-02","Per=M","Days=T","Dir=V")</f>
        <v>0</v>
      </c>
      <c r="AU2">
        <f>BDH("CTRI US Equity","EQY_SH_OUT","1993-06-18","2026-05-02","Per=M","Days=T","Dir=V")</f>
        <v>0</v>
      </c>
      <c r="AW2">
        <f>BDH("CTRI US Equity","PX_VOLUME","1993-06-18","2026-05-02","Per=M","Days=T","Dir=V")</f>
        <v>0</v>
      </c>
      <c r="AY2">
        <f>BDH("CTRI US Equity","TURNOVER","1993-06-18","2026-05-02","Per=M","Days=T","Dir=V")</f>
        <v>0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BDH("CTRN US Equity","BS_TOT_ASSET","1993-06-18","2026-05-02","Per=Y","Days=T","Dir=V")</f>
        <v>0</v>
      </c>
      <c r="C2">
        <f>BDH("CTRN US Equity","BS_TOT_LIAB2","1993-06-18","2026-05-02","Per=Y","Days=T","Dir=V")</f>
        <v>0</v>
      </c>
      <c r="E2">
        <f>BDH("CTRN US Equity","SHORT_AND_LONG_TERM_DEBT","1993-06-18","2026-05-02","Per=Y","Days=T","Dir=V")</f>
        <v>0</v>
      </c>
      <c r="G2">
        <f>BDH("CTRN US Equity","BS_ST_BORROW","1993-06-18","2026-05-02","Per=Y","Days=T","Dir=V")</f>
        <v>0</v>
      </c>
      <c r="I2">
        <f>BDH("CTRN US Equity","BS_LT_BORROW","1993-06-18","2026-05-02","Per=Y","Days=T","Dir=V")</f>
        <v>0</v>
      </c>
      <c r="K2">
        <f>BDH("CTRN US Equity","BS_CASH_NEAR_CASH_ITEM","1993-06-18","2026-05-02","Per=Y","Days=T","Dir=V")</f>
        <v>0</v>
      </c>
      <c r="M2">
        <f>BDH("CTRN US Equity","BS_CUR_ASSET_REPORT","1993-06-18","2026-05-02","Per=Y","Days=T","Dir=V")</f>
        <v>0</v>
      </c>
      <c r="O2">
        <f>BDH("CTRN US Equity","BS_CUR_LIAB","1993-06-18","2026-05-02","Per=Y","Days=T","Dir=V")</f>
        <v>0</v>
      </c>
      <c r="Q2">
        <f>BDH("CTRN US Equity","BS_SHAREHOLDER_EQY_ENDING_PERIOD","1993-06-18","2026-05-02","Per=Y","Days=T","Dir=V")</f>
        <v>0</v>
      </c>
      <c r="S2">
        <f>BDH("CTRN US Equity","BS_ACCT_NOTE_RCV","1993-06-18","2026-05-02","Per=Y","Days=T","Dir=V")</f>
        <v>0</v>
      </c>
      <c r="U2">
        <f>BDH("CTRN US Equity","BS_INVENTORIES","1993-06-18","2026-05-02","Per=Y","Days=T","Dir=V")</f>
        <v>0</v>
      </c>
      <c r="W2">
        <f>BDH("CTRN US Equity","WORKING_CAPITAL","1993-06-18","2026-05-02","Per=Y","Days=T","Dir=V")</f>
        <v>0</v>
      </c>
      <c r="Y2">
        <f>BDH("CTRN US Equity","SALES_REV_TURN","1993-06-18","2026-05-02","Per=Y","Days=T","Dir=V")</f>
        <v>0</v>
      </c>
      <c r="AA2">
        <f>BDH("CTRN US Equity","EBIT","1993-06-18","2026-05-02","Per=Y","Days=T","Dir=V")</f>
        <v>0</v>
      </c>
      <c r="AC2">
        <f>BDH("CTRN US Equity","EBITDA","1993-06-18","2026-05-02","Per=Y","Days=T","Dir=V")</f>
        <v>0</v>
      </c>
      <c r="AE2">
        <f>BDH("CTRN US Equity","NET_INCOME","1993-06-18","2026-05-02","Per=Y","Days=T","Dir=V")</f>
        <v>0</v>
      </c>
      <c r="AG2">
        <f>BDH("CTRN US Equity","IS_INT_EXPENSE","1993-06-18","2026-05-02","Per=Y","Days=T","Dir=V")</f>
        <v>0</v>
      </c>
      <c r="AI2">
        <f>BDH("CTRN US Equity","IS_DEPR_EXP","1993-06-18","2026-05-02","Per=Y","Days=T","Dir=V")</f>
        <v>0</v>
      </c>
      <c r="AK2">
        <f>BDH("CTRN US Equity","CF_CASH_FROM_OPER","1993-06-18","2026-05-02","Per=Y","Days=T","Dir=V")</f>
        <v>0</v>
      </c>
      <c r="AM2">
        <f>BDH("CTRN US Equity","CAPITAL_EXPEND","1993-06-18","2026-05-02","Per=Y","Days=T","Dir=V")</f>
        <v>0</v>
      </c>
      <c r="AO2">
        <f>BDH("CTRN US Equity","CF_FREE_CASH_FLOW","1993-06-18","2026-05-02","Per=Y","Days=T","Dir=V")</f>
        <v>0</v>
      </c>
      <c r="AQ2">
        <f>BDH("CTRN US Equity","PX_LAST","1993-06-18","2026-05-02","Per=M","Days=T","Dir=V")</f>
        <v>0</v>
      </c>
      <c r="AS2">
        <f>BDH("CTRN US Equity","CUR_MKT_CAP","1993-06-18","2026-05-02","Per=M","Days=T","Dir=V")</f>
        <v>0</v>
      </c>
      <c r="AU2">
        <f>BDH("CTRN US Equity","EQY_SH_OUT","1993-06-18","2026-05-02","Per=M","Days=T","Dir=V")</f>
        <v>0</v>
      </c>
      <c r="AW2">
        <f>BDH("CTRN US Equity","PX_VOLUME","1993-06-18","2026-05-02","Per=M","Days=T","Dir=V")</f>
        <v>0</v>
      </c>
      <c r="AY2">
        <f>BDH("CTRN US Equity","TURNOVER","1993-06-18","2026-05-02","Per=M","Days=T","Dir=V")</f>
        <v>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BDH("CTS US Equity","BS_TOT_ASSET","1993-06-18","2026-05-02","Per=Y","Days=T","Dir=V")</f>
        <v>0</v>
      </c>
      <c r="C2">
        <f>BDH("CTS US Equity","BS_TOT_LIAB2","1993-06-18","2026-05-02","Per=Y","Days=T","Dir=V")</f>
        <v>0</v>
      </c>
      <c r="E2">
        <f>BDH("CTS US Equity","SHORT_AND_LONG_TERM_DEBT","1993-06-18","2026-05-02","Per=Y","Days=T","Dir=V")</f>
        <v>0</v>
      </c>
      <c r="G2">
        <f>BDH("CTS US Equity","BS_ST_BORROW","1993-06-18","2026-05-02","Per=Y","Days=T","Dir=V")</f>
        <v>0</v>
      </c>
      <c r="I2">
        <f>BDH("CTS US Equity","BS_LT_BORROW","1993-06-18","2026-05-02","Per=Y","Days=T","Dir=V")</f>
        <v>0</v>
      </c>
      <c r="K2">
        <f>BDH("CTS US Equity","BS_CASH_NEAR_CASH_ITEM","1993-06-18","2026-05-02","Per=Y","Days=T","Dir=V")</f>
        <v>0</v>
      </c>
      <c r="M2">
        <f>BDH("CTS US Equity","BS_CUR_ASSET_REPORT","1993-06-18","2026-05-02","Per=Y","Days=T","Dir=V")</f>
        <v>0</v>
      </c>
      <c r="O2">
        <f>BDH("CTS US Equity","BS_CUR_LIAB","1993-06-18","2026-05-02","Per=Y","Days=T","Dir=V")</f>
        <v>0</v>
      </c>
      <c r="Q2">
        <f>BDH("CTS US Equity","BS_SHAREHOLDER_EQY_ENDING_PERIOD","1993-06-18","2026-05-02","Per=Y","Days=T","Dir=V")</f>
        <v>0</v>
      </c>
      <c r="S2">
        <f>BDH("CTS US Equity","BS_ACCT_NOTE_RCV","1993-06-18","2026-05-02","Per=Y","Days=T","Dir=V")</f>
        <v>0</v>
      </c>
      <c r="U2">
        <f>BDH("CTS US Equity","BS_INVENTORIES","1993-06-18","2026-05-02","Per=Y","Days=T","Dir=V")</f>
        <v>0</v>
      </c>
      <c r="W2">
        <f>BDH("CTS US Equity","WORKING_CAPITAL","1993-06-18","2026-05-02","Per=Y","Days=T","Dir=V")</f>
        <v>0</v>
      </c>
      <c r="Y2">
        <f>BDH("CTS US Equity","SALES_REV_TURN","1993-06-18","2026-05-02","Per=Y","Days=T","Dir=V")</f>
        <v>0</v>
      </c>
      <c r="AA2">
        <f>BDH("CTS US Equity","EBIT","1993-06-18","2026-05-02","Per=Y","Days=T","Dir=V")</f>
        <v>0</v>
      </c>
      <c r="AC2">
        <f>BDH("CTS US Equity","EBITDA","1993-06-18","2026-05-02","Per=Y","Days=T","Dir=V")</f>
        <v>0</v>
      </c>
      <c r="AE2">
        <f>BDH("CTS US Equity","NET_INCOME","1993-06-18","2026-05-02","Per=Y","Days=T","Dir=V")</f>
        <v>0</v>
      </c>
      <c r="AG2">
        <f>BDH("CTS US Equity","IS_INT_EXPENSE","1993-06-18","2026-05-02","Per=Y","Days=T","Dir=V")</f>
        <v>0</v>
      </c>
      <c r="AI2">
        <f>BDH("CTS US Equity","IS_DEPR_EXP","1993-06-18","2026-05-02","Per=Y","Days=T","Dir=V")</f>
        <v>0</v>
      </c>
      <c r="AK2">
        <f>BDH("CTS US Equity","CF_CASH_FROM_OPER","1993-06-18","2026-05-02","Per=Y","Days=T","Dir=V")</f>
        <v>0</v>
      </c>
      <c r="AM2">
        <f>BDH("CTS US Equity","CAPITAL_EXPEND","1993-06-18","2026-05-02","Per=Y","Days=T","Dir=V")</f>
        <v>0</v>
      </c>
      <c r="AO2">
        <f>BDH("CTS US Equity","CF_FREE_CASH_FLOW","1993-06-18","2026-05-02","Per=Y","Days=T","Dir=V")</f>
        <v>0</v>
      </c>
      <c r="AQ2">
        <f>BDH("CTS US Equity","PX_LAST","1993-06-18","2026-05-02","Per=M","Days=T","Dir=V")</f>
        <v>0</v>
      </c>
      <c r="AS2">
        <f>BDH("CTS US Equity","CUR_MKT_CAP","1993-06-18","2026-05-02","Per=M","Days=T","Dir=V")</f>
        <v>0</v>
      </c>
      <c r="AU2">
        <f>BDH("CTS US Equity","EQY_SH_OUT","1993-06-18","2026-05-02","Per=M","Days=T","Dir=V")</f>
        <v>0</v>
      </c>
      <c r="AW2">
        <f>BDH("CTS US Equity","PX_VOLUME","1993-06-18","2026-05-02","Per=M","Days=T","Dir=V")</f>
        <v>0</v>
      </c>
      <c r="AY2">
        <f>BDH("CTS US Equity","TURNOVER","1993-06-18","2026-05-02","Per=M","Days=T","Dir=V")</f>
        <v>0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BDH("CTSH US Equity","BS_TOT_ASSET","1993-06-18","2026-05-02","Per=Y","Days=T","Dir=V")</f>
        <v>0</v>
      </c>
      <c r="C2">
        <f>BDH("CTSH US Equity","BS_TOT_LIAB2","1993-06-18","2026-05-02","Per=Y","Days=T","Dir=V")</f>
        <v>0</v>
      </c>
      <c r="E2">
        <f>BDH("CTSH US Equity","SHORT_AND_LONG_TERM_DEBT","1993-06-18","2026-05-02","Per=Y","Days=T","Dir=V")</f>
        <v>0</v>
      </c>
      <c r="G2">
        <f>BDH("CTSH US Equity","BS_ST_BORROW","1993-06-18","2026-05-02","Per=Y","Days=T","Dir=V")</f>
        <v>0</v>
      </c>
      <c r="I2">
        <f>BDH("CTSH US Equity","BS_LT_BORROW","1993-06-18","2026-05-02","Per=Y","Days=T","Dir=V")</f>
        <v>0</v>
      </c>
      <c r="K2">
        <f>BDH("CTSH US Equity","BS_CASH_NEAR_CASH_ITEM","1993-06-18","2026-05-02","Per=Y","Days=T","Dir=V")</f>
        <v>0</v>
      </c>
      <c r="M2">
        <f>BDH("CTSH US Equity","BS_CUR_ASSET_REPORT","1993-06-18","2026-05-02","Per=Y","Days=T","Dir=V")</f>
        <v>0</v>
      </c>
      <c r="O2">
        <f>BDH("CTSH US Equity","BS_CUR_LIAB","1993-06-18","2026-05-02","Per=Y","Days=T","Dir=V")</f>
        <v>0</v>
      </c>
      <c r="Q2">
        <f>BDH("CTSH US Equity","BS_SHAREHOLDER_EQY_ENDING_PERIOD","1993-06-18","2026-05-02","Per=Y","Days=T","Dir=V")</f>
        <v>0</v>
      </c>
      <c r="S2">
        <f>BDH("CTSH US Equity","BS_ACCT_NOTE_RCV","1993-06-18","2026-05-02","Per=Y","Days=T","Dir=V")</f>
        <v>0</v>
      </c>
      <c r="U2">
        <f>BDH("CTSH US Equity","BS_INVENTORIES","1993-06-18","2026-05-02","Per=Y","Days=T","Dir=V")</f>
        <v>0</v>
      </c>
      <c r="W2">
        <f>BDH("CTSH US Equity","WORKING_CAPITAL","1993-06-18","2026-05-02","Per=Y","Days=T","Dir=V")</f>
        <v>0</v>
      </c>
      <c r="Y2">
        <f>BDH("CTSH US Equity","SALES_REV_TURN","1993-06-18","2026-05-02","Per=Y","Days=T","Dir=V")</f>
        <v>0</v>
      </c>
      <c r="AA2">
        <f>BDH("CTSH US Equity","EBIT","1993-06-18","2026-05-02","Per=Y","Days=T","Dir=V")</f>
        <v>0</v>
      </c>
      <c r="AC2">
        <f>BDH("CTSH US Equity","EBITDA","1993-06-18","2026-05-02","Per=Y","Days=T","Dir=V")</f>
        <v>0</v>
      </c>
      <c r="AE2">
        <f>BDH("CTSH US Equity","NET_INCOME","1993-06-18","2026-05-02","Per=Y","Days=T","Dir=V")</f>
        <v>0</v>
      </c>
      <c r="AG2">
        <f>BDH("CTSH US Equity","IS_INT_EXPENSE","1993-06-18","2026-05-02","Per=Y","Days=T","Dir=V")</f>
        <v>0</v>
      </c>
      <c r="AI2">
        <f>BDH("CTSH US Equity","IS_DEPR_EXP","1993-06-18","2026-05-02","Per=Y","Days=T","Dir=V")</f>
        <v>0</v>
      </c>
      <c r="AK2">
        <f>BDH("CTSH US Equity","CF_CASH_FROM_OPER","1993-06-18","2026-05-02","Per=Y","Days=T","Dir=V")</f>
        <v>0</v>
      </c>
      <c r="AM2">
        <f>BDH("CTSH US Equity","CAPITAL_EXPEND","1993-06-18","2026-05-02","Per=Y","Days=T","Dir=V")</f>
        <v>0</v>
      </c>
      <c r="AO2">
        <f>BDH("CTSH US Equity","CF_FREE_CASH_FLOW","1993-06-18","2026-05-02","Per=Y","Days=T","Dir=V")</f>
        <v>0</v>
      </c>
      <c r="AQ2">
        <f>BDH("CTSH US Equity","PX_LAST","1993-06-18","2026-05-02","Per=M","Days=T","Dir=V")</f>
        <v>0</v>
      </c>
      <c r="AS2">
        <f>BDH("CTSH US Equity","CUR_MKT_CAP","1993-06-18","2026-05-02","Per=M","Days=T","Dir=V")</f>
        <v>0</v>
      </c>
      <c r="AU2">
        <f>BDH("CTSH US Equity","EQY_SH_OUT","1993-06-18","2026-05-02","Per=M","Days=T","Dir=V")</f>
        <v>0</v>
      </c>
      <c r="AW2">
        <f>BDH("CTSH US Equity","PX_VOLUME","1993-06-18","2026-05-02","Per=M","Days=T","Dir=V")</f>
        <v>0</v>
      </c>
      <c r="AY2">
        <f>BDH("CTSH US Equity","TURNOVER","1993-06-18","2026-05-02","Per=M","Days=T","Dir=V")</f>
        <v>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BDH("CTSO US Equity","BS_TOT_ASSET","1993-06-18","2026-05-02","Per=Y","Days=T","Dir=V")</f>
        <v>0</v>
      </c>
      <c r="C2">
        <f>BDH("CTSO US Equity","BS_TOT_LIAB2","1993-06-18","2026-05-02","Per=Y","Days=T","Dir=V")</f>
        <v>0</v>
      </c>
      <c r="E2">
        <f>BDH("CTSO US Equity","SHORT_AND_LONG_TERM_DEBT","1993-06-18","2026-05-02","Per=Y","Days=T","Dir=V")</f>
        <v>0</v>
      </c>
      <c r="G2">
        <f>BDH("CTSO US Equity","BS_ST_BORROW","1993-06-18","2026-05-02","Per=Y","Days=T","Dir=V")</f>
        <v>0</v>
      </c>
      <c r="I2">
        <f>BDH("CTSO US Equity","BS_LT_BORROW","1993-06-18","2026-05-02","Per=Y","Days=T","Dir=V")</f>
        <v>0</v>
      </c>
      <c r="K2">
        <f>BDH("CTSO US Equity","BS_CASH_NEAR_CASH_ITEM","1993-06-18","2026-05-02","Per=Y","Days=T","Dir=V")</f>
        <v>0</v>
      </c>
      <c r="M2">
        <f>BDH("CTSO US Equity","BS_CUR_ASSET_REPORT","1993-06-18","2026-05-02","Per=Y","Days=T","Dir=V")</f>
        <v>0</v>
      </c>
      <c r="O2">
        <f>BDH("CTSO US Equity","BS_CUR_LIAB","1993-06-18","2026-05-02","Per=Y","Days=T","Dir=V")</f>
        <v>0</v>
      </c>
      <c r="Q2">
        <f>BDH("CTSO US Equity","BS_SHAREHOLDER_EQY_ENDING_PERIOD","1993-06-18","2026-05-02","Per=Y","Days=T","Dir=V")</f>
        <v>0</v>
      </c>
      <c r="S2">
        <f>BDH("CTSO US Equity","BS_ACCT_NOTE_RCV","1993-06-18","2026-05-02","Per=Y","Days=T","Dir=V")</f>
        <v>0</v>
      </c>
      <c r="U2">
        <f>BDH("CTSO US Equity","BS_INVENTORIES","1993-06-18","2026-05-02","Per=Y","Days=T","Dir=V")</f>
        <v>0</v>
      </c>
      <c r="W2">
        <f>BDH("CTSO US Equity","WORKING_CAPITAL","1993-06-18","2026-05-02","Per=Y","Days=T","Dir=V")</f>
        <v>0</v>
      </c>
      <c r="Y2">
        <f>BDH("CTSO US Equity","SALES_REV_TURN","1993-06-18","2026-05-02","Per=Y","Days=T","Dir=V")</f>
        <v>0</v>
      </c>
      <c r="AA2">
        <f>BDH("CTSO US Equity","EBIT","1993-06-18","2026-05-02","Per=Y","Days=T","Dir=V")</f>
        <v>0</v>
      </c>
      <c r="AC2">
        <f>BDH("CTSO US Equity","EBITDA","1993-06-18","2026-05-02","Per=Y","Days=T","Dir=V")</f>
        <v>0</v>
      </c>
      <c r="AE2">
        <f>BDH("CTSO US Equity","NET_INCOME","1993-06-18","2026-05-02","Per=Y","Days=T","Dir=V")</f>
        <v>0</v>
      </c>
      <c r="AG2">
        <f>BDH("CTSO US Equity","IS_INT_EXPENSE","1993-06-18","2026-05-02","Per=Y","Days=T","Dir=V")</f>
        <v>0</v>
      </c>
      <c r="AI2">
        <f>BDH("CTSO US Equity","IS_DEPR_EXP","1993-06-18","2026-05-02","Per=Y","Days=T","Dir=V")</f>
        <v>0</v>
      </c>
      <c r="AK2">
        <f>BDH("CTSO US Equity","CF_CASH_FROM_OPER","1993-06-18","2026-05-02","Per=Y","Days=T","Dir=V")</f>
        <v>0</v>
      </c>
      <c r="AM2">
        <f>BDH("CTSO US Equity","CAPITAL_EXPEND","1993-06-18","2026-05-02","Per=Y","Days=T","Dir=V")</f>
        <v>0</v>
      </c>
      <c r="AO2">
        <f>BDH("CTSO US Equity","CF_FREE_CASH_FLOW","1993-06-18","2026-05-02","Per=Y","Days=T","Dir=V")</f>
        <v>0</v>
      </c>
      <c r="AQ2">
        <f>BDH("CTSO US Equity","PX_LAST","1993-06-18","2026-05-02","Per=M","Days=T","Dir=V")</f>
        <v>0</v>
      </c>
      <c r="AS2">
        <f>BDH("CTSO US Equity","CUR_MKT_CAP","1993-06-18","2026-05-02","Per=M","Days=T","Dir=V")</f>
        <v>0</v>
      </c>
      <c r="AU2">
        <f>BDH("CTSO US Equity","EQY_SH_OUT","1993-06-18","2026-05-02","Per=M","Days=T","Dir=V")</f>
        <v>0</v>
      </c>
      <c r="AW2">
        <f>BDH("CTSO US Equity","PX_VOLUME","1993-06-18","2026-05-02","Per=M","Days=T","Dir=V")</f>
        <v>0</v>
      </c>
      <c r="AY2">
        <f>BDH("CTSO US Equity","TURNOVER","1993-06-18","2026-05-02","Per=M","Days=T","Dir=V")</f>
        <v>0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BDH("CTVA US Equity","BS_TOT_ASSET","1993-06-18","2026-05-02","Per=Y","Days=T","Dir=V")</f>
        <v>0</v>
      </c>
      <c r="C2">
        <f>BDH("CTVA US Equity","BS_TOT_LIAB2","1993-06-18","2026-05-02","Per=Y","Days=T","Dir=V")</f>
        <v>0</v>
      </c>
      <c r="E2">
        <f>BDH("CTVA US Equity","SHORT_AND_LONG_TERM_DEBT","1993-06-18","2026-05-02","Per=Y","Days=T","Dir=V")</f>
        <v>0</v>
      </c>
      <c r="G2">
        <f>BDH("CTVA US Equity","BS_ST_BORROW","1993-06-18","2026-05-02","Per=Y","Days=T","Dir=V")</f>
        <v>0</v>
      </c>
      <c r="I2">
        <f>BDH("CTVA US Equity","BS_LT_BORROW","1993-06-18","2026-05-02","Per=Y","Days=T","Dir=V")</f>
        <v>0</v>
      </c>
      <c r="K2">
        <f>BDH("CTVA US Equity","BS_CASH_NEAR_CASH_ITEM","1993-06-18","2026-05-02","Per=Y","Days=T","Dir=V")</f>
        <v>0</v>
      </c>
      <c r="M2">
        <f>BDH("CTVA US Equity","BS_CUR_ASSET_REPORT","1993-06-18","2026-05-02","Per=Y","Days=T","Dir=V")</f>
        <v>0</v>
      </c>
      <c r="O2">
        <f>BDH("CTVA US Equity","BS_CUR_LIAB","1993-06-18","2026-05-02","Per=Y","Days=T","Dir=V")</f>
        <v>0</v>
      </c>
      <c r="Q2">
        <f>BDH("CTVA US Equity","BS_SHAREHOLDER_EQY_ENDING_PERIOD","1993-06-18","2026-05-02","Per=Y","Days=T","Dir=V")</f>
        <v>0</v>
      </c>
      <c r="S2">
        <f>BDH("CTVA US Equity","BS_ACCT_NOTE_RCV","1993-06-18","2026-05-02","Per=Y","Days=T","Dir=V")</f>
        <v>0</v>
      </c>
      <c r="U2">
        <f>BDH("CTVA US Equity","BS_INVENTORIES","1993-06-18","2026-05-02","Per=Y","Days=T","Dir=V")</f>
        <v>0</v>
      </c>
      <c r="W2">
        <f>BDH("CTVA US Equity","WORKING_CAPITAL","1993-06-18","2026-05-02","Per=Y","Days=T","Dir=V")</f>
        <v>0</v>
      </c>
      <c r="Y2">
        <f>BDH("CTVA US Equity","SALES_REV_TURN","1993-06-18","2026-05-02","Per=Y","Days=T","Dir=V")</f>
        <v>0</v>
      </c>
      <c r="AA2">
        <f>BDH("CTVA US Equity","EBIT","1993-06-18","2026-05-02","Per=Y","Days=T","Dir=V")</f>
        <v>0</v>
      </c>
      <c r="AC2">
        <f>BDH("CTVA US Equity","EBITDA","1993-06-18","2026-05-02","Per=Y","Days=T","Dir=V")</f>
        <v>0</v>
      </c>
      <c r="AE2">
        <f>BDH("CTVA US Equity","NET_INCOME","1993-06-18","2026-05-02","Per=Y","Days=T","Dir=V")</f>
        <v>0</v>
      </c>
      <c r="AG2">
        <f>BDH("CTVA US Equity","IS_INT_EXPENSE","1993-06-18","2026-05-02","Per=Y","Days=T","Dir=V")</f>
        <v>0</v>
      </c>
      <c r="AI2">
        <f>BDH("CTVA US Equity","IS_DEPR_EXP","1993-06-18","2026-05-02","Per=Y","Days=T","Dir=V")</f>
        <v>0</v>
      </c>
      <c r="AK2">
        <f>BDH("CTVA US Equity","CF_CASH_FROM_OPER","1993-06-18","2026-05-02","Per=Y","Days=T","Dir=V")</f>
        <v>0</v>
      </c>
      <c r="AM2">
        <f>BDH("CTVA US Equity","CAPITAL_EXPEND","1993-06-18","2026-05-02","Per=Y","Days=T","Dir=V")</f>
        <v>0</v>
      </c>
      <c r="AO2">
        <f>BDH("CTVA US Equity","CF_FREE_CASH_FLOW","1993-06-18","2026-05-02","Per=Y","Days=T","Dir=V")</f>
        <v>0</v>
      </c>
      <c r="AQ2">
        <f>BDH("CTVA US Equity","PX_LAST","1993-06-18","2026-05-02","Per=M","Days=T","Dir=V")</f>
        <v>0</v>
      </c>
      <c r="AS2">
        <f>BDH("CTVA US Equity","CUR_MKT_CAP","1993-06-18","2026-05-02","Per=M","Days=T","Dir=V")</f>
        <v>0</v>
      </c>
      <c r="AU2">
        <f>BDH("CTVA US Equity","EQY_SH_OUT","1993-06-18","2026-05-02","Per=M","Days=T","Dir=V")</f>
        <v>0</v>
      </c>
      <c r="AW2">
        <f>BDH("CTVA US Equity","PX_VOLUME","1993-06-18","2026-05-02","Per=M","Days=T","Dir=V")</f>
        <v>0</v>
      </c>
      <c r="AY2">
        <f>BDH("CTVA US Equity","TURNOVER","1993-06-18","2026-05-02","Per=M","Days=T","Dir=V")</f>
        <v>0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BDH("CTXR US Equity","BS_TOT_ASSET","1993-06-18","2026-05-02","Per=Y","Days=T","Dir=V")</f>
        <v>0</v>
      </c>
      <c r="C2">
        <f>BDH("CTXR US Equity","BS_TOT_LIAB2","1993-06-18","2026-05-02","Per=Y","Days=T","Dir=V")</f>
        <v>0</v>
      </c>
      <c r="E2">
        <f>BDH("CTXR US Equity","SHORT_AND_LONG_TERM_DEBT","1993-06-18","2026-05-02","Per=Y","Days=T","Dir=V")</f>
        <v>0</v>
      </c>
      <c r="G2">
        <f>BDH("CTXR US Equity","BS_ST_BORROW","1993-06-18","2026-05-02","Per=Y","Days=T","Dir=V")</f>
        <v>0</v>
      </c>
      <c r="I2">
        <f>BDH("CTXR US Equity","BS_LT_BORROW","1993-06-18","2026-05-02","Per=Y","Days=T","Dir=V")</f>
        <v>0</v>
      </c>
      <c r="K2">
        <f>BDH("CTXR US Equity","BS_CASH_NEAR_CASH_ITEM","1993-06-18","2026-05-02","Per=Y","Days=T","Dir=V")</f>
        <v>0</v>
      </c>
      <c r="M2">
        <f>BDH("CTXR US Equity","BS_CUR_ASSET_REPORT","1993-06-18","2026-05-02","Per=Y","Days=T","Dir=V")</f>
        <v>0</v>
      </c>
      <c r="O2">
        <f>BDH("CTXR US Equity","BS_CUR_LIAB","1993-06-18","2026-05-02","Per=Y","Days=T","Dir=V")</f>
        <v>0</v>
      </c>
      <c r="Q2">
        <f>BDH("CTXR US Equity","BS_SHAREHOLDER_EQY_ENDING_PERIOD","1993-06-18","2026-05-02","Per=Y","Days=T","Dir=V")</f>
        <v>0</v>
      </c>
      <c r="S2">
        <f>BDH("CTXR US Equity","BS_ACCT_NOTE_RCV","1993-06-18","2026-05-02","Per=Y","Days=T","Dir=V")</f>
        <v>0</v>
      </c>
      <c r="U2">
        <f>BDH("CTXR US Equity","BS_INVENTORIES","1993-06-18","2026-05-02","Per=Y","Days=T","Dir=V")</f>
        <v>0</v>
      </c>
      <c r="W2">
        <f>BDH("CTXR US Equity","WORKING_CAPITAL","1993-06-18","2026-05-02","Per=Y","Days=T","Dir=V")</f>
        <v>0</v>
      </c>
      <c r="Y2">
        <f>BDH("CTXR US Equity","SALES_REV_TURN","1993-06-18","2026-05-02","Per=Y","Days=T","Dir=V")</f>
        <v>0</v>
      </c>
      <c r="AA2">
        <f>BDH("CTXR US Equity","EBIT","1993-06-18","2026-05-02","Per=Y","Days=T","Dir=V")</f>
        <v>0</v>
      </c>
      <c r="AC2">
        <f>BDH("CTXR US Equity","EBITDA","1993-06-18","2026-05-02","Per=Y","Days=T","Dir=V")</f>
        <v>0</v>
      </c>
      <c r="AE2">
        <f>BDH("CTXR US Equity","NET_INCOME","1993-06-18","2026-05-02","Per=Y","Days=T","Dir=V")</f>
        <v>0</v>
      </c>
      <c r="AG2">
        <f>BDH("CTXR US Equity","IS_INT_EXPENSE","1993-06-18","2026-05-02","Per=Y","Days=T","Dir=V")</f>
        <v>0</v>
      </c>
      <c r="AI2">
        <f>BDH("CTXR US Equity","IS_DEPR_EXP","1993-06-18","2026-05-02","Per=Y","Days=T","Dir=V")</f>
        <v>0</v>
      </c>
      <c r="AK2">
        <f>BDH("CTXR US Equity","CF_CASH_FROM_OPER","1993-06-18","2026-05-02","Per=Y","Days=T","Dir=V")</f>
        <v>0</v>
      </c>
      <c r="AM2">
        <f>BDH("CTXR US Equity","CAPITAL_EXPEND","1993-06-18","2026-05-02","Per=Y","Days=T","Dir=V")</f>
        <v>0</v>
      </c>
      <c r="AO2">
        <f>BDH("CTXR US Equity","CF_FREE_CASH_FLOW","1993-06-18","2026-05-02","Per=Y","Days=T","Dir=V")</f>
        <v>0</v>
      </c>
      <c r="AQ2">
        <f>BDH("CTXR US Equity","PX_LAST","1993-06-18","2026-05-02","Per=M","Days=T","Dir=V")</f>
        <v>0</v>
      </c>
      <c r="AS2">
        <f>BDH("CTXR US Equity","CUR_MKT_CAP","1993-06-18","2026-05-02","Per=M","Days=T","Dir=V")</f>
        <v>0</v>
      </c>
      <c r="AU2">
        <f>BDH("CTXR US Equity","EQY_SH_OUT","1993-06-18","2026-05-02","Per=M","Days=T","Dir=V")</f>
        <v>0</v>
      </c>
      <c r="AW2">
        <f>BDH("CTXR US Equity","PX_VOLUME","1993-06-18","2026-05-02","Per=M","Days=T","Dir=V")</f>
        <v>0</v>
      </c>
      <c r="AY2">
        <f>BDH("CTXR US Equity","TURNOVER","1993-06-18","2026-05-02","Per=M","Days=T","Dir=V")</f>
        <v>0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BDH("CUB US Equity","BS_TOT_ASSET","1993-06-18","2026-05-02","Per=Y","Days=T","Dir=V")</f>
        <v>0</v>
      </c>
      <c r="C2">
        <f>BDH("CUB US Equity","BS_TOT_LIAB2","1993-06-18","2026-05-02","Per=Y","Days=T","Dir=V")</f>
        <v>0</v>
      </c>
      <c r="E2">
        <f>BDH("CUB US Equity","SHORT_AND_LONG_TERM_DEBT","1993-06-18","2026-05-02","Per=Y","Days=T","Dir=V")</f>
        <v>0</v>
      </c>
      <c r="G2">
        <f>BDH("CUB US Equity","BS_ST_BORROW","1993-06-18","2026-05-02","Per=Y","Days=T","Dir=V")</f>
        <v>0</v>
      </c>
      <c r="I2">
        <f>BDH("CUB US Equity","BS_LT_BORROW","1993-06-18","2026-05-02","Per=Y","Days=T","Dir=V")</f>
        <v>0</v>
      </c>
      <c r="K2">
        <f>BDH("CUB US Equity","BS_CASH_NEAR_CASH_ITEM","1993-06-18","2026-05-02","Per=Y","Days=T","Dir=V")</f>
        <v>0</v>
      </c>
      <c r="M2">
        <f>BDH("CUB US Equity","BS_CUR_ASSET_REPORT","1993-06-18","2026-05-02","Per=Y","Days=T","Dir=V")</f>
        <v>0</v>
      </c>
      <c r="O2">
        <f>BDH("CUB US Equity","BS_CUR_LIAB","1993-06-18","2026-05-02","Per=Y","Days=T","Dir=V")</f>
        <v>0</v>
      </c>
      <c r="Q2">
        <f>BDH("CUB US Equity","BS_SHAREHOLDER_EQY_ENDING_PERIOD","1993-06-18","2026-05-02","Per=Y","Days=T","Dir=V")</f>
        <v>0</v>
      </c>
      <c r="S2">
        <f>BDH("CUB US Equity","BS_ACCT_NOTE_RCV","1993-06-18","2026-05-02","Per=Y","Days=T","Dir=V")</f>
        <v>0</v>
      </c>
      <c r="U2">
        <f>BDH("CUB US Equity","BS_INVENTORIES","1993-06-18","2026-05-02","Per=Y","Days=T","Dir=V")</f>
        <v>0</v>
      </c>
      <c r="W2">
        <f>BDH("CUB US Equity","WORKING_CAPITAL","1993-06-18","2026-05-02","Per=Y","Days=T","Dir=V")</f>
        <v>0</v>
      </c>
      <c r="Y2">
        <f>BDH("CUB US Equity","SALES_REV_TURN","1993-06-18","2026-05-02","Per=Y","Days=T","Dir=V")</f>
        <v>0</v>
      </c>
      <c r="AA2">
        <f>BDH("CUB US Equity","EBIT","1993-06-18","2026-05-02","Per=Y","Days=T","Dir=V")</f>
        <v>0</v>
      </c>
      <c r="AC2">
        <f>BDH("CUB US Equity","EBITDA","1993-06-18","2026-05-02","Per=Y","Days=T","Dir=V")</f>
        <v>0</v>
      </c>
      <c r="AE2">
        <f>BDH("CUB US Equity","NET_INCOME","1993-06-18","2026-05-02","Per=Y","Days=T","Dir=V")</f>
        <v>0</v>
      </c>
      <c r="AG2">
        <f>BDH("CUB US Equity","IS_INT_EXPENSE","1993-06-18","2026-05-02","Per=Y","Days=T","Dir=V")</f>
        <v>0</v>
      </c>
      <c r="AI2">
        <f>BDH("CUB US Equity","IS_DEPR_EXP","1993-06-18","2026-05-02","Per=Y","Days=T","Dir=V")</f>
        <v>0</v>
      </c>
      <c r="AK2">
        <f>BDH("CUB US Equity","CF_CASH_FROM_OPER","1993-06-18","2026-05-02","Per=Y","Days=T","Dir=V")</f>
        <v>0</v>
      </c>
      <c r="AM2">
        <f>BDH("CUB US Equity","CAPITAL_EXPEND","1993-06-18","2026-05-02","Per=Y","Days=T","Dir=V")</f>
        <v>0</v>
      </c>
      <c r="AO2">
        <f>BDH("CUB US Equity","CF_FREE_CASH_FLOW","1993-06-18","2026-05-02","Per=Y","Days=T","Dir=V")</f>
        <v>0</v>
      </c>
      <c r="AQ2">
        <f>BDH("CUB US Equity","PX_LAST","1993-06-18","2026-05-02","Per=M","Days=T","Dir=V")</f>
        <v>0</v>
      </c>
      <c r="AS2">
        <f>BDH("CUB US Equity","CUR_MKT_CAP","1993-06-18","2026-05-02","Per=M","Days=T","Dir=V")</f>
        <v>0</v>
      </c>
      <c r="AU2">
        <f>BDH("CUB US Equity","EQY_SH_OUT","1993-06-18","2026-05-02","Per=M","Days=T","Dir=V")</f>
        <v>0</v>
      </c>
      <c r="AW2">
        <f>BDH("CUB US Equity","PX_VOLUME","1993-06-18","2026-05-02","Per=M","Days=T","Dir=V")</f>
        <v>0</v>
      </c>
      <c r="AY2">
        <f>BDH("CUB US Equity","TURNOVER","1993-06-18","2026-05-02","Per=M","Days=T","Dir=V")</f>
        <v>0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BDH("CUBWW US Equity","BS_TOT_ASSET","1993-06-18","2026-05-02","Per=Y","Days=T","Dir=V")</f>
        <v>0</v>
      </c>
      <c r="C2">
        <f>BDH("CUBWW US Equity","BS_TOT_LIAB2","1993-06-18","2026-05-02","Per=Y","Days=T","Dir=V")</f>
        <v>0</v>
      </c>
      <c r="E2">
        <f>BDH("CUBWW US Equity","SHORT_AND_LONG_TERM_DEBT","1993-06-18","2026-05-02","Per=Y","Days=T","Dir=V")</f>
        <v>0</v>
      </c>
      <c r="G2">
        <f>BDH("CUBWW US Equity","BS_ST_BORROW","1993-06-18","2026-05-02","Per=Y","Days=T","Dir=V")</f>
        <v>0</v>
      </c>
      <c r="I2">
        <f>BDH("CUBWW US Equity","BS_LT_BORROW","1993-06-18","2026-05-02","Per=Y","Days=T","Dir=V")</f>
        <v>0</v>
      </c>
      <c r="K2">
        <f>BDH("CUBWW US Equity","BS_CASH_NEAR_CASH_ITEM","1993-06-18","2026-05-02","Per=Y","Days=T","Dir=V")</f>
        <v>0</v>
      </c>
      <c r="M2">
        <f>BDH("CUBWW US Equity","BS_CUR_ASSET_REPORT","1993-06-18","2026-05-02","Per=Y","Days=T","Dir=V")</f>
        <v>0</v>
      </c>
      <c r="O2">
        <f>BDH("CUBWW US Equity","BS_CUR_LIAB","1993-06-18","2026-05-02","Per=Y","Days=T","Dir=V")</f>
        <v>0</v>
      </c>
      <c r="Q2">
        <f>BDH("CUBWW US Equity","BS_SHAREHOLDER_EQY_ENDING_PERIOD","1993-06-18","2026-05-02","Per=Y","Days=T","Dir=V")</f>
        <v>0</v>
      </c>
      <c r="S2">
        <f>BDH("CUBWW US Equity","BS_ACCT_NOTE_RCV","1993-06-18","2026-05-02","Per=Y","Days=T","Dir=V")</f>
        <v>0</v>
      </c>
      <c r="U2">
        <f>BDH("CUBWW US Equity","BS_INVENTORIES","1993-06-18","2026-05-02","Per=Y","Days=T","Dir=V")</f>
        <v>0</v>
      </c>
      <c r="W2">
        <f>BDH("CUBWW US Equity","WORKING_CAPITAL","1993-06-18","2026-05-02","Per=Y","Days=T","Dir=V")</f>
        <v>0</v>
      </c>
      <c r="Y2">
        <f>BDH("CUBWW US Equity","SALES_REV_TURN","1993-06-18","2026-05-02","Per=Y","Days=T","Dir=V")</f>
        <v>0</v>
      </c>
      <c r="AA2">
        <f>BDH("CUBWW US Equity","EBIT","1993-06-18","2026-05-02","Per=Y","Days=T","Dir=V")</f>
        <v>0</v>
      </c>
      <c r="AC2">
        <f>BDH("CUBWW US Equity","EBITDA","1993-06-18","2026-05-02","Per=Y","Days=T","Dir=V")</f>
        <v>0</v>
      </c>
      <c r="AE2">
        <f>BDH("CUBWW US Equity","NET_INCOME","1993-06-18","2026-05-02","Per=Y","Days=T","Dir=V")</f>
        <v>0</v>
      </c>
      <c r="AG2">
        <f>BDH("CUBWW US Equity","IS_INT_EXPENSE","1993-06-18","2026-05-02","Per=Y","Days=T","Dir=V")</f>
        <v>0</v>
      </c>
      <c r="AI2">
        <f>BDH("CUBWW US Equity","IS_DEPR_EXP","1993-06-18","2026-05-02","Per=Y","Days=T","Dir=V")</f>
        <v>0</v>
      </c>
      <c r="AK2">
        <f>BDH("CUBWW US Equity","CF_CASH_FROM_OPER","1993-06-18","2026-05-02","Per=Y","Days=T","Dir=V")</f>
        <v>0</v>
      </c>
      <c r="AM2">
        <f>BDH("CUBWW US Equity","CAPITAL_EXPEND","1993-06-18","2026-05-02","Per=Y","Days=T","Dir=V")</f>
        <v>0</v>
      </c>
      <c r="AO2">
        <f>BDH("CUBWW US Equity","CF_FREE_CASH_FLOW","1993-06-18","2026-05-02","Per=Y","Days=T","Dir=V")</f>
        <v>0</v>
      </c>
      <c r="AQ2">
        <f>BDH("CUBWW US Equity","PX_LAST","1993-06-18","2026-05-02","Per=M","Days=T","Dir=V")</f>
        <v>0</v>
      </c>
      <c r="AS2">
        <f>BDH("CUBWW US Equity","CUR_MKT_CAP","1993-06-18","2026-05-02","Per=M","Days=T","Dir=V")</f>
        <v>0</v>
      </c>
      <c r="AU2">
        <f>BDH("CUBWW US Equity","EQY_SH_OUT","1993-06-18","2026-05-02","Per=M","Days=T","Dir=V")</f>
        <v>0</v>
      </c>
      <c r="AW2">
        <f>BDH("CUBWW US Equity","PX_VOLUME","1993-06-18","2026-05-02","Per=M","Days=T","Dir=V")</f>
        <v>0</v>
      </c>
      <c r="AY2">
        <f>BDH("CUBWW US Equity","TURNOVER","1993-06-18","2026-05-02","Per=M","Days=T","Dir=V")</f>
        <v>0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BDH("CUE US Equity","BS_TOT_ASSET","1993-06-18","2026-05-02","Per=Y","Days=T","Dir=V")</f>
        <v>0</v>
      </c>
      <c r="C2">
        <f>BDH("CUE US Equity","BS_TOT_LIAB2","1993-06-18","2026-05-02","Per=Y","Days=T","Dir=V")</f>
        <v>0</v>
      </c>
      <c r="E2">
        <f>BDH("CUE US Equity","SHORT_AND_LONG_TERM_DEBT","1993-06-18","2026-05-02","Per=Y","Days=T","Dir=V")</f>
        <v>0</v>
      </c>
      <c r="G2">
        <f>BDH("CUE US Equity","BS_ST_BORROW","1993-06-18","2026-05-02","Per=Y","Days=T","Dir=V")</f>
        <v>0</v>
      </c>
      <c r="I2">
        <f>BDH("CUE US Equity","BS_LT_BORROW","1993-06-18","2026-05-02","Per=Y","Days=T","Dir=V")</f>
        <v>0</v>
      </c>
      <c r="K2">
        <f>BDH("CUE US Equity","BS_CASH_NEAR_CASH_ITEM","1993-06-18","2026-05-02","Per=Y","Days=T","Dir=V")</f>
        <v>0</v>
      </c>
      <c r="M2">
        <f>BDH("CUE US Equity","BS_CUR_ASSET_REPORT","1993-06-18","2026-05-02","Per=Y","Days=T","Dir=V")</f>
        <v>0</v>
      </c>
      <c r="O2">
        <f>BDH("CUE US Equity","BS_CUR_LIAB","1993-06-18","2026-05-02","Per=Y","Days=T","Dir=V")</f>
        <v>0</v>
      </c>
      <c r="Q2">
        <f>BDH("CUE US Equity","BS_SHAREHOLDER_EQY_ENDING_PERIOD","1993-06-18","2026-05-02","Per=Y","Days=T","Dir=V")</f>
        <v>0</v>
      </c>
      <c r="S2">
        <f>BDH("CUE US Equity","BS_ACCT_NOTE_RCV","1993-06-18","2026-05-02","Per=Y","Days=T","Dir=V")</f>
        <v>0</v>
      </c>
      <c r="U2">
        <f>BDH("CUE US Equity","BS_INVENTORIES","1993-06-18","2026-05-02","Per=Y","Days=T","Dir=V")</f>
        <v>0</v>
      </c>
      <c r="W2">
        <f>BDH("CUE US Equity","WORKING_CAPITAL","1993-06-18","2026-05-02","Per=Y","Days=T","Dir=V")</f>
        <v>0</v>
      </c>
      <c r="Y2">
        <f>BDH("CUE US Equity","SALES_REV_TURN","1993-06-18","2026-05-02","Per=Y","Days=T","Dir=V")</f>
        <v>0</v>
      </c>
      <c r="AA2">
        <f>BDH("CUE US Equity","EBIT","1993-06-18","2026-05-02","Per=Y","Days=T","Dir=V")</f>
        <v>0</v>
      </c>
      <c r="AC2">
        <f>BDH("CUE US Equity","EBITDA","1993-06-18","2026-05-02","Per=Y","Days=T","Dir=V")</f>
        <v>0</v>
      </c>
      <c r="AE2">
        <f>BDH("CUE US Equity","NET_INCOME","1993-06-18","2026-05-02","Per=Y","Days=T","Dir=V")</f>
        <v>0</v>
      </c>
      <c r="AG2">
        <f>BDH("CUE US Equity","IS_INT_EXPENSE","1993-06-18","2026-05-02","Per=Y","Days=T","Dir=V")</f>
        <v>0</v>
      </c>
      <c r="AI2">
        <f>BDH("CUE US Equity","IS_DEPR_EXP","1993-06-18","2026-05-02","Per=Y","Days=T","Dir=V")</f>
        <v>0</v>
      </c>
      <c r="AK2">
        <f>BDH("CUE US Equity","CF_CASH_FROM_OPER","1993-06-18","2026-05-02","Per=Y","Days=T","Dir=V")</f>
        <v>0</v>
      </c>
      <c r="AM2">
        <f>BDH("CUE US Equity","CAPITAL_EXPEND","1993-06-18","2026-05-02","Per=Y","Days=T","Dir=V")</f>
        <v>0</v>
      </c>
      <c r="AO2">
        <f>BDH("CUE US Equity","CF_FREE_CASH_FLOW","1993-06-18","2026-05-02","Per=Y","Days=T","Dir=V")</f>
        <v>0</v>
      </c>
      <c r="AQ2">
        <f>BDH("CUE US Equity","PX_LAST","1993-06-18","2026-05-02","Per=M","Days=T","Dir=V")</f>
        <v>0</v>
      </c>
      <c r="AS2">
        <f>BDH("CUE US Equity","CUR_MKT_CAP","1993-06-18","2026-05-02","Per=M","Days=T","Dir=V")</f>
        <v>0</v>
      </c>
      <c r="AU2">
        <f>BDH("CUE US Equity","EQY_SH_OUT","1993-06-18","2026-05-02","Per=M","Days=T","Dir=V")</f>
        <v>0</v>
      </c>
      <c r="AW2">
        <f>BDH("CUE US Equity","PX_VOLUME","1993-06-18","2026-05-02","Per=M","Days=T","Dir=V")</f>
        <v>0</v>
      </c>
      <c r="AY2">
        <f>BDH("CUE US Equity","TURNOVER","1993-06-18","2026-05-02","Per=M","Days=T","Dir=V")</f>
        <v>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BDH("CULP US Equity","BS_TOT_ASSET","1993-06-18","2026-05-02","Per=Y","Days=T","Dir=V")</f>
        <v>0</v>
      </c>
      <c r="C2">
        <f>BDH("CULP US Equity","BS_TOT_LIAB2","1993-06-18","2026-05-02","Per=Y","Days=T","Dir=V")</f>
        <v>0</v>
      </c>
      <c r="E2">
        <f>BDH("CULP US Equity","SHORT_AND_LONG_TERM_DEBT","1993-06-18","2026-05-02","Per=Y","Days=T","Dir=V")</f>
        <v>0</v>
      </c>
      <c r="G2">
        <f>BDH("CULP US Equity","BS_ST_BORROW","1993-06-18","2026-05-02","Per=Y","Days=T","Dir=V")</f>
        <v>0</v>
      </c>
      <c r="I2">
        <f>BDH("CULP US Equity","BS_LT_BORROW","1993-06-18","2026-05-02","Per=Y","Days=T","Dir=V")</f>
        <v>0</v>
      </c>
      <c r="K2">
        <f>BDH("CULP US Equity","BS_CASH_NEAR_CASH_ITEM","1993-06-18","2026-05-02","Per=Y","Days=T","Dir=V")</f>
        <v>0</v>
      </c>
      <c r="M2">
        <f>BDH("CULP US Equity","BS_CUR_ASSET_REPORT","1993-06-18","2026-05-02","Per=Y","Days=T","Dir=V")</f>
        <v>0</v>
      </c>
      <c r="O2">
        <f>BDH("CULP US Equity","BS_CUR_LIAB","1993-06-18","2026-05-02","Per=Y","Days=T","Dir=V")</f>
        <v>0</v>
      </c>
      <c r="Q2">
        <f>BDH("CULP US Equity","BS_SHAREHOLDER_EQY_ENDING_PERIOD","1993-06-18","2026-05-02","Per=Y","Days=T","Dir=V")</f>
        <v>0</v>
      </c>
      <c r="S2">
        <f>BDH("CULP US Equity","BS_ACCT_NOTE_RCV","1993-06-18","2026-05-02","Per=Y","Days=T","Dir=V")</f>
        <v>0</v>
      </c>
      <c r="U2">
        <f>BDH("CULP US Equity","BS_INVENTORIES","1993-06-18","2026-05-02","Per=Y","Days=T","Dir=V")</f>
        <v>0</v>
      </c>
      <c r="W2">
        <f>BDH("CULP US Equity","WORKING_CAPITAL","1993-06-18","2026-05-02","Per=Y","Days=T","Dir=V")</f>
        <v>0</v>
      </c>
      <c r="Y2">
        <f>BDH("CULP US Equity","SALES_REV_TURN","1993-06-18","2026-05-02","Per=Y","Days=T","Dir=V")</f>
        <v>0</v>
      </c>
      <c r="AA2">
        <f>BDH("CULP US Equity","EBIT","1993-06-18","2026-05-02","Per=Y","Days=T","Dir=V")</f>
        <v>0</v>
      </c>
      <c r="AC2">
        <f>BDH("CULP US Equity","EBITDA","1993-06-18","2026-05-02","Per=Y","Days=T","Dir=V")</f>
        <v>0</v>
      </c>
      <c r="AE2">
        <f>BDH("CULP US Equity","NET_INCOME","1993-06-18","2026-05-02","Per=Y","Days=T","Dir=V")</f>
        <v>0</v>
      </c>
      <c r="AG2">
        <f>BDH("CULP US Equity","IS_INT_EXPENSE","1993-06-18","2026-05-02","Per=Y","Days=T","Dir=V")</f>
        <v>0</v>
      </c>
      <c r="AI2">
        <f>BDH("CULP US Equity","IS_DEPR_EXP","1993-06-18","2026-05-02","Per=Y","Days=T","Dir=V")</f>
        <v>0</v>
      </c>
      <c r="AK2">
        <f>BDH("CULP US Equity","CF_CASH_FROM_OPER","1993-06-18","2026-05-02","Per=Y","Days=T","Dir=V")</f>
        <v>0</v>
      </c>
      <c r="AM2">
        <f>BDH("CULP US Equity","CAPITAL_EXPEND","1993-06-18","2026-05-02","Per=Y","Days=T","Dir=V")</f>
        <v>0</v>
      </c>
      <c r="AO2">
        <f>BDH("CULP US Equity","CF_FREE_CASH_FLOW","1993-06-18","2026-05-02","Per=Y","Days=T","Dir=V")</f>
        <v>0</v>
      </c>
      <c r="AQ2">
        <f>BDH("CULP US Equity","PX_LAST","1993-06-18","2026-05-02","Per=M","Days=T","Dir=V")</f>
        <v>0</v>
      </c>
      <c r="AS2">
        <f>BDH("CULP US Equity","CUR_MKT_CAP","1993-06-18","2026-05-02","Per=M","Days=T","Dir=V")</f>
        <v>0</v>
      </c>
      <c r="AU2">
        <f>BDH("CULP US Equity","EQY_SH_OUT","1993-06-18","2026-05-02","Per=M","Days=T","Dir=V")</f>
        <v>0</v>
      </c>
      <c r="AW2">
        <f>BDH("CULP US Equity","PX_VOLUME","1993-06-18","2026-05-02","Per=M","Days=T","Dir=V")</f>
        <v>0</v>
      </c>
      <c r="AY2">
        <f>BDH("CULP US Equity","TURNOVER","1993-06-18","2026-05-02","Per=M","Days=T","Dir=V")</f>
        <v>0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BDH("CURI US Equity","BS_TOT_ASSET","1993-06-18","2026-05-02","Per=Y","Days=T","Dir=V")</f>
        <v>0</v>
      </c>
      <c r="C2">
        <f>BDH("CURI US Equity","BS_TOT_LIAB2","1993-06-18","2026-05-02","Per=Y","Days=T","Dir=V")</f>
        <v>0</v>
      </c>
      <c r="E2">
        <f>BDH("CURI US Equity","SHORT_AND_LONG_TERM_DEBT","1993-06-18","2026-05-02","Per=Y","Days=T","Dir=V")</f>
        <v>0</v>
      </c>
      <c r="G2">
        <f>BDH("CURI US Equity","BS_ST_BORROW","1993-06-18","2026-05-02","Per=Y","Days=T","Dir=V")</f>
        <v>0</v>
      </c>
      <c r="I2">
        <f>BDH("CURI US Equity","BS_LT_BORROW","1993-06-18","2026-05-02","Per=Y","Days=T","Dir=V")</f>
        <v>0</v>
      </c>
      <c r="K2">
        <f>BDH("CURI US Equity","BS_CASH_NEAR_CASH_ITEM","1993-06-18","2026-05-02","Per=Y","Days=T","Dir=V")</f>
        <v>0</v>
      </c>
      <c r="M2">
        <f>BDH("CURI US Equity","BS_CUR_ASSET_REPORT","1993-06-18","2026-05-02","Per=Y","Days=T","Dir=V")</f>
        <v>0</v>
      </c>
      <c r="O2">
        <f>BDH("CURI US Equity","BS_CUR_LIAB","1993-06-18","2026-05-02","Per=Y","Days=T","Dir=V")</f>
        <v>0</v>
      </c>
      <c r="Q2">
        <f>BDH("CURI US Equity","BS_SHAREHOLDER_EQY_ENDING_PERIOD","1993-06-18","2026-05-02","Per=Y","Days=T","Dir=V")</f>
        <v>0</v>
      </c>
      <c r="S2">
        <f>BDH("CURI US Equity","BS_ACCT_NOTE_RCV","1993-06-18","2026-05-02","Per=Y","Days=T","Dir=V")</f>
        <v>0</v>
      </c>
      <c r="U2">
        <f>BDH("CURI US Equity","BS_INVENTORIES","1993-06-18","2026-05-02","Per=Y","Days=T","Dir=V")</f>
        <v>0</v>
      </c>
      <c r="W2">
        <f>BDH("CURI US Equity","WORKING_CAPITAL","1993-06-18","2026-05-02","Per=Y","Days=T","Dir=V")</f>
        <v>0</v>
      </c>
      <c r="Y2">
        <f>BDH("CURI US Equity","SALES_REV_TURN","1993-06-18","2026-05-02","Per=Y","Days=T","Dir=V")</f>
        <v>0</v>
      </c>
      <c r="AA2">
        <f>BDH("CURI US Equity","EBIT","1993-06-18","2026-05-02","Per=Y","Days=T","Dir=V")</f>
        <v>0</v>
      </c>
      <c r="AC2">
        <f>BDH("CURI US Equity","EBITDA","1993-06-18","2026-05-02","Per=Y","Days=T","Dir=V")</f>
        <v>0</v>
      </c>
      <c r="AE2">
        <f>BDH("CURI US Equity","NET_INCOME","1993-06-18","2026-05-02","Per=Y","Days=T","Dir=V")</f>
        <v>0</v>
      </c>
      <c r="AG2">
        <f>BDH("CURI US Equity","IS_INT_EXPENSE","1993-06-18","2026-05-02","Per=Y","Days=T","Dir=V")</f>
        <v>0</v>
      </c>
      <c r="AI2">
        <f>BDH("CURI US Equity","IS_DEPR_EXP","1993-06-18","2026-05-02","Per=Y","Days=T","Dir=V")</f>
        <v>0</v>
      </c>
      <c r="AK2">
        <f>BDH("CURI US Equity","CF_CASH_FROM_OPER","1993-06-18","2026-05-02","Per=Y","Days=T","Dir=V")</f>
        <v>0</v>
      </c>
      <c r="AM2">
        <f>BDH("CURI US Equity","CAPITAL_EXPEND","1993-06-18","2026-05-02","Per=Y","Days=T","Dir=V")</f>
        <v>0</v>
      </c>
      <c r="AO2">
        <f>BDH("CURI US Equity","CF_FREE_CASH_FLOW","1993-06-18","2026-05-02","Per=Y","Days=T","Dir=V")</f>
        <v>0</v>
      </c>
      <c r="AQ2">
        <f>BDH("CURI US Equity","PX_LAST","1993-06-18","2026-05-02","Per=M","Days=T","Dir=V")</f>
        <v>0</v>
      </c>
      <c r="AS2">
        <f>BDH("CURI US Equity","CUR_MKT_CAP","1993-06-18","2026-05-02","Per=M","Days=T","Dir=V")</f>
        <v>0</v>
      </c>
      <c r="AU2">
        <f>BDH("CURI US Equity","EQY_SH_OUT","1993-06-18","2026-05-02","Per=M","Days=T","Dir=V")</f>
        <v>0</v>
      </c>
      <c r="AW2">
        <f>BDH("CURI US Equity","PX_VOLUME","1993-06-18","2026-05-02","Per=M","Days=T","Dir=V")</f>
        <v>0</v>
      </c>
      <c r="AY2">
        <f>BDH("CURI US Equity","TURNOVER","1993-06-18","2026-05-02","Per=M","Days=T","Dir=V")</f>
        <v>0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BDH("CURV US Equity","BS_TOT_ASSET","1993-06-18","2026-05-02","Per=Y","Days=T","Dir=V")</f>
        <v>0</v>
      </c>
      <c r="C2">
        <f>BDH("CURV US Equity","BS_TOT_LIAB2","1993-06-18","2026-05-02","Per=Y","Days=T","Dir=V")</f>
        <v>0</v>
      </c>
      <c r="E2">
        <f>BDH("CURV US Equity","SHORT_AND_LONG_TERM_DEBT","1993-06-18","2026-05-02","Per=Y","Days=T","Dir=V")</f>
        <v>0</v>
      </c>
      <c r="G2">
        <f>BDH("CURV US Equity","BS_ST_BORROW","1993-06-18","2026-05-02","Per=Y","Days=T","Dir=V")</f>
        <v>0</v>
      </c>
      <c r="I2">
        <f>BDH("CURV US Equity","BS_LT_BORROW","1993-06-18","2026-05-02","Per=Y","Days=T","Dir=V")</f>
        <v>0</v>
      </c>
      <c r="K2">
        <f>BDH("CURV US Equity","BS_CASH_NEAR_CASH_ITEM","1993-06-18","2026-05-02","Per=Y","Days=T","Dir=V")</f>
        <v>0</v>
      </c>
      <c r="M2">
        <f>BDH("CURV US Equity","BS_CUR_ASSET_REPORT","1993-06-18","2026-05-02","Per=Y","Days=T","Dir=V")</f>
        <v>0</v>
      </c>
      <c r="O2">
        <f>BDH("CURV US Equity","BS_CUR_LIAB","1993-06-18","2026-05-02","Per=Y","Days=T","Dir=V")</f>
        <v>0</v>
      </c>
      <c r="Q2">
        <f>BDH("CURV US Equity","BS_SHAREHOLDER_EQY_ENDING_PERIOD","1993-06-18","2026-05-02","Per=Y","Days=T","Dir=V")</f>
        <v>0</v>
      </c>
      <c r="S2">
        <f>BDH("CURV US Equity","BS_ACCT_NOTE_RCV","1993-06-18","2026-05-02","Per=Y","Days=T","Dir=V")</f>
        <v>0</v>
      </c>
      <c r="U2">
        <f>BDH("CURV US Equity","BS_INVENTORIES","1993-06-18","2026-05-02","Per=Y","Days=T","Dir=V")</f>
        <v>0</v>
      </c>
      <c r="W2">
        <f>BDH("CURV US Equity","WORKING_CAPITAL","1993-06-18","2026-05-02","Per=Y","Days=T","Dir=V")</f>
        <v>0</v>
      </c>
      <c r="Y2">
        <f>BDH("CURV US Equity","SALES_REV_TURN","1993-06-18","2026-05-02","Per=Y","Days=T","Dir=V")</f>
        <v>0</v>
      </c>
      <c r="AA2">
        <f>BDH("CURV US Equity","EBIT","1993-06-18","2026-05-02","Per=Y","Days=T","Dir=V")</f>
        <v>0</v>
      </c>
      <c r="AC2">
        <f>BDH("CURV US Equity","EBITDA","1993-06-18","2026-05-02","Per=Y","Days=T","Dir=V")</f>
        <v>0</v>
      </c>
      <c r="AE2">
        <f>BDH("CURV US Equity","NET_INCOME","1993-06-18","2026-05-02","Per=Y","Days=T","Dir=V")</f>
        <v>0</v>
      </c>
      <c r="AG2">
        <f>BDH("CURV US Equity","IS_INT_EXPENSE","1993-06-18","2026-05-02","Per=Y","Days=T","Dir=V")</f>
        <v>0</v>
      </c>
      <c r="AI2">
        <f>BDH("CURV US Equity","IS_DEPR_EXP","1993-06-18","2026-05-02","Per=Y","Days=T","Dir=V")</f>
        <v>0</v>
      </c>
      <c r="AK2">
        <f>BDH("CURV US Equity","CF_CASH_FROM_OPER","1993-06-18","2026-05-02","Per=Y","Days=T","Dir=V")</f>
        <v>0</v>
      </c>
      <c r="AM2">
        <f>BDH("CURV US Equity","CAPITAL_EXPEND","1993-06-18","2026-05-02","Per=Y","Days=T","Dir=V")</f>
        <v>0</v>
      </c>
      <c r="AO2">
        <f>BDH("CURV US Equity","CF_FREE_CASH_FLOW","1993-06-18","2026-05-02","Per=Y","Days=T","Dir=V")</f>
        <v>0</v>
      </c>
      <c r="AQ2">
        <f>BDH("CURV US Equity","PX_LAST","1993-06-18","2026-05-02","Per=M","Days=T","Dir=V")</f>
        <v>0</v>
      </c>
      <c r="AS2">
        <f>BDH("CURV US Equity","CUR_MKT_CAP","1993-06-18","2026-05-02","Per=M","Days=T","Dir=V")</f>
        <v>0</v>
      </c>
      <c r="AU2">
        <f>BDH("CURV US Equity","EQY_SH_OUT","1993-06-18","2026-05-02","Per=M","Days=T","Dir=V")</f>
        <v>0</v>
      </c>
      <c r="AW2">
        <f>BDH("CURV US Equity","PX_VOLUME","1993-06-18","2026-05-02","Per=M","Days=T","Dir=V")</f>
        <v>0</v>
      </c>
      <c r="AY2">
        <f>BDH("CURV US Equity","TURNOVER","1993-06-18","2026-05-02","Per=M","Days=T","Dir=V")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251</vt:i4>
      </vt:variant>
    </vt:vector>
  </HeadingPairs>
  <TitlesOfParts>
    <vt:vector size="251" baseType="lpstr">
      <vt:lpstr>Security_List</vt:lpstr>
      <vt:lpstr>NB_481_Candel Therapeutics Inc.</vt:lpstr>
      <vt:lpstr>NB_482_ConAgra Brands Inc. Comm</vt:lpstr>
      <vt:lpstr>NB_483_Cardinal Health Inc. Com</vt:lpstr>
      <vt:lpstr>NB_484_Caris Life Sciences Inc.</vt:lpstr>
      <vt:lpstr>NB_485_Cheesecake Factory Incor</vt:lpstr>
      <vt:lpstr>NB_486_Caleres Inc. Common Stoc</vt:lpstr>
      <vt:lpstr>NB_487_CalciMedica Inc. Common </vt:lpstr>
      <vt:lpstr>NB_488_Cal-Maine Foods Inc. Com</vt:lpstr>
      <vt:lpstr>NB_489_Calix Inc Common Stock</vt:lpstr>
      <vt:lpstr>NB_490_Callaway Golf Company Co</vt:lpstr>
      <vt:lpstr>NB_491_CAMP4 Therapeutics Corpo</vt:lpstr>
      <vt:lpstr>NB_492_CrossAmerica Partners LP</vt:lpstr>
      <vt:lpstr>NB_493_Capricor Therapeutics In</vt:lpstr>
      <vt:lpstr>NB_494_Capstone Holding Corp. C</vt:lpstr>
      <vt:lpstr>NB_495_Avis Budget Group Inc. C</vt:lpstr>
      <vt:lpstr>NB_496_CarGurus Inc. Class A Co</vt:lpstr>
      <vt:lpstr>NB_497_Carlsmed Inc. Common Sto</vt:lpstr>
      <vt:lpstr>NB_498_Carrier Global Corporati</vt:lpstr>
      <vt:lpstr>NB_499_Cars.com Inc. Common Sto</vt:lpstr>
      <vt:lpstr>NB_500_Maplebear Inc. Common St</vt:lpstr>
      <vt:lpstr>NB_501_Cass Information Systems</vt:lpstr>
      <vt:lpstr>NB_502_FreeCast Inc. Class A Co</vt:lpstr>
      <vt:lpstr>NB_503_Casey's General Stores I</vt:lpstr>
      <vt:lpstr>NB_504_Caterpillar Inc. Common </vt:lpstr>
      <vt:lpstr>NB_505_Cato Corporation (The) C</vt:lpstr>
      <vt:lpstr>NB_506_Perspective Therapeutics</vt:lpstr>
      <vt:lpstr>NB_507_CAVA Group Inc. Common S</vt:lpstr>
      <vt:lpstr>NB_508_Crescent Biopharma Inc. </vt:lpstr>
      <vt:lpstr>NB_509_CeriBell Inc. Common Sto</vt:lpstr>
      <vt:lpstr>NB_510_Cracker Barrel Old Count</vt:lpstr>
      <vt:lpstr>NB_511_Cerebras Systems Inc. Cl</vt:lpstr>
      <vt:lpstr>NB_512_Cabot Corporation Common</vt:lpstr>
      <vt:lpstr>NB_513_Cibus Inc. Class A Commo</vt:lpstr>
      <vt:lpstr>NB_514_CBIZ Inc. Common Stock</vt:lpstr>
      <vt:lpstr>NB_515_Chemours Company (The) C</vt:lpstr>
      <vt:lpstr>NB_516_CCC Intelligent Solution</vt:lpstr>
      <vt:lpstr>NB_517_C4 Therapeutics Inc. Com</vt:lpstr>
      <vt:lpstr>NB_518_Cryo-Cell International </vt:lpstr>
      <vt:lpstr>NB_519_Crown Holdings Inc.</vt:lpstr>
      <vt:lpstr>NB_520_Carnival Corporation Ltd</vt:lpstr>
      <vt:lpstr>NB_521_CareCloud Inc. Common St</vt:lpstr>
      <vt:lpstr>NB_522_Clear Channel Outdoor Ho</vt:lpstr>
      <vt:lpstr>NB_523_Cogent Communications Ho</vt:lpstr>
      <vt:lpstr>NB_524_Century Communities Inc.</vt:lpstr>
      <vt:lpstr>NB_525_Consensus Cloud Solution</vt:lpstr>
      <vt:lpstr>NB_526_Comcast Holdings ZONES</vt:lpstr>
      <vt:lpstr>NB_527_Coeur Mining Inc. Common</vt:lpstr>
      <vt:lpstr>NB_528_Cardio Diagnostics Holdi</vt:lpstr>
      <vt:lpstr>NB_529_Cardlytics Inc. Common S</vt:lpstr>
      <vt:lpstr>NB_530_CareDx Inc. Common Stock</vt:lpstr>
      <vt:lpstr>NB_531_Cardinal Infrastructure </vt:lpstr>
      <vt:lpstr>NB_532_Cadence Design Systems I</vt:lpstr>
      <vt:lpstr>NB_533_Cadre Holdings Inc. Comm</vt:lpstr>
      <vt:lpstr>NB_534_CDT Equity Inc. Common S</vt:lpstr>
      <vt:lpstr>NB_535_CDT Equity Inc. Warrant</vt:lpstr>
      <vt:lpstr>NB_536_CDW Corporation Common S</vt:lpstr>
      <vt:lpstr>NB_537_Codexis Inc. Common Stoc</vt:lpstr>
      <vt:lpstr>NB_538_CADIZ Inc. Common Stock</vt:lpstr>
      <vt:lpstr>NB_539_Cadiz Inc. Depositary Sh</vt:lpstr>
      <vt:lpstr>NB_540_Celanese Corporation Com</vt:lpstr>
      <vt:lpstr>NB_541_CECO Environmental Corp.</vt:lpstr>
      <vt:lpstr>NB_542_Constellation Energy Cor</vt:lpstr>
      <vt:lpstr>NB_543_Celcuity Inc. Common Sto</vt:lpstr>
      <vt:lpstr>NB_544_Celsius Holdings Inc. Co</vt:lpstr>
      <vt:lpstr>NB_545_Celularity Inc. Class A </vt:lpstr>
      <vt:lpstr>NB_546_Creative Medical Technol</vt:lpstr>
      <vt:lpstr>NB_547_Central Garden &amp; Pet Com</vt:lpstr>
      <vt:lpstr>NB_548_Central Garden &amp; Pet Com</vt:lpstr>
      <vt:lpstr>NB_549_Century Aluminum Company</vt:lpstr>
      <vt:lpstr>NB_550_Capstone Energy Plus Inc</vt:lpstr>
      <vt:lpstr>NB_551_Cerus Corporation Common</vt:lpstr>
      <vt:lpstr>NB_552_Certara Inc. Common Stoc</vt:lpstr>
      <vt:lpstr>NB_553_Cemtrex Inc. Common Stoc</vt:lpstr>
      <vt:lpstr>NB_554_Clean Energy Technologie</vt:lpstr>
      <vt:lpstr>NB_555_CEVA Inc. Common Stock</vt:lpstr>
      <vt:lpstr>NB_556_CF Industries Holdings I</vt:lpstr>
      <vt:lpstr>NB_557_Cullinan Therapeutics In</vt:lpstr>
      <vt:lpstr>NB_558_Cognex Corporation Commo</vt:lpstr>
      <vt:lpstr>NB_559_CG Oncology Inc. Common </vt:lpstr>
      <vt:lpstr>NB_560_Cognition Therapeutics I</vt:lpstr>
      <vt:lpstr>NB_561_Church &amp; Dwight Company </vt:lpstr>
      <vt:lpstr>NB_562_Churchill Downs Incorpor</vt:lpstr>
      <vt:lpstr>NB_563_Chemed Corp</vt:lpstr>
      <vt:lpstr>NB_564_The Chefs' Warehouse Inc</vt:lpstr>
      <vt:lpstr>NB_565_Change Agents Corporatio</vt:lpstr>
      <vt:lpstr>NB_566_Choice Hotels Internatio</vt:lpstr>
      <vt:lpstr>NB_567_Chord Energy Corporation</vt:lpstr>
      <vt:lpstr>NB_568_ChronoScale Holdings Cor</vt:lpstr>
      <vt:lpstr>NB_569_Coherus Oncology Inc. Co</vt:lpstr>
      <vt:lpstr>NB_570_C.H. Robinson Worldwide </vt:lpstr>
      <vt:lpstr>NB_571_CHS Inc Class B Cumulati</vt:lpstr>
      <vt:lpstr>NB_572_CHS Inc Class B Reset Ra</vt:lpstr>
      <vt:lpstr>NB_573_CHS Inc Preferred Class </vt:lpstr>
      <vt:lpstr>NB_574_CHS Inc. Class B Cumulat</vt:lpstr>
      <vt:lpstr>NB_575_CHS Inc. 8%  Cumulative </vt:lpstr>
      <vt:lpstr>NB_576_Charter Communications I</vt:lpstr>
      <vt:lpstr>NB_577_Charter Communications I</vt:lpstr>
      <vt:lpstr>NB_578_Chewy Inc. Class A Commo</vt:lpstr>
      <vt:lpstr>NB_579_The Cigna Group Common S</vt:lpstr>
      <vt:lpstr>NB_580_Ciena Corporation Common</vt:lpstr>
      <vt:lpstr>NB_581_Cingulate Inc. Common St</vt:lpstr>
      <vt:lpstr>NB_582_Circle8 Group Inc. Commo</vt:lpstr>
      <vt:lpstr>NB_583_CISO Global Inc. Common </vt:lpstr>
      <vt:lpstr>NB_584_CompX International Inc.</vt:lpstr>
      <vt:lpstr>NB_585_Callan JMB Inc. Common S</vt:lpstr>
      <vt:lpstr>NB_586_CKX Lands Inc. Common St</vt:lpstr>
      <vt:lpstr>NB_587_Colgate-Palmolive Compan</vt:lpstr>
      <vt:lpstr>NB_588_Clarus Corporation Commo</vt:lpstr>
      <vt:lpstr>NB_589_Celldex Therapeutics Inc</vt:lpstr>
      <vt:lpstr>NB_590_Cleveland-Cliffs Inc. Co</vt:lpstr>
      <vt:lpstr>NB_591_Clearfield Inc. Common S</vt:lpstr>
      <vt:lpstr>NB_592_Clean Harbors Inc. Commo</vt:lpstr>
      <vt:lpstr>NB_593_ClearSign Technologies C</vt:lpstr>
      <vt:lpstr>NB_594_Climb Global Solutions I</vt:lpstr>
      <vt:lpstr>NB_595_Calumet Inc. Common Stoc</vt:lpstr>
      <vt:lpstr>NB_596_Clean Energy Fuels Corp.</vt:lpstr>
      <vt:lpstr>NB_597_Clene Inc. Common Stock</vt:lpstr>
      <vt:lpstr>NB_598_Clover Health Investment</vt:lpstr>
      <vt:lpstr>NB_599_ClearPoint Neuro Inc. Co</vt:lpstr>
      <vt:lpstr>NB_600_Cellectar Biosciences In</vt:lpstr>
      <vt:lpstr>NB_601_ClearOne Inc. Common Sto</vt:lpstr>
      <vt:lpstr>NB_602_Clearwater Paper Corpora</vt:lpstr>
      <vt:lpstr>NB_603_Clorox Company (The) Com</vt:lpstr>
      <vt:lpstr>NB_604_Climb Bio Inc. Common St</vt:lpstr>
      <vt:lpstr>NB_605_Commercial Metals Compan</vt:lpstr>
      <vt:lpstr>NB_606_Columbus McKinnon Corpor</vt:lpstr>
      <vt:lpstr>NB_607_Comcast Corporation Clas</vt:lpstr>
      <vt:lpstr>NB_608_Chipotle Mexican Grill I</vt:lpstr>
      <vt:lpstr>NB_609_Cummins Inc. Common Stoc</vt:lpstr>
      <vt:lpstr>NB_610_Compass Minerals Intl In</vt:lpstr>
      <vt:lpstr>NB_611_Compass Therapeutics Inc</vt:lpstr>
      <vt:lpstr>NB_612_Commerce.com Inc. Series</vt:lpstr>
      <vt:lpstr>NB_613_CMS Energy Corporation C</vt:lpstr>
      <vt:lpstr>NB_614_CMS Energy Corporation 5</vt:lpstr>
      <vt:lpstr>NB_615_CMS Energy Corporation 5</vt:lpstr>
      <vt:lpstr>NB_616_CMS Energy Corporation 5</vt:lpstr>
      <vt:lpstr>NB_617_Core Molding Technologie</vt:lpstr>
      <vt:lpstr>NB_618_Comtech Telecommunicatio</vt:lpstr>
      <vt:lpstr>NB_619_Centene Corporation Comm</vt:lpstr>
      <vt:lpstr>NB_620_Conduent Incorporated Co</vt:lpstr>
      <vt:lpstr>NB_621_Cinemark Holdings Inc Ci</vt:lpstr>
      <vt:lpstr>NB_622_Core &amp; Main Inc. Class A</vt:lpstr>
      <vt:lpstr>NB_623_CONMED Corporation Commo</vt:lpstr>
      <vt:lpstr>NB_624_Cannae Holdings Inc. Com</vt:lpstr>
      <vt:lpstr>NB_625_CenterPoint Energy Inc (</vt:lpstr>
      <vt:lpstr>NB_626_Core Natural Resources I</vt:lpstr>
      <vt:lpstr>NB_627_CNS Pharmaceuticals Inc.</vt:lpstr>
      <vt:lpstr>NB_628_Cerenome Inc. Common Sto</vt:lpstr>
      <vt:lpstr>NB_629_Canton Strategic Holding</vt:lpstr>
      <vt:lpstr>NB_630_Context Therapeutics Inc</vt:lpstr>
      <vt:lpstr>NB_631_Century Casinos Inc. Com</vt:lpstr>
      <vt:lpstr>NB_632_Cineverse Corp. Class A </vt:lpstr>
      <vt:lpstr>NB_633_CNX Resources Corporatio</vt:lpstr>
      <vt:lpstr>NB_634_Concentrix Corporation C</vt:lpstr>
      <vt:lpstr>NB_635_PC Connection Inc. Commo</vt:lpstr>
      <vt:lpstr>NB_636_Conexeu Sciences Inc. Co</vt:lpstr>
      <vt:lpstr>NB_637_Hemab Therapeutics Holdi</vt:lpstr>
      <vt:lpstr>NB_638_Envoy Medical Inc. Class</vt:lpstr>
      <vt:lpstr>NB_639_Envoy Medical Inc Warran</vt:lpstr>
      <vt:lpstr>NB_640_The Vita Coco Company In</vt:lpstr>
      <vt:lpstr>NB_641_Cocrystal Pharma Inc. Co</vt:lpstr>
      <vt:lpstr>NB_642_Coda Octopus Group Inc. </vt:lpstr>
      <vt:lpstr>NB_643_DBA Compass Diversified </vt:lpstr>
      <vt:lpstr>NB_644_Co-Diagnostics Inc. Comm</vt:lpstr>
      <vt:lpstr>NB_645_Cogent Biosciences Inc. </vt:lpstr>
      <vt:lpstr>NB_646_Coherent Corp. Common St</vt:lpstr>
      <vt:lpstr>NB_647_Cohu Inc. Common Stock</vt:lpstr>
      <vt:lpstr>NB_648_Coca-Cola Consolidated I</vt:lpstr>
      <vt:lpstr>NB_649_Collegium Pharmaceutical</vt:lpstr>
      <vt:lpstr>NB_650_Columbia Sportswear Comp</vt:lpstr>
      <vt:lpstr>NB_651_Concentra Group Holdings</vt:lpstr>
      <vt:lpstr>NB_652_The Cooper Companies Inc</vt:lpstr>
      <vt:lpstr>NB_653_Traeger Inc. Common Stoc</vt:lpstr>
      <vt:lpstr>NB_654_ConocoPhillips Common St</vt:lpstr>
      <vt:lpstr>NB_655_Cencora Inc. Common Stoc</vt:lpstr>
      <vt:lpstr>NB_656_Corcept Therapeutics Inc</vt:lpstr>
      <vt:lpstr>NB_657_Cosmos Health Inc. Commo</vt:lpstr>
      <vt:lpstr>NB_658_Costco Wholesale Corpora</vt:lpstr>
      <vt:lpstr>NB_659_Coty Inc. Class A Common</vt:lpstr>
      <vt:lpstr>NB_660_Coursera Inc. Common Sto</vt:lpstr>
      <vt:lpstr>NB_661_Coya Therapeutics Inc. C</vt:lpstr>
      <vt:lpstr>NB_662_Corpay Inc. Common Stock</vt:lpstr>
      <vt:lpstr>NB_663_The Campbell's Company C</vt:lpstr>
      <vt:lpstr>NB_664_Canterbury Park Holding </vt:lpstr>
      <vt:lpstr>NB_665_Cumberland Pharmaceutica</vt:lpstr>
      <vt:lpstr>NB_666_Chesapeake Utilities Cor</vt:lpstr>
      <vt:lpstr>NB_667_Coupang Inc. Class A Com</vt:lpstr>
      <vt:lpstr>NB_668_Copart Inc. (DE) Common </vt:lpstr>
      <vt:lpstr>NB_669_Cooper-Standard Holdings</vt:lpstr>
      <vt:lpstr>NB_670_CPS Technologies Corp. C</vt:lpstr>
      <vt:lpstr>NB_671_Cheniere Energy Partners</vt:lpstr>
      <vt:lpstr>NB_672_Crane Company Common Sto</vt:lpstr>
      <vt:lpstr>NB_673_CRA International Inc. C</vt:lpstr>
      <vt:lpstr>NB_674_Corbus Pharmaceuticals H</vt:lpstr>
      <vt:lpstr>NB_675_Caribou Biosciences Inc.</vt:lpstr>
      <vt:lpstr>NB_676_California Resources Cor</vt:lpstr>
      <vt:lpstr>NB_677_Cricut Inc. Class A Comm</vt:lpstr>
      <vt:lpstr>NB_678_Cardiff Oncology Inc. Co</vt:lpstr>
      <vt:lpstr>NB_679_Credo Technology Group H</vt:lpstr>
      <vt:lpstr>NB_680_Creative Realities Inc. </vt:lpstr>
      <vt:lpstr>NB_681_Crescent Energy Company </vt:lpstr>
      <vt:lpstr>NB_682_Carter's Inc. Common Sto</vt:lpstr>
      <vt:lpstr>NB_683_Curis Inc. Common Stock</vt:lpstr>
      <vt:lpstr>NB_684_Comstock Resources Inc. </vt:lpstr>
      <vt:lpstr>NB_685_Charles River Laboratori</vt:lpstr>
      <vt:lpstr>NB_686_Salesforce Inc. Common S</vt:lpstr>
      <vt:lpstr>NB_687_CorMedix Inc. Common Sto</vt:lpstr>
      <vt:lpstr>NB_688_America's Car-Mart Inc C</vt:lpstr>
      <vt:lpstr>NB_689_Cerence Inc. Common Stoc</vt:lpstr>
      <vt:lpstr>NB_690_Crocs Inc. Common Stock</vt:lpstr>
      <vt:lpstr>NB_691_Carpenter Technology Cor</vt:lpstr>
      <vt:lpstr>NB_692_Corsair Gaming Inc. Comm</vt:lpstr>
      <vt:lpstr>NB_693_Cross Timbers Royalty Tr</vt:lpstr>
      <vt:lpstr>NB_694_Cirrus Logic Inc. Common</vt:lpstr>
      <vt:lpstr>NB_695_CervoMed Inc. Common Sto</vt:lpstr>
      <vt:lpstr>NB_696_Corvus Pharmaceuticals I</vt:lpstr>
      <vt:lpstr>NB_697_CrowdStrike Holdings Inc</vt:lpstr>
      <vt:lpstr>NB_698_Crown Crafts Inc Common </vt:lpstr>
      <vt:lpstr>NB_699_CoreWeave Inc. Class A C</vt:lpstr>
      <vt:lpstr>NB_700_Cloudastructure Inc. Cla</vt:lpstr>
      <vt:lpstr>NB_701_Champions Oncology Inc. </vt:lpstr>
      <vt:lpstr>NB_702_Cisco Systems Inc. Commo</vt:lpstr>
      <vt:lpstr>NB_703_Carlisle Companies Incor</vt:lpstr>
      <vt:lpstr>NB_704_CSP Inc. Common Stock</vt:lpstr>
      <vt:lpstr>NB_705_Castle Biosciences Inc. </vt:lpstr>
      <vt:lpstr>NB_706_Carriage Services Inc. C</vt:lpstr>
      <vt:lpstr>NB_707_CSW Industrials Inc. Com</vt:lpstr>
      <vt:lpstr>NB_708_Capital Southwest Corpor</vt:lpstr>
      <vt:lpstr>NB_709_CSX Corporation Common S</vt:lpstr>
      <vt:lpstr>NB_710_Cintas Corporation Commo</vt:lpstr>
      <vt:lpstr>NB_711_Claritev Corporation Cla</vt:lpstr>
      <vt:lpstr>NB_712_Contango Silver &amp; Gold I</vt:lpstr>
      <vt:lpstr>NB_713_Cytek Biosciences Inc. C</vt:lpstr>
      <vt:lpstr>NB_714_CytomX Therapeutics Inc.</vt:lpstr>
      <vt:lpstr>NB_715_Contineum Therapeutics I</vt:lpstr>
      <vt:lpstr>NB_716_Cheetah Net Supply Chain</vt:lpstr>
      <vt:lpstr>NB_717_Citius Oncology Inc. Com</vt:lpstr>
      <vt:lpstr>NB_718_Centuri Holdings Inc. Co</vt:lpstr>
      <vt:lpstr>NB_719_Citi Trends Inc. Common </vt:lpstr>
      <vt:lpstr>NB_720_CTS Corporation Common S</vt:lpstr>
      <vt:lpstr>NB_721_Cognizant Technology Sol</vt:lpstr>
      <vt:lpstr>NB_722_Cytosorbents Corporation</vt:lpstr>
      <vt:lpstr>NB_723_Corteva Inc. Common Stoc</vt:lpstr>
      <vt:lpstr>NB_724_Citius Pharmaceuticals I</vt:lpstr>
      <vt:lpstr>NB_725_Lionheart Holdings Class</vt:lpstr>
      <vt:lpstr>NB_726_Lionheart Holdings Warra</vt:lpstr>
      <vt:lpstr>NB_727_Cue Biopharma Inc. Commo</vt:lpstr>
      <vt:lpstr>NB_728_Culp Inc. Common Stock</vt:lpstr>
      <vt:lpstr>NB_729_CuriosityStream Inc. Cla</vt:lpstr>
      <vt:lpstr>NB_730_Torrid Holdings Inc. Com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2026-10-04T16:23:26Z</dcterms:created>
  <dcterms:modified xsi:type="dcterms:W3CDTF">2026-10-04T16:23:26Z</dcterms:modified>
</cp:coreProperties>
</file>