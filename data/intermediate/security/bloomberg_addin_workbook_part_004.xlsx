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112_Gastar Exploration Inc." sheetId="2" r:id="rId2"/>
    <sheet name="SA_199_Parker Drilling Company" sheetId="3" r:id="rId3"/>
    <sheet name="SA_289_Windstream Holdings, Inc" sheetId="4" r:id="rId4"/>
    <sheet name="SA_69_PHI, Inc." sheetId="5" r:id="rId5"/>
    <sheet name="SA_194_Orchids Paper Products C" sheetId="6" r:id="rId6"/>
    <sheet name="SA_227_Jones Energy, Inc." sheetId="7" r:id="rId7"/>
    <sheet name="SA_50_Cloud Peak Energy Inc." sheetId="8" r:id="rId8"/>
    <sheet name="SA_193_Bristow Group Inc." sheetId="9" r:id="rId9"/>
    <sheet name="SA_218_Legacy Reserves Inc." sheetId="10" r:id="rId10"/>
    <sheet name="SA_241_Sanchez Energy Corporati" sheetId="11" r:id="rId11"/>
    <sheet name="SA_104_EP Energy Corporation (E" sheetId="12" r:id="rId12"/>
    <sheet name="SA_270_Nobilis Health Corp." sheetId="13" r:id="rId13"/>
    <sheet name="SA_2_Approach Resources Inc." sheetId="14" r:id="rId14"/>
    <sheet name="SA_119_McDermott International," sheetId="15" r:id="rId15"/>
    <sheet name="SA_252_Pier 1 Imports, Inc." sheetId="16" r:id="rId16"/>
    <sheet name="SA_214_Foresight Energy LP" sheetId="17" r:id="rId17"/>
    <sheet name="SA_262_Quorum Health Corporatio" sheetId="18" r:id="rId18"/>
    <sheet name="SA_198_Centric Brands Inc." sheetId="19" r:id="rId19"/>
    <sheet name="SA_56_Hornbeck Offshore Service" sheetId="20" r:id="rId20"/>
    <sheet name="SA_144_Akorn, Inc." sheetId="21" r:id="rId21"/>
    <sheet name="SA_298_Tuesday Morning Corporat" sheetId="22" r:id="rId22"/>
    <sheet name="SA_31_Libbey Inc." sheetId="23" r:id="rId23"/>
    <sheet name="SA_188_Pyxus International, Inc" sheetId="24" r:id="rId24"/>
    <sheet name="SA_231_AAC Holdings, Inc." sheetId="25" r:id="rId25"/>
    <sheet name="SA_8_GNC Holdings, Inc." sheetId="26" r:id="rId26"/>
    <sheet name="SA_286_Jason Industries, Inc." sheetId="27" r:id="rId27"/>
    <sheet name="SA_100_Covia Holdings Corporati" sheetId="28" r:id="rId28"/>
    <sheet name="SA_95_Hi-Crush Inc." sheetId="29" r:id="rId29"/>
    <sheet name="SA_244_California Resources Cor" sheetId="30" r:id="rId30"/>
    <sheet name="SA_38_Rosehill Resources Inc." sheetId="31" r:id="rId31"/>
    <sheet name="SA_226_Tailored Brands, Inc." sheetId="32" r:id="rId32"/>
    <sheet name="SA_111_Lonestar Resources US In" sheetId="33" r:id="rId33"/>
    <sheet name="SA_54_Sequential Brands Group, " sheetId="34" r:id="rId34"/>
    <sheet name="SA_11_Clovis Oncology, Inc." sheetId="35" r:id="rId35"/>
    <sheet name="SA_184_2u Inc" sheetId="36" r:id="rId36"/>
    <sheet name="SA_156_Vbi Vaccines Inc" sheetId="37" r:id="rId37"/>
    <sheet name="SA_294_Ll Flooring Holdings Inc" sheetId="38" r:id="rId38"/>
    <sheet name="SA_303_Sunpower Corp" sheetId="39" r:id="rId39"/>
    <sheet name="SA_275_Meta Materials Inc" sheetId="40" r:id="rId40"/>
    <sheet name="SA_200_Big Lots Inc" sheetId="41" r:id="rId41"/>
    <sheet name="SA_21_Tupperware Brands Corp" sheetId="42" r:id="rId42"/>
    <sheet name="SA_24_Edgio Inc" sheetId="43" r:id="rId43"/>
    <sheet name="SA_48_Bright Green Corp" sheetId="44" r:id="rId44"/>
    <sheet name="SA_60_Smart For Life Inc" sheetId="45" r:id="rId45"/>
    <sheet name="SA_230_Burgerfi International I" sheetId="46" r:id="rId46"/>
    <sheet name="SA_73_Enviva Inc" sheetId="47" r:id="rId47"/>
    <sheet name="SA_42_Vertex Energy Inc" sheetId="48" r:id="rId48"/>
    <sheet name="SA_30_Gritstone Bio Inc" sheetId="49" r:id="rId49"/>
    <sheet name="SA_208_Vicinity Motor Corp" sheetId="50" r:id="rId50"/>
    <sheet name="SA_132_Spirit Airlines Inc" sheetId="51" r:id="rId51"/>
  </sheets>
  <calcPr calcId="124519" fullCalcOnLoad="1"/>
</workbook>
</file>

<file path=xl/sharedStrings.xml><?xml version="1.0" encoding="utf-8"?>
<sst xmlns="http://schemas.openxmlformats.org/spreadsheetml/2006/main" count="3361" uniqueCount="408">
  <si>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</si>
  <si>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</si>
  <si>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</si>
  <si>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</si>
  <si>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</si>
  <si>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</si>
  <si>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</si>
  <si>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</si>
  <si>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</si>
  <si>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</si>
  <si>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</si>
  <si>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SA_112</t>
  </si>
  <si>
    <t>bankrupt</t>
  </si>
  <si>
    <t>2018-10-31</t>
  </si>
  <si>
    <t>GSTCQ</t>
  </si>
  <si>
    <t>Gastar Exploration Inc.</t>
  </si>
  <si>
    <t/>
  </si>
  <si>
    <t>GSTCQ US Equity</t>
  </si>
  <si>
    <t>2018-08-02</t>
  </si>
  <si>
    <t>2013-08-02</t>
  </si>
  <si>
    <t>SA_199</t>
  </si>
  <si>
    <t>2018-12-12</t>
  </si>
  <si>
    <t>PKDSQ</t>
  </si>
  <si>
    <t>Parker Drilling Company</t>
  </si>
  <si>
    <t>PKDC US Equity</t>
  </si>
  <si>
    <t>2018-09-13</t>
  </si>
  <si>
    <t>2013-09-13</t>
  </si>
  <si>
    <t>SA_289</t>
  </si>
  <si>
    <t>2019-02-25</t>
  </si>
  <si>
    <t>WINMQ</t>
  </si>
  <si>
    <t>Windstream Holdings, Inc. (Windstream Services, LLC)</t>
  </si>
  <si>
    <t>WINMQ US Equity</t>
  </si>
  <si>
    <t>2018-11-27</t>
  </si>
  <si>
    <t>2013-11-27</t>
  </si>
  <si>
    <t>SA_69</t>
  </si>
  <si>
    <t>2019-03-14</t>
  </si>
  <si>
    <t>PHIIQ</t>
  </si>
  <si>
    <t>PHI, Inc.</t>
  </si>
  <si>
    <t>PHIIQ US Equity</t>
  </si>
  <si>
    <t>2018-12-14</t>
  </si>
  <si>
    <t>2013-12-14</t>
  </si>
  <si>
    <t>SA_194</t>
  </si>
  <si>
    <t>2019-04-01</t>
  </si>
  <si>
    <t>TISUQ</t>
  </si>
  <si>
    <t>Orchids Paper Products Company</t>
  </si>
  <si>
    <t>TISUQ US Equity</t>
  </si>
  <si>
    <t>2019-01-01</t>
  </si>
  <si>
    <t>2014-01-01</t>
  </si>
  <si>
    <t>SA_227</t>
  </si>
  <si>
    <t>2019-04-14</t>
  </si>
  <si>
    <t>JONEQ</t>
  </si>
  <si>
    <t>Jones Energy, Inc.</t>
  </si>
  <si>
    <t>JONEQ US Equity</t>
  </si>
  <si>
    <t>2019-01-14</t>
  </si>
  <si>
    <t>2014-01-14</t>
  </si>
  <si>
    <t>SA_50</t>
  </si>
  <si>
    <t>2019-05-10</t>
  </si>
  <si>
    <t>CLDPQ</t>
  </si>
  <si>
    <t>Cloud Peak Energy Inc.</t>
  </si>
  <si>
    <t>CLDPQ US Equity</t>
  </si>
  <si>
    <t>2019-02-09</t>
  </si>
  <si>
    <t>2014-02-09</t>
  </si>
  <si>
    <t>SA_193</t>
  </si>
  <si>
    <t>2019-05-11</t>
  </si>
  <si>
    <t>BRSWQ</t>
  </si>
  <si>
    <t>Bristow Group Inc.</t>
  </si>
  <si>
    <t>BRSWQ US Equity</t>
  </si>
  <si>
    <t>2019-02-10</t>
  </si>
  <si>
    <t>2014-02-10</t>
  </si>
  <si>
    <t>SA_218</t>
  </si>
  <si>
    <t>2019-06-18</t>
  </si>
  <si>
    <t>LGCYQ</t>
  </si>
  <si>
    <t>Legacy Reserves Inc.</t>
  </si>
  <si>
    <t>LGCYQ US Equity</t>
  </si>
  <si>
    <t>2019-03-20</t>
  </si>
  <si>
    <t>2014-03-20</t>
  </si>
  <si>
    <t>SA_241</t>
  </si>
  <si>
    <t>2019-08-11</t>
  </si>
  <si>
    <t>SNECQ</t>
  </si>
  <si>
    <t>Sanchez Energy Corporation</t>
  </si>
  <si>
    <t>SNECQ US Equity</t>
  </si>
  <si>
    <t>2019-05-13</t>
  </si>
  <si>
    <t>2014-05-13</t>
  </si>
  <si>
    <t>SA_104</t>
  </si>
  <si>
    <t>2019-10-03</t>
  </si>
  <si>
    <t>EPEGQ</t>
  </si>
  <si>
    <t>EP Energy Corporation (EP Energy LLC)</t>
  </si>
  <si>
    <t>EPEGQ US Equity</t>
  </si>
  <si>
    <t>2019-07-05</t>
  </si>
  <si>
    <t>2014-07-05</t>
  </si>
  <si>
    <t>SA_270</t>
  </si>
  <si>
    <t>2019-10-21</t>
  </si>
  <si>
    <t>NRTSF</t>
  </si>
  <si>
    <t>Nobilis Health Corp.</t>
  </si>
  <si>
    <t>NRTSF US Equity</t>
  </si>
  <si>
    <t>2019-07-23</t>
  </si>
  <si>
    <t>2014-07-23</t>
  </si>
  <si>
    <t>SA_2</t>
  </si>
  <si>
    <t>2019-11-18</t>
  </si>
  <si>
    <t>AREXQ</t>
  </si>
  <si>
    <t>Approach Resources Inc.</t>
  </si>
  <si>
    <t>AREXQ US Equity</t>
  </si>
  <si>
    <t>2019-08-20</t>
  </si>
  <si>
    <t>2014-08-20</t>
  </si>
  <si>
    <t>SA_119</t>
  </si>
  <si>
    <t>2020-01-21</t>
  </si>
  <si>
    <t>MDRIQ</t>
  </si>
  <si>
    <t>McDermott International, Inc.</t>
  </si>
  <si>
    <t>MDRIQ US Equity</t>
  </si>
  <si>
    <t>2019-10-23</t>
  </si>
  <si>
    <t>2014-10-23</t>
  </si>
  <si>
    <t>SA_252</t>
  </si>
  <si>
    <t>2020-02-17</t>
  </si>
  <si>
    <t>PIRRQ</t>
  </si>
  <si>
    <t>Pier 1 Imports, Inc.</t>
  </si>
  <si>
    <t>PIRRQ US Equity</t>
  </si>
  <si>
    <t>2019-11-19</t>
  </si>
  <si>
    <t>2014-11-19</t>
  </si>
  <si>
    <t>SA_214</t>
  </si>
  <si>
    <t>2020-03-10</t>
  </si>
  <si>
    <t>FELPQ</t>
  </si>
  <si>
    <t>Foresight Energy LP</t>
  </si>
  <si>
    <t>FELPQ US Equity</t>
  </si>
  <si>
    <t>2019-12-11</t>
  </si>
  <si>
    <t>2014-12-11</t>
  </si>
  <si>
    <t>SA_262</t>
  </si>
  <si>
    <t>2020-04-07</t>
  </si>
  <si>
    <t>QHCCQ</t>
  </si>
  <si>
    <t>Quorum Health Corporation</t>
  </si>
  <si>
    <t>QHCCQ US Equity</t>
  </si>
  <si>
    <t>2020-01-08</t>
  </si>
  <si>
    <t>2015-01-08</t>
  </si>
  <si>
    <t>SA_198</t>
  </si>
  <si>
    <t>2020-05-18</t>
  </si>
  <si>
    <t>CTRCQ</t>
  </si>
  <si>
    <t>Centric Brands Inc.</t>
  </si>
  <si>
    <t>CTRCQ US Equity</t>
  </si>
  <si>
    <t>2020-02-18</t>
  </si>
  <si>
    <t>2015-02-18</t>
  </si>
  <si>
    <t>SA_56</t>
  </si>
  <si>
    <t>2020-05-19</t>
  </si>
  <si>
    <t>HOSSQ</t>
  </si>
  <si>
    <t>Hornbeck Offshore Services, Inc.</t>
  </si>
  <si>
    <t>HOS US Equity</t>
  </si>
  <si>
    <t>2020-02-19</t>
  </si>
  <si>
    <t>2015-02-19</t>
  </si>
  <si>
    <t>SA_144</t>
  </si>
  <si>
    <t>2020-05-20</t>
  </si>
  <si>
    <t>AKRXQ</t>
  </si>
  <si>
    <t>Akorn, Inc.</t>
  </si>
  <si>
    <t>AKRXQ US Equity</t>
  </si>
  <si>
    <t>2020-02-20</t>
  </si>
  <si>
    <t>2015-02-20</t>
  </si>
  <si>
    <t>SA_298</t>
  </si>
  <si>
    <t>2020-05-27</t>
  </si>
  <si>
    <t>TUEMQ</t>
  </si>
  <si>
    <t>Tuesday Morning Corporation</t>
  </si>
  <si>
    <t>TUEMQ US Equity</t>
  </si>
  <si>
    <t>2020-02-27</t>
  </si>
  <si>
    <t>2015-02-27</t>
  </si>
  <si>
    <t>SA_31</t>
  </si>
  <si>
    <t>2020-06-01</t>
  </si>
  <si>
    <t>LBYYQ</t>
  </si>
  <si>
    <t>Libbey Inc.</t>
  </si>
  <si>
    <t>LBYYQ US Equity</t>
  </si>
  <si>
    <t>2020-03-03</t>
  </si>
  <si>
    <t>2015-03-03</t>
  </si>
  <si>
    <t>SA_188</t>
  </si>
  <si>
    <t>2020-06-15</t>
  </si>
  <si>
    <t>PYXSQ</t>
  </si>
  <si>
    <t>Pyxus International, Inc.</t>
  </si>
  <si>
    <t>PYXSQ US Equity</t>
  </si>
  <si>
    <t>2020-03-17</t>
  </si>
  <si>
    <t>2015-03-17</t>
  </si>
  <si>
    <t>SA_231</t>
  </si>
  <si>
    <t>2020-06-20</t>
  </si>
  <si>
    <t>AACH</t>
  </si>
  <si>
    <t>AAC Holdings, Inc.</t>
  </si>
  <si>
    <t>AACH US Equity</t>
  </si>
  <si>
    <t>2020-03-22</t>
  </si>
  <si>
    <t>2015-03-22</t>
  </si>
  <si>
    <t>SA_8</t>
  </si>
  <si>
    <t>2020-06-23</t>
  </si>
  <si>
    <t>GNCIQ</t>
  </si>
  <si>
    <t>GNC Holdings, Inc.</t>
  </si>
  <si>
    <t>GNCIQ US Equity</t>
  </si>
  <si>
    <t>2020-03-25</t>
  </si>
  <si>
    <t>2015-03-25</t>
  </si>
  <si>
    <t>SA_286</t>
  </si>
  <si>
    <t>2020-06-24</t>
  </si>
  <si>
    <t>JASNQ</t>
  </si>
  <si>
    <t>Jason Industries, Inc.</t>
  </si>
  <si>
    <t>JASNQ US Equity</t>
  </si>
  <si>
    <t>2020-03-26</t>
  </si>
  <si>
    <t>2015-03-26</t>
  </si>
  <si>
    <t>SA_100</t>
  </si>
  <si>
    <t>2020-06-29</t>
  </si>
  <si>
    <t>CVIAQ</t>
  </si>
  <si>
    <t>Covia Holdings Corporation</t>
  </si>
  <si>
    <t>CVIAQ US Equity</t>
  </si>
  <si>
    <t>2020-03-31</t>
  </si>
  <si>
    <t>2015-03-31</t>
  </si>
  <si>
    <t>SA_95</t>
  </si>
  <si>
    <t>2020-07-12</t>
  </si>
  <si>
    <t>HCRSQ</t>
  </si>
  <si>
    <t>Hi-Crush Inc.</t>
  </si>
  <si>
    <t>HCRSQ US Equity</t>
  </si>
  <si>
    <t>2020-04-13</t>
  </si>
  <si>
    <t>2015-04-13</t>
  </si>
  <si>
    <t>SA_244</t>
  </si>
  <si>
    <t>2020-07-15</t>
  </si>
  <si>
    <t>CRCQQ</t>
  </si>
  <si>
    <t>California Resources Corporation</t>
  </si>
  <si>
    <t>CRC US Equity</t>
  </si>
  <si>
    <t>2020-04-16</t>
  </si>
  <si>
    <t>2015-04-16</t>
  </si>
  <si>
    <t>SA_38</t>
  </si>
  <si>
    <t>2020-07-26</t>
  </si>
  <si>
    <t>ROSEQ</t>
  </si>
  <si>
    <t>Rosehill Resources Inc.</t>
  </si>
  <si>
    <t>ROSUQ US Equity</t>
  </si>
  <si>
    <t>2020-04-27</t>
  </si>
  <si>
    <t>2015-04-27</t>
  </si>
  <si>
    <t>SA_226</t>
  </si>
  <si>
    <t>2020-08-02</t>
  </si>
  <si>
    <t>TLRDQ</t>
  </si>
  <si>
    <t>Tailored Brands, Inc.</t>
  </si>
  <si>
    <t>TLRDQ US Equity</t>
  </si>
  <si>
    <t>2020-05-04</t>
  </si>
  <si>
    <t>2015-05-04</t>
  </si>
  <si>
    <t>SA_111</t>
  </si>
  <si>
    <t>2020-09-30</t>
  </si>
  <si>
    <t>LONEQ</t>
  </si>
  <si>
    <t>Lonestar Resources US Inc.</t>
  </si>
  <si>
    <t>1478868D US Equity</t>
  </si>
  <si>
    <t>2020-07-02</t>
  </si>
  <si>
    <t>2015-07-02</t>
  </si>
  <si>
    <t>SA_54</t>
  </si>
  <si>
    <t>2021-08-31</t>
  </si>
  <si>
    <t>SQBGQ</t>
  </si>
  <si>
    <t>Sequential Brands Group, Inc.</t>
  </si>
  <si>
    <t>SQBGQ US Equity</t>
  </si>
  <si>
    <t>2021-06-02</t>
  </si>
  <si>
    <t>2016-06-02</t>
  </si>
  <si>
    <t>SA_11</t>
  </si>
  <si>
    <t>2022-12-11</t>
  </si>
  <si>
    <t>CLVSQ</t>
  </si>
  <si>
    <t>Clovis Oncology, Inc.</t>
  </si>
  <si>
    <t>CLVSQ US Equity</t>
  </si>
  <si>
    <t>2022-09-12</t>
  </si>
  <si>
    <t>2017-09-12</t>
  </si>
  <si>
    <t>SA_184</t>
  </si>
  <si>
    <t>2024-08-06</t>
  </si>
  <si>
    <t>TWOUQ</t>
  </si>
  <si>
    <t>2u Inc</t>
  </si>
  <si>
    <t>TWOUQ US Equity</t>
  </si>
  <si>
    <t>2024-05-08</t>
  </si>
  <si>
    <t>2019-05-08</t>
  </si>
  <si>
    <t>SA_156</t>
  </si>
  <si>
    <t>2024-08-07</t>
  </si>
  <si>
    <t>VBIV</t>
  </si>
  <si>
    <t>Vbi Vaccines Inc</t>
  </si>
  <si>
    <t>VBIVQ US Equity</t>
  </si>
  <si>
    <t>2024-05-09</t>
  </si>
  <si>
    <t>2019-05-09</t>
  </si>
  <si>
    <t>SA_294</t>
  </si>
  <si>
    <t>2024-08-09</t>
  </si>
  <si>
    <t>LLFLQ</t>
  </si>
  <si>
    <t>Ll Flooring Holdings Inc</t>
  </si>
  <si>
    <t>LLFLQ US Equity</t>
  </si>
  <si>
    <t>2024-05-11</t>
  </si>
  <si>
    <t>SA_303</t>
  </si>
  <si>
    <t>2024-08-15</t>
  </si>
  <si>
    <t>SPWRQ</t>
  </si>
  <si>
    <t>Sunpower Corp</t>
  </si>
  <si>
    <t>SPWRQ US Equity</t>
  </si>
  <si>
    <t>2024-05-17</t>
  </si>
  <si>
    <t>2019-05-17</t>
  </si>
  <si>
    <t>SA_275</t>
  </si>
  <si>
    <t>2024-08-20</t>
  </si>
  <si>
    <t>MMATQ</t>
  </si>
  <si>
    <t>Meta Materials Inc</t>
  </si>
  <si>
    <t>MMATQ US Equity</t>
  </si>
  <si>
    <t>2024-05-22</t>
  </si>
  <si>
    <t>2019-05-22</t>
  </si>
  <si>
    <t>SA_200</t>
  </si>
  <si>
    <t>2024-09-09</t>
  </si>
  <si>
    <t>BIGGQ</t>
  </si>
  <si>
    <t>Big Lots Inc</t>
  </si>
  <si>
    <t>BIGGQ US Equity</t>
  </si>
  <si>
    <t>2024-06-11</t>
  </si>
  <si>
    <t>2019-06-11</t>
  </si>
  <si>
    <t>SA_21</t>
  </si>
  <si>
    <t>2024-09-17</t>
  </si>
  <si>
    <t>TUPBQ</t>
  </si>
  <si>
    <t>Tupperware Brands Corp</t>
  </si>
  <si>
    <t>TUPBQ US Equity</t>
  </si>
  <si>
    <t>2024-06-19</t>
  </si>
  <si>
    <t>2019-06-19</t>
  </si>
  <si>
    <t>SA_24</t>
  </si>
  <si>
    <t>EGIOQ</t>
  </si>
  <si>
    <t>Edgio Inc</t>
  </si>
  <si>
    <t>EGIOQ US Equity</t>
  </si>
  <si>
    <t>SA_48</t>
  </si>
  <si>
    <t>2024-09-18</t>
  </si>
  <si>
    <t>BGXXQ</t>
  </si>
  <si>
    <t>Bright Green Corp</t>
  </si>
  <si>
    <t>BGXXQ US Equity</t>
  </si>
  <si>
    <t>2024-06-20</t>
  </si>
  <si>
    <t>2019-06-20</t>
  </si>
  <si>
    <t>SA_60</t>
  </si>
  <si>
    <t>SMFL</t>
  </si>
  <si>
    <t>Smart For Life Inc</t>
  </si>
  <si>
    <t>SMFL US Equity</t>
  </si>
  <si>
    <t>SA_230</t>
  </si>
  <si>
    <t>2024-09-20</t>
  </si>
  <si>
    <t>BFICQ</t>
  </si>
  <si>
    <t>Burgerfi International Inc</t>
  </si>
  <si>
    <t>BFICQ US Equity</t>
  </si>
  <si>
    <t>2024-06-22</t>
  </si>
  <si>
    <t>2019-06-22</t>
  </si>
  <si>
    <t>SA_73</t>
  </si>
  <si>
    <t>2024-10-03</t>
  </si>
  <si>
    <t>EVVAQ</t>
  </si>
  <si>
    <t>Enviva Inc</t>
  </si>
  <si>
    <t>EVVAQ US Equity</t>
  </si>
  <si>
    <t>2024-07-05</t>
  </si>
  <si>
    <t>SA_42</t>
  </si>
  <si>
    <t>2024-10-07</t>
  </si>
  <si>
    <t>VTNRQ</t>
  </si>
  <si>
    <t>Vertex Energy Inc</t>
  </si>
  <si>
    <t>VTNRQ US Equity</t>
  </si>
  <si>
    <t>2024-07-09</t>
  </si>
  <si>
    <t>2019-07-09</t>
  </si>
  <si>
    <t>SA_30</t>
  </si>
  <si>
    <t>2024-10-21</t>
  </si>
  <si>
    <t>GRTSQ</t>
  </si>
  <si>
    <t>Gritstone Bio Inc</t>
  </si>
  <si>
    <t>GRTSQ US Equity</t>
  </si>
  <si>
    <t>2024-07-23</t>
  </si>
  <si>
    <t>SA_208</t>
  </si>
  <si>
    <t>2024-10-30</t>
  </si>
  <si>
    <t>VEVMQ</t>
  </si>
  <si>
    <t>Vicinity Motor Corp</t>
  </si>
  <si>
    <t>VEVMQ US Equity</t>
  </si>
  <si>
    <t>2024-08-01</t>
  </si>
  <si>
    <t>2019-08-01</t>
  </si>
  <si>
    <t>SA_132</t>
  </si>
  <si>
    <t>2024-11-18</t>
  </si>
  <si>
    <t>SAVEQ</t>
  </si>
  <si>
    <t>Spirit Airlines Inc</t>
  </si>
  <si>
    <t>SAVEQ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</si>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</sst>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16</v>
      </c>
      <c r="H2" t="s">
        <v>17</v>
      </c>
      <c r="I2" t="s">
        <v>18</v>
      </c>
      <c r="J2" t="s">
        <v>19</v>
      </c>
      <c r="K2" t="s">
        <v>18</v>
      </c>
    </row>
    <row r="3" spans="1:11">
      <c r="A3" t="s">
        <v>20</v>
      </c>
      <c r="B3" t="s">
        <v>12</v>
      </c>
      <c r="C3" t="s">
        <v>21</v>
      </c>
      <c r="D3" t="s">
        <v>22</v>
      </c>
      <c r="E3" t="s">
        <v>23</v>
      </c>
      <c r="F3" t="s">
        <v>16</v>
      </c>
      <c r="G3" t="s">
        <v>16</v>
      </c>
      <c r="H3" t="s">
        <v>24</v>
      </c>
      <c r="I3" t="s">
        <v>25</v>
      </c>
      <c r="J3" t="s">
        <v>26</v>
      </c>
      <c r="K3" t="s">
        <v>25</v>
      </c>
    </row>
    <row r="4" spans="1:11">
      <c r="A4" t="s">
        <v>27</v>
      </c>
      <c r="B4" t="s">
        <v>12</v>
      </c>
      <c r="C4" t="s">
        <v>28</v>
      </c>
      <c r="D4" t="s">
        <v>29</v>
      </c>
      <c r="E4" t="s">
        <v>30</v>
      </c>
      <c r="F4" t="s">
        <v>16</v>
      </c>
      <c r="G4" t="s">
        <v>16</v>
      </c>
      <c r="H4" t="s">
        <v>31</v>
      </c>
      <c r="I4" t="s">
        <v>32</v>
      </c>
      <c r="J4" t="s">
        <v>33</v>
      </c>
      <c r="K4" t="s">
        <v>32</v>
      </c>
    </row>
    <row r="5" spans="1:11">
      <c r="A5" t="s">
        <v>34</v>
      </c>
      <c r="B5" t="s">
        <v>12</v>
      </c>
      <c r="C5" t="s">
        <v>35</v>
      </c>
      <c r="D5" t="s">
        <v>36</v>
      </c>
      <c r="E5" t="s">
        <v>37</v>
      </c>
      <c r="F5" t="s">
        <v>16</v>
      </c>
      <c r="G5" t="s">
        <v>16</v>
      </c>
      <c r="H5" t="s">
        <v>38</v>
      </c>
      <c r="I5" t="s">
        <v>39</v>
      </c>
      <c r="J5" t="s">
        <v>40</v>
      </c>
      <c r="K5" t="s">
        <v>39</v>
      </c>
    </row>
    <row r="6" spans="1:11">
      <c r="A6" t="s">
        <v>41</v>
      </c>
      <c r="B6" t="s">
        <v>12</v>
      </c>
      <c r="C6" t="s">
        <v>42</v>
      </c>
      <c r="D6" t="s">
        <v>43</v>
      </c>
      <c r="E6" t="s">
        <v>44</v>
      </c>
      <c r="F6" t="s">
        <v>16</v>
      </c>
      <c r="G6" t="s">
        <v>16</v>
      </c>
      <c r="H6" t="s">
        <v>45</v>
      </c>
      <c r="I6" t="s">
        <v>46</v>
      </c>
      <c r="J6" t="s">
        <v>47</v>
      </c>
      <c r="K6" t="s">
        <v>46</v>
      </c>
    </row>
    <row r="7" spans="1:11">
      <c r="A7" t="s">
        <v>48</v>
      </c>
      <c r="B7" t="s">
        <v>12</v>
      </c>
      <c r="C7" t="s">
        <v>49</v>
      </c>
      <c r="D7" t="s">
        <v>50</v>
      </c>
      <c r="E7" t="s">
        <v>51</v>
      </c>
      <c r="F7" t="s">
        <v>16</v>
      </c>
      <c r="G7" t="s">
        <v>16</v>
      </c>
      <c r="H7" t="s">
        <v>52</v>
      </c>
      <c r="I7" t="s">
        <v>53</v>
      </c>
      <c r="J7" t="s">
        <v>54</v>
      </c>
      <c r="K7" t="s">
        <v>53</v>
      </c>
    </row>
    <row r="8" spans="1:11">
      <c r="A8" t="s">
        <v>55</v>
      </c>
      <c r="B8" t="s">
        <v>12</v>
      </c>
      <c r="C8" t="s">
        <v>56</v>
      </c>
      <c r="D8" t="s">
        <v>57</v>
      </c>
      <c r="E8" t="s">
        <v>58</v>
      </c>
      <c r="F8" t="s">
        <v>16</v>
      </c>
      <c r="G8" t="s">
        <v>16</v>
      </c>
      <c r="H8" t="s">
        <v>59</v>
      </c>
      <c r="I8" t="s">
        <v>60</v>
      </c>
      <c r="J8" t="s">
        <v>61</v>
      </c>
      <c r="K8" t="s">
        <v>60</v>
      </c>
    </row>
    <row r="9" spans="1:11">
      <c r="A9" t="s">
        <v>62</v>
      </c>
      <c r="B9" t="s">
        <v>12</v>
      </c>
      <c r="C9" t="s">
        <v>63</v>
      </c>
      <c r="D9" t="s">
        <v>64</v>
      </c>
      <c r="E9" t="s">
        <v>65</v>
      </c>
      <c r="F9" t="s">
        <v>16</v>
      </c>
      <c r="G9" t="s">
        <v>16</v>
      </c>
      <c r="H9" t="s">
        <v>66</v>
      </c>
      <c r="I9" t="s">
        <v>67</v>
      </c>
      <c r="J9" t="s">
        <v>68</v>
      </c>
      <c r="K9" t="s">
        <v>67</v>
      </c>
    </row>
    <row r="10" spans="1:11">
      <c r="A10" t="s">
        <v>69</v>
      </c>
      <c r="B10" t="s">
        <v>12</v>
      </c>
      <c r="C10" t="s">
        <v>70</v>
      </c>
      <c r="D10" t="s">
        <v>71</v>
      </c>
      <c r="E10" t="s">
        <v>72</v>
      </c>
      <c r="F10" t="s">
        <v>16</v>
      </c>
      <c r="G10" t="s">
        <v>16</v>
      </c>
      <c r="H10" t="s">
        <v>73</v>
      </c>
      <c r="I10" t="s">
        <v>74</v>
      </c>
      <c r="J10" t="s">
        <v>75</v>
      </c>
      <c r="K10" t="s">
        <v>74</v>
      </c>
    </row>
    <row r="11" spans="1:11">
      <c r="A11" t="s">
        <v>76</v>
      </c>
      <c r="B11" t="s">
        <v>12</v>
      </c>
      <c r="C11" t="s">
        <v>77</v>
      </c>
      <c r="D11" t="s">
        <v>78</v>
      </c>
      <c r="E11" t="s">
        <v>79</v>
      </c>
      <c r="F11" t="s">
        <v>16</v>
      </c>
      <c r="G11" t="s">
        <v>16</v>
      </c>
      <c r="H11" t="s">
        <v>80</v>
      </c>
      <c r="I11" t="s">
        <v>81</v>
      </c>
      <c r="J11" t="s">
        <v>82</v>
      </c>
      <c r="K11" t="s">
        <v>81</v>
      </c>
    </row>
    <row r="12" spans="1:11">
      <c r="A12" t="s">
        <v>83</v>
      </c>
      <c r="B12" t="s">
        <v>12</v>
      </c>
      <c r="C12" t="s">
        <v>84</v>
      </c>
      <c r="D12" t="s">
        <v>85</v>
      </c>
      <c r="E12" t="s">
        <v>86</v>
      </c>
      <c r="F12" t="s">
        <v>16</v>
      </c>
      <c r="G12" t="s">
        <v>16</v>
      </c>
      <c r="H12" t="s">
        <v>87</v>
      </c>
      <c r="I12" t="s">
        <v>88</v>
      </c>
      <c r="J12" t="s">
        <v>89</v>
      </c>
      <c r="K12" t="s">
        <v>88</v>
      </c>
    </row>
    <row r="13" spans="1:11">
      <c r="A13" t="s">
        <v>90</v>
      </c>
      <c r="B13" t="s">
        <v>12</v>
      </c>
      <c r="C13" t="s">
        <v>91</v>
      </c>
      <c r="D13" t="s">
        <v>92</v>
      </c>
      <c r="E13" t="s">
        <v>93</v>
      </c>
      <c r="F13" t="s">
        <v>16</v>
      </c>
      <c r="G13" t="s">
        <v>16</v>
      </c>
      <c r="H13" t="s">
        <v>94</v>
      </c>
      <c r="I13" t="s">
        <v>95</v>
      </c>
      <c r="J13" t="s">
        <v>96</v>
      </c>
      <c r="K13" t="s">
        <v>95</v>
      </c>
    </row>
    <row r="14" spans="1:11">
      <c r="A14" t="s">
        <v>97</v>
      </c>
      <c r="B14" t="s">
        <v>12</v>
      </c>
      <c r="C14" t="s">
        <v>98</v>
      </c>
      <c r="D14" t="s">
        <v>99</v>
      </c>
      <c r="E14" t="s">
        <v>100</v>
      </c>
      <c r="F14" t="s">
        <v>16</v>
      </c>
      <c r="G14" t="s">
        <v>16</v>
      </c>
      <c r="H14" t="s">
        <v>101</v>
      </c>
      <c r="I14" t="s">
        <v>102</v>
      </c>
      <c r="J14" t="s">
        <v>103</v>
      </c>
      <c r="K14" t="s">
        <v>102</v>
      </c>
    </row>
    <row r="15" spans="1:11">
      <c r="A15" t="s">
        <v>104</v>
      </c>
      <c r="B15" t="s">
        <v>12</v>
      </c>
      <c r="C15" t="s">
        <v>105</v>
      </c>
      <c r="D15" t="s">
        <v>106</v>
      </c>
      <c r="E15" t="s">
        <v>107</v>
      </c>
      <c r="F15" t="s">
        <v>16</v>
      </c>
      <c r="G15" t="s">
        <v>16</v>
      </c>
      <c r="H15" t="s">
        <v>108</v>
      </c>
      <c r="I15" t="s">
        <v>109</v>
      </c>
      <c r="J15" t="s">
        <v>110</v>
      </c>
      <c r="K15" t="s">
        <v>109</v>
      </c>
    </row>
    <row r="16" spans="1:11">
      <c r="A16" t="s">
        <v>111</v>
      </c>
      <c r="B16" t="s">
        <v>12</v>
      </c>
      <c r="C16" t="s">
        <v>112</v>
      </c>
      <c r="D16" t="s">
        <v>113</v>
      </c>
      <c r="E16" t="s">
        <v>114</v>
      </c>
      <c r="F16" t="s">
        <v>16</v>
      </c>
      <c r="G16" t="s">
        <v>16</v>
      </c>
      <c r="H16" t="s">
        <v>115</v>
      </c>
      <c r="I16" t="s">
        <v>116</v>
      </c>
      <c r="J16" t="s">
        <v>117</v>
      </c>
      <c r="K16" t="s">
        <v>116</v>
      </c>
    </row>
    <row r="17" spans="1:11">
      <c r="A17" t="s">
        <v>118</v>
      </c>
      <c r="B17" t="s">
        <v>12</v>
      </c>
      <c r="C17" t="s">
        <v>119</v>
      </c>
      <c r="D17" t="s">
        <v>120</v>
      </c>
      <c r="E17" t="s">
        <v>121</v>
      </c>
      <c r="F17" t="s">
        <v>16</v>
      </c>
      <c r="G17" t="s">
        <v>16</v>
      </c>
      <c r="H17" t="s">
        <v>122</v>
      </c>
      <c r="I17" t="s">
        <v>123</v>
      </c>
      <c r="J17" t="s">
        <v>124</v>
      </c>
      <c r="K17" t="s">
        <v>123</v>
      </c>
    </row>
    <row r="18" spans="1:11">
      <c r="A18" t="s">
        <v>125</v>
      </c>
      <c r="B18" t="s">
        <v>12</v>
      </c>
      <c r="C18" t="s">
        <v>126</v>
      </c>
      <c r="D18" t="s">
        <v>127</v>
      </c>
      <c r="E18" t="s">
        <v>128</v>
      </c>
      <c r="F18" t="s">
        <v>16</v>
      </c>
      <c r="G18" t="s">
        <v>16</v>
      </c>
      <c r="H18" t="s">
        <v>129</v>
      </c>
      <c r="I18" t="s">
        <v>130</v>
      </c>
      <c r="J18" t="s">
        <v>131</v>
      </c>
      <c r="K18" t="s">
        <v>130</v>
      </c>
    </row>
    <row r="19" spans="1:11">
      <c r="A19" t="s">
        <v>132</v>
      </c>
      <c r="B19" t="s">
        <v>12</v>
      </c>
      <c r="C19" t="s">
        <v>133</v>
      </c>
      <c r="D19" t="s">
        <v>134</v>
      </c>
      <c r="E19" t="s">
        <v>135</v>
      </c>
      <c r="F19" t="s">
        <v>16</v>
      </c>
      <c r="G19" t="s">
        <v>16</v>
      </c>
      <c r="H19" t="s">
        <v>136</v>
      </c>
      <c r="I19" t="s">
        <v>137</v>
      </c>
      <c r="J19" t="s">
        <v>138</v>
      </c>
      <c r="K19" t="s">
        <v>137</v>
      </c>
    </row>
    <row r="20" spans="1:11">
      <c r="A20" t="s">
        <v>139</v>
      </c>
      <c r="B20" t="s">
        <v>12</v>
      </c>
      <c r="C20" t="s">
        <v>140</v>
      </c>
      <c r="D20" t="s">
        <v>141</v>
      </c>
      <c r="E20" t="s">
        <v>142</v>
      </c>
      <c r="F20" t="s">
        <v>16</v>
      </c>
      <c r="G20" t="s">
        <v>16</v>
      </c>
      <c r="H20" t="s">
        <v>143</v>
      </c>
      <c r="I20" t="s">
        <v>144</v>
      </c>
      <c r="J20" t="s">
        <v>145</v>
      </c>
      <c r="K20" t="s">
        <v>144</v>
      </c>
    </row>
    <row r="21" spans="1:11">
      <c r="A21" t="s">
        <v>146</v>
      </c>
      <c r="B21" t="s">
        <v>12</v>
      </c>
      <c r="C21" t="s">
        <v>147</v>
      </c>
      <c r="D21" t="s">
        <v>148</v>
      </c>
      <c r="E21" t="s">
        <v>149</v>
      </c>
      <c r="F21" t="s">
        <v>16</v>
      </c>
      <c r="G21" t="s">
        <v>16</v>
      </c>
      <c r="H21" t="s">
        <v>150</v>
      </c>
      <c r="I21" t="s">
        <v>151</v>
      </c>
      <c r="J21" t="s">
        <v>152</v>
      </c>
      <c r="K21" t="s">
        <v>151</v>
      </c>
    </row>
    <row r="22" spans="1:11">
      <c r="A22" t="s">
        <v>153</v>
      </c>
      <c r="B22" t="s">
        <v>12</v>
      </c>
      <c r="C22" t="s">
        <v>154</v>
      </c>
      <c r="D22" t="s">
        <v>155</v>
      </c>
      <c r="E22" t="s">
        <v>156</v>
      </c>
      <c r="F22" t="s">
        <v>16</v>
      </c>
      <c r="G22" t="s">
        <v>16</v>
      </c>
      <c r="H22" t="s">
        <v>157</v>
      </c>
      <c r="I22" t="s">
        <v>158</v>
      </c>
      <c r="J22" t="s">
        <v>159</v>
      </c>
      <c r="K22" t="s">
        <v>158</v>
      </c>
    </row>
    <row r="23" spans="1:11">
      <c r="A23" t="s">
        <v>160</v>
      </c>
      <c r="B23" t="s">
        <v>12</v>
      </c>
      <c r="C23" t="s">
        <v>161</v>
      </c>
      <c r="D23" t="s">
        <v>162</v>
      </c>
      <c r="E23" t="s">
        <v>163</v>
      </c>
      <c r="F23" t="s">
        <v>16</v>
      </c>
      <c r="G23" t="s">
        <v>16</v>
      </c>
      <c r="H23" t="s">
        <v>164</v>
      </c>
      <c r="I23" t="s">
        <v>165</v>
      </c>
      <c r="J23" t="s">
        <v>166</v>
      </c>
      <c r="K23" t="s">
        <v>165</v>
      </c>
    </row>
    <row r="24" spans="1:11">
      <c r="A24" t="s">
        <v>167</v>
      </c>
      <c r="B24" t="s">
        <v>12</v>
      </c>
      <c r="C24" t="s">
        <v>168</v>
      </c>
      <c r="D24" t="s">
        <v>169</v>
      </c>
      <c r="E24" t="s">
        <v>170</v>
      </c>
      <c r="F24" t="s">
        <v>16</v>
      </c>
      <c r="G24" t="s">
        <v>16</v>
      </c>
      <c r="H24" t="s">
        <v>171</v>
      </c>
      <c r="I24" t="s">
        <v>172</v>
      </c>
      <c r="J24" t="s">
        <v>173</v>
      </c>
      <c r="K24" t="s">
        <v>172</v>
      </c>
    </row>
    <row r="25" spans="1:11">
      <c r="A25" t="s">
        <v>174</v>
      </c>
      <c r="B25" t="s">
        <v>12</v>
      </c>
      <c r="C25" t="s">
        <v>175</v>
      </c>
      <c r="D25" t="s">
        <v>176</v>
      </c>
      <c r="E25" t="s">
        <v>177</v>
      </c>
      <c r="F25" t="s">
        <v>16</v>
      </c>
      <c r="G25" t="s">
        <v>16</v>
      </c>
      <c r="H25" t="s">
        <v>178</v>
      </c>
      <c r="I25" t="s">
        <v>179</v>
      </c>
      <c r="J25" t="s">
        <v>180</v>
      </c>
      <c r="K25" t="s">
        <v>179</v>
      </c>
    </row>
    <row r="26" spans="1:11">
      <c r="A26" t="s">
        <v>181</v>
      </c>
      <c r="B26" t="s">
        <v>12</v>
      </c>
      <c r="C26" t="s">
        <v>182</v>
      </c>
      <c r="D26" t="s">
        <v>183</v>
      </c>
      <c r="E26" t="s">
        <v>184</v>
      </c>
      <c r="F26" t="s">
        <v>16</v>
      </c>
      <c r="G26" t="s">
        <v>16</v>
      </c>
      <c r="H26" t="s">
        <v>185</v>
      </c>
      <c r="I26" t="s">
        <v>186</v>
      </c>
      <c r="J26" t="s">
        <v>187</v>
      </c>
      <c r="K26" t="s">
        <v>186</v>
      </c>
    </row>
    <row r="27" spans="1:11">
      <c r="A27" t="s">
        <v>188</v>
      </c>
      <c r="B27" t="s">
        <v>12</v>
      </c>
      <c r="C27" t="s">
        <v>189</v>
      </c>
      <c r="D27" t="s">
        <v>190</v>
      </c>
      <c r="E27" t="s">
        <v>191</v>
      </c>
      <c r="F27" t="s">
        <v>16</v>
      </c>
      <c r="G27" t="s">
        <v>16</v>
      </c>
      <c r="H27" t="s">
        <v>192</v>
      </c>
      <c r="I27" t="s">
        <v>193</v>
      </c>
      <c r="J27" t="s">
        <v>194</v>
      </c>
      <c r="K27" t="s">
        <v>193</v>
      </c>
    </row>
    <row r="28" spans="1:11">
      <c r="A28" t="s">
        <v>195</v>
      </c>
      <c r="B28" t="s">
        <v>12</v>
      </c>
      <c r="C28" t="s">
        <v>196</v>
      </c>
      <c r="D28" t="s">
        <v>197</v>
      </c>
      <c r="E28" t="s">
        <v>198</v>
      </c>
      <c r="F28" t="s">
        <v>16</v>
      </c>
      <c r="G28" t="s">
        <v>16</v>
      </c>
      <c r="H28" t="s">
        <v>199</v>
      </c>
      <c r="I28" t="s">
        <v>200</v>
      </c>
      <c r="J28" t="s">
        <v>201</v>
      </c>
      <c r="K28" t="s">
        <v>200</v>
      </c>
    </row>
    <row r="29" spans="1:11">
      <c r="A29" t="s">
        <v>202</v>
      </c>
      <c r="B29" t="s">
        <v>12</v>
      </c>
      <c r="C29" t="s">
        <v>203</v>
      </c>
      <c r="D29" t="s">
        <v>204</v>
      </c>
      <c r="E29" t="s">
        <v>205</v>
      </c>
      <c r="F29" t="s">
        <v>16</v>
      </c>
      <c r="G29" t="s">
        <v>16</v>
      </c>
      <c r="H29" t="s">
        <v>206</v>
      </c>
      <c r="I29" t="s">
        <v>207</v>
      </c>
      <c r="J29" t="s">
        <v>208</v>
      </c>
      <c r="K29" t="s">
        <v>207</v>
      </c>
    </row>
    <row r="30" spans="1:11">
      <c r="A30" t="s">
        <v>209</v>
      </c>
      <c r="B30" t="s">
        <v>12</v>
      </c>
      <c r="C30" t="s">
        <v>210</v>
      </c>
      <c r="D30" t="s">
        <v>211</v>
      </c>
      <c r="E30" t="s">
        <v>212</v>
      </c>
      <c r="F30" t="s">
        <v>16</v>
      </c>
      <c r="G30" t="s">
        <v>16</v>
      </c>
      <c r="H30" t="s">
        <v>213</v>
      </c>
      <c r="I30" t="s">
        <v>214</v>
      </c>
      <c r="J30" t="s">
        <v>215</v>
      </c>
      <c r="K30" t="s">
        <v>214</v>
      </c>
    </row>
    <row r="31" spans="1:11">
      <c r="A31" t="s">
        <v>216</v>
      </c>
      <c r="B31" t="s">
        <v>12</v>
      </c>
      <c r="C31" t="s">
        <v>217</v>
      </c>
      <c r="D31" t="s">
        <v>218</v>
      </c>
      <c r="E31" t="s">
        <v>219</v>
      </c>
      <c r="F31" t="s">
        <v>16</v>
      </c>
      <c r="G31" t="s">
        <v>16</v>
      </c>
      <c r="H31" t="s">
        <v>220</v>
      </c>
      <c r="I31" t="s">
        <v>221</v>
      </c>
      <c r="J31" t="s">
        <v>222</v>
      </c>
      <c r="K31" t="s">
        <v>221</v>
      </c>
    </row>
    <row r="32" spans="1:11">
      <c r="A32" t="s">
        <v>223</v>
      </c>
      <c r="B32" t="s">
        <v>12</v>
      </c>
      <c r="C32" t="s">
        <v>224</v>
      </c>
      <c r="D32" t="s">
        <v>225</v>
      </c>
      <c r="E32" t="s">
        <v>226</v>
      </c>
      <c r="F32" t="s">
        <v>16</v>
      </c>
      <c r="G32" t="s">
        <v>16</v>
      </c>
      <c r="H32" t="s">
        <v>227</v>
      </c>
      <c r="I32" t="s">
        <v>228</v>
      </c>
      <c r="J32" t="s">
        <v>229</v>
      </c>
      <c r="K32" t="s">
        <v>228</v>
      </c>
    </row>
    <row r="33" spans="1:11">
      <c r="A33" t="s">
        <v>230</v>
      </c>
      <c r="B33" t="s">
        <v>12</v>
      </c>
      <c r="C33" t="s">
        <v>231</v>
      </c>
      <c r="D33" t="s">
        <v>232</v>
      </c>
      <c r="E33" t="s">
        <v>233</v>
      </c>
      <c r="F33" t="s">
        <v>16</v>
      </c>
      <c r="G33" t="s">
        <v>16</v>
      </c>
      <c r="H33" t="s">
        <v>234</v>
      </c>
      <c r="I33" t="s">
        <v>235</v>
      </c>
      <c r="J33" t="s">
        <v>236</v>
      </c>
      <c r="K33" t="s">
        <v>235</v>
      </c>
    </row>
    <row r="34" spans="1:11">
      <c r="A34" t="s">
        <v>237</v>
      </c>
      <c r="B34" t="s">
        <v>12</v>
      </c>
      <c r="C34" t="s">
        <v>238</v>
      </c>
      <c r="D34" t="s">
        <v>239</v>
      </c>
      <c r="E34" t="s">
        <v>240</v>
      </c>
      <c r="F34" t="s">
        <v>16</v>
      </c>
      <c r="G34" t="s">
        <v>16</v>
      </c>
      <c r="H34" t="s">
        <v>241</v>
      </c>
      <c r="I34" t="s">
        <v>242</v>
      </c>
      <c r="J34" t="s">
        <v>243</v>
      </c>
      <c r="K34" t="s">
        <v>242</v>
      </c>
    </row>
    <row r="35" spans="1:11">
      <c r="A35" t="s">
        <v>244</v>
      </c>
      <c r="B35" t="s">
        <v>12</v>
      </c>
      <c r="C35" t="s">
        <v>245</v>
      </c>
      <c r="D35" t="s">
        <v>246</v>
      </c>
      <c r="E35" t="s">
        <v>247</v>
      </c>
      <c r="F35" t="s">
        <v>16</v>
      </c>
      <c r="G35" t="s">
        <v>16</v>
      </c>
      <c r="H35" t="s">
        <v>248</v>
      </c>
      <c r="I35" t="s">
        <v>249</v>
      </c>
      <c r="J35" t="s">
        <v>250</v>
      </c>
      <c r="K35" t="s">
        <v>249</v>
      </c>
    </row>
    <row r="36" spans="1:11">
      <c r="A36" t="s">
        <v>251</v>
      </c>
      <c r="B36" t="s">
        <v>12</v>
      </c>
      <c r="C36" t="s">
        <v>252</v>
      </c>
      <c r="D36" t="s">
        <v>253</v>
      </c>
      <c r="E36" t="s">
        <v>254</v>
      </c>
      <c r="F36" t="s">
        <v>16</v>
      </c>
      <c r="G36" t="s">
        <v>16</v>
      </c>
      <c r="H36" t="s">
        <v>255</v>
      </c>
      <c r="I36" t="s">
        <v>256</v>
      </c>
      <c r="J36" t="s">
        <v>257</v>
      </c>
      <c r="K36" t="s">
        <v>256</v>
      </c>
    </row>
    <row r="37" spans="1:11">
      <c r="A37" t="s">
        <v>258</v>
      </c>
      <c r="B37" t="s">
        <v>12</v>
      </c>
      <c r="C37" t="s">
        <v>259</v>
      </c>
      <c r="D37" t="s">
        <v>260</v>
      </c>
      <c r="E37" t="s">
        <v>261</v>
      </c>
      <c r="F37" t="s">
        <v>16</v>
      </c>
      <c r="G37" t="s">
        <v>16</v>
      </c>
      <c r="H37" t="s">
        <v>262</v>
      </c>
      <c r="I37" t="s">
        <v>263</v>
      </c>
      <c r="J37" t="s">
        <v>264</v>
      </c>
      <c r="K37" t="s">
        <v>263</v>
      </c>
    </row>
    <row r="38" spans="1:11">
      <c r="A38" t="s">
        <v>265</v>
      </c>
      <c r="B38" t="s">
        <v>12</v>
      </c>
      <c r="C38" t="s">
        <v>266</v>
      </c>
      <c r="D38" t="s">
        <v>267</v>
      </c>
      <c r="E38" t="s">
        <v>268</v>
      </c>
      <c r="F38" t="s">
        <v>16</v>
      </c>
      <c r="G38" t="s">
        <v>16</v>
      </c>
      <c r="H38" t="s">
        <v>269</v>
      </c>
      <c r="I38" t="s">
        <v>270</v>
      </c>
      <c r="J38" t="s">
        <v>63</v>
      </c>
      <c r="K38" t="s">
        <v>270</v>
      </c>
    </row>
    <row r="39" spans="1:11">
      <c r="A39" t="s">
        <v>271</v>
      </c>
      <c r="B39" t="s">
        <v>12</v>
      </c>
      <c r="C39" t="s">
        <v>272</v>
      </c>
      <c r="D39" t="s">
        <v>273</v>
      </c>
      <c r="E39" t="s">
        <v>274</v>
      </c>
      <c r="F39" t="s">
        <v>16</v>
      </c>
      <c r="G39" t="s">
        <v>16</v>
      </c>
      <c r="H39" t="s">
        <v>275</v>
      </c>
      <c r="I39" t="s">
        <v>276</v>
      </c>
      <c r="J39" t="s">
        <v>277</v>
      </c>
      <c r="K39" t="s">
        <v>276</v>
      </c>
    </row>
    <row r="40" spans="1:11">
      <c r="A40" t="s">
        <v>278</v>
      </c>
      <c r="B40" t="s">
        <v>12</v>
      </c>
      <c r="C40" t="s">
        <v>279</v>
      </c>
      <c r="D40" t="s">
        <v>280</v>
      </c>
      <c r="E40" t="s">
        <v>281</v>
      </c>
      <c r="F40" t="s">
        <v>16</v>
      </c>
      <c r="G40" t="s">
        <v>16</v>
      </c>
      <c r="H40" t="s">
        <v>282</v>
      </c>
      <c r="I40" t="s">
        <v>283</v>
      </c>
      <c r="J40" t="s">
        <v>284</v>
      </c>
      <c r="K40" t="s">
        <v>283</v>
      </c>
    </row>
    <row r="41" spans="1:11">
      <c r="A41" t="s">
        <v>285</v>
      </c>
      <c r="B41" t="s">
        <v>12</v>
      </c>
      <c r="C41" t="s">
        <v>286</v>
      </c>
      <c r="D41" t="s">
        <v>287</v>
      </c>
      <c r="E41" t="s">
        <v>288</v>
      </c>
      <c r="F41" t="s">
        <v>16</v>
      </c>
      <c r="G41" t="s">
        <v>16</v>
      </c>
      <c r="H41" t="s">
        <v>289</v>
      </c>
      <c r="I41" t="s">
        <v>290</v>
      </c>
      <c r="J41" t="s">
        <v>291</v>
      </c>
      <c r="K41" t="s">
        <v>290</v>
      </c>
    </row>
    <row r="42" spans="1:11">
      <c r="A42" t="s">
        <v>292</v>
      </c>
      <c r="B42" t="s">
        <v>12</v>
      </c>
      <c r="C42" t="s">
        <v>293</v>
      </c>
      <c r="D42" t="s">
        <v>294</v>
      </c>
      <c r="E42" t="s">
        <v>295</v>
      </c>
      <c r="F42" t="s">
        <v>16</v>
      </c>
      <c r="G42" t="s">
        <v>16</v>
      </c>
      <c r="H42" t="s">
        <v>296</v>
      </c>
      <c r="I42" t="s">
        <v>297</v>
      </c>
      <c r="J42" t="s">
        <v>298</v>
      </c>
      <c r="K42" t="s">
        <v>297</v>
      </c>
    </row>
    <row r="43" spans="1:11">
      <c r="A43" t="s">
        <v>299</v>
      </c>
      <c r="B43" t="s">
        <v>12</v>
      </c>
      <c r="C43" t="s">
        <v>293</v>
      </c>
      <c r="D43" t="s">
        <v>300</v>
      </c>
      <c r="E43" t="s">
        <v>301</v>
      </c>
      <c r="F43" t="s">
        <v>16</v>
      </c>
      <c r="G43" t="s">
        <v>16</v>
      </c>
      <c r="H43" t="s">
        <v>302</v>
      </c>
      <c r="I43" t="s">
        <v>297</v>
      </c>
      <c r="J43" t="s">
        <v>298</v>
      </c>
      <c r="K43" t="s">
        <v>297</v>
      </c>
    </row>
    <row r="44" spans="1:11">
      <c r="A44" t="s">
        <v>303</v>
      </c>
      <c r="B44" t="s">
        <v>12</v>
      </c>
      <c r="C44" t="s">
        <v>304</v>
      </c>
      <c r="D44" t="s">
        <v>305</v>
      </c>
      <c r="E44" t="s">
        <v>306</v>
      </c>
      <c r="F44" t="s">
        <v>16</v>
      </c>
      <c r="G44" t="s">
        <v>16</v>
      </c>
      <c r="H44" t="s">
        <v>307</v>
      </c>
      <c r="I44" t="s">
        <v>308</v>
      </c>
      <c r="J44" t="s">
        <v>309</v>
      </c>
      <c r="K44" t="s">
        <v>308</v>
      </c>
    </row>
    <row r="45" spans="1:11">
      <c r="A45" t="s">
        <v>310</v>
      </c>
      <c r="B45" t="s">
        <v>12</v>
      </c>
      <c r="C45" t="s">
        <v>304</v>
      </c>
      <c r="D45" t="s">
        <v>311</v>
      </c>
      <c r="E45" t="s">
        <v>312</v>
      </c>
      <c r="F45" t="s">
        <v>16</v>
      </c>
      <c r="G45" t="s">
        <v>16</v>
      </c>
      <c r="H45" t="s">
        <v>313</v>
      </c>
      <c r="I45" t="s">
        <v>308</v>
      </c>
      <c r="J45" t="s">
        <v>309</v>
      </c>
      <c r="K45" t="s">
        <v>308</v>
      </c>
    </row>
    <row r="46" spans="1:11">
      <c r="A46" t="s">
        <v>314</v>
      </c>
      <c r="B46" t="s">
        <v>12</v>
      </c>
      <c r="C46" t="s">
        <v>315</v>
      </c>
      <c r="D46" t="s">
        <v>316</v>
      </c>
      <c r="E46" t="s">
        <v>317</v>
      </c>
      <c r="F46" t="s">
        <v>16</v>
      </c>
      <c r="G46" t="s">
        <v>16</v>
      </c>
      <c r="H46" t="s">
        <v>318</v>
      </c>
      <c r="I46" t="s">
        <v>319</v>
      </c>
      <c r="J46" t="s">
        <v>320</v>
      </c>
      <c r="K46" t="s">
        <v>319</v>
      </c>
    </row>
    <row r="47" spans="1:11">
      <c r="A47" t="s">
        <v>321</v>
      </c>
      <c r="B47" t="s">
        <v>12</v>
      </c>
      <c r="C47" t="s">
        <v>322</v>
      </c>
      <c r="D47" t="s">
        <v>323</v>
      </c>
      <c r="E47" t="s">
        <v>324</v>
      </c>
      <c r="F47" t="s">
        <v>16</v>
      </c>
      <c r="G47" t="s">
        <v>16</v>
      </c>
      <c r="H47" t="s">
        <v>325</v>
      </c>
      <c r="I47" t="s">
        <v>326</v>
      </c>
      <c r="J47" t="s">
        <v>88</v>
      </c>
      <c r="K47" t="s">
        <v>326</v>
      </c>
    </row>
    <row r="48" spans="1:11">
      <c r="A48" t="s">
        <v>327</v>
      </c>
      <c r="B48" t="s">
        <v>12</v>
      </c>
      <c r="C48" t="s">
        <v>328</v>
      </c>
      <c r="D48" t="s">
        <v>329</v>
      </c>
      <c r="E48" t="s">
        <v>330</v>
      </c>
      <c r="F48" t="s">
        <v>16</v>
      </c>
      <c r="G48" t="s">
        <v>16</v>
      </c>
      <c r="H48" t="s">
        <v>331</v>
      </c>
      <c r="I48" t="s">
        <v>332</v>
      </c>
      <c r="J48" t="s">
        <v>333</v>
      </c>
      <c r="K48" t="s">
        <v>332</v>
      </c>
    </row>
    <row r="49" spans="1:11">
      <c r="A49" t="s">
        <v>334</v>
      </c>
      <c r="B49" t="s">
        <v>12</v>
      </c>
      <c r="C49" t="s">
        <v>335</v>
      </c>
      <c r="D49" t="s">
        <v>336</v>
      </c>
      <c r="E49" t="s">
        <v>337</v>
      </c>
      <c r="F49" t="s">
        <v>16</v>
      </c>
      <c r="G49" t="s">
        <v>16</v>
      </c>
      <c r="H49" t="s">
        <v>338</v>
      </c>
      <c r="I49" t="s">
        <v>339</v>
      </c>
      <c r="J49" t="s">
        <v>95</v>
      </c>
      <c r="K49" t="s">
        <v>339</v>
      </c>
    </row>
    <row r="50" spans="1:11">
      <c r="A50" t="s">
        <v>340</v>
      </c>
      <c r="B50" t="s">
        <v>12</v>
      </c>
      <c r="C50" t="s">
        <v>341</v>
      </c>
      <c r="D50" t="s">
        <v>342</v>
      </c>
      <c r="E50" t="s">
        <v>343</v>
      </c>
      <c r="F50" t="s">
        <v>16</v>
      </c>
      <c r="G50" t="s">
        <v>16</v>
      </c>
      <c r="H50" t="s">
        <v>344</v>
      </c>
      <c r="I50" t="s">
        <v>345</v>
      </c>
      <c r="J50" t="s">
        <v>346</v>
      </c>
      <c r="K50" t="s">
        <v>345</v>
      </c>
    </row>
    <row r="51" spans="1:11">
      <c r="A51" t="s">
        <v>347</v>
      </c>
      <c r="B51" t="s">
        <v>12</v>
      </c>
      <c r="C51" t="s">
        <v>348</v>
      </c>
      <c r="D51" t="s">
        <v>349</v>
      </c>
      <c r="E51" t="s">
        <v>350</v>
      </c>
      <c r="F51" t="s">
        <v>16</v>
      </c>
      <c r="G51" t="s">
        <v>16</v>
      </c>
      <c r="H51" t="s">
        <v>351</v>
      </c>
      <c r="I51" t="s">
        <v>279</v>
      </c>
      <c r="J51" t="s">
        <v>102</v>
      </c>
      <c r="K51" t="s">
        <v>279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BDH("GSTCQ US Equity","BS_TOT_ASSET","2013-08-02","2018-08-02","Per=Y","Days=T","Dir=V")</f>
        <v>0</v>
      </c>
      <c r="C2">
        <f>BDH("GSTCQ US Equity","BS_TOT_LIAB2","2013-08-02","2018-08-02","Per=Y","Days=T","Dir=V")</f>
        <v>0</v>
      </c>
      <c r="E2">
        <f>BDH("GSTCQ US Equity","SHORT_AND_LONG_TERM_DEBT","2013-08-02","2018-08-02","Per=Y","Days=T","Dir=V")</f>
        <v>0</v>
      </c>
      <c r="G2">
        <f>BDH("GSTCQ US Equity","BS_ST_BORROW","2013-08-02","2018-08-02","Per=Y","Days=T","Dir=V")</f>
        <v>0</v>
      </c>
      <c r="I2">
        <f>BDH("GSTCQ US Equity","BS_LT_BORROW","2013-08-02","2018-08-02","Per=Y","Days=T","Dir=V")</f>
        <v>0</v>
      </c>
      <c r="K2">
        <f>BDH("GSTCQ US Equity","BS_CASH_NEAR_CASH_ITEM","2013-08-02","2018-08-02","Per=Y","Days=T","Dir=V")</f>
        <v>0</v>
      </c>
      <c r="M2">
        <f>BDH("GSTCQ US Equity","BS_CUR_ASSET_REPORT","2013-08-02","2018-08-02","Per=Y","Days=T","Dir=V")</f>
        <v>0</v>
      </c>
      <c r="O2">
        <f>BDH("GSTCQ US Equity","BS_CUR_LIAB","2013-08-02","2018-08-02","Per=Y","Days=T","Dir=V")</f>
        <v>0</v>
      </c>
      <c r="Q2">
        <f>BDH("GSTCQ US Equity","BS_SHAREHOLDER_EQY_ENDING_PERIOD","2013-08-02","2018-08-02","Per=Y","Days=T","Dir=V")</f>
        <v>0</v>
      </c>
      <c r="S2">
        <f>BDH("GSTCQ US Equity","BS_ACCT_NOTE_RCV","2013-08-02","2018-08-02","Per=Y","Days=T","Dir=V")</f>
        <v>0</v>
      </c>
      <c r="U2">
        <f>BDH("GSTCQ US Equity","BS_INVENTORIES","2013-08-02","2018-08-02","Per=Y","Days=T","Dir=V")</f>
        <v>0</v>
      </c>
      <c r="W2">
        <f>BDH("GSTCQ US Equity","WORKING_CAPITAL","2013-08-02","2018-08-02","Per=Y","Days=T","Dir=V")</f>
        <v>0</v>
      </c>
      <c r="Y2">
        <f>BDH("GSTCQ US Equity","SALES_REV_TURN","2013-08-02","2018-08-02","Per=Y","Days=T","Dir=V")</f>
        <v>0</v>
      </c>
      <c r="AA2">
        <f>BDH("GSTCQ US Equity","EBIT","2013-08-02","2018-08-02","Per=Y","Days=T","Dir=V")</f>
        <v>0</v>
      </c>
      <c r="AC2">
        <f>BDH("GSTCQ US Equity","EBITDA","2013-08-02","2018-08-02","Per=Y","Days=T","Dir=V")</f>
        <v>0</v>
      </c>
      <c r="AE2">
        <f>BDH("GSTCQ US Equity","NET_INCOME","2013-08-02","2018-08-02","Per=Y","Days=T","Dir=V")</f>
        <v>0</v>
      </c>
      <c r="AG2">
        <f>BDH("GSTCQ US Equity","IS_INT_EXPENSE","2013-08-02","2018-08-02","Per=Y","Days=T","Dir=V")</f>
        <v>0</v>
      </c>
      <c r="AI2">
        <f>BDH("GSTCQ US Equity","IS_DEPR_EXP","2013-08-02","2018-08-02","Per=Y","Days=T","Dir=V")</f>
        <v>0</v>
      </c>
      <c r="AK2">
        <f>BDH("GSTCQ US Equity","CF_CASH_FROM_OPER","2013-08-02","2018-08-02","Per=Y","Days=T","Dir=V")</f>
        <v>0</v>
      </c>
      <c r="AM2">
        <f>BDH("GSTCQ US Equity","CAPITAL_EXPEND","2013-08-02","2018-08-02","Per=Y","Days=T","Dir=V")</f>
        <v>0</v>
      </c>
      <c r="AO2">
        <f>BDH("GSTCQ US Equity","CF_FREE_CASH_FLOW","2013-08-02","2018-08-02","Per=Y","Days=T","Dir=V")</f>
        <v>0</v>
      </c>
      <c r="AQ2">
        <f>BDH("GSTCQ US Equity","PX_LAST","2013-08-02","2018-08-02","Per=M","Days=T","Dir=V")</f>
        <v>0</v>
      </c>
      <c r="AS2">
        <f>BDH("GSTCQ US Equity","CUR_MKT_CAP","2013-08-02","2018-08-02","Per=M","Days=T","Dir=V")</f>
        <v>0</v>
      </c>
      <c r="AU2">
        <f>BDH("GSTCQ US Equity","EQY_SH_OUT","2013-08-02","2018-08-02","Per=M","Days=T","Dir=V")</f>
        <v>0</v>
      </c>
      <c r="AW2">
        <f>BDH("GSTCQ US Equity","BETA_RAW_OVERRIABLE","2013-08-02","2018-08-02","Per=M","Days=T","Dir=V")</f>
        <v>0</v>
      </c>
      <c r="AY2">
        <f>BDH("GSTCQ US Equity","PX_VOLUME","2013-08-02","2018-08-02","Per=M","Days=T","Dir=V")</f>
        <v>0</v>
      </c>
      <c r="BA2">
        <f>BDH("GSTCQ US Equity","TURNOVER","2013-08-02","2018-08-02","Per=M","Days=T","Dir=V")</f>
        <v>0</v>
      </c>
      <c r="BC2">
        <f>BDH("GSTCQ US Equity","SPREAD_BA_CR","2013-08-02","2018-08-02","Per=M","Days=T","Dir=V")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BDH("PKDC US Equity","BS_TOT_ASSET","2013-09-13","2018-09-13","Per=Y","Days=T","Dir=V")</f>
        <v>0</v>
      </c>
      <c r="C2">
        <f>BDH("PKDC US Equity","BS_TOT_LIAB2","2013-09-13","2018-09-13","Per=Y","Days=T","Dir=V")</f>
        <v>0</v>
      </c>
      <c r="E2">
        <f>BDH("PKDC US Equity","SHORT_AND_LONG_TERM_DEBT","2013-09-13","2018-09-13","Per=Y","Days=T","Dir=V")</f>
        <v>0</v>
      </c>
      <c r="G2">
        <f>BDH("PKDC US Equity","BS_ST_BORROW","2013-09-13","2018-09-13","Per=Y","Days=T","Dir=V")</f>
        <v>0</v>
      </c>
      <c r="I2">
        <f>BDH("PKDC US Equity","BS_LT_BORROW","2013-09-13","2018-09-13","Per=Y","Days=T","Dir=V")</f>
        <v>0</v>
      </c>
      <c r="K2">
        <f>BDH("PKDC US Equity","BS_CASH_NEAR_CASH_ITEM","2013-09-13","2018-09-13","Per=Y","Days=T","Dir=V")</f>
        <v>0</v>
      </c>
      <c r="M2">
        <f>BDH("PKDC US Equity","BS_CUR_ASSET_REPORT","2013-09-13","2018-09-13","Per=Y","Days=T","Dir=V")</f>
        <v>0</v>
      </c>
      <c r="O2">
        <f>BDH("PKDC US Equity","BS_CUR_LIAB","2013-09-13","2018-09-13","Per=Y","Days=T","Dir=V")</f>
        <v>0</v>
      </c>
      <c r="Q2">
        <f>BDH("PKDC US Equity","BS_SHAREHOLDER_EQY_ENDING_PERIOD","2013-09-13","2018-09-13","Per=Y","Days=T","Dir=V")</f>
        <v>0</v>
      </c>
      <c r="S2">
        <f>BDH("PKDC US Equity","BS_ACCT_NOTE_RCV","2013-09-13","2018-09-13","Per=Y","Days=T","Dir=V")</f>
        <v>0</v>
      </c>
      <c r="U2">
        <f>BDH("PKDC US Equity","BS_INVENTORIES","2013-09-13","2018-09-13","Per=Y","Days=T","Dir=V")</f>
        <v>0</v>
      </c>
      <c r="W2">
        <f>BDH("PKDC US Equity","WORKING_CAPITAL","2013-09-13","2018-09-13","Per=Y","Days=T","Dir=V")</f>
        <v>0</v>
      </c>
      <c r="Y2">
        <f>BDH("PKDC US Equity","SALES_REV_TURN","2013-09-13","2018-09-13","Per=Y","Days=T","Dir=V")</f>
        <v>0</v>
      </c>
      <c r="AA2">
        <f>BDH("PKDC US Equity","EBIT","2013-09-13","2018-09-13","Per=Y","Days=T","Dir=V")</f>
        <v>0</v>
      </c>
      <c r="AC2">
        <f>BDH("PKDC US Equity","EBITDA","2013-09-13","2018-09-13","Per=Y","Days=T","Dir=V")</f>
        <v>0</v>
      </c>
      <c r="AE2">
        <f>BDH("PKDC US Equity","NET_INCOME","2013-09-13","2018-09-13","Per=Y","Days=T","Dir=V")</f>
        <v>0</v>
      </c>
      <c r="AG2">
        <f>BDH("PKDC US Equity","IS_INT_EXPENSE","2013-09-13","2018-09-13","Per=Y","Days=T","Dir=V")</f>
        <v>0</v>
      </c>
      <c r="AI2">
        <f>BDH("PKDC US Equity","IS_DEPR_EXP","2013-09-13","2018-09-13","Per=Y","Days=T","Dir=V")</f>
        <v>0</v>
      </c>
      <c r="AK2">
        <f>BDH("PKDC US Equity","CF_CASH_FROM_OPER","2013-09-13","2018-09-13","Per=Y","Days=T","Dir=V")</f>
        <v>0</v>
      </c>
      <c r="AM2">
        <f>BDH("PKDC US Equity","CAPITAL_EXPEND","2013-09-13","2018-09-13","Per=Y","Days=T","Dir=V")</f>
        <v>0</v>
      </c>
      <c r="AO2">
        <f>BDH("PKDC US Equity","CF_FREE_CASH_FLOW","2013-09-13","2018-09-13","Per=Y","Days=T","Dir=V")</f>
        <v>0</v>
      </c>
      <c r="AQ2">
        <f>BDH("PKDC US Equity","PX_LAST","2013-09-13","2018-09-13","Per=M","Days=T","Dir=V")</f>
        <v>0</v>
      </c>
      <c r="AS2">
        <f>BDH("PKDC US Equity","CUR_MKT_CAP","2013-09-13","2018-09-13","Per=M","Days=T","Dir=V")</f>
        <v>0</v>
      </c>
      <c r="AU2">
        <f>BDH("PKDC US Equity","EQY_SH_OUT","2013-09-13","2018-09-13","Per=M","Days=T","Dir=V")</f>
        <v>0</v>
      </c>
      <c r="AW2">
        <f>BDH("PKDC US Equity","BETA_RAW_OVERRIABLE","2013-09-13","2018-09-13","Per=M","Days=T","Dir=V")</f>
        <v>0</v>
      </c>
      <c r="AY2">
        <f>BDH("PKDC US Equity","PX_VOLUME","2013-09-13","2018-09-13","Per=M","Days=T","Dir=V")</f>
        <v>0</v>
      </c>
      <c r="BA2">
        <f>BDH("PKDC US Equity","TURNOVER","2013-09-13","2018-09-13","Per=M","Days=T","Dir=V")</f>
        <v>0</v>
      </c>
      <c r="BC2">
        <f>BDH("PKDC US Equity","SPREAD_BA_CR","2013-09-13","2018-09-13","Per=M","Days=T","Dir=V")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BDH("WINMQ US Equity","BS_TOT_ASSET","2013-11-27","2018-11-27","Per=Y","Days=T","Dir=V")</f>
        <v>0</v>
      </c>
      <c r="C2">
        <f>BDH("WINMQ US Equity","BS_TOT_LIAB2","2013-11-27","2018-11-27","Per=Y","Days=T","Dir=V")</f>
        <v>0</v>
      </c>
      <c r="E2">
        <f>BDH("WINMQ US Equity","SHORT_AND_LONG_TERM_DEBT","2013-11-27","2018-11-27","Per=Y","Days=T","Dir=V")</f>
        <v>0</v>
      </c>
      <c r="G2">
        <f>BDH("WINMQ US Equity","BS_ST_BORROW","2013-11-27","2018-11-27","Per=Y","Days=T","Dir=V")</f>
        <v>0</v>
      </c>
      <c r="I2">
        <f>BDH("WINMQ US Equity","BS_LT_BORROW","2013-11-27","2018-11-27","Per=Y","Days=T","Dir=V")</f>
        <v>0</v>
      </c>
      <c r="K2">
        <f>BDH("WINMQ US Equity","BS_CASH_NEAR_CASH_ITEM","2013-11-27","2018-11-27","Per=Y","Days=T","Dir=V")</f>
        <v>0</v>
      </c>
      <c r="M2">
        <f>BDH("WINMQ US Equity","BS_CUR_ASSET_REPORT","2013-11-27","2018-11-27","Per=Y","Days=T","Dir=V")</f>
        <v>0</v>
      </c>
      <c r="O2">
        <f>BDH("WINMQ US Equity","BS_CUR_LIAB","2013-11-27","2018-11-27","Per=Y","Days=T","Dir=V")</f>
        <v>0</v>
      </c>
      <c r="Q2">
        <f>BDH("WINMQ US Equity","BS_SHAREHOLDER_EQY_ENDING_PERIOD","2013-11-27","2018-11-27","Per=Y","Days=T","Dir=V")</f>
        <v>0</v>
      </c>
      <c r="S2">
        <f>BDH("WINMQ US Equity","BS_ACCT_NOTE_RCV","2013-11-27","2018-11-27","Per=Y","Days=T","Dir=V")</f>
        <v>0</v>
      </c>
      <c r="U2">
        <f>BDH("WINMQ US Equity","BS_INVENTORIES","2013-11-27","2018-11-27","Per=Y","Days=T","Dir=V")</f>
        <v>0</v>
      </c>
      <c r="W2">
        <f>BDH("WINMQ US Equity","WORKING_CAPITAL","2013-11-27","2018-11-27","Per=Y","Days=T","Dir=V")</f>
        <v>0</v>
      </c>
      <c r="Y2">
        <f>BDH("WINMQ US Equity","SALES_REV_TURN","2013-11-27","2018-11-27","Per=Y","Days=T","Dir=V")</f>
        <v>0</v>
      </c>
      <c r="AA2">
        <f>BDH("WINMQ US Equity","EBIT","2013-11-27","2018-11-27","Per=Y","Days=T","Dir=V")</f>
        <v>0</v>
      </c>
      <c r="AC2">
        <f>BDH("WINMQ US Equity","EBITDA","2013-11-27","2018-11-27","Per=Y","Days=T","Dir=V")</f>
        <v>0</v>
      </c>
      <c r="AE2">
        <f>BDH("WINMQ US Equity","NET_INCOME","2013-11-27","2018-11-27","Per=Y","Days=T","Dir=V")</f>
        <v>0</v>
      </c>
      <c r="AG2">
        <f>BDH("WINMQ US Equity","IS_INT_EXPENSE","2013-11-27","2018-11-27","Per=Y","Days=T","Dir=V")</f>
        <v>0</v>
      </c>
      <c r="AI2">
        <f>BDH("WINMQ US Equity","IS_DEPR_EXP","2013-11-27","2018-11-27","Per=Y","Days=T","Dir=V")</f>
        <v>0</v>
      </c>
      <c r="AK2">
        <f>BDH("WINMQ US Equity","CF_CASH_FROM_OPER","2013-11-27","2018-11-27","Per=Y","Days=T","Dir=V")</f>
        <v>0</v>
      </c>
      <c r="AM2">
        <f>BDH("WINMQ US Equity","CAPITAL_EXPEND","2013-11-27","2018-11-27","Per=Y","Days=T","Dir=V")</f>
        <v>0</v>
      </c>
      <c r="AO2">
        <f>BDH("WINMQ US Equity","CF_FREE_CASH_FLOW","2013-11-27","2018-11-27","Per=Y","Days=T","Dir=V")</f>
        <v>0</v>
      </c>
      <c r="AQ2">
        <f>BDH("WINMQ US Equity","PX_LAST","2013-11-27","2018-11-27","Per=M","Days=T","Dir=V")</f>
        <v>0</v>
      </c>
      <c r="AS2">
        <f>BDH("WINMQ US Equity","CUR_MKT_CAP","2013-11-27","2018-11-27","Per=M","Days=T","Dir=V")</f>
        <v>0</v>
      </c>
      <c r="AU2">
        <f>BDH("WINMQ US Equity","EQY_SH_OUT","2013-11-27","2018-11-27","Per=M","Days=T","Dir=V")</f>
        <v>0</v>
      </c>
      <c r="AW2">
        <f>BDH("WINMQ US Equity","BETA_RAW_OVERRIABLE","2013-11-27","2018-11-27","Per=M","Days=T","Dir=V")</f>
        <v>0</v>
      </c>
      <c r="AY2">
        <f>BDH("WINMQ US Equity","PX_VOLUME","2013-11-27","2018-11-27","Per=M","Days=T","Dir=V")</f>
        <v>0</v>
      </c>
      <c r="BA2">
        <f>BDH("WINMQ US Equity","TURNOVER","2013-11-27","2018-11-27","Per=M","Days=T","Dir=V")</f>
        <v>0</v>
      </c>
      <c r="BC2">
        <f>BDH("WINMQ US Equity","SPREAD_BA_CR","2013-11-27","2018-11-27","Per=M","Days=T","Dir=V")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BDH("PHIIQ US Equity","BS_TOT_ASSET","2013-12-14","2018-12-14","Per=Y","Days=T","Dir=V")</f>
        <v>0</v>
      </c>
      <c r="C2">
        <f>BDH("PHIIQ US Equity","BS_TOT_LIAB2","2013-12-14","2018-12-14","Per=Y","Days=T","Dir=V")</f>
        <v>0</v>
      </c>
      <c r="E2">
        <f>BDH("PHIIQ US Equity","SHORT_AND_LONG_TERM_DEBT","2013-12-14","2018-12-14","Per=Y","Days=T","Dir=V")</f>
        <v>0</v>
      </c>
      <c r="G2">
        <f>BDH("PHIIQ US Equity","BS_ST_BORROW","2013-12-14","2018-12-14","Per=Y","Days=T","Dir=V")</f>
        <v>0</v>
      </c>
      <c r="I2">
        <f>BDH("PHIIQ US Equity","BS_LT_BORROW","2013-12-14","2018-12-14","Per=Y","Days=T","Dir=V")</f>
        <v>0</v>
      </c>
      <c r="K2">
        <f>BDH("PHIIQ US Equity","BS_CASH_NEAR_CASH_ITEM","2013-12-14","2018-12-14","Per=Y","Days=T","Dir=V")</f>
        <v>0</v>
      </c>
      <c r="M2">
        <f>BDH("PHIIQ US Equity","BS_CUR_ASSET_REPORT","2013-12-14","2018-12-14","Per=Y","Days=T","Dir=V")</f>
        <v>0</v>
      </c>
      <c r="O2">
        <f>BDH("PHIIQ US Equity","BS_CUR_LIAB","2013-12-14","2018-12-14","Per=Y","Days=T","Dir=V")</f>
        <v>0</v>
      </c>
      <c r="Q2">
        <f>BDH("PHIIQ US Equity","BS_SHAREHOLDER_EQY_ENDING_PERIOD","2013-12-14","2018-12-14","Per=Y","Days=T","Dir=V")</f>
        <v>0</v>
      </c>
      <c r="S2">
        <f>BDH("PHIIQ US Equity","BS_ACCT_NOTE_RCV","2013-12-14","2018-12-14","Per=Y","Days=T","Dir=V")</f>
        <v>0</v>
      </c>
      <c r="U2">
        <f>BDH("PHIIQ US Equity","BS_INVENTORIES","2013-12-14","2018-12-14","Per=Y","Days=T","Dir=V")</f>
        <v>0</v>
      </c>
      <c r="W2">
        <f>BDH("PHIIQ US Equity","WORKING_CAPITAL","2013-12-14","2018-12-14","Per=Y","Days=T","Dir=V")</f>
        <v>0</v>
      </c>
      <c r="Y2">
        <f>BDH("PHIIQ US Equity","SALES_REV_TURN","2013-12-14","2018-12-14","Per=Y","Days=T","Dir=V")</f>
        <v>0</v>
      </c>
      <c r="AA2">
        <f>BDH("PHIIQ US Equity","EBIT","2013-12-14","2018-12-14","Per=Y","Days=T","Dir=V")</f>
        <v>0</v>
      </c>
      <c r="AC2">
        <f>BDH("PHIIQ US Equity","EBITDA","2013-12-14","2018-12-14","Per=Y","Days=T","Dir=V")</f>
        <v>0</v>
      </c>
      <c r="AE2">
        <f>BDH("PHIIQ US Equity","NET_INCOME","2013-12-14","2018-12-14","Per=Y","Days=T","Dir=V")</f>
        <v>0</v>
      </c>
      <c r="AG2">
        <f>BDH("PHIIQ US Equity","IS_INT_EXPENSE","2013-12-14","2018-12-14","Per=Y","Days=T","Dir=V")</f>
        <v>0</v>
      </c>
      <c r="AI2">
        <f>BDH("PHIIQ US Equity","IS_DEPR_EXP","2013-12-14","2018-12-14","Per=Y","Days=T","Dir=V")</f>
        <v>0</v>
      </c>
      <c r="AK2">
        <f>BDH("PHIIQ US Equity","CF_CASH_FROM_OPER","2013-12-14","2018-12-14","Per=Y","Days=T","Dir=V")</f>
        <v>0</v>
      </c>
      <c r="AM2">
        <f>BDH("PHIIQ US Equity","CAPITAL_EXPEND","2013-12-14","2018-12-14","Per=Y","Days=T","Dir=V")</f>
        <v>0</v>
      </c>
      <c r="AO2">
        <f>BDH("PHIIQ US Equity","CF_FREE_CASH_FLOW","2013-12-14","2018-12-14","Per=Y","Days=T","Dir=V")</f>
        <v>0</v>
      </c>
      <c r="AQ2">
        <f>BDH("PHIIQ US Equity","PX_LAST","2013-12-14","2018-12-14","Per=M","Days=T","Dir=V")</f>
        <v>0</v>
      </c>
      <c r="AS2">
        <f>BDH("PHIIQ US Equity","CUR_MKT_CAP","2013-12-14","2018-12-14","Per=M","Days=T","Dir=V")</f>
        <v>0</v>
      </c>
      <c r="AU2">
        <f>BDH("PHIIQ US Equity","EQY_SH_OUT","2013-12-14","2018-12-14","Per=M","Days=T","Dir=V")</f>
        <v>0</v>
      </c>
      <c r="AW2">
        <f>BDH("PHIIQ US Equity","BETA_RAW_OVERRIABLE","2013-12-14","2018-12-14","Per=M","Days=T","Dir=V")</f>
        <v>0</v>
      </c>
      <c r="AY2">
        <f>BDH("PHIIQ US Equity","PX_VOLUME","2013-12-14","2018-12-14","Per=M","Days=T","Dir=V")</f>
        <v>0</v>
      </c>
      <c r="BA2">
        <f>BDH("PHIIQ US Equity","TURNOVER","2013-12-14","2018-12-14","Per=M","Days=T","Dir=V")</f>
        <v>0</v>
      </c>
      <c r="BC2">
        <f>BDH("PHIIQ US Equity","SPREAD_BA_CR","2013-12-14","2018-12-14","Per=M","Days=T","Dir=V")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BDH("TISUQ US Equity","BS_TOT_ASSET","2014-01-01","2019-01-01","Per=Y","Days=T","Dir=V")</f>
        <v>0</v>
      </c>
      <c r="C2">
        <f>BDH("TISUQ US Equity","BS_TOT_LIAB2","2014-01-01","2019-01-01","Per=Y","Days=T","Dir=V")</f>
        <v>0</v>
      </c>
      <c r="E2">
        <f>BDH("TISUQ US Equity","SHORT_AND_LONG_TERM_DEBT","2014-01-01","2019-01-01","Per=Y","Days=T","Dir=V")</f>
        <v>0</v>
      </c>
      <c r="G2">
        <f>BDH("TISUQ US Equity","BS_ST_BORROW","2014-01-01","2019-01-01","Per=Y","Days=T","Dir=V")</f>
        <v>0</v>
      </c>
      <c r="I2">
        <f>BDH("TISUQ US Equity","BS_LT_BORROW","2014-01-01","2019-01-01","Per=Y","Days=T","Dir=V")</f>
        <v>0</v>
      </c>
      <c r="K2">
        <f>BDH("TISUQ US Equity","BS_CASH_NEAR_CASH_ITEM","2014-01-01","2019-01-01","Per=Y","Days=T","Dir=V")</f>
        <v>0</v>
      </c>
      <c r="M2">
        <f>BDH("TISUQ US Equity","BS_CUR_ASSET_REPORT","2014-01-01","2019-01-01","Per=Y","Days=T","Dir=V")</f>
        <v>0</v>
      </c>
      <c r="O2">
        <f>BDH("TISUQ US Equity","BS_CUR_LIAB","2014-01-01","2019-01-01","Per=Y","Days=T","Dir=V")</f>
        <v>0</v>
      </c>
      <c r="Q2">
        <f>BDH("TISUQ US Equity","BS_SHAREHOLDER_EQY_ENDING_PERIOD","2014-01-01","2019-01-01","Per=Y","Days=T","Dir=V")</f>
        <v>0</v>
      </c>
      <c r="S2">
        <f>BDH("TISUQ US Equity","BS_ACCT_NOTE_RCV","2014-01-01","2019-01-01","Per=Y","Days=T","Dir=V")</f>
        <v>0</v>
      </c>
      <c r="U2">
        <f>BDH("TISUQ US Equity","BS_INVENTORIES","2014-01-01","2019-01-01","Per=Y","Days=T","Dir=V")</f>
        <v>0</v>
      </c>
      <c r="W2">
        <f>BDH("TISUQ US Equity","WORKING_CAPITAL","2014-01-01","2019-01-01","Per=Y","Days=T","Dir=V")</f>
        <v>0</v>
      </c>
      <c r="Y2">
        <f>BDH("TISUQ US Equity","SALES_REV_TURN","2014-01-01","2019-01-01","Per=Y","Days=T","Dir=V")</f>
        <v>0</v>
      </c>
      <c r="AA2">
        <f>BDH("TISUQ US Equity","EBIT","2014-01-01","2019-01-01","Per=Y","Days=T","Dir=V")</f>
        <v>0</v>
      </c>
      <c r="AC2">
        <f>BDH("TISUQ US Equity","EBITDA","2014-01-01","2019-01-01","Per=Y","Days=T","Dir=V")</f>
        <v>0</v>
      </c>
      <c r="AE2">
        <f>BDH("TISUQ US Equity","NET_INCOME","2014-01-01","2019-01-01","Per=Y","Days=T","Dir=V")</f>
        <v>0</v>
      </c>
      <c r="AG2">
        <f>BDH("TISUQ US Equity","IS_INT_EXPENSE","2014-01-01","2019-01-01","Per=Y","Days=T","Dir=V")</f>
        <v>0</v>
      </c>
      <c r="AI2">
        <f>BDH("TISUQ US Equity","IS_DEPR_EXP","2014-01-01","2019-01-01","Per=Y","Days=T","Dir=V")</f>
        <v>0</v>
      </c>
      <c r="AK2">
        <f>BDH("TISUQ US Equity","CF_CASH_FROM_OPER","2014-01-01","2019-01-01","Per=Y","Days=T","Dir=V")</f>
        <v>0</v>
      </c>
      <c r="AM2">
        <f>BDH("TISUQ US Equity","CAPITAL_EXPEND","2014-01-01","2019-01-01","Per=Y","Days=T","Dir=V")</f>
        <v>0</v>
      </c>
      <c r="AO2">
        <f>BDH("TISUQ US Equity","CF_FREE_CASH_FLOW","2014-01-01","2019-01-01","Per=Y","Days=T","Dir=V")</f>
        <v>0</v>
      </c>
      <c r="AQ2">
        <f>BDH("TISUQ US Equity","PX_LAST","2014-01-01","2019-01-01","Per=M","Days=T","Dir=V")</f>
        <v>0</v>
      </c>
      <c r="AS2">
        <f>BDH("TISUQ US Equity","CUR_MKT_CAP","2014-01-01","2019-01-01","Per=M","Days=T","Dir=V")</f>
        <v>0</v>
      </c>
      <c r="AU2">
        <f>BDH("TISUQ US Equity","EQY_SH_OUT","2014-01-01","2019-01-01","Per=M","Days=T","Dir=V")</f>
        <v>0</v>
      </c>
      <c r="AW2">
        <f>BDH("TISUQ US Equity","BETA_RAW_OVERRIABLE","2014-01-01","2019-01-01","Per=M","Days=T","Dir=V")</f>
        <v>0</v>
      </c>
      <c r="AY2">
        <f>BDH("TISUQ US Equity","PX_VOLUME","2014-01-01","2019-01-01","Per=M","Days=T","Dir=V")</f>
        <v>0</v>
      </c>
      <c r="BA2">
        <f>BDH("TISUQ US Equity","TURNOVER","2014-01-01","2019-01-01","Per=M","Days=T","Dir=V")</f>
        <v>0</v>
      </c>
      <c r="BC2">
        <f>BDH("TISUQ US Equity","SPREAD_BA_CR","2014-01-01","2019-01-01","Per=M","Days=T","Dir=V")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BDH("JONEQ US Equity","BS_TOT_ASSET","2014-01-14","2019-01-14","Per=Y","Days=T","Dir=V")</f>
        <v>0</v>
      </c>
      <c r="C2">
        <f>BDH("JONEQ US Equity","BS_TOT_LIAB2","2014-01-14","2019-01-14","Per=Y","Days=T","Dir=V")</f>
        <v>0</v>
      </c>
      <c r="E2">
        <f>BDH("JONEQ US Equity","SHORT_AND_LONG_TERM_DEBT","2014-01-14","2019-01-14","Per=Y","Days=T","Dir=V")</f>
        <v>0</v>
      </c>
      <c r="G2">
        <f>BDH("JONEQ US Equity","BS_ST_BORROW","2014-01-14","2019-01-14","Per=Y","Days=T","Dir=V")</f>
        <v>0</v>
      </c>
      <c r="I2">
        <f>BDH("JONEQ US Equity","BS_LT_BORROW","2014-01-14","2019-01-14","Per=Y","Days=T","Dir=V")</f>
        <v>0</v>
      </c>
      <c r="K2">
        <f>BDH("JONEQ US Equity","BS_CASH_NEAR_CASH_ITEM","2014-01-14","2019-01-14","Per=Y","Days=T","Dir=V")</f>
        <v>0</v>
      </c>
      <c r="M2">
        <f>BDH("JONEQ US Equity","BS_CUR_ASSET_REPORT","2014-01-14","2019-01-14","Per=Y","Days=T","Dir=V")</f>
        <v>0</v>
      </c>
      <c r="O2">
        <f>BDH("JONEQ US Equity","BS_CUR_LIAB","2014-01-14","2019-01-14","Per=Y","Days=T","Dir=V")</f>
        <v>0</v>
      </c>
      <c r="Q2">
        <f>BDH("JONEQ US Equity","BS_SHAREHOLDER_EQY_ENDING_PERIOD","2014-01-14","2019-01-14","Per=Y","Days=T","Dir=V")</f>
        <v>0</v>
      </c>
      <c r="S2">
        <f>BDH("JONEQ US Equity","BS_ACCT_NOTE_RCV","2014-01-14","2019-01-14","Per=Y","Days=T","Dir=V")</f>
        <v>0</v>
      </c>
      <c r="U2">
        <f>BDH("JONEQ US Equity","BS_INVENTORIES","2014-01-14","2019-01-14","Per=Y","Days=T","Dir=V")</f>
        <v>0</v>
      </c>
      <c r="W2">
        <f>BDH("JONEQ US Equity","WORKING_CAPITAL","2014-01-14","2019-01-14","Per=Y","Days=T","Dir=V")</f>
        <v>0</v>
      </c>
      <c r="Y2">
        <f>BDH("JONEQ US Equity","SALES_REV_TURN","2014-01-14","2019-01-14","Per=Y","Days=T","Dir=V")</f>
        <v>0</v>
      </c>
      <c r="AA2">
        <f>BDH("JONEQ US Equity","EBIT","2014-01-14","2019-01-14","Per=Y","Days=T","Dir=V")</f>
        <v>0</v>
      </c>
      <c r="AC2">
        <f>BDH("JONEQ US Equity","EBITDA","2014-01-14","2019-01-14","Per=Y","Days=T","Dir=V")</f>
        <v>0</v>
      </c>
      <c r="AE2">
        <f>BDH("JONEQ US Equity","NET_INCOME","2014-01-14","2019-01-14","Per=Y","Days=T","Dir=V")</f>
        <v>0</v>
      </c>
      <c r="AG2">
        <f>BDH("JONEQ US Equity","IS_INT_EXPENSE","2014-01-14","2019-01-14","Per=Y","Days=T","Dir=V")</f>
        <v>0</v>
      </c>
      <c r="AI2">
        <f>BDH("JONEQ US Equity","IS_DEPR_EXP","2014-01-14","2019-01-14","Per=Y","Days=T","Dir=V")</f>
        <v>0</v>
      </c>
      <c r="AK2">
        <f>BDH("JONEQ US Equity","CF_CASH_FROM_OPER","2014-01-14","2019-01-14","Per=Y","Days=T","Dir=V")</f>
        <v>0</v>
      </c>
      <c r="AM2">
        <f>BDH("JONEQ US Equity","CAPITAL_EXPEND","2014-01-14","2019-01-14","Per=Y","Days=T","Dir=V")</f>
        <v>0</v>
      </c>
      <c r="AO2">
        <f>BDH("JONEQ US Equity","CF_FREE_CASH_FLOW","2014-01-14","2019-01-14","Per=Y","Days=T","Dir=V")</f>
        <v>0</v>
      </c>
      <c r="AQ2">
        <f>BDH("JONEQ US Equity","PX_LAST","2014-01-14","2019-01-14","Per=M","Days=T","Dir=V")</f>
        <v>0</v>
      </c>
      <c r="AS2">
        <f>BDH("JONEQ US Equity","CUR_MKT_CAP","2014-01-14","2019-01-14","Per=M","Days=T","Dir=V")</f>
        <v>0</v>
      </c>
      <c r="AU2">
        <f>BDH("JONEQ US Equity","EQY_SH_OUT","2014-01-14","2019-01-14","Per=M","Days=T","Dir=V")</f>
        <v>0</v>
      </c>
      <c r="AW2">
        <f>BDH("JONEQ US Equity","BETA_RAW_OVERRIABLE","2014-01-14","2019-01-14","Per=M","Days=T","Dir=V")</f>
        <v>0</v>
      </c>
      <c r="AY2">
        <f>BDH("JONEQ US Equity","PX_VOLUME","2014-01-14","2019-01-14","Per=M","Days=T","Dir=V")</f>
        <v>0</v>
      </c>
      <c r="BA2">
        <f>BDH("JONEQ US Equity","TURNOVER","2014-01-14","2019-01-14","Per=M","Days=T","Dir=V")</f>
        <v>0</v>
      </c>
      <c r="BC2">
        <f>BDH("JONEQ US Equity","SPREAD_BA_CR","2014-01-14","2019-01-14","Per=M","Days=T","Dir=V")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BDH("CLDPQ US Equity","BS_TOT_ASSET","2014-02-09","2019-02-09","Per=Y","Days=T","Dir=V")</f>
        <v>0</v>
      </c>
      <c r="C2">
        <f>BDH("CLDPQ US Equity","BS_TOT_LIAB2","2014-02-09","2019-02-09","Per=Y","Days=T","Dir=V")</f>
        <v>0</v>
      </c>
      <c r="E2">
        <f>BDH("CLDPQ US Equity","SHORT_AND_LONG_TERM_DEBT","2014-02-09","2019-02-09","Per=Y","Days=T","Dir=V")</f>
        <v>0</v>
      </c>
      <c r="G2">
        <f>BDH("CLDPQ US Equity","BS_ST_BORROW","2014-02-09","2019-02-09","Per=Y","Days=T","Dir=V")</f>
        <v>0</v>
      </c>
      <c r="I2">
        <f>BDH("CLDPQ US Equity","BS_LT_BORROW","2014-02-09","2019-02-09","Per=Y","Days=T","Dir=V")</f>
        <v>0</v>
      </c>
      <c r="K2">
        <f>BDH("CLDPQ US Equity","BS_CASH_NEAR_CASH_ITEM","2014-02-09","2019-02-09","Per=Y","Days=T","Dir=V")</f>
        <v>0</v>
      </c>
      <c r="M2">
        <f>BDH("CLDPQ US Equity","BS_CUR_ASSET_REPORT","2014-02-09","2019-02-09","Per=Y","Days=T","Dir=V")</f>
        <v>0</v>
      </c>
      <c r="O2">
        <f>BDH("CLDPQ US Equity","BS_CUR_LIAB","2014-02-09","2019-02-09","Per=Y","Days=T","Dir=V")</f>
        <v>0</v>
      </c>
      <c r="Q2">
        <f>BDH("CLDPQ US Equity","BS_SHAREHOLDER_EQY_ENDING_PERIOD","2014-02-09","2019-02-09","Per=Y","Days=T","Dir=V")</f>
        <v>0</v>
      </c>
      <c r="S2">
        <f>BDH("CLDPQ US Equity","BS_ACCT_NOTE_RCV","2014-02-09","2019-02-09","Per=Y","Days=T","Dir=V")</f>
        <v>0</v>
      </c>
      <c r="U2">
        <f>BDH("CLDPQ US Equity","BS_INVENTORIES","2014-02-09","2019-02-09","Per=Y","Days=T","Dir=V")</f>
        <v>0</v>
      </c>
      <c r="W2">
        <f>BDH("CLDPQ US Equity","WORKING_CAPITAL","2014-02-09","2019-02-09","Per=Y","Days=T","Dir=V")</f>
        <v>0</v>
      </c>
      <c r="Y2">
        <f>BDH("CLDPQ US Equity","SALES_REV_TURN","2014-02-09","2019-02-09","Per=Y","Days=T","Dir=V")</f>
        <v>0</v>
      </c>
      <c r="AA2">
        <f>BDH("CLDPQ US Equity","EBIT","2014-02-09","2019-02-09","Per=Y","Days=T","Dir=V")</f>
        <v>0</v>
      </c>
      <c r="AC2">
        <f>BDH("CLDPQ US Equity","EBITDA","2014-02-09","2019-02-09","Per=Y","Days=T","Dir=V")</f>
        <v>0</v>
      </c>
      <c r="AE2">
        <f>BDH("CLDPQ US Equity","NET_INCOME","2014-02-09","2019-02-09","Per=Y","Days=T","Dir=V")</f>
        <v>0</v>
      </c>
      <c r="AG2">
        <f>BDH("CLDPQ US Equity","IS_INT_EXPENSE","2014-02-09","2019-02-09","Per=Y","Days=T","Dir=V")</f>
        <v>0</v>
      </c>
      <c r="AI2">
        <f>BDH("CLDPQ US Equity","IS_DEPR_EXP","2014-02-09","2019-02-09","Per=Y","Days=T","Dir=V")</f>
        <v>0</v>
      </c>
      <c r="AK2">
        <f>BDH("CLDPQ US Equity","CF_CASH_FROM_OPER","2014-02-09","2019-02-09","Per=Y","Days=T","Dir=V")</f>
        <v>0</v>
      </c>
      <c r="AM2">
        <f>BDH("CLDPQ US Equity","CAPITAL_EXPEND","2014-02-09","2019-02-09","Per=Y","Days=T","Dir=V")</f>
        <v>0</v>
      </c>
      <c r="AO2">
        <f>BDH("CLDPQ US Equity","CF_FREE_CASH_FLOW","2014-02-09","2019-02-09","Per=Y","Days=T","Dir=V")</f>
        <v>0</v>
      </c>
      <c r="AQ2">
        <f>BDH("CLDPQ US Equity","PX_LAST","2014-02-09","2019-02-09","Per=M","Days=T","Dir=V")</f>
        <v>0</v>
      </c>
      <c r="AS2">
        <f>BDH("CLDPQ US Equity","CUR_MKT_CAP","2014-02-09","2019-02-09","Per=M","Days=T","Dir=V")</f>
        <v>0</v>
      </c>
      <c r="AU2">
        <f>BDH("CLDPQ US Equity","EQY_SH_OUT","2014-02-09","2019-02-09","Per=M","Days=T","Dir=V")</f>
        <v>0</v>
      </c>
      <c r="AW2">
        <f>BDH("CLDPQ US Equity","BETA_RAW_OVERRIABLE","2014-02-09","2019-02-09","Per=M","Days=T","Dir=V")</f>
        <v>0</v>
      </c>
      <c r="AY2">
        <f>BDH("CLDPQ US Equity","PX_VOLUME","2014-02-09","2019-02-09","Per=M","Days=T","Dir=V")</f>
        <v>0</v>
      </c>
      <c r="BA2">
        <f>BDH("CLDPQ US Equity","TURNOVER","2014-02-09","2019-02-09","Per=M","Days=T","Dir=V")</f>
        <v>0</v>
      </c>
      <c r="BC2">
        <f>BDH("CLDPQ US Equity","SPREAD_BA_CR","2014-02-09","2019-02-09","Per=M","Days=T","Dir=V")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BDH("BRSWQ US Equity","BS_TOT_ASSET","2014-02-10","2019-02-10","Per=Y","Days=T","Dir=V")</f>
        <v>0</v>
      </c>
      <c r="C2">
        <f>BDH("BRSWQ US Equity","BS_TOT_LIAB2","2014-02-10","2019-02-10","Per=Y","Days=T","Dir=V")</f>
        <v>0</v>
      </c>
      <c r="E2">
        <f>BDH("BRSWQ US Equity","SHORT_AND_LONG_TERM_DEBT","2014-02-10","2019-02-10","Per=Y","Days=T","Dir=V")</f>
        <v>0</v>
      </c>
      <c r="G2">
        <f>BDH("BRSWQ US Equity","BS_ST_BORROW","2014-02-10","2019-02-10","Per=Y","Days=T","Dir=V")</f>
        <v>0</v>
      </c>
      <c r="I2">
        <f>BDH("BRSWQ US Equity","BS_LT_BORROW","2014-02-10","2019-02-10","Per=Y","Days=T","Dir=V")</f>
        <v>0</v>
      </c>
      <c r="K2">
        <f>BDH("BRSWQ US Equity","BS_CASH_NEAR_CASH_ITEM","2014-02-10","2019-02-10","Per=Y","Days=T","Dir=V")</f>
        <v>0</v>
      </c>
      <c r="M2">
        <f>BDH("BRSWQ US Equity","BS_CUR_ASSET_REPORT","2014-02-10","2019-02-10","Per=Y","Days=T","Dir=V")</f>
        <v>0</v>
      </c>
      <c r="O2">
        <f>BDH("BRSWQ US Equity","BS_CUR_LIAB","2014-02-10","2019-02-10","Per=Y","Days=T","Dir=V")</f>
        <v>0</v>
      </c>
      <c r="Q2">
        <f>BDH("BRSWQ US Equity","BS_SHAREHOLDER_EQY_ENDING_PERIOD","2014-02-10","2019-02-10","Per=Y","Days=T","Dir=V")</f>
        <v>0</v>
      </c>
      <c r="S2">
        <f>BDH("BRSWQ US Equity","BS_ACCT_NOTE_RCV","2014-02-10","2019-02-10","Per=Y","Days=T","Dir=V")</f>
        <v>0</v>
      </c>
      <c r="U2">
        <f>BDH("BRSWQ US Equity","BS_INVENTORIES","2014-02-10","2019-02-10","Per=Y","Days=T","Dir=V")</f>
        <v>0</v>
      </c>
      <c r="W2">
        <f>BDH("BRSWQ US Equity","WORKING_CAPITAL","2014-02-10","2019-02-10","Per=Y","Days=T","Dir=V")</f>
        <v>0</v>
      </c>
      <c r="Y2">
        <f>BDH("BRSWQ US Equity","SALES_REV_TURN","2014-02-10","2019-02-10","Per=Y","Days=T","Dir=V")</f>
        <v>0</v>
      </c>
      <c r="AA2">
        <f>BDH("BRSWQ US Equity","EBIT","2014-02-10","2019-02-10","Per=Y","Days=T","Dir=V")</f>
        <v>0</v>
      </c>
      <c r="AC2">
        <f>BDH("BRSWQ US Equity","EBITDA","2014-02-10","2019-02-10","Per=Y","Days=T","Dir=V")</f>
        <v>0</v>
      </c>
      <c r="AE2">
        <f>BDH("BRSWQ US Equity","NET_INCOME","2014-02-10","2019-02-10","Per=Y","Days=T","Dir=V")</f>
        <v>0</v>
      </c>
      <c r="AG2">
        <f>BDH("BRSWQ US Equity","IS_INT_EXPENSE","2014-02-10","2019-02-10","Per=Y","Days=T","Dir=V")</f>
        <v>0</v>
      </c>
      <c r="AI2">
        <f>BDH("BRSWQ US Equity","IS_DEPR_EXP","2014-02-10","2019-02-10","Per=Y","Days=T","Dir=V")</f>
        <v>0</v>
      </c>
      <c r="AK2">
        <f>BDH("BRSWQ US Equity","CF_CASH_FROM_OPER","2014-02-10","2019-02-10","Per=Y","Days=T","Dir=V")</f>
        <v>0</v>
      </c>
      <c r="AM2">
        <f>BDH("BRSWQ US Equity","CAPITAL_EXPEND","2014-02-10","2019-02-10","Per=Y","Days=T","Dir=V")</f>
        <v>0</v>
      </c>
      <c r="AO2">
        <f>BDH("BRSWQ US Equity","CF_FREE_CASH_FLOW","2014-02-10","2019-02-10","Per=Y","Days=T","Dir=V")</f>
        <v>0</v>
      </c>
      <c r="AQ2">
        <f>BDH("BRSWQ US Equity","PX_LAST","2014-02-10","2019-02-10","Per=M","Days=T","Dir=V")</f>
        <v>0</v>
      </c>
      <c r="AS2">
        <f>BDH("BRSWQ US Equity","CUR_MKT_CAP","2014-02-10","2019-02-10","Per=M","Days=T","Dir=V")</f>
        <v>0</v>
      </c>
      <c r="AU2">
        <f>BDH("BRSWQ US Equity","EQY_SH_OUT","2014-02-10","2019-02-10","Per=M","Days=T","Dir=V")</f>
        <v>0</v>
      </c>
      <c r="AW2">
        <f>BDH("BRSWQ US Equity","BETA_RAW_OVERRIABLE","2014-02-10","2019-02-10","Per=M","Days=T","Dir=V")</f>
        <v>0</v>
      </c>
      <c r="AY2">
        <f>BDH("BRSWQ US Equity","PX_VOLUME","2014-02-10","2019-02-10","Per=M","Days=T","Dir=V")</f>
        <v>0</v>
      </c>
      <c r="BA2">
        <f>BDH("BRSWQ US Equity","TURNOVER","2014-02-10","2019-02-10","Per=M","Days=T","Dir=V")</f>
        <v>0</v>
      </c>
      <c r="BC2">
        <f>BDH("BRSWQ US Equity","SPREAD_BA_CR","2014-02-10","2019-02-10","Per=M","Days=T","Dir=V")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BDH("LGCYQ US Equity","BS_TOT_ASSET","2014-03-20","2019-03-20","Per=Y","Days=T","Dir=V")</f>
        <v>0</v>
      </c>
      <c r="C2">
        <f>BDH("LGCYQ US Equity","BS_TOT_LIAB2","2014-03-20","2019-03-20","Per=Y","Days=T","Dir=V")</f>
        <v>0</v>
      </c>
      <c r="E2">
        <f>BDH("LGCYQ US Equity","SHORT_AND_LONG_TERM_DEBT","2014-03-20","2019-03-20","Per=Y","Days=T","Dir=V")</f>
        <v>0</v>
      </c>
      <c r="G2">
        <f>BDH("LGCYQ US Equity","BS_ST_BORROW","2014-03-20","2019-03-20","Per=Y","Days=T","Dir=V")</f>
        <v>0</v>
      </c>
      <c r="I2">
        <f>BDH("LGCYQ US Equity","BS_LT_BORROW","2014-03-20","2019-03-20","Per=Y","Days=T","Dir=V")</f>
        <v>0</v>
      </c>
      <c r="K2">
        <f>BDH("LGCYQ US Equity","BS_CASH_NEAR_CASH_ITEM","2014-03-20","2019-03-20","Per=Y","Days=T","Dir=V")</f>
        <v>0</v>
      </c>
      <c r="M2">
        <f>BDH("LGCYQ US Equity","BS_CUR_ASSET_REPORT","2014-03-20","2019-03-20","Per=Y","Days=T","Dir=V")</f>
        <v>0</v>
      </c>
      <c r="O2">
        <f>BDH("LGCYQ US Equity","BS_CUR_LIAB","2014-03-20","2019-03-20","Per=Y","Days=T","Dir=V")</f>
        <v>0</v>
      </c>
      <c r="Q2">
        <f>BDH("LGCYQ US Equity","BS_SHAREHOLDER_EQY_ENDING_PERIOD","2014-03-20","2019-03-20","Per=Y","Days=T","Dir=V")</f>
        <v>0</v>
      </c>
      <c r="S2">
        <f>BDH("LGCYQ US Equity","BS_ACCT_NOTE_RCV","2014-03-20","2019-03-20","Per=Y","Days=T","Dir=V")</f>
        <v>0</v>
      </c>
      <c r="U2">
        <f>BDH("LGCYQ US Equity","BS_INVENTORIES","2014-03-20","2019-03-20","Per=Y","Days=T","Dir=V")</f>
        <v>0</v>
      </c>
      <c r="W2">
        <f>BDH("LGCYQ US Equity","WORKING_CAPITAL","2014-03-20","2019-03-20","Per=Y","Days=T","Dir=V")</f>
        <v>0</v>
      </c>
      <c r="Y2">
        <f>BDH("LGCYQ US Equity","SALES_REV_TURN","2014-03-20","2019-03-20","Per=Y","Days=T","Dir=V")</f>
        <v>0</v>
      </c>
      <c r="AA2">
        <f>BDH("LGCYQ US Equity","EBIT","2014-03-20","2019-03-20","Per=Y","Days=T","Dir=V")</f>
        <v>0</v>
      </c>
      <c r="AC2">
        <f>BDH("LGCYQ US Equity","EBITDA","2014-03-20","2019-03-20","Per=Y","Days=T","Dir=V")</f>
        <v>0</v>
      </c>
      <c r="AE2">
        <f>BDH("LGCYQ US Equity","NET_INCOME","2014-03-20","2019-03-20","Per=Y","Days=T","Dir=V")</f>
        <v>0</v>
      </c>
      <c r="AG2">
        <f>BDH("LGCYQ US Equity","IS_INT_EXPENSE","2014-03-20","2019-03-20","Per=Y","Days=T","Dir=V")</f>
        <v>0</v>
      </c>
      <c r="AI2">
        <f>BDH("LGCYQ US Equity","IS_DEPR_EXP","2014-03-20","2019-03-20","Per=Y","Days=T","Dir=V")</f>
        <v>0</v>
      </c>
      <c r="AK2">
        <f>BDH("LGCYQ US Equity","CF_CASH_FROM_OPER","2014-03-20","2019-03-20","Per=Y","Days=T","Dir=V")</f>
        <v>0</v>
      </c>
      <c r="AM2">
        <f>BDH("LGCYQ US Equity","CAPITAL_EXPEND","2014-03-20","2019-03-20","Per=Y","Days=T","Dir=V")</f>
        <v>0</v>
      </c>
      <c r="AO2">
        <f>BDH("LGCYQ US Equity","CF_FREE_CASH_FLOW","2014-03-20","2019-03-20","Per=Y","Days=T","Dir=V")</f>
        <v>0</v>
      </c>
      <c r="AQ2">
        <f>BDH("LGCYQ US Equity","PX_LAST","2014-03-20","2019-03-20","Per=M","Days=T","Dir=V")</f>
        <v>0</v>
      </c>
      <c r="AS2">
        <f>BDH("LGCYQ US Equity","CUR_MKT_CAP","2014-03-20","2019-03-20","Per=M","Days=T","Dir=V")</f>
        <v>0</v>
      </c>
      <c r="AU2">
        <f>BDH("LGCYQ US Equity","EQY_SH_OUT","2014-03-20","2019-03-20","Per=M","Days=T","Dir=V")</f>
        <v>0</v>
      </c>
      <c r="AW2">
        <f>BDH("LGCYQ US Equity","BETA_RAW_OVERRIABLE","2014-03-20","2019-03-20","Per=M","Days=T","Dir=V")</f>
        <v>0</v>
      </c>
      <c r="AY2">
        <f>BDH("LGCYQ US Equity","PX_VOLUME","2014-03-20","2019-03-20","Per=M","Days=T","Dir=V")</f>
        <v>0</v>
      </c>
      <c r="BA2">
        <f>BDH("LGCYQ US Equity","TURNOVER","2014-03-20","2019-03-20","Per=M","Days=T","Dir=V")</f>
        <v>0</v>
      </c>
      <c r="BC2">
        <f>BDH("LGCYQ US Equity","SPREAD_BA_CR","2014-03-20","2019-03-20","Per=M","Days=T","Dir=V")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BDH("SNECQ US Equity","BS_TOT_ASSET","2014-05-13","2019-05-13","Per=Y","Days=T","Dir=V")</f>
        <v>0</v>
      </c>
      <c r="C2">
        <f>BDH("SNECQ US Equity","BS_TOT_LIAB2","2014-05-13","2019-05-13","Per=Y","Days=T","Dir=V")</f>
        <v>0</v>
      </c>
      <c r="E2">
        <f>BDH("SNECQ US Equity","SHORT_AND_LONG_TERM_DEBT","2014-05-13","2019-05-13","Per=Y","Days=T","Dir=V")</f>
        <v>0</v>
      </c>
      <c r="G2">
        <f>BDH("SNECQ US Equity","BS_ST_BORROW","2014-05-13","2019-05-13","Per=Y","Days=T","Dir=V")</f>
        <v>0</v>
      </c>
      <c r="I2">
        <f>BDH("SNECQ US Equity","BS_LT_BORROW","2014-05-13","2019-05-13","Per=Y","Days=T","Dir=V")</f>
        <v>0</v>
      </c>
      <c r="K2">
        <f>BDH("SNECQ US Equity","BS_CASH_NEAR_CASH_ITEM","2014-05-13","2019-05-13","Per=Y","Days=T","Dir=V")</f>
        <v>0</v>
      </c>
      <c r="M2">
        <f>BDH("SNECQ US Equity","BS_CUR_ASSET_REPORT","2014-05-13","2019-05-13","Per=Y","Days=T","Dir=V")</f>
        <v>0</v>
      </c>
      <c r="O2">
        <f>BDH("SNECQ US Equity","BS_CUR_LIAB","2014-05-13","2019-05-13","Per=Y","Days=T","Dir=V")</f>
        <v>0</v>
      </c>
      <c r="Q2">
        <f>BDH("SNECQ US Equity","BS_SHAREHOLDER_EQY_ENDING_PERIOD","2014-05-13","2019-05-13","Per=Y","Days=T","Dir=V")</f>
        <v>0</v>
      </c>
      <c r="S2">
        <f>BDH("SNECQ US Equity","BS_ACCT_NOTE_RCV","2014-05-13","2019-05-13","Per=Y","Days=T","Dir=V")</f>
        <v>0</v>
      </c>
      <c r="U2">
        <f>BDH("SNECQ US Equity","BS_INVENTORIES","2014-05-13","2019-05-13","Per=Y","Days=T","Dir=V")</f>
        <v>0</v>
      </c>
      <c r="W2">
        <f>BDH("SNECQ US Equity","WORKING_CAPITAL","2014-05-13","2019-05-13","Per=Y","Days=T","Dir=V")</f>
        <v>0</v>
      </c>
      <c r="Y2">
        <f>BDH("SNECQ US Equity","SALES_REV_TURN","2014-05-13","2019-05-13","Per=Y","Days=T","Dir=V")</f>
        <v>0</v>
      </c>
      <c r="AA2">
        <f>BDH("SNECQ US Equity","EBIT","2014-05-13","2019-05-13","Per=Y","Days=T","Dir=V")</f>
        <v>0</v>
      </c>
      <c r="AC2">
        <f>BDH("SNECQ US Equity","EBITDA","2014-05-13","2019-05-13","Per=Y","Days=T","Dir=V")</f>
        <v>0</v>
      </c>
      <c r="AE2">
        <f>BDH("SNECQ US Equity","NET_INCOME","2014-05-13","2019-05-13","Per=Y","Days=T","Dir=V")</f>
        <v>0</v>
      </c>
      <c r="AG2">
        <f>BDH("SNECQ US Equity","IS_INT_EXPENSE","2014-05-13","2019-05-13","Per=Y","Days=T","Dir=V")</f>
        <v>0</v>
      </c>
      <c r="AI2">
        <f>BDH("SNECQ US Equity","IS_DEPR_EXP","2014-05-13","2019-05-13","Per=Y","Days=T","Dir=V")</f>
        <v>0</v>
      </c>
      <c r="AK2">
        <f>BDH("SNECQ US Equity","CF_CASH_FROM_OPER","2014-05-13","2019-05-13","Per=Y","Days=T","Dir=V")</f>
        <v>0</v>
      </c>
      <c r="AM2">
        <f>BDH("SNECQ US Equity","CAPITAL_EXPEND","2014-05-13","2019-05-13","Per=Y","Days=T","Dir=V")</f>
        <v>0</v>
      </c>
      <c r="AO2">
        <f>BDH("SNECQ US Equity","CF_FREE_CASH_FLOW","2014-05-13","2019-05-13","Per=Y","Days=T","Dir=V")</f>
        <v>0</v>
      </c>
      <c r="AQ2">
        <f>BDH("SNECQ US Equity","PX_LAST","2014-05-13","2019-05-13","Per=M","Days=T","Dir=V")</f>
        <v>0</v>
      </c>
      <c r="AS2">
        <f>BDH("SNECQ US Equity","CUR_MKT_CAP","2014-05-13","2019-05-13","Per=M","Days=T","Dir=V")</f>
        <v>0</v>
      </c>
      <c r="AU2">
        <f>BDH("SNECQ US Equity","EQY_SH_OUT","2014-05-13","2019-05-13","Per=M","Days=T","Dir=V")</f>
        <v>0</v>
      </c>
      <c r="AW2">
        <f>BDH("SNECQ US Equity","BETA_RAW_OVERRIABLE","2014-05-13","2019-05-13","Per=M","Days=T","Dir=V")</f>
        <v>0</v>
      </c>
      <c r="AY2">
        <f>BDH("SNECQ US Equity","PX_VOLUME","2014-05-13","2019-05-13","Per=M","Days=T","Dir=V")</f>
        <v>0</v>
      </c>
      <c r="BA2">
        <f>BDH("SNECQ US Equity","TURNOVER","2014-05-13","2019-05-13","Per=M","Days=T","Dir=V")</f>
        <v>0</v>
      </c>
      <c r="BC2">
        <f>BDH("SNECQ US Equity","SPREAD_BA_CR","2014-05-13","2019-05-13","Per=M","Days=T","Dir=V")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BDH("EPEGQ US Equity","BS_TOT_ASSET","2014-07-05","2019-07-05","Per=Y","Days=T","Dir=V")</f>
        <v>0</v>
      </c>
      <c r="C2">
        <f>BDH("EPEGQ US Equity","BS_TOT_LIAB2","2014-07-05","2019-07-05","Per=Y","Days=T","Dir=V")</f>
        <v>0</v>
      </c>
      <c r="E2">
        <f>BDH("EPEGQ US Equity","SHORT_AND_LONG_TERM_DEBT","2014-07-05","2019-07-05","Per=Y","Days=T","Dir=V")</f>
        <v>0</v>
      </c>
      <c r="G2">
        <f>BDH("EPEGQ US Equity","BS_ST_BORROW","2014-07-05","2019-07-05","Per=Y","Days=T","Dir=V")</f>
        <v>0</v>
      </c>
      <c r="I2">
        <f>BDH("EPEGQ US Equity","BS_LT_BORROW","2014-07-05","2019-07-05","Per=Y","Days=T","Dir=V")</f>
        <v>0</v>
      </c>
      <c r="K2">
        <f>BDH("EPEGQ US Equity","BS_CASH_NEAR_CASH_ITEM","2014-07-05","2019-07-05","Per=Y","Days=T","Dir=V")</f>
        <v>0</v>
      </c>
      <c r="M2">
        <f>BDH("EPEGQ US Equity","BS_CUR_ASSET_REPORT","2014-07-05","2019-07-05","Per=Y","Days=T","Dir=V")</f>
        <v>0</v>
      </c>
      <c r="O2">
        <f>BDH("EPEGQ US Equity","BS_CUR_LIAB","2014-07-05","2019-07-05","Per=Y","Days=T","Dir=V")</f>
        <v>0</v>
      </c>
      <c r="Q2">
        <f>BDH("EPEGQ US Equity","BS_SHAREHOLDER_EQY_ENDING_PERIOD","2014-07-05","2019-07-05","Per=Y","Days=T","Dir=V")</f>
        <v>0</v>
      </c>
      <c r="S2">
        <f>BDH("EPEGQ US Equity","BS_ACCT_NOTE_RCV","2014-07-05","2019-07-05","Per=Y","Days=T","Dir=V")</f>
        <v>0</v>
      </c>
      <c r="U2">
        <f>BDH("EPEGQ US Equity","BS_INVENTORIES","2014-07-05","2019-07-05","Per=Y","Days=T","Dir=V")</f>
        <v>0</v>
      </c>
      <c r="W2">
        <f>BDH("EPEGQ US Equity","WORKING_CAPITAL","2014-07-05","2019-07-05","Per=Y","Days=T","Dir=V")</f>
        <v>0</v>
      </c>
      <c r="Y2">
        <f>BDH("EPEGQ US Equity","SALES_REV_TURN","2014-07-05","2019-07-05","Per=Y","Days=T","Dir=V")</f>
        <v>0</v>
      </c>
      <c r="AA2">
        <f>BDH("EPEGQ US Equity","EBIT","2014-07-05","2019-07-05","Per=Y","Days=T","Dir=V")</f>
        <v>0</v>
      </c>
      <c r="AC2">
        <f>BDH("EPEGQ US Equity","EBITDA","2014-07-05","2019-07-05","Per=Y","Days=T","Dir=V")</f>
        <v>0</v>
      </c>
      <c r="AE2">
        <f>BDH("EPEGQ US Equity","NET_INCOME","2014-07-05","2019-07-05","Per=Y","Days=T","Dir=V")</f>
        <v>0</v>
      </c>
      <c r="AG2">
        <f>BDH("EPEGQ US Equity","IS_INT_EXPENSE","2014-07-05","2019-07-05","Per=Y","Days=T","Dir=V")</f>
        <v>0</v>
      </c>
      <c r="AI2">
        <f>BDH("EPEGQ US Equity","IS_DEPR_EXP","2014-07-05","2019-07-05","Per=Y","Days=T","Dir=V")</f>
        <v>0</v>
      </c>
      <c r="AK2">
        <f>BDH("EPEGQ US Equity","CF_CASH_FROM_OPER","2014-07-05","2019-07-05","Per=Y","Days=T","Dir=V")</f>
        <v>0</v>
      </c>
      <c r="AM2">
        <f>BDH("EPEGQ US Equity","CAPITAL_EXPEND","2014-07-05","2019-07-05","Per=Y","Days=T","Dir=V")</f>
        <v>0</v>
      </c>
      <c r="AO2">
        <f>BDH("EPEGQ US Equity","CF_FREE_CASH_FLOW","2014-07-05","2019-07-05","Per=Y","Days=T","Dir=V")</f>
        <v>0</v>
      </c>
      <c r="AQ2">
        <f>BDH("EPEGQ US Equity","PX_LAST","2014-07-05","2019-07-05","Per=M","Days=T","Dir=V")</f>
        <v>0</v>
      </c>
      <c r="AS2">
        <f>BDH("EPEGQ US Equity","CUR_MKT_CAP","2014-07-05","2019-07-05","Per=M","Days=T","Dir=V")</f>
        <v>0</v>
      </c>
      <c r="AU2">
        <f>BDH("EPEGQ US Equity","EQY_SH_OUT","2014-07-05","2019-07-05","Per=M","Days=T","Dir=V")</f>
        <v>0</v>
      </c>
      <c r="AW2">
        <f>BDH("EPEGQ US Equity","BETA_RAW_OVERRIABLE","2014-07-05","2019-07-05","Per=M","Days=T","Dir=V")</f>
        <v>0</v>
      </c>
      <c r="AY2">
        <f>BDH("EPEGQ US Equity","PX_VOLUME","2014-07-05","2019-07-05","Per=M","Days=T","Dir=V")</f>
        <v>0</v>
      </c>
      <c r="BA2">
        <f>BDH("EPEGQ US Equity","TURNOVER","2014-07-05","2019-07-05","Per=M","Days=T","Dir=V")</f>
        <v>0</v>
      </c>
      <c r="BC2">
        <f>BDH("EPEGQ US Equity","SPREAD_BA_CR","2014-07-05","2019-07-05","Per=M","Days=T","Dir=V")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BDH("NRTSF US Equity","BS_TOT_ASSET","2014-07-23","2019-07-23","Per=Y","Days=T","Dir=V")</f>
        <v>0</v>
      </c>
      <c r="C2">
        <f>BDH("NRTSF US Equity","BS_TOT_LIAB2","2014-07-23","2019-07-23","Per=Y","Days=T","Dir=V")</f>
        <v>0</v>
      </c>
      <c r="E2">
        <f>BDH("NRTSF US Equity","SHORT_AND_LONG_TERM_DEBT","2014-07-23","2019-07-23","Per=Y","Days=T","Dir=V")</f>
        <v>0</v>
      </c>
      <c r="G2">
        <f>BDH("NRTSF US Equity","BS_ST_BORROW","2014-07-23","2019-07-23","Per=Y","Days=T","Dir=V")</f>
        <v>0</v>
      </c>
      <c r="I2">
        <f>BDH("NRTSF US Equity","BS_LT_BORROW","2014-07-23","2019-07-23","Per=Y","Days=T","Dir=V")</f>
        <v>0</v>
      </c>
      <c r="K2">
        <f>BDH("NRTSF US Equity","BS_CASH_NEAR_CASH_ITEM","2014-07-23","2019-07-23","Per=Y","Days=T","Dir=V")</f>
        <v>0</v>
      </c>
      <c r="M2">
        <f>BDH("NRTSF US Equity","BS_CUR_ASSET_REPORT","2014-07-23","2019-07-23","Per=Y","Days=T","Dir=V")</f>
        <v>0</v>
      </c>
      <c r="O2">
        <f>BDH("NRTSF US Equity","BS_CUR_LIAB","2014-07-23","2019-07-23","Per=Y","Days=T","Dir=V")</f>
        <v>0</v>
      </c>
      <c r="Q2">
        <f>BDH("NRTSF US Equity","BS_SHAREHOLDER_EQY_ENDING_PERIOD","2014-07-23","2019-07-23","Per=Y","Days=T","Dir=V")</f>
        <v>0</v>
      </c>
      <c r="S2">
        <f>BDH("NRTSF US Equity","BS_ACCT_NOTE_RCV","2014-07-23","2019-07-23","Per=Y","Days=T","Dir=V")</f>
        <v>0</v>
      </c>
      <c r="U2">
        <f>BDH("NRTSF US Equity","BS_INVENTORIES","2014-07-23","2019-07-23","Per=Y","Days=T","Dir=V")</f>
        <v>0</v>
      </c>
      <c r="W2">
        <f>BDH("NRTSF US Equity","WORKING_CAPITAL","2014-07-23","2019-07-23","Per=Y","Days=T","Dir=V")</f>
        <v>0</v>
      </c>
      <c r="Y2">
        <f>BDH("NRTSF US Equity","SALES_REV_TURN","2014-07-23","2019-07-23","Per=Y","Days=T","Dir=V")</f>
        <v>0</v>
      </c>
      <c r="AA2">
        <f>BDH("NRTSF US Equity","EBIT","2014-07-23","2019-07-23","Per=Y","Days=T","Dir=V")</f>
        <v>0</v>
      </c>
      <c r="AC2">
        <f>BDH("NRTSF US Equity","EBITDA","2014-07-23","2019-07-23","Per=Y","Days=T","Dir=V")</f>
        <v>0</v>
      </c>
      <c r="AE2">
        <f>BDH("NRTSF US Equity","NET_INCOME","2014-07-23","2019-07-23","Per=Y","Days=T","Dir=V")</f>
        <v>0</v>
      </c>
      <c r="AG2">
        <f>BDH("NRTSF US Equity","IS_INT_EXPENSE","2014-07-23","2019-07-23","Per=Y","Days=T","Dir=V")</f>
        <v>0</v>
      </c>
      <c r="AI2">
        <f>BDH("NRTSF US Equity","IS_DEPR_EXP","2014-07-23","2019-07-23","Per=Y","Days=T","Dir=V")</f>
        <v>0</v>
      </c>
      <c r="AK2">
        <f>BDH("NRTSF US Equity","CF_CASH_FROM_OPER","2014-07-23","2019-07-23","Per=Y","Days=T","Dir=V")</f>
        <v>0</v>
      </c>
      <c r="AM2">
        <f>BDH("NRTSF US Equity","CAPITAL_EXPEND","2014-07-23","2019-07-23","Per=Y","Days=T","Dir=V")</f>
        <v>0</v>
      </c>
      <c r="AO2">
        <f>BDH("NRTSF US Equity","CF_FREE_CASH_FLOW","2014-07-23","2019-07-23","Per=Y","Days=T","Dir=V")</f>
        <v>0</v>
      </c>
      <c r="AQ2">
        <f>BDH("NRTSF US Equity","PX_LAST","2014-07-23","2019-07-23","Per=M","Days=T","Dir=V")</f>
        <v>0</v>
      </c>
      <c r="AS2">
        <f>BDH("NRTSF US Equity","CUR_MKT_CAP","2014-07-23","2019-07-23","Per=M","Days=T","Dir=V")</f>
        <v>0</v>
      </c>
      <c r="AU2">
        <f>BDH("NRTSF US Equity","EQY_SH_OUT","2014-07-23","2019-07-23","Per=M","Days=T","Dir=V")</f>
        <v>0</v>
      </c>
      <c r="AW2">
        <f>BDH("NRTSF US Equity","BETA_RAW_OVERRIABLE","2014-07-23","2019-07-23","Per=M","Days=T","Dir=V")</f>
        <v>0</v>
      </c>
      <c r="AY2">
        <f>BDH("NRTSF US Equity","PX_VOLUME","2014-07-23","2019-07-23","Per=M","Days=T","Dir=V")</f>
        <v>0</v>
      </c>
      <c r="BA2">
        <f>BDH("NRTSF US Equity","TURNOVER","2014-07-23","2019-07-23","Per=M","Days=T","Dir=V")</f>
        <v>0</v>
      </c>
      <c r="BC2">
        <f>BDH("NRTSF US Equity","SPREAD_BA_CR","2014-07-23","2019-07-23","Per=M","Days=T","Dir=V")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BDH("AREXQ US Equity","BS_TOT_ASSET","2014-08-20","2019-08-20","Per=Y","Days=T","Dir=V")</f>
        <v>0</v>
      </c>
      <c r="C2">
        <f>BDH("AREXQ US Equity","BS_TOT_LIAB2","2014-08-20","2019-08-20","Per=Y","Days=T","Dir=V")</f>
        <v>0</v>
      </c>
      <c r="E2">
        <f>BDH("AREXQ US Equity","SHORT_AND_LONG_TERM_DEBT","2014-08-20","2019-08-20","Per=Y","Days=T","Dir=V")</f>
        <v>0</v>
      </c>
      <c r="G2">
        <f>BDH("AREXQ US Equity","BS_ST_BORROW","2014-08-20","2019-08-20","Per=Y","Days=T","Dir=V")</f>
        <v>0</v>
      </c>
      <c r="I2">
        <f>BDH("AREXQ US Equity","BS_LT_BORROW","2014-08-20","2019-08-20","Per=Y","Days=T","Dir=V")</f>
        <v>0</v>
      </c>
      <c r="K2">
        <f>BDH("AREXQ US Equity","BS_CASH_NEAR_CASH_ITEM","2014-08-20","2019-08-20","Per=Y","Days=T","Dir=V")</f>
        <v>0</v>
      </c>
      <c r="M2">
        <f>BDH("AREXQ US Equity","BS_CUR_ASSET_REPORT","2014-08-20","2019-08-20","Per=Y","Days=T","Dir=V")</f>
        <v>0</v>
      </c>
      <c r="O2">
        <f>BDH("AREXQ US Equity","BS_CUR_LIAB","2014-08-20","2019-08-20","Per=Y","Days=T","Dir=V")</f>
        <v>0</v>
      </c>
      <c r="Q2">
        <f>BDH("AREXQ US Equity","BS_SHAREHOLDER_EQY_ENDING_PERIOD","2014-08-20","2019-08-20","Per=Y","Days=T","Dir=V")</f>
        <v>0</v>
      </c>
      <c r="S2">
        <f>BDH("AREXQ US Equity","BS_ACCT_NOTE_RCV","2014-08-20","2019-08-20","Per=Y","Days=T","Dir=V")</f>
        <v>0</v>
      </c>
      <c r="U2">
        <f>BDH("AREXQ US Equity","BS_INVENTORIES","2014-08-20","2019-08-20","Per=Y","Days=T","Dir=V")</f>
        <v>0</v>
      </c>
      <c r="W2">
        <f>BDH("AREXQ US Equity","WORKING_CAPITAL","2014-08-20","2019-08-20","Per=Y","Days=T","Dir=V")</f>
        <v>0</v>
      </c>
      <c r="Y2">
        <f>BDH("AREXQ US Equity","SALES_REV_TURN","2014-08-20","2019-08-20","Per=Y","Days=T","Dir=V")</f>
        <v>0</v>
      </c>
      <c r="AA2">
        <f>BDH("AREXQ US Equity","EBIT","2014-08-20","2019-08-20","Per=Y","Days=T","Dir=V")</f>
        <v>0</v>
      </c>
      <c r="AC2">
        <f>BDH("AREXQ US Equity","EBITDA","2014-08-20","2019-08-20","Per=Y","Days=T","Dir=V")</f>
        <v>0</v>
      </c>
      <c r="AE2">
        <f>BDH("AREXQ US Equity","NET_INCOME","2014-08-20","2019-08-20","Per=Y","Days=T","Dir=V")</f>
        <v>0</v>
      </c>
      <c r="AG2">
        <f>BDH("AREXQ US Equity","IS_INT_EXPENSE","2014-08-20","2019-08-20","Per=Y","Days=T","Dir=V")</f>
        <v>0</v>
      </c>
      <c r="AI2">
        <f>BDH("AREXQ US Equity","IS_DEPR_EXP","2014-08-20","2019-08-20","Per=Y","Days=T","Dir=V")</f>
        <v>0</v>
      </c>
      <c r="AK2">
        <f>BDH("AREXQ US Equity","CF_CASH_FROM_OPER","2014-08-20","2019-08-20","Per=Y","Days=T","Dir=V")</f>
        <v>0</v>
      </c>
      <c r="AM2">
        <f>BDH("AREXQ US Equity","CAPITAL_EXPEND","2014-08-20","2019-08-20","Per=Y","Days=T","Dir=V")</f>
        <v>0</v>
      </c>
      <c r="AO2">
        <f>BDH("AREXQ US Equity","CF_FREE_CASH_FLOW","2014-08-20","2019-08-20","Per=Y","Days=T","Dir=V")</f>
        <v>0</v>
      </c>
      <c r="AQ2">
        <f>BDH("AREXQ US Equity","PX_LAST","2014-08-20","2019-08-20","Per=M","Days=T","Dir=V")</f>
        <v>0</v>
      </c>
      <c r="AS2">
        <f>BDH("AREXQ US Equity","CUR_MKT_CAP","2014-08-20","2019-08-20","Per=M","Days=T","Dir=V")</f>
        <v>0</v>
      </c>
      <c r="AU2">
        <f>BDH("AREXQ US Equity","EQY_SH_OUT","2014-08-20","2019-08-20","Per=M","Days=T","Dir=V")</f>
        <v>0</v>
      </c>
      <c r="AW2">
        <f>BDH("AREXQ US Equity","BETA_RAW_OVERRIABLE","2014-08-20","2019-08-20","Per=M","Days=T","Dir=V")</f>
        <v>0</v>
      </c>
      <c r="AY2">
        <f>BDH("AREXQ US Equity","PX_VOLUME","2014-08-20","2019-08-20","Per=M","Days=T","Dir=V")</f>
        <v>0</v>
      </c>
      <c r="BA2">
        <f>BDH("AREXQ US Equity","TURNOVER","2014-08-20","2019-08-20","Per=M","Days=T","Dir=V")</f>
        <v>0</v>
      </c>
      <c r="BC2">
        <f>BDH("AREXQ US Equity","SPREAD_BA_CR","2014-08-20","2019-08-20","Per=M","Days=T","Dir=V")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BDH("MDRIQ US Equity","BS_TOT_ASSET","2014-10-23","2019-10-23","Per=Y","Days=T","Dir=V")</f>
        <v>0</v>
      </c>
      <c r="C2">
        <f>BDH("MDRIQ US Equity","BS_TOT_LIAB2","2014-10-23","2019-10-23","Per=Y","Days=T","Dir=V")</f>
        <v>0</v>
      </c>
      <c r="E2">
        <f>BDH("MDRIQ US Equity","SHORT_AND_LONG_TERM_DEBT","2014-10-23","2019-10-23","Per=Y","Days=T","Dir=V")</f>
        <v>0</v>
      </c>
      <c r="G2">
        <f>BDH("MDRIQ US Equity","BS_ST_BORROW","2014-10-23","2019-10-23","Per=Y","Days=T","Dir=V")</f>
        <v>0</v>
      </c>
      <c r="I2">
        <f>BDH("MDRIQ US Equity","BS_LT_BORROW","2014-10-23","2019-10-23","Per=Y","Days=T","Dir=V")</f>
        <v>0</v>
      </c>
      <c r="K2">
        <f>BDH("MDRIQ US Equity","BS_CASH_NEAR_CASH_ITEM","2014-10-23","2019-10-23","Per=Y","Days=T","Dir=V")</f>
        <v>0</v>
      </c>
      <c r="M2">
        <f>BDH("MDRIQ US Equity","BS_CUR_ASSET_REPORT","2014-10-23","2019-10-23","Per=Y","Days=T","Dir=V")</f>
        <v>0</v>
      </c>
      <c r="O2">
        <f>BDH("MDRIQ US Equity","BS_CUR_LIAB","2014-10-23","2019-10-23","Per=Y","Days=T","Dir=V")</f>
        <v>0</v>
      </c>
      <c r="Q2">
        <f>BDH("MDRIQ US Equity","BS_SHAREHOLDER_EQY_ENDING_PERIOD","2014-10-23","2019-10-23","Per=Y","Days=T","Dir=V")</f>
        <v>0</v>
      </c>
      <c r="S2">
        <f>BDH("MDRIQ US Equity","BS_ACCT_NOTE_RCV","2014-10-23","2019-10-23","Per=Y","Days=T","Dir=V")</f>
        <v>0</v>
      </c>
      <c r="U2">
        <f>BDH("MDRIQ US Equity","BS_INVENTORIES","2014-10-23","2019-10-23","Per=Y","Days=T","Dir=V")</f>
        <v>0</v>
      </c>
      <c r="W2">
        <f>BDH("MDRIQ US Equity","WORKING_CAPITAL","2014-10-23","2019-10-23","Per=Y","Days=T","Dir=V")</f>
        <v>0</v>
      </c>
      <c r="Y2">
        <f>BDH("MDRIQ US Equity","SALES_REV_TURN","2014-10-23","2019-10-23","Per=Y","Days=T","Dir=V")</f>
        <v>0</v>
      </c>
      <c r="AA2">
        <f>BDH("MDRIQ US Equity","EBIT","2014-10-23","2019-10-23","Per=Y","Days=T","Dir=V")</f>
        <v>0</v>
      </c>
      <c r="AC2">
        <f>BDH("MDRIQ US Equity","EBITDA","2014-10-23","2019-10-23","Per=Y","Days=T","Dir=V")</f>
        <v>0</v>
      </c>
      <c r="AE2">
        <f>BDH("MDRIQ US Equity","NET_INCOME","2014-10-23","2019-10-23","Per=Y","Days=T","Dir=V")</f>
        <v>0</v>
      </c>
      <c r="AG2">
        <f>BDH("MDRIQ US Equity","IS_INT_EXPENSE","2014-10-23","2019-10-23","Per=Y","Days=T","Dir=V")</f>
        <v>0</v>
      </c>
      <c r="AI2">
        <f>BDH("MDRIQ US Equity","IS_DEPR_EXP","2014-10-23","2019-10-23","Per=Y","Days=T","Dir=V")</f>
        <v>0</v>
      </c>
      <c r="AK2">
        <f>BDH("MDRIQ US Equity","CF_CASH_FROM_OPER","2014-10-23","2019-10-23","Per=Y","Days=T","Dir=V")</f>
        <v>0</v>
      </c>
      <c r="AM2">
        <f>BDH("MDRIQ US Equity","CAPITAL_EXPEND","2014-10-23","2019-10-23","Per=Y","Days=T","Dir=V")</f>
        <v>0</v>
      </c>
      <c r="AO2">
        <f>BDH("MDRIQ US Equity","CF_FREE_CASH_FLOW","2014-10-23","2019-10-23","Per=Y","Days=T","Dir=V")</f>
        <v>0</v>
      </c>
      <c r="AQ2">
        <f>BDH("MDRIQ US Equity","PX_LAST","2014-10-23","2019-10-23","Per=M","Days=T","Dir=V")</f>
        <v>0</v>
      </c>
      <c r="AS2">
        <f>BDH("MDRIQ US Equity","CUR_MKT_CAP","2014-10-23","2019-10-23","Per=M","Days=T","Dir=V")</f>
        <v>0</v>
      </c>
      <c r="AU2">
        <f>BDH("MDRIQ US Equity","EQY_SH_OUT","2014-10-23","2019-10-23","Per=M","Days=T","Dir=V")</f>
        <v>0</v>
      </c>
      <c r="AW2">
        <f>BDH("MDRIQ US Equity","BETA_RAW_OVERRIABLE","2014-10-23","2019-10-23","Per=M","Days=T","Dir=V")</f>
        <v>0</v>
      </c>
      <c r="AY2">
        <f>BDH("MDRIQ US Equity","PX_VOLUME","2014-10-23","2019-10-23","Per=M","Days=T","Dir=V")</f>
        <v>0</v>
      </c>
      <c r="BA2">
        <f>BDH("MDRIQ US Equity","TURNOVER","2014-10-23","2019-10-23","Per=M","Days=T","Dir=V")</f>
        <v>0</v>
      </c>
      <c r="BC2">
        <f>BDH("MDRIQ US Equity","SPREAD_BA_CR","2014-10-23","2019-10-23","Per=M","Days=T","Dir=V")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BDH("PIRRQ US Equity","BS_TOT_ASSET","2014-11-19","2019-11-19","Per=Y","Days=T","Dir=V")</f>
        <v>0</v>
      </c>
      <c r="C2">
        <f>BDH("PIRRQ US Equity","BS_TOT_LIAB2","2014-11-19","2019-11-19","Per=Y","Days=T","Dir=V")</f>
        <v>0</v>
      </c>
      <c r="E2">
        <f>BDH("PIRRQ US Equity","SHORT_AND_LONG_TERM_DEBT","2014-11-19","2019-11-19","Per=Y","Days=T","Dir=V")</f>
        <v>0</v>
      </c>
      <c r="G2">
        <f>BDH("PIRRQ US Equity","BS_ST_BORROW","2014-11-19","2019-11-19","Per=Y","Days=T","Dir=V")</f>
        <v>0</v>
      </c>
      <c r="I2">
        <f>BDH("PIRRQ US Equity","BS_LT_BORROW","2014-11-19","2019-11-19","Per=Y","Days=T","Dir=V")</f>
        <v>0</v>
      </c>
      <c r="K2">
        <f>BDH("PIRRQ US Equity","BS_CASH_NEAR_CASH_ITEM","2014-11-19","2019-11-19","Per=Y","Days=T","Dir=V")</f>
        <v>0</v>
      </c>
      <c r="M2">
        <f>BDH("PIRRQ US Equity","BS_CUR_ASSET_REPORT","2014-11-19","2019-11-19","Per=Y","Days=T","Dir=V")</f>
        <v>0</v>
      </c>
      <c r="O2">
        <f>BDH("PIRRQ US Equity","BS_CUR_LIAB","2014-11-19","2019-11-19","Per=Y","Days=T","Dir=V")</f>
        <v>0</v>
      </c>
      <c r="Q2">
        <f>BDH("PIRRQ US Equity","BS_SHAREHOLDER_EQY_ENDING_PERIOD","2014-11-19","2019-11-19","Per=Y","Days=T","Dir=V")</f>
        <v>0</v>
      </c>
      <c r="S2">
        <f>BDH("PIRRQ US Equity","BS_ACCT_NOTE_RCV","2014-11-19","2019-11-19","Per=Y","Days=T","Dir=V")</f>
        <v>0</v>
      </c>
      <c r="U2">
        <f>BDH("PIRRQ US Equity","BS_INVENTORIES","2014-11-19","2019-11-19","Per=Y","Days=T","Dir=V")</f>
        <v>0</v>
      </c>
      <c r="W2">
        <f>BDH("PIRRQ US Equity","WORKING_CAPITAL","2014-11-19","2019-11-19","Per=Y","Days=T","Dir=V")</f>
        <v>0</v>
      </c>
      <c r="Y2">
        <f>BDH("PIRRQ US Equity","SALES_REV_TURN","2014-11-19","2019-11-19","Per=Y","Days=T","Dir=V")</f>
        <v>0</v>
      </c>
      <c r="AA2">
        <f>BDH("PIRRQ US Equity","EBIT","2014-11-19","2019-11-19","Per=Y","Days=T","Dir=V")</f>
        <v>0</v>
      </c>
      <c r="AC2">
        <f>BDH("PIRRQ US Equity","EBITDA","2014-11-19","2019-11-19","Per=Y","Days=T","Dir=V")</f>
        <v>0</v>
      </c>
      <c r="AE2">
        <f>BDH("PIRRQ US Equity","NET_INCOME","2014-11-19","2019-11-19","Per=Y","Days=T","Dir=V")</f>
        <v>0</v>
      </c>
      <c r="AG2">
        <f>BDH("PIRRQ US Equity","IS_INT_EXPENSE","2014-11-19","2019-11-19","Per=Y","Days=T","Dir=V")</f>
        <v>0</v>
      </c>
      <c r="AI2">
        <f>BDH("PIRRQ US Equity","IS_DEPR_EXP","2014-11-19","2019-11-19","Per=Y","Days=T","Dir=V")</f>
        <v>0</v>
      </c>
      <c r="AK2">
        <f>BDH("PIRRQ US Equity","CF_CASH_FROM_OPER","2014-11-19","2019-11-19","Per=Y","Days=T","Dir=V")</f>
        <v>0</v>
      </c>
      <c r="AM2">
        <f>BDH("PIRRQ US Equity","CAPITAL_EXPEND","2014-11-19","2019-11-19","Per=Y","Days=T","Dir=V")</f>
        <v>0</v>
      </c>
      <c r="AO2">
        <f>BDH("PIRRQ US Equity","CF_FREE_CASH_FLOW","2014-11-19","2019-11-19","Per=Y","Days=T","Dir=V")</f>
        <v>0</v>
      </c>
      <c r="AQ2">
        <f>BDH("PIRRQ US Equity","PX_LAST","2014-11-19","2019-11-19","Per=M","Days=T","Dir=V")</f>
        <v>0</v>
      </c>
      <c r="AS2">
        <f>BDH("PIRRQ US Equity","CUR_MKT_CAP","2014-11-19","2019-11-19","Per=M","Days=T","Dir=V")</f>
        <v>0</v>
      </c>
      <c r="AU2">
        <f>BDH("PIRRQ US Equity","EQY_SH_OUT","2014-11-19","2019-11-19","Per=M","Days=T","Dir=V")</f>
        <v>0</v>
      </c>
      <c r="AW2">
        <f>BDH("PIRRQ US Equity","BETA_RAW_OVERRIABLE","2014-11-19","2019-11-19","Per=M","Days=T","Dir=V")</f>
        <v>0</v>
      </c>
      <c r="AY2">
        <f>BDH("PIRRQ US Equity","PX_VOLUME","2014-11-19","2019-11-19","Per=M","Days=T","Dir=V")</f>
        <v>0</v>
      </c>
      <c r="BA2">
        <f>BDH("PIRRQ US Equity","TURNOVER","2014-11-19","2019-11-19","Per=M","Days=T","Dir=V")</f>
        <v>0</v>
      </c>
      <c r="BC2">
        <f>BDH("PIRRQ US Equity","SPREAD_BA_CR","2014-11-19","2019-11-19","Per=M","Days=T","Dir=V")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BDH("FELPQ US Equity","BS_TOT_ASSET","2014-12-11","2019-12-11","Per=Y","Days=T","Dir=V")</f>
        <v>0</v>
      </c>
      <c r="C2">
        <f>BDH("FELPQ US Equity","BS_TOT_LIAB2","2014-12-11","2019-12-11","Per=Y","Days=T","Dir=V")</f>
        <v>0</v>
      </c>
      <c r="E2">
        <f>BDH("FELPQ US Equity","SHORT_AND_LONG_TERM_DEBT","2014-12-11","2019-12-11","Per=Y","Days=T","Dir=V")</f>
        <v>0</v>
      </c>
      <c r="G2">
        <f>BDH("FELPQ US Equity","BS_ST_BORROW","2014-12-11","2019-12-11","Per=Y","Days=T","Dir=V")</f>
        <v>0</v>
      </c>
      <c r="I2">
        <f>BDH("FELPQ US Equity","BS_LT_BORROW","2014-12-11","2019-12-11","Per=Y","Days=T","Dir=V")</f>
        <v>0</v>
      </c>
      <c r="K2">
        <f>BDH("FELPQ US Equity","BS_CASH_NEAR_CASH_ITEM","2014-12-11","2019-12-11","Per=Y","Days=T","Dir=V")</f>
        <v>0</v>
      </c>
      <c r="M2">
        <f>BDH("FELPQ US Equity","BS_CUR_ASSET_REPORT","2014-12-11","2019-12-11","Per=Y","Days=T","Dir=V")</f>
        <v>0</v>
      </c>
      <c r="O2">
        <f>BDH("FELPQ US Equity","BS_CUR_LIAB","2014-12-11","2019-12-11","Per=Y","Days=T","Dir=V")</f>
        <v>0</v>
      </c>
      <c r="Q2">
        <f>BDH("FELPQ US Equity","BS_SHAREHOLDER_EQY_ENDING_PERIOD","2014-12-11","2019-12-11","Per=Y","Days=T","Dir=V")</f>
        <v>0</v>
      </c>
      <c r="S2">
        <f>BDH("FELPQ US Equity","BS_ACCT_NOTE_RCV","2014-12-11","2019-12-11","Per=Y","Days=T","Dir=V")</f>
        <v>0</v>
      </c>
      <c r="U2">
        <f>BDH("FELPQ US Equity","BS_INVENTORIES","2014-12-11","2019-12-11","Per=Y","Days=T","Dir=V")</f>
        <v>0</v>
      </c>
      <c r="W2">
        <f>BDH("FELPQ US Equity","WORKING_CAPITAL","2014-12-11","2019-12-11","Per=Y","Days=T","Dir=V")</f>
        <v>0</v>
      </c>
      <c r="Y2">
        <f>BDH("FELPQ US Equity","SALES_REV_TURN","2014-12-11","2019-12-11","Per=Y","Days=T","Dir=V")</f>
        <v>0</v>
      </c>
      <c r="AA2">
        <f>BDH("FELPQ US Equity","EBIT","2014-12-11","2019-12-11","Per=Y","Days=T","Dir=V")</f>
        <v>0</v>
      </c>
      <c r="AC2">
        <f>BDH("FELPQ US Equity","EBITDA","2014-12-11","2019-12-11","Per=Y","Days=T","Dir=V")</f>
        <v>0</v>
      </c>
      <c r="AE2">
        <f>BDH("FELPQ US Equity","NET_INCOME","2014-12-11","2019-12-11","Per=Y","Days=T","Dir=V")</f>
        <v>0</v>
      </c>
      <c r="AG2">
        <f>BDH("FELPQ US Equity","IS_INT_EXPENSE","2014-12-11","2019-12-11","Per=Y","Days=T","Dir=V")</f>
        <v>0</v>
      </c>
      <c r="AI2">
        <f>BDH("FELPQ US Equity","IS_DEPR_EXP","2014-12-11","2019-12-11","Per=Y","Days=T","Dir=V")</f>
        <v>0</v>
      </c>
      <c r="AK2">
        <f>BDH("FELPQ US Equity","CF_CASH_FROM_OPER","2014-12-11","2019-12-11","Per=Y","Days=T","Dir=V")</f>
        <v>0</v>
      </c>
      <c r="AM2">
        <f>BDH("FELPQ US Equity","CAPITAL_EXPEND","2014-12-11","2019-12-11","Per=Y","Days=T","Dir=V")</f>
        <v>0</v>
      </c>
      <c r="AO2">
        <f>BDH("FELPQ US Equity","CF_FREE_CASH_FLOW","2014-12-11","2019-12-11","Per=Y","Days=T","Dir=V")</f>
        <v>0</v>
      </c>
      <c r="AQ2">
        <f>BDH("FELPQ US Equity","PX_LAST","2014-12-11","2019-12-11","Per=M","Days=T","Dir=V")</f>
        <v>0</v>
      </c>
      <c r="AS2">
        <f>BDH("FELPQ US Equity","CUR_MKT_CAP","2014-12-11","2019-12-11","Per=M","Days=T","Dir=V")</f>
        <v>0</v>
      </c>
      <c r="AU2">
        <f>BDH("FELPQ US Equity","EQY_SH_OUT","2014-12-11","2019-12-11","Per=M","Days=T","Dir=V")</f>
        <v>0</v>
      </c>
      <c r="AW2">
        <f>BDH("FELPQ US Equity","BETA_RAW_OVERRIABLE","2014-12-11","2019-12-11","Per=M","Days=T","Dir=V")</f>
        <v>0</v>
      </c>
      <c r="AY2">
        <f>BDH("FELPQ US Equity","PX_VOLUME","2014-12-11","2019-12-11","Per=M","Days=T","Dir=V")</f>
        <v>0</v>
      </c>
      <c r="BA2">
        <f>BDH("FELPQ US Equity","TURNOVER","2014-12-11","2019-12-11","Per=M","Days=T","Dir=V")</f>
        <v>0</v>
      </c>
      <c r="BC2">
        <f>BDH("FELPQ US Equity","SPREAD_BA_CR","2014-12-11","2019-12-11","Per=M","Days=T","Dir=V")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BDH("QHCCQ US Equity","BS_TOT_ASSET","2015-01-08","2020-01-08","Per=Y","Days=T","Dir=V")</f>
        <v>0</v>
      </c>
      <c r="C2">
        <f>BDH("QHCCQ US Equity","BS_TOT_LIAB2","2015-01-08","2020-01-08","Per=Y","Days=T","Dir=V")</f>
        <v>0</v>
      </c>
      <c r="E2">
        <f>BDH("QHCCQ US Equity","SHORT_AND_LONG_TERM_DEBT","2015-01-08","2020-01-08","Per=Y","Days=T","Dir=V")</f>
        <v>0</v>
      </c>
      <c r="G2">
        <f>BDH("QHCCQ US Equity","BS_ST_BORROW","2015-01-08","2020-01-08","Per=Y","Days=T","Dir=V")</f>
        <v>0</v>
      </c>
      <c r="I2">
        <f>BDH("QHCCQ US Equity","BS_LT_BORROW","2015-01-08","2020-01-08","Per=Y","Days=T","Dir=V")</f>
        <v>0</v>
      </c>
      <c r="K2">
        <f>BDH("QHCCQ US Equity","BS_CASH_NEAR_CASH_ITEM","2015-01-08","2020-01-08","Per=Y","Days=T","Dir=V")</f>
        <v>0</v>
      </c>
      <c r="M2">
        <f>BDH("QHCCQ US Equity","BS_CUR_ASSET_REPORT","2015-01-08","2020-01-08","Per=Y","Days=T","Dir=V")</f>
        <v>0</v>
      </c>
      <c r="O2">
        <f>BDH("QHCCQ US Equity","BS_CUR_LIAB","2015-01-08","2020-01-08","Per=Y","Days=T","Dir=V")</f>
        <v>0</v>
      </c>
      <c r="Q2">
        <f>BDH("QHCCQ US Equity","BS_SHAREHOLDER_EQY_ENDING_PERIOD","2015-01-08","2020-01-08","Per=Y","Days=T","Dir=V")</f>
        <v>0</v>
      </c>
      <c r="S2">
        <f>BDH("QHCCQ US Equity","BS_ACCT_NOTE_RCV","2015-01-08","2020-01-08","Per=Y","Days=T","Dir=V")</f>
        <v>0</v>
      </c>
      <c r="U2">
        <f>BDH("QHCCQ US Equity","BS_INVENTORIES","2015-01-08","2020-01-08","Per=Y","Days=T","Dir=V")</f>
        <v>0</v>
      </c>
      <c r="W2">
        <f>BDH("QHCCQ US Equity","WORKING_CAPITAL","2015-01-08","2020-01-08","Per=Y","Days=T","Dir=V")</f>
        <v>0</v>
      </c>
      <c r="Y2">
        <f>BDH("QHCCQ US Equity","SALES_REV_TURN","2015-01-08","2020-01-08","Per=Y","Days=T","Dir=V")</f>
        <v>0</v>
      </c>
      <c r="AA2">
        <f>BDH("QHCCQ US Equity","EBIT","2015-01-08","2020-01-08","Per=Y","Days=T","Dir=V")</f>
        <v>0</v>
      </c>
      <c r="AC2">
        <f>BDH("QHCCQ US Equity","EBITDA","2015-01-08","2020-01-08","Per=Y","Days=T","Dir=V")</f>
        <v>0</v>
      </c>
      <c r="AE2">
        <f>BDH("QHCCQ US Equity","NET_INCOME","2015-01-08","2020-01-08","Per=Y","Days=T","Dir=V")</f>
        <v>0</v>
      </c>
      <c r="AG2">
        <f>BDH("QHCCQ US Equity","IS_INT_EXPENSE","2015-01-08","2020-01-08","Per=Y","Days=T","Dir=V")</f>
        <v>0</v>
      </c>
      <c r="AI2">
        <f>BDH("QHCCQ US Equity","IS_DEPR_EXP","2015-01-08","2020-01-08","Per=Y","Days=T","Dir=V")</f>
        <v>0</v>
      </c>
      <c r="AK2">
        <f>BDH("QHCCQ US Equity","CF_CASH_FROM_OPER","2015-01-08","2020-01-08","Per=Y","Days=T","Dir=V")</f>
        <v>0</v>
      </c>
      <c r="AM2">
        <f>BDH("QHCCQ US Equity","CAPITAL_EXPEND","2015-01-08","2020-01-08","Per=Y","Days=T","Dir=V")</f>
        <v>0</v>
      </c>
      <c r="AO2">
        <f>BDH("QHCCQ US Equity","CF_FREE_CASH_FLOW","2015-01-08","2020-01-08","Per=Y","Days=T","Dir=V")</f>
        <v>0</v>
      </c>
      <c r="AQ2">
        <f>BDH("QHCCQ US Equity","PX_LAST","2015-01-08","2020-01-08","Per=M","Days=T","Dir=V")</f>
        <v>0</v>
      </c>
      <c r="AS2">
        <f>BDH("QHCCQ US Equity","CUR_MKT_CAP","2015-01-08","2020-01-08","Per=M","Days=T","Dir=V")</f>
        <v>0</v>
      </c>
      <c r="AU2">
        <f>BDH("QHCCQ US Equity","EQY_SH_OUT","2015-01-08","2020-01-08","Per=M","Days=T","Dir=V")</f>
        <v>0</v>
      </c>
      <c r="AW2">
        <f>BDH("QHCCQ US Equity","BETA_RAW_OVERRIABLE","2015-01-08","2020-01-08","Per=M","Days=T","Dir=V")</f>
        <v>0</v>
      </c>
      <c r="AY2">
        <f>BDH("QHCCQ US Equity","PX_VOLUME","2015-01-08","2020-01-08","Per=M","Days=T","Dir=V")</f>
        <v>0</v>
      </c>
      <c r="BA2">
        <f>BDH("QHCCQ US Equity","TURNOVER","2015-01-08","2020-01-08","Per=M","Days=T","Dir=V")</f>
        <v>0</v>
      </c>
      <c r="BC2">
        <f>BDH("QHCCQ US Equity","SPREAD_BA_CR","2015-01-08","2020-01-08","Per=M","Days=T","Dir=V")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BDH("CTRCQ US Equity","BS_TOT_ASSET","2015-02-18","2020-02-18","Per=Y","Days=T","Dir=V")</f>
        <v>0</v>
      </c>
      <c r="C2">
        <f>BDH("CTRCQ US Equity","BS_TOT_LIAB2","2015-02-18","2020-02-18","Per=Y","Days=T","Dir=V")</f>
        <v>0</v>
      </c>
      <c r="E2">
        <f>BDH("CTRCQ US Equity","SHORT_AND_LONG_TERM_DEBT","2015-02-18","2020-02-18","Per=Y","Days=T","Dir=V")</f>
        <v>0</v>
      </c>
      <c r="G2">
        <f>BDH("CTRCQ US Equity","BS_ST_BORROW","2015-02-18","2020-02-18","Per=Y","Days=T","Dir=V")</f>
        <v>0</v>
      </c>
      <c r="I2">
        <f>BDH("CTRCQ US Equity","BS_LT_BORROW","2015-02-18","2020-02-18","Per=Y","Days=T","Dir=V")</f>
        <v>0</v>
      </c>
      <c r="K2">
        <f>BDH("CTRCQ US Equity","BS_CASH_NEAR_CASH_ITEM","2015-02-18","2020-02-18","Per=Y","Days=T","Dir=V")</f>
        <v>0</v>
      </c>
      <c r="M2">
        <f>BDH("CTRCQ US Equity","BS_CUR_ASSET_REPORT","2015-02-18","2020-02-18","Per=Y","Days=T","Dir=V")</f>
        <v>0</v>
      </c>
      <c r="O2">
        <f>BDH("CTRCQ US Equity","BS_CUR_LIAB","2015-02-18","2020-02-18","Per=Y","Days=T","Dir=V")</f>
        <v>0</v>
      </c>
      <c r="Q2">
        <f>BDH("CTRCQ US Equity","BS_SHAREHOLDER_EQY_ENDING_PERIOD","2015-02-18","2020-02-18","Per=Y","Days=T","Dir=V")</f>
        <v>0</v>
      </c>
      <c r="S2">
        <f>BDH("CTRCQ US Equity","BS_ACCT_NOTE_RCV","2015-02-18","2020-02-18","Per=Y","Days=T","Dir=V")</f>
        <v>0</v>
      </c>
      <c r="U2">
        <f>BDH("CTRCQ US Equity","BS_INVENTORIES","2015-02-18","2020-02-18","Per=Y","Days=T","Dir=V")</f>
        <v>0</v>
      </c>
      <c r="W2">
        <f>BDH("CTRCQ US Equity","WORKING_CAPITAL","2015-02-18","2020-02-18","Per=Y","Days=T","Dir=V")</f>
        <v>0</v>
      </c>
      <c r="Y2">
        <f>BDH("CTRCQ US Equity","SALES_REV_TURN","2015-02-18","2020-02-18","Per=Y","Days=T","Dir=V")</f>
        <v>0</v>
      </c>
      <c r="AA2">
        <f>BDH("CTRCQ US Equity","EBIT","2015-02-18","2020-02-18","Per=Y","Days=T","Dir=V")</f>
        <v>0</v>
      </c>
      <c r="AC2">
        <f>BDH("CTRCQ US Equity","EBITDA","2015-02-18","2020-02-18","Per=Y","Days=T","Dir=V")</f>
        <v>0</v>
      </c>
      <c r="AE2">
        <f>BDH("CTRCQ US Equity","NET_INCOME","2015-02-18","2020-02-18","Per=Y","Days=T","Dir=V")</f>
        <v>0</v>
      </c>
      <c r="AG2">
        <f>BDH("CTRCQ US Equity","IS_INT_EXPENSE","2015-02-18","2020-02-18","Per=Y","Days=T","Dir=V")</f>
        <v>0</v>
      </c>
      <c r="AI2">
        <f>BDH("CTRCQ US Equity","IS_DEPR_EXP","2015-02-18","2020-02-18","Per=Y","Days=T","Dir=V")</f>
        <v>0</v>
      </c>
      <c r="AK2">
        <f>BDH("CTRCQ US Equity","CF_CASH_FROM_OPER","2015-02-18","2020-02-18","Per=Y","Days=T","Dir=V")</f>
        <v>0</v>
      </c>
      <c r="AM2">
        <f>BDH("CTRCQ US Equity","CAPITAL_EXPEND","2015-02-18","2020-02-18","Per=Y","Days=T","Dir=V")</f>
        <v>0</v>
      </c>
      <c r="AO2">
        <f>BDH("CTRCQ US Equity","CF_FREE_CASH_FLOW","2015-02-18","2020-02-18","Per=Y","Days=T","Dir=V")</f>
        <v>0</v>
      </c>
      <c r="AQ2">
        <f>BDH("CTRCQ US Equity","PX_LAST","2015-02-18","2020-02-18","Per=M","Days=T","Dir=V")</f>
        <v>0</v>
      </c>
      <c r="AS2">
        <f>BDH("CTRCQ US Equity","CUR_MKT_CAP","2015-02-18","2020-02-18","Per=M","Days=T","Dir=V")</f>
        <v>0</v>
      </c>
      <c r="AU2">
        <f>BDH("CTRCQ US Equity","EQY_SH_OUT","2015-02-18","2020-02-18","Per=M","Days=T","Dir=V")</f>
        <v>0</v>
      </c>
      <c r="AW2">
        <f>BDH("CTRCQ US Equity","BETA_RAW_OVERRIABLE","2015-02-18","2020-02-18","Per=M","Days=T","Dir=V")</f>
        <v>0</v>
      </c>
      <c r="AY2">
        <f>BDH("CTRCQ US Equity","PX_VOLUME","2015-02-18","2020-02-18","Per=M","Days=T","Dir=V")</f>
        <v>0</v>
      </c>
      <c r="BA2">
        <f>BDH("CTRCQ US Equity","TURNOVER","2015-02-18","2020-02-18","Per=M","Days=T","Dir=V")</f>
        <v>0</v>
      </c>
      <c r="BC2">
        <f>BDH("CTRCQ US Equity","SPREAD_BA_CR","2015-02-18","2020-02-18","Per=M","Days=T","Dir=V")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BDH("HOS US Equity","BS_TOT_ASSET","2015-02-19","2020-02-19","Per=Y","Days=T","Dir=V")</f>
        <v>0</v>
      </c>
      <c r="C2">
        <f>BDH("HOS US Equity","BS_TOT_LIAB2","2015-02-19","2020-02-19","Per=Y","Days=T","Dir=V")</f>
        <v>0</v>
      </c>
      <c r="E2">
        <f>BDH("HOS US Equity","SHORT_AND_LONG_TERM_DEBT","2015-02-19","2020-02-19","Per=Y","Days=T","Dir=V")</f>
        <v>0</v>
      </c>
      <c r="G2">
        <f>BDH("HOS US Equity","BS_ST_BORROW","2015-02-19","2020-02-19","Per=Y","Days=T","Dir=V")</f>
        <v>0</v>
      </c>
      <c r="I2">
        <f>BDH("HOS US Equity","BS_LT_BORROW","2015-02-19","2020-02-19","Per=Y","Days=T","Dir=V")</f>
        <v>0</v>
      </c>
      <c r="K2">
        <f>BDH("HOS US Equity","BS_CASH_NEAR_CASH_ITEM","2015-02-19","2020-02-19","Per=Y","Days=T","Dir=V")</f>
        <v>0</v>
      </c>
      <c r="M2">
        <f>BDH("HOS US Equity","BS_CUR_ASSET_REPORT","2015-02-19","2020-02-19","Per=Y","Days=T","Dir=V")</f>
        <v>0</v>
      </c>
      <c r="O2">
        <f>BDH("HOS US Equity","BS_CUR_LIAB","2015-02-19","2020-02-19","Per=Y","Days=T","Dir=V")</f>
        <v>0</v>
      </c>
      <c r="Q2">
        <f>BDH("HOS US Equity","BS_SHAREHOLDER_EQY_ENDING_PERIOD","2015-02-19","2020-02-19","Per=Y","Days=T","Dir=V")</f>
        <v>0</v>
      </c>
      <c r="S2">
        <f>BDH("HOS US Equity","BS_ACCT_NOTE_RCV","2015-02-19","2020-02-19","Per=Y","Days=T","Dir=V")</f>
        <v>0</v>
      </c>
      <c r="U2">
        <f>BDH("HOS US Equity","BS_INVENTORIES","2015-02-19","2020-02-19","Per=Y","Days=T","Dir=V")</f>
        <v>0</v>
      </c>
      <c r="W2">
        <f>BDH("HOS US Equity","WORKING_CAPITAL","2015-02-19","2020-02-19","Per=Y","Days=T","Dir=V")</f>
        <v>0</v>
      </c>
      <c r="Y2">
        <f>BDH("HOS US Equity","SALES_REV_TURN","2015-02-19","2020-02-19","Per=Y","Days=T","Dir=V")</f>
        <v>0</v>
      </c>
      <c r="AA2">
        <f>BDH("HOS US Equity","EBIT","2015-02-19","2020-02-19","Per=Y","Days=T","Dir=V")</f>
        <v>0</v>
      </c>
      <c r="AC2">
        <f>BDH("HOS US Equity","EBITDA","2015-02-19","2020-02-19","Per=Y","Days=T","Dir=V")</f>
        <v>0</v>
      </c>
      <c r="AE2">
        <f>BDH("HOS US Equity","NET_INCOME","2015-02-19","2020-02-19","Per=Y","Days=T","Dir=V")</f>
        <v>0</v>
      </c>
      <c r="AG2">
        <f>BDH("HOS US Equity","IS_INT_EXPENSE","2015-02-19","2020-02-19","Per=Y","Days=T","Dir=V")</f>
        <v>0</v>
      </c>
      <c r="AI2">
        <f>BDH("HOS US Equity","IS_DEPR_EXP","2015-02-19","2020-02-19","Per=Y","Days=T","Dir=V")</f>
        <v>0</v>
      </c>
      <c r="AK2">
        <f>BDH("HOS US Equity","CF_CASH_FROM_OPER","2015-02-19","2020-02-19","Per=Y","Days=T","Dir=V")</f>
        <v>0</v>
      </c>
      <c r="AM2">
        <f>BDH("HOS US Equity","CAPITAL_EXPEND","2015-02-19","2020-02-19","Per=Y","Days=T","Dir=V")</f>
        <v>0</v>
      </c>
      <c r="AO2">
        <f>BDH("HOS US Equity","CF_FREE_CASH_FLOW","2015-02-19","2020-02-19","Per=Y","Days=T","Dir=V")</f>
        <v>0</v>
      </c>
      <c r="AQ2">
        <f>BDH("HOS US Equity","PX_LAST","2015-02-19","2020-02-19","Per=M","Days=T","Dir=V")</f>
        <v>0</v>
      </c>
      <c r="AS2">
        <f>BDH("HOS US Equity","CUR_MKT_CAP","2015-02-19","2020-02-19","Per=M","Days=T","Dir=V")</f>
        <v>0</v>
      </c>
      <c r="AU2">
        <f>BDH("HOS US Equity","EQY_SH_OUT","2015-02-19","2020-02-19","Per=M","Days=T","Dir=V")</f>
        <v>0</v>
      </c>
      <c r="AW2">
        <f>BDH("HOS US Equity","BETA_RAW_OVERRIABLE","2015-02-19","2020-02-19","Per=M","Days=T","Dir=V")</f>
        <v>0</v>
      </c>
      <c r="AY2">
        <f>BDH("HOS US Equity","PX_VOLUME","2015-02-19","2020-02-19","Per=M","Days=T","Dir=V")</f>
        <v>0</v>
      </c>
      <c r="BA2">
        <f>BDH("HOS US Equity","TURNOVER","2015-02-19","2020-02-19","Per=M","Days=T","Dir=V")</f>
        <v>0</v>
      </c>
      <c r="BC2">
        <f>BDH("HOS US Equity","SPREAD_BA_CR","2015-02-19","2020-02-19","Per=M","Days=T","Dir=V")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BDH("AKRXQ US Equity","BS_TOT_ASSET","2015-02-20","2020-02-20","Per=Y","Days=T","Dir=V")</f>
        <v>0</v>
      </c>
      <c r="C2">
        <f>BDH("AKRXQ US Equity","BS_TOT_LIAB2","2015-02-20","2020-02-20","Per=Y","Days=T","Dir=V")</f>
        <v>0</v>
      </c>
      <c r="E2">
        <f>BDH("AKRXQ US Equity","SHORT_AND_LONG_TERM_DEBT","2015-02-20","2020-02-20","Per=Y","Days=T","Dir=V")</f>
        <v>0</v>
      </c>
      <c r="G2">
        <f>BDH("AKRXQ US Equity","BS_ST_BORROW","2015-02-20","2020-02-20","Per=Y","Days=T","Dir=V")</f>
        <v>0</v>
      </c>
      <c r="I2">
        <f>BDH("AKRXQ US Equity","BS_LT_BORROW","2015-02-20","2020-02-20","Per=Y","Days=T","Dir=V")</f>
        <v>0</v>
      </c>
      <c r="K2">
        <f>BDH("AKRXQ US Equity","BS_CASH_NEAR_CASH_ITEM","2015-02-20","2020-02-20","Per=Y","Days=T","Dir=V")</f>
        <v>0</v>
      </c>
      <c r="M2">
        <f>BDH("AKRXQ US Equity","BS_CUR_ASSET_REPORT","2015-02-20","2020-02-20","Per=Y","Days=T","Dir=V")</f>
        <v>0</v>
      </c>
      <c r="O2">
        <f>BDH("AKRXQ US Equity","BS_CUR_LIAB","2015-02-20","2020-02-20","Per=Y","Days=T","Dir=V")</f>
        <v>0</v>
      </c>
      <c r="Q2">
        <f>BDH("AKRXQ US Equity","BS_SHAREHOLDER_EQY_ENDING_PERIOD","2015-02-20","2020-02-20","Per=Y","Days=T","Dir=V")</f>
        <v>0</v>
      </c>
      <c r="S2">
        <f>BDH("AKRXQ US Equity","BS_ACCT_NOTE_RCV","2015-02-20","2020-02-20","Per=Y","Days=T","Dir=V")</f>
        <v>0</v>
      </c>
      <c r="U2">
        <f>BDH("AKRXQ US Equity","BS_INVENTORIES","2015-02-20","2020-02-20","Per=Y","Days=T","Dir=V")</f>
        <v>0</v>
      </c>
      <c r="W2">
        <f>BDH("AKRXQ US Equity","WORKING_CAPITAL","2015-02-20","2020-02-20","Per=Y","Days=T","Dir=V")</f>
        <v>0</v>
      </c>
      <c r="Y2">
        <f>BDH("AKRXQ US Equity","SALES_REV_TURN","2015-02-20","2020-02-20","Per=Y","Days=T","Dir=V")</f>
        <v>0</v>
      </c>
      <c r="AA2">
        <f>BDH("AKRXQ US Equity","EBIT","2015-02-20","2020-02-20","Per=Y","Days=T","Dir=V")</f>
        <v>0</v>
      </c>
      <c r="AC2">
        <f>BDH("AKRXQ US Equity","EBITDA","2015-02-20","2020-02-20","Per=Y","Days=T","Dir=V")</f>
        <v>0</v>
      </c>
      <c r="AE2">
        <f>BDH("AKRXQ US Equity","NET_INCOME","2015-02-20","2020-02-20","Per=Y","Days=T","Dir=V")</f>
        <v>0</v>
      </c>
      <c r="AG2">
        <f>BDH("AKRXQ US Equity","IS_INT_EXPENSE","2015-02-20","2020-02-20","Per=Y","Days=T","Dir=V")</f>
        <v>0</v>
      </c>
      <c r="AI2">
        <f>BDH("AKRXQ US Equity","IS_DEPR_EXP","2015-02-20","2020-02-20","Per=Y","Days=T","Dir=V")</f>
        <v>0</v>
      </c>
      <c r="AK2">
        <f>BDH("AKRXQ US Equity","CF_CASH_FROM_OPER","2015-02-20","2020-02-20","Per=Y","Days=T","Dir=V")</f>
        <v>0</v>
      </c>
      <c r="AM2">
        <f>BDH("AKRXQ US Equity","CAPITAL_EXPEND","2015-02-20","2020-02-20","Per=Y","Days=T","Dir=V")</f>
        <v>0</v>
      </c>
      <c r="AO2">
        <f>BDH("AKRXQ US Equity","CF_FREE_CASH_FLOW","2015-02-20","2020-02-20","Per=Y","Days=T","Dir=V")</f>
        <v>0</v>
      </c>
      <c r="AQ2">
        <f>BDH("AKRXQ US Equity","PX_LAST","2015-02-20","2020-02-20","Per=M","Days=T","Dir=V")</f>
        <v>0</v>
      </c>
      <c r="AS2">
        <f>BDH("AKRXQ US Equity","CUR_MKT_CAP","2015-02-20","2020-02-20","Per=M","Days=T","Dir=V")</f>
        <v>0</v>
      </c>
      <c r="AU2">
        <f>BDH("AKRXQ US Equity","EQY_SH_OUT","2015-02-20","2020-02-20","Per=M","Days=T","Dir=V")</f>
        <v>0</v>
      </c>
      <c r="AW2">
        <f>BDH("AKRXQ US Equity","BETA_RAW_OVERRIABLE","2015-02-20","2020-02-20","Per=M","Days=T","Dir=V")</f>
        <v>0</v>
      </c>
      <c r="AY2">
        <f>BDH("AKRXQ US Equity","PX_VOLUME","2015-02-20","2020-02-20","Per=M","Days=T","Dir=V")</f>
        <v>0</v>
      </c>
      <c r="BA2">
        <f>BDH("AKRXQ US Equity","TURNOVER","2015-02-20","2020-02-20","Per=M","Days=T","Dir=V")</f>
        <v>0</v>
      </c>
      <c r="BC2">
        <f>BDH("AKRXQ US Equity","SPREAD_BA_CR","2015-02-20","2020-02-20","Per=M","Days=T","Dir=V")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BDH("TUEMQ US Equity","BS_TOT_ASSET","2015-02-27","2020-02-27","Per=Y","Days=T","Dir=V")</f>
        <v>0</v>
      </c>
      <c r="C2">
        <f>BDH("TUEMQ US Equity","BS_TOT_LIAB2","2015-02-27","2020-02-27","Per=Y","Days=T","Dir=V")</f>
        <v>0</v>
      </c>
      <c r="E2">
        <f>BDH("TUEMQ US Equity","SHORT_AND_LONG_TERM_DEBT","2015-02-27","2020-02-27","Per=Y","Days=T","Dir=V")</f>
        <v>0</v>
      </c>
      <c r="G2">
        <f>BDH("TUEMQ US Equity","BS_ST_BORROW","2015-02-27","2020-02-27","Per=Y","Days=T","Dir=V")</f>
        <v>0</v>
      </c>
      <c r="I2">
        <f>BDH("TUEMQ US Equity","BS_LT_BORROW","2015-02-27","2020-02-27","Per=Y","Days=T","Dir=V")</f>
        <v>0</v>
      </c>
      <c r="K2">
        <f>BDH("TUEMQ US Equity","BS_CASH_NEAR_CASH_ITEM","2015-02-27","2020-02-27","Per=Y","Days=T","Dir=V")</f>
        <v>0</v>
      </c>
      <c r="M2">
        <f>BDH("TUEMQ US Equity","BS_CUR_ASSET_REPORT","2015-02-27","2020-02-27","Per=Y","Days=T","Dir=V")</f>
        <v>0</v>
      </c>
      <c r="O2">
        <f>BDH("TUEMQ US Equity","BS_CUR_LIAB","2015-02-27","2020-02-27","Per=Y","Days=T","Dir=V")</f>
        <v>0</v>
      </c>
      <c r="Q2">
        <f>BDH("TUEMQ US Equity","BS_SHAREHOLDER_EQY_ENDING_PERIOD","2015-02-27","2020-02-27","Per=Y","Days=T","Dir=V")</f>
        <v>0</v>
      </c>
      <c r="S2">
        <f>BDH("TUEMQ US Equity","BS_ACCT_NOTE_RCV","2015-02-27","2020-02-27","Per=Y","Days=T","Dir=V")</f>
        <v>0</v>
      </c>
      <c r="U2">
        <f>BDH("TUEMQ US Equity","BS_INVENTORIES","2015-02-27","2020-02-27","Per=Y","Days=T","Dir=V")</f>
        <v>0</v>
      </c>
      <c r="W2">
        <f>BDH("TUEMQ US Equity","WORKING_CAPITAL","2015-02-27","2020-02-27","Per=Y","Days=T","Dir=V")</f>
        <v>0</v>
      </c>
      <c r="Y2">
        <f>BDH("TUEMQ US Equity","SALES_REV_TURN","2015-02-27","2020-02-27","Per=Y","Days=T","Dir=V")</f>
        <v>0</v>
      </c>
      <c r="AA2">
        <f>BDH("TUEMQ US Equity","EBIT","2015-02-27","2020-02-27","Per=Y","Days=T","Dir=V")</f>
        <v>0</v>
      </c>
      <c r="AC2">
        <f>BDH("TUEMQ US Equity","EBITDA","2015-02-27","2020-02-27","Per=Y","Days=T","Dir=V")</f>
        <v>0</v>
      </c>
      <c r="AE2">
        <f>BDH("TUEMQ US Equity","NET_INCOME","2015-02-27","2020-02-27","Per=Y","Days=T","Dir=V")</f>
        <v>0</v>
      </c>
      <c r="AG2">
        <f>BDH("TUEMQ US Equity","IS_INT_EXPENSE","2015-02-27","2020-02-27","Per=Y","Days=T","Dir=V")</f>
        <v>0</v>
      </c>
      <c r="AI2">
        <f>BDH("TUEMQ US Equity","IS_DEPR_EXP","2015-02-27","2020-02-27","Per=Y","Days=T","Dir=V")</f>
        <v>0</v>
      </c>
      <c r="AK2">
        <f>BDH("TUEMQ US Equity","CF_CASH_FROM_OPER","2015-02-27","2020-02-27","Per=Y","Days=T","Dir=V")</f>
        <v>0</v>
      </c>
      <c r="AM2">
        <f>BDH("TUEMQ US Equity","CAPITAL_EXPEND","2015-02-27","2020-02-27","Per=Y","Days=T","Dir=V")</f>
        <v>0</v>
      </c>
      <c r="AO2">
        <f>BDH("TUEMQ US Equity","CF_FREE_CASH_FLOW","2015-02-27","2020-02-27","Per=Y","Days=T","Dir=V")</f>
        <v>0</v>
      </c>
      <c r="AQ2">
        <f>BDH("TUEMQ US Equity","PX_LAST","2015-02-27","2020-02-27","Per=M","Days=T","Dir=V")</f>
        <v>0</v>
      </c>
      <c r="AS2">
        <f>BDH("TUEMQ US Equity","CUR_MKT_CAP","2015-02-27","2020-02-27","Per=M","Days=T","Dir=V")</f>
        <v>0</v>
      </c>
      <c r="AU2">
        <f>BDH("TUEMQ US Equity","EQY_SH_OUT","2015-02-27","2020-02-27","Per=M","Days=T","Dir=V")</f>
        <v>0</v>
      </c>
      <c r="AW2">
        <f>BDH("TUEMQ US Equity","BETA_RAW_OVERRIABLE","2015-02-27","2020-02-27","Per=M","Days=T","Dir=V")</f>
        <v>0</v>
      </c>
      <c r="AY2">
        <f>BDH("TUEMQ US Equity","PX_VOLUME","2015-02-27","2020-02-27","Per=M","Days=T","Dir=V")</f>
        <v>0</v>
      </c>
      <c r="BA2">
        <f>BDH("TUEMQ US Equity","TURNOVER","2015-02-27","2020-02-27","Per=M","Days=T","Dir=V")</f>
        <v>0</v>
      </c>
      <c r="BC2">
        <f>BDH("TUEMQ US Equity","SPREAD_BA_CR","2015-02-27","2020-02-27","Per=M","Days=T","Dir=V")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BDH("LBYYQ US Equity","BS_TOT_ASSET","2015-03-03","2020-03-03","Per=Y","Days=T","Dir=V")</f>
        <v>0</v>
      </c>
      <c r="C2">
        <f>BDH("LBYYQ US Equity","BS_TOT_LIAB2","2015-03-03","2020-03-03","Per=Y","Days=T","Dir=V")</f>
        <v>0</v>
      </c>
      <c r="E2">
        <f>BDH("LBYYQ US Equity","SHORT_AND_LONG_TERM_DEBT","2015-03-03","2020-03-03","Per=Y","Days=T","Dir=V")</f>
        <v>0</v>
      </c>
      <c r="G2">
        <f>BDH("LBYYQ US Equity","BS_ST_BORROW","2015-03-03","2020-03-03","Per=Y","Days=T","Dir=V")</f>
        <v>0</v>
      </c>
      <c r="I2">
        <f>BDH("LBYYQ US Equity","BS_LT_BORROW","2015-03-03","2020-03-03","Per=Y","Days=T","Dir=V")</f>
        <v>0</v>
      </c>
      <c r="K2">
        <f>BDH("LBYYQ US Equity","BS_CASH_NEAR_CASH_ITEM","2015-03-03","2020-03-03","Per=Y","Days=T","Dir=V")</f>
        <v>0</v>
      </c>
      <c r="M2">
        <f>BDH("LBYYQ US Equity","BS_CUR_ASSET_REPORT","2015-03-03","2020-03-03","Per=Y","Days=T","Dir=V")</f>
        <v>0</v>
      </c>
      <c r="O2">
        <f>BDH("LBYYQ US Equity","BS_CUR_LIAB","2015-03-03","2020-03-03","Per=Y","Days=T","Dir=V")</f>
        <v>0</v>
      </c>
      <c r="Q2">
        <f>BDH("LBYYQ US Equity","BS_SHAREHOLDER_EQY_ENDING_PERIOD","2015-03-03","2020-03-03","Per=Y","Days=T","Dir=V")</f>
        <v>0</v>
      </c>
      <c r="S2">
        <f>BDH("LBYYQ US Equity","BS_ACCT_NOTE_RCV","2015-03-03","2020-03-03","Per=Y","Days=T","Dir=V")</f>
        <v>0</v>
      </c>
      <c r="U2">
        <f>BDH("LBYYQ US Equity","BS_INVENTORIES","2015-03-03","2020-03-03","Per=Y","Days=T","Dir=V")</f>
        <v>0</v>
      </c>
      <c r="W2">
        <f>BDH("LBYYQ US Equity","WORKING_CAPITAL","2015-03-03","2020-03-03","Per=Y","Days=T","Dir=V")</f>
        <v>0</v>
      </c>
      <c r="Y2">
        <f>BDH("LBYYQ US Equity","SALES_REV_TURN","2015-03-03","2020-03-03","Per=Y","Days=T","Dir=V")</f>
        <v>0</v>
      </c>
      <c r="AA2">
        <f>BDH("LBYYQ US Equity","EBIT","2015-03-03","2020-03-03","Per=Y","Days=T","Dir=V")</f>
        <v>0</v>
      </c>
      <c r="AC2">
        <f>BDH("LBYYQ US Equity","EBITDA","2015-03-03","2020-03-03","Per=Y","Days=T","Dir=V")</f>
        <v>0</v>
      </c>
      <c r="AE2">
        <f>BDH("LBYYQ US Equity","NET_INCOME","2015-03-03","2020-03-03","Per=Y","Days=T","Dir=V")</f>
        <v>0</v>
      </c>
      <c r="AG2">
        <f>BDH("LBYYQ US Equity","IS_INT_EXPENSE","2015-03-03","2020-03-03","Per=Y","Days=T","Dir=V")</f>
        <v>0</v>
      </c>
      <c r="AI2">
        <f>BDH("LBYYQ US Equity","IS_DEPR_EXP","2015-03-03","2020-03-03","Per=Y","Days=T","Dir=V")</f>
        <v>0</v>
      </c>
      <c r="AK2">
        <f>BDH("LBYYQ US Equity","CF_CASH_FROM_OPER","2015-03-03","2020-03-03","Per=Y","Days=T","Dir=V")</f>
        <v>0</v>
      </c>
      <c r="AM2">
        <f>BDH("LBYYQ US Equity","CAPITAL_EXPEND","2015-03-03","2020-03-03","Per=Y","Days=T","Dir=V")</f>
        <v>0</v>
      </c>
      <c r="AO2">
        <f>BDH("LBYYQ US Equity","CF_FREE_CASH_FLOW","2015-03-03","2020-03-03","Per=Y","Days=T","Dir=V")</f>
        <v>0</v>
      </c>
      <c r="AQ2">
        <f>BDH("LBYYQ US Equity","PX_LAST","2015-03-03","2020-03-03","Per=M","Days=T","Dir=V")</f>
        <v>0</v>
      </c>
      <c r="AS2">
        <f>BDH("LBYYQ US Equity","CUR_MKT_CAP","2015-03-03","2020-03-03","Per=M","Days=T","Dir=V")</f>
        <v>0</v>
      </c>
      <c r="AU2">
        <f>BDH("LBYYQ US Equity","EQY_SH_OUT","2015-03-03","2020-03-03","Per=M","Days=T","Dir=V")</f>
        <v>0</v>
      </c>
      <c r="AW2">
        <f>BDH("LBYYQ US Equity","BETA_RAW_OVERRIABLE","2015-03-03","2020-03-03","Per=M","Days=T","Dir=V")</f>
        <v>0</v>
      </c>
      <c r="AY2">
        <f>BDH("LBYYQ US Equity","PX_VOLUME","2015-03-03","2020-03-03","Per=M","Days=T","Dir=V")</f>
        <v>0</v>
      </c>
      <c r="BA2">
        <f>BDH("LBYYQ US Equity","TURNOVER","2015-03-03","2020-03-03","Per=M","Days=T","Dir=V")</f>
        <v>0</v>
      </c>
      <c r="BC2">
        <f>BDH("LBYYQ US Equity","SPREAD_BA_CR","2015-03-03","2020-03-03","Per=M","Days=T","Dir=V")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BDH("PYXSQ US Equity","BS_TOT_ASSET","2015-03-17","2020-03-17","Per=Y","Days=T","Dir=V")</f>
        <v>0</v>
      </c>
      <c r="C2">
        <f>BDH("PYXSQ US Equity","BS_TOT_LIAB2","2015-03-17","2020-03-17","Per=Y","Days=T","Dir=V")</f>
        <v>0</v>
      </c>
      <c r="E2">
        <f>BDH("PYXSQ US Equity","SHORT_AND_LONG_TERM_DEBT","2015-03-17","2020-03-17","Per=Y","Days=T","Dir=V")</f>
        <v>0</v>
      </c>
      <c r="G2">
        <f>BDH("PYXSQ US Equity","BS_ST_BORROW","2015-03-17","2020-03-17","Per=Y","Days=T","Dir=V")</f>
        <v>0</v>
      </c>
      <c r="I2">
        <f>BDH("PYXSQ US Equity","BS_LT_BORROW","2015-03-17","2020-03-17","Per=Y","Days=T","Dir=V")</f>
        <v>0</v>
      </c>
      <c r="K2">
        <f>BDH("PYXSQ US Equity","BS_CASH_NEAR_CASH_ITEM","2015-03-17","2020-03-17","Per=Y","Days=T","Dir=V")</f>
        <v>0</v>
      </c>
      <c r="M2">
        <f>BDH("PYXSQ US Equity","BS_CUR_ASSET_REPORT","2015-03-17","2020-03-17","Per=Y","Days=T","Dir=V")</f>
        <v>0</v>
      </c>
      <c r="O2">
        <f>BDH("PYXSQ US Equity","BS_CUR_LIAB","2015-03-17","2020-03-17","Per=Y","Days=T","Dir=V")</f>
        <v>0</v>
      </c>
      <c r="Q2">
        <f>BDH("PYXSQ US Equity","BS_SHAREHOLDER_EQY_ENDING_PERIOD","2015-03-17","2020-03-17","Per=Y","Days=T","Dir=V")</f>
        <v>0</v>
      </c>
      <c r="S2">
        <f>BDH("PYXSQ US Equity","BS_ACCT_NOTE_RCV","2015-03-17","2020-03-17","Per=Y","Days=T","Dir=V")</f>
        <v>0</v>
      </c>
      <c r="U2">
        <f>BDH("PYXSQ US Equity","BS_INVENTORIES","2015-03-17","2020-03-17","Per=Y","Days=T","Dir=V")</f>
        <v>0</v>
      </c>
      <c r="W2">
        <f>BDH("PYXSQ US Equity","WORKING_CAPITAL","2015-03-17","2020-03-17","Per=Y","Days=T","Dir=V")</f>
        <v>0</v>
      </c>
      <c r="Y2">
        <f>BDH("PYXSQ US Equity","SALES_REV_TURN","2015-03-17","2020-03-17","Per=Y","Days=T","Dir=V")</f>
        <v>0</v>
      </c>
      <c r="AA2">
        <f>BDH("PYXSQ US Equity","EBIT","2015-03-17","2020-03-17","Per=Y","Days=T","Dir=V")</f>
        <v>0</v>
      </c>
      <c r="AC2">
        <f>BDH("PYXSQ US Equity","EBITDA","2015-03-17","2020-03-17","Per=Y","Days=T","Dir=V")</f>
        <v>0</v>
      </c>
      <c r="AE2">
        <f>BDH("PYXSQ US Equity","NET_INCOME","2015-03-17","2020-03-17","Per=Y","Days=T","Dir=V")</f>
        <v>0</v>
      </c>
      <c r="AG2">
        <f>BDH("PYXSQ US Equity","IS_INT_EXPENSE","2015-03-17","2020-03-17","Per=Y","Days=T","Dir=V")</f>
        <v>0</v>
      </c>
      <c r="AI2">
        <f>BDH("PYXSQ US Equity","IS_DEPR_EXP","2015-03-17","2020-03-17","Per=Y","Days=T","Dir=V")</f>
        <v>0</v>
      </c>
      <c r="AK2">
        <f>BDH("PYXSQ US Equity","CF_CASH_FROM_OPER","2015-03-17","2020-03-17","Per=Y","Days=T","Dir=V")</f>
        <v>0</v>
      </c>
      <c r="AM2">
        <f>BDH("PYXSQ US Equity","CAPITAL_EXPEND","2015-03-17","2020-03-17","Per=Y","Days=T","Dir=V")</f>
        <v>0</v>
      </c>
      <c r="AO2">
        <f>BDH("PYXSQ US Equity","CF_FREE_CASH_FLOW","2015-03-17","2020-03-17","Per=Y","Days=T","Dir=V")</f>
        <v>0</v>
      </c>
      <c r="AQ2">
        <f>BDH("PYXSQ US Equity","PX_LAST","2015-03-17","2020-03-17","Per=M","Days=T","Dir=V")</f>
        <v>0</v>
      </c>
      <c r="AS2">
        <f>BDH("PYXSQ US Equity","CUR_MKT_CAP","2015-03-17","2020-03-17","Per=M","Days=T","Dir=V")</f>
        <v>0</v>
      </c>
      <c r="AU2">
        <f>BDH("PYXSQ US Equity","EQY_SH_OUT","2015-03-17","2020-03-17","Per=M","Days=T","Dir=V")</f>
        <v>0</v>
      </c>
      <c r="AW2">
        <f>BDH("PYXSQ US Equity","BETA_RAW_OVERRIABLE","2015-03-17","2020-03-17","Per=M","Days=T","Dir=V")</f>
        <v>0</v>
      </c>
      <c r="AY2">
        <f>BDH("PYXSQ US Equity","PX_VOLUME","2015-03-17","2020-03-17","Per=M","Days=T","Dir=V")</f>
        <v>0</v>
      </c>
      <c r="BA2">
        <f>BDH("PYXSQ US Equity","TURNOVER","2015-03-17","2020-03-17","Per=M","Days=T","Dir=V")</f>
        <v>0</v>
      </c>
      <c r="BC2">
        <f>BDH("PYXSQ US Equity","SPREAD_BA_CR","2015-03-17","2020-03-17","Per=M","Days=T","Dir=V")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BDH("AACH US Equity","BS_TOT_ASSET","2015-03-22","2020-03-22","Per=Y","Days=T","Dir=V")</f>
        <v>0</v>
      </c>
      <c r="C2">
        <f>BDH("AACH US Equity","BS_TOT_LIAB2","2015-03-22","2020-03-22","Per=Y","Days=T","Dir=V")</f>
        <v>0</v>
      </c>
      <c r="E2">
        <f>BDH("AACH US Equity","SHORT_AND_LONG_TERM_DEBT","2015-03-22","2020-03-22","Per=Y","Days=T","Dir=V")</f>
        <v>0</v>
      </c>
      <c r="G2">
        <f>BDH("AACH US Equity","BS_ST_BORROW","2015-03-22","2020-03-22","Per=Y","Days=T","Dir=V")</f>
        <v>0</v>
      </c>
      <c r="I2">
        <f>BDH("AACH US Equity","BS_LT_BORROW","2015-03-22","2020-03-22","Per=Y","Days=T","Dir=V")</f>
        <v>0</v>
      </c>
      <c r="K2">
        <f>BDH("AACH US Equity","BS_CASH_NEAR_CASH_ITEM","2015-03-22","2020-03-22","Per=Y","Days=T","Dir=V")</f>
        <v>0</v>
      </c>
      <c r="M2">
        <f>BDH("AACH US Equity","BS_CUR_ASSET_REPORT","2015-03-22","2020-03-22","Per=Y","Days=T","Dir=V")</f>
        <v>0</v>
      </c>
      <c r="O2">
        <f>BDH("AACH US Equity","BS_CUR_LIAB","2015-03-22","2020-03-22","Per=Y","Days=T","Dir=V")</f>
        <v>0</v>
      </c>
      <c r="Q2">
        <f>BDH("AACH US Equity","BS_SHAREHOLDER_EQY_ENDING_PERIOD","2015-03-22","2020-03-22","Per=Y","Days=T","Dir=V")</f>
        <v>0</v>
      </c>
      <c r="S2">
        <f>BDH("AACH US Equity","BS_ACCT_NOTE_RCV","2015-03-22","2020-03-22","Per=Y","Days=T","Dir=V")</f>
        <v>0</v>
      </c>
      <c r="U2">
        <f>BDH("AACH US Equity","BS_INVENTORIES","2015-03-22","2020-03-22","Per=Y","Days=T","Dir=V")</f>
        <v>0</v>
      </c>
      <c r="W2">
        <f>BDH("AACH US Equity","WORKING_CAPITAL","2015-03-22","2020-03-22","Per=Y","Days=T","Dir=V")</f>
        <v>0</v>
      </c>
      <c r="Y2">
        <f>BDH("AACH US Equity","SALES_REV_TURN","2015-03-22","2020-03-22","Per=Y","Days=T","Dir=V")</f>
        <v>0</v>
      </c>
      <c r="AA2">
        <f>BDH("AACH US Equity","EBIT","2015-03-22","2020-03-22","Per=Y","Days=T","Dir=V")</f>
        <v>0</v>
      </c>
      <c r="AC2">
        <f>BDH("AACH US Equity","EBITDA","2015-03-22","2020-03-22","Per=Y","Days=T","Dir=V")</f>
        <v>0</v>
      </c>
      <c r="AE2">
        <f>BDH("AACH US Equity","NET_INCOME","2015-03-22","2020-03-22","Per=Y","Days=T","Dir=V")</f>
        <v>0</v>
      </c>
      <c r="AG2">
        <f>BDH("AACH US Equity","IS_INT_EXPENSE","2015-03-22","2020-03-22","Per=Y","Days=T","Dir=V")</f>
        <v>0</v>
      </c>
      <c r="AI2">
        <f>BDH("AACH US Equity","IS_DEPR_EXP","2015-03-22","2020-03-22","Per=Y","Days=T","Dir=V")</f>
        <v>0</v>
      </c>
      <c r="AK2">
        <f>BDH("AACH US Equity","CF_CASH_FROM_OPER","2015-03-22","2020-03-22","Per=Y","Days=T","Dir=V")</f>
        <v>0</v>
      </c>
      <c r="AM2">
        <f>BDH("AACH US Equity","CAPITAL_EXPEND","2015-03-22","2020-03-22","Per=Y","Days=T","Dir=V")</f>
        <v>0</v>
      </c>
      <c r="AO2">
        <f>BDH("AACH US Equity","CF_FREE_CASH_FLOW","2015-03-22","2020-03-22","Per=Y","Days=T","Dir=V")</f>
        <v>0</v>
      </c>
      <c r="AQ2">
        <f>BDH("AACH US Equity","PX_LAST","2015-03-22","2020-03-22","Per=M","Days=T","Dir=V")</f>
        <v>0</v>
      </c>
      <c r="AS2">
        <f>BDH("AACH US Equity","CUR_MKT_CAP","2015-03-22","2020-03-22","Per=M","Days=T","Dir=V")</f>
        <v>0</v>
      </c>
      <c r="AU2">
        <f>BDH("AACH US Equity","EQY_SH_OUT","2015-03-22","2020-03-22","Per=M","Days=T","Dir=V")</f>
        <v>0</v>
      </c>
      <c r="AW2">
        <f>BDH("AACH US Equity","BETA_RAW_OVERRIABLE","2015-03-22","2020-03-22","Per=M","Days=T","Dir=V")</f>
        <v>0</v>
      </c>
      <c r="AY2">
        <f>BDH("AACH US Equity","PX_VOLUME","2015-03-22","2020-03-22","Per=M","Days=T","Dir=V")</f>
        <v>0</v>
      </c>
      <c r="BA2">
        <f>BDH("AACH US Equity","TURNOVER","2015-03-22","2020-03-22","Per=M","Days=T","Dir=V")</f>
        <v>0</v>
      </c>
      <c r="BC2">
        <f>BDH("AACH US Equity","SPREAD_BA_CR","2015-03-22","2020-03-22","Per=M","Days=T","Dir=V")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BDH("GNCIQ US Equity","BS_TOT_ASSET","2015-03-25","2020-03-25","Per=Y","Days=T","Dir=V")</f>
        <v>0</v>
      </c>
      <c r="C2">
        <f>BDH("GNCIQ US Equity","BS_TOT_LIAB2","2015-03-25","2020-03-25","Per=Y","Days=T","Dir=V")</f>
        <v>0</v>
      </c>
      <c r="E2">
        <f>BDH("GNCIQ US Equity","SHORT_AND_LONG_TERM_DEBT","2015-03-25","2020-03-25","Per=Y","Days=T","Dir=V")</f>
        <v>0</v>
      </c>
      <c r="G2">
        <f>BDH("GNCIQ US Equity","BS_ST_BORROW","2015-03-25","2020-03-25","Per=Y","Days=T","Dir=V")</f>
        <v>0</v>
      </c>
      <c r="I2">
        <f>BDH("GNCIQ US Equity","BS_LT_BORROW","2015-03-25","2020-03-25","Per=Y","Days=T","Dir=V")</f>
        <v>0</v>
      </c>
      <c r="K2">
        <f>BDH("GNCIQ US Equity","BS_CASH_NEAR_CASH_ITEM","2015-03-25","2020-03-25","Per=Y","Days=T","Dir=V")</f>
        <v>0</v>
      </c>
      <c r="M2">
        <f>BDH("GNCIQ US Equity","BS_CUR_ASSET_REPORT","2015-03-25","2020-03-25","Per=Y","Days=T","Dir=V")</f>
        <v>0</v>
      </c>
      <c r="O2">
        <f>BDH("GNCIQ US Equity","BS_CUR_LIAB","2015-03-25","2020-03-25","Per=Y","Days=T","Dir=V")</f>
        <v>0</v>
      </c>
      <c r="Q2">
        <f>BDH("GNCIQ US Equity","BS_SHAREHOLDER_EQY_ENDING_PERIOD","2015-03-25","2020-03-25","Per=Y","Days=T","Dir=V")</f>
        <v>0</v>
      </c>
      <c r="S2">
        <f>BDH("GNCIQ US Equity","BS_ACCT_NOTE_RCV","2015-03-25","2020-03-25","Per=Y","Days=T","Dir=V")</f>
        <v>0</v>
      </c>
      <c r="U2">
        <f>BDH("GNCIQ US Equity","BS_INVENTORIES","2015-03-25","2020-03-25","Per=Y","Days=T","Dir=V")</f>
        <v>0</v>
      </c>
      <c r="W2">
        <f>BDH("GNCIQ US Equity","WORKING_CAPITAL","2015-03-25","2020-03-25","Per=Y","Days=T","Dir=V")</f>
        <v>0</v>
      </c>
      <c r="Y2">
        <f>BDH("GNCIQ US Equity","SALES_REV_TURN","2015-03-25","2020-03-25","Per=Y","Days=T","Dir=V")</f>
        <v>0</v>
      </c>
      <c r="AA2">
        <f>BDH("GNCIQ US Equity","EBIT","2015-03-25","2020-03-25","Per=Y","Days=T","Dir=V")</f>
        <v>0</v>
      </c>
      <c r="AC2">
        <f>BDH("GNCIQ US Equity","EBITDA","2015-03-25","2020-03-25","Per=Y","Days=T","Dir=V")</f>
        <v>0</v>
      </c>
      <c r="AE2">
        <f>BDH("GNCIQ US Equity","NET_INCOME","2015-03-25","2020-03-25","Per=Y","Days=T","Dir=V")</f>
        <v>0</v>
      </c>
      <c r="AG2">
        <f>BDH("GNCIQ US Equity","IS_INT_EXPENSE","2015-03-25","2020-03-25","Per=Y","Days=T","Dir=V")</f>
        <v>0</v>
      </c>
      <c r="AI2">
        <f>BDH("GNCIQ US Equity","IS_DEPR_EXP","2015-03-25","2020-03-25","Per=Y","Days=T","Dir=V")</f>
        <v>0</v>
      </c>
      <c r="AK2">
        <f>BDH("GNCIQ US Equity","CF_CASH_FROM_OPER","2015-03-25","2020-03-25","Per=Y","Days=T","Dir=V")</f>
        <v>0</v>
      </c>
      <c r="AM2">
        <f>BDH("GNCIQ US Equity","CAPITAL_EXPEND","2015-03-25","2020-03-25","Per=Y","Days=T","Dir=V")</f>
        <v>0</v>
      </c>
      <c r="AO2">
        <f>BDH("GNCIQ US Equity","CF_FREE_CASH_FLOW","2015-03-25","2020-03-25","Per=Y","Days=T","Dir=V")</f>
        <v>0</v>
      </c>
      <c r="AQ2">
        <f>BDH("GNCIQ US Equity","PX_LAST","2015-03-25","2020-03-25","Per=M","Days=T","Dir=V")</f>
        <v>0</v>
      </c>
      <c r="AS2">
        <f>BDH("GNCIQ US Equity","CUR_MKT_CAP","2015-03-25","2020-03-25","Per=M","Days=T","Dir=V")</f>
        <v>0</v>
      </c>
      <c r="AU2">
        <f>BDH("GNCIQ US Equity","EQY_SH_OUT","2015-03-25","2020-03-25","Per=M","Days=T","Dir=V")</f>
        <v>0</v>
      </c>
      <c r="AW2">
        <f>BDH("GNCIQ US Equity","BETA_RAW_OVERRIABLE","2015-03-25","2020-03-25","Per=M","Days=T","Dir=V")</f>
        <v>0</v>
      </c>
      <c r="AY2">
        <f>BDH("GNCIQ US Equity","PX_VOLUME","2015-03-25","2020-03-25","Per=M","Days=T","Dir=V")</f>
        <v>0</v>
      </c>
      <c r="BA2">
        <f>BDH("GNCIQ US Equity","TURNOVER","2015-03-25","2020-03-25","Per=M","Days=T","Dir=V")</f>
        <v>0</v>
      </c>
      <c r="BC2">
        <f>BDH("GNCIQ US Equity","SPREAD_BA_CR","2015-03-25","2020-03-25","Per=M","Days=T","Dir=V")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BDH("JASNQ US Equity","BS_TOT_ASSET","2015-03-26","2020-03-26","Per=Y","Days=T","Dir=V")</f>
        <v>0</v>
      </c>
      <c r="C2">
        <f>BDH("JASNQ US Equity","BS_TOT_LIAB2","2015-03-26","2020-03-26","Per=Y","Days=T","Dir=V")</f>
        <v>0</v>
      </c>
      <c r="E2">
        <f>BDH("JASNQ US Equity","SHORT_AND_LONG_TERM_DEBT","2015-03-26","2020-03-26","Per=Y","Days=T","Dir=V")</f>
        <v>0</v>
      </c>
      <c r="G2">
        <f>BDH("JASNQ US Equity","BS_ST_BORROW","2015-03-26","2020-03-26","Per=Y","Days=T","Dir=V")</f>
        <v>0</v>
      </c>
      <c r="I2">
        <f>BDH("JASNQ US Equity","BS_LT_BORROW","2015-03-26","2020-03-26","Per=Y","Days=T","Dir=V")</f>
        <v>0</v>
      </c>
      <c r="K2">
        <f>BDH("JASNQ US Equity","BS_CASH_NEAR_CASH_ITEM","2015-03-26","2020-03-26","Per=Y","Days=T","Dir=V")</f>
        <v>0</v>
      </c>
      <c r="M2">
        <f>BDH("JASNQ US Equity","BS_CUR_ASSET_REPORT","2015-03-26","2020-03-26","Per=Y","Days=T","Dir=V")</f>
        <v>0</v>
      </c>
      <c r="O2">
        <f>BDH("JASNQ US Equity","BS_CUR_LIAB","2015-03-26","2020-03-26","Per=Y","Days=T","Dir=V")</f>
        <v>0</v>
      </c>
      <c r="Q2">
        <f>BDH("JASNQ US Equity","BS_SHAREHOLDER_EQY_ENDING_PERIOD","2015-03-26","2020-03-26","Per=Y","Days=T","Dir=V")</f>
        <v>0</v>
      </c>
      <c r="S2">
        <f>BDH("JASNQ US Equity","BS_ACCT_NOTE_RCV","2015-03-26","2020-03-26","Per=Y","Days=T","Dir=V")</f>
        <v>0</v>
      </c>
      <c r="U2">
        <f>BDH("JASNQ US Equity","BS_INVENTORIES","2015-03-26","2020-03-26","Per=Y","Days=T","Dir=V")</f>
        <v>0</v>
      </c>
      <c r="W2">
        <f>BDH("JASNQ US Equity","WORKING_CAPITAL","2015-03-26","2020-03-26","Per=Y","Days=T","Dir=V")</f>
        <v>0</v>
      </c>
      <c r="Y2">
        <f>BDH("JASNQ US Equity","SALES_REV_TURN","2015-03-26","2020-03-26","Per=Y","Days=T","Dir=V")</f>
        <v>0</v>
      </c>
      <c r="AA2">
        <f>BDH("JASNQ US Equity","EBIT","2015-03-26","2020-03-26","Per=Y","Days=T","Dir=V")</f>
        <v>0</v>
      </c>
      <c r="AC2">
        <f>BDH("JASNQ US Equity","EBITDA","2015-03-26","2020-03-26","Per=Y","Days=T","Dir=V")</f>
        <v>0</v>
      </c>
      <c r="AE2">
        <f>BDH("JASNQ US Equity","NET_INCOME","2015-03-26","2020-03-26","Per=Y","Days=T","Dir=V")</f>
        <v>0</v>
      </c>
      <c r="AG2">
        <f>BDH("JASNQ US Equity","IS_INT_EXPENSE","2015-03-26","2020-03-26","Per=Y","Days=T","Dir=V")</f>
        <v>0</v>
      </c>
      <c r="AI2">
        <f>BDH("JASNQ US Equity","IS_DEPR_EXP","2015-03-26","2020-03-26","Per=Y","Days=T","Dir=V")</f>
        <v>0</v>
      </c>
      <c r="AK2">
        <f>BDH("JASNQ US Equity","CF_CASH_FROM_OPER","2015-03-26","2020-03-26","Per=Y","Days=T","Dir=V")</f>
        <v>0</v>
      </c>
      <c r="AM2">
        <f>BDH("JASNQ US Equity","CAPITAL_EXPEND","2015-03-26","2020-03-26","Per=Y","Days=T","Dir=V")</f>
        <v>0</v>
      </c>
      <c r="AO2">
        <f>BDH("JASNQ US Equity","CF_FREE_CASH_FLOW","2015-03-26","2020-03-26","Per=Y","Days=T","Dir=V")</f>
        <v>0</v>
      </c>
      <c r="AQ2">
        <f>BDH("JASNQ US Equity","PX_LAST","2015-03-26","2020-03-26","Per=M","Days=T","Dir=V")</f>
        <v>0</v>
      </c>
      <c r="AS2">
        <f>BDH("JASNQ US Equity","CUR_MKT_CAP","2015-03-26","2020-03-26","Per=M","Days=T","Dir=V")</f>
        <v>0</v>
      </c>
      <c r="AU2">
        <f>BDH("JASNQ US Equity","EQY_SH_OUT","2015-03-26","2020-03-26","Per=M","Days=T","Dir=V")</f>
        <v>0</v>
      </c>
      <c r="AW2">
        <f>BDH("JASNQ US Equity","BETA_RAW_OVERRIABLE","2015-03-26","2020-03-26","Per=M","Days=T","Dir=V")</f>
        <v>0</v>
      </c>
      <c r="AY2">
        <f>BDH("JASNQ US Equity","PX_VOLUME","2015-03-26","2020-03-26","Per=M","Days=T","Dir=V")</f>
        <v>0</v>
      </c>
      <c r="BA2">
        <f>BDH("JASNQ US Equity","TURNOVER","2015-03-26","2020-03-26","Per=M","Days=T","Dir=V")</f>
        <v>0</v>
      </c>
      <c r="BC2">
        <f>BDH("JASNQ US Equity","SPREAD_BA_CR","2015-03-26","2020-03-26","Per=M","Days=T","Dir=V")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BDH("CVIAQ US Equity","BS_TOT_ASSET","2015-03-31","2020-03-31","Per=Y","Days=T","Dir=V")</f>
        <v>0</v>
      </c>
      <c r="C2">
        <f>BDH("CVIAQ US Equity","BS_TOT_LIAB2","2015-03-31","2020-03-31","Per=Y","Days=T","Dir=V")</f>
        <v>0</v>
      </c>
      <c r="E2">
        <f>BDH("CVIAQ US Equity","SHORT_AND_LONG_TERM_DEBT","2015-03-31","2020-03-31","Per=Y","Days=T","Dir=V")</f>
        <v>0</v>
      </c>
      <c r="G2">
        <f>BDH("CVIAQ US Equity","BS_ST_BORROW","2015-03-31","2020-03-31","Per=Y","Days=T","Dir=V")</f>
        <v>0</v>
      </c>
      <c r="I2">
        <f>BDH("CVIAQ US Equity","BS_LT_BORROW","2015-03-31","2020-03-31","Per=Y","Days=T","Dir=V")</f>
        <v>0</v>
      </c>
      <c r="K2">
        <f>BDH("CVIAQ US Equity","BS_CASH_NEAR_CASH_ITEM","2015-03-31","2020-03-31","Per=Y","Days=T","Dir=V")</f>
        <v>0</v>
      </c>
      <c r="M2">
        <f>BDH("CVIAQ US Equity","BS_CUR_ASSET_REPORT","2015-03-31","2020-03-31","Per=Y","Days=T","Dir=V")</f>
        <v>0</v>
      </c>
      <c r="O2">
        <f>BDH("CVIAQ US Equity","BS_CUR_LIAB","2015-03-31","2020-03-31","Per=Y","Days=T","Dir=V")</f>
        <v>0</v>
      </c>
      <c r="Q2">
        <f>BDH("CVIAQ US Equity","BS_SHAREHOLDER_EQY_ENDING_PERIOD","2015-03-31","2020-03-31","Per=Y","Days=T","Dir=V")</f>
        <v>0</v>
      </c>
      <c r="S2">
        <f>BDH("CVIAQ US Equity","BS_ACCT_NOTE_RCV","2015-03-31","2020-03-31","Per=Y","Days=T","Dir=V")</f>
        <v>0</v>
      </c>
      <c r="U2">
        <f>BDH("CVIAQ US Equity","BS_INVENTORIES","2015-03-31","2020-03-31","Per=Y","Days=T","Dir=V")</f>
        <v>0</v>
      </c>
      <c r="W2">
        <f>BDH("CVIAQ US Equity","WORKING_CAPITAL","2015-03-31","2020-03-31","Per=Y","Days=T","Dir=V")</f>
        <v>0</v>
      </c>
      <c r="Y2">
        <f>BDH("CVIAQ US Equity","SALES_REV_TURN","2015-03-31","2020-03-31","Per=Y","Days=T","Dir=V")</f>
        <v>0</v>
      </c>
      <c r="AA2">
        <f>BDH("CVIAQ US Equity","EBIT","2015-03-31","2020-03-31","Per=Y","Days=T","Dir=V")</f>
        <v>0</v>
      </c>
      <c r="AC2">
        <f>BDH("CVIAQ US Equity","EBITDA","2015-03-31","2020-03-31","Per=Y","Days=T","Dir=V")</f>
        <v>0</v>
      </c>
      <c r="AE2">
        <f>BDH("CVIAQ US Equity","NET_INCOME","2015-03-31","2020-03-31","Per=Y","Days=T","Dir=V")</f>
        <v>0</v>
      </c>
      <c r="AG2">
        <f>BDH("CVIAQ US Equity","IS_INT_EXPENSE","2015-03-31","2020-03-31","Per=Y","Days=T","Dir=V")</f>
        <v>0</v>
      </c>
      <c r="AI2">
        <f>BDH("CVIAQ US Equity","IS_DEPR_EXP","2015-03-31","2020-03-31","Per=Y","Days=T","Dir=V")</f>
        <v>0</v>
      </c>
      <c r="AK2">
        <f>BDH("CVIAQ US Equity","CF_CASH_FROM_OPER","2015-03-31","2020-03-31","Per=Y","Days=T","Dir=V")</f>
        <v>0</v>
      </c>
      <c r="AM2">
        <f>BDH("CVIAQ US Equity","CAPITAL_EXPEND","2015-03-31","2020-03-31","Per=Y","Days=T","Dir=V")</f>
        <v>0</v>
      </c>
      <c r="AO2">
        <f>BDH("CVIAQ US Equity","CF_FREE_CASH_FLOW","2015-03-31","2020-03-31","Per=Y","Days=T","Dir=V")</f>
        <v>0</v>
      </c>
      <c r="AQ2">
        <f>BDH("CVIAQ US Equity","PX_LAST","2015-03-31","2020-03-31","Per=M","Days=T","Dir=V")</f>
        <v>0</v>
      </c>
      <c r="AS2">
        <f>BDH("CVIAQ US Equity","CUR_MKT_CAP","2015-03-31","2020-03-31","Per=M","Days=T","Dir=V")</f>
        <v>0</v>
      </c>
      <c r="AU2">
        <f>BDH("CVIAQ US Equity","EQY_SH_OUT","2015-03-31","2020-03-31","Per=M","Days=T","Dir=V")</f>
        <v>0</v>
      </c>
      <c r="AW2">
        <f>BDH("CVIAQ US Equity","BETA_RAW_OVERRIABLE","2015-03-31","2020-03-31","Per=M","Days=T","Dir=V")</f>
        <v>0</v>
      </c>
      <c r="AY2">
        <f>BDH("CVIAQ US Equity","PX_VOLUME","2015-03-31","2020-03-31","Per=M","Days=T","Dir=V")</f>
        <v>0</v>
      </c>
      <c r="BA2">
        <f>BDH("CVIAQ US Equity","TURNOVER","2015-03-31","2020-03-31","Per=M","Days=T","Dir=V")</f>
        <v>0</v>
      </c>
      <c r="BC2">
        <f>BDH("CVIAQ US Equity","SPREAD_BA_CR","2015-03-31","2020-03-31","Per=M","Days=T","Dir=V")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BDH("HCRSQ US Equity","BS_TOT_ASSET","2015-04-13","2020-04-13","Per=Y","Days=T","Dir=V")</f>
        <v>0</v>
      </c>
      <c r="C2">
        <f>BDH("HCRSQ US Equity","BS_TOT_LIAB2","2015-04-13","2020-04-13","Per=Y","Days=T","Dir=V")</f>
        <v>0</v>
      </c>
      <c r="E2">
        <f>BDH("HCRSQ US Equity","SHORT_AND_LONG_TERM_DEBT","2015-04-13","2020-04-13","Per=Y","Days=T","Dir=V")</f>
        <v>0</v>
      </c>
      <c r="G2">
        <f>BDH("HCRSQ US Equity","BS_ST_BORROW","2015-04-13","2020-04-13","Per=Y","Days=T","Dir=V")</f>
        <v>0</v>
      </c>
      <c r="I2">
        <f>BDH("HCRSQ US Equity","BS_LT_BORROW","2015-04-13","2020-04-13","Per=Y","Days=T","Dir=V")</f>
        <v>0</v>
      </c>
      <c r="K2">
        <f>BDH("HCRSQ US Equity","BS_CASH_NEAR_CASH_ITEM","2015-04-13","2020-04-13","Per=Y","Days=T","Dir=V")</f>
        <v>0</v>
      </c>
      <c r="M2">
        <f>BDH("HCRSQ US Equity","BS_CUR_ASSET_REPORT","2015-04-13","2020-04-13","Per=Y","Days=T","Dir=V")</f>
        <v>0</v>
      </c>
      <c r="O2">
        <f>BDH("HCRSQ US Equity","BS_CUR_LIAB","2015-04-13","2020-04-13","Per=Y","Days=T","Dir=V")</f>
        <v>0</v>
      </c>
      <c r="Q2">
        <f>BDH("HCRSQ US Equity","BS_SHAREHOLDER_EQY_ENDING_PERIOD","2015-04-13","2020-04-13","Per=Y","Days=T","Dir=V")</f>
        <v>0</v>
      </c>
      <c r="S2">
        <f>BDH("HCRSQ US Equity","BS_ACCT_NOTE_RCV","2015-04-13","2020-04-13","Per=Y","Days=T","Dir=V")</f>
        <v>0</v>
      </c>
      <c r="U2">
        <f>BDH("HCRSQ US Equity","BS_INVENTORIES","2015-04-13","2020-04-13","Per=Y","Days=T","Dir=V")</f>
        <v>0</v>
      </c>
      <c r="W2">
        <f>BDH("HCRSQ US Equity","WORKING_CAPITAL","2015-04-13","2020-04-13","Per=Y","Days=T","Dir=V")</f>
        <v>0</v>
      </c>
      <c r="Y2">
        <f>BDH("HCRSQ US Equity","SALES_REV_TURN","2015-04-13","2020-04-13","Per=Y","Days=T","Dir=V")</f>
        <v>0</v>
      </c>
      <c r="AA2">
        <f>BDH("HCRSQ US Equity","EBIT","2015-04-13","2020-04-13","Per=Y","Days=T","Dir=V")</f>
        <v>0</v>
      </c>
      <c r="AC2">
        <f>BDH("HCRSQ US Equity","EBITDA","2015-04-13","2020-04-13","Per=Y","Days=T","Dir=V")</f>
        <v>0</v>
      </c>
      <c r="AE2">
        <f>BDH("HCRSQ US Equity","NET_INCOME","2015-04-13","2020-04-13","Per=Y","Days=T","Dir=V")</f>
        <v>0</v>
      </c>
      <c r="AG2">
        <f>BDH("HCRSQ US Equity","IS_INT_EXPENSE","2015-04-13","2020-04-13","Per=Y","Days=T","Dir=V")</f>
        <v>0</v>
      </c>
      <c r="AI2">
        <f>BDH("HCRSQ US Equity","IS_DEPR_EXP","2015-04-13","2020-04-13","Per=Y","Days=T","Dir=V")</f>
        <v>0</v>
      </c>
      <c r="AK2">
        <f>BDH("HCRSQ US Equity","CF_CASH_FROM_OPER","2015-04-13","2020-04-13","Per=Y","Days=T","Dir=V")</f>
        <v>0</v>
      </c>
      <c r="AM2">
        <f>BDH("HCRSQ US Equity","CAPITAL_EXPEND","2015-04-13","2020-04-13","Per=Y","Days=T","Dir=V")</f>
        <v>0</v>
      </c>
      <c r="AO2">
        <f>BDH("HCRSQ US Equity","CF_FREE_CASH_FLOW","2015-04-13","2020-04-13","Per=Y","Days=T","Dir=V")</f>
        <v>0</v>
      </c>
      <c r="AQ2">
        <f>BDH("HCRSQ US Equity","PX_LAST","2015-04-13","2020-04-13","Per=M","Days=T","Dir=V")</f>
        <v>0</v>
      </c>
      <c r="AS2">
        <f>BDH("HCRSQ US Equity","CUR_MKT_CAP","2015-04-13","2020-04-13","Per=M","Days=T","Dir=V")</f>
        <v>0</v>
      </c>
      <c r="AU2">
        <f>BDH("HCRSQ US Equity","EQY_SH_OUT","2015-04-13","2020-04-13","Per=M","Days=T","Dir=V")</f>
        <v>0</v>
      </c>
      <c r="AW2">
        <f>BDH("HCRSQ US Equity","BETA_RAW_OVERRIABLE","2015-04-13","2020-04-13","Per=M","Days=T","Dir=V")</f>
        <v>0</v>
      </c>
      <c r="AY2">
        <f>BDH("HCRSQ US Equity","PX_VOLUME","2015-04-13","2020-04-13","Per=M","Days=T","Dir=V")</f>
        <v>0</v>
      </c>
      <c r="BA2">
        <f>BDH("HCRSQ US Equity","TURNOVER","2015-04-13","2020-04-13","Per=M","Days=T","Dir=V")</f>
        <v>0</v>
      </c>
      <c r="BC2">
        <f>BDH("HCRSQ US Equity","SPREAD_BA_CR","2015-04-13","2020-04-13","Per=M","Days=T","Dir=V")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BDH("CRC US Equity","BS_TOT_ASSET","2015-04-16","2020-04-16","Per=Y","Days=T","Dir=V")</f>
        <v>0</v>
      </c>
      <c r="C2">
        <f>BDH("CRC US Equity","BS_TOT_LIAB2","2015-04-16","2020-04-16","Per=Y","Days=T","Dir=V")</f>
        <v>0</v>
      </c>
      <c r="E2">
        <f>BDH("CRC US Equity","SHORT_AND_LONG_TERM_DEBT","2015-04-16","2020-04-16","Per=Y","Days=T","Dir=V")</f>
        <v>0</v>
      </c>
      <c r="G2">
        <f>BDH("CRC US Equity","BS_ST_BORROW","2015-04-16","2020-04-16","Per=Y","Days=T","Dir=V")</f>
        <v>0</v>
      </c>
      <c r="I2">
        <f>BDH("CRC US Equity","BS_LT_BORROW","2015-04-16","2020-04-16","Per=Y","Days=T","Dir=V")</f>
        <v>0</v>
      </c>
      <c r="K2">
        <f>BDH("CRC US Equity","BS_CASH_NEAR_CASH_ITEM","2015-04-16","2020-04-16","Per=Y","Days=T","Dir=V")</f>
        <v>0</v>
      </c>
      <c r="M2">
        <f>BDH("CRC US Equity","BS_CUR_ASSET_REPORT","2015-04-16","2020-04-16","Per=Y","Days=T","Dir=V")</f>
        <v>0</v>
      </c>
      <c r="O2">
        <f>BDH("CRC US Equity","BS_CUR_LIAB","2015-04-16","2020-04-16","Per=Y","Days=T","Dir=V")</f>
        <v>0</v>
      </c>
      <c r="Q2">
        <f>BDH("CRC US Equity","BS_SHAREHOLDER_EQY_ENDING_PERIOD","2015-04-16","2020-04-16","Per=Y","Days=T","Dir=V")</f>
        <v>0</v>
      </c>
      <c r="S2">
        <f>BDH("CRC US Equity","BS_ACCT_NOTE_RCV","2015-04-16","2020-04-16","Per=Y","Days=T","Dir=V")</f>
        <v>0</v>
      </c>
      <c r="U2">
        <f>BDH("CRC US Equity","BS_INVENTORIES","2015-04-16","2020-04-16","Per=Y","Days=T","Dir=V")</f>
        <v>0</v>
      </c>
      <c r="W2">
        <f>BDH("CRC US Equity","WORKING_CAPITAL","2015-04-16","2020-04-16","Per=Y","Days=T","Dir=V")</f>
        <v>0</v>
      </c>
      <c r="Y2">
        <f>BDH("CRC US Equity","SALES_REV_TURN","2015-04-16","2020-04-16","Per=Y","Days=T","Dir=V")</f>
        <v>0</v>
      </c>
      <c r="AA2">
        <f>BDH("CRC US Equity","EBIT","2015-04-16","2020-04-16","Per=Y","Days=T","Dir=V")</f>
        <v>0</v>
      </c>
      <c r="AC2">
        <f>BDH("CRC US Equity","EBITDA","2015-04-16","2020-04-16","Per=Y","Days=T","Dir=V")</f>
        <v>0</v>
      </c>
      <c r="AE2">
        <f>BDH("CRC US Equity","NET_INCOME","2015-04-16","2020-04-16","Per=Y","Days=T","Dir=V")</f>
        <v>0</v>
      </c>
      <c r="AG2">
        <f>BDH("CRC US Equity","IS_INT_EXPENSE","2015-04-16","2020-04-16","Per=Y","Days=T","Dir=V")</f>
        <v>0</v>
      </c>
      <c r="AI2">
        <f>BDH("CRC US Equity","IS_DEPR_EXP","2015-04-16","2020-04-16","Per=Y","Days=T","Dir=V")</f>
        <v>0</v>
      </c>
      <c r="AK2">
        <f>BDH("CRC US Equity","CF_CASH_FROM_OPER","2015-04-16","2020-04-16","Per=Y","Days=T","Dir=V")</f>
        <v>0</v>
      </c>
      <c r="AM2">
        <f>BDH("CRC US Equity","CAPITAL_EXPEND","2015-04-16","2020-04-16","Per=Y","Days=T","Dir=V")</f>
        <v>0</v>
      </c>
      <c r="AO2">
        <f>BDH("CRC US Equity","CF_FREE_CASH_FLOW","2015-04-16","2020-04-16","Per=Y","Days=T","Dir=V")</f>
        <v>0</v>
      </c>
      <c r="AQ2">
        <f>BDH("CRC US Equity","PX_LAST","2015-04-16","2020-04-16","Per=M","Days=T","Dir=V")</f>
        <v>0</v>
      </c>
      <c r="AS2">
        <f>BDH("CRC US Equity","CUR_MKT_CAP","2015-04-16","2020-04-16","Per=M","Days=T","Dir=V")</f>
        <v>0</v>
      </c>
      <c r="AU2">
        <f>BDH("CRC US Equity","EQY_SH_OUT","2015-04-16","2020-04-16","Per=M","Days=T","Dir=V")</f>
        <v>0</v>
      </c>
      <c r="AW2">
        <f>BDH("CRC US Equity","BETA_RAW_OVERRIABLE","2015-04-16","2020-04-16","Per=M","Days=T","Dir=V")</f>
        <v>0</v>
      </c>
      <c r="AY2">
        <f>BDH("CRC US Equity","PX_VOLUME","2015-04-16","2020-04-16","Per=M","Days=T","Dir=V")</f>
        <v>0</v>
      </c>
      <c r="BA2">
        <f>BDH("CRC US Equity","TURNOVER","2015-04-16","2020-04-16","Per=M","Days=T","Dir=V")</f>
        <v>0</v>
      </c>
      <c r="BC2">
        <f>BDH("CRC US Equity","SPREAD_BA_CR","2015-04-16","2020-04-16","Per=M","Days=T","Dir=V")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BDH("ROSUQ US Equity","BS_TOT_ASSET","2015-04-27","2020-04-27","Per=Y","Days=T","Dir=V")</f>
        <v>0</v>
      </c>
      <c r="C2">
        <f>BDH("ROSUQ US Equity","BS_TOT_LIAB2","2015-04-27","2020-04-27","Per=Y","Days=T","Dir=V")</f>
        <v>0</v>
      </c>
      <c r="E2">
        <f>BDH("ROSUQ US Equity","SHORT_AND_LONG_TERM_DEBT","2015-04-27","2020-04-27","Per=Y","Days=T","Dir=V")</f>
        <v>0</v>
      </c>
      <c r="G2">
        <f>BDH("ROSUQ US Equity","BS_ST_BORROW","2015-04-27","2020-04-27","Per=Y","Days=T","Dir=V")</f>
        <v>0</v>
      </c>
      <c r="I2">
        <f>BDH("ROSUQ US Equity","BS_LT_BORROW","2015-04-27","2020-04-27","Per=Y","Days=T","Dir=V")</f>
        <v>0</v>
      </c>
      <c r="K2">
        <f>BDH("ROSUQ US Equity","BS_CASH_NEAR_CASH_ITEM","2015-04-27","2020-04-27","Per=Y","Days=T","Dir=V")</f>
        <v>0</v>
      </c>
      <c r="M2">
        <f>BDH("ROSUQ US Equity","BS_CUR_ASSET_REPORT","2015-04-27","2020-04-27","Per=Y","Days=T","Dir=V")</f>
        <v>0</v>
      </c>
      <c r="O2">
        <f>BDH("ROSUQ US Equity","BS_CUR_LIAB","2015-04-27","2020-04-27","Per=Y","Days=T","Dir=V")</f>
        <v>0</v>
      </c>
      <c r="Q2">
        <f>BDH("ROSUQ US Equity","BS_SHAREHOLDER_EQY_ENDING_PERIOD","2015-04-27","2020-04-27","Per=Y","Days=T","Dir=V")</f>
        <v>0</v>
      </c>
      <c r="S2">
        <f>BDH("ROSUQ US Equity","BS_ACCT_NOTE_RCV","2015-04-27","2020-04-27","Per=Y","Days=T","Dir=V")</f>
        <v>0</v>
      </c>
      <c r="U2">
        <f>BDH("ROSUQ US Equity","BS_INVENTORIES","2015-04-27","2020-04-27","Per=Y","Days=T","Dir=V")</f>
        <v>0</v>
      </c>
      <c r="W2">
        <f>BDH("ROSUQ US Equity","WORKING_CAPITAL","2015-04-27","2020-04-27","Per=Y","Days=T","Dir=V")</f>
        <v>0</v>
      </c>
      <c r="Y2">
        <f>BDH("ROSUQ US Equity","SALES_REV_TURN","2015-04-27","2020-04-27","Per=Y","Days=T","Dir=V")</f>
        <v>0</v>
      </c>
      <c r="AA2">
        <f>BDH("ROSUQ US Equity","EBIT","2015-04-27","2020-04-27","Per=Y","Days=T","Dir=V")</f>
        <v>0</v>
      </c>
      <c r="AC2">
        <f>BDH("ROSUQ US Equity","EBITDA","2015-04-27","2020-04-27","Per=Y","Days=T","Dir=V")</f>
        <v>0</v>
      </c>
      <c r="AE2">
        <f>BDH("ROSUQ US Equity","NET_INCOME","2015-04-27","2020-04-27","Per=Y","Days=T","Dir=V")</f>
        <v>0</v>
      </c>
      <c r="AG2">
        <f>BDH("ROSUQ US Equity","IS_INT_EXPENSE","2015-04-27","2020-04-27","Per=Y","Days=T","Dir=V")</f>
        <v>0</v>
      </c>
      <c r="AI2">
        <f>BDH("ROSUQ US Equity","IS_DEPR_EXP","2015-04-27","2020-04-27","Per=Y","Days=T","Dir=V")</f>
        <v>0</v>
      </c>
      <c r="AK2">
        <f>BDH("ROSUQ US Equity","CF_CASH_FROM_OPER","2015-04-27","2020-04-27","Per=Y","Days=T","Dir=V")</f>
        <v>0</v>
      </c>
      <c r="AM2">
        <f>BDH("ROSUQ US Equity","CAPITAL_EXPEND","2015-04-27","2020-04-27","Per=Y","Days=T","Dir=V")</f>
        <v>0</v>
      </c>
      <c r="AO2">
        <f>BDH("ROSUQ US Equity","CF_FREE_CASH_FLOW","2015-04-27","2020-04-27","Per=Y","Days=T","Dir=V")</f>
        <v>0</v>
      </c>
      <c r="AQ2">
        <f>BDH("ROSUQ US Equity","PX_LAST","2015-04-27","2020-04-27","Per=M","Days=T","Dir=V")</f>
        <v>0</v>
      </c>
      <c r="AS2">
        <f>BDH("ROSUQ US Equity","CUR_MKT_CAP","2015-04-27","2020-04-27","Per=M","Days=T","Dir=V")</f>
        <v>0</v>
      </c>
      <c r="AU2">
        <f>BDH("ROSUQ US Equity","EQY_SH_OUT","2015-04-27","2020-04-27","Per=M","Days=T","Dir=V")</f>
        <v>0</v>
      </c>
      <c r="AW2">
        <f>BDH("ROSUQ US Equity","BETA_RAW_OVERRIABLE","2015-04-27","2020-04-27","Per=M","Days=T","Dir=V")</f>
        <v>0</v>
      </c>
      <c r="AY2">
        <f>BDH("ROSUQ US Equity","PX_VOLUME","2015-04-27","2020-04-27","Per=M","Days=T","Dir=V")</f>
        <v>0</v>
      </c>
      <c r="BA2">
        <f>BDH("ROSUQ US Equity","TURNOVER","2015-04-27","2020-04-27","Per=M","Days=T","Dir=V")</f>
        <v>0</v>
      </c>
      <c r="BC2">
        <f>BDH("ROSUQ US Equity","SPREAD_BA_CR","2015-04-27","2020-04-27","Per=M","Days=T","Dir=V")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BDH("TLRDQ US Equity","BS_TOT_ASSET","2015-05-04","2020-05-04","Per=Y","Days=T","Dir=V")</f>
        <v>0</v>
      </c>
      <c r="C2">
        <f>BDH("TLRDQ US Equity","BS_TOT_LIAB2","2015-05-04","2020-05-04","Per=Y","Days=T","Dir=V")</f>
        <v>0</v>
      </c>
      <c r="E2">
        <f>BDH("TLRDQ US Equity","SHORT_AND_LONG_TERM_DEBT","2015-05-04","2020-05-04","Per=Y","Days=T","Dir=V")</f>
        <v>0</v>
      </c>
      <c r="G2">
        <f>BDH("TLRDQ US Equity","BS_ST_BORROW","2015-05-04","2020-05-04","Per=Y","Days=T","Dir=V")</f>
        <v>0</v>
      </c>
      <c r="I2">
        <f>BDH("TLRDQ US Equity","BS_LT_BORROW","2015-05-04","2020-05-04","Per=Y","Days=T","Dir=V")</f>
        <v>0</v>
      </c>
      <c r="K2">
        <f>BDH("TLRDQ US Equity","BS_CASH_NEAR_CASH_ITEM","2015-05-04","2020-05-04","Per=Y","Days=T","Dir=V")</f>
        <v>0</v>
      </c>
      <c r="M2">
        <f>BDH("TLRDQ US Equity","BS_CUR_ASSET_REPORT","2015-05-04","2020-05-04","Per=Y","Days=T","Dir=V")</f>
        <v>0</v>
      </c>
      <c r="O2">
        <f>BDH("TLRDQ US Equity","BS_CUR_LIAB","2015-05-04","2020-05-04","Per=Y","Days=T","Dir=V")</f>
        <v>0</v>
      </c>
      <c r="Q2">
        <f>BDH("TLRDQ US Equity","BS_SHAREHOLDER_EQY_ENDING_PERIOD","2015-05-04","2020-05-04","Per=Y","Days=T","Dir=V")</f>
        <v>0</v>
      </c>
      <c r="S2">
        <f>BDH("TLRDQ US Equity","BS_ACCT_NOTE_RCV","2015-05-04","2020-05-04","Per=Y","Days=T","Dir=V")</f>
        <v>0</v>
      </c>
      <c r="U2">
        <f>BDH("TLRDQ US Equity","BS_INVENTORIES","2015-05-04","2020-05-04","Per=Y","Days=T","Dir=V")</f>
        <v>0</v>
      </c>
      <c r="W2">
        <f>BDH("TLRDQ US Equity","WORKING_CAPITAL","2015-05-04","2020-05-04","Per=Y","Days=T","Dir=V")</f>
        <v>0</v>
      </c>
      <c r="Y2">
        <f>BDH("TLRDQ US Equity","SALES_REV_TURN","2015-05-04","2020-05-04","Per=Y","Days=T","Dir=V")</f>
        <v>0</v>
      </c>
      <c r="AA2">
        <f>BDH("TLRDQ US Equity","EBIT","2015-05-04","2020-05-04","Per=Y","Days=T","Dir=V")</f>
        <v>0</v>
      </c>
      <c r="AC2">
        <f>BDH("TLRDQ US Equity","EBITDA","2015-05-04","2020-05-04","Per=Y","Days=T","Dir=V")</f>
        <v>0</v>
      </c>
      <c r="AE2">
        <f>BDH("TLRDQ US Equity","NET_INCOME","2015-05-04","2020-05-04","Per=Y","Days=T","Dir=V")</f>
        <v>0</v>
      </c>
      <c r="AG2">
        <f>BDH("TLRDQ US Equity","IS_INT_EXPENSE","2015-05-04","2020-05-04","Per=Y","Days=T","Dir=V")</f>
        <v>0</v>
      </c>
      <c r="AI2">
        <f>BDH("TLRDQ US Equity","IS_DEPR_EXP","2015-05-04","2020-05-04","Per=Y","Days=T","Dir=V")</f>
        <v>0</v>
      </c>
      <c r="AK2">
        <f>BDH("TLRDQ US Equity","CF_CASH_FROM_OPER","2015-05-04","2020-05-04","Per=Y","Days=T","Dir=V")</f>
        <v>0</v>
      </c>
      <c r="AM2">
        <f>BDH("TLRDQ US Equity","CAPITAL_EXPEND","2015-05-04","2020-05-04","Per=Y","Days=T","Dir=V")</f>
        <v>0</v>
      </c>
      <c r="AO2">
        <f>BDH("TLRDQ US Equity","CF_FREE_CASH_FLOW","2015-05-04","2020-05-04","Per=Y","Days=T","Dir=V")</f>
        <v>0</v>
      </c>
      <c r="AQ2">
        <f>BDH("TLRDQ US Equity","PX_LAST","2015-05-04","2020-05-04","Per=M","Days=T","Dir=V")</f>
        <v>0</v>
      </c>
      <c r="AS2">
        <f>BDH("TLRDQ US Equity","CUR_MKT_CAP","2015-05-04","2020-05-04","Per=M","Days=T","Dir=V")</f>
        <v>0</v>
      </c>
      <c r="AU2">
        <f>BDH("TLRDQ US Equity","EQY_SH_OUT","2015-05-04","2020-05-04","Per=M","Days=T","Dir=V")</f>
        <v>0</v>
      </c>
      <c r="AW2">
        <f>BDH("TLRDQ US Equity","BETA_RAW_OVERRIABLE","2015-05-04","2020-05-04","Per=M","Days=T","Dir=V")</f>
        <v>0</v>
      </c>
      <c r="AY2">
        <f>BDH("TLRDQ US Equity","PX_VOLUME","2015-05-04","2020-05-04","Per=M","Days=T","Dir=V")</f>
        <v>0</v>
      </c>
      <c r="BA2">
        <f>BDH("TLRDQ US Equity","TURNOVER","2015-05-04","2020-05-04","Per=M","Days=T","Dir=V")</f>
        <v>0</v>
      </c>
      <c r="BC2">
        <f>BDH("TLRDQ US Equity","SPREAD_BA_CR","2015-05-04","2020-05-04","Per=M","Days=T","Dir=V")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BDH("1478868D US Equity","BS_TOT_ASSET","2015-07-02","2020-07-02","Per=Y","Days=T","Dir=V")</f>
        <v>0</v>
      </c>
      <c r="C2">
        <f>BDH("1478868D US Equity","BS_TOT_LIAB2","2015-07-02","2020-07-02","Per=Y","Days=T","Dir=V")</f>
        <v>0</v>
      </c>
      <c r="E2">
        <f>BDH("1478868D US Equity","SHORT_AND_LONG_TERM_DEBT","2015-07-02","2020-07-02","Per=Y","Days=T","Dir=V")</f>
        <v>0</v>
      </c>
      <c r="G2">
        <f>BDH("1478868D US Equity","BS_ST_BORROW","2015-07-02","2020-07-02","Per=Y","Days=T","Dir=V")</f>
        <v>0</v>
      </c>
      <c r="I2">
        <f>BDH("1478868D US Equity","BS_LT_BORROW","2015-07-02","2020-07-02","Per=Y","Days=T","Dir=V")</f>
        <v>0</v>
      </c>
      <c r="K2">
        <f>BDH("1478868D US Equity","BS_CASH_NEAR_CASH_ITEM","2015-07-02","2020-07-02","Per=Y","Days=T","Dir=V")</f>
        <v>0</v>
      </c>
      <c r="M2">
        <f>BDH("1478868D US Equity","BS_CUR_ASSET_REPORT","2015-07-02","2020-07-02","Per=Y","Days=T","Dir=V")</f>
        <v>0</v>
      </c>
      <c r="O2">
        <f>BDH("1478868D US Equity","BS_CUR_LIAB","2015-07-02","2020-07-02","Per=Y","Days=T","Dir=V")</f>
        <v>0</v>
      </c>
      <c r="Q2">
        <f>BDH("1478868D US Equity","BS_SHAREHOLDER_EQY_ENDING_PERIOD","2015-07-02","2020-07-02","Per=Y","Days=T","Dir=V")</f>
        <v>0</v>
      </c>
      <c r="S2">
        <f>BDH("1478868D US Equity","BS_ACCT_NOTE_RCV","2015-07-02","2020-07-02","Per=Y","Days=T","Dir=V")</f>
        <v>0</v>
      </c>
      <c r="U2">
        <f>BDH("1478868D US Equity","BS_INVENTORIES","2015-07-02","2020-07-02","Per=Y","Days=T","Dir=V")</f>
        <v>0</v>
      </c>
      <c r="W2">
        <f>BDH("1478868D US Equity","WORKING_CAPITAL","2015-07-02","2020-07-02","Per=Y","Days=T","Dir=V")</f>
        <v>0</v>
      </c>
      <c r="Y2">
        <f>BDH("1478868D US Equity","SALES_REV_TURN","2015-07-02","2020-07-02","Per=Y","Days=T","Dir=V")</f>
        <v>0</v>
      </c>
      <c r="AA2">
        <f>BDH("1478868D US Equity","EBIT","2015-07-02","2020-07-02","Per=Y","Days=T","Dir=V")</f>
        <v>0</v>
      </c>
      <c r="AC2">
        <f>BDH("1478868D US Equity","EBITDA","2015-07-02","2020-07-02","Per=Y","Days=T","Dir=V")</f>
        <v>0</v>
      </c>
      <c r="AE2">
        <f>BDH("1478868D US Equity","NET_INCOME","2015-07-02","2020-07-02","Per=Y","Days=T","Dir=V")</f>
        <v>0</v>
      </c>
      <c r="AG2">
        <f>BDH("1478868D US Equity","IS_INT_EXPENSE","2015-07-02","2020-07-02","Per=Y","Days=T","Dir=V")</f>
        <v>0</v>
      </c>
      <c r="AI2">
        <f>BDH("1478868D US Equity","IS_DEPR_EXP","2015-07-02","2020-07-02","Per=Y","Days=T","Dir=V")</f>
        <v>0</v>
      </c>
      <c r="AK2">
        <f>BDH("1478868D US Equity","CF_CASH_FROM_OPER","2015-07-02","2020-07-02","Per=Y","Days=T","Dir=V")</f>
        <v>0</v>
      </c>
      <c r="AM2">
        <f>BDH("1478868D US Equity","CAPITAL_EXPEND","2015-07-02","2020-07-02","Per=Y","Days=T","Dir=V")</f>
        <v>0</v>
      </c>
      <c r="AO2">
        <f>BDH("1478868D US Equity","CF_FREE_CASH_FLOW","2015-07-02","2020-07-02","Per=Y","Days=T","Dir=V")</f>
        <v>0</v>
      </c>
      <c r="AQ2">
        <f>BDH("1478868D US Equity","PX_LAST","2015-07-02","2020-07-02","Per=M","Days=T","Dir=V")</f>
        <v>0</v>
      </c>
      <c r="AS2">
        <f>BDH("1478868D US Equity","CUR_MKT_CAP","2015-07-02","2020-07-02","Per=M","Days=T","Dir=V")</f>
        <v>0</v>
      </c>
      <c r="AU2">
        <f>BDH("1478868D US Equity","EQY_SH_OUT","2015-07-02","2020-07-02","Per=M","Days=T","Dir=V")</f>
        <v>0</v>
      </c>
      <c r="AW2">
        <f>BDH("1478868D US Equity","BETA_RAW_OVERRIABLE","2015-07-02","2020-07-02","Per=M","Days=T","Dir=V")</f>
        <v>0</v>
      </c>
      <c r="AY2">
        <f>BDH("1478868D US Equity","PX_VOLUME","2015-07-02","2020-07-02","Per=M","Days=T","Dir=V")</f>
        <v>0</v>
      </c>
      <c r="BA2">
        <f>BDH("1478868D US Equity","TURNOVER","2015-07-02","2020-07-02","Per=M","Days=T","Dir=V")</f>
        <v>0</v>
      </c>
      <c r="BC2">
        <f>BDH("1478868D US Equity","SPREAD_BA_CR","2015-07-02","2020-07-02","Per=M","Days=T","Dir=V")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BDH("SQBGQ US Equity","BS_TOT_ASSET","2016-06-02","2021-06-02","Per=Y","Days=T","Dir=V")</f>
        <v>0</v>
      </c>
      <c r="C2">
        <f>BDH("SQBGQ US Equity","BS_TOT_LIAB2","2016-06-02","2021-06-02","Per=Y","Days=T","Dir=V")</f>
        <v>0</v>
      </c>
      <c r="E2">
        <f>BDH("SQBGQ US Equity","SHORT_AND_LONG_TERM_DEBT","2016-06-02","2021-06-02","Per=Y","Days=T","Dir=V")</f>
        <v>0</v>
      </c>
      <c r="G2">
        <f>BDH("SQBGQ US Equity","BS_ST_BORROW","2016-06-02","2021-06-02","Per=Y","Days=T","Dir=V")</f>
        <v>0</v>
      </c>
      <c r="I2">
        <f>BDH("SQBGQ US Equity","BS_LT_BORROW","2016-06-02","2021-06-02","Per=Y","Days=T","Dir=V")</f>
        <v>0</v>
      </c>
      <c r="K2">
        <f>BDH("SQBGQ US Equity","BS_CASH_NEAR_CASH_ITEM","2016-06-02","2021-06-02","Per=Y","Days=T","Dir=V")</f>
        <v>0</v>
      </c>
      <c r="M2">
        <f>BDH("SQBGQ US Equity","BS_CUR_ASSET_REPORT","2016-06-02","2021-06-02","Per=Y","Days=T","Dir=V")</f>
        <v>0</v>
      </c>
      <c r="O2">
        <f>BDH("SQBGQ US Equity","BS_CUR_LIAB","2016-06-02","2021-06-02","Per=Y","Days=T","Dir=V")</f>
        <v>0</v>
      </c>
      <c r="Q2">
        <f>BDH("SQBGQ US Equity","BS_SHAREHOLDER_EQY_ENDING_PERIOD","2016-06-02","2021-06-02","Per=Y","Days=T","Dir=V")</f>
        <v>0</v>
      </c>
      <c r="S2">
        <f>BDH("SQBGQ US Equity","BS_ACCT_NOTE_RCV","2016-06-02","2021-06-02","Per=Y","Days=T","Dir=V")</f>
        <v>0</v>
      </c>
      <c r="U2">
        <f>BDH("SQBGQ US Equity","BS_INVENTORIES","2016-06-02","2021-06-02","Per=Y","Days=T","Dir=V")</f>
        <v>0</v>
      </c>
      <c r="W2">
        <f>BDH("SQBGQ US Equity","WORKING_CAPITAL","2016-06-02","2021-06-02","Per=Y","Days=T","Dir=V")</f>
        <v>0</v>
      </c>
      <c r="Y2">
        <f>BDH("SQBGQ US Equity","SALES_REV_TURN","2016-06-02","2021-06-02","Per=Y","Days=T","Dir=V")</f>
        <v>0</v>
      </c>
      <c r="AA2">
        <f>BDH("SQBGQ US Equity","EBIT","2016-06-02","2021-06-02","Per=Y","Days=T","Dir=V")</f>
        <v>0</v>
      </c>
      <c r="AC2">
        <f>BDH("SQBGQ US Equity","EBITDA","2016-06-02","2021-06-02","Per=Y","Days=T","Dir=V")</f>
        <v>0</v>
      </c>
      <c r="AE2">
        <f>BDH("SQBGQ US Equity","NET_INCOME","2016-06-02","2021-06-02","Per=Y","Days=T","Dir=V")</f>
        <v>0</v>
      </c>
      <c r="AG2">
        <f>BDH("SQBGQ US Equity","IS_INT_EXPENSE","2016-06-02","2021-06-02","Per=Y","Days=T","Dir=V")</f>
        <v>0</v>
      </c>
      <c r="AI2">
        <f>BDH("SQBGQ US Equity","IS_DEPR_EXP","2016-06-02","2021-06-02","Per=Y","Days=T","Dir=V")</f>
        <v>0</v>
      </c>
      <c r="AK2">
        <f>BDH("SQBGQ US Equity","CF_CASH_FROM_OPER","2016-06-02","2021-06-02","Per=Y","Days=T","Dir=V")</f>
        <v>0</v>
      </c>
      <c r="AM2">
        <f>BDH("SQBGQ US Equity","CAPITAL_EXPEND","2016-06-02","2021-06-02","Per=Y","Days=T","Dir=V")</f>
        <v>0</v>
      </c>
      <c r="AO2">
        <f>BDH("SQBGQ US Equity","CF_FREE_CASH_FLOW","2016-06-02","2021-06-02","Per=Y","Days=T","Dir=V")</f>
        <v>0</v>
      </c>
      <c r="AQ2">
        <f>BDH("SQBGQ US Equity","PX_LAST","2016-06-02","2021-06-02","Per=M","Days=T","Dir=V")</f>
        <v>0</v>
      </c>
      <c r="AS2">
        <f>BDH("SQBGQ US Equity","CUR_MKT_CAP","2016-06-02","2021-06-02","Per=M","Days=T","Dir=V")</f>
        <v>0</v>
      </c>
      <c r="AU2">
        <f>BDH("SQBGQ US Equity","EQY_SH_OUT","2016-06-02","2021-06-02","Per=M","Days=T","Dir=V")</f>
        <v>0</v>
      </c>
      <c r="AW2">
        <f>BDH("SQBGQ US Equity","BETA_RAW_OVERRIABLE","2016-06-02","2021-06-02","Per=M","Days=T","Dir=V")</f>
        <v>0</v>
      </c>
      <c r="AY2">
        <f>BDH("SQBGQ US Equity","PX_VOLUME","2016-06-02","2021-06-02","Per=M","Days=T","Dir=V")</f>
        <v>0</v>
      </c>
      <c r="BA2">
        <f>BDH("SQBGQ US Equity","TURNOVER","2016-06-02","2021-06-02","Per=M","Days=T","Dir=V")</f>
        <v>0</v>
      </c>
      <c r="BC2">
        <f>BDH("SQBGQ US Equity","SPREAD_BA_CR","2016-06-02","2021-06-02","Per=M","Days=T","Dir=V")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BDH("CLVSQ US Equity","BS_TOT_ASSET","2017-09-12","2022-09-12","Per=Y","Days=T","Dir=V")</f>
        <v>0</v>
      </c>
      <c r="C2">
        <f>BDH("CLVSQ US Equity","BS_TOT_LIAB2","2017-09-12","2022-09-12","Per=Y","Days=T","Dir=V")</f>
        <v>0</v>
      </c>
      <c r="E2">
        <f>BDH("CLVSQ US Equity","SHORT_AND_LONG_TERM_DEBT","2017-09-12","2022-09-12","Per=Y","Days=T","Dir=V")</f>
        <v>0</v>
      </c>
      <c r="G2">
        <f>BDH("CLVSQ US Equity","BS_ST_BORROW","2017-09-12","2022-09-12","Per=Y","Days=T","Dir=V")</f>
        <v>0</v>
      </c>
      <c r="I2">
        <f>BDH("CLVSQ US Equity","BS_LT_BORROW","2017-09-12","2022-09-12","Per=Y","Days=T","Dir=V")</f>
        <v>0</v>
      </c>
      <c r="K2">
        <f>BDH("CLVSQ US Equity","BS_CASH_NEAR_CASH_ITEM","2017-09-12","2022-09-12","Per=Y","Days=T","Dir=V")</f>
        <v>0</v>
      </c>
      <c r="M2">
        <f>BDH("CLVSQ US Equity","BS_CUR_ASSET_REPORT","2017-09-12","2022-09-12","Per=Y","Days=T","Dir=V")</f>
        <v>0</v>
      </c>
      <c r="O2">
        <f>BDH("CLVSQ US Equity","BS_CUR_LIAB","2017-09-12","2022-09-12","Per=Y","Days=T","Dir=V")</f>
        <v>0</v>
      </c>
      <c r="Q2">
        <f>BDH("CLVSQ US Equity","BS_SHAREHOLDER_EQY_ENDING_PERIOD","2017-09-12","2022-09-12","Per=Y","Days=T","Dir=V")</f>
        <v>0</v>
      </c>
      <c r="S2">
        <f>BDH("CLVSQ US Equity","BS_ACCT_NOTE_RCV","2017-09-12","2022-09-12","Per=Y","Days=T","Dir=V")</f>
        <v>0</v>
      </c>
      <c r="U2">
        <f>BDH("CLVSQ US Equity","BS_INVENTORIES","2017-09-12","2022-09-12","Per=Y","Days=T","Dir=V")</f>
        <v>0</v>
      </c>
      <c r="W2">
        <f>BDH("CLVSQ US Equity","WORKING_CAPITAL","2017-09-12","2022-09-12","Per=Y","Days=T","Dir=V")</f>
        <v>0</v>
      </c>
      <c r="Y2">
        <f>BDH("CLVSQ US Equity","SALES_REV_TURN","2017-09-12","2022-09-12","Per=Y","Days=T","Dir=V")</f>
        <v>0</v>
      </c>
      <c r="AA2">
        <f>BDH("CLVSQ US Equity","EBIT","2017-09-12","2022-09-12","Per=Y","Days=T","Dir=V")</f>
        <v>0</v>
      </c>
      <c r="AC2">
        <f>BDH("CLVSQ US Equity","EBITDA","2017-09-12","2022-09-12","Per=Y","Days=T","Dir=V")</f>
        <v>0</v>
      </c>
      <c r="AE2">
        <f>BDH("CLVSQ US Equity","NET_INCOME","2017-09-12","2022-09-12","Per=Y","Days=T","Dir=V")</f>
        <v>0</v>
      </c>
      <c r="AG2">
        <f>BDH("CLVSQ US Equity","IS_INT_EXPENSE","2017-09-12","2022-09-12","Per=Y","Days=T","Dir=V")</f>
        <v>0</v>
      </c>
      <c r="AI2">
        <f>BDH("CLVSQ US Equity","IS_DEPR_EXP","2017-09-12","2022-09-12","Per=Y","Days=T","Dir=V")</f>
        <v>0</v>
      </c>
      <c r="AK2">
        <f>BDH("CLVSQ US Equity","CF_CASH_FROM_OPER","2017-09-12","2022-09-12","Per=Y","Days=T","Dir=V")</f>
        <v>0</v>
      </c>
      <c r="AM2">
        <f>BDH("CLVSQ US Equity","CAPITAL_EXPEND","2017-09-12","2022-09-12","Per=Y","Days=T","Dir=V")</f>
        <v>0</v>
      </c>
      <c r="AO2">
        <f>BDH("CLVSQ US Equity","CF_FREE_CASH_FLOW","2017-09-12","2022-09-12","Per=Y","Days=T","Dir=V")</f>
        <v>0</v>
      </c>
      <c r="AQ2">
        <f>BDH("CLVSQ US Equity","PX_LAST","2017-09-12","2022-09-12","Per=M","Days=T","Dir=V")</f>
        <v>0</v>
      </c>
      <c r="AS2">
        <f>BDH("CLVSQ US Equity","CUR_MKT_CAP","2017-09-12","2022-09-12","Per=M","Days=T","Dir=V")</f>
        <v>0</v>
      </c>
      <c r="AU2">
        <f>BDH("CLVSQ US Equity","EQY_SH_OUT","2017-09-12","2022-09-12","Per=M","Days=T","Dir=V")</f>
        <v>0</v>
      </c>
      <c r="AW2">
        <f>BDH("CLVSQ US Equity","BETA_RAW_OVERRIABLE","2017-09-12","2022-09-12","Per=M","Days=T","Dir=V")</f>
        <v>0</v>
      </c>
      <c r="AY2">
        <f>BDH("CLVSQ US Equity","PX_VOLUME","2017-09-12","2022-09-12","Per=M","Days=T","Dir=V")</f>
        <v>0</v>
      </c>
      <c r="BA2">
        <f>BDH("CLVSQ US Equity","TURNOVER","2017-09-12","2022-09-12","Per=M","Days=T","Dir=V")</f>
        <v>0</v>
      </c>
      <c r="BC2">
        <f>BDH("CLVSQ US Equity","SPREAD_BA_CR","2017-09-12","2022-09-12","Per=M","Days=T","Dir=V")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BDH("TWOUQ US Equity","BS_TOT_ASSET","2019-05-08","2024-05-08","Per=Y","Days=T","Dir=V")</f>
        <v>0</v>
      </c>
      <c r="C2">
        <f>BDH("TWOUQ US Equity","BS_TOT_LIAB2","2019-05-08","2024-05-08","Per=Y","Days=T","Dir=V")</f>
        <v>0</v>
      </c>
      <c r="E2">
        <f>BDH("TWOUQ US Equity","SHORT_AND_LONG_TERM_DEBT","2019-05-08","2024-05-08","Per=Y","Days=T","Dir=V")</f>
        <v>0</v>
      </c>
      <c r="G2">
        <f>BDH("TWOUQ US Equity","BS_ST_BORROW","2019-05-08","2024-05-08","Per=Y","Days=T","Dir=V")</f>
        <v>0</v>
      </c>
      <c r="I2">
        <f>BDH("TWOUQ US Equity","BS_LT_BORROW","2019-05-08","2024-05-08","Per=Y","Days=T","Dir=V")</f>
        <v>0</v>
      </c>
      <c r="K2">
        <f>BDH("TWOUQ US Equity","BS_CASH_NEAR_CASH_ITEM","2019-05-08","2024-05-08","Per=Y","Days=T","Dir=V")</f>
        <v>0</v>
      </c>
      <c r="M2">
        <f>BDH("TWOUQ US Equity","BS_CUR_ASSET_REPORT","2019-05-08","2024-05-08","Per=Y","Days=T","Dir=V")</f>
        <v>0</v>
      </c>
      <c r="O2">
        <f>BDH("TWOUQ US Equity","BS_CUR_LIAB","2019-05-08","2024-05-08","Per=Y","Days=T","Dir=V")</f>
        <v>0</v>
      </c>
      <c r="Q2">
        <f>BDH("TWOUQ US Equity","BS_SHAREHOLDER_EQY_ENDING_PERIOD","2019-05-08","2024-05-08","Per=Y","Days=T","Dir=V")</f>
        <v>0</v>
      </c>
      <c r="S2">
        <f>BDH("TWOUQ US Equity","BS_ACCT_NOTE_RCV","2019-05-08","2024-05-08","Per=Y","Days=T","Dir=V")</f>
        <v>0</v>
      </c>
      <c r="U2">
        <f>BDH("TWOUQ US Equity","BS_INVENTORIES","2019-05-08","2024-05-08","Per=Y","Days=T","Dir=V")</f>
        <v>0</v>
      </c>
      <c r="W2">
        <f>BDH("TWOUQ US Equity","WORKING_CAPITAL","2019-05-08","2024-05-08","Per=Y","Days=T","Dir=V")</f>
        <v>0</v>
      </c>
      <c r="Y2">
        <f>BDH("TWOUQ US Equity","SALES_REV_TURN","2019-05-08","2024-05-08","Per=Y","Days=T","Dir=V")</f>
        <v>0</v>
      </c>
      <c r="AA2">
        <f>BDH("TWOUQ US Equity","EBIT","2019-05-08","2024-05-08","Per=Y","Days=T","Dir=V")</f>
        <v>0</v>
      </c>
      <c r="AC2">
        <f>BDH("TWOUQ US Equity","EBITDA","2019-05-08","2024-05-08","Per=Y","Days=T","Dir=V")</f>
        <v>0</v>
      </c>
      <c r="AE2">
        <f>BDH("TWOUQ US Equity","NET_INCOME","2019-05-08","2024-05-08","Per=Y","Days=T","Dir=V")</f>
        <v>0</v>
      </c>
      <c r="AG2">
        <f>BDH("TWOUQ US Equity","IS_INT_EXPENSE","2019-05-08","2024-05-08","Per=Y","Days=T","Dir=V")</f>
        <v>0</v>
      </c>
      <c r="AI2">
        <f>BDH("TWOUQ US Equity","IS_DEPR_EXP","2019-05-08","2024-05-08","Per=Y","Days=T","Dir=V")</f>
        <v>0</v>
      </c>
      <c r="AK2">
        <f>BDH("TWOUQ US Equity","CF_CASH_FROM_OPER","2019-05-08","2024-05-08","Per=Y","Days=T","Dir=V")</f>
        <v>0</v>
      </c>
      <c r="AM2">
        <f>BDH("TWOUQ US Equity","CAPITAL_EXPEND","2019-05-08","2024-05-08","Per=Y","Days=T","Dir=V")</f>
        <v>0</v>
      </c>
      <c r="AO2">
        <f>BDH("TWOUQ US Equity","CF_FREE_CASH_FLOW","2019-05-08","2024-05-08","Per=Y","Days=T","Dir=V")</f>
        <v>0</v>
      </c>
      <c r="AQ2">
        <f>BDH("TWOUQ US Equity","PX_LAST","2019-05-08","2024-05-08","Per=M","Days=T","Dir=V")</f>
        <v>0</v>
      </c>
      <c r="AS2">
        <f>BDH("TWOUQ US Equity","CUR_MKT_CAP","2019-05-08","2024-05-08","Per=M","Days=T","Dir=V")</f>
        <v>0</v>
      </c>
      <c r="AU2">
        <f>BDH("TWOUQ US Equity","EQY_SH_OUT","2019-05-08","2024-05-08","Per=M","Days=T","Dir=V")</f>
        <v>0</v>
      </c>
      <c r="AW2">
        <f>BDH("TWOUQ US Equity","BETA_RAW_OVERRIABLE","2019-05-08","2024-05-08","Per=M","Days=T","Dir=V")</f>
        <v>0</v>
      </c>
      <c r="AY2">
        <f>BDH("TWOUQ US Equity","PX_VOLUME","2019-05-08","2024-05-08","Per=M","Days=T","Dir=V")</f>
        <v>0</v>
      </c>
      <c r="BA2">
        <f>BDH("TWOUQ US Equity","TURNOVER","2019-05-08","2024-05-08","Per=M","Days=T","Dir=V")</f>
        <v>0</v>
      </c>
      <c r="BC2">
        <f>BDH("TWOUQ US Equity","SPREAD_BA_CR","2019-05-08","2024-05-08","Per=M","Days=T","Dir=V")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BDH("VBIVQ US Equity","BS_TOT_ASSET","2019-05-09","2024-05-09","Per=Y","Days=T","Dir=V")</f>
        <v>0</v>
      </c>
      <c r="C2">
        <f>BDH("VBIVQ US Equity","BS_TOT_LIAB2","2019-05-09","2024-05-09","Per=Y","Days=T","Dir=V")</f>
        <v>0</v>
      </c>
      <c r="E2">
        <f>BDH("VBIVQ US Equity","SHORT_AND_LONG_TERM_DEBT","2019-05-09","2024-05-09","Per=Y","Days=T","Dir=V")</f>
        <v>0</v>
      </c>
      <c r="G2">
        <f>BDH("VBIVQ US Equity","BS_ST_BORROW","2019-05-09","2024-05-09","Per=Y","Days=T","Dir=V")</f>
        <v>0</v>
      </c>
      <c r="I2">
        <f>BDH("VBIVQ US Equity","BS_LT_BORROW","2019-05-09","2024-05-09","Per=Y","Days=T","Dir=V")</f>
        <v>0</v>
      </c>
      <c r="K2">
        <f>BDH("VBIVQ US Equity","BS_CASH_NEAR_CASH_ITEM","2019-05-09","2024-05-09","Per=Y","Days=T","Dir=V")</f>
        <v>0</v>
      </c>
      <c r="M2">
        <f>BDH("VBIVQ US Equity","BS_CUR_ASSET_REPORT","2019-05-09","2024-05-09","Per=Y","Days=T","Dir=V")</f>
        <v>0</v>
      </c>
      <c r="O2">
        <f>BDH("VBIVQ US Equity","BS_CUR_LIAB","2019-05-09","2024-05-09","Per=Y","Days=T","Dir=V")</f>
        <v>0</v>
      </c>
      <c r="Q2">
        <f>BDH("VBIVQ US Equity","BS_SHAREHOLDER_EQY_ENDING_PERIOD","2019-05-09","2024-05-09","Per=Y","Days=T","Dir=V")</f>
        <v>0</v>
      </c>
      <c r="S2">
        <f>BDH("VBIVQ US Equity","BS_ACCT_NOTE_RCV","2019-05-09","2024-05-09","Per=Y","Days=T","Dir=V")</f>
        <v>0</v>
      </c>
      <c r="U2">
        <f>BDH("VBIVQ US Equity","BS_INVENTORIES","2019-05-09","2024-05-09","Per=Y","Days=T","Dir=V")</f>
        <v>0</v>
      </c>
      <c r="W2">
        <f>BDH("VBIVQ US Equity","WORKING_CAPITAL","2019-05-09","2024-05-09","Per=Y","Days=T","Dir=V")</f>
        <v>0</v>
      </c>
      <c r="Y2">
        <f>BDH("VBIVQ US Equity","SALES_REV_TURN","2019-05-09","2024-05-09","Per=Y","Days=T","Dir=V")</f>
        <v>0</v>
      </c>
      <c r="AA2">
        <f>BDH("VBIVQ US Equity","EBIT","2019-05-09","2024-05-09","Per=Y","Days=T","Dir=V")</f>
        <v>0</v>
      </c>
      <c r="AC2">
        <f>BDH("VBIVQ US Equity","EBITDA","2019-05-09","2024-05-09","Per=Y","Days=T","Dir=V")</f>
        <v>0</v>
      </c>
      <c r="AE2">
        <f>BDH("VBIVQ US Equity","NET_INCOME","2019-05-09","2024-05-09","Per=Y","Days=T","Dir=V")</f>
        <v>0</v>
      </c>
      <c r="AG2">
        <f>BDH("VBIVQ US Equity","IS_INT_EXPENSE","2019-05-09","2024-05-09","Per=Y","Days=T","Dir=V")</f>
        <v>0</v>
      </c>
      <c r="AI2">
        <f>BDH("VBIVQ US Equity","IS_DEPR_EXP","2019-05-09","2024-05-09","Per=Y","Days=T","Dir=V")</f>
        <v>0</v>
      </c>
      <c r="AK2">
        <f>BDH("VBIVQ US Equity","CF_CASH_FROM_OPER","2019-05-09","2024-05-09","Per=Y","Days=T","Dir=V")</f>
        <v>0</v>
      </c>
      <c r="AM2">
        <f>BDH("VBIVQ US Equity","CAPITAL_EXPEND","2019-05-09","2024-05-09","Per=Y","Days=T","Dir=V")</f>
        <v>0</v>
      </c>
      <c r="AO2">
        <f>BDH("VBIVQ US Equity","CF_FREE_CASH_FLOW","2019-05-09","2024-05-09","Per=Y","Days=T","Dir=V")</f>
        <v>0</v>
      </c>
      <c r="AQ2">
        <f>BDH("VBIVQ US Equity","PX_LAST","2019-05-09","2024-05-09","Per=M","Days=T","Dir=V")</f>
        <v>0</v>
      </c>
      <c r="AS2">
        <f>BDH("VBIVQ US Equity","CUR_MKT_CAP","2019-05-09","2024-05-09","Per=M","Days=T","Dir=V")</f>
        <v>0</v>
      </c>
      <c r="AU2">
        <f>BDH("VBIVQ US Equity","EQY_SH_OUT","2019-05-09","2024-05-09","Per=M","Days=T","Dir=V")</f>
        <v>0</v>
      </c>
      <c r="AW2">
        <f>BDH("VBIVQ US Equity","BETA_RAW_OVERRIABLE","2019-05-09","2024-05-09","Per=M","Days=T","Dir=V")</f>
        <v>0</v>
      </c>
      <c r="AY2">
        <f>BDH("VBIVQ US Equity","PX_VOLUME","2019-05-09","2024-05-09","Per=M","Days=T","Dir=V")</f>
        <v>0</v>
      </c>
      <c r="BA2">
        <f>BDH("VBIVQ US Equity","TURNOVER","2019-05-09","2024-05-09","Per=M","Days=T","Dir=V")</f>
        <v>0</v>
      </c>
      <c r="BC2">
        <f>BDH("VBIVQ US Equity","SPREAD_BA_CR","2019-05-09","2024-05-09","Per=M","Days=T","Dir=V")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BDH("LLFLQ US Equity","BS_TOT_ASSET","2019-05-11","2024-05-11","Per=Y","Days=T","Dir=V")</f>
        <v>0</v>
      </c>
      <c r="C2">
        <f>BDH("LLFLQ US Equity","BS_TOT_LIAB2","2019-05-11","2024-05-11","Per=Y","Days=T","Dir=V")</f>
        <v>0</v>
      </c>
      <c r="E2">
        <f>BDH("LLFLQ US Equity","SHORT_AND_LONG_TERM_DEBT","2019-05-11","2024-05-11","Per=Y","Days=T","Dir=V")</f>
        <v>0</v>
      </c>
      <c r="G2">
        <f>BDH("LLFLQ US Equity","BS_ST_BORROW","2019-05-11","2024-05-11","Per=Y","Days=T","Dir=V")</f>
        <v>0</v>
      </c>
      <c r="I2">
        <f>BDH("LLFLQ US Equity","BS_LT_BORROW","2019-05-11","2024-05-11","Per=Y","Days=T","Dir=V")</f>
        <v>0</v>
      </c>
      <c r="K2">
        <f>BDH("LLFLQ US Equity","BS_CASH_NEAR_CASH_ITEM","2019-05-11","2024-05-11","Per=Y","Days=T","Dir=V")</f>
        <v>0</v>
      </c>
      <c r="M2">
        <f>BDH("LLFLQ US Equity","BS_CUR_ASSET_REPORT","2019-05-11","2024-05-11","Per=Y","Days=T","Dir=V")</f>
        <v>0</v>
      </c>
      <c r="O2">
        <f>BDH("LLFLQ US Equity","BS_CUR_LIAB","2019-05-11","2024-05-11","Per=Y","Days=T","Dir=V")</f>
        <v>0</v>
      </c>
      <c r="Q2">
        <f>BDH("LLFLQ US Equity","BS_SHAREHOLDER_EQY_ENDING_PERIOD","2019-05-11","2024-05-11","Per=Y","Days=T","Dir=V")</f>
        <v>0</v>
      </c>
      <c r="S2">
        <f>BDH("LLFLQ US Equity","BS_ACCT_NOTE_RCV","2019-05-11","2024-05-11","Per=Y","Days=T","Dir=V")</f>
        <v>0</v>
      </c>
      <c r="U2">
        <f>BDH("LLFLQ US Equity","BS_INVENTORIES","2019-05-11","2024-05-11","Per=Y","Days=T","Dir=V")</f>
        <v>0</v>
      </c>
      <c r="W2">
        <f>BDH("LLFLQ US Equity","WORKING_CAPITAL","2019-05-11","2024-05-11","Per=Y","Days=T","Dir=V")</f>
        <v>0</v>
      </c>
      <c r="Y2">
        <f>BDH("LLFLQ US Equity","SALES_REV_TURN","2019-05-11","2024-05-11","Per=Y","Days=T","Dir=V")</f>
        <v>0</v>
      </c>
      <c r="AA2">
        <f>BDH("LLFLQ US Equity","EBIT","2019-05-11","2024-05-11","Per=Y","Days=T","Dir=V")</f>
        <v>0</v>
      </c>
      <c r="AC2">
        <f>BDH("LLFLQ US Equity","EBITDA","2019-05-11","2024-05-11","Per=Y","Days=T","Dir=V")</f>
        <v>0</v>
      </c>
      <c r="AE2">
        <f>BDH("LLFLQ US Equity","NET_INCOME","2019-05-11","2024-05-11","Per=Y","Days=T","Dir=V")</f>
        <v>0</v>
      </c>
      <c r="AG2">
        <f>BDH("LLFLQ US Equity","IS_INT_EXPENSE","2019-05-11","2024-05-11","Per=Y","Days=T","Dir=V")</f>
        <v>0</v>
      </c>
      <c r="AI2">
        <f>BDH("LLFLQ US Equity","IS_DEPR_EXP","2019-05-11","2024-05-11","Per=Y","Days=T","Dir=V")</f>
        <v>0</v>
      </c>
      <c r="AK2">
        <f>BDH("LLFLQ US Equity","CF_CASH_FROM_OPER","2019-05-11","2024-05-11","Per=Y","Days=T","Dir=V")</f>
        <v>0</v>
      </c>
      <c r="AM2">
        <f>BDH("LLFLQ US Equity","CAPITAL_EXPEND","2019-05-11","2024-05-11","Per=Y","Days=T","Dir=V")</f>
        <v>0</v>
      </c>
      <c r="AO2">
        <f>BDH("LLFLQ US Equity","CF_FREE_CASH_FLOW","2019-05-11","2024-05-11","Per=Y","Days=T","Dir=V")</f>
        <v>0</v>
      </c>
      <c r="AQ2">
        <f>BDH("LLFLQ US Equity","PX_LAST","2019-05-11","2024-05-11","Per=M","Days=T","Dir=V")</f>
        <v>0</v>
      </c>
      <c r="AS2">
        <f>BDH("LLFLQ US Equity","CUR_MKT_CAP","2019-05-11","2024-05-11","Per=M","Days=T","Dir=V")</f>
        <v>0</v>
      </c>
      <c r="AU2">
        <f>BDH("LLFLQ US Equity","EQY_SH_OUT","2019-05-11","2024-05-11","Per=M","Days=T","Dir=V")</f>
        <v>0</v>
      </c>
      <c r="AW2">
        <f>BDH("LLFLQ US Equity","BETA_RAW_OVERRIABLE","2019-05-11","2024-05-11","Per=M","Days=T","Dir=V")</f>
        <v>0</v>
      </c>
      <c r="AY2">
        <f>BDH("LLFLQ US Equity","PX_VOLUME","2019-05-11","2024-05-11","Per=M","Days=T","Dir=V")</f>
        <v>0</v>
      </c>
      <c r="BA2">
        <f>BDH("LLFLQ US Equity","TURNOVER","2019-05-11","2024-05-11","Per=M","Days=T","Dir=V")</f>
        <v>0</v>
      </c>
      <c r="BC2">
        <f>BDH("LLFLQ US Equity","SPREAD_BA_CR","2019-05-11","2024-05-11","Per=M","Days=T","Dir=V")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BDH("SPWRQ US Equity","BS_TOT_ASSET","2019-05-17","2024-05-17","Per=Y","Days=T","Dir=V")</f>
        <v>0</v>
      </c>
      <c r="C2">
        <f>BDH("SPWRQ US Equity","BS_TOT_LIAB2","2019-05-17","2024-05-17","Per=Y","Days=T","Dir=V")</f>
        <v>0</v>
      </c>
      <c r="E2">
        <f>BDH("SPWRQ US Equity","SHORT_AND_LONG_TERM_DEBT","2019-05-17","2024-05-17","Per=Y","Days=T","Dir=V")</f>
        <v>0</v>
      </c>
      <c r="G2">
        <f>BDH("SPWRQ US Equity","BS_ST_BORROW","2019-05-17","2024-05-17","Per=Y","Days=T","Dir=V")</f>
        <v>0</v>
      </c>
      <c r="I2">
        <f>BDH("SPWRQ US Equity","BS_LT_BORROW","2019-05-17","2024-05-17","Per=Y","Days=T","Dir=V")</f>
        <v>0</v>
      </c>
      <c r="K2">
        <f>BDH("SPWRQ US Equity","BS_CASH_NEAR_CASH_ITEM","2019-05-17","2024-05-17","Per=Y","Days=T","Dir=V")</f>
        <v>0</v>
      </c>
      <c r="M2">
        <f>BDH("SPWRQ US Equity","BS_CUR_ASSET_REPORT","2019-05-17","2024-05-17","Per=Y","Days=T","Dir=V")</f>
        <v>0</v>
      </c>
      <c r="O2">
        <f>BDH("SPWRQ US Equity","BS_CUR_LIAB","2019-05-17","2024-05-17","Per=Y","Days=T","Dir=V")</f>
        <v>0</v>
      </c>
      <c r="Q2">
        <f>BDH("SPWRQ US Equity","BS_SHAREHOLDER_EQY_ENDING_PERIOD","2019-05-17","2024-05-17","Per=Y","Days=T","Dir=V")</f>
        <v>0</v>
      </c>
      <c r="S2">
        <f>BDH("SPWRQ US Equity","BS_ACCT_NOTE_RCV","2019-05-17","2024-05-17","Per=Y","Days=T","Dir=V")</f>
        <v>0</v>
      </c>
      <c r="U2">
        <f>BDH("SPWRQ US Equity","BS_INVENTORIES","2019-05-17","2024-05-17","Per=Y","Days=T","Dir=V")</f>
        <v>0</v>
      </c>
      <c r="W2">
        <f>BDH("SPWRQ US Equity","WORKING_CAPITAL","2019-05-17","2024-05-17","Per=Y","Days=T","Dir=V")</f>
        <v>0</v>
      </c>
      <c r="Y2">
        <f>BDH("SPWRQ US Equity","SALES_REV_TURN","2019-05-17","2024-05-17","Per=Y","Days=T","Dir=V")</f>
        <v>0</v>
      </c>
      <c r="AA2">
        <f>BDH("SPWRQ US Equity","EBIT","2019-05-17","2024-05-17","Per=Y","Days=T","Dir=V")</f>
        <v>0</v>
      </c>
      <c r="AC2">
        <f>BDH("SPWRQ US Equity","EBITDA","2019-05-17","2024-05-17","Per=Y","Days=T","Dir=V")</f>
        <v>0</v>
      </c>
      <c r="AE2">
        <f>BDH("SPWRQ US Equity","NET_INCOME","2019-05-17","2024-05-17","Per=Y","Days=T","Dir=V")</f>
        <v>0</v>
      </c>
      <c r="AG2">
        <f>BDH("SPWRQ US Equity","IS_INT_EXPENSE","2019-05-17","2024-05-17","Per=Y","Days=T","Dir=V")</f>
        <v>0</v>
      </c>
      <c r="AI2">
        <f>BDH("SPWRQ US Equity","IS_DEPR_EXP","2019-05-17","2024-05-17","Per=Y","Days=T","Dir=V")</f>
        <v>0</v>
      </c>
      <c r="AK2">
        <f>BDH("SPWRQ US Equity","CF_CASH_FROM_OPER","2019-05-17","2024-05-17","Per=Y","Days=T","Dir=V")</f>
        <v>0</v>
      </c>
      <c r="AM2">
        <f>BDH("SPWRQ US Equity","CAPITAL_EXPEND","2019-05-17","2024-05-17","Per=Y","Days=T","Dir=V")</f>
        <v>0</v>
      </c>
      <c r="AO2">
        <f>BDH("SPWRQ US Equity","CF_FREE_CASH_FLOW","2019-05-17","2024-05-17","Per=Y","Days=T","Dir=V")</f>
        <v>0</v>
      </c>
      <c r="AQ2">
        <f>BDH("SPWRQ US Equity","PX_LAST","2019-05-17","2024-05-17","Per=M","Days=T","Dir=V")</f>
        <v>0</v>
      </c>
      <c r="AS2">
        <f>BDH("SPWRQ US Equity","CUR_MKT_CAP","2019-05-17","2024-05-17","Per=M","Days=T","Dir=V")</f>
        <v>0</v>
      </c>
      <c r="AU2">
        <f>BDH("SPWRQ US Equity","EQY_SH_OUT","2019-05-17","2024-05-17","Per=M","Days=T","Dir=V")</f>
        <v>0</v>
      </c>
      <c r="AW2">
        <f>BDH("SPWRQ US Equity","BETA_RAW_OVERRIABLE","2019-05-17","2024-05-17","Per=M","Days=T","Dir=V")</f>
        <v>0</v>
      </c>
      <c r="AY2">
        <f>BDH("SPWRQ US Equity","PX_VOLUME","2019-05-17","2024-05-17","Per=M","Days=T","Dir=V")</f>
        <v>0</v>
      </c>
      <c r="BA2">
        <f>BDH("SPWRQ US Equity","TURNOVER","2019-05-17","2024-05-17","Per=M","Days=T","Dir=V")</f>
        <v>0</v>
      </c>
      <c r="BC2">
        <f>BDH("SPWRQ US Equity","SPREAD_BA_CR","2019-05-17","2024-05-17","Per=M","Days=T","Dir=V")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BDH("MMATQ US Equity","BS_TOT_ASSET","2019-05-22","2024-05-22","Per=Y","Days=T","Dir=V")</f>
        <v>0</v>
      </c>
      <c r="C2">
        <f>BDH("MMATQ US Equity","BS_TOT_LIAB2","2019-05-22","2024-05-22","Per=Y","Days=T","Dir=V")</f>
        <v>0</v>
      </c>
      <c r="E2">
        <f>BDH("MMATQ US Equity","SHORT_AND_LONG_TERM_DEBT","2019-05-22","2024-05-22","Per=Y","Days=T","Dir=V")</f>
        <v>0</v>
      </c>
      <c r="G2">
        <f>BDH("MMATQ US Equity","BS_ST_BORROW","2019-05-22","2024-05-22","Per=Y","Days=T","Dir=V")</f>
        <v>0</v>
      </c>
      <c r="I2">
        <f>BDH("MMATQ US Equity","BS_LT_BORROW","2019-05-22","2024-05-22","Per=Y","Days=T","Dir=V")</f>
        <v>0</v>
      </c>
      <c r="K2">
        <f>BDH("MMATQ US Equity","BS_CASH_NEAR_CASH_ITEM","2019-05-22","2024-05-22","Per=Y","Days=T","Dir=V")</f>
        <v>0</v>
      </c>
      <c r="M2">
        <f>BDH("MMATQ US Equity","BS_CUR_ASSET_REPORT","2019-05-22","2024-05-22","Per=Y","Days=T","Dir=V")</f>
        <v>0</v>
      </c>
      <c r="O2">
        <f>BDH("MMATQ US Equity","BS_CUR_LIAB","2019-05-22","2024-05-22","Per=Y","Days=T","Dir=V")</f>
        <v>0</v>
      </c>
      <c r="Q2">
        <f>BDH("MMATQ US Equity","BS_SHAREHOLDER_EQY_ENDING_PERIOD","2019-05-22","2024-05-22","Per=Y","Days=T","Dir=V")</f>
        <v>0</v>
      </c>
      <c r="S2">
        <f>BDH("MMATQ US Equity","BS_ACCT_NOTE_RCV","2019-05-22","2024-05-22","Per=Y","Days=T","Dir=V")</f>
        <v>0</v>
      </c>
      <c r="U2">
        <f>BDH("MMATQ US Equity","BS_INVENTORIES","2019-05-22","2024-05-22","Per=Y","Days=T","Dir=V")</f>
        <v>0</v>
      </c>
      <c r="W2">
        <f>BDH("MMATQ US Equity","WORKING_CAPITAL","2019-05-22","2024-05-22","Per=Y","Days=T","Dir=V")</f>
        <v>0</v>
      </c>
      <c r="Y2">
        <f>BDH("MMATQ US Equity","SALES_REV_TURN","2019-05-22","2024-05-22","Per=Y","Days=T","Dir=V")</f>
        <v>0</v>
      </c>
      <c r="AA2">
        <f>BDH("MMATQ US Equity","EBIT","2019-05-22","2024-05-22","Per=Y","Days=T","Dir=V")</f>
        <v>0</v>
      </c>
      <c r="AC2">
        <f>BDH("MMATQ US Equity","EBITDA","2019-05-22","2024-05-22","Per=Y","Days=T","Dir=V")</f>
        <v>0</v>
      </c>
      <c r="AE2">
        <f>BDH("MMATQ US Equity","NET_INCOME","2019-05-22","2024-05-22","Per=Y","Days=T","Dir=V")</f>
        <v>0</v>
      </c>
      <c r="AG2">
        <f>BDH("MMATQ US Equity","IS_INT_EXPENSE","2019-05-22","2024-05-22","Per=Y","Days=T","Dir=V")</f>
        <v>0</v>
      </c>
      <c r="AI2">
        <f>BDH("MMATQ US Equity","IS_DEPR_EXP","2019-05-22","2024-05-22","Per=Y","Days=T","Dir=V")</f>
        <v>0</v>
      </c>
      <c r="AK2">
        <f>BDH("MMATQ US Equity","CF_CASH_FROM_OPER","2019-05-22","2024-05-22","Per=Y","Days=T","Dir=V")</f>
        <v>0</v>
      </c>
      <c r="AM2">
        <f>BDH("MMATQ US Equity","CAPITAL_EXPEND","2019-05-22","2024-05-22","Per=Y","Days=T","Dir=V")</f>
        <v>0</v>
      </c>
      <c r="AO2">
        <f>BDH("MMATQ US Equity","CF_FREE_CASH_FLOW","2019-05-22","2024-05-22","Per=Y","Days=T","Dir=V")</f>
        <v>0</v>
      </c>
      <c r="AQ2">
        <f>BDH("MMATQ US Equity","PX_LAST","2019-05-22","2024-05-22","Per=M","Days=T","Dir=V")</f>
        <v>0</v>
      </c>
      <c r="AS2">
        <f>BDH("MMATQ US Equity","CUR_MKT_CAP","2019-05-22","2024-05-22","Per=M","Days=T","Dir=V")</f>
        <v>0</v>
      </c>
      <c r="AU2">
        <f>BDH("MMATQ US Equity","EQY_SH_OUT","2019-05-22","2024-05-22","Per=M","Days=T","Dir=V")</f>
        <v>0</v>
      </c>
      <c r="AW2">
        <f>BDH("MMATQ US Equity","BETA_RAW_OVERRIABLE","2019-05-22","2024-05-22","Per=M","Days=T","Dir=V")</f>
        <v>0</v>
      </c>
      <c r="AY2">
        <f>BDH("MMATQ US Equity","PX_VOLUME","2019-05-22","2024-05-22","Per=M","Days=T","Dir=V")</f>
        <v>0</v>
      </c>
      <c r="BA2">
        <f>BDH("MMATQ US Equity","TURNOVER","2019-05-22","2024-05-22","Per=M","Days=T","Dir=V")</f>
        <v>0</v>
      </c>
      <c r="BC2">
        <f>BDH("MMATQ US Equity","SPREAD_BA_CR","2019-05-22","2024-05-22","Per=M","Days=T","Dir=V")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BDH("BIGGQ US Equity","BS_TOT_ASSET","2019-06-11","2024-06-11","Per=Y","Days=T","Dir=V")</f>
        <v>0</v>
      </c>
      <c r="C2">
        <f>BDH("BIGGQ US Equity","BS_TOT_LIAB2","2019-06-11","2024-06-11","Per=Y","Days=T","Dir=V")</f>
        <v>0</v>
      </c>
      <c r="E2">
        <f>BDH("BIGGQ US Equity","SHORT_AND_LONG_TERM_DEBT","2019-06-11","2024-06-11","Per=Y","Days=T","Dir=V")</f>
        <v>0</v>
      </c>
      <c r="G2">
        <f>BDH("BIGGQ US Equity","BS_ST_BORROW","2019-06-11","2024-06-11","Per=Y","Days=T","Dir=V")</f>
        <v>0</v>
      </c>
      <c r="I2">
        <f>BDH("BIGGQ US Equity","BS_LT_BORROW","2019-06-11","2024-06-11","Per=Y","Days=T","Dir=V")</f>
        <v>0</v>
      </c>
      <c r="K2">
        <f>BDH("BIGGQ US Equity","BS_CASH_NEAR_CASH_ITEM","2019-06-11","2024-06-11","Per=Y","Days=T","Dir=V")</f>
        <v>0</v>
      </c>
      <c r="M2">
        <f>BDH("BIGGQ US Equity","BS_CUR_ASSET_REPORT","2019-06-11","2024-06-11","Per=Y","Days=T","Dir=V")</f>
        <v>0</v>
      </c>
      <c r="O2">
        <f>BDH("BIGGQ US Equity","BS_CUR_LIAB","2019-06-11","2024-06-11","Per=Y","Days=T","Dir=V")</f>
        <v>0</v>
      </c>
      <c r="Q2">
        <f>BDH("BIGGQ US Equity","BS_SHAREHOLDER_EQY_ENDING_PERIOD","2019-06-11","2024-06-11","Per=Y","Days=T","Dir=V")</f>
        <v>0</v>
      </c>
      <c r="S2">
        <f>BDH("BIGGQ US Equity","BS_ACCT_NOTE_RCV","2019-06-11","2024-06-11","Per=Y","Days=T","Dir=V")</f>
        <v>0</v>
      </c>
      <c r="U2">
        <f>BDH("BIGGQ US Equity","BS_INVENTORIES","2019-06-11","2024-06-11","Per=Y","Days=T","Dir=V")</f>
        <v>0</v>
      </c>
      <c r="W2">
        <f>BDH("BIGGQ US Equity","WORKING_CAPITAL","2019-06-11","2024-06-11","Per=Y","Days=T","Dir=V")</f>
        <v>0</v>
      </c>
      <c r="Y2">
        <f>BDH("BIGGQ US Equity","SALES_REV_TURN","2019-06-11","2024-06-11","Per=Y","Days=T","Dir=V")</f>
        <v>0</v>
      </c>
      <c r="AA2">
        <f>BDH("BIGGQ US Equity","EBIT","2019-06-11","2024-06-11","Per=Y","Days=T","Dir=V")</f>
        <v>0</v>
      </c>
      <c r="AC2">
        <f>BDH("BIGGQ US Equity","EBITDA","2019-06-11","2024-06-11","Per=Y","Days=T","Dir=V")</f>
        <v>0</v>
      </c>
      <c r="AE2">
        <f>BDH("BIGGQ US Equity","NET_INCOME","2019-06-11","2024-06-11","Per=Y","Days=T","Dir=V")</f>
        <v>0</v>
      </c>
      <c r="AG2">
        <f>BDH("BIGGQ US Equity","IS_INT_EXPENSE","2019-06-11","2024-06-11","Per=Y","Days=T","Dir=V")</f>
        <v>0</v>
      </c>
      <c r="AI2">
        <f>BDH("BIGGQ US Equity","IS_DEPR_EXP","2019-06-11","2024-06-11","Per=Y","Days=T","Dir=V")</f>
        <v>0</v>
      </c>
      <c r="AK2">
        <f>BDH("BIGGQ US Equity","CF_CASH_FROM_OPER","2019-06-11","2024-06-11","Per=Y","Days=T","Dir=V")</f>
        <v>0</v>
      </c>
      <c r="AM2">
        <f>BDH("BIGGQ US Equity","CAPITAL_EXPEND","2019-06-11","2024-06-11","Per=Y","Days=T","Dir=V")</f>
        <v>0</v>
      </c>
      <c r="AO2">
        <f>BDH("BIGGQ US Equity","CF_FREE_CASH_FLOW","2019-06-11","2024-06-11","Per=Y","Days=T","Dir=V")</f>
        <v>0</v>
      </c>
      <c r="AQ2">
        <f>BDH("BIGGQ US Equity","PX_LAST","2019-06-11","2024-06-11","Per=M","Days=T","Dir=V")</f>
        <v>0</v>
      </c>
      <c r="AS2">
        <f>BDH("BIGGQ US Equity","CUR_MKT_CAP","2019-06-11","2024-06-11","Per=M","Days=T","Dir=V")</f>
        <v>0</v>
      </c>
      <c r="AU2">
        <f>BDH("BIGGQ US Equity","EQY_SH_OUT","2019-06-11","2024-06-11","Per=M","Days=T","Dir=V")</f>
        <v>0</v>
      </c>
      <c r="AW2">
        <f>BDH("BIGGQ US Equity","BETA_RAW_OVERRIABLE","2019-06-11","2024-06-11","Per=M","Days=T","Dir=V")</f>
        <v>0</v>
      </c>
      <c r="AY2">
        <f>BDH("BIGGQ US Equity","PX_VOLUME","2019-06-11","2024-06-11","Per=M","Days=T","Dir=V")</f>
        <v>0</v>
      </c>
      <c r="BA2">
        <f>BDH("BIGGQ US Equity","TURNOVER","2019-06-11","2024-06-11","Per=M","Days=T","Dir=V")</f>
        <v>0</v>
      </c>
      <c r="BC2">
        <f>BDH("BIGGQ US Equity","SPREAD_BA_CR","2019-06-11","2024-06-11","Per=M","Days=T","Dir=V")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BDH("TUPBQ US Equity","BS_TOT_ASSET","2019-06-19","2024-06-19","Per=Y","Days=T","Dir=V")</f>
        <v>0</v>
      </c>
      <c r="C2">
        <f>BDH("TUPBQ US Equity","BS_TOT_LIAB2","2019-06-19","2024-06-19","Per=Y","Days=T","Dir=V")</f>
        <v>0</v>
      </c>
      <c r="E2">
        <f>BDH("TUPBQ US Equity","SHORT_AND_LONG_TERM_DEBT","2019-06-19","2024-06-19","Per=Y","Days=T","Dir=V")</f>
        <v>0</v>
      </c>
      <c r="G2">
        <f>BDH("TUPBQ US Equity","BS_ST_BORROW","2019-06-19","2024-06-19","Per=Y","Days=T","Dir=V")</f>
        <v>0</v>
      </c>
      <c r="I2">
        <f>BDH("TUPBQ US Equity","BS_LT_BORROW","2019-06-19","2024-06-19","Per=Y","Days=T","Dir=V")</f>
        <v>0</v>
      </c>
      <c r="K2">
        <f>BDH("TUPBQ US Equity","BS_CASH_NEAR_CASH_ITEM","2019-06-19","2024-06-19","Per=Y","Days=T","Dir=V")</f>
        <v>0</v>
      </c>
      <c r="M2">
        <f>BDH("TUPBQ US Equity","BS_CUR_ASSET_REPORT","2019-06-19","2024-06-19","Per=Y","Days=T","Dir=V")</f>
        <v>0</v>
      </c>
      <c r="O2">
        <f>BDH("TUPBQ US Equity","BS_CUR_LIAB","2019-06-19","2024-06-19","Per=Y","Days=T","Dir=V")</f>
        <v>0</v>
      </c>
      <c r="Q2">
        <f>BDH("TUPBQ US Equity","BS_SHAREHOLDER_EQY_ENDING_PERIOD","2019-06-19","2024-06-19","Per=Y","Days=T","Dir=V")</f>
        <v>0</v>
      </c>
      <c r="S2">
        <f>BDH("TUPBQ US Equity","BS_ACCT_NOTE_RCV","2019-06-19","2024-06-19","Per=Y","Days=T","Dir=V")</f>
        <v>0</v>
      </c>
      <c r="U2">
        <f>BDH("TUPBQ US Equity","BS_INVENTORIES","2019-06-19","2024-06-19","Per=Y","Days=T","Dir=V")</f>
        <v>0</v>
      </c>
      <c r="W2">
        <f>BDH("TUPBQ US Equity","WORKING_CAPITAL","2019-06-19","2024-06-19","Per=Y","Days=T","Dir=V")</f>
        <v>0</v>
      </c>
      <c r="Y2">
        <f>BDH("TUPBQ US Equity","SALES_REV_TURN","2019-06-19","2024-06-19","Per=Y","Days=T","Dir=V")</f>
        <v>0</v>
      </c>
      <c r="AA2">
        <f>BDH("TUPBQ US Equity","EBIT","2019-06-19","2024-06-19","Per=Y","Days=T","Dir=V")</f>
        <v>0</v>
      </c>
      <c r="AC2">
        <f>BDH("TUPBQ US Equity","EBITDA","2019-06-19","2024-06-19","Per=Y","Days=T","Dir=V")</f>
        <v>0</v>
      </c>
      <c r="AE2">
        <f>BDH("TUPBQ US Equity","NET_INCOME","2019-06-19","2024-06-19","Per=Y","Days=T","Dir=V")</f>
        <v>0</v>
      </c>
      <c r="AG2">
        <f>BDH("TUPBQ US Equity","IS_INT_EXPENSE","2019-06-19","2024-06-19","Per=Y","Days=T","Dir=V")</f>
        <v>0</v>
      </c>
      <c r="AI2">
        <f>BDH("TUPBQ US Equity","IS_DEPR_EXP","2019-06-19","2024-06-19","Per=Y","Days=T","Dir=V")</f>
        <v>0</v>
      </c>
      <c r="AK2">
        <f>BDH("TUPBQ US Equity","CF_CASH_FROM_OPER","2019-06-19","2024-06-19","Per=Y","Days=T","Dir=V")</f>
        <v>0</v>
      </c>
      <c r="AM2">
        <f>BDH("TUPBQ US Equity","CAPITAL_EXPEND","2019-06-19","2024-06-19","Per=Y","Days=T","Dir=V")</f>
        <v>0</v>
      </c>
      <c r="AO2">
        <f>BDH("TUPBQ US Equity","CF_FREE_CASH_FLOW","2019-06-19","2024-06-19","Per=Y","Days=T","Dir=V")</f>
        <v>0</v>
      </c>
      <c r="AQ2">
        <f>BDH("TUPBQ US Equity","PX_LAST","2019-06-19","2024-06-19","Per=M","Days=T","Dir=V")</f>
        <v>0</v>
      </c>
      <c r="AS2">
        <f>BDH("TUPBQ US Equity","CUR_MKT_CAP","2019-06-19","2024-06-19","Per=M","Days=T","Dir=V")</f>
        <v>0</v>
      </c>
      <c r="AU2">
        <f>BDH("TUPBQ US Equity","EQY_SH_OUT","2019-06-19","2024-06-19","Per=M","Days=T","Dir=V")</f>
        <v>0</v>
      </c>
      <c r="AW2">
        <f>BDH("TUPBQ US Equity","BETA_RAW_OVERRIABLE","2019-06-19","2024-06-19","Per=M","Days=T","Dir=V")</f>
        <v>0</v>
      </c>
      <c r="AY2">
        <f>BDH("TUPBQ US Equity","PX_VOLUME","2019-06-19","2024-06-19","Per=M","Days=T","Dir=V")</f>
        <v>0</v>
      </c>
      <c r="BA2">
        <f>BDH("TUPBQ US Equity","TURNOVER","2019-06-19","2024-06-19","Per=M","Days=T","Dir=V")</f>
        <v>0</v>
      </c>
      <c r="BC2">
        <f>BDH("TUPBQ US Equity","SPREAD_BA_CR","2019-06-19","2024-06-19","Per=M","Days=T","Dir=V")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BDH("EGIOQ US Equity","BS_TOT_ASSET","2019-06-19","2024-06-19","Per=Y","Days=T","Dir=V")</f>
        <v>0</v>
      </c>
      <c r="C2">
        <f>BDH("EGIOQ US Equity","BS_TOT_LIAB2","2019-06-19","2024-06-19","Per=Y","Days=T","Dir=V")</f>
        <v>0</v>
      </c>
      <c r="E2">
        <f>BDH("EGIOQ US Equity","SHORT_AND_LONG_TERM_DEBT","2019-06-19","2024-06-19","Per=Y","Days=T","Dir=V")</f>
        <v>0</v>
      </c>
      <c r="G2">
        <f>BDH("EGIOQ US Equity","BS_ST_BORROW","2019-06-19","2024-06-19","Per=Y","Days=T","Dir=V")</f>
        <v>0</v>
      </c>
      <c r="I2">
        <f>BDH("EGIOQ US Equity","BS_LT_BORROW","2019-06-19","2024-06-19","Per=Y","Days=T","Dir=V")</f>
        <v>0</v>
      </c>
      <c r="K2">
        <f>BDH("EGIOQ US Equity","BS_CASH_NEAR_CASH_ITEM","2019-06-19","2024-06-19","Per=Y","Days=T","Dir=V")</f>
        <v>0</v>
      </c>
      <c r="M2">
        <f>BDH("EGIOQ US Equity","BS_CUR_ASSET_REPORT","2019-06-19","2024-06-19","Per=Y","Days=T","Dir=V")</f>
        <v>0</v>
      </c>
      <c r="O2">
        <f>BDH("EGIOQ US Equity","BS_CUR_LIAB","2019-06-19","2024-06-19","Per=Y","Days=T","Dir=V")</f>
        <v>0</v>
      </c>
      <c r="Q2">
        <f>BDH("EGIOQ US Equity","BS_SHAREHOLDER_EQY_ENDING_PERIOD","2019-06-19","2024-06-19","Per=Y","Days=T","Dir=V")</f>
        <v>0</v>
      </c>
      <c r="S2">
        <f>BDH("EGIOQ US Equity","BS_ACCT_NOTE_RCV","2019-06-19","2024-06-19","Per=Y","Days=T","Dir=V")</f>
        <v>0</v>
      </c>
      <c r="U2">
        <f>BDH("EGIOQ US Equity","BS_INVENTORIES","2019-06-19","2024-06-19","Per=Y","Days=T","Dir=V")</f>
        <v>0</v>
      </c>
      <c r="W2">
        <f>BDH("EGIOQ US Equity","WORKING_CAPITAL","2019-06-19","2024-06-19","Per=Y","Days=T","Dir=V")</f>
        <v>0</v>
      </c>
      <c r="Y2">
        <f>BDH("EGIOQ US Equity","SALES_REV_TURN","2019-06-19","2024-06-19","Per=Y","Days=T","Dir=V")</f>
        <v>0</v>
      </c>
      <c r="AA2">
        <f>BDH("EGIOQ US Equity","EBIT","2019-06-19","2024-06-19","Per=Y","Days=T","Dir=V")</f>
        <v>0</v>
      </c>
      <c r="AC2">
        <f>BDH("EGIOQ US Equity","EBITDA","2019-06-19","2024-06-19","Per=Y","Days=T","Dir=V")</f>
        <v>0</v>
      </c>
      <c r="AE2">
        <f>BDH("EGIOQ US Equity","NET_INCOME","2019-06-19","2024-06-19","Per=Y","Days=T","Dir=V")</f>
        <v>0</v>
      </c>
      <c r="AG2">
        <f>BDH("EGIOQ US Equity","IS_INT_EXPENSE","2019-06-19","2024-06-19","Per=Y","Days=T","Dir=V")</f>
        <v>0</v>
      </c>
      <c r="AI2">
        <f>BDH("EGIOQ US Equity","IS_DEPR_EXP","2019-06-19","2024-06-19","Per=Y","Days=T","Dir=V")</f>
        <v>0</v>
      </c>
      <c r="AK2">
        <f>BDH("EGIOQ US Equity","CF_CASH_FROM_OPER","2019-06-19","2024-06-19","Per=Y","Days=T","Dir=V")</f>
        <v>0</v>
      </c>
      <c r="AM2">
        <f>BDH("EGIOQ US Equity","CAPITAL_EXPEND","2019-06-19","2024-06-19","Per=Y","Days=T","Dir=V")</f>
        <v>0</v>
      </c>
      <c r="AO2">
        <f>BDH("EGIOQ US Equity","CF_FREE_CASH_FLOW","2019-06-19","2024-06-19","Per=Y","Days=T","Dir=V")</f>
        <v>0</v>
      </c>
      <c r="AQ2">
        <f>BDH("EGIOQ US Equity","PX_LAST","2019-06-19","2024-06-19","Per=M","Days=T","Dir=V")</f>
        <v>0</v>
      </c>
      <c r="AS2">
        <f>BDH("EGIOQ US Equity","CUR_MKT_CAP","2019-06-19","2024-06-19","Per=M","Days=T","Dir=V")</f>
        <v>0</v>
      </c>
      <c r="AU2">
        <f>BDH("EGIOQ US Equity","EQY_SH_OUT","2019-06-19","2024-06-19","Per=M","Days=T","Dir=V")</f>
        <v>0</v>
      </c>
      <c r="AW2">
        <f>BDH("EGIOQ US Equity","BETA_RAW_OVERRIABLE","2019-06-19","2024-06-19","Per=M","Days=T","Dir=V")</f>
        <v>0</v>
      </c>
      <c r="AY2">
        <f>BDH("EGIOQ US Equity","PX_VOLUME","2019-06-19","2024-06-19","Per=M","Days=T","Dir=V")</f>
        <v>0</v>
      </c>
      <c r="BA2">
        <f>BDH("EGIOQ US Equity","TURNOVER","2019-06-19","2024-06-19","Per=M","Days=T","Dir=V")</f>
        <v>0</v>
      </c>
      <c r="BC2">
        <f>BDH("EGIOQ US Equity","SPREAD_BA_CR","2019-06-19","2024-06-19","Per=M","Days=T","Dir=V")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BDH("BGXXQ US Equity","BS_TOT_ASSET","2019-06-20","2024-06-20","Per=Y","Days=T","Dir=V")</f>
        <v>0</v>
      </c>
      <c r="C2">
        <f>BDH("BGXXQ US Equity","BS_TOT_LIAB2","2019-06-20","2024-06-20","Per=Y","Days=T","Dir=V")</f>
        <v>0</v>
      </c>
      <c r="E2">
        <f>BDH("BGXXQ US Equity","SHORT_AND_LONG_TERM_DEBT","2019-06-20","2024-06-20","Per=Y","Days=T","Dir=V")</f>
        <v>0</v>
      </c>
      <c r="G2">
        <f>BDH("BGXXQ US Equity","BS_ST_BORROW","2019-06-20","2024-06-20","Per=Y","Days=T","Dir=V")</f>
        <v>0</v>
      </c>
      <c r="I2">
        <f>BDH("BGXXQ US Equity","BS_LT_BORROW","2019-06-20","2024-06-20","Per=Y","Days=T","Dir=V")</f>
        <v>0</v>
      </c>
      <c r="K2">
        <f>BDH("BGXXQ US Equity","BS_CASH_NEAR_CASH_ITEM","2019-06-20","2024-06-20","Per=Y","Days=T","Dir=V")</f>
        <v>0</v>
      </c>
      <c r="M2">
        <f>BDH("BGXXQ US Equity","BS_CUR_ASSET_REPORT","2019-06-20","2024-06-20","Per=Y","Days=T","Dir=V")</f>
        <v>0</v>
      </c>
      <c r="O2">
        <f>BDH("BGXXQ US Equity","BS_CUR_LIAB","2019-06-20","2024-06-20","Per=Y","Days=T","Dir=V")</f>
        <v>0</v>
      </c>
      <c r="Q2">
        <f>BDH("BGXXQ US Equity","BS_SHAREHOLDER_EQY_ENDING_PERIOD","2019-06-20","2024-06-20","Per=Y","Days=T","Dir=V")</f>
        <v>0</v>
      </c>
      <c r="S2">
        <f>BDH("BGXXQ US Equity","BS_ACCT_NOTE_RCV","2019-06-20","2024-06-20","Per=Y","Days=T","Dir=V")</f>
        <v>0</v>
      </c>
      <c r="U2">
        <f>BDH("BGXXQ US Equity","BS_INVENTORIES","2019-06-20","2024-06-20","Per=Y","Days=T","Dir=V")</f>
        <v>0</v>
      </c>
      <c r="W2">
        <f>BDH("BGXXQ US Equity","WORKING_CAPITAL","2019-06-20","2024-06-20","Per=Y","Days=T","Dir=V")</f>
        <v>0</v>
      </c>
      <c r="Y2">
        <f>BDH("BGXXQ US Equity","SALES_REV_TURN","2019-06-20","2024-06-20","Per=Y","Days=T","Dir=V")</f>
        <v>0</v>
      </c>
      <c r="AA2">
        <f>BDH("BGXXQ US Equity","EBIT","2019-06-20","2024-06-20","Per=Y","Days=T","Dir=V")</f>
        <v>0</v>
      </c>
      <c r="AC2">
        <f>BDH("BGXXQ US Equity","EBITDA","2019-06-20","2024-06-20","Per=Y","Days=T","Dir=V")</f>
        <v>0</v>
      </c>
      <c r="AE2">
        <f>BDH("BGXXQ US Equity","NET_INCOME","2019-06-20","2024-06-20","Per=Y","Days=T","Dir=V")</f>
        <v>0</v>
      </c>
      <c r="AG2">
        <f>BDH("BGXXQ US Equity","IS_INT_EXPENSE","2019-06-20","2024-06-20","Per=Y","Days=T","Dir=V")</f>
        <v>0</v>
      </c>
      <c r="AI2">
        <f>BDH("BGXXQ US Equity","IS_DEPR_EXP","2019-06-20","2024-06-20","Per=Y","Days=T","Dir=V")</f>
        <v>0</v>
      </c>
      <c r="AK2">
        <f>BDH("BGXXQ US Equity","CF_CASH_FROM_OPER","2019-06-20","2024-06-20","Per=Y","Days=T","Dir=V")</f>
        <v>0</v>
      </c>
      <c r="AM2">
        <f>BDH("BGXXQ US Equity","CAPITAL_EXPEND","2019-06-20","2024-06-20","Per=Y","Days=T","Dir=V")</f>
        <v>0</v>
      </c>
      <c r="AO2">
        <f>BDH("BGXXQ US Equity","CF_FREE_CASH_FLOW","2019-06-20","2024-06-20","Per=Y","Days=T","Dir=V")</f>
        <v>0</v>
      </c>
      <c r="AQ2">
        <f>BDH("BGXXQ US Equity","PX_LAST","2019-06-20","2024-06-20","Per=M","Days=T","Dir=V")</f>
        <v>0</v>
      </c>
      <c r="AS2">
        <f>BDH("BGXXQ US Equity","CUR_MKT_CAP","2019-06-20","2024-06-20","Per=M","Days=T","Dir=V")</f>
        <v>0</v>
      </c>
      <c r="AU2">
        <f>BDH("BGXXQ US Equity","EQY_SH_OUT","2019-06-20","2024-06-20","Per=M","Days=T","Dir=V")</f>
        <v>0</v>
      </c>
      <c r="AW2">
        <f>BDH("BGXXQ US Equity","BETA_RAW_OVERRIABLE","2019-06-20","2024-06-20","Per=M","Days=T","Dir=V")</f>
        <v>0</v>
      </c>
      <c r="AY2">
        <f>BDH("BGXXQ US Equity","PX_VOLUME","2019-06-20","2024-06-20","Per=M","Days=T","Dir=V")</f>
        <v>0</v>
      </c>
      <c r="BA2">
        <f>BDH("BGXXQ US Equity","TURNOVER","2019-06-20","2024-06-20","Per=M","Days=T","Dir=V")</f>
        <v>0</v>
      </c>
      <c r="BC2">
        <f>BDH("BGXXQ US Equity","SPREAD_BA_CR","2019-06-20","2024-06-20","Per=M","Days=T","Dir=V")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BDH("SMFL US Equity","BS_TOT_ASSET","2019-06-20","2024-06-20","Per=Y","Days=T","Dir=V")</f>
        <v>0</v>
      </c>
      <c r="C2">
        <f>BDH("SMFL US Equity","BS_TOT_LIAB2","2019-06-20","2024-06-20","Per=Y","Days=T","Dir=V")</f>
        <v>0</v>
      </c>
      <c r="E2">
        <f>BDH("SMFL US Equity","SHORT_AND_LONG_TERM_DEBT","2019-06-20","2024-06-20","Per=Y","Days=T","Dir=V")</f>
        <v>0</v>
      </c>
      <c r="G2">
        <f>BDH("SMFL US Equity","BS_ST_BORROW","2019-06-20","2024-06-20","Per=Y","Days=T","Dir=V")</f>
        <v>0</v>
      </c>
      <c r="I2">
        <f>BDH("SMFL US Equity","BS_LT_BORROW","2019-06-20","2024-06-20","Per=Y","Days=T","Dir=V")</f>
        <v>0</v>
      </c>
      <c r="K2">
        <f>BDH("SMFL US Equity","BS_CASH_NEAR_CASH_ITEM","2019-06-20","2024-06-20","Per=Y","Days=T","Dir=V")</f>
        <v>0</v>
      </c>
      <c r="M2">
        <f>BDH("SMFL US Equity","BS_CUR_ASSET_REPORT","2019-06-20","2024-06-20","Per=Y","Days=T","Dir=V")</f>
        <v>0</v>
      </c>
      <c r="O2">
        <f>BDH("SMFL US Equity","BS_CUR_LIAB","2019-06-20","2024-06-20","Per=Y","Days=T","Dir=V")</f>
        <v>0</v>
      </c>
      <c r="Q2">
        <f>BDH("SMFL US Equity","BS_SHAREHOLDER_EQY_ENDING_PERIOD","2019-06-20","2024-06-20","Per=Y","Days=T","Dir=V")</f>
        <v>0</v>
      </c>
      <c r="S2">
        <f>BDH("SMFL US Equity","BS_ACCT_NOTE_RCV","2019-06-20","2024-06-20","Per=Y","Days=T","Dir=V")</f>
        <v>0</v>
      </c>
      <c r="U2">
        <f>BDH("SMFL US Equity","BS_INVENTORIES","2019-06-20","2024-06-20","Per=Y","Days=T","Dir=V")</f>
        <v>0</v>
      </c>
      <c r="W2">
        <f>BDH("SMFL US Equity","WORKING_CAPITAL","2019-06-20","2024-06-20","Per=Y","Days=T","Dir=V")</f>
        <v>0</v>
      </c>
      <c r="Y2">
        <f>BDH("SMFL US Equity","SALES_REV_TURN","2019-06-20","2024-06-20","Per=Y","Days=T","Dir=V")</f>
        <v>0</v>
      </c>
      <c r="AA2">
        <f>BDH("SMFL US Equity","EBIT","2019-06-20","2024-06-20","Per=Y","Days=T","Dir=V")</f>
        <v>0</v>
      </c>
      <c r="AC2">
        <f>BDH("SMFL US Equity","EBITDA","2019-06-20","2024-06-20","Per=Y","Days=T","Dir=V")</f>
        <v>0</v>
      </c>
      <c r="AE2">
        <f>BDH("SMFL US Equity","NET_INCOME","2019-06-20","2024-06-20","Per=Y","Days=T","Dir=V")</f>
        <v>0</v>
      </c>
      <c r="AG2">
        <f>BDH("SMFL US Equity","IS_INT_EXPENSE","2019-06-20","2024-06-20","Per=Y","Days=T","Dir=V")</f>
        <v>0</v>
      </c>
      <c r="AI2">
        <f>BDH("SMFL US Equity","IS_DEPR_EXP","2019-06-20","2024-06-20","Per=Y","Days=T","Dir=V")</f>
        <v>0</v>
      </c>
      <c r="AK2">
        <f>BDH("SMFL US Equity","CF_CASH_FROM_OPER","2019-06-20","2024-06-20","Per=Y","Days=T","Dir=V")</f>
        <v>0</v>
      </c>
      <c r="AM2">
        <f>BDH("SMFL US Equity","CAPITAL_EXPEND","2019-06-20","2024-06-20","Per=Y","Days=T","Dir=V")</f>
        <v>0</v>
      </c>
      <c r="AO2">
        <f>BDH("SMFL US Equity","CF_FREE_CASH_FLOW","2019-06-20","2024-06-20","Per=Y","Days=T","Dir=V")</f>
        <v>0</v>
      </c>
      <c r="AQ2">
        <f>BDH("SMFL US Equity","PX_LAST","2019-06-20","2024-06-20","Per=M","Days=T","Dir=V")</f>
        <v>0</v>
      </c>
      <c r="AS2">
        <f>BDH("SMFL US Equity","CUR_MKT_CAP","2019-06-20","2024-06-20","Per=M","Days=T","Dir=V")</f>
        <v>0</v>
      </c>
      <c r="AU2">
        <f>BDH("SMFL US Equity","EQY_SH_OUT","2019-06-20","2024-06-20","Per=M","Days=T","Dir=V")</f>
        <v>0</v>
      </c>
      <c r="AW2">
        <f>BDH("SMFL US Equity","BETA_RAW_OVERRIABLE","2019-06-20","2024-06-20","Per=M","Days=T","Dir=V")</f>
        <v>0</v>
      </c>
      <c r="AY2">
        <f>BDH("SMFL US Equity","PX_VOLUME","2019-06-20","2024-06-20","Per=M","Days=T","Dir=V")</f>
        <v>0</v>
      </c>
      <c r="BA2">
        <f>BDH("SMFL US Equity","TURNOVER","2019-06-20","2024-06-20","Per=M","Days=T","Dir=V")</f>
        <v>0</v>
      </c>
      <c r="BC2">
        <f>BDH("SMFL US Equity","SPREAD_BA_CR","2019-06-20","2024-06-20","Per=M","Days=T","Dir=V")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BDH("BFICQ US Equity","BS_TOT_ASSET","2019-06-22","2024-06-22","Per=Y","Days=T","Dir=V")</f>
        <v>0</v>
      </c>
      <c r="C2">
        <f>BDH("BFICQ US Equity","BS_TOT_LIAB2","2019-06-22","2024-06-22","Per=Y","Days=T","Dir=V")</f>
        <v>0</v>
      </c>
      <c r="E2">
        <f>BDH("BFICQ US Equity","SHORT_AND_LONG_TERM_DEBT","2019-06-22","2024-06-22","Per=Y","Days=T","Dir=V")</f>
        <v>0</v>
      </c>
      <c r="G2">
        <f>BDH("BFICQ US Equity","BS_ST_BORROW","2019-06-22","2024-06-22","Per=Y","Days=T","Dir=V")</f>
        <v>0</v>
      </c>
      <c r="I2">
        <f>BDH("BFICQ US Equity","BS_LT_BORROW","2019-06-22","2024-06-22","Per=Y","Days=T","Dir=V")</f>
        <v>0</v>
      </c>
      <c r="K2">
        <f>BDH("BFICQ US Equity","BS_CASH_NEAR_CASH_ITEM","2019-06-22","2024-06-22","Per=Y","Days=T","Dir=V")</f>
        <v>0</v>
      </c>
      <c r="M2">
        <f>BDH("BFICQ US Equity","BS_CUR_ASSET_REPORT","2019-06-22","2024-06-22","Per=Y","Days=T","Dir=V")</f>
        <v>0</v>
      </c>
      <c r="O2">
        <f>BDH("BFICQ US Equity","BS_CUR_LIAB","2019-06-22","2024-06-22","Per=Y","Days=T","Dir=V")</f>
        <v>0</v>
      </c>
      <c r="Q2">
        <f>BDH("BFICQ US Equity","BS_SHAREHOLDER_EQY_ENDING_PERIOD","2019-06-22","2024-06-22","Per=Y","Days=T","Dir=V")</f>
        <v>0</v>
      </c>
      <c r="S2">
        <f>BDH("BFICQ US Equity","BS_ACCT_NOTE_RCV","2019-06-22","2024-06-22","Per=Y","Days=T","Dir=V")</f>
        <v>0</v>
      </c>
      <c r="U2">
        <f>BDH("BFICQ US Equity","BS_INVENTORIES","2019-06-22","2024-06-22","Per=Y","Days=T","Dir=V")</f>
        <v>0</v>
      </c>
      <c r="W2">
        <f>BDH("BFICQ US Equity","WORKING_CAPITAL","2019-06-22","2024-06-22","Per=Y","Days=T","Dir=V")</f>
        <v>0</v>
      </c>
      <c r="Y2">
        <f>BDH("BFICQ US Equity","SALES_REV_TURN","2019-06-22","2024-06-22","Per=Y","Days=T","Dir=V")</f>
        <v>0</v>
      </c>
      <c r="AA2">
        <f>BDH("BFICQ US Equity","EBIT","2019-06-22","2024-06-22","Per=Y","Days=T","Dir=V")</f>
        <v>0</v>
      </c>
      <c r="AC2">
        <f>BDH("BFICQ US Equity","EBITDA","2019-06-22","2024-06-22","Per=Y","Days=T","Dir=V")</f>
        <v>0</v>
      </c>
      <c r="AE2">
        <f>BDH("BFICQ US Equity","NET_INCOME","2019-06-22","2024-06-22","Per=Y","Days=T","Dir=V")</f>
        <v>0</v>
      </c>
      <c r="AG2">
        <f>BDH("BFICQ US Equity","IS_INT_EXPENSE","2019-06-22","2024-06-22","Per=Y","Days=T","Dir=V")</f>
        <v>0</v>
      </c>
      <c r="AI2">
        <f>BDH("BFICQ US Equity","IS_DEPR_EXP","2019-06-22","2024-06-22","Per=Y","Days=T","Dir=V")</f>
        <v>0</v>
      </c>
      <c r="AK2">
        <f>BDH("BFICQ US Equity","CF_CASH_FROM_OPER","2019-06-22","2024-06-22","Per=Y","Days=T","Dir=V")</f>
        <v>0</v>
      </c>
      <c r="AM2">
        <f>BDH("BFICQ US Equity","CAPITAL_EXPEND","2019-06-22","2024-06-22","Per=Y","Days=T","Dir=V")</f>
        <v>0</v>
      </c>
      <c r="AO2">
        <f>BDH("BFICQ US Equity","CF_FREE_CASH_FLOW","2019-06-22","2024-06-22","Per=Y","Days=T","Dir=V")</f>
        <v>0</v>
      </c>
      <c r="AQ2">
        <f>BDH("BFICQ US Equity","PX_LAST","2019-06-22","2024-06-22","Per=M","Days=T","Dir=V")</f>
        <v>0</v>
      </c>
      <c r="AS2">
        <f>BDH("BFICQ US Equity","CUR_MKT_CAP","2019-06-22","2024-06-22","Per=M","Days=T","Dir=V")</f>
        <v>0</v>
      </c>
      <c r="AU2">
        <f>BDH("BFICQ US Equity","EQY_SH_OUT","2019-06-22","2024-06-22","Per=M","Days=T","Dir=V")</f>
        <v>0</v>
      </c>
      <c r="AW2">
        <f>BDH("BFICQ US Equity","BETA_RAW_OVERRIABLE","2019-06-22","2024-06-22","Per=M","Days=T","Dir=V")</f>
        <v>0</v>
      </c>
      <c r="AY2">
        <f>BDH("BFICQ US Equity","PX_VOLUME","2019-06-22","2024-06-22","Per=M","Days=T","Dir=V")</f>
        <v>0</v>
      </c>
      <c r="BA2">
        <f>BDH("BFICQ US Equity","TURNOVER","2019-06-22","2024-06-22","Per=M","Days=T","Dir=V")</f>
        <v>0</v>
      </c>
      <c r="BC2">
        <f>BDH("BFICQ US Equity","SPREAD_BA_CR","2019-06-22","2024-06-22","Per=M","Days=T","Dir=V")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BDH("EVVAQ US Equity","BS_TOT_ASSET","2019-07-05","2024-07-05","Per=Y","Days=T","Dir=V")</f>
        <v>0</v>
      </c>
      <c r="C2">
        <f>BDH("EVVAQ US Equity","BS_TOT_LIAB2","2019-07-05","2024-07-05","Per=Y","Days=T","Dir=V")</f>
        <v>0</v>
      </c>
      <c r="E2">
        <f>BDH("EVVAQ US Equity","SHORT_AND_LONG_TERM_DEBT","2019-07-05","2024-07-05","Per=Y","Days=T","Dir=V")</f>
        <v>0</v>
      </c>
      <c r="G2">
        <f>BDH("EVVAQ US Equity","BS_ST_BORROW","2019-07-05","2024-07-05","Per=Y","Days=T","Dir=V")</f>
        <v>0</v>
      </c>
      <c r="I2">
        <f>BDH("EVVAQ US Equity","BS_LT_BORROW","2019-07-05","2024-07-05","Per=Y","Days=T","Dir=V")</f>
        <v>0</v>
      </c>
      <c r="K2">
        <f>BDH("EVVAQ US Equity","BS_CASH_NEAR_CASH_ITEM","2019-07-05","2024-07-05","Per=Y","Days=T","Dir=V")</f>
        <v>0</v>
      </c>
      <c r="M2">
        <f>BDH("EVVAQ US Equity","BS_CUR_ASSET_REPORT","2019-07-05","2024-07-05","Per=Y","Days=T","Dir=V")</f>
        <v>0</v>
      </c>
      <c r="O2">
        <f>BDH("EVVAQ US Equity","BS_CUR_LIAB","2019-07-05","2024-07-05","Per=Y","Days=T","Dir=V")</f>
        <v>0</v>
      </c>
      <c r="Q2">
        <f>BDH("EVVAQ US Equity","BS_SHAREHOLDER_EQY_ENDING_PERIOD","2019-07-05","2024-07-05","Per=Y","Days=T","Dir=V")</f>
        <v>0</v>
      </c>
      <c r="S2">
        <f>BDH("EVVAQ US Equity","BS_ACCT_NOTE_RCV","2019-07-05","2024-07-05","Per=Y","Days=T","Dir=V")</f>
        <v>0</v>
      </c>
      <c r="U2">
        <f>BDH("EVVAQ US Equity","BS_INVENTORIES","2019-07-05","2024-07-05","Per=Y","Days=T","Dir=V")</f>
        <v>0</v>
      </c>
      <c r="W2">
        <f>BDH("EVVAQ US Equity","WORKING_CAPITAL","2019-07-05","2024-07-05","Per=Y","Days=T","Dir=V")</f>
        <v>0</v>
      </c>
      <c r="Y2">
        <f>BDH("EVVAQ US Equity","SALES_REV_TURN","2019-07-05","2024-07-05","Per=Y","Days=T","Dir=V")</f>
        <v>0</v>
      </c>
      <c r="AA2">
        <f>BDH("EVVAQ US Equity","EBIT","2019-07-05","2024-07-05","Per=Y","Days=T","Dir=V")</f>
        <v>0</v>
      </c>
      <c r="AC2">
        <f>BDH("EVVAQ US Equity","EBITDA","2019-07-05","2024-07-05","Per=Y","Days=T","Dir=V")</f>
        <v>0</v>
      </c>
      <c r="AE2">
        <f>BDH("EVVAQ US Equity","NET_INCOME","2019-07-05","2024-07-05","Per=Y","Days=T","Dir=V")</f>
        <v>0</v>
      </c>
      <c r="AG2">
        <f>BDH("EVVAQ US Equity","IS_INT_EXPENSE","2019-07-05","2024-07-05","Per=Y","Days=T","Dir=V")</f>
        <v>0</v>
      </c>
      <c r="AI2">
        <f>BDH("EVVAQ US Equity","IS_DEPR_EXP","2019-07-05","2024-07-05","Per=Y","Days=T","Dir=V")</f>
        <v>0</v>
      </c>
      <c r="AK2">
        <f>BDH("EVVAQ US Equity","CF_CASH_FROM_OPER","2019-07-05","2024-07-05","Per=Y","Days=T","Dir=V")</f>
        <v>0</v>
      </c>
      <c r="AM2">
        <f>BDH("EVVAQ US Equity","CAPITAL_EXPEND","2019-07-05","2024-07-05","Per=Y","Days=T","Dir=V")</f>
        <v>0</v>
      </c>
      <c r="AO2">
        <f>BDH("EVVAQ US Equity","CF_FREE_CASH_FLOW","2019-07-05","2024-07-05","Per=Y","Days=T","Dir=V")</f>
        <v>0</v>
      </c>
      <c r="AQ2">
        <f>BDH("EVVAQ US Equity","PX_LAST","2019-07-05","2024-07-05","Per=M","Days=T","Dir=V")</f>
        <v>0</v>
      </c>
      <c r="AS2">
        <f>BDH("EVVAQ US Equity","CUR_MKT_CAP","2019-07-05","2024-07-05","Per=M","Days=T","Dir=V")</f>
        <v>0</v>
      </c>
      <c r="AU2">
        <f>BDH("EVVAQ US Equity","EQY_SH_OUT","2019-07-05","2024-07-05","Per=M","Days=T","Dir=V")</f>
        <v>0</v>
      </c>
      <c r="AW2">
        <f>BDH("EVVAQ US Equity","BETA_RAW_OVERRIABLE","2019-07-05","2024-07-05","Per=M","Days=T","Dir=V")</f>
        <v>0</v>
      </c>
      <c r="AY2">
        <f>BDH("EVVAQ US Equity","PX_VOLUME","2019-07-05","2024-07-05","Per=M","Days=T","Dir=V")</f>
        <v>0</v>
      </c>
      <c r="BA2">
        <f>BDH("EVVAQ US Equity","TURNOVER","2019-07-05","2024-07-05","Per=M","Days=T","Dir=V")</f>
        <v>0</v>
      </c>
      <c r="BC2">
        <f>BDH("EVVAQ US Equity","SPREAD_BA_CR","2019-07-05","2024-07-05","Per=M","Days=T","Dir=V")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BDH("VTNRQ US Equity","BS_TOT_ASSET","2019-07-09","2024-07-09","Per=Y","Days=T","Dir=V")</f>
        <v>0</v>
      </c>
      <c r="C2">
        <f>BDH("VTNRQ US Equity","BS_TOT_LIAB2","2019-07-09","2024-07-09","Per=Y","Days=T","Dir=V")</f>
        <v>0</v>
      </c>
      <c r="E2">
        <f>BDH("VTNRQ US Equity","SHORT_AND_LONG_TERM_DEBT","2019-07-09","2024-07-09","Per=Y","Days=T","Dir=V")</f>
        <v>0</v>
      </c>
      <c r="G2">
        <f>BDH("VTNRQ US Equity","BS_ST_BORROW","2019-07-09","2024-07-09","Per=Y","Days=T","Dir=V")</f>
        <v>0</v>
      </c>
      <c r="I2">
        <f>BDH("VTNRQ US Equity","BS_LT_BORROW","2019-07-09","2024-07-09","Per=Y","Days=T","Dir=V")</f>
        <v>0</v>
      </c>
      <c r="K2">
        <f>BDH("VTNRQ US Equity","BS_CASH_NEAR_CASH_ITEM","2019-07-09","2024-07-09","Per=Y","Days=T","Dir=V")</f>
        <v>0</v>
      </c>
      <c r="M2">
        <f>BDH("VTNRQ US Equity","BS_CUR_ASSET_REPORT","2019-07-09","2024-07-09","Per=Y","Days=T","Dir=V")</f>
        <v>0</v>
      </c>
      <c r="O2">
        <f>BDH("VTNRQ US Equity","BS_CUR_LIAB","2019-07-09","2024-07-09","Per=Y","Days=T","Dir=V")</f>
        <v>0</v>
      </c>
      <c r="Q2">
        <f>BDH("VTNRQ US Equity","BS_SHAREHOLDER_EQY_ENDING_PERIOD","2019-07-09","2024-07-09","Per=Y","Days=T","Dir=V")</f>
        <v>0</v>
      </c>
      <c r="S2">
        <f>BDH("VTNRQ US Equity","BS_ACCT_NOTE_RCV","2019-07-09","2024-07-09","Per=Y","Days=T","Dir=V")</f>
        <v>0</v>
      </c>
      <c r="U2">
        <f>BDH("VTNRQ US Equity","BS_INVENTORIES","2019-07-09","2024-07-09","Per=Y","Days=T","Dir=V")</f>
        <v>0</v>
      </c>
      <c r="W2">
        <f>BDH("VTNRQ US Equity","WORKING_CAPITAL","2019-07-09","2024-07-09","Per=Y","Days=T","Dir=V")</f>
        <v>0</v>
      </c>
      <c r="Y2">
        <f>BDH("VTNRQ US Equity","SALES_REV_TURN","2019-07-09","2024-07-09","Per=Y","Days=T","Dir=V")</f>
        <v>0</v>
      </c>
      <c r="AA2">
        <f>BDH("VTNRQ US Equity","EBIT","2019-07-09","2024-07-09","Per=Y","Days=T","Dir=V")</f>
        <v>0</v>
      </c>
      <c r="AC2">
        <f>BDH("VTNRQ US Equity","EBITDA","2019-07-09","2024-07-09","Per=Y","Days=T","Dir=V")</f>
        <v>0</v>
      </c>
      <c r="AE2">
        <f>BDH("VTNRQ US Equity","NET_INCOME","2019-07-09","2024-07-09","Per=Y","Days=T","Dir=V")</f>
        <v>0</v>
      </c>
      <c r="AG2">
        <f>BDH("VTNRQ US Equity","IS_INT_EXPENSE","2019-07-09","2024-07-09","Per=Y","Days=T","Dir=V")</f>
        <v>0</v>
      </c>
      <c r="AI2">
        <f>BDH("VTNRQ US Equity","IS_DEPR_EXP","2019-07-09","2024-07-09","Per=Y","Days=T","Dir=V")</f>
        <v>0</v>
      </c>
      <c r="AK2">
        <f>BDH("VTNRQ US Equity","CF_CASH_FROM_OPER","2019-07-09","2024-07-09","Per=Y","Days=T","Dir=V")</f>
        <v>0</v>
      </c>
      <c r="AM2">
        <f>BDH("VTNRQ US Equity","CAPITAL_EXPEND","2019-07-09","2024-07-09","Per=Y","Days=T","Dir=V")</f>
        <v>0</v>
      </c>
      <c r="AO2">
        <f>BDH("VTNRQ US Equity","CF_FREE_CASH_FLOW","2019-07-09","2024-07-09","Per=Y","Days=T","Dir=V")</f>
        <v>0</v>
      </c>
      <c r="AQ2">
        <f>BDH("VTNRQ US Equity","PX_LAST","2019-07-09","2024-07-09","Per=M","Days=T","Dir=V")</f>
        <v>0</v>
      </c>
      <c r="AS2">
        <f>BDH("VTNRQ US Equity","CUR_MKT_CAP","2019-07-09","2024-07-09","Per=M","Days=T","Dir=V")</f>
        <v>0</v>
      </c>
      <c r="AU2">
        <f>BDH("VTNRQ US Equity","EQY_SH_OUT","2019-07-09","2024-07-09","Per=M","Days=T","Dir=V")</f>
        <v>0</v>
      </c>
      <c r="AW2">
        <f>BDH("VTNRQ US Equity","BETA_RAW_OVERRIABLE","2019-07-09","2024-07-09","Per=M","Days=T","Dir=V")</f>
        <v>0</v>
      </c>
      <c r="AY2">
        <f>BDH("VTNRQ US Equity","PX_VOLUME","2019-07-09","2024-07-09","Per=M","Days=T","Dir=V")</f>
        <v>0</v>
      </c>
      <c r="BA2">
        <f>BDH("VTNRQ US Equity","TURNOVER","2019-07-09","2024-07-09","Per=M","Days=T","Dir=V")</f>
        <v>0</v>
      </c>
      <c r="BC2">
        <f>BDH("VTNRQ US Equity","SPREAD_BA_CR","2019-07-09","2024-07-09","Per=M","Days=T","Dir=V")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BDH("GRTSQ US Equity","BS_TOT_ASSET","2019-07-23","2024-07-23","Per=Y","Days=T","Dir=V")</f>
        <v>0</v>
      </c>
      <c r="C2">
        <f>BDH("GRTSQ US Equity","BS_TOT_LIAB2","2019-07-23","2024-07-23","Per=Y","Days=T","Dir=V")</f>
        <v>0</v>
      </c>
      <c r="E2">
        <f>BDH("GRTSQ US Equity","SHORT_AND_LONG_TERM_DEBT","2019-07-23","2024-07-23","Per=Y","Days=T","Dir=V")</f>
        <v>0</v>
      </c>
      <c r="G2">
        <f>BDH("GRTSQ US Equity","BS_ST_BORROW","2019-07-23","2024-07-23","Per=Y","Days=T","Dir=V")</f>
        <v>0</v>
      </c>
      <c r="I2">
        <f>BDH("GRTSQ US Equity","BS_LT_BORROW","2019-07-23","2024-07-23","Per=Y","Days=T","Dir=V")</f>
        <v>0</v>
      </c>
      <c r="K2">
        <f>BDH("GRTSQ US Equity","BS_CASH_NEAR_CASH_ITEM","2019-07-23","2024-07-23","Per=Y","Days=T","Dir=V")</f>
        <v>0</v>
      </c>
      <c r="M2">
        <f>BDH("GRTSQ US Equity","BS_CUR_ASSET_REPORT","2019-07-23","2024-07-23","Per=Y","Days=T","Dir=V")</f>
        <v>0</v>
      </c>
      <c r="O2">
        <f>BDH("GRTSQ US Equity","BS_CUR_LIAB","2019-07-23","2024-07-23","Per=Y","Days=T","Dir=V")</f>
        <v>0</v>
      </c>
      <c r="Q2">
        <f>BDH("GRTSQ US Equity","BS_SHAREHOLDER_EQY_ENDING_PERIOD","2019-07-23","2024-07-23","Per=Y","Days=T","Dir=V")</f>
        <v>0</v>
      </c>
      <c r="S2">
        <f>BDH("GRTSQ US Equity","BS_ACCT_NOTE_RCV","2019-07-23","2024-07-23","Per=Y","Days=T","Dir=V")</f>
        <v>0</v>
      </c>
      <c r="U2">
        <f>BDH("GRTSQ US Equity","BS_INVENTORIES","2019-07-23","2024-07-23","Per=Y","Days=T","Dir=V")</f>
        <v>0</v>
      </c>
      <c r="W2">
        <f>BDH("GRTSQ US Equity","WORKING_CAPITAL","2019-07-23","2024-07-23","Per=Y","Days=T","Dir=V")</f>
        <v>0</v>
      </c>
      <c r="Y2">
        <f>BDH("GRTSQ US Equity","SALES_REV_TURN","2019-07-23","2024-07-23","Per=Y","Days=T","Dir=V")</f>
        <v>0</v>
      </c>
      <c r="AA2">
        <f>BDH("GRTSQ US Equity","EBIT","2019-07-23","2024-07-23","Per=Y","Days=T","Dir=V")</f>
        <v>0</v>
      </c>
      <c r="AC2">
        <f>BDH("GRTSQ US Equity","EBITDA","2019-07-23","2024-07-23","Per=Y","Days=T","Dir=V")</f>
        <v>0</v>
      </c>
      <c r="AE2">
        <f>BDH("GRTSQ US Equity","NET_INCOME","2019-07-23","2024-07-23","Per=Y","Days=T","Dir=V")</f>
        <v>0</v>
      </c>
      <c r="AG2">
        <f>BDH("GRTSQ US Equity","IS_INT_EXPENSE","2019-07-23","2024-07-23","Per=Y","Days=T","Dir=V")</f>
        <v>0</v>
      </c>
      <c r="AI2">
        <f>BDH("GRTSQ US Equity","IS_DEPR_EXP","2019-07-23","2024-07-23","Per=Y","Days=T","Dir=V")</f>
        <v>0</v>
      </c>
      <c r="AK2">
        <f>BDH("GRTSQ US Equity","CF_CASH_FROM_OPER","2019-07-23","2024-07-23","Per=Y","Days=T","Dir=V")</f>
        <v>0</v>
      </c>
      <c r="AM2">
        <f>BDH("GRTSQ US Equity","CAPITAL_EXPEND","2019-07-23","2024-07-23","Per=Y","Days=T","Dir=V")</f>
        <v>0</v>
      </c>
      <c r="AO2">
        <f>BDH("GRTSQ US Equity","CF_FREE_CASH_FLOW","2019-07-23","2024-07-23","Per=Y","Days=T","Dir=V")</f>
        <v>0</v>
      </c>
      <c r="AQ2">
        <f>BDH("GRTSQ US Equity","PX_LAST","2019-07-23","2024-07-23","Per=M","Days=T","Dir=V")</f>
        <v>0</v>
      </c>
      <c r="AS2">
        <f>BDH("GRTSQ US Equity","CUR_MKT_CAP","2019-07-23","2024-07-23","Per=M","Days=T","Dir=V")</f>
        <v>0</v>
      </c>
      <c r="AU2">
        <f>BDH("GRTSQ US Equity","EQY_SH_OUT","2019-07-23","2024-07-23","Per=M","Days=T","Dir=V")</f>
        <v>0</v>
      </c>
      <c r="AW2">
        <f>BDH("GRTSQ US Equity","BETA_RAW_OVERRIABLE","2019-07-23","2024-07-23","Per=M","Days=T","Dir=V")</f>
        <v>0</v>
      </c>
      <c r="AY2">
        <f>BDH("GRTSQ US Equity","PX_VOLUME","2019-07-23","2024-07-23","Per=M","Days=T","Dir=V")</f>
        <v>0</v>
      </c>
      <c r="BA2">
        <f>BDH("GRTSQ US Equity","TURNOVER","2019-07-23","2024-07-23","Per=M","Days=T","Dir=V")</f>
        <v>0</v>
      </c>
      <c r="BC2">
        <f>BDH("GRTSQ US Equity","SPREAD_BA_CR","2019-07-23","2024-07-23","Per=M","Days=T","Dir=V")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BDH("VEVMQ US Equity","BS_TOT_ASSET","2019-08-01","2024-08-01","Per=Y","Days=T","Dir=V")</f>
        <v>0</v>
      </c>
      <c r="C2">
        <f>BDH("VEVMQ US Equity","BS_TOT_LIAB2","2019-08-01","2024-08-01","Per=Y","Days=T","Dir=V")</f>
        <v>0</v>
      </c>
      <c r="E2">
        <f>BDH("VEVMQ US Equity","SHORT_AND_LONG_TERM_DEBT","2019-08-01","2024-08-01","Per=Y","Days=T","Dir=V")</f>
        <v>0</v>
      </c>
      <c r="G2">
        <f>BDH("VEVMQ US Equity","BS_ST_BORROW","2019-08-01","2024-08-01","Per=Y","Days=T","Dir=V")</f>
        <v>0</v>
      </c>
      <c r="I2">
        <f>BDH("VEVMQ US Equity","BS_LT_BORROW","2019-08-01","2024-08-01","Per=Y","Days=T","Dir=V")</f>
        <v>0</v>
      </c>
      <c r="K2">
        <f>BDH("VEVMQ US Equity","BS_CASH_NEAR_CASH_ITEM","2019-08-01","2024-08-01","Per=Y","Days=T","Dir=V")</f>
        <v>0</v>
      </c>
      <c r="M2">
        <f>BDH("VEVMQ US Equity","BS_CUR_ASSET_REPORT","2019-08-01","2024-08-01","Per=Y","Days=T","Dir=V")</f>
        <v>0</v>
      </c>
      <c r="O2">
        <f>BDH("VEVMQ US Equity","BS_CUR_LIAB","2019-08-01","2024-08-01","Per=Y","Days=T","Dir=V")</f>
        <v>0</v>
      </c>
      <c r="Q2">
        <f>BDH("VEVMQ US Equity","BS_SHAREHOLDER_EQY_ENDING_PERIOD","2019-08-01","2024-08-01","Per=Y","Days=T","Dir=V")</f>
        <v>0</v>
      </c>
      <c r="S2">
        <f>BDH("VEVMQ US Equity","BS_ACCT_NOTE_RCV","2019-08-01","2024-08-01","Per=Y","Days=T","Dir=V")</f>
        <v>0</v>
      </c>
      <c r="U2">
        <f>BDH("VEVMQ US Equity","BS_INVENTORIES","2019-08-01","2024-08-01","Per=Y","Days=T","Dir=V")</f>
        <v>0</v>
      </c>
      <c r="W2">
        <f>BDH("VEVMQ US Equity","WORKING_CAPITAL","2019-08-01","2024-08-01","Per=Y","Days=T","Dir=V")</f>
        <v>0</v>
      </c>
      <c r="Y2">
        <f>BDH("VEVMQ US Equity","SALES_REV_TURN","2019-08-01","2024-08-01","Per=Y","Days=T","Dir=V")</f>
        <v>0</v>
      </c>
      <c r="AA2">
        <f>BDH("VEVMQ US Equity","EBIT","2019-08-01","2024-08-01","Per=Y","Days=T","Dir=V")</f>
        <v>0</v>
      </c>
      <c r="AC2">
        <f>BDH("VEVMQ US Equity","EBITDA","2019-08-01","2024-08-01","Per=Y","Days=T","Dir=V")</f>
        <v>0</v>
      </c>
      <c r="AE2">
        <f>BDH("VEVMQ US Equity","NET_INCOME","2019-08-01","2024-08-01","Per=Y","Days=T","Dir=V")</f>
        <v>0</v>
      </c>
      <c r="AG2">
        <f>BDH("VEVMQ US Equity","IS_INT_EXPENSE","2019-08-01","2024-08-01","Per=Y","Days=T","Dir=V")</f>
        <v>0</v>
      </c>
      <c r="AI2">
        <f>BDH("VEVMQ US Equity","IS_DEPR_EXP","2019-08-01","2024-08-01","Per=Y","Days=T","Dir=V")</f>
        <v>0</v>
      </c>
      <c r="AK2">
        <f>BDH("VEVMQ US Equity","CF_CASH_FROM_OPER","2019-08-01","2024-08-01","Per=Y","Days=T","Dir=V")</f>
        <v>0</v>
      </c>
      <c r="AM2">
        <f>BDH("VEVMQ US Equity","CAPITAL_EXPEND","2019-08-01","2024-08-01","Per=Y","Days=T","Dir=V")</f>
        <v>0</v>
      </c>
      <c r="AO2">
        <f>BDH("VEVMQ US Equity","CF_FREE_CASH_FLOW","2019-08-01","2024-08-01","Per=Y","Days=T","Dir=V")</f>
        <v>0</v>
      </c>
      <c r="AQ2">
        <f>BDH("VEVMQ US Equity","PX_LAST","2019-08-01","2024-08-01","Per=M","Days=T","Dir=V")</f>
        <v>0</v>
      </c>
      <c r="AS2">
        <f>BDH("VEVMQ US Equity","CUR_MKT_CAP","2019-08-01","2024-08-01","Per=M","Days=T","Dir=V")</f>
        <v>0</v>
      </c>
      <c r="AU2">
        <f>BDH("VEVMQ US Equity","EQY_SH_OUT","2019-08-01","2024-08-01","Per=M","Days=T","Dir=V")</f>
        <v>0</v>
      </c>
      <c r="AW2">
        <f>BDH("VEVMQ US Equity","BETA_RAW_OVERRIABLE","2019-08-01","2024-08-01","Per=M","Days=T","Dir=V")</f>
        <v>0</v>
      </c>
      <c r="AY2">
        <f>BDH("VEVMQ US Equity","PX_VOLUME","2019-08-01","2024-08-01","Per=M","Days=T","Dir=V")</f>
        <v>0</v>
      </c>
      <c r="BA2">
        <f>BDH("VEVMQ US Equity","TURNOVER","2019-08-01","2024-08-01","Per=M","Days=T","Dir=V")</f>
        <v>0</v>
      </c>
      <c r="BC2">
        <f>BDH("VEVMQ US Equity","SPREAD_BA_CR","2019-08-01","2024-08-01","Per=M","Days=T","Dir=V")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352</v>
      </c>
      <c r="B1" t="s">
        <v>353</v>
      </c>
      <c r="C1" t="s">
        <v>354</v>
      </c>
      <c r="D1" t="s">
        <v>355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  <c r="V1" t="s">
        <v>373</v>
      </c>
      <c r="W1" t="s">
        <v>374</v>
      </c>
      <c r="X1" t="s">
        <v>375</v>
      </c>
      <c r="Y1" t="s">
        <v>376</v>
      </c>
      <c r="Z1" t="s">
        <v>377</v>
      </c>
      <c r="AA1" t="s">
        <v>378</v>
      </c>
      <c r="AB1" t="s">
        <v>379</v>
      </c>
      <c r="AC1" t="s">
        <v>380</v>
      </c>
      <c r="AD1" t="s">
        <v>381</v>
      </c>
      <c r="AE1" t="s">
        <v>382</v>
      </c>
      <c r="AF1" t="s">
        <v>383</v>
      </c>
      <c r="AG1" t="s">
        <v>384</v>
      </c>
      <c r="AH1" t="s">
        <v>385</v>
      </c>
      <c r="AI1" t="s">
        <v>386</v>
      </c>
      <c r="AJ1" t="s">
        <v>387</v>
      </c>
      <c r="AK1" t="s">
        <v>388</v>
      </c>
      <c r="AL1" t="s">
        <v>389</v>
      </c>
      <c r="AM1" t="s">
        <v>390</v>
      </c>
      <c r="AN1" t="s">
        <v>391</v>
      </c>
      <c r="AO1" t="s">
        <v>392</v>
      </c>
      <c r="AP1" t="s">
        <v>393</v>
      </c>
      <c r="AQ1" t="s">
        <v>394</v>
      </c>
      <c r="AR1" t="s">
        <v>395</v>
      </c>
      <c r="AS1" t="s">
        <v>396</v>
      </c>
      <c r="AT1" t="s">
        <v>397</v>
      </c>
      <c r="AU1" t="s">
        <v>398</v>
      </c>
      <c r="AV1" t="s">
        <v>399</v>
      </c>
      <c r="AW1" t="s">
        <v>400</v>
      </c>
      <c r="AX1" t="s">
        <v>401</v>
      </c>
      <c r="AY1" t="s">
        <v>402</v>
      </c>
      <c r="AZ1" t="s">
        <v>403</v>
      </c>
      <c r="BA1" t="s">
        <v>404</v>
      </c>
      <c r="BB1" t="s">
        <v>405</v>
      </c>
      <c r="BC1" t="s">
        <v>406</v>
      </c>
      <c r="BD1" t="s">
        <v>407</v>
      </c>
    </row>
    <row r="2" spans="1:56">
      <c r="A2">
        <f>BDH("SAVEQ US Equity","BS_TOT_ASSET","2019-08-20","2024-08-20","Per=Y","Days=T","Dir=V")</f>
        <v>0</v>
      </c>
      <c r="C2">
        <f>BDH("SAVEQ US Equity","BS_TOT_LIAB2","2019-08-20","2024-08-20","Per=Y","Days=T","Dir=V")</f>
        <v>0</v>
      </c>
      <c r="E2">
        <f>BDH("SAVEQ US Equity","SHORT_AND_LONG_TERM_DEBT","2019-08-20","2024-08-20","Per=Y","Days=T","Dir=V")</f>
        <v>0</v>
      </c>
      <c r="G2">
        <f>BDH("SAVEQ US Equity","BS_ST_BORROW","2019-08-20","2024-08-20","Per=Y","Days=T","Dir=V")</f>
        <v>0</v>
      </c>
      <c r="I2">
        <f>BDH("SAVEQ US Equity","BS_LT_BORROW","2019-08-20","2024-08-20","Per=Y","Days=T","Dir=V")</f>
        <v>0</v>
      </c>
      <c r="K2">
        <f>BDH("SAVEQ US Equity","BS_CASH_NEAR_CASH_ITEM","2019-08-20","2024-08-20","Per=Y","Days=T","Dir=V")</f>
        <v>0</v>
      </c>
      <c r="M2">
        <f>BDH("SAVEQ US Equity","BS_CUR_ASSET_REPORT","2019-08-20","2024-08-20","Per=Y","Days=T","Dir=V")</f>
        <v>0</v>
      </c>
      <c r="O2">
        <f>BDH("SAVEQ US Equity","BS_CUR_LIAB","2019-08-20","2024-08-20","Per=Y","Days=T","Dir=V")</f>
        <v>0</v>
      </c>
      <c r="Q2">
        <f>BDH("SAVEQ US Equity","BS_SHAREHOLDER_EQY_ENDING_PERIOD","2019-08-20","2024-08-20","Per=Y","Days=T","Dir=V")</f>
        <v>0</v>
      </c>
      <c r="S2">
        <f>BDH("SAVEQ US Equity","BS_ACCT_NOTE_RCV","2019-08-20","2024-08-20","Per=Y","Days=T","Dir=V")</f>
        <v>0</v>
      </c>
      <c r="U2">
        <f>BDH("SAVEQ US Equity","BS_INVENTORIES","2019-08-20","2024-08-20","Per=Y","Days=T","Dir=V")</f>
        <v>0</v>
      </c>
      <c r="W2">
        <f>BDH("SAVEQ US Equity","WORKING_CAPITAL","2019-08-20","2024-08-20","Per=Y","Days=T","Dir=V")</f>
        <v>0</v>
      </c>
      <c r="Y2">
        <f>BDH("SAVEQ US Equity","SALES_REV_TURN","2019-08-20","2024-08-20","Per=Y","Days=T","Dir=V")</f>
        <v>0</v>
      </c>
      <c r="AA2">
        <f>BDH("SAVEQ US Equity","EBIT","2019-08-20","2024-08-20","Per=Y","Days=T","Dir=V")</f>
        <v>0</v>
      </c>
      <c r="AC2">
        <f>BDH("SAVEQ US Equity","EBITDA","2019-08-20","2024-08-20","Per=Y","Days=T","Dir=V")</f>
        <v>0</v>
      </c>
      <c r="AE2">
        <f>BDH("SAVEQ US Equity","NET_INCOME","2019-08-20","2024-08-20","Per=Y","Days=T","Dir=V")</f>
        <v>0</v>
      </c>
      <c r="AG2">
        <f>BDH("SAVEQ US Equity","IS_INT_EXPENSE","2019-08-20","2024-08-20","Per=Y","Days=T","Dir=V")</f>
        <v>0</v>
      </c>
      <c r="AI2">
        <f>BDH("SAVEQ US Equity","IS_DEPR_EXP","2019-08-20","2024-08-20","Per=Y","Days=T","Dir=V")</f>
        <v>0</v>
      </c>
      <c r="AK2">
        <f>BDH("SAVEQ US Equity","CF_CASH_FROM_OPER","2019-08-20","2024-08-20","Per=Y","Days=T","Dir=V")</f>
        <v>0</v>
      </c>
      <c r="AM2">
        <f>BDH("SAVEQ US Equity","CAPITAL_EXPEND","2019-08-20","2024-08-20","Per=Y","Days=T","Dir=V")</f>
        <v>0</v>
      </c>
      <c r="AO2">
        <f>BDH("SAVEQ US Equity","CF_FREE_CASH_FLOW","2019-08-20","2024-08-20","Per=Y","Days=T","Dir=V")</f>
        <v>0</v>
      </c>
      <c r="AQ2">
        <f>BDH("SAVEQ US Equity","PX_LAST","2019-08-20","2024-08-20","Per=M","Days=T","Dir=V")</f>
        <v>0</v>
      </c>
      <c r="AS2">
        <f>BDH("SAVEQ US Equity","CUR_MKT_CAP","2019-08-20","2024-08-20","Per=M","Days=T","Dir=V")</f>
        <v>0</v>
      </c>
      <c r="AU2">
        <f>BDH("SAVEQ US Equity","EQY_SH_OUT","2019-08-20","2024-08-20","Per=M","Days=T","Dir=V")</f>
        <v>0</v>
      </c>
      <c r="AW2">
        <f>BDH("SAVEQ US Equity","BETA_RAW_OVERRIABLE","2019-08-20","2024-08-20","Per=M","Days=T","Dir=V")</f>
        <v>0</v>
      </c>
      <c r="AY2">
        <f>BDH("SAVEQ US Equity","PX_VOLUME","2019-08-20","2024-08-20","Per=M","Days=T","Dir=V")</f>
        <v>0</v>
      </c>
      <c r="BA2">
        <f>BDH("SAVEQ US Equity","TURNOVER","2019-08-20","2024-08-20","Per=M","Days=T","Dir=V")</f>
        <v>0</v>
      </c>
      <c r="BC2">
        <f>BDH("SAVEQ US Equity","SPREAD_BA_CR","2019-08-20","2024-08-20","Per=M","Days=T","Dir=V")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SA_112_Gastar Exploration Inc.</vt:lpstr>
      <vt:lpstr>SA_199_Parker Drilling Company</vt:lpstr>
      <vt:lpstr>SA_289_Windstream Holdings, Inc</vt:lpstr>
      <vt:lpstr>SA_69_PHI, Inc.</vt:lpstr>
      <vt:lpstr>SA_194_Orchids Paper Products C</vt:lpstr>
      <vt:lpstr>SA_227_Jones Energy, Inc.</vt:lpstr>
      <vt:lpstr>SA_50_Cloud Peak Energy Inc.</vt:lpstr>
      <vt:lpstr>SA_193_Bristow Group Inc.</vt:lpstr>
      <vt:lpstr>SA_218_Legacy Reserves Inc.</vt:lpstr>
      <vt:lpstr>SA_241_Sanchez Energy Corporati</vt:lpstr>
      <vt:lpstr>SA_104_EP Energy Corporation (E</vt:lpstr>
      <vt:lpstr>SA_270_Nobilis Health Corp.</vt:lpstr>
      <vt:lpstr>SA_2_Approach Resources Inc.</vt:lpstr>
      <vt:lpstr>SA_119_McDermott International,</vt:lpstr>
      <vt:lpstr>SA_252_Pier 1 Imports, Inc.</vt:lpstr>
      <vt:lpstr>SA_214_Foresight Energy LP</vt:lpstr>
      <vt:lpstr>SA_262_Quorum Health Corporatio</vt:lpstr>
      <vt:lpstr>SA_198_Centric Brands Inc.</vt:lpstr>
      <vt:lpstr>SA_56_Hornbeck Offshore Service</vt:lpstr>
      <vt:lpstr>SA_144_Akorn, Inc.</vt:lpstr>
      <vt:lpstr>SA_298_Tuesday Morning Corporat</vt:lpstr>
      <vt:lpstr>SA_31_Libbey Inc.</vt:lpstr>
      <vt:lpstr>SA_188_Pyxus International, Inc</vt:lpstr>
      <vt:lpstr>SA_231_AAC Holdings, Inc.</vt:lpstr>
      <vt:lpstr>SA_8_GNC Holdings, Inc.</vt:lpstr>
      <vt:lpstr>SA_286_Jason Industries, Inc.</vt:lpstr>
      <vt:lpstr>SA_100_Covia Holdings Corporati</vt:lpstr>
      <vt:lpstr>SA_95_Hi-Crush Inc.</vt:lpstr>
      <vt:lpstr>SA_244_California Resources Cor</vt:lpstr>
      <vt:lpstr>SA_38_Rosehill Resources Inc.</vt:lpstr>
      <vt:lpstr>SA_226_Tailored Brands, Inc.</vt:lpstr>
      <vt:lpstr>SA_111_Lonestar Resources US In</vt:lpstr>
      <vt:lpstr>SA_54_Sequential Brands Group, </vt:lpstr>
      <vt:lpstr>SA_11_Clovis Oncology, Inc.</vt:lpstr>
      <vt:lpstr>SA_184_2u Inc</vt:lpstr>
      <vt:lpstr>SA_156_Vbi Vaccines Inc</vt:lpstr>
      <vt:lpstr>SA_294_Ll Flooring Holdings Inc</vt:lpstr>
      <vt:lpstr>SA_303_Sunpower Corp</vt:lpstr>
      <vt:lpstr>SA_275_Meta Materials Inc</vt:lpstr>
      <vt:lpstr>SA_200_Big Lots Inc</vt:lpstr>
      <vt:lpstr>SA_21_Tupperware Brands Corp</vt:lpstr>
      <vt:lpstr>SA_24_Edgio Inc</vt:lpstr>
      <vt:lpstr>SA_48_Bright Green Corp</vt:lpstr>
      <vt:lpstr>SA_60_Smart For Life Inc</vt:lpstr>
      <vt:lpstr>SA_230_Burgerfi International I</vt:lpstr>
      <vt:lpstr>SA_73_Enviva Inc</vt:lpstr>
      <vt:lpstr>SA_42_Vertex Energy Inc</vt:lpstr>
      <vt:lpstr>SA_30_Gritstone Bio Inc</vt:lpstr>
      <vt:lpstr>SA_208_Vicinity Motor Corp</vt:lpstr>
      <vt:lpstr>SA_132_Spirit Airlines Inc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2026-09-30T16:51:34Z</dcterms:created>
  <dcterms:modified xsi:type="dcterms:W3CDTF">2026-09-30T16:51:34Z</dcterms:modified>
</cp:coreProperties>
</file>