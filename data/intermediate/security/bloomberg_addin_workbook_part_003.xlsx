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SA_64_Energy Conversion Devices" sheetId="2" r:id="rId2"/>
    <sheet name="SA_113_Reddy Ice Holdings, Inc." sheetId="3" r:id="rId3"/>
    <sheet name="SA_34_FiberTower Corporation" sheetId="4" r:id="rId4"/>
    <sheet name="SA_29_ATP Oil &amp; Gas Corporation" sheetId="5" r:id="rId5"/>
    <sheet name="SA_65_Overseas Shipholding Grou" sheetId="6" r:id="rId6"/>
    <sheet name="SA_72_School Specialty, Inc." sheetId="7" r:id="rId7"/>
    <sheet name="SA_74_Powerwave Technologies, I" sheetId="8" r:id="rId8"/>
    <sheet name="SA_18_Rotech Healthcare Inc." sheetId="9" r:id="rId9"/>
    <sheet name="SA_265_Hoku Corporation" sheetId="10" r:id="rId10"/>
    <sheet name="SA_205_FriendFinder Networks In" sheetId="11" r:id="rId11"/>
    <sheet name="SA_161_GateHouse Media, Inc." sheetId="12" r:id="rId12"/>
    <sheet name="SA_41_Dolan Company" sheetId="13" r:id="rId13"/>
    <sheet name="SA_137_Coldwater Creek Inc." sheetId="14" r:id="rId14"/>
    <sheet name="SA_76_RadioShack Corporation" sheetId="15" r:id="rId15"/>
    <sheet name="SA_191_Cal Dive International, " sheetId="16" r:id="rId16"/>
    <sheet name="SA_149_Standard Register Compan" sheetId="17" r:id="rId17"/>
    <sheet name="SA_6_Quicksilver Resources Inc." sheetId="18" r:id="rId18"/>
    <sheet name="SA_189_Corinthian Colleges, Inc" sheetId="19" r:id="rId19"/>
    <sheet name="SA_272_Molycorp, Inc." sheetId="20" r:id="rId20"/>
    <sheet name="SA_44_Walter Energy, Inc." sheetId="21" r:id="rId21"/>
    <sheet name="SA_82_Sabine Oil &amp; Gas Corporat" sheetId="22" r:id="rId22"/>
    <sheet name="SA_221_Alpha Natural Resources," sheetId="23" r:id="rId23"/>
    <sheet name="SA_154_Hercules Offshore, Inc." sheetId="24" r:id="rId24"/>
    <sheet name="SA_33_Arch Coal, Inc." sheetId="25" r:id="rId25"/>
    <sheet name="SA_276_Noranda Aluminum Holding" sheetId="26" r:id="rId26"/>
    <sheet name="SA_174_Republic Airways Holding" sheetId="27" r:id="rId27"/>
    <sheet name="SA_55_SunEdison, Inc." sheetId="28" r:id="rId28"/>
    <sheet name="SA_116_Ultra Petroleum Corp. (2" sheetId="29" r:id="rId29"/>
    <sheet name="SA_180_Fairway Group Holdings C" sheetId="30" r:id="rId30"/>
    <sheet name="SA_224_Aeropostale, Inc." sheetId="31" r:id="rId31"/>
    <sheet name="SA_256_Breitburn Energy Partner" sheetId="32" r:id="rId32"/>
    <sheet name="SA_282_SandRidge Energy, Inc." sheetId="33" r:id="rId33"/>
    <sheet name="SA_109_Seventy Seven Energy Inc" sheetId="34" r:id="rId34"/>
    <sheet name="SA_192_Halcon Resources Corpora" sheetId="35" r:id="rId35"/>
    <sheet name="SA_304_International Shipholdin" sheetId="36" r:id="rId36"/>
    <sheet name="SA_81_ITT Educational Services," sheetId="37" r:id="rId37"/>
    <sheet name="SA_14_Basic Energy Services, In" sheetId="38" r:id="rId38"/>
    <sheet name="SA_257_Memorial Production Part" sheetId="39" r:id="rId39"/>
    <sheet name="SA_83_Azure Midstream Partners," sheetId="40" r:id="rId40"/>
    <sheet name="SA_15_Nuverra Environmental Sol" sheetId="41" r:id="rId41"/>
    <sheet name="SA_159_GulfMark Offshore, Inc." sheetId="42" r:id="rId42"/>
    <sheet name="SA_236_Perfumania Holdings, Inc" sheetId="43" r:id="rId43"/>
    <sheet name="SA_35_Cumulus Media Inc." sheetId="44" r:id="rId44"/>
    <sheet name="SA_292_Cobalt International Ene" sheetId="45" r:id="rId45"/>
    <sheet name="SA_62_Rentech, Inc." sheetId="46" r:id="rId46"/>
    <sheet name="SA_232_EXCO Resources, Inc." sheetId="47" r:id="rId47"/>
    <sheet name="SA_151_Cenveo, Inc." sheetId="48" r:id="rId48"/>
    <sheet name="SA_250_Orexigen Therapeutics, I" sheetId="49" r:id="rId49"/>
    <sheet name="SA_46_Rex Energy Corporation" sheetId="50" r:id="rId50"/>
    <sheet name="SA_288_Sears Holdings Corporati" sheetId="51" r:id="rId51"/>
  </sheets>
  <calcPr calcId="124519" fullCalcOnLoad="1"/>
</workbook>
</file>

<file path=xl/sharedStrings.xml><?xml version="1.0" encoding="utf-8"?>
<sst xmlns="http://schemas.openxmlformats.org/spreadsheetml/2006/main" count="3361" uniqueCount="412">
  <si>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</si>
  <si>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</si>
  <si>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</si>
  <si>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</si>
  <si>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</si>
  <si>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</si>
  <si>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</si>
  <si>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</si>
  <si>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</si>
  <si>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</si>
  <si>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</si>
  <si>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SA_64</t>
  </si>
  <si>
    <t>bankrupt</t>
  </si>
  <si>
    <t>2012-02-14</t>
  </si>
  <si>
    <t>ENERQ</t>
  </si>
  <si>
    <t>Energy Conversion Devices, Inc.</t>
  </si>
  <si>
    <t/>
  </si>
  <si>
    <t>ENERQ US Equity</t>
  </si>
  <si>
    <t>2011-11-16</t>
  </si>
  <si>
    <t>2006-11-16</t>
  </si>
  <si>
    <t>SA_113</t>
  </si>
  <si>
    <t>2012-04-12</t>
  </si>
  <si>
    <t>RDDYQ</t>
  </si>
  <si>
    <t>Reddy Ice Holdings, Inc.</t>
  </si>
  <si>
    <t>RDDYQ US Equity</t>
  </si>
  <si>
    <t>2012-01-13</t>
  </si>
  <si>
    <t>2007-01-13</t>
  </si>
  <si>
    <t>SA_34</t>
  </si>
  <si>
    <t>2012-07-17</t>
  </si>
  <si>
    <t>FTWRQ</t>
  </si>
  <si>
    <t>FiberTower Corporation</t>
  </si>
  <si>
    <t>FBBT US Equity</t>
  </si>
  <si>
    <t>2012-04-18</t>
  </si>
  <si>
    <t>2007-04-18</t>
  </si>
  <si>
    <t>SA_29</t>
  </si>
  <si>
    <t>2012-08-17</t>
  </si>
  <si>
    <t>ATPAQ</t>
  </si>
  <si>
    <t>ATP Oil &amp; Gas Corporation</t>
  </si>
  <si>
    <t>ATPAQ US Equity</t>
  </si>
  <si>
    <t>2012-05-19</t>
  </si>
  <si>
    <t>2007-05-19</t>
  </si>
  <si>
    <t>SA_65</t>
  </si>
  <si>
    <t>2012-11-14</t>
  </si>
  <si>
    <t>OSGIQ</t>
  </si>
  <si>
    <t>Overseas Shipholding Group, Inc.</t>
  </si>
  <si>
    <t>OSGIQ US Equity</t>
  </si>
  <si>
    <t>2012-08-16</t>
  </si>
  <si>
    <t>2007-08-16</t>
  </si>
  <si>
    <t>SA_72</t>
  </si>
  <si>
    <t>2013-01-28</t>
  </si>
  <si>
    <t>SCHSQ</t>
  </si>
  <si>
    <t>School Specialty, Inc.</t>
  </si>
  <si>
    <t>SCHSQ US Equity</t>
  </si>
  <si>
    <t>2012-10-30</t>
  </si>
  <si>
    <t>2007-10-30</t>
  </si>
  <si>
    <t>SA_74</t>
  </si>
  <si>
    <t>PWAVQ</t>
  </si>
  <si>
    <t>Powerwave Technologies, Inc.</t>
  </si>
  <si>
    <t>PWAVQ US Equity</t>
  </si>
  <si>
    <t>SA_18</t>
  </si>
  <si>
    <t>2013-04-08</t>
  </si>
  <si>
    <t>ROHIQ</t>
  </si>
  <si>
    <t>Rotech Healthcare Inc.</t>
  </si>
  <si>
    <t>ROHIQ US Equity</t>
  </si>
  <si>
    <t>2013-01-08</t>
  </si>
  <si>
    <t>2008-01-08</t>
  </si>
  <si>
    <t>SA_265</t>
  </si>
  <si>
    <t>2013-07-02</t>
  </si>
  <si>
    <t>HOKUQ</t>
  </si>
  <si>
    <t>Hoku Corporation</t>
  </si>
  <si>
    <t>HOKUQ US Equity</t>
  </si>
  <si>
    <t>2013-04-03</t>
  </si>
  <si>
    <t>2008-04-03</t>
  </si>
  <si>
    <t>SA_205</t>
  </si>
  <si>
    <t>2013-09-17</t>
  </si>
  <si>
    <t>FFNTQ</t>
  </si>
  <si>
    <t>FriendFinder Networks Inc.</t>
  </si>
  <si>
    <t>FFNTQ US Equity</t>
  </si>
  <si>
    <t>2013-06-19</t>
  </si>
  <si>
    <t>2008-06-19</t>
  </si>
  <si>
    <t>SA_161</t>
  </si>
  <si>
    <t>2013-09-27</t>
  </si>
  <si>
    <t>GHSEQ</t>
  </si>
  <si>
    <t>GateHouse Media, Inc.</t>
  </si>
  <si>
    <t>1917175D US Equity</t>
  </si>
  <si>
    <t>2013-06-29</t>
  </si>
  <si>
    <t>2008-06-29</t>
  </si>
  <si>
    <t>SA_41</t>
  </si>
  <si>
    <t>2014-03-23</t>
  </si>
  <si>
    <t>DOLNQ</t>
  </si>
  <si>
    <t>Dolan Company</t>
  </si>
  <si>
    <t>DOLNQ US Equity</t>
  </si>
  <si>
    <t>2013-12-23</t>
  </si>
  <si>
    <t>2008-12-23</t>
  </si>
  <si>
    <t>SA_137</t>
  </si>
  <si>
    <t>2014-04-11</t>
  </si>
  <si>
    <t>CWTRQ</t>
  </si>
  <si>
    <t>Coldwater Creek Inc.</t>
  </si>
  <si>
    <t>CWTRQ US Equity</t>
  </si>
  <si>
    <t>2014-01-11</t>
  </si>
  <si>
    <t>2009-01-11</t>
  </si>
  <si>
    <t>SA_76</t>
  </si>
  <si>
    <t>2015-02-05</t>
  </si>
  <si>
    <t>RSHCQ</t>
  </si>
  <si>
    <t>RadioShack Corporation</t>
  </si>
  <si>
    <t>RSHCQ US Equity</t>
  </si>
  <si>
    <t>2014-11-07</t>
  </si>
  <si>
    <t>2009-11-07</t>
  </si>
  <si>
    <t>SA_191</t>
  </si>
  <si>
    <t>2015-03-03</t>
  </si>
  <si>
    <t>CDVIQ</t>
  </si>
  <si>
    <t>Cal Dive International, Inc.</t>
  </si>
  <si>
    <t>CDVIQ US Equity</t>
  </si>
  <si>
    <t>2014-12-03</t>
  </si>
  <si>
    <t>2009-12-03</t>
  </si>
  <si>
    <t>SA_149</t>
  </si>
  <si>
    <t>2015-03-12</t>
  </si>
  <si>
    <t>SRCTQ</t>
  </si>
  <si>
    <t>Standard Register Company</t>
  </si>
  <si>
    <t>SRCTQ US Equity</t>
  </si>
  <si>
    <t>2014-12-12</t>
  </si>
  <si>
    <t>2009-12-12</t>
  </si>
  <si>
    <t>SA_6</t>
  </si>
  <si>
    <t>2015-03-17</t>
  </si>
  <si>
    <t>KWKAQ</t>
  </si>
  <si>
    <t>Quicksilver Resources Inc.</t>
  </si>
  <si>
    <t>KWKAQ US Equity</t>
  </si>
  <si>
    <t>2014-12-17</t>
  </si>
  <si>
    <t>2009-12-17</t>
  </si>
  <si>
    <t>SA_189</t>
  </si>
  <si>
    <t>2015-05-04</t>
  </si>
  <si>
    <t>COCOQ</t>
  </si>
  <si>
    <t>Corinthian Colleges, Inc.</t>
  </si>
  <si>
    <t>COCOQ US Equity</t>
  </si>
  <si>
    <t>2015-02-03</t>
  </si>
  <si>
    <t>2010-02-03</t>
  </si>
  <si>
    <t>SA_272</t>
  </si>
  <si>
    <t>2015-06-25</t>
  </si>
  <si>
    <t>MCPIQ</t>
  </si>
  <si>
    <t>Molycorp, Inc.</t>
  </si>
  <si>
    <t>MCPIQ US Equity</t>
  </si>
  <si>
    <t>2015-03-27</t>
  </si>
  <si>
    <t>2010-03-27</t>
  </si>
  <si>
    <t>SA_44</t>
  </si>
  <si>
    <t>2015-07-15</t>
  </si>
  <si>
    <t>WLTGQ</t>
  </si>
  <si>
    <t>Walter Energy, Inc.</t>
  </si>
  <si>
    <t>WLTGQ US Equity</t>
  </si>
  <si>
    <t>2015-04-16</t>
  </si>
  <si>
    <t>2010-04-16</t>
  </si>
  <si>
    <t>SA_82</t>
  </si>
  <si>
    <t>SOGCQ</t>
  </si>
  <si>
    <t>Sabine Oil &amp; Gas Corporation</t>
  </si>
  <si>
    <t>SOGCQ US Equity</t>
  </si>
  <si>
    <t>SA_221</t>
  </si>
  <si>
    <t>2015-08-03</t>
  </si>
  <si>
    <t>ANRZQ</t>
  </si>
  <si>
    <t>Alpha Natural Resources, Inc.</t>
  </si>
  <si>
    <t>ANRZQ US Equity</t>
  </si>
  <si>
    <t>2015-05-05</t>
  </si>
  <si>
    <t>2010-05-05</t>
  </si>
  <si>
    <t>SA_154</t>
  </si>
  <si>
    <t>2015-08-13</t>
  </si>
  <si>
    <t>HEROQ</t>
  </si>
  <si>
    <t>Hercules Offshore, Inc.</t>
  </si>
  <si>
    <t>HEROQ US Equity</t>
  </si>
  <si>
    <t>2015-05-15</t>
  </si>
  <si>
    <t>2010-05-15</t>
  </si>
  <si>
    <t>SA_33</t>
  </si>
  <si>
    <t>2016-01-11</t>
  </si>
  <si>
    <t>ACIIQ</t>
  </si>
  <si>
    <t>Arch Coal, Inc.</t>
  </si>
  <si>
    <t>ARCH US Equity</t>
  </si>
  <si>
    <t>2015-10-13</t>
  </si>
  <si>
    <t>2010-10-13</t>
  </si>
  <si>
    <t>SA_276</t>
  </si>
  <si>
    <t>2016-02-08</t>
  </si>
  <si>
    <t>NORNQ</t>
  </si>
  <si>
    <t>Noranda Aluminum Holding Corporation</t>
  </si>
  <si>
    <t>NORNQ US Equity</t>
  </si>
  <si>
    <t>2015-11-10</t>
  </si>
  <si>
    <t>2010-11-10</t>
  </si>
  <si>
    <t>SA_174</t>
  </si>
  <si>
    <t>2016-02-25</t>
  </si>
  <si>
    <t>RJETQ</t>
  </si>
  <si>
    <t>Republic Airways Holdings Inc.</t>
  </si>
  <si>
    <t>RJETQ US Equity</t>
  </si>
  <si>
    <t>2015-11-27</t>
  </si>
  <si>
    <t>2010-11-27</t>
  </si>
  <si>
    <t>SA_55</t>
  </si>
  <si>
    <t>2016-04-21</t>
  </si>
  <si>
    <t>SUNEQ</t>
  </si>
  <si>
    <t>SunEdison, Inc.</t>
  </si>
  <si>
    <t>SUNEQ US Equity</t>
  </si>
  <si>
    <t>2016-01-22</t>
  </si>
  <si>
    <t>2011-01-22</t>
  </si>
  <si>
    <t>SA_116</t>
  </si>
  <si>
    <t>2016-04-29</t>
  </si>
  <si>
    <t>UPLCQ</t>
  </si>
  <si>
    <t>Ultra Petroleum Corp. (2016)</t>
  </si>
  <si>
    <t>UPLCQ US Equity</t>
  </si>
  <si>
    <t>2016-01-30</t>
  </si>
  <si>
    <t>2011-01-30</t>
  </si>
  <si>
    <t>SA_180</t>
  </si>
  <si>
    <t>2016-05-02</t>
  </si>
  <si>
    <t>FWMHQ</t>
  </si>
  <si>
    <t>Fairway Group Holdings Corp.</t>
  </si>
  <si>
    <t>FWMHQ US Equity</t>
  </si>
  <si>
    <t>2016-02-02</t>
  </si>
  <si>
    <t>2011-02-02</t>
  </si>
  <si>
    <t>SA_224</t>
  </si>
  <si>
    <t>2016-05-04</t>
  </si>
  <si>
    <t>AROPQ</t>
  </si>
  <si>
    <t>Aeropostale, Inc.</t>
  </si>
  <si>
    <t>AROPQ US Equity</t>
  </si>
  <si>
    <t>2016-02-04</t>
  </si>
  <si>
    <t>2011-02-04</t>
  </si>
  <si>
    <t>SA_256</t>
  </si>
  <si>
    <t>2016-05-15</t>
  </si>
  <si>
    <t>BBEPQ</t>
  </si>
  <si>
    <t>Breitburn Energy Partners LP</t>
  </si>
  <si>
    <t>BBEPQ US Equity</t>
  </si>
  <si>
    <t>2016-02-15</t>
  </si>
  <si>
    <t>2011-02-15</t>
  </si>
  <si>
    <t>SA_282</t>
  </si>
  <si>
    <t>2016-05-16</t>
  </si>
  <si>
    <t>SDOCQ</t>
  </si>
  <si>
    <t>SandRidge Energy, Inc.</t>
  </si>
  <si>
    <t>SD US Equity</t>
  </si>
  <si>
    <t>2016-02-16</t>
  </si>
  <si>
    <t>2011-02-16</t>
  </si>
  <si>
    <t>SA_109</t>
  </si>
  <si>
    <t>2016-06-07</t>
  </si>
  <si>
    <t>SSEIQ</t>
  </si>
  <si>
    <t>Seventy Seven Energy Inc.</t>
  </si>
  <si>
    <t>SSEIQ US Equity</t>
  </si>
  <si>
    <t>2016-03-09</t>
  </si>
  <si>
    <t>2011-03-09</t>
  </si>
  <si>
    <t>SA_192</t>
  </si>
  <si>
    <t>2016-07-27</t>
  </si>
  <si>
    <t>HKRSQ</t>
  </si>
  <si>
    <t>Halcon Resources Corporation</t>
  </si>
  <si>
    <t>HKRSQ US Equity</t>
  </si>
  <si>
    <t>2016-04-28</t>
  </si>
  <si>
    <t>2011-04-28</t>
  </si>
  <si>
    <t>SA_304</t>
  </si>
  <si>
    <t>2016-08-01</t>
  </si>
  <si>
    <t>ISHCQ</t>
  </si>
  <si>
    <t>International Shipholding Corporation</t>
  </si>
  <si>
    <t>ISHCQ US Equity</t>
  </si>
  <si>
    <t>2016-05-03</t>
  </si>
  <si>
    <t>2011-05-03</t>
  </si>
  <si>
    <t>SA_81</t>
  </si>
  <si>
    <t>2016-09-16</t>
  </si>
  <si>
    <t>ESINQ</t>
  </si>
  <si>
    <t>ITT Educational Services, Inc.</t>
  </si>
  <si>
    <t>ESINQ US Equity</t>
  </si>
  <si>
    <t>2016-06-18</t>
  </si>
  <si>
    <t>2011-06-18</t>
  </si>
  <si>
    <t>SA_14</t>
  </si>
  <si>
    <t>2016-10-25</t>
  </si>
  <si>
    <t>BASXQ</t>
  </si>
  <si>
    <t>Basic Energy Services, Inc. (2016)</t>
  </si>
  <si>
    <t>BASXQ US Equity</t>
  </si>
  <si>
    <t>2011-07-27</t>
  </si>
  <si>
    <t>SA_257</t>
  </si>
  <si>
    <t>2017-01-16</t>
  </si>
  <si>
    <t>MEMPQ</t>
  </si>
  <si>
    <t>Memorial Production Partners LP</t>
  </si>
  <si>
    <t>0618563D US Equity</t>
  </si>
  <si>
    <t>2016-10-18</t>
  </si>
  <si>
    <t>2011-10-18</t>
  </si>
  <si>
    <t>SA_83</t>
  </si>
  <si>
    <t>2017-01-30</t>
  </si>
  <si>
    <t>AZURQ</t>
  </si>
  <si>
    <t>Azure Midstream Partners, LP</t>
  </si>
  <si>
    <t>0862978D US Equity</t>
  </si>
  <si>
    <t>2016-11-01</t>
  </si>
  <si>
    <t>2011-11-01</t>
  </si>
  <si>
    <t>SA_15</t>
  </si>
  <si>
    <t>2017-05-01</t>
  </si>
  <si>
    <t>NESCQ</t>
  </si>
  <si>
    <t>Nuverra Environmental Solutions, Inc.</t>
  </si>
  <si>
    <t>NES US Equity</t>
  </si>
  <si>
    <t>2017-01-31</t>
  </si>
  <si>
    <t>2012-01-31</t>
  </si>
  <si>
    <t>SA_159</t>
  </si>
  <si>
    <t>2017-05-17</t>
  </si>
  <si>
    <t>GLFMQ</t>
  </si>
  <si>
    <t>GulfMark Offshore, Inc.</t>
  </si>
  <si>
    <t>GLF US Equity</t>
  </si>
  <si>
    <t>2017-02-16</t>
  </si>
  <si>
    <t>2012-02-16</t>
  </si>
  <si>
    <t>SA_236</t>
  </si>
  <si>
    <t>2017-08-26</t>
  </si>
  <si>
    <t>PERFQ</t>
  </si>
  <si>
    <t>Perfumania Holdings, Inc.</t>
  </si>
  <si>
    <t>PERFQ US Equity</t>
  </si>
  <si>
    <t>2017-05-28</t>
  </si>
  <si>
    <t>2012-05-28</t>
  </si>
  <si>
    <t>SA_35</t>
  </si>
  <si>
    <t>2017-11-29</t>
  </si>
  <si>
    <t>CMLSQ</t>
  </si>
  <si>
    <t>Cumulus Media Inc.</t>
  </si>
  <si>
    <t>CMLSQ US Equity</t>
  </si>
  <si>
    <t>2017-08-31</t>
  </si>
  <si>
    <t>2012-08-31</t>
  </si>
  <si>
    <t>SA_292</t>
  </si>
  <si>
    <t>2017-12-14</t>
  </si>
  <si>
    <t>CIEIQ</t>
  </si>
  <si>
    <t>Cobalt International Energy, Inc.</t>
  </si>
  <si>
    <t>CIEIQ US Equity</t>
  </si>
  <si>
    <t>2017-09-15</t>
  </si>
  <si>
    <t>2012-09-15</t>
  </si>
  <si>
    <t>SA_62</t>
  </si>
  <si>
    <t>2017-12-19</t>
  </si>
  <si>
    <t>RTKHQ</t>
  </si>
  <si>
    <t>Rentech, Inc.</t>
  </si>
  <si>
    <t>RTKHQ US Equity</t>
  </si>
  <si>
    <t>2017-09-20</t>
  </si>
  <si>
    <t>2012-09-20</t>
  </si>
  <si>
    <t>SA_232</t>
  </si>
  <si>
    <t>2018-01-15</t>
  </si>
  <si>
    <t>XCOOQ</t>
  </si>
  <si>
    <t>EXCO Resources, Inc.</t>
  </si>
  <si>
    <t>XCOOQ US Equity</t>
  </si>
  <si>
    <t>2017-10-17</t>
  </si>
  <si>
    <t>2012-10-17</t>
  </si>
  <si>
    <t>SA_151</t>
  </si>
  <si>
    <t>2018-02-02</t>
  </si>
  <si>
    <t>CVOVQ</t>
  </si>
  <si>
    <t>Cenveo, Inc.</t>
  </si>
  <si>
    <t>CVOVQ US Equity</t>
  </si>
  <si>
    <t>2017-11-04</t>
  </si>
  <si>
    <t>2012-11-04</t>
  </si>
  <si>
    <t>SA_250</t>
  </si>
  <si>
    <t>2018-03-12</t>
  </si>
  <si>
    <t>OREXQ</t>
  </si>
  <si>
    <t>Orexigen Therapeutics, Inc.</t>
  </si>
  <si>
    <t>OREXQ US Equity</t>
  </si>
  <si>
    <t>2017-12-12</t>
  </si>
  <si>
    <t>2012-12-12</t>
  </si>
  <si>
    <t>SA_46</t>
  </si>
  <si>
    <t>2018-05-18</t>
  </si>
  <si>
    <t>REXXQ</t>
  </si>
  <si>
    <t>Rex Energy Corporation</t>
  </si>
  <si>
    <t>REXXQ US Equity</t>
  </si>
  <si>
    <t>2018-02-17</t>
  </si>
  <si>
    <t>2013-02-17</t>
  </si>
  <si>
    <t>SA_288</t>
  </si>
  <si>
    <t>2018-10-15</t>
  </si>
  <si>
    <t>SHLDQ</t>
  </si>
  <si>
    <t>Sears Holdings Corporation</t>
  </si>
  <si>
    <t>SHLDQ US Equity</t>
  </si>
  <si>
    <t>2018-07-17</t>
  </si>
  <si>
    <t>2013-07-17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</si>
  <si>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</si>
  <si>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</si>
  <si>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</si>
  <si>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</si>
  <si>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</si>
  <si>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</si>
  <si>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</si>
  <si>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</si>
  <si>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</si>
  <si>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</si>
  <si>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</si>
  <si>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</si>
  <si>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</si>
  <si>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</si>
  <si>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</si>
  <si>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</si>
  <si>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</si>
  <si>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</si>
  <si>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</si>
  <si>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</si>
  <si>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</si>
  <si>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</si>
  <si>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</si>
  <si>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</si>
  <si>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</si>
  <si>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</si>
  <si>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</si>
  <si>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</si>
  <si>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</si>
  <si>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</si>
  <si>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</si>
  <si>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</si>
  <si>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</si>
  <si>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</si>
  <si>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</si>
  <si>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</si>
  <si>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</si>
  <si>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</si>
  <si>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</si>
  <si>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</si>
  <si>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</si>
  <si>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</si>
  <si>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</si>
  <si>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</si>
  <si>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</si>
  <si>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</si>
  <si>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</si>
  <si>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</si>
  <si>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beta_Date</t>
  </si>
  <si>
    <t>beta_Value</t>
  </si>
  <si>
    <t>volume_Date</t>
  </si>
  <si>
    <t>volume_Value</t>
  </si>
  <si>
    <t>turnover_Date</t>
  </si>
  <si>
    <t>turnover_Value</t>
  </si>
  <si>
    <t>bid_ask_spread_Date</t>
  </si>
  <si>
    <t>bid_ask_spread_Value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</si>
</sst>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theme" Target="theme/theme1.xml"/><Relationship Id="rId53" Type="http://schemas.openxmlformats.org/officeDocument/2006/relationships/styles" Target="styles.xml"/><Relationship Id="rId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51"/>
  <sheetViews>
    <sheetView tabSelected="1" workbookViewId="0"/>
  </sheetViews>
  <sheetFormatPr defaultRowHeight="15"/>
  <cols>
    <col min="1" max="11" width="18.710937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16</v>
      </c>
      <c r="H2" t="s">
        <v>17</v>
      </c>
      <c r="I2" t="s">
        <v>18</v>
      </c>
      <c r="J2" t="s">
        <v>19</v>
      </c>
      <c r="K2" t="s">
        <v>18</v>
      </c>
    </row>
    <row r="3" spans="1:11">
      <c r="A3" t="s">
        <v>20</v>
      </c>
      <c r="B3" t="s">
        <v>12</v>
      </c>
      <c r="C3" t="s">
        <v>21</v>
      </c>
      <c r="D3" t="s">
        <v>22</v>
      </c>
      <c r="E3" t="s">
        <v>23</v>
      </c>
      <c r="F3" t="s">
        <v>16</v>
      </c>
      <c r="G3" t="s">
        <v>16</v>
      </c>
      <c r="H3" t="s">
        <v>24</v>
      </c>
      <c r="I3" t="s">
        <v>25</v>
      </c>
      <c r="J3" t="s">
        <v>26</v>
      </c>
      <c r="K3" t="s">
        <v>25</v>
      </c>
    </row>
    <row r="4" spans="1:11">
      <c r="A4" t="s">
        <v>27</v>
      </c>
      <c r="B4" t="s">
        <v>12</v>
      </c>
      <c r="C4" t="s">
        <v>28</v>
      </c>
      <c r="D4" t="s">
        <v>29</v>
      </c>
      <c r="E4" t="s">
        <v>30</v>
      </c>
      <c r="F4" t="s">
        <v>16</v>
      </c>
      <c r="G4" t="s">
        <v>16</v>
      </c>
      <c r="H4" t="s">
        <v>31</v>
      </c>
      <c r="I4" t="s">
        <v>32</v>
      </c>
      <c r="J4" t="s">
        <v>33</v>
      </c>
      <c r="K4" t="s">
        <v>32</v>
      </c>
    </row>
    <row r="5" spans="1:11">
      <c r="A5" t="s">
        <v>34</v>
      </c>
      <c r="B5" t="s">
        <v>12</v>
      </c>
      <c r="C5" t="s">
        <v>35</v>
      </c>
      <c r="D5" t="s">
        <v>36</v>
      </c>
      <c r="E5" t="s">
        <v>37</v>
      </c>
      <c r="F5" t="s">
        <v>16</v>
      </c>
      <c r="G5" t="s">
        <v>16</v>
      </c>
      <c r="H5" t="s">
        <v>38</v>
      </c>
      <c r="I5" t="s">
        <v>39</v>
      </c>
      <c r="J5" t="s">
        <v>40</v>
      </c>
      <c r="K5" t="s">
        <v>39</v>
      </c>
    </row>
    <row r="6" spans="1:11">
      <c r="A6" t="s">
        <v>41</v>
      </c>
      <c r="B6" t="s">
        <v>12</v>
      </c>
      <c r="C6" t="s">
        <v>42</v>
      </c>
      <c r="D6" t="s">
        <v>43</v>
      </c>
      <c r="E6" t="s">
        <v>44</v>
      </c>
      <c r="F6" t="s">
        <v>16</v>
      </c>
      <c r="G6" t="s">
        <v>16</v>
      </c>
      <c r="H6" t="s">
        <v>45</v>
      </c>
      <c r="I6" t="s">
        <v>46</v>
      </c>
      <c r="J6" t="s">
        <v>47</v>
      </c>
      <c r="K6" t="s">
        <v>46</v>
      </c>
    </row>
    <row r="7" spans="1:11">
      <c r="A7" t="s">
        <v>48</v>
      </c>
      <c r="B7" t="s">
        <v>12</v>
      </c>
      <c r="C7" t="s">
        <v>49</v>
      </c>
      <c r="D7" t="s">
        <v>50</v>
      </c>
      <c r="E7" t="s">
        <v>51</v>
      </c>
      <c r="F7" t="s">
        <v>16</v>
      </c>
      <c r="G7" t="s">
        <v>16</v>
      </c>
      <c r="H7" t="s">
        <v>52</v>
      </c>
      <c r="I7" t="s">
        <v>53</v>
      </c>
      <c r="J7" t="s">
        <v>54</v>
      </c>
      <c r="K7" t="s">
        <v>53</v>
      </c>
    </row>
    <row r="8" spans="1:11">
      <c r="A8" t="s">
        <v>55</v>
      </c>
      <c r="B8" t="s">
        <v>12</v>
      </c>
      <c r="C8" t="s">
        <v>49</v>
      </c>
      <c r="D8" t="s">
        <v>56</v>
      </c>
      <c r="E8" t="s">
        <v>57</v>
      </c>
      <c r="F8" t="s">
        <v>16</v>
      </c>
      <c r="G8" t="s">
        <v>16</v>
      </c>
      <c r="H8" t="s">
        <v>58</v>
      </c>
      <c r="I8" t="s">
        <v>53</v>
      </c>
      <c r="J8" t="s">
        <v>54</v>
      </c>
      <c r="K8" t="s">
        <v>53</v>
      </c>
    </row>
    <row r="9" spans="1:11">
      <c r="A9" t="s">
        <v>59</v>
      </c>
      <c r="B9" t="s">
        <v>12</v>
      </c>
      <c r="C9" t="s">
        <v>60</v>
      </c>
      <c r="D9" t="s">
        <v>61</v>
      </c>
      <c r="E9" t="s">
        <v>62</v>
      </c>
      <c r="F9" t="s">
        <v>16</v>
      </c>
      <c r="G9" t="s">
        <v>16</v>
      </c>
      <c r="H9" t="s">
        <v>63</v>
      </c>
      <c r="I9" t="s">
        <v>64</v>
      </c>
      <c r="J9" t="s">
        <v>65</v>
      </c>
      <c r="K9" t="s">
        <v>64</v>
      </c>
    </row>
    <row r="10" spans="1:11">
      <c r="A10" t="s">
        <v>66</v>
      </c>
      <c r="B10" t="s">
        <v>12</v>
      </c>
      <c r="C10" t="s">
        <v>67</v>
      </c>
      <c r="D10" t="s">
        <v>68</v>
      </c>
      <c r="E10" t="s">
        <v>69</v>
      </c>
      <c r="F10" t="s">
        <v>16</v>
      </c>
      <c r="G10" t="s">
        <v>16</v>
      </c>
      <c r="H10" t="s">
        <v>70</v>
      </c>
      <c r="I10" t="s">
        <v>71</v>
      </c>
      <c r="J10" t="s">
        <v>72</v>
      </c>
      <c r="K10" t="s">
        <v>71</v>
      </c>
    </row>
    <row r="11" spans="1:11">
      <c r="A11" t="s">
        <v>73</v>
      </c>
      <c r="B11" t="s">
        <v>12</v>
      </c>
      <c r="C11" t="s">
        <v>74</v>
      </c>
      <c r="D11" t="s">
        <v>75</v>
      </c>
      <c r="E11" t="s">
        <v>76</v>
      </c>
      <c r="F11" t="s">
        <v>16</v>
      </c>
      <c r="G11" t="s">
        <v>16</v>
      </c>
      <c r="H11" t="s">
        <v>77</v>
      </c>
      <c r="I11" t="s">
        <v>78</v>
      </c>
      <c r="J11" t="s">
        <v>79</v>
      </c>
      <c r="K11" t="s">
        <v>78</v>
      </c>
    </row>
    <row r="12" spans="1:11">
      <c r="A12" t="s">
        <v>80</v>
      </c>
      <c r="B12" t="s">
        <v>12</v>
      </c>
      <c r="C12" t="s">
        <v>81</v>
      </c>
      <c r="D12" t="s">
        <v>82</v>
      </c>
      <c r="E12" t="s">
        <v>83</v>
      </c>
      <c r="F12" t="s">
        <v>16</v>
      </c>
      <c r="G12" t="s">
        <v>16</v>
      </c>
      <c r="H12" t="s">
        <v>84</v>
      </c>
      <c r="I12" t="s">
        <v>85</v>
      </c>
      <c r="J12" t="s">
        <v>86</v>
      </c>
      <c r="K12" t="s">
        <v>85</v>
      </c>
    </row>
    <row r="13" spans="1:11">
      <c r="A13" t="s">
        <v>87</v>
      </c>
      <c r="B13" t="s">
        <v>12</v>
      </c>
      <c r="C13" t="s">
        <v>88</v>
      </c>
      <c r="D13" t="s">
        <v>89</v>
      </c>
      <c r="E13" t="s">
        <v>90</v>
      </c>
      <c r="F13" t="s">
        <v>16</v>
      </c>
      <c r="G13" t="s">
        <v>16</v>
      </c>
      <c r="H13" t="s">
        <v>91</v>
      </c>
      <c r="I13" t="s">
        <v>92</v>
      </c>
      <c r="J13" t="s">
        <v>93</v>
      </c>
      <c r="K13" t="s">
        <v>92</v>
      </c>
    </row>
    <row r="14" spans="1:11">
      <c r="A14" t="s">
        <v>94</v>
      </c>
      <c r="B14" t="s">
        <v>12</v>
      </c>
      <c r="C14" t="s">
        <v>95</v>
      </c>
      <c r="D14" t="s">
        <v>96</v>
      </c>
      <c r="E14" t="s">
        <v>97</v>
      </c>
      <c r="F14" t="s">
        <v>16</v>
      </c>
      <c r="G14" t="s">
        <v>16</v>
      </c>
      <c r="H14" t="s">
        <v>98</v>
      </c>
      <c r="I14" t="s">
        <v>99</v>
      </c>
      <c r="J14" t="s">
        <v>100</v>
      </c>
      <c r="K14" t="s">
        <v>99</v>
      </c>
    </row>
    <row r="15" spans="1:11">
      <c r="A15" t="s">
        <v>101</v>
      </c>
      <c r="B15" t="s">
        <v>12</v>
      </c>
      <c r="C15" t="s">
        <v>102</v>
      </c>
      <c r="D15" t="s">
        <v>103</v>
      </c>
      <c r="E15" t="s">
        <v>104</v>
      </c>
      <c r="F15" t="s">
        <v>16</v>
      </c>
      <c r="G15" t="s">
        <v>16</v>
      </c>
      <c r="H15" t="s">
        <v>105</v>
      </c>
      <c r="I15" t="s">
        <v>106</v>
      </c>
      <c r="J15" t="s">
        <v>107</v>
      </c>
      <c r="K15" t="s">
        <v>106</v>
      </c>
    </row>
    <row r="16" spans="1:11">
      <c r="A16" t="s">
        <v>108</v>
      </c>
      <c r="B16" t="s">
        <v>12</v>
      </c>
      <c r="C16" t="s">
        <v>109</v>
      </c>
      <c r="D16" t="s">
        <v>110</v>
      </c>
      <c r="E16" t="s">
        <v>111</v>
      </c>
      <c r="F16" t="s">
        <v>16</v>
      </c>
      <c r="G16" t="s">
        <v>16</v>
      </c>
      <c r="H16" t="s">
        <v>112</v>
      </c>
      <c r="I16" t="s">
        <v>113</v>
      </c>
      <c r="J16" t="s">
        <v>114</v>
      </c>
      <c r="K16" t="s">
        <v>113</v>
      </c>
    </row>
    <row r="17" spans="1:11">
      <c r="A17" t="s">
        <v>115</v>
      </c>
      <c r="B17" t="s">
        <v>12</v>
      </c>
      <c r="C17" t="s">
        <v>116</v>
      </c>
      <c r="D17" t="s">
        <v>117</v>
      </c>
      <c r="E17" t="s">
        <v>118</v>
      </c>
      <c r="F17" t="s">
        <v>16</v>
      </c>
      <c r="G17" t="s">
        <v>16</v>
      </c>
      <c r="H17" t="s">
        <v>119</v>
      </c>
      <c r="I17" t="s">
        <v>120</v>
      </c>
      <c r="J17" t="s">
        <v>121</v>
      </c>
      <c r="K17" t="s">
        <v>120</v>
      </c>
    </row>
    <row r="18" spans="1:11">
      <c r="A18" t="s">
        <v>122</v>
      </c>
      <c r="B18" t="s">
        <v>12</v>
      </c>
      <c r="C18" t="s">
        <v>123</v>
      </c>
      <c r="D18" t="s">
        <v>124</v>
      </c>
      <c r="E18" t="s">
        <v>125</v>
      </c>
      <c r="F18" t="s">
        <v>16</v>
      </c>
      <c r="G18" t="s">
        <v>16</v>
      </c>
      <c r="H18" t="s">
        <v>126</v>
      </c>
      <c r="I18" t="s">
        <v>127</v>
      </c>
      <c r="J18" t="s">
        <v>128</v>
      </c>
      <c r="K18" t="s">
        <v>127</v>
      </c>
    </row>
    <row r="19" spans="1:11">
      <c r="A19" t="s">
        <v>129</v>
      </c>
      <c r="B19" t="s">
        <v>12</v>
      </c>
      <c r="C19" t="s">
        <v>130</v>
      </c>
      <c r="D19" t="s">
        <v>131</v>
      </c>
      <c r="E19" t="s">
        <v>132</v>
      </c>
      <c r="F19" t="s">
        <v>16</v>
      </c>
      <c r="G19" t="s">
        <v>16</v>
      </c>
      <c r="H19" t="s">
        <v>133</v>
      </c>
      <c r="I19" t="s">
        <v>134</v>
      </c>
      <c r="J19" t="s">
        <v>135</v>
      </c>
      <c r="K19" t="s">
        <v>134</v>
      </c>
    </row>
    <row r="20" spans="1:11">
      <c r="A20" t="s">
        <v>136</v>
      </c>
      <c r="B20" t="s">
        <v>12</v>
      </c>
      <c r="C20" t="s">
        <v>137</v>
      </c>
      <c r="D20" t="s">
        <v>138</v>
      </c>
      <c r="E20" t="s">
        <v>139</v>
      </c>
      <c r="F20" t="s">
        <v>16</v>
      </c>
      <c r="G20" t="s">
        <v>16</v>
      </c>
      <c r="H20" t="s">
        <v>140</v>
      </c>
      <c r="I20" t="s">
        <v>141</v>
      </c>
      <c r="J20" t="s">
        <v>142</v>
      </c>
      <c r="K20" t="s">
        <v>141</v>
      </c>
    </row>
    <row r="21" spans="1:11">
      <c r="A21" t="s">
        <v>143</v>
      </c>
      <c r="B21" t="s">
        <v>12</v>
      </c>
      <c r="C21" t="s">
        <v>144</v>
      </c>
      <c r="D21" t="s">
        <v>145</v>
      </c>
      <c r="E21" t="s">
        <v>146</v>
      </c>
      <c r="F21" t="s">
        <v>16</v>
      </c>
      <c r="G21" t="s">
        <v>16</v>
      </c>
      <c r="H21" t="s">
        <v>147</v>
      </c>
      <c r="I21" t="s">
        <v>148</v>
      </c>
      <c r="J21" t="s">
        <v>149</v>
      </c>
      <c r="K21" t="s">
        <v>148</v>
      </c>
    </row>
    <row r="22" spans="1:11">
      <c r="A22" t="s">
        <v>150</v>
      </c>
      <c r="B22" t="s">
        <v>12</v>
      </c>
      <c r="C22" t="s">
        <v>144</v>
      </c>
      <c r="D22" t="s">
        <v>151</v>
      </c>
      <c r="E22" t="s">
        <v>152</v>
      </c>
      <c r="F22" t="s">
        <v>16</v>
      </c>
      <c r="G22" t="s">
        <v>16</v>
      </c>
      <c r="H22" t="s">
        <v>153</v>
      </c>
      <c r="I22" t="s">
        <v>148</v>
      </c>
      <c r="J22" t="s">
        <v>149</v>
      </c>
      <c r="K22" t="s">
        <v>148</v>
      </c>
    </row>
    <row r="23" spans="1:11">
      <c r="A23" t="s">
        <v>154</v>
      </c>
      <c r="B23" t="s">
        <v>12</v>
      </c>
      <c r="C23" t="s">
        <v>155</v>
      </c>
      <c r="D23" t="s">
        <v>156</v>
      </c>
      <c r="E23" t="s">
        <v>157</v>
      </c>
      <c r="F23" t="s">
        <v>16</v>
      </c>
      <c r="G23" t="s">
        <v>16</v>
      </c>
      <c r="H23" t="s">
        <v>158</v>
      </c>
      <c r="I23" t="s">
        <v>159</v>
      </c>
      <c r="J23" t="s">
        <v>160</v>
      </c>
      <c r="K23" t="s">
        <v>159</v>
      </c>
    </row>
    <row r="24" spans="1:11">
      <c r="A24" t="s">
        <v>161</v>
      </c>
      <c r="B24" t="s">
        <v>12</v>
      </c>
      <c r="C24" t="s">
        <v>162</v>
      </c>
      <c r="D24" t="s">
        <v>163</v>
      </c>
      <c r="E24" t="s">
        <v>164</v>
      </c>
      <c r="F24" t="s">
        <v>16</v>
      </c>
      <c r="G24" t="s">
        <v>16</v>
      </c>
      <c r="H24" t="s">
        <v>165</v>
      </c>
      <c r="I24" t="s">
        <v>166</v>
      </c>
      <c r="J24" t="s">
        <v>167</v>
      </c>
      <c r="K24" t="s">
        <v>166</v>
      </c>
    </row>
    <row r="25" spans="1:11">
      <c r="A25" t="s">
        <v>168</v>
      </c>
      <c r="B25" t="s">
        <v>12</v>
      </c>
      <c r="C25" t="s">
        <v>169</v>
      </c>
      <c r="D25" t="s">
        <v>170</v>
      </c>
      <c r="E25" t="s">
        <v>171</v>
      </c>
      <c r="F25" t="s">
        <v>16</v>
      </c>
      <c r="G25" t="s">
        <v>16</v>
      </c>
      <c r="H25" t="s">
        <v>172</v>
      </c>
      <c r="I25" t="s">
        <v>173</v>
      </c>
      <c r="J25" t="s">
        <v>174</v>
      </c>
      <c r="K25" t="s">
        <v>173</v>
      </c>
    </row>
    <row r="26" spans="1:11">
      <c r="A26" t="s">
        <v>175</v>
      </c>
      <c r="B26" t="s">
        <v>12</v>
      </c>
      <c r="C26" t="s">
        <v>176</v>
      </c>
      <c r="D26" t="s">
        <v>177</v>
      </c>
      <c r="E26" t="s">
        <v>178</v>
      </c>
      <c r="F26" t="s">
        <v>16</v>
      </c>
      <c r="G26" t="s">
        <v>16</v>
      </c>
      <c r="H26" t="s">
        <v>179</v>
      </c>
      <c r="I26" t="s">
        <v>180</v>
      </c>
      <c r="J26" t="s">
        <v>181</v>
      </c>
      <c r="K26" t="s">
        <v>180</v>
      </c>
    </row>
    <row r="27" spans="1:11">
      <c r="A27" t="s">
        <v>182</v>
      </c>
      <c r="B27" t="s">
        <v>12</v>
      </c>
      <c r="C27" t="s">
        <v>183</v>
      </c>
      <c r="D27" t="s">
        <v>184</v>
      </c>
      <c r="E27" t="s">
        <v>185</v>
      </c>
      <c r="F27" t="s">
        <v>16</v>
      </c>
      <c r="G27" t="s">
        <v>16</v>
      </c>
      <c r="H27" t="s">
        <v>186</v>
      </c>
      <c r="I27" t="s">
        <v>187</v>
      </c>
      <c r="J27" t="s">
        <v>188</v>
      </c>
      <c r="K27" t="s">
        <v>187</v>
      </c>
    </row>
    <row r="28" spans="1:11">
      <c r="A28" t="s">
        <v>189</v>
      </c>
      <c r="B28" t="s">
        <v>12</v>
      </c>
      <c r="C28" t="s">
        <v>190</v>
      </c>
      <c r="D28" t="s">
        <v>191</v>
      </c>
      <c r="E28" t="s">
        <v>192</v>
      </c>
      <c r="F28" t="s">
        <v>16</v>
      </c>
      <c r="G28" t="s">
        <v>16</v>
      </c>
      <c r="H28" t="s">
        <v>193</v>
      </c>
      <c r="I28" t="s">
        <v>194</v>
      </c>
      <c r="J28" t="s">
        <v>195</v>
      </c>
      <c r="K28" t="s">
        <v>194</v>
      </c>
    </row>
    <row r="29" spans="1:11">
      <c r="A29" t="s">
        <v>196</v>
      </c>
      <c r="B29" t="s">
        <v>12</v>
      </c>
      <c r="C29" t="s">
        <v>197</v>
      </c>
      <c r="D29" t="s">
        <v>198</v>
      </c>
      <c r="E29" t="s">
        <v>199</v>
      </c>
      <c r="F29" t="s">
        <v>16</v>
      </c>
      <c r="G29" t="s">
        <v>16</v>
      </c>
      <c r="H29" t="s">
        <v>200</v>
      </c>
      <c r="I29" t="s">
        <v>201</v>
      </c>
      <c r="J29" t="s">
        <v>202</v>
      </c>
      <c r="K29" t="s">
        <v>201</v>
      </c>
    </row>
    <row r="30" spans="1:11">
      <c r="A30" t="s">
        <v>203</v>
      </c>
      <c r="B30" t="s">
        <v>12</v>
      </c>
      <c r="C30" t="s">
        <v>204</v>
      </c>
      <c r="D30" t="s">
        <v>205</v>
      </c>
      <c r="E30" t="s">
        <v>206</v>
      </c>
      <c r="F30" t="s">
        <v>16</v>
      </c>
      <c r="G30" t="s">
        <v>16</v>
      </c>
      <c r="H30" t="s">
        <v>207</v>
      </c>
      <c r="I30" t="s">
        <v>208</v>
      </c>
      <c r="J30" t="s">
        <v>209</v>
      </c>
      <c r="K30" t="s">
        <v>208</v>
      </c>
    </row>
    <row r="31" spans="1:11">
      <c r="A31" t="s">
        <v>210</v>
      </c>
      <c r="B31" t="s">
        <v>12</v>
      </c>
      <c r="C31" t="s">
        <v>211</v>
      </c>
      <c r="D31" t="s">
        <v>212</v>
      </c>
      <c r="E31" t="s">
        <v>213</v>
      </c>
      <c r="F31" t="s">
        <v>16</v>
      </c>
      <c r="G31" t="s">
        <v>16</v>
      </c>
      <c r="H31" t="s">
        <v>214</v>
      </c>
      <c r="I31" t="s">
        <v>215</v>
      </c>
      <c r="J31" t="s">
        <v>216</v>
      </c>
      <c r="K31" t="s">
        <v>215</v>
      </c>
    </row>
    <row r="32" spans="1:11">
      <c r="A32" t="s">
        <v>217</v>
      </c>
      <c r="B32" t="s">
        <v>12</v>
      </c>
      <c r="C32" t="s">
        <v>218</v>
      </c>
      <c r="D32" t="s">
        <v>219</v>
      </c>
      <c r="E32" t="s">
        <v>220</v>
      </c>
      <c r="F32" t="s">
        <v>16</v>
      </c>
      <c r="G32" t="s">
        <v>16</v>
      </c>
      <c r="H32" t="s">
        <v>221</v>
      </c>
      <c r="I32" t="s">
        <v>222</v>
      </c>
      <c r="J32" t="s">
        <v>223</v>
      </c>
      <c r="K32" t="s">
        <v>222</v>
      </c>
    </row>
    <row r="33" spans="1:11">
      <c r="A33" t="s">
        <v>224</v>
      </c>
      <c r="B33" t="s">
        <v>12</v>
      </c>
      <c r="C33" t="s">
        <v>225</v>
      </c>
      <c r="D33" t="s">
        <v>226</v>
      </c>
      <c r="E33" t="s">
        <v>227</v>
      </c>
      <c r="F33" t="s">
        <v>16</v>
      </c>
      <c r="G33" t="s">
        <v>16</v>
      </c>
      <c r="H33" t="s">
        <v>228</v>
      </c>
      <c r="I33" t="s">
        <v>229</v>
      </c>
      <c r="J33" t="s">
        <v>230</v>
      </c>
      <c r="K33" t="s">
        <v>229</v>
      </c>
    </row>
    <row r="34" spans="1:11">
      <c r="A34" t="s">
        <v>231</v>
      </c>
      <c r="B34" t="s">
        <v>12</v>
      </c>
      <c r="C34" t="s">
        <v>232</v>
      </c>
      <c r="D34" t="s">
        <v>233</v>
      </c>
      <c r="E34" t="s">
        <v>234</v>
      </c>
      <c r="F34" t="s">
        <v>16</v>
      </c>
      <c r="G34" t="s">
        <v>16</v>
      </c>
      <c r="H34" t="s">
        <v>235</v>
      </c>
      <c r="I34" t="s">
        <v>236</v>
      </c>
      <c r="J34" t="s">
        <v>237</v>
      </c>
      <c r="K34" t="s">
        <v>236</v>
      </c>
    </row>
    <row r="35" spans="1:11">
      <c r="A35" t="s">
        <v>238</v>
      </c>
      <c r="B35" t="s">
        <v>12</v>
      </c>
      <c r="C35" t="s">
        <v>239</v>
      </c>
      <c r="D35" t="s">
        <v>240</v>
      </c>
      <c r="E35" t="s">
        <v>241</v>
      </c>
      <c r="F35" t="s">
        <v>16</v>
      </c>
      <c r="G35" t="s">
        <v>16</v>
      </c>
      <c r="H35" t="s">
        <v>242</v>
      </c>
      <c r="I35" t="s">
        <v>243</v>
      </c>
      <c r="J35" t="s">
        <v>244</v>
      </c>
      <c r="K35" t="s">
        <v>243</v>
      </c>
    </row>
    <row r="36" spans="1:11">
      <c r="A36" t="s">
        <v>245</v>
      </c>
      <c r="B36" t="s">
        <v>12</v>
      </c>
      <c r="C36" t="s">
        <v>246</v>
      </c>
      <c r="D36" t="s">
        <v>247</v>
      </c>
      <c r="E36" t="s">
        <v>248</v>
      </c>
      <c r="F36" t="s">
        <v>16</v>
      </c>
      <c r="G36" t="s">
        <v>16</v>
      </c>
      <c r="H36" t="s">
        <v>249</v>
      </c>
      <c r="I36" t="s">
        <v>250</v>
      </c>
      <c r="J36" t="s">
        <v>251</v>
      </c>
      <c r="K36" t="s">
        <v>250</v>
      </c>
    </row>
    <row r="37" spans="1:11">
      <c r="A37" t="s">
        <v>252</v>
      </c>
      <c r="B37" t="s">
        <v>12</v>
      </c>
      <c r="C37" t="s">
        <v>253</v>
      </c>
      <c r="D37" t="s">
        <v>254</v>
      </c>
      <c r="E37" t="s">
        <v>255</v>
      </c>
      <c r="F37" t="s">
        <v>16</v>
      </c>
      <c r="G37" t="s">
        <v>16</v>
      </c>
      <c r="H37" t="s">
        <v>256</v>
      </c>
      <c r="I37" t="s">
        <v>257</v>
      </c>
      <c r="J37" t="s">
        <v>258</v>
      </c>
      <c r="K37" t="s">
        <v>257</v>
      </c>
    </row>
    <row r="38" spans="1:11">
      <c r="A38" t="s">
        <v>259</v>
      </c>
      <c r="B38" t="s">
        <v>12</v>
      </c>
      <c r="C38" t="s">
        <v>260</v>
      </c>
      <c r="D38" t="s">
        <v>261</v>
      </c>
      <c r="E38" t="s">
        <v>262</v>
      </c>
      <c r="F38" t="s">
        <v>16</v>
      </c>
      <c r="G38" t="s">
        <v>16</v>
      </c>
      <c r="H38" t="s">
        <v>263</v>
      </c>
      <c r="I38" t="s">
        <v>239</v>
      </c>
      <c r="J38" t="s">
        <v>264</v>
      </c>
      <c r="K38" t="s">
        <v>239</v>
      </c>
    </row>
    <row r="39" spans="1:11">
      <c r="A39" t="s">
        <v>265</v>
      </c>
      <c r="B39" t="s">
        <v>12</v>
      </c>
      <c r="C39" t="s">
        <v>266</v>
      </c>
      <c r="D39" t="s">
        <v>267</v>
      </c>
      <c r="E39" t="s">
        <v>268</v>
      </c>
      <c r="F39" t="s">
        <v>16</v>
      </c>
      <c r="G39" t="s">
        <v>16</v>
      </c>
      <c r="H39" t="s">
        <v>269</v>
      </c>
      <c r="I39" t="s">
        <v>270</v>
      </c>
      <c r="J39" t="s">
        <v>271</v>
      </c>
      <c r="K39" t="s">
        <v>270</v>
      </c>
    </row>
    <row r="40" spans="1:11">
      <c r="A40" t="s">
        <v>272</v>
      </c>
      <c r="B40" t="s">
        <v>12</v>
      </c>
      <c r="C40" t="s">
        <v>273</v>
      </c>
      <c r="D40" t="s">
        <v>274</v>
      </c>
      <c r="E40" t="s">
        <v>275</v>
      </c>
      <c r="F40" t="s">
        <v>16</v>
      </c>
      <c r="G40" t="s">
        <v>16</v>
      </c>
      <c r="H40" t="s">
        <v>276</v>
      </c>
      <c r="I40" t="s">
        <v>277</v>
      </c>
      <c r="J40" t="s">
        <v>278</v>
      </c>
      <c r="K40" t="s">
        <v>277</v>
      </c>
    </row>
    <row r="41" spans="1:11">
      <c r="A41" t="s">
        <v>279</v>
      </c>
      <c r="B41" t="s">
        <v>12</v>
      </c>
      <c r="C41" t="s">
        <v>280</v>
      </c>
      <c r="D41" t="s">
        <v>281</v>
      </c>
      <c r="E41" t="s">
        <v>282</v>
      </c>
      <c r="F41" t="s">
        <v>16</v>
      </c>
      <c r="G41" t="s">
        <v>16</v>
      </c>
      <c r="H41" t="s">
        <v>283</v>
      </c>
      <c r="I41" t="s">
        <v>284</v>
      </c>
      <c r="J41" t="s">
        <v>285</v>
      </c>
      <c r="K41" t="s">
        <v>284</v>
      </c>
    </row>
    <row r="42" spans="1:11">
      <c r="A42" t="s">
        <v>286</v>
      </c>
      <c r="B42" t="s">
        <v>12</v>
      </c>
      <c r="C42" t="s">
        <v>287</v>
      </c>
      <c r="D42" t="s">
        <v>288</v>
      </c>
      <c r="E42" t="s">
        <v>289</v>
      </c>
      <c r="F42" t="s">
        <v>16</v>
      </c>
      <c r="G42" t="s">
        <v>16</v>
      </c>
      <c r="H42" t="s">
        <v>290</v>
      </c>
      <c r="I42" t="s">
        <v>291</v>
      </c>
      <c r="J42" t="s">
        <v>292</v>
      </c>
      <c r="K42" t="s">
        <v>291</v>
      </c>
    </row>
    <row r="43" spans="1:11">
      <c r="A43" t="s">
        <v>293</v>
      </c>
      <c r="B43" t="s">
        <v>12</v>
      </c>
      <c r="C43" t="s">
        <v>294</v>
      </c>
      <c r="D43" t="s">
        <v>295</v>
      </c>
      <c r="E43" t="s">
        <v>296</v>
      </c>
      <c r="F43" t="s">
        <v>16</v>
      </c>
      <c r="G43" t="s">
        <v>16</v>
      </c>
      <c r="H43" t="s">
        <v>297</v>
      </c>
      <c r="I43" t="s">
        <v>298</v>
      </c>
      <c r="J43" t="s">
        <v>299</v>
      </c>
      <c r="K43" t="s">
        <v>298</v>
      </c>
    </row>
    <row r="44" spans="1:11">
      <c r="A44" t="s">
        <v>300</v>
      </c>
      <c r="B44" t="s">
        <v>12</v>
      </c>
      <c r="C44" t="s">
        <v>301</v>
      </c>
      <c r="D44" t="s">
        <v>302</v>
      </c>
      <c r="E44" t="s">
        <v>303</v>
      </c>
      <c r="F44" t="s">
        <v>16</v>
      </c>
      <c r="G44" t="s">
        <v>16</v>
      </c>
      <c r="H44" t="s">
        <v>304</v>
      </c>
      <c r="I44" t="s">
        <v>305</v>
      </c>
      <c r="J44" t="s">
        <v>306</v>
      </c>
      <c r="K44" t="s">
        <v>305</v>
      </c>
    </row>
    <row r="45" spans="1:11">
      <c r="A45" t="s">
        <v>307</v>
      </c>
      <c r="B45" t="s">
        <v>12</v>
      </c>
      <c r="C45" t="s">
        <v>308</v>
      </c>
      <c r="D45" t="s">
        <v>309</v>
      </c>
      <c r="E45" t="s">
        <v>310</v>
      </c>
      <c r="F45" t="s">
        <v>16</v>
      </c>
      <c r="G45" t="s">
        <v>16</v>
      </c>
      <c r="H45" t="s">
        <v>311</v>
      </c>
      <c r="I45" t="s">
        <v>312</v>
      </c>
      <c r="J45" t="s">
        <v>313</v>
      </c>
      <c r="K45" t="s">
        <v>312</v>
      </c>
    </row>
    <row r="46" spans="1:11">
      <c r="A46" t="s">
        <v>314</v>
      </c>
      <c r="B46" t="s">
        <v>12</v>
      </c>
      <c r="C46" t="s">
        <v>315</v>
      </c>
      <c r="D46" t="s">
        <v>316</v>
      </c>
      <c r="E46" t="s">
        <v>317</v>
      </c>
      <c r="F46" t="s">
        <v>16</v>
      </c>
      <c r="G46" t="s">
        <v>16</v>
      </c>
      <c r="H46" t="s">
        <v>318</v>
      </c>
      <c r="I46" t="s">
        <v>319</v>
      </c>
      <c r="J46" t="s">
        <v>320</v>
      </c>
      <c r="K46" t="s">
        <v>319</v>
      </c>
    </row>
    <row r="47" spans="1:11">
      <c r="A47" t="s">
        <v>321</v>
      </c>
      <c r="B47" t="s">
        <v>12</v>
      </c>
      <c r="C47" t="s">
        <v>322</v>
      </c>
      <c r="D47" t="s">
        <v>323</v>
      </c>
      <c r="E47" t="s">
        <v>324</v>
      </c>
      <c r="F47" t="s">
        <v>16</v>
      </c>
      <c r="G47" t="s">
        <v>16</v>
      </c>
      <c r="H47" t="s">
        <v>325</v>
      </c>
      <c r="I47" t="s">
        <v>326</v>
      </c>
      <c r="J47" t="s">
        <v>327</v>
      </c>
      <c r="K47" t="s">
        <v>326</v>
      </c>
    </row>
    <row r="48" spans="1:11">
      <c r="A48" t="s">
        <v>328</v>
      </c>
      <c r="B48" t="s">
        <v>12</v>
      </c>
      <c r="C48" t="s">
        <v>329</v>
      </c>
      <c r="D48" t="s">
        <v>330</v>
      </c>
      <c r="E48" t="s">
        <v>331</v>
      </c>
      <c r="F48" t="s">
        <v>16</v>
      </c>
      <c r="G48" t="s">
        <v>16</v>
      </c>
      <c r="H48" t="s">
        <v>332</v>
      </c>
      <c r="I48" t="s">
        <v>333</v>
      </c>
      <c r="J48" t="s">
        <v>334</v>
      </c>
      <c r="K48" t="s">
        <v>333</v>
      </c>
    </row>
    <row r="49" spans="1:11">
      <c r="A49" t="s">
        <v>335</v>
      </c>
      <c r="B49" t="s">
        <v>12</v>
      </c>
      <c r="C49" t="s">
        <v>336</v>
      </c>
      <c r="D49" t="s">
        <v>337</v>
      </c>
      <c r="E49" t="s">
        <v>338</v>
      </c>
      <c r="F49" t="s">
        <v>16</v>
      </c>
      <c r="G49" t="s">
        <v>16</v>
      </c>
      <c r="H49" t="s">
        <v>339</v>
      </c>
      <c r="I49" t="s">
        <v>340</v>
      </c>
      <c r="J49" t="s">
        <v>341</v>
      </c>
      <c r="K49" t="s">
        <v>340</v>
      </c>
    </row>
    <row r="50" spans="1:11">
      <c r="A50" t="s">
        <v>342</v>
      </c>
      <c r="B50" t="s">
        <v>12</v>
      </c>
      <c r="C50" t="s">
        <v>343</v>
      </c>
      <c r="D50" t="s">
        <v>344</v>
      </c>
      <c r="E50" t="s">
        <v>345</v>
      </c>
      <c r="F50" t="s">
        <v>16</v>
      </c>
      <c r="G50" t="s">
        <v>16</v>
      </c>
      <c r="H50" t="s">
        <v>346</v>
      </c>
      <c r="I50" t="s">
        <v>347</v>
      </c>
      <c r="J50" t="s">
        <v>348</v>
      </c>
      <c r="K50" t="s">
        <v>347</v>
      </c>
    </row>
    <row r="51" spans="1:11">
      <c r="A51" t="s">
        <v>349</v>
      </c>
      <c r="B51" t="s">
        <v>12</v>
      </c>
      <c r="C51" t="s">
        <v>350</v>
      </c>
      <c r="D51" t="s">
        <v>351</v>
      </c>
      <c r="E51" t="s">
        <v>352</v>
      </c>
      <c r="F51" t="s">
        <v>16</v>
      </c>
      <c r="G51" t="s">
        <v>16</v>
      </c>
      <c r="H51" t="s">
        <v>353</v>
      </c>
      <c r="I51" t="s">
        <v>354</v>
      </c>
      <c r="J51" t="s">
        <v>355</v>
      </c>
      <c r="K51" t="s">
        <v>354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BDH("ENERQ US Equity","BS_TOT_ASSET","2006-11-16","2011-11-16","Per=Y","Days=T","Dir=V")</f>
        <v>0</v>
      </c>
      <c r="C2">
        <f>BDH("ENERQ US Equity","BS_TOT_LIAB2","2006-11-16","2011-11-16","Per=Y","Days=T","Dir=V")</f>
        <v>0</v>
      </c>
      <c r="E2">
        <f>BDH("ENERQ US Equity","SHORT_AND_LONG_TERM_DEBT","2006-11-16","2011-11-16","Per=Y","Days=T","Dir=V")</f>
        <v>0</v>
      </c>
      <c r="G2">
        <f>BDH("ENERQ US Equity","BS_ST_BORROW","2006-11-16","2011-11-16","Per=Y","Days=T","Dir=V")</f>
        <v>0</v>
      </c>
      <c r="I2">
        <f>BDH("ENERQ US Equity","BS_LT_BORROW","2006-11-16","2011-11-16","Per=Y","Days=T","Dir=V")</f>
        <v>0</v>
      </c>
      <c r="K2">
        <f>BDH("ENERQ US Equity","BS_CASH_NEAR_CASH_ITEM","2006-11-16","2011-11-16","Per=Y","Days=T","Dir=V")</f>
        <v>0</v>
      </c>
      <c r="M2">
        <f>BDH("ENERQ US Equity","BS_CUR_ASSET_REPORT","2006-11-16","2011-11-16","Per=Y","Days=T","Dir=V")</f>
        <v>0</v>
      </c>
      <c r="O2">
        <f>BDH("ENERQ US Equity","BS_CUR_LIAB","2006-11-16","2011-11-16","Per=Y","Days=T","Dir=V")</f>
        <v>0</v>
      </c>
      <c r="Q2">
        <f>BDH("ENERQ US Equity","BS_SHAREHOLDER_EQY_ENDING_PERIOD","2006-11-16","2011-11-16","Per=Y","Days=T","Dir=V")</f>
        <v>0</v>
      </c>
      <c r="S2">
        <f>BDH("ENERQ US Equity","BS_ACCT_NOTE_RCV","2006-11-16","2011-11-16","Per=Y","Days=T","Dir=V")</f>
        <v>0</v>
      </c>
      <c r="U2">
        <f>BDH("ENERQ US Equity","BS_INVENTORIES","2006-11-16","2011-11-16","Per=Y","Days=T","Dir=V")</f>
        <v>0</v>
      </c>
      <c r="W2">
        <f>BDH("ENERQ US Equity","WORKING_CAPITAL","2006-11-16","2011-11-16","Per=Y","Days=T","Dir=V")</f>
        <v>0</v>
      </c>
      <c r="Y2">
        <f>BDH("ENERQ US Equity","SALES_REV_TURN","2006-11-16","2011-11-16","Per=Y","Days=T","Dir=V")</f>
        <v>0</v>
      </c>
      <c r="AA2">
        <f>BDH("ENERQ US Equity","EBIT","2006-11-16","2011-11-16","Per=Y","Days=T","Dir=V")</f>
        <v>0</v>
      </c>
      <c r="AC2">
        <f>BDH("ENERQ US Equity","EBITDA","2006-11-16","2011-11-16","Per=Y","Days=T","Dir=V")</f>
        <v>0</v>
      </c>
      <c r="AE2">
        <f>BDH("ENERQ US Equity","NET_INCOME","2006-11-16","2011-11-16","Per=Y","Days=T","Dir=V")</f>
        <v>0</v>
      </c>
      <c r="AG2">
        <f>BDH("ENERQ US Equity","IS_INT_EXPENSE","2006-11-16","2011-11-16","Per=Y","Days=T","Dir=V")</f>
        <v>0</v>
      </c>
      <c r="AI2">
        <f>BDH("ENERQ US Equity","IS_DEPR_EXP","2006-11-16","2011-11-16","Per=Y","Days=T","Dir=V")</f>
        <v>0</v>
      </c>
      <c r="AK2">
        <f>BDH("ENERQ US Equity","CF_CASH_FROM_OPER","2006-11-16","2011-11-16","Per=Y","Days=T","Dir=V")</f>
        <v>0</v>
      </c>
      <c r="AM2">
        <f>BDH("ENERQ US Equity","CAPITAL_EXPEND","2006-11-16","2011-11-16","Per=Y","Days=T","Dir=V")</f>
        <v>0</v>
      </c>
      <c r="AO2">
        <f>BDH("ENERQ US Equity","CF_FREE_CASH_FLOW","2006-11-16","2011-11-16","Per=Y","Days=T","Dir=V")</f>
        <v>0</v>
      </c>
      <c r="AQ2">
        <f>BDH("ENERQ US Equity","PX_LAST","2006-11-16","2011-11-16","Per=M","Days=T","Dir=V")</f>
        <v>0</v>
      </c>
      <c r="AS2">
        <f>BDH("ENERQ US Equity","CUR_MKT_CAP","2006-11-16","2011-11-16","Per=M","Days=T","Dir=V")</f>
        <v>0</v>
      </c>
      <c r="AU2">
        <f>BDH("ENERQ US Equity","EQY_SH_OUT","2006-11-16","2011-11-16","Per=M","Days=T","Dir=V")</f>
        <v>0</v>
      </c>
      <c r="AW2">
        <f>BDH("ENERQ US Equity","BETA_RAW_OVERRIABLE","2006-11-16","2011-11-16","Per=M","Days=T","Dir=V")</f>
        <v>0</v>
      </c>
      <c r="AY2">
        <f>BDH("ENERQ US Equity","PX_VOLUME","2006-11-16","2011-11-16","Per=M","Days=T","Dir=V")</f>
        <v>0</v>
      </c>
      <c r="BA2">
        <f>BDH("ENERQ US Equity","TURNOVER","2006-11-16","2011-11-16","Per=M","Days=T","Dir=V")</f>
        <v>0</v>
      </c>
      <c r="BC2">
        <f>BDH("ENERQ US Equity","SPREAD_BA_CR","2006-11-16","2011-11-16","Per=M","Days=T","Dir=V")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BDH("RDDYQ US Equity","BS_TOT_ASSET","2007-01-13","2012-01-13","Per=Y","Days=T","Dir=V")</f>
        <v>0</v>
      </c>
      <c r="C2">
        <f>BDH("RDDYQ US Equity","BS_TOT_LIAB2","2007-01-13","2012-01-13","Per=Y","Days=T","Dir=V")</f>
        <v>0</v>
      </c>
      <c r="E2">
        <f>BDH("RDDYQ US Equity","SHORT_AND_LONG_TERM_DEBT","2007-01-13","2012-01-13","Per=Y","Days=T","Dir=V")</f>
        <v>0</v>
      </c>
      <c r="G2">
        <f>BDH("RDDYQ US Equity","BS_ST_BORROW","2007-01-13","2012-01-13","Per=Y","Days=T","Dir=V")</f>
        <v>0</v>
      </c>
      <c r="I2">
        <f>BDH("RDDYQ US Equity","BS_LT_BORROW","2007-01-13","2012-01-13","Per=Y","Days=T","Dir=V")</f>
        <v>0</v>
      </c>
      <c r="K2">
        <f>BDH("RDDYQ US Equity","BS_CASH_NEAR_CASH_ITEM","2007-01-13","2012-01-13","Per=Y","Days=T","Dir=V")</f>
        <v>0</v>
      </c>
      <c r="M2">
        <f>BDH("RDDYQ US Equity","BS_CUR_ASSET_REPORT","2007-01-13","2012-01-13","Per=Y","Days=T","Dir=V")</f>
        <v>0</v>
      </c>
      <c r="O2">
        <f>BDH("RDDYQ US Equity","BS_CUR_LIAB","2007-01-13","2012-01-13","Per=Y","Days=T","Dir=V")</f>
        <v>0</v>
      </c>
      <c r="Q2">
        <f>BDH("RDDYQ US Equity","BS_SHAREHOLDER_EQY_ENDING_PERIOD","2007-01-13","2012-01-13","Per=Y","Days=T","Dir=V")</f>
        <v>0</v>
      </c>
      <c r="S2">
        <f>BDH("RDDYQ US Equity","BS_ACCT_NOTE_RCV","2007-01-13","2012-01-13","Per=Y","Days=T","Dir=V")</f>
        <v>0</v>
      </c>
      <c r="U2">
        <f>BDH("RDDYQ US Equity","BS_INVENTORIES","2007-01-13","2012-01-13","Per=Y","Days=T","Dir=V")</f>
        <v>0</v>
      </c>
      <c r="W2">
        <f>BDH("RDDYQ US Equity","WORKING_CAPITAL","2007-01-13","2012-01-13","Per=Y","Days=T","Dir=V")</f>
        <v>0</v>
      </c>
      <c r="Y2">
        <f>BDH("RDDYQ US Equity","SALES_REV_TURN","2007-01-13","2012-01-13","Per=Y","Days=T","Dir=V")</f>
        <v>0</v>
      </c>
      <c r="AA2">
        <f>BDH("RDDYQ US Equity","EBIT","2007-01-13","2012-01-13","Per=Y","Days=T","Dir=V")</f>
        <v>0</v>
      </c>
      <c r="AC2">
        <f>BDH("RDDYQ US Equity","EBITDA","2007-01-13","2012-01-13","Per=Y","Days=T","Dir=V")</f>
        <v>0</v>
      </c>
      <c r="AE2">
        <f>BDH("RDDYQ US Equity","NET_INCOME","2007-01-13","2012-01-13","Per=Y","Days=T","Dir=V")</f>
        <v>0</v>
      </c>
      <c r="AG2">
        <f>BDH("RDDYQ US Equity","IS_INT_EXPENSE","2007-01-13","2012-01-13","Per=Y","Days=T","Dir=V")</f>
        <v>0</v>
      </c>
      <c r="AI2">
        <f>BDH("RDDYQ US Equity","IS_DEPR_EXP","2007-01-13","2012-01-13","Per=Y","Days=T","Dir=V")</f>
        <v>0</v>
      </c>
      <c r="AK2">
        <f>BDH("RDDYQ US Equity","CF_CASH_FROM_OPER","2007-01-13","2012-01-13","Per=Y","Days=T","Dir=V")</f>
        <v>0</v>
      </c>
      <c r="AM2">
        <f>BDH("RDDYQ US Equity","CAPITAL_EXPEND","2007-01-13","2012-01-13","Per=Y","Days=T","Dir=V")</f>
        <v>0</v>
      </c>
      <c r="AO2">
        <f>BDH("RDDYQ US Equity","CF_FREE_CASH_FLOW","2007-01-13","2012-01-13","Per=Y","Days=T","Dir=V")</f>
        <v>0</v>
      </c>
      <c r="AQ2">
        <f>BDH("RDDYQ US Equity","PX_LAST","2007-01-13","2012-01-13","Per=M","Days=T","Dir=V")</f>
        <v>0</v>
      </c>
      <c r="AS2">
        <f>BDH("RDDYQ US Equity","CUR_MKT_CAP","2007-01-13","2012-01-13","Per=M","Days=T","Dir=V")</f>
        <v>0</v>
      </c>
      <c r="AU2">
        <f>BDH("RDDYQ US Equity","EQY_SH_OUT","2007-01-13","2012-01-13","Per=M","Days=T","Dir=V")</f>
        <v>0</v>
      </c>
      <c r="AW2">
        <f>BDH("RDDYQ US Equity","BETA_RAW_OVERRIABLE","2007-01-13","2012-01-13","Per=M","Days=T","Dir=V")</f>
        <v>0</v>
      </c>
      <c r="AY2">
        <f>BDH("RDDYQ US Equity","PX_VOLUME","2007-01-13","2012-01-13","Per=M","Days=T","Dir=V")</f>
        <v>0</v>
      </c>
      <c r="BA2">
        <f>BDH("RDDYQ US Equity","TURNOVER","2007-01-13","2012-01-13","Per=M","Days=T","Dir=V")</f>
        <v>0</v>
      </c>
      <c r="BC2">
        <f>BDH("RDDYQ US Equity","SPREAD_BA_CR","2007-01-13","2012-01-13","Per=M","Days=T","Dir=V")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BDH("FBBT US Equity","BS_TOT_ASSET","2007-04-18","2012-04-18","Per=Y","Days=T","Dir=V")</f>
        <v>0</v>
      </c>
      <c r="C2">
        <f>BDH("FBBT US Equity","BS_TOT_LIAB2","2007-04-18","2012-04-18","Per=Y","Days=T","Dir=V")</f>
        <v>0</v>
      </c>
      <c r="E2">
        <f>BDH("FBBT US Equity","SHORT_AND_LONG_TERM_DEBT","2007-04-18","2012-04-18","Per=Y","Days=T","Dir=V")</f>
        <v>0</v>
      </c>
      <c r="G2">
        <f>BDH("FBBT US Equity","BS_ST_BORROW","2007-04-18","2012-04-18","Per=Y","Days=T","Dir=V")</f>
        <v>0</v>
      </c>
      <c r="I2">
        <f>BDH("FBBT US Equity","BS_LT_BORROW","2007-04-18","2012-04-18","Per=Y","Days=T","Dir=V")</f>
        <v>0</v>
      </c>
      <c r="K2">
        <f>BDH("FBBT US Equity","BS_CASH_NEAR_CASH_ITEM","2007-04-18","2012-04-18","Per=Y","Days=T","Dir=V")</f>
        <v>0</v>
      </c>
      <c r="M2">
        <f>BDH("FBBT US Equity","BS_CUR_ASSET_REPORT","2007-04-18","2012-04-18","Per=Y","Days=T","Dir=V")</f>
        <v>0</v>
      </c>
      <c r="O2">
        <f>BDH("FBBT US Equity","BS_CUR_LIAB","2007-04-18","2012-04-18","Per=Y","Days=T","Dir=V")</f>
        <v>0</v>
      </c>
      <c r="Q2">
        <f>BDH("FBBT US Equity","BS_SHAREHOLDER_EQY_ENDING_PERIOD","2007-04-18","2012-04-18","Per=Y","Days=T","Dir=V")</f>
        <v>0</v>
      </c>
      <c r="S2">
        <f>BDH("FBBT US Equity","BS_ACCT_NOTE_RCV","2007-04-18","2012-04-18","Per=Y","Days=T","Dir=V")</f>
        <v>0</v>
      </c>
      <c r="U2">
        <f>BDH("FBBT US Equity","BS_INVENTORIES","2007-04-18","2012-04-18","Per=Y","Days=T","Dir=V")</f>
        <v>0</v>
      </c>
      <c r="W2">
        <f>BDH("FBBT US Equity","WORKING_CAPITAL","2007-04-18","2012-04-18","Per=Y","Days=T","Dir=V")</f>
        <v>0</v>
      </c>
      <c r="Y2">
        <f>BDH("FBBT US Equity","SALES_REV_TURN","2007-04-18","2012-04-18","Per=Y","Days=T","Dir=V")</f>
        <v>0</v>
      </c>
      <c r="AA2">
        <f>BDH("FBBT US Equity","EBIT","2007-04-18","2012-04-18","Per=Y","Days=T","Dir=V")</f>
        <v>0</v>
      </c>
      <c r="AC2">
        <f>BDH("FBBT US Equity","EBITDA","2007-04-18","2012-04-18","Per=Y","Days=T","Dir=V")</f>
        <v>0</v>
      </c>
      <c r="AE2">
        <f>BDH("FBBT US Equity","NET_INCOME","2007-04-18","2012-04-18","Per=Y","Days=T","Dir=V")</f>
        <v>0</v>
      </c>
      <c r="AG2">
        <f>BDH("FBBT US Equity","IS_INT_EXPENSE","2007-04-18","2012-04-18","Per=Y","Days=T","Dir=V")</f>
        <v>0</v>
      </c>
      <c r="AI2">
        <f>BDH("FBBT US Equity","IS_DEPR_EXP","2007-04-18","2012-04-18","Per=Y","Days=T","Dir=V")</f>
        <v>0</v>
      </c>
      <c r="AK2">
        <f>BDH("FBBT US Equity","CF_CASH_FROM_OPER","2007-04-18","2012-04-18","Per=Y","Days=T","Dir=V")</f>
        <v>0</v>
      </c>
      <c r="AM2">
        <f>BDH("FBBT US Equity","CAPITAL_EXPEND","2007-04-18","2012-04-18","Per=Y","Days=T","Dir=V")</f>
        <v>0</v>
      </c>
      <c r="AO2">
        <f>BDH("FBBT US Equity","CF_FREE_CASH_FLOW","2007-04-18","2012-04-18","Per=Y","Days=T","Dir=V")</f>
        <v>0</v>
      </c>
      <c r="AQ2">
        <f>BDH("FBBT US Equity","PX_LAST","2007-04-18","2012-04-18","Per=M","Days=T","Dir=V")</f>
        <v>0</v>
      </c>
      <c r="AS2">
        <f>BDH("FBBT US Equity","CUR_MKT_CAP","2007-04-18","2012-04-18","Per=M","Days=T","Dir=V")</f>
        <v>0</v>
      </c>
      <c r="AU2">
        <f>BDH("FBBT US Equity","EQY_SH_OUT","2007-04-18","2012-04-18","Per=M","Days=T","Dir=V")</f>
        <v>0</v>
      </c>
      <c r="AW2">
        <f>BDH("FBBT US Equity","BETA_RAW_OVERRIABLE","2007-04-18","2012-04-18","Per=M","Days=T","Dir=V")</f>
        <v>0</v>
      </c>
      <c r="AY2">
        <f>BDH("FBBT US Equity","PX_VOLUME","2007-04-18","2012-04-18","Per=M","Days=T","Dir=V")</f>
        <v>0</v>
      </c>
      <c r="BA2">
        <f>BDH("FBBT US Equity","TURNOVER","2007-04-18","2012-04-18","Per=M","Days=T","Dir=V")</f>
        <v>0</v>
      </c>
      <c r="BC2">
        <f>BDH("FBBT US Equity","SPREAD_BA_CR","2007-04-18","2012-04-18","Per=M","Days=T","Dir=V")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BDH("ATPAQ US Equity","BS_TOT_ASSET","2007-05-19","2012-05-19","Per=Y","Days=T","Dir=V")</f>
        <v>0</v>
      </c>
      <c r="C2">
        <f>BDH("ATPAQ US Equity","BS_TOT_LIAB2","2007-05-19","2012-05-19","Per=Y","Days=T","Dir=V")</f>
        <v>0</v>
      </c>
      <c r="E2">
        <f>BDH("ATPAQ US Equity","SHORT_AND_LONG_TERM_DEBT","2007-05-19","2012-05-19","Per=Y","Days=T","Dir=V")</f>
        <v>0</v>
      </c>
      <c r="G2">
        <f>BDH("ATPAQ US Equity","BS_ST_BORROW","2007-05-19","2012-05-19","Per=Y","Days=T","Dir=V")</f>
        <v>0</v>
      </c>
      <c r="I2">
        <f>BDH("ATPAQ US Equity","BS_LT_BORROW","2007-05-19","2012-05-19","Per=Y","Days=T","Dir=V")</f>
        <v>0</v>
      </c>
      <c r="K2">
        <f>BDH("ATPAQ US Equity","BS_CASH_NEAR_CASH_ITEM","2007-05-19","2012-05-19","Per=Y","Days=T","Dir=V")</f>
        <v>0</v>
      </c>
      <c r="M2">
        <f>BDH("ATPAQ US Equity","BS_CUR_ASSET_REPORT","2007-05-19","2012-05-19","Per=Y","Days=T","Dir=V")</f>
        <v>0</v>
      </c>
      <c r="O2">
        <f>BDH("ATPAQ US Equity","BS_CUR_LIAB","2007-05-19","2012-05-19","Per=Y","Days=T","Dir=V")</f>
        <v>0</v>
      </c>
      <c r="Q2">
        <f>BDH("ATPAQ US Equity","BS_SHAREHOLDER_EQY_ENDING_PERIOD","2007-05-19","2012-05-19","Per=Y","Days=T","Dir=V")</f>
        <v>0</v>
      </c>
      <c r="S2">
        <f>BDH("ATPAQ US Equity","BS_ACCT_NOTE_RCV","2007-05-19","2012-05-19","Per=Y","Days=T","Dir=V")</f>
        <v>0</v>
      </c>
      <c r="U2">
        <f>BDH("ATPAQ US Equity","BS_INVENTORIES","2007-05-19","2012-05-19","Per=Y","Days=T","Dir=V")</f>
        <v>0</v>
      </c>
      <c r="W2">
        <f>BDH("ATPAQ US Equity","WORKING_CAPITAL","2007-05-19","2012-05-19","Per=Y","Days=T","Dir=V")</f>
        <v>0</v>
      </c>
      <c r="Y2">
        <f>BDH("ATPAQ US Equity","SALES_REV_TURN","2007-05-19","2012-05-19","Per=Y","Days=T","Dir=V")</f>
        <v>0</v>
      </c>
      <c r="AA2">
        <f>BDH("ATPAQ US Equity","EBIT","2007-05-19","2012-05-19","Per=Y","Days=T","Dir=V")</f>
        <v>0</v>
      </c>
      <c r="AC2">
        <f>BDH("ATPAQ US Equity","EBITDA","2007-05-19","2012-05-19","Per=Y","Days=T","Dir=V")</f>
        <v>0</v>
      </c>
      <c r="AE2">
        <f>BDH("ATPAQ US Equity","NET_INCOME","2007-05-19","2012-05-19","Per=Y","Days=T","Dir=V")</f>
        <v>0</v>
      </c>
      <c r="AG2">
        <f>BDH("ATPAQ US Equity","IS_INT_EXPENSE","2007-05-19","2012-05-19","Per=Y","Days=T","Dir=V")</f>
        <v>0</v>
      </c>
      <c r="AI2">
        <f>BDH("ATPAQ US Equity","IS_DEPR_EXP","2007-05-19","2012-05-19","Per=Y","Days=T","Dir=V")</f>
        <v>0</v>
      </c>
      <c r="AK2">
        <f>BDH("ATPAQ US Equity","CF_CASH_FROM_OPER","2007-05-19","2012-05-19","Per=Y","Days=T","Dir=V")</f>
        <v>0</v>
      </c>
      <c r="AM2">
        <f>BDH("ATPAQ US Equity","CAPITAL_EXPEND","2007-05-19","2012-05-19","Per=Y","Days=T","Dir=V")</f>
        <v>0</v>
      </c>
      <c r="AO2">
        <f>BDH("ATPAQ US Equity","CF_FREE_CASH_FLOW","2007-05-19","2012-05-19","Per=Y","Days=T","Dir=V")</f>
        <v>0</v>
      </c>
      <c r="AQ2">
        <f>BDH("ATPAQ US Equity","PX_LAST","2007-05-19","2012-05-19","Per=M","Days=T","Dir=V")</f>
        <v>0</v>
      </c>
      <c r="AS2">
        <f>BDH("ATPAQ US Equity","CUR_MKT_CAP","2007-05-19","2012-05-19","Per=M","Days=T","Dir=V")</f>
        <v>0</v>
      </c>
      <c r="AU2">
        <f>BDH("ATPAQ US Equity","EQY_SH_OUT","2007-05-19","2012-05-19","Per=M","Days=T","Dir=V")</f>
        <v>0</v>
      </c>
      <c r="AW2">
        <f>BDH("ATPAQ US Equity","BETA_RAW_OVERRIABLE","2007-05-19","2012-05-19","Per=M","Days=T","Dir=V")</f>
        <v>0</v>
      </c>
      <c r="AY2">
        <f>BDH("ATPAQ US Equity","PX_VOLUME","2007-05-19","2012-05-19","Per=M","Days=T","Dir=V")</f>
        <v>0</v>
      </c>
      <c r="BA2">
        <f>BDH("ATPAQ US Equity","TURNOVER","2007-05-19","2012-05-19","Per=M","Days=T","Dir=V")</f>
        <v>0</v>
      </c>
      <c r="BC2">
        <f>BDH("ATPAQ US Equity","SPREAD_BA_CR","2007-05-19","2012-05-19","Per=M","Days=T","Dir=V")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BDH("OSGIQ US Equity","BS_TOT_ASSET","2007-08-16","2012-08-16","Per=Y","Days=T","Dir=V")</f>
        <v>0</v>
      </c>
      <c r="C2">
        <f>BDH("OSGIQ US Equity","BS_TOT_LIAB2","2007-08-16","2012-08-16","Per=Y","Days=T","Dir=V")</f>
        <v>0</v>
      </c>
      <c r="E2">
        <f>BDH("OSGIQ US Equity","SHORT_AND_LONG_TERM_DEBT","2007-08-16","2012-08-16","Per=Y","Days=T","Dir=V")</f>
        <v>0</v>
      </c>
      <c r="G2">
        <f>BDH("OSGIQ US Equity","BS_ST_BORROW","2007-08-16","2012-08-16","Per=Y","Days=T","Dir=V")</f>
        <v>0</v>
      </c>
      <c r="I2">
        <f>BDH("OSGIQ US Equity","BS_LT_BORROW","2007-08-16","2012-08-16","Per=Y","Days=T","Dir=V")</f>
        <v>0</v>
      </c>
      <c r="K2">
        <f>BDH("OSGIQ US Equity","BS_CASH_NEAR_CASH_ITEM","2007-08-16","2012-08-16","Per=Y","Days=T","Dir=V")</f>
        <v>0</v>
      </c>
      <c r="M2">
        <f>BDH("OSGIQ US Equity","BS_CUR_ASSET_REPORT","2007-08-16","2012-08-16","Per=Y","Days=T","Dir=V")</f>
        <v>0</v>
      </c>
      <c r="O2">
        <f>BDH("OSGIQ US Equity","BS_CUR_LIAB","2007-08-16","2012-08-16","Per=Y","Days=T","Dir=V")</f>
        <v>0</v>
      </c>
      <c r="Q2">
        <f>BDH("OSGIQ US Equity","BS_SHAREHOLDER_EQY_ENDING_PERIOD","2007-08-16","2012-08-16","Per=Y","Days=T","Dir=V")</f>
        <v>0</v>
      </c>
      <c r="S2">
        <f>BDH("OSGIQ US Equity","BS_ACCT_NOTE_RCV","2007-08-16","2012-08-16","Per=Y","Days=T","Dir=V")</f>
        <v>0</v>
      </c>
      <c r="U2">
        <f>BDH("OSGIQ US Equity","BS_INVENTORIES","2007-08-16","2012-08-16","Per=Y","Days=T","Dir=V")</f>
        <v>0</v>
      </c>
      <c r="W2">
        <f>BDH("OSGIQ US Equity","WORKING_CAPITAL","2007-08-16","2012-08-16","Per=Y","Days=T","Dir=V")</f>
        <v>0</v>
      </c>
      <c r="Y2">
        <f>BDH("OSGIQ US Equity","SALES_REV_TURN","2007-08-16","2012-08-16","Per=Y","Days=T","Dir=V")</f>
        <v>0</v>
      </c>
      <c r="AA2">
        <f>BDH("OSGIQ US Equity","EBIT","2007-08-16","2012-08-16","Per=Y","Days=T","Dir=V")</f>
        <v>0</v>
      </c>
      <c r="AC2">
        <f>BDH("OSGIQ US Equity","EBITDA","2007-08-16","2012-08-16","Per=Y","Days=T","Dir=V")</f>
        <v>0</v>
      </c>
      <c r="AE2">
        <f>BDH("OSGIQ US Equity","NET_INCOME","2007-08-16","2012-08-16","Per=Y","Days=T","Dir=V")</f>
        <v>0</v>
      </c>
      <c r="AG2">
        <f>BDH("OSGIQ US Equity","IS_INT_EXPENSE","2007-08-16","2012-08-16","Per=Y","Days=T","Dir=V")</f>
        <v>0</v>
      </c>
      <c r="AI2">
        <f>BDH("OSGIQ US Equity","IS_DEPR_EXP","2007-08-16","2012-08-16","Per=Y","Days=T","Dir=V")</f>
        <v>0</v>
      </c>
      <c r="AK2">
        <f>BDH("OSGIQ US Equity","CF_CASH_FROM_OPER","2007-08-16","2012-08-16","Per=Y","Days=T","Dir=V")</f>
        <v>0</v>
      </c>
      <c r="AM2">
        <f>BDH("OSGIQ US Equity","CAPITAL_EXPEND","2007-08-16","2012-08-16","Per=Y","Days=T","Dir=V")</f>
        <v>0</v>
      </c>
      <c r="AO2">
        <f>BDH("OSGIQ US Equity","CF_FREE_CASH_FLOW","2007-08-16","2012-08-16","Per=Y","Days=T","Dir=V")</f>
        <v>0</v>
      </c>
      <c r="AQ2">
        <f>BDH("OSGIQ US Equity","PX_LAST","2007-08-16","2012-08-16","Per=M","Days=T","Dir=V")</f>
        <v>0</v>
      </c>
      <c r="AS2">
        <f>BDH("OSGIQ US Equity","CUR_MKT_CAP","2007-08-16","2012-08-16","Per=M","Days=T","Dir=V")</f>
        <v>0</v>
      </c>
      <c r="AU2">
        <f>BDH("OSGIQ US Equity","EQY_SH_OUT","2007-08-16","2012-08-16","Per=M","Days=T","Dir=V")</f>
        <v>0</v>
      </c>
      <c r="AW2">
        <f>BDH("OSGIQ US Equity","BETA_RAW_OVERRIABLE","2007-08-16","2012-08-16","Per=M","Days=T","Dir=V")</f>
        <v>0</v>
      </c>
      <c r="AY2">
        <f>BDH("OSGIQ US Equity","PX_VOLUME","2007-08-16","2012-08-16","Per=M","Days=T","Dir=V")</f>
        <v>0</v>
      </c>
      <c r="BA2">
        <f>BDH("OSGIQ US Equity","TURNOVER","2007-08-16","2012-08-16","Per=M","Days=T","Dir=V")</f>
        <v>0</v>
      </c>
      <c r="BC2">
        <f>BDH("OSGIQ US Equity","SPREAD_BA_CR","2007-08-16","2012-08-16","Per=M","Days=T","Dir=V")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BDH("SCHSQ US Equity","BS_TOT_ASSET","2007-10-30","2012-10-30","Per=Y","Days=T","Dir=V")</f>
        <v>0</v>
      </c>
      <c r="C2">
        <f>BDH("SCHSQ US Equity","BS_TOT_LIAB2","2007-10-30","2012-10-30","Per=Y","Days=T","Dir=V")</f>
        <v>0</v>
      </c>
      <c r="E2">
        <f>BDH("SCHSQ US Equity","SHORT_AND_LONG_TERM_DEBT","2007-10-30","2012-10-30","Per=Y","Days=T","Dir=V")</f>
        <v>0</v>
      </c>
      <c r="G2">
        <f>BDH("SCHSQ US Equity","BS_ST_BORROW","2007-10-30","2012-10-30","Per=Y","Days=T","Dir=V")</f>
        <v>0</v>
      </c>
      <c r="I2">
        <f>BDH("SCHSQ US Equity","BS_LT_BORROW","2007-10-30","2012-10-30","Per=Y","Days=T","Dir=V")</f>
        <v>0</v>
      </c>
      <c r="K2">
        <f>BDH("SCHSQ US Equity","BS_CASH_NEAR_CASH_ITEM","2007-10-30","2012-10-30","Per=Y","Days=T","Dir=V")</f>
        <v>0</v>
      </c>
      <c r="M2">
        <f>BDH("SCHSQ US Equity","BS_CUR_ASSET_REPORT","2007-10-30","2012-10-30","Per=Y","Days=T","Dir=V")</f>
        <v>0</v>
      </c>
      <c r="O2">
        <f>BDH("SCHSQ US Equity","BS_CUR_LIAB","2007-10-30","2012-10-30","Per=Y","Days=T","Dir=V")</f>
        <v>0</v>
      </c>
      <c r="Q2">
        <f>BDH("SCHSQ US Equity","BS_SHAREHOLDER_EQY_ENDING_PERIOD","2007-10-30","2012-10-30","Per=Y","Days=T","Dir=V")</f>
        <v>0</v>
      </c>
      <c r="S2">
        <f>BDH("SCHSQ US Equity","BS_ACCT_NOTE_RCV","2007-10-30","2012-10-30","Per=Y","Days=T","Dir=V")</f>
        <v>0</v>
      </c>
      <c r="U2">
        <f>BDH("SCHSQ US Equity","BS_INVENTORIES","2007-10-30","2012-10-30","Per=Y","Days=T","Dir=V")</f>
        <v>0</v>
      </c>
      <c r="W2">
        <f>BDH("SCHSQ US Equity","WORKING_CAPITAL","2007-10-30","2012-10-30","Per=Y","Days=T","Dir=V")</f>
        <v>0</v>
      </c>
      <c r="Y2">
        <f>BDH("SCHSQ US Equity","SALES_REV_TURN","2007-10-30","2012-10-30","Per=Y","Days=T","Dir=V")</f>
        <v>0</v>
      </c>
      <c r="AA2">
        <f>BDH("SCHSQ US Equity","EBIT","2007-10-30","2012-10-30","Per=Y","Days=T","Dir=V")</f>
        <v>0</v>
      </c>
      <c r="AC2">
        <f>BDH("SCHSQ US Equity","EBITDA","2007-10-30","2012-10-30","Per=Y","Days=T","Dir=V")</f>
        <v>0</v>
      </c>
      <c r="AE2">
        <f>BDH("SCHSQ US Equity","NET_INCOME","2007-10-30","2012-10-30","Per=Y","Days=T","Dir=V")</f>
        <v>0</v>
      </c>
      <c r="AG2">
        <f>BDH("SCHSQ US Equity","IS_INT_EXPENSE","2007-10-30","2012-10-30","Per=Y","Days=T","Dir=V")</f>
        <v>0</v>
      </c>
      <c r="AI2">
        <f>BDH("SCHSQ US Equity","IS_DEPR_EXP","2007-10-30","2012-10-30","Per=Y","Days=T","Dir=V")</f>
        <v>0</v>
      </c>
      <c r="AK2">
        <f>BDH("SCHSQ US Equity","CF_CASH_FROM_OPER","2007-10-30","2012-10-30","Per=Y","Days=T","Dir=V")</f>
        <v>0</v>
      </c>
      <c r="AM2">
        <f>BDH("SCHSQ US Equity","CAPITAL_EXPEND","2007-10-30","2012-10-30","Per=Y","Days=T","Dir=V")</f>
        <v>0</v>
      </c>
      <c r="AO2">
        <f>BDH("SCHSQ US Equity","CF_FREE_CASH_FLOW","2007-10-30","2012-10-30","Per=Y","Days=T","Dir=V")</f>
        <v>0</v>
      </c>
      <c r="AQ2">
        <f>BDH("SCHSQ US Equity","PX_LAST","2007-10-30","2012-10-30","Per=M","Days=T","Dir=V")</f>
        <v>0</v>
      </c>
      <c r="AS2">
        <f>BDH("SCHSQ US Equity","CUR_MKT_CAP","2007-10-30","2012-10-30","Per=M","Days=T","Dir=V")</f>
        <v>0</v>
      </c>
      <c r="AU2">
        <f>BDH("SCHSQ US Equity","EQY_SH_OUT","2007-10-30","2012-10-30","Per=M","Days=T","Dir=V")</f>
        <v>0</v>
      </c>
      <c r="AW2">
        <f>BDH("SCHSQ US Equity","BETA_RAW_OVERRIABLE","2007-10-30","2012-10-30","Per=M","Days=T","Dir=V")</f>
        <v>0</v>
      </c>
      <c r="AY2">
        <f>BDH("SCHSQ US Equity","PX_VOLUME","2007-10-30","2012-10-30","Per=M","Days=T","Dir=V")</f>
        <v>0</v>
      </c>
      <c r="BA2">
        <f>BDH("SCHSQ US Equity","TURNOVER","2007-10-30","2012-10-30","Per=M","Days=T","Dir=V")</f>
        <v>0</v>
      </c>
      <c r="BC2">
        <f>BDH("SCHSQ US Equity","SPREAD_BA_CR","2007-10-30","2012-10-30","Per=M","Days=T","Dir=V")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BDH("PWAVQ US Equity","BS_TOT_ASSET","2007-10-30","2012-10-30","Per=Y","Days=T","Dir=V")</f>
        <v>0</v>
      </c>
      <c r="C2">
        <f>BDH("PWAVQ US Equity","BS_TOT_LIAB2","2007-10-30","2012-10-30","Per=Y","Days=T","Dir=V")</f>
        <v>0</v>
      </c>
      <c r="E2">
        <f>BDH("PWAVQ US Equity","SHORT_AND_LONG_TERM_DEBT","2007-10-30","2012-10-30","Per=Y","Days=T","Dir=V")</f>
        <v>0</v>
      </c>
      <c r="G2">
        <f>BDH("PWAVQ US Equity","BS_ST_BORROW","2007-10-30","2012-10-30","Per=Y","Days=T","Dir=V")</f>
        <v>0</v>
      </c>
      <c r="I2">
        <f>BDH("PWAVQ US Equity","BS_LT_BORROW","2007-10-30","2012-10-30","Per=Y","Days=T","Dir=V")</f>
        <v>0</v>
      </c>
      <c r="K2">
        <f>BDH("PWAVQ US Equity","BS_CASH_NEAR_CASH_ITEM","2007-10-30","2012-10-30","Per=Y","Days=T","Dir=V")</f>
        <v>0</v>
      </c>
      <c r="M2">
        <f>BDH("PWAVQ US Equity","BS_CUR_ASSET_REPORT","2007-10-30","2012-10-30","Per=Y","Days=T","Dir=V")</f>
        <v>0</v>
      </c>
      <c r="O2">
        <f>BDH("PWAVQ US Equity","BS_CUR_LIAB","2007-10-30","2012-10-30","Per=Y","Days=T","Dir=V")</f>
        <v>0</v>
      </c>
      <c r="Q2">
        <f>BDH("PWAVQ US Equity","BS_SHAREHOLDER_EQY_ENDING_PERIOD","2007-10-30","2012-10-30","Per=Y","Days=T","Dir=V")</f>
        <v>0</v>
      </c>
      <c r="S2">
        <f>BDH("PWAVQ US Equity","BS_ACCT_NOTE_RCV","2007-10-30","2012-10-30","Per=Y","Days=T","Dir=V")</f>
        <v>0</v>
      </c>
      <c r="U2">
        <f>BDH("PWAVQ US Equity","BS_INVENTORIES","2007-10-30","2012-10-30","Per=Y","Days=T","Dir=V")</f>
        <v>0</v>
      </c>
      <c r="W2">
        <f>BDH("PWAVQ US Equity","WORKING_CAPITAL","2007-10-30","2012-10-30","Per=Y","Days=T","Dir=V")</f>
        <v>0</v>
      </c>
      <c r="Y2">
        <f>BDH("PWAVQ US Equity","SALES_REV_TURN","2007-10-30","2012-10-30","Per=Y","Days=T","Dir=V")</f>
        <v>0</v>
      </c>
      <c r="AA2">
        <f>BDH("PWAVQ US Equity","EBIT","2007-10-30","2012-10-30","Per=Y","Days=T","Dir=V")</f>
        <v>0</v>
      </c>
      <c r="AC2">
        <f>BDH("PWAVQ US Equity","EBITDA","2007-10-30","2012-10-30","Per=Y","Days=T","Dir=V")</f>
        <v>0</v>
      </c>
      <c r="AE2">
        <f>BDH("PWAVQ US Equity","NET_INCOME","2007-10-30","2012-10-30","Per=Y","Days=T","Dir=V")</f>
        <v>0</v>
      </c>
      <c r="AG2">
        <f>BDH("PWAVQ US Equity","IS_INT_EXPENSE","2007-10-30","2012-10-30","Per=Y","Days=T","Dir=V")</f>
        <v>0</v>
      </c>
      <c r="AI2">
        <f>BDH("PWAVQ US Equity","IS_DEPR_EXP","2007-10-30","2012-10-30","Per=Y","Days=T","Dir=V")</f>
        <v>0</v>
      </c>
      <c r="AK2">
        <f>BDH("PWAVQ US Equity","CF_CASH_FROM_OPER","2007-10-30","2012-10-30","Per=Y","Days=T","Dir=V")</f>
        <v>0</v>
      </c>
      <c r="AM2">
        <f>BDH("PWAVQ US Equity","CAPITAL_EXPEND","2007-10-30","2012-10-30","Per=Y","Days=T","Dir=V")</f>
        <v>0</v>
      </c>
      <c r="AO2">
        <f>BDH("PWAVQ US Equity","CF_FREE_CASH_FLOW","2007-10-30","2012-10-30","Per=Y","Days=T","Dir=V")</f>
        <v>0</v>
      </c>
      <c r="AQ2">
        <f>BDH("PWAVQ US Equity","PX_LAST","2007-10-30","2012-10-30","Per=M","Days=T","Dir=V")</f>
        <v>0</v>
      </c>
      <c r="AS2">
        <f>BDH("PWAVQ US Equity","CUR_MKT_CAP","2007-10-30","2012-10-30","Per=M","Days=T","Dir=V")</f>
        <v>0</v>
      </c>
      <c r="AU2">
        <f>BDH("PWAVQ US Equity","EQY_SH_OUT","2007-10-30","2012-10-30","Per=M","Days=T","Dir=V")</f>
        <v>0</v>
      </c>
      <c r="AW2">
        <f>BDH("PWAVQ US Equity","BETA_RAW_OVERRIABLE","2007-10-30","2012-10-30","Per=M","Days=T","Dir=V")</f>
        <v>0</v>
      </c>
      <c r="AY2">
        <f>BDH("PWAVQ US Equity","PX_VOLUME","2007-10-30","2012-10-30","Per=M","Days=T","Dir=V")</f>
        <v>0</v>
      </c>
      <c r="BA2">
        <f>BDH("PWAVQ US Equity","TURNOVER","2007-10-30","2012-10-30","Per=M","Days=T","Dir=V")</f>
        <v>0</v>
      </c>
      <c r="BC2">
        <f>BDH("PWAVQ US Equity","SPREAD_BA_CR","2007-10-30","2012-10-30","Per=M","Days=T","Dir=V")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BDH("ROHIQ US Equity","BS_TOT_ASSET","2008-01-08","2013-01-08","Per=Y","Days=T","Dir=V")</f>
        <v>0</v>
      </c>
      <c r="C2">
        <f>BDH("ROHIQ US Equity","BS_TOT_LIAB2","2008-01-08","2013-01-08","Per=Y","Days=T","Dir=V")</f>
        <v>0</v>
      </c>
      <c r="E2">
        <f>BDH("ROHIQ US Equity","SHORT_AND_LONG_TERM_DEBT","2008-01-08","2013-01-08","Per=Y","Days=T","Dir=V")</f>
        <v>0</v>
      </c>
      <c r="G2">
        <f>BDH("ROHIQ US Equity","BS_ST_BORROW","2008-01-08","2013-01-08","Per=Y","Days=T","Dir=V")</f>
        <v>0</v>
      </c>
      <c r="I2">
        <f>BDH("ROHIQ US Equity","BS_LT_BORROW","2008-01-08","2013-01-08","Per=Y","Days=T","Dir=V")</f>
        <v>0</v>
      </c>
      <c r="K2">
        <f>BDH("ROHIQ US Equity","BS_CASH_NEAR_CASH_ITEM","2008-01-08","2013-01-08","Per=Y","Days=T","Dir=V")</f>
        <v>0</v>
      </c>
      <c r="M2">
        <f>BDH("ROHIQ US Equity","BS_CUR_ASSET_REPORT","2008-01-08","2013-01-08","Per=Y","Days=T","Dir=V")</f>
        <v>0</v>
      </c>
      <c r="O2">
        <f>BDH("ROHIQ US Equity","BS_CUR_LIAB","2008-01-08","2013-01-08","Per=Y","Days=T","Dir=V")</f>
        <v>0</v>
      </c>
      <c r="Q2">
        <f>BDH("ROHIQ US Equity","BS_SHAREHOLDER_EQY_ENDING_PERIOD","2008-01-08","2013-01-08","Per=Y","Days=T","Dir=V")</f>
        <v>0</v>
      </c>
      <c r="S2">
        <f>BDH("ROHIQ US Equity","BS_ACCT_NOTE_RCV","2008-01-08","2013-01-08","Per=Y","Days=T","Dir=V")</f>
        <v>0</v>
      </c>
      <c r="U2">
        <f>BDH("ROHIQ US Equity","BS_INVENTORIES","2008-01-08","2013-01-08","Per=Y","Days=T","Dir=V")</f>
        <v>0</v>
      </c>
      <c r="W2">
        <f>BDH("ROHIQ US Equity","WORKING_CAPITAL","2008-01-08","2013-01-08","Per=Y","Days=T","Dir=V")</f>
        <v>0</v>
      </c>
      <c r="Y2">
        <f>BDH("ROHIQ US Equity","SALES_REV_TURN","2008-01-08","2013-01-08","Per=Y","Days=T","Dir=V")</f>
        <v>0</v>
      </c>
      <c r="AA2">
        <f>BDH("ROHIQ US Equity","EBIT","2008-01-08","2013-01-08","Per=Y","Days=T","Dir=V")</f>
        <v>0</v>
      </c>
      <c r="AC2">
        <f>BDH("ROHIQ US Equity","EBITDA","2008-01-08","2013-01-08","Per=Y","Days=T","Dir=V")</f>
        <v>0</v>
      </c>
      <c r="AE2">
        <f>BDH("ROHIQ US Equity","NET_INCOME","2008-01-08","2013-01-08","Per=Y","Days=T","Dir=V")</f>
        <v>0</v>
      </c>
      <c r="AG2">
        <f>BDH("ROHIQ US Equity","IS_INT_EXPENSE","2008-01-08","2013-01-08","Per=Y","Days=T","Dir=V")</f>
        <v>0</v>
      </c>
      <c r="AI2">
        <f>BDH("ROHIQ US Equity","IS_DEPR_EXP","2008-01-08","2013-01-08","Per=Y","Days=T","Dir=V")</f>
        <v>0</v>
      </c>
      <c r="AK2">
        <f>BDH("ROHIQ US Equity","CF_CASH_FROM_OPER","2008-01-08","2013-01-08","Per=Y","Days=T","Dir=V")</f>
        <v>0</v>
      </c>
      <c r="AM2">
        <f>BDH("ROHIQ US Equity","CAPITAL_EXPEND","2008-01-08","2013-01-08","Per=Y","Days=T","Dir=V")</f>
        <v>0</v>
      </c>
      <c r="AO2">
        <f>BDH("ROHIQ US Equity","CF_FREE_CASH_FLOW","2008-01-08","2013-01-08","Per=Y","Days=T","Dir=V")</f>
        <v>0</v>
      </c>
      <c r="AQ2">
        <f>BDH("ROHIQ US Equity","PX_LAST","2008-01-08","2013-01-08","Per=M","Days=T","Dir=V")</f>
        <v>0</v>
      </c>
      <c r="AS2">
        <f>BDH("ROHIQ US Equity","CUR_MKT_CAP","2008-01-08","2013-01-08","Per=M","Days=T","Dir=V")</f>
        <v>0</v>
      </c>
      <c r="AU2">
        <f>BDH("ROHIQ US Equity","EQY_SH_OUT","2008-01-08","2013-01-08","Per=M","Days=T","Dir=V")</f>
        <v>0</v>
      </c>
      <c r="AW2">
        <f>BDH("ROHIQ US Equity","BETA_RAW_OVERRIABLE","2008-01-08","2013-01-08","Per=M","Days=T","Dir=V")</f>
        <v>0</v>
      </c>
      <c r="AY2">
        <f>BDH("ROHIQ US Equity","PX_VOLUME","2008-01-08","2013-01-08","Per=M","Days=T","Dir=V")</f>
        <v>0</v>
      </c>
      <c r="BA2">
        <f>BDH("ROHIQ US Equity","TURNOVER","2008-01-08","2013-01-08","Per=M","Days=T","Dir=V")</f>
        <v>0</v>
      </c>
      <c r="BC2">
        <f>BDH("ROHIQ US Equity","SPREAD_BA_CR","2008-01-08","2013-01-08","Per=M","Days=T","Dir=V")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BDH("HOKUQ US Equity","BS_TOT_ASSET","2008-04-03","2013-04-03","Per=Y","Days=T","Dir=V")</f>
        <v>0</v>
      </c>
      <c r="C2">
        <f>BDH("HOKUQ US Equity","BS_TOT_LIAB2","2008-04-03","2013-04-03","Per=Y","Days=T","Dir=V")</f>
        <v>0</v>
      </c>
      <c r="E2">
        <f>BDH("HOKUQ US Equity","SHORT_AND_LONG_TERM_DEBT","2008-04-03","2013-04-03","Per=Y","Days=T","Dir=V")</f>
        <v>0</v>
      </c>
      <c r="G2">
        <f>BDH("HOKUQ US Equity","BS_ST_BORROW","2008-04-03","2013-04-03","Per=Y","Days=T","Dir=V")</f>
        <v>0</v>
      </c>
      <c r="I2">
        <f>BDH("HOKUQ US Equity","BS_LT_BORROW","2008-04-03","2013-04-03","Per=Y","Days=T","Dir=V")</f>
        <v>0</v>
      </c>
      <c r="K2">
        <f>BDH("HOKUQ US Equity","BS_CASH_NEAR_CASH_ITEM","2008-04-03","2013-04-03","Per=Y","Days=T","Dir=V")</f>
        <v>0</v>
      </c>
      <c r="M2">
        <f>BDH("HOKUQ US Equity","BS_CUR_ASSET_REPORT","2008-04-03","2013-04-03","Per=Y","Days=T","Dir=V")</f>
        <v>0</v>
      </c>
      <c r="O2">
        <f>BDH("HOKUQ US Equity","BS_CUR_LIAB","2008-04-03","2013-04-03","Per=Y","Days=T","Dir=V")</f>
        <v>0</v>
      </c>
      <c r="Q2">
        <f>BDH("HOKUQ US Equity","BS_SHAREHOLDER_EQY_ENDING_PERIOD","2008-04-03","2013-04-03","Per=Y","Days=T","Dir=V")</f>
        <v>0</v>
      </c>
      <c r="S2">
        <f>BDH("HOKUQ US Equity","BS_ACCT_NOTE_RCV","2008-04-03","2013-04-03","Per=Y","Days=T","Dir=V")</f>
        <v>0</v>
      </c>
      <c r="U2">
        <f>BDH("HOKUQ US Equity","BS_INVENTORIES","2008-04-03","2013-04-03","Per=Y","Days=T","Dir=V")</f>
        <v>0</v>
      </c>
      <c r="W2">
        <f>BDH("HOKUQ US Equity","WORKING_CAPITAL","2008-04-03","2013-04-03","Per=Y","Days=T","Dir=V")</f>
        <v>0</v>
      </c>
      <c r="Y2">
        <f>BDH("HOKUQ US Equity","SALES_REV_TURN","2008-04-03","2013-04-03","Per=Y","Days=T","Dir=V")</f>
        <v>0</v>
      </c>
      <c r="AA2">
        <f>BDH("HOKUQ US Equity","EBIT","2008-04-03","2013-04-03","Per=Y","Days=T","Dir=V")</f>
        <v>0</v>
      </c>
      <c r="AC2">
        <f>BDH("HOKUQ US Equity","EBITDA","2008-04-03","2013-04-03","Per=Y","Days=T","Dir=V")</f>
        <v>0</v>
      </c>
      <c r="AE2">
        <f>BDH("HOKUQ US Equity","NET_INCOME","2008-04-03","2013-04-03","Per=Y","Days=T","Dir=V")</f>
        <v>0</v>
      </c>
      <c r="AG2">
        <f>BDH("HOKUQ US Equity","IS_INT_EXPENSE","2008-04-03","2013-04-03","Per=Y","Days=T","Dir=V")</f>
        <v>0</v>
      </c>
      <c r="AI2">
        <f>BDH("HOKUQ US Equity","IS_DEPR_EXP","2008-04-03","2013-04-03","Per=Y","Days=T","Dir=V")</f>
        <v>0</v>
      </c>
      <c r="AK2">
        <f>BDH("HOKUQ US Equity","CF_CASH_FROM_OPER","2008-04-03","2013-04-03","Per=Y","Days=T","Dir=V")</f>
        <v>0</v>
      </c>
      <c r="AM2">
        <f>BDH("HOKUQ US Equity","CAPITAL_EXPEND","2008-04-03","2013-04-03","Per=Y","Days=T","Dir=V")</f>
        <v>0</v>
      </c>
      <c r="AO2">
        <f>BDH("HOKUQ US Equity","CF_FREE_CASH_FLOW","2008-04-03","2013-04-03","Per=Y","Days=T","Dir=V")</f>
        <v>0</v>
      </c>
      <c r="AQ2">
        <f>BDH("HOKUQ US Equity","PX_LAST","2008-04-03","2013-04-03","Per=M","Days=T","Dir=V")</f>
        <v>0</v>
      </c>
      <c r="AS2">
        <f>BDH("HOKUQ US Equity","CUR_MKT_CAP","2008-04-03","2013-04-03","Per=M","Days=T","Dir=V")</f>
        <v>0</v>
      </c>
      <c r="AU2">
        <f>BDH("HOKUQ US Equity","EQY_SH_OUT","2008-04-03","2013-04-03","Per=M","Days=T","Dir=V")</f>
        <v>0</v>
      </c>
      <c r="AW2">
        <f>BDH("HOKUQ US Equity","BETA_RAW_OVERRIABLE","2008-04-03","2013-04-03","Per=M","Days=T","Dir=V")</f>
        <v>0</v>
      </c>
      <c r="AY2">
        <f>BDH("HOKUQ US Equity","PX_VOLUME","2008-04-03","2013-04-03","Per=M","Days=T","Dir=V")</f>
        <v>0</v>
      </c>
      <c r="BA2">
        <f>BDH("HOKUQ US Equity","TURNOVER","2008-04-03","2013-04-03","Per=M","Days=T","Dir=V")</f>
        <v>0</v>
      </c>
      <c r="BC2">
        <f>BDH("HOKUQ US Equity","SPREAD_BA_CR","2008-04-03","2013-04-03","Per=M","Days=T","Dir=V")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BDH("FFNTQ US Equity","BS_TOT_ASSET","2008-06-19","2013-06-19","Per=Y","Days=T","Dir=V")</f>
        <v>0</v>
      </c>
      <c r="C2">
        <f>BDH("FFNTQ US Equity","BS_TOT_LIAB2","2008-06-19","2013-06-19","Per=Y","Days=T","Dir=V")</f>
        <v>0</v>
      </c>
      <c r="E2">
        <f>BDH("FFNTQ US Equity","SHORT_AND_LONG_TERM_DEBT","2008-06-19","2013-06-19","Per=Y","Days=T","Dir=V")</f>
        <v>0</v>
      </c>
      <c r="G2">
        <f>BDH("FFNTQ US Equity","BS_ST_BORROW","2008-06-19","2013-06-19","Per=Y","Days=T","Dir=V")</f>
        <v>0</v>
      </c>
      <c r="I2">
        <f>BDH("FFNTQ US Equity","BS_LT_BORROW","2008-06-19","2013-06-19","Per=Y","Days=T","Dir=V")</f>
        <v>0</v>
      </c>
      <c r="K2">
        <f>BDH("FFNTQ US Equity","BS_CASH_NEAR_CASH_ITEM","2008-06-19","2013-06-19","Per=Y","Days=T","Dir=V")</f>
        <v>0</v>
      </c>
      <c r="M2">
        <f>BDH("FFNTQ US Equity","BS_CUR_ASSET_REPORT","2008-06-19","2013-06-19","Per=Y","Days=T","Dir=V")</f>
        <v>0</v>
      </c>
      <c r="O2">
        <f>BDH("FFNTQ US Equity","BS_CUR_LIAB","2008-06-19","2013-06-19","Per=Y","Days=T","Dir=V")</f>
        <v>0</v>
      </c>
      <c r="Q2">
        <f>BDH("FFNTQ US Equity","BS_SHAREHOLDER_EQY_ENDING_PERIOD","2008-06-19","2013-06-19","Per=Y","Days=T","Dir=V")</f>
        <v>0</v>
      </c>
      <c r="S2">
        <f>BDH("FFNTQ US Equity","BS_ACCT_NOTE_RCV","2008-06-19","2013-06-19","Per=Y","Days=T","Dir=V")</f>
        <v>0</v>
      </c>
      <c r="U2">
        <f>BDH("FFNTQ US Equity","BS_INVENTORIES","2008-06-19","2013-06-19","Per=Y","Days=T","Dir=V")</f>
        <v>0</v>
      </c>
      <c r="W2">
        <f>BDH("FFNTQ US Equity","WORKING_CAPITAL","2008-06-19","2013-06-19","Per=Y","Days=T","Dir=V")</f>
        <v>0</v>
      </c>
      <c r="Y2">
        <f>BDH("FFNTQ US Equity","SALES_REV_TURN","2008-06-19","2013-06-19","Per=Y","Days=T","Dir=V")</f>
        <v>0</v>
      </c>
      <c r="AA2">
        <f>BDH("FFNTQ US Equity","EBIT","2008-06-19","2013-06-19","Per=Y","Days=T","Dir=V")</f>
        <v>0</v>
      </c>
      <c r="AC2">
        <f>BDH("FFNTQ US Equity","EBITDA","2008-06-19","2013-06-19","Per=Y","Days=T","Dir=V")</f>
        <v>0</v>
      </c>
      <c r="AE2">
        <f>BDH("FFNTQ US Equity","NET_INCOME","2008-06-19","2013-06-19","Per=Y","Days=T","Dir=V")</f>
        <v>0</v>
      </c>
      <c r="AG2">
        <f>BDH("FFNTQ US Equity","IS_INT_EXPENSE","2008-06-19","2013-06-19","Per=Y","Days=T","Dir=V")</f>
        <v>0</v>
      </c>
      <c r="AI2">
        <f>BDH("FFNTQ US Equity","IS_DEPR_EXP","2008-06-19","2013-06-19","Per=Y","Days=T","Dir=V")</f>
        <v>0</v>
      </c>
      <c r="AK2">
        <f>BDH("FFNTQ US Equity","CF_CASH_FROM_OPER","2008-06-19","2013-06-19","Per=Y","Days=T","Dir=V")</f>
        <v>0</v>
      </c>
      <c r="AM2">
        <f>BDH("FFNTQ US Equity","CAPITAL_EXPEND","2008-06-19","2013-06-19","Per=Y","Days=T","Dir=V")</f>
        <v>0</v>
      </c>
      <c r="AO2">
        <f>BDH("FFNTQ US Equity","CF_FREE_CASH_FLOW","2008-06-19","2013-06-19","Per=Y","Days=T","Dir=V")</f>
        <v>0</v>
      </c>
      <c r="AQ2">
        <f>BDH("FFNTQ US Equity","PX_LAST","2008-06-19","2013-06-19","Per=M","Days=T","Dir=V")</f>
        <v>0</v>
      </c>
      <c r="AS2">
        <f>BDH("FFNTQ US Equity","CUR_MKT_CAP","2008-06-19","2013-06-19","Per=M","Days=T","Dir=V")</f>
        <v>0</v>
      </c>
      <c r="AU2">
        <f>BDH("FFNTQ US Equity","EQY_SH_OUT","2008-06-19","2013-06-19","Per=M","Days=T","Dir=V")</f>
        <v>0</v>
      </c>
      <c r="AW2">
        <f>BDH("FFNTQ US Equity","BETA_RAW_OVERRIABLE","2008-06-19","2013-06-19","Per=M","Days=T","Dir=V")</f>
        <v>0</v>
      </c>
      <c r="AY2">
        <f>BDH("FFNTQ US Equity","PX_VOLUME","2008-06-19","2013-06-19","Per=M","Days=T","Dir=V")</f>
        <v>0</v>
      </c>
      <c r="BA2">
        <f>BDH("FFNTQ US Equity","TURNOVER","2008-06-19","2013-06-19","Per=M","Days=T","Dir=V")</f>
        <v>0</v>
      </c>
      <c r="BC2">
        <f>BDH("FFNTQ US Equity","SPREAD_BA_CR","2008-06-19","2013-06-19","Per=M","Days=T","Dir=V")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BDH("1917175D US Equity","BS_TOT_ASSET","2008-06-29","2013-06-29","Per=Y","Days=T","Dir=V")</f>
        <v>0</v>
      </c>
      <c r="C2">
        <f>BDH("1917175D US Equity","BS_TOT_LIAB2","2008-06-29","2013-06-29","Per=Y","Days=T","Dir=V")</f>
        <v>0</v>
      </c>
      <c r="E2">
        <f>BDH("1917175D US Equity","SHORT_AND_LONG_TERM_DEBT","2008-06-29","2013-06-29","Per=Y","Days=T","Dir=V")</f>
        <v>0</v>
      </c>
      <c r="G2">
        <f>BDH("1917175D US Equity","BS_ST_BORROW","2008-06-29","2013-06-29","Per=Y","Days=T","Dir=V")</f>
        <v>0</v>
      </c>
      <c r="I2">
        <f>BDH("1917175D US Equity","BS_LT_BORROW","2008-06-29","2013-06-29","Per=Y","Days=T","Dir=V")</f>
        <v>0</v>
      </c>
      <c r="K2">
        <f>BDH("1917175D US Equity","BS_CASH_NEAR_CASH_ITEM","2008-06-29","2013-06-29","Per=Y","Days=T","Dir=V")</f>
        <v>0</v>
      </c>
      <c r="M2">
        <f>BDH("1917175D US Equity","BS_CUR_ASSET_REPORT","2008-06-29","2013-06-29","Per=Y","Days=T","Dir=V")</f>
        <v>0</v>
      </c>
      <c r="O2">
        <f>BDH("1917175D US Equity","BS_CUR_LIAB","2008-06-29","2013-06-29","Per=Y","Days=T","Dir=V")</f>
        <v>0</v>
      </c>
      <c r="Q2">
        <f>BDH("1917175D US Equity","BS_SHAREHOLDER_EQY_ENDING_PERIOD","2008-06-29","2013-06-29","Per=Y","Days=T","Dir=V")</f>
        <v>0</v>
      </c>
      <c r="S2">
        <f>BDH("1917175D US Equity","BS_ACCT_NOTE_RCV","2008-06-29","2013-06-29","Per=Y","Days=T","Dir=V")</f>
        <v>0</v>
      </c>
      <c r="U2">
        <f>BDH("1917175D US Equity","BS_INVENTORIES","2008-06-29","2013-06-29","Per=Y","Days=T","Dir=V")</f>
        <v>0</v>
      </c>
      <c r="W2">
        <f>BDH("1917175D US Equity","WORKING_CAPITAL","2008-06-29","2013-06-29","Per=Y","Days=T","Dir=V")</f>
        <v>0</v>
      </c>
      <c r="Y2">
        <f>BDH("1917175D US Equity","SALES_REV_TURN","2008-06-29","2013-06-29","Per=Y","Days=T","Dir=V")</f>
        <v>0</v>
      </c>
      <c r="AA2">
        <f>BDH("1917175D US Equity","EBIT","2008-06-29","2013-06-29","Per=Y","Days=T","Dir=V")</f>
        <v>0</v>
      </c>
      <c r="AC2">
        <f>BDH("1917175D US Equity","EBITDA","2008-06-29","2013-06-29","Per=Y","Days=T","Dir=V")</f>
        <v>0</v>
      </c>
      <c r="AE2">
        <f>BDH("1917175D US Equity","NET_INCOME","2008-06-29","2013-06-29","Per=Y","Days=T","Dir=V")</f>
        <v>0</v>
      </c>
      <c r="AG2">
        <f>BDH("1917175D US Equity","IS_INT_EXPENSE","2008-06-29","2013-06-29","Per=Y","Days=T","Dir=V")</f>
        <v>0</v>
      </c>
      <c r="AI2">
        <f>BDH("1917175D US Equity","IS_DEPR_EXP","2008-06-29","2013-06-29","Per=Y","Days=T","Dir=V")</f>
        <v>0</v>
      </c>
      <c r="AK2">
        <f>BDH("1917175D US Equity","CF_CASH_FROM_OPER","2008-06-29","2013-06-29","Per=Y","Days=T","Dir=V")</f>
        <v>0</v>
      </c>
      <c r="AM2">
        <f>BDH("1917175D US Equity","CAPITAL_EXPEND","2008-06-29","2013-06-29","Per=Y","Days=T","Dir=V")</f>
        <v>0</v>
      </c>
      <c r="AO2">
        <f>BDH("1917175D US Equity","CF_FREE_CASH_FLOW","2008-06-29","2013-06-29","Per=Y","Days=T","Dir=V")</f>
        <v>0</v>
      </c>
      <c r="AQ2">
        <f>BDH("1917175D US Equity","PX_LAST","2008-06-29","2013-06-29","Per=M","Days=T","Dir=V")</f>
        <v>0</v>
      </c>
      <c r="AS2">
        <f>BDH("1917175D US Equity","CUR_MKT_CAP","2008-06-29","2013-06-29","Per=M","Days=T","Dir=V")</f>
        <v>0</v>
      </c>
      <c r="AU2">
        <f>BDH("1917175D US Equity","EQY_SH_OUT","2008-06-29","2013-06-29","Per=M","Days=T","Dir=V")</f>
        <v>0</v>
      </c>
      <c r="AW2">
        <f>BDH("1917175D US Equity","BETA_RAW_OVERRIABLE","2008-06-29","2013-06-29","Per=M","Days=T","Dir=V")</f>
        <v>0</v>
      </c>
      <c r="AY2">
        <f>BDH("1917175D US Equity","PX_VOLUME","2008-06-29","2013-06-29","Per=M","Days=T","Dir=V")</f>
        <v>0</v>
      </c>
      <c r="BA2">
        <f>BDH("1917175D US Equity","TURNOVER","2008-06-29","2013-06-29","Per=M","Days=T","Dir=V")</f>
        <v>0</v>
      </c>
      <c r="BC2">
        <f>BDH("1917175D US Equity","SPREAD_BA_CR","2008-06-29","2013-06-29","Per=M","Days=T","Dir=V")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BDH("DOLNQ US Equity","BS_TOT_ASSET","2008-12-23","2013-12-23","Per=Y","Days=T","Dir=V")</f>
        <v>0</v>
      </c>
      <c r="C2">
        <f>BDH("DOLNQ US Equity","BS_TOT_LIAB2","2008-12-23","2013-12-23","Per=Y","Days=T","Dir=V")</f>
        <v>0</v>
      </c>
      <c r="E2">
        <f>BDH("DOLNQ US Equity","SHORT_AND_LONG_TERM_DEBT","2008-12-23","2013-12-23","Per=Y","Days=T","Dir=V")</f>
        <v>0</v>
      </c>
      <c r="G2">
        <f>BDH("DOLNQ US Equity","BS_ST_BORROW","2008-12-23","2013-12-23","Per=Y","Days=T","Dir=V")</f>
        <v>0</v>
      </c>
      <c r="I2">
        <f>BDH("DOLNQ US Equity","BS_LT_BORROW","2008-12-23","2013-12-23","Per=Y","Days=T","Dir=V")</f>
        <v>0</v>
      </c>
      <c r="K2">
        <f>BDH("DOLNQ US Equity","BS_CASH_NEAR_CASH_ITEM","2008-12-23","2013-12-23","Per=Y","Days=T","Dir=V")</f>
        <v>0</v>
      </c>
      <c r="M2">
        <f>BDH("DOLNQ US Equity","BS_CUR_ASSET_REPORT","2008-12-23","2013-12-23","Per=Y","Days=T","Dir=V")</f>
        <v>0</v>
      </c>
      <c r="O2">
        <f>BDH("DOLNQ US Equity","BS_CUR_LIAB","2008-12-23","2013-12-23","Per=Y","Days=T","Dir=V")</f>
        <v>0</v>
      </c>
      <c r="Q2">
        <f>BDH("DOLNQ US Equity","BS_SHAREHOLDER_EQY_ENDING_PERIOD","2008-12-23","2013-12-23","Per=Y","Days=T","Dir=V")</f>
        <v>0</v>
      </c>
      <c r="S2">
        <f>BDH("DOLNQ US Equity","BS_ACCT_NOTE_RCV","2008-12-23","2013-12-23","Per=Y","Days=T","Dir=V")</f>
        <v>0</v>
      </c>
      <c r="U2">
        <f>BDH("DOLNQ US Equity","BS_INVENTORIES","2008-12-23","2013-12-23","Per=Y","Days=T","Dir=V")</f>
        <v>0</v>
      </c>
      <c r="W2">
        <f>BDH("DOLNQ US Equity","WORKING_CAPITAL","2008-12-23","2013-12-23","Per=Y","Days=T","Dir=V")</f>
        <v>0</v>
      </c>
      <c r="Y2">
        <f>BDH("DOLNQ US Equity","SALES_REV_TURN","2008-12-23","2013-12-23","Per=Y","Days=T","Dir=V")</f>
        <v>0</v>
      </c>
      <c r="AA2">
        <f>BDH("DOLNQ US Equity","EBIT","2008-12-23","2013-12-23","Per=Y","Days=T","Dir=V")</f>
        <v>0</v>
      </c>
      <c r="AC2">
        <f>BDH("DOLNQ US Equity","EBITDA","2008-12-23","2013-12-23","Per=Y","Days=T","Dir=V")</f>
        <v>0</v>
      </c>
      <c r="AE2">
        <f>BDH("DOLNQ US Equity","NET_INCOME","2008-12-23","2013-12-23","Per=Y","Days=T","Dir=V")</f>
        <v>0</v>
      </c>
      <c r="AG2">
        <f>BDH("DOLNQ US Equity","IS_INT_EXPENSE","2008-12-23","2013-12-23","Per=Y","Days=T","Dir=V")</f>
        <v>0</v>
      </c>
      <c r="AI2">
        <f>BDH("DOLNQ US Equity","IS_DEPR_EXP","2008-12-23","2013-12-23","Per=Y","Days=T","Dir=V")</f>
        <v>0</v>
      </c>
      <c r="AK2">
        <f>BDH("DOLNQ US Equity","CF_CASH_FROM_OPER","2008-12-23","2013-12-23","Per=Y","Days=T","Dir=V")</f>
        <v>0</v>
      </c>
      <c r="AM2">
        <f>BDH("DOLNQ US Equity","CAPITAL_EXPEND","2008-12-23","2013-12-23","Per=Y","Days=T","Dir=V")</f>
        <v>0</v>
      </c>
      <c r="AO2">
        <f>BDH("DOLNQ US Equity","CF_FREE_CASH_FLOW","2008-12-23","2013-12-23","Per=Y","Days=T","Dir=V")</f>
        <v>0</v>
      </c>
      <c r="AQ2">
        <f>BDH("DOLNQ US Equity","PX_LAST","2008-12-23","2013-12-23","Per=M","Days=T","Dir=V")</f>
        <v>0</v>
      </c>
      <c r="AS2">
        <f>BDH("DOLNQ US Equity","CUR_MKT_CAP","2008-12-23","2013-12-23","Per=M","Days=T","Dir=V")</f>
        <v>0</v>
      </c>
      <c r="AU2">
        <f>BDH("DOLNQ US Equity","EQY_SH_OUT","2008-12-23","2013-12-23","Per=M","Days=T","Dir=V")</f>
        <v>0</v>
      </c>
      <c r="AW2">
        <f>BDH("DOLNQ US Equity","BETA_RAW_OVERRIABLE","2008-12-23","2013-12-23","Per=M","Days=T","Dir=V")</f>
        <v>0</v>
      </c>
      <c r="AY2">
        <f>BDH("DOLNQ US Equity","PX_VOLUME","2008-12-23","2013-12-23","Per=M","Days=T","Dir=V")</f>
        <v>0</v>
      </c>
      <c r="BA2">
        <f>BDH("DOLNQ US Equity","TURNOVER","2008-12-23","2013-12-23","Per=M","Days=T","Dir=V")</f>
        <v>0</v>
      </c>
      <c r="BC2">
        <f>BDH("DOLNQ US Equity","SPREAD_BA_CR","2008-12-23","2013-12-23","Per=M","Days=T","Dir=V")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BDH("CWTRQ US Equity","BS_TOT_ASSET","2009-01-11","2014-01-11","Per=Y","Days=T","Dir=V")</f>
        <v>0</v>
      </c>
      <c r="C2">
        <f>BDH("CWTRQ US Equity","BS_TOT_LIAB2","2009-01-11","2014-01-11","Per=Y","Days=T","Dir=V")</f>
        <v>0</v>
      </c>
      <c r="E2">
        <f>BDH("CWTRQ US Equity","SHORT_AND_LONG_TERM_DEBT","2009-01-11","2014-01-11","Per=Y","Days=T","Dir=V")</f>
        <v>0</v>
      </c>
      <c r="G2">
        <f>BDH("CWTRQ US Equity","BS_ST_BORROW","2009-01-11","2014-01-11","Per=Y","Days=T","Dir=V")</f>
        <v>0</v>
      </c>
      <c r="I2">
        <f>BDH("CWTRQ US Equity","BS_LT_BORROW","2009-01-11","2014-01-11","Per=Y","Days=T","Dir=V")</f>
        <v>0</v>
      </c>
      <c r="K2">
        <f>BDH("CWTRQ US Equity","BS_CASH_NEAR_CASH_ITEM","2009-01-11","2014-01-11","Per=Y","Days=T","Dir=V")</f>
        <v>0</v>
      </c>
      <c r="M2">
        <f>BDH("CWTRQ US Equity","BS_CUR_ASSET_REPORT","2009-01-11","2014-01-11","Per=Y","Days=T","Dir=V")</f>
        <v>0</v>
      </c>
      <c r="O2">
        <f>BDH("CWTRQ US Equity","BS_CUR_LIAB","2009-01-11","2014-01-11","Per=Y","Days=T","Dir=V")</f>
        <v>0</v>
      </c>
      <c r="Q2">
        <f>BDH("CWTRQ US Equity","BS_SHAREHOLDER_EQY_ENDING_PERIOD","2009-01-11","2014-01-11","Per=Y","Days=T","Dir=V")</f>
        <v>0</v>
      </c>
      <c r="S2">
        <f>BDH("CWTRQ US Equity","BS_ACCT_NOTE_RCV","2009-01-11","2014-01-11","Per=Y","Days=T","Dir=V")</f>
        <v>0</v>
      </c>
      <c r="U2">
        <f>BDH("CWTRQ US Equity","BS_INVENTORIES","2009-01-11","2014-01-11","Per=Y","Days=T","Dir=V")</f>
        <v>0</v>
      </c>
      <c r="W2">
        <f>BDH("CWTRQ US Equity","WORKING_CAPITAL","2009-01-11","2014-01-11","Per=Y","Days=T","Dir=V")</f>
        <v>0</v>
      </c>
      <c r="Y2">
        <f>BDH("CWTRQ US Equity","SALES_REV_TURN","2009-01-11","2014-01-11","Per=Y","Days=T","Dir=V")</f>
        <v>0</v>
      </c>
      <c r="AA2">
        <f>BDH("CWTRQ US Equity","EBIT","2009-01-11","2014-01-11","Per=Y","Days=T","Dir=V")</f>
        <v>0</v>
      </c>
      <c r="AC2">
        <f>BDH("CWTRQ US Equity","EBITDA","2009-01-11","2014-01-11","Per=Y","Days=T","Dir=V")</f>
        <v>0</v>
      </c>
      <c r="AE2">
        <f>BDH("CWTRQ US Equity","NET_INCOME","2009-01-11","2014-01-11","Per=Y","Days=T","Dir=V")</f>
        <v>0</v>
      </c>
      <c r="AG2">
        <f>BDH("CWTRQ US Equity","IS_INT_EXPENSE","2009-01-11","2014-01-11","Per=Y","Days=T","Dir=V")</f>
        <v>0</v>
      </c>
      <c r="AI2">
        <f>BDH("CWTRQ US Equity","IS_DEPR_EXP","2009-01-11","2014-01-11","Per=Y","Days=T","Dir=V")</f>
        <v>0</v>
      </c>
      <c r="AK2">
        <f>BDH("CWTRQ US Equity","CF_CASH_FROM_OPER","2009-01-11","2014-01-11","Per=Y","Days=T","Dir=V")</f>
        <v>0</v>
      </c>
      <c r="AM2">
        <f>BDH("CWTRQ US Equity","CAPITAL_EXPEND","2009-01-11","2014-01-11","Per=Y","Days=T","Dir=V")</f>
        <v>0</v>
      </c>
      <c r="AO2">
        <f>BDH("CWTRQ US Equity","CF_FREE_CASH_FLOW","2009-01-11","2014-01-11","Per=Y","Days=T","Dir=V")</f>
        <v>0</v>
      </c>
      <c r="AQ2">
        <f>BDH("CWTRQ US Equity","PX_LAST","2009-01-11","2014-01-11","Per=M","Days=T","Dir=V")</f>
        <v>0</v>
      </c>
      <c r="AS2">
        <f>BDH("CWTRQ US Equity","CUR_MKT_CAP","2009-01-11","2014-01-11","Per=M","Days=T","Dir=V")</f>
        <v>0</v>
      </c>
      <c r="AU2">
        <f>BDH("CWTRQ US Equity","EQY_SH_OUT","2009-01-11","2014-01-11","Per=M","Days=T","Dir=V")</f>
        <v>0</v>
      </c>
      <c r="AW2">
        <f>BDH("CWTRQ US Equity","BETA_RAW_OVERRIABLE","2009-01-11","2014-01-11","Per=M","Days=T","Dir=V")</f>
        <v>0</v>
      </c>
      <c r="AY2">
        <f>BDH("CWTRQ US Equity","PX_VOLUME","2009-01-11","2014-01-11","Per=M","Days=T","Dir=V")</f>
        <v>0</v>
      </c>
      <c r="BA2">
        <f>BDH("CWTRQ US Equity","TURNOVER","2009-01-11","2014-01-11","Per=M","Days=T","Dir=V")</f>
        <v>0</v>
      </c>
      <c r="BC2">
        <f>BDH("CWTRQ US Equity","SPREAD_BA_CR","2009-01-11","2014-01-11","Per=M","Days=T","Dir=V")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BDH("RSHCQ US Equity","BS_TOT_ASSET","2009-11-07","2014-11-07","Per=Y","Days=T","Dir=V")</f>
        <v>0</v>
      </c>
      <c r="C2">
        <f>BDH("RSHCQ US Equity","BS_TOT_LIAB2","2009-11-07","2014-11-07","Per=Y","Days=T","Dir=V")</f>
        <v>0</v>
      </c>
      <c r="E2">
        <f>BDH("RSHCQ US Equity","SHORT_AND_LONG_TERM_DEBT","2009-11-07","2014-11-07","Per=Y","Days=T","Dir=V")</f>
        <v>0</v>
      </c>
      <c r="G2">
        <f>BDH("RSHCQ US Equity","BS_ST_BORROW","2009-11-07","2014-11-07","Per=Y","Days=T","Dir=V")</f>
        <v>0</v>
      </c>
      <c r="I2">
        <f>BDH("RSHCQ US Equity","BS_LT_BORROW","2009-11-07","2014-11-07","Per=Y","Days=T","Dir=V")</f>
        <v>0</v>
      </c>
      <c r="K2">
        <f>BDH("RSHCQ US Equity","BS_CASH_NEAR_CASH_ITEM","2009-11-07","2014-11-07","Per=Y","Days=T","Dir=V")</f>
        <v>0</v>
      </c>
      <c r="M2">
        <f>BDH("RSHCQ US Equity","BS_CUR_ASSET_REPORT","2009-11-07","2014-11-07","Per=Y","Days=T","Dir=V")</f>
        <v>0</v>
      </c>
      <c r="O2">
        <f>BDH("RSHCQ US Equity","BS_CUR_LIAB","2009-11-07","2014-11-07","Per=Y","Days=T","Dir=V")</f>
        <v>0</v>
      </c>
      <c r="Q2">
        <f>BDH("RSHCQ US Equity","BS_SHAREHOLDER_EQY_ENDING_PERIOD","2009-11-07","2014-11-07","Per=Y","Days=T","Dir=V")</f>
        <v>0</v>
      </c>
      <c r="S2">
        <f>BDH("RSHCQ US Equity","BS_ACCT_NOTE_RCV","2009-11-07","2014-11-07","Per=Y","Days=T","Dir=V")</f>
        <v>0</v>
      </c>
      <c r="U2">
        <f>BDH("RSHCQ US Equity","BS_INVENTORIES","2009-11-07","2014-11-07","Per=Y","Days=T","Dir=V")</f>
        <v>0</v>
      </c>
      <c r="W2">
        <f>BDH("RSHCQ US Equity","WORKING_CAPITAL","2009-11-07","2014-11-07","Per=Y","Days=T","Dir=V")</f>
        <v>0</v>
      </c>
      <c r="Y2">
        <f>BDH("RSHCQ US Equity","SALES_REV_TURN","2009-11-07","2014-11-07","Per=Y","Days=T","Dir=V")</f>
        <v>0</v>
      </c>
      <c r="AA2">
        <f>BDH("RSHCQ US Equity","EBIT","2009-11-07","2014-11-07","Per=Y","Days=T","Dir=V")</f>
        <v>0</v>
      </c>
      <c r="AC2">
        <f>BDH("RSHCQ US Equity","EBITDA","2009-11-07","2014-11-07","Per=Y","Days=T","Dir=V")</f>
        <v>0</v>
      </c>
      <c r="AE2">
        <f>BDH("RSHCQ US Equity","NET_INCOME","2009-11-07","2014-11-07","Per=Y","Days=T","Dir=V")</f>
        <v>0</v>
      </c>
      <c r="AG2">
        <f>BDH("RSHCQ US Equity","IS_INT_EXPENSE","2009-11-07","2014-11-07","Per=Y","Days=T","Dir=V")</f>
        <v>0</v>
      </c>
      <c r="AI2">
        <f>BDH("RSHCQ US Equity","IS_DEPR_EXP","2009-11-07","2014-11-07","Per=Y","Days=T","Dir=V")</f>
        <v>0</v>
      </c>
      <c r="AK2">
        <f>BDH("RSHCQ US Equity","CF_CASH_FROM_OPER","2009-11-07","2014-11-07","Per=Y","Days=T","Dir=V")</f>
        <v>0</v>
      </c>
      <c r="AM2">
        <f>BDH("RSHCQ US Equity","CAPITAL_EXPEND","2009-11-07","2014-11-07","Per=Y","Days=T","Dir=V")</f>
        <v>0</v>
      </c>
      <c r="AO2">
        <f>BDH("RSHCQ US Equity","CF_FREE_CASH_FLOW","2009-11-07","2014-11-07","Per=Y","Days=T","Dir=V")</f>
        <v>0</v>
      </c>
      <c r="AQ2">
        <f>BDH("RSHCQ US Equity","PX_LAST","2009-11-07","2014-11-07","Per=M","Days=T","Dir=V")</f>
        <v>0</v>
      </c>
      <c r="AS2">
        <f>BDH("RSHCQ US Equity","CUR_MKT_CAP","2009-11-07","2014-11-07","Per=M","Days=T","Dir=V")</f>
        <v>0</v>
      </c>
      <c r="AU2">
        <f>BDH("RSHCQ US Equity","EQY_SH_OUT","2009-11-07","2014-11-07","Per=M","Days=T","Dir=V")</f>
        <v>0</v>
      </c>
      <c r="AW2">
        <f>BDH("RSHCQ US Equity","BETA_RAW_OVERRIABLE","2009-11-07","2014-11-07","Per=M","Days=T","Dir=V")</f>
        <v>0</v>
      </c>
      <c r="AY2">
        <f>BDH("RSHCQ US Equity","PX_VOLUME","2009-11-07","2014-11-07","Per=M","Days=T","Dir=V")</f>
        <v>0</v>
      </c>
      <c r="BA2">
        <f>BDH("RSHCQ US Equity","TURNOVER","2009-11-07","2014-11-07","Per=M","Days=T","Dir=V")</f>
        <v>0</v>
      </c>
      <c r="BC2">
        <f>BDH("RSHCQ US Equity","SPREAD_BA_CR","2009-11-07","2014-11-07","Per=M","Days=T","Dir=V")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BDH("CDVIQ US Equity","BS_TOT_ASSET","2009-12-03","2014-12-03","Per=Y","Days=T","Dir=V")</f>
        <v>0</v>
      </c>
      <c r="C2">
        <f>BDH("CDVIQ US Equity","BS_TOT_LIAB2","2009-12-03","2014-12-03","Per=Y","Days=T","Dir=V")</f>
        <v>0</v>
      </c>
      <c r="E2">
        <f>BDH("CDVIQ US Equity","SHORT_AND_LONG_TERM_DEBT","2009-12-03","2014-12-03","Per=Y","Days=T","Dir=V")</f>
        <v>0</v>
      </c>
      <c r="G2">
        <f>BDH("CDVIQ US Equity","BS_ST_BORROW","2009-12-03","2014-12-03","Per=Y","Days=T","Dir=V")</f>
        <v>0</v>
      </c>
      <c r="I2">
        <f>BDH("CDVIQ US Equity","BS_LT_BORROW","2009-12-03","2014-12-03","Per=Y","Days=T","Dir=V")</f>
        <v>0</v>
      </c>
      <c r="K2">
        <f>BDH("CDVIQ US Equity","BS_CASH_NEAR_CASH_ITEM","2009-12-03","2014-12-03","Per=Y","Days=T","Dir=V")</f>
        <v>0</v>
      </c>
      <c r="M2">
        <f>BDH("CDVIQ US Equity","BS_CUR_ASSET_REPORT","2009-12-03","2014-12-03","Per=Y","Days=T","Dir=V")</f>
        <v>0</v>
      </c>
      <c r="O2">
        <f>BDH("CDVIQ US Equity","BS_CUR_LIAB","2009-12-03","2014-12-03","Per=Y","Days=T","Dir=V")</f>
        <v>0</v>
      </c>
      <c r="Q2">
        <f>BDH("CDVIQ US Equity","BS_SHAREHOLDER_EQY_ENDING_PERIOD","2009-12-03","2014-12-03","Per=Y","Days=T","Dir=V")</f>
        <v>0</v>
      </c>
      <c r="S2">
        <f>BDH("CDVIQ US Equity","BS_ACCT_NOTE_RCV","2009-12-03","2014-12-03","Per=Y","Days=T","Dir=V")</f>
        <v>0</v>
      </c>
      <c r="U2">
        <f>BDH("CDVIQ US Equity","BS_INVENTORIES","2009-12-03","2014-12-03","Per=Y","Days=T","Dir=V")</f>
        <v>0</v>
      </c>
      <c r="W2">
        <f>BDH("CDVIQ US Equity","WORKING_CAPITAL","2009-12-03","2014-12-03","Per=Y","Days=T","Dir=V")</f>
        <v>0</v>
      </c>
      <c r="Y2">
        <f>BDH("CDVIQ US Equity","SALES_REV_TURN","2009-12-03","2014-12-03","Per=Y","Days=T","Dir=V")</f>
        <v>0</v>
      </c>
      <c r="AA2">
        <f>BDH("CDVIQ US Equity","EBIT","2009-12-03","2014-12-03","Per=Y","Days=T","Dir=V")</f>
        <v>0</v>
      </c>
      <c r="AC2">
        <f>BDH("CDVIQ US Equity","EBITDA","2009-12-03","2014-12-03","Per=Y","Days=T","Dir=V")</f>
        <v>0</v>
      </c>
      <c r="AE2">
        <f>BDH("CDVIQ US Equity","NET_INCOME","2009-12-03","2014-12-03","Per=Y","Days=T","Dir=V")</f>
        <v>0</v>
      </c>
      <c r="AG2">
        <f>BDH("CDVIQ US Equity","IS_INT_EXPENSE","2009-12-03","2014-12-03","Per=Y","Days=T","Dir=V")</f>
        <v>0</v>
      </c>
      <c r="AI2">
        <f>BDH("CDVIQ US Equity","IS_DEPR_EXP","2009-12-03","2014-12-03","Per=Y","Days=T","Dir=V")</f>
        <v>0</v>
      </c>
      <c r="AK2">
        <f>BDH("CDVIQ US Equity","CF_CASH_FROM_OPER","2009-12-03","2014-12-03","Per=Y","Days=T","Dir=V")</f>
        <v>0</v>
      </c>
      <c r="AM2">
        <f>BDH("CDVIQ US Equity","CAPITAL_EXPEND","2009-12-03","2014-12-03","Per=Y","Days=T","Dir=V")</f>
        <v>0</v>
      </c>
      <c r="AO2">
        <f>BDH("CDVIQ US Equity","CF_FREE_CASH_FLOW","2009-12-03","2014-12-03","Per=Y","Days=T","Dir=V")</f>
        <v>0</v>
      </c>
      <c r="AQ2">
        <f>BDH("CDVIQ US Equity","PX_LAST","2009-12-03","2014-12-03","Per=M","Days=T","Dir=V")</f>
        <v>0</v>
      </c>
      <c r="AS2">
        <f>BDH("CDVIQ US Equity","CUR_MKT_CAP","2009-12-03","2014-12-03","Per=M","Days=T","Dir=V")</f>
        <v>0</v>
      </c>
      <c r="AU2">
        <f>BDH("CDVIQ US Equity","EQY_SH_OUT","2009-12-03","2014-12-03","Per=M","Days=T","Dir=V")</f>
        <v>0</v>
      </c>
      <c r="AW2">
        <f>BDH("CDVIQ US Equity","BETA_RAW_OVERRIABLE","2009-12-03","2014-12-03","Per=M","Days=T","Dir=V")</f>
        <v>0</v>
      </c>
      <c r="AY2">
        <f>BDH("CDVIQ US Equity","PX_VOLUME","2009-12-03","2014-12-03","Per=M","Days=T","Dir=V")</f>
        <v>0</v>
      </c>
      <c r="BA2">
        <f>BDH("CDVIQ US Equity","TURNOVER","2009-12-03","2014-12-03","Per=M","Days=T","Dir=V")</f>
        <v>0</v>
      </c>
      <c r="BC2">
        <f>BDH("CDVIQ US Equity","SPREAD_BA_CR","2009-12-03","2014-12-03","Per=M","Days=T","Dir=V")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BDH("SRCTQ US Equity","BS_TOT_ASSET","2009-12-12","2014-12-12","Per=Y","Days=T","Dir=V")</f>
        <v>0</v>
      </c>
      <c r="C2">
        <f>BDH("SRCTQ US Equity","BS_TOT_LIAB2","2009-12-12","2014-12-12","Per=Y","Days=T","Dir=V")</f>
        <v>0</v>
      </c>
      <c r="E2">
        <f>BDH("SRCTQ US Equity","SHORT_AND_LONG_TERM_DEBT","2009-12-12","2014-12-12","Per=Y","Days=T","Dir=V")</f>
        <v>0</v>
      </c>
      <c r="G2">
        <f>BDH("SRCTQ US Equity","BS_ST_BORROW","2009-12-12","2014-12-12","Per=Y","Days=T","Dir=V")</f>
        <v>0</v>
      </c>
      <c r="I2">
        <f>BDH("SRCTQ US Equity","BS_LT_BORROW","2009-12-12","2014-12-12","Per=Y","Days=T","Dir=V")</f>
        <v>0</v>
      </c>
      <c r="K2">
        <f>BDH("SRCTQ US Equity","BS_CASH_NEAR_CASH_ITEM","2009-12-12","2014-12-12","Per=Y","Days=T","Dir=V")</f>
        <v>0</v>
      </c>
      <c r="M2">
        <f>BDH("SRCTQ US Equity","BS_CUR_ASSET_REPORT","2009-12-12","2014-12-12","Per=Y","Days=T","Dir=V")</f>
        <v>0</v>
      </c>
      <c r="O2">
        <f>BDH("SRCTQ US Equity","BS_CUR_LIAB","2009-12-12","2014-12-12","Per=Y","Days=T","Dir=V")</f>
        <v>0</v>
      </c>
      <c r="Q2">
        <f>BDH("SRCTQ US Equity","BS_SHAREHOLDER_EQY_ENDING_PERIOD","2009-12-12","2014-12-12","Per=Y","Days=T","Dir=V")</f>
        <v>0</v>
      </c>
      <c r="S2">
        <f>BDH("SRCTQ US Equity","BS_ACCT_NOTE_RCV","2009-12-12","2014-12-12","Per=Y","Days=T","Dir=V")</f>
        <v>0</v>
      </c>
      <c r="U2">
        <f>BDH("SRCTQ US Equity","BS_INVENTORIES","2009-12-12","2014-12-12","Per=Y","Days=T","Dir=V")</f>
        <v>0</v>
      </c>
      <c r="W2">
        <f>BDH("SRCTQ US Equity","WORKING_CAPITAL","2009-12-12","2014-12-12","Per=Y","Days=T","Dir=V")</f>
        <v>0</v>
      </c>
      <c r="Y2">
        <f>BDH("SRCTQ US Equity","SALES_REV_TURN","2009-12-12","2014-12-12","Per=Y","Days=T","Dir=V")</f>
        <v>0</v>
      </c>
      <c r="AA2">
        <f>BDH("SRCTQ US Equity","EBIT","2009-12-12","2014-12-12","Per=Y","Days=T","Dir=V")</f>
        <v>0</v>
      </c>
      <c r="AC2">
        <f>BDH("SRCTQ US Equity","EBITDA","2009-12-12","2014-12-12","Per=Y","Days=T","Dir=V")</f>
        <v>0</v>
      </c>
      <c r="AE2">
        <f>BDH("SRCTQ US Equity","NET_INCOME","2009-12-12","2014-12-12","Per=Y","Days=T","Dir=V")</f>
        <v>0</v>
      </c>
      <c r="AG2">
        <f>BDH("SRCTQ US Equity","IS_INT_EXPENSE","2009-12-12","2014-12-12","Per=Y","Days=T","Dir=V")</f>
        <v>0</v>
      </c>
      <c r="AI2">
        <f>BDH("SRCTQ US Equity","IS_DEPR_EXP","2009-12-12","2014-12-12","Per=Y","Days=T","Dir=V")</f>
        <v>0</v>
      </c>
      <c r="AK2">
        <f>BDH("SRCTQ US Equity","CF_CASH_FROM_OPER","2009-12-12","2014-12-12","Per=Y","Days=T","Dir=V")</f>
        <v>0</v>
      </c>
      <c r="AM2">
        <f>BDH("SRCTQ US Equity","CAPITAL_EXPEND","2009-12-12","2014-12-12","Per=Y","Days=T","Dir=V")</f>
        <v>0</v>
      </c>
      <c r="AO2">
        <f>BDH("SRCTQ US Equity","CF_FREE_CASH_FLOW","2009-12-12","2014-12-12","Per=Y","Days=T","Dir=V")</f>
        <v>0</v>
      </c>
      <c r="AQ2">
        <f>BDH("SRCTQ US Equity","PX_LAST","2009-12-12","2014-12-12","Per=M","Days=T","Dir=V")</f>
        <v>0</v>
      </c>
      <c r="AS2">
        <f>BDH("SRCTQ US Equity","CUR_MKT_CAP","2009-12-12","2014-12-12","Per=M","Days=T","Dir=V")</f>
        <v>0</v>
      </c>
      <c r="AU2">
        <f>BDH("SRCTQ US Equity","EQY_SH_OUT","2009-12-12","2014-12-12","Per=M","Days=T","Dir=V")</f>
        <v>0</v>
      </c>
      <c r="AW2">
        <f>BDH("SRCTQ US Equity","BETA_RAW_OVERRIABLE","2009-12-12","2014-12-12","Per=M","Days=T","Dir=V")</f>
        <v>0</v>
      </c>
      <c r="AY2">
        <f>BDH("SRCTQ US Equity","PX_VOLUME","2009-12-12","2014-12-12","Per=M","Days=T","Dir=V")</f>
        <v>0</v>
      </c>
      <c r="BA2">
        <f>BDH("SRCTQ US Equity","TURNOVER","2009-12-12","2014-12-12","Per=M","Days=T","Dir=V")</f>
        <v>0</v>
      </c>
      <c r="BC2">
        <f>BDH("SRCTQ US Equity","SPREAD_BA_CR","2009-12-12","2014-12-12","Per=M","Days=T","Dir=V")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BDH("KWKAQ US Equity","BS_TOT_ASSET","2009-12-17","2014-12-17","Per=Y","Days=T","Dir=V")</f>
        <v>0</v>
      </c>
      <c r="C2">
        <f>BDH("KWKAQ US Equity","BS_TOT_LIAB2","2009-12-17","2014-12-17","Per=Y","Days=T","Dir=V")</f>
        <v>0</v>
      </c>
      <c r="E2">
        <f>BDH("KWKAQ US Equity","SHORT_AND_LONG_TERM_DEBT","2009-12-17","2014-12-17","Per=Y","Days=T","Dir=V")</f>
        <v>0</v>
      </c>
      <c r="G2">
        <f>BDH("KWKAQ US Equity","BS_ST_BORROW","2009-12-17","2014-12-17","Per=Y","Days=T","Dir=V")</f>
        <v>0</v>
      </c>
      <c r="I2">
        <f>BDH("KWKAQ US Equity","BS_LT_BORROW","2009-12-17","2014-12-17","Per=Y","Days=T","Dir=V")</f>
        <v>0</v>
      </c>
      <c r="K2">
        <f>BDH("KWKAQ US Equity","BS_CASH_NEAR_CASH_ITEM","2009-12-17","2014-12-17","Per=Y","Days=T","Dir=V")</f>
        <v>0</v>
      </c>
      <c r="M2">
        <f>BDH("KWKAQ US Equity","BS_CUR_ASSET_REPORT","2009-12-17","2014-12-17","Per=Y","Days=T","Dir=V")</f>
        <v>0</v>
      </c>
      <c r="O2">
        <f>BDH("KWKAQ US Equity","BS_CUR_LIAB","2009-12-17","2014-12-17","Per=Y","Days=T","Dir=V")</f>
        <v>0</v>
      </c>
      <c r="Q2">
        <f>BDH("KWKAQ US Equity","BS_SHAREHOLDER_EQY_ENDING_PERIOD","2009-12-17","2014-12-17","Per=Y","Days=T","Dir=V")</f>
        <v>0</v>
      </c>
      <c r="S2">
        <f>BDH("KWKAQ US Equity","BS_ACCT_NOTE_RCV","2009-12-17","2014-12-17","Per=Y","Days=T","Dir=V")</f>
        <v>0</v>
      </c>
      <c r="U2">
        <f>BDH("KWKAQ US Equity","BS_INVENTORIES","2009-12-17","2014-12-17","Per=Y","Days=T","Dir=V")</f>
        <v>0</v>
      </c>
      <c r="W2">
        <f>BDH("KWKAQ US Equity","WORKING_CAPITAL","2009-12-17","2014-12-17","Per=Y","Days=T","Dir=V")</f>
        <v>0</v>
      </c>
      <c r="Y2">
        <f>BDH("KWKAQ US Equity","SALES_REV_TURN","2009-12-17","2014-12-17","Per=Y","Days=T","Dir=V")</f>
        <v>0</v>
      </c>
      <c r="AA2">
        <f>BDH("KWKAQ US Equity","EBIT","2009-12-17","2014-12-17","Per=Y","Days=T","Dir=V")</f>
        <v>0</v>
      </c>
      <c r="AC2">
        <f>BDH("KWKAQ US Equity","EBITDA","2009-12-17","2014-12-17","Per=Y","Days=T","Dir=V")</f>
        <v>0</v>
      </c>
      <c r="AE2">
        <f>BDH("KWKAQ US Equity","NET_INCOME","2009-12-17","2014-12-17","Per=Y","Days=T","Dir=V")</f>
        <v>0</v>
      </c>
      <c r="AG2">
        <f>BDH("KWKAQ US Equity","IS_INT_EXPENSE","2009-12-17","2014-12-17","Per=Y","Days=T","Dir=V")</f>
        <v>0</v>
      </c>
      <c r="AI2">
        <f>BDH("KWKAQ US Equity","IS_DEPR_EXP","2009-12-17","2014-12-17","Per=Y","Days=T","Dir=V")</f>
        <v>0</v>
      </c>
      <c r="AK2">
        <f>BDH("KWKAQ US Equity","CF_CASH_FROM_OPER","2009-12-17","2014-12-17","Per=Y","Days=T","Dir=V")</f>
        <v>0</v>
      </c>
      <c r="AM2">
        <f>BDH("KWKAQ US Equity","CAPITAL_EXPEND","2009-12-17","2014-12-17","Per=Y","Days=T","Dir=V")</f>
        <v>0</v>
      </c>
      <c r="AO2">
        <f>BDH("KWKAQ US Equity","CF_FREE_CASH_FLOW","2009-12-17","2014-12-17","Per=Y","Days=T","Dir=V")</f>
        <v>0</v>
      </c>
      <c r="AQ2">
        <f>BDH("KWKAQ US Equity","PX_LAST","2009-12-17","2014-12-17","Per=M","Days=T","Dir=V")</f>
        <v>0</v>
      </c>
      <c r="AS2">
        <f>BDH("KWKAQ US Equity","CUR_MKT_CAP","2009-12-17","2014-12-17","Per=M","Days=T","Dir=V")</f>
        <v>0</v>
      </c>
      <c r="AU2">
        <f>BDH("KWKAQ US Equity","EQY_SH_OUT","2009-12-17","2014-12-17","Per=M","Days=T","Dir=V")</f>
        <v>0</v>
      </c>
      <c r="AW2">
        <f>BDH("KWKAQ US Equity","BETA_RAW_OVERRIABLE","2009-12-17","2014-12-17","Per=M","Days=T","Dir=V")</f>
        <v>0</v>
      </c>
      <c r="AY2">
        <f>BDH("KWKAQ US Equity","PX_VOLUME","2009-12-17","2014-12-17","Per=M","Days=T","Dir=V")</f>
        <v>0</v>
      </c>
      <c r="BA2">
        <f>BDH("KWKAQ US Equity","TURNOVER","2009-12-17","2014-12-17","Per=M","Days=T","Dir=V")</f>
        <v>0</v>
      </c>
      <c r="BC2">
        <f>BDH("KWKAQ US Equity","SPREAD_BA_CR","2009-12-17","2014-12-17","Per=M","Days=T","Dir=V")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BDH("COCOQ US Equity","BS_TOT_ASSET","2010-02-03","2015-02-03","Per=Y","Days=T","Dir=V")</f>
        <v>0</v>
      </c>
      <c r="C2">
        <f>BDH("COCOQ US Equity","BS_TOT_LIAB2","2010-02-03","2015-02-03","Per=Y","Days=T","Dir=V")</f>
        <v>0</v>
      </c>
      <c r="E2">
        <f>BDH("COCOQ US Equity","SHORT_AND_LONG_TERM_DEBT","2010-02-03","2015-02-03","Per=Y","Days=T","Dir=V")</f>
        <v>0</v>
      </c>
      <c r="G2">
        <f>BDH("COCOQ US Equity","BS_ST_BORROW","2010-02-03","2015-02-03","Per=Y","Days=T","Dir=V")</f>
        <v>0</v>
      </c>
      <c r="I2">
        <f>BDH("COCOQ US Equity","BS_LT_BORROW","2010-02-03","2015-02-03","Per=Y","Days=T","Dir=V")</f>
        <v>0</v>
      </c>
      <c r="K2">
        <f>BDH("COCOQ US Equity","BS_CASH_NEAR_CASH_ITEM","2010-02-03","2015-02-03","Per=Y","Days=T","Dir=V")</f>
        <v>0</v>
      </c>
      <c r="M2">
        <f>BDH("COCOQ US Equity","BS_CUR_ASSET_REPORT","2010-02-03","2015-02-03","Per=Y","Days=T","Dir=V")</f>
        <v>0</v>
      </c>
      <c r="O2">
        <f>BDH("COCOQ US Equity","BS_CUR_LIAB","2010-02-03","2015-02-03","Per=Y","Days=T","Dir=V")</f>
        <v>0</v>
      </c>
      <c r="Q2">
        <f>BDH("COCOQ US Equity","BS_SHAREHOLDER_EQY_ENDING_PERIOD","2010-02-03","2015-02-03","Per=Y","Days=T","Dir=V")</f>
        <v>0</v>
      </c>
      <c r="S2">
        <f>BDH("COCOQ US Equity","BS_ACCT_NOTE_RCV","2010-02-03","2015-02-03","Per=Y","Days=T","Dir=V")</f>
        <v>0</v>
      </c>
      <c r="U2">
        <f>BDH("COCOQ US Equity","BS_INVENTORIES","2010-02-03","2015-02-03","Per=Y","Days=T","Dir=V")</f>
        <v>0</v>
      </c>
      <c r="W2">
        <f>BDH("COCOQ US Equity","WORKING_CAPITAL","2010-02-03","2015-02-03","Per=Y","Days=T","Dir=V")</f>
        <v>0</v>
      </c>
      <c r="Y2">
        <f>BDH("COCOQ US Equity","SALES_REV_TURN","2010-02-03","2015-02-03","Per=Y","Days=T","Dir=V")</f>
        <v>0</v>
      </c>
      <c r="AA2">
        <f>BDH("COCOQ US Equity","EBIT","2010-02-03","2015-02-03","Per=Y","Days=T","Dir=V")</f>
        <v>0</v>
      </c>
      <c r="AC2">
        <f>BDH("COCOQ US Equity","EBITDA","2010-02-03","2015-02-03","Per=Y","Days=T","Dir=V")</f>
        <v>0</v>
      </c>
      <c r="AE2">
        <f>BDH("COCOQ US Equity","NET_INCOME","2010-02-03","2015-02-03","Per=Y","Days=T","Dir=V")</f>
        <v>0</v>
      </c>
      <c r="AG2">
        <f>BDH("COCOQ US Equity","IS_INT_EXPENSE","2010-02-03","2015-02-03","Per=Y","Days=T","Dir=V")</f>
        <v>0</v>
      </c>
      <c r="AI2">
        <f>BDH("COCOQ US Equity","IS_DEPR_EXP","2010-02-03","2015-02-03","Per=Y","Days=T","Dir=V")</f>
        <v>0</v>
      </c>
      <c r="AK2">
        <f>BDH("COCOQ US Equity","CF_CASH_FROM_OPER","2010-02-03","2015-02-03","Per=Y","Days=T","Dir=V")</f>
        <v>0</v>
      </c>
      <c r="AM2">
        <f>BDH("COCOQ US Equity","CAPITAL_EXPEND","2010-02-03","2015-02-03","Per=Y","Days=T","Dir=V")</f>
        <v>0</v>
      </c>
      <c r="AO2">
        <f>BDH("COCOQ US Equity","CF_FREE_CASH_FLOW","2010-02-03","2015-02-03","Per=Y","Days=T","Dir=V")</f>
        <v>0</v>
      </c>
      <c r="AQ2">
        <f>BDH("COCOQ US Equity","PX_LAST","2010-02-03","2015-02-03","Per=M","Days=T","Dir=V")</f>
        <v>0</v>
      </c>
      <c r="AS2">
        <f>BDH("COCOQ US Equity","CUR_MKT_CAP","2010-02-03","2015-02-03","Per=M","Days=T","Dir=V")</f>
        <v>0</v>
      </c>
      <c r="AU2">
        <f>BDH("COCOQ US Equity","EQY_SH_OUT","2010-02-03","2015-02-03","Per=M","Days=T","Dir=V")</f>
        <v>0</v>
      </c>
      <c r="AW2">
        <f>BDH("COCOQ US Equity","BETA_RAW_OVERRIABLE","2010-02-03","2015-02-03","Per=M","Days=T","Dir=V")</f>
        <v>0</v>
      </c>
      <c r="AY2">
        <f>BDH("COCOQ US Equity","PX_VOLUME","2010-02-03","2015-02-03","Per=M","Days=T","Dir=V")</f>
        <v>0</v>
      </c>
      <c r="BA2">
        <f>BDH("COCOQ US Equity","TURNOVER","2010-02-03","2015-02-03","Per=M","Days=T","Dir=V")</f>
        <v>0</v>
      </c>
      <c r="BC2">
        <f>BDH("COCOQ US Equity","SPREAD_BA_CR","2010-02-03","2015-02-03","Per=M","Days=T","Dir=V")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BDH("MCPIQ US Equity","BS_TOT_ASSET","2010-03-27","2015-03-27","Per=Y","Days=T","Dir=V")</f>
        <v>0</v>
      </c>
      <c r="C2">
        <f>BDH("MCPIQ US Equity","BS_TOT_LIAB2","2010-03-27","2015-03-27","Per=Y","Days=T","Dir=V")</f>
        <v>0</v>
      </c>
      <c r="E2">
        <f>BDH("MCPIQ US Equity","SHORT_AND_LONG_TERM_DEBT","2010-03-27","2015-03-27","Per=Y","Days=T","Dir=V")</f>
        <v>0</v>
      </c>
      <c r="G2">
        <f>BDH("MCPIQ US Equity","BS_ST_BORROW","2010-03-27","2015-03-27","Per=Y","Days=T","Dir=V")</f>
        <v>0</v>
      </c>
      <c r="I2">
        <f>BDH("MCPIQ US Equity","BS_LT_BORROW","2010-03-27","2015-03-27","Per=Y","Days=T","Dir=V")</f>
        <v>0</v>
      </c>
      <c r="K2">
        <f>BDH("MCPIQ US Equity","BS_CASH_NEAR_CASH_ITEM","2010-03-27","2015-03-27","Per=Y","Days=T","Dir=V")</f>
        <v>0</v>
      </c>
      <c r="M2">
        <f>BDH("MCPIQ US Equity","BS_CUR_ASSET_REPORT","2010-03-27","2015-03-27","Per=Y","Days=T","Dir=V")</f>
        <v>0</v>
      </c>
      <c r="O2">
        <f>BDH("MCPIQ US Equity","BS_CUR_LIAB","2010-03-27","2015-03-27","Per=Y","Days=T","Dir=V")</f>
        <v>0</v>
      </c>
      <c r="Q2">
        <f>BDH("MCPIQ US Equity","BS_SHAREHOLDER_EQY_ENDING_PERIOD","2010-03-27","2015-03-27","Per=Y","Days=T","Dir=V")</f>
        <v>0</v>
      </c>
      <c r="S2">
        <f>BDH("MCPIQ US Equity","BS_ACCT_NOTE_RCV","2010-03-27","2015-03-27","Per=Y","Days=T","Dir=V")</f>
        <v>0</v>
      </c>
      <c r="U2">
        <f>BDH("MCPIQ US Equity","BS_INVENTORIES","2010-03-27","2015-03-27","Per=Y","Days=T","Dir=V")</f>
        <v>0</v>
      </c>
      <c r="W2">
        <f>BDH("MCPIQ US Equity","WORKING_CAPITAL","2010-03-27","2015-03-27","Per=Y","Days=T","Dir=V")</f>
        <v>0</v>
      </c>
      <c r="Y2">
        <f>BDH("MCPIQ US Equity","SALES_REV_TURN","2010-03-27","2015-03-27","Per=Y","Days=T","Dir=V")</f>
        <v>0</v>
      </c>
      <c r="AA2">
        <f>BDH("MCPIQ US Equity","EBIT","2010-03-27","2015-03-27","Per=Y","Days=T","Dir=V")</f>
        <v>0</v>
      </c>
      <c r="AC2">
        <f>BDH("MCPIQ US Equity","EBITDA","2010-03-27","2015-03-27","Per=Y","Days=T","Dir=V")</f>
        <v>0</v>
      </c>
      <c r="AE2">
        <f>BDH("MCPIQ US Equity","NET_INCOME","2010-03-27","2015-03-27","Per=Y","Days=T","Dir=V")</f>
        <v>0</v>
      </c>
      <c r="AG2">
        <f>BDH("MCPIQ US Equity","IS_INT_EXPENSE","2010-03-27","2015-03-27","Per=Y","Days=T","Dir=V")</f>
        <v>0</v>
      </c>
      <c r="AI2">
        <f>BDH("MCPIQ US Equity","IS_DEPR_EXP","2010-03-27","2015-03-27","Per=Y","Days=T","Dir=V")</f>
        <v>0</v>
      </c>
      <c r="AK2">
        <f>BDH("MCPIQ US Equity","CF_CASH_FROM_OPER","2010-03-27","2015-03-27","Per=Y","Days=T","Dir=V")</f>
        <v>0</v>
      </c>
      <c r="AM2">
        <f>BDH("MCPIQ US Equity","CAPITAL_EXPEND","2010-03-27","2015-03-27","Per=Y","Days=T","Dir=V")</f>
        <v>0</v>
      </c>
      <c r="AO2">
        <f>BDH("MCPIQ US Equity","CF_FREE_CASH_FLOW","2010-03-27","2015-03-27","Per=Y","Days=T","Dir=V")</f>
        <v>0</v>
      </c>
      <c r="AQ2">
        <f>BDH("MCPIQ US Equity","PX_LAST","2010-03-27","2015-03-27","Per=M","Days=T","Dir=V")</f>
        <v>0</v>
      </c>
      <c r="AS2">
        <f>BDH("MCPIQ US Equity","CUR_MKT_CAP","2010-03-27","2015-03-27","Per=M","Days=T","Dir=V")</f>
        <v>0</v>
      </c>
      <c r="AU2">
        <f>BDH("MCPIQ US Equity","EQY_SH_OUT","2010-03-27","2015-03-27","Per=M","Days=T","Dir=V")</f>
        <v>0</v>
      </c>
      <c r="AW2">
        <f>BDH("MCPIQ US Equity","BETA_RAW_OVERRIABLE","2010-03-27","2015-03-27","Per=M","Days=T","Dir=V")</f>
        <v>0</v>
      </c>
      <c r="AY2">
        <f>BDH("MCPIQ US Equity","PX_VOLUME","2010-03-27","2015-03-27","Per=M","Days=T","Dir=V")</f>
        <v>0</v>
      </c>
      <c r="BA2">
        <f>BDH("MCPIQ US Equity","TURNOVER","2010-03-27","2015-03-27","Per=M","Days=T","Dir=V")</f>
        <v>0</v>
      </c>
      <c r="BC2">
        <f>BDH("MCPIQ US Equity","SPREAD_BA_CR","2010-03-27","2015-03-27","Per=M","Days=T","Dir=V")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BDH("WLTGQ US Equity","BS_TOT_ASSET","2010-04-16","2015-04-16","Per=Y","Days=T","Dir=V")</f>
        <v>0</v>
      </c>
      <c r="C2">
        <f>BDH("WLTGQ US Equity","BS_TOT_LIAB2","2010-04-16","2015-04-16","Per=Y","Days=T","Dir=V")</f>
        <v>0</v>
      </c>
      <c r="E2">
        <f>BDH("WLTGQ US Equity","SHORT_AND_LONG_TERM_DEBT","2010-04-16","2015-04-16","Per=Y","Days=T","Dir=V")</f>
        <v>0</v>
      </c>
      <c r="G2">
        <f>BDH("WLTGQ US Equity","BS_ST_BORROW","2010-04-16","2015-04-16","Per=Y","Days=T","Dir=V")</f>
        <v>0</v>
      </c>
      <c r="I2">
        <f>BDH("WLTGQ US Equity","BS_LT_BORROW","2010-04-16","2015-04-16","Per=Y","Days=T","Dir=V")</f>
        <v>0</v>
      </c>
      <c r="K2">
        <f>BDH("WLTGQ US Equity","BS_CASH_NEAR_CASH_ITEM","2010-04-16","2015-04-16","Per=Y","Days=T","Dir=V")</f>
        <v>0</v>
      </c>
      <c r="M2">
        <f>BDH("WLTGQ US Equity","BS_CUR_ASSET_REPORT","2010-04-16","2015-04-16","Per=Y","Days=T","Dir=V")</f>
        <v>0</v>
      </c>
      <c r="O2">
        <f>BDH("WLTGQ US Equity","BS_CUR_LIAB","2010-04-16","2015-04-16","Per=Y","Days=T","Dir=V")</f>
        <v>0</v>
      </c>
      <c r="Q2">
        <f>BDH("WLTGQ US Equity","BS_SHAREHOLDER_EQY_ENDING_PERIOD","2010-04-16","2015-04-16","Per=Y","Days=T","Dir=V")</f>
        <v>0</v>
      </c>
      <c r="S2">
        <f>BDH("WLTGQ US Equity","BS_ACCT_NOTE_RCV","2010-04-16","2015-04-16","Per=Y","Days=T","Dir=V")</f>
        <v>0</v>
      </c>
      <c r="U2">
        <f>BDH("WLTGQ US Equity","BS_INVENTORIES","2010-04-16","2015-04-16","Per=Y","Days=T","Dir=V")</f>
        <v>0</v>
      </c>
      <c r="W2">
        <f>BDH("WLTGQ US Equity","WORKING_CAPITAL","2010-04-16","2015-04-16","Per=Y","Days=T","Dir=V")</f>
        <v>0</v>
      </c>
      <c r="Y2">
        <f>BDH("WLTGQ US Equity","SALES_REV_TURN","2010-04-16","2015-04-16","Per=Y","Days=T","Dir=V")</f>
        <v>0</v>
      </c>
      <c r="AA2">
        <f>BDH("WLTGQ US Equity","EBIT","2010-04-16","2015-04-16","Per=Y","Days=T","Dir=V")</f>
        <v>0</v>
      </c>
      <c r="AC2">
        <f>BDH("WLTGQ US Equity","EBITDA","2010-04-16","2015-04-16","Per=Y","Days=T","Dir=V")</f>
        <v>0</v>
      </c>
      <c r="AE2">
        <f>BDH("WLTGQ US Equity","NET_INCOME","2010-04-16","2015-04-16","Per=Y","Days=T","Dir=V")</f>
        <v>0</v>
      </c>
      <c r="AG2">
        <f>BDH("WLTGQ US Equity","IS_INT_EXPENSE","2010-04-16","2015-04-16","Per=Y","Days=T","Dir=V")</f>
        <v>0</v>
      </c>
      <c r="AI2">
        <f>BDH("WLTGQ US Equity","IS_DEPR_EXP","2010-04-16","2015-04-16","Per=Y","Days=T","Dir=V")</f>
        <v>0</v>
      </c>
      <c r="AK2">
        <f>BDH("WLTGQ US Equity","CF_CASH_FROM_OPER","2010-04-16","2015-04-16","Per=Y","Days=T","Dir=V")</f>
        <v>0</v>
      </c>
      <c r="AM2">
        <f>BDH("WLTGQ US Equity","CAPITAL_EXPEND","2010-04-16","2015-04-16","Per=Y","Days=T","Dir=V")</f>
        <v>0</v>
      </c>
      <c r="AO2">
        <f>BDH("WLTGQ US Equity","CF_FREE_CASH_FLOW","2010-04-16","2015-04-16","Per=Y","Days=T","Dir=V")</f>
        <v>0</v>
      </c>
      <c r="AQ2">
        <f>BDH("WLTGQ US Equity","PX_LAST","2010-04-16","2015-04-16","Per=M","Days=T","Dir=V")</f>
        <v>0</v>
      </c>
      <c r="AS2">
        <f>BDH("WLTGQ US Equity","CUR_MKT_CAP","2010-04-16","2015-04-16","Per=M","Days=T","Dir=V")</f>
        <v>0</v>
      </c>
      <c r="AU2">
        <f>BDH("WLTGQ US Equity","EQY_SH_OUT","2010-04-16","2015-04-16","Per=M","Days=T","Dir=V")</f>
        <v>0</v>
      </c>
      <c r="AW2">
        <f>BDH("WLTGQ US Equity","BETA_RAW_OVERRIABLE","2010-04-16","2015-04-16","Per=M","Days=T","Dir=V")</f>
        <v>0</v>
      </c>
      <c r="AY2">
        <f>BDH("WLTGQ US Equity","PX_VOLUME","2010-04-16","2015-04-16","Per=M","Days=T","Dir=V")</f>
        <v>0</v>
      </c>
      <c r="BA2">
        <f>BDH("WLTGQ US Equity","TURNOVER","2010-04-16","2015-04-16","Per=M","Days=T","Dir=V")</f>
        <v>0</v>
      </c>
      <c r="BC2">
        <f>BDH("WLTGQ US Equity","SPREAD_BA_CR","2010-04-16","2015-04-16","Per=M","Days=T","Dir=V")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BDH("SOGCQ US Equity","BS_TOT_ASSET","2010-04-16","2015-04-16","Per=Y","Days=T","Dir=V")</f>
        <v>0</v>
      </c>
      <c r="C2">
        <f>BDH("SOGCQ US Equity","BS_TOT_LIAB2","2010-04-16","2015-04-16","Per=Y","Days=T","Dir=V")</f>
        <v>0</v>
      </c>
      <c r="E2">
        <f>BDH("SOGCQ US Equity","SHORT_AND_LONG_TERM_DEBT","2010-04-16","2015-04-16","Per=Y","Days=T","Dir=V")</f>
        <v>0</v>
      </c>
      <c r="G2">
        <f>BDH("SOGCQ US Equity","BS_ST_BORROW","2010-04-16","2015-04-16","Per=Y","Days=T","Dir=V")</f>
        <v>0</v>
      </c>
      <c r="I2">
        <f>BDH("SOGCQ US Equity","BS_LT_BORROW","2010-04-16","2015-04-16","Per=Y","Days=T","Dir=V")</f>
        <v>0</v>
      </c>
      <c r="K2">
        <f>BDH("SOGCQ US Equity","BS_CASH_NEAR_CASH_ITEM","2010-04-16","2015-04-16","Per=Y","Days=T","Dir=V")</f>
        <v>0</v>
      </c>
      <c r="M2">
        <f>BDH("SOGCQ US Equity","BS_CUR_ASSET_REPORT","2010-04-16","2015-04-16","Per=Y","Days=T","Dir=V")</f>
        <v>0</v>
      </c>
      <c r="O2">
        <f>BDH("SOGCQ US Equity","BS_CUR_LIAB","2010-04-16","2015-04-16","Per=Y","Days=T","Dir=V")</f>
        <v>0</v>
      </c>
      <c r="Q2">
        <f>BDH("SOGCQ US Equity","BS_SHAREHOLDER_EQY_ENDING_PERIOD","2010-04-16","2015-04-16","Per=Y","Days=T","Dir=V")</f>
        <v>0</v>
      </c>
      <c r="S2">
        <f>BDH("SOGCQ US Equity","BS_ACCT_NOTE_RCV","2010-04-16","2015-04-16","Per=Y","Days=T","Dir=V")</f>
        <v>0</v>
      </c>
      <c r="U2">
        <f>BDH("SOGCQ US Equity","BS_INVENTORIES","2010-04-16","2015-04-16","Per=Y","Days=T","Dir=V")</f>
        <v>0</v>
      </c>
      <c r="W2">
        <f>BDH("SOGCQ US Equity","WORKING_CAPITAL","2010-04-16","2015-04-16","Per=Y","Days=T","Dir=V")</f>
        <v>0</v>
      </c>
      <c r="Y2">
        <f>BDH("SOGCQ US Equity","SALES_REV_TURN","2010-04-16","2015-04-16","Per=Y","Days=T","Dir=V")</f>
        <v>0</v>
      </c>
      <c r="AA2">
        <f>BDH("SOGCQ US Equity","EBIT","2010-04-16","2015-04-16","Per=Y","Days=T","Dir=V")</f>
        <v>0</v>
      </c>
      <c r="AC2">
        <f>BDH("SOGCQ US Equity","EBITDA","2010-04-16","2015-04-16","Per=Y","Days=T","Dir=V")</f>
        <v>0</v>
      </c>
      <c r="AE2">
        <f>BDH("SOGCQ US Equity","NET_INCOME","2010-04-16","2015-04-16","Per=Y","Days=T","Dir=V")</f>
        <v>0</v>
      </c>
      <c r="AG2">
        <f>BDH("SOGCQ US Equity","IS_INT_EXPENSE","2010-04-16","2015-04-16","Per=Y","Days=T","Dir=V")</f>
        <v>0</v>
      </c>
      <c r="AI2">
        <f>BDH("SOGCQ US Equity","IS_DEPR_EXP","2010-04-16","2015-04-16","Per=Y","Days=T","Dir=V")</f>
        <v>0</v>
      </c>
      <c r="AK2">
        <f>BDH("SOGCQ US Equity","CF_CASH_FROM_OPER","2010-04-16","2015-04-16","Per=Y","Days=T","Dir=V")</f>
        <v>0</v>
      </c>
      <c r="AM2">
        <f>BDH("SOGCQ US Equity","CAPITAL_EXPEND","2010-04-16","2015-04-16","Per=Y","Days=T","Dir=V")</f>
        <v>0</v>
      </c>
      <c r="AO2">
        <f>BDH("SOGCQ US Equity","CF_FREE_CASH_FLOW","2010-04-16","2015-04-16","Per=Y","Days=T","Dir=V")</f>
        <v>0</v>
      </c>
      <c r="AQ2">
        <f>BDH("SOGCQ US Equity","PX_LAST","2010-04-16","2015-04-16","Per=M","Days=T","Dir=V")</f>
        <v>0</v>
      </c>
      <c r="AS2">
        <f>BDH("SOGCQ US Equity","CUR_MKT_CAP","2010-04-16","2015-04-16","Per=M","Days=T","Dir=V")</f>
        <v>0</v>
      </c>
      <c r="AU2">
        <f>BDH("SOGCQ US Equity","EQY_SH_OUT","2010-04-16","2015-04-16","Per=M","Days=T","Dir=V")</f>
        <v>0</v>
      </c>
      <c r="AW2">
        <f>BDH("SOGCQ US Equity","BETA_RAW_OVERRIABLE","2010-04-16","2015-04-16","Per=M","Days=T","Dir=V")</f>
        <v>0</v>
      </c>
      <c r="AY2">
        <f>BDH("SOGCQ US Equity","PX_VOLUME","2010-04-16","2015-04-16","Per=M","Days=T","Dir=V")</f>
        <v>0</v>
      </c>
      <c r="BA2">
        <f>BDH("SOGCQ US Equity","TURNOVER","2010-04-16","2015-04-16","Per=M","Days=T","Dir=V")</f>
        <v>0</v>
      </c>
      <c r="BC2">
        <f>BDH("SOGCQ US Equity","SPREAD_BA_CR","2010-04-16","2015-04-16","Per=M","Days=T","Dir=V")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BDH("ANRZQ US Equity","BS_TOT_ASSET","2010-05-05","2015-05-05","Per=Y","Days=T","Dir=V")</f>
        <v>0</v>
      </c>
      <c r="C2">
        <f>BDH("ANRZQ US Equity","BS_TOT_LIAB2","2010-05-05","2015-05-05","Per=Y","Days=T","Dir=V")</f>
        <v>0</v>
      </c>
      <c r="E2">
        <f>BDH("ANRZQ US Equity","SHORT_AND_LONG_TERM_DEBT","2010-05-05","2015-05-05","Per=Y","Days=T","Dir=V")</f>
        <v>0</v>
      </c>
      <c r="G2">
        <f>BDH("ANRZQ US Equity","BS_ST_BORROW","2010-05-05","2015-05-05","Per=Y","Days=T","Dir=V")</f>
        <v>0</v>
      </c>
      <c r="I2">
        <f>BDH("ANRZQ US Equity","BS_LT_BORROW","2010-05-05","2015-05-05","Per=Y","Days=T","Dir=V")</f>
        <v>0</v>
      </c>
      <c r="K2">
        <f>BDH("ANRZQ US Equity","BS_CASH_NEAR_CASH_ITEM","2010-05-05","2015-05-05","Per=Y","Days=T","Dir=V")</f>
        <v>0</v>
      </c>
      <c r="M2">
        <f>BDH("ANRZQ US Equity","BS_CUR_ASSET_REPORT","2010-05-05","2015-05-05","Per=Y","Days=T","Dir=V")</f>
        <v>0</v>
      </c>
      <c r="O2">
        <f>BDH("ANRZQ US Equity","BS_CUR_LIAB","2010-05-05","2015-05-05","Per=Y","Days=T","Dir=V")</f>
        <v>0</v>
      </c>
      <c r="Q2">
        <f>BDH("ANRZQ US Equity","BS_SHAREHOLDER_EQY_ENDING_PERIOD","2010-05-05","2015-05-05","Per=Y","Days=T","Dir=V")</f>
        <v>0</v>
      </c>
      <c r="S2">
        <f>BDH("ANRZQ US Equity","BS_ACCT_NOTE_RCV","2010-05-05","2015-05-05","Per=Y","Days=T","Dir=V")</f>
        <v>0</v>
      </c>
      <c r="U2">
        <f>BDH("ANRZQ US Equity","BS_INVENTORIES","2010-05-05","2015-05-05","Per=Y","Days=T","Dir=V")</f>
        <v>0</v>
      </c>
      <c r="W2">
        <f>BDH("ANRZQ US Equity","WORKING_CAPITAL","2010-05-05","2015-05-05","Per=Y","Days=T","Dir=V")</f>
        <v>0</v>
      </c>
      <c r="Y2">
        <f>BDH("ANRZQ US Equity","SALES_REV_TURN","2010-05-05","2015-05-05","Per=Y","Days=T","Dir=V")</f>
        <v>0</v>
      </c>
      <c r="AA2">
        <f>BDH("ANRZQ US Equity","EBIT","2010-05-05","2015-05-05","Per=Y","Days=T","Dir=V")</f>
        <v>0</v>
      </c>
      <c r="AC2">
        <f>BDH("ANRZQ US Equity","EBITDA","2010-05-05","2015-05-05","Per=Y","Days=T","Dir=V")</f>
        <v>0</v>
      </c>
      <c r="AE2">
        <f>BDH("ANRZQ US Equity","NET_INCOME","2010-05-05","2015-05-05","Per=Y","Days=T","Dir=V")</f>
        <v>0</v>
      </c>
      <c r="AG2">
        <f>BDH("ANRZQ US Equity","IS_INT_EXPENSE","2010-05-05","2015-05-05","Per=Y","Days=T","Dir=V")</f>
        <v>0</v>
      </c>
      <c r="AI2">
        <f>BDH("ANRZQ US Equity","IS_DEPR_EXP","2010-05-05","2015-05-05","Per=Y","Days=T","Dir=V")</f>
        <v>0</v>
      </c>
      <c r="AK2">
        <f>BDH("ANRZQ US Equity","CF_CASH_FROM_OPER","2010-05-05","2015-05-05","Per=Y","Days=T","Dir=V")</f>
        <v>0</v>
      </c>
      <c r="AM2">
        <f>BDH("ANRZQ US Equity","CAPITAL_EXPEND","2010-05-05","2015-05-05","Per=Y","Days=T","Dir=V")</f>
        <v>0</v>
      </c>
      <c r="AO2">
        <f>BDH("ANRZQ US Equity","CF_FREE_CASH_FLOW","2010-05-05","2015-05-05","Per=Y","Days=T","Dir=V")</f>
        <v>0</v>
      </c>
      <c r="AQ2">
        <f>BDH("ANRZQ US Equity","PX_LAST","2010-05-05","2015-05-05","Per=M","Days=T","Dir=V")</f>
        <v>0</v>
      </c>
      <c r="AS2">
        <f>BDH("ANRZQ US Equity","CUR_MKT_CAP","2010-05-05","2015-05-05","Per=M","Days=T","Dir=V")</f>
        <v>0</v>
      </c>
      <c r="AU2">
        <f>BDH("ANRZQ US Equity","EQY_SH_OUT","2010-05-05","2015-05-05","Per=M","Days=T","Dir=V")</f>
        <v>0</v>
      </c>
      <c r="AW2">
        <f>BDH("ANRZQ US Equity","BETA_RAW_OVERRIABLE","2010-05-05","2015-05-05","Per=M","Days=T","Dir=V")</f>
        <v>0</v>
      </c>
      <c r="AY2">
        <f>BDH("ANRZQ US Equity","PX_VOLUME","2010-05-05","2015-05-05","Per=M","Days=T","Dir=V")</f>
        <v>0</v>
      </c>
      <c r="BA2">
        <f>BDH("ANRZQ US Equity","TURNOVER","2010-05-05","2015-05-05","Per=M","Days=T","Dir=V")</f>
        <v>0</v>
      </c>
      <c r="BC2">
        <f>BDH("ANRZQ US Equity","SPREAD_BA_CR","2010-05-05","2015-05-05","Per=M","Days=T","Dir=V")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BDH("HEROQ US Equity","BS_TOT_ASSET","2010-05-15","2015-05-15","Per=Y","Days=T","Dir=V")</f>
        <v>0</v>
      </c>
      <c r="C2">
        <f>BDH("HEROQ US Equity","BS_TOT_LIAB2","2010-05-15","2015-05-15","Per=Y","Days=T","Dir=V")</f>
        <v>0</v>
      </c>
      <c r="E2">
        <f>BDH("HEROQ US Equity","SHORT_AND_LONG_TERM_DEBT","2010-05-15","2015-05-15","Per=Y","Days=T","Dir=V")</f>
        <v>0</v>
      </c>
      <c r="G2">
        <f>BDH("HEROQ US Equity","BS_ST_BORROW","2010-05-15","2015-05-15","Per=Y","Days=T","Dir=V")</f>
        <v>0</v>
      </c>
      <c r="I2">
        <f>BDH("HEROQ US Equity","BS_LT_BORROW","2010-05-15","2015-05-15","Per=Y","Days=T","Dir=V")</f>
        <v>0</v>
      </c>
      <c r="K2">
        <f>BDH("HEROQ US Equity","BS_CASH_NEAR_CASH_ITEM","2010-05-15","2015-05-15","Per=Y","Days=T","Dir=V")</f>
        <v>0</v>
      </c>
      <c r="M2">
        <f>BDH("HEROQ US Equity","BS_CUR_ASSET_REPORT","2010-05-15","2015-05-15","Per=Y","Days=T","Dir=V")</f>
        <v>0</v>
      </c>
      <c r="O2">
        <f>BDH("HEROQ US Equity","BS_CUR_LIAB","2010-05-15","2015-05-15","Per=Y","Days=T","Dir=V")</f>
        <v>0</v>
      </c>
      <c r="Q2">
        <f>BDH("HEROQ US Equity","BS_SHAREHOLDER_EQY_ENDING_PERIOD","2010-05-15","2015-05-15","Per=Y","Days=T","Dir=V")</f>
        <v>0</v>
      </c>
      <c r="S2">
        <f>BDH("HEROQ US Equity","BS_ACCT_NOTE_RCV","2010-05-15","2015-05-15","Per=Y","Days=T","Dir=V")</f>
        <v>0</v>
      </c>
      <c r="U2">
        <f>BDH("HEROQ US Equity","BS_INVENTORIES","2010-05-15","2015-05-15","Per=Y","Days=T","Dir=V")</f>
        <v>0</v>
      </c>
      <c r="W2">
        <f>BDH("HEROQ US Equity","WORKING_CAPITAL","2010-05-15","2015-05-15","Per=Y","Days=T","Dir=V")</f>
        <v>0</v>
      </c>
      <c r="Y2">
        <f>BDH("HEROQ US Equity","SALES_REV_TURN","2010-05-15","2015-05-15","Per=Y","Days=T","Dir=V")</f>
        <v>0</v>
      </c>
      <c r="AA2">
        <f>BDH("HEROQ US Equity","EBIT","2010-05-15","2015-05-15","Per=Y","Days=T","Dir=V")</f>
        <v>0</v>
      </c>
      <c r="AC2">
        <f>BDH("HEROQ US Equity","EBITDA","2010-05-15","2015-05-15","Per=Y","Days=T","Dir=V")</f>
        <v>0</v>
      </c>
      <c r="AE2">
        <f>BDH("HEROQ US Equity","NET_INCOME","2010-05-15","2015-05-15","Per=Y","Days=T","Dir=V")</f>
        <v>0</v>
      </c>
      <c r="AG2">
        <f>BDH("HEROQ US Equity","IS_INT_EXPENSE","2010-05-15","2015-05-15","Per=Y","Days=T","Dir=V")</f>
        <v>0</v>
      </c>
      <c r="AI2">
        <f>BDH("HEROQ US Equity","IS_DEPR_EXP","2010-05-15","2015-05-15","Per=Y","Days=T","Dir=V")</f>
        <v>0</v>
      </c>
      <c r="AK2">
        <f>BDH("HEROQ US Equity","CF_CASH_FROM_OPER","2010-05-15","2015-05-15","Per=Y","Days=T","Dir=V")</f>
        <v>0</v>
      </c>
      <c r="AM2">
        <f>BDH("HEROQ US Equity","CAPITAL_EXPEND","2010-05-15","2015-05-15","Per=Y","Days=T","Dir=V")</f>
        <v>0</v>
      </c>
      <c r="AO2">
        <f>BDH("HEROQ US Equity","CF_FREE_CASH_FLOW","2010-05-15","2015-05-15","Per=Y","Days=T","Dir=V")</f>
        <v>0</v>
      </c>
      <c r="AQ2">
        <f>BDH("HEROQ US Equity","PX_LAST","2010-05-15","2015-05-15","Per=M","Days=T","Dir=V")</f>
        <v>0</v>
      </c>
      <c r="AS2">
        <f>BDH("HEROQ US Equity","CUR_MKT_CAP","2010-05-15","2015-05-15","Per=M","Days=T","Dir=V")</f>
        <v>0</v>
      </c>
      <c r="AU2">
        <f>BDH("HEROQ US Equity","EQY_SH_OUT","2010-05-15","2015-05-15","Per=M","Days=T","Dir=V")</f>
        <v>0</v>
      </c>
      <c r="AW2">
        <f>BDH("HEROQ US Equity","BETA_RAW_OVERRIABLE","2010-05-15","2015-05-15","Per=M","Days=T","Dir=V")</f>
        <v>0</v>
      </c>
      <c r="AY2">
        <f>BDH("HEROQ US Equity","PX_VOLUME","2010-05-15","2015-05-15","Per=M","Days=T","Dir=V")</f>
        <v>0</v>
      </c>
      <c r="BA2">
        <f>BDH("HEROQ US Equity","TURNOVER","2010-05-15","2015-05-15","Per=M","Days=T","Dir=V")</f>
        <v>0</v>
      </c>
      <c r="BC2">
        <f>BDH("HEROQ US Equity","SPREAD_BA_CR","2010-05-15","2015-05-15","Per=M","Days=T","Dir=V")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BDH("ARCH US Equity","BS_TOT_ASSET","2010-10-13","2015-10-13","Per=Y","Days=T","Dir=V")</f>
        <v>0</v>
      </c>
      <c r="C2">
        <f>BDH("ARCH US Equity","BS_TOT_LIAB2","2010-10-13","2015-10-13","Per=Y","Days=T","Dir=V")</f>
        <v>0</v>
      </c>
      <c r="E2">
        <f>BDH("ARCH US Equity","SHORT_AND_LONG_TERM_DEBT","2010-10-13","2015-10-13","Per=Y","Days=T","Dir=V")</f>
        <v>0</v>
      </c>
      <c r="G2">
        <f>BDH("ARCH US Equity","BS_ST_BORROW","2010-10-13","2015-10-13","Per=Y","Days=T","Dir=V")</f>
        <v>0</v>
      </c>
      <c r="I2">
        <f>BDH("ARCH US Equity","BS_LT_BORROW","2010-10-13","2015-10-13","Per=Y","Days=T","Dir=V")</f>
        <v>0</v>
      </c>
      <c r="K2">
        <f>BDH("ARCH US Equity","BS_CASH_NEAR_CASH_ITEM","2010-10-13","2015-10-13","Per=Y","Days=T","Dir=V")</f>
        <v>0</v>
      </c>
      <c r="M2">
        <f>BDH("ARCH US Equity","BS_CUR_ASSET_REPORT","2010-10-13","2015-10-13","Per=Y","Days=T","Dir=V")</f>
        <v>0</v>
      </c>
      <c r="O2">
        <f>BDH("ARCH US Equity","BS_CUR_LIAB","2010-10-13","2015-10-13","Per=Y","Days=T","Dir=V")</f>
        <v>0</v>
      </c>
      <c r="Q2">
        <f>BDH("ARCH US Equity","BS_SHAREHOLDER_EQY_ENDING_PERIOD","2010-10-13","2015-10-13","Per=Y","Days=T","Dir=V")</f>
        <v>0</v>
      </c>
      <c r="S2">
        <f>BDH("ARCH US Equity","BS_ACCT_NOTE_RCV","2010-10-13","2015-10-13","Per=Y","Days=T","Dir=V")</f>
        <v>0</v>
      </c>
      <c r="U2">
        <f>BDH("ARCH US Equity","BS_INVENTORIES","2010-10-13","2015-10-13","Per=Y","Days=T","Dir=V")</f>
        <v>0</v>
      </c>
      <c r="W2">
        <f>BDH("ARCH US Equity","WORKING_CAPITAL","2010-10-13","2015-10-13","Per=Y","Days=T","Dir=V")</f>
        <v>0</v>
      </c>
      <c r="Y2">
        <f>BDH("ARCH US Equity","SALES_REV_TURN","2010-10-13","2015-10-13","Per=Y","Days=T","Dir=V")</f>
        <v>0</v>
      </c>
      <c r="AA2">
        <f>BDH("ARCH US Equity","EBIT","2010-10-13","2015-10-13","Per=Y","Days=T","Dir=V")</f>
        <v>0</v>
      </c>
      <c r="AC2">
        <f>BDH("ARCH US Equity","EBITDA","2010-10-13","2015-10-13","Per=Y","Days=T","Dir=V")</f>
        <v>0</v>
      </c>
      <c r="AE2">
        <f>BDH("ARCH US Equity","NET_INCOME","2010-10-13","2015-10-13","Per=Y","Days=T","Dir=V")</f>
        <v>0</v>
      </c>
      <c r="AG2">
        <f>BDH("ARCH US Equity","IS_INT_EXPENSE","2010-10-13","2015-10-13","Per=Y","Days=T","Dir=V")</f>
        <v>0</v>
      </c>
      <c r="AI2">
        <f>BDH("ARCH US Equity","IS_DEPR_EXP","2010-10-13","2015-10-13","Per=Y","Days=T","Dir=V")</f>
        <v>0</v>
      </c>
      <c r="AK2">
        <f>BDH("ARCH US Equity","CF_CASH_FROM_OPER","2010-10-13","2015-10-13","Per=Y","Days=T","Dir=V")</f>
        <v>0</v>
      </c>
      <c r="AM2">
        <f>BDH("ARCH US Equity","CAPITAL_EXPEND","2010-10-13","2015-10-13","Per=Y","Days=T","Dir=V")</f>
        <v>0</v>
      </c>
      <c r="AO2">
        <f>BDH("ARCH US Equity","CF_FREE_CASH_FLOW","2010-10-13","2015-10-13","Per=Y","Days=T","Dir=V")</f>
        <v>0</v>
      </c>
      <c r="AQ2">
        <f>BDH("ARCH US Equity","PX_LAST","2010-10-13","2015-10-13","Per=M","Days=T","Dir=V")</f>
        <v>0</v>
      </c>
      <c r="AS2">
        <f>BDH("ARCH US Equity","CUR_MKT_CAP","2010-10-13","2015-10-13","Per=M","Days=T","Dir=V")</f>
        <v>0</v>
      </c>
      <c r="AU2">
        <f>BDH("ARCH US Equity","EQY_SH_OUT","2010-10-13","2015-10-13","Per=M","Days=T","Dir=V")</f>
        <v>0</v>
      </c>
      <c r="AW2">
        <f>BDH("ARCH US Equity","BETA_RAW_OVERRIABLE","2010-10-13","2015-10-13","Per=M","Days=T","Dir=V")</f>
        <v>0</v>
      </c>
      <c r="AY2">
        <f>BDH("ARCH US Equity","PX_VOLUME","2010-10-13","2015-10-13","Per=M","Days=T","Dir=V")</f>
        <v>0</v>
      </c>
      <c r="BA2">
        <f>BDH("ARCH US Equity","TURNOVER","2010-10-13","2015-10-13","Per=M","Days=T","Dir=V")</f>
        <v>0</v>
      </c>
      <c r="BC2">
        <f>BDH("ARCH US Equity","SPREAD_BA_CR","2010-10-13","2015-10-13","Per=M","Days=T","Dir=V")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BDH("NORNQ US Equity","BS_TOT_ASSET","2010-11-10","2015-11-10","Per=Y","Days=T","Dir=V")</f>
        <v>0</v>
      </c>
      <c r="C2">
        <f>BDH("NORNQ US Equity","BS_TOT_LIAB2","2010-11-10","2015-11-10","Per=Y","Days=T","Dir=V")</f>
        <v>0</v>
      </c>
      <c r="E2">
        <f>BDH("NORNQ US Equity","SHORT_AND_LONG_TERM_DEBT","2010-11-10","2015-11-10","Per=Y","Days=T","Dir=V")</f>
        <v>0</v>
      </c>
      <c r="G2">
        <f>BDH("NORNQ US Equity","BS_ST_BORROW","2010-11-10","2015-11-10","Per=Y","Days=T","Dir=V")</f>
        <v>0</v>
      </c>
      <c r="I2">
        <f>BDH("NORNQ US Equity","BS_LT_BORROW","2010-11-10","2015-11-10","Per=Y","Days=T","Dir=V")</f>
        <v>0</v>
      </c>
      <c r="K2">
        <f>BDH("NORNQ US Equity","BS_CASH_NEAR_CASH_ITEM","2010-11-10","2015-11-10","Per=Y","Days=T","Dir=V")</f>
        <v>0</v>
      </c>
      <c r="M2">
        <f>BDH("NORNQ US Equity","BS_CUR_ASSET_REPORT","2010-11-10","2015-11-10","Per=Y","Days=T","Dir=V")</f>
        <v>0</v>
      </c>
      <c r="O2">
        <f>BDH("NORNQ US Equity","BS_CUR_LIAB","2010-11-10","2015-11-10","Per=Y","Days=T","Dir=V")</f>
        <v>0</v>
      </c>
      <c r="Q2">
        <f>BDH("NORNQ US Equity","BS_SHAREHOLDER_EQY_ENDING_PERIOD","2010-11-10","2015-11-10","Per=Y","Days=T","Dir=V")</f>
        <v>0</v>
      </c>
      <c r="S2">
        <f>BDH("NORNQ US Equity","BS_ACCT_NOTE_RCV","2010-11-10","2015-11-10","Per=Y","Days=T","Dir=V")</f>
        <v>0</v>
      </c>
      <c r="U2">
        <f>BDH("NORNQ US Equity","BS_INVENTORIES","2010-11-10","2015-11-10","Per=Y","Days=T","Dir=V")</f>
        <v>0</v>
      </c>
      <c r="W2">
        <f>BDH("NORNQ US Equity","WORKING_CAPITAL","2010-11-10","2015-11-10","Per=Y","Days=T","Dir=V")</f>
        <v>0</v>
      </c>
      <c r="Y2">
        <f>BDH("NORNQ US Equity","SALES_REV_TURN","2010-11-10","2015-11-10","Per=Y","Days=T","Dir=V")</f>
        <v>0</v>
      </c>
      <c r="AA2">
        <f>BDH("NORNQ US Equity","EBIT","2010-11-10","2015-11-10","Per=Y","Days=T","Dir=V")</f>
        <v>0</v>
      </c>
      <c r="AC2">
        <f>BDH("NORNQ US Equity","EBITDA","2010-11-10","2015-11-10","Per=Y","Days=T","Dir=V")</f>
        <v>0</v>
      </c>
      <c r="AE2">
        <f>BDH("NORNQ US Equity","NET_INCOME","2010-11-10","2015-11-10","Per=Y","Days=T","Dir=V")</f>
        <v>0</v>
      </c>
      <c r="AG2">
        <f>BDH("NORNQ US Equity","IS_INT_EXPENSE","2010-11-10","2015-11-10","Per=Y","Days=T","Dir=V")</f>
        <v>0</v>
      </c>
      <c r="AI2">
        <f>BDH("NORNQ US Equity","IS_DEPR_EXP","2010-11-10","2015-11-10","Per=Y","Days=T","Dir=V")</f>
        <v>0</v>
      </c>
      <c r="AK2">
        <f>BDH("NORNQ US Equity","CF_CASH_FROM_OPER","2010-11-10","2015-11-10","Per=Y","Days=T","Dir=V")</f>
        <v>0</v>
      </c>
      <c r="AM2">
        <f>BDH("NORNQ US Equity","CAPITAL_EXPEND","2010-11-10","2015-11-10","Per=Y","Days=T","Dir=V")</f>
        <v>0</v>
      </c>
      <c r="AO2">
        <f>BDH("NORNQ US Equity","CF_FREE_CASH_FLOW","2010-11-10","2015-11-10","Per=Y","Days=T","Dir=V")</f>
        <v>0</v>
      </c>
      <c r="AQ2">
        <f>BDH("NORNQ US Equity","PX_LAST","2010-11-10","2015-11-10","Per=M","Days=T","Dir=V")</f>
        <v>0</v>
      </c>
      <c r="AS2">
        <f>BDH("NORNQ US Equity","CUR_MKT_CAP","2010-11-10","2015-11-10","Per=M","Days=T","Dir=V")</f>
        <v>0</v>
      </c>
      <c r="AU2">
        <f>BDH("NORNQ US Equity","EQY_SH_OUT","2010-11-10","2015-11-10","Per=M","Days=T","Dir=V")</f>
        <v>0</v>
      </c>
      <c r="AW2">
        <f>BDH("NORNQ US Equity","BETA_RAW_OVERRIABLE","2010-11-10","2015-11-10","Per=M","Days=T","Dir=V")</f>
        <v>0</v>
      </c>
      <c r="AY2">
        <f>BDH("NORNQ US Equity","PX_VOLUME","2010-11-10","2015-11-10","Per=M","Days=T","Dir=V")</f>
        <v>0</v>
      </c>
      <c r="BA2">
        <f>BDH("NORNQ US Equity","TURNOVER","2010-11-10","2015-11-10","Per=M","Days=T","Dir=V")</f>
        <v>0</v>
      </c>
      <c r="BC2">
        <f>BDH("NORNQ US Equity","SPREAD_BA_CR","2010-11-10","2015-11-10","Per=M","Days=T","Dir=V")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BDH("RJETQ US Equity","BS_TOT_ASSET","2010-11-27","2015-11-27","Per=Y","Days=T","Dir=V")</f>
        <v>0</v>
      </c>
      <c r="C2">
        <f>BDH("RJETQ US Equity","BS_TOT_LIAB2","2010-11-27","2015-11-27","Per=Y","Days=T","Dir=V")</f>
        <v>0</v>
      </c>
      <c r="E2">
        <f>BDH("RJETQ US Equity","SHORT_AND_LONG_TERM_DEBT","2010-11-27","2015-11-27","Per=Y","Days=T","Dir=V")</f>
        <v>0</v>
      </c>
      <c r="G2">
        <f>BDH("RJETQ US Equity","BS_ST_BORROW","2010-11-27","2015-11-27","Per=Y","Days=T","Dir=V")</f>
        <v>0</v>
      </c>
      <c r="I2">
        <f>BDH("RJETQ US Equity","BS_LT_BORROW","2010-11-27","2015-11-27","Per=Y","Days=T","Dir=V")</f>
        <v>0</v>
      </c>
      <c r="K2">
        <f>BDH("RJETQ US Equity","BS_CASH_NEAR_CASH_ITEM","2010-11-27","2015-11-27","Per=Y","Days=T","Dir=V")</f>
        <v>0</v>
      </c>
      <c r="M2">
        <f>BDH("RJETQ US Equity","BS_CUR_ASSET_REPORT","2010-11-27","2015-11-27","Per=Y","Days=T","Dir=V")</f>
        <v>0</v>
      </c>
      <c r="O2">
        <f>BDH("RJETQ US Equity","BS_CUR_LIAB","2010-11-27","2015-11-27","Per=Y","Days=T","Dir=V")</f>
        <v>0</v>
      </c>
      <c r="Q2">
        <f>BDH("RJETQ US Equity","BS_SHAREHOLDER_EQY_ENDING_PERIOD","2010-11-27","2015-11-27","Per=Y","Days=T","Dir=V")</f>
        <v>0</v>
      </c>
      <c r="S2">
        <f>BDH("RJETQ US Equity","BS_ACCT_NOTE_RCV","2010-11-27","2015-11-27","Per=Y","Days=T","Dir=V")</f>
        <v>0</v>
      </c>
      <c r="U2">
        <f>BDH("RJETQ US Equity","BS_INVENTORIES","2010-11-27","2015-11-27","Per=Y","Days=T","Dir=V")</f>
        <v>0</v>
      </c>
      <c r="W2">
        <f>BDH("RJETQ US Equity","WORKING_CAPITAL","2010-11-27","2015-11-27","Per=Y","Days=T","Dir=V")</f>
        <v>0</v>
      </c>
      <c r="Y2">
        <f>BDH("RJETQ US Equity","SALES_REV_TURN","2010-11-27","2015-11-27","Per=Y","Days=T","Dir=V")</f>
        <v>0</v>
      </c>
      <c r="AA2">
        <f>BDH("RJETQ US Equity","EBIT","2010-11-27","2015-11-27","Per=Y","Days=T","Dir=V")</f>
        <v>0</v>
      </c>
      <c r="AC2">
        <f>BDH("RJETQ US Equity","EBITDA","2010-11-27","2015-11-27","Per=Y","Days=T","Dir=V")</f>
        <v>0</v>
      </c>
      <c r="AE2">
        <f>BDH("RJETQ US Equity","NET_INCOME","2010-11-27","2015-11-27","Per=Y","Days=T","Dir=V")</f>
        <v>0</v>
      </c>
      <c r="AG2">
        <f>BDH("RJETQ US Equity","IS_INT_EXPENSE","2010-11-27","2015-11-27","Per=Y","Days=T","Dir=V")</f>
        <v>0</v>
      </c>
      <c r="AI2">
        <f>BDH("RJETQ US Equity","IS_DEPR_EXP","2010-11-27","2015-11-27","Per=Y","Days=T","Dir=V")</f>
        <v>0</v>
      </c>
      <c r="AK2">
        <f>BDH("RJETQ US Equity","CF_CASH_FROM_OPER","2010-11-27","2015-11-27","Per=Y","Days=T","Dir=V")</f>
        <v>0</v>
      </c>
      <c r="AM2">
        <f>BDH("RJETQ US Equity","CAPITAL_EXPEND","2010-11-27","2015-11-27","Per=Y","Days=T","Dir=V")</f>
        <v>0</v>
      </c>
      <c r="AO2">
        <f>BDH("RJETQ US Equity","CF_FREE_CASH_FLOW","2010-11-27","2015-11-27","Per=Y","Days=T","Dir=V")</f>
        <v>0</v>
      </c>
      <c r="AQ2">
        <f>BDH("RJETQ US Equity","PX_LAST","2010-11-27","2015-11-27","Per=M","Days=T","Dir=V")</f>
        <v>0</v>
      </c>
      <c r="AS2">
        <f>BDH("RJETQ US Equity","CUR_MKT_CAP","2010-11-27","2015-11-27","Per=M","Days=T","Dir=V")</f>
        <v>0</v>
      </c>
      <c r="AU2">
        <f>BDH("RJETQ US Equity","EQY_SH_OUT","2010-11-27","2015-11-27","Per=M","Days=T","Dir=V")</f>
        <v>0</v>
      </c>
      <c r="AW2">
        <f>BDH("RJETQ US Equity","BETA_RAW_OVERRIABLE","2010-11-27","2015-11-27","Per=M","Days=T","Dir=V")</f>
        <v>0</v>
      </c>
      <c r="AY2">
        <f>BDH("RJETQ US Equity","PX_VOLUME","2010-11-27","2015-11-27","Per=M","Days=T","Dir=V")</f>
        <v>0</v>
      </c>
      <c r="BA2">
        <f>BDH("RJETQ US Equity","TURNOVER","2010-11-27","2015-11-27","Per=M","Days=T","Dir=V")</f>
        <v>0</v>
      </c>
      <c r="BC2">
        <f>BDH("RJETQ US Equity","SPREAD_BA_CR","2010-11-27","2015-11-27","Per=M","Days=T","Dir=V")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BDH("SUNEQ US Equity","BS_TOT_ASSET","2011-01-22","2016-01-22","Per=Y","Days=T","Dir=V")</f>
        <v>0</v>
      </c>
      <c r="C2">
        <f>BDH("SUNEQ US Equity","BS_TOT_LIAB2","2011-01-22","2016-01-22","Per=Y","Days=T","Dir=V")</f>
        <v>0</v>
      </c>
      <c r="E2">
        <f>BDH("SUNEQ US Equity","SHORT_AND_LONG_TERM_DEBT","2011-01-22","2016-01-22","Per=Y","Days=T","Dir=V")</f>
        <v>0</v>
      </c>
      <c r="G2">
        <f>BDH("SUNEQ US Equity","BS_ST_BORROW","2011-01-22","2016-01-22","Per=Y","Days=T","Dir=V")</f>
        <v>0</v>
      </c>
      <c r="I2">
        <f>BDH("SUNEQ US Equity","BS_LT_BORROW","2011-01-22","2016-01-22","Per=Y","Days=T","Dir=V")</f>
        <v>0</v>
      </c>
      <c r="K2">
        <f>BDH("SUNEQ US Equity","BS_CASH_NEAR_CASH_ITEM","2011-01-22","2016-01-22","Per=Y","Days=T","Dir=V")</f>
        <v>0</v>
      </c>
      <c r="M2">
        <f>BDH("SUNEQ US Equity","BS_CUR_ASSET_REPORT","2011-01-22","2016-01-22","Per=Y","Days=T","Dir=V")</f>
        <v>0</v>
      </c>
      <c r="O2">
        <f>BDH("SUNEQ US Equity","BS_CUR_LIAB","2011-01-22","2016-01-22","Per=Y","Days=T","Dir=V")</f>
        <v>0</v>
      </c>
      <c r="Q2">
        <f>BDH("SUNEQ US Equity","BS_SHAREHOLDER_EQY_ENDING_PERIOD","2011-01-22","2016-01-22","Per=Y","Days=T","Dir=V")</f>
        <v>0</v>
      </c>
      <c r="S2">
        <f>BDH("SUNEQ US Equity","BS_ACCT_NOTE_RCV","2011-01-22","2016-01-22","Per=Y","Days=T","Dir=V")</f>
        <v>0</v>
      </c>
      <c r="U2">
        <f>BDH("SUNEQ US Equity","BS_INVENTORIES","2011-01-22","2016-01-22","Per=Y","Days=T","Dir=V")</f>
        <v>0</v>
      </c>
      <c r="W2">
        <f>BDH("SUNEQ US Equity","WORKING_CAPITAL","2011-01-22","2016-01-22","Per=Y","Days=T","Dir=V")</f>
        <v>0</v>
      </c>
      <c r="Y2">
        <f>BDH("SUNEQ US Equity","SALES_REV_TURN","2011-01-22","2016-01-22","Per=Y","Days=T","Dir=V")</f>
        <v>0</v>
      </c>
      <c r="AA2">
        <f>BDH("SUNEQ US Equity","EBIT","2011-01-22","2016-01-22","Per=Y","Days=T","Dir=V")</f>
        <v>0</v>
      </c>
      <c r="AC2">
        <f>BDH("SUNEQ US Equity","EBITDA","2011-01-22","2016-01-22","Per=Y","Days=T","Dir=V")</f>
        <v>0</v>
      </c>
      <c r="AE2">
        <f>BDH("SUNEQ US Equity","NET_INCOME","2011-01-22","2016-01-22","Per=Y","Days=T","Dir=V")</f>
        <v>0</v>
      </c>
      <c r="AG2">
        <f>BDH("SUNEQ US Equity","IS_INT_EXPENSE","2011-01-22","2016-01-22","Per=Y","Days=T","Dir=V")</f>
        <v>0</v>
      </c>
      <c r="AI2">
        <f>BDH("SUNEQ US Equity","IS_DEPR_EXP","2011-01-22","2016-01-22","Per=Y","Days=T","Dir=V")</f>
        <v>0</v>
      </c>
      <c r="AK2">
        <f>BDH("SUNEQ US Equity","CF_CASH_FROM_OPER","2011-01-22","2016-01-22","Per=Y","Days=T","Dir=V")</f>
        <v>0</v>
      </c>
      <c r="AM2">
        <f>BDH("SUNEQ US Equity","CAPITAL_EXPEND","2011-01-22","2016-01-22","Per=Y","Days=T","Dir=V")</f>
        <v>0</v>
      </c>
      <c r="AO2">
        <f>BDH("SUNEQ US Equity","CF_FREE_CASH_FLOW","2011-01-22","2016-01-22","Per=Y","Days=T","Dir=V")</f>
        <v>0</v>
      </c>
      <c r="AQ2">
        <f>BDH("SUNEQ US Equity","PX_LAST","2011-01-22","2016-01-22","Per=M","Days=T","Dir=V")</f>
        <v>0</v>
      </c>
      <c r="AS2">
        <f>BDH("SUNEQ US Equity","CUR_MKT_CAP","2011-01-22","2016-01-22","Per=M","Days=T","Dir=V")</f>
        <v>0</v>
      </c>
      <c r="AU2">
        <f>BDH("SUNEQ US Equity","EQY_SH_OUT","2011-01-22","2016-01-22","Per=M","Days=T","Dir=V")</f>
        <v>0</v>
      </c>
      <c r="AW2">
        <f>BDH("SUNEQ US Equity","BETA_RAW_OVERRIABLE","2011-01-22","2016-01-22","Per=M","Days=T","Dir=V")</f>
        <v>0</v>
      </c>
      <c r="AY2">
        <f>BDH("SUNEQ US Equity","PX_VOLUME","2011-01-22","2016-01-22","Per=M","Days=T","Dir=V")</f>
        <v>0</v>
      </c>
      <c r="BA2">
        <f>BDH("SUNEQ US Equity","TURNOVER","2011-01-22","2016-01-22","Per=M","Days=T","Dir=V")</f>
        <v>0</v>
      </c>
      <c r="BC2">
        <f>BDH("SUNEQ US Equity","SPREAD_BA_CR","2011-01-22","2016-01-22","Per=M","Days=T","Dir=V")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BDH("UPLCQ US Equity","BS_TOT_ASSET","2011-01-30","2016-01-30","Per=Y","Days=T","Dir=V")</f>
        <v>0</v>
      </c>
      <c r="C2">
        <f>BDH("UPLCQ US Equity","BS_TOT_LIAB2","2011-01-30","2016-01-30","Per=Y","Days=T","Dir=V")</f>
        <v>0</v>
      </c>
      <c r="E2">
        <f>BDH("UPLCQ US Equity","SHORT_AND_LONG_TERM_DEBT","2011-01-30","2016-01-30","Per=Y","Days=T","Dir=V")</f>
        <v>0</v>
      </c>
      <c r="G2">
        <f>BDH("UPLCQ US Equity","BS_ST_BORROW","2011-01-30","2016-01-30","Per=Y","Days=T","Dir=V")</f>
        <v>0</v>
      </c>
      <c r="I2">
        <f>BDH("UPLCQ US Equity","BS_LT_BORROW","2011-01-30","2016-01-30","Per=Y","Days=T","Dir=V")</f>
        <v>0</v>
      </c>
      <c r="K2">
        <f>BDH("UPLCQ US Equity","BS_CASH_NEAR_CASH_ITEM","2011-01-30","2016-01-30","Per=Y","Days=T","Dir=V")</f>
        <v>0</v>
      </c>
      <c r="M2">
        <f>BDH("UPLCQ US Equity","BS_CUR_ASSET_REPORT","2011-01-30","2016-01-30","Per=Y","Days=T","Dir=V")</f>
        <v>0</v>
      </c>
      <c r="O2">
        <f>BDH("UPLCQ US Equity","BS_CUR_LIAB","2011-01-30","2016-01-30","Per=Y","Days=T","Dir=V")</f>
        <v>0</v>
      </c>
      <c r="Q2">
        <f>BDH("UPLCQ US Equity","BS_SHAREHOLDER_EQY_ENDING_PERIOD","2011-01-30","2016-01-30","Per=Y","Days=T","Dir=V")</f>
        <v>0</v>
      </c>
      <c r="S2">
        <f>BDH("UPLCQ US Equity","BS_ACCT_NOTE_RCV","2011-01-30","2016-01-30","Per=Y","Days=T","Dir=V")</f>
        <v>0</v>
      </c>
      <c r="U2">
        <f>BDH("UPLCQ US Equity","BS_INVENTORIES","2011-01-30","2016-01-30","Per=Y","Days=T","Dir=V")</f>
        <v>0</v>
      </c>
      <c r="W2">
        <f>BDH("UPLCQ US Equity","WORKING_CAPITAL","2011-01-30","2016-01-30","Per=Y","Days=T","Dir=V")</f>
        <v>0</v>
      </c>
      <c r="Y2">
        <f>BDH("UPLCQ US Equity","SALES_REV_TURN","2011-01-30","2016-01-30","Per=Y","Days=T","Dir=V")</f>
        <v>0</v>
      </c>
      <c r="AA2">
        <f>BDH("UPLCQ US Equity","EBIT","2011-01-30","2016-01-30","Per=Y","Days=T","Dir=V")</f>
        <v>0</v>
      </c>
      <c r="AC2">
        <f>BDH("UPLCQ US Equity","EBITDA","2011-01-30","2016-01-30","Per=Y","Days=T","Dir=V")</f>
        <v>0</v>
      </c>
      <c r="AE2">
        <f>BDH("UPLCQ US Equity","NET_INCOME","2011-01-30","2016-01-30","Per=Y","Days=T","Dir=V")</f>
        <v>0</v>
      </c>
      <c r="AG2">
        <f>BDH("UPLCQ US Equity","IS_INT_EXPENSE","2011-01-30","2016-01-30","Per=Y","Days=T","Dir=V")</f>
        <v>0</v>
      </c>
      <c r="AI2">
        <f>BDH("UPLCQ US Equity","IS_DEPR_EXP","2011-01-30","2016-01-30","Per=Y","Days=T","Dir=V")</f>
        <v>0</v>
      </c>
      <c r="AK2">
        <f>BDH("UPLCQ US Equity","CF_CASH_FROM_OPER","2011-01-30","2016-01-30","Per=Y","Days=T","Dir=V")</f>
        <v>0</v>
      </c>
      <c r="AM2">
        <f>BDH("UPLCQ US Equity","CAPITAL_EXPEND","2011-01-30","2016-01-30","Per=Y","Days=T","Dir=V")</f>
        <v>0</v>
      </c>
      <c r="AO2">
        <f>BDH("UPLCQ US Equity","CF_FREE_CASH_FLOW","2011-01-30","2016-01-30","Per=Y","Days=T","Dir=V")</f>
        <v>0</v>
      </c>
      <c r="AQ2">
        <f>BDH("UPLCQ US Equity","PX_LAST","2011-01-30","2016-01-30","Per=M","Days=T","Dir=V")</f>
        <v>0</v>
      </c>
      <c r="AS2">
        <f>BDH("UPLCQ US Equity","CUR_MKT_CAP","2011-01-30","2016-01-30","Per=M","Days=T","Dir=V")</f>
        <v>0</v>
      </c>
      <c r="AU2">
        <f>BDH("UPLCQ US Equity","EQY_SH_OUT","2011-01-30","2016-01-30","Per=M","Days=T","Dir=V")</f>
        <v>0</v>
      </c>
      <c r="AW2">
        <f>BDH("UPLCQ US Equity","BETA_RAW_OVERRIABLE","2011-01-30","2016-01-30","Per=M","Days=T","Dir=V")</f>
        <v>0</v>
      </c>
      <c r="AY2">
        <f>BDH("UPLCQ US Equity","PX_VOLUME","2011-01-30","2016-01-30","Per=M","Days=T","Dir=V")</f>
        <v>0</v>
      </c>
      <c r="BA2">
        <f>BDH("UPLCQ US Equity","TURNOVER","2011-01-30","2016-01-30","Per=M","Days=T","Dir=V")</f>
        <v>0</v>
      </c>
      <c r="BC2">
        <f>BDH("UPLCQ US Equity","SPREAD_BA_CR","2011-01-30","2016-01-30","Per=M","Days=T","Dir=V")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BDH("FWMHQ US Equity","BS_TOT_ASSET","2011-02-02","2016-02-02","Per=Y","Days=T","Dir=V")</f>
        <v>0</v>
      </c>
      <c r="C2">
        <f>BDH("FWMHQ US Equity","BS_TOT_LIAB2","2011-02-02","2016-02-02","Per=Y","Days=T","Dir=V")</f>
        <v>0</v>
      </c>
      <c r="E2">
        <f>BDH("FWMHQ US Equity","SHORT_AND_LONG_TERM_DEBT","2011-02-02","2016-02-02","Per=Y","Days=T","Dir=V")</f>
        <v>0</v>
      </c>
      <c r="G2">
        <f>BDH("FWMHQ US Equity","BS_ST_BORROW","2011-02-02","2016-02-02","Per=Y","Days=T","Dir=V")</f>
        <v>0</v>
      </c>
      <c r="I2">
        <f>BDH("FWMHQ US Equity","BS_LT_BORROW","2011-02-02","2016-02-02","Per=Y","Days=T","Dir=V")</f>
        <v>0</v>
      </c>
      <c r="K2">
        <f>BDH("FWMHQ US Equity","BS_CASH_NEAR_CASH_ITEM","2011-02-02","2016-02-02","Per=Y","Days=T","Dir=V")</f>
        <v>0</v>
      </c>
      <c r="M2">
        <f>BDH("FWMHQ US Equity","BS_CUR_ASSET_REPORT","2011-02-02","2016-02-02","Per=Y","Days=T","Dir=V")</f>
        <v>0</v>
      </c>
      <c r="O2">
        <f>BDH("FWMHQ US Equity","BS_CUR_LIAB","2011-02-02","2016-02-02","Per=Y","Days=T","Dir=V")</f>
        <v>0</v>
      </c>
      <c r="Q2">
        <f>BDH("FWMHQ US Equity","BS_SHAREHOLDER_EQY_ENDING_PERIOD","2011-02-02","2016-02-02","Per=Y","Days=T","Dir=V")</f>
        <v>0</v>
      </c>
      <c r="S2">
        <f>BDH("FWMHQ US Equity","BS_ACCT_NOTE_RCV","2011-02-02","2016-02-02","Per=Y","Days=T","Dir=V")</f>
        <v>0</v>
      </c>
      <c r="U2">
        <f>BDH("FWMHQ US Equity","BS_INVENTORIES","2011-02-02","2016-02-02","Per=Y","Days=T","Dir=V")</f>
        <v>0</v>
      </c>
      <c r="W2">
        <f>BDH("FWMHQ US Equity","WORKING_CAPITAL","2011-02-02","2016-02-02","Per=Y","Days=T","Dir=V")</f>
        <v>0</v>
      </c>
      <c r="Y2">
        <f>BDH("FWMHQ US Equity","SALES_REV_TURN","2011-02-02","2016-02-02","Per=Y","Days=T","Dir=V")</f>
        <v>0</v>
      </c>
      <c r="AA2">
        <f>BDH("FWMHQ US Equity","EBIT","2011-02-02","2016-02-02","Per=Y","Days=T","Dir=V")</f>
        <v>0</v>
      </c>
      <c r="AC2">
        <f>BDH("FWMHQ US Equity","EBITDA","2011-02-02","2016-02-02","Per=Y","Days=T","Dir=V")</f>
        <v>0</v>
      </c>
      <c r="AE2">
        <f>BDH("FWMHQ US Equity","NET_INCOME","2011-02-02","2016-02-02","Per=Y","Days=T","Dir=V")</f>
        <v>0</v>
      </c>
      <c r="AG2">
        <f>BDH("FWMHQ US Equity","IS_INT_EXPENSE","2011-02-02","2016-02-02","Per=Y","Days=T","Dir=V")</f>
        <v>0</v>
      </c>
      <c r="AI2">
        <f>BDH("FWMHQ US Equity","IS_DEPR_EXP","2011-02-02","2016-02-02","Per=Y","Days=T","Dir=V")</f>
        <v>0</v>
      </c>
      <c r="AK2">
        <f>BDH("FWMHQ US Equity","CF_CASH_FROM_OPER","2011-02-02","2016-02-02","Per=Y","Days=T","Dir=V")</f>
        <v>0</v>
      </c>
      <c r="AM2">
        <f>BDH("FWMHQ US Equity","CAPITAL_EXPEND","2011-02-02","2016-02-02","Per=Y","Days=T","Dir=V")</f>
        <v>0</v>
      </c>
      <c r="AO2">
        <f>BDH("FWMHQ US Equity","CF_FREE_CASH_FLOW","2011-02-02","2016-02-02","Per=Y","Days=T","Dir=V")</f>
        <v>0</v>
      </c>
      <c r="AQ2">
        <f>BDH("FWMHQ US Equity","PX_LAST","2011-02-02","2016-02-02","Per=M","Days=T","Dir=V")</f>
        <v>0</v>
      </c>
      <c r="AS2">
        <f>BDH("FWMHQ US Equity","CUR_MKT_CAP","2011-02-02","2016-02-02","Per=M","Days=T","Dir=V")</f>
        <v>0</v>
      </c>
      <c r="AU2">
        <f>BDH("FWMHQ US Equity","EQY_SH_OUT","2011-02-02","2016-02-02","Per=M","Days=T","Dir=V")</f>
        <v>0</v>
      </c>
      <c r="AW2">
        <f>BDH("FWMHQ US Equity","BETA_RAW_OVERRIABLE","2011-02-02","2016-02-02","Per=M","Days=T","Dir=V")</f>
        <v>0</v>
      </c>
      <c r="AY2">
        <f>BDH("FWMHQ US Equity","PX_VOLUME","2011-02-02","2016-02-02","Per=M","Days=T","Dir=V")</f>
        <v>0</v>
      </c>
      <c r="BA2">
        <f>BDH("FWMHQ US Equity","TURNOVER","2011-02-02","2016-02-02","Per=M","Days=T","Dir=V")</f>
        <v>0</v>
      </c>
      <c r="BC2">
        <f>BDH("FWMHQ US Equity","SPREAD_BA_CR","2011-02-02","2016-02-02","Per=M","Days=T","Dir=V")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BDH("AROPQ US Equity","BS_TOT_ASSET","2011-02-04","2016-02-04","Per=Y","Days=T","Dir=V")</f>
        <v>0</v>
      </c>
      <c r="C2">
        <f>BDH("AROPQ US Equity","BS_TOT_LIAB2","2011-02-04","2016-02-04","Per=Y","Days=T","Dir=V")</f>
        <v>0</v>
      </c>
      <c r="E2">
        <f>BDH("AROPQ US Equity","SHORT_AND_LONG_TERM_DEBT","2011-02-04","2016-02-04","Per=Y","Days=T","Dir=V")</f>
        <v>0</v>
      </c>
      <c r="G2">
        <f>BDH("AROPQ US Equity","BS_ST_BORROW","2011-02-04","2016-02-04","Per=Y","Days=T","Dir=V")</f>
        <v>0</v>
      </c>
      <c r="I2">
        <f>BDH("AROPQ US Equity","BS_LT_BORROW","2011-02-04","2016-02-04","Per=Y","Days=T","Dir=V")</f>
        <v>0</v>
      </c>
      <c r="K2">
        <f>BDH("AROPQ US Equity","BS_CASH_NEAR_CASH_ITEM","2011-02-04","2016-02-04","Per=Y","Days=T","Dir=V")</f>
        <v>0</v>
      </c>
      <c r="M2">
        <f>BDH("AROPQ US Equity","BS_CUR_ASSET_REPORT","2011-02-04","2016-02-04","Per=Y","Days=T","Dir=V")</f>
        <v>0</v>
      </c>
      <c r="O2">
        <f>BDH("AROPQ US Equity","BS_CUR_LIAB","2011-02-04","2016-02-04","Per=Y","Days=T","Dir=V")</f>
        <v>0</v>
      </c>
      <c r="Q2">
        <f>BDH("AROPQ US Equity","BS_SHAREHOLDER_EQY_ENDING_PERIOD","2011-02-04","2016-02-04","Per=Y","Days=T","Dir=V")</f>
        <v>0</v>
      </c>
      <c r="S2">
        <f>BDH("AROPQ US Equity","BS_ACCT_NOTE_RCV","2011-02-04","2016-02-04","Per=Y","Days=T","Dir=V")</f>
        <v>0</v>
      </c>
      <c r="U2">
        <f>BDH("AROPQ US Equity","BS_INVENTORIES","2011-02-04","2016-02-04","Per=Y","Days=T","Dir=V")</f>
        <v>0</v>
      </c>
      <c r="W2">
        <f>BDH("AROPQ US Equity","WORKING_CAPITAL","2011-02-04","2016-02-04","Per=Y","Days=T","Dir=V")</f>
        <v>0</v>
      </c>
      <c r="Y2">
        <f>BDH("AROPQ US Equity","SALES_REV_TURN","2011-02-04","2016-02-04","Per=Y","Days=T","Dir=V")</f>
        <v>0</v>
      </c>
      <c r="AA2">
        <f>BDH("AROPQ US Equity","EBIT","2011-02-04","2016-02-04","Per=Y","Days=T","Dir=V")</f>
        <v>0</v>
      </c>
      <c r="AC2">
        <f>BDH("AROPQ US Equity","EBITDA","2011-02-04","2016-02-04","Per=Y","Days=T","Dir=V")</f>
        <v>0</v>
      </c>
      <c r="AE2">
        <f>BDH("AROPQ US Equity","NET_INCOME","2011-02-04","2016-02-04","Per=Y","Days=T","Dir=V")</f>
        <v>0</v>
      </c>
      <c r="AG2">
        <f>BDH("AROPQ US Equity","IS_INT_EXPENSE","2011-02-04","2016-02-04","Per=Y","Days=T","Dir=V")</f>
        <v>0</v>
      </c>
      <c r="AI2">
        <f>BDH("AROPQ US Equity","IS_DEPR_EXP","2011-02-04","2016-02-04","Per=Y","Days=T","Dir=V")</f>
        <v>0</v>
      </c>
      <c r="AK2">
        <f>BDH("AROPQ US Equity","CF_CASH_FROM_OPER","2011-02-04","2016-02-04","Per=Y","Days=T","Dir=V")</f>
        <v>0</v>
      </c>
      <c r="AM2">
        <f>BDH("AROPQ US Equity","CAPITAL_EXPEND","2011-02-04","2016-02-04","Per=Y","Days=T","Dir=V")</f>
        <v>0</v>
      </c>
      <c r="AO2">
        <f>BDH("AROPQ US Equity","CF_FREE_CASH_FLOW","2011-02-04","2016-02-04","Per=Y","Days=T","Dir=V")</f>
        <v>0</v>
      </c>
      <c r="AQ2">
        <f>BDH("AROPQ US Equity","PX_LAST","2011-02-04","2016-02-04","Per=M","Days=T","Dir=V")</f>
        <v>0</v>
      </c>
      <c r="AS2">
        <f>BDH("AROPQ US Equity","CUR_MKT_CAP","2011-02-04","2016-02-04","Per=M","Days=T","Dir=V")</f>
        <v>0</v>
      </c>
      <c r="AU2">
        <f>BDH("AROPQ US Equity","EQY_SH_OUT","2011-02-04","2016-02-04","Per=M","Days=T","Dir=V")</f>
        <v>0</v>
      </c>
      <c r="AW2">
        <f>BDH("AROPQ US Equity","BETA_RAW_OVERRIABLE","2011-02-04","2016-02-04","Per=M","Days=T","Dir=V")</f>
        <v>0</v>
      </c>
      <c r="AY2">
        <f>BDH("AROPQ US Equity","PX_VOLUME","2011-02-04","2016-02-04","Per=M","Days=T","Dir=V")</f>
        <v>0</v>
      </c>
      <c r="BA2">
        <f>BDH("AROPQ US Equity","TURNOVER","2011-02-04","2016-02-04","Per=M","Days=T","Dir=V")</f>
        <v>0</v>
      </c>
      <c r="BC2">
        <f>BDH("AROPQ US Equity","SPREAD_BA_CR","2011-02-04","2016-02-04","Per=M","Days=T","Dir=V")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BDH("BBEPQ US Equity","BS_TOT_ASSET","2011-02-15","2016-02-15","Per=Y","Days=T","Dir=V")</f>
        <v>0</v>
      </c>
      <c r="C2">
        <f>BDH("BBEPQ US Equity","BS_TOT_LIAB2","2011-02-15","2016-02-15","Per=Y","Days=T","Dir=V")</f>
        <v>0</v>
      </c>
      <c r="E2">
        <f>BDH("BBEPQ US Equity","SHORT_AND_LONG_TERM_DEBT","2011-02-15","2016-02-15","Per=Y","Days=T","Dir=V")</f>
        <v>0</v>
      </c>
      <c r="G2">
        <f>BDH("BBEPQ US Equity","BS_ST_BORROW","2011-02-15","2016-02-15","Per=Y","Days=T","Dir=V")</f>
        <v>0</v>
      </c>
      <c r="I2">
        <f>BDH("BBEPQ US Equity","BS_LT_BORROW","2011-02-15","2016-02-15","Per=Y","Days=T","Dir=V")</f>
        <v>0</v>
      </c>
      <c r="K2">
        <f>BDH("BBEPQ US Equity","BS_CASH_NEAR_CASH_ITEM","2011-02-15","2016-02-15","Per=Y","Days=T","Dir=V")</f>
        <v>0</v>
      </c>
      <c r="M2">
        <f>BDH("BBEPQ US Equity","BS_CUR_ASSET_REPORT","2011-02-15","2016-02-15","Per=Y","Days=T","Dir=V")</f>
        <v>0</v>
      </c>
      <c r="O2">
        <f>BDH("BBEPQ US Equity","BS_CUR_LIAB","2011-02-15","2016-02-15","Per=Y","Days=T","Dir=V")</f>
        <v>0</v>
      </c>
      <c r="Q2">
        <f>BDH("BBEPQ US Equity","BS_SHAREHOLDER_EQY_ENDING_PERIOD","2011-02-15","2016-02-15","Per=Y","Days=T","Dir=V")</f>
        <v>0</v>
      </c>
      <c r="S2">
        <f>BDH("BBEPQ US Equity","BS_ACCT_NOTE_RCV","2011-02-15","2016-02-15","Per=Y","Days=T","Dir=V")</f>
        <v>0</v>
      </c>
      <c r="U2">
        <f>BDH("BBEPQ US Equity","BS_INVENTORIES","2011-02-15","2016-02-15","Per=Y","Days=T","Dir=V")</f>
        <v>0</v>
      </c>
      <c r="W2">
        <f>BDH("BBEPQ US Equity","WORKING_CAPITAL","2011-02-15","2016-02-15","Per=Y","Days=T","Dir=V")</f>
        <v>0</v>
      </c>
      <c r="Y2">
        <f>BDH("BBEPQ US Equity","SALES_REV_TURN","2011-02-15","2016-02-15","Per=Y","Days=T","Dir=V")</f>
        <v>0</v>
      </c>
      <c r="AA2">
        <f>BDH("BBEPQ US Equity","EBIT","2011-02-15","2016-02-15","Per=Y","Days=T","Dir=V")</f>
        <v>0</v>
      </c>
      <c r="AC2">
        <f>BDH("BBEPQ US Equity","EBITDA","2011-02-15","2016-02-15","Per=Y","Days=T","Dir=V")</f>
        <v>0</v>
      </c>
      <c r="AE2">
        <f>BDH("BBEPQ US Equity","NET_INCOME","2011-02-15","2016-02-15","Per=Y","Days=T","Dir=V")</f>
        <v>0</v>
      </c>
      <c r="AG2">
        <f>BDH("BBEPQ US Equity","IS_INT_EXPENSE","2011-02-15","2016-02-15","Per=Y","Days=T","Dir=V")</f>
        <v>0</v>
      </c>
      <c r="AI2">
        <f>BDH("BBEPQ US Equity","IS_DEPR_EXP","2011-02-15","2016-02-15","Per=Y","Days=T","Dir=V")</f>
        <v>0</v>
      </c>
      <c r="AK2">
        <f>BDH("BBEPQ US Equity","CF_CASH_FROM_OPER","2011-02-15","2016-02-15","Per=Y","Days=T","Dir=V")</f>
        <v>0</v>
      </c>
      <c r="AM2">
        <f>BDH("BBEPQ US Equity","CAPITAL_EXPEND","2011-02-15","2016-02-15","Per=Y","Days=T","Dir=V")</f>
        <v>0</v>
      </c>
      <c r="AO2">
        <f>BDH("BBEPQ US Equity","CF_FREE_CASH_FLOW","2011-02-15","2016-02-15","Per=Y","Days=T","Dir=V")</f>
        <v>0</v>
      </c>
      <c r="AQ2">
        <f>BDH("BBEPQ US Equity","PX_LAST","2011-02-15","2016-02-15","Per=M","Days=T","Dir=V")</f>
        <v>0</v>
      </c>
      <c r="AS2">
        <f>BDH("BBEPQ US Equity","CUR_MKT_CAP","2011-02-15","2016-02-15","Per=M","Days=T","Dir=V")</f>
        <v>0</v>
      </c>
      <c r="AU2">
        <f>BDH("BBEPQ US Equity","EQY_SH_OUT","2011-02-15","2016-02-15","Per=M","Days=T","Dir=V")</f>
        <v>0</v>
      </c>
      <c r="AW2">
        <f>BDH("BBEPQ US Equity","BETA_RAW_OVERRIABLE","2011-02-15","2016-02-15","Per=M","Days=T","Dir=V")</f>
        <v>0</v>
      </c>
      <c r="AY2">
        <f>BDH("BBEPQ US Equity","PX_VOLUME","2011-02-15","2016-02-15","Per=M","Days=T","Dir=V")</f>
        <v>0</v>
      </c>
      <c r="BA2">
        <f>BDH("BBEPQ US Equity","TURNOVER","2011-02-15","2016-02-15","Per=M","Days=T","Dir=V")</f>
        <v>0</v>
      </c>
      <c r="BC2">
        <f>BDH("BBEPQ US Equity","SPREAD_BA_CR","2011-02-15","2016-02-15","Per=M","Days=T","Dir=V")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BDH("SD US Equity","BS_TOT_ASSET","2011-02-16","2016-02-16","Per=Y","Days=T","Dir=V")</f>
        <v>0</v>
      </c>
      <c r="C2">
        <f>BDH("SD US Equity","BS_TOT_LIAB2","2011-02-16","2016-02-16","Per=Y","Days=T","Dir=V")</f>
        <v>0</v>
      </c>
      <c r="E2">
        <f>BDH("SD US Equity","SHORT_AND_LONG_TERM_DEBT","2011-02-16","2016-02-16","Per=Y","Days=T","Dir=V")</f>
        <v>0</v>
      </c>
      <c r="G2">
        <f>BDH("SD US Equity","BS_ST_BORROW","2011-02-16","2016-02-16","Per=Y","Days=T","Dir=V")</f>
        <v>0</v>
      </c>
      <c r="I2">
        <f>BDH("SD US Equity","BS_LT_BORROW","2011-02-16","2016-02-16","Per=Y","Days=T","Dir=V")</f>
        <v>0</v>
      </c>
      <c r="K2">
        <f>BDH("SD US Equity","BS_CASH_NEAR_CASH_ITEM","2011-02-16","2016-02-16","Per=Y","Days=T","Dir=V")</f>
        <v>0</v>
      </c>
      <c r="M2">
        <f>BDH("SD US Equity","BS_CUR_ASSET_REPORT","2011-02-16","2016-02-16","Per=Y","Days=T","Dir=V")</f>
        <v>0</v>
      </c>
      <c r="O2">
        <f>BDH("SD US Equity","BS_CUR_LIAB","2011-02-16","2016-02-16","Per=Y","Days=T","Dir=V")</f>
        <v>0</v>
      </c>
      <c r="Q2">
        <f>BDH("SD US Equity","BS_SHAREHOLDER_EQY_ENDING_PERIOD","2011-02-16","2016-02-16","Per=Y","Days=T","Dir=V")</f>
        <v>0</v>
      </c>
      <c r="S2">
        <f>BDH("SD US Equity","BS_ACCT_NOTE_RCV","2011-02-16","2016-02-16","Per=Y","Days=T","Dir=V")</f>
        <v>0</v>
      </c>
      <c r="U2">
        <f>BDH("SD US Equity","BS_INVENTORIES","2011-02-16","2016-02-16","Per=Y","Days=T","Dir=V")</f>
        <v>0</v>
      </c>
      <c r="W2">
        <f>BDH("SD US Equity","WORKING_CAPITAL","2011-02-16","2016-02-16","Per=Y","Days=T","Dir=V")</f>
        <v>0</v>
      </c>
      <c r="Y2">
        <f>BDH("SD US Equity","SALES_REV_TURN","2011-02-16","2016-02-16","Per=Y","Days=T","Dir=V")</f>
        <v>0</v>
      </c>
      <c r="AA2">
        <f>BDH("SD US Equity","EBIT","2011-02-16","2016-02-16","Per=Y","Days=T","Dir=V")</f>
        <v>0</v>
      </c>
      <c r="AC2">
        <f>BDH("SD US Equity","EBITDA","2011-02-16","2016-02-16","Per=Y","Days=T","Dir=V")</f>
        <v>0</v>
      </c>
      <c r="AE2">
        <f>BDH("SD US Equity","NET_INCOME","2011-02-16","2016-02-16","Per=Y","Days=T","Dir=V")</f>
        <v>0</v>
      </c>
      <c r="AG2">
        <f>BDH("SD US Equity","IS_INT_EXPENSE","2011-02-16","2016-02-16","Per=Y","Days=T","Dir=V")</f>
        <v>0</v>
      </c>
      <c r="AI2">
        <f>BDH("SD US Equity","IS_DEPR_EXP","2011-02-16","2016-02-16","Per=Y","Days=T","Dir=V")</f>
        <v>0</v>
      </c>
      <c r="AK2">
        <f>BDH("SD US Equity","CF_CASH_FROM_OPER","2011-02-16","2016-02-16","Per=Y","Days=T","Dir=V")</f>
        <v>0</v>
      </c>
      <c r="AM2">
        <f>BDH("SD US Equity","CAPITAL_EXPEND","2011-02-16","2016-02-16","Per=Y","Days=T","Dir=V")</f>
        <v>0</v>
      </c>
      <c r="AO2">
        <f>BDH("SD US Equity","CF_FREE_CASH_FLOW","2011-02-16","2016-02-16","Per=Y","Days=T","Dir=V")</f>
        <v>0</v>
      </c>
      <c r="AQ2">
        <f>BDH("SD US Equity","PX_LAST","2011-02-16","2016-02-16","Per=M","Days=T","Dir=V")</f>
        <v>0</v>
      </c>
      <c r="AS2">
        <f>BDH("SD US Equity","CUR_MKT_CAP","2011-02-16","2016-02-16","Per=M","Days=T","Dir=V")</f>
        <v>0</v>
      </c>
      <c r="AU2">
        <f>BDH("SD US Equity","EQY_SH_OUT","2011-02-16","2016-02-16","Per=M","Days=T","Dir=V")</f>
        <v>0</v>
      </c>
      <c r="AW2">
        <f>BDH("SD US Equity","BETA_RAW_OVERRIABLE","2011-02-16","2016-02-16","Per=M","Days=T","Dir=V")</f>
        <v>0</v>
      </c>
      <c r="AY2">
        <f>BDH("SD US Equity","PX_VOLUME","2011-02-16","2016-02-16","Per=M","Days=T","Dir=V")</f>
        <v>0</v>
      </c>
      <c r="BA2">
        <f>BDH("SD US Equity","TURNOVER","2011-02-16","2016-02-16","Per=M","Days=T","Dir=V")</f>
        <v>0</v>
      </c>
      <c r="BC2">
        <f>BDH("SD US Equity","SPREAD_BA_CR","2011-02-16","2016-02-16","Per=M","Days=T","Dir=V")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BDH("SSEIQ US Equity","BS_TOT_ASSET","2011-03-09","2016-03-09","Per=Y","Days=T","Dir=V")</f>
        <v>0</v>
      </c>
      <c r="C2">
        <f>BDH("SSEIQ US Equity","BS_TOT_LIAB2","2011-03-09","2016-03-09","Per=Y","Days=T","Dir=V")</f>
        <v>0</v>
      </c>
      <c r="E2">
        <f>BDH("SSEIQ US Equity","SHORT_AND_LONG_TERM_DEBT","2011-03-09","2016-03-09","Per=Y","Days=T","Dir=V")</f>
        <v>0</v>
      </c>
      <c r="G2">
        <f>BDH("SSEIQ US Equity","BS_ST_BORROW","2011-03-09","2016-03-09","Per=Y","Days=T","Dir=V")</f>
        <v>0</v>
      </c>
      <c r="I2">
        <f>BDH("SSEIQ US Equity","BS_LT_BORROW","2011-03-09","2016-03-09","Per=Y","Days=T","Dir=V")</f>
        <v>0</v>
      </c>
      <c r="K2">
        <f>BDH("SSEIQ US Equity","BS_CASH_NEAR_CASH_ITEM","2011-03-09","2016-03-09","Per=Y","Days=T","Dir=V")</f>
        <v>0</v>
      </c>
      <c r="M2">
        <f>BDH("SSEIQ US Equity","BS_CUR_ASSET_REPORT","2011-03-09","2016-03-09","Per=Y","Days=T","Dir=V")</f>
        <v>0</v>
      </c>
      <c r="O2">
        <f>BDH("SSEIQ US Equity","BS_CUR_LIAB","2011-03-09","2016-03-09","Per=Y","Days=T","Dir=V")</f>
        <v>0</v>
      </c>
      <c r="Q2">
        <f>BDH("SSEIQ US Equity","BS_SHAREHOLDER_EQY_ENDING_PERIOD","2011-03-09","2016-03-09","Per=Y","Days=T","Dir=V")</f>
        <v>0</v>
      </c>
      <c r="S2">
        <f>BDH("SSEIQ US Equity","BS_ACCT_NOTE_RCV","2011-03-09","2016-03-09","Per=Y","Days=T","Dir=V")</f>
        <v>0</v>
      </c>
      <c r="U2">
        <f>BDH("SSEIQ US Equity","BS_INVENTORIES","2011-03-09","2016-03-09","Per=Y","Days=T","Dir=V")</f>
        <v>0</v>
      </c>
      <c r="W2">
        <f>BDH("SSEIQ US Equity","WORKING_CAPITAL","2011-03-09","2016-03-09","Per=Y","Days=T","Dir=V")</f>
        <v>0</v>
      </c>
      <c r="Y2">
        <f>BDH("SSEIQ US Equity","SALES_REV_TURN","2011-03-09","2016-03-09","Per=Y","Days=T","Dir=V")</f>
        <v>0</v>
      </c>
      <c r="AA2">
        <f>BDH("SSEIQ US Equity","EBIT","2011-03-09","2016-03-09","Per=Y","Days=T","Dir=V")</f>
        <v>0</v>
      </c>
      <c r="AC2">
        <f>BDH("SSEIQ US Equity","EBITDA","2011-03-09","2016-03-09","Per=Y","Days=T","Dir=V")</f>
        <v>0</v>
      </c>
      <c r="AE2">
        <f>BDH("SSEIQ US Equity","NET_INCOME","2011-03-09","2016-03-09","Per=Y","Days=T","Dir=V")</f>
        <v>0</v>
      </c>
      <c r="AG2">
        <f>BDH("SSEIQ US Equity","IS_INT_EXPENSE","2011-03-09","2016-03-09","Per=Y","Days=T","Dir=V")</f>
        <v>0</v>
      </c>
      <c r="AI2">
        <f>BDH("SSEIQ US Equity","IS_DEPR_EXP","2011-03-09","2016-03-09","Per=Y","Days=T","Dir=V")</f>
        <v>0</v>
      </c>
      <c r="AK2">
        <f>BDH("SSEIQ US Equity","CF_CASH_FROM_OPER","2011-03-09","2016-03-09","Per=Y","Days=T","Dir=V")</f>
        <v>0</v>
      </c>
      <c r="AM2">
        <f>BDH("SSEIQ US Equity","CAPITAL_EXPEND","2011-03-09","2016-03-09","Per=Y","Days=T","Dir=V")</f>
        <v>0</v>
      </c>
      <c r="AO2">
        <f>BDH("SSEIQ US Equity","CF_FREE_CASH_FLOW","2011-03-09","2016-03-09","Per=Y","Days=T","Dir=V")</f>
        <v>0</v>
      </c>
      <c r="AQ2">
        <f>BDH("SSEIQ US Equity","PX_LAST","2011-03-09","2016-03-09","Per=M","Days=T","Dir=V")</f>
        <v>0</v>
      </c>
      <c r="AS2">
        <f>BDH("SSEIQ US Equity","CUR_MKT_CAP","2011-03-09","2016-03-09","Per=M","Days=T","Dir=V")</f>
        <v>0</v>
      </c>
      <c r="AU2">
        <f>BDH("SSEIQ US Equity","EQY_SH_OUT","2011-03-09","2016-03-09","Per=M","Days=T","Dir=V")</f>
        <v>0</v>
      </c>
      <c r="AW2">
        <f>BDH("SSEIQ US Equity","BETA_RAW_OVERRIABLE","2011-03-09","2016-03-09","Per=M","Days=T","Dir=V")</f>
        <v>0</v>
      </c>
      <c r="AY2">
        <f>BDH("SSEIQ US Equity","PX_VOLUME","2011-03-09","2016-03-09","Per=M","Days=T","Dir=V")</f>
        <v>0</v>
      </c>
      <c r="BA2">
        <f>BDH("SSEIQ US Equity","TURNOVER","2011-03-09","2016-03-09","Per=M","Days=T","Dir=V")</f>
        <v>0</v>
      </c>
      <c r="BC2">
        <f>BDH("SSEIQ US Equity","SPREAD_BA_CR","2011-03-09","2016-03-09","Per=M","Days=T","Dir=V")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BDH("HKRSQ US Equity","BS_TOT_ASSET","2011-04-28","2016-04-28","Per=Y","Days=T","Dir=V")</f>
        <v>0</v>
      </c>
      <c r="C2">
        <f>BDH("HKRSQ US Equity","BS_TOT_LIAB2","2011-04-28","2016-04-28","Per=Y","Days=T","Dir=V")</f>
        <v>0</v>
      </c>
      <c r="E2">
        <f>BDH("HKRSQ US Equity","SHORT_AND_LONG_TERM_DEBT","2011-04-28","2016-04-28","Per=Y","Days=T","Dir=V")</f>
        <v>0</v>
      </c>
      <c r="G2">
        <f>BDH("HKRSQ US Equity","BS_ST_BORROW","2011-04-28","2016-04-28","Per=Y","Days=T","Dir=V")</f>
        <v>0</v>
      </c>
      <c r="I2">
        <f>BDH("HKRSQ US Equity","BS_LT_BORROW","2011-04-28","2016-04-28","Per=Y","Days=T","Dir=V")</f>
        <v>0</v>
      </c>
      <c r="K2">
        <f>BDH("HKRSQ US Equity","BS_CASH_NEAR_CASH_ITEM","2011-04-28","2016-04-28","Per=Y","Days=T","Dir=V")</f>
        <v>0</v>
      </c>
      <c r="M2">
        <f>BDH("HKRSQ US Equity","BS_CUR_ASSET_REPORT","2011-04-28","2016-04-28","Per=Y","Days=T","Dir=V")</f>
        <v>0</v>
      </c>
      <c r="O2">
        <f>BDH("HKRSQ US Equity","BS_CUR_LIAB","2011-04-28","2016-04-28","Per=Y","Days=T","Dir=V")</f>
        <v>0</v>
      </c>
      <c r="Q2">
        <f>BDH("HKRSQ US Equity","BS_SHAREHOLDER_EQY_ENDING_PERIOD","2011-04-28","2016-04-28","Per=Y","Days=T","Dir=V")</f>
        <v>0</v>
      </c>
      <c r="S2">
        <f>BDH("HKRSQ US Equity","BS_ACCT_NOTE_RCV","2011-04-28","2016-04-28","Per=Y","Days=T","Dir=V")</f>
        <v>0</v>
      </c>
      <c r="U2">
        <f>BDH("HKRSQ US Equity","BS_INVENTORIES","2011-04-28","2016-04-28","Per=Y","Days=T","Dir=V")</f>
        <v>0</v>
      </c>
      <c r="W2">
        <f>BDH("HKRSQ US Equity","WORKING_CAPITAL","2011-04-28","2016-04-28","Per=Y","Days=T","Dir=V")</f>
        <v>0</v>
      </c>
      <c r="Y2">
        <f>BDH("HKRSQ US Equity","SALES_REV_TURN","2011-04-28","2016-04-28","Per=Y","Days=T","Dir=V")</f>
        <v>0</v>
      </c>
      <c r="AA2">
        <f>BDH("HKRSQ US Equity","EBIT","2011-04-28","2016-04-28","Per=Y","Days=T","Dir=V")</f>
        <v>0</v>
      </c>
      <c r="AC2">
        <f>BDH("HKRSQ US Equity","EBITDA","2011-04-28","2016-04-28","Per=Y","Days=T","Dir=V")</f>
        <v>0</v>
      </c>
      <c r="AE2">
        <f>BDH("HKRSQ US Equity","NET_INCOME","2011-04-28","2016-04-28","Per=Y","Days=T","Dir=V")</f>
        <v>0</v>
      </c>
      <c r="AG2">
        <f>BDH("HKRSQ US Equity","IS_INT_EXPENSE","2011-04-28","2016-04-28","Per=Y","Days=T","Dir=V")</f>
        <v>0</v>
      </c>
      <c r="AI2">
        <f>BDH("HKRSQ US Equity","IS_DEPR_EXP","2011-04-28","2016-04-28","Per=Y","Days=T","Dir=V")</f>
        <v>0</v>
      </c>
      <c r="AK2">
        <f>BDH("HKRSQ US Equity","CF_CASH_FROM_OPER","2011-04-28","2016-04-28","Per=Y","Days=T","Dir=V")</f>
        <v>0</v>
      </c>
      <c r="AM2">
        <f>BDH("HKRSQ US Equity","CAPITAL_EXPEND","2011-04-28","2016-04-28","Per=Y","Days=T","Dir=V")</f>
        <v>0</v>
      </c>
      <c r="AO2">
        <f>BDH("HKRSQ US Equity","CF_FREE_CASH_FLOW","2011-04-28","2016-04-28","Per=Y","Days=T","Dir=V")</f>
        <v>0</v>
      </c>
      <c r="AQ2">
        <f>BDH("HKRSQ US Equity","PX_LAST","2011-04-28","2016-04-28","Per=M","Days=T","Dir=V")</f>
        <v>0</v>
      </c>
      <c r="AS2">
        <f>BDH("HKRSQ US Equity","CUR_MKT_CAP","2011-04-28","2016-04-28","Per=M","Days=T","Dir=V")</f>
        <v>0</v>
      </c>
      <c r="AU2">
        <f>BDH("HKRSQ US Equity","EQY_SH_OUT","2011-04-28","2016-04-28","Per=M","Days=T","Dir=V")</f>
        <v>0</v>
      </c>
      <c r="AW2">
        <f>BDH("HKRSQ US Equity","BETA_RAW_OVERRIABLE","2011-04-28","2016-04-28","Per=M","Days=T","Dir=V")</f>
        <v>0</v>
      </c>
      <c r="AY2">
        <f>BDH("HKRSQ US Equity","PX_VOLUME","2011-04-28","2016-04-28","Per=M","Days=T","Dir=V")</f>
        <v>0</v>
      </c>
      <c r="BA2">
        <f>BDH("HKRSQ US Equity","TURNOVER","2011-04-28","2016-04-28","Per=M","Days=T","Dir=V")</f>
        <v>0</v>
      </c>
      <c r="BC2">
        <f>BDH("HKRSQ US Equity","SPREAD_BA_CR","2011-04-28","2016-04-28","Per=M","Days=T","Dir=V")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BDH("ISHCQ US Equity","BS_TOT_ASSET","2011-05-03","2016-05-03","Per=Y","Days=T","Dir=V")</f>
        <v>0</v>
      </c>
      <c r="C2">
        <f>BDH("ISHCQ US Equity","BS_TOT_LIAB2","2011-05-03","2016-05-03","Per=Y","Days=T","Dir=V")</f>
        <v>0</v>
      </c>
      <c r="E2">
        <f>BDH("ISHCQ US Equity","SHORT_AND_LONG_TERM_DEBT","2011-05-03","2016-05-03","Per=Y","Days=T","Dir=V")</f>
        <v>0</v>
      </c>
      <c r="G2">
        <f>BDH("ISHCQ US Equity","BS_ST_BORROW","2011-05-03","2016-05-03","Per=Y","Days=T","Dir=V")</f>
        <v>0</v>
      </c>
      <c r="I2">
        <f>BDH("ISHCQ US Equity","BS_LT_BORROW","2011-05-03","2016-05-03","Per=Y","Days=T","Dir=V")</f>
        <v>0</v>
      </c>
      <c r="K2">
        <f>BDH("ISHCQ US Equity","BS_CASH_NEAR_CASH_ITEM","2011-05-03","2016-05-03","Per=Y","Days=T","Dir=V")</f>
        <v>0</v>
      </c>
      <c r="M2">
        <f>BDH("ISHCQ US Equity","BS_CUR_ASSET_REPORT","2011-05-03","2016-05-03","Per=Y","Days=T","Dir=V")</f>
        <v>0</v>
      </c>
      <c r="O2">
        <f>BDH("ISHCQ US Equity","BS_CUR_LIAB","2011-05-03","2016-05-03","Per=Y","Days=T","Dir=V")</f>
        <v>0</v>
      </c>
      <c r="Q2">
        <f>BDH("ISHCQ US Equity","BS_SHAREHOLDER_EQY_ENDING_PERIOD","2011-05-03","2016-05-03","Per=Y","Days=T","Dir=V")</f>
        <v>0</v>
      </c>
      <c r="S2">
        <f>BDH("ISHCQ US Equity","BS_ACCT_NOTE_RCV","2011-05-03","2016-05-03","Per=Y","Days=T","Dir=V")</f>
        <v>0</v>
      </c>
      <c r="U2">
        <f>BDH("ISHCQ US Equity","BS_INVENTORIES","2011-05-03","2016-05-03","Per=Y","Days=T","Dir=V")</f>
        <v>0</v>
      </c>
      <c r="W2">
        <f>BDH("ISHCQ US Equity","WORKING_CAPITAL","2011-05-03","2016-05-03","Per=Y","Days=T","Dir=V")</f>
        <v>0</v>
      </c>
      <c r="Y2">
        <f>BDH("ISHCQ US Equity","SALES_REV_TURN","2011-05-03","2016-05-03","Per=Y","Days=T","Dir=V")</f>
        <v>0</v>
      </c>
      <c r="AA2">
        <f>BDH("ISHCQ US Equity","EBIT","2011-05-03","2016-05-03","Per=Y","Days=T","Dir=V")</f>
        <v>0</v>
      </c>
      <c r="AC2">
        <f>BDH("ISHCQ US Equity","EBITDA","2011-05-03","2016-05-03","Per=Y","Days=T","Dir=V")</f>
        <v>0</v>
      </c>
      <c r="AE2">
        <f>BDH("ISHCQ US Equity","NET_INCOME","2011-05-03","2016-05-03","Per=Y","Days=T","Dir=V")</f>
        <v>0</v>
      </c>
      <c r="AG2">
        <f>BDH("ISHCQ US Equity","IS_INT_EXPENSE","2011-05-03","2016-05-03","Per=Y","Days=T","Dir=V")</f>
        <v>0</v>
      </c>
      <c r="AI2">
        <f>BDH("ISHCQ US Equity","IS_DEPR_EXP","2011-05-03","2016-05-03","Per=Y","Days=T","Dir=V")</f>
        <v>0</v>
      </c>
      <c r="AK2">
        <f>BDH("ISHCQ US Equity","CF_CASH_FROM_OPER","2011-05-03","2016-05-03","Per=Y","Days=T","Dir=V")</f>
        <v>0</v>
      </c>
      <c r="AM2">
        <f>BDH("ISHCQ US Equity","CAPITAL_EXPEND","2011-05-03","2016-05-03","Per=Y","Days=T","Dir=V")</f>
        <v>0</v>
      </c>
      <c r="AO2">
        <f>BDH("ISHCQ US Equity","CF_FREE_CASH_FLOW","2011-05-03","2016-05-03","Per=Y","Days=T","Dir=V")</f>
        <v>0</v>
      </c>
      <c r="AQ2">
        <f>BDH("ISHCQ US Equity","PX_LAST","2011-05-03","2016-05-03","Per=M","Days=T","Dir=V")</f>
        <v>0</v>
      </c>
      <c r="AS2">
        <f>BDH("ISHCQ US Equity","CUR_MKT_CAP","2011-05-03","2016-05-03","Per=M","Days=T","Dir=V")</f>
        <v>0</v>
      </c>
      <c r="AU2">
        <f>BDH("ISHCQ US Equity","EQY_SH_OUT","2011-05-03","2016-05-03","Per=M","Days=T","Dir=V")</f>
        <v>0</v>
      </c>
      <c r="AW2">
        <f>BDH("ISHCQ US Equity","BETA_RAW_OVERRIABLE","2011-05-03","2016-05-03","Per=M","Days=T","Dir=V")</f>
        <v>0</v>
      </c>
      <c r="AY2">
        <f>BDH("ISHCQ US Equity","PX_VOLUME","2011-05-03","2016-05-03","Per=M","Days=T","Dir=V")</f>
        <v>0</v>
      </c>
      <c r="BA2">
        <f>BDH("ISHCQ US Equity","TURNOVER","2011-05-03","2016-05-03","Per=M","Days=T","Dir=V")</f>
        <v>0</v>
      </c>
      <c r="BC2">
        <f>BDH("ISHCQ US Equity","SPREAD_BA_CR","2011-05-03","2016-05-03","Per=M","Days=T","Dir=V")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BDH("ESINQ US Equity","BS_TOT_ASSET","2011-06-18","2016-06-18","Per=Y","Days=T","Dir=V")</f>
        <v>0</v>
      </c>
      <c r="C2">
        <f>BDH("ESINQ US Equity","BS_TOT_LIAB2","2011-06-18","2016-06-18","Per=Y","Days=T","Dir=V")</f>
        <v>0</v>
      </c>
      <c r="E2">
        <f>BDH("ESINQ US Equity","SHORT_AND_LONG_TERM_DEBT","2011-06-18","2016-06-18","Per=Y","Days=T","Dir=V")</f>
        <v>0</v>
      </c>
      <c r="G2">
        <f>BDH("ESINQ US Equity","BS_ST_BORROW","2011-06-18","2016-06-18","Per=Y","Days=T","Dir=V")</f>
        <v>0</v>
      </c>
      <c r="I2">
        <f>BDH("ESINQ US Equity","BS_LT_BORROW","2011-06-18","2016-06-18","Per=Y","Days=T","Dir=V")</f>
        <v>0</v>
      </c>
      <c r="K2">
        <f>BDH("ESINQ US Equity","BS_CASH_NEAR_CASH_ITEM","2011-06-18","2016-06-18","Per=Y","Days=T","Dir=V")</f>
        <v>0</v>
      </c>
      <c r="M2">
        <f>BDH("ESINQ US Equity","BS_CUR_ASSET_REPORT","2011-06-18","2016-06-18","Per=Y","Days=T","Dir=V")</f>
        <v>0</v>
      </c>
      <c r="O2">
        <f>BDH("ESINQ US Equity","BS_CUR_LIAB","2011-06-18","2016-06-18","Per=Y","Days=T","Dir=V")</f>
        <v>0</v>
      </c>
      <c r="Q2">
        <f>BDH("ESINQ US Equity","BS_SHAREHOLDER_EQY_ENDING_PERIOD","2011-06-18","2016-06-18","Per=Y","Days=T","Dir=V")</f>
        <v>0</v>
      </c>
      <c r="S2">
        <f>BDH("ESINQ US Equity","BS_ACCT_NOTE_RCV","2011-06-18","2016-06-18","Per=Y","Days=T","Dir=V")</f>
        <v>0</v>
      </c>
      <c r="U2">
        <f>BDH("ESINQ US Equity","BS_INVENTORIES","2011-06-18","2016-06-18","Per=Y","Days=T","Dir=V")</f>
        <v>0</v>
      </c>
      <c r="W2">
        <f>BDH("ESINQ US Equity","WORKING_CAPITAL","2011-06-18","2016-06-18","Per=Y","Days=T","Dir=V")</f>
        <v>0</v>
      </c>
      <c r="Y2">
        <f>BDH("ESINQ US Equity","SALES_REV_TURN","2011-06-18","2016-06-18","Per=Y","Days=T","Dir=V")</f>
        <v>0</v>
      </c>
      <c r="AA2">
        <f>BDH("ESINQ US Equity","EBIT","2011-06-18","2016-06-18","Per=Y","Days=T","Dir=V")</f>
        <v>0</v>
      </c>
      <c r="AC2">
        <f>BDH("ESINQ US Equity","EBITDA","2011-06-18","2016-06-18","Per=Y","Days=T","Dir=V")</f>
        <v>0</v>
      </c>
      <c r="AE2">
        <f>BDH("ESINQ US Equity","NET_INCOME","2011-06-18","2016-06-18","Per=Y","Days=T","Dir=V")</f>
        <v>0</v>
      </c>
      <c r="AG2">
        <f>BDH("ESINQ US Equity","IS_INT_EXPENSE","2011-06-18","2016-06-18","Per=Y","Days=T","Dir=V")</f>
        <v>0</v>
      </c>
      <c r="AI2">
        <f>BDH("ESINQ US Equity","IS_DEPR_EXP","2011-06-18","2016-06-18","Per=Y","Days=T","Dir=V")</f>
        <v>0</v>
      </c>
      <c r="AK2">
        <f>BDH("ESINQ US Equity","CF_CASH_FROM_OPER","2011-06-18","2016-06-18","Per=Y","Days=T","Dir=V")</f>
        <v>0</v>
      </c>
      <c r="AM2">
        <f>BDH("ESINQ US Equity","CAPITAL_EXPEND","2011-06-18","2016-06-18","Per=Y","Days=T","Dir=V")</f>
        <v>0</v>
      </c>
      <c r="AO2">
        <f>BDH("ESINQ US Equity","CF_FREE_CASH_FLOW","2011-06-18","2016-06-18","Per=Y","Days=T","Dir=V")</f>
        <v>0</v>
      </c>
      <c r="AQ2">
        <f>BDH("ESINQ US Equity","PX_LAST","2011-06-18","2016-06-18","Per=M","Days=T","Dir=V")</f>
        <v>0</v>
      </c>
      <c r="AS2">
        <f>BDH("ESINQ US Equity","CUR_MKT_CAP","2011-06-18","2016-06-18","Per=M","Days=T","Dir=V")</f>
        <v>0</v>
      </c>
      <c r="AU2">
        <f>BDH("ESINQ US Equity","EQY_SH_OUT","2011-06-18","2016-06-18","Per=M","Days=T","Dir=V")</f>
        <v>0</v>
      </c>
      <c r="AW2">
        <f>BDH("ESINQ US Equity","BETA_RAW_OVERRIABLE","2011-06-18","2016-06-18","Per=M","Days=T","Dir=V")</f>
        <v>0</v>
      </c>
      <c r="AY2">
        <f>BDH("ESINQ US Equity","PX_VOLUME","2011-06-18","2016-06-18","Per=M","Days=T","Dir=V")</f>
        <v>0</v>
      </c>
      <c r="BA2">
        <f>BDH("ESINQ US Equity","TURNOVER","2011-06-18","2016-06-18","Per=M","Days=T","Dir=V")</f>
        <v>0</v>
      </c>
      <c r="BC2">
        <f>BDH("ESINQ US Equity","SPREAD_BA_CR","2011-06-18","2016-06-18","Per=M","Days=T","Dir=V")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BDH("BASXQ US Equity","BS_TOT_ASSET","2011-07-27","2016-07-27","Per=Y","Days=T","Dir=V")</f>
        <v>0</v>
      </c>
      <c r="C2">
        <f>BDH("BASXQ US Equity","BS_TOT_LIAB2","2011-07-27","2016-07-27","Per=Y","Days=T","Dir=V")</f>
        <v>0</v>
      </c>
      <c r="E2">
        <f>BDH("BASXQ US Equity","SHORT_AND_LONG_TERM_DEBT","2011-07-27","2016-07-27","Per=Y","Days=T","Dir=V")</f>
        <v>0</v>
      </c>
      <c r="G2">
        <f>BDH("BASXQ US Equity","BS_ST_BORROW","2011-07-27","2016-07-27","Per=Y","Days=T","Dir=V")</f>
        <v>0</v>
      </c>
      <c r="I2">
        <f>BDH("BASXQ US Equity","BS_LT_BORROW","2011-07-27","2016-07-27","Per=Y","Days=T","Dir=V")</f>
        <v>0</v>
      </c>
      <c r="K2">
        <f>BDH("BASXQ US Equity","BS_CASH_NEAR_CASH_ITEM","2011-07-27","2016-07-27","Per=Y","Days=T","Dir=V")</f>
        <v>0</v>
      </c>
      <c r="M2">
        <f>BDH("BASXQ US Equity","BS_CUR_ASSET_REPORT","2011-07-27","2016-07-27","Per=Y","Days=T","Dir=V")</f>
        <v>0</v>
      </c>
      <c r="O2">
        <f>BDH("BASXQ US Equity","BS_CUR_LIAB","2011-07-27","2016-07-27","Per=Y","Days=T","Dir=V")</f>
        <v>0</v>
      </c>
      <c r="Q2">
        <f>BDH("BASXQ US Equity","BS_SHAREHOLDER_EQY_ENDING_PERIOD","2011-07-27","2016-07-27","Per=Y","Days=T","Dir=V")</f>
        <v>0</v>
      </c>
      <c r="S2">
        <f>BDH("BASXQ US Equity","BS_ACCT_NOTE_RCV","2011-07-27","2016-07-27","Per=Y","Days=T","Dir=V")</f>
        <v>0</v>
      </c>
      <c r="U2">
        <f>BDH("BASXQ US Equity","BS_INVENTORIES","2011-07-27","2016-07-27","Per=Y","Days=T","Dir=V")</f>
        <v>0</v>
      </c>
      <c r="W2">
        <f>BDH("BASXQ US Equity","WORKING_CAPITAL","2011-07-27","2016-07-27","Per=Y","Days=T","Dir=V")</f>
        <v>0</v>
      </c>
      <c r="Y2">
        <f>BDH("BASXQ US Equity","SALES_REV_TURN","2011-07-27","2016-07-27","Per=Y","Days=T","Dir=V")</f>
        <v>0</v>
      </c>
      <c r="AA2">
        <f>BDH("BASXQ US Equity","EBIT","2011-07-27","2016-07-27","Per=Y","Days=T","Dir=V")</f>
        <v>0</v>
      </c>
      <c r="AC2">
        <f>BDH("BASXQ US Equity","EBITDA","2011-07-27","2016-07-27","Per=Y","Days=T","Dir=V")</f>
        <v>0</v>
      </c>
      <c r="AE2">
        <f>BDH("BASXQ US Equity","NET_INCOME","2011-07-27","2016-07-27","Per=Y","Days=T","Dir=V")</f>
        <v>0</v>
      </c>
      <c r="AG2">
        <f>BDH("BASXQ US Equity","IS_INT_EXPENSE","2011-07-27","2016-07-27","Per=Y","Days=T","Dir=V")</f>
        <v>0</v>
      </c>
      <c r="AI2">
        <f>BDH("BASXQ US Equity","IS_DEPR_EXP","2011-07-27","2016-07-27","Per=Y","Days=T","Dir=V")</f>
        <v>0</v>
      </c>
      <c r="AK2">
        <f>BDH("BASXQ US Equity","CF_CASH_FROM_OPER","2011-07-27","2016-07-27","Per=Y","Days=T","Dir=V")</f>
        <v>0</v>
      </c>
      <c r="AM2">
        <f>BDH("BASXQ US Equity","CAPITAL_EXPEND","2011-07-27","2016-07-27","Per=Y","Days=T","Dir=V")</f>
        <v>0</v>
      </c>
      <c r="AO2">
        <f>BDH("BASXQ US Equity","CF_FREE_CASH_FLOW","2011-07-27","2016-07-27","Per=Y","Days=T","Dir=V")</f>
        <v>0</v>
      </c>
      <c r="AQ2">
        <f>BDH("BASXQ US Equity","PX_LAST","2011-07-27","2016-07-27","Per=M","Days=T","Dir=V")</f>
        <v>0</v>
      </c>
      <c r="AS2">
        <f>BDH("BASXQ US Equity","CUR_MKT_CAP","2011-07-27","2016-07-27","Per=M","Days=T","Dir=V")</f>
        <v>0</v>
      </c>
      <c r="AU2">
        <f>BDH("BASXQ US Equity","EQY_SH_OUT","2011-07-27","2016-07-27","Per=M","Days=T","Dir=V")</f>
        <v>0</v>
      </c>
      <c r="AW2">
        <f>BDH("BASXQ US Equity","BETA_RAW_OVERRIABLE","2011-07-27","2016-07-27","Per=M","Days=T","Dir=V")</f>
        <v>0</v>
      </c>
      <c r="AY2">
        <f>BDH("BASXQ US Equity","PX_VOLUME","2011-07-27","2016-07-27","Per=M","Days=T","Dir=V")</f>
        <v>0</v>
      </c>
      <c r="BA2">
        <f>BDH("BASXQ US Equity","TURNOVER","2011-07-27","2016-07-27","Per=M","Days=T","Dir=V")</f>
        <v>0</v>
      </c>
      <c r="BC2">
        <f>BDH("BASXQ US Equity","SPREAD_BA_CR","2011-07-27","2016-07-27","Per=M","Days=T","Dir=V")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BDH("0618563D US Equity","BS_TOT_ASSET","2011-10-18","2016-10-18","Per=Y","Days=T","Dir=V")</f>
        <v>0</v>
      </c>
      <c r="C2">
        <f>BDH("0618563D US Equity","BS_TOT_LIAB2","2011-10-18","2016-10-18","Per=Y","Days=T","Dir=V")</f>
        <v>0</v>
      </c>
      <c r="E2">
        <f>BDH("0618563D US Equity","SHORT_AND_LONG_TERM_DEBT","2011-10-18","2016-10-18","Per=Y","Days=T","Dir=V")</f>
        <v>0</v>
      </c>
      <c r="G2">
        <f>BDH("0618563D US Equity","BS_ST_BORROW","2011-10-18","2016-10-18","Per=Y","Days=T","Dir=V")</f>
        <v>0</v>
      </c>
      <c r="I2">
        <f>BDH("0618563D US Equity","BS_LT_BORROW","2011-10-18","2016-10-18","Per=Y","Days=T","Dir=V")</f>
        <v>0</v>
      </c>
      <c r="K2">
        <f>BDH("0618563D US Equity","BS_CASH_NEAR_CASH_ITEM","2011-10-18","2016-10-18","Per=Y","Days=T","Dir=V")</f>
        <v>0</v>
      </c>
      <c r="M2">
        <f>BDH("0618563D US Equity","BS_CUR_ASSET_REPORT","2011-10-18","2016-10-18","Per=Y","Days=T","Dir=V")</f>
        <v>0</v>
      </c>
      <c r="O2">
        <f>BDH("0618563D US Equity","BS_CUR_LIAB","2011-10-18","2016-10-18","Per=Y","Days=T","Dir=V")</f>
        <v>0</v>
      </c>
      <c r="Q2">
        <f>BDH("0618563D US Equity","BS_SHAREHOLDER_EQY_ENDING_PERIOD","2011-10-18","2016-10-18","Per=Y","Days=T","Dir=V")</f>
        <v>0</v>
      </c>
      <c r="S2">
        <f>BDH("0618563D US Equity","BS_ACCT_NOTE_RCV","2011-10-18","2016-10-18","Per=Y","Days=T","Dir=V")</f>
        <v>0</v>
      </c>
      <c r="U2">
        <f>BDH("0618563D US Equity","BS_INVENTORIES","2011-10-18","2016-10-18","Per=Y","Days=T","Dir=V")</f>
        <v>0</v>
      </c>
      <c r="W2">
        <f>BDH("0618563D US Equity","WORKING_CAPITAL","2011-10-18","2016-10-18","Per=Y","Days=T","Dir=V")</f>
        <v>0</v>
      </c>
      <c r="Y2">
        <f>BDH("0618563D US Equity","SALES_REV_TURN","2011-10-18","2016-10-18","Per=Y","Days=T","Dir=V")</f>
        <v>0</v>
      </c>
      <c r="AA2">
        <f>BDH("0618563D US Equity","EBIT","2011-10-18","2016-10-18","Per=Y","Days=T","Dir=V")</f>
        <v>0</v>
      </c>
      <c r="AC2">
        <f>BDH("0618563D US Equity","EBITDA","2011-10-18","2016-10-18","Per=Y","Days=T","Dir=V")</f>
        <v>0</v>
      </c>
      <c r="AE2">
        <f>BDH("0618563D US Equity","NET_INCOME","2011-10-18","2016-10-18","Per=Y","Days=T","Dir=V")</f>
        <v>0</v>
      </c>
      <c r="AG2">
        <f>BDH("0618563D US Equity","IS_INT_EXPENSE","2011-10-18","2016-10-18","Per=Y","Days=T","Dir=V")</f>
        <v>0</v>
      </c>
      <c r="AI2">
        <f>BDH("0618563D US Equity","IS_DEPR_EXP","2011-10-18","2016-10-18","Per=Y","Days=T","Dir=V")</f>
        <v>0</v>
      </c>
      <c r="AK2">
        <f>BDH("0618563D US Equity","CF_CASH_FROM_OPER","2011-10-18","2016-10-18","Per=Y","Days=T","Dir=V")</f>
        <v>0</v>
      </c>
      <c r="AM2">
        <f>BDH("0618563D US Equity","CAPITAL_EXPEND","2011-10-18","2016-10-18","Per=Y","Days=T","Dir=V")</f>
        <v>0</v>
      </c>
      <c r="AO2">
        <f>BDH("0618563D US Equity","CF_FREE_CASH_FLOW","2011-10-18","2016-10-18","Per=Y","Days=T","Dir=V")</f>
        <v>0</v>
      </c>
      <c r="AQ2">
        <f>BDH("0618563D US Equity","PX_LAST","2011-10-18","2016-10-18","Per=M","Days=T","Dir=V")</f>
        <v>0</v>
      </c>
      <c r="AS2">
        <f>BDH("0618563D US Equity","CUR_MKT_CAP","2011-10-18","2016-10-18","Per=M","Days=T","Dir=V")</f>
        <v>0</v>
      </c>
      <c r="AU2">
        <f>BDH("0618563D US Equity","EQY_SH_OUT","2011-10-18","2016-10-18","Per=M","Days=T","Dir=V")</f>
        <v>0</v>
      </c>
      <c r="AW2">
        <f>BDH("0618563D US Equity","BETA_RAW_OVERRIABLE","2011-10-18","2016-10-18","Per=M","Days=T","Dir=V")</f>
        <v>0</v>
      </c>
      <c r="AY2">
        <f>BDH("0618563D US Equity","PX_VOLUME","2011-10-18","2016-10-18","Per=M","Days=T","Dir=V")</f>
        <v>0</v>
      </c>
      <c r="BA2">
        <f>BDH("0618563D US Equity","TURNOVER","2011-10-18","2016-10-18","Per=M","Days=T","Dir=V")</f>
        <v>0</v>
      </c>
      <c r="BC2">
        <f>BDH("0618563D US Equity","SPREAD_BA_CR","2011-10-18","2016-10-18","Per=M","Days=T","Dir=V")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BDH("0862978D US Equity","BS_TOT_ASSET","2011-11-01","2016-11-01","Per=Y","Days=T","Dir=V")</f>
        <v>0</v>
      </c>
      <c r="C2">
        <f>BDH("0862978D US Equity","BS_TOT_LIAB2","2011-11-01","2016-11-01","Per=Y","Days=T","Dir=V")</f>
        <v>0</v>
      </c>
      <c r="E2">
        <f>BDH("0862978D US Equity","SHORT_AND_LONG_TERM_DEBT","2011-11-01","2016-11-01","Per=Y","Days=T","Dir=V")</f>
        <v>0</v>
      </c>
      <c r="G2">
        <f>BDH("0862978D US Equity","BS_ST_BORROW","2011-11-01","2016-11-01","Per=Y","Days=T","Dir=V")</f>
        <v>0</v>
      </c>
      <c r="I2">
        <f>BDH("0862978D US Equity","BS_LT_BORROW","2011-11-01","2016-11-01","Per=Y","Days=T","Dir=V")</f>
        <v>0</v>
      </c>
      <c r="K2">
        <f>BDH("0862978D US Equity","BS_CASH_NEAR_CASH_ITEM","2011-11-01","2016-11-01","Per=Y","Days=T","Dir=V")</f>
        <v>0</v>
      </c>
      <c r="M2">
        <f>BDH("0862978D US Equity","BS_CUR_ASSET_REPORT","2011-11-01","2016-11-01","Per=Y","Days=T","Dir=V")</f>
        <v>0</v>
      </c>
      <c r="O2">
        <f>BDH("0862978D US Equity","BS_CUR_LIAB","2011-11-01","2016-11-01","Per=Y","Days=T","Dir=V")</f>
        <v>0</v>
      </c>
      <c r="Q2">
        <f>BDH("0862978D US Equity","BS_SHAREHOLDER_EQY_ENDING_PERIOD","2011-11-01","2016-11-01","Per=Y","Days=T","Dir=V")</f>
        <v>0</v>
      </c>
      <c r="S2">
        <f>BDH("0862978D US Equity","BS_ACCT_NOTE_RCV","2011-11-01","2016-11-01","Per=Y","Days=T","Dir=V")</f>
        <v>0</v>
      </c>
      <c r="U2">
        <f>BDH("0862978D US Equity","BS_INVENTORIES","2011-11-01","2016-11-01","Per=Y","Days=T","Dir=V")</f>
        <v>0</v>
      </c>
      <c r="W2">
        <f>BDH("0862978D US Equity","WORKING_CAPITAL","2011-11-01","2016-11-01","Per=Y","Days=T","Dir=V")</f>
        <v>0</v>
      </c>
      <c r="Y2">
        <f>BDH("0862978D US Equity","SALES_REV_TURN","2011-11-01","2016-11-01","Per=Y","Days=T","Dir=V")</f>
        <v>0</v>
      </c>
      <c r="AA2">
        <f>BDH("0862978D US Equity","EBIT","2011-11-01","2016-11-01","Per=Y","Days=T","Dir=V")</f>
        <v>0</v>
      </c>
      <c r="AC2">
        <f>BDH("0862978D US Equity","EBITDA","2011-11-01","2016-11-01","Per=Y","Days=T","Dir=V")</f>
        <v>0</v>
      </c>
      <c r="AE2">
        <f>BDH("0862978D US Equity","NET_INCOME","2011-11-01","2016-11-01","Per=Y","Days=T","Dir=V")</f>
        <v>0</v>
      </c>
      <c r="AG2">
        <f>BDH("0862978D US Equity","IS_INT_EXPENSE","2011-11-01","2016-11-01","Per=Y","Days=T","Dir=V")</f>
        <v>0</v>
      </c>
      <c r="AI2">
        <f>BDH("0862978D US Equity","IS_DEPR_EXP","2011-11-01","2016-11-01","Per=Y","Days=T","Dir=V")</f>
        <v>0</v>
      </c>
      <c r="AK2">
        <f>BDH("0862978D US Equity","CF_CASH_FROM_OPER","2011-11-01","2016-11-01","Per=Y","Days=T","Dir=V")</f>
        <v>0</v>
      </c>
      <c r="AM2">
        <f>BDH("0862978D US Equity","CAPITAL_EXPEND","2011-11-01","2016-11-01","Per=Y","Days=T","Dir=V")</f>
        <v>0</v>
      </c>
      <c r="AO2">
        <f>BDH("0862978D US Equity","CF_FREE_CASH_FLOW","2011-11-01","2016-11-01","Per=Y","Days=T","Dir=V")</f>
        <v>0</v>
      </c>
      <c r="AQ2">
        <f>BDH("0862978D US Equity","PX_LAST","2011-11-01","2016-11-01","Per=M","Days=T","Dir=V")</f>
        <v>0</v>
      </c>
      <c r="AS2">
        <f>BDH("0862978D US Equity","CUR_MKT_CAP","2011-11-01","2016-11-01","Per=M","Days=T","Dir=V")</f>
        <v>0</v>
      </c>
      <c r="AU2">
        <f>BDH("0862978D US Equity","EQY_SH_OUT","2011-11-01","2016-11-01","Per=M","Days=T","Dir=V")</f>
        <v>0</v>
      </c>
      <c r="AW2">
        <f>BDH("0862978D US Equity","BETA_RAW_OVERRIABLE","2011-11-01","2016-11-01","Per=M","Days=T","Dir=V")</f>
        <v>0</v>
      </c>
      <c r="AY2">
        <f>BDH("0862978D US Equity","PX_VOLUME","2011-11-01","2016-11-01","Per=M","Days=T","Dir=V")</f>
        <v>0</v>
      </c>
      <c r="BA2">
        <f>BDH("0862978D US Equity","TURNOVER","2011-11-01","2016-11-01","Per=M","Days=T","Dir=V")</f>
        <v>0</v>
      </c>
      <c r="BC2">
        <f>BDH("0862978D US Equity","SPREAD_BA_CR","2011-11-01","2016-11-01","Per=M","Days=T","Dir=V")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BDH("NES US Equity","BS_TOT_ASSET","2012-01-31","2017-01-31","Per=Y","Days=T","Dir=V")</f>
        <v>0</v>
      </c>
      <c r="C2">
        <f>BDH("NES US Equity","BS_TOT_LIAB2","2012-01-31","2017-01-31","Per=Y","Days=T","Dir=V")</f>
        <v>0</v>
      </c>
      <c r="E2">
        <f>BDH("NES US Equity","SHORT_AND_LONG_TERM_DEBT","2012-01-31","2017-01-31","Per=Y","Days=T","Dir=V")</f>
        <v>0</v>
      </c>
      <c r="G2">
        <f>BDH("NES US Equity","BS_ST_BORROW","2012-01-31","2017-01-31","Per=Y","Days=T","Dir=V")</f>
        <v>0</v>
      </c>
      <c r="I2">
        <f>BDH("NES US Equity","BS_LT_BORROW","2012-01-31","2017-01-31","Per=Y","Days=T","Dir=V")</f>
        <v>0</v>
      </c>
      <c r="K2">
        <f>BDH("NES US Equity","BS_CASH_NEAR_CASH_ITEM","2012-01-31","2017-01-31","Per=Y","Days=T","Dir=V")</f>
        <v>0</v>
      </c>
      <c r="M2">
        <f>BDH("NES US Equity","BS_CUR_ASSET_REPORT","2012-01-31","2017-01-31","Per=Y","Days=T","Dir=V")</f>
        <v>0</v>
      </c>
      <c r="O2">
        <f>BDH("NES US Equity","BS_CUR_LIAB","2012-01-31","2017-01-31","Per=Y","Days=T","Dir=V")</f>
        <v>0</v>
      </c>
      <c r="Q2">
        <f>BDH("NES US Equity","BS_SHAREHOLDER_EQY_ENDING_PERIOD","2012-01-31","2017-01-31","Per=Y","Days=T","Dir=V")</f>
        <v>0</v>
      </c>
      <c r="S2">
        <f>BDH("NES US Equity","BS_ACCT_NOTE_RCV","2012-01-31","2017-01-31","Per=Y","Days=T","Dir=V")</f>
        <v>0</v>
      </c>
      <c r="U2">
        <f>BDH("NES US Equity","BS_INVENTORIES","2012-01-31","2017-01-31","Per=Y","Days=T","Dir=V")</f>
        <v>0</v>
      </c>
      <c r="W2">
        <f>BDH("NES US Equity","WORKING_CAPITAL","2012-01-31","2017-01-31","Per=Y","Days=T","Dir=V")</f>
        <v>0</v>
      </c>
      <c r="Y2">
        <f>BDH("NES US Equity","SALES_REV_TURN","2012-01-31","2017-01-31","Per=Y","Days=T","Dir=V")</f>
        <v>0</v>
      </c>
      <c r="AA2">
        <f>BDH("NES US Equity","EBIT","2012-01-31","2017-01-31","Per=Y","Days=T","Dir=V")</f>
        <v>0</v>
      </c>
      <c r="AC2">
        <f>BDH("NES US Equity","EBITDA","2012-01-31","2017-01-31","Per=Y","Days=T","Dir=V")</f>
        <v>0</v>
      </c>
      <c r="AE2">
        <f>BDH("NES US Equity","NET_INCOME","2012-01-31","2017-01-31","Per=Y","Days=T","Dir=V")</f>
        <v>0</v>
      </c>
      <c r="AG2">
        <f>BDH("NES US Equity","IS_INT_EXPENSE","2012-01-31","2017-01-31","Per=Y","Days=T","Dir=V")</f>
        <v>0</v>
      </c>
      <c r="AI2">
        <f>BDH("NES US Equity","IS_DEPR_EXP","2012-01-31","2017-01-31","Per=Y","Days=T","Dir=V")</f>
        <v>0</v>
      </c>
      <c r="AK2">
        <f>BDH("NES US Equity","CF_CASH_FROM_OPER","2012-01-31","2017-01-31","Per=Y","Days=T","Dir=V")</f>
        <v>0</v>
      </c>
      <c r="AM2">
        <f>BDH("NES US Equity","CAPITAL_EXPEND","2012-01-31","2017-01-31","Per=Y","Days=T","Dir=V")</f>
        <v>0</v>
      </c>
      <c r="AO2">
        <f>BDH("NES US Equity","CF_FREE_CASH_FLOW","2012-01-31","2017-01-31","Per=Y","Days=T","Dir=V")</f>
        <v>0</v>
      </c>
      <c r="AQ2">
        <f>BDH("NES US Equity","PX_LAST","2012-01-31","2017-01-31","Per=M","Days=T","Dir=V")</f>
        <v>0</v>
      </c>
      <c r="AS2">
        <f>BDH("NES US Equity","CUR_MKT_CAP","2012-01-31","2017-01-31","Per=M","Days=T","Dir=V")</f>
        <v>0</v>
      </c>
      <c r="AU2">
        <f>BDH("NES US Equity","EQY_SH_OUT","2012-01-31","2017-01-31","Per=M","Days=T","Dir=V")</f>
        <v>0</v>
      </c>
      <c r="AW2">
        <f>BDH("NES US Equity","BETA_RAW_OVERRIABLE","2012-01-31","2017-01-31","Per=M","Days=T","Dir=V")</f>
        <v>0</v>
      </c>
      <c r="AY2">
        <f>BDH("NES US Equity","PX_VOLUME","2012-01-31","2017-01-31","Per=M","Days=T","Dir=V")</f>
        <v>0</v>
      </c>
      <c r="BA2">
        <f>BDH("NES US Equity","TURNOVER","2012-01-31","2017-01-31","Per=M","Days=T","Dir=V")</f>
        <v>0</v>
      </c>
      <c r="BC2">
        <f>BDH("NES US Equity","SPREAD_BA_CR","2012-01-31","2017-01-31","Per=M","Days=T","Dir=V")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BDH("GLF US Equity","BS_TOT_ASSET","2012-02-16","2017-02-16","Per=Y","Days=T","Dir=V")</f>
        <v>0</v>
      </c>
      <c r="C2">
        <f>BDH("GLF US Equity","BS_TOT_LIAB2","2012-02-16","2017-02-16","Per=Y","Days=T","Dir=V")</f>
        <v>0</v>
      </c>
      <c r="E2">
        <f>BDH("GLF US Equity","SHORT_AND_LONG_TERM_DEBT","2012-02-16","2017-02-16","Per=Y","Days=T","Dir=V")</f>
        <v>0</v>
      </c>
      <c r="G2">
        <f>BDH("GLF US Equity","BS_ST_BORROW","2012-02-16","2017-02-16","Per=Y","Days=T","Dir=V")</f>
        <v>0</v>
      </c>
      <c r="I2">
        <f>BDH("GLF US Equity","BS_LT_BORROW","2012-02-16","2017-02-16","Per=Y","Days=T","Dir=V")</f>
        <v>0</v>
      </c>
      <c r="K2">
        <f>BDH("GLF US Equity","BS_CASH_NEAR_CASH_ITEM","2012-02-16","2017-02-16","Per=Y","Days=T","Dir=V")</f>
        <v>0</v>
      </c>
      <c r="M2">
        <f>BDH("GLF US Equity","BS_CUR_ASSET_REPORT","2012-02-16","2017-02-16","Per=Y","Days=T","Dir=V")</f>
        <v>0</v>
      </c>
      <c r="O2">
        <f>BDH("GLF US Equity","BS_CUR_LIAB","2012-02-16","2017-02-16","Per=Y","Days=T","Dir=V")</f>
        <v>0</v>
      </c>
      <c r="Q2">
        <f>BDH("GLF US Equity","BS_SHAREHOLDER_EQY_ENDING_PERIOD","2012-02-16","2017-02-16","Per=Y","Days=T","Dir=V")</f>
        <v>0</v>
      </c>
      <c r="S2">
        <f>BDH("GLF US Equity","BS_ACCT_NOTE_RCV","2012-02-16","2017-02-16","Per=Y","Days=T","Dir=V")</f>
        <v>0</v>
      </c>
      <c r="U2">
        <f>BDH("GLF US Equity","BS_INVENTORIES","2012-02-16","2017-02-16","Per=Y","Days=T","Dir=V")</f>
        <v>0</v>
      </c>
      <c r="W2">
        <f>BDH("GLF US Equity","WORKING_CAPITAL","2012-02-16","2017-02-16","Per=Y","Days=T","Dir=V")</f>
        <v>0</v>
      </c>
      <c r="Y2">
        <f>BDH("GLF US Equity","SALES_REV_TURN","2012-02-16","2017-02-16","Per=Y","Days=T","Dir=V")</f>
        <v>0</v>
      </c>
      <c r="AA2">
        <f>BDH("GLF US Equity","EBIT","2012-02-16","2017-02-16","Per=Y","Days=T","Dir=V")</f>
        <v>0</v>
      </c>
      <c r="AC2">
        <f>BDH("GLF US Equity","EBITDA","2012-02-16","2017-02-16","Per=Y","Days=T","Dir=V")</f>
        <v>0</v>
      </c>
      <c r="AE2">
        <f>BDH("GLF US Equity","NET_INCOME","2012-02-16","2017-02-16","Per=Y","Days=T","Dir=V")</f>
        <v>0</v>
      </c>
      <c r="AG2">
        <f>BDH("GLF US Equity","IS_INT_EXPENSE","2012-02-16","2017-02-16","Per=Y","Days=T","Dir=V")</f>
        <v>0</v>
      </c>
      <c r="AI2">
        <f>BDH("GLF US Equity","IS_DEPR_EXP","2012-02-16","2017-02-16","Per=Y","Days=T","Dir=V")</f>
        <v>0</v>
      </c>
      <c r="AK2">
        <f>BDH("GLF US Equity","CF_CASH_FROM_OPER","2012-02-16","2017-02-16","Per=Y","Days=T","Dir=V")</f>
        <v>0</v>
      </c>
      <c r="AM2">
        <f>BDH("GLF US Equity","CAPITAL_EXPEND","2012-02-16","2017-02-16","Per=Y","Days=T","Dir=V")</f>
        <v>0</v>
      </c>
      <c r="AO2">
        <f>BDH("GLF US Equity","CF_FREE_CASH_FLOW","2012-02-16","2017-02-16","Per=Y","Days=T","Dir=V")</f>
        <v>0</v>
      </c>
      <c r="AQ2">
        <f>BDH("GLF US Equity","PX_LAST","2012-02-16","2017-02-16","Per=M","Days=T","Dir=V")</f>
        <v>0</v>
      </c>
      <c r="AS2">
        <f>BDH("GLF US Equity","CUR_MKT_CAP","2012-02-16","2017-02-16","Per=M","Days=T","Dir=V")</f>
        <v>0</v>
      </c>
      <c r="AU2">
        <f>BDH("GLF US Equity","EQY_SH_OUT","2012-02-16","2017-02-16","Per=M","Days=T","Dir=V")</f>
        <v>0</v>
      </c>
      <c r="AW2">
        <f>BDH("GLF US Equity","BETA_RAW_OVERRIABLE","2012-02-16","2017-02-16","Per=M","Days=T","Dir=V")</f>
        <v>0</v>
      </c>
      <c r="AY2">
        <f>BDH("GLF US Equity","PX_VOLUME","2012-02-16","2017-02-16","Per=M","Days=T","Dir=V")</f>
        <v>0</v>
      </c>
      <c r="BA2">
        <f>BDH("GLF US Equity","TURNOVER","2012-02-16","2017-02-16","Per=M","Days=T","Dir=V")</f>
        <v>0</v>
      </c>
      <c r="BC2">
        <f>BDH("GLF US Equity","SPREAD_BA_CR","2012-02-16","2017-02-16","Per=M","Days=T","Dir=V")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BDH("PERFQ US Equity","BS_TOT_ASSET","2012-05-28","2017-05-28","Per=Y","Days=T","Dir=V")</f>
        <v>0</v>
      </c>
      <c r="C2">
        <f>BDH("PERFQ US Equity","BS_TOT_LIAB2","2012-05-28","2017-05-28","Per=Y","Days=T","Dir=V")</f>
        <v>0</v>
      </c>
      <c r="E2">
        <f>BDH("PERFQ US Equity","SHORT_AND_LONG_TERM_DEBT","2012-05-28","2017-05-28","Per=Y","Days=T","Dir=V")</f>
        <v>0</v>
      </c>
      <c r="G2">
        <f>BDH("PERFQ US Equity","BS_ST_BORROW","2012-05-28","2017-05-28","Per=Y","Days=T","Dir=V")</f>
        <v>0</v>
      </c>
      <c r="I2">
        <f>BDH("PERFQ US Equity","BS_LT_BORROW","2012-05-28","2017-05-28","Per=Y","Days=T","Dir=V")</f>
        <v>0</v>
      </c>
      <c r="K2">
        <f>BDH("PERFQ US Equity","BS_CASH_NEAR_CASH_ITEM","2012-05-28","2017-05-28","Per=Y","Days=T","Dir=V")</f>
        <v>0</v>
      </c>
      <c r="M2">
        <f>BDH("PERFQ US Equity","BS_CUR_ASSET_REPORT","2012-05-28","2017-05-28","Per=Y","Days=T","Dir=V")</f>
        <v>0</v>
      </c>
      <c r="O2">
        <f>BDH("PERFQ US Equity","BS_CUR_LIAB","2012-05-28","2017-05-28","Per=Y","Days=T","Dir=V")</f>
        <v>0</v>
      </c>
      <c r="Q2">
        <f>BDH("PERFQ US Equity","BS_SHAREHOLDER_EQY_ENDING_PERIOD","2012-05-28","2017-05-28","Per=Y","Days=T","Dir=V")</f>
        <v>0</v>
      </c>
      <c r="S2">
        <f>BDH("PERFQ US Equity","BS_ACCT_NOTE_RCV","2012-05-28","2017-05-28","Per=Y","Days=T","Dir=V")</f>
        <v>0</v>
      </c>
      <c r="U2">
        <f>BDH("PERFQ US Equity","BS_INVENTORIES","2012-05-28","2017-05-28","Per=Y","Days=T","Dir=V")</f>
        <v>0</v>
      </c>
      <c r="W2">
        <f>BDH("PERFQ US Equity","WORKING_CAPITAL","2012-05-28","2017-05-28","Per=Y","Days=T","Dir=V")</f>
        <v>0</v>
      </c>
      <c r="Y2">
        <f>BDH("PERFQ US Equity","SALES_REV_TURN","2012-05-28","2017-05-28","Per=Y","Days=T","Dir=V")</f>
        <v>0</v>
      </c>
      <c r="AA2">
        <f>BDH("PERFQ US Equity","EBIT","2012-05-28","2017-05-28","Per=Y","Days=T","Dir=V")</f>
        <v>0</v>
      </c>
      <c r="AC2">
        <f>BDH("PERFQ US Equity","EBITDA","2012-05-28","2017-05-28","Per=Y","Days=T","Dir=V")</f>
        <v>0</v>
      </c>
      <c r="AE2">
        <f>BDH("PERFQ US Equity","NET_INCOME","2012-05-28","2017-05-28","Per=Y","Days=T","Dir=V")</f>
        <v>0</v>
      </c>
      <c r="AG2">
        <f>BDH("PERFQ US Equity","IS_INT_EXPENSE","2012-05-28","2017-05-28","Per=Y","Days=T","Dir=V")</f>
        <v>0</v>
      </c>
      <c r="AI2">
        <f>BDH("PERFQ US Equity","IS_DEPR_EXP","2012-05-28","2017-05-28","Per=Y","Days=T","Dir=V")</f>
        <v>0</v>
      </c>
      <c r="AK2">
        <f>BDH("PERFQ US Equity","CF_CASH_FROM_OPER","2012-05-28","2017-05-28","Per=Y","Days=T","Dir=V")</f>
        <v>0</v>
      </c>
      <c r="AM2">
        <f>BDH("PERFQ US Equity","CAPITAL_EXPEND","2012-05-28","2017-05-28","Per=Y","Days=T","Dir=V")</f>
        <v>0</v>
      </c>
      <c r="AO2">
        <f>BDH("PERFQ US Equity","CF_FREE_CASH_FLOW","2012-05-28","2017-05-28","Per=Y","Days=T","Dir=V")</f>
        <v>0</v>
      </c>
      <c r="AQ2">
        <f>BDH("PERFQ US Equity","PX_LAST","2012-05-28","2017-05-28","Per=M","Days=T","Dir=V")</f>
        <v>0</v>
      </c>
      <c r="AS2">
        <f>BDH("PERFQ US Equity","CUR_MKT_CAP","2012-05-28","2017-05-28","Per=M","Days=T","Dir=V")</f>
        <v>0</v>
      </c>
      <c r="AU2">
        <f>BDH("PERFQ US Equity","EQY_SH_OUT","2012-05-28","2017-05-28","Per=M","Days=T","Dir=V")</f>
        <v>0</v>
      </c>
      <c r="AW2">
        <f>BDH("PERFQ US Equity","BETA_RAW_OVERRIABLE","2012-05-28","2017-05-28","Per=M","Days=T","Dir=V")</f>
        <v>0</v>
      </c>
      <c r="AY2">
        <f>BDH("PERFQ US Equity","PX_VOLUME","2012-05-28","2017-05-28","Per=M","Days=T","Dir=V")</f>
        <v>0</v>
      </c>
      <c r="BA2">
        <f>BDH("PERFQ US Equity","TURNOVER","2012-05-28","2017-05-28","Per=M","Days=T","Dir=V")</f>
        <v>0</v>
      </c>
      <c r="BC2">
        <f>BDH("PERFQ US Equity","SPREAD_BA_CR","2012-05-28","2017-05-28","Per=M","Days=T","Dir=V")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BDH("CMLSQ US Equity","BS_TOT_ASSET","2012-08-31","2017-08-31","Per=Y","Days=T","Dir=V")</f>
        <v>0</v>
      </c>
      <c r="C2">
        <f>BDH("CMLSQ US Equity","BS_TOT_LIAB2","2012-08-31","2017-08-31","Per=Y","Days=T","Dir=V")</f>
        <v>0</v>
      </c>
      <c r="E2">
        <f>BDH("CMLSQ US Equity","SHORT_AND_LONG_TERM_DEBT","2012-08-31","2017-08-31","Per=Y","Days=T","Dir=V")</f>
        <v>0</v>
      </c>
      <c r="G2">
        <f>BDH("CMLSQ US Equity","BS_ST_BORROW","2012-08-31","2017-08-31","Per=Y","Days=T","Dir=V")</f>
        <v>0</v>
      </c>
      <c r="I2">
        <f>BDH("CMLSQ US Equity","BS_LT_BORROW","2012-08-31","2017-08-31","Per=Y","Days=T","Dir=V")</f>
        <v>0</v>
      </c>
      <c r="K2">
        <f>BDH("CMLSQ US Equity","BS_CASH_NEAR_CASH_ITEM","2012-08-31","2017-08-31","Per=Y","Days=T","Dir=V")</f>
        <v>0</v>
      </c>
      <c r="M2">
        <f>BDH("CMLSQ US Equity","BS_CUR_ASSET_REPORT","2012-08-31","2017-08-31","Per=Y","Days=T","Dir=V")</f>
        <v>0</v>
      </c>
      <c r="O2">
        <f>BDH("CMLSQ US Equity","BS_CUR_LIAB","2012-08-31","2017-08-31","Per=Y","Days=T","Dir=V")</f>
        <v>0</v>
      </c>
      <c r="Q2">
        <f>BDH("CMLSQ US Equity","BS_SHAREHOLDER_EQY_ENDING_PERIOD","2012-08-31","2017-08-31","Per=Y","Days=T","Dir=V")</f>
        <v>0</v>
      </c>
      <c r="S2">
        <f>BDH("CMLSQ US Equity","BS_ACCT_NOTE_RCV","2012-08-31","2017-08-31","Per=Y","Days=T","Dir=V")</f>
        <v>0</v>
      </c>
      <c r="U2">
        <f>BDH("CMLSQ US Equity","BS_INVENTORIES","2012-08-31","2017-08-31","Per=Y","Days=T","Dir=V")</f>
        <v>0</v>
      </c>
      <c r="W2">
        <f>BDH("CMLSQ US Equity","WORKING_CAPITAL","2012-08-31","2017-08-31","Per=Y","Days=T","Dir=V")</f>
        <v>0</v>
      </c>
      <c r="Y2">
        <f>BDH("CMLSQ US Equity","SALES_REV_TURN","2012-08-31","2017-08-31","Per=Y","Days=T","Dir=V")</f>
        <v>0</v>
      </c>
      <c r="AA2">
        <f>BDH("CMLSQ US Equity","EBIT","2012-08-31","2017-08-31","Per=Y","Days=T","Dir=V")</f>
        <v>0</v>
      </c>
      <c r="AC2">
        <f>BDH("CMLSQ US Equity","EBITDA","2012-08-31","2017-08-31","Per=Y","Days=T","Dir=V")</f>
        <v>0</v>
      </c>
      <c r="AE2">
        <f>BDH("CMLSQ US Equity","NET_INCOME","2012-08-31","2017-08-31","Per=Y","Days=T","Dir=V")</f>
        <v>0</v>
      </c>
      <c r="AG2">
        <f>BDH("CMLSQ US Equity","IS_INT_EXPENSE","2012-08-31","2017-08-31","Per=Y","Days=T","Dir=V")</f>
        <v>0</v>
      </c>
      <c r="AI2">
        <f>BDH("CMLSQ US Equity","IS_DEPR_EXP","2012-08-31","2017-08-31","Per=Y","Days=T","Dir=V")</f>
        <v>0</v>
      </c>
      <c r="AK2">
        <f>BDH("CMLSQ US Equity","CF_CASH_FROM_OPER","2012-08-31","2017-08-31","Per=Y","Days=T","Dir=V")</f>
        <v>0</v>
      </c>
      <c r="AM2">
        <f>BDH("CMLSQ US Equity","CAPITAL_EXPEND","2012-08-31","2017-08-31","Per=Y","Days=T","Dir=V")</f>
        <v>0</v>
      </c>
      <c r="AO2">
        <f>BDH("CMLSQ US Equity","CF_FREE_CASH_FLOW","2012-08-31","2017-08-31","Per=Y","Days=T","Dir=V")</f>
        <v>0</v>
      </c>
      <c r="AQ2">
        <f>BDH("CMLSQ US Equity","PX_LAST","2012-08-31","2017-08-31","Per=M","Days=T","Dir=V")</f>
        <v>0</v>
      </c>
      <c r="AS2">
        <f>BDH("CMLSQ US Equity","CUR_MKT_CAP","2012-08-31","2017-08-31","Per=M","Days=T","Dir=V")</f>
        <v>0</v>
      </c>
      <c r="AU2">
        <f>BDH("CMLSQ US Equity","EQY_SH_OUT","2012-08-31","2017-08-31","Per=M","Days=T","Dir=V")</f>
        <v>0</v>
      </c>
      <c r="AW2">
        <f>BDH("CMLSQ US Equity","BETA_RAW_OVERRIABLE","2012-08-31","2017-08-31","Per=M","Days=T","Dir=V")</f>
        <v>0</v>
      </c>
      <c r="AY2">
        <f>BDH("CMLSQ US Equity","PX_VOLUME","2012-08-31","2017-08-31","Per=M","Days=T","Dir=V")</f>
        <v>0</v>
      </c>
      <c r="BA2">
        <f>BDH("CMLSQ US Equity","TURNOVER","2012-08-31","2017-08-31","Per=M","Days=T","Dir=V")</f>
        <v>0</v>
      </c>
      <c r="BC2">
        <f>BDH("CMLSQ US Equity","SPREAD_BA_CR","2012-08-31","2017-08-31","Per=M","Days=T","Dir=V")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BDH("CIEIQ US Equity","BS_TOT_ASSET","2012-09-15","2017-09-15","Per=Y","Days=T","Dir=V")</f>
        <v>0</v>
      </c>
      <c r="C2">
        <f>BDH("CIEIQ US Equity","BS_TOT_LIAB2","2012-09-15","2017-09-15","Per=Y","Days=T","Dir=V")</f>
        <v>0</v>
      </c>
      <c r="E2">
        <f>BDH("CIEIQ US Equity","SHORT_AND_LONG_TERM_DEBT","2012-09-15","2017-09-15","Per=Y","Days=T","Dir=V")</f>
        <v>0</v>
      </c>
      <c r="G2">
        <f>BDH("CIEIQ US Equity","BS_ST_BORROW","2012-09-15","2017-09-15","Per=Y","Days=T","Dir=V")</f>
        <v>0</v>
      </c>
      <c r="I2">
        <f>BDH("CIEIQ US Equity","BS_LT_BORROW","2012-09-15","2017-09-15","Per=Y","Days=T","Dir=V")</f>
        <v>0</v>
      </c>
      <c r="K2">
        <f>BDH("CIEIQ US Equity","BS_CASH_NEAR_CASH_ITEM","2012-09-15","2017-09-15","Per=Y","Days=T","Dir=V")</f>
        <v>0</v>
      </c>
      <c r="M2">
        <f>BDH("CIEIQ US Equity","BS_CUR_ASSET_REPORT","2012-09-15","2017-09-15","Per=Y","Days=T","Dir=V")</f>
        <v>0</v>
      </c>
      <c r="O2">
        <f>BDH("CIEIQ US Equity","BS_CUR_LIAB","2012-09-15","2017-09-15","Per=Y","Days=T","Dir=V")</f>
        <v>0</v>
      </c>
      <c r="Q2">
        <f>BDH("CIEIQ US Equity","BS_SHAREHOLDER_EQY_ENDING_PERIOD","2012-09-15","2017-09-15","Per=Y","Days=T","Dir=V")</f>
        <v>0</v>
      </c>
      <c r="S2">
        <f>BDH("CIEIQ US Equity","BS_ACCT_NOTE_RCV","2012-09-15","2017-09-15","Per=Y","Days=T","Dir=V")</f>
        <v>0</v>
      </c>
      <c r="U2">
        <f>BDH("CIEIQ US Equity","BS_INVENTORIES","2012-09-15","2017-09-15","Per=Y","Days=T","Dir=V")</f>
        <v>0</v>
      </c>
      <c r="W2">
        <f>BDH("CIEIQ US Equity","WORKING_CAPITAL","2012-09-15","2017-09-15","Per=Y","Days=T","Dir=V")</f>
        <v>0</v>
      </c>
      <c r="Y2">
        <f>BDH("CIEIQ US Equity","SALES_REV_TURN","2012-09-15","2017-09-15","Per=Y","Days=T","Dir=V")</f>
        <v>0</v>
      </c>
      <c r="AA2">
        <f>BDH("CIEIQ US Equity","EBIT","2012-09-15","2017-09-15","Per=Y","Days=T","Dir=V")</f>
        <v>0</v>
      </c>
      <c r="AC2">
        <f>BDH("CIEIQ US Equity","EBITDA","2012-09-15","2017-09-15","Per=Y","Days=T","Dir=V")</f>
        <v>0</v>
      </c>
      <c r="AE2">
        <f>BDH("CIEIQ US Equity","NET_INCOME","2012-09-15","2017-09-15","Per=Y","Days=T","Dir=V")</f>
        <v>0</v>
      </c>
      <c r="AG2">
        <f>BDH("CIEIQ US Equity","IS_INT_EXPENSE","2012-09-15","2017-09-15","Per=Y","Days=T","Dir=V")</f>
        <v>0</v>
      </c>
      <c r="AI2">
        <f>BDH("CIEIQ US Equity","IS_DEPR_EXP","2012-09-15","2017-09-15","Per=Y","Days=T","Dir=V")</f>
        <v>0</v>
      </c>
      <c r="AK2">
        <f>BDH("CIEIQ US Equity","CF_CASH_FROM_OPER","2012-09-15","2017-09-15","Per=Y","Days=T","Dir=V")</f>
        <v>0</v>
      </c>
      <c r="AM2">
        <f>BDH("CIEIQ US Equity","CAPITAL_EXPEND","2012-09-15","2017-09-15","Per=Y","Days=T","Dir=V")</f>
        <v>0</v>
      </c>
      <c r="AO2">
        <f>BDH("CIEIQ US Equity","CF_FREE_CASH_FLOW","2012-09-15","2017-09-15","Per=Y","Days=T","Dir=V")</f>
        <v>0</v>
      </c>
      <c r="AQ2">
        <f>BDH("CIEIQ US Equity","PX_LAST","2012-09-15","2017-09-15","Per=M","Days=T","Dir=V")</f>
        <v>0</v>
      </c>
      <c r="AS2">
        <f>BDH("CIEIQ US Equity","CUR_MKT_CAP","2012-09-15","2017-09-15","Per=M","Days=T","Dir=V")</f>
        <v>0</v>
      </c>
      <c r="AU2">
        <f>BDH("CIEIQ US Equity","EQY_SH_OUT","2012-09-15","2017-09-15","Per=M","Days=T","Dir=V")</f>
        <v>0</v>
      </c>
      <c r="AW2">
        <f>BDH("CIEIQ US Equity","BETA_RAW_OVERRIABLE","2012-09-15","2017-09-15","Per=M","Days=T","Dir=V")</f>
        <v>0</v>
      </c>
      <c r="AY2">
        <f>BDH("CIEIQ US Equity","PX_VOLUME","2012-09-15","2017-09-15","Per=M","Days=T","Dir=V")</f>
        <v>0</v>
      </c>
      <c r="BA2">
        <f>BDH("CIEIQ US Equity","TURNOVER","2012-09-15","2017-09-15","Per=M","Days=T","Dir=V")</f>
        <v>0</v>
      </c>
      <c r="BC2">
        <f>BDH("CIEIQ US Equity","SPREAD_BA_CR","2012-09-15","2017-09-15","Per=M","Days=T","Dir=V")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BDH("RTKHQ US Equity","BS_TOT_ASSET","2012-09-20","2017-09-20","Per=Y","Days=T","Dir=V")</f>
        <v>0</v>
      </c>
      <c r="C2">
        <f>BDH("RTKHQ US Equity","BS_TOT_LIAB2","2012-09-20","2017-09-20","Per=Y","Days=T","Dir=V")</f>
        <v>0</v>
      </c>
      <c r="E2">
        <f>BDH("RTKHQ US Equity","SHORT_AND_LONG_TERM_DEBT","2012-09-20","2017-09-20","Per=Y","Days=T","Dir=V")</f>
        <v>0</v>
      </c>
      <c r="G2">
        <f>BDH("RTKHQ US Equity","BS_ST_BORROW","2012-09-20","2017-09-20","Per=Y","Days=T","Dir=V")</f>
        <v>0</v>
      </c>
      <c r="I2">
        <f>BDH("RTKHQ US Equity","BS_LT_BORROW","2012-09-20","2017-09-20","Per=Y","Days=T","Dir=V")</f>
        <v>0</v>
      </c>
      <c r="K2">
        <f>BDH("RTKHQ US Equity","BS_CASH_NEAR_CASH_ITEM","2012-09-20","2017-09-20","Per=Y","Days=T","Dir=V")</f>
        <v>0</v>
      </c>
      <c r="M2">
        <f>BDH("RTKHQ US Equity","BS_CUR_ASSET_REPORT","2012-09-20","2017-09-20","Per=Y","Days=T","Dir=V")</f>
        <v>0</v>
      </c>
      <c r="O2">
        <f>BDH("RTKHQ US Equity","BS_CUR_LIAB","2012-09-20","2017-09-20","Per=Y","Days=T","Dir=V")</f>
        <v>0</v>
      </c>
      <c r="Q2">
        <f>BDH("RTKHQ US Equity","BS_SHAREHOLDER_EQY_ENDING_PERIOD","2012-09-20","2017-09-20","Per=Y","Days=T","Dir=V")</f>
        <v>0</v>
      </c>
      <c r="S2">
        <f>BDH("RTKHQ US Equity","BS_ACCT_NOTE_RCV","2012-09-20","2017-09-20","Per=Y","Days=T","Dir=V")</f>
        <v>0</v>
      </c>
      <c r="U2">
        <f>BDH("RTKHQ US Equity","BS_INVENTORIES","2012-09-20","2017-09-20","Per=Y","Days=T","Dir=V")</f>
        <v>0</v>
      </c>
      <c r="W2">
        <f>BDH("RTKHQ US Equity","WORKING_CAPITAL","2012-09-20","2017-09-20","Per=Y","Days=T","Dir=V")</f>
        <v>0</v>
      </c>
      <c r="Y2">
        <f>BDH("RTKHQ US Equity","SALES_REV_TURN","2012-09-20","2017-09-20","Per=Y","Days=T","Dir=V")</f>
        <v>0</v>
      </c>
      <c r="AA2">
        <f>BDH("RTKHQ US Equity","EBIT","2012-09-20","2017-09-20","Per=Y","Days=T","Dir=V")</f>
        <v>0</v>
      </c>
      <c r="AC2">
        <f>BDH("RTKHQ US Equity","EBITDA","2012-09-20","2017-09-20","Per=Y","Days=T","Dir=V")</f>
        <v>0</v>
      </c>
      <c r="AE2">
        <f>BDH("RTKHQ US Equity","NET_INCOME","2012-09-20","2017-09-20","Per=Y","Days=T","Dir=V")</f>
        <v>0</v>
      </c>
      <c r="AG2">
        <f>BDH("RTKHQ US Equity","IS_INT_EXPENSE","2012-09-20","2017-09-20","Per=Y","Days=T","Dir=V")</f>
        <v>0</v>
      </c>
      <c r="AI2">
        <f>BDH("RTKHQ US Equity","IS_DEPR_EXP","2012-09-20","2017-09-20","Per=Y","Days=T","Dir=V")</f>
        <v>0</v>
      </c>
      <c r="AK2">
        <f>BDH("RTKHQ US Equity","CF_CASH_FROM_OPER","2012-09-20","2017-09-20","Per=Y","Days=T","Dir=V")</f>
        <v>0</v>
      </c>
      <c r="AM2">
        <f>BDH("RTKHQ US Equity","CAPITAL_EXPEND","2012-09-20","2017-09-20","Per=Y","Days=T","Dir=V")</f>
        <v>0</v>
      </c>
      <c r="AO2">
        <f>BDH("RTKHQ US Equity","CF_FREE_CASH_FLOW","2012-09-20","2017-09-20","Per=Y","Days=T","Dir=V")</f>
        <v>0</v>
      </c>
      <c r="AQ2">
        <f>BDH("RTKHQ US Equity","PX_LAST","2012-09-20","2017-09-20","Per=M","Days=T","Dir=V")</f>
        <v>0</v>
      </c>
      <c r="AS2">
        <f>BDH("RTKHQ US Equity","CUR_MKT_CAP","2012-09-20","2017-09-20","Per=M","Days=T","Dir=V")</f>
        <v>0</v>
      </c>
      <c r="AU2">
        <f>BDH("RTKHQ US Equity","EQY_SH_OUT","2012-09-20","2017-09-20","Per=M","Days=T","Dir=V")</f>
        <v>0</v>
      </c>
      <c r="AW2">
        <f>BDH("RTKHQ US Equity","BETA_RAW_OVERRIABLE","2012-09-20","2017-09-20","Per=M","Days=T","Dir=V")</f>
        <v>0</v>
      </c>
      <c r="AY2">
        <f>BDH("RTKHQ US Equity","PX_VOLUME","2012-09-20","2017-09-20","Per=M","Days=T","Dir=V")</f>
        <v>0</v>
      </c>
      <c r="BA2">
        <f>BDH("RTKHQ US Equity","TURNOVER","2012-09-20","2017-09-20","Per=M","Days=T","Dir=V")</f>
        <v>0</v>
      </c>
      <c r="BC2">
        <f>BDH("RTKHQ US Equity","SPREAD_BA_CR","2012-09-20","2017-09-20","Per=M","Days=T","Dir=V")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BDH("XCOOQ US Equity","BS_TOT_ASSET","2012-10-17","2017-10-17","Per=Y","Days=T","Dir=V")</f>
        <v>0</v>
      </c>
      <c r="C2">
        <f>BDH("XCOOQ US Equity","BS_TOT_LIAB2","2012-10-17","2017-10-17","Per=Y","Days=T","Dir=V")</f>
        <v>0</v>
      </c>
      <c r="E2">
        <f>BDH("XCOOQ US Equity","SHORT_AND_LONG_TERM_DEBT","2012-10-17","2017-10-17","Per=Y","Days=T","Dir=V")</f>
        <v>0</v>
      </c>
      <c r="G2">
        <f>BDH("XCOOQ US Equity","BS_ST_BORROW","2012-10-17","2017-10-17","Per=Y","Days=T","Dir=V")</f>
        <v>0</v>
      </c>
      <c r="I2">
        <f>BDH("XCOOQ US Equity","BS_LT_BORROW","2012-10-17","2017-10-17","Per=Y","Days=T","Dir=V")</f>
        <v>0</v>
      </c>
      <c r="K2">
        <f>BDH("XCOOQ US Equity","BS_CASH_NEAR_CASH_ITEM","2012-10-17","2017-10-17","Per=Y","Days=T","Dir=V")</f>
        <v>0</v>
      </c>
      <c r="M2">
        <f>BDH("XCOOQ US Equity","BS_CUR_ASSET_REPORT","2012-10-17","2017-10-17","Per=Y","Days=T","Dir=V")</f>
        <v>0</v>
      </c>
      <c r="O2">
        <f>BDH("XCOOQ US Equity","BS_CUR_LIAB","2012-10-17","2017-10-17","Per=Y","Days=T","Dir=V")</f>
        <v>0</v>
      </c>
      <c r="Q2">
        <f>BDH("XCOOQ US Equity","BS_SHAREHOLDER_EQY_ENDING_PERIOD","2012-10-17","2017-10-17","Per=Y","Days=T","Dir=V")</f>
        <v>0</v>
      </c>
      <c r="S2">
        <f>BDH("XCOOQ US Equity","BS_ACCT_NOTE_RCV","2012-10-17","2017-10-17","Per=Y","Days=T","Dir=V")</f>
        <v>0</v>
      </c>
      <c r="U2">
        <f>BDH("XCOOQ US Equity","BS_INVENTORIES","2012-10-17","2017-10-17","Per=Y","Days=T","Dir=V")</f>
        <v>0</v>
      </c>
      <c r="W2">
        <f>BDH("XCOOQ US Equity","WORKING_CAPITAL","2012-10-17","2017-10-17","Per=Y","Days=T","Dir=V")</f>
        <v>0</v>
      </c>
      <c r="Y2">
        <f>BDH("XCOOQ US Equity","SALES_REV_TURN","2012-10-17","2017-10-17","Per=Y","Days=T","Dir=V")</f>
        <v>0</v>
      </c>
      <c r="AA2">
        <f>BDH("XCOOQ US Equity","EBIT","2012-10-17","2017-10-17","Per=Y","Days=T","Dir=V")</f>
        <v>0</v>
      </c>
      <c r="AC2">
        <f>BDH("XCOOQ US Equity","EBITDA","2012-10-17","2017-10-17","Per=Y","Days=T","Dir=V")</f>
        <v>0</v>
      </c>
      <c r="AE2">
        <f>BDH("XCOOQ US Equity","NET_INCOME","2012-10-17","2017-10-17","Per=Y","Days=T","Dir=V")</f>
        <v>0</v>
      </c>
      <c r="AG2">
        <f>BDH("XCOOQ US Equity","IS_INT_EXPENSE","2012-10-17","2017-10-17","Per=Y","Days=T","Dir=V")</f>
        <v>0</v>
      </c>
      <c r="AI2">
        <f>BDH("XCOOQ US Equity","IS_DEPR_EXP","2012-10-17","2017-10-17","Per=Y","Days=T","Dir=V")</f>
        <v>0</v>
      </c>
      <c r="AK2">
        <f>BDH("XCOOQ US Equity","CF_CASH_FROM_OPER","2012-10-17","2017-10-17","Per=Y","Days=T","Dir=V")</f>
        <v>0</v>
      </c>
      <c r="AM2">
        <f>BDH("XCOOQ US Equity","CAPITAL_EXPEND","2012-10-17","2017-10-17","Per=Y","Days=T","Dir=V")</f>
        <v>0</v>
      </c>
      <c r="AO2">
        <f>BDH("XCOOQ US Equity","CF_FREE_CASH_FLOW","2012-10-17","2017-10-17","Per=Y","Days=T","Dir=V")</f>
        <v>0</v>
      </c>
      <c r="AQ2">
        <f>BDH("XCOOQ US Equity","PX_LAST","2012-10-17","2017-10-17","Per=M","Days=T","Dir=V")</f>
        <v>0</v>
      </c>
      <c r="AS2">
        <f>BDH("XCOOQ US Equity","CUR_MKT_CAP","2012-10-17","2017-10-17","Per=M","Days=T","Dir=V")</f>
        <v>0</v>
      </c>
      <c r="AU2">
        <f>BDH("XCOOQ US Equity","EQY_SH_OUT","2012-10-17","2017-10-17","Per=M","Days=T","Dir=V")</f>
        <v>0</v>
      </c>
      <c r="AW2">
        <f>BDH("XCOOQ US Equity","BETA_RAW_OVERRIABLE","2012-10-17","2017-10-17","Per=M","Days=T","Dir=V")</f>
        <v>0</v>
      </c>
      <c r="AY2">
        <f>BDH("XCOOQ US Equity","PX_VOLUME","2012-10-17","2017-10-17","Per=M","Days=T","Dir=V")</f>
        <v>0</v>
      </c>
      <c r="BA2">
        <f>BDH("XCOOQ US Equity","TURNOVER","2012-10-17","2017-10-17","Per=M","Days=T","Dir=V")</f>
        <v>0</v>
      </c>
      <c r="BC2">
        <f>BDH("XCOOQ US Equity","SPREAD_BA_CR","2012-10-17","2017-10-17","Per=M","Days=T","Dir=V")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BDH("CVOVQ US Equity","BS_TOT_ASSET","2012-11-04","2017-11-04","Per=Y","Days=T","Dir=V")</f>
        <v>0</v>
      </c>
      <c r="C2">
        <f>BDH("CVOVQ US Equity","BS_TOT_LIAB2","2012-11-04","2017-11-04","Per=Y","Days=T","Dir=V")</f>
        <v>0</v>
      </c>
      <c r="E2">
        <f>BDH("CVOVQ US Equity","SHORT_AND_LONG_TERM_DEBT","2012-11-04","2017-11-04","Per=Y","Days=T","Dir=V")</f>
        <v>0</v>
      </c>
      <c r="G2">
        <f>BDH("CVOVQ US Equity","BS_ST_BORROW","2012-11-04","2017-11-04","Per=Y","Days=T","Dir=V")</f>
        <v>0</v>
      </c>
      <c r="I2">
        <f>BDH("CVOVQ US Equity","BS_LT_BORROW","2012-11-04","2017-11-04","Per=Y","Days=T","Dir=V")</f>
        <v>0</v>
      </c>
      <c r="K2">
        <f>BDH("CVOVQ US Equity","BS_CASH_NEAR_CASH_ITEM","2012-11-04","2017-11-04","Per=Y","Days=T","Dir=V")</f>
        <v>0</v>
      </c>
      <c r="M2">
        <f>BDH("CVOVQ US Equity","BS_CUR_ASSET_REPORT","2012-11-04","2017-11-04","Per=Y","Days=T","Dir=V")</f>
        <v>0</v>
      </c>
      <c r="O2">
        <f>BDH("CVOVQ US Equity","BS_CUR_LIAB","2012-11-04","2017-11-04","Per=Y","Days=T","Dir=V")</f>
        <v>0</v>
      </c>
      <c r="Q2">
        <f>BDH("CVOVQ US Equity","BS_SHAREHOLDER_EQY_ENDING_PERIOD","2012-11-04","2017-11-04","Per=Y","Days=T","Dir=V")</f>
        <v>0</v>
      </c>
      <c r="S2">
        <f>BDH("CVOVQ US Equity","BS_ACCT_NOTE_RCV","2012-11-04","2017-11-04","Per=Y","Days=T","Dir=V")</f>
        <v>0</v>
      </c>
      <c r="U2">
        <f>BDH("CVOVQ US Equity","BS_INVENTORIES","2012-11-04","2017-11-04","Per=Y","Days=T","Dir=V")</f>
        <v>0</v>
      </c>
      <c r="W2">
        <f>BDH("CVOVQ US Equity","WORKING_CAPITAL","2012-11-04","2017-11-04","Per=Y","Days=T","Dir=V")</f>
        <v>0</v>
      </c>
      <c r="Y2">
        <f>BDH("CVOVQ US Equity","SALES_REV_TURN","2012-11-04","2017-11-04","Per=Y","Days=T","Dir=V")</f>
        <v>0</v>
      </c>
      <c r="AA2">
        <f>BDH("CVOVQ US Equity","EBIT","2012-11-04","2017-11-04","Per=Y","Days=T","Dir=V")</f>
        <v>0</v>
      </c>
      <c r="AC2">
        <f>BDH("CVOVQ US Equity","EBITDA","2012-11-04","2017-11-04","Per=Y","Days=T","Dir=V")</f>
        <v>0</v>
      </c>
      <c r="AE2">
        <f>BDH("CVOVQ US Equity","NET_INCOME","2012-11-04","2017-11-04","Per=Y","Days=T","Dir=V")</f>
        <v>0</v>
      </c>
      <c r="AG2">
        <f>BDH("CVOVQ US Equity","IS_INT_EXPENSE","2012-11-04","2017-11-04","Per=Y","Days=T","Dir=V")</f>
        <v>0</v>
      </c>
      <c r="AI2">
        <f>BDH("CVOVQ US Equity","IS_DEPR_EXP","2012-11-04","2017-11-04","Per=Y","Days=T","Dir=V")</f>
        <v>0</v>
      </c>
      <c r="AK2">
        <f>BDH("CVOVQ US Equity","CF_CASH_FROM_OPER","2012-11-04","2017-11-04","Per=Y","Days=T","Dir=V")</f>
        <v>0</v>
      </c>
      <c r="AM2">
        <f>BDH("CVOVQ US Equity","CAPITAL_EXPEND","2012-11-04","2017-11-04","Per=Y","Days=T","Dir=V")</f>
        <v>0</v>
      </c>
      <c r="AO2">
        <f>BDH("CVOVQ US Equity","CF_FREE_CASH_FLOW","2012-11-04","2017-11-04","Per=Y","Days=T","Dir=V")</f>
        <v>0</v>
      </c>
      <c r="AQ2">
        <f>BDH("CVOVQ US Equity","PX_LAST","2012-11-04","2017-11-04","Per=M","Days=T","Dir=V")</f>
        <v>0</v>
      </c>
      <c r="AS2">
        <f>BDH("CVOVQ US Equity","CUR_MKT_CAP","2012-11-04","2017-11-04","Per=M","Days=T","Dir=V")</f>
        <v>0</v>
      </c>
      <c r="AU2">
        <f>BDH("CVOVQ US Equity","EQY_SH_OUT","2012-11-04","2017-11-04","Per=M","Days=T","Dir=V")</f>
        <v>0</v>
      </c>
      <c r="AW2">
        <f>BDH("CVOVQ US Equity","BETA_RAW_OVERRIABLE","2012-11-04","2017-11-04","Per=M","Days=T","Dir=V")</f>
        <v>0</v>
      </c>
      <c r="AY2">
        <f>BDH("CVOVQ US Equity","PX_VOLUME","2012-11-04","2017-11-04","Per=M","Days=T","Dir=V")</f>
        <v>0</v>
      </c>
      <c r="BA2">
        <f>BDH("CVOVQ US Equity","TURNOVER","2012-11-04","2017-11-04","Per=M","Days=T","Dir=V")</f>
        <v>0</v>
      </c>
      <c r="BC2">
        <f>BDH("CVOVQ US Equity","SPREAD_BA_CR","2012-11-04","2017-11-04","Per=M","Days=T","Dir=V")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BDH("OREXQ US Equity","BS_TOT_ASSET","2012-12-12","2017-12-12","Per=Y","Days=T","Dir=V")</f>
        <v>0</v>
      </c>
      <c r="C2">
        <f>BDH("OREXQ US Equity","BS_TOT_LIAB2","2012-12-12","2017-12-12","Per=Y","Days=T","Dir=V")</f>
        <v>0</v>
      </c>
      <c r="E2">
        <f>BDH("OREXQ US Equity","SHORT_AND_LONG_TERM_DEBT","2012-12-12","2017-12-12","Per=Y","Days=T","Dir=V")</f>
        <v>0</v>
      </c>
      <c r="G2">
        <f>BDH("OREXQ US Equity","BS_ST_BORROW","2012-12-12","2017-12-12","Per=Y","Days=T","Dir=V")</f>
        <v>0</v>
      </c>
      <c r="I2">
        <f>BDH("OREXQ US Equity","BS_LT_BORROW","2012-12-12","2017-12-12","Per=Y","Days=T","Dir=V")</f>
        <v>0</v>
      </c>
      <c r="K2">
        <f>BDH("OREXQ US Equity","BS_CASH_NEAR_CASH_ITEM","2012-12-12","2017-12-12","Per=Y","Days=T","Dir=V")</f>
        <v>0</v>
      </c>
      <c r="M2">
        <f>BDH("OREXQ US Equity","BS_CUR_ASSET_REPORT","2012-12-12","2017-12-12","Per=Y","Days=T","Dir=V")</f>
        <v>0</v>
      </c>
      <c r="O2">
        <f>BDH("OREXQ US Equity","BS_CUR_LIAB","2012-12-12","2017-12-12","Per=Y","Days=T","Dir=V")</f>
        <v>0</v>
      </c>
      <c r="Q2">
        <f>BDH("OREXQ US Equity","BS_SHAREHOLDER_EQY_ENDING_PERIOD","2012-12-12","2017-12-12","Per=Y","Days=T","Dir=V")</f>
        <v>0</v>
      </c>
      <c r="S2">
        <f>BDH("OREXQ US Equity","BS_ACCT_NOTE_RCV","2012-12-12","2017-12-12","Per=Y","Days=T","Dir=V")</f>
        <v>0</v>
      </c>
      <c r="U2">
        <f>BDH("OREXQ US Equity","BS_INVENTORIES","2012-12-12","2017-12-12","Per=Y","Days=T","Dir=V")</f>
        <v>0</v>
      </c>
      <c r="W2">
        <f>BDH("OREXQ US Equity","WORKING_CAPITAL","2012-12-12","2017-12-12","Per=Y","Days=T","Dir=V")</f>
        <v>0</v>
      </c>
      <c r="Y2">
        <f>BDH("OREXQ US Equity","SALES_REV_TURN","2012-12-12","2017-12-12","Per=Y","Days=T","Dir=V")</f>
        <v>0</v>
      </c>
      <c r="AA2">
        <f>BDH("OREXQ US Equity","EBIT","2012-12-12","2017-12-12","Per=Y","Days=T","Dir=V")</f>
        <v>0</v>
      </c>
      <c r="AC2">
        <f>BDH("OREXQ US Equity","EBITDA","2012-12-12","2017-12-12","Per=Y","Days=T","Dir=V")</f>
        <v>0</v>
      </c>
      <c r="AE2">
        <f>BDH("OREXQ US Equity","NET_INCOME","2012-12-12","2017-12-12","Per=Y","Days=T","Dir=V")</f>
        <v>0</v>
      </c>
      <c r="AG2">
        <f>BDH("OREXQ US Equity","IS_INT_EXPENSE","2012-12-12","2017-12-12","Per=Y","Days=T","Dir=V")</f>
        <v>0</v>
      </c>
      <c r="AI2">
        <f>BDH("OREXQ US Equity","IS_DEPR_EXP","2012-12-12","2017-12-12","Per=Y","Days=T","Dir=V")</f>
        <v>0</v>
      </c>
      <c r="AK2">
        <f>BDH("OREXQ US Equity","CF_CASH_FROM_OPER","2012-12-12","2017-12-12","Per=Y","Days=T","Dir=V")</f>
        <v>0</v>
      </c>
      <c r="AM2">
        <f>BDH("OREXQ US Equity","CAPITAL_EXPEND","2012-12-12","2017-12-12","Per=Y","Days=T","Dir=V")</f>
        <v>0</v>
      </c>
      <c r="AO2">
        <f>BDH("OREXQ US Equity","CF_FREE_CASH_FLOW","2012-12-12","2017-12-12","Per=Y","Days=T","Dir=V")</f>
        <v>0</v>
      </c>
      <c r="AQ2">
        <f>BDH("OREXQ US Equity","PX_LAST","2012-12-12","2017-12-12","Per=M","Days=T","Dir=V")</f>
        <v>0</v>
      </c>
      <c r="AS2">
        <f>BDH("OREXQ US Equity","CUR_MKT_CAP","2012-12-12","2017-12-12","Per=M","Days=T","Dir=V")</f>
        <v>0</v>
      </c>
      <c r="AU2">
        <f>BDH("OREXQ US Equity","EQY_SH_OUT","2012-12-12","2017-12-12","Per=M","Days=T","Dir=V")</f>
        <v>0</v>
      </c>
      <c r="AW2">
        <f>BDH("OREXQ US Equity","BETA_RAW_OVERRIABLE","2012-12-12","2017-12-12","Per=M","Days=T","Dir=V")</f>
        <v>0</v>
      </c>
      <c r="AY2">
        <f>BDH("OREXQ US Equity","PX_VOLUME","2012-12-12","2017-12-12","Per=M","Days=T","Dir=V")</f>
        <v>0</v>
      </c>
      <c r="BA2">
        <f>BDH("OREXQ US Equity","TURNOVER","2012-12-12","2017-12-12","Per=M","Days=T","Dir=V")</f>
        <v>0</v>
      </c>
      <c r="BC2">
        <f>BDH("OREXQ US Equity","SPREAD_BA_CR","2012-12-12","2017-12-12","Per=M","Days=T","Dir=V")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BDH("REXXQ US Equity","BS_TOT_ASSET","2013-02-17","2018-02-17","Per=Y","Days=T","Dir=V")</f>
        <v>0</v>
      </c>
      <c r="C2">
        <f>BDH("REXXQ US Equity","BS_TOT_LIAB2","2013-02-17","2018-02-17","Per=Y","Days=T","Dir=V")</f>
        <v>0</v>
      </c>
      <c r="E2">
        <f>BDH("REXXQ US Equity","SHORT_AND_LONG_TERM_DEBT","2013-02-17","2018-02-17","Per=Y","Days=T","Dir=V")</f>
        <v>0</v>
      </c>
      <c r="G2">
        <f>BDH("REXXQ US Equity","BS_ST_BORROW","2013-02-17","2018-02-17","Per=Y","Days=T","Dir=V")</f>
        <v>0</v>
      </c>
      <c r="I2">
        <f>BDH("REXXQ US Equity","BS_LT_BORROW","2013-02-17","2018-02-17","Per=Y","Days=T","Dir=V")</f>
        <v>0</v>
      </c>
      <c r="K2">
        <f>BDH("REXXQ US Equity","BS_CASH_NEAR_CASH_ITEM","2013-02-17","2018-02-17","Per=Y","Days=T","Dir=V")</f>
        <v>0</v>
      </c>
      <c r="M2">
        <f>BDH("REXXQ US Equity","BS_CUR_ASSET_REPORT","2013-02-17","2018-02-17","Per=Y","Days=T","Dir=V")</f>
        <v>0</v>
      </c>
      <c r="O2">
        <f>BDH("REXXQ US Equity","BS_CUR_LIAB","2013-02-17","2018-02-17","Per=Y","Days=T","Dir=V")</f>
        <v>0</v>
      </c>
      <c r="Q2">
        <f>BDH("REXXQ US Equity","BS_SHAREHOLDER_EQY_ENDING_PERIOD","2013-02-17","2018-02-17","Per=Y","Days=T","Dir=V")</f>
        <v>0</v>
      </c>
      <c r="S2">
        <f>BDH("REXXQ US Equity","BS_ACCT_NOTE_RCV","2013-02-17","2018-02-17","Per=Y","Days=T","Dir=V")</f>
        <v>0</v>
      </c>
      <c r="U2">
        <f>BDH("REXXQ US Equity","BS_INVENTORIES","2013-02-17","2018-02-17","Per=Y","Days=T","Dir=V")</f>
        <v>0</v>
      </c>
      <c r="W2">
        <f>BDH("REXXQ US Equity","WORKING_CAPITAL","2013-02-17","2018-02-17","Per=Y","Days=T","Dir=V")</f>
        <v>0</v>
      </c>
      <c r="Y2">
        <f>BDH("REXXQ US Equity","SALES_REV_TURN","2013-02-17","2018-02-17","Per=Y","Days=T","Dir=V")</f>
        <v>0</v>
      </c>
      <c r="AA2">
        <f>BDH("REXXQ US Equity","EBIT","2013-02-17","2018-02-17","Per=Y","Days=T","Dir=V")</f>
        <v>0</v>
      </c>
      <c r="AC2">
        <f>BDH("REXXQ US Equity","EBITDA","2013-02-17","2018-02-17","Per=Y","Days=T","Dir=V")</f>
        <v>0</v>
      </c>
      <c r="AE2">
        <f>BDH("REXXQ US Equity","NET_INCOME","2013-02-17","2018-02-17","Per=Y","Days=T","Dir=V")</f>
        <v>0</v>
      </c>
      <c r="AG2">
        <f>BDH("REXXQ US Equity","IS_INT_EXPENSE","2013-02-17","2018-02-17","Per=Y","Days=T","Dir=V")</f>
        <v>0</v>
      </c>
      <c r="AI2">
        <f>BDH("REXXQ US Equity","IS_DEPR_EXP","2013-02-17","2018-02-17","Per=Y","Days=T","Dir=V")</f>
        <v>0</v>
      </c>
      <c r="AK2">
        <f>BDH("REXXQ US Equity","CF_CASH_FROM_OPER","2013-02-17","2018-02-17","Per=Y","Days=T","Dir=V")</f>
        <v>0</v>
      </c>
      <c r="AM2">
        <f>BDH("REXXQ US Equity","CAPITAL_EXPEND","2013-02-17","2018-02-17","Per=Y","Days=T","Dir=V")</f>
        <v>0</v>
      </c>
      <c r="AO2">
        <f>BDH("REXXQ US Equity","CF_FREE_CASH_FLOW","2013-02-17","2018-02-17","Per=Y","Days=T","Dir=V")</f>
        <v>0</v>
      </c>
      <c r="AQ2">
        <f>BDH("REXXQ US Equity","PX_LAST","2013-02-17","2018-02-17","Per=M","Days=T","Dir=V")</f>
        <v>0</v>
      </c>
      <c r="AS2">
        <f>BDH("REXXQ US Equity","CUR_MKT_CAP","2013-02-17","2018-02-17","Per=M","Days=T","Dir=V")</f>
        <v>0</v>
      </c>
      <c r="AU2">
        <f>BDH("REXXQ US Equity","EQY_SH_OUT","2013-02-17","2018-02-17","Per=M","Days=T","Dir=V")</f>
        <v>0</v>
      </c>
      <c r="AW2">
        <f>BDH("REXXQ US Equity","BETA_RAW_OVERRIABLE","2013-02-17","2018-02-17","Per=M","Days=T","Dir=V")</f>
        <v>0</v>
      </c>
      <c r="AY2">
        <f>BDH("REXXQ US Equity","PX_VOLUME","2013-02-17","2018-02-17","Per=M","Days=T","Dir=V")</f>
        <v>0</v>
      </c>
      <c r="BA2">
        <f>BDH("REXXQ US Equity","TURNOVER","2013-02-17","2018-02-17","Per=M","Days=T","Dir=V")</f>
        <v>0</v>
      </c>
      <c r="BC2">
        <f>BDH("REXXQ US Equity","SPREAD_BA_CR","2013-02-17","2018-02-17","Per=M","Days=T","Dir=V")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BDH("SHLDQ US Equity","BS_TOT_ASSET","2013-07-17","2018-07-17","Per=Y","Days=T","Dir=V")</f>
        <v>0</v>
      </c>
      <c r="C2">
        <f>BDH("SHLDQ US Equity","BS_TOT_LIAB2","2013-07-17","2018-07-17","Per=Y","Days=T","Dir=V")</f>
        <v>0</v>
      </c>
      <c r="E2">
        <f>BDH("SHLDQ US Equity","SHORT_AND_LONG_TERM_DEBT","2013-07-17","2018-07-17","Per=Y","Days=T","Dir=V")</f>
        <v>0</v>
      </c>
      <c r="G2">
        <f>BDH("SHLDQ US Equity","BS_ST_BORROW","2013-07-17","2018-07-17","Per=Y","Days=T","Dir=V")</f>
        <v>0</v>
      </c>
      <c r="I2">
        <f>BDH("SHLDQ US Equity","BS_LT_BORROW","2013-07-17","2018-07-17","Per=Y","Days=T","Dir=V")</f>
        <v>0</v>
      </c>
      <c r="K2">
        <f>BDH("SHLDQ US Equity","BS_CASH_NEAR_CASH_ITEM","2013-07-17","2018-07-17","Per=Y","Days=T","Dir=V")</f>
        <v>0</v>
      </c>
      <c r="M2">
        <f>BDH("SHLDQ US Equity","BS_CUR_ASSET_REPORT","2013-07-17","2018-07-17","Per=Y","Days=T","Dir=V")</f>
        <v>0</v>
      </c>
      <c r="O2">
        <f>BDH("SHLDQ US Equity","BS_CUR_LIAB","2013-07-17","2018-07-17","Per=Y","Days=T","Dir=V")</f>
        <v>0</v>
      </c>
      <c r="Q2">
        <f>BDH("SHLDQ US Equity","BS_SHAREHOLDER_EQY_ENDING_PERIOD","2013-07-17","2018-07-17","Per=Y","Days=T","Dir=V")</f>
        <v>0</v>
      </c>
      <c r="S2">
        <f>BDH("SHLDQ US Equity","BS_ACCT_NOTE_RCV","2013-07-17","2018-07-17","Per=Y","Days=T","Dir=V")</f>
        <v>0</v>
      </c>
      <c r="U2">
        <f>BDH("SHLDQ US Equity","BS_INVENTORIES","2013-07-17","2018-07-17","Per=Y","Days=T","Dir=V")</f>
        <v>0</v>
      </c>
      <c r="W2">
        <f>BDH("SHLDQ US Equity","WORKING_CAPITAL","2013-07-17","2018-07-17","Per=Y","Days=T","Dir=V")</f>
        <v>0</v>
      </c>
      <c r="Y2">
        <f>BDH("SHLDQ US Equity","SALES_REV_TURN","2013-07-17","2018-07-17","Per=Y","Days=T","Dir=V")</f>
        <v>0</v>
      </c>
      <c r="AA2">
        <f>BDH("SHLDQ US Equity","EBIT","2013-07-17","2018-07-17","Per=Y","Days=T","Dir=V")</f>
        <v>0</v>
      </c>
      <c r="AC2">
        <f>BDH("SHLDQ US Equity","EBITDA","2013-07-17","2018-07-17","Per=Y","Days=T","Dir=V")</f>
        <v>0</v>
      </c>
      <c r="AE2">
        <f>BDH("SHLDQ US Equity","NET_INCOME","2013-07-17","2018-07-17","Per=Y","Days=T","Dir=V")</f>
        <v>0</v>
      </c>
      <c r="AG2">
        <f>BDH("SHLDQ US Equity","IS_INT_EXPENSE","2013-07-17","2018-07-17","Per=Y","Days=T","Dir=V")</f>
        <v>0</v>
      </c>
      <c r="AI2">
        <f>BDH("SHLDQ US Equity","IS_DEPR_EXP","2013-07-17","2018-07-17","Per=Y","Days=T","Dir=V")</f>
        <v>0</v>
      </c>
      <c r="AK2">
        <f>BDH("SHLDQ US Equity","CF_CASH_FROM_OPER","2013-07-17","2018-07-17","Per=Y","Days=T","Dir=V")</f>
        <v>0</v>
      </c>
      <c r="AM2">
        <f>BDH("SHLDQ US Equity","CAPITAL_EXPEND","2013-07-17","2018-07-17","Per=Y","Days=T","Dir=V")</f>
        <v>0</v>
      </c>
      <c r="AO2">
        <f>BDH("SHLDQ US Equity","CF_FREE_CASH_FLOW","2013-07-17","2018-07-17","Per=Y","Days=T","Dir=V")</f>
        <v>0</v>
      </c>
      <c r="AQ2">
        <f>BDH("SHLDQ US Equity","PX_LAST","2013-07-17","2018-07-17","Per=M","Days=T","Dir=V")</f>
        <v>0</v>
      </c>
      <c r="AS2">
        <f>BDH("SHLDQ US Equity","CUR_MKT_CAP","2013-07-17","2018-07-17","Per=M","Days=T","Dir=V")</f>
        <v>0</v>
      </c>
      <c r="AU2">
        <f>BDH("SHLDQ US Equity","EQY_SH_OUT","2013-07-17","2018-07-17","Per=M","Days=T","Dir=V")</f>
        <v>0</v>
      </c>
      <c r="AW2">
        <f>BDH("SHLDQ US Equity","BETA_RAW_OVERRIABLE","2013-07-17","2018-07-17","Per=M","Days=T","Dir=V")</f>
        <v>0</v>
      </c>
      <c r="AY2">
        <f>BDH("SHLDQ US Equity","PX_VOLUME","2013-07-17","2018-07-17","Per=M","Days=T","Dir=V")</f>
        <v>0</v>
      </c>
      <c r="BA2">
        <f>BDH("SHLDQ US Equity","TURNOVER","2013-07-17","2018-07-17","Per=M","Days=T","Dir=V")</f>
        <v>0</v>
      </c>
      <c r="BC2">
        <f>BDH("SHLDQ US Equity","SPREAD_BA_CR","2013-07-17","2018-07-17","Per=M","Days=T","Dir=V")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Security_List</vt:lpstr>
      <vt:lpstr>SA_64_Energy Conversion Devices</vt:lpstr>
      <vt:lpstr>SA_113_Reddy Ice Holdings, Inc.</vt:lpstr>
      <vt:lpstr>SA_34_FiberTower Corporation</vt:lpstr>
      <vt:lpstr>SA_29_ATP Oil &amp; Gas Corporation</vt:lpstr>
      <vt:lpstr>SA_65_Overseas Shipholding Grou</vt:lpstr>
      <vt:lpstr>SA_72_School Specialty, Inc.</vt:lpstr>
      <vt:lpstr>SA_74_Powerwave Technologies, I</vt:lpstr>
      <vt:lpstr>SA_18_Rotech Healthcare Inc.</vt:lpstr>
      <vt:lpstr>SA_265_Hoku Corporation</vt:lpstr>
      <vt:lpstr>SA_205_FriendFinder Networks In</vt:lpstr>
      <vt:lpstr>SA_161_GateHouse Media, Inc.</vt:lpstr>
      <vt:lpstr>SA_41_Dolan Company</vt:lpstr>
      <vt:lpstr>SA_137_Coldwater Creek Inc.</vt:lpstr>
      <vt:lpstr>SA_76_RadioShack Corporation</vt:lpstr>
      <vt:lpstr>SA_191_Cal Dive International, </vt:lpstr>
      <vt:lpstr>SA_149_Standard Register Compan</vt:lpstr>
      <vt:lpstr>SA_6_Quicksilver Resources Inc.</vt:lpstr>
      <vt:lpstr>SA_189_Corinthian Colleges, Inc</vt:lpstr>
      <vt:lpstr>SA_272_Molycorp, Inc.</vt:lpstr>
      <vt:lpstr>SA_44_Walter Energy, Inc.</vt:lpstr>
      <vt:lpstr>SA_82_Sabine Oil &amp; Gas Corporat</vt:lpstr>
      <vt:lpstr>SA_221_Alpha Natural Resources,</vt:lpstr>
      <vt:lpstr>SA_154_Hercules Offshore, Inc.</vt:lpstr>
      <vt:lpstr>SA_33_Arch Coal, Inc.</vt:lpstr>
      <vt:lpstr>SA_276_Noranda Aluminum Holding</vt:lpstr>
      <vt:lpstr>SA_174_Republic Airways Holding</vt:lpstr>
      <vt:lpstr>SA_55_SunEdison, Inc.</vt:lpstr>
      <vt:lpstr>SA_116_Ultra Petroleum Corp. (2</vt:lpstr>
      <vt:lpstr>SA_180_Fairway Group Holdings C</vt:lpstr>
      <vt:lpstr>SA_224_Aeropostale, Inc.</vt:lpstr>
      <vt:lpstr>SA_256_Breitburn Energy Partner</vt:lpstr>
      <vt:lpstr>SA_282_SandRidge Energy, Inc.</vt:lpstr>
      <vt:lpstr>SA_109_Seventy Seven Energy Inc</vt:lpstr>
      <vt:lpstr>SA_192_Halcon Resources Corpora</vt:lpstr>
      <vt:lpstr>SA_304_International Shipholdin</vt:lpstr>
      <vt:lpstr>SA_81_ITT Educational Services,</vt:lpstr>
      <vt:lpstr>SA_14_Basic Energy Services, In</vt:lpstr>
      <vt:lpstr>SA_257_Memorial Production Part</vt:lpstr>
      <vt:lpstr>SA_83_Azure Midstream Partners,</vt:lpstr>
      <vt:lpstr>SA_15_Nuverra Environmental Sol</vt:lpstr>
      <vt:lpstr>SA_159_GulfMark Offshore, Inc.</vt:lpstr>
      <vt:lpstr>SA_236_Perfumania Holdings, Inc</vt:lpstr>
      <vt:lpstr>SA_35_Cumulus Media Inc.</vt:lpstr>
      <vt:lpstr>SA_292_Cobalt International Ene</vt:lpstr>
      <vt:lpstr>SA_62_Rentech, Inc.</vt:lpstr>
      <vt:lpstr>SA_232_EXCO Resources, Inc.</vt:lpstr>
      <vt:lpstr>SA_151_Cenveo, Inc.</vt:lpstr>
      <vt:lpstr>SA_250_Orexigen Therapeutics, I</vt:lpstr>
      <vt:lpstr>SA_46_Rex Energy Corporation</vt:lpstr>
      <vt:lpstr>SA_288_Sears Holdings Corporati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2026-09-30T16:51:34Z</dcterms:created>
  <dcterms:modified xsi:type="dcterms:W3CDTF">2026-09-30T16:51:34Z</dcterms:modified>
</cp:coreProperties>
</file>