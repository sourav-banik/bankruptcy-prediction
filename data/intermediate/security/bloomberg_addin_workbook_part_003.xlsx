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231_Arvinas Inc. Common Stoc" sheetId="2" r:id="rId2"/>
    <sheet name="NB_232_Arrow Electronics Inc. C" sheetId="3" r:id="rId3"/>
    <sheet name="NB_233_Arrowhead Pharmaceutical" sheetId="4" r:id="rId4"/>
    <sheet name="NB_234_Arxis Inc. Class A Commo" sheetId="5" r:id="rId5"/>
    <sheet name="NB_235_ASA  Gold and Precious M" sheetId="6" r:id="rId6"/>
    <sheet name="NB_236_Asana Inc. Class A Commo" sheetId="7" r:id="rId7"/>
    <sheet name="NB_237_Aspire-Lakewood Holdings" sheetId="8" r:id="rId8"/>
    <sheet name="NB_238_Aspire-Lakewood Holdings" sheetId="9" r:id="rId9"/>
    <sheet name="NB_239_Ashland Inc. Common Stoc" sheetId="10" r:id="rId10"/>
    <sheet name="NB_240_AdvanSix Inc. Common Sto" sheetId="11" r:id="rId11"/>
    <sheet name="NB_241_AerSale Corporation Comm" sheetId="12" r:id="rId12"/>
    <sheet name="NB_242_Assembly Biosciences Inc" sheetId="13" r:id="rId13"/>
    <sheet name="NB_243_Academy Sports and Outdo" sheetId="14" r:id="rId14"/>
    <sheet name="NB_244_ASP Isotopes Inc. Common" sheetId="15" r:id="rId15"/>
    <sheet name="NB_245_Aspen Aerogels Inc. Comm" sheetId="16" r:id="rId16"/>
    <sheet name="NB_246_Astrotech Corporation (D" sheetId="17" r:id="rId17"/>
    <sheet name="NB_247_Astec Industries Inc. Co" sheetId="18" r:id="rId18"/>
    <sheet name="NB_248_Astrana Health Inc. Comm" sheetId="19" r:id="rId19"/>
    <sheet name="NB_249_Ascent Solar Technologie" sheetId="20" r:id="rId20"/>
    <sheet name="NB_250_AST SpaceMobile Inc. Cla" sheetId="21" r:id="rId21"/>
    <sheet name="NB_251_Asure Software Inc Commo" sheetId="22" r:id="rId22"/>
    <sheet name="NB_252_Amtech Systems Inc. Comm" sheetId="23" r:id="rId23"/>
    <sheet name="NB_253_Alphatec Holdings Inc. C" sheetId="24" r:id="rId24"/>
    <sheet name="NB_254_A10 Networks Inc. Common" sheetId="25" r:id="rId25"/>
    <sheet name="NB_255_Aterian Inc. Common Stoc" sheetId="26" r:id="rId26"/>
    <sheet name="NB_256_Anterix Inc. Common Stoc" sheetId="27" r:id="rId27"/>
    <sheet name="NB_257_Aether Holdings Inc. Com" sheetId="28" r:id="rId28"/>
    <sheet name="NB_258_ATI Inc. Common Stock" sheetId="29" r:id="rId29"/>
    <sheet name="NB_259_Atlas Lithium Corporatio" sheetId="30" r:id="rId30"/>
    <sheet name="NB_260_Atmus Filtration Technol" sheetId="31" r:id="rId31"/>
    <sheet name="NB_261_ATN International Inc. C" sheetId="32" r:id="rId32"/>
    <sheet name="NB_262_Actinium Pharmaceuticals" sheetId="33" r:id="rId33"/>
    <sheet name="NB_263_Atmos Energy Corporation" sheetId="34" r:id="rId34"/>
    <sheet name="NB_264_Atomera Incorporated Com" sheetId="35" r:id="rId35"/>
    <sheet name="NB_265_Atossa Therapeutics Inc." sheetId="36" r:id="rId36"/>
    <sheet name="NB_266_AptarGroup Inc. Common S" sheetId="37" r:id="rId37"/>
    <sheet name="NB_267_Atara Biotherapeutics In" sheetId="38" r:id="rId38"/>
    <sheet name="NB_268_AtriCure Inc. Common Sto" sheetId="39" r:id="rId39"/>
    <sheet name="NB_269_Astronics Corporation Co" sheetId="40" r:id="rId40"/>
    <sheet name="NB_270_Attovia Therapeutics Inc" sheetId="41" r:id="rId41"/>
    <sheet name="NB_271_aTyr Pharma Inc. Common " sheetId="42" r:id="rId42"/>
    <sheet name="NB_272_ATIF Holdings Limited Or" sheetId="43" r:id="rId43"/>
    <sheet name="NB_273_Aura Minerals Inc. Commo" sheetId="44" r:id="rId44"/>
    <sheet name="NB_274_authID Inc. Common Stock" sheetId="45" r:id="rId45"/>
    <sheet name="NB_275_Aurora Innovation Inc. C" sheetId="46" r:id="rId46"/>
    <sheet name="NB_276_Aura Biosciences Inc. Co" sheetId="47" r:id="rId47"/>
    <sheet name="NB_277_Aurora Innovation Inc. W" sheetId="48" r:id="rId48"/>
    <sheet name="NB_278_Auddia Inc. Common Stock" sheetId="49" r:id="rId49"/>
    <sheet name="NB_279_Avista Corporation Commo" sheetId="50" r:id="rId50"/>
    <sheet name="NB_280_Aveanna Healthcare Holdi" sheetId="51" r:id="rId51"/>
    <sheet name="NB_281_AeroVironment Inc. Commo" sheetId="52" r:id="rId52"/>
    <sheet name="NB_282_ArriVent BioPharma Inc. " sheetId="53" r:id="rId53"/>
    <sheet name="NB_283_American Vanguard Corpor" sheetId="54" r:id="rId54"/>
    <sheet name="NB_284_Broadcom Inc. Common Sto" sheetId="55" r:id="rId55"/>
    <sheet name="NB_285_Atea Pharmaceuticals Inc" sheetId="56" r:id="rId56"/>
    <sheet name="NB_286_Avalyn Pharma Inc. Commo" sheetId="57" r:id="rId57"/>
    <sheet name="NB_287_Avient Corporation Commo" sheetId="58" r:id="rId58"/>
    <sheet name="NB_288_Aviat Networks Inc. Comm" sheetId="59" r:id="rId59"/>
    <sheet name="NB_289_Mission Produce Inc. Com" sheetId="60" r:id="rId60"/>
    <sheet name="NB_290_AvePoint Inc. Class A Co" sheetId="61" r:id="rId61"/>
    <sheet name="NB_291_Anteris Technologies Glo" sheetId="62" r:id="rId62"/>
    <sheet name="NB_292_Avnet Inc. Common Stock" sheetId="63" r:id="rId63"/>
    <sheet name="NB_293_Avantor Inc. Common Stoc" sheetId="64" r:id="rId64"/>
    <sheet name="NB_294_Avalo Therapeutics Inc. " sheetId="65" r:id="rId65"/>
    <sheet name="NB_295_Anavex Life Sciences Cor" sheetId="66" r:id="rId66"/>
    <sheet name="NB_296_Avery Dennison Corporati" sheetId="67" r:id="rId67"/>
    <sheet name="NB_297_Armstrong World Industri" sheetId="68" r:id="rId68"/>
    <sheet name="NB_298_American Water Works Com" sheetId="69" r:id="rId69"/>
    <sheet name="NB_299_American States Water Co" sheetId="70" r:id="rId70"/>
    <sheet name="NB_300_Aware Inc. Common Stock" sheetId="71" r:id="rId71"/>
    <sheet name="NB_301_Avalon Holdings Corporat" sheetId="72" r:id="rId72"/>
    <sheet name="NB_302_Axogen Inc. Common Stock" sheetId="73" r:id="rId73"/>
    <sheet name="NB_303_Axon Enterprise Inc. Com" sheetId="74" r:id="rId74"/>
    <sheet name="NB_304_Axsome Therapeutics Inc." sheetId="75" r:id="rId75"/>
    <sheet name="NB_305_Axalta Coating Systems L" sheetId="76" r:id="rId76"/>
    <sheet name="NB_306_AXT Inc Common Stock" sheetId="77" r:id="rId77"/>
    <sheet name="NB_307_Acuity Inc. Common Stock" sheetId="78" r:id="rId78"/>
    <sheet name="NB_308_Aytu BioPharma Inc.  Com" sheetId="79" r:id="rId79"/>
    <sheet name="NB_309_Azio AI Holdings Inc. Co" sheetId="80" r:id="rId80"/>
    <sheet name="NB_310_AutoZone Inc. Common Sto" sheetId="81" r:id="rId81"/>
    <sheet name="NB_311_Azenta Inc." sheetId="82" r:id="rId82"/>
    <sheet name="NB_312_AZZ Inc." sheetId="83" r:id="rId83"/>
    <sheet name="NB_313_Boeing Company (The) Com" sheetId="84" r:id="rId84"/>
    <sheet name="NB_314_Bridger Aerospace Group " sheetId="85" r:id="rId85"/>
    <sheet name="NB_315_Bridger Aerospace Group " sheetId="86" r:id="rId86"/>
    <sheet name="NB_316_Booz Allen Hamilton Hold" sheetId="87" r:id="rId87"/>
    <sheet name="NB_317_Ball Corporation Common " sheetId="88" r:id="rId88"/>
    <sheet name="NB_318_Bally's Corporation Comm" sheetId="89" r:id="rId89"/>
    <sheet name="NB_319_Bandwidth Inc. Class A C" sheetId="90" r:id="rId90"/>
    <sheet name="NB_320_BARK Inc. Class A Common" sheetId="91" r:id="rId91"/>
    <sheet name="NB_321_Battalion Oil Corporatio" sheetId="92" r:id="rId92"/>
    <sheet name="NB_322_Atlanta Braves Holdings " sheetId="93" r:id="rId93"/>
    <sheet name="NB_323_Atlanta Braves Holdings " sheetId="94" r:id="rId94"/>
    <sheet name="NB_324_Baxter International Inc" sheetId="95" r:id="rId95"/>
    <sheet name="NB_325_BigBear.ai Inc. Common S" sheetId="96" r:id="rId96"/>
    <sheet name="NB_326_Neighborhood Intelligenc" sheetId="97" r:id="rId97"/>
    <sheet name="NB_327_Concrete Pumping Holding" sheetId="98" r:id="rId98"/>
    <sheet name="NB_328_Beasley Broadcast Group " sheetId="99" r:id="rId99"/>
    <sheet name="NB_329_BridgeBio Pharma Inc. Co" sheetId="100" r:id="rId100"/>
    <sheet name="NB_330_Bone Biologics Corp Comm" sheetId="101" r:id="rId101"/>
    <sheet name="NB_331_Bone Biologics Corp Warr" sheetId="102" r:id="rId102"/>
    <sheet name="NB_332_Beta Bionics Inc. Common" sheetId="103" r:id="rId103"/>
    <sheet name="NB_333_BridgeBio Oncology Thera" sheetId="104" r:id="rId104"/>
    <sheet name="NB_334_Barrett Business Service" sheetId="105" r:id="rId105"/>
    <sheet name="NB_335_Build-A-Bear Workshop In" sheetId="106" r:id="rId106"/>
    <sheet name="NB_336_Bath &amp; Body Works Inc." sheetId="107" r:id="rId107"/>
    <sheet name="NB_337_Best Buy Co. Inc. Common" sheetId="108" r:id="rId108"/>
    <sheet name="NB_338_Brunswick Corporation Co" sheetId="109" r:id="rId109"/>
    <sheet name="NB_339_Bicara Therapeutics Inc." sheetId="110" r:id="rId110"/>
    <sheet name="NB_340_Boise Cascade L.L.C. Com" sheetId="111" r:id="rId111"/>
    <sheet name="NB_341_BioCardia Inc. Common St" sheetId="112" r:id="rId112"/>
    <sheet name="NB_342_Brinks Company (The) Com" sheetId="113" r:id="rId113"/>
    <sheet name="NB_343_Balchem Corporation Comm" sheetId="114" r:id="rId114"/>
    <sheet name="NB_344_BioCryst Pharmaceuticals" sheetId="115" r:id="rId115"/>
    <sheet name="NB_345_Belden Inc Common Stock" sheetId="116" r:id="rId116"/>
    <sheet name="NB_346_Flanigan's Enterprises I" sheetId="117" r:id="rId117"/>
    <sheet name="NB_347_Biodesix Inc. Common Sto" sheetId="118" r:id="rId118"/>
    <sheet name="NB_348_Black Diamond Therapeuti" sheetId="119" r:id="rId119"/>
    <sheet name="NB_349_Becton Dickinson and Com" sheetId="120" r:id="rId120"/>
    <sheet name="NB_350_Bloom Energy Corporation" sheetId="121" r:id="rId121"/>
    <sheet name="NB_351_Beam Therapeutics Inc. C" sheetId="122" r:id="rId122"/>
    <sheet name="NB_352_Heartbeam Inc. Common St" sheetId="123" r:id="rId123"/>
    <sheet name="NB_353_Heartbeam Inc. Warrant" sheetId="124" r:id="rId124"/>
    <sheet name="NB_354_Brookfield Renewable Cor" sheetId="125" r:id="rId125"/>
    <sheet name="NB_355_Beta Technologies Inc. C" sheetId="126" r:id="rId126"/>
    <sheet name="NB_356_Bright Horizons Family S" sheetId="127" r:id="rId127"/>
    <sheet name="NB_357_Bread Financial Holdings" sheetId="128" r:id="rId128"/>
    <sheet name="NB_358_Butterfly Network Inc. C" sheetId="129" r:id="rId129"/>
    <sheet name="NB_359_Bullfrog AI Holdings Inc" sheetId="130" r:id="rId130"/>
    <sheet name="NB_360_Bullfrog AI Holdings Inc" sheetId="131" r:id="rId131"/>
    <sheet name="NB_361_Biofrontera Inc. Common " sheetId="132" r:id="rId132"/>
    <sheet name="NB_362_Biofrontera Inc. Warrant" sheetId="133" r:id="rId133"/>
    <sheet name="NB_363_Bunge Limited Common Sha" sheetId="134" r:id="rId134"/>
    <sheet name="NB_364_Bio Green Med Solution I" sheetId="135" r:id="rId135"/>
    <sheet name="NB_365_B&amp;G Foods Inc. Common St" sheetId="136" r:id="rId136"/>
    <sheet name="NB_366_BGSF Inc. Common Stock" sheetId="137" r:id="rId137"/>
    <sheet name="NB_367_Biglari Holdings Inc. Cl" sheetId="138" r:id="rId138"/>
    <sheet name="NB_368_Benchmark Electronics In" sheetId="139" r:id="rId139"/>
    <sheet name="NB_369_Biohaven Ltd. Common Sha" sheetId="140" r:id="rId140"/>
    <sheet name="NB_370_bioAffinity Technologies" sheetId="141" r:id="rId141"/>
    <sheet name="NB_371_bioAffinity Technologies" sheetId="142" r:id="rId142"/>
    <sheet name="NB_372_Biogen Inc. Common Stock" sheetId="143" r:id="rId143"/>
    <sheet name="NB_373_BILL Holdings Inc. Commo" sheetId="144" r:id="rId144"/>
    <sheet name="NB_374_Bio-Rad Laboratories Inc" sheetId="145" r:id="rId145"/>
    <sheet name="NB_375_BioAge Labs Inc. Common " sheetId="146" r:id="rId146"/>
    <sheet name="NB_376_Smartbird Inc. Class A C" sheetId="147" r:id="rId147"/>
    <sheet name="NB_377_BioVie Inc. Class A Comm" sheetId="148" r:id="rId148"/>
    <sheet name="NB_378_BioVie Inc. Warrant" sheetId="149" r:id="rId149"/>
    <sheet name="NB_379_BJ's Wholesale Club Hold" sheetId="150" r:id="rId150"/>
    <sheet name="NB_380_Bluejay Diagnostics Inc." sheetId="151" r:id="rId151"/>
    <sheet name="NB_381_BJ's Restaurants Inc. Co" sheetId="152" r:id="rId152"/>
    <sheet name="NB_382_Brookdale Senior Living " sheetId="153" r:id="rId153"/>
    <sheet name="NB_383_Buckle Inc. (The) Common" sheetId="154" r:id="rId154"/>
    <sheet name="NB_384_Black Hills Corporation " sheetId="155" r:id="rId155"/>
    <sheet name="NB_385_Black Hawk Acquisition C" sheetId="156" r:id="rId156"/>
    <sheet name="NB_386_Black Hawk Acquisition C" sheetId="157" r:id="rId157"/>
    <sheet name="NB_387_Booking Holdings Inc. Co" sheetId="158" r:id="rId158"/>
    <sheet name="NB_388_Baker Hughes Company Cla" sheetId="159" r:id="rId159"/>
    <sheet name="NB_389_BlackSky Technology Inc." sheetId="160" r:id="rId160"/>
    <sheet name="NB_390_BK Technologies Corporat" sheetId="161" r:id="rId161"/>
    <sheet name="NB_391_BKV Corporation Common S" sheetId="162" r:id="rId162"/>
    <sheet name="NB_392_BIO-key International In" sheetId="163" r:id="rId163"/>
    <sheet name="NB_393_BlackLine Inc. Common St" sheetId="164" r:id="rId164"/>
    <sheet name="NB_394_Blue Bird Corporation Co" sheetId="165" r:id="rId165"/>
    <sheet name="NB_395_Builders FirstSource Inc" sheetId="166" r:id="rId166"/>
    <sheet name="NB_396_BioLife Solutions Inc. C" sheetId="167" r:id="rId167"/>
    <sheet name="NB_397_Bridgeline Digital Inc. " sheetId="168" r:id="rId168"/>
    <sheet name="NB_398_Blackbaud Inc. Common St" sheetId="169" r:id="rId169"/>
    <sheet name="NB_399_BillionToOne Inc. Class " sheetId="170" r:id="rId170"/>
    <sheet name="NB_400_Bloomin' Brands Inc. Com" sheetId="171" r:id="rId171"/>
    <sheet name="NB_401_Blend Labs Inc. Class A " sheetId="172" r:id="rId172"/>
    <sheet name="NB_402_BlossomHill Therapeutics" sheetId="173" r:id="rId173"/>
    <sheet name="NB_403_Belite Bio Inc American " sheetId="174" r:id="rId174"/>
    <sheet name="NB_404_Blackrock Limited Durati" sheetId="175" r:id="rId175"/>
    <sheet name="NB_405_Backblaze Inc. Class A C" sheetId="176" r:id="rId176"/>
    <sheet name="NB_406_Bumble Inc. Class A Comm" sheetId="177" r:id="rId177"/>
    <sheet name="NB_407_Biomea Fusion Inc. Commo" sheetId="178" r:id="rId178"/>
    <sheet name="NB_408_Badger Meter Inc. Common" sheetId="179" r:id="rId179"/>
    <sheet name="NB_409_Biomerica Inc. Common St" sheetId="180" r:id="rId180"/>
    <sheet name="NB_410_BioMarin Pharmaceutical " sheetId="181" r:id="rId181"/>
    <sheet name="NB_411_Bristol-Myers Squibb Com" sheetId="182" r:id="rId182"/>
    <sheet name="NB_412_Brand Engagement Network" sheetId="183" r:id="rId183"/>
    <sheet name="NB_413_Brand Engagement Network" sheetId="184" r:id="rId184"/>
    <sheet name="NB_414_CEA Industries Inc. Comm" sheetId="185" r:id="rId185"/>
    <sheet name="NB_415_CEA Industries Inc. Warr" sheetId="186" r:id="rId186"/>
    <sheet name="NB_416_Barnes &amp; Noble Education" sheetId="187" r:id="rId187"/>
    <sheet name="NB_417_Bionano Genomics Inc. Co" sheetId="188" r:id="rId188"/>
    <sheet name="NB_418_Bonk Inc. Common Stock" sheetId="189" r:id="rId189"/>
    <sheet name="NB_419_Benitec Biopharma Inc. C" sheetId="190" r:id="rId190"/>
    <sheet name="NB_420_The Beachbody Company In" sheetId="191" r:id="rId191"/>
    <sheet name="NB_421_BranchOut Food Inc. Comm" sheetId="192" r:id="rId192"/>
    <sheet name="NB_422_Boundless Bio Inc. Commo" sheetId="193" r:id="rId193"/>
    <sheet name="NB_423_Bolt Biotherapeutics Inc" sheetId="194" r:id="rId194"/>
    <sheet name="NB_424_DMC Global Inc. Common S" sheetId="195" r:id="rId195"/>
    <sheet name="NB_425_Boot Barn Holdings Inc. " sheetId="196" r:id="rId196"/>
    <sheet name="NB_426_Box Inc. Class A Common " sheetId="197" r:id="rId197"/>
    <sheet name="NB_427_Broadridge Financial Sol" sheetId="198" r:id="rId198"/>
    <sheet name="NB_428_BellRing Brands Inc. Com" sheetId="199" r:id="rId199"/>
    <sheet name="NB_429_Brady Corporation Common" sheetId="200" r:id="rId200"/>
    <sheet name="NB_430_Black Rock Coffee Bar In" sheetId="201" r:id="rId201"/>
    <sheet name="NB_431_BRC Inc. Class A Common " sheetId="202" r:id="rId202"/>
    <sheet name="NB_432_Barfresh Food Group Inc." sheetId="203" r:id="rId203"/>
    <sheet name="NB_433_Bridgford Foods Corporat" sheetId="204" r:id="rId204"/>
    <sheet name="NB_434_Burtech Acquisition Corp" sheetId="205" r:id="rId205"/>
    <sheet name="NB_435_Bruker Corporation Commo" sheetId="206" r:id="rId206"/>
    <sheet name="NB_436_Bruker Corporation 6.375" sheetId="207" r:id="rId207"/>
    <sheet name="NB_437_Brilliant Earth Group In" sheetId="208" r:id="rId208"/>
    <sheet name="NB_438_Barnwell Industries Inc." sheetId="209" r:id="rId209"/>
    <sheet name="NB_439_Dutch Bros Inc. Class A " sheetId="210" r:id="rId210"/>
    <sheet name="NB_440_Brightstar Lottery PLC T" sheetId="211" r:id="rId211"/>
    <sheet name="NB_441_BioRestorative Therapies" sheetId="212" r:id="rId212"/>
    <sheet name="NB_442_Boost Run Inc. Class A C" sheetId="213" r:id="rId213"/>
    <sheet name="NB_443_Braveheart Bio Inc. Comm" sheetId="214" r:id="rId214"/>
    <sheet name="NB_444_Braze Inc. Class A Commo" sheetId="215" r:id="rId215"/>
    <sheet name="NB_445_BioStem Technologies Inc" sheetId="216" r:id="rId216"/>
    <sheet name="NB_446_Bassett Furniture Indust" sheetId="217" r:id="rId217"/>
    <sheet name="NB_447_Big Sky Industrial Inc. " sheetId="218" r:id="rId218"/>
    <sheet name="NB_448_Black Stone Minerals L.P" sheetId="219" r:id="rId219"/>
    <sheet name="NB_449_Boston Scientific Corpor" sheetId="220" r:id="rId220"/>
    <sheet name="NB_450_Bentley Systems Incorpor" sheetId="221" r:id="rId221"/>
    <sheet name="NB_451_BT Brands Inc. Common St" sheetId="222" r:id="rId222"/>
    <sheet name="NB_452_BT Brands Inc. Warrant" sheetId="223" r:id="rId223"/>
    <sheet name="NB_453_Brightline Interactive I" sheetId="224" r:id="rId224"/>
    <sheet name="NB_454_Biote Corp. Class A Comm" sheetId="225" r:id="rId225"/>
    <sheet name="NB_455_Armlogi Holding Corp. Co" sheetId="226" r:id="rId226"/>
    <sheet name="NB_456_BrightSpring Health Serv" sheetId="227" r:id="rId227"/>
    <sheet name="NB_457_BrightSpring Health Serv" sheetId="228" r:id="rId228"/>
    <sheet name="NB_458_Peabody Energy Corporati" sheetId="229" r:id="rId229"/>
    <sheet name="NB_459_Burlington Stores Inc. C" sheetId="230" r:id="rId230"/>
    <sheet name="NB_460_BrightView Holdings Inc." sheetId="231" r:id="rId231"/>
    <sheet name="NB_461_Bioventus Inc. Class A C" sheetId="232" r:id="rId232"/>
    <sheet name="NB_462_Babcock &amp; Wilcox Enterpr" sheetId="233" r:id="rId233"/>
    <sheet name="NB_463_BorgWarner Inc. Common S" sheetId="234" r:id="rId234"/>
    <sheet name="NB_464_Broadwind Inc. Common St" sheetId="235" r:id="rId235"/>
    <sheet name="NB_465_Bowman Consulting Group " sheetId="236" r:id="rId236"/>
    <sheet name="NB_466_BWX Technologies Inc. Co" sheetId="237" r:id="rId237"/>
    <sheet name="NB_467_BOXABL Inc. Common stock" sheetId="238" r:id="rId238"/>
    <sheet name="NB_468_Bluelinx Holdings Inc. C" sheetId="239" r:id="rId239"/>
    <sheet name="NB_469_Boyd Gaming Corporation " sheetId="240" r:id="rId240"/>
    <sheet name="NB_470_Beyond Meat Inc. Common " sheetId="241" r:id="rId241"/>
    <sheet name="NB_471_BeyondSpring Inc. Ordina" sheetId="242" r:id="rId242"/>
    <sheet name="NB_472_Blaize Holdings Inc. Com" sheetId="243" r:id="rId243"/>
    <sheet name="NB_473_Blaize Holdings Inc. War" sheetId="244" r:id="rId244"/>
    <sheet name="NB_474_BuzzFeed Inc. Class A Co" sheetId="245" r:id="rId245"/>
    <sheet name="NB_475_BuzzFeed Inc. Warrant" sheetId="246" r:id="rId246"/>
    <sheet name="NB_476_Beazer Homes USA Inc. Co" sheetId="247" r:id="rId247"/>
    <sheet name="NB_477_Cabaletta Bio Inc. Commo" sheetId="248" r:id="rId248"/>
    <sheet name="NB_478_Cable One Inc. Common St" sheetId="249" r:id="rId249"/>
    <sheet name="NB_479_Caring Brands Inc. Commo" sheetId="250" r:id="rId250"/>
    <sheet name="NB_480_CACI International Inc. 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<sst xmlns="http://schemas.openxmlformats.org/spreadsheetml/2006/main" count="15763" uniqueCount="1158">
  <si>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</si>
  <si>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</si>
  <si>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</si>
  <si>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</si>
  <si>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</si>
  <si>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</si>
  <si>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</si>
  <si>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</si>
  <si>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</si>
  <si>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</si>
  <si>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</si>
  <si>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</si>
  <si>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</si>
  <si>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NB_231</t>
  </si>
  <si>
    <t>nonbankrupt</t>
  </si>
  <si>
    <t/>
  </si>
  <si>
    <t>ARVN</t>
  </si>
  <si>
    <t>Arvinas Inc. Common Stock</t>
  </si>
  <si>
    <t>Health Care</t>
  </si>
  <si>
    <t>Biotechnology: Pharmaceutical Preparations</t>
  </si>
  <si>
    <t>ARVN US Equity</t>
  </si>
  <si>
    <t>1993-06-18</t>
  </si>
  <si>
    <t>2026-05-02</t>
  </si>
  <si>
    <t>NB_232</t>
  </si>
  <si>
    <t>ARW</t>
  </si>
  <si>
    <t>Arrow Electronics Inc. Common Stock</t>
  </si>
  <si>
    <t>Technology</t>
  </si>
  <si>
    <t>Electronic Components</t>
  </si>
  <si>
    <t>ARW US Equity</t>
  </si>
  <si>
    <t>NB_233</t>
  </si>
  <si>
    <t>ARWR</t>
  </si>
  <si>
    <t>Arrowhead Pharmaceuticals Inc. Common Stock</t>
  </si>
  <si>
    <t>ARWR US Equity</t>
  </si>
  <si>
    <t>NB_234</t>
  </si>
  <si>
    <t>ARXS</t>
  </si>
  <si>
    <t>Arxis Inc. Class A Common Stock</t>
  </si>
  <si>
    <t>Industrials</t>
  </si>
  <si>
    <t>Military/Government/Technical</t>
  </si>
  <si>
    <t>ARXS US Equity</t>
  </si>
  <si>
    <t>NB_235</t>
  </si>
  <si>
    <t>ASA</t>
  </si>
  <si>
    <t>ASA  Gold and Precious Metals Limited</t>
  </si>
  <si>
    <t>Precious Metals</t>
  </si>
  <si>
    <t>ASA US Equity</t>
  </si>
  <si>
    <t>NB_236</t>
  </si>
  <si>
    <t>ASAN</t>
  </si>
  <si>
    <t>Asana Inc. Class A Common Stock</t>
  </si>
  <si>
    <t>Computer Software: Prepackaged Software</t>
  </si>
  <si>
    <t>ASAN US Equity</t>
  </si>
  <si>
    <t>NB_237</t>
  </si>
  <si>
    <t>ASBP</t>
  </si>
  <si>
    <t>Aspire-Lakewood Holdings Inc. Common Stock</t>
  </si>
  <si>
    <t>ASBP US Equity</t>
  </si>
  <si>
    <t>NB_238</t>
  </si>
  <si>
    <t>ASBPW</t>
  </si>
  <si>
    <t>Aspire-Lakewood Holdings Inc. Warrant</t>
  </si>
  <si>
    <t>ASBPW US Equity</t>
  </si>
  <si>
    <t>NB_239</t>
  </si>
  <si>
    <t>ASH</t>
  </si>
  <si>
    <t>Ashland Inc. Common Stock</t>
  </si>
  <si>
    <t>Consumer Discretionary</t>
  </si>
  <si>
    <t>Specialty Chemicals</t>
  </si>
  <si>
    <t>ASH US Equity</t>
  </si>
  <si>
    <t>NB_240</t>
  </si>
  <si>
    <t>ASIX</t>
  </si>
  <si>
    <t>AdvanSix Inc. Common Stock</t>
  </si>
  <si>
    <t>Major Chemicals</t>
  </si>
  <si>
    <t>ASIX US Equity</t>
  </si>
  <si>
    <t>NB_241</t>
  </si>
  <si>
    <t>ASLE</t>
  </si>
  <si>
    <t>AerSale Corporation Common Stock</t>
  </si>
  <si>
    <t>Industrial Specialties</t>
  </si>
  <si>
    <t>ASLE US Equity</t>
  </si>
  <si>
    <t>NB_242</t>
  </si>
  <si>
    <t>ASMB</t>
  </si>
  <si>
    <t>Assembly Biosciences Inc. Common Stock</t>
  </si>
  <si>
    <t>ASMB US Equity</t>
  </si>
  <si>
    <t>NB_243</t>
  </si>
  <si>
    <t>ASO</t>
  </si>
  <si>
    <t>Academy Sports and Outdoors Inc. Common Stock</t>
  </si>
  <si>
    <t>Other Specialty Stores</t>
  </si>
  <si>
    <t>ASO US Equity</t>
  </si>
  <si>
    <t>NB_244</t>
  </si>
  <si>
    <t>ASPI</t>
  </si>
  <si>
    <t>ASP Isotopes Inc. Common Stock</t>
  </si>
  <si>
    <t>ASPI US Equity</t>
  </si>
  <si>
    <t>NB_245</t>
  </si>
  <si>
    <t>ASPN</t>
  </si>
  <si>
    <t>Aspen Aerogels Inc. Common Stock</t>
  </si>
  <si>
    <t>RETAIL: Building Materials</t>
  </si>
  <si>
    <t>ASPN US Equity</t>
  </si>
  <si>
    <t>NB_246</t>
  </si>
  <si>
    <t>ASTC</t>
  </si>
  <si>
    <t>Astrotech Corporation (DE) Common Stock</t>
  </si>
  <si>
    <t>Biotechnology: Laboratory Analytical Instruments</t>
  </si>
  <si>
    <t>ASTC US Equity</t>
  </si>
  <si>
    <t>NB_247</t>
  </si>
  <si>
    <t>ASTE</t>
  </si>
  <si>
    <t>Astec Industries Inc. Common Stock</t>
  </si>
  <si>
    <t>Construction/Ag Equipment/Trucks</t>
  </si>
  <si>
    <t>ASTE US Equity</t>
  </si>
  <si>
    <t>NB_248</t>
  </si>
  <si>
    <t>ASTH</t>
  </si>
  <si>
    <t>Astrana Health Inc. Common Stock</t>
  </si>
  <si>
    <t>Professional Services</t>
  </si>
  <si>
    <t>ASTH US Equity</t>
  </si>
  <si>
    <t>NB_249</t>
  </si>
  <si>
    <t>ASTI</t>
  </si>
  <si>
    <t>Ascent Solar Technologies Inc. Common Stock</t>
  </si>
  <si>
    <t>Semiconductors</t>
  </si>
  <si>
    <t>ASTI US Equity</t>
  </si>
  <si>
    <t>NB_250</t>
  </si>
  <si>
    <t>ASTS</t>
  </si>
  <si>
    <t>AST SpaceMobile Inc. Class A Common Stock</t>
  </si>
  <si>
    <t>Telecommunications Equipment</t>
  </si>
  <si>
    <t>ASTS US Equity</t>
  </si>
  <si>
    <t>NB_251</t>
  </si>
  <si>
    <t>ASUR</t>
  </si>
  <si>
    <t>Asure Software Inc Common Stock</t>
  </si>
  <si>
    <t>EDP Services</t>
  </si>
  <si>
    <t>ASUR US Equity</t>
  </si>
  <si>
    <t>NB_252</t>
  </si>
  <si>
    <t>ASYS</t>
  </si>
  <si>
    <t>Amtech Systems Inc. Common Stock</t>
  </si>
  <si>
    <t>Industrial Machinery/Components</t>
  </si>
  <si>
    <t>ASYS US Equity</t>
  </si>
  <si>
    <t>NB_253</t>
  </si>
  <si>
    <t>ATEC</t>
  </si>
  <si>
    <t>Alphatec Holdings Inc. Common Stock</t>
  </si>
  <si>
    <t>Medical/Dental Instruments</t>
  </si>
  <si>
    <t>ATEC US Equity</t>
  </si>
  <si>
    <t>NB_254</t>
  </si>
  <si>
    <t>ATEN</t>
  </si>
  <si>
    <t>A10 Networks Inc. Common Stock</t>
  </si>
  <si>
    <t>Telecommunications</t>
  </si>
  <si>
    <t>Computer Communications Equipment</t>
  </si>
  <si>
    <t>ATEN US Equity</t>
  </si>
  <si>
    <t>NB_255</t>
  </si>
  <si>
    <t>ATER</t>
  </si>
  <si>
    <t>Aterian Inc. Common Stock</t>
  </si>
  <si>
    <t>Home Furnishings</t>
  </si>
  <si>
    <t>ATER US Equity</t>
  </si>
  <si>
    <t>NB_256</t>
  </si>
  <si>
    <t>ATEX</t>
  </si>
  <si>
    <t>Anterix Inc. Common Stock</t>
  </si>
  <si>
    <t>ATEX US Equity</t>
  </si>
  <si>
    <t>NB_257</t>
  </si>
  <si>
    <t>ATHR</t>
  </si>
  <si>
    <t>Aether Holdings Inc. Common Stock</t>
  </si>
  <si>
    <t>ATHR US Equity</t>
  </si>
  <si>
    <t>NB_258</t>
  </si>
  <si>
    <t>ATI</t>
  </si>
  <si>
    <t>ATI Inc. Common Stock</t>
  </si>
  <si>
    <t>Steel/Iron Ore</t>
  </si>
  <si>
    <t>ATI US Equity</t>
  </si>
  <si>
    <t>NB_259</t>
  </si>
  <si>
    <t>ATLX</t>
  </si>
  <si>
    <t>Atlas Lithium Corporation Common Stock</t>
  </si>
  <si>
    <t>Mining &amp; Quarrying of Nonmetallic Minerals (No Fuels)</t>
  </si>
  <si>
    <t>ATLX US Equity</t>
  </si>
  <si>
    <t>NB_260</t>
  </si>
  <si>
    <t>ATMU</t>
  </si>
  <si>
    <t>Atmus Filtration Technologies Inc. Common Stock</t>
  </si>
  <si>
    <t>Auto Parts:O.E.M.</t>
  </si>
  <si>
    <t>ATMU US Equity</t>
  </si>
  <si>
    <t>NB_261</t>
  </si>
  <si>
    <t>ATNI</t>
  </si>
  <si>
    <t>ATN International Inc. Common Stock</t>
  </si>
  <si>
    <t>ATNI US Equity</t>
  </si>
  <si>
    <t>NB_262</t>
  </si>
  <si>
    <t>ATNM</t>
  </si>
  <si>
    <t>Actinium Pharmaceuticals Inc. (Delaware) Common Stock</t>
  </si>
  <si>
    <t>ATNM US Equity</t>
  </si>
  <si>
    <t>NB_263</t>
  </si>
  <si>
    <t>ATO</t>
  </si>
  <si>
    <t>Atmos Energy Corporation Common Stock</t>
  </si>
  <si>
    <t>Utilities</t>
  </si>
  <si>
    <t>Oil/Gas Transmission</t>
  </si>
  <si>
    <t>ATO US Equity</t>
  </si>
  <si>
    <t>NB_264</t>
  </si>
  <si>
    <t>ATOM</t>
  </si>
  <si>
    <t>Atomera Incorporated Common Stock</t>
  </si>
  <si>
    <t>ATOM US Equity</t>
  </si>
  <si>
    <t>NB_265</t>
  </si>
  <si>
    <t>ATOS</t>
  </si>
  <si>
    <t>Atossa Therapeutics Inc. Common Stock</t>
  </si>
  <si>
    <t>ATOS US Equity</t>
  </si>
  <si>
    <t>NB_266</t>
  </si>
  <si>
    <t>ATR</t>
  </si>
  <si>
    <t>AptarGroup Inc. Common Stock</t>
  </si>
  <si>
    <t>Plastic Products</t>
  </si>
  <si>
    <t>ATR US Equity</t>
  </si>
  <si>
    <t>NB_267</t>
  </si>
  <si>
    <t>ATRA</t>
  </si>
  <si>
    <t>Atara Biotherapeutics Inc. Common Stock</t>
  </si>
  <si>
    <t>Biotechnology: Biological Products (No Diagnostic Substances)</t>
  </si>
  <si>
    <t>ATRA US Equity</t>
  </si>
  <si>
    <t>NB_268</t>
  </si>
  <si>
    <t>ATRC</t>
  </si>
  <si>
    <t>AtriCure Inc. Common Stock</t>
  </si>
  <si>
    <t>ATRC US Equity</t>
  </si>
  <si>
    <t>NB_269</t>
  </si>
  <si>
    <t>ATRO</t>
  </si>
  <si>
    <t>Astronics Corporation Common Stock</t>
  </si>
  <si>
    <t>ATRO US Equity</t>
  </si>
  <si>
    <t>NB_270</t>
  </si>
  <si>
    <t>ATTO</t>
  </si>
  <si>
    <t>Attovia Therapeutics Inc. Common Stock</t>
  </si>
  <si>
    <t>ATTO US Equity</t>
  </si>
  <si>
    <t>NB_271</t>
  </si>
  <si>
    <t>ATYR</t>
  </si>
  <si>
    <t>aTyr Pharma Inc. Common Stock</t>
  </si>
  <si>
    <t>ATYR US Equity</t>
  </si>
  <si>
    <t>NB_272</t>
  </si>
  <si>
    <t>AUC</t>
  </si>
  <si>
    <t>ATIF Holdings Limited Ordinary Shares</t>
  </si>
  <si>
    <t>AUC US Equity</t>
  </si>
  <si>
    <t>NB_273</t>
  </si>
  <si>
    <t>AUGO</t>
  </si>
  <si>
    <t>Aura Minerals Inc. Common Shares</t>
  </si>
  <si>
    <t>Basic Materials</t>
  </si>
  <si>
    <t>Metal Mining</t>
  </si>
  <si>
    <t>AUGO US Equity</t>
  </si>
  <si>
    <t>NB_274</t>
  </si>
  <si>
    <t>AUID</t>
  </si>
  <si>
    <t>authID Inc. Common Stock</t>
  </si>
  <si>
    <t>AUID US Equity</t>
  </si>
  <si>
    <t>NB_275</t>
  </si>
  <si>
    <t>AUR</t>
  </si>
  <si>
    <t>Aurora Innovation Inc. Class A Common Stock</t>
  </si>
  <si>
    <t>AUR US Equity</t>
  </si>
  <si>
    <t>NB_276</t>
  </si>
  <si>
    <t>AURA</t>
  </si>
  <si>
    <t>Aura Biosciences Inc. Common Stock</t>
  </si>
  <si>
    <t>AURA US Equity</t>
  </si>
  <si>
    <t>NB_277</t>
  </si>
  <si>
    <t>AUROW</t>
  </si>
  <si>
    <t>Aurora Innovation Inc. Warrant</t>
  </si>
  <si>
    <t>AUROW US Equity</t>
  </si>
  <si>
    <t>NB_278</t>
  </si>
  <si>
    <t>AUUD</t>
  </si>
  <si>
    <t>Auddia Inc. Common Stock</t>
  </si>
  <si>
    <t>AUUD US Equity</t>
  </si>
  <si>
    <t>NB_279</t>
  </si>
  <si>
    <t>AVA</t>
  </si>
  <si>
    <t>Avista Corporation Common Stock</t>
  </si>
  <si>
    <t>Power Generation</t>
  </si>
  <si>
    <t>AVA US Equity</t>
  </si>
  <si>
    <t>NB_280</t>
  </si>
  <si>
    <t>AVAH</t>
  </si>
  <si>
    <t>Aveanna Healthcare Holdings Inc. Common Stock</t>
  </si>
  <si>
    <t>Medical/Nursing Services</t>
  </si>
  <si>
    <t>AVAH US Equity</t>
  </si>
  <si>
    <t>NB_281</t>
  </si>
  <si>
    <t>AVAV</t>
  </si>
  <si>
    <t>AeroVironment Inc. Common Stock</t>
  </si>
  <si>
    <t>Aerospace</t>
  </si>
  <si>
    <t>AVAV US Equity</t>
  </si>
  <si>
    <t>NB_282</t>
  </si>
  <si>
    <t>AVBP</t>
  </si>
  <si>
    <t>ArriVent BioPharma Inc. Common Stock</t>
  </si>
  <si>
    <t>AVBP US Equity</t>
  </si>
  <si>
    <t>NB_283</t>
  </si>
  <si>
    <t>AVD</t>
  </si>
  <si>
    <t>American Vanguard Corporation Common Stock ($0.10 Par Value)</t>
  </si>
  <si>
    <t>Agricultural Chemicals</t>
  </si>
  <si>
    <t>AVD US Equity</t>
  </si>
  <si>
    <t>NB_284</t>
  </si>
  <si>
    <t>AVGO</t>
  </si>
  <si>
    <t>Broadcom Inc. Common Stock</t>
  </si>
  <si>
    <t>AVGO US Equity</t>
  </si>
  <si>
    <t>NB_285</t>
  </si>
  <si>
    <t>AVIR</t>
  </si>
  <si>
    <t>Atea Pharmaceuticals Inc. Common Stock</t>
  </si>
  <si>
    <t>AVIR US Equity</t>
  </si>
  <si>
    <t>NB_286</t>
  </si>
  <si>
    <t>AVLN</t>
  </si>
  <si>
    <t>Avalyn Pharma Inc. Common Stock</t>
  </si>
  <si>
    <t>AVLN US Equity</t>
  </si>
  <si>
    <t>NB_287</t>
  </si>
  <si>
    <t>AVNT</t>
  </si>
  <si>
    <t>Avient Corporation Common Stock</t>
  </si>
  <si>
    <t>AVNT US Equity</t>
  </si>
  <si>
    <t>NB_288</t>
  </si>
  <si>
    <t>AVNW</t>
  </si>
  <si>
    <t>Aviat Networks Inc. Common Stock</t>
  </si>
  <si>
    <t>Radio And Television Broadcasting And Communications Equipment</t>
  </si>
  <si>
    <t>AVNW US Equity</t>
  </si>
  <si>
    <t>NB_289</t>
  </si>
  <si>
    <t>AVO</t>
  </si>
  <si>
    <t>Mission Produce Inc. Common Stock</t>
  </si>
  <si>
    <t>Consumer Staples</t>
  </si>
  <si>
    <t>Farming/Seeds/Milling</t>
  </si>
  <si>
    <t>AVO US Equity</t>
  </si>
  <si>
    <t>NB_290</t>
  </si>
  <si>
    <t>AVPT</t>
  </si>
  <si>
    <t>AvePoint Inc. Class A Common Stock</t>
  </si>
  <si>
    <t>AVPT US Equity</t>
  </si>
  <si>
    <t>NB_291</t>
  </si>
  <si>
    <t>AVR</t>
  </si>
  <si>
    <t>Anteris Technologies Global Corp. Common Stock</t>
  </si>
  <si>
    <t>AVR US Equity</t>
  </si>
  <si>
    <t>NB_292</t>
  </si>
  <si>
    <t>AVT</t>
  </si>
  <si>
    <t>Avnet Inc. Common Stock</t>
  </si>
  <si>
    <t>AVT US Equity</t>
  </si>
  <si>
    <t>NB_293</t>
  </si>
  <si>
    <t>AVTR</t>
  </si>
  <si>
    <t>Avantor Inc. Common Stock</t>
  </si>
  <si>
    <t>AVTR US Equity</t>
  </si>
  <si>
    <t>NB_294</t>
  </si>
  <si>
    <t>AVTX</t>
  </si>
  <si>
    <t>Avalo Therapeutics Inc. Common Stock</t>
  </si>
  <si>
    <t>AVTX US Equity</t>
  </si>
  <si>
    <t>NB_295</t>
  </si>
  <si>
    <t>AVXL</t>
  </si>
  <si>
    <t>Anavex Life Sciences Corp. Common Stock</t>
  </si>
  <si>
    <t>AVXL US Equity</t>
  </si>
  <si>
    <t>NB_296</t>
  </si>
  <si>
    <t>AVY</t>
  </si>
  <si>
    <t>Avery Dennison Corporation Common Stock</t>
  </si>
  <si>
    <t>Containers/Packaging</t>
  </si>
  <si>
    <t>AVY US Equity</t>
  </si>
  <si>
    <t>NB_297</t>
  </si>
  <si>
    <t>AWI</t>
  </si>
  <si>
    <t>Armstrong World Industries Inc Common Stock</t>
  </si>
  <si>
    <t>AWI US Equity</t>
  </si>
  <si>
    <t>NB_298</t>
  </si>
  <si>
    <t>AWK</t>
  </si>
  <si>
    <t>American Water Works Company Inc. Common Stock</t>
  </si>
  <si>
    <t>Water Supply</t>
  </si>
  <si>
    <t>AWK US Equity</t>
  </si>
  <si>
    <t>NB_299</t>
  </si>
  <si>
    <t>AWR</t>
  </si>
  <si>
    <t>American States Water Company Common Stock</t>
  </si>
  <si>
    <t>AWR US Equity</t>
  </si>
  <si>
    <t>NB_300</t>
  </si>
  <si>
    <t>AWRE</t>
  </si>
  <si>
    <t>Aware Inc. Common Stock</t>
  </si>
  <si>
    <t>AWRE US Equity</t>
  </si>
  <si>
    <t>NB_301</t>
  </si>
  <si>
    <t>AWX</t>
  </si>
  <si>
    <t>Avalon Holdings Corporation Common Stock</t>
  </si>
  <si>
    <t>Environmental Services</t>
  </si>
  <si>
    <t>AWX US Equity</t>
  </si>
  <si>
    <t>NB_302</t>
  </si>
  <si>
    <t>AXGN</t>
  </si>
  <si>
    <t>Axogen Inc. Common Stock</t>
  </si>
  <si>
    <t>Biotechnology: Electromedical &amp; Electrotherapeutic Apparatus</t>
  </si>
  <si>
    <t>AXGN US Equity</t>
  </si>
  <si>
    <t>NB_303</t>
  </si>
  <si>
    <t>AXON</t>
  </si>
  <si>
    <t>Axon Enterprise Inc. Common Stock</t>
  </si>
  <si>
    <t>Ordnance And Accessories</t>
  </si>
  <si>
    <t>AXON US Equity</t>
  </si>
  <si>
    <t>NB_304</t>
  </si>
  <si>
    <t>AXSM</t>
  </si>
  <si>
    <t>Axsome Therapeutics Inc. Common Stock</t>
  </si>
  <si>
    <t>AXSM US Equity</t>
  </si>
  <si>
    <t>NB_305</t>
  </si>
  <si>
    <t>AXTA</t>
  </si>
  <si>
    <t>Axalta Coating Systems Ltd. Common Shares</t>
  </si>
  <si>
    <t>Paints/Coatings</t>
  </si>
  <si>
    <t>AXTA US Equity</t>
  </si>
  <si>
    <t>NB_306</t>
  </si>
  <si>
    <t>AXTI</t>
  </si>
  <si>
    <t>AXT Inc Common Stock</t>
  </si>
  <si>
    <t>AXTI US Equity</t>
  </si>
  <si>
    <t>NB_307</t>
  </si>
  <si>
    <t>AYI</t>
  </si>
  <si>
    <t>Acuity Inc. Common Stock</t>
  </si>
  <si>
    <t>Building Products</t>
  </si>
  <si>
    <t>AYI US Equity</t>
  </si>
  <si>
    <t>NB_308</t>
  </si>
  <si>
    <t>AYTU</t>
  </si>
  <si>
    <t>Aytu BioPharma Inc.  Common Stock</t>
  </si>
  <si>
    <t>AYTU US Equity</t>
  </si>
  <si>
    <t>NB_309</t>
  </si>
  <si>
    <t>AZIO</t>
  </si>
  <si>
    <t>Azio AI Holdings Inc. Common Stock</t>
  </si>
  <si>
    <t>AZIO US Equity</t>
  </si>
  <si>
    <t>NB_310</t>
  </si>
  <si>
    <t>AZO</t>
  </si>
  <si>
    <t>AutoZone Inc. Common Stock</t>
  </si>
  <si>
    <t>Auto &amp; Home Supply Stores</t>
  </si>
  <si>
    <t>AZO US Equity</t>
  </si>
  <si>
    <t>NB_311</t>
  </si>
  <si>
    <t>AZTA</t>
  </si>
  <si>
    <t>Azenta Inc.</t>
  </si>
  <si>
    <t>AZTA US Equity</t>
  </si>
  <si>
    <t>NB_312</t>
  </si>
  <si>
    <t>AZZ</t>
  </si>
  <si>
    <t>AZZ Inc.</t>
  </si>
  <si>
    <t>AZZ US Equity</t>
  </si>
  <si>
    <t>NB_313</t>
  </si>
  <si>
    <t>BA</t>
  </si>
  <si>
    <t>Boeing Company (The) Common Stock</t>
  </si>
  <si>
    <t>BA US Equity</t>
  </si>
  <si>
    <t>NB_314</t>
  </si>
  <si>
    <t>BAER</t>
  </si>
  <si>
    <t>Bridger Aerospace Group Holdings Inc. Common Stock</t>
  </si>
  <si>
    <t>BAER US Equity</t>
  </si>
  <si>
    <t>NB_315</t>
  </si>
  <si>
    <t>BAERW</t>
  </si>
  <si>
    <t>Bridger Aerospace Group Holdings Inc. Warrant</t>
  </si>
  <si>
    <t>BAERW US Equity</t>
  </si>
  <si>
    <t>NB_316</t>
  </si>
  <si>
    <t>BAH</t>
  </si>
  <si>
    <t>Booz Allen Hamilton Holding Corporation Common Stock</t>
  </si>
  <si>
    <t>BAH US Equity</t>
  </si>
  <si>
    <t>NB_317</t>
  </si>
  <si>
    <t>BALL</t>
  </si>
  <si>
    <t>Ball Corporation Common Stock</t>
  </si>
  <si>
    <t>BALL US Equity</t>
  </si>
  <si>
    <t>NB_318</t>
  </si>
  <si>
    <t>BALY</t>
  </si>
  <si>
    <t>Bally's Corporation Common Stock</t>
  </si>
  <si>
    <t>Hotels/Resorts</t>
  </si>
  <si>
    <t>BALY US Equity</t>
  </si>
  <si>
    <t>NB_319</t>
  </si>
  <si>
    <t>BAND</t>
  </si>
  <si>
    <t>Bandwidth Inc. Class A Common Stock</t>
  </si>
  <si>
    <t>BAND US Equity</t>
  </si>
  <si>
    <t>NB_320</t>
  </si>
  <si>
    <t>BARK</t>
  </si>
  <si>
    <t>BARK Inc. Class A Common Stock</t>
  </si>
  <si>
    <t>BARK US Equity</t>
  </si>
  <si>
    <t>NB_321</t>
  </si>
  <si>
    <t>BATL</t>
  </si>
  <si>
    <t>Battalion Oil Corporation Common Stock</t>
  </si>
  <si>
    <t>Energy</t>
  </si>
  <si>
    <t>Oil &amp; Gas Production</t>
  </si>
  <si>
    <t>BATL US Equity</t>
  </si>
  <si>
    <t>NB_322</t>
  </si>
  <si>
    <t>BATRA</t>
  </si>
  <si>
    <t>Atlanta Braves Holdings Inc. Series A Common Stock</t>
  </si>
  <si>
    <t>Services-Misc. Amusement &amp; Recreation</t>
  </si>
  <si>
    <t>BATRA US Equity</t>
  </si>
  <si>
    <t>NB_323</t>
  </si>
  <si>
    <t>BATRK</t>
  </si>
  <si>
    <t>Atlanta Braves Holdings Inc. Series C Common Stock</t>
  </si>
  <si>
    <t>BATRK US Equity</t>
  </si>
  <si>
    <t>NB_324</t>
  </si>
  <si>
    <t>BAX</t>
  </si>
  <si>
    <t>Baxter International Inc. Common Stock</t>
  </si>
  <si>
    <t>BAX US Equity</t>
  </si>
  <si>
    <t>NB_325</t>
  </si>
  <si>
    <t>BBAI</t>
  </si>
  <si>
    <t>BigBear.ai Inc. Common Stock</t>
  </si>
  <si>
    <t>BBAI US Equity</t>
  </si>
  <si>
    <t>NB_326</t>
  </si>
  <si>
    <t>BBBYW</t>
  </si>
  <si>
    <t>Neighborhood Intelligence Inc. Warrants</t>
  </si>
  <si>
    <t>Catalog/Specialty Distribution</t>
  </si>
  <si>
    <t>BBBYW US Equity</t>
  </si>
  <si>
    <t>NB_327</t>
  </si>
  <si>
    <t>BBCP</t>
  </si>
  <si>
    <t>Concrete Pumping Holdings Inc. Common Stock</t>
  </si>
  <si>
    <t>Engineering &amp; Construction</t>
  </si>
  <si>
    <t>BBCP US Equity</t>
  </si>
  <si>
    <t>NB_328</t>
  </si>
  <si>
    <t>BBGI</t>
  </si>
  <si>
    <t>Beasley Broadcast Group Inc. Class A Common Stock</t>
  </si>
  <si>
    <t>Broadcasting</t>
  </si>
  <si>
    <t>BBGI US Equity</t>
  </si>
  <si>
    <t>NB_329</t>
  </si>
  <si>
    <t>BBIO</t>
  </si>
  <si>
    <t>BridgeBio Pharma Inc. Common Stock</t>
  </si>
  <si>
    <t>BBIO US Equity</t>
  </si>
  <si>
    <t>NB_330</t>
  </si>
  <si>
    <t>BBLG</t>
  </si>
  <si>
    <t>Bone Biologics Corp Common Stock</t>
  </si>
  <si>
    <t>BBLG US Equity</t>
  </si>
  <si>
    <t>NB_331</t>
  </si>
  <si>
    <t>BBLGW</t>
  </si>
  <si>
    <t>Bone Biologics Corp Warrants</t>
  </si>
  <si>
    <t>BBLGW US Equity</t>
  </si>
  <si>
    <t>NB_332</t>
  </si>
  <si>
    <t>BBNX</t>
  </si>
  <si>
    <t>Beta Bionics Inc. Common Stock</t>
  </si>
  <si>
    <t>BBNX US Equity</t>
  </si>
  <si>
    <t>NB_333</t>
  </si>
  <si>
    <t>BBOT</t>
  </si>
  <si>
    <t>BridgeBio Oncology Therapeutics Inc. Common Stock</t>
  </si>
  <si>
    <t>BBOT US Equity</t>
  </si>
  <si>
    <t>NB_334</t>
  </si>
  <si>
    <t>BBSI</t>
  </si>
  <si>
    <t>Barrett Business Services Inc. Common Stock</t>
  </si>
  <si>
    <t>BBSI US Equity</t>
  </si>
  <si>
    <t>NB_335</t>
  </si>
  <si>
    <t>BBW</t>
  </si>
  <si>
    <t>Build-A-Bear Workshop Inc. Common Stock</t>
  </si>
  <si>
    <t>Recreational Games/Products/Toys</t>
  </si>
  <si>
    <t>BBW US Equity</t>
  </si>
  <si>
    <t>NB_336</t>
  </si>
  <si>
    <t>BBWI</t>
  </si>
  <si>
    <t>Bath &amp; Body Works Inc.</t>
  </si>
  <si>
    <t>BBWI US Equity</t>
  </si>
  <si>
    <t>NB_337</t>
  </si>
  <si>
    <t>BBY</t>
  </si>
  <si>
    <t>Best Buy Co. Inc. Common Stock</t>
  </si>
  <si>
    <t>Consumer Electronics/Video Chains</t>
  </si>
  <si>
    <t>BBY US Equity</t>
  </si>
  <si>
    <t>NB_338</t>
  </si>
  <si>
    <t>BC</t>
  </si>
  <si>
    <t>Brunswick Corporation Common Stock</t>
  </si>
  <si>
    <t>BC US Equity</t>
  </si>
  <si>
    <t>NB_339</t>
  </si>
  <si>
    <t>BCAX</t>
  </si>
  <si>
    <t>Bicara Therapeutics Inc. Common Stock</t>
  </si>
  <si>
    <t>BCAX US Equity</t>
  </si>
  <si>
    <t>NB_340</t>
  </si>
  <si>
    <t>BCC</t>
  </si>
  <si>
    <t>Boise Cascade L.L.C. Common Stock</t>
  </si>
  <si>
    <t>BCC US Equity</t>
  </si>
  <si>
    <t>NB_341</t>
  </si>
  <si>
    <t>BCDA</t>
  </si>
  <si>
    <t>BioCardia Inc. Common Stock</t>
  </si>
  <si>
    <t>BCDA US Equity</t>
  </si>
  <si>
    <t>NB_342</t>
  </si>
  <si>
    <t>BCO</t>
  </si>
  <si>
    <t>Brinks Company (The) Common Stock</t>
  </si>
  <si>
    <t>Integrated Freight &amp; Logistics</t>
  </si>
  <si>
    <t>BCO US Equity</t>
  </si>
  <si>
    <t>NB_343</t>
  </si>
  <si>
    <t>BCPC</t>
  </si>
  <si>
    <t>Balchem Corporation Common Stock</t>
  </si>
  <si>
    <t>BCPC US Equity</t>
  </si>
  <si>
    <t>NB_344</t>
  </si>
  <si>
    <t>BCRX</t>
  </si>
  <si>
    <t>BioCryst Pharmaceuticals Inc. Common Stock</t>
  </si>
  <si>
    <t>BCRX US Equity</t>
  </si>
  <si>
    <t>NB_345</t>
  </si>
  <si>
    <t>BDC</t>
  </si>
  <si>
    <t>Belden Inc Common Stock</t>
  </si>
  <si>
    <t>BDC US Equity</t>
  </si>
  <si>
    <t>NB_346</t>
  </si>
  <si>
    <t>BDL</t>
  </si>
  <si>
    <t>Flanigan's Enterprises Inc. Common Stock</t>
  </si>
  <si>
    <t>Restaurants</t>
  </si>
  <si>
    <t>BDL US Equity</t>
  </si>
  <si>
    <t>NB_347</t>
  </si>
  <si>
    <t>BDSX</t>
  </si>
  <si>
    <t>Biodesix Inc. Common Stock</t>
  </si>
  <si>
    <t>Medical Specialities</t>
  </si>
  <si>
    <t>BDSX US Equity</t>
  </si>
  <si>
    <t>NB_348</t>
  </si>
  <si>
    <t>BDTX</t>
  </si>
  <si>
    <t>Black Diamond Therapeutics Inc. Common Stock</t>
  </si>
  <si>
    <t>BDTX US Equity</t>
  </si>
  <si>
    <t>NB_349</t>
  </si>
  <si>
    <t>BDX</t>
  </si>
  <si>
    <t>Becton Dickinson and Company Common Stock</t>
  </si>
  <si>
    <t>BDX US Equity</t>
  </si>
  <si>
    <t>NB_350</t>
  </si>
  <si>
    <t>BE</t>
  </si>
  <si>
    <t>Bloom Energy Corporation Class A Common Stock</t>
  </si>
  <si>
    <t>BE US Equity</t>
  </si>
  <si>
    <t>NB_351</t>
  </si>
  <si>
    <t>BEAM</t>
  </si>
  <si>
    <t>Beam Therapeutics Inc. Common Stock</t>
  </si>
  <si>
    <t>BEAM US Equity</t>
  </si>
  <si>
    <t>NB_352</t>
  </si>
  <si>
    <t>BEAT</t>
  </si>
  <si>
    <t>Heartbeam Inc. Common Stock</t>
  </si>
  <si>
    <t>BEAT US Equity</t>
  </si>
  <si>
    <t>NB_353</t>
  </si>
  <si>
    <t>BEATW</t>
  </si>
  <si>
    <t>Heartbeam Inc. Warrant</t>
  </si>
  <si>
    <t>BEATW US Equity</t>
  </si>
  <si>
    <t>NB_354</t>
  </si>
  <si>
    <t>BEPC</t>
  </si>
  <si>
    <t>Brookfield Renewable Corporation Brookfield Renewable Corporation Class A Subordinate Voting Shares</t>
  </si>
  <si>
    <t>Electric Utilities: Central</t>
  </si>
  <si>
    <t>BEPC US Equity</t>
  </si>
  <si>
    <t>NB_355</t>
  </si>
  <si>
    <t>BETA</t>
  </si>
  <si>
    <t>Beta Technologies Inc. Class A Common Stock</t>
  </si>
  <si>
    <t>BETA US Equity</t>
  </si>
  <si>
    <t>NB_356</t>
  </si>
  <si>
    <t>BFAM</t>
  </si>
  <si>
    <t>Bright Horizons Family Solutions Inc. Common Stock</t>
  </si>
  <si>
    <t>Other Consumer Services</t>
  </si>
  <si>
    <t>BFAM US Equity</t>
  </si>
  <si>
    <t>NB_357</t>
  </si>
  <si>
    <t>BFH</t>
  </si>
  <si>
    <t>Bread Financial Holdings Inc. Common Stock</t>
  </si>
  <si>
    <t>Business Services</t>
  </si>
  <si>
    <t>BFH US Equity</t>
  </si>
  <si>
    <t>NB_358</t>
  </si>
  <si>
    <t>BFLY</t>
  </si>
  <si>
    <t>Butterfly Network Inc. Class A Common Stock</t>
  </si>
  <si>
    <t>Medical Electronics</t>
  </si>
  <si>
    <t>BFLY US Equity</t>
  </si>
  <si>
    <t>NB_359</t>
  </si>
  <si>
    <t>BFRG</t>
  </si>
  <si>
    <t>Bullfrog AI Holdings Inc. Common Stock</t>
  </si>
  <si>
    <t>BFRG US Equity</t>
  </si>
  <si>
    <t>NB_360</t>
  </si>
  <si>
    <t>BFRGW</t>
  </si>
  <si>
    <t>Bullfrog AI Holdings Inc. Warrants</t>
  </si>
  <si>
    <t>BFRGW US Equity</t>
  </si>
  <si>
    <t>NB_361</t>
  </si>
  <si>
    <t>BFRI</t>
  </si>
  <si>
    <t>Biofrontera Inc. Common Stock</t>
  </si>
  <si>
    <t>BFRI US Equity</t>
  </si>
  <si>
    <t>NB_362</t>
  </si>
  <si>
    <t>BFRIW</t>
  </si>
  <si>
    <t>Biofrontera Inc. Warrants</t>
  </si>
  <si>
    <t>BFRIW US Equity</t>
  </si>
  <si>
    <t>NB_363</t>
  </si>
  <si>
    <t>BG</t>
  </si>
  <si>
    <t>Bunge Limited Common Shares</t>
  </si>
  <si>
    <t>Packaged Foods</t>
  </si>
  <si>
    <t>BG US Equity</t>
  </si>
  <si>
    <t>NB_364</t>
  </si>
  <si>
    <t>BGMS</t>
  </si>
  <si>
    <t>Bio Green Med Solution Inc. Common Stock</t>
  </si>
  <si>
    <t>BGMS US Equity</t>
  </si>
  <si>
    <t>NB_365</t>
  </si>
  <si>
    <t>BGS</t>
  </si>
  <si>
    <t>B&amp;G Foods Inc. Common Stock</t>
  </si>
  <si>
    <t>BGS US Equity</t>
  </si>
  <si>
    <t>NB_366</t>
  </si>
  <si>
    <t>BGSF</t>
  </si>
  <si>
    <t>BGSF Inc. Common Stock</t>
  </si>
  <si>
    <t>BGSF US Equity</t>
  </si>
  <si>
    <t>NB_367</t>
  </si>
  <si>
    <t>BH</t>
  </si>
  <si>
    <t>Biglari Holdings Inc. Class B Common Stock</t>
  </si>
  <si>
    <t>BH US Equity</t>
  </si>
  <si>
    <t>NB_368</t>
  </si>
  <si>
    <t>BHE</t>
  </si>
  <si>
    <t>Benchmark Electronics Inc. Common Stock</t>
  </si>
  <si>
    <t>Electrical Products</t>
  </si>
  <si>
    <t>BHE US Equity</t>
  </si>
  <si>
    <t>NB_369</t>
  </si>
  <si>
    <t>BHVN</t>
  </si>
  <si>
    <t>Biohaven Ltd. Common Shares</t>
  </si>
  <si>
    <t>BHVN US Equity</t>
  </si>
  <si>
    <t>NB_370</t>
  </si>
  <si>
    <t>BIAF</t>
  </si>
  <si>
    <t>bioAffinity Technologies Inc. Common Stock</t>
  </si>
  <si>
    <t>Biotechnology: Commercial Physical &amp; Biological Resarch</t>
  </si>
  <si>
    <t>BIAF US Equity</t>
  </si>
  <si>
    <t>NB_371</t>
  </si>
  <si>
    <t>BIAFW</t>
  </si>
  <si>
    <t>bioAffinity Technologies Inc. Warrant</t>
  </si>
  <si>
    <t>BIAFW US Equity</t>
  </si>
  <si>
    <t>NB_372</t>
  </si>
  <si>
    <t>BIIB</t>
  </si>
  <si>
    <t>Biogen Inc. Common Stock</t>
  </si>
  <si>
    <t>BIIB US Equity</t>
  </si>
  <si>
    <t>NB_373</t>
  </si>
  <si>
    <t>BILL</t>
  </si>
  <si>
    <t>BILL Holdings Inc. Common Stock</t>
  </si>
  <si>
    <t>BILL US Equity</t>
  </si>
  <si>
    <t>NB_374</t>
  </si>
  <si>
    <t>BIO</t>
  </si>
  <si>
    <t>Bio-Rad Laboratories Inc. Class A Common Stock</t>
  </si>
  <si>
    <t>BIO US Equity</t>
  </si>
  <si>
    <t>NB_375</t>
  </si>
  <si>
    <t>BIOA</t>
  </si>
  <si>
    <t>BioAge Labs Inc. Common Stock</t>
  </si>
  <si>
    <t>BIOA US Equity</t>
  </si>
  <si>
    <t>NB_376</t>
  </si>
  <si>
    <t>BIRD</t>
  </si>
  <si>
    <t>Smartbird Inc. Class A Common Stock</t>
  </si>
  <si>
    <t>Apparel</t>
  </si>
  <si>
    <t>BIRD US Equity</t>
  </si>
  <si>
    <t>NB_377</t>
  </si>
  <si>
    <t>BIVI</t>
  </si>
  <si>
    <t>BioVie Inc. Class A Common Stock</t>
  </si>
  <si>
    <t>BIVI US Equity</t>
  </si>
  <si>
    <t>NB_378</t>
  </si>
  <si>
    <t>BIVIW</t>
  </si>
  <si>
    <t>BioVie Inc. Warrant</t>
  </si>
  <si>
    <t>BIVIW US Equity</t>
  </si>
  <si>
    <t>NB_379</t>
  </si>
  <si>
    <t>BJ</t>
  </si>
  <si>
    <t>BJ's Wholesale Club Holdings Inc. Common Stock</t>
  </si>
  <si>
    <t>Department/Specialty Retail Stores</t>
  </si>
  <si>
    <t>BJ US Equity</t>
  </si>
  <si>
    <t>NB_380</t>
  </si>
  <si>
    <t>BJDX</t>
  </si>
  <si>
    <t>Bluejay Diagnostics Inc. Common Stock</t>
  </si>
  <si>
    <t>BJDX US Equity</t>
  </si>
  <si>
    <t>NB_381</t>
  </si>
  <si>
    <t>BJRI</t>
  </si>
  <si>
    <t>BJ's Restaurants Inc. Common Stock</t>
  </si>
  <si>
    <t>BJRI US Equity</t>
  </si>
  <si>
    <t>NB_382</t>
  </si>
  <si>
    <t>BKD</t>
  </si>
  <si>
    <t>Brookdale Senior Living Inc. Common Stock</t>
  </si>
  <si>
    <t>Hospital/Nursing Management</t>
  </si>
  <si>
    <t>BKD US Equity</t>
  </si>
  <si>
    <t>NB_383</t>
  </si>
  <si>
    <t>BKE</t>
  </si>
  <si>
    <t>Buckle Inc. (The) Common Stock</t>
  </si>
  <si>
    <t>Clothing/Shoe/Accessory Stores</t>
  </si>
  <si>
    <t>BKE US Equity</t>
  </si>
  <si>
    <t>NB_384</t>
  </si>
  <si>
    <t>BKH</t>
  </si>
  <si>
    <t>Black Hills Corporation Common Stock</t>
  </si>
  <si>
    <t>BKH US Equity</t>
  </si>
  <si>
    <t>NB_385</t>
  </si>
  <si>
    <t>BKHA</t>
  </si>
  <si>
    <t>Black Hawk Acquisition Corporation Class A Ordinary Shares</t>
  </si>
  <si>
    <t>BKHA US Equity</t>
  </si>
  <si>
    <t>NB_386</t>
  </si>
  <si>
    <t>BKHAR</t>
  </si>
  <si>
    <t>Black Hawk Acquisition Corporation Rights</t>
  </si>
  <si>
    <t>BKHAR US Equity</t>
  </si>
  <si>
    <t>NB_387</t>
  </si>
  <si>
    <t>BKNG</t>
  </si>
  <si>
    <t>Booking Holdings Inc. Common Stock</t>
  </si>
  <si>
    <t>Transportation Services</t>
  </si>
  <si>
    <t>BKNG US Equity</t>
  </si>
  <si>
    <t>NB_388</t>
  </si>
  <si>
    <t>BKR</t>
  </si>
  <si>
    <t>Baker Hughes Company Class A Common Stock</t>
  </si>
  <si>
    <t>Oil and Gas Field Machinery</t>
  </si>
  <si>
    <t>BKR US Equity</t>
  </si>
  <si>
    <t>NB_389</t>
  </si>
  <si>
    <t>BKSY</t>
  </si>
  <si>
    <t>BlackSky Technology Inc. Class A Common Stock</t>
  </si>
  <si>
    <t>BKSY US Equity</t>
  </si>
  <si>
    <t>NB_390</t>
  </si>
  <si>
    <t>BKTI</t>
  </si>
  <si>
    <t>BK Technologies Corporation Common Stock</t>
  </si>
  <si>
    <t>BKTI US Equity</t>
  </si>
  <si>
    <t>NB_391</t>
  </si>
  <si>
    <t>BKV</t>
  </si>
  <si>
    <t>BKV Corporation Common Stock</t>
  </si>
  <si>
    <t>BKV US Equity</t>
  </si>
  <si>
    <t>NB_392</t>
  </si>
  <si>
    <t>BKYI</t>
  </si>
  <si>
    <t>BIO-key International Inc. Common Stock</t>
  </si>
  <si>
    <t>BKYI US Equity</t>
  </si>
  <si>
    <t>NB_393</t>
  </si>
  <si>
    <t>BL</t>
  </si>
  <si>
    <t>BlackLine Inc. Common Stock</t>
  </si>
  <si>
    <t>BL US Equity</t>
  </si>
  <si>
    <t>NB_394</t>
  </si>
  <si>
    <t>BLBD</t>
  </si>
  <si>
    <t>Blue Bird Corporation Common Stock</t>
  </si>
  <si>
    <t>BLBD US Equity</t>
  </si>
  <si>
    <t>NB_395</t>
  </si>
  <si>
    <t>BLDR</t>
  </si>
  <si>
    <t>Builders FirstSource Inc. Common Stock</t>
  </si>
  <si>
    <t>BLDR US Equity</t>
  </si>
  <si>
    <t>NB_396</t>
  </si>
  <si>
    <t>BLFS</t>
  </si>
  <si>
    <t>BioLife Solutions Inc. Common Stock</t>
  </si>
  <si>
    <t>BLFS US Equity</t>
  </si>
  <si>
    <t>NB_397</t>
  </si>
  <si>
    <t>BLIN</t>
  </si>
  <si>
    <t>Bridgeline Digital Inc. Common Stock</t>
  </si>
  <si>
    <t>BLIN US Equity</t>
  </si>
  <si>
    <t>NB_398</t>
  </si>
  <si>
    <t>BLKB</t>
  </si>
  <si>
    <t>Blackbaud Inc. Common Stock</t>
  </si>
  <si>
    <t>BLKB US Equity</t>
  </si>
  <si>
    <t>NB_399</t>
  </si>
  <si>
    <t>BLLN</t>
  </si>
  <si>
    <t>BillionToOne Inc. Class A Common Stock</t>
  </si>
  <si>
    <t>BLLN US Equity</t>
  </si>
  <si>
    <t>NB_400</t>
  </si>
  <si>
    <t>BLMN</t>
  </si>
  <si>
    <t>Bloomin' Brands Inc. Common Stock</t>
  </si>
  <si>
    <t>BLMN US Equity</t>
  </si>
  <si>
    <t>NB_401</t>
  </si>
  <si>
    <t>BLND</t>
  </si>
  <si>
    <t>Blend Labs Inc. Class A Common Stock</t>
  </si>
  <si>
    <t>Computer Software: Programming Data Processing</t>
  </si>
  <si>
    <t>BLND US Equity</t>
  </si>
  <si>
    <t>NB_402</t>
  </si>
  <si>
    <t>BLSM</t>
  </si>
  <si>
    <t>BlossomHill Therapeutics Inc. Common Stock</t>
  </si>
  <si>
    <t>BLSM US Equity</t>
  </si>
  <si>
    <t>NB_403</t>
  </si>
  <si>
    <t>BLTE</t>
  </si>
  <si>
    <t>Belite Bio Inc American Depositary Shares</t>
  </si>
  <si>
    <t>BLTE US Equity</t>
  </si>
  <si>
    <t>NB_404</t>
  </si>
  <si>
    <t>BLW</t>
  </si>
  <si>
    <t>Blackrock Limited Duration Income Trust</t>
  </si>
  <si>
    <t>BLW US Equity</t>
  </si>
  <si>
    <t>NB_405</t>
  </si>
  <si>
    <t>BLZE</t>
  </si>
  <si>
    <t>Backblaze Inc. Class A Common Stock</t>
  </si>
  <si>
    <t>BLZE US Equity</t>
  </si>
  <si>
    <t>NB_406</t>
  </si>
  <si>
    <t>BMBL</t>
  </si>
  <si>
    <t>Bumble Inc. Class A Common Stock</t>
  </si>
  <si>
    <t>BMBL US Equity</t>
  </si>
  <si>
    <t>NB_407</t>
  </si>
  <si>
    <t>BMEA</t>
  </si>
  <si>
    <t>Biomea Fusion Inc. Common Stock</t>
  </si>
  <si>
    <t>BMEA US Equity</t>
  </si>
  <si>
    <t>NB_408</t>
  </si>
  <si>
    <t>BMI</t>
  </si>
  <si>
    <t>Badger Meter Inc. Common Stock</t>
  </si>
  <si>
    <t>BMI US Equity</t>
  </si>
  <si>
    <t>NB_409</t>
  </si>
  <si>
    <t>BMRA</t>
  </si>
  <si>
    <t>Biomerica Inc. Common Stock</t>
  </si>
  <si>
    <t>Biotechnology: In Vitro &amp; In Vivo Diagnostic Substances</t>
  </si>
  <si>
    <t>BMRA US Equity</t>
  </si>
  <si>
    <t>NB_410</t>
  </si>
  <si>
    <t>BMRN</t>
  </si>
  <si>
    <t>BioMarin Pharmaceutical Inc. Common Stock</t>
  </si>
  <si>
    <t>BMRN US Equity</t>
  </si>
  <si>
    <t>NB_411</t>
  </si>
  <si>
    <t>BMY</t>
  </si>
  <si>
    <t>Bristol-Myers Squibb Company Common Stock</t>
  </si>
  <si>
    <t>BMY US Equity</t>
  </si>
  <si>
    <t>NB_412</t>
  </si>
  <si>
    <t>BNAI</t>
  </si>
  <si>
    <t>Brand Engagement Network Inc. Common Stock</t>
  </si>
  <si>
    <t>BNAI US Equity</t>
  </si>
  <si>
    <t>NB_413</t>
  </si>
  <si>
    <t>BNAIW</t>
  </si>
  <si>
    <t>Brand Engagement Network Inc. Warrant</t>
  </si>
  <si>
    <t>BNAIW US Equity</t>
  </si>
  <si>
    <t>NB_414</t>
  </si>
  <si>
    <t>BNC</t>
  </si>
  <si>
    <t>CEA Industries Inc. Common Stock</t>
  </si>
  <si>
    <t>BNC US Equity</t>
  </si>
  <si>
    <t>NB_415</t>
  </si>
  <si>
    <t>BNCWW</t>
  </si>
  <si>
    <t>CEA Industries Inc. Warrant</t>
  </si>
  <si>
    <t>BNCWW US Equity</t>
  </si>
  <si>
    <t>NB_416</t>
  </si>
  <si>
    <t>BNED</t>
  </si>
  <si>
    <t>Barnes &amp; Noble Education Inc Common Stock</t>
  </si>
  <si>
    <t>BNED US Equity</t>
  </si>
  <si>
    <t>NB_417</t>
  </si>
  <si>
    <t>BNGO</t>
  </si>
  <si>
    <t>Bionano Genomics Inc. Common Stock</t>
  </si>
  <si>
    <t>BNGO US Equity</t>
  </si>
  <si>
    <t>NB_418</t>
  </si>
  <si>
    <t>BNKK</t>
  </si>
  <si>
    <t>Bonk Inc. Common Stock</t>
  </si>
  <si>
    <t>Package Goods/Cosmetics</t>
  </si>
  <si>
    <t>BNKK US Equity</t>
  </si>
  <si>
    <t>NB_419</t>
  </si>
  <si>
    <t>BNTC</t>
  </si>
  <si>
    <t>Benitec Biopharma Inc. Common Stock</t>
  </si>
  <si>
    <t>BNTC US Equity</t>
  </si>
  <si>
    <t>NB_420</t>
  </si>
  <si>
    <t>BODI</t>
  </si>
  <si>
    <t>The Beachbody Company Inc. Class A Common Stock</t>
  </si>
  <si>
    <t>BODI US Equity</t>
  </si>
  <si>
    <t>NB_421</t>
  </si>
  <si>
    <t>BOF</t>
  </si>
  <si>
    <t>BranchOut Food Inc. Common Stock</t>
  </si>
  <si>
    <t>BOF US Equity</t>
  </si>
  <si>
    <t>NB_422</t>
  </si>
  <si>
    <t>BOLD</t>
  </si>
  <si>
    <t>Boundless Bio Inc. Common Stock</t>
  </si>
  <si>
    <t>BOLD US Equity</t>
  </si>
  <si>
    <t>NB_423</t>
  </si>
  <si>
    <t>BOLT</t>
  </si>
  <si>
    <t>Bolt Biotherapeutics Inc. Common Stock</t>
  </si>
  <si>
    <t>BOLT US Equity</t>
  </si>
  <si>
    <t>NB_424</t>
  </si>
  <si>
    <t>BOOM</t>
  </si>
  <si>
    <t>DMC Global Inc. Common Stock</t>
  </si>
  <si>
    <t>BOOM US Equity</t>
  </si>
  <si>
    <t>NB_425</t>
  </si>
  <si>
    <t>BOOT</t>
  </si>
  <si>
    <t>Boot Barn Holdings Inc. Common Stock</t>
  </si>
  <si>
    <t>BOOT US Equity</t>
  </si>
  <si>
    <t>NB_426</t>
  </si>
  <si>
    <t>BOX</t>
  </si>
  <si>
    <t>Box Inc. Class A Common Stock</t>
  </si>
  <si>
    <t>BOX US Equity</t>
  </si>
  <si>
    <t>NB_427</t>
  </si>
  <si>
    <t>BR</t>
  </si>
  <si>
    <t>Broadridge Financial Solutions Inc. Common Stock</t>
  </si>
  <si>
    <t>BR US Equity</t>
  </si>
  <si>
    <t>NB_428</t>
  </si>
  <si>
    <t>BRBR</t>
  </si>
  <si>
    <t>BellRing Brands Inc. Common Stock</t>
  </si>
  <si>
    <t>BRBR US Equity</t>
  </si>
  <si>
    <t>NB_429</t>
  </si>
  <si>
    <t>BRC</t>
  </si>
  <si>
    <t>Brady Corporation Common Stock</t>
  </si>
  <si>
    <t>Miscellaneous manufacturing industries</t>
  </si>
  <si>
    <t>BRC US Equity</t>
  </si>
  <si>
    <t>NB_430</t>
  </si>
  <si>
    <t>BRCB</t>
  </si>
  <si>
    <t>Black Rock Coffee Bar Inc. Class A Common Stock</t>
  </si>
  <si>
    <t>BRCB US Equity</t>
  </si>
  <si>
    <t>NB_431</t>
  </si>
  <si>
    <t>BRCC</t>
  </si>
  <si>
    <t>BRC Inc. Class A Common Stock</t>
  </si>
  <si>
    <t>Beverages (Production/Distribution)</t>
  </si>
  <si>
    <t>BRCC US Equity</t>
  </si>
  <si>
    <t>NB_432</t>
  </si>
  <si>
    <t>BRFH</t>
  </si>
  <si>
    <t>Barfresh Food Group Inc. Common Stock</t>
  </si>
  <si>
    <t>BRFH US Equity</t>
  </si>
  <si>
    <t>NB_433</t>
  </si>
  <si>
    <t>BRID</t>
  </si>
  <si>
    <t>Bridgford Foods Corporation Common Stock</t>
  </si>
  <si>
    <t>Specialty Foods</t>
  </si>
  <si>
    <t>BRID US Equity</t>
  </si>
  <si>
    <t>NB_434</t>
  </si>
  <si>
    <t>BRKHU</t>
  </si>
  <si>
    <t>Burtech Acquisition Corp II Unit</t>
  </si>
  <si>
    <t>BRKHU US Equity</t>
  </si>
  <si>
    <t>NB_435</t>
  </si>
  <si>
    <t>BRKR</t>
  </si>
  <si>
    <t>Bruker Corporation Common Stock</t>
  </si>
  <si>
    <t>BRKR US Equity</t>
  </si>
  <si>
    <t>NB_436</t>
  </si>
  <si>
    <t>BRKRP</t>
  </si>
  <si>
    <t>Bruker Corporation 6.375% Mandatory Convertible Preferred Stock Series A</t>
  </si>
  <si>
    <t>BRKRP US Equity</t>
  </si>
  <si>
    <t>NB_437</t>
  </si>
  <si>
    <t>BRLT</t>
  </si>
  <si>
    <t>Brilliant Earth Group Inc. Class A Common Stock</t>
  </si>
  <si>
    <t>Consumer Specialties</t>
  </si>
  <si>
    <t>BRLT US Equity</t>
  </si>
  <si>
    <t>NB_438</t>
  </si>
  <si>
    <t>BRN</t>
  </si>
  <si>
    <t>Barnwell Industries Inc. Common Stock</t>
  </si>
  <si>
    <t>BRN US Equity</t>
  </si>
  <si>
    <t>NB_439</t>
  </si>
  <si>
    <t>BROS</t>
  </si>
  <si>
    <t>Dutch Bros Inc. Class A Common Stock</t>
  </si>
  <si>
    <t>BROS US Equity</t>
  </si>
  <si>
    <t>NB_440</t>
  </si>
  <si>
    <t>BRSL</t>
  </si>
  <si>
    <t>Brightstar Lottery PLC Trading under the Legal Name to begin at the market open on July 21 2025. Ordinary Shares</t>
  </si>
  <si>
    <t>BRSL US Equity</t>
  </si>
  <si>
    <t>NB_441</t>
  </si>
  <si>
    <t>BRTX</t>
  </si>
  <si>
    <t>BioRestorative Therapies Inc. Common Stock (NV)</t>
  </si>
  <si>
    <t>Managed Health Care</t>
  </si>
  <si>
    <t>BRTX US Equity</t>
  </si>
  <si>
    <t>NB_442</t>
  </si>
  <si>
    <t>BRUN</t>
  </si>
  <si>
    <t>Boost Run Inc. Class A Common Stock</t>
  </si>
  <si>
    <t>BRUN US Equity</t>
  </si>
  <si>
    <t>NB_443</t>
  </si>
  <si>
    <t>BRVE</t>
  </si>
  <si>
    <t>Braveheart Bio Inc. Common Stock</t>
  </si>
  <si>
    <t>BRVE US Equity</t>
  </si>
  <si>
    <t>NB_444</t>
  </si>
  <si>
    <t>BRZE</t>
  </si>
  <si>
    <t>Braze Inc. Class A Common Stock</t>
  </si>
  <si>
    <t>BRZE US Equity</t>
  </si>
  <si>
    <t>NB_445</t>
  </si>
  <si>
    <t>BSEM</t>
  </si>
  <si>
    <t>BioStem Technologies Inc. Common Stock</t>
  </si>
  <si>
    <t>BSEM US Equity</t>
  </si>
  <si>
    <t>NB_446</t>
  </si>
  <si>
    <t>BSET</t>
  </si>
  <si>
    <t>Bassett Furniture Industries Incorporated Common Stock</t>
  </si>
  <si>
    <t>BSET US Equity</t>
  </si>
  <si>
    <t>NB_447</t>
  </si>
  <si>
    <t>BSIN</t>
  </si>
  <si>
    <t>Big Sky Industrial Inc. Common Stock</t>
  </si>
  <si>
    <t>BSIN US Equity</t>
  </si>
  <si>
    <t>NB_448</t>
  </si>
  <si>
    <t>BSM</t>
  </si>
  <si>
    <t>Black Stone Minerals L.P. Common units representing limited partner interests</t>
  </si>
  <si>
    <t>BSM US Equity</t>
  </si>
  <si>
    <t>NB_449</t>
  </si>
  <si>
    <t>BSX</t>
  </si>
  <si>
    <t>Boston Scientific Corporation Common Stock</t>
  </si>
  <si>
    <t>BSX US Equity</t>
  </si>
  <si>
    <t>NB_450</t>
  </si>
  <si>
    <t>BSY</t>
  </si>
  <si>
    <t>Bentley Systems Incorporated Class B Common Stock</t>
  </si>
  <si>
    <t>BSY US Equity</t>
  </si>
  <si>
    <t>NB_451</t>
  </si>
  <si>
    <t>BTBD</t>
  </si>
  <si>
    <t>BT Brands Inc. Common Stock</t>
  </si>
  <si>
    <t>BTBD US Equity</t>
  </si>
  <si>
    <t>NB_452</t>
  </si>
  <si>
    <t>BTBDW</t>
  </si>
  <si>
    <t>BT Brands Inc. Warrant</t>
  </si>
  <si>
    <t>BTBDW US Equity</t>
  </si>
  <si>
    <t>NB_453</t>
  </si>
  <si>
    <t>BTLN</t>
  </si>
  <si>
    <t>Brightline Interactive Inc. Common Stock</t>
  </si>
  <si>
    <t>BTLN US Equity</t>
  </si>
  <si>
    <t>NB_454</t>
  </si>
  <si>
    <t>BTMD</t>
  </si>
  <si>
    <t>Biote Corp. Class A Common Stock</t>
  </si>
  <si>
    <t>Medicinal Chemicals and Botanical Products</t>
  </si>
  <si>
    <t>BTMD US Equity</t>
  </si>
  <si>
    <t>NB_455</t>
  </si>
  <si>
    <t>BTOC</t>
  </si>
  <si>
    <t>Armlogi Holding Corp. Common Stock</t>
  </si>
  <si>
    <t>Office Equipment/Supplies/Services</t>
  </si>
  <si>
    <t>BTOC US Equity</t>
  </si>
  <si>
    <t>NB_456</t>
  </si>
  <si>
    <t>BTSG</t>
  </si>
  <si>
    <t>BrightSpring Health Services Inc. Common Stock</t>
  </si>
  <si>
    <t>BTSG US Equity</t>
  </si>
  <si>
    <t>NB_457</t>
  </si>
  <si>
    <t>BTSGU</t>
  </si>
  <si>
    <t>BrightSpring Health Services Inc. Tangible Equity Unit</t>
  </si>
  <si>
    <t>BTSGU US Equity</t>
  </si>
  <si>
    <t>NB_458</t>
  </si>
  <si>
    <t>BTU</t>
  </si>
  <si>
    <t>Peabody Energy Corporation Common Stock</t>
  </si>
  <si>
    <t>Coal Mining</t>
  </si>
  <si>
    <t>BTU US Equity</t>
  </si>
  <si>
    <t>NB_459</t>
  </si>
  <si>
    <t>BURL</t>
  </si>
  <si>
    <t>Burlington Stores Inc. Common Stock</t>
  </si>
  <si>
    <t>BURL US Equity</t>
  </si>
  <si>
    <t>NB_460</t>
  </si>
  <si>
    <t>BV</t>
  </si>
  <si>
    <t>BrightView Holdings Inc. Common Stock</t>
  </si>
  <si>
    <t>BV US Equity</t>
  </si>
  <si>
    <t>NB_461</t>
  </si>
  <si>
    <t>BVS</t>
  </si>
  <si>
    <t>Bioventus Inc. Class A Common Stock</t>
  </si>
  <si>
    <t>BVS US Equity</t>
  </si>
  <si>
    <t>NB_462</t>
  </si>
  <si>
    <t>BW</t>
  </si>
  <si>
    <t>Babcock &amp; Wilcox Enterprises Inc. Common Stock</t>
  </si>
  <si>
    <t>BW US Equity</t>
  </si>
  <si>
    <t>NB_463</t>
  </si>
  <si>
    <t>BWA</t>
  </si>
  <si>
    <t>BorgWarner Inc. Common Stock</t>
  </si>
  <si>
    <t>BWA US Equity</t>
  </si>
  <si>
    <t>NB_464</t>
  </si>
  <si>
    <t>BWEN</t>
  </si>
  <si>
    <t>Broadwind Inc. Common Stock</t>
  </si>
  <si>
    <t>Metal Fabrications</t>
  </si>
  <si>
    <t>BWEN US Equity</t>
  </si>
  <si>
    <t>NB_465</t>
  </si>
  <si>
    <t>BWMN</t>
  </si>
  <si>
    <t>Bowman Consulting Group Ltd. Common Stock</t>
  </si>
  <si>
    <t>BWMN US Equity</t>
  </si>
  <si>
    <t>NB_466</t>
  </si>
  <si>
    <t>BWXT</t>
  </si>
  <si>
    <t>BWX Technologies Inc. Common Stock</t>
  </si>
  <si>
    <t>BWXT US Equity</t>
  </si>
  <si>
    <t>NB_467</t>
  </si>
  <si>
    <t>BXBL</t>
  </si>
  <si>
    <t>BOXABL Inc. Common stock</t>
  </si>
  <si>
    <t>Homebuilding</t>
  </si>
  <si>
    <t>BXBL US Equity</t>
  </si>
  <si>
    <t>NB_468</t>
  </si>
  <si>
    <t>BXC</t>
  </si>
  <si>
    <t>Bluelinx Holdings Inc. Common Stock</t>
  </si>
  <si>
    <t>Wholesale Distributors</t>
  </si>
  <si>
    <t>BXC US Equity</t>
  </si>
  <si>
    <t>NB_469</t>
  </si>
  <si>
    <t>BYD</t>
  </si>
  <si>
    <t>Boyd Gaming Corporation Common Stock</t>
  </si>
  <si>
    <t>BYD US Equity</t>
  </si>
  <si>
    <t>NB_470</t>
  </si>
  <si>
    <t>BYND</t>
  </si>
  <si>
    <t>Beyond Meat Inc. Common Stock</t>
  </si>
  <si>
    <t>BYND US Equity</t>
  </si>
  <si>
    <t>NB_471</t>
  </si>
  <si>
    <t>BYSI</t>
  </si>
  <si>
    <t>BeyondSpring Inc. Ordinary Shares</t>
  </si>
  <si>
    <t>BYSI US Equity</t>
  </si>
  <si>
    <t>NB_472</t>
  </si>
  <si>
    <t>BZAI</t>
  </si>
  <si>
    <t>Blaize Holdings Inc. Common Stock</t>
  </si>
  <si>
    <t>BZAI US Equity</t>
  </si>
  <si>
    <t>NB_473</t>
  </si>
  <si>
    <t>BZAIW</t>
  </si>
  <si>
    <t>Blaize Holdings Inc. Warrants</t>
  </si>
  <si>
    <t>BZAIW US Equity</t>
  </si>
  <si>
    <t>NB_474</t>
  </si>
  <si>
    <t>BZFD</t>
  </si>
  <si>
    <t>BuzzFeed Inc. Class A Common Stock</t>
  </si>
  <si>
    <t>BZFD US Equity</t>
  </si>
  <si>
    <t>NB_475</t>
  </si>
  <si>
    <t>BZFDW</t>
  </si>
  <si>
    <t>BuzzFeed Inc. Warrant</t>
  </si>
  <si>
    <t>BZFDW US Equity</t>
  </si>
  <si>
    <t>NB_476</t>
  </si>
  <si>
    <t>BZH</t>
  </si>
  <si>
    <t>Beazer Homes USA Inc. Common Stock</t>
  </si>
  <si>
    <t>BZH US Equity</t>
  </si>
  <si>
    <t>NB_477</t>
  </si>
  <si>
    <t>CABA</t>
  </si>
  <si>
    <t>Cabaletta Bio Inc. Common Stock</t>
  </si>
  <si>
    <t>CABA US Equity</t>
  </si>
  <si>
    <t>NB_478</t>
  </si>
  <si>
    <t>CABO</t>
  </si>
  <si>
    <t>Cable One Inc. Common Stock</t>
  </si>
  <si>
    <t>Cable &amp; Other Pay Television Services</t>
  </si>
  <si>
    <t>CABO US Equity</t>
  </si>
  <si>
    <t>NB_479</t>
  </si>
  <si>
    <t>CABR</t>
  </si>
  <si>
    <t>Caring Brands Inc. Common Stock</t>
  </si>
  <si>
    <t>CABR US Equity</t>
  </si>
  <si>
    <t>NB_480</t>
  </si>
  <si>
    <t>CACI</t>
  </si>
  <si>
    <t>CACI International Inc. Class A Common Stock</t>
  </si>
  <si>
    <t>CACI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</si>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</sst>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32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33</v>
      </c>
      <c r="B5" t="s">
        <v>14</v>
      </c>
      <c r="C5" t="s">
        <v>15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39</v>
      </c>
      <c r="B6" t="s">
        <v>14</v>
      </c>
      <c r="C6" t="s">
        <v>15</v>
      </c>
      <c r="D6" t="s">
        <v>40</v>
      </c>
      <c r="E6" t="s">
        <v>41</v>
      </c>
      <c r="F6" t="s">
        <v>36</v>
      </c>
      <c r="G6" t="s">
        <v>42</v>
      </c>
      <c r="H6" t="s">
        <v>43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44</v>
      </c>
      <c r="B7" t="s">
        <v>14</v>
      </c>
      <c r="C7" t="s">
        <v>15</v>
      </c>
      <c r="D7" t="s">
        <v>45</v>
      </c>
      <c r="E7" t="s">
        <v>46</v>
      </c>
      <c r="F7" t="s">
        <v>26</v>
      </c>
      <c r="G7" t="s">
        <v>47</v>
      </c>
      <c r="H7" t="s">
        <v>48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49</v>
      </c>
      <c r="B8" t="s">
        <v>14</v>
      </c>
      <c r="C8" t="s">
        <v>15</v>
      </c>
      <c r="D8" t="s">
        <v>50</v>
      </c>
      <c r="E8" t="s">
        <v>51</v>
      </c>
      <c r="F8" t="s">
        <v>18</v>
      </c>
      <c r="G8" t="s">
        <v>19</v>
      </c>
      <c r="H8" t="s">
        <v>52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53</v>
      </c>
      <c r="B9" t="s">
        <v>14</v>
      </c>
      <c r="C9" t="s">
        <v>15</v>
      </c>
      <c r="D9" t="s">
        <v>54</v>
      </c>
      <c r="E9" t="s">
        <v>55</v>
      </c>
      <c r="F9" t="s">
        <v>18</v>
      </c>
      <c r="G9" t="s">
        <v>19</v>
      </c>
      <c r="H9" t="s">
        <v>56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57</v>
      </c>
      <c r="B10" t="s">
        <v>14</v>
      </c>
      <c r="C10" t="s">
        <v>15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63</v>
      </c>
      <c r="B11" t="s">
        <v>14</v>
      </c>
      <c r="C11" t="s">
        <v>15</v>
      </c>
      <c r="D11" t="s">
        <v>64</v>
      </c>
      <c r="E11" t="s">
        <v>65</v>
      </c>
      <c r="F11" t="s">
        <v>36</v>
      </c>
      <c r="G11" t="s">
        <v>66</v>
      </c>
      <c r="H11" t="s">
        <v>67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68</v>
      </c>
      <c r="B12" t="s">
        <v>14</v>
      </c>
      <c r="C12" t="s">
        <v>15</v>
      </c>
      <c r="D12" t="s">
        <v>69</v>
      </c>
      <c r="E12" t="s">
        <v>70</v>
      </c>
      <c r="F12" t="s">
        <v>60</v>
      </c>
      <c r="G12" t="s">
        <v>71</v>
      </c>
      <c r="H12" t="s">
        <v>72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73</v>
      </c>
      <c r="B13" t="s">
        <v>14</v>
      </c>
      <c r="C13" t="s">
        <v>15</v>
      </c>
      <c r="D13" t="s">
        <v>74</v>
      </c>
      <c r="E13" t="s">
        <v>75</v>
      </c>
      <c r="F13" t="s">
        <v>18</v>
      </c>
      <c r="G13" t="s">
        <v>19</v>
      </c>
      <c r="H13" t="s">
        <v>76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77</v>
      </c>
      <c r="B14" t="s">
        <v>14</v>
      </c>
      <c r="C14" t="s">
        <v>15</v>
      </c>
      <c r="D14" t="s">
        <v>78</v>
      </c>
      <c r="E14" t="s">
        <v>79</v>
      </c>
      <c r="F14" t="s">
        <v>60</v>
      </c>
      <c r="G14" t="s">
        <v>80</v>
      </c>
      <c r="H14" t="s">
        <v>81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82</v>
      </c>
      <c r="B15" t="s">
        <v>14</v>
      </c>
      <c r="C15" t="s">
        <v>15</v>
      </c>
      <c r="D15" t="s">
        <v>83</v>
      </c>
      <c r="E15" t="s">
        <v>84</v>
      </c>
      <c r="F15" t="s">
        <v>36</v>
      </c>
      <c r="G15" t="s">
        <v>66</v>
      </c>
      <c r="H15" t="s">
        <v>85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86</v>
      </c>
      <c r="B16" t="s">
        <v>14</v>
      </c>
      <c r="C16" t="s">
        <v>15</v>
      </c>
      <c r="D16" t="s">
        <v>87</v>
      </c>
      <c r="E16" t="s">
        <v>88</v>
      </c>
      <c r="F16" t="s">
        <v>60</v>
      </c>
      <c r="G16" t="s">
        <v>89</v>
      </c>
      <c r="H16" t="s">
        <v>90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91</v>
      </c>
      <c r="B17" t="s">
        <v>14</v>
      </c>
      <c r="C17" t="s">
        <v>15</v>
      </c>
      <c r="D17" t="s">
        <v>92</v>
      </c>
      <c r="E17" t="s">
        <v>93</v>
      </c>
      <c r="F17" t="s">
        <v>36</v>
      </c>
      <c r="G17" t="s">
        <v>94</v>
      </c>
      <c r="H17" t="s">
        <v>95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36</v>
      </c>
      <c r="G18" t="s">
        <v>99</v>
      </c>
      <c r="H18" t="s">
        <v>100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101</v>
      </c>
      <c r="B19" t="s">
        <v>14</v>
      </c>
      <c r="C19" t="s">
        <v>15</v>
      </c>
      <c r="D19" t="s">
        <v>102</v>
      </c>
      <c r="E19" t="s">
        <v>103</v>
      </c>
      <c r="F19" t="s">
        <v>60</v>
      </c>
      <c r="G19" t="s">
        <v>104</v>
      </c>
      <c r="H19" t="s">
        <v>105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106</v>
      </c>
      <c r="B20" t="s">
        <v>14</v>
      </c>
      <c r="C20" t="s">
        <v>15</v>
      </c>
      <c r="D20" t="s">
        <v>107</v>
      </c>
      <c r="E20" t="s">
        <v>108</v>
      </c>
      <c r="F20" t="s">
        <v>26</v>
      </c>
      <c r="G20" t="s">
        <v>109</v>
      </c>
      <c r="H20" t="s">
        <v>110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111</v>
      </c>
      <c r="B21" t="s">
        <v>14</v>
      </c>
      <c r="C21" t="s">
        <v>15</v>
      </c>
      <c r="D21" t="s">
        <v>112</v>
      </c>
      <c r="E21" t="s">
        <v>113</v>
      </c>
      <c r="F21" t="s">
        <v>60</v>
      </c>
      <c r="G21" t="s">
        <v>114</v>
      </c>
      <c r="H21" t="s">
        <v>115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116</v>
      </c>
      <c r="B22" t="s">
        <v>14</v>
      </c>
      <c r="C22" t="s">
        <v>15</v>
      </c>
      <c r="D22" t="s">
        <v>117</v>
      </c>
      <c r="E22" t="s">
        <v>118</v>
      </c>
      <c r="F22" t="s">
        <v>26</v>
      </c>
      <c r="G22" t="s">
        <v>119</v>
      </c>
      <c r="H22" t="s">
        <v>120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121</v>
      </c>
      <c r="B23" t="s">
        <v>14</v>
      </c>
      <c r="C23" t="s">
        <v>15</v>
      </c>
      <c r="D23" t="s">
        <v>122</v>
      </c>
      <c r="E23" t="s">
        <v>123</v>
      </c>
      <c r="F23" t="s">
        <v>26</v>
      </c>
      <c r="G23" t="s">
        <v>124</v>
      </c>
      <c r="H23" t="s">
        <v>125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126</v>
      </c>
      <c r="B24" t="s">
        <v>14</v>
      </c>
      <c r="C24" t="s">
        <v>15</v>
      </c>
      <c r="D24" t="s">
        <v>127</v>
      </c>
      <c r="E24" t="s">
        <v>128</v>
      </c>
      <c r="F24" t="s">
        <v>18</v>
      </c>
      <c r="G24" t="s">
        <v>129</v>
      </c>
      <c r="H24" t="s">
        <v>130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131</v>
      </c>
      <c r="B25" t="s">
        <v>14</v>
      </c>
      <c r="C25" t="s">
        <v>15</v>
      </c>
      <c r="D25" t="s">
        <v>132</v>
      </c>
      <c r="E25" t="s">
        <v>133</v>
      </c>
      <c r="F25" t="s">
        <v>134</v>
      </c>
      <c r="G25" t="s">
        <v>135</v>
      </c>
      <c r="H25" t="s">
        <v>136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137</v>
      </c>
      <c r="B26" t="s">
        <v>14</v>
      </c>
      <c r="C26" t="s">
        <v>15</v>
      </c>
      <c r="D26" t="s">
        <v>138</v>
      </c>
      <c r="E26" t="s">
        <v>139</v>
      </c>
      <c r="F26" t="s">
        <v>60</v>
      </c>
      <c r="G26" t="s">
        <v>140</v>
      </c>
      <c r="H26" t="s">
        <v>141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142</v>
      </c>
      <c r="B27" t="s">
        <v>14</v>
      </c>
      <c r="C27" t="s">
        <v>15</v>
      </c>
      <c r="D27" t="s">
        <v>143</v>
      </c>
      <c r="E27" t="s">
        <v>144</v>
      </c>
      <c r="F27" t="s">
        <v>134</v>
      </c>
      <c r="G27" t="s">
        <v>114</v>
      </c>
      <c r="H27" t="s">
        <v>145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146</v>
      </c>
      <c r="B28" t="s">
        <v>14</v>
      </c>
      <c r="C28" t="s">
        <v>15</v>
      </c>
      <c r="D28" t="s">
        <v>147</v>
      </c>
      <c r="E28" t="s">
        <v>148</v>
      </c>
      <c r="F28" t="s">
        <v>26</v>
      </c>
      <c r="G28" t="s">
        <v>47</v>
      </c>
      <c r="H28" t="s">
        <v>149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150</v>
      </c>
      <c r="B29" t="s">
        <v>14</v>
      </c>
      <c r="C29" t="s">
        <v>15</v>
      </c>
      <c r="D29" t="s">
        <v>151</v>
      </c>
      <c r="E29" t="s">
        <v>152</v>
      </c>
      <c r="F29" t="s">
        <v>36</v>
      </c>
      <c r="G29" t="s">
        <v>153</v>
      </c>
      <c r="H29" t="s">
        <v>154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155</v>
      </c>
      <c r="B30" t="s">
        <v>14</v>
      </c>
      <c r="C30" t="s">
        <v>15</v>
      </c>
      <c r="D30" t="s">
        <v>156</v>
      </c>
      <c r="E30" t="s">
        <v>157</v>
      </c>
      <c r="F30" t="s">
        <v>36</v>
      </c>
      <c r="G30" t="s">
        <v>158</v>
      </c>
      <c r="H30" t="s">
        <v>159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160</v>
      </c>
      <c r="B31" t="s">
        <v>14</v>
      </c>
      <c r="C31" t="s">
        <v>15</v>
      </c>
      <c r="D31" t="s">
        <v>161</v>
      </c>
      <c r="E31" t="s">
        <v>162</v>
      </c>
      <c r="F31" t="s">
        <v>60</v>
      </c>
      <c r="G31" t="s">
        <v>163</v>
      </c>
      <c r="H31" t="s">
        <v>164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165</v>
      </c>
      <c r="B32" t="s">
        <v>14</v>
      </c>
      <c r="C32" t="s">
        <v>15</v>
      </c>
      <c r="D32" t="s">
        <v>166</v>
      </c>
      <c r="E32" t="s">
        <v>167</v>
      </c>
      <c r="F32" t="s">
        <v>134</v>
      </c>
      <c r="G32" t="s">
        <v>114</v>
      </c>
      <c r="H32" t="s">
        <v>168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169</v>
      </c>
      <c r="B33" t="s">
        <v>14</v>
      </c>
      <c r="C33" t="s">
        <v>15</v>
      </c>
      <c r="D33" t="s">
        <v>170</v>
      </c>
      <c r="E33" t="s">
        <v>171</v>
      </c>
      <c r="F33" t="s">
        <v>18</v>
      </c>
      <c r="G33" t="s">
        <v>19</v>
      </c>
      <c r="H33" t="s">
        <v>172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173</v>
      </c>
      <c r="B34" t="s">
        <v>14</v>
      </c>
      <c r="C34" t="s">
        <v>15</v>
      </c>
      <c r="D34" t="s">
        <v>174</v>
      </c>
      <c r="E34" t="s">
        <v>175</v>
      </c>
      <c r="F34" t="s">
        <v>176</v>
      </c>
      <c r="G34" t="s">
        <v>177</v>
      </c>
      <c r="H34" t="s">
        <v>178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179</v>
      </c>
      <c r="B35" t="s">
        <v>14</v>
      </c>
      <c r="C35" t="s">
        <v>15</v>
      </c>
      <c r="D35" t="s">
        <v>180</v>
      </c>
      <c r="E35" t="s">
        <v>181</v>
      </c>
      <c r="F35" t="s">
        <v>26</v>
      </c>
      <c r="G35" t="s">
        <v>109</v>
      </c>
      <c r="H35" t="s">
        <v>182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183</v>
      </c>
      <c r="B36" t="s">
        <v>14</v>
      </c>
      <c r="C36" t="s">
        <v>15</v>
      </c>
      <c r="D36" t="s">
        <v>184</v>
      </c>
      <c r="E36" t="s">
        <v>185</v>
      </c>
      <c r="F36" t="s">
        <v>18</v>
      </c>
      <c r="G36" t="s">
        <v>19</v>
      </c>
      <c r="H36" t="s">
        <v>186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187</v>
      </c>
      <c r="B37" t="s">
        <v>14</v>
      </c>
      <c r="C37" t="s">
        <v>15</v>
      </c>
      <c r="D37" t="s">
        <v>188</v>
      </c>
      <c r="E37" t="s">
        <v>189</v>
      </c>
      <c r="F37" t="s">
        <v>36</v>
      </c>
      <c r="G37" t="s">
        <v>190</v>
      </c>
      <c r="H37" t="s">
        <v>191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192</v>
      </c>
      <c r="B38" t="s">
        <v>14</v>
      </c>
      <c r="C38" t="s">
        <v>15</v>
      </c>
      <c r="D38" t="s">
        <v>193</v>
      </c>
      <c r="E38" t="s">
        <v>194</v>
      </c>
      <c r="F38" t="s">
        <v>18</v>
      </c>
      <c r="G38" t="s">
        <v>195</v>
      </c>
      <c r="H38" t="s">
        <v>196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197</v>
      </c>
      <c r="B39" t="s">
        <v>14</v>
      </c>
      <c r="C39" t="s">
        <v>15</v>
      </c>
      <c r="D39" t="s">
        <v>198</v>
      </c>
      <c r="E39" t="s">
        <v>199</v>
      </c>
      <c r="F39" t="s">
        <v>18</v>
      </c>
      <c r="G39" t="s">
        <v>129</v>
      </c>
      <c r="H39" t="s">
        <v>200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201</v>
      </c>
      <c r="B40" t="s">
        <v>14</v>
      </c>
      <c r="C40" t="s">
        <v>15</v>
      </c>
      <c r="D40" t="s">
        <v>202</v>
      </c>
      <c r="E40" t="s">
        <v>203</v>
      </c>
      <c r="F40" t="s">
        <v>36</v>
      </c>
      <c r="G40" t="s">
        <v>37</v>
      </c>
      <c r="H40" t="s">
        <v>204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205</v>
      </c>
      <c r="B41" t="s">
        <v>14</v>
      </c>
      <c r="C41" t="s">
        <v>15</v>
      </c>
      <c r="D41" t="s">
        <v>206</v>
      </c>
      <c r="E41" t="s">
        <v>207</v>
      </c>
      <c r="F41" t="s">
        <v>18</v>
      </c>
      <c r="G41" t="s">
        <v>195</v>
      </c>
      <c r="H41" t="s">
        <v>208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209</v>
      </c>
      <c r="B42" t="s">
        <v>14</v>
      </c>
      <c r="C42" t="s">
        <v>15</v>
      </c>
      <c r="D42" t="s">
        <v>210</v>
      </c>
      <c r="E42" t="s">
        <v>211</v>
      </c>
      <c r="F42" t="s">
        <v>18</v>
      </c>
      <c r="G42" t="s">
        <v>195</v>
      </c>
      <c r="H42" t="s">
        <v>212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213</v>
      </c>
      <c r="B43" t="s">
        <v>14</v>
      </c>
      <c r="C43" t="s">
        <v>15</v>
      </c>
      <c r="D43" t="s">
        <v>214</v>
      </c>
      <c r="E43" t="s">
        <v>215</v>
      </c>
      <c r="F43" t="s">
        <v>60</v>
      </c>
      <c r="G43" t="s">
        <v>104</v>
      </c>
      <c r="H43" t="s">
        <v>216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217</v>
      </c>
      <c r="B44" t="s">
        <v>14</v>
      </c>
      <c r="C44" t="s">
        <v>15</v>
      </c>
      <c r="D44" t="s">
        <v>218</v>
      </c>
      <c r="E44" t="s">
        <v>219</v>
      </c>
      <c r="F44" t="s">
        <v>220</v>
      </c>
      <c r="G44" t="s">
        <v>221</v>
      </c>
      <c r="H44" t="s">
        <v>222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223</v>
      </c>
      <c r="B45" t="s">
        <v>14</v>
      </c>
      <c r="C45" t="s">
        <v>15</v>
      </c>
      <c r="D45" t="s">
        <v>224</v>
      </c>
      <c r="E45" t="s">
        <v>225</v>
      </c>
      <c r="F45" t="s">
        <v>26</v>
      </c>
      <c r="G45" t="s">
        <v>47</v>
      </c>
      <c r="H45" t="s">
        <v>226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227</v>
      </c>
      <c r="B46" t="s">
        <v>14</v>
      </c>
      <c r="C46" t="s">
        <v>15</v>
      </c>
      <c r="D46" t="s">
        <v>228</v>
      </c>
      <c r="E46" t="s">
        <v>229</v>
      </c>
      <c r="F46" t="s">
        <v>26</v>
      </c>
      <c r="G46" t="s">
        <v>119</v>
      </c>
      <c r="H46" t="s">
        <v>230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231</v>
      </c>
      <c r="B47" t="s">
        <v>14</v>
      </c>
      <c r="C47" t="s">
        <v>15</v>
      </c>
      <c r="D47" t="s">
        <v>232</v>
      </c>
      <c r="E47" t="s">
        <v>233</v>
      </c>
      <c r="F47" t="s">
        <v>18</v>
      </c>
      <c r="G47" t="s">
        <v>195</v>
      </c>
      <c r="H47" t="s">
        <v>234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235</v>
      </c>
      <c r="B48" t="s">
        <v>14</v>
      </c>
      <c r="C48" t="s">
        <v>15</v>
      </c>
      <c r="D48" t="s">
        <v>236</v>
      </c>
      <c r="E48" t="s">
        <v>237</v>
      </c>
      <c r="F48" t="s">
        <v>26</v>
      </c>
      <c r="G48" t="s">
        <v>119</v>
      </c>
      <c r="H48" t="s">
        <v>238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239</v>
      </c>
      <c r="B49" t="s">
        <v>14</v>
      </c>
      <c r="C49" t="s">
        <v>15</v>
      </c>
      <c r="D49" t="s">
        <v>240</v>
      </c>
      <c r="E49" t="s">
        <v>241</v>
      </c>
      <c r="F49" t="s">
        <v>26</v>
      </c>
      <c r="G49" t="s">
        <v>119</v>
      </c>
      <c r="H49" t="s">
        <v>242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243</v>
      </c>
      <c r="B50" t="s">
        <v>14</v>
      </c>
      <c r="C50" t="s">
        <v>15</v>
      </c>
      <c r="D50" t="s">
        <v>244</v>
      </c>
      <c r="E50" t="s">
        <v>245</v>
      </c>
      <c r="F50" t="s">
        <v>176</v>
      </c>
      <c r="G50" t="s">
        <v>246</v>
      </c>
      <c r="H50" t="s">
        <v>247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248</v>
      </c>
      <c r="B51" t="s">
        <v>14</v>
      </c>
      <c r="C51" t="s">
        <v>15</v>
      </c>
      <c r="D51" t="s">
        <v>249</v>
      </c>
      <c r="E51" t="s">
        <v>250</v>
      </c>
      <c r="F51" t="s">
        <v>18</v>
      </c>
      <c r="G51" t="s">
        <v>251</v>
      </c>
      <c r="H51" t="s">
        <v>252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253</v>
      </c>
      <c r="B52" t="s">
        <v>14</v>
      </c>
      <c r="C52" t="s">
        <v>15</v>
      </c>
      <c r="D52" t="s">
        <v>254</v>
      </c>
      <c r="E52" t="s">
        <v>255</v>
      </c>
      <c r="F52" t="s">
        <v>36</v>
      </c>
      <c r="G52" t="s">
        <v>256</v>
      </c>
      <c r="H52" t="s">
        <v>257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258</v>
      </c>
      <c r="B53" t="s">
        <v>14</v>
      </c>
      <c r="C53" t="s">
        <v>15</v>
      </c>
      <c r="D53" t="s">
        <v>259</v>
      </c>
      <c r="E53" t="s">
        <v>260</v>
      </c>
      <c r="F53" t="s">
        <v>18</v>
      </c>
      <c r="G53" t="s">
        <v>19</v>
      </c>
      <c r="H53" t="s">
        <v>261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262</v>
      </c>
      <c r="B54" t="s">
        <v>14</v>
      </c>
      <c r="C54" t="s">
        <v>15</v>
      </c>
      <c r="D54" t="s">
        <v>263</v>
      </c>
      <c r="E54" t="s">
        <v>264</v>
      </c>
      <c r="F54" t="s">
        <v>36</v>
      </c>
      <c r="G54" t="s">
        <v>265</v>
      </c>
      <c r="H54" t="s">
        <v>266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267</v>
      </c>
      <c r="B55" t="s">
        <v>14</v>
      </c>
      <c r="C55" t="s">
        <v>15</v>
      </c>
      <c r="D55" t="s">
        <v>268</v>
      </c>
      <c r="E55" t="s">
        <v>269</v>
      </c>
      <c r="F55" t="s">
        <v>26</v>
      </c>
      <c r="G55" t="s">
        <v>109</v>
      </c>
      <c r="H55" t="s">
        <v>270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271</v>
      </c>
      <c r="B56" t="s">
        <v>14</v>
      </c>
      <c r="C56" t="s">
        <v>15</v>
      </c>
      <c r="D56" t="s">
        <v>272</v>
      </c>
      <c r="E56" t="s">
        <v>273</v>
      </c>
      <c r="F56" t="s">
        <v>18</v>
      </c>
      <c r="G56" t="s">
        <v>19</v>
      </c>
      <c r="H56" t="s">
        <v>274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275</v>
      </c>
      <c r="B57" t="s">
        <v>14</v>
      </c>
      <c r="C57" t="s">
        <v>15</v>
      </c>
      <c r="D57" t="s">
        <v>276</v>
      </c>
      <c r="E57" t="s">
        <v>277</v>
      </c>
      <c r="F57" t="s">
        <v>18</v>
      </c>
      <c r="G57" t="s">
        <v>19</v>
      </c>
      <c r="H57" t="s">
        <v>278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279</v>
      </c>
      <c r="B58" t="s">
        <v>14</v>
      </c>
      <c r="C58" t="s">
        <v>15</v>
      </c>
      <c r="D58" t="s">
        <v>280</v>
      </c>
      <c r="E58" t="s">
        <v>281</v>
      </c>
      <c r="F58" t="s">
        <v>36</v>
      </c>
      <c r="G58" t="s">
        <v>66</v>
      </c>
      <c r="H58" t="s">
        <v>282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283</v>
      </c>
      <c r="B59" t="s">
        <v>14</v>
      </c>
      <c r="C59" t="s">
        <v>15</v>
      </c>
      <c r="D59" t="s">
        <v>284</v>
      </c>
      <c r="E59" t="s">
        <v>285</v>
      </c>
      <c r="F59" t="s">
        <v>26</v>
      </c>
      <c r="G59" t="s">
        <v>286</v>
      </c>
      <c r="H59" t="s">
        <v>287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288</v>
      </c>
      <c r="B60" t="s">
        <v>14</v>
      </c>
      <c r="C60" t="s">
        <v>15</v>
      </c>
      <c r="D60" t="s">
        <v>289</v>
      </c>
      <c r="E60" t="s">
        <v>290</v>
      </c>
      <c r="F60" t="s">
        <v>291</v>
      </c>
      <c r="G60" t="s">
        <v>292</v>
      </c>
      <c r="H60" t="s">
        <v>293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294</v>
      </c>
      <c r="B61" t="s">
        <v>14</v>
      </c>
      <c r="C61" t="s">
        <v>15</v>
      </c>
      <c r="D61" t="s">
        <v>295</v>
      </c>
      <c r="E61" t="s">
        <v>296</v>
      </c>
      <c r="F61" t="s">
        <v>26</v>
      </c>
      <c r="G61" t="s">
        <v>47</v>
      </c>
      <c r="H61" t="s">
        <v>297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298</v>
      </c>
      <c r="B62" t="s">
        <v>14</v>
      </c>
      <c r="C62" t="s">
        <v>15</v>
      </c>
      <c r="D62" t="s">
        <v>299</v>
      </c>
      <c r="E62" t="s">
        <v>300</v>
      </c>
      <c r="F62" t="s">
        <v>18</v>
      </c>
      <c r="G62" t="s">
        <v>71</v>
      </c>
      <c r="H62" t="s">
        <v>301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302</v>
      </c>
      <c r="B63" t="s">
        <v>14</v>
      </c>
      <c r="C63" t="s">
        <v>15</v>
      </c>
      <c r="D63" t="s">
        <v>303</v>
      </c>
      <c r="E63" t="s">
        <v>304</v>
      </c>
      <c r="F63" t="s">
        <v>26</v>
      </c>
      <c r="G63" t="s">
        <v>27</v>
      </c>
      <c r="H63" t="s">
        <v>305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306</v>
      </c>
      <c r="B64" t="s">
        <v>14</v>
      </c>
      <c r="C64" t="s">
        <v>15</v>
      </c>
      <c r="D64" t="s">
        <v>307</v>
      </c>
      <c r="E64" t="s">
        <v>308</v>
      </c>
      <c r="F64" t="s">
        <v>36</v>
      </c>
      <c r="G64" t="s">
        <v>94</v>
      </c>
      <c r="H64" t="s">
        <v>309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310</v>
      </c>
      <c r="B65" t="s">
        <v>14</v>
      </c>
      <c r="C65" t="s">
        <v>15</v>
      </c>
      <c r="D65" t="s">
        <v>311</v>
      </c>
      <c r="E65" t="s">
        <v>312</v>
      </c>
      <c r="F65" t="s">
        <v>18</v>
      </c>
      <c r="G65" t="s">
        <v>19</v>
      </c>
      <c r="H65" t="s">
        <v>313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314</v>
      </c>
      <c r="B66" t="s">
        <v>14</v>
      </c>
      <c r="C66" t="s">
        <v>15</v>
      </c>
      <c r="D66" t="s">
        <v>315</v>
      </c>
      <c r="E66" t="s">
        <v>316</v>
      </c>
      <c r="F66" t="s">
        <v>18</v>
      </c>
      <c r="G66" t="s">
        <v>195</v>
      </c>
      <c r="H66" t="s">
        <v>317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318</v>
      </c>
      <c r="B67" t="s">
        <v>14</v>
      </c>
      <c r="C67" t="s">
        <v>15</v>
      </c>
      <c r="D67" t="s">
        <v>319</v>
      </c>
      <c r="E67" t="s">
        <v>320</v>
      </c>
      <c r="F67" t="s">
        <v>60</v>
      </c>
      <c r="G67" t="s">
        <v>321</v>
      </c>
      <c r="H67" t="s">
        <v>322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323</v>
      </c>
      <c r="B68" t="s">
        <v>14</v>
      </c>
      <c r="C68" t="s">
        <v>15</v>
      </c>
      <c r="D68" t="s">
        <v>324</v>
      </c>
      <c r="E68" t="s">
        <v>325</v>
      </c>
      <c r="F68" t="s">
        <v>36</v>
      </c>
      <c r="G68" t="s">
        <v>190</v>
      </c>
      <c r="H68" t="s">
        <v>326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327</v>
      </c>
      <c r="B69" t="s">
        <v>14</v>
      </c>
      <c r="C69" t="s">
        <v>15</v>
      </c>
      <c r="D69" t="s">
        <v>328</v>
      </c>
      <c r="E69" t="s">
        <v>329</v>
      </c>
      <c r="F69" t="s">
        <v>176</v>
      </c>
      <c r="G69" t="s">
        <v>330</v>
      </c>
      <c r="H69" t="s">
        <v>331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332</v>
      </c>
      <c r="B70" t="s">
        <v>14</v>
      </c>
      <c r="C70" t="s">
        <v>15</v>
      </c>
      <c r="D70" t="s">
        <v>333</v>
      </c>
      <c r="E70" t="s">
        <v>334</v>
      </c>
      <c r="F70" t="s">
        <v>176</v>
      </c>
      <c r="G70" t="s">
        <v>330</v>
      </c>
      <c r="H70" t="s">
        <v>335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336</v>
      </c>
      <c r="B71" t="s">
        <v>14</v>
      </c>
      <c r="C71" t="s">
        <v>15</v>
      </c>
      <c r="D71" t="s">
        <v>337</v>
      </c>
      <c r="E71" t="s">
        <v>338</v>
      </c>
      <c r="F71" t="s">
        <v>26</v>
      </c>
      <c r="G71" t="s">
        <v>47</v>
      </c>
      <c r="H71" t="s">
        <v>339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340</v>
      </c>
      <c r="B72" t="s">
        <v>14</v>
      </c>
      <c r="C72" t="s">
        <v>15</v>
      </c>
      <c r="D72" t="s">
        <v>341</v>
      </c>
      <c r="E72" t="s">
        <v>342</v>
      </c>
      <c r="F72" t="s">
        <v>176</v>
      </c>
      <c r="G72" t="s">
        <v>343</v>
      </c>
      <c r="H72" t="s">
        <v>344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345</v>
      </c>
      <c r="B73" t="s">
        <v>14</v>
      </c>
      <c r="C73" t="s">
        <v>15</v>
      </c>
      <c r="D73" t="s">
        <v>346</v>
      </c>
      <c r="E73" t="s">
        <v>347</v>
      </c>
      <c r="F73" t="s">
        <v>18</v>
      </c>
      <c r="G73" t="s">
        <v>348</v>
      </c>
      <c r="H73" t="s">
        <v>349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350</v>
      </c>
      <c r="B74" t="s">
        <v>14</v>
      </c>
      <c r="C74" t="s">
        <v>15</v>
      </c>
      <c r="D74" t="s">
        <v>351</v>
      </c>
      <c r="E74" t="s">
        <v>352</v>
      </c>
      <c r="F74" t="s">
        <v>36</v>
      </c>
      <c r="G74" t="s">
        <v>353</v>
      </c>
      <c r="H74" t="s">
        <v>354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355</v>
      </c>
      <c r="B75" t="s">
        <v>14</v>
      </c>
      <c r="C75" t="s">
        <v>15</v>
      </c>
      <c r="D75" t="s">
        <v>356</v>
      </c>
      <c r="E75" t="s">
        <v>357</v>
      </c>
      <c r="F75" t="s">
        <v>18</v>
      </c>
      <c r="G75" t="s">
        <v>19</v>
      </c>
      <c r="H75" t="s">
        <v>358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359</v>
      </c>
      <c r="B76" t="s">
        <v>14</v>
      </c>
      <c r="C76" t="s">
        <v>15</v>
      </c>
      <c r="D76" t="s">
        <v>360</v>
      </c>
      <c r="E76" t="s">
        <v>361</v>
      </c>
      <c r="F76" t="s">
        <v>60</v>
      </c>
      <c r="G76" t="s">
        <v>362</v>
      </c>
      <c r="H76" t="s">
        <v>363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364</v>
      </c>
      <c r="B77" t="s">
        <v>14</v>
      </c>
      <c r="C77" t="s">
        <v>15</v>
      </c>
      <c r="D77" t="s">
        <v>365</v>
      </c>
      <c r="E77" t="s">
        <v>366</v>
      </c>
      <c r="F77" t="s">
        <v>26</v>
      </c>
      <c r="G77" t="s">
        <v>109</v>
      </c>
      <c r="H77" t="s">
        <v>367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368</v>
      </c>
      <c r="B78" t="s">
        <v>14</v>
      </c>
      <c r="C78" t="s">
        <v>15</v>
      </c>
      <c r="D78" t="s">
        <v>369</v>
      </c>
      <c r="E78" t="s">
        <v>370</v>
      </c>
      <c r="F78" t="s">
        <v>60</v>
      </c>
      <c r="G78" t="s">
        <v>371</v>
      </c>
      <c r="H78" t="s">
        <v>372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373</v>
      </c>
      <c r="B79" t="s">
        <v>14</v>
      </c>
      <c r="C79" t="s">
        <v>15</v>
      </c>
      <c r="D79" t="s">
        <v>374</v>
      </c>
      <c r="E79" t="s">
        <v>375</v>
      </c>
      <c r="F79" t="s">
        <v>18</v>
      </c>
      <c r="G79" t="s">
        <v>19</v>
      </c>
      <c r="H79" t="s">
        <v>376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377</v>
      </c>
      <c r="B80" t="s">
        <v>14</v>
      </c>
      <c r="C80" t="s">
        <v>15</v>
      </c>
      <c r="D80" t="s">
        <v>378</v>
      </c>
      <c r="E80" t="s">
        <v>379</v>
      </c>
      <c r="F80" t="s">
        <v>60</v>
      </c>
      <c r="G80" t="s">
        <v>163</v>
      </c>
      <c r="H80" t="s">
        <v>380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381</v>
      </c>
      <c r="B81" t="s">
        <v>14</v>
      </c>
      <c r="C81" t="s">
        <v>15</v>
      </c>
      <c r="D81" t="s">
        <v>382</v>
      </c>
      <c r="E81" t="s">
        <v>383</v>
      </c>
      <c r="F81" t="s">
        <v>60</v>
      </c>
      <c r="G81" t="s">
        <v>384</v>
      </c>
      <c r="H81" t="s">
        <v>385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386</v>
      </c>
      <c r="B82" t="s">
        <v>14</v>
      </c>
      <c r="C82" t="s">
        <v>15</v>
      </c>
      <c r="D82" t="s">
        <v>387</v>
      </c>
      <c r="E82" t="s">
        <v>388</v>
      </c>
      <c r="F82" t="s">
        <v>26</v>
      </c>
      <c r="G82" t="s">
        <v>124</v>
      </c>
      <c r="H82" t="s">
        <v>389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390</v>
      </c>
      <c r="B83" t="s">
        <v>14</v>
      </c>
      <c r="C83" t="s">
        <v>15</v>
      </c>
      <c r="D83" t="s">
        <v>391</v>
      </c>
      <c r="E83" t="s">
        <v>392</v>
      </c>
      <c r="F83" t="s">
        <v>36</v>
      </c>
      <c r="G83" t="s">
        <v>71</v>
      </c>
      <c r="H83" t="s">
        <v>393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394</v>
      </c>
      <c r="B84" t="s">
        <v>14</v>
      </c>
      <c r="C84" t="s">
        <v>15</v>
      </c>
      <c r="D84" t="s">
        <v>395</v>
      </c>
      <c r="E84" t="s">
        <v>396</v>
      </c>
      <c r="F84" t="s">
        <v>36</v>
      </c>
      <c r="G84" t="s">
        <v>256</v>
      </c>
      <c r="H84" t="s">
        <v>397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398</v>
      </c>
      <c r="B85" t="s">
        <v>14</v>
      </c>
      <c r="C85" t="s">
        <v>15</v>
      </c>
      <c r="D85" t="s">
        <v>399</v>
      </c>
      <c r="E85" t="s">
        <v>400</v>
      </c>
      <c r="F85" t="s">
        <v>36</v>
      </c>
      <c r="G85" t="s">
        <v>256</v>
      </c>
      <c r="H85" t="s">
        <v>401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402</v>
      </c>
      <c r="B86" t="s">
        <v>14</v>
      </c>
      <c r="C86" t="s">
        <v>15</v>
      </c>
      <c r="D86" t="s">
        <v>403</v>
      </c>
      <c r="E86" t="s">
        <v>404</v>
      </c>
      <c r="F86" t="s">
        <v>36</v>
      </c>
      <c r="G86" t="s">
        <v>256</v>
      </c>
      <c r="H86" t="s">
        <v>405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406</v>
      </c>
      <c r="B87" t="s">
        <v>14</v>
      </c>
      <c r="C87" t="s">
        <v>15</v>
      </c>
      <c r="D87" t="s">
        <v>407</v>
      </c>
      <c r="E87" t="s">
        <v>408</v>
      </c>
      <c r="F87" t="s">
        <v>60</v>
      </c>
      <c r="G87" t="s">
        <v>104</v>
      </c>
      <c r="H87" t="s">
        <v>409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410</v>
      </c>
      <c r="B88" t="s">
        <v>14</v>
      </c>
      <c r="C88" t="s">
        <v>15</v>
      </c>
      <c r="D88" t="s">
        <v>411</v>
      </c>
      <c r="E88" t="s">
        <v>412</v>
      </c>
      <c r="F88" t="s">
        <v>36</v>
      </c>
      <c r="G88" t="s">
        <v>321</v>
      </c>
      <c r="H88" t="s">
        <v>413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414</v>
      </c>
      <c r="B89" t="s">
        <v>14</v>
      </c>
      <c r="C89" t="s">
        <v>15</v>
      </c>
      <c r="D89" t="s">
        <v>415</v>
      </c>
      <c r="E89" t="s">
        <v>416</v>
      </c>
      <c r="F89" t="s">
        <v>60</v>
      </c>
      <c r="G89" t="s">
        <v>417</v>
      </c>
      <c r="H89" t="s">
        <v>418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419</v>
      </c>
      <c r="B90" t="s">
        <v>14</v>
      </c>
      <c r="C90" t="s">
        <v>15</v>
      </c>
      <c r="D90" t="s">
        <v>420</v>
      </c>
      <c r="E90" t="s">
        <v>421</v>
      </c>
      <c r="F90" t="s">
        <v>26</v>
      </c>
      <c r="G90" t="s">
        <v>47</v>
      </c>
      <c r="H90" t="s">
        <v>422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423</v>
      </c>
      <c r="B91" t="s">
        <v>14</v>
      </c>
      <c r="C91" t="s">
        <v>15</v>
      </c>
      <c r="D91" t="s">
        <v>424</v>
      </c>
      <c r="E91" t="s">
        <v>425</v>
      </c>
      <c r="F91" t="s">
        <v>60</v>
      </c>
      <c r="G91" t="s">
        <v>80</v>
      </c>
      <c r="H91" t="s">
        <v>426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427</v>
      </c>
      <c r="B92" t="s">
        <v>14</v>
      </c>
      <c r="C92" t="s">
        <v>15</v>
      </c>
      <c r="D92" t="s">
        <v>428</v>
      </c>
      <c r="E92" t="s">
        <v>429</v>
      </c>
      <c r="F92" t="s">
        <v>430</v>
      </c>
      <c r="G92" t="s">
        <v>431</v>
      </c>
      <c r="H92" t="s">
        <v>432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433</v>
      </c>
      <c r="B93" t="s">
        <v>14</v>
      </c>
      <c r="C93" t="s">
        <v>15</v>
      </c>
      <c r="D93" t="s">
        <v>434</v>
      </c>
      <c r="E93" t="s">
        <v>435</v>
      </c>
      <c r="F93" t="s">
        <v>60</v>
      </c>
      <c r="G93" t="s">
        <v>436</v>
      </c>
      <c r="H93" t="s">
        <v>437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438</v>
      </c>
      <c r="B94" t="s">
        <v>14</v>
      </c>
      <c r="C94" t="s">
        <v>15</v>
      </c>
      <c r="D94" t="s">
        <v>439</v>
      </c>
      <c r="E94" t="s">
        <v>440</v>
      </c>
      <c r="F94" t="s">
        <v>60</v>
      </c>
      <c r="G94" t="s">
        <v>436</v>
      </c>
      <c r="H94" t="s">
        <v>441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442</v>
      </c>
      <c r="B95" t="s">
        <v>14</v>
      </c>
      <c r="C95" t="s">
        <v>15</v>
      </c>
      <c r="D95" t="s">
        <v>443</v>
      </c>
      <c r="E95" t="s">
        <v>444</v>
      </c>
      <c r="F95" t="s">
        <v>18</v>
      </c>
      <c r="G95" t="s">
        <v>129</v>
      </c>
      <c r="H95" t="s">
        <v>445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446</v>
      </c>
      <c r="B96" t="s">
        <v>14</v>
      </c>
      <c r="C96" t="s">
        <v>15</v>
      </c>
      <c r="D96" t="s">
        <v>447</v>
      </c>
      <c r="E96" t="s">
        <v>448</v>
      </c>
      <c r="F96" t="s">
        <v>26</v>
      </c>
      <c r="G96" t="s">
        <v>47</v>
      </c>
      <c r="H96" t="s">
        <v>449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450</v>
      </c>
      <c r="B97" t="s">
        <v>14</v>
      </c>
      <c r="C97" t="s">
        <v>15</v>
      </c>
      <c r="D97" t="s">
        <v>451</v>
      </c>
      <c r="E97" t="s">
        <v>452</v>
      </c>
      <c r="F97" t="s">
        <v>60</v>
      </c>
      <c r="G97" t="s">
        <v>453</v>
      </c>
      <c r="H97" t="s">
        <v>454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455</v>
      </c>
      <c r="B98" t="s">
        <v>14</v>
      </c>
      <c r="C98" t="s">
        <v>15</v>
      </c>
      <c r="D98" t="s">
        <v>456</v>
      </c>
      <c r="E98" t="s">
        <v>457</v>
      </c>
      <c r="F98" t="s">
        <v>60</v>
      </c>
      <c r="G98" t="s">
        <v>458</v>
      </c>
      <c r="H98" t="s">
        <v>459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460</v>
      </c>
      <c r="B99" t="s">
        <v>14</v>
      </c>
      <c r="C99" t="s">
        <v>15</v>
      </c>
      <c r="D99" t="s">
        <v>461</v>
      </c>
      <c r="E99" t="s">
        <v>462</v>
      </c>
      <c r="F99" t="s">
        <v>60</v>
      </c>
      <c r="G99" t="s">
        <v>463</v>
      </c>
      <c r="H99" t="s">
        <v>464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465</v>
      </c>
      <c r="B100" t="s">
        <v>14</v>
      </c>
      <c r="C100" t="s">
        <v>15</v>
      </c>
      <c r="D100" t="s">
        <v>466</v>
      </c>
      <c r="E100" t="s">
        <v>467</v>
      </c>
      <c r="F100" t="s">
        <v>18</v>
      </c>
      <c r="G100" t="s">
        <v>19</v>
      </c>
      <c r="H100" t="s">
        <v>468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469</v>
      </c>
      <c r="B101" t="s">
        <v>14</v>
      </c>
      <c r="C101" t="s">
        <v>15</v>
      </c>
      <c r="D101" t="s">
        <v>470</v>
      </c>
      <c r="E101" t="s">
        <v>471</v>
      </c>
      <c r="F101" t="s">
        <v>18</v>
      </c>
      <c r="G101" t="s">
        <v>71</v>
      </c>
      <c r="H101" t="s">
        <v>472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473</v>
      </c>
      <c r="B102" t="s">
        <v>14</v>
      </c>
      <c r="C102" t="s">
        <v>15</v>
      </c>
      <c r="D102" t="s">
        <v>474</v>
      </c>
      <c r="E102" t="s">
        <v>475</v>
      </c>
      <c r="F102" t="s">
        <v>18</v>
      </c>
      <c r="G102" t="s">
        <v>71</v>
      </c>
      <c r="H102" t="s">
        <v>476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477</v>
      </c>
      <c r="B103" t="s">
        <v>14</v>
      </c>
      <c r="C103" t="s">
        <v>15</v>
      </c>
      <c r="D103" t="s">
        <v>478</v>
      </c>
      <c r="E103" t="s">
        <v>479</v>
      </c>
      <c r="F103" t="s">
        <v>18</v>
      </c>
      <c r="G103" t="s">
        <v>129</v>
      </c>
      <c r="H103" t="s">
        <v>480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481</v>
      </c>
      <c r="B104" t="s">
        <v>14</v>
      </c>
      <c r="C104" t="s">
        <v>15</v>
      </c>
      <c r="D104" t="s">
        <v>482</v>
      </c>
      <c r="E104" t="s">
        <v>483</v>
      </c>
      <c r="F104" t="s">
        <v>18</v>
      </c>
      <c r="G104" t="s">
        <v>19</v>
      </c>
      <c r="H104" t="s">
        <v>484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485</v>
      </c>
      <c r="B105" t="s">
        <v>14</v>
      </c>
      <c r="C105" t="s">
        <v>15</v>
      </c>
      <c r="D105" t="s">
        <v>486</v>
      </c>
      <c r="E105" t="s">
        <v>487</v>
      </c>
      <c r="F105" t="s">
        <v>60</v>
      </c>
      <c r="G105" t="s">
        <v>104</v>
      </c>
      <c r="H105" t="s">
        <v>488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489</v>
      </c>
      <c r="B106" t="s">
        <v>14</v>
      </c>
      <c r="C106" t="s">
        <v>15</v>
      </c>
      <c r="D106" t="s">
        <v>490</v>
      </c>
      <c r="E106" t="s">
        <v>491</v>
      </c>
      <c r="F106" t="s">
        <v>60</v>
      </c>
      <c r="G106" t="s">
        <v>492</v>
      </c>
      <c r="H106" t="s">
        <v>493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494</v>
      </c>
      <c r="B107" t="s">
        <v>14</v>
      </c>
      <c r="C107" t="s">
        <v>15</v>
      </c>
      <c r="D107" t="s">
        <v>495</v>
      </c>
      <c r="E107" t="s">
        <v>496</v>
      </c>
      <c r="F107" t="s">
        <v>60</v>
      </c>
      <c r="G107" t="s">
        <v>80</v>
      </c>
      <c r="H107" t="s">
        <v>497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498</v>
      </c>
      <c r="B108" t="s">
        <v>14</v>
      </c>
      <c r="C108" t="s">
        <v>15</v>
      </c>
      <c r="D108" t="s">
        <v>499</v>
      </c>
      <c r="E108" t="s">
        <v>500</v>
      </c>
      <c r="F108" t="s">
        <v>60</v>
      </c>
      <c r="G108" t="s">
        <v>501</v>
      </c>
      <c r="H108" t="s">
        <v>502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503</v>
      </c>
      <c r="B109" t="s">
        <v>14</v>
      </c>
      <c r="C109" t="s">
        <v>15</v>
      </c>
      <c r="D109" t="s">
        <v>504</v>
      </c>
      <c r="E109" t="s">
        <v>505</v>
      </c>
      <c r="F109" t="s">
        <v>36</v>
      </c>
      <c r="G109" t="s">
        <v>124</v>
      </c>
      <c r="H109" t="s">
        <v>506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507</v>
      </c>
      <c r="B110" t="s">
        <v>14</v>
      </c>
      <c r="C110" t="s">
        <v>15</v>
      </c>
      <c r="D110" t="s">
        <v>508</v>
      </c>
      <c r="E110" t="s">
        <v>509</v>
      </c>
      <c r="F110" t="s">
        <v>18</v>
      </c>
      <c r="G110" t="s">
        <v>19</v>
      </c>
      <c r="H110" t="s">
        <v>510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511</v>
      </c>
      <c r="B111" t="s">
        <v>14</v>
      </c>
      <c r="C111" t="s">
        <v>15</v>
      </c>
      <c r="D111" t="s">
        <v>512</v>
      </c>
      <c r="E111" t="s">
        <v>513</v>
      </c>
      <c r="F111" t="s">
        <v>60</v>
      </c>
      <c r="G111" t="s">
        <v>89</v>
      </c>
      <c r="H111" t="s">
        <v>514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515</v>
      </c>
      <c r="B112" t="s">
        <v>14</v>
      </c>
      <c r="C112" t="s">
        <v>15</v>
      </c>
      <c r="D112" t="s">
        <v>516</v>
      </c>
      <c r="E112" t="s">
        <v>517</v>
      </c>
      <c r="F112" t="s">
        <v>18</v>
      </c>
      <c r="G112" t="s">
        <v>195</v>
      </c>
      <c r="H112" t="s">
        <v>518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519</v>
      </c>
      <c r="B113" t="s">
        <v>14</v>
      </c>
      <c r="C113" t="s">
        <v>15</v>
      </c>
      <c r="D113" t="s">
        <v>520</v>
      </c>
      <c r="E113" t="s">
        <v>521</v>
      </c>
      <c r="F113" t="s">
        <v>36</v>
      </c>
      <c r="G113" t="s">
        <v>522</v>
      </c>
      <c r="H113" t="s">
        <v>523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524</v>
      </c>
      <c r="B114" t="s">
        <v>14</v>
      </c>
      <c r="C114" t="s">
        <v>15</v>
      </c>
      <c r="D114" t="s">
        <v>525</v>
      </c>
      <c r="E114" t="s">
        <v>526</v>
      </c>
      <c r="F114" t="s">
        <v>36</v>
      </c>
      <c r="G114" t="s">
        <v>66</v>
      </c>
      <c r="H114" t="s">
        <v>527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528</v>
      </c>
      <c r="B115" t="s">
        <v>14</v>
      </c>
      <c r="C115" t="s">
        <v>15</v>
      </c>
      <c r="D115" t="s">
        <v>529</v>
      </c>
      <c r="E115" t="s">
        <v>530</v>
      </c>
      <c r="F115" t="s">
        <v>18</v>
      </c>
      <c r="G115" t="s">
        <v>195</v>
      </c>
      <c r="H115" t="s">
        <v>531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532</v>
      </c>
      <c r="B116" t="s">
        <v>14</v>
      </c>
      <c r="C116" t="s">
        <v>15</v>
      </c>
      <c r="D116" t="s">
        <v>533</v>
      </c>
      <c r="E116" t="s">
        <v>534</v>
      </c>
      <c r="F116" t="s">
        <v>36</v>
      </c>
      <c r="G116" t="s">
        <v>114</v>
      </c>
      <c r="H116" t="s">
        <v>535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536</v>
      </c>
      <c r="B117" t="s">
        <v>14</v>
      </c>
      <c r="C117" t="s">
        <v>15</v>
      </c>
      <c r="D117" t="s">
        <v>537</v>
      </c>
      <c r="E117" t="s">
        <v>538</v>
      </c>
      <c r="F117" t="s">
        <v>60</v>
      </c>
      <c r="G117" t="s">
        <v>539</v>
      </c>
      <c r="H117" t="s">
        <v>540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541</v>
      </c>
      <c r="B118" t="s">
        <v>14</v>
      </c>
      <c r="C118" t="s">
        <v>15</v>
      </c>
      <c r="D118" t="s">
        <v>542</v>
      </c>
      <c r="E118" t="s">
        <v>543</v>
      </c>
      <c r="F118" t="s">
        <v>18</v>
      </c>
      <c r="G118" t="s">
        <v>544</v>
      </c>
      <c r="H118" t="s">
        <v>545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546</v>
      </c>
      <c r="B119" t="s">
        <v>14</v>
      </c>
      <c r="C119" t="s">
        <v>15</v>
      </c>
      <c r="D119" t="s">
        <v>547</v>
      </c>
      <c r="E119" t="s">
        <v>548</v>
      </c>
      <c r="F119" t="s">
        <v>18</v>
      </c>
      <c r="G119" t="s">
        <v>195</v>
      </c>
      <c r="H119" t="s">
        <v>549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550</v>
      </c>
      <c r="B120" t="s">
        <v>14</v>
      </c>
      <c r="C120" t="s">
        <v>15</v>
      </c>
      <c r="D120" t="s">
        <v>551</v>
      </c>
      <c r="E120" t="s">
        <v>552</v>
      </c>
      <c r="F120" t="s">
        <v>18</v>
      </c>
      <c r="G120" t="s">
        <v>129</v>
      </c>
      <c r="H120" t="s">
        <v>553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554</v>
      </c>
      <c r="B121" t="s">
        <v>14</v>
      </c>
      <c r="C121" t="s">
        <v>15</v>
      </c>
      <c r="D121" t="s">
        <v>555</v>
      </c>
      <c r="E121" t="s">
        <v>556</v>
      </c>
      <c r="F121" t="s">
        <v>430</v>
      </c>
      <c r="G121" t="s">
        <v>124</v>
      </c>
      <c r="H121" t="s">
        <v>557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558</v>
      </c>
      <c r="B122" t="s">
        <v>14</v>
      </c>
      <c r="C122" t="s">
        <v>15</v>
      </c>
      <c r="D122" t="s">
        <v>559</v>
      </c>
      <c r="E122" t="s">
        <v>560</v>
      </c>
      <c r="F122" t="s">
        <v>18</v>
      </c>
      <c r="G122" t="s">
        <v>195</v>
      </c>
      <c r="H122" t="s">
        <v>561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562</v>
      </c>
      <c r="B123" t="s">
        <v>14</v>
      </c>
      <c r="C123" t="s">
        <v>15</v>
      </c>
      <c r="D123" t="s">
        <v>563</v>
      </c>
      <c r="E123" t="s">
        <v>564</v>
      </c>
      <c r="F123" t="s">
        <v>18</v>
      </c>
      <c r="G123" t="s">
        <v>129</v>
      </c>
      <c r="H123" t="s">
        <v>565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566</v>
      </c>
      <c r="B124" t="s">
        <v>14</v>
      </c>
      <c r="C124" t="s">
        <v>15</v>
      </c>
      <c r="D124" t="s">
        <v>567</v>
      </c>
      <c r="E124" t="s">
        <v>568</v>
      </c>
      <c r="F124" t="s">
        <v>18</v>
      </c>
      <c r="G124" t="s">
        <v>129</v>
      </c>
      <c r="H124" t="s">
        <v>569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570</v>
      </c>
      <c r="B125" t="s">
        <v>14</v>
      </c>
      <c r="C125" t="s">
        <v>15</v>
      </c>
      <c r="D125" t="s">
        <v>571</v>
      </c>
      <c r="E125" t="s">
        <v>572</v>
      </c>
      <c r="F125" t="s">
        <v>176</v>
      </c>
      <c r="G125" t="s">
        <v>573</v>
      </c>
      <c r="H125" t="s">
        <v>574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575</v>
      </c>
      <c r="B126" t="s">
        <v>14</v>
      </c>
      <c r="C126" t="s">
        <v>15</v>
      </c>
      <c r="D126" t="s">
        <v>576</v>
      </c>
      <c r="E126" t="s">
        <v>577</v>
      </c>
      <c r="F126" t="s">
        <v>36</v>
      </c>
      <c r="G126" t="s">
        <v>256</v>
      </c>
      <c r="H126" t="s">
        <v>578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579</v>
      </c>
      <c r="B127" t="s">
        <v>14</v>
      </c>
      <c r="C127" t="s">
        <v>15</v>
      </c>
      <c r="D127" t="s">
        <v>580</v>
      </c>
      <c r="E127" t="s">
        <v>581</v>
      </c>
      <c r="F127" t="s">
        <v>60</v>
      </c>
      <c r="G127" t="s">
        <v>582</v>
      </c>
      <c r="H127" t="s">
        <v>583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584</v>
      </c>
      <c r="B128" t="s">
        <v>14</v>
      </c>
      <c r="C128" t="s">
        <v>15</v>
      </c>
      <c r="D128" t="s">
        <v>585</v>
      </c>
      <c r="E128" t="s">
        <v>586</v>
      </c>
      <c r="F128" t="s">
        <v>60</v>
      </c>
      <c r="G128" t="s">
        <v>587</v>
      </c>
      <c r="H128" t="s">
        <v>588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589</v>
      </c>
      <c r="B129" t="s">
        <v>14</v>
      </c>
      <c r="C129" t="s">
        <v>15</v>
      </c>
      <c r="D129" t="s">
        <v>590</v>
      </c>
      <c r="E129" t="s">
        <v>591</v>
      </c>
      <c r="F129" t="s">
        <v>18</v>
      </c>
      <c r="G129" t="s">
        <v>592</v>
      </c>
      <c r="H129" t="s">
        <v>593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594</v>
      </c>
      <c r="B130" t="s">
        <v>14</v>
      </c>
      <c r="C130" t="s">
        <v>15</v>
      </c>
      <c r="D130" t="s">
        <v>595</v>
      </c>
      <c r="E130" t="s">
        <v>596</v>
      </c>
      <c r="F130" t="s">
        <v>18</v>
      </c>
      <c r="G130" t="s">
        <v>19</v>
      </c>
      <c r="H130" t="s">
        <v>597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598</v>
      </c>
      <c r="B131" t="s">
        <v>14</v>
      </c>
      <c r="C131" t="s">
        <v>15</v>
      </c>
      <c r="D131" t="s">
        <v>599</v>
      </c>
      <c r="E131" t="s">
        <v>600</v>
      </c>
      <c r="F131" t="s">
        <v>18</v>
      </c>
      <c r="G131" t="s">
        <v>19</v>
      </c>
      <c r="H131" t="s">
        <v>601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602</v>
      </c>
      <c r="B132" t="s">
        <v>14</v>
      </c>
      <c r="C132" t="s">
        <v>15</v>
      </c>
      <c r="D132" t="s">
        <v>603</v>
      </c>
      <c r="E132" t="s">
        <v>604</v>
      </c>
      <c r="F132" t="s">
        <v>18</v>
      </c>
      <c r="G132" t="s">
        <v>19</v>
      </c>
      <c r="H132" t="s">
        <v>605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606</v>
      </c>
      <c r="B133" t="s">
        <v>14</v>
      </c>
      <c r="C133" t="s">
        <v>15</v>
      </c>
      <c r="D133" t="s">
        <v>607</v>
      </c>
      <c r="E133" t="s">
        <v>608</v>
      </c>
      <c r="F133" t="s">
        <v>18</v>
      </c>
      <c r="G133" t="s">
        <v>19</v>
      </c>
      <c r="H133" t="s">
        <v>609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610</v>
      </c>
      <c r="B134" t="s">
        <v>14</v>
      </c>
      <c r="C134" t="s">
        <v>15</v>
      </c>
      <c r="D134" t="s">
        <v>611</v>
      </c>
      <c r="E134" t="s">
        <v>612</v>
      </c>
      <c r="F134" t="s">
        <v>291</v>
      </c>
      <c r="G134" t="s">
        <v>613</v>
      </c>
      <c r="H134" t="s">
        <v>614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615</v>
      </c>
      <c r="B135" t="s">
        <v>14</v>
      </c>
      <c r="C135" t="s">
        <v>15</v>
      </c>
      <c r="D135" t="s">
        <v>616</v>
      </c>
      <c r="E135" t="s">
        <v>617</v>
      </c>
      <c r="F135" t="s">
        <v>18</v>
      </c>
      <c r="G135" t="s">
        <v>19</v>
      </c>
      <c r="H135" t="s">
        <v>618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619</v>
      </c>
      <c r="B136" t="s">
        <v>14</v>
      </c>
      <c r="C136" t="s">
        <v>15</v>
      </c>
      <c r="D136" t="s">
        <v>620</v>
      </c>
      <c r="E136" t="s">
        <v>621</v>
      </c>
      <c r="F136" t="s">
        <v>291</v>
      </c>
      <c r="G136" t="s">
        <v>613</v>
      </c>
      <c r="H136" t="s">
        <v>622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623</v>
      </c>
      <c r="B137" t="s">
        <v>14</v>
      </c>
      <c r="C137" t="s">
        <v>15</v>
      </c>
      <c r="D137" t="s">
        <v>624</v>
      </c>
      <c r="E137" t="s">
        <v>625</v>
      </c>
      <c r="F137" t="s">
        <v>60</v>
      </c>
      <c r="G137" t="s">
        <v>104</v>
      </c>
      <c r="H137" t="s">
        <v>626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627</v>
      </c>
      <c r="B138" t="s">
        <v>14</v>
      </c>
      <c r="C138" t="s">
        <v>15</v>
      </c>
      <c r="D138" t="s">
        <v>628</v>
      </c>
      <c r="E138" t="s">
        <v>629</v>
      </c>
      <c r="F138" t="s">
        <v>60</v>
      </c>
      <c r="G138" t="s">
        <v>539</v>
      </c>
      <c r="H138" t="s">
        <v>630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631</v>
      </c>
      <c r="B139" t="s">
        <v>14</v>
      </c>
      <c r="C139" t="s">
        <v>15</v>
      </c>
      <c r="D139" t="s">
        <v>632</v>
      </c>
      <c r="E139" t="s">
        <v>633</v>
      </c>
      <c r="F139" t="s">
        <v>26</v>
      </c>
      <c r="G139" t="s">
        <v>634</v>
      </c>
      <c r="H139" t="s">
        <v>635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636</v>
      </c>
      <c r="B140" t="s">
        <v>14</v>
      </c>
      <c r="C140" t="s">
        <v>15</v>
      </c>
      <c r="D140" t="s">
        <v>637</v>
      </c>
      <c r="E140" t="s">
        <v>638</v>
      </c>
      <c r="F140" t="s">
        <v>18</v>
      </c>
      <c r="G140" t="s">
        <v>19</v>
      </c>
      <c r="H140" t="s">
        <v>639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640</v>
      </c>
      <c r="B141" t="s">
        <v>14</v>
      </c>
      <c r="C141" t="s">
        <v>15</v>
      </c>
      <c r="D141" t="s">
        <v>641</v>
      </c>
      <c r="E141" t="s">
        <v>642</v>
      </c>
      <c r="F141" t="s">
        <v>18</v>
      </c>
      <c r="G141" t="s">
        <v>643</v>
      </c>
      <c r="H141" t="s">
        <v>644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645</v>
      </c>
      <c r="B142" t="s">
        <v>14</v>
      </c>
      <c r="C142" t="s">
        <v>15</v>
      </c>
      <c r="D142" t="s">
        <v>646</v>
      </c>
      <c r="E142" t="s">
        <v>647</v>
      </c>
      <c r="F142" t="s">
        <v>18</v>
      </c>
      <c r="G142" t="s">
        <v>643</v>
      </c>
      <c r="H142" t="s">
        <v>648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649</v>
      </c>
      <c r="B143" t="s">
        <v>14</v>
      </c>
      <c r="C143" t="s">
        <v>15</v>
      </c>
      <c r="D143" t="s">
        <v>650</v>
      </c>
      <c r="E143" t="s">
        <v>651</v>
      </c>
      <c r="F143" t="s">
        <v>18</v>
      </c>
      <c r="G143" t="s">
        <v>195</v>
      </c>
      <c r="H143" t="s">
        <v>652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653</v>
      </c>
      <c r="B144" t="s">
        <v>14</v>
      </c>
      <c r="C144" t="s">
        <v>15</v>
      </c>
      <c r="D144" t="s">
        <v>654</v>
      </c>
      <c r="E144" t="s">
        <v>655</v>
      </c>
      <c r="F144" t="s">
        <v>26</v>
      </c>
      <c r="G144" t="s">
        <v>47</v>
      </c>
      <c r="H144" t="s">
        <v>656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657</v>
      </c>
      <c r="B145" t="s">
        <v>14</v>
      </c>
      <c r="C145" t="s">
        <v>15</v>
      </c>
      <c r="D145" t="s">
        <v>658</v>
      </c>
      <c r="E145" t="s">
        <v>659</v>
      </c>
      <c r="F145" t="s">
        <v>36</v>
      </c>
      <c r="G145" t="s">
        <v>94</v>
      </c>
      <c r="H145" t="s">
        <v>660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661</v>
      </c>
      <c r="B146" t="s">
        <v>14</v>
      </c>
      <c r="C146" t="s">
        <v>15</v>
      </c>
      <c r="D146" t="s">
        <v>662</v>
      </c>
      <c r="E146" t="s">
        <v>663</v>
      </c>
      <c r="F146" t="s">
        <v>18</v>
      </c>
      <c r="G146" t="s">
        <v>19</v>
      </c>
      <c r="H146" t="s">
        <v>664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665</v>
      </c>
      <c r="B147" t="s">
        <v>14</v>
      </c>
      <c r="C147" t="s">
        <v>15</v>
      </c>
      <c r="D147" t="s">
        <v>666</v>
      </c>
      <c r="E147" t="s">
        <v>667</v>
      </c>
      <c r="F147" t="s">
        <v>60</v>
      </c>
      <c r="G147" t="s">
        <v>668</v>
      </c>
      <c r="H147" t="s">
        <v>669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670</v>
      </c>
      <c r="B148" t="s">
        <v>14</v>
      </c>
      <c r="C148" t="s">
        <v>15</v>
      </c>
      <c r="D148" t="s">
        <v>671</v>
      </c>
      <c r="E148" t="s">
        <v>672</v>
      </c>
      <c r="F148" t="s">
        <v>18</v>
      </c>
      <c r="G148" t="s">
        <v>19</v>
      </c>
      <c r="H148" t="s">
        <v>673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674</v>
      </c>
      <c r="B149" t="s">
        <v>14</v>
      </c>
      <c r="C149" t="s">
        <v>15</v>
      </c>
      <c r="D149" t="s">
        <v>675</v>
      </c>
      <c r="E149" t="s">
        <v>676</v>
      </c>
      <c r="F149" t="s">
        <v>18</v>
      </c>
      <c r="G149" t="s">
        <v>19</v>
      </c>
      <c r="H149" t="s">
        <v>677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678</v>
      </c>
      <c r="B150" t="s">
        <v>14</v>
      </c>
      <c r="C150" t="s">
        <v>15</v>
      </c>
      <c r="D150" t="s">
        <v>679</v>
      </c>
      <c r="E150" t="s">
        <v>680</v>
      </c>
      <c r="F150" t="s">
        <v>60</v>
      </c>
      <c r="G150" t="s">
        <v>681</v>
      </c>
      <c r="H150" t="s">
        <v>682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683</v>
      </c>
      <c r="B151" t="s">
        <v>14</v>
      </c>
      <c r="C151" t="s">
        <v>15</v>
      </c>
      <c r="D151" t="s">
        <v>684</v>
      </c>
      <c r="E151" t="s">
        <v>685</v>
      </c>
      <c r="F151" t="s">
        <v>18</v>
      </c>
      <c r="G151" t="s">
        <v>129</v>
      </c>
      <c r="H151" t="s">
        <v>686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687</v>
      </c>
      <c r="B152" t="s">
        <v>14</v>
      </c>
      <c r="C152" t="s">
        <v>15</v>
      </c>
      <c r="D152" t="s">
        <v>688</v>
      </c>
      <c r="E152" t="s">
        <v>689</v>
      </c>
      <c r="F152" t="s">
        <v>60</v>
      </c>
      <c r="G152" t="s">
        <v>539</v>
      </c>
      <c r="H152" t="s">
        <v>690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691</v>
      </c>
      <c r="B153" t="s">
        <v>14</v>
      </c>
      <c r="C153" t="s">
        <v>15</v>
      </c>
      <c r="D153" t="s">
        <v>692</v>
      </c>
      <c r="E153" t="s">
        <v>693</v>
      </c>
      <c r="F153" t="s">
        <v>18</v>
      </c>
      <c r="G153" t="s">
        <v>694</v>
      </c>
      <c r="H153" t="s">
        <v>695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696</v>
      </c>
      <c r="B154" t="s">
        <v>14</v>
      </c>
      <c r="C154" t="s">
        <v>15</v>
      </c>
      <c r="D154" t="s">
        <v>697</v>
      </c>
      <c r="E154" t="s">
        <v>698</v>
      </c>
      <c r="F154" t="s">
        <v>60</v>
      </c>
      <c r="G154" t="s">
        <v>699</v>
      </c>
      <c r="H154" t="s">
        <v>700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701</v>
      </c>
      <c r="B155" t="s">
        <v>14</v>
      </c>
      <c r="C155" t="s">
        <v>15</v>
      </c>
      <c r="D155" t="s">
        <v>702</v>
      </c>
      <c r="E155" t="s">
        <v>703</v>
      </c>
      <c r="F155" t="s">
        <v>176</v>
      </c>
      <c r="G155" t="s">
        <v>573</v>
      </c>
      <c r="H155" t="s">
        <v>704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705</v>
      </c>
      <c r="B156" t="s">
        <v>14</v>
      </c>
      <c r="C156" t="s">
        <v>15</v>
      </c>
      <c r="D156" t="s">
        <v>706</v>
      </c>
      <c r="E156" t="s">
        <v>707</v>
      </c>
      <c r="F156" t="s">
        <v>18</v>
      </c>
      <c r="G156" t="s">
        <v>195</v>
      </c>
      <c r="H156" t="s">
        <v>708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709</v>
      </c>
      <c r="B157" t="s">
        <v>14</v>
      </c>
      <c r="C157" t="s">
        <v>15</v>
      </c>
      <c r="D157" t="s">
        <v>710</v>
      </c>
      <c r="E157" t="s">
        <v>711</v>
      </c>
      <c r="F157" t="s">
        <v>18</v>
      </c>
      <c r="G157" t="s">
        <v>195</v>
      </c>
      <c r="H157" t="s">
        <v>712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713</v>
      </c>
      <c r="B158" t="s">
        <v>14</v>
      </c>
      <c r="C158" t="s">
        <v>15</v>
      </c>
      <c r="D158" t="s">
        <v>714</v>
      </c>
      <c r="E158" t="s">
        <v>715</v>
      </c>
      <c r="F158" t="s">
        <v>60</v>
      </c>
      <c r="G158" t="s">
        <v>716</v>
      </c>
      <c r="H158" t="s">
        <v>717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718</v>
      </c>
      <c r="B159" t="s">
        <v>14</v>
      </c>
      <c r="C159" t="s">
        <v>15</v>
      </c>
      <c r="D159" t="s">
        <v>719</v>
      </c>
      <c r="E159" t="s">
        <v>720</v>
      </c>
      <c r="F159" t="s">
        <v>60</v>
      </c>
      <c r="G159" t="s">
        <v>721</v>
      </c>
      <c r="H159" t="s">
        <v>722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723</v>
      </c>
      <c r="B160" t="s">
        <v>14</v>
      </c>
      <c r="C160" t="s">
        <v>15</v>
      </c>
      <c r="D160" t="s">
        <v>724</v>
      </c>
      <c r="E160" t="s">
        <v>725</v>
      </c>
      <c r="F160" t="s">
        <v>26</v>
      </c>
      <c r="G160" t="s">
        <v>286</v>
      </c>
      <c r="H160" t="s">
        <v>726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727</v>
      </c>
      <c r="B161" t="s">
        <v>14</v>
      </c>
      <c r="C161" t="s">
        <v>15</v>
      </c>
      <c r="D161" t="s">
        <v>728</v>
      </c>
      <c r="E161" t="s">
        <v>729</v>
      </c>
      <c r="F161" t="s">
        <v>26</v>
      </c>
      <c r="G161" t="s">
        <v>286</v>
      </c>
      <c r="H161" t="s">
        <v>730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731</v>
      </c>
      <c r="B162" t="s">
        <v>14</v>
      </c>
      <c r="C162" t="s">
        <v>15</v>
      </c>
      <c r="D162" t="s">
        <v>732</v>
      </c>
      <c r="E162" t="s">
        <v>733</v>
      </c>
      <c r="F162" t="s">
        <v>430</v>
      </c>
      <c r="G162" t="s">
        <v>431</v>
      </c>
      <c r="H162" t="s">
        <v>734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735</v>
      </c>
      <c r="B163" t="s">
        <v>14</v>
      </c>
      <c r="C163" t="s">
        <v>15</v>
      </c>
      <c r="D163" t="s">
        <v>736</v>
      </c>
      <c r="E163" t="s">
        <v>737</v>
      </c>
      <c r="F163" t="s">
        <v>26</v>
      </c>
      <c r="G163" t="s">
        <v>47</v>
      </c>
      <c r="H163" t="s">
        <v>738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739</v>
      </c>
      <c r="B164" t="s">
        <v>14</v>
      </c>
      <c r="C164" t="s">
        <v>15</v>
      </c>
      <c r="D164" t="s">
        <v>740</v>
      </c>
      <c r="E164" t="s">
        <v>741</v>
      </c>
      <c r="F164" t="s">
        <v>26</v>
      </c>
      <c r="G164" t="s">
        <v>47</v>
      </c>
      <c r="H164" t="s">
        <v>742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743</v>
      </c>
      <c r="B165" t="s">
        <v>14</v>
      </c>
      <c r="C165" t="s">
        <v>15</v>
      </c>
      <c r="D165" t="s">
        <v>744</v>
      </c>
      <c r="E165" t="s">
        <v>745</v>
      </c>
      <c r="F165" t="s">
        <v>60</v>
      </c>
      <c r="G165" t="s">
        <v>99</v>
      </c>
      <c r="H165" t="s">
        <v>746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747</v>
      </c>
      <c r="B166" t="s">
        <v>14</v>
      </c>
      <c r="C166" t="s">
        <v>15</v>
      </c>
      <c r="D166" t="s">
        <v>748</v>
      </c>
      <c r="E166" t="s">
        <v>749</v>
      </c>
      <c r="F166" t="s">
        <v>60</v>
      </c>
      <c r="G166" t="s">
        <v>89</v>
      </c>
      <c r="H166" t="s">
        <v>750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751</v>
      </c>
      <c r="B167" t="s">
        <v>14</v>
      </c>
      <c r="C167" t="s">
        <v>15</v>
      </c>
      <c r="D167" t="s">
        <v>752</v>
      </c>
      <c r="E167" t="s">
        <v>753</v>
      </c>
      <c r="F167" t="s">
        <v>18</v>
      </c>
      <c r="G167" t="s">
        <v>348</v>
      </c>
      <c r="H167" t="s">
        <v>754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755</v>
      </c>
      <c r="B168" t="s">
        <v>14</v>
      </c>
      <c r="C168" t="s">
        <v>15</v>
      </c>
      <c r="D168" t="s">
        <v>756</v>
      </c>
      <c r="E168" t="s">
        <v>757</v>
      </c>
      <c r="F168" t="s">
        <v>26</v>
      </c>
      <c r="G168" t="s">
        <v>47</v>
      </c>
      <c r="H168" t="s">
        <v>758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759</v>
      </c>
      <c r="B169" t="s">
        <v>14</v>
      </c>
      <c r="C169" t="s">
        <v>15</v>
      </c>
      <c r="D169" t="s">
        <v>760</v>
      </c>
      <c r="E169" t="s">
        <v>761</v>
      </c>
      <c r="F169" t="s">
        <v>26</v>
      </c>
      <c r="G169" t="s">
        <v>47</v>
      </c>
      <c r="H169" t="s">
        <v>762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763</v>
      </c>
      <c r="B170" t="s">
        <v>14</v>
      </c>
      <c r="C170" t="s">
        <v>15</v>
      </c>
      <c r="D170" t="s">
        <v>764</v>
      </c>
      <c r="E170" t="s">
        <v>765</v>
      </c>
      <c r="F170" t="s">
        <v>18</v>
      </c>
      <c r="G170" t="s">
        <v>544</v>
      </c>
      <c r="H170" t="s">
        <v>766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767</v>
      </c>
      <c r="B171" t="s">
        <v>14</v>
      </c>
      <c r="C171" t="s">
        <v>15</v>
      </c>
      <c r="D171" t="s">
        <v>768</v>
      </c>
      <c r="E171" t="s">
        <v>769</v>
      </c>
      <c r="F171" t="s">
        <v>60</v>
      </c>
      <c r="G171" t="s">
        <v>539</v>
      </c>
      <c r="H171" t="s">
        <v>770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771</v>
      </c>
      <c r="B172" t="s">
        <v>14</v>
      </c>
      <c r="C172" t="s">
        <v>15</v>
      </c>
      <c r="D172" t="s">
        <v>772</v>
      </c>
      <c r="E172" t="s">
        <v>773</v>
      </c>
      <c r="F172" t="s">
        <v>26</v>
      </c>
      <c r="G172" t="s">
        <v>774</v>
      </c>
      <c r="H172" t="s">
        <v>775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776</v>
      </c>
      <c r="B173" t="s">
        <v>14</v>
      </c>
      <c r="C173" t="s">
        <v>15</v>
      </c>
      <c r="D173" t="s">
        <v>777</v>
      </c>
      <c r="E173" t="s">
        <v>778</v>
      </c>
      <c r="F173" t="s">
        <v>18</v>
      </c>
      <c r="G173" t="s">
        <v>19</v>
      </c>
      <c r="H173" t="s">
        <v>779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780</v>
      </c>
      <c r="B174" t="s">
        <v>14</v>
      </c>
      <c r="C174" t="s">
        <v>15</v>
      </c>
      <c r="D174" t="s">
        <v>781</v>
      </c>
      <c r="E174" t="s">
        <v>782</v>
      </c>
      <c r="F174" t="s">
        <v>18</v>
      </c>
      <c r="G174" t="s">
        <v>19</v>
      </c>
      <c r="H174" t="s">
        <v>783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784</v>
      </c>
      <c r="B175" t="s">
        <v>14</v>
      </c>
      <c r="C175" t="s">
        <v>15</v>
      </c>
      <c r="D175" t="s">
        <v>785</v>
      </c>
      <c r="E175" t="s">
        <v>786</v>
      </c>
      <c r="F175" t="s">
        <v>60</v>
      </c>
      <c r="G175" t="s">
        <v>582</v>
      </c>
      <c r="H175" t="s">
        <v>787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788</v>
      </c>
      <c r="B176" t="s">
        <v>14</v>
      </c>
      <c r="C176" t="s">
        <v>15</v>
      </c>
      <c r="D176" t="s">
        <v>789</v>
      </c>
      <c r="E176" t="s">
        <v>790</v>
      </c>
      <c r="F176" t="s">
        <v>26</v>
      </c>
      <c r="G176" t="s">
        <v>47</v>
      </c>
      <c r="H176" t="s">
        <v>791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792</v>
      </c>
      <c r="B177" t="s">
        <v>14</v>
      </c>
      <c r="C177" t="s">
        <v>15</v>
      </c>
      <c r="D177" t="s">
        <v>793</v>
      </c>
      <c r="E177" t="s">
        <v>794</v>
      </c>
      <c r="F177" t="s">
        <v>26</v>
      </c>
      <c r="G177" t="s">
        <v>774</v>
      </c>
      <c r="H177" t="s">
        <v>795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796</v>
      </c>
      <c r="B178" t="s">
        <v>14</v>
      </c>
      <c r="C178" t="s">
        <v>15</v>
      </c>
      <c r="D178" t="s">
        <v>797</v>
      </c>
      <c r="E178" t="s">
        <v>798</v>
      </c>
      <c r="F178" t="s">
        <v>18</v>
      </c>
      <c r="G178" t="s">
        <v>19</v>
      </c>
      <c r="H178" t="s">
        <v>799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800</v>
      </c>
      <c r="B179" t="s">
        <v>14</v>
      </c>
      <c r="C179" t="s">
        <v>15</v>
      </c>
      <c r="D179" t="s">
        <v>801</v>
      </c>
      <c r="E179" t="s">
        <v>802</v>
      </c>
      <c r="F179" t="s">
        <v>36</v>
      </c>
      <c r="G179" t="s">
        <v>124</v>
      </c>
      <c r="H179" t="s">
        <v>803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804</v>
      </c>
      <c r="B180" t="s">
        <v>14</v>
      </c>
      <c r="C180" t="s">
        <v>15</v>
      </c>
      <c r="D180" t="s">
        <v>805</v>
      </c>
      <c r="E180" t="s">
        <v>806</v>
      </c>
      <c r="F180" t="s">
        <v>18</v>
      </c>
      <c r="G180" t="s">
        <v>807</v>
      </c>
      <c r="H180" t="s">
        <v>808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809</v>
      </c>
      <c r="B181" t="s">
        <v>14</v>
      </c>
      <c r="C181" t="s">
        <v>15</v>
      </c>
      <c r="D181" t="s">
        <v>810</v>
      </c>
      <c r="E181" t="s">
        <v>811</v>
      </c>
      <c r="F181" t="s">
        <v>18</v>
      </c>
      <c r="G181" t="s">
        <v>19</v>
      </c>
      <c r="H181" t="s">
        <v>812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813</v>
      </c>
      <c r="B182" t="s">
        <v>14</v>
      </c>
      <c r="C182" t="s">
        <v>15</v>
      </c>
      <c r="D182" t="s">
        <v>814</v>
      </c>
      <c r="E182" t="s">
        <v>815</v>
      </c>
      <c r="F182" t="s">
        <v>18</v>
      </c>
      <c r="G182" t="s">
        <v>19</v>
      </c>
      <c r="H182" t="s">
        <v>816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817</v>
      </c>
      <c r="B183" t="s">
        <v>14</v>
      </c>
      <c r="C183" t="s">
        <v>15</v>
      </c>
      <c r="D183" t="s">
        <v>818</v>
      </c>
      <c r="E183" t="s">
        <v>819</v>
      </c>
      <c r="F183" t="s">
        <v>26</v>
      </c>
      <c r="G183" t="s">
        <v>119</v>
      </c>
      <c r="H183" t="s">
        <v>820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821</v>
      </c>
      <c r="B184" t="s">
        <v>14</v>
      </c>
      <c r="C184" t="s">
        <v>15</v>
      </c>
      <c r="D184" t="s">
        <v>822</v>
      </c>
      <c r="E184" t="s">
        <v>823</v>
      </c>
      <c r="F184" t="s">
        <v>26</v>
      </c>
      <c r="G184" t="s">
        <v>119</v>
      </c>
      <c r="H184" t="s">
        <v>824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825</v>
      </c>
      <c r="B185" t="s">
        <v>14</v>
      </c>
      <c r="C185" t="s">
        <v>15</v>
      </c>
      <c r="D185" t="s">
        <v>826</v>
      </c>
      <c r="E185" t="s">
        <v>827</v>
      </c>
      <c r="F185" t="s">
        <v>291</v>
      </c>
      <c r="G185" t="s">
        <v>292</v>
      </c>
      <c r="H185" t="s">
        <v>828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829</v>
      </c>
      <c r="B186" t="s">
        <v>14</v>
      </c>
      <c r="C186" t="s">
        <v>15</v>
      </c>
      <c r="D186" t="s">
        <v>830</v>
      </c>
      <c r="E186" t="s">
        <v>831</v>
      </c>
      <c r="F186" t="s">
        <v>291</v>
      </c>
      <c r="G186" t="s">
        <v>292</v>
      </c>
      <c r="H186" t="s">
        <v>832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833</v>
      </c>
      <c r="B187" t="s">
        <v>14</v>
      </c>
      <c r="C187" t="s">
        <v>15</v>
      </c>
      <c r="D187" t="s">
        <v>834</v>
      </c>
      <c r="E187" t="s">
        <v>835</v>
      </c>
      <c r="F187" t="s">
        <v>60</v>
      </c>
      <c r="G187" t="s">
        <v>80</v>
      </c>
      <c r="H187" t="s">
        <v>836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837</v>
      </c>
      <c r="B188" t="s">
        <v>14</v>
      </c>
      <c r="C188" t="s">
        <v>15</v>
      </c>
      <c r="D188" t="s">
        <v>838</v>
      </c>
      <c r="E188" t="s">
        <v>839</v>
      </c>
      <c r="F188" t="s">
        <v>36</v>
      </c>
      <c r="G188" t="s">
        <v>94</v>
      </c>
      <c r="H188" t="s">
        <v>840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841</v>
      </c>
      <c r="B189" t="s">
        <v>14</v>
      </c>
      <c r="C189" t="s">
        <v>15</v>
      </c>
      <c r="D189" t="s">
        <v>842</v>
      </c>
      <c r="E189" t="s">
        <v>843</v>
      </c>
      <c r="F189" t="s">
        <v>60</v>
      </c>
      <c r="G189" t="s">
        <v>844</v>
      </c>
      <c r="H189" t="s">
        <v>845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846</v>
      </c>
      <c r="B190" t="s">
        <v>14</v>
      </c>
      <c r="C190" t="s">
        <v>15</v>
      </c>
      <c r="D190" t="s">
        <v>847</v>
      </c>
      <c r="E190" t="s">
        <v>848</v>
      </c>
      <c r="F190" t="s">
        <v>18</v>
      </c>
      <c r="G190" t="s">
        <v>19</v>
      </c>
      <c r="H190" t="s">
        <v>849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850</v>
      </c>
      <c r="B191" t="s">
        <v>14</v>
      </c>
      <c r="C191" t="s">
        <v>15</v>
      </c>
      <c r="D191" t="s">
        <v>851</v>
      </c>
      <c r="E191" t="s">
        <v>852</v>
      </c>
      <c r="F191" t="s">
        <v>60</v>
      </c>
      <c r="G191" t="s">
        <v>582</v>
      </c>
      <c r="H191" t="s">
        <v>853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854</v>
      </c>
      <c r="B192" t="s">
        <v>14</v>
      </c>
      <c r="C192" t="s">
        <v>15</v>
      </c>
      <c r="D192" t="s">
        <v>855</v>
      </c>
      <c r="E192" t="s">
        <v>856</v>
      </c>
      <c r="F192" t="s">
        <v>291</v>
      </c>
      <c r="G192" t="s">
        <v>613</v>
      </c>
      <c r="H192" t="s">
        <v>857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858</v>
      </c>
      <c r="B193" t="s">
        <v>14</v>
      </c>
      <c r="C193" t="s">
        <v>15</v>
      </c>
      <c r="D193" t="s">
        <v>859</v>
      </c>
      <c r="E193" t="s">
        <v>860</v>
      </c>
      <c r="F193" t="s">
        <v>18</v>
      </c>
      <c r="G193" t="s">
        <v>19</v>
      </c>
      <c r="H193" t="s">
        <v>861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862</v>
      </c>
      <c r="B194" t="s">
        <v>14</v>
      </c>
      <c r="C194" t="s">
        <v>15</v>
      </c>
      <c r="D194" t="s">
        <v>863</v>
      </c>
      <c r="E194" t="s">
        <v>864</v>
      </c>
      <c r="F194" t="s">
        <v>18</v>
      </c>
      <c r="G194" t="s">
        <v>19</v>
      </c>
      <c r="H194" t="s">
        <v>865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866</v>
      </c>
      <c r="B195" t="s">
        <v>14</v>
      </c>
      <c r="C195" t="s">
        <v>15</v>
      </c>
      <c r="D195" t="s">
        <v>867</v>
      </c>
      <c r="E195" t="s">
        <v>868</v>
      </c>
      <c r="F195" t="s">
        <v>36</v>
      </c>
      <c r="G195" t="s">
        <v>71</v>
      </c>
      <c r="H195" t="s">
        <v>869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870</v>
      </c>
      <c r="B196" t="s">
        <v>14</v>
      </c>
      <c r="C196" t="s">
        <v>15</v>
      </c>
      <c r="D196" t="s">
        <v>871</v>
      </c>
      <c r="E196" t="s">
        <v>872</v>
      </c>
      <c r="F196" t="s">
        <v>60</v>
      </c>
      <c r="G196" t="s">
        <v>699</v>
      </c>
      <c r="H196" t="s">
        <v>873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874</v>
      </c>
      <c r="B197" t="s">
        <v>14</v>
      </c>
      <c r="C197" t="s">
        <v>15</v>
      </c>
      <c r="D197" t="s">
        <v>875</v>
      </c>
      <c r="E197" t="s">
        <v>876</v>
      </c>
      <c r="F197" t="s">
        <v>26</v>
      </c>
      <c r="G197" t="s">
        <v>47</v>
      </c>
      <c r="H197" t="s">
        <v>877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878</v>
      </c>
      <c r="B198" t="s">
        <v>14</v>
      </c>
      <c r="C198" t="s">
        <v>15</v>
      </c>
      <c r="D198" t="s">
        <v>879</v>
      </c>
      <c r="E198" t="s">
        <v>880</v>
      </c>
      <c r="F198" t="s">
        <v>60</v>
      </c>
      <c r="G198" t="s">
        <v>587</v>
      </c>
      <c r="H198" t="s">
        <v>881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882</v>
      </c>
      <c r="B199" t="s">
        <v>14</v>
      </c>
      <c r="C199" t="s">
        <v>15</v>
      </c>
      <c r="D199" t="s">
        <v>883</v>
      </c>
      <c r="E199" t="s">
        <v>884</v>
      </c>
      <c r="F199" t="s">
        <v>291</v>
      </c>
      <c r="G199" t="s">
        <v>613</v>
      </c>
      <c r="H199" t="s">
        <v>885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886</v>
      </c>
      <c r="B200" t="s">
        <v>14</v>
      </c>
      <c r="C200" t="s">
        <v>15</v>
      </c>
      <c r="D200" t="s">
        <v>887</v>
      </c>
      <c r="E200" t="s">
        <v>888</v>
      </c>
      <c r="F200" t="s">
        <v>60</v>
      </c>
      <c r="G200" t="s">
        <v>889</v>
      </c>
      <c r="H200" t="s">
        <v>890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891</v>
      </c>
      <c r="B201" t="s">
        <v>14</v>
      </c>
      <c r="C201" t="s">
        <v>15</v>
      </c>
      <c r="D201" t="s">
        <v>892</v>
      </c>
      <c r="E201" t="s">
        <v>893</v>
      </c>
      <c r="F201" t="s">
        <v>60</v>
      </c>
      <c r="G201" t="s">
        <v>539</v>
      </c>
      <c r="H201" t="s">
        <v>894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895</v>
      </c>
      <c r="B202" t="s">
        <v>14</v>
      </c>
      <c r="C202" t="s">
        <v>15</v>
      </c>
      <c r="D202" t="s">
        <v>896</v>
      </c>
      <c r="E202" t="s">
        <v>897</v>
      </c>
      <c r="F202" t="s">
        <v>291</v>
      </c>
      <c r="G202" t="s">
        <v>898</v>
      </c>
      <c r="H202" t="s">
        <v>899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900</v>
      </c>
      <c r="B203" t="s">
        <v>14</v>
      </c>
      <c r="C203" t="s">
        <v>15</v>
      </c>
      <c r="D203" t="s">
        <v>901</v>
      </c>
      <c r="E203" t="s">
        <v>902</v>
      </c>
      <c r="F203" t="s">
        <v>291</v>
      </c>
      <c r="G203" t="s">
        <v>613</v>
      </c>
      <c r="H203" t="s">
        <v>903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904</v>
      </c>
      <c r="B204" t="s">
        <v>14</v>
      </c>
      <c r="C204" t="s">
        <v>15</v>
      </c>
      <c r="D204" t="s">
        <v>905</v>
      </c>
      <c r="E204" t="s">
        <v>906</v>
      </c>
      <c r="F204" t="s">
        <v>291</v>
      </c>
      <c r="G204" t="s">
        <v>907</v>
      </c>
      <c r="H204" t="s">
        <v>908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909</v>
      </c>
      <c r="B205" t="s">
        <v>14</v>
      </c>
      <c r="C205" t="s">
        <v>15</v>
      </c>
      <c r="D205" t="s">
        <v>910</v>
      </c>
      <c r="E205" t="s">
        <v>911</v>
      </c>
      <c r="F205" t="s">
        <v>26</v>
      </c>
      <c r="G205" t="s">
        <v>109</v>
      </c>
      <c r="H205" t="s">
        <v>912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913</v>
      </c>
      <c r="B206" t="s">
        <v>14</v>
      </c>
      <c r="C206" t="s">
        <v>15</v>
      </c>
      <c r="D206" t="s">
        <v>914</v>
      </c>
      <c r="E206" t="s">
        <v>915</v>
      </c>
      <c r="F206" t="s">
        <v>36</v>
      </c>
      <c r="G206" t="s">
        <v>94</v>
      </c>
      <c r="H206" t="s">
        <v>916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917</v>
      </c>
      <c r="B207" t="s">
        <v>14</v>
      </c>
      <c r="C207" t="s">
        <v>15</v>
      </c>
      <c r="D207" t="s">
        <v>918</v>
      </c>
      <c r="E207" t="s">
        <v>919</v>
      </c>
      <c r="F207" t="s">
        <v>36</v>
      </c>
      <c r="G207" t="s">
        <v>94</v>
      </c>
      <c r="H207" t="s">
        <v>920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921</v>
      </c>
      <c r="B208" t="s">
        <v>14</v>
      </c>
      <c r="C208" t="s">
        <v>15</v>
      </c>
      <c r="D208" t="s">
        <v>922</v>
      </c>
      <c r="E208" t="s">
        <v>923</v>
      </c>
      <c r="F208" t="s">
        <v>60</v>
      </c>
      <c r="G208" t="s">
        <v>924</v>
      </c>
      <c r="H208" t="s">
        <v>925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926</v>
      </c>
      <c r="B209" t="s">
        <v>14</v>
      </c>
      <c r="C209" t="s">
        <v>15</v>
      </c>
      <c r="D209" t="s">
        <v>927</v>
      </c>
      <c r="E209" t="s">
        <v>928</v>
      </c>
      <c r="F209" t="s">
        <v>430</v>
      </c>
      <c r="G209" t="s">
        <v>431</v>
      </c>
      <c r="H209" t="s">
        <v>929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930</v>
      </c>
      <c r="B210" t="s">
        <v>14</v>
      </c>
      <c r="C210" t="s">
        <v>15</v>
      </c>
      <c r="D210" t="s">
        <v>931</v>
      </c>
      <c r="E210" t="s">
        <v>932</v>
      </c>
      <c r="F210" t="s">
        <v>60</v>
      </c>
      <c r="G210" t="s">
        <v>539</v>
      </c>
      <c r="H210" t="s">
        <v>933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934</v>
      </c>
      <c r="B211" t="s">
        <v>14</v>
      </c>
      <c r="C211" t="s">
        <v>15</v>
      </c>
      <c r="D211" t="s">
        <v>935</v>
      </c>
      <c r="E211" t="s">
        <v>936</v>
      </c>
      <c r="F211" t="s">
        <v>60</v>
      </c>
      <c r="G211" t="s">
        <v>436</v>
      </c>
      <c r="H211" t="s">
        <v>937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938</v>
      </c>
      <c r="B212" t="s">
        <v>14</v>
      </c>
      <c r="C212" t="s">
        <v>15</v>
      </c>
      <c r="D212" t="s">
        <v>939</v>
      </c>
      <c r="E212" t="s">
        <v>940</v>
      </c>
      <c r="F212" t="s">
        <v>18</v>
      </c>
      <c r="G212" t="s">
        <v>941</v>
      </c>
      <c r="H212" t="s">
        <v>942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943</v>
      </c>
      <c r="B213" t="s">
        <v>14</v>
      </c>
      <c r="C213" t="s">
        <v>15</v>
      </c>
      <c r="D213" t="s">
        <v>944</v>
      </c>
      <c r="E213" t="s">
        <v>945</v>
      </c>
      <c r="F213" t="s">
        <v>26</v>
      </c>
      <c r="G213" t="s">
        <v>119</v>
      </c>
      <c r="H213" t="s">
        <v>946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947</v>
      </c>
      <c r="B214" t="s">
        <v>14</v>
      </c>
      <c r="C214" t="s">
        <v>15</v>
      </c>
      <c r="D214" t="s">
        <v>948</v>
      </c>
      <c r="E214" t="s">
        <v>949</v>
      </c>
      <c r="F214" t="s">
        <v>18</v>
      </c>
      <c r="G214" t="s">
        <v>19</v>
      </c>
      <c r="H214" t="s">
        <v>950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951</v>
      </c>
      <c r="B215" t="s">
        <v>14</v>
      </c>
      <c r="C215" t="s">
        <v>15</v>
      </c>
      <c r="D215" t="s">
        <v>952</v>
      </c>
      <c r="E215" t="s">
        <v>953</v>
      </c>
      <c r="F215" t="s">
        <v>26</v>
      </c>
      <c r="G215" t="s">
        <v>47</v>
      </c>
      <c r="H215" t="s">
        <v>954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955</v>
      </c>
      <c r="B216" t="s">
        <v>14</v>
      </c>
      <c r="C216" t="s">
        <v>15</v>
      </c>
      <c r="D216" t="s">
        <v>956</v>
      </c>
      <c r="E216" t="s">
        <v>957</v>
      </c>
      <c r="F216" t="s">
        <v>18</v>
      </c>
      <c r="G216" t="s">
        <v>195</v>
      </c>
      <c r="H216" t="s">
        <v>958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959</v>
      </c>
      <c r="B217" t="s">
        <v>14</v>
      </c>
      <c r="C217" t="s">
        <v>15</v>
      </c>
      <c r="D217" t="s">
        <v>960</v>
      </c>
      <c r="E217" t="s">
        <v>961</v>
      </c>
      <c r="F217" t="s">
        <v>60</v>
      </c>
      <c r="G217" t="s">
        <v>140</v>
      </c>
      <c r="H217" t="s">
        <v>962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963</v>
      </c>
      <c r="B218" t="s">
        <v>14</v>
      </c>
      <c r="C218" t="s">
        <v>15</v>
      </c>
      <c r="D218" t="s">
        <v>964</v>
      </c>
      <c r="E218" t="s">
        <v>965</v>
      </c>
      <c r="F218" t="s">
        <v>430</v>
      </c>
      <c r="G218" t="s">
        <v>431</v>
      </c>
      <c r="H218" t="s">
        <v>966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967</v>
      </c>
      <c r="B219" t="s">
        <v>14</v>
      </c>
      <c r="C219" t="s">
        <v>15</v>
      </c>
      <c r="D219" t="s">
        <v>968</v>
      </c>
      <c r="E219" t="s">
        <v>969</v>
      </c>
      <c r="F219" t="s">
        <v>430</v>
      </c>
      <c r="G219" t="s">
        <v>431</v>
      </c>
      <c r="H219" t="s">
        <v>970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971</v>
      </c>
      <c r="B220" t="s">
        <v>14</v>
      </c>
      <c r="C220" t="s">
        <v>15</v>
      </c>
      <c r="D220" t="s">
        <v>972</v>
      </c>
      <c r="E220" t="s">
        <v>973</v>
      </c>
      <c r="F220" t="s">
        <v>18</v>
      </c>
      <c r="G220" t="s">
        <v>129</v>
      </c>
      <c r="H220" t="s">
        <v>974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975</v>
      </c>
      <c r="B221" t="s">
        <v>14</v>
      </c>
      <c r="C221" t="s">
        <v>15</v>
      </c>
      <c r="D221" t="s">
        <v>976</v>
      </c>
      <c r="E221" t="s">
        <v>977</v>
      </c>
      <c r="F221" t="s">
        <v>26</v>
      </c>
      <c r="G221" t="s">
        <v>47</v>
      </c>
      <c r="H221" t="s">
        <v>978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979</v>
      </c>
      <c r="B222" t="s">
        <v>14</v>
      </c>
      <c r="C222" t="s">
        <v>15</v>
      </c>
      <c r="D222" t="s">
        <v>980</v>
      </c>
      <c r="E222" t="s">
        <v>981</v>
      </c>
      <c r="F222" t="s">
        <v>60</v>
      </c>
      <c r="G222" t="s">
        <v>539</v>
      </c>
      <c r="H222" t="s">
        <v>982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983</v>
      </c>
      <c r="B223" t="s">
        <v>14</v>
      </c>
      <c r="C223" t="s">
        <v>15</v>
      </c>
      <c r="D223" t="s">
        <v>984</v>
      </c>
      <c r="E223" t="s">
        <v>985</v>
      </c>
      <c r="F223" t="s">
        <v>60</v>
      </c>
      <c r="G223" t="s">
        <v>539</v>
      </c>
      <c r="H223" t="s">
        <v>986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987</v>
      </c>
      <c r="B224" t="s">
        <v>14</v>
      </c>
      <c r="C224" t="s">
        <v>15</v>
      </c>
      <c r="D224" t="s">
        <v>988</v>
      </c>
      <c r="E224" t="s">
        <v>989</v>
      </c>
      <c r="F224" t="s">
        <v>26</v>
      </c>
      <c r="G224" t="s">
        <v>119</v>
      </c>
      <c r="H224" t="s">
        <v>990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991</v>
      </c>
      <c r="B225" t="s">
        <v>14</v>
      </c>
      <c r="C225" t="s">
        <v>15</v>
      </c>
      <c r="D225" t="s">
        <v>992</v>
      </c>
      <c r="E225" t="s">
        <v>993</v>
      </c>
      <c r="F225" t="s">
        <v>18</v>
      </c>
      <c r="G225" t="s">
        <v>994</v>
      </c>
      <c r="H225" t="s">
        <v>995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996</v>
      </c>
      <c r="B226" t="s">
        <v>14</v>
      </c>
      <c r="C226" t="s">
        <v>15</v>
      </c>
      <c r="D226" t="s">
        <v>997</v>
      </c>
      <c r="E226" t="s">
        <v>998</v>
      </c>
      <c r="F226" t="s">
        <v>60</v>
      </c>
      <c r="G226" t="s">
        <v>999</v>
      </c>
      <c r="H226" t="s">
        <v>1000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1001</v>
      </c>
      <c r="B227" t="s">
        <v>14</v>
      </c>
      <c r="C227" t="s">
        <v>15</v>
      </c>
      <c r="D227" t="s">
        <v>1002</v>
      </c>
      <c r="E227" t="s">
        <v>1003</v>
      </c>
      <c r="F227" t="s">
        <v>18</v>
      </c>
      <c r="G227" t="s">
        <v>251</v>
      </c>
      <c r="H227" t="s">
        <v>1004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1005</v>
      </c>
      <c r="B228" t="s">
        <v>14</v>
      </c>
      <c r="C228" t="s">
        <v>15</v>
      </c>
      <c r="D228" t="s">
        <v>1006</v>
      </c>
      <c r="E228" t="s">
        <v>1007</v>
      </c>
      <c r="F228" t="s">
        <v>18</v>
      </c>
      <c r="G228" t="s">
        <v>251</v>
      </c>
      <c r="H228" t="s">
        <v>1008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1009</v>
      </c>
      <c r="B229" t="s">
        <v>14</v>
      </c>
      <c r="C229" t="s">
        <v>15</v>
      </c>
      <c r="D229" t="s">
        <v>1010</v>
      </c>
      <c r="E229" t="s">
        <v>1011</v>
      </c>
      <c r="F229" t="s">
        <v>430</v>
      </c>
      <c r="G229" t="s">
        <v>1012</v>
      </c>
      <c r="H229" t="s">
        <v>1013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1014</v>
      </c>
      <c r="B230" t="s">
        <v>14</v>
      </c>
      <c r="C230" t="s">
        <v>15</v>
      </c>
      <c r="D230" t="s">
        <v>1015</v>
      </c>
      <c r="E230" t="s">
        <v>1016</v>
      </c>
      <c r="F230" t="s">
        <v>60</v>
      </c>
      <c r="G230" t="s">
        <v>681</v>
      </c>
      <c r="H230" t="s">
        <v>1017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1018</v>
      </c>
      <c r="B231" t="s">
        <v>14</v>
      </c>
      <c r="C231" t="s">
        <v>15</v>
      </c>
      <c r="D231" t="s">
        <v>1019</v>
      </c>
      <c r="E231" t="s">
        <v>1020</v>
      </c>
      <c r="F231" t="s">
        <v>291</v>
      </c>
      <c r="G231" t="s">
        <v>292</v>
      </c>
      <c r="H231" t="s">
        <v>1021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1022</v>
      </c>
      <c r="B232" t="s">
        <v>14</v>
      </c>
      <c r="C232" t="s">
        <v>15</v>
      </c>
      <c r="D232" t="s">
        <v>1023</v>
      </c>
      <c r="E232" t="s">
        <v>1024</v>
      </c>
      <c r="F232" t="s">
        <v>18</v>
      </c>
      <c r="G232" t="s">
        <v>129</v>
      </c>
      <c r="H232" t="s">
        <v>1025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1026</v>
      </c>
      <c r="B233" t="s">
        <v>14</v>
      </c>
      <c r="C233" t="s">
        <v>15</v>
      </c>
      <c r="D233" t="s">
        <v>1027</v>
      </c>
      <c r="E233" t="s">
        <v>1028</v>
      </c>
      <c r="F233" t="s">
        <v>36</v>
      </c>
      <c r="G233" t="s">
        <v>371</v>
      </c>
      <c r="H233" t="s">
        <v>1029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1030</v>
      </c>
      <c r="B234" t="s">
        <v>14</v>
      </c>
      <c r="C234" t="s">
        <v>15</v>
      </c>
      <c r="D234" t="s">
        <v>1031</v>
      </c>
      <c r="E234" t="s">
        <v>1032</v>
      </c>
      <c r="F234" t="s">
        <v>60</v>
      </c>
      <c r="G234" t="s">
        <v>163</v>
      </c>
      <c r="H234" t="s">
        <v>1033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1034</v>
      </c>
      <c r="B235" t="s">
        <v>14</v>
      </c>
      <c r="C235" t="s">
        <v>15</v>
      </c>
      <c r="D235" t="s">
        <v>1035</v>
      </c>
      <c r="E235" t="s">
        <v>1036</v>
      </c>
      <c r="F235" t="s">
        <v>134</v>
      </c>
      <c r="G235" t="s">
        <v>1037</v>
      </c>
      <c r="H235" t="s">
        <v>1038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1039</v>
      </c>
      <c r="B236" t="s">
        <v>14</v>
      </c>
      <c r="C236" t="s">
        <v>15</v>
      </c>
      <c r="D236" t="s">
        <v>1040</v>
      </c>
      <c r="E236" t="s">
        <v>1041</v>
      </c>
      <c r="F236" t="s">
        <v>60</v>
      </c>
      <c r="G236" t="s">
        <v>104</v>
      </c>
      <c r="H236" t="s">
        <v>1042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1043</v>
      </c>
      <c r="B237" t="s">
        <v>14</v>
      </c>
      <c r="C237" t="s">
        <v>15</v>
      </c>
      <c r="D237" t="s">
        <v>1044</v>
      </c>
      <c r="E237" t="s">
        <v>1045</v>
      </c>
      <c r="F237" t="s">
        <v>36</v>
      </c>
      <c r="G237" t="s">
        <v>124</v>
      </c>
      <c r="H237" t="s">
        <v>1046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1047</v>
      </c>
      <c r="B238" t="s">
        <v>14</v>
      </c>
      <c r="C238" t="s">
        <v>15</v>
      </c>
      <c r="D238" t="s">
        <v>1048</v>
      </c>
      <c r="E238" t="s">
        <v>1049</v>
      </c>
      <c r="F238" t="s">
        <v>60</v>
      </c>
      <c r="G238" t="s">
        <v>1050</v>
      </c>
      <c r="H238" t="s">
        <v>1051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1052</v>
      </c>
      <c r="B239" t="s">
        <v>14</v>
      </c>
      <c r="C239" t="s">
        <v>15</v>
      </c>
      <c r="D239" t="s">
        <v>1053</v>
      </c>
      <c r="E239" t="s">
        <v>1054</v>
      </c>
      <c r="F239" t="s">
        <v>60</v>
      </c>
      <c r="G239" t="s">
        <v>1055</v>
      </c>
      <c r="H239" t="s">
        <v>1056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1057</v>
      </c>
      <c r="B240" t="s">
        <v>14</v>
      </c>
      <c r="C240" t="s">
        <v>15</v>
      </c>
      <c r="D240" t="s">
        <v>1058</v>
      </c>
      <c r="E240" t="s">
        <v>1059</v>
      </c>
      <c r="F240" t="s">
        <v>60</v>
      </c>
      <c r="G240" t="s">
        <v>417</v>
      </c>
      <c r="H240" t="s">
        <v>1060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1061</v>
      </c>
      <c r="B241" t="s">
        <v>14</v>
      </c>
      <c r="C241" t="s">
        <v>15</v>
      </c>
      <c r="D241" t="s">
        <v>1062</v>
      </c>
      <c r="E241" t="s">
        <v>1063</v>
      </c>
      <c r="F241" t="s">
        <v>291</v>
      </c>
      <c r="G241" t="s">
        <v>613</v>
      </c>
      <c r="H241" t="s">
        <v>1064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1065</v>
      </c>
      <c r="B242" t="s">
        <v>14</v>
      </c>
      <c r="C242" t="s">
        <v>15</v>
      </c>
      <c r="D242" t="s">
        <v>1066</v>
      </c>
      <c r="E242" t="s">
        <v>1067</v>
      </c>
      <c r="F242" t="s">
        <v>18</v>
      </c>
      <c r="G242" t="s">
        <v>19</v>
      </c>
      <c r="H242" t="s">
        <v>1068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1069</v>
      </c>
      <c r="B243" t="s">
        <v>14</v>
      </c>
      <c r="C243" t="s">
        <v>15</v>
      </c>
      <c r="D243" t="s">
        <v>1070</v>
      </c>
      <c r="E243" t="s">
        <v>1071</v>
      </c>
      <c r="F243" t="s">
        <v>26</v>
      </c>
      <c r="G243" t="s">
        <v>109</v>
      </c>
      <c r="H243" t="s">
        <v>1072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1073</v>
      </c>
      <c r="B244" t="s">
        <v>14</v>
      </c>
      <c r="C244" t="s">
        <v>15</v>
      </c>
      <c r="D244" t="s">
        <v>1074</v>
      </c>
      <c r="E244" t="s">
        <v>1075</v>
      </c>
      <c r="F244" t="s">
        <v>26</v>
      </c>
      <c r="G244" t="s">
        <v>109</v>
      </c>
      <c r="H244" t="s">
        <v>1076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1077</v>
      </c>
      <c r="B245" t="s">
        <v>14</v>
      </c>
      <c r="C245" t="s">
        <v>15</v>
      </c>
      <c r="D245" t="s">
        <v>1078</v>
      </c>
      <c r="E245" t="s">
        <v>1079</v>
      </c>
      <c r="F245" t="s">
        <v>60</v>
      </c>
      <c r="G245" t="s">
        <v>114</v>
      </c>
      <c r="H245" t="s">
        <v>1080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1081</v>
      </c>
      <c r="B246" t="s">
        <v>14</v>
      </c>
      <c r="C246" t="s">
        <v>15</v>
      </c>
      <c r="D246" t="s">
        <v>1082</v>
      </c>
      <c r="E246" t="s">
        <v>1083</v>
      </c>
      <c r="F246" t="s">
        <v>60</v>
      </c>
      <c r="G246" t="s">
        <v>114</v>
      </c>
      <c r="H246" t="s">
        <v>1084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1085</v>
      </c>
      <c r="B247" t="s">
        <v>14</v>
      </c>
      <c r="C247" t="s">
        <v>15</v>
      </c>
      <c r="D247" t="s">
        <v>1086</v>
      </c>
      <c r="E247" t="s">
        <v>1087</v>
      </c>
      <c r="F247" t="s">
        <v>60</v>
      </c>
      <c r="G247" t="s">
        <v>1050</v>
      </c>
      <c r="H247" t="s">
        <v>1088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1089</v>
      </c>
      <c r="B248" t="s">
        <v>14</v>
      </c>
      <c r="C248" t="s">
        <v>15</v>
      </c>
      <c r="D248" t="s">
        <v>1090</v>
      </c>
      <c r="E248" t="s">
        <v>1091</v>
      </c>
      <c r="F248" t="s">
        <v>18</v>
      </c>
      <c r="G248" t="s">
        <v>195</v>
      </c>
      <c r="H248" t="s">
        <v>1092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1093</v>
      </c>
      <c r="B249" t="s">
        <v>14</v>
      </c>
      <c r="C249" t="s">
        <v>15</v>
      </c>
      <c r="D249" t="s">
        <v>1094</v>
      </c>
      <c r="E249" t="s">
        <v>1095</v>
      </c>
      <c r="F249" t="s">
        <v>134</v>
      </c>
      <c r="G249" t="s">
        <v>1096</v>
      </c>
      <c r="H249" t="s">
        <v>1097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1098</v>
      </c>
      <c r="B250" t="s">
        <v>14</v>
      </c>
      <c r="C250" t="s">
        <v>15</v>
      </c>
      <c r="D250" t="s">
        <v>1099</v>
      </c>
      <c r="E250" t="s">
        <v>1100</v>
      </c>
      <c r="F250" t="s">
        <v>60</v>
      </c>
      <c r="G250" t="s">
        <v>844</v>
      </c>
      <c r="H250" t="s">
        <v>1101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1102</v>
      </c>
      <c r="B251" t="s">
        <v>14</v>
      </c>
      <c r="C251" t="s">
        <v>15</v>
      </c>
      <c r="D251" t="s">
        <v>1103</v>
      </c>
      <c r="E251" t="s">
        <v>1104</v>
      </c>
      <c r="F251" t="s">
        <v>26</v>
      </c>
      <c r="G251" t="s">
        <v>119</v>
      </c>
      <c r="H251" t="s">
        <v>1105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BDH("ARVN US Equity","BS_TOT_ASSET","1993-06-18","2026-05-02","Per=Y","Days=T","Dir=V")</f>
        <v>0</v>
      </c>
      <c r="C2">
        <f>BDH("ARVN US Equity","BS_TOT_LIAB2","1993-06-18","2026-05-02","Per=Y","Days=T","Dir=V")</f>
        <v>0</v>
      </c>
      <c r="E2">
        <f>BDH("ARVN US Equity","SHORT_AND_LONG_TERM_DEBT","1993-06-18","2026-05-02","Per=Y","Days=T","Dir=V")</f>
        <v>0</v>
      </c>
      <c r="G2">
        <f>BDH("ARVN US Equity","BS_ST_BORROW","1993-06-18","2026-05-02","Per=Y","Days=T","Dir=V")</f>
        <v>0</v>
      </c>
      <c r="I2">
        <f>BDH("ARVN US Equity","BS_LT_BORROW","1993-06-18","2026-05-02","Per=Y","Days=T","Dir=V")</f>
        <v>0</v>
      </c>
      <c r="K2">
        <f>BDH("ARVN US Equity","BS_CASH_NEAR_CASH_ITEM","1993-06-18","2026-05-02","Per=Y","Days=T","Dir=V")</f>
        <v>0</v>
      </c>
      <c r="M2">
        <f>BDH("ARVN US Equity","BS_CUR_ASSET_REPORT","1993-06-18","2026-05-02","Per=Y","Days=T","Dir=V")</f>
        <v>0</v>
      </c>
      <c r="O2">
        <f>BDH("ARVN US Equity","BS_CUR_LIAB","1993-06-18","2026-05-02","Per=Y","Days=T","Dir=V")</f>
        <v>0</v>
      </c>
      <c r="Q2">
        <f>BDH("ARVN US Equity","BS_SHAREHOLDER_EQY_ENDING_PERIOD","1993-06-18","2026-05-02","Per=Y","Days=T","Dir=V")</f>
        <v>0</v>
      </c>
      <c r="S2">
        <f>BDH("ARVN US Equity","BS_ACCT_NOTE_RCV","1993-06-18","2026-05-02","Per=Y","Days=T","Dir=V")</f>
        <v>0</v>
      </c>
      <c r="U2">
        <f>BDH("ARVN US Equity","BS_INVENTORIES","1993-06-18","2026-05-02","Per=Y","Days=T","Dir=V")</f>
        <v>0</v>
      </c>
      <c r="W2">
        <f>BDH("ARVN US Equity","WORKING_CAPITAL","1993-06-18","2026-05-02","Per=Y","Days=T","Dir=V")</f>
        <v>0</v>
      </c>
      <c r="Y2">
        <f>BDH("ARVN US Equity","SALES_REV_TURN","1993-06-18","2026-05-02","Per=Y","Days=T","Dir=V")</f>
        <v>0</v>
      </c>
      <c r="AA2">
        <f>BDH("ARVN US Equity","EBIT","1993-06-18","2026-05-02","Per=Y","Days=T","Dir=V")</f>
        <v>0</v>
      </c>
      <c r="AC2">
        <f>BDH("ARVN US Equity","EBITDA","1993-06-18","2026-05-02","Per=Y","Days=T","Dir=V")</f>
        <v>0</v>
      </c>
      <c r="AE2">
        <f>BDH("ARVN US Equity","NET_INCOME","1993-06-18","2026-05-02","Per=Y","Days=T","Dir=V")</f>
        <v>0</v>
      </c>
      <c r="AG2">
        <f>BDH("ARVN US Equity","IS_INT_EXPENSE","1993-06-18","2026-05-02","Per=Y","Days=T","Dir=V")</f>
        <v>0</v>
      </c>
      <c r="AI2">
        <f>BDH("ARVN US Equity","IS_DEPR_EXP","1993-06-18","2026-05-02","Per=Y","Days=T","Dir=V")</f>
        <v>0</v>
      </c>
      <c r="AK2">
        <f>BDH("ARVN US Equity","CF_CASH_FROM_OPER","1993-06-18","2026-05-02","Per=Y","Days=T","Dir=V")</f>
        <v>0</v>
      </c>
      <c r="AM2">
        <f>BDH("ARVN US Equity","CAPITAL_EXPEND","1993-06-18","2026-05-02","Per=Y","Days=T","Dir=V")</f>
        <v>0</v>
      </c>
      <c r="AO2">
        <f>BDH("ARVN US Equity","CF_FREE_CASH_FLOW","1993-06-18","2026-05-02","Per=Y","Days=T","Dir=V")</f>
        <v>0</v>
      </c>
      <c r="AQ2">
        <f>BDH("ARVN US Equity","PX_LAST","1993-06-18","2026-05-02","Per=M","Days=T","Dir=V")</f>
        <v>0</v>
      </c>
      <c r="AS2">
        <f>BDH("ARVN US Equity","CUR_MKT_CAP","1993-06-18","2026-05-02","Per=M","Days=T","Dir=V")</f>
        <v>0</v>
      </c>
      <c r="AU2">
        <f>BDH("ARVN US Equity","EQY_SH_OUT","1993-06-18","2026-05-02","Per=M","Days=T","Dir=V")</f>
        <v>0</v>
      </c>
      <c r="AW2">
        <f>BDH("ARVN US Equity","PX_VOLUME","1993-06-18","2026-05-02","Per=M","Days=T","Dir=V")</f>
        <v>0</v>
      </c>
      <c r="AY2">
        <f>BDH("ARVN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BDH("ARW US Equity","BS_TOT_ASSET","1993-06-18","2026-05-02","Per=Y","Days=T","Dir=V")</f>
        <v>0</v>
      </c>
      <c r="C2">
        <f>BDH("ARW US Equity","BS_TOT_LIAB2","1993-06-18","2026-05-02","Per=Y","Days=T","Dir=V")</f>
        <v>0</v>
      </c>
      <c r="E2">
        <f>BDH("ARW US Equity","SHORT_AND_LONG_TERM_DEBT","1993-06-18","2026-05-02","Per=Y","Days=T","Dir=V")</f>
        <v>0</v>
      </c>
      <c r="G2">
        <f>BDH("ARW US Equity","BS_ST_BORROW","1993-06-18","2026-05-02","Per=Y","Days=T","Dir=V")</f>
        <v>0</v>
      </c>
      <c r="I2">
        <f>BDH("ARW US Equity","BS_LT_BORROW","1993-06-18","2026-05-02","Per=Y","Days=T","Dir=V")</f>
        <v>0</v>
      </c>
      <c r="K2">
        <f>BDH("ARW US Equity","BS_CASH_NEAR_CASH_ITEM","1993-06-18","2026-05-02","Per=Y","Days=T","Dir=V")</f>
        <v>0</v>
      </c>
      <c r="M2">
        <f>BDH("ARW US Equity","BS_CUR_ASSET_REPORT","1993-06-18","2026-05-02","Per=Y","Days=T","Dir=V")</f>
        <v>0</v>
      </c>
      <c r="O2">
        <f>BDH("ARW US Equity","BS_CUR_LIAB","1993-06-18","2026-05-02","Per=Y","Days=T","Dir=V")</f>
        <v>0</v>
      </c>
      <c r="Q2">
        <f>BDH("ARW US Equity","BS_SHAREHOLDER_EQY_ENDING_PERIOD","1993-06-18","2026-05-02","Per=Y","Days=T","Dir=V")</f>
        <v>0</v>
      </c>
      <c r="S2">
        <f>BDH("ARW US Equity","BS_ACCT_NOTE_RCV","1993-06-18","2026-05-02","Per=Y","Days=T","Dir=V")</f>
        <v>0</v>
      </c>
      <c r="U2">
        <f>BDH("ARW US Equity","BS_INVENTORIES","1993-06-18","2026-05-02","Per=Y","Days=T","Dir=V")</f>
        <v>0</v>
      </c>
      <c r="W2">
        <f>BDH("ARW US Equity","WORKING_CAPITAL","1993-06-18","2026-05-02","Per=Y","Days=T","Dir=V")</f>
        <v>0</v>
      </c>
      <c r="Y2">
        <f>BDH("ARW US Equity","SALES_REV_TURN","1993-06-18","2026-05-02","Per=Y","Days=T","Dir=V")</f>
        <v>0</v>
      </c>
      <c r="AA2">
        <f>BDH("ARW US Equity","EBIT","1993-06-18","2026-05-02","Per=Y","Days=T","Dir=V")</f>
        <v>0</v>
      </c>
      <c r="AC2">
        <f>BDH("ARW US Equity","EBITDA","1993-06-18","2026-05-02","Per=Y","Days=T","Dir=V")</f>
        <v>0</v>
      </c>
      <c r="AE2">
        <f>BDH("ARW US Equity","NET_INCOME","1993-06-18","2026-05-02","Per=Y","Days=T","Dir=V")</f>
        <v>0</v>
      </c>
      <c r="AG2">
        <f>BDH("ARW US Equity","IS_INT_EXPENSE","1993-06-18","2026-05-02","Per=Y","Days=T","Dir=V")</f>
        <v>0</v>
      </c>
      <c r="AI2">
        <f>BDH("ARW US Equity","IS_DEPR_EXP","1993-06-18","2026-05-02","Per=Y","Days=T","Dir=V")</f>
        <v>0</v>
      </c>
      <c r="AK2">
        <f>BDH("ARW US Equity","CF_CASH_FROM_OPER","1993-06-18","2026-05-02","Per=Y","Days=T","Dir=V")</f>
        <v>0</v>
      </c>
      <c r="AM2">
        <f>BDH("ARW US Equity","CAPITAL_EXPEND","1993-06-18","2026-05-02","Per=Y","Days=T","Dir=V")</f>
        <v>0</v>
      </c>
      <c r="AO2">
        <f>BDH("ARW US Equity","CF_FREE_CASH_FLOW","1993-06-18","2026-05-02","Per=Y","Days=T","Dir=V")</f>
        <v>0</v>
      </c>
      <c r="AQ2">
        <f>BDH("ARW US Equity","PX_LAST","1993-06-18","2026-05-02","Per=M","Days=T","Dir=V")</f>
        <v>0</v>
      </c>
      <c r="AS2">
        <f>BDH("ARW US Equity","CUR_MKT_CAP","1993-06-18","2026-05-02","Per=M","Days=T","Dir=V")</f>
        <v>0</v>
      </c>
      <c r="AU2">
        <f>BDH("ARW US Equity","EQY_SH_OUT","1993-06-18","2026-05-02","Per=M","Days=T","Dir=V")</f>
        <v>0</v>
      </c>
      <c r="AW2">
        <f>BDH("ARW US Equity","PX_VOLUME","1993-06-18","2026-05-02","Per=M","Days=T","Dir=V")</f>
        <v>0</v>
      </c>
      <c r="AY2">
        <f>BDH("ARW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BDH("ARWR US Equity","BS_TOT_ASSET","1993-06-18","2026-05-02","Per=Y","Days=T","Dir=V")</f>
        <v>0</v>
      </c>
      <c r="C2">
        <f>BDH("ARWR US Equity","BS_TOT_LIAB2","1993-06-18","2026-05-02","Per=Y","Days=T","Dir=V")</f>
        <v>0</v>
      </c>
      <c r="E2">
        <f>BDH("ARWR US Equity","SHORT_AND_LONG_TERM_DEBT","1993-06-18","2026-05-02","Per=Y","Days=T","Dir=V")</f>
        <v>0</v>
      </c>
      <c r="G2">
        <f>BDH("ARWR US Equity","BS_ST_BORROW","1993-06-18","2026-05-02","Per=Y","Days=T","Dir=V")</f>
        <v>0</v>
      </c>
      <c r="I2">
        <f>BDH("ARWR US Equity","BS_LT_BORROW","1993-06-18","2026-05-02","Per=Y","Days=T","Dir=V")</f>
        <v>0</v>
      </c>
      <c r="K2">
        <f>BDH("ARWR US Equity","BS_CASH_NEAR_CASH_ITEM","1993-06-18","2026-05-02","Per=Y","Days=T","Dir=V")</f>
        <v>0</v>
      </c>
      <c r="M2">
        <f>BDH("ARWR US Equity","BS_CUR_ASSET_REPORT","1993-06-18","2026-05-02","Per=Y","Days=T","Dir=V")</f>
        <v>0</v>
      </c>
      <c r="O2">
        <f>BDH("ARWR US Equity","BS_CUR_LIAB","1993-06-18","2026-05-02","Per=Y","Days=T","Dir=V")</f>
        <v>0</v>
      </c>
      <c r="Q2">
        <f>BDH("ARWR US Equity","BS_SHAREHOLDER_EQY_ENDING_PERIOD","1993-06-18","2026-05-02","Per=Y","Days=T","Dir=V")</f>
        <v>0</v>
      </c>
      <c r="S2">
        <f>BDH("ARWR US Equity","BS_ACCT_NOTE_RCV","1993-06-18","2026-05-02","Per=Y","Days=T","Dir=V")</f>
        <v>0</v>
      </c>
      <c r="U2">
        <f>BDH("ARWR US Equity","BS_INVENTORIES","1993-06-18","2026-05-02","Per=Y","Days=T","Dir=V")</f>
        <v>0</v>
      </c>
      <c r="W2">
        <f>BDH("ARWR US Equity","WORKING_CAPITAL","1993-06-18","2026-05-02","Per=Y","Days=T","Dir=V")</f>
        <v>0</v>
      </c>
      <c r="Y2">
        <f>BDH("ARWR US Equity","SALES_REV_TURN","1993-06-18","2026-05-02","Per=Y","Days=T","Dir=V")</f>
        <v>0</v>
      </c>
      <c r="AA2">
        <f>BDH("ARWR US Equity","EBIT","1993-06-18","2026-05-02","Per=Y","Days=T","Dir=V")</f>
        <v>0</v>
      </c>
      <c r="AC2">
        <f>BDH("ARWR US Equity","EBITDA","1993-06-18","2026-05-02","Per=Y","Days=T","Dir=V")</f>
        <v>0</v>
      </c>
      <c r="AE2">
        <f>BDH("ARWR US Equity","NET_INCOME","1993-06-18","2026-05-02","Per=Y","Days=T","Dir=V")</f>
        <v>0</v>
      </c>
      <c r="AG2">
        <f>BDH("ARWR US Equity","IS_INT_EXPENSE","1993-06-18","2026-05-02","Per=Y","Days=T","Dir=V")</f>
        <v>0</v>
      </c>
      <c r="AI2">
        <f>BDH("ARWR US Equity","IS_DEPR_EXP","1993-06-18","2026-05-02","Per=Y","Days=T","Dir=V")</f>
        <v>0</v>
      </c>
      <c r="AK2">
        <f>BDH("ARWR US Equity","CF_CASH_FROM_OPER","1993-06-18","2026-05-02","Per=Y","Days=T","Dir=V")</f>
        <v>0</v>
      </c>
      <c r="AM2">
        <f>BDH("ARWR US Equity","CAPITAL_EXPEND","1993-06-18","2026-05-02","Per=Y","Days=T","Dir=V")</f>
        <v>0</v>
      </c>
      <c r="AO2">
        <f>BDH("ARWR US Equity","CF_FREE_CASH_FLOW","1993-06-18","2026-05-02","Per=Y","Days=T","Dir=V")</f>
        <v>0</v>
      </c>
      <c r="AQ2">
        <f>BDH("ARWR US Equity","PX_LAST","1993-06-18","2026-05-02","Per=M","Days=T","Dir=V")</f>
        <v>0</v>
      </c>
      <c r="AS2">
        <f>BDH("ARWR US Equity","CUR_MKT_CAP","1993-06-18","2026-05-02","Per=M","Days=T","Dir=V")</f>
        <v>0</v>
      </c>
      <c r="AU2">
        <f>BDH("ARWR US Equity","EQY_SH_OUT","1993-06-18","2026-05-02","Per=M","Days=T","Dir=V")</f>
        <v>0</v>
      </c>
      <c r="AW2">
        <f>BDH("ARWR US Equity","PX_VOLUME","1993-06-18","2026-05-02","Per=M","Days=T","Dir=V")</f>
        <v>0</v>
      </c>
      <c r="AY2">
        <f>BDH("ARWR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BDH("ARXS US Equity","BS_TOT_ASSET","1993-06-18","2026-05-02","Per=Y","Days=T","Dir=V")</f>
        <v>0</v>
      </c>
      <c r="C2">
        <f>BDH("ARXS US Equity","BS_TOT_LIAB2","1993-06-18","2026-05-02","Per=Y","Days=T","Dir=V")</f>
        <v>0</v>
      </c>
      <c r="E2">
        <f>BDH("ARXS US Equity","SHORT_AND_LONG_TERM_DEBT","1993-06-18","2026-05-02","Per=Y","Days=T","Dir=V")</f>
        <v>0</v>
      </c>
      <c r="G2">
        <f>BDH("ARXS US Equity","BS_ST_BORROW","1993-06-18","2026-05-02","Per=Y","Days=T","Dir=V")</f>
        <v>0</v>
      </c>
      <c r="I2">
        <f>BDH("ARXS US Equity","BS_LT_BORROW","1993-06-18","2026-05-02","Per=Y","Days=T","Dir=V")</f>
        <v>0</v>
      </c>
      <c r="K2">
        <f>BDH("ARXS US Equity","BS_CASH_NEAR_CASH_ITEM","1993-06-18","2026-05-02","Per=Y","Days=T","Dir=V")</f>
        <v>0</v>
      </c>
      <c r="M2">
        <f>BDH("ARXS US Equity","BS_CUR_ASSET_REPORT","1993-06-18","2026-05-02","Per=Y","Days=T","Dir=V")</f>
        <v>0</v>
      </c>
      <c r="O2">
        <f>BDH("ARXS US Equity","BS_CUR_LIAB","1993-06-18","2026-05-02","Per=Y","Days=T","Dir=V")</f>
        <v>0</v>
      </c>
      <c r="Q2">
        <f>BDH("ARXS US Equity","BS_SHAREHOLDER_EQY_ENDING_PERIOD","1993-06-18","2026-05-02","Per=Y","Days=T","Dir=V")</f>
        <v>0</v>
      </c>
      <c r="S2">
        <f>BDH("ARXS US Equity","BS_ACCT_NOTE_RCV","1993-06-18","2026-05-02","Per=Y","Days=T","Dir=V")</f>
        <v>0</v>
      </c>
      <c r="U2">
        <f>BDH("ARXS US Equity","BS_INVENTORIES","1993-06-18","2026-05-02","Per=Y","Days=T","Dir=V")</f>
        <v>0</v>
      </c>
      <c r="W2">
        <f>BDH("ARXS US Equity","WORKING_CAPITAL","1993-06-18","2026-05-02","Per=Y","Days=T","Dir=V")</f>
        <v>0</v>
      </c>
      <c r="Y2">
        <f>BDH("ARXS US Equity","SALES_REV_TURN","1993-06-18","2026-05-02","Per=Y","Days=T","Dir=V")</f>
        <v>0</v>
      </c>
      <c r="AA2">
        <f>BDH("ARXS US Equity","EBIT","1993-06-18","2026-05-02","Per=Y","Days=T","Dir=V")</f>
        <v>0</v>
      </c>
      <c r="AC2">
        <f>BDH("ARXS US Equity","EBITDA","1993-06-18","2026-05-02","Per=Y","Days=T","Dir=V")</f>
        <v>0</v>
      </c>
      <c r="AE2">
        <f>BDH("ARXS US Equity","NET_INCOME","1993-06-18","2026-05-02","Per=Y","Days=T","Dir=V")</f>
        <v>0</v>
      </c>
      <c r="AG2">
        <f>BDH("ARXS US Equity","IS_INT_EXPENSE","1993-06-18","2026-05-02","Per=Y","Days=T","Dir=V")</f>
        <v>0</v>
      </c>
      <c r="AI2">
        <f>BDH("ARXS US Equity","IS_DEPR_EXP","1993-06-18","2026-05-02","Per=Y","Days=T","Dir=V")</f>
        <v>0</v>
      </c>
      <c r="AK2">
        <f>BDH("ARXS US Equity","CF_CASH_FROM_OPER","1993-06-18","2026-05-02","Per=Y","Days=T","Dir=V")</f>
        <v>0</v>
      </c>
      <c r="AM2">
        <f>BDH("ARXS US Equity","CAPITAL_EXPEND","1993-06-18","2026-05-02","Per=Y","Days=T","Dir=V")</f>
        <v>0</v>
      </c>
      <c r="AO2">
        <f>BDH("ARXS US Equity","CF_FREE_CASH_FLOW","1993-06-18","2026-05-02","Per=Y","Days=T","Dir=V")</f>
        <v>0</v>
      </c>
      <c r="AQ2">
        <f>BDH("ARXS US Equity","PX_LAST","1993-06-18","2026-05-02","Per=M","Days=T","Dir=V")</f>
        <v>0</v>
      </c>
      <c r="AS2">
        <f>BDH("ARXS US Equity","CUR_MKT_CAP","1993-06-18","2026-05-02","Per=M","Days=T","Dir=V")</f>
        <v>0</v>
      </c>
      <c r="AU2">
        <f>BDH("ARXS US Equity","EQY_SH_OUT","1993-06-18","2026-05-02","Per=M","Days=T","Dir=V")</f>
        <v>0</v>
      </c>
      <c r="AW2">
        <f>BDH("ARXS US Equity","PX_VOLUME","1993-06-18","2026-05-02","Per=M","Days=T","Dir=V")</f>
        <v>0</v>
      </c>
      <c r="AY2">
        <f>BDH("ARXS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BDH("ASA US Equity","BS_TOT_ASSET","1993-06-18","2026-05-02","Per=Y","Days=T","Dir=V")</f>
        <v>0</v>
      </c>
      <c r="C2">
        <f>BDH("ASA US Equity","BS_TOT_LIAB2","1993-06-18","2026-05-02","Per=Y","Days=T","Dir=V")</f>
        <v>0</v>
      </c>
      <c r="E2">
        <f>BDH("ASA US Equity","SHORT_AND_LONG_TERM_DEBT","1993-06-18","2026-05-02","Per=Y","Days=T","Dir=V")</f>
        <v>0</v>
      </c>
      <c r="G2">
        <f>BDH("ASA US Equity","BS_ST_BORROW","1993-06-18","2026-05-02","Per=Y","Days=T","Dir=V")</f>
        <v>0</v>
      </c>
      <c r="I2">
        <f>BDH("ASA US Equity","BS_LT_BORROW","1993-06-18","2026-05-02","Per=Y","Days=T","Dir=V")</f>
        <v>0</v>
      </c>
      <c r="K2">
        <f>BDH("ASA US Equity","BS_CASH_NEAR_CASH_ITEM","1993-06-18","2026-05-02","Per=Y","Days=T","Dir=V")</f>
        <v>0</v>
      </c>
      <c r="M2">
        <f>BDH("ASA US Equity","BS_CUR_ASSET_REPORT","1993-06-18","2026-05-02","Per=Y","Days=T","Dir=V")</f>
        <v>0</v>
      </c>
      <c r="O2">
        <f>BDH("ASA US Equity","BS_CUR_LIAB","1993-06-18","2026-05-02","Per=Y","Days=T","Dir=V")</f>
        <v>0</v>
      </c>
      <c r="Q2">
        <f>BDH("ASA US Equity","BS_SHAREHOLDER_EQY_ENDING_PERIOD","1993-06-18","2026-05-02","Per=Y","Days=T","Dir=V")</f>
        <v>0</v>
      </c>
      <c r="S2">
        <f>BDH("ASA US Equity","BS_ACCT_NOTE_RCV","1993-06-18","2026-05-02","Per=Y","Days=T","Dir=V")</f>
        <v>0</v>
      </c>
      <c r="U2">
        <f>BDH("ASA US Equity","BS_INVENTORIES","1993-06-18","2026-05-02","Per=Y","Days=T","Dir=V")</f>
        <v>0</v>
      </c>
      <c r="W2">
        <f>BDH("ASA US Equity","WORKING_CAPITAL","1993-06-18","2026-05-02","Per=Y","Days=T","Dir=V")</f>
        <v>0</v>
      </c>
      <c r="Y2">
        <f>BDH("ASA US Equity","SALES_REV_TURN","1993-06-18","2026-05-02","Per=Y","Days=T","Dir=V")</f>
        <v>0</v>
      </c>
      <c r="AA2">
        <f>BDH("ASA US Equity","EBIT","1993-06-18","2026-05-02","Per=Y","Days=T","Dir=V")</f>
        <v>0</v>
      </c>
      <c r="AC2">
        <f>BDH("ASA US Equity","EBITDA","1993-06-18","2026-05-02","Per=Y","Days=T","Dir=V")</f>
        <v>0</v>
      </c>
      <c r="AE2">
        <f>BDH("ASA US Equity","NET_INCOME","1993-06-18","2026-05-02","Per=Y","Days=T","Dir=V")</f>
        <v>0</v>
      </c>
      <c r="AG2">
        <f>BDH("ASA US Equity","IS_INT_EXPENSE","1993-06-18","2026-05-02","Per=Y","Days=T","Dir=V")</f>
        <v>0</v>
      </c>
      <c r="AI2">
        <f>BDH("ASA US Equity","IS_DEPR_EXP","1993-06-18","2026-05-02","Per=Y","Days=T","Dir=V")</f>
        <v>0</v>
      </c>
      <c r="AK2">
        <f>BDH("ASA US Equity","CF_CASH_FROM_OPER","1993-06-18","2026-05-02","Per=Y","Days=T","Dir=V")</f>
        <v>0</v>
      </c>
      <c r="AM2">
        <f>BDH("ASA US Equity","CAPITAL_EXPEND","1993-06-18","2026-05-02","Per=Y","Days=T","Dir=V")</f>
        <v>0</v>
      </c>
      <c r="AO2">
        <f>BDH("ASA US Equity","CF_FREE_CASH_FLOW","1993-06-18","2026-05-02","Per=Y","Days=T","Dir=V")</f>
        <v>0</v>
      </c>
      <c r="AQ2">
        <f>BDH("ASA US Equity","PX_LAST","1993-06-18","2026-05-02","Per=M","Days=T","Dir=V")</f>
        <v>0</v>
      </c>
      <c r="AS2">
        <f>BDH("ASA US Equity","CUR_MKT_CAP","1993-06-18","2026-05-02","Per=M","Days=T","Dir=V")</f>
        <v>0</v>
      </c>
      <c r="AU2">
        <f>BDH("ASA US Equity","EQY_SH_OUT","1993-06-18","2026-05-02","Per=M","Days=T","Dir=V")</f>
        <v>0</v>
      </c>
      <c r="AW2">
        <f>BDH("ASA US Equity","PX_VOLUME","1993-06-18","2026-05-02","Per=M","Days=T","Dir=V")</f>
        <v>0</v>
      </c>
      <c r="AY2">
        <f>BDH("ASA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BDH("ASAN US Equity","BS_TOT_ASSET","1993-06-18","2026-05-02","Per=Y","Days=T","Dir=V")</f>
        <v>0</v>
      </c>
      <c r="C2">
        <f>BDH("ASAN US Equity","BS_TOT_LIAB2","1993-06-18","2026-05-02","Per=Y","Days=T","Dir=V")</f>
        <v>0</v>
      </c>
      <c r="E2">
        <f>BDH("ASAN US Equity","SHORT_AND_LONG_TERM_DEBT","1993-06-18","2026-05-02","Per=Y","Days=T","Dir=V")</f>
        <v>0</v>
      </c>
      <c r="G2">
        <f>BDH("ASAN US Equity","BS_ST_BORROW","1993-06-18","2026-05-02","Per=Y","Days=T","Dir=V")</f>
        <v>0</v>
      </c>
      <c r="I2">
        <f>BDH("ASAN US Equity","BS_LT_BORROW","1993-06-18","2026-05-02","Per=Y","Days=T","Dir=V")</f>
        <v>0</v>
      </c>
      <c r="K2">
        <f>BDH("ASAN US Equity","BS_CASH_NEAR_CASH_ITEM","1993-06-18","2026-05-02","Per=Y","Days=T","Dir=V")</f>
        <v>0</v>
      </c>
      <c r="M2">
        <f>BDH("ASAN US Equity","BS_CUR_ASSET_REPORT","1993-06-18","2026-05-02","Per=Y","Days=T","Dir=V")</f>
        <v>0</v>
      </c>
      <c r="O2">
        <f>BDH("ASAN US Equity","BS_CUR_LIAB","1993-06-18","2026-05-02","Per=Y","Days=T","Dir=V")</f>
        <v>0</v>
      </c>
      <c r="Q2">
        <f>BDH("ASAN US Equity","BS_SHAREHOLDER_EQY_ENDING_PERIOD","1993-06-18","2026-05-02","Per=Y","Days=T","Dir=V")</f>
        <v>0</v>
      </c>
      <c r="S2">
        <f>BDH("ASAN US Equity","BS_ACCT_NOTE_RCV","1993-06-18","2026-05-02","Per=Y","Days=T","Dir=V")</f>
        <v>0</v>
      </c>
      <c r="U2">
        <f>BDH("ASAN US Equity","BS_INVENTORIES","1993-06-18","2026-05-02","Per=Y","Days=T","Dir=V")</f>
        <v>0</v>
      </c>
      <c r="W2">
        <f>BDH("ASAN US Equity","WORKING_CAPITAL","1993-06-18","2026-05-02","Per=Y","Days=T","Dir=V")</f>
        <v>0</v>
      </c>
      <c r="Y2">
        <f>BDH("ASAN US Equity","SALES_REV_TURN","1993-06-18","2026-05-02","Per=Y","Days=T","Dir=V")</f>
        <v>0</v>
      </c>
      <c r="AA2">
        <f>BDH("ASAN US Equity","EBIT","1993-06-18","2026-05-02","Per=Y","Days=T","Dir=V")</f>
        <v>0</v>
      </c>
      <c r="AC2">
        <f>BDH("ASAN US Equity","EBITDA","1993-06-18","2026-05-02","Per=Y","Days=T","Dir=V")</f>
        <v>0</v>
      </c>
      <c r="AE2">
        <f>BDH("ASAN US Equity","NET_INCOME","1993-06-18","2026-05-02","Per=Y","Days=T","Dir=V")</f>
        <v>0</v>
      </c>
      <c r="AG2">
        <f>BDH("ASAN US Equity","IS_INT_EXPENSE","1993-06-18","2026-05-02","Per=Y","Days=T","Dir=V")</f>
        <v>0</v>
      </c>
      <c r="AI2">
        <f>BDH("ASAN US Equity","IS_DEPR_EXP","1993-06-18","2026-05-02","Per=Y","Days=T","Dir=V")</f>
        <v>0</v>
      </c>
      <c r="AK2">
        <f>BDH("ASAN US Equity","CF_CASH_FROM_OPER","1993-06-18","2026-05-02","Per=Y","Days=T","Dir=V")</f>
        <v>0</v>
      </c>
      <c r="AM2">
        <f>BDH("ASAN US Equity","CAPITAL_EXPEND","1993-06-18","2026-05-02","Per=Y","Days=T","Dir=V")</f>
        <v>0</v>
      </c>
      <c r="AO2">
        <f>BDH("ASAN US Equity","CF_FREE_CASH_FLOW","1993-06-18","2026-05-02","Per=Y","Days=T","Dir=V")</f>
        <v>0</v>
      </c>
      <c r="AQ2">
        <f>BDH("ASAN US Equity","PX_LAST","1993-06-18","2026-05-02","Per=M","Days=T","Dir=V")</f>
        <v>0</v>
      </c>
      <c r="AS2">
        <f>BDH("ASAN US Equity","CUR_MKT_CAP","1993-06-18","2026-05-02","Per=M","Days=T","Dir=V")</f>
        <v>0</v>
      </c>
      <c r="AU2">
        <f>BDH("ASAN US Equity","EQY_SH_OUT","1993-06-18","2026-05-02","Per=M","Days=T","Dir=V")</f>
        <v>0</v>
      </c>
      <c r="AW2">
        <f>BDH("ASAN US Equity","PX_VOLUME","1993-06-18","2026-05-02","Per=M","Days=T","Dir=V")</f>
        <v>0</v>
      </c>
      <c r="AY2">
        <f>BDH("ASAN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BDH("ASBP US Equity","BS_TOT_ASSET","1993-06-18","2026-05-02","Per=Y","Days=T","Dir=V")</f>
        <v>0</v>
      </c>
      <c r="C2">
        <f>BDH("ASBP US Equity","BS_TOT_LIAB2","1993-06-18","2026-05-02","Per=Y","Days=T","Dir=V")</f>
        <v>0</v>
      </c>
      <c r="E2">
        <f>BDH("ASBP US Equity","SHORT_AND_LONG_TERM_DEBT","1993-06-18","2026-05-02","Per=Y","Days=T","Dir=V")</f>
        <v>0</v>
      </c>
      <c r="G2">
        <f>BDH("ASBP US Equity","BS_ST_BORROW","1993-06-18","2026-05-02","Per=Y","Days=T","Dir=V")</f>
        <v>0</v>
      </c>
      <c r="I2">
        <f>BDH("ASBP US Equity","BS_LT_BORROW","1993-06-18","2026-05-02","Per=Y","Days=T","Dir=V")</f>
        <v>0</v>
      </c>
      <c r="K2">
        <f>BDH("ASBP US Equity","BS_CASH_NEAR_CASH_ITEM","1993-06-18","2026-05-02","Per=Y","Days=T","Dir=V")</f>
        <v>0</v>
      </c>
      <c r="M2">
        <f>BDH("ASBP US Equity","BS_CUR_ASSET_REPORT","1993-06-18","2026-05-02","Per=Y","Days=T","Dir=V")</f>
        <v>0</v>
      </c>
      <c r="O2">
        <f>BDH("ASBP US Equity","BS_CUR_LIAB","1993-06-18","2026-05-02","Per=Y","Days=T","Dir=V")</f>
        <v>0</v>
      </c>
      <c r="Q2">
        <f>BDH("ASBP US Equity","BS_SHAREHOLDER_EQY_ENDING_PERIOD","1993-06-18","2026-05-02","Per=Y","Days=T","Dir=V")</f>
        <v>0</v>
      </c>
      <c r="S2">
        <f>BDH("ASBP US Equity","BS_ACCT_NOTE_RCV","1993-06-18","2026-05-02","Per=Y","Days=T","Dir=V")</f>
        <v>0</v>
      </c>
      <c r="U2">
        <f>BDH("ASBP US Equity","BS_INVENTORIES","1993-06-18","2026-05-02","Per=Y","Days=T","Dir=V")</f>
        <v>0</v>
      </c>
      <c r="W2">
        <f>BDH("ASBP US Equity","WORKING_CAPITAL","1993-06-18","2026-05-02","Per=Y","Days=T","Dir=V")</f>
        <v>0</v>
      </c>
      <c r="Y2">
        <f>BDH("ASBP US Equity","SALES_REV_TURN","1993-06-18","2026-05-02","Per=Y","Days=T","Dir=V")</f>
        <v>0</v>
      </c>
      <c r="AA2">
        <f>BDH("ASBP US Equity","EBIT","1993-06-18","2026-05-02","Per=Y","Days=T","Dir=V")</f>
        <v>0</v>
      </c>
      <c r="AC2">
        <f>BDH("ASBP US Equity","EBITDA","1993-06-18","2026-05-02","Per=Y","Days=T","Dir=V")</f>
        <v>0</v>
      </c>
      <c r="AE2">
        <f>BDH("ASBP US Equity","NET_INCOME","1993-06-18","2026-05-02","Per=Y","Days=T","Dir=V")</f>
        <v>0</v>
      </c>
      <c r="AG2">
        <f>BDH("ASBP US Equity","IS_INT_EXPENSE","1993-06-18","2026-05-02","Per=Y","Days=T","Dir=V")</f>
        <v>0</v>
      </c>
      <c r="AI2">
        <f>BDH("ASBP US Equity","IS_DEPR_EXP","1993-06-18","2026-05-02","Per=Y","Days=T","Dir=V")</f>
        <v>0</v>
      </c>
      <c r="AK2">
        <f>BDH("ASBP US Equity","CF_CASH_FROM_OPER","1993-06-18","2026-05-02","Per=Y","Days=T","Dir=V")</f>
        <v>0</v>
      </c>
      <c r="AM2">
        <f>BDH("ASBP US Equity","CAPITAL_EXPEND","1993-06-18","2026-05-02","Per=Y","Days=T","Dir=V")</f>
        <v>0</v>
      </c>
      <c r="AO2">
        <f>BDH("ASBP US Equity","CF_FREE_CASH_FLOW","1993-06-18","2026-05-02","Per=Y","Days=T","Dir=V")</f>
        <v>0</v>
      </c>
      <c r="AQ2">
        <f>BDH("ASBP US Equity","PX_LAST","1993-06-18","2026-05-02","Per=M","Days=T","Dir=V")</f>
        <v>0</v>
      </c>
      <c r="AS2">
        <f>BDH("ASBP US Equity","CUR_MKT_CAP","1993-06-18","2026-05-02","Per=M","Days=T","Dir=V")</f>
        <v>0</v>
      </c>
      <c r="AU2">
        <f>BDH("ASBP US Equity","EQY_SH_OUT","1993-06-18","2026-05-02","Per=M","Days=T","Dir=V")</f>
        <v>0</v>
      </c>
      <c r="AW2">
        <f>BDH("ASBP US Equity","PX_VOLUME","1993-06-18","2026-05-02","Per=M","Days=T","Dir=V")</f>
        <v>0</v>
      </c>
      <c r="AY2">
        <f>BDH("ASBP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BDH("ASBPW US Equity","BS_TOT_ASSET","1993-06-18","2026-05-02","Per=Y","Days=T","Dir=V")</f>
        <v>0</v>
      </c>
      <c r="C2">
        <f>BDH("ASBPW US Equity","BS_TOT_LIAB2","1993-06-18","2026-05-02","Per=Y","Days=T","Dir=V")</f>
        <v>0</v>
      </c>
      <c r="E2">
        <f>BDH("ASBPW US Equity","SHORT_AND_LONG_TERM_DEBT","1993-06-18","2026-05-02","Per=Y","Days=T","Dir=V")</f>
        <v>0</v>
      </c>
      <c r="G2">
        <f>BDH("ASBPW US Equity","BS_ST_BORROW","1993-06-18","2026-05-02","Per=Y","Days=T","Dir=V")</f>
        <v>0</v>
      </c>
      <c r="I2">
        <f>BDH("ASBPW US Equity","BS_LT_BORROW","1993-06-18","2026-05-02","Per=Y","Days=T","Dir=V")</f>
        <v>0</v>
      </c>
      <c r="K2">
        <f>BDH("ASBPW US Equity","BS_CASH_NEAR_CASH_ITEM","1993-06-18","2026-05-02","Per=Y","Days=T","Dir=V")</f>
        <v>0</v>
      </c>
      <c r="M2">
        <f>BDH("ASBPW US Equity","BS_CUR_ASSET_REPORT","1993-06-18","2026-05-02","Per=Y","Days=T","Dir=V")</f>
        <v>0</v>
      </c>
      <c r="O2">
        <f>BDH("ASBPW US Equity","BS_CUR_LIAB","1993-06-18","2026-05-02","Per=Y","Days=T","Dir=V")</f>
        <v>0</v>
      </c>
      <c r="Q2">
        <f>BDH("ASBPW US Equity","BS_SHAREHOLDER_EQY_ENDING_PERIOD","1993-06-18","2026-05-02","Per=Y","Days=T","Dir=V")</f>
        <v>0</v>
      </c>
      <c r="S2">
        <f>BDH("ASBPW US Equity","BS_ACCT_NOTE_RCV","1993-06-18","2026-05-02","Per=Y","Days=T","Dir=V")</f>
        <v>0</v>
      </c>
      <c r="U2">
        <f>BDH("ASBPW US Equity","BS_INVENTORIES","1993-06-18","2026-05-02","Per=Y","Days=T","Dir=V")</f>
        <v>0</v>
      </c>
      <c r="W2">
        <f>BDH("ASBPW US Equity","WORKING_CAPITAL","1993-06-18","2026-05-02","Per=Y","Days=T","Dir=V")</f>
        <v>0</v>
      </c>
      <c r="Y2">
        <f>BDH("ASBPW US Equity","SALES_REV_TURN","1993-06-18","2026-05-02","Per=Y","Days=T","Dir=V")</f>
        <v>0</v>
      </c>
      <c r="AA2">
        <f>BDH("ASBPW US Equity","EBIT","1993-06-18","2026-05-02","Per=Y","Days=T","Dir=V")</f>
        <v>0</v>
      </c>
      <c r="AC2">
        <f>BDH("ASBPW US Equity","EBITDA","1993-06-18","2026-05-02","Per=Y","Days=T","Dir=V")</f>
        <v>0</v>
      </c>
      <c r="AE2">
        <f>BDH("ASBPW US Equity","NET_INCOME","1993-06-18","2026-05-02","Per=Y","Days=T","Dir=V")</f>
        <v>0</v>
      </c>
      <c r="AG2">
        <f>BDH("ASBPW US Equity","IS_INT_EXPENSE","1993-06-18","2026-05-02","Per=Y","Days=T","Dir=V")</f>
        <v>0</v>
      </c>
      <c r="AI2">
        <f>BDH("ASBPW US Equity","IS_DEPR_EXP","1993-06-18","2026-05-02","Per=Y","Days=T","Dir=V")</f>
        <v>0</v>
      </c>
      <c r="AK2">
        <f>BDH("ASBPW US Equity","CF_CASH_FROM_OPER","1993-06-18","2026-05-02","Per=Y","Days=T","Dir=V")</f>
        <v>0</v>
      </c>
      <c r="AM2">
        <f>BDH("ASBPW US Equity","CAPITAL_EXPEND","1993-06-18","2026-05-02","Per=Y","Days=T","Dir=V")</f>
        <v>0</v>
      </c>
      <c r="AO2">
        <f>BDH("ASBPW US Equity","CF_FREE_CASH_FLOW","1993-06-18","2026-05-02","Per=Y","Days=T","Dir=V")</f>
        <v>0</v>
      </c>
      <c r="AQ2">
        <f>BDH("ASBPW US Equity","PX_LAST","1993-06-18","2026-05-02","Per=M","Days=T","Dir=V")</f>
        <v>0</v>
      </c>
      <c r="AS2">
        <f>BDH("ASBPW US Equity","CUR_MKT_CAP","1993-06-18","2026-05-02","Per=M","Days=T","Dir=V")</f>
        <v>0</v>
      </c>
      <c r="AU2">
        <f>BDH("ASBPW US Equity","EQY_SH_OUT","1993-06-18","2026-05-02","Per=M","Days=T","Dir=V")</f>
        <v>0</v>
      </c>
      <c r="AW2">
        <f>BDH("ASBPW US Equity","PX_VOLUME","1993-06-18","2026-05-02","Per=M","Days=T","Dir=V")</f>
        <v>0</v>
      </c>
      <c r="AY2">
        <f>BDH("ASBPW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BDH("ASH US Equity","BS_TOT_ASSET","1993-06-18","2026-05-02","Per=Y","Days=T","Dir=V")</f>
        <v>0</v>
      </c>
      <c r="C2">
        <f>BDH("ASH US Equity","BS_TOT_LIAB2","1993-06-18","2026-05-02","Per=Y","Days=T","Dir=V")</f>
        <v>0</v>
      </c>
      <c r="E2">
        <f>BDH("ASH US Equity","SHORT_AND_LONG_TERM_DEBT","1993-06-18","2026-05-02","Per=Y","Days=T","Dir=V")</f>
        <v>0</v>
      </c>
      <c r="G2">
        <f>BDH("ASH US Equity","BS_ST_BORROW","1993-06-18","2026-05-02","Per=Y","Days=T","Dir=V")</f>
        <v>0</v>
      </c>
      <c r="I2">
        <f>BDH("ASH US Equity","BS_LT_BORROW","1993-06-18","2026-05-02","Per=Y","Days=T","Dir=V")</f>
        <v>0</v>
      </c>
      <c r="K2">
        <f>BDH("ASH US Equity","BS_CASH_NEAR_CASH_ITEM","1993-06-18","2026-05-02","Per=Y","Days=T","Dir=V")</f>
        <v>0</v>
      </c>
      <c r="M2">
        <f>BDH("ASH US Equity","BS_CUR_ASSET_REPORT","1993-06-18","2026-05-02","Per=Y","Days=T","Dir=V")</f>
        <v>0</v>
      </c>
      <c r="O2">
        <f>BDH("ASH US Equity","BS_CUR_LIAB","1993-06-18","2026-05-02","Per=Y","Days=T","Dir=V")</f>
        <v>0</v>
      </c>
      <c r="Q2">
        <f>BDH("ASH US Equity","BS_SHAREHOLDER_EQY_ENDING_PERIOD","1993-06-18","2026-05-02","Per=Y","Days=T","Dir=V")</f>
        <v>0</v>
      </c>
      <c r="S2">
        <f>BDH("ASH US Equity","BS_ACCT_NOTE_RCV","1993-06-18","2026-05-02","Per=Y","Days=T","Dir=V")</f>
        <v>0</v>
      </c>
      <c r="U2">
        <f>BDH("ASH US Equity","BS_INVENTORIES","1993-06-18","2026-05-02","Per=Y","Days=T","Dir=V")</f>
        <v>0</v>
      </c>
      <c r="W2">
        <f>BDH("ASH US Equity","WORKING_CAPITAL","1993-06-18","2026-05-02","Per=Y","Days=T","Dir=V")</f>
        <v>0</v>
      </c>
      <c r="Y2">
        <f>BDH("ASH US Equity","SALES_REV_TURN","1993-06-18","2026-05-02","Per=Y","Days=T","Dir=V")</f>
        <v>0</v>
      </c>
      <c r="AA2">
        <f>BDH("ASH US Equity","EBIT","1993-06-18","2026-05-02","Per=Y","Days=T","Dir=V")</f>
        <v>0</v>
      </c>
      <c r="AC2">
        <f>BDH("ASH US Equity","EBITDA","1993-06-18","2026-05-02","Per=Y","Days=T","Dir=V")</f>
        <v>0</v>
      </c>
      <c r="AE2">
        <f>BDH("ASH US Equity","NET_INCOME","1993-06-18","2026-05-02","Per=Y","Days=T","Dir=V")</f>
        <v>0</v>
      </c>
      <c r="AG2">
        <f>BDH("ASH US Equity","IS_INT_EXPENSE","1993-06-18","2026-05-02","Per=Y","Days=T","Dir=V")</f>
        <v>0</v>
      </c>
      <c r="AI2">
        <f>BDH("ASH US Equity","IS_DEPR_EXP","1993-06-18","2026-05-02","Per=Y","Days=T","Dir=V")</f>
        <v>0</v>
      </c>
      <c r="AK2">
        <f>BDH("ASH US Equity","CF_CASH_FROM_OPER","1993-06-18","2026-05-02","Per=Y","Days=T","Dir=V")</f>
        <v>0</v>
      </c>
      <c r="AM2">
        <f>BDH("ASH US Equity","CAPITAL_EXPEND","1993-06-18","2026-05-02","Per=Y","Days=T","Dir=V")</f>
        <v>0</v>
      </c>
      <c r="AO2">
        <f>BDH("ASH US Equity","CF_FREE_CASH_FLOW","1993-06-18","2026-05-02","Per=Y","Days=T","Dir=V")</f>
        <v>0</v>
      </c>
      <c r="AQ2">
        <f>BDH("ASH US Equity","PX_LAST","1993-06-18","2026-05-02","Per=M","Days=T","Dir=V")</f>
        <v>0</v>
      </c>
      <c r="AS2">
        <f>BDH("ASH US Equity","CUR_MKT_CAP","1993-06-18","2026-05-02","Per=M","Days=T","Dir=V")</f>
        <v>0</v>
      </c>
      <c r="AU2">
        <f>BDH("ASH US Equity","EQY_SH_OUT","1993-06-18","2026-05-02","Per=M","Days=T","Dir=V")</f>
        <v>0</v>
      </c>
      <c r="AW2">
        <f>BDH("ASH US Equity","PX_VOLUME","1993-06-18","2026-05-02","Per=M","Days=T","Dir=V")</f>
        <v>0</v>
      </c>
      <c r="AY2">
        <f>BDH("ASH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BDH("ASIX US Equity","BS_TOT_ASSET","1993-06-18","2026-05-02","Per=Y","Days=T","Dir=V")</f>
        <v>0</v>
      </c>
      <c r="C2">
        <f>BDH("ASIX US Equity","BS_TOT_LIAB2","1993-06-18","2026-05-02","Per=Y","Days=T","Dir=V")</f>
        <v>0</v>
      </c>
      <c r="E2">
        <f>BDH("ASIX US Equity","SHORT_AND_LONG_TERM_DEBT","1993-06-18","2026-05-02","Per=Y","Days=T","Dir=V")</f>
        <v>0</v>
      </c>
      <c r="G2">
        <f>BDH("ASIX US Equity","BS_ST_BORROW","1993-06-18","2026-05-02","Per=Y","Days=T","Dir=V")</f>
        <v>0</v>
      </c>
      <c r="I2">
        <f>BDH("ASIX US Equity","BS_LT_BORROW","1993-06-18","2026-05-02","Per=Y","Days=T","Dir=V")</f>
        <v>0</v>
      </c>
      <c r="K2">
        <f>BDH("ASIX US Equity","BS_CASH_NEAR_CASH_ITEM","1993-06-18","2026-05-02","Per=Y","Days=T","Dir=V")</f>
        <v>0</v>
      </c>
      <c r="M2">
        <f>BDH("ASIX US Equity","BS_CUR_ASSET_REPORT","1993-06-18","2026-05-02","Per=Y","Days=T","Dir=V")</f>
        <v>0</v>
      </c>
      <c r="O2">
        <f>BDH("ASIX US Equity","BS_CUR_LIAB","1993-06-18","2026-05-02","Per=Y","Days=T","Dir=V")</f>
        <v>0</v>
      </c>
      <c r="Q2">
        <f>BDH("ASIX US Equity","BS_SHAREHOLDER_EQY_ENDING_PERIOD","1993-06-18","2026-05-02","Per=Y","Days=T","Dir=V")</f>
        <v>0</v>
      </c>
      <c r="S2">
        <f>BDH("ASIX US Equity","BS_ACCT_NOTE_RCV","1993-06-18","2026-05-02","Per=Y","Days=T","Dir=V")</f>
        <v>0</v>
      </c>
      <c r="U2">
        <f>BDH("ASIX US Equity","BS_INVENTORIES","1993-06-18","2026-05-02","Per=Y","Days=T","Dir=V")</f>
        <v>0</v>
      </c>
      <c r="W2">
        <f>BDH("ASIX US Equity","WORKING_CAPITAL","1993-06-18","2026-05-02","Per=Y","Days=T","Dir=V")</f>
        <v>0</v>
      </c>
      <c r="Y2">
        <f>BDH("ASIX US Equity","SALES_REV_TURN","1993-06-18","2026-05-02","Per=Y","Days=T","Dir=V")</f>
        <v>0</v>
      </c>
      <c r="AA2">
        <f>BDH("ASIX US Equity","EBIT","1993-06-18","2026-05-02","Per=Y","Days=T","Dir=V")</f>
        <v>0</v>
      </c>
      <c r="AC2">
        <f>BDH("ASIX US Equity","EBITDA","1993-06-18","2026-05-02","Per=Y","Days=T","Dir=V")</f>
        <v>0</v>
      </c>
      <c r="AE2">
        <f>BDH("ASIX US Equity","NET_INCOME","1993-06-18","2026-05-02","Per=Y","Days=T","Dir=V")</f>
        <v>0</v>
      </c>
      <c r="AG2">
        <f>BDH("ASIX US Equity","IS_INT_EXPENSE","1993-06-18","2026-05-02","Per=Y","Days=T","Dir=V")</f>
        <v>0</v>
      </c>
      <c r="AI2">
        <f>BDH("ASIX US Equity","IS_DEPR_EXP","1993-06-18","2026-05-02","Per=Y","Days=T","Dir=V")</f>
        <v>0</v>
      </c>
      <c r="AK2">
        <f>BDH("ASIX US Equity","CF_CASH_FROM_OPER","1993-06-18","2026-05-02","Per=Y","Days=T","Dir=V")</f>
        <v>0</v>
      </c>
      <c r="AM2">
        <f>BDH("ASIX US Equity","CAPITAL_EXPEND","1993-06-18","2026-05-02","Per=Y","Days=T","Dir=V")</f>
        <v>0</v>
      </c>
      <c r="AO2">
        <f>BDH("ASIX US Equity","CF_FREE_CASH_FLOW","1993-06-18","2026-05-02","Per=Y","Days=T","Dir=V")</f>
        <v>0</v>
      </c>
      <c r="AQ2">
        <f>BDH("ASIX US Equity","PX_LAST","1993-06-18","2026-05-02","Per=M","Days=T","Dir=V")</f>
        <v>0</v>
      </c>
      <c r="AS2">
        <f>BDH("ASIX US Equity","CUR_MKT_CAP","1993-06-18","2026-05-02","Per=M","Days=T","Dir=V")</f>
        <v>0</v>
      </c>
      <c r="AU2">
        <f>BDH("ASIX US Equity","EQY_SH_OUT","1993-06-18","2026-05-02","Per=M","Days=T","Dir=V")</f>
        <v>0</v>
      </c>
      <c r="AW2">
        <f>BDH("ASIX US Equity","PX_VOLUME","1993-06-18","2026-05-02","Per=M","Days=T","Dir=V")</f>
        <v>0</v>
      </c>
      <c r="AY2">
        <f>BDH("ASIX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BDH("ASLE US Equity","BS_TOT_ASSET","1993-06-18","2026-05-02","Per=Y","Days=T","Dir=V")</f>
        <v>0</v>
      </c>
      <c r="C2">
        <f>BDH("ASLE US Equity","BS_TOT_LIAB2","1993-06-18","2026-05-02","Per=Y","Days=T","Dir=V")</f>
        <v>0</v>
      </c>
      <c r="E2">
        <f>BDH("ASLE US Equity","SHORT_AND_LONG_TERM_DEBT","1993-06-18","2026-05-02","Per=Y","Days=T","Dir=V")</f>
        <v>0</v>
      </c>
      <c r="G2">
        <f>BDH("ASLE US Equity","BS_ST_BORROW","1993-06-18","2026-05-02","Per=Y","Days=T","Dir=V")</f>
        <v>0</v>
      </c>
      <c r="I2">
        <f>BDH("ASLE US Equity","BS_LT_BORROW","1993-06-18","2026-05-02","Per=Y","Days=T","Dir=V")</f>
        <v>0</v>
      </c>
      <c r="K2">
        <f>BDH("ASLE US Equity","BS_CASH_NEAR_CASH_ITEM","1993-06-18","2026-05-02","Per=Y","Days=T","Dir=V")</f>
        <v>0</v>
      </c>
      <c r="M2">
        <f>BDH("ASLE US Equity","BS_CUR_ASSET_REPORT","1993-06-18","2026-05-02","Per=Y","Days=T","Dir=V")</f>
        <v>0</v>
      </c>
      <c r="O2">
        <f>BDH("ASLE US Equity","BS_CUR_LIAB","1993-06-18","2026-05-02","Per=Y","Days=T","Dir=V")</f>
        <v>0</v>
      </c>
      <c r="Q2">
        <f>BDH("ASLE US Equity","BS_SHAREHOLDER_EQY_ENDING_PERIOD","1993-06-18","2026-05-02","Per=Y","Days=T","Dir=V")</f>
        <v>0</v>
      </c>
      <c r="S2">
        <f>BDH("ASLE US Equity","BS_ACCT_NOTE_RCV","1993-06-18","2026-05-02","Per=Y","Days=T","Dir=V")</f>
        <v>0</v>
      </c>
      <c r="U2">
        <f>BDH("ASLE US Equity","BS_INVENTORIES","1993-06-18","2026-05-02","Per=Y","Days=T","Dir=V")</f>
        <v>0</v>
      </c>
      <c r="W2">
        <f>BDH("ASLE US Equity","WORKING_CAPITAL","1993-06-18","2026-05-02","Per=Y","Days=T","Dir=V")</f>
        <v>0</v>
      </c>
      <c r="Y2">
        <f>BDH("ASLE US Equity","SALES_REV_TURN","1993-06-18","2026-05-02","Per=Y","Days=T","Dir=V")</f>
        <v>0</v>
      </c>
      <c r="AA2">
        <f>BDH("ASLE US Equity","EBIT","1993-06-18","2026-05-02","Per=Y","Days=T","Dir=V")</f>
        <v>0</v>
      </c>
      <c r="AC2">
        <f>BDH("ASLE US Equity","EBITDA","1993-06-18","2026-05-02","Per=Y","Days=T","Dir=V")</f>
        <v>0</v>
      </c>
      <c r="AE2">
        <f>BDH("ASLE US Equity","NET_INCOME","1993-06-18","2026-05-02","Per=Y","Days=T","Dir=V")</f>
        <v>0</v>
      </c>
      <c r="AG2">
        <f>BDH("ASLE US Equity","IS_INT_EXPENSE","1993-06-18","2026-05-02","Per=Y","Days=T","Dir=V")</f>
        <v>0</v>
      </c>
      <c r="AI2">
        <f>BDH("ASLE US Equity","IS_DEPR_EXP","1993-06-18","2026-05-02","Per=Y","Days=T","Dir=V")</f>
        <v>0</v>
      </c>
      <c r="AK2">
        <f>BDH("ASLE US Equity","CF_CASH_FROM_OPER","1993-06-18","2026-05-02","Per=Y","Days=T","Dir=V")</f>
        <v>0</v>
      </c>
      <c r="AM2">
        <f>BDH("ASLE US Equity","CAPITAL_EXPEND","1993-06-18","2026-05-02","Per=Y","Days=T","Dir=V")</f>
        <v>0</v>
      </c>
      <c r="AO2">
        <f>BDH("ASLE US Equity","CF_FREE_CASH_FLOW","1993-06-18","2026-05-02","Per=Y","Days=T","Dir=V")</f>
        <v>0</v>
      </c>
      <c r="AQ2">
        <f>BDH("ASLE US Equity","PX_LAST","1993-06-18","2026-05-02","Per=M","Days=T","Dir=V")</f>
        <v>0</v>
      </c>
      <c r="AS2">
        <f>BDH("ASLE US Equity","CUR_MKT_CAP","1993-06-18","2026-05-02","Per=M","Days=T","Dir=V")</f>
        <v>0</v>
      </c>
      <c r="AU2">
        <f>BDH("ASLE US Equity","EQY_SH_OUT","1993-06-18","2026-05-02","Per=M","Days=T","Dir=V")</f>
        <v>0</v>
      </c>
      <c r="AW2">
        <f>BDH("ASLE US Equity","PX_VOLUME","1993-06-18","2026-05-02","Per=M","Days=T","Dir=V")</f>
        <v>0</v>
      </c>
      <c r="AY2">
        <f>BDH("ASLE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BDH("ASMB US Equity","BS_TOT_ASSET","1993-06-18","2026-05-02","Per=Y","Days=T","Dir=V")</f>
        <v>0</v>
      </c>
      <c r="C2">
        <f>BDH("ASMB US Equity","BS_TOT_LIAB2","1993-06-18","2026-05-02","Per=Y","Days=T","Dir=V")</f>
        <v>0</v>
      </c>
      <c r="E2">
        <f>BDH("ASMB US Equity","SHORT_AND_LONG_TERM_DEBT","1993-06-18","2026-05-02","Per=Y","Days=T","Dir=V")</f>
        <v>0</v>
      </c>
      <c r="G2">
        <f>BDH("ASMB US Equity","BS_ST_BORROW","1993-06-18","2026-05-02","Per=Y","Days=T","Dir=V")</f>
        <v>0</v>
      </c>
      <c r="I2">
        <f>BDH("ASMB US Equity","BS_LT_BORROW","1993-06-18","2026-05-02","Per=Y","Days=T","Dir=V")</f>
        <v>0</v>
      </c>
      <c r="K2">
        <f>BDH("ASMB US Equity","BS_CASH_NEAR_CASH_ITEM","1993-06-18","2026-05-02","Per=Y","Days=T","Dir=V")</f>
        <v>0</v>
      </c>
      <c r="M2">
        <f>BDH("ASMB US Equity","BS_CUR_ASSET_REPORT","1993-06-18","2026-05-02","Per=Y","Days=T","Dir=V")</f>
        <v>0</v>
      </c>
      <c r="O2">
        <f>BDH("ASMB US Equity","BS_CUR_LIAB","1993-06-18","2026-05-02","Per=Y","Days=T","Dir=V")</f>
        <v>0</v>
      </c>
      <c r="Q2">
        <f>BDH("ASMB US Equity","BS_SHAREHOLDER_EQY_ENDING_PERIOD","1993-06-18","2026-05-02","Per=Y","Days=T","Dir=V")</f>
        <v>0</v>
      </c>
      <c r="S2">
        <f>BDH("ASMB US Equity","BS_ACCT_NOTE_RCV","1993-06-18","2026-05-02","Per=Y","Days=T","Dir=V")</f>
        <v>0</v>
      </c>
      <c r="U2">
        <f>BDH("ASMB US Equity","BS_INVENTORIES","1993-06-18","2026-05-02","Per=Y","Days=T","Dir=V")</f>
        <v>0</v>
      </c>
      <c r="W2">
        <f>BDH("ASMB US Equity","WORKING_CAPITAL","1993-06-18","2026-05-02","Per=Y","Days=T","Dir=V")</f>
        <v>0</v>
      </c>
      <c r="Y2">
        <f>BDH("ASMB US Equity","SALES_REV_TURN","1993-06-18","2026-05-02","Per=Y","Days=T","Dir=V")</f>
        <v>0</v>
      </c>
      <c r="AA2">
        <f>BDH("ASMB US Equity","EBIT","1993-06-18","2026-05-02","Per=Y","Days=T","Dir=V")</f>
        <v>0</v>
      </c>
      <c r="AC2">
        <f>BDH("ASMB US Equity","EBITDA","1993-06-18","2026-05-02","Per=Y","Days=T","Dir=V")</f>
        <v>0</v>
      </c>
      <c r="AE2">
        <f>BDH("ASMB US Equity","NET_INCOME","1993-06-18","2026-05-02","Per=Y","Days=T","Dir=V")</f>
        <v>0</v>
      </c>
      <c r="AG2">
        <f>BDH("ASMB US Equity","IS_INT_EXPENSE","1993-06-18","2026-05-02","Per=Y","Days=T","Dir=V")</f>
        <v>0</v>
      </c>
      <c r="AI2">
        <f>BDH("ASMB US Equity","IS_DEPR_EXP","1993-06-18","2026-05-02","Per=Y","Days=T","Dir=V")</f>
        <v>0</v>
      </c>
      <c r="AK2">
        <f>BDH("ASMB US Equity","CF_CASH_FROM_OPER","1993-06-18","2026-05-02","Per=Y","Days=T","Dir=V")</f>
        <v>0</v>
      </c>
      <c r="AM2">
        <f>BDH("ASMB US Equity","CAPITAL_EXPEND","1993-06-18","2026-05-02","Per=Y","Days=T","Dir=V")</f>
        <v>0</v>
      </c>
      <c r="AO2">
        <f>BDH("ASMB US Equity","CF_FREE_CASH_FLOW","1993-06-18","2026-05-02","Per=Y","Days=T","Dir=V")</f>
        <v>0</v>
      </c>
      <c r="AQ2">
        <f>BDH("ASMB US Equity","PX_LAST","1993-06-18","2026-05-02","Per=M","Days=T","Dir=V")</f>
        <v>0</v>
      </c>
      <c r="AS2">
        <f>BDH("ASMB US Equity","CUR_MKT_CAP","1993-06-18","2026-05-02","Per=M","Days=T","Dir=V")</f>
        <v>0</v>
      </c>
      <c r="AU2">
        <f>BDH("ASMB US Equity","EQY_SH_OUT","1993-06-18","2026-05-02","Per=M","Days=T","Dir=V")</f>
        <v>0</v>
      </c>
      <c r="AW2">
        <f>BDH("ASMB US Equity","PX_VOLUME","1993-06-18","2026-05-02","Per=M","Days=T","Dir=V")</f>
        <v>0</v>
      </c>
      <c r="AY2">
        <f>BDH("ASMB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BDH("ASO US Equity","BS_TOT_ASSET","1993-06-18","2026-05-02","Per=Y","Days=T","Dir=V")</f>
        <v>0</v>
      </c>
      <c r="C2">
        <f>BDH("ASO US Equity","BS_TOT_LIAB2","1993-06-18","2026-05-02","Per=Y","Days=T","Dir=V")</f>
        <v>0</v>
      </c>
      <c r="E2">
        <f>BDH("ASO US Equity","SHORT_AND_LONG_TERM_DEBT","1993-06-18","2026-05-02","Per=Y","Days=T","Dir=V")</f>
        <v>0</v>
      </c>
      <c r="G2">
        <f>BDH("ASO US Equity","BS_ST_BORROW","1993-06-18","2026-05-02","Per=Y","Days=T","Dir=V")</f>
        <v>0</v>
      </c>
      <c r="I2">
        <f>BDH("ASO US Equity","BS_LT_BORROW","1993-06-18","2026-05-02","Per=Y","Days=T","Dir=V")</f>
        <v>0</v>
      </c>
      <c r="K2">
        <f>BDH("ASO US Equity","BS_CASH_NEAR_CASH_ITEM","1993-06-18","2026-05-02","Per=Y","Days=T","Dir=V")</f>
        <v>0</v>
      </c>
      <c r="M2">
        <f>BDH("ASO US Equity","BS_CUR_ASSET_REPORT","1993-06-18","2026-05-02","Per=Y","Days=T","Dir=V")</f>
        <v>0</v>
      </c>
      <c r="O2">
        <f>BDH("ASO US Equity","BS_CUR_LIAB","1993-06-18","2026-05-02","Per=Y","Days=T","Dir=V")</f>
        <v>0</v>
      </c>
      <c r="Q2">
        <f>BDH("ASO US Equity","BS_SHAREHOLDER_EQY_ENDING_PERIOD","1993-06-18","2026-05-02","Per=Y","Days=T","Dir=V")</f>
        <v>0</v>
      </c>
      <c r="S2">
        <f>BDH("ASO US Equity","BS_ACCT_NOTE_RCV","1993-06-18","2026-05-02","Per=Y","Days=T","Dir=V")</f>
        <v>0</v>
      </c>
      <c r="U2">
        <f>BDH("ASO US Equity","BS_INVENTORIES","1993-06-18","2026-05-02","Per=Y","Days=T","Dir=V")</f>
        <v>0</v>
      </c>
      <c r="W2">
        <f>BDH("ASO US Equity","WORKING_CAPITAL","1993-06-18","2026-05-02","Per=Y","Days=T","Dir=V")</f>
        <v>0</v>
      </c>
      <c r="Y2">
        <f>BDH("ASO US Equity","SALES_REV_TURN","1993-06-18","2026-05-02","Per=Y","Days=T","Dir=V")</f>
        <v>0</v>
      </c>
      <c r="AA2">
        <f>BDH("ASO US Equity","EBIT","1993-06-18","2026-05-02","Per=Y","Days=T","Dir=V")</f>
        <v>0</v>
      </c>
      <c r="AC2">
        <f>BDH("ASO US Equity","EBITDA","1993-06-18","2026-05-02","Per=Y","Days=T","Dir=V")</f>
        <v>0</v>
      </c>
      <c r="AE2">
        <f>BDH("ASO US Equity","NET_INCOME","1993-06-18","2026-05-02","Per=Y","Days=T","Dir=V")</f>
        <v>0</v>
      </c>
      <c r="AG2">
        <f>BDH("ASO US Equity","IS_INT_EXPENSE","1993-06-18","2026-05-02","Per=Y","Days=T","Dir=V")</f>
        <v>0</v>
      </c>
      <c r="AI2">
        <f>BDH("ASO US Equity","IS_DEPR_EXP","1993-06-18","2026-05-02","Per=Y","Days=T","Dir=V")</f>
        <v>0</v>
      </c>
      <c r="AK2">
        <f>BDH("ASO US Equity","CF_CASH_FROM_OPER","1993-06-18","2026-05-02","Per=Y","Days=T","Dir=V")</f>
        <v>0</v>
      </c>
      <c r="AM2">
        <f>BDH("ASO US Equity","CAPITAL_EXPEND","1993-06-18","2026-05-02","Per=Y","Days=T","Dir=V")</f>
        <v>0</v>
      </c>
      <c r="AO2">
        <f>BDH("ASO US Equity","CF_FREE_CASH_FLOW","1993-06-18","2026-05-02","Per=Y","Days=T","Dir=V")</f>
        <v>0</v>
      </c>
      <c r="AQ2">
        <f>BDH("ASO US Equity","PX_LAST","1993-06-18","2026-05-02","Per=M","Days=T","Dir=V")</f>
        <v>0</v>
      </c>
      <c r="AS2">
        <f>BDH("ASO US Equity","CUR_MKT_CAP","1993-06-18","2026-05-02","Per=M","Days=T","Dir=V")</f>
        <v>0</v>
      </c>
      <c r="AU2">
        <f>BDH("ASO US Equity","EQY_SH_OUT","1993-06-18","2026-05-02","Per=M","Days=T","Dir=V")</f>
        <v>0</v>
      </c>
      <c r="AW2">
        <f>BDH("ASO US Equity","PX_VOLUME","1993-06-18","2026-05-02","Per=M","Days=T","Dir=V")</f>
        <v>0</v>
      </c>
      <c r="AY2">
        <f>BDH("ASO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BDH("ASPI US Equity","BS_TOT_ASSET","1993-06-18","2026-05-02","Per=Y","Days=T","Dir=V")</f>
        <v>0</v>
      </c>
      <c r="C2">
        <f>BDH("ASPI US Equity","BS_TOT_LIAB2","1993-06-18","2026-05-02","Per=Y","Days=T","Dir=V")</f>
        <v>0</v>
      </c>
      <c r="E2">
        <f>BDH("ASPI US Equity","SHORT_AND_LONG_TERM_DEBT","1993-06-18","2026-05-02","Per=Y","Days=T","Dir=V")</f>
        <v>0</v>
      </c>
      <c r="G2">
        <f>BDH("ASPI US Equity","BS_ST_BORROW","1993-06-18","2026-05-02","Per=Y","Days=T","Dir=V")</f>
        <v>0</v>
      </c>
      <c r="I2">
        <f>BDH("ASPI US Equity","BS_LT_BORROW","1993-06-18","2026-05-02","Per=Y","Days=T","Dir=V")</f>
        <v>0</v>
      </c>
      <c r="K2">
        <f>BDH("ASPI US Equity","BS_CASH_NEAR_CASH_ITEM","1993-06-18","2026-05-02","Per=Y","Days=T","Dir=V")</f>
        <v>0</v>
      </c>
      <c r="M2">
        <f>BDH("ASPI US Equity","BS_CUR_ASSET_REPORT","1993-06-18","2026-05-02","Per=Y","Days=T","Dir=V")</f>
        <v>0</v>
      </c>
      <c r="O2">
        <f>BDH("ASPI US Equity","BS_CUR_LIAB","1993-06-18","2026-05-02","Per=Y","Days=T","Dir=V")</f>
        <v>0</v>
      </c>
      <c r="Q2">
        <f>BDH("ASPI US Equity","BS_SHAREHOLDER_EQY_ENDING_PERIOD","1993-06-18","2026-05-02","Per=Y","Days=T","Dir=V")</f>
        <v>0</v>
      </c>
      <c r="S2">
        <f>BDH("ASPI US Equity","BS_ACCT_NOTE_RCV","1993-06-18","2026-05-02","Per=Y","Days=T","Dir=V")</f>
        <v>0</v>
      </c>
      <c r="U2">
        <f>BDH("ASPI US Equity","BS_INVENTORIES","1993-06-18","2026-05-02","Per=Y","Days=T","Dir=V")</f>
        <v>0</v>
      </c>
      <c r="W2">
        <f>BDH("ASPI US Equity","WORKING_CAPITAL","1993-06-18","2026-05-02","Per=Y","Days=T","Dir=V")</f>
        <v>0</v>
      </c>
      <c r="Y2">
        <f>BDH("ASPI US Equity","SALES_REV_TURN","1993-06-18","2026-05-02","Per=Y","Days=T","Dir=V")</f>
        <v>0</v>
      </c>
      <c r="AA2">
        <f>BDH("ASPI US Equity","EBIT","1993-06-18","2026-05-02","Per=Y","Days=T","Dir=V")</f>
        <v>0</v>
      </c>
      <c r="AC2">
        <f>BDH("ASPI US Equity","EBITDA","1993-06-18","2026-05-02","Per=Y","Days=T","Dir=V")</f>
        <v>0</v>
      </c>
      <c r="AE2">
        <f>BDH("ASPI US Equity","NET_INCOME","1993-06-18","2026-05-02","Per=Y","Days=T","Dir=V")</f>
        <v>0</v>
      </c>
      <c r="AG2">
        <f>BDH("ASPI US Equity","IS_INT_EXPENSE","1993-06-18","2026-05-02","Per=Y","Days=T","Dir=V")</f>
        <v>0</v>
      </c>
      <c r="AI2">
        <f>BDH("ASPI US Equity","IS_DEPR_EXP","1993-06-18","2026-05-02","Per=Y","Days=T","Dir=V")</f>
        <v>0</v>
      </c>
      <c r="AK2">
        <f>BDH("ASPI US Equity","CF_CASH_FROM_OPER","1993-06-18","2026-05-02","Per=Y","Days=T","Dir=V")</f>
        <v>0</v>
      </c>
      <c r="AM2">
        <f>BDH("ASPI US Equity","CAPITAL_EXPEND","1993-06-18","2026-05-02","Per=Y","Days=T","Dir=V")</f>
        <v>0</v>
      </c>
      <c r="AO2">
        <f>BDH("ASPI US Equity","CF_FREE_CASH_FLOW","1993-06-18","2026-05-02","Per=Y","Days=T","Dir=V")</f>
        <v>0</v>
      </c>
      <c r="AQ2">
        <f>BDH("ASPI US Equity","PX_LAST","1993-06-18","2026-05-02","Per=M","Days=T","Dir=V")</f>
        <v>0</v>
      </c>
      <c r="AS2">
        <f>BDH("ASPI US Equity","CUR_MKT_CAP","1993-06-18","2026-05-02","Per=M","Days=T","Dir=V")</f>
        <v>0</v>
      </c>
      <c r="AU2">
        <f>BDH("ASPI US Equity","EQY_SH_OUT","1993-06-18","2026-05-02","Per=M","Days=T","Dir=V")</f>
        <v>0</v>
      </c>
      <c r="AW2">
        <f>BDH("ASPI US Equity","PX_VOLUME","1993-06-18","2026-05-02","Per=M","Days=T","Dir=V")</f>
        <v>0</v>
      </c>
      <c r="AY2">
        <f>BDH("ASPI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BDH("ASPN US Equity","BS_TOT_ASSET","1993-06-18","2026-05-02","Per=Y","Days=T","Dir=V")</f>
        <v>0</v>
      </c>
      <c r="C2">
        <f>BDH("ASPN US Equity","BS_TOT_LIAB2","1993-06-18","2026-05-02","Per=Y","Days=T","Dir=V")</f>
        <v>0</v>
      </c>
      <c r="E2">
        <f>BDH("ASPN US Equity","SHORT_AND_LONG_TERM_DEBT","1993-06-18","2026-05-02","Per=Y","Days=T","Dir=V")</f>
        <v>0</v>
      </c>
      <c r="G2">
        <f>BDH("ASPN US Equity","BS_ST_BORROW","1993-06-18","2026-05-02","Per=Y","Days=T","Dir=V")</f>
        <v>0</v>
      </c>
      <c r="I2">
        <f>BDH("ASPN US Equity","BS_LT_BORROW","1993-06-18","2026-05-02","Per=Y","Days=T","Dir=V")</f>
        <v>0</v>
      </c>
      <c r="K2">
        <f>BDH("ASPN US Equity","BS_CASH_NEAR_CASH_ITEM","1993-06-18","2026-05-02","Per=Y","Days=T","Dir=V")</f>
        <v>0</v>
      </c>
      <c r="M2">
        <f>BDH("ASPN US Equity","BS_CUR_ASSET_REPORT","1993-06-18","2026-05-02","Per=Y","Days=T","Dir=V")</f>
        <v>0</v>
      </c>
      <c r="O2">
        <f>BDH("ASPN US Equity","BS_CUR_LIAB","1993-06-18","2026-05-02","Per=Y","Days=T","Dir=V")</f>
        <v>0</v>
      </c>
      <c r="Q2">
        <f>BDH("ASPN US Equity","BS_SHAREHOLDER_EQY_ENDING_PERIOD","1993-06-18","2026-05-02","Per=Y","Days=T","Dir=V")</f>
        <v>0</v>
      </c>
      <c r="S2">
        <f>BDH("ASPN US Equity","BS_ACCT_NOTE_RCV","1993-06-18","2026-05-02","Per=Y","Days=T","Dir=V")</f>
        <v>0</v>
      </c>
      <c r="U2">
        <f>BDH("ASPN US Equity","BS_INVENTORIES","1993-06-18","2026-05-02","Per=Y","Days=T","Dir=V")</f>
        <v>0</v>
      </c>
      <c r="W2">
        <f>BDH("ASPN US Equity","WORKING_CAPITAL","1993-06-18","2026-05-02","Per=Y","Days=T","Dir=V")</f>
        <v>0</v>
      </c>
      <c r="Y2">
        <f>BDH("ASPN US Equity","SALES_REV_TURN","1993-06-18","2026-05-02","Per=Y","Days=T","Dir=V")</f>
        <v>0</v>
      </c>
      <c r="AA2">
        <f>BDH("ASPN US Equity","EBIT","1993-06-18","2026-05-02","Per=Y","Days=T","Dir=V")</f>
        <v>0</v>
      </c>
      <c r="AC2">
        <f>BDH("ASPN US Equity","EBITDA","1993-06-18","2026-05-02","Per=Y","Days=T","Dir=V")</f>
        <v>0</v>
      </c>
      <c r="AE2">
        <f>BDH("ASPN US Equity","NET_INCOME","1993-06-18","2026-05-02","Per=Y","Days=T","Dir=V")</f>
        <v>0</v>
      </c>
      <c r="AG2">
        <f>BDH("ASPN US Equity","IS_INT_EXPENSE","1993-06-18","2026-05-02","Per=Y","Days=T","Dir=V")</f>
        <v>0</v>
      </c>
      <c r="AI2">
        <f>BDH("ASPN US Equity","IS_DEPR_EXP","1993-06-18","2026-05-02","Per=Y","Days=T","Dir=V")</f>
        <v>0</v>
      </c>
      <c r="AK2">
        <f>BDH("ASPN US Equity","CF_CASH_FROM_OPER","1993-06-18","2026-05-02","Per=Y","Days=T","Dir=V")</f>
        <v>0</v>
      </c>
      <c r="AM2">
        <f>BDH("ASPN US Equity","CAPITAL_EXPEND","1993-06-18","2026-05-02","Per=Y","Days=T","Dir=V")</f>
        <v>0</v>
      </c>
      <c r="AO2">
        <f>BDH("ASPN US Equity","CF_FREE_CASH_FLOW","1993-06-18","2026-05-02","Per=Y","Days=T","Dir=V")</f>
        <v>0</v>
      </c>
      <c r="AQ2">
        <f>BDH("ASPN US Equity","PX_LAST","1993-06-18","2026-05-02","Per=M","Days=T","Dir=V")</f>
        <v>0</v>
      </c>
      <c r="AS2">
        <f>BDH("ASPN US Equity","CUR_MKT_CAP","1993-06-18","2026-05-02","Per=M","Days=T","Dir=V")</f>
        <v>0</v>
      </c>
      <c r="AU2">
        <f>BDH("ASPN US Equity","EQY_SH_OUT","1993-06-18","2026-05-02","Per=M","Days=T","Dir=V")</f>
        <v>0</v>
      </c>
      <c r="AW2">
        <f>BDH("ASPN US Equity","PX_VOLUME","1993-06-18","2026-05-02","Per=M","Days=T","Dir=V")</f>
        <v>0</v>
      </c>
      <c r="AY2">
        <f>BDH("ASPN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BDH("ASTC US Equity","BS_TOT_ASSET","1993-06-18","2026-05-02","Per=Y","Days=T","Dir=V")</f>
        <v>0</v>
      </c>
      <c r="C2">
        <f>BDH("ASTC US Equity","BS_TOT_LIAB2","1993-06-18","2026-05-02","Per=Y","Days=T","Dir=V")</f>
        <v>0</v>
      </c>
      <c r="E2">
        <f>BDH("ASTC US Equity","SHORT_AND_LONG_TERM_DEBT","1993-06-18","2026-05-02","Per=Y","Days=T","Dir=V")</f>
        <v>0</v>
      </c>
      <c r="G2">
        <f>BDH("ASTC US Equity","BS_ST_BORROW","1993-06-18","2026-05-02","Per=Y","Days=T","Dir=V")</f>
        <v>0</v>
      </c>
      <c r="I2">
        <f>BDH("ASTC US Equity","BS_LT_BORROW","1993-06-18","2026-05-02","Per=Y","Days=T","Dir=V")</f>
        <v>0</v>
      </c>
      <c r="K2">
        <f>BDH("ASTC US Equity","BS_CASH_NEAR_CASH_ITEM","1993-06-18","2026-05-02","Per=Y","Days=T","Dir=V")</f>
        <v>0</v>
      </c>
      <c r="M2">
        <f>BDH("ASTC US Equity","BS_CUR_ASSET_REPORT","1993-06-18","2026-05-02","Per=Y","Days=T","Dir=V")</f>
        <v>0</v>
      </c>
      <c r="O2">
        <f>BDH("ASTC US Equity","BS_CUR_LIAB","1993-06-18","2026-05-02","Per=Y","Days=T","Dir=V")</f>
        <v>0</v>
      </c>
      <c r="Q2">
        <f>BDH("ASTC US Equity","BS_SHAREHOLDER_EQY_ENDING_PERIOD","1993-06-18","2026-05-02","Per=Y","Days=T","Dir=V")</f>
        <v>0</v>
      </c>
      <c r="S2">
        <f>BDH("ASTC US Equity","BS_ACCT_NOTE_RCV","1993-06-18","2026-05-02","Per=Y","Days=T","Dir=V")</f>
        <v>0</v>
      </c>
      <c r="U2">
        <f>BDH("ASTC US Equity","BS_INVENTORIES","1993-06-18","2026-05-02","Per=Y","Days=T","Dir=V")</f>
        <v>0</v>
      </c>
      <c r="W2">
        <f>BDH("ASTC US Equity","WORKING_CAPITAL","1993-06-18","2026-05-02","Per=Y","Days=T","Dir=V")</f>
        <v>0</v>
      </c>
      <c r="Y2">
        <f>BDH("ASTC US Equity","SALES_REV_TURN","1993-06-18","2026-05-02","Per=Y","Days=T","Dir=V")</f>
        <v>0</v>
      </c>
      <c r="AA2">
        <f>BDH("ASTC US Equity","EBIT","1993-06-18","2026-05-02","Per=Y","Days=T","Dir=V")</f>
        <v>0</v>
      </c>
      <c r="AC2">
        <f>BDH("ASTC US Equity","EBITDA","1993-06-18","2026-05-02","Per=Y","Days=T","Dir=V")</f>
        <v>0</v>
      </c>
      <c r="AE2">
        <f>BDH("ASTC US Equity","NET_INCOME","1993-06-18","2026-05-02","Per=Y","Days=T","Dir=V")</f>
        <v>0</v>
      </c>
      <c r="AG2">
        <f>BDH("ASTC US Equity","IS_INT_EXPENSE","1993-06-18","2026-05-02","Per=Y","Days=T","Dir=V")</f>
        <v>0</v>
      </c>
      <c r="AI2">
        <f>BDH("ASTC US Equity","IS_DEPR_EXP","1993-06-18","2026-05-02","Per=Y","Days=T","Dir=V")</f>
        <v>0</v>
      </c>
      <c r="AK2">
        <f>BDH("ASTC US Equity","CF_CASH_FROM_OPER","1993-06-18","2026-05-02","Per=Y","Days=T","Dir=V")</f>
        <v>0</v>
      </c>
      <c r="AM2">
        <f>BDH("ASTC US Equity","CAPITAL_EXPEND","1993-06-18","2026-05-02","Per=Y","Days=T","Dir=V")</f>
        <v>0</v>
      </c>
      <c r="AO2">
        <f>BDH("ASTC US Equity","CF_FREE_CASH_FLOW","1993-06-18","2026-05-02","Per=Y","Days=T","Dir=V")</f>
        <v>0</v>
      </c>
      <c r="AQ2">
        <f>BDH("ASTC US Equity","PX_LAST","1993-06-18","2026-05-02","Per=M","Days=T","Dir=V")</f>
        <v>0</v>
      </c>
      <c r="AS2">
        <f>BDH("ASTC US Equity","CUR_MKT_CAP","1993-06-18","2026-05-02","Per=M","Days=T","Dir=V")</f>
        <v>0</v>
      </c>
      <c r="AU2">
        <f>BDH("ASTC US Equity","EQY_SH_OUT","1993-06-18","2026-05-02","Per=M","Days=T","Dir=V")</f>
        <v>0</v>
      </c>
      <c r="AW2">
        <f>BDH("ASTC US Equity","PX_VOLUME","1993-06-18","2026-05-02","Per=M","Days=T","Dir=V")</f>
        <v>0</v>
      </c>
      <c r="AY2">
        <f>BDH("ASTC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BDH("ASTE US Equity","BS_TOT_ASSET","1993-06-18","2026-05-02","Per=Y","Days=T","Dir=V")</f>
        <v>0</v>
      </c>
      <c r="C2">
        <f>BDH("ASTE US Equity","BS_TOT_LIAB2","1993-06-18","2026-05-02","Per=Y","Days=T","Dir=V")</f>
        <v>0</v>
      </c>
      <c r="E2">
        <f>BDH("ASTE US Equity","SHORT_AND_LONG_TERM_DEBT","1993-06-18","2026-05-02","Per=Y","Days=T","Dir=V")</f>
        <v>0</v>
      </c>
      <c r="G2">
        <f>BDH("ASTE US Equity","BS_ST_BORROW","1993-06-18","2026-05-02","Per=Y","Days=T","Dir=V")</f>
        <v>0</v>
      </c>
      <c r="I2">
        <f>BDH("ASTE US Equity","BS_LT_BORROW","1993-06-18","2026-05-02","Per=Y","Days=T","Dir=V")</f>
        <v>0</v>
      </c>
      <c r="K2">
        <f>BDH("ASTE US Equity","BS_CASH_NEAR_CASH_ITEM","1993-06-18","2026-05-02","Per=Y","Days=T","Dir=V")</f>
        <v>0</v>
      </c>
      <c r="M2">
        <f>BDH("ASTE US Equity","BS_CUR_ASSET_REPORT","1993-06-18","2026-05-02","Per=Y","Days=T","Dir=V")</f>
        <v>0</v>
      </c>
      <c r="O2">
        <f>BDH("ASTE US Equity","BS_CUR_LIAB","1993-06-18","2026-05-02","Per=Y","Days=T","Dir=V")</f>
        <v>0</v>
      </c>
      <c r="Q2">
        <f>BDH("ASTE US Equity","BS_SHAREHOLDER_EQY_ENDING_PERIOD","1993-06-18","2026-05-02","Per=Y","Days=T","Dir=V")</f>
        <v>0</v>
      </c>
      <c r="S2">
        <f>BDH("ASTE US Equity","BS_ACCT_NOTE_RCV","1993-06-18","2026-05-02","Per=Y","Days=T","Dir=V")</f>
        <v>0</v>
      </c>
      <c r="U2">
        <f>BDH("ASTE US Equity","BS_INVENTORIES","1993-06-18","2026-05-02","Per=Y","Days=T","Dir=V")</f>
        <v>0</v>
      </c>
      <c r="W2">
        <f>BDH("ASTE US Equity","WORKING_CAPITAL","1993-06-18","2026-05-02","Per=Y","Days=T","Dir=V")</f>
        <v>0</v>
      </c>
      <c r="Y2">
        <f>BDH("ASTE US Equity","SALES_REV_TURN","1993-06-18","2026-05-02","Per=Y","Days=T","Dir=V")</f>
        <v>0</v>
      </c>
      <c r="AA2">
        <f>BDH("ASTE US Equity","EBIT","1993-06-18","2026-05-02","Per=Y","Days=T","Dir=V")</f>
        <v>0</v>
      </c>
      <c r="AC2">
        <f>BDH("ASTE US Equity","EBITDA","1993-06-18","2026-05-02","Per=Y","Days=T","Dir=V")</f>
        <v>0</v>
      </c>
      <c r="AE2">
        <f>BDH("ASTE US Equity","NET_INCOME","1993-06-18","2026-05-02","Per=Y","Days=T","Dir=V")</f>
        <v>0</v>
      </c>
      <c r="AG2">
        <f>BDH("ASTE US Equity","IS_INT_EXPENSE","1993-06-18","2026-05-02","Per=Y","Days=T","Dir=V")</f>
        <v>0</v>
      </c>
      <c r="AI2">
        <f>BDH("ASTE US Equity","IS_DEPR_EXP","1993-06-18","2026-05-02","Per=Y","Days=T","Dir=V")</f>
        <v>0</v>
      </c>
      <c r="AK2">
        <f>BDH("ASTE US Equity","CF_CASH_FROM_OPER","1993-06-18","2026-05-02","Per=Y","Days=T","Dir=V")</f>
        <v>0</v>
      </c>
      <c r="AM2">
        <f>BDH("ASTE US Equity","CAPITAL_EXPEND","1993-06-18","2026-05-02","Per=Y","Days=T","Dir=V")</f>
        <v>0</v>
      </c>
      <c r="AO2">
        <f>BDH("ASTE US Equity","CF_FREE_CASH_FLOW","1993-06-18","2026-05-02","Per=Y","Days=T","Dir=V")</f>
        <v>0</v>
      </c>
      <c r="AQ2">
        <f>BDH("ASTE US Equity","PX_LAST","1993-06-18","2026-05-02","Per=M","Days=T","Dir=V")</f>
        <v>0</v>
      </c>
      <c r="AS2">
        <f>BDH("ASTE US Equity","CUR_MKT_CAP","1993-06-18","2026-05-02","Per=M","Days=T","Dir=V")</f>
        <v>0</v>
      </c>
      <c r="AU2">
        <f>BDH("ASTE US Equity","EQY_SH_OUT","1993-06-18","2026-05-02","Per=M","Days=T","Dir=V")</f>
        <v>0</v>
      </c>
      <c r="AW2">
        <f>BDH("ASTE US Equity","PX_VOLUME","1993-06-18","2026-05-02","Per=M","Days=T","Dir=V")</f>
        <v>0</v>
      </c>
      <c r="AY2">
        <f>BDH("ASTE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BDH("ASTH US Equity","BS_TOT_ASSET","1993-06-18","2026-05-02","Per=Y","Days=T","Dir=V")</f>
        <v>0</v>
      </c>
      <c r="C2">
        <f>BDH("ASTH US Equity","BS_TOT_LIAB2","1993-06-18","2026-05-02","Per=Y","Days=T","Dir=V")</f>
        <v>0</v>
      </c>
      <c r="E2">
        <f>BDH("ASTH US Equity","SHORT_AND_LONG_TERM_DEBT","1993-06-18","2026-05-02","Per=Y","Days=T","Dir=V")</f>
        <v>0</v>
      </c>
      <c r="G2">
        <f>BDH("ASTH US Equity","BS_ST_BORROW","1993-06-18","2026-05-02","Per=Y","Days=T","Dir=V")</f>
        <v>0</v>
      </c>
      <c r="I2">
        <f>BDH("ASTH US Equity","BS_LT_BORROW","1993-06-18","2026-05-02","Per=Y","Days=T","Dir=V")</f>
        <v>0</v>
      </c>
      <c r="K2">
        <f>BDH("ASTH US Equity","BS_CASH_NEAR_CASH_ITEM","1993-06-18","2026-05-02","Per=Y","Days=T","Dir=V")</f>
        <v>0</v>
      </c>
      <c r="M2">
        <f>BDH("ASTH US Equity","BS_CUR_ASSET_REPORT","1993-06-18","2026-05-02","Per=Y","Days=T","Dir=V")</f>
        <v>0</v>
      </c>
      <c r="O2">
        <f>BDH("ASTH US Equity","BS_CUR_LIAB","1993-06-18","2026-05-02","Per=Y","Days=T","Dir=V")</f>
        <v>0</v>
      </c>
      <c r="Q2">
        <f>BDH("ASTH US Equity","BS_SHAREHOLDER_EQY_ENDING_PERIOD","1993-06-18","2026-05-02","Per=Y","Days=T","Dir=V")</f>
        <v>0</v>
      </c>
      <c r="S2">
        <f>BDH("ASTH US Equity","BS_ACCT_NOTE_RCV","1993-06-18","2026-05-02","Per=Y","Days=T","Dir=V")</f>
        <v>0</v>
      </c>
      <c r="U2">
        <f>BDH("ASTH US Equity","BS_INVENTORIES","1993-06-18","2026-05-02","Per=Y","Days=T","Dir=V")</f>
        <v>0</v>
      </c>
      <c r="W2">
        <f>BDH("ASTH US Equity","WORKING_CAPITAL","1993-06-18","2026-05-02","Per=Y","Days=T","Dir=V")</f>
        <v>0</v>
      </c>
      <c r="Y2">
        <f>BDH("ASTH US Equity","SALES_REV_TURN","1993-06-18","2026-05-02","Per=Y","Days=T","Dir=V")</f>
        <v>0</v>
      </c>
      <c r="AA2">
        <f>BDH("ASTH US Equity","EBIT","1993-06-18","2026-05-02","Per=Y","Days=T","Dir=V")</f>
        <v>0</v>
      </c>
      <c r="AC2">
        <f>BDH("ASTH US Equity","EBITDA","1993-06-18","2026-05-02","Per=Y","Days=T","Dir=V")</f>
        <v>0</v>
      </c>
      <c r="AE2">
        <f>BDH("ASTH US Equity","NET_INCOME","1993-06-18","2026-05-02","Per=Y","Days=T","Dir=V")</f>
        <v>0</v>
      </c>
      <c r="AG2">
        <f>BDH("ASTH US Equity","IS_INT_EXPENSE","1993-06-18","2026-05-02","Per=Y","Days=T","Dir=V")</f>
        <v>0</v>
      </c>
      <c r="AI2">
        <f>BDH("ASTH US Equity","IS_DEPR_EXP","1993-06-18","2026-05-02","Per=Y","Days=T","Dir=V")</f>
        <v>0</v>
      </c>
      <c r="AK2">
        <f>BDH("ASTH US Equity","CF_CASH_FROM_OPER","1993-06-18","2026-05-02","Per=Y","Days=T","Dir=V")</f>
        <v>0</v>
      </c>
      <c r="AM2">
        <f>BDH("ASTH US Equity","CAPITAL_EXPEND","1993-06-18","2026-05-02","Per=Y","Days=T","Dir=V")</f>
        <v>0</v>
      </c>
      <c r="AO2">
        <f>BDH("ASTH US Equity","CF_FREE_CASH_FLOW","1993-06-18","2026-05-02","Per=Y","Days=T","Dir=V")</f>
        <v>0</v>
      </c>
      <c r="AQ2">
        <f>BDH("ASTH US Equity","PX_LAST","1993-06-18","2026-05-02","Per=M","Days=T","Dir=V")</f>
        <v>0</v>
      </c>
      <c r="AS2">
        <f>BDH("ASTH US Equity","CUR_MKT_CAP","1993-06-18","2026-05-02","Per=M","Days=T","Dir=V")</f>
        <v>0</v>
      </c>
      <c r="AU2">
        <f>BDH("ASTH US Equity","EQY_SH_OUT","1993-06-18","2026-05-02","Per=M","Days=T","Dir=V")</f>
        <v>0</v>
      </c>
      <c r="AW2">
        <f>BDH("ASTH US Equity","PX_VOLUME","1993-06-18","2026-05-02","Per=M","Days=T","Dir=V")</f>
        <v>0</v>
      </c>
      <c r="AY2">
        <f>BDH("ASTH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BDH("ASTI US Equity","BS_TOT_ASSET","1993-06-18","2026-05-02","Per=Y","Days=T","Dir=V")</f>
        <v>0</v>
      </c>
      <c r="C2">
        <f>BDH("ASTI US Equity","BS_TOT_LIAB2","1993-06-18","2026-05-02","Per=Y","Days=T","Dir=V")</f>
        <v>0</v>
      </c>
      <c r="E2">
        <f>BDH("ASTI US Equity","SHORT_AND_LONG_TERM_DEBT","1993-06-18","2026-05-02","Per=Y","Days=T","Dir=V")</f>
        <v>0</v>
      </c>
      <c r="G2">
        <f>BDH("ASTI US Equity","BS_ST_BORROW","1993-06-18","2026-05-02","Per=Y","Days=T","Dir=V")</f>
        <v>0</v>
      </c>
      <c r="I2">
        <f>BDH("ASTI US Equity","BS_LT_BORROW","1993-06-18","2026-05-02","Per=Y","Days=T","Dir=V")</f>
        <v>0</v>
      </c>
      <c r="K2">
        <f>BDH("ASTI US Equity","BS_CASH_NEAR_CASH_ITEM","1993-06-18","2026-05-02","Per=Y","Days=T","Dir=V")</f>
        <v>0</v>
      </c>
      <c r="M2">
        <f>BDH("ASTI US Equity","BS_CUR_ASSET_REPORT","1993-06-18","2026-05-02","Per=Y","Days=T","Dir=V")</f>
        <v>0</v>
      </c>
      <c r="O2">
        <f>BDH("ASTI US Equity","BS_CUR_LIAB","1993-06-18","2026-05-02","Per=Y","Days=T","Dir=V")</f>
        <v>0</v>
      </c>
      <c r="Q2">
        <f>BDH("ASTI US Equity","BS_SHAREHOLDER_EQY_ENDING_PERIOD","1993-06-18","2026-05-02","Per=Y","Days=T","Dir=V")</f>
        <v>0</v>
      </c>
      <c r="S2">
        <f>BDH("ASTI US Equity","BS_ACCT_NOTE_RCV","1993-06-18","2026-05-02","Per=Y","Days=T","Dir=V")</f>
        <v>0</v>
      </c>
      <c r="U2">
        <f>BDH("ASTI US Equity","BS_INVENTORIES","1993-06-18","2026-05-02","Per=Y","Days=T","Dir=V")</f>
        <v>0</v>
      </c>
      <c r="W2">
        <f>BDH("ASTI US Equity","WORKING_CAPITAL","1993-06-18","2026-05-02","Per=Y","Days=T","Dir=V")</f>
        <v>0</v>
      </c>
      <c r="Y2">
        <f>BDH("ASTI US Equity","SALES_REV_TURN","1993-06-18","2026-05-02","Per=Y","Days=T","Dir=V")</f>
        <v>0</v>
      </c>
      <c r="AA2">
        <f>BDH("ASTI US Equity","EBIT","1993-06-18","2026-05-02","Per=Y","Days=T","Dir=V")</f>
        <v>0</v>
      </c>
      <c r="AC2">
        <f>BDH("ASTI US Equity","EBITDA","1993-06-18","2026-05-02","Per=Y","Days=T","Dir=V")</f>
        <v>0</v>
      </c>
      <c r="AE2">
        <f>BDH("ASTI US Equity","NET_INCOME","1993-06-18","2026-05-02","Per=Y","Days=T","Dir=V")</f>
        <v>0</v>
      </c>
      <c r="AG2">
        <f>BDH("ASTI US Equity","IS_INT_EXPENSE","1993-06-18","2026-05-02","Per=Y","Days=T","Dir=V")</f>
        <v>0</v>
      </c>
      <c r="AI2">
        <f>BDH("ASTI US Equity","IS_DEPR_EXP","1993-06-18","2026-05-02","Per=Y","Days=T","Dir=V")</f>
        <v>0</v>
      </c>
      <c r="AK2">
        <f>BDH("ASTI US Equity","CF_CASH_FROM_OPER","1993-06-18","2026-05-02","Per=Y","Days=T","Dir=V")</f>
        <v>0</v>
      </c>
      <c r="AM2">
        <f>BDH("ASTI US Equity","CAPITAL_EXPEND","1993-06-18","2026-05-02","Per=Y","Days=T","Dir=V")</f>
        <v>0</v>
      </c>
      <c r="AO2">
        <f>BDH("ASTI US Equity","CF_FREE_CASH_FLOW","1993-06-18","2026-05-02","Per=Y","Days=T","Dir=V")</f>
        <v>0</v>
      </c>
      <c r="AQ2">
        <f>BDH("ASTI US Equity","PX_LAST","1993-06-18","2026-05-02","Per=M","Days=T","Dir=V")</f>
        <v>0</v>
      </c>
      <c r="AS2">
        <f>BDH("ASTI US Equity","CUR_MKT_CAP","1993-06-18","2026-05-02","Per=M","Days=T","Dir=V")</f>
        <v>0</v>
      </c>
      <c r="AU2">
        <f>BDH("ASTI US Equity","EQY_SH_OUT","1993-06-18","2026-05-02","Per=M","Days=T","Dir=V")</f>
        <v>0</v>
      </c>
      <c r="AW2">
        <f>BDH("ASTI US Equity","PX_VOLUME","1993-06-18","2026-05-02","Per=M","Days=T","Dir=V")</f>
        <v>0</v>
      </c>
      <c r="AY2">
        <f>BDH("ASTI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BDH("ASTS US Equity","BS_TOT_ASSET","1993-06-18","2026-05-02","Per=Y","Days=T","Dir=V")</f>
        <v>0</v>
      </c>
      <c r="C2">
        <f>BDH("ASTS US Equity","BS_TOT_LIAB2","1993-06-18","2026-05-02","Per=Y","Days=T","Dir=V")</f>
        <v>0</v>
      </c>
      <c r="E2">
        <f>BDH("ASTS US Equity","SHORT_AND_LONG_TERM_DEBT","1993-06-18","2026-05-02","Per=Y","Days=T","Dir=V")</f>
        <v>0</v>
      </c>
      <c r="G2">
        <f>BDH("ASTS US Equity","BS_ST_BORROW","1993-06-18","2026-05-02","Per=Y","Days=T","Dir=V")</f>
        <v>0</v>
      </c>
      <c r="I2">
        <f>BDH("ASTS US Equity","BS_LT_BORROW","1993-06-18","2026-05-02","Per=Y","Days=T","Dir=V")</f>
        <v>0</v>
      </c>
      <c r="K2">
        <f>BDH("ASTS US Equity","BS_CASH_NEAR_CASH_ITEM","1993-06-18","2026-05-02","Per=Y","Days=T","Dir=V")</f>
        <v>0</v>
      </c>
      <c r="M2">
        <f>BDH("ASTS US Equity","BS_CUR_ASSET_REPORT","1993-06-18","2026-05-02","Per=Y","Days=T","Dir=V")</f>
        <v>0</v>
      </c>
      <c r="O2">
        <f>BDH("ASTS US Equity","BS_CUR_LIAB","1993-06-18","2026-05-02","Per=Y","Days=T","Dir=V")</f>
        <v>0</v>
      </c>
      <c r="Q2">
        <f>BDH("ASTS US Equity","BS_SHAREHOLDER_EQY_ENDING_PERIOD","1993-06-18","2026-05-02","Per=Y","Days=T","Dir=V")</f>
        <v>0</v>
      </c>
      <c r="S2">
        <f>BDH("ASTS US Equity","BS_ACCT_NOTE_RCV","1993-06-18","2026-05-02","Per=Y","Days=T","Dir=V")</f>
        <v>0</v>
      </c>
      <c r="U2">
        <f>BDH("ASTS US Equity","BS_INVENTORIES","1993-06-18","2026-05-02","Per=Y","Days=T","Dir=V")</f>
        <v>0</v>
      </c>
      <c r="W2">
        <f>BDH("ASTS US Equity","WORKING_CAPITAL","1993-06-18","2026-05-02","Per=Y","Days=T","Dir=V")</f>
        <v>0</v>
      </c>
      <c r="Y2">
        <f>BDH("ASTS US Equity","SALES_REV_TURN","1993-06-18","2026-05-02","Per=Y","Days=T","Dir=V")</f>
        <v>0</v>
      </c>
      <c r="AA2">
        <f>BDH("ASTS US Equity","EBIT","1993-06-18","2026-05-02","Per=Y","Days=T","Dir=V")</f>
        <v>0</v>
      </c>
      <c r="AC2">
        <f>BDH("ASTS US Equity","EBITDA","1993-06-18","2026-05-02","Per=Y","Days=T","Dir=V")</f>
        <v>0</v>
      </c>
      <c r="AE2">
        <f>BDH("ASTS US Equity","NET_INCOME","1993-06-18","2026-05-02","Per=Y","Days=T","Dir=V")</f>
        <v>0</v>
      </c>
      <c r="AG2">
        <f>BDH("ASTS US Equity","IS_INT_EXPENSE","1993-06-18","2026-05-02","Per=Y","Days=T","Dir=V")</f>
        <v>0</v>
      </c>
      <c r="AI2">
        <f>BDH("ASTS US Equity","IS_DEPR_EXP","1993-06-18","2026-05-02","Per=Y","Days=T","Dir=V")</f>
        <v>0</v>
      </c>
      <c r="AK2">
        <f>BDH("ASTS US Equity","CF_CASH_FROM_OPER","1993-06-18","2026-05-02","Per=Y","Days=T","Dir=V")</f>
        <v>0</v>
      </c>
      <c r="AM2">
        <f>BDH("ASTS US Equity","CAPITAL_EXPEND","1993-06-18","2026-05-02","Per=Y","Days=T","Dir=V")</f>
        <v>0</v>
      </c>
      <c r="AO2">
        <f>BDH("ASTS US Equity","CF_FREE_CASH_FLOW","1993-06-18","2026-05-02","Per=Y","Days=T","Dir=V")</f>
        <v>0</v>
      </c>
      <c r="AQ2">
        <f>BDH("ASTS US Equity","PX_LAST","1993-06-18","2026-05-02","Per=M","Days=T","Dir=V")</f>
        <v>0</v>
      </c>
      <c r="AS2">
        <f>BDH("ASTS US Equity","CUR_MKT_CAP","1993-06-18","2026-05-02","Per=M","Days=T","Dir=V")</f>
        <v>0</v>
      </c>
      <c r="AU2">
        <f>BDH("ASTS US Equity","EQY_SH_OUT","1993-06-18","2026-05-02","Per=M","Days=T","Dir=V")</f>
        <v>0</v>
      </c>
      <c r="AW2">
        <f>BDH("ASTS US Equity","PX_VOLUME","1993-06-18","2026-05-02","Per=M","Days=T","Dir=V")</f>
        <v>0</v>
      </c>
      <c r="AY2">
        <f>BDH("ASTS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BDH("ASUR US Equity","BS_TOT_ASSET","1993-06-18","2026-05-02","Per=Y","Days=T","Dir=V")</f>
        <v>0</v>
      </c>
      <c r="C2">
        <f>BDH("ASUR US Equity","BS_TOT_LIAB2","1993-06-18","2026-05-02","Per=Y","Days=T","Dir=V")</f>
        <v>0</v>
      </c>
      <c r="E2">
        <f>BDH("ASUR US Equity","SHORT_AND_LONG_TERM_DEBT","1993-06-18","2026-05-02","Per=Y","Days=T","Dir=V")</f>
        <v>0</v>
      </c>
      <c r="G2">
        <f>BDH("ASUR US Equity","BS_ST_BORROW","1993-06-18","2026-05-02","Per=Y","Days=T","Dir=V")</f>
        <v>0</v>
      </c>
      <c r="I2">
        <f>BDH("ASUR US Equity","BS_LT_BORROW","1993-06-18","2026-05-02","Per=Y","Days=T","Dir=V")</f>
        <v>0</v>
      </c>
      <c r="K2">
        <f>BDH("ASUR US Equity","BS_CASH_NEAR_CASH_ITEM","1993-06-18","2026-05-02","Per=Y","Days=T","Dir=V")</f>
        <v>0</v>
      </c>
      <c r="M2">
        <f>BDH("ASUR US Equity","BS_CUR_ASSET_REPORT","1993-06-18","2026-05-02","Per=Y","Days=T","Dir=V")</f>
        <v>0</v>
      </c>
      <c r="O2">
        <f>BDH("ASUR US Equity","BS_CUR_LIAB","1993-06-18","2026-05-02","Per=Y","Days=T","Dir=V")</f>
        <v>0</v>
      </c>
      <c r="Q2">
        <f>BDH("ASUR US Equity","BS_SHAREHOLDER_EQY_ENDING_PERIOD","1993-06-18","2026-05-02","Per=Y","Days=T","Dir=V")</f>
        <v>0</v>
      </c>
      <c r="S2">
        <f>BDH("ASUR US Equity","BS_ACCT_NOTE_RCV","1993-06-18","2026-05-02","Per=Y","Days=T","Dir=V")</f>
        <v>0</v>
      </c>
      <c r="U2">
        <f>BDH("ASUR US Equity","BS_INVENTORIES","1993-06-18","2026-05-02","Per=Y","Days=T","Dir=V")</f>
        <v>0</v>
      </c>
      <c r="W2">
        <f>BDH("ASUR US Equity","WORKING_CAPITAL","1993-06-18","2026-05-02","Per=Y","Days=T","Dir=V")</f>
        <v>0</v>
      </c>
      <c r="Y2">
        <f>BDH("ASUR US Equity","SALES_REV_TURN","1993-06-18","2026-05-02","Per=Y","Days=T","Dir=V")</f>
        <v>0</v>
      </c>
      <c r="AA2">
        <f>BDH("ASUR US Equity","EBIT","1993-06-18","2026-05-02","Per=Y","Days=T","Dir=V")</f>
        <v>0</v>
      </c>
      <c r="AC2">
        <f>BDH("ASUR US Equity","EBITDA","1993-06-18","2026-05-02","Per=Y","Days=T","Dir=V")</f>
        <v>0</v>
      </c>
      <c r="AE2">
        <f>BDH("ASUR US Equity","NET_INCOME","1993-06-18","2026-05-02","Per=Y","Days=T","Dir=V")</f>
        <v>0</v>
      </c>
      <c r="AG2">
        <f>BDH("ASUR US Equity","IS_INT_EXPENSE","1993-06-18","2026-05-02","Per=Y","Days=T","Dir=V")</f>
        <v>0</v>
      </c>
      <c r="AI2">
        <f>BDH("ASUR US Equity","IS_DEPR_EXP","1993-06-18","2026-05-02","Per=Y","Days=T","Dir=V")</f>
        <v>0</v>
      </c>
      <c r="AK2">
        <f>BDH("ASUR US Equity","CF_CASH_FROM_OPER","1993-06-18","2026-05-02","Per=Y","Days=T","Dir=V")</f>
        <v>0</v>
      </c>
      <c r="AM2">
        <f>BDH("ASUR US Equity","CAPITAL_EXPEND","1993-06-18","2026-05-02","Per=Y","Days=T","Dir=V")</f>
        <v>0</v>
      </c>
      <c r="AO2">
        <f>BDH("ASUR US Equity","CF_FREE_CASH_FLOW","1993-06-18","2026-05-02","Per=Y","Days=T","Dir=V")</f>
        <v>0</v>
      </c>
      <c r="AQ2">
        <f>BDH("ASUR US Equity","PX_LAST","1993-06-18","2026-05-02","Per=M","Days=T","Dir=V")</f>
        <v>0</v>
      </c>
      <c r="AS2">
        <f>BDH("ASUR US Equity","CUR_MKT_CAP","1993-06-18","2026-05-02","Per=M","Days=T","Dir=V")</f>
        <v>0</v>
      </c>
      <c r="AU2">
        <f>BDH("ASUR US Equity","EQY_SH_OUT","1993-06-18","2026-05-02","Per=M","Days=T","Dir=V")</f>
        <v>0</v>
      </c>
      <c r="AW2">
        <f>BDH("ASUR US Equity","PX_VOLUME","1993-06-18","2026-05-02","Per=M","Days=T","Dir=V")</f>
        <v>0</v>
      </c>
      <c r="AY2">
        <f>BDH("ASUR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BDH("ASYS US Equity","BS_TOT_ASSET","1993-06-18","2026-05-02","Per=Y","Days=T","Dir=V")</f>
        <v>0</v>
      </c>
      <c r="C2">
        <f>BDH("ASYS US Equity","BS_TOT_LIAB2","1993-06-18","2026-05-02","Per=Y","Days=T","Dir=V")</f>
        <v>0</v>
      </c>
      <c r="E2">
        <f>BDH("ASYS US Equity","SHORT_AND_LONG_TERM_DEBT","1993-06-18","2026-05-02","Per=Y","Days=T","Dir=V")</f>
        <v>0</v>
      </c>
      <c r="G2">
        <f>BDH("ASYS US Equity","BS_ST_BORROW","1993-06-18","2026-05-02","Per=Y","Days=T","Dir=V")</f>
        <v>0</v>
      </c>
      <c r="I2">
        <f>BDH("ASYS US Equity","BS_LT_BORROW","1993-06-18","2026-05-02","Per=Y","Days=T","Dir=V")</f>
        <v>0</v>
      </c>
      <c r="K2">
        <f>BDH("ASYS US Equity","BS_CASH_NEAR_CASH_ITEM","1993-06-18","2026-05-02","Per=Y","Days=T","Dir=V")</f>
        <v>0</v>
      </c>
      <c r="M2">
        <f>BDH("ASYS US Equity","BS_CUR_ASSET_REPORT","1993-06-18","2026-05-02","Per=Y","Days=T","Dir=V")</f>
        <v>0</v>
      </c>
      <c r="O2">
        <f>BDH("ASYS US Equity","BS_CUR_LIAB","1993-06-18","2026-05-02","Per=Y","Days=T","Dir=V")</f>
        <v>0</v>
      </c>
      <c r="Q2">
        <f>BDH("ASYS US Equity","BS_SHAREHOLDER_EQY_ENDING_PERIOD","1993-06-18","2026-05-02","Per=Y","Days=T","Dir=V")</f>
        <v>0</v>
      </c>
      <c r="S2">
        <f>BDH("ASYS US Equity","BS_ACCT_NOTE_RCV","1993-06-18","2026-05-02","Per=Y","Days=T","Dir=V")</f>
        <v>0</v>
      </c>
      <c r="U2">
        <f>BDH("ASYS US Equity","BS_INVENTORIES","1993-06-18","2026-05-02","Per=Y","Days=T","Dir=V")</f>
        <v>0</v>
      </c>
      <c r="W2">
        <f>BDH("ASYS US Equity","WORKING_CAPITAL","1993-06-18","2026-05-02","Per=Y","Days=T","Dir=V")</f>
        <v>0</v>
      </c>
      <c r="Y2">
        <f>BDH("ASYS US Equity","SALES_REV_TURN","1993-06-18","2026-05-02","Per=Y","Days=T","Dir=V")</f>
        <v>0</v>
      </c>
      <c r="AA2">
        <f>BDH("ASYS US Equity","EBIT","1993-06-18","2026-05-02","Per=Y","Days=T","Dir=V")</f>
        <v>0</v>
      </c>
      <c r="AC2">
        <f>BDH("ASYS US Equity","EBITDA","1993-06-18","2026-05-02","Per=Y","Days=T","Dir=V")</f>
        <v>0</v>
      </c>
      <c r="AE2">
        <f>BDH("ASYS US Equity","NET_INCOME","1993-06-18","2026-05-02","Per=Y","Days=T","Dir=V")</f>
        <v>0</v>
      </c>
      <c r="AG2">
        <f>BDH("ASYS US Equity","IS_INT_EXPENSE","1993-06-18","2026-05-02","Per=Y","Days=T","Dir=V")</f>
        <v>0</v>
      </c>
      <c r="AI2">
        <f>BDH("ASYS US Equity","IS_DEPR_EXP","1993-06-18","2026-05-02","Per=Y","Days=T","Dir=V")</f>
        <v>0</v>
      </c>
      <c r="AK2">
        <f>BDH("ASYS US Equity","CF_CASH_FROM_OPER","1993-06-18","2026-05-02","Per=Y","Days=T","Dir=V")</f>
        <v>0</v>
      </c>
      <c r="AM2">
        <f>BDH("ASYS US Equity","CAPITAL_EXPEND","1993-06-18","2026-05-02","Per=Y","Days=T","Dir=V")</f>
        <v>0</v>
      </c>
      <c r="AO2">
        <f>BDH("ASYS US Equity","CF_FREE_CASH_FLOW","1993-06-18","2026-05-02","Per=Y","Days=T","Dir=V")</f>
        <v>0</v>
      </c>
      <c r="AQ2">
        <f>BDH("ASYS US Equity","PX_LAST","1993-06-18","2026-05-02","Per=M","Days=T","Dir=V")</f>
        <v>0</v>
      </c>
      <c r="AS2">
        <f>BDH("ASYS US Equity","CUR_MKT_CAP","1993-06-18","2026-05-02","Per=M","Days=T","Dir=V")</f>
        <v>0</v>
      </c>
      <c r="AU2">
        <f>BDH("ASYS US Equity","EQY_SH_OUT","1993-06-18","2026-05-02","Per=M","Days=T","Dir=V")</f>
        <v>0</v>
      </c>
      <c r="AW2">
        <f>BDH("ASYS US Equity","PX_VOLUME","1993-06-18","2026-05-02","Per=M","Days=T","Dir=V")</f>
        <v>0</v>
      </c>
      <c r="AY2">
        <f>BDH("ASYS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BDH("ATEC US Equity","BS_TOT_ASSET","1993-06-18","2026-05-02","Per=Y","Days=T","Dir=V")</f>
        <v>0</v>
      </c>
      <c r="C2">
        <f>BDH("ATEC US Equity","BS_TOT_LIAB2","1993-06-18","2026-05-02","Per=Y","Days=T","Dir=V")</f>
        <v>0</v>
      </c>
      <c r="E2">
        <f>BDH("ATEC US Equity","SHORT_AND_LONG_TERM_DEBT","1993-06-18","2026-05-02","Per=Y","Days=T","Dir=V")</f>
        <v>0</v>
      </c>
      <c r="G2">
        <f>BDH("ATEC US Equity","BS_ST_BORROW","1993-06-18","2026-05-02","Per=Y","Days=T","Dir=V")</f>
        <v>0</v>
      </c>
      <c r="I2">
        <f>BDH("ATEC US Equity","BS_LT_BORROW","1993-06-18","2026-05-02","Per=Y","Days=T","Dir=V")</f>
        <v>0</v>
      </c>
      <c r="K2">
        <f>BDH("ATEC US Equity","BS_CASH_NEAR_CASH_ITEM","1993-06-18","2026-05-02","Per=Y","Days=T","Dir=V")</f>
        <v>0</v>
      </c>
      <c r="M2">
        <f>BDH("ATEC US Equity","BS_CUR_ASSET_REPORT","1993-06-18","2026-05-02","Per=Y","Days=T","Dir=V")</f>
        <v>0</v>
      </c>
      <c r="O2">
        <f>BDH("ATEC US Equity","BS_CUR_LIAB","1993-06-18","2026-05-02","Per=Y","Days=T","Dir=V")</f>
        <v>0</v>
      </c>
      <c r="Q2">
        <f>BDH("ATEC US Equity","BS_SHAREHOLDER_EQY_ENDING_PERIOD","1993-06-18","2026-05-02","Per=Y","Days=T","Dir=V")</f>
        <v>0</v>
      </c>
      <c r="S2">
        <f>BDH("ATEC US Equity","BS_ACCT_NOTE_RCV","1993-06-18","2026-05-02","Per=Y","Days=T","Dir=V")</f>
        <v>0</v>
      </c>
      <c r="U2">
        <f>BDH("ATEC US Equity","BS_INVENTORIES","1993-06-18","2026-05-02","Per=Y","Days=T","Dir=V")</f>
        <v>0</v>
      </c>
      <c r="W2">
        <f>BDH("ATEC US Equity","WORKING_CAPITAL","1993-06-18","2026-05-02","Per=Y","Days=T","Dir=V")</f>
        <v>0</v>
      </c>
      <c r="Y2">
        <f>BDH("ATEC US Equity","SALES_REV_TURN","1993-06-18","2026-05-02","Per=Y","Days=T","Dir=V")</f>
        <v>0</v>
      </c>
      <c r="AA2">
        <f>BDH("ATEC US Equity","EBIT","1993-06-18","2026-05-02","Per=Y","Days=T","Dir=V")</f>
        <v>0</v>
      </c>
      <c r="AC2">
        <f>BDH("ATEC US Equity","EBITDA","1993-06-18","2026-05-02","Per=Y","Days=T","Dir=V")</f>
        <v>0</v>
      </c>
      <c r="AE2">
        <f>BDH("ATEC US Equity","NET_INCOME","1993-06-18","2026-05-02","Per=Y","Days=T","Dir=V")</f>
        <v>0</v>
      </c>
      <c r="AG2">
        <f>BDH("ATEC US Equity","IS_INT_EXPENSE","1993-06-18","2026-05-02","Per=Y","Days=T","Dir=V")</f>
        <v>0</v>
      </c>
      <c r="AI2">
        <f>BDH("ATEC US Equity","IS_DEPR_EXP","1993-06-18","2026-05-02","Per=Y","Days=T","Dir=V")</f>
        <v>0</v>
      </c>
      <c r="AK2">
        <f>BDH("ATEC US Equity","CF_CASH_FROM_OPER","1993-06-18","2026-05-02","Per=Y","Days=T","Dir=V")</f>
        <v>0</v>
      </c>
      <c r="AM2">
        <f>BDH("ATEC US Equity","CAPITAL_EXPEND","1993-06-18","2026-05-02","Per=Y","Days=T","Dir=V")</f>
        <v>0</v>
      </c>
      <c r="AO2">
        <f>BDH("ATEC US Equity","CF_FREE_CASH_FLOW","1993-06-18","2026-05-02","Per=Y","Days=T","Dir=V")</f>
        <v>0</v>
      </c>
      <c r="AQ2">
        <f>BDH("ATEC US Equity","PX_LAST","1993-06-18","2026-05-02","Per=M","Days=T","Dir=V")</f>
        <v>0</v>
      </c>
      <c r="AS2">
        <f>BDH("ATEC US Equity","CUR_MKT_CAP","1993-06-18","2026-05-02","Per=M","Days=T","Dir=V")</f>
        <v>0</v>
      </c>
      <c r="AU2">
        <f>BDH("ATEC US Equity","EQY_SH_OUT","1993-06-18","2026-05-02","Per=M","Days=T","Dir=V")</f>
        <v>0</v>
      </c>
      <c r="AW2">
        <f>BDH("ATEC US Equity","PX_VOLUME","1993-06-18","2026-05-02","Per=M","Days=T","Dir=V")</f>
        <v>0</v>
      </c>
      <c r="AY2">
        <f>BDH("ATEC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BDH("ATEN US Equity","BS_TOT_ASSET","1993-06-18","2026-05-02","Per=Y","Days=T","Dir=V")</f>
        <v>0</v>
      </c>
      <c r="C2">
        <f>BDH("ATEN US Equity","BS_TOT_LIAB2","1993-06-18","2026-05-02","Per=Y","Days=T","Dir=V")</f>
        <v>0</v>
      </c>
      <c r="E2">
        <f>BDH("ATEN US Equity","SHORT_AND_LONG_TERM_DEBT","1993-06-18","2026-05-02","Per=Y","Days=T","Dir=V")</f>
        <v>0</v>
      </c>
      <c r="G2">
        <f>BDH("ATEN US Equity","BS_ST_BORROW","1993-06-18","2026-05-02","Per=Y","Days=T","Dir=V")</f>
        <v>0</v>
      </c>
      <c r="I2">
        <f>BDH("ATEN US Equity","BS_LT_BORROW","1993-06-18","2026-05-02","Per=Y","Days=T","Dir=V")</f>
        <v>0</v>
      </c>
      <c r="K2">
        <f>BDH("ATEN US Equity","BS_CASH_NEAR_CASH_ITEM","1993-06-18","2026-05-02","Per=Y","Days=T","Dir=V")</f>
        <v>0</v>
      </c>
      <c r="M2">
        <f>BDH("ATEN US Equity","BS_CUR_ASSET_REPORT","1993-06-18","2026-05-02","Per=Y","Days=T","Dir=V")</f>
        <v>0</v>
      </c>
      <c r="O2">
        <f>BDH("ATEN US Equity","BS_CUR_LIAB","1993-06-18","2026-05-02","Per=Y","Days=T","Dir=V")</f>
        <v>0</v>
      </c>
      <c r="Q2">
        <f>BDH("ATEN US Equity","BS_SHAREHOLDER_EQY_ENDING_PERIOD","1993-06-18","2026-05-02","Per=Y","Days=T","Dir=V")</f>
        <v>0</v>
      </c>
      <c r="S2">
        <f>BDH("ATEN US Equity","BS_ACCT_NOTE_RCV","1993-06-18","2026-05-02","Per=Y","Days=T","Dir=V")</f>
        <v>0</v>
      </c>
      <c r="U2">
        <f>BDH("ATEN US Equity","BS_INVENTORIES","1993-06-18","2026-05-02","Per=Y","Days=T","Dir=V")</f>
        <v>0</v>
      </c>
      <c r="W2">
        <f>BDH("ATEN US Equity","WORKING_CAPITAL","1993-06-18","2026-05-02","Per=Y","Days=T","Dir=V")</f>
        <v>0</v>
      </c>
      <c r="Y2">
        <f>BDH("ATEN US Equity","SALES_REV_TURN","1993-06-18","2026-05-02","Per=Y","Days=T","Dir=V")</f>
        <v>0</v>
      </c>
      <c r="AA2">
        <f>BDH("ATEN US Equity","EBIT","1993-06-18","2026-05-02","Per=Y","Days=T","Dir=V")</f>
        <v>0</v>
      </c>
      <c r="AC2">
        <f>BDH("ATEN US Equity","EBITDA","1993-06-18","2026-05-02","Per=Y","Days=T","Dir=V")</f>
        <v>0</v>
      </c>
      <c r="AE2">
        <f>BDH("ATEN US Equity","NET_INCOME","1993-06-18","2026-05-02","Per=Y","Days=T","Dir=V")</f>
        <v>0</v>
      </c>
      <c r="AG2">
        <f>BDH("ATEN US Equity","IS_INT_EXPENSE","1993-06-18","2026-05-02","Per=Y","Days=T","Dir=V")</f>
        <v>0</v>
      </c>
      <c r="AI2">
        <f>BDH("ATEN US Equity","IS_DEPR_EXP","1993-06-18","2026-05-02","Per=Y","Days=T","Dir=V")</f>
        <v>0</v>
      </c>
      <c r="AK2">
        <f>BDH("ATEN US Equity","CF_CASH_FROM_OPER","1993-06-18","2026-05-02","Per=Y","Days=T","Dir=V")</f>
        <v>0</v>
      </c>
      <c r="AM2">
        <f>BDH("ATEN US Equity","CAPITAL_EXPEND","1993-06-18","2026-05-02","Per=Y","Days=T","Dir=V")</f>
        <v>0</v>
      </c>
      <c r="AO2">
        <f>BDH("ATEN US Equity","CF_FREE_CASH_FLOW","1993-06-18","2026-05-02","Per=Y","Days=T","Dir=V")</f>
        <v>0</v>
      </c>
      <c r="AQ2">
        <f>BDH("ATEN US Equity","PX_LAST","1993-06-18","2026-05-02","Per=M","Days=T","Dir=V")</f>
        <v>0</v>
      </c>
      <c r="AS2">
        <f>BDH("ATEN US Equity","CUR_MKT_CAP","1993-06-18","2026-05-02","Per=M","Days=T","Dir=V")</f>
        <v>0</v>
      </c>
      <c r="AU2">
        <f>BDH("ATEN US Equity","EQY_SH_OUT","1993-06-18","2026-05-02","Per=M","Days=T","Dir=V")</f>
        <v>0</v>
      </c>
      <c r="AW2">
        <f>BDH("ATEN US Equity","PX_VOLUME","1993-06-18","2026-05-02","Per=M","Days=T","Dir=V")</f>
        <v>0</v>
      </c>
      <c r="AY2">
        <f>BDH("ATEN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BDH("ATER US Equity","BS_TOT_ASSET","1993-06-18","2026-05-02","Per=Y","Days=T","Dir=V")</f>
        <v>0</v>
      </c>
      <c r="C2">
        <f>BDH("ATER US Equity","BS_TOT_LIAB2","1993-06-18","2026-05-02","Per=Y","Days=T","Dir=V")</f>
        <v>0</v>
      </c>
      <c r="E2">
        <f>BDH("ATER US Equity","SHORT_AND_LONG_TERM_DEBT","1993-06-18","2026-05-02","Per=Y","Days=T","Dir=V")</f>
        <v>0</v>
      </c>
      <c r="G2">
        <f>BDH("ATER US Equity","BS_ST_BORROW","1993-06-18","2026-05-02","Per=Y","Days=T","Dir=V")</f>
        <v>0</v>
      </c>
      <c r="I2">
        <f>BDH("ATER US Equity","BS_LT_BORROW","1993-06-18","2026-05-02","Per=Y","Days=T","Dir=V")</f>
        <v>0</v>
      </c>
      <c r="K2">
        <f>BDH("ATER US Equity","BS_CASH_NEAR_CASH_ITEM","1993-06-18","2026-05-02","Per=Y","Days=T","Dir=V")</f>
        <v>0</v>
      </c>
      <c r="M2">
        <f>BDH("ATER US Equity","BS_CUR_ASSET_REPORT","1993-06-18","2026-05-02","Per=Y","Days=T","Dir=V")</f>
        <v>0</v>
      </c>
      <c r="O2">
        <f>BDH("ATER US Equity","BS_CUR_LIAB","1993-06-18","2026-05-02","Per=Y","Days=T","Dir=V")</f>
        <v>0</v>
      </c>
      <c r="Q2">
        <f>BDH("ATER US Equity","BS_SHAREHOLDER_EQY_ENDING_PERIOD","1993-06-18","2026-05-02","Per=Y","Days=T","Dir=V")</f>
        <v>0</v>
      </c>
      <c r="S2">
        <f>BDH("ATER US Equity","BS_ACCT_NOTE_RCV","1993-06-18","2026-05-02","Per=Y","Days=T","Dir=V")</f>
        <v>0</v>
      </c>
      <c r="U2">
        <f>BDH("ATER US Equity","BS_INVENTORIES","1993-06-18","2026-05-02","Per=Y","Days=T","Dir=V")</f>
        <v>0</v>
      </c>
      <c r="W2">
        <f>BDH("ATER US Equity","WORKING_CAPITAL","1993-06-18","2026-05-02","Per=Y","Days=T","Dir=V")</f>
        <v>0</v>
      </c>
      <c r="Y2">
        <f>BDH("ATER US Equity","SALES_REV_TURN","1993-06-18","2026-05-02","Per=Y","Days=T","Dir=V")</f>
        <v>0</v>
      </c>
      <c r="AA2">
        <f>BDH("ATER US Equity","EBIT","1993-06-18","2026-05-02","Per=Y","Days=T","Dir=V")</f>
        <v>0</v>
      </c>
      <c r="AC2">
        <f>BDH("ATER US Equity","EBITDA","1993-06-18","2026-05-02","Per=Y","Days=T","Dir=V")</f>
        <v>0</v>
      </c>
      <c r="AE2">
        <f>BDH("ATER US Equity","NET_INCOME","1993-06-18","2026-05-02","Per=Y","Days=T","Dir=V")</f>
        <v>0</v>
      </c>
      <c r="AG2">
        <f>BDH("ATER US Equity","IS_INT_EXPENSE","1993-06-18","2026-05-02","Per=Y","Days=T","Dir=V")</f>
        <v>0</v>
      </c>
      <c r="AI2">
        <f>BDH("ATER US Equity","IS_DEPR_EXP","1993-06-18","2026-05-02","Per=Y","Days=T","Dir=V")</f>
        <v>0</v>
      </c>
      <c r="AK2">
        <f>BDH("ATER US Equity","CF_CASH_FROM_OPER","1993-06-18","2026-05-02","Per=Y","Days=T","Dir=V")</f>
        <v>0</v>
      </c>
      <c r="AM2">
        <f>BDH("ATER US Equity","CAPITAL_EXPEND","1993-06-18","2026-05-02","Per=Y","Days=T","Dir=V")</f>
        <v>0</v>
      </c>
      <c r="AO2">
        <f>BDH("ATER US Equity","CF_FREE_CASH_FLOW","1993-06-18","2026-05-02","Per=Y","Days=T","Dir=V")</f>
        <v>0</v>
      </c>
      <c r="AQ2">
        <f>BDH("ATER US Equity","PX_LAST","1993-06-18","2026-05-02","Per=M","Days=T","Dir=V")</f>
        <v>0</v>
      </c>
      <c r="AS2">
        <f>BDH("ATER US Equity","CUR_MKT_CAP","1993-06-18","2026-05-02","Per=M","Days=T","Dir=V")</f>
        <v>0</v>
      </c>
      <c r="AU2">
        <f>BDH("ATER US Equity","EQY_SH_OUT","1993-06-18","2026-05-02","Per=M","Days=T","Dir=V")</f>
        <v>0</v>
      </c>
      <c r="AW2">
        <f>BDH("ATER US Equity","PX_VOLUME","1993-06-18","2026-05-02","Per=M","Days=T","Dir=V")</f>
        <v>0</v>
      </c>
      <c r="AY2">
        <f>BDH("ATER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BDH("ATEX US Equity","BS_TOT_ASSET","1993-06-18","2026-05-02","Per=Y","Days=T","Dir=V")</f>
        <v>0</v>
      </c>
      <c r="C2">
        <f>BDH("ATEX US Equity","BS_TOT_LIAB2","1993-06-18","2026-05-02","Per=Y","Days=T","Dir=V")</f>
        <v>0</v>
      </c>
      <c r="E2">
        <f>BDH("ATEX US Equity","SHORT_AND_LONG_TERM_DEBT","1993-06-18","2026-05-02","Per=Y","Days=T","Dir=V")</f>
        <v>0</v>
      </c>
      <c r="G2">
        <f>BDH("ATEX US Equity","BS_ST_BORROW","1993-06-18","2026-05-02","Per=Y","Days=T","Dir=V")</f>
        <v>0</v>
      </c>
      <c r="I2">
        <f>BDH("ATEX US Equity","BS_LT_BORROW","1993-06-18","2026-05-02","Per=Y","Days=T","Dir=V")</f>
        <v>0</v>
      </c>
      <c r="K2">
        <f>BDH("ATEX US Equity","BS_CASH_NEAR_CASH_ITEM","1993-06-18","2026-05-02","Per=Y","Days=T","Dir=V")</f>
        <v>0</v>
      </c>
      <c r="M2">
        <f>BDH("ATEX US Equity","BS_CUR_ASSET_REPORT","1993-06-18","2026-05-02","Per=Y","Days=T","Dir=V")</f>
        <v>0</v>
      </c>
      <c r="O2">
        <f>BDH("ATEX US Equity","BS_CUR_LIAB","1993-06-18","2026-05-02","Per=Y","Days=T","Dir=V")</f>
        <v>0</v>
      </c>
      <c r="Q2">
        <f>BDH("ATEX US Equity","BS_SHAREHOLDER_EQY_ENDING_PERIOD","1993-06-18","2026-05-02","Per=Y","Days=T","Dir=V")</f>
        <v>0</v>
      </c>
      <c r="S2">
        <f>BDH("ATEX US Equity","BS_ACCT_NOTE_RCV","1993-06-18","2026-05-02","Per=Y","Days=T","Dir=V")</f>
        <v>0</v>
      </c>
      <c r="U2">
        <f>BDH("ATEX US Equity","BS_INVENTORIES","1993-06-18","2026-05-02","Per=Y","Days=T","Dir=V")</f>
        <v>0</v>
      </c>
      <c r="W2">
        <f>BDH("ATEX US Equity","WORKING_CAPITAL","1993-06-18","2026-05-02","Per=Y","Days=T","Dir=V")</f>
        <v>0</v>
      </c>
      <c r="Y2">
        <f>BDH("ATEX US Equity","SALES_REV_TURN","1993-06-18","2026-05-02","Per=Y","Days=T","Dir=V")</f>
        <v>0</v>
      </c>
      <c r="AA2">
        <f>BDH("ATEX US Equity","EBIT","1993-06-18","2026-05-02","Per=Y","Days=T","Dir=V")</f>
        <v>0</v>
      </c>
      <c r="AC2">
        <f>BDH("ATEX US Equity","EBITDA","1993-06-18","2026-05-02","Per=Y","Days=T","Dir=V")</f>
        <v>0</v>
      </c>
      <c r="AE2">
        <f>BDH("ATEX US Equity","NET_INCOME","1993-06-18","2026-05-02","Per=Y","Days=T","Dir=V")</f>
        <v>0</v>
      </c>
      <c r="AG2">
        <f>BDH("ATEX US Equity","IS_INT_EXPENSE","1993-06-18","2026-05-02","Per=Y","Days=T","Dir=V")</f>
        <v>0</v>
      </c>
      <c r="AI2">
        <f>BDH("ATEX US Equity","IS_DEPR_EXP","1993-06-18","2026-05-02","Per=Y","Days=T","Dir=V")</f>
        <v>0</v>
      </c>
      <c r="AK2">
        <f>BDH("ATEX US Equity","CF_CASH_FROM_OPER","1993-06-18","2026-05-02","Per=Y","Days=T","Dir=V")</f>
        <v>0</v>
      </c>
      <c r="AM2">
        <f>BDH("ATEX US Equity","CAPITAL_EXPEND","1993-06-18","2026-05-02","Per=Y","Days=T","Dir=V")</f>
        <v>0</v>
      </c>
      <c r="AO2">
        <f>BDH("ATEX US Equity","CF_FREE_CASH_FLOW","1993-06-18","2026-05-02","Per=Y","Days=T","Dir=V")</f>
        <v>0</v>
      </c>
      <c r="AQ2">
        <f>BDH("ATEX US Equity","PX_LAST","1993-06-18","2026-05-02","Per=M","Days=T","Dir=V")</f>
        <v>0</v>
      </c>
      <c r="AS2">
        <f>BDH("ATEX US Equity","CUR_MKT_CAP","1993-06-18","2026-05-02","Per=M","Days=T","Dir=V")</f>
        <v>0</v>
      </c>
      <c r="AU2">
        <f>BDH("ATEX US Equity","EQY_SH_OUT","1993-06-18","2026-05-02","Per=M","Days=T","Dir=V")</f>
        <v>0</v>
      </c>
      <c r="AW2">
        <f>BDH("ATEX US Equity","PX_VOLUME","1993-06-18","2026-05-02","Per=M","Days=T","Dir=V")</f>
        <v>0</v>
      </c>
      <c r="AY2">
        <f>BDH("ATEX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BDH("ATHR US Equity","BS_TOT_ASSET","1993-06-18","2026-05-02","Per=Y","Days=T","Dir=V")</f>
        <v>0</v>
      </c>
      <c r="C2">
        <f>BDH("ATHR US Equity","BS_TOT_LIAB2","1993-06-18","2026-05-02","Per=Y","Days=T","Dir=V")</f>
        <v>0</v>
      </c>
      <c r="E2">
        <f>BDH("ATHR US Equity","SHORT_AND_LONG_TERM_DEBT","1993-06-18","2026-05-02","Per=Y","Days=T","Dir=V")</f>
        <v>0</v>
      </c>
      <c r="G2">
        <f>BDH("ATHR US Equity","BS_ST_BORROW","1993-06-18","2026-05-02","Per=Y","Days=T","Dir=V")</f>
        <v>0</v>
      </c>
      <c r="I2">
        <f>BDH("ATHR US Equity","BS_LT_BORROW","1993-06-18","2026-05-02","Per=Y","Days=T","Dir=V")</f>
        <v>0</v>
      </c>
      <c r="K2">
        <f>BDH("ATHR US Equity","BS_CASH_NEAR_CASH_ITEM","1993-06-18","2026-05-02","Per=Y","Days=T","Dir=V")</f>
        <v>0</v>
      </c>
      <c r="M2">
        <f>BDH("ATHR US Equity","BS_CUR_ASSET_REPORT","1993-06-18","2026-05-02","Per=Y","Days=T","Dir=V")</f>
        <v>0</v>
      </c>
      <c r="O2">
        <f>BDH("ATHR US Equity","BS_CUR_LIAB","1993-06-18","2026-05-02","Per=Y","Days=T","Dir=V")</f>
        <v>0</v>
      </c>
      <c r="Q2">
        <f>BDH("ATHR US Equity","BS_SHAREHOLDER_EQY_ENDING_PERIOD","1993-06-18","2026-05-02","Per=Y","Days=T","Dir=V")</f>
        <v>0</v>
      </c>
      <c r="S2">
        <f>BDH("ATHR US Equity","BS_ACCT_NOTE_RCV","1993-06-18","2026-05-02","Per=Y","Days=T","Dir=V")</f>
        <v>0</v>
      </c>
      <c r="U2">
        <f>BDH("ATHR US Equity","BS_INVENTORIES","1993-06-18","2026-05-02","Per=Y","Days=T","Dir=V")</f>
        <v>0</v>
      </c>
      <c r="W2">
        <f>BDH("ATHR US Equity","WORKING_CAPITAL","1993-06-18","2026-05-02","Per=Y","Days=T","Dir=V")</f>
        <v>0</v>
      </c>
      <c r="Y2">
        <f>BDH("ATHR US Equity","SALES_REV_TURN","1993-06-18","2026-05-02","Per=Y","Days=T","Dir=V")</f>
        <v>0</v>
      </c>
      <c r="AA2">
        <f>BDH("ATHR US Equity","EBIT","1993-06-18","2026-05-02","Per=Y","Days=T","Dir=V")</f>
        <v>0</v>
      </c>
      <c r="AC2">
        <f>BDH("ATHR US Equity","EBITDA","1993-06-18","2026-05-02","Per=Y","Days=T","Dir=V")</f>
        <v>0</v>
      </c>
      <c r="AE2">
        <f>BDH("ATHR US Equity","NET_INCOME","1993-06-18","2026-05-02","Per=Y","Days=T","Dir=V")</f>
        <v>0</v>
      </c>
      <c r="AG2">
        <f>BDH("ATHR US Equity","IS_INT_EXPENSE","1993-06-18","2026-05-02","Per=Y","Days=T","Dir=V")</f>
        <v>0</v>
      </c>
      <c r="AI2">
        <f>BDH("ATHR US Equity","IS_DEPR_EXP","1993-06-18","2026-05-02","Per=Y","Days=T","Dir=V")</f>
        <v>0</v>
      </c>
      <c r="AK2">
        <f>BDH("ATHR US Equity","CF_CASH_FROM_OPER","1993-06-18","2026-05-02","Per=Y","Days=T","Dir=V")</f>
        <v>0</v>
      </c>
      <c r="AM2">
        <f>BDH("ATHR US Equity","CAPITAL_EXPEND","1993-06-18","2026-05-02","Per=Y","Days=T","Dir=V")</f>
        <v>0</v>
      </c>
      <c r="AO2">
        <f>BDH("ATHR US Equity","CF_FREE_CASH_FLOW","1993-06-18","2026-05-02","Per=Y","Days=T","Dir=V")</f>
        <v>0</v>
      </c>
      <c r="AQ2">
        <f>BDH("ATHR US Equity","PX_LAST","1993-06-18","2026-05-02","Per=M","Days=T","Dir=V")</f>
        <v>0</v>
      </c>
      <c r="AS2">
        <f>BDH("ATHR US Equity","CUR_MKT_CAP","1993-06-18","2026-05-02","Per=M","Days=T","Dir=V")</f>
        <v>0</v>
      </c>
      <c r="AU2">
        <f>BDH("ATHR US Equity","EQY_SH_OUT","1993-06-18","2026-05-02","Per=M","Days=T","Dir=V")</f>
        <v>0</v>
      </c>
      <c r="AW2">
        <f>BDH("ATHR US Equity","PX_VOLUME","1993-06-18","2026-05-02","Per=M","Days=T","Dir=V")</f>
        <v>0</v>
      </c>
      <c r="AY2">
        <f>BDH("ATHR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BDH("ATI US Equity","BS_TOT_ASSET","1993-06-18","2026-05-02","Per=Y","Days=T","Dir=V")</f>
        <v>0</v>
      </c>
      <c r="C2">
        <f>BDH("ATI US Equity","BS_TOT_LIAB2","1993-06-18","2026-05-02","Per=Y","Days=T","Dir=V")</f>
        <v>0</v>
      </c>
      <c r="E2">
        <f>BDH("ATI US Equity","SHORT_AND_LONG_TERM_DEBT","1993-06-18","2026-05-02","Per=Y","Days=T","Dir=V")</f>
        <v>0</v>
      </c>
      <c r="G2">
        <f>BDH("ATI US Equity","BS_ST_BORROW","1993-06-18","2026-05-02","Per=Y","Days=T","Dir=V")</f>
        <v>0</v>
      </c>
      <c r="I2">
        <f>BDH("ATI US Equity","BS_LT_BORROW","1993-06-18","2026-05-02","Per=Y","Days=T","Dir=V")</f>
        <v>0</v>
      </c>
      <c r="K2">
        <f>BDH("ATI US Equity","BS_CASH_NEAR_CASH_ITEM","1993-06-18","2026-05-02","Per=Y","Days=T","Dir=V")</f>
        <v>0</v>
      </c>
      <c r="M2">
        <f>BDH("ATI US Equity","BS_CUR_ASSET_REPORT","1993-06-18","2026-05-02","Per=Y","Days=T","Dir=V")</f>
        <v>0</v>
      </c>
      <c r="O2">
        <f>BDH("ATI US Equity","BS_CUR_LIAB","1993-06-18","2026-05-02","Per=Y","Days=T","Dir=V")</f>
        <v>0</v>
      </c>
      <c r="Q2">
        <f>BDH("ATI US Equity","BS_SHAREHOLDER_EQY_ENDING_PERIOD","1993-06-18","2026-05-02","Per=Y","Days=T","Dir=V")</f>
        <v>0</v>
      </c>
      <c r="S2">
        <f>BDH("ATI US Equity","BS_ACCT_NOTE_RCV","1993-06-18","2026-05-02","Per=Y","Days=T","Dir=V")</f>
        <v>0</v>
      </c>
      <c r="U2">
        <f>BDH("ATI US Equity","BS_INVENTORIES","1993-06-18","2026-05-02","Per=Y","Days=T","Dir=V")</f>
        <v>0</v>
      </c>
      <c r="W2">
        <f>BDH("ATI US Equity","WORKING_CAPITAL","1993-06-18","2026-05-02","Per=Y","Days=T","Dir=V")</f>
        <v>0</v>
      </c>
      <c r="Y2">
        <f>BDH("ATI US Equity","SALES_REV_TURN","1993-06-18","2026-05-02","Per=Y","Days=T","Dir=V")</f>
        <v>0</v>
      </c>
      <c r="AA2">
        <f>BDH("ATI US Equity","EBIT","1993-06-18","2026-05-02","Per=Y","Days=T","Dir=V")</f>
        <v>0</v>
      </c>
      <c r="AC2">
        <f>BDH("ATI US Equity","EBITDA","1993-06-18","2026-05-02","Per=Y","Days=T","Dir=V")</f>
        <v>0</v>
      </c>
      <c r="AE2">
        <f>BDH("ATI US Equity","NET_INCOME","1993-06-18","2026-05-02","Per=Y","Days=T","Dir=V")</f>
        <v>0</v>
      </c>
      <c r="AG2">
        <f>BDH("ATI US Equity","IS_INT_EXPENSE","1993-06-18","2026-05-02","Per=Y","Days=T","Dir=V")</f>
        <v>0</v>
      </c>
      <c r="AI2">
        <f>BDH("ATI US Equity","IS_DEPR_EXP","1993-06-18","2026-05-02","Per=Y","Days=T","Dir=V")</f>
        <v>0</v>
      </c>
      <c r="AK2">
        <f>BDH("ATI US Equity","CF_CASH_FROM_OPER","1993-06-18","2026-05-02","Per=Y","Days=T","Dir=V")</f>
        <v>0</v>
      </c>
      <c r="AM2">
        <f>BDH("ATI US Equity","CAPITAL_EXPEND","1993-06-18","2026-05-02","Per=Y","Days=T","Dir=V")</f>
        <v>0</v>
      </c>
      <c r="AO2">
        <f>BDH("ATI US Equity","CF_FREE_CASH_FLOW","1993-06-18","2026-05-02","Per=Y","Days=T","Dir=V")</f>
        <v>0</v>
      </c>
      <c r="AQ2">
        <f>BDH("ATI US Equity","PX_LAST","1993-06-18","2026-05-02","Per=M","Days=T","Dir=V")</f>
        <v>0</v>
      </c>
      <c r="AS2">
        <f>BDH("ATI US Equity","CUR_MKT_CAP","1993-06-18","2026-05-02","Per=M","Days=T","Dir=V")</f>
        <v>0</v>
      </c>
      <c r="AU2">
        <f>BDH("ATI US Equity","EQY_SH_OUT","1993-06-18","2026-05-02","Per=M","Days=T","Dir=V")</f>
        <v>0</v>
      </c>
      <c r="AW2">
        <f>BDH("ATI US Equity","PX_VOLUME","1993-06-18","2026-05-02","Per=M","Days=T","Dir=V")</f>
        <v>0</v>
      </c>
      <c r="AY2">
        <f>BDH("ATI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BDH("ATLX US Equity","BS_TOT_ASSET","1993-06-18","2026-05-02","Per=Y","Days=T","Dir=V")</f>
        <v>0</v>
      </c>
      <c r="C2">
        <f>BDH("ATLX US Equity","BS_TOT_LIAB2","1993-06-18","2026-05-02","Per=Y","Days=T","Dir=V")</f>
        <v>0</v>
      </c>
      <c r="E2">
        <f>BDH("ATLX US Equity","SHORT_AND_LONG_TERM_DEBT","1993-06-18","2026-05-02","Per=Y","Days=T","Dir=V")</f>
        <v>0</v>
      </c>
      <c r="G2">
        <f>BDH("ATLX US Equity","BS_ST_BORROW","1993-06-18","2026-05-02","Per=Y","Days=T","Dir=V")</f>
        <v>0</v>
      </c>
      <c r="I2">
        <f>BDH("ATLX US Equity","BS_LT_BORROW","1993-06-18","2026-05-02","Per=Y","Days=T","Dir=V")</f>
        <v>0</v>
      </c>
      <c r="K2">
        <f>BDH("ATLX US Equity","BS_CASH_NEAR_CASH_ITEM","1993-06-18","2026-05-02","Per=Y","Days=T","Dir=V")</f>
        <v>0</v>
      </c>
      <c r="M2">
        <f>BDH("ATLX US Equity","BS_CUR_ASSET_REPORT","1993-06-18","2026-05-02","Per=Y","Days=T","Dir=V")</f>
        <v>0</v>
      </c>
      <c r="O2">
        <f>BDH("ATLX US Equity","BS_CUR_LIAB","1993-06-18","2026-05-02","Per=Y","Days=T","Dir=V")</f>
        <v>0</v>
      </c>
      <c r="Q2">
        <f>BDH("ATLX US Equity","BS_SHAREHOLDER_EQY_ENDING_PERIOD","1993-06-18","2026-05-02","Per=Y","Days=T","Dir=V")</f>
        <v>0</v>
      </c>
      <c r="S2">
        <f>BDH("ATLX US Equity","BS_ACCT_NOTE_RCV","1993-06-18","2026-05-02","Per=Y","Days=T","Dir=V")</f>
        <v>0</v>
      </c>
      <c r="U2">
        <f>BDH("ATLX US Equity","BS_INVENTORIES","1993-06-18","2026-05-02","Per=Y","Days=T","Dir=V")</f>
        <v>0</v>
      </c>
      <c r="W2">
        <f>BDH("ATLX US Equity","WORKING_CAPITAL","1993-06-18","2026-05-02","Per=Y","Days=T","Dir=V")</f>
        <v>0</v>
      </c>
      <c r="Y2">
        <f>BDH("ATLX US Equity","SALES_REV_TURN","1993-06-18","2026-05-02","Per=Y","Days=T","Dir=V")</f>
        <v>0</v>
      </c>
      <c r="AA2">
        <f>BDH("ATLX US Equity","EBIT","1993-06-18","2026-05-02","Per=Y","Days=T","Dir=V")</f>
        <v>0</v>
      </c>
      <c r="AC2">
        <f>BDH("ATLX US Equity","EBITDA","1993-06-18","2026-05-02","Per=Y","Days=T","Dir=V")</f>
        <v>0</v>
      </c>
      <c r="AE2">
        <f>BDH("ATLX US Equity","NET_INCOME","1993-06-18","2026-05-02","Per=Y","Days=T","Dir=V")</f>
        <v>0</v>
      </c>
      <c r="AG2">
        <f>BDH("ATLX US Equity","IS_INT_EXPENSE","1993-06-18","2026-05-02","Per=Y","Days=T","Dir=V")</f>
        <v>0</v>
      </c>
      <c r="AI2">
        <f>BDH("ATLX US Equity","IS_DEPR_EXP","1993-06-18","2026-05-02","Per=Y","Days=T","Dir=V")</f>
        <v>0</v>
      </c>
      <c r="AK2">
        <f>BDH("ATLX US Equity","CF_CASH_FROM_OPER","1993-06-18","2026-05-02","Per=Y","Days=T","Dir=V")</f>
        <v>0</v>
      </c>
      <c r="AM2">
        <f>BDH("ATLX US Equity","CAPITAL_EXPEND","1993-06-18","2026-05-02","Per=Y","Days=T","Dir=V")</f>
        <v>0</v>
      </c>
      <c r="AO2">
        <f>BDH("ATLX US Equity","CF_FREE_CASH_FLOW","1993-06-18","2026-05-02","Per=Y","Days=T","Dir=V")</f>
        <v>0</v>
      </c>
      <c r="AQ2">
        <f>BDH("ATLX US Equity","PX_LAST","1993-06-18","2026-05-02","Per=M","Days=T","Dir=V")</f>
        <v>0</v>
      </c>
      <c r="AS2">
        <f>BDH("ATLX US Equity","CUR_MKT_CAP","1993-06-18","2026-05-02","Per=M","Days=T","Dir=V")</f>
        <v>0</v>
      </c>
      <c r="AU2">
        <f>BDH("ATLX US Equity","EQY_SH_OUT","1993-06-18","2026-05-02","Per=M","Days=T","Dir=V")</f>
        <v>0</v>
      </c>
      <c r="AW2">
        <f>BDH("ATLX US Equity","PX_VOLUME","1993-06-18","2026-05-02","Per=M","Days=T","Dir=V")</f>
        <v>0</v>
      </c>
      <c r="AY2">
        <f>BDH("ATLX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BDH("ATMU US Equity","BS_TOT_ASSET","1993-06-18","2026-05-02","Per=Y","Days=T","Dir=V")</f>
        <v>0</v>
      </c>
      <c r="C2">
        <f>BDH("ATMU US Equity","BS_TOT_LIAB2","1993-06-18","2026-05-02","Per=Y","Days=T","Dir=V")</f>
        <v>0</v>
      </c>
      <c r="E2">
        <f>BDH("ATMU US Equity","SHORT_AND_LONG_TERM_DEBT","1993-06-18","2026-05-02","Per=Y","Days=T","Dir=V")</f>
        <v>0</v>
      </c>
      <c r="G2">
        <f>BDH("ATMU US Equity","BS_ST_BORROW","1993-06-18","2026-05-02","Per=Y","Days=T","Dir=V")</f>
        <v>0</v>
      </c>
      <c r="I2">
        <f>BDH("ATMU US Equity","BS_LT_BORROW","1993-06-18","2026-05-02","Per=Y","Days=T","Dir=V")</f>
        <v>0</v>
      </c>
      <c r="K2">
        <f>BDH("ATMU US Equity","BS_CASH_NEAR_CASH_ITEM","1993-06-18","2026-05-02","Per=Y","Days=T","Dir=V")</f>
        <v>0</v>
      </c>
      <c r="M2">
        <f>BDH("ATMU US Equity","BS_CUR_ASSET_REPORT","1993-06-18","2026-05-02","Per=Y","Days=T","Dir=V")</f>
        <v>0</v>
      </c>
      <c r="O2">
        <f>BDH("ATMU US Equity","BS_CUR_LIAB","1993-06-18","2026-05-02","Per=Y","Days=T","Dir=V")</f>
        <v>0</v>
      </c>
      <c r="Q2">
        <f>BDH("ATMU US Equity","BS_SHAREHOLDER_EQY_ENDING_PERIOD","1993-06-18","2026-05-02","Per=Y","Days=T","Dir=V")</f>
        <v>0</v>
      </c>
      <c r="S2">
        <f>BDH("ATMU US Equity","BS_ACCT_NOTE_RCV","1993-06-18","2026-05-02","Per=Y","Days=T","Dir=V")</f>
        <v>0</v>
      </c>
      <c r="U2">
        <f>BDH("ATMU US Equity","BS_INVENTORIES","1993-06-18","2026-05-02","Per=Y","Days=T","Dir=V")</f>
        <v>0</v>
      </c>
      <c r="W2">
        <f>BDH("ATMU US Equity","WORKING_CAPITAL","1993-06-18","2026-05-02","Per=Y","Days=T","Dir=V")</f>
        <v>0</v>
      </c>
      <c r="Y2">
        <f>BDH("ATMU US Equity","SALES_REV_TURN","1993-06-18","2026-05-02","Per=Y","Days=T","Dir=V")</f>
        <v>0</v>
      </c>
      <c r="AA2">
        <f>BDH("ATMU US Equity","EBIT","1993-06-18","2026-05-02","Per=Y","Days=T","Dir=V")</f>
        <v>0</v>
      </c>
      <c r="AC2">
        <f>BDH("ATMU US Equity","EBITDA","1993-06-18","2026-05-02","Per=Y","Days=T","Dir=V")</f>
        <v>0</v>
      </c>
      <c r="AE2">
        <f>BDH("ATMU US Equity","NET_INCOME","1993-06-18","2026-05-02","Per=Y","Days=T","Dir=V")</f>
        <v>0</v>
      </c>
      <c r="AG2">
        <f>BDH("ATMU US Equity","IS_INT_EXPENSE","1993-06-18","2026-05-02","Per=Y","Days=T","Dir=V")</f>
        <v>0</v>
      </c>
      <c r="AI2">
        <f>BDH("ATMU US Equity","IS_DEPR_EXP","1993-06-18","2026-05-02","Per=Y","Days=T","Dir=V")</f>
        <v>0</v>
      </c>
      <c r="AK2">
        <f>BDH("ATMU US Equity","CF_CASH_FROM_OPER","1993-06-18","2026-05-02","Per=Y","Days=T","Dir=V")</f>
        <v>0</v>
      </c>
      <c r="AM2">
        <f>BDH("ATMU US Equity","CAPITAL_EXPEND","1993-06-18","2026-05-02","Per=Y","Days=T","Dir=V")</f>
        <v>0</v>
      </c>
      <c r="AO2">
        <f>BDH("ATMU US Equity","CF_FREE_CASH_FLOW","1993-06-18","2026-05-02","Per=Y","Days=T","Dir=V")</f>
        <v>0</v>
      </c>
      <c r="AQ2">
        <f>BDH("ATMU US Equity","PX_LAST","1993-06-18","2026-05-02","Per=M","Days=T","Dir=V")</f>
        <v>0</v>
      </c>
      <c r="AS2">
        <f>BDH("ATMU US Equity","CUR_MKT_CAP","1993-06-18","2026-05-02","Per=M","Days=T","Dir=V")</f>
        <v>0</v>
      </c>
      <c r="AU2">
        <f>BDH("ATMU US Equity","EQY_SH_OUT","1993-06-18","2026-05-02","Per=M","Days=T","Dir=V")</f>
        <v>0</v>
      </c>
      <c r="AW2">
        <f>BDH("ATMU US Equity","PX_VOLUME","1993-06-18","2026-05-02","Per=M","Days=T","Dir=V")</f>
        <v>0</v>
      </c>
      <c r="AY2">
        <f>BDH("ATMU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BDH("ATNI US Equity","BS_TOT_ASSET","1993-06-18","2026-05-02","Per=Y","Days=T","Dir=V")</f>
        <v>0</v>
      </c>
      <c r="C2">
        <f>BDH("ATNI US Equity","BS_TOT_LIAB2","1993-06-18","2026-05-02","Per=Y","Days=T","Dir=V")</f>
        <v>0</v>
      </c>
      <c r="E2">
        <f>BDH("ATNI US Equity","SHORT_AND_LONG_TERM_DEBT","1993-06-18","2026-05-02","Per=Y","Days=T","Dir=V")</f>
        <v>0</v>
      </c>
      <c r="G2">
        <f>BDH("ATNI US Equity","BS_ST_BORROW","1993-06-18","2026-05-02","Per=Y","Days=T","Dir=V")</f>
        <v>0</v>
      </c>
      <c r="I2">
        <f>BDH("ATNI US Equity","BS_LT_BORROW","1993-06-18","2026-05-02","Per=Y","Days=T","Dir=V")</f>
        <v>0</v>
      </c>
      <c r="K2">
        <f>BDH("ATNI US Equity","BS_CASH_NEAR_CASH_ITEM","1993-06-18","2026-05-02","Per=Y","Days=T","Dir=V")</f>
        <v>0</v>
      </c>
      <c r="M2">
        <f>BDH("ATNI US Equity","BS_CUR_ASSET_REPORT","1993-06-18","2026-05-02","Per=Y","Days=T","Dir=V")</f>
        <v>0</v>
      </c>
      <c r="O2">
        <f>BDH("ATNI US Equity","BS_CUR_LIAB","1993-06-18","2026-05-02","Per=Y","Days=T","Dir=V")</f>
        <v>0</v>
      </c>
      <c r="Q2">
        <f>BDH("ATNI US Equity","BS_SHAREHOLDER_EQY_ENDING_PERIOD","1993-06-18","2026-05-02","Per=Y","Days=T","Dir=V")</f>
        <v>0</v>
      </c>
      <c r="S2">
        <f>BDH("ATNI US Equity","BS_ACCT_NOTE_RCV","1993-06-18","2026-05-02","Per=Y","Days=T","Dir=V")</f>
        <v>0</v>
      </c>
      <c r="U2">
        <f>BDH("ATNI US Equity","BS_INVENTORIES","1993-06-18","2026-05-02","Per=Y","Days=T","Dir=V")</f>
        <v>0</v>
      </c>
      <c r="W2">
        <f>BDH("ATNI US Equity","WORKING_CAPITAL","1993-06-18","2026-05-02","Per=Y","Days=T","Dir=V")</f>
        <v>0</v>
      </c>
      <c r="Y2">
        <f>BDH("ATNI US Equity","SALES_REV_TURN","1993-06-18","2026-05-02","Per=Y","Days=T","Dir=V")</f>
        <v>0</v>
      </c>
      <c r="AA2">
        <f>BDH("ATNI US Equity","EBIT","1993-06-18","2026-05-02","Per=Y","Days=T","Dir=V")</f>
        <v>0</v>
      </c>
      <c r="AC2">
        <f>BDH("ATNI US Equity","EBITDA","1993-06-18","2026-05-02","Per=Y","Days=T","Dir=V")</f>
        <v>0</v>
      </c>
      <c r="AE2">
        <f>BDH("ATNI US Equity","NET_INCOME","1993-06-18","2026-05-02","Per=Y","Days=T","Dir=V")</f>
        <v>0</v>
      </c>
      <c r="AG2">
        <f>BDH("ATNI US Equity","IS_INT_EXPENSE","1993-06-18","2026-05-02","Per=Y","Days=T","Dir=V")</f>
        <v>0</v>
      </c>
      <c r="AI2">
        <f>BDH("ATNI US Equity","IS_DEPR_EXP","1993-06-18","2026-05-02","Per=Y","Days=T","Dir=V")</f>
        <v>0</v>
      </c>
      <c r="AK2">
        <f>BDH("ATNI US Equity","CF_CASH_FROM_OPER","1993-06-18","2026-05-02","Per=Y","Days=T","Dir=V")</f>
        <v>0</v>
      </c>
      <c r="AM2">
        <f>BDH("ATNI US Equity","CAPITAL_EXPEND","1993-06-18","2026-05-02","Per=Y","Days=T","Dir=V")</f>
        <v>0</v>
      </c>
      <c r="AO2">
        <f>BDH("ATNI US Equity","CF_FREE_CASH_FLOW","1993-06-18","2026-05-02","Per=Y","Days=T","Dir=V")</f>
        <v>0</v>
      </c>
      <c r="AQ2">
        <f>BDH("ATNI US Equity","PX_LAST","1993-06-18","2026-05-02","Per=M","Days=T","Dir=V")</f>
        <v>0</v>
      </c>
      <c r="AS2">
        <f>BDH("ATNI US Equity","CUR_MKT_CAP","1993-06-18","2026-05-02","Per=M","Days=T","Dir=V")</f>
        <v>0</v>
      </c>
      <c r="AU2">
        <f>BDH("ATNI US Equity","EQY_SH_OUT","1993-06-18","2026-05-02","Per=M","Days=T","Dir=V")</f>
        <v>0</v>
      </c>
      <c r="AW2">
        <f>BDH("ATNI US Equity","PX_VOLUME","1993-06-18","2026-05-02","Per=M","Days=T","Dir=V")</f>
        <v>0</v>
      </c>
      <c r="AY2">
        <f>BDH("ATNI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BDH("ATNM US Equity","BS_TOT_ASSET","1993-06-18","2026-05-02","Per=Y","Days=T","Dir=V")</f>
        <v>0</v>
      </c>
      <c r="C2">
        <f>BDH("ATNM US Equity","BS_TOT_LIAB2","1993-06-18","2026-05-02","Per=Y","Days=T","Dir=V")</f>
        <v>0</v>
      </c>
      <c r="E2">
        <f>BDH("ATNM US Equity","SHORT_AND_LONG_TERM_DEBT","1993-06-18","2026-05-02","Per=Y","Days=T","Dir=V")</f>
        <v>0</v>
      </c>
      <c r="G2">
        <f>BDH("ATNM US Equity","BS_ST_BORROW","1993-06-18","2026-05-02","Per=Y","Days=T","Dir=V")</f>
        <v>0</v>
      </c>
      <c r="I2">
        <f>BDH("ATNM US Equity","BS_LT_BORROW","1993-06-18","2026-05-02","Per=Y","Days=T","Dir=V")</f>
        <v>0</v>
      </c>
      <c r="K2">
        <f>BDH("ATNM US Equity","BS_CASH_NEAR_CASH_ITEM","1993-06-18","2026-05-02","Per=Y","Days=T","Dir=V")</f>
        <v>0</v>
      </c>
      <c r="M2">
        <f>BDH("ATNM US Equity","BS_CUR_ASSET_REPORT","1993-06-18","2026-05-02","Per=Y","Days=T","Dir=V")</f>
        <v>0</v>
      </c>
      <c r="O2">
        <f>BDH("ATNM US Equity","BS_CUR_LIAB","1993-06-18","2026-05-02","Per=Y","Days=T","Dir=V")</f>
        <v>0</v>
      </c>
      <c r="Q2">
        <f>BDH("ATNM US Equity","BS_SHAREHOLDER_EQY_ENDING_PERIOD","1993-06-18","2026-05-02","Per=Y","Days=T","Dir=V")</f>
        <v>0</v>
      </c>
      <c r="S2">
        <f>BDH("ATNM US Equity","BS_ACCT_NOTE_RCV","1993-06-18","2026-05-02","Per=Y","Days=T","Dir=V")</f>
        <v>0</v>
      </c>
      <c r="U2">
        <f>BDH("ATNM US Equity","BS_INVENTORIES","1993-06-18","2026-05-02","Per=Y","Days=T","Dir=V")</f>
        <v>0</v>
      </c>
      <c r="W2">
        <f>BDH("ATNM US Equity","WORKING_CAPITAL","1993-06-18","2026-05-02","Per=Y","Days=T","Dir=V")</f>
        <v>0</v>
      </c>
      <c r="Y2">
        <f>BDH("ATNM US Equity","SALES_REV_TURN","1993-06-18","2026-05-02","Per=Y","Days=T","Dir=V")</f>
        <v>0</v>
      </c>
      <c r="AA2">
        <f>BDH("ATNM US Equity","EBIT","1993-06-18","2026-05-02","Per=Y","Days=T","Dir=V")</f>
        <v>0</v>
      </c>
      <c r="AC2">
        <f>BDH("ATNM US Equity","EBITDA","1993-06-18","2026-05-02","Per=Y","Days=T","Dir=V")</f>
        <v>0</v>
      </c>
      <c r="AE2">
        <f>BDH("ATNM US Equity","NET_INCOME","1993-06-18","2026-05-02","Per=Y","Days=T","Dir=V")</f>
        <v>0</v>
      </c>
      <c r="AG2">
        <f>BDH("ATNM US Equity","IS_INT_EXPENSE","1993-06-18","2026-05-02","Per=Y","Days=T","Dir=V")</f>
        <v>0</v>
      </c>
      <c r="AI2">
        <f>BDH("ATNM US Equity","IS_DEPR_EXP","1993-06-18","2026-05-02","Per=Y","Days=T","Dir=V")</f>
        <v>0</v>
      </c>
      <c r="AK2">
        <f>BDH("ATNM US Equity","CF_CASH_FROM_OPER","1993-06-18","2026-05-02","Per=Y","Days=T","Dir=V")</f>
        <v>0</v>
      </c>
      <c r="AM2">
        <f>BDH("ATNM US Equity","CAPITAL_EXPEND","1993-06-18","2026-05-02","Per=Y","Days=T","Dir=V")</f>
        <v>0</v>
      </c>
      <c r="AO2">
        <f>BDH("ATNM US Equity","CF_FREE_CASH_FLOW","1993-06-18","2026-05-02","Per=Y","Days=T","Dir=V")</f>
        <v>0</v>
      </c>
      <c r="AQ2">
        <f>BDH("ATNM US Equity","PX_LAST","1993-06-18","2026-05-02","Per=M","Days=T","Dir=V")</f>
        <v>0</v>
      </c>
      <c r="AS2">
        <f>BDH("ATNM US Equity","CUR_MKT_CAP","1993-06-18","2026-05-02","Per=M","Days=T","Dir=V")</f>
        <v>0</v>
      </c>
      <c r="AU2">
        <f>BDH("ATNM US Equity","EQY_SH_OUT","1993-06-18","2026-05-02","Per=M","Days=T","Dir=V")</f>
        <v>0</v>
      </c>
      <c r="AW2">
        <f>BDH("ATNM US Equity","PX_VOLUME","1993-06-18","2026-05-02","Per=M","Days=T","Dir=V")</f>
        <v>0</v>
      </c>
      <c r="AY2">
        <f>BDH("ATNM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BDH("ATO US Equity","BS_TOT_ASSET","1993-06-18","2026-05-02","Per=Y","Days=T","Dir=V")</f>
        <v>0</v>
      </c>
      <c r="C2">
        <f>BDH("ATO US Equity","BS_TOT_LIAB2","1993-06-18","2026-05-02","Per=Y","Days=T","Dir=V")</f>
        <v>0</v>
      </c>
      <c r="E2">
        <f>BDH("ATO US Equity","SHORT_AND_LONG_TERM_DEBT","1993-06-18","2026-05-02","Per=Y","Days=T","Dir=V")</f>
        <v>0</v>
      </c>
      <c r="G2">
        <f>BDH("ATO US Equity","BS_ST_BORROW","1993-06-18","2026-05-02","Per=Y","Days=T","Dir=V")</f>
        <v>0</v>
      </c>
      <c r="I2">
        <f>BDH("ATO US Equity","BS_LT_BORROW","1993-06-18","2026-05-02","Per=Y","Days=T","Dir=V")</f>
        <v>0</v>
      </c>
      <c r="K2">
        <f>BDH("ATO US Equity","BS_CASH_NEAR_CASH_ITEM","1993-06-18","2026-05-02","Per=Y","Days=T","Dir=V")</f>
        <v>0</v>
      </c>
      <c r="M2">
        <f>BDH("ATO US Equity","BS_CUR_ASSET_REPORT","1993-06-18","2026-05-02","Per=Y","Days=T","Dir=V")</f>
        <v>0</v>
      </c>
      <c r="O2">
        <f>BDH("ATO US Equity","BS_CUR_LIAB","1993-06-18","2026-05-02","Per=Y","Days=T","Dir=V")</f>
        <v>0</v>
      </c>
      <c r="Q2">
        <f>BDH("ATO US Equity","BS_SHAREHOLDER_EQY_ENDING_PERIOD","1993-06-18","2026-05-02","Per=Y","Days=T","Dir=V")</f>
        <v>0</v>
      </c>
      <c r="S2">
        <f>BDH("ATO US Equity","BS_ACCT_NOTE_RCV","1993-06-18","2026-05-02","Per=Y","Days=T","Dir=V")</f>
        <v>0</v>
      </c>
      <c r="U2">
        <f>BDH("ATO US Equity","BS_INVENTORIES","1993-06-18","2026-05-02","Per=Y","Days=T","Dir=V")</f>
        <v>0</v>
      </c>
      <c r="W2">
        <f>BDH("ATO US Equity","WORKING_CAPITAL","1993-06-18","2026-05-02","Per=Y","Days=T","Dir=V")</f>
        <v>0</v>
      </c>
      <c r="Y2">
        <f>BDH("ATO US Equity","SALES_REV_TURN","1993-06-18","2026-05-02","Per=Y","Days=T","Dir=V")</f>
        <v>0</v>
      </c>
      <c r="AA2">
        <f>BDH("ATO US Equity","EBIT","1993-06-18","2026-05-02","Per=Y","Days=T","Dir=V")</f>
        <v>0</v>
      </c>
      <c r="AC2">
        <f>BDH("ATO US Equity","EBITDA","1993-06-18","2026-05-02","Per=Y","Days=T","Dir=V")</f>
        <v>0</v>
      </c>
      <c r="AE2">
        <f>BDH("ATO US Equity","NET_INCOME","1993-06-18","2026-05-02","Per=Y","Days=T","Dir=V")</f>
        <v>0</v>
      </c>
      <c r="AG2">
        <f>BDH("ATO US Equity","IS_INT_EXPENSE","1993-06-18","2026-05-02","Per=Y","Days=T","Dir=V")</f>
        <v>0</v>
      </c>
      <c r="AI2">
        <f>BDH("ATO US Equity","IS_DEPR_EXP","1993-06-18","2026-05-02","Per=Y","Days=T","Dir=V")</f>
        <v>0</v>
      </c>
      <c r="AK2">
        <f>BDH("ATO US Equity","CF_CASH_FROM_OPER","1993-06-18","2026-05-02","Per=Y","Days=T","Dir=V")</f>
        <v>0</v>
      </c>
      <c r="AM2">
        <f>BDH("ATO US Equity","CAPITAL_EXPEND","1993-06-18","2026-05-02","Per=Y","Days=T","Dir=V")</f>
        <v>0</v>
      </c>
      <c r="AO2">
        <f>BDH("ATO US Equity","CF_FREE_CASH_FLOW","1993-06-18","2026-05-02","Per=Y","Days=T","Dir=V")</f>
        <v>0</v>
      </c>
      <c r="AQ2">
        <f>BDH("ATO US Equity","PX_LAST","1993-06-18","2026-05-02","Per=M","Days=T","Dir=V")</f>
        <v>0</v>
      </c>
      <c r="AS2">
        <f>BDH("ATO US Equity","CUR_MKT_CAP","1993-06-18","2026-05-02","Per=M","Days=T","Dir=V")</f>
        <v>0</v>
      </c>
      <c r="AU2">
        <f>BDH("ATO US Equity","EQY_SH_OUT","1993-06-18","2026-05-02","Per=M","Days=T","Dir=V")</f>
        <v>0</v>
      </c>
      <c r="AW2">
        <f>BDH("ATO US Equity","PX_VOLUME","1993-06-18","2026-05-02","Per=M","Days=T","Dir=V")</f>
        <v>0</v>
      </c>
      <c r="AY2">
        <f>BDH("ATO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BDH("ATOM US Equity","BS_TOT_ASSET","1993-06-18","2026-05-02","Per=Y","Days=T","Dir=V")</f>
        <v>0</v>
      </c>
      <c r="C2">
        <f>BDH("ATOM US Equity","BS_TOT_LIAB2","1993-06-18","2026-05-02","Per=Y","Days=T","Dir=V")</f>
        <v>0</v>
      </c>
      <c r="E2">
        <f>BDH("ATOM US Equity","SHORT_AND_LONG_TERM_DEBT","1993-06-18","2026-05-02","Per=Y","Days=T","Dir=V")</f>
        <v>0</v>
      </c>
      <c r="G2">
        <f>BDH("ATOM US Equity","BS_ST_BORROW","1993-06-18","2026-05-02","Per=Y","Days=T","Dir=V")</f>
        <v>0</v>
      </c>
      <c r="I2">
        <f>BDH("ATOM US Equity","BS_LT_BORROW","1993-06-18","2026-05-02","Per=Y","Days=T","Dir=V")</f>
        <v>0</v>
      </c>
      <c r="K2">
        <f>BDH("ATOM US Equity","BS_CASH_NEAR_CASH_ITEM","1993-06-18","2026-05-02","Per=Y","Days=T","Dir=V")</f>
        <v>0</v>
      </c>
      <c r="M2">
        <f>BDH("ATOM US Equity","BS_CUR_ASSET_REPORT","1993-06-18","2026-05-02","Per=Y","Days=T","Dir=V")</f>
        <v>0</v>
      </c>
      <c r="O2">
        <f>BDH("ATOM US Equity","BS_CUR_LIAB","1993-06-18","2026-05-02","Per=Y","Days=T","Dir=V")</f>
        <v>0</v>
      </c>
      <c r="Q2">
        <f>BDH("ATOM US Equity","BS_SHAREHOLDER_EQY_ENDING_PERIOD","1993-06-18","2026-05-02","Per=Y","Days=T","Dir=V")</f>
        <v>0</v>
      </c>
      <c r="S2">
        <f>BDH("ATOM US Equity","BS_ACCT_NOTE_RCV","1993-06-18","2026-05-02","Per=Y","Days=T","Dir=V")</f>
        <v>0</v>
      </c>
      <c r="U2">
        <f>BDH("ATOM US Equity","BS_INVENTORIES","1993-06-18","2026-05-02","Per=Y","Days=T","Dir=V")</f>
        <v>0</v>
      </c>
      <c r="W2">
        <f>BDH("ATOM US Equity","WORKING_CAPITAL","1993-06-18","2026-05-02","Per=Y","Days=T","Dir=V")</f>
        <v>0</v>
      </c>
      <c r="Y2">
        <f>BDH("ATOM US Equity","SALES_REV_TURN","1993-06-18","2026-05-02","Per=Y","Days=T","Dir=V")</f>
        <v>0</v>
      </c>
      <c r="AA2">
        <f>BDH("ATOM US Equity","EBIT","1993-06-18","2026-05-02","Per=Y","Days=T","Dir=V")</f>
        <v>0</v>
      </c>
      <c r="AC2">
        <f>BDH("ATOM US Equity","EBITDA","1993-06-18","2026-05-02","Per=Y","Days=T","Dir=V")</f>
        <v>0</v>
      </c>
      <c r="AE2">
        <f>BDH("ATOM US Equity","NET_INCOME","1993-06-18","2026-05-02","Per=Y","Days=T","Dir=V")</f>
        <v>0</v>
      </c>
      <c r="AG2">
        <f>BDH("ATOM US Equity","IS_INT_EXPENSE","1993-06-18","2026-05-02","Per=Y","Days=T","Dir=V")</f>
        <v>0</v>
      </c>
      <c r="AI2">
        <f>BDH("ATOM US Equity","IS_DEPR_EXP","1993-06-18","2026-05-02","Per=Y","Days=T","Dir=V")</f>
        <v>0</v>
      </c>
      <c r="AK2">
        <f>BDH("ATOM US Equity","CF_CASH_FROM_OPER","1993-06-18","2026-05-02","Per=Y","Days=T","Dir=V")</f>
        <v>0</v>
      </c>
      <c r="AM2">
        <f>BDH("ATOM US Equity","CAPITAL_EXPEND","1993-06-18","2026-05-02","Per=Y","Days=T","Dir=V")</f>
        <v>0</v>
      </c>
      <c r="AO2">
        <f>BDH("ATOM US Equity","CF_FREE_CASH_FLOW","1993-06-18","2026-05-02","Per=Y","Days=T","Dir=V")</f>
        <v>0</v>
      </c>
      <c r="AQ2">
        <f>BDH("ATOM US Equity","PX_LAST","1993-06-18","2026-05-02","Per=M","Days=T","Dir=V")</f>
        <v>0</v>
      </c>
      <c r="AS2">
        <f>BDH("ATOM US Equity","CUR_MKT_CAP","1993-06-18","2026-05-02","Per=M","Days=T","Dir=V")</f>
        <v>0</v>
      </c>
      <c r="AU2">
        <f>BDH("ATOM US Equity","EQY_SH_OUT","1993-06-18","2026-05-02","Per=M","Days=T","Dir=V")</f>
        <v>0</v>
      </c>
      <c r="AW2">
        <f>BDH("ATOM US Equity","PX_VOLUME","1993-06-18","2026-05-02","Per=M","Days=T","Dir=V")</f>
        <v>0</v>
      </c>
      <c r="AY2">
        <f>BDH("ATOM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BDH("ATOS US Equity","BS_TOT_ASSET","1993-06-18","2026-05-02","Per=Y","Days=T","Dir=V")</f>
        <v>0</v>
      </c>
      <c r="C2">
        <f>BDH("ATOS US Equity","BS_TOT_LIAB2","1993-06-18","2026-05-02","Per=Y","Days=T","Dir=V")</f>
        <v>0</v>
      </c>
      <c r="E2">
        <f>BDH("ATOS US Equity","SHORT_AND_LONG_TERM_DEBT","1993-06-18","2026-05-02","Per=Y","Days=T","Dir=V")</f>
        <v>0</v>
      </c>
      <c r="G2">
        <f>BDH("ATOS US Equity","BS_ST_BORROW","1993-06-18","2026-05-02","Per=Y","Days=T","Dir=V")</f>
        <v>0</v>
      </c>
      <c r="I2">
        <f>BDH("ATOS US Equity","BS_LT_BORROW","1993-06-18","2026-05-02","Per=Y","Days=T","Dir=V")</f>
        <v>0</v>
      </c>
      <c r="K2">
        <f>BDH("ATOS US Equity","BS_CASH_NEAR_CASH_ITEM","1993-06-18","2026-05-02","Per=Y","Days=T","Dir=V")</f>
        <v>0</v>
      </c>
      <c r="M2">
        <f>BDH("ATOS US Equity","BS_CUR_ASSET_REPORT","1993-06-18","2026-05-02","Per=Y","Days=T","Dir=V")</f>
        <v>0</v>
      </c>
      <c r="O2">
        <f>BDH("ATOS US Equity","BS_CUR_LIAB","1993-06-18","2026-05-02","Per=Y","Days=T","Dir=V")</f>
        <v>0</v>
      </c>
      <c r="Q2">
        <f>BDH("ATOS US Equity","BS_SHAREHOLDER_EQY_ENDING_PERIOD","1993-06-18","2026-05-02","Per=Y","Days=T","Dir=V")</f>
        <v>0</v>
      </c>
      <c r="S2">
        <f>BDH("ATOS US Equity","BS_ACCT_NOTE_RCV","1993-06-18","2026-05-02","Per=Y","Days=T","Dir=V")</f>
        <v>0</v>
      </c>
      <c r="U2">
        <f>BDH("ATOS US Equity","BS_INVENTORIES","1993-06-18","2026-05-02","Per=Y","Days=T","Dir=V")</f>
        <v>0</v>
      </c>
      <c r="W2">
        <f>BDH("ATOS US Equity","WORKING_CAPITAL","1993-06-18","2026-05-02","Per=Y","Days=T","Dir=V")</f>
        <v>0</v>
      </c>
      <c r="Y2">
        <f>BDH("ATOS US Equity","SALES_REV_TURN","1993-06-18","2026-05-02","Per=Y","Days=T","Dir=V")</f>
        <v>0</v>
      </c>
      <c r="AA2">
        <f>BDH("ATOS US Equity","EBIT","1993-06-18","2026-05-02","Per=Y","Days=T","Dir=V")</f>
        <v>0</v>
      </c>
      <c r="AC2">
        <f>BDH("ATOS US Equity","EBITDA","1993-06-18","2026-05-02","Per=Y","Days=T","Dir=V")</f>
        <v>0</v>
      </c>
      <c r="AE2">
        <f>BDH("ATOS US Equity","NET_INCOME","1993-06-18","2026-05-02","Per=Y","Days=T","Dir=V")</f>
        <v>0</v>
      </c>
      <c r="AG2">
        <f>BDH("ATOS US Equity","IS_INT_EXPENSE","1993-06-18","2026-05-02","Per=Y","Days=T","Dir=V")</f>
        <v>0</v>
      </c>
      <c r="AI2">
        <f>BDH("ATOS US Equity","IS_DEPR_EXP","1993-06-18","2026-05-02","Per=Y","Days=T","Dir=V")</f>
        <v>0</v>
      </c>
      <c r="AK2">
        <f>BDH("ATOS US Equity","CF_CASH_FROM_OPER","1993-06-18","2026-05-02","Per=Y","Days=T","Dir=V")</f>
        <v>0</v>
      </c>
      <c r="AM2">
        <f>BDH("ATOS US Equity","CAPITAL_EXPEND","1993-06-18","2026-05-02","Per=Y","Days=T","Dir=V")</f>
        <v>0</v>
      </c>
      <c r="AO2">
        <f>BDH("ATOS US Equity","CF_FREE_CASH_FLOW","1993-06-18","2026-05-02","Per=Y","Days=T","Dir=V")</f>
        <v>0</v>
      </c>
      <c r="AQ2">
        <f>BDH("ATOS US Equity","PX_LAST","1993-06-18","2026-05-02","Per=M","Days=T","Dir=V")</f>
        <v>0</v>
      </c>
      <c r="AS2">
        <f>BDH("ATOS US Equity","CUR_MKT_CAP","1993-06-18","2026-05-02","Per=M","Days=T","Dir=V")</f>
        <v>0</v>
      </c>
      <c r="AU2">
        <f>BDH("ATOS US Equity","EQY_SH_OUT","1993-06-18","2026-05-02","Per=M","Days=T","Dir=V")</f>
        <v>0</v>
      </c>
      <c r="AW2">
        <f>BDH("ATOS US Equity","PX_VOLUME","1993-06-18","2026-05-02","Per=M","Days=T","Dir=V")</f>
        <v>0</v>
      </c>
      <c r="AY2">
        <f>BDH("ATOS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BDH("ATR US Equity","BS_TOT_ASSET","1993-06-18","2026-05-02","Per=Y","Days=T","Dir=V")</f>
        <v>0</v>
      </c>
      <c r="C2">
        <f>BDH("ATR US Equity","BS_TOT_LIAB2","1993-06-18","2026-05-02","Per=Y","Days=T","Dir=V")</f>
        <v>0</v>
      </c>
      <c r="E2">
        <f>BDH("ATR US Equity","SHORT_AND_LONG_TERM_DEBT","1993-06-18","2026-05-02","Per=Y","Days=T","Dir=V")</f>
        <v>0</v>
      </c>
      <c r="G2">
        <f>BDH("ATR US Equity","BS_ST_BORROW","1993-06-18","2026-05-02","Per=Y","Days=T","Dir=V")</f>
        <v>0</v>
      </c>
      <c r="I2">
        <f>BDH("ATR US Equity","BS_LT_BORROW","1993-06-18","2026-05-02","Per=Y","Days=T","Dir=V")</f>
        <v>0</v>
      </c>
      <c r="K2">
        <f>BDH("ATR US Equity","BS_CASH_NEAR_CASH_ITEM","1993-06-18","2026-05-02","Per=Y","Days=T","Dir=V")</f>
        <v>0</v>
      </c>
      <c r="M2">
        <f>BDH("ATR US Equity","BS_CUR_ASSET_REPORT","1993-06-18","2026-05-02","Per=Y","Days=T","Dir=V")</f>
        <v>0</v>
      </c>
      <c r="O2">
        <f>BDH("ATR US Equity","BS_CUR_LIAB","1993-06-18","2026-05-02","Per=Y","Days=T","Dir=V")</f>
        <v>0</v>
      </c>
      <c r="Q2">
        <f>BDH("ATR US Equity","BS_SHAREHOLDER_EQY_ENDING_PERIOD","1993-06-18","2026-05-02","Per=Y","Days=T","Dir=V")</f>
        <v>0</v>
      </c>
      <c r="S2">
        <f>BDH("ATR US Equity","BS_ACCT_NOTE_RCV","1993-06-18","2026-05-02","Per=Y","Days=T","Dir=V")</f>
        <v>0</v>
      </c>
      <c r="U2">
        <f>BDH("ATR US Equity","BS_INVENTORIES","1993-06-18","2026-05-02","Per=Y","Days=T","Dir=V")</f>
        <v>0</v>
      </c>
      <c r="W2">
        <f>BDH("ATR US Equity","WORKING_CAPITAL","1993-06-18","2026-05-02","Per=Y","Days=T","Dir=V")</f>
        <v>0</v>
      </c>
      <c r="Y2">
        <f>BDH("ATR US Equity","SALES_REV_TURN","1993-06-18","2026-05-02","Per=Y","Days=T","Dir=V")</f>
        <v>0</v>
      </c>
      <c r="AA2">
        <f>BDH("ATR US Equity","EBIT","1993-06-18","2026-05-02","Per=Y","Days=T","Dir=V")</f>
        <v>0</v>
      </c>
      <c r="AC2">
        <f>BDH("ATR US Equity","EBITDA","1993-06-18","2026-05-02","Per=Y","Days=T","Dir=V")</f>
        <v>0</v>
      </c>
      <c r="AE2">
        <f>BDH("ATR US Equity","NET_INCOME","1993-06-18","2026-05-02","Per=Y","Days=T","Dir=V")</f>
        <v>0</v>
      </c>
      <c r="AG2">
        <f>BDH("ATR US Equity","IS_INT_EXPENSE","1993-06-18","2026-05-02","Per=Y","Days=T","Dir=V")</f>
        <v>0</v>
      </c>
      <c r="AI2">
        <f>BDH("ATR US Equity","IS_DEPR_EXP","1993-06-18","2026-05-02","Per=Y","Days=T","Dir=V")</f>
        <v>0</v>
      </c>
      <c r="AK2">
        <f>BDH("ATR US Equity","CF_CASH_FROM_OPER","1993-06-18","2026-05-02","Per=Y","Days=T","Dir=V")</f>
        <v>0</v>
      </c>
      <c r="AM2">
        <f>BDH("ATR US Equity","CAPITAL_EXPEND","1993-06-18","2026-05-02","Per=Y","Days=T","Dir=V")</f>
        <v>0</v>
      </c>
      <c r="AO2">
        <f>BDH("ATR US Equity","CF_FREE_CASH_FLOW","1993-06-18","2026-05-02","Per=Y","Days=T","Dir=V")</f>
        <v>0</v>
      </c>
      <c r="AQ2">
        <f>BDH("ATR US Equity","PX_LAST","1993-06-18","2026-05-02","Per=M","Days=T","Dir=V")</f>
        <v>0</v>
      </c>
      <c r="AS2">
        <f>BDH("ATR US Equity","CUR_MKT_CAP","1993-06-18","2026-05-02","Per=M","Days=T","Dir=V")</f>
        <v>0</v>
      </c>
      <c r="AU2">
        <f>BDH("ATR US Equity","EQY_SH_OUT","1993-06-18","2026-05-02","Per=M","Days=T","Dir=V")</f>
        <v>0</v>
      </c>
      <c r="AW2">
        <f>BDH("ATR US Equity","PX_VOLUME","1993-06-18","2026-05-02","Per=M","Days=T","Dir=V")</f>
        <v>0</v>
      </c>
      <c r="AY2">
        <f>BDH("ATR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BDH("ATRA US Equity","BS_TOT_ASSET","1993-06-18","2026-05-02","Per=Y","Days=T","Dir=V")</f>
        <v>0</v>
      </c>
      <c r="C2">
        <f>BDH("ATRA US Equity","BS_TOT_LIAB2","1993-06-18","2026-05-02","Per=Y","Days=T","Dir=V")</f>
        <v>0</v>
      </c>
      <c r="E2">
        <f>BDH("ATRA US Equity","SHORT_AND_LONG_TERM_DEBT","1993-06-18","2026-05-02","Per=Y","Days=T","Dir=V")</f>
        <v>0</v>
      </c>
      <c r="G2">
        <f>BDH("ATRA US Equity","BS_ST_BORROW","1993-06-18","2026-05-02","Per=Y","Days=T","Dir=V")</f>
        <v>0</v>
      </c>
      <c r="I2">
        <f>BDH("ATRA US Equity","BS_LT_BORROW","1993-06-18","2026-05-02","Per=Y","Days=T","Dir=V")</f>
        <v>0</v>
      </c>
      <c r="K2">
        <f>BDH("ATRA US Equity","BS_CASH_NEAR_CASH_ITEM","1993-06-18","2026-05-02","Per=Y","Days=T","Dir=V")</f>
        <v>0</v>
      </c>
      <c r="M2">
        <f>BDH("ATRA US Equity","BS_CUR_ASSET_REPORT","1993-06-18","2026-05-02","Per=Y","Days=T","Dir=V")</f>
        <v>0</v>
      </c>
      <c r="O2">
        <f>BDH("ATRA US Equity","BS_CUR_LIAB","1993-06-18","2026-05-02","Per=Y","Days=T","Dir=V")</f>
        <v>0</v>
      </c>
      <c r="Q2">
        <f>BDH("ATRA US Equity","BS_SHAREHOLDER_EQY_ENDING_PERIOD","1993-06-18","2026-05-02","Per=Y","Days=T","Dir=V")</f>
        <v>0</v>
      </c>
      <c r="S2">
        <f>BDH("ATRA US Equity","BS_ACCT_NOTE_RCV","1993-06-18","2026-05-02","Per=Y","Days=T","Dir=V")</f>
        <v>0</v>
      </c>
      <c r="U2">
        <f>BDH("ATRA US Equity","BS_INVENTORIES","1993-06-18","2026-05-02","Per=Y","Days=T","Dir=V")</f>
        <v>0</v>
      </c>
      <c r="W2">
        <f>BDH("ATRA US Equity","WORKING_CAPITAL","1993-06-18","2026-05-02","Per=Y","Days=T","Dir=V")</f>
        <v>0</v>
      </c>
      <c r="Y2">
        <f>BDH("ATRA US Equity","SALES_REV_TURN","1993-06-18","2026-05-02","Per=Y","Days=T","Dir=V")</f>
        <v>0</v>
      </c>
      <c r="AA2">
        <f>BDH("ATRA US Equity","EBIT","1993-06-18","2026-05-02","Per=Y","Days=T","Dir=V")</f>
        <v>0</v>
      </c>
      <c r="AC2">
        <f>BDH("ATRA US Equity","EBITDA","1993-06-18","2026-05-02","Per=Y","Days=T","Dir=V")</f>
        <v>0</v>
      </c>
      <c r="AE2">
        <f>BDH("ATRA US Equity","NET_INCOME","1993-06-18","2026-05-02","Per=Y","Days=T","Dir=V")</f>
        <v>0</v>
      </c>
      <c r="AG2">
        <f>BDH("ATRA US Equity","IS_INT_EXPENSE","1993-06-18","2026-05-02","Per=Y","Days=T","Dir=V")</f>
        <v>0</v>
      </c>
      <c r="AI2">
        <f>BDH("ATRA US Equity","IS_DEPR_EXP","1993-06-18","2026-05-02","Per=Y","Days=T","Dir=V")</f>
        <v>0</v>
      </c>
      <c r="AK2">
        <f>BDH("ATRA US Equity","CF_CASH_FROM_OPER","1993-06-18","2026-05-02","Per=Y","Days=T","Dir=V")</f>
        <v>0</v>
      </c>
      <c r="AM2">
        <f>BDH("ATRA US Equity","CAPITAL_EXPEND","1993-06-18","2026-05-02","Per=Y","Days=T","Dir=V")</f>
        <v>0</v>
      </c>
      <c r="AO2">
        <f>BDH("ATRA US Equity","CF_FREE_CASH_FLOW","1993-06-18","2026-05-02","Per=Y","Days=T","Dir=V")</f>
        <v>0</v>
      </c>
      <c r="AQ2">
        <f>BDH("ATRA US Equity","PX_LAST","1993-06-18","2026-05-02","Per=M","Days=T","Dir=V")</f>
        <v>0</v>
      </c>
      <c r="AS2">
        <f>BDH("ATRA US Equity","CUR_MKT_CAP","1993-06-18","2026-05-02","Per=M","Days=T","Dir=V")</f>
        <v>0</v>
      </c>
      <c r="AU2">
        <f>BDH("ATRA US Equity","EQY_SH_OUT","1993-06-18","2026-05-02","Per=M","Days=T","Dir=V")</f>
        <v>0</v>
      </c>
      <c r="AW2">
        <f>BDH("ATRA US Equity","PX_VOLUME","1993-06-18","2026-05-02","Per=M","Days=T","Dir=V")</f>
        <v>0</v>
      </c>
      <c r="AY2">
        <f>BDH("ATRA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BDH("ATRC US Equity","BS_TOT_ASSET","1993-06-18","2026-05-02","Per=Y","Days=T","Dir=V")</f>
        <v>0</v>
      </c>
      <c r="C2">
        <f>BDH("ATRC US Equity","BS_TOT_LIAB2","1993-06-18","2026-05-02","Per=Y","Days=T","Dir=V")</f>
        <v>0</v>
      </c>
      <c r="E2">
        <f>BDH("ATRC US Equity","SHORT_AND_LONG_TERM_DEBT","1993-06-18","2026-05-02","Per=Y","Days=T","Dir=V")</f>
        <v>0</v>
      </c>
      <c r="G2">
        <f>BDH("ATRC US Equity","BS_ST_BORROW","1993-06-18","2026-05-02","Per=Y","Days=T","Dir=V")</f>
        <v>0</v>
      </c>
      <c r="I2">
        <f>BDH("ATRC US Equity","BS_LT_BORROW","1993-06-18","2026-05-02","Per=Y","Days=T","Dir=V")</f>
        <v>0</v>
      </c>
      <c r="K2">
        <f>BDH("ATRC US Equity","BS_CASH_NEAR_CASH_ITEM","1993-06-18","2026-05-02","Per=Y","Days=T","Dir=V")</f>
        <v>0</v>
      </c>
      <c r="M2">
        <f>BDH("ATRC US Equity","BS_CUR_ASSET_REPORT","1993-06-18","2026-05-02","Per=Y","Days=T","Dir=V")</f>
        <v>0</v>
      </c>
      <c r="O2">
        <f>BDH("ATRC US Equity","BS_CUR_LIAB","1993-06-18","2026-05-02","Per=Y","Days=T","Dir=V")</f>
        <v>0</v>
      </c>
      <c r="Q2">
        <f>BDH("ATRC US Equity","BS_SHAREHOLDER_EQY_ENDING_PERIOD","1993-06-18","2026-05-02","Per=Y","Days=T","Dir=V")</f>
        <v>0</v>
      </c>
      <c r="S2">
        <f>BDH("ATRC US Equity","BS_ACCT_NOTE_RCV","1993-06-18","2026-05-02","Per=Y","Days=T","Dir=V")</f>
        <v>0</v>
      </c>
      <c r="U2">
        <f>BDH("ATRC US Equity","BS_INVENTORIES","1993-06-18","2026-05-02","Per=Y","Days=T","Dir=V")</f>
        <v>0</v>
      </c>
      <c r="W2">
        <f>BDH("ATRC US Equity","WORKING_CAPITAL","1993-06-18","2026-05-02","Per=Y","Days=T","Dir=V")</f>
        <v>0</v>
      </c>
      <c r="Y2">
        <f>BDH("ATRC US Equity","SALES_REV_TURN","1993-06-18","2026-05-02","Per=Y","Days=T","Dir=V")</f>
        <v>0</v>
      </c>
      <c r="AA2">
        <f>BDH("ATRC US Equity","EBIT","1993-06-18","2026-05-02","Per=Y","Days=T","Dir=V")</f>
        <v>0</v>
      </c>
      <c r="AC2">
        <f>BDH("ATRC US Equity","EBITDA","1993-06-18","2026-05-02","Per=Y","Days=T","Dir=V")</f>
        <v>0</v>
      </c>
      <c r="AE2">
        <f>BDH("ATRC US Equity","NET_INCOME","1993-06-18","2026-05-02","Per=Y","Days=T","Dir=V")</f>
        <v>0</v>
      </c>
      <c r="AG2">
        <f>BDH("ATRC US Equity","IS_INT_EXPENSE","1993-06-18","2026-05-02","Per=Y","Days=T","Dir=V")</f>
        <v>0</v>
      </c>
      <c r="AI2">
        <f>BDH("ATRC US Equity","IS_DEPR_EXP","1993-06-18","2026-05-02","Per=Y","Days=T","Dir=V")</f>
        <v>0</v>
      </c>
      <c r="AK2">
        <f>BDH("ATRC US Equity","CF_CASH_FROM_OPER","1993-06-18","2026-05-02","Per=Y","Days=T","Dir=V")</f>
        <v>0</v>
      </c>
      <c r="AM2">
        <f>BDH("ATRC US Equity","CAPITAL_EXPEND","1993-06-18","2026-05-02","Per=Y","Days=T","Dir=V")</f>
        <v>0</v>
      </c>
      <c r="AO2">
        <f>BDH("ATRC US Equity","CF_FREE_CASH_FLOW","1993-06-18","2026-05-02","Per=Y","Days=T","Dir=V")</f>
        <v>0</v>
      </c>
      <c r="AQ2">
        <f>BDH("ATRC US Equity","PX_LAST","1993-06-18","2026-05-02","Per=M","Days=T","Dir=V")</f>
        <v>0</v>
      </c>
      <c r="AS2">
        <f>BDH("ATRC US Equity","CUR_MKT_CAP","1993-06-18","2026-05-02","Per=M","Days=T","Dir=V")</f>
        <v>0</v>
      </c>
      <c r="AU2">
        <f>BDH("ATRC US Equity","EQY_SH_OUT","1993-06-18","2026-05-02","Per=M","Days=T","Dir=V")</f>
        <v>0</v>
      </c>
      <c r="AW2">
        <f>BDH("ATRC US Equity","PX_VOLUME","1993-06-18","2026-05-02","Per=M","Days=T","Dir=V")</f>
        <v>0</v>
      </c>
      <c r="AY2">
        <f>BDH("ATRC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BDH("ATRO US Equity","BS_TOT_ASSET","1993-06-18","2026-05-02","Per=Y","Days=T","Dir=V")</f>
        <v>0</v>
      </c>
      <c r="C2">
        <f>BDH("ATRO US Equity","BS_TOT_LIAB2","1993-06-18","2026-05-02","Per=Y","Days=T","Dir=V")</f>
        <v>0</v>
      </c>
      <c r="E2">
        <f>BDH("ATRO US Equity","SHORT_AND_LONG_TERM_DEBT","1993-06-18","2026-05-02","Per=Y","Days=T","Dir=V")</f>
        <v>0</v>
      </c>
      <c r="G2">
        <f>BDH("ATRO US Equity","BS_ST_BORROW","1993-06-18","2026-05-02","Per=Y","Days=T","Dir=V")</f>
        <v>0</v>
      </c>
      <c r="I2">
        <f>BDH("ATRO US Equity","BS_LT_BORROW","1993-06-18","2026-05-02","Per=Y","Days=T","Dir=V")</f>
        <v>0</v>
      </c>
      <c r="K2">
        <f>BDH("ATRO US Equity","BS_CASH_NEAR_CASH_ITEM","1993-06-18","2026-05-02","Per=Y","Days=T","Dir=V")</f>
        <v>0</v>
      </c>
      <c r="M2">
        <f>BDH("ATRO US Equity","BS_CUR_ASSET_REPORT","1993-06-18","2026-05-02","Per=Y","Days=T","Dir=V")</f>
        <v>0</v>
      </c>
      <c r="O2">
        <f>BDH("ATRO US Equity","BS_CUR_LIAB","1993-06-18","2026-05-02","Per=Y","Days=T","Dir=V")</f>
        <v>0</v>
      </c>
      <c r="Q2">
        <f>BDH("ATRO US Equity","BS_SHAREHOLDER_EQY_ENDING_PERIOD","1993-06-18","2026-05-02","Per=Y","Days=T","Dir=V")</f>
        <v>0</v>
      </c>
      <c r="S2">
        <f>BDH("ATRO US Equity","BS_ACCT_NOTE_RCV","1993-06-18","2026-05-02","Per=Y","Days=T","Dir=V")</f>
        <v>0</v>
      </c>
      <c r="U2">
        <f>BDH("ATRO US Equity","BS_INVENTORIES","1993-06-18","2026-05-02","Per=Y","Days=T","Dir=V")</f>
        <v>0</v>
      </c>
      <c r="W2">
        <f>BDH("ATRO US Equity","WORKING_CAPITAL","1993-06-18","2026-05-02","Per=Y","Days=T","Dir=V")</f>
        <v>0</v>
      </c>
      <c r="Y2">
        <f>BDH("ATRO US Equity","SALES_REV_TURN","1993-06-18","2026-05-02","Per=Y","Days=T","Dir=V")</f>
        <v>0</v>
      </c>
      <c r="AA2">
        <f>BDH("ATRO US Equity","EBIT","1993-06-18","2026-05-02","Per=Y","Days=T","Dir=V")</f>
        <v>0</v>
      </c>
      <c r="AC2">
        <f>BDH("ATRO US Equity","EBITDA","1993-06-18","2026-05-02","Per=Y","Days=T","Dir=V")</f>
        <v>0</v>
      </c>
      <c r="AE2">
        <f>BDH("ATRO US Equity","NET_INCOME","1993-06-18","2026-05-02","Per=Y","Days=T","Dir=V")</f>
        <v>0</v>
      </c>
      <c r="AG2">
        <f>BDH("ATRO US Equity","IS_INT_EXPENSE","1993-06-18","2026-05-02","Per=Y","Days=T","Dir=V")</f>
        <v>0</v>
      </c>
      <c r="AI2">
        <f>BDH("ATRO US Equity","IS_DEPR_EXP","1993-06-18","2026-05-02","Per=Y","Days=T","Dir=V")</f>
        <v>0</v>
      </c>
      <c r="AK2">
        <f>BDH("ATRO US Equity","CF_CASH_FROM_OPER","1993-06-18","2026-05-02","Per=Y","Days=T","Dir=V")</f>
        <v>0</v>
      </c>
      <c r="AM2">
        <f>BDH("ATRO US Equity","CAPITAL_EXPEND","1993-06-18","2026-05-02","Per=Y","Days=T","Dir=V")</f>
        <v>0</v>
      </c>
      <c r="AO2">
        <f>BDH("ATRO US Equity","CF_FREE_CASH_FLOW","1993-06-18","2026-05-02","Per=Y","Days=T","Dir=V")</f>
        <v>0</v>
      </c>
      <c r="AQ2">
        <f>BDH("ATRO US Equity","PX_LAST","1993-06-18","2026-05-02","Per=M","Days=T","Dir=V")</f>
        <v>0</v>
      </c>
      <c r="AS2">
        <f>BDH("ATRO US Equity","CUR_MKT_CAP","1993-06-18","2026-05-02","Per=M","Days=T","Dir=V")</f>
        <v>0</v>
      </c>
      <c r="AU2">
        <f>BDH("ATRO US Equity","EQY_SH_OUT","1993-06-18","2026-05-02","Per=M","Days=T","Dir=V")</f>
        <v>0</v>
      </c>
      <c r="AW2">
        <f>BDH("ATRO US Equity","PX_VOLUME","1993-06-18","2026-05-02","Per=M","Days=T","Dir=V")</f>
        <v>0</v>
      </c>
      <c r="AY2">
        <f>BDH("ATRO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BDH("ATTO US Equity","BS_TOT_ASSET","1993-06-18","2026-05-02","Per=Y","Days=T","Dir=V")</f>
        <v>0</v>
      </c>
      <c r="C2">
        <f>BDH("ATTO US Equity","BS_TOT_LIAB2","1993-06-18","2026-05-02","Per=Y","Days=T","Dir=V")</f>
        <v>0</v>
      </c>
      <c r="E2">
        <f>BDH("ATTO US Equity","SHORT_AND_LONG_TERM_DEBT","1993-06-18","2026-05-02","Per=Y","Days=T","Dir=V")</f>
        <v>0</v>
      </c>
      <c r="G2">
        <f>BDH("ATTO US Equity","BS_ST_BORROW","1993-06-18","2026-05-02","Per=Y","Days=T","Dir=V")</f>
        <v>0</v>
      </c>
      <c r="I2">
        <f>BDH("ATTO US Equity","BS_LT_BORROW","1993-06-18","2026-05-02","Per=Y","Days=T","Dir=V")</f>
        <v>0</v>
      </c>
      <c r="K2">
        <f>BDH("ATTO US Equity","BS_CASH_NEAR_CASH_ITEM","1993-06-18","2026-05-02","Per=Y","Days=T","Dir=V")</f>
        <v>0</v>
      </c>
      <c r="M2">
        <f>BDH("ATTO US Equity","BS_CUR_ASSET_REPORT","1993-06-18","2026-05-02","Per=Y","Days=T","Dir=V")</f>
        <v>0</v>
      </c>
      <c r="O2">
        <f>BDH("ATTO US Equity","BS_CUR_LIAB","1993-06-18","2026-05-02","Per=Y","Days=T","Dir=V")</f>
        <v>0</v>
      </c>
      <c r="Q2">
        <f>BDH("ATTO US Equity","BS_SHAREHOLDER_EQY_ENDING_PERIOD","1993-06-18","2026-05-02","Per=Y","Days=T","Dir=V")</f>
        <v>0</v>
      </c>
      <c r="S2">
        <f>BDH("ATTO US Equity","BS_ACCT_NOTE_RCV","1993-06-18","2026-05-02","Per=Y","Days=T","Dir=V")</f>
        <v>0</v>
      </c>
      <c r="U2">
        <f>BDH("ATTO US Equity","BS_INVENTORIES","1993-06-18","2026-05-02","Per=Y","Days=T","Dir=V")</f>
        <v>0</v>
      </c>
      <c r="W2">
        <f>BDH("ATTO US Equity","WORKING_CAPITAL","1993-06-18","2026-05-02","Per=Y","Days=T","Dir=V")</f>
        <v>0</v>
      </c>
      <c r="Y2">
        <f>BDH("ATTO US Equity","SALES_REV_TURN","1993-06-18","2026-05-02","Per=Y","Days=T","Dir=V")</f>
        <v>0</v>
      </c>
      <c r="AA2">
        <f>BDH("ATTO US Equity","EBIT","1993-06-18","2026-05-02","Per=Y","Days=T","Dir=V")</f>
        <v>0</v>
      </c>
      <c r="AC2">
        <f>BDH("ATTO US Equity","EBITDA","1993-06-18","2026-05-02","Per=Y","Days=T","Dir=V")</f>
        <v>0</v>
      </c>
      <c r="AE2">
        <f>BDH("ATTO US Equity","NET_INCOME","1993-06-18","2026-05-02","Per=Y","Days=T","Dir=V")</f>
        <v>0</v>
      </c>
      <c r="AG2">
        <f>BDH("ATTO US Equity","IS_INT_EXPENSE","1993-06-18","2026-05-02","Per=Y","Days=T","Dir=V")</f>
        <v>0</v>
      </c>
      <c r="AI2">
        <f>BDH("ATTO US Equity","IS_DEPR_EXP","1993-06-18","2026-05-02","Per=Y","Days=T","Dir=V")</f>
        <v>0</v>
      </c>
      <c r="AK2">
        <f>BDH("ATTO US Equity","CF_CASH_FROM_OPER","1993-06-18","2026-05-02","Per=Y","Days=T","Dir=V")</f>
        <v>0</v>
      </c>
      <c r="AM2">
        <f>BDH("ATTO US Equity","CAPITAL_EXPEND","1993-06-18","2026-05-02","Per=Y","Days=T","Dir=V")</f>
        <v>0</v>
      </c>
      <c r="AO2">
        <f>BDH("ATTO US Equity","CF_FREE_CASH_FLOW","1993-06-18","2026-05-02","Per=Y","Days=T","Dir=V")</f>
        <v>0</v>
      </c>
      <c r="AQ2">
        <f>BDH("ATTO US Equity","PX_LAST","1993-06-18","2026-05-02","Per=M","Days=T","Dir=V")</f>
        <v>0</v>
      </c>
      <c r="AS2">
        <f>BDH("ATTO US Equity","CUR_MKT_CAP","1993-06-18","2026-05-02","Per=M","Days=T","Dir=V")</f>
        <v>0</v>
      </c>
      <c r="AU2">
        <f>BDH("ATTO US Equity","EQY_SH_OUT","1993-06-18","2026-05-02","Per=M","Days=T","Dir=V")</f>
        <v>0</v>
      </c>
      <c r="AW2">
        <f>BDH("ATTO US Equity","PX_VOLUME","1993-06-18","2026-05-02","Per=M","Days=T","Dir=V")</f>
        <v>0</v>
      </c>
      <c r="AY2">
        <f>BDH("ATTO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BDH("ATYR US Equity","BS_TOT_ASSET","1993-06-18","2026-05-02","Per=Y","Days=T","Dir=V")</f>
        <v>0</v>
      </c>
      <c r="C2">
        <f>BDH("ATYR US Equity","BS_TOT_LIAB2","1993-06-18","2026-05-02","Per=Y","Days=T","Dir=V")</f>
        <v>0</v>
      </c>
      <c r="E2">
        <f>BDH("ATYR US Equity","SHORT_AND_LONG_TERM_DEBT","1993-06-18","2026-05-02","Per=Y","Days=T","Dir=V")</f>
        <v>0</v>
      </c>
      <c r="G2">
        <f>BDH("ATYR US Equity","BS_ST_BORROW","1993-06-18","2026-05-02","Per=Y","Days=T","Dir=V")</f>
        <v>0</v>
      </c>
      <c r="I2">
        <f>BDH("ATYR US Equity","BS_LT_BORROW","1993-06-18","2026-05-02","Per=Y","Days=T","Dir=V")</f>
        <v>0</v>
      </c>
      <c r="K2">
        <f>BDH("ATYR US Equity","BS_CASH_NEAR_CASH_ITEM","1993-06-18","2026-05-02","Per=Y","Days=T","Dir=V")</f>
        <v>0</v>
      </c>
      <c r="M2">
        <f>BDH("ATYR US Equity","BS_CUR_ASSET_REPORT","1993-06-18","2026-05-02","Per=Y","Days=T","Dir=V")</f>
        <v>0</v>
      </c>
      <c r="O2">
        <f>BDH("ATYR US Equity","BS_CUR_LIAB","1993-06-18","2026-05-02","Per=Y","Days=T","Dir=V")</f>
        <v>0</v>
      </c>
      <c r="Q2">
        <f>BDH("ATYR US Equity","BS_SHAREHOLDER_EQY_ENDING_PERIOD","1993-06-18","2026-05-02","Per=Y","Days=T","Dir=V")</f>
        <v>0</v>
      </c>
      <c r="S2">
        <f>BDH("ATYR US Equity","BS_ACCT_NOTE_RCV","1993-06-18","2026-05-02","Per=Y","Days=T","Dir=V")</f>
        <v>0</v>
      </c>
      <c r="U2">
        <f>BDH("ATYR US Equity","BS_INVENTORIES","1993-06-18","2026-05-02","Per=Y","Days=T","Dir=V")</f>
        <v>0</v>
      </c>
      <c r="W2">
        <f>BDH("ATYR US Equity","WORKING_CAPITAL","1993-06-18","2026-05-02","Per=Y","Days=T","Dir=V")</f>
        <v>0</v>
      </c>
      <c r="Y2">
        <f>BDH("ATYR US Equity","SALES_REV_TURN","1993-06-18","2026-05-02","Per=Y","Days=T","Dir=V")</f>
        <v>0</v>
      </c>
      <c r="AA2">
        <f>BDH("ATYR US Equity","EBIT","1993-06-18","2026-05-02","Per=Y","Days=T","Dir=V")</f>
        <v>0</v>
      </c>
      <c r="AC2">
        <f>BDH("ATYR US Equity","EBITDA","1993-06-18","2026-05-02","Per=Y","Days=T","Dir=V")</f>
        <v>0</v>
      </c>
      <c r="AE2">
        <f>BDH("ATYR US Equity","NET_INCOME","1993-06-18","2026-05-02","Per=Y","Days=T","Dir=V")</f>
        <v>0</v>
      </c>
      <c r="AG2">
        <f>BDH("ATYR US Equity","IS_INT_EXPENSE","1993-06-18","2026-05-02","Per=Y","Days=T","Dir=V")</f>
        <v>0</v>
      </c>
      <c r="AI2">
        <f>BDH("ATYR US Equity","IS_DEPR_EXP","1993-06-18","2026-05-02","Per=Y","Days=T","Dir=V")</f>
        <v>0</v>
      </c>
      <c r="AK2">
        <f>BDH("ATYR US Equity","CF_CASH_FROM_OPER","1993-06-18","2026-05-02","Per=Y","Days=T","Dir=V")</f>
        <v>0</v>
      </c>
      <c r="AM2">
        <f>BDH("ATYR US Equity","CAPITAL_EXPEND","1993-06-18","2026-05-02","Per=Y","Days=T","Dir=V")</f>
        <v>0</v>
      </c>
      <c r="AO2">
        <f>BDH("ATYR US Equity","CF_FREE_CASH_FLOW","1993-06-18","2026-05-02","Per=Y","Days=T","Dir=V")</f>
        <v>0</v>
      </c>
      <c r="AQ2">
        <f>BDH("ATYR US Equity","PX_LAST","1993-06-18","2026-05-02","Per=M","Days=T","Dir=V")</f>
        <v>0</v>
      </c>
      <c r="AS2">
        <f>BDH("ATYR US Equity","CUR_MKT_CAP","1993-06-18","2026-05-02","Per=M","Days=T","Dir=V")</f>
        <v>0</v>
      </c>
      <c r="AU2">
        <f>BDH("ATYR US Equity","EQY_SH_OUT","1993-06-18","2026-05-02","Per=M","Days=T","Dir=V")</f>
        <v>0</v>
      </c>
      <c r="AW2">
        <f>BDH("ATYR US Equity","PX_VOLUME","1993-06-18","2026-05-02","Per=M","Days=T","Dir=V")</f>
        <v>0</v>
      </c>
      <c r="AY2">
        <f>BDH("ATYR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BDH("AUC US Equity","BS_TOT_ASSET","1993-06-18","2026-05-02","Per=Y","Days=T","Dir=V")</f>
        <v>0</v>
      </c>
      <c r="C2">
        <f>BDH("AUC US Equity","BS_TOT_LIAB2","1993-06-18","2026-05-02","Per=Y","Days=T","Dir=V")</f>
        <v>0</v>
      </c>
      <c r="E2">
        <f>BDH("AUC US Equity","SHORT_AND_LONG_TERM_DEBT","1993-06-18","2026-05-02","Per=Y","Days=T","Dir=V")</f>
        <v>0</v>
      </c>
      <c r="G2">
        <f>BDH("AUC US Equity","BS_ST_BORROW","1993-06-18","2026-05-02","Per=Y","Days=T","Dir=V")</f>
        <v>0</v>
      </c>
      <c r="I2">
        <f>BDH("AUC US Equity","BS_LT_BORROW","1993-06-18","2026-05-02","Per=Y","Days=T","Dir=V")</f>
        <v>0</v>
      </c>
      <c r="K2">
        <f>BDH("AUC US Equity","BS_CASH_NEAR_CASH_ITEM","1993-06-18","2026-05-02","Per=Y","Days=T","Dir=V")</f>
        <v>0</v>
      </c>
      <c r="M2">
        <f>BDH("AUC US Equity","BS_CUR_ASSET_REPORT","1993-06-18","2026-05-02","Per=Y","Days=T","Dir=V")</f>
        <v>0</v>
      </c>
      <c r="O2">
        <f>BDH("AUC US Equity","BS_CUR_LIAB","1993-06-18","2026-05-02","Per=Y","Days=T","Dir=V")</f>
        <v>0</v>
      </c>
      <c r="Q2">
        <f>BDH("AUC US Equity","BS_SHAREHOLDER_EQY_ENDING_PERIOD","1993-06-18","2026-05-02","Per=Y","Days=T","Dir=V")</f>
        <v>0</v>
      </c>
      <c r="S2">
        <f>BDH("AUC US Equity","BS_ACCT_NOTE_RCV","1993-06-18","2026-05-02","Per=Y","Days=T","Dir=V")</f>
        <v>0</v>
      </c>
      <c r="U2">
        <f>BDH("AUC US Equity","BS_INVENTORIES","1993-06-18","2026-05-02","Per=Y","Days=T","Dir=V")</f>
        <v>0</v>
      </c>
      <c r="W2">
        <f>BDH("AUC US Equity","WORKING_CAPITAL","1993-06-18","2026-05-02","Per=Y","Days=T","Dir=V")</f>
        <v>0</v>
      </c>
      <c r="Y2">
        <f>BDH("AUC US Equity","SALES_REV_TURN","1993-06-18","2026-05-02","Per=Y","Days=T","Dir=V")</f>
        <v>0</v>
      </c>
      <c r="AA2">
        <f>BDH("AUC US Equity","EBIT","1993-06-18","2026-05-02","Per=Y","Days=T","Dir=V")</f>
        <v>0</v>
      </c>
      <c r="AC2">
        <f>BDH("AUC US Equity","EBITDA","1993-06-18","2026-05-02","Per=Y","Days=T","Dir=V")</f>
        <v>0</v>
      </c>
      <c r="AE2">
        <f>BDH("AUC US Equity","NET_INCOME","1993-06-18","2026-05-02","Per=Y","Days=T","Dir=V")</f>
        <v>0</v>
      </c>
      <c r="AG2">
        <f>BDH("AUC US Equity","IS_INT_EXPENSE","1993-06-18","2026-05-02","Per=Y","Days=T","Dir=V")</f>
        <v>0</v>
      </c>
      <c r="AI2">
        <f>BDH("AUC US Equity","IS_DEPR_EXP","1993-06-18","2026-05-02","Per=Y","Days=T","Dir=V")</f>
        <v>0</v>
      </c>
      <c r="AK2">
        <f>BDH("AUC US Equity","CF_CASH_FROM_OPER","1993-06-18","2026-05-02","Per=Y","Days=T","Dir=V")</f>
        <v>0</v>
      </c>
      <c r="AM2">
        <f>BDH("AUC US Equity","CAPITAL_EXPEND","1993-06-18","2026-05-02","Per=Y","Days=T","Dir=V")</f>
        <v>0</v>
      </c>
      <c r="AO2">
        <f>BDH("AUC US Equity","CF_FREE_CASH_FLOW","1993-06-18","2026-05-02","Per=Y","Days=T","Dir=V")</f>
        <v>0</v>
      </c>
      <c r="AQ2">
        <f>BDH("AUC US Equity","PX_LAST","1993-06-18","2026-05-02","Per=M","Days=T","Dir=V")</f>
        <v>0</v>
      </c>
      <c r="AS2">
        <f>BDH("AUC US Equity","CUR_MKT_CAP","1993-06-18","2026-05-02","Per=M","Days=T","Dir=V")</f>
        <v>0</v>
      </c>
      <c r="AU2">
        <f>BDH("AUC US Equity","EQY_SH_OUT","1993-06-18","2026-05-02","Per=M","Days=T","Dir=V")</f>
        <v>0</v>
      </c>
      <c r="AW2">
        <f>BDH("AUC US Equity","PX_VOLUME","1993-06-18","2026-05-02","Per=M","Days=T","Dir=V")</f>
        <v>0</v>
      </c>
      <c r="AY2">
        <f>BDH("AUC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BDH("AUGO US Equity","BS_TOT_ASSET","1993-06-18","2026-05-02","Per=Y","Days=T","Dir=V")</f>
        <v>0</v>
      </c>
      <c r="C2">
        <f>BDH("AUGO US Equity","BS_TOT_LIAB2","1993-06-18","2026-05-02","Per=Y","Days=T","Dir=V")</f>
        <v>0</v>
      </c>
      <c r="E2">
        <f>BDH("AUGO US Equity","SHORT_AND_LONG_TERM_DEBT","1993-06-18","2026-05-02","Per=Y","Days=T","Dir=V")</f>
        <v>0</v>
      </c>
      <c r="G2">
        <f>BDH("AUGO US Equity","BS_ST_BORROW","1993-06-18","2026-05-02","Per=Y","Days=T","Dir=V")</f>
        <v>0</v>
      </c>
      <c r="I2">
        <f>BDH("AUGO US Equity","BS_LT_BORROW","1993-06-18","2026-05-02","Per=Y","Days=T","Dir=V")</f>
        <v>0</v>
      </c>
      <c r="K2">
        <f>BDH("AUGO US Equity","BS_CASH_NEAR_CASH_ITEM","1993-06-18","2026-05-02","Per=Y","Days=T","Dir=V")</f>
        <v>0</v>
      </c>
      <c r="M2">
        <f>BDH("AUGO US Equity","BS_CUR_ASSET_REPORT","1993-06-18","2026-05-02","Per=Y","Days=T","Dir=V")</f>
        <v>0</v>
      </c>
      <c r="O2">
        <f>BDH("AUGO US Equity","BS_CUR_LIAB","1993-06-18","2026-05-02","Per=Y","Days=T","Dir=V")</f>
        <v>0</v>
      </c>
      <c r="Q2">
        <f>BDH("AUGO US Equity","BS_SHAREHOLDER_EQY_ENDING_PERIOD","1993-06-18","2026-05-02","Per=Y","Days=T","Dir=V")</f>
        <v>0</v>
      </c>
      <c r="S2">
        <f>BDH("AUGO US Equity","BS_ACCT_NOTE_RCV","1993-06-18","2026-05-02","Per=Y","Days=T","Dir=V")</f>
        <v>0</v>
      </c>
      <c r="U2">
        <f>BDH("AUGO US Equity","BS_INVENTORIES","1993-06-18","2026-05-02","Per=Y","Days=T","Dir=V")</f>
        <v>0</v>
      </c>
      <c r="W2">
        <f>BDH("AUGO US Equity","WORKING_CAPITAL","1993-06-18","2026-05-02","Per=Y","Days=T","Dir=V")</f>
        <v>0</v>
      </c>
      <c r="Y2">
        <f>BDH("AUGO US Equity","SALES_REV_TURN","1993-06-18","2026-05-02","Per=Y","Days=T","Dir=V")</f>
        <v>0</v>
      </c>
      <c r="AA2">
        <f>BDH("AUGO US Equity","EBIT","1993-06-18","2026-05-02","Per=Y","Days=T","Dir=V")</f>
        <v>0</v>
      </c>
      <c r="AC2">
        <f>BDH("AUGO US Equity","EBITDA","1993-06-18","2026-05-02","Per=Y","Days=T","Dir=V")</f>
        <v>0</v>
      </c>
      <c r="AE2">
        <f>BDH("AUGO US Equity","NET_INCOME","1993-06-18","2026-05-02","Per=Y","Days=T","Dir=V")</f>
        <v>0</v>
      </c>
      <c r="AG2">
        <f>BDH("AUGO US Equity","IS_INT_EXPENSE","1993-06-18","2026-05-02","Per=Y","Days=T","Dir=V")</f>
        <v>0</v>
      </c>
      <c r="AI2">
        <f>BDH("AUGO US Equity","IS_DEPR_EXP","1993-06-18","2026-05-02","Per=Y","Days=T","Dir=V")</f>
        <v>0</v>
      </c>
      <c r="AK2">
        <f>BDH("AUGO US Equity","CF_CASH_FROM_OPER","1993-06-18","2026-05-02","Per=Y","Days=T","Dir=V")</f>
        <v>0</v>
      </c>
      <c r="AM2">
        <f>BDH("AUGO US Equity","CAPITAL_EXPEND","1993-06-18","2026-05-02","Per=Y","Days=T","Dir=V")</f>
        <v>0</v>
      </c>
      <c r="AO2">
        <f>BDH("AUGO US Equity","CF_FREE_CASH_FLOW","1993-06-18","2026-05-02","Per=Y","Days=T","Dir=V")</f>
        <v>0</v>
      </c>
      <c r="AQ2">
        <f>BDH("AUGO US Equity","PX_LAST","1993-06-18","2026-05-02","Per=M","Days=T","Dir=V")</f>
        <v>0</v>
      </c>
      <c r="AS2">
        <f>BDH("AUGO US Equity","CUR_MKT_CAP","1993-06-18","2026-05-02","Per=M","Days=T","Dir=V")</f>
        <v>0</v>
      </c>
      <c r="AU2">
        <f>BDH("AUGO US Equity","EQY_SH_OUT","1993-06-18","2026-05-02","Per=M","Days=T","Dir=V")</f>
        <v>0</v>
      </c>
      <c r="AW2">
        <f>BDH("AUGO US Equity","PX_VOLUME","1993-06-18","2026-05-02","Per=M","Days=T","Dir=V")</f>
        <v>0</v>
      </c>
      <c r="AY2">
        <f>BDH("AUGO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BDH("AUID US Equity","BS_TOT_ASSET","1993-06-18","2026-05-02","Per=Y","Days=T","Dir=V")</f>
        <v>0</v>
      </c>
      <c r="C2">
        <f>BDH("AUID US Equity","BS_TOT_LIAB2","1993-06-18","2026-05-02","Per=Y","Days=T","Dir=V")</f>
        <v>0</v>
      </c>
      <c r="E2">
        <f>BDH("AUID US Equity","SHORT_AND_LONG_TERM_DEBT","1993-06-18","2026-05-02","Per=Y","Days=T","Dir=V")</f>
        <v>0</v>
      </c>
      <c r="G2">
        <f>BDH("AUID US Equity","BS_ST_BORROW","1993-06-18","2026-05-02","Per=Y","Days=T","Dir=V")</f>
        <v>0</v>
      </c>
      <c r="I2">
        <f>BDH("AUID US Equity","BS_LT_BORROW","1993-06-18","2026-05-02","Per=Y","Days=T","Dir=V")</f>
        <v>0</v>
      </c>
      <c r="K2">
        <f>BDH("AUID US Equity","BS_CASH_NEAR_CASH_ITEM","1993-06-18","2026-05-02","Per=Y","Days=T","Dir=V")</f>
        <v>0</v>
      </c>
      <c r="M2">
        <f>BDH("AUID US Equity","BS_CUR_ASSET_REPORT","1993-06-18","2026-05-02","Per=Y","Days=T","Dir=V")</f>
        <v>0</v>
      </c>
      <c r="O2">
        <f>BDH("AUID US Equity","BS_CUR_LIAB","1993-06-18","2026-05-02","Per=Y","Days=T","Dir=V")</f>
        <v>0</v>
      </c>
      <c r="Q2">
        <f>BDH("AUID US Equity","BS_SHAREHOLDER_EQY_ENDING_PERIOD","1993-06-18","2026-05-02","Per=Y","Days=T","Dir=V")</f>
        <v>0</v>
      </c>
      <c r="S2">
        <f>BDH("AUID US Equity","BS_ACCT_NOTE_RCV","1993-06-18","2026-05-02","Per=Y","Days=T","Dir=V")</f>
        <v>0</v>
      </c>
      <c r="U2">
        <f>BDH("AUID US Equity","BS_INVENTORIES","1993-06-18","2026-05-02","Per=Y","Days=T","Dir=V")</f>
        <v>0</v>
      </c>
      <c r="W2">
        <f>BDH("AUID US Equity","WORKING_CAPITAL","1993-06-18","2026-05-02","Per=Y","Days=T","Dir=V")</f>
        <v>0</v>
      </c>
      <c r="Y2">
        <f>BDH("AUID US Equity","SALES_REV_TURN","1993-06-18","2026-05-02","Per=Y","Days=T","Dir=V")</f>
        <v>0</v>
      </c>
      <c r="AA2">
        <f>BDH("AUID US Equity","EBIT","1993-06-18","2026-05-02","Per=Y","Days=T","Dir=V")</f>
        <v>0</v>
      </c>
      <c r="AC2">
        <f>BDH("AUID US Equity","EBITDA","1993-06-18","2026-05-02","Per=Y","Days=T","Dir=V")</f>
        <v>0</v>
      </c>
      <c r="AE2">
        <f>BDH("AUID US Equity","NET_INCOME","1993-06-18","2026-05-02","Per=Y","Days=T","Dir=V")</f>
        <v>0</v>
      </c>
      <c r="AG2">
        <f>BDH("AUID US Equity","IS_INT_EXPENSE","1993-06-18","2026-05-02","Per=Y","Days=T","Dir=V")</f>
        <v>0</v>
      </c>
      <c r="AI2">
        <f>BDH("AUID US Equity","IS_DEPR_EXP","1993-06-18","2026-05-02","Per=Y","Days=T","Dir=V")</f>
        <v>0</v>
      </c>
      <c r="AK2">
        <f>BDH("AUID US Equity","CF_CASH_FROM_OPER","1993-06-18","2026-05-02","Per=Y","Days=T","Dir=V")</f>
        <v>0</v>
      </c>
      <c r="AM2">
        <f>BDH("AUID US Equity","CAPITAL_EXPEND","1993-06-18","2026-05-02","Per=Y","Days=T","Dir=V")</f>
        <v>0</v>
      </c>
      <c r="AO2">
        <f>BDH("AUID US Equity","CF_FREE_CASH_FLOW","1993-06-18","2026-05-02","Per=Y","Days=T","Dir=V")</f>
        <v>0</v>
      </c>
      <c r="AQ2">
        <f>BDH("AUID US Equity","PX_LAST","1993-06-18","2026-05-02","Per=M","Days=T","Dir=V")</f>
        <v>0</v>
      </c>
      <c r="AS2">
        <f>BDH("AUID US Equity","CUR_MKT_CAP","1993-06-18","2026-05-02","Per=M","Days=T","Dir=V")</f>
        <v>0</v>
      </c>
      <c r="AU2">
        <f>BDH("AUID US Equity","EQY_SH_OUT","1993-06-18","2026-05-02","Per=M","Days=T","Dir=V")</f>
        <v>0</v>
      </c>
      <c r="AW2">
        <f>BDH("AUID US Equity","PX_VOLUME","1993-06-18","2026-05-02","Per=M","Days=T","Dir=V")</f>
        <v>0</v>
      </c>
      <c r="AY2">
        <f>BDH("AUID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BDH("AUR US Equity","BS_TOT_ASSET","1993-06-18","2026-05-02","Per=Y","Days=T","Dir=V")</f>
        <v>0</v>
      </c>
      <c r="C2">
        <f>BDH("AUR US Equity","BS_TOT_LIAB2","1993-06-18","2026-05-02","Per=Y","Days=T","Dir=V")</f>
        <v>0</v>
      </c>
      <c r="E2">
        <f>BDH("AUR US Equity","SHORT_AND_LONG_TERM_DEBT","1993-06-18","2026-05-02","Per=Y","Days=T","Dir=V")</f>
        <v>0</v>
      </c>
      <c r="G2">
        <f>BDH("AUR US Equity","BS_ST_BORROW","1993-06-18","2026-05-02","Per=Y","Days=T","Dir=V")</f>
        <v>0</v>
      </c>
      <c r="I2">
        <f>BDH("AUR US Equity","BS_LT_BORROW","1993-06-18","2026-05-02","Per=Y","Days=T","Dir=V")</f>
        <v>0</v>
      </c>
      <c r="K2">
        <f>BDH("AUR US Equity","BS_CASH_NEAR_CASH_ITEM","1993-06-18","2026-05-02","Per=Y","Days=T","Dir=V")</f>
        <v>0</v>
      </c>
      <c r="M2">
        <f>BDH("AUR US Equity","BS_CUR_ASSET_REPORT","1993-06-18","2026-05-02","Per=Y","Days=T","Dir=V")</f>
        <v>0</v>
      </c>
      <c r="O2">
        <f>BDH("AUR US Equity","BS_CUR_LIAB","1993-06-18","2026-05-02","Per=Y","Days=T","Dir=V")</f>
        <v>0</v>
      </c>
      <c r="Q2">
        <f>BDH("AUR US Equity","BS_SHAREHOLDER_EQY_ENDING_PERIOD","1993-06-18","2026-05-02","Per=Y","Days=T","Dir=V")</f>
        <v>0</v>
      </c>
      <c r="S2">
        <f>BDH("AUR US Equity","BS_ACCT_NOTE_RCV","1993-06-18","2026-05-02","Per=Y","Days=T","Dir=V")</f>
        <v>0</v>
      </c>
      <c r="U2">
        <f>BDH("AUR US Equity","BS_INVENTORIES","1993-06-18","2026-05-02","Per=Y","Days=T","Dir=V")</f>
        <v>0</v>
      </c>
      <c r="W2">
        <f>BDH("AUR US Equity","WORKING_CAPITAL","1993-06-18","2026-05-02","Per=Y","Days=T","Dir=V")</f>
        <v>0</v>
      </c>
      <c r="Y2">
        <f>BDH("AUR US Equity","SALES_REV_TURN","1993-06-18","2026-05-02","Per=Y","Days=T","Dir=V")</f>
        <v>0</v>
      </c>
      <c r="AA2">
        <f>BDH("AUR US Equity","EBIT","1993-06-18","2026-05-02","Per=Y","Days=T","Dir=V")</f>
        <v>0</v>
      </c>
      <c r="AC2">
        <f>BDH("AUR US Equity","EBITDA","1993-06-18","2026-05-02","Per=Y","Days=T","Dir=V")</f>
        <v>0</v>
      </c>
      <c r="AE2">
        <f>BDH("AUR US Equity","NET_INCOME","1993-06-18","2026-05-02","Per=Y","Days=T","Dir=V")</f>
        <v>0</v>
      </c>
      <c r="AG2">
        <f>BDH("AUR US Equity","IS_INT_EXPENSE","1993-06-18","2026-05-02","Per=Y","Days=T","Dir=V")</f>
        <v>0</v>
      </c>
      <c r="AI2">
        <f>BDH("AUR US Equity","IS_DEPR_EXP","1993-06-18","2026-05-02","Per=Y","Days=T","Dir=V")</f>
        <v>0</v>
      </c>
      <c r="AK2">
        <f>BDH("AUR US Equity","CF_CASH_FROM_OPER","1993-06-18","2026-05-02","Per=Y","Days=T","Dir=V")</f>
        <v>0</v>
      </c>
      <c r="AM2">
        <f>BDH("AUR US Equity","CAPITAL_EXPEND","1993-06-18","2026-05-02","Per=Y","Days=T","Dir=V")</f>
        <v>0</v>
      </c>
      <c r="AO2">
        <f>BDH("AUR US Equity","CF_FREE_CASH_FLOW","1993-06-18","2026-05-02","Per=Y","Days=T","Dir=V")</f>
        <v>0</v>
      </c>
      <c r="AQ2">
        <f>BDH("AUR US Equity","PX_LAST","1993-06-18","2026-05-02","Per=M","Days=T","Dir=V")</f>
        <v>0</v>
      </c>
      <c r="AS2">
        <f>BDH("AUR US Equity","CUR_MKT_CAP","1993-06-18","2026-05-02","Per=M","Days=T","Dir=V")</f>
        <v>0</v>
      </c>
      <c r="AU2">
        <f>BDH("AUR US Equity","EQY_SH_OUT","1993-06-18","2026-05-02","Per=M","Days=T","Dir=V")</f>
        <v>0</v>
      </c>
      <c r="AW2">
        <f>BDH("AUR US Equity","PX_VOLUME","1993-06-18","2026-05-02","Per=M","Days=T","Dir=V")</f>
        <v>0</v>
      </c>
      <c r="AY2">
        <f>BDH("AUR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BDH("AURA US Equity","BS_TOT_ASSET","1993-06-18","2026-05-02","Per=Y","Days=T","Dir=V")</f>
        <v>0</v>
      </c>
      <c r="C2">
        <f>BDH("AURA US Equity","BS_TOT_LIAB2","1993-06-18","2026-05-02","Per=Y","Days=T","Dir=V")</f>
        <v>0</v>
      </c>
      <c r="E2">
        <f>BDH("AURA US Equity","SHORT_AND_LONG_TERM_DEBT","1993-06-18","2026-05-02","Per=Y","Days=T","Dir=V")</f>
        <v>0</v>
      </c>
      <c r="G2">
        <f>BDH("AURA US Equity","BS_ST_BORROW","1993-06-18","2026-05-02","Per=Y","Days=T","Dir=V")</f>
        <v>0</v>
      </c>
      <c r="I2">
        <f>BDH("AURA US Equity","BS_LT_BORROW","1993-06-18","2026-05-02","Per=Y","Days=T","Dir=V")</f>
        <v>0</v>
      </c>
      <c r="K2">
        <f>BDH("AURA US Equity","BS_CASH_NEAR_CASH_ITEM","1993-06-18","2026-05-02","Per=Y","Days=T","Dir=V")</f>
        <v>0</v>
      </c>
      <c r="M2">
        <f>BDH("AURA US Equity","BS_CUR_ASSET_REPORT","1993-06-18","2026-05-02","Per=Y","Days=T","Dir=V")</f>
        <v>0</v>
      </c>
      <c r="O2">
        <f>BDH("AURA US Equity","BS_CUR_LIAB","1993-06-18","2026-05-02","Per=Y","Days=T","Dir=V")</f>
        <v>0</v>
      </c>
      <c r="Q2">
        <f>BDH("AURA US Equity","BS_SHAREHOLDER_EQY_ENDING_PERIOD","1993-06-18","2026-05-02","Per=Y","Days=T","Dir=V")</f>
        <v>0</v>
      </c>
      <c r="S2">
        <f>BDH("AURA US Equity","BS_ACCT_NOTE_RCV","1993-06-18","2026-05-02","Per=Y","Days=T","Dir=V")</f>
        <v>0</v>
      </c>
      <c r="U2">
        <f>BDH("AURA US Equity","BS_INVENTORIES","1993-06-18","2026-05-02","Per=Y","Days=T","Dir=V")</f>
        <v>0</v>
      </c>
      <c r="W2">
        <f>BDH("AURA US Equity","WORKING_CAPITAL","1993-06-18","2026-05-02","Per=Y","Days=T","Dir=V")</f>
        <v>0</v>
      </c>
      <c r="Y2">
        <f>BDH("AURA US Equity","SALES_REV_TURN","1993-06-18","2026-05-02","Per=Y","Days=T","Dir=V")</f>
        <v>0</v>
      </c>
      <c r="AA2">
        <f>BDH("AURA US Equity","EBIT","1993-06-18","2026-05-02","Per=Y","Days=T","Dir=V")</f>
        <v>0</v>
      </c>
      <c r="AC2">
        <f>BDH("AURA US Equity","EBITDA","1993-06-18","2026-05-02","Per=Y","Days=T","Dir=V")</f>
        <v>0</v>
      </c>
      <c r="AE2">
        <f>BDH("AURA US Equity","NET_INCOME","1993-06-18","2026-05-02","Per=Y","Days=T","Dir=V")</f>
        <v>0</v>
      </c>
      <c r="AG2">
        <f>BDH("AURA US Equity","IS_INT_EXPENSE","1993-06-18","2026-05-02","Per=Y","Days=T","Dir=V")</f>
        <v>0</v>
      </c>
      <c r="AI2">
        <f>BDH("AURA US Equity","IS_DEPR_EXP","1993-06-18","2026-05-02","Per=Y","Days=T","Dir=V")</f>
        <v>0</v>
      </c>
      <c r="AK2">
        <f>BDH("AURA US Equity","CF_CASH_FROM_OPER","1993-06-18","2026-05-02","Per=Y","Days=T","Dir=V")</f>
        <v>0</v>
      </c>
      <c r="AM2">
        <f>BDH("AURA US Equity","CAPITAL_EXPEND","1993-06-18","2026-05-02","Per=Y","Days=T","Dir=V")</f>
        <v>0</v>
      </c>
      <c r="AO2">
        <f>BDH("AURA US Equity","CF_FREE_CASH_FLOW","1993-06-18","2026-05-02","Per=Y","Days=T","Dir=V")</f>
        <v>0</v>
      </c>
      <c r="AQ2">
        <f>BDH("AURA US Equity","PX_LAST","1993-06-18","2026-05-02","Per=M","Days=T","Dir=V")</f>
        <v>0</v>
      </c>
      <c r="AS2">
        <f>BDH("AURA US Equity","CUR_MKT_CAP","1993-06-18","2026-05-02","Per=M","Days=T","Dir=V")</f>
        <v>0</v>
      </c>
      <c r="AU2">
        <f>BDH("AURA US Equity","EQY_SH_OUT","1993-06-18","2026-05-02","Per=M","Days=T","Dir=V")</f>
        <v>0</v>
      </c>
      <c r="AW2">
        <f>BDH("AURA US Equity","PX_VOLUME","1993-06-18","2026-05-02","Per=M","Days=T","Dir=V")</f>
        <v>0</v>
      </c>
      <c r="AY2">
        <f>BDH("AURA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BDH("AUROW US Equity","BS_TOT_ASSET","1993-06-18","2026-05-02","Per=Y","Days=T","Dir=V")</f>
        <v>0</v>
      </c>
      <c r="C2">
        <f>BDH("AUROW US Equity","BS_TOT_LIAB2","1993-06-18","2026-05-02","Per=Y","Days=T","Dir=V")</f>
        <v>0</v>
      </c>
      <c r="E2">
        <f>BDH("AUROW US Equity","SHORT_AND_LONG_TERM_DEBT","1993-06-18","2026-05-02","Per=Y","Days=T","Dir=V")</f>
        <v>0</v>
      </c>
      <c r="G2">
        <f>BDH("AUROW US Equity","BS_ST_BORROW","1993-06-18","2026-05-02","Per=Y","Days=T","Dir=V")</f>
        <v>0</v>
      </c>
      <c r="I2">
        <f>BDH("AUROW US Equity","BS_LT_BORROW","1993-06-18","2026-05-02","Per=Y","Days=T","Dir=V")</f>
        <v>0</v>
      </c>
      <c r="K2">
        <f>BDH("AUROW US Equity","BS_CASH_NEAR_CASH_ITEM","1993-06-18","2026-05-02","Per=Y","Days=T","Dir=V")</f>
        <v>0</v>
      </c>
      <c r="M2">
        <f>BDH("AUROW US Equity","BS_CUR_ASSET_REPORT","1993-06-18","2026-05-02","Per=Y","Days=T","Dir=V")</f>
        <v>0</v>
      </c>
      <c r="O2">
        <f>BDH("AUROW US Equity","BS_CUR_LIAB","1993-06-18","2026-05-02","Per=Y","Days=T","Dir=V")</f>
        <v>0</v>
      </c>
      <c r="Q2">
        <f>BDH("AUROW US Equity","BS_SHAREHOLDER_EQY_ENDING_PERIOD","1993-06-18","2026-05-02","Per=Y","Days=T","Dir=V")</f>
        <v>0</v>
      </c>
      <c r="S2">
        <f>BDH("AUROW US Equity","BS_ACCT_NOTE_RCV","1993-06-18","2026-05-02","Per=Y","Days=T","Dir=V")</f>
        <v>0</v>
      </c>
      <c r="U2">
        <f>BDH("AUROW US Equity","BS_INVENTORIES","1993-06-18","2026-05-02","Per=Y","Days=T","Dir=V")</f>
        <v>0</v>
      </c>
      <c r="W2">
        <f>BDH("AUROW US Equity","WORKING_CAPITAL","1993-06-18","2026-05-02","Per=Y","Days=T","Dir=V")</f>
        <v>0</v>
      </c>
      <c r="Y2">
        <f>BDH("AUROW US Equity","SALES_REV_TURN","1993-06-18","2026-05-02","Per=Y","Days=T","Dir=V")</f>
        <v>0</v>
      </c>
      <c r="AA2">
        <f>BDH("AUROW US Equity","EBIT","1993-06-18","2026-05-02","Per=Y","Days=T","Dir=V")</f>
        <v>0</v>
      </c>
      <c r="AC2">
        <f>BDH("AUROW US Equity","EBITDA","1993-06-18","2026-05-02","Per=Y","Days=T","Dir=V")</f>
        <v>0</v>
      </c>
      <c r="AE2">
        <f>BDH("AUROW US Equity","NET_INCOME","1993-06-18","2026-05-02","Per=Y","Days=T","Dir=V")</f>
        <v>0</v>
      </c>
      <c r="AG2">
        <f>BDH("AUROW US Equity","IS_INT_EXPENSE","1993-06-18","2026-05-02","Per=Y","Days=T","Dir=V")</f>
        <v>0</v>
      </c>
      <c r="AI2">
        <f>BDH("AUROW US Equity","IS_DEPR_EXP","1993-06-18","2026-05-02","Per=Y","Days=T","Dir=V")</f>
        <v>0</v>
      </c>
      <c r="AK2">
        <f>BDH("AUROW US Equity","CF_CASH_FROM_OPER","1993-06-18","2026-05-02","Per=Y","Days=T","Dir=V")</f>
        <v>0</v>
      </c>
      <c r="AM2">
        <f>BDH("AUROW US Equity","CAPITAL_EXPEND","1993-06-18","2026-05-02","Per=Y","Days=T","Dir=V")</f>
        <v>0</v>
      </c>
      <c r="AO2">
        <f>BDH("AUROW US Equity","CF_FREE_CASH_FLOW","1993-06-18","2026-05-02","Per=Y","Days=T","Dir=V")</f>
        <v>0</v>
      </c>
      <c r="AQ2">
        <f>BDH("AUROW US Equity","PX_LAST","1993-06-18","2026-05-02","Per=M","Days=T","Dir=V")</f>
        <v>0</v>
      </c>
      <c r="AS2">
        <f>BDH("AUROW US Equity","CUR_MKT_CAP","1993-06-18","2026-05-02","Per=M","Days=T","Dir=V")</f>
        <v>0</v>
      </c>
      <c r="AU2">
        <f>BDH("AUROW US Equity","EQY_SH_OUT","1993-06-18","2026-05-02","Per=M","Days=T","Dir=V")</f>
        <v>0</v>
      </c>
      <c r="AW2">
        <f>BDH("AUROW US Equity","PX_VOLUME","1993-06-18","2026-05-02","Per=M","Days=T","Dir=V")</f>
        <v>0</v>
      </c>
      <c r="AY2">
        <f>BDH("AUROW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BDH("AUUD US Equity","BS_TOT_ASSET","1993-06-18","2026-05-02","Per=Y","Days=T","Dir=V")</f>
        <v>0</v>
      </c>
      <c r="C2">
        <f>BDH("AUUD US Equity","BS_TOT_LIAB2","1993-06-18","2026-05-02","Per=Y","Days=T","Dir=V")</f>
        <v>0</v>
      </c>
      <c r="E2">
        <f>BDH("AUUD US Equity","SHORT_AND_LONG_TERM_DEBT","1993-06-18","2026-05-02","Per=Y","Days=T","Dir=V")</f>
        <v>0</v>
      </c>
      <c r="G2">
        <f>BDH("AUUD US Equity","BS_ST_BORROW","1993-06-18","2026-05-02","Per=Y","Days=T","Dir=V")</f>
        <v>0</v>
      </c>
      <c r="I2">
        <f>BDH("AUUD US Equity","BS_LT_BORROW","1993-06-18","2026-05-02","Per=Y","Days=T","Dir=V")</f>
        <v>0</v>
      </c>
      <c r="K2">
        <f>BDH("AUUD US Equity","BS_CASH_NEAR_CASH_ITEM","1993-06-18","2026-05-02","Per=Y","Days=T","Dir=V")</f>
        <v>0</v>
      </c>
      <c r="M2">
        <f>BDH("AUUD US Equity","BS_CUR_ASSET_REPORT","1993-06-18","2026-05-02","Per=Y","Days=T","Dir=V")</f>
        <v>0</v>
      </c>
      <c r="O2">
        <f>BDH("AUUD US Equity","BS_CUR_LIAB","1993-06-18","2026-05-02","Per=Y","Days=T","Dir=V")</f>
        <v>0</v>
      </c>
      <c r="Q2">
        <f>BDH("AUUD US Equity","BS_SHAREHOLDER_EQY_ENDING_PERIOD","1993-06-18","2026-05-02","Per=Y","Days=T","Dir=V")</f>
        <v>0</v>
      </c>
      <c r="S2">
        <f>BDH("AUUD US Equity","BS_ACCT_NOTE_RCV","1993-06-18","2026-05-02","Per=Y","Days=T","Dir=V")</f>
        <v>0</v>
      </c>
      <c r="U2">
        <f>BDH("AUUD US Equity","BS_INVENTORIES","1993-06-18","2026-05-02","Per=Y","Days=T","Dir=V")</f>
        <v>0</v>
      </c>
      <c r="W2">
        <f>BDH("AUUD US Equity","WORKING_CAPITAL","1993-06-18","2026-05-02","Per=Y","Days=T","Dir=V")</f>
        <v>0</v>
      </c>
      <c r="Y2">
        <f>BDH("AUUD US Equity","SALES_REV_TURN","1993-06-18","2026-05-02","Per=Y","Days=T","Dir=V")</f>
        <v>0</v>
      </c>
      <c r="AA2">
        <f>BDH("AUUD US Equity","EBIT","1993-06-18","2026-05-02","Per=Y","Days=T","Dir=V")</f>
        <v>0</v>
      </c>
      <c r="AC2">
        <f>BDH("AUUD US Equity","EBITDA","1993-06-18","2026-05-02","Per=Y","Days=T","Dir=V")</f>
        <v>0</v>
      </c>
      <c r="AE2">
        <f>BDH("AUUD US Equity","NET_INCOME","1993-06-18","2026-05-02","Per=Y","Days=T","Dir=V")</f>
        <v>0</v>
      </c>
      <c r="AG2">
        <f>BDH("AUUD US Equity","IS_INT_EXPENSE","1993-06-18","2026-05-02","Per=Y","Days=T","Dir=V")</f>
        <v>0</v>
      </c>
      <c r="AI2">
        <f>BDH("AUUD US Equity","IS_DEPR_EXP","1993-06-18","2026-05-02","Per=Y","Days=T","Dir=V")</f>
        <v>0</v>
      </c>
      <c r="AK2">
        <f>BDH("AUUD US Equity","CF_CASH_FROM_OPER","1993-06-18","2026-05-02","Per=Y","Days=T","Dir=V")</f>
        <v>0</v>
      </c>
      <c r="AM2">
        <f>BDH("AUUD US Equity","CAPITAL_EXPEND","1993-06-18","2026-05-02","Per=Y","Days=T","Dir=V")</f>
        <v>0</v>
      </c>
      <c r="AO2">
        <f>BDH("AUUD US Equity","CF_FREE_CASH_FLOW","1993-06-18","2026-05-02","Per=Y","Days=T","Dir=V")</f>
        <v>0</v>
      </c>
      <c r="AQ2">
        <f>BDH("AUUD US Equity","PX_LAST","1993-06-18","2026-05-02","Per=M","Days=T","Dir=V")</f>
        <v>0</v>
      </c>
      <c r="AS2">
        <f>BDH("AUUD US Equity","CUR_MKT_CAP","1993-06-18","2026-05-02","Per=M","Days=T","Dir=V")</f>
        <v>0</v>
      </c>
      <c r="AU2">
        <f>BDH("AUUD US Equity","EQY_SH_OUT","1993-06-18","2026-05-02","Per=M","Days=T","Dir=V")</f>
        <v>0</v>
      </c>
      <c r="AW2">
        <f>BDH("AUUD US Equity","PX_VOLUME","1993-06-18","2026-05-02","Per=M","Days=T","Dir=V")</f>
        <v>0</v>
      </c>
      <c r="AY2">
        <f>BDH("AUUD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BDH("AVA US Equity","BS_TOT_ASSET","1993-06-18","2026-05-02","Per=Y","Days=T","Dir=V")</f>
        <v>0</v>
      </c>
      <c r="C2">
        <f>BDH("AVA US Equity","BS_TOT_LIAB2","1993-06-18","2026-05-02","Per=Y","Days=T","Dir=V")</f>
        <v>0</v>
      </c>
      <c r="E2">
        <f>BDH("AVA US Equity","SHORT_AND_LONG_TERM_DEBT","1993-06-18","2026-05-02","Per=Y","Days=T","Dir=V")</f>
        <v>0</v>
      </c>
      <c r="G2">
        <f>BDH("AVA US Equity","BS_ST_BORROW","1993-06-18","2026-05-02","Per=Y","Days=T","Dir=V")</f>
        <v>0</v>
      </c>
      <c r="I2">
        <f>BDH("AVA US Equity","BS_LT_BORROW","1993-06-18","2026-05-02","Per=Y","Days=T","Dir=V")</f>
        <v>0</v>
      </c>
      <c r="K2">
        <f>BDH("AVA US Equity","BS_CASH_NEAR_CASH_ITEM","1993-06-18","2026-05-02","Per=Y","Days=T","Dir=V")</f>
        <v>0</v>
      </c>
      <c r="M2">
        <f>BDH("AVA US Equity","BS_CUR_ASSET_REPORT","1993-06-18","2026-05-02","Per=Y","Days=T","Dir=V")</f>
        <v>0</v>
      </c>
      <c r="O2">
        <f>BDH("AVA US Equity","BS_CUR_LIAB","1993-06-18","2026-05-02","Per=Y","Days=T","Dir=V")</f>
        <v>0</v>
      </c>
      <c r="Q2">
        <f>BDH("AVA US Equity","BS_SHAREHOLDER_EQY_ENDING_PERIOD","1993-06-18","2026-05-02","Per=Y","Days=T","Dir=V")</f>
        <v>0</v>
      </c>
      <c r="S2">
        <f>BDH("AVA US Equity","BS_ACCT_NOTE_RCV","1993-06-18","2026-05-02","Per=Y","Days=T","Dir=V")</f>
        <v>0</v>
      </c>
      <c r="U2">
        <f>BDH("AVA US Equity","BS_INVENTORIES","1993-06-18","2026-05-02","Per=Y","Days=T","Dir=V")</f>
        <v>0</v>
      </c>
      <c r="W2">
        <f>BDH("AVA US Equity","WORKING_CAPITAL","1993-06-18","2026-05-02","Per=Y","Days=T","Dir=V")</f>
        <v>0</v>
      </c>
      <c r="Y2">
        <f>BDH("AVA US Equity","SALES_REV_TURN","1993-06-18","2026-05-02","Per=Y","Days=T","Dir=V")</f>
        <v>0</v>
      </c>
      <c r="AA2">
        <f>BDH("AVA US Equity","EBIT","1993-06-18","2026-05-02","Per=Y","Days=T","Dir=V")</f>
        <v>0</v>
      </c>
      <c r="AC2">
        <f>BDH("AVA US Equity","EBITDA","1993-06-18","2026-05-02","Per=Y","Days=T","Dir=V")</f>
        <v>0</v>
      </c>
      <c r="AE2">
        <f>BDH("AVA US Equity","NET_INCOME","1993-06-18","2026-05-02","Per=Y","Days=T","Dir=V")</f>
        <v>0</v>
      </c>
      <c r="AG2">
        <f>BDH("AVA US Equity","IS_INT_EXPENSE","1993-06-18","2026-05-02","Per=Y","Days=T","Dir=V")</f>
        <v>0</v>
      </c>
      <c r="AI2">
        <f>BDH("AVA US Equity","IS_DEPR_EXP","1993-06-18","2026-05-02","Per=Y","Days=T","Dir=V")</f>
        <v>0</v>
      </c>
      <c r="AK2">
        <f>BDH("AVA US Equity","CF_CASH_FROM_OPER","1993-06-18","2026-05-02","Per=Y","Days=T","Dir=V")</f>
        <v>0</v>
      </c>
      <c r="AM2">
        <f>BDH("AVA US Equity","CAPITAL_EXPEND","1993-06-18","2026-05-02","Per=Y","Days=T","Dir=V")</f>
        <v>0</v>
      </c>
      <c r="AO2">
        <f>BDH("AVA US Equity","CF_FREE_CASH_FLOW","1993-06-18","2026-05-02","Per=Y","Days=T","Dir=V")</f>
        <v>0</v>
      </c>
      <c r="AQ2">
        <f>BDH("AVA US Equity","PX_LAST","1993-06-18","2026-05-02","Per=M","Days=T","Dir=V")</f>
        <v>0</v>
      </c>
      <c r="AS2">
        <f>BDH("AVA US Equity","CUR_MKT_CAP","1993-06-18","2026-05-02","Per=M","Days=T","Dir=V")</f>
        <v>0</v>
      </c>
      <c r="AU2">
        <f>BDH("AVA US Equity","EQY_SH_OUT","1993-06-18","2026-05-02","Per=M","Days=T","Dir=V")</f>
        <v>0</v>
      </c>
      <c r="AW2">
        <f>BDH("AVA US Equity","PX_VOLUME","1993-06-18","2026-05-02","Per=M","Days=T","Dir=V")</f>
        <v>0</v>
      </c>
      <c r="AY2">
        <f>BDH("AVA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BDH("AVAH US Equity","BS_TOT_ASSET","1993-06-18","2026-05-02","Per=Y","Days=T","Dir=V")</f>
        <v>0</v>
      </c>
      <c r="C2">
        <f>BDH("AVAH US Equity","BS_TOT_LIAB2","1993-06-18","2026-05-02","Per=Y","Days=T","Dir=V")</f>
        <v>0</v>
      </c>
      <c r="E2">
        <f>BDH("AVAH US Equity","SHORT_AND_LONG_TERM_DEBT","1993-06-18","2026-05-02","Per=Y","Days=T","Dir=V")</f>
        <v>0</v>
      </c>
      <c r="G2">
        <f>BDH("AVAH US Equity","BS_ST_BORROW","1993-06-18","2026-05-02","Per=Y","Days=T","Dir=V")</f>
        <v>0</v>
      </c>
      <c r="I2">
        <f>BDH("AVAH US Equity","BS_LT_BORROW","1993-06-18","2026-05-02","Per=Y","Days=T","Dir=V")</f>
        <v>0</v>
      </c>
      <c r="K2">
        <f>BDH("AVAH US Equity","BS_CASH_NEAR_CASH_ITEM","1993-06-18","2026-05-02","Per=Y","Days=T","Dir=V")</f>
        <v>0</v>
      </c>
      <c r="M2">
        <f>BDH("AVAH US Equity","BS_CUR_ASSET_REPORT","1993-06-18","2026-05-02","Per=Y","Days=T","Dir=V")</f>
        <v>0</v>
      </c>
      <c r="O2">
        <f>BDH("AVAH US Equity","BS_CUR_LIAB","1993-06-18","2026-05-02","Per=Y","Days=T","Dir=V")</f>
        <v>0</v>
      </c>
      <c r="Q2">
        <f>BDH("AVAH US Equity","BS_SHAREHOLDER_EQY_ENDING_PERIOD","1993-06-18","2026-05-02","Per=Y","Days=T","Dir=V")</f>
        <v>0</v>
      </c>
      <c r="S2">
        <f>BDH("AVAH US Equity","BS_ACCT_NOTE_RCV","1993-06-18","2026-05-02","Per=Y","Days=T","Dir=V")</f>
        <v>0</v>
      </c>
      <c r="U2">
        <f>BDH("AVAH US Equity","BS_INVENTORIES","1993-06-18","2026-05-02","Per=Y","Days=T","Dir=V")</f>
        <v>0</v>
      </c>
      <c r="W2">
        <f>BDH("AVAH US Equity","WORKING_CAPITAL","1993-06-18","2026-05-02","Per=Y","Days=T","Dir=V")</f>
        <v>0</v>
      </c>
      <c r="Y2">
        <f>BDH("AVAH US Equity","SALES_REV_TURN","1993-06-18","2026-05-02","Per=Y","Days=T","Dir=V")</f>
        <v>0</v>
      </c>
      <c r="AA2">
        <f>BDH("AVAH US Equity","EBIT","1993-06-18","2026-05-02","Per=Y","Days=T","Dir=V")</f>
        <v>0</v>
      </c>
      <c r="AC2">
        <f>BDH("AVAH US Equity","EBITDA","1993-06-18","2026-05-02","Per=Y","Days=T","Dir=V")</f>
        <v>0</v>
      </c>
      <c r="AE2">
        <f>BDH("AVAH US Equity","NET_INCOME","1993-06-18","2026-05-02","Per=Y","Days=T","Dir=V")</f>
        <v>0</v>
      </c>
      <c r="AG2">
        <f>BDH("AVAH US Equity","IS_INT_EXPENSE","1993-06-18","2026-05-02","Per=Y","Days=T","Dir=V")</f>
        <v>0</v>
      </c>
      <c r="AI2">
        <f>BDH("AVAH US Equity","IS_DEPR_EXP","1993-06-18","2026-05-02","Per=Y","Days=T","Dir=V")</f>
        <v>0</v>
      </c>
      <c r="AK2">
        <f>BDH("AVAH US Equity","CF_CASH_FROM_OPER","1993-06-18","2026-05-02","Per=Y","Days=T","Dir=V")</f>
        <v>0</v>
      </c>
      <c r="AM2">
        <f>BDH("AVAH US Equity","CAPITAL_EXPEND","1993-06-18","2026-05-02","Per=Y","Days=T","Dir=V")</f>
        <v>0</v>
      </c>
      <c r="AO2">
        <f>BDH("AVAH US Equity","CF_FREE_CASH_FLOW","1993-06-18","2026-05-02","Per=Y","Days=T","Dir=V")</f>
        <v>0</v>
      </c>
      <c r="AQ2">
        <f>BDH("AVAH US Equity","PX_LAST","1993-06-18","2026-05-02","Per=M","Days=T","Dir=V")</f>
        <v>0</v>
      </c>
      <c r="AS2">
        <f>BDH("AVAH US Equity","CUR_MKT_CAP","1993-06-18","2026-05-02","Per=M","Days=T","Dir=V")</f>
        <v>0</v>
      </c>
      <c r="AU2">
        <f>BDH("AVAH US Equity","EQY_SH_OUT","1993-06-18","2026-05-02","Per=M","Days=T","Dir=V")</f>
        <v>0</v>
      </c>
      <c r="AW2">
        <f>BDH("AVAH US Equity","PX_VOLUME","1993-06-18","2026-05-02","Per=M","Days=T","Dir=V")</f>
        <v>0</v>
      </c>
      <c r="AY2">
        <f>BDH("AVAH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BDH("AVAV US Equity","BS_TOT_ASSET","1993-06-18","2026-05-02","Per=Y","Days=T","Dir=V")</f>
        <v>0</v>
      </c>
      <c r="C2">
        <f>BDH("AVAV US Equity","BS_TOT_LIAB2","1993-06-18","2026-05-02","Per=Y","Days=T","Dir=V")</f>
        <v>0</v>
      </c>
      <c r="E2">
        <f>BDH("AVAV US Equity","SHORT_AND_LONG_TERM_DEBT","1993-06-18","2026-05-02","Per=Y","Days=T","Dir=V")</f>
        <v>0</v>
      </c>
      <c r="G2">
        <f>BDH("AVAV US Equity","BS_ST_BORROW","1993-06-18","2026-05-02","Per=Y","Days=T","Dir=V")</f>
        <v>0</v>
      </c>
      <c r="I2">
        <f>BDH("AVAV US Equity","BS_LT_BORROW","1993-06-18","2026-05-02","Per=Y","Days=T","Dir=V")</f>
        <v>0</v>
      </c>
      <c r="K2">
        <f>BDH("AVAV US Equity","BS_CASH_NEAR_CASH_ITEM","1993-06-18","2026-05-02","Per=Y","Days=T","Dir=V")</f>
        <v>0</v>
      </c>
      <c r="M2">
        <f>BDH("AVAV US Equity","BS_CUR_ASSET_REPORT","1993-06-18","2026-05-02","Per=Y","Days=T","Dir=V")</f>
        <v>0</v>
      </c>
      <c r="O2">
        <f>BDH("AVAV US Equity","BS_CUR_LIAB","1993-06-18","2026-05-02","Per=Y","Days=T","Dir=V")</f>
        <v>0</v>
      </c>
      <c r="Q2">
        <f>BDH("AVAV US Equity","BS_SHAREHOLDER_EQY_ENDING_PERIOD","1993-06-18","2026-05-02","Per=Y","Days=T","Dir=V")</f>
        <v>0</v>
      </c>
      <c r="S2">
        <f>BDH("AVAV US Equity","BS_ACCT_NOTE_RCV","1993-06-18","2026-05-02","Per=Y","Days=T","Dir=V")</f>
        <v>0</v>
      </c>
      <c r="U2">
        <f>BDH("AVAV US Equity","BS_INVENTORIES","1993-06-18","2026-05-02","Per=Y","Days=T","Dir=V")</f>
        <v>0</v>
      </c>
      <c r="W2">
        <f>BDH("AVAV US Equity","WORKING_CAPITAL","1993-06-18","2026-05-02","Per=Y","Days=T","Dir=V")</f>
        <v>0</v>
      </c>
      <c r="Y2">
        <f>BDH("AVAV US Equity","SALES_REV_TURN","1993-06-18","2026-05-02","Per=Y","Days=T","Dir=V")</f>
        <v>0</v>
      </c>
      <c r="AA2">
        <f>BDH("AVAV US Equity","EBIT","1993-06-18","2026-05-02","Per=Y","Days=T","Dir=V")</f>
        <v>0</v>
      </c>
      <c r="AC2">
        <f>BDH("AVAV US Equity","EBITDA","1993-06-18","2026-05-02","Per=Y","Days=T","Dir=V")</f>
        <v>0</v>
      </c>
      <c r="AE2">
        <f>BDH("AVAV US Equity","NET_INCOME","1993-06-18","2026-05-02","Per=Y","Days=T","Dir=V")</f>
        <v>0</v>
      </c>
      <c r="AG2">
        <f>BDH("AVAV US Equity","IS_INT_EXPENSE","1993-06-18","2026-05-02","Per=Y","Days=T","Dir=V")</f>
        <v>0</v>
      </c>
      <c r="AI2">
        <f>BDH("AVAV US Equity","IS_DEPR_EXP","1993-06-18","2026-05-02","Per=Y","Days=T","Dir=V")</f>
        <v>0</v>
      </c>
      <c r="AK2">
        <f>BDH("AVAV US Equity","CF_CASH_FROM_OPER","1993-06-18","2026-05-02","Per=Y","Days=T","Dir=V")</f>
        <v>0</v>
      </c>
      <c r="AM2">
        <f>BDH("AVAV US Equity","CAPITAL_EXPEND","1993-06-18","2026-05-02","Per=Y","Days=T","Dir=V")</f>
        <v>0</v>
      </c>
      <c r="AO2">
        <f>BDH("AVAV US Equity","CF_FREE_CASH_FLOW","1993-06-18","2026-05-02","Per=Y","Days=T","Dir=V")</f>
        <v>0</v>
      </c>
      <c r="AQ2">
        <f>BDH("AVAV US Equity","PX_LAST","1993-06-18","2026-05-02","Per=M","Days=T","Dir=V")</f>
        <v>0</v>
      </c>
      <c r="AS2">
        <f>BDH("AVAV US Equity","CUR_MKT_CAP","1993-06-18","2026-05-02","Per=M","Days=T","Dir=V")</f>
        <v>0</v>
      </c>
      <c r="AU2">
        <f>BDH("AVAV US Equity","EQY_SH_OUT","1993-06-18","2026-05-02","Per=M","Days=T","Dir=V")</f>
        <v>0</v>
      </c>
      <c r="AW2">
        <f>BDH("AVAV US Equity","PX_VOLUME","1993-06-18","2026-05-02","Per=M","Days=T","Dir=V")</f>
        <v>0</v>
      </c>
      <c r="AY2">
        <f>BDH("AVAV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BDH("AVBP US Equity","BS_TOT_ASSET","1993-06-18","2026-05-02","Per=Y","Days=T","Dir=V")</f>
        <v>0</v>
      </c>
      <c r="C2">
        <f>BDH("AVBP US Equity","BS_TOT_LIAB2","1993-06-18","2026-05-02","Per=Y","Days=T","Dir=V")</f>
        <v>0</v>
      </c>
      <c r="E2">
        <f>BDH("AVBP US Equity","SHORT_AND_LONG_TERM_DEBT","1993-06-18","2026-05-02","Per=Y","Days=T","Dir=V")</f>
        <v>0</v>
      </c>
      <c r="G2">
        <f>BDH("AVBP US Equity","BS_ST_BORROW","1993-06-18","2026-05-02","Per=Y","Days=T","Dir=V")</f>
        <v>0</v>
      </c>
      <c r="I2">
        <f>BDH("AVBP US Equity","BS_LT_BORROW","1993-06-18","2026-05-02","Per=Y","Days=T","Dir=V")</f>
        <v>0</v>
      </c>
      <c r="K2">
        <f>BDH("AVBP US Equity","BS_CASH_NEAR_CASH_ITEM","1993-06-18","2026-05-02","Per=Y","Days=T","Dir=V")</f>
        <v>0</v>
      </c>
      <c r="M2">
        <f>BDH("AVBP US Equity","BS_CUR_ASSET_REPORT","1993-06-18","2026-05-02","Per=Y","Days=T","Dir=V")</f>
        <v>0</v>
      </c>
      <c r="O2">
        <f>BDH("AVBP US Equity","BS_CUR_LIAB","1993-06-18","2026-05-02","Per=Y","Days=T","Dir=V")</f>
        <v>0</v>
      </c>
      <c r="Q2">
        <f>BDH("AVBP US Equity","BS_SHAREHOLDER_EQY_ENDING_PERIOD","1993-06-18","2026-05-02","Per=Y","Days=T","Dir=V")</f>
        <v>0</v>
      </c>
      <c r="S2">
        <f>BDH("AVBP US Equity","BS_ACCT_NOTE_RCV","1993-06-18","2026-05-02","Per=Y","Days=T","Dir=V")</f>
        <v>0</v>
      </c>
      <c r="U2">
        <f>BDH("AVBP US Equity","BS_INVENTORIES","1993-06-18","2026-05-02","Per=Y","Days=T","Dir=V")</f>
        <v>0</v>
      </c>
      <c r="W2">
        <f>BDH("AVBP US Equity","WORKING_CAPITAL","1993-06-18","2026-05-02","Per=Y","Days=T","Dir=V")</f>
        <v>0</v>
      </c>
      <c r="Y2">
        <f>BDH("AVBP US Equity","SALES_REV_TURN","1993-06-18","2026-05-02","Per=Y","Days=T","Dir=V")</f>
        <v>0</v>
      </c>
      <c r="AA2">
        <f>BDH("AVBP US Equity","EBIT","1993-06-18","2026-05-02","Per=Y","Days=T","Dir=V")</f>
        <v>0</v>
      </c>
      <c r="AC2">
        <f>BDH("AVBP US Equity","EBITDA","1993-06-18","2026-05-02","Per=Y","Days=T","Dir=V")</f>
        <v>0</v>
      </c>
      <c r="AE2">
        <f>BDH("AVBP US Equity","NET_INCOME","1993-06-18","2026-05-02","Per=Y","Days=T","Dir=V")</f>
        <v>0</v>
      </c>
      <c r="AG2">
        <f>BDH("AVBP US Equity","IS_INT_EXPENSE","1993-06-18","2026-05-02","Per=Y","Days=T","Dir=V")</f>
        <v>0</v>
      </c>
      <c r="AI2">
        <f>BDH("AVBP US Equity","IS_DEPR_EXP","1993-06-18","2026-05-02","Per=Y","Days=T","Dir=V")</f>
        <v>0</v>
      </c>
      <c r="AK2">
        <f>BDH("AVBP US Equity","CF_CASH_FROM_OPER","1993-06-18","2026-05-02","Per=Y","Days=T","Dir=V")</f>
        <v>0</v>
      </c>
      <c r="AM2">
        <f>BDH("AVBP US Equity","CAPITAL_EXPEND","1993-06-18","2026-05-02","Per=Y","Days=T","Dir=V")</f>
        <v>0</v>
      </c>
      <c r="AO2">
        <f>BDH("AVBP US Equity","CF_FREE_CASH_FLOW","1993-06-18","2026-05-02","Per=Y","Days=T","Dir=V")</f>
        <v>0</v>
      </c>
      <c r="AQ2">
        <f>BDH("AVBP US Equity","PX_LAST","1993-06-18","2026-05-02","Per=M","Days=T","Dir=V")</f>
        <v>0</v>
      </c>
      <c r="AS2">
        <f>BDH("AVBP US Equity","CUR_MKT_CAP","1993-06-18","2026-05-02","Per=M","Days=T","Dir=V")</f>
        <v>0</v>
      </c>
      <c r="AU2">
        <f>BDH("AVBP US Equity","EQY_SH_OUT","1993-06-18","2026-05-02","Per=M","Days=T","Dir=V")</f>
        <v>0</v>
      </c>
      <c r="AW2">
        <f>BDH("AVBP US Equity","PX_VOLUME","1993-06-18","2026-05-02","Per=M","Days=T","Dir=V")</f>
        <v>0</v>
      </c>
      <c r="AY2">
        <f>BDH("AVBP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BDH("AVD US Equity","BS_TOT_ASSET","1993-06-18","2026-05-02","Per=Y","Days=T","Dir=V")</f>
        <v>0</v>
      </c>
      <c r="C2">
        <f>BDH("AVD US Equity","BS_TOT_LIAB2","1993-06-18","2026-05-02","Per=Y","Days=T","Dir=V")</f>
        <v>0</v>
      </c>
      <c r="E2">
        <f>BDH("AVD US Equity","SHORT_AND_LONG_TERM_DEBT","1993-06-18","2026-05-02","Per=Y","Days=T","Dir=V")</f>
        <v>0</v>
      </c>
      <c r="G2">
        <f>BDH("AVD US Equity","BS_ST_BORROW","1993-06-18","2026-05-02","Per=Y","Days=T","Dir=V")</f>
        <v>0</v>
      </c>
      <c r="I2">
        <f>BDH("AVD US Equity","BS_LT_BORROW","1993-06-18","2026-05-02","Per=Y","Days=T","Dir=V")</f>
        <v>0</v>
      </c>
      <c r="K2">
        <f>BDH("AVD US Equity","BS_CASH_NEAR_CASH_ITEM","1993-06-18","2026-05-02","Per=Y","Days=T","Dir=V")</f>
        <v>0</v>
      </c>
      <c r="M2">
        <f>BDH("AVD US Equity","BS_CUR_ASSET_REPORT","1993-06-18","2026-05-02","Per=Y","Days=T","Dir=V")</f>
        <v>0</v>
      </c>
      <c r="O2">
        <f>BDH("AVD US Equity","BS_CUR_LIAB","1993-06-18","2026-05-02","Per=Y","Days=T","Dir=V")</f>
        <v>0</v>
      </c>
      <c r="Q2">
        <f>BDH("AVD US Equity","BS_SHAREHOLDER_EQY_ENDING_PERIOD","1993-06-18","2026-05-02","Per=Y","Days=T","Dir=V")</f>
        <v>0</v>
      </c>
      <c r="S2">
        <f>BDH("AVD US Equity","BS_ACCT_NOTE_RCV","1993-06-18","2026-05-02","Per=Y","Days=T","Dir=V")</f>
        <v>0</v>
      </c>
      <c r="U2">
        <f>BDH("AVD US Equity","BS_INVENTORIES","1993-06-18","2026-05-02","Per=Y","Days=T","Dir=V")</f>
        <v>0</v>
      </c>
      <c r="W2">
        <f>BDH("AVD US Equity","WORKING_CAPITAL","1993-06-18","2026-05-02","Per=Y","Days=T","Dir=V")</f>
        <v>0</v>
      </c>
      <c r="Y2">
        <f>BDH("AVD US Equity","SALES_REV_TURN","1993-06-18","2026-05-02","Per=Y","Days=T","Dir=V")</f>
        <v>0</v>
      </c>
      <c r="AA2">
        <f>BDH("AVD US Equity","EBIT","1993-06-18","2026-05-02","Per=Y","Days=T","Dir=V")</f>
        <v>0</v>
      </c>
      <c r="AC2">
        <f>BDH("AVD US Equity","EBITDA","1993-06-18","2026-05-02","Per=Y","Days=T","Dir=V")</f>
        <v>0</v>
      </c>
      <c r="AE2">
        <f>BDH("AVD US Equity","NET_INCOME","1993-06-18","2026-05-02","Per=Y","Days=T","Dir=V")</f>
        <v>0</v>
      </c>
      <c r="AG2">
        <f>BDH("AVD US Equity","IS_INT_EXPENSE","1993-06-18","2026-05-02","Per=Y","Days=T","Dir=V")</f>
        <v>0</v>
      </c>
      <c r="AI2">
        <f>BDH("AVD US Equity","IS_DEPR_EXP","1993-06-18","2026-05-02","Per=Y","Days=T","Dir=V")</f>
        <v>0</v>
      </c>
      <c r="AK2">
        <f>BDH("AVD US Equity","CF_CASH_FROM_OPER","1993-06-18","2026-05-02","Per=Y","Days=T","Dir=V")</f>
        <v>0</v>
      </c>
      <c r="AM2">
        <f>BDH("AVD US Equity","CAPITAL_EXPEND","1993-06-18","2026-05-02","Per=Y","Days=T","Dir=V")</f>
        <v>0</v>
      </c>
      <c r="AO2">
        <f>BDH("AVD US Equity","CF_FREE_CASH_FLOW","1993-06-18","2026-05-02","Per=Y","Days=T","Dir=V")</f>
        <v>0</v>
      </c>
      <c r="AQ2">
        <f>BDH("AVD US Equity","PX_LAST","1993-06-18","2026-05-02","Per=M","Days=T","Dir=V")</f>
        <v>0</v>
      </c>
      <c r="AS2">
        <f>BDH("AVD US Equity","CUR_MKT_CAP","1993-06-18","2026-05-02","Per=M","Days=T","Dir=V")</f>
        <v>0</v>
      </c>
      <c r="AU2">
        <f>BDH("AVD US Equity","EQY_SH_OUT","1993-06-18","2026-05-02","Per=M","Days=T","Dir=V")</f>
        <v>0</v>
      </c>
      <c r="AW2">
        <f>BDH("AVD US Equity","PX_VOLUME","1993-06-18","2026-05-02","Per=M","Days=T","Dir=V")</f>
        <v>0</v>
      </c>
      <c r="AY2">
        <f>BDH("AVD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BDH("AVGO US Equity","BS_TOT_ASSET","1993-06-18","2026-05-02","Per=Y","Days=T","Dir=V")</f>
        <v>0</v>
      </c>
      <c r="C2">
        <f>BDH("AVGO US Equity","BS_TOT_LIAB2","1993-06-18","2026-05-02","Per=Y","Days=T","Dir=V")</f>
        <v>0</v>
      </c>
      <c r="E2">
        <f>BDH("AVGO US Equity","SHORT_AND_LONG_TERM_DEBT","1993-06-18","2026-05-02","Per=Y","Days=T","Dir=V")</f>
        <v>0</v>
      </c>
      <c r="G2">
        <f>BDH("AVGO US Equity","BS_ST_BORROW","1993-06-18","2026-05-02","Per=Y","Days=T","Dir=V")</f>
        <v>0</v>
      </c>
      <c r="I2">
        <f>BDH("AVGO US Equity","BS_LT_BORROW","1993-06-18","2026-05-02","Per=Y","Days=T","Dir=V")</f>
        <v>0</v>
      </c>
      <c r="K2">
        <f>BDH("AVGO US Equity","BS_CASH_NEAR_CASH_ITEM","1993-06-18","2026-05-02","Per=Y","Days=T","Dir=V")</f>
        <v>0</v>
      </c>
      <c r="M2">
        <f>BDH("AVGO US Equity","BS_CUR_ASSET_REPORT","1993-06-18","2026-05-02","Per=Y","Days=T","Dir=V")</f>
        <v>0</v>
      </c>
      <c r="O2">
        <f>BDH("AVGO US Equity","BS_CUR_LIAB","1993-06-18","2026-05-02","Per=Y","Days=T","Dir=V")</f>
        <v>0</v>
      </c>
      <c r="Q2">
        <f>BDH("AVGO US Equity","BS_SHAREHOLDER_EQY_ENDING_PERIOD","1993-06-18","2026-05-02","Per=Y","Days=T","Dir=V")</f>
        <v>0</v>
      </c>
      <c r="S2">
        <f>BDH("AVGO US Equity","BS_ACCT_NOTE_RCV","1993-06-18","2026-05-02","Per=Y","Days=T","Dir=V")</f>
        <v>0</v>
      </c>
      <c r="U2">
        <f>BDH("AVGO US Equity","BS_INVENTORIES","1993-06-18","2026-05-02","Per=Y","Days=T","Dir=V")</f>
        <v>0</v>
      </c>
      <c r="W2">
        <f>BDH("AVGO US Equity","WORKING_CAPITAL","1993-06-18","2026-05-02","Per=Y","Days=T","Dir=V")</f>
        <v>0</v>
      </c>
      <c r="Y2">
        <f>BDH("AVGO US Equity","SALES_REV_TURN","1993-06-18","2026-05-02","Per=Y","Days=T","Dir=V")</f>
        <v>0</v>
      </c>
      <c r="AA2">
        <f>BDH("AVGO US Equity","EBIT","1993-06-18","2026-05-02","Per=Y","Days=T","Dir=V")</f>
        <v>0</v>
      </c>
      <c r="AC2">
        <f>BDH("AVGO US Equity","EBITDA","1993-06-18","2026-05-02","Per=Y","Days=T","Dir=V")</f>
        <v>0</v>
      </c>
      <c r="AE2">
        <f>BDH("AVGO US Equity","NET_INCOME","1993-06-18","2026-05-02","Per=Y","Days=T","Dir=V")</f>
        <v>0</v>
      </c>
      <c r="AG2">
        <f>BDH("AVGO US Equity","IS_INT_EXPENSE","1993-06-18","2026-05-02","Per=Y","Days=T","Dir=V")</f>
        <v>0</v>
      </c>
      <c r="AI2">
        <f>BDH("AVGO US Equity","IS_DEPR_EXP","1993-06-18","2026-05-02","Per=Y","Days=T","Dir=V")</f>
        <v>0</v>
      </c>
      <c r="AK2">
        <f>BDH("AVGO US Equity","CF_CASH_FROM_OPER","1993-06-18","2026-05-02","Per=Y","Days=T","Dir=V")</f>
        <v>0</v>
      </c>
      <c r="AM2">
        <f>BDH("AVGO US Equity","CAPITAL_EXPEND","1993-06-18","2026-05-02","Per=Y","Days=T","Dir=V")</f>
        <v>0</v>
      </c>
      <c r="AO2">
        <f>BDH("AVGO US Equity","CF_FREE_CASH_FLOW","1993-06-18","2026-05-02","Per=Y","Days=T","Dir=V")</f>
        <v>0</v>
      </c>
      <c r="AQ2">
        <f>BDH("AVGO US Equity","PX_LAST","1993-06-18","2026-05-02","Per=M","Days=T","Dir=V")</f>
        <v>0</v>
      </c>
      <c r="AS2">
        <f>BDH("AVGO US Equity","CUR_MKT_CAP","1993-06-18","2026-05-02","Per=M","Days=T","Dir=V")</f>
        <v>0</v>
      </c>
      <c r="AU2">
        <f>BDH("AVGO US Equity","EQY_SH_OUT","1993-06-18","2026-05-02","Per=M","Days=T","Dir=V")</f>
        <v>0</v>
      </c>
      <c r="AW2">
        <f>BDH("AVGO US Equity","PX_VOLUME","1993-06-18","2026-05-02","Per=M","Days=T","Dir=V")</f>
        <v>0</v>
      </c>
      <c r="AY2">
        <f>BDH("AVGO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BDH("AVIR US Equity","BS_TOT_ASSET","1993-06-18","2026-05-02","Per=Y","Days=T","Dir=V")</f>
        <v>0</v>
      </c>
      <c r="C2">
        <f>BDH("AVIR US Equity","BS_TOT_LIAB2","1993-06-18","2026-05-02","Per=Y","Days=T","Dir=V")</f>
        <v>0</v>
      </c>
      <c r="E2">
        <f>BDH("AVIR US Equity","SHORT_AND_LONG_TERM_DEBT","1993-06-18","2026-05-02","Per=Y","Days=T","Dir=V")</f>
        <v>0</v>
      </c>
      <c r="G2">
        <f>BDH("AVIR US Equity","BS_ST_BORROW","1993-06-18","2026-05-02","Per=Y","Days=T","Dir=V")</f>
        <v>0</v>
      </c>
      <c r="I2">
        <f>BDH("AVIR US Equity","BS_LT_BORROW","1993-06-18","2026-05-02","Per=Y","Days=T","Dir=V")</f>
        <v>0</v>
      </c>
      <c r="K2">
        <f>BDH("AVIR US Equity","BS_CASH_NEAR_CASH_ITEM","1993-06-18","2026-05-02","Per=Y","Days=T","Dir=V")</f>
        <v>0</v>
      </c>
      <c r="M2">
        <f>BDH("AVIR US Equity","BS_CUR_ASSET_REPORT","1993-06-18","2026-05-02","Per=Y","Days=T","Dir=V")</f>
        <v>0</v>
      </c>
      <c r="O2">
        <f>BDH("AVIR US Equity","BS_CUR_LIAB","1993-06-18","2026-05-02","Per=Y","Days=T","Dir=V")</f>
        <v>0</v>
      </c>
      <c r="Q2">
        <f>BDH("AVIR US Equity","BS_SHAREHOLDER_EQY_ENDING_PERIOD","1993-06-18","2026-05-02","Per=Y","Days=T","Dir=V")</f>
        <v>0</v>
      </c>
      <c r="S2">
        <f>BDH("AVIR US Equity","BS_ACCT_NOTE_RCV","1993-06-18","2026-05-02","Per=Y","Days=T","Dir=V")</f>
        <v>0</v>
      </c>
      <c r="U2">
        <f>BDH("AVIR US Equity","BS_INVENTORIES","1993-06-18","2026-05-02","Per=Y","Days=T","Dir=V")</f>
        <v>0</v>
      </c>
      <c r="W2">
        <f>BDH("AVIR US Equity","WORKING_CAPITAL","1993-06-18","2026-05-02","Per=Y","Days=T","Dir=V")</f>
        <v>0</v>
      </c>
      <c r="Y2">
        <f>BDH("AVIR US Equity","SALES_REV_TURN","1993-06-18","2026-05-02","Per=Y","Days=T","Dir=V")</f>
        <v>0</v>
      </c>
      <c r="AA2">
        <f>BDH("AVIR US Equity","EBIT","1993-06-18","2026-05-02","Per=Y","Days=T","Dir=V")</f>
        <v>0</v>
      </c>
      <c r="AC2">
        <f>BDH("AVIR US Equity","EBITDA","1993-06-18","2026-05-02","Per=Y","Days=T","Dir=V")</f>
        <v>0</v>
      </c>
      <c r="AE2">
        <f>BDH("AVIR US Equity","NET_INCOME","1993-06-18","2026-05-02","Per=Y","Days=T","Dir=V")</f>
        <v>0</v>
      </c>
      <c r="AG2">
        <f>BDH("AVIR US Equity","IS_INT_EXPENSE","1993-06-18","2026-05-02","Per=Y","Days=T","Dir=V")</f>
        <v>0</v>
      </c>
      <c r="AI2">
        <f>BDH("AVIR US Equity","IS_DEPR_EXP","1993-06-18","2026-05-02","Per=Y","Days=T","Dir=V")</f>
        <v>0</v>
      </c>
      <c r="AK2">
        <f>BDH("AVIR US Equity","CF_CASH_FROM_OPER","1993-06-18","2026-05-02","Per=Y","Days=T","Dir=V")</f>
        <v>0</v>
      </c>
      <c r="AM2">
        <f>BDH("AVIR US Equity","CAPITAL_EXPEND","1993-06-18","2026-05-02","Per=Y","Days=T","Dir=V")</f>
        <v>0</v>
      </c>
      <c r="AO2">
        <f>BDH("AVIR US Equity","CF_FREE_CASH_FLOW","1993-06-18","2026-05-02","Per=Y","Days=T","Dir=V")</f>
        <v>0</v>
      </c>
      <c r="AQ2">
        <f>BDH("AVIR US Equity","PX_LAST","1993-06-18","2026-05-02","Per=M","Days=T","Dir=V")</f>
        <v>0</v>
      </c>
      <c r="AS2">
        <f>BDH("AVIR US Equity","CUR_MKT_CAP","1993-06-18","2026-05-02","Per=M","Days=T","Dir=V")</f>
        <v>0</v>
      </c>
      <c r="AU2">
        <f>BDH("AVIR US Equity","EQY_SH_OUT","1993-06-18","2026-05-02","Per=M","Days=T","Dir=V")</f>
        <v>0</v>
      </c>
      <c r="AW2">
        <f>BDH("AVIR US Equity","PX_VOLUME","1993-06-18","2026-05-02","Per=M","Days=T","Dir=V")</f>
        <v>0</v>
      </c>
      <c r="AY2">
        <f>BDH("AVIR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BDH("AVLN US Equity","BS_TOT_ASSET","1993-06-18","2026-05-02","Per=Y","Days=T","Dir=V")</f>
        <v>0</v>
      </c>
      <c r="C2">
        <f>BDH("AVLN US Equity","BS_TOT_LIAB2","1993-06-18","2026-05-02","Per=Y","Days=T","Dir=V")</f>
        <v>0</v>
      </c>
      <c r="E2">
        <f>BDH("AVLN US Equity","SHORT_AND_LONG_TERM_DEBT","1993-06-18","2026-05-02","Per=Y","Days=T","Dir=V")</f>
        <v>0</v>
      </c>
      <c r="G2">
        <f>BDH("AVLN US Equity","BS_ST_BORROW","1993-06-18","2026-05-02","Per=Y","Days=T","Dir=V")</f>
        <v>0</v>
      </c>
      <c r="I2">
        <f>BDH("AVLN US Equity","BS_LT_BORROW","1993-06-18","2026-05-02","Per=Y","Days=T","Dir=V")</f>
        <v>0</v>
      </c>
      <c r="K2">
        <f>BDH("AVLN US Equity","BS_CASH_NEAR_CASH_ITEM","1993-06-18","2026-05-02","Per=Y","Days=T","Dir=V")</f>
        <v>0</v>
      </c>
      <c r="M2">
        <f>BDH("AVLN US Equity","BS_CUR_ASSET_REPORT","1993-06-18","2026-05-02","Per=Y","Days=T","Dir=V")</f>
        <v>0</v>
      </c>
      <c r="O2">
        <f>BDH("AVLN US Equity","BS_CUR_LIAB","1993-06-18","2026-05-02","Per=Y","Days=T","Dir=V")</f>
        <v>0</v>
      </c>
      <c r="Q2">
        <f>BDH("AVLN US Equity","BS_SHAREHOLDER_EQY_ENDING_PERIOD","1993-06-18","2026-05-02","Per=Y","Days=T","Dir=V")</f>
        <v>0</v>
      </c>
      <c r="S2">
        <f>BDH("AVLN US Equity","BS_ACCT_NOTE_RCV","1993-06-18","2026-05-02","Per=Y","Days=T","Dir=V")</f>
        <v>0</v>
      </c>
      <c r="U2">
        <f>BDH("AVLN US Equity","BS_INVENTORIES","1993-06-18","2026-05-02","Per=Y","Days=T","Dir=V")</f>
        <v>0</v>
      </c>
      <c r="W2">
        <f>BDH("AVLN US Equity","WORKING_CAPITAL","1993-06-18","2026-05-02","Per=Y","Days=T","Dir=V")</f>
        <v>0</v>
      </c>
      <c r="Y2">
        <f>BDH("AVLN US Equity","SALES_REV_TURN","1993-06-18","2026-05-02","Per=Y","Days=T","Dir=V")</f>
        <v>0</v>
      </c>
      <c r="AA2">
        <f>BDH("AVLN US Equity","EBIT","1993-06-18","2026-05-02","Per=Y","Days=T","Dir=V")</f>
        <v>0</v>
      </c>
      <c r="AC2">
        <f>BDH("AVLN US Equity","EBITDA","1993-06-18","2026-05-02","Per=Y","Days=T","Dir=V")</f>
        <v>0</v>
      </c>
      <c r="AE2">
        <f>BDH("AVLN US Equity","NET_INCOME","1993-06-18","2026-05-02","Per=Y","Days=T","Dir=V")</f>
        <v>0</v>
      </c>
      <c r="AG2">
        <f>BDH("AVLN US Equity","IS_INT_EXPENSE","1993-06-18","2026-05-02","Per=Y","Days=T","Dir=V")</f>
        <v>0</v>
      </c>
      <c r="AI2">
        <f>BDH("AVLN US Equity","IS_DEPR_EXP","1993-06-18","2026-05-02","Per=Y","Days=T","Dir=V")</f>
        <v>0</v>
      </c>
      <c r="AK2">
        <f>BDH("AVLN US Equity","CF_CASH_FROM_OPER","1993-06-18","2026-05-02","Per=Y","Days=T","Dir=V")</f>
        <v>0</v>
      </c>
      <c r="AM2">
        <f>BDH("AVLN US Equity","CAPITAL_EXPEND","1993-06-18","2026-05-02","Per=Y","Days=T","Dir=V")</f>
        <v>0</v>
      </c>
      <c r="AO2">
        <f>BDH("AVLN US Equity","CF_FREE_CASH_FLOW","1993-06-18","2026-05-02","Per=Y","Days=T","Dir=V")</f>
        <v>0</v>
      </c>
      <c r="AQ2">
        <f>BDH("AVLN US Equity","PX_LAST","1993-06-18","2026-05-02","Per=M","Days=T","Dir=V")</f>
        <v>0</v>
      </c>
      <c r="AS2">
        <f>BDH("AVLN US Equity","CUR_MKT_CAP","1993-06-18","2026-05-02","Per=M","Days=T","Dir=V")</f>
        <v>0</v>
      </c>
      <c r="AU2">
        <f>BDH("AVLN US Equity","EQY_SH_OUT","1993-06-18","2026-05-02","Per=M","Days=T","Dir=V")</f>
        <v>0</v>
      </c>
      <c r="AW2">
        <f>BDH("AVLN US Equity","PX_VOLUME","1993-06-18","2026-05-02","Per=M","Days=T","Dir=V")</f>
        <v>0</v>
      </c>
      <c r="AY2">
        <f>BDH("AVLN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BDH("AVNT US Equity","BS_TOT_ASSET","1993-06-18","2026-05-02","Per=Y","Days=T","Dir=V")</f>
        <v>0</v>
      </c>
      <c r="C2">
        <f>BDH("AVNT US Equity","BS_TOT_LIAB2","1993-06-18","2026-05-02","Per=Y","Days=T","Dir=V")</f>
        <v>0</v>
      </c>
      <c r="E2">
        <f>BDH("AVNT US Equity","SHORT_AND_LONG_TERM_DEBT","1993-06-18","2026-05-02","Per=Y","Days=T","Dir=V")</f>
        <v>0</v>
      </c>
      <c r="G2">
        <f>BDH("AVNT US Equity","BS_ST_BORROW","1993-06-18","2026-05-02","Per=Y","Days=T","Dir=V")</f>
        <v>0</v>
      </c>
      <c r="I2">
        <f>BDH("AVNT US Equity","BS_LT_BORROW","1993-06-18","2026-05-02","Per=Y","Days=T","Dir=V")</f>
        <v>0</v>
      </c>
      <c r="K2">
        <f>BDH("AVNT US Equity","BS_CASH_NEAR_CASH_ITEM","1993-06-18","2026-05-02","Per=Y","Days=T","Dir=V")</f>
        <v>0</v>
      </c>
      <c r="M2">
        <f>BDH("AVNT US Equity","BS_CUR_ASSET_REPORT","1993-06-18","2026-05-02","Per=Y","Days=T","Dir=V")</f>
        <v>0</v>
      </c>
      <c r="O2">
        <f>BDH("AVNT US Equity","BS_CUR_LIAB","1993-06-18","2026-05-02","Per=Y","Days=T","Dir=V")</f>
        <v>0</v>
      </c>
      <c r="Q2">
        <f>BDH("AVNT US Equity","BS_SHAREHOLDER_EQY_ENDING_PERIOD","1993-06-18","2026-05-02","Per=Y","Days=T","Dir=V")</f>
        <v>0</v>
      </c>
      <c r="S2">
        <f>BDH("AVNT US Equity","BS_ACCT_NOTE_RCV","1993-06-18","2026-05-02","Per=Y","Days=T","Dir=V")</f>
        <v>0</v>
      </c>
      <c r="U2">
        <f>BDH("AVNT US Equity","BS_INVENTORIES","1993-06-18","2026-05-02","Per=Y","Days=T","Dir=V")</f>
        <v>0</v>
      </c>
      <c r="W2">
        <f>BDH("AVNT US Equity","WORKING_CAPITAL","1993-06-18","2026-05-02","Per=Y","Days=T","Dir=V")</f>
        <v>0</v>
      </c>
      <c r="Y2">
        <f>BDH("AVNT US Equity","SALES_REV_TURN","1993-06-18","2026-05-02","Per=Y","Days=T","Dir=V")</f>
        <v>0</v>
      </c>
      <c r="AA2">
        <f>BDH("AVNT US Equity","EBIT","1993-06-18","2026-05-02","Per=Y","Days=T","Dir=V")</f>
        <v>0</v>
      </c>
      <c r="AC2">
        <f>BDH("AVNT US Equity","EBITDA","1993-06-18","2026-05-02","Per=Y","Days=T","Dir=V")</f>
        <v>0</v>
      </c>
      <c r="AE2">
        <f>BDH("AVNT US Equity","NET_INCOME","1993-06-18","2026-05-02","Per=Y","Days=T","Dir=V")</f>
        <v>0</v>
      </c>
      <c r="AG2">
        <f>BDH("AVNT US Equity","IS_INT_EXPENSE","1993-06-18","2026-05-02","Per=Y","Days=T","Dir=V")</f>
        <v>0</v>
      </c>
      <c r="AI2">
        <f>BDH("AVNT US Equity","IS_DEPR_EXP","1993-06-18","2026-05-02","Per=Y","Days=T","Dir=V")</f>
        <v>0</v>
      </c>
      <c r="AK2">
        <f>BDH("AVNT US Equity","CF_CASH_FROM_OPER","1993-06-18","2026-05-02","Per=Y","Days=T","Dir=V")</f>
        <v>0</v>
      </c>
      <c r="AM2">
        <f>BDH("AVNT US Equity","CAPITAL_EXPEND","1993-06-18","2026-05-02","Per=Y","Days=T","Dir=V")</f>
        <v>0</v>
      </c>
      <c r="AO2">
        <f>BDH("AVNT US Equity","CF_FREE_CASH_FLOW","1993-06-18","2026-05-02","Per=Y","Days=T","Dir=V")</f>
        <v>0</v>
      </c>
      <c r="AQ2">
        <f>BDH("AVNT US Equity","PX_LAST","1993-06-18","2026-05-02","Per=M","Days=T","Dir=V")</f>
        <v>0</v>
      </c>
      <c r="AS2">
        <f>BDH("AVNT US Equity","CUR_MKT_CAP","1993-06-18","2026-05-02","Per=M","Days=T","Dir=V")</f>
        <v>0</v>
      </c>
      <c r="AU2">
        <f>BDH("AVNT US Equity","EQY_SH_OUT","1993-06-18","2026-05-02","Per=M","Days=T","Dir=V")</f>
        <v>0</v>
      </c>
      <c r="AW2">
        <f>BDH("AVNT US Equity","PX_VOLUME","1993-06-18","2026-05-02","Per=M","Days=T","Dir=V")</f>
        <v>0</v>
      </c>
      <c r="AY2">
        <f>BDH("AVNT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BDH("AVNW US Equity","BS_TOT_ASSET","1993-06-18","2026-05-02","Per=Y","Days=T","Dir=V")</f>
        <v>0</v>
      </c>
      <c r="C2">
        <f>BDH("AVNW US Equity","BS_TOT_LIAB2","1993-06-18","2026-05-02","Per=Y","Days=T","Dir=V")</f>
        <v>0</v>
      </c>
      <c r="E2">
        <f>BDH("AVNW US Equity","SHORT_AND_LONG_TERM_DEBT","1993-06-18","2026-05-02","Per=Y","Days=T","Dir=V")</f>
        <v>0</v>
      </c>
      <c r="G2">
        <f>BDH("AVNW US Equity","BS_ST_BORROW","1993-06-18","2026-05-02","Per=Y","Days=T","Dir=V")</f>
        <v>0</v>
      </c>
      <c r="I2">
        <f>BDH("AVNW US Equity","BS_LT_BORROW","1993-06-18","2026-05-02","Per=Y","Days=T","Dir=V")</f>
        <v>0</v>
      </c>
      <c r="K2">
        <f>BDH("AVNW US Equity","BS_CASH_NEAR_CASH_ITEM","1993-06-18","2026-05-02","Per=Y","Days=T","Dir=V")</f>
        <v>0</v>
      </c>
      <c r="M2">
        <f>BDH("AVNW US Equity","BS_CUR_ASSET_REPORT","1993-06-18","2026-05-02","Per=Y","Days=T","Dir=V")</f>
        <v>0</v>
      </c>
      <c r="O2">
        <f>BDH("AVNW US Equity","BS_CUR_LIAB","1993-06-18","2026-05-02","Per=Y","Days=T","Dir=V")</f>
        <v>0</v>
      </c>
      <c r="Q2">
        <f>BDH("AVNW US Equity","BS_SHAREHOLDER_EQY_ENDING_PERIOD","1993-06-18","2026-05-02","Per=Y","Days=T","Dir=V")</f>
        <v>0</v>
      </c>
      <c r="S2">
        <f>BDH("AVNW US Equity","BS_ACCT_NOTE_RCV","1993-06-18","2026-05-02","Per=Y","Days=T","Dir=V")</f>
        <v>0</v>
      </c>
      <c r="U2">
        <f>BDH("AVNW US Equity","BS_INVENTORIES","1993-06-18","2026-05-02","Per=Y","Days=T","Dir=V")</f>
        <v>0</v>
      </c>
      <c r="W2">
        <f>BDH("AVNW US Equity","WORKING_CAPITAL","1993-06-18","2026-05-02","Per=Y","Days=T","Dir=V")</f>
        <v>0</v>
      </c>
      <c r="Y2">
        <f>BDH("AVNW US Equity","SALES_REV_TURN","1993-06-18","2026-05-02","Per=Y","Days=T","Dir=V")</f>
        <v>0</v>
      </c>
      <c r="AA2">
        <f>BDH("AVNW US Equity","EBIT","1993-06-18","2026-05-02","Per=Y","Days=T","Dir=V")</f>
        <v>0</v>
      </c>
      <c r="AC2">
        <f>BDH("AVNW US Equity","EBITDA","1993-06-18","2026-05-02","Per=Y","Days=T","Dir=V")</f>
        <v>0</v>
      </c>
      <c r="AE2">
        <f>BDH("AVNW US Equity","NET_INCOME","1993-06-18","2026-05-02","Per=Y","Days=T","Dir=V")</f>
        <v>0</v>
      </c>
      <c r="AG2">
        <f>BDH("AVNW US Equity","IS_INT_EXPENSE","1993-06-18","2026-05-02","Per=Y","Days=T","Dir=V")</f>
        <v>0</v>
      </c>
      <c r="AI2">
        <f>BDH("AVNW US Equity","IS_DEPR_EXP","1993-06-18","2026-05-02","Per=Y","Days=T","Dir=V")</f>
        <v>0</v>
      </c>
      <c r="AK2">
        <f>BDH("AVNW US Equity","CF_CASH_FROM_OPER","1993-06-18","2026-05-02","Per=Y","Days=T","Dir=V")</f>
        <v>0</v>
      </c>
      <c r="AM2">
        <f>BDH("AVNW US Equity","CAPITAL_EXPEND","1993-06-18","2026-05-02","Per=Y","Days=T","Dir=V")</f>
        <v>0</v>
      </c>
      <c r="AO2">
        <f>BDH("AVNW US Equity","CF_FREE_CASH_FLOW","1993-06-18","2026-05-02","Per=Y","Days=T","Dir=V")</f>
        <v>0</v>
      </c>
      <c r="AQ2">
        <f>BDH("AVNW US Equity","PX_LAST","1993-06-18","2026-05-02","Per=M","Days=T","Dir=V")</f>
        <v>0</v>
      </c>
      <c r="AS2">
        <f>BDH("AVNW US Equity","CUR_MKT_CAP","1993-06-18","2026-05-02","Per=M","Days=T","Dir=V")</f>
        <v>0</v>
      </c>
      <c r="AU2">
        <f>BDH("AVNW US Equity","EQY_SH_OUT","1993-06-18","2026-05-02","Per=M","Days=T","Dir=V")</f>
        <v>0</v>
      </c>
      <c r="AW2">
        <f>BDH("AVNW US Equity","PX_VOLUME","1993-06-18","2026-05-02","Per=M","Days=T","Dir=V")</f>
        <v>0</v>
      </c>
      <c r="AY2">
        <f>BDH("AVNW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BDH("AVO US Equity","BS_TOT_ASSET","1993-06-18","2026-05-02","Per=Y","Days=T","Dir=V")</f>
        <v>0</v>
      </c>
      <c r="C2">
        <f>BDH("AVO US Equity","BS_TOT_LIAB2","1993-06-18","2026-05-02","Per=Y","Days=T","Dir=V")</f>
        <v>0</v>
      </c>
      <c r="E2">
        <f>BDH("AVO US Equity","SHORT_AND_LONG_TERM_DEBT","1993-06-18","2026-05-02","Per=Y","Days=T","Dir=V")</f>
        <v>0</v>
      </c>
      <c r="G2">
        <f>BDH("AVO US Equity","BS_ST_BORROW","1993-06-18","2026-05-02","Per=Y","Days=T","Dir=V")</f>
        <v>0</v>
      </c>
      <c r="I2">
        <f>BDH("AVO US Equity","BS_LT_BORROW","1993-06-18","2026-05-02","Per=Y","Days=T","Dir=V")</f>
        <v>0</v>
      </c>
      <c r="K2">
        <f>BDH("AVO US Equity","BS_CASH_NEAR_CASH_ITEM","1993-06-18","2026-05-02","Per=Y","Days=T","Dir=V")</f>
        <v>0</v>
      </c>
      <c r="M2">
        <f>BDH("AVO US Equity","BS_CUR_ASSET_REPORT","1993-06-18","2026-05-02","Per=Y","Days=T","Dir=V")</f>
        <v>0</v>
      </c>
      <c r="O2">
        <f>BDH("AVO US Equity","BS_CUR_LIAB","1993-06-18","2026-05-02","Per=Y","Days=T","Dir=V")</f>
        <v>0</v>
      </c>
      <c r="Q2">
        <f>BDH("AVO US Equity","BS_SHAREHOLDER_EQY_ENDING_PERIOD","1993-06-18","2026-05-02","Per=Y","Days=T","Dir=V")</f>
        <v>0</v>
      </c>
      <c r="S2">
        <f>BDH("AVO US Equity","BS_ACCT_NOTE_RCV","1993-06-18","2026-05-02","Per=Y","Days=T","Dir=V")</f>
        <v>0</v>
      </c>
      <c r="U2">
        <f>BDH("AVO US Equity","BS_INVENTORIES","1993-06-18","2026-05-02","Per=Y","Days=T","Dir=V")</f>
        <v>0</v>
      </c>
      <c r="W2">
        <f>BDH("AVO US Equity","WORKING_CAPITAL","1993-06-18","2026-05-02","Per=Y","Days=T","Dir=V")</f>
        <v>0</v>
      </c>
      <c r="Y2">
        <f>BDH("AVO US Equity","SALES_REV_TURN","1993-06-18","2026-05-02","Per=Y","Days=T","Dir=V")</f>
        <v>0</v>
      </c>
      <c r="AA2">
        <f>BDH("AVO US Equity","EBIT","1993-06-18","2026-05-02","Per=Y","Days=T","Dir=V")</f>
        <v>0</v>
      </c>
      <c r="AC2">
        <f>BDH("AVO US Equity","EBITDA","1993-06-18","2026-05-02","Per=Y","Days=T","Dir=V")</f>
        <v>0</v>
      </c>
      <c r="AE2">
        <f>BDH("AVO US Equity","NET_INCOME","1993-06-18","2026-05-02","Per=Y","Days=T","Dir=V")</f>
        <v>0</v>
      </c>
      <c r="AG2">
        <f>BDH("AVO US Equity","IS_INT_EXPENSE","1993-06-18","2026-05-02","Per=Y","Days=T","Dir=V")</f>
        <v>0</v>
      </c>
      <c r="AI2">
        <f>BDH("AVO US Equity","IS_DEPR_EXP","1993-06-18","2026-05-02","Per=Y","Days=T","Dir=V")</f>
        <v>0</v>
      </c>
      <c r="AK2">
        <f>BDH("AVO US Equity","CF_CASH_FROM_OPER","1993-06-18","2026-05-02","Per=Y","Days=T","Dir=V")</f>
        <v>0</v>
      </c>
      <c r="AM2">
        <f>BDH("AVO US Equity","CAPITAL_EXPEND","1993-06-18","2026-05-02","Per=Y","Days=T","Dir=V")</f>
        <v>0</v>
      </c>
      <c r="AO2">
        <f>BDH("AVO US Equity","CF_FREE_CASH_FLOW","1993-06-18","2026-05-02","Per=Y","Days=T","Dir=V")</f>
        <v>0</v>
      </c>
      <c r="AQ2">
        <f>BDH("AVO US Equity","PX_LAST","1993-06-18","2026-05-02","Per=M","Days=T","Dir=V")</f>
        <v>0</v>
      </c>
      <c r="AS2">
        <f>BDH("AVO US Equity","CUR_MKT_CAP","1993-06-18","2026-05-02","Per=M","Days=T","Dir=V")</f>
        <v>0</v>
      </c>
      <c r="AU2">
        <f>BDH("AVO US Equity","EQY_SH_OUT","1993-06-18","2026-05-02","Per=M","Days=T","Dir=V")</f>
        <v>0</v>
      </c>
      <c r="AW2">
        <f>BDH("AVO US Equity","PX_VOLUME","1993-06-18","2026-05-02","Per=M","Days=T","Dir=V")</f>
        <v>0</v>
      </c>
      <c r="AY2">
        <f>BDH("AVO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BDH("AVPT US Equity","BS_TOT_ASSET","1993-06-18","2026-05-02","Per=Y","Days=T","Dir=V")</f>
        <v>0</v>
      </c>
      <c r="C2">
        <f>BDH("AVPT US Equity","BS_TOT_LIAB2","1993-06-18","2026-05-02","Per=Y","Days=T","Dir=V")</f>
        <v>0</v>
      </c>
      <c r="E2">
        <f>BDH("AVPT US Equity","SHORT_AND_LONG_TERM_DEBT","1993-06-18","2026-05-02","Per=Y","Days=T","Dir=V")</f>
        <v>0</v>
      </c>
      <c r="G2">
        <f>BDH("AVPT US Equity","BS_ST_BORROW","1993-06-18","2026-05-02","Per=Y","Days=T","Dir=V")</f>
        <v>0</v>
      </c>
      <c r="I2">
        <f>BDH("AVPT US Equity","BS_LT_BORROW","1993-06-18","2026-05-02","Per=Y","Days=T","Dir=V")</f>
        <v>0</v>
      </c>
      <c r="K2">
        <f>BDH("AVPT US Equity","BS_CASH_NEAR_CASH_ITEM","1993-06-18","2026-05-02","Per=Y","Days=T","Dir=V")</f>
        <v>0</v>
      </c>
      <c r="M2">
        <f>BDH("AVPT US Equity","BS_CUR_ASSET_REPORT","1993-06-18","2026-05-02","Per=Y","Days=T","Dir=V")</f>
        <v>0</v>
      </c>
      <c r="O2">
        <f>BDH("AVPT US Equity","BS_CUR_LIAB","1993-06-18","2026-05-02","Per=Y","Days=T","Dir=V")</f>
        <v>0</v>
      </c>
      <c r="Q2">
        <f>BDH("AVPT US Equity","BS_SHAREHOLDER_EQY_ENDING_PERIOD","1993-06-18","2026-05-02","Per=Y","Days=T","Dir=V")</f>
        <v>0</v>
      </c>
      <c r="S2">
        <f>BDH("AVPT US Equity","BS_ACCT_NOTE_RCV","1993-06-18","2026-05-02","Per=Y","Days=T","Dir=V")</f>
        <v>0</v>
      </c>
      <c r="U2">
        <f>BDH("AVPT US Equity","BS_INVENTORIES","1993-06-18","2026-05-02","Per=Y","Days=T","Dir=V")</f>
        <v>0</v>
      </c>
      <c r="W2">
        <f>BDH("AVPT US Equity","WORKING_CAPITAL","1993-06-18","2026-05-02","Per=Y","Days=T","Dir=V")</f>
        <v>0</v>
      </c>
      <c r="Y2">
        <f>BDH("AVPT US Equity","SALES_REV_TURN","1993-06-18","2026-05-02","Per=Y","Days=T","Dir=V")</f>
        <v>0</v>
      </c>
      <c r="AA2">
        <f>BDH("AVPT US Equity","EBIT","1993-06-18","2026-05-02","Per=Y","Days=T","Dir=V")</f>
        <v>0</v>
      </c>
      <c r="AC2">
        <f>BDH("AVPT US Equity","EBITDA","1993-06-18","2026-05-02","Per=Y","Days=T","Dir=V")</f>
        <v>0</v>
      </c>
      <c r="AE2">
        <f>BDH("AVPT US Equity","NET_INCOME","1993-06-18","2026-05-02","Per=Y","Days=T","Dir=V")</f>
        <v>0</v>
      </c>
      <c r="AG2">
        <f>BDH("AVPT US Equity","IS_INT_EXPENSE","1993-06-18","2026-05-02","Per=Y","Days=T","Dir=V")</f>
        <v>0</v>
      </c>
      <c r="AI2">
        <f>BDH("AVPT US Equity","IS_DEPR_EXP","1993-06-18","2026-05-02","Per=Y","Days=T","Dir=V")</f>
        <v>0</v>
      </c>
      <c r="AK2">
        <f>BDH("AVPT US Equity","CF_CASH_FROM_OPER","1993-06-18","2026-05-02","Per=Y","Days=T","Dir=V")</f>
        <v>0</v>
      </c>
      <c r="AM2">
        <f>BDH("AVPT US Equity","CAPITAL_EXPEND","1993-06-18","2026-05-02","Per=Y","Days=T","Dir=V")</f>
        <v>0</v>
      </c>
      <c r="AO2">
        <f>BDH("AVPT US Equity","CF_FREE_CASH_FLOW","1993-06-18","2026-05-02","Per=Y","Days=T","Dir=V")</f>
        <v>0</v>
      </c>
      <c r="AQ2">
        <f>BDH("AVPT US Equity","PX_LAST","1993-06-18","2026-05-02","Per=M","Days=T","Dir=V")</f>
        <v>0</v>
      </c>
      <c r="AS2">
        <f>BDH("AVPT US Equity","CUR_MKT_CAP","1993-06-18","2026-05-02","Per=M","Days=T","Dir=V")</f>
        <v>0</v>
      </c>
      <c r="AU2">
        <f>BDH("AVPT US Equity","EQY_SH_OUT","1993-06-18","2026-05-02","Per=M","Days=T","Dir=V")</f>
        <v>0</v>
      </c>
      <c r="AW2">
        <f>BDH("AVPT US Equity","PX_VOLUME","1993-06-18","2026-05-02","Per=M","Days=T","Dir=V")</f>
        <v>0</v>
      </c>
      <c r="AY2">
        <f>BDH("AVPT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BDH("AVR US Equity","BS_TOT_ASSET","1993-06-18","2026-05-02","Per=Y","Days=T","Dir=V")</f>
        <v>0</v>
      </c>
      <c r="C2">
        <f>BDH("AVR US Equity","BS_TOT_LIAB2","1993-06-18","2026-05-02","Per=Y","Days=T","Dir=V")</f>
        <v>0</v>
      </c>
      <c r="E2">
        <f>BDH("AVR US Equity","SHORT_AND_LONG_TERM_DEBT","1993-06-18","2026-05-02","Per=Y","Days=T","Dir=V")</f>
        <v>0</v>
      </c>
      <c r="G2">
        <f>BDH("AVR US Equity","BS_ST_BORROW","1993-06-18","2026-05-02","Per=Y","Days=T","Dir=V")</f>
        <v>0</v>
      </c>
      <c r="I2">
        <f>BDH("AVR US Equity","BS_LT_BORROW","1993-06-18","2026-05-02","Per=Y","Days=T","Dir=V")</f>
        <v>0</v>
      </c>
      <c r="K2">
        <f>BDH("AVR US Equity","BS_CASH_NEAR_CASH_ITEM","1993-06-18","2026-05-02","Per=Y","Days=T","Dir=V")</f>
        <v>0</v>
      </c>
      <c r="M2">
        <f>BDH("AVR US Equity","BS_CUR_ASSET_REPORT","1993-06-18","2026-05-02","Per=Y","Days=T","Dir=V")</f>
        <v>0</v>
      </c>
      <c r="O2">
        <f>BDH("AVR US Equity","BS_CUR_LIAB","1993-06-18","2026-05-02","Per=Y","Days=T","Dir=V")</f>
        <v>0</v>
      </c>
      <c r="Q2">
        <f>BDH("AVR US Equity","BS_SHAREHOLDER_EQY_ENDING_PERIOD","1993-06-18","2026-05-02","Per=Y","Days=T","Dir=V")</f>
        <v>0</v>
      </c>
      <c r="S2">
        <f>BDH("AVR US Equity","BS_ACCT_NOTE_RCV","1993-06-18","2026-05-02","Per=Y","Days=T","Dir=V")</f>
        <v>0</v>
      </c>
      <c r="U2">
        <f>BDH("AVR US Equity","BS_INVENTORIES","1993-06-18","2026-05-02","Per=Y","Days=T","Dir=V")</f>
        <v>0</v>
      </c>
      <c r="W2">
        <f>BDH("AVR US Equity","WORKING_CAPITAL","1993-06-18","2026-05-02","Per=Y","Days=T","Dir=V")</f>
        <v>0</v>
      </c>
      <c r="Y2">
        <f>BDH("AVR US Equity","SALES_REV_TURN","1993-06-18","2026-05-02","Per=Y","Days=T","Dir=V")</f>
        <v>0</v>
      </c>
      <c r="AA2">
        <f>BDH("AVR US Equity","EBIT","1993-06-18","2026-05-02","Per=Y","Days=T","Dir=V")</f>
        <v>0</v>
      </c>
      <c r="AC2">
        <f>BDH("AVR US Equity","EBITDA","1993-06-18","2026-05-02","Per=Y","Days=T","Dir=V")</f>
        <v>0</v>
      </c>
      <c r="AE2">
        <f>BDH("AVR US Equity","NET_INCOME","1993-06-18","2026-05-02","Per=Y","Days=T","Dir=V")</f>
        <v>0</v>
      </c>
      <c r="AG2">
        <f>BDH("AVR US Equity","IS_INT_EXPENSE","1993-06-18","2026-05-02","Per=Y","Days=T","Dir=V")</f>
        <v>0</v>
      </c>
      <c r="AI2">
        <f>BDH("AVR US Equity","IS_DEPR_EXP","1993-06-18","2026-05-02","Per=Y","Days=T","Dir=V")</f>
        <v>0</v>
      </c>
      <c r="AK2">
        <f>BDH("AVR US Equity","CF_CASH_FROM_OPER","1993-06-18","2026-05-02","Per=Y","Days=T","Dir=V")</f>
        <v>0</v>
      </c>
      <c r="AM2">
        <f>BDH("AVR US Equity","CAPITAL_EXPEND","1993-06-18","2026-05-02","Per=Y","Days=T","Dir=V")</f>
        <v>0</v>
      </c>
      <c r="AO2">
        <f>BDH("AVR US Equity","CF_FREE_CASH_FLOW","1993-06-18","2026-05-02","Per=Y","Days=T","Dir=V")</f>
        <v>0</v>
      </c>
      <c r="AQ2">
        <f>BDH("AVR US Equity","PX_LAST","1993-06-18","2026-05-02","Per=M","Days=T","Dir=V")</f>
        <v>0</v>
      </c>
      <c r="AS2">
        <f>BDH("AVR US Equity","CUR_MKT_CAP","1993-06-18","2026-05-02","Per=M","Days=T","Dir=V")</f>
        <v>0</v>
      </c>
      <c r="AU2">
        <f>BDH("AVR US Equity","EQY_SH_OUT","1993-06-18","2026-05-02","Per=M","Days=T","Dir=V")</f>
        <v>0</v>
      </c>
      <c r="AW2">
        <f>BDH("AVR US Equity","PX_VOLUME","1993-06-18","2026-05-02","Per=M","Days=T","Dir=V")</f>
        <v>0</v>
      </c>
      <c r="AY2">
        <f>BDH("AVR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BDH("AVT US Equity","BS_TOT_ASSET","1993-06-18","2026-05-02","Per=Y","Days=T","Dir=V")</f>
        <v>0</v>
      </c>
      <c r="C2">
        <f>BDH("AVT US Equity","BS_TOT_LIAB2","1993-06-18","2026-05-02","Per=Y","Days=T","Dir=V")</f>
        <v>0</v>
      </c>
      <c r="E2">
        <f>BDH("AVT US Equity","SHORT_AND_LONG_TERM_DEBT","1993-06-18","2026-05-02","Per=Y","Days=T","Dir=V")</f>
        <v>0</v>
      </c>
      <c r="G2">
        <f>BDH("AVT US Equity","BS_ST_BORROW","1993-06-18","2026-05-02","Per=Y","Days=T","Dir=V")</f>
        <v>0</v>
      </c>
      <c r="I2">
        <f>BDH("AVT US Equity","BS_LT_BORROW","1993-06-18","2026-05-02","Per=Y","Days=T","Dir=V")</f>
        <v>0</v>
      </c>
      <c r="K2">
        <f>BDH("AVT US Equity","BS_CASH_NEAR_CASH_ITEM","1993-06-18","2026-05-02","Per=Y","Days=T","Dir=V")</f>
        <v>0</v>
      </c>
      <c r="M2">
        <f>BDH("AVT US Equity","BS_CUR_ASSET_REPORT","1993-06-18","2026-05-02","Per=Y","Days=T","Dir=V")</f>
        <v>0</v>
      </c>
      <c r="O2">
        <f>BDH("AVT US Equity","BS_CUR_LIAB","1993-06-18","2026-05-02","Per=Y","Days=T","Dir=V")</f>
        <v>0</v>
      </c>
      <c r="Q2">
        <f>BDH("AVT US Equity","BS_SHAREHOLDER_EQY_ENDING_PERIOD","1993-06-18","2026-05-02","Per=Y","Days=T","Dir=V")</f>
        <v>0</v>
      </c>
      <c r="S2">
        <f>BDH("AVT US Equity","BS_ACCT_NOTE_RCV","1993-06-18","2026-05-02","Per=Y","Days=T","Dir=V")</f>
        <v>0</v>
      </c>
      <c r="U2">
        <f>BDH("AVT US Equity","BS_INVENTORIES","1993-06-18","2026-05-02","Per=Y","Days=T","Dir=V")</f>
        <v>0</v>
      </c>
      <c r="W2">
        <f>BDH("AVT US Equity","WORKING_CAPITAL","1993-06-18","2026-05-02","Per=Y","Days=T","Dir=V")</f>
        <v>0</v>
      </c>
      <c r="Y2">
        <f>BDH("AVT US Equity","SALES_REV_TURN","1993-06-18","2026-05-02","Per=Y","Days=T","Dir=V")</f>
        <v>0</v>
      </c>
      <c r="AA2">
        <f>BDH("AVT US Equity","EBIT","1993-06-18","2026-05-02","Per=Y","Days=T","Dir=V")</f>
        <v>0</v>
      </c>
      <c r="AC2">
        <f>BDH("AVT US Equity","EBITDA","1993-06-18","2026-05-02","Per=Y","Days=T","Dir=V")</f>
        <v>0</v>
      </c>
      <c r="AE2">
        <f>BDH("AVT US Equity","NET_INCOME","1993-06-18","2026-05-02","Per=Y","Days=T","Dir=V")</f>
        <v>0</v>
      </c>
      <c r="AG2">
        <f>BDH("AVT US Equity","IS_INT_EXPENSE","1993-06-18","2026-05-02","Per=Y","Days=T","Dir=V")</f>
        <v>0</v>
      </c>
      <c r="AI2">
        <f>BDH("AVT US Equity","IS_DEPR_EXP","1993-06-18","2026-05-02","Per=Y","Days=T","Dir=V")</f>
        <v>0</v>
      </c>
      <c r="AK2">
        <f>BDH("AVT US Equity","CF_CASH_FROM_OPER","1993-06-18","2026-05-02","Per=Y","Days=T","Dir=V")</f>
        <v>0</v>
      </c>
      <c r="AM2">
        <f>BDH("AVT US Equity","CAPITAL_EXPEND","1993-06-18","2026-05-02","Per=Y","Days=T","Dir=V")</f>
        <v>0</v>
      </c>
      <c r="AO2">
        <f>BDH("AVT US Equity","CF_FREE_CASH_FLOW","1993-06-18","2026-05-02","Per=Y","Days=T","Dir=V")</f>
        <v>0</v>
      </c>
      <c r="AQ2">
        <f>BDH("AVT US Equity","PX_LAST","1993-06-18","2026-05-02","Per=M","Days=T","Dir=V")</f>
        <v>0</v>
      </c>
      <c r="AS2">
        <f>BDH("AVT US Equity","CUR_MKT_CAP","1993-06-18","2026-05-02","Per=M","Days=T","Dir=V")</f>
        <v>0</v>
      </c>
      <c r="AU2">
        <f>BDH("AVT US Equity","EQY_SH_OUT","1993-06-18","2026-05-02","Per=M","Days=T","Dir=V")</f>
        <v>0</v>
      </c>
      <c r="AW2">
        <f>BDH("AVT US Equity","PX_VOLUME","1993-06-18","2026-05-02","Per=M","Days=T","Dir=V")</f>
        <v>0</v>
      </c>
      <c r="AY2">
        <f>BDH("AVT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BDH("AVTR US Equity","BS_TOT_ASSET","1993-06-18","2026-05-02","Per=Y","Days=T","Dir=V")</f>
        <v>0</v>
      </c>
      <c r="C2">
        <f>BDH("AVTR US Equity","BS_TOT_LIAB2","1993-06-18","2026-05-02","Per=Y","Days=T","Dir=V")</f>
        <v>0</v>
      </c>
      <c r="E2">
        <f>BDH("AVTR US Equity","SHORT_AND_LONG_TERM_DEBT","1993-06-18","2026-05-02","Per=Y","Days=T","Dir=V")</f>
        <v>0</v>
      </c>
      <c r="G2">
        <f>BDH("AVTR US Equity","BS_ST_BORROW","1993-06-18","2026-05-02","Per=Y","Days=T","Dir=V")</f>
        <v>0</v>
      </c>
      <c r="I2">
        <f>BDH("AVTR US Equity","BS_LT_BORROW","1993-06-18","2026-05-02","Per=Y","Days=T","Dir=V")</f>
        <v>0</v>
      </c>
      <c r="K2">
        <f>BDH("AVTR US Equity","BS_CASH_NEAR_CASH_ITEM","1993-06-18","2026-05-02","Per=Y","Days=T","Dir=V")</f>
        <v>0</v>
      </c>
      <c r="M2">
        <f>BDH("AVTR US Equity","BS_CUR_ASSET_REPORT","1993-06-18","2026-05-02","Per=Y","Days=T","Dir=V")</f>
        <v>0</v>
      </c>
      <c r="O2">
        <f>BDH("AVTR US Equity","BS_CUR_LIAB","1993-06-18","2026-05-02","Per=Y","Days=T","Dir=V")</f>
        <v>0</v>
      </c>
      <c r="Q2">
        <f>BDH("AVTR US Equity","BS_SHAREHOLDER_EQY_ENDING_PERIOD","1993-06-18","2026-05-02","Per=Y","Days=T","Dir=V")</f>
        <v>0</v>
      </c>
      <c r="S2">
        <f>BDH("AVTR US Equity","BS_ACCT_NOTE_RCV","1993-06-18","2026-05-02","Per=Y","Days=T","Dir=V")</f>
        <v>0</v>
      </c>
      <c r="U2">
        <f>BDH("AVTR US Equity","BS_INVENTORIES","1993-06-18","2026-05-02","Per=Y","Days=T","Dir=V")</f>
        <v>0</v>
      </c>
      <c r="W2">
        <f>BDH("AVTR US Equity","WORKING_CAPITAL","1993-06-18","2026-05-02","Per=Y","Days=T","Dir=V")</f>
        <v>0</v>
      </c>
      <c r="Y2">
        <f>BDH("AVTR US Equity","SALES_REV_TURN","1993-06-18","2026-05-02","Per=Y","Days=T","Dir=V")</f>
        <v>0</v>
      </c>
      <c r="AA2">
        <f>BDH("AVTR US Equity","EBIT","1993-06-18","2026-05-02","Per=Y","Days=T","Dir=V")</f>
        <v>0</v>
      </c>
      <c r="AC2">
        <f>BDH("AVTR US Equity","EBITDA","1993-06-18","2026-05-02","Per=Y","Days=T","Dir=V")</f>
        <v>0</v>
      </c>
      <c r="AE2">
        <f>BDH("AVTR US Equity","NET_INCOME","1993-06-18","2026-05-02","Per=Y","Days=T","Dir=V")</f>
        <v>0</v>
      </c>
      <c r="AG2">
        <f>BDH("AVTR US Equity","IS_INT_EXPENSE","1993-06-18","2026-05-02","Per=Y","Days=T","Dir=V")</f>
        <v>0</v>
      </c>
      <c r="AI2">
        <f>BDH("AVTR US Equity","IS_DEPR_EXP","1993-06-18","2026-05-02","Per=Y","Days=T","Dir=V")</f>
        <v>0</v>
      </c>
      <c r="AK2">
        <f>BDH("AVTR US Equity","CF_CASH_FROM_OPER","1993-06-18","2026-05-02","Per=Y","Days=T","Dir=V")</f>
        <v>0</v>
      </c>
      <c r="AM2">
        <f>BDH("AVTR US Equity","CAPITAL_EXPEND","1993-06-18","2026-05-02","Per=Y","Days=T","Dir=V")</f>
        <v>0</v>
      </c>
      <c r="AO2">
        <f>BDH("AVTR US Equity","CF_FREE_CASH_FLOW","1993-06-18","2026-05-02","Per=Y","Days=T","Dir=V")</f>
        <v>0</v>
      </c>
      <c r="AQ2">
        <f>BDH("AVTR US Equity","PX_LAST","1993-06-18","2026-05-02","Per=M","Days=T","Dir=V")</f>
        <v>0</v>
      </c>
      <c r="AS2">
        <f>BDH("AVTR US Equity","CUR_MKT_CAP","1993-06-18","2026-05-02","Per=M","Days=T","Dir=V")</f>
        <v>0</v>
      </c>
      <c r="AU2">
        <f>BDH("AVTR US Equity","EQY_SH_OUT","1993-06-18","2026-05-02","Per=M","Days=T","Dir=V")</f>
        <v>0</v>
      </c>
      <c r="AW2">
        <f>BDH("AVTR US Equity","PX_VOLUME","1993-06-18","2026-05-02","Per=M","Days=T","Dir=V")</f>
        <v>0</v>
      </c>
      <c r="AY2">
        <f>BDH("AVTR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BDH("AVTX US Equity","BS_TOT_ASSET","1993-06-18","2026-05-02","Per=Y","Days=T","Dir=V")</f>
        <v>0</v>
      </c>
      <c r="C2">
        <f>BDH("AVTX US Equity","BS_TOT_LIAB2","1993-06-18","2026-05-02","Per=Y","Days=T","Dir=V")</f>
        <v>0</v>
      </c>
      <c r="E2">
        <f>BDH("AVTX US Equity","SHORT_AND_LONG_TERM_DEBT","1993-06-18","2026-05-02","Per=Y","Days=T","Dir=V")</f>
        <v>0</v>
      </c>
      <c r="G2">
        <f>BDH("AVTX US Equity","BS_ST_BORROW","1993-06-18","2026-05-02","Per=Y","Days=T","Dir=V")</f>
        <v>0</v>
      </c>
      <c r="I2">
        <f>BDH("AVTX US Equity","BS_LT_BORROW","1993-06-18","2026-05-02","Per=Y","Days=T","Dir=V")</f>
        <v>0</v>
      </c>
      <c r="K2">
        <f>BDH("AVTX US Equity","BS_CASH_NEAR_CASH_ITEM","1993-06-18","2026-05-02","Per=Y","Days=T","Dir=V")</f>
        <v>0</v>
      </c>
      <c r="M2">
        <f>BDH("AVTX US Equity","BS_CUR_ASSET_REPORT","1993-06-18","2026-05-02","Per=Y","Days=T","Dir=V")</f>
        <v>0</v>
      </c>
      <c r="O2">
        <f>BDH("AVTX US Equity","BS_CUR_LIAB","1993-06-18","2026-05-02","Per=Y","Days=T","Dir=V")</f>
        <v>0</v>
      </c>
      <c r="Q2">
        <f>BDH("AVTX US Equity","BS_SHAREHOLDER_EQY_ENDING_PERIOD","1993-06-18","2026-05-02","Per=Y","Days=T","Dir=V")</f>
        <v>0</v>
      </c>
      <c r="S2">
        <f>BDH("AVTX US Equity","BS_ACCT_NOTE_RCV","1993-06-18","2026-05-02","Per=Y","Days=T","Dir=V")</f>
        <v>0</v>
      </c>
      <c r="U2">
        <f>BDH("AVTX US Equity","BS_INVENTORIES","1993-06-18","2026-05-02","Per=Y","Days=T","Dir=V")</f>
        <v>0</v>
      </c>
      <c r="W2">
        <f>BDH("AVTX US Equity","WORKING_CAPITAL","1993-06-18","2026-05-02","Per=Y","Days=T","Dir=V")</f>
        <v>0</v>
      </c>
      <c r="Y2">
        <f>BDH("AVTX US Equity","SALES_REV_TURN","1993-06-18","2026-05-02","Per=Y","Days=T","Dir=V")</f>
        <v>0</v>
      </c>
      <c r="AA2">
        <f>BDH("AVTX US Equity","EBIT","1993-06-18","2026-05-02","Per=Y","Days=T","Dir=V")</f>
        <v>0</v>
      </c>
      <c r="AC2">
        <f>BDH("AVTX US Equity","EBITDA","1993-06-18","2026-05-02","Per=Y","Days=T","Dir=V")</f>
        <v>0</v>
      </c>
      <c r="AE2">
        <f>BDH("AVTX US Equity","NET_INCOME","1993-06-18","2026-05-02","Per=Y","Days=T","Dir=V")</f>
        <v>0</v>
      </c>
      <c r="AG2">
        <f>BDH("AVTX US Equity","IS_INT_EXPENSE","1993-06-18","2026-05-02","Per=Y","Days=T","Dir=V")</f>
        <v>0</v>
      </c>
      <c r="AI2">
        <f>BDH("AVTX US Equity","IS_DEPR_EXP","1993-06-18","2026-05-02","Per=Y","Days=T","Dir=V")</f>
        <v>0</v>
      </c>
      <c r="AK2">
        <f>BDH("AVTX US Equity","CF_CASH_FROM_OPER","1993-06-18","2026-05-02","Per=Y","Days=T","Dir=V")</f>
        <v>0</v>
      </c>
      <c r="AM2">
        <f>BDH("AVTX US Equity","CAPITAL_EXPEND","1993-06-18","2026-05-02","Per=Y","Days=T","Dir=V")</f>
        <v>0</v>
      </c>
      <c r="AO2">
        <f>BDH("AVTX US Equity","CF_FREE_CASH_FLOW","1993-06-18","2026-05-02","Per=Y","Days=T","Dir=V")</f>
        <v>0</v>
      </c>
      <c r="AQ2">
        <f>BDH("AVTX US Equity","PX_LAST","1993-06-18","2026-05-02","Per=M","Days=T","Dir=V")</f>
        <v>0</v>
      </c>
      <c r="AS2">
        <f>BDH("AVTX US Equity","CUR_MKT_CAP","1993-06-18","2026-05-02","Per=M","Days=T","Dir=V")</f>
        <v>0</v>
      </c>
      <c r="AU2">
        <f>BDH("AVTX US Equity","EQY_SH_OUT","1993-06-18","2026-05-02","Per=M","Days=T","Dir=V")</f>
        <v>0</v>
      </c>
      <c r="AW2">
        <f>BDH("AVTX US Equity","PX_VOLUME","1993-06-18","2026-05-02","Per=M","Days=T","Dir=V")</f>
        <v>0</v>
      </c>
      <c r="AY2">
        <f>BDH("AVTX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BDH("AVXL US Equity","BS_TOT_ASSET","1993-06-18","2026-05-02","Per=Y","Days=T","Dir=V")</f>
        <v>0</v>
      </c>
      <c r="C2">
        <f>BDH("AVXL US Equity","BS_TOT_LIAB2","1993-06-18","2026-05-02","Per=Y","Days=T","Dir=V")</f>
        <v>0</v>
      </c>
      <c r="E2">
        <f>BDH("AVXL US Equity","SHORT_AND_LONG_TERM_DEBT","1993-06-18","2026-05-02","Per=Y","Days=T","Dir=V")</f>
        <v>0</v>
      </c>
      <c r="G2">
        <f>BDH("AVXL US Equity","BS_ST_BORROW","1993-06-18","2026-05-02","Per=Y","Days=T","Dir=V")</f>
        <v>0</v>
      </c>
      <c r="I2">
        <f>BDH("AVXL US Equity","BS_LT_BORROW","1993-06-18","2026-05-02","Per=Y","Days=T","Dir=V")</f>
        <v>0</v>
      </c>
      <c r="K2">
        <f>BDH("AVXL US Equity","BS_CASH_NEAR_CASH_ITEM","1993-06-18","2026-05-02","Per=Y","Days=T","Dir=V")</f>
        <v>0</v>
      </c>
      <c r="M2">
        <f>BDH("AVXL US Equity","BS_CUR_ASSET_REPORT","1993-06-18","2026-05-02","Per=Y","Days=T","Dir=V")</f>
        <v>0</v>
      </c>
      <c r="O2">
        <f>BDH("AVXL US Equity","BS_CUR_LIAB","1993-06-18","2026-05-02","Per=Y","Days=T","Dir=V")</f>
        <v>0</v>
      </c>
      <c r="Q2">
        <f>BDH("AVXL US Equity","BS_SHAREHOLDER_EQY_ENDING_PERIOD","1993-06-18","2026-05-02","Per=Y","Days=T","Dir=V")</f>
        <v>0</v>
      </c>
      <c r="S2">
        <f>BDH("AVXL US Equity","BS_ACCT_NOTE_RCV","1993-06-18","2026-05-02","Per=Y","Days=T","Dir=V")</f>
        <v>0</v>
      </c>
      <c r="U2">
        <f>BDH("AVXL US Equity","BS_INVENTORIES","1993-06-18","2026-05-02","Per=Y","Days=T","Dir=V")</f>
        <v>0</v>
      </c>
      <c r="W2">
        <f>BDH("AVXL US Equity","WORKING_CAPITAL","1993-06-18","2026-05-02","Per=Y","Days=T","Dir=V")</f>
        <v>0</v>
      </c>
      <c r="Y2">
        <f>BDH("AVXL US Equity","SALES_REV_TURN","1993-06-18","2026-05-02","Per=Y","Days=T","Dir=V")</f>
        <v>0</v>
      </c>
      <c r="AA2">
        <f>BDH("AVXL US Equity","EBIT","1993-06-18","2026-05-02","Per=Y","Days=T","Dir=V")</f>
        <v>0</v>
      </c>
      <c r="AC2">
        <f>BDH("AVXL US Equity","EBITDA","1993-06-18","2026-05-02","Per=Y","Days=T","Dir=V")</f>
        <v>0</v>
      </c>
      <c r="AE2">
        <f>BDH("AVXL US Equity","NET_INCOME","1993-06-18","2026-05-02","Per=Y","Days=T","Dir=V")</f>
        <v>0</v>
      </c>
      <c r="AG2">
        <f>BDH("AVXL US Equity","IS_INT_EXPENSE","1993-06-18","2026-05-02","Per=Y","Days=T","Dir=V")</f>
        <v>0</v>
      </c>
      <c r="AI2">
        <f>BDH("AVXL US Equity","IS_DEPR_EXP","1993-06-18","2026-05-02","Per=Y","Days=T","Dir=V")</f>
        <v>0</v>
      </c>
      <c r="AK2">
        <f>BDH("AVXL US Equity","CF_CASH_FROM_OPER","1993-06-18","2026-05-02","Per=Y","Days=T","Dir=V")</f>
        <v>0</v>
      </c>
      <c r="AM2">
        <f>BDH("AVXL US Equity","CAPITAL_EXPEND","1993-06-18","2026-05-02","Per=Y","Days=T","Dir=V")</f>
        <v>0</v>
      </c>
      <c r="AO2">
        <f>BDH("AVXL US Equity","CF_FREE_CASH_FLOW","1993-06-18","2026-05-02","Per=Y","Days=T","Dir=V")</f>
        <v>0</v>
      </c>
      <c r="AQ2">
        <f>BDH("AVXL US Equity","PX_LAST","1993-06-18","2026-05-02","Per=M","Days=T","Dir=V")</f>
        <v>0</v>
      </c>
      <c r="AS2">
        <f>BDH("AVXL US Equity","CUR_MKT_CAP","1993-06-18","2026-05-02","Per=M","Days=T","Dir=V")</f>
        <v>0</v>
      </c>
      <c r="AU2">
        <f>BDH("AVXL US Equity","EQY_SH_OUT","1993-06-18","2026-05-02","Per=M","Days=T","Dir=V")</f>
        <v>0</v>
      </c>
      <c r="AW2">
        <f>BDH("AVXL US Equity","PX_VOLUME","1993-06-18","2026-05-02","Per=M","Days=T","Dir=V")</f>
        <v>0</v>
      </c>
      <c r="AY2">
        <f>BDH("AVXL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BDH("AVY US Equity","BS_TOT_ASSET","1993-06-18","2026-05-02","Per=Y","Days=T","Dir=V")</f>
        <v>0</v>
      </c>
      <c r="C2">
        <f>BDH("AVY US Equity","BS_TOT_LIAB2","1993-06-18","2026-05-02","Per=Y","Days=T","Dir=V")</f>
        <v>0</v>
      </c>
      <c r="E2">
        <f>BDH("AVY US Equity","SHORT_AND_LONG_TERM_DEBT","1993-06-18","2026-05-02","Per=Y","Days=T","Dir=V")</f>
        <v>0</v>
      </c>
      <c r="G2">
        <f>BDH("AVY US Equity","BS_ST_BORROW","1993-06-18","2026-05-02","Per=Y","Days=T","Dir=V")</f>
        <v>0</v>
      </c>
      <c r="I2">
        <f>BDH("AVY US Equity","BS_LT_BORROW","1993-06-18","2026-05-02","Per=Y","Days=T","Dir=V")</f>
        <v>0</v>
      </c>
      <c r="K2">
        <f>BDH("AVY US Equity","BS_CASH_NEAR_CASH_ITEM","1993-06-18","2026-05-02","Per=Y","Days=T","Dir=V")</f>
        <v>0</v>
      </c>
      <c r="M2">
        <f>BDH("AVY US Equity","BS_CUR_ASSET_REPORT","1993-06-18","2026-05-02","Per=Y","Days=T","Dir=V")</f>
        <v>0</v>
      </c>
      <c r="O2">
        <f>BDH("AVY US Equity","BS_CUR_LIAB","1993-06-18","2026-05-02","Per=Y","Days=T","Dir=V")</f>
        <v>0</v>
      </c>
      <c r="Q2">
        <f>BDH("AVY US Equity","BS_SHAREHOLDER_EQY_ENDING_PERIOD","1993-06-18","2026-05-02","Per=Y","Days=T","Dir=V")</f>
        <v>0</v>
      </c>
      <c r="S2">
        <f>BDH("AVY US Equity","BS_ACCT_NOTE_RCV","1993-06-18","2026-05-02","Per=Y","Days=T","Dir=V")</f>
        <v>0</v>
      </c>
      <c r="U2">
        <f>BDH("AVY US Equity","BS_INVENTORIES","1993-06-18","2026-05-02","Per=Y","Days=T","Dir=V")</f>
        <v>0</v>
      </c>
      <c r="W2">
        <f>BDH("AVY US Equity","WORKING_CAPITAL","1993-06-18","2026-05-02","Per=Y","Days=T","Dir=V")</f>
        <v>0</v>
      </c>
      <c r="Y2">
        <f>BDH("AVY US Equity","SALES_REV_TURN","1993-06-18","2026-05-02","Per=Y","Days=T","Dir=V")</f>
        <v>0</v>
      </c>
      <c r="AA2">
        <f>BDH("AVY US Equity","EBIT","1993-06-18","2026-05-02","Per=Y","Days=T","Dir=V")</f>
        <v>0</v>
      </c>
      <c r="AC2">
        <f>BDH("AVY US Equity","EBITDA","1993-06-18","2026-05-02","Per=Y","Days=T","Dir=V")</f>
        <v>0</v>
      </c>
      <c r="AE2">
        <f>BDH("AVY US Equity","NET_INCOME","1993-06-18","2026-05-02","Per=Y","Days=T","Dir=V")</f>
        <v>0</v>
      </c>
      <c r="AG2">
        <f>BDH("AVY US Equity","IS_INT_EXPENSE","1993-06-18","2026-05-02","Per=Y","Days=T","Dir=V")</f>
        <v>0</v>
      </c>
      <c r="AI2">
        <f>BDH("AVY US Equity","IS_DEPR_EXP","1993-06-18","2026-05-02","Per=Y","Days=T","Dir=V")</f>
        <v>0</v>
      </c>
      <c r="AK2">
        <f>BDH("AVY US Equity","CF_CASH_FROM_OPER","1993-06-18","2026-05-02","Per=Y","Days=T","Dir=V")</f>
        <v>0</v>
      </c>
      <c r="AM2">
        <f>BDH("AVY US Equity","CAPITAL_EXPEND","1993-06-18","2026-05-02","Per=Y","Days=T","Dir=V")</f>
        <v>0</v>
      </c>
      <c r="AO2">
        <f>BDH("AVY US Equity","CF_FREE_CASH_FLOW","1993-06-18","2026-05-02","Per=Y","Days=T","Dir=V")</f>
        <v>0</v>
      </c>
      <c r="AQ2">
        <f>BDH("AVY US Equity","PX_LAST","1993-06-18","2026-05-02","Per=M","Days=T","Dir=V")</f>
        <v>0</v>
      </c>
      <c r="AS2">
        <f>BDH("AVY US Equity","CUR_MKT_CAP","1993-06-18","2026-05-02","Per=M","Days=T","Dir=V")</f>
        <v>0</v>
      </c>
      <c r="AU2">
        <f>BDH("AVY US Equity","EQY_SH_OUT","1993-06-18","2026-05-02","Per=M","Days=T","Dir=V")</f>
        <v>0</v>
      </c>
      <c r="AW2">
        <f>BDH("AVY US Equity","PX_VOLUME","1993-06-18","2026-05-02","Per=M","Days=T","Dir=V")</f>
        <v>0</v>
      </c>
      <c r="AY2">
        <f>BDH("AVY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BDH("AWI US Equity","BS_TOT_ASSET","1993-06-18","2026-05-02","Per=Y","Days=T","Dir=V")</f>
        <v>0</v>
      </c>
      <c r="C2">
        <f>BDH("AWI US Equity","BS_TOT_LIAB2","1993-06-18","2026-05-02","Per=Y","Days=T","Dir=V")</f>
        <v>0</v>
      </c>
      <c r="E2">
        <f>BDH("AWI US Equity","SHORT_AND_LONG_TERM_DEBT","1993-06-18","2026-05-02","Per=Y","Days=T","Dir=V")</f>
        <v>0</v>
      </c>
      <c r="G2">
        <f>BDH("AWI US Equity","BS_ST_BORROW","1993-06-18","2026-05-02","Per=Y","Days=T","Dir=V")</f>
        <v>0</v>
      </c>
      <c r="I2">
        <f>BDH("AWI US Equity","BS_LT_BORROW","1993-06-18","2026-05-02","Per=Y","Days=T","Dir=V")</f>
        <v>0</v>
      </c>
      <c r="K2">
        <f>BDH("AWI US Equity","BS_CASH_NEAR_CASH_ITEM","1993-06-18","2026-05-02","Per=Y","Days=T","Dir=V")</f>
        <v>0</v>
      </c>
      <c r="M2">
        <f>BDH("AWI US Equity","BS_CUR_ASSET_REPORT","1993-06-18","2026-05-02","Per=Y","Days=T","Dir=V")</f>
        <v>0</v>
      </c>
      <c r="O2">
        <f>BDH("AWI US Equity","BS_CUR_LIAB","1993-06-18","2026-05-02","Per=Y","Days=T","Dir=V")</f>
        <v>0</v>
      </c>
      <c r="Q2">
        <f>BDH("AWI US Equity","BS_SHAREHOLDER_EQY_ENDING_PERIOD","1993-06-18","2026-05-02","Per=Y","Days=T","Dir=V")</f>
        <v>0</v>
      </c>
      <c r="S2">
        <f>BDH("AWI US Equity","BS_ACCT_NOTE_RCV","1993-06-18","2026-05-02","Per=Y","Days=T","Dir=V")</f>
        <v>0</v>
      </c>
      <c r="U2">
        <f>BDH("AWI US Equity","BS_INVENTORIES","1993-06-18","2026-05-02","Per=Y","Days=T","Dir=V")</f>
        <v>0</v>
      </c>
      <c r="W2">
        <f>BDH("AWI US Equity","WORKING_CAPITAL","1993-06-18","2026-05-02","Per=Y","Days=T","Dir=V")</f>
        <v>0</v>
      </c>
      <c r="Y2">
        <f>BDH("AWI US Equity","SALES_REV_TURN","1993-06-18","2026-05-02","Per=Y","Days=T","Dir=V")</f>
        <v>0</v>
      </c>
      <c r="AA2">
        <f>BDH("AWI US Equity","EBIT","1993-06-18","2026-05-02","Per=Y","Days=T","Dir=V")</f>
        <v>0</v>
      </c>
      <c r="AC2">
        <f>BDH("AWI US Equity","EBITDA","1993-06-18","2026-05-02","Per=Y","Days=T","Dir=V")</f>
        <v>0</v>
      </c>
      <c r="AE2">
        <f>BDH("AWI US Equity","NET_INCOME","1993-06-18","2026-05-02","Per=Y","Days=T","Dir=V")</f>
        <v>0</v>
      </c>
      <c r="AG2">
        <f>BDH("AWI US Equity","IS_INT_EXPENSE","1993-06-18","2026-05-02","Per=Y","Days=T","Dir=V")</f>
        <v>0</v>
      </c>
      <c r="AI2">
        <f>BDH("AWI US Equity","IS_DEPR_EXP","1993-06-18","2026-05-02","Per=Y","Days=T","Dir=V")</f>
        <v>0</v>
      </c>
      <c r="AK2">
        <f>BDH("AWI US Equity","CF_CASH_FROM_OPER","1993-06-18","2026-05-02","Per=Y","Days=T","Dir=V")</f>
        <v>0</v>
      </c>
      <c r="AM2">
        <f>BDH("AWI US Equity","CAPITAL_EXPEND","1993-06-18","2026-05-02","Per=Y","Days=T","Dir=V")</f>
        <v>0</v>
      </c>
      <c r="AO2">
        <f>BDH("AWI US Equity","CF_FREE_CASH_FLOW","1993-06-18","2026-05-02","Per=Y","Days=T","Dir=V")</f>
        <v>0</v>
      </c>
      <c r="AQ2">
        <f>BDH("AWI US Equity","PX_LAST","1993-06-18","2026-05-02","Per=M","Days=T","Dir=V")</f>
        <v>0</v>
      </c>
      <c r="AS2">
        <f>BDH("AWI US Equity","CUR_MKT_CAP","1993-06-18","2026-05-02","Per=M","Days=T","Dir=V")</f>
        <v>0</v>
      </c>
      <c r="AU2">
        <f>BDH("AWI US Equity","EQY_SH_OUT","1993-06-18","2026-05-02","Per=M","Days=T","Dir=V")</f>
        <v>0</v>
      </c>
      <c r="AW2">
        <f>BDH("AWI US Equity","PX_VOLUME","1993-06-18","2026-05-02","Per=M","Days=T","Dir=V")</f>
        <v>0</v>
      </c>
      <c r="AY2">
        <f>BDH("AWI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BDH("AWK US Equity","BS_TOT_ASSET","1993-06-18","2026-05-02","Per=Y","Days=T","Dir=V")</f>
        <v>0</v>
      </c>
      <c r="C2">
        <f>BDH("AWK US Equity","BS_TOT_LIAB2","1993-06-18","2026-05-02","Per=Y","Days=T","Dir=V")</f>
        <v>0</v>
      </c>
      <c r="E2">
        <f>BDH("AWK US Equity","SHORT_AND_LONG_TERM_DEBT","1993-06-18","2026-05-02","Per=Y","Days=T","Dir=V")</f>
        <v>0</v>
      </c>
      <c r="G2">
        <f>BDH("AWK US Equity","BS_ST_BORROW","1993-06-18","2026-05-02","Per=Y","Days=T","Dir=V")</f>
        <v>0</v>
      </c>
      <c r="I2">
        <f>BDH("AWK US Equity","BS_LT_BORROW","1993-06-18","2026-05-02","Per=Y","Days=T","Dir=V")</f>
        <v>0</v>
      </c>
      <c r="K2">
        <f>BDH("AWK US Equity","BS_CASH_NEAR_CASH_ITEM","1993-06-18","2026-05-02","Per=Y","Days=T","Dir=V")</f>
        <v>0</v>
      </c>
      <c r="M2">
        <f>BDH("AWK US Equity","BS_CUR_ASSET_REPORT","1993-06-18","2026-05-02","Per=Y","Days=T","Dir=V")</f>
        <v>0</v>
      </c>
      <c r="O2">
        <f>BDH("AWK US Equity","BS_CUR_LIAB","1993-06-18","2026-05-02","Per=Y","Days=T","Dir=V")</f>
        <v>0</v>
      </c>
      <c r="Q2">
        <f>BDH("AWK US Equity","BS_SHAREHOLDER_EQY_ENDING_PERIOD","1993-06-18","2026-05-02","Per=Y","Days=T","Dir=V")</f>
        <v>0</v>
      </c>
      <c r="S2">
        <f>BDH("AWK US Equity","BS_ACCT_NOTE_RCV","1993-06-18","2026-05-02","Per=Y","Days=T","Dir=V")</f>
        <v>0</v>
      </c>
      <c r="U2">
        <f>BDH("AWK US Equity","BS_INVENTORIES","1993-06-18","2026-05-02","Per=Y","Days=T","Dir=V")</f>
        <v>0</v>
      </c>
      <c r="W2">
        <f>BDH("AWK US Equity","WORKING_CAPITAL","1993-06-18","2026-05-02","Per=Y","Days=T","Dir=V")</f>
        <v>0</v>
      </c>
      <c r="Y2">
        <f>BDH("AWK US Equity","SALES_REV_TURN","1993-06-18","2026-05-02","Per=Y","Days=T","Dir=V")</f>
        <v>0</v>
      </c>
      <c r="AA2">
        <f>BDH("AWK US Equity","EBIT","1993-06-18","2026-05-02","Per=Y","Days=T","Dir=V")</f>
        <v>0</v>
      </c>
      <c r="AC2">
        <f>BDH("AWK US Equity","EBITDA","1993-06-18","2026-05-02","Per=Y","Days=T","Dir=V")</f>
        <v>0</v>
      </c>
      <c r="AE2">
        <f>BDH("AWK US Equity","NET_INCOME","1993-06-18","2026-05-02","Per=Y","Days=T","Dir=V")</f>
        <v>0</v>
      </c>
      <c r="AG2">
        <f>BDH("AWK US Equity","IS_INT_EXPENSE","1993-06-18","2026-05-02","Per=Y","Days=T","Dir=V")</f>
        <v>0</v>
      </c>
      <c r="AI2">
        <f>BDH("AWK US Equity","IS_DEPR_EXP","1993-06-18","2026-05-02","Per=Y","Days=T","Dir=V")</f>
        <v>0</v>
      </c>
      <c r="AK2">
        <f>BDH("AWK US Equity","CF_CASH_FROM_OPER","1993-06-18","2026-05-02","Per=Y","Days=T","Dir=V")</f>
        <v>0</v>
      </c>
      <c r="AM2">
        <f>BDH("AWK US Equity","CAPITAL_EXPEND","1993-06-18","2026-05-02","Per=Y","Days=T","Dir=V")</f>
        <v>0</v>
      </c>
      <c r="AO2">
        <f>BDH("AWK US Equity","CF_FREE_CASH_FLOW","1993-06-18","2026-05-02","Per=Y","Days=T","Dir=V")</f>
        <v>0</v>
      </c>
      <c r="AQ2">
        <f>BDH("AWK US Equity","PX_LAST","1993-06-18","2026-05-02","Per=M","Days=T","Dir=V")</f>
        <v>0</v>
      </c>
      <c r="AS2">
        <f>BDH("AWK US Equity","CUR_MKT_CAP","1993-06-18","2026-05-02","Per=M","Days=T","Dir=V")</f>
        <v>0</v>
      </c>
      <c r="AU2">
        <f>BDH("AWK US Equity","EQY_SH_OUT","1993-06-18","2026-05-02","Per=M","Days=T","Dir=V")</f>
        <v>0</v>
      </c>
      <c r="AW2">
        <f>BDH("AWK US Equity","PX_VOLUME","1993-06-18","2026-05-02","Per=M","Days=T","Dir=V")</f>
        <v>0</v>
      </c>
      <c r="AY2">
        <f>BDH("AWK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BDH("AWR US Equity","BS_TOT_ASSET","1993-06-18","2026-05-02","Per=Y","Days=T","Dir=V")</f>
        <v>0</v>
      </c>
      <c r="C2">
        <f>BDH("AWR US Equity","BS_TOT_LIAB2","1993-06-18","2026-05-02","Per=Y","Days=T","Dir=V")</f>
        <v>0</v>
      </c>
      <c r="E2">
        <f>BDH("AWR US Equity","SHORT_AND_LONG_TERM_DEBT","1993-06-18","2026-05-02","Per=Y","Days=T","Dir=V")</f>
        <v>0</v>
      </c>
      <c r="G2">
        <f>BDH("AWR US Equity","BS_ST_BORROW","1993-06-18","2026-05-02","Per=Y","Days=T","Dir=V")</f>
        <v>0</v>
      </c>
      <c r="I2">
        <f>BDH("AWR US Equity","BS_LT_BORROW","1993-06-18","2026-05-02","Per=Y","Days=T","Dir=V")</f>
        <v>0</v>
      </c>
      <c r="K2">
        <f>BDH("AWR US Equity","BS_CASH_NEAR_CASH_ITEM","1993-06-18","2026-05-02","Per=Y","Days=T","Dir=V")</f>
        <v>0</v>
      </c>
      <c r="M2">
        <f>BDH("AWR US Equity","BS_CUR_ASSET_REPORT","1993-06-18","2026-05-02","Per=Y","Days=T","Dir=V")</f>
        <v>0</v>
      </c>
      <c r="O2">
        <f>BDH("AWR US Equity","BS_CUR_LIAB","1993-06-18","2026-05-02","Per=Y","Days=T","Dir=V")</f>
        <v>0</v>
      </c>
      <c r="Q2">
        <f>BDH("AWR US Equity","BS_SHAREHOLDER_EQY_ENDING_PERIOD","1993-06-18","2026-05-02","Per=Y","Days=T","Dir=V")</f>
        <v>0</v>
      </c>
      <c r="S2">
        <f>BDH("AWR US Equity","BS_ACCT_NOTE_RCV","1993-06-18","2026-05-02","Per=Y","Days=T","Dir=V")</f>
        <v>0</v>
      </c>
      <c r="U2">
        <f>BDH("AWR US Equity","BS_INVENTORIES","1993-06-18","2026-05-02","Per=Y","Days=T","Dir=V")</f>
        <v>0</v>
      </c>
      <c r="W2">
        <f>BDH("AWR US Equity","WORKING_CAPITAL","1993-06-18","2026-05-02","Per=Y","Days=T","Dir=V")</f>
        <v>0</v>
      </c>
      <c r="Y2">
        <f>BDH("AWR US Equity","SALES_REV_TURN","1993-06-18","2026-05-02","Per=Y","Days=T","Dir=V")</f>
        <v>0</v>
      </c>
      <c r="AA2">
        <f>BDH("AWR US Equity","EBIT","1993-06-18","2026-05-02","Per=Y","Days=T","Dir=V")</f>
        <v>0</v>
      </c>
      <c r="AC2">
        <f>BDH("AWR US Equity","EBITDA","1993-06-18","2026-05-02","Per=Y","Days=T","Dir=V")</f>
        <v>0</v>
      </c>
      <c r="AE2">
        <f>BDH("AWR US Equity","NET_INCOME","1993-06-18","2026-05-02","Per=Y","Days=T","Dir=V")</f>
        <v>0</v>
      </c>
      <c r="AG2">
        <f>BDH("AWR US Equity","IS_INT_EXPENSE","1993-06-18","2026-05-02","Per=Y","Days=T","Dir=V")</f>
        <v>0</v>
      </c>
      <c r="AI2">
        <f>BDH("AWR US Equity","IS_DEPR_EXP","1993-06-18","2026-05-02","Per=Y","Days=T","Dir=V")</f>
        <v>0</v>
      </c>
      <c r="AK2">
        <f>BDH("AWR US Equity","CF_CASH_FROM_OPER","1993-06-18","2026-05-02","Per=Y","Days=T","Dir=V")</f>
        <v>0</v>
      </c>
      <c r="AM2">
        <f>BDH("AWR US Equity","CAPITAL_EXPEND","1993-06-18","2026-05-02","Per=Y","Days=T","Dir=V")</f>
        <v>0</v>
      </c>
      <c r="AO2">
        <f>BDH("AWR US Equity","CF_FREE_CASH_FLOW","1993-06-18","2026-05-02","Per=Y","Days=T","Dir=V")</f>
        <v>0</v>
      </c>
      <c r="AQ2">
        <f>BDH("AWR US Equity","PX_LAST","1993-06-18","2026-05-02","Per=M","Days=T","Dir=V")</f>
        <v>0</v>
      </c>
      <c r="AS2">
        <f>BDH("AWR US Equity","CUR_MKT_CAP","1993-06-18","2026-05-02","Per=M","Days=T","Dir=V")</f>
        <v>0</v>
      </c>
      <c r="AU2">
        <f>BDH("AWR US Equity","EQY_SH_OUT","1993-06-18","2026-05-02","Per=M","Days=T","Dir=V")</f>
        <v>0</v>
      </c>
      <c r="AW2">
        <f>BDH("AWR US Equity","PX_VOLUME","1993-06-18","2026-05-02","Per=M","Days=T","Dir=V")</f>
        <v>0</v>
      </c>
      <c r="AY2">
        <f>BDH("AWR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BDH("AWRE US Equity","BS_TOT_ASSET","1993-06-18","2026-05-02","Per=Y","Days=T","Dir=V")</f>
        <v>0</v>
      </c>
      <c r="C2">
        <f>BDH("AWRE US Equity","BS_TOT_LIAB2","1993-06-18","2026-05-02","Per=Y","Days=T","Dir=V")</f>
        <v>0</v>
      </c>
      <c r="E2">
        <f>BDH("AWRE US Equity","SHORT_AND_LONG_TERM_DEBT","1993-06-18","2026-05-02","Per=Y","Days=T","Dir=V")</f>
        <v>0</v>
      </c>
      <c r="G2">
        <f>BDH("AWRE US Equity","BS_ST_BORROW","1993-06-18","2026-05-02","Per=Y","Days=T","Dir=V")</f>
        <v>0</v>
      </c>
      <c r="I2">
        <f>BDH("AWRE US Equity","BS_LT_BORROW","1993-06-18","2026-05-02","Per=Y","Days=T","Dir=V")</f>
        <v>0</v>
      </c>
      <c r="K2">
        <f>BDH("AWRE US Equity","BS_CASH_NEAR_CASH_ITEM","1993-06-18","2026-05-02","Per=Y","Days=T","Dir=V")</f>
        <v>0</v>
      </c>
      <c r="M2">
        <f>BDH("AWRE US Equity","BS_CUR_ASSET_REPORT","1993-06-18","2026-05-02","Per=Y","Days=T","Dir=V")</f>
        <v>0</v>
      </c>
      <c r="O2">
        <f>BDH("AWRE US Equity","BS_CUR_LIAB","1993-06-18","2026-05-02","Per=Y","Days=T","Dir=V")</f>
        <v>0</v>
      </c>
      <c r="Q2">
        <f>BDH("AWRE US Equity","BS_SHAREHOLDER_EQY_ENDING_PERIOD","1993-06-18","2026-05-02","Per=Y","Days=T","Dir=V")</f>
        <v>0</v>
      </c>
      <c r="S2">
        <f>BDH("AWRE US Equity","BS_ACCT_NOTE_RCV","1993-06-18","2026-05-02","Per=Y","Days=T","Dir=V")</f>
        <v>0</v>
      </c>
      <c r="U2">
        <f>BDH("AWRE US Equity","BS_INVENTORIES","1993-06-18","2026-05-02","Per=Y","Days=T","Dir=V")</f>
        <v>0</v>
      </c>
      <c r="W2">
        <f>BDH("AWRE US Equity","WORKING_CAPITAL","1993-06-18","2026-05-02","Per=Y","Days=T","Dir=V")</f>
        <v>0</v>
      </c>
      <c r="Y2">
        <f>BDH("AWRE US Equity","SALES_REV_TURN","1993-06-18","2026-05-02","Per=Y","Days=T","Dir=V")</f>
        <v>0</v>
      </c>
      <c r="AA2">
        <f>BDH("AWRE US Equity","EBIT","1993-06-18","2026-05-02","Per=Y","Days=T","Dir=V")</f>
        <v>0</v>
      </c>
      <c r="AC2">
        <f>BDH("AWRE US Equity","EBITDA","1993-06-18","2026-05-02","Per=Y","Days=T","Dir=V")</f>
        <v>0</v>
      </c>
      <c r="AE2">
        <f>BDH("AWRE US Equity","NET_INCOME","1993-06-18","2026-05-02","Per=Y","Days=T","Dir=V")</f>
        <v>0</v>
      </c>
      <c r="AG2">
        <f>BDH("AWRE US Equity","IS_INT_EXPENSE","1993-06-18","2026-05-02","Per=Y","Days=T","Dir=V")</f>
        <v>0</v>
      </c>
      <c r="AI2">
        <f>BDH("AWRE US Equity","IS_DEPR_EXP","1993-06-18","2026-05-02","Per=Y","Days=T","Dir=V")</f>
        <v>0</v>
      </c>
      <c r="AK2">
        <f>BDH("AWRE US Equity","CF_CASH_FROM_OPER","1993-06-18","2026-05-02","Per=Y","Days=T","Dir=V")</f>
        <v>0</v>
      </c>
      <c r="AM2">
        <f>BDH("AWRE US Equity","CAPITAL_EXPEND","1993-06-18","2026-05-02","Per=Y","Days=T","Dir=V")</f>
        <v>0</v>
      </c>
      <c r="AO2">
        <f>BDH("AWRE US Equity","CF_FREE_CASH_FLOW","1993-06-18","2026-05-02","Per=Y","Days=T","Dir=V")</f>
        <v>0</v>
      </c>
      <c r="AQ2">
        <f>BDH("AWRE US Equity","PX_LAST","1993-06-18","2026-05-02","Per=M","Days=T","Dir=V")</f>
        <v>0</v>
      </c>
      <c r="AS2">
        <f>BDH("AWRE US Equity","CUR_MKT_CAP","1993-06-18","2026-05-02","Per=M","Days=T","Dir=V")</f>
        <v>0</v>
      </c>
      <c r="AU2">
        <f>BDH("AWRE US Equity","EQY_SH_OUT","1993-06-18","2026-05-02","Per=M","Days=T","Dir=V")</f>
        <v>0</v>
      </c>
      <c r="AW2">
        <f>BDH("AWRE US Equity","PX_VOLUME","1993-06-18","2026-05-02","Per=M","Days=T","Dir=V")</f>
        <v>0</v>
      </c>
      <c r="AY2">
        <f>BDH("AWRE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BDH("AWX US Equity","BS_TOT_ASSET","1993-06-18","2026-05-02","Per=Y","Days=T","Dir=V")</f>
        <v>0</v>
      </c>
      <c r="C2">
        <f>BDH("AWX US Equity","BS_TOT_LIAB2","1993-06-18","2026-05-02","Per=Y","Days=T","Dir=V")</f>
        <v>0</v>
      </c>
      <c r="E2">
        <f>BDH("AWX US Equity","SHORT_AND_LONG_TERM_DEBT","1993-06-18","2026-05-02","Per=Y","Days=T","Dir=V")</f>
        <v>0</v>
      </c>
      <c r="G2">
        <f>BDH("AWX US Equity","BS_ST_BORROW","1993-06-18","2026-05-02","Per=Y","Days=T","Dir=V")</f>
        <v>0</v>
      </c>
      <c r="I2">
        <f>BDH("AWX US Equity","BS_LT_BORROW","1993-06-18","2026-05-02","Per=Y","Days=T","Dir=V")</f>
        <v>0</v>
      </c>
      <c r="K2">
        <f>BDH("AWX US Equity","BS_CASH_NEAR_CASH_ITEM","1993-06-18","2026-05-02","Per=Y","Days=T","Dir=V")</f>
        <v>0</v>
      </c>
      <c r="M2">
        <f>BDH("AWX US Equity","BS_CUR_ASSET_REPORT","1993-06-18","2026-05-02","Per=Y","Days=T","Dir=V")</f>
        <v>0</v>
      </c>
      <c r="O2">
        <f>BDH("AWX US Equity","BS_CUR_LIAB","1993-06-18","2026-05-02","Per=Y","Days=T","Dir=V")</f>
        <v>0</v>
      </c>
      <c r="Q2">
        <f>BDH("AWX US Equity","BS_SHAREHOLDER_EQY_ENDING_PERIOD","1993-06-18","2026-05-02","Per=Y","Days=T","Dir=V")</f>
        <v>0</v>
      </c>
      <c r="S2">
        <f>BDH("AWX US Equity","BS_ACCT_NOTE_RCV","1993-06-18","2026-05-02","Per=Y","Days=T","Dir=V")</f>
        <v>0</v>
      </c>
      <c r="U2">
        <f>BDH("AWX US Equity","BS_INVENTORIES","1993-06-18","2026-05-02","Per=Y","Days=T","Dir=V")</f>
        <v>0</v>
      </c>
      <c r="W2">
        <f>BDH("AWX US Equity","WORKING_CAPITAL","1993-06-18","2026-05-02","Per=Y","Days=T","Dir=V")</f>
        <v>0</v>
      </c>
      <c r="Y2">
        <f>BDH("AWX US Equity","SALES_REV_TURN","1993-06-18","2026-05-02","Per=Y","Days=T","Dir=V")</f>
        <v>0</v>
      </c>
      <c r="AA2">
        <f>BDH("AWX US Equity","EBIT","1993-06-18","2026-05-02","Per=Y","Days=T","Dir=V")</f>
        <v>0</v>
      </c>
      <c r="AC2">
        <f>BDH("AWX US Equity","EBITDA","1993-06-18","2026-05-02","Per=Y","Days=T","Dir=V")</f>
        <v>0</v>
      </c>
      <c r="AE2">
        <f>BDH("AWX US Equity","NET_INCOME","1993-06-18","2026-05-02","Per=Y","Days=T","Dir=V")</f>
        <v>0</v>
      </c>
      <c r="AG2">
        <f>BDH("AWX US Equity","IS_INT_EXPENSE","1993-06-18","2026-05-02","Per=Y","Days=T","Dir=V")</f>
        <v>0</v>
      </c>
      <c r="AI2">
        <f>BDH("AWX US Equity","IS_DEPR_EXP","1993-06-18","2026-05-02","Per=Y","Days=T","Dir=V")</f>
        <v>0</v>
      </c>
      <c r="AK2">
        <f>BDH("AWX US Equity","CF_CASH_FROM_OPER","1993-06-18","2026-05-02","Per=Y","Days=T","Dir=V")</f>
        <v>0</v>
      </c>
      <c r="AM2">
        <f>BDH("AWX US Equity","CAPITAL_EXPEND","1993-06-18","2026-05-02","Per=Y","Days=T","Dir=V")</f>
        <v>0</v>
      </c>
      <c r="AO2">
        <f>BDH("AWX US Equity","CF_FREE_CASH_FLOW","1993-06-18","2026-05-02","Per=Y","Days=T","Dir=V")</f>
        <v>0</v>
      </c>
      <c r="AQ2">
        <f>BDH("AWX US Equity","PX_LAST","1993-06-18","2026-05-02","Per=M","Days=T","Dir=V")</f>
        <v>0</v>
      </c>
      <c r="AS2">
        <f>BDH("AWX US Equity","CUR_MKT_CAP","1993-06-18","2026-05-02","Per=M","Days=T","Dir=V")</f>
        <v>0</v>
      </c>
      <c r="AU2">
        <f>BDH("AWX US Equity","EQY_SH_OUT","1993-06-18","2026-05-02","Per=M","Days=T","Dir=V")</f>
        <v>0</v>
      </c>
      <c r="AW2">
        <f>BDH("AWX US Equity","PX_VOLUME","1993-06-18","2026-05-02","Per=M","Days=T","Dir=V")</f>
        <v>0</v>
      </c>
      <c r="AY2">
        <f>BDH("AWX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BDH("AXGN US Equity","BS_TOT_ASSET","1993-06-18","2026-05-02","Per=Y","Days=T","Dir=V")</f>
        <v>0</v>
      </c>
      <c r="C2">
        <f>BDH("AXGN US Equity","BS_TOT_LIAB2","1993-06-18","2026-05-02","Per=Y","Days=T","Dir=V")</f>
        <v>0</v>
      </c>
      <c r="E2">
        <f>BDH("AXGN US Equity","SHORT_AND_LONG_TERM_DEBT","1993-06-18","2026-05-02","Per=Y","Days=T","Dir=V")</f>
        <v>0</v>
      </c>
      <c r="G2">
        <f>BDH("AXGN US Equity","BS_ST_BORROW","1993-06-18","2026-05-02","Per=Y","Days=T","Dir=V")</f>
        <v>0</v>
      </c>
      <c r="I2">
        <f>BDH("AXGN US Equity","BS_LT_BORROW","1993-06-18","2026-05-02","Per=Y","Days=T","Dir=V")</f>
        <v>0</v>
      </c>
      <c r="K2">
        <f>BDH("AXGN US Equity","BS_CASH_NEAR_CASH_ITEM","1993-06-18","2026-05-02","Per=Y","Days=T","Dir=V")</f>
        <v>0</v>
      </c>
      <c r="M2">
        <f>BDH("AXGN US Equity","BS_CUR_ASSET_REPORT","1993-06-18","2026-05-02","Per=Y","Days=T","Dir=V")</f>
        <v>0</v>
      </c>
      <c r="O2">
        <f>BDH("AXGN US Equity","BS_CUR_LIAB","1993-06-18","2026-05-02","Per=Y","Days=T","Dir=V")</f>
        <v>0</v>
      </c>
      <c r="Q2">
        <f>BDH("AXGN US Equity","BS_SHAREHOLDER_EQY_ENDING_PERIOD","1993-06-18","2026-05-02","Per=Y","Days=T","Dir=V")</f>
        <v>0</v>
      </c>
      <c r="S2">
        <f>BDH("AXGN US Equity","BS_ACCT_NOTE_RCV","1993-06-18","2026-05-02","Per=Y","Days=T","Dir=V")</f>
        <v>0</v>
      </c>
      <c r="U2">
        <f>BDH("AXGN US Equity","BS_INVENTORIES","1993-06-18","2026-05-02","Per=Y","Days=T","Dir=V")</f>
        <v>0</v>
      </c>
      <c r="W2">
        <f>BDH("AXGN US Equity","WORKING_CAPITAL","1993-06-18","2026-05-02","Per=Y","Days=T","Dir=V")</f>
        <v>0</v>
      </c>
      <c r="Y2">
        <f>BDH("AXGN US Equity","SALES_REV_TURN","1993-06-18","2026-05-02","Per=Y","Days=T","Dir=V")</f>
        <v>0</v>
      </c>
      <c r="AA2">
        <f>BDH("AXGN US Equity","EBIT","1993-06-18","2026-05-02","Per=Y","Days=T","Dir=V")</f>
        <v>0</v>
      </c>
      <c r="AC2">
        <f>BDH("AXGN US Equity","EBITDA","1993-06-18","2026-05-02","Per=Y","Days=T","Dir=V")</f>
        <v>0</v>
      </c>
      <c r="AE2">
        <f>BDH("AXGN US Equity","NET_INCOME","1993-06-18","2026-05-02","Per=Y","Days=T","Dir=V")</f>
        <v>0</v>
      </c>
      <c r="AG2">
        <f>BDH("AXGN US Equity","IS_INT_EXPENSE","1993-06-18","2026-05-02","Per=Y","Days=T","Dir=V")</f>
        <v>0</v>
      </c>
      <c r="AI2">
        <f>BDH("AXGN US Equity","IS_DEPR_EXP","1993-06-18","2026-05-02","Per=Y","Days=T","Dir=V")</f>
        <v>0</v>
      </c>
      <c r="AK2">
        <f>BDH("AXGN US Equity","CF_CASH_FROM_OPER","1993-06-18","2026-05-02","Per=Y","Days=T","Dir=V")</f>
        <v>0</v>
      </c>
      <c r="AM2">
        <f>BDH("AXGN US Equity","CAPITAL_EXPEND","1993-06-18","2026-05-02","Per=Y","Days=T","Dir=V")</f>
        <v>0</v>
      </c>
      <c r="AO2">
        <f>BDH("AXGN US Equity","CF_FREE_CASH_FLOW","1993-06-18","2026-05-02","Per=Y","Days=T","Dir=V")</f>
        <v>0</v>
      </c>
      <c r="AQ2">
        <f>BDH("AXGN US Equity","PX_LAST","1993-06-18","2026-05-02","Per=M","Days=T","Dir=V")</f>
        <v>0</v>
      </c>
      <c r="AS2">
        <f>BDH("AXGN US Equity","CUR_MKT_CAP","1993-06-18","2026-05-02","Per=M","Days=T","Dir=V")</f>
        <v>0</v>
      </c>
      <c r="AU2">
        <f>BDH("AXGN US Equity","EQY_SH_OUT","1993-06-18","2026-05-02","Per=M","Days=T","Dir=V")</f>
        <v>0</v>
      </c>
      <c r="AW2">
        <f>BDH("AXGN US Equity","PX_VOLUME","1993-06-18","2026-05-02","Per=M","Days=T","Dir=V")</f>
        <v>0</v>
      </c>
      <c r="AY2">
        <f>BDH("AXGN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BDH("AXON US Equity","BS_TOT_ASSET","1993-06-18","2026-05-02","Per=Y","Days=T","Dir=V")</f>
        <v>0</v>
      </c>
      <c r="C2">
        <f>BDH("AXON US Equity","BS_TOT_LIAB2","1993-06-18","2026-05-02","Per=Y","Days=T","Dir=V")</f>
        <v>0</v>
      </c>
      <c r="E2">
        <f>BDH("AXON US Equity","SHORT_AND_LONG_TERM_DEBT","1993-06-18","2026-05-02","Per=Y","Days=T","Dir=V")</f>
        <v>0</v>
      </c>
      <c r="G2">
        <f>BDH("AXON US Equity","BS_ST_BORROW","1993-06-18","2026-05-02","Per=Y","Days=T","Dir=V")</f>
        <v>0</v>
      </c>
      <c r="I2">
        <f>BDH("AXON US Equity","BS_LT_BORROW","1993-06-18","2026-05-02","Per=Y","Days=T","Dir=V")</f>
        <v>0</v>
      </c>
      <c r="K2">
        <f>BDH("AXON US Equity","BS_CASH_NEAR_CASH_ITEM","1993-06-18","2026-05-02","Per=Y","Days=T","Dir=V")</f>
        <v>0</v>
      </c>
      <c r="M2">
        <f>BDH("AXON US Equity","BS_CUR_ASSET_REPORT","1993-06-18","2026-05-02","Per=Y","Days=T","Dir=V")</f>
        <v>0</v>
      </c>
      <c r="O2">
        <f>BDH("AXON US Equity","BS_CUR_LIAB","1993-06-18","2026-05-02","Per=Y","Days=T","Dir=V")</f>
        <v>0</v>
      </c>
      <c r="Q2">
        <f>BDH("AXON US Equity","BS_SHAREHOLDER_EQY_ENDING_PERIOD","1993-06-18","2026-05-02","Per=Y","Days=T","Dir=V")</f>
        <v>0</v>
      </c>
      <c r="S2">
        <f>BDH("AXON US Equity","BS_ACCT_NOTE_RCV","1993-06-18","2026-05-02","Per=Y","Days=T","Dir=V")</f>
        <v>0</v>
      </c>
      <c r="U2">
        <f>BDH("AXON US Equity","BS_INVENTORIES","1993-06-18","2026-05-02","Per=Y","Days=T","Dir=V")</f>
        <v>0</v>
      </c>
      <c r="W2">
        <f>BDH("AXON US Equity","WORKING_CAPITAL","1993-06-18","2026-05-02","Per=Y","Days=T","Dir=V")</f>
        <v>0</v>
      </c>
      <c r="Y2">
        <f>BDH("AXON US Equity","SALES_REV_TURN","1993-06-18","2026-05-02","Per=Y","Days=T","Dir=V")</f>
        <v>0</v>
      </c>
      <c r="AA2">
        <f>BDH("AXON US Equity","EBIT","1993-06-18","2026-05-02","Per=Y","Days=T","Dir=V")</f>
        <v>0</v>
      </c>
      <c r="AC2">
        <f>BDH("AXON US Equity","EBITDA","1993-06-18","2026-05-02","Per=Y","Days=T","Dir=V")</f>
        <v>0</v>
      </c>
      <c r="AE2">
        <f>BDH("AXON US Equity","NET_INCOME","1993-06-18","2026-05-02","Per=Y","Days=T","Dir=V")</f>
        <v>0</v>
      </c>
      <c r="AG2">
        <f>BDH("AXON US Equity","IS_INT_EXPENSE","1993-06-18","2026-05-02","Per=Y","Days=T","Dir=V")</f>
        <v>0</v>
      </c>
      <c r="AI2">
        <f>BDH("AXON US Equity","IS_DEPR_EXP","1993-06-18","2026-05-02","Per=Y","Days=T","Dir=V")</f>
        <v>0</v>
      </c>
      <c r="AK2">
        <f>BDH("AXON US Equity","CF_CASH_FROM_OPER","1993-06-18","2026-05-02","Per=Y","Days=T","Dir=V")</f>
        <v>0</v>
      </c>
      <c r="AM2">
        <f>BDH("AXON US Equity","CAPITAL_EXPEND","1993-06-18","2026-05-02","Per=Y","Days=T","Dir=V")</f>
        <v>0</v>
      </c>
      <c r="AO2">
        <f>BDH("AXON US Equity","CF_FREE_CASH_FLOW","1993-06-18","2026-05-02","Per=Y","Days=T","Dir=V")</f>
        <v>0</v>
      </c>
      <c r="AQ2">
        <f>BDH("AXON US Equity","PX_LAST","1993-06-18","2026-05-02","Per=M","Days=T","Dir=V")</f>
        <v>0</v>
      </c>
      <c r="AS2">
        <f>BDH("AXON US Equity","CUR_MKT_CAP","1993-06-18","2026-05-02","Per=M","Days=T","Dir=V")</f>
        <v>0</v>
      </c>
      <c r="AU2">
        <f>BDH("AXON US Equity","EQY_SH_OUT","1993-06-18","2026-05-02","Per=M","Days=T","Dir=V")</f>
        <v>0</v>
      </c>
      <c r="AW2">
        <f>BDH("AXON US Equity","PX_VOLUME","1993-06-18","2026-05-02","Per=M","Days=T","Dir=V")</f>
        <v>0</v>
      </c>
      <c r="AY2">
        <f>BDH("AXON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BDH("AXSM US Equity","BS_TOT_ASSET","1993-06-18","2026-05-02","Per=Y","Days=T","Dir=V")</f>
        <v>0</v>
      </c>
      <c r="C2">
        <f>BDH("AXSM US Equity","BS_TOT_LIAB2","1993-06-18","2026-05-02","Per=Y","Days=T","Dir=V")</f>
        <v>0</v>
      </c>
      <c r="E2">
        <f>BDH("AXSM US Equity","SHORT_AND_LONG_TERM_DEBT","1993-06-18","2026-05-02","Per=Y","Days=T","Dir=V")</f>
        <v>0</v>
      </c>
      <c r="G2">
        <f>BDH("AXSM US Equity","BS_ST_BORROW","1993-06-18","2026-05-02","Per=Y","Days=T","Dir=V")</f>
        <v>0</v>
      </c>
      <c r="I2">
        <f>BDH("AXSM US Equity","BS_LT_BORROW","1993-06-18","2026-05-02","Per=Y","Days=T","Dir=V")</f>
        <v>0</v>
      </c>
      <c r="K2">
        <f>BDH("AXSM US Equity","BS_CASH_NEAR_CASH_ITEM","1993-06-18","2026-05-02","Per=Y","Days=T","Dir=V")</f>
        <v>0</v>
      </c>
      <c r="M2">
        <f>BDH("AXSM US Equity","BS_CUR_ASSET_REPORT","1993-06-18","2026-05-02","Per=Y","Days=T","Dir=V")</f>
        <v>0</v>
      </c>
      <c r="O2">
        <f>BDH("AXSM US Equity","BS_CUR_LIAB","1993-06-18","2026-05-02","Per=Y","Days=T","Dir=V")</f>
        <v>0</v>
      </c>
      <c r="Q2">
        <f>BDH("AXSM US Equity","BS_SHAREHOLDER_EQY_ENDING_PERIOD","1993-06-18","2026-05-02","Per=Y","Days=T","Dir=V")</f>
        <v>0</v>
      </c>
      <c r="S2">
        <f>BDH("AXSM US Equity","BS_ACCT_NOTE_RCV","1993-06-18","2026-05-02","Per=Y","Days=T","Dir=V")</f>
        <v>0</v>
      </c>
      <c r="U2">
        <f>BDH("AXSM US Equity","BS_INVENTORIES","1993-06-18","2026-05-02","Per=Y","Days=T","Dir=V")</f>
        <v>0</v>
      </c>
      <c r="W2">
        <f>BDH("AXSM US Equity","WORKING_CAPITAL","1993-06-18","2026-05-02","Per=Y","Days=T","Dir=V")</f>
        <v>0</v>
      </c>
      <c r="Y2">
        <f>BDH("AXSM US Equity","SALES_REV_TURN","1993-06-18","2026-05-02","Per=Y","Days=T","Dir=V")</f>
        <v>0</v>
      </c>
      <c r="AA2">
        <f>BDH("AXSM US Equity","EBIT","1993-06-18","2026-05-02","Per=Y","Days=T","Dir=V")</f>
        <v>0</v>
      </c>
      <c r="AC2">
        <f>BDH("AXSM US Equity","EBITDA","1993-06-18","2026-05-02","Per=Y","Days=T","Dir=V")</f>
        <v>0</v>
      </c>
      <c r="AE2">
        <f>BDH("AXSM US Equity","NET_INCOME","1993-06-18","2026-05-02","Per=Y","Days=T","Dir=V")</f>
        <v>0</v>
      </c>
      <c r="AG2">
        <f>BDH("AXSM US Equity","IS_INT_EXPENSE","1993-06-18","2026-05-02","Per=Y","Days=T","Dir=V")</f>
        <v>0</v>
      </c>
      <c r="AI2">
        <f>BDH("AXSM US Equity","IS_DEPR_EXP","1993-06-18","2026-05-02","Per=Y","Days=T","Dir=V")</f>
        <v>0</v>
      </c>
      <c r="AK2">
        <f>BDH("AXSM US Equity","CF_CASH_FROM_OPER","1993-06-18","2026-05-02","Per=Y","Days=T","Dir=V")</f>
        <v>0</v>
      </c>
      <c r="AM2">
        <f>BDH("AXSM US Equity","CAPITAL_EXPEND","1993-06-18","2026-05-02","Per=Y","Days=T","Dir=V")</f>
        <v>0</v>
      </c>
      <c r="AO2">
        <f>BDH("AXSM US Equity","CF_FREE_CASH_FLOW","1993-06-18","2026-05-02","Per=Y","Days=T","Dir=V")</f>
        <v>0</v>
      </c>
      <c r="AQ2">
        <f>BDH("AXSM US Equity","PX_LAST","1993-06-18","2026-05-02","Per=M","Days=T","Dir=V")</f>
        <v>0</v>
      </c>
      <c r="AS2">
        <f>BDH("AXSM US Equity","CUR_MKT_CAP","1993-06-18","2026-05-02","Per=M","Days=T","Dir=V")</f>
        <v>0</v>
      </c>
      <c r="AU2">
        <f>BDH("AXSM US Equity","EQY_SH_OUT","1993-06-18","2026-05-02","Per=M","Days=T","Dir=V")</f>
        <v>0</v>
      </c>
      <c r="AW2">
        <f>BDH("AXSM US Equity","PX_VOLUME","1993-06-18","2026-05-02","Per=M","Days=T","Dir=V")</f>
        <v>0</v>
      </c>
      <c r="AY2">
        <f>BDH("AXSM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BDH("AXTA US Equity","BS_TOT_ASSET","1993-06-18","2026-05-02","Per=Y","Days=T","Dir=V")</f>
        <v>0</v>
      </c>
      <c r="C2">
        <f>BDH("AXTA US Equity","BS_TOT_LIAB2","1993-06-18","2026-05-02","Per=Y","Days=T","Dir=V")</f>
        <v>0</v>
      </c>
      <c r="E2">
        <f>BDH("AXTA US Equity","SHORT_AND_LONG_TERM_DEBT","1993-06-18","2026-05-02","Per=Y","Days=T","Dir=V")</f>
        <v>0</v>
      </c>
      <c r="G2">
        <f>BDH("AXTA US Equity","BS_ST_BORROW","1993-06-18","2026-05-02","Per=Y","Days=T","Dir=V")</f>
        <v>0</v>
      </c>
      <c r="I2">
        <f>BDH("AXTA US Equity","BS_LT_BORROW","1993-06-18","2026-05-02","Per=Y","Days=T","Dir=V")</f>
        <v>0</v>
      </c>
      <c r="K2">
        <f>BDH("AXTA US Equity","BS_CASH_NEAR_CASH_ITEM","1993-06-18","2026-05-02","Per=Y","Days=T","Dir=V")</f>
        <v>0</v>
      </c>
      <c r="M2">
        <f>BDH("AXTA US Equity","BS_CUR_ASSET_REPORT","1993-06-18","2026-05-02","Per=Y","Days=T","Dir=V")</f>
        <v>0</v>
      </c>
      <c r="O2">
        <f>BDH("AXTA US Equity","BS_CUR_LIAB","1993-06-18","2026-05-02","Per=Y","Days=T","Dir=V")</f>
        <v>0</v>
      </c>
      <c r="Q2">
        <f>BDH("AXTA US Equity","BS_SHAREHOLDER_EQY_ENDING_PERIOD","1993-06-18","2026-05-02","Per=Y","Days=T","Dir=V")</f>
        <v>0</v>
      </c>
      <c r="S2">
        <f>BDH("AXTA US Equity","BS_ACCT_NOTE_RCV","1993-06-18","2026-05-02","Per=Y","Days=T","Dir=V")</f>
        <v>0</v>
      </c>
      <c r="U2">
        <f>BDH("AXTA US Equity","BS_INVENTORIES","1993-06-18","2026-05-02","Per=Y","Days=T","Dir=V")</f>
        <v>0</v>
      </c>
      <c r="W2">
        <f>BDH("AXTA US Equity","WORKING_CAPITAL","1993-06-18","2026-05-02","Per=Y","Days=T","Dir=V")</f>
        <v>0</v>
      </c>
      <c r="Y2">
        <f>BDH("AXTA US Equity","SALES_REV_TURN","1993-06-18","2026-05-02","Per=Y","Days=T","Dir=V")</f>
        <v>0</v>
      </c>
      <c r="AA2">
        <f>BDH("AXTA US Equity","EBIT","1993-06-18","2026-05-02","Per=Y","Days=T","Dir=V")</f>
        <v>0</v>
      </c>
      <c r="AC2">
        <f>BDH("AXTA US Equity","EBITDA","1993-06-18","2026-05-02","Per=Y","Days=T","Dir=V")</f>
        <v>0</v>
      </c>
      <c r="AE2">
        <f>BDH("AXTA US Equity","NET_INCOME","1993-06-18","2026-05-02","Per=Y","Days=T","Dir=V")</f>
        <v>0</v>
      </c>
      <c r="AG2">
        <f>BDH("AXTA US Equity","IS_INT_EXPENSE","1993-06-18","2026-05-02","Per=Y","Days=T","Dir=V")</f>
        <v>0</v>
      </c>
      <c r="AI2">
        <f>BDH("AXTA US Equity","IS_DEPR_EXP","1993-06-18","2026-05-02","Per=Y","Days=T","Dir=V")</f>
        <v>0</v>
      </c>
      <c r="AK2">
        <f>BDH("AXTA US Equity","CF_CASH_FROM_OPER","1993-06-18","2026-05-02","Per=Y","Days=T","Dir=V")</f>
        <v>0</v>
      </c>
      <c r="AM2">
        <f>BDH("AXTA US Equity","CAPITAL_EXPEND","1993-06-18","2026-05-02","Per=Y","Days=T","Dir=V")</f>
        <v>0</v>
      </c>
      <c r="AO2">
        <f>BDH("AXTA US Equity","CF_FREE_CASH_FLOW","1993-06-18","2026-05-02","Per=Y","Days=T","Dir=V")</f>
        <v>0</v>
      </c>
      <c r="AQ2">
        <f>BDH("AXTA US Equity","PX_LAST","1993-06-18","2026-05-02","Per=M","Days=T","Dir=V")</f>
        <v>0</v>
      </c>
      <c r="AS2">
        <f>BDH("AXTA US Equity","CUR_MKT_CAP","1993-06-18","2026-05-02","Per=M","Days=T","Dir=V")</f>
        <v>0</v>
      </c>
      <c r="AU2">
        <f>BDH("AXTA US Equity","EQY_SH_OUT","1993-06-18","2026-05-02","Per=M","Days=T","Dir=V")</f>
        <v>0</v>
      </c>
      <c r="AW2">
        <f>BDH("AXTA US Equity","PX_VOLUME","1993-06-18","2026-05-02","Per=M","Days=T","Dir=V")</f>
        <v>0</v>
      </c>
      <c r="AY2">
        <f>BDH("AXTA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BDH("AXTI US Equity","BS_TOT_ASSET","1993-06-18","2026-05-02","Per=Y","Days=T","Dir=V")</f>
        <v>0</v>
      </c>
      <c r="C2">
        <f>BDH("AXTI US Equity","BS_TOT_LIAB2","1993-06-18","2026-05-02","Per=Y","Days=T","Dir=V")</f>
        <v>0</v>
      </c>
      <c r="E2">
        <f>BDH("AXTI US Equity","SHORT_AND_LONG_TERM_DEBT","1993-06-18","2026-05-02","Per=Y","Days=T","Dir=V")</f>
        <v>0</v>
      </c>
      <c r="G2">
        <f>BDH("AXTI US Equity","BS_ST_BORROW","1993-06-18","2026-05-02","Per=Y","Days=T","Dir=V")</f>
        <v>0</v>
      </c>
      <c r="I2">
        <f>BDH("AXTI US Equity","BS_LT_BORROW","1993-06-18","2026-05-02","Per=Y","Days=T","Dir=V")</f>
        <v>0</v>
      </c>
      <c r="K2">
        <f>BDH("AXTI US Equity","BS_CASH_NEAR_CASH_ITEM","1993-06-18","2026-05-02","Per=Y","Days=T","Dir=V")</f>
        <v>0</v>
      </c>
      <c r="M2">
        <f>BDH("AXTI US Equity","BS_CUR_ASSET_REPORT","1993-06-18","2026-05-02","Per=Y","Days=T","Dir=V")</f>
        <v>0</v>
      </c>
      <c r="O2">
        <f>BDH("AXTI US Equity","BS_CUR_LIAB","1993-06-18","2026-05-02","Per=Y","Days=T","Dir=V")</f>
        <v>0</v>
      </c>
      <c r="Q2">
        <f>BDH("AXTI US Equity","BS_SHAREHOLDER_EQY_ENDING_PERIOD","1993-06-18","2026-05-02","Per=Y","Days=T","Dir=V")</f>
        <v>0</v>
      </c>
      <c r="S2">
        <f>BDH("AXTI US Equity","BS_ACCT_NOTE_RCV","1993-06-18","2026-05-02","Per=Y","Days=T","Dir=V")</f>
        <v>0</v>
      </c>
      <c r="U2">
        <f>BDH("AXTI US Equity","BS_INVENTORIES","1993-06-18","2026-05-02","Per=Y","Days=T","Dir=V")</f>
        <v>0</v>
      </c>
      <c r="W2">
        <f>BDH("AXTI US Equity","WORKING_CAPITAL","1993-06-18","2026-05-02","Per=Y","Days=T","Dir=V")</f>
        <v>0</v>
      </c>
      <c r="Y2">
        <f>BDH("AXTI US Equity","SALES_REV_TURN","1993-06-18","2026-05-02","Per=Y","Days=T","Dir=V")</f>
        <v>0</v>
      </c>
      <c r="AA2">
        <f>BDH("AXTI US Equity","EBIT","1993-06-18","2026-05-02","Per=Y","Days=T","Dir=V")</f>
        <v>0</v>
      </c>
      <c r="AC2">
        <f>BDH("AXTI US Equity","EBITDA","1993-06-18","2026-05-02","Per=Y","Days=T","Dir=V")</f>
        <v>0</v>
      </c>
      <c r="AE2">
        <f>BDH("AXTI US Equity","NET_INCOME","1993-06-18","2026-05-02","Per=Y","Days=T","Dir=V")</f>
        <v>0</v>
      </c>
      <c r="AG2">
        <f>BDH("AXTI US Equity","IS_INT_EXPENSE","1993-06-18","2026-05-02","Per=Y","Days=T","Dir=V")</f>
        <v>0</v>
      </c>
      <c r="AI2">
        <f>BDH("AXTI US Equity","IS_DEPR_EXP","1993-06-18","2026-05-02","Per=Y","Days=T","Dir=V")</f>
        <v>0</v>
      </c>
      <c r="AK2">
        <f>BDH("AXTI US Equity","CF_CASH_FROM_OPER","1993-06-18","2026-05-02","Per=Y","Days=T","Dir=V")</f>
        <v>0</v>
      </c>
      <c r="AM2">
        <f>BDH("AXTI US Equity","CAPITAL_EXPEND","1993-06-18","2026-05-02","Per=Y","Days=T","Dir=V")</f>
        <v>0</v>
      </c>
      <c r="AO2">
        <f>BDH("AXTI US Equity","CF_FREE_CASH_FLOW","1993-06-18","2026-05-02","Per=Y","Days=T","Dir=V")</f>
        <v>0</v>
      </c>
      <c r="AQ2">
        <f>BDH("AXTI US Equity","PX_LAST","1993-06-18","2026-05-02","Per=M","Days=T","Dir=V")</f>
        <v>0</v>
      </c>
      <c r="AS2">
        <f>BDH("AXTI US Equity","CUR_MKT_CAP","1993-06-18","2026-05-02","Per=M","Days=T","Dir=V")</f>
        <v>0</v>
      </c>
      <c r="AU2">
        <f>BDH("AXTI US Equity","EQY_SH_OUT","1993-06-18","2026-05-02","Per=M","Days=T","Dir=V")</f>
        <v>0</v>
      </c>
      <c r="AW2">
        <f>BDH("AXTI US Equity","PX_VOLUME","1993-06-18","2026-05-02","Per=M","Days=T","Dir=V")</f>
        <v>0</v>
      </c>
      <c r="AY2">
        <f>BDH("AXTI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BDH("AYI US Equity","BS_TOT_ASSET","1993-06-18","2026-05-02","Per=Y","Days=T","Dir=V")</f>
        <v>0</v>
      </c>
      <c r="C2">
        <f>BDH("AYI US Equity","BS_TOT_LIAB2","1993-06-18","2026-05-02","Per=Y","Days=T","Dir=V")</f>
        <v>0</v>
      </c>
      <c r="E2">
        <f>BDH("AYI US Equity","SHORT_AND_LONG_TERM_DEBT","1993-06-18","2026-05-02","Per=Y","Days=T","Dir=V")</f>
        <v>0</v>
      </c>
      <c r="G2">
        <f>BDH("AYI US Equity","BS_ST_BORROW","1993-06-18","2026-05-02","Per=Y","Days=T","Dir=V")</f>
        <v>0</v>
      </c>
      <c r="I2">
        <f>BDH("AYI US Equity","BS_LT_BORROW","1993-06-18","2026-05-02","Per=Y","Days=T","Dir=V")</f>
        <v>0</v>
      </c>
      <c r="K2">
        <f>BDH("AYI US Equity","BS_CASH_NEAR_CASH_ITEM","1993-06-18","2026-05-02","Per=Y","Days=T","Dir=V")</f>
        <v>0</v>
      </c>
      <c r="M2">
        <f>BDH("AYI US Equity","BS_CUR_ASSET_REPORT","1993-06-18","2026-05-02","Per=Y","Days=T","Dir=V")</f>
        <v>0</v>
      </c>
      <c r="O2">
        <f>BDH("AYI US Equity","BS_CUR_LIAB","1993-06-18","2026-05-02","Per=Y","Days=T","Dir=V")</f>
        <v>0</v>
      </c>
      <c r="Q2">
        <f>BDH("AYI US Equity","BS_SHAREHOLDER_EQY_ENDING_PERIOD","1993-06-18","2026-05-02","Per=Y","Days=T","Dir=V")</f>
        <v>0</v>
      </c>
      <c r="S2">
        <f>BDH("AYI US Equity","BS_ACCT_NOTE_RCV","1993-06-18","2026-05-02","Per=Y","Days=T","Dir=V")</f>
        <v>0</v>
      </c>
      <c r="U2">
        <f>BDH("AYI US Equity","BS_INVENTORIES","1993-06-18","2026-05-02","Per=Y","Days=T","Dir=V")</f>
        <v>0</v>
      </c>
      <c r="W2">
        <f>BDH("AYI US Equity","WORKING_CAPITAL","1993-06-18","2026-05-02","Per=Y","Days=T","Dir=V")</f>
        <v>0</v>
      </c>
      <c r="Y2">
        <f>BDH("AYI US Equity","SALES_REV_TURN","1993-06-18","2026-05-02","Per=Y","Days=T","Dir=V")</f>
        <v>0</v>
      </c>
      <c r="AA2">
        <f>BDH("AYI US Equity","EBIT","1993-06-18","2026-05-02","Per=Y","Days=T","Dir=V")</f>
        <v>0</v>
      </c>
      <c r="AC2">
        <f>BDH("AYI US Equity","EBITDA","1993-06-18","2026-05-02","Per=Y","Days=T","Dir=V")</f>
        <v>0</v>
      </c>
      <c r="AE2">
        <f>BDH("AYI US Equity","NET_INCOME","1993-06-18","2026-05-02","Per=Y","Days=T","Dir=V")</f>
        <v>0</v>
      </c>
      <c r="AG2">
        <f>BDH("AYI US Equity","IS_INT_EXPENSE","1993-06-18","2026-05-02","Per=Y","Days=T","Dir=V")</f>
        <v>0</v>
      </c>
      <c r="AI2">
        <f>BDH("AYI US Equity","IS_DEPR_EXP","1993-06-18","2026-05-02","Per=Y","Days=T","Dir=V")</f>
        <v>0</v>
      </c>
      <c r="AK2">
        <f>BDH("AYI US Equity","CF_CASH_FROM_OPER","1993-06-18","2026-05-02","Per=Y","Days=T","Dir=V")</f>
        <v>0</v>
      </c>
      <c r="AM2">
        <f>BDH("AYI US Equity","CAPITAL_EXPEND","1993-06-18","2026-05-02","Per=Y","Days=T","Dir=V")</f>
        <v>0</v>
      </c>
      <c r="AO2">
        <f>BDH("AYI US Equity","CF_FREE_CASH_FLOW","1993-06-18","2026-05-02","Per=Y","Days=T","Dir=V")</f>
        <v>0</v>
      </c>
      <c r="AQ2">
        <f>BDH("AYI US Equity","PX_LAST","1993-06-18","2026-05-02","Per=M","Days=T","Dir=V")</f>
        <v>0</v>
      </c>
      <c r="AS2">
        <f>BDH("AYI US Equity","CUR_MKT_CAP","1993-06-18","2026-05-02","Per=M","Days=T","Dir=V")</f>
        <v>0</v>
      </c>
      <c r="AU2">
        <f>BDH("AYI US Equity","EQY_SH_OUT","1993-06-18","2026-05-02","Per=M","Days=T","Dir=V")</f>
        <v>0</v>
      </c>
      <c r="AW2">
        <f>BDH("AYI US Equity","PX_VOLUME","1993-06-18","2026-05-02","Per=M","Days=T","Dir=V")</f>
        <v>0</v>
      </c>
      <c r="AY2">
        <f>BDH("AYI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BDH("AYTU US Equity","BS_TOT_ASSET","1993-06-18","2026-05-02","Per=Y","Days=T","Dir=V")</f>
        <v>0</v>
      </c>
      <c r="C2">
        <f>BDH("AYTU US Equity","BS_TOT_LIAB2","1993-06-18","2026-05-02","Per=Y","Days=T","Dir=V")</f>
        <v>0</v>
      </c>
      <c r="E2">
        <f>BDH("AYTU US Equity","SHORT_AND_LONG_TERM_DEBT","1993-06-18","2026-05-02","Per=Y","Days=T","Dir=V")</f>
        <v>0</v>
      </c>
      <c r="G2">
        <f>BDH("AYTU US Equity","BS_ST_BORROW","1993-06-18","2026-05-02","Per=Y","Days=T","Dir=V")</f>
        <v>0</v>
      </c>
      <c r="I2">
        <f>BDH("AYTU US Equity","BS_LT_BORROW","1993-06-18","2026-05-02","Per=Y","Days=T","Dir=V")</f>
        <v>0</v>
      </c>
      <c r="K2">
        <f>BDH("AYTU US Equity","BS_CASH_NEAR_CASH_ITEM","1993-06-18","2026-05-02","Per=Y","Days=T","Dir=V")</f>
        <v>0</v>
      </c>
      <c r="M2">
        <f>BDH("AYTU US Equity","BS_CUR_ASSET_REPORT","1993-06-18","2026-05-02","Per=Y","Days=T","Dir=V")</f>
        <v>0</v>
      </c>
      <c r="O2">
        <f>BDH("AYTU US Equity","BS_CUR_LIAB","1993-06-18","2026-05-02","Per=Y","Days=T","Dir=V")</f>
        <v>0</v>
      </c>
      <c r="Q2">
        <f>BDH("AYTU US Equity","BS_SHAREHOLDER_EQY_ENDING_PERIOD","1993-06-18","2026-05-02","Per=Y","Days=T","Dir=V")</f>
        <v>0</v>
      </c>
      <c r="S2">
        <f>BDH("AYTU US Equity","BS_ACCT_NOTE_RCV","1993-06-18","2026-05-02","Per=Y","Days=T","Dir=V")</f>
        <v>0</v>
      </c>
      <c r="U2">
        <f>BDH("AYTU US Equity","BS_INVENTORIES","1993-06-18","2026-05-02","Per=Y","Days=T","Dir=V")</f>
        <v>0</v>
      </c>
      <c r="W2">
        <f>BDH("AYTU US Equity","WORKING_CAPITAL","1993-06-18","2026-05-02","Per=Y","Days=T","Dir=V")</f>
        <v>0</v>
      </c>
      <c r="Y2">
        <f>BDH("AYTU US Equity","SALES_REV_TURN","1993-06-18","2026-05-02","Per=Y","Days=T","Dir=V")</f>
        <v>0</v>
      </c>
      <c r="AA2">
        <f>BDH("AYTU US Equity","EBIT","1993-06-18","2026-05-02","Per=Y","Days=T","Dir=V")</f>
        <v>0</v>
      </c>
      <c r="AC2">
        <f>BDH("AYTU US Equity","EBITDA","1993-06-18","2026-05-02","Per=Y","Days=T","Dir=V")</f>
        <v>0</v>
      </c>
      <c r="AE2">
        <f>BDH("AYTU US Equity","NET_INCOME","1993-06-18","2026-05-02","Per=Y","Days=T","Dir=V")</f>
        <v>0</v>
      </c>
      <c r="AG2">
        <f>BDH("AYTU US Equity","IS_INT_EXPENSE","1993-06-18","2026-05-02","Per=Y","Days=T","Dir=V")</f>
        <v>0</v>
      </c>
      <c r="AI2">
        <f>BDH("AYTU US Equity","IS_DEPR_EXP","1993-06-18","2026-05-02","Per=Y","Days=T","Dir=V")</f>
        <v>0</v>
      </c>
      <c r="AK2">
        <f>BDH("AYTU US Equity","CF_CASH_FROM_OPER","1993-06-18","2026-05-02","Per=Y","Days=T","Dir=V")</f>
        <v>0</v>
      </c>
      <c r="AM2">
        <f>BDH("AYTU US Equity","CAPITAL_EXPEND","1993-06-18","2026-05-02","Per=Y","Days=T","Dir=V")</f>
        <v>0</v>
      </c>
      <c r="AO2">
        <f>BDH("AYTU US Equity","CF_FREE_CASH_FLOW","1993-06-18","2026-05-02","Per=Y","Days=T","Dir=V")</f>
        <v>0</v>
      </c>
      <c r="AQ2">
        <f>BDH("AYTU US Equity","PX_LAST","1993-06-18","2026-05-02","Per=M","Days=T","Dir=V")</f>
        <v>0</v>
      </c>
      <c r="AS2">
        <f>BDH("AYTU US Equity","CUR_MKT_CAP","1993-06-18","2026-05-02","Per=M","Days=T","Dir=V")</f>
        <v>0</v>
      </c>
      <c r="AU2">
        <f>BDH("AYTU US Equity","EQY_SH_OUT","1993-06-18","2026-05-02","Per=M","Days=T","Dir=V")</f>
        <v>0</v>
      </c>
      <c r="AW2">
        <f>BDH("AYTU US Equity","PX_VOLUME","1993-06-18","2026-05-02","Per=M","Days=T","Dir=V")</f>
        <v>0</v>
      </c>
      <c r="AY2">
        <f>BDH("AYTU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BDH("AZIO US Equity","BS_TOT_ASSET","1993-06-18","2026-05-02","Per=Y","Days=T","Dir=V")</f>
        <v>0</v>
      </c>
      <c r="C2">
        <f>BDH("AZIO US Equity","BS_TOT_LIAB2","1993-06-18","2026-05-02","Per=Y","Days=T","Dir=V")</f>
        <v>0</v>
      </c>
      <c r="E2">
        <f>BDH("AZIO US Equity","SHORT_AND_LONG_TERM_DEBT","1993-06-18","2026-05-02","Per=Y","Days=T","Dir=V")</f>
        <v>0</v>
      </c>
      <c r="G2">
        <f>BDH("AZIO US Equity","BS_ST_BORROW","1993-06-18","2026-05-02","Per=Y","Days=T","Dir=V")</f>
        <v>0</v>
      </c>
      <c r="I2">
        <f>BDH("AZIO US Equity","BS_LT_BORROW","1993-06-18","2026-05-02","Per=Y","Days=T","Dir=V")</f>
        <v>0</v>
      </c>
      <c r="K2">
        <f>BDH("AZIO US Equity","BS_CASH_NEAR_CASH_ITEM","1993-06-18","2026-05-02","Per=Y","Days=T","Dir=V")</f>
        <v>0</v>
      </c>
      <c r="M2">
        <f>BDH("AZIO US Equity","BS_CUR_ASSET_REPORT","1993-06-18","2026-05-02","Per=Y","Days=T","Dir=V")</f>
        <v>0</v>
      </c>
      <c r="O2">
        <f>BDH("AZIO US Equity","BS_CUR_LIAB","1993-06-18","2026-05-02","Per=Y","Days=T","Dir=V")</f>
        <v>0</v>
      </c>
      <c r="Q2">
        <f>BDH("AZIO US Equity","BS_SHAREHOLDER_EQY_ENDING_PERIOD","1993-06-18","2026-05-02","Per=Y","Days=T","Dir=V")</f>
        <v>0</v>
      </c>
      <c r="S2">
        <f>BDH("AZIO US Equity","BS_ACCT_NOTE_RCV","1993-06-18","2026-05-02","Per=Y","Days=T","Dir=V")</f>
        <v>0</v>
      </c>
      <c r="U2">
        <f>BDH("AZIO US Equity","BS_INVENTORIES","1993-06-18","2026-05-02","Per=Y","Days=T","Dir=V")</f>
        <v>0</v>
      </c>
      <c r="W2">
        <f>BDH("AZIO US Equity","WORKING_CAPITAL","1993-06-18","2026-05-02","Per=Y","Days=T","Dir=V")</f>
        <v>0</v>
      </c>
      <c r="Y2">
        <f>BDH("AZIO US Equity","SALES_REV_TURN","1993-06-18","2026-05-02","Per=Y","Days=T","Dir=V")</f>
        <v>0</v>
      </c>
      <c r="AA2">
        <f>BDH("AZIO US Equity","EBIT","1993-06-18","2026-05-02","Per=Y","Days=T","Dir=V")</f>
        <v>0</v>
      </c>
      <c r="AC2">
        <f>BDH("AZIO US Equity","EBITDA","1993-06-18","2026-05-02","Per=Y","Days=T","Dir=V")</f>
        <v>0</v>
      </c>
      <c r="AE2">
        <f>BDH("AZIO US Equity","NET_INCOME","1993-06-18","2026-05-02","Per=Y","Days=T","Dir=V")</f>
        <v>0</v>
      </c>
      <c r="AG2">
        <f>BDH("AZIO US Equity","IS_INT_EXPENSE","1993-06-18","2026-05-02","Per=Y","Days=T","Dir=V")</f>
        <v>0</v>
      </c>
      <c r="AI2">
        <f>BDH("AZIO US Equity","IS_DEPR_EXP","1993-06-18","2026-05-02","Per=Y","Days=T","Dir=V")</f>
        <v>0</v>
      </c>
      <c r="AK2">
        <f>BDH("AZIO US Equity","CF_CASH_FROM_OPER","1993-06-18","2026-05-02","Per=Y","Days=T","Dir=V")</f>
        <v>0</v>
      </c>
      <c r="AM2">
        <f>BDH("AZIO US Equity","CAPITAL_EXPEND","1993-06-18","2026-05-02","Per=Y","Days=T","Dir=V")</f>
        <v>0</v>
      </c>
      <c r="AO2">
        <f>BDH("AZIO US Equity","CF_FREE_CASH_FLOW","1993-06-18","2026-05-02","Per=Y","Days=T","Dir=V")</f>
        <v>0</v>
      </c>
      <c r="AQ2">
        <f>BDH("AZIO US Equity","PX_LAST","1993-06-18","2026-05-02","Per=M","Days=T","Dir=V")</f>
        <v>0</v>
      </c>
      <c r="AS2">
        <f>BDH("AZIO US Equity","CUR_MKT_CAP","1993-06-18","2026-05-02","Per=M","Days=T","Dir=V")</f>
        <v>0</v>
      </c>
      <c r="AU2">
        <f>BDH("AZIO US Equity","EQY_SH_OUT","1993-06-18","2026-05-02","Per=M","Days=T","Dir=V")</f>
        <v>0</v>
      </c>
      <c r="AW2">
        <f>BDH("AZIO US Equity","PX_VOLUME","1993-06-18","2026-05-02","Per=M","Days=T","Dir=V")</f>
        <v>0</v>
      </c>
      <c r="AY2">
        <f>BDH("AZIO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BDH("AZO US Equity","BS_TOT_ASSET","1993-06-18","2026-05-02","Per=Y","Days=T","Dir=V")</f>
        <v>0</v>
      </c>
      <c r="C2">
        <f>BDH("AZO US Equity","BS_TOT_LIAB2","1993-06-18","2026-05-02","Per=Y","Days=T","Dir=V")</f>
        <v>0</v>
      </c>
      <c r="E2">
        <f>BDH("AZO US Equity","SHORT_AND_LONG_TERM_DEBT","1993-06-18","2026-05-02","Per=Y","Days=T","Dir=V")</f>
        <v>0</v>
      </c>
      <c r="G2">
        <f>BDH("AZO US Equity","BS_ST_BORROW","1993-06-18","2026-05-02","Per=Y","Days=T","Dir=V")</f>
        <v>0</v>
      </c>
      <c r="I2">
        <f>BDH("AZO US Equity","BS_LT_BORROW","1993-06-18","2026-05-02","Per=Y","Days=T","Dir=V")</f>
        <v>0</v>
      </c>
      <c r="K2">
        <f>BDH("AZO US Equity","BS_CASH_NEAR_CASH_ITEM","1993-06-18","2026-05-02","Per=Y","Days=T","Dir=V")</f>
        <v>0</v>
      </c>
      <c r="M2">
        <f>BDH("AZO US Equity","BS_CUR_ASSET_REPORT","1993-06-18","2026-05-02","Per=Y","Days=T","Dir=V")</f>
        <v>0</v>
      </c>
      <c r="O2">
        <f>BDH("AZO US Equity","BS_CUR_LIAB","1993-06-18","2026-05-02","Per=Y","Days=T","Dir=V")</f>
        <v>0</v>
      </c>
      <c r="Q2">
        <f>BDH("AZO US Equity","BS_SHAREHOLDER_EQY_ENDING_PERIOD","1993-06-18","2026-05-02","Per=Y","Days=T","Dir=V")</f>
        <v>0</v>
      </c>
      <c r="S2">
        <f>BDH("AZO US Equity","BS_ACCT_NOTE_RCV","1993-06-18","2026-05-02","Per=Y","Days=T","Dir=V")</f>
        <v>0</v>
      </c>
      <c r="U2">
        <f>BDH("AZO US Equity","BS_INVENTORIES","1993-06-18","2026-05-02","Per=Y","Days=T","Dir=V")</f>
        <v>0</v>
      </c>
      <c r="W2">
        <f>BDH("AZO US Equity","WORKING_CAPITAL","1993-06-18","2026-05-02","Per=Y","Days=T","Dir=V")</f>
        <v>0</v>
      </c>
      <c r="Y2">
        <f>BDH("AZO US Equity","SALES_REV_TURN","1993-06-18","2026-05-02","Per=Y","Days=T","Dir=V")</f>
        <v>0</v>
      </c>
      <c r="AA2">
        <f>BDH("AZO US Equity","EBIT","1993-06-18","2026-05-02","Per=Y","Days=T","Dir=V")</f>
        <v>0</v>
      </c>
      <c r="AC2">
        <f>BDH("AZO US Equity","EBITDA","1993-06-18","2026-05-02","Per=Y","Days=T","Dir=V")</f>
        <v>0</v>
      </c>
      <c r="AE2">
        <f>BDH("AZO US Equity","NET_INCOME","1993-06-18","2026-05-02","Per=Y","Days=T","Dir=V")</f>
        <v>0</v>
      </c>
      <c r="AG2">
        <f>BDH("AZO US Equity","IS_INT_EXPENSE","1993-06-18","2026-05-02","Per=Y","Days=T","Dir=V")</f>
        <v>0</v>
      </c>
      <c r="AI2">
        <f>BDH("AZO US Equity","IS_DEPR_EXP","1993-06-18","2026-05-02","Per=Y","Days=T","Dir=V")</f>
        <v>0</v>
      </c>
      <c r="AK2">
        <f>BDH("AZO US Equity","CF_CASH_FROM_OPER","1993-06-18","2026-05-02","Per=Y","Days=T","Dir=V")</f>
        <v>0</v>
      </c>
      <c r="AM2">
        <f>BDH("AZO US Equity","CAPITAL_EXPEND","1993-06-18","2026-05-02","Per=Y","Days=T","Dir=V")</f>
        <v>0</v>
      </c>
      <c r="AO2">
        <f>BDH("AZO US Equity","CF_FREE_CASH_FLOW","1993-06-18","2026-05-02","Per=Y","Days=T","Dir=V")</f>
        <v>0</v>
      </c>
      <c r="AQ2">
        <f>BDH("AZO US Equity","PX_LAST","1993-06-18","2026-05-02","Per=M","Days=T","Dir=V")</f>
        <v>0</v>
      </c>
      <c r="AS2">
        <f>BDH("AZO US Equity","CUR_MKT_CAP","1993-06-18","2026-05-02","Per=M","Days=T","Dir=V")</f>
        <v>0</v>
      </c>
      <c r="AU2">
        <f>BDH("AZO US Equity","EQY_SH_OUT","1993-06-18","2026-05-02","Per=M","Days=T","Dir=V")</f>
        <v>0</v>
      </c>
      <c r="AW2">
        <f>BDH("AZO US Equity","PX_VOLUME","1993-06-18","2026-05-02","Per=M","Days=T","Dir=V")</f>
        <v>0</v>
      </c>
      <c r="AY2">
        <f>BDH("AZO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BDH("AZTA US Equity","BS_TOT_ASSET","1993-06-18","2026-05-02","Per=Y","Days=T","Dir=V")</f>
        <v>0</v>
      </c>
      <c r="C2">
        <f>BDH("AZTA US Equity","BS_TOT_LIAB2","1993-06-18","2026-05-02","Per=Y","Days=T","Dir=V")</f>
        <v>0</v>
      </c>
      <c r="E2">
        <f>BDH("AZTA US Equity","SHORT_AND_LONG_TERM_DEBT","1993-06-18","2026-05-02","Per=Y","Days=T","Dir=V")</f>
        <v>0</v>
      </c>
      <c r="G2">
        <f>BDH("AZTA US Equity","BS_ST_BORROW","1993-06-18","2026-05-02","Per=Y","Days=T","Dir=V")</f>
        <v>0</v>
      </c>
      <c r="I2">
        <f>BDH("AZTA US Equity","BS_LT_BORROW","1993-06-18","2026-05-02","Per=Y","Days=T","Dir=V")</f>
        <v>0</v>
      </c>
      <c r="K2">
        <f>BDH("AZTA US Equity","BS_CASH_NEAR_CASH_ITEM","1993-06-18","2026-05-02","Per=Y","Days=T","Dir=V")</f>
        <v>0</v>
      </c>
      <c r="M2">
        <f>BDH("AZTA US Equity","BS_CUR_ASSET_REPORT","1993-06-18","2026-05-02","Per=Y","Days=T","Dir=V")</f>
        <v>0</v>
      </c>
      <c r="O2">
        <f>BDH("AZTA US Equity","BS_CUR_LIAB","1993-06-18","2026-05-02","Per=Y","Days=T","Dir=V")</f>
        <v>0</v>
      </c>
      <c r="Q2">
        <f>BDH("AZTA US Equity","BS_SHAREHOLDER_EQY_ENDING_PERIOD","1993-06-18","2026-05-02","Per=Y","Days=T","Dir=V")</f>
        <v>0</v>
      </c>
      <c r="S2">
        <f>BDH("AZTA US Equity","BS_ACCT_NOTE_RCV","1993-06-18","2026-05-02","Per=Y","Days=T","Dir=V")</f>
        <v>0</v>
      </c>
      <c r="U2">
        <f>BDH("AZTA US Equity","BS_INVENTORIES","1993-06-18","2026-05-02","Per=Y","Days=T","Dir=V")</f>
        <v>0</v>
      </c>
      <c r="W2">
        <f>BDH("AZTA US Equity","WORKING_CAPITAL","1993-06-18","2026-05-02","Per=Y","Days=T","Dir=V")</f>
        <v>0</v>
      </c>
      <c r="Y2">
        <f>BDH("AZTA US Equity","SALES_REV_TURN","1993-06-18","2026-05-02","Per=Y","Days=T","Dir=V")</f>
        <v>0</v>
      </c>
      <c r="AA2">
        <f>BDH("AZTA US Equity","EBIT","1993-06-18","2026-05-02","Per=Y","Days=T","Dir=V")</f>
        <v>0</v>
      </c>
      <c r="AC2">
        <f>BDH("AZTA US Equity","EBITDA","1993-06-18","2026-05-02","Per=Y","Days=T","Dir=V")</f>
        <v>0</v>
      </c>
      <c r="AE2">
        <f>BDH("AZTA US Equity","NET_INCOME","1993-06-18","2026-05-02","Per=Y","Days=T","Dir=V")</f>
        <v>0</v>
      </c>
      <c r="AG2">
        <f>BDH("AZTA US Equity","IS_INT_EXPENSE","1993-06-18","2026-05-02","Per=Y","Days=T","Dir=V")</f>
        <v>0</v>
      </c>
      <c r="AI2">
        <f>BDH("AZTA US Equity","IS_DEPR_EXP","1993-06-18","2026-05-02","Per=Y","Days=T","Dir=V")</f>
        <v>0</v>
      </c>
      <c r="AK2">
        <f>BDH("AZTA US Equity","CF_CASH_FROM_OPER","1993-06-18","2026-05-02","Per=Y","Days=T","Dir=V")</f>
        <v>0</v>
      </c>
      <c r="AM2">
        <f>BDH("AZTA US Equity","CAPITAL_EXPEND","1993-06-18","2026-05-02","Per=Y","Days=T","Dir=V")</f>
        <v>0</v>
      </c>
      <c r="AO2">
        <f>BDH("AZTA US Equity","CF_FREE_CASH_FLOW","1993-06-18","2026-05-02","Per=Y","Days=T","Dir=V")</f>
        <v>0</v>
      </c>
      <c r="AQ2">
        <f>BDH("AZTA US Equity","PX_LAST","1993-06-18","2026-05-02","Per=M","Days=T","Dir=V")</f>
        <v>0</v>
      </c>
      <c r="AS2">
        <f>BDH("AZTA US Equity","CUR_MKT_CAP","1993-06-18","2026-05-02","Per=M","Days=T","Dir=V")</f>
        <v>0</v>
      </c>
      <c r="AU2">
        <f>BDH("AZTA US Equity","EQY_SH_OUT","1993-06-18","2026-05-02","Per=M","Days=T","Dir=V")</f>
        <v>0</v>
      </c>
      <c r="AW2">
        <f>BDH("AZTA US Equity","PX_VOLUME","1993-06-18","2026-05-02","Per=M","Days=T","Dir=V")</f>
        <v>0</v>
      </c>
      <c r="AY2">
        <f>BDH("AZTA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BDH("AZZ US Equity","BS_TOT_ASSET","1993-06-18","2026-05-02","Per=Y","Days=T","Dir=V")</f>
        <v>0</v>
      </c>
      <c r="C2">
        <f>BDH("AZZ US Equity","BS_TOT_LIAB2","1993-06-18","2026-05-02","Per=Y","Days=T","Dir=V")</f>
        <v>0</v>
      </c>
      <c r="E2">
        <f>BDH("AZZ US Equity","SHORT_AND_LONG_TERM_DEBT","1993-06-18","2026-05-02","Per=Y","Days=T","Dir=V")</f>
        <v>0</v>
      </c>
      <c r="G2">
        <f>BDH("AZZ US Equity","BS_ST_BORROW","1993-06-18","2026-05-02","Per=Y","Days=T","Dir=V")</f>
        <v>0</v>
      </c>
      <c r="I2">
        <f>BDH("AZZ US Equity","BS_LT_BORROW","1993-06-18","2026-05-02","Per=Y","Days=T","Dir=V")</f>
        <v>0</v>
      </c>
      <c r="K2">
        <f>BDH("AZZ US Equity","BS_CASH_NEAR_CASH_ITEM","1993-06-18","2026-05-02","Per=Y","Days=T","Dir=V")</f>
        <v>0</v>
      </c>
      <c r="M2">
        <f>BDH("AZZ US Equity","BS_CUR_ASSET_REPORT","1993-06-18","2026-05-02","Per=Y","Days=T","Dir=V")</f>
        <v>0</v>
      </c>
      <c r="O2">
        <f>BDH("AZZ US Equity","BS_CUR_LIAB","1993-06-18","2026-05-02","Per=Y","Days=T","Dir=V")</f>
        <v>0</v>
      </c>
      <c r="Q2">
        <f>BDH("AZZ US Equity","BS_SHAREHOLDER_EQY_ENDING_PERIOD","1993-06-18","2026-05-02","Per=Y","Days=T","Dir=V")</f>
        <v>0</v>
      </c>
      <c r="S2">
        <f>BDH("AZZ US Equity","BS_ACCT_NOTE_RCV","1993-06-18","2026-05-02","Per=Y","Days=T","Dir=V")</f>
        <v>0</v>
      </c>
      <c r="U2">
        <f>BDH("AZZ US Equity","BS_INVENTORIES","1993-06-18","2026-05-02","Per=Y","Days=T","Dir=V")</f>
        <v>0</v>
      </c>
      <c r="W2">
        <f>BDH("AZZ US Equity","WORKING_CAPITAL","1993-06-18","2026-05-02","Per=Y","Days=T","Dir=V")</f>
        <v>0</v>
      </c>
      <c r="Y2">
        <f>BDH("AZZ US Equity","SALES_REV_TURN","1993-06-18","2026-05-02","Per=Y","Days=T","Dir=V")</f>
        <v>0</v>
      </c>
      <c r="AA2">
        <f>BDH("AZZ US Equity","EBIT","1993-06-18","2026-05-02","Per=Y","Days=T","Dir=V")</f>
        <v>0</v>
      </c>
      <c r="AC2">
        <f>BDH("AZZ US Equity","EBITDA","1993-06-18","2026-05-02","Per=Y","Days=T","Dir=V")</f>
        <v>0</v>
      </c>
      <c r="AE2">
        <f>BDH("AZZ US Equity","NET_INCOME","1993-06-18","2026-05-02","Per=Y","Days=T","Dir=V")</f>
        <v>0</v>
      </c>
      <c r="AG2">
        <f>BDH("AZZ US Equity","IS_INT_EXPENSE","1993-06-18","2026-05-02","Per=Y","Days=T","Dir=V")</f>
        <v>0</v>
      </c>
      <c r="AI2">
        <f>BDH("AZZ US Equity","IS_DEPR_EXP","1993-06-18","2026-05-02","Per=Y","Days=T","Dir=V")</f>
        <v>0</v>
      </c>
      <c r="AK2">
        <f>BDH("AZZ US Equity","CF_CASH_FROM_OPER","1993-06-18","2026-05-02","Per=Y","Days=T","Dir=V")</f>
        <v>0</v>
      </c>
      <c r="AM2">
        <f>BDH("AZZ US Equity","CAPITAL_EXPEND","1993-06-18","2026-05-02","Per=Y","Days=T","Dir=V")</f>
        <v>0</v>
      </c>
      <c r="AO2">
        <f>BDH("AZZ US Equity","CF_FREE_CASH_FLOW","1993-06-18","2026-05-02","Per=Y","Days=T","Dir=V")</f>
        <v>0</v>
      </c>
      <c r="AQ2">
        <f>BDH("AZZ US Equity","PX_LAST","1993-06-18","2026-05-02","Per=M","Days=T","Dir=V")</f>
        <v>0</v>
      </c>
      <c r="AS2">
        <f>BDH("AZZ US Equity","CUR_MKT_CAP","1993-06-18","2026-05-02","Per=M","Days=T","Dir=V")</f>
        <v>0</v>
      </c>
      <c r="AU2">
        <f>BDH("AZZ US Equity","EQY_SH_OUT","1993-06-18","2026-05-02","Per=M","Days=T","Dir=V")</f>
        <v>0</v>
      </c>
      <c r="AW2">
        <f>BDH("AZZ US Equity","PX_VOLUME","1993-06-18","2026-05-02","Per=M","Days=T","Dir=V")</f>
        <v>0</v>
      </c>
      <c r="AY2">
        <f>BDH("AZZ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 US Equity","BS_TOT_ASSET","1993-06-18","2026-05-02","Per=Y","Days=T","Dir=V")</f>
        <v>0</v>
      </c>
      <c r="C2">
        <f>BDH("BA US Equity","BS_TOT_LIAB2","1993-06-18","2026-05-02","Per=Y","Days=T","Dir=V")</f>
        <v>0</v>
      </c>
      <c r="E2">
        <f>BDH("BA US Equity","SHORT_AND_LONG_TERM_DEBT","1993-06-18","2026-05-02","Per=Y","Days=T","Dir=V")</f>
        <v>0</v>
      </c>
      <c r="G2">
        <f>BDH("BA US Equity","BS_ST_BORROW","1993-06-18","2026-05-02","Per=Y","Days=T","Dir=V")</f>
        <v>0</v>
      </c>
      <c r="I2">
        <f>BDH("BA US Equity","BS_LT_BORROW","1993-06-18","2026-05-02","Per=Y","Days=T","Dir=V")</f>
        <v>0</v>
      </c>
      <c r="K2">
        <f>BDH("BA US Equity","BS_CASH_NEAR_CASH_ITEM","1993-06-18","2026-05-02","Per=Y","Days=T","Dir=V")</f>
        <v>0</v>
      </c>
      <c r="M2">
        <f>BDH("BA US Equity","BS_CUR_ASSET_REPORT","1993-06-18","2026-05-02","Per=Y","Days=T","Dir=V")</f>
        <v>0</v>
      </c>
      <c r="O2">
        <f>BDH("BA US Equity","BS_CUR_LIAB","1993-06-18","2026-05-02","Per=Y","Days=T","Dir=V")</f>
        <v>0</v>
      </c>
      <c r="Q2">
        <f>BDH("BA US Equity","BS_SHAREHOLDER_EQY_ENDING_PERIOD","1993-06-18","2026-05-02","Per=Y","Days=T","Dir=V")</f>
        <v>0</v>
      </c>
      <c r="S2">
        <f>BDH("BA US Equity","BS_ACCT_NOTE_RCV","1993-06-18","2026-05-02","Per=Y","Days=T","Dir=V")</f>
        <v>0</v>
      </c>
      <c r="U2">
        <f>BDH("BA US Equity","BS_INVENTORIES","1993-06-18","2026-05-02","Per=Y","Days=T","Dir=V")</f>
        <v>0</v>
      </c>
      <c r="W2">
        <f>BDH("BA US Equity","WORKING_CAPITAL","1993-06-18","2026-05-02","Per=Y","Days=T","Dir=V")</f>
        <v>0</v>
      </c>
      <c r="Y2">
        <f>BDH("BA US Equity","SALES_REV_TURN","1993-06-18","2026-05-02","Per=Y","Days=T","Dir=V")</f>
        <v>0</v>
      </c>
      <c r="AA2">
        <f>BDH("BA US Equity","EBIT","1993-06-18","2026-05-02","Per=Y","Days=T","Dir=V")</f>
        <v>0</v>
      </c>
      <c r="AC2">
        <f>BDH("BA US Equity","EBITDA","1993-06-18","2026-05-02","Per=Y","Days=T","Dir=V")</f>
        <v>0</v>
      </c>
      <c r="AE2">
        <f>BDH("BA US Equity","NET_INCOME","1993-06-18","2026-05-02","Per=Y","Days=T","Dir=V")</f>
        <v>0</v>
      </c>
      <c r="AG2">
        <f>BDH("BA US Equity","IS_INT_EXPENSE","1993-06-18","2026-05-02","Per=Y","Days=T","Dir=V")</f>
        <v>0</v>
      </c>
      <c r="AI2">
        <f>BDH("BA US Equity","IS_DEPR_EXP","1993-06-18","2026-05-02","Per=Y","Days=T","Dir=V")</f>
        <v>0</v>
      </c>
      <c r="AK2">
        <f>BDH("BA US Equity","CF_CASH_FROM_OPER","1993-06-18","2026-05-02","Per=Y","Days=T","Dir=V")</f>
        <v>0</v>
      </c>
      <c r="AM2">
        <f>BDH("BA US Equity","CAPITAL_EXPEND","1993-06-18","2026-05-02","Per=Y","Days=T","Dir=V")</f>
        <v>0</v>
      </c>
      <c r="AO2">
        <f>BDH("BA US Equity","CF_FREE_CASH_FLOW","1993-06-18","2026-05-02","Per=Y","Days=T","Dir=V")</f>
        <v>0</v>
      </c>
      <c r="AQ2">
        <f>BDH("BA US Equity","PX_LAST","1993-06-18","2026-05-02","Per=M","Days=T","Dir=V")</f>
        <v>0</v>
      </c>
      <c r="AS2">
        <f>BDH("BA US Equity","CUR_MKT_CAP","1993-06-18","2026-05-02","Per=M","Days=T","Dir=V")</f>
        <v>0</v>
      </c>
      <c r="AU2">
        <f>BDH("BA US Equity","EQY_SH_OUT","1993-06-18","2026-05-02","Per=M","Days=T","Dir=V")</f>
        <v>0</v>
      </c>
      <c r="AW2">
        <f>BDH("BA US Equity","PX_VOLUME","1993-06-18","2026-05-02","Per=M","Days=T","Dir=V")</f>
        <v>0</v>
      </c>
      <c r="AY2">
        <f>BDH("BA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BDH("BAER US Equity","BS_TOT_ASSET","1993-06-18","2026-05-02","Per=Y","Days=T","Dir=V")</f>
        <v>0</v>
      </c>
      <c r="C2">
        <f>BDH("BAER US Equity","BS_TOT_LIAB2","1993-06-18","2026-05-02","Per=Y","Days=T","Dir=V")</f>
        <v>0</v>
      </c>
      <c r="E2">
        <f>BDH("BAER US Equity","SHORT_AND_LONG_TERM_DEBT","1993-06-18","2026-05-02","Per=Y","Days=T","Dir=V")</f>
        <v>0</v>
      </c>
      <c r="G2">
        <f>BDH("BAER US Equity","BS_ST_BORROW","1993-06-18","2026-05-02","Per=Y","Days=T","Dir=V")</f>
        <v>0</v>
      </c>
      <c r="I2">
        <f>BDH("BAER US Equity","BS_LT_BORROW","1993-06-18","2026-05-02","Per=Y","Days=T","Dir=V")</f>
        <v>0</v>
      </c>
      <c r="K2">
        <f>BDH("BAER US Equity","BS_CASH_NEAR_CASH_ITEM","1993-06-18","2026-05-02","Per=Y","Days=T","Dir=V")</f>
        <v>0</v>
      </c>
      <c r="M2">
        <f>BDH("BAER US Equity","BS_CUR_ASSET_REPORT","1993-06-18","2026-05-02","Per=Y","Days=T","Dir=V")</f>
        <v>0</v>
      </c>
      <c r="O2">
        <f>BDH("BAER US Equity","BS_CUR_LIAB","1993-06-18","2026-05-02","Per=Y","Days=T","Dir=V")</f>
        <v>0</v>
      </c>
      <c r="Q2">
        <f>BDH("BAER US Equity","BS_SHAREHOLDER_EQY_ENDING_PERIOD","1993-06-18","2026-05-02","Per=Y","Days=T","Dir=V")</f>
        <v>0</v>
      </c>
      <c r="S2">
        <f>BDH("BAER US Equity","BS_ACCT_NOTE_RCV","1993-06-18","2026-05-02","Per=Y","Days=T","Dir=V")</f>
        <v>0</v>
      </c>
      <c r="U2">
        <f>BDH("BAER US Equity","BS_INVENTORIES","1993-06-18","2026-05-02","Per=Y","Days=T","Dir=V")</f>
        <v>0</v>
      </c>
      <c r="W2">
        <f>BDH("BAER US Equity","WORKING_CAPITAL","1993-06-18","2026-05-02","Per=Y","Days=T","Dir=V")</f>
        <v>0</v>
      </c>
      <c r="Y2">
        <f>BDH("BAER US Equity","SALES_REV_TURN","1993-06-18","2026-05-02","Per=Y","Days=T","Dir=V")</f>
        <v>0</v>
      </c>
      <c r="AA2">
        <f>BDH("BAER US Equity","EBIT","1993-06-18","2026-05-02","Per=Y","Days=T","Dir=V")</f>
        <v>0</v>
      </c>
      <c r="AC2">
        <f>BDH("BAER US Equity","EBITDA","1993-06-18","2026-05-02","Per=Y","Days=T","Dir=V")</f>
        <v>0</v>
      </c>
      <c r="AE2">
        <f>BDH("BAER US Equity","NET_INCOME","1993-06-18","2026-05-02","Per=Y","Days=T","Dir=V")</f>
        <v>0</v>
      </c>
      <c r="AG2">
        <f>BDH("BAER US Equity","IS_INT_EXPENSE","1993-06-18","2026-05-02","Per=Y","Days=T","Dir=V")</f>
        <v>0</v>
      </c>
      <c r="AI2">
        <f>BDH("BAER US Equity","IS_DEPR_EXP","1993-06-18","2026-05-02","Per=Y","Days=T","Dir=V")</f>
        <v>0</v>
      </c>
      <c r="AK2">
        <f>BDH("BAER US Equity","CF_CASH_FROM_OPER","1993-06-18","2026-05-02","Per=Y","Days=T","Dir=V")</f>
        <v>0</v>
      </c>
      <c r="AM2">
        <f>BDH("BAER US Equity","CAPITAL_EXPEND","1993-06-18","2026-05-02","Per=Y","Days=T","Dir=V")</f>
        <v>0</v>
      </c>
      <c r="AO2">
        <f>BDH("BAER US Equity","CF_FREE_CASH_FLOW","1993-06-18","2026-05-02","Per=Y","Days=T","Dir=V")</f>
        <v>0</v>
      </c>
      <c r="AQ2">
        <f>BDH("BAER US Equity","PX_LAST","1993-06-18","2026-05-02","Per=M","Days=T","Dir=V")</f>
        <v>0</v>
      </c>
      <c r="AS2">
        <f>BDH("BAER US Equity","CUR_MKT_CAP","1993-06-18","2026-05-02","Per=M","Days=T","Dir=V")</f>
        <v>0</v>
      </c>
      <c r="AU2">
        <f>BDH("BAER US Equity","EQY_SH_OUT","1993-06-18","2026-05-02","Per=M","Days=T","Dir=V")</f>
        <v>0</v>
      </c>
      <c r="AW2">
        <f>BDH("BAER US Equity","PX_VOLUME","1993-06-18","2026-05-02","Per=M","Days=T","Dir=V")</f>
        <v>0</v>
      </c>
      <c r="AY2">
        <f>BDH("BAER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BDH("BAERW US Equity","BS_TOT_ASSET","1993-06-18","2026-05-02","Per=Y","Days=T","Dir=V")</f>
        <v>0</v>
      </c>
      <c r="C2">
        <f>BDH("BAERW US Equity","BS_TOT_LIAB2","1993-06-18","2026-05-02","Per=Y","Days=T","Dir=V")</f>
        <v>0</v>
      </c>
      <c r="E2">
        <f>BDH("BAERW US Equity","SHORT_AND_LONG_TERM_DEBT","1993-06-18","2026-05-02","Per=Y","Days=T","Dir=V")</f>
        <v>0</v>
      </c>
      <c r="G2">
        <f>BDH("BAERW US Equity","BS_ST_BORROW","1993-06-18","2026-05-02","Per=Y","Days=T","Dir=V")</f>
        <v>0</v>
      </c>
      <c r="I2">
        <f>BDH("BAERW US Equity","BS_LT_BORROW","1993-06-18","2026-05-02","Per=Y","Days=T","Dir=V")</f>
        <v>0</v>
      </c>
      <c r="K2">
        <f>BDH("BAERW US Equity","BS_CASH_NEAR_CASH_ITEM","1993-06-18","2026-05-02","Per=Y","Days=T","Dir=V")</f>
        <v>0</v>
      </c>
      <c r="M2">
        <f>BDH("BAERW US Equity","BS_CUR_ASSET_REPORT","1993-06-18","2026-05-02","Per=Y","Days=T","Dir=V")</f>
        <v>0</v>
      </c>
      <c r="O2">
        <f>BDH("BAERW US Equity","BS_CUR_LIAB","1993-06-18","2026-05-02","Per=Y","Days=T","Dir=V")</f>
        <v>0</v>
      </c>
      <c r="Q2">
        <f>BDH("BAERW US Equity","BS_SHAREHOLDER_EQY_ENDING_PERIOD","1993-06-18","2026-05-02","Per=Y","Days=T","Dir=V")</f>
        <v>0</v>
      </c>
      <c r="S2">
        <f>BDH("BAERW US Equity","BS_ACCT_NOTE_RCV","1993-06-18","2026-05-02","Per=Y","Days=T","Dir=V")</f>
        <v>0</v>
      </c>
      <c r="U2">
        <f>BDH("BAERW US Equity","BS_INVENTORIES","1993-06-18","2026-05-02","Per=Y","Days=T","Dir=V")</f>
        <v>0</v>
      </c>
      <c r="W2">
        <f>BDH("BAERW US Equity","WORKING_CAPITAL","1993-06-18","2026-05-02","Per=Y","Days=T","Dir=V")</f>
        <v>0</v>
      </c>
      <c r="Y2">
        <f>BDH("BAERW US Equity","SALES_REV_TURN","1993-06-18","2026-05-02","Per=Y","Days=T","Dir=V")</f>
        <v>0</v>
      </c>
      <c r="AA2">
        <f>BDH("BAERW US Equity","EBIT","1993-06-18","2026-05-02","Per=Y","Days=T","Dir=V")</f>
        <v>0</v>
      </c>
      <c r="AC2">
        <f>BDH("BAERW US Equity","EBITDA","1993-06-18","2026-05-02","Per=Y","Days=T","Dir=V")</f>
        <v>0</v>
      </c>
      <c r="AE2">
        <f>BDH("BAERW US Equity","NET_INCOME","1993-06-18","2026-05-02","Per=Y","Days=T","Dir=V")</f>
        <v>0</v>
      </c>
      <c r="AG2">
        <f>BDH("BAERW US Equity","IS_INT_EXPENSE","1993-06-18","2026-05-02","Per=Y","Days=T","Dir=V")</f>
        <v>0</v>
      </c>
      <c r="AI2">
        <f>BDH("BAERW US Equity","IS_DEPR_EXP","1993-06-18","2026-05-02","Per=Y","Days=T","Dir=V")</f>
        <v>0</v>
      </c>
      <c r="AK2">
        <f>BDH("BAERW US Equity","CF_CASH_FROM_OPER","1993-06-18","2026-05-02","Per=Y","Days=T","Dir=V")</f>
        <v>0</v>
      </c>
      <c r="AM2">
        <f>BDH("BAERW US Equity","CAPITAL_EXPEND","1993-06-18","2026-05-02","Per=Y","Days=T","Dir=V")</f>
        <v>0</v>
      </c>
      <c r="AO2">
        <f>BDH("BAERW US Equity","CF_FREE_CASH_FLOW","1993-06-18","2026-05-02","Per=Y","Days=T","Dir=V")</f>
        <v>0</v>
      </c>
      <c r="AQ2">
        <f>BDH("BAERW US Equity","PX_LAST","1993-06-18","2026-05-02","Per=M","Days=T","Dir=V")</f>
        <v>0</v>
      </c>
      <c r="AS2">
        <f>BDH("BAERW US Equity","CUR_MKT_CAP","1993-06-18","2026-05-02","Per=M","Days=T","Dir=V")</f>
        <v>0</v>
      </c>
      <c r="AU2">
        <f>BDH("BAERW US Equity","EQY_SH_OUT","1993-06-18","2026-05-02","Per=M","Days=T","Dir=V")</f>
        <v>0</v>
      </c>
      <c r="AW2">
        <f>BDH("BAERW US Equity","PX_VOLUME","1993-06-18","2026-05-02","Per=M","Days=T","Dir=V")</f>
        <v>0</v>
      </c>
      <c r="AY2">
        <f>BDH("BAERW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BDH("BAH US Equity","BS_TOT_ASSET","1993-06-18","2026-05-02","Per=Y","Days=T","Dir=V")</f>
        <v>0</v>
      </c>
      <c r="C2">
        <f>BDH("BAH US Equity","BS_TOT_LIAB2","1993-06-18","2026-05-02","Per=Y","Days=T","Dir=V")</f>
        <v>0</v>
      </c>
      <c r="E2">
        <f>BDH("BAH US Equity","SHORT_AND_LONG_TERM_DEBT","1993-06-18","2026-05-02","Per=Y","Days=T","Dir=V")</f>
        <v>0</v>
      </c>
      <c r="G2">
        <f>BDH("BAH US Equity","BS_ST_BORROW","1993-06-18","2026-05-02","Per=Y","Days=T","Dir=V")</f>
        <v>0</v>
      </c>
      <c r="I2">
        <f>BDH("BAH US Equity","BS_LT_BORROW","1993-06-18","2026-05-02","Per=Y","Days=T","Dir=V")</f>
        <v>0</v>
      </c>
      <c r="K2">
        <f>BDH("BAH US Equity","BS_CASH_NEAR_CASH_ITEM","1993-06-18","2026-05-02","Per=Y","Days=T","Dir=V")</f>
        <v>0</v>
      </c>
      <c r="M2">
        <f>BDH("BAH US Equity","BS_CUR_ASSET_REPORT","1993-06-18","2026-05-02","Per=Y","Days=T","Dir=V")</f>
        <v>0</v>
      </c>
      <c r="O2">
        <f>BDH("BAH US Equity","BS_CUR_LIAB","1993-06-18","2026-05-02","Per=Y","Days=T","Dir=V")</f>
        <v>0</v>
      </c>
      <c r="Q2">
        <f>BDH("BAH US Equity","BS_SHAREHOLDER_EQY_ENDING_PERIOD","1993-06-18","2026-05-02","Per=Y","Days=T","Dir=V")</f>
        <v>0</v>
      </c>
      <c r="S2">
        <f>BDH("BAH US Equity","BS_ACCT_NOTE_RCV","1993-06-18","2026-05-02","Per=Y","Days=T","Dir=V")</f>
        <v>0</v>
      </c>
      <c r="U2">
        <f>BDH("BAH US Equity","BS_INVENTORIES","1993-06-18","2026-05-02","Per=Y","Days=T","Dir=V")</f>
        <v>0</v>
      </c>
      <c r="W2">
        <f>BDH("BAH US Equity","WORKING_CAPITAL","1993-06-18","2026-05-02","Per=Y","Days=T","Dir=V")</f>
        <v>0</v>
      </c>
      <c r="Y2">
        <f>BDH("BAH US Equity","SALES_REV_TURN","1993-06-18","2026-05-02","Per=Y","Days=T","Dir=V")</f>
        <v>0</v>
      </c>
      <c r="AA2">
        <f>BDH("BAH US Equity","EBIT","1993-06-18","2026-05-02","Per=Y","Days=T","Dir=V")</f>
        <v>0</v>
      </c>
      <c r="AC2">
        <f>BDH("BAH US Equity","EBITDA","1993-06-18","2026-05-02","Per=Y","Days=T","Dir=V")</f>
        <v>0</v>
      </c>
      <c r="AE2">
        <f>BDH("BAH US Equity","NET_INCOME","1993-06-18","2026-05-02","Per=Y","Days=T","Dir=V")</f>
        <v>0</v>
      </c>
      <c r="AG2">
        <f>BDH("BAH US Equity","IS_INT_EXPENSE","1993-06-18","2026-05-02","Per=Y","Days=T","Dir=V")</f>
        <v>0</v>
      </c>
      <c r="AI2">
        <f>BDH("BAH US Equity","IS_DEPR_EXP","1993-06-18","2026-05-02","Per=Y","Days=T","Dir=V")</f>
        <v>0</v>
      </c>
      <c r="AK2">
        <f>BDH("BAH US Equity","CF_CASH_FROM_OPER","1993-06-18","2026-05-02","Per=Y","Days=T","Dir=V")</f>
        <v>0</v>
      </c>
      <c r="AM2">
        <f>BDH("BAH US Equity","CAPITAL_EXPEND","1993-06-18","2026-05-02","Per=Y","Days=T","Dir=V")</f>
        <v>0</v>
      </c>
      <c r="AO2">
        <f>BDH("BAH US Equity","CF_FREE_CASH_FLOW","1993-06-18","2026-05-02","Per=Y","Days=T","Dir=V")</f>
        <v>0</v>
      </c>
      <c r="AQ2">
        <f>BDH("BAH US Equity","PX_LAST","1993-06-18","2026-05-02","Per=M","Days=T","Dir=V")</f>
        <v>0</v>
      </c>
      <c r="AS2">
        <f>BDH("BAH US Equity","CUR_MKT_CAP","1993-06-18","2026-05-02","Per=M","Days=T","Dir=V")</f>
        <v>0</v>
      </c>
      <c r="AU2">
        <f>BDH("BAH US Equity","EQY_SH_OUT","1993-06-18","2026-05-02","Per=M","Days=T","Dir=V")</f>
        <v>0</v>
      </c>
      <c r="AW2">
        <f>BDH("BAH US Equity","PX_VOLUME","1993-06-18","2026-05-02","Per=M","Days=T","Dir=V")</f>
        <v>0</v>
      </c>
      <c r="AY2">
        <f>BDH("BAH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BDH("BALL US Equity","BS_TOT_ASSET","1993-06-18","2026-05-02","Per=Y","Days=T","Dir=V")</f>
        <v>0</v>
      </c>
      <c r="C2">
        <f>BDH("BALL US Equity","BS_TOT_LIAB2","1993-06-18","2026-05-02","Per=Y","Days=T","Dir=V")</f>
        <v>0</v>
      </c>
      <c r="E2">
        <f>BDH("BALL US Equity","SHORT_AND_LONG_TERM_DEBT","1993-06-18","2026-05-02","Per=Y","Days=T","Dir=V")</f>
        <v>0</v>
      </c>
      <c r="G2">
        <f>BDH("BALL US Equity","BS_ST_BORROW","1993-06-18","2026-05-02","Per=Y","Days=T","Dir=V")</f>
        <v>0</v>
      </c>
      <c r="I2">
        <f>BDH("BALL US Equity","BS_LT_BORROW","1993-06-18","2026-05-02","Per=Y","Days=T","Dir=V")</f>
        <v>0</v>
      </c>
      <c r="K2">
        <f>BDH("BALL US Equity","BS_CASH_NEAR_CASH_ITEM","1993-06-18","2026-05-02","Per=Y","Days=T","Dir=V")</f>
        <v>0</v>
      </c>
      <c r="M2">
        <f>BDH("BALL US Equity","BS_CUR_ASSET_REPORT","1993-06-18","2026-05-02","Per=Y","Days=T","Dir=V")</f>
        <v>0</v>
      </c>
      <c r="O2">
        <f>BDH("BALL US Equity","BS_CUR_LIAB","1993-06-18","2026-05-02","Per=Y","Days=T","Dir=V")</f>
        <v>0</v>
      </c>
      <c r="Q2">
        <f>BDH("BALL US Equity","BS_SHAREHOLDER_EQY_ENDING_PERIOD","1993-06-18","2026-05-02","Per=Y","Days=T","Dir=V")</f>
        <v>0</v>
      </c>
      <c r="S2">
        <f>BDH("BALL US Equity","BS_ACCT_NOTE_RCV","1993-06-18","2026-05-02","Per=Y","Days=T","Dir=V")</f>
        <v>0</v>
      </c>
      <c r="U2">
        <f>BDH("BALL US Equity","BS_INVENTORIES","1993-06-18","2026-05-02","Per=Y","Days=T","Dir=V")</f>
        <v>0</v>
      </c>
      <c r="W2">
        <f>BDH("BALL US Equity","WORKING_CAPITAL","1993-06-18","2026-05-02","Per=Y","Days=T","Dir=V")</f>
        <v>0</v>
      </c>
      <c r="Y2">
        <f>BDH("BALL US Equity","SALES_REV_TURN","1993-06-18","2026-05-02","Per=Y","Days=T","Dir=V")</f>
        <v>0</v>
      </c>
      <c r="AA2">
        <f>BDH("BALL US Equity","EBIT","1993-06-18","2026-05-02","Per=Y","Days=T","Dir=V")</f>
        <v>0</v>
      </c>
      <c r="AC2">
        <f>BDH("BALL US Equity","EBITDA","1993-06-18","2026-05-02","Per=Y","Days=T","Dir=V")</f>
        <v>0</v>
      </c>
      <c r="AE2">
        <f>BDH("BALL US Equity","NET_INCOME","1993-06-18","2026-05-02","Per=Y","Days=T","Dir=V")</f>
        <v>0</v>
      </c>
      <c r="AG2">
        <f>BDH("BALL US Equity","IS_INT_EXPENSE","1993-06-18","2026-05-02","Per=Y","Days=T","Dir=V")</f>
        <v>0</v>
      </c>
      <c r="AI2">
        <f>BDH("BALL US Equity","IS_DEPR_EXP","1993-06-18","2026-05-02","Per=Y","Days=T","Dir=V")</f>
        <v>0</v>
      </c>
      <c r="AK2">
        <f>BDH("BALL US Equity","CF_CASH_FROM_OPER","1993-06-18","2026-05-02","Per=Y","Days=T","Dir=V")</f>
        <v>0</v>
      </c>
      <c r="AM2">
        <f>BDH("BALL US Equity","CAPITAL_EXPEND","1993-06-18","2026-05-02","Per=Y","Days=T","Dir=V")</f>
        <v>0</v>
      </c>
      <c r="AO2">
        <f>BDH("BALL US Equity","CF_FREE_CASH_FLOW","1993-06-18","2026-05-02","Per=Y","Days=T","Dir=V")</f>
        <v>0</v>
      </c>
      <c r="AQ2">
        <f>BDH("BALL US Equity","PX_LAST","1993-06-18","2026-05-02","Per=M","Days=T","Dir=V")</f>
        <v>0</v>
      </c>
      <c r="AS2">
        <f>BDH("BALL US Equity","CUR_MKT_CAP","1993-06-18","2026-05-02","Per=M","Days=T","Dir=V")</f>
        <v>0</v>
      </c>
      <c r="AU2">
        <f>BDH("BALL US Equity","EQY_SH_OUT","1993-06-18","2026-05-02","Per=M","Days=T","Dir=V")</f>
        <v>0</v>
      </c>
      <c r="AW2">
        <f>BDH("BALL US Equity","PX_VOLUME","1993-06-18","2026-05-02","Per=M","Days=T","Dir=V")</f>
        <v>0</v>
      </c>
      <c r="AY2">
        <f>BDH("BALL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BDH("BALY US Equity","BS_TOT_ASSET","1993-06-18","2026-05-02","Per=Y","Days=T","Dir=V")</f>
        <v>0</v>
      </c>
      <c r="C2">
        <f>BDH("BALY US Equity","BS_TOT_LIAB2","1993-06-18","2026-05-02","Per=Y","Days=T","Dir=V")</f>
        <v>0</v>
      </c>
      <c r="E2">
        <f>BDH("BALY US Equity","SHORT_AND_LONG_TERM_DEBT","1993-06-18","2026-05-02","Per=Y","Days=T","Dir=V")</f>
        <v>0</v>
      </c>
      <c r="G2">
        <f>BDH("BALY US Equity","BS_ST_BORROW","1993-06-18","2026-05-02","Per=Y","Days=T","Dir=V")</f>
        <v>0</v>
      </c>
      <c r="I2">
        <f>BDH("BALY US Equity","BS_LT_BORROW","1993-06-18","2026-05-02","Per=Y","Days=T","Dir=V")</f>
        <v>0</v>
      </c>
      <c r="K2">
        <f>BDH("BALY US Equity","BS_CASH_NEAR_CASH_ITEM","1993-06-18","2026-05-02","Per=Y","Days=T","Dir=V")</f>
        <v>0</v>
      </c>
      <c r="M2">
        <f>BDH("BALY US Equity","BS_CUR_ASSET_REPORT","1993-06-18","2026-05-02","Per=Y","Days=T","Dir=V")</f>
        <v>0</v>
      </c>
      <c r="O2">
        <f>BDH("BALY US Equity","BS_CUR_LIAB","1993-06-18","2026-05-02","Per=Y","Days=T","Dir=V")</f>
        <v>0</v>
      </c>
      <c r="Q2">
        <f>BDH("BALY US Equity","BS_SHAREHOLDER_EQY_ENDING_PERIOD","1993-06-18","2026-05-02","Per=Y","Days=T","Dir=V")</f>
        <v>0</v>
      </c>
      <c r="S2">
        <f>BDH("BALY US Equity","BS_ACCT_NOTE_RCV","1993-06-18","2026-05-02","Per=Y","Days=T","Dir=V")</f>
        <v>0</v>
      </c>
      <c r="U2">
        <f>BDH("BALY US Equity","BS_INVENTORIES","1993-06-18","2026-05-02","Per=Y","Days=T","Dir=V")</f>
        <v>0</v>
      </c>
      <c r="W2">
        <f>BDH("BALY US Equity","WORKING_CAPITAL","1993-06-18","2026-05-02","Per=Y","Days=T","Dir=V")</f>
        <v>0</v>
      </c>
      <c r="Y2">
        <f>BDH("BALY US Equity","SALES_REV_TURN","1993-06-18","2026-05-02","Per=Y","Days=T","Dir=V")</f>
        <v>0</v>
      </c>
      <c r="AA2">
        <f>BDH("BALY US Equity","EBIT","1993-06-18","2026-05-02","Per=Y","Days=T","Dir=V")</f>
        <v>0</v>
      </c>
      <c r="AC2">
        <f>BDH("BALY US Equity","EBITDA","1993-06-18","2026-05-02","Per=Y","Days=T","Dir=V")</f>
        <v>0</v>
      </c>
      <c r="AE2">
        <f>BDH("BALY US Equity","NET_INCOME","1993-06-18","2026-05-02","Per=Y","Days=T","Dir=V")</f>
        <v>0</v>
      </c>
      <c r="AG2">
        <f>BDH("BALY US Equity","IS_INT_EXPENSE","1993-06-18","2026-05-02","Per=Y","Days=T","Dir=V")</f>
        <v>0</v>
      </c>
      <c r="AI2">
        <f>BDH("BALY US Equity","IS_DEPR_EXP","1993-06-18","2026-05-02","Per=Y","Days=T","Dir=V")</f>
        <v>0</v>
      </c>
      <c r="AK2">
        <f>BDH("BALY US Equity","CF_CASH_FROM_OPER","1993-06-18","2026-05-02","Per=Y","Days=T","Dir=V")</f>
        <v>0</v>
      </c>
      <c r="AM2">
        <f>BDH("BALY US Equity","CAPITAL_EXPEND","1993-06-18","2026-05-02","Per=Y","Days=T","Dir=V")</f>
        <v>0</v>
      </c>
      <c r="AO2">
        <f>BDH("BALY US Equity","CF_FREE_CASH_FLOW","1993-06-18","2026-05-02","Per=Y","Days=T","Dir=V")</f>
        <v>0</v>
      </c>
      <c r="AQ2">
        <f>BDH("BALY US Equity","PX_LAST","1993-06-18","2026-05-02","Per=M","Days=T","Dir=V")</f>
        <v>0</v>
      </c>
      <c r="AS2">
        <f>BDH("BALY US Equity","CUR_MKT_CAP","1993-06-18","2026-05-02","Per=M","Days=T","Dir=V")</f>
        <v>0</v>
      </c>
      <c r="AU2">
        <f>BDH("BALY US Equity","EQY_SH_OUT","1993-06-18","2026-05-02","Per=M","Days=T","Dir=V")</f>
        <v>0</v>
      </c>
      <c r="AW2">
        <f>BDH("BALY US Equity","PX_VOLUME","1993-06-18","2026-05-02","Per=M","Days=T","Dir=V")</f>
        <v>0</v>
      </c>
      <c r="AY2">
        <f>BDH("BALY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BDH("BAND US Equity","BS_TOT_ASSET","1993-06-18","2026-05-02","Per=Y","Days=T","Dir=V")</f>
        <v>0</v>
      </c>
      <c r="C2">
        <f>BDH("BAND US Equity","BS_TOT_LIAB2","1993-06-18","2026-05-02","Per=Y","Days=T","Dir=V")</f>
        <v>0</v>
      </c>
      <c r="E2">
        <f>BDH("BAND US Equity","SHORT_AND_LONG_TERM_DEBT","1993-06-18","2026-05-02","Per=Y","Days=T","Dir=V")</f>
        <v>0</v>
      </c>
      <c r="G2">
        <f>BDH("BAND US Equity","BS_ST_BORROW","1993-06-18","2026-05-02","Per=Y","Days=T","Dir=V")</f>
        <v>0</v>
      </c>
      <c r="I2">
        <f>BDH("BAND US Equity","BS_LT_BORROW","1993-06-18","2026-05-02","Per=Y","Days=T","Dir=V")</f>
        <v>0</v>
      </c>
      <c r="K2">
        <f>BDH("BAND US Equity","BS_CASH_NEAR_CASH_ITEM","1993-06-18","2026-05-02","Per=Y","Days=T","Dir=V")</f>
        <v>0</v>
      </c>
      <c r="M2">
        <f>BDH("BAND US Equity","BS_CUR_ASSET_REPORT","1993-06-18","2026-05-02","Per=Y","Days=T","Dir=V")</f>
        <v>0</v>
      </c>
      <c r="O2">
        <f>BDH("BAND US Equity","BS_CUR_LIAB","1993-06-18","2026-05-02","Per=Y","Days=T","Dir=V")</f>
        <v>0</v>
      </c>
      <c r="Q2">
        <f>BDH("BAND US Equity","BS_SHAREHOLDER_EQY_ENDING_PERIOD","1993-06-18","2026-05-02","Per=Y","Days=T","Dir=V")</f>
        <v>0</v>
      </c>
      <c r="S2">
        <f>BDH("BAND US Equity","BS_ACCT_NOTE_RCV","1993-06-18","2026-05-02","Per=Y","Days=T","Dir=V")</f>
        <v>0</v>
      </c>
      <c r="U2">
        <f>BDH("BAND US Equity","BS_INVENTORIES","1993-06-18","2026-05-02","Per=Y","Days=T","Dir=V")</f>
        <v>0</v>
      </c>
      <c r="W2">
        <f>BDH("BAND US Equity","WORKING_CAPITAL","1993-06-18","2026-05-02","Per=Y","Days=T","Dir=V")</f>
        <v>0</v>
      </c>
      <c r="Y2">
        <f>BDH("BAND US Equity","SALES_REV_TURN","1993-06-18","2026-05-02","Per=Y","Days=T","Dir=V")</f>
        <v>0</v>
      </c>
      <c r="AA2">
        <f>BDH("BAND US Equity","EBIT","1993-06-18","2026-05-02","Per=Y","Days=T","Dir=V")</f>
        <v>0</v>
      </c>
      <c r="AC2">
        <f>BDH("BAND US Equity","EBITDA","1993-06-18","2026-05-02","Per=Y","Days=T","Dir=V")</f>
        <v>0</v>
      </c>
      <c r="AE2">
        <f>BDH("BAND US Equity","NET_INCOME","1993-06-18","2026-05-02","Per=Y","Days=T","Dir=V")</f>
        <v>0</v>
      </c>
      <c r="AG2">
        <f>BDH("BAND US Equity","IS_INT_EXPENSE","1993-06-18","2026-05-02","Per=Y","Days=T","Dir=V")</f>
        <v>0</v>
      </c>
      <c r="AI2">
        <f>BDH("BAND US Equity","IS_DEPR_EXP","1993-06-18","2026-05-02","Per=Y","Days=T","Dir=V")</f>
        <v>0</v>
      </c>
      <c r="AK2">
        <f>BDH("BAND US Equity","CF_CASH_FROM_OPER","1993-06-18","2026-05-02","Per=Y","Days=T","Dir=V")</f>
        <v>0</v>
      </c>
      <c r="AM2">
        <f>BDH("BAND US Equity","CAPITAL_EXPEND","1993-06-18","2026-05-02","Per=Y","Days=T","Dir=V")</f>
        <v>0</v>
      </c>
      <c r="AO2">
        <f>BDH("BAND US Equity","CF_FREE_CASH_FLOW","1993-06-18","2026-05-02","Per=Y","Days=T","Dir=V")</f>
        <v>0</v>
      </c>
      <c r="AQ2">
        <f>BDH("BAND US Equity","PX_LAST","1993-06-18","2026-05-02","Per=M","Days=T","Dir=V")</f>
        <v>0</v>
      </c>
      <c r="AS2">
        <f>BDH("BAND US Equity","CUR_MKT_CAP","1993-06-18","2026-05-02","Per=M","Days=T","Dir=V")</f>
        <v>0</v>
      </c>
      <c r="AU2">
        <f>BDH("BAND US Equity","EQY_SH_OUT","1993-06-18","2026-05-02","Per=M","Days=T","Dir=V")</f>
        <v>0</v>
      </c>
      <c r="AW2">
        <f>BDH("BAND US Equity","PX_VOLUME","1993-06-18","2026-05-02","Per=M","Days=T","Dir=V")</f>
        <v>0</v>
      </c>
      <c r="AY2">
        <f>BDH("BAND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BDH("BARK US Equity","BS_TOT_ASSET","1993-06-18","2026-05-02","Per=Y","Days=T","Dir=V")</f>
        <v>0</v>
      </c>
      <c r="C2">
        <f>BDH("BARK US Equity","BS_TOT_LIAB2","1993-06-18","2026-05-02","Per=Y","Days=T","Dir=V")</f>
        <v>0</v>
      </c>
      <c r="E2">
        <f>BDH("BARK US Equity","SHORT_AND_LONG_TERM_DEBT","1993-06-18","2026-05-02","Per=Y","Days=T","Dir=V")</f>
        <v>0</v>
      </c>
      <c r="G2">
        <f>BDH("BARK US Equity","BS_ST_BORROW","1993-06-18","2026-05-02","Per=Y","Days=T","Dir=V")</f>
        <v>0</v>
      </c>
      <c r="I2">
        <f>BDH("BARK US Equity","BS_LT_BORROW","1993-06-18","2026-05-02","Per=Y","Days=T","Dir=V")</f>
        <v>0</v>
      </c>
      <c r="K2">
        <f>BDH("BARK US Equity","BS_CASH_NEAR_CASH_ITEM","1993-06-18","2026-05-02","Per=Y","Days=T","Dir=V")</f>
        <v>0</v>
      </c>
      <c r="M2">
        <f>BDH("BARK US Equity","BS_CUR_ASSET_REPORT","1993-06-18","2026-05-02","Per=Y","Days=T","Dir=V")</f>
        <v>0</v>
      </c>
      <c r="O2">
        <f>BDH("BARK US Equity","BS_CUR_LIAB","1993-06-18","2026-05-02","Per=Y","Days=T","Dir=V")</f>
        <v>0</v>
      </c>
      <c r="Q2">
        <f>BDH("BARK US Equity","BS_SHAREHOLDER_EQY_ENDING_PERIOD","1993-06-18","2026-05-02","Per=Y","Days=T","Dir=V")</f>
        <v>0</v>
      </c>
      <c r="S2">
        <f>BDH("BARK US Equity","BS_ACCT_NOTE_RCV","1993-06-18","2026-05-02","Per=Y","Days=T","Dir=V")</f>
        <v>0</v>
      </c>
      <c r="U2">
        <f>BDH("BARK US Equity","BS_INVENTORIES","1993-06-18","2026-05-02","Per=Y","Days=T","Dir=V")</f>
        <v>0</v>
      </c>
      <c r="W2">
        <f>BDH("BARK US Equity","WORKING_CAPITAL","1993-06-18","2026-05-02","Per=Y","Days=T","Dir=V")</f>
        <v>0</v>
      </c>
      <c r="Y2">
        <f>BDH("BARK US Equity","SALES_REV_TURN","1993-06-18","2026-05-02","Per=Y","Days=T","Dir=V")</f>
        <v>0</v>
      </c>
      <c r="AA2">
        <f>BDH("BARK US Equity","EBIT","1993-06-18","2026-05-02","Per=Y","Days=T","Dir=V")</f>
        <v>0</v>
      </c>
      <c r="AC2">
        <f>BDH("BARK US Equity","EBITDA","1993-06-18","2026-05-02","Per=Y","Days=T","Dir=V")</f>
        <v>0</v>
      </c>
      <c r="AE2">
        <f>BDH("BARK US Equity","NET_INCOME","1993-06-18","2026-05-02","Per=Y","Days=T","Dir=V")</f>
        <v>0</v>
      </c>
      <c r="AG2">
        <f>BDH("BARK US Equity","IS_INT_EXPENSE","1993-06-18","2026-05-02","Per=Y","Days=T","Dir=V")</f>
        <v>0</v>
      </c>
      <c r="AI2">
        <f>BDH("BARK US Equity","IS_DEPR_EXP","1993-06-18","2026-05-02","Per=Y","Days=T","Dir=V")</f>
        <v>0</v>
      </c>
      <c r="AK2">
        <f>BDH("BARK US Equity","CF_CASH_FROM_OPER","1993-06-18","2026-05-02","Per=Y","Days=T","Dir=V")</f>
        <v>0</v>
      </c>
      <c r="AM2">
        <f>BDH("BARK US Equity","CAPITAL_EXPEND","1993-06-18","2026-05-02","Per=Y","Days=T","Dir=V")</f>
        <v>0</v>
      </c>
      <c r="AO2">
        <f>BDH("BARK US Equity","CF_FREE_CASH_FLOW","1993-06-18","2026-05-02","Per=Y","Days=T","Dir=V")</f>
        <v>0</v>
      </c>
      <c r="AQ2">
        <f>BDH("BARK US Equity","PX_LAST","1993-06-18","2026-05-02","Per=M","Days=T","Dir=V")</f>
        <v>0</v>
      </c>
      <c r="AS2">
        <f>BDH("BARK US Equity","CUR_MKT_CAP","1993-06-18","2026-05-02","Per=M","Days=T","Dir=V")</f>
        <v>0</v>
      </c>
      <c r="AU2">
        <f>BDH("BARK US Equity","EQY_SH_OUT","1993-06-18","2026-05-02","Per=M","Days=T","Dir=V")</f>
        <v>0</v>
      </c>
      <c r="AW2">
        <f>BDH("BARK US Equity","PX_VOLUME","1993-06-18","2026-05-02","Per=M","Days=T","Dir=V")</f>
        <v>0</v>
      </c>
      <c r="AY2">
        <f>BDH("BARK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BDH("BATL US Equity","BS_TOT_ASSET","1993-06-18","2026-05-02","Per=Y","Days=T","Dir=V")</f>
        <v>0</v>
      </c>
      <c r="C2">
        <f>BDH("BATL US Equity","BS_TOT_LIAB2","1993-06-18","2026-05-02","Per=Y","Days=T","Dir=V")</f>
        <v>0</v>
      </c>
      <c r="E2">
        <f>BDH("BATL US Equity","SHORT_AND_LONG_TERM_DEBT","1993-06-18","2026-05-02","Per=Y","Days=T","Dir=V")</f>
        <v>0</v>
      </c>
      <c r="G2">
        <f>BDH("BATL US Equity","BS_ST_BORROW","1993-06-18","2026-05-02","Per=Y","Days=T","Dir=V")</f>
        <v>0</v>
      </c>
      <c r="I2">
        <f>BDH("BATL US Equity","BS_LT_BORROW","1993-06-18","2026-05-02","Per=Y","Days=T","Dir=V")</f>
        <v>0</v>
      </c>
      <c r="K2">
        <f>BDH("BATL US Equity","BS_CASH_NEAR_CASH_ITEM","1993-06-18","2026-05-02","Per=Y","Days=T","Dir=V")</f>
        <v>0</v>
      </c>
      <c r="M2">
        <f>BDH("BATL US Equity","BS_CUR_ASSET_REPORT","1993-06-18","2026-05-02","Per=Y","Days=T","Dir=V")</f>
        <v>0</v>
      </c>
      <c r="O2">
        <f>BDH("BATL US Equity","BS_CUR_LIAB","1993-06-18","2026-05-02","Per=Y","Days=T","Dir=V")</f>
        <v>0</v>
      </c>
      <c r="Q2">
        <f>BDH("BATL US Equity","BS_SHAREHOLDER_EQY_ENDING_PERIOD","1993-06-18","2026-05-02","Per=Y","Days=T","Dir=V")</f>
        <v>0</v>
      </c>
      <c r="S2">
        <f>BDH("BATL US Equity","BS_ACCT_NOTE_RCV","1993-06-18","2026-05-02","Per=Y","Days=T","Dir=V")</f>
        <v>0</v>
      </c>
      <c r="U2">
        <f>BDH("BATL US Equity","BS_INVENTORIES","1993-06-18","2026-05-02","Per=Y","Days=T","Dir=V")</f>
        <v>0</v>
      </c>
      <c r="W2">
        <f>BDH("BATL US Equity","WORKING_CAPITAL","1993-06-18","2026-05-02","Per=Y","Days=T","Dir=V")</f>
        <v>0</v>
      </c>
      <c r="Y2">
        <f>BDH("BATL US Equity","SALES_REV_TURN","1993-06-18","2026-05-02","Per=Y","Days=T","Dir=V")</f>
        <v>0</v>
      </c>
      <c r="AA2">
        <f>BDH("BATL US Equity","EBIT","1993-06-18","2026-05-02","Per=Y","Days=T","Dir=V")</f>
        <v>0</v>
      </c>
      <c r="AC2">
        <f>BDH("BATL US Equity","EBITDA","1993-06-18","2026-05-02","Per=Y","Days=T","Dir=V")</f>
        <v>0</v>
      </c>
      <c r="AE2">
        <f>BDH("BATL US Equity","NET_INCOME","1993-06-18","2026-05-02","Per=Y","Days=T","Dir=V")</f>
        <v>0</v>
      </c>
      <c r="AG2">
        <f>BDH("BATL US Equity","IS_INT_EXPENSE","1993-06-18","2026-05-02","Per=Y","Days=T","Dir=V")</f>
        <v>0</v>
      </c>
      <c r="AI2">
        <f>BDH("BATL US Equity","IS_DEPR_EXP","1993-06-18","2026-05-02","Per=Y","Days=T","Dir=V")</f>
        <v>0</v>
      </c>
      <c r="AK2">
        <f>BDH("BATL US Equity","CF_CASH_FROM_OPER","1993-06-18","2026-05-02","Per=Y","Days=T","Dir=V")</f>
        <v>0</v>
      </c>
      <c r="AM2">
        <f>BDH("BATL US Equity","CAPITAL_EXPEND","1993-06-18","2026-05-02","Per=Y","Days=T","Dir=V")</f>
        <v>0</v>
      </c>
      <c r="AO2">
        <f>BDH("BATL US Equity","CF_FREE_CASH_FLOW","1993-06-18","2026-05-02","Per=Y","Days=T","Dir=V")</f>
        <v>0</v>
      </c>
      <c r="AQ2">
        <f>BDH("BATL US Equity","PX_LAST","1993-06-18","2026-05-02","Per=M","Days=T","Dir=V")</f>
        <v>0</v>
      </c>
      <c r="AS2">
        <f>BDH("BATL US Equity","CUR_MKT_CAP","1993-06-18","2026-05-02","Per=M","Days=T","Dir=V")</f>
        <v>0</v>
      </c>
      <c r="AU2">
        <f>BDH("BATL US Equity","EQY_SH_OUT","1993-06-18","2026-05-02","Per=M","Days=T","Dir=V")</f>
        <v>0</v>
      </c>
      <c r="AW2">
        <f>BDH("BATL US Equity","PX_VOLUME","1993-06-18","2026-05-02","Per=M","Days=T","Dir=V")</f>
        <v>0</v>
      </c>
      <c r="AY2">
        <f>BDH("BATL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BDH("BATRA US Equity","BS_TOT_ASSET","1993-06-18","2026-05-02","Per=Y","Days=T","Dir=V")</f>
        <v>0</v>
      </c>
      <c r="C2">
        <f>BDH("BATRA US Equity","BS_TOT_LIAB2","1993-06-18","2026-05-02","Per=Y","Days=T","Dir=V")</f>
        <v>0</v>
      </c>
      <c r="E2">
        <f>BDH("BATRA US Equity","SHORT_AND_LONG_TERM_DEBT","1993-06-18","2026-05-02","Per=Y","Days=T","Dir=V")</f>
        <v>0</v>
      </c>
      <c r="G2">
        <f>BDH("BATRA US Equity","BS_ST_BORROW","1993-06-18","2026-05-02","Per=Y","Days=T","Dir=V")</f>
        <v>0</v>
      </c>
      <c r="I2">
        <f>BDH("BATRA US Equity","BS_LT_BORROW","1993-06-18","2026-05-02","Per=Y","Days=T","Dir=V")</f>
        <v>0</v>
      </c>
      <c r="K2">
        <f>BDH("BATRA US Equity","BS_CASH_NEAR_CASH_ITEM","1993-06-18","2026-05-02","Per=Y","Days=T","Dir=V")</f>
        <v>0</v>
      </c>
      <c r="M2">
        <f>BDH("BATRA US Equity","BS_CUR_ASSET_REPORT","1993-06-18","2026-05-02","Per=Y","Days=T","Dir=V")</f>
        <v>0</v>
      </c>
      <c r="O2">
        <f>BDH("BATRA US Equity","BS_CUR_LIAB","1993-06-18","2026-05-02","Per=Y","Days=T","Dir=V")</f>
        <v>0</v>
      </c>
      <c r="Q2">
        <f>BDH("BATRA US Equity","BS_SHAREHOLDER_EQY_ENDING_PERIOD","1993-06-18","2026-05-02","Per=Y","Days=T","Dir=V")</f>
        <v>0</v>
      </c>
      <c r="S2">
        <f>BDH("BATRA US Equity","BS_ACCT_NOTE_RCV","1993-06-18","2026-05-02","Per=Y","Days=T","Dir=V")</f>
        <v>0</v>
      </c>
      <c r="U2">
        <f>BDH("BATRA US Equity","BS_INVENTORIES","1993-06-18","2026-05-02","Per=Y","Days=T","Dir=V")</f>
        <v>0</v>
      </c>
      <c r="W2">
        <f>BDH("BATRA US Equity","WORKING_CAPITAL","1993-06-18","2026-05-02","Per=Y","Days=T","Dir=V")</f>
        <v>0</v>
      </c>
      <c r="Y2">
        <f>BDH("BATRA US Equity","SALES_REV_TURN","1993-06-18","2026-05-02","Per=Y","Days=T","Dir=V")</f>
        <v>0</v>
      </c>
      <c r="AA2">
        <f>BDH("BATRA US Equity","EBIT","1993-06-18","2026-05-02","Per=Y","Days=T","Dir=V")</f>
        <v>0</v>
      </c>
      <c r="AC2">
        <f>BDH("BATRA US Equity","EBITDA","1993-06-18","2026-05-02","Per=Y","Days=T","Dir=V")</f>
        <v>0</v>
      </c>
      <c r="AE2">
        <f>BDH("BATRA US Equity","NET_INCOME","1993-06-18","2026-05-02","Per=Y","Days=T","Dir=V")</f>
        <v>0</v>
      </c>
      <c r="AG2">
        <f>BDH("BATRA US Equity","IS_INT_EXPENSE","1993-06-18","2026-05-02","Per=Y","Days=T","Dir=V")</f>
        <v>0</v>
      </c>
      <c r="AI2">
        <f>BDH("BATRA US Equity","IS_DEPR_EXP","1993-06-18","2026-05-02","Per=Y","Days=T","Dir=V")</f>
        <v>0</v>
      </c>
      <c r="AK2">
        <f>BDH("BATRA US Equity","CF_CASH_FROM_OPER","1993-06-18","2026-05-02","Per=Y","Days=T","Dir=V")</f>
        <v>0</v>
      </c>
      <c r="AM2">
        <f>BDH("BATRA US Equity","CAPITAL_EXPEND","1993-06-18","2026-05-02","Per=Y","Days=T","Dir=V")</f>
        <v>0</v>
      </c>
      <c r="AO2">
        <f>BDH("BATRA US Equity","CF_FREE_CASH_FLOW","1993-06-18","2026-05-02","Per=Y","Days=T","Dir=V")</f>
        <v>0</v>
      </c>
      <c r="AQ2">
        <f>BDH("BATRA US Equity","PX_LAST","1993-06-18","2026-05-02","Per=M","Days=T","Dir=V")</f>
        <v>0</v>
      </c>
      <c r="AS2">
        <f>BDH("BATRA US Equity","CUR_MKT_CAP","1993-06-18","2026-05-02","Per=M","Days=T","Dir=V")</f>
        <v>0</v>
      </c>
      <c r="AU2">
        <f>BDH("BATRA US Equity","EQY_SH_OUT","1993-06-18","2026-05-02","Per=M","Days=T","Dir=V")</f>
        <v>0</v>
      </c>
      <c r="AW2">
        <f>BDH("BATRA US Equity","PX_VOLUME","1993-06-18","2026-05-02","Per=M","Days=T","Dir=V")</f>
        <v>0</v>
      </c>
      <c r="AY2">
        <f>BDH("BATRA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BDH("BATRK US Equity","BS_TOT_ASSET","1993-06-18","2026-05-02","Per=Y","Days=T","Dir=V")</f>
        <v>0</v>
      </c>
      <c r="C2">
        <f>BDH("BATRK US Equity","BS_TOT_LIAB2","1993-06-18","2026-05-02","Per=Y","Days=T","Dir=V")</f>
        <v>0</v>
      </c>
      <c r="E2">
        <f>BDH("BATRK US Equity","SHORT_AND_LONG_TERM_DEBT","1993-06-18","2026-05-02","Per=Y","Days=T","Dir=V")</f>
        <v>0</v>
      </c>
      <c r="G2">
        <f>BDH("BATRK US Equity","BS_ST_BORROW","1993-06-18","2026-05-02","Per=Y","Days=T","Dir=V")</f>
        <v>0</v>
      </c>
      <c r="I2">
        <f>BDH("BATRK US Equity","BS_LT_BORROW","1993-06-18","2026-05-02","Per=Y","Days=T","Dir=V")</f>
        <v>0</v>
      </c>
      <c r="K2">
        <f>BDH("BATRK US Equity","BS_CASH_NEAR_CASH_ITEM","1993-06-18","2026-05-02","Per=Y","Days=T","Dir=V")</f>
        <v>0</v>
      </c>
      <c r="M2">
        <f>BDH("BATRK US Equity","BS_CUR_ASSET_REPORT","1993-06-18","2026-05-02","Per=Y","Days=T","Dir=V")</f>
        <v>0</v>
      </c>
      <c r="O2">
        <f>BDH("BATRK US Equity","BS_CUR_LIAB","1993-06-18","2026-05-02","Per=Y","Days=T","Dir=V")</f>
        <v>0</v>
      </c>
      <c r="Q2">
        <f>BDH("BATRK US Equity","BS_SHAREHOLDER_EQY_ENDING_PERIOD","1993-06-18","2026-05-02","Per=Y","Days=T","Dir=V")</f>
        <v>0</v>
      </c>
      <c r="S2">
        <f>BDH("BATRK US Equity","BS_ACCT_NOTE_RCV","1993-06-18","2026-05-02","Per=Y","Days=T","Dir=V")</f>
        <v>0</v>
      </c>
      <c r="U2">
        <f>BDH("BATRK US Equity","BS_INVENTORIES","1993-06-18","2026-05-02","Per=Y","Days=T","Dir=V")</f>
        <v>0</v>
      </c>
      <c r="W2">
        <f>BDH("BATRK US Equity","WORKING_CAPITAL","1993-06-18","2026-05-02","Per=Y","Days=T","Dir=V")</f>
        <v>0</v>
      </c>
      <c r="Y2">
        <f>BDH("BATRK US Equity","SALES_REV_TURN","1993-06-18","2026-05-02","Per=Y","Days=T","Dir=V")</f>
        <v>0</v>
      </c>
      <c r="AA2">
        <f>BDH("BATRK US Equity","EBIT","1993-06-18","2026-05-02","Per=Y","Days=T","Dir=V")</f>
        <v>0</v>
      </c>
      <c r="AC2">
        <f>BDH("BATRK US Equity","EBITDA","1993-06-18","2026-05-02","Per=Y","Days=T","Dir=V")</f>
        <v>0</v>
      </c>
      <c r="AE2">
        <f>BDH("BATRK US Equity","NET_INCOME","1993-06-18","2026-05-02","Per=Y","Days=T","Dir=V")</f>
        <v>0</v>
      </c>
      <c r="AG2">
        <f>BDH("BATRK US Equity","IS_INT_EXPENSE","1993-06-18","2026-05-02","Per=Y","Days=T","Dir=V")</f>
        <v>0</v>
      </c>
      <c r="AI2">
        <f>BDH("BATRK US Equity","IS_DEPR_EXP","1993-06-18","2026-05-02","Per=Y","Days=T","Dir=V")</f>
        <v>0</v>
      </c>
      <c r="AK2">
        <f>BDH("BATRK US Equity","CF_CASH_FROM_OPER","1993-06-18","2026-05-02","Per=Y","Days=T","Dir=V")</f>
        <v>0</v>
      </c>
      <c r="AM2">
        <f>BDH("BATRK US Equity","CAPITAL_EXPEND","1993-06-18","2026-05-02","Per=Y","Days=T","Dir=V")</f>
        <v>0</v>
      </c>
      <c r="AO2">
        <f>BDH("BATRK US Equity","CF_FREE_CASH_FLOW","1993-06-18","2026-05-02","Per=Y","Days=T","Dir=V")</f>
        <v>0</v>
      </c>
      <c r="AQ2">
        <f>BDH("BATRK US Equity","PX_LAST","1993-06-18","2026-05-02","Per=M","Days=T","Dir=V")</f>
        <v>0</v>
      </c>
      <c r="AS2">
        <f>BDH("BATRK US Equity","CUR_MKT_CAP","1993-06-18","2026-05-02","Per=M","Days=T","Dir=V")</f>
        <v>0</v>
      </c>
      <c r="AU2">
        <f>BDH("BATRK US Equity","EQY_SH_OUT","1993-06-18","2026-05-02","Per=M","Days=T","Dir=V")</f>
        <v>0</v>
      </c>
      <c r="AW2">
        <f>BDH("BATRK US Equity","PX_VOLUME","1993-06-18","2026-05-02","Per=M","Days=T","Dir=V")</f>
        <v>0</v>
      </c>
      <c r="AY2">
        <f>BDH("BATRK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BDH("BAX US Equity","BS_TOT_ASSET","1993-06-18","2026-05-02","Per=Y","Days=T","Dir=V")</f>
        <v>0</v>
      </c>
      <c r="C2">
        <f>BDH("BAX US Equity","BS_TOT_LIAB2","1993-06-18","2026-05-02","Per=Y","Days=T","Dir=V")</f>
        <v>0</v>
      </c>
      <c r="E2">
        <f>BDH("BAX US Equity","SHORT_AND_LONG_TERM_DEBT","1993-06-18","2026-05-02","Per=Y","Days=T","Dir=V")</f>
        <v>0</v>
      </c>
      <c r="G2">
        <f>BDH("BAX US Equity","BS_ST_BORROW","1993-06-18","2026-05-02","Per=Y","Days=T","Dir=V")</f>
        <v>0</v>
      </c>
      <c r="I2">
        <f>BDH("BAX US Equity","BS_LT_BORROW","1993-06-18","2026-05-02","Per=Y","Days=T","Dir=V")</f>
        <v>0</v>
      </c>
      <c r="K2">
        <f>BDH("BAX US Equity","BS_CASH_NEAR_CASH_ITEM","1993-06-18","2026-05-02","Per=Y","Days=T","Dir=V")</f>
        <v>0</v>
      </c>
      <c r="M2">
        <f>BDH("BAX US Equity","BS_CUR_ASSET_REPORT","1993-06-18","2026-05-02","Per=Y","Days=T","Dir=V")</f>
        <v>0</v>
      </c>
      <c r="O2">
        <f>BDH("BAX US Equity","BS_CUR_LIAB","1993-06-18","2026-05-02","Per=Y","Days=T","Dir=V")</f>
        <v>0</v>
      </c>
      <c r="Q2">
        <f>BDH("BAX US Equity","BS_SHAREHOLDER_EQY_ENDING_PERIOD","1993-06-18","2026-05-02","Per=Y","Days=T","Dir=V")</f>
        <v>0</v>
      </c>
      <c r="S2">
        <f>BDH("BAX US Equity","BS_ACCT_NOTE_RCV","1993-06-18","2026-05-02","Per=Y","Days=T","Dir=V")</f>
        <v>0</v>
      </c>
      <c r="U2">
        <f>BDH("BAX US Equity","BS_INVENTORIES","1993-06-18","2026-05-02","Per=Y","Days=T","Dir=V")</f>
        <v>0</v>
      </c>
      <c r="W2">
        <f>BDH("BAX US Equity","WORKING_CAPITAL","1993-06-18","2026-05-02","Per=Y","Days=T","Dir=V")</f>
        <v>0</v>
      </c>
      <c r="Y2">
        <f>BDH("BAX US Equity","SALES_REV_TURN","1993-06-18","2026-05-02","Per=Y","Days=T","Dir=V")</f>
        <v>0</v>
      </c>
      <c r="AA2">
        <f>BDH("BAX US Equity","EBIT","1993-06-18","2026-05-02","Per=Y","Days=T","Dir=V")</f>
        <v>0</v>
      </c>
      <c r="AC2">
        <f>BDH("BAX US Equity","EBITDA","1993-06-18","2026-05-02","Per=Y","Days=T","Dir=V")</f>
        <v>0</v>
      </c>
      <c r="AE2">
        <f>BDH("BAX US Equity","NET_INCOME","1993-06-18","2026-05-02","Per=Y","Days=T","Dir=V")</f>
        <v>0</v>
      </c>
      <c r="AG2">
        <f>BDH("BAX US Equity","IS_INT_EXPENSE","1993-06-18","2026-05-02","Per=Y","Days=T","Dir=V")</f>
        <v>0</v>
      </c>
      <c r="AI2">
        <f>BDH("BAX US Equity","IS_DEPR_EXP","1993-06-18","2026-05-02","Per=Y","Days=T","Dir=V")</f>
        <v>0</v>
      </c>
      <c r="AK2">
        <f>BDH("BAX US Equity","CF_CASH_FROM_OPER","1993-06-18","2026-05-02","Per=Y","Days=T","Dir=V")</f>
        <v>0</v>
      </c>
      <c r="AM2">
        <f>BDH("BAX US Equity","CAPITAL_EXPEND","1993-06-18","2026-05-02","Per=Y","Days=T","Dir=V")</f>
        <v>0</v>
      </c>
      <c r="AO2">
        <f>BDH("BAX US Equity","CF_FREE_CASH_FLOW","1993-06-18","2026-05-02","Per=Y","Days=T","Dir=V")</f>
        <v>0</v>
      </c>
      <c r="AQ2">
        <f>BDH("BAX US Equity","PX_LAST","1993-06-18","2026-05-02","Per=M","Days=T","Dir=V")</f>
        <v>0</v>
      </c>
      <c r="AS2">
        <f>BDH("BAX US Equity","CUR_MKT_CAP","1993-06-18","2026-05-02","Per=M","Days=T","Dir=V")</f>
        <v>0</v>
      </c>
      <c r="AU2">
        <f>BDH("BAX US Equity","EQY_SH_OUT","1993-06-18","2026-05-02","Per=M","Days=T","Dir=V")</f>
        <v>0</v>
      </c>
      <c r="AW2">
        <f>BDH("BAX US Equity","PX_VOLUME","1993-06-18","2026-05-02","Per=M","Days=T","Dir=V")</f>
        <v>0</v>
      </c>
      <c r="AY2">
        <f>BDH("BAX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BDH("BBAI US Equity","BS_TOT_ASSET","1993-06-18","2026-05-02","Per=Y","Days=T","Dir=V")</f>
        <v>0</v>
      </c>
      <c r="C2">
        <f>BDH("BBAI US Equity","BS_TOT_LIAB2","1993-06-18","2026-05-02","Per=Y","Days=T","Dir=V")</f>
        <v>0</v>
      </c>
      <c r="E2">
        <f>BDH("BBAI US Equity","SHORT_AND_LONG_TERM_DEBT","1993-06-18","2026-05-02","Per=Y","Days=T","Dir=V")</f>
        <v>0</v>
      </c>
      <c r="G2">
        <f>BDH("BBAI US Equity","BS_ST_BORROW","1993-06-18","2026-05-02","Per=Y","Days=T","Dir=V")</f>
        <v>0</v>
      </c>
      <c r="I2">
        <f>BDH("BBAI US Equity","BS_LT_BORROW","1993-06-18","2026-05-02","Per=Y","Days=T","Dir=V")</f>
        <v>0</v>
      </c>
      <c r="K2">
        <f>BDH("BBAI US Equity","BS_CASH_NEAR_CASH_ITEM","1993-06-18","2026-05-02","Per=Y","Days=T","Dir=V")</f>
        <v>0</v>
      </c>
      <c r="M2">
        <f>BDH("BBAI US Equity","BS_CUR_ASSET_REPORT","1993-06-18","2026-05-02","Per=Y","Days=T","Dir=V")</f>
        <v>0</v>
      </c>
      <c r="O2">
        <f>BDH("BBAI US Equity","BS_CUR_LIAB","1993-06-18","2026-05-02","Per=Y","Days=T","Dir=V")</f>
        <v>0</v>
      </c>
      <c r="Q2">
        <f>BDH("BBAI US Equity","BS_SHAREHOLDER_EQY_ENDING_PERIOD","1993-06-18","2026-05-02","Per=Y","Days=T","Dir=V")</f>
        <v>0</v>
      </c>
      <c r="S2">
        <f>BDH("BBAI US Equity","BS_ACCT_NOTE_RCV","1993-06-18","2026-05-02","Per=Y","Days=T","Dir=V")</f>
        <v>0</v>
      </c>
      <c r="U2">
        <f>BDH("BBAI US Equity","BS_INVENTORIES","1993-06-18","2026-05-02","Per=Y","Days=T","Dir=V")</f>
        <v>0</v>
      </c>
      <c r="W2">
        <f>BDH("BBAI US Equity","WORKING_CAPITAL","1993-06-18","2026-05-02","Per=Y","Days=T","Dir=V")</f>
        <v>0</v>
      </c>
      <c r="Y2">
        <f>BDH("BBAI US Equity","SALES_REV_TURN","1993-06-18","2026-05-02","Per=Y","Days=T","Dir=V")</f>
        <v>0</v>
      </c>
      <c r="AA2">
        <f>BDH("BBAI US Equity","EBIT","1993-06-18","2026-05-02","Per=Y","Days=T","Dir=V")</f>
        <v>0</v>
      </c>
      <c r="AC2">
        <f>BDH("BBAI US Equity","EBITDA","1993-06-18","2026-05-02","Per=Y","Days=T","Dir=V")</f>
        <v>0</v>
      </c>
      <c r="AE2">
        <f>BDH("BBAI US Equity","NET_INCOME","1993-06-18","2026-05-02","Per=Y","Days=T","Dir=V")</f>
        <v>0</v>
      </c>
      <c r="AG2">
        <f>BDH("BBAI US Equity","IS_INT_EXPENSE","1993-06-18","2026-05-02","Per=Y","Days=T","Dir=V")</f>
        <v>0</v>
      </c>
      <c r="AI2">
        <f>BDH("BBAI US Equity","IS_DEPR_EXP","1993-06-18","2026-05-02","Per=Y","Days=T","Dir=V")</f>
        <v>0</v>
      </c>
      <c r="AK2">
        <f>BDH("BBAI US Equity","CF_CASH_FROM_OPER","1993-06-18","2026-05-02","Per=Y","Days=T","Dir=V")</f>
        <v>0</v>
      </c>
      <c r="AM2">
        <f>BDH("BBAI US Equity","CAPITAL_EXPEND","1993-06-18","2026-05-02","Per=Y","Days=T","Dir=V")</f>
        <v>0</v>
      </c>
      <c r="AO2">
        <f>BDH("BBAI US Equity","CF_FREE_CASH_FLOW","1993-06-18","2026-05-02","Per=Y","Days=T","Dir=V")</f>
        <v>0</v>
      </c>
      <c r="AQ2">
        <f>BDH("BBAI US Equity","PX_LAST","1993-06-18","2026-05-02","Per=M","Days=T","Dir=V")</f>
        <v>0</v>
      </c>
      <c r="AS2">
        <f>BDH("BBAI US Equity","CUR_MKT_CAP","1993-06-18","2026-05-02","Per=M","Days=T","Dir=V")</f>
        <v>0</v>
      </c>
      <c r="AU2">
        <f>BDH("BBAI US Equity","EQY_SH_OUT","1993-06-18","2026-05-02","Per=M","Days=T","Dir=V")</f>
        <v>0</v>
      </c>
      <c r="AW2">
        <f>BDH("BBAI US Equity","PX_VOLUME","1993-06-18","2026-05-02","Per=M","Days=T","Dir=V")</f>
        <v>0</v>
      </c>
      <c r="AY2">
        <f>BDH("BBAI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BDH("BBBYW US Equity","BS_TOT_ASSET","1993-06-18","2026-05-02","Per=Y","Days=T","Dir=V")</f>
        <v>0</v>
      </c>
      <c r="C2">
        <f>BDH("BBBYW US Equity","BS_TOT_LIAB2","1993-06-18","2026-05-02","Per=Y","Days=T","Dir=V")</f>
        <v>0</v>
      </c>
      <c r="E2">
        <f>BDH("BBBYW US Equity","SHORT_AND_LONG_TERM_DEBT","1993-06-18","2026-05-02","Per=Y","Days=T","Dir=V")</f>
        <v>0</v>
      </c>
      <c r="G2">
        <f>BDH("BBBYW US Equity","BS_ST_BORROW","1993-06-18","2026-05-02","Per=Y","Days=T","Dir=V")</f>
        <v>0</v>
      </c>
      <c r="I2">
        <f>BDH("BBBYW US Equity","BS_LT_BORROW","1993-06-18","2026-05-02","Per=Y","Days=T","Dir=V")</f>
        <v>0</v>
      </c>
      <c r="K2">
        <f>BDH("BBBYW US Equity","BS_CASH_NEAR_CASH_ITEM","1993-06-18","2026-05-02","Per=Y","Days=T","Dir=V")</f>
        <v>0</v>
      </c>
      <c r="M2">
        <f>BDH("BBBYW US Equity","BS_CUR_ASSET_REPORT","1993-06-18","2026-05-02","Per=Y","Days=T","Dir=V")</f>
        <v>0</v>
      </c>
      <c r="O2">
        <f>BDH("BBBYW US Equity","BS_CUR_LIAB","1993-06-18","2026-05-02","Per=Y","Days=T","Dir=V")</f>
        <v>0</v>
      </c>
      <c r="Q2">
        <f>BDH("BBBYW US Equity","BS_SHAREHOLDER_EQY_ENDING_PERIOD","1993-06-18","2026-05-02","Per=Y","Days=T","Dir=V")</f>
        <v>0</v>
      </c>
      <c r="S2">
        <f>BDH("BBBYW US Equity","BS_ACCT_NOTE_RCV","1993-06-18","2026-05-02","Per=Y","Days=T","Dir=V")</f>
        <v>0</v>
      </c>
      <c r="U2">
        <f>BDH("BBBYW US Equity","BS_INVENTORIES","1993-06-18","2026-05-02","Per=Y","Days=T","Dir=V")</f>
        <v>0</v>
      </c>
      <c r="W2">
        <f>BDH("BBBYW US Equity","WORKING_CAPITAL","1993-06-18","2026-05-02","Per=Y","Days=T","Dir=V")</f>
        <v>0</v>
      </c>
      <c r="Y2">
        <f>BDH("BBBYW US Equity","SALES_REV_TURN","1993-06-18","2026-05-02","Per=Y","Days=T","Dir=V")</f>
        <v>0</v>
      </c>
      <c r="AA2">
        <f>BDH("BBBYW US Equity","EBIT","1993-06-18","2026-05-02","Per=Y","Days=T","Dir=V")</f>
        <v>0</v>
      </c>
      <c r="AC2">
        <f>BDH("BBBYW US Equity","EBITDA","1993-06-18","2026-05-02","Per=Y","Days=T","Dir=V")</f>
        <v>0</v>
      </c>
      <c r="AE2">
        <f>BDH("BBBYW US Equity","NET_INCOME","1993-06-18","2026-05-02","Per=Y","Days=T","Dir=V")</f>
        <v>0</v>
      </c>
      <c r="AG2">
        <f>BDH("BBBYW US Equity","IS_INT_EXPENSE","1993-06-18","2026-05-02","Per=Y","Days=T","Dir=V")</f>
        <v>0</v>
      </c>
      <c r="AI2">
        <f>BDH("BBBYW US Equity","IS_DEPR_EXP","1993-06-18","2026-05-02","Per=Y","Days=T","Dir=V")</f>
        <v>0</v>
      </c>
      <c r="AK2">
        <f>BDH("BBBYW US Equity","CF_CASH_FROM_OPER","1993-06-18","2026-05-02","Per=Y","Days=T","Dir=V")</f>
        <v>0</v>
      </c>
      <c r="AM2">
        <f>BDH("BBBYW US Equity","CAPITAL_EXPEND","1993-06-18","2026-05-02","Per=Y","Days=T","Dir=V")</f>
        <v>0</v>
      </c>
      <c r="AO2">
        <f>BDH("BBBYW US Equity","CF_FREE_CASH_FLOW","1993-06-18","2026-05-02","Per=Y","Days=T","Dir=V")</f>
        <v>0</v>
      </c>
      <c r="AQ2">
        <f>BDH("BBBYW US Equity","PX_LAST","1993-06-18","2026-05-02","Per=M","Days=T","Dir=V")</f>
        <v>0</v>
      </c>
      <c r="AS2">
        <f>BDH("BBBYW US Equity","CUR_MKT_CAP","1993-06-18","2026-05-02","Per=M","Days=T","Dir=V")</f>
        <v>0</v>
      </c>
      <c r="AU2">
        <f>BDH("BBBYW US Equity","EQY_SH_OUT","1993-06-18","2026-05-02","Per=M","Days=T","Dir=V")</f>
        <v>0</v>
      </c>
      <c r="AW2">
        <f>BDH("BBBYW US Equity","PX_VOLUME","1993-06-18","2026-05-02","Per=M","Days=T","Dir=V")</f>
        <v>0</v>
      </c>
      <c r="AY2">
        <f>BDH("BBBYW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BDH("BBCP US Equity","BS_TOT_ASSET","1993-06-18","2026-05-02","Per=Y","Days=T","Dir=V")</f>
        <v>0</v>
      </c>
      <c r="C2">
        <f>BDH("BBCP US Equity","BS_TOT_LIAB2","1993-06-18","2026-05-02","Per=Y","Days=T","Dir=V")</f>
        <v>0</v>
      </c>
      <c r="E2">
        <f>BDH("BBCP US Equity","SHORT_AND_LONG_TERM_DEBT","1993-06-18","2026-05-02","Per=Y","Days=T","Dir=V")</f>
        <v>0</v>
      </c>
      <c r="G2">
        <f>BDH("BBCP US Equity","BS_ST_BORROW","1993-06-18","2026-05-02","Per=Y","Days=T","Dir=V")</f>
        <v>0</v>
      </c>
      <c r="I2">
        <f>BDH("BBCP US Equity","BS_LT_BORROW","1993-06-18","2026-05-02","Per=Y","Days=T","Dir=V")</f>
        <v>0</v>
      </c>
      <c r="K2">
        <f>BDH("BBCP US Equity","BS_CASH_NEAR_CASH_ITEM","1993-06-18","2026-05-02","Per=Y","Days=T","Dir=V")</f>
        <v>0</v>
      </c>
      <c r="M2">
        <f>BDH("BBCP US Equity","BS_CUR_ASSET_REPORT","1993-06-18","2026-05-02","Per=Y","Days=T","Dir=V")</f>
        <v>0</v>
      </c>
      <c r="O2">
        <f>BDH("BBCP US Equity","BS_CUR_LIAB","1993-06-18","2026-05-02","Per=Y","Days=T","Dir=V")</f>
        <v>0</v>
      </c>
      <c r="Q2">
        <f>BDH("BBCP US Equity","BS_SHAREHOLDER_EQY_ENDING_PERIOD","1993-06-18","2026-05-02","Per=Y","Days=T","Dir=V")</f>
        <v>0</v>
      </c>
      <c r="S2">
        <f>BDH("BBCP US Equity","BS_ACCT_NOTE_RCV","1993-06-18","2026-05-02","Per=Y","Days=T","Dir=V")</f>
        <v>0</v>
      </c>
      <c r="U2">
        <f>BDH("BBCP US Equity","BS_INVENTORIES","1993-06-18","2026-05-02","Per=Y","Days=T","Dir=V")</f>
        <v>0</v>
      </c>
      <c r="W2">
        <f>BDH("BBCP US Equity","WORKING_CAPITAL","1993-06-18","2026-05-02","Per=Y","Days=T","Dir=V")</f>
        <v>0</v>
      </c>
      <c r="Y2">
        <f>BDH("BBCP US Equity","SALES_REV_TURN","1993-06-18","2026-05-02","Per=Y","Days=T","Dir=V")</f>
        <v>0</v>
      </c>
      <c r="AA2">
        <f>BDH("BBCP US Equity","EBIT","1993-06-18","2026-05-02","Per=Y","Days=T","Dir=V")</f>
        <v>0</v>
      </c>
      <c r="AC2">
        <f>BDH("BBCP US Equity","EBITDA","1993-06-18","2026-05-02","Per=Y","Days=T","Dir=V")</f>
        <v>0</v>
      </c>
      <c r="AE2">
        <f>BDH("BBCP US Equity","NET_INCOME","1993-06-18","2026-05-02","Per=Y","Days=T","Dir=V")</f>
        <v>0</v>
      </c>
      <c r="AG2">
        <f>BDH("BBCP US Equity","IS_INT_EXPENSE","1993-06-18","2026-05-02","Per=Y","Days=T","Dir=V")</f>
        <v>0</v>
      </c>
      <c r="AI2">
        <f>BDH("BBCP US Equity","IS_DEPR_EXP","1993-06-18","2026-05-02","Per=Y","Days=T","Dir=V")</f>
        <v>0</v>
      </c>
      <c r="AK2">
        <f>BDH("BBCP US Equity","CF_CASH_FROM_OPER","1993-06-18","2026-05-02","Per=Y","Days=T","Dir=V")</f>
        <v>0</v>
      </c>
      <c r="AM2">
        <f>BDH("BBCP US Equity","CAPITAL_EXPEND","1993-06-18","2026-05-02","Per=Y","Days=T","Dir=V")</f>
        <v>0</v>
      </c>
      <c r="AO2">
        <f>BDH("BBCP US Equity","CF_FREE_CASH_FLOW","1993-06-18","2026-05-02","Per=Y","Days=T","Dir=V")</f>
        <v>0</v>
      </c>
      <c r="AQ2">
        <f>BDH("BBCP US Equity","PX_LAST","1993-06-18","2026-05-02","Per=M","Days=T","Dir=V")</f>
        <v>0</v>
      </c>
      <c r="AS2">
        <f>BDH("BBCP US Equity","CUR_MKT_CAP","1993-06-18","2026-05-02","Per=M","Days=T","Dir=V")</f>
        <v>0</v>
      </c>
      <c r="AU2">
        <f>BDH("BBCP US Equity","EQY_SH_OUT","1993-06-18","2026-05-02","Per=M","Days=T","Dir=V")</f>
        <v>0</v>
      </c>
      <c r="AW2">
        <f>BDH("BBCP US Equity","PX_VOLUME","1993-06-18","2026-05-02","Per=M","Days=T","Dir=V")</f>
        <v>0</v>
      </c>
      <c r="AY2">
        <f>BDH("BBCP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BDH("BBGI US Equity","BS_TOT_ASSET","1993-06-18","2026-05-02","Per=Y","Days=T","Dir=V")</f>
        <v>0</v>
      </c>
      <c r="C2">
        <f>BDH("BBGI US Equity","BS_TOT_LIAB2","1993-06-18","2026-05-02","Per=Y","Days=T","Dir=V")</f>
        <v>0</v>
      </c>
      <c r="E2">
        <f>BDH("BBGI US Equity","SHORT_AND_LONG_TERM_DEBT","1993-06-18","2026-05-02","Per=Y","Days=T","Dir=V")</f>
        <v>0</v>
      </c>
      <c r="G2">
        <f>BDH("BBGI US Equity","BS_ST_BORROW","1993-06-18","2026-05-02","Per=Y","Days=T","Dir=V")</f>
        <v>0</v>
      </c>
      <c r="I2">
        <f>BDH("BBGI US Equity","BS_LT_BORROW","1993-06-18","2026-05-02","Per=Y","Days=T","Dir=V")</f>
        <v>0</v>
      </c>
      <c r="K2">
        <f>BDH("BBGI US Equity","BS_CASH_NEAR_CASH_ITEM","1993-06-18","2026-05-02","Per=Y","Days=T","Dir=V")</f>
        <v>0</v>
      </c>
      <c r="M2">
        <f>BDH("BBGI US Equity","BS_CUR_ASSET_REPORT","1993-06-18","2026-05-02","Per=Y","Days=T","Dir=V")</f>
        <v>0</v>
      </c>
      <c r="O2">
        <f>BDH("BBGI US Equity","BS_CUR_LIAB","1993-06-18","2026-05-02","Per=Y","Days=T","Dir=V")</f>
        <v>0</v>
      </c>
      <c r="Q2">
        <f>BDH("BBGI US Equity","BS_SHAREHOLDER_EQY_ENDING_PERIOD","1993-06-18","2026-05-02","Per=Y","Days=T","Dir=V")</f>
        <v>0</v>
      </c>
      <c r="S2">
        <f>BDH("BBGI US Equity","BS_ACCT_NOTE_RCV","1993-06-18","2026-05-02","Per=Y","Days=T","Dir=V")</f>
        <v>0</v>
      </c>
      <c r="U2">
        <f>BDH("BBGI US Equity","BS_INVENTORIES","1993-06-18","2026-05-02","Per=Y","Days=T","Dir=V")</f>
        <v>0</v>
      </c>
      <c r="W2">
        <f>BDH("BBGI US Equity","WORKING_CAPITAL","1993-06-18","2026-05-02","Per=Y","Days=T","Dir=V")</f>
        <v>0</v>
      </c>
      <c r="Y2">
        <f>BDH("BBGI US Equity","SALES_REV_TURN","1993-06-18","2026-05-02","Per=Y","Days=T","Dir=V")</f>
        <v>0</v>
      </c>
      <c r="AA2">
        <f>BDH("BBGI US Equity","EBIT","1993-06-18","2026-05-02","Per=Y","Days=T","Dir=V")</f>
        <v>0</v>
      </c>
      <c r="AC2">
        <f>BDH("BBGI US Equity","EBITDA","1993-06-18","2026-05-02","Per=Y","Days=T","Dir=V")</f>
        <v>0</v>
      </c>
      <c r="AE2">
        <f>BDH("BBGI US Equity","NET_INCOME","1993-06-18","2026-05-02","Per=Y","Days=T","Dir=V")</f>
        <v>0</v>
      </c>
      <c r="AG2">
        <f>BDH("BBGI US Equity","IS_INT_EXPENSE","1993-06-18","2026-05-02","Per=Y","Days=T","Dir=V")</f>
        <v>0</v>
      </c>
      <c r="AI2">
        <f>BDH("BBGI US Equity","IS_DEPR_EXP","1993-06-18","2026-05-02","Per=Y","Days=T","Dir=V")</f>
        <v>0</v>
      </c>
      <c r="AK2">
        <f>BDH("BBGI US Equity","CF_CASH_FROM_OPER","1993-06-18","2026-05-02","Per=Y","Days=T","Dir=V")</f>
        <v>0</v>
      </c>
      <c r="AM2">
        <f>BDH("BBGI US Equity","CAPITAL_EXPEND","1993-06-18","2026-05-02","Per=Y","Days=T","Dir=V")</f>
        <v>0</v>
      </c>
      <c r="AO2">
        <f>BDH("BBGI US Equity","CF_FREE_CASH_FLOW","1993-06-18","2026-05-02","Per=Y","Days=T","Dir=V")</f>
        <v>0</v>
      </c>
      <c r="AQ2">
        <f>BDH("BBGI US Equity","PX_LAST","1993-06-18","2026-05-02","Per=M","Days=T","Dir=V")</f>
        <v>0</v>
      </c>
      <c r="AS2">
        <f>BDH("BBGI US Equity","CUR_MKT_CAP","1993-06-18","2026-05-02","Per=M","Days=T","Dir=V")</f>
        <v>0</v>
      </c>
      <c r="AU2">
        <f>BDH("BBGI US Equity","EQY_SH_OUT","1993-06-18","2026-05-02","Per=M","Days=T","Dir=V")</f>
        <v>0</v>
      </c>
      <c r="AW2">
        <f>BDH("BBGI US Equity","PX_VOLUME","1993-06-18","2026-05-02","Per=M","Days=T","Dir=V")</f>
        <v>0</v>
      </c>
      <c r="AY2">
        <f>BDH("BBGI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BDH("BBIO US Equity","BS_TOT_ASSET","1993-06-18","2026-05-02","Per=Y","Days=T","Dir=V")</f>
        <v>0</v>
      </c>
      <c r="C2">
        <f>BDH("BBIO US Equity","BS_TOT_LIAB2","1993-06-18","2026-05-02","Per=Y","Days=T","Dir=V")</f>
        <v>0</v>
      </c>
      <c r="E2">
        <f>BDH("BBIO US Equity","SHORT_AND_LONG_TERM_DEBT","1993-06-18","2026-05-02","Per=Y","Days=T","Dir=V")</f>
        <v>0</v>
      </c>
      <c r="G2">
        <f>BDH("BBIO US Equity","BS_ST_BORROW","1993-06-18","2026-05-02","Per=Y","Days=T","Dir=V")</f>
        <v>0</v>
      </c>
      <c r="I2">
        <f>BDH("BBIO US Equity","BS_LT_BORROW","1993-06-18","2026-05-02","Per=Y","Days=T","Dir=V")</f>
        <v>0</v>
      </c>
      <c r="K2">
        <f>BDH("BBIO US Equity","BS_CASH_NEAR_CASH_ITEM","1993-06-18","2026-05-02","Per=Y","Days=T","Dir=V")</f>
        <v>0</v>
      </c>
      <c r="M2">
        <f>BDH("BBIO US Equity","BS_CUR_ASSET_REPORT","1993-06-18","2026-05-02","Per=Y","Days=T","Dir=V")</f>
        <v>0</v>
      </c>
      <c r="O2">
        <f>BDH("BBIO US Equity","BS_CUR_LIAB","1993-06-18","2026-05-02","Per=Y","Days=T","Dir=V")</f>
        <v>0</v>
      </c>
      <c r="Q2">
        <f>BDH("BBIO US Equity","BS_SHAREHOLDER_EQY_ENDING_PERIOD","1993-06-18","2026-05-02","Per=Y","Days=T","Dir=V")</f>
        <v>0</v>
      </c>
      <c r="S2">
        <f>BDH("BBIO US Equity","BS_ACCT_NOTE_RCV","1993-06-18","2026-05-02","Per=Y","Days=T","Dir=V")</f>
        <v>0</v>
      </c>
      <c r="U2">
        <f>BDH("BBIO US Equity","BS_INVENTORIES","1993-06-18","2026-05-02","Per=Y","Days=T","Dir=V")</f>
        <v>0</v>
      </c>
      <c r="W2">
        <f>BDH("BBIO US Equity","WORKING_CAPITAL","1993-06-18","2026-05-02","Per=Y","Days=T","Dir=V")</f>
        <v>0</v>
      </c>
      <c r="Y2">
        <f>BDH("BBIO US Equity","SALES_REV_TURN","1993-06-18","2026-05-02","Per=Y","Days=T","Dir=V")</f>
        <v>0</v>
      </c>
      <c r="AA2">
        <f>BDH("BBIO US Equity","EBIT","1993-06-18","2026-05-02","Per=Y","Days=T","Dir=V")</f>
        <v>0</v>
      </c>
      <c r="AC2">
        <f>BDH("BBIO US Equity","EBITDA","1993-06-18","2026-05-02","Per=Y","Days=T","Dir=V")</f>
        <v>0</v>
      </c>
      <c r="AE2">
        <f>BDH("BBIO US Equity","NET_INCOME","1993-06-18","2026-05-02","Per=Y","Days=T","Dir=V")</f>
        <v>0</v>
      </c>
      <c r="AG2">
        <f>BDH("BBIO US Equity","IS_INT_EXPENSE","1993-06-18","2026-05-02","Per=Y","Days=T","Dir=V")</f>
        <v>0</v>
      </c>
      <c r="AI2">
        <f>BDH("BBIO US Equity","IS_DEPR_EXP","1993-06-18","2026-05-02","Per=Y","Days=T","Dir=V")</f>
        <v>0</v>
      </c>
      <c r="AK2">
        <f>BDH("BBIO US Equity","CF_CASH_FROM_OPER","1993-06-18","2026-05-02","Per=Y","Days=T","Dir=V")</f>
        <v>0</v>
      </c>
      <c r="AM2">
        <f>BDH("BBIO US Equity","CAPITAL_EXPEND","1993-06-18","2026-05-02","Per=Y","Days=T","Dir=V")</f>
        <v>0</v>
      </c>
      <c r="AO2">
        <f>BDH("BBIO US Equity","CF_FREE_CASH_FLOW","1993-06-18","2026-05-02","Per=Y","Days=T","Dir=V")</f>
        <v>0</v>
      </c>
      <c r="AQ2">
        <f>BDH("BBIO US Equity","PX_LAST","1993-06-18","2026-05-02","Per=M","Days=T","Dir=V")</f>
        <v>0</v>
      </c>
      <c r="AS2">
        <f>BDH("BBIO US Equity","CUR_MKT_CAP","1993-06-18","2026-05-02","Per=M","Days=T","Dir=V")</f>
        <v>0</v>
      </c>
      <c r="AU2">
        <f>BDH("BBIO US Equity","EQY_SH_OUT","1993-06-18","2026-05-02","Per=M","Days=T","Dir=V")</f>
        <v>0</v>
      </c>
      <c r="AW2">
        <f>BDH("BBIO US Equity","PX_VOLUME","1993-06-18","2026-05-02","Per=M","Days=T","Dir=V")</f>
        <v>0</v>
      </c>
      <c r="AY2">
        <f>BDH("BBIO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BDH("BBLG US Equity","BS_TOT_ASSET","1993-06-18","2026-05-02","Per=Y","Days=T","Dir=V")</f>
        <v>0</v>
      </c>
      <c r="C2">
        <f>BDH("BBLG US Equity","BS_TOT_LIAB2","1993-06-18","2026-05-02","Per=Y","Days=T","Dir=V")</f>
        <v>0</v>
      </c>
      <c r="E2">
        <f>BDH("BBLG US Equity","SHORT_AND_LONG_TERM_DEBT","1993-06-18","2026-05-02","Per=Y","Days=T","Dir=V")</f>
        <v>0</v>
      </c>
      <c r="G2">
        <f>BDH("BBLG US Equity","BS_ST_BORROW","1993-06-18","2026-05-02","Per=Y","Days=T","Dir=V")</f>
        <v>0</v>
      </c>
      <c r="I2">
        <f>BDH("BBLG US Equity","BS_LT_BORROW","1993-06-18","2026-05-02","Per=Y","Days=T","Dir=V")</f>
        <v>0</v>
      </c>
      <c r="K2">
        <f>BDH("BBLG US Equity","BS_CASH_NEAR_CASH_ITEM","1993-06-18","2026-05-02","Per=Y","Days=T","Dir=V")</f>
        <v>0</v>
      </c>
      <c r="M2">
        <f>BDH("BBLG US Equity","BS_CUR_ASSET_REPORT","1993-06-18","2026-05-02","Per=Y","Days=T","Dir=V")</f>
        <v>0</v>
      </c>
      <c r="O2">
        <f>BDH("BBLG US Equity","BS_CUR_LIAB","1993-06-18","2026-05-02","Per=Y","Days=T","Dir=V")</f>
        <v>0</v>
      </c>
      <c r="Q2">
        <f>BDH("BBLG US Equity","BS_SHAREHOLDER_EQY_ENDING_PERIOD","1993-06-18","2026-05-02","Per=Y","Days=T","Dir=V")</f>
        <v>0</v>
      </c>
      <c r="S2">
        <f>BDH("BBLG US Equity","BS_ACCT_NOTE_RCV","1993-06-18","2026-05-02","Per=Y","Days=T","Dir=V")</f>
        <v>0</v>
      </c>
      <c r="U2">
        <f>BDH("BBLG US Equity","BS_INVENTORIES","1993-06-18","2026-05-02","Per=Y","Days=T","Dir=V")</f>
        <v>0</v>
      </c>
      <c r="W2">
        <f>BDH("BBLG US Equity","WORKING_CAPITAL","1993-06-18","2026-05-02","Per=Y","Days=T","Dir=V")</f>
        <v>0</v>
      </c>
      <c r="Y2">
        <f>BDH("BBLG US Equity","SALES_REV_TURN","1993-06-18","2026-05-02","Per=Y","Days=T","Dir=V")</f>
        <v>0</v>
      </c>
      <c r="AA2">
        <f>BDH("BBLG US Equity","EBIT","1993-06-18","2026-05-02","Per=Y","Days=T","Dir=V")</f>
        <v>0</v>
      </c>
      <c r="AC2">
        <f>BDH("BBLG US Equity","EBITDA","1993-06-18","2026-05-02","Per=Y","Days=T","Dir=V")</f>
        <v>0</v>
      </c>
      <c r="AE2">
        <f>BDH("BBLG US Equity","NET_INCOME","1993-06-18","2026-05-02","Per=Y","Days=T","Dir=V")</f>
        <v>0</v>
      </c>
      <c r="AG2">
        <f>BDH("BBLG US Equity","IS_INT_EXPENSE","1993-06-18","2026-05-02","Per=Y","Days=T","Dir=V")</f>
        <v>0</v>
      </c>
      <c r="AI2">
        <f>BDH("BBLG US Equity","IS_DEPR_EXP","1993-06-18","2026-05-02","Per=Y","Days=T","Dir=V")</f>
        <v>0</v>
      </c>
      <c r="AK2">
        <f>BDH("BBLG US Equity","CF_CASH_FROM_OPER","1993-06-18","2026-05-02","Per=Y","Days=T","Dir=V")</f>
        <v>0</v>
      </c>
      <c r="AM2">
        <f>BDH("BBLG US Equity","CAPITAL_EXPEND","1993-06-18","2026-05-02","Per=Y","Days=T","Dir=V")</f>
        <v>0</v>
      </c>
      <c r="AO2">
        <f>BDH("BBLG US Equity","CF_FREE_CASH_FLOW","1993-06-18","2026-05-02","Per=Y","Days=T","Dir=V")</f>
        <v>0</v>
      </c>
      <c r="AQ2">
        <f>BDH("BBLG US Equity","PX_LAST","1993-06-18","2026-05-02","Per=M","Days=T","Dir=V")</f>
        <v>0</v>
      </c>
      <c r="AS2">
        <f>BDH("BBLG US Equity","CUR_MKT_CAP","1993-06-18","2026-05-02","Per=M","Days=T","Dir=V")</f>
        <v>0</v>
      </c>
      <c r="AU2">
        <f>BDH("BBLG US Equity","EQY_SH_OUT","1993-06-18","2026-05-02","Per=M","Days=T","Dir=V")</f>
        <v>0</v>
      </c>
      <c r="AW2">
        <f>BDH("BBLG US Equity","PX_VOLUME","1993-06-18","2026-05-02","Per=M","Days=T","Dir=V")</f>
        <v>0</v>
      </c>
      <c r="AY2">
        <f>BDH("BBLG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BDH("BBLGW US Equity","BS_TOT_ASSET","1993-06-18","2026-05-02","Per=Y","Days=T","Dir=V")</f>
        <v>0</v>
      </c>
      <c r="C2">
        <f>BDH("BBLGW US Equity","BS_TOT_LIAB2","1993-06-18","2026-05-02","Per=Y","Days=T","Dir=V")</f>
        <v>0</v>
      </c>
      <c r="E2">
        <f>BDH("BBLGW US Equity","SHORT_AND_LONG_TERM_DEBT","1993-06-18","2026-05-02","Per=Y","Days=T","Dir=V")</f>
        <v>0</v>
      </c>
      <c r="G2">
        <f>BDH("BBLGW US Equity","BS_ST_BORROW","1993-06-18","2026-05-02","Per=Y","Days=T","Dir=V")</f>
        <v>0</v>
      </c>
      <c r="I2">
        <f>BDH("BBLGW US Equity","BS_LT_BORROW","1993-06-18","2026-05-02","Per=Y","Days=T","Dir=V")</f>
        <v>0</v>
      </c>
      <c r="K2">
        <f>BDH("BBLGW US Equity","BS_CASH_NEAR_CASH_ITEM","1993-06-18","2026-05-02","Per=Y","Days=T","Dir=V")</f>
        <v>0</v>
      </c>
      <c r="M2">
        <f>BDH("BBLGW US Equity","BS_CUR_ASSET_REPORT","1993-06-18","2026-05-02","Per=Y","Days=T","Dir=V")</f>
        <v>0</v>
      </c>
      <c r="O2">
        <f>BDH("BBLGW US Equity","BS_CUR_LIAB","1993-06-18","2026-05-02","Per=Y","Days=T","Dir=V")</f>
        <v>0</v>
      </c>
      <c r="Q2">
        <f>BDH("BBLGW US Equity","BS_SHAREHOLDER_EQY_ENDING_PERIOD","1993-06-18","2026-05-02","Per=Y","Days=T","Dir=V")</f>
        <v>0</v>
      </c>
      <c r="S2">
        <f>BDH("BBLGW US Equity","BS_ACCT_NOTE_RCV","1993-06-18","2026-05-02","Per=Y","Days=T","Dir=V")</f>
        <v>0</v>
      </c>
      <c r="U2">
        <f>BDH("BBLGW US Equity","BS_INVENTORIES","1993-06-18","2026-05-02","Per=Y","Days=T","Dir=V")</f>
        <v>0</v>
      </c>
      <c r="W2">
        <f>BDH("BBLGW US Equity","WORKING_CAPITAL","1993-06-18","2026-05-02","Per=Y","Days=T","Dir=V")</f>
        <v>0</v>
      </c>
      <c r="Y2">
        <f>BDH("BBLGW US Equity","SALES_REV_TURN","1993-06-18","2026-05-02","Per=Y","Days=T","Dir=V")</f>
        <v>0</v>
      </c>
      <c r="AA2">
        <f>BDH("BBLGW US Equity","EBIT","1993-06-18","2026-05-02","Per=Y","Days=T","Dir=V")</f>
        <v>0</v>
      </c>
      <c r="AC2">
        <f>BDH("BBLGW US Equity","EBITDA","1993-06-18","2026-05-02","Per=Y","Days=T","Dir=V")</f>
        <v>0</v>
      </c>
      <c r="AE2">
        <f>BDH("BBLGW US Equity","NET_INCOME","1993-06-18","2026-05-02","Per=Y","Days=T","Dir=V")</f>
        <v>0</v>
      </c>
      <c r="AG2">
        <f>BDH("BBLGW US Equity","IS_INT_EXPENSE","1993-06-18","2026-05-02","Per=Y","Days=T","Dir=V")</f>
        <v>0</v>
      </c>
      <c r="AI2">
        <f>BDH("BBLGW US Equity","IS_DEPR_EXP","1993-06-18","2026-05-02","Per=Y","Days=T","Dir=V")</f>
        <v>0</v>
      </c>
      <c r="AK2">
        <f>BDH("BBLGW US Equity","CF_CASH_FROM_OPER","1993-06-18","2026-05-02","Per=Y","Days=T","Dir=V")</f>
        <v>0</v>
      </c>
      <c r="AM2">
        <f>BDH("BBLGW US Equity","CAPITAL_EXPEND","1993-06-18","2026-05-02","Per=Y","Days=T","Dir=V")</f>
        <v>0</v>
      </c>
      <c r="AO2">
        <f>BDH("BBLGW US Equity","CF_FREE_CASH_FLOW","1993-06-18","2026-05-02","Per=Y","Days=T","Dir=V")</f>
        <v>0</v>
      </c>
      <c r="AQ2">
        <f>BDH("BBLGW US Equity","PX_LAST","1993-06-18","2026-05-02","Per=M","Days=T","Dir=V")</f>
        <v>0</v>
      </c>
      <c r="AS2">
        <f>BDH("BBLGW US Equity","CUR_MKT_CAP","1993-06-18","2026-05-02","Per=M","Days=T","Dir=V")</f>
        <v>0</v>
      </c>
      <c r="AU2">
        <f>BDH("BBLGW US Equity","EQY_SH_OUT","1993-06-18","2026-05-02","Per=M","Days=T","Dir=V")</f>
        <v>0</v>
      </c>
      <c r="AW2">
        <f>BDH("BBLGW US Equity","PX_VOLUME","1993-06-18","2026-05-02","Per=M","Days=T","Dir=V")</f>
        <v>0</v>
      </c>
      <c r="AY2">
        <f>BDH("BBLGW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BDH("BBNX US Equity","BS_TOT_ASSET","1993-06-18","2026-05-02","Per=Y","Days=T","Dir=V")</f>
        <v>0</v>
      </c>
      <c r="C2">
        <f>BDH("BBNX US Equity","BS_TOT_LIAB2","1993-06-18","2026-05-02","Per=Y","Days=T","Dir=V")</f>
        <v>0</v>
      </c>
      <c r="E2">
        <f>BDH("BBNX US Equity","SHORT_AND_LONG_TERM_DEBT","1993-06-18","2026-05-02","Per=Y","Days=T","Dir=V")</f>
        <v>0</v>
      </c>
      <c r="G2">
        <f>BDH("BBNX US Equity","BS_ST_BORROW","1993-06-18","2026-05-02","Per=Y","Days=T","Dir=V")</f>
        <v>0</v>
      </c>
      <c r="I2">
        <f>BDH("BBNX US Equity","BS_LT_BORROW","1993-06-18","2026-05-02","Per=Y","Days=T","Dir=V")</f>
        <v>0</v>
      </c>
      <c r="K2">
        <f>BDH("BBNX US Equity","BS_CASH_NEAR_CASH_ITEM","1993-06-18","2026-05-02","Per=Y","Days=T","Dir=V")</f>
        <v>0</v>
      </c>
      <c r="M2">
        <f>BDH("BBNX US Equity","BS_CUR_ASSET_REPORT","1993-06-18","2026-05-02","Per=Y","Days=T","Dir=V")</f>
        <v>0</v>
      </c>
      <c r="O2">
        <f>BDH("BBNX US Equity","BS_CUR_LIAB","1993-06-18","2026-05-02","Per=Y","Days=T","Dir=V")</f>
        <v>0</v>
      </c>
      <c r="Q2">
        <f>BDH("BBNX US Equity","BS_SHAREHOLDER_EQY_ENDING_PERIOD","1993-06-18","2026-05-02","Per=Y","Days=T","Dir=V")</f>
        <v>0</v>
      </c>
      <c r="S2">
        <f>BDH("BBNX US Equity","BS_ACCT_NOTE_RCV","1993-06-18","2026-05-02","Per=Y","Days=T","Dir=V")</f>
        <v>0</v>
      </c>
      <c r="U2">
        <f>BDH("BBNX US Equity","BS_INVENTORIES","1993-06-18","2026-05-02","Per=Y","Days=T","Dir=V")</f>
        <v>0</v>
      </c>
      <c r="W2">
        <f>BDH("BBNX US Equity","WORKING_CAPITAL","1993-06-18","2026-05-02","Per=Y","Days=T","Dir=V")</f>
        <v>0</v>
      </c>
      <c r="Y2">
        <f>BDH("BBNX US Equity","SALES_REV_TURN","1993-06-18","2026-05-02","Per=Y","Days=T","Dir=V")</f>
        <v>0</v>
      </c>
      <c r="AA2">
        <f>BDH("BBNX US Equity","EBIT","1993-06-18","2026-05-02","Per=Y","Days=T","Dir=V")</f>
        <v>0</v>
      </c>
      <c r="AC2">
        <f>BDH("BBNX US Equity","EBITDA","1993-06-18","2026-05-02","Per=Y","Days=T","Dir=V")</f>
        <v>0</v>
      </c>
      <c r="AE2">
        <f>BDH("BBNX US Equity","NET_INCOME","1993-06-18","2026-05-02","Per=Y","Days=T","Dir=V")</f>
        <v>0</v>
      </c>
      <c r="AG2">
        <f>BDH("BBNX US Equity","IS_INT_EXPENSE","1993-06-18","2026-05-02","Per=Y","Days=T","Dir=V")</f>
        <v>0</v>
      </c>
      <c r="AI2">
        <f>BDH("BBNX US Equity","IS_DEPR_EXP","1993-06-18","2026-05-02","Per=Y","Days=T","Dir=V")</f>
        <v>0</v>
      </c>
      <c r="AK2">
        <f>BDH("BBNX US Equity","CF_CASH_FROM_OPER","1993-06-18","2026-05-02","Per=Y","Days=T","Dir=V")</f>
        <v>0</v>
      </c>
      <c r="AM2">
        <f>BDH("BBNX US Equity","CAPITAL_EXPEND","1993-06-18","2026-05-02","Per=Y","Days=T","Dir=V")</f>
        <v>0</v>
      </c>
      <c r="AO2">
        <f>BDH("BBNX US Equity","CF_FREE_CASH_FLOW","1993-06-18","2026-05-02","Per=Y","Days=T","Dir=V")</f>
        <v>0</v>
      </c>
      <c r="AQ2">
        <f>BDH("BBNX US Equity","PX_LAST","1993-06-18","2026-05-02","Per=M","Days=T","Dir=V")</f>
        <v>0</v>
      </c>
      <c r="AS2">
        <f>BDH("BBNX US Equity","CUR_MKT_CAP","1993-06-18","2026-05-02","Per=M","Days=T","Dir=V")</f>
        <v>0</v>
      </c>
      <c r="AU2">
        <f>BDH("BBNX US Equity","EQY_SH_OUT","1993-06-18","2026-05-02","Per=M","Days=T","Dir=V")</f>
        <v>0</v>
      </c>
      <c r="AW2">
        <f>BDH("BBNX US Equity","PX_VOLUME","1993-06-18","2026-05-02","Per=M","Days=T","Dir=V")</f>
        <v>0</v>
      </c>
      <c r="AY2">
        <f>BDH("BBNX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BDH("BBOT US Equity","BS_TOT_ASSET","1993-06-18","2026-05-02","Per=Y","Days=T","Dir=V")</f>
        <v>0</v>
      </c>
      <c r="C2">
        <f>BDH("BBOT US Equity","BS_TOT_LIAB2","1993-06-18","2026-05-02","Per=Y","Days=T","Dir=V")</f>
        <v>0</v>
      </c>
      <c r="E2">
        <f>BDH("BBOT US Equity","SHORT_AND_LONG_TERM_DEBT","1993-06-18","2026-05-02","Per=Y","Days=T","Dir=V")</f>
        <v>0</v>
      </c>
      <c r="G2">
        <f>BDH("BBOT US Equity","BS_ST_BORROW","1993-06-18","2026-05-02","Per=Y","Days=T","Dir=V")</f>
        <v>0</v>
      </c>
      <c r="I2">
        <f>BDH("BBOT US Equity","BS_LT_BORROW","1993-06-18","2026-05-02","Per=Y","Days=T","Dir=V")</f>
        <v>0</v>
      </c>
      <c r="K2">
        <f>BDH("BBOT US Equity","BS_CASH_NEAR_CASH_ITEM","1993-06-18","2026-05-02","Per=Y","Days=T","Dir=V")</f>
        <v>0</v>
      </c>
      <c r="M2">
        <f>BDH("BBOT US Equity","BS_CUR_ASSET_REPORT","1993-06-18","2026-05-02","Per=Y","Days=T","Dir=V")</f>
        <v>0</v>
      </c>
      <c r="O2">
        <f>BDH("BBOT US Equity","BS_CUR_LIAB","1993-06-18","2026-05-02","Per=Y","Days=T","Dir=V")</f>
        <v>0</v>
      </c>
      <c r="Q2">
        <f>BDH("BBOT US Equity","BS_SHAREHOLDER_EQY_ENDING_PERIOD","1993-06-18","2026-05-02","Per=Y","Days=T","Dir=V")</f>
        <v>0</v>
      </c>
      <c r="S2">
        <f>BDH("BBOT US Equity","BS_ACCT_NOTE_RCV","1993-06-18","2026-05-02","Per=Y","Days=T","Dir=V")</f>
        <v>0</v>
      </c>
      <c r="U2">
        <f>BDH("BBOT US Equity","BS_INVENTORIES","1993-06-18","2026-05-02","Per=Y","Days=T","Dir=V")</f>
        <v>0</v>
      </c>
      <c r="W2">
        <f>BDH("BBOT US Equity","WORKING_CAPITAL","1993-06-18","2026-05-02","Per=Y","Days=T","Dir=V")</f>
        <v>0</v>
      </c>
      <c r="Y2">
        <f>BDH("BBOT US Equity","SALES_REV_TURN","1993-06-18","2026-05-02","Per=Y","Days=T","Dir=V")</f>
        <v>0</v>
      </c>
      <c r="AA2">
        <f>BDH("BBOT US Equity","EBIT","1993-06-18","2026-05-02","Per=Y","Days=T","Dir=V")</f>
        <v>0</v>
      </c>
      <c r="AC2">
        <f>BDH("BBOT US Equity","EBITDA","1993-06-18","2026-05-02","Per=Y","Days=T","Dir=V")</f>
        <v>0</v>
      </c>
      <c r="AE2">
        <f>BDH("BBOT US Equity","NET_INCOME","1993-06-18","2026-05-02","Per=Y","Days=T","Dir=V")</f>
        <v>0</v>
      </c>
      <c r="AG2">
        <f>BDH("BBOT US Equity","IS_INT_EXPENSE","1993-06-18","2026-05-02","Per=Y","Days=T","Dir=V")</f>
        <v>0</v>
      </c>
      <c r="AI2">
        <f>BDH("BBOT US Equity","IS_DEPR_EXP","1993-06-18","2026-05-02","Per=Y","Days=T","Dir=V")</f>
        <v>0</v>
      </c>
      <c r="AK2">
        <f>BDH("BBOT US Equity","CF_CASH_FROM_OPER","1993-06-18","2026-05-02","Per=Y","Days=T","Dir=V")</f>
        <v>0</v>
      </c>
      <c r="AM2">
        <f>BDH("BBOT US Equity","CAPITAL_EXPEND","1993-06-18","2026-05-02","Per=Y","Days=T","Dir=V")</f>
        <v>0</v>
      </c>
      <c r="AO2">
        <f>BDH("BBOT US Equity","CF_FREE_CASH_FLOW","1993-06-18","2026-05-02","Per=Y","Days=T","Dir=V")</f>
        <v>0</v>
      </c>
      <c r="AQ2">
        <f>BDH("BBOT US Equity","PX_LAST","1993-06-18","2026-05-02","Per=M","Days=T","Dir=V")</f>
        <v>0</v>
      </c>
      <c r="AS2">
        <f>BDH("BBOT US Equity","CUR_MKT_CAP","1993-06-18","2026-05-02","Per=M","Days=T","Dir=V")</f>
        <v>0</v>
      </c>
      <c r="AU2">
        <f>BDH("BBOT US Equity","EQY_SH_OUT","1993-06-18","2026-05-02","Per=M","Days=T","Dir=V")</f>
        <v>0</v>
      </c>
      <c r="AW2">
        <f>BDH("BBOT US Equity","PX_VOLUME","1993-06-18","2026-05-02","Per=M","Days=T","Dir=V")</f>
        <v>0</v>
      </c>
      <c r="AY2">
        <f>BDH("BBOT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BDH("BBSI US Equity","BS_TOT_ASSET","1993-06-18","2026-05-02","Per=Y","Days=T","Dir=V")</f>
        <v>0</v>
      </c>
      <c r="C2">
        <f>BDH("BBSI US Equity","BS_TOT_LIAB2","1993-06-18","2026-05-02","Per=Y","Days=T","Dir=V")</f>
        <v>0</v>
      </c>
      <c r="E2">
        <f>BDH("BBSI US Equity","SHORT_AND_LONG_TERM_DEBT","1993-06-18","2026-05-02","Per=Y","Days=T","Dir=V")</f>
        <v>0</v>
      </c>
      <c r="G2">
        <f>BDH("BBSI US Equity","BS_ST_BORROW","1993-06-18","2026-05-02","Per=Y","Days=T","Dir=V")</f>
        <v>0</v>
      </c>
      <c r="I2">
        <f>BDH("BBSI US Equity","BS_LT_BORROW","1993-06-18","2026-05-02","Per=Y","Days=T","Dir=V")</f>
        <v>0</v>
      </c>
      <c r="K2">
        <f>BDH("BBSI US Equity","BS_CASH_NEAR_CASH_ITEM","1993-06-18","2026-05-02","Per=Y","Days=T","Dir=V")</f>
        <v>0</v>
      </c>
      <c r="M2">
        <f>BDH("BBSI US Equity","BS_CUR_ASSET_REPORT","1993-06-18","2026-05-02","Per=Y","Days=T","Dir=V")</f>
        <v>0</v>
      </c>
      <c r="O2">
        <f>BDH("BBSI US Equity","BS_CUR_LIAB","1993-06-18","2026-05-02","Per=Y","Days=T","Dir=V")</f>
        <v>0</v>
      </c>
      <c r="Q2">
        <f>BDH("BBSI US Equity","BS_SHAREHOLDER_EQY_ENDING_PERIOD","1993-06-18","2026-05-02","Per=Y","Days=T","Dir=V")</f>
        <v>0</v>
      </c>
      <c r="S2">
        <f>BDH("BBSI US Equity","BS_ACCT_NOTE_RCV","1993-06-18","2026-05-02","Per=Y","Days=T","Dir=V")</f>
        <v>0</v>
      </c>
      <c r="U2">
        <f>BDH("BBSI US Equity","BS_INVENTORIES","1993-06-18","2026-05-02","Per=Y","Days=T","Dir=V")</f>
        <v>0</v>
      </c>
      <c r="W2">
        <f>BDH("BBSI US Equity","WORKING_CAPITAL","1993-06-18","2026-05-02","Per=Y","Days=T","Dir=V")</f>
        <v>0</v>
      </c>
      <c r="Y2">
        <f>BDH("BBSI US Equity","SALES_REV_TURN","1993-06-18","2026-05-02","Per=Y","Days=T","Dir=V")</f>
        <v>0</v>
      </c>
      <c r="AA2">
        <f>BDH("BBSI US Equity","EBIT","1993-06-18","2026-05-02","Per=Y","Days=T","Dir=V")</f>
        <v>0</v>
      </c>
      <c r="AC2">
        <f>BDH("BBSI US Equity","EBITDA","1993-06-18","2026-05-02","Per=Y","Days=T","Dir=V")</f>
        <v>0</v>
      </c>
      <c r="AE2">
        <f>BDH("BBSI US Equity","NET_INCOME","1993-06-18","2026-05-02","Per=Y","Days=T","Dir=V")</f>
        <v>0</v>
      </c>
      <c r="AG2">
        <f>BDH("BBSI US Equity","IS_INT_EXPENSE","1993-06-18","2026-05-02","Per=Y","Days=T","Dir=V")</f>
        <v>0</v>
      </c>
      <c r="AI2">
        <f>BDH("BBSI US Equity","IS_DEPR_EXP","1993-06-18","2026-05-02","Per=Y","Days=T","Dir=V")</f>
        <v>0</v>
      </c>
      <c r="AK2">
        <f>BDH("BBSI US Equity","CF_CASH_FROM_OPER","1993-06-18","2026-05-02","Per=Y","Days=T","Dir=V")</f>
        <v>0</v>
      </c>
      <c r="AM2">
        <f>BDH("BBSI US Equity","CAPITAL_EXPEND","1993-06-18","2026-05-02","Per=Y","Days=T","Dir=V")</f>
        <v>0</v>
      </c>
      <c r="AO2">
        <f>BDH("BBSI US Equity","CF_FREE_CASH_FLOW","1993-06-18","2026-05-02","Per=Y","Days=T","Dir=V")</f>
        <v>0</v>
      </c>
      <c r="AQ2">
        <f>BDH("BBSI US Equity","PX_LAST","1993-06-18","2026-05-02","Per=M","Days=T","Dir=V")</f>
        <v>0</v>
      </c>
      <c r="AS2">
        <f>BDH("BBSI US Equity","CUR_MKT_CAP","1993-06-18","2026-05-02","Per=M","Days=T","Dir=V")</f>
        <v>0</v>
      </c>
      <c r="AU2">
        <f>BDH("BBSI US Equity","EQY_SH_OUT","1993-06-18","2026-05-02","Per=M","Days=T","Dir=V")</f>
        <v>0</v>
      </c>
      <c r="AW2">
        <f>BDH("BBSI US Equity","PX_VOLUME","1993-06-18","2026-05-02","Per=M","Days=T","Dir=V")</f>
        <v>0</v>
      </c>
      <c r="AY2">
        <f>BDH("BBSI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BDH("BBW US Equity","BS_TOT_ASSET","1993-06-18","2026-05-02","Per=Y","Days=T","Dir=V")</f>
        <v>0</v>
      </c>
      <c r="C2">
        <f>BDH("BBW US Equity","BS_TOT_LIAB2","1993-06-18","2026-05-02","Per=Y","Days=T","Dir=V")</f>
        <v>0</v>
      </c>
      <c r="E2">
        <f>BDH("BBW US Equity","SHORT_AND_LONG_TERM_DEBT","1993-06-18","2026-05-02","Per=Y","Days=T","Dir=V")</f>
        <v>0</v>
      </c>
      <c r="G2">
        <f>BDH("BBW US Equity","BS_ST_BORROW","1993-06-18","2026-05-02","Per=Y","Days=T","Dir=V")</f>
        <v>0</v>
      </c>
      <c r="I2">
        <f>BDH("BBW US Equity","BS_LT_BORROW","1993-06-18","2026-05-02","Per=Y","Days=T","Dir=V")</f>
        <v>0</v>
      </c>
      <c r="K2">
        <f>BDH("BBW US Equity","BS_CASH_NEAR_CASH_ITEM","1993-06-18","2026-05-02","Per=Y","Days=T","Dir=V")</f>
        <v>0</v>
      </c>
      <c r="M2">
        <f>BDH("BBW US Equity","BS_CUR_ASSET_REPORT","1993-06-18","2026-05-02","Per=Y","Days=T","Dir=V")</f>
        <v>0</v>
      </c>
      <c r="O2">
        <f>BDH("BBW US Equity","BS_CUR_LIAB","1993-06-18","2026-05-02","Per=Y","Days=T","Dir=V")</f>
        <v>0</v>
      </c>
      <c r="Q2">
        <f>BDH("BBW US Equity","BS_SHAREHOLDER_EQY_ENDING_PERIOD","1993-06-18","2026-05-02","Per=Y","Days=T","Dir=V")</f>
        <v>0</v>
      </c>
      <c r="S2">
        <f>BDH("BBW US Equity","BS_ACCT_NOTE_RCV","1993-06-18","2026-05-02","Per=Y","Days=T","Dir=V")</f>
        <v>0</v>
      </c>
      <c r="U2">
        <f>BDH("BBW US Equity","BS_INVENTORIES","1993-06-18","2026-05-02","Per=Y","Days=T","Dir=V")</f>
        <v>0</v>
      </c>
      <c r="W2">
        <f>BDH("BBW US Equity","WORKING_CAPITAL","1993-06-18","2026-05-02","Per=Y","Days=T","Dir=V")</f>
        <v>0</v>
      </c>
      <c r="Y2">
        <f>BDH("BBW US Equity","SALES_REV_TURN","1993-06-18","2026-05-02","Per=Y","Days=T","Dir=V")</f>
        <v>0</v>
      </c>
      <c r="AA2">
        <f>BDH("BBW US Equity","EBIT","1993-06-18","2026-05-02","Per=Y","Days=T","Dir=V")</f>
        <v>0</v>
      </c>
      <c r="AC2">
        <f>BDH("BBW US Equity","EBITDA","1993-06-18","2026-05-02","Per=Y","Days=T","Dir=V")</f>
        <v>0</v>
      </c>
      <c r="AE2">
        <f>BDH("BBW US Equity","NET_INCOME","1993-06-18","2026-05-02","Per=Y","Days=T","Dir=V")</f>
        <v>0</v>
      </c>
      <c r="AG2">
        <f>BDH("BBW US Equity","IS_INT_EXPENSE","1993-06-18","2026-05-02","Per=Y","Days=T","Dir=V")</f>
        <v>0</v>
      </c>
      <c r="AI2">
        <f>BDH("BBW US Equity","IS_DEPR_EXP","1993-06-18","2026-05-02","Per=Y","Days=T","Dir=V")</f>
        <v>0</v>
      </c>
      <c r="AK2">
        <f>BDH("BBW US Equity","CF_CASH_FROM_OPER","1993-06-18","2026-05-02","Per=Y","Days=T","Dir=V")</f>
        <v>0</v>
      </c>
      <c r="AM2">
        <f>BDH("BBW US Equity","CAPITAL_EXPEND","1993-06-18","2026-05-02","Per=Y","Days=T","Dir=V")</f>
        <v>0</v>
      </c>
      <c r="AO2">
        <f>BDH("BBW US Equity","CF_FREE_CASH_FLOW","1993-06-18","2026-05-02","Per=Y","Days=T","Dir=V")</f>
        <v>0</v>
      </c>
      <c r="AQ2">
        <f>BDH("BBW US Equity","PX_LAST","1993-06-18","2026-05-02","Per=M","Days=T","Dir=V")</f>
        <v>0</v>
      </c>
      <c r="AS2">
        <f>BDH("BBW US Equity","CUR_MKT_CAP","1993-06-18","2026-05-02","Per=M","Days=T","Dir=V")</f>
        <v>0</v>
      </c>
      <c r="AU2">
        <f>BDH("BBW US Equity","EQY_SH_OUT","1993-06-18","2026-05-02","Per=M","Days=T","Dir=V")</f>
        <v>0</v>
      </c>
      <c r="AW2">
        <f>BDH("BBW US Equity","PX_VOLUME","1993-06-18","2026-05-02","Per=M","Days=T","Dir=V")</f>
        <v>0</v>
      </c>
      <c r="AY2">
        <f>BDH("BBW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BDH("BBWI US Equity","BS_TOT_ASSET","1993-06-18","2026-05-02","Per=Y","Days=T","Dir=V")</f>
        <v>0</v>
      </c>
      <c r="C2">
        <f>BDH("BBWI US Equity","BS_TOT_LIAB2","1993-06-18","2026-05-02","Per=Y","Days=T","Dir=V")</f>
        <v>0</v>
      </c>
      <c r="E2">
        <f>BDH("BBWI US Equity","SHORT_AND_LONG_TERM_DEBT","1993-06-18","2026-05-02","Per=Y","Days=T","Dir=V")</f>
        <v>0</v>
      </c>
      <c r="G2">
        <f>BDH("BBWI US Equity","BS_ST_BORROW","1993-06-18","2026-05-02","Per=Y","Days=T","Dir=V")</f>
        <v>0</v>
      </c>
      <c r="I2">
        <f>BDH("BBWI US Equity","BS_LT_BORROW","1993-06-18","2026-05-02","Per=Y","Days=T","Dir=V")</f>
        <v>0</v>
      </c>
      <c r="K2">
        <f>BDH("BBWI US Equity","BS_CASH_NEAR_CASH_ITEM","1993-06-18","2026-05-02","Per=Y","Days=T","Dir=V")</f>
        <v>0</v>
      </c>
      <c r="M2">
        <f>BDH("BBWI US Equity","BS_CUR_ASSET_REPORT","1993-06-18","2026-05-02","Per=Y","Days=T","Dir=V")</f>
        <v>0</v>
      </c>
      <c r="O2">
        <f>BDH("BBWI US Equity","BS_CUR_LIAB","1993-06-18","2026-05-02","Per=Y","Days=T","Dir=V")</f>
        <v>0</v>
      </c>
      <c r="Q2">
        <f>BDH("BBWI US Equity","BS_SHAREHOLDER_EQY_ENDING_PERIOD","1993-06-18","2026-05-02","Per=Y","Days=T","Dir=V")</f>
        <v>0</v>
      </c>
      <c r="S2">
        <f>BDH("BBWI US Equity","BS_ACCT_NOTE_RCV","1993-06-18","2026-05-02","Per=Y","Days=T","Dir=V")</f>
        <v>0</v>
      </c>
      <c r="U2">
        <f>BDH("BBWI US Equity","BS_INVENTORIES","1993-06-18","2026-05-02","Per=Y","Days=T","Dir=V")</f>
        <v>0</v>
      </c>
      <c r="W2">
        <f>BDH("BBWI US Equity","WORKING_CAPITAL","1993-06-18","2026-05-02","Per=Y","Days=T","Dir=V")</f>
        <v>0</v>
      </c>
      <c r="Y2">
        <f>BDH("BBWI US Equity","SALES_REV_TURN","1993-06-18","2026-05-02","Per=Y","Days=T","Dir=V")</f>
        <v>0</v>
      </c>
      <c r="AA2">
        <f>BDH("BBWI US Equity","EBIT","1993-06-18","2026-05-02","Per=Y","Days=T","Dir=V")</f>
        <v>0</v>
      </c>
      <c r="AC2">
        <f>BDH("BBWI US Equity","EBITDA","1993-06-18","2026-05-02","Per=Y","Days=T","Dir=V")</f>
        <v>0</v>
      </c>
      <c r="AE2">
        <f>BDH("BBWI US Equity","NET_INCOME","1993-06-18","2026-05-02","Per=Y","Days=T","Dir=V")</f>
        <v>0</v>
      </c>
      <c r="AG2">
        <f>BDH("BBWI US Equity","IS_INT_EXPENSE","1993-06-18","2026-05-02","Per=Y","Days=T","Dir=V")</f>
        <v>0</v>
      </c>
      <c r="AI2">
        <f>BDH("BBWI US Equity","IS_DEPR_EXP","1993-06-18","2026-05-02","Per=Y","Days=T","Dir=V")</f>
        <v>0</v>
      </c>
      <c r="AK2">
        <f>BDH("BBWI US Equity","CF_CASH_FROM_OPER","1993-06-18","2026-05-02","Per=Y","Days=T","Dir=V")</f>
        <v>0</v>
      </c>
      <c r="AM2">
        <f>BDH("BBWI US Equity","CAPITAL_EXPEND","1993-06-18","2026-05-02","Per=Y","Days=T","Dir=V")</f>
        <v>0</v>
      </c>
      <c r="AO2">
        <f>BDH("BBWI US Equity","CF_FREE_CASH_FLOW","1993-06-18","2026-05-02","Per=Y","Days=T","Dir=V")</f>
        <v>0</v>
      </c>
      <c r="AQ2">
        <f>BDH("BBWI US Equity","PX_LAST","1993-06-18","2026-05-02","Per=M","Days=T","Dir=V")</f>
        <v>0</v>
      </c>
      <c r="AS2">
        <f>BDH("BBWI US Equity","CUR_MKT_CAP","1993-06-18","2026-05-02","Per=M","Days=T","Dir=V")</f>
        <v>0</v>
      </c>
      <c r="AU2">
        <f>BDH("BBWI US Equity","EQY_SH_OUT","1993-06-18","2026-05-02","Per=M","Days=T","Dir=V")</f>
        <v>0</v>
      </c>
      <c r="AW2">
        <f>BDH("BBWI US Equity","PX_VOLUME","1993-06-18","2026-05-02","Per=M","Days=T","Dir=V")</f>
        <v>0</v>
      </c>
      <c r="AY2">
        <f>BDH("BBWI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BDH("BBY US Equity","BS_TOT_ASSET","1993-06-18","2026-05-02","Per=Y","Days=T","Dir=V")</f>
        <v>0</v>
      </c>
      <c r="C2">
        <f>BDH("BBY US Equity","BS_TOT_LIAB2","1993-06-18","2026-05-02","Per=Y","Days=T","Dir=V")</f>
        <v>0</v>
      </c>
      <c r="E2">
        <f>BDH("BBY US Equity","SHORT_AND_LONG_TERM_DEBT","1993-06-18","2026-05-02","Per=Y","Days=T","Dir=V")</f>
        <v>0</v>
      </c>
      <c r="G2">
        <f>BDH("BBY US Equity","BS_ST_BORROW","1993-06-18","2026-05-02","Per=Y","Days=T","Dir=V")</f>
        <v>0</v>
      </c>
      <c r="I2">
        <f>BDH("BBY US Equity","BS_LT_BORROW","1993-06-18","2026-05-02","Per=Y","Days=T","Dir=V")</f>
        <v>0</v>
      </c>
      <c r="K2">
        <f>BDH("BBY US Equity","BS_CASH_NEAR_CASH_ITEM","1993-06-18","2026-05-02","Per=Y","Days=T","Dir=V")</f>
        <v>0</v>
      </c>
      <c r="M2">
        <f>BDH("BBY US Equity","BS_CUR_ASSET_REPORT","1993-06-18","2026-05-02","Per=Y","Days=T","Dir=V")</f>
        <v>0</v>
      </c>
      <c r="O2">
        <f>BDH("BBY US Equity","BS_CUR_LIAB","1993-06-18","2026-05-02","Per=Y","Days=T","Dir=V")</f>
        <v>0</v>
      </c>
      <c r="Q2">
        <f>BDH("BBY US Equity","BS_SHAREHOLDER_EQY_ENDING_PERIOD","1993-06-18","2026-05-02","Per=Y","Days=T","Dir=V")</f>
        <v>0</v>
      </c>
      <c r="S2">
        <f>BDH("BBY US Equity","BS_ACCT_NOTE_RCV","1993-06-18","2026-05-02","Per=Y","Days=T","Dir=V")</f>
        <v>0</v>
      </c>
      <c r="U2">
        <f>BDH("BBY US Equity","BS_INVENTORIES","1993-06-18","2026-05-02","Per=Y","Days=T","Dir=V")</f>
        <v>0</v>
      </c>
      <c r="W2">
        <f>BDH("BBY US Equity","WORKING_CAPITAL","1993-06-18","2026-05-02","Per=Y","Days=T","Dir=V")</f>
        <v>0</v>
      </c>
      <c r="Y2">
        <f>BDH("BBY US Equity","SALES_REV_TURN","1993-06-18","2026-05-02","Per=Y","Days=T","Dir=V")</f>
        <v>0</v>
      </c>
      <c r="AA2">
        <f>BDH("BBY US Equity","EBIT","1993-06-18","2026-05-02","Per=Y","Days=T","Dir=V")</f>
        <v>0</v>
      </c>
      <c r="AC2">
        <f>BDH("BBY US Equity","EBITDA","1993-06-18","2026-05-02","Per=Y","Days=T","Dir=V")</f>
        <v>0</v>
      </c>
      <c r="AE2">
        <f>BDH("BBY US Equity","NET_INCOME","1993-06-18","2026-05-02","Per=Y","Days=T","Dir=V")</f>
        <v>0</v>
      </c>
      <c r="AG2">
        <f>BDH("BBY US Equity","IS_INT_EXPENSE","1993-06-18","2026-05-02","Per=Y","Days=T","Dir=V")</f>
        <v>0</v>
      </c>
      <c r="AI2">
        <f>BDH("BBY US Equity","IS_DEPR_EXP","1993-06-18","2026-05-02","Per=Y","Days=T","Dir=V")</f>
        <v>0</v>
      </c>
      <c r="AK2">
        <f>BDH("BBY US Equity","CF_CASH_FROM_OPER","1993-06-18","2026-05-02","Per=Y","Days=T","Dir=V")</f>
        <v>0</v>
      </c>
      <c r="AM2">
        <f>BDH("BBY US Equity","CAPITAL_EXPEND","1993-06-18","2026-05-02","Per=Y","Days=T","Dir=V")</f>
        <v>0</v>
      </c>
      <c r="AO2">
        <f>BDH("BBY US Equity","CF_FREE_CASH_FLOW","1993-06-18","2026-05-02","Per=Y","Days=T","Dir=V")</f>
        <v>0</v>
      </c>
      <c r="AQ2">
        <f>BDH("BBY US Equity","PX_LAST","1993-06-18","2026-05-02","Per=M","Days=T","Dir=V")</f>
        <v>0</v>
      </c>
      <c r="AS2">
        <f>BDH("BBY US Equity","CUR_MKT_CAP","1993-06-18","2026-05-02","Per=M","Days=T","Dir=V")</f>
        <v>0</v>
      </c>
      <c r="AU2">
        <f>BDH("BBY US Equity","EQY_SH_OUT","1993-06-18","2026-05-02","Per=M","Days=T","Dir=V")</f>
        <v>0</v>
      </c>
      <c r="AW2">
        <f>BDH("BBY US Equity","PX_VOLUME","1993-06-18","2026-05-02","Per=M","Days=T","Dir=V")</f>
        <v>0</v>
      </c>
      <c r="AY2">
        <f>BDH("BBY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BDH("BC US Equity","BS_TOT_ASSET","1993-06-18","2026-05-02","Per=Y","Days=T","Dir=V")</f>
        <v>0</v>
      </c>
      <c r="C2">
        <f>BDH("BC US Equity","BS_TOT_LIAB2","1993-06-18","2026-05-02","Per=Y","Days=T","Dir=V")</f>
        <v>0</v>
      </c>
      <c r="E2">
        <f>BDH("BC US Equity","SHORT_AND_LONG_TERM_DEBT","1993-06-18","2026-05-02","Per=Y","Days=T","Dir=V")</f>
        <v>0</v>
      </c>
      <c r="G2">
        <f>BDH("BC US Equity","BS_ST_BORROW","1993-06-18","2026-05-02","Per=Y","Days=T","Dir=V")</f>
        <v>0</v>
      </c>
      <c r="I2">
        <f>BDH("BC US Equity","BS_LT_BORROW","1993-06-18","2026-05-02","Per=Y","Days=T","Dir=V")</f>
        <v>0</v>
      </c>
      <c r="K2">
        <f>BDH("BC US Equity","BS_CASH_NEAR_CASH_ITEM","1993-06-18","2026-05-02","Per=Y","Days=T","Dir=V")</f>
        <v>0</v>
      </c>
      <c r="M2">
        <f>BDH("BC US Equity","BS_CUR_ASSET_REPORT","1993-06-18","2026-05-02","Per=Y","Days=T","Dir=V")</f>
        <v>0</v>
      </c>
      <c r="O2">
        <f>BDH("BC US Equity","BS_CUR_LIAB","1993-06-18","2026-05-02","Per=Y","Days=T","Dir=V")</f>
        <v>0</v>
      </c>
      <c r="Q2">
        <f>BDH("BC US Equity","BS_SHAREHOLDER_EQY_ENDING_PERIOD","1993-06-18","2026-05-02","Per=Y","Days=T","Dir=V")</f>
        <v>0</v>
      </c>
      <c r="S2">
        <f>BDH("BC US Equity","BS_ACCT_NOTE_RCV","1993-06-18","2026-05-02","Per=Y","Days=T","Dir=V")</f>
        <v>0</v>
      </c>
      <c r="U2">
        <f>BDH("BC US Equity","BS_INVENTORIES","1993-06-18","2026-05-02","Per=Y","Days=T","Dir=V")</f>
        <v>0</v>
      </c>
      <c r="W2">
        <f>BDH("BC US Equity","WORKING_CAPITAL","1993-06-18","2026-05-02","Per=Y","Days=T","Dir=V")</f>
        <v>0</v>
      </c>
      <c r="Y2">
        <f>BDH("BC US Equity","SALES_REV_TURN","1993-06-18","2026-05-02","Per=Y","Days=T","Dir=V")</f>
        <v>0</v>
      </c>
      <c r="AA2">
        <f>BDH("BC US Equity","EBIT","1993-06-18","2026-05-02","Per=Y","Days=T","Dir=V")</f>
        <v>0</v>
      </c>
      <c r="AC2">
        <f>BDH("BC US Equity","EBITDA","1993-06-18","2026-05-02","Per=Y","Days=T","Dir=V")</f>
        <v>0</v>
      </c>
      <c r="AE2">
        <f>BDH("BC US Equity","NET_INCOME","1993-06-18","2026-05-02","Per=Y","Days=T","Dir=V")</f>
        <v>0</v>
      </c>
      <c r="AG2">
        <f>BDH("BC US Equity","IS_INT_EXPENSE","1993-06-18","2026-05-02","Per=Y","Days=T","Dir=V")</f>
        <v>0</v>
      </c>
      <c r="AI2">
        <f>BDH("BC US Equity","IS_DEPR_EXP","1993-06-18","2026-05-02","Per=Y","Days=T","Dir=V")</f>
        <v>0</v>
      </c>
      <c r="AK2">
        <f>BDH("BC US Equity","CF_CASH_FROM_OPER","1993-06-18","2026-05-02","Per=Y","Days=T","Dir=V")</f>
        <v>0</v>
      </c>
      <c r="AM2">
        <f>BDH("BC US Equity","CAPITAL_EXPEND","1993-06-18","2026-05-02","Per=Y","Days=T","Dir=V")</f>
        <v>0</v>
      </c>
      <c r="AO2">
        <f>BDH("BC US Equity","CF_FREE_CASH_FLOW","1993-06-18","2026-05-02","Per=Y","Days=T","Dir=V")</f>
        <v>0</v>
      </c>
      <c r="AQ2">
        <f>BDH("BC US Equity","PX_LAST","1993-06-18","2026-05-02","Per=M","Days=T","Dir=V")</f>
        <v>0</v>
      </c>
      <c r="AS2">
        <f>BDH("BC US Equity","CUR_MKT_CAP","1993-06-18","2026-05-02","Per=M","Days=T","Dir=V")</f>
        <v>0</v>
      </c>
      <c r="AU2">
        <f>BDH("BC US Equity","EQY_SH_OUT","1993-06-18","2026-05-02","Per=M","Days=T","Dir=V")</f>
        <v>0</v>
      </c>
      <c r="AW2">
        <f>BDH("BC US Equity","PX_VOLUME","1993-06-18","2026-05-02","Per=M","Days=T","Dir=V")</f>
        <v>0</v>
      </c>
      <c r="AY2">
        <f>BDH("BC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BDH("BCAX US Equity","BS_TOT_ASSET","1993-06-18","2026-05-02","Per=Y","Days=T","Dir=V")</f>
        <v>0</v>
      </c>
      <c r="C2">
        <f>BDH("BCAX US Equity","BS_TOT_LIAB2","1993-06-18","2026-05-02","Per=Y","Days=T","Dir=V")</f>
        <v>0</v>
      </c>
      <c r="E2">
        <f>BDH("BCAX US Equity","SHORT_AND_LONG_TERM_DEBT","1993-06-18","2026-05-02","Per=Y","Days=T","Dir=V")</f>
        <v>0</v>
      </c>
      <c r="G2">
        <f>BDH("BCAX US Equity","BS_ST_BORROW","1993-06-18","2026-05-02","Per=Y","Days=T","Dir=V")</f>
        <v>0</v>
      </c>
      <c r="I2">
        <f>BDH("BCAX US Equity","BS_LT_BORROW","1993-06-18","2026-05-02","Per=Y","Days=T","Dir=V")</f>
        <v>0</v>
      </c>
      <c r="K2">
        <f>BDH("BCAX US Equity","BS_CASH_NEAR_CASH_ITEM","1993-06-18","2026-05-02","Per=Y","Days=T","Dir=V")</f>
        <v>0</v>
      </c>
      <c r="M2">
        <f>BDH("BCAX US Equity","BS_CUR_ASSET_REPORT","1993-06-18","2026-05-02","Per=Y","Days=T","Dir=V")</f>
        <v>0</v>
      </c>
      <c r="O2">
        <f>BDH("BCAX US Equity","BS_CUR_LIAB","1993-06-18","2026-05-02","Per=Y","Days=T","Dir=V")</f>
        <v>0</v>
      </c>
      <c r="Q2">
        <f>BDH("BCAX US Equity","BS_SHAREHOLDER_EQY_ENDING_PERIOD","1993-06-18","2026-05-02","Per=Y","Days=T","Dir=V")</f>
        <v>0</v>
      </c>
      <c r="S2">
        <f>BDH("BCAX US Equity","BS_ACCT_NOTE_RCV","1993-06-18","2026-05-02","Per=Y","Days=T","Dir=V")</f>
        <v>0</v>
      </c>
      <c r="U2">
        <f>BDH("BCAX US Equity","BS_INVENTORIES","1993-06-18","2026-05-02","Per=Y","Days=T","Dir=V")</f>
        <v>0</v>
      </c>
      <c r="W2">
        <f>BDH("BCAX US Equity","WORKING_CAPITAL","1993-06-18","2026-05-02","Per=Y","Days=T","Dir=V")</f>
        <v>0</v>
      </c>
      <c r="Y2">
        <f>BDH("BCAX US Equity","SALES_REV_TURN","1993-06-18","2026-05-02","Per=Y","Days=T","Dir=V")</f>
        <v>0</v>
      </c>
      <c r="AA2">
        <f>BDH("BCAX US Equity","EBIT","1993-06-18","2026-05-02","Per=Y","Days=T","Dir=V")</f>
        <v>0</v>
      </c>
      <c r="AC2">
        <f>BDH("BCAX US Equity","EBITDA","1993-06-18","2026-05-02","Per=Y","Days=T","Dir=V")</f>
        <v>0</v>
      </c>
      <c r="AE2">
        <f>BDH("BCAX US Equity","NET_INCOME","1993-06-18","2026-05-02","Per=Y","Days=T","Dir=V")</f>
        <v>0</v>
      </c>
      <c r="AG2">
        <f>BDH("BCAX US Equity","IS_INT_EXPENSE","1993-06-18","2026-05-02","Per=Y","Days=T","Dir=V")</f>
        <v>0</v>
      </c>
      <c r="AI2">
        <f>BDH("BCAX US Equity","IS_DEPR_EXP","1993-06-18","2026-05-02","Per=Y","Days=T","Dir=V")</f>
        <v>0</v>
      </c>
      <c r="AK2">
        <f>BDH("BCAX US Equity","CF_CASH_FROM_OPER","1993-06-18","2026-05-02","Per=Y","Days=T","Dir=V")</f>
        <v>0</v>
      </c>
      <c r="AM2">
        <f>BDH("BCAX US Equity","CAPITAL_EXPEND","1993-06-18","2026-05-02","Per=Y","Days=T","Dir=V")</f>
        <v>0</v>
      </c>
      <c r="AO2">
        <f>BDH("BCAX US Equity","CF_FREE_CASH_FLOW","1993-06-18","2026-05-02","Per=Y","Days=T","Dir=V")</f>
        <v>0</v>
      </c>
      <c r="AQ2">
        <f>BDH("BCAX US Equity","PX_LAST","1993-06-18","2026-05-02","Per=M","Days=T","Dir=V")</f>
        <v>0</v>
      </c>
      <c r="AS2">
        <f>BDH("BCAX US Equity","CUR_MKT_CAP","1993-06-18","2026-05-02","Per=M","Days=T","Dir=V")</f>
        <v>0</v>
      </c>
      <c r="AU2">
        <f>BDH("BCAX US Equity","EQY_SH_OUT","1993-06-18","2026-05-02","Per=M","Days=T","Dir=V")</f>
        <v>0</v>
      </c>
      <c r="AW2">
        <f>BDH("BCAX US Equity","PX_VOLUME","1993-06-18","2026-05-02","Per=M","Days=T","Dir=V")</f>
        <v>0</v>
      </c>
      <c r="AY2">
        <f>BDH("BCAX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BDH("BCC US Equity","BS_TOT_ASSET","1993-06-18","2026-05-02","Per=Y","Days=T","Dir=V")</f>
        <v>0</v>
      </c>
      <c r="C2">
        <f>BDH("BCC US Equity","BS_TOT_LIAB2","1993-06-18","2026-05-02","Per=Y","Days=T","Dir=V")</f>
        <v>0</v>
      </c>
      <c r="E2">
        <f>BDH("BCC US Equity","SHORT_AND_LONG_TERM_DEBT","1993-06-18","2026-05-02","Per=Y","Days=T","Dir=V")</f>
        <v>0</v>
      </c>
      <c r="G2">
        <f>BDH("BCC US Equity","BS_ST_BORROW","1993-06-18","2026-05-02","Per=Y","Days=T","Dir=V")</f>
        <v>0</v>
      </c>
      <c r="I2">
        <f>BDH("BCC US Equity","BS_LT_BORROW","1993-06-18","2026-05-02","Per=Y","Days=T","Dir=V")</f>
        <v>0</v>
      </c>
      <c r="K2">
        <f>BDH("BCC US Equity","BS_CASH_NEAR_CASH_ITEM","1993-06-18","2026-05-02","Per=Y","Days=T","Dir=V")</f>
        <v>0</v>
      </c>
      <c r="M2">
        <f>BDH("BCC US Equity","BS_CUR_ASSET_REPORT","1993-06-18","2026-05-02","Per=Y","Days=T","Dir=V")</f>
        <v>0</v>
      </c>
      <c r="O2">
        <f>BDH("BCC US Equity","BS_CUR_LIAB","1993-06-18","2026-05-02","Per=Y","Days=T","Dir=V")</f>
        <v>0</v>
      </c>
      <c r="Q2">
        <f>BDH("BCC US Equity","BS_SHAREHOLDER_EQY_ENDING_PERIOD","1993-06-18","2026-05-02","Per=Y","Days=T","Dir=V")</f>
        <v>0</v>
      </c>
      <c r="S2">
        <f>BDH("BCC US Equity","BS_ACCT_NOTE_RCV","1993-06-18","2026-05-02","Per=Y","Days=T","Dir=V")</f>
        <v>0</v>
      </c>
      <c r="U2">
        <f>BDH("BCC US Equity","BS_INVENTORIES","1993-06-18","2026-05-02","Per=Y","Days=T","Dir=V")</f>
        <v>0</v>
      </c>
      <c r="W2">
        <f>BDH("BCC US Equity","WORKING_CAPITAL","1993-06-18","2026-05-02","Per=Y","Days=T","Dir=V")</f>
        <v>0</v>
      </c>
      <c r="Y2">
        <f>BDH("BCC US Equity","SALES_REV_TURN","1993-06-18","2026-05-02","Per=Y","Days=T","Dir=V")</f>
        <v>0</v>
      </c>
      <c r="AA2">
        <f>BDH("BCC US Equity","EBIT","1993-06-18","2026-05-02","Per=Y","Days=T","Dir=V")</f>
        <v>0</v>
      </c>
      <c r="AC2">
        <f>BDH("BCC US Equity","EBITDA","1993-06-18","2026-05-02","Per=Y","Days=T","Dir=V")</f>
        <v>0</v>
      </c>
      <c r="AE2">
        <f>BDH("BCC US Equity","NET_INCOME","1993-06-18","2026-05-02","Per=Y","Days=T","Dir=V")</f>
        <v>0</v>
      </c>
      <c r="AG2">
        <f>BDH("BCC US Equity","IS_INT_EXPENSE","1993-06-18","2026-05-02","Per=Y","Days=T","Dir=V")</f>
        <v>0</v>
      </c>
      <c r="AI2">
        <f>BDH("BCC US Equity","IS_DEPR_EXP","1993-06-18","2026-05-02","Per=Y","Days=T","Dir=V")</f>
        <v>0</v>
      </c>
      <c r="AK2">
        <f>BDH("BCC US Equity","CF_CASH_FROM_OPER","1993-06-18","2026-05-02","Per=Y","Days=T","Dir=V")</f>
        <v>0</v>
      </c>
      <c r="AM2">
        <f>BDH("BCC US Equity","CAPITAL_EXPEND","1993-06-18","2026-05-02","Per=Y","Days=T","Dir=V")</f>
        <v>0</v>
      </c>
      <c r="AO2">
        <f>BDH("BCC US Equity","CF_FREE_CASH_FLOW","1993-06-18","2026-05-02","Per=Y","Days=T","Dir=V")</f>
        <v>0</v>
      </c>
      <c r="AQ2">
        <f>BDH("BCC US Equity","PX_LAST","1993-06-18","2026-05-02","Per=M","Days=T","Dir=V")</f>
        <v>0</v>
      </c>
      <c r="AS2">
        <f>BDH("BCC US Equity","CUR_MKT_CAP","1993-06-18","2026-05-02","Per=M","Days=T","Dir=V")</f>
        <v>0</v>
      </c>
      <c r="AU2">
        <f>BDH("BCC US Equity","EQY_SH_OUT","1993-06-18","2026-05-02","Per=M","Days=T","Dir=V")</f>
        <v>0</v>
      </c>
      <c r="AW2">
        <f>BDH("BCC US Equity","PX_VOLUME","1993-06-18","2026-05-02","Per=M","Days=T","Dir=V")</f>
        <v>0</v>
      </c>
      <c r="AY2">
        <f>BDH("BCC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BDH("BCDA US Equity","BS_TOT_ASSET","1993-06-18","2026-05-02","Per=Y","Days=T","Dir=V")</f>
        <v>0</v>
      </c>
      <c r="C2">
        <f>BDH("BCDA US Equity","BS_TOT_LIAB2","1993-06-18","2026-05-02","Per=Y","Days=T","Dir=V")</f>
        <v>0</v>
      </c>
      <c r="E2">
        <f>BDH("BCDA US Equity","SHORT_AND_LONG_TERM_DEBT","1993-06-18","2026-05-02","Per=Y","Days=T","Dir=V")</f>
        <v>0</v>
      </c>
      <c r="G2">
        <f>BDH("BCDA US Equity","BS_ST_BORROW","1993-06-18","2026-05-02","Per=Y","Days=T","Dir=V")</f>
        <v>0</v>
      </c>
      <c r="I2">
        <f>BDH("BCDA US Equity","BS_LT_BORROW","1993-06-18","2026-05-02","Per=Y","Days=T","Dir=V")</f>
        <v>0</v>
      </c>
      <c r="K2">
        <f>BDH("BCDA US Equity","BS_CASH_NEAR_CASH_ITEM","1993-06-18","2026-05-02","Per=Y","Days=T","Dir=V")</f>
        <v>0</v>
      </c>
      <c r="M2">
        <f>BDH("BCDA US Equity","BS_CUR_ASSET_REPORT","1993-06-18","2026-05-02","Per=Y","Days=T","Dir=V")</f>
        <v>0</v>
      </c>
      <c r="O2">
        <f>BDH("BCDA US Equity","BS_CUR_LIAB","1993-06-18","2026-05-02","Per=Y","Days=T","Dir=V")</f>
        <v>0</v>
      </c>
      <c r="Q2">
        <f>BDH("BCDA US Equity","BS_SHAREHOLDER_EQY_ENDING_PERIOD","1993-06-18","2026-05-02","Per=Y","Days=T","Dir=V")</f>
        <v>0</v>
      </c>
      <c r="S2">
        <f>BDH("BCDA US Equity","BS_ACCT_NOTE_RCV","1993-06-18","2026-05-02","Per=Y","Days=T","Dir=V")</f>
        <v>0</v>
      </c>
      <c r="U2">
        <f>BDH("BCDA US Equity","BS_INVENTORIES","1993-06-18","2026-05-02","Per=Y","Days=T","Dir=V")</f>
        <v>0</v>
      </c>
      <c r="W2">
        <f>BDH("BCDA US Equity","WORKING_CAPITAL","1993-06-18","2026-05-02","Per=Y","Days=T","Dir=V")</f>
        <v>0</v>
      </c>
      <c r="Y2">
        <f>BDH("BCDA US Equity","SALES_REV_TURN","1993-06-18","2026-05-02","Per=Y","Days=T","Dir=V")</f>
        <v>0</v>
      </c>
      <c r="AA2">
        <f>BDH("BCDA US Equity","EBIT","1993-06-18","2026-05-02","Per=Y","Days=T","Dir=V")</f>
        <v>0</v>
      </c>
      <c r="AC2">
        <f>BDH("BCDA US Equity","EBITDA","1993-06-18","2026-05-02","Per=Y","Days=T","Dir=V")</f>
        <v>0</v>
      </c>
      <c r="AE2">
        <f>BDH("BCDA US Equity","NET_INCOME","1993-06-18","2026-05-02","Per=Y","Days=T","Dir=V")</f>
        <v>0</v>
      </c>
      <c r="AG2">
        <f>BDH("BCDA US Equity","IS_INT_EXPENSE","1993-06-18","2026-05-02","Per=Y","Days=T","Dir=V")</f>
        <v>0</v>
      </c>
      <c r="AI2">
        <f>BDH("BCDA US Equity","IS_DEPR_EXP","1993-06-18","2026-05-02","Per=Y","Days=T","Dir=V")</f>
        <v>0</v>
      </c>
      <c r="AK2">
        <f>BDH("BCDA US Equity","CF_CASH_FROM_OPER","1993-06-18","2026-05-02","Per=Y","Days=T","Dir=V")</f>
        <v>0</v>
      </c>
      <c r="AM2">
        <f>BDH("BCDA US Equity","CAPITAL_EXPEND","1993-06-18","2026-05-02","Per=Y","Days=T","Dir=V")</f>
        <v>0</v>
      </c>
      <c r="AO2">
        <f>BDH("BCDA US Equity","CF_FREE_CASH_FLOW","1993-06-18","2026-05-02","Per=Y","Days=T","Dir=V")</f>
        <v>0</v>
      </c>
      <c r="AQ2">
        <f>BDH("BCDA US Equity","PX_LAST","1993-06-18","2026-05-02","Per=M","Days=T","Dir=V")</f>
        <v>0</v>
      </c>
      <c r="AS2">
        <f>BDH("BCDA US Equity","CUR_MKT_CAP","1993-06-18","2026-05-02","Per=M","Days=T","Dir=V")</f>
        <v>0</v>
      </c>
      <c r="AU2">
        <f>BDH("BCDA US Equity","EQY_SH_OUT","1993-06-18","2026-05-02","Per=M","Days=T","Dir=V")</f>
        <v>0</v>
      </c>
      <c r="AW2">
        <f>BDH("BCDA US Equity","PX_VOLUME","1993-06-18","2026-05-02","Per=M","Days=T","Dir=V")</f>
        <v>0</v>
      </c>
      <c r="AY2">
        <f>BDH("BCDA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BDH("BCO US Equity","BS_TOT_ASSET","1993-06-18","2026-05-02","Per=Y","Days=T","Dir=V")</f>
        <v>0</v>
      </c>
      <c r="C2">
        <f>BDH("BCO US Equity","BS_TOT_LIAB2","1993-06-18","2026-05-02","Per=Y","Days=T","Dir=V")</f>
        <v>0</v>
      </c>
      <c r="E2">
        <f>BDH("BCO US Equity","SHORT_AND_LONG_TERM_DEBT","1993-06-18","2026-05-02","Per=Y","Days=T","Dir=V")</f>
        <v>0</v>
      </c>
      <c r="G2">
        <f>BDH("BCO US Equity","BS_ST_BORROW","1993-06-18","2026-05-02","Per=Y","Days=T","Dir=V")</f>
        <v>0</v>
      </c>
      <c r="I2">
        <f>BDH("BCO US Equity","BS_LT_BORROW","1993-06-18","2026-05-02","Per=Y","Days=T","Dir=V")</f>
        <v>0</v>
      </c>
      <c r="K2">
        <f>BDH("BCO US Equity","BS_CASH_NEAR_CASH_ITEM","1993-06-18","2026-05-02","Per=Y","Days=T","Dir=V")</f>
        <v>0</v>
      </c>
      <c r="M2">
        <f>BDH("BCO US Equity","BS_CUR_ASSET_REPORT","1993-06-18","2026-05-02","Per=Y","Days=T","Dir=V")</f>
        <v>0</v>
      </c>
      <c r="O2">
        <f>BDH("BCO US Equity","BS_CUR_LIAB","1993-06-18","2026-05-02","Per=Y","Days=T","Dir=V")</f>
        <v>0</v>
      </c>
      <c r="Q2">
        <f>BDH("BCO US Equity","BS_SHAREHOLDER_EQY_ENDING_PERIOD","1993-06-18","2026-05-02","Per=Y","Days=T","Dir=V")</f>
        <v>0</v>
      </c>
      <c r="S2">
        <f>BDH("BCO US Equity","BS_ACCT_NOTE_RCV","1993-06-18","2026-05-02","Per=Y","Days=T","Dir=V")</f>
        <v>0</v>
      </c>
      <c r="U2">
        <f>BDH("BCO US Equity","BS_INVENTORIES","1993-06-18","2026-05-02","Per=Y","Days=T","Dir=V")</f>
        <v>0</v>
      </c>
      <c r="W2">
        <f>BDH("BCO US Equity","WORKING_CAPITAL","1993-06-18","2026-05-02","Per=Y","Days=T","Dir=V")</f>
        <v>0</v>
      </c>
      <c r="Y2">
        <f>BDH("BCO US Equity","SALES_REV_TURN","1993-06-18","2026-05-02","Per=Y","Days=T","Dir=V")</f>
        <v>0</v>
      </c>
      <c r="AA2">
        <f>BDH("BCO US Equity","EBIT","1993-06-18","2026-05-02","Per=Y","Days=T","Dir=V")</f>
        <v>0</v>
      </c>
      <c r="AC2">
        <f>BDH("BCO US Equity","EBITDA","1993-06-18","2026-05-02","Per=Y","Days=T","Dir=V")</f>
        <v>0</v>
      </c>
      <c r="AE2">
        <f>BDH("BCO US Equity","NET_INCOME","1993-06-18","2026-05-02","Per=Y","Days=T","Dir=V")</f>
        <v>0</v>
      </c>
      <c r="AG2">
        <f>BDH("BCO US Equity","IS_INT_EXPENSE","1993-06-18","2026-05-02","Per=Y","Days=T","Dir=V")</f>
        <v>0</v>
      </c>
      <c r="AI2">
        <f>BDH("BCO US Equity","IS_DEPR_EXP","1993-06-18","2026-05-02","Per=Y","Days=T","Dir=V")</f>
        <v>0</v>
      </c>
      <c r="AK2">
        <f>BDH("BCO US Equity","CF_CASH_FROM_OPER","1993-06-18","2026-05-02","Per=Y","Days=T","Dir=V")</f>
        <v>0</v>
      </c>
      <c r="AM2">
        <f>BDH("BCO US Equity","CAPITAL_EXPEND","1993-06-18","2026-05-02","Per=Y","Days=T","Dir=V")</f>
        <v>0</v>
      </c>
      <c r="AO2">
        <f>BDH("BCO US Equity","CF_FREE_CASH_FLOW","1993-06-18","2026-05-02","Per=Y","Days=T","Dir=V")</f>
        <v>0</v>
      </c>
      <c r="AQ2">
        <f>BDH("BCO US Equity","PX_LAST","1993-06-18","2026-05-02","Per=M","Days=T","Dir=V")</f>
        <v>0</v>
      </c>
      <c r="AS2">
        <f>BDH("BCO US Equity","CUR_MKT_CAP","1993-06-18","2026-05-02","Per=M","Days=T","Dir=V")</f>
        <v>0</v>
      </c>
      <c r="AU2">
        <f>BDH("BCO US Equity","EQY_SH_OUT","1993-06-18","2026-05-02","Per=M","Days=T","Dir=V")</f>
        <v>0</v>
      </c>
      <c r="AW2">
        <f>BDH("BCO US Equity","PX_VOLUME","1993-06-18","2026-05-02","Per=M","Days=T","Dir=V")</f>
        <v>0</v>
      </c>
      <c r="AY2">
        <f>BDH("BCO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BDH("BCPC US Equity","BS_TOT_ASSET","1993-06-18","2026-05-02","Per=Y","Days=T","Dir=V")</f>
        <v>0</v>
      </c>
      <c r="C2">
        <f>BDH("BCPC US Equity","BS_TOT_LIAB2","1993-06-18","2026-05-02","Per=Y","Days=T","Dir=V")</f>
        <v>0</v>
      </c>
      <c r="E2">
        <f>BDH("BCPC US Equity","SHORT_AND_LONG_TERM_DEBT","1993-06-18","2026-05-02","Per=Y","Days=T","Dir=V")</f>
        <v>0</v>
      </c>
      <c r="G2">
        <f>BDH("BCPC US Equity","BS_ST_BORROW","1993-06-18","2026-05-02","Per=Y","Days=T","Dir=V")</f>
        <v>0</v>
      </c>
      <c r="I2">
        <f>BDH("BCPC US Equity","BS_LT_BORROW","1993-06-18","2026-05-02","Per=Y","Days=T","Dir=V")</f>
        <v>0</v>
      </c>
      <c r="K2">
        <f>BDH("BCPC US Equity","BS_CASH_NEAR_CASH_ITEM","1993-06-18","2026-05-02","Per=Y","Days=T","Dir=V")</f>
        <v>0</v>
      </c>
      <c r="M2">
        <f>BDH("BCPC US Equity","BS_CUR_ASSET_REPORT","1993-06-18","2026-05-02","Per=Y","Days=T","Dir=V")</f>
        <v>0</v>
      </c>
      <c r="O2">
        <f>BDH("BCPC US Equity","BS_CUR_LIAB","1993-06-18","2026-05-02","Per=Y","Days=T","Dir=V")</f>
        <v>0</v>
      </c>
      <c r="Q2">
        <f>BDH("BCPC US Equity","BS_SHAREHOLDER_EQY_ENDING_PERIOD","1993-06-18","2026-05-02","Per=Y","Days=T","Dir=V")</f>
        <v>0</v>
      </c>
      <c r="S2">
        <f>BDH("BCPC US Equity","BS_ACCT_NOTE_RCV","1993-06-18","2026-05-02","Per=Y","Days=T","Dir=V")</f>
        <v>0</v>
      </c>
      <c r="U2">
        <f>BDH("BCPC US Equity","BS_INVENTORIES","1993-06-18","2026-05-02","Per=Y","Days=T","Dir=V")</f>
        <v>0</v>
      </c>
      <c r="W2">
        <f>BDH("BCPC US Equity","WORKING_CAPITAL","1993-06-18","2026-05-02","Per=Y","Days=T","Dir=V")</f>
        <v>0</v>
      </c>
      <c r="Y2">
        <f>BDH("BCPC US Equity","SALES_REV_TURN","1993-06-18","2026-05-02","Per=Y","Days=T","Dir=V")</f>
        <v>0</v>
      </c>
      <c r="AA2">
        <f>BDH("BCPC US Equity","EBIT","1993-06-18","2026-05-02","Per=Y","Days=T","Dir=V")</f>
        <v>0</v>
      </c>
      <c r="AC2">
        <f>BDH("BCPC US Equity","EBITDA","1993-06-18","2026-05-02","Per=Y","Days=T","Dir=V")</f>
        <v>0</v>
      </c>
      <c r="AE2">
        <f>BDH("BCPC US Equity","NET_INCOME","1993-06-18","2026-05-02","Per=Y","Days=T","Dir=V")</f>
        <v>0</v>
      </c>
      <c r="AG2">
        <f>BDH("BCPC US Equity","IS_INT_EXPENSE","1993-06-18","2026-05-02","Per=Y","Days=T","Dir=V")</f>
        <v>0</v>
      </c>
      <c r="AI2">
        <f>BDH("BCPC US Equity","IS_DEPR_EXP","1993-06-18","2026-05-02","Per=Y","Days=T","Dir=V")</f>
        <v>0</v>
      </c>
      <c r="AK2">
        <f>BDH("BCPC US Equity","CF_CASH_FROM_OPER","1993-06-18","2026-05-02","Per=Y","Days=T","Dir=V")</f>
        <v>0</v>
      </c>
      <c r="AM2">
        <f>BDH("BCPC US Equity","CAPITAL_EXPEND","1993-06-18","2026-05-02","Per=Y","Days=T","Dir=V")</f>
        <v>0</v>
      </c>
      <c r="AO2">
        <f>BDH("BCPC US Equity","CF_FREE_CASH_FLOW","1993-06-18","2026-05-02","Per=Y","Days=T","Dir=V")</f>
        <v>0</v>
      </c>
      <c r="AQ2">
        <f>BDH("BCPC US Equity","PX_LAST","1993-06-18","2026-05-02","Per=M","Days=T","Dir=V")</f>
        <v>0</v>
      </c>
      <c r="AS2">
        <f>BDH("BCPC US Equity","CUR_MKT_CAP","1993-06-18","2026-05-02","Per=M","Days=T","Dir=V")</f>
        <v>0</v>
      </c>
      <c r="AU2">
        <f>BDH("BCPC US Equity","EQY_SH_OUT","1993-06-18","2026-05-02","Per=M","Days=T","Dir=V")</f>
        <v>0</v>
      </c>
      <c r="AW2">
        <f>BDH("BCPC US Equity","PX_VOLUME","1993-06-18","2026-05-02","Per=M","Days=T","Dir=V")</f>
        <v>0</v>
      </c>
      <c r="AY2">
        <f>BDH("BCPC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BDH("BCRX US Equity","BS_TOT_ASSET","1993-06-18","2026-05-02","Per=Y","Days=T","Dir=V")</f>
        <v>0</v>
      </c>
      <c r="C2">
        <f>BDH("BCRX US Equity","BS_TOT_LIAB2","1993-06-18","2026-05-02","Per=Y","Days=T","Dir=V")</f>
        <v>0</v>
      </c>
      <c r="E2">
        <f>BDH("BCRX US Equity","SHORT_AND_LONG_TERM_DEBT","1993-06-18","2026-05-02","Per=Y","Days=T","Dir=V")</f>
        <v>0</v>
      </c>
      <c r="G2">
        <f>BDH("BCRX US Equity","BS_ST_BORROW","1993-06-18","2026-05-02","Per=Y","Days=T","Dir=V")</f>
        <v>0</v>
      </c>
      <c r="I2">
        <f>BDH("BCRX US Equity","BS_LT_BORROW","1993-06-18","2026-05-02","Per=Y","Days=T","Dir=V")</f>
        <v>0</v>
      </c>
      <c r="K2">
        <f>BDH("BCRX US Equity","BS_CASH_NEAR_CASH_ITEM","1993-06-18","2026-05-02","Per=Y","Days=T","Dir=V")</f>
        <v>0</v>
      </c>
      <c r="M2">
        <f>BDH("BCRX US Equity","BS_CUR_ASSET_REPORT","1993-06-18","2026-05-02","Per=Y","Days=T","Dir=V")</f>
        <v>0</v>
      </c>
      <c r="O2">
        <f>BDH("BCRX US Equity","BS_CUR_LIAB","1993-06-18","2026-05-02","Per=Y","Days=T","Dir=V")</f>
        <v>0</v>
      </c>
      <c r="Q2">
        <f>BDH("BCRX US Equity","BS_SHAREHOLDER_EQY_ENDING_PERIOD","1993-06-18","2026-05-02","Per=Y","Days=T","Dir=V")</f>
        <v>0</v>
      </c>
      <c r="S2">
        <f>BDH("BCRX US Equity","BS_ACCT_NOTE_RCV","1993-06-18","2026-05-02","Per=Y","Days=T","Dir=V")</f>
        <v>0</v>
      </c>
      <c r="U2">
        <f>BDH("BCRX US Equity","BS_INVENTORIES","1993-06-18","2026-05-02","Per=Y","Days=T","Dir=V")</f>
        <v>0</v>
      </c>
      <c r="W2">
        <f>BDH("BCRX US Equity","WORKING_CAPITAL","1993-06-18","2026-05-02","Per=Y","Days=T","Dir=V")</f>
        <v>0</v>
      </c>
      <c r="Y2">
        <f>BDH("BCRX US Equity","SALES_REV_TURN","1993-06-18","2026-05-02","Per=Y","Days=T","Dir=V")</f>
        <v>0</v>
      </c>
      <c r="AA2">
        <f>BDH("BCRX US Equity","EBIT","1993-06-18","2026-05-02","Per=Y","Days=T","Dir=V")</f>
        <v>0</v>
      </c>
      <c r="AC2">
        <f>BDH("BCRX US Equity","EBITDA","1993-06-18","2026-05-02","Per=Y","Days=T","Dir=V")</f>
        <v>0</v>
      </c>
      <c r="AE2">
        <f>BDH("BCRX US Equity","NET_INCOME","1993-06-18","2026-05-02","Per=Y","Days=T","Dir=V")</f>
        <v>0</v>
      </c>
      <c r="AG2">
        <f>BDH("BCRX US Equity","IS_INT_EXPENSE","1993-06-18","2026-05-02","Per=Y","Days=T","Dir=V")</f>
        <v>0</v>
      </c>
      <c r="AI2">
        <f>BDH("BCRX US Equity","IS_DEPR_EXP","1993-06-18","2026-05-02","Per=Y","Days=T","Dir=V")</f>
        <v>0</v>
      </c>
      <c r="AK2">
        <f>BDH("BCRX US Equity","CF_CASH_FROM_OPER","1993-06-18","2026-05-02","Per=Y","Days=T","Dir=V")</f>
        <v>0</v>
      </c>
      <c r="AM2">
        <f>BDH("BCRX US Equity","CAPITAL_EXPEND","1993-06-18","2026-05-02","Per=Y","Days=T","Dir=V")</f>
        <v>0</v>
      </c>
      <c r="AO2">
        <f>BDH("BCRX US Equity","CF_FREE_CASH_FLOW","1993-06-18","2026-05-02","Per=Y","Days=T","Dir=V")</f>
        <v>0</v>
      </c>
      <c r="AQ2">
        <f>BDH("BCRX US Equity","PX_LAST","1993-06-18","2026-05-02","Per=M","Days=T","Dir=V")</f>
        <v>0</v>
      </c>
      <c r="AS2">
        <f>BDH("BCRX US Equity","CUR_MKT_CAP","1993-06-18","2026-05-02","Per=M","Days=T","Dir=V")</f>
        <v>0</v>
      </c>
      <c r="AU2">
        <f>BDH("BCRX US Equity","EQY_SH_OUT","1993-06-18","2026-05-02","Per=M","Days=T","Dir=V")</f>
        <v>0</v>
      </c>
      <c r="AW2">
        <f>BDH("BCRX US Equity","PX_VOLUME","1993-06-18","2026-05-02","Per=M","Days=T","Dir=V")</f>
        <v>0</v>
      </c>
      <c r="AY2">
        <f>BDH("BCRX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BDH("BDC US Equity","BS_TOT_ASSET","1993-06-18","2026-05-02","Per=Y","Days=T","Dir=V")</f>
        <v>0</v>
      </c>
      <c r="C2">
        <f>BDH("BDC US Equity","BS_TOT_LIAB2","1993-06-18","2026-05-02","Per=Y","Days=T","Dir=V")</f>
        <v>0</v>
      </c>
      <c r="E2">
        <f>BDH("BDC US Equity","SHORT_AND_LONG_TERM_DEBT","1993-06-18","2026-05-02","Per=Y","Days=T","Dir=V")</f>
        <v>0</v>
      </c>
      <c r="G2">
        <f>BDH("BDC US Equity","BS_ST_BORROW","1993-06-18","2026-05-02","Per=Y","Days=T","Dir=V")</f>
        <v>0</v>
      </c>
      <c r="I2">
        <f>BDH("BDC US Equity","BS_LT_BORROW","1993-06-18","2026-05-02","Per=Y","Days=T","Dir=V")</f>
        <v>0</v>
      </c>
      <c r="K2">
        <f>BDH("BDC US Equity","BS_CASH_NEAR_CASH_ITEM","1993-06-18","2026-05-02","Per=Y","Days=T","Dir=V")</f>
        <v>0</v>
      </c>
      <c r="M2">
        <f>BDH("BDC US Equity","BS_CUR_ASSET_REPORT","1993-06-18","2026-05-02","Per=Y","Days=T","Dir=V")</f>
        <v>0</v>
      </c>
      <c r="O2">
        <f>BDH("BDC US Equity","BS_CUR_LIAB","1993-06-18","2026-05-02","Per=Y","Days=T","Dir=V")</f>
        <v>0</v>
      </c>
      <c r="Q2">
        <f>BDH("BDC US Equity","BS_SHAREHOLDER_EQY_ENDING_PERIOD","1993-06-18","2026-05-02","Per=Y","Days=T","Dir=V")</f>
        <v>0</v>
      </c>
      <c r="S2">
        <f>BDH("BDC US Equity","BS_ACCT_NOTE_RCV","1993-06-18","2026-05-02","Per=Y","Days=T","Dir=V")</f>
        <v>0</v>
      </c>
      <c r="U2">
        <f>BDH("BDC US Equity","BS_INVENTORIES","1993-06-18","2026-05-02","Per=Y","Days=T","Dir=V")</f>
        <v>0</v>
      </c>
      <c r="W2">
        <f>BDH("BDC US Equity","WORKING_CAPITAL","1993-06-18","2026-05-02","Per=Y","Days=T","Dir=V")</f>
        <v>0</v>
      </c>
      <c r="Y2">
        <f>BDH("BDC US Equity","SALES_REV_TURN","1993-06-18","2026-05-02","Per=Y","Days=T","Dir=V")</f>
        <v>0</v>
      </c>
      <c r="AA2">
        <f>BDH("BDC US Equity","EBIT","1993-06-18","2026-05-02","Per=Y","Days=T","Dir=V")</f>
        <v>0</v>
      </c>
      <c r="AC2">
        <f>BDH("BDC US Equity","EBITDA","1993-06-18","2026-05-02","Per=Y","Days=T","Dir=V")</f>
        <v>0</v>
      </c>
      <c r="AE2">
        <f>BDH("BDC US Equity","NET_INCOME","1993-06-18","2026-05-02","Per=Y","Days=T","Dir=V")</f>
        <v>0</v>
      </c>
      <c r="AG2">
        <f>BDH("BDC US Equity","IS_INT_EXPENSE","1993-06-18","2026-05-02","Per=Y","Days=T","Dir=V")</f>
        <v>0</v>
      </c>
      <c r="AI2">
        <f>BDH("BDC US Equity","IS_DEPR_EXP","1993-06-18","2026-05-02","Per=Y","Days=T","Dir=V")</f>
        <v>0</v>
      </c>
      <c r="AK2">
        <f>BDH("BDC US Equity","CF_CASH_FROM_OPER","1993-06-18","2026-05-02","Per=Y","Days=T","Dir=V")</f>
        <v>0</v>
      </c>
      <c r="AM2">
        <f>BDH("BDC US Equity","CAPITAL_EXPEND","1993-06-18","2026-05-02","Per=Y","Days=T","Dir=V")</f>
        <v>0</v>
      </c>
      <c r="AO2">
        <f>BDH("BDC US Equity","CF_FREE_CASH_FLOW","1993-06-18","2026-05-02","Per=Y","Days=T","Dir=V")</f>
        <v>0</v>
      </c>
      <c r="AQ2">
        <f>BDH("BDC US Equity","PX_LAST","1993-06-18","2026-05-02","Per=M","Days=T","Dir=V")</f>
        <v>0</v>
      </c>
      <c r="AS2">
        <f>BDH("BDC US Equity","CUR_MKT_CAP","1993-06-18","2026-05-02","Per=M","Days=T","Dir=V")</f>
        <v>0</v>
      </c>
      <c r="AU2">
        <f>BDH("BDC US Equity","EQY_SH_OUT","1993-06-18","2026-05-02","Per=M","Days=T","Dir=V")</f>
        <v>0</v>
      </c>
      <c r="AW2">
        <f>BDH("BDC US Equity","PX_VOLUME","1993-06-18","2026-05-02","Per=M","Days=T","Dir=V")</f>
        <v>0</v>
      </c>
      <c r="AY2">
        <f>BDH("BDC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BDH("BDL US Equity","BS_TOT_ASSET","1993-06-18","2026-05-02","Per=Y","Days=T","Dir=V")</f>
        <v>0</v>
      </c>
      <c r="C2">
        <f>BDH("BDL US Equity","BS_TOT_LIAB2","1993-06-18","2026-05-02","Per=Y","Days=T","Dir=V")</f>
        <v>0</v>
      </c>
      <c r="E2">
        <f>BDH("BDL US Equity","SHORT_AND_LONG_TERM_DEBT","1993-06-18","2026-05-02","Per=Y","Days=T","Dir=V")</f>
        <v>0</v>
      </c>
      <c r="G2">
        <f>BDH("BDL US Equity","BS_ST_BORROW","1993-06-18","2026-05-02","Per=Y","Days=T","Dir=V")</f>
        <v>0</v>
      </c>
      <c r="I2">
        <f>BDH("BDL US Equity","BS_LT_BORROW","1993-06-18","2026-05-02","Per=Y","Days=T","Dir=V")</f>
        <v>0</v>
      </c>
      <c r="K2">
        <f>BDH("BDL US Equity","BS_CASH_NEAR_CASH_ITEM","1993-06-18","2026-05-02","Per=Y","Days=T","Dir=V")</f>
        <v>0</v>
      </c>
      <c r="M2">
        <f>BDH("BDL US Equity","BS_CUR_ASSET_REPORT","1993-06-18","2026-05-02","Per=Y","Days=T","Dir=V")</f>
        <v>0</v>
      </c>
      <c r="O2">
        <f>BDH("BDL US Equity","BS_CUR_LIAB","1993-06-18","2026-05-02","Per=Y","Days=T","Dir=V")</f>
        <v>0</v>
      </c>
      <c r="Q2">
        <f>BDH("BDL US Equity","BS_SHAREHOLDER_EQY_ENDING_PERIOD","1993-06-18","2026-05-02","Per=Y","Days=T","Dir=V")</f>
        <v>0</v>
      </c>
      <c r="S2">
        <f>BDH("BDL US Equity","BS_ACCT_NOTE_RCV","1993-06-18","2026-05-02","Per=Y","Days=T","Dir=V")</f>
        <v>0</v>
      </c>
      <c r="U2">
        <f>BDH("BDL US Equity","BS_INVENTORIES","1993-06-18","2026-05-02","Per=Y","Days=T","Dir=V")</f>
        <v>0</v>
      </c>
      <c r="W2">
        <f>BDH("BDL US Equity","WORKING_CAPITAL","1993-06-18","2026-05-02","Per=Y","Days=T","Dir=V")</f>
        <v>0</v>
      </c>
      <c r="Y2">
        <f>BDH("BDL US Equity","SALES_REV_TURN","1993-06-18","2026-05-02","Per=Y","Days=T","Dir=V")</f>
        <v>0</v>
      </c>
      <c r="AA2">
        <f>BDH("BDL US Equity","EBIT","1993-06-18","2026-05-02","Per=Y","Days=T","Dir=V")</f>
        <v>0</v>
      </c>
      <c r="AC2">
        <f>BDH("BDL US Equity","EBITDA","1993-06-18","2026-05-02","Per=Y","Days=T","Dir=V")</f>
        <v>0</v>
      </c>
      <c r="AE2">
        <f>BDH("BDL US Equity","NET_INCOME","1993-06-18","2026-05-02","Per=Y","Days=T","Dir=V")</f>
        <v>0</v>
      </c>
      <c r="AG2">
        <f>BDH("BDL US Equity","IS_INT_EXPENSE","1993-06-18","2026-05-02","Per=Y","Days=T","Dir=V")</f>
        <v>0</v>
      </c>
      <c r="AI2">
        <f>BDH("BDL US Equity","IS_DEPR_EXP","1993-06-18","2026-05-02","Per=Y","Days=T","Dir=V")</f>
        <v>0</v>
      </c>
      <c r="AK2">
        <f>BDH("BDL US Equity","CF_CASH_FROM_OPER","1993-06-18","2026-05-02","Per=Y","Days=T","Dir=V")</f>
        <v>0</v>
      </c>
      <c r="AM2">
        <f>BDH("BDL US Equity","CAPITAL_EXPEND","1993-06-18","2026-05-02","Per=Y","Days=T","Dir=V")</f>
        <v>0</v>
      </c>
      <c r="AO2">
        <f>BDH("BDL US Equity","CF_FREE_CASH_FLOW","1993-06-18","2026-05-02","Per=Y","Days=T","Dir=V")</f>
        <v>0</v>
      </c>
      <c r="AQ2">
        <f>BDH("BDL US Equity","PX_LAST","1993-06-18","2026-05-02","Per=M","Days=T","Dir=V")</f>
        <v>0</v>
      </c>
      <c r="AS2">
        <f>BDH("BDL US Equity","CUR_MKT_CAP","1993-06-18","2026-05-02","Per=M","Days=T","Dir=V")</f>
        <v>0</v>
      </c>
      <c r="AU2">
        <f>BDH("BDL US Equity","EQY_SH_OUT","1993-06-18","2026-05-02","Per=M","Days=T","Dir=V")</f>
        <v>0</v>
      </c>
      <c r="AW2">
        <f>BDH("BDL US Equity","PX_VOLUME","1993-06-18","2026-05-02","Per=M","Days=T","Dir=V")</f>
        <v>0</v>
      </c>
      <c r="AY2">
        <f>BDH("BDL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BDH("BDSX US Equity","BS_TOT_ASSET","1993-06-18","2026-05-02","Per=Y","Days=T","Dir=V")</f>
        <v>0</v>
      </c>
      <c r="C2">
        <f>BDH("BDSX US Equity","BS_TOT_LIAB2","1993-06-18","2026-05-02","Per=Y","Days=T","Dir=V")</f>
        <v>0</v>
      </c>
      <c r="E2">
        <f>BDH("BDSX US Equity","SHORT_AND_LONG_TERM_DEBT","1993-06-18","2026-05-02","Per=Y","Days=T","Dir=V")</f>
        <v>0</v>
      </c>
      <c r="G2">
        <f>BDH("BDSX US Equity","BS_ST_BORROW","1993-06-18","2026-05-02","Per=Y","Days=T","Dir=V")</f>
        <v>0</v>
      </c>
      <c r="I2">
        <f>BDH("BDSX US Equity","BS_LT_BORROW","1993-06-18","2026-05-02","Per=Y","Days=T","Dir=V")</f>
        <v>0</v>
      </c>
      <c r="K2">
        <f>BDH("BDSX US Equity","BS_CASH_NEAR_CASH_ITEM","1993-06-18","2026-05-02","Per=Y","Days=T","Dir=V")</f>
        <v>0</v>
      </c>
      <c r="M2">
        <f>BDH("BDSX US Equity","BS_CUR_ASSET_REPORT","1993-06-18","2026-05-02","Per=Y","Days=T","Dir=V")</f>
        <v>0</v>
      </c>
      <c r="O2">
        <f>BDH("BDSX US Equity","BS_CUR_LIAB","1993-06-18","2026-05-02","Per=Y","Days=T","Dir=V")</f>
        <v>0</v>
      </c>
      <c r="Q2">
        <f>BDH("BDSX US Equity","BS_SHAREHOLDER_EQY_ENDING_PERIOD","1993-06-18","2026-05-02","Per=Y","Days=T","Dir=V")</f>
        <v>0</v>
      </c>
      <c r="S2">
        <f>BDH("BDSX US Equity","BS_ACCT_NOTE_RCV","1993-06-18","2026-05-02","Per=Y","Days=T","Dir=V")</f>
        <v>0</v>
      </c>
      <c r="U2">
        <f>BDH("BDSX US Equity","BS_INVENTORIES","1993-06-18","2026-05-02","Per=Y","Days=T","Dir=V")</f>
        <v>0</v>
      </c>
      <c r="W2">
        <f>BDH("BDSX US Equity","WORKING_CAPITAL","1993-06-18","2026-05-02","Per=Y","Days=T","Dir=V")</f>
        <v>0</v>
      </c>
      <c r="Y2">
        <f>BDH("BDSX US Equity","SALES_REV_TURN","1993-06-18","2026-05-02","Per=Y","Days=T","Dir=V")</f>
        <v>0</v>
      </c>
      <c r="AA2">
        <f>BDH("BDSX US Equity","EBIT","1993-06-18","2026-05-02","Per=Y","Days=T","Dir=V")</f>
        <v>0</v>
      </c>
      <c r="AC2">
        <f>BDH("BDSX US Equity","EBITDA","1993-06-18","2026-05-02","Per=Y","Days=T","Dir=V")</f>
        <v>0</v>
      </c>
      <c r="AE2">
        <f>BDH("BDSX US Equity","NET_INCOME","1993-06-18","2026-05-02","Per=Y","Days=T","Dir=V")</f>
        <v>0</v>
      </c>
      <c r="AG2">
        <f>BDH("BDSX US Equity","IS_INT_EXPENSE","1993-06-18","2026-05-02","Per=Y","Days=T","Dir=V")</f>
        <v>0</v>
      </c>
      <c r="AI2">
        <f>BDH("BDSX US Equity","IS_DEPR_EXP","1993-06-18","2026-05-02","Per=Y","Days=T","Dir=V")</f>
        <v>0</v>
      </c>
      <c r="AK2">
        <f>BDH("BDSX US Equity","CF_CASH_FROM_OPER","1993-06-18","2026-05-02","Per=Y","Days=T","Dir=V")</f>
        <v>0</v>
      </c>
      <c r="AM2">
        <f>BDH("BDSX US Equity","CAPITAL_EXPEND","1993-06-18","2026-05-02","Per=Y","Days=T","Dir=V")</f>
        <v>0</v>
      </c>
      <c r="AO2">
        <f>BDH("BDSX US Equity","CF_FREE_CASH_FLOW","1993-06-18","2026-05-02","Per=Y","Days=T","Dir=V")</f>
        <v>0</v>
      </c>
      <c r="AQ2">
        <f>BDH("BDSX US Equity","PX_LAST","1993-06-18","2026-05-02","Per=M","Days=T","Dir=V")</f>
        <v>0</v>
      </c>
      <c r="AS2">
        <f>BDH("BDSX US Equity","CUR_MKT_CAP","1993-06-18","2026-05-02","Per=M","Days=T","Dir=V")</f>
        <v>0</v>
      </c>
      <c r="AU2">
        <f>BDH("BDSX US Equity","EQY_SH_OUT","1993-06-18","2026-05-02","Per=M","Days=T","Dir=V")</f>
        <v>0</v>
      </c>
      <c r="AW2">
        <f>BDH("BDSX US Equity","PX_VOLUME","1993-06-18","2026-05-02","Per=M","Days=T","Dir=V")</f>
        <v>0</v>
      </c>
      <c r="AY2">
        <f>BDH("BDSX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BDH("BDTX US Equity","BS_TOT_ASSET","1993-06-18","2026-05-02","Per=Y","Days=T","Dir=V")</f>
        <v>0</v>
      </c>
      <c r="C2">
        <f>BDH("BDTX US Equity","BS_TOT_LIAB2","1993-06-18","2026-05-02","Per=Y","Days=T","Dir=V")</f>
        <v>0</v>
      </c>
      <c r="E2">
        <f>BDH("BDTX US Equity","SHORT_AND_LONG_TERM_DEBT","1993-06-18","2026-05-02","Per=Y","Days=T","Dir=V")</f>
        <v>0</v>
      </c>
      <c r="G2">
        <f>BDH("BDTX US Equity","BS_ST_BORROW","1993-06-18","2026-05-02","Per=Y","Days=T","Dir=V")</f>
        <v>0</v>
      </c>
      <c r="I2">
        <f>BDH("BDTX US Equity","BS_LT_BORROW","1993-06-18","2026-05-02","Per=Y","Days=T","Dir=V")</f>
        <v>0</v>
      </c>
      <c r="K2">
        <f>BDH("BDTX US Equity","BS_CASH_NEAR_CASH_ITEM","1993-06-18","2026-05-02","Per=Y","Days=T","Dir=V")</f>
        <v>0</v>
      </c>
      <c r="M2">
        <f>BDH("BDTX US Equity","BS_CUR_ASSET_REPORT","1993-06-18","2026-05-02","Per=Y","Days=T","Dir=V")</f>
        <v>0</v>
      </c>
      <c r="O2">
        <f>BDH("BDTX US Equity","BS_CUR_LIAB","1993-06-18","2026-05-02","Per=Y","Days=T","Dir=V")</f>
        <v>0</v>
      </c>
      <c r="Q2">
        <f>BDH("BDTX US Equity","BS_SHAREHOLDER_EQY_ENDING_PERIOD","1993-06-18","2026-05-02","Per=Y","Days=T","Dir=V")</f>
        <v>0</v>
      </c>
      <c r="S2">
        <f>BDH("BDTX US Equity","BS_ACCT_NOTE_RCV","1993-06-18","2026-05-02","Per=Y","Days=T","Dir=V")</f>
        <v>0</v>
      </c>
      <c r="U2">
        <f>BDH("BDTX US Equity","BS_INVENTORIES","1993-06-18","2026-05-02","Per=Y","Days=T","Dir=V")</f>
        <v>0</v>
      </c>
      <c r="W2">
        <f>BDH("BDTX US Equity","WORKING_CAPITAL","1993-06-18","2026-05-02","Per=Y","Days=T","Dir=V")</f>
        <v>0</v>
      </c>
      <c r="Y2">
        <f>BDH("BDTX US Equity","SALES_REV_TURN","1993-06-18","2026-05-02","Per=Y","Days=T","Dir=V")</f>
        <v>0</v>
      </c>
      <c r="AA2">
        <f>BDH("BDTX US Equity","EBIT","1993-06-18","2026-05-02","Per=Y","Days=T","Dir=V")</f>
        <v>0</v>
      </c>
      <c r="AC2">
        <f>BDH("BDTX US Equity","EBITDA","1993-06-18","2026-05-02","Per=Y","Days=T","Dir=V")</f>
        <v>0</v>
      </c>
      <c r="AE2">
        <f>BDH("BDTX US Equity","NET_INCOME","1993-06-18","2026-05-02","Per=Y","Days=T","Dir=V")</f>
        <v>0</v>
      </c>
      <c r="AG2">
        <f>BDH("BDTX US Equity","IS_INT_EXPENSE","1993-06-18","2026-05-02","Per=Y","Days=T","Dir=V")</f>
        <v>0</v>
      </c>
      <c r="AI2">
        <f>BDH("BDTX US Equity","IS_DEPR_EXP","1993-06-18","2026-05-02","Per=Y","Days=T","Dir=V")</f>
        <v>0</v>
      </c>
      <c r="AK2">
        <f>BDH("BDTX US Equity","CF_CASH_FROM_OPER","1993-06-18","2026-05-02","Per=Y","Days=T","Dir=V")</f>
        <v>0</v>
      </c>
      <c r="AM2">
        <f>BDH("BDTX US Equity","CAPITAL_EXPEND","1993-06-18","2026-05-02","Per=Y","Days=T","Dir=V")</f>
        <v>0</v>
      </c>
      <c r="AO2">
        <f>BDH("BDTX US Equity","CF_FREE_CASH_FLOW","1993-06-18","2026-05-02","Per=Y","Days=T","Dir=V")</f>
        <v>0</v>
      </c>
      <c r="AQ2">
        <f>BDH("BDTX US Equity","PX_LAST","1993-06-18","2026-05-02","Per=M","Days=T","Dir=V")</f>
        <v>0</v>
      </c>
      <c r="AS2">
        <f>BDH("BDTX US Equity","CUR_MKT_CAP","1993-06-18","2026-05-02","Per=M","Days=T","Dir=V")</f>
        <v>0</v>
      </c>
      <c r="AU2">
        <f>BDH("BDTX US Equity","EQY_SH_OUT","1993-06-18","2026-05-02","Per=M","Days=T","Dir=V")</f>
        <v>0</v>
      </c>
      <c r="AW2">
        <f>BDH("BDTX US Equity","PX_VOLUME","1993-06-18","2026-05-02","Per=M","Days=T","Dir=V")</f>
        <v>0</v>
      </c>
      <c r="AY2">
        <f>BDH("BDTX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BDH("BDX US Equity","BS_TOT_ASSET","1993-06-18","2026-05-02","Per=Y","Days=T","Dir=V")</f>
        <v>0</v>
      </c>
      <c r="C2">
        <f>BDH("BDX US Equity","BS_TOT_LIAB2","1993-06-18","2026-05-02","Per=Y","Days=T","Dir=V")</f>
        <v>0</v>
      </c>
      <c r="E2">
        <f>BDH("BDX US Equity","SHORT_AND_LONG_TERM_DEBT","1993-06-18","2026-05-02","Per=Y","Days=T","Dir=V")</f>
        <v>0</v>
      </c>
      <c r="G2">
        <f>BDH("BDX US Equity","BS_ST_BORROW","1993-06-18","2026-05-02","Per=Y","Days=T","Dir=V")</f>
        <v>0</v>
      </c>
      <c r="I2">
        <f>BDH("BDX US Equity","BS_LT_BORROW","1993-06-18","2026-05-02","Per=Y","Days=T","Dir=V")</f>
        <v>0</v>
      </c>
      <c r="K2">
        <f>BDH("BDX US Equity","BS_CASH_NEAR_CASH_ITEM","1993-06-18","2026-05-02","Per=Y","Days=T","Dir=V")</f>
        <v>0</v>
      </c>
      <c r="M2">
        <f>BDH("BDX US Equity","BS_CUR_ASSET_REPORT","1993-06-18","2026-05-02","Per=Y","Days=T","Dir=V")</f>
        <v>0</v>
      </c>
      <c r="O2">
        <f>BDH("BDX US Equity","BS_CUR_LIAB","1993-06-18","2026-05-02","Per=Y","Days=T","Dir=V")</f>
        <v>0</v>
      </c>
      <c r="Q2">
        <f>BDH("BDX US Equity","BS_SHAREHOLDER_EQY_ENDING_PERIOD","1993-06-18","2026-05-02","Per=Y","Days=T","Dir=V")</f>
        <v>0</v>
      </c>
      <c r="S2">
        <f>BDH("BDX US Equity","BS_ACCT_NOTE_RCV","1993-06-18","2026-05-02","Per=Y","Days=T","Dir=V")</f>
        <v>0</v>
      </c>
      <c r="U2">
        <f>BDH("BDX US Equity","BS_INVENTORIES","1993-06-18","2026-05-02","Per=Y","Days=T","Dir=V")</f>
        <v>0</v>
      </c>
      <c r="W2">
        <f>BDH("BDX US Equity","WORKING_CAPITAL","1993-06-18","2026-05-02","Per=Y","Days=T","Dir=V")</f>
        <v>0</v>
      </c>
      <c r="Y2">
        <f>BDH("BDX US Equity","SALES_REV_TURN","1993-06-18","2026-05-02","Per=Y","Days=T","Dir=V")</f>
        <v>0</v>
      </c>
      <c r="AA2">
        <f>BDH("BDX US Equity","EBIT","1993-06-18","2026-05-02","Per=Y","Days=T","Dir=V")</f>
        <v>0</v>
      </c>
      <c r="AC2">
        <f>BDH("BDX US Equity","EBITDA","1993-06-18","2026-05-02","Per=Y","Days=T","Dir=V")</f>
        <v>0</v>
      </c>
      <c r="AE2">
        <f>BDH("BDX US Equity","NET_INCOME","1993-06-18","2026-05-02","Per=Y","Days=T","Dir=V")</f>
        <v>0</v>
      </c>
      <c r="AG2">
        <f>BDH("BDX US Equity","IS_INT_EXPENSE","1993-06-18","2026-05-02","Per=Y","Days=T","Dir=V")</f>
        <v>0</v>
      </c>
      <c r="AI2">
        <f>BDH("BDX US Equity","IS_DEPR_EXP","1993-06-18","2026-05-02","Per=Y","Days=T","Dir=V")</f>
        <v>0</v>
      </c>
      <c r="AK2">
        <f>BDH("BDX US Equity","CF_CASH_FROM_OPER","1993-06-18","2026-05-02","Per=Y","Days=T","Dir=V")</f>
        <v>0</v>
      </c>
      <c r="AM2">
        <f>BDH("BDX US Equity","CAPITAL_EXPEND","1993-06-18","2026-05-02","Per=Y","Days=T","Dir=V")</f>
        <v>0</v>
      </c>
      <c r="AO2">
        <f>BDH("BDX US Equity","CF_FREE_CASH_FLOW","1993-06-18","2026-05-02","Per=Y","Days=T","Dir=V")</f>
        <v>0</v>
      </c>
      <c r="AQ2">
        <f>BDH("BDX US Equity","PX_LAST","1993-06-18","2026-05-02","Per=M","Days=T","Dir=V")</f>
        <v>0</v>
      </c>
      <c r="AS2">
        <f>BDH("BDX US Equity","CUR_MKT_CAP","1993-06-18","2026-05-02","Per=M","Days=T","Dir=V")</f>
        <v>0</v>
      </c>
      <c r="AU2">
        <f>BDH("BDX US Equity","EQY_SH_OUT","1993-06-18","2026-05-02","Per=M","Days=T","Dir=V")</f>
        <v>0</v>
      </c>
      <c r="AW2">
        <f>BDH("BDX US Equity","PX_VOLUME","1993-06-18","2026-05-02","Per=M","Days=T","Dir=V")</f>
        <v>0</v>
      </c>
      <c r="AY2">
        <f>BDH("BDX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BDH("BE US Equity","BS_TOT_ASSET","1993-06-18","2026-05-02","Per=Y","Days=T","Dir=V")</f>
        <v>0</v>
      </c>
      <c r="C2">
        <f>BDH("BE US Equity","BS_TOT_LIAB2","1993-06-18","2026-05-02","Per=Y","Days=T","Dir=V")</f>
        <v>0</v>
      </c>
      <c r="E2">
        <f>BDH("BE US Equity","SHORT_AND_LONG_TERM_DEBT","1993-06-18","2026-05-02","Per=Y","Days=T","Dir=V")</f>
        <v>0</v>
      </c>
      <c r="G2">
        <f>BDH("BE US Equity","BS_ST_BORROW","1993-06-18","2026-05-02","Per=Y","Days=T","Dir=V")</f>
        <v>0</v>
      </c>
      <c r="I2">
        <f>BDH("BE US Equity","BS_LT_BORROW","1993-06-18","2026-05-02","Per=Y","Days=T","Dir=V")</f>
        <v>0</v>
      </c>
      <c r="K2">
        <f>BDH("BE US Equity","BS_CASH_NEAR_CASH_ITEM","1993-06-18","2026-05-02","Per=Y","Days=T","Dir=V")</f>
        <v>0</v>
      </c>
      <c r="M2">
        <f>BDH("BE US Equity","BS_CUR_ASSET_REPORT","1993-06-18","2026-05-02","Per=Y","Days=T","Dir=V")</f>
        <v>0</v>
      </c>
      <c r="O2">
        <f>BDH("BE US Equity","BS_CUR_LIAB","1993-06-18","2026-05-02","Per=Y","Days=T","Dir=V")</f>
        <v>0</v>
      </c>
      <c r="Q2">
        <f>BDH("BE US Equity","BS_SHAREHOLDER_EQY_ENDING_PERIOD","1993-06-18","2026-05-02","Per=Y","Days=T","Dir=V")</f>
        <v>0</v>
      </c>
      <c r="S2">
        <f>BDH("BE US Equity","BS_ACCT_NOTE_RCV","1993-06-18","2026-05-02","Per=Y","Days=T","Dir=V")</f>
        <v>0</v>
      </c>
      <c r="U2">
        <f>BDH("BE US Equity","BS_INVENTORIES","1993-06-18","2026-05-02","Per=Y","Days=T","Dir=V")</f>
        <v>0</v>
      </c>
      <c r="W2">
        <f>BDH("BE US Equity","WORKING_CAPITAL","1993-06-18","2026-05-02","Per=Y","Days=T","Dir=V")</f>
        <v>0</v>
      </c>
      <c r="Y2">
        <f>BDH("BE US Equity","SALES_REV_TURN","1993-06-18","2026-05-02","Per=Y","Days=T","Dir=V")</f>
        <v>0</v>
      </c>
      <c r="AA2">
        <f>BDH("BE US Equity","EBIT","1993-06-18","2026-05-02","Per=Y","Days=T","Dir=V")</f>
        <v>0</v>
      </c>
      <c r="AC2">
        <f>BDH("BE US Equity","EBITDA","1993-06-18","2026-05-02","Per=Y","Days=T","Dir=V")</f>
        <v>0</v>
      </c>
      <c r="AE2">
        <f>BDH("BE US Equity","NET_INCOME","1993-06-18","2026-05-02","Per=Y","Days=T","Dir=V")</f>
        <v>0</v>
      </c>
      <c r="AG2">
        <f>BDH("BE US Equity","IS_INT_EXPENSE","1993-06-18","2026-05-02","Per=Y","Days=T","Dir=V")</f>
        <v>0</v>
      </c>
      <c r="AI2">
        <f>BDH("BE US Equity","IS_DEPR_EXP","1993-06-18","2026-05-02","Per=Y","Days=T","Dir=V")</f>
        <v>0</v>
      </c>
      <c r="AK2">
        <f>BDH("BE US Equity","CF_CASH_FROM_OPER","1993-06-18","2026-05-02","Per=Y","Days=T","Dir=V")</f>
        <v>0</v>
      </c>
      <c r="AM2">
        <f>BDH("BE US Equity","CAPITAL_EXPEND","1993-06-18","2026-05-02","Per=Y","Days=T","Dir=V")</f>
        <v>0</v>
      </c>
      <c r="AO2">
        <f>BDH("BE US Equity","CF_FREE_CASH_FLOW","1993-06-18","2026-05-02","Per=Y","Days=T","Dir=V")</f>
        <v>0</v>
      </c>
      <c r="AQ2">
        <f>BDH("BE US Equity","PX_LAST","1993-06-18","2026-05-02","Per=M","Days=T","Dir=V")</f>
        <v>0</v>
      </c>
      <c r="AS2">
        <f>BDH("BE US Equity","CUR_MKT_CAP","1993-06-18","2026-05-02","Per=M","Days=T","Dir=V")</f>
        <v>0</v>
      </c>
      <c r="AU2">
        <f>BDH("BE US Equity","EQY_SH_OUT","1993-06-18","2026-05-02","Per=M","Days=T","Dir=V")</f>
        <v>0</v>
      </c>
      <c r="AW2">
        <f>BDH("BE US Equity","PX_VOLUME","1993-06-18","2026-05-02","Per=M","Days=T","Dir=V")</f>
        <v>0</v>
      </c>
      <c r="AY2">
        <f>BDH("BE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BDH("BEAM US Equity","BS_TOT_ASSET","1993-06-18","2026-05-02","Per=Y","Days=T","Dir=V")</f>
        <v>0</v>
      </c>
      <c r="C2">
        <f>BDH("BEAM US Equity","BS_TOT_LIAB2","1993-06-18","2026-05-02","Per=Y","Days=T","Dir=V")</f>
        <v>0</v>
      </c>
      <c r="E2">
        <f>BDH("BEAM US Equity","SHORT_AND_LONG_TERM_DEBT","1993-06-18","2026-05-02","Per=Y","Days=T","Dir=V")</f>
        <v>0</v>
      </c>
      <c r="G2">
        <f>BDH("BEAM US Equity","BS_ST_BORROW","1993-06-18","2026-05-02","Per=Y","Days=T","Dir=V")</f>
        <v>0</v>
      </c>
      <c r="I2">
        <f>BDH("BEAM US Equity","BS_LT_BORROW","1993-06-18","2026-05-02","Per=Y","Days=T","Dir=V")</f>
        <v>0</v>
      </c>
      <c r="K2">
        <f>BDH("BEAM US Equity","BS_CASH_NEAR_CASH_ITEM","1993-06-18","2026-05-02","Per=Y","Days=T","Dir=V")</f>
        <v>0</v>
      </c>
      <c r="M2">
        <f>BDH("BEAM US Equity","BS_CUR_ASSET_REPORT","1993-06-18","2026-05-02","Per=Y","Days=T","Dir=V")</f>
        <v>0</v>
      </c>
      <c r="O2">
        <f>BDH("BEAM US Equity","BS_CUR_LIAB","1993-06-18","2026-05-02","Per=Y","Days=T","Dir=V")</f>
        <v>0</v>
      </c>
      <c r="Q2">
        <f>BDH("BEAM US Equity","BS_SHAREHOLDER_EQY_ENDING_PERIOD","1993-06-18","2026-05-02","Per=Y","Days=T","Dir=V")</f>
        <v>0</v>
      </c>
      <c r="S2">
        <f>BDH("BEAM US Equity","BS_ACCT_NOTE_RCV","1993-06-18","2026-05-02","Per=Y","Days=T","Dir=V")</f>
        <v>0</v>
      </c>
      <c r="U2">
        <f>BDH("BEAM US Equity","BS_INVENTORIES","1993-06-18","2026-05-02","Per=Y","Days=T","Dir=V")</f>
        <v>0</v>
      </c>
      <c r="W2">
        <f>BDH("BEAM US Equity","WORKING_CAPITAL","1993-06-18","2026-05-02","Per=Y","Days=T","Dir=V")</f>
        <v>0</v>
      </c>
      <c r="Y2">
        <f>BDH("BEAM US Equity","SALES_REV_TURN","1993-06-18","2026-05-02","Per=Y","Days=T","Dir=V")</f>
        <v>0</v>
      </c>
      <c r="AA2">
        <f>BDH("BEAM US Equity","EBIT","1993-06-18","2026-05-02","Per=Y","Days=T","Dir=V")</f>
        <v>0</v>
      </c>
      <c r="AC2">
        <f>BDH("BEAM US Equity","EBITDA","1993-06-18","2026-05-02","Per=Y","Days=T","Dir=V")</f>
        <v>0</v>
      </c>
      <c r="AE2">
        <f>BDH("BEAM US Equity","NET_INCOME","1993-06-18","2026-05-02","Per=Y","Days=T","Dir=V")</f>
        <v>0</v>
      </c>
      <c r="AG2">
        <f>BDH("BEAM US Equity","IS_INT_EXPENSE","1993-06-18","2026-05-02","Per=Y","Days=T","Dir=V")</f>
        <v>0</v>
      </c>
      <c r="AI2">
        <f>BDH("BEAM US Equity","IS_DEPR_EXP","1993-06-18","2026-05-02","Per=Y","Days=T","Dir=V")</f>
        <v>0</v>
      </c>
      <c r="AK2">
        <f>BDH("BEAM US Equity","CF_CASH_FROM_OPER","1993-06-18","2026-05-02","Per=Y","Days=T","Dir=V")</f>
        <v>0</v>
      </c>
      <c r="AM2">
        <f>BDH("BEAM US Equity","CAPITAL_EXPEND","1993-06-18","2026-05-02","Per=Y","Days=T","Dir=V")</f>
        <v>0</v>
      </c>
      <c r="AO2">
        <f>BDH("BEAM US Equity","CF_FREE_CASH_FLOW","1993-06-18","2026-05-02","Per=Y","Days=T","Dir=V")</f>
        <v>0</v>
      </c>
      <c r="AQ2">
        <f>BDH("BEAM US Equity","PX_LAST","1993-06-18","2026-05-02","Per=M","Days=T","Dir=V")</f>
        <v>0</v>
      </c>
      <c r="AS2">
        <f>BDH("BEAM US Equity","CUR_MKT_CAP","1993-06-18","2026-05-02","Per=M","Days=T","Dir=V")</f>
        <v>0</v>
      </c>
      <c r="AU2">
        <f>BDH("BEAM US Equity","EQY_SH_OUT","1993-06-18","2026-05-02","Per=M","Days=T","Dir=V")</f>
        <v>0</v>
      </c>
      <c r="AW2">
        <f>BDH("BEAM US Equity","PX_VOLUME","1993-06-18","2026-05-02","Per=M","Days=T","Dir=V")</f>
        <v>0</v>
      </c>
      <c r="AY2">
        <f>BDH("BEAM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BDH("BEAT US Equity","BS_TOT_ASSET","1993-06-18","2026-05-02","Per=Y","Days=T","Dir=V")</f>
        <v>0</v>
      </c>
      <c r="C2">
        <f>BDH("BEAT US Equity","BS_TOT_LIAB2","1993-06-18","2026-05-02","Per=Y","Days=T","Dir=V")</f>
        <v>0</v>
      </c>
      <c r="E2">
        <f>BDH("BEAT US Equity","SHORT_AND_LONG_TERM_DEBT","1993-06-18","2026-05-02","Per=Y","Days=T","Dir=V")</f>
        <v>0</v>
      </c>
      <c r="G2">
        <f>BDH("BEAT US Equity","BS_ST_BORROW","1993-06-18","2026-05-02","Per=Y","Days=T","Dir=V")</f>
        <v>0</v>
      </c>
      <c r="I2">
        <f>BDH("BEAT US Equity","BS_LT_BORROW","1993-06-18","2026-05-02","Per=Y","Days=T","Dir=V")</f>
        <v>0</v>
      </c>
      <c r="K2">
        <f>BDH("BEAT US Equity","BS_CASH_NEAR_CASH_ITEM","1993-06-18","2026-05-02","Per=Y","Days=T","Dir=V")</f>
        <v>0</v>
      </c>
      <c r="M2">
        <f>BDH("BEAT US Equity","BS_CUR_ASSET_REPORT","1993-06-18","2026-05-02","Per=Y","Days=T","Dir=V")</f>
        <v>0</v>
      </c>
      <c r="O2">
        <f>BDH("BEAT US Equity","BS_CUR_LIAB","1993-06-18","2026-05-02","Per=Y","Days=T","Dir=V")</f>
        <v>0</v>
      </c>
      <c r="Q2">
        <f>BDH("BEAT US Equity","BS_SHAREHOLDER_EQY_ENDING_PERIOD","1993-06-18","2026-05-02","Per=Y","Days=T","Dir=V")</f>
        <v>0</v>
      </c>
      <c r="S2">
        <f>BDH("BEAT US Equity","BS_ACCT_NOTE_RCV","1993-06-18","2026-05-02","Per=Y","Days=T","Dir=V")</f>
        <v>0</v>
      </c>
      <c r="U2">
        <f>BDH("BEAT US Equity","BS_INVENTORIES","1993-06-18","2026-05-02","Per=Y","Days=T","Dir=V")</f>
        <v>0</v>
      </c>
      <c r="W2">
        <f>BDH("BEAT US Equity","WORKING_CAPITAL","1993-06-18","2026-05-02","Per=Y","Days=T","Dir=V")</f>
        <v>0</v>
      </c>
      <c r="Y2">
        <f>BDH("BEAT US Equity","SALES_REV_TURN","1993-06-18","2026-05-02","Per=Y","Days=T","Dir=V")</f>
        <v>0</v>
      </c>
      <c r="AA2">
        <f>BDH("BEAT US Equity","EBIT","1993-06-18","2026-05-02","Per=Y","Days=T","Dir=V")</f>
        <v>0</v>
      </c>
      <c r="AC2">
        <f>BDH("BEAT US Equity","EBITDA","1993-06-18","2026-05-02","Per=Y","Days=T","Dir=V")</f>
        <v>0</v>
      </c>
      <c r="AE2">
        <f>BDH("BEAT US Equity","NET_INCOME","1993-06-18","2026-05-02","Per=Y","Days=T","Dir=V")</f>
        <v>0</v>
      </c>
      <c r="AG2">
        <f>BDH("BEAT US Equity","IS_INT_EXPENSE","1993-06-18","2026-05-02","Per=Y","Days=T","Dir=V")</f>
        <v>0</v>
      </c>
      <c r="AI2">
        <f>BDH("BEAT US Equity","IS_DEPR_EXP","1993-06-18","2026-05-02","Per=Y","Days=T","Dir=V")</f>
        <v>0</v>
      </c>
      <c r="AK2">
        <f>BDH("BEAT US Equity","CF_CASH_FROM_OPER","1993-06-18","2026-05-02","Per=Y","Days=T","Dir=V")</f>
        <v>0</v>
      </c>
      <c r="AM2">
        <f>BDH("BEAT US Equity","CAPITAL_EXPEND","1993-06-18","2026-05-02","Per=Y","Days=T","Dir=V")</f>
        <v>0</v>
      </c>
      <c r="AO2">
        <f>BDH("BEAT US Equity","CF_FREE_CASH_FLOW","1993-06-18","2026-05-02","Per=Y","Days=T","Dir=V")</f>
        <v>0</v>
      </c>
      <c r="AQ2">
        <f>BDH("BEAT US Equity","PX_LAST","1993-06-18","2026-05-02","Per=M","Days=T","Dir=V")</f>
        <v>0</v>
      </c>
      <c r="AS2">
        <f>BDH("BEAT US Equity","CUR_MKT_CAP","1993-06-18","2026-05-02","Per=M","Days=T","Dir=V")</f>
        <v>0</v>
      </c>
      <c r="AU2">
        <f>BDH("BEAT US Equity","EQY_SH_OUT","1993-06-18","2026-05-02","Per=M","Days=T","Dir=V")</f>
        <v>0</v>
      </c>
      <c r="AW2">
        <f>BDH("BEAT US Equity","PX_VOLUME","1993-06-18","2026-05-02","Per=M","Days=T","Dir=V")</f>
        <v>0</v>
      </c>
      <c r="AY2">
        <f>BDH("BEAT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BDH("BEATW US Equity","BS_TOT_ASSET","1993-06-18","2026-05-02","Per=Y","Days=T","Dir=V")</f>
        <v>0</v>
      </c>
      <c r="C2">
        <f>BDH("BEATW US Equity","BS_TOT_LIAB2","1993-06-18","2026-05-02","Per=Y","Days=T","Dir=V")</f>
        <v>0</v>
      </c>
      <c r="E2">
        <f>BDH("BEATW US Equity","SHORT_AND_LONG_TERM_DEBT","1993-06-18","2026-05-02","Per=Y","Days=T","Dir=V")</f>
        <v>0</v>
      </c>
      <c r="G2">
        <f>BDH("BEATW US Equity","BS_ST_BORROW","1993-06-18","2026-05-02","Per=Y","Days=T","Dir=V")</f>
        <v>0</v>
      </c>
      <c r="I2">
        <f>BDH("BEATW US Equity","BS_LT_BORROW","1993-06-18","2026-05-02","Per=Y","Days=T","Dir=V")</f>
        <v>0</v>
      </c>
      <c r="K2">
        <f>BDH("BEATW US Equity","BS_CASH_NEAR_CASH_ITEM","1993-06-18","2026-05-02","Per=Y","Days=T","Dir=V")</f>
        <v>0</v>
      </c>
      <c r="M2">
        <f>BDH("BEATW US Equity","BS_CUR_ASSET_REPORT","1993-06-18","2026-05-02","Per=Y","Days=T","Dir=V")</f>
        <v>0</v>
      </c>
      <c r="O2">
        <f>BDH("BEATW US Equity","BS_CUR_LIAB","1993-06-18","2026-05-02","Per=Y","Days=T","Dir=V")</f>
        <v>0</v>
      </c>
      <c r="Q2">
        <f>BDH("BEATW US Equity","BS_SHAREHOLDER_EQY_ENDING_PERIOD","1993-06-18","2026-05-02","Per=Y","Days=T","Dir=V")</f>
        <v>0</v>
      </c>
      <c r="S2">
        <f>BDH("BEATW US Equity","BS_ACCT_NOTE_RCV","1993-06-18","2026-05-02","Per=Y","Days=T","Dir=V")</f>
        <v>0</v>
      </c>
      <c r="U2">
        <f>BDH("BEATW US Equity","BS_INVENTORIES","1993-06-18","2026-05-02","Per=Y","Days=T","Dir=V")</f>
        <v>0</v>
      </c>
      <c r="W2">
        <f>BDH("BEATW US Equity","WORKING_CAPITAL","1993-06-18","2026-05-02","Per=Y","Days=T","Dir=V")</f>
        <v>0</v>
      </c>
      <c r="Y2">
        <f>BDH("BEATW US Equity","SALES_REV_TURN","1993-06-18","2026-05-02","Per=Y","Days=T","Dir=V")</f>
        <v>0</v>
      </c>
      <c r="AA2">
        <f>BDH("BEATW US Equity","EBIT","1993-06-18","2026-05-02","Per=Y","Days=T","Dir=V")</f>
        <v>0</v>
      </c>
      <c r="AC2">
        <f>BDH("BEATW US Equity","EBITDA","1993-06-18","2026-05-02","Per=Y","Days=T","Dir=V")</f>
        <v>0</v>
      </c>
      <c r="AE2">
        <f>BDH("BEATW US Equity","NET_INCOME","1993-06-18","2026-05-02","Per=Y","Days=T","Dir=V")</f>
        <v>0</v>
      </c>
      <c r="AG2">
        <f>BDH("BEATW US Equity","IS_INT_EXPENSE","1993-06-18","2026-05-02","Per=Y","Days=T","Dir=V")</f>
        <v>0</v>
      </c>
      <c r="AI2">
        <f>BDH("BEATW US Equity","IS_DEPR_EXP","1993-06-18","2026-05-02","Per=Y","Days=T","Dir=V")</f>
        <v>0</v>
      </c>
      <c r="AK2">
        <f>BDH("BEATW US Equity","CF_CASH_FROM_OPER","1993-06-18","2026-05-02","Per=Y","Days=T","Dir=V")</f>
        <v>0</v>
      </c>
      <c r="AM2">
        <f>BDH("BEATW US Equity","CAPITAL_EXPEND","1993-06-18","2026-05-02","Per=Y","Days=T","Dir=V")</f>
        <v>0</v>
      </c>
      <c r="AO2">
        <f>BDH("BEATW US Equity","CF_FREE_CASH_FLOW","1993-06-18","2026-05-02","Per=Y","Days=T","Dir=V")</f>
        <v>0</v>
      </c>
      <c r="AQ2">
        <f>BDH("BEATW US Equity","PX_LAST","1993-06-18","2026-05-02","Per=M","Days=T","Dir=V")</f>
        <v>0</v>
      </c>
      <c r="AS2">
        <f>BDH("BEATW US Equity","CUR_MKT_CAP","1993-06-18","2026-05-02","Per=M","Days=T","Dir=V")</f>
        <v>0</v>
      </c>
      <c r="AU2">
        <f>BDH("BEATW US Equity","EQY_SH_OUT","1993-06-18","2026-05-02","Per=M","Days=T","Dir=V")</f>
        <v>0</v>
      </c>
      <c r="AW2">
        <f>BDH("BEATW US Equity","PX_VOLUME","1993-06-18","2026-05-02","Per=M","Days=T","Dir=V")</f>
        <v>0</v>
      </c>
      <c r="AY2">
        <f>BDH("BEATW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BDH("BEPC US Equity","BS_TOT_ASSET","1993-06-18","2026-05-02","Per=Y","Days=T","Dir=V")</f>
        <v>0</v>
      </c>
      <c r="C2">
        <f>BDH("BEPC US Equity","BS_TOT_LIAB2","1993-06-18","2026-05-02","Per=Y","Days=T","Dir=V")</f>
        <v>0</v>
      </c>
      <c r="E2">
        <f>BDH("BEPC US Equity","SHORT_AND_LONG_TERM_DEBT","1993-06-18","2026-05-02","Per=Y","Days=T","Dir=V")</f>
        <v>0</v>
      </c>
      <c r="G2">
        <f>BDH("BEPC US Equity","BS_ST_BORROW","1993-06-18","2026-05-02","Per=Y","Days=T","Dir=V")</f>
        <v>0</v>
      </c>
      <c r="I2">
        <f>BDH("BEPC US Equity","BS_LT_BORROW","1993-06-18","2026-05-02","Per=Y","Days=T","Dir=V")</f>
        <v>0</v>
      </c>
      <c r="K2">
        <f>BDH("BEPC US Equity","BS_CASH_NEAR_CASH_ITEM","1993-06-18","2026-05-02","Per=Y","Days=T","Dir=V")</f>
        <v>0</v>
      </c>
      <c r="M2">
        <f>BDH("BEPC US Equity","BS_CUR_ASSET_REPORT","1993-06-18","2026-05-02","Per=Y","Days=T","Dir=V")</f>
        <v>0</v>
      </c>
      <c r="O2">
        <f>BDH("BEPC US Equity","BS_CUR_LIAB","1993-06-18","2026-05-02","Per=Y","Days=T","Dir=V")</f>
        <v>0</v>
      </c>
      <c r="Q2">
        <f>BDH("BEPC US Equity","BS_SHAREHOLDER_EQY_ENDING_PERIOD","1993-06-18","2026-05-02","Per=Y","Days=T","Dir=V")</f>
        <v>0</v>
      </c>
      <c r="S2">
        <f>BDH("BEPC US Equity","BS_ACCT_NOTE_RCV","1993-06-18","2026-05-02","Per=Y","Days=T","Dir=V")</f>
        <v>0</v>
      </c>
      <c r="U2">
        <f>BDH("BEPC US Equity","BS_INVENTORIES","1993-06-18","2026-05-02","Per=Y","Days=T","Dir=V")</f>
        <v>0</v>
      </c>
      <c r="W2">
        <f>BDH("BEPC US Equity","WORKING_CAPITAL","1993-06-18","2026-05-02","Per=Y","Days=T","Dir=V")</f>
        <v>0</v>
      </c>
      <c r="Y2">
        <f>BDH("BEPC US Equity","SALES_REV_TURN","1993-06-18","2026-05-02","Per=Y","Days=T","Dir=V")</f>
        <v>0</v>
      </c>
      <c r="AA2">
        <f>BDH("BEPC US Equity","EBIT","1993-06-18","2026-05-02","Per=Y","Days=T","Dir=V")</f>
        <v>0</v>
      </c>
      <c r="AC2">
        <f>BDH("BEPC US Equity","EBITDA","1993-06-18","2026-05-02","Per=Y","Days=T","Dir=V")</f>
        <v>0</v>
      </c>
      <c r="AE2">
        <f>BDH("BEPC US Equity","NET_INCOME","1993-06-18","2026-05-02","Per=Y","Days=T","Dir=V")</f>
        <v>0</v>
      </c>
      <c r="AG2">
        <f>BDH("BEPC US Equity","IS_INT_EXPENSE","1993-06-18","2026-05-02","Per=Y","Days=T","Dir=V")</f>
        <v>0</v>
      </c>
      <c r="AI2">
        <f>BDH("BEPC US Equity","IS_DEPR_EXP","1993-06-18","2026-05-02","Per=Y","Days=T","Dir=V")</f>
        <v>0</v>
      </c>
      <c r="AK2">
        <f>BDH("BEPC US Equity","CF_CASH_FROM_OPER","1993-06-18","2026-05-02","Per=Y","Days=T","Dir=V")</f>
        <v>0</v>
      </c>
      <c r="AM2">
        <f>BDH("BEPC US Equity","CAPITAL_EXPEND","1993-06-18","2026-05-02","Per=Y","Days=T","Dir=V")</f>
        <v>0</v>
      </c>
      <c r="AO2">
        <f>BDH("BEPC US Equity","CF_FREE_CASH_FLOW","1993-06-18","2026-05-02","Per=Y","Days=T","Dir=V")</f>
        <v>0</v>
      </c>
      <c r="AQ2">
        <f>BDH("BEPC US Equity","PX_LAST","1993-06-18","2026-05-02","Per=M","Days=T","Dir=V")</f>
        <v>0</v>
      </c>
      <c r="AS2">
        <f>BDH("BEPC US Equity","CUR_MKT_CAP","1993-06-18","2026-05-02","Per=M","Days=T","Dir=V")</f>
        <v>0</v>
      </c>
      <c r="AU2">
        <f>BDH("BEPC US Equity","EQY_SH_OUT","1993-06-18","2026-05-02","Per=M","Days=T","Dir=V")</f>
        <v>0</v>
      </c>
      <c r="AW2">
        <f>BDH("BEPC US Equity","PX_VOLUME","1993-06-18","2026-05-02","Per=M","Days=T","Dir=V")</f>
        <v>0</v>
      </c>
      <c r="AY2">
        <f>BDH("BEPC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BDH("BETA US Equity","BS_TOT_ASSET","1993-06-18","2026-05-02","Per=Y","Days=T","Dir=V")</f>
        <v>0</v>
      </c>
      <c r="C2">
        <f>BDH("BETA US Equity","BS_TOT_LIAB2","1993-06-18","2026-05-02","Per=Y","Days=T","Dir=V")</f>
        <v>0</v>
      </c>
      <c r="E2">
        <f>BDH("BETA US Equity","SHORT_AND_LONG_TERM_DEBT","1993-06-18","2026-05-02","Per=Y","Days=T","Dir=V")</f>
        <v>0</v>
      </c>
      <c r="G2">
        <f>BDH("BETA US Equity","BS_ST_BORROW","1993-06-18","2026-05-02","Per=Y","Days=T","Dir=V")</f>
        <v>0</v>
      </c>
      <c r="I2">
        <f>BDH("BETA US Equity","BS_LT_BORROW","1993-06-18","2026-05-02","Per=Y","Days=T","Dir=V")</f>
        <v>0</v>
      </c>
      <c r="K2">
        <f>BDH("BETA US Equity","BS_CASH_NEAR_CASH_ITEM","1993-06-18","2026-05-02","Per=Y","Days=T","Dir=V")</f>
        <v>0</v>
      </c>
      <c r="M2">
        <f>BDH("BETA US Equity","BS_CUR_ASSET_REPORT","1993-06-18","2026-05-02","Per=Y","Days=T","Dir=V")</f>
        <v>0</v>
      </c>
      <c r="O2">
        <f>BDH("BETA US Equity","BS_CUR_LIAB","1993-06-18","2026-05-02","Per=Y","Days=T","Dir=V")</f>
        <v>0</v>
      </c>
      <c r="Q2">
        <f>BDH("BETA US Equity","BS_SHAREHOLDER_EQY_ENDING_PERIOD","1993-06-18","2026-05-02","Per=Y","Days=T","Dir=V")</f>
        <v>0</v>
      </c>
      <c r="S2">
        <f>BDH("BETA US Equity","BS_ACCT_NOTE_RCV","1993-06-18","2026-05-02","Per=Y","Days=T","Dir=V")</f>
        <v>0</v>
      </c>
      <c r="U2">
        <f>BDH("BETA US Equity","BS_INVENTORIES","1993-06-18","2026-05-02","Per=Y","Days=T","Dir=V")</f>
        <v>0</v>
      </c>
      <c r="W2">
        <f>BDH("BETA US Equity","WORKING_CAPITAL","1993-06-18","2026-05-02","Per=Y","Days=T","Dir=V")</f>
        <v>0</v>
      </c>
      <c r="Y2">
        <f>BDH("BETA US Equity","SALES_REV_TURN","1993-06-18","2026-05-02","Per=Y","Days=T","Dir=V")</f>
        <v>0</v>
      </c>
      <c r="AA2">
        <f>BDH("BETA US Equity","EBIT","1993-06-18","2026-05-02","Per=Y","Days=T","Dir=V")</f>
        <v>0</v>
      </c>
      <c r="AC2">
        <f>BDH("BETA US Equity","EBITDA","1993-06-18","2026-05-02","Per=Y","Days=T","Dir=V")</f>
        <v>0</v>
      </c>
      <c r="AE2">
        <f>BDH("BETA US Equity","NET_INCOME","1993-06-18","2026-05-02","Per=Y","Days=T","Dir=V")</f>
        <v>0</v>
      </c>
      <c r="AG2">
        <f>BDH("BETA US Equity","IS_INT_EXPENSE","1993-06-18","2026-05-02","Per=Y","Days=T","Dir=V")</f>
        <v>0</v>
      </c>
      <c r="AI2">
        <f>BDH("BETA US Equity","IS_DEPR_EXP","1993-06-18","2026-05-02","Per=Y","Days=T","Dir=V")</f>
        <v>0</v>
      </c>
      <c r="AK2">
        <f>BDH("BETA US Equity","CF_CASH_FROM_OPER","1993-06-18","2026-05-02","Per=Y","Days=T","Dir=V")</f>
        <v>0</v>
      </c>
      <c r="AM2">
        <f>BDH("BETA US Equity","CAPITAL_EXPEND","1993-06-18","2026-05-02","Per=Y","Days=T","Dir=V")</f>
        <v>0</v>
      </c>
      <c r="AO2">
        <f>BDH("BETA US Equity","CF_FREE_CASH_FLOW","1993-06-18","2026-05-02","Per=Y","Days=T","Dir=V")</f>
        <v>0</v>
      </c>
      <c r="AQ2">
        <f>BDH("BETA US Equity","PX_LAST","1993-06-18","2026-05-02","Per=M","Days=T","Dir=V")</f>
        <v>0</v>
      </c>
      <c r="AS2">
        <f>BDH("BETA US Equity","CUR_MKT_CAP","1993-06-18","2026-05-02","Per=M","Days=T","Dir=V")</f>
        <v>0</v>
      </c>
      <c r="AU2">
        <f>BDH("BETA US Equity","EQY_SH_OUT","1993-06-18","2026-05-02","Per=M","Days=T","Dir=V")</f>
        <v>0</v>
      </c>
      <c r="AW2">
        <f>BDH("BETA US Equity","PX_VOLUME","1993-06-18","2026-05-02","Per=M","Days=T","Dir=V")</f>
        <v>0</v>
      </c>
      <c r="AY2">
        <f>BDH("BETA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BDH("BFAM US Equity","BS_TOT_ASSET","1993-06-18","2026-05-02","Per=Y","Days=T","Dir=V")</f>
        <v>0</v>
      </c>
      <c r="C2">
        <f>BDH("BFAM US Equity","BS_TOT_LIAB2","1993-06-18","2026-05-02","Per=Y","Days=T","Dir=V")</f>
        <v>0</v>
      </c>
      <c r="E2">
        <f>BDH("BFAM US Equity","SHORT_AND_LONG_TERM_DEBT","1993-06-18","2026-05-02","Per=Y","Days=T","Dir=V")</f>
        <v>0</v>
      </c>
      <c r="G2">
        <f>BDH("BFAM US Equity","BS_ST_BORROW","1993-06-18","2026-05-02","Per=Y","Days=T","Dir=V")</f>
        <v>0</v>
      </c>
      <c r="I2">
        <f>BDH("BFAM US Equity","BS_LT_BORROW","1993-06-18","2026-05-02","Per=Y","Days=T","Dir=V")</f>
        <v>0</v>
      </c>
      <c r="K2">
        <f>BDH("BFAM US Equity","BS_CASH_NEAR_CASH_ITEM","1993-06-18","2026-05-02","Per=Y","Days=T","Dir=V")</f>
        <v>0</v>
      </c>
      <c r="M2">
        <f>BDH("BFAM US Equity","BS_CUR_ASSET_REPORT","1993-06-18","2026-05-02","Per=Y","Days=T","Dir=V")</f>
        <v>0</v>
      </c>
      <c r="O2">
        <f>BDH("BFAM US Equity","BS_CUR_LIAB","1993-06-18","2026-05-02","Per=Y","Days=T","Dir=V")</f>
        <v>0</v>
      </c>
      <c r="Q2">
        <f>BDH("BFAM US Equity","BS_SHAREHOLDER_EQY_ENDING_PERIOD","1993-06-18","2026-05-02","Per=Y","Days=T","Dir=V")</f>
        <v>0</v>
      </c>
      <c r="S2">
        <f>BDH("BFAM US Equity","BS_ACCT_NOTE_RCV","1993-06-18","2026-05-02","Per=Y","Days=T","Dir=V")</f>
        <v>0</v>
      </c>
      <c r="U2">
        <f>BDH("BFAM US Equity","BS_INVENTORIES","1993-06-18","2026-05-02","Per=Y","Days=T","Dir=V")</f>
        <v>0</v>
      </c>
      <c r="W2">
        <f>BDH("BFAM US Equity","WORKING_CAPITAL","1993-06-18","2026-05-02","Per=Y","Days=T","Dir=V")</f>
        <v>0</v>
      </c>
      <c r="Y2">
        <f>BDH("BFAM US Equity","SALES_REV_TURN","1993-06-18","2026-05-02","Per=Y","Days=T","Dir=V")</f>
        <v>0</v>
      </c>
      <c r="AA2">
        <f>BDH("BFAM US Equity","EBIT","1993-06-18","2026-05-02","Per=Y","Days=T","Dir=V")</f>
        <v>0</v>
      </c>
      <c r="AC2">
        <f>BDH("BFAM US Equity","EBITDA","1993-06-18","2026-05-02","Per=Y","Days=T","Dir=V")</f>
        <v>0</v>
      </c>
      <c r="AE2">
        <f>BDH("BFAM US Equity","NET_INCOME","1993-06-18","2026-05-02","Per=Y","Days=T","Dir=V")</f>
        <v>0</v>
      </c>
      <c r="AG2">
        <f>BDH("BFAM US Equity","IS_INT_EXPENSE","1993-06-18","2026-05-02","Per=Y","Days=T","Dir=V")</f>
        <v>0</v>
      </c>
      <c r="AI2">
        <f>BDH("BFAM US Equity","IS_DEPR_EXP","1993-06-18","2026-05-02","Per=Y","Days=T","Dir=V")</f>
        <v>0</v>
      </c>
      <c r="AK2">
        <f>BDH("BFAM US Equity","CF_CASH_FROM_OPER","1993-06-18","2026-05-02","Per=Y","Days=T","Dir=V")</f>
        <v>0</v>
      </c>
      <c r="AM2">
        <f>BDH("BFAM US Equity","CAPITAL_EXPEND","1993-06-18","2026-05-02","Per=Y","Days=T","Dir=V")</f>
        <v>0</v>
      </c>
      <c r="AO2">
        <f>BDH("BFAM US Equity","CF_FREE_CASH_FLOW","1993-06-18","2026-05-02","Per=Y","Days=T","Dir=V")</f>
        <v>0</v>
      </c>
      <c r="AQ2">
        <f>BDH("BFAM US Equity","PX_LAST","1993-06-18","2026-05-02","Per=M","Days=T","Dir=V")</f>
        <v>0</v>
      </c>
      <c r="AS2">
        <f>BDH("BFAM US Equity","CUR_MKT_CAP","1993-06-18","2026-05-02","Per=M","Days=T","Dir=V")</f>
        <v>0</v>
      </c>
      <c r="AU2">
        <f>BDH("BFAM US Equity","EQY_SH_OUT","1993-06-18","2026-05-02","Per=M","Days=T","Dir=V")</f>
        <v>0</v>
      </c>
      <c r="AW2">
        <f>BDH("BFAM US Equity","PX_VOLUME","1993-06-18","2026-05-02","Per=M","Days=T","Dir=V")</f>
        <v>0</v>
      </c>
      <c r="AY2">
        <f>BDH("BFAM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BDH("BFH US Equity","BS_TOT_ASSET","1993-06-18","2026-05-02","Per=Y","Days=T","Dir=V")</f>
        <v>0</v>
      </c>
      <c r="C2">
        <f>BDH("BFH US Equity","BS_TOT_LIAB2","1993-06-18","2026-05-02","Per=Y","Days=T","Dir=V")</f>
        <v>0</v>
      </c>
      <c r="E2">
        <f>BDH("BFH US Equity","SHORT_AND_LONG_TERM_DEBT","1993-06-18","2026-05-02","Per=Y","Days=T","Dir=V")</f>
        <v>0</v>
      </c>
      <c r="G2">
        <f>BDH("BFH US Equity","BS_ST_BORROW","1993-06-18","2026-05-02","Per=Y","Days=T","Dir=V")</f>
        <v>0</v>
      </c>
      <c r="I2">
        <f>BDH("BFH US Equity","BS_LT_BORROW","1993-06-18","2026-05-02","Per=Y","Days=T","Dir=V")</f>
        <v>0</v>
      </c>
      <c r="K2">
        <f>BDH("BFH US Equity","BS_CASH_NEAR_CASH_ITEM","1993-06-18","2026-05-02","Per=Y","Days=T","Dir=V")</f>
        <v>0</v>
      </c>
      <c r="M2">
        <f>BDH("BFH US Equity","BS_CUR_ASSET_REPORT","1993-06-18","2026-05-02","Per=Y","Days=T","Dir=V")</f>
        <v>0</v>
      </c>
      <c r="O2">
        <f>BDH("BFH US Equity","BS_CUR_LIAB","1993-06-18","2026-05-02","Per=Y","Days=T","Dir=V")</f>
        <v>0</v>
      </c>
      <c r="Q2">
        <f>BDH("BFH US Equity","BS_SHAREHOLDER_EQY_ENDING_PERIOD","1993-06-18","2026-05-02","Per=Y","Days=T","Dir=V")</f>
        <v>0</v>
      </c>
      <c r="S2">
        <f>BDH("BFH US Equity","BS_ACCT_NOTE_RCV","1993-06-18","2026-05-02","Per=Y","Days=T","Dir=V")</f>
        <v>0</v>
      </c>
      <c r="U2">
        <f>BDH("BFH US Equity","BS_INVENTORIES","1993-06-18","2026-05-02","Per=Y","Days=T","Dir=V")</f>
        <v>0</v>
      </c>
      <c r="W2">
        <f>BDH("BFH US Equity","WORKING_CAPITAL","1993-06-18","2026-05-02","Per=Y","Days=T","Dir=V")</f>
        <v>0</v>
      </c>
      <c r="Y2">
        <f>BDH("BFH US Equity","SALES_REV_TURN","1993-06-18","2026-05-02","Per=Y","Days=T","Dir=V")</f>
        <v>0</v>
      </c>
      <c r="AA2">
        <f>BDH("BFH US Equity","EBIT","1993-06-18","2026-05-02","Per=Y","Days=T","Dir=V")</f>
        <v>0</v>
      </c>
      <c r="AC2">
        <f>BDH("BFH US Equity","EBITDA","1993-06-18","2026-05-02","Per=Y","Days=T","Dir=V")</f>
        <v>0</v>
      </c>
      <c r="AE2">
        <f>BDH("BFH US Equity","NET_INCOME","1993-06-18","2026-05-02","Per=Y","Days=T","Dir=V")</f>
        <v>0</v>
      </c>
      <c r="AG2">
        <f>BDH("BFH US Equity","IS_INT_EXPENSE","1993-06-18","2026-05-02","Per=Y","Days=T","Dir=V")</f>
        <v>0</v>
      </c>
      <c r="AI2">
        <f>BDH("BFH US Equity","IS_DEPR_EXP","1993-06-18","2026-05-02","Per=Y","Days=T","Dir=V")</f>
        <v>0</v>
      </c>
      <c r="AK2">
        <f>BDH("BFH US Equity","CF_CASH_FROM_OPER","1993-06-18","2026-05-02","Per=Y","Days=T","Dir=V")</f>
        <v>0</v>
      </c>
      <c r="AM2">
        <f>BDH("BFH US Equity","CAPITAL_EXPEND","1993-06-18","2026-05-02","Per=Y","Days=T","Dir=V")</f>
        <v>0</v>
      </c>
      <c r="AO2">
        <f>BDH("BFH US Equity","CF_FREE_CASH_FLOW","1993-06-18","2026-05-02","Per=Y","Days=T","Dir=V")</f>
        <v>0</v>
      </c>
      <c r="AQ2">
        <f>BDH("BFH US Equity","PX_LAST","1993-06-18","2026-05-02","Per=M","Days=T","Dir=V")</f>
        <v>0</v>
      </c>
      <c r="AS2">
        <f>BDH("BFH US Equity","CUR_MKT_CAP","1993-06-18","2026-05-02","Per=M","Days=T","Dir=V")</f>
        <v>0</v>
      </c>
      <c r="AU2">
        <f>BDH("BFH US Equity","EQY_SH_OUT","1993-06-18","2026-05-02","Per=M","Days=T","Dir=V")</f>
        <v>0</v>
      </c>
      <c r="AW2">
        <f>BDH("BFH US Equity","PX_VOLUME","1993-06-18","2026-05-02","Per=M","Days=T","Dir=V")</f>
        <v>0</v>
      </c>
      <c r="AY2">
        <f>BDH("BFH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BDH("BFLY US Equity","BS_TOT_ASSET","1993-06-18","2026-05-02","Per=Y","Days=T","Dir=V")</f>
        <v>0</v>
      </c>
      <c r="C2">
        <f>BDH("BFLY US Equity","BS_TOT_LIAB2","1993-06-18","2026-05-02","Per=Y","Days=T","Dir=V")</f>
        <v>0</v>
      </c>
      <c r="E2">
        <f>BDH("BFLY US Equity","SHORT_AND_LONG_TERM_DEBT","1993-06-18","2026-05-02","Per=Y","Days=T","Dir=V")</f>
        <v>0</v>
      </c>
      <c r="G2">
        <f>BDH("BFLY US Equity","BS_ST_BORROW","1993-06-18","2026-05-02","Per=Y","Days=T","Dir=V")</f>
        <v>0</v>
      </c>
      <c r="I2">
        <f>BDH("BFLY US Equity","BS_LT_BORROW","1993-06-18","2026-05-02","Per=Y","Days=T","Dir=V")</f>
        <v>0</v>
      </c>
      <c r="K2">
        <f>BDH("BFLY US Equity","BS_CASH_NEAR_CASH_ITEM","1993-06-18","2026-05-02","Per=Y","Days=T","Dir=V")</f>
        <v>0</v>
      </c>
      <c r="M2">
        <f>BDH("BFLY US Equity","BS_CUR_ASSET_REPORT","1993-06-18","2026-05-02","Per=Y","Days=T","Dir=V")</f>
        <v>0</v>
      </c>
      <c r="O2">
        <f>BDH("BFLY US Equity","BS_CUR_LIAB","1993-06-18","2026-05-02","Per=Y","Days=T","Dir=V")</f>
        <v>0</v>
      </c>
      <c r="Q2">
        <f>BDH("BFLY US Equity","BS_SHAREHOLDER_EQY_ENDING_PERIOD","1993-06-18","2026-05-02","Per=Y","Days=T","Dir=V")</f>
        <v>0</v>
      </c>
      <c r="S2">
        <f>BDH("BFLY US Equity","BS_ACCT_NOTE_RCV","1993-06-18","2026-05-02","Per=Y","Days=T","Dir=V")</f>
        <v>0</v>
      </c>
      <c r="U2">
        <f>BDH("BFLY US Equity","BS_INVENTORIES","1993-06-18","2026-05-02","Per=Y","Days=T","Dir=V")</f>
        <v>0</v>
      </c>
      <c r="W2">
        <f>BDH("BFLY US Equity","WORKING_CAPITAL","1993-06-18","2026-05-02","Per=Y","Days=T","Dir=V")</f>
        <v>0</v>
      </c>
      <c r="Y2">
        <f>BDH("BFLY US Equity","SALES_REV_TURN","1993-06-18","2026-05-02","Per=Y","Days=T","Dir=V")</f>
        <v>0</v>
      </c>
      <c r="AA2">
        <f>BDH("BFLY US Equity","EBIT","1993-06-18","2026-05-02","Per=Y","Days=T","Dir=V")</f>
        <v>0</v>
      </c>
      <c r="AC2">
        <f>BDH("BFLY US Equity","EBITDA","1993-06-18","2026-05-02","Per=Y","Days=T","Dir=V")</f>
        <v>0</v>
      </c>
      <c r="AE2">
        <f>BDH("BFLY US Equity","NET_INCOME","1993-06-18","2026-05-02","Per=Y","Days=T","Dir=V")</f>
        <v>0</v>
      </c>
      <c r="AG2">
        <f>BDH("BFLY US Equity","IS_INT_EXPENSE","1993-06-18","2026-05-02","Per=Y","Days=T","Dir=V")</f>
        <v>0</v>
      </c>
      <c r="AI2">
        <f>BDH("BFLY US Equity","IS_DEPR_EXP","1993-06-18","2026-05-02","Per=Y","Days=T","Dir=V")</f>
        <v>0</v>
      </c>
      <c r="AK2">
        <f>BDH("BFLY US Equity","CF_CASH_FROM_OPER","1993-06-18","2026-05-02","Per=Y","Days=T","Dir=V")</f>
        <v>0</v>
      </c>
      <c r="AM2">
        <f>BDH("BFLY US Equity","CAPITAL_EXPEND","1993-06-18","2026-05-02","Per=Y","Days=T","Dir=V")</f>
        <v>0</v>
      </c>
      <c r="AO2">
        <f>BDH("BFLY US Equity","CF_FREE_CASH_FLOW","1993-06-18","2026-05-02","Per=Y","Days=T","Dir=V")</f>
        <v>0</v>
      </c>
      <c r="AQ2">
        <f>BDH("BFLY US Equity","PX_LAST","1993-06-18","2026-05-02","Per=M","Days=T","Dir=V")</f>
        <v>0</v>
      </c>
      <c r="AS2">
        <f>BDH("BFLY US Equity","CUR_MKT_CAP","1993-06-18","2026-05-02","Per=M","Days=T","Dir=V")</f>
        <v>0</v>
      </c>
      <c r="AU2">
        <f>BDH("BFLY US Equity","EQY_SH_OUT","1993-06-18","2026-05-02","Per=M","Days=T","Dir=V")</f>
        <v>0</v>
      </c>
      <c r="AW2">
        <f>BDH("BFLY US Equity","PX_VOLUME","1993-06-18","2026-05-02","Per=M","Days=T","Dir=V")</f>
        <v>0</v>
      </c>
      <c r="AY2">
        <f>BDH("BFLY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BDH("BFRG US Equity","BS_TOT_ASSET","1993-06-18","2026-05-02","Per=Y","Days=T","Dir=V")</f>
        <v>0</v>
      </c>
      <c r="C2">
        <f>BDH("BFRG US Equity","BS_TOT_LIAB2","1993-06-18","2026-05-02","Per=Y","Days=T","Dir=V")</f>
        <v>0</v>
      </c>
      <c r="E2">
        <f>BDH("BFRG US Equity","SHORT_AND_LONG_TERM_DEBT","1993-06-18","2026-05-02","Per=Y","Days=T","Dir=V")</f>
        <v>0</v>
      </c>
      <c r="G2">
        <f>BDH("BFRG US Equity","BS_ST_BORROW","1993-06-18","2026-05-02","Per=Y","Days=T","Dir=V")</f>
        <v>0</v>
      </c>
      <c r="I2">
        <f>BDH("BFRG US Equity","BS_LT_BORROW","1993-06-18","2026-05-02","Per=Y","Days=T","Dir=V")</f>
        <v>0</v>
      </c>
      <c r="K2">
        <f>BDH("BFRG US Equity","BS_CASH_NEAR_CASH_ITEM","1993-06-18","2026-05-02","Per=Y","Days=T","Dir=V")</f>
        <v>0</v>
      </c>
      <c r="M2">
        <f>BDH("BFRG US Equity","BS_CUR_ASSET_REPORT","1993-06-18","2026-05-02","Per=Y","Days=T","Dir=V")</f>
        <v>0</v>
      </c>
      <c r="O2">
        <f>BDH("BFRG US Equity","BS_CUR_LIAB","1993-06-18","2026-05-02","Per=Y","Days=T","Dir=V")</f>
        <v>0</v>
      </c>
      <c r="Q2">
        <f>BDH("BFRG US Equity","BS_SHAREHOLDER_EQY_ENDING_PERIOD","1993-06-18","2026-05-02","Per=Y","Days=T","Dir=V")</f>
        <v>0</v>
      </c>
      <c r="S2">
        <f>BDH("BFRG US Equity","BS_ACCT_NOTE_RCV","1993-06-18","2026-05-02","Per=Y","Days=T","Dir=V")</f>
        <v>0</v>
      </c>
      <c r="U2">
        <f>BDH("BFRG US Equity","BS_INVENTORIES","1993-06-18","2026-05-02","Per=Y","Days=T","Dir=V")</f>
        <v>0</v>
      </c>
      <c r="W2">
        <f>BDH("BFRG US Equity","WORKING_CAPITAL","1993-06-18","2026-05-02","Per=Y","Days=T","Dir=V")</f>
        <v>0</v>
      </c>
      <c r="Y2">
        <f>BDH("BFRG US Equity","SALES_REV_TURN","1993-06-18","2026-05-02","Per=Y","Days=T","Dir=V")</f>
        <v>0</v>
      </c>
      <c r="AA2">
        <f>BDH("BFRG US Equity","EBIT","1993-06-18","2026-05-02","Per=Y","Days=T","Dir=V")</f>
        <v>0</v>
      </c>
      <c r="AC2">
        <f>BDH("BFRG US Equity","EBITDA","1993-06-18","2026-05-02","Per=Y","Days=T","Dir=V")</f>
        <v>0</v>
      </c>
      <c r="AE2">
        <f>BDH("BFRG US Equity","NET_INCOME","1993-06-18","2026-05-02","Per=Y","Days=T","Dir=V")</f>
        <v>0</v>
      </c>
      <c r="AG2">
        <f>BDH("BFRG US Equity","IS_INT_EXPENSE","1993-06-18","2026-05-02","Per=Y","Days=T","Dir=V")</f>
        <v>0</v>
      </c>
      <c r="AI2">
        <f>BDH("BFRG US Equity","IS_DEPR_EXP","1993-06-18","2026-05-02","Per=Y","Days=T","Dir=V")</f>
        <v>0</v>
      </c>
      <c r="AK2">
        <f>BDH("BFRG US Equity","CF_CASH_FROM_OPER","1993-06-18","2026-05-02","Per=Y","Days=T","Dir=V")</f>
        <v>0</v>
      </c>
      <c r="AM2">
        <f>BDH("BFRG US Equity","CAPITAL_EXPEND","1993-06-18","2026-05-02","Per=Y","Days=T","Dir=V")</f>
        <v>0</v>
      </c>
      <c r="AO2">
        <f>BDH("BFRG US Equity","CF_FREE_CASH_FLOW","1993-06-18","2026-05-02","Per=Y","Days=T","Dir=V")</f>
        <v>0</v>
      </c>
      <c r="AQ2">
        <f>BDH("BFRG US Equity","PX_LAST","1993-06-18","2026-05-02","Per=M","Days=T","Dir=V")</f>
        <v>0</v>
      </c>
      <c r="AS2">
        <f>BDH("BFRG US Equity","CUR_MKT_CAP","1993-06-18","2026-05-02","Per=M","Days=T","Dir=V")</f>
        <v>0</v>
      </c>
      <c r="AU2">
        <f>BDH("BFRG US Equity","EQY_SH_OUT","1993-06-18","2026-05-02","Per=M","Days=T","Dir=V")</f>
        <v>0</v>
      </c>
      <c r="AW2">
        <f>BDH("BFRG US Equity","PX_VOLUME","1993-06-18","2026-05-02","Per=M","Days=T","Dir=V")</f>
        <v>0</v>
      </c>
      <c r="AY2">
        <f>BDH("BFRG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BDH("BFRGW US Equity","BS_TOT_ASSET","1993-06-18","2026-05-02","Per=Y","Days=T","Dir=V")</f>
        <v>0</v>
      </c>
      <c r="C2">
        <f>BDH("BFRGW US Equity","BS_TOT_LIAB2","1993-06-18","2026-05-02","Per=Y","Days=T","Dir=V")</f>
        <v>0</v>
      </c>
      <c r="E2">
        <f>BDH("BFRGW US Equity","SHORT_AND_LONG_TERM_DEBT","1993-06-18","2026-05-02","Per=Y","Days=T","Dir=V")</f>
        <v>0</v>
      </c>
      <c r="G2">
        <f>BDH("BFRGW US Equity","BS_ST_BORROW","1993-06-18","2026-05-02","Per=Y","Days=T","Dir=V")</f>
        <v>0</v>
      </c>
      <c r="I2">
        <f>BDH("BFRGW US Equity","BS_LT_BORROW","1993-06-18","2026-05-02","Per=Y","Days=T","Dir=V")</f>
        <v>0</v>
      </c>
      <c r="K2">
        <f>BDH("BFRGW US Equity","BS_CASH_NEAR_CASH_ITEM","1993-06-18","2026-05-02","Per=Y","Days=T","Dir=V")</f>
        <v>0</v>
      </c>
      <c r="M2">
        <f>BDH("BFRGW US Equity","BS_CUR_ASSET_REPORT","1993-06-18","2026-05-02","Per=Y","Days=T","Dir=V")</f>
        <v>0</v>
      </c>
      <c r="O2">
        <f>BDH("BFRGW US Equity","BS_CUR_LIAB","1993-06-18","2026-05-02","Per=Y","Days=T","Dir=V")</f>
        <v>0</v>
      </c>
      <c r="Q2">
        <f>BDH("BFRGW US Equity","BS_SHAREHOLDER_EQY_ENDING_PERIOD","1993-06-18","2026-05-02","Per=Y","Days=T","Dir=V")</f>
        <v>0</v>
      </c>
      <c r="S2">
        <f>BDH("BFRGW US Equity","BS_ACCT_NOTE_RCV","1993-06-18","2026-05-02","Per=Y","Days=T","Dir=V")</f>
        <v>0</v>
      </c>
      <c r="U2">
        <f>BDH("BFRGW US Equity","BS_INVENTORIES","1993-06-18","2026-05-02","Per=Y","Days=T","Dir=V")</f>
        <v>0</v>
      </c>
      <c r="W2">
        <f>BDH("BFRGW US Equity","WORKING_CAPITAL","1993-06-18","2026-05-02","Per=Y","Days=T","Dir=V")</f>
        <v>0</v>
      </c>
      <c r="Y2">
        <f>BDH("BFRGW US Equity","SALES_REV_TURN","1993-06-18","2026-05-02","Per=Y","Days=T","Dir=V")</f>
        <v>0</v>
      </c>
      <c r="AA2">
        <f>BDH("BFRGW US Equity","EBIT","1993-06-18","2026-05-02","Per=Y","Days=T","Dir=V")</f>
        <v>0</v>
      </c>
      <c r="AC2">
        <f>BDH("BFRGW US Equity","EBITDA","1993-06-18","2026-05-02","Per=Y","Days=T","Dir=V")</f>
        <v>0</v>
      </c>
      <c r="AE2">
        <f>BDH("BFRGW US Equity","NET_INCOME","1993-06-18","2026-05-02","Per=Y","Days=T","Dir=V")</f>
        <v>0</v>
      </c>
      <c r="AG2">
        <f>BDH("BFRGW US Equity","IS_INT_EXPENSE","1993-06-18","2026-05-02","Per=Y","Days=T","Dir=V")</f>
        <v>0</v>
      </c>
      <c r="AI2">
        <f>BDH("BFRGW US Equity","IS_DEPR_EXP","1993-06-18","2026-05-02","Per=Y","Days=T","Dir=V")</f>
        <v>0</v>
      </c>
      <c r="AK2">
        <f>BDH("BFRGW US Equity","CF_CASH_FROM_OPER","1993-06-18","2026-05-02","Per=Y","Days=T","Dir=V")</f>
        <v>0</v>
      </c>
      <c r="AM2">
        <f>BDH("BFRGW US Equity","CAPITAL_EXPEND","1993-06-18","2026-05-02","Per=Y","Days=T","Dir=V")</f>
        <v>0</v>
      </c>
      <c r="AO2">
        <f>BDH("BFRGW US Equity","CF_FREE_CASH_FLOW","1993-06-18","2026-05-02","Per=Y","Days=T","Dir=V")</f>
        <v>0</v>
      </c>
      <c r="AQ2">
        <f>BDH("BFRGW US Equity","PX_LAST","1993-06-18","2026-05-02","Per=M","Days=T","Dir=V")</f>
        <v>0</v>
      </c>
      <c r="AS2">
        <f>BDH("BFRGW US Equity","CUR_MKT_CAP","1993-06-18","2026-05-02","Per=M","Days=T","Dir=V")</f>
        <v>0</v>
      </c>
      <c r="AU2">
        <f>BDH("BFRGW US Equity","EQY_SH_OUT","1993-06-18","2026-05-02","Per=M","Days=T","Dir=V")</f>
        <v>0</v>
      </c>
      <c r="AW2">
        <f>BDH("BFRGW US Equity","PX_VOLUME","1993-06-18","2026-05-02","Per=M","Days=T","Dir=V")</f>
        <v>0</v>
      </c>
      <c r="AY2">
        <f>BDH("BFRGW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BDH("BFRI US Equity","BS_TOT_ASSET","1993-06-18","2026-05-02","Per=Y","Days=T","Dir=V")</f>
        <v>0</v>
      </c>
      <c r="C2">
        <f>BDH("BFRI US Equity","BS_TOT_LIAB2","1993-06-18","2026-05-02","Per=Y","Days=T","Dir=V")</f>
        <v>0</v>
      </c>
      <c r="E2">
        <f>BDH("BFRI US Equity","SHORT_AND_LONG_TERM_DEBT","1993-06-18","2026-05-02","Per=Y","Days=T","Dir=V")</f>
        <v>0</v>
      </c>
      <c r="G2">
        <f>BDH("BFRI US Equity","BS_ST_BORROW","1993-06-18","2026-05-02","Per=Y","Days=T","Dir=V")</f>
        <v>0</v>
      </c>
      <c r="I2">
        <f>BDH("BFRI US Equity","BS_LT_BORROW","1993-06-18","2026-05-02","Per=Y","Days=T","Dir=V")</f>
        <v>0</v>
      </c>
      <c r="K2">
        <f>BDH("BFRI US Equity","BS_CASH_NEAR_CASH_ITEM","1993-06-18","2026-05-02","Per=Y","Days=T","Dir=V")</f>
        <v>0</v>
      </c>
      <c r="M2">
        <f>BDH("BFRI US Equity","BS_CUR_ASSET_REPORT","1993-06-18","2026-05-02","Per=Y","Days=T","Dir=V")</f>
        <v>0</v>
      </c>
      <c r="O2">
        <f>BDH("BFRI US Equity","BS_CUR_LIAB","1993-06-18","2026-05-02","Per=Y","Days=T","Dir=V")</f>
        <v>0</v>
      </c>
      <c r="Q2">
        <f>BDH("BFRI US Equity","BS_SHAREHOLDER_EQY_ENDING_PERIOD","1993-06-18","2026-05-02","Per=Y","Days=T","Dir=V")</f>
        <v>0</v>
      </c>
      <c r="S2">
        <f>BDH("BFRI US Equity","BS_ACCT_NOTE_RCV","1993-06-18","2026-05-02","Per=Y","Days=T","Dir=V")</f>
        <v>0</v>
      </c>
      <c r="U2">
        <f>BDH("BFRI US Equity","BS_INVENTORIES","1993-06-18","2026-05-02","Per=Y","Days=T","Dir=V")</f>
        <v>0</v>
      </c>
      <c r="W2">
        <f>BDH("BFRI US Equity","WORKING_CAPITAL","1993-06-18","2026-05-02","Per=Y","Days=T","Dir=V")</f>
        <v>0</v>
      </c>
      <c r="Y2">
        <f>BDH("BFRI US Equity","SALES_REV_TURN","1993-06-18","2026-05-02","Per=Y","Days=T","Dir=V")</f>
        <v>0</v>
      </c>
      <c r="AA2">
        <f>BDH("BFRI US Equity","EBIT","1993-06-18","2026-05-02","Per=Y","Days=T","Dir=V")</f>
        <v>0</v>
      </c>
      <c r="AC2">
        <f>BDH("BFRI US Equity","EBITDA","1993-06-18","2026-05-02","Per=Y","Days=T","Dir=V")</f>
        <v>0</v>
      </c>
      <c r="AE2">
        <f>BDH("BFRI US Equity","NET_INCOME","1993-06-18","2026-05-02","Per=Y","Days=T","Dir=V")</f>
        <v>0</v>
      </c>
      <c r="AG2">
        <f>BDH("BFRI US Equity","IS_INT_EXPENSE","1993-06-18","2026-05-02","Per=Y","Days=T","Dir=V")</f>
        <v>0</v>
      </c>
      <c r="AI2">
        <f>BDH("BFRI US Equity","IS_DEPR_EXP","1993-06-18","2026-05-02","Per=Y","Days=T","Dir=V")</f>
        <v>0</v>
      </c>
      <c r="AK2">
        <f>BDH("BFRI US Equity","CF_CASH_FROM_OPER","1993-06-18","2026-05-02","Per=Y","Days=T","Dir=V")</f>
        <v>0</v>
      </c>
      <c r="AM2">
        <f>BDH("BFRI US Equity","CAPITAL_EXPEND","1993-06-18","2026-05-02","Per=Y","Days=T","Dir=V")</f>
        <v>0</v>
      </c>
      <c r="AO2">
        <f>BDH("BFRI US Equity","CF_FREE_CASH_FLOW","1993-06-18","2026-05-02","Per=Y","Days=T","Dir=V")</f>
        <v>0</v>
      </c>
      <c r="AQ2">
        <f>BDH("BFRI US Equity","PX_LAST","1993-06-18","2026-05-02","Per=M","Days=T","Dir=V")</f>
        <v>0</v>
      </c>
      <c r="AS2">
        <f>BDH("BFRI US Equity","CUR_MKT_CAP","1993-06-18","2026-05-02","Per=M","Days=T","Dir=V")</f>
        <v>0</v>
      </c>
      <c r="AU2">
        <f>BDH("BFRI US Equity","EQY_SH_OUT","1993-06-18","2026-05-02","Per=M","Days=T","Dir=V")</f>
        <v>0</v>
      </c>
      <c r="AW2">
        <f>BDH("BFRI US Equity","PX_VOLUME","1993-06-18","2026-05-02","Per=M","Days=T","Dir=V")</f>
        <v>0</v>
      </c>
      <c r="AY2">
        <f>BDH("BFRI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BDH("BFRIW US Equity","BS_TOT_ASSET","1993-06-18","2026-05-02","Per=Y","Days=T","Dir=V")</f>
        <v>0</v>
      </c>
      <c r="C2">
        <f>BDH("BFRIW US Equity","BS_TOT_LIAB2","1993-06-18","2026-05-02","Per=Y","Days=T","Dir=V")</f>
        <v>0</v>
      </c>
      <c r="E2">
        <f>BDH("BFRIW US Equity","SHORT_AND_LONG_TERM_DEBT","1993-06-18","2026-05-02","Per=Y","Days=T","Dir=V")</f>
        <v>0</v>
      </c>
      <c r="G2">
        <f>BDH("BFRIW US Equity","BS_ST_BORROW","1993-06-18","2026-05-02","Per=Y","Days=T","Dir=V")</f>
        <v>0</v>
      </c>
      <c r="I2">
        <f>BDH("BFRIW US Equity","BS_LT_BORROW","1993-06-18","2026-05-02","Per=Y","Days=T","Dir=V")</f>
        <v>0</v>
      </c>
      <c r="K2">
        <f>BDH("BFRIW US Equity","BS_CASH_NEAR_CASH_ITEM","1993-06-18","2026-05-02","Per=Y","Days=T","Dir=V")</f>
        <v>0</v>
      </c>
      <c r="M2">
        <f>BDH("BFRIW US Equity","BS_CUR_ASSET_REPORT","1993-06-18","2026-05-02","Per=Y","Days=T","Dir=V")</f>
        <v>0</v>
      </c>
      <c r="O2">
        <f>BDH("BFRIW US Equity","BS_CUR_LIAB","1993-06-18","2026-05-02","Per=Y","Days=T","Dir=V")</f>
        <v>0</v>
      </c>
      <c r="Q2">
        <f>BDH("BFRIW US Equity","BS_SHAREHOLDER_EQY_ENDING_PERIOD","1993-06-18","2026-05-02","Per=Y","Days=T","Dir=V")</f>
        <v>0</v>
      </c>
      <c r="S2">
        <f>BDH("BFRIW US Equity","BS_ACCT_NOTE_RCV","1993-06-18","2026-05-02","Per=Y","Days=T","Dir=V")</f>
        <v>0</v>
      </c>
      <c r="U2">
        <f>BDH("BFRIW US Equity","BS_INVENTORIES","1993-06-18","2026-05-02","Per=Y","Days=T","Dir=V")</f>
        <v>0</v>
      </c>
      <c r="W2">
        <f>BDH("BFRIW US Equity","WORKING_CAPITAL","1993-06-18","2026-05-02","Per=Y","Days=T","Dir=V")</f>
        <v>0</v>
      </c>
      <c r="Y2">
        <f>BDH("BFRIW US Equity","SALES_REV_TURN","1993-06-18","2026-05-02","Per=Y","Days=T","Dir=V")</f>
        <v>0</v>
      </c>
      <c r="AA2">
        <f>BDH("BFRIW US Equity","EBIT","1993-06-18","2026-05-02","Per=Y","Days=T","Dir=V")</f>
        <v>0</v>
      </c>
      <c r="AC2">
        <f>BDH("BFRIW US Equity","EBITDA","1993-06-18","2026-05-02","Per=Y","Days=T","Dir=V")</f>
        <v>0</v>
      </c>
      <c r="AE2">
        <f>BDH("BFRIW US Equity","NET_INCOME","1993-06-18","2026-05-02","Per=Y","Days=T","Dir=V")</f>
        <v>0</v>
      </c>
      <c r="AG2">
        <f>BDH("BFRIW US Equity","IS_INT_EXPENSE","1993-06-18","2026-05-02","Per=Y","Days=T","Dir=V")</f>
        <v>0</v>
      </c>
      <c r="AI2">
        <f>BDH("BFRIW US Equity","IS_DEPR_EXP","1993-06-18","2026-05-02","Per=Y","Days=T","Dir=V")</f>
        <v>0</v>
      </c>
      <c r="AK2">
        <f>BDH("BFRIW US Equity","CF_CASH_FROM_OPER","1993-06-18","2026-05-02","Per=Y","Days=T","Dir=V")</f>
        <v>0</v>
      </c>
      <c r="AM2">
        <f>BDH("BFRIW US Equity","CAPITAL_EXPEND","1993-06-18","2026-05-02","Per=Y","Days=T","Dir=V")</f>
        <v>0</v>
      </c>
      <c r="AO2">
        <f>BDH("BFRIW US Equity","CF_FREE_CASH_FLOW","1993-06-18","2026-05-02","Per=Y","Days=T","Dir=V")</f>
        <v>0</v>
      </c>
      <c r="AQ2">
        <f>BDH("BFRIW US Equity","PX_LAST","1993-06-18","2026-05-02","Per=M","Days=T","Dir=V")</f>
        <v>0</v>
      </c>
      <c r="AS2">
        <f>BDH("BFRIW US Equity","CUR_MKT_CAP","1993-06-18","2026-05-02","Per=M","Days=T","Dir=V")</f>
        <v>0</v>
      </c>
      <c r="AU2">
        <f>BDH("BFRIW US Equity","EQY_SH_OUT","1993-06-18","2026-05-02","Per=M","Days=T","Dir=V")</f>
        <v>0</v>
      </c>
      <c r="AW2">
        <f>BDH("BFRIW US Equity","PX_VOLUME","1993-06-18","2026-05-02","Per=M","Days=T","Dir=V")</f>
        <v>0</v>
      </c>
      <c r="AY2">
        <f>BDH("BFRIW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BDH("BG US Equity","BS_TOT_ASSET","1993-06-18","2026-05-02","Per=Y","Days=T","Dir=V")</f>
        <v>0</v>
      </c>
      <c r="C2">
        <f>BDH("BG US Equity","BS_TOT_LIAB2","1993-06-18","2026-05-02","Per=Y","Days=T","Dir=V")</f>
        <v>0</v>
      </c>
      <c r="E2">
        <f>BDH("BG US Equity","SHORT_AND_LONG_TERM_DEBT","1993-06-18","2026-05-02","Per=Y","Days=T","Dir=V")</f>
        <v>0</v>
      </c>
      <c r="G2">
        <f>BDH("BG US Equity","BS_ST_BORROW","1993-06-18","2026-05-02","Per=Y","Days=T","Dir=V")</f>
        <v>0</v>
      </c>
      <c r="I2">
        <f>BDH("BG US Equity","BS_LT_BORROW","1993-06-18","2026-05-02","Per=Y","Days=T","Dir=V")</f>
        <v>0</v>
      </c>
      <c r="K2">
        <f>BDH("BG US Equity","BS_CASH_NEAR_CASH_ITEM","1993-06-18","2026-05-02","Per=Y","Days=T","Dir=V")</f>
        <v>0</v>
      </c>
      <c r="M2">
        <f>BDH("BG US Equity","BS_CUR_ASSET_REPORT","1993-06-18","2026-05-02","Per=Y","Days=T","Dir=V")</f>
        <v>0</v>
      </c>
      <c r="O2">
        <f>BDH("BG US Equity","BS_CUR_LIAB","1993-06-18","2026-05-02","Per=Y","Days=T","Dir=V")</f>
        <v>0</v>
      </c>
      <c r="Q2">
        <f>BDH("BG US Equity","BS_SHAREHOLDER_EQY_ENDING_PERIOD","1993-06-18","2026-05-02","Per=Y","Days=T","Dir=V")</f>
        <v>0</v>
      </c>
      <c r="S2">
        <f>BDH("BG US Equity","BS_ACCT_NOTE_RCV","1993-06-18","2026-05-02","Per=Y","Days=T","Dir=V")</f>
        <v>0</v>
      </c>
      <c r="U2">
        <f>BDH("BG US Equity","BS_INVENTORIES","1993-06-18","2026-05-02","Per=Y","Days=T","Dir=V")</f>
        <v>0</v>
      </c>
      <c r="W2">
        <f>BDH("BG US Equity","WORKING_CAPITAL","1993-06-18","2026-05-02","Per=Y","Days=T","Dir=V")</f>
        <v>0</v>
      </c>
      <c r="Y2">
        <f>BDH("BG US Equity","SALES_REV_TURN","1993-06-18","2026-05-02","Per=Y","Days=T","Dir=V")</f>
        <v>0</v>
      </c>
      <c r="AA2">
        <f>BDH("BG US Equity","EBIT","1993-06-18","2026-05-02","Per=Y","Days=T","Dir=V")</f>
        <v>0</v>
      </c>
      <c r="AC2">
        <f>BDH("BG US Equity","EBITDA","1993-06-18","2026-05-02","Per=Y","Days=T","Dir=V")</f>
        <v>0</v>
      </c>
      <c r="AE2">
        <f>BDH("BG US Equity","NET_INCOME","1993-06-18","2026-05-02","Per=Y","Days=T","Dir=V")</f>
        <v>0</v>
      </c>
      <c r="AG2">
        <f>BDH("BG US Equity","IS_INT_EXPENSE","1993-06-18","2026-05-02","Per=Y","Days=T","Dir=V")</f>
        <v>0</v>
      </c>
      <c r="AI2">
        <f>BDH("BG US Equity","IS_DEPR_EXP","1993-06-18","2026-05-02","Per=Y","Days=T","Dir=V")</f>
        <v>0</v>
      </c>
      <c r="AK2">
        <f>BDH("BG US Equity","CF_CASH_FROM_OPER","1993-06-18","2026-05-02","Per=Y","Days=T","Dir=V")</f>
        <v>0</v>
      </c>
      <c r="AM2">
        <f>BDH("BG US Equity","CAPITAL_EXPEND","1993-06-18","2026-05-02","Per=Y","Days=T","Dir=V")</f>
        <v>0</v>
      </c>
      <c r="AO2">
        <f>BDH("BG US Equity","CF_FREE_CASH_FLOW","1993-06-18","2026-05-02","Per=Y","Days=T","Dir=V")</f>
        <v>0</v>
      </c>
      <c r="AQ2">
        <f>BDH("BG US Equity","PX_LAST","1993-06-18","2026-05-02","Per=M","Days=T","Dir=V")</f>
        <v>0</v>
      </c>
      <c r="AS2">
        <f>BDH("BG US Equity","CUR_MKT_CAP","1993-06-18","2026-05-02","Per=M","Days=T","Dir=V")</f>
        <v>0</v>
      </c>
      <c r="AU2">
        <f>BDH("BG US Equity","EQY_SH_OUT","1993-06-18","2026-05-02","Per=M","Days=T","Dir=V")</f>
        <v>0</v>
      </c>
      <c r="AW2">
        <f>BDH("BG US Equity","PX_VOLUME","1993-06-18","2026-05-02","Per=M","Days=T","Dir=V")</f>
        <v>0</v>
      </c>
      <c r="AY2">
        <f>BDH("BG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BDH("BGMS US Equity","BS_TOT_ASSET","1993-06-18","2026-05-02","Per=Y","Days=T","Dir=V")</f>
        <v>0</v>
      </c>
      <c r="C2">
        <f>BDH("BGMS US Equity","BS_TOT_LIAB2","1993-06-18","2026-05-02","Per=Y","Days=T","Dir=V")</f>
        <v>0</v>
      </c>
      <c r="E2">
        <f>BDH("BGMS US Equity","SHORT_AND_LONG_TERM_DEBT","1993-06-18","2026-05-02","Per=Y","Days=T","Dir=V")</f>
        <v>0</v>
      </c>
      <c r="G2">
        <f>BDH("BGMS US Equity","BS_ST_BORROW","1993-06-18","2026-05-02","Per=Y","Days=T","Dir=V")</f>
        <v>0</v>
      </c>
      <c r="I2">
        <f>BDH("BGMS US Equity","BS_LT_BORROW","1993-06-18","2026-05-02","Per=Y","Days=T","Dir=V")</f>
        <v>0</v>
      </c>
      <c r="K2">
        <f>BDH("BGMS US Equity","BS_CASH_NEAR_CASH_ITEM","1993-06-18","2026-05-02","Per=Y","Days=T","Dir=V")</f>
        <v>0</v>
      </c>
      <c r="M2">
        <f>BDH("BGMS US Equity","BS_CUR_ASSET_REPORT","1993-06-18","2026-05-02","Per=Y","Days=T","Dir=V")</f>
        <v>0</v>
      </c>
      <c r="O2">
        <f>BDH("BGMS US Equity","BS_CUR_LIAB","1993-06-18","2026-05-02","Per=Y","Days=T","Dir=V")</f>
        <v>0</v>
      </c>
      <c r="Q2">
        <f>BDH("BGMS US Equity","BS_SHAREHOLDER_EQY_ENDING_PERIOD","1993-06-18","2026-05-02","Per=Y","Days=T","Dir=V")</f>
        <v>0</v>
      </c>
      <c r="S2">
        <f>BDH("BGMS US Equity","BS_ACCT_NOTE_RCV","1993-06-18","2026-05-02","Per=Y","Days=T","Dir=V")</f>
        <v>0</v>
      </c>
      <c r="U2">
        <f>BDH("BGMS US Equity","BS_INVENTORIES","1993-06-18","2026-05-02","Per=Y","Days=T","Dir=V")</f>
        <v>0</v>
      </c>
      <c r="W2">
        <f>BDH("BGMS US Equity","WORKING_CAPITAL","1993-06-18","2026-05-02","Per=Y","Days=T","Dir=V")</f>
        <v>0</v>
      </c>
      <c r="Y2">
        <f>BDH("BGMS US Equity","SALES_REV_TURN","1993-06-18","2026-05-02","Per=Y","Days=T","Dir=V")</f>
        <v>0</v>
      </c>
      <c r="AA2">
        <f>BDH("BGMS US Equity","EBIT","1993-06-18","2026-05-02","Per=Y","Days=T","Dir=V")</f>
        <v>0</v>
      </c>
      <c r="AC2">
        <f>BDH("BGMS US Equity","EBITDA","1993-06-18","2026-05-02","Per=Y","Days=T","Dir=V")</f>
        <v>0</v>
      </c>
      <c r="AE2">
        <f>BDH("BGMS US Equity","NET_INCOME","1993-06-18","2026-05-02","Per=Y","Days=T","Dir=V")</f>
        <v>0</v>
      </c>
      <c r="AG2">
        <f>BDH("BGMS US Equity","IS_INT_EXPENSE","1993-06-18","2026-05-02","Per=Y","Days=T","Dir=V")</f>
        <v>0</v>
      </c>
      <c r="AI2">
        <f>BDH("BGMS US Equity","IS_DEPR_EXP","1993-06-18","2026-05-02","Per=Y","Days=T","Dir=V")</f>
        <v>0</v>
      </c>
      <c r="AK2">
        <f>BDH("BGMS US Equity","CF_CASH_FROM_OPER","1993-06-18","2026-05-02","Per=Y","Days=T","Dir=V")</f>
        <v>0</v>
      </c>
      <c r="AM2">
        <f>BDH("BGMS US Equity","CAPITAL_EXPEND","1993-06-18","2026-05-02","Per=Y","Days=T","Dir=V")</f>
        <v>0</v>
      </c>
      <c r="AO2">
        <f>BDH("BGMS US Equity","CF_FREE_CASH_FLOW","1993-06-18","2026-05-02","Per=Y","Days=T","Dir=V")</f>
        <v>0</v>
      </c>
      <c r="AQ2">
        <f>BDH("BGMS US Equity","PX_LAST","1993-06-18","2026-05-02","Per=M","Days=T","Dir=V")</f>
        <v>0</v>
      </c>
      <c r="AS2">
        <f>BDH("BGMS US Equity","CUR_MKT_CAP","1993-06-18","2026-05-02","Per=M","Days=T","Dir=V")</f>
        <v>0</v>
      </c>
      <c r="AU2">
        <f>BDH("BGMS US Equity","EQY_SH_OUT","1993-06-18","2026-05-02","Per=M","Days=T","Dir=V")</f>
        <v>0</v>
      </c>
      <c r="AW2">
        <f>BDH("BGMS US Equity","PX_VOLUME","1993-06-18","2026-05-02","Per=M","Days=T","Dir=V")</f>
        <v>0</v>
      </c>
      <c r="AY2">
        <f>BDH("BGMS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BDH("BGS US Equity","BS_TOT_ASSET","1993-06-18","2026-05-02","Per=Y","Days=T","Dir=V")</f>
        <v>0</v>
      </c>
      <c r="C2">
        <f>BDH("BGS US Equity","BS_TOT_LIAB2","1993-06-18","2026-05-02","Per=Y","Days=T","Dir=V")</f>
        <v>0</v>
      </c>
      <c r="E2">
        <f>BDH("BGS US Equity","SHORT_AND_LONG_TERM_DEBT","1993-06-18","2026-05-02","Per=Y","Days=T","Dir=V")</f>
        <v>0</v>
      </c>
      <c r="G2">
        <f>BDH("BGS US Equity","BS_ST_BORROW","1993-06-18","2026-05-02","Per=Y","Days=T","Dir=V")</f>
        <v>0</v>
      </c>
      <c r="I2">
        <f>BDH("BGS US Equity","BS_LT_BORROW","1993-06-18","2026-05-02","Per=Y","Days=T","Dir=V")</f>
        <v>0</v>
      </c>
      <c r="K2">
        <f>BDH("BGS US Equity","BS_CASH_NEAR_CASH_ITEM","1993-06-18","2026-05-02","Per=Y","Days=T","Dir=V")</f>
        <v>0</v>
      </c>
      <c r="M2">
        <f>BDH("BGS US Equity","BS_CUR_ASSET_REPORT","1993-06-18","2026-05-02","Per=Y","Days=T","Dir=V")</f>
        <v>0</v>
      </c>
      <c r="O2">
        <f>BDH("BGS US Equity","BS_CUR_LIAB","1993-06-18","2026-05-02","Per=Y","Days=T","Dir=V")</f>
        <v>0</v>
      </c>
      <c r="Q2">
        <f>BDH("BGS US Equity","BS_SHAREHOLDER_EQY_ENDING_PERIOD","1993-06-18","2026-05-02","Per=Y","Days=T","Dir=V")</f>
        <v>0</v>
      </c>
      <c r="S2">
        <f>BDH("BGS US Equity","BS_ACCT_NOTE_RCV","1993-06-18","2026-05-02","Per=Y","Days=T","Dir=V")</f>
        <v>0</v>
      </c>
      <c r="U2">
        <f>BDH("BGS US Equity","BS_INVENTORIES","1993-06-18","2026-05-02","Per=Y","Days=T","Dir=V")</f>
        <v>0</v>
      </c>
      <c r="W2">
        <f>BDH("BGS US Equity","WORKING_CAPITAL","1993-06-18","2026-05-02","Per=Y","Days=T","Dir=V")</f>
        <v>0</v>
      </c>
      <c r="Y2">
        <f>BDH("BGS US Equity","SALES_REV_TURN","1993-06-18","2026-05-02","Per=Y","Days=T","Dir=V")</f>
        <v>0</v>
      </c>
      <c r="AA2">
        <f>BDH("BGS US Equity","EBIT","1993-06-18","2026-05-02","Per=Y","Days=T","Dir=V")</f>
        <v>0</v>
      </c>
      <c r="AC2">
        <f>BDH("BGS US Equity","EBITDA","1993-06-18","2026-05-02","Per=Y","Days=T","Dir=V")</f>
        <v>0</v>
      </c>
      <c r="AE2">
        <f>BDH("BGS US Equity","NET_INCOME","1993-06-18","2026-05-02","Per=Y","Days=T","Dir=V")</f>
        <v>0</v>
      </c>
      <c r="AG2">
        <f>BDH("BGS US Equity","IS_INT_EXPENSE","1993-06-18","2026-05-02","Per=Y","Days=T","Dir=V")</f>
        <v>0</v>
      </c>
      <c r="AI2">
        <f>BDH("BGS US Equity","IS_DEPR_EXP","1993-06-18","2026-05-02","Per=Y","Days=T","Dir=V")</f>
        <v>0</v>
      </c>
      <c r="AK2">
        <f>BDH("BGS US Equity","CF_CASH_FROM_OPER","1993-06-18","2026-05-02","Per=Y","Days=T","Dir=V")</f>
        <v>0</v>
      </c>
      <c r="AM2">
        <f>BDH("BGS US Equity","CAPITAL_EXPEND","1993-06-18","2026-05-02","Per=Y","Days=T","Dir=V")</f>
        <v>0</v>
      </c>
      <c r="AO2">
        <f>BDH("BGS US Equity","CF_FREE_CASH_FLOW","1993-06-18","2026-05-02","Per=Y","Days=T","Dir=V")</f>
        <v>0</v>
      </c>
      <c r="AQ2">
        <f>BDH("BGS US Equity","PX_LAST","1993-06-18","2026-05-02","Per=M","Days=T","Dir=V")</f>
        <v>0</v>
      </c>
      <c r="AS2">
        <f>BDH("BGS US Equity","CUR_MKT_CAP","1993-06-18","2026-05-02","Per=M","Days=T","Dir=V")</f>
        <v>0</v>
      </c>
      <c r="AU2">
        <f>BDH("BGS US Equity","EQY_SH_OUT","1993-06-18","2026-05-02","Per=M","Days=T","Dir=V")</f>
        <v>0</v>
      </c>
      <c r="AW2">
        <f>BDH("BGS US Equity","PX_VOLUME","1993-06-18","2026-05-02","Per=M","Days=T","Dir=V")</f>
        <v>0</v>
      </c>
      <c r="AY2">
        <f>BDH("BGS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BDH("BGSF US Equity","BS_TOT_ASSET","1993-06-18","2026-05-02","Per=Y","Days=T","Dir=V")</f>
        <v>0</v>
      </c>
      <c r="C2">
        <f>BDH("BGSF US Equity","BS_TOT_LIAB2","1993-06-18","2026-05-02","Per=Y","Days=T","Dir=V")</f>
        <v>0</v>
      </c>
      <c r="E2">
        <f>BDH("BGSF US Equity","SHORT_AND_LONG_TERM_DEBT","1993-06-18","2026-05-02","Per=Y","Days=T","Dir=V")</f>
        <v>0</v>
      </c>
      <c r="G2">
        <f>BDH("BGSF US Equity","BS_ST_BORROW","1993-06-18","2026-05-02","Per=Y","Days=T","Dir=V")</f>
        <v>0</v>
      </c>
      <c r="I2">
        <f>BDH("BGSF US Equity","BS_LT_BORROW","1993-06-18","2026-05-02","Per=Y","Days=T","Dir=V")</f>
        <v>0</v>
      </c>
      <c r="K2">
        <f>BDH("BGSF US Equity","BS_CASH_NEAR_CASH_ITEM","1993-06-18","2026-05-02","Per=Y","Days=T","Dir=V")</f>
        <v>0</v>
      </c>
      <c r="M2">
        <f>BDH("BGSF US Equity","BS_CUR_ASSET_REPORT","1993-06-18","2026-05-02","Per=Y","Days=T","Dir=V")</f>
        <v>0</v>
      </c>
      <c r="O2">
        <f>BDH("BGSF US Equity","BS_CUR_LIAB","1993-06-18","2026-05-02","Per=Y","Days=T","Dir=V")</f>
        <v>0</v>
      </c>
      <c r="Q2">
        <f>BDH("BGSF US Equity","BS_SHAREHOLDER_EQY_ENDING_PERIOD","1993-06-18","2026-05-02","Per=Y","Days=T","Dir=V")</f>
        <v>0</v>
      </c>
      <c r="S2">
        <f>BDH("BGSF US Equity","BS_ACCT_NOTE_RCV","1993-06-18","2026-05-02","Per=Y","Days=T","Dir=V")</f>
        <v>0</v>
      </c>
      <c r="U2">
        <f>BDH("BGSF US Equity","BS_INVENTORIES","1993-06-18","2026-05-02","Per=Y","Days=T","Dir=V")</f>
        <v>0</v>
      </c>
      <c r="W2">
        <f>BDH("BGSF US Equity","WORKING_CAPITAL","1993-06-18","2026-05-02","Per=Y","Days=T","Dir=V")</f>
        <v>0</v>
      </c>
      <c r="Y2">
        <f>BDH("BGSF US Equity","SALES_REV_TURN","1993-06-18","2026-05-02","Per=Y","Days=T","Dir=V")</f>
        <v>0</v>
      </c>
      <c r="AA2">
        <f>BDH("BGSF US Equity","EBIT","1993-06-18","2026-05-02","Per=Y","Days=T","Dir=V")</f>
        <v>0</v>
      </c>
      <c r="AC2">
        <f>BDH("BGSF US Equity","EBITDA","1993-06-18","2026-05-02","Per=Y","Days=T","Dir=V")</f>
        <v>0</v>
      </c>
      <c r="AE2">
        <f>BDH("BGSF US Equity","NET_INCOME","1993-06-18","2026-05-02","Per=Y","Days=T","Dir=V")</f>
        <v>0</v>
      </c>
      <c r="AG2">
        <f>BDH("BGSF US Equity","IS_INT_EXPENSE","1993-06-18","2026-05-02","Per=Y","Days=T","Dir=V")</f>
        <v>0</v>
      </c>
      <c r="AI2">
        <f>BDH("BGSF US Equity","IS_DEPR_EXP","1993-06-18","2026-05-02","Per=Y","Days=T","Dir=V")</f>
        <v>0</v>
      </c>
      <c r="AK2">
        <f>BDH("BGSF US Equity","CF_CASH_FROM_OPER","1993-06-18","2026-05-02","Per=Y","Days=T","Dir=V")</f>
        <v>0</v>
      </c>
      <c r="AM2">
        <f>BDH("BGSF US Equity","CAPITAL_EXPEND","1993-06-18","2026-05-02","Per=Y","Days=T","Dir=V")</f>
        <v>0</v>
      </c>
      <c r="AO2">
        <f>BDH("BGSF US Equity","CF_FREE_CASH_FLOW","1993-06-18","2026-05-02","Per=Y","Days=T","Dir=V")</f>
        <v>0</v>
      </c>
      <c r="AQ2">
        <f>BDH("BGSF US Equity","PX_LAST","1993-06-18","2026-05-02","Per=M","Days=T","Dir=V")</f>
        <v>0</v>
      </c>
      <c r="AS2">
        <f>BDH("BGSF US Equity","CUR_MKT_CAP","1993-06-18","2026-05-02","Per=M","Days=T","Dir=V")</f>
        <v>0</v>
      </c>
      <c r="AU2">
        <f>BDH("BGSF US Equity","EQY_SH_OUT","1993-06-18","2026-05-02","Per=M","Days=T","Dir=V")</f>
        <v>0</v>
      </c>
      <c r="AW2">
        <f>BDH("BGSF US Equity","PX_VOLUME","1993-06-18","2026-05-02","Per=M","Days=T","Dir=V")</f>
        <v>0</v>
      </c>
      <c r="AY2">
        <f>BDH("BGSF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BDH("BH US Equity","BS_TOT_ASSET","1993-06-18","2026-05-02","Per=Y","Days=T","Dir=V")</f>
        <v>0</v>
      </c>
      <c r="C2">
        <f>BDH("BH US Equity","BS_TOT_LIAB2","1993-06-18","2026-05-02","Per=Y","Days=T","Dir=V")</f>
        <v>0</v>
      </c>
      <c r="E2">
        <f>BDH("BH US Equity","SHORT_AND_LONG_TERM_DEBT","1993-06-18","2026-05-02","Per=Y","Days=T","Dir=V")</f>
        <v>0</v>
      </c>
      <c r="G2">
        <f>BDH("BH US Equity","BS_ST_BORROW","1993-06-18","2026-05-02","Per=Y","Days=T","Dir=V")</f>
        <v>0</v>
      </c>
      <c r="I2">
        <f>BDH("BH US Equity","BS_LT_BORROW","1993-06-18","2026-05-02","Per=Y","Days=T","Dir=V")</f>
        <v>0</v>
      </c>
      <c r="K2">
        <f>BDH("BH US Equity","BS_CASH_NEAR_CASH_ITEM","1993-06-18","2026-05-02","Per=Y","Days=T","Dir=V")</f>
        <v>0</v>
      </c>
      <c r="M2">
        <f>BDH("BH US Equity","BS_CUR_ASSET_REPORT","1993-06-18","2026-05-02","Per=Y","Days=T","Dir=V")</f>
        <v>0</v>
      </c>
      <c r="O2">
        <f>BDH("BH US Equity","BS_CUR_LIAB","1993-06-18","2026-05-02","Per=Y","Days=T","Dir=V")</f>
        <v>0</v>
      </c>
      <c r="Q2">
        <f>BDH("BH US Equity","BS_SHAREHOLDER_EQY_ENDING_PERIOD","1993-06-18","2026-05-02","Per=Y","Days=T","Dir=V")</f>
        <v>0</v>
      </c>
      <c r="S2">
        <f>BDH("BH US Equity","BS_ACCT_NOTE_RCV","1993-06-18","2026-05-02","Per=Y","Days=T","Dir=V")</f>
        <v>0</v>
      </c>
      <c r="U2">
        <f>BDH("BH US Equity","BS_INVENTORIES","1993-06-18","2026-05-02","Per=Y","Days=T","Dir=V")</f>
        <v>0</v>
      </c>
      <c r="W2">
        <f>BDH("BH US Equity","WORKING_CAPITAL","1993-06-18","2026-05-02","Per=Y","Days=T","Dir=V")</f>
        <v>0</v>
      </c>
      <c r="Y2">
        <f>BDH("BH US Equity","SALES_REV_TURN","1993-06-18","2026-05-02","Per=Y","Days=T","Dir=V")</f>
        <v>0</v>
      </c>
      <c r="AA2">
        <f>BDH("BH US Equity","EBIT","1993-06-18","2026-05-02","Per=Y","Days=T","Dir=V")</f>
        <v>0</v>
      </c>
      <c r="AC2">
        <f>BDH("BH US Equity","EBITDA","1993-06-18","2026-05-02","Per=Y","Days=T","Dir=V")</f>
        <v>0</v>
      </c>
      <c r="AE2">
        <f>BDH("BH US Equity","NET_INCOME","1993-06-18","2026-05-02","Per=Y","Days=T","Dir=V")</f>
        <v>0</v>
      </c>
      <c r="AG2">
        <f>BDH("BH US Equity","IS_INT_EXPENSE","1993-06-18","2026-05-02","Per=Y","Days=T","Dir=V")</f>
        <v>0</v>
      </c>
      <c r="AI2">
        <f>BDH("BH US Equity","IS_DEPR_EXP","1993-06-18","2026-05-02","Per=Y","Days=T","Dir=V")</f>
        <v>0</v>
      </c>
      <c r="AK2">
        <f>BDH("BH US Equity","CF_CASH_FROM_OPER","1993-06-18","2026-05-02","Per=Y","Days=T","Dir=V")</f>
        <v>0</v>
      </c>
      <c r="AM2">
        <f>BDH("BH US Equity","CAPITAL_EXPEND","1993-06-18","2026-05-02","Per=Y","Days=T","Dir=V")</f>
        <v>0</v>
      </c>
      <c r="AO2">
        <f>BDH("BH US Equity","CF_FREE_CASH_FLOW","1993-06-18","2026-05-02","Per=Y","Days=T","Dir=V")</f>
        <v>0</v>
      </c>
      <c r="AQ2">
        <f>BDH("BH US Equity","PX_LAST","1993-06-18","2026-05-02","Per=M","Days=T","Dir=V")</f>
        <v>0</v>
      </c>
      <c r="AS2">
        <f>BDH("BH US Equity","CUR_MKT_CAP","1993-06-18","2026-05-02","Per=M","Days=T","Dir=V")</f>
        <v>0</v>
      </c>
      <c r="AU2">
        <f>BDH("BH US Equity","EQY_SH_OUT","1993-06-18","2026-05-02","Per=M","Days=T","Dir=V")</f>
        <v>0</v>
      </c>
      <c r="AW2">
        <f>BDH("BH US Equity","PX_VOLUME","1993-06-18","2026-05-02","Per=M","Days=T","Dir=V")</f>
        <v>0</v>
      </c>
      <c r="AY2">
        <f>BDH("BH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BDH("BHE US Equity","BS_TOT_ASSET","1993-06-18","2026-05-02","Per=Y","Days=T","Dir=V")</f>
        <v>0</v>
      </c>
      <c r="C2">
        <f>BDH("BHE US Equity","BS_TOT_LIAB2","1993-06-18","2026-05-02","Per=Y","Days=T","Dir=V")</f>
        <v>0</v>
      </c>
      <c r="E2">
        <f>BDH("BHE US Equity","SHORT_AND_LONG_TERM_DEBT","1993-06-18","2026-05-02","Per=Y","Days=T","Dir=V")</f>
        <v>0</v>
      </c>
      <c r="G2">
        <f>BDH("BHE US Equity","BS_ST_BORROW","1993-06-18","2026-05-02","Per=Y","Days=T","Dir=V")</f>
        <v>0</v>
      </c>
      <c r="I2">
        <f>BDH("BHE US Equity","BS_LT_BORROW","1993-06-18","2026-05-02","Per=Y","Days=T","Dir=V")</f>
        <v>0</v>
      </c>
      <c r="K2">
        <f>BDH("BHE US Equity","BS_CASH_NEAR_CASH_ITEM","1993-06-18","2026-05-02","Per=Y","Days=T","Dir=V")</f>
        <v>0</v>
      </c>
      <c r="M2">
        <f>BDH("BHE US Equity","BS_CUR_ASSET_REPORT","1993-06-18","2026-05-02","Per=Y","Days=T","Dir=V")</f>
        <v>0</v>
      </c>
      <c r="O2">
        <f>BDH("BHE US Equity","BS_CUR_LIAB","1993-06-18","2026-05-02","Per=Y","Days=T","Dir=V")</f>
        <v>0</v>
      </c>
      <c r="Q2">
        <f>BDH("BHE US Equity","BS_SHAREHOLDER_EQY_ENDING_PERIOD","1993-06-18","2026-05-02","Per=Y","Days=T","Dir=V")</f>
        <v>0</v>
      </c>
      <c r="S2">
        <f>BDH("BHE US Equity","BS_ACCT_NOTE_RCV","1993-06-18","2026-05-02","Per=Y","Days=T","Dir=V")</f>
        <v>0</v>
      </c>
      <c r="U2">
        <f>BDH("BHE US Equity","BS_INVENTORIES","1993-06-18","2026-05-02","Per=Y","Days=T","Dir=V")</f>
        <v>0</v>
      </c>
      <c r="W2">
        <f>BDH("BHE US Equity","WORKING_CAPITAL","1993-06-18","2026-05-02","Per=Y","Days=T","Dir=V")</f>
        <v>0</v>
      </c>
      <c r="Y2">
        <f>BDH("BHE US Equity","SALES_REV_TURN","1993-06-18","2026-05-02","Per=Y","Days=T","Dir=V")</f>
        <v>0</v>
      </c>
      <c r="AA2">
        <f>BDH("BHE US Equity","EBIT","1993-06-18","2026-05-02","Per=Y","Days=T","Dir=V")</f>
        <v>0</v>
      </c>
      <c r="AC2">
        <f>BDH("BHE US Equity","EBITDA","1993-06-18","2026-05-02","Per=Y","Days=T","Dir=V")</f>
        <v>0</v>
      </c>
      <c r="AE2">
        <f>BDH("BHE US Equity","NET_INCOME","1993-06-18","2026-05-02","Per=Y","Days=T","Dir=V")</f>
        <v>0</v>
      </c>
      <c r="AG2">
        <f>BDH("BHE US Equity","IS_INT_EXPENSE","1993-06-18","2026-05-02","Per=Y","Days=T","Dir=V")</f>
        <v>0</v>
      </c>
      <c r="AI2">
        <f>BDH("BHE US Equity","IS_DEPR_EXP","1993-06-18","2026-05-02","Per=Y","Days=T","Dir=V")</f>
        <v>0</v>
      </c>
      <c r="AK2">
        <f>BDH("BHE US Equity","CF_CASH_FROM_OPER","1993-06-18","2026-05-02","Per=Y","Days=T","Dir=V")</f>
        <v>0</v>
      </c>
      <c r="AM2">
        <f>BDH("BHE US Equity","CAPITAL_EXPEND","1993-06-18","2026-05-02","Per=Y","Days=T","Dir=V")</f>
        <v>0</v>
      </c>
      <c r="AO2">
        <f>BDH("BHE US Equity","CF_FREE_CASH_FLOW","1993-06-18","2026-05-02","Per=Y","Days=T","Dir=V")</f>
        <v>0</v>
      </c>
      <c r="AQ2">
        <f>BDH("BHE US Equity","PX_LAST","1993-06-18","2026-05-02","Per=M","Days=T","Dir=V")</f>
        <v>0</v>
      </c>
      <c r="AS2">
        <f>BDH("BHE US Equity","CUR_MKT_CAP","1993-06-18","2026-05-02","Per=M","Days=T","Dir=V")</f>
        <v>0</v>
      </c>
      <c r="AU2">
        <f>BDH("BHE US Equity","EQY_SH_OUT","1993-06-18","2026-05-02","Per=M","Days=T","Dir=V")</f>
        <v>0</v>
      </c>
      <c r="AW2">
        <f>BDH("BHE US Equity","PX_VOLUME","1993-06-18","2026-05-02","Per=M","Days=T","Dir=V")</f>
        <v>0</v>
      </c>
      <c r="AY2">
        <f>BDH("BHE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BDH("BHVN US Equity","BS_TOT_ASSET","1993-06-18","2026-05-02","Per=Y","Days=T","Dir=V")</f>
        <v>0</v>
      </c>
      <c r="C2">
        <f>BDH("BHVN US Equity","BS_TOT_LIAB2","1993-06-18","2026-05-02","Per=Y","Days=T","Dir=V")</f>
        <v>0</v>
      </c>
      <c r="E2">
        <f>BDH("BHVN US Equity","SHORT_AND_LONG_TERM_DEBT","1993-06-18","2026-05-02","Per=Y","Days=T","Dir=V")</f>
        <v>0</v>
      </c>
      <c r="G2">
        <f>BDH("BHVN US Equity","BS_ST_BORROW","1993-06-18","2026-05-02","Per=Y","Days=T","Dir=V")</f>
        <v>0</v>
      </c>
      <c r="I2">
        <f>BDH("BHVN US Equity","BS_LT_BORROW","1993-06-18","2026-05-02","Per=Y","Days=T","Dir=V")</f>
        <v>0</v>
      </c>
      <c r="K2">
        <f>BDH("BHVN US Equity","BS_CASH_NEAR_CASH_ITEM","1993-06-18","2026-05-02","Per=Y","Days=T","Dir=V")</f>
        <v>0</v>
      </c>
      <c r="M2">
        <f>BDH("BHVN US Equity","BS_CUR_ASSET_REPORT","1993-06-18","2026-05-02","Per=Y","Days=T","Dir=V")</f>
        <v>0</v>
      </c>
      <c r="O2">
        <f>BDH("BHVN US Equity","BS_CUR_LIAB","1993-06-18","2026-05-02","Per=Y","Days=T","Dir=V")</f>
        <v>0</v>
      </c>
      <c r="Q2">
        <f>BDH("BHVN US Equity","BS_SHAREHOLDER_EQY_ENDING_PERIOD","1993-06-18","2026-05-02","Per=Y","Days=T","Dir=V")</f>
        <v>0</v>
      </c>
      <c r="S2">
        <f>BDH("BHVN US Equity","BS_ACCT_NOTE_RCV","1993-06-18","2026-05-02","Per=Y","Days=T","Dir=V")</f>
        <v>0</v>
      </c>
      <c r="U2">
        <f>BDH("BHVN US Equity","BS_INVENTORIES","1993-06-18","2026-05-02","Per=Y","Days=T","Dir=V")</f>
        <v>0</v>
      </c>
      <c r="W2">
        <f>BDH("BHVN US Equity","WORKING_CAPITAL","1993-06-18","2026-05-02","Per=Y","Days=T","Dir=V")</f>
        <v>0</v>
      </c>
      <c r="Y2">
        <f>BDH("BHVN US Equity","SALES_REV_TURN","1993-06-18","2026-05-02","Per=Y","Days=T","Dir=V")</f>
        <v>0</v>
      </c>
      <c r="AA2">
        <f>BDH("BHVN US Equity","EBIT","1993-06-18","2026-05-02","Per=Y","Days=T","Dir=V")</f>
        <v>0</v>
      </c>
      <c r="AC2">
        <f>BDH("BHVN US Equity","EBITDA","1993-06-18","2026-05-02","Per=Y","Days=T","Dir=V")</f>
        <v>0</v>
      </c>
      <c r="AE2">
        <f>BDH("BHVN US Equity","NET_INCOME","1993-06-18","2026-05-02","Per=Y","Days=T","Dir=V")</f>
        <v>0</v>
      </c>
      <c r="AG2">
        <f>BDH("BHVN US Equity","IS_INT_EXPENSE","1993-06-18","2026-05-02","Per=Y","Days=T","Dir=V")</f>
        <v>0</v>
      </c>
      <c r="AI2">
        <f>BDH("BHVN US Equity","IS_DEPR_EXP","1993-06-18","2026-05-02","Per=Y","Days=T","Dir=V")</f>
        <v>0</v>
      </c>
      <c r="AK2">
        <f>BDH("BHVN US Equity","CF_CASH_FROM_OPER","1993-06-18","2026-05-02","Per=Y","Days=T","Dir=V")</f>
        <v>0</v>
      </c>
      <c r="AM2">
        <f>BDH("BHVN US Equity","CAPITAL_EXPEND","1993-06-18","2026-05-02","Per=Y","Days=T","Dir=V")</f>
        <v>0</v>
      </c>
      <c r="AO2">
        <f>BDH("BHVN US Equity","CF_FREE_CASH_FLOW","1993-06-18","2026-05-02","Per=Y","Days=T","Dir=V")</f>
        <v>0</v>
      </c>
      <c r="AQ2">
        <f>BDH("BHVN US Equity","PX_LAST","1993-06-18","2026-05-02","Per=M","Days=T","Dir=V")</f>
        <v>0</v>
      </c>
      <c r="AS2">
        <f>BDH("BHVN US Equity","CUR_MKT_CAP","1993-06-18","2026-05-02","Per=M","Days=T","Dir=V")</f>
        <v>0</v>
      </c>
      <c r="AU2">
        <f>BDH("BHVN US Equity","EQY_SH_OUT","1993-06-18","2026-05-02","Per=M","Days=T","Dir=V")</f>
        <v>0</v>
      </c>
      <c r="AW2">
        <f>BDH("BHVN US Equity","PX_VOLUME","1993-06-18","2026-05-02","Per=M","Days=T","Dir=V")</f>
        <v>0</v>
      </c>
      <c r="AY2">
        <f>BDH("BHVN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BDH("BIAF US Equity","BS_TOT_ASSET","1993-06-18","2026-05-02","Per=Y","Days=T","Dir=V")</f>
        <v>0</v>
      </c>
      <c r="C2">
        <f>BDH("BIAF US Equity","BS_TOT_LIAB2","1993-06-18","2026-05-02","Per=Y","Days=T","Dir=V")</f>
        <v>0</v>
      </c>
      <c r="E2">
        <f>BDH("BIAF US Equity","SHORT_AND_LONG_TERM_DEBT","1993-06-18","2026-05-02","Per=Y","Days=T","Dir=V")</f>
        <v>0</v>
      </c>
      <c r="G2">
        <f>BDH("BIAF US Equity","BS_ST_BORROW","1993-06-18","2026-05-02","Per=Y","Days=T","Dir=V")</f>
        <v>0</v>
      </c>
      <c r="I2">
        <f>BDH("BIAF US Equity","BS_LT_BORROW","1993-06-18","2026-05-02","Per=Y","Days=T","Dir=V")</f>
        <v>0</v>
      </c>
      <c r="K2">
        <f>BDH("BIAF US Equity","BS_CASH_NEAR_CASH_ITEM","1993-06-18","2026-05-02","Per=Y","Days=T","Dir=V")</f>
        <v>0</v>
      </c>
      <c r="M2">
        <f>BDH("BIAF US Equity","BS_CUR_ASSET_REPORT","1993-06-18","2026-05-02","Per=Y","Days=T","Dir=V")</f>
        <v>0</v>
      </c>
      <c r="O2">
        <f>BDH("BIAF US Equity","BS_CUR_LIAB","1993-06-18","2026-05-02","Per=Y","Days=T","Dir=V")</f>
        <v>0</v>
      </c>
      <c r="Q2">
        <f>BDH("BIAF US Equity","BS_SHAREHOLDER_EQY_ENDING_PERIOD","1993-06-18","2026-05-02","Per=Y","Days=T","Dir=V")</f>
        <v>0</v>
      </c>
      <c r="S2">
        <f>BDH("BIAF US Equity","BS_ACCT_NOTE_RCV","1993-06-18","2026-05-02","Per=Y","Days=T","Dir=V")</f>
        <v>0</v>
      </c>
      <c r="U2">
        <f>BDH("BIAF US Equity","BS_INVENTORIES","1993-06-18","2026-05-02","Per=Y","Days=T","Dir=V")</f>
        <v>0</v>
      </c>
      <c r="W2">
        <f>BDH("BIAF US Equity","WORKING_CAPITAL","1993-06-18","2026-05-02","Per=Y","Days=T","Dir=V")</f>
        <v>0</v>
      </c>
      <c r="Y2">
        <f>BDH("BIAF US Equity","SALES_REV_TURN","1993-06-18","2026-05-02","Per=Y","Days=T","Dir=V")</f>
        <v>0</v>
      </c>
      <c r="AA2">
        <f>BDH("BIAF US Equity","EBIT","1993-06-18","2026-05-02","Per=Y","Days=T","Dir=V")</f>
        <v>0</v>
      </c>
      <c r="AC2">
        <f>BDH("BIAF US Equity","EBITDA","1993-06-18","2026-05-02","Per=Y","Days=T","Dir=V")</f>
        <v>0</v>
      </c>
      <c r="AE2">
        <f>BDH("BIAF US Equity","NET_INCOME","1993-06-18","2026-05-02","Per=Y","Days=T","Dir=V")</f>
        <v>0</v>
      </c>
      <c r="AG2">
        <f>BDH("BIAF US Equity","IS_INT_EXPENSE","1993-06-18","2026-05-02","Per=Y","Days=T","Dir=V")</f>
        <v>0</v>
      </c>
      <c r="AI2">
        <f>BDH("BIAF US Equity","IS_DEPR_EXP","1993-06-18","2026-05-02","Per=Y","Days=T","Dir=V")</f>
        <v>0</v>
      </c>
      <c r="AK2">
        <f>BDH("BIAF US Equity","CF_CASH_FROM_OPER","1993-06-18","2026-05-02","Per=Y","Days=T","Dir=V")</f>
        <v>0</v>
      </c>
      <c r="AM2">
        <f>BDH("BIAF US Equity","CAPITAL_EXPEND","1993-06-18","2026-05-02","Per=Y","Days=T","Dir=V")</f>
        <v>0</v>
      </c>
      <c r="AO2">
        <f>BDH("BIAF US Equity","CF_FREE_CASH_FLOW","1993-06-18","2026-05-02","Per=Y","Days=T","Dir=V")</f>
        <v>0</v>
      </c>
      <c r="AQ2">
        <f>BDH("BIAF US Equity","PX_LAST","1993-06-18","2026-05-02","Per=M","Days=T","Dir=V")</f>
        <v>0</v>
      </c>
      <c r="AS2">
        <f>BDH("BIAF US Equity","CUR_MKT_CAP","1993-06-18","2026-05-02","Per=M","Days=T","Dir=V")</f>
        <v>0</v>
      </c>
      <c r="AU2">
        <f>BDH("BIAF US Equity","EQY_SH_OUT","1993-06-18","2026-05-02","Per=M","Days=T","Dir=V")</f>
        <v>0</v>
      </c>
      <c r="AW2">
        <f>BDH("BIAF US Equity","PX_VOLUME","1993-06-18","2026-05-02","Per=M","Days=T","Dir=V")</f>
        <v>0</v>
      </c>
      <c r="AY2">
        <f>BDH("BIAF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BDH("BIAFW US Equity","BS_TOT_ASSET","1993-06-18","2026-05-02","Per=Y","Days=T","Dir=V")</f>
        <v>0</v>
      </c>
      <c r="C2">
        <f>BDH("BIAFW US Equity","BS_TOT_LIAB2","1993-06-18","2026-05-02","Per=Y","Days=T","Dir=V")</f>
        <v>0</v>
      </c>
      <c r="E2">
        <f>BDH("BIAFW US Equity","SHORT_AND_LONG_TERM_DEBT","1993-06-18","2026-05-02","Per=Y","Days=T","Dir=V")</f>
        <v>0</v>
      </c>
      <c r="G2">
        <f>BDH("BIAFW US Equity","BS_ST_BORROW","1993-06-18","2026-05-02","Per=Y","Days=T","Dir=V")</f>
        <v>0</v>
      </c>
      <c r="I2">
        <f>BDH("BIAFW US Equity","BS_LT_BORROW","1993-06-18","2026-05-02","Per=Y","Days=T","Dir=V")</f>
        <v>0</v>
      </c>
      <c r="K2">
        <f>BDH("BIAFW US Equity","BS_CASH_NEAR_CASH_ITEM","1993-06-18","2026-05-02","Per=Y","Days=T","Dir=V")</f>
        <v>0</v>
      </c>
      <c r="M2">
        <f>BDH("BIAFW US Equity","BS_CUR_ASSET_REPORT","1993-06-18","2026-05-02","Per=Y","Days=T","Dir=V")</f>
        <v>0</v>
      </c>
      <c r="O2">
        <f>BDH("BIAFW US Equity","BS_CUR_LIAB","1993-06-18","2026-05-02","Per=Y","Days=T","Dir=V")</f>
        <v>0</v>
      </c>
      <c r="Q2">
        <f>BDH("BIAFW US Equity","BS_SHAREHOLDER_EQY_ENDING_PERIOD","1993-06-18","2026-05-02","Per=Y","Days=T","Dir=V")</f>
        <v>0</v>
      </c>
      <c r="S2">
        <f>BDH("BIAFW US Equity","BS_ACCT_NOTE_RCV","1993-06-18","2026-05-02","Per=Y","Days=T","Dir=V")</f>
        <v>0</v>
      </c>
      <c r="U2">
        <f>BDH("BIAFW US Equity","BS_INVENTORIES","1993-06-18","2026-05-02","Per=Y","Days=T","Dir=V")</f>
        <v>0</v>
      </c>
      <c r="W2">
        <f>BDH("BIAFW US Equity","WORKING_CAPITAL","1993-06-18","2026-05-02","Per=Y","Days=T","Dir=V")</f>
        <v>0</v>
      </c>
      <c r="Y2">
        <f>BDH("BIAFW US Equity","SALES_REV_TURN","1993-06-18","2026-05-02","Per=Y","Days=T","Dir=V")</f>
        <v>0</v>
      </c>
      <c r="AA2">
        <f>BDH("BIAFW US Equity","EBIT","1993-06-18","2026-05-02","Per=Y","Days=T","Dir=V")</f>
        <v>0</v>
      </c>
      <c r="AC2">
        <f>BDH("BIAFW US Equity","EBITDA","1993-06-18","2026-05-02","Per=Y","Days=T","Dir=V")</f>
        <v>0</v>
      </c>
      <c r="AE2">
        <f>BDH("BIAFW US Equity","NET_INCOME","1993-06-18","2026-05-02","Per=Y","Days=T","Dir=V")</f>
        <v>0</v>
      </c>
      <c r="AG2">
        <f>BDH("BIAFW US Equity","IS_INT_EXPENSE","1993-06-18","2026-05-02","Per=Y","Days=T","Dir=V")</f>
        <v>0</v>
      </c>
      <c r="AI2">
        <f>BDH("BIAFW US Equity","IS_DEPR_EXP","1993-06-18","2026-05-02","Per=Y","Days=T","Dir=V")</f>
        <v>0</v>
      </c>
      <c r="AK2">
        <f>BDH("BIAFW US Equity","CF_CASH_FROM_OPER","1993-06-18","2026-05-02","Per=Y","Days=T","Dir=V")</f>
        <v>0</v>
      </c>
      <c r="AM2">
        <f>BDH("BIAFW US Equity","CAPITAL_EXPEND","1993-06-18","2026-05-02","Per=Y","Days=T","Dir=V")</f>
        <v>0</v>
      </c>
      <c r="AO2">
        <f>BDH("BIAFW US Equity","CF_FREE_CASH_FLOW","1993-06-18","2026-05-02","Per=Y","Days=T","Dir=V")</f>
        <v>0</v>
      </c>
      <c r="AQ2">
        <f>BDH("BIAFW US Equity","PX_LAST","1993-06-18","2026-05-02","Per=M","Days=T","Dir=V")</f>
        <v>0</v>
      </c>
      <c r="AS2">
        <f>BDH("BIAFW US Equity","CUR_MKT_CAP","1993-06-18","2026-05-02","Per=M","Days=T","Dir=V")</f>
        <v>0</v>
      </c>
      <c r="AU2">
        <f>BDH("BIAFW US Equity","EQY_SH_OUT","1993-06-18","2026-05-02","Per=M","Days=T","Dir=V")</f>
        <v>0</v>
      </c>
      <c r="AW2">
        <f>BDH("BIAFW US Equity","PX_VOLUME","1993-06-18","2026-05-02","Per=M","Days=T","Dir=V")</f>
        <v>0</v>
      </c>
      <c r="AY2">
        <f>BDH("BIAFW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BDH("BIIB US Equity","BS_TOT_ASSET","1993-06-18","2026-05-02","Per=Y","Days=T","Dir=V")</f>
        <v>0</v>
      </c>
      <c r="C2">
        <f>BDH("BIIB US Equity","BS_TOT_LIAB2","1993-06-18","2026-05-02","Per=Y","Days=T","Dir=V")</f>
        <v>0</v>
      </c>
      <c r="E2">
        <f>BDH("BIIB US Equity","SHORT_AND_LONG_TERM_DEBT","1993-06-18","2026-05-02","Per=Y","Days=T","Dir=V")</f>
        <v>0</v>
      </c>
      <c r="G2">
        <f>BDH("BIIB US Equity","BS_ST_BORROW","1993-06-18","2026-05-02","Per=Y","Days=T","Dir=V")</f>
        <v>0</v>
      </c>
      <c r="I2">
        <f>BDH("BIIB US Equity","BS_LT_BORROW","1993-06-18","2026-05-02","Per=Y","Days=T","Dir=V")</f>
        <v>0</v>
      </c>
      <c r="K2">
        <f>BDH("BIIB US Equity","BS_CASH_NEAR_CASH_ITEM","1993-06-18","2026-05-02","Per=Y","Days=T","Dir=V")</f>
        <v>0</v>
      </c>
      <c r="M2">
        <f>BDH("BIIB US Equity","BS_CUR_ASSET_REPORT","1993-06-18","2026-05-02","Per=Y","Days=T","Dir=V")</f>
        <v>0</v>
      </c>
      <c r="O2">
        <f>BDH("BIIB US Equity","BS_CUR_LIAB","1993-06-18","2026-05-02","Per=Y","Days=T","Dir=V")</f>
        <v>0</v>
      </c>
      <c r="Q2">
        <f>BDH("BIIB US Equity","BS_SHAREHOLDER_EQY_ENDING_PERIOD","1993-06-18","2026-05-02","Per=Y","Days=T","Dir=V")</f>
        <v>0</v>
      </c>
      <c r="S2">
        <f>BDH("BIIB US Equity","BS_ACCT_NOTE_RCV","1993-06-18","2026-05-02","Per=Y","Days=T","Dir=V")</f>
        <v>0</v>
      </c>
      <c r="U2">
        <f>BDH("BIIB US Equity","BS_INVENTORIES","1993-06-18","2026-05-02","Per=Y","Days=T","Dir=V")</f>
        <v>0</v>
      </c>
      <c r="W2">
        <f>BDH("BIIB US Equity","WORKING_CAPITAL","1993-06-18","2026-05-02","Per=Y","Days=T","Dir=V")</f>
        <v>0</v>
      </c>
      <c r="Y2">
        <f>BDH("BIIB US Equity","SALES_REV_TURN","1993-06-18","2026-05-02","Per=Y","Days=T","Dir=V")</f>
        <v>0</v>
      </c>
      <c r="AA2">
        <f>BDH("BIIB US Equity","EBIT","1993-06-18","2026-05-02","Per=Y","Days=T","Dir=V")</f>
        <v>0</v>
      </c>
      <c r="AC2">
        <f>BDH("BIIB US Equity","EBITDA","1993-06-18","2026-05-02","Per=Y","Days=T","Dir=V")</f>
        <v>0</v>
      </c>
      <c r="AE2">
        <f>BDH("BIIB US Equity","NET_INCOME","1993-06-18","2026-05-02","Per=Y","Days=T","Dir=V")</f>
        <v>0</v>
      </c>
      <c r="AG2">
        <f>BDH("BIIB US Equity","IS_INT_EXPENSE","1993-06-18","2026-05-02","Per=Y","Days=T","Dir=V")</f>
        <v>0</v>
      </c>
      <c r="AI2">
        <f>BDH("BIIB US Equity","IS_DEPR_EXP","1993-06-18","2026-05-02","Per=Y","Days=T","Dir=V")</f>
        <v>0</v>
      </c>
      <c r="AK2">
        <f>BDH("BIIB US Equity","CF_CASH_FROM_OPER","1993-06-18","2026-05-02","Per=Y","Days=T","Dir=V")</f>
        <v>0</v>
      </c>
      <c r="AM2">
        <f>BDH("BIIB US Equity","CAPITAL_EXPEND","1993-06-18","2026-05-02","Per=Y","Days=T","Dir=V")</f>
        <v>0</v>
      </c>
      <c r="AO2">
        <f>BDH("BIIB US Equity","CF_FREE_CASH_FLOW","1993-06-18","2026-05-02","Per=Y","Days=T","Dir=V")</f>
        <v>0</v>
      </c>
      <c r="AQ2">
        <f>BDH("BIIB US Equity","PX_LAST","1993-06-18","2026-05-02","Per=M","Days=T","Dir=V")</f>
        <v>0</v>
      </c>
      <c r="AS2">
        <f>BDH("BIIB US Equity","CUR_MKT_CAP","1993-06-18","2026-05-02","Per=M","Days=T","Dir=V")</f>
        <v>0</v>
      </c>
      <c r="AU2">
        <f>BDH("BIIB US Equity","EQY_SH_OUT","1993-06-18","2026-05-02","Per=M","Days=T","Dir=V")</f>
        <v>0</v>
      </c>
      <c r="AW2">
        <f>BDH("BIIB US Equity","PX_VOLUME","1993-06-18","2026-05-02","Per=M","Days=T","Dir=V")</f>
        <v>0</v>
      </c>
      <c r="AY2">
        <f>BDH("BIIB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BDH("BILL US Equity","BS_TOT_ASSET","1993-06-18","2026-05-02","Per=Y","Days=T","Dir=V")</f>
        <v>0</v>
      </c>
      <c r="C2">
        <f>BDH("BILL US Equity","BS_TOT_LIAB2","1993-06-18","2026-05-02","Per=Y","Days=T","Dir=V")</f>
        <v>0</v>
      </c>
      <c r="E2">
        <f>BDH("BILL US Equity","SHORT_AND_LONG_TERM_DEBT","1993-06-18","2026-05-02","Per=Y","Days=T","Dir=V")</f>
        <v>0</v>
      </c>
      <c r="G2">
        <f>BDH("BILL US Equity","BS_ST_BORROW","1993-06-18","2026-05-02","Per=Y","Days=T","Dir=V")</f>
        <v>0</v>
      </c>
      <c r="I2">
        <f>BDH("BILL US Equity","BS_LT_BORROW","1993-06-18","2026-05-02","Per=Y","Days=T","Dir=V")</f>
        <v>0</v>
      </c>
      <c r="K2">
        <f>BDH("BILL US Equity","BS_CASH_NEAR_CASH_ITEM","1993-06-18","2026-05-02","Per=Y","Days=T","Dir=V")</f>
        <v>0</v>
      </c>
      <c r="M2">
        <f>BDH("BILL US Equity","BS_CUR_ASSET_REPORT","1993-06-18","2026-05-02","Per=Y","Days=T","Dir=V")</f>
        <v>0</v>
      </c>
      <c r="O2">
        <f>BDH("BILL US Equity","BS_CUR_LIAB","1993-06-18","2026-05-02","Per=Y","Days=T","Dir=V")</f>
        <v>0</v>
      </c>
      <c r="Q2">
        <f>BDH("BILL US Equity","BS_SHAREHOLDER_EQY_ENDING_PERIOD","1993-06-18","2026-05-02","Per=Y","Days=T","Dir=V")</f>
        <v>0</v>
      </c>
      <c r="S2">
        <f>BDH("BILL US Equity","BS_ACCT_NOTE_RCV","1993-06-18","2026-05-02","Per=Y","Days=T","Dir=V")</f>
        <v>0</v>
      </c>
      <c r="U2">
        <f>BDH("BILL US Equity","BS_INVENTORIES","1993-06-18","2026-05-02","Per=Y","Days=T","Dir=V")</f>
        <v>0</v>
      </c>
      <c r="W2">
        <f>BDH("BILL US Equity","WORKING_CAPITAL","1993-06-18","2026-05-02","Per=Y","Days=T","Dir=V")</f>
        <v>0</v>
      </c>
      <c r="Y2">
        <f>BDH("BILL US Equity","SALES_REV_TURN","1993-06-18","2026-05-02","Per=Y","Days=T","Dir=V")</f>
        <v>0</v>
      </c>
      <c r="AA2">
        <f>BDH("BILL US Equity","EBIT","1993-06-18","2026-05-02","Per=Y","Days=T","Dir=V")</f>
        <v>0</v>
      </c>
      <c r="AC2">
        <f>BDH("BILL US Equity","EBITDA","1993-06-18","2026-05-02","Per=Y","Days=T","Dir=V")</f>
        <v>0</v>
      </c>
      <c r="AE2">
        <f>BDH("BILL US Equity","NET_INCOME","1993-06-18","2026-05-02","Per=Y","Days=T","Dir=V")</f>
        <v>0</v>
      </c>
      <c r="AG2">
        <f>BDH("BILL US Equity","IS_INT_EXPENSE","1993-06-18","2026-05-02","Per=Y","Days=T","Dir=V")</f>
        <v>0</v>
      </c>
      <c r="AI2">
        <f>BDH("BILL US Equity","IS_DEPR_EXP","1993-06-18","2026-05-02","Per=Y","Days=T","Dir=V")</f>
        <v>0</v>
      </c>
      <c r="AK2">
        <f>BDH("BILL US Equity","CF_CASH_FROM_OPER","1993-06-18","2026-05-02","Per=Y","Days=T","Dir=V")</f>
        <v>0</v>
      </c>
      <c r="AM2">
        <f>BDH("BILL US Equity","CAPITAL_EXPEND","1993-06-18","2026-05-02","Per=Y","Days=T","Dir=V")</f>
        <v>0</v>
      </c>
      <c r="AO2">
        <f>BDH("BILL US Equity","CF_FREE_CASH_FLOW","1993-06-18","2026-05-02","Per=Y","Days=T","Dir=V")</f>
        <v>0</v>
      </c>
      <c r="AQ2">
        <f>BDH("BILL US Equity","PX_LAST","1993-06-18","2026-05-02","Per=M","Days=T","Dir=V")</f>
        <v>0</v>
      </c>
      <c r="AS2">
        <f>BDH("BILL US Equity","CUR_MKT_CAP","1993-06-18","2026-05-02","Per=M","Days=T","Dir=V")</f>
        <v>0</v>
      </c>
      <c r="AU2">
        <f>BDH("BILL US Equity","EQY_SH_OUT","1993-06-18","2026-05-02","Per=M","Days=T","Dir=V")</f>
        <v>0</v>
      </c>
      <c r="AW2">
        <f>BDH("BILL US Equity","PX_VOLUME","1993-06-18","2026-05-02","Per=M","Days=T","Dir=V")</f>
        <v>0</v>
      </c>
      <c r="AY2">
        <f>BDH("BILL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BDH("BIO US Equity","BS_TOT_ASSET","1993-06-18","2026-05-02","Per=Y","Days=T","Dir=V")</f>
        <v>0</v>
      </c>
      <c r="C2">
        <f>BDH("BIO US Equity","BS_TOT_LIAB2","1993-06-18","2026-05-02","Per=Y","Days=T","Dir=V")</f>
        <v>0</v>
      </c>
      <c r="E2">
        <f>BDH("BIO US Equity","SHORT_AND_LONG_TERM_DEBT","1993-06-18","2026-05-02","Per=Y","Days=T","Dir=V")</f>
        <v>0</v>
      </c>
      <c r="G2">
        <f>BDH("BIO US Equity","BS_ST_BORROW","1993-06-18","2026-05-02","Per=Y","Days=T","Dir=V")</f>
        <v>0</v>
      </c>
      <c r="I2">
        <f>BDH("BIO US Equity","BS_LT_BORROW","1993-06-18","2026-05-02","Per=Y","Days=T","Dir=V")</f>
        <v>0</v>
      </c>
      <c r="K2">
        <f>BDH("BIO US Equity","BS_CASH_NEAR_CASH_ITEM","1993-06-18","2026-05-02","Per=Y","Days=T","Dir=V")</f>
        <v>0</v>
      </c>
      <c r="M2">
        <f>BDH("BIO US Equity","BS_CUR_ASSET_REPORT","1993-06-18","2026-05-02","Per=Y","Days=T","Dir=V")</f>
        <v>0</v>
      </c>
      <c r="O2">
        <f>BDH("BIO US Equity","BS_CUR_LIAB","1993-06-18","2026-05-02","Per=Y","Days=T","Dir=V")</f>
        <v>0</v>
      </c>
      <c r="Q2">
        <f>BDH("BIO US Equity","BS_SHAREHOLDER_EQY_ENDING_PERIOD","1993-06-18","2026-05-02","Per=Y","Days=T","Dir=V")</f>
        <v>0</v>
      </c>
      <c r="S2">
        <f>BDH("BIO US Equity","BS_ACCT_NOTE_RCV","1993-06-18","2026-05-02","Per=Y","Days=T","Dir=V")</f>
        <v>0</v>
      </c>
      <c r="U2">
        <f>BDH("BIO US Equity","BS_INVENTORIES","1993-06-18","2026-05-02","Per=Y","Days=T","Dir=V")</f>
        <v>0</v>
      </c>
      <c r="W2">
        <f>BDH("BIO US Equity","WORKING_CAPITAL","1993-06-18","2026-05-02","Per=Y","Days=T","Dir=V")</f>
        <v>0</v>
      </c>
      <c r="Y2">
        <f>BDH("BIO US Equity","SALES_REV_TURN","1993-06-18","2026-05-02","Per=Y","Days=T","Dir=V")</f>
        <v>0</v>
      </c>
      <c r="AA2">
        <f>BDH("BIO US Equity","EBIT","1993-06-18","2026-05-02","Per=Y","Days=T","Dir=V")</f>
        <v>0</v>
      </c>
      <c r="AC2">
        <f>BDH("BIO US Equity","EBITDA","1993-06-18","2026-05-02","Per=Y","Days=T","Dir=V")</f>
        <v>0</v>
      </c>
      <c r="AE2">
        <f>BDH("BIO US Equity","NET_INCOME","1993-06-18","2026-05-02","Per=Y","Days=T","Dir=V")</f>
        <v>0</v>
      </c>
      <c r="AG2">
        <f>BDH("BIO US Equity","IS_INT_EXPENSE","1993-06-18","2026-05-02","Per=Y","Days=T","Dir=V")</f>
        <v>0</v>
      </c>
      <c r="AI2">
        <f>BDH("BIO US Equity","IS_DEPR_EXP","1993-06-18","2026-05-02","Per=Y","Days=T","Dir=V")</f>
        <v>0</v>
      </c>
      <c r="AK2">
        <f>BDH("BIO US Equity","CF_CASH_FROM_OPER","1993-06-18","2026-05-02","Per=Y","Days=T","Dir=V")</f>
        <v>0</v>
      </c>
      <c r="AM2">
        <f>BDH("BIO US Equity","CAPITAL_EXPEND","1993-06-18","2026-05-02","Per=Y","Days=T","Dir=V")</f>
        <v>0</v>
      </c>
      <c r="AO2">
        <f>BDH("BIO US Equity","CF_FREE_CASH_FLOW","1993-06-18","2026-05-02","Per=Y","Days=T","Dir=V")</f>
        <v>0</v>
      </c>
      <c r="AQ2">
        <f>BDH("BIO US Equity","PX_LAST","1993-06-18","2026-05-02","Per=M","Days=T","Dir=V")</f>
        <v>0</v>
      </c>
      <c r="AS2">
        <f>BDH("BIO US Equity","CUR_MKT_CAP","1993-06-18","2026-05-02","Per=M","Days=T","Dir=V")</f>
        <v>0</v>
      </c>
      <c r="AU2">
        <f>BDH("BIO US Equity","EQY_SH_OUT","1993-06-18","2026-05-02","Per=M","Days=T","Dir=V")</f>
        <v>0</v>
      </c>
      <c r="AW2">
        <f>BDH("BIO US Equity","PX_VOLUME","1993-06-18","2026-05-02","Per=M","Days=T","Dir=V")</f>
        <v>0</v>
      </c>
      <c r="AY2">
        <f>BDH("BIO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BDH("BIOA US Equity","BS_TOT_ASSET","1993-06-18","2026-05-02","Per=Y","Days=T","Dir=V")</f>
        <v>0</v>
      </c>
      <c r="C2">
        <f>BDH("BIOA US Equity","BS_TOT_LIAB2","1993-06-18","2026-05-02","Per=Y","Days=T","Dir=V")</f>
        <v>0</v>
      </c>
      <c r="E2">
        <f>BDH("BIOA US Equity","SHORT_AND_LONG_TERM_DEBT","1993-06-18","2026-05-02","Per=Y","Days=T","Dir=V")</f>
        <v>0</v>
      </c>
      <c r="G2">
        <f>BDH("BIOA US Equity","BS_ST_BORROW","1993-06-18","2026-05-02","Per=Y","Days=T","Dir=V")</f>
        <v>0</v>
      </c>
      <c r="I2">
        <f>BDH("BIOA US Equity","BS_LT_BORROW","1993-06-18","2026-05-02","Per=Y","Days=T","Dir=V")</f>
        <v>0</v>
      </c>
      <c r="K2">
        <f>BDH("BIOA US Equity","BS_CASH_NEAR_CASH_ITEM","1993-06-18","2026-05-02","Per=Y","Days=T","Dir=V")</f>
        <v>0</v>
      </c>
      <c r="M2">
        <f>BDH("BIOA US Equity","BS_CUR_ASSET_REPORT","1993-06-18","2026-05-02","Per=Y","Days=T","Dir=V")</f>
        <v>0</v>
      </c>
      <c r="O2">
        <f>BDH("BIOA US Equity","BS_CUR_LIAB","1993-06-18","2026-05-02","Per=Y","Days=T","Dir=V")</f>
        <v>0</v>
      </c>
      <c r="Q2">
        <f>BDH("BIOA US Equity","BS_SHAREHOLDER_EQY_ENDING_PERIOD","1993-06-18","2026-05-02","Per=Y","Days=T","Dir=V")</f>
        <v>0</v>
      </c>
      <c r="S2">
        <f>BDH("BIOA US Equity","BS_ACCT_NOTE_RCV","1993-06-18","2026-05-02","Per=Y","Days=T","Dir=V")</f>
        <v>0</v>
      </c>
      <c r="U2">
        <f>BDH("BIOA US Equity","BS_INVENTORIES","1993-06-18","2026-05-02","Per=Y","Days=T","Dir=V")</f>
        <v>0</v>
      </c>
      <c r="W2">
        <f>BDH("BIOA US Equity","WORKING_CAPITAL","1993-06-18","2026-05-02","Per=Y","Days=T","Dir=V")</f>
        <v>0</v>
      </c>
      <c r="Y2">
        <f>BDH("BIOA US Equity","SALES_REV_TURN","1993-06-18","2026-05-02","Per=Y","Days=T","Dir=V")</f>
        <v>0</v>
      </c>
      <c r="AA2">
        <f>BDH("BIOA US Equity","EBIT","1993-06-18","2026-05-02","Per=Y","Days=T","Dir=V")</f>
        <v>0</v>
      </c>
      <c r="AC2">
        <f>BDH("BIOA US Equity","EBITDA","1993-06-18","2026-05-02","Per=Y","Days=T","Dir=V")</f>
        <v>0</v>
      </c>
      <c r="AE2">
        <f>BDH("BIOA US Equity","NET_INCOME","1993-06-18","2026-05-02","Per=Y","Days=T","Dir=V")</f>
        <v>0</v>
      </c>
      <c r="AG2">
        <f>BDH("BIOA US Equity","IS_INT_EXPENSE","1993-06-18","2026-05-02","Per=Y","Days=T","Dir=V")</f>
        <v>0</v>
      </c>
      <c r="AI2">
        <f>BDH("BIOA US Equity","IS_DEPR_EXP","1993-06-18","2026-05-02","Per=Y","Days=T","Dir=V")</f>
        <v>0</v>
      </c>
      <c r="AK2">
        <f>BDH("BIOA US Equity","CF_CASH_FROM_OPER","1993-06-18","2026-05-02","Per=Y","Days=T","Dir=V")</f>
        <v>0</v>
      </c>
      <c r="AM2">
        <f>BDH("BIOA US Equity","CAPITAL_EXPEND","1993-06-18","2026-05-02","Per=Y","Days=T","Dir=V")</f>
        <v>0</v>
      </c>
      <c r="AO2">
        <f>BDH("BIOA US Equity","CF_FREE_CASH_FLOW","1993-06-18","2026-05-02","Per=Y","Days=T","Dir=V")</f>
        <v>0</v>
      </c>
      <c r="AQ2">
        <f>BDH("BIOA US Equity","PX_LAST","1993-06-18","2026-05-02","Per=M","Days=T","Dir=V")</f>
        <v>0</v>
      </c>
      <c r="AS2">
        <f>BDH("BIOA US Equity","CUR_MKT_CAP","1993-06-18","2026-05-02","Per=M","Days=T","Dir=V")</f>
        <v>0</v>
      </c>
      <c r="AU2">
        <f>BDH("BIOA US Equity","EQY_SH_OUT","1993-06-18","2026-05-02","Per=M","Days=T","Dir=V")</f>
        <v>0</v>
      </c>
      <c r="AW2">
        <f>BDH("BIOA US Equity","PX_VOLUME","1993-06-18","2026-05-02","Per=M","Days=T","Dir=V")</f>
        <v>0</v>
      </c>
      <c r="AY2">
        <f>BDH("BIOA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BDH("BIRD US Equity","BS_TOT_ASSET","1993-06-18","2026-05-02","Per=Y","Days=T","Dir=V")</f>
        <v>0</v>
      </c>
      <c r="C2">
        <f>BDH("BIRD US Equity","BS_TOT_LIAB2","1993-06-18","2026-05-02","Per=Y","Days=T","Dir=V")</f>
        <v>0</v>
      </c>
      <c r="E2">
        <f>BDH("BIRD US Equity","SHORT_AND_LONG_TERM_DEBT","1993-06-18","2026-05-02","Per=Y","Days=T","Dir=V")</f>
        <v>0</v>
      </c>
      <c r="G2">
        <f>BDH("BIRD US Equity","BS_ST_BORROW","1993-06-18","2026-05-02","Per=Y","Days=T","Dir=V")</f>
        <v>0</v>
      </c>
      <c r="I2">
        <f>BDH("BIRD US Equity","BS_LT_BORROW","1993-06-18","2026-05-02","Per=Y","Days=T","Dir=V")</f>
        <v>0</v>
      </c>
      <c r="K2">
        <f>BDH("BIRD US Equity","BS_CASH_NEAR_CASH_ITEM","1993-06-18","2026-05-02","Per=Y","Days=T","Dir=V")</f>
        <v>0</v>
      </c>
      <c r="M2">
        <f>BDH("BIRD US Equity","BS_CUR_ASSET_REPORT","1993-06-18","2026-05-02","Per=Y","Days=T","Dir=V")</f>
        <v>0</v>
      </c>
      <c r="O2">
        <f>BDH("BIRD US Equity","BS_CUR_LIAB","1993-06-18","2026-05-02","Per=Y","Days=T","Dir=V")</f>
        <v>0</v>
      </c>
      <c r="Q2">
        <f>BDH("BIRD US Equity","BS_SHAREHOLDER_EQY_ENDING_PERIOD","1993-06-18","2026-05-02","Per=Y","Days=T","Dir=V")</f>
        <v>0</v>
      </c>
      <c r="S2">
        <f>BDH("BIRD US Equity","BS_ACCT_NOTE_RCV","1993-06-18","2026-05-02","Per=Y","Days=T","Dir=V")</f>
        <v>0</v>
      </c>
      <c r="U2">
        <f>BDH("BIRD US Equity","BS_INVENTORIES","1993-06-18","2026-05-02","Per=Y","Days=T","Dir=V")</f>
        <v>0</v>
      </c>
      <c r="W2">
        <f>BDH("BIRD US Equity","WORKING_CAPITAL","1993-06-18","2026-05-02","Per=Y","Days=T","Dir=V")</f>
        <v>0</v>
      </c>
      <c r="Y2">
        <f>BDH("BIRD US Equity","SALES_REV_TURN","1993-06-18","2026-05-02","Per=Y","Days=T","Dir=V")</f>
        <v>0</v>
      </c>
      <c r="AA2">
        <f>BDH("BIRD US Equity","EBIT","1993-06-18","2026-05-02","Per=Y","Days=T","Dir=V")</f>
        <v>0</v>
      </c>
      <c r="AC2">
        <f>BDH("BIRD US Equity","EBITDA","1993-06-18","2026-05-02","Per=Y","Days=T","Dir=V")</f>
        <v>0</v>
      </c>
      <c r="AE2">
        <f>BDH("BIRD US Equity","NET_INCOME","1993-06-18","2026-05-02","Per=Y","Days=T","Dir=V")</f>
        <v>0</v>
      </c>
      <c r="AG2">
        <f>BDH("BIRD US Equity","IS_INT_EXPENSE","1993-06-18","2026-05-02","Per=Y","Days=T","Dir=V")</f>
        <v>0</v>
      </c>
      <c r="AI2">
        <f>BDH("BIRD US Equity","IS_DEPR_EXP","1993-06-18","2026-05-02","Per=Y","Days=T","Dir=V")</f>
        <v>0</v>
      </c>
      <c r="AK2">
        <f>BDH("BIRD US Equity","CF_CASH_FROM_OPER","1993-06-18","2026-05-02","Per=Y","Days=T","Dir=V")</f>
        <v>0</v>
      </c>
      <c r="AM2">
        <f>BDH("BIRD US Equity","CAPITAL_EXPEND","1993-06-18","2026-05-02","Per=Y","Days=T","Dir=V")</f>
        <v>0</v>
      </c>
      <c r="AO2">
        <f>BDH("BIRD US Equity","CF_FREE_CASH_FLOW","1993-06-18","2026-05-02","Per=Y","Days=T","Dir=V")</f>
        <v>0</v>
      </c>
      <c r="AQ2">
        <f>BDH("BIRD US Equity","PX_LAST","1993-06-18","2026-05-02","Per=M","Days=T","Dir=V")</f>
        <v>0</v>
      </c>
      <c r="AS2">
        <f>BDH("BIRD US Equity","CUR_MKT_CAP","1993-06-18","2026-05-02","Per=M","Days=T","Dir=V")</f>
        <v>0</v>
      </c>
      <c r="AU2">
        <f>BDH("BIRD US Equity","EQY_SH_OUT","1993-06-18","2026-05-02","Per=M","Days=T","Dir=V")</f>
        <v>0</v>
      </c>
      <c r="AW2">
        <f>BDH("BIRD US Equity","PX_VOLUME","1993-06-18","2026-05-02","Per=M","Days=T","Dir=V")</f>
        <v>0</v>
      </c>
      <c r="AY2">
        <f>BDH("BIRD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BDH("BIVI US Equity","BS_TOT_ASSET","1993-06-18","2026-05-02","Per=Y","Days=T","Dir=V")</f>
        <v>0</v>
      </c>
      <c r="C2">
        <f>BDH("BIVI US Equity","BS_TOT_LIAB2","1993-06-18","2026-05-02","Per=Y","Days=T","Dir=V")</f>
        <v>0</v>
      </c>
      <c r="E2">
        <f>BDH("BIVI US Equity","SHORT_AND_LONG_TERM_DEBT","1993-06-18","2026-05-02","Per=Y","Days=T","Dir=V")</f>
        <v>0</v>
      </c>
      <c r="G2">
        <f>BDH("BIVI US Equity","BS_ST_BORROW","1993-06-18","2026-05-02","Per=Y","Days=T","Dir=V")</f>
        <v>0</v>
      </c>
      <c r="I2">
        <f>BDH("BIVI US Equity","BS_LT_BORROW","1993-06-18","2026-05-02","Per=Y","Days=T","Dir=V")</f>
        <v>0</v>
      </c>
      <c r="K2">
        <f>BDH("BIVI US Equity","BS_CASH_NEAR_CASH_ITEM","1993-06-18","2026-05-02","Per=Y","Days=T","Dir=V")</f>
        <v>0</v>
      </c>
      <c r="M2">
        <f>BDH("BIVI US Equity","BS_CUR_ASSET_REPORT","1993-06-18","2026-05-02","Per=Y","Days=T","Dir=V")</f>
        <v>0</v>
      </c>
      <c r="O2">
        <f>BDH("BIVI US Equity","BS_CUR_LIAB","1993-06-18","2026-05-02","Per=Y","Days=T","Dir=V")</f>
        <v>0</v>
      </c>
      <c r="Q2">
        <f>BDH("BIVI US Equity","BS_SHAREHOLDER_EQY_ENDING_PERIOD","1993-06-18","2026-05-02","Per=Y","Days=T","Dir=V")</f>
        <v>0</v>
      </c>
      <c r="S2">
        <f>BDH("BIVI US Equity","BS_ACCT_NOTE_RCV","1993-06-18","2026-05-02","Per=Y","Days=T","Dir=V")</f>
        <v>0</v>
      </c>
      <c r="U2">
        <f>BDH("BIVI US Equity","BS_INVENTORIES","1993-06-18","2026-05-02","Per=Y","Days=T","Dir=V")</f>
        <v>0</v>
      </c>
      <c r="W2">
        <f>BDH("BIVI US Equity","WORKING_CAPITAL","1993-06-18","2026-05-02","Per=Y","Days=T","Dir=V")</f>
        <v>0</v>
      </c>
      <c r="Y2">
        <f>BDH("BIVI US Equity","SALES_REV_TURN","1993-06-18","2026-05-02","Per=Y","Days=T","Dir=V")</f>
        <v>0</v>
      </c>
      <c r="AA2">
        <f>BDH("BIVI US Equity","EBIT","1993-06-18","2026-05-02","Per=Y","Days=T","Dir=V")</f>
        <v>0</v>
      </c>
      <c r="AC2">
        <f>BDH("BIVI US Equity","EBITDA","1993-06-18","2026-05-02","Per=Y","Days=T","Dir=V")</f>
        <v>0</v>
      </c>
      <c r="AE2">
        <f>BDH("BIVI US Equity","NET_INCOME","1993-06-18","2026-05-02","Per=Y","Days=T","Dir=V")</f>
        <v>0</v>
      </c>
      <c r="AG2">
        <f>BDH("BIVI US Equity","IS_INT_EXPENSE","1993-06-18","2026-05-02","Per=Y","Days=T","Dir=V")</f>
        <v>0</v>
      </c>
      <c r="AI2">
        <f>BDH("BIVI US Equity","IS_DEPR_EXP","1993-06-18","2026-05-02","Per=Y","Days=T","Dir=V")</f>
        <v>0</v>
      </c>
      <c r="AK2">
        <f>BDH("BIVI US Equity","CF_CASH_FROM_OPER","1993-06-18","2026-05-02","Per=Y","Days=T","Dir=V")</f>
        <v>0</v>
      </c>
      <c r="AM2">
        <f>BDH("BIVI US Equity","CAPITAL_EXPEND","1993-06-18","2026-05-02","Per=Y","Days=T","Dir=V")</f>
        <v>0</v>
      </c>
      <c r="AO2">
        <f>BDH("BIVI US Equity","CF_FREE_CASH_FLOW","1993-06-18","2026-05-02","Per=Y","Days=T","Dir=V")</f>
        <v>0</v>
      </c>
      <c r="AQ2">
        <f>BDH("BIVI US Equity","PX_LAST","1993-06-18","2026-05-02","Per=M","Days=T","Dir=V")</f>
        <v>0</v>
      </c>
      <c r="AS2">
        <f>BDH("BIVI US Equity","CUR_MKT_CAP","1993-06-18","2026-05-02","Per=M","Days=T","Dir=V")</f>
        <v>0</v>
      </c>
      <c r="AU2">
        <f>BDH("BIVI US Equity","EQY_SH_OUT","1993-06-18","2026-05-02","Per=M","Days=T","Dir=V")</f>
        <v>0</v>
      </c>
      <c r="AW2">
        <f>BDH("BIVI US Equity","PX_VOLUME","1993-06-18","2026-05-02","Per=M","Days=T","Dir=V")</f>
        <v>0</v>
      </c>
      <c r="AY2">
        <f>BDH("BIVI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BDH("BIVIW US Equity","BS_TOT_ASSET","1993-06-18","2026-05-02","Per=Y","Days=T","Dir=V")</f>
        <v>0</v>
      </c>
      <c r="C2">
        <f>BDH("BIVIW US Equity","BS_TOT_LIAB2","1993-06-18","2026-05-02","Per=Y","Days=T","Dir=V")</f>
        <v>0</v>
      </c>
      <c r="E2">
        <f>BDH("BIVIW US Equity","SHORT_AND_LONG_TERM_DEBT","1993-06-18","2026-05-02","Per=Y","Days=T","Dir=V")</f>
        <v>0</v>
      </c>
      <c r="G2">
        <f>BDH("BIVIW US Equity","BS_ST_BORROW","1993-06-18","2026-05-02","Per=Y","Days=T","Dir=V")</f>
        <v>0</v>
      </c>
      <c r="I2">
        <f>BDH("BIVIW US Equity","BS_LT_BORROW","1993-06-18","2026-05-02","Per=Y","Days=T","Dir=V")</f>
        <v>0</v>
      </c>
      <c r="K2">
        <f>BDH("BIVIW US Equity","BS_CASH_NEAR_CASH_ITEM","1993-06-18","2026-05-02","Per=Y","Days=T","Dir=V")</f>
        <v>0</v>
      </c>
      <c r="M2">
        <f>BDH("BIVIW US Equity","BS_CUR_ASSET_REPORT","1993-06-18","2026-05-02","Per=Y","Days=T","Dir=V")</f>
        <v>0</v>
      </c>
      <c r="O2">
        <f>BDH("BIVIW US Equity","BS_CUR_LIAB","1993-06-18","2026-05-02","Per=Y","Days=T","Dir=V")</f>
        <v>0</v>
      </c>
      <c r="Q2">
        <f>BDH("BIVIW US Equity","BS_SHAREHOLDER_EQY_ENDING_PERIOD","1993-06-18","2026-05-02","Per=Y","Days=T","Dir=V")</f>
        <v>0</v>
      </c>
      <c r="S2">
        <f>BDH("BIVIW US Equity","BS_ACCT_NOTE_RCV","1993-06-18","2026-05-02","Per=Y","Days=T","Dir=V")</f>
        <v>0</v>
      </c>
      <c r="U2">
        <f>BDH("BIVIW US Equity","BS_INVENTORIES","1993-06-18","2026-05-02","Per=Y","Days=T","Dir=V")</f>
        <v>0</v>
      </c>
      <c r="W2">
        <f>BDH("BIVIW US Equity","WORKING_CAPITAL","1993-06-18","2026-05-02","Per=Y","Days=T","Dir=V")</f>
        <v>0</v>
      </c>
      <c r="Y2">
        <f>BDH("BIVIW US Equity","SALES_REV_TURN","1993-06-18","2026-05-02","Per=Y","Days=T","Dir=V")</f>
        <v>0</v>
      </c>
      <c r="AA2">
        <f>BDH("BIVIW US Equity","EBIT","1993-06-18","2026-05-02","Per=Y","Days=T","Dir=V")</f>
        <v>0</v>
      </c>
      <c r="AC2">
        <f>BDH("BIVIW US Equity","EBITDA","1993-06-18","2026-05-02","Per=Y","Days=T","Dir=V")</f>
        <v>0</v>
      </c>
      <c r="AE2">
        <f>BDH("BIVIW US Equity","NET_INCOME","1993-06-18","2026-05-02","Per=Y","Days=T","Dir=V")</f>
        <v>0</v>
      </c>
      <c r="AG2">
        <f>BDH("BIVIW US Equity","IS_INT_EXPENSE","1993-06-18","2026-05-02","Per=Y","Days=T","Dir=V")</f>
        <v>0</v>
      </c>
      <c r="AI2">
        <f>BDH("BIVIW US Equity","IS_DEPR_EXP","1993-06-18","2026-05-02","Per=Y","Days=T","Dir=V")</f>
        <v>0</v>
      </c>
      <c r="AK2">
        <f>BDH("BIVIW US Equity","CF_CASH_FROM_OPER","1993-06-18","2026-05-02","Per=Y","Days=T","Dir=V")</f>
        <v>0</v>
      </c>
      <c r="AM2">
        <f>BDH("BIVIW US Equity","CAPITAL_EXPEND","1993-06-18","2026-05-02","Per=Y","Days=T","Dir=V")</f>
        <v>0</v>
      </c>
      <c r="AO2">
        <f>BDH("BIVIW US Equity","CF_FREE_CASH_FLOW","1993-06-18","2026-05-02","Per=Y","Days=T","Dir=V")</f>
        <v>0</v>
      </c>
      <c r="AQ2">
        <f>BDH("BIVIW US Equity","PX_LAST","1993-06-18","2026-05-02","Per=M","Days=T","Dir=V")</f>
        <v>0</v>
      </c>
      <c r="AS2">
        <f>BDH("BIVIW US Equity","CUR_MKT_CAP","1993-06-18","2026-05-02","Per=M","Days=T","Dir=V")</f>
        <v>0</v>
      </c>
      <c r="AU2">
        <f>BDH("BIVIW US Equity","EQY_SH_OUT","1993-06-18","2026-05-02","Per=M","Days=T","Dir=V")</f>
        <v>0</v>
      </c>
      <c r="AW2">
        <f>BDH("BIVIW US Equity","PX_VOLUME","1993-06-18","2026-05-02","Per=M","Days=T","Dir=V")</f>
        <v>0</v>
      </c>
      <c r="AY2">
        <f>BDH("BIVIW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BDH("BJ US Equity","BS_TOT_ASSET","1993-06-18","2026-05-02","Per=Y","Days=T","Dir=V")</f>
        <v>0</v>
      </c>
      <c r="C2">
        <f>BDH("BJ US Equity","BS_TOT_LIAB2","1993-06-18","2026-05-02","Per=Y","Days=T","Dir=V")</f>
        <v>0</v>
      </c>
      <c r="E2">
        <f>BDH("BJ US Equity","SHORT_AND_LONG_TERM_DEBT","1993-06-18","2026-05-02","Per=Y","Days=T","Dir=V")</f>
        <v>0</v>
      </c>
      <c r="G2">
        <f>BDH("BJ US Equity","BS_ST_BORROW","1993-06-18","2026-05-02","Per=Y","Days=T","Dir=V")</f>
        <v>0</v>
      </c>
      <c r="I2">
        <f>BDH("BJ US Equity","BS_LT_BORROW","1993-06-18","2026-05-02","Per=Y","Days=T","Dir=V")</f>
        <v>0</v>
      </c>
      <c r="K2">
        <f>BDH("BJ US Equity","BS_CASH_NEAR_CASH_ITEM","1993-06-18","2026-05-02","Per=Y","Days=T","Dir=V")</f>
        <v>0</v>
      </c>
      <c r="M2">
        <f>BDH("BJ US Equity","BS_CUR_ASSET_REPORT","1993-06-18","2026-05-02","Per=Y","Days=T","Dir=V")</f>
        <v>0</v>
      </c>
      <c r="O2">
        <f>BDH("BJ US Equity","BS_CUR_LIAB","1993-06-18","2026-05-02","Per=Y","Days=T","Dir=V")</f>
        <v>0</v>
      </c>
      <c r="Q2">
        <f>BDH("BJ US Equity","BS_SHAREHOLDER_EQY_ENDING_PERIOD","1993-06-18","2026-05-02","Per=Y","Days=T","Dir=V")</f>
        <v>0</v>
      </c>
      <c r="S2">
        <f>BDH("BJ US Equity","BS_ACCT_NOTE_RCV","1993-06-18","2026-05-02","Per=Y","Days=T","Dir=V")</f>
        <v>0</v>
      </c>
      <c r="U2">
        <f>BDH("BJ US Equity","BS_INVENTORIES","1993-06-18","2026-05-02","Per=Y","Days=T","Dir=V")</f>
        <v>0</v>
      </c>
      <c r="W2">
        <f>BDH("BJ US Equity","WORKING_CAPITAL","1993-06-18","2026-05-02","Per=Y","Days=T","Dir=V")</f>
        <v>0</v>
      </c>
      <c r="Y2">
        <f>BDH("BJ US Equity","SALES_REV_TURN","1993-06-18","2026-05-02","Per=Y","Days=T","Dir=V")</f>
        <v>0</v>
      </c>
      <c r="AA2">
        <f>BDH("BJ US Equity","EBIT","1993-06-18","2026-05-02","Per=Y","Days=T","Dir=V")</f>
        <v>0</v>
      </c>
      <c r="AC2">
        <f>BDH("BJ US Equity","EBITDA","1993-06-18","2026-05-02","Per=Y","Days=T","Dir=V")</f>
        <v>0</v>
      </c>
      <c r="AE2">
        <f>BDH("BJ US Equity","NET_INCOME","1993-06-18","2026-05-02","Per=Y","Days=T","Dir=V")</f>
        <v>0</v>
      </c>
      <c r="AG2">
        <f>BDH("BJ US Equity","IS_INT_EXPENSE","1993-06-18","2026-05-02","Per=Y","Days=T","Dir=V")</f>
        <v>0</v>
      </c>
      <c r="AI2">
        <f>BDH("BJ US Equity","IS_DEPR_EXP","1993-06-18","2026-05-02","Per=Y","Days=T","Dir=V")</f>
        <v>0</v>
      </c>
      <c r="AK2">
        <f>BDH("BJ US Equity","CF_CASH_FROM_OPER","1993-06-18","2026-05-02","Per=Y","Days=T","Dir=V")</f>
        <v>0</v>
      </c>
      <c r="AM2">
        <f>BDH("BJ US Equity","CAPITAL_EXPEND","1993-06-18","2026-05-02","Per=Y","Days=T","Dir=V")</f>
        <v>0</v>
      </c>
      <c r="AO2">
        <f>BDH("BJ US Equity","CF_FREE_CASH_FLOW","1993-06-18","2026-05-02","Per=Y","Days=T","Dir=V")</f>
        <v>0</v>
      </c>
      <c r="AQ2">
        <f>BDH("BJ US Equity","PX_LAST","1993-06-18","2026-05-02","Per=M","Days=T","Dir=V")</f>
        <v>0</v>
      </c>
      <c r="AS2">
        <f>BDH("BJ US Equity","CUR_MKT_CAP","1993-06-18","2026-05-02","Per=M","Days=T","Dir=V")</f>
        <v>0</v>
      </c>
      <c r="AU2">
        <f>BDH("BJ US Equity","EQY_SH_OUT","1993-06-18","2026-05-02","Per=M","Days=T","Dir=V")</f>
        <v>0</v>
      </c>
      <c r="AW2">
        <f>BDH("BJ US Equity","PX_VOLUME","1993-06-18","2026-05-02","Per=M","Days=T","Dir=V")</f>
        <v>0</v>
      </c>
      <c r="AY2">
        <f>BDH("BJ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BDH("BJDX US Equity","BS_TOT_ASSET","1993-06-18","2026-05-02","Per=Y","Days=T","Dir=V")</f>
        <v>0</v>
      </c>
      <c r="C2">
        <f>BDH("BJDX US Equity","BS_TOT_LIAB2","1993-06-18","2026-05-02","Per=Y","Days=T","Dir=V")</f>
        <v>0</v>
      </c>
      <c r="E2">
        <f>BDH("BJDX US Equity","SHORT_AND_LONG_TERM_DEBT","1993-06-18","2026-05-02","Per=Y","Days=T","Dir=V")</f>
        <v>0</v>
      </c>
      <c r="G2">
        <f>BDH("BJDX US Equity","BS_ST_BORROW","1993-06-18","2026-05-02","Per=Y","Days=T","Dir=V")</f>
        <v>0</v>
      </c>
      <c r="I2">
        <f>BDH("BJDX US Equity","BS_LT_BORROW","1993-06-18","2026-05-02","Per=Y","Days=T","Dir=V")</f>
        <v>0</v>
      </c>
      <c r="K2">
        <f>BDH("BJDX US Equity","BS_CASH_NEAR_CASH_ITEM","1993-06-18","2026-05-02","Per=Y","Days=T","Dir=V")</f>
        <v>0</v>
      </c>
      <c r="M2">
        <f>BDH("BJDX US Equity","BS_CUR_ASSET_REPORT","1993-06-18","2026-05-02","Per=Y","Days=T","Dir=V")</f>
        <v>0</v>
      </c>
      <c r="O2">
        <f>BDH("BJDX US Equity","BS_CUR_LIAB","1993-06-18","2026-05-02","Per=Y","Days=T","Dir=V")</f>
        <v>0</v>
      </c>
      <c r="Q2">
        <f>BDH("BJDX US Equity","BS_SHAREHOLDER_EQY_ENDING_PERIOD","1993-06-18","2026-05-02","Per=Y","Days=T","Dir=V")</f>
        <v>0</v>
      </c>
      <c r="S2">
        <f>BDH("BJDX US Equity","BS_ACCT_NOTE_RCV","1993-06-18","2026-05-02","Per=Y","Days=T","Dir=V")</f>
        <v>0</v>
      </c>
      <c r="U2">
        <f>BDH("BJDX US Equity","BS_INVENTORIES","1993-06-18","2026-05-02","Per=Y","Days=T","Dir=V")</f>
        <v>0</v>
      </c>
      <c r="W2">
        <f>BDH("BJDX US Equity","WORKING_CAPITAL","1993-06-18","2026-05-02","Per=Y","Days=T","Dir=V")</f>
        <v>0</v>
      </c>
      <c r="Y2">
        <f>BDH("BJDX US Equity","SALES_REV_TURN","1993-06-18","2026-05-02","Per=Y","Days=T","Dir=V")</f>
        <v>0</v>
      </c>
      <c r="AA2">
        <f>BDH("BJDX US Equity","EBIT","1993-06-18","2026-05-02","Per=Y","Days=T","Dir=V")</f>
        <v>0</v>
      </c>
      <c r="AC2">
        <f>BDH("BJDX US Equity","EBITDA","1993-06-18","2026-05-02","Per=Y","Days=T","Dir=V")</f>
        <v>0</v>
      </c>
      <c r="AE2">
        <f>BDH("BJDX US Equity","NET_INCOME","1993-06-18","2026-05-02","Per=Y","Days=T","Dir=V")</f>
        <v>0</v>
      </c>
      <c r="AG2">
        <f>BDH("BJDX US Equity","IS_INT_EXPENSE","1993-06-18","2026-05-02","Per=Y","Days=T","Dir=V")</f>
        <v>0</v>
      </c>
      <c r="AI2">
        <f>BDH("BJDX US Equity","IS_DEPR_EXP","1993-06-18","2026-05-02","Per=Y","Days=T","Dir=V")</f>
        <v>0</v>
      </c>
      <c r="AK2">
        <f>BDH("BJDX US Equity","CF_CASH_FROM_OPER","1993-06-18","2026-05-02","Per=Y","Days=T","Dir=V")</f>
        <v>0</v>
      </c>
      <c r="AM2">
        <f>BDH("BJDX US Equity","CAPITAL_EXPEND","1993-06-18","2026-05-02","Per=Y","Days=T","Dir=V")</f>
        <v>0</v>
      </c>
      <c r="AO2">
        <f>BDH("BJDX US Equity","CF_FREE_CASH_FLOW","1993-06-18","2026-05-02","Per=Y","Days=T","Dir=V")</f>
        <v>0</v>
      </c>
      <c r="AQ2">
        <f>BDH("BJDX US Equity","PX_LAST","1993-06-18","2026-05-02","Per=M","Days=T","Dir=V")</f>
        <v>0</v>
      </c>
      <c r="AS2">
        <f>BDH("BJDX US Equity","CUR_MKT_CAP","1993-06-18","2026-05-02","Per=M","Days=T","Dir=V")</f>
        <v>0</v>
      </c>
      <c r="AU2">
        <f>BDH("BJDX US Equity","EQY_SH_OUT","1993-06-18","2026-05-02","Per=M","Days=T","Dir=V")</f>
        <v>0</v>
      </c>
      <c r="AW2">
        <f>BDH("BJDX US Equity","PX_VOLUME","1993-06-18","2026-05-02","Per=M","Days=T","Dir=V")</f>
        <v>0</v>
      </c>
      <c r="AY2">
        <f>BDH("BJDX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BDH("BJRI US Equity","BS_TOT_ASSET","1993-06-18","2026-05-02","Per=Y","Days=T","Dir=V")</f>
        <v>0</v>
      </c>
      <c r="C2">
        <f>BDH("BJRI US Equity","BS_TOT_LIAB2","1993-06-18","2026-05-02","Per=Y","Days=T","Dir=V")</f>
        <v>0</v>
      </c>
      <c r="E2">
        <f>BDH("BJRI US Equity","SHORT_AND_LONG_TERM_DEBT","1993-06-18","2026-05-02","Per=Y","Days=T","Dir=V")</f>
        <v>0</v>
      </c>
      <c r="G2">
        <f>BDH("BJRI US Equity","BS_ST_BORROW","1993-06-18","2026-05-02","Per=Y","Days=T","Dir=V")</f>
        <v>0</v>
      </c>
      <c r="I2">
        <f>BDH("BJRI US Equity","BS_LT_BORROW","1993-06-18","2026-05-02","Per=Y","Days=T","Dir=V")</f>
        <v>0</v>
      </c>
      <c r="K2">
        <f>BDH("BJRI US Equity","BS_CASH_NEAR_CASH_ITEM","1993-06-18","2026-05-02","Per=Y","Days=T","Dir=V")</f>
        <v>0</v>
      </c>
      <c r="M2">
        <f>BDH("BJRI US Equity","BS_CUR_ASSET_REPORT","1993-06-18","2026-05-02","Per=Y","Days=T","Dir=V")</f>
        <v>0</v>
      </c>
      <c r="O2">
        <f>BDH("BJRI US Equity","BS_CUR_LIAB","1993-06-18","2026-05-02","Per=Y","Days=T","Dir=V")</f>
        <v>0</v>
      </c>
      <c r="Q2">
        <f>BDH("BJRI US Equity","BS_SHAREHOLDER_EQY_ENDING_PERIOD","1993-06-18","2026-05-02","Per=Y","Days=T","Dir=V")</f>
        <v>0</v>
      </c>
      <c r="S2">
        <f>BDH("BJRI US Equity","BS_ACCT_NOTE_RCV","1993-06-18","2026-05-02","Per=Y","Days=T","Dir=V")</f>
        <v>0</v>
      </c>
      <c r="U2">
        <f>BDH("BJRI US Equity","BS_INVENTORIES","1993-06-18","2026-05-02","Per=Y","Days=T","Dir=V")</f>
        <v>0</v>
      </c>
      <c r="W2">
        <f>BDH("BJRI US Equity","WORKING_CAPITAL","1993-06-18","2026-05-02","Per=Y","Days=T","Dir=V")</f>
        <v>0</v>
      </c>
      <c r="Y2">
        <f>BDH("BJRI US Equity","SALES_REV_TURN","1993-06-18","2026-05-02","Per=Y","Days=T","Dir=V")</f>
        <v>0</v>
      </c>
      <c r="AA2">
        <f>BDH("BJRI US Equity","EBIT","1993-06-18","2026-05-02","Per=Y","Days=T","Dir=V")</f>
        <v>0</v>
      </c>
      <c r="AC2">
        <f>BDH("BJRI US Equity","EBITDA","1993-06-18","2026-05-02","Per=Y","Days=T","Dir=V")</f>
        <v>0</v>
      </c>
      <c r="AE2">
        <f>BDH("BJRI US Equity","NET_INCOME","1993-06-18","2026-05-02","Per=Y","Days=T","Dir=V")</f>
        <v>0</v>
      </c>
      <c r="AG2">
        <f>BDH("BJRI US Equity","IS_INT_EXPENSE","1993-06-18","2026-05-02","Per=Y","Days=T","Dir=V")</f>
        <v>0</v>
      </c>
      <c r="AI2">
        <f>BDH("BJRI US Equity","IS_DEPR_EXP","1993-06-18","2026-05-02","Per=Y","Days=T","Dir=V")</f>
        <v>0</v>
      </c>
      <c r="AK2">
        <f>BDH("BJRI US Equity","CF_CASH_FROM_OPER","1993-06-18","2026-05-02","Per=Y","Days=T","Dir=V")</f>
        <v>0</v>
      </c>
      <c r="AM2">
        <f>BDH("BJRI US Equity","CAPITAL_EXPEND","1993-06-18","2026-05-02","Per=Y","Days=T","Dir=V")</f>
        <v>0</v>
      </c>
      <c r="AO2">
        <f>BDH("BJRI US Equity","CF_FREE_CASH_FLOW","1993-06-18","2026-05-02","Per=Y","Days=T","Dir=V")</f>
        <v>0</v>
      </c>
      <c r="AQ2">
        <f>BDH("BJRI US Equity","PX_LAST","1993-06-18","2026-05-02","Per=M","Days=T","Dir=V")</f>
        <v>0</v>
      </c>
      <c r="AS2">
        <f>BDH("BJRI US Equity","CUR_MKT_CAP","1993-06-18","2026-05-02","Per=M","Days=T","Dir=V")</f>
        <v>0</v>
      </c>
      <c r="AU2">
        <f>BDH("BJRI US Equity","EQY_SH_OUT","1993-06-18","2026-05-02","Per=M","Days=T","Dir=V")</f>
        <v>0</v>
      </c>
      <c r="AW2">
        <f>BDH("BJRI US Equity","PX_VOLUME","1993-06-18","2026-05-02","Per=M","Days=T","Dir=V")</f>
        <v>0</v>
      </c>
      <c r="AY2">
        <f>BDH("BJRI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BDH("BKD US Equity","BS_TOT_ASSET","1993-06-18","2026-05-02","Per=Y","Days=T","Dir=V")</f>
        <v>0</v>
      </c>
      <c r="C2">
        <f>BDH("BKD US Equity","BS_TOT_LIAB2","1993-06-18","2026-05-02","Per=Y","Days=T","Dir=V")</f>
        <v>0</v>
      </c>
      <c r="E2">
        <f>BDH("BKD US Equity","SHORT_AND_LONG_TERM_DEBT","1993-06-18","2026-05-02","Per=Y","Days=T","Dir=V")</f>
        <v>0</v>
      </c>
      <c r="G2">
        <f>BDH("BKD US Equity","BS_ST_BORROW","1993-06-18","2026-05-02","Per=Y","Days=T","Dir=V")</f>
        <v>0</v>
      </c>
      <c r="I2">
        <f>BDH("BKD US Equity","BS_LT_BORROW","1993-06-18","2026-05-02","Per=Y","Days=T","Dir=V")</f>
        <v>0</v>
      </c>
      <c r="K2">
        <f>BDH("BKD US Equity","BS_CASH_NEAR_CASH_ITEM","1993-06-18","2026-05-02","Per=Y","Days=T","Dir=V")</f>
        <v>0</v>
      </c>
      <c r="M2">
        <f>BDH("BKD US Equity","BS_CUR_ASSET_REPORT","1993-06-18","2026-05-02","Per=Y","Days=T","Dir=V")</f>
        <v>0</v>
      </c>
      <c r="O2">
        <f>BDH("BKD US Equity","BS_CUR_LIAB","1993-06-18","2026-05-02","Per=Y","Days=T","Dir=V")</f>
        <v>0</v>
      </c>
      <c r="Q2">
        <f>BDH("BKD US Equity","BS_SHAREHOLDER_EQY_ENDING_PERIOD","1993-06-18","2026-05-02","Per=Y","Days=T","Dir=V")</f>
        <v>0</v>
      </c>
      <c r="S2">
        <f>BDH("BKD US Equity","BS_ACCT_NOTE_RCV","1993-06-18","2026-05-02","Per=Y","Days=T","Dir=V")</f>
        <v>0</v>
      </c>
      <c r="U2">
        <f>BDH("BKD US Equity","BS_INVENTORIES","1993-06-18","2026-05-02","Per=Y","Days=T","Dir=V")</f>
        <v>0</v>
      </c>
      <c r="W2">
        <f>BDH("BKD US Equity","WORKING_CAPITAL","1993-06-18","2026-05-02","Per=Y","Days=T","Dir=V")</f>
        <v>0</v>
      </c>
      <c r="Y2">
        <f>BDH("BKD US Equity","SALES_REV_TURN","1993-06-18","2026-05-02","Per=Y","Days=T","Dir=V")</f>
        <v>0</v>
      </c>
      <c r="AA2">
        <f>BDH("BKD US Equity","EBIT","1993-06-18","2026-05-02","Per=Y","Days=T","Dir=V")</f>
        <v>0</v>
      </c>
      <c r="AC2">
        <f>BDH("BKD US Equity","EBITDA","1993-06-18","2026-05-02","Per=Y","Days=T","Dir=V")</f>
        <v>0</v>
      </c>
      <c r="AE2">
        <f>BDH("BKD US Equity","NET_INCOME","1993-06-18","2026-05-02","Per=Y","Days=T","Dir=V")</f>
        <v>0</v>
      </c>
      <c r="AG2">
        <f>BDH("BKD US Equity","IS_INT_EXPENSE","1993-06-18","2026-05-02","Per=Y","Days=T","Dir=V")</f>
        <v>0</v>
      </c>
      <c r="AI2">
        <f>BDH("BKD US Equity","IS_DEPR_EXP","1993-06-18","2026-05-02","Per=Y","Days=T","Dir=V")</f>
        <v>0</v>
      </c>
      <c r="AK2">
        <f>BDH("BKD US Equity","CF_CASH_FROM_OPER","1993-06-18","2026-05-02","Per=Y","Days=T","Dir=V")</f>
        <v>0</v>
      </c>
      <c r="AM2">
        <f>BDH("BKD US Equity","CAPITAL_EXPEND","1993-06-18","2026-05-02","Per=Y","Days=T","Dir=V")</f>
        <v>0</v>
      </c>
      <c r="AO2">
        <f>BDH("BKD US Equity","CF_FREE_CASH_FLOW","1993-06-18","2026-05-02","Per=Y","Days=T","Dir=V")</f>
        <v>0</v>
      </c>
      <c r="AQ2">
        <f>BDH("BKD US Equity","PX_LAST","1993-06-18","2026-05-02","Per=M","Days=T","Dir=V")</f>
        <v>0</v>
      </c>
      <c r="AS2">
        <f>BDH("BKD US Equity","CUR_MKT_CAP","1993-06-18","2026-05-02","Per=M","Days=T","Dir=V")</f>
        <v>0</v>
      </c>
      <c r="AU2">
        <f>BDH("BKD US Equity","EQY_SH_OUT","1993-06-18","2026-05-02","Per=M","Days=T","Dir=V")</f>
        <v>0</v>
      </c>
      <c r="AW2">
        <f>BDH("BKD US Equity","PX_VOLUME","1993-06-18","2026-05-02","Per=M","Days=T","Dir=V")</f>
        <v>0</v>
      </c>
      <c r="AY2">
        <f>BDH("BKD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BDH("BKE US Equity","BS_TOT_ASSET","1993-06-18","2026-05-02","Per=Y","Days=T","Dir=V")</f>
        <v>0</v>
      </c>
      <c r="C2">
        <f>BDH("BKE US Equity","BS_TOT_LIAB2","1993-06-18","2026-05-02","Per=Y","Days=T","Dir=V")</f>
        <v>0</v>
      </c>
      <c r="E2">
        <f>BDH("BKE US Equity","SHORT_AND_LONG_TERM_DEBT","1993-06-18","2026-05-02","Per=Y","Days=T","Dir=V")</f>
        <v>0</v>
      </c>
      <c r="G2">
        <f>BDH("BKE US Equity","BS_ST_BORROW","1993-06-18","2026-05-02","Per=Y","Days=T","Dir=V")</f>
        <v>0</v>
      </c>
      <c r="I2">
        <f>BDH("BKE US Equity","BS_LT_BORROW","1993-06-18","2026-05-02","Per=Y","Days=T","Dir=V")</f>
        <v>0</v>
      </c>
      <c r="K2">
        <f>BDH("BKE US Equity","BS_CASH_NEAR_CASH_ITEM","1993-06-18","2026-05-02","Per=Y","Days=T","Dir=V")</f>
        <v>0</v>
      </c>
      <c r="M2">
        <f>BDH("BKE US Equity","BS_CUR_ASSET_REPORT","1993-06-18","2026-05-02","Per=Y","Days=T","Dir=V")</f>
        <v>0</v>
      </c>
      <c r="O2">
        <f>BDH("BKE US Equity","BS_CUR_LIAB","1993-06-18","2026-05-02","Per=Y","Days=T","Dir=V")</f>
        <v>0</v>
      </c>
      <c r="Q2">
        <f>BDH("BKE US Equity","BS_SHAREHOLDER_EQY_ENDING_PERIOD","1993-06-18","2026-05-02","Per=Y","Days=T","Dir=V")</f>
        <v>0</v>
      </c>
      <c r="S2">
        <f>BDH("BKE US Equity","BS_ACCT_NOTE_RCV","1993-06-18","2026-05-02","Per=Y","Days=T","Dir=V")</f>
        <v>0</v>
      </c>
      <c r="U2">
        <f>BDH("BKE US Equity","BS_INVENTORIES","1993-06-18","2026-05-02","Per=Y","Days=T","Dir=V")</f>
        <v>0</v>
      </c>
      <c r="W2">
        <f>BDH("BKE US Equity","WORKING_CAPITAL","1993-06-18","2026-05-02","Per=Y","Days=T","Dir=V")</f>
        <v>0</v>
      </c>
      <c r="Y2">
        <f>BDH("BKE US Equity","SALES_REV_TURN","1993-06-18","2026-05-02","Per=Y","Days=T","Dir=V")</f>
        <v>0</v>
      </c>
      <c r="AA2">
        <f>BDH("BKE US Equity","EBIT","1993-06-18","2026-05-02","Per=Y","Days=T","Dir=V")</f>
        <v>0</v>
      </c>
      <c r="AC2">
        <f>BDH("BKE US Equity","EBITDA","1993-06-18","2026-05-02","Per=Y","Days=T","Dir=V")</f>
        <v>0</v>
      </c>
      <c r="AE2">
        <f>BDH("BKE US Equity","NET_INCOME","1993-06-18","2026-05-02","Per=Y","Days=T","Dir=V")</f>
        <v>0</v>
      </c>
      <c r="AG2">
        <f>BDH("BKE US Equity","IS_INT_EXPENSE","1993-06-18","2026-05-02","Per=Y","Days=T","Dir=V")</f>
        <v>0</v>
      </c>
      <c r="AI2">
        <f>BDH("BKE US Equity","IS_DEPR_EXP","1993-06-18","2026-05-02","Per=Y","Days=T","Dir=V")</f>
        <v>0</v>
      </c>
      <c r="AK2">
        <f>BDH("BKE US Equity","CF_CASH_FROM_OPER","1993-06-18","2026-05-02","Per=Y","Days=T","Dir=V")</f>
        <v>0</v>
      </c>
      <c r="AM2">
        <f>BDH("BKE US Equity","CAPITAL_EXPEND","1993-06-18","2026-05-02","Per=Y","Days=T","Dir=V")</f>
        <v>0</v>
      </c>
      <c r="AO2">
        <f>BDH("BKE US Equity","CF_FREE_CASH_FLOW","1993-06-18","2026-05-02","Per=Y","Days=T","Dir=V")</f>
        <v>0</v>
      </c>
      <c r="AQ2">
        <f>BDH("BKE US Equity","PX_LAST","1993-06-18","2026-05-02","Per=M","Days=T","Dir=V")</f>
        <v>0</v>
      </c>
      <c r="AS2">
        <f>BDH("BKE US Equity","CUR_MKT_CAP","1993-06-18","2026-05-02","Per=M","Days=T","Dir=V")</f>
        <v>0</v>
      </c>
      <c r="AU2">
        <f>BDH("BKE US Equity","EQY_SH_OUT","1993-06-18","2026-05-02","Per=M","Days=T","Dir=V")</f>
        <v>0</v>
      </c>
      <c r="AW2">
        <f>BDH("BKE US Equity","PX_VOLUME","1993-06-18","2026-05-02","Per=M","Days=T","Dir=V")</f>
        <v>0</v>
      </c>
      <c r="AY2">
        <f>BDH("BKE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BDH("BKH US Equity","BS_TOT_ASSET","1993-06-18","2026-05-02","Per=Y","Days=T","Dir=V")</f>
        <v>0</v>
      </c>
      <c r="C2">
        <f>BDH("BKH US Equity","BS_TOT_LIAB2","1993-06-18","2026-05-02","Per=Y","Days=T","Dir=V")</f>
        <v>0</v>
      </c>
      <c r="E2">
        <f>BDH("BKH US Equity","SHORT_AND_LONG_TERM_DEBT","1993-06-18","2026-05-02","Per=Y","Days=T","Dir=V")</f>
        <v>0</v>
      </c>
      <c r="G2">
        <f>BDH("BKH US Equity","BS_ST_BORROW","1993-06-18","2026-05-02","Per=Y","Days=T","Dir=V")</f>
        <v>0</v>
      </c>
      <c r="I2">
        <f>BDH("BKH US Equity","BS_LT_BORROW","1993-06-18","2026-05-02","Per=Y","Days=T","Dir=V")</f>
        <v>0</v>
      </c>
      <c r="K2">
        <f>BDH("BKH US Equity","BS_CASH_NEAR_CASH_ITEM","1993-06-18","2026-05-02","Per=Y","Days=T","Dir=V")</f>
        <v>0</v>
      </c>
      <c r="M2">
        <f>BDH("BKH US Equity","BS_CUR_ASSET_REPORT","1993-06-18","2026-05-02","Per=Y","Days=T","Dir=V")</f>
        <v>0</v>
      </c>
      <c r="O2">
        <f>BDH("BKH US Equity","BS_CUR_LIAB","1993-06-18","2026-05-02","Per=Y","Days=T","Dir=V")</f>
        <v>0</v>
      </c>
      <c r="Q2">
        <f>BDH("BKH US Equity","BS_SHAREHOLDER_EQY_ENDING_PERIOD","1993-06-18","2026-05-02","Per=Y","Days=T","Dir=V")</f>
        <v>0</v>
      </c>
      <c r="S2">
        <f>BDH("BKH US Equity","BS_ACCT_NOTE_RCV","1993-06-18","2026-05-02","Per=Y","Days=T","Dir=V")</f>
        <v>0</v>
      </c>
      <c r="U2">
        <f>BDH("BKH US Equity","BS_INVENTORIES","1993-06-18","2026-05-02","Per=Y","Days=T","Dir=V")</f>
        <v>0</v>
      </c>
      <c r="W2">
        <f>BDH("BKH US Equity","WORKING_CAPITAL","1993-06-18","2026-05-02","Per=Y","Days=T","Dir=V")</f>
        <v>0</v>
      </c>
      <c r="Y2">
        <f>BDH("BKH US Equity","SALES_REV_TURN","1993-06-18","2026-05-02","Per=Y","Days=T","Dir=V")</f>
        <v>0</v>
      </c>
      <c r="AA2">
        <f>BDH("BKH US Equity","EBIT","1993-06-18","2026-05-02","Per=Y","Days=T","Dir=V")</f>
        <v>0</v>
      </c>
      <c r="AC2">
        <f>BDH("BKH US Equity","EBITDA","1993-06-18","2026-05-02","Per=Y","Days=T","Dir=V")</f>
        <v>0</v>
      </c>
      <c r="AE2">
        <f>BDH("BKH US Equity","NET_INCOME","1993-06-18","2026-05-02","Per=Y","Days=T","Dir=V")</f>
        <v>0</v>
      </c>
      <c r="AG2">
        <f>BDH("BKH US Equity","IS_INT_EXPENSE","1993-06-18","2026-05-02","Per=Y","Days=T","Dir=V")</f>
        <v>0</v>
      </c>
      <c r="AI2">
        <f>BDH("BKH US Equity","IS_DEPR_EXP","1993-06-18","2026-05-02","Per=Y","Days=T","Dir=V")</f>
        <v>0</v>
      </c>
      <c r="AK2">
        <f>BDH("BKH US Equity","CF_CASH_FROM_OPER","1993-06-18","2026-05-02","Per=Y","Days=T","Dir=V")</f>
        <v>0</v>
      </c>
      <c r="AM2">
        <f>BDH("BKH US Equity","CAPITAL_EXPEND","1993-06-18","2026-05-02","Per=Y","Days=T","Dir=V")</f>
        <v>0</v>
      </c>
      <c r="AO2">
        <f>BDH("BKH US Equity","CF_FREE_CASH_FLOW","1993-06-18","2026-05-02","Per=Y","Days=T","Dir=V")</f>
        <v>0</v>
      </c>
      <c r="AQ2">
        <f>BDH("BKH US Equity","PX_LAST","1993-06-18","2026-05-02","Per=M","Days=T","Dir=V")</f>
        <v>0</v>
      </c>
      <c r="AS2">
        <f>BDH("BKH US Equity","CUR_MKT_CAP","1993-06-18","2026-05-02","Per=M","Days=T","Dir=V")</f>
        <v>0</v>
      </c>
      <c r="AU2">
        <f>BDH("BKH US Equity","EQY_SH_OUT","1993-06-18","2026-05-02","Per=M","Days=T","Dir=V")</f>
        <v>0</v>
      </c>
      <c r="AW2">
        <f>BDH("BKH US Equity","PX_VOLUME","1993-06-18","2026-05-02","Per=M","Days=T","Dir=V")</f>
        <v>0</v>
      </c>
      <c r="AY2">
        <f>BDH("BKH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BDH("BKHA US Equity","BS_TOT_ASSET","1993-06-18","2026-05-02","Per=Y","Days=T","Dir=V")</f>
        <v>0</v>
      </c>
      <c r="C2">
        <f>BDH("BKHA US Equity","BS_TOT_LIAB2","1993-06-18","2026-05-02","Per=Y","Days=T","Dir=V")</f>
        <v>0</v>
      </c>
      <c r="E2">
        <f>BDH("BKHA US Equity","SHORT_AND_LONG_TERM_DEBT","1993-06-18","2026-05-02","Per=Y","Days=T","Dir=V")</f>
        <v>0</v>
      </c>
      <c r="G2">
        <f>BDH("BKHA US Equity","BS_ST_BORROW","1993-06-18","2026-05-02","Per=Y","Days=T","Dir=V")</f>
        <v>0</v>
      </c>
      <c r="I2">
        <f>BDH("BKHA US Equity","BS_LT_BORROW","1993-06-18","2026-05-02","Per=Y","Days=T","Dir=V")</f>
        <v>0</v>
      </c>
      <c r="K2">
        <f>BDH("BKHA US Equity","BS_CASH_NEAR_CASH_ITEM","1993-06-18","2026-05-02","Per=Y","Days=T","Dir=V")</f>
        <v>0</v>
      </c>
      <c r="M2">
        <f>BDH("BKHA US Equity","BS_CUR_ASSET_REPORT","1993-06-18","2026-05-02","Per=Y","Days=T","Dir=V")</f>
        <v>0</v>
      </c>
      <c r="O2">
        <f>BDH("BKHA US Equity","BS_CUR_LIAB","1993-06-18","2026-05-02","Per=Y","Days=T","Dir=V")</f>
        <v>0</v>
      </c>
      <c r="Q2">
        <f>BDH("BKHA US Equity","BS_SHAREHOLDER_EQY_ENDING_PERIOD","1993-06-18","2026-05-02","Per=Y","Days=T","Dir=V")</f>
        <v>0</v>
      </c>
      <c r="S2">
        <f>BDH("BKHA US Equity","BS_ACCT_NOTE_RCV","1993-06-18","2026-05-02","Per=Y","Days=T","Dir=V")</f>
        <v>0</v>
      </c>
      <c r="U2">
        <f>BDH("BKHA US Equity","BS_INVENTORIES","1993-06-18","2026-05-02","Per=Y","Days=T","Dir=V")</f>
        <v>0</v>
      </c>
      <c r="W2">
        <f>BDH("BKHA US Equity","WORKING_CAPITAL","1993-06-18","2026-05-02","Per=Y","Days=T","Dir=V")</f>
        <v>0</v>
      </c>
      <c r="Y2">
        <f>BDH("BKHA US Equity","SALES_REV_TURN","1993-06-18","2026-05-02","Per=Y","Days=T","Dir=V")</f>
        <v>0</v>
      </c>
      <c r="AA2">
        <f>BDH("BKHA US Equity","EBIT","1993-06-18","2026-05-02","Per=Y","Days=T","Dir=V")</f>
        <v>0</v>
      </c>
      <c r="AC2">
        <f>BDH("BKHA US Equity","EBITDA","1993-06-18","2026-05-02","Per=Y","Days=T","Dir=V")</f>
        <v>0</v>
      </c>
      <c r="AE2">
        <f>BDH("BKHA US Equity","NET_INCOME","1993-06-18","2026-05-02","Per=Y","Days=T","Dir=V")</f>
        <v>0</v>
      </c>
      <c r="AG2">
        <f>BDH("BKHA US Equity","IS_INT_EXPENSE","1993-06-18","2026-05-02","Per=Y","Days=T","Dir=V")</f>
        <v>0</v>
      </c>
      <c r="AI2">
        <f>BDH("BKHA US Equity","IS_DEPR_EXP","1993-06-18","2026-05-02","Per=Y","Days=T","Dir=V")</f>
        <v>0</v>
      </c>
      <c r="AK2">
        <f>BDH("BKHA US Equity","CF_CASH_FROM_OPER","1993-06-18","2026-05-02","Per=Y","Days=T","Dir=V")</f>
        <v>0</v>
      </c>
      <c r="AM2">
        <f>BDH("BKHA US Equity","CAPITAL_EXPEND","1993-06-18","2026-05-02","Per=Y","Days=T","Dir=V")</f>
        <v>0</v>
      </c>
      <c r="AO2">
        <f>BDH("BKHA US Equity","CF_FREE_CASH_FLOW","1993-06-18","2026-05-02","Per=Y","Days=T","Dir=V")</f>
        <v>0</v>
      </c>
      <c r="AQ2">
        <f>BDH("BKHA US Equity","PX_LAST","1993-06-18","2026-05-02","Per=M","Days=T","Dir=V")</f>
        <v>0</v>
      </c>
      <c r="AS2">
        <f>BDH("BKHA US Equity","CUR_MKT_CAP","1993-06-18","2026-05-02","Per=M","Days=T","Dir=V")</f>
        <v>0</v>
      </c>
      <c r="AU2">
        <f>BDH("BKHA US Equity","EQY_SH_OUT","1993-06-18","2026-05-02","Per=M","Days=T","Dir=V")</f>
        <v>0</v>
      </c>
      <c r="AW2">
        <f>BDH("BKHA US Equity","PX_VOLUME","1993-06-18","2026-05-02","Per=M","Days=T","Dir=V")</f>
        <v>0</v>
      </c>
      <c r="AY2">
        <f>BDH("BKHA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BDH("BKHAR US Equity","BS_TOT_ASSET","1993-06-18","2026-05-02","Per=Y","Days=T","Dir=V")</f>
        <v>0</v>
      </c>
      <c r="C2">
        <f>BDH("BKHAR US Equity","BS_TOT_LIAB2","1993-06-18","2026-05-02","Per=Y","Days=T","Dir=V")</f>
        <v>0</v>
      </c>
      <c r="E2">
        <f>BDH("BKHAR US Equity","SHORT_AND_LONG_TERM_DEBT","1993-06-18","2026-05-02","Per=Y","Days=T","Dir=V")</f>
        <v>0</v>
      </c>
      <c r="G2">
        <f>BDH("BKHAR US Equity","BS_ST_BORROW","1993-06-18","2026-05-02","Per=Y","Days=T","Dir=V")</f>
        <v>0</v>
      </c>
      <c r="I2">
        <f>BDH("BKHAR US Equity","BS_LT_BORROW","1993-06-18","2026-05-02","Per=Y","Days=T","Dir=V")</f>
        <v>0</v>
      </c>
      <c r="K2">
        <f>BDH("BKHAR US Equity","BS_CASH_NEAR_CASH_ITEM","1993-06-18","2026-05-02","Per=Y","Days=T","Dir=V")</f>
        <v>0</v>
      </c>
      <c r="M2">
        <f>BDH("BKHAR US Equity","BS_CUR_ASSET_REPORT","1993-06-18","2026-05-02","Per=Y","Days=T","Dir=V")</f>
        <v>0</v>
      </c>
      <c r="O2">
        <f>BDH("BKHAR US Equity","BS_CUR_LIAB","1993-06-18","2026-05-02","Per=Y","Days=T","Dir=V")</f>
        <v>0</v>
      </c>
      <c r="Q2">
        <f>BDH("BKHAR US Equity","BS_SHAREHOLDER_EQY_ENDING_PERIOD","1993-06-18","2026-05-02","Per=Y","Days=T","Dir=V")</f>
        <v>0</v>
      </c>
      <c r="S2">
        <f>BDH("BKHAR US Equity","BS_ACCT_NOTE_RCV","1993-06-18","2026-05-02","Per=Y","Days=T","Dir=V")</f>
        <v>0</v>
      </c>
      <c r="U2">
        <f>BDH("BKHAR US Equity","BS_INVENTORIES","1993-06-18","2026-05-02","Per=Y","Days=T","Dir=V")</f>
        <v>0</v>
      </c>
      <c r="W2">
        <f>BDH("BKHAR US Equity","WORKING_CAPITAL","1993-06-18","2026-05-02","Per=Y","Days=T","Dir=V")</f>
        <v>0</v>
      </c>
      <c r="Y2">
        <f>BDH("BKHAR US Equity","SALES_REV_TURN","1993-06-18","2026-05-02","Per=Y","Days=T","Dir=V")</f>
        <v>0</v>
      </c>
      <c r="AA2">
        <f>BDH("BKHAR US Equity","EBIT","1993-06-18","2026-05-02","Per=Y","Days=T","Dir=V")</f>
        <v>0</v>
      </c>
      <c r="AC2">
        <f>BDH("BKHAR US Equity","EBITDA","1993-06-18","2026-05-02","Per=Y","Days=T","Dir=V")</f>
        <v>0</v>
      </c>
      <c r="AE2">
        <f>BDH("BKHAR US Equity","NET_INCOME","1993-06-18","2026-05-02","Per=Y","Days=T","Dir=V")</f>
        <v>0</v>
      </c>
      <c r="AG2">
        <f>BDH("BKHAR US Equity","IS_INT_EXPENSE","1993-06-18","2026-05-02","Per=Y","Days=T","Dir=V")</f>
        <v>0</v>
      </c>
      <c r="AI2">
        <f>BDH("BKHAR US Equity","IS_DEPR_EXP","1993-06-18","2026-05-02","Per=Y","Days=T","Dir=V")</f>
        <v>0</v>
      </c>
      <c r="AK2">
        <f>BDH("BKHAR US Equity","CF_CASH_FROM_OPER","1993-06-18","2026-05-02","Per=Y","Days=T","Dir=V")</f>
        <v>0</v>
      </c>
      <c r="AM2">
        <f>BDH("BKHAR US Equity","CAPITAL_EXPEND","1993-06-18","2026-05-02","Per=Y","Days=T","Dir=V")</f>
        <v>0</v>
      </c>
      <c r="AO2">
        <f>BDH("BKHAR US Equity","CF_FREE_CASH_FLOW","1993-06-18","2026-05-02","Per=Y","Days=T","Dir=V")</f>
        <v>0</v>
      </c>
      <c r="AQ2">
        <f>BDH("BKHAR US Equity","PX_LAST","1993-06-18","2026-05-02","Per=M","Days=T","Dir=V")</f>
        <v>0</v>
      </c>
      <c r="AS2">
        <f>BDH("BKHAR US Equity","CUR_MKT_CAP","1993-06-18","2026-05-02","Per=M","Days=T","Dir=V")</f>
        <v>0</v>
      </c>
      <c r="AU2">
        <f>BDH("BKHAR US Equity","EQY_SH_OUT","1993-06-18","2026-05-02","Per=M","Days=T","Dir=V")</f>
        <v>0</v>
      </c>
      <c r="AW2">
        <f>BDH("BKHAR US Equity","PX_VOLUME","1993-06-18","2026-05-02","Per=M","Days=T","Dir=V")</f>
        <v>0</v>
      </c>
      <c r="AY2">
        <f>BDH("BKHAR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BDH("BKNG US Equity","BS_TOT_ASSET","1993-06-18","2026-05-02","Per=Y","Days=T","Dir=V")</f>
        <v>0</v>
      </c>
      <c r="C2">
        <f>BDH("BKNG US Equity","BS_TOT_LIAB2","1993-06-18","2026-05-02","Per=Y","Days=T","Dir=V")</f>
        <v>0</v>
      </c>
      <c r="E2">
        <f>BDH("BKNG US Equity","SHORT_AND_LONG_TERM_DEBT","1993-06-18","2026-05-02","Per=Y","Days=T","Dir=V")</f>
        <v>0</v>
      </c>
      <c r="G2">
        <f>BDH("BKNG US Equity","BS_ST_BORROW","1993-06-18","2026-05-02","Per=Y","Days=T","Dir=V")</f>
        <v>0</v>
      </c>
      <c r="I2">
        <f>BDH("BKNG US Equity","BS_LT_BORROW","1993-06-18","2026-05-02","Per=Y","Days=T","Dir=V")</f>
        <v>0</v>
      </c>
      <c r="K2">
        <f>BDH("BKNG US Equity","BS_CASH_NEAR_CASH_ITEM","1993-06-18","2026-05-02","Per=Y","Days=T","Dir=V")</f>
        <v>0</v>
      </c>
      <c r="M2">
        <f>BDH("BKNG US Equity","BS_CUR_ASSET_REPORT","1993-06-18","2026-05-02","Per=Y","Days=T","Dir=V")</f>
        <v>0</v>
      </c>
      <c r="O2">
        <f>BDH("BKNG US Equity","BS_CUR_LIAB","1993-06-18","2026-05-02","Per=Y","Days=T","Dir=V")</f>
        <v>0</v>
      </c>
      <c r="Q2">
        <f>BDH("BKNG US Equity","BS_SHAREHOLDER_EQY_ENDING_PERIOD","1993-06-18","2026-05-02","Per=Y","Days=T","Dir=V")</f>
        <v>0</v>
      </c>
      <c r="S2">
        <f>BDH("BKNG US Equity","BS_ACCT_NOTE_RCV","1993-06-18","2026-05-02","Per=Y","Days=T","Dir=V")</f>
        <v>0</v>
      </c>
      <c r="U2">
        <f>BDH("BKNG US Equity","BS_INVENTORIES","1993-06-18","2026-05-02","Per=Y","Days=T","Dir=V")</f>
        <v>0</v>
      </c>
      <c r="W2">
        <f>BDH("BKNG US Equity","WORKING_CAPITAL","1993-06-18","2026-05-02","Per=Y","Days=T","Dir=V")</f>
        <v>0</v>
      </c>
      <c r="Y2">
        <f>BDH("BKNG US Equity","SALES_REV_TURN","1993-06-18","2026-05-02","Per=Y","Days=T","Dir=V")</f>
        <v>0</v>
      </c>
      <c r="AA2">
        <f>BDH("BKNG US Equity","EBIT","1993-06-18","2026-05-02","Per=Y","Days=T","Dir=V")</f>
        <v>0</v>
      </c>
      <c r="AC2">
        <f>BDH("BKNG US Equity","EBITDA","1993-06-18","2026-05-02","Per=Y","Days=T","Dir=V")</f>
        <v>0</v>
      </c>
      <c r="AE2">
        <f>BDH("BKNG US Equity","NET_INCOME","1993-06-18","2026-05-02","Per=Y","Days=T","Dir=V")</f>
        <v>0</v>
      </c>
      <c r="AG2">
        <f>BDH("BKNG US Equity","IS_INT_EXPENSE","1993-06-18","2026-05-02","Per=Y","Days=T","Dir=V")</f>
        <v>0</v>
      </c>
      <c r="AI2">
        <f>BDH("BKNG US Equity","IS_DEPR_EXP","1993-06-18","2026-05-02","Per=Y","Days=T","Dir=V")</f>
        <v>0</v>
      </c>
      <c r="AK2">
        <f>BDH("BKNG US Equity","CF_CASH_FROM_OPER","1993-06-18","2026-05-02","Per=Y","Days=T","Dir=V")</f>
        <v>0</v>
      </c>
      <c r="AM2">
        <f>BDH("BKNG US Equity","CAPITAL_EXPEND","1993-06-18","2026-05-02","Per=Y","Days=T","Dir=V")</f>
        <v>0</v>
      </c>
      <c r="AO2">
        <f>BDH("BKNG US Equity","CF_FREE_CASH_FLOW","1993-06-18","2026-05-02","Per=Y","Days=T","Dir=V")</f>
        <v>0</v>
      </c>
      <c r="AQ2">
        <f>BDH("BKNG US Equity","PX_LAST","1993-06-18","2026-05-02","Per=M","Days=T","Dir=V")</f>
        <v>0</v>
      </c>
      <c r="AS2">
        <f>BDH("BKNG US Equity","CUR_MKT_CAP","1993-06-18","2026-05-02","Per=M","Days=T","Dir=V")</f>
        <v>0</v>
      </c>
      <c r="AU2">
        <f>BDH("BKNG US Equity","EQY_SH_OUT","1993-06-18","2026-05-02","Per=M","Days=T","Dir=V")</f>
        <v>0</v>
      </c>
      <c r="AW2">
        <f>BDH("BKNG US Equity","PX_VOLUME","1993-06-18","2026-05-02","Per=M","Days=T","Dir=V")</f>
        <v>0</v>
      </c>
      <c r="AY2">
        <f>BDH("BKNG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BDH("BKR US Equity","BS_TOT_ASSET","1993-06-18","2026-05-02","Per=Y","Days=T","Dir=V")</f>
        <v>0</v>
      </c>
      <c r="C2">
        <f>BDH("BKR US Equity","BS_TOT_LIAB2","1993-06-18","2026-05-02","Per=Y","Days=T","Dir=V")</f>
        <v>0</v>
      </c>
      <c r="E2">
        <f>BDH("BKR US Equity","SHORT_AND_LONG_TERM_DEBT","1993-06-18","2026-05-02","Per=Y","Days=T","Dir=V")</f>
        <v>0</v>
      </c>
      <c r="G2">
        <f>BDH("BKR US Equity","BS_ST_BORROW","1993-06-18","2026-05-02","Per=Y","Days=T","Dir=V")</f>
        <v>0</v>
      </c>
      <c r="I2">
        <f>BDH("BKR US Equity","BS_LT_BORROW","1993-06-18","2026-05-02","Per=Y","Days=T","Dir=V")</f>
        <v>0</v>
      </c>
      <c r="K2">
        <f>BDH("BKR US Equity","BS_CASH_NEAR_CASH_ITEM","1993-06-18","2026-05-02","Per=Y","Days=T","Dir=V")</f>
        <v>0</v>
      </c>
      <c r="M2">
        <f>BDH("BKR US Equity","BS_CUR_ASSET_REPORT","1993-06-18","2026-05-02","Per=Y","Days=T","Dir=V")</f>
        <v>0</v>
      </c>
      <c r="O2">
        <f>BDH("BKR US Equity","BS_CUR_LIAB","1993-06-18","2026-05-02","Per=Y","Days=T","Dir=V")</f>
        <v>0</v>
      </c>
      <c r="Q2">
        <f>BDH("BKR US Equity","BS_SHAREHOLDER_EQY_ENDING_PERIOD","1993-06-18","2026-05-02","Per=Y","Days=T","Dir=V")</f>
        <v>0</v>
      </c>
      <c r="S2">
        <f>BDH("BKR US Equity","BS_ACCT_NOTE_RCV","1993-06-18","2026-05-02","Per=Y","Days=T","Dir=V")</f>
        <v>0</v>
      </c>
      <c r="U2">
        <f>BDH("BKR US Equity","BS_INVENTORIES","1993-06-18","2026-05-02","Per=Y","Days=T","Dir=V")</f>
        <v>0</v>
      </c>
      <c r="W2">
        <f>BDH("BKR US Equity","WORKING_CAPITAL","1993-06-18","2026-05-02","Per=Y","Days=T","Dir=V")</f>
        <v>0</v>
      </c>
      <c r="Y2">
        <f>BDH("BKR US Equity","SALES_REV_TURN","1993-06-18","2026-05-02","Per=Y","Days=T","Dir=V")</f>
        <v>0</v>
      </c>
      <c r="AA2">
        <f>BDH("BKR US Equity","EBIT","1993-06-18","2026-05-02","Per=Y","Days=T","Dir=V")</f>
        <v>0</v>
      </c>
      <c r="AC2">
        <f>BDH("BKR US Equity","EBITDA","1993-06-18","2026-05-02","Per=Y","Days=T","Dir=V")</f>
        <v>0</v>
      </c>
      <c r="AE2">
        <f>BDH("BKR US Equity","NET_INCOME","1993-06-18","2026-05-02","Per=Y","Days=T","Dir=V")</f>
        <v>0</v>
      </c>
      <c r="AG2">
        <f>BDH("BKR US Equity","IS_INT_EXPENSE","1993-06-18","2026-05-02","Per=Y","Days=T","Dir=V")</f>
        <v>0</v>
      </c>
      <c r="AI2">
        <f>BDH("BKR US Equity","IS_DEPR_EXP","1993-06-18","2026-05-02","Per=Y","Days=T","Dir=V")</f>
        <v>0</v>
      </c>
      <c r="AK2">
        <f>BDH("BKR US Equity","CF_CASH_FROM_OPER","1993-06-18","2026-05-02","Per=Y","Days=T","Dir=V")</f>
        <v>0</v>
      </c>
      <c r="AM2">
        <f>BDH("BKR US Equity","CAPITAL_EXPEND","1993-06-18","2026-05-02","Per=Y","Days=T","Dir=V")</f>
        <v>0</v>
      </c>
      <c r="AO2">
        <f>BDH("BKR US Equity","CF_FREE_CASH_FLOW","1993-06-18","2026-05-02","Per=Y","Days=T","Dir=V")</f>
        <v>0</v>
      </c>
      <c r="AQ2">
        <f>BDH("BKR US Equity","PX_LAST","1993-06-18","2026-05-02","Per=M","Days=T","Dir=V")</f>
        <v>0</v>
      </c>
      <c r="AS2">
        <f>BDH("BKR US Equity","CUR_MKT_CAP","1993-06-18","2026-05-02","Per=M","Days=T","Dir=V")</f>
        <v>0</v>
      </c>
      <c r="AU2">
        <f>BDH("BKR US Equity","EQY_SH_OUT","1993-06-18","2026-05-02","Per=M","Days=T","Dir=V")</f>
        <v>0</v>
      </c>
      <c r="AW2">
        <f>BDH("BKR US Equity","PX_VOLUME","1993-06-18","2026-05-02","Per=M","Days=T","Dir=V")</f>
        <v>0</v>
      </c>
      <c r="AY2">
        <f>BDH("BKR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BDH("BKSY US Equity","BS_TOT_ASSET","1993-06-18","2026-05-02","Per=Y","Days=T","Dir=V")</f>
        <v>0</v>
      </c>
      <c r="C2">
        <f>BDH("BKSY US Equity","BS_TOT_LIAB2","1993-06-18","2026-05-02","Per=Y","Days=T","Dir=V")</f>
        <v>0</v>
      </c>
      <c r="E2">
        <f>BDH("BKSY US Equity","SHORT_AND_LONG_TERM_DEBT","1993-06-18","2026-05-02","Per=Y","Days=T","Dir=V")</f>
        <v>0</v>
      </c>
      <c r="G2">
        <f>BDH("BKSY US Equity","BS_ST_BORROW","1993-06-18","2026-05-02","Per=Y","Days=T","Dir=V")</f>
        <v>0</v>
      </c>
      <c r="I2">
        <f>BDH("BKSY US Equity","BS_LT_BORROW","1993-06-18","2026-05-02","Per=Y","Days=T","Dir=V")</f>
        <v>0</v>
      </c>
      <c r="K2">
        <f>BDH("BKSY US Equity","BS_CASH_NEAR_CASH_ITEM","1993-06-18","2026-05-02","Per=Y","Days=T","Dir=V")</f>
        <v>0</v>
      </c>
      <c r="M2">
        <f>BDH("BKSY US Equity","BS_CUR_ASSET_REPORT","1993-06-18","2026-05-02","Per=Y","Days=T","Dir=V")</f>
        <v>0</v>
      </c>
      <c r="O2">
        <f>BDH("BKSY US Equity","BS_CUR_LIAB","1993-06-18","2026-05-02","Per=Y","Days=T","Dir=V")</f>
        <v>0</v>
      </c>
      <c r="Q2">
        <f>BDH("BKSY US Equity","BS_SHAREHOLDER_EQY_ENDING_PERIOD","1993-06-18","2026-05-02","Per=Y","Days=T","Dir=V")</f>
        <v>0</v>
      </c>
      <c r="S2">
        <f>BDH("BKSY US Equity","BS_ACCT_NOTE_RCV","1993-06-18","2026-05-02","Per=Y","Days=T","Dir=V")</f>
        <v>0</v>
      </c>
      <c r="U2">
        <f>BDH("BKSY US Equity","BS_INVENTORIES","1993-06-18","2026-05-02","Per=Y","Days=T","Dir=V")</f>
        <v>0</v>
      </c>
      <c r="W2">
        <f>BDH("BKSY US Equity","WORKING_CAPITAL","1993-06-18","2026-05-02","Per=Y","Days=T","Dir=V")</f>
        <v>0</v>
      </c>
      <c r="Y2">
        <f>BDH("BKSY US Equity","SALES_REV_TURN","1993-06-18","2026-05-02","Per=Y","Days=T","Dir=V")</f>
        <v>0</v>
      </c>
      <c r="AA2">
        <f>BDH("BKSY US Equity","EBIT","1993-06-18","2026-05-02","Per=Y","Days=T","Dir=V")</f>
        <v>0</v>
      </c>
      <c r="AC2">
        <f>BDH("BKSY US Equity","EBITDA","1993-06-18","2026-05-02","Per=Y","Days=T","Dir=V")</f>
        <v>0</v>
      </c>
      <c r="AE2">
        <f>BDH("BKSY US Equity","NET_INCOME","1993-06-18","2026-05-02","Per=Y","Days=T","Dir=V")</f>
        <v>0</v>
      </c>
      <c r="AG2">
        <f>BDH("BKSY US Equity","IS_INT_EXPENSE","1993-06-18","2026-05-02","Per=Y","Days=T","Dir=V")</f>
        <v>0</v>
      </c>
      <c r="AI2">
        <f>BDH("BKSY US Equity","IS_DEPR_EXP","1993-06-18","2026-05-02","Per=Y","Days=T","Dir=V")</f>
        <v>0</v>
      </c>
      <c r="AK2">
        <f>BDH("BKSY US Equity","CF_CASH_FROM_OPER","1993-06-18","2026-05-02","Per=Y","Days=T","Dir=V")</f>
        <v>0</v>
      </c>
      <c r="AM2">
        <f>BDH("BKSY US Equity","CAPITAL_EXPEND","1993-06-18","2026-05-02","Per=Y","Days=T","Dir=V")</f>
        <v>0</v>
      </c>
      <c r="AO2">
        <f>BDH("BKSY US Equity","CF_FREE_CASH_FLOW","1993-06-18","2026-05-02","Per=Y","Days=T","Dir=V")</f>
        <v>0</v>
      </c>
      <c r="AQ2">
        <f>BDH("BKSY US Equity","PX_LAST","1993-06-18","2026-05-02","Per=M","Days=T","Dir=V")</f>
        <v>0</v>
      </c>
      <c r="AS2">
        <f>BDH("BKSY US Equity","CUR_MKT_CAP","1993-06-18","2026-05-02","Per=M","Days=T","Dir=V")</f>
        <v>0</v>
      </c>
      <c r="AU2">
        <f>BDH("BKSY US Equity","EQY_SH_OUT","1993-06-18","2026-05-02","Per=M","Days=T","Dir=V")</f>
        <v>0</v>
      </c>
      <c r="AW2">
        <f>BDH("BKSY US Equity","PX_VOLUME","1993-06-18","2026-05-02","Per=M","Days=T","Dir=V")</f>
        <v>0</v>
      </c>
      <c r="AY2">
        <f>BDH("BKSY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BDH("BKTI US Equity","BS_TOT_ASSET","1993-06-18","2026-05-02","Per=Y","Days=T","Dir=V")</f>
        <v>0</v>
      </c>
      <c r="C2">
        <f>BDH("BKTI US Equity","BS_TOT_LIAB2","1993-06-18","2026-05-02","Per=Y","Days=T","Dir=V")</f>
        <v>0</v>
      </c>
      <c r="E2">
        <f>BDH("BKTI US Equity","SHORT_AND_LONG_TERM_DEBT","1993-06-18","2026-05-02","Per=Y","Days=T","Dir=V")</f>
        <v>0</v>
      </c>
      <c r="G2">
        <f>BDH("BKTI US Equity","BS_ST_BORROW","1993-06-18","2026-05-02","Per=Y","Days=T","Dir=V")</f>
        <v>0</v>
      </c>
      <c r="I2">
        <f>BDH("BKTI US Equity","BS_LT_BORROW","1993-06-18","2026-05-02","Per=Y","Days=T","Dir=V")</f>
        <v>0</v>
      </c>
      <c r="K2">
        <f>BDH("BKTI US Equity","BS_CASH_NEAR_CASH_ITEM","1993-06-18","2026-05-02","Per=Y","Days=T","Dir=V")</f>
        <v>0</v>
      </c>
      <c r="M2">
        <f>BDH("BKTI US Equity","BS_CUR_ASSET_REPORT","1993-06-18","2026-05-02","Per=Y","Days=T","Dir=V")</f>
        <v>0</v>
      </c>
      <c r="O2">
        <f>BDH("BKTI US Equity","BS_CUR_LIAB","1993-06-18","2026-05-02","Per=Y","Days=T","Dir=V")</f>
        <v>0</v>
      </c>
      <c r="Q2">
        <f>BDH("BKTI US Equity","BS_SHAREHOLDER_EQY_ENDING_PERIOD","1993-06-18","2026-05-02","Per=Y","Days=T","Dir=V")</f>
        <v>0</v>
      </c>
      <c r="S2">
        <f>BDH("BKTI US Equity","BS_ACCT_NOTE_RCV","1993-06-18","2026-05-02","Per=Y","Days=T","Dir=V")</f>
        <v>0</v>
      </c>
      <c r="U2">
        <f>BDH("BKTI US Equity","BS_INVENTORIES","1993-06-18","2026-05-02","Per=Y","Days=T","Dir=V")</f>
        <v>0</v>
      </c>
      <c r="W2">
        <f>BDH("BKTI US Equity","WORKING_CAPITAL","1993-06-18","2026-05-02","Per=Y","Days=T","Dir=V")</f>
        <v>0</v>
      </c>
      <c r="Y2">
        <f>BDH("BKTI US Equity","SALES_REV_TURN","1993-06-18","2026-05-02","Per=Y","Days=T","Dir=V")</f>
        <v>0</v>
      </c>
      <c r="AA2">
        <f>BDH("BKTI US Equity","EBIT","1993-06-18","2026-05-02","Per=Y","Days=T","Dir=V")</f>
        <v>0</v>
      </c>
      <c r="AC2">
        <f>BDH("BKTI US Equity","EBITDA","1993-06-18","2026-05-02","Per=Y","Days=T","Dir=V")</f>
        <v>0</v>
      </c>
      <c r="AE2">
        <f>BDH("BKTI US Equity","NET_INCOME","1993-06-18","2026-05-02","Per=Y","Days=T","Dir=V")</f>
        <v>0</v>
      </c>
      <c r="AG2">
        <f>BDH("BKTI US Equity","IS_INT_EXPENSE","1993-06-18","2026-05-02","Per=Y","Days=T","Dir=V")</f>
        <v>0</v>
      </c>
      <c r="AI2">
        <f>BDH("BKTI US Equity","IS_DEPR_EXP","1993-06-18","2026-05-02","Per=Y","Days=T","Dir=V")</f>
        <v>0</v>
      </c>
      <c r="AK2">
        <f>BDH("BKTI US Equity","CF_CASH_FROM_OPER","1993-06-18","2026-05-02","Per=Y","Days=T","Dir=V")</f>
        <v>0</v>
      </c>
      <c r="AM2">
        <f>BDH("BKTI US Equity","CAPITAL_EXPEND","1993-06-18","2026-05-02","Per=Y","Days=T","Dir=V")</f>
        <v>0</v>
      </c>
      <c r="AO2">
        <f>BDH("BKTI US Equity","CF_FREE_CASH_FLOW","1993-06-18","2026-05-02","Per=Y","Days=T","Dir=V")</f>
        <v>0</v>
      </c>
      <c r="AQ2">
        <f>BDH("BKTI US Equity","PX_LAST","1993-06-18","2026-05-02","Per=M","Days=T","Dir=V")</f>
        <v>0</v>
      </c>
      <c r="AS2">
        <f>BDH("BKTI US Equity","CUR_MKT_CAP","1993-06-18","2026-05-02","Per=M","Days=T","Dir=V")</f>
        <v>0</v>
      </c>
      <c r="AU2">
        <f>BDH("BKTI US Equity","EQY_SH_OUT","1993-06-18","2026-05-02","Per=M","Days=T","Dir=V")</f>
        <v>0</v>
      </c>
      <c r="AW2">
        <f>BDH("BKTI US Equity","PX_VOLUME","1993-06-18","2026-05-02","Per=M","Days=T","Dir=V")</f>
        <v>0</v>
      </c>
      <c r="AY2">
        <f>BDH("BKTI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BDH("BKV US Equity","BS_TOT_ASSET","1993-06-18","2026-05-02","Per=Y","Days=T","Dir=V")</f>
        <v>0</v>
      </c>
      <c r="C2">
        <f>BDH("BKV US Equity","BS_TOT_LIAB2","1993-06-18","2026-05-02","Per=Y","Days=T","Dir=V")</f>
        <v>0</v>
      </c>
      <c r="E2">
        <f>BDH("BKV US Equity","SHORT_AND_LONG_TERM_DEBT","1993-06-18","2026-05-02","Per=Y","Days=T","Dir=V")</f>
        <v>0</v>
      </c>
      <c r="G2">
        <f>BDH("BKV US Equity","BS_ST_BORROW","1993-06-18","2026-05-02","Per=Y","Days=T","Dir=V")</f>
        <v>0</v>
      </c>
      <c r="I2">
        <f>BDH("BKV US Equity","BS_LT_BORROW","1993-06-18","2026-05-02","Per=Y","Days=T","Dir=V")</f>
        <v>0</v>
      </c>
      <c r="K2">
        <f>BDH("BKV US Equity","BS_CASH_NEAR_CASH_ITEM","1993-06-18","2026-05-02","Per=Y","Days=T","Dir=V")</f>
        <v>0</v>
      </c>
      <c r="M2">
        <f>BDH("BKV US Equity","BS_CUR_ASSET_REPORT","1993-06-18","2026-05-02","Per=Y","Days=T","Dir=V")</f>
        <v>0</v>
      </c>
      <c r="O2">
        <f>BDH("BKV US Equity","BS_CUR_LIAB","1993-06-18","2026-05-02","Per=Y","Days=T","Dir=V")</f>
        <v>0</v>
      </c>
      <c r="Q2">
        <f>BDH("BKV US Equity","BS_SHAREHOLDER_EQY_ENDING_PERIOD","1993-06-18","2026-05-02","Per=Y","Days=T","Dir=V")</f>
        <v>0</v>
      </c>
      <c r="S2">
        <f>BDH("BKV US Equity","BS_ACCT_NOTE_RCV","1993-06-18","2026-05-02","Per=Y","Days=T","Dir=V")</f>
        <v>0</v>
      </c>
      <c r="U2">
        <f>BDH("BKV US Equity","BS_INVENTORIES","1993-06-18","2026-05-02","Per=Y","Days=T","Dir=V")</f>
        <v>0</v>
      </c>
      <c r="W2">
        <f>BDH("BKV US Equity","WORKING_CAPITAL","1993-06-18","2026-05-02","Per=Y","Days=T","Dir=V")</f>
        <v>0</v>
      </c>
      <c r="Y2">
        <f>BDH("BKV US Equity","SALES_REV_TURN","1993-06-18","2026-05-02","Per=Y","Days=T","Dir=V")</f>
        <v>0</v>
      </c>
      <c r="AA2">
        <f>BDH("BKV US Equity","EBIT","1993-06-18","2026-05-02","Per=Y","Days=T","Dir=V")</f>
        <v>0</v>
      </c>
      <c r="AC2">
        <f>BDH("BKV US Equity","EBITDA","1993-06-18","2026-05-02","Per=Y","Days=T","Dir=V")</f>
        <v>0</v>
      </c>
      <c r="AE2">
        <f>BDH("BKV US Equity","NET_INCOME","1993-06-18","2026-05-02","Per=Y","Days=T","Dir=V")</f>
        <v>0</v>
      </c>
      <c r="AG2">
        <f>BDH("BKV US Equity","IS_INT_EXPENSE","1993-06-18","2026-05-02","Per=Y","Days=T","Dir=V")</f>
        <v>0</v>
      </c>
      <c r="AI2">
        <f>BDH("BKV US Equity","IS_DEPR_EXP","1993-06-18","2026-05-02","Per=Y","Days=T","Dir=V")</f>
        <v>0</v>
      </c>
      <c r="AK2">
        <f>BDH("BKV US Equity","CF_CASH_FROM_OPER","1993-06-18","2026-05-02","Per=Y","Days=T","Dir=V")</f>
        <v>0</v>
      </c>
      <c r="AM2">
        <f>BDH("BKV US Equity","CAPITAL_EXPEND","1993-06-18","2026-05-02","Per=Y","Days=T","Dir=V")</f>
        <v>0</v>
      </c>
      <c r="AO2">
        <f>BDH("BKV US Equity","CF_FREE_CASH_FLOW","1993-06-18","2026-05-02","Per=Y","Days=T","Dir=V")</f>
        <v>0</v>
      </c>
      <c r="AQ2">
        <f>BDH("BKV US Equity","PX_LAST","1993-06-18","2026-05-02","Per=M","Days=T","Dir=V")</f>
        <v>0</v>
      </c>
      <c r="AS2">
        <f>BDH("BKV US Equity","CUR_MKT_CAP","1993-06-18","2026-05-02","Per=M","Days=T","Dir=V")</f>
        <v>0</v>
      </c>
      <c r="AU2">
        <f>BDH("BKV US Equity","EQY_SH_OUT","1993-06-18","2026-05-02","Per=M","Days=T","Dir=V")</f>
        <v>0</v>
      </c>
      <c r="AW2">
        <f>BDH("BKV US Equity","PX_VOLUME","1993-06-18","2026-05-02","Per=M","Days=T","Dir=V")</f>
        <v>0</v>
      </c>
      <c r="AY2">
        <f>BDH("BKV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BDH("BKYI US Equity","BS_TOT_ASSET","1993-06-18","2026-05-02","Per=Y","Days=T","Dir=V")</f>
        <v>0</v>
      </c>
      <c r="C2">
        <f>BDH("BKYI US Equity","BS_TOT_LIAB2","1993-06-18","2026-05-02","Per=Y","Days=T","Dir=V")</f>
        <v>0</v>
      </c>
      <c r="E2">
        <f>BDH("BKYI US Equity","SHORT_AND_LONG_TERM_DEBT","1993-06-18","2026-05-02","Per=Y","Days=T","Dir=V")</f>
        <v>0</v>
      </c>
      <c r="G2">
        <f>BDH("BKYI US Equity","BS_ST_BORROW","1993-06-18","2026-05-02","Per=Y","Days=T","Dir=V")</f>
        <v>0</v>
      </c>
      <c r="I2">
        <f>BDH("BKYI US Equity","BS_LT_BORROW","1993-06-18","2026-05-02","Per=Y","Days=T","Dir=V")</f>
        <v>0</v>
      </c>
      <c r="K2">
        <f>BDH("BKYI US Equity","BS_CASH_NEAR_CASH_ITEM","1993-06-18","2026-05-02","Per=Y","Days=T","Dir=V")</f>
        <v>0</v>
      </c>
      <c r="M2">
        <f>BDH("BKYI US Equity","BS_CUR_ASSET_REPORT","1993-06-18","2026-05-02","Per=Y","Days=T","Dir=V")</f>
        <v>0</v>
      </c>
      <c r="O2">
        <f>BDH("BKYI US Equity","BS_CUR_LIAB","1993-06-18","2026-05-02","Per=Y","Days=T","Dir=V")</f>
        <v>0</v>
      </c>
      <c r="Q2">
        <f>BDH("BKYI US Equity","BS_SHAREHOLDER_EQY_ENDING_PERIOD","1993-06-18","2026-05-02","Per=Y","Days=T","Dir=V")</f>
        <v>0</v>
      </c>
      <c r="S2">
        <f>BDH("BKYI US Equity","BS_ACCT_NOTE_RCV","1993-06-18","2026-05-02","Per=Y","Days=T","Dir=V")</f>
        <v>0</v>
      </c>
      <c r="U2">
        <f>BDH("BKYI US Equity","BS_INVENTORIES","1993-06-18","2026-05-02","Per=Y","Days=T","Dir=V")</f>
        <v>0</v>
      </c>
      <c r="W2">
        <f>BDH("BKYI US Equity","WORKING_CAPITAL","1993-06-18","2026-05-02","Per=Y","Days=T","Dir=V")</f>
        <v>0</v>
      </c>
      <c r="Y2">
        <f>BDH("BKYI US Equity","SALES_REV_TURN","1993-06-18","2026-05-02","Per=Y","Days=T","Dir=V")</f>
        <v>0</v>
      </c>
      <c r="AA2">
        <f>BDH("BKYI US Equity","EBIT","1993-06-18","2026-05-02","Per=Y","Days=T","Dir=V")</f>
        <v>0</v>
      </c>
      <c r="AC2">
        <f>BDH("BKYI US Equity","EBITDA","1993-06-18","2026-05-02","Per=Y","Days=T","Dir=V")</f>
        <v>0</v>
      </c>
      <c r="AE2">
        <f>BDH("BKYI US Equity","NET_INCOME","1993-06-18","2026-05-02","Per=Y","Days=T","Dir=V")</f>
        <v>0</v>
      </c>
      <c r="AG2">
        <f>BDH("BKYI US Equity","IS_INT_EXPENSE","1993-06-18","2026-05-02","Per=Y","Days=T","Dir=V")</f>
        <v>0</v>
      </c>
      <c r="AI2">
        <f>BDH("BKYI US Equity","IS_DEPR_EXP","1993-06-18","2026-05-02","Per=Y","Days=T","Dir=V")</f>
        <v>0</v>
      </c>
      <c r="AK2">
        <f>BDH("BKYI US Equity","CF_CASH_FROM_OPER","1993-06-18","2026-05-02","Per=Y","Days=T","Dir=V")</f>
        <v>0</v>
      </c>
      <c r="AM2">
        <f>BDH("BKYI US Equity","CAPITAL_EXPEND","1993-06-18","2026-05-02","Per=Y","Days=T","Dir=V")</f>
        <v>0</v>
      </c>
      <c r="AO2">
        <f>BDH("BKYI US Equity","CF_FREE_CASH_FLOW","1993-06-18","2026-05-02","Per=Y","Days=T","Dir=V")</f>
        <v>0</v>
      </c>
      <c r="AQ2">
        <f>BDH("BKYI US Equity","PX_LAST","1993-06-18","2026-05-02","Per=M","Days=T","Dir=V")</f>
        <v>0</v>
      </c>
      <c r="AS2">
        <f>BDH("BKYI US Equity","CUR_MKT_CAP","1993-06-18","2026-05-02","Per=M","Days=T","Dir=V")</f>
        <v>0</v>
      </c>
      <c r="AU2">
        <f>BDH("BKYI US Equity","EQY_SH_OUT","1993-06-18","2026-05-02","Per=M","Days=T","Dir=V")</f>
        <v>0</v>
      </c>
      <c r="AW2">
        <f>BDH("BKYI US Equity","PX_VOLUME","1993-06-18","2026-05-02","Per=M","Days=T","Dir=V")</f>
        <v>0</v>
      </c>
      <c r="AY2">
        <f>BDH("BKYI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 US Equity","BS_TOT_ASSET","1993-06-18","2026-05-02","Per=Y","Days=T","Dir=V")</f>
        <v>0</v>
      </c>
      <c r="C2">
        <f>BDH("BL US Equity","BS_TOT_LIAB2","1993-06-18","2026-05-02","Per=Y","Days=T","Dir=V")</f>
        <v>0</v>
      </c>
      <c r="E2">
        <f>BDH("BL US Equity","SHORT_AND_LONG_TERM_DEBT","1993-06-18","2026-05-02","Per=Y","Days=T","Dir=V")</f>
        <v>0</v>
      </c>
      <c r="G2">
        <f>BDH("BL US Equity","BS_ST_BORROW","1993-06-18","2026-05-02","Per=Y","Days=T","Dir=V")</f>
        <v>0</v>
      </c>
      <c r="I2">
        <f>BDH("BL US Equity","BS_LT_BORROW","1993-06-18","2026-05-02","Per=Y","Days=T","Dir=V")</f>
        <v>0</v>
      </c>
      <c r="K2">
        <f>BDH("BL US Equity","BS_CASH_NEAR_CASH_ITEM","1993-06-18","2026-05-02","Per=Y","Days=T","Dir=V")</f>
        <v>0</v>
      </c>
      <c r="M2">
        <f>BDH("BL US Equity","BS_CUR_ASSET_REPORT","1993-06-18","2026-05-02","Per=Y","Days=T","Dir=V")</f>
        <v>0</v>
      </c>
      <c r="O2">
        <f>BDH("BL US Equity","BS_CUR_LIAB","1993-06-18","2026-05-02","Per=Y","Days=T","Dir=V")</f>
        <v>0</v>
      </c>
      <c r="Q2">
        <f>BDH("BL US Equity","BS_SHAREHOLDER_EQY_ENDING_PERIOD","1993-06-18","2026-05-02","Per=Y","Days=T","Dir=V")</f>
        <v>0</v>
      </c>
      <c r="S2">
        <f>BDH("BL US Equity","BS_ACCT_NOTE_RCV","1993-06-18","2026-05-02","Per=Y","Days=T","Dir=V")</f>
        <v>0</v>
      </c>
      <c r="U2">
        <f>BDH("BL US Equity","BS_INVENTORIES","1993-06-18","2026-05-02","Per=Y","Days=T","Dir=V")</f>
        <v>0</v>
      </c>
      <c r="W2">
        <f>BDH("BL US Equity","WORKING_CAPITAL","1993-06-18","2026-05-02","Per=Y","Days=T","Dir=V")</f>
        <v>0</v>
      </c>
      <c r="Y2">
        <f>BDH("BL US Equity","SALES_REV_TURN","1993-06-18","2026-05-02","Per=Y","Days=T","Dir=V")</f>
        <v>0</v>
      </c>
      <c r="AA2">
        <f>BDH("BL US Equity","EBIT","1993-06-18","2026-05-02","Per=Y","Days=T","Dir=V")</f>
        <v>0</v>
      </c>
      <c r="AC2">
        <f>BDH("BL US Equity","EBITDA","1993-06-18","2026-05-02","Per=Y","Days=T","Dir=V")</f>
        <v>0</v>
      </c>
      <c r="AE2">
        <f>BDH("BL US Equity","NET_INCOME","1993-06-18","2026-05-02","Per=Y","Days=T","Dir=V")</f>
        <v>0</v>
      </c>
      <c r="AG2">
        <f>BDH("BL US Equity","IS_INT_EXPENSE","1993-06-18","2026-05-02","Per=Y","Days=T","Dir=V")</f>
        <v>0</v>
      </c>
      <c r="AI2">
        <f>BDH("BL US Equity","IS_DEPR_EXP","1993-06-18","2026-05-02","Per=Y","Days=T","Dir=V")</f>
        <v>0</v>
      </c>
      <c r="AK2">
        <f>BDH("BL US Equity","CF_CASH_FROM_OPER","1993-06-18","2026-05-02","Per=Y","Days=T","Dir=V")</f>
        <v>0</v>
      </c>
      <c r="AM2">
        <f>BDH("BL US Equity","CAPITAL_EXPEND","1993-06-18","2026-05-02","Per=Y","Days=T","Dir=V")</f>
        <v>0</v>
      </c>
      <c r="AO2">
        <f>BDH("BL US Equity","CF_FREE_CASH_FLOW","1993-06-18","2026-05-02","Per=Y","Days=T","Dir=V")</f>
        <v>0</v>
      </c>
      <c r="AQ2">
        <f>BDH("BL US Equity","PX_LAST","1993-06-18","2026-05-02","Per=M","Days=T","Dir=V")</f>
        <v>0</v>
      </c>
      <c r="AS2">
        <f>BDH("BL US Equity","CUR_MKT_CAP","1993-06-18","2026-05-02","Per=M","Days=T","Dir=V")</f>
        <v>0</v>
      </c>
      <c r="AU2">
        <f>BDH("BL US Equity","EQY_SH_OUT","1993-06-18","2026-05-02","Per=M","Days=T","Dir=V")</f>
        <v>0</v>
      </c>
      <c r="AW2">
        <f>BDH("BL US Equity","PX_VOLUME","1993-06-18","2026-05-02","Per=M","Days=T","Dir=V")</f>
        <v>0</v>
      </c>
      <c r="AY2">
        <f>BDH("BL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BDH("BLBD US Equity","BS_TOT_ASSET","1993-06-18","2026-05-02","Per=Y","Days=T","Dir=V")</f>
        <v>0</v>
      </c>
      <c r="C2">
        <f>BDH("BLBD US Equity","BS_TOT_LIAB2","1993-06-18","2026-05-02","Per=Y","Days=T","Dir=V")</f>
        <v>0</v>
      </c>
      <c r="E2">
        <f>BDH("BLBD US Equity","SHORT_AND_LONG_TERM_DEBT","1993-06-18","2026-05-02","Per=Y","Days=T","Dir=V")</f>
        <v>0</v>
      </c>
      <c r="G2">
        <f>BDH("BLBD US Equity","BS_ST_BORROW","1993-06-18","2026-05-02","Per=Y","Days=T","Dir=V")</f>
        <v>0</v>
      </c>
      <c r="I2">
        <f>BDH("BLBD US Equity","BS_LT_BORROW","1993-06-18","2026-05-02","Per=Y","Days=T","Dir=V")</f>
        <v>0</v>
      </c>
      <c r="K2">
        <f>BDH("BLBD US Equity","BS_CASH_NEAR_CASH_ITEM","1993-06-18","2026-05-02","Per=Y","Days=T","Dir=V")</f>
        <v>0</v>
      </c>
      <c r="M2">
        <f>BDH("BLBD US Equity","BS_CUR_ASSET_REPORT","1993-06-18","2026-05-02","Per=Y","Days=T","Dir=V")</f>
        <v>0</v>
      </c>
      <c r="O2">
        <f>BDH("BLBD US Equity","BS_CUR_LIAB","1993-06-18","2026-05-02","Per=Y","Days=T","Dir=V")</f>
        <v>0</v>
      </c>
      <c r="Q2">
        <f>BDH("BLBD US Equity","BS_SHAREHOLDER_EQY_ENDING_PERIOD","1993-06-18","2026-05-02","Per=Y","Days=T","Dir=V")</f>
        <v>0</v>
      </c>
      <c r="S2">
        <f>BDH("BLBD US Equity","BS_ACCT_NOTE_RCV","1993-06-18","2026-05-02","Per=Y","Days=T","Dir=V")</f>
        <v>0</v>
      </c>
      <c r="U2">
        <f>BDH("BLBD US Equity","BS_INVENTORIES","1993-06-18","2026-05-02","Per=Y","Days=T","Dir=V")</f>
        <v>0</v>
      </c>
      <c r="W2">
        <f>BDH("BLBD US Equity","WORKING_CAPITAL","1993-06-18","2026-05-02","Per=Y","Days=T","Dir=V")</f>
        <v>0</v>
      </c>
      <c r="Y2">
        <f>BDH("BLBD US Equity","SALES_REV_TURN","1993-06-18","2026-05-02","Per=Y","Days=T","Dir=V")</f>
        <v>0</v>
      </c>
      <c r="AA2">
        <f>BDH("BLBD US Equity","EBIT","1993-06-18","2026-05-02","Per=Y","Days=T","Dir=V")</f>
        <v>0</v>
      </c>
      <c r="AC2">
        <f>BDH("BLBD US Equity","EBITDA","1993-06-18","2026-05-02","Per=Y","Days=T","Dir=V")</f>
        <v>0</v>
      </c>
      <c r="AE2">
        <f>BDH("BLBD US Equity","NET_INCOME","1993-06-18","2026-05-02","Per=Y","Days=T","Dir=V")</f>
        <v>0</v>
      </c>
      <c r="AG2">
        <f>BDH("BLBD US Equity","IS_INT_EXPENSE","1993-06-18","2026-05-02","Per=Y","Days=T","Dir=V")</f>
        <v>0</v>
      </c>
      <c r="AI2">
        <f>BDH("BLBD US Equity","IS_DEPR_EXP","1993-06-18","2026-05-02","Per=Y","Days=T","Dir=V")</f>
        <v>0</v>
      </c>
      <c r="AK2">
        <f>BDH("BLBD US Equity","CF_CASH_FROM_OPER","1993-06-18","2026-05-02","Per=Y","Days=T","Dir=V")</f>
        <v>0</v>
      </c>
      <c r="AM2">
        <f>BDH("BLBD US Equity","CAPITAL_EXPEND","1993-06-18","2026-05-02","Per=Y","Days=T","Dir=V")</f>
        <v>0</v>
      </c>
      <c r="AO2">
        <f>BDH("BLBD US Equity","CF_FREE_CASH_FLOW","1993-06-18","2026-05-02","Per=Y","Days=T","Dir=V")</f>
        <v>0</v>
      </c>
      <c r="AQ2">
        <f>BDH("BLBD US Equity","PX_LAST","1993-06-18","2026-05-02","Per=M","Days=T","Dir=V")</f>
        <v>0</v>
      </c>
      <c r="AS2">
        <f>BDH("BLBD US Equity","CUR_MKT_CAP","1993-06-18","2026-05-02","Per=M","Days=T","Dir=V")</f>
        <v>0</v>
      </c>
      <c r="AU2">
        <f>BDH("BLBD US Equity","EQY_SH_OUT","1993-06-18","2026-05-02","Per=M","Days=T","Dir=V")</f>
        <v>0</v>
      </c>
      <c r="AW2">
        <f>BDH("BLBD US Equity","PX_VOLUME","1993-06-18","2026-05-02","Per=M","Days=T","Dir=V")</f>
        <v>0</v>
      </c>
      <c r="AY2">
        <f>BDH("BLBD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BDH("BLDR US Equity","BS_TOT_ASSET","1993-06-18","2026-05-02","Per=Y","Days=T","Dir=V")</f>
        <v>0</v>
      </c>
      <c r="C2">
        <f>BDH("BLDR US Equity","BS_TOT_LIAB2","1993-06-18","2026-05-02","Per=Y","Days=T","Dir=V")</f>
        <v>0</v>
      </c>
      <c r="E2">
        <f>BDH("BLDR US Equity","SHORT_AND_LONG_TERM_DEBT","1993-06-18","2026-05-02","Per=Y","Days=T","Dir=V")</f>
        <v>0</v>
      </c>
      <c r="G2">
        <f>BDH("BLDR US Equity","BS_ST_BORROW","1993-06-18","2026-05-02","Per=Y","Days=T","Dir=V")</f>
        <v>0</v>
      </c>
      <c r="I2">
        <f>BDH("BLDR US Equity","BS_LT_BORROW","1993-06-18","2026-05-02","Per=Y","Days=T","Dir=V")</f>
        <v>0</v>
      </c>
      <c r="K2">
        <f>BDH("BLDR US Equity","BS_CASH_NEAR_CASH_ITEM","1993-06-18","2026-05-02","Per=Y","Days=T","Dir=V")</f>
        <v>0</v>
      </c>
      <c r="M2">
        <f>BDH("BLDR US Equity","BS_CUR_ASSET_REPORT","1993-06-18","2026-05-02","Per=Y","Days=T","Dir=V")</f>
        <v>0</v>
      </c>
      <c r="O2">
        <f>BDH("BLDR US Equity","BS_CUR_LIAB","1993-06-18","2026-05-02","Per=Y","Days=T","Dir=V")</f>
        <v>0</v>
      </c>
      <c r="Q2">
        <f>BDH("BLDR US Equity","BS_SHAREHOLDER_EQY_ENDING_PERIOD","1993-06-18","2026-05-02","Per=Y","Days=T","Dir=V")</f>
        <v>0</v>
      </c>
      <c r="S2">
        <f>BDH("BLDR US Equity","BS_ACCT_NOTE_RCV","1993-06-18","2026-05-02","Per=Y","Days=T","Dir=V")</f>
        <v>0</v>
      </c>
      <c r="U2">
        <f>BDH("BLDR US Equity","BS_INVENTORIES","1993-06-18","2026-05-02","Per=Y","Days=T","Dir=V")</f>
        <v>0</v>
      </c>
      <c r="W2">
        <f>BDH("BLDR US Equity","WORKING_CAPITAL","1993-06-18","2026-05-02","Per=Y","Days=T","Dir=V")</f>
        <v>0</v>
      </c>
      <c r="Y2">
        <f>BDH("BLDR US Equity","SALES_REV_TURN","1993-06-18","2026-05-02","Per=Y","Days=T","Dir=V")</f>
        <v>0</v>
      </c>
      <c r="AA2">
        <f>BDH("BLDR US Equity","EBIT","1993-06-18","2026-05-02","Per=Y","Days=T","Dir=V")</f>
        <v>0</v>
      </c>
      <c r="AC2">
        <f>BDH("BLDR US Equity","EBITDA","1993-06-18","2026-05-02","Per=Y","Days=T","Dir=V")</f>
        <v>0</v>
      </c>
      <c r="AE2">
        <f>BDH("BLDR US Equity","NET_INCOME","1993-06-18","2026-05-02","Per=Y","Days=T","Dir=V")</f>
        <v>0</v>
      </c>
      <c r="AG2">
        <f>BDH("BLDR US Equity","IS_INT_EXPENSE","1993-06-18","2026-05-02","Per=Y","Days=T","Dir=V")</f>
        <v>0</v>
      </c>
      <c r="AI2">
        <f>BDH("BLDR US Equity","IS_DEPR_EXP","1993-06-18","2026-05-02","Per=Y","Days=T","Dir=V")</f>
        <v>0</v>
      </c>
      <c r="AK2">
        <f>BDH("BLDR US Equity","CF_CASH_FROM_OPER","1993-06-18","2026-05-02","Per=Y","Days=T","Dir=V")</f>
        <v>0</v>
      </c>
      <c r="AM2">
        <f>BDH("BLDR US Equity","CAPITAL_EXPEND","1993-06-18","2026-05-02","Per=Y","Days=T","Dir=V")</f>
        <v>0</v>
      </c>
      <c r="AO2">
        <f>BDH("BLDR US Equity","CF_FREE_CASH_FLOW","1993-06-18","2026-05-02","Per=Y","Days=T","Dir=V")</f>
        <v>0</v>
      </c>
      <c r="AQ2">
        <f>BDH("BLDR US Equity","PX_LAST","1993-06-18","2026-05-02","Per=M","Days=T","Dir=V")</f>
        <v>0</v>
      </c>
      <c r="AS2">
        <f>BDH("BLDR US Equity","CUR_MKT_CAP","1993-06-18","2026-05-02","Per=M","Days=T","Dir=V")</f>
        <v>0</v>
      </c>
      <c r="AU2">
        <f>BDH("BLDR US Equity","EQY_SH_OUT","1993-06-18","2026-05-02","Per=M","Days=T","Dir=V")</f>
        <v>0</v>
      </c>
      <c r="AW2">
        <f>BDH("BLDR US Equity","PX_VOLUME","1993-06-18","2026-05-02","Per=M","Days=T","Dir=V")</f>
        <v>0</v>
      </c>
      <c r="AY2">
        <f>BDH("BLDR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BDH("BLFS US Equity","BS_TOT_ASSET","1993-06-18","2026-05-02","Per=Y","Days=T","Dir=V")</f>
        <v>0</v>
      </c>
      <c r="C2">
        <f>BDH("BLFS US Equity","BS_TOT_LIAB2","1993-06-18","2026-05-02","Per=Y","Days=T","Dir=V")</f>
        <v>0</v>
      </c>
      <c r="E2">
        <f>BDH("BLFS US Equity","SHORT_AND_LONG_TERM_DEBT","1993-06-18","2026-05-02","Per=Y","Days=T","Dir=V")</f>
        <v>0</v>
      </c>
      <c r="G2">
        <f>BDH("BLFS US Equity","BS_ST_BORROW","1993-06-18","2026-05-02","Per=Y","Days=T","Dir=V")</f>
        <v>0</v>
      </c>
      <c r="I2">
        <f>BDH("BLFS US Equity","BS_LT_BORROW","1993-06-18","2026-05-02","Per=Y","Days=T","Dir=V")</f>
        <v>0</v>
      </c>
      <c r="K2">
        <f>BDH("BLFS US Equity","BS_CASH_NEAR_CASH_ITEM","1993-06-18","2026-05-02","Per=Y","Days=T","Dir=V")</f>
        <v>0</v>
      </c>
      <c r="M2">
        <f>BDH("BLFS US Equity","BS_CUR_ASSET_REPORT","1993-06-18","2026-05-02","Per=Y","Days=T","Dir=V")</f>
        <v>0</v>
      </c>
      <c r="O2">
        <f>BDH("BLFS US Equity","BS_CUR_LIAB","1993-06-18","2026-05-02","Per=Y","Days=T","Dir=V")</f>
        <v>0</v>
      </c>
      <c r="Q2">
        <f>BDH("BLFS US Equity","BS_SHAREHOLDER_EQY_ENDING_PERIOD","1993-06-18","2026-05-02","Per=Y","Days=T","Dir=V")</f>
        <v>0</v>
      </c>
      <c r="S2">
        <f>BDH("BLFS US Equity","BS_ACCT_NOTE_RCV","1993-06-18","2026-05-02","Per=Y","Days=T","Dir=V")</f>
        <v>0</v>
      </c>
      <c r="U2">
        <f>BDH("BLFS US Equity","BS_INVENTORIES","1993-06-18","2026-05-02","Per=Y","Days=T","Dir=V")</f>
        <v>0</v>
      </c>
      <c r="W2">
        <f>BDH("BLFS US Equity","WORKING_CAPITAL","1993-06-18","2026-05-02","Per=Y","Days=T","Dir=V")</f>
        <v>0</v>
      </c>
      <c r="Y2">
        <f>BDH("BLFS US Equity","SALES_REV_TURN","1993-06-18","2026-05-02","Per=Y","Days=T","Dir=V")</f>
        <v>0</v>
      </c>
      <c r="AA2">
        <f>BDH("BLFS US Equity","EBIT","1993-06-18","2026-05-02","Per=Y","Days=T","Dir=V")</f>
        <v>0</v>
      </c>
      <c r="AC2">
        <f>BDH("BLFS US Equity","EBITDA","1993-06-18","2026-05-02","Per=Y","Days=T","Dir=V")</f>
        <v>0</v>
      </c>
      <c r="AE2">
        <f>BDH("BLFS US Equity","NET_INCOME","1993-06-18","2026-05-02","Per=Y","Days=T","Dir=V")</f>
        <v>0</v>
      </c>
      <c r="AG2">
        <f>BDH("BLFS US Equity","IS_INT_EXPENSE","1993-06-18","2026-05-02","Per=Y","Days=T","Dir=V")</f>
        <v>0</v>
      </c>
      <c r="AI2">
        <f>BDH("BLFS US Equity","IS_DEPR_EXP","1993-06-18","2026-05-02","Per=Y","Days=T","Dir=V")</f>
        <v>0</v>
      </c>
      <c r="AK2">
        <f>BDH("BLFS US Equity","CF_CASH_FROM_OPER","1993-06-18","2026-05-02","Per=Y","Days=T","Dir=V")</f>
        <v>0</v>
      </c>
      <c r="AM2">
        <f>BDH("BLFS US Equity","CAPITAL_EXPEND","1993-06-18","2026-05-02","Per=Y","Days=T","Dir=V")</f>
        <v>0</v>
      </c>
      <c r="AO2">
        <f>BDH("BLFS US Equity","CF_FREE_CASH_FLOW","1993-06-18","2026-05-02","Per=Y","Days=T","Dir=V")</f>
        <v>0</v>
      </c>
      <c r="AQ2">
        <f>BDH("BLFS US Equity","PX_LAST","1993-06-18","2026-05-02","Per=M","Days=T","Dir=V")</f>
        <v>0</v>
      </c>
      <c r="AS2">
        <f>BDH("BLFS US Equity","CUR_MKT_CAP","1993-06-18","2026-05-02","Per=M","Days=T","Dir=V")</f>
        <v>0</v>
      </c>
      <c r="AU2">
        <f>BDH("BLFS US Equity","EQY_SH_OUT","1993-06-18","2026-05-02","Per=M","Days=T","Dir=V")</f>
        <v>0</v>
      </c>
      <c r="AW2">
        <f>BDH("BLFS US Equity","PX_VOLUME","1993-06-18","2026-05-02","Per=M","Days=T","Dir=V")</f>
        <v>0</v>
      </c>
      <c r="AY2">
        <f>BDH("BLFS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BDH("BLIN US Equity","BS_TOT_ASSET","1993-06-18","2026-05-02","Per=Y","Days=T","Dir=V")</f>
        <v>0</v>
      </c>
      <c r="C2">
        <f>BDH("BLIN US Equity","BS_TOT_LIAB2","1993-06-18","2026-05-02","Per=Y","Days=T","Dir=V")</f>
        <v>0</v>
      </c>
      <c r="E2">
        <f>BDH("BLIN US Equity","SHORT_AND_LONG_TERM_DEBT","1993-06-18","2026-05-02","Per=Y","Days=T","Dir=V")</f>
        <v>0</v>
      </c>
      <c r="G2">
        <f>BDH("BLIN US Equity","BS_ST_BORROW","1993-06-18","2026-05-02","Per=Y","Days=T","Dir=V")</f>
        <v>0</v>
      </c>
      <c r="I2">
        <f>BDH("BLIN US Equity","BS_LT_BORROW","1993-06-18","2026-05-02","Per=Y","Days=T","Dir=V")</f>
        <v>0</v>
      </c>
      <c r="K2">
        <f>BDH("BLIN US Equity","BS_CASH_NEAR_CASH_ITEM","1993-06-18","2026-05-02","Per=Y","Days=T","Dir=V")</f>
        <v>0</v>
      </c>
      <c r="M2">
        <f>BDH("BLIN US Equity","BS_CUR_ASSET_REPORT","1993-06-18","2026-05-02","Per=Y","Days=T","Dir=V")</f>
        <v>0</v>
      </c>
      <c r="O2">
        <f>BDH("BLIN US Equity","BS_CUR_LIAB","1993-06-18","2026-05-02","Per=Y","Days=T","Dir=V")</f>
        <v>0</v>
      </c>
      <c r="Q2">
        <f>BDH("BLIN US Equity","BS_SHAREHOLDER_EQY_ENDING_PERIOD","1993-06-18","2026-05-02","Per=Y","Days=T","Dir=V")</f>
        <v>0</v>
      </c>
      <c r="S2">
        <f>BDH("BLIN US Equity","BS_ACCT_NOTE_RCV","1993-06-18","2026-05-02","Per=Y","Days=T","Dir=V")</f>
        <v>0</v>
      </c>
      <c r="U2">
        <f>BDH("BLIN US Equity","BS_INVENTORIES","1993-06-18","2026-05-02","Per=Y","Days=T","Dir=V")</f>
        <v>0</v>
      </c>
      <c r="W2">
        <f>BDH("BLIN US Equity","WORKING_CAPITAL","1993-06-18","2026-05-02","Per=Y","Days=T","Dir=V")</f>
        <v>0</v>
      </c>
      <c r="Y2">
        <f>BDH("BLIN US Equity","SALES_REV_TURN","1993-06-18","2026-05-02","Per=Y","Days=T","Dir=V")</f>
        <v>0</v>
      </c>
      <c r="AA2">
        <f>BDH("BLIN US Equity","EBIT","1993-06-18","2026-05-02","Per=Y","Days=T","Dir=V")</f>
        <v>0</v>
      </c>
      <c r="AC2">
        <f>BDH("BLIN US Equity","EBITDA","1993-06-18","2026-05-02","Per=Y","Days=T","Dir=V")</f>
        <v>0</v>
      </c>
      <c r="AE2">
        <f>BDH("BLIN US Equity","NET_INCOME","1993-06-18","2026-05-02","Per=Y","Days=T","Dir=V")</f>
        <v>0</v>
      </c>
      <c r="AG2">
        <f>BDH("BLIN US Equity","IS_INT_EXPENSE","1993-06-18","2026-05-02","Per=Y","Days=T","Dir=V")</f>
        <v>0</v>
      </c>
      <c r="AI2">
        <f>BDH("BLIN US Equity","IS_DEPR_EXP","1993-06-18","2026-05-02","Per=Y","Days=T","Dir=V")</f>
        <v>0</v>
      </c>
      <c r="AK2">
        <f>BDH("BLIN US Equity","CF_CASH_FROM_OPER","1993-06-18","2026-05-02","Per=Y","Days=T","Dir=V")</f>
        <v>0</v>
      </c>
      <c r="AM2">
        <f>BDH("BLIN US Equity","CAPITAL_EXPEND","1993-06-18","2026-05-02","Per=Y","Days=T","Dir=V")</f>
        <v>0</v>
      </c>
      <c r="AO2">
        <f>BDH("BLIN US Equity","CF_FREE_CASH_FLOW","1993-06-18","2026-05-02","Per=Y","Days=T","Dir=V")</f>
        <v>0</v>
      </c>
      <c r="AQ2">
        <f>BDH("BLIN US Equity","PX_LAST","1993-06-18","2026-05-02","Per=M","Days=T","Dir=V")</f>
        <v>0</v>
      </c>
      <c r="AS2">
        <f>BDH("BLIN US Equity","CUR_MKT_CAP","1993-06-18","2026-05-02","Per=M","Days=T","Dir=V")</f>
        <v>0</v>
      </c>
      <c r="AU2">
        <f>BDH("BLIN US Equity","EQY_SH_OUT","1993-06-18","2026-05-02","Per=M","Days=T","Dir=V")</f>
        <v>0</v>
      </c>
      <c r="AW2">
        <f>BDH("BLIN US Equity","PX_VOLUME","1993-06-18","2026-05-02","Per=M","Days=T","Dir=V")</f>
        <v>0</v>
      </c>
      <c r="AY2">
        <f>BDH("BLIN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BDH("BLKB US Equity","BS_TOT_ASSET","1993-06-18","2026-05-02","Per=Y","Days=T","Dir=V")</f>
        <v>0</v>
      </c>
      <c r="C2">
        <f>BDH("BLKB US Equity","BS_TOT_LIAB2","1993-06-18","2026-05-02","Per=Y","Days=T","Dir=V")</f>
        <v>0</v>
      </c>
      <c r="E2">
        <f>BDH("BLKB US Equity","SHORT_AND_LONG_TERM_DEBT","1993-06-18","2026-05-02","Per=Y","Days=T","Dir=V")</f>
        <v>0</v>
      </c>
      <c r="G2">
        <f>BDH("BLKB US Equity","BS_ST_BORROW","1993-06-18","2026-05-02","Per=Y","Days=T","Dir=V")</f>
        <v>0</v>
      </c>
      <c r="I2">
        <f>BDH("BLKB US Equity","BS_LT_BORROW","1993-06-18","2026-05-02","Per=Y","Days=T","Dir=V")</f>
        <v>0</v>
      </c>
      <c r="K2">
        <f>BDH("BLKB US Equity","BS_CASH_NEAR_CASH_ITEM","1993-06-18","2026-05-02","Per=Y","Days=T","Dir=V")</f>
        <v>0</v>
      </c>
      <c r="M2">
        <f>BDH("BLKB US Equity","BS_CUR_ASSET_REPORT","1993-06-18","2026-05-02","Per=Y","Days=T","Dir=V")</f>
        <v>0</v>
      </c>
      <c r="O2">
        <f>BDH("BLKB US Equity","BS_CUR_LIAB","1993-06-18","2026-05-02","Per=Y","Days=T","Dir=V")</f>
        <v>0</v>
      </c>
      <c r="Q2">
        <f>BDH("BLKB US Equity","BS_SHAREHOLDER_EQY_ENDING_PERIOD","1993-06-18","2026-05-02","Per=Y","Days=T","Dir=V")</f>
        <v>0</v>
      </c>
      <c r="S2">
        <f>BDH("BLKB US Equity","BS_ACCT_NOTE_RCV","1993-06-18","2026-05-02","Per=Y","Days=T","Dir=V")</f>
        <v>0</v>
      </c>
      <c r="U2">
        <f>BDH("BLKB US Equity","BS_INVENTORIES","1993-06-18","2026-05-02","Per=Y","Days=T","Dir=V")</f>
        <v>0</v>
      </c>
      <c r="W2">
        <f>BDH("BLKB US Equity","WORKING_CAPITAL","1993-06-18","2026-05-02","Per=Y","Days=T","Dir=V")</f>
        <v>0</v>
      </c>
      <c r="Y2">
        <f>BDH("BLKB US Equity","SALES_REV_TURN","1993-06-18","2026-05-02","Per=Y","Days=T","Dir=V")</f>
        <v>0</v>
      </c>
      <c r="AA2">
        <f>BDH("BLKB US Equity","EBIT","1993-06-18","2026-05-02","Per=Y","Days=T","Dir=V")</f>
        <v>0</v>
      </c>
      <c r="AC2">
        <f>BDH("BLKB US Equity","EBITDA","1993-06-18","2026-05-02","Per=Y","Days=T","Dir=V")</f>
        <v>0</v>
      </c>
      <c r="AE2">
        <f>BDH("BLKB US Equity","NET_INCOME","1993-06-18","2026-05-02","Per=Y","Days=T","Dir=V")</f>
        <v>0</v>
      </c>
      <c r="AG2">
        <f>BDH("BLKB US Equity","IS_INT_EXPENSE","1993-06-18","2026-05-02","Per=Y","Days=T","Dir=V")</f>
        <v>0</v>
      </c>
      <c r="AI2">
        <f>BDH("BLKB US Equity","IS_DEPR_EXP","1993-06-18","2026-05-02","Per=Y","Days=T","Dir=V")</f>
        <v>0</v>
      </c>
      <c r="AK2">
        <f>BDH("BLKB US Equity","CF_CASH_FROM_OPER","1993-06-18","2026-05-02","Per=Y","Days=T","Dir=V")</f>
        <v>0</v>
      </c>
      <c r="AM2">
        <f>BDH("BLKB US Equity","CAPITAL_EXPEND","1993-06-18","2026-05-02","Per=Y","Days=T","Dir=V")</f>
        <v>0</v>
      </c>
      <c r="AO2">
        <f>BDH("BLKB US Equity","CF_FREE_CASH_FLOW","1993-06-18","2026-05-02","Per=Y","Days=T","Dir=V")</f>
        <v>0</v>
      </c>
      <c r="AQ2">
        <f>BDH("BLKB US Equity","PX_LAST","1993-06-18","2026-05-02","Per=M","Days=T","Dir=V")</f>
        <v>0</v>
      </c>
      <c r="AS2">
        <f>BDH("BLKB US Equity","CUR_MKT_CAP","1993-06-18","2026-05-02","Per=M","Days=T","Dir=V")</f>
        <v>0</v>
      </c>
      <c r="AU2">
        <f>BDH("BLKB US Equity","EQY_SH_OUT","1993-06-18","2026-05-02","Per=M","Days=T","Dir=V")</f>
        <v>0</v>
      </c>
      <c r="AW2">
        <f>BDH("BLKB US Equity","PX_VOLUME","1993-06-18","2026-05-02","Per=M","Days=T","Dir=V")</f>
        <v>0</v>
      </c>
      <c r="AY2">
        <f>BDH("BLKB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BDH("BLLN US Equity","BS_TOT_ASSET","1993-06-18","2026-05-02","Per=Y","Days=T","Dir=V")</f>
        <v>0</v>
      </c>
      <c r="C2">
        <f>BDH("BLLN US Equity","BS_TOT_LIAB2","1993-06-18","2026-05-02","Per=Y","Days=T","Dir=V")</f>
        <v>0</v>
      </c>
      <c r="E2">
        <f>BDH("BLLN US Equity","SHORT_AND_LONG_TERM_DEBT","1993-06-18","2026-05-02","Per=Y","Days=T","Dir=V")</f>
        <v>0</v>
      </c>
      <c r="G2">
        <f>BDH("BLLN US Equity","BS_ST_BORROW","1993-06-18","2026-05-02","Per=Y","Days=T","Dir=V")</f>
        <v>0</v>
      </c>
      <c r="I2">
        <f>BDH("BLLN US Equity","BS_LT_BORROW","1993-06-18","2026-05-02","Per=Y","Days=T","Dir=V")</f>
        <v>0</v>
      </c>
      <c r="K2">
        <f>BDH("BLLN US Equity","BS_CASH_NEAR_CASH_ITEM","1993-06-18","2026-05-02","Per=Y","Days=T","Dir=V")</f>
        <v>0</v>
      </c>
      <c r="M2">
        <f>BDH("BLLN US Equity","BS_CUR_ASSET_REPORT","1993-06-18","2026-05-02","Per=Y","Days=T","Dir=V")</f>
        <v>0</v>
      </c>
      <c r="O2">
        <f>BDH("BLLN US Equity","BS_CUR_LIAB","1993-06-18","2026-05-02","Per=Y","Days=T","Dir=V")</f>
        <v>0</v>
      </c>
      <c r="Q2">
        <f>BDH("BLLN US Equity","BS_SHAREHOLDER_EQY_ENDING_PERIOD","1993-06-18","2026-05-02","Per=Y","Days=T","Dir=V")</f>
        <v>0</v>
      </c>
      <c r="S2">
        <f>BDH("BLLN US Equity","BS_ACCT_NOTE_RCV","1993-06-18","2026-05-02","Per=Y","Days=T","Dir=V")</f>
        <v>0</v>
      </c>
      <c r="U2">
        <f>BDH("BLLN US Equity","BS_INVENTORIES","1993-06-18","2026-05-02","Per=Y","Days=T","Dir=V")</f>
        <v>0</v>
      </c>
      <c r="W2">
        <f>BDH("BLLN US Equity","WORKING_CAPITAL","1993-06-18","2026-05-02","Per=Y","Days=T","Dir=V")</f>
        <v>0</v>
      </c>
      <c r="Y2">
        <f>BDH("BLLN US Equity","SALES_REV_TURN","1993-06-18","2026-05-02","Per=Y","Days=T","Dir=V")</f>
        <v>0</v>
      </c>
      <c r="AA2">
        <f>BDH("BLLN US Equity","EBIT","1993-06-18","2026-05-02","Per=Y","Days=T","Dir=V")</f>
        <v>0</v>
      </c>
      <c r="AC2">
        <f>BDH("BLLN US Equity","EBITDA","1993-06-18","2026-05-02","Per=Y","Days=T","Dir=V")</f>
        <v>0</v>
      </c>
      <c r="AE2">
        <f>BDH("BLLN US Equity","NET_INCOME","1993-06-18","2026-05-02","Per=Y","Days=T","Dir=V")</f>
        <v>0</v>
      </c>
      <c r="AG2">
        <f>BDH("BLLN US Equity","IS_INT_EXPENSE","1993-06-18","2026-05-02","Per=Y","Days=T","Dir=V")</f>
        <v>0</v>
      </c>
      <c r="AI2">
        <f>BDH("BLLN US Equity","IS_DEPR_EXP","1993-06-18","2026-05-02","Per=Y","Days=T","Dir=V")</f>
        <v>0</v>
      </c>
      <c r="AK2">
        <f>BDH("BLLN US Equity","CF_CASH_FROM_OPER","1993-06-18","2026-05-02","Per=Y","Days=T","Dir=V")</f>
        <v>0</v>
      </c>
      <c r="AM2">
        <f>BDH("BLLN US Equity","CAPITAL_EXPEND","1993-06-18","2026-05-02","Per=Y","Days=T","Dir=V")</f>
        <v>0</v>
      </c>
      <c r="AO2">
        <f>BDH("BLLN US Equity","CF_FREE_CASH_FLOW","1993-06-18","2026-05-02","Per=Y","Days=T","Dir=V")</f>
        <v>0</v>
      </c>
      <c r="AQ2">
        <f>BDH("BLLN US Equity","PX_LAST","1993-06-18","2026-05-02","Per=M","Days=T","Dir=V")</f>
        <v>0</v>
      </c>
      <c r="AS2">
        <f>BDH("BLLN US Equity","CUR_MKT_CAP","1993-06-18","2026-05-02","Per=M","Days=T","Dir=V")</f>
        <v>0</v>
      </c>
      <c r="AU2">
        <f>BDH("BLLN US Equity","EQY_SH_OUT","1993-06-18","2026-05-02","Per=M","Days=T","Dir=V")</f>
        <v>0</v>
      </c>
      <c r="AW2">
        <f>BDH("BLLN US Equity","PX_VOLUME","1993-06-18","2026-05-02","Per=M","Days=T","Dir=V")</f>
        <v>0</v>
      </c>
      <c r="AY2">
        <f>BDH("BLLN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BDH("BLMN US Equity","BS_TOT_ASSET","1993-06-18","2026-05-02","Per=Y","Days=T","Dir=V")</f>
        <v>0</v>
      </c>
      <c r="C2">
        <f>BDH("BLMN US Equity","BS_TOT_LIAB2","1993-06-18","2026-05-02","Per=Y","Days=T","Dir=V")</f>
        <v>0</v>
      </c>
      <c r="E2">
        <f>BDH("BLMN US Equity","SHORT_AND_LONG_TERM_DEBT","1993-06-18","2026-05-02","Per=Y","Days=T","Dir=V")</f>
        <v>0</v>
      </c>
      <c r="G2">
        <f>BDH("BLMN US Equity","BS_ST_BORROW","1993-06-18","2026-05-02","Per=Y","Days=T","Dir=V")</f>
        <v>0</v>
      </c>
      <c r="I2">
        <f>BDH("BLMN US Equity","BS_LT_BORROW","1993-06-18","2026-05-02","Per=Y","Days=T","Dir=V")</f>
        <v>0</v>
      </c>
      <c r="K2">
        <f>BDH("BLMN US Equity","BS_CASH_NEAR_CASH_ITEM","1993-06-18","2026-05-02","Per=Y","Days=T","Dir=V")</f>
        <v>0</v>
      </c>
      <c r="M2">
        <f>BDH("BLMN US Equity","BS_CUR_ASSET_REPORT","1993-06-18","2026-05-02","Per=Y","Days=T","Dir=V")</f>
        <v>0</v>
      </c>
      <c r="O2">
        <f>BDH("BLMN US Equity","BS_CUR_LIAB","1993-06-18","2026-05-02","Per=Y","Days=T","Dir=V")</f>
        <v>0</v>
      </c>
      <c r="Q2">
        <f>BDH("BLMN US Equity","BS_SHAREHOLDER_EQY_ENDING_PERIOD","1993-06-18","2026-05-02","Per=Y","Days=T","Dir=V")</f>
        <v>0</v>
      </c>
      <c r="S2">
        <f>BDH("BLMN US Equity","BS_ACCT_NOTE_RCV","1993-06-18","2026-05-02","Per=Y","Days=T","Dir=V")</f>
        <v>0</v>
      </c>
      <c r="U2">
        <f>BDH("BLMN US Equity","BS_INVENTORIES","1993-06-18","2026-05-02","Per=Y","Days=T","Dir=V")</f>
        <v>0</v>
      </c>
      <c r="W2">
        <f>BDH("BLMN US Equity","WORKING_CAPITAL","1993-06-18","2026-05-02","Per=Y","Days=T","Dir=V")</f>
        <v>0</v>
      </c>
      <c r="Y2">
        <f>BDH("BLMN US Equity","SALES_REV_TURN","1993-06-18","2026-05-02","Per=Y","Days=T","Dir=V")</f>
        <v>0</v>
      </c>
      <c r="AA2">
        <f>BDH("BLMN US Equity","EBIT","1993-06-18","2026-05-02","Per=Y","Days=T","Dir=V")</f>
        <v>0</v>
      </c>
      <c r="AC2">
        <f>BDH("BLMN US Equity","EBITDA","1993-06-18","2026-05-02","Per=Y","Days=T","Dir=V")</f>
        <v>0</v>
      </c>
      <c r="AE2">
        <f>BDH("BLMN US Equity","NET_INCOME","1993-06-18","2026-05-02","Per=Y","Days=T","Dir=V")</f>
        <v>0</v>
      </c>
      <c r="AG2">
        <f>BDH("BLMN US Equity","IS_INT_EXPENSE","1993-06-18","2026-05-02","Per=Y","Days=T","Dir=V")</f>
        <v>0</v>
      </c>
      <c r="AI2">
        <f>BDH("BLMN US Equity","IS_DEPR_EXP","1993-06-18","2026-05-02","Per=Y","Days=T","Dir=V")</f>
        <v>0</v>
      </c>
      <c r="AK2">
        <f>BDH("BLMN US Equity","CF_CASH_FROM_OPER","1993-06-18","2026-05-02","Per=Y","Days=T","Dir=V")</f>
        <v>0</v>
      </c>
      <c r="AM2">
        <f>BDH("BLMN US Equity","CAPITAL_EXPEND","1993-06-18","2026-05-02","Per=Y","Days=T","Dir=V")</f>
        <v>0</v>
      </c>
      <c r="AO2">
        <f>BDH("BLMN US Equity","CF_FREE_CASH_FLOW","1993-06-18","2026-05-02","Per=Y","Days=T","Dir=V")</f>
        <v>0</v>
      </c>
      <c r="AQ2">
        <f>BDH("BLMN US Equity","PX_LAST","1993-06-18","2026-05-02","Per=M","Days=T","Dir=V")</f>
        <v>0</v>
      </c>
      <c r="AS2">
        <f>BDH("BLMN US Equity","CUR_MKT_CAP","1993-06-18","2026-05-02","Per=M","Days=T","Dir=V")</f>
        <v>0</v>
      </c>
      <c r="AU2">
        <f>BDH("BLMN US Equity","EQY_SH_OUT","1993-06-18","2026-05-02","Per=M","Days=T","Dir=V")</f>
        <v>0</v>
      </c>
      <c r="AW2">
        <f>BDH("BLMN US Equity","PX_VOLUME","1993-06-18","2026-05-02","Per=M","Days=T","Dir=V")</f>
        <v>0</v>
      </c>
      <c r="AY2">
        <f>BDH("BLMN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BDH("BLND US Equity","BS_TOT_ASSET","1993-06-18","2026-05-02","Per=Y","Days=T","Dir=V")</f>
        <v>0</v>
      </c>
      <c r="C2">
        <f>BDH("BLND US Equity","BS_TOT_LIAB2","1993-06-18","2026-05-02","Per=Y","Days=T","Dir=V")</f>
        <v>0</v>
      </c>
      <c r="E2">
        <f>BDH("BLND US Equity","SHORT_AND_LONG_TERM_DEBT","1993-06-18","2026-05-02","Per=Y","Days=T","Dir=V")</f>
        <v>0</v>
      </c>
      <c r="G2">
        <f>BDH("BLND US Equity","BS_ST_BORROW","1993-06-18","2026-05-02","Per=Y","Days=T","Dir=V")</f>
        <v>0</v>
      </c>
      <c r="I2">
        <f>BDH("BLND US Equity","BS_LT_BORROW","1993-06-18","2026-05-02","Per=Y","Days=T","Dir=V")</f>
        <v>0</v>
      </c>
      <c r="K2">
        <f>BDH("BLND US Equity","BS_CASH_NEAR_CASH_ITEM","1993-06-18","2026-05-02","Per=Y","Days=T","Dir=V")</f>
        <v>0</v>
      </c>
      <c r="M2">
        <f>BDH("BLND US Equity","BS_CUR_ASSET_REPORT","1993-06-18","2026-05-02","Per=Y","Days=T","Dir=V")</f>
        <v>0</v>
      </c>
      <c r="O2">
        <f>BDH("BLND US Equity","BS_CUR_LIAB","1993-06-18","2026-05-02","Per=Y","Days=T","Dir=V")</f>
        <v>0</v>
      </c>
      <c r="Q2">
        <f>BDH("BLND US Equity","BS_SHAREHOLDER_EQY_ENDING_PERIOD","1993-06-18","2026-05-02","Per=Y","Days=T","Dir=V")</f>
        <v>0</v>
      </c>
      <c r="S2">
        <f>BDH("BLND US Equity","BS_ACCT_NOTE_RCV","1993-06-18","2026-05-02","Per=Y","Days=T","Dir=V")</f>
        <v>0</v>
      </c>
      <c r="U2">
        <f>BDH("BLND US Equity","BS_INVENTORIES","1993-06-18","2026-05-02","Per=Y","Days=T","Dir=V")</f>
        <v>0</v>
      </c>
      <c r="W2">
        <f>BDH("BLND US Equity","WORKING_CAPITAL","1993-06-18","2026-05-02","Per=Y","Days=T","Dir=V")</f>
        <v>0</v>
      </c>
      <c r="Y2">
        <f>BDH("BLND US Equity","SALES_REV_TURN","1993-06-18","2026-05-02","Per=Y","Days=T","Dir=V")</f>
        <v>0</v>
      </c>
      <c r="AA2">
        <f>BDH("BLND US Equity","EBIT","1993-06-18","2026-05-02","Per=Y","Days=T","Dir=V")</f>
        <v>0</v>
      </c>
      <c r="AC2">
        <f>BDH("BLND US Equity","EBITDA","1993-06-18","2026-05-02","Per=Y","Days=T","Dir=V")</f>
        <v>0</v>
      </c>
      <c r="AE2">
        <f>BDH("BLND US Equity","NET_INCOME","1993-06-18","2026-05-02","Per=Y","Days=T","Dir=V")</f>
        <v>0</v>
      </c>
      <c r="AG2">
        <f>BDH("BLND US Equity","IS_INT_EXPENSE","1993-06-18","2026-05-02","Per=Y","Days=T","Dir=V")</f>
        <v>0</v>
      </c>
      <c r="AI2">
        <f>BDH("BLND US Equity","IS_DEPR_EXP","1993-06-18","2026-05-02","Per=Y","Days=T","Dir=V")</f>
        <v>0</v>
      </c>
      <c r="AK2">
        <f>BDH("BLND US Equity","CF_CASH_FROM_OPER","1993-06-18","2026-05-02","Per=Y","Days=T","Dir=V")</f>
        <v>0</v>
      </c>
      <c r="AM2">
        <f>BDH("BLND US Equity","CAPITAL_EXPEND","1993-06-18","2026-05-02","Per=Y","Days=T","Dir=V")</f>
        <v>0</v>
      </c>
      <c r="AO2">
        <f>BDH("BLND US Equity","CF_FREE_CASH_FLOW","1993-06-18","2026-05-02","Per=Y","Days=T","Dir=V")</f>
        <v>0</v>
      </c>
      <c r="AQ2">
        <f>BDH("BLND US Equity","PX_LAST","1993-06-18","2026-05-02","Per=M","Days=T","Dir=V")</f>
        <v>0</v>
      </c>
      <c r="AS2">
        <f>BDH("BLND US Equity","CUR_MKT_CAP","1993-06-18","2026-05-02","Per=M","Days=T","Dir=V")</f>
        <v>0</v>
      </c>
      <c r="AU2">
        <f>BDH("BLND US Equity","EQY_SH_OUT","1993-06-18","2026-05-02","Per=M","Days=T","Dir=V")</f>
        <v>0</v>
      </c>
      <c r="AW2">
        <f>BDH("BLND US Equity","PX_VOLUME","1993-06-18","2026-05-02","Per=M","Days=T","Dir=V")</f>
        <v>0</v>
      </c>
      <c r="AY2">
        <f>BDH("BLND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BDH("BLSM US Equity","BS_TOT_ASSET","1993-06-18","2026-05-02","Per=Y","Days=T","Dir=V")</f>
        <v>0</v>
      </c>
      <c r="C2">
        <f>BDH("BLSM US Equity","BS_TOT_LIAB2","1993-06-18","2026-05-02","Per=Y","Days=T","Dir=V")</f>
        <v>0</v>
      </c>
      <c r="E2">
        <f>BDH("BLSM US Equity","SHORT_AND_LONG_TERM_DEBT","1993-06-18","2026-05-02","Per=Y","Days=T","Dir=V")</f>
        <v>0</v>
      </c>
      <c r="G2">
        <f>BDH("BLSM US Equity","BS_ST_BORROW","1993-06-18","2026-05-02","Per=Y","Days=T","Dir=V")</f>
        <v>0</v>
      </c>
      <c r="I2">
        <f>BDH("BLSM US Equity","BS_LT_BORROW","1993-06-18","2026-05-02","Per=Y","Days=T","Dir=V")</f>
        <v>0</v>
      </c>
      <c r="K2">
        <f>BDH("BLSM US Equity","BS_CASH_NEAR_CASH_ITEM","1993-06-18","2026-05-02","Per=Y","Days=T","Dir=V")</f>
        <v>0</v>
      </c>
      <c r="M2">
        <f>BDH("BLSM US Equity","BS_CUR_ASSET_REPORT","1993-06-18","2026-05-02","Per=Y","Days=T","Dir=V")</f>
        <v>0</v>
      </c>
      <c r="O2">
        <f>BDH("BLSM US Equity","BS_CUR_LIAB","1993-06-18","2026-05-02","Per=Y","Days=T","Dir=V")</f>
        <v>0</v>
      </c>
      <c r="Q2">
        <f>BDH("BLSM US Equity","BS_SHAREHOLDER_EQY_ENDING_PERIOD","1993-06-18","2026-05-02","Per=Y","Days=T","Dir=V")</f>
        <v>0</v>
      </c>
      <c r="S2">
        <f>BDH("BLSM US Equity","BS_ACCT_NOTE_RCV","1993-06-18","2026-05-02","Per=Y","Days=T","Dir=V")</f>
        <v>0</v>
      </c>
      <c r="U2">
        <f>BDH("BLSM US Equity","BS_INVENTORIES","1993-06-18","2026-05-02","Per=Y","Days=T","Dir=V")</f>
        <v>0</v>
      </c>
      <c r="W2">
        <f>BDH("BLSM US Equity","WORKING_CAPITAL","1993-06-18","2026-05-02","Per=Y","Days=T","Dir=V")</f>
        <v>0</v>
      </c>
      <c r="Y2">
        <f>BDH("BLSM US Equity","SALES_REV_TURN","1993-06-18","2026-05-02","Per=Y","Days=T","Dir=V")</f>
        <v>0</v>
      </c>
      <c r="AA2">
        <f>BDH("BLSM US Equity","EBIT","1993-06-18","2026-05-02","Per=Y","Days=T","Dir=V")</f>
        <v>0</v>
      </c>
      <c r="AC2">
        <f>BDH("BLSM US Equity","EBITDA","1993-06-18","2026-05-02","Per=Y","Days=T","Dir=V")</f>
        <v>0</v>
      </c>
      <c r="AE2">
        <f>BDH("BLSM US Equity","NET_INCOME","1993-06-18","2026-05-02","Per=Y","Days=T","Dir=V")</f>
        <v>0</v>
      </c>
      <c r="AG2">
        <f>BDH("BLSM US Equity","IS_INT_EXPENSE","1993-06-18","2026-05-02","Per=Y","Days=T","Dir=V")</f>
        <v>0</v>
      </c>
      <c r="AI2">
        <f>BDH("BLSM US Equity","IS_DEPR_EXP","1993-06-18","2026-05-02","Per=Y","Days=T","Dir=V")</f>
        <v>0</v>
      </c>
      <c r="AK2">
        <f>BDH("BLSM US Equity","CF_CASH_FROM_OPER","1993-06-18","2026-05-02","Per=Y","Days=T","Dir=V")</f>
        <v>0</v>
      </c>
      <c r="AM2">
        <f>BDH("BLSM US Equity","CAPITAL_EXPEND","1993-06-18","2026-05-02","Per=Y","Days=T","Dir=V")</f>
        <v>0</v>
      </c>
      <c r="AO2">
        <f>BDH("BLSM US Equity","CF_FREE_CASH_FLOW","1993-06-18","2026-05-02","Per=Y","Days=T","Dir=V")</f>
        <v>0</v>
      </c>
      <c r="AQ2">
        <f>BDH("BLSM US Equity","PX_LAST","1993-06-18","2026-05-02","Per=M","Days=T","Dir=V")</f>
        <v>0</v>
      </c>
      <c r="AS2">
        <f>BDH("BLSM US Equity","CUR_MKT_CAP","1993-06-18","2026-05-02","Per=M","Days=T","Dir=V")</f>
        <v>0</v>
      </c>
      <c r="AU2">
        <f>BDH("BLSM US Equity","EQY_SH_OUT","1993-06-18","2026-05-02","Per=M","Days=T","Dir=V")</f>
        <v>0</v>
      </c>
      <c r="AW2">
        <f>BDH("BLSM US Equity","PX_VOLUME","1993-06-18","2026-05-02","Per=M","Days=T","Dir=V")</f>
        <v>0</v>
      </c>
      <c r="AY2">
        <f>BDH("BLSM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BDH("BLTE US Equity","BS_TOT_ASSET","1993-06-18","2026-05-02","Per=Y","Days=T","Dir=V")</f>
        <v>0</v>
      </c>
      <c r="C2">
        <f>BDH("BLTE US Equity","BS_TOT_LIAB2","1993-06-18","2026-05-02","Per=Y","Days=T","Dir=V")</f>
        <v>0</v>
      </c>
      <c r="E2">
        <f>BDH("BLTE US Equity","SHORT_AND_LONG_TERM_DEBT","1993-06-18","2026-05-02","Per=Y","Days=T","Dir=V")</f>
        <v>0</v>
      </c>
      <c r="G2">
        <f>BDH("BLTE US Equity","BS_ST_BORROW","1993-06-18","2026-05-02","Per=Y","Days=T","Dir=V")</f>
        <v>0</v>
      </c>
      <c r="I2">
        <f>BDH("BLTE US Equity","BS_LT_BORROW","1993-06-18","2026-05-02","Per=Y","Days=T","Dir=V")</f>
        <v>0</v>
      </c>
      <c r="K2">
        <f>BDH("BLTE US Equity","BS_CASH_NEAR_CASH_ITEM","1993-06-18","2026-05-02","Per=Y","Days=T","Dir=V")</f>
        <v>0</v>
      </c>
      <c r="M2">
        <f>BDH("BLTE US Equity","BS_CUR_ASSET_REPORT","1993-06-18","2026-05-02","Per=Y","Days=T","Dir=V")</f>
        <v>0</v>
      </c>
      <c r="O2">
        <f>BDH("BLTE US Equity","BS_CUR_LIAB","1993-06-18","2026-05-02","Per=Y","Days=T","Dir=V")</f>
        <v>0</v>
      </c>
      <c r="Q2">
        <f>BDH("BLTE US Equity","BS_SHAREHOLDER_EQY_ENDING_PERIOD","1993-06-18","2026-05-02","Per=Y","Days=T","Dir=V")</f>
        <v>0</v>
      </c>
      <c r="S2">
        <f>BDH("BLTE US Equity","BS_ACCT_NOTE_RCV","1993-06-18","2026-05-02","Per=Y","Days=T","Dir=V")</f>
        <v>0</v>
      </c>
      <c r="U2">
        <f>BDH("BLTE US Equity","BS_INVENTORIES","1993-06-18","2026-05-02","Per=Y","Days=T","Dir=V")</f>
        <v>0</v>
      </c>
      <c r="W2">
        <f>BDH("BLTE US Equity","WORKING_CAPITAL","1993-06-18","2026-05-02","Per=Y","Days=T","Dir=V")</f>
        <v>0</v>
      </c>
      <c r="Y2">
        <f>BDH("BLTE US Equity","SALES_REV_TURN","1993-06-18","2026-05-02","Per=Y","Days=T","Dir=V")</f>
        <v>0</v>
      </c>
      <c r="AA2">
        <f>BDH("BLTE US Equity","EBIT","1993-06-18","2026-05-02","Per=Y","Days=T","Dir=V")</f>
        <v>0</v>
      </c>
      <c r="AC2">
        <f>BDH("BLTE US Equity","EBITDA","1993-06-18","2026-05-02","Per=Y","Days=T","Dir=V")</f>
        <v>0</v>
      </c>
      <c r="AE2">
        <f>BDH("BLTE US Equity","NET_INCOME","1993-06-18","2026-05-02","Per=Y","Days=T","Dir=V")</f>
        <v>0</v>
      </c>
      <c r="AG2">
        <f>BDH("BLTE US Equity","IS_INT_EXPENSE","1993-06-18","2026-05-02","Per=Y","Days=T","Dir=V")</f>
        <v>0</v>
      </c>
      <c r="AI2">
        <f>BDH("BLTE US Equity","IS_DEPR_EXP","1993-06-18","2026-05-02","Per=Y","Days=T","Dir=V")</f>
        <v>0</v>
      </c>
      <c r="AK2">
        <f>BDH("BLTE US Equity","CF_CASH_FROM_OPER","1993-06-18","2026-05-02","Per=Y","Days=T","Dir=V")</f>
        <v>0</v>
      </c>
      <c r="AM2">
        <f>BDH("BLTE US Equity","CAPITAL_EXPEND","1993-06-18","2026-05-02","Per=Y","Days=T","Dir=V")</f>
        <v>0</v>
      </c>
      <c r="AO2">
        <f>BDH("BLTE US Equity","CF_FREE_CASH_FLOW","1993-06-18","2026-05-02","Per=Y","Days=T","Dir=V")</f>
        <v>0</v>
      </c>
      <c r="AQ2">
        <f>BDH("BLTE US Equity","PX_LAST","1993-06-18","2026-05-02","Per=M","Days=T","Dir=V")</f>
        <v>0</v>
      </c>
      <c r="AS2">
        <f>BDH("BLTE US Equity","CUR_MKT_CAP","1993-06-18","2026-05-02","Per=M","Days=T","Dir=V")</f>
        <v>0</v>
      </c>
      <c r="AU2">
        <f>BDH("BLTE US Equity","EQY_SH_OUT","1993-06-18","2026-05-02","Per=M","Days=T","Dir=V")</f>
        <v>0</v>
      </c>
      <c r="AW2">
        <f>BDH("BLTE US Equity","PX_VOLUME","1993-06-18","2026-05-02","Per=M","Days=T","Dir=V")</f>
        <v>0</v>
      </c>
      <c r="AY2">
        <f>BDH("BLTE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BDH("BLW US Equity","BS_TOT_ASSET","1993-06-18","2026-05-02","Per=Y","Days=T","Dir=V")</f>
        <v>0</v>
      </c>
      <c r="C2">
        <f>BDH("BLW US Equity","BS_TOT_LIAB2","1993-06-18","2026-05-02","Per=Y","Days=T","Dir=V")</f>
        <v>0</v>
      </c>
      <c r="E2">
        <f>BDH("BLW US Equity","SHORT_AND_LONG_TERM_DEBT","1993-06-18","2026-05-02","Per=Y","Days=T","Dir=V")</f>
        <v>0</v>
      </c>
      <c r="G2">
        <f>BDH("BLW US Equity","BS_ST_BORROW","1993-06-18","2026-05-02","Per=Y","Days=T","Dir=V")</f>
        <v>0</v>
      </c>
      <c r="I2">
        <f>BDH("BLW US Equity","BS_LT_BORROW","1993-06-18","2026-05-02","Per=Y","Days=T","Dir=V")</f>
        <v>0</v>
      </c>
      <c r="K2">
        <f>BDH("BLW US Equity","BS_CASH_NEAR_CASH_ITEM","1993-06-18","2026-05-02","Per=Y","Days=T","Dir=V")</f>
        <v>0</v>
      </c>
      <c r="M2">
        <f>BDH("BLW US Equity","BS_CUR_ASSET_REPORT","1993-06-18","2026-05-02","Per=Y","Days=T","Dir=V")</f>
        <v>0</v>
      </c>
      <c r="O2">
        <f>BDH("BLW US Equity","BS_CUR_LIAB","1993-06-18","2026-05-02","Per=Y","Days=T","Dir=V")</f>
        <v>0</v>
      </c>
      <c r="Q2">
        <f>BDH("BLW US Equity","BS_SHAREHOLDER_EQY_ENDING_PERIOD","1993-06-18","2026-05-02","Per=Y","Days=T","Dir=V")</f>
        <v>0</v>
      </c>
      <c r="S2">
        <f>BDH("BLW US Equity","BS_ACCT_NOTE_RCV","1993-06-18","2026-05-02","Per=Y","Days=T","Dir=V")</f>
        <v>0</v>
      </c>
      <c r="U2">
        <f>BDH("BLW US Equity","BS_INVENTORIES","1993-06-18","2026-05-02","Per=Y","Days=T","Dir=V")</f>
        <v>0</v>
      </c>
      <c r="W2">
        <f>BDH("BLW US Equity","WORKING_CAPITAL","1993-06-18","2026-05-02","Per=Y","Days=T","Dir=V")</f>
        <v>0</v>
      </c>
      <c r="Y2">
        <f>BDH("BLW US Equity","SALES_REV_TURN","1993-06-18","2026-05-02","Per=Y","Days=T","Dir=V")</f>
        <v>0</v>
      </c>
      <c r="AA2">
        <f>BDH("BLW US Equity","EBIT","1993-06-18","2026-05-02","Per=Y","Days=T","Dir=V")</f>
        <v>0</v>
      </c>
      <c r="AC2">
        <f>BDH("BLW US Equity","EBITDA","1993-06-18","2026-05-02","Per=Y","Days=T","Dir=V")</f>
        <v>0</v>
      </c>
      <c r="AE2">
        <f>BDH("BLW US Equity","NET_INCOME","1993-06-18","2026-05-02","Per=Y","Days=T","Dir=V")</f>
        <v>0</v>
      </c>
      <c r="AG2">
        <f>BDH("BLW US Equity","IS_INT_EXPENSE","1993-06-18","2026-05-02","Per=Y","Days=T","Dir=V")</f>
        <v>0</v>
      </c>
      <c r="AI2">
        <f>BDH("BLW US Equity","IS_DEPR_EXP","1993-06-18","2026-05-02","Per=Y","Days=T","Dir=V")</f>
        <v>0</v>
      </c>
      <c r="AK2">
        <f>BDH("BLW US Equity","CF_CASH_FROM_OPER","1993-06-18","2026-05-02","Per=Y","Days=T","Dir=V")</f>
        <v>0</v>
      </c>
      <c r="AM2">
        <f>BDH("BLW US Equity","CAPITAL_EXPEND","1993-06-18","2026-05-02","Per=Y","Days=T","Dir=V")</f>
        <v>0</v>
      </c>
      <c r="AO2">
        <f>BDH("BLW US Equity","CF_FREE_CASH_FLOW","1993-06-18","2026-05-02","Per=Y","Days=T","Dir=V")</f>
        <v>0</v>
      </c>
      <c r="AQ2">
        <f>BDH("BLW US Equity","PX_LAST","1993-06-18","2026-05-02","Per=M","Days=T","Dir=V")</f>
        <v>0</v>
      </c>
      <c r="AS2">
        <f>BDH("BLW US Equity","CUR_MKT_CAP","1993-06-18","2026-05-02","Per=M","Days=T","Dir=V")</f>
        <v>0</v>
      </c>
      <c r="AU2">
        <f>BDH("BLW US Equity","EQY_SH_OUT","1993-06-18","2026-05-02","Per=M","Days=T","Dir=V")</f>
        <v>0</v>
      </c>
      <c r="AW2">
        <f>BDH("BLW US Equity","PX_VOLUME","1993-06-18","2026-05-02","Per=M","Days=T","Dir=V")</f>
        <v>0</v>
      </c>
      <c r="AY2">
        <f>BDH("BLW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BDH("BLZE US Equity","BS_TOT_ASSET","1993-06-18","2026-05-02","Per=Y","Days=T","Dir=V")</f>
        <v>0</v>
      </c>
      <c r="C2">
        <f>BDH("BLZE US Equity","BS_TOT_LIAB2","1993-06-18","2026-05-02","Per=Y","Days=T","Dir=V")</f>
        <v>0</v>
      </c>
      <c r="E2">
        <f>BDH("BLZE US Equity","SHORT_AND_LONG_TERM_DEBT","1993-06-18","2026-05-02","Per=Y","Days=T","Dir=V")</f>
        <v>0</v>
      </c>
      <c r="G2">
        <f>BDH("BLZE US Equity","BS_ST_BORROW","1993-06-18","2026-05-02","Per=Y","Days=T","Dir=V")</f>
        <v>0</v>
      </c>
      <c r="I2">
        <f>BDH("BLZE US Equity","BS_LT_BORROW","1993-06-18","2026-05-02","Per=Y","Days=T","Dir=V")</f>
        <v>0</v>
      </c>
      <c r="K2">
        <f>BDH("BLZE US Equity","BS_CASH_NEAR_CASH_ITEM","1993-06-18","2026-05-02","Per=Y","Days=T","Dir=V")</f>
        <v>0</v>
      </c>
      <c r="M2">
        <f>BDH("BLZE US Equity","BS_CUR_ASSET_REPORT","1993-06-18","2026-05-02","Per=Y","Days=T","Dir=V")</f>
        <v>0</v>
      </c>
      <c r="O2">
        <f>BDH("BLZE US Equity","BS_CUR_LIAB","1993-06-18","2026-05-02","Per=Y","Days=T","Dir=V")</f>
        <v>0</v>
      </c>
      <c r="Q2">
        <f>BDH("BLZE US Equity","BS_SHAREHOLDER_EQY_ENDING_PERIOD","1993-06-18","2026-05-02","Per=Y","Days=T","Dir=V")</f>
        <v>0</v>
      </c>
      <c r="S2">
        <f>BDH("BLZE US Equity","BS_ACCT_NOTE_RCV","1993-06-18","2026-05-02","Per=Y","Days=T","Dir=V")</f>
        <v>0</v>
      </c>
      <c r="U2">
        <f>BDH("BLZE US Equity","BS_INVENTORIES","1993-06-18","2026-05-02","Per=Y","Days=T","Dir=V")</f>
        <v>0</v>
      </c>
      <c r="W2">
        <f>BDH("BLZE US Equity","WORKING_CAPITAL","1993-06-18","2026-05-02","Per=Y","Days=T","Dir=V")</f>
        <v>0</v>
      </c>
      <c r="Y2">
        <f>BDH("BLZE US Equity","SALES_REV_TURN","1993-06-18","2026-05-02","Per=Y","Days=T","Dir=V")</f>
        <v>0</v>
      </c>
      <c r="AA2">
        <f>BDH("BLZE US Equity","EBIT","1993-06-18","2026-05-02","Per=Y","Days=T","Dir=V")</f>
        <v>0</v>
      </c>
      <c r="AC2">
        <f>BDH("BLZE US Equity","EBITDA","1993-06-18","2026-05-02","Per=Y","Days=T","Dir=V")</f>
        <v>0</v>
      </c>
      <c r="AE2">
        <f>BDH("BLZE US Equity","NET_INCOME","1993-06-18","2026-05-02","Per=Y","Days=T","Dir=V")</f>
        <v>0</v>
      </c>
      <c r="AG2">
        <f>BDH("BLZE US Equity","IS_INT_EXPENSE","1993-06-18","2026-05-02","Per=Y","Days=T","Dir=V")</f>
        <v>0</v>
      </c>
      <c r="AI2">
        <f>BDH("BLZE US Equity","IS_DEPR_EXP","1993-06-18","2026-05-02","Per=Y","Days=T","Dir=V")</f>
        <v>0</v>
      </c>
      <c r="AK2">
        <f>BDH("BLZE US Equity","CF_CASH_FROM_OPER","1993-06-18","2026-05-02","Per=Y","Days=T","Dir=V")</f>
        <v>0</v>
      </c>
      <c r="AM2">
        <f>BDH("BLZE US Equity","CAPITAL_EXPEND","1993-06-18","2026-05-02","Per=Y","Days=T","Dir=V")</f>
        <v>0</v>
      </c>
      <c r="AO2">
        <f>BDH("BLZE US Equity","CF_FREE_CASH_FLOW","1993-06-18","2026-05-02","Per=Y","Days=T","Dir=V")</f>
        <v>0</v>
      </c>
      <c r="AQ2">
        <f>BDH("BLZE US Equity","PX_LAST","1993-06-18","2026-05-02","Per=M","Days=T","Dir=V")</f>
        <v>0</v>
      </c>
      <c r="AS2">
        <f>BDH("BLZE US Equity","CUR_MKT_CAP","1993-06-18","2026-05-02","Per=M","Days=T","Dir=V")</f>
        <v>0</v>
      </c>
      <c r="AU2">
        <f>BDH("BLZE US Equity","EQY_SH_OUT","1993-06-18","2026-05-02","Per=M","Days=T","Dir=V")</f>
        <v>0</v>
      </c>
      <c r="AW2">
        <f>BDH("BLZE US Equity","PX_VOLUME","1993-06-18","2026-05-02","Per=M","Days=T","Dir=V")</f>
        <v>0</v>
      </c>
      <c r="AY2">
        <f>BDH("BLZE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BDH("BMBL US Equity","BS_TOT_ASSET","1993-06-18","2026-05-02","Per=Y","Days=T","Dir=V")</f>
        <v>0</v>
      </c>
      <c r="C2">
        <f>BDH("BMBL US Equity","BS_TOT_LIAB2","1993-06-18","2026-05-02","Per=Y","Days=T","Dir=V")</f>
        <v>0</v>
      </c>
      <c r="E2">
        <f>BDH("BMBL US Equity","SHORT_AND_LONG_TERM_DEBT","1993-06-18","2026-05-02","Per=Y","Days=T","Dir=V")</f>
        <v>0</v>
      </c>
      <c r="G2">
        <f>BDH("BMBL US Equity","BS_ST_BORROW","1993-06-18","2026-05-02","Per=Y","Days=T","Dir=V")</f>
        <v>0</v>
      </c>
      <c r="I2">
        <f>BDH("BMBL US Equity","BS_LT_BORROW","1993-06-18","2026-05-02","Per=Y","Days=T","Dir=V")</f>
        <v>0</v>
      </c>
      <c r="K2">
        <f>BDH("BMBL US Equity","BS_CASH_NEAR_CASH_ITEM","1993-06-18","2026-05-02","Per=Y","Days=T","Dir=V")</f>
        <v>0</v>
      </c>
      <c r="M2">
        <f>BDH("BMBL US Equity","BS_CUR_ASSET_REPORT","1993-06-18","2026-05-02","Per=Y","Days=T","Dir=V")</f>
        <v>0</v>
      </c>
      <c r="O2">
        <f>BDH("BMBL US Equity","BS_CUR_LIAB","1993-06-18","2026-05-02","Per=Y","Days=T","Dir=V")</f>
        <v>0</v>
      </c>
      <c r="Q2">
        <f>BDH("BMBL US Equity","BS_SHAREHOLDER_EQY_ENDING_PERIOD","1993-06-18","2026-05-02","Per=Y","Days=T","Dir=V")</f>
        <v>0</v>
      </c>
      <c r="S2">
        <f>BDH("BMBL US Equity","BS_ACCT_NOTE_RCV","1993-06-18","2026-05-02","Per=Y","Days=T","Dir=V")</f>
        <v>0</v>
      </c>
      <c r="U2">
        <f>BDH("BMBL US Equity","BS_INVENTORIES","1993-06-18","2026-05-02","Per=Y","Days=T","Dir=V")</f>
        <v>0</v>
      </c>
      <c r="W2">
        <f>BDH("BMBL US Equity","WORKING_CAPITAL","1993-06-18","2026-05-02","Per=Y","Days=T","Dir=V")</f>
        <v>0</v>
      </c>
      <c r="Y2">
        <f>BDH("BMBL US Equity","SALES_REV_TURN","1993-06-18","2026-05-02","Per=Y","Days=T","Dir=V")</f>
        <v>0</v>
      </c>
      <c r="AA2">
        <f>BDH("BMBL US Equity","EBIT","1993-06-18","2026-05-02","Per=Y","Days=T","Dir=V")</f>
        <v>0</v>
      </c>
      <c r="AC2">
        <f>BDH("BMBL US Equity","EBITDA","1993-06-18","2026-05-02","Per=Y","Days=T","Dir=V")</f>
        <v>0</v>
      </c>
      <c r="AE2">
        <f>BDH("BMBL US Equity","NET_INCOME","1993-06-18","2026-05-02","Per=Y","Days=T","Dir=V")</f>
        <v>0</v>
      </c>
      <c r="AG2">
        <f>BDH("BMBL US Equity","IS_INT_EXPENSE","1993-06-18","2026-05-02","Per=Y","Days=T","Dir=V")</f>
        <v>0</v>
      </c>
      <c r="AI2">
        <f>BDH("BMBL US Equity","IS_DEPR_EXP","1993-06-18","2026-05-02","Per=Y","Days=T","Dir=V")</f>
        <v>0</v>
      </c>
      <c r="AK2">
        <f>BDH("BMBL US Equity","CF_CASH_FROM_OPER","1993-06-18","2026-05-02","Per=Y","Days=T","Dir=V")</f>
        <v>0</v>
      </c>
      <c r="AM2">
        <f>BDH("BMBL US Equity","CAPITAL_EXPEND","1993-06-18","2026-05-02","Per=Y","Days=T","Dir=V")</f>
        <v>0</v>
      </c>
      <c r="AO2">
        <f>BDH("BMBL US Equity","CF_FREE_CASH_FLOW","1993-06-18","2026-05-02","Per=Y","Days=T","Dir=V")</f>
        <v>0</v>
      </c>
      <c r="AQ2">
        <f>BDH("BMBL US Equity","PX_LAST","1993-06-18","2026-05-02","Per=M","Days=T","Dir=V")</f>
        <v>0</v>
      </c>
      <c r="AS2">
        <f>BDH("BMBL US Equity","CUR_MKT_CAP","1993-06-18","2026-05-02","Per=M","Days=T","Dir=V")</f>
        <v>0</v>
      </c>
      <c r="AU2">
        <f>BDH("BMBL US Equity","EQY_SH_OUT","1993-06-18","2026-05-02","Per=M","Days=T","Dir=V")</f>
        <v>0</v>
      </c>
      <c r="AW2">
        <f>BDH("BMBL US Equity","PX_VOLUME","1993-06-18","2026-05-02","Per=M","Days=T","Dir=V")</f>
        <v>0</v>
      </c>
      <c r="AY2">
        <f>BDH("BMBL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BDH("BMEA US Equity","BS_TOT_ASSET","1993-06-18","2026-05-02","Per=Y","Days=T","Dir=V")</f>
        <v>0</v>
      </c>
      <c r="C2">
        <f>BDH("BMEA US Equity","BS_TOT_LIAB2","1993-06-18","2026-05-02","Per=Y","Days=T","Dir=V")</f>
        <v>0</v>
      </c>
      <c r="E2">
        <f>BDH("BMEA US Equity","SHORT_AND_LONG_TERM_DEBT","1993-06-18","2026-05-02","Per=Y","Days=T","Dir=V")</f>
        <v>0</v>
      </c>
      <c r="G2">
        <f>BDH("BMEA US Equity","BS_ST_BORROW","1993-06-18","2026-05-02","Per=Y","Days=T","Dir=V")</f>
        <v>0</v>
      </c>
      <c r="I2">
        <f>BDH("BMEA US Equity","BS_LT_BORROW","1993-06-18","2026-05-02","Per=Y","Days=T","Dir=V")</f>
        <v>0</v>
      </c>
      <c r="K2">
        <f>BDH("BMEA US Equity","BS_CASH_NEAR_CASH_ITEM","1993-06-18","2026-05-02","Per=Y","Days=T","Dir=V")</f>
        <v>0</v>
      </c>
      <c r="M2">
        <f>BDH("BMEA US Equity","BS_CUR_ASSET_REPORT","1993-06-18","2026-05-02","Per=Y","Days=T","Dir=V")</f>
        <v>0</v>
      </c>
      <c r="O2">
        <f>BDH("BMEA US Equity","BS_CUR_LIAB","1993-06-18","2026-05-02","Per=Y","Days=T","Dir=V")</f>
        <v>0</v>
      </c>
      <c r="Q2">
        <f>BDH("BMEA US Equity","BS_SHAREHOLDER_EQY_ENDING_PERIOD","1993-06-18","2026-05-02","Per=Y","Days=T","Dir=V")</f>
        <v>0</v>
      </c>
      <c r="S2">
        <f>BDH("BMEA US Equity","BS_ACCT_NOTE_RCV","1993-06-18","2026-05-02","Per=Y","Days=T","Dir=V")</f>
        <v>0</v>
      </c>
      <c r="U2">
        <f>BDH("BMEA US Equity","BS_INVENTORIES","1993-06-18","2026-05-02","Per=Y","Days=T","Dir=V")</f>
        <v>0</v>
      </c>
      <c r="W2">
        <f>BDH("BMEA US Equity","WORKING_CAPITAL","1993-06-18","2026-05-02","Per=Y","Days=T","Dir=V")</f>
        <v>0</v>
      </c>
      <c r="Y2">
        <f>BDH("BMEA US Equity","SALES_REV_TURN","1993-06-18","2026-05-02","Per=Y","Days=T","Dir=V")</f>
        <v>0</v>
      </c>
      <c r="AA2">
        <f>BDH("BMEA US Equity","EBIT","1993-06-18","2026-05-02","Per=Y","Days=T","Dir=V")</f>
        <v>0</v>
      </c>
      <c r="AC2">
        <f>BDH("BMEA US Equity","EBITDA","1993-06-18","2026-05-02","Per=Y","Days=T","Dir=V")</f>
        <v>0</v>
      </c>
      <c r="AE2">
        <f>BDH("BMEA US Equity","NET_INCOME","1993-06-18","2026-05-02","Per=Y","Days=T","Dir=V")</f>
        <v>0</v>
      </c>
      <c r="AG2">
        <f>BDH("BMEA US Equity","IS_INT_EXPENSE","1993-06-18","2026-05-02","Per=Y","Days=T","Dir=V")</f>
        <v>0</v>
      </c>
      <c r="AI2">
        <f>BDH("BMEA US Equity","IS_DEPR_EXP","1993-06-18","2026-05-02","Per=Y","Days=T","Dir=V")</f>
        <v>0</v>
      </c>
      <c r="AK2">
        <f>BDH("BMEA US Equity","CF_CASH_FROM_OPER","1993-06-18","2026-05-02","Per=Y","Days=T","Dir=V")</f>
        <v>0</v>
      </c>
      <c r="AM2">
        <f>BDH("BMEA US Equity","CAPITAL_EXPEND","1993-06-18","2026-05-02","Per=Y","Days=T","Dir=V")</f>
        <v>0</v>
      </c>
      <c r="AO2">
        <f>BDH("BMEA US Equity","CF_FREE_CASH_FLOW","1993-06-18","2026-05-02","Per=Y","Days=T","Dir=V")</f>
        <v>0</v>
      </c>
      <c r="AQ2">
        <f>BDH("BMEA US Equity","PX_LAST","1993-06-18","2026-05-02","Per=M","Days=T","Dir=V")</f>
        <v>0</v>
      </c>
      <c r="AS2">
        <f>BDH("BMEA US Equity","CUR_MKT_CAP","1993-06-18","2026-05-02","Per=M","Days=T","Dir=V")</f>
        <v>0</v>
      </c>
      <c r="AU2">
        <f>BDH("BMEA US Equity","EQY_SH_OUT","1993-06-18","2026-05-02","Per=M","Days=T","Dir=V")</f>
        <v>0</v>
      </c>
      <c r="AW2">
        <f>BDH("BMEA US Equity","PX_VOLUME","1993-06-18","2026-05-02","Per=M","Days=T","Dir=V")</f>
        <v>0</v>
      </c>
      <c r="AY2">
        <f>BDH("BMEA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BDH("BMI US Equity","BS_TOT_ASSET","1993-06-18","2026-05-02","Per=Y","Days=T","Dir=V")</f>
        <v>0</v>
      </c>
      <c r="C2">
        <f>BDH("BMI US Equity","BS_TOT_LIAB2","1993-06-18","2026-05-02","Per=Y","Days=T","Dir=V")</f>
        <v>0</v>
      </c>
      <c r="E2">
        <f>BDH("BMI US Equity","SHORT_AND_LONG_TERM_DEBT","1993-06-18","2026-05-02","Per=Y","Days=T","Dir=V")</f>
        <v>0</v>
      </c>
      <c r="G2">
        <f>BDH("BMI US Equity","BS_ST_BORROW","1993-06-18","2026-05-02","Per=Y","Days=T","Dir=V")</f>
        <v>0</v>
      </c>
      <c r="I2">
        <f>BDH("BMI US Equity","BS_LT_BORROW","1993-06-18","2026-05-02","Per=Y","Days=T","Dir=V")</f>
        <v>0</v>
      </c>
      <c r="K2">
        <f>BDH("BMI US Equity","BS_CASH_NEAR_CASH_ITEM","1993-06-18","2026-05-02","Per=Y","Days=T","Dir=V")</f>
        <v>0</v>
      </c>
      <c r="M2">
        <f>BDH("BMI US Equity","BS_CUR_ASSET_REPORT","1993-06-18","2026-05-02","Per=Y","Days=T","Dir=V")</f>
        <v>0</v>
      </c>
      <c r="O2">
        <f>BDH("BMI US Equity","BS_CUR_LIAB","1993-06-18","2026-05-02","Per=Y","Days=T","Dir=V")</f>
        <v>0</v>
      </c>
      <c r="Q2">
        <f>BDH("BMI US Equity","BS_SHAREHOLDER_EQY_ENDING_PERIOD","1993-06-18","2026-05-02","Per=Y","Days=T","Dir=V")</f>
        <v>0</v>
      </c>
      <c r="S2">
        <f>BDH("BMI US Equity","BS_ACCT_NOTE_RCV","1993-06-18","2026-05-02","Per=Y","Days=T","Dir=V")</f>
        <v>0</v>
      </c>
      <c r="U2">
        <f>BDH("BMI US Equity","BS_INVENTORIES","1993-06-18","2026-05-02","Per=Y","Days=T","Dir=V")</f>
        <v>0</v>
      </c>
      <c r="W2">
        <f>BDH("BMI US Equity","WORKING_CAPITAL","1993-06-18","2026-05-02","Per=Y","Days=T","Dir=V")</f>
        <v>0</v>
      </c>
      <c r="Y2">
        <f>BDH("BMI US Equity","SALES_REV_TURN","1993-06-18","2026-05-02","Per=Y","Days=T","Dir=V")</f>
        <v>0</v>
      </c>
      <c r="AA2">
        <f>BDH("BMI US Equity","EBIT","1993-06-18","2026-05-02","Per=Y","Days=T","Dir=V")</f>
        <v>0</v>
      </c>
      <c r="AC2">
        <f>BDH("BMI US Equity","EBITDA","1993-06-18","2026-05-02","Per=Y","Days=T","Dir=V")</f>
        <v>0</v>
      </c>
      <c r="AE2">
        <f>BDH("BMI US Equity","NET_INCOME","1993-06-18","2026-05-02","Per=Y","Days=T","Dir=V")</f>
        <v>0</v>
      </c>
      <c r="AG2">
        <f>BDH("BMI US Equity","IS_INT_EXPENSE","1993-06-18","2026-05-02","Per=Y","Days=T","Dir=V")</f>
        <v>0</v>
      </c>
      <c r="AI2">
        <f>BDH("BMI US Equity","IS_DEPR_EXP","1993-06-18","2026-05-02","Per=Y","Days=T","Dir=V")</f>
        <v>0</v>
      </c>
      <c r="AK2">
        <f>BDH("BMI US Equity","CF_CASH_FROM_OPER","1993-06-18","2026-05-02","Per=Y","Days=T","Dir=V")</f>
        <v>0</v>
      </c>
      <c r="AM2">
        <f>BDH("BMI US Equity","CAPITAL_EXPEND","1993-06-18","2026-05-02","Per=Y","Days=T","Dir=V")</f>
        <v>0</v>
      </c>
      <c r="AO2">
        <f>BDH("BMI US Equity","CF_FREE_CASH_FLOW","1993-06-18","2026-05-02","Per=Y","Days=T","Dir=V")</f>
        <v>0</v>
      </c>
      <c r="AQ2">
        <f>BDH("BMI US Equity","PX_LAST","1993-06-18","2026-05-02","Per=M","Days=T","Dir=V")</f>
        <v>0</v>
      </c>
      <c r="AS2">
        <f>BDH("BMI US Equity","CUR_MKT_CAP","1993-06-18","2026-05-02","Per=M","Days=T","Dir=V")</f>
        <v>0</v>
      </c>
      <c r="AU2">
        <f>BDH("BMI US Equity","EQY_SH_OUT","1993-06-18","2026-05-02","Per=M","Days=T","Dir=V")</f>
        <v>0</v>
      </c>
      <c r="AW2">
        <f>BDH("BMI US Equity","PX_VOLUME","1993-06-18","2026-05-02","Per=M","Days=T","Dir=V")</f>
        <v>0</v>
      </c>
      <c r="AY2">
        <f>BDH("BMI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BDH("BMRA US Equity","BS_TOT_ASSET","1993-06-18","2026-05-02","Per=Y","Days=T","Dir=V")</f>
        <v>0</v>
      </c>
      <c r="C2">
        <f>BDH("BMRA US Equity","BS_TOT_LIAB2","1993-06-18","2026-05-02","Per=Y","Days=T","Dir=V")</f>
        <v>0</v>
      </c>
      <c r="E2">
        <f>BDH("BMRA US Equity","SHORT_AND_LONG_TERM_DEBT","1993-06-18","2026-05-02","Per=Y","Days=T","Dir=V")</f>
        <v>0</v>
      </c>
      <c r="G2">
        <f>BDH("BMRA US Equity","BS_ST_BORROW","1993-06-18","2026-05-02","Per=Y","Days=T","Dir=V")</f>
        <v>0</v>
      </c>
      <c r="I2">
        <f>BDH("BMRA US Equity","BS_LT_BORROW","1993-06-18","2026-05-02","Per=Y","Days=T","Dir=V")</f>
        <v>0</v>
      </c>
      <c r="K2">
        <f>BDH("BMRA US Equity","BS_CASH_NEAR_CASH_ITEM","1993-06-18","2026-05-02","Per=Y","Days=T","Dir=V")</f>
        <v>0</v>
      </c>
      <c r="M2">
        <f>BDH("BMRA US Equity","BS_CUR_ASSET_REPORT","1993-06-18","2026-05-02","Per=Y","Days=T","Dir=V")</f>
        <v>0</v>
      </c>
      <c r="O2">
        <f>BDH("BMRA US Equity","BS_CUR_LIAB","1993-06-18","2026-05-02","Per=Y","Days=T","Dir=V")</f>
        <v>0</v>
      </c>
      <c r="Q2">
        <f>BDH("BMRA US Equity","BS_SHAREHOLDER_EQY_ENDING_PERIOD","1993-06-18","2026-05-02","Per=Y","Days=T","Dir=V")</f>
        <v>0</v>
      </c>
      <c r="S2">
        <f>BDH("BMRA US Equity","BS_ACCT_NOTE_RCV","1993-06-18","2026-05-02","Per=Y","Days=T","Dir=V")</f>
        <v>0</v>
      </c>
      <c r="U2">
        <f>BDH("BMRA US Equity","BS_INVENTORIES","1993-06-18","2026-05-02","Per=Y","Days=T","Dir=V")</f>
        <v>0</v>
      </c>
      <c r="W2">
        <f>BDH("BMRA US Equity","WORKING_CAPITAL","1993-06-18","2026-05-02","Per=Y","Days=T","Dir=V")</f>
        <v>0</v>
      </c>
      <c r="Y2">
        <f>BDH("BMRA US Equity","SALES_REV_TURN","1993-06-18","2026-05-02","Per=Y","Days=T","Dir=V")</f>
        <v>0</v>
      </c>
      <c r="AA2">
        <f>BDH("BMRA US Equity","EBIT","1993-06-18","2026-05-02","Per=Y","Days=T","Dir=V")</f>
        <v>0</v>
      </c>
      <c r="AC2">
        <f>BDH("BMRA US Equity","EBITDA","1993-06-18","2026-05-02","Per=Y","Days=T","Dir=V")</f>
        <v>0</v>
      </c>
      <c r="AE2">
        <f>BDH("BMRA US Equity","NET_INCOME","1993-06-18","2026-05-02","Per=Y","Days=T","Dir=V")</f>
        <v>0</v>
      </c>
      <c r="AG2">
        <f>BDH("BMRA US Equity","IS_INT_EXPENSE","1993-06-18","2026-05-02","Per=Y","Days=T","Dir=V")</f>
        <v>0</v>
      </c>
      <c r="AI2">
        <f>BDH("BMRA US Equity","IS_DEPR_EXP","1993-06-18","2026-05-02","Per=Y","Days=T","Dir=V")</f>
        <v>0</v>
      </c>
      <c r="AK2">
        <f>BDH("BMRA US Equity","CF_CASH_FROM_OPER","1993-06-18","2026-05-02","Per=Y","Days=T","Dir=V")</f>
        <v>0</v>
      </c>
      <c r="AM2">
        <f>BDH("BMRA US Equity","CAPITAL_EXPEND","1993-06-18","2026-05-02","Per=Y","Days=T","Dir=V")</f>
        <v>0</v>
      </c>
      <c r="AO2">
        <f>BDH("BMRA US Equity","CF_FREE_CASH_FLOW","1993-06-18","2026-05-02","Per=Y","Days=T","Dir=V")</f>
        <v>0</v>
      </c>
      <c r="AQ2">
        <f>BDH("BMRA US Equity","PX_LAST","1993-06-18","2026-05-02","Per=M","Days=T","Dir=V")</f>
        <v>0</v>
      </c>
      <c r="AS2">
        <f>BDH("BMRA US Equity","CUR_MKT_CAP","1993-06-18","2026-05-02","Per=M","Days=T","Dir=V")</f>
        <v>0</v>
      </c>
      <c r="AU2">
        <f>BDH("BMRA US Equity","EQY_SH_OUT","1993-06-18","2026-05-02","Per=M","Days=T","Dir=V")</f>
        <v>0</v>
      </c>
      <c r="AW2">
        <f>BDH("BMRA US Equity","PX_VOLUME","1993-06-18","2026-05-02","Per=M","Days=T","Dir=V")</f>
        <v>0</v>
      </c>
      <c r="AY2">
        <f>BDH("BMRA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BDH("BMRN US Equity","BS_TOT_ASSET","1993-06-18","2026-05-02","Per=Y","Days=T","Dir=V")</f>
        <v>0</v>
      </c>
      <c r="C2">
        <f>BDH("BMRN US Equity","BS_TOT_LIAB2","1993-06-18","2026-05-02","Per=Y","Days=T","Dir=V")</f>
        <v>0</v>
      </c>
      <c r="E2">
        <f>BDH("BMRN US Equity","SHORT_AND_LONG_TERM_DEBT","1993-06-18","2026-05-02","Per=Y","Days=T","Dir=V")</f>
        <v>0</v>
      </c>
      <c r="G2">
        <f>BDH("BMRN US Equity","BS_ST_BORROW","1993-06-18","2026-05-02","Per=Y","Days=T","Dir=V")</f>
        <v>0</v>
      </c>
      <c r="I2">
        <f>BDH("BMRN US Equity","BS_LT_BORROW","1993-06-18","2026-05-02","Per=Y","Days=T","Dir=V")</f>
        <v>0</v>
      </c>
      <c r="K2">
        <f>BDH("BMRN US Equity","BS_CASH_NEAR_CASH_ITEM","1993-06-18","2026-05-02","Per=Y","Days=T","Dir=V")</f>
        <v>0</v>
      </c>
      <c r="M2">
        <f>BDH("BMRN US Equity","BS_CUR_ASSET_REPORT","1993-06-18","2026-05-02","Per=Y","Days=T","Dir=V")</f>
        <v>0</v>
      </c>
      <c r="O2">
        <f>BDH("BMRN US Equity","BS_CUR_LIAB","1993-06-18","2026-05-02","Per=Y","Days=T","Dir=V")</f>
        <v>0</v>
      </c>
      <c r="Q2">
        <f>BDH("BMRN US Equity","BS_SHAREHOLDER_EQY_ENDING_PERIOD","1993-06-18","2026-05-02","Per=Y","Days=T","Dir=V")</f>
        <v>0</v>
      </c>
      <c r="S2">
        <f>BDH("BMRN US Equity","BS_ACCT_NOTE_RCV","1993-06-18","2026-05-02","Per=Y","Days=T","Dir=V")</f>
        <v>0</v>
      </c>
      <c r="U2">
        <f>BDH("BMRN US Equity","BS_INVENTORIES","1993-06-18","2026-05-02","Per=Y","Days=T","Dir=V")</f>
        <v>0</v>
      </c>
      <c r="W2">
        <f>BDH("BMRN US Equity","WORKING_CAPITAL","1993-06-18","2026-05-02","Per=Y","Days=T","Dir=V")</f>
        <v>0</v>
      </c>
      <c r="Y2">
        <f>BDH("BMRN US Equity","SALES_REV_TURN","1993-06-18","2026-05-02","Per=Y","Days=T","Dir=V")</f>
        <v>0</v>
      </c>
      <c r="AA2">
        <f>BDH("BMRN US Equity","EBIT","1993-06-18","2026-05-02","Per=Y","Days=T","Dir=V")</f>
        <v>0</v>
      </c>
      <c r="AC2">
        <f>BDH("BMRN US Equity","EBITDA","1993-06-18","2026-05-02","Per=Y","Days=T","Dir=V")</f>
        <v>0</v>
      </c>
      <c r="AE2">
        <f>BDH("BMRN US Equity","NET_INCOME","1993-06-18","2026-05-02","Per=Y","Days=T","Dir=V")</f>
        <v>0</v>
      </c>
      <c r="AG2">
        <f>BDH("BMRN US Equity","IS_INT_EXPENSE","1993-06-18","2026-05-02","Per=Y","Days=T","Dir=V")</f>
        <v>0</v>
      </c>
      <c r="AI2">
        <f>BDH("BMRN US Equity","IS_DEPR_EXP","1993-06-18","2026-05-02","Per=Y","Days=T","Dir=V")</f>
        <v>0</v>
      </c>
      <c r="AK2">
        <f>BDH("BMRN US Equity","CF_CASH_FROM_OPER","1993-06-18","2026-05-02","Per=Y","Days=T","Dir=V")</f>
        <v>0</v>
      </c>
      <c r="AM2">
        <f>BDH("BMRN US Equity","CAPITAL_EXPEND","1993-06-18","2026-05-02","Per=Y","Days=T","Dir=V")</f>
        <v>0</v>
      </c>
      <c r="AO2">
        <f>BDH("BMRN US Equity","CF_FREE_CASH_FLOW","1993-06-18","2026-05-02","Per=Y","Days=T","Dir=V")</f>
        <v>0</v>
      </c>
      <c r="AQ2">
        <f>BDH("BMRN US Equity","PX_LAST","1993-06-18","2026-05-02","Per=M","Days=T","Dir=V")</f>
        <v>0</v>
      </c>
      <c r="AS2">
        <f>BDH("BMRN US Equity","CUR_MKT_CAP","1993-06-18","2026-05-02","Per=M","Days=T","Dir=V")</f>
        <v>0</v>
      </c>
      <c r="AU2">
        <f>BDH("BMRN US Equity","EQY_SH_OUT","1993-06-18","2026-05-02","Per=M","Days=T","Dir=V")</f>
        <v>0</v>
      </c>
      <c r="AW2">
        <f>BDH("BMRN US Equity","PX_VOLUME","1993-06-18","2026-05-02","Per=M","Days=T","Dir=V")</f>
        <v>0</v>
      </c>
      <c r="AY2">
        <f>BDH("BMRN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BDH("BMY US Equity","BS_TOT_ASSET","1993-06-18","2026-05-02","Per=Y","Days=T","Dir=V")</f>
        <v>0</v>
      </c>
      <c r="C2">
        <f>BDH("BMY US Equity","BS_TOT_LIAB2","1993-06-18","2026-05-02","Per=Y","Days=T","Dir=V")</f>
        <v>0</v>
      </c>
      <c r="E2">
        <f>BDH("BMY US Equity","SHORT_AND_LONG_TERM_DEBT","1993-06-18","2026-05-02","Per=Y","Days=T","Dir=V")</f>
        <v>0</v>
      </c>
      <c r="G2">
        <f>BDH("BMY US Equity","BS_ST_BORROW","1993-06-18","2026-05-02","Per=Y","Days=T","Dir=V")</f>
        <v>0</v>
      </c>
      <c r="I2">
        <f>BDH("BMY US Equity","BS_LT_BORROW","1993-06-18","2026-05-02","Per=Y","Days=T","Dir=V")</f>
        <v>0</v>
      </c>
      <c r="K2">
        <f>BDH("BMY US Equity","BS_CASH_NEAR_CASH_ITEM","1993-06-18","2026-05-02","Per=Y","Days=T","Dir=V")</f>
        <v>0</v>
      </c>
      <c r="M2">
        <f>BDH("BMY US Equity","BS_CUR_ASSET_REPORT","1993-06-18","2026-05-02","Per=Y","Days=T","Dir=V")</f>
        <v>0</v>
      </c>
      <c r="O2">
        <f>BDH("BMY US Equity","BS_CUR_LIAB","1993-06-18","2026-05-02","Per=Y","Days=T","Dir=V")</f>
        <v>0</v>
      </c>
      <c r="Q2">
        <f>BDH("BMY US Equity","BS_SHAREHOLDER_EQY_ENDING_PERIOD","1993-06-18","2026-05-02","Per=Y","Days=T","Dir=V")</f>
        <v>0</v>
      </c>
      <c r="S2">
        <f>BDH("BMY US Equity","BS_ACCT_NOTE_RCV","1993-06-18","2026-05-02","Per=Y","Days=T","Dir=V")</f>
        <v>0</v>
      </c>
      <c r="U2">
        <f>BDH("BMY US Equity","BS_INVENTORIES","1993-06-18","2026-05-02","Per=Y","Days=T","Dir=V")</f>
        <v>0</v>
      </c>
      <c r="W2">
        <f>BDH("BMY US Equity","WORKING_CAPITAL","1993-06-18","2026-05-02","Per=Y","Days=T","Dir=V")</f>
        <v>0</v>
      </c>
      <c r="Y2">
        <f>BDH("BMY US Equity","SALES_REV_TURN","1993-06-18","2026-05-02","Per=Y","Days=T","Dir=V")</f>
        <v>0</v>
      </c>
      <c r="AA2">
        <f>BDH("BMY US Equity","EBIT","1993-06-18","2026-05-02","Per=Y","Days=T","Dir=V")</f>
        <v>0</v>
      </c>
      <c r="AC2">
        <f>BDH("BMY US Equity","EBITDA","1993-06-18","2026-05-02","Per=Y","Days=T","Dir=V")</f>
        <v>0</v>
      </c>
      <c r="AE2">
        <f>BDH("BMY US Equity","NET_INCOME","1993-06-18","2026-05-02","Per=Y","Days=T","Dir=V")</f>
        <v>0</v>
      </c>
      <c r="AG2">
        <f>BDH("BMY US Equity","IS_INT_EXPENSE","1993-06-18","2026-05-02","Per=Y","Days=T","Dir=V")</f>
        <v>0</v>
      </c>
      <c r="AI2">
        <f>BDH("BMY US Equity","IS_DEPR_EXP","1993-06-18","2026-05-02","Per=Y","Days=T","Dir=V")</f>
        <v>0</v>
      </c>
      <c r="AK2">
        <f>BDH("BMY US Equity","CF_CASH_FROM_OPER","1993-06-18","2026-05-02","Per=Y","Days=T","Dir=V")</f>
        <v>0</v>
      </c>
      <c r="AM2">
        <f>BDH("BMY US Equity","CAPITAL_EXPEND","1993-06-18","2026-05-02","Per=Y","Days=T","Dir=V")</f>
        <v>0</v>
      </c>
      <c r="AO2">
        <f>BDH("BMY US Equity","CF_FREE_CASH_FLOW","1993-06-18","2026-05-02","Per=Y","Days=T","Dir=V")</f>
        <v>0</v>
      </c>
      <c r="AQ2">
        <f>BDH("BMY US Equity","PX_LAST","1993-06-18","2026-05-02","Per=M","Days=T","Dir=V")</f>
        <v>0</v>
      </c>
      <c r="AS2">
        <f>BDH("BMY US Equity","CUR_MKT_CAP","1993-06-18","2026-05-02","Per=M","Days=T","Dir=V")</f>
        <v>0</v>
      </c>
      <c r="AU2">
        <f>BDH("BMY US Equity","EQY_SH_OUT","1993-06-18","2026-05-02","Per=M","Days=T","Dir=V")</f>
        <v>0</v>
      </c>
      <c r="AW2">
        <f>BDH("BMY US Equity","PX_VOLUME","1993-06-18","2026-05-02","Per=M","Days=T","Dir=V")</f>
        <v>0</v>
      </c>
      <c r="AY2">
        <f>BDH("BMY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BDH("BNAI US Equity","BS_TOT_ASSET","1993-06-18","2026-05-02","Per=Y","Days=T","Dir=V")</f>
        <v>0</v>
      </c>
      <c r="C2">
        <f>BDH("BNAI US Equity","BS_TOT_LIAB2","1993-06-18","2026-05-02","Per=Y","Days=T","Dir=V")</f>
        <v>0</v>
      </c>
      <c r="E2">
        <f>BDH("BNAI US Equity","SHORT_AND_LONG_TERM_DEBT","1993-06-18","2026-05-02","Per=Y","Days=T","Dir=V")</f>
        <v>0</v>
      </c>
      <c r="G2">
        <f>BDH("BNAI US Equity","BS_ST_BORROW","1993-06-18","2026-05-02","Per=Y","Days=T","Dir=V")</f>
        <v>0</v>
      </c>
      <c r="I2">
        <f>BDH("BNAI US Equity","BS_LT_BORROW","1993-06-18","2026-05-02","Per=Y","Days=T","Dir=V")</f>
        <v>0</v>
      </c>
      <c r="K2">
        <f>BDH("BNAI US Equity","BS_CASH_NEAR_CASH_ITEM","1993-06-18","2026-05-02","Per=Y","Days=T","Dir=V")</f>
        <v>0</v>
      </c>
      <c r="M2">
        <f>BDH("BNAI US Equity","BS_CUR_ASSET_REPORT","1993-06-18","2026-05-02","Per=Y","Days=T","Dir=V")</f>
        <v>0</v>
      </c>
      <c r="O2">
        <f>BDH("BNAI US Equity","BS_CUR_LIAB","1993-06-18","2026-05-02","Per=Y","Days=T","Dir=V")</f>
        <v>0</v>
      </c>
      <c r="Q2">
        <f>BDH("BNAI US Equity","BS_SHAREHOLDER_EQY_ENDING_PERIOD","1993-06-18","2026-05-02","Per=Y","Days=T","Dir=V")</f>
        <v>0</v>
      </c>
      <c r="S2">
        <f>BDH("BNAI US Equity","BS_ACCT_NOTE_RCV","1993-06-18","2026-05-02","Per=Y","Days=T","Dir=V")</f>
        <v>0</v>
      </c>
      <c r="U2">
        <f>BDH("BNAI US Equity","BS_INVENTORIES","1993-06-18","2026-05-02","Per=Y","Days=T","Dir=V")</f>
        <v>0</v>
      </c>
      <c r="W2">
        <f>BDH("BNAI US Equity","WORKING_CAPITAL","1993-06-18","2026-05-02","Per=Y","Days=T","Dir=V")</f>
        <v>0</v>
      </c>
      <c r="Y2">
        <f>BDH("BNAI US Equity","SALES_REV_TURN","1993-06-18","2026-05-02","Per=Y","Days=T","Dir=V")</f>
        <v>0</v>
      </c>
      <c r="AA2">
        <f>BDH("BNAI US Equity","EBIT","1993-06-18","2026-05-02","Per=Y","Days=T","Dir=V")</f>
        <v>0</v>
      </c>
      <c r="AC2">
        <f>BDH("BNAI US Equity","EBITDA","1993-06-18","2026-05-02","Per=Y","Days=T","Dir=V")</f>
        <v>0</v>
      </c>
      <c r="AE2">
        <f>BDH("BNAI US Equity","NET_INCOME","1993-06-18","2026-05-02","Per=Y","Days=T","Dir=V")</f>
        <v>0</v>
      </c>
      <c r="AG2">
        <f>BDH("BNAI US Equity","IS_INT_EXPENSE","1993-06-18","2026-05-02","Per=Y","Days=T","Dir=V")</f>
        <v>0</v>
      </c>
      <c r="AI2">
        <f>BDH("BNAI US Equity","IS_DEPR_EXP","1993-06-18","2026-05-02","Per=Y","Days=T","Dir=V")</f>
        <v>0</v>
      </c>
      <c r="AK2">
        <f>BDH("BNAI US Equity","CF_CASH_FROM_OPER","1993-06-18","2026-05-02","Per=Y","Days=T","Dir=V")</f>
        <v>0</v>
      </c>
      <c r="AM2">
        <f>BDH("BNAI US Equity","CAPITAL_EXPEND","1993-06-18","2026-05-02","Per=Y","Days=T","Dir=V")</f>
        <v>0</v>
      </c>
      <c r="AO2">
        <f>BDH("BNAI US Equity","CF_FREE_CASH_FLOW","1993-06-18","2026-05-02","Per=Y","Days=T","Dir=V")</f>
        <v>0</v>
      </c>
      <c r="AQ2">
        <f>BDH("BNAI US Equity","PX_LAST","1993-06-18","2026-05-02","Per=M","Days=T","Dir=V")</f>
        <v>0</v>
      </c>
      <c r="AS2">
        <f>BDH("BNAI US Equity","CUR_MKT_CAP","1993-06-18","2026-05-02","Per=M","Days=T","Dir=V")</f>
        <v>0</v>
      </c>
      <c r="AU2">
        <f>BDH("BNAI US Equity","EQY_SH_OUT","1993-06-18","2026-05-02","Per=M","Days=T","Dir=V")</f>
        <v>0</v>
      </c>
      <c r="AW2">
        <f>BDH("BNAI US Equity","PX_VOLUME","1993-06-18","2026-05-02","Per=M","Days=T","Dir=V")</f>
        <v>0</v>
      </c>
      <c r="AY2">
        <f>BDH("BNAI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BDH("BNAIW US Equity","BS_TOT_ASSET","1993-06-18","2026-05-02","Per=Y","Days=T","Dir=V")</f>
        <v>0</v>
      </c>
      <c r="C2">
        <f>BDH("BNAIW US Equity","BS_TOT_LIAB2","1993-06-18","2026-05-02","Per=Y","Days=T","Dir=V")</f>
        <v>0</v>
      </c>
      <c r="E2">
        <f>BDH("BNAIW US Equity","SHORT_AND_LONG_TERM_DEBT","1993-06-18","2026-05-02","Per=Y","Days=T","Dir=V")</f>
        <v>0</v>
      </c>
      <c r="G2">
        <f>BDH("BNAIW US Equity","BS_ST_BORROW","1993-06-18","2026-05-02","Per=Y","Days=T","Dir=V")</f>
        <v>0</v>
      </c>
      <c r="I2">
        <f>BDH("BNAIW US Equity","BS_LT_BORROW","1993-06-18","2026-05-02","Per=Y","Days=T","Dir=V")</f>
        <v>0</v>
      </c>
      <c r="K2">
        <f>BDH("BNAIW US Equity","BS_CASH_NEAR_CASH_ITEM","1993-06-18","2026-05-02","Per=Y","Days=T","Dir=V")</f>
        <v>0</v>
      </c>
      <c r="M2">
        <f>BDH("BNAIW US Equity","BS_CUR_ASSET_REPORT","1993-06-18","2026-05-02","Per=Y","Days=T","Dir=V")</f>
        <v>0</v>
      </c>
      <c r="O2">
        <f>BDH("BNAIW US Equity","BS_CUR_LIAB","1993-06-18","2026-05-02","Per=Y","Days=T","Dir=V")</f>
        <v>0</v>
      </c>
      <c r="Q2">
        <f>BDH("BNAIW US Equity","BS_SHAREHOLDER_EQY_ENDING_PERIOD","1993-06-18","2026-05-02","Per=Y","Days=T","Dir=V")</f>
        <v>0</v>
      </c>
      <c r="S2">
        <f>BDH("BNAIW US Equity","BS_ACCT_NOTE_RCV","1993-06-18","2026-05-02","Per=Y","Days=T","Dir=V")</f>
        <v>0</v>
      </c>
      <c r="U2">
        <f>BDH("BNAIW US Equity","BS_INVENTORIES","1993-06-18","2026-05-02","Per=Y","Days=T","Dir=V")</f>
        <v>0</v>
      </c>
      <c r="W2">
        <f>BDH("BNAIW US Equity","WORKING_CAPITAL","1993-06-18","2026-05-02","Per=Y","Days=T","Dir=V")</f>
        <v>0</v>
      </c>
      <c r="Y2">
        <f>BDH("BNAIW US Equity","SALES_REV_TURN","1993-06-18","2026-05-02","Per=Y","Days=T","Dir=V")</f>
        <v>0</v>
      </c>
      <c r="AA2">
        <f>BDH("BNAIW US Equity","EBIT","1993-06-18","2026-05-02","Per=Y","Days=T","Dir=V")</f>
        <v>0</v>
      </c>
      <c r="AC2">
        <f>BDH("BNAIW US Equity","EBITDA","1993-06-18","2026-05-02","Per=Y","Days=T","Dir=V")</f>
        <v>0</v>
      </c>
      <c r="AE2">
        <f>BDH("BNAIW US Equity","NET_INCOME","1993-06-18","2026-05-02","Per=Y","Days=T","Dir=V")</f>
        <v>0</v>
      </c>
      <c r="AG2">
        <f>BDH("BNAIW US Equity","IS_INT_EXPENSE","1993-06-18","2026-05-02","Per=Y","Days=T","Dir=V")</f>
        <v>0</v>
      </c>
      <c r="AI2">
        <f>BDH("BNAIW US Equity","IS_DEPR_EXP","1993-06-18","2026-05-02","Per=Y","Days=T","Dir=V")</f>
        <v>0</v>
      </c>
      <c r="AK2">
        <f>BDH("BNAIW US Equity","CF_CASH_FROM_OPER","1993-06-18","2026-05-02","Per=Y","Days=T","Dir=V")</f>
        <v>0</v>
      </c>
      <c r="AM2">
        <f>BDH("BNAIW US Equity","CAPITAL_EXPEND","1993-06-18","2026-05-02","Per=Y","Days=T","Dir=V")</f>
        <v>0</v>
      </c>
      <c r="AO2">
        <f>BDH("BNAIW US Equity","CF_FREE_CASH_FLOW","1993-06-18","2026-05-02","Per=Y","Days=T","Dir=V")</f>
        <v>0</v>
      </c>
      <c r="AQ2">
        <f>BDH("BNAIW US Equity","PX_LAST","1993-06-18","2026-05-02","Per=M","Days=T","Dir=V")</f>
        <v>0</v>
      </c>
      <c r="AS2">
        <f>BDH("BNAIW US Equity","CUR_MKT_CAP","1993-06-18","2026-05-02","Per=M","Days=T","Dir=V")</f>
        <v>0</v>
      </c>
      <c r="AU2">
        <f>BDH("BNAIW US Equity","EQY_SH_OUT","1993-06-18","2026-05-02","Per=M","Days=T","Dir=V")</f>
        <v>0</v>
      </c>
      <c r="AW2">
        <f>BDH("BNAIW US Equity","PX_VOLUME","1993-06-18","2026-05-02","Per=M","Days=T","Dir=V")</f>
        <v>0</v>
      </c>
      <c r="AY2">
        <f>BDH("BNAIW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BDH("BNC US Equity","BS_TOT_ASSET","1993-06-18","2026-05-02","Per=Y","Days=T","Dir=V")</f>
        <v>0</v>
      </c>
      <c r="C2">
        <f>BDH("BNC US Equity","BS_TOT_LIAB2","1993-06-18","2026-05-02","Per=Y","Days=T","Dir=V")</f>
        <v>0</v>
      </c>
      <c r="E2">
        <f>BDH("BNC US Equity","SHORT_AND_LONG_TERM_DEBT","1993-06-18","2026-05-02","Per=Y","Days=T","Dir=V")</f>
        <v>0</v>
      </c>
      <c r="G2">
        <f>BDH("BNC US Equity","BS_ST_BORROW","1993-06-18","2026-05-02","Per=Y","Days=T","Dir=V")</f>
        <v>0</v>
      </c>
      <c r="I2">
        <f>BDH("BNC US Equity","BS_LT_BORROW","1993-06-18","2026-05-02","Per=Y","Days=T","Dir=V")</f>
        <v>0</v>
      </c>
      <c r="K2">
        <f>BDH("BNC US Equity","BS_CASH_NEAR_CASH_ITEM","1993-06-18","2026-05-02","Per=Y","Days=T","Dir=V")</f>
        <v>0</v>
      </c>
      <c r="M2">
        <f>BDH("BNC US Equity","BS_CUR_ASSET_REPORT","1993-06-18","2026-05-02","Per=Y","Days=T","Dir=V")</f>
        <v>0</v>
      </c>
      <c r="O2">
        <f>BDH("BNC US Equity","BS_CUR_LIAB","1993-06-18","2026-05-02","Per=Y","Days=T","Dir=V")</f>
        <v>0</v>
      </c>
      <c r="Q2">
        <f>BDH("BNC US Equity","BS_SHAREHOLDER_EQY_ENDING_PERIOD","1993-06-18","2026-05-02","Per=Y","Days=T","Dir=V")</f>
        <v>0</v>
      </c>
      <c r="S2">
        <f>BDH("BNC US Equity","BS_ACCT_NOTE_RCV","1993-06-18","2026-05-02","Per=Y","Days=T","Dir=V")</f>
        <v>0</v>
      </c>
      <c r="U2">
        <f>BDH("BNC US Equity","BS_INVENTORIES","1993-06-18","2026-05-02","Per=Y","Days=T","Dir=V")</f>
        <v>0</v>
      </c>
      <c r="W2">
        <f>BDH("BNC US Equity","WORKING_CAPITAL","1993-06-18","2026-05-02","Per=Y","Days=T","Dir=V")</f>
        <v>0</v>
      </c>
      <c r="Y2">
        <f>BDH("BNC US Equity","SALES_REV_TURN","1993-06-18","2026-05-02","Per=Y","Days=T","Dir=V")</f>
        <v>0</v>
      </c>
      <c r="AA2">
        <f>BDH("BNC US Equity","EBIT","1993-06-18","2026-05-02","Per=Y","Days=T","Dir=V")</f>
        <v>0</v>
      </c>
      <c r="AC2">
        <f>BDH("BNC US Equity","EBITDA","1993-06-18","2026-05-02","Per=Y","Days=T","Dir=V")</f>
        <v>0</v>
      </c>
      <c r="AE2">
        <f>BDH("BNC US Equity","NET_INCOME","1993-06-18","2026-05-02","Per=Y","Days=T","Dir=V")</f>
        <v>0</v>
      </c>
      <c r="AG2">
        <f>BDH("BNC US Equity","IS_INT_EXPENSE","1993-06-18","2026-05-02","Per=Y","Days=T","Dir=V")</f>
        <v>0</v>
      </c>
      <c r="AI2">
        <f>BDH("BNC US Equity","IS_DEPR_EXP","1993-06-18","2026-05-02","Per=Y","Days=T","Dir=V")</f>
        <v>0</v>
      </c>
      <c r="AK2">
        <f>BDH("BNC US Equity","CF_CASH_FROM_OPER","1993-06-18","2026-05-02","Per=Y","Days=T","Dir=V")</f>
        <v>0</v>
      </c>
      <c r="AM2">
        <f>BDH("BNC US Equity","CAPITAL_EXPEND","1993-06-18","2026-05-02","Per=Y","Days=T","Dir=V")</f>
        <v>0</v>
      </c>
      <c r="AO2">
        <f>BDH("BNC US Equity","CF_FREE_CASH_FLOW","1993-06-18","2026-05-02","Per=Y","Days=T","Dir=V")</f>
        <v>0</v>
      </c>
      <c r="AQ2">
        <f>BDH("BNC US Equity","PX_LAST","1993-06-18","2026-05-02","Per=M","Days=T","Dir=V")</f>
        <v>0</v>
      </c>
      <c r="AS2">
        <f>BDH("BNC US Equity","CUR_MKT_CAP","1993-06-18","2026-05-02","Per=M","Days=T","Dir=V")</f>
        <v>0</v>
      </c>
      <c r="AU2">
        <f>BDH("BNC US Equity","EQY_SH_OUT","1993-06-18","2026-05-02","Per=M","Days=T","Dir=V")</f>
        <v>0</v>
      </c>
      <c r="AW2">
        <f>BDH("BNC US Equity","PX_VOLUME","1993-06-18","2026-05-02","Per=M","Days=T","Dir=V")</f>
        <v>0</v>
      </c>
      <c r="AY2">
        <f>BDH("BNC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BDH("BNCWW US Equity","BS_TOT_ASSET","1993-06-18","2026-05-02","Per=Y","Days=T","Dir=V")</f>
        <v>0</v>
      </c>
      <c r="C2">
        <f>BDH("BNCWW US Equity","BS_TOT_LIAB2","1993-06-18","2026-05-02","Per=Y","Days=T","Dir=V")</f>
        <v>0</v>
      </c>
      <c r="E2">
        <f>BDH("BNCWW US Equity","SHORT_AND_LONG_TERM_DEBT","1993-06-18","2026-05-02","Per=Y","Days=T","Dir=V")</f>
        <v>0</v>
      </c>
      <c r="G2">
        <f>BDH("BNCWW US Equity","BS_ST_BORROW","1993-06-18","2026-05-02","Per=Y","Days=T","Dir=V")</f>
        <v>0</v>
      </c>
      <c r="I2">
        <f>BDH("BNCWW US Equity","BS_LT_BORROW","1993-06-18","2026-05-02","Per=Y","Days=T","Dir=V")</f>
        <v>0</v>
      </c>
      <c r="K2">
        <f>BDH("BNCWW US Equity","BS_CASH_NEAR_CASH_ITEM","1993-06-18","2026-05-02","Per=Y","Days=T","Dir=V")</f>
        <v>0</v>
      </c>
      <c r="M2">
        <f>BDH("BNCWW US Equity","BS_CUR_ASSET_REPORT","1993-06-18","2026-05-02","Per=Y","Days=T","Dir=V")</f>
        <v>0</v>
      </c>
      <c r="O2">
        <f>BDH("BNCWW US Equity","BS_CUR_LIAB","1993-06-18","2026-05-02","Per=Y","Days=T","Dir=V")</f>
        <v>0</v>
      </c>
      <c r="Q2">
        <f>BDH("BNCWW US Equity","BS_SHAREHOLDER_EQY_ENDING_PERIOD","1993-06-18","2026-05-02","Per=Y","Days=T","Dir=V")</f>
        <v>0</v>
      </c>
      <c r="S2">
        <f>BDH("BNCWW US Equity","BS_ACCT_NOTE_RCV","1993-06-18","2026-05-02","Per=Y","Days=T","Dir=V")</f>
        <v>0</v>
      </c>
      <c r="U2">
        <f>BDH("BNCWW US Equity","BS_INVENTORIES","1993-06-18","2026-05-02","Per=Y","Days=T","Dir=V")</f>
        <v>0</v>
      </c>
      <c r="W2">
        <f>BDH("BNCWW US Equity","WORKING_CAPITAL","1993-06-18","2026-05-02","Per=Y","Days=T","Dir=V")</f>
        <v>0</v>
      </c>
      <c r="Y2">
        <f>BDH("BNCWW US Equity","SALES_REV_TURN","1993-06-18","2026-05-02","Per=Y","Days=T","Dir=V")</f>
        <v>0</v>
      </c>
      <c r="AA2">
        <f>BDH("BNCWW US Equity","EBIT","1993-06-18","2026-05-02","Per=Y","Days=T","Dir=V")</f>
        <v>0</v>
      </c>
      <c r="AC2">
        <f>BDH("BNCWW US Equity","EBITDA","1993-06-18","2026-05-02","Per=Y","Days=T","Dir=V")</f>
        <v>0</v>
      </c>
      <c r="AE2">
        <f>BDH("BNCWW US Equity","NET_INCOME","1993-06-18","2026-05-02","Per=Y","Days=T","Dir=V")</f>
        <v>0</v>
      </c>
      <c r="AG2">
        <f>BDH("BNCWW US Equity","IS_INT_EXPENSE","1993-06-18","2026-05-02","Per=Y","Days=T","Dir=V")</f>
        <v>0</v>
      </c>
      <c r="AI2">
        <f>BDH("BNCWW US Equity","IS_DEPR_EXP","1993-06-18","2026-05-02","Per=Y","Days=T","Dir=V")</f>
        <v>0</v>
      </c>
      <c r="AK2">
        <f>BDH("BNCWW US Equity","CF_CASH_FROM_OPER","1993-06-18","2026-05-02","Per=Y","Days=T","Dir=V")</f>
        <v>0</v>
      </c>
      <c r="AM2">
        <f>BDH("BNCWW US Equity","CAPITAL_EXPEND","1993-06-18","2026-05-02","Per=Y","Days=T","Dir=V")</f>
        <v>0</v>
      </c>
      <c r="AO2">
        <f>BDH("BNCWW US Equity","CF_FREE_CASH_FLOW","1993-06-18","2026-05-02","Per=Y","Days=T","Dir=V")</f>
        <v>0</v>
      </c>
      <c r="AQ2">
        <f>BDH("BNCWW US Equity","PX_LAST","1993-06-18","2026-05-02","Per=M","Days=T","Dir=V")</f>
        <v>0</v>
      </c>
      <c r="AS2">
        <f>BDH("BNCWW US Equity","CUR_MKT_CAP","1993-06-18","2026-05-02","Per=M","Days=T","Dir=V")</f>
        <v>0</v>
      </c>
      <c r="AU2">
        <f>BDH("BNCWW US Equity","EQY_SH_OUT","1993-06-18","2026-05-02","Per=M","Days=T","Dir=V")</f>
        <v>0</v>
      </c>
      <c r="AW2">
        <f>BDH("BNCWW US Equity","PX_VOLUME","1993-06-18","2026-05-02","Per=M","Days=T","Dir=V")</f>
        <v>0</v>
      </c>
      <c r="AY2">
        <f>BDH("BNCWW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BDH("BNED US Equity","BS_TOT_ASSET","1993-06-18","2026-05-02","Per=Y","Days=T","Dir=V")</f>
        <v>0</v>
      </c>
      <c r="C2">
        <f>BDH("BNED US Equity","BS_TOT_LIAB2","1993-06-18","2026-05-02","Per=Y","Days=T","Dir=V")</f>
        <v>0</v>
      </c>
      <c r="E2">
        <f>BDH("BNED US Equity","SHORT_AND_LONG_TERM_DEBT","1993-06-18","2026-05-02","Per=Y","Days=T","Dir=V")</f>
        <v>0</v>
      </c>
      <c r="G2">
        <f>BDH("BNED US Equity","BS_ST_BORROW","1993-06-18","2026-05-02","Per=Y","Days=T","Dir=V")</f>
        <v>0</v>
      </c>
      <c r="I2">
        <f>BDH("BNED US Equity","BS_LT_BORROW","1993-06-18","2026-05-02","Per=Y","Days=T","Dir=V")</f>
        <v>0</v>
      </c>
      <c r="K2">
        <f>BDH("BNED US Equity","BS_CASH_NEAR_CASH_ITEM","1993-06-18","2026-05-02","Per=Y","Days=T","Dir=V")</f>
        <v>0</v>
      </c>
      <c r="M2">
        <f>BDH("BNED US Equity","BS_CUR_ASSET_REPORT","1993-06-18","2026-05-02","Per=Y","Days=T","Dir=V")</f>
        <v>0</v>
      </c>
      <c r="O2">
        <f>BDH("BNED US Equity","BS_CUR_LIAB","1993-06-18","2026-05-02","Per=Y","Days=T","Dir=V")</f>
        <v>0</v>
      </c>
      <c r="Q2">
        <f>BDH("BNED US Equity","BS_SHAREHOLDER_EQY_ENDING_PERIOD","1993-06-18","2026-05-02","Per=Y","Days=T","Dir=V")</f>
        <v>0</v>
      </c>
      <c r="S2">
        <f>BDH("BNED US Equity","BS_ACCT_NOTE_RCV","1993-06-18","2026-05-02","Per=Y","Days=T","Dir=V")</f>
        <v>0</v>
      </c>
      <c r="U2">
        <f>BDH("BNED US Equity","BS_INVENTORIES","1993-06-18","2026-05-02","Per=Y","Days=T","Dir=V")</f>
        <v>0</v>
      </c>
      <c r="W2">
        <f>BDH("BNED US Equity","WORKING_CAPITAL","1993-06-18","2026-05-02","Per=Y","Days=T","Dir=V")</f>
        <v>0</v>
      </c>
      <c r="Y2">
        <f>BDH("BNED US Equity","SALES_REV_TURN","1993-06-18","2026-05-02","Per=Y","Days=T","Dir=V")</f>
        <v>0</v>
      </c>
      <c r="AA2">
        <f>BDH("BNED US Equity","EBIT","1993-06-18","2026-05-02","Per=Y","Days=T","Dir=V")</f>
        <v>0</v>
      </c>
      <c r="AC2">
        <f>BDH("BNED US Equity","EBITDA","1993-06-18","2026-05-02","Per=Y","Days=T","Dir=V")</f>
        <v>0</v>
      </c>
      <c r="AE2">
        <f>BDH("BNED US Equity","NET_INCOME","1993-06-18","2026-05-02","Per=Y","Days=T","Dir=V")</f>
        <v>0</v>
      </c>
      <c r="AG2">
        <f>BDH("BNED US Equity","IS_INT_EXPENSE","1993-06-18","2026-05-02","Per=Y","Days=T","Dir=V")</f>
        <v>0</v>
      </c>
      <c r="AI2">
        <f>BDH("BNED US Equity","IS_DEPR_EXP","1993-06-18","2026-05-02","Per=Y","Days=T","Dir=V")</f>
        <v>0</v>
      </c>
      <c r="AK2">
        <f>BDH("BNED US Equity","CF_CASH_FROM_OPER","1993-06-18","2026-05-02","Per=Y","Days=T","Dir=V")</f>
        <v>0</v>
      </c>
      <c r="AM2">
        <f>BDH("BNED US Equity","CAPITAL_EXPEND","1993-06-18","2026-05-02","Per=Y","Days=T","Dir=V")</f>
        <v>0</v>
      </c>
      <c r="AO2">
        <f>BDH("BNED US Equity","CF_FREE_CASH_FLOW","1993-06-18","2026-05-02","Per=Y","Days=T","Dir=V")</f>
        <v>0</v>
      </c>
      <c r="AQ2">
        <f>BDH("BNED US Equity","PX_LAST","1993-06-18","2026-05-02","Per=M","Days=T","Dir=V")</f>
        <v>0</v>
      </c>
      <c r="AS2">
        <f>BDH("BNED US Equity","CUR_MKT_CAP","1993-06-18","2026-05-02","Per=M","Days=T","Dir=V")</f>
        <v>0</v>
      </c>
      <c r="AU2">
        <f>BDH("BNED US Equity","EQY_SH_OUT","1993-06-18","2026-05-02","Per=M","Days=T","Dir=V")</f>
        <v>0</v>
      </c>
      <c r="AW2">
        <f>BDH("BNED US Equity","PX_VOLUME","1993-06-18","2026-05-02","Per=M","Days=T","Dir=V")</f>
        <v>0</v>
      </c>
      <c r="AY2">
        <f>BDH("BNED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BDH("BNGO US Equity","BS_TOT_ASSET","1993-06-18","2026-05-02","Per=Y","Days=T","Dir=V")</f>
        <v>0</v>
      </c>
      <c r="C2">
        <f>BDH("BNGO US Equity","BS_TOT_LIAB2","1993-06-18","2026-05-02","Per=Y","Days=T","Dir=V")</f>
        <v>0</v>
      </c>
      <c r="E2">
        <f>BDH("BNGO US Equity","SHORT_AND_LONG_TERM_DEBT","1993-06-18","2026-05-02","Per=Y","Days=T","Dir=V")</f>
        <v>0</v>
      </c>
      <c r="G2">
        <f>BDH("BNGO US Equity","BS_ST_BORROW","1993-06-18","2026-05-02","Per=Y","Days=T","Dir=V")</f>
        <v>0</v>
      </c>
      <c r="I2">
        <f>BDH("BNGO US Equity","BS_LT_BORROW","1993-06-18","2026-05-02","Per=Y","Days=T","Dir=V")</f>
        <v>0</v>
      </c>
      <c r="K2">
        <f>BDH("BNGO US Equity","BS_CASH_NEAR_CASH_ITEM","1993-06-18","2026-05-02","Per=Y","Days=T","Dir=V")</f>
        <v>0</v>
      </c>
      <c r="M2">
        <f>BDH("BNGO US Equity","BS_CUR_ASSET_REPORT","1993-06-18","2026-05-02","Per=Y","Days=T","Dir=V")</f>
        <v>0</v>
      </c>
      <c r="O2">
        <f>BDH("BNGO US Equity","BS_CUR_LIAB","1993-06-18","2026-05-02","Per=Y","Days=T","Dir=V")</f>
        <v>0</v>
      </c>
      <c r="Q2">
        <f>BDH("BNGO US Equity","BS_SHAREHOLDER_EQY_ENDING_PERIOD","1993-06-18","2026-05-02","Per=Y","Days=T","Dir=V")</f>
        <v>0</v>
      </c>
      <c r="S2">
        <f>BDH("BNGO US Equity","BS_ACCT_NOTE_RCV","1993-06-18","2026-05-02","Per=Y","Days=T","Dir=V")</f>
        <v>0</v>
      </c>
      <c r="U2">
        <f>BDH("BNGO US Equity","BS_INVENTORIES","1993-06-18","2026-05-02","Per=Y","Days=T","Dir=V")</f>
        <v>0</v>
      </c>
      <c r="W2">
        <f>BDH("BNGO US Equity","WORKING_CAPITAL","1993-06-18","2026-05-02","Per=Y","Days=T","Dir=V")</f>
        <v>0</v>
      </c>
      <c r="Y2">
        <f>BDH("BNGO US Equity","SALES_REV_TURN","1993-06-18","2026-05-02","Per=Y","Days=T","Dir=V")</f>
        <v>0</v>
      </c>
      <c r="AA2">
        <f>BDH("BNGO US Equity","EBIT","1993-06-18","2026-05-02","Per=Y","Days=T","Dir=V")</f>
        <v>0</v>
      </c>
      <c r="AC2">
        <f>BDH("BNGO US Equity","EBITDA","1993-06-18","2026-05-02","Per=Y","Days=T","Dir=V")</f>
        <v>0</v>
      </c>
      <c r="AE2">
        <f>BDH("BNGO US Equity","NET_INCOME","1993-06-18","2026-05-02","Per=Y","Days=T","Dir=V")</f>
        <v>0</v>
      </c>
      <c r="AG2">
        <f>BDH("BNGO US Equity","IS_INT_EXPENSE","1993-06-18","2026-05-02","Per=Y","Days=T","Dir=V")</f>
        <v>0</v>
      </c>
      <c r="AI2">
        <f>BDH("BNGO US Equity","IS_DEPR_EXP","1993-06-18","2026-05-02","Per=Y","Days=T","Dir=V")</f>
        <v>0</v>
      </c>
      <c r="AK2">
        <f>BDH("BNGO US Equity","CF_CASH_FROM_OPER","1993-06-18","2026-05-02","Per=Y","Days=T","Dir=V")</f>
        <v>0</v>
      </c>
      <c r="AM2">
        <f>BDH("BNGO US Equity","CAPITAL_EXPEND","1993-06-18","2026-05-02","Per=Y","Days=T","Dir=V")</f>
        <v>0</v>
      </c>
      <c r="AO2">
        <f>BDH("BNGO US Equity","CF_FREE_CASH_FLOW","1993-06-18","2026-05-02","Per=Y","Days=T","Dir=V")</f>
        <v>0</v>
      </c>
      <c r="AQ2">
        <f>BDH("BNGO US Equity","PX_LAST","1993-06-18","2026-05-02","Per=M","Days=T","Dir=V")</f>
        <v>0</v>
      </c>
      <c r="AS2">
        <f>BDH("BNGO US Equity","CUR_MKT_CAP","1993-06-18","2026-05-02","Per=M","Days=T","Dir=V")</f>
        <v>0</v>
      </c>
      <c r="AU2">
        <f>BDH("BNGO US Equity","EQY_SH_OUT","1993-06-18","2026-05-02","Per=M","Days=T","Dir=V")</f>
        <v>0</v>
      </c>
      <c r="AW2">
        <f>BDH("BNGO US Equity","PX_VOLUME","1993-06-18","2026-05-02","Per=M","Days=T","Dir=V")</f>
        <v>0</v>
      </c>
      <c r="AY2">
        <f>BDH("BNGO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BDH("BNKK US Equity","BS_TOT_ASSET","1993-06-18","2026-05-02","Per=Y","Days=T","Dir=V")</f>
        <v>0</v>
      </c>
      <c r="C2">
        <f>BDH("BNKK US Equity","BS_TOT_LIAB2","1993-06-18","2026-05-02","Per=Y","Days=T","Dir=V")</f>
        <v>0</v>
      </c>
      <c r="E2">
        <f>BDH("BNKK US Equity","SHORT_AND_LONG_TERM_DEBT","1993-06-18","2026-05-02","Per=Y","Days=T","Dir=V")</f>
        <v>0</v>
      </c>
      <c r="G2">
        <f>BDH("BNKK US Equity","BS_ST_BORROW","1993-06-18","2026-05-02","Per=Y","Days=T","Dir=V")</f>
        <v>0</v>
      </c>
      <c r="I2">
        <f>BDH("BNKK US Equity","BS_LT_BORROW","1993-06-18","2026-05-02","Per=Y","Days=T","Dir=V")</f>
        <v>0</v>
      </c>
      <c r="K2">
        <f>BDH("BNKK US Equity","BS_CASH_NEAR_CASH_ITEM","1993-06-18","2026-05-02","Per=Y","Days=T","Dir=V")</f>
        <v>0</v>
      </c>
      <c r="M2">
        <f>BDH("BNKK US Equity","BS_CUR_ASSET_REPORT","1993-06-18","2026-05-02","Per=Y","Days=T","Dir=V")</f>
        <v>0</v>
      </c>
      <c r="O2">
        <f>BDH("BNKK US Equity","BS_CUR_LIAB","1993-06-18","2026-05-02","Per=Y","Days=T","Dir=V")</f>
        <v>0</v>
      </c>
      <c r="Q2">
        <f>BDH("BNKK US Equity","BS_SHAREHOLDER_EQY_ENDING_PERIOD","1993-06-18","2026-05-02","Per=Y","Days=T","Dir=V")</f>
        <v>0</v>
      </c>
      <c r="S2">
        <f>BDH("BNKK US Equity","BS_ACCT_NOTE_RCV","1993-06-18","2026-05-02","Per=Y","Days=T","Dir=V")</f>
        <v>0</v>
      </c>
      <c r="U2">
        <f>BDH("BNKK US Equity","BS_INVENTORIES","1993-06-18","2026-05-02","Per=Y","Days=T","Dir=V")</f>
        <v>0</v>
      </c>
      <c r="W2">
        <f>BDH("BNKK US Equity","WORKING_CAPITAL","1993-06-18","2026-05-02","Per=Y","Days=T","Dir=V")</f>
        <v>0</v>
      </c>
      <c r="Y2">
        <f>BDH("BNKK US Equity","SALES_REV_TURN","1993-06-18","2026-05-02","Per=Y","Days=T","Dir=V")</f>
        <v>0</v>
      </c>
      <c r="AA2">
        <f>BDH("BNKK US Equity","EBIT","1993-06-18","2026-05-02","Per=Y","Days=T","Dir=V")</f>
        <v>0</v>
      </c>
      <c r="AC2">
        <f>BDH("BNKK US Equity","EBITDA","1993-06-18","2026-05-02","Per=Y","Days=T","Dir=V")</f>
        <v>0</v>
      </c>
      <c r="AE2">
        <f>BDH("BNKK US Equity","NET_INCOME","1993-06-18","2026-05-02","Per=Y","Days=T","Dir=V")</f>
        <v>0</v>
      </c>
      <c r="AG2">
        <f>BDH("BNKK US Equity","IS_INT_EXPENSE","1993-06-18","2026-05-02","Per=Y","Days=T","Dir=V")</f>
        <v>0</v>
      </c>
      <c r="AI2">
        <f>BDH("BNKK US Equity","IS_DEPR_EXP","1993-06-18","2026-05-02","Per=Y","Days=T","Dir=V")</f>
        <v>0</v>
      </c>
      <c r="AK2">
        <f>BDH("BNKK US Equity","CF_CASH_FROM_OPER","1993-06-18","2026-05-02","Per=Y","Days=T","Dir=V")</f>
        <v>0</v>
      </c>
      <c r="AM2">
        <f>BDH("BNKK US Equity","CAPITAL_EXPEND","1993-06-18","2026-05-02","Per=Y","Days=T","Dir=V")</f>
        <v>0</v>
      </c>
      <c r="AO2">
        <f>BDH("BNKK US Equity","CF_FREE_CASH_FLOW","1993-06-18","2026-05-02","Per=Y","Days=T","Dir=V")</f>
        <v>0</v>
      </c>
      <c r="AQ2">
        <f>BDH("BNKK US Equity","PX_LAST","1993-06-18","2026-05-02","Per=M","Days=T","Dir=V")</f>
        <v>0</v>
      </c>
      <c r="AS2">
        <f>BDH("BNKK US Equity","CUR_MKT_CAP","1993-06-18","2026-05-02","Per=M","Days=T","Dir=V")</f>
        <v>0</v>
      </c>
      <c r="AU2">
        <f>BDH("BNKK US Equity","EQY_SH_OUT","1993-06-18","2026-05-02","Per=M","Days=T","Dir=V")</f>
        <v>0</v>
      </c>
      <c r="AW2">
        <f>BDH("BNKK US Equity","PX_VOLUME","1993-06-18","2026-05-02","Per=M","Days=T","Dir=V")</f>
        <v>0</v>
      </c>
      <c r="AY2">
        <f>BDH("BNKK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BDH("BNTC US Equity","BS_TOT_ASSET","1993-06-18","2026-05-02","Per=Y","Days=T","Dir=V")</f>
        <v>0</v>
      </c>
      <c r="C2">
        <f>BDH("BNTC US Equity","BS_TOT_LIAB2","1993-06-18","2026-05-02","Per=Y","Days=T","Dir=V")</f>
        <v>0</v>
      </c>
      <c r="E2">
        <f>BDH("BNTC US Equity","SHORT_AND_LONG_TERM_DEBT","1993-06-18","2026-05-02","Per=Y","Days=T","Dir=V")</f>
        <v>0</v>
      </c>
      <c r="G2">
        <f>BDH("BNTC US Equity","BS_ST_BORROW","1993-06-18","2026-05-02","Per=Y","Days=T","Dir=V")</f>
        <v>0</v>
      </c>
      <c r="I2">
        <f>BDH("BNTC US Equity","BS_LT_BORROW","1993-06-18","2026-05-02","Per=Y","Days=T","Dir=V")</f>
        <v>0</v>
      </c>
      <c r="K2">
        <f>BDH("BNTC US Equity","BS_CASH_NEAR_CASH_ITEM","1993-06-18","2026-05-02","Per=Y","Days=T","Dir=V")</f>
        <v>0</v>
      </c>
      <c r="M2">
        <f>BDH("BNTC US Equity","BS_CUR_ASSET_REPORT","1993-06-18","2026-05-02","Per=Y","Days=T","Dir=V")</f>
        <v>0</v>
      </c>
      <c r="O2">
        <f>BDH("BNTC US Equity","BS_CUR_LIAB","1993-06-18","2026-05-02","Per=Y","Days=T","Dir=V")</f>
        <v>0</v>
      </c>
      <c r="Q2">
        <f>BDH("BNTC US Equity","BS_SHAREHOLDER_EQY_ENDING_PERIOD","1993-06-18","2026-05-02","Per=Y","Days=T","Dir=V")</f>
        <v>0</v>
      </c>
      <c r="S2">
        <f>BDH("BNTC US Equity","BS_ACCT_NOTE_RCV","1993-06-18","2026-05-02","Per=Y","Days=T","Dir=V")</f>
        <v>0</v>
      </c>
      <c r="U2">
        <f>BDH("BNTC US Equity","BS_INVENTORIES","1993-06-18","2026-05-02","Per=Y","Days=T","Dir=V")</f>
        <v>0</v>
      </c>
      <c r="W2">
        <f>BDH("BNTC US Equity","WORKING_CAPITAL","1993-06-18","2026-05-02","Per=Y","Days=T","Dir=V")</f>
        <v>0</v>
      </c>
      <c r="Y2">
        <f>BDH("BNTC US Equity","SALES_REV_TURN","1993-06-18","2026-05-02","Per=Y","Days=T","Dir=V")</f>
        <v>0</v>
      </c>
      <c r="AA2">
        <f>BDH("BNTC US Equity","EBIT","1993-06-18","2026-05-02","Per=Y","Days=T","Dir=V")</f>
        <v>0</v>
      </c>
      <c r="AC2">
        <f>BDH("BNTC US Equity","EBITDA","1993-06-18","2026-05-02","Per=Y","Days=T","Dir=V")</f>
        <v>0</v>
      </c>
      <c r="AE2">
        <f>BDH("BNTC US Equity","NET_INCOME","1993-06-18","2026-05-02","Per=Y","Days=T","Dir=V")</f>
        <v>0</v>
      </c>
      <c r="AG2">
        <f>BDH("BNTC US Equity","IS_INT_EXPENSE","1993-06-18","2026-05-02","Per=Y","Days=T","Dir=V")</f>
        <v>0</v>
      </c>
      <c r="AI2">
        <f>BDH("BNTC US Equity","IS_DEPR_EXP","1993-06-18","2026-05-02","Per=Y","Days=T","Dir=V")</f>
        <v>0</v>
      </c>
      <c r="AK2">
        <f>BDH("BNTC US Equity","CF_CASH_FROM_OPER","1993-06-18","2026-05-02","Per=Y","Days=T","Dir=V")</f>
        <v>0</v>
      </c>
      <c r="AM2">
        <f>BDH("BNTC US Equity","CAPITAL_EXPEND","1993-06-18","2026-05-02","Per=Y","Days=T","Dir=V")</f>
        <v>0</v>
      </c>
      <c r="AO2">
        <f>BDH("BNTC US Equity","CF_FREE_CASH_FLOW","1993-06-18","2026-05-02","Per=Y","Days=T","Dir=V")</f>
        <v>0</v>
      </c>
      <c r="AQ2">
        <f>BDH("BNTC US Equity","PX_LAST","1993-06-18","2026-05-02","Per=M","Days=T","Dir=V")</f>
        <v>0</v>
      </c>
      <c r="AS2">
        <f>BDH("BNTC US Equity","CUR_MKT_CAP","1993-06-18","2026-05-02","Per=M","Days=T","Dir=V")</f>
        <v>0</v>
      </c>
      <c r="AU2">
        <f>BDH("BNTC US Equity","EQY_SH_OUT","1993-06-18","2026-05-02","Per=M","Days=T","Dir=V")</f>
        <v>0</v>
      </c>
      <c r="AW2">
        <f>BDH("BNTC US Equity","PX_VOLUME","1993-06-18","2026-05-02","Per=M","Days=T","Dir=V")</f>
        <v>0</v>
      </c>
      <c r="AY2">
        <f>BDH("BNTC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BDH("BODI US Equity","BS_TOT_ASSET","1993-06-18","2026-05-02","Per=Y","Days=T","Dir=V")</f>
        <v>0</v>
      </c>
      <c r="C2">
        <f>BDH("BODI US Equity","BS_TOT_LIAB2","1993-06-18","2026-05-02","Per=Y","Days=T","Dir=V")</f>
        <v>0</v>
      </c>
      <c r="E2">
        <f>BDH("BODI US Equity","SHORT_AND_LONG_TERM_DEBT","1993-06-18","2026-05-02","Per=Y","Days=T","Dir=V")</f>
        <v>0</v>
      </c>
      <c r="G2">
        <f>BDH("BODI US Equity","BS_ST_BORROW","1993-06-18","2026-05-02","Per=Y","Days=T","Dir=V")</f>
        <v>0</v>
      </c>
      <c r="I2">
        <f>BDH("BODI US Equity","BS_LT_BORROW","1993-06-18","2026-05-02","Per=Y","Days=T","Dir=V")</f>
        <v>0</v>
      </c>
      <c r="K2">
        <f>BDH("BODI US Equity","BS_CASH_NEAR_CASH_ITEM","1993-06-18","2026-05-02","Per=Y","Days=T","Dir=V")</f>
        <v>0</v>
      </c>
      <c r="M2">
        <f>BDH("BODI US Equity","BS_CUR_ASSET_REPORT","1993-06-18","2026-05-02","Per=Y","Days=T","Dir=V")</f>
        <v>0</v>
      </c>
      <c r="O2">
        <f>BDH("BODI US Equity","BS_CUR_LIAB","1993-06-18","2026-05-02","Per=Y","Days=T","Dir=V")</f>
        <v>0</v>
      </c>
      <c r="Q2">
        <f>BDH("BODI US Equity","BS_SHAREHOLDER_EQY_ENDING_PERIOD","1993-06-18","2026-05-02","Per=Y","Days=T","Dir=V")</f>
        <v>0</v>
      </c>
      <c r="S2">
        <f>BDH("BODI US Equity","BS_ACCT_NOTE_RCV","1993-06-18","2026-05-02","Per=Y","Days=T","Dir=V")</f>
        <v>0</v>
      </c>
      <c r="U2">
        <f>BDH("BODI US Equity","BS_INVENTORIES","1993-06-18","2026-05-02","Per=Y","Days=T","Dir=V")</f>
        <v>0</v>
      </c>
      <c r="W2">
        <f>BDH("BODI US Equity","WORKING_CAPITAL","1993-06-18","2026-05-02","Per=Y","Days=T","Dir=V")</f>
        <v>0</v>
      </c>
      <c r="Y2">
        <f>BDH("BODI US Equity","SALES_REV_TURN","1993-06-18","2026-05-02","Per=Y","Days=T","Dir=V")</f>
        <v>0</v>
      </c>
      <c r="AA2">
        <f>BDH("BODI US Equity","EBIT","1993-06-18","2026-05-02","Per=Y","Days=T","Dir=V")</f>
        <v>0</v>
      </c>
      <c r="AC2">
        <f>BDH("BODI US Equity","EBITDA","1993-06-18","2026-05-02","Per=Y","Days=T","Dir=V")</f>
        <v>0</v>
      </c>
      <c r="AE2">
        <f>BDH("BODI US Equity","NET_INCOME","1993-06-18","2026-05-02","Per=Y","Days=T","Dir=V")</f>
        <v>0</v>
      </c>
      <c r="AG2">
        <f>BDH("BODI US Equity","IS_INT_EXPENSE","1993-06-18","2026-05-02","Per=Y","Days=T","Dir=V")</f>
        <v>0</v>
      </c>
      <c r="AI2">
        <f>BDH("BODI US Equity","IS_DEPR_EXP","1993-06-18","2026-05-02","Per=Y","Days=T","Dir=V")</f>
        <v>0</v>
      </c>
      <c r="AK2">
        <f>BDH("BODI US Equity","CF_CASH_FROM_OPER","1993-06-18","2026-05-02","Per=Y","Days=T","Dir=V")</f>
        <v>0</v>
      </c>
      <c r="AM2">
        <f>BDH("BODI US Equity","CAPITAL_EXPEND","1993-06-18","2026-05-02","Per=Y","Days=T","Dir=V")</f>
        <v>0</v>
      </c>
      <c r="AO2">
        <f>BDH("BODI US Equity","CF_FREE_CASH_FLOW","1993-06-18","2026-05-02","Per=Y","Days=T","Dir=V")</f>
        <v>0</v>
      </c>
      <c r="AQ2">
        <f>BDH("BODI US Equity","PX_LAST","1993-06-18","2026-05-02","Per=M","Days=T","Dir=V")</f>
        <v>0</v>
      </c>
      <c r="AS2">
        <f>BDH("BODI US Equity","CUR_MKT_CAP","1993-06-18","2026-05-02","Per=M","Days=T","Dir=V")</f>
        <v>0</v>
      </c>
      <c r="AU2">
        <f>BDH("BODI US Equity","EQY_SH_OUT","1993-06-18","2026-05-02","Per=M","Days=T","Dir=V")</f>
        <v>0</v>
      </c>
      <c r="AW2">
        <f>BDH("BODI US Equity","PX_VOLUME","1993-06-18","2026-05-02","Per=M","Days=T","Dir=V")</f>
        <v>0</v>
      </c>
      <c r="AY2">
        <f>BDH("BODI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BDH("BOF US Equity","BS_TOT_ASSET","1993-06-18","2026-05-02","Per=Y","Days=T","Dir=V")</f>
        <v>0</v>
      </c>
      <c r="C2">
        <f>BDH("BOF US Equity","BS_TOT_LIAB2","1993-06-18","2026-05-02","Per=Y","Days=T","Dir=V")</f>
        <v>0</v>
      </c>
      <c r="E2">
        <f>BDH("BOF US Equity","SHORT_AND_LONG_TERM_DEBT","1993-06-18","2026-05-02","Per=Y","Days=T","Dir=V")</f>
        <v>0</v>
      </c>
      <c r="G2">
        <f>BDH("BOF US Equity","BS_ST_BORROW","1993-06-18","2026-05-02","Per=Y","Days=T","Dir=V")</f>
        <v>0</v>
      </c>
      <c r="I2">
        <f>BDH("BOF US Equity","BS_LT_BORROW","1993-06-18","2026-05-02","Per=Y","Days=T","Dir=V")</f>
        <v>0</v>
      </c>
      <c r="K2">
        <f>BDH("BOF US Equity","BS_CASH_NEAR_CASH_ITEM","1993-06-18","2026-05-02","Per=Y","Days=T","Dir=V")</f>
        <v>0</v>
      </c>
      <c r="M2">
        <f>BDH("BOF US Equity","BS_CUR_ASSET_REPORT","1993-06-18","2026-05-02","Per=Y","Days=T","Dir=V")</f>
        <v>0</v>
      </c>
      <c r="O2">
        <f>BDH("BOF US Equity","BS_CUR_LIAB","1993-06-18","2026-05-02","Per=Y","Days=T","Dir=V")</f>
        <v>0</v>
      </c>
      <c r="Q2">
        <f>BDH("BOF US Equity","BS_SHAREHOLDER_EQY_ENDING_PERIOD","1993-06-18","2026-05-02","Per=Y","Days=T","Dir=V")</f>
        <v>0</v>
      </c>
      <c r="S2">
        <f>BDH("BOF US Equity","BS_ACCT_NOTE_RCV","1993-06-18","2026-05-02","Per=Y","Days=T","Dir=V")</f>
        <v>0</v>
      </c>
      <c r="U2">
        <f>BDH("BOF US Equity","BS_INVENTORIES","1993-06-18","2026-05-02","Per=Y","Days=T","Dir=V")</f>
        <v>0</v>
      </c>
      <c r="W2">
        <f>BDH("BOF US Equity","WORKING_CAPITAL","1993-06-18","2026-05-02","Per=Y","Days=T","Dir=V")</f>
        <v>0</v>
      </c>
      <c r="Y2">
        <f>BDH("BOF US Equity","SALES_REV_TURN","1993-06-18","2026-05-02","Per=Y","Days=T","Dir=V")</f>
        <v>0</v>
      </c>
      <c r="AA2">
        <f>BDH("BOF US Equity","EBIT","1993-06-18","2026-05-02","Per=Y","Days=T","Dir=V")</f>
        <v>0</v>
      </c>
      <c r="AC2">
        <f>BDH("BOF US Equity","EBITDA","1993-06-18","2026-05-02","Per=Y","Days=T","Dir=V")</f>
        <v>0</v>
      </c>
      <c r="AE2">
        <f>BDH("BOF US Equity","NET_INCOME","1993-06-18","2026-05-02","Per=Y","Days=T","Dir=V")</f>
        <v>0</v>
      </c>
      <c r="AG2">
        <f>BDH("BOF US Equity","IS_INT_EXPENSE","1993-06-18","2026-05-02","Per=Y","Days=T","Dir=V")</f>
        <v>0</v>
      </c>
      <c r="AI2">
        <f>BDH("BOF US Equity","IS_DEPR_EXP","1993-06-18","2026-05-02","Per=Y","Days=T","Dir=V")</f>
        <v>0</v>
      </c>
      <c r="AK2">
        <f>BDH("BOF US Equity","CF_CASH_FROM_OPER","1993-06-18","2026-05-02","Per=Y","Days=T","Dir=V")</f>
        <v>0</v>
      </c>
      <c r="AM2">
        <f>BDH("BOF US Equity","CAPITAL_EXPEND","1993-06-18","2026-05-02","Per=Y","Days=T","Dir=V")</f>
        <v>0</v>
      </c>
      <c r="AO2">
        <f>BDH("BOF US Equity","CF_FREE_CASH_FLOW","1993-06-18","2026-05-02","Per=Y","Days=T","Dir=V")</f>
        <v>0</v>
      </c>
      <c r="AQ2">
        <f>BDH("BOF US Equity","PX_LAST","1993-06-18","2026-05-02","Per=M","Days=T","Dir=V")</f>
        <v>0</v>
      </c>
      <c r="AS2">
        <f>BDH("BOF US Equity","CUR_MKT_CAP","1993-06-18","2026-05-02","Per=M","Days=T","Dir=V")</f>
        <v>0</v>
      </c>
      <c r="AU2">
        <f>BDH("BOF US Equity","EQY_SH_OUT","1993-06-18","2026-05-02","Per=M","Days=T","Dir=V")</f>
        <v>0</v>
      </c>
      <c r="AW2">
        <f>BDH("BOF US Equity","PX_VOLUME","1993-06-18","2026-05-02","Per=M","Days=T","Dir=V")</f>
        <v>0</v>
      </c>
      <c r="AY2">
        <f>BDH("BOF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BDH("BOLD US Equity","BS_TOT_ASSET","1993-06-18","2026-05-02","Per=Y","Days=T","Dir=V")</f>
        <v>0</v>
      </c>
      <c r="C2">
        <f>BDH("BOLD US Equity","BS_TOT_LIAB2","1993-06-18","2026-05-02","Per=Y","Days=T","Dir=V")</f>
        <v>0</v>
      </c>
      <c r="E2">
        <f>BDH("BOLD US Equity","SHORT_AND_LONG_TERM_DEBT","1993-06-18","2026-05-02","Per=Y","Days=T","Dir=V")</f>
        <v>0</v>
      </c>
      <c r="G2">
        <f>BDH("BOLD US Equity","BS_ST_BORROW","1993-06-18","2026-05-02","Per=Y","Days=T","Dir=V")</f>
        <v>0</v>
      </c>
      <c r="I2">
        <f>BDH("BOLD US Equity","BS_LT_BORROW","1993-06-18","2026-05-02","Per=Y","Days=T","Dir=V")</f>
        <v>0</v>
      </c>
      <c r="K2">
        <f>BDH("BOLD US Equity","BS_CASH_NEAR_CASH_ITEM","1993-06-18","2026-05-02","Per=Y","Days=T","Dir=V")</f>
        <v>0</v>
      </c>
      <c r="M2">
        <f>BDH("BOLD US Equity","BS_CUR_ASSET_REPORT","1993-06-18","2026-05-02","Per=Y","Days=T","Dir=V")</f>
        <v>0</v>
      </c>
      <c r="O2">
        <f>BDH("BOLD US Equity","BS_CUR_LIAB","1993-06-18","2026-05-02","Per=Y","Days=T","Dir=V")</f>
        <v>0</v>
      </c>
      <c r="Q2">
        <f>BDH("BOLD US Equity","BS_SHAREHOLDER_EQY_ENDING_PERIOD","1993-06-18","2026-05-02","Per=Y","Days=T","Dir=V")</f>
        <v>0</v>
      </c>
      <c r="S2">
        <f>BDH("BOLD US Equity","BS_ACCT_NOTE_RCV","1993-06-18","2026-05-02","Per=Y","Days=T","Dir=V")</f>
        <v>0</v>
      </c>
      <c r="U2">
        <f>BDH("BOLD US Equity","BS_INVENTORIES","1993-06-18","2026-05-02","Per=Y","Days=T","Dir=V")</f>
        <v>0</v>
      </c>
      <c r="W2">
        <f>BDH("BOLD US Equity","WORKING_CAPITAL","1993-06-18","2026-05-02","Per=Y","Days=T","Dir=V")</f>
        <v>0</v>
      </c>
      <c r="Y2">
        <f>BDH("BOLD US Equity","SALES_REV_TURN","1993-06-18","2026-05-02","Per=Y","Days=T","Dir=V")</f>
        <v>0</v>
      </c>
      <c r="AA2">
        <f>BDH("BOLD US Equity","EBIT","1993-06-18","2026-05-02","Per=Y","Days=T","Dir=V")</f>
        <v>0</v>
      </c>
      <c r="AC2">
        <f>BDH("BOLD US Equity","EBITDA","1993-06-18","2026-05-02","Per=Y","Days=T","Dir=V")</f>
        <v>0</v>
      </c>
      <c r="AE2">
        <f>BDH("BOLD US Equity","NET_INCOME","1993-06-18","2026-05-02","Per=Y","Days=T","Dir=V")</f>
        <v>0</v>
      </c>
      <c r="AG2">
        <f>BDH("BOLD US Equity","IS_INT_EXPENSE","1993-06-18","2026-05-02","Per=Y","Days=T","Dir=V")</f>
        <v>0</v>
      </c>
      <c r="AI2">
        <f>BDH("BOLD US Equity","IS_DEPR_EXP","1993-06-18","2026-05-02","Per=Y","Days=T","Dir=V")</f>
        <v>0</v>
      </c>
      <c r="AK2">
        <f>BDH("BOLD US Equity","CF_CASH_FROM_OPER","1993-06-18","2026-05-02","Per=Y","Days=T","Dir=V")</f>
        <v>0</v>
      </c>
      <c r="AM2">
        <f>BDH("BOLD US Equity","CAPITAL_EXPEND","1993-06-18","2026-05-02","Per=Y","Days=T","Dir=V")</f>
        <v>0</v>
      </c>
      <c r="AO2">
        <f>BDH("BOLD US Equity","CF_FREE_CASH_FLOW","1993-06-18","2026-05-02","Per=Y","Days=T","Dir=V")</f>
        <v>0</v>
      </c>
      <c r="AQ2">
        <f>BDH("BOLD US Equity","PX_LAST","1993-06-18","2026-05-02","Per=M","Days=T","Dir=V")</f>
        <v>0</v>
      </c>
      <c r="AS2">
        <f>BDH("BOLD US Equity","CUR_MKT_CAP","1993-06-18","2026-05-02","Per=M","Days=T","Dir=V")</f>
        <v>0</v>
      </c>
      <c r="AU2">
        <f>BDH("BOLD US Equity","EQY_SH_OUT","1993-06-18","2026-05-02","Per=M","Days=T","Dir=V")</f>
        <v>0</v>
      </c>
      <c r="AW2">
        <f>BDH("BOLD US Equity","PX_VOLUME","1993-06-18","2026-05-02","Per=M","Days=T","Dir=V")</f>
        <v>0</v>
      </c>
      <c r="AY2">
        <f>BDH("BOLD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BDH("BOLT US Equity","BS_TOT_ASSET","1993-06-18","2026-05-02","Per=Y","Days=T","Dir=V")</f>
        <v>0</v>
      </c>
      <c r="C2">
        <f>BDH("BOLT US Equity","BS_TOT_LIAB2","1993-06-18","2026-05-02","Per=Y","Days=T","Dir=V")</f>
        <v>0</v>
      </c>
      <c r="E2">
        <f>BDH("BOLT US Equity","SHORT_AND_LONG_TERM_DEBT","1993-06-18","2026-05-02","Per=Y","Days=T","Dir=V")</f>
        <v>0</v>
      </c>
      <c r="G2">
        <f>BDH("BOLT US Equity","BS_ST_BORROW","1993-06-18","2026-05-02","Per=Y","Days=T","Dir=V")</f>
        <v>0</v>
      </c>
      <c r="I2">
        <f>BDH("BOLT US Equity","BS_LT_BORROW","1993-06-18","2026-05-02","Per=Y","Days=T","Dir=V")</f>
        <v>0</v>
      </c>
      <c r="K2">
        <f>BDH("BOLT US Equity","BS_CASH_NEAR_CASH_ITEM","1993-06-18","2026-05-02","Per=Y","Days=T","Dir=V")</f>
        <v>0</v>
      </c>
      <c r="M2">
        <f>BDH("BOLT US Equity","BS_CUR_ASSET_REPORT","1993-06-18","2026-05-02","Per=Y","Days=T","Dir=V")</f>
        <v>0</v>
      </c>
      <c r="O2">
        <f>BDH("BOLT US Equity","BS_CUR_LIAB","1993-06-18","2026-05-02","Per=Y","Days=T","Dir=V")</f>
        <v>0</v>
      </c>
      <c r="Q2">
        <f>BDH("BOLT US Equity","BS_SHAREHOLDER_EQY_ENDING_PERIOD","1993-06-18","2026-05-02","Per=Y","Days=T","Dir=V")</f>
        <v>0</v>
      </c>
      <c r="S2">
        <f>BDH("BOLT US Equity","BS_ACCT_NOTE_RCV","1993-06-18","2026-05-02","Per=Y","Days=T","Dir=V")</f>
        <v>0</v>
      </c>
      <c r="U2">
        <f>BDH("BOLT US Equity","BS_INVENTORIES","1993-06-18","2026-05-02","Per=Y","Days=T","Dir=V")</f>
        <v>0</v>
      </c>
      <c r="W2">
        <f>BDH("BOLT US Equity","WORKING_CAPITAL","1993-06-18","2026-05-02","Per=Y","Days=T","Dir=V")</f>
        <v>0</v>
      </c>
      <c r="Y2">
        <f>BDH("BOLT US Equity","SALES_REV_TURN","1993-06-18","2026-05-02","Per=Y","Days=T","Dir=V")</f>
        <v>0</v>
      </c>
      <c r="AA2">
        <f>BDH("BOLT US Equity","EBIT","1993-06-18","2026-05-02","Per=Y","Days=T","Dir=V")</f>
        <v>0</v>
      </c>
      <c r="AC2">
        <f>BDH("BOLT US Equity","EBITDA","1993-06-18","2026-05-02","Per=Y","Days=T","Dir=V")</f>
        <v>0</v>
      </c>
      <c r="AE2">
        <f>BDH("BOLT US Equity","NET_INCOME","1993-06-18","2026-05-02","Per=Y","Days=T","Dir=V")</f>
        <v>0</v>
      </c>
      <c r="AG2">
        <f>BDH("BOLT US Equity","IS_INT_EXPENSE","1993-06-18","2026-05-02","Per=Y","Days=T","Dir=V")</f>
        <v>0</v>
      </c>
      <c r="AI2">
        <f>BDH("BOLT US Equity","IS_DEPR_EXP","1993-06-18","2026-05-02","Per=Y","Days=T","Dir=V")</f>
        <v>0</v>
      </c>
      <c r="AK2">
        <f>BDH("BOLT US Equity","CF_CASH_FROM_OPER","1993-06-18","2026-05-02","Per=Y","Days=T","Dir=V")</f>
        <v>0</v>
      </c>
      <c r="AM2">
        <f>BDH("BOLT US Equity","CAPITAL_EXPEND","1993-06-18","2026-05-02","Per=Y","Days=T","Dir=V")</f>
        <v>0</v>
      </c>
      <c r="AO2">
        <f>BDH("BOLT US Equity","CF_FREE_CASH_FLOW","1993-06-18","2026-05-02","Per=Y","Days=T","Dir=V")</f>
        <v>0</v>
      </c>
      <c r="AQ2">
        <f>BDH("BOLT US Equity","PX_LAST","1993-06-18","2026-05-02","Per=M","Days=T","Dir=V")</f>
        <v>0</v>
      </c>
      <c r="AS2">
        <f>BDH("BOLT US Equity","CUR_MKT_CAP","1993-06-18","2026-05-02","Per=M","Days=T","Dir=V")</f>
        <v>0</v>
      </c>
      <c r="AU2">
        <f>BDH("BOLT US Equity","EQY_SH_OUT","1993-06-18","2026-05-02","Per=M","Days=T","Dir=V")</f>
        <v>0</v>
      </c>
      <c r="AW2">
        <f>BDH("BOLT US Equity","PX_VOLUME","1993-06-18","2026-05-02","Per=M","Days=T","Dir=V")</f>
        <v>0</v>
      </c>
      <c r="AY2">
        <f>BDH("BOLT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BDH("BOOM US Equity","BS_TOT_ASSET","1993-06-18","2026-05-02","Per=Y","Days=T","Dir=V")</f>
        <v>0</v>
      </c>
      <c r="C2">
        <f>BDH("BOOM US Equity","BS_TOT_LIAB2","1993-06-18","2026-05-02","Per=Y","Days=T","Dir=V")</f>
        <v>0</v>
      </c>
      <c r="E2">
        <f>BDH("BOOM US Equity","SHORT_AND_LONG_TERM_DEBT","1993-06-18","2026-05-02","Per=Y","Days=T","Dir=V")</f>
        <v>0</v>
      </c>
      <c r="G2">
        <f>BDH("BOOM US Equity","BS_ST_BORROW","1993-06-18","2026-05-02","Per=Y","Days=T","Dir=V")</f>
        <v>0</v>
      </c>
      <c r="I2">
        <f>BDH("BOOM US Equity","BS_LT_BORROW","1993-06-18","2026-05-02","Per=Y","Days=T","Dir=V")</f>
        <v>0</v>
      </c>
      <c r="K2">
        <f>BDH("BOOM US Equity","BS_CASH_NEAR_CASH_ITEM","1993-06-18","2026-05-02","Per=Y","Days=T","Dir=V")</f>
        <v>0</v>
      </c>
      <c r="M2">
        <f>BDH("BOOM US Equity","BS_CUR_ASSET_REPORT","1993-06-18","2026-05-02","Per=Y","Days=T","Dir=V")</f>
        <v>0</v>
      </c>
      <c r="O2">
        <f>BDH("BOOM US Equity","BS_CUR_LIAB","1993-06-18","2026-05-02","Per=Y","Days=T","Dir=V")</f>
        <v>0</v>
      </c>
      <c r="Q2">
        <f>BDH("BOOM US Equity","BS_SHAREHOLDER_EQY_ENDING_PERIOD","1993-06-18","2026-05-02","Per=Y","Days=T","Dir=V")</f>
        <v>0</v>
      </c>
      <c r="S2">
        <f>BDH("BOOM US Equity","BS_ACCT_NOTE_RCV","1993-06-18","2026-05-02","Per=Y","Days=T","Dir=V")</f>
        <v>0</v>
      </c>
      <c r="U2">
        <f>BDH("BOOM US Equity","BS_INVENTORIES","1993-06-18","2026-05-02","Per=Y","Days=T","Dir=V")</f>
        <v>0</v>
      </c>
      <c r="W2">
        <f>BDH("BOOM US Equity","WORKING_CAPITAL","1993-06-18","2026-05-02","Per=Y","Days=T","Dir=V")</f>
        <v>0</v>
      </c>
      <c r="Y2">
        <f>BDH("BOOM US Equity","SALES_REV_TURN","1993-06-18","2026-05-02","Per=Y","Days=T","Dir=V")</f>
        <v>0</v>
      </c>
      <c r="AA2">
        <f>BDH("BOOM US Equity","EBIT","1993-06-18","2026-05-02","Per=Y","Days=T","Dir=V")</f>
        <v>0</v>
      </c>
      <c r="AC2">
        <f>BDH("BOOM US Equity","EBITDA","1993-06-18","2026-05-02","Per=Y","Days=T","Dir=V")</f>
        <v>0</v>
      </c>
      <c r="AE2">
        <f>BDH("BOOM US Equity","NET_INCOME","1993-06-18","2026-05-02","Per=Y","Days=T","Dir=V")</f>
        <v>0</v>
      </c>
      <c r="AG2">
        <f>BDH("BOOM US Equity","IS_INT_EXPENSE","1993-06-18","2026-05-02","Per=Y","Days=T","Dir=V")</f>
        <v>0</v>
      </c>
      <c r="AI2">
        <f>BDH("BOOM US Equity","IS_DEPR_EXP","1993-06-18","2026-05-02","Per=Y","Days=T","Dir=V")</f>
        <v>0</v>
      </c>
      <c r="AK2">
        <f>BDH("BOOM US Equity","CF_CASH_FROM_OPER","1993-06-18","2026-05-02","Per=Y","Days=T","Dir=V")</f>
        <v>0</v>
      </c>
      <c r="AM2">
        <f>BDH("BOOM US Equity","CAPITAL_EXPEND","1993-06-18","2026-05-02","Per=Y","Days=T","Dir=V")</f>
        <v>0</v>
      </c>
      <c r="AO2">
        <f>BDH("BOOM US Equity","CF_FREE_CASH_FLOW","1993-06-18","2026-05-02","Per=Y","Days=T","Dir=V")</f>
        <v>0</v>
      </c>
      <c r="AQ2">
        <f>BDH("BOOM US Equity","PX_LAST","1993-06-18","2026-05-02","Per=M","Days=T","Dir=V")</f>
        <v>0</v>
      </c>
      <c r="AS2">
        <f>BDH("BOOM US Equity","CUR_MKT_CAP","1993-06-18","2026-05-02","Per=M","Days=T","Dir=V")</f>
        <v>0</v>
      </c>
      <c r="AU2">
        <f>BDH("BOOM US Equity","EQY_SH_OUT","1993-06-18","2026-05-02","Per=M","Days=T","Dir=V")</f>
        <v>0</v>
      </c>
      <c r="AW2">
        <f>BDH("BOOM US Equity","PX_VOLUME","1993-06-18","2026-05-02","Per=M","Days=T","Dir=V")</f>
        <v>0</v>
      </c>
      <c r="AY2">
        <f>BDH("BOOM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BDH("BOOT US Equity","BS_TOT_ASSET","1993-06-18","2026-05-02","Per=Y","Days=T","Dir=V")</f>
        <v>0</v>
      </c>
      <c r="C2">
        <f>BDH("BOOT US Equity","BS_TOT_LIAB2","1993-06-18","2026-05-02","Per=Y","Days=T","Dir=V")</f>
        <v>0</v>
      </c>
      <c r="E2">
        <f>BDH("BOOT US Equity","SHORT_AND_LONG_TERM_DEBT","1993-06-18","2026-05-02","Per=Y","Days=T","Dir=V")</f>
        <v>0</v>
      </c>
      <c r="G2">
        <f>BDH("BOOT US Equity","BS_ST_BORROW","1993-06-18","2026-05-02","Per=Y","Days=T","Dir=V")</f>
        <v>0</v>
      </c>
      <c r="I2">
        <f>BDH("BOOT US Equity","BS_LT_BORROW","1993-06-18","2026-05-02","Per=Y","Days=T","Dir=V")</f>
        <v>0</v>
      </c>
      <c r="K2">
        <f>BDH("BOOT US Equity","BS_CASH_NEAR_CASH_ITEM","1993-06-18","2026-05-02","Per=Y","Days=T","Dir=V")</f>
        <v>0</v>
      </c>
      <c r="M2">
        <f>BDH("BOOT US Equity","BS_CUR_ASSET_REPORT","1993-06-18","2026-05-02","Per=Y","Days=T","Dir=V")</f>
        <v>0</v>
      </c>
      <c r="O2">
        <f>BDH("BOOT US Equity","BS_CUR_LIAB","1993-06-18","2026-05-02","Per=Y","Days=T","Dir=V")</f>
        <v>0</v>
      </c>
      <c r="Q2">
        <f>BDH("BOOT US Equity","BS_SHAREHOLDER_EQY_ENDING_PERIOD","1993-06-18","2026-05-02","Per=Y","Days=T","Dir=V")</f>
        <v>0</v>
      </c>
      <c r="S2">
        <f>BDH("BOOT US Equity","BS_ACCT_NOTE_RCV","1993-06-18","2026-05-02","Per=Y","Days=T","Dir=V")</f>
        <v>0</v>
      </c>
      <c r="U2">
        <f>BDH("BOOT US Equity","BS_INVENTORIES","1993-06-18","2026-05-02","Per=Y","Days=T","Dir=V")</f>
        <v>0</v>
      </c>
      <c r="W2">
        <f>BDH("BOOT US Equity","WORKING_CAPITAL","1993-06-18","2026-05-02","Per=Y","Days=T","Dir=V")</f>
        <v>0</v>
      </c>
      <c r="Y2">
        <f>BDH("BOOT US Equity","SALES_REV_TURN","1993-06-18","2026-05-02","Per=Y","Days=T","Dir=V")</f>
        <v>0</v>
      </c>
      <c r="AA2">
        <f>BDH("BOOT US Equity","EBIT","1993-06-18","2026-05-02","Per=Y","Days=T","Dir=V")</f>
        <v>0</v>
      </c>
      <c r="AC2">
        <f>BDH("BOOT US Equity","EBITDA","1993-06-18","2026-05-02","Per=Y","Days=T","Dir=V")</f>
        <v>0</v>
      </c>
      <c r="AE2">
        <f>BDH("BOOT US Equity","NET_INCOME","1993-06-18","2026-05-02","Per=Y","Days=T","Dir=V")</f>
        <v>0</v>
      </c>
      <c r="AG2">
        <f>BDH("BOOT US Equity","IS_INT_EXPENSE","1993-06-18","2026-05-02","Per=Y","Days=T","Dir=V")</f>
        <v>0</v>
      </c>
      <c r="AI2">
        <f>BDH("BOOT US Equity","IS_DEPR_EXP","1993-06-18","2026-05-02","Per=Y","Days=T","Dir=V")</f>
        <v>0</v>
      </c>
      <c r="AK2">
        <f>BDH("BOOT US Equity","CF_CASH_FROM_OPER","1993-06-18","2026-05-02","Per=Y","Days=T","Dir=V")</f>
        <v>0</v>
      </c>
      <c r="AM2">
        <f>BDH("BOOT US Equity","CAPITAL_EXPEND","1993-06-18","2026-05-02","Per=Y","Days=T","Dir=V")</f>
        <v>0</v>
      </c>
      <c r="AO2">
        <f>BDH("BOOT US Equity","CF_FREE_CASH_FLOW","1993-06-18","2026-05-02","Per=Y","Days=T","Dir=V")</f>
        <v>0</v>
      </c>
      <c r="AQ2">
        <f>BDH("BOOT US Equity","PX_LAST","1993-06-18","2026-05-02","Per=M","Days=T","Dir=V")</f>
        <v>0</v>
      </c>
      <c r="AS2">
        <f>BDH("BOOT US Equity","CUR_MKT_CAP","1993-06-18","2026-05-02","Per=M","Days=T","Dir=V")</f>
        <v>0</v>
      </c>
      <c r="AU2">
        <f>BDH("BOOT US Equity","EQY_SH_OUT","1993-06-18","2026-05-02","Per=M","Days=T","Dir=V")</f>
        <v>0</v>
      </c>
      <c r="AW2">
        <f>BDH("BOOT US Equity","PX_VOLUME","1993-06-18","2026-05-02","Per=M","Days=T","Dir=V")</f>
        <v>0</v>
      </c>
      <c r="AY2">
        <f>BDH("BOOT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BDH("BOX US Equity","BS_TOT_ASSET","1993-06-18","2026-05-02","Per=Y","Days=T","Dir=V")</f>
        <v>0</v>
      </c>
      <c r="C2">
        <f>BDH("BOX US Equity","BS_TOT_LIAB2","1993-06-18","2026-05-02","Per=Y","Days=T","Dir=V")</f>
        <v>0</v>
      </c>
      <c r="E2">
        <f>BDH("BOX US Equity","SHORT_AND_LONG_TERM_DEBT","1993-06-18","2026-05-02","Per=Y","Days=T","Dir=V")</f>
        <v>0</v>
      </c>
      <c r="G2">
        <f>BDH("BOX US Equity","BS_ST_BORROW","1993-06-18","2026-05-02","Per=Y","Days=T","Dir=V")</f>
        <v>0</v>
      </c>
      <c r="I2">
        <f>BDH("BOX US Equity","BS_LT_BORROW","1993-06-18","2026-05-02","Per=Y","Days=T","Dir=V")</f>
        <v>0</v>
      </c>
      <c r="K2">
        <f>BDH("BOX US Equity","BS_CASH_NEAR_CASH_ITEM","1993-06-18","2026-05-02","Per=Y","Days=T","Dir=V")</f>
        <v>0</v>
      </c>
      <c r="M2">
        <f>BDH("BOX US Equity","BS_CUR_ASSET_REPORT","1993-06-18","2026-05-02","Per=Y","Days=T","Dir=V")</f>
        <v>0</v>
      </c>
      <c r="O2">
        <f>BDH("BOX US Equity","BS_CUR_LIAB","1993-06-18","2026-05-02","Per=Y","Days=T","Dir=V")</f>
        <v>0</v>
      </c>
      <c r="Q2">
        <f>BDH("BOX US Equity","BS_SHAREHOLDER_EQY_ENDING_PERIOD","1993-06-18","2026-05-02","Per=Y","Days=T","Dir=V")</f>
        <v>0</v>
      </c>
      <c r="S2">
        <f>BDH("BOX US Equity","BS_ACCT_NOTE_RCV","1993-06-18","2026-05-02","Per=Y","Days=T","Dir=V")</f>
        <v>0</v>
      </c>
      <c r="U2">
        <f>BDH("BOX US Equity","BS_INVENTORIES","1993-06-18","2026-05-02","Per=Y","Days=T","Dir=V")</f>
        <v>0</v>
      </c>
      <c r="W2">
        <f>BDH("BOX US Equity","WORKING_CAPITAL","1993-06-18","2026-05-02","Per=Y","Days=T","Dir=V")</f>
        <v>0</v>
      </c>
      <c r="Y2">
        <f>BDH("BOX US Equity","SALES_REV_TURN","1993-06-18","2026-05-02","Per=Y","Days=T","Dir=V")</f>
        <v>0</v>
      </c>
      <c r="AA2">
        <f>BDH("BOX US Equity","EBIT","1993-06-18","2026-05-02","Per=Y","Days=T","Dir=V")</f>
        <v>0</v>
      </c>
      <c r="AC2">
        <f>BDH("BOX US Equity","EBITDA","1993-06-18","2026-05-02","Per=Y","Days=T","Dir=V")</f>
        <v>0</v>
      </c>
      <c r="AE2">
        <f>BDH("BOX US Equity","NET_INCOME","1993-06-18","2026-05-02","Per=Y","Days=T","Dir=V")</f>
        <v>0</v>
      </c>
      <c r="AG2">
        <f>BDH("BOX US Equity","IS_INT_EXPENSE","1993-06-18","2026-05-02","Per=Y","Days=T","Dir=V")</f>
        <v>0</v>
      </c>
      <c r="AI2">
        <f>BDH("BOX US Equity","IS_DEPR_EXP","1993-06-18","2026-05-02","Per=Y","Days=T","Dir=V")</f>
        <v>0</v>
      </c>
      <c r="AK2">
        <f>BDH("BOX US Equity","CF_CASH_FROM_OPER","1993-06-18","2026-05-02","Per=Y","Days=T","Dir=V")</f>
        <v>0</v>
      </c>
      <c r="AM2">
        <f>BDH("BOX US Equity","CAPITAL_EXPEND","1993-06-18","2026-05-02","Per=Y","Days=T","Dir=V")</f>
        <v>0</v>
      </c>
      <c r="AO2">
        <f>BDH("BOX US Equity","CF_FREE_CASH_FLOW","1993-06-18","2026-05-02","Per=Y","Days=T","Dir=V")</f>
        <v>0</v>
      </c>
      <c r="AQ2">
        <f>BDH("BOX US Equity","PX_LAST","1993-06-18","2026-05-02","Per=M","Days=T","Dir=V")</f>
        <v>0</v>
      </c>
      <c r="AS2">
        <f>BDH("BOX US Equity","CUR_MKT_CAP","1993-06-18","2026-05-02","Per=M","Days=T","Dir=V")</f>
        <v>0</v>
      </c>
      <c r="AU2">
        <f>BDH("BOX US Equity","EQY_SH_OUT","1993-06-18","2026-05-02","Per=M","Days=T","Dir=V")</f>
        <v>0</v>
      </c>
      <c r="AW2">
        <f>BDH("BOX US Equity","PX_VOLUME","1993-06-18","2026-05-02","Per=M","Days=T","Dir=V")</f>
        <v>0</v>
      </c>
      <c r="AY2">
        <f>BDH("BOX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 US Equity","BS_TOT_ASSET","1993-06-18","2026-05-02","Per=Y","Days=T","Dir=V")</f>
        <v>0</v>
      </c>
      <c r="C2">
        <f>BDH("BR US Equity","BS_TOT_LIAB2","1993-06-18","2026-05-02","Per=Y","Days=T","Dir=V")</f>
        <v>0</v>
      </c>
      <c r="E2">
        <f>BDH("BR US Equity","SHORT_AND_LONG_TERM_DEBT","1993-06-18","2026-05-02","Per=Y","Days=T","Dir=V")</f>
        <v>0</v>
      </c>
      <c r="G2">
        <f>BDH("BR US Equity","BS_ST_BORROW","1993-06-18","2026-05-02","Per=Y","Days=T","Dir=V")</f>
        <v>0</v>
      </c>
      <c r="I2">
        <f>BDH("BR US Equity","BS_LT_BORROW","1993-06-18","2026-05-02","Per=Y","Days=T","Dir=V")</f>
        <v>0</v>
      </c>
      <c r="K2">
        <f>BDH("BR US Equity","BS_CASH_NEAR_CASH_ITEM","1993-06-18","2026-05-02","Per=Y","Days=T","Dir=V")</f>
        <v>0</v>
      </c>
      <c r="M2">
        <f>BDH("BR US Equity","BS_CUR_ASSET_REPORT","1993-06-18","2026-05-02","Per=Y","Days=T","Dir=V")</f>
        <v>0</v>
      </c>
      <c r="O2">
        <f>BDH("BR US Equity","BS_CUR_LIAB","1993-06-18","2026-05-02","Per=Y","Days=T","Dir=V")</f>
        <v>0</v>
      </c>
      <c r="Q2">
        <f>BDH("BR US Equity","BS_SHAREHOLDER_EQY_ENDING_PERIOD","1993-06-18","2026-05-02","Per=Y","Days=T","Dir=V")</f>
        <v>0</v>
      </c>
      <c r="S2">
        <f>BDH("BR US Equity","BS_ACCT_NOTE_RCV","1993-06-18","2026-05-02","Per=Y","Days=T","Dir=V")</f>
        <v>0</v>
      </c>
      <c r="U2">
        <f>BDH("BR US Equity","BS_INVENTORIES","1993-06-18","2026-05-02","Per=Y","Days=T","Dir=V")</f>
        <v>0</v>
      </c>
      <c r="W2">
        <f>BDH("BR US Equity","WORKING_CAPITAL","1993-06-18","2026-05-02","Per=Y","Days=T","Dir=V")</f>
        <v>0</v>
      </c>
      <c r="Y2">
        <f>BDH("BR US Equity","SALES_REV_TURN","1993-06-18","2026-05-02","Per=Y","Days=T","Dir=V")</f>
        <v>0</v>
      </c>
      <c r="AA2">
        <f>BDH("BR US Equity","EBIT","1993-06-18","2026-05-02","Per=Y","Days=T","Dir=V")</f>
        <v>0</v>
      </c>
      <c r="AC2">
        <f>BDH("BR US Equity","EBITDA","1993-06-18","2026-05-02","Per=Y","Days=T","Dir=V")</f>
        <v>0</v>
      </c>
      <c r="AE2">
        <f>BDH("BR US Equity","NET_INCOME","1993-06-18","2026-05-02","Per=Y","Days=T","Dir=V")</f>
        <v>0</v>
      </c>
      <c r="AG2">
        <f>BDH("BR US Equity","IS_INT_EXPENSE","1993-06-18","2026-05-02","Per=Y","Days=T","Dir=V")</f>
        <v>0</v>
      </c>
      <c r="AI2">
        <f>BDH("BR US Equity","IS_DEPR_EXP","1993-06-18","2026-05-02","Per=Y","Days=T","Dir=V")</f>
        <v>0</v>
      </c>
      <c r="AK2">
        <f>BDH("BR US Equity","CF_CASH_FROM_OPER","1993-06-18","2026-05-02","Per=Y","Days=T","Dir=V")</f>
        <v>0</v>
      </c>
      <c r="AM2">
        <f>BDH("BR US Equity","CAPITAL_EXPEND","1993-06-18","2026-05-02","Per=Y","Days=T","Dir=V")</f>
        <v>0</v>
      </c>
      <c r="AO2">
        <f>BDH("BR US Equity","CF_FREE_CASH_FLOW","1993-06-18","2026-05-02","Per=Y","Days=T","Dir=V")</f>
        <v>0</v>
      </c>
      <c r="AQ2">
        <f>BDH("BR US Equity","PX_LAST","1993-06-18","2026-05-02","Per=M","Days=T","Dir=V")</f>
        <v>0</v>
      </c>
      <c r="AS2">
        <f>BDH("BR US Equity","CUR_MKT_CAP","1993-06-18","2026-05-02","Per=M","Days=T","Dir=V")</f>
        <v>0</v>
      </c>
      <c r="AU2">
        <f>BDH("BR US Equity","EQY_SH_OUT","1993-06-18","2026-05-02","Per=M","Days=T","Dir=V")</f>
        <v>0</v>
      </c>
      <c r="AW2">
        <f>BDH("BR US Equity","PX_VOLUME","1993-06-18","2026-05-02","Per=M","Days=T","Dir=V")</f>
        <v>0</v>
      </c>
      <c r="AY2">
        <f>BDH("BR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BDH("BRBR US Equity","BS_TOT_ASSET","1993-06-18","2026-05-02","Per=Y","Days=T","Dir=V")</f>
        <v>0</v>
      </c>
      <c r="C2">
        <f>BDH("BRBR US Equity","BS_TOT_LIAB2","1993-06-18","2026-05-02","Per=Y","Days=T","Dir=V")</f>
        <v>0</v>
      </c>
      <c r="E2">
        <f>BDH("BRBR US Equity","SHORT_AND_LONG_TERM_DEBT","1993-06-18","2026-05-02","Per=Y","Days=T","Dir=V")</f>
        <v>0</v>
      </c>
      <c r="G2">
        <f>BDH("BRBR US Equity","BS_ST_BORROW","1993-06-18","2026-05-02","Per=Y","Days=T","Dir=V")</f>
        <v>0</v>
      </c>
      <c r="I2">
        <f>BDH("BRBR US Equity","BS_LT_BORROW","1993-06-18","2026-05-02","Per=Y","Days=T","Dir=V")</f>
        <v>0</v>
      </c>
      <c r="K2">
        <f>BDH("BRBR US Equity","BS_CASH_NEAR_CASH_ITEM","1993-06-18","2026-05-02","Per=Y","Days=T","Dir=V")</f>
        <v>0</v>
      </c>
      <c r="M2">
        <f>BDH("BRBR US Equity","BS_CUR_ASSET_REPORT","1993-06-18","2026-05-02","Per=Y","Days=T","Dir=V")</f>
        <v>0</v>
      </c>
      <c r="O2">
        <f>BDH("BRBR US Equity","BS_CUR_LIAB","1993-06-18","2026-05-02","Per=Y","Days=T","Dir=V")</f>
        <v>0</v>
      </c>
      <c r="Q2">
        <f>BDH("BRBR US Equity","BS_SHAREHOLDER_EQY_ENDING_PERIOD","1993-06-18","2026-05-02","Per=Y","Days=T","Dir=V")</f>
        <v>0</v>
      </c>
      <c r="S2">
        <f>BDH("BRBR US Equity","BS_ACCT_NOTE_RCV","1993-06-18","2026-05-02","Per=Y","Days=T","Dir=V")</f>
        <v>0</v>
      </c>
      <c r="U2">
        <f>BDH("BRBR US Equity","BS_INVENTORIES","1993-06-18","2026-05-02","Per=Y","Days=T","Dir=V")</f>
        <v>0</v>
      </c>
      <c r="W2">
        <f>BDH("BRBR US Equity","WORKING_CAPITAL","1993-06-18","2026-05-02","Per=Y","Days=T","Dir=V")</f>
        <v>0</v>
      </c>
      <c r="Y2">
        <f>BDH("BRBR US Equity","SALES_REV_TURN","1993-06-18","2026-05-02","Per=Y","Days=T","Dir=V")</f>
        <v>0</v>
      </c>
      <c r="AA2">
        <f>BDH("BRBR US Equity","EBIT","1993-06-18","2026-05-02","Per=Y","Days=T","Dir=V")</f>
        <v>0</v>
      </c>
      <c r="AC2">
        <f>BDH("BRBR US Equity","EBITDA","1993-06-18","2026-05-02","Per=Y","Days=T","Dir=V")</f>
        <v>0</v>
      </c>
      <c r="AE2">
        <f>BDH("BRBR US Equity","NET_INCOME","1993-06-18","2026-05-02","Per=Y","Days=T","Dir=V")</f>
        <v>0</v>
      </c>
      <c r="AG2">
        <f>BDH("BRBR US Equity","IS_INT_EXPENSE","1993-06-18","2026-05-02","Per=Y","Days=T","Dir=V")</f>
        <v>0</v>
      </c>
      <c r="AI2">
        <f>BDH("BRBR US Equity","IS_DEPR_EXP","1993-06-18","2026-05-02","Per=Y","Days=T","Dir=V")</f>
        <v>0</v>
      </c>
      <c r="AK2">
        <f>BDH("BRBR US Equity","CF_CASH_FROM_OPER","1993-06-18","2026-05-02","Per=Y","Days=T","Dir=V")</f>
        <v>0</v>
      </c>
      <c r="AM2">
        <f>BDH("BRBR US Equity","CAPITAL_EXPEND","1993-06-18","2026-05-02","Per=Y","Days=T","Dir=V")</f>
        <v>0</v>
      </c>
      <c r="AO2">
        <f>BDH("BRBR US Equity","CF_FREE_CASH_FLOW","1993-06-18","2026-05-02","Per=Y","Days=T","Dir=V")</f>
        <v>0</v>
      </c>
      <c r="AQ2">
        <f>BDH("BRBR US Equity","PX_LAST","1993-06-18","2026-05-02","Per=M","Days=T","Dir=V")</f>
        <v>0</v>
      </c>
      <c r="AS2">
        <f>BDH("BRBR US Equity","CUR_MKT_CAP","1993-06-18","2026-05-02","Per=M","Days=T","Dir=V")</f>
        <v>0</v>
      </c>
      <c r="AU2">
        <f>BDH("BRBR US Equity","EQY_SH_OUT","1993-06-18","2026-05-02","Per=M","Days=T","Dir=V")</f>
        <v>0</v>
      </c>
      <c r="AW2">
        <f>BDH("BRBR US Equity","PX_VOLUME","1993-06-18","2026-05-02","Per=M","Days=T","Dir=V")</f>
        <v>0</v>
      </c>
      <c r="AY2">
        <f>BDH("BRBR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BDH("BRC US Equity","BS_TOT_ASSET","1993-06-18","2026-05-02","Per=Y","Days=T","Dir=V")</f>
        <v>0</v>
      </c>
      <c r="C2">
        <f>BDH("BRC US Equity","BS_TOT_LIAB2","1993-06-18","2026-05-02","Per=Y","Days=T","Dir=V")</f>
        <v>0</v>
      </c>
      <c r="E2">
        <f>BDH("BRC US Equity","SHORT_AND_LONG_TERM_DEBT","1993-06-18","2026-05-02","Per=Y","Days=T","Dir=V")</f>
        <v>0</v>
      </c>
      <c r="G2">
        <f>BDH("BRC US Equity","BS_ST_BORROW","1993-06-18","2026-05-02","Per=Y","Days=T","Dir=V")</f>
        <v>0</v>
      </c>
      <c r="I2">
        <f>BDH("BRC US Equity","BS_LT_BORROW","1993-06-18","2026-05-02","Per=Y","Days=T","Dir=V")</f>
        <v>0</v>
      </c>
      <c r="K2">
        <f>BDH("BRC US Equity","BS_CASH_NEAR_CASH_ITEM","1993-06-18","2026-05-02","Per=Y","Days=T","Dir=V")</f>
        <v>0</v>
      </c>
      <c r="M2">
        <f>BDH("BRC US Equity","BS_CUR_ASSET_REPORT","1993-06-18","2026-05-02","Per=Y","Days=T","Dir=V")</f>
        <v>0</v>
      </c>
      <c r="O2">
        <f>BDH("BRC US Equity","BS_CUR_LIAB","1993-06-18","2026-05-02","Per=Y","Days=T","Dir=V")</f>
        <v>0</v>
      </c>
      <c r="Q2">
        <f>BDH("BRC US Equity","BS_SHAREHOLDER_EQY_ENDING_PERIOD","1993-06-18","2026-05-02","Per=Y","Days=T","Dir=V")</f>
        <v>0</v>
      </c>
      <c r="S2">
        <f>BDH("BRC US Equity","BS_ACCT_NOTE_RCV","1993-06-18","2026-05-02","Per=Y","Days=T","Dir=V")</f>
        <v>0</v>
      </c>
      <c r="U2">
        <f>BDH("BRC US Equity","BS_INVENTORIES","1993-06-18","2026-05-02","Per=Y","Days=T","Dir=V")</f>
        <v>0</v>
      </c>
      <c r="W2">
        <f>BDH("BRC US Equity","WORKING_CAPITAL","1993-06-18","2026-05-02","Per=Y","Days=T","Dir=V")</f>
        <v>0</v>
      </c>
      <c r="Y2">
        <f>BDH("BRC US Equity","SALES_REV_TURN","1993-06-18","2026-05-02","Per=Y","Days=T","Dir=V")</f>
        <v>0</v>
      </c>
      <c r="AA2">
        <f>BDH("BRC US Equity","EBIT","1993-06-18","2026-05-02","Per=Y","Days=T","Dir=V")</f>
        <v>0</v>
      </c>
      <c r="AC2">
        <f>BDH("BRC US Equity","EBITDA","1993-06-18","2026-05-02","Per=Y","Days=T","Dir=V")</f>
        <v>0</v>
      </c>
      <c r="AE2">
        <f>BDH("BRC US Equity","NET_INCOME","1993-06-18","2026-05-02","Per=Y","Days=T","Dir=V")</f>
        <v>0</v>
      </c>
      <c r="AG2">
        <f>BDH("BRC US Equity","IS_INT_EXPENSE","1993-06-18","2026-05-02","Per=Y","Days=T","Dir=V")</f>
        <v>0</v>
      </c>
      <c r="AI2">
        <f>BDH("BRC US Equity","IS_DEPR_EXP","1993-06-18","2026-05-02","Per=Y","Days=T","Dir=V")</f>
        <v>0</v>
      </c>
      <c r="AK2">
        <f>BDH("BRC US Equity","CF_CASH_FROM_OPER","1993-06-18","2026-05-02","Per=Y","Days=T","Dir=V")</f>
        <v>0</v>
      </c>
      <c r="AM2">
        <f>BDH("BRC US Equity","CAPITAL_EXPEND","1993-06-18","2026-05-02","Per=Y","Days=T","Dir=V")</f>
        <v>0</v>
      </c>
      <c r="AO2">
        <f>BDH("BRC US Equity","CF_FREE_CASH_FLOW","1993-06-18","2026-05-02","Per=Y","Days=T","Dir=V")</f>
        <v>0</v>
      </c>
      <c r="AQ2">
        <f>BDH("BRC US Equity","PX_LAST","1993-06-18","2026-05-02","Per=M","Days=T","Dir=V")</f>
        <v>0</v>
      </c>
      <c r="AS2">
        <f>BDH("BRC US Equity","CUR_MKT_CAP","1993-06-18","2026-05-02","Per=M","Days=T","Dir=V")</f>
        <v>0</v>
      </c>
      <c r="AU2">
        <f>BDH("BRC US Equity","EQY_SH_OUT","1993-06-18","2026-05-02","Per=M","Days=T","Dir=V")</f>
        <v>0</v>
      </c>
      <c r="AW2">
        <f>BDH("BRC US Equity","PX_VOLUME","1993-06-18","2026-05-02","Per=M","Days=T","Dir=V")</f>
        <v>0</v>
      </c>
      <c r="AY2">
        <f>BDH("BRC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BDH("BRCB US Equity","BS_TOT_ASSET","1993-06-18","2026-05-02","Per=Y","Days=T","Dir=V")</f>
        <v>0</v>
      </c>
      <c r="C2">
        <f>BDH("BRCB US Equity","BS_TOT_LIAB2","1993-06-18","2026-05-02","Per=Y","Days=T","Dir=V")</f>
        <v>0</v>
      </c>
      <c r="E2">
        <f>BDH("BRCB US Equity","SHORT_AND_LONG_TERM_DEBT","1993-06-18","2026-05-02","Per=Y","Days=T","Dir=V")</f>
        <v>0</v>
      </c>
      <c r="G2">
        <f>BDH("BRCB US Equity","BS_ST_BORROW","1993-06-18","2026-05-02","Per=Y","Days=T","Dir=V")</f>
        <v>0</v>
      </c>
      <c r="I2">
        <f>BDH("BRCB US Equity","BS_LT_BORROW","1993-06-18","2026-05-02","Per=Y","Days=T","Dir=V")</f>
        <v>0</v>
      </c>
      <c r="K2">
        <f>BDH("BRCB US Equity","BS_CASH_NEAR_CASH_ITEM","1993-06-18","2026-05-02","Per=Y","Days=T","Dir=V")</f>
        <v>0</v>
      </c>
      <c r="M2">
        <f>BDH("BRCB US Equity","BS_CUR_ASSET_REPORT","1993-06-18","2026-05-02","Per=Y","Days=T","Dir=V")</f>
        <v>0</v>
      </c>
      <c r="O2">
        <f>BDH("BRCB US Equity","BS_CUR_LIAB","1993-06-18","2026-05-02","Per=Y","Days=T","Dir=V")</f>
        <v>0</v>
      </c>
      <c r="Q2">
        <f>BDH("BRCB US Equity","BS_SHAREHOLDER_EQY_ENDING_PERIOD","1993-06-18","2026-05-02","Per=Y","Days=T","Dir=V")</f>
        <v>0</v>
      </c>
      <c r="S2">
        <f>BDH("BRCB US Equity","BS_ACCT_NOTE_RCV","1993-06-18","2026-05-02","Per=Y","Days=T","Dir=V")</f>
        <v>0</v>
      </c>
      <c r="U2">
        <f>BDH("BRCB US Equity","BS_INVENTORIES","1993-06-18","2026-05-02","Per=Y","Days=T","Dir=V")</f>
        <v>0</v>
      </c>
      <c r="W2">
        <f>BDH("BRCB US Equity","WORKING_CAPITAL","1993-06-18","2026-05-02","Per=Y","Days=T","Dir=V")</f>
        <v>0</v>
      </c>
      <c r="Y2">
        <f>BDH("BRCB US Equity","SALES_REV_TURN","1993-06-18","2026-05-02","Per=Y","Days=T","Dir=V")</f>
        <v>0</v>
      </c>
      <c r="AA2">
        <f>BDH("BRCB US Equity","EBIT","1993-06-18","2026-05-02","Per=Y","Days=T","Dir=V")</f>
        <v>0</v>
      </c>
      <c r="AC2">
        <f>BDH("BRCB US Equity","EBITDA","1993-06-18","2026-05-02","Per=Y","Days=T","Dir=V")</f>
        <v>0</v>
      </c>
      <c r="AE2">
        <f>BDH("BRCB US Equity","NET_INCOME","1993-06-18","2026-05-02","Per=Y","Days=T","Dir=V")</f>
        <v>0</v>
      </c>
      <c r="AG2">
        <f>BDH("BRCB US Equity","IS_INT_EXPENSE","1993-06-18","2026-05-02","Per=Y","Days=T","Dir=V")</f>
        <v>0</v>
      </c>
      <c r="AI2">
        <f>BDH("BRCB US Equity","IS_DEPR_EXP","1993-06-18","2026-05-02","Per=Y","Days=T","Dir=V")</f>
        <v>0</v>
      </c>
      <c r="AK2">
        <f>BDH("BRCB US Equity","CF_CASH_FROM_OPER","1993-06-18","2026-05-02","Per=Y","Days=T","Dir=V")</f>
        <v>0</v>
      </c>
      <c r="AM2">
        <f>BDH("BRCB US Equity","CAPITAL_EXPEND","1993-06-18","2026-05-02","Per=Y","Days=T","Dir=V")</f>
        <v>0</v>
      </c>
      <c r="AO2">
        <f>BDH("BRCB US Equity","CF_FREE_CASH_FLOW","1993-06-18","2026-05-02","Per=Y","Days=T","Dir=V")</f>
        <v>0</v>
      </c>
      <c r="AQ2">
        <f>BDH("BRCB US Equity","PX_LAST","1993-06-18","2026-05-02","Per=M","Days=T","Dir=V")</f>
        <v>0</v>
      </c>
      <c r="AS2">
        <f>BDH("BRCB US Equity","CUR_MKT_CAP","1993-06-18","2026-05-02","Per=M","Days=T","Dir=V")</f>
        <v>0</v>
      </c>
      <c r="AU2">
        <f>BDH("BRCB US Equity","EQY_SH_OUT","1993-06-18","2026-05-02","Per=M","Days=T","Dir=V")</f>
        <v>0</v>
      </c>
      <c r="AW2">
        <f>BDH("BRCB US Equity","PX_VOLUME","1993-06-18","2026-05-02","Per=M","Days=T","Dir=V")</f>
        <v>0</v>
      </c>
      <c r="AY2">
        <f>BDH("BRCB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BDH("BRCC US Equity","BS_TOT_ASSET","1993-06-18","2026-05-02","Per=Y","Days=T","Dir=V")</f>
        <v>0</v>
      </c>
      <c r="C2">
        <f>BDH("BRCC US Equity","BS_TOT_LIAB2","1993-06-18","2026-05-02","Per=Y","Days=T","Dir=V")</f>
        <v>0</v>
      </c>
      <c r="E2">
        <f>BDH("BRCC US Equity","SHORT_AND_LONG_TERM_DEBT","1993-06-18","2026-05-02","Per=Y","Days=T","Dir=V")</f>
        <v>0</v>
      </c>
      <c r="G2">
        <f>BDH("BRCC US Equity","BS_ST_BORROW","1993-06-18","2026-05-02","Per=Y","Days=T","Dir=V")</f>
        <v>0</v>
      </c>
      <c r="I2">
        <f>BDH("BRCC US Equity","BS_LT_BORROW","1993-06-18","2026-05-02","Per=Y","Days=T","Dir=V")</f>
        <v>0</v>
      </c>
      <c r="K2">
        <f>BDH("BRCC US Equity","BS_CASH_NEAR_CASH_ITEM","1993-06-18","2026-05-02","Per=Y","Days=T","Dir=V")</f>
        <v>0</v>
      </c>
      <c r="M2">
        <f>BDH("BRCC US Equity","BS_CUR_ASSET_REPORT","1993-06-18","2026-05-02","Per=Y","Days=T","Dir=V")</f>
        <v>0</v>
      </c>
      <c r="O2">
        <f>BDH("BRCC US Equity","BS_CUR_LIAB","1993-06-18","2026-05-02","Per=Y","Days=T","Dir=V")</f>
        <v>0</v>
      </c>
      <c r="Q2">
        <f>BDH("BRCC US Equity","BS_SHAREHOLDER_EQY_ENDING_PERIOD","1993-06-18","2026-05-02","Per=Y","Days=T","Dir=V")</f>
        <v>0</v>
      </c>
      <c r="S2">
        <f>BDH("BRCC US Equity","BS_ACCT_NOTE_RCV","1993-06-18","2026-05-02","Per=Y","Days=T","Dir=V")</f>
        <v>0</v>
      </c>
      <c r="U2">
        <f>BDH("BRCC US Equity","BS_INVENTORIES","1993-06-18","2026-05-02","Per=Y","Days=T","Dir=V")</f>
        <v>0</v>
      </c>
      <c r="W2">
        <f>BDH("BRCC US Equity","WORKING_CAPITAL","1993-06-18","2026-05-02","Per=Y","Days=T","Dir=V")</f>
        <v>0</v>
      </c>
      <c r="Y2">
        <f>BDH("BRCC US Equity","SALES_REV_TURN","1993-06-18","2026-05-02","Per=Y","Days=T","Dir=V")</f>
        <v>0</v>
      </c>
      <c r="AA2">
        <f>BDH("BRCC US Equity","EBIT","1993-06-18","2026-05-02","Per=Y","Days=T","Dir=V")</f>
        <v>0</v>
      </c>
      <c r="AC2">
        <f>BDH("BRCC US Equity","EBITDA","1993-06-18","2026-05-02","Per=Y","Days=T","Dir=V")</f>
        <v>0</v>
      </c>
      <c r="AE2">
        <f>BDH("BRCC US Equity","NET_INCOME","1993-06-18","2026-05-02","Per=Y","Days=T","Dir=V")</f>
        <v>0</v>
      </c>
      <c r="AG2">
        <f>BDH("BRCC US Equity","IS_INT_EXPENSE","1993-06-18","2026-05-02","Per=Y","Days=T","Dir=V")</f>
        <v>0</v>
      </c>
      <c r="AI2">
        <f>BDH("BRCC US Equity","IS_DEPR_EXP","1993-06-18","2026-05-02","Per=Y","Days=T","Dir=V")</f>
        <v>0</v>
      </c>
      <c r="AK2">
        <f>BDH("BRCC US Equity","CF_CASH_FROM_OPER","1993-06-18","2026-05-02","Per=Y","Days=T","Dir=V")</f>
        <v>0</v>
      </c>
      <c r="AM2">
        <f>BDH("BRCC US Equity","CAPITAL_EXPEND","1993-06-18","2026-05-02","Per=Y","Days=T","Dir=V")</f>
        <v>0</v>
      </c>
      <c r="AO2">
        <f>BDH("BRCC US Equity","CF_FREE_CASH_FLOW","1993-06-18","2026-05-02","Per=Y","Days=T","Dir=V")</f>
        <v>0</v>
      </c>
      <c r="AQ2">
        <f>BDH("BRCC US Equity","PX_LAST","1993-06-18","2026-05-02","Per=M","Days=T","Dir=V")</f>
        <v>0</v>
      </c>
      <c r="AS2">
        <f>BDH("BRCC US Equity","CUR_MKT_CAP","1993-06-18","2026-05-02","Per=M","Days=T","Dir=V")</f>
        <v>0</v>
      </c>
      <c r="AU2">
        <f>BDH("BRCC US Equity","EQY_SH_OUT","1993-06-18","2026-05-02","Per=M","Days=T","Dir=V")</f>
        <v>0</v>
      </c>
      <c r="AW2">
        <f>BDH("BRCC US Equity","PX_VOLUME","1993-06-18","2026-05-02","Per=M","Days=T","Dir=V")</f>
        <v>0</v>
      </c>
      <c r="AY2">
        <f>BDH("BRCC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BDH("BRFH US Equity","BS_TOT_ASSET","1993-06-18","2026-05-02","Per=Y","Days=T","Dir=V")</f>
        <v>0</v>
      </c>
      <c r="C2">
        <f>BDH("BRFH US Equity","BS_TOT_LIAB2","1993-06-18","2026-05-02","Per=Y","Days=T","Dir=V")</f>
        <v>0</v>
      </c>
      <c r="E2">
        <f>BDH("BRFH US Equity","SHORT_AND_LONG_TERM_DEBT","1993-06-18","2026-05-02","Per=Y","Days=T","Dir=V")</f>
        <v>0</v>
      </c>
      <c r="G2">
        <f>BDH("BRFH US Equity","BS_ST_BORROW","1993-06-18","2026-05-02","Per=Y","Days=T","Dir=V")</f>
        <v>0</v>
      </c>
      <c r="I2">
        <f>BDH("BRFH US Equity","BS_LT_BORROW","1993-06-18","2026-05-02","Per=Y","Days=T","Dir=V")</f>
        <v>0</v>
      </c>
      <c r="K2">
        <f>BDH("BRFH US Equity","BS_CASH_NEAR_CASH_ITEM","1993-06-18","2026-05-02","Per=Y","Days=T","Dir=V")</f>
        <v>0</v>
      </c>
      <c r="M2">
        <f>BDH("BRFH US Equity","BS_CUR_ASSET_REPORT","1993-06-18","2026-05-02","Per=Y","Days=T","Dir=V")</f>
        <v>0</v>
      </c>
      <c r="O2">
        <f>BDH("BRFH US Equity","BS_CUR_LIAB","1993-06-18","2026-05-02","Per=Y","Days=T","Dir=V")</f>
        <v>0</v>
      </c>
      <c r="Q2">
        <f>BDH("BRFH US Equity","BS_SHAREHOLDER_EQY_ENDING_PERIOD","1993-06-18","2026-05-02","Per=Y","Days=T","Dir=V")</f>
        <v>0</v>
      </c>
      <c r="S2">
        <f>BDH("BRFH US Equity","BS_ACCT_NOTE_RCV","1993-06-18","2026-05-02","Per=Y","Days=T","Dir=V")</f>
        <v>0</v>
      </c>
      <c r="U2">
        <f>BDH("BRFH US Equity","BS_INVENTORIES","1993-06-18","2026-05-02","Per=Y","Days=T","Dir=V")</f>
        <v>0</v>
      </c>
      <c r="W2">
        <f>BDH("BRFH US Equity","WORKING_CAPITAL","1993-06-18","2026-05-02","Per=Y","Days=T","Dir=V")</f>
        <v>0</v>
      </c>
      <c r="Y2">
        <f>BDH("BRFH US Equity","SALES_REV_TURN","1993-06-18","2026-05-02","Per=Y","Days=T","Dir=V")</f>
        <v>0</v>
      </c>
      <c r="AA2">
        <f>BDH("BRFH US Equity","EBIT","1993-06-18","2026-05-02","Per=Y","Days=T","Dir=V")</f>
        <v>0</v>
      </c>
      <c r="AC2">
        <f>BDH("BRFH US Equity","EBITDA","1993-06-18","2026-05-02","Per=Y","Days=T","Dir=V")</f>
        <v>0</v>
      </c>
      <c r="AE2">
        <f>BDH("BRFH US Equity","NET_INCOME","1993-06-18","2026-05-02","Per=Y","Days=T","Dir=V")</f>
        <v>0</v>
      </c>
      <c r="AG2">
        <f>BDH("BRFH US Equity","IS_INT_EXPENSE","1993-06-18","2026-05-02","Per=Y","Days=T","Dir=V")</f>
        <v>0</v>
      </c>
      <c r="AI2">
        <f>BDH("BRFH US Equity","IS_DEPR_EXP","1993-06-18","2026-05-02","Per=Y","Days=T","Dir=V")</f>
        <v>0</v>
      </c>
      <c r="AK2">
        <f>BDH("BRFH US Equity","CF_CASH_FROM_OPER","1993-06-18","2026-05-02","Per=Y","Days=T","Dir=V")</f>
        <v>0</v>
      </c>
      <c r="AM2">
        <f>BDH("BRFH US Equity","CAPITAL_EXPEND","1993-06-18","2026-05-02","Per=Y","Days=T","Dir=V")</f>
        <v>0</v>
      </c>
      <c r="AO2">
        <f>BDH("BRFH US Equity","CF_FREE_CASH_FLOW","1993-06-18","2026-05-02","Per=Y","Days=T","Dir=V")</f>
        <v>0</v>
      </c>
      <c r="AQ2">
        <f>BDH("BRFH US Equity","PX_LAST","1993-06-18","2026-05-02","Per=M","Days=T","Dir=V")</f>
        <v>0</v>
      </c>
      <c r="AS2">
        <f>BDH("BRFH US Equity","CUR_MKT_CAP","1993-06-18","2026-05-02","Per=M","Days=T","Dir=V")</f>
        <v>0</v>
      </c>
      <c r="AU2">
        <f>BDH("BRFH US Equity","EQY_SH_OUT","1993-06-18","2026-05-02","Per=M","Days=T","Dir=V")</f>
        <v>0</v>
      </c>
      <c r="AW2">
        <f>BDH("BRFH US Equity","PX_VOLUME","1993-06-18","2026-05-02","Per=M","Days=T","Dir=V")</f>
        <v>0</v>
      </c>
      <c r="AY2">
        <f>BDH("BRFH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BDH("BRID US Equity","BS_TOT_ASSET","1993-06-18","2026-05-02","Per=Y","Days=T","Dir=V")</f>
        <v>0</v>
      </c>
      <c r="C2">
        <f>BDH("BRID US Equity","BS_TOT_LIAB2","1993-06-18","2026-05-02","Per=Y","Days=T","Dir=V")</f>
        <v>0</v>
      </c>
      <c r="E2">
        <f>BDH("BRID US Equity","SHORT_AND_LONG_TERM_DEBT","1993-06-18","2026-05-02","Per=Y","Days=T","Dir=V")</f>
        <v>0</v>
      </c>
      <c r="G2">
        <f>BDH("BRID US Equity","BS_ST_BORROW","1993-06-18","2026-05-02","Per=Y","Days=T","Dir=V")</f>
        <v>0</v>
      </c>
      <c r="I2">
        <f>BDH("BRID US Equity","BS_LT_BORROW","1993-06-18","2026-05-02","Per=Y","Days=T","Dir=V")</f>
        <v>0</v>
      </c>
      <c r="K2">
        <f>BDH("BRID US Equity","BS_CASH_NEAR_CASH_ITEM","1993-06-18","2026-05-02","Per=Y","Days=T","Dir=V")</f>
        <v>0</v>
      </c>
      <c r="M2">
        <f>BDH("BRID US Equity","BS_CUR_ASSET_REPORT","1993-06-18","2026-05-02","Per=Y","Days=T","Dir=V")</f>
        <v>0</v>
      </c>
      <c r="O2">
        <f>BDH("BRID US Equity","BS_CUR_LIAB","1993-06-18","2026-05-02","Per=Y","Days=T","Dir=V")</f>
        <v>0</v>
      </c>
      <c r="Q2">
        <f>BDH("BRID US Equity","BS_SHAREHOLDER_EQY_ENDING_PERIOD","1993-06-18","2026-05-02","Per=Y","Days=T","Dir=V")</f>
        <v>0</v>
      </c>
      <c r="S2">
        <f>BDH("BRID US Equity","BS_ACCT_NOTE_RCV","1993-06-18","2026-05-02","Per=Y","Days=T","Dir=V")</f>
        <v>0</v>
      </c>
      <c r="U2">
        <f>BDH("BRID US Equity","BS_INVENTORIES","1993-06-18","2026-05-02","Per=Y","Days=T","Dir=V")</f>
        <v>0</v>
      </c>
      <c r="W2">
        <f>BDH("BRID US Equity","WORKING_CAPITAL","1993-06-18","2026-05-02","Per=Y","Days=T","Dir=V")</f>
        <v>0</v>
      </c>
      <c r="Y2">
        <f>BDH("BRID US Equity","SALES_REV_TURN","1993-06-18","2026-05-02","Per=Y","Days=T","Dir=V")</f>
        <v>0</v>
      </c>
      <c r="AA2">
        <f>BDH("BRID US Equity","EBIT","1993-06-18","2026-05-02","Per=Y","Days=T","Dir=V")</f>
        <v>0</v>
      </c>
      <c r="AC2">
        <f>BDH("BRID US Equity","EBITDA","1993-06-18","2026-05-02","Per=Y","Days=T","Dir=V")</f>
        <v>0</v>
      </c>
      <c r="AE2">
        <f>BDH("BRID US Equity","NET_INCOME","1993-06-18","2026-05-02","Per=Y","Days=T","Dir=V")</f>
        <v>0</v>
      </c>
      <c r="AG2">
        <f>BDH("BRID US Equity","IS_INT_EXPENSE","1993-06-18","2026-05-02","Per=Y","Days=T","Dir=V")</f>
        <v>0</v>
      </c>
      <c r="AI2">
        <f>BDH("BRID US Equity","IS_DEPR_EXP","1993-06-18","2026-05-02","Per=Y","Days=T","Dir=V")</f>
        <v>0</v>
      </c>
      <c r="AK2">
        <f>BDH("BRID US Equity","CF_CASH_FROM_OPER","1993-06-18","2026-05-02","Per=Y","Days=T","Dir=V")</f>
        <v>0</v>
      </c>
      <c r="AM2">
        <f>BDH("BRID US Equity","CAPITAL_EXPEND","1993-06-18","2026-05-02","Per=Y","Days=T","Dir=V")</f>
        <v>0</v>
      </c>
      <c r="AO2">
        <f>BDH("BRID US Equity","CF_FREE_CASH_FLOW","1993-06-18","2026-05-02","Per=Y","Days=T","Dir=V")</f>
        <v>0</v>
      </c>
      <c r="AQ2">
        <f>BDH("BRID US Equity","PX_LAST","1993-06-18","2026-05-02","Per=M","Days=T","Dir=V")</f>
        <v>0</v>
      </c>
      <c r="AS2">
        <f>BDH("BRID US Equity","CUR_MKT_CAP","1993-06-18","2026-05-02","Per=M","Days=T","Dir=V")</f>
        <v>0</v>
      </c>
      <c r="AU2">
        <f>BDH("BRID US Equity","EQY_SH_OUT","1993-06-18","2026-05-02","Per=M","Days=T","Dir=V")</f>
        <v>0</v>
      </c>
      <c r="AW2">
        <f>BDH("BRID US Equity","PX_VOLUME","1993-06-18","2026-05-02","Per=M","Days=T","Dir=V")</f>
        <v>0</v>
      </c>
      <c r="AY2">
        <f>BDH("BRID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BDH("BRKHU US Equity","BS_TOT_ASSET","1993-06-18","2026-05-02","Per=Y","Days=T","Dir=V")</f>
        <v>0</v>
      </c>
      <c r="C2">
        <f>BDH("BRKHU US Equity","BS_TOT_LIAB2","1993-06-18","2026-05-02","Per=Y","Days=T","Dir=V")</f>
        <v>0</v>
      </c>
      <c r="E2">
        <f>BDH("BRKHU US Equity","SHORT_AND_LONG_TERM_DEBT","1993-06-18","2026-05-02","Per=Y","Days=T","Dir=V")</f>
        <v>0</v>
      </c>
      <c r="G2">
        <f>BDH("BRKHU US Equity","BS_ST_BORROW","1993-06-18","2026-05-02","Per=Y","Days=T","Dir=V")</f>
        <v>0</v>
      </c>
      <c r="I2">
        <f>BDH("BRKHU US Equity","BS_LT_BORROW","1993-06-18","2026-05-02","Per=Y","Days=T","Dir=V")</f>
        <v>0</v>
      </c>
      <c r="K2">
        <f>BDH("BRKHU US Equity","BS_CASH_NEAR_CASH_ITEM","1993-06-18","2026-05-02","Per=Y","Days=T","Dir=V")</f>
        <v>0</v>
      </c>
      <c r="M2">
        <f>BDH("BRKHU US Equity","BS_CUR_ASSET_REPORT","1993-06-18","2026-05-02","Per=Y","Days=T","Dir=V")</f>
        <v>0</v>
      </c>
      <c r="O2">
        <f>BDH("BRKHU US Equity","BS_CUR_LIAB","1993-06-18","2026-05-02","Per=Y","Days=T","Dir=V")</f>
        <v>0</v>
      </c>
      <c r="Q2">
        <f>BDH("BRKHU US Equity","BS_SHAREHOLDER_EQY_ENDING_PERIOD","1993-06-18","2026-05-02","Per=Y","Days=T","Dir=V")</f>
        <v>0</v>
      </c>
      <c r="S2">
        <f>BDH("BRKHU US Equity","BS_ACCT_NOTE_RCV","1993-06-18","2026-05-02","Per=Y","Days=T","Dir=V")</f>
        <v>0</v>
      </c>
      <c r="U2">
        <f>BDH("BRKHU US Equity","BS_INVENTORIES","1993-06-18","2026-05-02","Per=Y","Days=T","Dir=V")</f>
        <v>0</v>
      </c>
      <c r="W2">
        <f>BDH("BRKHU US Equity","WORKING_CAPITAL","1993-06-18","2026-05-02","Per=Y","Days=T","Dir=V")</f>
        <v>0</v>
      </c>
      <c r="Y2">
        <f>BDH("BRKHU US Equity","SALES_REV_TURN","1993-06-18","2026-05-02","Per=Y","Days=T","Dir=V")</f>
        <v>0</v>
      </c>
      <c r="AA2">
        <f>BDH("BRKHU US Equity","EBIT","1993-06-18","2026-05-02","Per=Y","Days=T","Dir=V")</f>
        <v>0</v>
      </c>
      <c r="AC2">
        <f>BDH("BRKHU US Equity","EBITDA","1993-06-18","2026-05-02","Per=Y","Days=T","Dir=V")</f>
        <v>0</v>
      </c>
      <c r="AE2">
        <f>BDH("BRKHU US Equity","NET_INCOME","1993-06-18","2026-05-02","Per=Y","Days=T","Dir=V")</f>
        <v>0</v>
      </c>
      <c r="AG2">
        <f>BDH("BRKHU US Equity","IS_INT_EXPENSE","1993-06-18","2026-05-02","Per=Y","Days=T","Dir=V")</f>
        <v>0</v>
      </c>
      <c r="AI2">
        <f>BDH("BRKHU US Equity","IS_DEPR_EXP","1993-06-18","2026-05-02","Per=Y","Days=T","Dir=V")</f>
        <v>0</v>
      </c>
      <c r="AK2">
        <f>BDH("BRKHU US Equity","CF_CASH_FROM_OPER","1993-06-18","2026-05-02","Per=Y","Days=T","Dir=V")</f>
        <v>0</v>
      </c>
      <c r="AM2">
        <f>BDH("BRKHU US Equity","CAPITAL_EXPEND","1993-06-18","2026-05-02","Per=Y","Days=T","Dir=V")</f>
        <v>0</v>
      </c>
      <c r="AO2">
        <f>BDH("BRKHU US Equity","CF_FREE_CASH_FLOW","1993-06-18","2026-05-02","Per=Y","Days=T","Dir=V")</f>
        <v>0</v>
      </c>
      <c r="AQ2">
        <f>BDH("BRKHU US Equity","PX_LAST","1993-06-18","2026-05-02","Per=M","Days=T","Dir=V")</f>
        <v>0</v>
      </c>
      <c r="AS2">
        <f>BDH("BRKHU US Equity","CUR_MKT_CAP","1993-06-18","2026-05-02","Per=M","Days=T","Dir=V")</f>
        <v>0</v>
      </c>
      <c r="AU2">
        <f>BDH("BRKHU US Equity","EQY_SH_OUT","1993-06-18","2026-05-02","Per=M","Days=T","Dir=V")</f>
        <v>0</v>
      </c>
      <c r="AW2">
        <f>BDH("BRKHU US Equity","PX_VOLUME","1993-06-18","2026-05-02","Per=M","Days=T","Dir=V")</f>
        <v>0</v>
      </c>
      <c r="AY2">
        <f>BDH("BRKHU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BDH("BRKR US Equity","BS_TOT_ASSET","1993-06-18","2026-05-02","Per=Y","Days=T","Dir=V")</f>
        <v>0</v>
      </c>
      <c r="C2">
        <f>BDH("BRKR US Equity","BS_TOT_LIAB2","1993-06-18","2026-05-02","Per=Y","Days=T","Dir=V")</f>
        <v>0</v>
      </c>
      <c r="E2">
        <f>BDH("BRKR US Equity","SHORT_AND_LONG_TERM_DEBT","1993-06-18","2026-05-02","Per=Y","Days=T","Dir=V")</f>
        <v>0</v>
      </c>
      <c r="G2">
        <f>BDH("BRKR US Equity","BS_ST_BORROW","1993-06-18","2026-05-02","Per=Y","Days=T","Dir=V")</f>
        <v>0</v>
      </c>
      <c r="I2">
        <f>BDH("BRKR US Equity","BS_LT_BORROW","1993-06-18","2026-05-02","Per=Y","Days=T","Dir=V")</f>
        <v>0</v>
      </c>
      <c r="K2">
        <f>BDH("BRKR US Equity","BS_CASH_NEAR_CASH_ITEM","1993-06-18","2026-05-02","Per=Y","Days=T","Dir=V")</f>
        <v>0</v>
      </c>
      <c r="M2">
        <f>BDH("BRKR US Equity","BS_CUR_ASSET_REPORT","1993-06-18","2026-05-02","Per=Y","Days=T","Dir=V")</f>
        <v>0</v>
      </c>
      <c r="O2">
        <f>BDH("BRKR US Equity","BS_CUR_LIAB","1993-06-18","2026-05-02","Per=Y","Days=T","Dir=V")</f>
        <v>0</v>
      </c>
      <c r="Q2">
        <f>BDH("BRKR US Equity","BS_SHAREHOLDER_EQY_ENDING_PERIOD","1993-06-18","2026-05-02","Per=Y","Days=T","Dir=V")</f>
        <v>0</v>
      </c>
      <c r="S2">
        <f>BDH("BRKR US Equity","BS_ACCT_NOTE_RCV","1993-06-18","2026-05-02","Per=Y","Days=T","Dir=V")</f>
        <v>0</v>
      </c>
      <c r="U2">
        <f>BDH("BRKR US Equity","BS_INVENTORIES","1993-06-18","2026-05-02","Per=Y","Days=T","Dir=V")</f>
        <v>0</v>
      </c>
      <c r="W2">
        <f>BDH("BRKR US Equity","WORKING_CAPITAL","1993-06-18","2026-05-02","Per=Y","Days=T","Dir=V")</f>
        <v>0</v>
      </c>
      <c r="Y2">
        <f>BDH("BRKR US Equity","SALES_REV_TURN","1993-06-18","2026-05-02","Per=Y","Days=T","Dir=V")</f>
        <v>0</v>
      </c>
      <c r="AA2">
        <f>BDH("BRKR US Equity","EBIT","1993-06-18","2026-05-02","Per=Y","Days=T","Dir=V")</f>
        <v>0</v>
      </c>
      <c r="AC2">
        <f>BDH("BRKR US Equity","EBITDA","1993-06-18","2026-05-02","Per=Y","Days=T","Dir=V")</f>
        <v>0</v>
      </c>
      <c r="AE2">
        <f>BDH("BRKR US Equity","NET_INCOME","1993-06-18","2026-05-02","Per=Y","Days=T","Dir=V")</f>
        <v>0</v>
      </c>
      <c r="AG2">
        <f>BDH("BRKR US Equity","IS_INT_EXPENSE","1993-06-18","2026-05-02","Per=Y","Days=T","Dir=V")</f>
        <v>0</v>
      </c>
      <c r="AI2">
        <f>BDH("BRKR US Equity","IS_DEPR_EXP","1993-06-18","2026-05-02","Per=Y","Days=T","Dir=V")</f>
        <v>0</v>
      </c>
      <c r="AK2">
        <f>BDH("BRKR US Equity","CF_CASH_FROM_OPER","1993-06-18","2026-05-02","Per=Y","Days=T","Dir=V")</f>
        <v>0</v>
      </c>
      <c r="AM2">
        <f>BDH("BRKR US Equity","CAPITAL_EXPEND","1993-06-18","2026-05-02","Per=Y","Days=T","Dir=V")</f>
        <v>0</v>
      </c>
      <c r="AO2">
        <f>BDH("BRKR US Equity","CF_FREE_CASH_FLOW","1993-06-18","2026-05-02","Per=Y","Days=T","Dir=V")</f>
        <v>0</v>
      </c>
      <c r="AQ2">
        <f>BDH("BRKR US Equity","PX_LAST","1993-06-18","2026-05-02","Per=M","Days=T","Dir=V")</f>
        <v>0</v>
      </c>
      <c r="AS2">
        <f>BDH("BRKR US Equity","CUR_MKT_CAP","1993-06-18","2026-05-02","Per=M","Days=T","Dir=V")</f>
        <v>0</v>
      </c>
      <c r="AU2">
        <f>BDH("BRKR US Equity","EQY_SH_OUT","1993-06-18","2026-05-02","Per=M","Days=T","Dir=V")</f>
        <v>0</v>
      </c>
      <c r="AW2">
        <f>BDH("BRKR US Equity","PX_VOLUME","1993-06-18","2026-05-02","Per=M","Days=T","Dir=V")</f>
        <v>0</v>
      </c>
      <c r="AY2">
        <f>BDH("BRKR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BDH("BRKRP US Equity","BS_TOT_ASSET","1993-06-18","2026-05-02","Per=Y","Days=T","Dir=V")</f>
        <v>0</v>
      </c>
      <c r="C2">
        <f>BDH("BRKRP US Equity","BS_TOT_LIAB2","1993-06-18","2026-05-02","Per=Y","Days=T","Dir=V")</f>
        <v>0</v>
      </c>
      <c r="E2">
        <f>BDH("BRKRP US Equity","SHORT_AND_LONG_TERM_DEBT","1993-06-18","2026-05-02","Per=Y","Days=T","Dir=V")</f>
        <v>0</v>
      </c>
      <c r="G2">
        <f>BDH("BRKRP US Equity","BS_ST_BORROW","1993-06-18","2026-05-02","Per=Y","Days=T","Dir=V")</f>
        <v>0</v>
      </c>
      <c r="I2">
        <f>BDH("BRKRP US Equity","BS_LT_BORROW","1993-06-18","2026-05-02","Per=Y","Days=T","Dir=V")</f>
        <v>0</v>
      </c>
      <c r="K2">
        <f>BDH("BRKRP US Equity","BS_CASH_NEAR_CASH_ITEM","1993-06-18","2026-05-02","Per=Y","Days=T","Dir=V")</f>
        <v>0</v>
      </c>
      <c r="M2">
        <f>BDH("BRKRP US Equity","BS_CUR_ASSET_REPORT","1993-06-18","2026-05-02","Per=Y","Days=T","Dir=V")</f>
        <v>0</v>
      </c>
      <c r="O2">
        <f>BDH("BRKRP US Equity","BS_CUR_LIAB","1993-06-18","2026-05-02","Per=Y","Days=T","Dir=V")</f>
        <v>0</v>
      </c>
      <c r="Q2">
        <f>BDH("BRKRP US Equity","BS_SHAREHOLDER_EQY_ENDING_PERIOD","1993-06-18","2026-05-02","Per=Y","Days=T","Dir=V")</f>
        <v>0</v>
      </c>
      <c r="S2">
        <f>BDH("BRKRP US Equity","BS_ACCT_NOTE_RCV","1993-06-18","2026-05-02","Per=Y","Days=T","Dir=V")</f>
        <v>0</v>
      </c>
      <c r="U2">
        <f>BDH("BRKRP US Equity","BS_INVENTORIES","1993-06-18","2026-05-02","Per=Y","Days=T","Dir=V")</f>
        <v>0</v>
      </c>
      <c r="W2">
        <f>BDH("BRKRP US Equity","WORKING_CAPITAL","1993-06-18","2026-05-02","Per=Y","Days=T","Dir=V")</f>
        <v>0</v>
      </c>
      <c r="Y2">
        <f>BDH("BRKRP US Equity","SALES_REV_TURN","1993-06-18","2026-05-02","Per=Y","Days=T","Dir=V")</f>
        <v>0</v>
      </c>
      <c r="AA2">
        <f>BDH("BRKRP US Equity","EBIT","1993-06-18","2026-05-02","Per=Y","Days=T","Dir=V")</f>
        <v>0</v>
      </c>
      <c r="AC2">
        <f>BDH("BRKRP US Equity","EBITDA","1993-06-18","2026-05-02","Per=Y","Days=T","Dir=V")</f>
        <v>0</v>
      </c>
      <c r="AE2">
        <f>BDH("BRKRP US Equity","NET_INCOME","1993-06-18","2026-05-02","Per=Y","Days=T","Dir=V")</f>
        <v>0</v>
      </c>
      <c r="AG2">
        <f>BDH("BRKRP US Equity","IS_INT_EXPENSE","1993-06-18","2026-05-02","Per=Y","Days=T","Dir=V")</f>
        <v>0</v>
      </c>
      <c r="AI2">
        <f>BDH("BRKRP US Equity","IS_DEPR_EXP","1993-06-18","2026-05-02","Per=Y","Days=T","Dir=V")</f>
        <v>0</v>
      </c>
      <c r="AK2">
        <f>BDH("BRKRP US Equity","CF_CASH_FROM_OPER","1993-06-18","2026-05-02","Per=Y","Days=T","Dir=V")</f>
        <v>0</v>
      </c>
      <c r="AM2">
        <f>BDH("BRKRP US Equity","CAPITAL_EXPEND","1993-06-18","2026-05-02","Per=Y","Days=T","Dir=V")</f>
        <v>0</v>
      </c>
      <c r="AO2">
        <f>BDH("BRKRP US Equity","CF_FREE_CASH_FLOW","1993-06-18","2026-05-02","Per=Y","Days=T","Dir=V")</f>
        <v>0</v>
      </c>
      <c r="AQ2">
        <f>BDH("BRKRP US Equity","PX_LAST","1993-06-18","2026-05-02","Per=M","Days=T","Dir=V")</f>
        <v>0</v>
      </c>
      <c r="AS2">
        <f>BDH("BRKRP US Equity","CUR_MKT_CAP","1993-06-18","2026-05-02","Per=M","Days=T","Dir=V")</f>
        <v>0</v>
      </c>
      <c r="AU2">
        <f>BDH("BRKRP US Equity","EQY_SH_OUT","1993-06-18","2026-05-02","Per=M","Days=T","Dir=V")</f>
        <v>0</v>
      </c>
      <c r="AW2">
        <f>BDH("BRKRP US Equity","PX_VOLUME","1993-06-18","2026-05-02","Per=M","Days=T","Dir=V")</f>
        <v>0</v>
      </c>
      <c r="AY2">
        <f>BDH("BRKRP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BDH("BRLT US Equity","BS_TOT_ASSET","1993-06-18","2026-05-02","Per=Y","Days=T","Dir=V")</f>
        <v>0</v>
      </c>
      <c r="C2">
        <f>BDH("BRLT US Equity","BS_TOT_LIAB2","1993-06-18","2026-05-02","Per=Y","Days=T","Dir=V")</f>
        <v>0</v>
      </c>
      <c r="E2">
        <f>BDH("BRLT US Equity","SHORT_AND_LONG_TERM_DEBT","1993-06-18","2026-05-02","Per=Y","Days=T","Dir=V")</f>
        <v>0</v>
      </c>
      <c r="G2">
        <f>BDH("BRLT US Equity","BS_ST_BORROW","1993-06-18","2026-05-02","Per=Y","Days=T","Dir=V")</f>
        <v>0</v>
      </c>
      <c r="I2">
        <f>BDH("BRLT US Equity","BS_LT_BORROW","1993-06-18","2026-05-02","Per=Y","Days=T","Dir=V")</f>
        <v>0</v>
      </c>
      <c r="K2">
        <f>BDH("BRLT US Equity","BS_CASH_NEAR_CASH_ITEM","1993-06-18","2026-05-02","Per=Y","Days=T","Dir=V")</f>
        <v>0</v>
      </c>
      <c r="M2">
        <f>BDH("BRLT US Equity","BS_CUR_ASSET_REPORT","1993-06-18","2026-05-02","Per=Y","Days=T","Dir=V")</f>
        <v>0</v>
      </c>
      <c r="O2">
        <f>BDH("BRLT US Equity","BS_CUR_LIAB","1993-06-18","2026-05-02","Per=Y","Days=T","Dir=V")</f>
        <v>0</v>
      </c>
      <c r="Q2">
        <f>BDH("BRLT US Equity","BS_SHAREHOLDER_EQY_ENDING_PERIOD","1993-06-18","2026-05-02","Per=Y","Days=T","Dir=V")</f>
        <v>0</v>
      </c>
      <c r="S2">
        <f>BDH("BRLT US Equity","BS_ACCT_NOTE_RCV","1993-06-18","2026-05-02","Per=Y","Days=T","Dir=V")</f>
        <v>0</v>
      </c>
      <c r="U2">
        <f>BDH("BRLT US Equity","BS_INVENTORIES","1993-06-18","2026-05-02","Per=Y","Days=T","Dir=V")</f>
        <v>0</v>
      </c>
      <c r="W2">
        <f>BDH("BRLT US Equity","WORKING_CAPITAL","1993-06-18","2026-05-02","Per=Y","Days=T","Dir=V")</f>
        <v>0</v>
      </c>
      <c r="Y2">
        <f>BDH("BRLT US Equity","SALES_REV_TURN","1993-06-18","2026-05-02","Per=Y","Days=T","Dir=V")</f>
        <v>0</v>
      </c>
      <c r="AA2">
        <f>BDH("BRLT US Equity","EBIT","1993-06-18","2026-05-02","Per=Y","Days=T","Dir=V")</f>
        <v>0</v>
      </c>
      <c r="AC2">
        <f>BDH("BRLT US Equity","EBITDA","1993-06-18","2026-05-02","Per=Y","Days=T","Dir=V")</f>
        <v>0</v>
      </c>
      <c r="AE2">
        <f>BDH("BRLT US Equity","NET_INCOME","1993-06-18","2026-05-02","Per=Y","Days=T","Dir=V")</f>
        <v>0</v>
      </c>
      <c r="AG2">
        <f>BDH("BRLT US Equity","IS_INT_EXPENSE","1993-06-18","2026-05-02","Per=Y","Days=T","Dir=V")</f>
        <v>0</v>
      </c>
      <c r="AI2">
        <f>BDH("BRLT US Equity","IS_DEPR_EXP","1993-06-18","2026-05-02","Per=Y","Days=T","Dir=V")</f>
        <v>0</v>
      </c>
      <c r="AK2">
        <f>BDH("BRLT US Equity","CF_CASH_FROM_OPER","1993-06-18","2026-05-02","Per=Y","Days=T","Dir=V")</f>
        <v>0</v>
      </c>
      <c r="AM2">
        <f>BDH("BRLT US Equity","CAPITAL_EXPEND","1993-06-18","2026-05-02","Per=Y","Days=T","Dir=V")</f>
        <v>0</v>
      </c>
      <c r="AO2">
        <f>BDH("BRLT US Equity","CF_FREE_CASH_FLOW","1993-06-18","2026-05-02","Per=Y","Days=T","Dir=V")</f>
        <v>0</v>
      </c>
      <c r="AQ2">
        <f>BDH("BRLT US Equity","PX_LAST","1993-06-18","2026-05-02","Per=M","Days=T","Dir=V")</f>
        <v>0</v>
      </c>
      <c r="AS2">
        <f>BDH("BRLT US Equity","CUR_MKT_CAP","1993-06-18","2026-05-02","Per=M","Days=T","Dir=V")</f>
        <v>0</v>
      </c>
      <c r="AU2">
        <f>BDH("BRLT US Equity","EQY_SH_OUT","1993-06-18","2026-05-02","Per=M","Days=T","Dir=V")</f>
        <v>0</v>
      </c>
      <c r="AW2">
        <f>BDH("BRLT US Equity","PX_VOLUME","1993-06-18","2026-05-02","Per=M","Days=T","Dir=V")</f>
        <v>0</v>
      </c>
      <c r="AY2">
        <f>BDH("BRLT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BDH("BRN US Equity","BS_TOT_ASSET","1993-06-18","2026-05-02","Per=Y","Days=T","Dir=V")</f>
        <v>0</v>
      </c>
      <c r="C2">
        <f>BDH("BRN US Equity","BS_TOT_LIAB2","1993-06-18","2026-05-02","Per=Y","Days=T","Dir=V")</f>
        <v>0</v>
      </c>
      <c r="E2">
        <f>BDH("BRN US Equity","SHORT_AND_LONG_TERM_DEBT","1993-06-18","2026-05-02","Per=Y","Days=T","Dir=V")</f>
        <v>0</v>
      </c>
      <c r="G2">
        <f>BDH("BRN US Equity","BS_ST_BORROW","1993-06-18","2026-05-02","Per=Y","Days=T","Dir=V")</f>
        <v>0</v>
      </c>
      <c r="I2">
        <f>BDH("BRN US Equity","BS_LT_BORROW","1993-06-18","2026-05-02","Per=Y","Days=T","Dir=V")</f>
        <v>0</v>
      </c>
      <c r="K2">
        <f>BDH("BRN US Equity","BS_CASH_NEAR_CASH_ITEM","1993-06-18","2026-05-02","Per=Y","Days=T","Dir=V")</f>
        <v>0</v>
      </c>
      <c r="M2">
        <f>BDH("BRN US Equity","BS_CUR_ASSET_REPORT","1993-06-18","2026-05-02","Per=Y","Days=T","Dir=V")</f>
        <v>0</v>
      </c>
      <c r="O2">
        <f>BDH("BRN US Equity","BS_CUR_LIAB","1993-06-18","2026-05-02","Per=Y","Days=T","Dir=V")</f>
        <v>0</v>
      </c>
      <c r="Q2">
        <f>BDH("BRN US Equity","BS_SHAREHOLDER_EQY_ENDING_PERIOD","1993-06-18","2026-05-02","Per=Y","Days=T","Dir=V")</f>
        <v>0</v>
      </c>
      <c r="S2">
        <f>BDH("BRN US Equity","BS_ACCT_NOTE_RCV","1993-06-18","2026-05-02","Per=Y","Days=T","Dir=V")</f>
        <v>0</v>
      </c>
      <c r="U2">
        <f>BDH("BRN US Equity","BS_INVENTORIES","1993-06-18","2026-05-02","Per=Y","Days=T","Dir=V")</f>
        <v>0</v>
      </c>
      <c r="W2">
        <f>BDH("BRN US Equity","WORKING_CAPITAL","1993-06-18","2026-05-02","Per=Y","Days=T","Dir=V")</f>
        <v>0</v>
      </c>
      <c r="Y2">
        <f>BDH("BRN US Equity","SALES_REV_TURN","1993-06-18","2026-05-02","Per=Y","Days=T","Dir=V")</f>
        <v>0</v>
      </c>
      <c r="AA2">
        <f>BDH("BRN US Equity","EBIT","1993-06-18","2026-05-02","Per=Y","Days=T","Dir=V")</f>
        <v>0</v>
      </c>
      <c r="AC2">
        <f>BDH("BRN US Equity","EBITDA","1993-06-18","2026-05-02","Per=Y","Days=T","Dir=V")</f>
        <v>0</v>
      </c>
      <c r="AE2">
        <f>BDH("BRN US Equity","NET_INCOME","1993-06-18","2026-05-02","Per=Y","Days=T","Dir=V")</f>
        <v>0</v>
      </c>
      <c r="AG2">
        <f>BDH("BRN US Equity","IS_INT_EXPENSE","1993-06-18","2026-05-02","Per=Y","Days=T","Dir=V")</f>
        <v>0</v>
      </c>
      <c r="AI2">
        <f>BDH("BRN US Equity","IS_DEPR_EXP","1993-06-18","2026-05-02","Per=Y","Days=T","Dir=V")</f>
        <v>0</v>
      </c>
      <c r="AK2">
        <f>BDH("BRN US Equity","CF_CASH_FROM_OPER","1993-06-18","2026-05-02","Per=Y","Days=T","Dir=V")</f>
        <v>0</v>
      </c>
      <c r="AM2">
        <f>BDH("BRN US Equity","CAPITAL_EXPEND","1993-06-18","2026-05-02","Per=Y","Days=T","Dir=V")</f>
        <v>0</v>
      </c>
      <c r="AO2">
        <f>BDH("BRN US Equity","CF_FREE_CASH_FLOW","1993-06-18","2026-05-02","Per=Y","Days=T","Dir=V")</f>
        <v>0</v>
      </c>
      <c r="AQ2">
        <f>BDH("BRN US Equity","PX_LAST","1993-06-18","2026-05-02","Per=M","Days=T","Dir=V")</f>
        <v>0</v>
      </c>
      <c r="AS2">
        <f>BDH("BRN US Equity","CUR_MKT_CAP","1993-06-18","2026-05-02","Per=M","Days=T","Dir=V")</f>
        <v>0</v>
      </c>
      <c r="AU2">
        <f>BDH("BRN US Equity","EQY_SH_OUT","1993-06-18","2026-05-02","Per=M","Days=T","Dir=V")</f>
        <v>0</v>
      </c>
      <c r="AW2">
        <f>BDH("BRN US Equity","PX_VOLUME","1993-06-18","2026-05-02","Per=M","Days=T","Dir=V")</f>
        <v>0</v>
      </c>
      <c r="AY2">
        <f>BDH("BRN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BDH("BROS US Equity","BS_TOT_ASSET","1993-06-18","2026-05-02","Per=Y","Days=T","Dir=V")</f>
        <v>0</v>
      </c>
      <c r="C2">
        <f>BDH("BROS US Equity","BS_TOT_LIAB2","1993-06-18","2026-05-02","Per=Y","Days=T","Dir=V")</f>
        <v>0</v>
      </c>
      <c r="E2">
        <f>BDH("BROS US Equity","SHORT_AND_LONG_TERM_DEBT","1993-06-18","2026-05-02","Per=Y","Days=T","Dir=V")</f>
        <v>0</v>
      </c>
      <c r="G2">
        <f>BDH("BROS US Equity","BS_ST_BORROW","1993-06-18","2026-05-02","Per=Y","Days=T","Dir=V")</f>
        <v>0</v>
      </c>
      <c r="I2">
        <f>BDH("BROS US Equity","BS_LT_BORROW","1993-06-18","2026-05-02","Per=Y","Days=T","Dir=V")</f>
        <v>0</v>
      </c>
      <c r="K2">
        <f>BDH("BROS US Equity","BS_CASH_NEAR_CASH_ITEM","1993-06-18","2026-05-02","Per=Y","Days=T","Dir=V")</f>
        <v>0</v>
      </c>
      <c r="M2">
        <f>BDH("BROS US Equity","BS_CUR_ASSET_REPORT","1993-06-18","2026-05-02","Per=Y","Days=T","Dir=V")</f>
        <v>0</v>
      </c>
      <c r="O2">
        <f>BDH("BROS US Equity","BS_CUR_LIAB","1993-06-18","2026-05-02","Per=Y","Days=T","Dir=V")</f>
        <v>0</v>
      </c>
      <c r="Q2">
        <f>BDH("BROS US Equity","BS_SHAREHOLDER_EQY_ENDING_PERIOD","1993-06-18","2026-05-02","Per=Y","Days=T","Dir=V")</f>
        <v>0</v>
      </c>
      <c r="S2">
        <f>BDH("BROS US Equity","BS_ACCT_NOTE_RCV","1993-06-18","2026-05-02","Per=Y","Days=T","Dir=V")</f>
        <v>0</v>
      </c>
      <c r="U2">
        <f>BDH("BROS US Equity","BS_INVENTORIES","1993-06-18","2026-05-02","Per=Y","Days=T","Dir=V")</f>
        <v>0</v>
      </c>
      <c r="W2">
        <f>BDH("BROS US Equity","WORKING_CAPITAL","1993-06-18","2026-05-02","Per=Y","Days=T","Dir=V")</f>
        <v>0</v>
      </c>
      <c r="Y2">
        <f>BDH("BROS US Equity","SALES_REV_TURN","1993-06-18","2026-05-02","Per=Y","Days=T","Dir=V")</f>
        <v>0</v>
      </c>
      <c r="AA2">
        <f>BDH("BROS US Equity","EBIT","1993-06-18","2026-05-02","Per=Y","Days=T","Dir=V")</f>
        <v>0</v>
      </c>
      <c r="AC2">
        <f>BDH("BROS US Equity","EBITDA","1993-06-18","2026-05-02","Per=Y","Days=T","Dir=V")</f>
        <v>0</v>
      </c>
      <c r="AE2">
        <f>BDH("BROS US Equity","NET_INCOME","1993-06-18","2026-05-02","Per=Y","Days=T","Dir=V")</f>
        <v>0</v>
      </c>
      <c r="AG2">
        <f>BDH("BROS US Equity","IS_INT_EXPENSE","1993-06-18","2026-05-02","Per=Y","Days=T","Dir=V")</f>
        <v>0</v>
      </c>
      <c r="AI2">
        <f>BDH("BROS US Equity","IS_DEPR_EXP","1993-06-18","2026-05-02","Per=Y","Days=T","Dir=V")</f>
        <v>0</v>
      </c>
      <c r="AK2">
        <f>BDH("BROS US Equity","CF_CASH_FROM_OPER","1993-06-18","2026-05-02","Per=Y","Days=T","Dir=V")</f>
        <v>0</v>
      </c>
      <c r="AM2">
        <f>BDH("BROS US Equity","CAPITAL_EXPEND","1993-06-18","2026-05-02","Per=Y","Days=T","Dir=V")</f>
        <v>0</v>
      </c>
      <c r="AO2">
        <f>BDH("BROS US Equity","CF_FREE_CASH_FLOW","1993-06-18","2026-05-02","Per=Y","Days=T","Dir=V")</f>
        <v>0</v>
      </c>
      <c r="AQ2">
        <f>BDH("BROS US Equity","PX_LAST","1993-06-18","2026-05-02","Per=M","Days=T","Dir=V")</f>
        <v>0</v>
      </c>
      <c r="AS2">
        <f>BDH("BROS US Equity","CUR_MKT_CAP","1993-06-18","2026-05-02","Per=M","Days=T","Dir=V")</f>
        <v>0</v>
      </c>
      <c r="AU2">
        <f>BDH("BROS US Equity","EQY_SH_OUT","1993-06-18","2026-05-02","Per=M","Days=T","Dir=V")</f>
        <v>0</v>
      </c>
      <c r="AW2">
        <f>BDH("BROS US Equity","PX_VOLUME","1993-06-18","2026-05-02","Per=M","Days=T","Dir=V")</f>
        <v>0</v>
      </c>
      <c r="AY2">
        <f>BDH("BROS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BDH("BRSL US Equity","BS_TOT_ASSET","1993-06-18","2026-05-02","Per=Y","Days=T","Dir=V")</f>
        <v>0</v>
      </c>
      <c r="C2">
        <f>BDH("BRSL US Equity","BS_TOT_LIAB2","1993-06-18","2026-05-02","Per=Y","Days=T","Dir=V")</f>
        <v>0</v>
      </c>
      <c r="E2">
        <f>BDH("BRSL US Equity","SHORT_AND_LONG_TERM_DEBT","1993-06-18","2026-05-02","Per=Y","Days=T","Dir=V")</f>
        <v>0</v>
      </c>
      <c r="G2">
        <f>BDH("BRSL US Equity","BS_ST_BORROW","1993-06-18","2026-05-02","Per=Y","Days=T","Dir=V")</f>
        <v>0</v>
      </c>
      <c r="I2">
        <f>BDH("BRSL US Equity","BS_LT_BORROW","1993-06-18","2026-05-02","Per=Y","Days=T","Dir=V")</f>
        <v>0</v>
      </c>
      <c r="K2">
        <f>BDH("BRSL US Equity","BS_CASH_NEAR_CASH_ITEM","1993-06-18","2026-05-02","Per=Y","Days=T","Dir=V")</f>
        <v>0</v>
      </c>
      <c r="M2">
        <f>BDH("BRSL US Equity","BS_CUR_ASSET_REPORT","1993-06-18","2026-05-02","Per=Y","Days=T","Dir=V")</f>
        <v>0</v>
      </c>
      <c r="O2">
        <f>BDH("BRSL US Equity","BS_CUR_LIAB","1993-06-18","2026-05-02","Per=Y","Days=T","Dir=V")</f>
        <v>0</v>
      </c>
      <c r="Q2">
        <f>BDH("BRSL US Equity","BS_SHAREHOLDER_EQY_ENDING_PERIOD","1993-06-18","2026-05-02","Per=Y","Days=T","Dir=V")</f>
        <v>0</v>
      </c>
      <c r="S2">
        <f>BDH("BRSL US Equity","BS_ACCT_NOTE_RCV","1993-06-18","2026-05-02","Per=Y","Days=T","Dir=V")</f>
        <v>0</v>
      </c>
      <c r="U2">
        <f>BDH("BRSL US Equity","BS_INVENTORIES","1993-06-18","2026-05-02","Per=Y","Days=T","Dir=V")</f>
        <v>0</v>
      </c>
      <c r="W2">
        <f>BDH("BRSL US Equity","WORKING_CAPITAL","1993-06-18","2026-05-02","Per=Y","Days=T","Dir=V")</f>
        <v>0</v>
      </c>
      <c r="Y2">
        <f>BDH("BRSL US Equity","SALES_REV_TURN","1993-06-18","2026-05-02","Per=Y","Days=T","Dir=V")</f>
        <v>0</v>
      </c>
      <c r="AA2">
        <f>BDH("BRSL US Equity","EBIT","1993-06-18","2026-05-02","Per=Y","Days=T","Dir=V")</f>
        <v>0</v>
      </c>
      <c r="AC2">
        <f>BDH("BRSL US Equity","EBITDA","1993-06-18","2026-05-02","Per=Y","Days=T","Dir=V")</f>
        <v>0</v>
      </c>
      <c r="AE2">
        <f>BDH("BRSL US Equity","NET_INCOME","1993-06-18","2026-05-02","Per=Y","Days=T","Dir=V")</f>
        <v>0</v>
      </c>
      <c r="AG2">
        <f>BDH("BRSL US Equity","IS_INT_EXPENSE","1993-06-18","2026-05-02","Per=Y","Days=T","Dir=V")</f>
        <v>0</v>
      </c>
      <c r="AI2">
        <f>BDH("BRSL US Equity","IS_DEPR_EXP","1993-06-18","2026-05-02","Per=Y","Days=T","Dir=V")</f>
        <v>0</v>
      </c>
      <c r="AK2">
        <f>BDH("BRSL US Equity","CF_CASH_FROM_OPER","1993-06-18","2026-05-02","Per=Y","Days=T","Dir=V")</f>
        <v>0</v>
      </c>
      <c r="AM2">
        <f>BDH("BRSL US Equity","CAPITAL_EXPEND","1993-06-18","2026-05-02","Per=Y","Days=T","Dir=V")</f>
        <v>0</v>
      </c>
      <c r="AO2">
        <f>BDH("BRSL US Equity","CF_FREE_CASH_FLOW","1993-06-18","2026-05-02","Per=Y","Days=T","Dir=V")</f>
        <v>0</v>
      </c>
      <c r="AQ2">
        <f>BDH("BRSL US Equity","PX_LAST","1993-06-18","2026-05-02","Per=M","Days=T","Dir=V")</f>
        <v>0</v>
      </c>
      <c r="AS2">
        <f>BDH("BRSL US Equity","CUR_MKT_CAP","1993-06-18","2026-05-02","Per=M","Days=T","Dir=V")</f>
        <v>0</v>
      </c>
      <c r="AU2">
        <f>BDH("BRSL US Equity","EQY_SH_OUT","1993-06-18","2026-05-02","Per=M","Days=T","Dir=V")</f>
        <v>0</v>
      </c>
      <c r="AW2">
        <f>BDH("BRSL US Equity","PX_VOLUME","1993-06-18","2026-05-02","Per=M","Days=T","Dir=V")</f>
        <v>0</v>
      </c>
      <c r="AY2">
        <f>BDH("BRSL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BDH("BRTX US Equity","BS_TOT_ASSET","1993-06-18","2026-05-02","Per=Y","Days=T","Dir=V")</f>
        <v>0</v>
      </c>
      <c r="C2">
        <f>BDH("BRTX US Equity","BS_TOT_LIAB2","1993-06-18","2026-05-02","Per=Y","Days=T","Dir=V")</f>
        <v>0</v>
      </c>
      <c r="E2">
        <f>BDH("BRTX US Equity","SHORT_AND_LONG_TERM_DEBT","1993-06-18","2026-05-02","Per=Y","Days=T","Dir=V")</f>
        <v>0</v>
      </c>
      <c r="G2">
        <f>BDH("BRTX US Equity","BS_ST_BORROW","1993-06-18","2026-05-02","Per=Y","Days=T","Dir=V")</f>
        <v>0</v>
      </c>
      <c r="I2">
        <f>BDH("BRTX US Equity","BS_LT_BORROW","1993-06-18","2026-05-02","Per=Y","Days=T","Dir=V")</f>
        <v>0</v>
      </c>
      <c r="K2">
        <f>BDH("BRTX US Equity","BS_CASH_NEAR_CASH_ITEM","1993-06-18","2026-05-02","Per=Y","Days=T","Dir=V")</f>
        <v>0</v>
      </c>
      <c r="M2">
        <f>BDH("BRTX US Equity","BS_CUR_ASSET_REPORT","1993-06-18","2026-05-02","Per=Y","Days=T","Dir=V")</f>
        <v>0</v>
      </c>
      <c r="O2">
        <f>BDH("BRTX US Equity","BS_CUR_LIAB","1993-06-18","2026-05-02","Per=Y","Days=T","Dir=V")</f>
        <v>0</v>
      </c>
      <c r="Q2">
        <f>BDH("BRTX US Equity","BS_SHAREHOLDER_EQY_ENDING_PERIOD","1993-06-18","2026-05-02","Per=Y","Days=T","Dir=V")</f>
        <v>0</v>
      </c>
      <c r="S2">
        <f>BDH("BRTX US Equity","BS_ACCT_NOTE_RCV","1993-06-18","2026-05-02","Per=Y","Days=T","Dir=V")</f>
        <v>0</v>
      </c>
      <c r="U2">
        <f>BDH("BRTX US Equity","BS_INVENTORIES","1993-06-18","2026-05-02","Per=Y","Days=T","Dir=V")</f>
        <v>0</v>
      </c>
      <c r="W2">
        <f>BDH("BRTX US Equity","WORKING_CAPITAL","1993-06-18","2026-05-02","Per=Y","Days=T","Dir=V")</f>
        <v>0</v>
      </c>
      <c r="Y2">
        <f>BDH("BRTX US Equity","SALES_REV_TURN","1993-06-18","2026-05-02","Per=Y","Days=T","Dir=V")</f>
        <v>0</v>
      </c>
      <c r="AA2">
        <f>BDH("BRTX US Equity","EBIT","1993-06-18","2026-05-02","Per=Y","Days=T","Dir=V")</f>
        <v>0</v>
      </c>
      <c r="AC2">
        <f>BDH("BRTX US Equity","EBITDA","1993-06-18","2026-05-02","Per=Y","Days=T","Dir=V")</f>
        <v>0</v>
      </c>
      <c r="AE2">
        <f>BDH("BRTX US Equity","NET_INCOME","1993-06-18","2026-05-02","Per=Y","Days=T","Dir=V")</f>
        <v>0</v>
      </c>
      <c r="AG2">
        <f>BDH("BRTX US Equity","IS_INT_EXPENSE","1993-06-18","2026-05-02","Per=Y","Days=T","Dir=V")</f>
        <v>0</v>
      </c>
      <c r="AI2">
        <f>BDH("BRTX US Equity","IS_DEPR_EXP","1993-06-18","2026-05-02","Per=Y","Days=T","Dir=V")</f>
        <v>0</v>
      </c>
      <c r="AK2">
        <f>BDH("BRTX US Equity","CF_CASH_FROM_OPER","1993-06-18","2026-05-02","Per=Y","Days=T","Dir=V")</f>
        <v>0</v>
      </c>
      <c r="AM2">
        <f>BDH("BRTX US Equity","CAPITAL_EXPEND","1993-06-18","2026-05-02","Per=Y","Days=T","Dir=V")</f>
        <v>0</v>
      </c>
      <c r="AO2">
        <f>BDH("BRTX US Equity","CF_FREE_CASH_FLOW","1993-06-18","2026-05-02","Per=Y","Days=T","Dir=V")</f>
        <v>0</v>
      </c>
      <c r="AQ2">
        <f>BDH("BRTX US Equity","PX_LAST","1993-06-18","2026-05-02","Per=M","Days=T","Dir=V")</f>
        <v>0</v>
      </c>
      <c r="AS2">
        <f>BDH("BRTX US Equity","CUR_MKT_CAP","1993-06-18","2026-05-02","Per=M","Days=T","Dir=V")</f>
        <v>0</v>
      </c>
      <c r="AU2">
        <f>BDH("BRTX US Equity","EQY_SH_OUT","1993-06-18","2026-05-02","Per=M","Days=T","Dir=V")</f>
        <v>0</v>
      </c>
      <c r="AW2">
        <f>BDH("BRTX US Equity","PX_VOLUME","1993-06-18","2026-05-02","Per=M","Days=T","Dir=V")</f>
        <v>0</v>
      </c>
      <c r="AY2">
        <f>BDH("BRTX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BDH("BRUN US Equity","BS_TOT_ASSET","1993-06-18","2026-05-02","Per=Y","Days=T","Dir=V")</f>
        <v>0</v>
      </c>
      <c r="C2">
        <f>BDH("BRUN US Equity","BS_TOT_LIAB2","1993-06-18","2026-05-02","Per=Y","Days=T","Dir=V")</f>
        <v>0</v>
      </c>
      <c r="E2">
        <f>BDH("BRUN US Equity","SHORT_AND_LONG_TERM_DEBT","1993-06-18","2026-05-02","Per=Y","Days=T","Dir=V")</f>
        <v>0</v>
      </c>
      <c r="G2">
        <f>BDH("BRUN US Equity","BS_ST_BORROW","1993-06-18","2026-05-02","Per=Y","Days=T","Dir=V")</f>
        <v>0</v>
      </c>
      <c r="I2">
        <f>BDH("BRUN US Equity","BS_LT_BORROW","1993-06-18","2026-05-02","Per=Y","Days=T","Dir=V")</f>
        <v>0</v>
      </c>
      <c r="K2">
        <f>BDH("BRUN US Equity","BS_CASH_NEAR_CASH_ITEM","1993-06-18","2026-05-02","Per=Y","Days=T","Dir=V")</f>
        <v>0</v>
      </c>
      <c r="M2">
        <f>BDH("BRUN US Equity","BS_CUR_ASSET_REPORT","1993-06-18","2026-05-02","Per=Y","Days=T","Dir=V")</f>
        <v>0</v>
      </c>
      <c r="O2">
        <f>BDH("BRUN US Equity","BS_CUR_LIAB","1993-06-18","2026-05-02","Per=Y","Days=T","Dir=V")</f>
        <v>0</v>
      </c>
      <c r="Q2">
        <f>BDH("BRUN US Equity","BS_SHAREHOLDER_EQY_ENDING_PERIOD","1993-06-18","2026-05-02","Per=Y","Days=T","Dir=V")</f>
        <v>0</v>
      </c>
      <c r="S2">
        <f>BDH("BRUN US Equity","BS_ACCT_NOTE_RCV","1993-06-18","2026-05-02","Per=Y","Days=T","Dir=V")</f>
        <v>0</v>
      </c>
      <c r="U2">
        <f>BDH("BRUN US Equity","BS_INVENTORIES","1993-06-18","2026-05-02","Per=Y","Days=T","Dir=V")</f>
        <v>0</v>
      </c>
      <c r="W2">
        <f>BDH("BRUN US Equity","WORKING_CAPITAL","1993-06-18","2026-05-02","Per=Y","Days=T","Dir=V")</f>
        <v>0</v>
      </c>
      <c r="Y2">
        <f>BDH("BRUN US Equity","SALES_REV_TURN","1993-06-18","2026-05-02","Per=Y","Days=T","Dir=V")</f>
        <v>0</v>
      </c>
      <c r="AA2">
        <f>BDH("BRUN US Equity","EBIT","1993-06-18","2026-05-02","Per=Y","Days=T","Dir=V")</f>
        <v>0</v>
      </c>
      <c r="AC2">
        <f>BDH("BRUN US Equity","EBITDA","1993-06-18","2026-05-02","Per=Y","Days=T","Dir=V")</f>
        <v>0</v>
      </c>
      <c r="AE2">
        <f>BDH("BRUN US Equity","NET_INCOME","1993-06-18","2026-05-02","Per=Y","Days=T","Dir=V")</f>
        <v>0</v>
      </c>
      <c r="AG2">
        <f>BDH("BRUN US Equity","IS_INT_EXPENSE","1993-06-18","2026-05-02","Per=Y","Days=T","Dir=V")</f>
        <v>0</v>
      </c>
      <c r="AI2">
        <f>BDH("BRUN US Equity","IS_DEPR_EXP","1993-06-18","2026-05-02","Per=Y","Days=T","Dir=V")</f>
        <v>0</v>
      </c>
      <c r="AK2">
        <f>BDH("BRUN US Equity","CF_CASH_FROM_OPER","1993-06-18","2026-05-02","Per=Y","Days=T","Dir=V")</f>
        <v>0</v>
      </c>
      <c r="AM2">
        <f>BDH("BRUN US Equity","CAPITAL_EXPEND","1993-06-18","2026-05-02","Per=Y","Days=T","Dir=V")</f>
        <v>0</v>
      </c>
      <c r="AO2">
        <f>BDH("BRUN US Equity","CF_FREE_CASH_FLOW","1993-06-18","2026-05-02","Per=Y","Days=T","Dir=V")</f>
        <v>0</v>
      </c>
      <c r="AQ2">
        <f>BDH("BRUN US Equity","PX_LAST","1993-06-18","2026-05-02","Per=M","Days=T","Dir=V")</f>
        <v>0</v>
      </c>
      <c r="AS2">
        <f>BDH("BRUN US Equity","CUR_MKT_CAP","1993-06-18","2026-05-02","Per=M","Days=T","Dir=V")</f>
        <v>0</v>
      </c>
      <c r="AU2">
        <f>BDH("BRUN US Equity","EQY_SH_OUT","1993-06-18","2026-05-02","Per=M","Days=T","Dir=V")</f>
        <v>0</v>
      </c>
      <c r="AW2">
        <f>BDH("BRUN US Equity","PX_VOLUME","1993-06-18","2026-05-02","Per=M","Days=T","Dir=V")</f>
        <v>0</v>
      </c>
      <c r="AY2">
        <f>BDH("BRUN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BDH("BRVE US Equity","BS_TOT_ASSET","1993-06-18","2026-05-02","Per=Y","Days=T","Dir=V")</f>
        <v>0</v>
      </c>
      <c r="C2">
        <f>BDH("BRVE US Equity","BS_TOT_LIAB2","1993-06-18","2026-05-02","Per=Y","Days=T","Dir=V")</f>
        <v>0</v>
      </c>
      <c r="E2">
        <f>BDH("BRVE US Equity","SHORT_AND_LONG_TERM_DEBT","1993-06-18","2026-05-02","Per=Y","Days=T","Dir=V")</f>
        <v>0</v>
      </c>
      <c r="G2">
        <f>BDH("BRVE US Equity","BS_ST_BORROW","1993-06-18","2026-05-02","Per=Y","Days=T","Dir=V")</f>
        <v>0</v>
      </c>
      <c r="I2">
        <f>BDH("BRVE US Equity","BS_LT_BORROW","1993-06-18","2026-05-02","Per=Y","Days=T","Dir=V")</f>
        <v>0</v>
      </c>
      <c r="K2">
        <f>BDH("BRVE US Equity","BS_CASH_NEAR_CASH_ITEM","1993-06-18","2026-05-02","Per=Y","Days=T","Dir=V")</f>
        <v>0</v>
      </c>
      <c r="M2">
        <f>BDH("BRVE US Equity","BS_CUR_ASSET_REPORT","1993-06-18","2026-05-02","Per=Y","Days=T","Dir=V")</f>
        <v>0</v>
      </c>
      <c r="O2">
        <f>BDH("BRVE US Equity","BS_CUR_LIAB","1993-06-18","2026-05-02","Per=Y","Days=T","Dir=V")</f>
        <v>0</v>
      </c>
      <c r="Q2">
        <f>BDH("BRVE US Equity","BS_SHAREHOLDER_EQY_ENDING_PERIOD","1993-06-18","2026-05-02","Per=Y","Days=T","Dir=V")</f>
        <v>0</v>
      </c>
      <c r="S2">
        <f>BDH("BRVE US Equity","BS_ACCT_NOTE_RCV","1993-06-18","2026-05-02","Per=Y","Days=T","Dir=V")</f>
        <v>0</v>
      </c>
      <c r="U2">
        <f>BDH("BRVE US Equity","BS_INVENTORIES","1993-06-18","2026-05-02","Per=Y","Days=T","Dir=V")</f>
        <v>0</v>
      </c>
      <c r="W2">
        <f>BDH("BRVE US Equity","WORKING_CAPITAL","1993-06-18","2026-05-02","Per=Y","Days=T","Dir=V")</f>
        <v>0</v>
      </c>
      <c r="Y2">
        <f>BDH("BRVE US Equity","SALES_REV_TURN","1993-06-18","2026-05-02","Per=Y","Days=T","Dir=V")</f>
        <v>0</v>
      </c>
      <c r="AA2">
        <f>BDH("BRVE US Equity","EBIT","1993-06-18","2026-05-02","Per=Y","Days=T","Dir=V")</f>
        <v>0</v>
      </c>
      <c r="AC2">
        <f>BDH("BRVE US Equity","EBITDA","1993-06-18","2026-05-02","Per=Y","Days=T","Dir=V")</f>
        <v>0</v>
      </c>
      <c r="AE2">
        <f>BDH("BRVE US Equity","NET_INCOME","1993-06-18","2026-05-02","Per=Y","Days=T","Dir=V")</f>
        <v>0</v>
      </c>
      <c r="AG2">
        <f>BDH("BRVE US Equity","IS_INT_EXPENSE","1993-06-18","2026-05-02","Per=Y","Days=T","Dir=V")</f>
        <v>0</v>
      </c>
      <c r="AI2">
        <f>BDH("BRVE US Equity","IS_DEPR_EXP","1993-06-18","2026-05-02","Per=Y","Days=T","Dir=V")</f>
        <v>0</v>
      </c>
      <c r="AK2">
        <f>BDH("BRVE US Equity","CF_CASH_FROM_OPER","1993-06-18","2026-05-02","Per=Y","Days=T","Dir=V")</f>
        <v>0</v>
      </c>
      <c r="AM2">
        <f>BDH("BRVE US Equity","CAPITAL_EXPEND","1993-06-18","2026-05-02","Per=Y","Days=T","Dir=V")</f>
        <v>0</v>
      </c>
      <c r="AO2">
        <f>BDH("BRVE US Equity","CF_FREE_CASH_FLOW","1993-06-18","2026-05-02","Per=Y","Days=T","Dir=V")</f>
        <v>0</v>
      </c>
      <c r="AQ2">
        <f>BDH("BRVE US Equity","PX_LAST","1993-06-18","2026-05-02","Per=M","Days=T","Dir=V")</f>
        <v>0</v>
      </c>
      <c r="AS2">
        <f>BDH("BRVE US Equity","CUR_MKT_CAP","1993-06-18","2026-05-02","Per=M","Days=T","Dir=V")</f>
        <v>0</v>
      </c>
      <c r="AU2">
        <f>BDH("BRVE US Equity","EQY_SH_OUT","1993-06-18","2026-05-02","Per=M","Days=T","Dir=V")</f>
        <v>0</v>
      </c>
      <c r="AW2">
        <f>BDH("BRVE US Equity","PX_VOLUME","1993-06-18","2026-05-02","Per=M","Days=T","Dir=V")</f>
        <v>0</v>
      </c>
      <c r="AY2">
        <f>BDH("BRVE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BDH("BRZE US Equity","BS_TOT_ASSET","1993-06-18","2026-05-02","Per=Y","Days=T","Dir=V")</f>
        <v>0</v>
      </c>
      <c r="C2">
        <f>BDH("BRZE US Equity","BS_TOT_LIAB2","1993-06-18","2026-05-02","Per=Y","Days=T","Dir=V")</f>
        <v>0</v>
      </c>
      <c r="E2">
        <f>BDH("BRZE US Equity","SHORT_AND_LONG_TERM_DEBT","1993-06-18","2026-05-02","Per=Y","Days=T","Dir=V")</f>
        <v>0</v>
      </c>
      <c r="G2">
        <f>BDH("BRZE US Equity","BS_ST_BORROW","1993-06-18","2026-05-02","Per=Y","Days=T","Dir=V")</f>
        <v>0</v>
      </c>
      <c r="I2">
        <f>BDH("BRZE US Equity","BS_LT_BORROW","1993-06-18","2026-05-02","Per=Y","Days=T","Dir=V")</f>
        <v>0</v>
      </c>
      <c r="K2">
        <f>BDH("BRZE US Equity","BS_CASH_NEAR_CASH_ITEM","1993-06-18","2026-05-02","Per=Y","Days=T","Dir=V")</f>
        <v>0</v>
      </c>
      <c r="M2">
        <f>BDH("BRZE US Equity","BS_CUR_ASSET_REPORT","1993-06-18","2026-05-02","Per=Y","Days=T","Dir=V")</f>
        <v>0</v>
      </c>
      <c r="O2">
        <f>BDH("BRZE US Equity","BS_CUR_LIAB","1993-06-18","2026-05-02","Per=Y","Days=T","Dir=V")</f>
        <v>0</v>
      </c>
      <c r="Q2">
        <f>BDH("BRZE US Equity","BS_SHAREHOLDER_EQY_ENDING_PERIOD","1993-06-18","2026-05-02","Per=Y","Days=T","Dir=V")</f>
        <v>0</v>
      </c>
      <c r="S2">
        <f>BDH("BRZE US Equity","BS_ACCT_NOTE_RCV","1993-06-18","2026-05-02","Per=Y","Days=T","Dir=V")</f>
        <v>0</v>
      </c>
      <c r="U2">
        <f>BDH("BRZE US Equity","BS_INVENTORIES","1993-06-18","2026-05-02","Per=Y","Days=T","Dir=V")</f>
        <v>0</v>
      </c>
      <c r="W2">
        <f>BDH("BRZE US Equity","WORKING_CAPITAL","1993-06-18","2026-05-02","Per=Y","Days=T","Dir=V")</f>
        <v>0</v>
      </c>
      <c r="Y2">
        <f>BDH("BRZE US Equity","SALES_REV_TURN","1993-06-18","2026-05-02","Per=Y","Days=T","Dir=V")</f>
        <v>0</v>
      </c>
      <c r="AA2">
        <f>BDH("BRZE US Equity","EBIT","1993-06-18","2026-05-02","Per=Y","Days=T","Dir=V")</f>
        <v>0</v>
      </c>
      <c r="AC2">
        <f>BDH("BRZE US Equity","EBITDA","1993-06-18","2026-05-02","Per=Y","Days=T","Dir=V")</f>
        <v>0</v>
      </c>
      <c r="AE2">
        <f>BDH("BRZE US Equity","NET_INCOME","1993-06-18","2026-05-02","Per=Y","Days=T","Dir=V")</f>
        <v>0</v>
      </c>
      <c r="AG2">
        <f>BDH("BRZE US Equity","IS_INT_EXPENSE","1993-06-18","2026-05-02","Per=Y","Days=T","Dir=V")</f>
        <v>0</v>
      </c>
      <c r="AI2">
        <f>BDH("BRZE US Equity","IS_DEPR_EXP","1993-06-18","2026-05-02","Per=Y","Days=T","Dir=V")</f>
        <v>0</v>
      </c>
      <c r="AK2">
        <f>BDH("BRZE US Equity","CF_CASH_FROM_OPER","1993-06-18","2026-05-02","Per=Y","Days=T","Dir=V")</f>
        <v>0</v>
      </c>
      <c r="AM2">
        <f>BDH("BRZE US Equity","CAPITAL_EXPEND","1993-06-18","2026-05-02","Per=Y","Days=T","Dir=V")</f>
        <v>0</v>
      </c>
      <c r="AO2">
        <f>BDH("BRZE US Equity","CF_FREE_CASH_FLOW","1993-06-18","2026-05-02","Per=Y","Days=T","Dir=V")</f>
        <v>0</v>
      </c>
      <c r="AQ2">
        <f>BDH("BRZE US Equity","PX_LAST","1993-06-18","2026-05-02","Per=M","Days=T","Dir=V")</f>
        <v>0</v>
      </c>
      <c r="AS2">
        <f>BDH("BRZE US Equity","CUR_MKT_CAP","1993-06-18","2026-05-02","Per=M","Days=T","Dir=V")</f>
        <v>0</v>
      </c>
      <c r="AU2">
        <f>BDH("BRZE US Equity","EQY_SH_OUT","1993-06-18","2026-05-02","Per=M","Days=T","Dir=V")</f>
        <v>0</v>
      </c>
      <c r="AW2">
        <f>BDH("BRZE US Equity","PX_VOLUME","1993-06-18","2026-05-02","Per=M","Days=T","Dir=V")</f>
        <v>0</v>
      </c>
      <c r="AY2">
        <f>BDH("BRZE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BDH("BSEM US Equity","BS_TOT_ASSET","1993-06-18","2026-05-02","Per=Y","Days=T","Dir=V")</f>
        <v>0</v>
      </c>
      <c r="C2">
        <f>BDH("BSEM US Equity","BS_TOT_LIAB2","1993-06-18","2026-05-02","Per=Y","Days=T","Dir=V")</f>
        <v>0</v>
      </c>
      <c r="E2">
        <f>BDH("BSEM US Equity","SHORT_AND_LONG_TERM_DEBT","1993-06-18","2026-05-02","Per=Y","Days=T","Dir=V")</f>
        <v>0</v>
      </c>
      <c r="G2">
        <f>BDH("BSEM US Equity","BS_ST_BORROW","1993-06-18","2026-05-02","Per=Y","Days=T","Dir=V")</f>
        <v>0</v>
      </c>
      <c r="I2">
        <f>BDH("BSEM US Equity","BS_LT_BORROW","1993-06-18","2026-05-02","Per=Y","Days=T","Dir=V")</f>
        <v>0</v>
      </c>
      <c r="K2">
        <f>BDH("BSEM US Equity","BS_CASH_NEAR_CASH_ITEM","1993-06-18","2026-05-02","Per=Y","Days=T","Dir=V")</f>
        <v>0</v>
      </c>
      <c r="M2">
        <f>BDH("BSEM US Equity","BS_CUR_ASSET_REPORT","1993-06-18","2026-05-02","Per=Y","Days=T","Dir=V")</f>
        <v>0</v>
      </c>
      <c r="O2">
        <f>BDH("BSEM US Equity","BS_CUR_LIAB","1993-06-18","2026-05-02","Per=Y","Days=T","Dir=V")</f>
        <v>0</v>
      </c>
      <c r="Q2">
        <f>BDH("BSEM US Equity","BS_SHAREHOLDER_EQY_ENDING_PERIOD","1993-06-18","2026-05-02","Per=Y","Days=T","Dir=V")</f>
        <v>0</v>
      </c>
      <c r="S2">
        <f>BDH("BSEM US Equity","BS_ACCT_NOTE_RCV","1993-06-18","2026-05-02","Per=Y","Days=T","Dir=V")</f>
        <v>0</v>
      </c>
      <c r="U2">
        <f>BDH("BSEM US Equity","BS_INVENTORIES","1993-06-18","2026-05-02","Per=Y","Days=T","Dir=V")</f>
        <v>0</v>
      </c>
      <c r="W2">
        <f>BDH("BSEM US Equity","WORKING_CAPITAL","1993-06-18","2026-05-02","Per=Y","Days=T","Dir=V")</f>
        <v>0</v>
      </c>
      <c r="Y2">
        <f>BDH("BSEM US Equity","SALES_REV_TURN","1993-06-18","2026-05-02","Per=Y","Days=T","Dir=V")</f>
        <v>0</v>
      </c>
      <c r="AA2">
        <f>BDH("BSEM US Equity","EBIT","1993-06-18","2026-05-02","Per=Y","Days=T","Dir=V")</f>
        <v>0</v>
      </c>
      <c r="AC2">
        <f>BDH("BSEM US Equity","EBITDA","1993-06-18","2026-05-02","Per=Y","Days=T","Dir=V")</f>
        <v>0</v>
      </c>
      <c r="AE2">
        <f>BDH("BSEM US Equity","NET_INCOME","1993-06-18","2026-05-02","Per=Y","Days=T","Dir=V")</f>
        <v>0</v>
      </c>
      <c r="AG2">
        <f>BDH("BSEM US Equity","IS_INT_EXPENSE","1993-06-18","2026-05-02","Per=Y","Days=T","Dir=V")</f>
        <v>0</v>
      </c>
      <c r="AI2">
        <f>BDH("BSEM US Equity","IS_DEPR_EXP","1993-06-18","2026-05-02","Per=Y","Days=T","Dir=V")</f>
        <v>0</v>
      </c>
      <c r="AK2">
        <f>BDH("BSEM US Equity","CF_CASH_FROM_OPER","1993-06-18","2026-05-02","Per=Y","Days=T","Dir=V")</f>
        <v>0</v>
      </c>
      <c r="AM2">
        <f>BDH("BSEM US Equity","CAPITAL_EXPEND","1993-06-18","2026-05-02","Per=Y","Days=T","Dir=V")</f>
        <v>0</v>
      </c>
      <c r="AO2">
        <f>BDH("BSEM US Equity","CF_FREE_CASH_FLOW","1993-06-18","2026-05-02","Per=Y","Days=T","Dir=V")</f>
        <v>0</v>
      </c>
      <c r="AQ2">
        <f>BDH("BSEM US Equity","PX_LAST","1993-06-18","2026-05-02","Per=M","Days=T","Dir=V")</f>
        <v>0</v>
      </c>
      <c r="AS2">
        <f>BDH("BSEM US Equity","CUR_MKT_CAP","1993-06-18","2026-05-02","Per=M","Days=T","Dir=V")</f>
        <v>0</v>
      </c>
      <c r="AU2">
        <f>BDH("BSEM US Equity","EQY_SH_OUT","1993-06-18","2026-05-02","Per=M","Days=T","Dir=V")</f>
        <v>0</v>
      </c>
      <c r="AW2">
        <f>BDH("BSEM US Equity","PX_VOLUME","1993-06-18","2026-05-02","Per=M","Days=T","Dir=V")</f>
        <v>0</v>
      </c>
      <c r="AY2">
        <f>BDH("BSEM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BDH("BSET US Equity","BS_TOT_ASSET","1993-06-18","2026-05-02","Per=Y","Days=T","Dir=V")</f>
        <v>0</v>
      </c>
      <c r="C2">
        <f>BDH("BSET US Equity","BS_TOT_LIAB2","1993-06-18","2026-05-02","Per=Y","Days=T","Dir=V")</f>
        <v>0</v>
      </c>
      <c r="E2">
        <f>BDH("BSET US Equity","SHORT_AND_LONG_TERM_DEBT","1993-06-18","2026-05-02","Per=Y","Days=T","Dir=V")</f>
        <v>0</v>
      </c>
      <c r="G2">
        <f>BDH("BSET US Equity","BS_ST_BORROW","1993-06-18","2026-05-02","Per=Y","Days=T","Dir=V")</f>
        <v>0</v>
      </c>
      <c r="I2">
        <f>BDH("BSET US Equity","BS_LT_BORROW","1993-06-18","2026-05-02","Per=Y","Days=T","Dir=V")</f>
        <v>0</v>
      </c>
      <c r="K2">
        <f>BDH("BSET US Equity","BS_CASH_NEAR_CASH_ITEM","1993-06-18","2026-05-02","Per=Y","Days=T","Dir=V")</f>
        <v>0</v>
      </c>
      <c r="M2">
        <f>BDH("BSET US Equity","BS_CUR_ASSET_REPORT","1993-06-18","2026-05-02","Per=Y","Days=T","Dir=V")</f>
        <v>0</v>
      </c>
      <c r="O2">
        <f>BDH("BSET US Equity","BS_CUR_LIAB","1993-06-18","2026-05-02","Per=Y","Days=T","Dir=V")</f>
        <v>0</v>
      </c>
      <c r="Q2">
        <f>BDH("BSET US Equity","BS_SHAREHOLDER_EQY_ENDING_PERIOD","1993-06-18","2026-05-02","Per=Y","Days=T","Dir=V")</f>
        <v>0</v>
      </c>
      <c r="S2">
        <f>BDH("BSET US Equity","BS_ACCT_NOTE_RCV","1993-06-18","2026-05-02","Per=Y","Days=T","Dir=V")</f>
        <v>0</v>
      </c>
      <c r="U2">
        <f>BDH("BSET US Equity","BS_INVENTORIES","1993-06-18","2026-05-02","Per=Y","Days=T","Dir=V")</f>
        <v>0</v>
      </c>
      <c r="W2">
        <f>BDH("BSET US Equity","WORKING_CAPITAL","1993-06-18","2026-05-02","Per=Y","Days=T","Dir=V")</f>
        <v>0</v>
      </c>
      <c r="Y2">
        <f>BDH("BSET US Equity","SALES_REV_TURN","1993-06-18","2026-05-02","Per=Y","Days=T","Dir=V")</f>
        <v>0</v>
      </c>
      <c r="AA2">
        <f>BDH("BSET US Equity","EBIT","1993-06-18","2026-05-02","Per=Y","Days=T","Dir=V")</f>
        <v>0</v>
      </c>
      <c r="AC2">
        <f>BDH("BSET US Equity","EBITDA","1993-06-18","2026-05-02","Per=Y","Days=T","Dir=V")</f>
        <v>0</v>
      </c>
      <c r="AE2">
        <f>BDH("BSET US Equity","NET_INCOME","1993-06-18","2026-05-02","Per=Y","Days=T","Dir=V")</f>
        <v>0</v>
      </c>
      <c r="AG2">
        <f>BDH("BSET US Equity","IS_INT_EXPENSE","1993-06-18","2026-05-02","Per=Y","Days=T","Dir=V")</f>
        <v>0</v>
      </c>
      <c r="AI2">
        <f>BDH("BSET US Equity","IS_DEPR_EXP","1993-06-18","2026-05-02","Per=Y","Days=T","Dir=V")</f>
        <v>0</v>
      </c>
      <c r="AK2">
        <f>BDH("BSET US Equity","CF_CASH_FROM_OPER","1993-06-18","2026-05-02","Per=Y","Days=T","Dir=V")</f>
        <v>0</v>
      </c>
      <c r="AM2">
        <f>BDH("BSET US Equity","CAPITAL_EXPEND","1993-06-18","2026-05-02","Per=Y","Days=T","Dir=V")</f>
        <v>0</v>
      </c>
      <c r="AO2">
        <f>BDH("BSET US Equity","CF_FREE_CASH_FLOW","1993-06-18","2026-05-02","Per=Y","Days=T","Dir=V")</f>
        <v>0</v>
      </c>
      <c r="AQ2">
        <f>BDH("BSET US Equity","PX_LAST","1993-06-18","2026-05-02","Per=M","Days=T","Dir=V")</f>
        <v>0</v>
      </c>
      <c r="AS2">
        <f>BDH("BSET US Equity","CUR_MKT_CAP","1993-06-18","2026-05-02","Per=M","Days=T","Dir=V")</f>
        <v>0</v>
      </c>
      <c r="AU2">
        <f>BDH("BSET US Equity","EQY_SH_OUT","1993-06-18","2026-05-02","Per=M","Days=T","Dir=V")</f>
        <v>0</v>
      </c>
      <c r="AW2">
        <f>BDH("BSET US Equity","PX_VOLUME","1993-06-18","2026-05-02","Per=M","Days=T","Dir=V")</f>
        <v>0</v>
      </c>
      <c r="AY2">
        <f>BDH("BSET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BDH("BSIN US Equity","BS_TOT_ASSET","1993-06-18","2026-05-02","Per=Y","Days=T","Dir=V")</f>
        <v>0</v>
      </c>
      <c r="C2">
        <f>BDH("BSIN US Equity","BS_TOT_LIAB2","1993-06-18","2026-05-02","Per=Y","Days=T","Dir=V")</f>
        <v>0</v>
      </c>
      <c r="E2">
        <f>BDH("BSIN US Equity","SHORT_AND_LONG_TERM_DEBT","1993-06-18","2026-05-02","Per=Y","Days=T","Dir=V")</f>
        <v>0</v>
      </c>
      <c r="G2">
        <f>BDH("BSIN US Equity","BS_ST_BORROW","1993-06-18","2026-05-02","Per=Y","Days=T","Dir=V")</f>
        <v>0</v>
      </c>
      <c r="I2">
        <f>BDH("BSIN US Equity","BS_LT_BORROW","1993-06-18","2026-05-02","Per=Y","Days=T","Dir=V")</f>
        <v>0</v>
      </c>
      <c r="K2">
        <f>BDH("BSIN US Equity","BS_CASH_NEAR_CASH_ITEM","1993-06-18","2026-05-02","Per=Y","Days=T","Dir=V")</f>
        <v>0</v>
      </c>
      <c r="M2">
        <f>BDH("BSIN US Equity","BS_CUR_ASSET_REPORT","1993-06-18","2026-05-02","Per=Y","Days=T","Dir=V")</f>
        <v>0</v>
      </c>
      <c r="O2">
        <f>BDH("BSIN US Equity","BS_CUR_LIAB","1993-06-18","2026-05-02","Per=Y","Days=T","Dir=V")</f>
        <v>0</v>
      </c>
      <c r="Q2">
        <f>BDH("BSIN US Equity","BS_SHAREHOLDER_EQY_ENDING_PERIOD","1993-06-18","2026-05-02","Per=Y","Days=T","Dir=V")</f>
        <v>0</v>
      </c>
      <c r="S2">
        <f>BDH("BSIN US Equity","BS_ACCT_NOTE_RCV","1993-06-18","2026-05-02","Per=Y","Days=T","Dir=V")</f>
        <v>0</v>
      </c>
      <c r="U2">
        <f>BDH("BSIN US Equity","BS_INVENTORIES","1993-06-18","2026-05-02","Per=Y","Days=T","Dir=V")</f>
        <v>0</v>
      </c>
      <c r="W2">
        <f>BDH("BSIN US Equity","WORKING_CAPITAL","1993-06-18","2026-05-02","Per=Y","Days=T","Dir=V")</f>
        <v>0</v>
      </c>
      <c r="Y2">
        <f>BDH("BSIN US Equity","SALES_REV_TURN","1993-06-18","2026-05-02","Per=Y","Days=T","Dir=V")</f>
        <v>0</v>
      </c>
      <c r="AA2">
        <f>BDH("BSIN US Equity","EBIT","1993-06-18","2026-05-02","Per=Y","Days=T","Dir=V")</f>
        <v>0</v>
      </c>
      <c r="AC2">
        <f>BDH("BSIN US Equity","EBITDA","1993-06-18","2026-05-02","Per=Y","Days=T","Dir=V")</f>
        <v>0</v>
      </c>
      <c r="AE2">
        <f>BDH("BSIN US Equity","NET_INCOME","1993-06-18","2026-05-02","Per=Y","Days=T","Dir=V")</f>
        <v>0</v>
      </c>
      <c r="AG2">
        <f>BDH("BSIN US Equity","IS_INT_EXPENSE","1993-06-18","2026-05-02","Per=Y","Days=T","Dir=V")</f>
        <v>0</v>
      </c>
      <c r="AI2">
        <f>BDH("BSIN US Equity","IS_DEPR_EXP","1993-06-18","2026-05-02","Per=Y","Days=T","Dir=V")</f>
        <v>0</v>
      </c>
      <c r="AK2">
        <f>BDH("BSIN US Equity","CF_CASH_FROM_OPER","1993-06-18","2026-05-02","Per=Y","Days=T","Dir=V")</f>
        <v>0</v>
      </c>
      <c r="AM2">
        <f>BDH("BSIN US Equity","CAPITAL_EXPEND","1993-06-18","2026-05-02","Per=Y","Days=T","Dir=V")</f>
        <v>0</v>
      </c>
      <c r="AO2">
        <f>BDH("BSIN US Equity","CF_FREE_CASH_FLOW","1993-06-18","2026-05-02","Per=Y","Days=T","Dir=V")</f>
        <v>0</v>
      </c>
      <c r="AQ2">
        <f>BDH("BSIN US Equity","PX_LAST","1993-06-18","2026-05-02","Per=M","Days=T","Dir=V")</f>
        <v>0</v>
      </c>
      <c r="AS2">
        <f>BDH("BSIN US Equity","CUR_MKT_CAP","1993-06-18","2026-05-02","Per=M","Days=T","Dir=V")</f>
        <v>0</v>
      </c>
      <c r="AU2">
        <f>BDH("BSIN US Equity","EQY_SH_OUT","1993-06-18","2026-05-02","Per=M","Days=T","Dir=V")</f>
        <v>0</v>
      </c>
      <c r="AW2">
        <f>BDH("BSIN US Equity","PX_VOLUME","1993-06-18","2026-05-02","Per=M","Days=T","Dir=V")</f>
        <v>0</v>
      </c>
      <c r="AY2">
        <f>BDH("BSIN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BDH("BSM US Equity","BS_TOT_ASSET","1993-06-18","2026-05-02","Per=Y","Days=T","Dir=V")</f>
        <v>0</v>
      </c>
      <c r="C2">
        <f>BDH("BSM US Equity","BS_TOT_LIAB2","1993-06-18","2026-05-02","Per=Y","Days=T","Dir=V")</f>
        <v>0</v>
      </c>
      <c r="E2">
        <f>BDH("BSM US Equity","SHORT_AND_LONG_TERM_DEBT","1993-06-18","2026-05-02","Per=Y","Days=T","Dir=V")</f>
        <v>0</v>
      </c>
      <c r="G2">
        <f>BDH("BSM US Equity","BS_ST_BORROW","1993-06-18","2026-05-02","Per=Y","Days=T","Dir=V")</f>
        <v>0</v>
      </c>
      <c r="I2">
        <f>BDH("BSM US Equity","BS_LT_BORROW","1993-06-18","2026-05-02","Per=Y","Days=T","Dir=V")</f>
        <v>0</v>
      </c>
      <c r="K2">
        <f>BDH("BSM US Equity","BS_CASH_NEAR_CASH_ITEM","1993-06-18","2026-05-02","Per=Y","Days=T","Dir=V")</f>
        <v>0</v>
      </c>
      <c r="M2">
        <f>BDH("BSM US Equity","BS_CUR_ASSET_REPORT","1993-06-18","2026-05-02","Per=Y","Days=T","Dir=V")</f>
        <v>0</v>
      </c>
      <c r="O2">
        <f>BDH("BSM US Equity","BS_CUR_LIAB","1993-06-18","2026-05-02","Per=Y","Days=T","Dir=V")</f>
        <v>0</v>
      </c>
      <c r="Q2">
        <f>BDH("BSM US Equity","BS_SHAREHOLDER_EQY_ENDING_PERIOD","1993-06-18","2026-05-02","Per=Y","Days=T","Dir=V")</f>
        <v>0</v>
      </c>
      <c r="S2">
        <f>BDH("BSM US Equity","BS_ACCT_NOTE_RCV","1993-06-18","2026-05-02","Per=Y","Days=T","Dir=V")</f>
        <v>0</v>
      </c>
      <c r="U2">
        <f>BDH("BSM US Equity","BS_INVENTORIES","1993-06-18","2026-05-02","Per=Y","Days=T","Dir=V")</f>
        <v>0</v>
      </c>
      <c r="W2">
        <f>BDH("BSM US Equity","WORKING_CAPITAL","1993-06-18","2026-05-02","Per=Y","Days=T","Dir=V")</f>
        <v>0</v>
      </c>
      <c r="Y2">
        <f>BDH("BSM US Equity","SALES_REV_TURN","1993-06-18","2026-05-02","Per=Y","Days=T","Dir=V")</f>
        <v>0</v>
      </c>
      <c r="AA2">
        <f>BDH("BSM US Equity","EBIT","1993-06-18","2026-05-02","Per=Y","Days=T","Dir=V")</f>
        <v>0</v>
      </c>
      <c r="AC2">
        <f>BDH("BSM US Equity","EBITDA","1993-06-18","2026-05-02","Per=Y","Days=T","Dir=V")</f>
        <v>0</v>
      </c>
      <c r="AE2">
        <f>BDH("BSM US Equity","NET_INCOME","1993-06-18","2026-05-02","Per=Y","Days=T","Dir=V")</f>
        <v>0</v>
      </c>
      <c r="AG2">
        <f>BDH("BSM US Equity","IS_INT_EXPENSE","1993-06-18","2026-05-02","Per=Y","Days=T","Dir=V")</f>
        <v>0</v>
      </c>
      <c r="AI2">
        <f>BDH("BSM US Equity","IS_DEPR_EXP","1993-06-18","2026-05-02","Per=Y","Days=T","Dir=V")</f>
        <v>0</v>
      </c>
      <c r="AK2">
        <f>BDH("BSM US Equity","CF_CASH_FROM_OPER","1993-06-18","2026-05-02","Per=Y","Days=T","Dir=V")</f>
        <v>0</v>
      </c>
      <c r="AM2">
        <f>BDH("BSM US Equity","CAPITAL_EXPEND","1993-06-18","2026-05-02","Per=Y","Days=T","Dir=V")</f>
        <v>0</v>
      </c>
      <c r="AO2">
        <f>BDH("BSM US Equity","CF_FREE_CASH_FLOW","1993-06-18","2026-05-02","Per=Y","Days=T","Dir=V")</f>
        <v>0</v>
      </c>
      <c r="AQ2">
        <f>BDH("BSM US Equity","PX_LAST","1993-06-18","2026-05-02","Per=M","Days=T","Dir=V")</f>
        <v>0</v>
      </c>
      <c r="AS2">
        <f>BDH("BSM US Equity","CUR_MKT_CAP","1993-06-18","2026-05-02","Per=M","Days=T","Dir=V")</f>
        <v>0</v>
      </c>
      <c r="AU2">
        <f>BDH("BSM US Equity","EQY_SH_OUT","1993-06-18","2026-05-02","Per=M","Days=T","Dir=V")</f>
        <v>0</v>
      </c>
      <c r="AW2">
        <f>BDH("BSM US Equity","PX_VOLUME","1993-06-18","2026-05-02","Per=M","Days=T","Dir=V")</f>
        <v>0</v>
      </c>
      <c r="AY2">
        <f>BDH("BSM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BDH("BSX US Equity","BS_TOT_ASSET","1993-06-18","2026-05-02","Per=Y","Days=T","Dir=V")</f>
        <v>0</v>
      </c>
      <c r="C2">
        <f>BDH("BSX US Equity","BS_TOT_LIAB2","1993-06-18","2026-05-02","Per=Y","Days=T","Dir=V")</f>
        <v>0</v>
      </c>
      <c r="E2">
        <f>BDH("BSX US Equity","SHORT_AND_LONG_TERM_DEBT","1993-06-18","2026-05-02","Per=Y","Days=T","Dir=V")</f>
        <v>0</v>
      </c>
      <c r="G2">
        <f>BDH("BSX US Equity","BS_ST_BORROW","1993-06-18","2026-05-02","Per=Y","Days=T","Dir=V")</f>
        <v>0</v>
      </c>
      <c r="I2">
        <f>BDH("BSX US Equity","BS_LT_BORROW","1993-06-18","2026-05-02","Per=Y","Days=T","Dir=V")</f>
        <v>0</v>
      </c>
      <c r="K2">
        <f>BDH("BSX US Equity","BS_CASH_NEAR_CASH_ITEM","1993-06-18","2026-05-02","Per=Y","Days=T","Dir=V")</f>
        <v>0</v>
      </c>
      <c r="M2">
        <f>BDH("BSX US Equity","BS_CUR_ASSET_REPORT","1993-06-18","2026-05-02","Per=Y","Days=T","Dir=V")</f>
        <v>0</v>
      </c>
      <c r="O2">
        <f>BDH("BSX US Equity","BS_CUR_LIAB","1993-06-18","2026-05-02","Per=Y","Days=T","Dir=V")</f>
        <v>0</v>
      </c>
      <c r="Q2">
        <f>BDH("BSX US Equity","BS_SHAREHOLDER_EQY_ENDING_PERIOD","1993-06-18","2026-05-02","Per=Y","Days=T","Dir=V")</f>
        <v>0</v>
      </c>
      <c r="S2">
        <f>BDH("BSX US Equity","BS_ACCT_NOTE_RCV","1993-06-18","2026-05-02","Per=Y","Days=T","Dir=V")</f>
        <v>0</v>
      </c>
      <c r="U2">
        <f>BDH("BSX US Equity","BS_INVENTORIES","1993-06-18","2026-05-02","Per=Y","Days=T","Dir=V")</f>
        <v>0</v>
      </c>
      <c r="W2">
        <f>BDH("BSX US Equity","WORKING_CAPITAL","1993-06-18","2026-05-02","Per=Y","Days=T","Dir=V")</f>
        <v>0</v>
      </c>
      <c r="Y2">
        <f>BDH("BSX US Equity","SALES_REV_TURN","1993-06-18","2026-05-02","Per=Y","Days=T","Dir=V")</f>
        <v>0</v>
      </c>
      <c r="AA2">
        <f>BDH("BSX US Equity","EBIT","1993-06-18","2026-05-02","Per=Y","Days=T","Dir=V")</f>
        <v>0</v>
      </c>
      <c r="AC2">
        <f>BDH("BSX US Equity","EBITDA","1993-06-18","2026-05-02","Per=Y","Days=T","Dir=V")</f>
        <v>0</v>
      </c>
      <c r="AE2">
        <f>BDH("BSX US Equity","NET_INCOME","1993-06-18","2026-05-02","Per=Y","Days=T","Dir=V")</f>
        <v>0</v>
      </c>
      <c r="AG2">
        <f>BDH("BSX US Equity","IS_INT_EXPENSE","1993-06-18","2026-05-02","Per=Y","Days=T","Dir=V")</f>
        <v>0</v>
      </c>
      <c r="AI2">
        <f>BDH("BSX US Equity","IS_DEPR_EXP","1993-06-18","2026-05-02","Per=Y","Days=T","Dir=V")</f>
        <v>0</v>
      </c>
      <c r="AK2">
        <f>BDH("BSX US Equity","CF_CASH_FROM_OPER","1993-06-18","2026-05-02","Per=Y","Days=T","Dir=V")</f>
        <v>0</v>
      </c>
      <c r="AM2">
        <f>BDH("BSX US Equity","CAPITAL_EXPEND","1993-06-18","2026-05-02","Per=Y","Days=T","Dir=V")</f>
        <v>0</v>
      </c>
      <c r="AO2">
        <f>BDH("BSX US Equity","CF_FREE_CASH_FLOW","1993-06-18","2026-05-02","Per=Y","Days=T","Dir=V")</f>
        <v>0</v>
      </c>
      <c r="AQ2">
        <f>BDH("BSX US Equity","PX_LAST","1993-06-18","2026-05-02","Per=M","Days=T","Dir=V")</f>
        <v>0</v>
      </c>
      <c r="AS2">
        <f>BDH("BSX US Equity","CUR_MKT_CAP","1993-06-18","2026-05-02","Per=M","Days=T","Dir=V")</f>
        <v>0</v>
      </c>
      <c r="AU2">
        <f>BDH("BSX US Equity","EQY_SH_OUT","1993-06-18","2026-05-02","Per=M","Days=T","Dir=V")</f>
        <v>0</v>
      </c>
      <c r="AW2">
        <f>BDH("BSX US Equity","PX_VOLUME","1993-06-18","2026-05-02","Per=M","Days=T","Dir=V")</f>
        <v>0</v>
      </c>
      <c r="AY2">
        <f>BDH("BSX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BDH("BSY US Equity","BS_TOT_ASSET","1993-06-18","2026-05-02","Per=Y","Days=T","Dir=V")</f>
        <v>0</v>
      </c>
      <c r="C2">
        <f>BDH("BSY US Equity","BS_TOT_LIAB2","1993-06-18","2026-05-02","Per=Y","Days=T","Dir=V")</f>
        <v>0</v>
      </c>
      <c r="E2">
        <f>BDH("BSY US Equity","SHORT_AND_LONG_TERM_DEBT","1993-06-18","2026-05-02","Per=Y","Days=T","Dir=V")</f>
        <v>0</v>
      </c>
      <c r="G2">
        <f>BDH("BSY US Equity","BS_ST_BORROW","1993-06-18","2026-05-02","Per=Y","Days=T","Dir=V")</f>
        <v>0</v>
      </c>
      <c r="I2">
        <f>BDH("BSY US Equity","BS_LT_BORROW","1993-06-18","2026-05-02","Per=Y","Days=T","Dir=V")</f>
        <v>0</v>
      </c>
      <c r="K2">
        <f>BDH("BSY US Equity","BS_CASH_NEAR_CASH_ITEM","1993-06-18","2026-05-02","Per=Y","Days=T","Dir=V")</f>
        <v>0</v>
      </c>
      <c r="M2">
        <f>BDH("BSY US Equity","BS_CUR_ASSET_REPORT","1993-06-18","2026-05-02","Per=Y","Days=T","Dir=V")</f>
        <v>0</v>
      </c>
      <c r="O2">
        <f>BDH("BSY US Equity","BS_CUR_LIAB","1993-06-18","2026-05-02","Per=Y","Days=T","Dir=V")</f>
        <v>0</v>
      </c>
      <c r="Q2">
        <f>BDH("BSY US Equity","BS_SHAREHOLDER_EQY_ENDING_PERIOD","1993-06-18","2026-05-02","Per=Y","Days=T","Dir=V")</f>
        <v>0</v>
      </c>
      <c r="S2">
        <f>BDH("BSY US Equity","BS_ACCT_NOTE_RCV","1993-06-18","2026-05-02","Per=Y","Days=T","Dir=V")</f>
        <v>0</v>
      </c>
      <c r="U2">
        <f>BDH("BSY US Equity","BS_INVENTORIES","1993-06-18","2026-05-02","Per=Y","Days=T","Dir=V")</f>
        <v>0</v>
      </c>
      <c r="W2">
        <f>BDH("BSY US Equity","WORKING_CAPITAL","1993-06-18","2026-05-02","Per=Y","Days=T","Dir=V")</f>
        <v>0</v>
      </c>
      <c r="Y2">
        <f>BDH("BSY US Equity","SALES_REV_TURN","1993-06-18","2026-05-02","Per=Y","Days=T","Dir=V")</f>
        <v>0</v>
      </c>
      <c r="AA2">
        <f>BDH("BSY US Equity","EBIT","1993-06-18","2026-05-02","Per=Y","Days=T","Dir=V")</f>
        <v>0</v>
      </c>
      <c r="AC2">
        <f>BDH("BSY US Equity","EBITDA","1993-06-18","2026-05-02","Per=Y","Days=T","Dir=V")</f>
        <v>0</v>
      </c>
      <c r="AE2">
        <f>BDH("BSY US Equity","NET_INCOME","1993-06-18","2026-05-02","Per=Y","Days=T","Dir=V")</f>
        <v>0</v>
      </c>
      <c r="AG2">
        <f>BDH("BSY US Equity","IS_INT_EXPENSE","1993-06-18","2026-05-02","Per=Y","Days=T","Dir=V")</f>
        <v>0</v>
      </c>
      <c r="AI2">
        <f>BDH("BSY US Equity","IS_DEPR_EXP","1993-06-18","2026-05-02","Per=Y","Days=T","Dir=V")</f>
        <v>0</v>
      </c>
      <c r="AK2">
        <f>BDH("BSY US Equity","CF_CASH_FROM_OPER","1993-06-18","2026-05-02","Per=Y","Days=T","Dir=V")</f>
        <v>0</v>
      </c>
      <c r="AM2">
        <f>BDH("BSY US Equity","CAPITAL_EXPEND","1993-06-18","2026-05-02","Per=Y","Days=T","Dir=V")</f>
        <v>0</v>
      </c>
      <c r="AO2">
        <f>BDH("BSY US Equity","CF_FREE_CASH_FLOW","1993-06-18","2026-05-02","Per=Y","Days=T","Dir=V")</f>
        <v>0</v>
      </c>
      <c r="AQ2">
        <f>BDH("BSY US Equity","PX_LAST","1993-06-18","2026-05-02","Per=M","Days=T","Dir=V")</f>
        <v>0</v>
      </c>
      <c r="AS2">
        <f>BDH("BSY US Equity","CUR_MKT_CAP","1993-06-18","2026-05-02","Per=M","Days=T","Dir=V")</f>
        <v>0</v>
      </c>
      <c r="AU2">
        <f>BDH("BSY US Equity","EQY_SH_OUT","1993-06-18","2026-05-02","Per=M","Days=T","Dir=V")</f>
        <v>0</v>
      </c>
      <c r="AW2">
        <f>BDH("BSY US Equity","PX_VOLUME","1993-06-18","2026-05-02","Per=M","Days=T","Dir=V")</f>
        <v>0</v>
      </c>
      <c r="AY2">
        <f>BDH("BSY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BDH("BTBD US Equity","BS_TOT_ASSET","1993-06-18","2026-05-02","Per=Y","Days=T","Dir=V")</f>
        <v>0</v>
      </c>
      <c r="C2">
        <f>BDH("BTBD US Equity","BS_TOT_LIAB2","1993-06-18","2026-05-02","Per=Y","Days=T","Dir=V")</f>
        <v>0</v>
      </c>
      <c r="E2">
        <f>BDH("BTBD US Equity","SHORT_AND_LONG_TERM_DEBT","1993-06-18","2026-05-02","Per=Y","Days=T","Dir=V")</f>
        <v>0</v>
      </c>
      <c r="G2">
        <f>BDH("BTBD US Equity","BS_ST_BORROW","1993-06-18","2026-05-02","Per=Y","Days=T","Dir=V")</f>
        <v>0</v>
      </c>
      <c r="I2">
        <f>BDH("BTBD US Equity","BS_LT_BORROW","1993-06-18","2026-05-02","Per=Y","Days=T","Dir=V")</f>
        <v>0</v>
      </c>
      <c r="K2">
        <f>BDH("BTBD US Equity","BS_CASH_NEAR_CASH_ITEM","1993-06-18","2026-05-02","Per=Y","Days=T","Dir=V")</f>
        <v>0</v>
      </c>
      <c r="M2">
        <f>BDH("BTBD US Equity","BS_CUR_ASSET_REPORT","1993-06-18","2026-05-02","Per=Y","Days=T","Dir=V")</f>
        <v>0</v>
      </c>
      <c r="O2">
        <f>BDH("BTBD US Equity","BS_CUR_LIAB","1993-06-18","2026-05-02","Per=Y","Days=T","Dir=V")</f>
        <v>0</v>
      </c>
      <c r="Q2">
        <f>BDH("BTBD US Equity","BS_SHAREHOLDER_EQY_ENDING_PERIOD","1993-06-18","2026-05-02","Per=Y","Days=T","Dir=V")</f>
        <v>0</v>
      </c>
      <c r="S2">
        <f>BDH("BTBD US Equity","BS_ACCT_NOTE_RCV","1993-06-18","2026-05-02","Per=Y","Days=T","Dir=V")</f>
        <v>0</v>
      </c>
      <c r="U2">
        <f>BDH("BTBD US Equity","BS_INVENTORIES","1993-06-18","2026-05-02","Per=Y","Days=T","Dir=V")</f>
        <v>0</v>
      </c>
      <c r="W2">
        <f>BDH("BTBD US Equity","WORKING_CAPITAL","1993-06-18","2026-05-02","Per=Y","Days=T","Dir=V")</f>
        <v>0</v>
      </c>
      <c r="Y2">
        <f>BDH("BTBD US Equity","SALES_REV_TURN","1993-06-18","2026-05-02","Per=Y","Days=T","Dir=V")</f>
        <v>0</v>
      </c>
      <c r="AA2">
        <f>BDH("BTBD US Equity","EBIT","1993-06-18","2026-05-02","Per=Y","Days=T","Dir=V")</f>
        <v>0</v>
      </c>
      <c r="AC2">
        <f>BDH("BTBD US Equity","EBITDA","1993-06-18","2026-05-02","Per=Y","Days=T","Dir=V")</f>
        <v>0</v>
      </c>
      <c r="AE2">
        <f>BDH("BTBD US Equity","NET_INCOME","1993-06-18","2026-05-02","Per=Y","Days=T","Dir=V")</f>
        <v>0</v>
      </c>
      <c r="AG2">
        <f>BDH("BTBD US Equity","IS_INT_EXPENSE","1993-06-18","2026-05-02","Per=Y","Days=T","Dir=V")</f>
        <v>0</v>
      </c>
      <c r="AI2">
        <f>BDH("BTBD US Equity","IS_DEPR_EXP","1993-06-18","2026-05-02","Per=Y","Days=T","Dir=V")</f>
        <v>0</v>
      </c>
      <c r="AK2">
        <f>BDH("BTBD US Equity","CF_CASH_FROM_OPER","1993-06-18","2026-05-02","Per=Y","Days=T","Dir=V")</f>
        <v>0</v>
      </c>
      <c r="AM2">
        <f>BDH("BTBD US Equity","CAPITAL_EXPEND","1993-06-18","2026-05-02","Per=Y","Days=T","Dir=V")</f>
        <v>0</v>
      </c>
      <c r="AO2">
        <f>BDH("BTBD US Equity","CF_FREE_CASH_FLOW","1993-06-18","2026-05-02","Per=Y","Days=T","Dir=V")</f>
        <v>0</v>
      </c>
      <c r="AQ2">
        <f>BDH("BTBD US Equity","PX_LAST","1993-06-18","2026-05-02","Per=M","Days=T","Dir=V")</f>
        <v>0</v>
      </c>
      <c r="AS2">
        <f>BDH("BTBD US Equity","CUR_MKT_CAP","1993-06-18","2026-05-02","Per=M","Days=T","Dir=V")</f>
        <v>0</v>
      </c>
      <c r="AU2">
        <f>BDH("BTBD US Equity","EQY_SH_OUT","1993-06-18","2026-05-02","Per=M","Days=T","Dir=V")</f>
        <v>0</v>
      </c>
      <c r="AW2">
        <f>BDH("BTBD US Equity","PX_VOLUME","1993-06-18","2026-05-02","Per=M","Days=T","Dir=V")</f>
        <v>0</v>
      </c>
      <c r="AY2">
        <f>BDH("BTBD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BDH("BTBDW US Equity","BS_TOT_ASSET","1993-06-18","2026-05-02","Per=Y","Days=T","Dir=V")</f>
        <v>0</v>
      </c>
      <c r="C2">
        <f>BDH("BTBDW US Equity","BS_TOT_LIAB2","1993-06-18","2026-05-02","Per=Y","Days=T","Dir=V")</f>
        <v>0</v>
      </c>
      <c r="E2">
        <f>BDH("BTBDW US Equity","SHORT_AND_LONG_TERM_DEBT","1993-06-18","2026-05-02","Per=Y","Days=T","Dir=V")</f>
        <v>0</v>
      </c>
      <c r="G2">
        <f>BDH("BTBDW US Equity","BS_ST_BORROW","1993-06-18","2026-05-02","Per=Y","Days=T","Dir=V")</f>
        <v>0</v>
      </c>
      <c r="I2">
        <f>BDH("BTBDW US Equity","BS_LT_BORROW","1993-06-18","2026-05-02","Per=Y","Days=T","Dir=V")</f>
        <v>0</v>
      </c>
      <c r="K2">
        <f>BDH("BTBDW US Equity","BS_CASH_NEAR_CASH_ITEM","1993-06-18","2026-05-02","Per=Y","Days=T","Dir=V")</f>
        <v>0</v>
      </c>
      <c r="M2">
        <f>BDH("BTBDW US Equity","BS_CUR_ASSET_REPORT","1993-06-18","2026-05-02","Per=Y","Days=T","Dir=V")</f>
        <v>0</v>
      </c>
      <c r="O2">
        <f>BDH("BTBDW US Equity","BS_CUR_LIAB","1993-06-18","2026-05-02","Per=Y","Days=T","Dir=V")</f>
        <v>0</v>
      </c>
      <c r="Q2">
        <f>BDH("BTBDW US Equity","BS_SHAREHOLDER_EQY_ENDING_PERIOD","1993-06-18","2026-05-02","Per=Y","Days=T","Dir=V")</f>
        <v>0</v>
      </c>
      <c r="S2">
        <f>BDH("BTBDW US Equity","BS_ACCT_NOTE_RCV","1993-06-18","2026-05-02","Per=Y","Days=T","Dir=V")</f>
        <v>0</v>
      </c>
      <c r="U2">
        <f>BDH("BTBDW US Equity","BS_INVENTORIES","1993-06-18","2026-05-02","Per=Y","Days=T","Dir=V")</f>
        <v>0</v>
      </c>
      <c r="W2">
        <f>BDH("BTBDW US Equity","WORKING_CAPITAL","1993-06-18","2026-05-02","Per=Y","Days=T","Dir=V")</f>
        <v>0</v>
      </c>
      <c r="Y2">
        <f>BDH("BTBDW US Equity","SALES_REV_TURN","1993-06-18","2026-05-02","Per=Y","Days=T","Dir=V")</f>
        <v>0</v>
      </c>
      <c r="AA2">
        <f>BDH("BTBDW US Equity","EBIT","1993-06-18","2026-05-02","Per=Y","Days=T","Dir=V")</f>
        <v>0</v>
      </c>
      <c r="AC2">
        <f>BDH("BTBDW US Equity","EBITDA","1993-06-18","2026-05-02","Per=Y","Days=T","Dir=V")</f>
        <v>0</v>
      </c>
      <c r="AE2">
        <f>BDH("BTBDW US Equity","NET_INCOME","1993-06-18","2026-05-02","Per=Y","Days=T","Dir=V")</f>
        <v>0</v>
      </c>
      <c r="AG2">
        <f>BDH("BTBDW US Equity","IS_INT_EXPENSE","1993-06-18","2026-05-02","Per=Y","Days=T","Dir=V")</f>
        <v>0</v>
      </c>
      <c r="AI2">
        <f>BDH("BTBDW US Equity","IS_DEPR_EXP","1993-06-18","2026-05-02","Per=Y","Days=T","Dir=V")</f>
        <v>0</v>
      </c>
      <c r="AK2">
        <f>BDH("BTBDW US Equity","CF_CASH_FROM_OPER","1993-06-18","2026-05-02","Per=Y","Days=T","Dir=V")</f>
        <v>0</v>
      </c>
      <c r="AM2">
        <f>BDH("BTBDW US Equity","CAPITAL_EXPEND","1993-06-18","2026-05-02","Per=Y","Days=T","Dir=V")</f>
        <v>0</v>
      </c>
      <c r="AO2">
        <f>BDH("BTBDW US Equity","CF_FREE_CASH_FLOW","1993-06-18","2026-05-02","Per=Y","Days=T","Dir=V")</f>
        <v>0</v>
      </c>
      <c r="AQ2">
        <f>BDH("BTBDW US Equity","PX_LAST","1993-06-18","2026-05-02","Per=M","Days=T","Dir=V")</f>
        <v>0</v>
      </c>
      <c r="AS2">
        <f>BDH("BTBDW US Equity","CUR_MKT_CAP","1993-06-18","2026-05-02","Per=M","Days=T","Dir=V")</f>
        <v>0</v>
      </c>
      <c r="AU2">
        <f>BDH("BTBDW US Equity","EQY_SH_OUT","1993-06-18","2026-05-02","Per=M","Days=T","Dir=V")</f>
        <v>0</v>
      </c>
      <c r="AW2">
        <f>BDH("BTBDW US Equity","PX_VOLUME","1993-06-18","2026-05-02","Per=M","Days=T","Dir=V")</f>
        <v>0</v>
      </c>
      <c r="AY2">
        <f>BDH("BTBDW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BDH("BTLN US Equity","BS_TOT_ASSET","1993-06-18","2026-05-02","Per=Y","Days=T","Dir=V")</f>
        <v>0</v>
      </c>
      <c r="C2">
        <f>BDH("BTLN US Equity","BS_TOT_LIAB2","1993-06-18","2026-05-02","Per=Y","Days=T","Dir=V")</f>
        <v>0</v>
      </c>
      <c r="E2">
        <f>BDH("BTLN US Equity","SHORT_AND_LONG_TERM_DEBT","1993-06-18","2026-05-02","Per=Y","Days=T","Dir=V")</f>
        <v>0</v>
      </c>
      <c r="G2">
        <f>BDH("BTLN US Equity","BS_ST_BORROW","1993-06-18","2026-05-02","Per=Y","Days=T","Dir=V")</f>
        <v>0</v>
      </c>
      <c r="I2">
        <f>BDH("BTLN US Equity","BS_LT_BORROW","1993-06-18","2026-05-02","Per=Y","Days=T","Dir=V")</f>
        <v>0</v>
      </c>
      <c r="K2">
        <f>BDH("BTLN US Equity","BS_CASH_NEAR_CASH_ITEM","1993-06-18","2026-05-02","Per=Y","Days=T","Dir=V")</f>
        <v>0</v>
      </c>
      <c r="M2">
        <f>BDH("BTLN US Equity","BS_CUR_ASSET_REPORT","1993-06-18","2026-05-02","Per=Y","Days=T","Dir=V")</f>
        <v>0</v>
      </c>
      <c r="O2">
        <f>BDH("BTLN US Equity","BS_CUR_LIAB","1993-06-18","2026-05-02","Per=Y","Days=T","Dir=V")</f>
        <v>0</v>
      </c>
      <c r="Q2">
        <f>BDH("BTLN US Equity","BS_SHAREHOLDER_EQY_ENDING_PERIOD","1993-06-18","2026-05-02","Per=Y","Days=T","Dir=V")</f>
        <v>0</v>
      </c>
      <c r="S2">
        <f>BDH("BTLN US Equity","BS_ACCT_NOTE_RCV","1993-06-18","2026-05-02","Per=Y","Days=T","Dir=V")</f>
        <v>0</v>
      </c>
      <c r="U2">
        <f>BDH("BTLN US Equity","BS_INVENTORIES","1993-06-18","2026-05-02","Per=Y","Days=T","Dir=V")</f>
        <v>0</v>
      </c>
      <c r="W2">
        <f>BDH("BTLN US Equity","WORKING_CAPITAL","1993-06-18","2026-05-02","Per=Y","Days=T","Dir=V")</f>
        <v>0</v>
      </c>
      <c r="Y2">
        <f>BDH("BTLN US Equity","SALES_REV_TURN","1993-06-18","2026-05-02","Per=Y","Days=T","Dir=V")</f>
        <v>0</v>
      </c>
      <c r="AA2">
        <f>BDH("BTLN US Equity","EBIT","1993-06-18","2026-05-02","Per=Y","Days=T","Dir=V")</f>
        <v>0</v>
      </c>
      <c r="AC2">
        <f>BDH("BTLN US Equity","EBITDA","1993-06-18","2026-05-02","Per=Y","Days=T","Dir=V")</f>
        <v>0</v>
      </c>
      <c r="AE2">
        <f>BDH("BTLN US Equity","NET_INCOME","1993-06-18","2026-05-02","Per=Y","Days=T","Dir=V")</f>
        <v>0</v>
      </c>
      <c r="AG2">
        <f>BDH("BTLN US Equity","IS_INT_EXPENSE","1993-06-18","2026-05-02","Per=Y","Days=T","Dir=V")</f>
        <v>0</v>
      </c>
      <c r="AI2">
        <f>BDH("BTLN US Equity","IS_DEPR_EXP","1993-06-18","2026-05-02","Per=Y","Days=T","Dir=V")</f>
        <v>0</v>
      </c>
      <c r="AK2">
        <f>BDH("BTLN US Equity","CF_CASH_FROM_OPER","1993-06-18","2026-05-02","Per=Y","Days=T","Dir=V")</f>
        <v>0</v>
      </c>
      <c r="AM2">
        <f>BDH("BTLN US Equity","CAPITAL_EXPEND","1993-06-18","2026-05-02","Per=Y","Days=T","Dir=V")</f>
        <v>0</v>
      </c>
      <c r="AO2">
        <f>BDH("BTLN US Equity","CF_FREE_CASH_FLOW","1993-06-18","2026-05-02","Per=Y","Days=T","Dir=V")</f>
        <v>0</v>
      </c>
      <c r="AQ2">
        <f>BDH("BTLN US Equity","PX_LAST","1993-06-18","2026-05-02","Per=M","Days=T","Dir=V")</f>
        <v>0</v>
      </c>
      <c r="AS2">
        <f>BDH("BTLN US Equity","CUR_MKT_CAP","1993-06-18","2026-05-02","Per=M","Days=T","Dir=V")</f>
        <v>0</v>
      </c>
      <c r="AU2">
        <f>BDH("BTLN US Equity","EQY_SH_OUT","1993-06-18","2026-05-02","Per=M","Days=T","Dir=V")</f>
        <v>0</v>
      </c>
      <c r="AW2">
        <f>BDH("BTLN US Equity","PX_VOLUME","1993-06-18","2026-05-02","Per=M","Days=T","Dir=V")</f>
        <v>0</v>
      </c>
      <c r="AY2">
        <f>BDH("BTLN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BDH("BTMD US Equity","BS_TOT_ASSET","1993-06-18","2026-05-02","Per=Y","Days=T","Dir=V")</f>
        <v>0</v>
      </c>
      <c r="C2">
        <f>BDH("BTMD US Equity","BS_TOT_LIAB2","1993-06-18","2026-05-02","Per=Y","Days=T","Dir=V")</f>
        <v>0</v>
      </c>
      <c r="E2">
        <f>BDH("BTMD US Equity","SHORT_AND_LONG_TERM_DEBT","1993-06-18","2026-05-02","Per=Y","Days=T","Dir=V")</f>
        <v>0</v>
      </c>
      <c r="G2">
        <f>BDH("BTMD US Equity","BS_ST_BORROW","1993-06-18","2026-05-02","Per=Y","Days=T","Dir=V")</f>
        <v>0</v>
      </c>
      <c r="I2">
        <f>BDH("BTMD US Equity","BS_LT_BORROW","1993-06-18","2026-05-02","Per=Y","Days=T","Dir=V")</f>
        <v>0</v>
      </c>
      <c r="K2">
        <f>BDH("BTMD US Equity","BS_CASH_NEAR_CASH_ITEM","1993-06-18","2026-05-02","Per=Y","Days=T","Dir=V")</f>
        <v>0</v>
      </c>
      <c r="M2">
        <f>BDH("BTMD US Equity","BS_CUR_ASSET_REPORT","1993-06-18","2026-05-02","Per=Y","Days=T","Dir=V")</f>
        <v>0</v>
      </c>
      <c r="O2">
        <f>BDH("BTMD US Equity","BS_CUR_LIAB","1993-06-18","2026-05-02","Per=Y","Days=T","Dir=V")</f>
        <v>0</v>
      </c>
      <c r="Q2">
        <f>BDH("BTMD US Equity","BS_SHAREHOLDER_EQY_ENDING_PERIOD","1993-06-18","2026-05-02","Per=Y","Days=T","Dir=V")</f>
        <v>0</v>
      </c>
      <c r="S2">
        <f>BDH("BTMD US Equity","BS_ACCT_NOTE_RCV","1993-06-18","2026-05-02","Per=Y","Days=T","Dir=V")</f>
        <v>0</v>
      </c>
      <c r="U2">
        <f>BDH("BTMD US Equity","BS_INVENTORIES","1993-06-18","2026-05-02","Per=Y","Days=T","Dir=V")</f>
        <v>0</v>
      </c>
      <c r="W2">
        <f>BDH("BTMD US Equity","WORKING_CAPITAL","1993-06-18","2026-05-02","Per=Y","Days=T","Dir=V")</f>
        <v>0</v>
      </c>
      <c r="Y2">
        <f>BDH("BTMD US Equity","SALES_REV_TURN","1993-06-18","2026-05-02","Per=Y","Days=T","Dir=V")</f>
        <v>0</v>
      </c>
      <c r="AA2">
        <f>BDH("BTMD US Equity","EBIT","1993-06-18","2026-05-02","Per=Y","Days=T","Dir=V")</f>
        <v>0</v>
      </c>
      <c r="AC2">
        <f>BDH("BTMD US Equity","EBITDA","1993-06-18","2026-05-02","Per=Y","Days=T","Dir=V")</f>
        <v>0</v>
      </c>
      <c r="AE2">
        <f>BDH("BTMD US Equity","NET_INCOME","1993-06-18","2026-05-02","Per=Y","Days=T","Dir=V")</f>
        <v>0</v>
      </c>
      <c r="AG2">
        <f>BDH("BTMD US Equity","IS_INT_EXPENSE","1993-06-18","2026-05-02","Per=Y","Days=T","Dir=V")</f>
        <v>0</v>
      </c>
      <c r="AI2">
        <f>BDH("BTMD US Equity","IS_DEPR_EXP","1993-06-18","2026-05-02","Per=Y","Days=T","Dir=V")</f>
        <v>0</v>
      </c>
      <c r="AK2">
        <f>BDH("BTMD US Equity","CF_CASH_FROM_OPER","1993-06-18","2026-05-02","Per=Y","Days=T","Dir=V")</f>
        <v>0</v>
      </c>
      <c r="AM2">
        <f>BDH("BTMD US Equity","CAPITAL_EXPEND","1993-06-18","2026-05-02","Per=Y","Days=T","Dir=V")</f>
        <v>0</v>
      </c>
      <c r="AO2">
        <f>BDH("BTMD US Equity","CF_FREE_CASH_FLOW","1993-06-18","2026-05-02","Per=Y","Days=T","Dir=V")</f>
        <v>0</v>
      </c>
      <c r="AQ2">
        <f>BDH("BTMD US Equity","PX_LAST","1993-06-18","2026-05-02","Per=M","Days=T","Dir=V")</f>
        <v>0</v>
      </c>
      <c r="AS2">
        <f>BDH("BTMD US Equity","CUR_MKT_CAP","1993-06-18","2026-05-02","Per=M","Days=T","Dir=V")</f>
        <v>0</v>
      </c>
      <c r="AU2">
        <f>BDH("BTMD US Equity","EQY_SH_OUT","1993-06-18","2026-05-02","Per=M","Days=T","Dir=V")</f>
        <v>0</v>
      </c>
      <c r="AW2">
        <f>BDH("BTMD US Equity","PX_VOLUME","1993-06-18","2026-05-02","Per=M","Days=T","Dir=V")</f>
        <v>0</v>
      </c>
      <c r="AY2">
        <f>BDH("BTMD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BDH("BTOC US Equity","BS_TOT_ASSET","1993-06-18","2026-05-02","Per=Y","Days=T","Dir=V")</f>
        <v>0</v>
      </c>
      <c r="C2">
        <f>BDH("BTOC US Equity","BS_TOT_LIAB2","1993-06-18","2026-05-02","Per=Y","Days=T","Dir=V")</f>
        <v>0</v>
      </c>
      <c r="E2">
        <f>BDH("BTOC US Equity","SHORT_AND_LONG_TERM_DEBT","1993-06-18","2026-05-02","Per=Y","Days=T","Dir=V")</f>
        <v>0</v>
      </c>
      <c r="G2">
        <f>BDH("BTOC US Equity","BS_ST_BORROW","1993-06-18","2026-05-02","Per=Y","Days=T","Dir=V")</f>
        <v>0</v>
      </c>
      <c r="I2">
        <f>BDH("BTOC US Equity","BS_LT_BORROW","1993-06-18","2026-05-02","Per=Y","Days=T","Dir=V")</f>
        <v>0</v>
      </c>
      <c r="K2">
        <f>BDH("BTOC US Equity","BS_CASH_NEAR_CASH_ITEM","1993-06-18","2026-05-02","Per=Y","Days=T","Dir=V")</f>
        <v>0</v>
      </c>
      <c r="M2">
        <f>BDH("BTOC US Equity","BS_CUR_ASSET_REPORT","1993-06-18","2026-05-02","Per=Y","Days=T","Dir=V")</f>
        <v>0</v>
      </c>
      <c r="O2">
        <f>BDH("BTOC US Equity","BS_CUR_LIAB","1993-06-18","2026-05-02","Per=Y","Days=T","Dir=V")</f>
        <v>0</v>
      </c>
      <c r="Q2">
        <f>BDH("BTOC US Equity","BS_SHAREHOLDER_EQY_ENDING_PERIOD","1993-06-18","2026-05-02","Per=Y","Days=T","Dir=V")</f>
        <v>0</v>
      </c>
      <c r="S2">
        <f>BDH("BTOC US Equity","BS_ACCT_NOTE_RCV","1993-06-18","2026-05-02","Per=Y","Days=T","Dir=V")</f>
        <v>0</v>
      </c>
      <c r="U2">
        <f>BDH("BTOC US Equity","BS_INVENTORIES","1993-06-18","2026-05-02","Per=Y","Days=T","Dir=V")</f>
        <v>0</v>
      </c>
      <c r="W2">
        <f>BDH("BTOC US Equity","WORKING_CAPITAL","1993-06-18","2026-05-02","Per=Y","Days=T","Dir=V")</f>
        <v>0</v>
      </c>
      <c r="Y2">
        <f>BDH("BTOC US Equity","SALES_REV_TURN","1993-06-18","2026-05-02","Per=Y","Days=T","Dir=V")</f>
        <v>0</v>
      </c>
      <c r="AA2">
        <f>BDH("BTOC US Equity","EBIT","1993-06-18","2026-05-02","Per=Y","Days=T","Dir=V")</f>
        <v>0</v>
      </c>
      <c r="AC2">
        <f>BDH("BTOC US Equity","EBITDA","1993-06-18","2026-05-02","Per=Y","Days=T","Dir=V")</f>
        <v>0</v>
      </c>
      <c r="AE2">
        <f>BDH("BTOC US Equity","NET_INCOME","1993-06-18","2026-05-02","Per=Y","Days=T","Dir=V")</f>
        <v>0</v>
      </c>
      <c r="AG2">
        <f>BDH("BTOC US Equity","IS_INT_EXPENSE","1993-06-18","2026-05-02","Per=Y","Days=T","Dir=V")</f>
        <v>0</v>
      </c>
      <c r="AI2">
        <f>BDH("BTOC US Equity","IS_DEPR_EXP","1993-06-18","2026-05-02","Per=Y","Days=T","Dir=V")</f>
        <v>0</v>
      </c>
      <c r="AK2">
        <f>BDH("BTOC US Equity","CF_CASH_FROM_OPER","1993-06-18","2026-05-02","Per=Y","Days=T","Dir=V")</f>
        <v>0</v>
      </c>
      <c r="AM2">
        <f>BDH("BTOC US Equity","CAPITAL_EXPEND","1993-06-18","2026-05-02","Per=Y","Days=T","Dir=V")</f>
        <v>0</v>
      </c>
      <c r="AO2">
        <f>BDH("BTOC US Equity","CF_FREE_CASH_FLOW","1993-06-18","2026-05-02","Per=Y","Days=T","Dir=V")</f>
        <v>0</v>
      </c>
      <c r="AQ2">
        <f>BDH("BTOC US Equity","PX_LAST","1993-06-18","2026-05-02","Per=M","Days=T","Dir=V")</f>
        <v>0</v>
      </c>
      <c r="AS2">
        <f>BDH("BTOC US Equity","CUR_MKT_CAP","1993-06-18","2026-05-02","Per=M","Days=T","Dir=V")</f>
        <v>0</v>
      </c>
      <c r="AU2">
        <f>BDH("BTOC US Equity","EQY_SH_OUT","1993-06-18","2026-05-02","Per=M","Days=T","Dir=V")</f>
        <v>0</v>
      </c>
      <c r="AW2">
        <f>BDH("BTOC US Equity","PX_VOLUME","1993-06-18","2026-05-02","Per=M","Days=T","Dir=V")</f>
        <v>0</v>
      </c>
      <c r="AY2">
        <f>BDH("BTOC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BDH("BTSG US Equity","BS_TOT_ASSET","1993-06-18","2026-05-02","Per=Y","Days=T","Dir=V")</f>
        <v>0</v>
      </c>
      <c r="C2">
        <f>BDH("BTSG US Equity","BS_TOT_LIAB2","1993-06-18","2026-05-02","Per=Y","Days=T","Dir=V")</f>
        <v>0</v>
      </c>
      <c r="E2">
        <f>BDH("BTSG US Equity","SHORT_AND_LONG_TERM_DEBT","1993-06-18","2026-05-02","Per=Y","Days=T","Dir=V")</f>
        <v>0</v>
      </c>
      <c r="G2">
        <f>BDH("BTSG US Equity","BS_ST_BORROW","1993-06-18","2026-05-02","Per=Y","Days=T","Dir=V")</f>
        <v>0</v>
      </c>
      <c r="I2">
        <f>BDH("BTSG US Equity","BS_LT_BORROW","1993-06-18","2026-05-02","Per=Y","Days=T","Dir=V")</f>
        <v>0</v>
      </c>
      <c r="K2">
        <f>BDH("BTSG US Equity","BS_CASH_NEAR_CASH_ITEM","1993-06-18","2026-05-02","Per=Y","Days=T","Dir=V")</f>
        <v>0</v>
      </c>
      <c r="M2">
        <f>BDH("BTSG US Equity","BS_CUR_ASSET_REPORT","1993-06-18","2026-05-02","Per=Y","Days=T","Dir=V")</f>
        <v>0</v>
      </c>
      <c r="O2">
        <f>BDH("BTSG US Equity","BS_CUR_LIAB","1993-06-18","2026-05-02","Per=Y","Days=T","Dir=V")</f>
        <v>0</v>
      </c>
      <c r="Q2">
        <f>BDH("BTSG US Equity","BS_SHAREHOLDER_EQY_ENDING_PERIOD","1993-06-18","2026-05-02","Per=Y","Days=T","Dir=V")</f>
        <v>0</v>
      </c>
      <c r="S2">
        <f>BDH("BTSG US Equity","BS_ACCT_NOTE_RCV","1993-06-18","2026-05-02","Per=Y","Days=T","Dir=V")</f>
        <v>0</v>
      </c>
      <c r="U2">
        <f>BDH("BTSG US Equity","BS_INVENTORIES","1993-06-18","2026-05-02","Per=Y","Days=T","Dir=V")</f>
        <v>0</v>
      </c>
      <c r="W2">
        <f>BDH("BTSG US Equity","WORKING_CAPITAL","1993-06-18","2026-05-02","Per=Y","Days=T","Dir=V")</f>
        <v>0</v>
      </c>
      <c r="Y2">
        <f>BDH("BTSG US Equity","SALES_REV_TURN","1993-06-18","2026-05-02","Per=Y","Days=T","Dir=V")</f>
        <v>0</v>
      </c>
      <c r="AA2">
        <f>BDH("BTSG US Equity","EBIT","1993-06-18","2026-05-02","Per=Y","Days=T","Dir=V")</f>
        <v>0</v>
      </c>
      <c r="AC2">
        <f>BDH("BTSG US Equity","EBITDA","1993-06-18","2026-05-02","Per=Y","Days=T","Dir=V")</f>
        <v>0</v>
      </c>
      <c r="AE2">
        <f>BDH("BTSG US Equity","NET_INCOME","1993-06-18","2026-05-02","Per=Y","Days=T","Dir=V")</f>
        <v>0</v>
      </c>
      <c r="AG2">
        <f>BDH("BTSG US Equity","IS_INT_EXPENSE","1993-06-18","2026-05-02","Per=Y","Days=T","Dir=V")</f>
        <v>0</v>
      </c>
      <c r="AI2">
        <f>BDH("BTSG US Equity","IS_DEPR_EXP","1993-06-18","2026-05-02","Per=Y","Days=T","Dir=V")</f>
        <v>0</v>
      </c>
      <c r="AK2">
        <f>BDH("BTSG US Equity","CF_CASH_FROM_OPER","1993-06-18","2026-05-02","Per=Y","Days=T","Dir=V")</f>
        <v>0</v>
      </c>
      <c r="AM2">
        <f>BDH("BTSG US Equity","CAPITAL_EXPEND","1993-06-18","2026-05-02","Per=Y","Days=T","Dir=V")</f>
        <v>0</v>
      </c>
      <c r="AO2">
        <f>BDH("BTSG US Equity","CF_FREE_CASH_FLOW","1993-06-18","2026-05-02","Per=Y","Days=T","Dir=V")</f>
        <v>0</v>
      </c>
      <c r="AQ2">
        <f>BDH("BTSG US Equity","PX_LAST","1993-06-18","2026-05-02","Per=M","Days=T","Dir=V")</f>
        <v>0</v>
      </c>
      <c r="AS2">
        <f>BDH("BTSG US Equity","CUR_MKT_CAP","1993-06-18","2026-05-02","Per=M","Days=T","Dir=V")</f>
        <v>0</v>
      </c>
      <c r="AU2">
        <f>BDH("BTSG US Equity","EQY_SH_OUT","1993-06-18","2026-05-02","Per=M","Days=T","Dir=V")</f>
        <v>0</v>
      </c>
      <c r="AW2">
        <f>BDH("BTSG US Equity","PX_VOLUME","1993-06-18","2026-05-02","Per=M","Days=T","Dir=V")</f>
        <v>0</v>
      </c>
      <c r="AY2">
        <f>BDH("BTSG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BDH("BTSGU US Equity","BS_TOT_ASSET","1993-06-18","2026-05-02","Per=Y","Days=T","Dir=V")</f>
        <v>0</v>
      </c>
      <c r="C2">
        <f>BDH("BTSGU US Equity","BS_TOT_LIAB2","1993-06-18","2026-05-02","Per=Y","Days=T","Dir=V")</f>
        <v>0</v>
      </c>
      <c r="E2">
        <f>BDH("BTSGU US Equity","SHORT_AND_LONG_TERM_DEBT","1993-06-18","2026-05-02","Per=Y","Days=T","Dir=V")</f>
        <v>0</v>
      </c>
      <c r="G2">
        <f>BDH("BTSGU US Equity","BS_ST_BORROW","1993-06-18","2026-05-02","Per=Y","Days=T","Dir=V")</f>
        <v>0</v>
      </c>
      <c r="I2">
        <f>BDH("BTSGU US Equity","BS_LT_BORROW","1993-06-18","2026-05-02","Per=Y","Days=T","Dir=V")</f>
        <v>0</v>
      </c>
      <c r="K2">
        <f>BDH("BTSGU US Equity","BS_CASH_NEAR_CASH_ITEM","1993-06-18","2026-05-02","Per=Y","Days=T","Dir=V")</f>
        <v>0</v>
      </c>
      <c r="M2">
        <f>BDH("BTSGU US Equity","BS_CUR_ASSET_REPORT","1993-06-18","2026-05-02","Per=Y","Days=T","Dir=V")</f>
        <v>0</v>
      </c>
      <c r="O2">
        <f>BDH("BTSGU US Equity","BS_CUR_LIAB","1993-06-18","2026-05-02","Per=Y","Days=T","Dir=V")</f>
        <v>0</v>
      </c>
      <c r="Q2">
        <f>BDH("BTSGU US Equity","BS_SHAREHOLDER_EQY_ENDING_PERIOD","1993-06-18","2026-05-02","Per=Y","Days=T","Dir=V")</f>
        <v>0</v>
      </c>
      <c r="S2">
        <f>BDH("BTSGU US Equity","BS_ACCT_NOTE_RCV","1993-06-18","2026-05-02","Per=Y","Days=T","Dir=V")</f>
        <v>0</v>
      </c>
      <c r="U2">
        <f>BDH("BTSGU US Equity","BS_INVENTORIES","1993-06-18","2026-05-02","Per=Y","Days=T","Dir=V")</f>
        <v>0</v>
      </c>
      <c r="W2">
        <f>BDH("BTSGU US Equity","WORKING_CAPITAL","1993-06-18","2026-05-02","Per=Y","Days=T","Dir=V")</f>
        <v>0</v>
      </c>
      <c r="Y2">
        <f>BDH("BTSGU US Equity","SALES_REV_TURN","1993-06-18","2026-05-02","Per=Y","Days=T","Dir=V")</f>
        <v>0</v>
      </c>
      <c r="AA2">
        <f>BDH("BTSGU US Equity","EBIT","1993-06-18","2026-05-02","Per=Y","Days=T","Dir=V")</f>
        <v>0</v>
      </c>
      <c r="AC2">
        <f>BDH("BTSGU US Equity","EBITDA","1993-06-18","2026-05-02","Per=Y","Days=T","Dir=V")</f>
        <v>0</v>
      </c>
      <c r="AE2">
        <f>BDH("BTSGU US Equity","NET_INCOME","1993-06-18","2026-05-02","Per=Y","Days=T","Dir=V")</f>
        <v>0</v>
      </c>
      <c r="AG2">
        <f>BDH("BTSGU US Equity","IS_INT_EXPENSE","1993-06-18","2026-05-02","Per=Y","Days=T","Dir=V")</f>
        <v>0</v>
      </c>
      <c r="AI2">
        <f>BDH("BTSGU US Equity","IS_DEPR_EXP","1993-06-18","2026-05-02","Per=Y","Days=T","Dir=V")</f>
        <v>0</v>
      </c>
      <c r="AK2">
        <f>BDH("BTSGU US Equity","CF_CASH_FROM_OPER","1993-06-18","2026-05-02","Per=Y","Days=T","Dir=V")</f>
        <v>0</v>
      </c>
      <c r="AM2">
        <f>BDH("BTSGU US Equity","CAPITAL_EXPEND","1993-06-18","2026-05-02","Per=Y","Days=T","Dir=V")</f>
        <v>0</v>
      </c>
      <c r="AO2">
        <f>BDH("BTSGU US Equity","CF_FREE_CASH_FLOW","1993-06-18","2026-05-02","Per=Y","Days=T","Dir=V")</f>
        <v>0</v>
      </c>
      <c r="AQ2">
        <f>BDH("BTSGU US Equity","PX_LAST","1993-06-18","2026-05-02","Per=M","Days=T","Dir=V")</f>
        <v>0</v>
      </c>
      <c r="AS2">
        <f>BDH("BTSGU US Equity","CUR_MKT_CAP","1993-06-18","2026-05-02","Per=M","Days=T","Dir=V")</f>
        <v>0</v>
      </c>
      <c r="AU2">
        <f>BDH("BTSGU US Equity","EQY_SH_OUT","1993-06-18","2026-05-02","Per=M","Days=T","Dir=V")</f>
        <v>0</v>
      </c>
      <c r="AW2">
        <f>BDH("BTSGU US Equity","PX_VOLUME","1993-06-18","2026-05-02","Per=M","Days=T","Dir=V")</f>
        <v>0</v>
      </c>
      <c r="AY2">
        <f>BDH("BTSGU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BDH("BTU US Equity","BS_TOT_ASSET","1993-06-18","2026-05-02","Per=Y","Days=T","Dir=V")</f>
        <v>0</v>
      </c>
      <c r="C2">
        <f>BDH("BTU US Equity","BS_TOT_LIAB2","1993-06-18","2026-05-02","Per=Y","Days=T","Dir=V")</f>
        <v>0</v>
      </c>
      <c r="E2">
        <f>BDH("BTU US Equity","SHORT_AND_LONG_TERM_DEBT","1993-06-18","2026-05-02","Per=Y","Days=T","Dir=V")</f>
        <v>0</v>
      </c>
      <c r="G2">
        <f>BDH("BTU US Equity","BS_ST_BORROW","1993-06-18","2026-05-02","Per=Y","Days=T","Dir=V")</f>
        <v>0</v>
      </c>
      <c r="I2">
        <f>BDH("BTU US Equity","BS_LT_BORROW","1993-06-18","2026-05-02","Per=Y","Days=T","Dir=V")</f>
        <v>0</v>
      </c>
      <c r="K2">
        <f>BDH("BTU US Equity","BS_CASH_NEAR_CASH_ITEM","1993-06-18","2026-05-02","Per=Y","Days=T","Dir=V")</f>
        <v>0</v>
      </c>
      <c r="M2">
        <f>BDH("BTU US Equity","BS_CUR_ASSET_REPORT","1993-06-18","2026-05-02","Per=Y","Days=T","Dir=V")</f>
        <v>0</v>
      </c>
      <c r="O2">
        <f>BDH("BTU US Equity","BS_CUR_LIAB","1993-06-18","2026-05-02","Per=Y","Days=T","Dir=V")</f>
        <v>0</v>
      </c>
      <c r="Q2">
        <f>BDH("BTU US Equity","BS_SHAREHOLDER_EQY_ENDING_PERIOD","1993-06-18","2026-05-02","Per=Y","Days=T","Dir=V")</f>
        <v>0</v>
      </c>
      <c r="S2">
        <f>BDH("BTU US Equity","BS_ACCT_NOTE_RCV","1993-06-18","2026-05-02","Per=Y","Days=T","Dir=V")</f>
        <v>0</v>
      </c>
      <c r="U2">
        <f>BDH("BTU US Equity","BS_INVENTORIES","1993-06-18","2026-05-02","Per=Y","Days=T","Dir=V")</f>
        <v>0</v>
      </c>
      <c r="W2">
        <f>BDH("BTU US Equity","WORKING_CAPITAL","1993-06-18","2026-05-02","Per=Y","Days=T","Dir=V")</f>
        <v>0</v>
      </c>
      <c r="Y2">
        <f>BDH("BTU US Equity","SALES_REV_TURN","1993-06-18","2026-05-02","Per=Y","Days=T","Dir=V")</f>
        <v>0</v>
      </c>
      <c r="AA2">
        <f>BDH("BTU US Equity","EBIT","1993-06-18","2026-05-02","Per=Y","Days=T","Dir=V")</f>
        <v>0</v>
      </c>
      <c r="AC2">
        <f>BDH("BTU US Equity","EBITDA","1993-06-18","2026-05-02","Per=Y","Days=T","Dir=V")</f>
        <v>0</v>
      </c>
      <c r="AE2">
        <f>BDH("BTU US Equity","NET_INCOME","1993-06-18","2026-05-02","Per=Y","Days=T","Dir=V")</f>
        <v>0</v>
      </c>
      <c r="AG2">
        <f>BDH("BTU US Equity","IS_INT_EXPENSE","1993-06-18","2026-05-02","Per=Y","Days=T","Dir=V")</f>
        <v>0</v>
      </c>
      <c r="AI2">
        <f>BDH("BTU US Equity","IS_DEPR_EXP","1993-06-18","2026-05-02","Per=Y","Days=T","Dir=V")</f>
        <v>0</v>
      </c>
      <c r="AK2">
        <f>BDH("BTU US Equity","CF_CASH_FROM_OPER","1993-06-18","2026-05-02","Per=Y","Days=T","Dir=V")</f>
        <v>0</v>
      </c>
      <c r="AM2">
        <f>BDH("BTU US Equity","CAPITAL_EXPEND","1993-06-18","2026-05-02","Per=Y","Days=T","Dir=V")</f>
        <v>0</v>
      </c>
      <c r="AO2">
        <f>BDH("BTU US Equity","CF_FREE_CASH_FLOW","1993-06-18","2026-05-02","Per=Y","Days=T","Dir=V")</f>
        <v>0</v>
      </c>
      <c r="AQ2">
        <f>BDH("BTU US Equity","PX_LAST","1993-06-18","2026-05-02","Per=M","Days=T","Dir=V")</f>
        <v>0</v>
      </c>
      <c r="AS2">
        <f>BDH("BTU US Equity","CUR_MKT_CAP","1993-06-18","2026-05-02","Per=M","Days=T","Dir=V")</f>
        <v>0</v>
      </c>
      <c r="AU2">
        <f>BDH("BTU US Equity","EQY_SH_OUT","1993-06-18","2026-05-02","Per=M","Days=T","Dir=V")</f>
        <v>0</v>
      </c>
      <c r="AW2">
        <f>BDH("BTU US Equity","PX_VOLUME","1993-06-18","2026-05-02","Per=M","Days=T","Dir=V")</f>
        <v>0</v>
      </c>
      <c r="AY2">
        <f>BDH("BTU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BDH("BURL US Equity","BS_TOT_ASSET","1993-06-18","2026-05-02","Per=Y","Days=T","Dir=V")</f>
        <v>0</v>
      </c>
      <c r="C2">
        <f>BDH("BURL US Equity","BS_TOT_LIAB2","1993-06-18","2026-05-02","Per=Y","Days=T","Dir=V")</f>
        <v>0</v>
      </c>
      <c r="E2">
        <f>BDH("BURL US Equity","SHORT_AND_LONG_TERM_DEBT","1993-06-18","2026-05-02","Per=Y","Days=T","Dir=V")</f>
        <v>0</v>
      </c>
      <c r="G2">
        <f>BDH("BURL US Equity","BS_ST_BORROW","1993-06-18","2026-05-02","Per=Y","Days=T","Dir=V")</f>
        <v>0</v>
      </c>
      <c r="I2">
        <f>BDH("BURL US Equity","BS_LT_BORROW","1993-06-18","2026-05-02","Per=Y","Days=T","Dir=V")</f>
        <v>0</v>
      </c>
      <c r="K2">
        <f>BDH("BURL US Equity","BS_CASH_NEAR_CASH_ITEM","1993-06-18","2026-05-02","Per=Y","Days=T","Dir=V")</f>
        <v>0</v>
      </c>
      <c r="M2">
        <f>BDH("BURL US Equity","BS_CUR_ASSET_REPORT","1993-06-18","2026-05-02","Per=Y","Days=T","Dir=V")</f>
        <v>0</v>
      </c>
      <c r="O2">
        <f>BDH("BURL US Equity","BS_CUR_LIAB","1993-06-18","2026-05-02","Per=Y","Days=T","Dir=V")</f>
        <v>0</v>
      </c>
      <c r="Q2">
        <f>BDH("BURL US Equity","BS_SHAREHOLDER_EQY_ENDING_PERIOD","1993-06-18","2026-05-02","Per=Y","Days=T","Dir=V")</f>
        <v>0</v>
      </c>
      <c r="S2">
        <f>BDH("BURL US Equity","BS_ACCT_NOTE_RCV","1993-06-18","2026-05-02","Per=Y","Days=T","Dir=V")</f>
        <v>0</v>
      </c>
      <c r="U2">
        <f>BDH("BURL US Equity","BS_INVENTORIES","1993-06-18","2026-05-02","Per=Y","Days=T","Dir=V")</f>
        <v>0</v>
      </c>
      <c r="W2">
        <f>BDH("BURL US Equity","WORKING_CAPITAL","1993-06-18","2026-05-02","Per=Y","Days=T","Dir=V")</f>
        <v>0</v>
      </c>
      <c r="Y2">
        <f>BDH("BURL US Equity","SALES_REV_TURN","1993-06-18","2026-05-02","Per=Y","Days=T","Dir=V")</f>
        <v>0</v>
      </c>
      <c r="AA2">
        <f>BDH("BURL US Equity","EBIT","1993-06-18","2026-05-02","Per=Y","Days=T","Dir=V")</f>
        <v>0</v>
      </c>
      <c r="AC2">
        <f>BDH("BURL US Equity","EBITDA","1993-06-18","2026-05-02","Per=Y","Days=T","Dir=V")</f>
        <v>0</v>
      </c>
      <c r="AE2">
        <f>BDH("BURL US Equity","NET_INCOME","1993-06-18","2026-05-02","Per=Y","Days=T","Dir=V")</f>
        <v>0</v>
      </c>
      <c r="AG2">
        <f>BDH("BURL US Equity","IS_INT_EXPENSE","1993-06-18","2026-05-02","Per=Y","Days=T","Dir=V")</f>
        <v>0</v>
      </c>
      <c r="AI2">
        <f>BDH("BURL US Equity","IS_DEPR_EXP","1993-06-18","2026-05-02","Per=Y","Days=T","Dir=V")</f>
        <v>0</v>
      </c>
      <c r="AK2">
        <f>BDH("BURL US Equity","CF_CASH_FROM_OPER","1993-06-18","2026-05-02","Per=Y","Days=T","Dir=V")</f>
        <v>0</v>
      </c>
      <c r="AM2">
        <f>BDH("BURL US Equity","CAPITAL_EXPEND","1993-06-18","2026-05-02","Per=Y","Days=T","Dir=V")</f>
        <v>0</v>
      </c>
      <c r="AO2">
        <f>BDH("BURL US Equity","CF_FREE_CASH_FLOW","1993-06-18","2026-05-02","Per=Y","Days=T","Dir=V")</f>
        <v>0</v>
      </c>
      <c r="AQ2">
        <f>BDH("BURL US Equity","PX_LAST","1993-06-18","2026-05-02","Per=M","Days=T","Dir=V")</f>
        <v>0</v>
      </c>
      <c r="AS2">
        <f>BDH("BURL US Equity","CUR_MKT_CAP","1993-06-18","2026-05-02","Per=M","Days=T","Dir=V")</f>
        <v>0</v>
      </c>
      <c r="AU2">
        <f>BDH("BURL US Equity","EQY_SH_OUT","1993-06-18","2026-05-02","Per=M","Days=T","Dir=V")</f>
        <v>0</v>
      </c>
      <c r="AW2">
        <f>BDH("BURL US Equity","PX_VOLUME","1993-06-18","2026-05-02","Per=M","Days=T","Dir=V")</f>
        <v>0</v>
      </c>
      <c r="AY2">
        <f>BDH("BURL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BDH("BV US Equity","BS_TOT_ASSET","1993-06-18","2026-05-02","Per=Y","Days=T","Dir=V")</f>
        <v>0</v>
      </c>
      <c r="C2">
        <f>BDH("BV US Equity","BS_TOT_LIAB2","1993-06-18","2026-05-02","Per=Y","Days=T","Dir=V")</f>
        <v>0</v>
      </c>
      <c r="E2">
        <f>BDH("BV US Equity","SHORT_AND_LONG_TERM_DEBT","1993-06-18","2026-05-02","Per=Y","Days=T","Dir=V")</f>
        <v>0</v>
      </c>
      <c r="G2">
        <f>BDH("BV US Equity","BS_ST_BORROW","1993-06-18","2026-05-02","Per=Y","Days=T","Dir=V")</f>
        <v>0</v>
      </c>
      <c r="I2">
        <f>BDH("BV US Equity","BS_LT_BORROW","1993-06-18","2026-05-02","Per=Y","Days=T","Dir=V")</f>
        <v>0</v>
      </c>
      <c r="K2">
        <f>BDH("BV US Equity","BS_CASH_NEAR_CASH_ITEM","1993-06-18","2026-05-02","Per=Y","Days=T","Dir=V")</f>
        <v>0</v>
      </c>
      <c r="M2">
        <f>BDH("BV US Equity","BS_CUR_ASSET_REPORT","1993-06-18","2026-05-02","Per=Y","Days=T","Dir=V")</f>
        <v>0</v>
      </c>
      <c r="O2">
        <f>BDH("BV US Equity","BS_CUR_LIAB","1993-06-18","2026-05-02","Per=Y","Days=T","Dir=V")</f>
        <v>0</v>
      </c>
      <c r="Q2">
        <f>BDH("BV US Equity","BS_SHAREHOLDER_EQY_ENDING_PERIOD","1993-06-18","2026-05-02","Per=Y","Days=T","Dir=V")</f>
        <v>0</v>
      </c>
      <c r="S2">
        <f>BDH("BV US Equity","BS_ACCT_NOTE_RCV","1993-06-18","2026-05-02","Per=Y","Days=T","Dir=V")</f>
        <v>0</v>
      </c>
      <c r="U2">
        <f>BDH("BV US Equity","BS_INVENTORIES","1993-06-18","2026-05-02","Per=Y","Days=T","Dir=V")</f>
        <v>0</v>
      </c>
      <c r="W2">
        <f>BDH("BV US Equity","WORKING_CAPITAL","1993-06-18","2026-05-02","Per=Y","Days=T","Dir=V")</f>
        <v>0</v>
      </c>
      <c r="Y2">
        <f>BDH("BV US Equity","SALES_REV_TURN","1993-06-18","2026-05-02","Per=Y","Days=T","Dir=V")</f>
        <v>0</v>
      </c>
      <c r="AA2">
        <f>BDH("BV US Equity","EBIT","1993-06-18","2026-05-02","Per=Y","Days=T","Dir=V")</f>
        <v>0</v>
      </c>
      <c r="AC2">
        <f>BDH("BV US Equity","EBITDA","1993-06-18","2026-05-02","Per=Y","Days=T","Dir=V")</f>
        <v>0</v>
      </c>
      <c r="AE2">
        <f>BDH("BV US Equity","NET_INCOME","1993-06-18","2026-05-02","Per=Y","Days=T","Dir=V")</f>
        <v>0</v>
      </c>
      <c r="AG2">
        <f>BDH("BV US Equity","IS_INT_EXPENSE","1993-06-18","2026-05-02","Per=Y","Days=T","Dir=V")</f>
        <v>0</v>
      </c>
      <c r="AI2">
        <f>BDH("BV US Equity","IS_DEPR_EXP","1993-06-18","2026-05-02","Per=Y","Days=T","Dir=V")</f>
        <v>0</v>
      </c>
      <c r="AK2">
        <f>BDH("BV US Equity","CF_CASH_FROM_OPER","1993-06-18","2026-05-02","Per=Y","Days=T","Dir=V")</f>
        <v>0</v>
      </c>
      <c r="AM2">
        <f>BDH("BV US Equity","CAPITAL_EXPEND","1993-06-18","2026-05-02","Per=Y","Days=T","Dir=V")</f>
        <v>0</v>
      </c>
      <c r="AO2">
        <f>BDH("BV US Equity","CF_FREE_CASH_FLOW","1993-06-18","2026-05-02","Per=Y","Days=T","Dir=V")</f>
        <v>0</v>
      </c>
      <c r="AQ2">
        <f>BDH("BV US Equity","PX_LAST","1993-06-18","2026-05-02","Per=M","Days=T","Dir=V")</f>
        <v>0</v>
      </c>
      <c r="AS2">
        <f>BDH("BV US Equity","CUR_MKT_CAP","1993-06-18","2026-05-02","Per=M","Days=T","Dir=V")</f>
        <v>0</v>
      </c>
      <c r="AU2">
        <f>BDH("BV US Equity","EQY_SH_OUT","1993-06-18","2026-05-02","Per=M","Days=T","Dir=V")</f>
        <v>0</v>
      </c>
      <c r="AW2">
        <f>BDH("BV US Equity","PX_VOLUME","1993-06-18","2026-05-02","Per=M","Days=T","Dir=V")</f>
        <v>0</v>
      </c>
      <c r="AY2">
        <f>BDH("BV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BDH("BVS US Equity","BS_TOT_ASSET","1993-06-18","2026-05-02","Per=Y","Days=T","Dir=V")</f>
        <v>0</v>
      </c>
      <c r="C2">
        <f>BDH("BVS US Equity","BS_TOT_LIAB2","1993-06-18","2026-05-02","Per=Y","Days=T","Dir=V")</f>
        <v>0</v>
      </c>
      <c r="E2">
        <f>BDH("BVS US Equity","SHORT_AND_LONG_TERM_DEBT","1993-06-18","2026-05-02","Per=Y","Days=T","Dir=V")</f>
        <v>0</v>
      </c>
      <c r="G2">
        <f>BDH("BVS US Equity","BS_ST_BORROW","1993-06-18","2026-05-02","Per=Y","Days=T","Dir=V")</f>
        <v>0</v>
      </c>
      <c r="I2">
        <f>BDH("BVS US Equity","BS_LT_BORROW","1993-06-18","2026-05-02","Per=Y","Days=T","Dir=V")</f>
        <v>0</v>
      </c>
      <c r="K2">
        <f>BDH("BVS US Equity","BS_CASH_NEAR_CASH_ITEM","1993-06-18","2026-05-02","Per=Y","Days=T","Dir=V")</f>
        <v>0</v>
      </c>
      <c r="M2">
        <f>BDH("BVS US Equity","BS_CUR_ASSET_REPORT","1993-06-18","2026-05-02","Per=Y","Days=T","Dir=V")</f>
        <v>0</v>
      </c>
      <c r="O2">
        <f>BDH("BVS US Equity","BS_CUR_LIAB","1993-06-18","2026-05-02","Per=Y","Days=T","Dir=V")</f>
        <v>0</v>
      </c>
      <c r="Q2">
        <f>BDH("BVS US Equity","BS_SHAREHOLDER_EQY_ENDING_PERIOD","1993-06-18","2026-05-02","Per=Y","Days=T","Dir=V")</f>
        <v>0</v>
      </c>
      <c r="S2">
        <f>BDH("BVS US Equity","BS_ACCT_NOTE_RCV","1993-06-18","2026-05-02","Per=Y","Days=T","Dir=V")</f>
        <v>0</v>
      </c>
      <c r="U2">
        <f>BDH("BVS US Equity","BS_INVENTORIES","1993-06-18","2026-05-02","Per=Y","Days=T","Dir=V")</f>
        <v>0</v>
      </c>
      <c r="W2">
        <f>BDH("BVS US Equity","WORKING_CAPITAL","1993-06-18","2026-05-02","Per=Y","Days=T","Dir=V")</f>
        <v>0</v>
      </c>
      <c r="Y2">
        <f>BDH("BVS US Equity","SALES_REV_TURN","1993-06-18","2026-05-02","Per=Y","Days=T","Dir=V")</f>
        <v>0</v>
      </c>
      <c r="AA2">
        <f>BDH("BVS US Equity","EBIT","1993-06-18","2026-05-02","Per=Y","Days=T","Dir=V")</f>
        <v>0</v>
      </c>
      <c r="AC2">
        <f>BDH("BVS US Equity","EBITDA","1993-06-18","2026-05-02","Per=Y","Days=T","Dir=V")</f>
        <v>0</v>
      </c>
      <c r="AE2">
        <f>BDH("BVS US Equity","NET_INCOME","1993-06-18","2026-05-02","Per=Y","Days=T","Dir=V")</f>
        <v>0</v>
      </c>
      <c r="AG2">
        <f>BDH("BVS US Equity","IS_INT_EXPENSE","1993-06-18","2026-05-02","Per=Y","Days=T","Dir=V")</f>
        <v>0</v>
      </c>
      <c r="AI2">
        <f>BDH("BVS US Equity","IS_DEPR_EXP","1993-06-18","2026-05-02","Per=Y","Days=T","Dir=V")</f>
        <v>0</v>
      </c>
      <c r="AK2">
        <f>BDH("BVS US Equity","CF_CASH_FROM_OPER","1993-06-18","2026-05-02","Per=Y","Days=T","Dir=V")</f>
        <v>0</v>
      </c>
      <c r="AM2">
        <f>BDH("BVS US Equity","CAPITAL_EXPEND","1993-06-18","2026-05-02","Per=Y","Days=T","Dir=V")</f>
        <v>0</v>
      </c>
      <c r="AO2">
        <f>BDH("BVS US Equity","CF_FREE_CASH_FLOW","1993-06-18","2026-05-02","Per=Y","Days=T","Dir=V")</f>
        <v>0</v>
      </c>
      <c r="AQ2">
        <f>BDH("BVS US Equity","PX_LAST","1993-06-18","2026-05-02","Per=M","Days=T","Dir=V")</f>
        <v>0</v>
      </c>
      <c r="AS2">
        <f>BDH("BVS US Equity","CUR_MKT_CAP","1993-06-18","2026-05-02","Per=M","Days=T","Dir=V")</f>
        <v>0</v>
      </c>
      <c r="AU2">
        <f>BDH("BVS US Equity","EQY_SH_OUT","1993-06-18","2026-05-02","Per=M","Days=T","Dir=V")</f>
        <v>0</v>
      </c>
      <c r="AW2">
        <f>BDH("BVS US Equity","PX_VOLUME","1993-06-18","2026-05-02","Per=M","Days=T","Dir=V")</f>
        <v>0</v>
      </c>
      <c r="AY2">
        <f>BDH("BVS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BDH("BW US Equity","BS_TOT_ASSET","1993-06-18","2026-05-02","Per=Y","Days=T","Dir=V")</f>
        <v>0</v>
      </c>
      <c r="C2">
        <f>BDH("BW US Equity","BS_TOT_LIAB2","1993-06-18","2026-05-02","Per=Y","Days=T","Dir=V")</f>
        <v>0</v>
      </c>
      <c r="E2">
        <f>BDH("BW US Equity","SHORT_AND_LONG_TERM_DEBT","1993-06-18","2026-05-02","Per=Y","Days=T","Dir=V")</f>
        <v>0</v>
      </c>
      <c r="G2">
        <f>BDH("BW US Equity","BS_ST_BORROW","1993-06-18","2026-05-02","Per=Y","Days=T","Dir=V")</f>
        <v>0</v>
      </c>
      <c r="I2">
        <f>BDH("BW US Equity","BS_LT_BORROW","1993-06-18","2026-05-02","Per=Y","Days=T","Dir=V")</f>
        <v>0</v>
      </c>
      <c r="K2">
        <f>BDH("BW US Equity","BS_CASH_NEAR_CASH_ITEM","1993-06-18","2026-05-02","Per=Y","Days=T","Dir=V")</f>
        <v>0</v>
      </c>
      <c r="M2">
        <f>BDH("BW US Equity","BS_CUR_ASSET_REPORT","1993-06-18","2026-05-02","Per=Y","Days=T","Dir=V")</f>
        <v>0</v>
      </c>
      <c r="O2">
        <f>BDH("BW US Equity","BS_CUR_LIAB","1993-06-18","2026-05-02","Per=Y","Days=T","Dir=V")</f>
        <v>0</v>
      </c>
      <c r="Q2">
        <f>BDH("BW US Equity","BS_SHAREHOLDER_EQY_ENDING_PERIOD","1993-06-18","2026-05-02","Per=Y","Days=T","Dir=V")</f>
        <v>0</v>
      </c>
      <c r="S2">
        <f>BDH("BW US Equity","BS_ACCT_NOTE_RCV","1993-06-18","2026-05-02","Per=Y","Days=T","Dir=V")</f>
        <v>0</v>
      </c>
      <c r="U2">
        <f>BDH("BW US Equity","BS_INVENTORIES","1993-06-18","2026-05-02","Per=Y","Days=T","Dir=V")</f>
        <v>0</v>
      </c>
      <c r="W2">
        <f>BDH("BW US Equity","WORKING_CAPITAL","1993-06-18","2026-05-02","Per=Y","Days=T","Dir=V")</f>
        <v>0</v>
      </c>
      <c r="Y2">
        <f>BDH("BW US Equity","SALES_REV_TURN","1993-06-18","2026-05-02","Per=Y","Days=T","Dir=V")</f>
        <v>0</v>
      </c>
      <c r="AA2">
        <f>BDH("BW US Equity","EBIT","1993-06-18","2026-05-02","Per=Y","Days=T","Dir=V")</f>
        <v>0</v>
      </c>
      <c r="AC2">
        <f>BDH("BW US Equity","EBITDA","1993-06-18","2026-05-02","Per=Y","Days=T","Dir=V")</f>
        <v>0</v>
      </c>
      <c r="AE2">
        <f>BDH("BW US Equity","NET_INCOME","1993-06-18","2026-05-02","Per=Y","Days=T","Dir=V")</f>
        <v>0</v>
      </c>
      <c r="AG2">
        <f>BDH("BW US Equity","IS_INT_EXPENSE","1993-06-18","2026-05-02","Per=Y","Days=T","Dir=V")</f>
        <v>0</v>
      </c>
      <c r="AI2">
        <f>BDH("BW US Equity","IS_DEPR_EXP","1993-06-18","2026-05-02","Per=Y","Days=T","Dir=V")</f>
        <v>0</v>
      </c>
      <c r="AK2">
        <f>BDH("BW US Equity","CF_CASH_FROM_OPER","1993-06-18","2026-05-02","Per=Y","Days=T","Dir=V")</f>
        <v>0</v>
      </c>
      <c r="AM2">
        <f>BDH("BW US Equity","CAPITAL_EXPEND","1993-06-18","2026-05-02","Per=Y","Days=T","Dir=V")</f>
        <v>0</v>
      </c>
      <c r="AO2">
        <f>BDH("BW US Equity","CF_FREE_CASH_FLOW","1993-06-18","2026-05-02","Per=Y","Days=T","Dir=V")</f>
        <v>0</v>
      </c>
      <c r="AQ2">
        <f>BDH("BW US Equity","PX_LAST","1993-06-18","2026-05-02","Per=M","Days=T","Dir=V")</f>
        <v>0</v>
      </c>
      <c r="AS2">
        <f>BDH("BW US Equity","CUR_MKT_CAP","1993-06-18","2026-05-02","Per=M","Days=T","Dir=V")</f>
        <v>0</v>
      </c>
      <c r="AU2">
        <f>BDH("BW US Equity","EQY_SH_OUT","1993-06-18","2026-05-02","Per=M","Days=T","Dir=V")</f>
        <v>0</v>
      </c>
      <c r="AW2">
        <f>BDH("BW US Equity","PX_VOLUME","1993-06-18","2026-05-02","Per=M","Days=T","Dir=V")</f>
        <v>0</v>
      </c>
      <c r="AY2">
        <f>BDH("BW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BDH("BWA US Equity","BS_TOT_ASSET","1993-06-18","2026-05-02","Per=Y","Days=T","Dir=V")</f>
        <v>0</v>
      </c>
      <c r="C2">
        <f>BDH("BWA US Equity","BS_TOT_LIAB2","1993-06-18","2026-05-02","Per=Y","Days=T","Dir=V")</f>
        <v>0</v>
      </c>
      <c r="E2">
        <f>BDH("BWA US Equity","SHORT_AND_LONG_TERM_DEBT","1993-06-18","2026-05-02","Per=Y","Days=T","Dir=V")</f>
        <v>0</v>
      </c>
      <c r="G2">
        <f>BDH("BWA US Equity","BS_ST_BORROW","1993-06-18","2026-05-02","Per=Y","Days=T","Dir=V")</f>
        <v>0</v>
      </c>
      <c r="I2">
        <f>BDH("BWA US Equity","BS_LT_BORROW","1993-06-18","2026-05-02","Per=Y","Days=T","Dir=V")</f>
        <v>0</v>
      </c>
      <c r="K2">
        <f>BDH("BWA US Equity","BS_CASH_NEAR_CASH_ITEM","1993-06-18","2026-05-02","Per=Y","Days=T","Dir=V")</f>
        <v>0</v>
      </c>
      <c r="M2">
        <f>BDH("BWA US Equity","BS_CUR_ASSET_REPORT","1993-06-18","2026-05-02","Per=Y","Days=T","Dir=V")</f>
        <v>0</v>
      </c>
      <c r="O2">
        <f>BDH("BWA US Equity","BS_CUR_LIAB","1993-06-18","2026-05-02","Per=Y","Days=T","Dir=V")</f>
        <v>0</v>
      </c>
      <c r="Q2">
        <f>BDH("BWA US Equity","BS_SHAREHOLDER_EQY_ENDING_PERIOD","1993-06-18","2026-05-02","Per=Y","Days=T","Dir=V")</f>
        <v>0</v>
      </c>
      <c r="S2">
        <f>BDH("BWA US Equity","BS_ACCT_NOTE_RCV","1993-06-18","2026-05-02","Per=Y","Days=T","Dir=V")</f>
        <v>0</v>
      </c>
      <c r="U2">
        <f>BDH("BWA US Equity","BS_INVENTORIES","1993-06-18","2026-05-02","Per=Y","Days=T","Dir=V")</f>
        <v>0</v>
      </c>
      <c r="W2">
        <f>BDH("BWA US Equity","WORKING_CAPITAL","1993-06-18","2026-05-02","Per=Y","Days=T","Dir=V")</f>
        <v>0</v>
      </c>
      <c r="Y2">
        <f>BDH("BWA US Equity","SALES_REV_TURN","1993-06-18","2026-05-02","Per=Y","Days=T","Dir=V")</f>
        <v>0</v>
      </c>
      <c r="AA2">
        <f>BDH("BWA US Equity","EBIT","1993-06-18","2026-05-02","Per=Y","Days=T","Dir=V")</f>
        <v>0</v>
      </c>
      <c r="AC2">
        <f>BDH("BWA US Equity","EBITDA","1993-06-18","2026-05-02","Per=Y","Days=T","Dir=V")</f>
        <v>0</v>
      </c>
      <c r="AE2">
        <f>BDH("BWA US Equity","NET_INCOME","1993-06-18","2026-05-02","Per=Y","Days=T","Dir=V")</f>
        <v>0</v>
      </c>
      <c r="AG2">
        <f>BDH("BWA US Equity","IS_INT_EXPENSE","1993-06-18","2026-05-02","Per=Y","Days=T","Dir=V")</f>
        <v>0</v>
      </c>
      <c r="AI2">
        <f>BDH("BWA US Equity","IS_DEPR_EXP","1993-06-18","2026-05-02","Per=Y","Days=T","Dir=V")</f>
        <v>0</v>
      </c>
      <c r="AK2">
        <f>BDH("BWA US Equity","CF_CASH_FROM_OPER","1993-06-18","2026-05-02","Per=Y","Days=T","Dir=V")</f>
        <v>0</v>
      </c>
      <c r="AM2">
        <f>BDH("BWA US Equity","CAPITAL_EXPEND","1993-06-18","2026-05-02","Per=Y","Days=T","Dir=V")</f>
        <v>0</v>
      </c>
      <c r="AO2">
        <f>BDH("BWA US Equity","CF_FREE_CASH_FLOW","1993-06-18","2026-05-02","Per=Y","Days=T","Dir=V")</f>
        <v>0</v>
      </c>
      <c r="AQ2">
        <f>BDH("BWA US Equity","PX_LAST","1993-06-18","2026-05-02","Per=M","Days=T","Dir=V")</f>
        <v>0</v>
      </c>
      <c r="AS2">
        <f>BDH("BWA US Equity","CUR_MKT_CAP","1993-06-18","2026-05-02","Per=M","Days=T","Dir=V")</f>
        <v>0</v>
      </c>
      <c r="AU2">
        <f>BDH("BWA US Equity","EQY_SH_OUT","1993-06-18","2026-05-02","Per=M","Days=T","Dir=V")</f>
        <v>0</v>
      </c>
      <c r="AW2">
        <f>BDH("BWA US Equity","PX_VOLUME","1993-06-18","2026-05-02","Per=M","Days=T","Dir=V")</f>
        <v>0</v>
      </c>
      <c r="AY2">
        <f>BDH("BWA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BDH("BWEN US Equity","BS_TOT_ASSET","1993-06-18","2026-05-02","Per=Y","Days=T","Dir=V")</f>
        <v>0</v>
      </c>
      <c r="C2">
        <f>BDH("BWEN US Equity","BS_TOT_LIAB2","1993-06-18","2026-05-02","Per=Y","Days=T","Dir=V")</f>
        <v>0</v>
      </c>
      <c r="E2">
        <f>BDH("BWEN US Equity","SHORT_AND_LONG_TERM_DEBT","1993-06-18","2026-05-02","Per=Y","Days=T","Dir=V")</f>
        <v>0</v>
      </c>
      <c r="G2">
        <f>BDH("BWEN US Equity","BS_ST_BORROW","1993-06-18","2026-05-02","Per=Y","Days=T","Dir=V")</f>
        <v>0</v>
      </c>
      <c r="I2">
        <f>BDH("BWEN US Equity","BS_LT_BORROW","1993-06-18","2026-05-02","Per=Y","Days=T","Dir=V")</f>
        <v>0</v>
      </c>
      <c r="K2">
        <f>BDH("BWEN US Equity","BS_CASH_NEAR_CASH_ITEM","1993-06-18","2026-05-02","Per=Y","Days=T","Dir=V")</f>
        <v>0</v>
      </c>
      <c r="M2">
        <f>BDH("BWEN US Equity","BS_CUR_ASSET_REPORT","1993-06-18","2026-05-02","Per=Y","Days=T","Dir=V")</f>
        <v>0</v>
      </c>
      <c r="O2">
        <f>BDH("BWEN US Equity","BS_CUR_LIAB","1993-06-18","2026-05-02","Per=Y","Days=T","Dir=V")</f>
        <v>0</v>
      </c>
      <c r="Q2">
        <f>BDH("BWEN US Equity","BS_SHAREHOLDER_EQY_ENDING_PERIOD","1993-06-18","2026-05-02","Per=Y","Days=T","Dir=V")</f>
        <v>0</v>
      </c>
      <c r="S2">
        <f>BDH("BWEN US Equity","BS_ACCT_NOTE_RCV","1993-06-18","2026-05-02","Per=Y","Days=T","Dir=V")</f>
        <v>0</v>
      </c>
      <c r="U2">
        <f>BDH("BWEN US Equity","BS_INVENTORIES","1993-06-18","2026-05-02","Per=Y","Days=T","Dir=V")</f>
        <v>0</v>
      </c>
      <c r="W2">
        <f>BDH("BWEN US Equity","WORKING_CAPITAL","1993-06-18","2026-05-02","Per=Y","Days=T","Dir=V")</f>
        <v>0</v>
      </c>
      <c r="Y2">
        <f>BDH("BWEN US Equity","SALES_REV_TURN","1993-06-18","2026-05-02","Per=Y","Days=T","Dir=V")</f>
        <v>0</v>
      </c>
      <c r="AA2">
        <f>BDH("BWEN US Equity","EBIT","1993-06-18","2026-05-02","Per=Y","Days=T","Dir=V")</f>
        <v>0</v>
      </c>
      <c r="AC2">
        <f>BDH("BWEN US Equity","EBITDA","1993-06-18","2026-05-02","Per=Y","Days=T","Dir=V")</f>
        <v>0</v>
      </c>
      <c r="AE2">
        <f>BDH("BWEN US Equity","NET_INCOME","1993-06-18","2026-05-02","Per=Y","Days=T","Dir=V")</f>
        <v>0</v>
      </c>
      <c r="AG2">
        <f>BDH("BWEN US Equity","IS_INT_EXPENSE","1993-06-18","2026-05-02","Per=Y","Days=T","Dir=V")</f>
        <v>0</v>
      </c>
      <c r="AI2">
        <f>BDH("BWEN US Equity","IS_DEPR_EXP","1993-06-18","2026-05-02","Per=Y","Days=T","Dir=V")</f>
        <v>0</v>
      </c>
      <c r="AK2">
        <f>BDH("BWEN US Equity","CF_CASH_FROM_OPER","1993-06-18","2026-05-02","Per=Y","Days=T","Dir=V")</f>
        <v>0</v>
      </c>
      <c r="AM2">
        <f>BDH("BWEN US Equity","CAPITAL_EXPEND","1993-06-18","2026-05-02","Per=Y","Days=T","Dir=V")</f>
        <v>0</v>
      </c>
      <c r="AO2">
        <f>BDH("BWEN US Equity","CF_FREE_CASH_FLOW","1993-06-18","2026-05-02","Per=Y","Days=T","Dir=V")</f>
        <v>0</v>
      </c>
      <c r="AQ2">
        <f>BDH("BWEN US Equity","PX_LAST","1993-06-18","2026-05-02","Per=M","Days=T","Dir=V")</f>
        <v>0</v>
      </c>
      <c r="AS2">
        <f>BDH("BWEN US Equity","CUR_MKT_CAP","1993-06-18","2026-05-02","Per=M","Days=T","Dir=V")</f>
        <v>0</v>
      </c>
      <c r="AU2">
        <f>BDH("BWEN US Equity","EQY_SH_OUT","1993-06-18","2026-05-02","Per=M","Days=T","Dir=V")</f>
        <v>0</v>
      </c>
      <c r="AW2">
        <f>BDH("BWEN US Equity","PX_VOLUME","1993-06-18","2026-05-02","Per=M","Days=T","Dir=V")</f>
        <v>0</v>
      </c>
      <c r="AY2">
        <f>BDH("BWEN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BDH("BWMN US Equity","BS_TOT_ASSET","1993-06-18","2026-05-02","Per=Y","Days=T","Dir=V")</f>
        <v>0</v>
      </c>
      <c r="C2">
        <f>BDH("BWMN US Equity","BS_TOT_LIAB2","1993-06-18","2026-05-02","Per=Y","Days=T","Dir=V")</f>
        <v>0</v>
      </c>
      <c r="E2">
        <f>BDH("BWMN US Equity","SHORT_AND_LONG_TERM_DEBT","1993-06-18","2026-05-02","Per=Y","Days=T","Dir=V")</f>
        <v>0</v>
      </c>
      <c r="G2">
        <f>BDH("BWMN US Equity","BS_ST_BORROW","1993-06-18","2026-05-02","Per=Y","Days=T","Dir=V")</f>
        <v>0</v>
      </c>
      <c r="I2">
        <f>BDH("BWMN US Equity","BS_LT_BORROW","1993-06-18","2026-05-02","Per=Y","Days=T","Dir=V")</f>
        <v>0</v>
      </c>
      <c r="K2">
        <f>BDH("BWMN US Equity","BS_CASH_NEAR_CASH_ITEM","1993-06-18","2026-05-02","Per=Y","Days=T","Dir=V")</f>
        <v>0</v>
      </c>
      <c r="M2">
        <f>BDH("BWMN US Equity","BS_CUR_ASSET_REPORT","1993-06-18","2026-05-02","Per=Y","Days=T","Dir=V")</f>
        <v>0</v>
      </c>
      <c r="O2">
        <f>BDH("BWMN US Equity","BS_CUR_LIAB","1993-06-18","2026-05-02","Per=Y","Days=T","Dir=V")</f>
        <v>0</v>
      </c>
      <c r="Q2">
        <f>BDH("BWMN US Equity","BS_SHAREHOLDER_EQY_ENDING_PERIOD","1993-06-18","2026-05-02","Per=Y","Days=T","Dir=V")</f>
        <v>0</v>
      </c>
      <c r="S2">
        <f>BDH("BWMN US Equity","BS_ACCT_NOTE_RCV","1993-06-18","2026-05-02","Per=Y","Days=T","Dir=V")</f>
        <v>0</v>
      </c>
      <c r="U2">
        <f>BDH("BWMN US Equity","BS_INVENTORIES","1993-06-18","2026-05-02","Per=Y","Days=T","Dir=V")</f>
        <v>0</v>
      </c>
      <c r="W2">
        <f>BDH("BWMN US Equity","WORKING_CAPITAL","1993-06-18","2026-05-02","Per=Y","Days=T","Dir=V")</f>
        <v>0</v>
      </c>
      <c r="Y2">
        <f>BDH("BWMN US Equity","SALES_REV_TURN","1993-06-18","2026-05-02","Per=Y","Days=T","Dir=V")</f>
        <v>0</v>
      </c>
      <c r="AA2">
        <f>BDH("BWMN US Equity","EBIT","1993-06-18","2026-05-02","Per=Y","Days=T","Dir=V")</f>
        <v>0</v>
      </c>
      <c r="AC2">
        <f>BDH("BWMN US Equity","EBITDA","1993-06-18","2026-05-02","Per=Y","Days=T","Dir=V")</f>
        <v>0</v>
      </c>
      <c r="AE2">
        <f>BDH("BWMN US Equity","NET_INCOME","1993-06-18","2026-05-02","Per=Y","Days=T","Dir=V")</f>
        <v>0</v>
      </c>
      <c r="AG2">
        <f>BDH("BWMN US Equity","IS_INT_EXPENSE","1993-06-18","2026-05-02","Per=Y","Days=T","Dir=V")</f>
        <v>0</v>
      </c>
      <c r="AI2">
        <f>BDH("BWMN US Equity","IS_DEPR_EXP","1993-06-18","2026-05-02","Per=Y","Days=T","Dir=V")</f>
        <v>0</v>
      </c>
      <c r="AK2">
        <f>BDH("BWMN US Equity","CF_CASH_FROM_OPER","1993-06-18","2026-05-02","Per=Y","Days=T","Dir=V")</f>
        <v>0</v>
      </c>
      <c r="AM2">
        <f>BDH("BWMN US Equity","CAPITAL_EXPEND","1993-06-18","2026-05-02","Per=Y","Days=T","Dir=V")</f>
        <v>0</v>
      </c>
      <c r="AO2">
        <f>BDH("BWMN US Equity","CF_FREE_CASH_FLOW","1993-06-18","2026-05-02","Per=Y","Days=T","Dir=V")</f>
        <v>0</v>
      </c>
      <c r="AQ2">
        <f>BDH("BWMN US Equity","PX_LAST","1993-06-18","2026-05-02","Per=M","Days=T","Dir=V")</f>
        <v>0</v>
      </c>
      <c r="AS2">
        <f>BDH("BWMN US Equity","CUR_MKT_CAP","1993-06-18","2026-05-02","Per=M","Days=T","Dir=V")</f>
        <v>0</v>
      </c>
      <c r="AU2">
        <f>BDH("BWMN US Equity","EQY_SH_OUT","1993-06-18","2026-05-02","Per=M","Days=T","Dir=V")</f>
        <v>0</v>
      </c>
      <c r="AW2">
        <f>BDH("BWMN US Equity","PX_VOLUME","1993-06-18","2026-05-02","Per=M","Days=T","Dir=V")</f>
        <v>0</v>
      </c>
      <c r="AY2">
        <f>BDH("BWMN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BDH("BWXT US Equity","BS_TOT_ASSET","1993-06-18","2026-05-02","Per=Y","Days=T","Dir=V")</f>
        <v>0</v>
      </c>
      <c r="C2">
        <f>BDH("BWXT US Equity","BS_TOT_LIAB2","1993-06-18","2026-05-02","Per=Y","Days=T","Dir=V")</f>
        <v>0</v>
      </c>
      <c r="E2">
        <f>BDH("BWXT US Equity","SHORT_AND_LONG_TERM_DEBT","1993-06-18","2026-05-02","Per=Y","Days=T","Dir=V")</f>
        <v>0</v>
      </c>
      <c r="G2">
        <f>BDH("BWXT US Equity","BS_ST_BORROW","1993-06-18","2026-05-02","Per=Y","Days=T","Dir=V")</f>
        <v>0</v>
      </c>
      <c r="I2">
        <f>BDH("BWXT US Equity","BS_LT_BORROW","1993-06-18","2026-05-02","Per=Y","Days=T","Dir=V")</f>
        <v>0</v>
      </c>
      <c r="K2">
        <f>BDH("BWXT US Equity","BS_CASH_NEAR_CASH_ITEM","1993-06-18","2026-05-02","Per=Y","Days=T","Dir=V")</f>
        <v>0</v>
      </c>
      <c r="M2">
        <f>BDH("BWXT US Equity","BS_CUR_ASSET_REPORT","1993-06-18","2026-05-02","Per=Y","Days=T","Dir=V")</f>
        <v>0</v>
      </c>
      <c r="O2">
        <f>BDH("BWXT US Equity","BS_CUR_LIAB","1993-06-18","2026-05-02","Per=Y","Days=T","Dir=V")</f>
        <v>0</v>
      </c>
      <c r="Q2">
        <f>BDH("BWXT US Equity","BS_SHAREHOLDER_EQY_ENDING_PERIOD","1993-06-18","2026-05-02","Per=Y","Days=T","Dir=V")</f>
        <v>0</v>
      </c>
      <c r="S2">
        <f>BDH("BWXT US Equity","BS_ACCT_NOTE_RCV","1993-06-18","2026-05-02","Per=Y","Days=T","Dir=V")</f>
        <v>0</v>
      </c>
      <c r="U2">
        <f>BDH("BWXT US Equity","BS_INVENTORIES","1993-06-18","2026-05-02","Per=Y","Days=T","Dir=V")</f>
        <v>0</v>
      </c>
      <c r="W2">
        <f>BDH("BWXT US Equity","WORKING_CAPITAL","1993-06-18","2026-05-02","Per=Y","Days=T","Dir=V")</f>
        <v>0</v>
      </c>
      <c r="Y2">
        <f>BDH("BWXT US Equity","SALES_REV_TURN","1993-06-18","2026-05-02","Per=Y","Days=T","Dir=V")</f>
        <v>0</v>
      </c>
      <c r="AA2">
        <f>BDH("BWXT US Equity","EBIT","1993-06-18","2026-05-02","Per=Y","Days=T","Dir=V")</f>
        <v>0</v>
      </c>
      <c r="AC2">
        <f>BDH("BWXT US Equity","EBITDA","1993-06-18","2026-05-02","Per=Y","Days=T","Dir=V")</f>
        <v>0</v>
      </c>
      <c r="AE2">
        <f>BDH("BWXT US Equity","NET_INCOME","1993-06-18","2026-05-02","Per=Y","Days=T","Dir=V")</f>
        <v>0</v>
      </c>
      <c r="AG2">
        <f>BDH("BWXT US Equity","IS_INT_EXPENSE","1993-06-18","2026-05-02","Per=Y","Days=T","Dir=V")</f>
        <v>0</v>
      </c>
      <c r="AI2">
        <f>BDH("BWXT US Equity","IS_DEPR_EXP","1993-06-18","2026-05-02","Per=Y","Days=T","Dir=V")</f>
        <v>0</v>
      </c>
      <c r="AK2">
        <f>BDH("BWXT US Equity","CF_CASH_FROM_OPER","1993-06-18","2026-05-02","Per=Y","Days=T","Dir=V")</f>
        <v>0</v>
      </c>
      <c r="AM2">
        <f>BDH("BWXT US Equity","CAPITAL_EXPEND","1993-06-18","2026-05-02","Per=Y","Days=T","Dir=V")</f>
        <v>0</v>
      </c>
      <c r="AO2">
        <f>BDH("BWXT US Equity","CF_FREE_CASH_FLOW","1993-06-18","2026-05-02","Per=Y","Days=T","Dir=V")</f>
        <v>0</v>
      </c>
      <c r="AQ2">
        <f>BDH("BWXT US Equity","PX_LAST","1993-06-18","2026-05-02","Per=M","Days=T","Dir=V")</f>
        <v>0</v>
      </c>
      <c r="AS2">
        <f>BDH("BWXT US Equity","CUR_MKT_CAP","1993-06-18","2026-05-02","Per=M","Days=T","Dir=V")</f>
        <v>0</v>
      </c>
      <c r="AU2">
        <f>BDH("BWXT US Equity","EQY_SH_OUT","1993-06-18","2026-05-02","Per=M","Days=T","Dir=V")</f>
        <v>0</v>
      </c>
      <c r="AW2">
        <f>BDH("BWXT US Equity","PX_VOLUME","1993-06-18","2026-05-02","Per=M","Days=T","Dir=V")</f>
        <v>0</v>
      </c>
      <c r="AY2">
        <f>BDH("BWXT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BDH("BXBL US Equity","BS_TOT_ASSET","1993-06-18","2026-05-02","Per=Y","Days=T","Dir=V")</f>
        <v>0</v>
      </c>
      <c r="C2">
        <f>BDH("BXBL US Equity","BS_TOT_LIAB2","1993-06-18","2026-05-02","Per=Y","Days=T","Dir=V")</f>
        <v>0</v>
      </c>
      <c r="E2">
        <f>BDH("BXBL US Equity","SHORT_AND_LONG_TERM_DEBT","1993-06-18","2026-05-02","Per=Y","Days=T","Dir=V")</f>
        <v>0</v>
      </c>
      <c r="G2">
        <f>BDH("BXBL US Equity","BS_ST_BORROW","1993-06-18","2026-05-02","Per=Y","Days=T","Dir=V")</f>
        <v>0</v>
      </c>
      <c r="I2">
        <f>BDH("BXBL US Equity","BS_LT_BORROW","1993-06-18","2026-05-02","Per=Y","Days=T","Dir=V")</f>
        <v>0</v>
      </c>
      <c r="K2">
        <f>BDH("BXBL US Equity","BS_CASH_NEAR_CASH_ITEM","1993-06-18","2026-05-02","Per=Y","Days=T","Dir=V")</f>
        <v>0</v>
      </c>
      <c r="M2">
        <f>BDH("BXBL US Equity","BS_CUR_ASSET_REPORT","1993-06-18","2026-05-02","Per=Y","Days=T","Dir=V")</f>
        <v>0</v>
      </c>
      <c r="O2">
        <f>BDH("BXBL US Equity","BS_CUR_LIAB","1993-06-18","2026-05-02","Per=Y","Days=T","Dir=V")</f>
        <v>0</v>
      </c>
      <c r="Q2">
        <f>BDH("BXBL US Equity","BS_SHAREHOLDER_EQY_ENDING_PERIOD","1993-06-18","2026-05-02","Per=Y","Days=T","Dir=V")</f>
        <v>0</v>
      </c>
      <c r="S2">
        <f>BDH("BXBL US Equity","BS_ACCT_NOTE_RCV","1993-06-18","2026-05-02","Per=Y","Days=T","Dir=V")</f>
        <v>0</v>
      </c>
      <c r="U2">
        <f>BDH("BXBL US Equity","BS_INVENTORIES","1993-06-18","2026-05-02","Per=Y","Days=T","Dir=V")</f>
        <v>0</v>
      </c>
      <c r="W2">
        <f>BDH("BXBL US Equity","WORKING_CAPITAL","1993-06-18","2026-05-02","Per=Y","Days=T","Dir=V")</f>
        <v>0</v>
      </c>
      <c r="Y2">
        <f>BDH("BXBL US Equity","SALES_REV_TURN","1993-06-18","2026-05-02","Per=Y","Days=T","Dir=V")</f>
        <v>0</v>
      </c>
      <c r="AA2">
        <f>BDH("BXBL US Equity","EBIT","1993-06-18","2026-05-02","Per=Y","Days=T","Dir=V")</f>
        <v>0</v>
      </c>
      <c r="AC2">
        <f>BDH("BXBL US Equity","EBITDA","1993-06-18","2026-05-02","Per=Y","Days=T","Dir=V")</f>
        <v>0</v>
      </c>
      <c r="AE2">
        <f>BDH("BXBL US Equity","NET_INCOME","1993-06-18","2026-05-02","Per=Y","Days=T","Dir=V")</f>
        <v>0</v>
      </c>
      <c r="AG2">
        <f>BDH("BXBL US Equity","IS_INT_EXPENSE","1993-06-18","2026-05-02","Per=Y","Days=T","Dir=V")</f>
        <v>0</v>
      </c>
      <c r="AI2">
        <f>BDH("BXBL US Equity","IS_DEPR_EXP","1993-06-18","2026-05-02","Per=Y","Days=T","Dir=V")</f>
        <v>0</v>
      </c>
      <c r="AK2">
        <f>BDH("BXBL US Equity","CF_CASH_FROM_OPER","1993-06-18","2026-05-02","Per=Y","Days=T","Dir=V")</f>
        <v>0</v>
      </c>
      <c r="AM2">
        <f>BDH("BXBL US Equity","CAPITAL_EXPEND","1993-06-18","2026-05-02","Per=Y","Days=T","Dir=V")</f>
        <v>0</v>
      </c>
      <c r="AO2">
        <f>BDH("BXBL US Equity","CF_FREE_CASH_FLOW","1993-06-18","2026-05-02","Per=Y","Days=T","Dir=V")</f>
        <v>0</v>
      </c>
      <c r="AQ2">
        <f>BDH("BXBL US Equity","PX_LAST","1993-06-18","2026-05-02","Per=M","Days=T","Dir=V")</f>
        <v>0</v>
      </c>
      <c r="AS2">
        <f>BDH("BXBL US Equity","CUR_MKT_CAP","1993-06-18","2026-05-02","Per=M","Days=T","Dir=V")</f>
        <v>0</v>
      </c>
      <c r="AU2">
        <f>BDH("BXBL US Equity","EQY_SH_OUT","1993-06-18","2026-05-02","Per=M","Days=T","Dir=V")</f>
        <v>0</v>
      </c>
      <c r="AW2">
        <f>BDH("BXBL US Equity","PX_VOLUME","1993-06-18","2026-05-02","Per=M","Days=T","Dir=V")</f>
        <v>0</v>
      </c>
      <c r="AY2">
        <f>BDH("BXBL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BDH("BXC US Equity","BS_TOT_ASSET","1993-06-18","2026-05-02","Per=Y","Days=T","Dir=V")</f>
        <v>0</v>
      </c>
      <c r="C2">
        <f>BDH("BXC US Equity","BS_TOT_LIAB2","1993-06-18","2026-05-02","Per=Y","Days=T","Dir=V")</f>
        <v>0</v>
      </c>
      <c r="E2">
        <f>BDH("BXC US Equity","SHORT_AND_LONG_TERM_DEBT","1993-06-18","2026-05-02","Per=Y","Days=T","Dir=V")</f>
        <v>0</v>
      </c>
      <c r="G2">
        <f>BDH("BXC US Equity","BS_ST_BORROW","1993-06-18","2026-05-02","Per=Y","Days=T","Dir=V")</f>
        <v>0</v>
      </c>
      <c r="I2">
        <f>BDH("BXC US Equity","BS_LT_BORROW","1993-06-18","2026-05-02","Per=Y","Days=T","Dir=V")</f>
        <v>0</v>
      </c>
      <c r="K2">
        <f>BDH("BXC US Equity","BS_CASH_NEAR_CASH_ITEM","1993-06-18","2026-05-02","Per=Y","Days=T","Dir=V")</f>
        <v>0</v>
      </c>
      <c r="M2">
        <f>BDH("BXC US Equity","BS_CUR_ASSET_REPORT","1993-06-18","2026-05-02","Per=Y","Days=T","Dir=V")</f>
        <v>0</v>
      </c>
      <c r="O2">
        <f>BDH("BXC US Equity","BS_CUR_LIAB","1993-06-18","2026-05-02","Per=Y","Days=T","Dir=V")</f>
        <v>0</v>
      </c>
      <c r="Q2">
        <f>BDH("BXC US Equity","BS_SHAREHOLDER_EQY_ENDING_PERIOD","1993-06-18","2026-05-02","Per=Y","Days=T","Dir=V")</f>
        <v>0</v>
      </c>
      <c r="S2">
        <f>BDH("BXC US Equity","BS_ACCT_NOTE_RCV","1993-06-18","2026-05-02","Per=Y","Days=T","Dir=V")</f>
        <v>0</v>
      </c>
      <c r="U2">
        <f>BDH("BXC US Equity","BS_INVENTORIES","1993-06-18","2026-05-02","Per=Y","Days=T","Dir=V")</f>
        <v>0</v>
      </c>
      <c r="W2">
        <f>BDH("BXC US Equity","WORKING_CAPITAL","1993-06-18","2026-05-02","Per=Y","Days=T","Dir=V")</f>
        <v>0</v>
      </c>
      <c r="Y2">
        <f>BDH("BXC US Equity","SALES_REV_TURN","1993-06-18","2026-05-02","Per=Y","Days=T","Dir=V")</f>
        <v>0</v>
      </c>
      <c r="AA2">
        <f>BDH("BXC US Equity","EBIT","1993-06-18","2026-05-02","Per=Y","Days=T","Dir=V")</f>
        <v>0</v>
      </c>
      <c r="AC2">
        <f>BDH("BXC US Equity","EBITDA","1993-06-18","2026-05-02","Per=Y","Days=T","Dir=V")</f>
        <v>0</v>
      </c>
      <c r="AE2">
        <f>BDH("BXC US Equity","NET_INCOME","1993-06-18","2026-05-02","Per=Y","Days=T","Dir=V")</f>
        <v>0</v>
      </c>
      <c r="AG2">
        <f>BDH("BXC US Equity","IS_INT_EXPENSE","1993-06-18","2026-05-02","Per=Y","Days=T","Dir=V")</f>
        <v>0</v>
      </c>
      <c r="AI2">
        <f>BDH("BXC US Equity","IS_DEPR_EXP","1993-06-18","2026-05-02","Per=Y","Days=T","Dir=V")</f>
        <v>0</v>
      </c>
      <c r="AK2">
        <f>BDH("BXC US Equity","CF_CASH_FROM_OPER","1993-06-18","2026-05-02","Per=Y","Days=T","Dir=V")</f>
        <v>0</v>
      </c>
      <c r="AM2">
        <f>BDH("BXC US Equity","CAPITAL_EXPEND","1993-06-18","2026-05-02","Per=Y","Days=T","Dir=V")</f>
        <v>0</v>
      </c>
      <c r="AO2">
        <f>BDH("BXC US Equity","CF_FREE_CASH_FLOW","1993-06-18","2026-05-02","Per=Y","Days=T","Dir=V")</f>
        <v>0</v>
      </c>
      <c r="AQ2">
        <f>BDH("BXC US Equity","PX_LAST","1993-06-18","2026-05-02","Per=M","Days=T","Dir=V")</f>
        <v>0</v>
      </c>
      <c r="AS2">
        <f>BDH("BXC US Equity","CUR_MKT_CAP","1993-06-18","2026-05-02","Per=M","Days=T","Dir=V")</f>
        <v>0</v>
      </c>
      <c r="AU2">
        <f>BDH("BXC US Equity","EQY_SH_OUT","1993-06-18","2026-05-02","Per=M","Days=T","Dir=V")</f>
        <v>0</v>
      </c>
      <c r="AW2">
        <f>BDH("BXC US Equity","PX_VOLUME","1993-06-18","2026-05-02","Per=M","Days=T","Dir=V")</f>
        <v>0</v>
      </c>
      <c r="AY2">
        <f>BDH("BXC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BDH("BYD US Equity","BS_TOT_ASSET","1993-06-18","2026-05-02","Per=Y","Days=T","Dir=V")</f>
        <v>0</v>
      </c>
      <c r="C2">
        <f>BDH("BYD US Equity","BS_TOT_LIAB2","1993-06-18","2026-05-02","Per=Y","Days=T","Dir=V")</f>
        <v>0</v>
      </c>
      <c r="E2">
        <f>BDH("BYD US Equity","SHORT_AND_LONG_TERM_DEBT","1993-06-18","2026-05-02","Per=Y","Days=T","Dir=V")</f>
        <v>0</v>
      </c>
      <c r="G2">
        <f>BDH("BYD US Equity","BS_ST_BORROW","1993-06-18","2026-05-02","Per=Y","Days=T","Dir=V")</f>
        <v>0</v>
      </c>
      <c r="I2">
        <f>BDH("BYD US Equity","BS_LT_BORROW","1993-06-18","2026-05-02","Per=Y","Days=T","Dir=V")</f>
        <v>0</v>
      </c>
      <c r="K2">
        <f>BDH("BYD US Equity","BS_CASH_NEAR_CASH_ITEM","1993-06-18","2026-05-02","Per=Y","Days=T","Dir=V")</f>
        <v>0</v>
      </c>
      <c r="M2">
        <f>BDH("BYD US Equity","BS_CUR_ASSET_REPORT","1993-06-18","2026-05-02","Per=Y","Days=T","Dir=V")</f>
        <v>0</v>
      </c>
      <c r="O2">
        <f>BDH("BYD US Equity","BS_CUR_LIAB","1993-06-18","2026-05-02","Per=Y","Days=T","Dir=V")</f>
        <v>0</v>
      </c>
      <c r="Q2">
        <f>BDH("BYD US Equity","BS_SHAREHOLDER_EQY_ENDING_PERIOD","1993-06-18","2026-05-02","Per=Y","Days=T","Dir=V")</f>
        <v>0</v>
      </c>
      <c r="S2">
        <f>BDH("BYD US Equity","BS_ACCT_NOTE_RCV","1993-06-18","2026-05-02","Per=Y","Days=T","Dir=V")</f>
        <v>0</v>
      </c>
      <c r="U2">
        <f>BDH("BYD US Equity","BS_INVENTORIES","1993-06-18","2026-05-02","Per=Y","Days=T","Dir=V")</f>
        <v>0</v>
      </c>
      <c r="W2">
        <f>BDH("BYD US Equity","WORKING_CAPITAL","1993-06-18","2026-05-02","Per=Y","Days=T","Dir=V")</f>
        <v>0</v>
      </c>
      <c r="Y2">
        <f>BDH("BYD US Equity","SALES_REV_TURN","1993-06-18","2026-05-02","Per=Y","Days=T","Dir=V")</f>
        <v>0</v>
      </c>
      <c r="AA2">
        <f>BDH("BYD US Equity","EBIT","1993-06-18","2026-05-02","Per=Y","Days=T","Dir=V")</f>
        <v>0</v>
      </c>
      <c r="AC2">
        <f>BDH("BYD US Equity","EBITDA","1993-06-18","2026-05-02","Per=Y","Days=T","Dir=V")</f>
        <v>0</v>
      </c>
      <c r="AE2">
        <f>BDH("BYD US Equity","NET_INCOME","1993-06-18","2026-05-02","Per=Y","Days=T","Dir=V")</f>
        <v>0</v>
      </c>
      <c r="AG2">
        <f>BDH("BYD US Equity","IS_INT_EXPENSE","1993-06-18","2026-05-02","Per=Y","Days=T","Dir=V")</f>
        <v>0</v>
      </c>
      <c r="AI2">
        <f>BDH("BYD US Equity","IS_DEPR_EXP","1993-06-18","2026-05-02","Per=Y","Days=T","Dir=V")</f>
        <v>0</v>
      </c>
      <c r="AK2">
        <f>BDH("BYD US Equity","CF_CASH_FROM_OPER","1993-06-18","2026-05-02","Per=Y","Days=T","Dir=V")</f>
        <v>0</v>
      </c>
      <c r="AM2">
        <f>BDH("BYD US Equity","CAPITAL_EXPEND","1993-06-18","2026-05-02","Per=Y","Days=T","Dir=V")</f>
        <v>0</v>
      </c>
      <c r="AO2">
        <f>BDH("BYD US Equity","CF_FREE_CASH_FLOW","1993-06-18","2026-05-02","Per=Y","Days=T","Dir=V")</f>
        <v>0</v>
      </c>
      <c r="AQ2">
        <f>BDH("BYD US Equity","PX_LAST","1993-06-18","2026-05-02","Per=M","Days=T","Dir=V")</f>
        <v>0</v>
      </c>
      <c r="AS2">
        <f>BDH("BYD US Equity","CUR_MKT_CAP","1993-06-18","2026-05-02","Per=M","Days=T","Dir=V")</f>
        <v>0</v>
      </c>
      <c r="AU2">
        <f>BDH("BYD US Equity","EQY_SH_OUT","1993-06-18","2026-05-02","Per=M","Days=T","Dir=V")</f>
        <v>0</v>
      </c>
      <c r="AW2">
        <f>BDH("BYD US Equity","PX_VOLUME","1993-06-18","2026-05-02","Per=M","Days=T","Dir=V")</f>
        <v>0</v>
      </c>
      <c r="AY2">
        <f>BDH("BYD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BDH("BYND US Equity","BS_TOT_ASSET","1993-06-18","2026-05-02","Per=Y","Days=T","Dir=V")</f>
        <v>0</v>
      </c>
      <c r="C2">
        <f>BDH("BYND US Equity","BS_TOT_LIAB2","1993-06-18","2026-05-02","Per=Y","Days=T","Dir=V")</f>
        <v>0</v>
      </c>
      <c r="E2">
        <f>BDH("BYND US Equity","SHORT_AND_LONG_TERM_DEBT","1993-06-18","2026-05-02","Per=Y","Days=T","Dir=V")</f>
        <v>0</v>
      </c>
      <c r="G2">
        <f>BDH("BYND US Equity","BS_ST_BORROW","1993-06-18","2026-05-02","Per=Y","Days=T","Dir=V")</f>
        <v>0</v>
      </c>
      <c r="I2">
        <f>BDH("BYND US Equity","BS_LT_BORROW","1993-06-18","2026-05-02","Per=Y","Days=T","Dir=V")</f>
        <v>0</v>
      </c>
      <c r="K2">
        <f>BDH("BYND US Equity","BS_CASH_NEAR_CASH_ITEM","1993-06-18","2026-05-02","Per=Y","Days=T","Dir=V")</f>
        <v>0</v>
      </c>
      <c r="M2">
        <f>BDH("BYND US Equity","BS_CUR_ASSET_REPORT","1993-06-18","2026-05-02","Per=Y","Days=T","Dir=V")</f>
        <v>0</v>
      </c>
      <c r="O2">
        <f>BDH("BYND US Equity","BS_CUR_LIAB","1993-06-18","2026-05-02","Per=Y","Days=T","Dir=V")</f>
        <v>0</v>
      </c>
      <c r="Q2">
        <f>BDH("BYND US Equity","BS_SHAREHOLDER_EQY_ENDING_PERIOD","1993-06-18","2026-05-02","Per=Y","Days=T","Dir=V")</f>
        <v>0</v>
      </c>
      <c r="S2">
        <f>BDH("BYND US Equity","BS_ACCT_NOTE_RCV","1993-06-18","2026-05-02","Per=Y","Days=T","Dir=V")</f>
        <v>0</v>
      </c>
      <c r="U2">
        <f>BDH("BYND US Equity","BS_INVENTORIES","1993-06-18","2026-05-02","Per=Y","Days=T","Dir=V")</f>
        <v>0</v>
      </c>
      <c r="W2">
        <f>BDH("BYND US Equity","WORKING_CAPITAL","1993-06-18","2026-05-02","Per=Y","Days=T","Dir=V")</f>
        <v>0</v>
      </c>
      <c r="Y2">
        <f>BDH("BYND US Equity","SALES_REV_TURN","1993-06-18","2026-05-02","Per=Y","Days=T","Dir=V")</f>
        <v>0</v>
      </c>
      <c r="AA2">
        <f>BDH("BYND US Equity","EBIT","1993-06-18","2026-05-02","Per=Y","Days=T","Dir=V")</f>
        <v>0</v>
      </c>
      <c r="AC2">
        <f>BDH("BYND US Equity","EBITDA","1993-06-18","2026-05-02","Per=Y","Days=T","Dir=V")</f>
        <v>0</v>
      </c>
      <c r="AE2">
        <f>BDH("BYND US Equity","NET_INCOME","1993-06-18","2026-05-02","Per=Y","Days=T","Dir=V")</f>
        <v>0</v>
      </c>
      <c r="AG2">
        <f>BDH("BYND US Equity","IS_INT_EXPENSE","1993-06-18","2026-05-02","Per=Y","Days=T","Dir=V")</f>
        <v>0</v>
      </c>
      <c r="AI2">
        <f>BDH("BYND US Equity","IS_DEPR_EXP","1993-06-18","2026-05-02","Per=Y","Days=T","Dir=V")</f>
        <v>0</v>
      </c>
      <c r="AK2">
        <f>BDH("BYND US Equity","CF_CASH_FROM_OPER","1993-06-18","2026-05-02","Per=Y","Days=T","Dir=V")</f>
        <v>0</v>
      </c>
      <c r="AM2">
        <f>BDH("BYND US Equity","CAPITAL_EXPEND","1993-06-18","2026-05-02","Per=Y","Days=T","Dir=V")</f>
        <v>0</v>
      </c>
      <c r="AO2">
        <f>BDH("BYND US Equity","CF_FREE_CASH_FLOW","1993-06-18","2026-05-02","Per=Y","Days=T","Dir=V")</f>
        <v>0</v>
      </c>
      <c r="AQ2">
        <f>BDH("BYND US Equity","PX_LAST","1993-06-18","2026-05-02","Per=M","Days=T","Dir=V")</f>
        <v>0</v>
      </c>
      <c r="AS2">
        <f>BDH("BYND US Equity","CUR_MKT_CAP","1993-06-18","2026-05-02","Per=M","Days=T","Dir=V")</f>
        <v>0</v>
      </c>
      <c r="AU2">
        <f>BDH("BYND US Equity","EQY_SH_OUT","1993-06-18","2026-05-02","Per=M","Days=T","Dir=V")</f>
        <v>0</v>
      </c>
      <c r="AW2">
        <f>BDH("BYND US Equity","PX_VOLUME","1993-06-18","2026-05-02","Per=M","Days=T","Dir=V")</f>
        <v>0</v>
      </c>
      <c r="AY2">
        <f>BDH("BYND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BDH("BYSI US Equity","BS_TOT_ASSET","1993-06-18","2026-05-02","Per=Y","Days=T","Dir=V")</f>
        <v>0</v>
      </c>
      <c r="C2">
        <f>BDH("BYSI US Equity","BS_TOT_LIAB2","1993-06-18","2026-05-02","Per=Y","Days=T","Dir=V")</f>
        <v>0</v>
      </c>
      <c r="E2">
        <f>BDH("BYSI US Equity","SHORT_AND_LONG_TERM_DEBT","1993-06-18","2026-05-02","Per=Y","Days=T","Dir=V")</f>
        <v>0</v>
      </c>
      <c r="G2">
        <f>BDH("BYSI US Equity","BS_ST_BORROW","1993-06-18","2026-05-02","Per=Y","Days=T","Dir=V")</f>
        <v>0</v>
      </c>
      <c r="I2">
        <f>BDH("BYSI US Equity","BS_LT_BORROW","1993-06-18","2026-05-02","Per=Y","Days=T","Dir=V")</f>
        <v>0</v>
      </c>
      <c r="K2">
        <f>BDH("BYSI US Equity","BS_CASH_NEAR_CASH_ITEM","1993-06-18","2026-05-02","Per=Y","Days=T","Dir=V")</f>
        <v>0</v>
      </c>
      <c r="M2">
        <f>BDH("BYSI US Equity","BS_CUR_ASSET_REPORT","1993-06-18","2026-05-02","Per=Y","Days=T","Dir=V")</f>
        <v>0</v>
      </c>
      <c r="O2">
        <f>BDH("BYSI US Equity","BS_CUR_LIAB","1993-06-18","2026-05-02","Per=Y","Days=T","Dir=V")</f>
        <v>0</v>
      </c>
      <c r="Q2">
        <f>BDH("BYSI US Equity","BS_SHAREHOLDER_EQY_ENDING_PERIOD","1993-06-18","2026-05-02","Per=Y","Days=T","Dir=V")</f>
        <v>0</v>
      </c>
      <c r="S2">
        <f>BDH("BYSI US Equity","BS_ACCT_NOTE_RCV","1993-06-18","2026-05-02","Per=Y","Days=T","Dir=V")</f>
        <v>0</v>
      </c>
      <c r="U2">
        <f>BDH("BYSI US Equity","BS_INVENTORIES","1993-06-18","2026-05-02","Per=Y","Days=T","Dir=V")</f>
        <v>0</v>
      </c>
      <c r="W2">
        <f>BDH("BYSI US Equity","WORKING_CAPITAL","1993-06-18","2026-05-02","Per=Y","Days=T","Dir=V")</f>
        <v>0</v>
      </c>
      <c r="Y2">
        <f>BDH("BYSI US Equity","SALES_REV_TURN","1993-06-18","2026-05-02","Per=Y","Days=T","Dir=V")</f>
        <v>0</v>
      </c>
      <c r="AA2">
        <f>BDH("BYSI US Equity","EBIT","1993-06-18","2026-05-02","Per=Y","Days=T","Dir=V")</f>
        <v>0</v>
      </c>
      <c r="AC2">
        <f>BDH("BYSI US Equity","EBITDA","1993-06-18","2026-05-02","Per=Y","Days=T","Dir=V")</f>
        <v>0</v>
      </c>
      <c r="AE2">
        <f>BDH("BYSI US Equity","NET_INCOME","1993-06-18","2026-05-02","Per=Y","Days=T","Dir=V")</f>
        <v>0</v>
      </c>
      <c r="AG2">
        <f>BDH("BYSI US Equity","IS_INT_EXPENSE","1993-06-18","2026-05-02","Per=Y","Days=T","Dir=V")</f>
        <v>0</v>
      </c>
      <c r="AI2">
        <f>BDH("BYSI US Equity","IS_DEPR_EXP","1993-06-18","2026-05-02","Per=Y","Days=T","Dir=V")</f>
        <v>0</v>
      </c>
      <c r="AK2">
        <f>BDH("BYSI US Equity","CF_CASH_FROM_OPER","1993-06-18","2026-05-02","Per=Y","Days=T","Dir=V")</f>
        <v>0</v>
      </c>
      <c r="AM2">
        <f>BDH("BYSI US Equity","CAPITAL_EXPEND","1993-06-18","2026-05-02","Per=Y","Days=T","Dir=V")</f>
        <v>0</v>
      </c>
      <c r="AO2">
        <f>BDH("BYSI US Equity","CF_FREE_CASH_FLOW","1993-06-18","2026-05-02","Per=Y","Days=T","Dir=V")</f>
        <v>0</v>
      </c>
      <c r="AQ2">
        <f>BDH("BYSI US Equity","PX_LAST","1993-06-18","2026-05-02","Per=M","Days=T","Dir=V")</f>
        <v>0</v>
      </c>
      <c r="AS2">
        <f>BDH("BYSI US Equity","CUR_MKT_CAP","1993-06-18","2026-05-02","Per=M","Days=T","Dir=V")</f>
        <v>0</v>
      </c>
      <c r="AU2">
        <f>BDH("BYSI US Equity","EQY_SH_OUT","1993-06-18","2026-05-02","Per=M","Days=T","Dir=V")</f>
        <v>0</v>
      </c>
      <c r="AW2">
        <f>BDH("BYSI US Equity","PX_VOLUME","1993-06-18","2026-05-02","Per=M","Days=T","Dir=V")</f>
        <v>0</v>
      </c>
      <c r="AY2">
        <f>BDH("BYSI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BDH("BZAI US Equity","BS_TOT_ASSET","1993-06-18","2026-05-02","Per=Y","Days=T","Dir=V")</f>
        <v>0</v>
      </c>
      <c r="C2">
        <f>BDH("BZAI US Equity","BS_TOT_LIAB2","1993-06-18","2026-05-02","Per=Y","Days=T","Dir=V")</f>
        <v>0</v>
      </c>
      <c r="E2">
        <f>BDH("BZAI US Equity","SHORT_AND_LONG_TERM_DEBT","1993-06-18","2026-05-02","Per=Y","Days=T","Dir=V")</f>
        <v>0</v>
      </c>
      <c r="G2">
        <f>BDH("BZAI US Equity","BS_ST_BORROW","1993-06-18","2026-05-02","Per=Y","Days=T","Dir=V")</f>
        <v>0</v>
      </c>
      <c r="I2">
        <f>BDH("BZAI US Equity","BS_LT_BORROW","1993-06-18","2026-05-02","Per=Y","Days=T","Dir=V")</f>
        <v>0</v>
      </c>
      <c r="K2">
        <f>BDH("BZAI US Equity","BS_CASH_NEAR_CASH_ITEM","1993-06-18","2026-05-02","Per=Y","Days=T","Dir=V")</f>
        <v>0</v>
      </c>
      <c r="M2">
        <f>BDH("BZAI US Equity","BS_CUR_ASSET_REPORT","1993-06-18","2026-05-02","Per=Y","Days=T","Dir=V")</f>
        <v>0</v>
      </c>
      <c r="O2">
        <f>BDH("BZAI US Equity","BS_CUR_LIAB","1993-06-18","2026-05-02","Per=Y","Days=T","Dir=V")</f>
        <v>0</v>
      </c>
      <c r="Q2">
        <f>BDH("BZAI US Equity","BS_SHAREHOLDER_EQY_ENDING_PERIOD","1993-06-18","2026-05-02","Per=Y","Days=T","Dir=V")</f>
        <v>0</v>
      </c>
      <c r="S2">
        <f>BDH("BZAI US Equity","BS_ACCT_NOTE_RCV","1993-06-18","2026-05-02","Per=Y","Days=T","Dir=V")</f>
        <v>0</v>
      </c>
      <c r="U2">
        <f>BDH("BZAI US Equity","BS_INVENTORIES","1993-06-18","2026-05-02","Per=Y","Days=T","Dir=V")</f>
        <v>0</v>
      </c>
      <c r="W2">
        <f>BDH("BZAI US Equity","WORKING_CAPITAL","1993-06-18","2026-05-02","Per=Y","Days=T","Dir=V")</f>
        <v>0</v>
      </c>
      <c r="Y2">
        <f>BDH("BZAI US Equity","SALES_REV_TURN","1993-06-18","2026-05-02","Per=Y","Days=T","Dir=V")</f>
        <v>0</v>
      </c>
      <c r="AA2">
        <f>BDH("BZAI US Equity","EBIT","1993-06-18","2026-05-02","Per=Y","Days=T","Dir=V")</f>
        <v>0</v>
      </c>
      <c r="AC2">
        <f>BDH("BZAI US Equity","EBITDA","1993-06-18","2026-05-02","Per=Y","Days=T","Dir=V")</f>
        <v>0</v>
      </c>
      <c r="AE2">
        <f>BDH("BZAI US Equity","NET_INCOME","1993-06-18","2026-05-02","Per=Y","Days=T","Dir=V")</f>
        <v>0</v>
      </c>
      <c r="AG2">
        <f>BDH("BZAI US Equity","IS_INT_EXPENSE","1993-06-18","2026-05-02","Per=Y","Days=T","Dir=V")</f>
        <v>0</v>
      </c>
      <c r="AI2">
        <f>BDH("BZAI US Equity","IS_DEPR_EXP","1993-06-18","2026-05-02","Per=Y","Days=T","Dir=V")</f>
        <v>0</v>
      </c>
      <c r="AK2">
        <f>BDH("BZAI US Equity","CF_CASH_FROM_OPER","1993-06-18","2026-05-02","Per=Y","Days=T","Dir=V")</f>
        <v>0</v>
      </c>
      <c r="AM2">
        <f>BDH("BZAI US Equity","CAPITAL_EXPEND","1993-06-18","2026-05-02","Per=Y","Days=T","Dir=V")</f>
        <v>0</v>
      </c>
      <c r="AO2">
        <f>BDH("BZAI US Equity","CF_FREE_CASH_FLOW","1993-06-18","2026-05-02","Per=Y","Days=T","Dir=V")</f>
        <v>0</v>
      </c>
      <c r="AQ2">
        <f>BDH("BZAI US Equity","PX_LAST","1993-06-18","2026-05-02","Per=M","Days=T","Dir=V")</f>
        <v>0</v>
      </c>
      <c r="AS2">
        <f>BDH("BZAI US Equity","CUR_MKT_CAP","1993-06-18","2026-05-02","Per=M","Days=T","Dir=V")</f>
        <v>0</v>
      </c>
      <c r="AU2">
        <f>BDH("BZAI US Equity","EQY_SH_OUT","1993-06-18","2026-05-02","Per=M","Days=T","Dir=V")</f>
        <v>0</v>
      </c>
      <c r="AW2">
        <f>BDH("BZAI US Equity","PX_VOLUME","1993-06-18","2026-05-02","Per=M","Days=T","Dir=V")</f>
        <v>0</v>
      </c>
      <c r="AY2">
        <f>BDH("BZAI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BDH("BZAIW US Equity","BS_TOT_ASSET","1993-06-18","2026-05-02","Per=Y","Days=T","Dir=V")</f>
        <v>0</v>
      </c>
      <c r="C2">
        <f>BDH("BZAIW US Equity","BS_TOT_LIAB2","1993-06-18","2026-05-02","Per=Y","Days=T","Dir=V")</f>
        <v>0</v>
      </c>
      <c r="E2">
        <f>BDH("BZAIW US Equity","SHORT_AND_LONG_TERM_DEBT","1993-06-18","2026-05-02","Per=Y","Days=T","Dir=V")</f>
        <v>0</v>
      </c>
      <c r="G2">
        <f>BDH("BZAIW US Equity","BS_ST_BORROW","1993-06-18","2026-05-02","Per=Y","Days=T","Dir=V")</f>
        <v>0</v>
      </c>
      <c r="I2">
        <f>BDH("BZAIW US Equity","BS_LT_BORROW","1993-06-18","2026-05-02","Per=Y","Days=T","Dir=V")</f>
        <v>0</v>
      </c>
      <c r="K2">
        <f>BDH("BZAIW US Equity","BS_CASH_NEAR_CASH_ITEM","1993-06-18","2026-05-02","Per=Y","Days=T","Dir=V")</f>
        <v>0</v>
      </c>
      <c r="M2">
        <f>BDH("BZAIW US Equity","BS_CUR_ASSET_REPORT","1993-06-18","2026-05-02","Per=Y","Days=T","Dir=V")</f>
        <v>0</v>
      </c>
      <c r="O2">
        <f>BDH("BZAIW US Equity","BS_CUR_LIAB","1993-06-18","2026-05-02","Per=Y","Days=T","Dir=V")</f>
        <v>0</v>
      </c>
      <c r="Q2">
        <f>BDH("BZAIW US Equity","BS_SHAREHOLDER_EQY_ENDING_PERIOD","1993-06-18","2026-05-02","Per=Y","Days=T","Dir=V")</f>
        <v>0</v>
      </c>
      <c r="S2">
        <f>BDH("BZAIW US Equity","BS_ACCT_NOTE_RCV","1993-06-18","2026-05-02","Per=Y","Days=T","Dir=V")</f>
        <v>0</v>
      </c>
      <c r="U2">
        <f>BDH("BZAIW US Equity","BS_INVENTORIES","1993-06-18","2026-05-02","Per=Y","Days=T","Dir=V")</f>
        <v>0</v>
      </c>
      <c r="W2">
        <f>BDH("BZAIW US Equity","WORKING_CAPITAL","1993-06-18","2026-05-02","Per=Y","Days=T","Dir=V")</f>
        <v>0</v>
      </c>
      <c r="Y2">
        <f>BDH("BZAIW US Equity","SALES_REV_TURN","1993-06-18","2026-05-02","Per=Y","Days=T","Dir=V")</f>
        <v>0</v>
      </c>
      <c r="AA2">
        <f>BDH("BZAIW US Equity","EBIT","1993-06-18","2026-05-02","Per=Y","Days=T","Dir=V")</f>
        <v>0</v>
      </c>
      <c r="AC2">
        <f>BDH("BZAIW US Equity","EBITDA","1993-06-18","2026-05-02","Per=Y","Days=T","Dir=V")</f>
        <v>0</v>
      </c>
      <c r="AE2">
        <f>BDH("BZAIW US Equity","NET_INCOME","1993-06-18","2026-05-02","Per=Y","Days=T","Dir=V")</f>
        <v>0</v>
      </c>
      <c r="AG2">
        <f>BDH("BZAIW US Equity","IS_INT_EXPENSE","1993-06-18","2026-05-02","Per=Y","Days=T","Dir=V")</f>
        <v>0</v>
      </c>
      <c r="AI2">
        <f>BDH("BZAIW US Equity","IS_DEPR_EXP","1993-06-18","2026-05-02","Per=Y","Days=T","Dir=V")</f>
        <v>0</v>
      </c>
      <c r="AK2">
        <f>BDH("BZAIW US Equity","CF_CASH_FROM_OPER","1993-06-18","2026-05-02","Per=Y","Days=T","Dir=V")</f>
        <v>0</v>
      </c>
      <c r="AM2">
        <f>BDH("BZAIW US Equity","CAPITAL_EXPEND","1993-06-18","2026-05-02","Per=Y","Days=T","Dir=V")</f>
        <v>0</v>
      </c>
      <c r="AO2">
        <f>BDH("BZAIW US Equity","CF_FREE_CASH_FLOW","1993-06-18","2026-05-02","Per=Y","Days=T","Dir=V")</f>
        <v>0</v>
      </c>
      <c r="AQ2">
        <f>BDH("BZAIW US Equity","PX_LAST","1993-06-18","2026-05-02","Per=M","Days=T","Dir=V")</f>
        <v>0</v>
      </c>
      <c r="AS2">
        <f>BDH("BZAIW US Equity","CUR_MKT_CAP","1993-06-18","2026-05-02","Per=M","Days=T","Dir=V")</f>
        <v>0</v>
      </c>
      <c r="AU2">
        <f>BDH("BZAIW US Equity","EQY_SH_OUT","1993-06-18","2026-05-02","Per=M","Days=T","Dir=V")</f>
        <v>0</v>
      </c>
      <c r="AW2">
        <f>BDH("BZAIW US Equity","PX_VOLUME","1993-06-18","2026-05-02","Per=M","Days=T","Dir=V")</f>
        <v>0</v>
      </c>
      <c r="AY2">
        <f>BDH("BZAIW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BDH("BZFD US Equity","BS_TOT_ASSET","1993-06-18","2026-05-02","Per=Y","Days=T","Dir=V")</f>
        <v>0</v>
      </c>
      <c r="C2">
        <f>BDH("BZFD US Equity","BS_TOT_LIAB2","1993-06-18","2026-05-02","Per=Y","Days=T","Dir=V")</f>
        <v>0</v>
      </c>
      <c r="E2">
        <f>BDH("BZFD US Equity","SHORT_AND_LONG_TERM_DEBT","1993-06-18","2026-05-02","Per=Y","Days=T","Dir=V")</f>
        <v>0</v>
      </c>
      <c r="G2">
        <f>BDH("BZFD US Equity","BS_ST_BORROW","1993-06-18","2026-05-02","Per=Y","Days=T","Dir=V")</f>
        <v>0</v>
      </c>
      <c r="I2">
        <f>BDH("BZFD US Equity","BS_LT_BORROW","1993-06-18","2026-05-02","Per=Y","Days=T","Dir=V")</f>
        <v>0</v>
      </c>
      <c r="K2">
        <f>BDH("BZFD US Equity","BS_CASH_NEAR_CASH_ITEM","1993-06-18","2026-05-02","Per=Y","Days=T","Dir=V")</f>
        <v>0</v>
      </c>
      <c r="M2">
        <f>BDH("BZFD US Equity","BS_CUR_ASSET_REPORT","1993-06-18","2026-05-02","Per=Y","Days=T","Dir=V")</f>
        <v>0</v>
      </c>
      <c r="O2">
        <f>BDH("BZFD US Equity","BS_CUR_LIAB","1993-06-18","2026-05-02","Per=Y","Days=T","Dir=V")</f>
        <v>0</v>
      </c>
      <c r="Q2">
        <f>BDH("BZFD US Equity","BS_SHAREHOLDER_EQY_ENDING_PERIOD","1993-06-18","2026-05-02","Per=Y","Days=T","Dir=V")</f>
        <v>0</v>
      </c>
      <c r="S2">
        <f>BDH("BZFD US Equity","BS_ACCT_NOTE_RCV","1993-06-18","2026-05-02","Per=Y","Days=T","Dir=V")</f>
        <v>0</v>
      </c>
      <c r="U2">
        <f>BDH("BZFD US Equity","BS_INVENTORIES","1993-06-18","2026-05-02","Per=Y","Days=T","Dir=V")</f>
        <v>0</v>
      </c>
      <c r="W2">
        <f>BDH("BZFD US Equity","WORKING_CAPITAL","1993-06-18","2026-05-02","Per=Y","Days=T","Dir=V")</f>
        <v>0</v>
      </c>
      <c r="Y2">
        <f>BDH("BZFD US Equity","SALES_REV_TURN","1993-06-18","2026-05-02","Per=Y","Days=T","Dir=V")</f>
        <v>0</v>
      </c>
      <c r="AA2">
        <f>BDH("BZFD US Equity","EBIT","1993-06-18","2026-05-02","Per=Y","Days=T","Dir=V")</f>
        <v>0</v>
      </c>
      <c r="AC2">
        <f>BDH("BZFD US Equity","EBITDA","1993-06-18","2026-05-02","Per=Y","Days=T","Dir=V")</f>
        <v>0</v>
      </c>
      <c r="AE2">
        <f>BDH("BZFD US Equity","NET_INCOME","1993-06-18","2026-05-02","Per=Y","Days=T","Dir=V")</f>
        <v>0</v>
      </c>
      <c r="AG2">
        <f>BDH("BZFD US Equity","IS_INT_EXPENSE","1993-06-18","2026-05-02","Per=Y","Days=T","Dir=V")</f>
        <v>0</v>
      </c>
      <c r="AI2">
        <f>BDH("BZFD US Equity","IS_DEPR_EXP","1993-06-18","2026-05-02","Per=Y","Days=T","Dir=V")</f>
        <v>0</v>
      </c>
      <c r="AK2">
        <f>BDH("BZFD US Equity","CF_CASH_FROM_OPER","1993-06-18","2026-05-02","Per=Y","Days=T","Dir=V")</f>
        <v>0</v>
      </c>
      <c r="AM2">
        <f>BDH("BZFD US Equity","CAPITAL_EXPEND","1993-06-18","2026-05-02","Per=Y","Days=T","Dir=V")</f>
        <v>0</v>
      </c>
      <c r="AO2">
        <f>BDH("BZFD US Equity","CF_FREE_CASH_FLOW","1993-06-18","2026-05-02","Per=Y","Days=T","Dir=V")</f>
        <v>0</v>
      </c>
      <c r="AQ2">
        <f>BDH("BZFD US Equity","PX_LAST","1993-06-18","2026-05-02","Per=M","Days=T","Dir=V")</f>
        <v>0</v>
      </c>
      <c r="AS2">
        <f>BDH("BZFD US Equity","CUR_MKT_CAP","1993-06-18","2026-05-02","Per=M","Days=T","Dir=V")</f>
        <v>0</v>
      </c>
      <c r="AU2">
        <f>BDH("BZFD US Equity","EQY_SH_OUT","1993-06-18","2026-05-02","Per=M","Days=T","Dir=V")</f>
        <v>0</v>
      </c>
      <c r="AW2">
        <f>BDH("BZFD US Equity","PX_VOLUME","1993-06-18","2026-05-02","Per=M","Days=T","Dir=V")</f>
        <v>0</v>
      </c>
      <c r="AY2">
        <f>BDH("BZFD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BDH("BZFDW US Equity","BS_TOT_ASSET","1993-06-18","2026-05-02","Per=Y","Days=T","Dir=V")</f>
        <v>0</v>
      </c>
      <c r="C2">
        <f>BDH("BZFDW US Equity","BS_TOT_LIAB2","1993-06-18","2026-05-02","Per=Y","Days=T","Dir=V")</f>
        <v>0</v>
      </c>
      <c r="E2">
        <f>BDH("BZFDW US Equity","SHORT_AND_LONG_TERM_DEBT","1993-06-18","2026-05-02","Per=Y","Days=T","Dir=V")</f>
        <v>0</v>
      </c>
      <c r="G2">
        <f>BDH("BZFDW US Equity","BS_ST_BORROW","1993-06-18","2026-05-02","Per=Y","Days=T","Dir=V")</f>
        <v>0</v>
      </c>
      <c r="I2">
        <f>BDH("BZFDW US Equity","BS_LT_BORROW","1993-06-18","2026-05-02","Per=Y","Days=T","Dir=V")</f>
        <v>0</v>
      </c>
      <c r="K2">
        <f>BDH("BZFDW US Equity","BS_CASH_NEAR_CASH_ITEM","1993-06-18","2026-05-02","Per=Y","Days=T","Dir=V")</f>
        <v>0</v>
      </c>
      <c r="M2">
        <f>BDH("BZFDW US Equity","BS_CUR_ASSET_REPORT","1993-06-18","2026-05-02","Per=Y","Days=T","Dir=V")</f>
        <v>0</v>
      </c>
      <c r="O2">
        <f>BDH("BZFDW US Equity","BS_CUR_LIAB","1993-06-18","2026-05-02","Per=Y","Days=T","Dir=V")</f>
        <v>0</v>
      </c>
      <c r="Q2">
        <f>BDH("BZFDW US Equity","BS_SHAREHOLDER_EQY_ENDING_PERIOD","1993-06-18","2026-05-02","Per=Y","Days=T","Dir=V")</f>
        <v>0</v>
      </c>
      <c r="S2">
        <f>BDH("BZFDW US Equity","BS_ACCT_NOTE_RCV","1993-06-18","2026-05-02","Per=Y","Days=T","Dir=V")</f>
        <v>0</v>
      </c>
      <c r="U2">
        <f>BDH("BZFDW US Equity","BS_INVENTORIES","1993-06-18","2026-05-02","Per=Y","Days=T","Dir=V")</f>
        <v>0</v>
      </c>
      <c r="W2">
        <f>BDH("BZFDW US Equity","WORKING_CAPITAL","1993-06-18","2026-05-02","Per=Y","Days=T","Dir=V")</f>
        <v>0</v>
      </c>
      <c r="Y2">
        <f>BDH("BZFDW US Equity","SALES_REV_TURN","1993-06-18","2026-05-02","Per=Y","Days=T","Dir=V")</f>
        <v>0</v>
      </c>
      <c r="AA2">
        <f>BDH("BZFDW US Equity","EBIT","1993-06-18","2026-05-02","Per=Y","Days=T","Dir=V")</f>
        <v>0</v>
      </c>
      <c r="AC2">
        <f>BDH("BZFDW US Equity","EBITDA","1993-06-18","2026-05-02","Per=Y","Days=T","Dir=V")</f>
        <v>0</v>
      </c>
      <c r="AE2">
        <f>BDH("BZFDW US Equity","NET_INCOME","1993-06-18","2026-05-02","Per=Y","Days=T","Dir=V")</f>
        <v>0</v>
      </c>
      <c r="AG2">
        <f>BDH("BZFDW US Equity","IS_INT_EXPENSE","1993-06-18","2026-05-02","Per=Y","Days=T","Dir=V")</f>
        <v>0</v>
      </c>
      <c r="AI2">
        <f>BDH("BZFDW US Equity","IS_DEPR_EXP","1993-06-18","2026-05-02","Per=Y","Days=T","Dir=V")</f>
        <v>0</v>
      </c>
      <c r="AK2">
        <f>BDH("BZFDW US Equity","CF_CASH_FROM_OPER","1993-06-18","2026-05-02","Per=Y","Days=T","Dir=V")</f>
        <v>0</v>
      </c>
      <c r="AM2">
        <f>BDH("BZFDW US Equity","CAPITAL_EXPEND","1993-06-18","2026-05-02","Per=Y","Days=T","Dir=V")</f>
        <v>0</v>
      </c>
      <c r="AO2">
        <f>BDH("BZFDW US Equity","CF_FREE_CASH_FLOW","1993-06-18","2026-05-02","Per=Y","Days=T","Dir=V")</f>
        <v>0</v>
      </c>
      <c r="AQ2">
        <f>BDH("BZFDW US Equity","PX_LAST","1993-06-18","2026-05-02","Per=M","Days=T","Dir=V")</f>
        <v>0</v>
      </c>
      <c r="AS2">
        <f>BDH("BZFDW US Equity","CUR_MKT_CAP","1993-06-18","2026-05-02","Per=M","Days=T","Dir=V")</f>
        <v>0</v>
      </c>
      <c r="AU2">
        <f>BDH("BZFDW US Equity","EQY_SH_OUT","1993-06-18","2026-05-02","Per=M","Days=T","Dir=V")</f>
        <v>0</v>
      </c>
      <c r="AW2">
        <f>BDH("BZFDW US Equity","PX_VOLUME","1993-06-18","2026-05-02","Per=M","Days=T","Dir=V")</f>
        <v>0</v>
      </c>
      <c r="AY2">
        <f>BDH("BZFDW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BDH("BZH US Equity","BS_TOT_ASSET","1993-06-18","2026-05-02","Per=Y","Days=T","Dir=V")</f>
        <v>0</v>
      </c>
      <c r="C2">
        <f>BDH("BZH US Equity","BS_TOT_LIAB2","1993-06-18","2026-05-02","Per=Y","Days=T","Dir=V")</f>
        <v>0</v>
      </c>
      <c r="E2">
        <f>BDH("BZH US Equity","SHORT_AND_LONG_TERM_DEBT","1993-06-18","2026-05-02","Per=Y","Days=T","Dir=V")</f>
        <v>0</v>
      </c>
      <c r="G2">
        <f>BDH("BZH US Equity","BS_ST_BORROW","1993-06-18","2026-05-02","Per=Y","Days=T","Dir=V")</f>
        <v>0</v>
      </c>
      <c r="I2">
        <f>BDH("BZH US Equity","BS_LT_BORROW","1993-06-18","2026-05-02","Per=Y","Days=T","Dir=V")</f>
        <v>0</v>
      </c>
      <c r="K2">
        <f>BDH("BZH US Equity","BS_CASH_NEAR_CASH_ITEM","1993-06-18","2026-05-02","Per=Y","Days=T","Dir=V")</f>
        <v>0</v>
      </c>
      <c r="M2">
        <f>BDH("BZH US Equity","BS_CUR_ASSET_REPORT","1993-06-18","2026-05-02","Per=Y","Days=T","Dir=V")</f>
        <v>0</v>
      </c>
      <c r="O2">
        <f>BDH("BZH US Equity","BS_CUR_LIAB","1993-06-18","2026-05-02","Per=Y","Days=T","Dir=V")</f>
        <v>0</v>
      </c>
      <c r="Q2">
        <f>BDH("BZH US Equity","BS_SHAREHOLDER_EQY_ENDING_PERIOD","1993-06-18","2026-05-02","Per=Y","Days=T","Dir=V")</f>
        <v>0</v>
      </c>
      <c r="S2">
        <f>BDH("BZH US Equity","BS_ACCT_NOTE_RCV","1993-06-18","2026-05-02","Per=Y","Days=T","Dir=V")</f>
        <v>0</v>
      </c>
      <c r="U2">
        <f>BDH("BZH US Equity","BS_INVENTORIES","1993-06-18","2026-05-02","Per=Y","Days=T","Dir=V")</f>
        <v>0</v>
      </c>
      <c r="W2">
        <f>BDH("BZH US Equity","WORKING_CAPITAL","1993-06-18","2026-05-02","Per=Y","Days=T","Dir=V")</f>
        <v>0</v>
      </c>
      <c r="Y2">
        <f>BDH("BZH US Equity","SALES_REV_TURN","1993-06-18","2026-05-02","Per=Y","Days=T","Dir=V")</f>
        <v>0</v>
      </c>
      <c r="AA2">
        <f>BDH("BZH US Equity","EBIT","1993-06-18","2026-05-02","Per=Y","Days=T","Dir=V")</f>
        <v>0</v>
      </c>
      <c r="AC2">
        <f>BDH("BZH US Equity","EBITDA","1993-06-18","2026-05-02","Per=Y","Days=T","Dir=V")</f>
        <v>0</v>
      </c>
      <c r="AE2">
        <f>BDH("BZH US Equity","NET_INCOME","1993-06-18","2026-05-02","Per=Y","Days=T","Dir=V")</f>
        <v>0</v>
      </c>
      <c r="AG2">
        <f>BDH("BZH US Equity","IS_INT_EXPENSE","1993-06-18","2026-05-02","Per=Y","Days=T","Dir=V")</f>
        <v>0</v>
      </c>
      <c r="AI2">
        <f>BDH("BZH US Equity","IS_DEPR_EXP","1993-06-18","2026-05-02","Per=Y","Days=T","Dir=V")</f>
        <v>0</v>
      </c>
      <c r="AK2">
        <f>BDH("BZH US Equity","CF_CASH_FROM_OPER","1993-06-18","2026-05-02","Per=Y","Days=T","Dir=V")</f>
        <v>0</v>
      </c>
      <c r="AM2">
        <f>BDH("BZH US Equity","CAPITAL_EXPEND","1993-06-18","2026-05-02","Per=Y","Days=T","Dir=V")</f>
        <v>0</v>
      </c>
      <c r="AO2">
        <f>BDH("BZH US Equity","CF_FREE_CASH_FLOW","1993-06-18","2026-05-02","Per=Y","Days=T","Dir=V")</f>
        <v>0</v>
      </c>
      <c r="AQ2">
        <f>BDH("BZH US Equity","PX_LAST","1993-06-18","2026-05-02","Per=M","Days=T","Dir=V")</f>
        <v>0</v>
      </c>
      <c r="AS2">
        <f>BDH("BZH US Equity","CUR_MKT_CAP","1993-06-18","2026-05-02","Per=M","Days=T","Dir=V")</f>
        <v>0</v>
      </c>
      <c r="AU2">
        <f>BDH("BZH US Equity","EQY_SH_OUT","1993-06-18","2026-05-02","Per=M","Days=T","Dir=V")</f>
        <v>0</v>
      </c>
      <c r="AW2">
        <f>BDH("BZH US Equity","PX_VOLUME","1993-06-18","2026-05-02","Per=M","Days=T","Dir=V")</f>
        <v>0</v>
      </c>
      <c r="AY2">
        <f>BDH("BZH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BDH("CABA US Equity","BS_TOT_ASSET","1993-06-18","2026-05-02","Per=Y","Days=T","Dir=V")</f>
        <v>0</v>
      </c>
      <c r="C2">
        <f>BDH("CABA US Equity","BS_TOT_LIAB2","1993-06-18","2026-05-02","Per=Y","Days=T","Dir=V")</f>
        <v>0</v>
      </c>
      <c r="E2">
        <f>BDH("CABA US Equity","SHORT_AND_LONG_TERM_DEBT","1993-06-18","2026-05-02","Per=Y","Days=T","Dir=V")</f>
        <v>0</v>
      </c>
      <c r="G2">
        <f>BDH("CABA US Equity","BS_ST_BORROW","1993-06-18","2026-05-02","Per=Y","Days=T","Dir=V")</f>
        <v>0</v>
      </c>
      <c r="I2">
        <f>BDH("CABA US Equity","BS_LT_BORROW","1993-06-18","2026-05-02","Per=Y","Days=T","Dir=V")</f>
        <v>0</v>
      </c>
      <c r="K2">
        <f>BDH("CABA US Equity","BS_CASH_NEAR_CASH_ITEM","1993-06-18","2026-05-02","Per=Y","Days=T","Dir=V")</f>
        <v>0</v>
      </c>
      <c r="M2">
        <f>BDH("CABA US Equity","BS_CUR_ASSET_REPORT","1993-06-18","2026-05-02","Per=Y","Days=T","Dir=V")</f>
        <v>0</v>
      </c>
      <c r="O2">
        <f>BDH("CABA US Equity","BS_CUR_LIAB","1993-06-18","2026-05-02","Per=Y","Days=T","Dir=V")</f>
        <v>0</v>
      </c>
      <c r="Q2">
        <f>BDH("CABA US Equity","BS_SHAREHOLDER_EQY_ENDING_PERIOD","1993-06-18","2026-05-02","Per=Y","Days=T","Dir=V")</f>
        <v>0</v>
      </c>
      <c r="S2">
        <f>BDH("CABA US Equity","BS_ACCT_NOTE_RCV","1993-06-18","2026-05-02","Per=Y","Days=T","Dir=V")</f>
        <v>0</v>
      </c>
      <c r="U2">
        <f>BDH("CABA US Equity","BS_INVENTORIES","1993-06-18","2026-05-02","Per=Y","Days=T","Dir=V")</f>
        <v>0</v>
      </c>
      <c r="W2">
        <f>BDH("CABA US Equity","WORKING_CAPITAL","1993-06-18","2026-05-02","Per=Y","Days=T","Dir=V")</f>
        <v>0</v>
      </c>
      <c r="Y2">
        <f>BDH("CABA US Equity","SALES_REV_TURN","1993-06-18","2026-05-02","Per=Y","Days=T","Dir=V")</f>
        <v>0</v>
      </c>
      <c r="AA2">
        <f>BDH("CABA US Equity","EBIT","1993-06-18","2026-05-02","Per=Y","Days=T","Dir=V")</f>
        <v>0</v>
      </c>
      <c r="AC2">
        <f>BDH("CABA US Equity","EBITDA","1993-06-18","2026-05-02","Per=Y","Days=T","Dir=V")</f>
        <v>0</v>
      </c>
      <c r="AE2">
        <f>BDH("CABA US Equity","NET_INCOME","1993-06-18","2026-05-02","Per=Y","Days=T","Dir=V")</f>
        <v>0</v>
      </c>
      <c r="AG2">
        <f>BDH("CABA US Equity","IS_INT_EXPENSE","1993-06-18","2026-05-02","Per=Y","Days=T","Dir=V")</f>
        <v>0</v>
      </c>
      <c r="AI2">
        <f>BDH("CABA US Equity","IS_DEPR_EXP","1993-06-18","2026-05-02","Per=Y","Days=T","Dir=V")</f>
        <v>0</v>
      </c>
      <c r="AK2">
        <f>BDH("CABA US Equity","CF_CASH_FROM_OPER","1993-06-18","2026-05-02","Per=Y","Days=T","Dir=V")</f>
        <v>0</v>
      </c>
      <c r="AM2">
        <f>BDH("CABA US Equity","CAPITAL_EXPEND","1993-06-18","2026-05-02","Per=Y","Days=T","Dir=V")</f>
        <v>0</v>
      </c>
      <c r="AO2">
        <f>BDH("CABA US Equity","CF_FREE_CASH_FLOW","1993-06-18","2026-05-02","Per=Y","Days=T","Dir=V")</f>
        <v>0</v>
      </c>
      <c r="AQ2">
        <f>BDH("CABA US Equity","PX_LAST","1993-06-18","2026-05-02","Per=M","Days=T","Dir=V")</f>
        <v>0</v>
      </c>
      <c r="AS2">
        <f>BDH("CABA US Equity","CUR_MKT_CAP","1993-06-18","2026-05-02","Per=M","Days=T","Dir=V")</f>
        <v>0</v>
      </c>
      <c r="AU2">
        <f>BDH("CABA US Equity","EQY_SH_OUT","1993-06-18","2026-05-02","Per=M","Days=T","Dir=V")</f>
        <v>0</v>
      </c>
      <c r="AW2">
        <f>BDH("CABA US Equity","PX_VOLUME","1993-06-18","2026-05-02","Per=M","Days=T","Dir=V")</f>
        <v>0</v>
      </c>
      <c r="AY2">
        <f>BDH("CABA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BDH("CABO US Equity","BS_TOT_ASSET","1993-06-18","2026-05-02","Per=Y","Days=T","Dir=V")</f>
        <v>0</v>
      </c>
      <c r="C2">
        <f>BDH("CABO US Equity","BS_TOT_LIAB2","1993-06-18","2026-05-02","Per=Y","Days=T","Dir=V")</f>
        <v>0</v>
      </c>
      <c r="E2">
        <f>BDH("CABO US Equity","SHORT_AND_LONG_TERM_DEBT","1993-06-18","2026-05-02","Per=Y","Days=T","Dir=V")</f>
        <v>0</v>
      </c>
      <c r="G2">
        <f>BDH("CABO US Equity","BS_ST_BORROW","1993-06-18","2026-05-02","Per=Y","Days=T","Dir=V")</f>
        <v>0</v>
      </c>
      <c r="I2">
        <f>BDH("CABO US Equity","BS_LT_BORROW","1993-06-18","2026-05-02","Per=Y","Days=T","Dir=V")</f>
        <v>0</v>
      </c>
      <c r="K2">
        <f>BDH("CABO US Equity","BS_CASH_NEAR_CASH_ITEM","1993-06-18","2026-05-02","Per=Y","Days=T","Dir=V")</f>
        <v>0</v>
      </c>
      <c r="M2">
        <f>BDH("CABO US Equity","BS_CUR_ASSET_REPORT","1993-06-18","2026-05-02","Per=Y","Days=T","Dir=V")</f>
        <v>0</v>
      </c>
      <c r="O2">
        <f>BDH("CABO US Equity","BS_CUR_LIAB","1993-06-18","2026-05-02","Per=Y","Days=T","Dir=V")</f>
        <v>0</v>
      </c>
      <c r="Q2">
        <f>BDH("CABO US Equity","BS_SHAREHOLDER_EQY_ENDING_PERIOD","1993-06-18","2026-05-02","Per=Y","Days=T","Dir=V")</f>
        <v>0</v>
      </c>
      <c r="S2">
        <f>BDH("CABO US Equity","BS_ACCT_NOTE_RCV","1993-06-18","2026-05-02","Per=Y","Days=T","Dir=V")</f>
        <v>0</v>
      </c>
      <c r="U2">
        <f>BDH("CABO US Equity","BS_INVENTORIES","1993-06-18","2026-05-02","Per=Y","Days=T","Dir=V")</f>
        <v>0</v>
      </c>
      <c r="W2">
        <f>BDH("CABO US Equity","WORKING_CAPITAL","1993-06-18","2026-05-02","Per=Y","Days=T","Dir=V")</f>
        <v>0</v>
      </c>
      <c r="Y2">
        <f>BDH("CABO US Equity","SALES_REV_TURN","1993-06-18","2026-05-02","Per=Y","Days=T","Dir=V")</f>
        <v>0</v>
      </c>
      <c r="AA2">
        <f>BDH("CABO US Equity","EBIT","1993-06-18","2026-05-02","Per=Y","Days=T","Dir=V")</f>
        <v>0</v>
      </c>
      <c r="AC2">
        <f>BDH("CABO US Equity","EBITDA","1993-06-18","2026-05-02","Per=Y","Days=T","Dir=V")</f>
        <v>0</v>
      </c>
      <c r="AE2">
        <f>BDH("CABO US Equity","NET_INCOME","1993-06-18","2026-05-02","Per=Y","Days=T","Dir=V")</f>
        <v>0</v>
      </c>
      <c r="AG2">
        <f>BDH("CABO US Equity","IS_INT_EXPENSE","1993-06-18","2026-05-02","Per=Y","Days=T","Dir=V")</f>
        <v>0</v>
      </c>
      <c r="AI2">
        <f>BDH("CABO US Equity","IS_DEPR_EXP","1993-06-18","2026-05-02","Per=Y","Days=T","Dir=V")</f>
        <v>0</v>
      </c>
      <c r="AK2">
        <f>BDH("CABO US Equity","CF_CASH_FROM_OPER","1993-06-18","2026-05-02","Per=Y","Days=T","Dir=V")</f>
        <v>0</v>
      </c>
      <c r="AM2">
        <f>BDH("CABO US Equity","CAPITAL_EXPEND","1993-06-18","2026-05-02","Per=Y","Days=T","Dir=V")</f>
        <v>0</v>
      </c>
      <c r="AO2">
        <f>BDH("CABO US Equity","CF_FREE_CASH_FLOW","1993-06-18","2026-05-02","Per=Y","Days=T","Dir=V")</f>
        <v>0</v>
      </c>
      <c r="AQ2">
        <f>BDH("CABO US Equity","PX_LAST","1993-06-18","2026-05-02","Per=M","Days=T","Dir=V")</f>
        <v>0</v>
      </c>
      <c r="AS2">
        <f>BDH("CABO US Equity","CUR_MKT_CAP","1993-06-18","2026-05-02","Per=M","Days=T","Dir=V")</f>
        <v>0</v>
      </c>
      <c r="AU2">
        <f>BDH("CABO US Equity","EQY_SH_OUT","1993-06-18","2026-05-02","Per=M","Days=T","Dir=V")</f>
        <v>0</v>
      </c>
      <c r="AW2">
        <f>BDH("CABO US Equity","PX_VOLUME","1993-06-18","2026-05-02","Per=M","Days=T","Dir=V")</f>
        <v>0</v>
      </c>
      <c r="AY2">
        <f>BDH("CABO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BDH("CABR US Equity","BS_TOT_ASSET","1993-06-18","2026-05-02","Per=Y","Days=T","Dir=V")</f>
        <v>0</v>
      </c>
      <c r="C2">
        <f>BDH("CABR US Equity","BS_TOT_LIAB2","1993-06-18","2026-05-02","Per=Y","Days=T","Dir=V")</f>
        <v>0</v>
      </c>
      <c r="E2">
        <f>BDH("CABR US Equity","SHORT_AND_LONG_TERM_DEBT","1993-06-18","2026-05-02","Per=Y","Days=T","Dir=V")</f>
        <v>0</v>
      </c>
      <c r="G2">
        <f>BDH("CABR US Equity","BS_ST_BORROW","1993-06-18","2026-05-02","Per=Y","Days=T","Dir=V")</f>
        <v>0</v>
      </c>
      <c r="I2">
        <f>BDH("CABR US Equity","BS_LT_BORROW","1993-06-18","2026-05-02","Per=Y","Days=T","Dir=V")</f>
        <v>0</v>
      </c>
      <c r="K2">
        <f>BDH("CABR US Equity","BS_CASH_NEAR_CASH_ITEM","1993-06-18","2026-05-02","Per=Y","Days=T","Dir=V")</f>
        <v>0</v>
      </c>
      <c r="M2">
        <f>BDH("CABR US Equity","BS_CUR_ASSET_REPORT","1993-06-18","2026-05-02","Per=Y","Days=T","Dir=V")</f>
        <v>0</v>
      </c>
      <c r="O2">
        <f>BDH("CABR US Equity","BS_CUR_LIAB","1993-06-18","2026-05-02","Per=Y","Days=T","Dir=V")</f>
        <v>0</v>
      </c>
      <c r="Q2">
        <f>BDH("CABR US Equity","BS_SHAREHOLDER_EQY_ENDING_PERIOD","1993-06-18","2026-05-02","Per=Y","Days=T","Dir=V")</f>
        <v>0</v>
      </c>
      <c r="S2">
        <f>BDH("CABR US Equity","BS_ACCT_NOTE_RCV","1993-06-18","2026-05-02","Per=Y","Days=T","Dir=V")</f>
        <v>0</v>
      </c>
      <c r="U2">
        <f>BDH("CABR US Equity","BS_INVENTORIES","1993-06-18","2026-05-02","Per=Y","Days=T","Dir=V")</f>
        <v>0</v>
      </c>
      <c r="W2">
        <f>BDH("CABR US Equity","WORKING_CAPITAL","1993-06-18","2026-05-02","Per=Y","Days=T","Dir=V")</f>
        <v>0</v>
      </c>
      <c r="Y2">
        <f>BDH("CABR US Equity","SALES_REV_TURN","1993-06-18","2026-05-02","Per=Y","Days=T","Dir=V")</f>
        <v>0</v>
      </c>
      <c r="AA2">
        <f>BDH("CABR US Equity","EBIT","1993-06-18","2026-05-02","Per=Y","Days=T","Dir=V")</f>
        <v>0</v>
      </c>
      <c r="AC2">
        <f>BDH("CABR US Equity","EBITDA","1993-06-18","2026-05-02","Per=Y","Days=T","Dir=V")</f>
        <v>0</v>
      </c>
      <c r="AE2">
        <f>BDH("CABR US Equity","NET_INCOME","1993-06-18","2026-05-02","Per=Y","Days=T","Dir=V")</f>
        <v>0</v>
      </c>
      <c r="AG2">
        <f>BDH("CABR US Equity","IS_INT_EXPENSE","1993-06-18","2026-05-02","Per=Y","Days=T","Dir=V")</f>
        <v>0</v>
      </c>
      <c r="AI2">
        <f>BDH("CABR US Equity","IS_DEPR_EXP","1993-06-18","2026-05-02","Per=Y","Days=T","Dir=V")</f>
        <v>0</v>
      </c>
      <c r="AK2">
        <f>BDH("CABR US Equity","CF_CASH_FROM_OPER","1993-06-18","2026-05-02","Per=Y","Days=T","Dir=V")</f>
        <v>0</v>
      </c>
      <c r="AM2">
        <f>BDH("CABR US Equity","CAPITAL_EXPEND","1993-06-18","2026-05-02","Per=Y","Days=T","Dir=V")</f>
        <v>0</v>
      </c>
      <c r="AO2">
        <f>BDH("CABR US Equity","CF_FREE_CASH_FLOW","1993-06-18","2026-05-02","Per=Y","Days=T","Dir=V")</f>
        <v>0</v>
      </c>
      <c r="AQ2">
        <f>BDH("CABR US Equity","PX_LAST","1993-06-18","2026-05-02","Per=M","Days=T","Dir=V")</f>
        <v>0</v>
      </c>
      <c r="AS2">
        <f>BDH("CABR US Equity","CUR_MKT_CAP","1993-06-18","2026-05-02","Per=M","Days=T","Dir=V")</f>
        <v>0</v>
      </c>
      <c r="AU2">
        <f>BDH("CABR US Equity","EQY_SH_OUT","1993-06-18","2026-05-02","Per=M","Days=T","Dir=V")</f>
        <v>0</v>
      </c>
      <c r="AW2">
        <f>BDH("CABR US Equity","PX_VOLUME","1993-06-18","2026-05-02","Per=M","Days=T","Dir=V")</f>
        <v>0</v>
      </c>
      <c r="AY2">
        <f>BDH("CABR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BDH("CACI US Equity","BS_TOT_ASSET","1993-06-18","2026-05-02","Per=Y","Days=T","Dir=V")</f>
        <v>0</v>
      </c>
      <c r="C2">
        <f>BDH("CACI US Equity","BS_TOT_LIAB2","1993-06-18","2026-05-02","Per=Y","Days=T","Dir=V")</f>
        <v>0</v>
      </c>
      <c r="E2">
        <f>BDH("CACI US Equity","SHORT_AND_LONG_TERM_DEBT","1993-06-18","2026-05-02","Per=Y","Days=T","Dir=V")</f>
        <v>0</v>
      </c>
      <c r="G2">
        <f>BDH("CACI US Equity","BS_ST_BORROW","1993-06-18","2026-05-02","Per=Y","Days=T","Dir=V")</f>
        <v>0</v>
      </c>
      <c r="I2">
        <f>BDH("CACI US Equity","BS_LT_BORROW","1993-06-18","2026-05-02","Per=Y","Days=T","Dir=V")</f>
        <v>0</v>
      </c>
      <c r="K2">
        <f>BDH("CACI US Equity","BS_CASH_NEAR_CASH_ITEM","1993-06-18","2026-05-02","Per=Y","Days=T","Dir=V")</f>
        <v>0</v>
      </c>
      <c r="M2">
        <f>BDH("CACI US Equity","BS_CUR_ASSET_REPORT","1993-06-18","2026-05-02","Per=Y","Days=T","Dir=V")</f>
        <v>0</v>
      </c>
      <c r="O2">
        <f>BDH("CACI US Equity","BS_CUR_LIAB","1993-06-18","2026-05-02","Per=Y","Days=T","Dir=V")</f>
        <v>0</v>
      </c>
      <c r="Q2">
        <f>BDH("CACI US Equity","BS_SHAREHOLDER_EQY_ENDING_PERIOD","1993-06-18","2026-05-02","Per=Y","Days=T","Dir=V")</f>
        <v>0</v>
      </c>
      <c r="S2">
        <f>BDH("CACI US Equity","BS_ACCT_NOTE_RCV","1993-06-18","2026-05-02","Per=Y","Days=T","Dir=V")</f>
        <v>0</v>
      </c>
      <c r="U2">
        <f>BDH("CACI US Equity","BS_INVENTORIES","1993-06-18","2026-05-02","Per=Y","Days=T","Dir=V")</f>
        <v>0</v>
      </c>
      <c r="W2">
        <f>BDH("CACI US Equity","WORKING_CAPITAL","1993-06-18","2026-05-02","Per=Y","Days=T","Dir=V")</f>
        <v>0</v>
      </c>
      <c r="Y2">
        <f>BDH("CACI US Equity","SALES_REV_TURN","1993-06-18","2026-05-02","Per=Y","Days=T","Dir=V")</f>
        <v>0</v>
      </c>
      <c r="AA2">
        <f>BDH("CACI US Equity","EBIT","1993-06-18","2026-05-02","Per=Y","Days=T","Dir=V")</f>
        <v>0</v>
      </c>
      <c r="AC2">
        <f>BDH("CACI US Equity","EBITDA","1993-06-18","2026-05-02","Per=Y","Days=T","Dir=V")</f>
        <v>0</v>
      </c>
      <c r="AE2">
        <f>BDH("CACI US Equity","NET_INCOME","1993-06-18","2026-05-02","Per=Y","Days=T","Dir=V")</f>
        <v>0</v>
      </c>
      <c r="AG2">
        <f>BDH("CACI US Equity","IS_INT_EXPENSE","1993-06-18","2026-05-02","Per=Y","Days=T","Dir=V")</f>
        <v>0</v>
      </c>
      <c r="AI2">
        <f>BDH("CACI US Equity","IS_DEPR_EXP","1993-06-18","2026-05-02","Per=Y","Days=T","Dir=V")</f>
        <v>0</v>
      </c>
      <c r="AK2">
        <f>BDH("CACI US Equity","CF_CASH_FROM_OPER","1993-06-18","2026-05-02","Per=Y","Days=T","Dir=V")</f>
        <v>0</v>
      </c>
      <c r="AM2">
        <f>BDH("CACI US Equity","CAPITAL_EXPEND","1993-06-18","2026-05-02","Per=Y","Days=T","Dir=V")</f>
        <v>0</v>
      </c>
      <c r="AO2">
        <f>BDH("CACI US Equity","CF_FREE_CASH_FLOW","1993-06-18","2026-05-02","Per=Y","Days=T","Dir=V")</f>
        <v>0</v>
      </c>
      <c r="AQ2">
        <f>BDH("CACI US Equity","PX_LAST","1993-06-18","2026-05-02","Per=M","Days=T","Dir=V")</f>
        <v>0</v>
      </c>
      <c r="AS2">
        <f>BDH("CACI US Equity","CUR_MKT_CAP","1993-06-18","2026-05-02","Per=M","Days=T","Dir=V")</f>
        <v>0</v>
      </c>
      <c r="AU2">
        <f>BDH("CACI US Equity","EQY_SH_OUT","1993-06-18","2026-05-02","Per=M","Days=T","Dir=V")</f>
        <v>0</v>
      </c>
      <c r="AW2">
        <f>BDH("CACI US Equity","PX_VOLUME","1993-06-18","2026-05-02","Per=M","Days=T","Dir=V")</f>
        <v>0</v>
      </c>
      <c r="AY2">
        <f>BDH("CACI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NB_231_Arvinas Inc. Common Stoc</vt:lpstr>
      <vt:lpstr>NB_232_Arrow Electronics Inc. C</vt:lpstr>
      <vt:lpstr>NB_233_Arrowhead Pharmaceutical</vt:lpstr>
      <vt:lpstr>NB_234_Arxis Inc. Class A Commo</vt:lpstr>
      <vt:lpstr>NB_235_ASA  Gold and Precious M</vt:lpstr>
      <vt:lpstr>NB_236_Asana Inc. Class A Commo</vt:lpstr>
      <vt:lpstr>NB_237_Aspire-Lakewood Holdings</vt:lpstr>
      <vt:lpstr>NB_238_Aspire-Lakewood Holdings</vt:lpstr>
      <vt:lpstr>NB_239_Ashland Inc. Common Stoc</vt:lpstr>
      <vt:lpstr>NB_240_AdvanSix Inc. Common Sto</vt:lpstr>
      <vt:lpstr>NB_241_AerSale Corporation Comm</vt:lpstr>
      <vt:lpstr>NB_242_Assembly Biosciences Inc</vt:lpstr>
      <vt:lpstr>NB_243_Academy Sports and Outdo</vt:lpstr>
      <vt:lpstr>NB_244_ASP Isotopes Inc. Common</vt:lpstr>
      <vt:lpstr>NB_245_Aspen Aerogels Inc. Comm</vt:lpstr>
      <vt:lpstr>NB_246_Astrotech Corporation (D</vt:lpstr>
      <vt:lpstr>NB_247_Astec Industries Inc. Co</vt:lpstr>
      <vt:lpstr>NB_248_Astrana Health Inc. Comm</vt:lpstr>
      <vt:lpstr>NB_249_Ascent Solar Technologie</vt:lpstr>
      <vt:lpstr>NB_250_AST SpaceMobile Inc. Cla</vt:lpstr>
      <vt:lpstr>NB_251_Asure Software Inc Commo</vt:lpstr>
      <vt:lpstr>NB_252_Amtech Systems Inc. Comm</vt:lpstr>
      <vt:lpstr>NB_253_Alphatec Holdings Inc. C</vt:lpstr>
      <vt:lpstr>NB_254_A10 Networks Inc. Common</vt:lpstr>
      <vt:lpstr>NB_255_Aterian Inc. Common Stoc</vt:lpstr>
      <vt:lpstr>NB_256_Anterix Inc. Common Stoc</vt:lpstr>
      <vt:lpstr>NB_257_Aether Holdings Inc. Com</vt:lpstr>
      <vt:lpstr>NB_258_ATI Inc. Common Stock</vt:lpstr>
      <vt:lpstr>NB_259_Atlas Lithium Corporatio</vt:lpstr>
      <vt:lpstr>NB_260_Atmus Filtration Technol</vt:lpstr>
      <vt:lpstr>NB_261_ATN International Inc. C</vt:lpstr>
      <vt:lpstr>NB_262_Actinium Pharmaceuticals</vt:lpstr>
      <vt:lpstr>NB_263_Atmos Energy Corporation</vt:lpstr>
      <vt:lpstr>NB_264_Atomera Incorporated Com</vt:lpstr>
      <vt:lpstr>NB_265_Atossa Therapeutics Inc.</vt:lpstr>
      <vt:lpstr>NB_266_AptarGroup Inc. Common S</vt:lpstr>
      <vt:lpstr>NB_267_Atara Biotherapeutics In</vt:lpstr>
      <vt:lpstr>NB_268_AtriCure Inc. Common Sto</vt:lpstr>
      <vt:lpstr>NB_269_Astronics Corporation Co</vt:lpstr>
      <vt:lpstr>NB_270_Attovia Therapeutics Inc</vt:lpstr>
      <vt:lpstr>NB_271_aTyr Pharma Inc. Common </vt:lpstr>
      <vt:lpstr>NB_272_ATIF Holdings Limited Or</vt:lpstr>
      <vt:lpstr>NB_273_Aura Minerals Inc. Commo</vt:lpstr>
      <vt:lpstr>NB_274_authID Inc. Common Stock</vt:lpstr>
      <vt:lpstr>NB_275_Aurora Innovation Inc. C</vt:lpstr>
      <vt:lpstr>NB_276_Aura Biosciences Inc. Co</vt:lpstr>
      <vt:lpstr>NB_277_Aurora Innovation Inc. W</vt:lpstr>
      <vt:lpstr>NB_278_Auddia Inc. Common Stock</vt:lpstr>
      <vt:lpstr>NB_279_Avista Corporation Commo</vt:lpstr>
      <vt:lpstr>NB_280_Aveanna Healthcare Holdi</vt:lpstr>
      <vt:lpstr>NB_281_AeroVironment Inc. Commo</vt:lpstr>
      <vt:lpstr>NB_282_ArriVent BioPharma Inc. </vt:lpstr>
      <vt:lpstr>NB_283_American Vanguard Corpor</vt:lpstr>
      <vt:lpstr>NB_284_Broadcom Inc. Common Sto</vt:lpstr>
      <vt:lpstr>NB_285_Atea Pharmaceuticals Inc</vt:lpstr>
      <vt:lpstr>NB_286_Avalyn Pharma Inc. Commo</vt:lpstr>
      <vt:lpstr>NB_287_Avient Corporation Commo</vt:lpstr>
      <vt:lpstr>NB_288_Aviat Networks Inc. Comm</vt:lpstr>
      <vt:lpstr>NB_289_Mission Produce Inc. Com</vt:lpstr>
      <vt:lpstr>NB_290_AvePoint Inc. Class A Co</vt:lpstr>
      <vt:lpstr>NB_291_Anteris Technologies Glo</vt:lpstr>
      <vt:lpstr>NB_292_Avnet Inc. Common Stock</vt:lpstr>
      <vt:lpstr>NB_293_Avantor Inc. Common Stoc</vt:lpstr>
      <vt:lpstr>NB_294_Avalo Therapeutics Inc. </vt:lpstr>
      <vt:lpstr>NB_295_Anavex Life Sciences Cor</vt:lpstr>
      <vt:lpstr>NB_296_Avery Dennison Corporati</vt:lpstr>
      <vt:lpstr>NB_297_Armstrong World Industri</vt:lpstr>
      <vt:lpstr>NB_298_American Water Works Com</vt:lpstr>
      <vt:lpstr>NB_299_American States Water Co</vt:lpstr>
      <vt:lpstr>NB_300_Aware Inc. Common Stock</vt:lpstr>
      <vt:lpstr>NB_301_Avalon Holdings Corporat</vt:lpstr>
      <vt:lpstr>NB_302_Axogen Inc. Common Stock</vt:lpstr>
      <vt:lpstr>NB_303_Axon Enterprise Inc. Com</vt:lpstr>
      <vt:lpstr>NB_304_Axsome Therapeutics Inc.</vt:lpstr>
      <vt:lpstr>NB_305_Axalta Coating Systems L</vt:lpstr>
      <vt:lpstr>NB_306_AXT Inc Common Stock</vt:lpstr>
      <vt:lpstr>NB_307_Acuity Inc. Common Stock</vt:lpstr>
      <vt:lpstr>NB_308_Aytu BioPharma Inc.  Com</vt:lpstr>
      <vt:lpstr>NB_309_Azio AI Holdings Inc. Co</vt:lpstr>
      <vt:lpstr>NB_310_AutoZone Inc. Common Sto</vt:lpstr>
      <vt:lpstr>NB_311_Azenta Inc.</vt:lpstr>
      <vt:lpstr>NB_312_AZZ Inc.</vt:lpstr>
      <vt:lpstr>NB_313_Boeing Company (The) Com</vt:lpstr>
      <vt:lpstr>NB_314_Bridger Aerospace Group </vt:lpstr>
      <vt:lpstr>NB_315_Bridger Aerospace Group </vt:lpstr>
      <vt:lpstr>NB_316_Booz Allen Hamilton Hold</vt:lpstr>
      <vt:lpstr>NB_317_Ball Corporation Common </vt:lpstr>
      <vt:lpstr>NB_318_Bally's Corporation Comm</vt:lpstr>
      <vt:lpstr>NB_319_Bandwidth Inc. Class A C</vt:lpstr>
      <vt:lpstr>NB_320_BARK Inc. Class A Common</vt:lpstr>
      <vt:lpstr>NB_321_Battalion Oil Corporatio</vt:lpstr>
      <vt:lpstr>NB_322_Atlanta Braves Holdings </vt:lpstr>
      <vt:lpstr>NB_323_Atlanta Braves Holdings </vt:lpstr>
      <vt:lpstr>NB_324_Baxter International Inc</vt:lpstr>
      <vt:lpstr>NB_325_BigBear.ai Inc. Common S</vt:lpstr>
      <vt:lpstr>NB_326_Neighborhood Intelligenc</vt:lpstr>
      <vt:lpstr>NB_327_Concrete Pumping Holding</vt:lpstr>
      <vt:lpstr>NB_328_Beasley Broadcast Group </vt:lpstr>
      <vt:lpstr>NB_329_BridgeBio Pharma Inc. Co</vt:lpstr>
      <vt:lpstr>NB_330_Bone Biologics Corp Comm</vt:lpstr>
      <vt:lpstr>NB_331_Bone Biologics Corp Warr</vt:lpstr>
      <vt:lpstr>NB_332_Beta Bionics Inc. Common</vt:lpstr>
      <vt:lpstr>NB_333_BridgeBio Oncology Thera</vt:lpstr>
      <vt:lpstr>NB_334_Barrett Business Service</vt:lpstr>
      <vt:lpstr>NB_335_Build-A-Bear Workshop In</vt:lpstr>
      <vt:lpstr>NB_336_Bath &amp; Body Works Inc.</vt:lpstr>
      <vt:lpstr>NB_337_Best Buy Co. Inc. Common</vt:lpstr>
      <vt:lpstr>NB_338_Brunswick Corporation Co</vt:lpstr>
      <vt:lpstr>NB_339_Bicara Therapeutics Inc.</vt:lpstr>
      <vt:lpstr>NB_340_Boise Cascade L.L.C. Com</vt:lpstr>
      <vt:lpstr>NB_341_BioCardia Inc. Common St</vt:lpstr>
      <vt:lpstr>NB_342_Brinks Company (The) Com</vt:lpstr>
      <vt:lpstr>NB_343_Balchem Corporation Comm</vt:lpstr>
      <vt:lpstr>NB_344_BioCryst Pharmaceuticals</vt:lpstr>
      <vt:lpstr>NB_345_Belden Inc Common Stock</vt:lpstr>
      <vt:lpstr>NB_346_Flanigan's Enterprises I</vt:lpstr>
      <vt:lpstr>NB_347_Biodesix Inc. Common Sto</vt:lpstr>
      <vt:lpstr>NB_348_Black Diamond Therapeuti</vt:lpstr>
      <vt:lpstr>NB_349_Becton Dickinson and Com</vt:lpstr>
      <vt:lpstr>NB_350_Bloom Energy Corporation</vt:lpstr>
      <vt:lpstr>NB_351_Beam Therapeutics Inc. C</vt:lpstr>
      <vt:lpstr>NB_352_Heartbeam Inc. Common St</vt:lpstr>
      <vt:lpstr>NB_353_Heartbeam Inc. Warrant</vt:lpstr>
      <vt:lpstr>NB_354_Brookfield Renewable Cor</vt:lpstr>
      <vt:lpstr>NB_355_Beta Technologies Inc. C</vt:lpstr>
      <vt:lpstr>NB_356_Bright Horizons Family S</vt:lpstr>
      <vt:lpstr>NB_357_Bread Financial Holdings</vt:lpstr>
      <vt:lpstr>NB_358_Butterfly Network Inc. C</vt:lpstr>
      <vt:lpstr>NB_359_Bullfrog AI Holdings Inc</vt:lpstr>
      <vt:lpstr>NB_360_Bullfrog AI Holdings Inc</vt:lpstr>
      <vt:lpstr>NB_361_Biofrontera Inc. Common </vt:lpstr>
      <vt:lpstr>NB_362_Biofrontera Inc. Warrant</vt:lpstr>
      <vt:lpstr>NB_363_Bunge Limited Common Sha</vt:lpstr>
      <vt:lpstr>NB_364_Bio Green Med Solution I</vt:lpstr>
      <vt:lpstr>NB_365_B&amp;G Foods Inc. Common St</vt:lpstr>
      <vt:lpstr>NB_366_BGSF Inc. Common Stock</vt:lpstr>
      <vt:lpstr>NB_367_Biglari Holdings Inc. Cl</vt:lpstr>
      <vt:lpstr>NB_368_Benchmark Electronics In</vt:lpstr>
      <vt:lpstr>NB_369_Biohaven Ltd. Common Sha</vt:lpstr>
      <vt:lpstr>NB_370_bioAffinity Technologies</vt:lpstr>
      <vt:lpstr>NB_371_bioAffinity Technologies</vt:lpstr>
      <vt:lpstr>NB_372_Biogen Inc. Common Stock</vt:lpstr>
      <vt:lpstr>NB_373_BILL Holdings Inc. Commo</vt:lpstr>
      <vt:lpstr>NB_374_Bio-Rad Laboratories Inc</vt:lpstr>
      <vt:lpstr>NB_375_BioAge Labs Inc. Common </vt:lpstr>
      <vt:lpstr>NB_376_Smartbird Inc. Class A C</vt:lpstr>
      <vt:lpstr>NB_377_BioVie Inc. Class A Comm</vt:lpstr>
      <vt:lpstr>NB_378_BioVie Inc. Warrant</vt:lpstr>
      <vt:lpstr>NB_379_BJ's Wholesale Club Hold</vt:lpstr>
      <vt:lpstr>NB_380_Bluejay Diagnostics Inc.</vt:lpstr>
      <vt:lpstr>NB_381_BJ's Restaurants Inc. Co</vt:lpstr>
      <vt:lpstr>NB_382_Brookdale Senior Living </vt:lpstr>
      <vt:lpstr>NB_383_Buckle Inc. (The) Common</vt:lpstr>
      <vt:lpstr>NB_384_Black Hills Corporation </vt:lpstr>
      <vt:lpstr>NB_385_Black Hawk Acquisition C</vt:lpstr>
      <vt:lpstr>NB_386_Black Hawk Acquisition C</vt:lpstr>
      <vt:lpstr>NB_387_Booking Holdings Inc. Co</vt:lpstr>
      <vt:lpstr>NB_388_Baker Hughes Company Cla</vt:lpstr>
      <vt:lpstr>NB_389_BlackSky Technology Inc.</vt:lpstr>
      <vt:lpstr>NB_390_BK Technologies Corporat</vt:lpstr>
      <vt:lpstr>NB_391_BKV Corporation Common S</vt:lpstr>
      <vt:lpstr>NB_392_BIO-key International In</vt:lpstr>
      <vt:lpstr>NB_393_BlackLine Inc. Common St</vt:lpstr>
      <vt:lpstr>NB_394_Blue Bird Corporation Co</vt:lpstr>
      <vt:lpstr>NB_395_Builders FirstSource Inc</vt:lpstr>
      <vt:lpstr>NB_396_BioLife Solutions Inc. C</vt:lpstr>
      <vt:lpstr>NB_397_Bridgeline Digital Inc. </vt:lpstr>
      <vt:lpstr>NB_398_Blackbaud Inc. Common St</vt:lpstr>
      <vt:lpstr>NB_399_BillionToOne Inc. Class </vt:lpstr>
      <vt:lpstr>NB_400_Bloomin' Brands Inc. Com</vt:lpstr>
      <vt:lpstr>NB_401_Blend Labs Inc. Class A </vt:lpstr>
      <vt:lpstr>NB_402_BlossomHill Therapeutics</vt:lpstr>
      <vt:lpstr>NB_403_Belite Bio Inc American </vt:lpstr>
      <vt:lpstr>NB_404_Blackrock Limited Durati</vt:lpstr>
      <vt:lpstr>NB_405_Backblaze Inc. Class A C</vt:lpstr>
      <vt:lpstr>NB_406_Bumble Inc. Class A Comm</vt:lpstr>
      <vt:lpstr>NB_407_Biomea Fusion Inc. Commo</vt:lpstr>
      <vt:lpstr>NB_408_Badger Meter Inc. Common</vt:lpstr>
      <vt:lpstr>NB_409_Biomerica Inc. Common St</vt:lpstr>
      <vt:lpstr>NB_410_BioMarin Pharmaceutical </vt:lpstr>
      <vt:lpstr>NB_411_Bristol-Myers Squibb Com</vt:lpstr>
      <vt:lpstr>NB_412_Brand Engagement Network</vt:lpstr>
      <vt:lpstr>NB_413_Brand Engagement Network</vt:lpstr>
      <vt:lpstr>NB_414_CEA Industries Inc. Comm</vt:lpstr>
      <vt:lpstr>NB_415_CEA Industries Inc. Warr</vt:lpstr>
      <vt:lpstr>NB_416_Barnes &amp; Noble Education</vt:lpstr>
      <vt:lpstr>NB_417_Bionano Genomics Inc. Co</vt:lpstr>
      <vt:lpstr>NB_418_Bonk Inc. Common Stock</vt:lpstr>
      <vt:lpstr>NB_419_Benitec Biopharma Inc. C</vt:lpstr>
      <vt:lpstr>NB_420_The Beachbody Company In</vt:lpstr>
      <vt:lpstr>NB_421_BranchOut Food Inc. Comm</vt:lpstr>
      <vt:lpstr>NB_422_Boundless Bio Inc. Commo</vt:lpstr>
      <vt:lpstr>NB_423_Bolt Biotherapeutics Inc</vt:lpstr>
      <vt:lpstr>NB_424_DMC Global Inc. Common S</vt:lpstr>
      <vt:lpstr>NB_425_Boot Barn Holdings Inc. </vt:lpstr>
      <vt:lpstr>NB_426_Box Inc. Class A Common </vt:lpstr>
      <vt:lpstr>NB_427_Broadridge Financial Sol</vt:lpstr>
      <vt:lpstr>NB_428_BellRing Brands Inc. Com</vt:lpstr>
      <vt:lpstr>NB_429_Brady Corporation Common</vt:lpstr>
      <vt:lpstr>NB_430_Black Rock Coffee Bar In</vt:lpstr>
      <vt:lpstr>NB_431_BRC Inc. Class A Common </vt:lpstr>
      <vt:lpstr>NB_432_Barfresh Food Group Inc.</vt:lpstr>
      <vt:lpstr>NB_433_Bridgford Foods Corporat</vt:lpstr>
      <vt:lpstr>NB_434_Burtech Acquisition Corp</vt:lpstr>
      <vt:lpstr>NB_435_Bruker Corporation Commo</vt:lpstr>
      <vt:lpstr>NB_436_Bruker Corporation 6.375</vt:lpstr>
      <vt:lpstr>NB_437_Brilliant Earth Group In</vt:lpstr>
      <vt:lpstr>NB_438_Barnwell Industries Inc.</vt:lpstr>
      <vt:lpstr>NB_439_Dutch Bros Inc. Class A </vt:lpstr>
      <vt:lpstr>NB_440_Brightstar Lottery PLC T</vt:lpstr>
      <vt:lpstr>NB_441_BioRestorative Therapies</vt:lpstr>
      <vt:lpstr>NB_442_Boost Run Inc. Class A C</vt:lpstr>
      <vt:lpstr>NB_443_Braveheart Bio Inc. Comm</vt:lpstr>
      <vt:lpstr>NB_444_Braze Inc. Class A Commo</vt:lpstr>
      <vt:lpstr>NB_445_BioStem Technologies Inc</vt:lpstr>
      <vt:lpstr>NB_446_Bassett Furniture Indust</vt:lpstr>
      <vt:lpstr>NB_447_Big Sky Industrial Inc. </vt:lpstr>
      <vt:lpstr>NB_448_Black Stone Minerals L.P</vt:lpstr>
      <vt:lpstr>NB_449_Boston Scientific Corpor</vt:lpstr>
      <vt:lpstr>NB_450_Bentley Systems Incorpor</vt:lpstr>
      <vt:lpstr>NB_451_BT Brands Inc. Common St</vt:lpstr>
      <vt:lpstr>NB_452_BT Brands Inc. Warrant</vt:lpstr>
      <vt:lpstr>NB_453_Brightline Interactive I</vt:lpstr>
      <vt:lpstr>NB_454_Biote Corp. Class A Comm</vt:lpstr>
      <vt:lpstr>NB_455_Armlogi Holding Corp. Co</vt:lpstr>
      <vt:lpstr>NB_456_BrightSpring Health Serv</vt:lpstr>
      <vt:lpstr>NB_457_BrightSpring Health Serv</vt:lpstr>
      <vt:lpstr>NB_458_Peabody Energy Corporati</vt:lpstr>
      <vt:lpstr>NB_459_Burlington Stores Inc. C</vt:lpstr>
      <vt:lpstr>NB_460_BrightView Holdings Inc.</vt:lpstr>
      <vt:lpstr>NB_461_Bioventus Inc. Class A C</vt:lpstr>
      <vt:lpstr>NB_462_Babcock &amp; Wilcox Enterpr</vt:lpstr>
      <vt:lpstr>NB_463_BorgWarner Inc. Common S</vt:lpstr>
      <vt:lpstr>NB_464_Broadwind Inc. Common St</vt:lpstr>
      <vt:lpstr>NB_465_Bowman Consulting Group </vt:lpstr>
      <vt:lpstr>NB_466_BWX Technologies Inc. Co</vt:lpstr>
      <vt:lpstr>NB_467_BOXABL Inc. Common stock</vt:lpstr>
      <vt:lpstr>NB_468_Bluelinx Holdings Inc. C</vt:lpstr>
      <vt:lpstr>NB_469_Boyd Gaming Corporation </vt:lpstr>
      <vt:lpstr>NB_470_Beyond Meat Inc. Common </vt:lpstr>
      <vt:lpstr>NB_471_BeyondSpring Inc. Ordina</vt:lpstr>
      <vt:lpstr>NB_472_Blaize Holdings Inc. Com</vt:lpstr>
      <vt:lpstr>NB_473_Blaize Holdings Inc. War</vt:lpstr>
      <vt:lpstr>NB_474_BuzzFeed Inc. Class A Co</vt:lpstr>
      <vt:lpstr>NB_475_BuzzFeed Inc. Warrant</vt:lpstr>
      <vt:lpstr>NB_476_Beazer Homes USA Inc. Co</vt:lpstr>
      <vt:lpstr>NB_477_Cabaletta Bio Inc. Commo</vt:lpstr>
      <vt:lpstr>NB_478_Cable One Inc. Common St</vt:lpstr>
      <vt:lpstr>NB_479_Caring Brands Inc. Commo</vt:lpstr>
      <vt:lpstr>NB_480_CACI International Inc.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2026-10-05T19:45:11Z</dcterms:created>
  <dcterms:modified xsi:type="dcterms:W3CDTF">2026-10-05T19:45:11Z</dcterms:modified>
</cp:coreProperties>
</file>