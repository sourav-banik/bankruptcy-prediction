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2731_TSS Inc. Common Stock" sheetId="2" r:id="rId2"/>
    <sheet name="NB_2732_Titan America SA Common" sheetId="3" r:id="rId3"/>
    <sheet name="NB_2733_ServiceTitan Inc. Class" sheetId="4" r:id="rId4"/>
    <sheet name="NB_2734_Toro Company (The) Comm" sheetId="5" r:id="rId5"/>
    <sheet name="NB_2735_The Trade Desk Inc. Cla" sheetId="6" r:id="rId6"/>
    <sheet name="NB_2736_TTEC Holdings Inc. Comm" sheetId="7" r:id="rId7"/>
    <sheet name="NB_2737_Tetra Tech Inc. Common " sheetId="8" r:id="rId8"/>
    <sheet name="NB_2738_TechTarget Inc. Common " sheetId="9" r:id="rId9"/>
    <sheet name="NB_2739_Tetra Technologies Inc." sheetId="10" r:id="rId10"/>
    <sheet name="NB_2740_TTM Technologies Inc. C" sheetId="11" r:id="rId11"/>
    <sheet name="NB_2741_Turn Therapeutics Inc. " sheetId="12" r:id="rId12"/>
    <sheet name="NB_2742_Take-Two Interactive So" sheetId="13" r:id="rId13"/>
    <sheet name="NB_2743_Bloomia Holdings Inc. C" sheetId="14" r:id="rId14"/>
    <sheet name="NB_2744_Mammoth Energy Services" sheetId="15" r:id="rId15"/>
    <sheet name="NB_2745_Tennessee Valley Author" sheetId="16" r:id="rId16"/>
    <sheet name="NB_2746_Tennessee Valley Author" sheetId="17" r:id="rId17"/>
    <sheet name="NB_2747_Tevogen Inc. Common Sto" sheetId="18" r:id="rId18"/>
    <sheet name="NB_2748_Tevogen Inc. Warrant" sheetId="19" r:id="rId19"/>
    <sheet name="NB_2749_Tvardi Therapeutics Inc" sheetId="20" r:id="rId20"/>
    <sheet name="NB_2750_Travere Therapeutics In" sheetId="21" r:id="rId21"/>
    <sheet name="NB_2751_TaoWeave Inc. Common St" sheetId="22" r:id="rId22"/>
    <sheet name="NB_2752_Titan International Inc" sheetId="23" r:id="rId23"/>
    <sheet name="NB_2753_Twin Disc Incorporated " sheetId="24" r:id="rId24"/>
    <sheet name="NB_2754_Twilio Inc. Class A Com" sheetId="25" r:id="rId25"/>
    <sheet name="NB_2755_Twist Bioscience Corpor" sheetId="26" r:id="rId26"/>
    <sheet name="NB_2756_10x Genomics Inc. Class" sheetId="27" r:id="rId27"/>
    <sheet name="NB_2757_TherapeuticsMD Inc. Com" sheetId="28" r:id="rId28"/>
    <sheet name="NB_2758_Texas Instruments Incor" sheetId="29" r:id="rId29"/>
    <sheet name="NB_2759_TXNM Energy Inc. Common" sheetId="30" r:id="rId30"/>
    <sheet name="NB_2760_TXO Partners L.P. Commo" sheetId="31" r:id="rId31"/>
    <sheet name="NB_2761_Texas Roadhouse Inc. Co" sheetId="32" r:id="rId32"/>
    <sheet name="NB_2762_Textron Inc. Common Sto" sheetId="33" r:id="rId33"/>
    <sheet name="NB_2763_Tigo Energy Inc. Common" sheetId="34" r:id="rId34"/>
    <sheet name="NB_2764_Tyler Technologies Inc." sheetId="35" r:id="rId35"/>
    <sheet name="NB_2765_Tyra Biosciences Inc. C" sheetId="36" r:id="rId36"/>
    <sheet name="NB_2766_Travelzoo Common Stock" sheetId="37" r:id="rId37"/>
    <sheet name="NB_2767_Unity Software Inc. Com" sheetId="38" r:id="rId38"/>
    <sheet name="NB_2768_Under Armour Inc. Class" sheetId="39" r:id="rId39"/>
    <sheet name="NB_2769_Under Armour Inc. Class" sheetId="40" r:id="rId40"/>
    <sheet name="NB_2770_United Airlines Holding" sheetId="41" r:id="rId41"/>
    <sheet name="NB_2771_United States Antimony " sheetId="42" r:id="rId42"/>
    <sheet name="NB_2772_CVR Partners LP Common " sheetId="43" r:id="rId43"/>
    <sheet name="NB_2773_AgEagle Aerial Systems " sheetId="44" r:id="rId44"/>
    <sheet name="NB_2774_Uber Technologies Inc. " sheetId="45" r:id="rId45"/>
    <sheet name="NB_2775_Ultra Clean Holdings In" sheetId="46" r:id="rId46"/>
    <sheet name="NB_2776_Universal Electronics I" sheetId="47" r:id="rId47"/>
    <sheet name="NB_2777_Unifi Inc. New Common S" sheetId="48" r:id="rId48"/>
    <sheet name="NB_2778_UFP Industries Inc. Com" sheetId="49" r:id="rId49"/>
    <sheet name="NB_2779_UFP Technologies Inc. C" sheetId="50" r:id="rId50"/>
    <sheet name="NB_2780_United-Guardian Inc. Co" sheetId="51" r:id="rId51"/>
    <sheet name="NB_2781_UGI Corporation Common " sheetId="52" r:id="rId52"/>
    <sheet name="NB_2782_U-Haul Holding Company " sheetId="53" r:id="rId53"/>
    <sheet name="NB_2783_Universal Health Servic" sheetId="54" r:id="rId54"/>
    <sheet name="NB_2784_Ubiquiti Inc. Common St" sheetId="55" r:id="rId55"/>
    <sheet name="NB_2785_Unisys Corporation New " sheetId="56" r:id="rId56"/>
    <sheet name="NB_2786_Ucommune International " sheetId="57" r:id="rId57"/>
    <sheet name="NB_2787_Frontier Group Holdings" sheetId="58" r:id="rId58"/>
    <sheet name="NB_2788_Universal Logistics Hol" sheetId="59" r:id="rId59"/>
    <sheet name="NB_2789_UL Solutions Inc. Class" sheetId="60" r:id="rId60"/>
    <sheet name="NB_2790_Ulta Beauty Inc. Common" sheetId="61" r:id="rId61"/>
    <sheet name="NB_2791_Unusual Machines Inc. C" sheetId="62" r:id="rId62"/>
    <sheet name="NB_2792_Unicycive Therapeutics " sheetId="63" r:id="rId63"/>
    <sheet name="NB_2793_Unifirst Corporation Co" sheetId="64" r:id="rId64"/>
    <sheet name="NB_2794_United Natural Foods In" sheetId="65" r:id="rId65"/>
    <sheet name="NB_2795_UnitedHealth Group Inco" sheetId="66" r:id="rId66"/>
    <sheet name="NB_2796_Union Pacific Corporati" sheetId="67" r:id="rId67"/>
    <sheet name="NB_2797_Urban One Inc. Class A " sheetId="68" r:id="rId68"/>
    <sheet name="NB_2798_Urban One Inc. Class D " sheetId="69" r:id="rId69"/>
    <sheet name="NB_2799_Upstream Bio Inc. Commo" sheetId="70" r:id="rId70"/>
    <sheet name="NB_2800_Upbound Group Inc. Comm" sheetId="71" r:id="rId71"/>
    <sheet name="NB_2801_Upland Software Inc. Co" sheetId="72" r:id="rId72"/>
    <sheet name="NB_2802_United Parcel Service I" sheetId="73" r:id="rId73"/>
    <sheet name="NB_2803_Upwork Inc. Common Stoc" sheetId="74" r:id="rId74"/>
    <sheet name="NB_2804_Urban Outfitters Inc. C" sheetId="75" r:id="rId75"/>
    <sheet name="NB_2805_United Rentals Inc. Com" sheetId="76" r:id="rId76"/>
    <sheet name="NB_2806_USA Compression Partner" sheetId="77" r:id="rId77"/>
    <sheet name="NB_2807_USA Rare Earth Inc. Cla" sheetId="78" r:id="rId78"/>
    <sheet name="NB_2808_U.S. Gold Corp. Common " sheetId="79" r:id="rId79"/>
    <sheet name="NB_2809_US Foods Holding Corp. " sheetId="80" r:id="rId80"/>
    <sheet name="NB_2810_U.S. GoldMining Inc. Co" sheetId="81" r:id="rId81"/>
    <sheet name="NB_2811_United States Lime &amp; Mi" sheetId="82" r:id="rId82"/>
    <sheet name="NB_2812_USANA Health Sciences I" sheetId="83" r:id="rId83"/>
    <sheet name="NB_2813_U.S. Physical Therapy I" sheetId="84" r:id="rId84"/>
    <sheet name="NB_2814_United Therapeutics Cor" sheetId="85" r:id="rId85"/>
    <sheet name="NB_2815_UNITIL Corporation Comm" sheetId="86" r:id="rId86"/>
    <sheet name="NB_2816_Utah Medical Products I" sheetId="87" r:id="rId87"/>
    <sheet name="NB_2817_Utz Brands Inc Class A " sheetId="88" r:id="rId88"/>
    <sheet name="NB_2818_Universal Safety Produc" sheetId="89" r:id="rId89"/>
    <sheet name="NB_2819_Universal Corporation C" sheetId="90" r:id="rId90"/>
    <sheet name="NB_2820_Array Digital Infrastru" sheetId="91" r:id="rId91"/>
    <sheet name="NB_2821_Array Digital Infrastru" sheetId="92" r:id="rId92"/>
    <sheet name="NB_2822_Array Digital Infrastru" sheetId="93" r:id="rId93"/>
    <sheet name="NB_2823_Visa Inc." sheetId="94" r:id="rId94"/>
    <sheet name="NB_2824_Valaris Limited Common " sheetId="95" r:id="rId95"/>
    <sheet name="NB_2825_Vivani Medical Inc. Com" sheetId="96" r:id="rId96"/>
    <sheet name="NB_2826_INNOVATE Corp. Common S" sheetId="97" r:id="rId97"/>
    <sheet name="NB_2827_Valion Bio Inc. Common " sheetId="98" r:id="rId98"/>
    <sheet name="NB_2828_Visteon Corporation Com" sheetId="99" r:id="rId99"/>
    <sheet name="NB_2829_Vericel Corporation Com" sheetId="100" r:id="rId100"/>
    <sheet name="NB_2830_Veracyte Inc. Common St" sheetId="101" r:id="rId101"/>
    <sheet name="NB_2831_Veeco Instruments Inc. " sheetId="102" r:id="rId102"/>
    <sheet name="NB_2832_Veea Inc. Common Stock" sheetId="103" r:id="rId103"/>
    <sheet name="NB_2833_Veea Inc. Warrant" sheetId="104" r:id="rId104"/>
    <sheet name="NB_2834_Twin Vee PowerCats Co. " sheetId="105" r:id="rId105"/>
    <sheet name="NB_2835_Veeva Systems Inc. Clas" sheetId="106" r:id="rId106"/>
    <sheet name="NB_2836_Velo3D Inc. Common stoc" sheetId="107" r:id="rId107"/>
    <sheet name="NB_2837_Venu Holding Corporatio" sheetId="108" r:id="rId108"/>
    <sheet name="NB_2838_Vera Therapeutics Inc. " sheetId="109" r:id="rId109"/>
    <sheet name="NB_2839_Veritone Inc. Common St" sheetId="110" r:id="rId110"/>
    <sheet name="NB_2840_Veru Inc. Common Stock" sheetId="111" r:id="rId111"/>
    <sheet name="NB_2841_Vertex Inc. Class A Com" sheetId="112" r:id="rId112"/>
    <sheet name="NB_2842_V.F. Corporation Common" sheetId="113" r:id="rId113"/>
    <sheet name="NB_2843_Venture Global Inc. Cla" sheetId="114" r:id="rId114"/>
    <sheet name="NB_2844_Verde Clean Fuels Inc. " sheetId="115" r:id="rId115"/>
    <sheet name="NB_2845_Verde Clean Fuels Inc. " sheetId="116" r:id="rId116"/>
    <sheet name="NB_2846_Vista Gold Corp Common " sheetId="117" r:id="rId117"/>
    <sheet name="NB_2847_Valhi Inc. Common Stock" sheetId="118" r:id="rId118"/>
    <sheet name="NB_2848_VenHub Global Inc. Comm" sheetId="119" r:id="rId119"/>
    <sheet name="NB_2849_Via Transportation Inc." sheetId="120" r:id="rId120"/>
    <sheet name="NB_2850_Viavi Solutions Inc. Co" sheetId="121" r:id="rId121"/>
    <sheet name="NB_2851_Vicor Corporation Commo" sheetId="122" r:id="rId122"/>
    <sheet name="NB_2852_Viking Holdings Ltd Ord" sheetId="123" r:id="rId123"/>
    <sheet name="NB_2853_Vir Biotechnology Inc. " sheetId="124" r:id="rId124"/>
    <sheet name="NB_2854_Virco Manufacturing Cor" sheetId="125" r:id="rId125"/>
    <sheet name="NB_2855_Vistance Networks Inc. " sheetId="126" r:id="rId126"/>
    <sheet name="NB_2856_Vital Farms Inc. Common" sheetId="127" r:id="rId127"/>
    <sheet name="NB_2857_Vivakor Inc. Common Sto" sheetId="128" r:id="rId128"/>
    <sheet name="NB_2858_VivoSim Labs Inc. Commo" sheetId="129" r:id="rId129"/>
    <sheet name="NB_2859_Viking Therapeutics Inc" sheetId="130" r:id="rId130"/>
    <sheet name="NB_2860_Village Super Market In" sheetId="131" r:id="rId131"/>
    <sheet name="NB_2861_Valero Energy Corporati" sheetId="132" r:id="rId132"/>
    <sheet name="NB_2862_Veralto Corp Common Sto" sheetId="133" r:id="rId133"/>
    <sheet name="NB_2863_Vulcan Materials Compan" sheetId="134" r:id="rId134"/>
    <sheet name="NB_2864_Viemed Healthcare Inc. " sheetId="135" r:id="rId135"/>
    <sheet name="NB_2865_Valmont Industries Inc." sheetId="136" r:id="rId136"/>
    <sheet name="NB_2866_Vince Holding Corp. Com" sheetId="137" r:id="rId137"/>
    <sheet name="NB_2867_Vanda Pharmaceuticals I" sheetId="138" r:id="rId138"/>
    <sheet name="NB_2868_Viper Energy Inc. Class" sheetId="139" r:id="rId139"/>
    <sheet name="NB_2869_Vontier Corporation Com" sheetId="140" r:id="rId140"/>
    <sheet name="NB_2870_VOC Energy Trust Units " sheetId="141" r:id="rId141"/>
    <sheet name="NB_2871_Vogenx Inc Common Stock" sheetId="142" r:id="rId142"/>
    <sheet name="NB_2872_Vor Biopharma Inc. Comm" sheetId="143" r:id="rId143"/>
    <sheet name="NB_2873_Voyager Technologies In" sheetId="144" r:id="rId144"/>
    <sheet name="NB_2874_Vishay Precision Group " sheetId="145" r:id="rId145"/>
    <sheet name="NB_2875_Vera Bradley Inc. Commo" sheetId="146" r:id="rId146"/>
    <sheet name="NB_2876_Verrica Pharmaceuticals" sheetId="147" r:id="rId147"/>
    <sheet name="NB_2877_Viridian Therapeutics I" sheetId="148" r:id="rId148"/>
    <sheet name="NB_2878_Varex Imaging Corporati" sheetId="149" r:id="rId149"/>
    <sheet name="NB_2879_Vroom Inc. Common Stock" sheetId="150" r:id="rId150"/>
    <sheet name="NB_2880_VerifyMe Inc. Common St" sheetId="151" r:id="rId151"/>
    <sheet name="NB_2881_Varonis Systems Inc. Co" sheetId="152" r:id="rId152"/>
    <sheet name="NB_2882_Verra Mobility Corporat" sheetId="153" r:id="rId153"/>
    <sheet name="NB_2883_Verisk Analytics Inc. C" sheetId="154" r:id="rId154"/>
    <sheet name="NB_2884_VeriSign Inc. Common St" sheetId="155" r:id="rId155"/>
    <sheet name="NB_2885_Vertiv Holdings LLC Cla" sheetId="156" r:id="rId156"/>
    <sheet name="NB_2886_Vertex Pharmaceuticals " sheetId="157" r:id="rId157"/>
    <sheet name="NB_2887_ViaSat Inc. Common Stoc" sheetId="158" r:id="rId158"/>
    <sheet name="NB_2888_VSE Corporation Common " sheetId="159" r:id="rId159"/>
    <sheet name="NB_2889_Vishay Intertechnology " sheetId="160" r:id="rId160"/>
    <sheet name="NB_2890_Versant Media Group Inc" sheetId="161" r:id="rId161"/>
    <sheet name="NB_2891_Vistra Corp. Common Sto" sheetId="162" r:id="rId162"/>
    <sheet name="NB_2892_Verastem Inc. Common St" sheetId="163" r:id="rId163"/>
    <sheet name="NB_2893_Vestis Corporation Comm" sheetId="164" r:id="rId164"/>
    <sheet name="NB_2894_Victorias Secret &amp; Co. " sheetId="165" r:id="rId165"/>
    <sheet name="NB_2895_Vistagen Therapeutics I" sheetId="166" r:id="rId166"/>
    <sheet name="NB_2896_Virtuix Holdings Inc. C" sheetId="167" r:id="rId167"/>
    <sheet name="NB_2897_Bristow Group Inc. Comm" sheetId="168" r:id="rId168"/>
    <sheet name="NB_2898_Viatris Inc. Common Sto" sheetId="169" r:id="rId169"/>
    <sheet name="NB_2899_Vitesse Energy Inc. Com" sheetId="170" r:id="rId170"/>
    <sheet name="NB_2900_VirTra Inc. Common Stoc" sheetId="171" r:id="rId171"/>
    <sheet name="NB_2901_vTv Therapeutics Inc. C" sheetId="172" r:id="rId172"/>
    <sheet name="NB_2902_Vuzix Corporation Commo" sheetId="173" r:id="rId173"/>
    <sheet name="NB_2903_Vivos Therapeutics Inc." sheetId="174" r:id="rId174"/>
    <sheet name="NB_2904_Valvoline Inc. Common S" sheetId="175" r:id="rId175"/>
    <sheet name="NB_2905_V2X Inc. Common Stock" sheetId="176" r:id="rId176"/>
    <sheet name="NB_2906_VisionWave Holdings Inc" sheetId="177" r:id="rId177"/>
    <sheet name="NB_2907_VisionWave Holdings Inc" sheetId="178" r:id="rId178"/>
    <sheet name="NB_2908_Voyager Therapeutics In" sheetId="179" r:id="rId179"/>
    <sheet name="NB_2909_Verizon Communications " sheetId="180" r:id="rId180"/>
    <sheet name="NB_2910_Wayfair Inc. Class A Co" sheetId="181" r:id="rId181"/>
    <sheet name="NB_2911_Westinghouse Air Brake " sheetId="182" r:id="rId182"/>
    <sheet name="NB_2912_Waldencast plc Class A " sheetId="183" r:id="rId183"/>
    <sheet name="NB_2913_Waldencast plc Warrant" sheetId="184" r:id="rId184"/>
    <sheet name="NB_2914_Waters Corporation Comm" sheetId="185" r:id="rId185"/>
    <sheet name="NB_2915_Energous Corporation Co" sheetId="186" r:id="rId186"/>
    <sheet name="NB_2916_Waystar Holding Corp. C" sheetId="187" r:id="rId187"/>
    <sheet name="NB_2917_Warner Bros. Discovery " sheetId="188" r:id="rId188"/>
    <sheet name="NB_2918_WEBTOON Entertainment I" sheetId="189" r:id="rId189"/>
    <sheet name="NB_2919_WESCO International Inc" sheetId="190" r:id="rId190"/>
    <sheet name="NB_2920_Workday Inc. Class A Co" sheetId="191" r:id="rId191"/>
    <sheet name="NB_2921_Western Digital Corpora" sheetId="192" r:id="rId192"/>
    <sheet name="NB_2922_WD-40 Company Common St" sheetId="193" r:id="rId193"/>
    <sheet name="NB_2923_Weave Communications In" sheetId="194" r:id="rId194"/>
    <sheet name="NB_2924_WEC Energy Group Inc. C" sheetId="195" r:id="rId195"/>
    <sheet name="NB_2925_Wendy's Company (The) C" sheetId="196" r:id="rId196"/>
    <sheet name="NB_2926_Werner Enterprises Inc." sheetId="197" r:id="rId197"/>
    <sheet name="NB_2927_Western Midstream Partn" sheetId="198" r:id="rId198"/>
    <sheet name="NB_2928_Westrock Coffee Company" sheetId="199" r:id="rId199"/>
    <sheet name="NB_2929_WEX Inc. common stock" sheetId="200" r:id="rId200"/>
    <sheet name="NB_2930_Weyco Group Inc. Common" sheetId="201" r:id="rId201"/>
    <sheet name="NB_2931_Where Food Comes From I" sheetId="202" r:id="rId202"/>
    <sheet name="NB_2932_Weatherford Internation" sheetId="203" r:id="rId203"/>
    <sheet name="NB_2933_Winnebago Industries In" sheetId="204" r:id="rId204"/>
    <sheet name="NB_2934_GeneDx Holdings Corp. C" sheetId="205" r:id="rId205"/>
    <sheet name="NB_2935_Wyndham Hotels &amp; Resort" sheetId="206" r:id="rId206"/>
    <sheet name="NB_2936_Cactus Inc. Class A Com" sheetId="207" r:id="rId207"/>
    <sheet name="NB_2937_Whirlpool Corporation C" sheetId="208" r:id="rId208"/>
    <sheet name="NB_2938_Whitehawk Therapeutics " sheetId="209" r:id="rId209"/>
    <sheet name="NB_2939_Winmark Corporation Com" sheetId="210" r:id="rId210"/>
    <sheet name="NB_2940_Wingstop Inc. Common St" sheetId="211" r:id="rId211"/>
    <sheet name="NB_2941_Workiva Inc. Class A Co" sheetId="212" r:id="rId212"/>
    <sheet name="NB_2942_World Kinect Corporatio" sheetId="213" r:id="rId213"/>
    <sheet name="NB_2943_Workhorse Group Inc. Co" sheetId="214" r:id="rId214"/>
    <sheet name="NB_2944_Willdan Group Inc. Comm" sheetId="215" r:id="rId215"/>
    <sheet name="NB_2945_Willis Lease Finance Co" sheetId="216" r:id="rId216"/>
    <sheet name="NB_2946_Westlake Corporation Co" sheetId="217" r:id="rId217"/>
    <sheet name="NB_2947_Westlake Chemical Partn" sheetId="218" r:id="rId218"/>
    <sheet name="NB_2948_John Wiley &amp; Sons Inc. " sheetId="219" r:id="rId219"/>
    <sheet name="NB_2949_John Wiley &amp; Sons Inc. " sheetId="220" r:id="rId220"/>
    <sheet name="NB_2950_Waste Management Inc. C" sheetId="221" r:id="rId221"/>
    <sheet name="NB_2951_Williams Companies Inc." sheetId="222" r:id="rId222"/>
    <sheet name="NB_2952_Warner Music Group Corp" sheetId="223" r:id="rId223"/>
    <sheet name="NB_2953_Weis Markets Inc. Commo" sheetId="224" r:id="rId224"/>
    <sheet name="NB_2954_Advanced Drainage Syste" sheetId="225" r:id="rId225"/>
    <sheet name="NB_2955_Walmart Inc. Common Sto" sheetId="226" r:id="rId226"/>
    <sheet name="NB_2956_Wabash National Corpora" sheetId="227" r:id="rId227"/>
    <sheet name="NB_2957_Wolfspeed Inc. Common S" sheetId="228" r:id="rId228"/>
    <sheet name="NB_2958_Petco Health and Wellne" sheetId="229" r:id="rId229"/>
    <sheet name="NB_2959_Worthington Enterprises" sheetId="230" r:id="rId230"/>
    <sheet name="NB_2960_Wrap Technologies Inc. " sheetId="231" r:id="rId231"/>
    <sheet name="NB_2961_Warby Parker Inc. Class" sheetId="232" r:id="rId232"/>
    <sheet name="NB_2962_Worthington Steel Inc. " sheetId="233" r:id="rId233"/>
    <sheet name="NB_2963_WillScot Holdings Corpo" sheetId="234" r:id="rId234"/>
    <sheet name="NB_2964_Williams-Sonoma Inc. Co" sheetId="235" r:id="rId235"/>
    <sheet name="NB_2965_Watsco Inc. Common Stoc" sheetId="236" r:id="rId236"/>
    <sheet name="NB_2966_West Pharmaceutical Ser" sheetId="237" r:id="rId237"/>
    <sheet name="NB_2967_W&amp;T Offshore Inc. Commo" sheetId="238" r:id="rId238"/>
    <sheet name="NB_2968_Essential Utilities Inc" sheetId="239" r:id="rId239"/>
    <sheet name="NB_2969_Watts Water Technologie" sheetId="240" r:id="rId240"/>
    <sheet name="NB_2970_Select Water Solutions " sheetId="241" r:id="rId241"/>
    <sheet name="NB_2971_Western Union Company (" sheetId="242" r:id="rId242"/>
    <sheet name="NB_2972_Willamette Valley Viney" sheetId="243" r:id="rId243"/>
    <sheet name="NB_2973_Willamette Valley Viney" sheetId="244" r:id="rId244"/>
    <sheet name="NB_2974_WW International Inc.  " sheetId="245" r:id="rId245"/>
    <sheet name="NB_2975_Woodward Inc. Common St" sheetId="246" r:id="rId246"/>
    <sheet name="NB_2976_Westwater Resources Inc" sheetId="247" r:id="rId247"/>
    <sheet name="NB_2977_Wolverine World Wide In" sheetId="248" r:id="rId248"/>
    <sheet name="NB_2978_Wynn Resorts Limited Co" sheetId="249" r:id="rId249"/>
    <sheet name="NB_2979_WidePoint Corporation C" sheetId="250" r:id="rId250"/>
    <sheet name="NB_2980_Beyond Air Inc. Common 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<sst xmlns="http://schemas.openxmlformats.org/spreadsheetml/2006/main" count="15763" uniqueCount="1165">
  <si>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</si>
  <si>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</si>
  <si>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</si>
  <si>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</si>
  <si>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</si>
  <si>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</si>
  <si>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</si>
  <si>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</si>
  <si>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</si>
  <si>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</si>
  <si>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</si>
  <si>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</si>
  <si>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</si>
  <si>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NB_2731</t>
  </si>
  <si>
    <t>nonbankrupt</t>
  </si>
  <si>
    <t/>
  </si>
  <si>
    <t>TSSI</t>
  </si>
  <si>
    <t>TSS Inc. Common Stock</t>
  </si>
  <si>
    <t>Consumer Discretionary</t>
  </si>
  <si>
    <t>Professional Services</t>
  </si>
  <si>
    <t>TSSI US Equity</t>
  </si>
  <si>
    <t>1993-06-18</t>
  </si>
  <si>
    <t>2026-05-02</t>
  </si>
  <si>
    <t>NB_2732</t>
  </si>
  <si>
    <t>TTAM</t>
  </si>
  <si>
    <t>Titan America SA Common Shares</t>
  </si>
  <si>
    <t>Industrials</t>
  </si>
  <si>
    <t>Mining &amp; Quarrying of Nonmetallic Minerals (No Fuels)</t>
  </si>
  <si>
    <t>TTAM US Equity</t>
  </si>
  <si>
    <t>NB_2733</t>
  </si>
  <si>
    <t>TTAN</t>
  </si>
  <si>
    <t>ServiceTitan Inc. Class A Common Stock</t>
  </si>
  <si>
    <t>Technology</t>
  </si>
  <si>
    <t>Computer Software: Prepackaged Software</t>
  </si>
  <si>
    <t>TTAN US Equity</t>
  </si>
  <si>
    <t>NB_2734</t>
  </si>
  <si>
    <t>TTC</t>
  </si>
  <si>
    <t>Toro Company (The) Common Stock</t>
  </si>
  <si>
    <t>Tools/Hardware</t>
  </si>
  <si>
    <t>TTC US Equity</t>
  </si>
  <si>
    <t>NB_2735</t>
  </si>
  <si>
    <t>TTD</t>
  </si>
  <si>
    <t>The Trade Desk Inc. Class A Common Stock</t>
  </si>
  <si>
    <t>Computer Software: Programming Data Processing</t>
  </si>
  <si>
    <t>TTD US Equity</t>
  </si>
  <si>
    <t>NB_2736</t>
  </si>
  <si>
    <t>TTEC</t>
  </si>
  <si>
    <t>TTEC Holdings Inc. Common Stock</t>
  </si>
  <si>
    <t>TTEC US Equity</t>
  </si>
  <si>
    <t>NB_2737</t>
  </si>
  <si>
    <t>TTEK</t>
  </si>
  <si>
    <t>Tetra Tech Inc. Common Stock</t>
  </si>
  <si>
    <t>Military/Government/Technical</t>
  </si>
  <si>
    <t>TTEK US Equity</t>
  </si>
  <si>
    <t>NB_2738</t>
  </si>
  <si>
    <t>TTGT</t>
  </si>
  <si>
    <t>TechTarget Inc. Common Stock</t>
  </si>
  <si>
    <t>Telecommunications</t>
  </si>
  <si>
    <t>Telecommunications Equipment</t>
  </si>
  <si>
    <t>TTGT US Equity</t>
  </si>
  <si>
    <t>NB_2739</t>
  </si>
  <si>
    <t>TTI</t>
  </si>
  <si>
    <t>Tetra Technologies Inc. Common Stock</t>
  </si>
  <si>
    <t>Energy</t>
  </si>
  <si>
    <t>Oil &amp; Gas Production</t>
  </si>
  <si>
    <t>TTI US Equity</t>
  </si>
  <si>
    <t>NB_2740</t>
  </si>
  <si>
    <t>TTMI</t>
  </si>
  <si>
    <t>TTM Technologies Inc. Common Stock</t>
  </si>
  <si>
    <t>Electrical Products</t>
  </si>
  <si>
    <t>TTMI US Equity</t>
  </si>
  <si>
    <t>NB_2741</t>
  </si>
  <si>
    <t>TTRX</t>
  </si>
  <si>
    <t>Turn Therapeutics Inc. Common Stock</t>
  </si>
  <si>
    <t>Health Care</t>
  </si>
  <si>
    <t>Biotechnology: Pharmaceutical Preparations</t>
  </si>
  <si>
    <t>TTRX US Equity</t>
  </si>
  <si>
    <t>NB_2742</t>
  </si>
  <si>
    <t>TTWO</t>
  </si>
  <si>
    <t>Take-Two Interactive Software Inc. Common Stock</t>
  </si>
  <si>
    <t>TTWO US Equity</t>
  </si>
  <si>
    <t>NB_2743</t>
  </si>
  <si>
    <t>TULP</t>
  </si>
  <si>
    <t>Bloomia Holdings Inc. Common Stock</t>
  </si>
  <si>
    <t>Consumer Staples</t>
  </si>
  <si>
    <t>Farming/Seeds/Milling</t>
  </si>
  <si>
    <t>TULP US Equity</t>
  </si>
  <si>
    <t>NB_2744</t>
  </si>
  <si>
    <t>TUSK</t>
  </si>
  <si>
    <t>Mammoth Energy Services Inc. Common Stock</t>
  </si>
  <si>
    <t>Oilfield Services/Equipment</t>
  </si>
  <si>
    <t>TUSK US Equity</t>
  </si>
  <si>
    <t>NB_2745</t>
  </si>
  <si>
    <t>TVC</t>
  </si>
  <si>
    <t>Tennessee Valley Authority Common Stock</t>
  </si>
  <si>
    <t>Utilities</t>
  </si>
  <si>
    <t>Electric Utilities: Central</t>
  </si>
  <si>
    <t>TVC US Equity</t>
  </si>
  <si>
    <t>NB_2746</t>
  </si>
  <si>
    <t>TVE</t>
  </si>
  <si>
    <t>Tennessee Valley Authority</t>
  </si>
  <si>
    <t>TVE US Equity</t>
  </si>
  <si>
    <t>NB_2747</t>
  </si>
  <si>
    <t>TVGN</t>
  </si>
  <si>
    <t>Tevogen Inc. Common Stock</t>
  </si>
  <si>
    <t>Biotechnology: Biological Products (No Diagnostic Substances)</t>
  </si>
  <si>
    <t>TVGN US Equity</t>
  </si>
  <si>
    <t>NB_2748</t>
  </si>
  <si>
    <t>TVGNW</t>
  </si>
  <si>
    <t>Tevogen Inc. Warrant</t>
  </si>
  <si>
    <t>TVGNW US Equity</t>
  </si>
  <si>
    <t>NB_2749</t>
  </si>
  <si>
    <t>TVRD</t>
  </si>
  <si>
    <t>Tvardi Therapeutics Inc. Common Stock</t>
  </si>
  <si>
    <t>TVRD US Equity</t>
  </si>
  <si>
    <t>NB_2750</t>
  </si>
  <si>
    <t>TVTX</t>
  </si>
  <si>
    <t>Travere Therapeutics Inc. Common Stock</t>
  </si>
  <si>
    <t>TVTX US Equity</t>
  </si>
  <si>
    <t>NB_2751</t>
  </si>
  <si>
    <t>TWAV</t>
  </si>
  <si>
    <t>TaoWeave Inc. Common Stock</t>
  </si>
  <si>
    <t>TWAV US Equity</t>
  </si>
  <si>
    <t>NB_2752</t>
  </si>
  <si>
    <t>TWI</t>
  </si>
  <si>
    <t>Titan International Inc. (DE) Common Stock</t>
  </si>
  <si>
    <t>Steel/Iron Ore</t>
  </si>
  <si>
    <t>TWI US Equity</t>
  </si>
  <si>
    <t>NB_2753</t>
  </si>
  <si>
    <t>TWIN</t>
  </si>
  <si>
    <t>Twin Disc Incorporated Common Stock</t>
  </si>
  <si>
    <t>Industrial Machinery/Components</t>
  </si>
  <si>
    <t>TWIN US Equity</t>
  </si>
  <si>
    <t>NB_2754</t>
  </si>
  <si>
    <t>TWLO</t>
  </si>
  <si>
    <t>Twilio Inc. Class A Common Stock</t>
  </si>
  <si>
    <t>TWLO US Equity</t>
  </si>
  <si>
    <t>NB_2755</t>
  </si>
  <si>
    <t>TWST</t>
  </si>
  <si>
    <t>Twist Bioscience Corporation Common Stock</t>
  </si>
  <si>
    <t>TWST US Equity</t>
  </si>
  <si>
    <t>NB_2756</t>
  </si>
  <si>
    <t>TXG</t>
  </si>
  <si>
    <t>10x Genomics Inc. Class A Common Stock</t>
  </si>
  <si>
    <t>Biotechnology: Laboratory Analytical Instruments</t>
  </si>
  <si>
    <t>TXG US Equity</t>
  </si>
  <si>
    <t>NB_2757</t>
  </si>
  <si>
    <t>TXMD</t>
  </si>
  <si>
    <t>TherapeuticsMD Inc. Common Stock</t>
  </si>
  <si>
    <t>TXMD US Equity</t>
  </si>
  <si>
    <t>NB_2758</t>
  </si>
  <si>
    <t>TXN</t>
  </si>
  <si>
    <t>Texas Instruments Incorporated Common Stock</t>
  </si>
  <si>
    <t>Semiconductors</t>
  </si>
  <si>
    <t>TXN US Equity</t>
  </si>
  <si>
    <t>NB_2759</t>
  </si>
  <si>
    <t>TXNM</t>
  </si>
  <si>
    <t>TXNM Energy Inc. Common Stock</t>
  </si>
  <si>
    <t>TXNM US Equity</t>
  </si>
  <si>
    <t>NB_2760</t>
  </si>
  <si>
    <t>TXO</t>
  </si>
  <si>
    <t>TXO Partners L.P. Common Units Representing Limited Partner Interests</t>
  </si>
  <si>
    <t>TXO US Equity</t>
  </si>
  <si>
    <t>NB_2761</t>
  </si>
  <si>
    <t>TXRH</t>
  </si>
  <si>
    <t>Texas Roadhouse Inc. Common Stock</t>
  </si>
  <si>
    <t>Restaurants</t>
  </si>
  <si>
    <t>TXRH US Equity</t>
  </si>
  <si>
    <t>NB_2762</t>
  </si>
  <si>
    <t>TXT</t>
  </si>
  <si>
    <t>Textron Inc. Common Stock</t>
  </si>
  <si>
    <t>Aerospace</t>
  </si>
  <si>
    <t>TXT US Equity</t>
  </si>
  <si>
    <t>NB_2763</t>
  </si>
  <si>
    <t>TYGO</t>
  </si>
  <si>
    <t>Tigo Energy Inc. Common Stock</t>
  </si>
  <si>
    <t>TYGO US Equity</t>
  </si>
  <si>
    <t>NB_2764</t>
  </si>
  <si>
    <t>TYL</t>
  </si>
  <si>
    <t>Tyler Technologies Inc. Common Stock</t>
  </si>
  <si>
    <t>TYL US Equity</t>
  </si>
  <si>
    <t>NB_2765</t>
  </si>
  <si>
    <t>TYRA</t>
  </si>
  <si>
    <t>Tyra Biosciences Inc. Common Stock</t>
  </si>
  <si>
    <t>TYRA US Equity</t>
  </si>
  <si>
    <t>NB_2766</t>
  </si>
  <si>
    <t>TZOO</t>
  </si>
  <si>
    <t>Travelzoo Common Stock</t>
  </si>
  <si>
    <t>Advertising</t>
  </si>
  <si>
    <t>TZOO US Equity</t>
  </si>
  <si>
    <t>NB_2767</t>
  </si>
  <si>
    <t>U</t>
  </si>
  <si>
    <t>Unity Software Inc. Common Stock</t>
  </si>
  <si>
    <t>U US Equity</t>
  </si>
  <si>
    <t>NB_2768</t>
  </si>
  <si>
    <t>UA</t>
  </si>
  <si>
    <t>Under Armour Inc. Class C Common Stock</t>
  </si>
  <si>
    <t>Apparel</t>
  </si>
  <si>
    <t>UA US Equity</t>
  </si>
  <si>
    <t>NB_2769</t>
  </si>
  <si>
    <t>UAA</t>
  </si>
  <si>
    <t>Under Armour Inc. Class A Common Stock</t>
  </si>
  <si>
    <t>UAA US Equity</t>
  </si>
  <si>
    <t>NB_2770</t>
  </si>
  <si>
    <t>UAL</t>
  </si>
  <si>
    <t>United Airlines Holdings Inc. Common Stock</t>
  </si>
  <si>
    <t>Air Freight/Delivery Services</t>
  </si>
  <si>
    <t>UAL US Equity</t>
  </si>
  <si>
    <t>NB_2771</t>
  </si>
  <si>
    <t>UAMY</t>
  </si>
  <si>
    <t>United States Antimony Corporation Common Stock</t>
  </si>
  <si>
    <t>Metal Fabrications</t>
  </si>
  <si>
    <t>UAMY US Equity</t>
  </si>
  <si>
    <t>NB_2772</t>
  </si>
  <si>
    <t>UAN</t>
  </si>
  <si>
    <t>CVR Partners LP Common Units representing Limited Partner Interests</t>
  </si>
  <si>
    <t>Agricultural Chemicals</t>
  </si>
  <si>
    <t>UAN US Equity</t>
  </si>
  <si>
    <t>NB_2773</t>
  </si>
  <si>
    <t>UAVS</t>
  </si>
  <si>
    <t>AgEagle Aerial Systems Inc. Common Stock</t>
  </si>
  <si>
    <t>UAVS US Equity</t>
  </si>
  <si>
    <t>NB_2774</t>
  </si>
  <si>
    <t>UBER</t>
  </si>
  <si>
    <t>Uber Technologies Inc. Common Stock</t>
  </si>
  <si>
    <t>Business Services</t>
  </si>
  <si>
    <t>UBER US Equity</t>
  </si>
  <si>
    <t>NB_2775</t>
  </si>
  <si>
    <t>UCTT</t>
  </si>
  <si>
    <t>Ultra Clean Holdings Inc. Common Stock</t>
  </si>
  <si>
    <t>UCTT US Equity</t>
  </si>
  <si>
    <t>NB_2776</t>
  </si>
  <si>
    <t>UEIC</t>
  </si>
  <si>
    <t>Universal Electronics Inc. Common Stock</t>
  </si>
  <si>
    <t>Consumer Electronics/Appliances</t>
  </si>
  <si>
    <t>UEIC US Equity</t>
  </si>
  <si>
    <t>NB_2777</t>
  </si>
  <si>
    <t>UFI</t>
  </si>
  <si>
    <t>Unifi Inc. New Common Stock</t>
  </si>
  <si>
    <t>Textiles</t>
  </si>
  <si>
    <t>UFI US Equity</t>
  </si>
  <si>
    <t>NB_2778</t>
  </si>
  <si>
    <t>UFPI</t>
  </si>
  <si>
    <t>UFP Industries Inc. Common Stock</t>
  </si>
  <si>
    <t>Basic Materials</t>
  </si>
  <si>
    <t>Forest Products</t>
  </si>
  <si>
    <t>UFPI US Equity</t>
  </si>
  <si>
    <t>NB_2779</t>
  </si>
  <si>
    <t>UFPT</t>
  </si>
  <si>
    <t>UFP Technologies Inc. Common Stock</t>
  </si>
  <si>
    <t>Medical/Dental Instruments</t>
  </si>
  <si>
    <t>UFPT US Equity</t>
  </si>
  <si>
    <t>NB_2780</t>
  </si>
  <si>
    <t>UG</t>
  </si>
  <si>
    <t>United-Guardian Inc. Common Stock</t>
  </si>
  <si>
    <t>Package Goods/Cosmetics</t>
  </si>
  <si>
    <t>UG US Equity</t>
  </si>
  <si>
    <t>NB_2781</t>
  </si>
  <si>
    <t>UGI</t>
  </si>
  <si>
    <t>UGI Corporation Common Stock</t>
  </si>
  <si>
    <t>Natural Gas Distribution</t>
  </si>
  <si>
    <t>UGI US Equity</t>
  </si>
  <si>
    <t>NB_2782</t>
  </si>
  <si>
    <t>UHAL</t>
  </si>
  <si>
    <t>U-Haul Holding Company Common Stock</t>
  </si>
  <si>
    <t>Rental/Leasing Companies</t>
  </si>
  <si>
    <t>UHAL US Equity</t>
  </si>
  <si>
    <t>NB_2783</t>
  </si>
  <si>
    <t>UHS</t>
  </si>
  <si>
    <t>Universal Health Services Inc. Common Stock</t>
  </si>
  <si>
    <t>Hospital/Nursing Management</t>
  </si>
  <si>
    <t>UHS US Equity</t>
  </si>
  <si>
    <t>NB_2784</t>
  </si>
  <si>
    <t>UI</t>
  </si>
  <si>
    <t>Ubiquiti Inc. Common Stock</t>
  </si>
  <si>
    <t>Radio And Television Broadcasting And Communications Equipment</t>
  </si>
  <si>
    <t>UI US Equity</t>
  </si>
  <si>
    <t>NB_2785</t>
  </si>
  <si>
    <t>UIS</t>
  </si>
  <si>
    <t>Unisys Corporation New Common Stock</t>
  </si>
  <si>
    <t>EDP Services</t>
  </si>
  <si>
    <t>UIS US Equity</t>
  </si>
  <si>
    <t>NB_2786</t>
  </si>
  <si>
    <t>UK</t>
  </si>
  <si>
    <t>Ucommune International Ltd Class A Ordinary Shares</t>
  </si>
  <si>
    <t>UK US Equity</t>
  </si>
  <si>
    <t>NB_2787</t>
  </si>
  <si>
    <t>ULCC</t>
  </si>
  <si>
    <t>Frontier Group Holdings Inc. Common Stock</t>
  </si>
  <si>
    <t>ULCC US Equity</t>
  </si>
  <si>
    <t>NB_2788</t>
  </si>
  <si>
    <t>ULH</t>
  </si>
  <si>
    <t>Universal Logistics Holdings Inc. Common Stock</t>
  </si>
  <si>
    <t>Trucking Freight/Courier Services</t>
  </si>
  <si>
    <t>ULH US Equity</t>
  </si>
  <si>
    <t>NB_2789</t>
  </si>
  <si>
    <t>ULS</t>
  </si>
  <si>
    <t>UL Solutions Inc. Class A Common Stock</t>
  </si>
  <si>
    <t>Precision Instruments</t>
  </si>
  <si>
    <t>ULS US Equity</t>
  </si>
  <si>
    <t>NB_2790</t>
  </si>
  <si>
    <t>ULTA</t>
  </si>
  <si>
    <t>Ulta Beauty Inc. Common Stock</t>
  </si>
  <si>
    <t>Other Specialty Stores</t>
  </si>
  <si>
    <t>ULTA US Equity</t>
  </si>
  <si>
    <t>NB_2791</t>
  </si>
  <si>
    <t>UMAC</t>
  </si>
  <si>
    <t>Unusual Machines Inc. Common Stock</t>
  </si>
  <si>
    <t>UMAC US Equity</t>
  </si>
  <si>
    <t>NB_2792</t>
  </si>
  <si>
    <t>UNCY</t>
  </si>
  <si>
    <t>Unicycive Therapeutics Inc. Common Stock</t>
  </si>
  <si>
    <t>UNCY US Equity</t>
  </si>
  <si>
    <t>NB_2793</t>
  </si>
  <si>
    <t>UNF</t>
  </si>
  <si>
    <t>Unifirst Corporation Common Stock</t>
  </si>
  <si>
    <t>Other Consumer Services</t>
  </si>
  <si>
    <t>UNF US Equity</t>
  </si>
  <si>
    <t>NB_2794</t>
  </si>
  <si>
    <t>UNFI</t>
  </si>
  <si>
    <t>United Natural Foods Inc. Common Stock</t>
  </si>
  <si>
    <t>Food Distributors</t>
  </si>
  <si>
    <t>UNFI US Equity</t>
  </si>
  <si>
    <t>NB_2795</t>
  </si>
  <si>
    <t>UNH</t>
  </si>
  <si>
    <t>UnitedHealth Group Incorporated Common Stock (DE)</t>
  </si>
  <si>
    <t>Medical Specialities</t>
  </si>
  <si>
    <t>UNH US Equity</t>
  </si>
  <si>
    <t>NB_2796</t>
  </si>
  <si>
    <t>UNP</t>
  </si>
  <si>
    <t>Union Pacific Corporation Common Stock</t>
  </si>
  <si>
    <t>Railroads</t>
  </si>
  <si>
    <t>UNP US Equity</t>
  </si>
  <si>
    <t>NB_2797</t>
  </si>
  <si>
    <t>UONE</t>
  </si>
  <si>
    <t>Urban One Inc. Class A Common Stock</t>
  </si>
  <si>
    <t>Broadcasting</t>
  </si>
  <si>
    <t>UONE US Equity</t>
  </si>
  <si>
    <t>NB_2798</t>
  </si>
  <si>
    <t>UONEK</t>
  </si>
  <si>
    <t>Urban One Inc. Class D Common Stock</t>
  </si>
  <si>
    <t>UONEK US Equity</t>
  </si>
  <si>
    <t>NB_2799</t>
  </si>
  <si>
    <t>UPB</t>
  </si>
  <si>
    <t>Upstream Bio Inc. Common Stock</t>
  </si>
  <si>
    <t>UPB US Equity</t>
  </si>
  <si>
    <t>NB_2800</t>
  </si>
  <si>
    <t>UPBD</t>
  </si>
  <si>
    <t>Upbound Group Inc. Common Stock</t>
  </si>
  <si>
    <t>Diversified Commercial Services</t>
  </si>
  <si>
    <t>UPBD US Equity</t>
  </si>
  <si>
    <t>NB_2801</t>
  </si>
  <si>
    <t>UPLD</t>
  </si>
  <si>
    <t>Upland Software Inc. Common Stock</t>
  </si>
  <si>
    <t>UPLD US Equity</t>
  </si>
  <si>
    <t>NB_2802</t>
  </si>
  <si>
    <t>UPS</t>
  </si>
  <si>
    <t>United Parcel Service Inc. Common Stock</t>
  </si>
  <si>
    <t>UPS US Equity</t>
  </si>
  <si>
    <t>NB_2803</t>
  </si>
  <si>
    <t>UPWK</t>
  </si>
  <si>
    <t>Upwork Inc. Common Stock</t>
  </si>
  <si>
    <t>UPWK US Equity</t>
  </si>
  <si>
    <t>NB_2804</t>
  </si>
  <si>
    <t>URBN</t>
  </si>
  <si>
    <t>Urban Outfitters Inc. Common Stock</t>
  </si>
  <si>
    <t>Clothing/Shoe/Accessory Stores</t>
  </si>
  <si>
    <t>URBN US Equity</t>
  </si>
  <si>
    <t>NB_2805</t>
  </si>
  <si>
    <t>URI</t>
  </si>
  <si>
    <t>United Rentals Inc. Common Stock</t>
  </si>
  <si>
    <t>URI US Equity</t>
  </si>
  <si>
    <t>NB_2806</t>
  </si>
  <si>
    <t>USAC</t>
  </si>
  <si>
    <t>USA Compression Partners LP Common Units Representing Limited Partner Interests</t>
  </si>
  <si>
    <t>USAC US Equity</t>
  </si>
  <si>
    <t>NB_2807</t>
  </si>
  <si>
    <t>USAR</t>
  </si>
  <si>
    <t>USA Rare Earth Inc. Class A Common Stock</t>
  </si>
  <si>
    <t>Metal Mining</t>
  </si>
  <si>
    <t>USAR US Equity</t>
  </si>
  <si>
    <t>NB_2808</t>
  </si>
  <si>
    <t>USAU</t>
  </si>
  <si>
    <t>U.S. Gold Corp. Common Stock</t>
  </si>
  <si>
    <t>USAU US Equity</t>
  </si>
  <si>
    <t>NB_2809</t>
  </si>
  <si>
    <t>USFD</t>
  </si>
  <si>
    <t>US Foods Holding Corp. Common Stock</t>
  </si>
  <si>
    <t>USFD US Equity</t>
  </si>
  <si>
    <t>NB_2810</t>
  </si>
  <si>
    <t>USGO</t>
  </si>
  <si>
    <t>U.S. GoldMining Inc. Common stock</t>
  </si>
  <si>
    <t>Precious Metals</t>
  </si>
  <si>
    <t>USGO US Equity</t>
  </si>
  <si>
    <t>NB_2811</t>
  </si>
  <si>
    <t>USLM</t>
  </si>
  <si>
    <t>United States Lime &amp; Minerals Inc. Common Stock</t>
  </si>
  <si>
    <t>USLM US Equity</t>
  </si>
  <si>
    <t>NB_2812</t>
  </si>
  <si>
    <t>USNA</t>
  </si>
  <si>
    <t>USANA Health Sciences Inc. Common Stock</t>
  </si>
  <si>
    <t>Medicinal Chemicals and Botanical Products</t>
  </si>
  <si>
    <t>USNA US Equity</t>
  </si>
  <si>
    <t>NB_2813</t>
  </si>
  <si>
    <t>USPH</t>
  </si>
  <si>
    <t>U.S. Physical Therapy Inc. Common Stock</t>
  </si>
  <si>
    <t>Medical/Nursing Services</t>
  </si>
  <si>
    <t>USPH US Equity</t>
  </si>
  <si>
    <t>NB_2814</t>
  </si>
  <si>
    <t>UTHR</t>
  </si>
  <si>
    <t>United Therapeutics Corporation Common Stock</t>
  </si>
  <si>
    <t>UTHR US Equity</t>
  </si>
  <si>
    <t>NB_2815</t>
  </si>
  <si>
    <t>UTL</t>
  </si>
  <si>
    <t>UNITIL Corporation Common Stock</t>
  </si>
  <si>
    <t>Power Generation</t>
  </si>
  <si>
    <t>UTL US Equity</t>
  </si>
  <si>
    <t>NB_2816</t>
  </si>
  <si>
    <t>UTMD</t>
  </si>
  <si>
    <t>Utah Medical Products Inc. Common Stock</t>
  </si>
  <si>
    <t>UTMD US Equity</t>
  </si>
  <si>
    <t>NB_2817</t>
  </si>
  <si>
    <t>UTZ</t>
  </si>
  <si>
    <t>Utz Brands Inc Class A Common Stock</t>
  </si>
  <si>
    <t>Packaged Foods</t>
  </si>
  <si>
    <t>UTZ US Equity</t>
  </si>
  <si>
    <t>NB_2818</t>
  </si>
  <si>
    <t>UUU</t>
  </si>
  <si>
    <t>Universal Safety Products Inc. Common Stock</t>
  </si>
  <si>
    <t>Electronic Components</t>
  </si>
  <si>
    <t>UUU US Equity</t>
  </si>
  <si>
    <t>NB_2819</t>
  </si>
  <si>
    <t>UVV</t>
  </si>
  <si>
    <t>Universal Corporation Common Stock</t>
  </si>
  <si>
    <t>UVV US Equity</t>
  </si>
  <si>
    <t>NB_2820</t>
  </si>
  <si>
    <t>UZD</t>
  </si>
  <si>
    <t>Array Digital Infrastructure Inc. 6.250% Senior Notes due 2069</t>
  </si>
  <si>
    <t>UZD US Equity</t>
  </si>
  <si>
    <t>NB_2821</t>
  </si>
  <si>
    <t>UZE</t>
  </si>
  <si>
    <t>Array Digital Infrastructure Inc. 5.500% Senior Notes due 2070</t>
  </si>
  <si>
    <t>UZE US Equity</t>
  </si>
  <si>
    <t>NB_2822</t>
  </si>
  <si>
    <t>UZF</t>
  </si>
  <si>
    <t>UZF US Equity</t>
  </si>
  <si>
    <t>NB_2823</t>
  </si>
  <si>
    <t>V</t>
  </si>
  <si>
    <t>Visa Inc.</t>
  </si>
  <si>
    <t>V US Equity</t>
  </si>
  <si>
    <t>NB_2824</t>
  </si>
  <si>
    <t>VAL</t>
  </si>
  <si>
    <t>Valaris Limited Common Shares</t>
  </si>
  <si>
    <t>VAL US Equity</t>
  </si>
  <si>
    <t>NB_2825</t>
  </si>
  <si>
    <t>VANI</t>
  </si>
  <si>
    <t>Vivani Medical Inc. Common Stock (DE)</t>
  </si>
  <si>
    <t>Biotechnology: Electromedical &amp; Electrotherapeutic Apparatus</t>
  </si>
  <si>
    <t>VANI US Equity</t>
  </si>
  <si>
    <t>NB_2826</t>
  </si>
  <si>
    <t>VATE</t>
  </si>
  <si>
    <t>INNOVATE Corp. Common Stock</t>
  </si>
  <si>
    <t>VATE US Equity</t>
  </si>
  <si>
    <t>NB_2827</t>
  </si>
  <si>
    <t>VBIO</t>
  </si>
  <si>
    <t>Valion Bio Inc. Common Stock</t>
  </si>
  <si>
    <t>VBIO US Equity</t>
  </si>
  <si>
    <t>NB_2828</t>
  </si>
  <si>
    <t>VC</t>
  </si>
  <si>
    <t>Visteon Corporation Common Stock</t>
  </si>
  <si>
    <t>Auto Parts:O.E.M.</t>
  </si>
  <si>
    <t>VC US Equity</t>
  </si>
  <si>
    <t>NB_2829</t>
  </si>
  <si>
    <t>VCEL</t>
  </si>
  <si>
    <t>Vericel Corporation Common Stock</t>
  </si>
  <si>
    <t>VCEL US Equity</t>
  </si>
  <si>
    <t>NB_2830</t>
  </si>
  <si>
    <t>VCYT</t>
  </si>
  <si>
    <t>Veracyte Inc. Common Stock</t>
  </si>
  <si>
    <t>VCYT US Equity</t>
  </si>
  <si>
    <t>NB_2831</t>
  </si>
  <si>
    <t>VECO</t>
  </si>
  <si>
    <t>Veeco Instruments Inc. Common Stock</t>
  </si>
  <si>
    <t>VECO US Equity</t>
  </si>
  <si>
    <t>NB_2832</t>
  </si>
  <si>
    <t>VEEA</t>
  </si>
  <si>
    <t>Veea Inc. Common Stock</t>
  </si>
  <si>
    <t>VEEA US Equity</t>
  </si>
  <si>
    <t>NB_2833</t>
  </si>
  <si>
    <t>VEEAW</t>
  </si>
  <si>
    <t>Veea Inc. Warrant</t>
  </si>
  <si>
    <t>VEEAW US Equity</t>
  </si>
  <si>
    <t>NB_2834</t>
  </si>
  <si>
    <t>VEEE</t>
  </si>
  <si>
    <t>Twin Vee PowerCats Co. Common Stock</t>
  </si>
  <si>
    <t>Marine Transportation</t>
  </si>
  <si>
    <t>VEEE US Equity</t>
  </si>
  <si>
    <t>NB_2835</t>
  </si>
  <si>
    <t>VEEV</t>
  </si>
  <si>
    <t>Veeva Systems Inc. Class A Common Stock</t>
  </si>
  <si>
    <t>VEEV US Equity</t>
  </si>
  <si>
    <t>NB_2836</t>
  </si>
  <si>
    <t>VELO</t>
  </si>
  <si>
    <t>Velo3D Inc. Common stock</t>
  </si>
  <si>
    <t>VELO US Equity</t>
  </si>
  <si>
    <t>NB_2837</t>
  </si>
  <si>
    <t>VENU</t>
  </si>
  <si>
    <t>Venu Holding Corporation Common Stock</t>
  </si>
  <si>
    <t>Services-Misc. Amusement &amp; Recreation</t>
  </si>
  <si>
    <t>VENU US Equity</t>
  </si>
  <si>
    <t>NB_2838</t>
  </si>
  <si>
    <t>VERA</t>
  </si>
  <si>
    <t>Vera Therapeutics Inc. Class A Common Stock</t>
  </si>
  <si>
    <t>VERA US Equity</t>
  </si>
  <si>
    <t>NB_2839</t>
  </si>
  <si>
    <t>VERI</t>
  </si>
  <si>
    <t>Veritone Inc. Common Stock</t>
  </si>
  <si>
    <t>VERI US Equity</t>
  </si>
  <si>
    <t>NB_2840</t>
  </si>
  <si>
    <t>VERU</t>
  </si>
  <si>
    <t>Veru Inc. Common Stock</t>
  </si>
  <si>
    <t>VERU US Equity</t>
  </si>
  <si>
    <t>NB_2841</t>
  </si>
  <si>
    <t>VERX</t>
  </si>
  <si>
    <t>Vertex Inc. Class A Common Stock</t>
  </si>
  <si>
    <t>VERX US Equity</t>
  </si>
  <si>
    <t>NB_2842</t>
  </si>
  <si>
    <t>VFC</t>
  </si>
  <si>
    <t>V.F. Corporation Common Stock</t>
  </si>
  <si>
    <t>Garments and Clothing</t>
  </si>
  <si>
    <t>VFC US Equity</t>
  </si>
  <si>
    <t>NB_2843</t>
  </si>
  <si>
    <t>VG</t>
  </si>
  <si>
    <t>Venture Global Inc. Class A common stock</t>
  </si>
  <si>
    <t>Oil/Gas Transmission</t>
  </si>
  <si>
    <t>VG US Equity</t>
  </si>
  <si>
    <t>NB_2844</t>
  </si>
  <si>
    <t>VGAS</t>
  </si>
  <si>
    <t>Verde Clean Fuels Inc. Class A Common Stock</t>
  </si>
  <si>
    <t>Major Chemicals</t>
  </si>
  <si>
    <t>VGAS US Equity</t>
  </si>
  <si>
    <t>NB_2845</t>
  </si>
  <si>
    <t>VGASW</t>
  </si>
  <si>
    <t>Verde Clean Fuels Inc. Warrant</t>
  </si>
  <si>
    <t>VGASW US Equity</t>
  </si>
  <si>
    <t>NB_2846</t>
  </si>
  <si>
    <t>VGZ</t>
  </si>
  <si>
    <t>Vista Gold Corp Common Stock</t>
  </si>
  <si>
    <t>VGZ US Equity</t>
  </si>
  <si>
    <t>NB_2847</t>
  </si>
  <si>
    <t>VHI</t>
  </si>
  <si>
    <t>Valhi Inc. Common Stock</t>
  </si>
  <si>
    <t>VHI US Equity</t>
  </si>
  <si>
    <t>NB_2848</t>
  </si>
  <si>
    <t>VHUB</t>
  </si>
  <si>
    <t>VenHub Global Inc. Common Stock</t>
  </si>
  <si>
    <t>VHUB US Equity</t>
  </si>
  <si>
    <t>NB_2849</t>
  </si>
  <si>
    <t>VIA</t>
  </si>
  <si>
    <t>Via Transportation Inc. Class A Common Stock</t>
  </si>
  <si>
    <t>VIA US Equity</t>
  </si>
  <si>
    <t>NB_2850</t>
  </si>
  <si>
    <t>VIAV</t>
  </si>
  <si>
    <t>Viavi Solutions Inc. Common Stock</t>
  </si>
  <si>
    <t>VIAV US Equity</t>
  </si>
  <si>
    <t>NB_2851</t>
  </si>
  <si>
    <t>VICR</t>
  </si>
  <si>
    <t>Vicor Corporation Common Stock</t>
  </si>
  <si>
    <t>VICR US Equity</t>
  </si>
  <si>
    <t>NB_2852</t>
  </si>
  <si>
    <t>VIK</t>
  </si>
  <si>
    <t>Viking Holdings Ltd Ordinary Shares</t>
  </si>
  <si>
    <t>VIK US Equity</t>
  </si>
  <si>
    <t>NB_2853</t>
  </si>
  <si>
    <t>VIR</t>
  </si>
  <si>
    <t>Vir Biotechnology Inc. Common Stock</t>
  </si>
  <si>
    <t>VIR US Equity</t>
  </si>
  <si>
    <t>NB_2854</t>
  </si>
  <si>
    <t>VIRC</t>
  </si>
  <si>
    <t>Virco Manufacturing Corporation Common Stock</t>
  </si>
  <si>
    <t>Industrial Specialties</t>
  </si>
  <si>
    <t>VIRC US Equity</t>
  </si>
  <si>
    <t>NB_2855</t>
  </si>
  <si>
    <t>VISN</t>
  </si>
  <si>
    <t>Vistance Networks Inc. Common Stock</t>
  </si>
  <si>
    <t>VISN US Equity</t>
  </si>
  <si>
    <t>NB_2856</t>
  </si>
  <si>
    <t>VITL</t>
  </si>
  <si>
    <t>Vital Farms Inc. Common Stock</t>
  </si>
  <si>
    <t>VITL US Equity</t>
  </si>
  <si>
    <t>NB_2857</t>
  </si>
  <si>
    <t>VIVK</t>
  </si>
  <si>
    <t>Vivakor Inc. Common Stock</t>
  </si>
  <si>
    <t>Environmental Services</t>
  </si>
  <si>
    <t>VIVK US Equity</t>
  </si>
  <si>
    <t>NB_2858</t>
  </si>
  <si>
    <t>VIVS</t>
  </si>
  <si>
    <t>VivoSim Labs Inc. Common Stock</t>
  </si>
  <si>
    <t>VIVS US Equity</t>
  </si>
  <si>
    <t>NB_2859</t>
  </si>
  <si>
    <t>VKTX</t>
  </si>
  <si>
    <t>Viking Therapeutics Inc. Common Stock</t>
  </si>
  <si>
    <t>VKTX US Equity</t>
  </si>
  <si>
    <t>NB_2860</t>
  </si>
  <si>
    <t>VLGEA</t>
  </si>
  <si>
    <t>Village Super Market Inc. Class A Common Stock</t>
  </si>
  <si>
    <t>Food Chains</t>
  </si>
  <si>
    <t>VLGEA US Equity</t>
  </si>
  <si>
    <t>NB_2861</t>
  </si>
  <si>
    <t>VLO</t>
  </si>
  <si>
    <t>Valero Energy Corporation Common Stock</t>
  </si>
  <si>
    <t>Integrated oil Companies</t>
  </si>
  <si>
    <t>VLO US Equity</t>
  </si>
  <si>
    <t>NB_2862</t>
  </si>
  <si>
    <t>VLTO</t>
  </si>
  <si>
    <t>Veralto Corp Common Stock</t>
  </si>
  <si>
    <t>VLTO US Equity</t>
  </si>
  <si>
    <t>NB_2863</t>
  </si>
  <si>
    <t>VMC</t>
  </si>
  <si>
    <t>Vulcan Materials Company (Holding Company) Common Stock</t>
  </si>
  <si>
    <t>VMC US Equity</t>
  </si>
  <si>
    <t>NB_2864</t>
  </si>
  <si>
    <t>VMD</t>
  </si>
  <si>
    <t>Viemed Healthcare Inc. Common Shares</t>
  </si>
  <si>
    <t>Misc Health and Biotechnology Services</t>
  </si>
  <si>
    <t>VMD US Equity</t>
  </si>
  <si>
    <t>NB_2865</t>
  </si>
  <si>
    <t>VMI</t>
  </si>
  <si>
    <t>Valmont Industries Inc. Common Stock</t>
  </si>
  <si>
    <t>VMI US Equity</t>
  </si>
  <si>
    <t>NB_2866</t>
  </si>
  <si>
    <t>VNCE</t>
  </si>
  <si>
    <t>Vince Holding Corp. Common Stock</t>
  </si>
  <si>
    <t>VNCE US Equity</t>
  </si>
  <si>
    <t>NB_2867</t>
  </si>
  <si>
    <t>VNDA</t>
  </si>
  <si>
    <t>Vanda Pharmaceuticals Inc. Common Stock</t>
  </si>
  <si>
    <t>VNDA US Equity</t>
  </si>
  <si>
    <t>NB_2868</t>
  </si>
  <si>
    <t>VNOM</t>
  </si>
  <si>
    <t>Viper Energy Inc. Class A Common Stock</t>
  </si>
  <si>
    <t>VNOM US Equity</t>
  </si>
  <si>
    <t>NB_2869</t>
  </si>
  <si>
    <t>VNT</t>
  </si>
  <si>
    <t>Vontier Corporation Common Stock</t>
  </si>
  <si>
    <t>VNT US Equity</t>
  </si>
  <si>
    <t>NB_2870</t>
  </si>
  <si>
    <t>VOC</t>
  </si>
  <si>
    <t>VOC Energy Trust Units of Beneficial Interest</t>
  </si>
  <si>
    <t>VOC US Equity</t>
  </si>
  <si>
    <t>NB_2871</t>
  </si>
  <si>
    <t>VOGX</t>
  </si>
  <si>
    <t>Vogenx Inc Common Stock</t>
  </si>
  <si>
    <t>VOGX US Equity</t>
  </si>
  <si>
    <t>NB_2872</t>
  </si>
  <si>
    <t>VOR</t>
  </si>
  <si>
    <t>Vor Biopharma Inc. Common Stock</t>
  </si>
  <si>
    <t>VOR US Equity</t>
  </si>
  <si>
    <t>NB_2873</t>
  </si>
  <si>
    <t>VOYG</t>
  </si>
  <si>
    <t>Voyager Technologies Inc. Class A Common Stock</t>
  </si>
  <si>
    <t>VOYG US Equity</t>
  </si>
  <si>
    <t>NB_2874</t>
  </si>
  <si>
    <t>VPG</t>
  </si>
  <si>
    <t>Vishay Precision Group Inc. Common Stock</t>
  </si>
  <si>
    <t>VPG US Equity</t>
  </si>
  <si>
    <t>NB_2875</t>
  </si>
  <si>
    <t>VRA</t>
  </si>
  <si>
    <t>Vera Bradley Inc. Common Stock</t>
  </si>
  <si>
    <t>VRA US Equity</t>
  </si>
  <si>
    <t>NB_2876</t>
  </si>
  <si>
    <t>VRCA</t>
  </si>
  <si>
    <t>Verrica Pharmaceuticals Inc. Common Stock</t>
  </si>
  <si>
    <t>VRCA US Equity</t>
  </si>
  <si>
    <t>NB_2877</t>
  </si>
  <si>
    <t>VRDN</t>
  </si>
  <si>
    <t>Viridian Therapeutics Inc. Common Stock</t>
  </si>
  <si>
    <t>VRDN US Equity</t>
  </si>
  <si>
    <t>NB_2878</t>
  </si>
  <si>
    <t>VREX</t>
  </si>
  <si>
    <t>Varex Imaging Corporation Common Stock</t>
  </si>
  <si>
    <t>VREX US Equity</t>
  </si>
  <si>
    <t>NB_2879</t>
  </si>
  <si>
    <t>VRM</t>
  </si>
  <si>
    <t>Vroom Inc. Common Stock</t>
  </si>
  <si>
    <t>Retail-Auto Dealers and Gas Stations</t>
  </si>
  <si>
    <t>VRM US Equity</t>
  </si>
  <si>
    <t>NB_2880</t>
  </si>
  <si>
    <t>VRME</t>
  </si>
  <si>
    <t>VerifyMe Inc. Common Stock</t>
  </si>
  <si>
    <t>VRME US Equity</t>
  </si>
  <si>
    <t>NB_2881</t>
  </si>
  <si>
    <t>VRNS</t>
  </si>
  <si>
    <t>Varonis Systems Inc. Common Stock</t>
  </si>
  <si>
    <t>VRNS US Equity</t>
  </si>
  <si>
    <t>NB_2882</t>
  </si>
  <si>
    <t>VRRM</t>
  </si>
  <si>
    <t>Verra Mobility Corporation Class A Common Stock</t>
  </si>
  <si>
    <t>Transportation Services</t>
  </si>
  <si>
    <t>VRRM US Equity</t>
  </si>
  <si>
    <t>NB_2883</t>
  </si>
  <si>
    <t>VRSK</t>
  </si>
  <si>
    <t>Verisk Analytics Inc. Common Stock</t>
  </si>
  <si>
    <t>VRSK US Equity</t>
  </si>
  <si>
    <t>NB_2884</t>
  </si>
  <si>
    <t>VRSN</t>
  </si>
  <si>
    <t>VeriSign Inc. Common Stock</t>
  </si>
  <si>
    <t>VRSN US Equity</t>
  </si>
  <si>
    <t>NB_2885</t>
  </si>
  <si>
    <t>VRT</t>
  </si>
  <si>
    <t>Vertiv Holdings LLC Class A Common Stock</t>
  </si>
  <si>
    <t>VRT US Equity</t>
  </si>
  <si>
    <t>NB_2886</t>
  </si>
  <si>
    <t>VRTX</t>
  </si>
  <si>
    <t>Vertex Pharmaceuticals Incorporated Common Stock</t>
  </si>
  <si>
    <t>VRTX US Equity</t>
  </si>
  <si>
    <t>NB_2887</t>
  </si>
  <si>
    <t>VSAT</t>
  </si>
  <si>
    <t>ViaSat Inc. Common Stock</t>
  </si>
  <si>
    <t>VSAT US Equity</t>
  </si>
  <si>
    <t>NB_2888</t>
  </si>
  <si>
    <t>VSEC</t>
  </si>
  <si>
    <t>VSE Corporation Common Stock</t>
  </si>
  <si>
    <t>VSEC US Equity</t>
  </si>
  <si>
    <t>NB_2889</t>
  </si>
  <si>
    <t>VSH</t>
  </si>
  <si>
    <t>Vishay Intertechnology Inc. Common Stock</t>
  </si>
  <si>
    <t>VSH US Equity</t>
  </si>
  <si>
    <t>NB_2890</t>
  </si>
  <si>
    <t>VSNT</t>
  </si>
  <si>
    <t>Versant Media Group Inc. Class A Common Stock</t>
  </si>
  <si>
    <t>VSNT US Equity</t>
  </si>
  <si>
    <t>NB_2891</t>
  </si>
  <si>
    <t>VST</t>
  </si>
  <si>
    <t>Vistra Corp. Common Stock</t>
  </si>
  <si>
    <t>VST US Equity</t>
  </si>
  <si>
    <t>NB_2892</t>
  </si>
  <si>
    <t>VSTM</t>
  </si>
  <si>
    <t>Verastem Inc. Common Stock</t>
  </si>
  <si>
    <t>VSTM US Equity</t>
  </si>
  <si>
    <t>NB_2893</t>
  </si>
  <si>
    <t>VSTS</t>
  </si>
  <si>
    <t>Vestis Corporation Common Stock</t>
  </si>
  <si>
    <t>Consumer Specialties</t>
  </si>
  <si>
    <t>VSTS US Equity</t>
  </si>
  <si>
    <t>NB_2894</t>
  </si>
  <si>
    <t>VSXY</t>
  </si>
  <si>
    <t>Victorias Secret &amp; Co. Common Stock</t>
  </si>
  <si>
    <t>VSXY US Equity</t>
  </si>
  <si>
    <t>NB_2895</t>
  </si>
  <si>
    <t>VTGN</t>
  </si>
  <si>
    <t>Vistagen Therapeutics Inc. Common Stock</t>
  </si>
  <si>
    <t>VTGN US Equity</t>
  </si>
  <si>
    <t>NB_2896</t>
  </si>
  <si>
    <t>VTIX</t>
  </si>
  <si>
    <t>Virtuix Holdings Inc. Class A Common Stock</t>
  </si>
  <si>
    <t>Computer peripheral equipment</t>
  </si>
  <si>
    <t>VTIX US Equity</t>
  </si>
  <si>
    <t>NB_2897</t>
  </si>
  <si>
    <t>VTOL</t>
  </si>
  <si>
    <t>Bristow Group Inc. Common Stock</t>
  </si>
  <si>
    <t>VTOL US Equity</t>
  </si>
  <si>
    <t>NB_2898</t>
  </si>
  <si>
    <t>VTRS</t>
  </si>
  <si>
    <t>Viatris Inc. Common Stock</t>
  </si>
  <si>
    <t>VTRS US Equity</t>
  </si>
  <si>
    <t>NB_2899</t>
  </si>
  <si>
    <t>VTS</t>
  </si>
  <si>
    <t>Vitesse Energy Inc. Common Stock</t>
  </si>
  <si>
    <t>VTS US Equity</t>
  </si>
  <si>
    <t>NB_2900</t>
  </si>
  <si>
    <t>VTSI</t>
  </si>
  <si>
    <t>VirTra Inc. Common Stock</t>
  </si>
  <si>
    <t>Miscellaneous manufacturing industries</t>
  </si>
  <si>
    <t>VTSI US Equity</t>
  </si>
  <si>
    <t>NB_2901</t>
  </si>
  <si>
    <t>VTVT</t>
  </si>
  <si>
    <t>vTv Therapeutics Inc. Class A Common Stock</t>
  </si>
  <si>
    <t>VTVT US Equity</t>
  </si>
  <si>
    <t>NB_2902</t>
  </si>
  <si>
    <t>VUZI</t>
  </si>
  <si>
    <t>Vuzix Corporation Common Stock</t>
  </si>
  <si>
    <t>VUZI US Equity</t>
  </si>
  <si>
    <t>NB_2903</t>
  </si>
  <si>
    <t>VVOS</t>
  </si>
  <si>
    <t>Vivos Therapeutics Inc. Common Stock</t>
  </si>
  <si>
    <t>VVOS US Equity</t>
  </si>
  <si>
    <t>NB_2904</t>
  </si>
  <si>
    <t>VVV</t>
  </si>
  <si>
    <t>Valvoline Inc. Common Stock</t>
  </si>
  <si>
    <t>VVV US Equity</t>
  </si>
  <si>
    <t>NB_2905</t>
  </si>
  <si>
    <t>VVX</t>
  </si>
  <si>
    <t>V2X Inc. Common Stock</t>
  </si>
  <si>
    <t>VVX US Equity</t>
  </si>
  <si>
    <t>NB_2906</t>
  </si>
  <si>
    <t>VWAV</t>
  </si>
  <si>
    <t>VisionWave Holdings Inc. Common Stock</t>
  </si>
  <si>
    <t>VWAV US Equity</t>
  </si>
  <si>
    <t>NB_2907</t>
  </si>
  <si>
    <t>VWAVW</t>
  </si>
  <si>
    <t>VisionWave Holdings Inc. Warrant</t>
  </si>
  <si>
    <t>VWAVW US Equity</t>
  </si>
  <si>
    <t>NB_2908</t>
  </si>
  <si>
    <t>VYGR</t>
  </si>
  <si>
    <t>Voyager Therapeutics Inc. Common Stock</t>
  </si>
  <si>
    <t>VYGR US Equity</t>
  </si>
  <si>
    <t>NB_2909</t>
  </si>
  <si>
    <t>VZ</t>
  </si>
  <si>
    <t>Verizon Communications Inc. Common Stock</t>
  </si>
  <si>
    <t>VZ US Equity</t>
  </si>
  <si>
    <t>NB_2910</t>
  </si>
  <si>
    <t>W</t>
  </si>
  <si>
    <t>Wayfair Inc. Class A Common Stock</t>
  </si>
  <si>
    <t>Catalog/Specialty Distribution</t>
  </si>
  <si>
    <t>W US Equity</t>
  </si>
  <si>
    <t>NB_2911</t>
  </si>
  <si>
    <t>WAB</t>
  </si>
  <si>
    <t>Westinghouse Air Brake Technologies Corporation Common Stock</t>
  </si>
  <si>
    <t>WAB US Equity</t>
  </si>
  <si>
    <t>NB_2912</t>
  </si>
  <si>
    <t>WALD</t>
  </si>
  <si>
    <t>Waldencast plc Class A Ordinary Share</t>
  </si>
  <si>
    <t>WALD US Equity</t>
  </si>
  <si>
    <t>NB_2913</t>
  </si>
  <si>
    <t>WALDW</t>
  </si>
  <si>
    <t>Waldencast plc Warrant</t>
  </si>
  <si>
    <t>WALDW US Equity</t>
  </si>
  <si>
    <t>NB_2914</t>
  </si>
  <si>
    <t>WAT</t>
  </si>
  <si>
    <t>Waters Corporation Common Stock</t>
  </si>
  <si>
    <t>WAT US Equity</t>
  </si>
  <si>
    <t>NB_2915</t>
  </si>
  <si>
    <t>WATT</t>
  </si>
  <si>
    <t>Energous Corporation Common Stock</t>
  </si>
  <si>
    <t>WATT US Equity</t>
  </si>
  <si>
    <t>NB_2916</t>
  </si>
  <si>
    <t>WAY</t>
  </si>
  <si>
    <t>Waystar Holding Corp. Common Stock</t>
  </si>
  <si>
    <t>WAY US Equity</t>
  </si>
  <si>
    <t>NB_2917</t>
  </si>
  <si>
    <t>WBD</t>
  </si>
  <si>
    <t>Warner Bros. Discovery Inc. Series A Common Stock</t>
  </si>
  <si>
    <t>Cable &amp; Other Pay Television Services</t>
  </si>
  <si>
    <t>WBD US Equity</t>
  </si>
  <si>
    <t>NB_2918</t>
  </si>
  <si>
    <t>WBTN</t>
  </si>
  <si>
    <t>WEBTOON Entertainment Inc. Common stock</t>
  </si>
  <si>
    <t>Publishing</t>
  </si>
  <si>
    <t>WBTN US Equity</t>
  </si>
  <si>
    <t>NB_2919</t>
  </si>
  <si>
    <t>WCC</t>
  </si>
  <si>
    <t>WESCO International Inc. Common Stock</t>
  </si>
  <si>
    <t>WCC US Equity</t>
  </si>
  <si>
    <t>NB_2920</t>
  </si>
  <si>
    <t>WDAY</t>
  </si>
  <si>
    <t>Workday Inc. Class A Common Stock</t>
  </si>
  <si>
    <t>WDAY US Equity</t>
  </si>
  <si>
    <t>NB_2921</t>
  </si>
  <si>
    <t>WDC</t>
  </si>
  <si>
    <t>Western Digital Corporation Common Stock</t>
  </si>
  <si>
    <t>WDC US Equity</t>
  </si>
  <si>
    <t>NB_2922</t>
  </si>
  <si>
    <t>WDFC</t>
  </si>
  <si>
    <t>WD-40 Company Common Stock</t>
  </si>
  <si>
    <t>WDFC US Equity</t>
  </si>
  <si>
    <t>NB_2923</t>
  </si>
  <si>
    <t>WEAV</t>
  </si>
  <si>
    <t>Weave Communications Inc. Common Stock</t>
  </si>
  <si>
    <t>WEAV US Equity</t>
  </si>
  <si>
    <t>NB_2924</t>
  </si>
  <si>
    <t>WEC</t>
  </si>
  <si>
    <t>WEC Energy Group Inc. Common Stock</t>
  </si>
  <si>
    <t>WEC US Equity</t>
  </si>
  <si>
    <t>NB_2925</t>
  </si>
  <si>
    <t>WEN</t>
  </si>
  <si>
    <t>Wendy's Company (The) Common Stock</t>
  </si>
  <si>
    <t>WEN US Equity</t>
  </si>
  <si>
    <t>NB_2926</t>
  </si>
  <si>
    <t>WERN</t>
  </si>
  <si>
    <t>Werner Enterprises Inc. Common Stock</t>
  </si>
  <si>
    <t>WERN US Equity</t>
  </si>
  <si>
    <t>NB_2927</t>
  </si>
  <si>
    <t>WES</t>
  </si>
  <si>
    <t>Western Midstream Partners LP Common Units Representing Limited Partner Interests</t>
  </si>
  <si>
    <t>WES US Equity</t>
  </si>
  <si>
    <t>NB_2928</t>
  </si>
  <si>
    <t>WEST</t>
  </si>
  <si>
    <t>Westrock Coffee Company Common Stock</t>
  </si>
  <si>
    <t>Beverages (Production/Distribution)</t>
  </si>
  <si>
    <t>WEST US Equity</t>
  </si>
  <si>
    <t>NB_2929</t>
  </si>
  <si>
    <t>WEX</t>
  </si>
  <si>
    <t>WEX Inc. common stock</t>
  </si>
  <si>
    <t>WEX US Equity</t>
  </si>
  <si>
    <t>NB_2930</t>
  </si>
  <si>
    <t>WEYS</t>
  </si>
  <si>
    <t>Weyco Group Inc. Common Stock</t>
  </si>
  <si>
    <t>WEYS US Equity</t>
  </si>
  <si>
    <t>NB_2931</t>
  </si>
  <si>
    <t>WFCF</t>
  </si>
  <si>
    <t>Where Food Comes From Inc. Common Stock</t>
  </si>
  <si>
    <t>WFCF US Equity</t>
  </si>
  <si>
    <t>NB_2932</t>
  </si>
  <si>
    <t>WFRD</t>
  </si>
  <si>
    <t>Weatherford International plc Ordinary Shares</t>
  </si>
  <si>
    <t>Oil and Gas Field Machinery</t>
  </si>
  <si>
    <t>WFRD US Equity</t>
  </si>
  <si>
    <t>NB_2933</t>
  </si>
  <si>
    <t>WGO</t>
  </si>
  <si>
    <t>Winnebago Industries Inc. Common Stock</t>
  </si>
  <si>
    <t>Homebuilding</t>
  </si>
  <si>
    <t>WGO US Equity</t>
  </si>
  <si>
    <t>NB_2934</t>
  </si>
  <si>
    <t>WGS</t>
  </si>
  <si>
    <t>GeneDx Holdings Corp. Class A Common Stock</t>
  </si>
  <si>
    <t>WGS US Equity</t>
  </si>
  <si>
    <t>NB_2935</t>
  </si>
  <si>
    <t>WH</t>
  </si>
  <si>
    <t>Wyndham Hotels &amp; Resorts Inc. Common Stock</t>
  </si>
  <si>
    <t>Hotels/Resorts</t>
  </si>
  <si>
    <t>WH US Equity</t>
  </si>
  <si>
    <t>NB_2936</t>
  </si>
  <si>
    <t>WHD</t>
  </si>
  <si>
    <t>Cactus Inc. Class A Common Stock</t>
  </si>
  <si>
    <t>WHD US Equity</t>
  </si>
  <si>
    <t>NB_2937</t>
  </si>
  <si>
    <t>WHR</t>
  </si>
  <si>
    <t>Whirlpool Corporation Common Stock</t>
  </si>
  <si>
    <t>WHR US Equity</t>
  </si>
  <si>
    <t>NB_2938</t>
  </si>
  <si>
    <t>WHWK</t>
  </si>
  <si>
    <t>Whitehawk Therapeutics Inc. Common Stock</t>
  </si>
  <si>
    <t>WHWK US Equity</t>
  </si>
  <si>
    <t>NB_2939</t>
  </si>
  <si>
    <t>WINA</t>
  </si>
  <si>
    <t>Winmark Corporation Common Stock</t>
  </si>
  <si>
    <t>WINA US Equity</t>
  </si>
  <si>
    <t>NB_2940</t>
  </si>
  <si>
    <t>WING</t>
  </si>
  <si>
    <t>Wingstop Inc. Common Stock</t>
  </si>
  <si>
    <t>WING US Equity</t>
  </si>
  <si>
    <t>NB_2941</t>
  </si>
  <si>
    <t>WK</t>
  </si>
  <si>
    <t>Workiva Inc. Class A Common Stock</t>
  </si>
  <si>
    <t>WK US Equity</t>
  </si>
  <si>
    <t>NB_2942</t>
  </si>
  <si>
    <t>WKC</t>
  </si>
  <si>
    <t>World Kinect Corporation Common Stock</t>
  </si>
  <si>
    <t>Oil Refining/Marketing</t>
  </si>
  <si>
    <t>WKC US Equity</t>
  </si>
  <si>
    <t>NB_2943</t>
  </si>
  <si>
    <t>WKHS</t>
  </si>
  <si>
    <t>Workhorse Group Inc. Common Stock</t>
  </si>
  <si>
    <t>Auto Manufacturing</t>
  </si>
  <si>
    <t>WKHS US Equity</t>
  </si>
  <si>
    <t>NB_2944</t>
  </si>
  <si>
    <t>WLDN</t>
  </si>
  <si>
    <t>Willdan Group Inc. Common Stock</t>
  </si>
  <si>
    <t>WLDN US Equity</t>
  </si>
  <si>
    <t>NB_2945</t>
  </si>
  <si>
    <t>WLFC</t>
  </si>
  <si>
    <t>Willis Lease Finance Corporation Common Stock</t>
  </si>
  <si>
    <t>WLFC US Equity</t>
  </si>
  <si>
    <t>NB_2946</t>
  </si>
  <si>
    <t>WLK</t>
  </si>
  <si>
    <t>Westlake Corporation Common Stock</t>
  </si>
  <si>
    <t>WLK US Equity</t>
  </si>
  <si>
    <t>NB_2947</t>
  </si>
  <si>
    <t>WLKP</t>
  </si>
  <si>
    <t>Westlake Chemical Partners LP Common Units representing limited partner interests</t>
  </si>
  <si>
    <t>WLKP US Equity</t>
  </si>
  <si>
    <t>NB_2948</t>
  </si>
  <si>
    <t>WLY</t>
  </si>
  <si>
    <t>John Wiley &amp; Sons Inc. Common Stock</t>
  </si>
  <si>
    <t>Books</t>
  </si>
  <si>
    <t>WLY US Equity</t>
  </si>
  <si>
    <t>NB_2949</t>
  </si>
  <si>
    <t>WLYB</t>
  </si>
  <si>
    <t>WLYB US Equity</t>
  </si>
  <si>
    <t>NB_2950</t>
  </si>
  <si>
    <t>WM</t>
  </si>
  <si>
    <t>Waste Management Inc. Common Stock</t>
  </si>
  <si>
    <t>WM US Equity</t>
  </si>
  <si>
    <t>NB_2951</t>
  </si>
  <si>
    <t>WMB</t>
  </si>
  <si>
    <t>Williams Companies Inc. (The) Common Stock</t>
  </si>
  <si>
    <t>WMB US Equity</t>
  </si>
  <si>
    <t>NB_2952</t>
  </si>
  <si>
    <t>WMG</t>
  </si>
  <si>
    <t>Warner Music Group Corp. Class A Common Stock</t>
  </si>
  <si>
    <t>WMG US Equity</t>
  </si>
  <si>
    <t>NB_2953</t>
  </si>
  <si>
    <t>WMK</t>
  </si>
  <si>
    <t>Weis Markets Inc. Common Stock</t>
  </si>
  <si>
    <t>WMK US Equity</t>
  </si>
  <si>
    <t>NB_2954</t>
  </si>
  <si>
    <t>WMS</t>
  </si>
  <si>
    <t>Advanced Drainage Systems Inc. Common Stock</t>
  </si>
  <si>
    <t>Containers/Packaging</t>
  </si>
  <si>
    <t>WMS US Equity</t>
  </si>
  <si>
    <t>NB_2955</t>
  </si>
  <si>
    <t>WMT</t>
  </si>
  <si>
    <t>Walmart Inc. Common Stock</t>
  </si>
  <si>
    <t>Department/Specialty Retail Stores</t>
  </si>
  <si>
    <t>WMT US Equity</t>
  </si>
  <si>
    <t>NB_2956</t>
  </si>
  <si>
    <t>WNC</t>
  </si>
  <si>
    <t>Wabash National Corporation Common Stock</t>
  </si>
  <si>
    <t>Construction/Ag Equipment/Trucks</t>
  </si>
  <si>
    <t>WNC US Equity</t>
  </si>
  <si>
    <t>NB_2957</t>
  </si>
  <si>
    <t>WOLF</t>
  </si>
  <si>
    <t>Wolfspeed Inc. Common Stock New</t>
  </si>
  <si>
    <t>WOLF US Equity</t>
  </si>
  <si>
    <t>NB_2958</t>
  </si>
  <si>
    <t>WOOF</t>
  </si>
  <si>
    <t>Petco Health and Wellness Company Inc. Class A Common Stock</t>
  </si>
  <si>
    <t>WOOF US Equity</t>
  </si>
  <si>
    <t>NB_2959</t>
  </si>
  <si>
    <t>WOR</t>
  </si>
  <si>
    <t>Worthington Enterprises Inc. Common Shares</t>
  </si>
  <si>
    <t>WOR US Equity</t>
  </si>
  <si>
    <t>NB_2960</t>
  </si>
  <si>
    <t>WRAP</t>
  </si>
  <si>
    <t>Wrap Technologies Inc. Common Stock</t>
  </si>
  <si>
    <t>Ordnance And Accessories</t>
  </si>
  <si>
    <t>WRAP US Equity</t>
  </si>
  <si>
    <t>NB_2961</t>
  </si>
  <si>
    <t>WRBY</t>
  </si>
  <si>
    <t>Warby Parker Inc. Class A Common Stock</t>
  </si>
  <si>
    <t>Ophthalmic Goods</t>
  </si>
  <si>
    <t>WRBY US Equity</t>
  </si>
  <si>
    <t>NB_2962</t>
  </si>
  <si>
    <t>WS</t>
  </si>
  <si>
    <t>Worthington Steel Inc. Common Shares</t>
  </si>
  <si>
    <t>WS US Equity</t>
  </si>
  <si>
    <t>NB_2963</t>
  </si>
  <si>
    <t>WSC</t>
  </si>
  <si>
    <t>WillScot Holdings Corporation Class A Common Stock</t>
  </si>
  <si>
    <t>Misc Corporate Leasing Services</t>
  </si>
  <si>
    <t>WSC US Equity</t>
  </si>
  <si>
    <t>NB_2964</t>
  </si>
  <si>
    <t>WSM</t>
  </si>
  <si>
    <t>Williams-Sonoma Inc. Common Stock (DE)</t>
  </si>
  <si>
    <t>Home Furnishings</t>
  </si>
  <si>
    <t>WSM US Equity</t>
  </si>
  <si>
    <t>NB_2965</t>
  </si>
  <si>
    <t>WSO</t>
  </si>
  <si>
    <t>Watsco Inc. Common Stock</t>
  </si>
  <si>
    <t>WSO US Equity</t>
  </si>
  <si>
    <t>NB_2966</t>
  </si>
  <si>
    <t>WST</t>
  </si>
  <si>
    <t>West Pharmaceutical Services Inc. Common Stock</t>
  </si>
  <si>
    <t>WST US Equity</t>
  </si>
  <si>
    <t>NB_2967</t>
  </si>
  <si>
    <t>WTI</t>
  </si>
  <si>
    <t>W&amp;T Offshore Inc. Common Stock</t>
  </si>
  <si>
    <t>WTI US Equity</t>
  </si>
  <si>
    <t>NB_2968</t>
  </si>
  <si>
    <t>WTRG</t>
  </si>
  <si>
    <t>Essential Utilities Inc. Common Stock</t>
  </si>
  <si>
    <t>Water Supply</t>
  </si>
  <si>
    <t>WTRG US Equity</t>
  </si>
  <si>
    <t>NB_2969</t>
  </si>
  <si>
    <t>WTS</t>
  </si>
  <si>
    <t>Watts Water Technologies Inc. Class A Common Stock</t>
  </si>
  <si>
    <t>WTS US Equity</t>
  </si>
  <si>
    <t>NB_2970</t>
  </si>
  <si>
    <t>WTTR</t>
  </si>
  <si>
    <t>Select Water Solutions Inc. Class A common stock</t>
  </si>
  <si>
    <t>WTTR US Equity</t>
  </si>
  <si>
    <t>NB_2971</t>
  </si>
  <si>
    <t>WU</t>
  </si>
  <si>
    <t>Western Union Company (The) Common Stock</t>
  </si>
  <si>
    <t>WU US Equity</t>
  </si>
  <si>
    <t>NB_2972</t>
  </si>
  <si>
    <t>WVVI</t>
  </si>
  <si>
    <t>Willamette Valley Vineyards Inc. Common Stock</t>
  </si>
  <si>
    <t>WVVI US Equity</t>
  </si>
  <si>
    <t>NB_2973</t>
  </si>
  <si>
    <t>WVVIP</t>
  </si>
  <si>
    <t>Willamette Valley Vineyards Inc. Series A Redeemable Preferred Stock</t>
  </si>
  <si>
    <t>WVVIP US Equity</t>
  </si>
  <si>
    <t>NB_2974</t>
  </si>
  <si>
    <t>WW</t>
  </si>
  <si>
    <t>WW International Inc.  Common Stock</t>
  </si>
  <si>
    <t>WW US Equity</t>
  </si>
  <si>
    <t>NB_2975</t>
  </si>
  <si>
    <t>WWD</t>
  </si>
  <si>
    <t>Woodward Inc. Common Stock</t>
  </si>
  <si>
    <t>WWD US Equity</t>
  </si>
  <si>
    <t>NB_2976</t>
  </si>
  <si>
    <t>WWR</t>
  </si>
  <si>
    <t>Westwater Resources Inc. Common Stock</t>
  </si>
  <si>
    <t>WWR US Equity</t>
  </si>
  <si>
    <t>NB_2977</t>
  </si>
  <si>
    <t>WWW</t>
  </si>
  <si>
    <t>Wolverine World Wide Inc. Common Stock</t>
  </si>
  <si>
    <t>Shoe Manufacturing</t>
  </si>
  <si>
    <t>WWW US Equity</t>
  </si>
  <si>
    <t>NB_2978</t>
  </si>
  <si>
    <t>WYNN</t>
  </si>
  <si>
    <t>Wynn Resorts Limited Common stock</t>
  </si>
  <si>
    <t>WYNN US Equity</t>
  </si>
  <si>
    <t>NB_2979</t>
  </si>
  <si>
    <t>WYY</t>
  </si>
  <si>
    <t>WidePoint Corporation Common Stock</t>
  </si>
  <si>
    <t>WYY US Equity</t>
  </si>
  <si>
    <t>NB_2980</t>
  </si>
  <si>
    <t>XAIR</t>
  </si>
  <si>
    <t>Beyond Air Inc. Common Stock</t>
  </si>
  <si>
    <t>XAIR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</si>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</sst>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40</v>
      </c>
      <c r="B6" t="s">
        <v>14</v>
      </c>
      <c r="C6" t="s">
        <v>15</v>
      </c>
      <c r="D6" t="s">
        <v>41</v>
      </c>
      <c r="E6" t="s">
        <v>42</v>
      </c>
      <c r="F6" t="s">
        <v>32</v>
      </c>
      <c r="G6" t="s">
        <v>43</v>
      </c>
      <c r="H6" t="s">
        <v>44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45</v>
      </c>
      <c r="B7" t="s">
        <v>14</v>
      </c>
      <c r="C7" t="s">
        <v>15</v>
      </c>
      <c r="D7" t="s">
        <v>46</v>
      </c>
      <c r="E7" t="s">
        <v>47</v>
      </c>
      <c r="F7" t="s">
        <v>18</v>
      </c>
      <c r="G7" t="s">
        <v>19</v>
      </c>
      <c r="H7" t="s">
        <v>48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49</v>
      </c>
      <c r="B8" t="s">
        <v>14</v>
      </c>
      <c r="C8" t="s">
        <v>15</v>
      </c>
      <c r="D8" t="s">
        <v>50</v>
      </c>
      <c r="E8" t="s">
        <v>51</v>
      </c>
      <c r="F8" t="s">
        <v>18</v>
      </c>
      <c r="G8" t="s">
        <v>52</v>
      </c>
      <c r="H8" t="s">
        <v>53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54</v>
      </c>
      <c r="B9" t="s">
        <v>14</v>
      </c>
      <c r="C9" t="s">
        <v>15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60</v>
      </c>
      <c r="B10" t="s">
        <v>14</v>
      </c>
      <c r="C10" t="s">
        <v>15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66</v>
      </c>
      <c r="B11" t="s">
        <v>14</v>
      </c>
      <c r="C11" t="s">
        <v>15</v>
      </c>
      <c r="D11" t="s">
        <v>67</v>
      </c>
      <c r="E11" t="s">
        <v>68</v>
      </c>
      <c r="F11" t="s">
        <v>32</v>
      </c>
      <c r="G11" t="s">
        <v>69</v>
      </c>
      <c r="H11" t="s">
        <v>70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77</v>
      </c>
      <c r="B13" t="s">
        <v>14</v>
      </c>
      <c r="C13" t="s">
        <v>15</v>
      </c>
      <c r="D13" t="s">
        <v>78</v>
      </c>
      <c r="E13" t="s">
        <v>79</v>
      </c>
      <c r="F13" t="s">
        <v>32</v>
      </c>
      <c r="G13" t="s">
        <v>33</v>
      </c>
      <c r="H13" t="s">
        <v>80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81</v>
      </c>
      <c r="B14" t="s">
        <v>14</v>
      </c>
      <c r="C14" t="s">
        <v>15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87</v>
      </c>
      <c r="B15" t="s">
        <v>14</v>
      </c>
      <c r="C15" t="s">
        <v>15</v>
      </c>
      <c r="D15" t="s">
        <v>88</v>
      </c>
      <c r="E15" t="s">
        <v>89</v>
      </c>
      <c r="F15" t="s">
        <v>63</v>
      </c>
      <c r="G15" t="s">
        <v>90</v>
      </c>
      <c r="H15" t="s">
        <v>91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92</v>
      </c>
      <c r="B16" t="s">
        <v>14</v>
      </c>
      <c r="C16" t="s">
        <v>15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98</v>
      </c>
      <c r="B17" t="s">
        <v>14</v>
      </c>
      <c r="C17" t="s">
        <v>15</v>
      </c>
      <c r="D17" t="s">
        <v>99</v>
      </c>
      <c r="E17" t="s">
        <v>100</v>
      </c>
      <c r="F17" t="s">
        <v>95</v>
      </c>
      <c r="G17" t="s">
        <v>96</v>
      </c>
      <c r="H17" t="s">
        <v>101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102</v>
      </c>
      <c r="B18" t="s">
        <v>14</v>
      </c>
      <c r="C18" t="s">
        <v>15</v>
      </c>
      <c r="D18" t="s">
        <v>103</v>
      </c>
      <c r="E18" t="s">
        <v>104</v>
      </c>
      <c r="F18" t="s">
        <v>74</v>
      </c>
      <c r="G18" t="s">
        <v>105</v>
      </c>
      <c r="H18" t="s">
        <v>106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107</v>
      </c>
      <c r="B19" t="s">
        <v>14</v>
      </c>
      <c r="C19" t="s">
        <v>15</v>
      </c>
      <c r="D19" t="s">
        <v>108</v>
      </c>
      <c r="E19" t="s">
        <v>109</v>
      </c>
      <c r="F19" t="s">
        <v>74</v>
      </c>
      <c r="G19" t="s">
        <v>105</v>
      </c>
      <c r="H19" t="s">
        <v>110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111</v>
      </c>
      <c r="B20" t="s">
        <v>14</v>
      </c>
      <c r="C20" t="s">
        <v>15</v>
      </c>
      <c r="D20" t="s">
        <v>112</v>
      </c>
      <c r="E20" t="s">
        <v>113</v>
      </c>
      <c r="F20" t="s">
        <v>74</v>
      </c>
      <c r="G20" t="s">
        <v>75</v>
      </c>
      <c r="H20" t="s">
        <v>114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115</v>
      </c>
      <c r="B21" t="s">
        <v>14</v>
      </c>
      <c r="C21" t="s">
        <v>15</v>
      </c>
      <c r="D21" t="s">
        <v>116</v>
      </c>
      <c r="E21" t="s">
        <v>117</v>
      </c>
      <c r="F21" t="s">
        <v>74</v>
      </c>
      <c r="G21" t="s">
        <v>75</v>
      </c>
      <c r="H21" t="s">
        <v>118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119</v>
      </c>
      <c r="B22" t="s">
        <v>14</v>
      </c>
      <c r="C22" t="s">
        <v>15</v>
      </c>
      <c r="D22" t="s">
        <v>120</v>
      </c>
      <c r="E22" t="s">
        <v>121</v>
      </c>
      <c r="F22" t="s">
        <v>32</v>
      </c>
      <c r="G22" t="s">
        <v>43</v>
      </c>
      <c r="H22" t="s">
        <v>122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123</v>
      </c>
      <c r="B23" t="s">
        <v>14</v>
      </c>
      <c r="C23" t="s">
        <v>15</v>
      </c>
      <c r="D23" t="s">
        <v>124</v>
      </c>
      <c r="E23" t="s">
        <v>125</v>
      </c>
      <c r="F23" t="s">
        <v>26</v>
      </c>
      <c r="G23" t="s">
        <v>126</v>
      </c>
      <c r="H23" t="s">
        <v>127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128</v>
      </c>
      <c r="B24" t="s">
        <v>14</v>
      </c>
      <c r="C24" t="s">
        <v>15</v>
      </c>
      <c r="D24" t="s">
        <v>129</v>
      </c>
      <c r="E24" t="s">
        <v>130</v>
      </c>
      <c r="F24" t="s">
        <v>26</v>
      </c>
      <c r="G24" t="s">
        <v>131</v>
      </c>
      <c r="H24" t="s">
        <v>132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133</v>
      </c>
      <c r="B25" t="s">
        <v>14</v>
      </c>
      <c r="C25" t="s">
        <v>15</v>
      </c>
      <c r="D25" t="s">
        <v>134</v>
      </c>
      <c r="E25" t="s">
        <v>135</v>
      </c>
      <c r="F25" t="s">
        <v>32</v>
      </c>
      <c r="G25" t="s">
        <v>33</v>
      </c>
      <c r="H25" t="s">
        <v>136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137</v>
      </c>
      <c r="B26" t="s">
        <v>14</v>
      </c>
      <c r="C26" t="s">
        <v>15</v>
      </c>
      <c r="D26" t="s">
        <v>138</v>
      </c>
      <c r="E26" t="s">
        <v>139</v>
      </c>
      <c r="F26" t="s">
        <v>74</v>
      </c>
      <c r="G26" t="s">
        <v>105</v>
      </c>
      <c r="H26" t="s">
        <v>140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141</v>
      </c>
      <c r="B27" t="s">
        <v>14</v>
      </c>
      <c r="C27" t="s">
        <v>15</v>
      </c>
      <c r="D27" t="s">
        <v>142</v>
      </c>
      <c r="E27" t="s">
        <v>143</v>
      </c>
      <c r="F27" t="s">
        <v>26</v>
      </c>
      <c r="G27" t="s">
        <v>144</v>
      </c>
      <c r="H27" t="s">
        <v>145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146</v>
      </c>
      <c r="B28" t="s">
        <v>14</v>
      </c>
      <c r="C28" t="s">
        <v>15</v>
      </c>
      <c r="D28" t="s">
        <v>147</v>
      </c>
      <c r="E28" t="s">
        <v>148</v>
      </c>
      <c r="F28" t="s">
        <v>74</v>
      </c>
      <c r="G28" t="s">
        <v>75</v>
      </c>
      <c r="H28" t="s">
        <v>149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150</v>
      </c>
      <c r="B29" t="s">
        <v>14</v>
      </c>
      <c r="C29" t="s">
        <v>15</v>
      </c>
      <c r="D29" t="s">
        <v>151</v>
      </c>
      <c r="E29" t="s">
        <v>152</v>
      </c>
      <c r="F29" t="s">
        <v>32</v>
      </c>
      <c r="G29" t="s">
        <v>153</v>
      </c>
      <c r="H29" t="s">
        <v>154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155</v>
      </c>
      <c r="B30" t="s">
        <v>14</v>
      </c>
      <c r="C30" t="s">
        <v>15</v>
      </c>
      <c r="D30" t="s">
        <v>156</v>
      </c>
      <c r="E30" t="s">
        <v>157</v>
      </c>
      <c r="F30" t="s">
        <v>95</v>
      </c>
      <c r="G30" t="s">
        <v>96</v>
      </c>
      <c r="H30" t="s">
        <v>158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159</v>
      </c>
      <c r="B31" t="s">
        <v>14</v>
      </c>
      <c r="C31" t="s">
        <v>15</v>
      </c>
      <c r="D31" t="s">
        <v>160</v>
      </c>
      <c r="E31" t="s">
        <v>161</v>
      </c>
      <c r="F31" t="s">
        <v>63</v>
      </c>
      <c r="G31" t="s">
        <v>64</v>
      </c>
      <c r="H31" t="s">
        <v>162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163</v>
      </c>
      <c r="B32" t="s">
        <v>14</v>
      </c>
      <c r="C32" t="s">
        <v>15</v>
      </c>
      <c r="D32" t="s">
        <v>164</v>
      </c>
      <c r="E32" t="s">
        <v>165</v>
      </c>
      <c r="F32" t="s">
        <v>18</v>
      </c>
      <c r="G32" t="s">
        <v>166</v>
      </c>
      <c r="H32" t="s">
        <v>167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168</v>
      </c>
      <c r="B33" t="s">
        <v>14</v>
      </c>
      <c r="C33" t="s">
        <v>15</v>
      </c>
      <c r="D33" t="s">
        <v>169</v>
      </c>
      <c r="E33" t="s">
        <v>170</v>
      </c>
      <c r="F33" t="s">
        <v>26</v>
      </c>
      <c r="G33" t="s">
        <v>171</v>
      </c>
      <c r="H33" t="s">
        <v>172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173</v>
      </c>
      <c r="B34" t="s">
        <v>14</v>
      </c>
      <c r="C34" t="s">
        <v>15</v>
      </c>
      <c r="D34" t="s">
        <v>174</v>
      </c>
      <c r="E34" t="s">
        <v>175</v>
      </c>
      <c r="F34" t="s">
        <v>32</v>
      </c>
      <c r="G34" t="s">
        <v>153</v>
      </c>
      <c r="H34" t="s">
        <v>176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177</v>
      </c>
      <c r="B35" t="s">
        <v>14</v>
      </c>
      <c r="C35" t="s">
        <v>15</v>
      </c>
      <c r="D35" t="s">
        <v>178</v>
      </c>
      <c r="E35" t="s">
        <v>179</v>
      </c>
      <c r="F35" t="s">
        <v>32</v>
      </c>
      <c r="G35" t="s">
        <v>33</v>
      </c>
      <c r="H35" t="s">
        <v>180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181</v>
      </c>
      <c r="B36" t="s">
        <v>14</v>
      </c>
      <c r="C36" t="s">
        <v>15</v>
      </c>
      <c r="D36" t="s">
        <v>182</v>
      </c>
      <c r="E36" t="s">
        <v>183</v>
      </c>
      <c r="F36" t="s">
        <v>74</v>
      </c>
      <c r="G36" t="s">
        <v>75</v>
      </c>
      <c r="H36" t="s">
        <v>184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185</v>
      </c>
      <c r="B37" t="s">
        <v>14</v>
      </c>
      <c r="C37" t="s">
        <v>15</v>
      </c>
      <c r="D37" t="s">
        <v>186</v>
      </c>
      <c r="E37" t="s">
        <v>187</v>
      </c>
      <c r="F37" t="s">
        <v>18</v>
      </c>
      <c r="G37" t="s">
        <v>188</v>
      </c>
      <c r="H37" t="s">
        <v>189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190</v>
      </c>
      <c r="B38" t="s">
        <v>14</v>
      </c>
      <c r="C38" t="s">
        <v>15</v>
      </c>
      <c r="D38" t="s">
        <v>191</v>
      </c>
      <c r="E38" t="s">
        <v>192</v>
      </c>
      <c r="F38" t="s">
        <v>32</v>
      </c>
      <c r="G38" t="s">
        <v>33</v>
      </c>
      <c r="H38" t="s">
        <v>193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194</v>
      </c>
      <c r="B39" t="s">
        <v>14</v>
      </c>
      <c r="C39" t="s">
        <v>15</v>
      </c>
      <c r="D39" t="s">
        <v>195</v>
      </c>
      <c r="E39" t="s">
        <v>196</v>
      </c>
      <c r="F39" t="s">
        <v>18</v>
      </c>
      <c r="G39" t="s">
        <v>197</v>
      </c>
      <c r="H39" t="s">
        <v>198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199</v>
      </c>
      <c r="B40" t="s">
        <v>14</v>
      </c>
      <c r="C40" t="s">
        <v>15</v>
      </c>
      <c r="D40" t="s">
        <v>200</v>
      </c>
      <c r="E40" t="s">
        <v>201</v>
      </c>
      <c r="F40" t="s">
        <v>18</v>
      </c>
      <c r="G40" t="s">
        <v>197</v>
      </c>
      <c r="H40" t="s">
        <v>202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203</v>
      </c>
      <c r="B41" t="s">
        <v>14</v>
      </c>
      <c r="C41" t="s">
        <v>15</v>
      </c>
      <c r="D41" t="s">
        <v>204</v>
      </c>
      <c r="E41" t="s">
        <v>205</v>
      </c>
      <c r="F41" t="s">
        <v>18</v>
      </c>
      <c r="G41" t="s">
        <v>206</v>
      </c>
      <c r="H41" t="s">
        <v>207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208</v>
      </c>
      <c r="B42" t="s">
        <v>14</v>
      </c>
      <c r="C42" t="s">
        <v>15</v>
      </c>
      <c r="D42" t="s">
        <v>209</v>
      </c>
      <c r="E42" t="s">
        <v>210</v>
      </c>
      <c r="F42" t="s">
        <v>26</v>
      </c>
      <c r="G42" t="s">
        <v>211</v>
      </c>
      <c r="H42" t="s">
        <v>212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213</v>
      </c>
      <c r="B43" t="s">
        <v>14</v>
      </c>
      <c r="C43" t="s">
        <v>15</v>
      </c>
      <c r="D43" t="s">
        <v>214</v>
      </c>
      <c r="E43" t="s">
        <v>215</v>
      </c>
      <c r="F43" t="s">
        <v>26</v>
      </c>
      <c r="G43" t="s">
        <v>216</v>
      </c>
      <c r="H43" t="s">
        <v>217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218</v>
      </c>
      <c r="B44" t="s">
        <v>14</v>
      </c>
      <c r="C44" t="s">
        <v>15</v>
      </c>
      <c r="D44" t="s">
        <v>219</v>
      </c>
      <c r="E44" t="s">
        <v>220</v>
      </c>
      <c r="F44" t="s">
        <v>26</v>
      </c>
      <c r="G44" t="s">
        <v>171</v>
      </c>
      <c r="H44" t="s">
        <v>221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222</v>
      </c>
      <c r="B45" t="s">
        <v>14</v>
      </c>
      <c r="C45" t="s">
        <v>15</v>
      </c>
      <c r="D45" t="s">
        <v>223</v>
      </c>
      <c r="E45" t="s">
        <v>224</v>
      </c>
      <c r="F45" t="s">
        <v>18</v>
      </c>
      <c r="G45" t="s">
        <v>225</v>
      </c>
      <c r="H45" t="s">
        <v>226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227</v>
      </c>
      <c r="B46" t="s">
        <v>14</v>
      </c>
      <c r="C46" t="s">
        <v>15</v>
      </c>
      <c r="D46" t="s">
        <v>228</v>
      </c>
      <c r="E46" t="s">
        <v>229</v>
      </c>
      <c r="F46" t="s">
        <v>32</v>
      </c>
      <c r="G46" t="s">
        <v>153</v>
      </c>
      <c r="H46" t="s">
        <v>230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231</v>
      </c>
      <c r="B47" t="s">
        <v>14</v>
      </c>
      <c r="C47" t="s">
        <v>15</v>
      </c>
      <c r="D47" t="s">
        <v>232</v>
      </c>
      <c r="E47" t="s">
        <v>233</v>
      </c>
      <c r="F47" t="s">
        <v>84</v>
      </c>
      <c r="G47" t="s">
        <v>234</v>
      </c>
      <c r="H47" t="s">
        <v>235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236</v>
      </c>
      <c r="B48" t="s">
        <v>14</v>
      </c>
      <c r="C48" t="s">
        <v>15</v>
      </c>
      <c r="D48" t="s">
        <v>237</v>
      </c>
      <c r="E48" t="s">
        <v>238</v>
      </c>
      <c r="F48" t="s">
        <v>18</v>
      </c>
      <c r="G48" t="s">
        <v>239</v>
      </c>
      <c r="H48" t="s">
        <v>240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241</v>
      </c>
      <c r="B49" t="s">
        <v>14</v>
      </c>
      <c r="C49" t="s">
        <v>15</v>
      </c>
      <c r="D49" t="s">
        <v>242</v>
      </c>
      <c r="E49" t="s">
        <v>243</v>
      </c>
      <c r="F49" t="s">
        <v>244</v>
      </c>
      <c r="G49" t="s">
        <v>245</v>
      </c>
      <c r="H49" t="s">
        <v>246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247</v>
      </c>
      <c r="B50" t="s">
        <v>14</v>
      </c>
      <c r="C50" t="s">
        <v>15</v>
      </c>
      <c r="D50" t="s">
        <v>248</v>
      </c>
      <c r="E50" t="s">
        <v>249</v>
      </c>
      <c r="F50" t="s">
        <v>74</v>
      </c>
      <c r="G50" t="s">
        <v>250</v>
      </c>
      <c r="H50" t="s">
        <v>251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252</v>
      </c>
      <c r="B51" t="s">
        <v>14</v>
      </c>
      <c r="C51" t="s">
        <v>15</v>
      </c>
      <c r="D51" t="s">
        <v>253</v>
      </c>
      <c r="E51" t="s">
        <v>254</v>
      </c>
      <c r="F51" t="s">
        <v>18</v>
      </c>
      <c r="G51" t="s">
        <v>255</v>
      </c>
      <c r="H51" t="s">
        <v>256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257</v>
      </c>
      <c r="B52" t="s">
        <v>14</v>
      </c>
      <c r="C52" t="s">
        <v>15</v>
      </c>
      <c r="D52" t="s">
        <v>258</v>
      </c>
      <c r="E52" t="s">
        <v>259</v>
      </c>
      <c r="F52" t="s">
        <v>95</v>
      </c>
      <c r="G52" t="s">
        <v>260</v>
      </c>
      <c r="H52" t="s">
        <v>261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262</v>
      </c>
      <c r="B53" t="s">
        <v>14</v>
      </c>
      <c r="C53" t="s">
        <v>15</v>
      </c>
      <c r="D53" t="s">
        <v>263</v>
      </c>
      <c r="E53" t="s">
        <v>264</v>
      </c>
      <c r="F53" t="s">
        <v>18</v>
      </c>
      <c r="G53" t="s">
        <v>265</v>
      </c>
      <c r="H53" t="s">
        <v>266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267</v>
      </c>
      <c r="B54" t="s">
        <v>14</v>
      </c>
      <c r="C54" t="s">
        <v>15</v>
      </c>
      <c r="D54" t="s">
        <v>268</v>
      </c>
      <c r="E54" t="s">
        <v>269</v>
      </c>
      <c r="F54" t="s">
        <v>74</v>
      </c>
      <c r="G54" t="s">
        <v>270</v>
      </c>
      <c r="H54" t="s">
        <v>271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272</v>
      </c>
      <c r="B55" t="s">
        <v>14</v>
      </c>
      <c r="C55" t="s">
        <v>15</v>
      </c>
      <c r="D55" t="s">
        <v>273</v>
      </c>
      <c r="E55" t="s">
        <v>274</v>
      </c>
      <c r="F55" t="s">
        <v>32</v>
      </c>
      <c r="G55" t="s">
        <v>275</v>
      </c>
      <c r="H55" t="s">
        <v>276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277</v>
      </c>
      <c r="B56" t="s">
        <v>14</v>
      </c>
      <c r="C56" t="s">
        <v>15</v>
      </c>
      <c r="D56" t="s">
        <v>278</v>
      </c>
      <c r="E56" t="s">
        <v>279</v>
      </c>
      <c r="F56" t="s">
        <v>32</v>
      </c>
      <c r="G56" t="s">
        <v>280</v>
      </c>
      <c r="H56" t="s">
        <v>281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282</v>
      </c>
      <c r="B57" t="s">
        <v>14</v>
      </c>
      <c r="C57" t="s">
        <v>15</v>
      </c>
      <c r="D57" t="s">
        <v>283</v>
      </c>
      <c r="E57" t="s">
        <v>284</v>
      </c>
      <c r="F57" t="s">
        <v>18</v>
      </c>
      <c r="G57" t="s">
        <v>225</v>
      </c>
      <c r="H57" t="s">
        <v>285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286</v>
      </c>
      <c r="B58" t="s">
        <v>14</v>
      </c>
      <c r="C58" t="s">
        <v>15</v>
      </c>
      <c r="D58" t="s">
        <v>287</v>
      </c>
      <c r="E58" t="s">
        <v>288</v>
      </c>
      <c r="F58" t="s">
        <v>18</v>
      </c>
      <c r="G58" t="s">
        <v>206</v>
      </c>
      <c r="H58" t="s">
        <v>289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290</v>
      </c>
      <c r="B59" t="s">
        <v>14</v>
      </c>
      <c r="C59" t="s">
        <v>15</v>
      </c>
      <c r="D59" t="s">
        <v>291</v>
      </c>
      <c r="E59" t="s">
        <v>292</v>
      </c>
      <c r="F59" t="s">
        <v>26</v>
      </c>
      <c r="G59" t="s">
        <v>293</v>
      </c>
      <c r="H59" t="s">
        <v>294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295</v>
      </c>
      <c r="B60" t="s">
        <v>14</v>
      </c>
      <c r="C60" t="s">
        <v>15</v>
      </c>
      <c r="D60" t="s">
        <v>296</v>
      </c>
      <c r="E60" t="s">
        <v>297</v>
      </c>
      <c r="F60" t="s">
        <v>74</v>
      </c>
      <c r="G60" t="s">
        <v>298</v>
      </c>
      <c r="H60" t="s">
        <v>299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300</v>
      </c>
      <c r="B61" t="s">
        <v>14</v>
      </c>
      <c r="C61" t="s">
        <v>15</v>
      </c>
      <c r="D61" t="s">
        <v>301</v>
      </c>
      <c r="E61" t="s">
        <v>302</v>
      </c>
      <c r="F61" t="s">
        <v>18</v>
      </c>
      <c r="G61" t="s">
        <v>303</v>
      </c>
      <c r="H61" t="s">
        <v>304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305</v>
      </c>
      <c r="B62" t="s">
        <v>14</v>
      </c>
      <c r="C62" t="s">
        <v>15</v>
      </c>
      <c r="D62" t="s">
        <v>306</v>
      </c>
      <c r="E62" t="s">
        <v>307</v>
      </c>
      <c r="F62" t="s">
        <v>32</v>
      </c>
      <c r="G62" t="s">
        <v>275</v>
      </c>
      <c r="H62" t="s">
        <v>308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309</v>
      </c>
      <c r="B63" t="s">
        <v>14</v>
      </c>
      <c r="C63" t="s">
        <v>15</v>
      </c>
      <c r="D63" t="s">
        <v>310</v>
      </c>
      <c r="E63" t="s">
        <v>311</v>
      </c>
      <c r="F63" t="s">
        <v>74</v>
      </c>
      <c r="G63" t="s">
        <v>75</v>
      </c>
      <c r="H63" t="s">
        <v>312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313</v>
      </c>
      <c r="B64" t="s">
        <v>14</v>
      </c>
      <c r="C64" t="s">
        <v>15</v>
      </c>
      <c r="D64" t="s">
        <v>314</v>
      </c>
      <c r="E64" t="s">
        <v>315</v>
      </c>
      <c r="F64" t="s">
        <v>18</v>
      </c>
      <c r="G64" t="s">
        <v>316</v>
      </c>
      <c r="H64" t="s">
        <v>317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318</v>
      </c>
      <c r="B65" t="s">
        <v>14</v>
      </c>
      <c r="C65" t="s">
        <v>15</v>
      </c>
      <c r="D65" t="s">
        <v>319</v>
      </c>
      <c r="E65" t="s">
        <v>320</v>
      </c>
      <c r="F65" t="s">
        <v>18</v>
      </c>
      <c r="G65" t="s">
        <v>321</v>
      </c>
      <c r="H65" t="s">
        <v>322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323</v>
      </c>
      <c r="B66" t="s">
        <v>14</v>
      </c>
      <c r="C66" t="s">
        <v>15</v>
      </c>
      <c r="D66" t="s">
        <v>324</v>
      </c>
      <c r="E66" t="s">
        <v>325</v>
      </c>
      <c r="F66" t="s">
        <v>74</v>
      </c>
      <c r="G66" t="s">
        <v>326</v>
      </c>
      <c r="H66" t="s">
        <v>327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328</v>
      </c>
      <c r="B67" t="s">
        <v>14</v>
      </c>
      <c r="C67" t="s">
        <v>15</v>
      </c>
      <c r="D67" t="s">
        <v>329</v>
      </c>
      <c r="E67" t="s">
        <v>330</v>
      </c>
      <c r="F67" t="s">
        <v>26</v>
      </c>
      <c r="G67" t="s">
        <v>331</v>
      </c>
      <c r="H67" t="s">
        <v>332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333</v>
      </c>
      <c r="B68" t="s">
        <v>14</v>
      </c>
      <c r="C68" t="s">
        <v>15</v>
      </c>
      <c r="D68" t="s">
        <v>334</v>
      </c>
      <c r="E68" t="s">
        <v>335</v>
      </c>
      <c r="F68" t="s">
        <v>18</v>
      </c>
      <c r="G68" t="s">
        <v>336</v>
      </c>
      <c r="H68" t="s">
        <v>337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338</v>
      </c>
      <c r="B69" t="s">
        <v>14</v>
      </c>
      <c r="C69" t="s">
        <v>15</v>
      </c>
      <c r="D69" t="s">
        <v>339</v>
      </c>
      <c r="E69" t="s">
        <v>340</v>
      </c>
      <c r="F69" t="s">
        <v>18</v>
      </c>
      <c r="G69" t="s">
        <v>336</v>
      </c>
      <c r="H69" t="s">
        <v>341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342</v>
      </c>
      <c r="B70" t="s">
        <v>14</v>
      </c>
      <c r="C70" t="s">
        <v>15</v>
      </c>
      <c r="D70" t="s">
        <v>343</v>
      </c>
      <c r="E70" t="s">
        <v>344</v>
      </c>
      <c r="F70" t="s">
        <v>74</v>
      </c>
      <c r="G70" t="s">
        <v>75</v>
      </c>
      <c r="H70" t="s">
        <v>345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346</v>
      </c>
      <c r="B71" t="s">
        <v>14</v>
      </c>
      <c r="C71" t="s">
        <v>15</v>
      </c>
      <c r="D71" t="s">
        <v>347</v>
      </c>
      <c r="E71" t="s">
        <v>348</v>
      </c>
      <c r="F71" t="s">
        <v>18</v>
      </c>
      <c r="G71" t="s">
        <v>349</v>
      </c>
      <c r="H71" t="s">
        <v>350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351</v>
      </c>
      <c r="B72" t="s">
        <v>14</v>
      </c>
      <c r="C72" t="s">
        <v>15</v>
      </c>
      <c r="D72" t="s">
        <v>352</v>
      </c>
      <c r="E72" t="s">
        <v>353</v>
      </c>
      <c r="F72" t="s">
        <v>32</v>
      </c>
      <c r="G72" t="s">
        <v>33</v>
      </c>
      <c r="H72" t="s">
        <v>354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355</v>
      </c>
      <c r="B73" t="s">
        <v>14</v>
      </c>
      <c r="C73" t="s">
        <v>15</v>
      </c>
      <c r="D73" t="s">
        <v>356</v>
      </c>
      <c r="E73" t="s">
        <v>357</v>
      </c>
      <c r="F73" t="s">
        <v>26</v>
      </c>
      <c r="G73" t="s">
        <v>293</v>
      </c>
      <c r="H73" t="s">
        <v>358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359</v>
      </c>
      <c r="B74" t="s">
        <v>14</v>
      </c>
      <c r="C74" t="s">
        <v>15</v>
      </c>
      <c r="D74" t="s">
        <v>360</v>
      </c>
      <c r="E74" t="s">
        <v>361</v>
      </c>
      <c r="F74" t="s">
        <v>32</v>
      </c>
      <c r="G74" t="s">
        <v>280</v>
      </c>
      <c r="H74" t="s">
        <v>362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363</v>
      </c>
      <c r="B75" t="s">
        <v>14</v>
      </c>
      <c r="C75" t="s">
        <v>15</v>
      </c>
      <c r="D75" t="s">
        <v>364</v>
      </c>
      <c r="E75" t="s">
        <v>365</v>
      </c>
      <c r="F75" t="s">
        <v>18</v>
      </c>
      <c r="G75" t="s">
        <v>366</v>
      </c>
      <c r="H75" t="s">
        <v>367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368</v>
      </c>
      <c r="B76" t="s">
        <v>14</v>
      </c>
      <c r="C76" t="s">
        <v>15</v>
      </c>
      <c r="D76" t="s">
        <v>369</v>
      </c>
      <c r="E76" t="s">
        <v>370</v>
      </c>
      <c r="F76" t="s">
        <v>18</v>
      </c>
      <c r="G76" t="s">
        <v>349</v>
      </c>
      <c r="H76" t="s">
        <v>371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372</v>
      </c>
      <c r="B77" t="s">
        <v>14</v>
      </c>
      <c r="C77" t="s">
        <v>15</v>
      </c>
      <c r="D77" t="s">
        <v>373</v>
      </c>
      <c r="E77" t="s">
        <v>374</v>
      </c>
      <c r="F77" t="s">
        <v>95</v>
      </c>
      <c r="G77" t="s">
        <v>260</v>
      </c>
      <c r="H77" t="s">
        <v>375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376</v>
      </c>
      <c r="B78" t="s">
        <v>14</v>
      </c>
      <c r="C78" t="s">
        <v>15</v>
      </c>
      <c r="D78" t="s">
        <v>377</v>
      </c>
      <c r="E78" t="s">
        <v>378</v>
      </c>
      <c r="F78" t="s">
        <v>244</v>
      </c>
      <c r="G78" t="s">
        <v>379</v>
      </c>
      <c r="H78" t="s">
        <v>380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381</v>
      </c>
      <c r="B79" t="s">
        <v>14</v>
      </c>
      <c r="C79" t="s">
        <v>15</v>
      </c>
      <c r="D79" t="s">
        <v>382</v>
      </c>
      <c r="E79" t="s">
        <v>383</v>
      </c>
      <c r="F79" t="s">
        <v>244</v>
      </c>
      <c r="G79" t="s">
        <v>379</v>
      </c>
      <c r="H79" t="s">
        <v>384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385</v>
      </c>
      <c r="B80" t="s">
        <v>14</v>
      </c>
      <c r="C80" t="s">
        <v>15</v>
      </c>
      <c r="D80" t="s">
        <v>386</v>
      </c>
      <c r="E80" t="s">
        <v>387</v>
      </c>
      <c r="F80" t="s">
        <v>18</v>
      </c>
      <c r="G80" t="s">
        <v>321</v>
      </c>
      <c r="H80" t="s">
        <v>388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389</v>
      </c>
      <c r="B81" t="s">
        <v>14</v>
      </c>
      <c r="C81" t="s">
        <v>15</v>
      </c>
      <c r="D81" t="s">
        <v>390</v>
      </c>
      <c r="E81" t="s">
        <v>391</v>
      </c>
      <c r="F81" t="s">
        <v>244</v>
      </c>
      <c r="G81" t="s">
        <v>392</v>
      </c>
      <c r="H81" t="s">
        <v>393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394</v>
      </c>
      <c r="B82" t="s">
        <v>14</v>
      </c>
      <c r="C82" t="s">
        <v>15</v>
      </c>
      <c r="D82" t="s">
        <v>395</v>
      </c>
      <c r="E82" t="s">
        <v>396</v>
      </c>
      <c r="F82" t="s">
        <v>26</v>
      </c>
      <c r="G82" t="s">
        <v>27</v>
      </c>
      <c r="H82" t="s">
        <v>397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398</v>
      </c>
      <c r="B83" t="s">
        <v>14</v>
      </c>
      <c r="C83" t="s">
        <v>15</v>
      </c>
      <c r="D83" t="s">
        <v>399</v>
      </c>
      <c r="E83" t="s">
        <v>400</v>
      </c>
      <c r="F83" t="s">
        <v>74</v>
      </c>
      <c r="G83" t="s">
        <v>401</v>
      </c>
      <c r="H83" t="s">
        <v>402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403</v>
      </c>
      <c r="B84" t="s">
        <v>14</v>
      </c>
      <c r="C84" t="s">
        <v>15</v>
      </c>
      <c r="D84" t="s">
        <v>404</v>
      </c>
      <c r="E84" t="s">
        <v>405</v>
      </c>
      <c r="F84" t="s">
        <v>74</v>
      </c>
      <c r="G84" t="s">
        <v>406</v>
      </c>
      <c r="H84" t="s">
        <v>407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408</v>
      </c>
      <c r="B85" t="s">
        <v>14</v>
      </c>
      <c r="C85" t="s">
        <v>15</v>
      </c>
      <c r="D85" t="s">
        <v>409</v>
      </c>
      <c r="E85" t="s">
        <v>410</v>
      </c>
      <c r="F85" t="s">
        <v>74</v>
      </c>
      <c r="G85" t="s">
        <v>75</v>
      </c>
      <c r="H85" t="s">
        <v>411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412</v>
      </c>
      <c r="B86" t="s">
        <v>14</v>
      </c>
      <c r="C86" t="s">
        <v>15</v>
      </c>
      <c r="D86" t="s">
        <v>413</v>
      </c>
      <c r="E86" t="s">
        <v>414</v>
      </c>
      <c r="F86" t="s">
        <v>95</v>
      </c>
      <c r="G86" t="s">
        <v>415</v>
      </c>
      <c r="H86" t="s">
        <v>416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417</v>
      </c>
      <c r="B87" t="s">
        <v>14</v>
      </c>
      <c r="C87" t="s">
        <v>15</v>
      </c>
      <c r="D87" t="s">
        <v>418</v>
      </c>
      <c r="E87" t="s">
        <v>419</v>
      </c>
      <c r="F87" t="s">
        <v>74</v>
      </c>
      <c r="G87" t="s">
        <v>250</v>
      </c>
      <c r="H87" t="s">
        <v>420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421</v>
      </c>
      <c r="B88" t="s">
        <v>14</v>
      </c>
      <c r="C88" t="s">
        <v>15</v>
      </c>
      <c r="D88" t="s">
        <v>422</v>
      </c>
      <c r="E88" t="s">
        <v>423</v>
      </c>
      <c r="F88" t="s">
        <v>84</v>
      </c>
      <c r="G88" t="s">
        <v>424</v>
      </c>
      <c r="H88" t="s">
        <v>425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426</v>
      </c>
      <c r="B89" t="s">
        <v>14</v>
      </c>
      <c r="C89" t="s">
        <v>15</v>
      </c>
      <c r="D89" t="s">
        <v>427</v>
      </c>
      <c r="E89" t="s">
        <v>428</v>
      </c>
      <c r="F89" t="s">
        <v>32</v>
      </c>
      <c r="G89" t="s">
        <v>429</v>
      </c>
      <c r="H89" t="s">
        <v>430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431</v>
      </c>
      <c r="B90" t="s">
        <v>14</v>
      </c>
      <c r="C90" t="s">
        <v>15</v>
      </c>
      <c r="D90" t="s">
        <v>432</v>
      </c>
      <c r="E90" t="s">
        <v>433</v>
      </c>
      <c r="F90" t="s">
        <v>26</v>
      </c>
      <c r="G90" t="s">
        <v>85</v>
      </c>
      <c r="H90" t="s">
        <v>434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435</v>
      </c>
      <c r="B91" t="s">
        <v>14</v>
      </c>
      <c r="C91" t="s">
        <v>15</v>
      </c>
      <c r="D91" t="s">
        <v>436</v>
      </c>
      <c r="E91" t="s">
        <v>437</v>
      </c>
      <c r="F91" t="s">
        <v>57</v>
      </c>
      <c r="G91" t="s">
        <v>58</v>
      </c>
      <c r="H91" t="s">
        <v>438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439</v>
      </c>
      <c r="B92" t="s">
        <v>14</v>
      </c>
      <c r="C92" t="s">
        <v>15</v>
      </c>
      <c r="D92" t="s">
        <v>440</v>
      </c>
      <c r="E92" t="s">
        <v>441</v>
      </c>
      <c r="F92" t="s">
        <v>57</v>
      </c>
      <c r="G92" t="s">
        <v>58</v>
      </c>
      <c r="H92" t="s">
        <v>442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443</v>
      </c>
      <c r="B93" t="s">
        <v>14</v>
      </c>
      <c r="C93" t="s">
        <v>15</v>
      </c>
      <c r="D93" t="s">
        <v>444</v>
      </c>
      <c r="E93" t="s">
        <v>441</v>
      </c>
      <c r="F93" t="s">
        <v>57</v>
      </c>
      <c r="G93" t="s">
        <v>58</v>
      </c>
      <c r="H93" t="s">
        <v>445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446</v>
      </c>
      <c r="B94" t="s">
        <v>14</v>
      </c>
      <c r="C94" t="s">
        <v>15</v>
      </c>
      <c r="D94" t="s">
        <v>447</v>
      </c>
      <c r="E94" t="s">
        <v>448</v>
      </c>
      <c r="F94" t="s">
        <v>18</v>
      </c>
      <c r="G94" t="s">
        <v>225</v>
      </c>
      <c r="H94" t="s">
        <v>449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450</v>
      </c>
      <c r="B95" t="s">
        <v>14</v>
      </c>
      <c r="C95" t="s">
        <v>15</v>
      </c>
      <c r="D95" t="s">
        <v>451</v>
      </c>
      <c r="E95" t="s">
        <v>452</v>
      </c>
      <c r="F95" t="s">
        <v>63</v>
      </c>
      <c r="G95" t="s">
        <v>64</v>
      </c>
      <c r="H95" t="s">
        <v>453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454</v>
      </c>
      <c r="B96" t="s">
        <v>14</v>
      </c>
      <c r="C96" t="s">
        <v>15</v>
      </c>
      <c r="D96" t="s">
        <v>455</v>
      </c>
      <c r="E96" t="s">
        <v>456</v>
      </c>
      <c r="F96" t="s">
        <v>74</v>
      </c>
      <c r="G96" t="s">
        <v>457</v>
      </c>
      <c r="H96" t="s">
        <v>458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459</v>
      </c>
      <c r="B97" t="s">
        <v>14</v>
      </c>
      <c r="C97" t="s">
        <v>15</v>
      </c>
      <c r="D97" t="s">
        <v>460</v>
      </c>
      <c r="E97" t="s">
        <v>461</v>
      </c>
      <c r="F97" t="s">
        <v>26</v>
      </c>
      <c r="G97" t="s">
        <v>211</v>
      </c>
      <c r="H97" t="s">
        <v>462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463</v>
      </c>
      <c r="B98" t="s">
        <v>14</v>
      </c>
      <c r="C98" t="s">
        <v>15</v>
      </c>
      <c r="D98" t="s">
        <v>464</v>
      </c>
      <c r="E98" t="s">
        <v>465</v>
      </c>
      <c r="F98" t="s">
        <v>74</v>
      </c>
      <c r="G98" t="s">
        <v>457</v>
      </c>
      <c r="H98" t="s">
        <v>466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467</v>
      </c>
      <c r="B99" t="s">
        <v>14</v>
      </c>
      <c r="C99" t="s">
        <v>15</v>
      </c>
      <c r="D99" t="s">
        <v>468</v>
      </c>
      <c r="E99" t="s">
        <v>469</v>
      </c>
      <c r="F99" t="s">
        <v>18</v>
      </c>
      <c r="G99" t="s">
        <v>470</v>
      </c>
      <c r="H99" t="s">
        <v>471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472</v>
      </c>
      <c r="B100" t="s">
        <v>14</v>
      </c>
      <c r="C100" t="s">
        <v>15</v>
      </c>
      <c r="D100" t="s">
        <v>473</v>
      </c>
      <c r="E100" t="s">
        <v>474</v>
      </c>
      <c r="F100" t="s">
        <v>74</v>
      </c>
      <c r="G100" t="s">
        <v>105</v>
      </c>
      <c r="H100" t="s">
        <v>475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476</v>
      </c>
      <c r="B101" t="s">
        <v>14</v>
      </c>
      <c r="C101" t="s">
        <v>15</v>
      </c>
      <c r="D101" t="s">
        <v>477</v>
      </c>
      <c r="E101" t="s">
        <v>478</v>
      </c>
      <c r="F101" t="s">
        <v>74</v>
      </c>
      <c r="G101" t="s">
        <v>326</v>
      </c>
      <c r="H101" t="s">
        <v>479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480</v>
      </c>
      <c r="B102" t="s">
        <v>14</v>
      </c>
      <c r="C102" t="s">
        <v>15</v>
      </c>
      <c r="D102" t="s">
        <v>481</v>
      </c>
      <c r="E102" t="s">
        <v>482</v>
      </c>
      <c r="F102" t="s">
        <v>32</v>
      </c>
      <c r="G102" t="s">
        <v>131</v>
      </c>
      <c r="H102" t="s">
        <v>483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484</v>
      </c>
      <c r="B103" t="s">
        <v>14</v>
      </c>
      <c r="C103" t="s">
        <v>15</v>
      </c>
      <c r="D103" t="s">
        <v>485</v>
      </c>
      <c r="E103" t="s">
        <v>486</v>
      </c>
      <c r="F103" t="s">
        <v>32</v>
      </c>
      <c r="G103" t="s">
        <v>280</v>
      </c>
      <c r="H103" t="s">
        <v>487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488</v>
      </c>
      <c r="B104" t="s">
        <v>14</v>
      </c>
      <c r="C104" t="s">
        <v>15</v>
      </c>
      <c r="D104" t="s">
        <v>489</v>
      </c>
      <c r="E104" t="s">
        <v>490</v>
      </c>
      <c r="F104" t="s">
        <v>32</v>
      </c>
      <c r="G104" t="s">
        <v>280</v>
      </c>
      <c r="H104" t="s">
        <v>491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492</v>
      </c>
      <c r="B105" t="s">
        <v>14</v>
      </c>
      <c r="C105" t="s">
        <v>15</v>
      </c>
      <c r="D105" t="s">
        <v>493</v>
      </c>
      <c r="E105" t="s">
        <v>494</v>
      </c>
      <c r="F105" t="s">
        <v>26</v>
      </c>
      <c r="G105" t="s">
        <v>495</v>
      </c>
      <c r="H105" t="s">
        <v>496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497</v>
      </c>
      <c r="B106" t="s">
        <v>14</v>
      </c>
      <c r="C106" t="s">
        <v>15</v>
      </c>
      <c r="D106" t="s">
        <v>498</v>
      </c>
      <c r="E106" t="s">
        <v>499</v>
      </c>
      <c r="F106" t="s">
        <v>32</v>
      </c>
      <c r="G106" t="s">
        <v>33</v>
      </c>
      <c r="H106" t="s">
        <v>500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501</v>
      </c>
      <c r="B107" t="s">
        <v>14</v>
      </c>
      <c r="C107" t="s">
        <v>15</v>
      </c>
      <c r="D107" t="s">
        <v>502</v>
      </c>
      <c r="E107" t="s">
        <v>503</v>
      </c>
      <c r="F107" t="s">
        <v>32</v>
      </c>
      <c r="G107" t="s">
        <v>131</v>
      </c>
      <c r="H107" t="s">
        <v>504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505</v>
      </c>
      <c r="B108" t="s">
        <v>14</v>
      </c>
      <c r="C108" t="s">
        <v>15</v>
      </c>
      <c r="D108" t="s">
        <v>506</v>
      </c>
      <c r="E108" t="s">
        <v>507</v>
      </c>
      <c r="F108" t="s">
        <v>18</v>
      </c>
      <c r="G108" t="s">
        <v>508</v>
      </c>
      <c r="H108" t="s">
        <v>509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510</v>
      </c>
      <c r="B109" t="s">
        <v>14</v>
      </c>
      <c r="C109" t="s">
        <v>15</v>
      </c>
      <c r="D109" t="s">
        <v>511</v>
      </c>
      <c r="E109" t="s">
        <v>512</v>
      </c>
      <c r="F109" t="s">
        <v>74</v>
      </c>
      <c r="G109" t="s">
        <v>75</v>
      </c>
      <c r="H109" t="s">
        <v>513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514</v>
      </c>
      <c r="B110" t="s">
        <v>14</v>
      </c>
      <c r="C110" t="s">
        <v>15</v>
      </c>
      <c r="D110" t="s">
        <v>515</v>
      </c>
      <c r="E110" t="s">
        <v>516</v>
      </c>
      <c r="F110" t="s">
        <v>32</v>
      </c>
      <c r="G110" t="s">
        <v>280</v>
      </c>
      <c r="H110" t="s">
        <v>517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518</v>
      </c>
      <c r="B111" t="s">
        <v>14</v>
      </c>
      <c r="C111" t="s">
        <v>15</v>
      </c>
      <c r="D111" t="s">
        <v>519</v>
      </c>
      <c r="E111" t="s">
        <v>520</v>
      </c>
      <c r="F111" t="s">
        <v>74</v>
      </c>
      <c r="G111" t="s">
        <v>75</v>
      </c>
      <c r="H111" t="s">
        <v>521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522</v>
      </c>
      <c r="B112" t="s">
        <v>14</v>
      </c>
      <c r="C112" t="s">
        <v>15</v>
      </c>
      <c r="D112" t="s">
        <v>523</v>
      </c>
      <c r="E112" t="s">
        <v>524</v>
      </c>
      <c r="F112" t="s">
        <v>32</v>
      </c>
      <c r="G112" t="s">
        <v>33</v>
      </c>
      <c r="H112" t="s">
        <v>525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526</v>
      </c>
      <c r="B113" t="s">
        <v>14</v>
      </c>
      <c r="C113" t="s">
        <v>15</v>
      </c>
      <c r="D113" t="s">
        <v>527</v>
      </c>
      <c r="E113" t="s">
        <v>528</v>
      </c>
      <c r="F113" t="s">
        <v>26</v>
      </c>
      <c r="G113" t="s">
        <v>529</v>
      </c>
      <c r="H113" t="s">
        <v>530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531</v>
      </c>
      <c r="B114" t="s">
        <v>14</v>
      </c>
      <c r="C114" t="s">
        <v>15</v>
      </c>
      <c r="D114" t="s">
        <v>532</v>
      </c>
      <c r="E114" t="s">
        <v>533</v>
      </c>
      <c r="F114" t="s">
        <v>95</v>
      </c>
      <c r="G114" t="s">
        <v>534</v>
      </c>
      <c r="H114" t="s">
        <v>535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536</v>
      </c>
      <c r="B115" t="s">
        <v>14</v>
      </c>
      <c r="C115" t="s">
        <v>15</v>
      </c>
      <c r="D115" t="s">
        <v>537</v>
      </c>
      <c r="E115" t="s">
        <v>538</v>
      </c>
      <c r="F115" t="s">
        <v>26</v>
      </c>
      <c r="G115" t="s">
        <v>539</v>
      </c>
      <c r="H115" t="s">
        <v>540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541</v>
      </c>
      <c r="B116" t="s">
        <v>14</v>
      </c>
      <c r="C116" t="s">
        <v>15</v>
      </c>
      <c r="D116" t="s">
        <v>542</v>
      </c>
      <c r="E116" t="s">
        <v>543</v>
      </c>
      <c r="F116" t="s">
        <v>26</v>
      </c>
      <c r="G116" t="s">
        <v>539</v>
      </c>
      <c r="H116" t="s">
        <v>544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545</v>
      </c>
      <c r="B117" t="s">
        <v>14</v>
      </c>
      <c r="C117" t="s">
        <v>15</v>
      </c>
      <c r="D117" t="s">
        <v>546</v>
      </c>
      <c r="E117" t="s">
        <v>547</v>
      </c>
      <c r="F117" t="s">
        <v>244</v>
      </c>
      <c r="G117" t="s">
        <v>392</v>
      </c>
      <c r="H117" t="s">
        <v>548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549</v>
      </c>
      <c r="B118" t="s">
        <v>14</v>
      </c>
      <c r="C118" t="s">
        <v>15</v>
      </c>
      <c r="D118" t="s">
        <v>550</v>
      </c>
      <c r="E118" t="s">
        <v>551</v>
      </c>
      <c r="F118" t="s">
        <v>244</v>
      </c>
      <c r="G118" t="s">
        <v>539</v>
      </c>
      <c r="H118" t="s">
        <v>552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553</v>
      </c>
      <c r="B119" t="s">
        <v>14</v>
      </c>
      <c r="C119" t="s">
        <v>15</v>
      </c>
      <c r="D119" t="s">
        <v>554</v>
      </c>
      <c r="E119" t="s">
        <v>555</v>
      </c>
      <c r="F119" t="s">
        <v>32</v>
      </c>
      <c r="G119" t="s">
        <v>131</v>
      </c>
      <c r="H119" t="s">
        <v>556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557</v>
      </c>
      <c r="B120" t="s">
        <v>14</v>
      </c>
      <c r="C120" t="s">
        <v>15</v>
      </c>
      <c r="D120" t="s">
        <v>558</v>
      </c>
      <c r="E120" t="s">
        <v>559</v>
      </c>
      <c r="F120" t="s">
        <v>32</v>
      </c>
      <c r="G120" t="s">
        <v>33</v>
      </c>
      <c r="H120" t="s">
        <v>560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561</v>
      </c>
      <c r="B121" t="s">
        <v>14</v>
      </c>
      <c r="C121" t="s">
        <v>15</v>
      </c>
      <c r="D121" t="s">
        <v>562</v>
      </c>
      <c r="E121" t="s">
        <v>563</v>
      </c>
      <c r="F121" t="s">
        <v>32</v>
      </c>
      <c r="G121" t="s">
        <v>153</v>
      </c>
      <c r="H121" t="s">
        <v>564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565</v>
      </c>
      <c r="B122" t="s">
        <v>14</v>
      </c>
      <c r="C122" t="s">
        <v>15</v>
      </c>
      <c r="D122" t="s">
        <v>566</v>
      </c>
      <c r="E122" t="s">
        <v>567</v>
      </c>
      <c r="F122" t="s">
        <v>32</v>
      </c>
      <c r="G122" t="s">
        <v>131</v>
      </c>
      <c r="H122" t="s">
        <v>568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569</v>
      </c>
      <c r="B123" t="s">
        <v>14</v>
      </c>
      <c r="C123" t="s">
        <v>15</v>
      </c>
      <c r="D123" t="s">
        <v>570</v>
      </c>
      <c r="E123" t="s">
        <v>571</v>
      </c>
      <c r="F123" t="s">
        <v>18</v>
      </c>
      <c r="G123" t="s">
        <v>495</v>
      </c>
      <c r="H123" t="s">
        <v>572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573</v>
      </c>
      <c r="B124" t="s">
        <v>14</v>
      </c>
      <c r="C124" t="s">
        <v>15</v>
      </c>
      <c r="D124" t="s">
        <v>574</v>
      </c>
      <c r="E124" t="s">
        <v>575</v>
      </c>
      <c r="F124" t="s">
        <v>74</v>
      </c>
      <c r="G124" t="s">
        <v>105</v>
      </c>
      <c r="H124" t="s">
        <v>576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577</v>
      </c>
      <c r="B125" t="s">
        <v>14</v>
      </c>
      <c r="C125" t="s">
        <v>15</v>
      </c>
      <c r="D125" t="s">
        <v>578</v>
      </c>
      <c r="E125" t="s">
        <v>579</v>
      </c>
      <c r="F125" t="s">
        <v>18</v>
      </c>
      <c r="G125" t="s">
        <v>580</v>
      </c>
      <c r="H125" t="s">
        <v>581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582</v>
      </c>
      <c r="B126" t="s">
        <v>14</v>
      </c>
      <c r="C126" t="s">
        <v>15</v>
      </c>
      <c r="D126" t="s">
        <v>583</v>
      </c>
      <c r="E126" t="s">
        <v>584</v>
      </c>
      <c r="F126" t="s">
        <v>32</v>
      </c>
      <c r="G126" t="s">
        <v>275</v>
      </c>
      <c r="H126" t="s">
        <v>585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586</v>
      </c>
      <c r="B127" t="s">
        <v>14</v>
      </c>
      <c r="C127" t="s">
        <v>15</v>
      </c>
      <c r="D127" t="s">
        <v>587</v>
      </c>
      <c r="E127" t="s">
        <v>588</v>
      </c>
      <c r="F127" t="s">
        <v>84</v>
      </c>
      <c r="G127" t="s">
        <v>424</v>
      </c>
      <c r="H127" t="s">
        <v>589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590</v>
      </c>
      <c r="B128" t="s">
        <v>14</v>
      </c>
      <c r="C128" t="s">
        <v>15</v>
      </c>
      <c r="D128" t="s">
        <v>591</v>
      </c>
      <c r="E128" t="s">
        <v>592</v>
      </c>
      <c r="F128" t="s">
        <v>95</v>
      </c>
      <c r="G128" t="s">
        <v>593</v>
      </c>
      <c r="H128" t="s">
        <v>594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595</v>
      </c>
      <c r="B129" t="s">
        <v>14</v>
      </c>
      <c r="C129" t="s">
        <v>15</v>
      </c>
      <c r="D129" t="s">
        <v>596</v>
      </c>
      <c r="E129" t="s">
        <v>597</v>
      </c>
      <c r="F129" t="s">
        <v>74</v>
      </c>
      <c r="G129" t="s">
        <v>105</v>
      </c>
      <c r="H129" t="s">
        <v>598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599</v>
      </c>
      <c r="B130" t="s">
        <v>14</v>
      </c>
      <c r="C130" t="s">
        <v>15</v>
      </c>
      <c r="D130" t="s">
        <v>600</v>
      </c>
      <c r="E130" t="s">
        <v>601</v>
      </c>
      <c r="F130" t="s">
        <v>74</v>
      </c>
      <c r="G130" t="s">
        <v>75</v>
      </c>
      <c r="H130" t="s">
        <v>602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603</v>
      </c>
      <c r="B131" t="s">
        <v>14</v>
      </c>
      <c r="C131" t="s">
        <v>15</v>
      </c>
      <c r="D131" t="s">
        <v>604</v>
      </c>
      <c r="E131" t="s">
        <v>605</v>
      </c>
      <c r="F131" t="s">
        <v>84</v>
      </c>
      <c r="G131" t="s">
        <v>606</v>
      </c>
      <c r="H131" t="s">
        <v>607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608</v>
      </c>
      <c r="B132" t="s">
        <v>14</v>
      </c>
      <c r="C132" t="s">
        <v>15</v>
      </c>
      <c r="D132" t="s">
        <v>609</v>
      </c>
      <c r="E132" t="s">
        <v>610</v>
      </c>
      <c r="F132" t="s">
        <v>63</v>
      </c>
      <c r="G132" t="s">
        <v>611</v>
      </c>
      <c r="H132" t="s">
        <v>612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613</v>
      </c>
      <c r="B133" t="s">
        <v>14</v>
      </c>
      <c r="C133" t="s">
        <v>15</v>
      </c>
      <c r="D133" t="s">
        <v>614</v>
      </c>
      <c r="E133" t="s">
        <v>615</v>
      </c>
      <c r="F133" t="s">
        <v>26</v>
      </c>
      <c r="G133" t="s">
        <v>69</v>
      </c>
      <c r="H133" t="s">
        <v>616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617</v>
      </c>
      <c r="B134" t="s">
        <v>14</v>
      </c>
      <c r="C134" t="s">
        <v>15</v>
      </c>
      <c r="D134" t="s">
        <v>618</v>
      </c>
      <c r="E134" t="s">
        <v>619</v>
      </c>
      <c r="F134" t="s">
        <v>26</v>
      </c>
      <c r="G134" t="s">
        <v>27</v>
      </c>
      <c r="H134" t="s">
        <v>620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621</v>
      </c>
      <c r="B135" t="s">
        <v>14</v>
      </c>
      <c r="C135" t="s">
        <v>15</v>
      </c>
      <c r="D135" t="s">
        <v>622</v>
      </c>
      <c r="E135" t="s">
        <v>623</v>
      </c>
      <c r="F135" t="s">
        <v>74</v>
      </c>
      <c r="G135" t="s">
        <v>624</v>
      </c>
      <c r="H135" t="s">
        <v>625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626</v>
      </c>
      <c r="B136" t="s">
        <v>14</v>
      </c>
      <c r="C136" t="s">
        <v>15</v>
      </c>
      <c r="D136" t="s">
        <v>627</v>
      </c>
      <c r="E136" t="s">
        <v>628</v>
      </c>
      <c r="F136" t="s">
        <v>26</v>
      </c>
      <c r="G136" t="s">
        <v>211</v>
      </c>
      <c r="H136" t="s">
        <v>629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630</v>
      </c>
      <c r="B137" t="s">
        <v>14</v>
      </c>
      <c r="C137" t="s">
        <v>15</v>
      </c>
      <c r="D137" t="s">
        <v>631</v>
      </c>
      <c r="E137" t="s">
        <v>632</v>
      </c>
      <c r="F137" t="s">
        <v>18</v>
      </c>
      <c r="G137" t="s">
        <v>366</v>
      </c>
      <c r="H137" t="s">
        <v>633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634</v>
      </c>
      <c r="B138" t="s">
        <v>14</v>
      </c>
      <c r="C138" t="s">
        <v>15</v>
      </c>
      <c r="D138" t="s">
        <v>635</v>
      </c>
      <c r="E138" t="s">
        <v>636</v>
      </c>
      <c r="F138" t="s">
        <v>74</v>
      </c>
      <c r="G138" t="s">
        <v>75</v>
      </c>
      <c r="H138" t="s">
        <v>637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638</v>
      </c>
      <c r="B139" t="s">
        <v>14</v>
      </c>
      <c r="C139" t="s">
        <v>15</v>
      </c>
      <c r="D139" t="s">
        <v>639</v>
      </c>
      <c r="E139" t="s">
        <v>640</v>
      </c>
      <c r="F139" t="s">
        <v>63</v>
      </c>
      <c r="G139" t="s">
        <v>64</v>
      </c>
      <c r="H139" t="s">
        <v>641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642</v>
      </c>
      <c r="B140" t="s">
        <v>14</v>
      </c>
      <c r="C140" t="s">
        <v>15</v>
      </c>
      <c r="D140" t="s">
        <v>643</v>
      </c>
      <c r="E140" t="s">
        <v>644</v>
      </c>
      <c r="F140" t="s">
        <v>26</v>
      </c>
      <c r="G140" t="s">
        <v>131</v>
      </c>
      <c r="H140" t="s">
        <v>645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646</v>
      </c>
      <c r="B141" t="s">
        <v>14</v>
      </c>
      <c r="C141" t="s">
        <v>15</v>
      </c>
      <c r="D141" t="s">
        <v>647</v>
      </c>
      <c r="E141" t="s">
        <v>648</v>
      </c>
      <c r="F141" t="s">
        <v>63</v>
      </c>
      <c r="G141" t="s">
        <v>64</v>
      </c>
      <c r="H141" t="s">
        <v>649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650</v>
      </c>
      <c r="B142" t="s">
        <v>14</v>
      </c>
      <c r="C142" t="s">
        <v>15</v>
      </c>
      <c r="D142" t="s">
        <v>651</v>
      </c>
      <c r="E142" t="s">
        <v>652</v>
      </c>
      <c r="F142" t="s">
        <v>74</v>
      </c>
      <c r="G142" t="s">
        <v>75</v>
      </c>
      <c r="H142" t="s">
        <v>653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654</v>
      </c>
      <c r="B143" t="s">
        <v>14</v>
      </c>
      <c r="C143" t="s">
        <v>15</v>
      </c>
      <c r="D143" t="s">
        <v>655</v>
      </c>
      <c r="E143" t="s">
        <v>656</v>
      </c>
      <c r="F143" t="s">
        <v>74</v>
      </c>
      <c r="G143" t="s">
        <v>105</v>
      </c>
      <c r="H143" t="s">
        <v>657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658</v>
      </c>
      <c r="B144" t="s">
        <v>14</v>
      </c>
      <c r="C144" t="s">
        <v>15</v>
      </c>
      <c r="D144" t="s">
        <v>659</v>
      </c>
      <c r="E144" t="s">
        <v>660</v>
      </c>
      <c r="F144" t="s">
        <v>26</v>
      </c>
      <c r="G144" t="s">
        <v>52</v>
      </c>
      <c r="H144" t="s">
        <v>661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662</v>
      </c>
      <c r="B145" t="s">
        <v>14</v>
      </c>
      <c r="C145" t="s">
        <v>15</v>
      </c>
      <c r="D145" t="s">
        <v>663</v>
      </c>
      <c r="E145" t="s">
        <v>664</v>
      </c>
      <c r="F145" t="s">
        <v>32</v>
      </c>
      <c r="G145" t="s">
        <v>69</v>
      </c>
      <c r="H145" t="s">
        <v>665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666</v>
      </c>
      <c r="B146" t="s">
        <v>14</v>
      </c>
      <c r="C146" t="s">
        <v>15</v>
      </c>
      <c r="D146" t="s">
        <v>667</v>
      </c>
      <c r="E146" t="s">
        <v>668</v>
      </c>
      <c r="F146" t="s">
        <v>18</v>
      </c>
      <c r="G146" t="s">
        <v>197</v>
      </c>
      <c r="H146" t="s">
        <v>669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670</v>
      </c>
      <c r="B147" t="s">
        <v>14</v>
      </c>
      <c r="C147" t="s">
        <v>15</v>
      </c>
      <c r="D147" t="s">
        <v>671</v>
      </c>
      <c r="E147" t="s">
        <v>672</v>
      </c>
      <c r="F147" t="s">
        <v>74</v>
      </c>
      <c r="G147" t="s">
        <v>75</v>
      </c>
      <c r="H147" t="s">
        <v>673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674</v>
      </c>
      <c r="B148" t="s">
        <v>14</v>
      </c>
      <c r="C148" t="s">
        <v>15</v>
      </c>
      <c r="D148" t="s">
        <v>675</v>
      </c>
      <c r="E148" t="s">
        <v>676</v>
      </c>
      <c r="F148" t="s">
        <v>74</v>
      </c>
      <c r="G148" t="s">
        <v>75</v>
      </c>
      <c r="H148" t="s">
        <v>677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678</v>
      </c>
      <c r="B149" t="s">
        <v>14</v>
      </c>
      <c r="C149" t="s">
        <v>15</v>
      </c>
      <c r="D149" t="s">
        <v>679</v>
      </c>
      <c r="E149" t="s">
        <v>680</v>
      </c>
      <c r="F149" t="s">
        <v>32</v>
      </c>
      <c r="G149" t="s">
        <v>131</v>
      </c>
      <c r="H149" t="s">
        <v>681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682</v>
      </c>
      <c r="B150" t="s">
        <v>14</v>
      </c>
      <c r="C150" t="s">
        <v>15</v>
      </c>
      <c r="D150" t="s">
        <v>683</v>
      </c>
      <c r="E150" t="s">
        <v>684</v>
      </c>
      <c r="F150" t="s">
        <v>18</v>
      </c>
      <c r="G150" t="s">
        <v>685</v>
      </c>
      <c r="H150" t="s">
        <v>686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687</v>
      </c>
      <c r="B151" t="s">
        <v>14</v>
      </c>
      <c r="C151" t="s">
        <v>15</v>
      </c>
      <c r="D151" t="s">
        <v>688</v>
      </c>
      <c r="E151" t="s">
        <v>689</v>
      </c>
      <c r="F151" t="s">
        <v>32</v>
      </c>
      <c r="G151" t="s">
        <v>280</v>
      </c>
      <c r="H151" t="s">
        <v>690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691</v>
      </c>
      <c r="B152" t="s">
        <v>14</v>
      </c>
      <c r="C152" t="s">
        <v>15</v>
      </c>
      <c r="D152" t="s">
        <v>692</v>
      </c>
      <c r="E152" t="s">
        <v>693</v>
      </c>
      <c r="F152" t="s">
        <v>32</v>
      </c>
      <c r="G152" t="s">
        <v>33</v>
      </c>
      <c r="H152" t="s">
        <v>694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695</v>
      </c>
      <c r="B153" t="s">
        <v>14</v>
      </c>
      <c r="C153" t="s">
        <v>15</v>
      </c>
      <c r="D153" t="s">
        <v>696</v>
      </c>
      <c r="E153" t="s">
        <v>697</v>
      </c>
      <c r="F153" t="s">
        <v>18</v>
      </c>
      <c r="G153" t="s">
        <v>698</v>
      </c>
      <c r="H153" t="s">
        <v>699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700</v>
      </c>
      <c r="B154" t="s">
        <v>14</v>
      </c>
      <c r="C154" t="s">
        <v>15</v>
      </c>
      <c r="D154" t="s">
        <v>701</v>
      </c>
      <c r="E154" t="s">
        <v>702</v>
      </c>
      <c r="F154" t="s">
        <v>32</v>
      </c>
      <c r="G154" t="s">
        <v>280</v>
      </c>
      <c r="H154" t="s">
        <v>703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704</v>
      </c>
      <c r="B155" t="s">
        <v>14</v>
      </c>
      <c r="C155" t="s">
        <v>15</v>
      </c>
      <c r="D155" t="s">
        <v>705</v>
      </c>
      <c r="E155" t="s">
        <v>706</v>
      </c>
      <c r="F155" t="s">
        <v>32</v>
      </c>
      <c r="G155" t="s">
        <v>280</v>
      </c>
      <c r="H155" t="s">
        <v>707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708</v>
      </c>
      <c r="B156" t="s">
        <v>14</v>
      </c>
      <c r="C156" t="s">
        <v>15</v>
      </c>
      <c r="D156" t="s">
        <v>709</v>
      </c>
      <c r="E156" t="s">
        <v>710</v>
      </c>
      <c r="F156" t="s">
        <v>32</v>
      </c>
      <c r="G156" t="s">
        <v>131</v>
      </c>
      <c r="H156" t="s">
        <v>711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712</v>
      </c>
      <c r="B157" t="s">
        <v>14</v>
      </c>
      <c r="C157" t="s">
        <v>15</v>
      </c>
      <c r="D157" t="s">
        <v>713</v>
      </c>
      <c r="E157" t="s">
        <v>714</v>
      </c>
      <c r="F157" t="s">
        <v>74</v>
      </c>
      <c r="G157" t="s">
        <v>75</v>
      </c>
      <c r="H157" t="s">
        <v>715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716</v>
      </c>
      <c r="B158" t="s">
        <v>14</v>
      </c>
      <c r="C158" t="s">
        <v>15</v>
      </c>
      <c r="D158" t="s">
        <v>717</v>
      </c>
      <c r="E158" t="s">
        <v>718</v>
      </c>
      <c r="F158" t="s">
        <v>18</v>
      </c>
      <c r="G158" t="s">
        <v>58</v>
      </c>
      <c r="H158" t="s">
        <v>719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720</v>
      </c>
      <c r="B159" t="s">
        <v>14</v>
      </c>
      <c r="C159" t="s">
        <v>15</v>
      </c>
      <c r="D159" t="s">
        <v>721</v>
      </c>
      <c r="E159" t="s">
        <v>722</v>
      </c>
      <c r="F159" t="s">
        <v>18</v>
      </c>
      <c r="G159" t="s">
        <v>52</v>
      </c>
      <c r="H159" t="s">
        <v>723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724</v>
      </c>
      <c r="B160" t="s">
        <v>14</v>
      </c>
      <c r="C160" t="s">
        <v>15</v>
      </c>
      <c r="D160" t="s">
        <v>725</v>
      </c>
      <c r="E160" t="s">
        <v>726</v>
      </c>
      <c r="F160" t="s">
        <v>32</v>
      </c>
      <c r="G160" t="s">
        <v>69</v>
      </c>
      <c r="H160" t="s">
        <v>727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728</v>
      </c>
      <c r="B161" t="s">
        <v>14</v>
      </c>
      <c r="C161" t="s">
        <v>15</v>
      </c>
      <c r="D161" t="s">
        <v>729</v>
      </c>
      <c r="E161" t="s">
        <v>730</v>
      </c>
      <c r="F161" t="s">
        <v>26</v>
      </c>
      <c r="G161" t="s">
        <v>336</v>
      </c>
      <c r="H161" t="s">
        <v>731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732</v>
      </c>
      <c r="B162" t="s">
        <v>14</v>
      </c>
      <c r="C162" t="s">
        <v>15</v>
      </c>
      <c r="D162" t="s">
        <v>733</v>
      </c>
      <c r="E162" t="s">
        <v>734</v>
      </c>
      <c r="F162" t="s">
        <v>95</v>
      </c>
      <c r="G162" t="s">
        <v>96</v>
      </c>
      <c r="H162" t="s">
        <v>735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736</v>
      </c>
      <c r="B163" t="s">
        <v>14</v>
      </c>
      <c r="C163" t="s">
        <v>15</v>
      </c>
      <c r="D163" t="s">
        <v>737</v>
      </c>
      <c r="E163" t="s">
        <v>738</v>
      </c>
      <c r="F163" t="s">
        <v>74</v>
      </c>
      <c r="G163" t="s">
        <v>75</v>
      </c>
      <c r="H163" t="s">
        <v>739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740</v>
      </c>
      <c r="B164" t="s">
        <v>14</v>
      </c>
      <c r="C164" t="s">
        <v>15</v>
      </c>
      <c r="D164" t="s">
        <v>741</v>
      </c>
      <c r="E164" t="s">
        <v>742</v>
      </c>
      <c r="F164" t="s">
        <v>18</v>
      </c>
      <c r="G164" t="s">
        <v>743</v>
      </c>
      <c r="H164" t="s">
        <v>744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745</v>
      </c>
      <c r="B165" t="s">
        <v>14</v>
      </c>
      <c r="C165" t="s">
        <v>15</v>
      </c>
      <c r="D165" t="s">
        <v>746</v>
      </c>
      <c r="E165" t="s">
        <v>747</v>
      </c>
      <c r="F165" t="s">
        <v>18</v>
      </c>
      <c r="G165" t="s">
        <v>366</v>
      </c>
      <c r="H165" t="s">
        <v>748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749</v>
      </c>
      <c r="B166" t="s">
        <v>14</v>
      </c>
      <c r="C166" t="s">
        <v>15</v>
      </c>
      <c r="D166" t="s">
        <v>750</v>
      </c>
      <c r="E166" t="s">
        <v>751</v>
      </c>
      <c r="F166" t="s">
        <v>74</v>
      </c>
      <c r="G166" t="s">
        <v>75</v>
      </c>
      <c r="H166" t="s">
        <v>752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753</v>
      </c>
      <c r="B167" t="s">
        <v>14</v>
      </c>
      <c r="C167" t="s">
        <v>15</v>
      </c>
      <c r="D167" t="s">
        <v>754</v>
      </c>
      <c r="E167" t="s">
        <v>755</v>
      </c>
      <c r="F167" t="s">
        <v>32</v>
      </c>
      <c r="G167" t="s">
        <v>756</v>
      </c>
      <c r="H167" t="s">
        <v>757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758</v>
      </c>
      <c r="B168" t="s">
        <v>14</v>
      </c>
      <c r="C168" t="s">
        <v>15</v>
      </c>
      <c r="D168" t="s">
        <v>759</v>
      </c>
      <c r="E168" t="s">
        <v>760</v>
      </c>
      <c r="F168" t="s">
        <v>18</v>
      </c>
      <c r="G168" t="s">
        <v>698</v>
      </c>
      <c r="H168" t="s">
        <v>761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762</v>
      </c>
      <c r="B169" t="s">
        <v>14</v>
      </c>
      <c r="C169" t="s">
        <v>15</v>
      </c>
      <c r="D169" t="s">
        <v>763</v>
      </c>
      <c r="E169" t="s">
        <v>764</v>
      </c>
      <c r="F169" t="s">
        <v>74</v>
      </c>
      <c r="G169" t="s">
        <v>75</v>
      </c>
      <c r="H169" t="s">
        <v>765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766</v>
      </c>
      <c r="B170" t="s">
        <v>14</v>
      </c>
      <c r="C170" t="s">
        <v>15</v>
      </c>
      <c r="D170" t="s">
        <v>767</v>
      </c>
      <c r="E170" t="s">
        <v>768</v>
      </c>
      <c r="F170" t="s">
        <v>63</v>
      </c>
      <c r="G170" t="s">
        <v>64</v>
      </c>
      <c r="H170" t="s">
        <v>769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770</v>
      </c>
      <c r="B171" t="s">
        <v>14</v>
      </c>
      <c r="C171" t="s">
        <v>15</v>
      </c>
      <c r="D171" t="s">
        <v>771</v>
      </c>
      <c r="E171" t="s">
        <v>772</v>
      </c>
      <c r="F171" t="s">
        <v>18</v>
      </c>
      <c r="G171" t="s">
        <v>773</v>
      </c>
      <c r="H171" t="s">
        <v>774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775</v>
      </c>
      <c r="B172" t="s">
        <v>14</v>
      </c>
      <c r="C172" t="s">
        <v>15</v>
      </c>
      <c r="D172" t="s">
        <v>776</v>
      </c>
      <c r="E172" t="s">
        <v>777</v>
      </c>
      <c r="F172" t="s">
        <v>74</v>
      </c>
      <c r="G172" t="s">
        <v>75</v>
      </c>
      <c r="H172" t="s">
        <v>778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779</v>
      </c>
      <c r="B173" t="s">
        <v>14</v>
      </c>
      <c r="C173" t="s">
        <v>15</v>
      </c>
      <c r="D173" t="s">
        <v>780</v>
      </c>
      <c r="E173" t="s">
        <v>781</v>
      </c>
      <c r="F173" t="s">
        <v>32</v>
      </c>
      <c r="G173" t="s">
        <v>275</v>
      </c>
      <c r="H173" t="s">
        <v>782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783</v>
      </c>
      <c r="B174" t="s">
        <v>14</v>
      </c>
      <c r="C174" t="s">
        <v>15</v>
      </c>
      <c r="D174" t="s">
        <v>784</v>
      </c>
      <c r="E174" t="s">
        <v>785</v>
      </c>
      <c r="F174" t="s">
        <v>74</v>
      </c>
      <c r="G174" t="s">
        <v>250</v>
      </c>
      <c r="H174" t="s">
        <v>786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787</v>
      </c>
      <c r="B175" t="s">
        <v>14</v>
      </c>
      <c r="C175" t="s">
        <v>15</v>
      </c>
      <c r="D175" t="s">
        <v>788</v>
      </c>
      <c r="E175" t="s">
        <v>789</v>
      </c>
      <c r="F175" t="s">
        <v>26</v>
      </c>
      <c r="G175" t="s">
        <v>539</v>
      </c>
      <c r="H175" t="s">
        <v>790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791</v>
      </c>
      <c r="B176" t="s">
        <v>14</v>
      </c>
      <c r="C176" t="s">
        <v>15</v>
      </c>
      <c r="D176" t="s">
        <v>792</v>
      </c>
      <c r="E176" t="s">
        <v>793</v>
      </c>
      <c r="F176" t="s">
        <v>18</v>
      </c>
      <c r="G176" t="s">
        <v>349</v>
      </c>
      <c r="H176" t="s">
        <v>794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795</v>
      </c>
      <c r="B177" t="s">
        <v>14</v>
      </c>
      <c r="C177" t="s">
        <v>15</v>
      </c>
      <c r="D177" t="s">
        <v>796</v>
      </c>
      <c r="E177" t="s">
        <v>797</v>
      </c>
      <c r="F177" t="s">
        <v>32</v>
      </c>
      <c r="G177" t="s">
        <v>33</v>
      </c>
      <c r="H177" t="s">
        <v>798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799</v>
      </c>
      <c r="B178" t="s">
        <v>14</v>
      </c>
      <c r="C178" t="s">
        <v>15</v>
      </c>
      <c r="D178" t="s">
        <v>800</v>
      </c>
      <c r="E178" t="s">
        <v>801</v>
      </c>
      <c r="F178" t="s">
        <v>32</v>
      </c>
      <c r="G178" t="s">
        <v>33</v>
      </c>
      <c r="H178" t="s">
        <v>802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803</v>
      </c>
      <c r="B179" t="s">
        <v>14</v>
      </c>
      <c r="C179" t="s">
        <v>15</v>
      </c>
      <c r="D179" t="s">
        <v>804</v>
      </c>
      <c r="E179" t="s">
        <v>805</v>
      </c>
      <c r="F179" t="s">
        <v>74</v>
      </c>
      <c r="G179" t="s">
        <v>105</v>
      </c>
      <c r="H179" t="s">
        <v>806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807</v>
      </c>
      <c r="B180" t="s">
        <v>14</v>
      </c>
      <c r="C180" t="s">
        <v>15</v>
      </c>
      <c r="D180" t="s">
        <v>808</v>
      </c>
      <c r="E180" t="s">
        <v>809</v>
      </c>
      <c r="F180" t="s">
        <v>57</v>
      </c>
      <c r="G180" t="s">
        <v>58</v>
      </c>
      <c r="H180" t="s">
        <v>810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811</v>
      </c>
      <c r="B181" t="s">
        <v>14</v>
      </c>
      <c r="C181" t="s">
        <v>15</v>
      </c>
      <c r="D181" t="s">
        <v>812</v>
      </c>
      <c r="E181" t="s">
        <v>813</v>
      </c>
      <c r="F181" t="s">
        <v>18</v>
      </c>
      <c r="G181" t="s">
        <v>814</v>
      </c>
      <c r="H181" t="s">
        <v>815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816</v>
      </c>
      <c r="B182" t="s">
        <v>14</v>
      </c>
      <c r="C182" t="s">
        <v>15</v>
      </c>
      <c r="D182" t="s">
        <v>817</v>
      </c>
      <c r="E182" t="s">
        <v>818</v>
      </c>
      <c r="F182" t="s">
        <v>26</v>
      </c>
      <c r="G182" t="s">
        <v>331</v>
      </c>
      <c r="H182" t="s">
        <v>819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820</v>
      </c>
      <c r="B183" t="s">
        <v>14</v>
      </c>
      <c r="C183" t="s">
        <v>15</v>
      </c>
      <c r="D183" t="s">
        <v>821</v>
      </c>
      <c r="E183" t="s">
        <v>822</v>
      </c>
      <c r="F183" t="s">
        <v>18</v>
      </c>
      <c r="G183" t="s">
        <v>255</v>
      </c>
      <c r="H183" t="s">
        <v>823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824</v>
      </c>
      <c r="B184" t="s">
        <v>14</v>
      </c>
      <c r="C184" t="s">
        <v>15</v>
      </c>
      <c r="D184" t="s">
        <v>825</v>
      </c>
      <c r="E184" t="s">
        <v>826</v>
      </c>
      <c r="F184" t="s">
        <v>18</v>
      </c>
      <c r="G184" t="s">
        <v>255</v>
      </c>
      <c r="H184" t="s">
        <v>827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828</v>
      </c>
      <c r="B185" t="s">
        <v>14</v>
      </c>
      <c r="C185" t="s">
        <v>15</v>
      </c>
      <c r="D185" t="s">
        <v>829</v>
      </c>
      <c r="E185" t="s">
        <v>830</v>
      </c>
      <c r="F185" t="s">
        <v>26</v>
      </c>
      <c r="G185" t="s">
        <v>144</v>
      </c>
      <c r="H185" t="s">
        <v>831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832</v>
      </c>
      <c r="B186" t="s">
        <v>14</v>
      </c>
      <c r="C186" t="s">
        <v>15</v>
      </c>
      <c r="D186" t="s">
        <v>833</v>
      </c>
      <c r="E186" t="s">
        <v>834</v>
      </c>
      <c r="F186" t="s">
        <v>32</v>
      </c>
      <c r="G186" t="s">
        <v>275</v>
      </c>
      <c r="H186" t="s">
        <v>835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836</v>
      </c>
      <c r="B187" t="s">
        <v>14</v>
      </c>
      <c r="C187" t="s">
        <v>15</v>
      </c>
      <c r="D187" t="s">
        <v>837</v>
      </c>
      <c r="E187" t="s">
        <v>838</v>
      </c>
      <c r="F187" t="s">
        <v>32</v>
      </c>
      <c r="G187" t="s">
        <v>280</v>
      </c>
      <c r="H187" t="s">
        <v>839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840</v>
      </c>
      <c r="B188" t="s">
        <v>14</v>
      </c>
      <c r="C188" t="s">
        <v>15</v>
      </c>
      <c r="D188" t="s">
        <v>841</v>
      </c>
      <c r="E188" t="s">
        <v>842</v>
      </c>
      <c r="F188" t="s">
        <v>57</v>
      </c>
      <c r="G188" t="s">
        <v>843</v>
      </c>
      <c r="H188" t="s">
        <v>844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845</v>
      </c>
      <c r="B189" t="s">
        <v>14</v>
      </c>
      <c r="C189" t="s">
        <v>15</v>
      </c>
      <c r="D189" t="s">
        <v>846</v>
      </c>
      <c r="E189" t="s">
        <v>847</v>
      </c>
      <c r="F189" t="s">
        <v>18</v>
      </c>
      <c r="G189" t="s">
        <v>848</v>
      </c>
      <c r="H189" t="s">
        <v>849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850</v>
      </c>
      <c r="B190" t="s">
        <v>14</v>
      </c>
      <c r="C190" t="s">
        <v>15</v>
      </c>
      <c r="D190" t="s">
        <v>851</v>
      </c>
      <c r="E190" t="s">
        <v>852</v>
      </c>
      <c r="F190" t="s">
        <v>18</v>
      </c>
      <c r="G190" t="s">
        <v>58</v>
      </c>
      <c r="H190" t="s">
        <v>853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854</v>
      </c>
      <c r="B191" t="s">
        <v>14</v>
      </c>
      <c r="C191" t="s">
        <v>15</v>
      </c>
      <c r="D191" t="s">
        <v>855</v>
      </c>
      <c r="E191" t="s">
        <v>856</v>
      </c>
      <c r="F191" t="s">
        <v>32</v>
      </c>
      <c r="G191" t="s">
        <v>280</v>
      </c>
      <c r="H191" t="s">
        <v>857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858</v>
      </c>
      <c r="B192" t="s">
        <v>14</v>
      </c>
      <c r="C192" t="s">
        <v>15</v>
      </c>
      <c r="D192" t="s">
        <v>859</v>
      </c>
      <c r="E192" t="s">
        <v>860</v>
      </c>
      <c r="F192" t="s">
        <v>32</v>
      </c>
      <c r="G192" t="s">
        <v>429</v>
      </c>
      <c r="H192" t="s">
        <v>861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862</v>
      </c>
      <c r="B193" t="s">
        <v>14</v>
      </c>
      <c r="C193" t="s">
        <v>15</v>
      </c>
      <c r="D193" t="s">
        <v>863</v>
      </c>
      <c r="E193" t="s">
        <v>864</v>
      </c>
      <c r="F193" t="s">
        <v>26</v>
      </c>
      <c r="G193" t="s">
        <v>539</v>
      </c>
      <c r="H193" t="s">
        <v>865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866</v>
      </c>
      <c r="B194" t="s">
        <v>14</v>
      </c>
      <c r="C194" t="s">
        <v>15</v>
      </c>
      <c r="D194" t="s">
        <v>867</v>
      </c>
      <c r="E194" t="s">
        <v>868</v>
      </c>
      <c r="F194" t="s">
        <v>32</v>
      </c>
      <c r="G194" t="s">
        <v>33</v>
      </c>
      <c r="H194" t="s">
        <v>869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870</v>
      </c>
      <c r="B195" t="s">
        <v>14</v>
      </c>
      <c r="C195" t="s">
        <v>15</v>
      </c>
      <c r="D195" t="s">
        <v>871</v>
      </c>
      <c r="E195" t="s">
        <v>872</v>
      </c>
      <c r="F195" t="s">
        <v>95</v>
      </c>
      <c r="G195" t="s">
        <v>415</v>
      </c>
      <c r="H195" t="s">
        <v>873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874</v>
      </c>
      <c r="B196" t="s">
        <v>14</v>
      </c>
      <c r="C196" t="s">
        <v>15</v>
      </c>
      <c r="D196" t="s">
        <v>875</v>
      </c>
      <c r="E196" t="s">
        <v>876</v>
      </c>
      <c r="F196" t="s">
        <v>18</v>
      </c>
      <c r="G196" t="s">
        <v>166</v>
      </c>
      <c r="H196" t="s">
        <v>877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878</v>
      </c>
      <c r="B197" t="s">
        <v>14</v>
      </c>
      <c r="C197" t="s">
        <v>15</v>
      </c>
      <c r="D197" t="s">
        <v>879</v>
      </c>
      <c r="E197" t="s">
        <v>880</v>
      </c>
      <c r="F197" t="s">
        <v>26</v>
      </c>
      <c r="G197" t="s">
        <v>293</v>
      </c>
      <c r="H197" t="s">
        <v>881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882</v>
      </c>
      <c r="B198" t="s">
        <v>14</v>
      </c>
      <c r="C198" t="s">
        <v>15</v>
      </c>
      <c r="D198" t="s">
        <v>883</v>
      </c>
      <c r="E198" t="s">
        <v>884</v>
      </c>
      <c r="F198" t="s">
        <v>95</v>
      </c>
      <c r="G198" t="s">
        <v>260</v>
      </c>
      <c r="H198" t="s">
        <v>885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886</v>
      </c>
      <c r="B199" t="s">
        <v>14</v>
      </c>
      <c r="C199" t="s">
        <v>15</v>
      </c>
      <c r="D199" t="s">
        <v>887</v>
      </c>
      <c r="E199" t="s">
        <v>888</v>
      </c>
      <c r="F199" t="s">
        <v>84</v>
      </c>
      <c r="G199" t="s">
        <v>889</v>
      </c>
      <c r="H199" t="s">
        <v>890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891</v>
      </c>
      <c r="B200" t="s">
        <v>14</v>
      </c>
      <c r="C200" t="s">
        <v>15</v>
      </c>
      <c r="D200" t="s">
        <v>892</v>
      </c>
      <c r="E200" t="s">
        <v>893</v>
      </c>
      <c r="F200" t="s">
        <v>18</v>
      </c>
      <c r="G200" t="s">
        <v>225</v>
      </c>
      <c r="H200" t="s">
        <v>894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895</v>
      </c>
      <c r="B201" t="s">
        <v>14</v>
      </c>
      <c r="C201" t="s">
        <v>15</v>
      </c>
      <c r="D201" t="s">
        <v>896</v>
      </c>
      <c r="E201" t="s">
        <v>897</v>
      </c>
      <c r="F201" t="s">
        <v>84</v>
      </c>
      <c r="G201" t="s">
        <v>197</v>
      </c>
      <c r="H201" t="s">
        <v>898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899</v>
      </c>
      <c r="B202" t="s">
        <v>14</v>
      </c>
      <c r="C202" t="s">
        <v>15</v>
      </c>
      <c r="D202" t="s">
        <v>900</v>
      </c>
      <c r="E202" t="s">
        <v>901</v>
      </c>
      <c r="F202" t="s">
        <v>32</v>
      </c>
      <c r="G202" t="s">
        <v>33</v>
      </c>
      <c r="H202" t="s">
        <v>902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903</v>
      </c>
      <c r="B203" t="s">
        <v>14</v>
      </c>
      <c r="C203" t="s">
        <v>15</v>
      </c>
      <c r="D203" t="s">
        <v>904</v>
      </c>
      <c r="E203" t="s">
        <v>905</v>
      </c>
      <c r="F203" t="s">
        <v>18</v>
      </c>
      <c r="G203" t="s">
        <v>906</v>
      </c>
      <c r="H203" t="s">
        <v>907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908</v>
      </c>
      <c r="B204" t="s">
        <v>14</v>
      </c>
      <c r="C204" t="s">
        <v>15</v>
      </c>
      <c r="D204" t="s">
        <v>909</v>
      </c>
      <c r="E204" t="s">
        <v>910</v>
      </c>
      <c r="F204" t="s">
        <v>26</v>
      </c>
      <c r="G204" t="s">
        <v>911</v>
      </c>
      <c r="H204" t="s">
        <v>912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913</v>
      </c>
      <c r="B205" t="s">
        <v>14</v>
      </c>
      <c r="C205" t="s">
        <v>15</v>
      </c>
      <c r="D205" t="s">
        <v>914</v>
      </c>
      <c r="E205" t="s">
        <v>915</v>
      </c>
      <c r="F205" t="s">
        <v>74</v>
      </c>
      <c r="G205" t="s">
        <v>406</v>
      </c>
      <c r="H205" t="s">
        <v>916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917</v>
      </c>
      <c r="B206" t="s">
        <v>14</v>
      </c>
      <c r="C206" t="s">
        <v>15</v>
      </c>
      <c r="D206" t="s">
        <v>918</v>
      </c>
      <c r="E206" t="s">
        <v>919</v>
      </c>
      <c r="F206" t="s">
        <v>18</v>
      </c>
      <c r="G206" t="s">
        <v>920</v>
      </c>
      <c r="H206" t="s">
        <v>921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922</v>
      </c>
      <c r="B207" t="s">
        <v>14</v>
      </c>
      <c r="C207" t="s">
        <v>15</v>
      </c>
      <c r="D207" t="s">
        <v>923</v>
      </c>
      <c r="E207" t="s">
        <v>924</v>
      </c>
      <c r="F207" t="s">
        <v>18</v>
      </c>
      <c r="G207" t="s">
        <v>906</v>
      </c>
      <c r="H207" t="s">
        <v>925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926</v>
      </c>
      <c r="B208" t="s">
        <v>14</v>
      </c>
      <c r="C208" t="s">
        <v>15</v>
      </c>
      <c r="D208" t="s">
        <v>927</v>
      </c>
      <c r="E208" t="s">
        <v>928</v>
      </c>
      <c r="F208" t="s">
        <v>18</v>
      </c>
      <c r="G208" t="s">
        <v>234</v>
      </c>
      <c r="H208" t="s">
        <v>929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930</v>
      </c>
      <c r="B209" t="s">
        <v>14</v>
      </c>
      <c r="C209" t="s">
        <v>15</v>
      </c>
      <c r="D209" t="s">
        <v>931</v>
      </c>
      <c r="E209" t="s">
        <v>932</v>
      </c>
      <c r="F209" t="s">
        <v>74</v>
      </c>
      <c r="G209" t="s">
        <v>75</v>
      </c>
      <c r="H209" t="s">
        <v>933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934</v>
      </c>
      <c r="B210" t="s">
        <v>14</v>
      </c>
      <c r="C210" t="s">
        <v>15</v>
      </c>
      <c r="D210" t="s">
        <v>935</v>
      </c>
      <c r="E210" t="s">
        <v>936</v>
      </c>
      <c r="F210" t="s">
        <v>18</v>
      </c>
      <c r="G210" t="s">
        <v>303</v>
      </c>
      <c r="H210" t="s">
        <v>937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938</v>
      </c>
      <c r="B211" t="s">
        <v>14</v>
      </c>
      <c r="C211" t="s">
        <v>15</v>
      </c>
      <c r="D211" t="s">
        <v>939</v>
      </c>
      <c r="E211" t="s">
        <v>940</v>
      </c>
      <c r="F211" t="s">
        <v>18</v>
      </c>
      <c r="G211" t="s">
        <v>166</v>
      </c>
      <c r="H211" t="s">
        <v>941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942</v>
      </c>
      <c r="B212" t="s">
        <v>14</v>
      </c>
      <c r="C212" t="s">
        <v>15</v>
      </c>
      <c r="D212" t="s">
        <v>943</v>
      </c>
      <c r="E212" t="s">
        <v>944</v>
      </c>
      <c r="F212" t="s">
        <v>32</v>
      </c>
      <c r="G212" t="s">
        <v>33</v>
      </c>
      <c r="H212" t="s">
        <v>945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946</v>
      </c>
      <c r="B213" t="s">
        <v>14</v>
      </c>
      <c r="C213" t="s">
        <v>15</v>
      </c>
      <c r="D213" t="s">
        <v>947</v>
      </c>
      <c r="E213" t="s">
        <v>948</v>
      </c>
      <c r="F213" t="s">
        <v>63</v>
      </c>
      <c r="G213" t="s">
        <v>949</v>
      </c>
      <c r="H213" t="s">
        <v>950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951</v>
      </c>
      <c r="B214" t="s">
        <v>14</v>
      </c>
      <c r="C214" t="s">
        <v>15</v>
      </c>
      <c r="D214" t="s">
        <v>952</v>
      </c>
      <c r="E214" t="s">
        <v>953</v>
      </c>
      <c r="F214" t="s">
        <v>26</v>
      </c>
      <c r="G214" t="s">
        <v>954</v>
      </c>
      <c r="H214" t="s">
        <v>955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956</v>
      </c>
      <c r="B215" t="s">
        <v>14</v>
      </c>
      <c r="C215" t="s">
        <v>15</v>
      </c>
      <c r="D215" t="s">
        <v>957</v>
      </c>
      <c r="E215" t="s">
        <v>958</v>
      </c>
      <c r="F215" t="s">
        <v>18</v>
      </c>
      <c r="G215" t="s">
        <v>52</v>
      </c>
      <c r="H215" t="s">
        <v>959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960</v>
      </c>
      <c r="B216" t="s">
        <v>14</v>
      </c>
      <c r="C216" t="s">
        <v>15</v>
      </c>
      <c r="D216" t="s">
        <v>961</v>
      </c>
      <c r="E216" t="s">
        <v>962</v>
      </c>
      <c r="F216" t="s">
        <v>18</v>
      </c>
      <c r="G216" t="s">
        <v>580</v>
      </c>
      <c r="H216" t="s">
        <v>963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964</v>
      </c>
      <c r="B217" t="s">
        <v>14</v>
      </c>
      <c r="C217" t="s">
        <v>15</v>
      </c>
      <c r="D217" t="s">
        <v>965</v>
      </c>
      <c r="E217" t="s">
        <v>966</v>
      </c>
      <c r="F217" t="s">
        <v>26</v>
      </c>
      <c r="G217" t="s">
        <v>539</v>
      </c>
      <c r="H217" t="s">
        <v>967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968</v>
      </c>
      <c r="B218" t="s">
        <v>14</v>
      </c>
      <c r="C218" t="s">
        <v>15</v>
      </c>
      <c r="D218" t="s">
        <v>969</v>
      </c>
      <c r="E218" t="s">
        <v>970</v>
      </c>
      <c r="F218" t="s">
        <v>26</v>
      </c>
      <c r="G218" t="s">
        <v>539</v>
      </c>
      <c r="H218" t="s">
        <v>971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972</v>
      </c>
      <c r="B219" t="s">
        <v>14</v>
      </c>
      <c r="C219" t="s">
        <v>15</v>
      </c>
      <c r="D219" t="s">
        <v>973</v>
      </c>
      <c r="E219" t="s">
        <v>974</v>
      </c>
      <c r="F219" t="s">
        <v>18</v>
      </c>
      <c r="G219" t="s">
        <v>975</v>
      </c>
      <c r="H219" t="s">
        <v>976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977</v>
      </c>
      <c r="B220" t="s">
        <v>14</v>
      </c>
      <c r="C220" t="s">
        <v>15</v>
      </c>
      <c r="D220" t="s">
        <v>978</v>
      </c>
      <c r="E220" t="s">
        <v>974</v>
      </c>
      <c r="F220" t="s">
        <v>18</v>
      </c>
      <c r="G220" t="s">
        <v>975</v>
      </c>
      <c r="H220" t="s">
        <v>979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980</v>
      </c>
      <c r="B221" t="s">
        <v>14</v>
      </c>
      <c r="C221" t="s">
        <v>15</v>
      </c>
      <c r="D221" t="s">
        <v>981</v>
      </c>
      <c r="E221" t="s">
        <v>982</v>
      </c>
      <c r="F221" t="s">
        <v>95</v>
      </c>
      <c r="G221" t="s">
        <v>593</v>
      </c>
      <c r="H221" t="s">
        <v>983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984</v>
      </c>
      <c r="B222" t="s">
        <v>14</v>
      </c>
      <c r="C222" t="s">
        <v>15</v>
      </c>
      <c r="D222" t="s">
        <v>985</v>
      </c>
      <c r="E222" t="s">
        <v>986</v>
      </c>
      <c r="F222" t="s">
        <v>95</v>
      </c>
      <c r="G222" t="s">
        <v>260</v>
      </c>
      <c r="H222" t="s">
        <v>987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988</v>
      </c>
      <c r="B223" t="s">
        <v>14</v>
      </c>
      <c r="C223" t="s">
        <v>15</v>
      </c>
      <c r="D223" t="s">
        <v>989</v>
      </c>
      <c r="E223" t="s">
        <v>990</v>
      </c>
      <c r="F223" t="s">
        <v>18</v>
      </c>
      <c r="G223" t="s">
        <v>508</v>
      </c>
      <c r="H223" t="s">
        <v>991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992</v>
      </c>
      <c r="B224" t="s">
        <v>14</v>
      </c>
      <c r="C224" t="s">
        <v>15</v>
      </c>
      <c r="D224" t="s">
        <v>993</v>
      </c>
      <c r="E224" t="s">
        <v>994</v>
      </c>
      <c r="F224" t="s">
        <v>84</v>
      </c>
      <c r="G224" t="s">
        <v>606</v>
      </c>
      <c r="H224" t="s">
        <v>995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996</v>
      </c>
      <c r="B225" t="s">
        <v>14</v>
      </c>
      <c r="C225" t="s">
        <v>15</v>
      </c>
      <c r="D225" t="s">
        <v>997</v>
      </c>
      <c r="E225" t="s">
        <v>998</v>
      </c>
      <c r="F225" t="s">
        <v>18</v>
      </c>
      <c r="G225" t="s">
        <v>999</v>
      </c>
      <c r="H225" t="s">
        <v>1000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1001</v>
      </c>
      <c r="B226" t="s">
        <v>14</v>
      </c>
      <c r="C226" t="s">
        <v>15</v>
      </c>
      <c r="D226" t="s">
        <v>1002</v>
      </c>
      <c r="E226" t="s">
        <v>1003</v>
      </c>
      <c r="F226" t="s">
        <v>18</v>
      </c>
      <c r="G226" t="s">
        <v>1004</v>
      </c>
      <c r="H226" t="s">
        <v>1005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1006</v>
      </c>
      <c r="B227" t="s">
        <v>14</v>
      </c>
      <c r="C227" t="s">
        <v>15</v>
      </c>
      <c r="D227" t="s">
        <v>1007</v>
      </c>
      <c r="E227" t="s">
        <v>1008</v>
      </c>
      <c r="F227" t="s">
        <v>26</v>
      </c>
      <c r="G227" t="s">
        <v>1009</v>
      </c>
      <c r="H227" t="s">
        <v>1010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1011</v>
      </c>
      <c r="B228" t="s">
        <v>14</v>
      </c>
      <c r="C228" t="s">
        <v>15</v>
      </c>
      <c r="D228" t="s">
        <v>1012</v>
      </c>
      <c r="E228" t="s">
        <v>1013</v>
      </c>
      <c r="F228" t="s">
        <v>32</v>
      </c>
      <c r="G228" t="s">
        <v>153</v>
      </c>
      <c r="H228" t="s">
        <v>1014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1015</v>
      </c>
      <c r="B229" t="s">
        <v>14</v>
      </c>
      <c r="C229" t="s">
        <v>15</v>
      </c>
      <c r="D229" t="s">
        <v>1016</v>
      </c>
      <c r="E229" t="s">
        <v>1017</v>
      </c>
      <c r="F229" t="s">
        <v>18</v>
      </c>
      <c r="G229" t="s">
        <v>303</v>
      </c>
      <c r="H229" t="s">
        <v>1018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1019</v>
      </c>
      <c r="B230" t="s">
        <v>14</v>
      </c>
      <c r="C230" t="s">
        <v>15</v>
      </c>
      <c r="D230" t="s">
        <v>1020</v>
      </c>
      <c r="E230" t="s">
        <v>1021</v>
      </c>
      <c r="F230" t="s">
        <v>26</v>
      </c>
      <c r="G230" t="s">
        <v>126</v>
      </c>
      <c r="H230" t="s">
        <v>1022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1023</v>
      </c>
      <c r="B231" t="s">
        <v>14</v>
      </c>
      <c r="C231" t="s">
        <v>15</v>
      </c>
      <c r="D231" t="s">
        <v>1024</v>
      </c>
      <c r="E231" t="s">
        <v>1025</v>
      </c>
      <c r="F231" t="s">
        <v>26</v>
      </c>
      <c r="G231" t="s">
        <v>1026</v>
      </c>
      <c r="H231" t="s">
        <v>1027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1028</v>
      </c>
      <c r="B232" t="s">
        <v>14</v>
      </c>
      <c r="C232" t="s">
        <v>15</v>
      </c>
      <c r="D232" t="s">
        <v>1029</v>
      </c>
      <c r="E232" t="s">
        <v>1030</v>
      </c>
      <c r="F232" t="s">
        <v>74</v>
      </c>
      <c r="G232" t="s">
        <v>1031</v>
      </c>
      <c r="H232" t="s">
        <v>1032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1033</v>
      </c>
      <c r="B233" t="s">
        <v>14</v>
      </c>
      <c r="C233" t="s">
        <v>15</v>
      </c>
      <c r="D233" t="s">
        <v>1034</v>
      </c>
      <c r="E233" t="s">
        <v>1035</v>
      </c>
      <c r="F233" t="s">
        <v>26</v>
      </c>
      <c r="G233" t="s">
        <v>126</v>
      </c>
      <c r="H233" t="s">
        <v>1036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1037</v>
      </c>
      <c r="B234" t="s">
        <v>14</v>
      </c>
      <c r="C234" t="s">
        <v>15</v>
      </c>
      <c r="D234" t="s">
        <v>1038</v>
      </c>
      <c r="E234" t="s">
        <v>1039</v>
      </c>
      <c r="F234" t="s">
        <v>26</v>
      </c>
      <c r="G234" t="s">
        <v>1040</v>
      </c>
      <c r="H234" t="s">
        <v>1041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1042</v>
      </c>
      <c r="B235" t="s">
        <v>14</v>
      </c>
      <c r="C235" t="s">
        <v>15</v>
      </c>
      <c r="D235" t="s">
        <v>1043</v>
      </c>
      <c r="E235" t="s">
        <v>1044</v>
      </c>
      <c r="F235" t="s">
        <v>18</v>
      </c>
      <c r="G235" t="s">
        <v>1045</v>
      </c>
      <c r="H235" t="s">
        <v>1046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1047</v>
      </c>
      <c r="B236" t="s">
        <v>14</v>
      </c>
      <c r="C236" t="s">
        <v>15</v>
      </c>
      <c r="D236" t="s">
        <v>1048</v>
      </c>
      <c r="E236" t="s">
        <v>1049</v>
      </c>
      <c r="F236" t="s">
        <v>18</v>
      </c>
      <c r="G236" t="s">
        <v>131</v>
      </c>
      <c r="H236" t="s">
        <v>1050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1051</v>
      </c>
      <c r="B237" t="s">
        <v>14</v>
      </c>
      <c r="C237" t="s">
        <v>15</v>
      </c>
      <c r="D237" t="s">
        <v>1052</v>
      </c>
      <c r="E237" t="s">
        <v>1053</v>
      </c>
      <c r="F237" t="s">
        <v>74</v>
      </c>
      <c r="G237" t="s">
        <v>250</v>
      </c>
      <c r="H237" t="s">
        <v>1054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1055</v>
      </c>
      <c r="B238" t="s">
        <v>14</v>
      </c>
      <c r="C238" t="s">
        <v>15</v>
      </c>
      <c r="D238" t="s">
        <v>1056</v>
      </c>
      <c r="E238" t="s">
        <v>1057</v>
      </c>
      <c r="F238" t="s">
        <v>63</v>
      </c>
      <c r="G238" t="s">
        <v>64</v>
      </c>
      <c r="H238" t="s">
        <v>1058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1059</v>
      </c>
      <c r="B239" t="s">
        <v>14</v>
      </c>
      <c r="C239" t="s">
        <v>15</v>
      </c>
      <c r="D239" t="s">
        <v>1060</v>
      </c>
      <c r="E239" t="s">
        <v>1061</v>
      </c>
      <c r="F239" t="s">
        <v>95</v>
      </c>
      <c r="G239" t="s">
        <v>1062</v>
      </c>
      <c r="H239" t="s">
        <v>1063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1064</v>
      </c>
      <c r="B240" t="s">
        <v>14</v>
      </c>
      <c r="C240" t="s">
        <v>15</v>
      </c>
      <c r="D240" t="s">
        <v>1065</v>
      </c>
      <c r="E240" t="s">
        <v>1066</v>
      </c>
      <c r="F240" t="s">
        <v>26</v>
      </c>
      <c r="G240" t="s">
        <v>211</v>
      </c>
      <c r="H240" t="s">
        <v>1067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1068</v>
      </c>
      <c r="B241" t="s">
        <v>14</v>
      </c>
      <c r="C241" t="s">
        <v>15</v>
      </c>
      <c r="D241" t="s">
        <v>1069</v>
      </c>
      <c r="E241" t="s">
        <v>1070</v>
      </c>
      <c r="F241" t="s">
        <v>63</v>
      </c>
      <c r="G241" t="s">
        <v>90</v>
      </c>
      <c r="H241" t="s">
        <v>1071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1072</v>
      </c>
      <c r="B242" t="s">
        <v>14</v>
      </c>
      <c r="C242" t="s">
        <v>15</v>
      </c>
      <c r="D242" t="s">
        <v>1073</v>
      </c>
      <c r="E242" t="s">
        <v>1074</v>
      </c>
      <c r="F242" t="s">
        <v>18</v>
      </c>
      <c r="G242" t="s">
        <v>225</v>
      </c>
      <c r="H242" t="s">
        <v>1075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1076</v>
      </c>
      <c r="B243" t="s">
        <v>14</v>
      </c>
      <c r="C243" t="s">
        <v>15</v>
      </c>
      <c r="D243" t="s">
        <v>1077</v>
      </c>
      <c r="E243" t="s">
        <v>1078</v>
      </c>
      <c r="F243" t="s">
        <v>84</v>
      </c>
      <c r="G243" t="s">
        <v>889</v>
      </c>
      <c r="H243" t="s">
        <v>1079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1080</v>
      </c>
      <c r="B244" t="s">
        <v>14</v>
      </c>
      <c r="C244" t="s">
        <v>15</v>
      </c>
      <c r="D244" t="s">
        <v>1081</v>
      </c>
      <c r="E244" t="s">
        <v>1082</v>
      </c>
      <c r="F244" t="s">
        <v>84</v>
      </c>
      <c r="G244" t="s">
        <v>889</v>
      </c>
      <c r="H244" t="s">
        <v>1083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1084</v>
      </c>
      <c r="B245" t="s">
        <v>14</v>
      </c>
      <c r="C245" t="s">
        <v>15</v>
      </c>
      <c r="D245" t="s">
        <v>1085</v>
      </c>
      <c r="E245" t="s">
        <v>1086</v>
      </c>
      <c r="F245" t="s">
        <v>18</v>
      </c>
      <c r="G245" t="s">
        <v>316</v>
      </c>
      <c r="H245" t="s">
        <v>1087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1088</v>
      </c>
      <c r="B246" t="s">
        <v>14</v>
      </c>
      <c r="C246" t="s">
        <v>15</v>
      </c>
      <c r="D246" t="s">
        <v>1089</v>
      </c>
      <c r="E246" t="s">
        <v>1090</v>
      </c>
      <c r="F246" t="s">
        <v>63</v>
      </c>
      <c r="G246" t="s">
        <v>131</v>
      </c>
      <c r="H246" t="s">
        <v>1091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1092</v>
      </c>
      <c r="B247" t="s">
        <v>14</v>
      </c>
      <c r="C247" t="s">
        <v>15</v>
      </c>
      <c r="D247" t="s">
        <v>1093</v>
      </c>
      <c r="E247" t="s">
        <v>1094</v>
      </c>
      <c r="F247" t="s">
        <v>244</v>
      </c>
      <c r="G247" t="s">
        <v>379</v>
      </c>
      <c r="H247" t="s">
        <v>1095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1096</v>
      </c>
      <c r="B248" t="s">
        <v>14</v>
      </c>
      <c r="C248" t="s">
        <v>15</v>
      </c>
      <c r="D248" t="s">
        <v>1097</v>
      </c>
      <c r="E248" t="s">
        <v>1098</v>
      </c>
      <c r="F248" t="s">
        <v>18</v>
      </c>
      <c r="G248" t="s">
        <v>1099</v>
      </c>
      <c r="H248" t="s">
        <v>1100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1101</v>
      </c>
      <c r="B249" t="s">
        <v>14</v>
      </c>
      <c r="C249" t="s">
        <v>15</v>
      </c>
      <c r="D249" t="s">
        <v>1102</v>
      </c>
      <c r="E249" t="s">
        <v>1103</v>
      </c>
      <c r="F249" t="s">
        <v>18</v>
      </c>
      <c r="G249" t="s">
        <v>920</v>
      </c>
      <c r="H249" t="s">
        <v>1104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1105</v>
      </c>
      <c r="B250" t="s">
        <v>14</v>
      </c>
      <c r="C250" t="s">
        <v>15</v>
      </c>
      <c r="D250" t="s">
        <v>1106</v>
      </c>
      <c r="E250" t="s">
        <v>1107</v>
      </c>
      <c r="F250" t="s">
        <v>32</v>
      </c>
      <c r="G250" t="s">
        <v>280</v>
      </c>
      <c r="H250" t="s">
        <v>1108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1109</v>
      </c>
      <c r="B251" t="s">
        <v>14</v>
      </c>
      <c r="C251" t="s">
        <v>15</v>
      </c>
      <c r="D251" t="s">
        <v>1110</v>
      </c>
      <c r="E251" t="s">
        <v>1111</v>
      </c>
      <c r="F251" t="s">
        <v>74</v>
      </c>
      <c r="G251" t="s">
        <v>250</v>
      </c>
      <c r="H251" t="s">
        <v>1112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BDH("TSSI US Equity","BS_TOT_ASSET","1993-06-18","2026-05-02","Per=Y","Days=T","Dir=V")</f>
        <v>0</v>
      </c>
      <c r="C2">
        <f>BDH("TSSI US Equity","BS_TOT_LIAB2","1993-06-18","2026-05-02","Per=Y","Days=T","Dir=V")</f>
        <v>0</v>
      </c>
      <c r="E2">
        <f>BDH("TSSI US Equity","SHORT_AND_LONG_TERM_DEBT","1993-06-18","2026-05-02","Per=Y","Days=T","Dir=V")</f>
        <v>0</v>
      </c>
      <c r="G2">
        <f>BDH("TSSI US Equity","BS_ST_BORROW","1993-06-18","2026-05-02","Per=Y","Days=T","Dir=V")</f>
        <v>0</v>
      </c>
      <c r="I2">
        <f>BDH("TSSI US Equity","BS_LT_BORROW","1993-06-18","2026-05-02","Per=Y","Days=T","Dir=V")</f>
        <v>0</v>
      </c>
      <c r="K2">
        <f>BDH("TSSI US Equity","BS_CASH_NEAR_CASH_ITEM","1993-06-18","2026-05-02","Per=Y","Days=T","Dir=V")</f>
        <v>0</v>
      </c>
      <c r="M2">
        <f>BDH("TSSI US Equity","BS_CUR_ASSET_REPORT","1993-06-18","2026-05-02","Per=Y","Days=T","Dir=V")</f>
        <v>0</v>
      </c>
      <c r="O2">
        <f>BDH("TSSI US Equity","BS_CUR_LIAB","1993-06-18","2026-05-02","Per=Y","Days=T","Dir=V")</f>
        <v>0</v>
      </c>
      <c r="Q2">
        <f>BDH("TSSI US Equity","BS_SHAREHOLDER_EQY_ENDING_PERIOD","1993-06-18","2026-05-02","Per=Y","Days=T","Dir=V")</f>
        <v>0</v>
      </c>
      <c r="S2">
        <f>BDH("TSSI US Equity","BS_ACCT_NOTE_RCV","1993-06-18","2026-05-02","Per=Y","Days=T","Dir=V")</f>
        <v>0</v>
      </c>
      <c r="U2">
        <f>BDH("TSSI US Equity","BS_INVENTORIES","1993-06-18","2026-05-02","Per=Y","Days=T","Dir=V")</f>
        <v>0</v>
      </c>
      <c r="W2">
        <f>BDH("TSSI US Equity","WORKING_CAPITAL","1993-06-18","2026-05-02","Per=Y","Days=T","Dir=V")</f>
        <v>0</v>
      </c>
      <c r="Y2">
        <f>BDH("TSSI US Equity","SALES_REV_TURN","1993-06-18","2026-05-02","Per=Y","Days=T","Dir=V")</f>
        <v>0</v>
      </c>
      <c r="AA2">
        <f>BDH("TSSI US Equity","EBIT","1993-06-18","2026-05-02","Per=Y","Days=T","Dir=V")</f>
        <v>0</v>
      </c>
      <c r="AC2">
        <f>BDH("TSSI US Equity","EBITDA","1993-06-18","2026-05-02","Per=Y","Days=T","Dir=V")</f>
        <v>0</v>
      </c>
      <c r="AE2">
        <f>BDH("TSSI US Equity","NET_INCOME","1993-06-18","2026-05-02","Per=Y","Days=T","Dir=V")</f>
        <v>0</v>
      </c>
      <c r="AG2">
        <f>BDH("TSSI US Equity","IS_INT_EXPENSE","1993-06-18","2026-05-02","Per=Y","Days=T","Dir=V")</f>
        <v>0</v>
      </c>
      <c r="AI2">
        <f>BDH("TSSI US Equity","IS_DEPR_EXP","1993-06-18","2026-05-02","Per=Y","Days=T","Dir=V")</f>
        <v>0</v>
      </c>
      <c r="AK2">
        <f>BDH("TSSI US Equity","CF_CASH_FROM_OPER","1993-06-18","2026-05-02","Per=Y","Days=T","Dir=V")</f>
        <v>0</v>
      </c>
      <c r="AM2">
        <f>BDH("TSSI US Equity","CAPITAL_EXPEND","1993-06-18","2026-05-02","Per=Y","Days=T","Dir=V")</f>
        <v>0</v>
      </c>
      <c r="AO2">
        <f>BDH("TSSI US Equity","CF_FREE_CASH_FLOW","1993-06-18","2026-05-02","Per=Y","Days=T","Dir=V")</f>
        <v>0</v>
      </c>
      <c r="AQ2">
        <f>BDH("TSSI US Equity","PX_LAST","1993-06-18","2026-05-02","Per=M","Days=T","Dir=V")</f>
        <v>0</v>
      </c>
      <c r="AS2">
        <f>BDH("TSSI US Equity","CUR_MKT_CAP","1993-06-18","2026-05-02","Per=M","Days=T","Dir=V")</f>
        <v>0</v>
      </c>
      <c r="AU2">
        <f>BDH("TSSI US Equity","EQY_SH_OUT","1993-06-18","2026-05-02","Per=M","Days=T","Dir=V")</f>
        <v>0</v>
      </c>
      <c r="AW2">
        <f>BDH("TSSI US Equity","PX_VOLUME","1993-06-18","2026-05-02","Per=M","Days=T","Dir=V")</f>
        <v>0</v>
      </c>
      <c r="AY2">
        <f>BDH("TSSI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BDH("TTAM US Equity","BS_TOT_ASSET","1993-06-18","2026-05-02","Per=Y","Days=T","Dir=V")</f>
        <v>0</v>
      </c>
      <c r="C2">
        <f>BDH("TTAM US Equity","BS_TOT_LIAB2","1993-06-18","2026-05-02","Per=Y","Days=T","Dir=V")</f>
        <v>0</v>
      </c>
      <c r="E2">
        <f>BDH("TTAM US Equity","SHORT_AND_LONG_TERM_DEBT","1993-06-18","2026-05-02","Per=Y","Days=T","Dir=V")</f>
        <v>0</v>
      </c>
      <c r="G2">
        <f>BDH("TTAM US Equity","BS_ST_BORROW","1993-06-18","2026-05-02","Per=Y","Days=T","Dir=V")</f>
        <v>0</v>
      </c>
      <c r="I2">
        <f>BDH("TTAM US Equity","BS_LT_BORROW","1993-06-18","2026-05-02","Per=Y","Days=T","Dir=V")</f>
        <v>0</v>
      </c>
      <c r="K2">
        <f>BDH("TTAM US Equity","BS_CASH_NEAR_CASH_ITEM","1993-06-18","2026-05-02","Per=Y","Days=T","Dir=V")</f>
        <v>0</v>
      </c>
      <c r="M2">
        <f>BDH("TTAM US Equity","BS_CUR_ASSET_REPORT","1993-06-18","2026-05-02","Per=Y","Days=T","Dir=V")</f>
        <v>0</v>
      </c>
      <c r="O2">
        <f>BDH("TTAM US Equity","BS_CUR_LIAB","1993-06-18","2026-05-02","Per=Y","Days=T","Dir=V")</f>
        <v>0</v>
      </c>
      <c r="Q2">
        <f>BDH("TTAM US Equity","BS_SHAREHOLDER_EQY_ENDING_PERIOD","1993-06-18","2026-05-02","Per=Y","Days=T","Dir=V")</f>
        <v>0</v>
      </c>
      <c r="S2">
        <f>BDH("TTAM US Equity","BS_ACCT_NOTE_RCV","1993-06-18","2026-05-02","Per=Y","Days=T","Dir=V")</f>
        <v>0</v>
      </c>
      <c r="U2">
        <f>BDH("TTAM US Equity","BS_INVENTORIES","1993-06-18","2026-05-02","Per=Y","Days=T","Dir=V")</f>
        <v>0</v>
      </c>
      <c r="W2">
        <f>BDH("TTAM US Equity","WORKING_CAPITAL","1993-06-18","2026-05-02","Per=Y","Days=T","Dir=V")</f>
        <v>0</v>
      </c>
      <c r="Y2">
        <f>BDH("TTAM US Equity","SALES_REV_TURN","1993-06-18","2026-05-02","Per=Y","Days=T","Dir=V")</f>
        <v>0</v>
      </c>
      <c r="AA2">
        <f>BDH("TTAM US Equity","EBIT","1993-06-18","2026-05-02","Per=Y","Days=T","Dir=V")</f>
        <v>0</v>
      </c>
      <c r="AC2">
        <f>BDH("TTAM US Equity","EBITDA","1993-06-18","2026-05-02","Per=Y","Days=T","Dir=V")</f>
        <v>0</v>
      </c>
      <c r="AE2">
        <f>BDH("TTAM US Equity","NET_INCOME","1993-06-18","2026-05-02","Per=Y","Days=T","Dir=V")</f>
        <v>0</v>
      </c>
      <c r="AG2">
        <f>BDH("TTAM US Equity","IS_INT_EXPENSE","1993-06-18","2026-05-02","Per=Y","Days=T","Dir=V")</f>
        <v>0</v>
      </c>
      <c r="AI2">
        <f>BDH("TTAM US Equity","IS_DEPR_EXP","1993-06-18","2026-05-02","Per=Y","Days=T","Dir=V")</f>
        <v>0</v>
      </c>
      <c r="AK2">
        <f>BDH("TTAM US Equity","CF_CASH_FROM_OPER","1993-06-18","2026-05-02","Per=Y","Days=T","Dir=V")</f>
        <v>0</v>
      </c>
      <c r="AM2">
        <f>BDH("TTAM US Equity","CAPITAL_EXPEND","1993-06-18","2026-05-02","Per=Y","Days=T","Dir=V")</f>
        <v>0</v>
      </c>
      <c r="AO2">
        <f>BDH("TTAM US Equity","CF_FREE_CASH_FLOW","1993-06-18","2026-05-02","Per=Y","Days=T","Dir=V")</f>
        <v>0</v>
      </c>
      <c r="AQ2">
        <f>BDH("TTAM US Equity","PX_LAST","1993-06-18","2026-05-02","Per=M","Days=T","Dir=V")</f>
        <v>0</v>
      </c>
      <c r="AS2">
        <f>BDH("TTAM US Equity","CUR_MKT_CAP","1993-06-18","2026-05-02","Per=M","Days=T","Dir=V")</f>
        <v>0</v>
      </c>
      <c r="AU2">
        <f>BDH("TTAM US Equity","EQY_SH_OUT","1993-06-18","2026-05-02","Per=M","Days=T","Dir=V")</f>
        <v>0</v>
      </c>
      <c r="AW2">
        <f>BDH("TTAM US Equity","PX_VOLUME","1993-06-18","2026-05-02","Per=M","Days=T","Dir=V")</f>
        <v>0</v>
      </c>
      <c r="AY2">
        <f>BDH("TTAM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BDH("TTAN US Equity","BS_TOT_ASSET","1993-06-18","2026-05-02","Per=Y","Days=T","Dir=V")</f>
        <v>0</v>
      </c>
      <c r="C2">
        <f>BDH("TTAN US Equity","BS_TOT_LIAB2","1993-06-18","2026-05-02","Per=Y","Days=T","Dir=V")</f>
        <v>0</v>
      </c>
      <c r="E2">
        <f>BDH("TTAN US Equity","SHORT_AND_LONG_TERM_DEBT","1993-06-18","2026-05-02","Per=Y","Days=T","Dir=V")</f>
        <v>0</v>
      </c>
      <c r="G2">
        <f>BDH("TTAN US Equity","BS_ST_BORROW","1993-06-18","2026-05-02","Per=Y","Days=T","Dir=V")</f>
        <v>0</v>
      </c>
      <c r="I2">
        <f>BDH("TTAN US Equity","BS_LT_BORROW","1993-06-18","2026-05-02","Per=Y","Days=T","Dir=V")</f>
        <v>0</v>
      </c>
      <c r="K2">
        <f>BDH("TTAN US Equity","BS_CASH_NEAR_CASH_ITEM","1993-06-18","2026-05-02","Per=Y","Days=T","Dir=V")</f>
        <v>0</v>
      </c>
      <c r="M2">
        <f>BDH("TTAN US Equity","BS_CUR_ASSET_REPORT","1993-06-18","2026-05-02","Per=Y","Days=T","Dir=V")</f>
        <v>0</v>
      </c>
      <c r="O2">
        <f>BDH("TTAN US Equity","BS_CUR_LIAB","1993-06-18","2026-05-02","Per=Y","Days=T","Dir=V")</f>
        <v>0</v>
      </c>
      <c r="Q2">
        <f>BDH("TTAN US Equity","BS_SHAREHOLDER_EQY_ENDING_PERIOD","1993-06-18","2026-05-02","Per=Y","Days=T","Dir=V")</f>
        <v>0</v>
      </c>
      <c r="S2">
        <f>BDH("TTAN US Equity","BS_ACCT_NOTE_RCV","1993-06-18","2026-05-02","Per=Y","Days=T","Dir=V")</f>
        <v>0</v>
      </c>
      <c r="U2">
        <f>BDH("TTAN US Equity","BS_INVENTORIES","1993-06-18","2026-05-02","Per=Y","Days=T","Dir=V")</f>
        <v>0</v>
      </c>
      <c r="W2">
        <f>BDH("TTAN US Equity","WORKING_CAPITAL","1993-06-18","2026-05-02","Per=Y","Days=T","Dir=V")</f>
        <v>0</v>
      </c>
      <c r="Y2">
        <f>BDH("TTAN US Equity","SALES_REV_TURN","1993-06-18","2026-05-02","Per=Y","Days=T","Dir=V")</f>
        <v>0</v>
      </c>
      <c r="AA2">
        <f>BDH("TTAN US Equity","EBIT","1993-06-18","2026-05-02","Per=Y","Days=T","Dir=V")</f>
        <v>0</v>
      </c>
      <c r="AC2">
        <f>BDH("TTAN US Equity","EBITDA","1993-06-18","2026-05-02","Per=Y","Days=T","Dir=V")</f>
        <v>0</v>
      </c>
      <c r="AE2">
        <f>BDH("TTAN US Equity","NET_INCOME","1993-06-18","2026-05-02","Per=Y","Days=T","Dir=V")</f>
        <v>0</v>
      </c>
      <c r="AG2">
        <f>BDH("TTAN US Equity","IS_INT_EXPENSE","1993-06-18","2026-05-02","Per=Y","Days=T","Dir=V")</f>
        <v>0</v>
      </c>
      <c r="AI2">
        <f>BDH("TTAN US Equity","IS_DEPR_EXP","1993-06-18","2026-05-02","Per=Y","Days=T","Dir=V")</f>
        <v>0</v>
      </c>
      <c r="AK2">
        <f>BDH("TTAN US Equity","CF_CASH_FROM_OPER","1993-06-18","2026-05-02","Per=Y","Days=T","Dir=V")</f>
        <v>0</v>
      </c>
      <c r="AM2">
        <f>BDH("TTAN US Equity","CAPITAL_EXPEND","1993-06-18","2026-05-02","Per=Y","Days=T","Dir=V")</f>
        <v>0</v>
      </c>
      <c r="AO2">
        <f>BDH("TTAN US Equity","CF_FREE_CASH_FLOW","1993-06-18","2026-05-02","Per=Y","Days=T","Dir=V")</f>
        <v>0</v>
      </c>
      <c r="AQ2">
        <f>BDH("TTAN US Equity","PX_LAST","1993-06-18","2026-05-02","Per=M","Days=T","Dir=V")</f>
        <v>0</v>
      </c>
      <c r="AS2">
        <f>BDH("TTAN US Equity","CUR_MKT_CAP","1993-06-18","2026-05-02","Per=M","Days=T","Dir=V")</f>
        <v>0</v>
      </c>
      <c r="AU2">
        <f>BDH("TTAN US Equity","EQY_SH_OUT","1993-06-18","2026-05-02","Per=M","Days=T","Dir=V")</f>
        <v>0</v>
      </c>
      <c r="AW2">
        <f>BDH("TTAN US Equity","PX_VOLUME","1993-06-18","2026-05-02","Per=M","Days=T","Dir=V")</f>
        <v>0</v>
      </c>
      <c r="AY2">
        <f>BDH("TTAN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BDH("TTC US Equity","BS_TOT_ASSET","1993-06-18","2026-05-02","Per=Y","Days=T","Dir=V")</f>
        <v>0</v>
      </c>
      <c r="C2">
        <f>BDH("TTC US Equity","BS_TOT_LIAB2","1993-06-18","2026-05-02","Per=Y","Days=T","Dir=V")</f>
        <v>0</v>
      </c>
      <c r="E2">
        <f>BDH("TTC US Equity","SHORT_AND_LONG_TERM_DEBT","1993-06-18","2026-05-02","Per=Y","Days=T","Dir=V")</f>
        <v>0</v>
      </c>
      <c r="G2">
        <f>BDH("TTC US Equity","BS_ST_BORROW","1993-06-18","2026-05-02","Per=Y","Days=T","Dir=V")</f>
        <v>0</v>
      </c>
      <c r="I2">
        <f>BDH("TTC US Equity","BS_LT_BORROW","1993-06-18","2026-05-02","Per=Y","Days=T","Dir=V")</f>
        <v>0</v>
      </c>
      <c r="K2">
        <f>BDH("TTC US Equity","BS_CASH_NEAR_CASH_ITEM","1993-06-18","2026-05-02","Per=Y","Days=T","Dir=V")</f>
        <v>0</v>
      </c>
      <c r="M2">
        <f>BDH("TTC US Equity","BS_CUR_ASSET_REPORT","1993-06-18","2026-05-02","Per=Y","Days=T","Dir=V")</f>
        <v>0</v>
      </c>
      <c r="O2">
        <f>BDH("TTC US Equity","BS_CUR_LIAB","1993-06-18","2026-05-02","Per=Y","Days=T","Dir=V")</f>
        <v>0</v>
      </c>
      <c r="Q2">
        <f>BDH("TTC US Equity","BS_SHAREHOLDER_EQY_ENDING_PERIOD","1993-06-18","2026-05-02","Per=Y","Days=T","Dir=V")</f>
        <v>0</v>
      </c>
      <c r="S2">
        <f>BDH("TTC US Equity","BS_ACCT_NOTE_RCV","1993-06-18","2026-05-02","Per=Y","Days=T","Dir=V")</f>
        <v>0</v>
      </c>
      <c r="U2">
        <f>BDH("TTC US Equity","BS_INVENTORIES","1993-06-18","2026-05-02","Per=Y","Days=T","Dir=V")</f>
        <v>0</v>
      </c>
      <c r="W2">
        <f>BDH("TTC US Equity","WORKING_CAPITAL","1993-06-18","2026-05-02","Per=Y","Days=T","Dir=V")</f>
        <v>0</v>
      </c>
      <c r="Y2">
        <f>BDH("TTC US Equity","SALES_REV_TURN","1993-06-18","2026-05-02","Per=Y","Days=T","Dir=V")</f>
        <v>0</v>
      </c>
      <c r="AA2">
        <f>BDH("TTC US Equity","EBIT","1993-06-18","2026-05-02","Per=Y","Days=T","Dir=V")</f>
        <v>0</v>
      </c>
      <c r="AC2">
        <f>BDH("TTC US Equity","EBITDA","1993-06-18","2026-05-02","Per=Y","Days=T","Dir=V")</f>
        <v>0</v>
      </c>
      <c r="AE2">
        <f>BDH("TTC US Equity","NET_INCOME","1993-06-18","2026-05-02","Per=Y","Days=T","Dir=V")</f>
        <v>0</v>
      </c>
      <c r="AG2">
        <f>BDH("TTC US Equity","IS_INT_EXPENSE","1993-06-18","2026-05-02","Per=Y","Days=T","Dir=V")</f>
        <v>0</v>
      </c>
      <c r="AI2">
        <f>BDH("TTC US Equity","IS_DEPR_EXP","1993-06-18","2026-05-02","Per=Y","Days=T","Dir=V")</f>
        <v>0</v>
      </c>
      <c r="AK2">
        <f>BDH("TTC US Equity","CF_CASH_FROM_OPER","1993-06-18","2026-05-02","Per=Y","Days=T","Dir=V")</f>
        <v>0</v>
      </c>
      <c r="AM2">
        <f>BDH("TTC US Equity","CAPITAL_EXPEND","1993-06-18","2026-05-02","Per=Y","Days=T","Dir=V")</f>
        <v>0</v>
      </c>
      <c r="AO2">
        <f>BDH("TTC US Equity","CF_FREE_CASH_FLOW","1993-06-18","2026-05-02","Per=Y","Days=T","Dir=V")</f>
        <v>0</v>
      </c>
      <c r="AQ2">
        <f>BDH("TTC US Equity","PX_LAST","1993-06-18","2026-05-02","Per=M","Days=T","Dir=V")</f>
        <v>0</v>
      </c>
      <c r="AS2">
        <f>BDH("TTC US Equity","CUR_MKT_CAP","1993-06-18","2026-05-02","Per=M","Days=T","Dir=V")</f>
        <v>0</v>
      </c>
      <c r="AU2">
        <f>BDH("TTC US Equity","EQY_SH_OUT","1993-06-18","2026-05-02","Per=M","Days=T","Dir=V")</f>
        <v>0</v>
      </c>
      <c r="AW2">
        <f>BDH("TTC US Equity","PX_VOLUME","1993-06-18","2026-05-02","Per=M","Days=T","Dir=V")</f>
        <v>0</v>
      </c>
      <c r="AY2">
        <f>BDH("TTC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BDH("TTD US Equity","BS_TOT_ASSET","1993-06-18","2026-05-02","Per=Y","Days=T","Dir=V")</f>
        <v>0</v>
      </c>
      <c r="C2">
        <f>BDH("TTD US Equity","BS_TOT_LIAB2","1993-06-18","2026-05-02","Per=Y","Days=T","Dir=V")</f>
        <v>0</v>
      </c>
      <c r="E2">
        <f>BDH("TTD US Equity","SHORT_AND_LONG_TERM_DEBT","1993-06-18","2026-05-02","Per=Y","Days=T","Dir=V")</f>
        <v>0</v>
      </c>
      <c r="G2">
        <f>BDH("TTD US Equity","BS_ST_BORROW","1993-06-18","2026-05-02","Per=Y","Days=T","Dir=V")</f>
        <v>0</v>
      </c>
      <c r="I2">
        <f>BDH("TTD US Equity","BS_LT_BORROW","1993-06-18","2026-05-02","Per=Y","Days=T","Dir=V")</f>
        <v>0</v>
      </c>
      <c r="K2">
        <f>BDH("TTD US Equity","BS_CASH_NEAR_CASH_ITEM","1993-06-18","2026-05-02","Per=Y","Days=T","Dir=V")</f>
        <v>0</v>
      </c>
      <c r="M2">
        <f>BDH("TTD US Equity","BS_CUR_ASSET_REPORT","1993-06-18","2026-05-02","Per=Y","Days=T","Dir=V")</f>
        <v>0</v>
      </c>
      <c r="O2">
        <f>BDH("TTD US Equity","BS_CUR_LIAB","1993-06-18","2026-05-02","Per=Y","Days=T","Dir=V")</f>
        <v>0</v>
      </c>
      <c r="Q2">
        <f>BDH("TTD US Equity","BS_SHAREHOLDER_EQY_ENDING_PERIOD","1993-06-18","2026-05-02","Per=Y","Days=T","Dir=V")</f>
        <v>0</v>
      </c>
      <c r="S2">
        <f>BDH("TTD US Equity","BS_ACCT_NOTE_RCV","1993-06-18","2026-05-02","Per=Y","Days=T","Dir=V")</f>
        <v>0</v>
      </c>
      <c r="U2">
        <f>BDH("TTD US Equity","BS_INVENTORIES","1993-06-18","2026-05-02","Per=Y","Days=T","Dir=V")</f>
        <v>0</v>
      </c>
      <c r="W2">
        <f>BDH("TTD US Equity","WORKING_CAPITAL","1993-06-18","2026-05-02","Per=Y","Days=T","Dir=V")</f>
        <v>0</v>
      </c>
      <c r="Y2">
        <f>BDH("TTD US Equity","SALES_REV_TURN","1993-06-18","2026-05-02","Per=Y","Days=T","Dir=V")</f>
        <v>0</v>
      </c>
      <c r="AA2">
        <f>BDH("TTD US Equity","EBIT","1993-06-18","2026-05-02","Per=Y","Days=T","Dir=V")</f>
        <v>0</v>
      </c>
      <c r="AC2">
        <f>BDH("TTD US Equity","EBITDA","1993-06-18","2026-05-02","Per=Y","Days=T","Dir=V")</f>
        <v>0</v>
      </c>
      <c r="AE2">
        <f>BDH("TTD US Equity","NET_INCOME","1993-06-18","2026-05-02","Per=Y","Days=T","Dir=V")</f>
        <v>0</v>
      </c>
      <c r="AG2">
        <f>BDH("TTD US Equity","IS_INT_EXPENSE","1993-06-18","2026-05-02","Per=Y","Days=T","Dir=V")</f>
        <v>0</v>
      </c>
      <c r="AI2">
        <f>BDH("TTD US Equity","IS_DEPR_EXP","1993-06-18","2026-05-02","Per=Y","Days=T","Dir=V")</f>
        <v>0</v>
      </c>
      <c r="AK2">
        <f>BDH("TTD US Equity","CF_CASH_FROM_OPER","1993-06-18","2026-05-02","Per=Y","Days=T","Dir=V")</f>
        <v>0</v>
      </c>
      <c r="AM2">
        <f>BDH("TTD US Equity","CAPITAL_EXPEND","1993-06-18","2026-05-02","Per=Y","Days=T","Dir=V")</f>
        <v>0</v>
      </c>
      <c r="AO2">
        <f>BDH("TTD US Equity","CF_FREE_CASH_FLOW","1993-06-18","2026-05-02","Per=Y","Days=T","Dir=V")</f>
        <v>0</v>
      </c>
      <c r="AQ2">
        <f>BDH("TTD US Equity","PX_LAST","1993-06-18","2026-05-02","Per=M","Days=T","Dir=V")</f>
        <v>0</v>
      </c>
      <c r="AS2">
        <f>BDH("TTD US Equity","CUR_MKT_CAP","1993-06-18","2026-05-02","Per=M","Days=T","Dir=V")</f>
        <v>0</v>
      </c>
      <c r="AU2">
        <f>BDH("TTD US Equity","EQY_SH_OUT","1993-06-18","2026-05-02","Per=M","Days=T","Dir=V")</f>
        <v>0</v>
      </c>
      <c r="AW2">
        <f>BDH("TTD US Equity","PX_VOLUME","1993-06-18","2026-05-02","Per=M","Days=T","Dir=V")</f>
        <v>0</v>
      </c>
      <c r="AY2">
        <f>BDH("TTD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BDH("TTEC US Equity","BS_TOT_ASSET","1993-06-18","2026-05-02","Per=Y","Days=T","Dir=V")</f>
        <v>0</v>
      </c>
      <c r="C2">
        <f>BDH("TTEC US Equity","BS_TOT_LIAB2","1993-06-18","2026-05-02","Per=Y","Days=T","Dir=V")</f>
        <v>0</v>
      </c>
      <c r="E2">
        <f>BDH("TTEC US Equity","SHORT_AND_LONG_TERM_DEBT","1993-06-18","2026-05-02","Per=Y","Days=T","Dir=V")</f>
        <v>0</v>
      </c>
      <c r="G2">
        <f>BDH("TTEC US Equity","BS_ST_BORROW","1993-06-18","2026-05-02","Per=Y","Days=T","Dir=V")</f>
        <v>0</v>
      </c>
      <c r="I2">
        <f>BDH("TTEC US Equity","BS_LT_BORROW","1993-06-18","2026-05-02","Per=Y","Days=T","Dir=V")</f>
        <v>0</v>
      </c>
      <c r="K2">
        <f>BDH("TTEC US Equity","BS_CASH_NEAR_CASH_ITEM","1993-06-18","2026-05-02","Per=Y","Days=T","Dir=V")</f>
        <v>0</v>
      </c>
      <c r="M2">
        <f>BDH("TTEC US Equity","BS_CUR_ASSET_REPORT","1993-06-18","2026-05-02","Per=Y","Days=T","Dir=V")</f>
        <v>0</v>
      </c>
      <c r="O2">
        <f>BDH("TTEC US Equity","BS_CUR_LIAB","1993-06-18","2026-05-02","Per=Y","Days=T","Dir=V")</f>
        <v>0</v>
      </c>
      <c r="Q2">
        <f>BDH("TTEC US Equity","BS_SHAREHOLDER_EQY_ENDING_PERIOD","1993-06-18","2026-05-02","Per=Y","Days=T","Dir=V")</f>
        <v>0</v>
      </c>
      <c r="S2">
        <f>BDH("TTEC US Equity","BS_ACCT_NOTE_RCV","1993-06-18","2026-05-02","Per=Y","Days=T","Dir=V")</f>
        <v>0</v>
      </c>
      <c r="U2">
        <f>BDH("TTEC US Equity","BS_INVENTORIES","1993-06-18","2026-05-02","Per=Y","Days=T","Dir=V")</f>
        <v>0</v>
      </c>
      <c r="W2">
        <f>BDH("TTEC US Equity","WORKING_CAPITAL","1993-06-18","2026-05-02","Per=Y","Days=T","Dir=V")</f>
        <v>0</v>
      </c>
      <c r="Y2">
        <f>BDH("TTEC US Equity","SALES_REV_TURN","1993-06-18","2026-05-02","Per=Y","Days=T","Dir=V")</f>
        <v>0</v>
      </c>
      <c r="AA2">
        <f>BDH("TTEC US Equity","EBIT","1993-06-18","2026-05-02","Per=Y","Days=T","Dir=V")</f>
        <v>0</v>
      </c>
      <c r="AC2">
        <f>BDH("TTEC US Equity","EBITDA","1993-06-18","2026-05-02","Per=Y","Days=T","Dir=V")</f>
        <v>0</v>
      </c>
      <c r="AE2">
        <f>BDH("TTEC US Equity","NET_INCOME","1993-06-18","2026-05-02","Per=Y","Days=T","Dir=V")</f>
        <v>0</v>
      </c>
      <c r="AG2">
        <f>BDH("TTEC US Equity","IS_INT_EXPENSE","1993-06-18","2026-05-02","Per=Y","Days=T","Dir=V")</f>
        <v>0</v>
      </c>
      <c r="AI2">
        <f>BDH("TTEC US Equity","IS_DEPR_EXP","1993-06-18","2026-05-02","Per=Y","Days=T","Dir=V")</f>
        <v>0</v>
      </c>
      <c r="AK2">
        <f>BDH("TTEC US Equity","CF_CASH_FROM_OPER","1993-06-18","2026-05-02","Per=Y","Days=T","Dir=V")</f>
        <v>0</v>
      </c>
      <c r="AM2">
        <f>BDH("TTEC US Equity","CAPITAL_EXPEND","1993-06-18","2026-05-02","Per=Y","Days=T","Dir=V")</f>
        <v>0</v>
      </c>
      <c r="AO2">
        <f>BDH("TTEC US Equity","CF_FREE_CASH_FLOW","1993-06-18","2026-05-02","Per=Y","Days=T","Dir=V")</f>
        <v>0</v>
      </c>
      <c r="AQ2">
        <f>BDH("TTEC US Equity","PX_LAST","1993-06-18","2026-05-02","Per=M","Days=T","Dir=V")</f>
        <v>0</v>
      </c>
      <c r="AS2">
        <f>BDH("TTEC US Equity","CUR_MKT_CAP","1993-06-18","2026-05-02","Per=M","Days=T","Dir=V")</f>
        <v>0</v>
      </c>
      <c r="AU2">
        <f>BDH("TTEC US Equity","EQY_SH_OUT","1993-06-18","2026-05-02","Per=M","Days=T","Dir=V")</f>
        <v>0</v>
      </c>
      <c r="AW2">
        <f>BDH("TTEC US Equity","PX_VOLUME","1993-06-18","2026-05-02","Per=M","Days=T","Dir=V")</f>
        <v>0</v>
      </c>
      <c r="AY2">
        <f>BDH("TTEC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BDH("TTEK US Equity","BS_TOT_ASSET","1993-06-18","2026-05-02","Per=Y","Days=T","Dir=V")</f>
        <v>0</v>
      </c>
      <c r="C2">
        <f>BDH("TTEK US Equity","BS_TOT_LIAB2","1993-06-18","2026-05-02","Per=Y","Days=T","Dir=V")</f>
        <v>0</v>
      </c>
      <c r="E2">
        <f>BDH("TTEK US Equity","SHORT_AND_LONG_TERM_DEBT","1993-06-18","2026-05-02","Per=Y","Days=T","Dir=V")</f>
        <v>0</v>
      </c>
      <c r="G2">
        <f>BDH("TTEK US Equity","BS_ST_BORROW","1993-06-18","2026-05-02","Per=Y","Days=T","Dir=V")</f>
        <v>0</v>
      </c>
      <c r="I2">
        <f>BDH("TTEK US Equity","BS_LT_BORROW","1993-06-18","2026-05-02","Per=Y","Days=T","Dir=V")</f>
        <v>0</v>
      </c>
      <c r="K2">
        <f>BDH("TTEK US Equity","BS_CASH_NEAR_CASH_ITEM","1993-06-18","2026-05-02","Per=Y","Days=T","Dir=V")</f>
        <v>0</v>
      </c>
      <c r="M2">
        <f>BDH("TTEK US Equity","BS_CUR_ASSET_REPORT","1993-06-18","2026-05-02","Per=Y","Days=T","Dir=V")</f>
        <v>0</v>
      </c>
      <c r="O2">
        <f>BDH("TTEK US Equity","BS_CUR_LIAB","1993-06-18","2026-05-02","Per=Y","Days=T","Dir=V")</f>
        <v>0</v>
      </c>
      <c r="Q2">
        <f>BDH("TTEK US Equity","BS_SHAREHOLDER_EQY_ENDING_PERIOD","1993-06-18","2026-05-02","Per=Y","Days=T","Dir=V")</f>
        <v>0</v>
      </c>
      <c r="S2">
        <f>BDH("TTEK US Equity","BS_ACCT_NOTE_RCV","1993-06-18","2026-05-02","Per=Y","Days=T","Dir=V")</f>
        <v>0</v>
      </c>
      <c r="U2">
        <f>BDH("TTEK US Equity","BS_INVENTORIES","1993-06-18","2026-05-02","Per=Y","Days=T","Dir=V")</f>
        <v>0</v>
      </c>
      <c r="W2">
        <f>BDH("TTEK US Equity","WORKING_CAPITAL","1993-06-18","2026-05-02","Per=Y","Days=T","Dir=V")</f>
        <v>0</v>
      </c>
      <c r="Y2">
        <f>BDH("TTEK US Equity","SALES_REV_TURN","1993-06-18","2026-05-02","Per=Y","Days=T","Dir=V")</f>
        <v>0</v>
      </c>
      <c r="AA2">
        <f>BDH("TTEK US Equity","EBIT","1993-06-18","2026-05-02","Per=Y","Days=T","Dir=V")</f>
        <v>0</v>
      </c>
      <c r="AC2">
        <f>BDH("TTEK US Equity","EBITDA","1993-06-18","2026-05-02","Per=Y","Days=T","Dir=V")</f>
        <v>0</v>
      </c>
      <c r="AE2">
        <f>BDH("TTEK US Equity","NET_INCOME","1993-06-18","2026-05-02","Per=Y","Days=T","Dir=V")</f>
        <v>0</v>
      </c>
      <c r="AG2">
        <f>BDH("TTEK US Equity","IS_INT_EXPENSE","1993-06-18","2026-05-02","Per=Y","Days=T","Dir=V")</f>
        <v>0</v>
      </c>
      <c r="AI2">
        <f>BDH("TTEK US Equity","IS_DEPR_EXP","1993-06-18","2026-05-02","Per=Y","Days=T","Dir=V")</f>
        <v>0</v>
      </c>
      <c r="AK2">
        <f>BDH("TTEK US Equity","CF_CASH_FROM_OPER","1993-06-18","2026-05-02","Per=Y","Days=T","Dir=V")</f>
        <v>0</v>
      </c>
      <c r="AM2">
        <f>BDH("TTEK US Equity","CAPITAL_EXPEND","1993-06-18","2026-05-02","Per=Y","Days=T","Dir=V")</f>
        <v>0</v>
      </c>
      <c r="AO2">
        <f>BDH("TTEK US Equity","CF_FREE_CASH_FLOW","1993-06-18","2026-05-02","Per=Y","Days=T","Dir=V")</f>
        <v>0</v>
      </c>
      <c r="AQ2">
        <f>BDH("TTEK US Equity","PX_LAST","1993-06-18","2026-05-02","Per=M","Days=T","Dir=V")</f>
        <v>0</v>
      </c>
      <c r="AS2">
        <f>BDH("TTEK US Equity","CUR_MKT_CAP","1993-06-18","2026-05-02","Per=M","Days=T","Dir=V")</f>
        <v>0</v>
      </c>
      <c r="AU2">
        <f>BDH("TTEK US Equity","EQY_SH_OUT","1993-06-18","2026-05-02","Per=M","Days=T","Dir=V")</f>
        <v>0</v>
      </c>
      <c r="AW2">
        <f>BDH("TTEK US Equity","PX_VOLUME","1993-06-18","2026-05-02","Per=M","Days=T","Dir=V")</f>
        <v>0</v>
      </c>
      <c r="AY2">
        <f>BDH("TTEK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BDH("TTGT US Equity","BS_TOT_ASSET","1993-06-18","2026-05-02","Per=Y","Days=T","Dir=V")</f>
        <v>0</v>
      </c>
      <c r="C2">
        <f>BDH("TTGT US Equity","BS_TOT_LIAB2","1993-06-18","2026-05-02","Per=Y","Days=T","Dir=V")</f>
        <v>0</v>
      </c>
      <c r="E2">
        <f>BDH("TTGT US Equity","SHORT_AND_LONG_TERM_DEBT","1993-06-18","2026-05-02","Per=Y","Days=T","Dir=V")</f>
        <v>0</v>
      </c>
      <c r="G2">
        <f>BDH("TTGT US Equity","BS_ST_BORROW","1993-06-18","2026-05-02","Per=Y","Days=T","Dir=V")</f>
        <v>0</v>
      </c>
      <c r="I2">
        <f>BDH("TTGT US Equity","BS_LT_BORROW","1993-06-18","2026-05-02","Per=Y","Days=T","Dir=V")</f>
        <v>0</v>
      </c>
      <c r="K2">
        <f>BDH("TTGT US Equity","BS_CASH_NEAR_CASH_ITEM","1993-06-18","2026-05-02","Per=Y","Days=T","Dir=V")</f>
        <v>0</v>
      </c>
      <c r="M2">
        <f>BDH("TTGT US Equity","BS_CUR_ASSET_REPORT","1993-06-18","2026-05-02","Per=Y","Days=T","Dir=V")</f>
        <v>0</v>
      </c>
      <c r="O2">
        <f>BDH("TTGT US Equity","BS_CUR_LIAB","1993-06-18","2026-05-02","Per=Y","Days=T","Dir=V")</f>
        <v>0</v>
      </c>
      <c r="Q2">
        <f>BDH("TTGT US Equity","BS_SHAREHOLDER_EQY_ENDING_PERIOD","1993-06-18","2026-05-02","Per=Y","Days=T","Dir=V")</f>
        <v>0</v>
      </c>
      <c r="S2">
        <f>BDH("TTGT US Equity","BS_ACCT_NOTE_RCV","1993-06-18","2026-05-02","Per=Y","Days=T","Dir=V")</f>
        <v>0</v>
      </c>
      <c r="U2">
        <f>BDH("TTGT US Equity","BS_INVENTORIES","1993-06-18","2026-05-02","Per=Y","Days=T","Dir=V")</f>
        <v>0</v>
      </c>
      <c r="W2">
        <f>BDH("TTGT US Equity","WORKING_CAPITAL","1993-06-18","2026-05-02","Per=Y","Days=T","Dir=V")</f>
        <v>0</v>
      </c>
      <c r="Y2">
        <f>BDH("TTGT US Equity","SALES_REV_TURN","1993-06-18","2026-05-02","Per=Y","Days=T","Dir=V")</f>
        <v>0</v>
      </c>
      <c r="AA2">
        <f>BDH("TTGT US Equity","EBIT","1993-06-18","2026-05-02","Per=Y","Days=T","Dir=V")</f>
        <v>0</v>
      </c>
      <c r="AC2">
        <f>BDH("TTGT US Equity","EBITDA","1993-06-18","2026-05-02","Per=Y","Days=T","Dir=V")</f>
        <v>0</v>
      </c>
      <c r="AE2">
        <f>BDH("TTGT US Equity","NET_INCOME","1993-06-18","2026-05-02","Per=Y","Days=T","Dir=V")</f>
        <v>0</v>
      </c>
      <c r="AG2">
        <f>BDH("TTGT US Equity","IS_INT_EXPENSE","1993-06-18","2026-05-02","Per=Y","Days=T","Dir=V")</f>
        <v>0</v>
      </c>
      <c r="AI2">
        <f>BDH("TTGT US Equity","IS_DEPR_EXP","1993-06-18","2026-05-02","Per=Y","Days=T","Dir=V")</f>
        <v>0</v>
      </c>
      <c r="AK2">
        <f>BDH("TTGT US Equity","CF_CASH_FROM_OPER","1993-06-18","2026-05-02","Per=Y","Days=T","Dir=V")</f>
        <v>0</v>
      </c>
      <c r="AM2">
        <f>BDH("TTGT US Equity","CAPITAL_EXPEND","1993-06-18","2026-05-02","Per=Y","Days=T","Dir=V")</f>
        <v>0</v>
      </c>
      <c r="AO2">
        <f>BDH("TTGT US Equity","CF_FREE_CASH_FLOW","1993-06-18","2026-05-02","Per=Y","Days=T","Dir=V")</f>
        <v>0</v>
      </c>
      <c r="AQ2">
        <f>BDH("TTGT US Equity","PX_LAST","1993-06-18","2026-05-02","Per=M","Days=T","Dir=V")</f>
        <v>0</v>
      </c>
      <c r="AS2">
        <f>BDH("TTGT US Equity","CUR_MKT_CAP","1993-06-18","2026-05-02","Per=M","Days=T","Dir=V")</f>
        <v>0</v>
      </c>
      <c r="AU2">
        <f>BDH("TTGT US Equity","EQY_SH_OUT","1993-06-18","2026-05-02","Per=M","Days=T","Dir=V")</f>
        <v>0</v>
      </c>
      <c r="AW2">
        <f>BDH("TTGT US Equity","PX_VOLUME","1993-06-18","2026-05-02","Per=M","Days=T","Dir=V")</f>
        <v>0</v>
      </c>
      <c r="AY2">
        <f>BDH("TTGT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BDH("TTI US Equity","BS_TOT_ASSET","1993-06-18","2026-05-02","Per=Y","Days=T","Dir=V")</f>
        <v>0</v>
      </c>
      <c r="C2">
        <f>BDH("TTI US Equity","BS_TOT_LIAB2","1993-06-18","2026-05-02","Per=Y","Days=T","Dir=V")</f>
        <v>0</v>
      </c>
      <c r="E2">
        <f>BDH("TTI US Equity","SHORT_AND_LONG_TERM_DEBT","1993-06-18","2026-05-02","Per=Y","Days=T","Dir=V")</f>
        <v>0</v>
      </c>
      <c r="G2">
        <f>BDH("TTI US Equity","BS_ST_BORROW","1993-06-18","2026-05-02","Per=Y","Days=T","Dir=V")</f>
        <v>0</v>
      </c>
      <c r="I2">
        <f>BDH("TTI US Equity","BS_LT_BORROW","1993-06-18","2026-05-02","Per=Y","Days=T","Dir=V")</f>
        <v>0</v>
      </c>
      <c r="K2">
        <f>BDH("TTI US Equity","BS_CASH_NEAR_CASH_ITEM","1993-06-18","2026-05-02","Per=Y","Days=T","Dir=V")</f>
        <v>0</v>
      </c>
      <c r="M2">
        <f>BDH("TTI US Equity","BS_CUR_ASSET_REPORT","1993-06-18","2026-05-02","Per=Y","Days=T","Dir=V")</f>
        <v>0</v>
      </c>
      <c r="O2">
        <f>BDH("TTI US Equity","BS_CUR_LIAB","1993-06-18","2026-05-02","Per=Y","Days=T","Dir=V")</f>
        <v>0</v>
      </c>
      <c r="Q2">
        <f>BDH("TTI US Equity","BS_SHAREHOLDER_EQY_ENDING_PERIOD","1993-06-18","2026-05-02","Per=Y","Days=T","Dir=V")</f>
        <v>0</v>
      </c>
      <c r="S2">
        <f>BDH("TTI US Equity","BS_ACCT_NOTE_RCV","1993-06-18","2026-05-02","Per=Y","Days=T","Dir=V")</f>
        <v>0</v>
      </c>
      <c r="U2">
        <f>BDH("TTI US Equity","BS_INVENTORIES","1993-06-18","2026-05-02","Per=Y","Days=T","Dir=V")</f>
        <v>0</v>
      </c>
      <c r="W2">
        <f>BDH("TTI US Equity","WORKING_CAPITAL","1993-06-18","2026-05-02","Per=Y","Days=T","Dir=V")</f>
        <v>0</v>
      </c>
      <c r="Y2">
        <f>BDH("TTI US Equity","SALES_REV_TURN","1993-06-18","2026-05-02","Per=Y","Days=T","Dir=V")</f>
        <v>0</v>
      </c>
      <c r="AA2">
        <f>BDH("TTI US Equity","EBIT","1993-06-18","2026-05-02","Per=Y","Days=T","Dir=V")</f>
        <v>0</v>
      </c>
      <c r="AC2">
        <f>BDH("TTI US Equity","EBITDA","1993-06-18","2026-05-02","Per=Y","Days=T","Dir=V")</f>
        <v>0</v>
      </c>
      <c r="AE2">
        <f>BDH("TTI US Equity","NET_INCOME","1993-06-18","2026-05-02","Per=Y","Days=T","Dir=V")</f>
        <v>0</v>
      </c>
      <c r="AG2">
        <f>BDH("TTI US Equity","IS_INT_EXPENSE","1993-06-18","2026-05-02","Per=Y","Days=T","Dir=V")</f>
        <v>0</v>
      </c>
      <c r="AI2">
        <f>BDH("TTI US Equity","IS_DEPR_EXP","1993-06-18","2026-05-02","Per=Y","Days=T","Dir=V")</f>
        <v>0</v>
      </c>
      <c r="AK2">
        <f>BDH("TTI US Equity","CF_CASH_FROM_OPER","1993-06-18","2026-05-02","Per=Y","Days=T","Dir=V")</f>
        <v>0</v>
      </c>
      <c r="AM2">
        <f>BDH("TTI US Equity","CAPITAL_EXPEND","1993-06-18","2026-05-02","Per=Y","Days=T","Dir=V")</f>
        <v>0</v>
      </c>
      <c r="AO2">
        <f>BDH("TTI US Equity","CF_FREE_CASH_FLOW","1993-06-18","2026-05-02","Per=Y","Days=T","Dir=V")</f>
        <v>0</v>
      </c>
      <c r="AQ2">
        <f>BDH("TTI US Equity","PX_LAST","1993-06-18","2026-05-02","Per=M","Days=T","Dir=V")</f>
        <v>0</v>
      </c>
      <c r="AS2">
        <f>BDH("TTI US Equity","CUR_MKT_CAP","1993-06-18","2026-05-02","Per=M","Days=T","Dir=V")</f>
        <v>0</v>
      </c>
      <c r="AU2">
        <f>BDH("TTI US Equity","EQY_SH_OUT","1993-06-18","2026-05-02","Per=M","Days=T","Dir=V")</f>
        <v>0</v>
      </c>
      <c r="AW2">
        <f>BDH("TTI US Equity","PX_VOLUME","1993-06-18","2026-05-02","Per=M","Days=T","Dir=V")</f>
        <v>0</v>
      </c>
      <c r="AY2">
        <f>BDH("TTI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BDH("TTMI US Equity","BS_TOT_ASSET","1993-06-18","2026-05-02","Per=Y","Days=T","Dir=V")</f>
        <v>0</v>
      </c>
      <c r="C2">
        <f>BDH("TTMI US Equity","BS_TOT_LIAB2","1993-06-18","2026-05-02","Per=Y","Days=T","Dir=V")</f>
        <v>0</v>
      </c>
      <c r="E2">
        <f>BDH("TTMI US Equity","SHORT_AND_LONG_TERM_DEBT","1993-06-18","2026-05-02","Per=Y","Days=T","Dir=V")</f>
        <v>0</v>
      </c>
      <c r="G2">
        <f>BDH("TTMI US Equity","BS_ST_BORROW","1993-06-18","2026-05-02","Per=Y","Days=T","Dir=V")</f>
        <v>0</v>
      </c>
      <c r="I2">
        <f>BDH("TTMI US Equity","BS_LT_BORROW","1993-06-18","2026-05-02","Per=Y","Days=T","Dir=V")</f>
        <v>0</v>
      </c>
      <c r="K2">
        <f>BDH("TTMI US Equity","BS_CASH_NEAR_CASH_ITEM","1993-06-18","2026-05-02","Per=Y","Days=T","Dir=V")</f>
        <v>0</v>
      </c>
      <c r="M2">
        <f>BDH("TTMI US Equity","BS_CUR_ASSET_REPORT","1993-06-18","2026-05-02","Per=Y","Days=T","Dir=V")</f>
        <v>0</v>
      </c>
      <c r="O2">
        <f>BDH("TTMI US Equity","BS_CUR_LIAB","1993-06-18","2026-05-02","Per=Y","Days=T","Dir=V")</f>
        <v>0</v>
      </c>
      <c r="Q2">
        <f>BDH("TTMI US Equity","BS_SHAREHOLDER_EQY_ENDING_PERIOD","1993-06-18","2026-05-02","Per=Y","Days=T","Dir=V")</f>
        <v>0</v>
      </c>
      <c r="S2">
        <f>BDH("TTMI US Equity","BS_ACCT_NOTE_RCV","1993-06-18","2026-05-02","Per=Y","Days=T","Dir=V")</f>
        <v>0</v>
      </c>
      <c r="U2">
        <f>BDH("TTMI US Equity","BS_INVENTORIES","1993-06-18","2026-05-02","Per=Y","Days=T","Dir=V")</f>
        <v>0</v>
      </c>
      <c r="W2">
        <f>BDH("TTMI US Equity","WORKING_CAPITAL","1993-06-18","2026-05-02","Per=Y","Days=T","Dir=V")</f>
        <v>0</v>
      </c>
      <c r="Y2">
        <f>BDH("TTMI US Equity","SALES_REV_TURN","1993-06-18","2026-05-02","Per=Y","Days=T","Dir=V")</f>
        <v>0</v>
      </c>
      <c r="AA2">
        <f>BDH("TTMI US Equity","EBIT","1993-06-18","2026-05-02","Per=Y","Days=T","Dir=V")</f>
        <v>0</v>
      </c>
      <c r="AC2">
        <f>BDH("TTMI US Equity","EBITDA","1993-06-18","2026-05-02","Per=Y","Days=T","Dir=V")</f>
        <v>0</v>
      </c>
      <c r="AE2">
        <f>BDH("TTMI US Equity","NET_INCOME","1993-06-18","2026-05-02","Per=Y","Days=T","Dir=V")</f>
        <v>0</v>
      </c>
      <c r="AG2">
        <f>BDH("TTMI US Equity","IS_INT_EXPENSE","1993-06-18","2026-05-02","Per=Y","Days=T","Dir=V")</f>
        <v>0</v>
      </c>
      <c r="AI2">
        <f>BDH("TTMI US Equity","IS_DEPR_EXP","1993-06-18","2026-05-02","Per=Y","Days=T","Dir=V")</f>
        <v>0</v>
      </c>
      <c r="AK2">
        <f>BDH("TTMI US Equity","CF_CASH_FROM_OPER","1993-06-18","2026-05-02","Per=Y","Days=T","Dir=V")</f>
        <v>0</v>
      </c>
      <c r="AM2">
        <f>BDH("TTMI US Equity","CAPITAL_EXPEND","1993-06-18","2026-05-02","Per=Y","Days=T","Dir=V")</f>
        <v>0</v>
      </c>
      <c r="AO2">
        <f>BDH("TTMI US Equity","CF_FREE_CASH_FLOW","1993-06-18","2026-05-02","Per=Y","Days=T","Dir=V")</f>
        <v>0</v>
      </c>
      <c r="AQ2">
        <f>BDH("TTMI US Equity","PX_LAST","1993-06-18","2026-05-02","Per=M","Days=T","Dir=V")</f>
        <v>0</v>
      </c>
      <c r="AS2">
        <f>BDH("TTMI US Equity","CUR_MKT_CAP","1993-06-18","2026-05-02","Per=M","Days=T","Dir=V")</f>
        <v>0</v>
      </c>
      <c r="AU2">
        <f>BDH("TTMI US Equity","EQY_SH_OUT","1993-06-18","2026-05-02","Per=M","Days=T","Dir=V")</f>
        <v>0</v>
      </c>
      <c r="AW2">
        <f>BDH("TTMI US Equity","PX_VOLUME","1993-06-18","2026-05-02","Per=M","Days=T","Dir=V")</f>
        <v>0</v>
      </c>
      <c r="AY2">
        <f>BDH("TTMI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BDH("TTRX US Equity","BS_TOT_ASSET","1993-06-18","2026-05-02","Per=Y","Days=T","Dir=V")</f>
        <v>0</v>
      </c>
      <c r="C2">
        <f>BDH("TTRX US Equity","BS_TOT_LIAB2","1993-06-18","2026-05-02","Per=Y","Days=T","Dir=V")</f>
        <v>0</v>
      </c>
      <c r="E2">
        <f>BDH("TTRX US Equity","SHORT_AND_LONG_TERM_DEBT","1993-06-18","2026-05-02","Per=Y","Days=T","Dir=V")</f>
        <v>0</v>
      </c>
      <c r="G2">
        <f>BDH("TTRX US Equity","BS_ST_BORROW","1993-06-18","2026-05-02","Per=Y","Days=T","Dir=V")</f>
        <v>0</v>
      </c>
      <c r="I2">
        <f>BDH("TTRX US Equity","BS_LT_BORROW","1993-06-18","2026-05-02","Per=Y","Days=T","Dir=V")</f>
        <v>0</v>
      </c>
      <c r="K2">
        <f>BDH("TTRX US Equity","BS_CASH_NEAR_CASH_ITEM","1993-06-18","2026-05-02","Per=Y","Days=T","Dir=V")</f>
        <v>0</v>
      </c>
      <c r="M2">
        <f>BDH("TTRX US Equity","BS_CUR_ASSET_REPORT","1993-06-18","2026-05-02","Per=Y","Days=T","Dir=V")</f>
        <v>0</v>
      </c>
      <c r="O2">
        <f>BDH("TTRX US Equity","BS_CUR_LIAB","1993-06-18","2026-05-02","Per=Y","Days=T","Dir=V")</f>
        <v>0</v>
      </c>
      <c r="Q2">
        <f>BDH("TTRX US Equity","BS_SHAREHOLDER_EQY_ENDING_PERIOD","1993-06-18","2026-05-02","Per=Y","Days=T","Dir=V")</f>
        <v>0</v>
      </c>
      <c r="S2">
        <f>BDH("TTRX US Equity","BS_ACCT_NOTE_RCV","1993-06-18","2026-05-02","Per=Y","Days=T","Dir=V")</f>
        <v>0</v>
      </c>
      <c r="U2">
        <f>BDH("TTRX US Equity","BS_INVENTORIES","1993-06-18","2026-05-02","Per=Y","Days=T","Dir=V")</f>
        <v>0</v>
      </c>
      <c r="W2">
        <f>BDH("TTRX US Equity","WORKING_CAPITAL","1993-06-18","2026-05-02","Per=Y","Days=T","Dir=V")</f>
        <v>0</v>
      </c>
      <c r="Y2">
        <f>BDH("TTRX US Equity","SALES_REV_TURN","1993-06-18","2026-05-02","Per=Y","Days=T","Dir=V")</f>
        <v>0</v>
      </c>
      <c r="AA2">
        <f>BDH("TTRX US Equity","EBIT","1993-06-18","2026-05-02","Per=Y","Days=T","Dir=V")</f>
        <v>0</v>
      </c>
      <c r="AC2">
        <f>BDH("TTRX US Equity","EBITDA","1993-06-18","2026-05-02","Per=Y","Days=T","Dir=V")</f>
        <v>0</v>
      </c>
      <c r="AE2">
        <f>BDH("TTRX US Equity","NET_INCOME","1993-06-18","2026-05-02","Per=Y","Days=T","Dir=V")</f>
        <v>0</v>
      </c>
      <c r="AG2">
        <f>BDH("TTRX US Equity","IS_INT_EXPENSE","1993-06-18","2026-05-02","Per=Y","Days=T","Dir=V")</f>
        <v>0</v>
      </c>
      <c r="AI2">
        <f>BDH("TTRX US Equity","IS_DEPR_EXP","1993-06-18","2026-05-02","Per=Y","Days=T","Dir=V")</f>
        <v>0</v>
      </c>
      <c r="AK2">
        <f>BDH("TTRX US Equity","CF_CASH_FROM_OPER","1993-06-18","2026-05-02","Per=Y","Days=T","Dir=V")</f>
        <v>0</v>
      </c>
      <c r="AM2">
        <f>BDH("TTRX US Equity","CAPITAL_EXPEND","1993-06-18","2026-05-02","Per=Y","Days=T","Dir=V")</f>
        <v>0</v>
      </c>
      <c r="AO2">
        <f>BDH("TTRX US Equity","CF_FREE_CASH_FLOW","1993-06-18","2026-05-02","Per=Y","Days=T","Dir=V")</f>
        <v>0</v>
      </c>
      <c r="AQ2">
        <f>BDH("TTRX US Equity","PX_LAST","1993-06-18","2026-05-02","Per=M","Days=T","Dir=V")</f>
        <v>0</v>
      </c>
      <c r="AS2">
        <f>BDH("TTRX US Equity","CUR_MKT_CAP","1993-06-18","2026-05-02","Per=M","Days=T","Dir=V")</f>
        <v>0</v>
      </c>
      <c r="AU2">
        <f>BDH("TTRX US Equity","EQY_SH_OUT","1993-06-18","2026-05-02","Per=M","Days=T","Dir=V")</f>
        <v>0</v>
      </c>
      <c r="AW2">
        <f>BDH("TTRX US Equity","PX_VOLUME","1993-06-18","2026-05-02","Per=M","Days=T","Dir=V")</f>
        <v>0</v>
      </c>
      <c r="AY2">
        <f>BDH("TTRX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BDH("TTWO US Equity","BS_TOT_ASSET","1993-06-18","2026-05-02","Per=Y","Days=T","Dir=V")</f>
        <v>0</v>
      </c>
      <c r="C2">
        <f>BDH("TTWO US Equity","BS_TOT_LIAB2","1993-06-18","2026-05-02","Per=Y","Days=T","Dir=V")</f>
        <v>0</v>
      </c>
      <c r="E2">
        <f>BDH("TTWO US Equity","SHORT_AND_LONG_TERM_DEBT","1993-06-18","2026-05-02","Per=Y","Days=T","Dir=V")</f>
        <v>0</v>
      </c>
      <c r="G2">
        <f>BDH("TTWO US Equity","BS_ST_BORROW","1993-06-18","2026-05-02","Per=Y","Days=T","Dir=V")</f>
        <v>0</v>
      </c>
      <c r="I2">
        <f>BDH("TTWO US Equity","BS_LT_BORROW","1993-06-18","2026-05-02","Per=Y","Days=T","Dir=V")</f>
        <v>0</v>
      </c>
      <c r="K2">
        <f>BDH("TTWO US Equity","BS_CASH_NEAR_CASH_ITEM","1993-06-18","2026-05-02","Per=Y","Days=T","Dir=V")</f>
        <v>0</v>
      </c>
      <c r="M2">
        <f>BDH("TTWO US Equity","BS_CUR_ASSET_REPORT","1993-06-18","2026-05-02","Per=Y","Days=T","Dir=V")</f>
        <v>0</v>
      </c>
      <c r="O2">
        <f>BDH("TTWO US Equity","BS_CUR_LIAB","1993-06-18","2026-05-02","Per=Y","Days=T","Dir=V")</f>
        <v>0</v>
      </c>
      <c r="Q2">
        <f>BDH("TTWO US Equity","BS_SHAREHOLDER_EQY_ENDING_PERIOD","1993-06-18","2026-05-02","Per=Y","Days=T","Dir=V")</f>
        <v>0</v>
      </c>
      <c r="S2">
        <f>BDH("TTWO US Equity","BS_ACCT_NOTE_RCV","1993-06-18","2026-05-02","Per=Y","Days=T","Dir=V")</f>
        <v>0</v>
      </c>
      <c r="U2">
        <f>BDH("TTWO US Equity","BS_INVENTORIES","1993-06-18","2026-05-02","Per=Y","Days=T","Dir=V")</f>
        <v>0</v>
      </c>
      <c r="W2">
        <f>BDH("TTWO US Equity","WORKING_CAPITAL","1993-06-18","2026-05-02","Per=Y","Days=T","Dir=V")</f>
        <v>0</v>
      </c>
      <c r="Y2">
        <f>BDH("TTWO US Equity","SALES_REV_TURN","1993-06-18","2026-05-02","Per=Y","Days=T","Dir=V")</f>
        <v>0</v>
      </c>
      <c r="AA2">
        <f>BDH("TTWO US Equity","EBIT","1993-06-18","2026-05-02","Per=Y","Days=T","Dir=V")</f>
        <v>0</v>
      </c>
      <c r="AC2">
        <f>BDH("TTWO US Equity","EBITDA","1993-06-18","2026-05-02","Per=Y","Days=T","Dir=V")</f>
        <v>0</v>
      </c>
      <c r="AE2">
        <f>BDH("TTWO US Equity","NET_INCOME","1993-06-18","2026-05-02","Per=Y","Days=T","Dir=V")</f>
        <v>0</v>
      </c>
      <c r="AG2">
        <f>BDH("TTWO US Equity","IS_INT_EXPENSE","1993-06-18","2026-05-02","Per=Y","Days=T","Dir=V")</f>
        <v>0</v>
      </c>
      <c r="AI2">
        <f>BDH("TTWO US Equity","IS_DEPR_EXP","1993-06-18","2026-05-02","Per=Y","Days=T","Dir=V")</f>
        <v>0</v>
      </c>
      <c r="AK2">
        <f>BDH("TTWO US Equity","CF_CASH_FROM_OPER","1993-06-18","2026-05-02","Per=Y","Days=T","Dir=V")</f>
        <v>0</v>
      </c>
      <c r="AM2">
        <f>BDH("TTWO US Equity","CAPITAL_EXPEND","1993-06-18","2026-05-02","Per=Y","Days=T","Dir=V")</f>
        <v>0</v>
      </c>
      <c r="AO2">
        <f>BDH("TTWO US Equity","CF_FREE_CASH_FLOW","1993-06-18","2026-05-02","Per=Y","Days=T","Dir=V")</f>
        <v>0</v>
      </c>
      <c r="AQ2">
        <f>BDH("TTWO US Equity","PX_LAST","1993-06-18","2026-05-02","Per=M","Days=T","Dir=V")</f>
        <v>0</v>
      </c>
      <c r="AS2">
        <f>BDH("TTWO US Equity","CUR_MKT_CAP","1993-06-18","2026-05-02","Per=M","Days=T","Dir=V")</f>
        <v>0</v>
      </c>
      <c r="AU2">
        <f>BDH("TTWO US Equity","EQY_SH_OUT","1993-06-18","2026-05-02","Per=M","Days=T","Dir=V")</f>
        <v>0</v>
      </c>
      <c r="AW2">
        <f>BDH("TTWO US Equity","PX_VOLUME","1993-06-18","2026-05-02","Per=M","Days=T","Dir=V")</f>
        <v>0</v>
      </c>
      <c r="AY2">
        <f>BDH("TTWO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BDH("TULP US Equity","BS_TOT_ASSET","1993-06-18","2026-05-02","Per=Y","Days=T","Dir=V")</f>
        <v>0</v>
      </c>
      <c r="C2">
        <f>BDH("TULP US Equity","BS_TOT_LIAB2","1993-06-18","2026-05-02","Per=Y","Days=T","Dir=V")</f>
        <v>0</v>
      </c>
      <c r="E2">
        <f>BDH("TULP US Equity","SHORT_AND_LONG_TERM_DEBT","1993-06-18","2026-05-02","Per=Y","Days=T","Dir=V")</f>
        <v>0</v>
      </c>
      <c r="G2">
        <f>BDH("TULP US Equity","BS_ST_BORROW","1993-06-18","2026-05-02","Per=Y","Days=T","Dir=V")</f>
        <v>0</v>
      </c>
      <c r="I2">
        <f>BDH("TULP US Equity","BS_LT_BORROW","1993-06-18","2026-05-02","Per=Y","Days=T","Dir=V")</f>
        <v>0</v>
      </c>
      <c r="K2">
        <f>BDH("TULP US Equity","BS_CASH_NEAR_CASH_ITEM","1993-06-18","2026-05-02","Per=Y","Days=T","Dir=V")</f>
        <v>0</v>
      </c>
      <c r="M2">
        <f>BDH("TULP US Equity","BS_CUR_ASSET_REPORT","1993-06-18","2026-05-02","Per=Y","Days=T","Dir=V")</f>
        <v>0</v>
      </c>
      <c r="O2">
        <f>BDH("TULP US Equity","BS_CUR_LIAB","1993-06-18","2026-05-02","Per=Y","Days=T","Dir=V")</f>
        <v>0</v>
      </c>
      <c r="Q2">
        <f>BDH("TULP US Equity","BS_SHAREHOLDER_EQY_ENDING_PERIOD","1993-06-18","2026-05-02","Per=Y","Days=T","Dir=V")</f>
        <v>0</v>
      </c>
      <c r="S2">
        <f>BDH("TULP US Equity","BS_ACCT_NOTE_RCV","1993-06-18","2026-05-02","Per=Y","Days=T","Dir=V")</f>
        <v>0</v>
      </c>
      <c r="U2">
        <f>BDH("TULP US Equity","BS_INVENTORIES","1993-06-18","2026-05-02","Per=Y","Days=T","Dir=V")</f>
        <v>0</v>
      </c>
      <c r="W2">
        <f>BDH("TULP US Equity","WORKING_CAPITAL","1993-06-18","2026-05-02","Per=Y","Days=T","Dir=V")</f>
        <v>0</v>
      </c>
      <c r="Y2">
        <f>BDH("TULP US Equity","SALES_REV_TURN","1993-06-18","2026-05-02","Per=Y","Days=T","Dir=V")</f>
        <v>0</v>
      </c>
      <c r="AA2">
        <f>BDH("TULP US Equity","EBIT","1993-06-18","2026-05-02","Per=Y","Days=T","Dir=V")</f>
        <v>0</v>
      </c>
      <c r="AC2">
        <f>BDH("TULP US Equity","EBITDA","1993-06-18","2026-05-02","Per=Y","Days=T","Dir=V")</f>
        <v>0</v>
      </c>
      <c r="AE2">
        <f>BDH("TULP US Equity","NET_INCOME","1993-06-18","2026-05-02","Per=Y","Days=T","Dir=V")</f>
        <v>0</v>
      </c>
      <c r="AG2">
        <f>BDH("TULP US Equity","IS_INT_EXPENSE","1993-06-18","2026-05-02","Per=Y","Days=T","Dir=V")</f>
        <v>0</v>
      </c>
      <c r="AI2">
        <f>BDH("TULP US Equity","IS_DEPR_EXP","1993-06-18","2026-05-02","Per=Y","Days=T","Dir=V")</f>
        <v>0</v>
      </c>
      <c r="AK2">
        <f>BDH("TULP US Equity","CF_CASH_FROM_OPER","1993-06-18","2026-05-02","Per=Y","Days=T","Dir=V")</f>
        <v>0</v>
      </c>
      <c r="AM2">
        <f>BDH("TULP US Equity","CAPITAL_EXPEND","1993-06-18","2026-05-02","Per=Y","Days=T","Dir=V")</f>
        <v>0</v>
      </c>
      <c r="AO2">
        <f>BDH("TULP US Equity","CF_FREE_CASH_FLOW","1993-06-18","2026-05-02","Per=Y","Days=T","Dir=V")</f>
        <v>0</v>
      </c>
      <c r="AQ2">
        <f>BDH("TULP US Equity","PX_LAST","1993-06-18","2026-05-02","Per=M","Days=T","Dir=V")</f>
        <v>0</v>
      </c>
      <c r="AS2">
        <f>BDH("TULP US Equity","CUR_MKT_CAP","1993-06-18","2026-05-02","Per=M","Days=T","Dir=V")</f>
        <v>0</v>
      </c>
      <c r="AU2">
        <f>BDH("TULP US Equity","EQY_SH_OUT","1993-06-18","2026-05-02","Per=M","Days=T","Dir=V")</f>
        <v>0</v>
      </c>
      <c r="AW2">
        <f>BDH("TULP US Equity","PX_VOLUME","1993-06-18","2026-05-02","Per=M","Days=T","Dir=V")</f>
        <v>0</v>
      </c>
      <c r="AY2">
        <f>BDH("TULP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BDH("TUSK US Equity","BS_TOT_ASSET","1993-06-18","2026-05-02","Per=Y","Days=T","Dir=V")</f>
        <v>0</v>
      </c>
      <c r="C2">
        <f>BDH("TUSK US Equity","BS_TOT_LIAB2","1993-06-18","2026-05-02","Per=Y","Days=T","Dir=V")</f>
        <v>0</v>
      </c>
      <c r="E2">
        <f>BDH("TUSK US Equity","SHORT_AND_LONG_TERM_DEBT","1993-06-18","2026-05-02","Per=Y","Days=T","Dir=V")</f>
        <v>0</v>
      </c>
      <c r="G2">
        <f>BDH("TUSK US Equity","BS_ST_BORROW","1993-06-18","2026-05-02","Per=Y","Days=T","Dir=V")</f>
        <v>0</v>
      </c>
      <c r="I2">
        <f>BDH("TUSK US Equity","BS_LT_BORROW","1993-06-18","2026-05-02","Per=Y","Days=T","Dir=V")</f>
        <v>0</v>
      </c>
      <c r="K2">
        <f>BDH("TUSK US Equity","BS_CASH_NEAR_CASH_ITEM","1993-06-18","2026-05-02","Per=Y","Days=T","Dir=V")</f>
        <v>0</v>
      </c>
      <c r="M2">
        <f>BDH("TUSK US Equity","BS_CUR_ASSET_REPORT","1993-06-18","2026-05-02","Per=Y","Days=T","Dir=V")</f>
        <v>0</v>
      </c>
      <c r="O2">
        <f>BDH("TUSK US Equity","BS_CUR_LIAB","1993-06-18","2026-05-02","Per=Y","Days=T","Dir=V")</f>
        <v>0</v>
      </c>
      <c r="Q2">
        <f>BDH("TUSK US Equity","BS_SHAREHOLDER_EQY_ENDING_PERIOD","1993-06-18","2026-05-02","Per=Y","Days=T","Dir=V")</f>
        <v>0</v>
      </c>
      <c r="S2">
        <f>BDH("TUSK US Equity","BS_ACCT_NOTE_RCV","1993-06-18","2026-05-02","Per=Y","Days=T","Dir=V")</f>
        <v>0</v>
      </c>
      <c r="U2">
        <f>BDH("TUSK US Equity","BS_INVENTORIES","1993-06-18","2026-05-02","Per=Y","Days=T","Dir=V")</f>
        <v>0</v>
      </c>
      <c r="W2">
        <f>BDH("TUSK US Equity","WORKING_CAPITAL","1993-06-18","2026-05-02","Per=Y","Days=T","Dir=V")</f>
        <v>0</v>
      </c>
      <c r="Y2">
        <f>BDH("TUSK US Equity","SALES_REV_TURN","1993-06-18","2026-05-02","Per=Y","Days=T","Dir=V")</f>
        <v>0</v>
      </c>
      <c r="AA2">
        <f>BDH("TUSK US Equity","EBIT","1993-06-18","2026-05-02","Per=Y","Days=T","Dir=V")</f>
        <v>0</v>
      </c>
      <c r="AC2">
        <f>BDH("TUSK US Equity","EBITDA","1993-06-18","2026-05-02","Per=Y","Days=T","Dir=V")</f>
        <v>0</v>
      </c>
      <c r="AE2">
        <f>BDH("TUSK US Equity","NET_INCOME","1993-06-18","2026-05-02","Per=Y","Days=T","Dir=V")</f>
        <v>0</v>
      </c>
      <c r="AG2">
        <f>BDH("TUSK US Equity","IS_INT_EXPENSE","1993-06-18","2026-05-02","Per=Y","Days=T","Dir=V")</f>
        <v>0</v>
      </c>
      <c r="AI2">
        <f>BDH("TUSK US Equity","IS_DEPR_EXP","1993-06-18","2026-05-02","Per=Y","Days=T","Dir=V")</f>
        <v>0</v>
      </c>
      <c r="AK2">
        <f>BDH("TUSK US Equity","CF_CASH_FROM_OPER","1993-06-18","2026-05-02","Per=Y","Days=T","Dir=V")</f>
        <v>0</v>
      </c>
      <c r="AM2">
        <f>BDH("TUSK US Equity","CAPITAL_EXPEND","1993-06-18","2026-05-02","Per=Y","Days=T","Dir=V")</f>
        <v>0</v>
      </c>
      <c r="AO2">
        <f>BDH("TUSK US Equity","CF_FREE_CASH_FLOW","1993-06-18","2026-05-02","Per=Y","Days=T","Dir=V")</f>
        <v>0</v>
      </c>
      <c r="AQ2">
        <f>BDH("TUSK US Equity","PX_LAST","1993-06-18","2026-05-02","Per=M","Days=T","Dir=V")</f>
        <v>0</v>
      </c>
      <c r="AS2">
        <f>BDH("TUSK US Equity","CUR_MKT_CAP","1993-06-18","2026-05-02","Per=M","Days=T","Dir=V")</f>
        <v>0</v>
      </c>
      <c r="AU2">
        <f>BDH("TUSK US Equity","EQY_SH_OUT","1993-06-18","2026-05-02","Per=M","Days=T","Dir=V")</f>
        <v>0</v>
      </c>
      <c r="AW2">
        <f>BDH("TUSK US Equity","PX_VOLUME","1993-06-18","2026-05-02","Per=M","Days=T","Dir=V")</f>
        <v>0</v>
      </c>
      <c r="AY2">
        <f>BDH("TUSK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BDH("TVC US Equity","BS_TOT_ASSET","1993-06-18","2026-05-02","Per=Y","Days=T","Dir=V")</f>
        <v>0</v>
      </c>
      <c r="C2">
        <f>BDH("TVC US Equity","BS_TOT_LIAB2","1993-06-18","2026-05-02","Per=Y","Days=T","Dir=V")</f>
        <v>0</v>
      </c>
      <c r="E2">
        <f>BDH("TVC US Equity","SHORT_AND_LONG_TERM_DEBT","1993-06-18","2026-05-02","Per=Y","Days=T","Dir=V")</f>
        <v>0</v>
      </c>
      <c r="G2">
        <f>BDH("TVC US Equity","BS_ST_BORROW","1993-06-18","2026-05-02","Per=Y","Days=T","Dir=V")</f>
        <v>0</v>
      </c>
      <c r="I2">
        <f>BDH("TVC US Equity","BS_LT_BORROW","1993-06-18","2026-05-02","Per=Y","Days=T","Dir=V")</f>
        <v>0</v>
      </c>
      <c r="K2">
        <f>BDH("TVC US Equity","BS_CASH_NEAR_CASH_ITEM","1993-06-18","2026-05-02","Per=Y","Days=T","Dir=V")</f>
        <v>0</v>
      </c>
      <c r="M2">
        <f>BDH("TVC US Equity","BS_CUR_ASSET_REPORT","1993-06-18","2026-05-02","Per=Y","Days=T","Dir=V")</f>
        <v>0</v>
      </c>
      <c r="O2">
        <f>BDH("TVC US Equity","BS_CUR_LIAB","1993-06-18","2026-05-02","Per=Y","Days=T","Dir=V")</f>
        <v>0</v>
      </c>
      <c r="Q2">
        <f>BDH("TVC US Equity","BS_SHAREHOLDER_EQY_ENDING_PERIOD","1993-06-18","2026-05-02","Per=Y","Days=T","Dir=V")</f>
        <v>0</v>
      </c>
      <c r="S2">
        <f>BDH("TVC US Equity","BS_ACCT_NOTE_RCV","1993-06-18","2026-05-02","Per=Y","Days=T","Dir=V")</f>
        <v>0</v>
      </c>
      <c r="U2">
        <f>BDH("TVC US Equity","BS_INVENTORIES","1993-06-18","2026-05-02","Per=Y","Days=T","Dir=V")</f>
        <v>0</v>
      </c>
      <c r="W2">
        <f>BDH("TVC US Equity","WORKING_CAPITAL","1993-06-18","2026-05-02","Per=Y","Days=T","Dir=V")</f>
        <v>0</v>
      </c>
      <c r="Y2">
        <f>BDH("TVC US Equity","SALES_REV_TURN","1993-06-18","2026-05-02","Per=Y","Days=T","Dir=V")</f>
        <v>0</v>
      </c>
      <c r="AA2">
        <f>BDH("TVC US Equity","EBIT","1993-06-18","2026-05-02","Per=Y","Days=T","Dir=V")</f>
        <v>0</v>
      </c>
      <c r="AC2">
        <f>BDH("TVC US Equity","EBITDA","1993-06-18","2026-05-02","Per=Y","Days=T","Dir=V")</f>
        <v>0</v>
      </c>
      <c r="AE2">
        <f>BDH("TVC US Equity","NET_INCOME","1993-06-18","2026-05-02","Per=Y","Days=T","Dir=V")</f>
        <v>0</v>
      </c>
      <c r="AG2">
        <f>BDH("TVC US Equity","IS_INT_EXPENSE","1993-06-18","2026-05-02","Per=Y","Days=T","Dir=V")</f>
        <v>0</v>
      </c>
      <c r="AI2">
        <f>BDH("TVC US Equity","IS_DEPR_EXP","1993-06-18","2026-05-02","Per=Y","Days=T","Dir=V")</f>
        <v>0</v>
      </c>
      <c r="AK2">
        <f>BDH("TVC US Equity","CF_CASH_FROM_OPER","1993-06-18","2026-05-02","Per=Y","Days=T","Dir=V")</f>
        <v>0</v>
      </c>
      <c r="AM2">
        <f>BDH("TVC US Equity","CAPITAL_EXPEND","1993-06-18","2026-05-02","Per=Y","Days=T","Dir=V")</f>
        <v>0</v>
      </c>
      <c r="AO2">
        <f>BDH("TVC US Equity","CF_FREE_CASH_FLOW","1993-06-18","2026-05-02","Per=Y","Days=T","Dir=V")</f>
        <v>0</v>
      </c>
      <c r="AQ2">
        <f>BDH("TVC US Equity","PX_LAST","1993-06-18","2026-05-02","Per=M","Days=T","Dir=V")</f>
        <v>0</v>
      </c>
      <c r="AS2">
        <f>BDH("TVC US Equity","CUR_MKT_CAP","1993-06-18","2026-05-02","Per=M","Days=T","Dir=V")</f>
        <v>0</v>
      </c>
      <c r="AU2">
        <f>BDH("TVC US Equity","EQY_SH_OUT","1993-06-18","2026-05-02","Per=M","Days=T","Dir=V")</f>
        <v>0</v>
      </c>
      <c r="AW2">
        <f>BDH("TVC US Equity","PX_VOLUME","1993-06-18","2026-05-02","Per=M","Days=T","Dir=V")</f>
        <v>0</v>
      </c>
      <c r="AY2">
        <f>BDH("TVC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BDH("TVE US Equity","BS_TOT_ASSET","1993-06-18","2026-05-02","Per=Y","Days=T","Dir=V")</f>
        <v>0</v>
      </c>
      <c r="C2">
        <f>BDH("TVE US Equity","BS_TOT_LIAB2","1993-06-18","2026-05-02","Per=Y","Days=T","Dir=V")</f>
        <v>0</v>
      </c>
      <c r="E2">
        <f>BDH("TVE US Equity","SHORT_AND_LONG_TERM_DEBT","1993-06-18","2026-05-02","Per=Y","Days=T","Dir=V")</f>
        <v>0</v>
      </c>
      <c r="G2">
        <f>BDH("TVE US Equity","BS_ST_BORROW","1993-06-18","2026-05-02","Per=Y","Days=T","Dir=V")</f>
        <v>0</v>
      </c>
      <c r="I2">
        <f>BDH("TVE US Equity","BS_LT_BORROW","1993-06-18","2026-05-02","Per=Y","Days=T","Dir=V")</f>
        <v>0</v>
      </c>
      <c r="K2">
        <f>BDH("TVE US Equity","BS_CASH_NEAR_CASH_ITEM","1993-06-18","2026-05-02","Per=Y","Days=T","Dir=V")</f>
        <v>0</v>
      </c>
      <c r="M2">
        <f>BDH("TVE US Equity","BS_CUR_ASSET_REPORT","1993-06-18","2026-05-02","Per=Y","Days=T","Dir=V")</f>
        <v>0</v>
      </c>
      <c r="O2">
        <f>BDH("TVE US Equity","BS_CUR_LIAB","1993-06-18","2026-05-02","Per=Y","Days=T","Dir=V")</f>
        <v>0</v>
      </c>
      <c r="Q2">
        <f>BDH("TVE US Equity","BS_SHAREHOLDER_EQY_ENDING_PERIOD","1993-06-18","2026-05-02","Per=Y","Days=T","Dir=V")</f>
        <v>0</v>
      </c>
      <c r="S2">
        <f>BDH("TVE US Equity","BS_ACCT_NOTE_RCV","1993-06-18","2026-05-02","Per=Y","Days=T","Dir=V")</f>
        <v>0</v>
      </c>
      <c r="U2">
        <f>BDH("TVE US Equity","BS_INVENTORIES","1993-06-18","2026-05-02","Per=Y","Days=T","Dir=V")</f>
        <v>0</v>
      </c>
      <c r="W2">
        <f>BDH("TVE US Equity","WORKING_CAPITAL","1993-06-18","2026-05-02","Per=Y","Days=T","Dir=V")</f>
        <v>0</v>
      </c>
      <c r="Y2">
        <f>BDH("TVE US Equity","SALES_REV_TURN","1993-06-18","2026-05-02","Per=Y","Days=T","Dir=V")</f>
        <v>0</v>
      </c>
      <c r="AA2">
        <f>BDH("TVE US Equity","EBIT","1993-06-18","2026-05-02","Per=Y","Days=T","Dir=V")</f>
        <v>0</v>
      </c>
      <c r="AC2">
        <f>BDH("TVE US Equity","EBITDA","1993-06-18","2026-05-02","Per=Y","Days=T","Dir=V")</f>
        <v>0</v>
      </c>
      <c r="AE2">
        <f>BDH("TVE US Equity","NET_INCOME","1993-06-18","2026-05-02","Per=Y","Days=T","Dir=V")</f>
        <v>0</v>
      </c>
      <c r="AG2">
        <f>BDH("TVE US Equity","IS_INT_EXPENSE","1993-06-18","2026-05-02","Per=Y","Days=T","Dir=V")</f>
        <v>0</v>
      </c>
      <c r="AI2">
        <f>BDH("TVE US Equity","IS_DEPR_EXP","1993-06-18","2026-05-02","Per=Y","Days=T","Dir=V")</f>
        <v>0</v>
      </c>
      <c r="AK2">
        <f>BDH("TVE US Equity","CF_CASH_FROM_OPER","1993-06-18","2026-05-02","Per=Y","Days=T","Dir=V")</f>
        <v>0</v>
      </c>
      <c r="AM2">
        <f>BDH("TVE US Equity","CAPITAL_EXPEND","1993-06-18","2026-05-02","Per=Y","Days=T","Dir=V")</f>
        <v>0</v>
      </c>
      <c r="AO2">
        <f>BDH("TVE US Equity","CF_FREE_CASH_FLOW","1993-06-18","2026-05-02","Per=Y","Days=T","Dir=V")</f>
        <v>0</v>
      </c>
      <c r="AQ2">
        <f>BDH("TVE US Equity","PX_LAST","1993-06-18","2026-05-02","Per=M","Days=T","Dir=V")</f>
        <v>0</v>
      </c>
      <c r="AS2">
        <f>BDH("TVE US Equity","CUR_MKT_CAP","1993-06-18","2026-05-02","Per=M","Days=T","Dir=V")</f>
        <v>0</v>
      </c>
      <c r="AU2">
        <f>BDH("TVE US Equity","EQY_SH_OUT","1993-06-18","2026-05-02","Per=M","Days=T","Dir=V")</f>
        <v>0</v>
      </c>
      <c r="AW2">
        <f>BDH("TVE US Equity","PX_VOLUME","1993-06-18","2026-05-02","Per=M","Days=T","Dir=V")</f>
        <v>0</v>
      </c>
      <c r="AY2">
        <f>BDH("TVE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BDH("TVGN US Equity","BS_TOT_ASSET","1993-06-18","2026-05-02","Per=Y","Days=T","Dir=V")</f>
        <v>0</v>
      </c>
      <c r="C2">
        <f>BDH("TVGN US Equity","BS_TOT_LIAB2","1993-06-18","2026-05-02","Per=Y","Days=T","Dir=V")</f>
        <v>0</v>
      </c>
      <c r="E2">
        <f>BDH("TVGN US Equity","SHORT_AND_LONG_TERM_DEBT","1993-06-18","2026-05-02","Per=Y","Days=T","Dir=V")</f>
        <v>0</v>
      </c>
      <c r="G2">
        <f>BDH("TVGN US Equity","BS_ST_BORROW","1993-06-18","2026-05-02","Per=Y","Days=T","Dir=V")</f>
        <v>0</v>
      </c>
      <c r="I2">
        <f>BDH("TVGN US Equity","BS_LT_BORROW","1993-06-18","2026-05-02","Per=Y","Days=T","Dir=V")</f>
        <v>0</v>
      </c>
      <c r="K2">
        <f>BDH("TVGN US Equity","BS_CASH_NEAR_CASH_ITEM","1993-06-18","2026-05-02","Per=Y","Days=T","Dir=V")</f>
        <v>0</v>
      </c>
      <c r="M2">
        <f>BDH("TVGN US Equity","BS_CUR_ASSET_REPORT","1993-06-18","2026-05-02","Per=Y","Days=T","Dir=V")</f>
        <v>0</v>
      </c>
      <c r="O2">
        <f>BDH("TVGN US Equity","BS_CUR_LIAB","1993-06-18","2026-05-02","Per=Y","Days=T","Dir=V")</f>
        <v>0</v>
      </c>
      <c r="Q2">
        <f>BDH("TVGN US Equity","BS_SHAREHOLDER_EQY_ENDING_PERIOD","1993-06-18","2026-05-02","Per=Y","Days=T","Dir=V")</f>
        <v>0</v>
      </c>
      <c r="S2">
        <f>BDH("TVGN US Equity","BS_ACCT_NOTE_RCV","1993-06-18","2026-05-02","Per=Y","Days=T","Dir=V")</f>
        <v>0</v>
      </c>
      <c r="U2">
        <f>BDH("TVGN US Equity","BS_INVENTORIES","1993-06-18","2026-05-02","Per=Y","Days=T","Dir=V")</f>
        <v>0</v>
      </c>
      <c r="W2">
        <f>BDH("TVGN US Equity","WORKING_CAPITAL","1993-06-18","2026-05-02","Per=Y","Days=T","Dir=V")</f>
        <v>0</v>
      </c>
      <c r="Y2">
        <f>BDH("TVGN US Equity","SALES_REV_TURN","1993-06-18","2026-05-02","Per=Y","Days=T","Dir=V")</f>
        <v>0</v>
      </c>
      <c r="AA2">
        <f>BDH("TVGN US Equity","EBIT","1993-06-18","2026-05-02","Per=Y","Days=T","Dir=V")</f>
        <v>0</v>
      </c>
      <c r="AC2">
        <f>BDH("TVGN US Equity","EBITDA","1993-06-18","2026-05-02","Per=Y","Days=T","Dir=V")</f>
        <v>0</v>
      </c>
      <c r="AE2">
        <f>BDH("TVGN US Equity","NET_INCOME","1993-06-18","2026-05-02","Per=Y","Days=T","Dir=V")</f>
        <v>0</v>
      </c>
      <c r="AG2">
        <f>BDH("TVGN US Equity","IS_INT_EXPENSE","1993-06-18","2026-05-02","Per=Y","Days=T","Dir=V")</f>
        <v>0</v>
      </c>
      <c r="AI2">
        <f>BDH("TVGN US Equity","IS_DEPR_EXP","1993-06-18","2026-05-02","Per=Y","Days=T","Dir=V")</f>
        <v>0</v>
      </c>
      <c r="AK2">
        <f>BDH("TVGN US Equity","CF_CASH_FROM_OPER","1993-06-18","2026-05-02","Per=Y","Days=T","Dir=V")</f>
        <v>0</v>
      </c>
      <c r="AM2">
        <f>BDH("TVGN US Equity","CAPITAL_EXPEND","1993-06-18","2026-05-02","Per=Y","Days=T","Dir=V")</f>
        <v>0</v>
      </c>
      <c r="AO2">
        <f>BDH("TVGN US Equity","CF_FREE_CASH_FLOW","1993-06-18","2026-05-02","Per=Y","Days=T","Dir=V")</f>
        <v>0</v>
      </c>
      <c r="AQ2">
        <f>BDH("TVGN US Equity","PX_LAST","1993-06-18","2026-05-02","Per=M","Days=T","Dir=V")</f>
        <v>0</v>
      </c>
      <c r="AS2">
        <f>BDH("TVGN US Equity","CUR_MKT_CAP","1993-06-18","2026-05-02","Per=M","Days=T","Dir=V")</f>
        <v>0</v>
      </c>
      <c r="AU2">
        <f>BDH("TVGN US Equity","EQY_SH_OUT","1993-06-18","2026-05-02","Per=M","Days=T","Dir=V")</f>
        <v>0</v>
      </c>
      <c r="AW2">
        <f>BDH("TVGN US Equity","PX_VOLUME","1993-06-18","2026-05-02","Per=M","Days=T","Dir=V")</f>
        <v>0</v>
      </c>
      <c r="AY2">
        <f>BDH("TVGN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BDH("TVGNW US Equity","BS_TOT_ASSET","1993-06-18","2026-05-02","Per=Y","Days=T","Dir=V")</f>
        <v>0</v>
      </c>
      <c r="C2">
        <f>BDH("TVGNW US Equity","BS_TOT_LIAB2","1993-06-18","2026-05-02","Per=Y","Days=T","Dir=V")</f>
        <v>0</v>
      </c>
      <c r="E2">
        <f>BDH("TVGNW US Equity","SHORT_AND_LONG_TERM_DEBT","1993-06-18","2026-05-02","Per=Y","Days=T","Dir=V")</f>
        <v>0</v>
      </c>
      <c r="G2">
        <f>BDH("TVGNW US Equity","BS_ST_BORROW","1993-06-18","2026-05-02","Per=Y","Days=T","Dir=V")</f>
        <v>0</v>
      </c>
      <c r="I2">
        <f>BDH("TVGNW US Equity","BS_LT_BORROW","1993-06-18","2026-05-02","Per=Y","Days=T","Dir=V")</f>
        <v>0</v>
      </c>
      <c r="K2">
        <f>BDH("TVGNW US Equity","BS_CASH_NEAR_CASH_ITEM","1993-06-18","2026-05-02","Per=Y","Days=T","Dir=V")</f>
        <v>0</v>
      </c>
      <c r="M2">
        <f>BDH("TVGNW US Equity","BS_CUR_ASSET_REPORT","1993-06-18","2026-05-02","Per=Y","Days=T","Dir=V")</f>
        <v>0</v>
      </c>
      <c r="O2">
        <f>BDH("TVGNW US Equity","BS_CUR_LIAB","1993-06-18","2026-05-02","Per=Y","Days=T","Dir=V")</f>
        <v>0</v>
      </c>
      <c r="Q2">
        <f>BDH("TVGNW US Equity","BS_SHAREHOLDER_EQY_ENDING_PERIOD","1993-06-18","2026-05-02","Per=Y","Days=T","Dir=V")</f>
        <v>0</v>
      </c>
      <c r="S2">
        <f>BDH("TVGNW US Equity","BS_ACCT_NOTE_RCV","1993-06-18","2026-05-02","Per=Y","Days=T","Dir=V")</f>
        <v>0</v>
      </c>
      <c r="U2">
        <f>BDH("TVGNW US Equity","BS_INVENTORIES","1993-06-18","2026-05-02","Per=Y","Days=T","Dir=V")</f>
        <v>0</v>
      </c>
      <c r="W2">
        <f>BDH("TVGNW US Equity","WORKING_CAPITAL","1993-06-18","2026-05-02","Per=Y","Days=T","Dir=V")</f>
        <v>0</v>
      </c>
      <c r="Y2">
        <f>BDH("TVGNW US Equity","SALES_REV_TURN","1993-06-18","2026-05-02","Per=Y","Days=T","Dir=V")</f>
        <v>0</v>
      </c>
      <c r="AA2">
        <f>BDH("TVGNW US Equity","EBIT","1993-06-18","2026-05-02","Per=Y","Days=T","Dir=V")</f>
        <v>0</v>
      </c>
      <c r="AC2">
        <f>BDH("TVGNW US Equity","EBITDA","1993-06-18","2026-05-02","Per=Y","Days=T","Dir=V")</f>
        <v>0</v>
      </c>
      <c r="AE2">
        <f>BDH("TVGNW US Equity","NET_INCOME","1993-06-18","2026-05-02","Per=Y","Days=T","Dir=V")</f>
        <v>0</v>
      </c>
      <c r="AG2">
        <f>BDH("TVGNW US Equity","IS_INT_EXPENSE","1993-06-18","2026-05-02","Per=Y","Days=T","Dir=V")</f>
        <v>0</v>
      </c>
      <c r="AI2">
        <f>BDH("TVGNW US Equity","IS_DEPR_EXP","1993-06-18","2026-05-02","Per=Y","Days=T","Dir=V")</f>
        <v>0</v>
      </c>
      <c r="AK2">
        <f>BDH("TVGNW US Equity","CF_CASH_FROM_OPER","1993-06-18","2026-05-02","Per=Y","Days=T","Dir=V")</f>
        <v>0</v>
      </c>
      <c r="AM2">
        <f>BDH("TVGNW US Equity","CAPITAL_EXPEND","1993-06-18","2026-05-02","Per=Y","Days=T","Dir=V")</f>
        <v>0</v>
      </c>
      <c r="AO2">
        <f>BDH("TVGNW US Equity","CF_FREE_CASH_FLOW","1993-06-18","2026-05-02","Per=Y","Days=T","Dir=V")</f>
        <v>0</v>
      </c>
      <c r="AQ2">
        <f>BDH("TVGNW US Equity","PX_LAST","1993-06-18","2026-05-02","Per=M","Days=T","Dir=V")</f>
        <v>0</v>
      </c>
      <c r="AS2">
        <f>BDH("TVGNW US Equity","CUR_MKT_CAP","1993-06-18","2026-05-02","Per=M","Days=T","Dir=V")</f>
        <v>0</v>
      </c>
      <c r="AU2">
        <f>BDH("TVGNW US Equity","EQY_SH_OUT","1993-06-18","2026-05-02","Per=M","Days=T","Dir=V")</f>
        <v>0</v>
      </c>
      <c r="AW2">
        <f>BDH("TVGNW US Equity","PX_VOLUME","1993-06-18","2026-05-02","Per=M","Days=T","Dir=V")</f>
        <v>0</v>
      </c>
      <c r="AY2">
        <f>BDH("TVGNW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BDH("TVRD US Equity","BS_TOT_ASSET","1993-06-18","2026-05-02","Per=Y","Days=T","Dir=V")</f>
        <v>0</v>
      </c>
      <c r="C2">
        <f>BDH("TVRD US Equity","BS_TOT_LIAB2","1993-06-18","2026-05-02","Per=Y","Days=T","Dir=V")</f>
        <v>0</v>
      </c>
      <c r="E2">
        <f>BDH("TVRD US Equity","SHORT_AND_LONG_TERM_DEBT","1993-06-18","2026-05-02","Per=Y","Days=T","Dir=V")</f>
        <v>0</v>
      </c>
      <c r="G2">
        <f>BDH("TVRD US Equity","BS_ST_BORROW","1993-06-18","2026-05-02","Per=Y","Days=T","Dir=V")</f>
        <v>0</v>
      </c>
      <c r="I2">
        <f>BDH("TVRD US Equity","BS_LT_BORROW","1993-06-18","2026-05-02","Per=Y","Days=T","Dir=V")</f>
        <v>0</v>
      </c>
      <c r="K2">
        <f>BDH("TVRD US Equity","BS_CASH_NEAR_CASH_ITEM","1993-06-18","2026-05-02","Per=Y","Days=T","Dir=V")</f>
        <v>0</v>
      </c>
      <c r="M2">
        <f>BDH("TVRD US Equity","BS_CUR_ASSET_REPORT","1993-06-18","2026-05-02","Per=Y","Days=T","Dir=V")</f>
        <v>0</v>
      </c>
      <c r="O2">
        <f>BDH("TVRD US Equity","BS_CUR_LIAB","1993-06-18","2026-05-02","Per=Y","Days=T","Dir=V")</f>
        <v>0</v>
      </c>
      <c r="Q2">
        <f>BDH("TVRD US Equity","BS_SHAREHOLDER_EQY_ENDING_PERIOD","1993-06-18","2026-05-02","Per=Y","Days=T","Dir=V")</f>
        <v>0</v>
      </c>
      <c r="S2">
        <f>BDH("TVRD US Equity","BS_ACCT_NOTE_RCV","1993-06-18","2026-05-02","Per=Y","Days=T","Dir=V")</f>
        <v>0</v>
      </c>
      <c r="U2">
        <f>BDH("TVRD US Equity","BS_INVENTORIES","1993-06-18","2026-05-02","Per=Y","Days=T","Dir=V")</f>
        <v>0</v>
      </c>
      <c r="W2">
        <f>BDH("TVRD US Equity","WORKING_CAPITAL","1993-06-18","2026-05-02","Per=Y","Days=T","Dir=V")</f>
        <v>0</v>
      </c>
      <c r="Y2">
        <f>BDH("TVRD US Equity","SALES_REV_TURN","1993-06-18","2026-05-02","Per=Y","Days=T","Dir=V")</f>
        <v>0</v>
      </c>
      <c r="AA2">
        <f>BDH("TVRD US Equity","EBIT","1993-06-18","2026-05-02","Per=Y","Days=T","Dir=V")</f>
        <v>0</v>
      </c>
      <c r="AC2">
        <f>BDH("TVRD US Equity","EBITDA","1993-06-18","2026-05-02","Per=Y","Days=T","Dir=V")</f>
        <v>0</v>
      </c>
      <c r="AE2">
        <f>BDH("TVRD US Equity","NET_INCOME","1993-06-18","2026-05-02","Per=Y","Days=T","Dir=V")</f>
        <v>0</v>
      </c>
      <c r="AG2">
        <f>BDH("TVRD US Equity","IS_INT_EXPENSE","1993-06-18","2026-05-02","Per=Y","Days=T","Dir=V")</f>
        <v>0</v>
      </c>
      <c r="AI2">
        <f>BDH("TVRD US Equity","IS_DEPR_EXP","1993-06-18","2026-05-02","Per=Y","Days=T","Dir=V")</f>
        <v>0</v>
      </c>
      <c r="AK2">
        <f>BDH("TVRD US Equity","CF_CASH_FROM_OPER","1993-06-18","2026-05-02","Per=Y","Days=T","Dir=V")</f>
        <v>0</v>
      </c>
      <c r="AM2">
        <f>BDH("TVRD US Equity","CAPITAL_EXPEND","1993-06-18","2026-05-02","Per=Y","Days=T","Dir=V")</f>
        <v>0</v>
      </c>
      <c r="AO2">
        <f>BDH("TVRD US Equity","CF_FREE_CASH_FLOW","1993-06-18","2026-05-02","Per=Y","Days=T","Dir=V")</f>
        <v>0</v>
      </c>
      <c r="AQ2">
        <f>BDH("TVRD US Equity","PX_LAST","1993-06-18","2026-05-02","Per=M","Days=T","Dir=V")</f>
        <v>0</v>
      </c>
      <c r="AS2">
        <f>BDH("TVRD US Equity","CUR_MKT_CAP","1993-06-18","2026-05-02","Per=M","Days=T","Dir=V")</f>
        <v>0</v>
      </c>
      <c r="AU2">
        <f>BDH("TVRD US Equity","EQY_SH_OUT","1993-06-18","2026-05-02","Per=M","Days=T","Dir=V")</f>
        <v>0</v>
      </c>
      <c r="AW2">
        <f>BDH("TVRD US Equity","PX_VOLUME","1993-06-18","2026-05-02","Per=M","Days=T","Dir=V")</f>
        <v>0</v>
      </c>
      <c r="AY2">
        <f>BDH("TVRD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BDH("TVTX US Equity","BS_TOT_ASSET","1993-06-18","2026-05-02","Per=Y","Days=T","Dir=V")</f>
        <v>0</v>
      </c>
      <c r="C2">
        <f>BDH("TVTX US Equity","BS_TOT_LIAB2","1993-06-18","2026-05-02","Per=Y","Days=T","Dir=V")</f>
        <v>0</v>
      </c>
      <c r="E2">
        <f>BDH("TVTX US Equity","SHORT_AND_LONG_TERM_DEBT","1993-06-18","2026-05-02","Per=Y","Days=T","Dir=V")</f>
        <v>0</v>
      </c>
      <c r="G2">
        <f>BDH("TVTX US Equity","BS_ST_BORROW","1993-06-18","2026-05-02","Per=Y","Days=T","Dir=V")</f>
        <v>0</v>
      </c>
      <c r="I2">
        <f>BDH("TVTX US Equity","BS_LT_BORROW","1993-06-18","2026-05-02","Per=Y","Days=T","Dir=V")</f>
        <v>0</v>
      </c>
      <c r="K2">
        <f>BDH("TVTX US Equity","BS_CASH_NEAR_CASH_ITEM","1993-06-18","2026-05-02","Per=Y","Days=T","Dir=V")</f>
        <v>0</v>
      </c>
      <c r="M2">
        <f>BDH("TVTX US Equity","BS_CUR_ASSET_REPORT","1993-06-18","2026-05-02","Per=Y","Days=T","Dir=V")</f>
        <v>0</v>
      </c>
      <c r="O2">
        <f>BDH("TVTX US Equity","BS_CUR_LIAB","1993-06-18","2026-05-02","Per=Y","Days=T","Dir=V")</f>
        <v>0</v>
      </c>
      <c r="Q2">
        <f>BDH("TVTX US Equity","BS_SHAREHOLDER_EQY_ENDING_PERIOD","1993-06-18","2026-05-02","Per=Y","Days=T","Dir=V")</f>
        <v>0</v>
      </c>
      <c r="S2">
        <f>BDH("TVTX US Equity","BS_ACCT_NOTE_RCV","1993-06-18","2026-05-02","Per=Y","Days=T","Dir=V")</f>
        <v>0</v>
      </c>
      <c r="U2">
        <f>BDH("TVTX US Equity","BS_INVENTORIES","1993-06-18","2026-05-02","Per=Y","Days=T","Dir=V")</f>
        <v>0</v>
      </c>
      <c r="W2">
        <f>BDH("TVTX US Equity","WORKING_CAPITAL","1993-06-18","2026-05-02","Per=Y","Days=T","Dir=V")</f>
        <v>0</v>
      </c>
      <c r="Y2">
        <f>BDH("TVTX US Equity","SALES_REV_TURN","1993-06-18","2026-05-02","Per=Y","Days=T","Dir=V")</f>
        <v>0</v>
      </c>
      <c r="AA2">
        <f>BDH("TVTX US Equity","EBIT","1993-06-18","2026-05-02","Per=Y","Days=T","Dir=V")</f>
        <v>0</v>
      </c>
      <c r="AC2">
        <f>BDH("TVTX US Equity","EBITDA","1993-06-18","2026-05-02","Per=Y","Days=T","Dir=V")</f>
        <v>0</v>
      </c>
      <c r="AE2">
        <f>BDH("TVTX US Equity","NET_INCOME","1993-06-18","2026-05-02","Per=Y","Days=T","Dir=V")</f>
        <v>0</v>
      </c>
      <c r="AG2">
        <f>BDH("TVTX US Equity","IS_INT_EXPENSE","1993-06-18","2026-05-02","Per=Y","Days=T","Dir=V")</f>
        <v>0</v>
      </c>
      <c r="AI2">
        <f>BDH("TVTX US Equity","IS_DEPR_EXP","1993-06-18","2026-05-02","Per=Y","Days=T","Dir=V")</f>
        <v>0</v>
      </c>
      <c r="AK2">
        <f>BDH("TVTX US Equity","CF_CASH_FROM_OPER","1993-06-18","2026-05-02","Per=Y","Days=T","Dir=V")</f>
        <v>0</v>
      </c>
      <c r="AM2">
        <f>BDH("TVTX US Equity","CAPITAL_EXPEND","1993-06-18","2026-05-02","Per=Y","Days=T","Dir=V")</f>
        <v>0</v>
      </c>
      <c r="AO2">
        <f>BDH("TVTX US Equity","CF_FREE_CASH_FLOW","1993-06-18","2026-05-02","Per=Y","Days=T","Dir=V")</f>
        <v>0</v>
      </c>
      <c r="AQ2">
        <f>BDH("TVTX US Equity","PX_LAST","1993-06-18","2026-05-02","Per=M","Days=T","Dir=V")</f>
        <v>0</v>
      </c>
      <c r="AS2">
        <f>BDH("TVTX US Equity","CUR_MKT_CAP","1993-06-18","2026-05-02","Per=M","Days=T","Dir=V")</f>
        <v>0</v>
      </c>
      <c r="AU2">
        <f>BDH("TVTX US Equity","EQY_SH_OUT","1993-06-18","2026-05-02","Per=M","Days=T","Dir=V")</f>
        <v>0</v>
      </c>
      <c r="AW2">
        <f>BDH("TVTX US Equity","PX_VOLUME","1993-06-18","2026-05-02","Per=M","Days=T","Dir=V")</f>
        <v>0</v>
      </c>
      <c r="AY2">
        <f>BDH("TVTX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BDH("TWAV US Equity","BS_TOT_ASSET","1993-06-18","2026-05-02","Per=Y","Days=T","Dir=V")</f>
        <v>0</v>
      </c>
      <c r="C2">
        <f>BDH("TWAV US Equity","BS_TOT_LIAB2","1993-06-18","2026-05-02","Per=Y","Days=T","Dir=V")</f>
        <v>0</v>
      </c>
      <c r="E2">
        <f>BDH("TWAV US Equity","SHORT_AND_LONG_TERM_DEBT","1993-06-18","2026-05-02","Per=Y","Days=T","Dir=V")</f>
        <v>0</v>
      </c>
      <c r="G2">
        <f>BDH("TWAV US Equity","BS_ST_BORROW","1993-06-18","2026-05-02","Per=Y","Days=T","Dir=V")</f>
        <v>0</v>
      </c>
      <c r="I2">
        <f>BDH("TWAV US Equity","BS_LT_BORROW","1993-06-18","2026-05-02","Per=Y","Days=T","Dir=V")</f>
        <v>0</v>
      </c>
      <c r="K2">
        <f>BDH("TWAV US Equity","BS_CASH_NEAR_CASH_ITEM","1993-06-18","2026-05-02","Per=Y","Days=T","Dir=V")</f>
        <v>0</v>
      </c>
      <c r="M2">
        <f>BDH("TWAV US Equity","BS_CUR_ASSET_REPORT","1993-06-18","2026-05-02","Per=Y","Days=T","Dir=V")</f>
        <v>0</v>
      </c>
      <c r="O2">
        <f>BDH("TWAV US Equity","BS_CUR_LIAB","1993-06-18","2026-05-02","Per=Y","Days=T","Dir=V")</f>
        <v>0</v>
      </c>
      <c r="Q2">
        <f>BDH("TWAV US Equity","BS_SHAREHOLDER_EQY_ENDING_PERIOD","1993-06-18","2026-05-02","Per=Y","Days=T","Dir=V")</f>
        <v>0</v>
      </c>
      <c r="S2">
        <f>BDH("TWAV US Equity","BS_ACCT_NOTE_RCV","1993-06-18","2026-05-02","Per=Y","Days=T","Dir=V")</f>
        <v>0</v>
      </c>
      <c r="U2">
        <f>BDH("TWAV US Equity","BS_INVENTORIES","1993-06-18","2026-05-02","Per=Y","Days=T","Dir=V")</f>
        <v>0</v>
      </c>
      <c r="W2">
        <f>BDH("TWAV US Equity","WORKING_CAPITAL","1993-06-18","2026-05-02","Per=Y","Days=T","Dir=V")</f>
        <v>0</v>
      </c>
      <c r="Y2">
        <f>BDH("TWAV US Equity","SALES_REV_TURN","1993-06-18","2026-05-02","Per=Y","Days=T","Dir=V")</f>
        <v>0</v>
      </c>
      <c r="AA2">
        <f>BDH("TWAV US Equity","EBIT","1993-06-18","2026-05-02","Per=Y","Days=T","Dir=V")</f>
        <v>0</v>
      </c>
      <c r="AC2">
        <f>BDH("TWAV US Equity","EBITDA","1993-06-18","2026-05-02","Per=Y","Days=T","Dir=V")</f>
        <v>0</v>
      </c>
      <c r="AE2">
        <f>BDH("TWAV US Equity","NET_INCOME","1993-06-18","2026-05-02","Per=Y","Days=T","Dir=V")</f>
        <v>0</v>
      </c>
      <c r="AG2">
        <f>BDH("TWAV US Equity","IS_INT_EXPENSE","1993-06-18","2026-05-02","Per=Y","Days=T","Dir=V")</f>
        <v>0</v>
      </c>
      <c r="AI2">
        <f>BDH("TWAV US Equity","IS_DEPR_EXP","1993-06-18","2026-05-02","Per=Y","Days=T","Dir=V")</f>
        <v>0</v>
      </c>
      <c r="AK2">
        <f>BDH("TWAV US Equity","CF_CASH_FROM_OPER","1993-06-18","2026-05-02","Per=Y","Days=T","Dir=V")</f>
        <v>0</v>
      </c>
      <c r="AM2">
        <f>BDH("TWAV US Equity","CAPITAL_EXPEND","1993-06-18","2026-05-02","Per=Y","Days=T","Dir=V")</f>
        <v>0</v>
      </c>
      <c r="AO2">
        <f>BDH("TWAV US Equity","CF_FREE_CASH_FLOW","1993-06-18","2026-05-02","Per=Y","Days=T","Dir=V")</f>
        <v>0</v>
      </c>
      <c r="AQ2">
        <f>BDH("TWAV US Equity","PX_LAST","1993-06-18","2026-05-02","Per=M","Days=T","Dir=V")</f>
        <v>0</v>
      </c>
      <c r="AS2">
        <f>BDH("TWAV US Equity","CUR_MKT_CAP","1993-06-18","2026-05-02","Per=M","Days=T","Dir=V")</f>
        <v>0</v>
      </c>
      <c r="AU2">
        <f>BDH("TWAV US Equity","EQY_SH_OUT","1993-06-18","2026-05-02","Per=M","Days=T","Dir=V")</f>
        <v>0</v>
      </c>
      <c r="AW2">
        <f>BDH("TWAV US Equity","PX_VOLUME","1993-06-18","2026-05-02","Per=M","Days=T","Dir=V")</f>
        <v>0</v>
      </c>
      <c r="AY2">
        <f>BDH("TWAV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BDH("TWI US Equity","BS_TOT_ASSET","1993-06-18","2026-05-02","Per=Y","Days=T","Dir=V")</f>
        <v>0</v>
      </c>
      <c r="C2">
        <f>BDH("TWI US Equity","BS_TOT_LIAB2","1993-06-18","2026-05-02","Per=Y","Days=T","Dir=V")</f>
        <v>0</v>
      </c>
      <c r="E2">
        <f>BDH("TWI US Equity","SHORT_AND_LONG_TERM_DEBT","1993-06-18","2026-05-02","Per=Y","Days=T","Dir=V")</f>
        <v>0</v>
      </c>
      <c r="G2">
        <f>BDH("TWI US Equity","BS_ST_BORROW","1993-06-18","2026-05-02","Per=Y","Days=T","Dir=V")</f>
        <v>0</v>
      </c>
      <c r="I2">
        <f>BDH("TWI US Equity","BS_LT_BORROW","1993-06-18","2026-05-02","Per=Y","Days=T","Dir=V")</f>
        <v>0</v>
      </c>
      <c r="K2">
        <f>BDH("TWI US Equity","BS_CASH_NEAR_CASH_ITEM","1993-06-18","2026-05-02","Per=Y","Days=T","Dir=V")</f>
        <v>0</v>
      </c>
      <c r="M2">
        <f>BDH("TWI US Equity","BS_CUR_ASSET_REPORT","1993-06-18","2026-05-02","Per=Y","Days=T","Dir=V")</f>
        <v>0</v>
      </c>
      <c r="O2">
        <f>BDH("TWI US Equity","BS_CUR_LIAB","1993-06-18","2026-05-02","Per=Y","Days=T","Dir=V")</f>
        <v>0</v>
      </c>
      <c r="Q2">
        <f>BDH("TWI US Equity","BS_SHAREHOLDER_EQY_ENDING_PERIOD","1993-06-18","2026-05-02","Per=Y","Days=T","Dir=V")</f>
        <v>0</v>
      </c>
      <c r="S2">
        <f>BDH("TWI US Equity","BS_ACCT_NOTE_RCV","1993-06-18","2026-05-02","Per=Y","Days=T","Dir=V")</f>
        <v>0</v>
      </c>
      <c r="U2">
        <f>BDH("TWI US Equity","BS_INVENTORIES","1993-06-18","2026-05-02","Per=Y","Days=T","Dir=V")</f>
        <v>0</v>
      </c>
      <c r="W2">
        <f>BDH("TWI US Equity","WORKING_CAPITAL","1993-06-18","2026-05-02","Per=Y","Days=T","Dir=V")</f>
        <v>0</v>
      </c>
      <c r="Y2">
        <f>BDH("TWI US Equity","SALES_REV_TURN","1993-06-18","2026-05-02","Per=Y","Days=T","Dir=V")</f>
        <v>0</v>
      </c>
      <c r="AA2">
        <f>BDH("TWI US Equity","EBIT","1993-06-18","2026-05-02","Per=Y","Days=T","Dir=V")</f>
        <v>0</v>
      </c>
      <c r="AC2">
        <f>BDH("TWI US Equity","EBITDA","1993-06-18","2026-05-02","Per=Y","Days=T","Dir=V")</f>
        <v>0</v>
      </c>
      <c r="AE2">
        <f>BDH("TWI US Equity","NET_INCOME","1993-06-18","2026-05-02","Per=Y","Days=T","Dir=V")</f>
        <v>0</v>
      </c>
      <c r="AG2">
        <f>BDH("TWI US Equity","IS_INT_EXPENSE","1993-06-18","2026-05-02","Per=Y","Days=T","Dir=V")</f>
        <v>0</v>
      </c>
      <c r="AI2">
        <f>BDH("TWI US Equity","IS_DEPR_EXP","1993-06-18","2026-05-02","Per=Y","Days=T","Dir=V")</f>
        <v>0</v>
      </c>
      <c r="AK2">
        <f>BDH("TWI US Equity","CF_CASH_FROM_OPER","1993-06-18","2026-05-02","Per=Y","Days=T","Dir=V")</f>
        <v>0</v>
      </c>
      <c r="AM2">
        <f>BDH("TWI US Equity","CAPITAL_EXPEND","1993-06-18","2026-05-02","Per=Y","Days=T","Dir=V")</f>
        <v>0</v>
      </c>
      <c r="AO2">
        <f>BDH("TWI US Equity","CF_FREE_CASH_FLOW","1993-06-18","2026-05-02","Per=Y","Days=T","Dir=V")</f>
        <v>0</v>
      </c>
      <c r="AQ2">
        <f>BDH("TWI US Equity","PX_LAST","1993-06-18","2026-05-02","Per=M","Days=T","Dir=V")</f>
        <v>0</v>
      </c>
      <c r="AS2">
        <f>BDH("TWI US Equity","CUR_MKT_CAP","1993-06-18","2026-05-02","Per=M","Days=T","Dir=V")</f>
        <v>0</v>
      </c>
      <c r="AU2">
        <f>BDH("TWI US Equity","EQY_SH_OUT","1993-06-18","2026-05-02","Per=M","Days=T","Dir=V")</f>
        <v>0</v>
      </c>
      <c r="AW2">
        <f>BDH("TWI US Equity","PX_VOLUME","1993-06-18","2026-05-02","Per=M","Days=T","Dir=V")</f>
        <v>0</v>
      </c>
      <c r="AY2">
        <f>BDH("TWI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BDH("TWIN US Equity","BS_TOT_ASSET","1993-06-18","2026-05-02","Per=Y","Days=T","Dir=V")</f>
        <v>0</v>
      </c>
      <c r="C2">
        <f>BDH("TWIN US Equity","BS_TOT_LIAB2","1993-06-18","2026-05-02","Per=Y","Days=T","Dir=V")</f>
        <v>0</v>
      </c>
      <c r="E2">
        <f>BDH("TWIN US Equity","SHORT_AND_LONG_TERM_DEBT","1993-06-18","2026-05-02","Per=Y","Days=T","Dir=V")</f>
        <v>0</v>
      </c>
      <c r="G2">
        <f>BDH("TWIN US Equity","BS_ST_BORROW","1993-06-18","2026-05-02","Per=Y","Days=T","Dir=V")</f>
        <v>0</v>
      </c>
      <c r="I2">
        <f>BDH("TWIN US Equity","BS_LT_BORROW","1993-06-18","2026-05-02","Per=Y","Days=T","Dir=V")</f>
        <v>0</v>
      </c>
      <c r="K2">
        <f>BDH("TWIN US Equity","BS_CASH_NEAR_CASH_ITEM","1993-06-18","2026-05-02","Per=Y","Days=T","Dir=V")</f>
        <v>0</v>
      </c>
      <c r="M2">
        <f>BDH("TWIN US Equity","BS_CUR_ASSET_REPORT","1993-06-18","2026-05-02","Per=Y","Days=T","Dir=V")</f>
        <v>0</v>
      </c>
      <c r="O2">
        <f>BDH("TWIN US Equity","BS_CUR_LIAB","1993-06-18","2026-05-02","Per=Y","Days=T","Dir=V")</f>
        <v>0</v>
      </c>
      <c r="Q2">
        <f>BDH("TWIN US Equity","BS_SHAREHOLDER_EQY_ENDING_PERIOD","1993-06-18","2026-05-02","Per=Y","Days=T","Dir=V")</f>
        <v>0</v>
      </c>
      <c r="S2">
        <f>BDH("TWIN US Equity","BS_ACCT_NOTE_RCV","1993-06-18","2026-05-02","Per=Y","Days=T","Dir=V")</f>
        <v>0</v>
      </c>
      <c r="U2">
        <f>BDH("TWIN US Equity","BS_INVENTORIES","1993-06-18","2026-05-02","Per=Y","Days=T","Dir=V")</f>
        <v>0</v>
      </c>
      <c r="W2">
        <f>BDH("TWIN US Equity","WORKING_CAPITAL","1993-06-18","2026-05-02","Per=Y","Days=T","Dir=V")</f>
        <v>0</v>
      </c>
      <c r="Y2">
        <f>BDH("TWIN US Equity","SALES_REV_TURN","1993-06-18","2026-05-02","Per=Y","Days=T","Dir=V")</f>
        <v>0</v>
      </c>
      <c r="AA2">
        <f>BDH("TWIN US Equity","EBIT","1993-06-18","2026-05-02","Per=Y","Days=T","Dir=V")</f>
        <v>0</v>
      </c>
      <c r="AC2">
        <f>BDH("TWIN US Equity","EBITDA","1993-06-18","2026-05-02","Per=Y","Days=T","Dir=V")</f>
        <v>0</v>
      </c>
      <c r="AE2">
        <f>BDH("TWIN US Equity","NET_INCOME","1993-06-18","2026-05-02","Per=Y","Days=T","Dir=V")</f>
        <v>0</v>
      </c>
      <c r="AG2">
        <f>BDH("TWIN US Equity","IS_INT_EXPENSE","1993-06-18","2026-05-02","Per=Y","Days=T","Dir=V")</f>
        <v>0</v>
      </c>
      <c r="AI2">
        <f>BDH("TWIN US Equity","IS_DEPR_EXP","1993-06-18","2026-05-02","Per=Y","Days=T","Dir=V")</f>
        <v>0</v>
      </c>
      <c r="AK2">
        <f>BDH("TWIN US Equity","CF_CASH_FROM_OPER","1993-06-18","2026-05-02","Per=Y","Days=T","Dir=V")</f>
        <v>0</v>
      </c>
      <c r="AM2">
        <f>BDH("TWIN US Equity","CAPITAL_EXPEND","1993-06-18","2026-05-02","Per=Y","Days=T","Dir=V")</f>
        <v>0</v>
      </c>
      <c r="AO2">
        <f>BDH("TWIN US Equity","CF_FREE_CASH_FLOW","1993-06-18","2026-05-02","Per=Y","Days=T","Dir=V")</f>
        <v>0</v>
      </c>
      <c r="AQ2">
        <f>BDH("TWIN US Equity","PX_LAST","1993-06-18","2026-05-02","Per=M","Days=T","Dir=V")</f>
        <v>0</v>
      </c>
      <c r="AS2">
        <f>BDH("TWIN US Equity","CUR_MKT_CAP","1993-06-18","2026-05-02","Per=M","Days=T","Dir=V")</f>
        <v>0</v>
      </c>
      <c r="AU2">
        <f>BDH("TWIN US Equity","EQY_SH_OUT","1993-06-18","2026-05-02","Per=M","Days=T","Dir=V")</f>
        <v>0</v>
      </c>
      <c r="AW2">
        <f>BDH("TWIN US Equity","PX_VOLUME","1993-06-18","2026-05-02","Per=M","Days=T","Dir=V")</f>
        <v>0</v>
      </c>
      <c r="AY2">
        <f>BDH("TWIN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BDH("TWLO US Equity","BS_TOT_ASSET","1993-06-18","2026-05-02","Per=Y","Days=T","Dir=V")</f>
        <v>0</v>
      </c>
      <c r="C2">
        <f>BDH("TWLO US Equity","BS_TOT_LIAB2","1993-06-18","2026-05-02","Per=Y","Days=T","Dir=V")</f>
        <v>0</v>
      </c>
      <c r="E2">
        <f>BDH("TWLO US Equity","SHORT_AND_LONG_TERM_DEBT","1993-06-18","2026-05-02","Per=Y","Days=T","Dir=V")</f>
        <v>0</v>
      </c>
      <c r="G2">
        <f>BDH("TWLO US Equity","BS_ST_BORROW","1993-06-18","2026-05-02","Per=Y","Days=T","Dir=V")</f>
        <v>0</v>
      </c>
      <c r="I2">
        <f>BDH("TWLO US Equity","BS_LT_BORROW","1993-06-18","2026-05-02","Per=Y","Days=T","Dir=V")</f>
        <v>0</v>
      </c>
      <c r="K2">
        <f>BDH("TWLO US Equity","BS_CASH_NEAR_CASH_ITEM","1993-06-18","2026-05-02","Per=Y","Days=T","Dir=V")</f>
        <v>0</v>
      </c>
      <c r="M2">
        <f>BDH("TWLO US Equity","BS_CUR_ASSET_REPORT","1993-06-18","2026-05-02","Per=Y","Days=T","Dir=V")</f>
        <v>0</v>
      </c>
      <c r="O2">
        <f>BDH("TWLO US Equity","BS_CUR_LIAB","1993-06-18","2026-05-02","Per=Y","Days=T","Dir=V")</f>
        <v>0</v>
      </c>
      <c r="Q2">
        <f>BDH("TWLO US Equity","BS_SHAREHOLDER_EQY_ENDING_PERIOD","1993-06-18","2026-05-02","Per=Y","Days=T","Dir=V")</f>
        <v>0</v>
      </c>
      <c r="S2">
        <f>BDH("TWLO US Equity","BS_ACCT_NOTE_RCV","1993-06-18","2026-05-02","Per=Y","Days=T","Dir=V")</f>
        <v>0</v>
      </c>
      <c r="U2">
        <f>BDH("TWLO US Equity","BS_INVENTORIES","1993-06-18","2026-05-02","Per=Y","Days=T","Dir=V")</f>
        <v>0</v>
      </c>
      <c r="W2">
        <f>BDH("TWLO US Equity","WORKING_CAPITAL","1993-06-18","2026-05-02","Per=Y","Days=T","Dir=V")</f>
        <v>0</v>
      </c>
      <c r="Y2">
        <f>BDH("TWLO US Equity","SALES_REV_TURN","1993-06-18","2026-05-02","Per=Y","Days=T","Dir=V")</f>
        <v>0</v>
      </c>
      <c r="AA2">
        <f>BDH("TWLO US Equity","EBIT","1993-06-18","2026-05-02","Per=Y","Days=T","Dir=V")</f>
        <v>0</v>
      </c>
      <c r="AC2">
        <f>BDH("TWLO US Equity","EBITDA","1993-06-18","2026-05-02","Per=Y","Days=T","Dir=V")</f>
        <v>0</v>
      </c>
      <c r="AE2">
        <f>BDH("TWLO US Equity","NET_INCOME","1993-06-18","2026-05-02","Per=Y","Days=T","Dir=V")</f>
        <v>0</v>
      </c>
      <c r="AG2">
        <f>BDH("TWLO US Equity","IS_INT_EXPENSE","1993-06-18","2026-05-02","Per=Y","Days=T","Dir=V")</f>
        <v>0</v>
      </c>
      <c r="AI2">
        <f>BDH("TWLO US Equity","IS_DEPR_EXP","1993-06-18","2026-05-02","Per=Y","Days=T","Dir=V")</f>
        <v>0</v>
      </c>
      <c r="AK2">
        <f>BDH("TWLO US Equity","CF_CASH_FROM_OPER","1993-06-18","2026-05-02","Per=Y","Days=T","Dir=V")</f>
        <v>0</v>
      </c>
      <c r="AM2">
        <f>BDH("TWLO US Equity","CAPITAL_EXPEND","1993-06-18","2026-05-02","Per=Y","Days=T","Dir=V")</f>
        <v>0</v>
      </c>
      <c r="AO2">
        <f>BDH("TWLO US Equity","CF_FREE_CASH_FLOW","1993-06-18","2026-05-02","Per=Y","Days=T","Dir=V")</f>
        <v>0</v>
      </c>
      <c r="AQ2">
        <f>BDH("TWLO US Equity","PX_LAST","1993-06-18","2026-05-02","Per=M","Days=T","Dir=V")</f>
        <v>0</v>
      </c>
      <c r="AS2">
        <f>BDH("TWLO US Equity","CUR_MKT_CAP","1993-06-18","2026-05-02","Per=M","Days=T","Dir=V")</f>
        <v>0</v>
      </c>
      <c r="AU2">
        <f>BDH("TWLO US Equity","EQY_SH_OUT","1993-06-18","2026-05-02","Per=M","Days=T","Dir=V")</f>
        <v>0</v>
      </c>
      <c r="AW2">
        <f>BDH("TWLO US Equity","PX_VOLUME","1993-06-18","2026-05-02","Per=M","Days=T","Dir=V")</f>
        <v>0</v>
      </c>
      <c r="AY2">
        <f>BDH("TWLO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BDH("TWST US Equity","BS_TOT_ASSET","1993-06-18","2026-05-02","Per=Y","Days=T","Dir=V")</f>
        <v>0</v>
      </c>
      <c r="C2">
        <f>BDH("TWST US Equity","BS_TOT_LIAB2","1993-06-18","2026-05-02","Per=Y","Days=T","Dir=V")</f>
        <v>0</v>
      </c>
      <c r="E2">
        <f>BDH("TWST US Equity","SHORT_AND_LONG_TERM_DEBT","1993-06-18","2026-05-02","Per=Y","Days=T","Dir=V")</f>
        <v>0</v>
      </c>
      <c r="G2">
        <f>BDH("TWST US Equity","BS_ST_BORROW","1993-06-18","2026-05-02","Per=Y","Days=T","Dir=V")</f>
        <v>0</v>
      </c>
      <c r="I2">
        <f>BDH("TWST US Equity","BS_LT_BORROW","1993-06-18","2026-05-02","Per=Y","Days=T","Dir=V")</f>
        <v>0</v>
      </c>
      <c r="K2">
        <f>BDH("TWST US Equity","BS_CASH_NEAR_CASH_ITEM","1993-06-18","2026-05-02","Per=Y","Days=T","Dir=V")</f>
        <v>0</v>
      </c>
      <c r="M2">
        <f>BDH("TWST US Equity","BS_CUR_ASSET_REPORT","1993-06-18","2026-05-02","Per=Y","Days=T","Dir=V")</f>
        <v>0</v>
      </c>
      <c r="O2">
        <f>BDH("TWST US Equity","BS_CUR_LIAB","1993-06-18","2026-05-02","Per=Y","Days=T","Dir=V")</f>
        <v>0</v>
      </c>
      <c r="Q2">
        <f>BDH("TWST US Equity","BS_SHAREHOLDER_EQY_ENDING_PERIOD","1993-06-18","2026-05-02","Per=Y","Days=T","Dir=V")</f>
        <v>0</v>
      </c>
      <c r="S2">
        <f>BDH("TWST US Equity","BS_ACCT_NOTE_RCV","1993-06-18","2026-05-02","Per=Y","Days=T","Dir=V")</f>
        <v>0</v>
      </c>
      <c r="U2">
        <f>BDH("TWST US Equity","BS_INVENTORIES","1993-06-18","2026-05-02","Per=Y","Days=T","Dir=V")</f>
        <v>0</v>
      </c>
      <c r="W2">
        <f>BDH("TWST US Equity","WORKING_CAPITAL","1993-06-18","2026-05-02","Per=Y","Days=T","Dir=V")</f>
        <v>0</v>
      </c>
      <c r="Y2">
        <f>BDH("TWST US Equity","SALES_REV_TURN","1993-06-18","2026-05-02","Per=Y","Days=T","Dir=V")</f>
        <v>0</v>
      </c>
      <c r="AA2">
        <f>BDH("TWST US Equity","EBIT","1993-06-18","2026-05-02","Per=Y","Days=T","Dir=V")</f>
        <v>0</v>
      </c>
      <c r="AC2">
        <f>BDH("TWST US Equity","EBITDA","1993-06-18","2026-05-02","Per=Y","Days=T","Dir=V")</f>
        <v>0</v>
      </c>
      <c r="AE2">
        <f>BDH("TWST US Equity","NET_INCOME","1993-06-18","2026-05-02","Per=Y","Days=T","Dir=V")</f>
        <v>0</v>
      </c>
      <c r="AG2">
        <f>BDH("TWST US Equity","IS_INT_EXPENSE","1993-06-18","2026-05-02","Per=Y","Days=T","Dir=V")</f>
        <v>0</v>
      </c>
      <c r="AI2">
        <f>BDH("TWST US Equity","IS_DEPR_EXP","1993-06-18","2026-05-02","Per=Y","Days=T","Dir=V")</f>
        <v>0</v>
      </c>
      <c r="AK2">
        <f>BDH("TWST US Equity","CF_CASH_FROM_OPER","1993-06-18","2026-05-02","Per=Y","Days=T","Dir=V")</f>
        <v>0</v>
      </c>
      <c r="AM2">
        <f>BDH("TWST US Equity","CAPITAL_EXPEND","1993-06-18","2026-05-02","Per=Y","Days=T","Dir=V")</f>
        <v>0</v>
      </c>
      <c r="AO2">
        <f>BDH("TWST US Equity","CF_FREE_CASH_FLOW","1993-06-18","2026-05-02","Per=Y","Days=T","Dir=V")</f>
        <v>0</v>
      </c>
      <c r="AQ2">
        <f>BDH("TWST US Equity","PX_LAST","1993-06-18","2026-05-02","Per=M","Days=T","Dir=V")</f>
        <v>0</v>
      </c>
      <c r="AS2">
        <f>BDH("TWST US Equity","CUR_MKT_CAP","1993-06-18","2026-05-02","Per=M","Days=T","Dir=V")</f>
        <v>0</v>
      </c>
      <c r="AU2">
        <f>BDH("TWST US Equity","EQY_SH_OUT","1993-06-18","2026-05-02","Per=M","Days=T","Dir=V")</f>
        <v>0</v>
      </c>
      <c r="AW2">
        <f>BDH("TWST US Equity","PX_VOLUME","1993-06-18","2026-05-02","Per=M","Days=T","Dir=V")</f>
        <v>0</v>
      </c>
      <c r="AY2">
        <f>BDH("TWST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BDH("TXG US Equity","BS_TOT_ASSET","1993-06-18","2026-05-02","Per=Y","Days=T","Dir=V")</f>
        <v>0</v>
      </c>
      <c r="C2">
        <f>BDH("TXG US Equity","BS_TOT_LIAB2","1993-06-18","2026-05-02","Per=Y","Days=T","Dir=V")</f>
        <v>0</v>
      </c>
      <c r="E2">
        <f>BDH("TXG US Equity","SHORT_AND_LONG_TERM_DEBT","1993-06-18","2026-05-02","Per=Y","Days=T","Dir=V")</f>
        <v>0</v>
      </c>
      <c r="G2">
        <f>BDH("TXG US Equity","BS_ST_BORROW","1993-06-18","2026-05-02","Per=Y","Days=T","Dir=V")</f>
        <v>0</v>
      </c>
      <c r="I2">
        <f>BDH("TXG US Equity","BS_LT_BORROW","1993-06-18","2026-05-02","Per=Y","Days=T","Dir=V")</f>
        <v>0</v>
      </c>
      <c r="K2">
        <f>BDH("TXG US Equity","BS_CASH_NEAR_CASH_ITEM","1993-06-18","2026-05-02","Per=Y","Days=T","Dir=V")</f>
        <v>0</v>
      </c>
      <c r="M2">
        <f>BDH("TXG US Equity","BS_CUR_ASSET_REPORT","1993-06-18","2026-05-02","Per=Y","Days=T","Dir=V")</f>
        <v>0</v>
      </c>
      <c r="O2">
        <f>BDH("TXG US Equity","BS_CUR_LIAB","1993-06-18","2026-05-02","Per=Y","Days=T","Dir=V")</f>
        <v>0</v>
      </c>
      <c r="Q2">
        <f>BDH("TXG US Equity","BS_SHAREHOLDER_EQY_ENDING_PERIOD","1993-06-18","2026-05-02","Per=Y","Days=T","Dir=V")</f>
        <v>0</v>
      </c>
      <c r="S2">
        <f>BDH("TXG US Equity","BS_ACCT_NOTE_RCV","1993-06-18","2026-05-02","Per=Y","Days=T","Dir=V")</f>
        <v>0</v>
      </c>
      <c r="U2">
        <f>BDH("TXG US Equity","BS_INVENTORIES","1993-06-18","2026-05-02","Per=Y","Days=T","Dir=V")</f>
        <v>0</v>
      </c>
      <c r="W2">
        <f>BDH("TXG US Equity","WORKING_CAPITAL","1993-06-18","2026-05-02","Per=Y","Days=T","Dir=V")</f>
        <v>0</v>
      </c>
      <c r="Y2">
        <f>BDH("TXG US Equity","SALES_REV_TURN","1993-06-18","2026-05-02","Per=Y","Days=T","Dir=V")</f>
        <v>0</v>
      </c>
      <c r="AA2">
        <f>BDH("TXG US Equity","EBIT","1993-06-18","2026-05-02","Per=Y","Days=T","Dir=V")</f>
        <v>0</v>
      </c>
      <c r="AC2">
        <f>BDH("TXG US Equity","EBITDA","1993-06-18","2026-05-02","Per=Y","Days=T","Dir=V")</f>
        <v>0</v>
      </c>
      <c r="AE2">
        <f>BDH("TXG US Equity","NET_INCOME","1993-06-18","2026-05-02","Per=Y","Days=T","Dir=V")</f>
        <v>0</v>
      </c>
      <c r="AG2">
        <f>BDH("TXG US Equity","IS_INT_EXPENSE","1993-06-18","2026-05-02","Per=Y","Days=T","Dir=V")</f>
        <v>0</v>
      </c>
      <c r="AI2">
        <f>BDH("TXG US Equity","IS_DEPR_EXP","1993-06-18","2026-05-02","Per=Y","Days=T","Dir=V")</f>
        <v>0</v>
      </c>
      <c r="AK2">
        <f>BDH("TXG US Equity","CF_CASH_FROM_OPER","1993-06-18","2026-05-02","Per=Y","Days=T","Dir=V")</f>
        <v>0</v>
      </c>
      <c r="AM2">
        <f>BDH("TXG US Equity","CAPITAL_EXPEND","1993-06-18","2026-05-02","Per=Y","Days=T","Dir=V")</f>
        <v>0</v>
      </c>
      <c r="AO2">
        <f>BDH("TXG US Equity","CF_FREE_CASH_FLOW","1993-06-18","2026-05-02","Per=Y","Days=T","Dir=V")</f>
        <v>0</v>
      </c>
      <c r="AQ2">
        <f>BDH("TXG US Equity","PX_LAST","1993-06-18","2026-05-02","Per=M","Days=T","Dir=V")</f>
        <v>0</v>
      </c>
      <c r="AS2">
        <f>BDH("TXG US Equity","CUR_MKT_CAP","1993-06-18","2026-05-02","Per=M","Days=T","Dir=V")</f>
        <v>0</v>
      </c>
      <c r="AU2">
        <f>BDH("TXG US Equity","EQY_SH_OUT","1993-06-18","2026-05-02","Per=M","Days=T","Dir=V")</f>
        <v>0</v>
      </c>
      <c r="AW2">
        <f>BDH("TXG US Equity","PX_VOLUME","1993-06-18","2026-05-02","Per=M","Days=T","Dir=V")</f>
        <v>0</v>
      </c>
      <c r="AY2">
        <f>BDH("TXG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BDH("TXMD US Equity","BS_TOT_ASSET","1993-06-18","2026-05-02","Per=Y","Days=T","Dir=V")</f>
        <v>0</v>
      </c>
      <c r="C2">
        <f>BDH("TXMD US Equity","BS_TOT_LIAB2","1993-06-18","2026-05-02","Per=Y","Days=T","Dir=V")</f>
        <v>0</v>
      </c>
      <c r="E2">
        <f>BDH("TXMD US Equity","SHORT_AND_LONG_TERM_DEBT","1993-06-18","2026-05-02","Per=Y","Days=T","Dir=V")</f>
        <v>0</v>
      </c>
      <c r="G2">
        <f>BDH("TXMD US Equity","BS_ST_BORROW","1993-06-18","2026-05-02","Per=Y","Days=T","Dir=V")</f>
        <v>0</v>
      </c>
      <c r="I2">
        <f>BDH("TXMD US Equity","BS_LT_BORROW","1993-06-18","2026-05-02","Per=Y","Days=T","Dir=V")</f>
        <v>0</v>
      </c>
      <c r="K2">
        <f>BDH("TXMD US Equity","BS_CASH_NEAR_CASH_ITEM","1993-06-18","2026-05-02","Per=Y","Days=T","Dir=V")</f>
        <v>0</v>
      </c>
      <c r="M2">
        <f>BDH("TXMD US Equity","BS_CUR_ASSET_REPORT","1993-06-18","2026-05-02","Per=Y","Days=T","Dir=V")</f>
        <v>0</v>
      </c>
      <c r="O2">
        <f>BDH("TXMD US Equity","BS_CUR_LIAB","1993-06-18","2026-05-02","Per=Y","Days=T","Dir=V")</f>
        <v>0</v>
      </c>
      <c r="Q2">
        <f>BDH("TXMD US Equity","BS_SHAREHOLDER_EQY_ENDING_PERIOD","1993-06-18","2026-05-02","Per=Y","Days=T","Dir=V")</f>
        <v>0</v>
      </c>
      <c r="S2">
        <f>BDH("TXMD US Equity","BS_ACCT_NOTE_RCV","1993-06-18","2026-05-02","Per=Y","Days=T","Dir=V")</f>
        <v>0</v>
      </c>
      <c r="U2">
        <f>BDH("TXMD US Equity","BS_INVENTORIES","1993-06-18","2026-05-02","Per=Y","Days=T","Dir=V")</f>
        <v>0</v>
      </c>
      <c r="W2">
        <f>BDH("TXMD US Equity","WORKING_CAPITAL","1993-06-18","2026-05-02","Per=Y","Days=T","Dir=V")</f>
        <v>0</v>
      </c>
      <c r="Y2">
        <f>BDH("TXMD US Equity","SALES_REV_TURN","1993-06-18","2026-05-02","Per=Y","Days=T","Dir=V")</f>
        <v>0</v>
      </c>
      <c r="AA2">
        <f>BDH("TXMD US Equity","EBIT","1993-06-18","2026-05-02","Per=Y","Days=T","Dir=V")</f>
        <v>0</v>
      </c>
      <c r="AC2">
        <f>BDH("TXMD US Equity","EBITDA","1993-06-18","2026-05-02","Per=Y","Days=T","Dir=V")</f>
        <v>0</v>
      </c>
      <c r="AE2">
        <f>BDH("TXMD US Equity","NET_INCOME","1993-06-18","2026-05-02","Per=Y","Days=T","Dir=V")</f>
        <v>0</v>
      </c>
      <c r="AG2">
        <f>BDH("TXMD US Equity","IS_INT_EXPENSE","1993-06-18","2026-05-02","Per=Y","Days=T","Dir=V")</f>
        <v>0</v>
      </c>
      <c r="AI2">
        <f>BDH("TXMD US Equity","IS_DEPR_EXP","1993-06-18","2026-05-02","Per=Y","Days=T","Dir=V")</f>
        <v>0</v>
      </c>
      <c r="AK2">
        <f>BDH("TXMD US Equity","CF_CASH_FROM_OPER","1993-06-18","2026-05-02","Per=Y","Days=T","Dir=V")</f>
        <v>0</v>
      </c>
      <c r="AM2">
        <f>BDH("TXMD US Equity","CAPITAL_EXPEND","1993-06-18","2026-05-02","Per=Y","Days=T","Dir=V")</f>
        <v>0</v>
      </c>
      <c r="AO2">
        <f>BDH("TXMD US Equity","CF_FREE_CASH_FLOW","1993-06-18","2026-05-02","Per=Y","Days=T","Dir=V")</f>
        <v>0</v>
      </c>
      <c r="AQ2">
        <f>BDH("TXMD US Equity","PX_LAST","1993-06-18","2026-05-02","Per=M","Days=T","Dir=V")</f>
        <v>0</v>
      </c>
      <c r="AS2">
        <f>BDH("TXMD US Equity","CUR_MKT_CAP","1993-06-18","2026-05-02","Per=M","Days=T","Dir=V")</f>
        <v>0</v>
      </c>
      <c r="AU2">
        <f>BDH("TXMD US Equity","EQY_SH_OUT","1993-06-18","2026-05-02","Per=M","Days=T","Dir=V")</f>
        <v>0</v>
      </c>
      <c r="AW2">
        <f>BDH("TXMD US Equity","PX_VOLUME","1993-06-18","2026-05-02","Per=M","Days=T","Dir=V")</f>
        <v>0</v>
      </c>
      <c r="AY2">
        <f>BDH("TXMD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BDH("TXN US Equity","BS_TOT_ASSET","1993-06-18","2026-05-02","Per=Y","Days=T","Dir=V")</f>
        <v>0</v>
      </c>
      <c r="C2">
        <f>BDH("TXN US Equity","BS_TOT_LIAB2","1993-06-18","2026-05-02","Per=Y","Days=T","Dir=V")</f>
        <v>0</v>
      </c>
      <c r="E2">
        <f>BDH("TXN US Equity","SHORT_AND_LONG_TERM_DEBT","1993-06-18","2026-05-02","Per=Y","Days=T","Dir=V")</f>
        <v>0</v>
      </c>
      <c r="G2">
        <f>BDH("TXN US Equity","BS_ST_BORROW","1993-06-18","2026-05-02","Per=Y","Days=T","Dir=V")</f>
        <v>0</v>
      </c>
      <c r="I2">
        <f>BDH("TXN US Equity","BS_LT_BORROW","1993-06-18","2026-05-02","Per=Y","Days=T","Dir=V")</f>
        <v>0</v>
      </c>
      <c r="K2">
        <f>BDH("TXN US Equity","BS_CASH_NEAR_CASH_ITEM","1993-06-18","2026-05-02","Per=Y","Days=T","Dir=V")</f>
        <v>0</v>
      </c>
      <c r="M2">
        <f>BDH("TXN US Equity","BS_CUR_ASSET_REPORT","1993-06-18","2026-05-02","Per=Y","Days=T","Dir=V")</f>
        <v>0</v>
      </c>
      <c r="O2">
        <f>BDH("TXN US Equity","BS_CUR_LIAB","1993-06-18","2026-05-02","Per=Y","Days=T","Dir=V")</f>
        <v>0</v>
      </c>
      <c r="Q2">
        <f>BDH("TXN US Equity","BS_SHAREHOLDER_EQY_ENDING_PERIOD","1993-06-18","2026-05-02","Per=Y","Days=T","Dir=V")</f>
        <v>0</v>
      </c>
      <c r="S2">
        <f>BDH("TXN US Equity","BS_ACCT_NOTE_RCV","1993-06-18","2026-05-02","Per=Y","Days=T","Dir=V")</f>
        <v>0</v>
      </c>
      <c r="U2">
        <f>BDH("TXN US Equity","BS_INVENTORIES","1993-06-18","2026-05-02","Per=Y","Days=T","Dir=V")</f>
        <v>0</v>
      </c>
      <c r="W2">
        <f>BDH("TXN US Equity","WORKING_CAPITAL","1993-06-18","2026-05-02","Per=Y","Days=T","Dir=V")</f>
        <v>0</v>
      </c>
      <c r="Y2">
        <f>BDH("TXN US Equity","SALES_REV_TURN","1993-06-18","2026-05-02","Per=Y","Days=T","Dir=V")</f>
        <v>0</v>
      </c>
      <c r="AA2">
        <f>BDH("TXN US Equity","EBIT","1993-06-18","2026-05-02","Per=Y","Days=T","Dir=V")</f>
        <v>0</v>
      </c>
      <c r="AC2">
        <f>BDH("TXN US Equity","EBITDA","1993-06-18","2026-05-02","Per=Y","Days=T","Dir=V")</f>
        <v>0</v>
      </c>
      <c r="AE2">
        <f>BDH("TXN US Equity","NET_INCOME","1993-06-18","2026-05-02","Per=Y","Days=T","Dir=V")</f>
        <v>0</v>
      </c>
      <c r="AG2">
        <f>BDH("TXN US Equity","IS_INT_EXPENSE","1993-06-18","2026-05-02","Per=Y","Days=T","Dir=V")</f>
        <v>0</v>
      </c>
      <c r="AI2">
        <f>BDH("TXN US Equity","IS_DEPR_EXP","1993-06-18","2026-05-02","Per=Y","Days=T","Dir=V")</f>
        <v>0</v>
      </c>
      <c r="AK2">
        <f>BDH("TXN US Equity","CF_CASH_FROM_OPER","1993-06-18","2026-05-02","Per=Y","Days=T","Dir=V")</f>
        <v>0</v>
      </c>
      <c r="AM2">
        <f>BDH("TXN US Equity","CAPITAL_EXPEND","1993-06-18","2026-05-02","Per=Y","Days=T","Dir=V")</f>
        <v>0</v>
      </c>
      <c r="AO2">
        <f>BDH("TXN US Equity","CF_FREE_CASH_FLOW","1993-06-18","2026-05-02","Per=Y","Days=T","Dir=V")</f>
        <v>0</v>
      </c>
      <c r="AQ2">
        <f>BDH("TXN US Equity","PX_LAST","1993-06-18","2026-05-02","Per=M","Days=T","Dir=V")</f>
        <v>0</v>
      </c>
      <c r="AS2">
        <f>BDH("TXN US Equity","CUR_MKT_CAP","1993-06-18","2026-05-02","Per=M","Days=T","Dir=V")</f>
        <v>0</v>
      </c>
      <c r="AU2">
        <f>BDH("TXN US Equity","EQY_SH_OUT","1993-06-18","2026-05-02","Per=M","Days=T","Dir=V")</f>
        <v>0</v>
      </c>
      <c r="AW2">
        <f>BDH("TXN US Equity","PX_VOLUME","1993-06-18","2026-05-02","Per=M","Days=T","Dir=V")</f>
        <v>0</v>
      </c>
      <c r="AY2">
        <f>BDH("TXN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BDH("TXNM US Equity","BS_TOT_ASSET","1993-06-18","2026-05-02","Per=Y","Days=T","Dir=V")</f>
        <v>0</v>
      </c>
      <c r="C2">
        <f>BDH("TXNM US Equity","BS_TOT_LIAB2","1993-06-18","2026-05-02","Per=Y","Days=T","Dir=V")</f>
        <v>0</v>
      </c>
      <c r="E2">
        <f>BDH("TXNM US Equity","SHORT_AND_LONG_TERM_DEBT","1993-06-18","2026-05-02","Per=Y","Days=T","Dir=V")</f>
        <v>0</v>
      </c>
      <c r="G2">
        <f>BDH("TXNM US Equity","BS_ST_BORROW","1993-06-18","2026-05-02","Per=Y","Days=T","Dir=V")</f>
        <v>0</v>
      </c>
      <c r="I2">
        <f>BDH("TXNM US Equity","BS_LT_BORROW","1993-06-18","2026-05-02","Per=Y","Days=T","Dir=V")</f>
        <v>0</v>
      </c>
      <c r="K2">
        <f>BDH("TXNM US Equity","BS_CASH_NEAR_CASH_ITEM","1993-06-18","2026-05-02","Per=Y","Days=T","Dir=V")</f>
        <v>0</v>
      </c>
      <c r="M2">
        <f>BDH("TXNM US Equity","BS_CUR_ASSET_REPORT","1993-06-18","2026-05-02","Per=Y","Days=T","Dir=V")</f>
        <v>0</v>
      </c>
      <c r="O2">
        <f>BDH("TXNM US Equity","BS_CUR_LIAB","1993-06-18","2026-05-02","Per=Y","Days=T","Dir=V")</f>
        <v>0</v>
      </c>
      <c r="Q2">
        <f>BDH("TXNM US Equity","BS_SHAREHOLDER_EQY_ENDING_PERIOD","1993-06-18","2026-05-02","Per=Y","Days=T","Dir=V")</f>
        <v>0</v>
      </c>
      <c r="S2">
        <f>BDH("TXNM US Equity","BS_ACCT_NOTE_RCV","1993-06-18","2026-05-02","Per=Y","Days=T","Dir=V")</f>
        <v>0</v>
      </c>
      <c r="U2">
        <f>BDH("TXNM US Equity","BS_INVENTORIES","1993-06-18","2026-05-02","Per=Y","Days=T","Dir=V")</f>
        <v>0</v>
      </c>
      <c r="W2">
        <f>BDH("TXNM US Equity","WORKING_CAPITAL","1993-06-18","2026-05-02","Per=Y","Days=T","Dir=V")</f>
        <v>0</v>
      </c>
      <c r="Y2">
        <f>BDH("TXNM US Equity","SALES_REV_TURN","1993-06-18","2026-05-02","Per=Y","Days=T","Dir=V")</f>
        <v>0</v>
      </c>
      <c r="AA2">
        <f>BDH("TXNM US Equity","EBIT","1993-06-18","2026-05-02","Per=Y","Days=T","Dir=V")</f>
        <v>0</v>
      </c>
      <c r="AC2">
        <f>BDH("TXNM US Equity","EBITDA","1993-06-18","2026-05-02","Per=Y","Days=T","Dir=V")</f>
        <v>0</v>
      </c>
      <c r="AE2">
        <f>BDH("TXNM US Equity","NET_INCOME","1993-06-18","2026-05-02","Per=Y","Days=T","Dir=V")</f>
        <v>0</v>
      </c>
      <c r="AG2">
        <f>BDH("TXNM US Equity","IS_INT_EXPENSE","1993-06-18","2026-05-02","Per=Y","Days=T","Dir=V")</f>
        <v>0</v>
      </c>
      <c r="AI2">
        <f>BDH("TXNM US Equity","IS_DEPR_EXP","1993-06-18","2026-05-02","Per=Y","Days=T","Dir=V")</f>
        <v>0</v>
      </c>
      <c r="AK2">
        <f>BDH("TXNM US Equity","CF_CASH_FROM_OPER","1993-06-18","2026-05-02","Per=Y","Days=T","Dir=V")</f>
        <v>0</v>
      </c>
      <c r="AM2">
        <f>BDH("TXNM US Equity","CAPITAL_EXPEND","1993-06-18","2026-05-02","Per=Y","Days=T","Dir=V")</f>
        <v>0</v>
      </c>
      <c r="AO2">
        <f>BDH("TXNM US Equity","CF_FREE_CASH_FLOW","1993-06-18","2026-05-02","Per=Y","Days=T","Dir=V")</f>
        <v>0</v>
      </c>
      <c r="AQ2">
        <f>BDH("TXNM US Equity","PX_LAST","1993-06-18","2026-05-02","Per=M","Days=T","Dir=V")</f>
        <v>0</v>
      </c>
      <c r="AS2">
        <f>BDH("TXNM US Equity","CUR_MKT_CAP","1993-06-18","2026-05-02","Per=M","Days=T","Dir=V")</f>
        <v>0</v>
      </c>
      <c r="AU2">
        <f>BDH("TXNM US Equity","EQY_SH_OUT","1993-06-18","2026-05-02","Per=M","Days=T","Dir=V")</f>
        <v>0</v>
      </c>
      <c r="AW2">
        <f>BDH("TXNM US Equity","PX_VOLUME","1993-06-18","2026-05-02","Per=M","Days=T","Dir=V")</f>
        <v>0</v>
      </c>
      <c r="AY2">
        <f>BDH("TXNM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BDH("TXO US Equity","BS_TOT_ASSET","1993-06-18","2026-05-02","Per=Y","Days=T","Dir=V")</f>
        <v>0</v>
      </c>
      <c r="C2">
        <f>BDH("TXO US Equity","BS_TOT_LIAB2","1993-06-18","2026-05-02","Per=Y","Days=T","Dir=V")</f>
        <v>0</v>
      </c>
      <c r="E2">
        <f>BDH("TXO US Equity","SHORT_AND_LONG_TERM_DEBT","1993-06-18","2026-05-02","Per=Y","Days=T","Dir=V")</f>
        <v>0</v>
      </c>
      <c r="G2">
        <f>BDH("TXO US Equity","BS_ST_BORROW","1993-06-18","2026-05-02","Per=Y","Days=T","Dir=V")</f>
        <v>0</v>
      </c>
      <c r="I2">
        <f>BDH("TXO US Equity","BS_LT_BORROW","1993-06-18","2026-05-02","Per=Y","Days=T","Dir=V")</f>
        <v>0</v>
      </c>
      <c r="K2">
        <f>BDH("TXO US Equity","BS_CASH_NEAR_CASH_ITEM","1993-06-18","2026-05-02","Per=Y","Days=T","Dir=V")</f>
        <v>0</v>
      </c>
      <c r="M2">
        <f>BDH("TXO US Equity","BS_CUR_ASSET_REPORT","1993-06-18","2026-05-02","Per=Y","Days=T","Dir=V")</f>
        <v>0</v>
      </c>
      <c r="O2">
        <f>BDH("TXO US Equity","BS_CUR_LIAB","1993-06-18","2026-05-02","Per=Y","Days=T","Dir=V")</f>
        <v>0</v>
      </c>
      <c r="Q2">
        <f>BDH("TXO US Equity","BS_SHAREHOLDER_EQY_ENDING_PERIOD","1993-06-18","2026-05-02","Per=Y","Days=T","Dir=V")</f>
        <v>0</v>
      </c>
      <c r="S2">
        <f>BDH("TXO US Equity","BS_ACCT_NOTE_RCV","1993-06-18","2026-05-02","Per=Y","Days=T","Dir=V")</f>
        <v>0</v>
      </c>
      <c r="U2">
        <f>BDH("TXO US Equity","BS_INVENTORIES","1993-06-18","2026-05-02","Per=Y","Days=T","Dir=V")</f>
        <v>0</v>
      </c>
      <c r="W2">
        <f>BDH("TXO US Equity","WORKING_CAPITAL","1993-06-18","2026-05-02","Per=Y","Days=T","Dir=V")</f>
        <v>0</v>
      </c>
      <c r="Y2">
        <f>BDH("TXO US Equity","SALES_REV_TURN","1993-06-18","2026-05-02","Per=Y","Days=T","Dir=V")</f>
        <v>0</v>
      </c>
      <c r="AA2">
        <f>BDH("TXO US Equity","EBIT","1993-06-18","2026-05-02","Per=Y","Days=T","Dir=V")</f>
        <v>0</v>
      </c>
      <c r="AC2">
        <f>BDH("TXO US Equity","EBITDA","1993-06-18","2026-05-02","Per=Y","Days=T","Dir=V")</f>
        <v>0</v>
      </c>
      <c r="AE2">
        <f>BDH("TXO US Equity","NET_INCOME","1993-06-18","2026-05-02","Per=Y","Days=T","Dir=V")</f>
        <v>0</v>
      </c>
      <c r="AG2">
        <f>BDH("TXO US Equity","IS_INT_EXPENSE","1993-06-18","2026-05-02","Per=Y","Days=T","Dir=V")</f>
        <v>0</v>
      </c>
      <c r="AI2">
        <f>BDH("TXO US Equity","IS_DEPR_EXP","1993-06-18","2026-05-02","Per=Y","Days=T","Dir=V")</f>
        <v>0</v>
      </c>
      <c r="AK2">
        <f>BDH("TXO US Equity","CF_CASH_FROM_OPER","1993-06-18","2026-05-02","Per=Y","Days=T","Dir=V")</f>
        <v>0</v>
      </c>
      <c r="AM2">
        <f>BDH("TXO US Equity","CAPITAL_EXPEND","1993-06-18","2026-05-02","Per=Y","Days=T","Dir=V")</f>
        <v>0</v>
      </c>
      <c r="AO2">
        <f>BDH("TXO US Equity","CF_FREE_CASH_FLOW","1993-06-18","2026-05-02","Per=Y","Days=T","Dir=V")</f>
        <v>0</v>
      </c>
      <c r="AQ2">
        <f>BDH("TXO US Equity","PX_LAST","1993-06-18","2026-05-02","Per=M","Days=T","Dir=V")</f>
        <v>0</v>
      </c>
      <c r="AS2">
        <f>BDH("TXO US Equity","CUR_MKT_CAP","1993-06-18","2026-05-02","Per=M","Days=T","Dir=V")</f>
        <v>0</v>
      </c>
      <c r="AU2">
        <f>BDH("TXO US Equity","EQY_SH_OUT","1993-06-18","2026-05-02","Per=M","Days=T","Dir=V")</f>
        <v>0</v>
      </c>
      <c r="AW2">
        <f>BDH("TXO US Equity","PX_VOLUME","1993-06-18","2026-05-02","Per=M","Days=T","Dir=V")</f>
        <v>0</v>
      </c>
      <c r="AY2">
        <f>BDH("TXO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BDH("TXRH US Equity","BS_TOT_ASSET","1993-06-18","2026-05-02","Per=Y","Days=T","Dir=V")</f>
        <v>0</v>
      </c>
      <c r="C2">
        <f>BDH("TXRH US Equity","BS_TOT_LIAB2","1993-06-18","2026-05-02","Per=Y","Days=T","Dir=V")</f>
        <v>0</v>
      </c>
      <c r="E2">
        <f>BDH("TXRH US Equity","SHORT_AND_LONG_TERM_DEBT","1993-06-18","2026-05-02","Per=Y","Days=T","Dir=V")</f>
        <v>0</v>
      </c>
      <c r="G2">
        <f>BDH("TXRH US Equity","BS_ST_BORROW","1993-06-18","2026-05-02","Per=Y","Days=T","Dir=V")</f>
        <v>0</v>
      </c>
      <c r="I2">
        <f>BDH("TXRH US Equity","BS_LT_BORROW","1993-06-18","2026-05-02","Per=Y","Days=T","Dir=V")</f>
        <v>0</v>
      </c>
      <c r="K2">
        <f>BDH("TXRH US Equity","BS_CASH_NEAR_CASH_ITEM","1993-06-18","2026-05-02","Per=Y","Days=T","Dir=V")</f>
        <v>0</v>
      </c>
      <c r="M2">
        <f>BDH("TXRH US Equity","BS_CUR_ASSET_REPORT","1993-06-18","2026-05-02","Per=Y","Days=T","Dir=V")</f>
        <v>0</v>
      </c>
      <c r="O2">
        <f>BDH("TXRH US Equity","BS_CUR_LIAB","1993-06-18","2026-05-02","Per=Y","Days=T","Dir=V")</f>
        <v>0</v>
      </c>
      <c r="Q2">
        <f>BDH("TXRH US Equity","BS_SHAREHOLDER_EQY_ENDING_PERIOD","1993-06-18","2026-05-02","Per=Y","Days=T","Dir=V")</f>
        <v>0</v>
      </c>
      <c r="S2">
        <f>BDH("TXRH US Equity","BS_ACCT_NOTE_RCV","1993-06-18","2026-05-02","Per=Y","Days=T","Dir=V")</f>
        <v>0</v>
      </c>
      <c r="U2">
        <f>BDH("TXRH US Equity","BS_INVENTORIES","1993-06-18","2026-05-02","Per=Y","Days=T","Dir=V")</f>
        <v>0</v>
      </c>
      <c r="W2">
        <f>BDH("TXRH US Equity","WORKING_CAPITAL","1993-06-18","2026-05-02","Per=Y","Days=T","Dir=V")</f>
        <v>0</v>
      </c>
      <c r="Y2">
        <f>BDH("TXRH US Equity","SALES_REV_TURN","1993-06-18","2026-05-02","Per=Y","Days=T","Dir=V")</f>
        <v>0</v>
      </c>
      <c r="AA2">
        <f>BDH("TXRH US Equity","EBIT","1993-06-18","2026-05-02","Per=Y","Days=T","Dir=V")</f>
        <v>0</v>
      </c>
      <c r="AC2">
        <f>BDH("TXRH US Equity","EBITDA","1993-06-18","2026-05-02","Per=Y","Days=T","Dir=V")</f>
        <v>0</v>
      </c>
      <c r="AE2">
        <f>BDH("TXRH US Equity","NET_INCOME","1993-06-18","2026-05-02","Per=Y","Days=T","Dir=V")</f>
        <v>0</v>
      </c>
      <c r="AG2">
        <f>BDH("TXRH US Equity","IS_INT_EXPENSE","1993-06-18","2026-05-02","Per=Y","Days=T","Dir=V")</f>
        <v>0</v>
      </c>
      <c r="AI2">
        <f>BDH("TXRH US Equity","IS_DEPR_EXP","1993-06-18","2026-05-02","Per=Y","Days=T","Dir=V")</f>
        <v>0</v>
      </c>
      <c r="AK2">
        <f>BDH("TXRH US Equity","CF_CASH_FROM_OPER","1993-06-18","2026-05-02","Per=Y","Days=T","Dir=V")</f>
        <v>0</v>
      </c>
      <c r="AM2">
        <f>BDH("TXRH US Equity","CAPITAL_EXPEND","1993-06-18","2026-05-02","Per=Y","Days=T","Dir=V")</f>
        <v>0</v>
      </c>
      <c r="AO2">
        <f>BDH("TXRH US Equity","CF_FREE_CASH_FLOW","1993-06-18","2026-05-02","Per=Y","Days=T","Dir=V")</f>
        <v>0</v>
      </c>
      <c r="AQ2">
        <f>BDH("TXRH US Equity","PX_LAST","1993-06-18","2026-05-02","Per=M","Days=T","Dir=V")</f>
        <v>0</v>
      </c>
      <c r="AS2">
        <f>BDH("TXRH US Equity","CUR_MKT_CAP","1993-06-18","2026-05-02","Per=M","Days=T","Dir=V")</f>
        <v>0</v>
      </c>
      <c r="AU2">
        <f>BDH("TXRH US Equity","EQY_SH_OUT","1993-06-18","2026-05-02","Per=M","Days=T","Dir=V")</f>
        <v>0</v>
      </c>
      <c r="AW2">
        <f>BDH("TXRH US Equity","PX_VOLUME","1993-06-18","2026-05-02","Per=M","Days=T","Dir=V")</f>
        <v>0</v>
      </c>
      <c r="AY2">
        <f>BDH("TXRH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BDH("TXT US Equity","BS_TOT_ASSET","1993-06-18","2026-05-02","Per=Y","Days=T","Dir=V")</f>
        <v>0</v>
      </c>
      <c r="C2">
        <f>BDH("TXT US Equity","BS_TOT_LIAB2","1993-06-18","2026-05-02","Per=Y","Days=T","Dir=V")</f>
        <v>0</v>
      </c>
      <c r="E2">
        <f>BDH("TXT US Equity","SHORT_AND_LONG_TERM_DEBT","1993-06-18","2026-05-02","Per=Y","Days=T","Dir=V")</f>
        <v>0</v>
      </c>
      <c r="G2">
        <f>BDH("TXT US Equity","BS_ST_BORROW","1993-06-18","2026-05-02","Per=Y","Days=T","Dir=V")</f>
        <v>0</v>
      </c>
      <c r="I2">
        <f>BDH("TXT US Equity","BS_LT_BORROW","1993-06-18","2026-05-02","Per=Y","Days=T","Dir=V")</f>
        <v>0</v>
      </c>
      <c r="K2">
        <f>BDH("TXT US Equity","BS_CASH_NEAR_CASH_ITEM","1993-06-18","2026-05-02","Per=Y","Days=T","Dir=V")</f>
        <v>0</v>
      </c>
      <c r="M2">
        <f>BDH("TXT US Equity","BS_CUR_ASSET_REPORT","1993-06-18","2026-05-02","Per=Y","Days=T","Dir=V")</f>
        <v>0</v>
      </c>
      <c r="O2">
        <f>BDH("TXT US Equity","BS_CUR_LIAB","1993-06-18","2026-05-02","Per=Y","Days=T","Dir=V")</f>
        <v>0</v>
      </c>
      <c r="Q2">
        <f>BDH("TXT US Equity","BS_SHAREHOLDER_EQY_ENDING_PERIOD","1993-06-18","2026-05-02","Per=Y","Days=T","Dir=V")</f>
        <v>0</v>
      </c>
      <c r="S2">
        <f>BDH("TXT US Equity","BS_ACCT_NOTE_RCV","1993-06-18","2026-05-02","Per=Y","Days=T","Dir=V")</f>
        <v>0</v>
      </c>
      <c r="U2">
        <f>BDH("TXT US Equity","BS_INVENTORIES","1993-06-18","2026-05-02","Per=Y","Days=T","Dir=V")</f>
        <v>0</v>
      </c>
      <c r="W2">
        <f>BDH("TXT US Equity","WORKING_CAPITAL","1993-06-18","2026-05-02","Per=Y","Days=T","Dir=V")</f>
        <v>0</v>
      </c>
      <c r="Y2">
        <f>BDH("TXT US Equity","SALES_REV_TURN","1993-06-18","2026-05-02","Per=Y","Days=T","Dir=V")</f>
        <v>0</v>
      </c>
      <c r="AA2">
        <f>BDH("TXT US Equity","EBIT","1993-06-18","2026-05-02","Per=Y","Days=T","Dir=V")</f>
        <v>0</v>
      </c>
      <c r="AC2">
        <f>BDH("TXT US Equity","EBITDA","1993-06-18","2026-05-02","Per=Y","Days=T","Dir=V")</f>
        <v>0</v>
      </c>
      <c r="AE2">
        <f>BDH("TXT US Equity","NET_INCOME","1993-06-18","2026-05-02","Per=Y","Days=T","Dir=V")</f>
        <v>0</v>
      </c>
      <c r="AG2">
        <f>BDH("TXT US Equity","IS_INT_EXPENSE","1993-06-18","2026-05-02","Per=Y","Days=T","Dir=V")</f>
        <v>0</v>
      </c>
      <c r="AI2">
        <f>BDH("TXT US Equity","IS_DEPR_EXP","1993-06-18","2026-05-02","Per=Y","Days=T","Dir=V")</f>
        <v>0</v>
      </c>
      <c r="AK2">
        <f>BDH("TXT US Equity","CF_CASH_FROM_OPER","1993-06-18","2026-05-02","Per=Y","Days=T","Dir=V")</f>
        <v>0</v>
      </c>
      <c r="AM2">
        <f>BDH("TXT US Equity","CAPITAL_EXPEND","1993-06-18","2026-05-02","Per=Y","Days=T","Dir=V")</f>
        <v>0</v>
      </c>
      <c r="AO2">
        <f>BDH("TXT US Equity","CF_FREE_CASH_FLOW","1993-06-18","2026-05-02","Per=Y","Days=T","Dir=V")</f>
        <v>0</v>
      </c>
      <c r="AQ2">
        <f>BDH("TXT US Equity","PX_LAST","1993-06-18","2026-05-02","Per=M","Days=T","Dir=V")</f>
        <v>0</v>
      </c>
      <c r="AS2">
        <f>BDH("TXT US Equity","CUR_MKT_CAP","1993-06-18","2026-05-02","Per=M","Days=T","Dir=V")</f>
        <v>0</v>
      </c>
      <c r="AU2">
        <f>BDH("TXT US Equity","EQY_SH_OUT","1993-06-18","2026-05-02","Per=M","Days=T","Dir=V")</f>
        <v>0</v>
      </c>
      <c r="AW2">
        <f>BDH("TXT US Equity","PX_VOLUME","1993-06-18","2026-05-02","Per=M","Days=T","Dir=V")</f>
        <v>0</v>
      </c>
      <c r="AY2">
        <f>BDH("TXT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BDH("TYGO US Equity","BS_TOT_ASSET","1993-06-18","2026-05-02","Per=Y","Days=T","Dir=V")</f>
        <v>0</v>
      </c>
      <c r="C2">
        <f>BDH("TYGO US Equity","BS_TOT_LIAB2","1993-06-18","2026-05-02","Per=Y","Days=T","Dir=V")</f>
        <v>0</v>
      </c>
      <c r="E2">
        <f>BDH("TYGO US Equity","SHORT_AND_LONG_TERM_DEBT","1993-06-18","2026-05-02","Per=Y","Days=T","Dir=V")</f>
        <v>0</v>
      </c>
      <c r="G2">
        <f>BDH("TYGO US Equity","BS_ST_BORROW","1993-06-18","2026-05-02","Per=Y","Days=T","Dir=V")</f>
        <v>0</v>
      </c>
      <c r="I2">
        <f>BDH("TYGO US Equity","BS_LT_BORROW","1993-06-18","2026-05-02","Per=Y","Days=T","Dir=V")</f>
        <v>0</v>
      </c>
      <c r="K2">
        <f>BDH("TYGO US Equity","BS_CASH_NEAR_CASH_ITEM","1993-06-18","2026-05-02","Per=Y","Days=T","Dir=V")</f>
        <v>0</v>
      </c>
      <c r="M2">
        <f>BDH("TYGO US Equity","BS_CUR_ASSET_REPORT","1993-06-18","2026-05-02","Per=Y","Days=T","Dir=V")</f>
        <v>0</v>
      </c>
      <c r="O2">
        <f>BDH("TYGO US Equity","BS_CUR_LIAB","1993-06-18","2026-05-02","Per=Y","Days=T","Dir=V")</f>
        <v>0</v>
      </c>
      <c r="Q2">
        <f>BDH("TYGO US Equity","BS_SHAREHOLDER_EQY_ENDING_PERIOD","1993-06-18","2026-05-02","Per=Y","Days=T","Dir=V")</f>
        <v>0</v>
      </c>
      <c r="S2">
        <f>BDH("TYGO US Equity","BS_ACCT_NOTE_RCV","1993-06-18","2026-05-02","Per=Y","Days=T","Dir=V")</f>
        <v>0</v>
      </c>
      <c r="U2">
        <f>BDH("TYGO US Equity","BS_INVENTORIES","1993-06-18","2026-05-02","Per=Y","Days=T","Dir=V")</f>
        <v>0</v>
      </c>
      <c r="W2">
        <f>BDH("TYGO US Equity","WORKING_CAPITAL","1993-06-18","2026-05-02","Per=Y","Days=T","Dir=V")</f>
        <v>0</v>
      </c>
      <c r="Y2">
        <f>BDH("TYGO US Equity","SALES_REV_TURN","1993-06-18","2026-05-02","Per=Y","Days=T","Dir=V")</f>
        <v>0</v>
      </c>
      <c r="AA2">
        <f>BDH("TYGO US Equity","EBIT","1993-06-18","2026-05-02","Per=Y","Days=T","Dir=V")</f>
        <v>0</v>
      </c>
      <c r="AC2">
        <f>BDH("TYGO US Equity","EBITDA","1993-06-18","2026-05-02","Per=Y","Days=T","Dir=V")</f>
        <v>0</v>
      </c>
      <c r="AE2">
        <f>BDH("TYGO US Equity","NET_INCOME","1993-06-18","2026-05-02","Per=Y","Days=T","Dir=V")</f>
        <v>0</v>
      </c>
      <c r="AG2">
        <f>BDH("TYGO US Equity","IS_INT_EXPENSE","1993-06-18","2026-05-02","Per=Y","Days=T","Dir=V")</f>
        <v>0</v>
      </c>
      <c r="AI2">
        <f>BDH("TYGO US Equity","IS_DEPR_EXP","1993-06-18","2026-05-02","Per=Y","Days=T","Dir=V")</f>
        <v>0</v>
      </c>
      <c r="AK2">
        <f>BDH("TYGO US Equity","CF_CASH_FROM_OPER","1993-06-18","2026-05-02","Per=Y","Days=T","Dir=V")</f>
        <v>0</v>
      </c>
      <c r="AM2">
        <f>BDH("TYGO US Equity","CAPITAL_EXPEND","1993-06-18","2026-05-02","Per=Y","Days=T","Dir=V")</f>
        <v>0</v>
      </c>
      <c r="AO2">
        <f>BDH("TYGO US Equity","CF_FREE_CASH_FLOW","1993-06-18","2026-05-02","Per=Y","Days=T","Dir=V")</f>
        <v>0</v>
      </c>
      <c r="AQ2">
        <f>BDH("TYGO US Equity","PX_LAST","1993-06-18","2026-05-02","Per=M","Days=T","Dir=V")</f>
        <v>0</v>
      </c>
      <c r="AS2">
        <f>BDH("TYGO US Equity","CUR_MKT_CAP","1993-06-18","2026-05-02","Per=M","Days=T","Dir=V")</f>
        <v>0</v>
      </c>
      <c r="AU2">
        <f>BDH("TYGO US Equity","EQY_SH_OUT","1993-06-18","2026-05-02","Per=M","Days=T","Dir=V")</f>
        <v>0</v>
      </c>
      <c r="AW2">
        <f>BDH("TYGO US Equity","PX_VOLUME","1993-06-18","2026-05-02","Per=M","Days=T","Dir=V")</f>
        <v>0</v>
      </c>
      <c r="AY2">
        <f>BDH("TYGO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BDH("TYL US Equity","BS_TOT_ASSET","1993-06-18","2026-05-02","Per=Y","Days=T","Dir=V")</f>
        <v>0</v>
      </c>
      <c r="C2">
        <f>BDH("TYL US Equity","BS_TOT_LIAB2","1993-06-18","2026-05-02","Per=Y","Days=T","Dir=V")</f>
        <v>0</v>
      </c>
      <c r="E2">
        <f>BDH("TYL US Equity","SHORT_AND_LONG_TERM_DEBT","1993-06-18","2026-05-02","Per=Y","Days=T","Dir=V")</f>
        <v>0</v>
      </c>
      <c r="G2">
        <f>BDH("TYL US Equity","BS_ST_BORROW","1993-06-18","2026-05-02","Per=Y","Days=T","Dir=V")</f>
        <v>0</v>
      </c>
      <c r="I2">
        <f>BDH("TYL US Equity","BS_LT_BORROW","1993-06-18","2026-05-02","Per=Y","Days=T","Dir=V")</f>
        <v>0</v>
      </c>
      <c r="K2">
        <f>BDH("TYL US Equity","BS_CASH_NEAR_CASH_ITEM","1993-06-18","2026-05-02","Per=Y","Days=T","Dir=V")</f>
        <v>0</v>
      </c>
      <c r="M2">
        <f>BDH("TYL US Equity","BS_CUR_ASSET_REPORT","1993-06-18","2026-05-02","Per=Y","Days=T","Dir=V")</f>
        <v>0</v>
      </c>
      <c r="O2">
        <f>BDH("TYL US Equity","BS_CUR_LIAB","1993-06-18","2026-05-02","Per=Y","Days=T","Dir=V")</f>
        <v>0</v>
      </c>
      <c r="Q2">
        <f>BDH("TYL US Equity","BS_SHAREHOLDER_EQY_ENDING_PERIOD","1993-06-18","2026-05-02","Per=Y","Days=T","Dir=V")</f>
        <v>0</v>
      </c>
      <c r="S2">
        <f>BDH("TYL US Equity","BS_ACCT_NOTE_RCV","1993-06-18","2026-05-02","Per=Y","Days=T","Dir=V")</f>
        <v>0</v>
      </c>
      <c r="U2">
        <f>BDH("TYL US Equity","BS_INVENTORIES","1993-06-18","2026-05-02","Per=Y","Days=T","Dir=V")</f>
        <v>0</v>
      </c>
      <c r="W2">
        <f>BDH("TYL US Equity","WORKING_CAPITAL","1993-06-18","2026-05-02","Per=Y","Days=T","Dir=V")</f>
        <v>0</v>
      </c>
      <c r="Y2">
        <f>BDH("TYL US Equity","SALES_REV_TURN","1993-06-18","2026-05-02","Per=Y","Days=T","Dir=V")</f>
        <v>0</v>
      </c>
      <c r="AA2">
        <f>BDH("TYL US Equity","EBIT","1993-06-18","2026-05-02","Per=Y","Days=T","Dir=V")</f>
        <v>0</v>
      </c>
      <c r="AC2">
        <f>BDH("TYL US Equity","EBITDA","1993-06-18","2026-05-02","Per=Y","Days=T","Dir=V")</f>
        <v>0</v>
      </c>
      <c r="AE2">
        <f>BDH("TYL US Equity","NET_INCOME","1993-06-18","2026-05-02","Per=Y","Days=T","Dir=V")</f>
        <v>0</v>
      </c>
      <c r="AG2">
        <f>BDH("TYL US Equity","IS_INT_EXPENSE","1993-06-18","2026-05-02","Per=Y","Days=T","Dir=V")</f>
        <v>0</v>
      </c>
      <c r="AI2">
        <f>BDH("TYL US Equity","IS_DEPR_EXP","1993-06-18","2026-05-02","Per=Y","Days=T","Dir=V")</f>
        <v>0</v>
      </c>
      <c r="AK2">
        <f>BDH("TYL US Equity","CF_CASH_FROM_OPER","1993-06-18","2026-05-02","Per=Y","Days=T","Dir=V")</f>
        <v>0</v>
      </c>
      <c r="AM2">
        <f>BDH("TYL US Equity","CAPITAL_EXPEND","1993-06-18","2026-05-02","Per=Y","Days=T","Dir=V")</f>
        <v>0</v>
      </c>
      <c r="AO2">
        <f>BDH("TYL US Equity","CF_FREE_CASH_FLOW","1993-06-18","2026-05-02","Per=Y","Days=T","Dir=V")</f>
        <v>0</v>
      </c>
      <c r="AQ2">
        <f>BDH("TYL US Equity","PX_LAST","1993-06-18","2026-05-02","Per=M","Days=T","Dir=V")</f>
        <v>0</v>
      </c>
      <c r="AS2">
        <f>BDH("TYL US Equity","CUR_MKT_CAP","1993-06-18","2026-05-02","Per=M","Days=T","Dir=V")</f>
        <v>0</v>
      </c>
      <c r="AU2">
        <f>BDH("TYL US Equity","EQY_SH_OUT","1993-06-18","2026-05-02","Per=M","Days=T","Dir=V")</f>
        <v>0</v>
      </c>
      <c r="AW2">
        <f>BDH("TYL US Equity","PX_VOLUME","1993-06-18","2026-05-02","Per=M","Days=T","Dir=V")</f>
        <v>0</v>
      </c>
      <c r="AY2">
        <f>BDH("TYL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BDH("TYRA US Equity","BS_TOT_ASSET","1993-06-18","2026-05-02","Per=Y","Days=T","Dir=V")</f>
        <v>0</v>
      </c>
      <c r="C2">
        <f>BDH("TYRA US Equity","BS_TOT_LIAB2","1993-06-18","2026-05-02","Per=Y","Days=T","Dir=V")</f>
        <v>0</v>
      </c>
      <c r="E2">
        <f>BDH("TYRA US Equity","SHORT_AND_LONG_TERM_DEBT","1993-06-18","2026-05-02","Per=Y","Days=T","Dir=V")</f>
        <v>0</v>
      </c>
      <c r="G2">
        <f>BDH("TYRA US Equity","BS_ST_BORROW","1993-06-18","2026-05-02","Per=Y","Days=T","Dir=V")</f>
        <v>0</v>
      </c>
      <c r="I2">
        <f>BDH("TYRA US Equity","BS_LT_BORROW","1993-06-18","2026-05-02","Per=Y","Days=T","Dir=V")</f>
        <v>0</v>
      </c>
      <c r="K2">
        <f>BDH("TYRA US Equity","BS_CASH_NEAR_CASH_ITEM","1993-06-18","2026-05-02","Per=Y","Days=T","Dir=V")</f>
        <v>0</v>
      </c>
      <c r="M2">
        <f>BDH("TYRA US Equity","BS_CUR_ASSET_REPORT","1993-06-18","2026-05-02","Per=Y","Days=T","Dir=V")</f>
        <v>0</v>
      </c>
      <c r="O2">
        <f>BDH("TYRA US Equity","BS_CUR_LIAB","1993-06-18","2026-05-02","Per=Y","Days=T","Dir=V")</f>
        <v>0</v>
      </c>
      <c r="Q2">
        <f>BDH("TYRA US Equity","BS_SHAREHOLDER_EQY_ENDING_PERIOD","1993-06-18","2026-05-02","Per=Y","Days=T","Dir=V")</f>
        <v>0</v>
      </c>
      <c r="S2">
        <f>BDH("TYRA US Equity","BS_ACCT_NOTE_RCV","1993-06-18","2026-05-02","Per=Y","Days=T","Dir=V")</f>
        <v>0</v>
      </c>
      <c r="U2">
        <f>BDH("TYRA US Equity","BS_INVENTORIES","1993-06-18","2026-05-02","Per=Y","Days=T","Dir=V")</f>
        <v>0</v>
      </c>
      <c r="W2">
        <f>BDH("TYRA US Equity","WORKING_CAPITAL","1993-06-18","2026-05-02","Per=Y","Days=T","Dir=V")</f>
        <v>0</v>
      </c>
      <c r="Y2">
        <f>BDH("TYRA US Equity","SALES_REV_TURN","1993-06-18","2026-05-02","Per=Y","Days=T","Dir=V")</f>
        <v>0</v>
      </c>
      <c r="AA2">
        <f>BDH("TYRA US Equity","EBIT","1993-06-18","2026-05-02","Per=Y","Days=T","Dir=V")</f>
        <v>0</v>
      </c>
      <c r="AC2">
        <f>BDH("TYRA US Equity","EBITDA","1993-06-18","2026-05-02","Per=Y","Days=T","Dir=V")</f>
        <v>0</v>
      </c>
      <c r="AE2">
        <f>BDH("TYRA US Equity","NET_INCOME","1993-06-18","2026-05-02","Per=Y","Days=T","Dir=V")</f>
        <v>0</v>
      </c>
      <c r="AG2">
        <f>BDH("TYRA US Equity","IS_INT_EXPENSE","1993-06-18","2026-05-02","Per=Y","Days=T","Dir=V")</f>
        <v>0</v>
      </c>
      <c r="AI2">
        <f>BDH("TYRA US Equity","IS_DEPR_EXP","1993-06-18","2026-05-02","Per=Y","Days=T","Dir=V")</f>
        <v>0</v>
      </c>
      <c r="AK2">
        <f>BDH("TYRA US Equity","CF_CASH_FROM_OPER","1993-06-18","2026-05-02","Per=Y","Days=T","Dir=V")</f>
        <v>0</v>
      </c>
      <c r="AM2">
        <f>BDH("TYRA US Equity","CAPITAL_EXPEND","1993-06-18","2026-05-02","Per=Y","Days=T","Dir=V")</f>
        <v>0</v>
      </c>
      <c r="AO2">
        <f>BDH("TYRA US Equity","CF_FREE_CASH_FLOW","1993-06-18","2026-05-02","Per=Y","Days=T","Dir=V")</f>
        <v>0</v>
      </c>
      <c r="AQ2">
        <f>BDH("TYRA US Equity","PX_LAST","1993-06-18","2026-05-02","Per=M","Days=T","Dir=V")</f>
        <v>0</v>
      </c>
      <c r="AS2">
        <f>BDH("TYRA US Equity","CUR_MKT_CAP","1993-06-18","2026-05-02","Per=M","Days=T","Dir=V")</f>
        <v>0</v>
      </c>
      <c r="AU2">
        <f>BDH("TYRA US Equity","EQY_SH_OUT","1993-06-18","2026-05-02","Per=M","Days=T","Dir=V")</f>
        <v>0</v>
      </c>
      <c r="AW2">
        <f>BDH("TYRA US Equity","PX_VOLUME","1993-06-18","2026-05-02","Per=M","Days=T","Dir=V")</f>
        <v>0</v>
      </c>
      <c r="AY2">
        <f>BDH("TYRA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BDH("TZOO US Equity","BS_TOT_ASSET","1993-06-18","2026-05-02","Per=Y","Days=T","Dir=V")</f>
        <v>0</v>
      </c>
      <c r="C2">
        <f>BDH("TZOO US Equity","BS_TOT_LIAB2","1993-06-18","2026-05-02","Per=Y","Days=T","Dir=V")</f>
        <v>0</v>
      </c>
      <c r="E2">
        <f>BDH("TZOO US Equity","SHORT_AND_LONG_TERM_DEBT","1993-06-18","2026-05-02","Per=Y","Days=T","Dir=V")</f>
        <v>0</v>
      </c>
      <c r="G2">
        <f>BDH("TZOO US Equity","BS_ST_BORROW","1993-06-18","2026-05-02","Per=Y","Days=T","Dir=V")</f>
        <v>0</v>
      </c>
      <c r="I2">
        <f>BDH("TZOO US Equity","BS_LT_BORROW","1993-06-18","2026-05-02","Per=Y","Days=T","Dir=V")</f>
        <v>0</v>
      </c>
      <c r="K2">
        <f>BDH("TZOO US Equity","BS_CASH_NEAR_CASH_ITEM","1993-06-18","2026-05-02","Per=Y","Days=T","Dir=V")</f>
        <v>0</v>
      </c>
      <c r="M2">
        <f>BDH("TZOO US Equity","BS_CUR_ASSET_REPORT","1993-06-18","2026-05-02","Per=Y","Days=T","Dir=V")</f>
        <v>0</v>
      </c>
      <c r="O2">
        <f>BDH("TZOO US Equity","BS_CUR_LIAB","1993-06-18","2026-05-02","Per=Y","Days=T","Dir=V")</f>
        <v>0</v>
      </c>
      <c r="Q2">
        <f>BDH("TZOO US Equity","BS_SHAREHOLDER_EQY_ENDING_PERIOD","1993-06-18","2026-05-02","Per=Y","Days=T","Dir=V")</f>
        <v>0</v>
      </c>
      <c r="S2">
        <f>BDH("TZOO US Equity","BS_ACCT_NOTE_RCV","1993-06-18","2026-05-02","Per=Y","Days=T","Dir=V")</f>
        <v>0</v>
      </c>
      <c r="U2">
        <f>BDH("TZOO US Equity","BS_INVENTORIES","1993-06-18","2026-05-02","Per=Y","Days=T","Dir=V")</f>
        <v>0</v>
      </c>
      <c r="W2">
        <f>BDH("TZOO US Equity","WORKING_CAPITAL","1993-06-18","2026-05-02","Per=Y","Days=T","Dir=V")</f>
        <v>0</v>
      </c>
      <c r="Y2">
        <f>BDH("TZOO US Equity","SALES_REV_TURN","1993-06-18","2026-05-02","Per=Y","Days=T","Dir=V")</f>
        <v>0</v>
      </c>
      <c r="AA2">
        <f>BDH("TZOO US Equity","EBIT","1993-06-18","2026-05-02","Per=Y","Days=T","Dir=V")</f>
        <v>0</v>
      </c>
      <c r="AC2">
        <f>BDH("TZOO US Equity","EBITDA","1993-06-18","2026-05-02","Per=Y","Days=T","Dir=V")</f>
        <v>0</v>
      </c>
      <c r="AE2">
        <f>BDH("TZOO US Equity","NET_INCOME","1993-06-18","2026-05-02","Per=Y","Days=T","Dir=V")</f>
        <v>0</v>
      </c>
      <c r="AG2">
        <f>BDH("TZOO US Equity","IS_INT_EXPENSE","1993-06-18","2026-05-02","Per=Y","Days=T","Dir=V")</f>
        <v>0</v>
      </c>
      <c r="AI2">
        <f>BDH("TZOO US Equity","IS_DEPR_EXP","1993-06-18","2026-05-02","Per=Y","Days=T","Dir=V")</f>
        <v>0</v>
      </c>
      <c r="AK2">
        <f>BDH("TZOO US Equity","CF_CASH_FROM_OPER","1993-06-18","2026-05-02","Per=Y","Days=T","Dir=V")</f>
        <v>0</v>
      </c>
      <c r="AM2">
        <f>BDH("TZOO US Equity","CAPITAL_EXPEND","1993-06-18","2026-05-02","Per=Y","Days=T","Dir=V")</f>
        <v>0</v>
      </c>
      <c r="AO2">
        <f>BDH("TZOO US Equity","CF_FREE_CASH_FLOW","1993-06-18","2026-05-02","Per=Y","Days=T","Dir=V")</f>
        <v>0</v>
      </c>
      <c r="AQ2">
        <f>BDH("TZOO US Equity","PX_LAST","1993-06-18","2026-05-02","Per=M","Days=T","Dir=V")</f>
        <v>0</v>
      </c>
      <c r="AS2">
        <f>BDH("TZOO US Equity","CUR_MKT_CAP","1993-06-18","2026-05-02","Per=M","Days=T","Dir=V")</f>
        <v>0</v>
      </c>
      <c r="AU2">
        <f>BDH("TZOO US Equity","EQY_SH_OUT","1993-06-18","2026-05-02","Per=M","Days=T","Dir=V")</f>
        <v>0</v>
      </c>
      <c r="AW2">
        <f>BDH("TZOO US Equity","PX_VOLUME","1993-06-18","2026-05-02","Per=M","Days=T","Dir=V")</f>
        <v>0</v>
      </c>
      <c r="AY2">
        <f>BDH("TZOO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 US Equity","BS_TOT_ASSET","1993-06-18","2026-05-02","Per=Y","Days=T","Dir=V")</f>
        <v>0</v>
      </c>
      <c r="C2">
        <f>BDH("U US Equity","BS_TOT_LIAB2","1993-06-18","2026-05-02","Per=Y","Days=T","Dir=V")</f>
        <v>0</v>
      </c>
      <c r="E2">
        <f>BDH("U US Equity","SHORT_AND_LONG_TERM_DEBT","1993-06-18","2026-05-02","Per=Y","Days=T","Dir=V")</f>
        <v>0</v>
      </c>
      <c r="G2">
        <f>BDH("U US Equity","BS_ST_BORROW","1993-06-18","2026-05-02","Per=Y","Days=T","Dir=V")</f>
        <v>0</v>
      </c>
      <c r="I2">
        <f>BDH("U US Equity","BS_LT_BORROW","1993-06-18","2026-05-02","Per=Y","Days=T","Dir=V")</f>
        <v>0</v>
      </c>
      <c r="K2">
        <f>BDH("U US Equity","BS_CASH_NEAR_CASH_ITEM","1993-06-18","2026-05-02","Per=Y","Days=T","Dir=V")</f>
        <v>0</v>
      </c>
      <c r="M2">
        <f>BDH("U US Equity","BS_CUR_ASSET_REPORT","1993-06-18","2026-05-02","Per=Y","Days=T","Dir=V")</f>
        <v>0</v>
      </c>
      <c r="O2">
        <f>BDH("U US Equity","BS_CUR_LIAB","1993-06-18","2026-05-02","Per=Y","Days=T","Dir=V")</f>
        <v>0</v>
      </c>
      <c r="Q2">
        <f>BDH("U US Equity","BS_SHAREHOLDER_EQY_ENDING_PERIOD","1993-06-18","2026-05-02","Per=Y","Days=T","Dir=V")</f>
        <v>0</v>
      </c>
      <c r="S2">
        <f>BDH("U US Equity","BS_ACCT_NOTE_RCV","1993-06-18","2026-05-02","Per=Y","Days=T","Dir=V")</f>
        <v>0</v>
      </c>
      <c r="U2">
        <f>BDH("U US Equity","BS_INVENTORIES","1993-06-18","2026-05-02","Per=Y","Days=T","Dir=V")</f>
        <v>0</v>
      </c>
      <c r="W2">
        <f>BDH("U US Equity","WORKING_CAPITAL","1993-06-18","2026-05-02","Per=Y","Days=T","Dir=V")</f>
        <v>0</v>
      </c>
      <c r="Y2">
        <f>BDH("U US Equity","SALES_REV_TURN","1993-06-18","2026-05-02","Per=Y","Days=T","Dir=V")</f>
        <v>0</v>
      </c>
      <c r="AA2">
        <f>BDH("U US Equity","EBIT","1993-06-18","2026-05-02","Per=Y","Days=T","Dir=V")</f>
        <v>0</v>
      </c>
      <c r="AC2">
        <f>BDH("U US Equity","EBITDA","1993-06-18","2026-05-02","Per=Y","Days=T","Dir=V")</f>
        <v>0</v>
      </c>
      <c r="AE2">
        <f>BDH("U US Equity","NET_INCOME","1993-06-18","2026-05-02","Per=Y","Days=T","Dir=V")</f>
        <v>0</v>
      </c>
      <c r="AG2">
        <f>BDH("U US Equity","IS_INT_EXPENSE","1993-06-18","2026-05-02","Per=Y","Days=T","Dir=V")</f>
        <v>0</v>
      </c>
      <c r="AI2">
        <f>BDH("U US Equity","IS_DEPR_EXP","1993-06-18","2026-05-02","Per=Y","Days=T","Dir=V")</f>
        <v>0</v>
      </c>
      <c r="AK2">
        <f>BDH("U US Equity","CF_CASH_FROM_OPER","1993-06-18","2026-05-02","Per=Y","Days=T","Dir=V")</f>
        <v>0</v>
      </c>
      <c r="AM2">
        <f>BDH("U US Equity","CAPITAL_EXPEND","1993-06-18","2026-05-02","Per=Y","Days=T","Dir=V")</f>
        <v>0</v>
      </c>
      <c r="AO2">
        <f>BDH("U US Equity","CF_FREE_CASH_FLOW","1993-06-18","2026-05-02","Per=Y","Days=T","Dir=V")</f>
        <v>0</v>
      </c>
      <c r="AQ2">
        <f>BDH("U US Equity","PX_LAST","1993-06-18","2026-05-02","Per=M","Days=T","Dir=V")</f>
        <v>0</v>
      </c>
      <c r="AS2">
        <f>BDH("U US Equity","CUR_MKT_CAP","1993-06-18","2026-05-02","Per=M","Days=T","Dir=V")</f>
        <v>0</v>
      </c>
      <c r="AU2">
        <f>BDH("U US Equity","EQY_SH_OUT","1993-06-18","2026-05-02","Per=M","Days=T","Dir=V")</f>
        <v>0</v>
      </c>
      <c r="AW2">
        <f>BDH("U US Equity","PX_VOLUME","1993-06-18","2026-05-02","Per=M","Days=T","Dir=V")</f>
        <v>0</v>
      </c>
      <c r="AY2">
        <f>BDH("U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BDH("UA US Equity","BS_TOT_ASSET","1993-06-18","2026-05-02","Per=Y","Days=T","Dir=V")</f>
        <v>0</v>
      </c>
      <c r="C2">
        <f>BDH("UA US Equity","BS_TOT_LIAB2","1993-06-18","2026-05-02","Per=Y","Days=T","Dir=V")</f>
        <v>0</v>
      </c>
      <c r="E2">
        <f>BDH("UA US Equity","SHORT_AND_LONG_TERM_DEBT","1993-06-18","2026-05-02","Per=Y","Days=T","Dir=V")</f>
        <v>0</v>
      </c>
      <c r="G2">
        <f>BDH("UA US Equity","BS_ST_BORROW","1993-06-18","2026-05-02","Per=Y","Days=T","Dir=V")</f>
        <v>0</v>
      </c>
      <c r="I2">
        <f>BDH("UA US Equity","BS_LT_BORROW","1993-06-18","2026-05-02","Per=Y","Days=T","Dir=V")</f>
        <v>0</v>
      </c>
      <c r="K2">
        <f>BDH("UA US Equity","BS_CASH_NEAR_CASH_ITEM","1993-06-18","2026-05-02","Per=Y","Days=T","Dir=V")</f>
        <v>0</v>
      </c>
      <c r="M2">
        <f>BDH("UA US Equity","BS_CUR_ASSET_REPORT","1993-06-18","2026-05-02","Per=Y","Days=T","Dir=V")</f>
        <v>0</v>
      </c>
      <c r="O2">
        <f>BDH("UA US Equity","BS_CUR_LIAB","1993-06-18","2026-05-02","Per=Y","Days=T","Dir=V")</f>
        <v>0</v>
      </c>
      <c r="Q2">
        <f>BDH("UA US Equity","BS_SHAREHOLDER_EQY_ENDING_PERIOD","1993-06-18","2026-05-02","Per=Y","Days=T","Dir=V")</f>
        <v>0</v>
      </c>
      <c r="S2">
        <f>BDH("UA US Equity","BS_ACCT_NOTE_RCV","1993-06-18","2026-05-02","Per=Y","Days=T","Dir=V")</f>
        <v>0</v>
      </c>
      <c r="U2">
        <f>BDH("UA US Equity","BS_INVENTORIES","1993-06-18","2026-05-02","Per=Y","Days=T","Dir=V")</f>
        <v>0</v>
      </c>
      <c r="W2">
        <f>BDH("UA US Equity","WORKING_CAPITAL","1993-06-18","2026-05-02","Per=Y","Days=T","Dir=V")</f>
        <v>0</v>
      </c>
      <c r="Y2">
        <f>BDH("UA US Equity","SALES_REV_TURN","1993-06-18","2026-05-02","Per=Y","Days=T","Dir=V")</f>
        <v>0</v>
      </c>
      <c r="AA2">
        <f>BDH("UA US Equity","EBIT","1993-06-18","2026-05-02","Per=Y","Days=T","Dir=V")</f>
        <v>0</v>
      </c>
      <c r="AC2">
        <f>BDH("UA US Equity","EBITDA","1993-06-18","2026-05-02","Per=Y","Days=T","Dir=V")</f>
        <v>0</v>
      </c>
      <c r="AE2">
        <f>BDH("UA US Equity","NET_INCOME","1993-06-18","2026-05-02","Per=Y","Days=T","Dir=V")</f>
        <v>0</v>
      </c>
      <c r="AG2">
        <f>BDH("UA US Equity","IS_INT_EXPENSE","1993-06-18","2026-05-02","Per=Y","Days=T","Dir=V")</f>
        <v>0</v>
      </c>
      <c r="AI2">
        <f>BDH("UA US Equity","IS_DEPR_EXP","1993-06-18","2026-05-02","Per=Y","Days=T","Dir=V")</f>
        <v>0</v>
      </c>
      <c r="AK2">
        <f>BDH("UA US Equity","CF_CASH_FROM_OPER","1993-06-18","2026-05-02","Per=Y","Days=T","Dir=V")</f>
        <v>0</v>
      </c>
      <c r="AM2">
        <f>BDH("UA US Equity","CAPITAL_EXPEND","1993-06-18","2026-05-02","Per=Y","Days=T","Dir=V")</f>
        <v>0</v>
      </c>
      <c r="AO2">
        <f>BDH("UA US Equity","CF_FREE_CASH_FLOW","1993-06-18","2026-05-02","Per=Y","Days=T","Dir=V")</f>
        <v>0</v>
      </c>
      <c r="AQ2">
        <f>BDH("UA US Equity","PX_LAST","1993-06-18","2026-05-02","Per=M","Days=T","Dir=V")</f>
        <v>0</v>
      </c>
      <c r="AS2">
        <f>BDH("UA US Equity","CUR_MKT_CAP","1993-06-18","2026-05-02","Per=M","Days=T","Dir=V")</f>
        <v>0</v>
      </c>
      <c r="AU2">
        <f>BDH("UA US Equity","EQY_SH_OUT","1993-06-18","2026-05-02","Per=M","Days=T","Dir=V")</f>
        <v>0</v>
      </c>
      <c r="AW2">
        <f>BDH("UA US Equity","PX_VOLUME","1993-06-18","2026-05-02","Per=M","Days=T","Dir=V")</f>
        <v>0</v>
      </c>
      <c r="AY2">
        <f>BDH("UA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BDH("UAA US Equity","BS_TOT_ASSET","1993-06-18","2026-05-02","Per=Y","Days=T","Dir=V")</f>
        <v>0</v>
      </c>
      <c r="C2">
        <f>BDH("UAA US Equity","BS_TOT_LIAB2","1993-06-18","2026-05-02","Per=Y","Days=T","Dir=V")</f>
        <v>0</v>
      </c>
      <c r="E2">
        <f>BDH("UAA US Equity","SHORT_AND_LONG_TERM_DEBT","1993-06-18","2026-05-02","Per=Y","Days=T","Dir=V")</f>
        <v>0</v>
      </c>
      <c r="G2">
        <f>BDH("UAA US Equity","BS_ST_BORROW","1993-06-18","2026-05-02","Per=Y","Days=T","Dir=V")</f>
        <v>0</v>
      </c>
      <c r="I2">
        <f>BDH("UAA US Equity","BS_LT_BORROW","1993-06-18","2026-05-02","Per=Y","Days=T","Dir=V")</f>
        <v>0</v>
      </c>
      <c r="K2">
        <f>BDH("UAA US Equity","BS_CASH_NEAR_CASH_ITEM","1993-06-18","2026-05-02","Per=Y","Days=T","Dir=V")</f>
        <v>0</v>
      </c>
      <c r="M2">
        <f>BDH("UAA US Equity","BS_CUR_ASSET_REPORT","1993-06-18","2026-05-02","Per=Y","Days=T","Dir=V")</f>
        <v>0</v>
      </c>
      <c r="O2">
        <f>BDH("UAA US Equity","BS_CUR_LIAB","1993-06-18","2026-05-02","Per=Y","Days=T","Dir=V")</f>
        <v>0</v>
      </c>
      <c r="Q2">
        <f>BDH("UAA US Equity","BS_SHAREHOLDER_EQY_ENDING_PERIOD","1993-06-18","2026-05-02","Per=Y","Days=T","Dir=V")</f>
        <v>0</v>
      </c>
      <c r="S2">
        <f>BDH("UAA US Equity","BS_ACCT_NOTE_RCV","1993-06-18","2026-05-02","Per=Y","Days=T","Dir=V")</f>
        <v>0</v>
      </c>
      <c r="U2">
        <f>BDH("UAA US Equity","BS_INVENTORIES","1993-06-18","2026-05-02","Per=Y","Days=T","Dir=V")</f>
        <v>0</v>
      </c>
      <c r="W2">
        <f>BDH("UAA US Equity","WORKING_CAPITAL","1993-06-18","2026-05-02","Per=Y","Days=T","Dir=V")</f>
        <v>0</v>
      </c>
      <c r="Y2">
        <f>BDH("UAA US Equity","SALES_REV_TURN","1993-06-18","2026-05-02","Per=Y","Days=T","Dir=V")</f>
        <v>0</v>
      </c>
      <c r="AA2">
        <f>BDH("UAA US Equity","EBIT","1993-06-18","2026-05-02","Per=Y","Days=T","Dir=V")</f>
        <v>0</v>
      </c>
      <c r="AC2">
        <f>BDH("UAA US Equity","EBITDA","1993-06-18","2026-05-02","Per=Y","Days=T","Dir=V")</f>
        <v>0</v>
      </c>
      <c r="AE2">
        <f>BDH("UAA US Equity","NET_INCOME","1993-06-18","2026-05-02","Per=Y","Days=T","Dir=V")</f>
        <v>0</v>
      </c>
      <c r="AG2">
        <f>BDH("UAA US Equity","IS_INT_EXPENSE","1993-06-18","2026-05-02","Per=Y","Days=T","Dir=V")</f>
        <v>0</v>
      </c>
      <c r="AI2">
        <f>BDH("UAA US Equity","IS_DEPR_EXP","1993-06-18","2026-05-02","Per=Y","Days=T","Dir=V")</f>
        <v>0</v>
      </c>
      <c r="AK2">
        <f>BDH("UAA US Equity","CF_CASH_FROM_OPER","1993-06-18","2026-05-02","Per=Y","Days=T","Dir=V")</f>
        <v>0</v>
      </c>
      <c r="AM2">
        <f>BDH("UAA US Equity","CAPITAL_EXPEND","1993-06-18","2026-05-02","Per=Y","Days=T","Dir=V")</f>
        <v>0</v>
      </c>
      <c r="AO2">
        <f>BDH("UAA US Equity","CF_FREE_CASH_FLOW","1993-06-18","2026-05-02","Per=Y","Days=T","Dir=V")</f>
        <v>0</v>
      </c>
      <c r="AQ2">
        <f>BDH("UAA US Equity","PX_LAST","1993-06-18","2026-05-02","Per=M","Days=T","Dir=V")</f>
        <v>0</v>
      </c>
      <c r="AS2">
        <f>BDH("UAA US Equity","CUR_MKT_CAP","1993-06-18","2026-05-02","Per=M","Days=T","Dir=V")</f>
        <v>0</v>
      </c>
      <c r="AU2">
        <f>BDH("UAA US Equity","EQY_SH_OUT","1993-06-18","2026-05-02","Per=M","Days=T","Dir=V")</f>
        <v>0</v>
      </c>
      <c r="AW2">
        <f>BDH("UAA US Equity","PX_VOLUME","1993-06-18","2026-05-02","Per=M","Days=T","Dir=V")</f>
        <v>0</v>
      </c>
      <c r="AY2">
        <f>BDH("UAA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BDH("UAL US Equity","BS_TOT_ASSET","1993-06-18","2026-05-02","Per=Y","Days=T","Dir=V")</f>
        <v>0</v>
      </c>
      <c r="C2">
        <f>BDH("UAL US Equity","BS_TOT_LIAB2","1993-06-18","2026-05-02","Per=Y","Days=T","Dir=V")</f>
        <v>0</v>
      </c>
      <c r="E2">
        <f>BDH("UAL US Equity","SHORT_AND_LONG_TERM_DEBT","1993-06-18","2026-05-02","Per=Y","Days=T","Dir=V")</f>
        <v>0</v>
      </c>
      <c r="G2">
        <f>BDH("UAL US Equity","BS_ST_BORROW","1993-06-18","2026-05-02","Per=Y","Days=T","Dir=V")</f>
        <v>0</v>
      </c>
      <c r="I2">
        <f>BDH("UAL US Equity","BS_LT_BORROW","1993-06-18","2026-05-02","Per=Y","Days=T","Dir=V")</f>
        <v>0</v>
      </c>
      <c r="K2">
        <f>BDH("UAL US Equity","BS_CASH_NEAR_CASH_ITEM","1993-06-18","2026-05-02","Per=Y","Days=T","Dir=V")</f>
        <v>0</v>
      </c>
      <c r="M2">
        <f>BDH("UAL US Equity","BS_CUR_ASSET_REPORT","1993-06-18","2026-05-02","Per=Y","Days=T","Dir=V")</f>
        <v>0</v>
      </c>
      <c r="O2">
        <f>BDH("UAL US Equity","BS_CUR_LIAB","1993-06-18","2026-05-02","Per=Y","Days=T","Dir=V")</f>
        <v>0</v>
      </c>
      <c r="Q2">
        <f>BDH("UAL US Equity","BS_SHAREHOLDER_EQY_ENDING_PERIOD","1993-06-18","2026-05-02","Per=Y","Days=T","Dir=V")</f>
        <v>0</v>
      </c>
      <c r="S2">
        <f>BDH("UAL US Equity","BS_ACCT_NOTE_RCV","1993-06-18","2026-05-02","Per=Y","Days=T","Dir=V")</f>
        <v>0</v>
      </c>
      <c r="U2">
        <f>BDH("UAL US Equity","BS_INVENTORIES","1993-06-18","2026-05-02","Per=Y","Days=T","Dir=V")</f>
        <v>0</v>
      </c>
      <c r="W2">
        <f>BDH("UAL US Equity","WORKING_CAPITAL","1993-06-18","2026-05-02","Per=Y","Days=T","Dir=V")</f>
        <v>0</v>
      </c>
      <c r="Y2">
        <f>BDH("UAL US Equity","SALES_REV_TURN","1993-06-18","2026-05-02","Per=Y","Days=T","Dir=V")</f>
        <v>0</v>
      </c>
      <c r="AA2">
        <f>BDH("UAL US Equity","EBIT","1993-06-18","2026-05-02","Per=Y","Days=T","Dir=V")</f>
        <v>0</v>
      </c>
      <c r="AC2">
        <f>BDH("UAL US Equity","EBITDA","1993-06-18","2026-05-02","Per=Y","Days=T","Dir=V")</f>
        <v>0</v>
      </c>
      <c r="AE2">
        <f>BDH("UAL US Equity","NET_INCOME","1993-06-18","2026-05-02","Per=Y","Days=T","Dir=V")</f>
        <v>0</v>
      </c>
      <c r="AG2">
        <f>BDH("UAL US Equity","IS_INT_EXPENSE","1993-06-18","2026-05-02","Per=Y","Days=T","Dir=V")</f>
        <v>0</v>
      </c>
      <c r="AI2">
        <f>BDH("UAL US Equity","IS_DEPR_EXP","1993-06-18","2026-05-02","Per=Y","Days=T","Dir=V")</f>
        <v>0</v>
      </c>
      <c r="AK2">
        <f>BDH("UAL US Equity","CF_CASH_FROM_OPER","1993-06-18","2026-05-02","Per=Y","Days=T","Dir=V")</f>
        <v>0</v>
      </c>
      <c r="AM2">
        <f>BDH("UAL US Equity","CAPITAL_EXPEND","1993-06-18","2026-05-02","Per=Y","Days=T","Dir=V")</f>
        <v>0</v>
      </c>
      <c r="AO2">
        <f>BDH("UAL US Equity","CF_FREE_CASH_FLOW","1993-06-18","2026-05-02","Per=Y","Days=T","Dir=V")</f>
        <v>0</v>
      </c>
      <c r="AQ2">
        <f>BDH("UAL US Equity","PX_LAST","1993-06-18","2026-05-02","Per=M","Days=T","Dir=V")</f>
        <v>0</v>
      </c>
      <c r="AS2">
        <f>BDH("UAL US Equity","CUR_MKT_CAP","1993-06-18","2026-05-02","Per=M","Days=T","Dir=V")</f>
        <v>0</v>
      </c>
      <c r="AU2">
        <f>BDH("UAL US Equity","EQY_SH_OUT","1993-06-18","2026-05-02","Per=M","Days=T","Dir=V")</f>
        <v>0</v>
      </c>
      <c r="AW2">
        <f>BDH("UAL US Equity","PX_VOLUME","1993-06-18","2026-05-02","Per=M","Days=T","Dir=V")</f>
        <v>0</v>
      </c>
      <c r="AY2">
        <f>BDH("UAL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BDH("UAMY US Equity","BS_TOT_ASSET","1993-06-18","2026-05-02","Per=Y","Days=T","Dir=V")</f>
        <v>0</v>
      </c>
      <c r="C2">
        <f>BDH("UAMY US Equity","BS_TOT_LIAB2","1993-06-18","2026-05-02","Per=Y","Days=T","Dir=V")</f>
        <v>0</v>
      </c>
      <c r="E2">
        <f>BDH("UAMY US Equity","SHORT_AND_LONG_TERM_DEBT","1993-06-18","2026-05-02","Per=Y","Days=T","Dir=V")</f>
        <v>0</v>
      </c>
      <c r="G2">
        <f>BDH("UAMY US Equity","BS_ST_BORROW","1993-06-18","2026-05-02","Per=Y","Days=T","Dir=V")</f>
        <v>0</v>
      </c>
      <c r="I2">
        <f>BDH("UAMY US Equity","BS_LT_BORROW","1993-06-18","2026-05-02","Per=Y","Days=T","Dir=V")</f>
        <v>0</v>
      </c>
      <c r="K2">
        <f>BDH("UAMY US Equity","BS_CASH_NEAR_CASH_ITEM","1993-06-18","2026-05-02","Per=Y","Days=T","Dir=V")</f>
        <v>0</v>
      </c>
      <c r="M2">
        <f>BDH("UAMY US Equity","BS_CUR_ASSET_REPORT","1993-06-18","2026-05-02","Per=Y","Days=T","Dir=V")</f>
        <v>0</v>
      </c>
      <c r="O2">
        <f>BDH("UAMY US Equity","BS_CUR_LIAB","1993-06-18","2026-05-02","Per=Y","Days=T","Dir=V")</f>
        <v>0</v>
      </c>
      <c r="Q2">
        <f>BDH("UAMY US Equity","BS_SHAREHOLDER_EQY_ENDING_PERIOD","1993-06-18","2026-05-02","Per=Y","Days=T","Dir=V")</f>
        <v>0</v>
      </c>
      <c r="S2">
        <f>BDH("UAMY US Equity","BS_ACCT_NOTE_RCV","1993-06-18","2026-05-02","Per=Y","Days=T","Dir=V")</f>
        <v>0</v>
      </c>
      <c r="U2">
        <f>BDH("UAMY US Equity","BS_INVENTORIES","1993-06-18","2026-05-02","Per=Y","Days=T","Dir=V")</f>
        <v>0</v>
      </c>
      <c r="W2">
        <f>BDH("UAMY US Equity","WORKING_CAPITAL","1993-06-18","2026-05-02","Per=Y","Days=T","Dir=V")</f>
        <v>0</v>
      </c>
      <c r="Y2">
        <f>BDH("UAMY US Equity","SALES_REV_TURN","1993-06-18","2026-05-02","Per=Y","Days=T","Dir=V")</f>
        <v>0</v>
      </c>
      <c r="AA2">
        <f>BDH("UAMY US Equity","EBIT","1993-06-18","2026-05-02","Per=Y","Days=T","Dir=V")</f>
        <v>0</v>
      </c>
      <c r="AC2">
        <f>BDH("UAMY US Equity","EBITDA","1993-06-18","2026-05-02","Per=Y","Days=T","Dir=V")</f>
        <v>0</v>
      </c>
      <c r="AE2">
        <f>BDH("UAMY US Equity","NET_INCOME","1993-06-18","2026-05-02","Per=Y","Days=T","Dir=V")</f>
        <v>0</v>
      </c>
      <c r="AG2">
        <f>BDH("UAMY US Equity","IS_INT_EXPENSE","1993-06-18","2026-05-02","Per=Y","Days=T","Dir=V")</f>
        <v>0</v>
      </c>
      <c r="AI2">
        <f>BDH("UAMY US Equity","IS_DEPR_EXP","1993-06-18","2026-05-02","Per=Y","Days=T","Dir=V")</f>
        <v>0</v>
      </c>
      <c r="AK2">
        <f>BDH("UAMY US Equity","CF_CASH_FROM_OPER","1993-06-18","2026-05-02","Per=Y","Days=T","Dir=V")</f>
        <v>0</v>
      </c>
      <c r="AM2">
        <f>BDH("UAMY US Equity","CAPITAL_EXPEND","1993-06-18","2026-05-02","Per=Y","Days=T","Dir=V")</f>
        <v>0</v>
      </c>
      <c r="AO2">
        <f>BDH("UAMY US Equity","CF_FREE_CASH_FLOW","1993-06-18","2026-05-02","Per=Y","Days=T","Dir=V")</f>
        <v>0</v>
      </c>
      <c r="AQ2">
        <f>BDH("UAMY US Equity","PX_LAST","1993-06-18","2026-05-02","Per=M","Days=T","Dir=V")</f>
        <v>0</v>
      </c>
      <c r="AS2">
        <f>BDH("UAMY US Equity","CUR_MKT_CAP","1993-06-18","2026-05-02","Per=M","Days=T","Dir=V")</f>
        <v>0</v>
      </c>
      <c r="AU2">
        <f>BDH("UAMY US Equity","EQY_SH_OUT","1993-06-18","2026-05-02","Per=M","Days=T","Dir=V")</f>
        <v>0</v>
      </c>
      <c r="AW2">
        <f>BDH("UAMY US Equity","PX_VOLUME","1993-06-18","2026-05-02","Per=M","Days=T","Dir=V")</f>
        <v>0</v>
      </c>
      <c r="AY2">
        <f>BDH("UAMY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BDH("UAN US Equity","BS_TOT_ASSET","1993-06-18","2026-05-02","Per=Y","Days=T","Dir=V")</f>
        <v>0</v>
      </c>
      <c r="C2">
        <f>BDH("UAN US Equity","BS_TOT_LIAB2","1993-06-18","2026-05-02","Per=Y","Days=T","Dir=V")</f>
        <v>0</v>
      </c>
      <c r="E2">
        <f>BDH("UAN US Equity","SHORT_AND_LONG_TERM_DEBT","1993-06-18","2026-05-02","Per=Y","Days=T","Dir=V")</f>
        <v>0</v>
      </c>
      <c r="G2">
        <f>BDH("UAN US Equity","BS_ST_BORROW","1993-06-18","2026-05-02","Per=Y","Days=T","Dir=V")</f>
        <v>0</v>
      </c>
      <c r="I2">
        <f>BDH("UAN US Equity","BS_LT_BORROW","1993-06-18","2026-05-02","Per=Y","Days=T","Dir=V")</f>
        <v>0</v>
      </c>
      <c r="K2">
        <f>BDH("UAN US Equity","BS_CASH_NEAR_CASH_ITEM","1993-06-18","2026-05-02","Per=Y","Days=T","Dir=V")</f>
        <v>0</v>
      </c>
      <c r="M2">
        <f>BDH("UAN US Equity","BS_CUR_ASSET_REPORT","1993-06-18","2026-05-02","Per=Y","Days=T","Dir=V")</f>
        <v>0</v>
      </c>
      <c r="O2">
        <f>BDH("UAN US Equity","BS_CUR_LIAB","1993-06-18","2026-05-02","Per=Y","Days=T","Dir=V")</f>
        <v>0</v>
      </c>
      <c r="Q2">
        <f>BDH("UAN US Equity","BS_SHAREHOLDER_EQY_ENDING_PERIOD","1993-06-18","2026-05-02","Per=Y","Days=T","Dir=V")</f>
        <v>0</v>
      </c>
      <c r="S2">
        <f>BDH("UAN US Equity","BS_ACCT_NOTE_RCV","1993-06-18","2026-05-02","Per=Y","Days=T","Dir=V")</f>
        <v>0</v>
      </c>
      <c r="U2">
        <f>BDH("UAN US Equity","BS_INVENTORIES","1993-06-18","2026-05-02","Per=Y","Days=T","Dir=V")</f>
        <v>0</v>
      </c>
      <c r="W2">
        <f>BDH("UAN US Equity","WORKING_CAPITAL","1993-06-18","2026-05-02","Per=Y","Days=T","Dir=V")</f>
        <v>0</v>
      </c>
      <c r="Y2">
        <f>BDH("UAN US Equity","SALES_REV_TURN","1993-06-18","2026-05-02","Per=Y","Days=T","Dir=V")</f>
        <v>0</v>
      </c>
      <c r="AA2">
        <f>BDH("UAN US Equity","EBIT","1993-06-18","2026-05-02","Per=Y","Days=T","Dir=V")</f>
        <v>0</v>
      </c>
      <c r="AC2">
        <f>BDH("UAN US Equity","EBITDA","1993-06-18","2026-05-02","Per=Y","Days=T","Dir=V")</f>
        <v>0</v>
      </c>
      <c r="AE2">
        <f>BDH("UAN US Equity","NET_INCOME","1993-06-18","2026-05-02","Per=Y","Days=T","Dir=V")</f>
        <v>0</v>
      </c>
      <c r="AG2">
        <f>BDH("UAN US Equity","IS_INT_EXPENSE","1993-06-18","2026-05-02","Per=Y","Days=T","Dir=V")</f>
        <v>0</v>
      </c>
      <c r="AI2">
        <f>BDH("UAN US Equity","IS_DEPR_EXP","1993-06-18","2026-05-02","Per=Y","Days=T","Dir=V")</f>
        <v>0</v>
      </c>
      <c r="AK2">
        <f>BDH("UAN US Equity","CF_CASH_FROM_OPER","1993-06-18","2026-05-02","Per=Y","Days=T","Dir=V")</f>
        <v>0</v>
      </c>
      <c r="AM2">
        <f>BDH("UAN US Equity","CAPITAL_EXPEND","1993-06-18","2026-05-02","Per=Y","Days=T","Dir=V")</f>
        <v>0</v>
      </c>
      <c r="AO2">
        <f>BDH("UAN US Equity","CF_FREE_CASH_FLOW","1993-06-18","2026-05-02","Per=Y","Days=T","Dir=V")</f>
        <v>0</v>
      </c>
      <c r="AQ2">
        <f>BDH("UAN US Equity","PX_LAST","1993-06-18","2026-05-02","Per=M","Days=T","Dir=V")</f>
        <v>0</v>
      </c>
      <c r="AS2">
        <f>BDH("UAN US Equity","CUR_MKT_CAP","1993-06-18","2026-05-02","Per=M","Days=T","Dir=V")</f>
        <v>0</v>
      </c>
      <c r="AU2">
        <f>BDH("UAN US Equity","EQY_SH_OUT","1993-06-18","2026-05-02","Per=M","Days=T","Dir=V")</f>
        <v>0</v>
      </c>
      <c r="AW2">
        <f>BDH("UAN US Equity","PX_VOLUME","1993-06-18","2026-05-02","Per=M","Days=T","Dir=V")</f>
        <v>0</v>
      </c>
      <c r="AY2">
        <f>BDH("UAN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BDH("UAVS US Equity","BS_TOT_ASSET","1993-06-18","2026-05-02","Per=Y","Days=T","Dir=V")</f>
        <v>0</v>
      </c>
      <c r="C2">
        <f>BDH("UAVS US Equity","BS_TOT_LIAB2","1993-06-18","2026-05-02","Per=Y","Days=T","Dir=V")</f>
        <v>0</v>
      </c>
      <c r="E2">
        <f>BDH("UAVS US Equity","SHORT_AND_LONG_TERM_DEBT","1993-06-18","2026-05-02","Per=Y","Days=T","Dir=V")</f>
        <v>0</v>
      </c>
      <c r="G2">
        <f>BDH("UAVS US Equity","BS_ST_BORROW","1993-06-18","2026-05-02","Per=Y","Days=T","Dir=V")</f>
        <v>0</v>
      </c>
      <c r="I2">
        <f>BDH("UAVS US Equity","BS_LT_BORROW","1993-06-18","2026-05-02","Per=Y","Days=T","Dir=V")</f>
        <v>0</v>
      </c>
      <c r="K2">
        <f>BDH("UAVS US Equity","BS_CASH_NEAR_CASH_ITEM","1993-06-18","2026-05-02","Per=Y","Days=T","Dir=V")</f>
        <v>0</v>
      </c>
      <c r="M2">
        <f>BDH("UAVS US Equity","BS_CUR_ASSET_REPORT","1993-06-18","2026-05-02","Per=Y","Days=T","Dir=V")</f>
        <v>0</v>
      </c>
      <c r="O2">
        <f>BDH("UAVS US Equity","BS_CUR_LIAB","1993-06-18","2026-05-02","Per=Y","Days=T","Dir=V")</f>
        <v>0</v>
      </c>
      <c r="Q2">
        <f>BDH("UAVS US Equity","BS_SHAREHOLDER_EQY_ENDING_PERIOD","1993-06-18","2026-05-02","Per=Y","Days=T","Dir=V")</f>
        <v>0</v>
      </c>
      <c r="S2">
        <f>BDH("UAVS US Equity","BS_ACCT_NOTE_RCV","1993-06-18","2026-05-02","Per=Y","Days=T","Dir=V")</f>
        <v>0</v>
      </c>
      <c r="U2">
        <f>BDH("UAVS US Equity","BS_INVENTORIES","1993-06-18","2026-05-02","Per=Y","Days=T","Dir=V")</f>
        <v>0</v>
      </c>
      <c r="W2">
        <f>BDH("UAVS US Equity","WORKING_CAPITAL","1993-06-18","2026-05-02","Per=Y","Days=T","Dir=V")</f>
        <v>0</v>
      </c>
      <c r="Y2">
        <f>BDH("UAVS US Equity","SALES_REV_TURN","1993-06-18","2026-05-02","Per=Y","Days=T","Dir=V")</f>
        <v>0</v>
      </c>
      <c r="AA2">
        <f>BDH("UAVS US Equity","EBIT","1993-06-18","2026-05-02","Per=Y","Days=T","Dir=V")</f>
        <v>0</v>
      </c>
      <c r="AC2">
        <f>BDH("UAVS US Equity","EBITDA","1993-06-18","2026-05-02","Per=Y","Days=T","Dir=V")</f>
        <v>0</v>
      </c>
      <c r="AE2">
        <f>BDH("UAVS US Equity","NET_INCOME","1993-06-18","2026-05-02","Per=Y","Days=T","Dir=V")</f>
        <v>0</v>
      </c>
      <c r="AG2">
        <f>BDH("UAVS US Equity","IS_INT_EXPENSE","1993-06-18","2026-05-02","Per=Y","Days=T","Dir=V")</f>
        <v>0</v>
      </c>
      <c r="AI2">
        <f>BDH("UAVS US Equity","IS_DEPR_EXP","1993-06-18","2026-05-02","Per=Y","Days=T","Dir=V")</f>
        <v>0</v>
      </c>
      <c r="AK2">
        <f>BDH("UAVS US Equity","CF_CASH_FROM_OPER","1993-06-18","2026-05-02","Per=Y","Days=T","Dir=V")</f>
        <v>0</v>
      </c>
      <c r="AM2">
        <f>BDH("UAVS US Equity","CAPITAL_EXPEND","1993-06-18","2026-05-02","Per=Y","Days=T","Dir=V")</f>
        <v>0</v>
      </c>
      <c r="AO2">
        <f>BDH("UAVS US Equity","CF_FREE_CASH_FLOW","1993-06-18","2026-05-02","Per=Y","Days=T","Dir=V")</f>
        <v>0</v>
      </c>
      <c r="AQ2">
        <f>BDH("UAVS US Equity","PX_LAST","1993-06-18","2026-05-02","Per=M","Days=T","Dir=V")</f>
        <v>0</v>
      </c>
      <c r="AS2">
        <f>BDH("UAVS US Equity","CUR_MKT_CAP","1993-06-18","2026-05-02","Per=M","Days=T","Dir=V")</f>
        <v>0</v>
      </c>
      <c r="AU2">
        <f>BDH("UAVS US Equity","EQY_SH_OUT","1993-06-18","2026-05-02","Per=M","Days=T","Dir=V")</f>
        <v>0</v>
      </c>
      <c r="AW2">
        <f>BDH("UAVS US Equity","PX_VOLUME","1993-06-18","2026-05-02","Per=M","Days=T","Dir=V")</f>
        <v>0</v>
      </c>
      <c r="AY2">
        <f>BDH("UAVS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BDH("UBER US Equity","BS_TOT_ASSET","1993-06-18","2026-05-02","Per=Y","Days=T","Dir=V")</f>
        <v>0</v>
      </c>
      <c r="C2">
        <f>BDH("UBER US Equity","BS_TOT_LIAB2","1993-06-18","2026-05-02","Per=Y","Days=T","Dir=V")</f>
        <v>0</v>
      </c>
      <c r="E2">
        <f>BDH("UBER US Equity","SHORT_AND_LONG_TERM_DEBT","1993-06-18","2026-05-02","Per=Y","Days=T","Dir=V")</f>
        <v>0</v>
      </c>
      <c r="G2">
        <f>BDH("UBER US Equity","BS_ST_BORROW","1993-06-18","2026-05-02","Per=Y","Days=T","Dir=V")</f>
        <v>0</v>
      </c>
      <c r="I2">
        <f>BDH("UBER US Equity","BS_LT_BORROW","1993-06-18","2026-05-02","Per=Y","Days=T","Dir=V")</f>
        <v>0</v>
      </c>
      <c r="K2">
        <f>BDH("UBER US Equity","BS_CASH_NEAR_CASH_ITEM","1993-06-18","2026-05-02","Per=Y","Days=T","Dir=V")</f>
        <v>0</v>
      </c>
      <c r="M2">
        <f>BDH("UBER US Equity","BS_CUR_ASSET_REPORT","1993-06-18","2026-05-02","Per=Y","Days=T","Dir=V")</f>
        <v>0</v>
      </c>
      <c r="O2">
        <f>BDH("UBER US Equity","BS_CUR_LIAB","1993-06-18","2026-05-02","Per=Y","Days=T","Dir=V")</f>
        <v>0</v>
      </c>
      <c r="Q2">
        <f>BDH("UBER US Equity","BS_SHAREHOLDER_EQY_ENDING_PERIOD","1993-06-18","2026-05-02","Per=Y","Days=T","Dir=V")</f>
        <v>0</v>
      </c>
      <c r="S2">
        <f>BDH("UBER US Equity","BS_ACCT_NOTE_RCV","1993-06-18","2026-05-02","Per=Y","Days=T","Dir=V")</f>
        <v>0</v>
      </c>
      <c r="U2">
        <f>BDH("UBER US Equity","BS_INVENTORIES","1993-06-18","2026-05-02","Per=Y","Days=T","Dir=V")</f>
        <v>0</v>
      </c>
      <c r="W2">
        <f>BDH("UBER US Equity","WORKING_CAPITAL","1993-06-18","2026-05-02","Per=Y","Days=T","Dir=V")</f>
        <v>0</v>
      </c>
      <c r="Y2">
        <f>BDH("UBER US Equity","SALES_REV_TURN","1993-06-18","2026-05-02","Per=Y","Days=T","Dir=V")</f>
        <v>0</v>
      </c>
      <c r="AA2">
        <f>BDH("UBER US Equity","EBIT","1993-06-18","2026-05-02","Per=Y","Days=T","Dir=V")</f>
        <v>0</v>
      </c>
      <c r="AC2">
        <f>BDH("UBER US Equity","EBITDA","1993-06-18","2026-05-02","Per=Y","Days=T","Dir=V")</f>
        <v>0</v>
      </c>
      <c r="AE2">
        <f>BDH("UBER US Equity","NET_INCOME","1993-06-18","2026-05-02","Per=Y","Days=T","Dir=V")</f>
        <v>0</v>
      </c>
      <c r="AG2">
        <f>BDH("UBER US Equity","IS_INT_EXPENSE","1993-06-18","2026-05-02","Per=Y","Days=T","Dir=V")</f>
        <v>0</v>
      </c>
      <c r="AI2">
        <f>BDH("UBER US Equity","IS_DEPR_EXP","1993-06-18","2026-05-02","Per=Y","Days=T","Dir=V")</f>
        <v>0</v>
      </c>
      <c r="AK2">
        <f>BDH("UBER US Equity","CF_CASH_FROM_OPER","1993-06-18","2026-05-02","Per=Y","Days=T","Dir=V")</f>
        <v>0</v>
      </c>
      <c r="AM2">
        <f>BDH("UBER US Equity","CAPITAL_EXPEND","1993-06-18","2026-05-02","Per=Y","Days=T","Dir=V")</f>
        <v>0</v>
      </c>
      <c r="AO2">
        <f>BDH("UBER US Equity","CF_FREE_CASH_FLOW","1993-06-18","2026-05-02","Per=Y","Days=T","Dir=V")</f>
        <v>0</v>
      </c>
      <c r="AQ2">
        <f>BDH("UBER US Equity","PX_LAST","1993-06-18","2026-05-02","Per=M","Days=T","Dir=V")</f>
        <v>0</v>
      </c>
      <c r="AS2">
        <f>BDH("UBER US Equity","CUR_MKT_CAP","1993-06-18","2026-05-02","Per=M","Days=T","Dir=V")</f>
        <v>0</v>
      </c>
      <c r="AU2">
        <f>BDH("UBER US Equity","EQY_SH_OUT","1993-06-18","2026-05-02","Per=M","Days=T","Dir=V")</f>
        <v>0</v>
      </c>
      <c r="AW2">
        <f>BDH("UBER US Equity","PX_VOLUME","1993-06-18","2026-05-02","Per=M","Days=T","Dir=V")</f>
        <v>0</v>
      </c>
      <c r="AY2">
        <f>BDH("UBER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BDH("UCTT US Equity","BS_TOT_ASSET","1993-06-18","2026-05-02","Per=Y","Days=T","Dir=V")</f>
        <v>0</v>
      </c>
      <c r="C2">
        <f>BDH("UCTT US Equity","BS_TOT_LIAB2","1993-06-18","2026-05-02","Per=Y","Days=T","Dir=V")</f>
        <v>0</v>
      </c>
      <c r="E2">
        <f>BDH("UCTT US Equity","SHORT_AND_LONG_TERM_DEBT","1993-06-18","2026-05-02","Per=Y","Days=T","Dir=V")</f>
        <v>0</v>
      </c>
      <c r="G2">
        <f>BDH("UCTT US Equity","BS_ST_BORROW","1993-06-18","2026-05-02","Per=Y","Days=T","Dir=V")</f>
        <v>0</v>
      </c>
      <c r="I2">
        <f>BDH("UCTT US Equity","BS_LT_BORROW","1993-06-18","2026-05-02","Per=Y","Days=T","Dir=V")</f>
        <v>0</v>
      </c>
      <c r="K2">
        <f>BDH("UCTT US Equity","BS_CASH_NEAR_CASH_ITEM","1993-06-18","2026-05-02","Per=Y","Days=T","Dir=V")</f>
        <v>0</v>
      </c>
      <c r="M2">
        <f>BDH("UCTT US Equity","BS_CUR_ASSET_REPORT","1993-06-18","2026-05-02","Per=Y","Days=T","Dir=V")</f>
        <v>0</v>
      </c>
      <c r="O2">
        <f>BDH("UCTT US Equity","BS_CUR_LIAB","1993-06-18","2026-05-02","Per=Y","Days=T","Dir=V")</f>
        <v>0</v>
      </c>
      <c r="Q2">
        <f>BDH("UCTT US Equity","BS_SHAREHOLDER_EQY_ENDING_PERIOD","1993-06-18","2026-05-02","Per=Y","Days=T","Dir=V")</f>
        <v>0</v>
      </c>
      <c r="S2">
        <f>BDH("UCTT US Equity","BS_ACCT_NOTE_RCV","1993-06-18","2026-05-02","Per=Y","Days=T","Dir=V")</f>
        <v>0</v>
      </c>
      <c r="U2">
        <f>BDH("UCTT US Equity","BS_INVENTORIES","1993-06-18","2026-05-02","Per=Y","Days=T","Dir=V")</f>
        <v>0</v>
      </c>
      <c r="W2">
        <f>BDH("UCTT US Equity","WORKING_CAPITAL","1993-06-18","2026-05-02","Per=Y","Days=T","Dir=V")</f>
        <v>0</v>
      </c>
      <c r="Y2">
        <f>BDH("UCTT US Equity","SALES_REV_TURN","1993-06-18","2026-05-02","Per=Y","Days=T","Dir=V")</f>
        <v>0</v>
      </c>
      <c r="AA2">
        <f>BDH("UCTT US Equity","EBIT","1993-06-18","2026-05-02","Per=Y","Days=T","Dir=V")</f>
        <v>0</v>
      </c>
      <c r="AC2">
        <f>BDH("UCTT US Equity","EBITDA","1993-06-18","2026-05-02","Per=Y","Days=T","Dir=V")</f>
        <v>0</v>
      </c>
      <c r="AE2">
        <f>BDH("UCTT US Equity","NET_INCOME","1993-06-18","2026-05-02","Per=Y","Days=T","Dir=V")</f>
        <v>0</v>
      </c>
      <c r="AG2">
        <f>BDH("UCTT US Equity","IS_INT_EXPENSE","1993-06-18","2026-05-02","Per=Y","Days=T","Dir=V")</f>
        <v>0</v>
      </c>
      <c r="AI2">
        <f>BDH("UCTT US Equity","IS_DEPR_EXP","1993-06-18","2026-05-02","Per=Y","Days=T","Dir=V")</f>
        <v>0</v>
      </c>
      <c r="AK2">
        <f>BDH("UCTT US Equity","CF_CASH_FROM_OPER","1993-06-18","2026-05-02","Per=Y","Days=T","Dir=V")</f>
        <v>0</v>
      </c>
      <c r="AM2">
        <f>BDH("UCTT US Equity","CAPITAL_EXPEND","1993-06-18","2026-05-02","Per=Y","Days=T","Dir=V")</f>
        <v>0</v>
      </c>
      <c r="AO2">
        <f>BDH("UCTT US Equity","CF_FREE_CASH_FLOW","1993-06-18","2026-05-02","Per=Y","Days=T","Dir=V")</f>
        <v>0</v>
      </c>
      <c r="AQ2">
        <f>BDH("UCTT US Equity","PX_LAST","1993-06-18","2026-05-02","Per=M","Days=T","Dir=V")</f>
        <v>0</v>
      </c>
      <c r="AS2">
        <f>BDH("UCTT US Equity","CUR_MKT_CAP","1993-06-18","2026-05-02","Per=M","Days=T","Dir=V")</f>
        <v>0</v>
      </c>
      <c r="AU2">
        <f>BDH("UCTT US Equity","EQY_SH_OUT","1993-06-18","2026-05-02","Per=M","Days=T","Dir=V")</f>
        <v>0</v>
      </c>
      <c r="AW2">
        <f>BDH("UCTT US Equity","PX_VOLUME","1993-06-18","2026-05-02","Per=M","Days=T","Dir=V")</f>
        <v>0</v>
      </c>
      <c r="AY2">
        <f>BDH("UCTT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BDH("UEIC US Equity","BS_TOT_ASSET","1993-06-18","2026-05-02","Per=Y","Days=T","Dir=V")</f>
        <v>0</v>
      </c>
      <c r="C2">
        <f>BDH("UEIC US Equity","BS_TOT_LIAB2","1993-06-18","2026-05-02","Per=Y","Days=T","Dir=V")</f>
        <v>0</v>
      </c>
      <c r="E2">
        <f>BDH("UEIC US Equity","SHORT_AND_LONG_TERM_DEBT","1993-06-18","2026-05-02","Per=Y","Days=T","Dir=V")</f>
        <v>0</v>
      </c>
      <c r="G2">
        <f>BDH("UEIC US Equity","BS_ST_BORROW","1993-06-18","2026-05-02","Per=Y","Days=T","Dir=V")</f>
        <v>0</v>
      </c>
      <c r="I2">
        <f>BDH("UEIC US Equity","BS_LT_BORROW","1993-06-18","2026-05-02","Per=Y","Days=T","Dir=V")</f>
        <v>0</v>
      </c>
      <c r="K2">
        <f>BDH("UEIC US Equity","BS_CASH_NEAR_CASH_ITEM","1993-06-18","2026-05-02","Per=Y","Days=T","Dir=V")</f>
        <v>0</v>
      </c>
      <c r="M2">
        <f>BDH("UEIC US Equity","BS_CUR_ASSET_REPORT","1993-06-18","2026-05-02","Per=Y","Days=T","Dir=V")</f>
        <v>0</v>
      </c>
      <c r="O2">
        <f>BDH("UEIC US Equity","BS_CUR_LIAB","1993-06-18","2026-05-02","Per=Y","Days=T","Dir=V")</f>
        <v>0</v>
      </c>
      <c r="Q2">
        <f>BDH("UEIC US Equity","BS_SHAREHOLDER_EQY_ENDING_PERIOD","1993-06-18","2026-05-02","Per=Y","Days=T","Dir=V")</f>
        <v>0</v>
      </c>
      <c r="S2">
        <f>BDH("UEIC US Equity","BS_ACCT_NOTE_RCV","1993-06-18","2026-05-02","Per=Y","Days=T","Dir=V")</f>
        <v>0</v>
      </c>
      <c r="U2">
        <f>BDH("UEIC US Equity","BS_INVENTORIES","1993-06-18","2026-05-02","Per=Y","Days=T","Dir=V")</f>
        <v>0</v>
      </c>
      <c r="W2">
        <f>BDH("UEIC US Equity","WORKING_CAPITAL","1993-06-18","2026-05-02","Per=Y","Days=T","Dir=V")</f>
        <v>0</v>
      </c>
      <c r="Y2">
        <f>BDH("UEIC US Equity","SALES_REV_TURN","1993-06-18","2026-05-02","Per=Y","Days=T","Dir=V")</f>
        <v>0</v>
      </c>
      <c r="AA2">
        <f>BDH("UEIC US Equity","EBIT","1993-06-18","2026-05-02","Per=Y","Days=T","Dir=V")</f>
        <v>0</v>
      </c>
      <c r="AC2">
        <f>BDH("UEIC US Equity","EBITDA","1993-06-18","2026-05-02","Per=Y","Days=T","Dir=V")</f>
        <v>0</v>
      </c>
      <c r="AE2">
        <f>BDH("UEIC US Equity","NET_INCOME","1993-06-18","2026-05-02","Per=Y","Days=T","Dir=V")</f>
        <v>0</v>
      </c>
      <c r="AG2">
        <f>BDH("UEIC US Equity","IS_INT_EXPENSE","1993-06-18","2026-05-02","Per=Y","Days=T","Dir=V")</f>
        <v>0</v>
      </c>
      <c r="AI2">
        <f>BDH("UEIC US Equity","IS_DEPR_EXP","1993-06-18","2026-05-02","Per=Y","Days=T","Dir=V")</f>
        <v>0</v>
      </c>
      <c r="AK2">
        <f>BDH("UEIC US Equity","CF_CASH_FROM_OPER","1993-06-18","2026-05-02","Per=Y","Days=T","Dir=V")</f>
        <v>0</v>
      </c>
      <c r="AM2">
        <f>BDH("UEIC US Equity","CAPITAL_EXPEND","1993-06-18","2026-05-02","Per=Y","Days=T","Dir=V")</f>
        <v>0</v>
      </c>
      <c r="AO2">
        <f>BDH("UEIC US Equity","CF_FREE_CASH_FLOW","1993-06-18","2026-05-02","Per=Y","Days=T","Dir=V")</f>
        <v>0</v>
      </c>
      <c r="AQ2">
        <f>BDH("UEIC US Equity","PX_LAST","1993-06-18","2026-05-02","Per=M","Days=T","Dir=V")</f>
        <v>0</v>
      </c>
      <c r="AS2">
        <f>BDH("UEIC US Equity","CUR_MKT_CAP","1993-06-18","2026-05-02","Per=M","Days=T","Dir=V")</f>
        <v>0</v>
      </c>
      <c r="AU2">
        <f>BDH("UEIC US Equity","EQY_SH_OUT","1993-06-18","2026-05-02","Per=M","Days=T","Dir=V")</f>
        <v>0</v>
      </c>
      <c r="AW2">
        <f>BDH("UEIC US Equity","PX_VOLUME","1993-06-18","2026-05-02","Per=M","Days=T","Dir=V")</f>
        <v>0</v>
      </c>
      <c r="AY2">
        <f>BDH("UEIC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BDH("UFI US Equity","BS_TOT_ASSET","1993-06-18","2026-05-02","Per=Y","Days=T","Dir=V")</f>
        <v>0</v>
      </c>
      <c r="C2">
        <f>BDH("UFI US Equity","BS_TOT_LIAB2","1993-06-18","2026-05-02","Per=Y","Days=T","Dir=V")</f>
        <v>0</v>
      </c>
      <c r="E2">
        <f>BDH("UFI US Equity","SHORT_AND_LONG_TERM_DEBT","1993-06-18","2026-05-02","Per=Y","Days=T","Dir=V")</f>
        <v>0</v>
      </c>
      <c r="G2">
        <f>BDH("UFI US Equity","BS_ST_BORROW","1993-06-18","2026-05-02","Per=Y","Days=T","Dir=V")</f>
        <v>0</v>
      </c>
      <c r="I2">
        <f>BDH("UFI US Equity","BS_LT_BORROW","1993-06-18","2026-05-02","Per=Y","Days=T","Dir=V")</f>
        <v>0</v>
      </c>
      <c r="K2">
        <f>BDH("UFI US Equity","BS_CASH_NEAR_CASH_ITEM","1993-06-18","2026-05-02","Per=Y","Days=T","Dir=V")</f>
        <v>0</v>
      </c>
      <c r="M2">
        <f>BDH("UFI US Equity","BS_CUR_ASSET_REPORT","1993-06-18","2026-05-02","Per=Y","Days=T","Dir=V")</f>
        <v>0</v>
      </c>
      <c r="O2">
        <f>BDH("UFI US Equity","BS_CUR_LIAB","1993-06-18","2026-05-02","Per=Y","Days=T","Dir=V")</f>
        <v>0</v>
      </c>
      <c r="Q2">
        <f>BDH("UFI US Equity","BS_SHAREHOLDER_EQY_ENDING_PERIOD","1993-06-18","2026-05-02","Per=Y","Days=T","Dir=V")</f>
        <v>0</v>
      </c>
      <c r="S2">
        <f>BDH("UFI US Equity","BS_ACCT_NOTE_RCV","1993-06-18","2026-05-02","Per=Y","Days=T","Dir=V")</f>
        <v>0</v>
      </c>
      <c r="U2">
        <f>BDH("UFI US Equity","BS_INVENTORIES","1993-06-18","2026-05-02","Per=Y","Days=T","Dir=V")</f>
        <v>0</v>
      </c>
      <c r="W2">
        <f>BDH("UFI US Equity","WORKING_CAPITAL","1993-06-18","2026-05-02","Per=Y","Days=T","Dir=V")</f>
        <v>0</v>
      </c>
      <c r="Y2">
        <f>BDH("UFI US Equity","SALES_REV_TURN","1993-06-18","2026-05-02","Per=Y","Days=T","Dir=V")</f>
        <v>0</v>
      </c>
      <c r="AA2">
        <f>BDH("UFI US Equity","EBIT","1993-06-18","2026-05-02","Per=Y","Days=T","Dir=V")</f>
        <v>0</v>
      </c>
      <c r="AC2">
        <f>BDH("UFI US Equity","EBITDA","1993-06-18","2026-05-02","Per=Y","Days=T","Dir=V")</f>
        <v>0</v>
      </c>
      <c r="AE2">
        <f>BDH("UFI US Equity","NET_INCOME","1993-06-18","2026-05-02","Per=Y","Days=T","Dir=V")</f>
        <v>0</v>
      </c>
      <c r="AG2">
        <f>BDH("UFI US Equity","IS_INT_EXPENSE","1993-06-18","2026-05-02","Per=Y","Days=T","Dir=V")</f>
        <v>0</v>
      </c>
      <c r="AI2">
        <f>BDH("UFI US Equity","IS_DEPR_EXP","1993-06-18","2026-05-02","Per=Y","Days=T","Dir=V")</f>
        <v>0</v>
      </c>
      <c r="AK2">
        <f>BDH("UFI US Equity","CF_CASH_FROM_OPER","1993-06-18","2026-05-02","Per=Y","Days=T","Dir=V")</f>
        <v>0</v>
      </c>
      <c r="AM2">
        <f>BDH("UFI US Equity","CAPITAL_EXPEND","1993-06-18","2026-05-02","Per=Y","Days=T","Dir=V")</f>
        <v>0</v>
      </c>
      <c r="AO2">
        <f>BDH("UFI US Equity","CF_FREE_CASH_FLOW","1993-06-18","2026-05-02","Per=Y","Days=T","Dir=V")</f>
        <v>0</v>
      </c>
      <c r="AQ2">
        <f>BDH("UFI US Equity","PX_LAST","1993-06-18","2026-05-02","Per=M","Days=T","Dir=V")</f>
        <v>0</v>
      </c>
      <c r="AS2">
        <f>BDH("UFI US Equity","CUR_MKT_CAP","1993-06-18","2026-05-02","Per=M","Days=T","Dir=V")</f>
        <v>0</v>
      </c>
      <c r="AU2">
        <f>BDH("UFI US Equity","EQY_SH_OUT","1993-06-18","2026-05-02","Per=M","Days=T","Dir=V")</f>
        <v>0</v>
      </c>
      <c r="AW2">
        <f>BDH("UFI US Equity","PX_VOLUME","1993-06-18","2026-05-02","Per=M","Days=T","Dir=V")</f>
        <v>0</v>
      </c>
      <c r="AY2">
        <f>BDH("UFI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BDH("UFPI US Equity","BS_TOT_ASSET","1993-06-18","2026-05-02","Per=Y","Days=T","Dir=V")</f>
        <v>0</v>
      </c>
      <c r="C2">
        <f>BDH("UFPI US Equity","BS_TOT_LIAB2","1993-06-18","2026-05-02","Per=Y","Days=T","Dir=V")</f>
        <v>0</v>
      </c>
      <c r="E2">
        <f>BDH("UFPI US Equity","SHORT_AND_LONG_TERM_DEBT","1993-06-18","2026-05-02","Per=Y","Days=T","Dir=V")</f>
        <v>0</v>
      </c>
      <c r="G2">
        <f>BDH("UFPI US Equity","BS_ST_BORROW","1993-06-18","2026-05-02","Per=Y","Days=T","Dir=V")</f>
        <v>0</v>
      </c>
      <c r="I2">
        <f>BDH("UFPI US Equity","BS_LT_BORROW","1993-06-18","2026-05-02","Per=Y","Days=T","Dir=V")</f>
        <v>0</v>
      </c>
      <c r="K2">
        <f>BDH("UFPI US Equity","BS_CASH_NEAR_CASH_ITEM","1993-06-18","2026-05-02","Per=Y","Days=T","Dir=V")</f>
        <v>0</v>
      </c>
      <c r="M2">
        <f>BDH("UFPI US Equity","BS_CUR_ASSET_REPORT","1993-06-18","2026-05-02","Per=Y","Days=T","Dir=V")</f>
        <v>0</v>
      </c>
      <c r="O2">
        <f>BDH("UFPI US Equity","BS_CUR_LIAB","1993-06-18","2026-05-02","Per=Y","Days=T","Dir=V")</f>
        <v>0</v>
      </c>
      <c r="Q2">
        <f>BDH("UFPI US Equity","BS_SHAREHOLDER_EQY_ENDING_PERIOD","1993-06-18","2026-05-02","Per=Y","Days=T","Dir=V")</f>
        <v>0</v>
      </c>
      <c r="S2">
        <f>BDH("UFPI US Equity","BS_ACCT_NOTE_RCV","1993-06-18","2026-05-02","Per=Y","Days=T","Dir=V")</f>
        <v>0</v>
      </c>
      <c r="U2">
        <f>BDH("UFPI US Equity","BS_INVENTORIES","1993-06-18","2026-05-02","Per=Y","Days=T","Dir=V")</f>
        <v>0</v>
      </c>
      <c r="W2">
        <f>BDH("UFPI US Equity","WORKING_CAPITAL","1993-06-18","2026-05-02","Per=Y","Days=T","Dir=V")</f>
        <v>0</v>
      </c>
      <c r="Y2">
        <f>BDH("UFPI US Equity","SALES_REV_TURN","1993-06-18","2026-05-02","Per=Y","Days=T","Dir=V")</f>
        <v>0</v>
      </c>
      <c r="AA2">
        <f>BDH("UFPI US Equity","EBIT","1993-06-18","2026-05-02","Per=Y","Days=T","Dir=V")</f>
        <v>0</v>
      </c>
      <c r="AC2">
        <f>BDH("UFPI US Equity","EBITDA","1993-06-18","2026-05-02","Per=Y","Days=T","Dir=V")</f>
        <v>0</v>
      </c>
      <c r="AE2">
        <f>BDH("UFPI US Equity","NET_INCOME","1993-06-18","2026-05-02","Per=Y","Days=T","Dir=V")</f>
        <v>0</v>
      </c>
      <c r="AG2">
        <f>BDH("UFPI US Equity","IS_INT_EXPENSE","1993-06-18","2026-05-02","Per=Y","Days=T","Dir=V")</f>
        <v>0</v>
      </c>
      <c r="AI2">
        <f>BDH("UFPI US Equity","IS_DEPR_EXP","1993-06-18","2026-05-02","Per=Y","Days=T","Dir=V")</f>
        <v>0</v>
      </c>
      <c r="AK2">
        <f>BDH("UFPI US Equity","CF_CASH_FROM_OPER","1993-06-18","2026-05-02","Per=Y","Days=T","Dir=V")</f>
        <v>0</v>
      </c>
      <c r="AM2">
        <f>BDH("UFPI US Equity","CAPITAL_EXPEND","1993-06-18","2026-05-02","Per=Y","Days=T","Dir=V")</f>
        <v>0</v>
      </c>
      <c r="AO2">
        <f>BDH("UFPI US Equity","CF_FREE_CASH_FLOW","1993-06-18","2026-05-02","Per=Y","Days=T","Dir=V")</f>
        <v>0</v>
      </c>
      <c r="AQ2">
        <f>BDH("UFPI US Equity","PX_LAST","1993-06-18","2026-05-02","Per=M","Days=T","Dir=V")</f>
        <v>0</v>
      </c>
      <c r="AS2">
        <f>BDH("UFPI US Equity","CUR_MKT_CAP","1993-06-18","2026-05-02","Per=M","Days=T","Dir=V")</f>
        <v>0</v>
      </c>
      <c r="AU2">
        <f>BDH("UFPI US Equity","EQY_SH_OUT","1993-06-18","2026-05-02","Per=M","Days=T","Dir=V")</f>
        <v>0</v>
      </c>
      <c r="AW2">
        <f>BDH("UFPI US Equity","PX_VOLUME","1993-06-18","2026-05-02","Per=M","Days=T","Dir=V")</f>
        <v>0</v>
      </c>
      <c r="AY2">
        <f>BDH("UFPI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BDH("UFPT US Equity","BS_TOT_ASSET","1993-06-18","2026-05-02","Per=Y","Days=T","Dir=V")</f>
        <v>0</v>
      </c>
      <c r="C2">
        <f>BDH("UFPT US Equity","BS_TOT_LIAB2","1993-06-18","2026-05-02","Per=Y","Days=T","Dir=V")</f>
        <v>0</v>
      </c>
      <c r="E2">
        <f>BDH("UFPT US Equity","SHORT_AND_LONG_TERM_DEBT","1993-06-18","2026-05-02","Per=Y","Days=T","Dir=V")</f>
        <v>0</v>
      </c>
      <c r="G2">
        <f>BDH("UFPT US Equity","BS_ST_BORROW","1993-06-18","2026-05-02","Per=Y","Days=T","Dir=V")</f>
        <v>0</v>
      </c>
      <c r="I2">
        <f>BDH("UFPT US Equity","BS_LT_BORROW","1993-06-18","2026-05-02","Per=Y","Days=T","Dir=V")</f>
        <v>0</v>
      </c>
      <c r="K2">
        <f>BDH("UFPT US Equity","BS_CASH_NEAR_CASH_ITEM","1993-06-18","2026-05-02","Per=Y","Days=T","Dir=V")</f>
        <v>0</v>
      </c>
      <c r="M2">
        <f>BDH("UFPT US Equity","BS_CUR_ASSET_REPORT","1993-06-18","2026-05-02","Per=Y","Days=T","Dir=V")</f>
        <v>0</v>
      </c>
      <c r="O2">
        <f>BDH("UFPT US Equity","BS_CUR_LIAB","1993-06-18","2026-05-02","Per=Y","Days=T","Dir=V")</f>
        <v>0</v>
      </c>
      <c r="Q2">
        <f>BDH("UFPT US Equity","BS_SHAREHOLDER_EQY_ENDING_PERIOD","1993-06-18","2026-05-02","Per=Y","Days=T","Dir=V")</f>
        <v>0</v>
      </c>
      <c r="S2">
        <f>BDH("UFPT US Equity","BS_ACCT_NOTE_RCV","1993-06-18","2026-05-02","Per=Y","Days=T","Dir=V")</f>
        <v>0</v>
      </c>
      <c r="U2">
        <f>BDH("UFPT US Equity","BS_INVENTORIES","1993-06-18","2026-05-02","Per=Y","Days=T","Dir=V")</f>
        <v>0</v>
      </c>
      <c r="W2">
        <f>BDH("UFPT US Equity","WORKING_CAPITAL","1993-06-18","2026-05-02","Per=Y","Days=T","Dir=V")</f>
        <v>0</v>
      </c>
      <c r="Y2">
        <f>BDH("UFPT US Equity","SALES_REV_TURN","1993-06-18","2026-05-02","Per=Y","Days=T","Dir=V")</f>
        <v>0</v>
      </c>
      <c r="AA2">
        <f>BDH("UFPT US Equity","EBIT","1993-06-18","2026-05-02","Per=Y","Days=T","Dir=V")</f>
        <v>0</v>
      </c>
      <c r="AC2">
        <f>BDH("UFPT US Equity","EBITDA","1993-06-18","2026-05-02","Per=Y","Days=T","Dir=V")</f>
        <v>0</v>
      </c>
      <c r="AE2">
        <f>BDH("UFPT US Equity","NET_INCOME","1993-06-18","2026-05-02","Per=Y","Days=T","Dir=V")</f>
        <v>0</v>
      </c>
      <c r="AG2">
        <f>BDH("UFPT US Equity","IS_INT_EXPENSE","1993-06-18","2026-05-02","Per=Y","Days=T","Dir=V")</f>
        <v>0</v>
      </c>
      <c r="AI2">
        <f>BDH("UFPT US Equity","IS_DEPR_EXP","1993-06-18","2026-05-02","Per=Y","Days=T","Dir=V")</f>
        <v>0</v>
      </c>
      <c r="AK2">
        <f>BDH("UFPT US Equity","CF_CASH_FROM_OPER","1993-06-18","2026-05-02","Per=Y","Days=T","Dir=V")</f>
        <v>0</v>
      </c>
      <c r="AM2">
        <f>BDH("UFPT US Equity","CAPITAL_EXPEND","1993-06-18","2026-05-02","Per=Y","Days=T","Dir=V")</f>
        <v>0</v>
      </c>
      <c r="AO2">
        <f>BDH("UFPT US Equity","CF_FREE_CASH_FLOW","1993-06-18","2026-05-02","Per=Y","Days=T","Dir=V")</f>
        <v>0</v>
      </c>
      <c r="AQ2">
        <f>BDH("UFPT US Equity","PX_LAST","1993-06-18","2026-05-02","Per=M","Days=T","Dir=V")</f>
        <v>0</v>
      </c>
      <c r="AS2">
        <f>BDH("UFPT US Equity","CUR_MKT_CAP","1993-06-18","2026-05-02","Per=M","Days=T","Dir=V")</f>
        <v>0</v>
      </c>
      <c r="AU2">
        <f>BDH("UFPT US Equity","EQY_SH_OUT","1993-06-18","2026-05-02","Per=M","Days=T","Dir=V")</f>
        <v>0</v>
      </c>
      <c r="AW2">
        <f>BDH("UFPT US Equity","PX_VOLUME","1993-06-18","2026-05-02","Per=M","Days=T","Dir=V")</f>
        <v>0</v>
      </c>
      <c r="AY2">
        <f>BDH("UFPT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BDH("UG US Equity","BS_TOT_ASSET","1993-06-18","2026-05-02","Per=Y","Days=T","Dir=V")</f>
        <v>0</v>
      </c>
      <c r="C2">
        <f>BDH("UG US Equity","BS_TOT_LIAB2","1993-06-18","2026-05-02","Per=Y","Days=T","Dir=V")</f>
        <v>0</v>
      </c>
      <c r="E2">
        <f>BDH("UG US Equity","SHORT_AND_LONG_TERM_DEBT","1993-06-18","2026-05-02","Per=Y","Days=T","Dir=V")</f>
        <v>0</v>
      </c>
      <c r="G2">
        <f>BDH("UG US Equity","BS_ST_BORROW","1993-06-18","2026-05-02","Per=Y","Days=T","Dir=V")</f>
        <v>0</v>
      </c>
      <c r="I2">
        <f>BDH("UG US Equity","BS_LT_BORROW","1993-06-18","2026-05-02","Per=Y","Days=T","Dir=V")</f>
        <v>0</v>
      </c>
      <c r="K2">
        <f>BDH("UG US Equity","BS_CASH_NEAR_CASH_ITEM","1993-06-18","2026-05-02","Per=Y","Days=T","Dir=V")</f>
        <v>0</v>
      </c>
      <c r="M2">
        <f>BDH("UG US Equity","BS_CUR_ASSET_REPORT","1993-06-18","2026-05-02","Per=Y","Days=T","Dir=V")</f>
        <v>0</v>
      </c>
      <c r="O2">
        <f>BDH("UG US Equity","BS_CUR_LIAB","1993-06-18","2026-05-02","Per=Y","Days=T","Dir=V")</f>
        <v>0</v>
      </c>
      <c r="Q2">
        <f>BDH("UG US Equity","BS_SHAREHOLDER_EQY_ENDING_PERIOD","1993-06-18","2026-05-02","Per=Y","Days=T","Dir=V")</f>
        <v>0</v>
      </c>
      <c r="S2">
        <f>BDH("UG US Equity","BS_ACCT_NOTE_RCV","1993-06-18","2026-05-02","Per=Y","Days=T","Dir=V")</f>
        <v>0</v>
      </c>
      <c r="U2">
        <f>BDH("UG US Equity","BS_INVENTORIES","1993-06-18","2026-05-02","Per=Y","Days=T","Dir=V")</f>
        <v>0</v>
      </c>
      <c r="W2">
        <f>BDH("UG US Equity","WORKING_CAPITAL","1993-06-18","2026-05-02","Per=Y","Days=T","Dir=V")</f>
        <v>0</v>
      </c>
      <c r="Y2">
        <f>BDH("UG US Equity","SALES_REV_TURN","1993-06-18","2026-05-02","Per=Y","Days=T","Dir=V")</f>
        <v>0</v>
      </c>
      <c r="AA2">
        <f>BDH("UG US Equity","EBIT","1993-06-18","2026-05-02","Per=Y","Days=T","Dir=V")</f>
        <v>0</v>
      </c>
      <c r="AC2">
        <f>BDH("UG US Equity","EBITDA","1993-06-18","2026-05-02","Per=Y","Days=T","Dir=V")</f>
        <v>0</v>
      </c>
      <c r="AE2">
        <f>BDH("UG US Equity","NET_INCOME","1993-06-18","2026-05-02","Per=Y","Days=T","Dir=V")</f>
        <v>0</v>
      </c>
      <c r="AG2">
        <f>BDH("UG US Equity","IS_INT_EXPENSE","1993-06-18","2026-05-02","Per=Y","Days=T","Dir=V")</f>
        <v>0</v>
      </c>
      <c r="AI2">
        <f>BDH("UG US Equity","IS_DEPR_EXP","1993-06-18","2026-05-02","Per=Y","Days=T","Dir=V")</f>
        <v>0</v>
      </c>
      <c r="AK2">
        <f>BDH("UG US Equity","CF_CASH_FROM_OPER","1993-06-18","2026-05-02","Per=Y","Days=T","Dir=V")</f>
        <v>0</v>
      </c>
      <c r="AM2">
        <f>BDH("UG US Equity","CAPITAL_EXPEND","1993-06-18","2026-05-02","Per=Y","Days=T","Dir=V")</f>
        <v>0</v>
      </c>
      <c r="AO2">
        <f>BDH("UG US Equity","CF_FREE_CASH_FLOW","1993-06-18","2026-05-02","Per=Y","Days=T","Dir=V")</f>
        <v>0</v>
      </c>
      <c r="AQ2">
        <f>BDH("UG US Equity","PX_LAST","1993-06-18","2026-05-02","Per=M","Days=T","Dir=V")</f>
        <v>0</v>
      </c>
      <c r="AS2">
        <f>BDH("UG US Equity","CUR_MKT_CAP","1993-06-18","2026-05-02","Per=M","Days=T","Dir=V")</f>
        <v>0</v>
      </c>
      <c r="AU2">
        <f>BDH("UG US Equity","EQY_SH_OUT","1993-06-18","2026-05-02","Per=M","Days=T","Dir=V")</f>
        <v>0</v>
      </c>
      <c r="AW2">
        <f>BDH("UG US Equity","PX_VOLUME","1993-06-18","2026-05-02","Per=M","Days=T","Dir=V")</f>
        <v>0</v>
      </c>
      <c r="AY2">
        <f>BDH("UG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BDH("UGI US Equity","BS_TOT_ASSET","1993-06-18","2026-05-02","Per=Y","Days=T","Dir=V")</f>
        <v>0</v>
      </c>
      <c r="C2">
        <f>BDH("UGI US Equity","BS_TOT_LIAB2","1993-06-18","2026-05-02","Per=Y","Days=T","Dir=V")</f>
        <v>0</v>
      </c>
      <c r="E2">
        <f>BDH("UGI US Equity","SHORT_AND_LONG_TERM_DEBT","1993-06-18","2026-05-02","Per=Y","Days=T","Dir=V")</f>
        <v>0</v>
      </c>
      <c r="G2">
        <f>BDH("UGI US Equity","BS_ST_BORROW","1993-06-18","2026-05-02","Per=Y","Days=T","Dir=V")</f>
        <v>0</v>
      </c>
      <c r="I2">
        <f>BDH("UGI US Equity","BS_LT_BORROW","1993-06-18","2026-05-02","Per=Y","Days=T","Dir=V")</f>
        <v>0</v>
      </c>
      <c r="K2">
        <f>BDH("UGI US Equity","BS_CASH_NEAR_CASH_ITEM","1993-06-18","2026-05-02","Per=Y","Days=T","Dir=V")</f>
        <v>0</v>
      </c>
      <c r="M2">
        <f>BDH("UGI US Equity","BS_CUR_ASSET_REPORT","1993-06-18","2026-05-02","Per=Y","Days=T","Dir=V")</f>
        <v>0</v>
      </c>
      <c r="O2">
        <f>BDH("UGI US Equity","BS_CUR_LIAB","1993-06-18","2026-05-02","Per=Y","Days=T","Dir=V")</f>
        <v>0</v>
      </c>
      <c r="Q2">
        <f>BDH("UGI US Equity","BS_SHAREHOLDER_EQY_ENDING_PERIOD","1993-06-18","2026-05-02","Per=Y","Days=T","Dir=V")</f>
        <v>0</v>
      </c>
      <c r="S2">
        <f>BDH("UGI US Equity","BS_ACCT_NOTE_RCV","1993-06-18","2026-05-02","Per=Y","Days=T","Dir=V")</f>
        <v>0</v>
      </c>
      <c r="U2">
        <f>BDH("UGI US Equity","BS_INVENTORIES","1993-06-18","2026-05-02","Per=Y","Days=T","Dir=V")</f>
        <v>0</v>
      </c>
      <c r="W2">
        <f>BDH("UGI US Equity","WORKING_CAPITAL","1993-06-18","2026-05-02","Per=Y","Days=T","Dir=V")</f>
        <v>0</v>
      </c>
      <c r="Y2">
        <f>BDH("UGI US Equity","SALES_REV_TURN","1993-06-18","2026-05-02","Per=Y","Days=T","Dir=V")</f>
        <v>0</v>
      </c>
      <c r="AA2">
        <f>BDH("UGI US Equity","EBIT","1993-06-18","2026-05-02","Per=Y","Days=T","Dir=V")</f>
        <v>0</v>
      </c>
      <c r="AC2">
        <f>BDH("UGI US Equity","EBITDA","1993-06-18","2026-05-02","Per=Y","Days=T","Dir=V")</f>
        <v>0</v>
      </c>
      <c r="AE2">
        <f>BDH("UGI US Equity","NET_INCOME","1993-06-18","2026-05-02","Per=Y","Days=T","Dir=V")</f>
        <v>0</v>
      </c>
      <c r="AG2">
        <f>BDH("UGI US Equity","IS_INT_EXPENSE","1993-06-18","2026-05-02","Per=Y","Days=T","Dir=V")</f>
        <v>0</v>
      </c>
      <c r="AI2">
        <f>BDH("UGI US Equity","IS_DEPR_EXP","1993-06-18","2026-05-02","Per=Y","Days=T","Dir=V")</f>
        <v>0</v>
      </c>
      <c r="AK2">
        <f>BDH("UGI US Equity","CF_CASH_FROM_OPER","1993-06-18","2026-05-02","Per=Y","Days=T","Dir=V")</f>
        <v>0</v>
      </c>
      <c r="AM2">
        <f>BDH("UGI US Equity","CAPITAL_EXPEND","1993-06-18","2026-05-02","Per=Y","Days=T","Dir=V")</f>
        <v>0</v>
      </c>
      <c r="AO2">
        <f>BDH("UGI US Equity","CF_FREE_CASH_FLOW","1993-06-18","2026-05-02","Per=Y","Days=T","Dir=V")</f>
        <v>0</v>
      </c>
      <c r="AQ2">
        <f>BDH("UGI US Equity","PX_LAST","1993-06-18","2026-05-02","Per=M","Days=T","Dir=V")</f>
        <v>0</v>
      </c>
      <c r="AS2">
        <f>BDH("UGI US Equity","CUR_MKT_CAP","1993-06-18","2026-05-02","Per=M","Days=T","Dir=V")</f>
        <v>0</v>
      </c>
      <c r="AU2">
        <f>BDH("UGI US Equity","EQY_SH_OUT","1993-06-18","2026-05-02","Per=M","Days=T","Dir=V")</f>
        <v>0</v>
      </c>
      <c r="AW2">
        <f>BDH("UGI US Equity","PX_VOLUME","1993-06-18","2026-05-02","Per=M","Days=T","Dir=V")</f>
        <v>0</v>
      </c>
      <c r="AY2">
        <f>BDH("UGI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BDH("UHAL US Equity","BS_TOT_ASSET","1993-06-18","2026-05-02","Per=Y","Days=T","Dir=V")</f>
        <v>0</v>
      </c>
      <c r="C2">
        <f>BDH("UHAL US Equity","BS_TOT_LIAB2","1993-06-18","2026-05-02","Per=Y","Days=T","Dir=V")</f>
        <v>0</v>
      </c>
      <c r="E2">
        <f>BDH("UHAL US Equity","SHORT_AND_LONG_TERM_DEBT","1993-06-18","2026-05-02","Per=Y","Days=T","Dir=V")</f>
        <v>0</v>
      </c>
      <c r="G2">
        <f>BDH("UHAL US Equity","BS_ST_BORROW","1993-06-18","2026-05-02","Per=Y","Days=T","Dir=V")</f>
        <v>0</v>
      </c>
      <c r="I2">
        <f>BDH("UHAL US Equity","BS_LT_BORROW","1993-06-18","2026-05-02","Per=Y","Days=T","Dir=V")</f>
        <v>0</v>
      </c>
      <c r="K2">
        <f>BDH("UHAL US Equity","BS_CASH_NEAR_CASH_ITEM","1993-06-18","2026-05-02","Per=Y","Days=T","Dir=V")</f>
        <v>0</v>
      </c>
      <c r="M2">
        <f>BDH("UHAL US Equity","BS_CUR_ASSET_REPORT","1993-06-18","2026-05-02","Per=Y","Days=T","Dir=V")</f>
        <v>0</v>
      </c>
      <c r="O2">
        <f>BDH("UHAL US Equity","BS_CUR_LIAB","1993-06-18","2026-05-02","Per=Y","Days=T","Dir=V")</f>
        <v>0</v>
      </c>
      <c r="Q2">
        <f>BDH("UHAL US Equity","BS_SHAREHOLDER_EQY_ENDING_PERIOD","1993-06-18","2026-05-02","Per=Y","Days=T","Dir=V")</f>
        <v>0</v>
      </c>
      <c r="S2">
        <f>BDH("UHAL US Equity","BS_ACCT_NOTE_RCV","1993-06-18","2026-05-02","Per=Y","Days=T","Dir=V")</f>
        <v>0</v>
      </c>
      <c r="U2">
        <f>BDH("UHAL US Equity","BS_INVENTORIES","1993-06-18","2026-05-02","Per=Y","Days=T","Dir=V")</f>
        <v>0</v>
      </c>
      <c r="W2">
        <f>BDH("UHAL US Equity","WORKING_CAPITAL","1993-06-18","2026-05-02","Per=Y","Days=T","Dir=V")</f>
        <v>0</v>
      </c>
      <c r="Y2">
        <f>BDH("UHAL US Equity","SALES_REV_TURN","1993-06-18","2026-05-02","Per=Y","Days=T","Dir=V")</f>
        <v>0</v>
      </c>
      <c r="AA2">
        <f>BDH("UHAL US Equity","EBIT","1993-06-18","2026-05-02","Per=Y","Days=T","Dir=V")</f>
        <v>0</v>
      </c>
      <c r="AC2">
        <f>BDH("UHAL US Equity","EBITDA","1993-06-18","2026-05-02","Per=Y","Days=T","Dir=V")</f>
        <v>0</v>
      </c>
      <c r="AE2">
        <f>BDH("UHAL US Equity","NET_INCOME","1993-06-18","2026-05-02","Per=Y","Days=T","Dir=V")</f>
        <v>0</v>
      </c>
      <c r="AG2">
        <f>BDH("UHAL US Equity","IS_INT_EXPENSE","1993-06-18","2026-05-02","Per=Y","Days=T","Dir=V")</f>
        <v>0</v>
      </c>
      <c r="AI2">
        <f>BDH("UHAL US Equity","IS_DEPR_EXP","1993-06-18","2026-05-02","Per=Y","Days=T","Dir=V")</f>
        <v>0</v>
      </c>
      <c r="AK2">
        <f>BDH("UHAL US Equity","CF_CASH_FROM_OPER","1993-06-18","2026-05-02","Per=Y","Days=T","Dir=V")</f>
        <v>0</v>
      </c>
      <c r="AM2">
        <f>BDH("UHAL US Equity","CAPITAL_EXPEND","1993-06-18","2026-05-02","Per=Y","Days=T","Dir=V")</f>
        <v>0</v>
      </c>
      <c r="AO2">
        <f>BDH("UHAL US Equity","CF_FREE_CASH_FLOW","1993-06-18","2026-05-02","Per=Y","Days=T","Dir=V")</f>
        <v>0</v>
      </c>
      <c r="AQ2">
        <f>BDH("UHAL US Equity","PX_LAST","1993-06-18","2026-05-02","Per=M","Days=T","Dir=V")</f>
        <v>0</v>
      </c>
      <c r="AS2">
        <f>BDH("UHAL US Equity","CUR_MKT_CAP","1993-06-18","2026-05-02","Per=M","Days=T","Dir=V")</f>
        <v>0</v>
      </c>
      <c r="AU2">
        <f>BDH("UHAL US Equity","EQY_SH_OUT","1993-06-18","2026-05-02","Per=M","Days=T","Dir=V")</f>
        <v>0</v>
      </c>
      <c r="AW2">
        <f>BDH("UHAL US Equity","PX_VOLUME","1993-06-18","2026-05-02","Per=M","Days=T","Dir=V")</f>
        <v>0</v>
      </c>
      <c r="AY2">
        <f>BDH("UHAL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BDH("UHS US Equity","BS_TOT_ASSET","1993-06-18","2026-05-02","Per=Y","Days=T","Dir=V")</f>
        <v>0</v>
      </c>
      <c r="C2">
        <f>BDH("UHS US Equity","BS_TOT_LIAB2","1993-06-18","2026-05-02","Per=Y","Days=T","Dir=V")</f>
        <v>0</v>
      </c>
      <c r="E2">
        <f>BDH("UHS US Equity","SHORT_AND_LONG_TERM_DEBT","1993-06-18","2026-05-02","Per=Y","Days=T","Dir=V")</f>
        <v>0</v>
      </c>
      <c r="G2">
        <f>BDH("UHS US Equity","BS_ST_BORROW","1993-06-18","2026-05-02","Per=Y","Days=T","Dir=V")</f>
        <v>0</v>
      </c>
      <c r="I2">
        <f>BDH("UHS US Equity","BS_LT_BORROW","1993-06-18","2026-05-02","Per=Y","Days=T","Dir=V")</f>
        <v>0</v>
      </c>
      <c r="K2">
        <f>BDH("UHS US Equity","BS_CASH_NEAR_CASH_ITEM","1993-06-18","2026-05-02","Per=Y","Days=T","Dir=V")</f>
        <v>0</v>
      </c>
      <c r="M2">
        <f>BDH("UHS US Equity","BS_CUR_ASSET_REPORT","1993-06-18","2026-05-02","Per=Y","Days=T","Dir=V")</f>
        <v>0</v>
      </c>
      <c r="O2">
        <f>BDH("UHS US Equity","BS_CUR_LIAB","1993-06-18","2026-05-02","Per=Y","Days=T","Dir=V")</f>
        <v>0</v>
      </c>
      <c r="Q2">
        <f>BDH("UHS US Equity","BS_SHAREHOLDER_EQY_ENDING_PERIOD","1993-06-18","2026-05-02","Per=Y","Days=T","Dir=V")</f>
        <v>0</v>
      </c>
      <c r="S2">
        <f>BDH("UHS US Equity","BS_ACCT_NOTE_RCV","1993-06-18","2026-05-02","Per=Y","Days=T","Dir=V")</f>
        <v>0</v>
      </c>
      <c r="U2">
        <f>BDH("UHS US Equity","BS_INVENTORIES","1993-06-18","2026-05-02","Per=Y","Days=T","Dir=V")</f>
        <v>0</v>
      </c>
      <c r="W2">
        <f>BDH("UHS US Equity","WORKING_CAPITAL","1993-06-18","2026-05-02","Per=Y","Days=T","Dir=V")</f>
        <v>0</v>
      </c>
      <c r="Y2">
        <f>BDH("UHS US Equity","SALES_REV_TURN","1993-06-18","2026-05-02","Per=Y","Days=T","Dir=V")</f>
        <v>0</v>
      </c>
      <c r="AA2">
        <f>BDH("UHS US Equity","EBIT","1993-06-18","2026-05-02","Per=Y","Days=T","Dir=V")</f>
        <v>0</v>
      </c>
      <c r="AC2">
        <f>BDH("UHS US Equity","EBITDA","1993-06-18","2026-05-02","Per=Y","Days=T","Dir=V")</f>
        <v>0</v>
      </c>
      <c r="AE2">
        <f>BDH("UHS US Equity","NET_INCOME","1993-06-18","2026-05-02","Per=Y","Days=T","Dir=V")</f>
        <v>0</v>
      </c>
      <c r="AG2">
        <f>BDH("UHS US Equity","IS_INT_EXPENSE","1993-06-18","2026-05-02","Per=Y","Days=T","Dir=V")</f>
        <v>0</v>
      </c>
      <c r="AI2">
        <f>BDH("UHS US Equity","IS_DEPR_EXP","1993-06-18","2026-05-02","Per=Y","Days=T","Dir=V")</f>
        <v>0</v>
      </c>
      <c r="AK2">
        <f>BDH("UHS US Equity","CF_CASH_FROM_OPER","1993-06-18","2026-05-02","Per=Y","Days=T","Dir=V")</f>
        <v>0</v>
      </c>
      <c r="AM2">
        <f>BDH("UHS US Equity","CAPITAL_EXPEND","1993-06-18","2026-05-02","Per=Y","Days=T","Dir=V")</f>
        <v>0</v>
      </c>
      <c r="AO2">
        <f>BDH("UHS US Equity","CF_FREE_CASH_FLOW","1993-06-18","2026-05-02","Per=Y","Days=T","Dir=V")</f>
        <v>0</v>
      </c>
      <c r="AQ2">
        <f>BDH("UHS US Equity","PX_LAST","1993-06-18","2026-05-02","Per=M","Days=T","Dir=V")</f>
        <v>0</v>
      </c>
      <c r="AS2">
        <f>BDH("UHS US Equity","CUR_MKT_CAP","1993-06-18","2026-05-02","Per=M","Days=T","Dir=V")</f>
        <v>0</v>
      </c>
      <c r="AU2">
        <f>BDH("UHS US Equity","EQY_SH_OUT","1993-06-18","2026-05-02","Per=M","Days=T","Dir=V")</f>
        <v>0</v>
      </c>
      <c r="AW2">
        <f>BDH("UHS US Equity","PX_VOLUME","1993-06-18","2026-05-02","Per=M","Days=T","Dir=V")</f>
        <v>0</v>
      </c>
      <c r="AY2">
        <f>BDH("UHS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BDH("UI US Equity","BS_TOT_ASSET","1993-06-18","2026-05-02","Per=Y","Days=T","Dir=V")</f>
        <v>0</v>
      </c>
      <c r="C2">
        <f>BDH("UI US Equity","BS_TOT_LIAB2","1993-06-18","2026-05-02","Per=Y","Days=T","Dir=V")</f>
        <v>0</v>
      </c>
      <c r="E2">
        <f>BDH("UI US Equity","SHORT_AND_LONG_TERM_DEBT","1993-06-18","2026-05-02","Per=Y","Days=T","Dir=V")</f>
        <v>0</v>
      </c>
      <c r="G2">
        <f>BDH("UI US Equity","BS_ST_BORROW","1993-06-18","2026-05-02","Per=Y","Days=T","Dir=V")</f>
        <v>0</v>
      </c>
      <c r="I2">
        <f>BDH("UI US Equity","BS_LT_BORROW","1993-06-18","2026-05-02","Per=Y","Days=T","Dir=V")</f>
        <v>0</v>
      </c>
      <c r="K2">
        <f>BDH("UI US Equity","BS_CASH_NEAR_CASH_ITEM","1993-06-18","2026-05-02","Per=Y","Days=T","Dir=V")</f>
        <v>0</v>
      </c>
      <c r="M2">
        <f>BDH("UI US Equity","BS_CUR_ASSET_REPORT","1993-06-18","2026-05-02","Per=Y","Days=T","Dir=V")</f>
        <v>0</v>
      </c>
      <c r="O2">
        <f>BDH("UI US Equity","BS_CUR_LIAB","1993-06-18","2026-05-02","Per=Y","Days=T","Dir=V")</f>
        <v>0</v>
      </c>
      <c r="Q2">
        <f>BDH("UI US Equity","BS_SHAREHOLDER_EQY_ENDING_PERIOD","1993-06-18","2026-05-02","Per=Y","Days=T","Dir=V")</f>
        <v>0</v>
      </c>
      <c r="S2">
        <f>BDH("UI US Equity","BS_ACCT_NOTE_RCV","1993-06-18","2026-05-02","Per=Y","Days=T","Dir=V")</f>
        <v>0</v>
      </c>
      <c r="U2">
        <f>BDH("UI US Equity","BS_INVENTORIES","1993-06-18","2026-05-02","Per=Y","Days=T","Dir=V")</f>
        <v>0</v>
      </c>
      <c r="W2">
        <f>BDH("UI US Equity","WORKING_CAPITAL","1993-06-18","2026-05-02","Per=Y","Days=T","Dir=V")</f>
        <v>0</v>
      </c>
      <c r="Y2">
        <f>BDH("UI US Equity","SALES_REV_TURN","1993-06-18","2026-05-02","Per=Y","Days=T","Dir=V")</f>
        <v>0</v>
      </c>
      <c r="AA2">
        <f>BDH("UI US Equity","EBIT","1993-06-18","2026-05-02","Per=Y","Days=T","Dir=V")</f>
        <v>0</v>
      </c>
      <c r="AC2">
        <f>BDH("UI US Equity","EBITDA","1993-06-18","2026-05-02","Per=Y","Days=T","Dir=V")</f>
        <v>0</v>
      </c>
      <c r="AE2">
        <f>BDH("UI US Equity","NET_INCOME","1993-06-18","2026-05-02","Per=Y","Days=T","Dir=V")</f>
        <v>0</v>
      </c>
      <c r="AG2">
        <f>BDH("UI US Equity","IS_INT_EXPENSE","1993-06-18","2026-05-02","Per=Y","Days=T","Dir=V")</f>
        <v>0</v>
      </c>
      <c r="AI2">
        <f>BDH("UI US Equity","IS_DEPR_EXP","1993-06-18","2026-05-02","Per=Y","Days=T","Dir=V")</f>
        <v>0</v>
      </c>
      <c r="AK2">
        <f>BDH("UI US Equity","CF_CASH_FROM_OPER","1993-06-18","2026-05-02","Per=Y","Days=T","Dir=V")</f>
        <v>0</v>
      </c>
      <c r="AM2">
        <f>BDH("UI US Equity","CAPITAL_EXPEND","1993-06-18","2026-05-02","Per=Y","Days=T","Dir=V")</f>
        <v>0</v>
      </c>
      <c r="AO2">
        <f>BDH("UI US Equity","CF_FREE_CASH_FLOW","1993-06-18","2026-05-02","Per=Y","Days=T","Dir=V")</f>
        <v>0</v>
      </c>
      <c r="AQ2">
        <f>BDH("UI US Equity","PX_LAST","1993-06-18","2026-05-02","Per=M","Days=T","Dir=V")</f>
        <v>0</v>
      </c>
      <c r="AS2">
        <f>BDH("UI US Equity","CUR_MKT_CAP","1993-06-18","2026-05-02","Per=M","Days=T","Dir=V")</f>
        <v>0</v>
      </c>
      <c r="AU2">
        <f>BDH("UI US Equity","EQY_SH_OUT","1993-06-18","2026-05-02","Per=M","Days=T","Dir=V")</f>
        <v>0</v>
      </c>
      <c r="AW2">
        <f>BDH("UI US Equity","PX_VOLUME","1993-06-18","2026-05-02","Per=M","Days=T","Dir=V")</f>
        <v>0</v>
      </c>
      <c r="AY2">
        <f>BDH("UI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BDH("UIS US Equity","BS_TOT_ASSET","1993-06-18","2026-05-02","Per=Y","Days=T","Dir=V")</f>
        <v>0</v>
      </c>
      <c r="C2">
        <f>BDH("UIS US Equity","BS_TOT_LIAB2","1993-06-18","2026-05-02","Per=Y","Days=T","Dir=V")</f>
        <v>0</v>
      </c>
      <c r="E2">
        <f>BDH("UIS US Equity","SHORT_AND_LONG_TERM_DEBT","1993-06-18","2026-05-02","Per=Y","Days=T","Dir=V")</f>
        <v>0</v>
      </c>
      <c r="G2">
        <f>BDH("UIS US Equity","BS_ST_BORROW","1993-06-18","2026-05-02","Per=Y","Days=T","Dir=V")</f>
        <v>0</v>
      </c>
      <c r="I2">
        <f>BDH("UIS US Equity","BS_LT_BORROW","1993-06-18","2026-05-02","Per=Y","Days=T","Dir=V")</f>
        <v>0</v>
      </c>
      <c r="K2">
        <f>BDH("UIS US Equity","BS_CASH_NEAR_CASH_ITEM","1993-06-18","2026-05-02","Per=Y","Days=T","Dir=V")</f>
        <v>0</v>
      </c>
      <c r="M2">
        <f>BDH("UIS US Equity","BS_CUR_ASSET_REPORT","1993-06-18","2026-05-02","Per=Y","Days=T","Dir=V")</f>
        <v>0</v>
      </c>
      <c r="O2">
        <f>BDH("UIS US Equity","BS_CUR_LIAB","1993-06-18","2026-05-02","Per=Y","Days=T","Dir=V")</f>
        <v>0</v>
      </c>
      <c r="Q2">
        <f>BDH("UIS US Equity","BS_SHAREHOLDER_EQY_ENDING_PERIOD","1993-06-18","2026-05-02","Per=Y","Days=T","Dir=V")</f>
        <v>0</v>
      </c>
      <c r="S2">
        <f>BDH("UIS US Equity","BS_ACCT_NOTE_RCV","1993-06-18","2026-05-02","Per=Y","Days=T","Dir=V")</f>
        <v>0</v>
      </c>
      <c r="U2">
        <f>BDH("UIS US Equity","BS_INVENTORIES","1993-06-18","2026-05-02","Per=Y","Days=T","Dir=V")</f>
        <v>0</v>
      </c>
      <c r="W2">
        <f>BDH("UIS US Equity","WORKING_CAPITAL","1993-06-18","2026-05-02","Per=Y","Days=T","Dir=V")</f>
        <v>0</v>
      </c>
      <c r="Y2">
        <f>BDH("UIS US Equity","SALES_REV_TURN","1993-06-18","2026-05-02","Per=Y","Days=T","Dir=V")</f>
        <v>0</v>
      </c>
      <c r="AA2">
        <f>BDH("UIS US Equity","EBIT","1993-06-18","2026-05-02","Per=Y","Days=T","Dir=V")</f>
        <v>0</v>
      </c>
      <c r="AC2">
        <f>BDH("UIS US Equity","EBITDA","1993-06-18","2026-05-02","Per=Y","Days=T","Dir=V")</f>
        <v>0</v>
      </c>
      <c r="AE2">
        <f>BDH("UIS US Equity","NET_INCOME","1993-06-18","2026-05-02","Per=Y","Days=T","Dir=V")</f>
        <v>0</v>
      </c>
      <c r="AG2">
        <f>BDH("UIS US Equity","IS_INT_EXPENSE","1993-06-18","2026-05-02","Per=Y","Days=T","Dir=V")</f>
        <v>0</v>
      </c>
      <c r="AI2">
        <f>BDH("UIS US Equity","IS_DEPR_EXP","1993-06-18","2026-05-02","Per=Y","Days=T","Dir=V")</f>
        <v>0</v>
      </c>
      <c r="AK2">
        <f>BDH("UIS US Equity","CF_CASH_FROM_OPER","1993-06-18","2026-05-02","Per=Y","Days=T","Dir=V")</f>
        <v>0</v>
      </c>
      <c r="AM2">
        <f>BDH("UIS US Equity","CAPITAL_EXPEND","1993-06-18","2026-05-02","Per=Y","Days=T","Dir=V")</f>
        <v>0</v>
      </c>
      <c r="AO2">
        <f>BDH("UIS US Equity","CF_FREE_CASH_FLOW","1993-06-18","2026-05-02","Per=Y","Days=T","Dir=V")</f>
        <v>0</v>
      </c>
      <c r="AQ2">
        <f>BDH("UIS US Equity","PX_LAST","1993-06-18","2026-05-02","Per=M","Days=T","Dir=V")</f>
        <v>0</v>
      </c>
      <c r="AS2">
        <f>BDH("UIS US Equity","CUR_MKT_CAP","1993-06-18","2026-05-02","Per=M","Days=T","Dir=V")</f>
        <v>0</v>
      </c>
      <c r="AU2">
        <f>BDH("UIS US Equity","EQY_SH_OUT","1993-06-18","2026-05-02","Per=M","Days=T","Dir=V")</f>
        <v>0</v>
      </c>
      <c r="AW2">
        <f>BDH("UIS US Equity","PX_VOLUME","1993-06-18","2026-05-02","Per=M","Days=T","Dir=V")</f>
        <v>0</v>
      </c>
      <c r="AY2">
        <f>BDH("UIS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BDH("UK US Equity","BS_TOT_ASSET","1993-06-18","2026-05-02","Per=Y","Days=T","Dir=V")</f>
        <v>0</v>
      </c>
      <c r="C2">
        <f>BDH("UK US Equity","BS_TOT_LIAB2","1993-06-18","2026-05-02","Per=Y","Days=T","Dir=V")</f>
        <v>0</v>
      </c>
      <c r="E2">
        <f>BDH("UK US Equity","SHORT_AND_LONG_TERM_DEBT","1993-06-18","2026-05-02","Per=Y","Days=T","Dir=V")</f>
        <v>0</v>
      </c>
      <c r="G2">
        <f>BDH("UK US Equity","BS_ST_BORROW","1993-06-18","2026-05-02","Per=Y","Days=T","Dir=V")</f>
        <v>0</v>
      </c>
      <c r="I2">
        <f>BDH("UK US Equity","BS_LT_BORROW","1993-06-18","2026-05-02","Per=Y","Days=T","Dir=V")</f>
        <v>0</v>
      </c>
      <c r="K2">
        <f>BDH("UK US Equity","BS_CASH_NEAR_CASH_ITEM","1993-06-18","2026-05-02","Per=Y","Days=T","Dir=V")</f>
        <v>0</v>
      </c>
      <c r="M2">
        <f>BDH("UK US Equity","BS_CUR_ASSET_REPORT","1993-06-18","2026-05-02","Per=Y","Days=T","Dir=V")</f>
        <v>0</v>
      </c>
      <c r="O2">
        <f>BDH("UK US Equity","BS_CUR_LIAB","1993-06-18","2026-05-02","Per=Y","Days=T","Dir=V")</f>
        <v>0</v>
      </c>
      <c r="Q2">
        <f>BDH("UK US Equity","BS_SHAREHOLDER_EQY_ENDING_PERIOD","1993-06-18","2026-05-02","Per=Y","Days=T","Dir=V")</f>
        <v>0</v>
      </c>
      <c r="S2">
        <f>BDH("UK US Equity","BS_ACCT_NOTE_RCV","1993-06-18","2026-05-02","Per=Y","Days=T","Dir=V")</f>
        <v>0</v>
      </c>
      <c r="U2">
        <f>BDH("UK US Equity","BS_INVENTORIES","1993-06-18","2026-05-02","Per=Y","Days=T","Dir=V")</f>
        <v>0</v>
      </c>
      <c r="W2">
        <f>BDH("UK US Equity","WORKING_CAPITAL","1993-06-18","2026-05-02","Per=Y","Days=T","Dir=V")</f>
        <v>0</v>
      </c>
      <c r="Y2">
        <f>BDH("UK US Equity","SALES_REV_TURN","1993-06-18","2026-05-02","Per=Y","Days=T","Dir=V")</f>
        <v>0</v>
      </c>
      <c r="AA2">
        <f>BDH("UK US Equity","EBIT","1993-06-18","2026-05-02","Per=Y","Days=T","Dir=V")</f>
        <v>0</v>
      </c>
      <c r="AC2">
        <f>BDH("UK US Equity","EBITDA","1993-06-18","2026-05-02","Per=Y","Days=T","Dir=V")</f>
        <v>0</v>
      </c>
      <c r="AE2">
        <f>BDH("UK US Equity","NET_INCOME","1993-06-18","2026-05-02","Per=Y","Days=T","Dir=V")</f>
        <v>0</v>
      </c>
      <c r="AG2">
        <f>BDH("UK US Equity","IS_INT_EXPENSE","1993-06-18","2026-05-02","Per=Y","Days=T","Dir=V")</f>
        <v>0</v>
      </c>
      <c r="AI2">
        <f>BDH("UK US Equity","IS_DEPR_EXP","1993-06-18","2026-05-02","Per=Y","Days=T","Dir=V")</f>
        <v>0</v>
      </c>
      <c r="AK2">
        <f>BDH("UK US Equity","CF_CASH_FROM_OPER","1993-06-18","2026-05-02","Per=Y","Days=T","Dir=V")</f>
        <v>0</v>
      </c>
      <c r="AM2">
        <f>BDH("UK US Equity","CAPITAL_EXPEND","1993-06-18","2026-05-02","Per=Y","Days=T","Dir=V")</f>
        <v>0</v>
      </c>
      <c r="AO2">
        <f>BDH("UK US Equity","CF_FREE_CASH_FLOW","1993-06-18","2026-05-02","Per=Y","Days=T","Dir=V")</f>
        <v>0</v>
      </c>
      <c r="AQ2">
        <f>BDH("UK US Equity","PX_LAST","1993-06-18","2026-05-02","Per=M","Days=T","Dir=V")</f>
        <v>0</v>
      </c>
      <c r="AS2">
        <f>BDH("UK US Equity","CUR_MKT_CAP","1993-06-18","2026-05-02","Per=M","Days=T","Dir=V")</f>
        <v>0</v>
      </c>
      <c r="AU2">
        <f>BDH("UK US Equity","EQY_SH_OUT","1993-06-18","2026-05-02","Per=M","Days=T","Dir=V")</f>
        <v>0</v>
      </c>
      <c r="AW2">
        <f>BDH("UK US Equity","PX_VOLUME","1993-06-18","2026-05-02","Per=M","Days=T","Dir=V")</f>
        <v>0</v>
      </c>
      <c r="AY2">
        <f>BDH("UK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BDH("ULCC US Equity","BS_TOT_ASSET","1993-06-18","2026-05-02","Per=Y","Days=T","Dir=V")</f>
        <v>0</v>
      </c>
      <c r="C2">
        <f>BDH("ULCC US Equity","BS_TOT_LIAB2","1993-06-18","2026-05-02","Per=Y","Days=T","Dir=V")</f>
        <v>0</v>
      </c>
      <c r="E2">
        <f>BDH("ULCC US Equity","SHORT_AND_LONG_TERM_DEBT","1993-06-18","2026-05-02","Per=Y","Days=T","Dir=V")</f>
        <v>0</v>
      </c>
      <c r="G2">
        <f>BDH("ULCC US Equity","BS_ST_BORROW","1993-06-18","2026-05-02","Per=Y","Days=T","Dir=V")</f>
        <v>0</v>
      </c>
      <c r="I2">
        <f>BDH("ULCC US Equity","BS_LT_BORROW","1993-06-18","2026-05-02","Per=Y","Days=T","Dir=V")</f>
        <v>0</v>
      </c>
      <c r="K2">
        <f>BDH("ULCC US Equity","BS_CASH_NEAR_CASH_ITEM","1993-06-18","2026-05-02","Per=Y","Days=T","Dir=V")</f>
        <v>0</v>
      </c>
      <c r="M2">
        <f>BDH("ULCC US Equity","BS_CUR_ASSET_REPORT","1993-06-18","2026-05-02","Per=Y","Days=T","Dir=V")</f>
        <v>0</v>
      </c>
      <c r="O2">
        <f>BDH("ULCC US Equity","BS_CUR_LIAB","1993-06-18","2026-05-02","Per=Y","Days=T","Dir=V")</f>
        <v>0</v>
      </c>
      <c r="Q2">
        <f>BDH("ULCC US Equity","BS_SHAREHOLDER_EQY_ENDING_PERIOD","1993-06-18","2026-05-02","Per=Y","Days=T","Dir=V")</f>
        <v>0</v>
      </c>
      <c r="S2">
        <f>BDH("ULCC US Equity","BS_ACCT_NOTE_RCV","1993-06-18","2026-05-02","Per=Y","Days=T","Dir=V")</f>
        <v>0</v>
      </c>
      <c r="U2">
        <f>BDH("ULCC US Equity","BS_INVENTORIES","1993-06-18","2026-05-02","Per=Y","Days=T","Dir=V")</f>
        <v>0</v>
      </c>
      <c r="W2">
        <f>BDH("ULCC US Equity","WORKING_CAPITAL","1993-06-18","2026-05-02","Per=Y","Days=T","Dir=V")</f>
        <v>0</v>
      </c>
      <c r="Y2">
        <f>BDH("ULCC US Equity","SALES_REV_TURN","1993-06-18","2026-05-02","Per=Y","Days=T","Dir=V")</f>
        <v>0</v>
      </c>
      <c r="AA2">
        <f>BDH("ULCC US Equity","EBIT","1993-06-18","2026-05-02","Per=Y","Days=T","Dir=V")</f>
        <v>0</v>
      </c>
      <c r="AC2">
        <f>BDH("ULCC US Equity","EBITDA","1993-06-18","2026-05-02","Per=Y","Days=T","Dir=V")</f>
        <v>0</v>
      </c>
      <c r="AE2">
        <f>BDH("ULCC US Equity","NET_INCOME","1993-06-18","2026-05-02","Per=Y","Days=T","Dir=V")</f>
        <v>0</v>
      </c>
      <c r="AG2">
        <f>BDH("ULCC US Equity","IS_INT_EXPENSE","1993-06-18","2026-05-02","Per=Y","Days=T","Dir=V")</f>
        <v>0</v>
      </c>
      <c r="AI2">
        <f>BDH("ULCC US Equity","IS_DEPR_EXP","1993-06-18","2026-05-02","Per=Y","Days=T","Dir=V")</f>
        <v>0</v>
      </c>
      <c r="AK2">
        <f>BDH("ULCC US Equity","CF_CASH_FROM_OPER","1993-06-18","2026-05-02","Per=Y","Days=T","Dir=V")</f>
        <v>0</v>
      </c>
      <c r="AM2">
        <f>BDH("ULCC US Equity","CAPITAL_EXPEND","1993-06-18","2026-05-02","Per=Y","Days=T","Dir=V")</f>
        <v>0</v>
      </c>
      <c r="AO2">
        <f>BDH("ULCC US Equity","CF_FREE_CASH_FLOW","1993-06-18","2026-05-02","Per=Y","Days=T","Dir=V")</f>
        <v>0</v>
      </c>
      <c r="AQ2">
        <f>BDH("ULCC US Equity","PX_LAST","1993-06-18","2026-05-02","Per=M","Days=T","Dir=V")</f>
        <v>0</v>
      </c>
      <c r="AS2">
        <f>BDH("ULCC US Equity","CUR_MKT_CAP","1993-06-18","2026-05-02","Per=M","Days=T","Dir=V")</f>
        <v>0</v>
      </c>
      <c r="AU2">
        <f>BDH("ULCC US Equity","EQY_SH_OUT","1993-06-18","2026-05-02","Per=M","Days=T","Dir=V")</f>
        <v>0</v>
      </c>
      <c r="AW2">
        <f>BDH("ULCC US Equity","PX_VOLUME","1993-06-18","2026-05-02","Per=M","Days=T","Dir=V")</f>
        <v>0</v>
      </c>
      <c r="AY2">
        <f>BDH("ULCC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BDH("ULH US Equity","BS_TOT_ASSET","1993-06-18","2026-05-02","Per=Y","Days=T","Dir=V")</f>
        <v>0</v>
      </c>
      <c r="C2">
        <f>BDH("ULH US Equity","BS_TOT_LIAB2","1993-06-18","2026-05-02","Per=Y","Days=T","Dir=V")</f>
        <v>0</v>
      </c>
      <c r="E2">
        <f>BDH("ULH US Equity","SHORT_AND_LONG_TERM_DEBT","1993-06-18","2026-05-02","Per=Y","Days=T","Dir=V")</f>
        <v>0</v>
      </c>
      <c r="G2">
        <f>BDH("ULH US Equity","BS_ST_BORROW","1993-06-18","2026-05-02","Per=Y","Days=T","Dir=V")</f>
        <v>0</v>
      </c>
      <c r="I2">
        <f>BDH("ULH US Equity","BS_LT_BORROW","1993-06-18","2026-05-02","Per=Y","Days=T","Dir=V")</f>
        <v>0</v>
      </c>
      <c r="K2">
        <f>BDH("ULH US Equity","BS_CASH_NEAR_CASH_ITEM","1993-06-18","2026-05-02","Per=Y","Days=T","Dir=V")</f>
        <v>0</v>
      </c>
      <c r="M2">
        <f>BDH("ULH US Equity","BS_CUR_ASSET_REPORT","1993-06-18","2026-05-02","Per=Y","Days=T","Dir=V")</f>
        <v>0</v>
      </c>
      <c r="O2">
        <f>BDH("ULH US Equity","BS_CUR_LIAB","1993-06-18","2026-05-02","Per=Y","Days=T","Dir=V")</f>
        <v>0</v>
      </c>
      <c r="Q2">
        <f>BDH("ULH US Equity","BS_SHAREHOLDER_EQY_ENDING_PERIOD","1993-06-18","2026-05-02","Per=Y","Days=T","Dir=V")</f>
        <v>0</v>
      </c>
      <c r="S2">
        <f>BDH("ULH US Equity","BS_ACCT_NOTE_RCV","1993-06-18","2026-05-02","Per=Y","Days=T","Dir=V")</f>
        <v>0</v>
      </c>
      <c r="U2">
        <f>BDH("ULH US Equity","BS_INVENTORIES","1993-06-18","2026-05-02","Per=Y","Days=T","Dir=V")</f>
        <v>0</v>
      </c>
      <c r="W2">
        <f>BDH("ULH US Equity","WORKING_CAPITAL","1993-06-18","2026-05-02","Per=Y","Days=T","Dir=V")</f>
        <v>0</v>
      </c>
      <c r="Y2">
        <f>BDH("ULH US Equity","SALES_REV_TURN","1993-06-18","2026-05-02","Per=Y","Days=T","Dir=V")</f>
        <v>0</v>
      </c>
      <c r="AA2">
        <f>BDH("ULH US Equity","EBIT","1993-06-18","2026-05-02","Per=Y","Days=T","Dir=V")</f>
        <v>0</v>
      </c>
      <c r="AC2">
        <f>BDH("ULH US Equity","EBITDA","1993-06-18","2026-05-02","Per=Y","Days=T","Dir=V")</f>
        <v>0</v>
      </c>
      <c r="AE2">
        <f>BDH("ULH US Equity","NET_INCOME","1993-06-18","2026-05-02","Per=Y","Days=T","Dir=V")</f>
        <v>0</v>
      </c>
      <c r="AG2">
        <f>BDH("ULH US Equity","IS_INT_EXPENSE","1993-06-18","2026-05-02","Per=Y","Days=T","Dir=V")</f>
        <v>0</v>
      </c>
      <c r="AI2">
        <f>BDH("ULH US Equity","IS_DEPR_EXP","1993-06-18","2026-05-02","Per=Y","Days=T","Dir=V")</f>
        <v>0</v>
      </c>
      <c r="AK2">
        <f>BDH("ULH US Equity","CF_CASH_FROM_OPER","1993-06-18","2026-05-02","Per=Y","Days=T","Dir=V")</f>
        <v>0</v>
      </c>
      <c r="AM2">
        <f>BDH("ULH US Equity","CAPITAL_EXPEND","1993-06-18","2026-05-02","Per=Y","Days=T","Dir=V")</f>
        <v>0</v>
      </c>
      <c r="AO2">
        <f>BDH("ULH US Equity","CF_FREE_CASH_FLOW","1993-06-18","2026-05-02","Per=Y","Days=T","Dir=V")</f>
        <v>0</v>
      </c>
      <c r="AQ2">
        <f>BDH("ULH US Equity","PX_LAST","1993-06-18","2026-05-02","Per=M","Days=T","Dir=V")</f>
        <v>0</v>
      </c>
      <c r="AS2">
        <f>BDH("ULH US Equity","CUR_MKT_CAP","1993-06-18","2026-05-02","Per=M","Days=T","Dir=V")</f>
        <v>0</v>
      </c>
      <c r="AU2">
        <f>BDH("ULH US Equity","EQY_SH_OUT","1993-06-18","2026-05-02","Per=M","Days=T","Dir=V")</f>
        <v>0</v>
      </c>
      <c r="AW2">
        <f>BDH("ULH US Equity","PX_VOLUME","1993-06-18","2026-05-02","Per=M","Days=T","Dir=V")</f>
        <v>0</v>
      </c>
      <c r="AY2">
        <f>BDH("ULH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BDH("ULS US Equity","BS_TOT_ASSET","1993-06-18","2026-05-02","Per=Y","Days=T","Dir=V")</f>
        <v>0</v>
      </c>
      <c r="C2">
        <f>BDH("ULS US Equity","BS_TOT_LIAB2","1993-06-18","2026-05-02","Per=Y","Days=T","Dir=V")</f>
        <v>0</v>
      </c>
      <c r="E2">
        <f>BDH("ULS US Equity","SHORT_AND_LONG_TERM_DEBT","1993-06-18","2026-05-02","Per=Y","Days=T","Dir=V")</f>
        <v>0</v>
      </c>
      <c r="G2">
        <f>BDH("ULS US Equity","BS_ST_BORROW","1993-06-18","2026-05-02","Per=Y","Days=T","Dir=V")</f>
        <v>0</v>
      </c>
      <c r="I2">
        <f>BDH("ULS US Equity","BS_LT_BORROW","1993-06-18","2026-05-02","Per=Y","Days=T","Dir=V")</f>
        <v>0</v>
      </c>
      <c r="K2">
        <f>BDH("ULS US Equity","BS_CASH_NEAR_CASH_ITEM","1993-06-18","2026-05-02","Per=Y","Days=T","Dir=V")</f>
        <v>0</v>
      </c>
      <c r="M2">
        <f>BDH("ULS US Equity","BS_CUR_ASSET_REPORT","1993-06-18","2026-05-02","Per=Y","Days=T","Dir=V")</f>
        <v>0</v>
      </c>
      <c r="O2">
        <f>BDH("ULS US Equity","BS_CUR_LIAB","1993-06-18","2026-05-02","Per=Y","Days=T","Dir=V")</f>
        <v>0</v>
      </c>
      <c r="Q2">
        <f>BDH("ULS US Equity","BS_SHAREHOLDER_EQY_ENDING_PERIOD","1993-06-18","2026-05-02","Per=Y","Days=T","Dir=V")</f>
        <v>0</v>
      </c>
      <c r="S2">
        <f>BDH("ULS US Equity","BS_ACCT_NOTE_RCV","1993-06-18","2026-05-02","Per=Y","Days=T","Dir=V")</f>
        <v>0</v>
      </c>
      <c r="U2">
        <f>BDH("ULS US Equity","BS_INVENTORIES","1993-06-18","2026-05-02","Per=Y","Days=T","Dir=V")</f>
        <v>0</v>
      </c>
      <c r="W2">
        <f>BDH("ULS US Equity","WORKING_CAPITAL","1993-06-18","2026-05-02","Per=Y","Days=T","Dir=V")</f>
        <v>0</v>
      </c>
      <c r="Y2">
        <f>BDH("ULS US Equity","SALES_REV_TURN","1993-06-18","2026-05-02","Per=Y","Days=T","Dir=V")</f>
        <v>0</v>
      </c>
      <c r="AA2">
        <f>BDH("ULS US Equity","EBIT","1993-06-18","2026-05-02","Per=Y","Days=T","Dir=V")</f>
        <v>0</v>
      </c>
      <c r="AC2">
        <f>BDH("ULS US Equity","EBITDA","1993-06-18","2026-05-02","Per=Y","Days=T","Dir=V")</f>
        <v>0</v>
      </c>
      <c r="AE2">
        <f>BDH("ULS US Equity","NET_INCOME","1993-06-18","2026-05-02","Per=Y","Days=T","Dir=V")</f>
        <v>0</v>
      </c>
      <c r="AG2">
        <f>BDH("ULS US Equity","IS_INT_EXPENSE","1993-06-18","2026-05-02","Per=Y","Days=T","Dir=V")</f>
        <v>0</v>
      </c>
      <c r="AI2">
        <f>BDH("ULS US Equity","IS_DEPR_EXP","1993-06-18","2026-05-02","Per=Y","Days=T","Dir=V")</f>
        <v>0</v>
      </c>
      <c r="AK2">
        <f>BDH("ULS US Equity","CF_CASH_FROM_OPER","1993-06-18","2026-05-02","Per=Y","Days=T","Dir=V")</f>
        <v>0</v>
      </c>
      <c r="AM2">
        <f>BDH("ULS US Equity","CAPITAL_EXPEND","1993-06-18","2026-05-02","Per=Y","Days=T","Dir=V")</f>
        <v>0</v>
      </c>
      <c r="AO2">
        <f>BDH("ULS US Equity","CF_FREE_CASH_FLOW","1993-06-18","2026-05-02","Per=Y","Days=T","Dir=V")</f>
        <v>0</v>
      </c>
      <c r="AQ2">
        <f>BDH("ULS US Equity","PX_LAST","1993-06-18","2026-05-02","Per=M","Days=T","Dir=V")</f>
        <v>0</v>
      </c>
      <c r="AS2">
        <f>BDH("ULS US Equity","CUR_MKT_CAP","1993-06-18","2026-05-02","Per=M","Days=T","Dir=V")</f>
        <v>0</v>
      </c>
      <c r="AU2">
        <f>BDH("ULS US Equity","EQY_SH_OUT","1993-06-18","2026-05-02","Per=M","Days=T","Dir=V")</f>
        <v>0</v>
      </c>
      <c r="AW2">
        <f>BDH("ULS US Equity","PX_VOLUME","1993-06-18","2026-05-02","Per=M","Days=T","Dir=V")</f>
        <v>0</v>
      </c>
      <c r="AY2">
        <f>BDH("ULS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BDH("ULTA US Equity","BS_TOT_ASSET","1993-06-18","2026-05-02","Per=Y","Days=T","Dir=V")</f>
        <v>0</v>
      </c>
      <c r="C2">
        <f>BDH("ULTA US Equity","BS_TOT_LIAB2","1993-06-18","2026-05-02","Per=Y","Days=T","Dir=V")</f>
        <v>0</v>
      </c>
      <c r="E2">
        <f>BDH("ULTA US Equity","SHORT_AND_LONG_TERM_DEBT","1993-06-18","2026-05-02","Per=Y","Days=T","Dir=V")</f>
        <v>0</v>
      </c>
      <c r="G2">
        <f>BDH("ULTA US Equity","BS_ST_BORROW","1993-06-18","2026-05-02","Per=Y","Days=T","Dir=V")</f>
        <v>0</v>
      </c>
      <c r="I2">
        <f>BDH("ULTA US Equity","BS_LT_BORROW","1993-06-18","2026-05-02","Per=Y","Days=T","Dir=V")</f>
        <v>0</v>
      </c>
      <c r="K2">
        <f>BDH("ULTA US Equity","BS_CASH_NEAR_CASH_ITEM","1993-06-18","2026-05-02","Per=Y","Days=T","Dir=V")</f>
        <v>0</v>
      </c>
      <c r="M2">
        <f>BDH("ULTA US Equity","BS_CUR_ASSET_REPORT","1993-06-18","2026-05-02","Per=Y","Days=T","Dir=V")</f>
        <v>0</v>
      </c>
      <c r="O2">
        <f>BDH("ULTA US Equity","BS_CUR_LIAB","1993-06-18","2026-05-02","Per=Y","Days=T","Dir=V")</f>
        <v>0</v>
      </c>
      <c r="Q2">
        <f>BDH("ULTA US Equity","BS_SHAREHOLDER_EQY_ENDING_PERIOD","1993-06-18","2026-05-02","Per=Y","Days=T","Dir=V")</f>
        <v>0</v>
      </c>
      <c r="S2">
        <f>BDH("ULTA US Equity","BS_ACCT_NOTE_RCV","1993-06-18","2026-05-02","Per=Y","Days=T","Dir=V")</f>
        <v>0</v>
      </c>
      <c r="U2">
        <f>BDH("ULTA US Equity","BS_INVENTORIES","1993-06-18","2026-05-02","Per=Y","Days=T","Dir=V")</f>
        <v>0</v>
      </c>
      <c r="W2">
        <f>BDH("ULTA US Equity","WORKING_CAPITAL","1993-06-18","2026-05-02","Per=Y","Days=T","Dir=V")</f>
        <v>0</v>
      </c>
      <c r="Y2">
        <f>BDH("ULTA US Equity","SALES_REV_TURN","1993-06-18","2026-05-02","Per=Y","Days=T","Dir=V")</f>
        <v>0</v>
      </c>
      <c r="AA2">
        <f>BDH("ULTA US Equity","EBIT","1993-06-18","2026-05-02","Per=Y","Days=T","Dir=V")</f>
        <v>0</v>
      </c>
      <c r="AC2">
        <f>BDH("ULTA US Equity","EBITDA","1993-06-18","2026-05-02","Per=Y","Days=T","Dir=V")</f>
        <v>0</v>
      </c>
      <c r="AE2">
        <f>BDH("ULTA US Equity","NET_INCOME","1993-06-18","2026-05-02","Per=Y","Days=T","Dir=V")</f>
        <v>0</v>
      </c>
      <c r="AG2">
        <f>BDH("ULTA US Equity","IS_INT_EXPENSE","1993-06-18","2026-05-02","Per=Y","Days=T","Dir=V")</f>
        <v>0</v>
      </c>
      <c r="AI2">
        <f>BDH("ULTA US Equity","IS_DEPR_EXP","1993-06-18","2026-05-02","Per=Y","Days=T","Dir=V")</f>
        <v>0</v>
      </c>
      <c r="AK2">
        <f>BDH("ULTA US Equity","CF_CASH_FROM_OPER","1993-06-18","2026-05-02","Per=Y","Days=T","Dir=V")</f>
        <v>0</v>
      </c>
      <c r="AM2">
        <f>BDH("ULTA US Equity","CAPITAL_EXPEND","1993-06-18","2026-05-02","Per=Y","Days=T","Dir=V")</f>
        <v>0</v>
      </c>
      <c r="AO2">
        <f>BDH("ULTA US Equity","CF_FREE_CASH_FLOW","1993-06-18","2026-05-02","Per=Y","Days=T","Dir=V")</f>
        <v>0</v>
      </c>
      <c r="AQ2">
        <f>BDH("ULTA US Equity","PX_LAST","1993-06-18","2026-05-02","Per=M","Days=T","Dir=V")</f>
        <v>0</v>
      </c>
      <c r="AS2">
        <f>BDH("ULTA US Equity","CUR_MKT_CAP","1993-06-18","2026-05-02","Per=M","Days=T","Dir=V")</f>
        <v>0</v>
      </c>
      <c r="AU2">
        <f>BDH("ULTA US Equity","EQY_SH_OUT","1993-06-18","2026-05-02","Per=M","Days=T","Dir=V")</f>
        <v>0</v>
      </c>
      <c r="AW2">
        <f>BDH("ULTA US Equity","PX_VOLUME","1993-06-18","2026-05-02","Per=M","Days=T","Dir=V")</f>
        <v>0</v>
      </c>
      <c r="AY2">
        <f>BDH("ULTA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BDH("UMAC US Equity","BS_TOT_ASSET","1993-06-18","2026-05-02","Per=Y","Days=T","Dir=V")</f>
        <v>0</v>
      </c>
      <c r="C2">
        <f>BDH("UMAC US Equity","BS_TOT_LIAB2","1993-06-18","2026-05-02","Per=Y","Days=T","Dir=V")</f>
        <v>0</v>
      </c>
      <c r="E2">
        <f>BDH("UMAC US Equity","SHORT_AND_LONG_TERM_DEBT","1993-06-18","2026-05-02","Per=Y","Days=T","Dir=V")</f>
        <v>0</v>
      </c>
      <c r="G2">
        <f>BDH("UMAC US Equity","BS_ST_BORROW","1993-06-18","2026-05-02","Per=Y","Days=T","Dir=V")</f>
        <v>0</v>
      </c>
      <c r="I2">
        <f>BDH("UMAC US Equity","BS_LT_BORROW","1993-06-18","2026-05-02","Per=Y","Days=T","Dir=V")</f>
        <v>0</v>
      </c>
      <c r="K2">
        <f>BDH("UMAC US Equity","BS_CASH_NEAR_CASH_ITEM","1993-06-18","2026-05-02","Per=Y","Days=T","Dir=V")</f>
        <v>0</v>
      </c>
      <c r="M2">
        <f>BDH("UMAC US Equity","BS_CUR_ASSET_REPORT","1993-06-18","2026-05-02","Per=Y","Days=T","Dir=V")</f>
        <v>0</v>
      </c>
      <c r="O2">
        <f>BDH("UMAC US Equity","BS_CUR_LIAB","1993-06-18","2026-05-02","Per=Y","Days=T","Dir=V")</f>
        <v>0</v>
      </c>
      <c r="Q2">
        <f>BDH("UMAC US Equity","BS_SHAREHOLDER_EQY_ENDING_PERIOD","1993-06-18","2026-05-02","Per=Y","Days=T","Dir=V")</f>
        <v>0</v>
      </c>
      <c r="S2">
        <f>BDH("UMAC US Equity","BS_ACCT_NOTE_RCV","1993-06-18","2026-05-02","Per=Y","Days=T","Dir=V")</f>
        <v>0</v>
      </c>
      <c r="U2">
        <f>BDH("UMAC US Equity","BS_INVENTORIES","1993-06-18","2026-05-02","Per=Y","Days=T","Dir=V")</f>
        <v>0</v>
      </c>
      <c r="W2">
        <f>BDH("UMAC US Equity","WORKING_CAPITAL","1993-06-18","2026-05-02","Per=Y","Days=T","Dir=V")</f>
        <v>0</v>
      </c>
      <c r="Y2">
        <f>BDH("UMAC US Equity","SALES_REV_TURN","1993-06-18","2026-05-02","Per=Y","Days=T","Dir=V")</f>
        <v>0</v>
      </c>
      <c r="AA2">
        <f>BDH("UMAC US Equity","EBIT","1993-06-18","2026-05-02","Per=Y","Days=T","Dir=V")</f>
        <v>0</v>
      </c>
      <c r="AC2">
        <f>BDH("UMAC US Equity","EBITDA","1993-06-18","2026-05-02","Per=Y","Days=T","Dir=V")</f>
        <v>0</v>
      </c>
      <c r="AE2">
        <f>BDH("UMAC US Equity","NET_INCOME","1993-06-18","2026-05-02","Per=Y","Days=T","Dir=V")</f>
        <v>0</v>
      </c>
      <c r="AG2">
        <f>BDH("UMAC US Equity","IS_INT_EXPENSE","1993-06-18","2026-05-02","Per=Y","Days=T","Dir=V")</f>
        <v>0</v>
      </c>
      <c r="AI2">
        <f>BDH("UMAC US Equity","IS_DEPR_EXP","1993-06-18","2026-05-02","Per=Y","Days=T","Dir=V")</f>
        <v>0</v>
      </c>
      <c r="AK2">
        <f>BDH("UMAC US Equity","CF_CASH_FROM_OPER","1993-06-18","2026-05-02","Per=Y","Days=T","Dir=V")</f>
        <v>0</v>
      </c>
      <c r="AM2">
        <f>BDH("UMAC US Equity","CAPITAL_EXPEND","1993-06-18","2026-05-02","Per=Y","Days=T","Dir=V")</f>
        <v>0</v>
      </c>
      <c r="AO2">
        <f>BDH("UMAC US Equity","CF_FREE_CASH_FLOW","1993-06-18","2026-05-02","Per=Y","Days=T","Dir=V")</f>
        <v>0</v>
      </c>
      <c r="AQ2">
        <f>BDH("UMAC US Equity","PX_LAST","1993-06-18","2026-05-02","Per=M","Days=T","Dir=V")</f>
        <v>0</v>
      </c>
      <c r="AS2">
        <f>BDH("UMAC US Equity","CUR_MKT_CAP","1993-06-18","2026-05-02","Per=M","Days=T","Dir=V")</f>
        <v>0</v>
      </c>
      <c r="AU2">
        <f>BDH("UMAC US Equity","EQY_SH_OUT","1993-06-18","2026-05-02","Per=M","Days=T","Dir=V")</f>
        <v>0</v>
      </c>
      <c r="AW2">
        <f>BDH("UMAC US Equity","PX_VOLUME","1993-06-18","2026-05-02","Per=M","Days=T","Dir=V")</f>
        <v>0</v>
      </c>
      <c r="AY2">
        <f>BDH("UMAC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BDH("UNCY US Equity","BS_TOT_ASSET","1993-06-18","2026-05-02","Per=Y","Days=T","Dir=V")</f>
        <v>0</v>
      </c>
      <c r="C2">
        <f>BDH("UNCY US Equity","BS_TOT_LIAB2","1993-06-18","2026-05-02","Per=Y","Days=T","Dir=V")</f>
        <v>0</v>
      </c>
      <c r="E2">
        <f>BDH("UNCY US Equity","SHORT_AND_LONG_TERM_DEBT","1993-06-18","2026-05-02","Per=Y","Days=T","Dir=V")</f>
        <v>0</v>
      </c>
      <c r="G2">
        <f>BDH("UNCY US Equity","BS_ST_BORROW","1993-06-18","2026-05-02","Per=Y","Days=T","Dir=V")</f>
        <v>0</v>
      </c>
      <c r="I2">
        <f>BDH("UNCY US Equity","BS_LT_BORROW","1993-06-18","2026-05-02","Per=Y","Days=T","Dir=V")</f>
        <v>0</v>
      </c>
      <c r="K2">
        <f>BDH("UNCY US Equity","BS_CASH_NEAR_CASH_ITEM","1993-06-18","2026-05-02","Per=Y","Days=T","Dir=V")</f>
        <v>0</v>
      </c>
      <c r="M2">
        <f>BDH("UNCY US Equity","BS_CUR_ASSET_REPORT","1993-06-18","2026-05-02","Per=Y","Days=T","Dir=V")</f>
        <v>0</v>
      </c>
      <c r="O2">
        <f>BDH("UNCY US Equity","BS_CUR_LIAB","1993-06-18","2026-05-02","Per=Y","Days=T","Dir=V")</f>
        <v>0</v>
      </c>
      <c r="Q2">
        <f>BDH("UNCY US Equity","BS_SHAREHOLDER_EQY_ENDING_PERIOD","1993-06-18","2026-05-02","Per=Y","Days=T","Dir=V")</f>
        <v>0</v>
      </c>
      <c r="S2">
        <f>BDH("UNCY US Equity","BS_ACCT_NOTE_RCV","1993-06-18","2026-05-02","Per=Y","Days=T","Dir=V")</f>
        <v>0</v>
      </c>
      <c r="U2">
        <f>BDH("UNCY US Equity","BS_INVENTORIES","1993-06-18","2026-05-02","Per=Y","Days=T","Dir=V")</f>
        <v>0</v>
      </c>
      <c r="W2">
        <f>BDH("UNCY US Equity","WORKING_CAPITAL","1993-06-18","2026-05-02","Per=Y","Days=T","Dir=V")</f>
        <v>0</v>
      </c>
      <c r="Y2">
        <f>BDH("UNCY US Equity","SALES_REV_TURN","1993-06-18","2026-05-02","Per=Y","Days=T","Dir=V")</f>
        <v>0</v>
      </c>
      <c r="AA2">
        <f>BDH("UNCY US Equity","EBIT","1993-06-18","2026-05-02","Per=Y","Days=T","Dir=V")</f>
        <v>0</v>
      </c>
      <c r="AC2">
        <f>BDH("UNCY US Equity","EBITDA","1993-06-18","2026-05-02","Per=Y","Days=T","Dir=V")</f>
        <v>0</v>
      </c>
      <c r="AE2">
        <f>BDH("UNCY US Equity","NET_INCOME","1993-06-18","2026-05-02","Per=Y","Days=T","Dir=V")</f>
        <v>0</v>
      </c>
      <c r="AG2">
        <f>BDH("UNCY US Equity","IS_INT_EXPENSE","1993-06-18","2026-05-02","Per=Y","Days=T","Dir=V")</f>
        <v>0</v>
      </c>
      <c r="AI2">
        <f>BDH("UNCY US Equity","IS_DEPR_EXP","1993-06-18","2026-05-02","Per=Y","Days=T","Dir=V")</f>
        <v>0</v>
      </c>
      <c r="AK2">
        <f>BDH("UNCY US Equity","CF_CASH_FROM_OPER","1993-06-18","2026-05-02","Per=Y","Days=T","Dir=V")</f>
        <v>0</v>
      </c>
      <c r="AM2">
        <f>BDH("UNCY US Equity","CAPITAL_EXPEND","1993-06-18","2026-05-02","Per=Y","Days=T","Dir=V")</f>
        <v>0</v>
      </c>
      <c r="AO2">
        <f>BDH("UNCY US Equity","CF_FREE_CASH_FLOW","1993-06-18","2026-05-02","Per=Y","Days=T","Dir=V")</f>
        <v>0</v>
      </c>
      <c r="AQ2">
        <f>BDH("UNCY US Equity","PX_LAST","1993-06-18","2026-05-02","Per=M","Days=T","Dir=V")</f>
        <v>0</v>
      </c>
      <c r="AS2">
        <f>BDH("UNCY US Equity","CUR_MKT_CAP","1993-06-18","2026-05-02","Per=M","Days=T","Dir=V")</f>
        <v>0</v>
      </c>
      <c r="AU2">
        <f>BDH("UNCY US Equity","EQY_SH_OUT","1993-06-18","2026-05-02","Per=M","Days=T","Dir=V")</f>
        <v>0</v>
      </c>
      <c r="AW2">
        <f>BDH("UNCY US Equity","PX_VOLUME","1993-06-18","2026-05-02","Per=M","Days=T","Dir=V")</f>
        <v>0</v>
      </c>
      <c r="AY2">
        <f>BDH("UNCY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BDH("UNF US Equity","BS_TOT_ASSET","1993-06-18","2026-05-02","Per=Y","Days=T","Dir=V")</f>
        <v>0</v>
      </c>
      <c r="C2">
        <f>BDH("UNF US Equity","BS_TOT_LIAB2","1993-06-18","2026-05-02","Per=Y","Days=T","Dir=V")</f>
        <v>0</v>
      </c>
      <c r="E2">
        <f>BDH("UNF US Equity","SHORT_AND_LONG_TERM_DEBT","1993-06-18","2026-05-02","Per=Y","Days=T","Dir=V")</f>
        <v>0</v>
      </c>
      <c r="G2">
        <f>BDH("UNF US Equity","BS_ST_BORROW","1993-06-18","2026-05-02","Per=Y","Days=T","Dir=V")</f>
        <v>0</v>
      </c>
      <c r="I2">
        <f>BDH("UNF US Equity","BS_LT_BORROW","1993-06-18","2026-05-02","Per=Y","Days=T","Dir=V")</f>
        <v>0</v>
      </c>
      <c r="K2">
        <f>BDH("UNF US Equity","BS_CASH_NEAR_CASH_ITEM","1993-06-18","2026-05-02","Per=Y","Days=T","Dir=V")</f>
        <v>0</v>
      </c>
      <c r="M2">
        <f>BDH("UNF US Equity","BS_CUR_ASSET_REPORT","1993-06-18","2026-05-02","Per=Y","Days=T","Dir=V")</f>
        <v>0</v>
      </c>
      <c r="O2">
        <f>BDH("UNF US Equity","BS_CUR_LIAB","1993-06-18","2026-05-02","Per=Y","Days=T","Dir=V")</f>
        <v>0</v>
      </c>
      <c r="Q2">
        <f>BDH("UNF US Equity","BS_SHAREHOLDER_EQY_ENDING_PERIOD","1993-06-18","2026-05-02","Per=Y","Days=T","Dir=V")</f>
        <v>0</v>
      </c>
      <c r="S2">
        <f>BDH("UNF US Equity","BS_ACCT_NOTE_RCV","1993-06-18","2026-05-02","Per=Y","Days=T","Dir=V")</f>
        <v>0</v>
      </c>
      <c r="U2">
        <f>BDH("UNF US Equity","BS_INVENTORIES","1993-06-18","2026-05-02","Per=Y","Days=T","Dir=V")</f>
        <v>0</v>
      </c>
      <c r="W2">
        <f>BDH("UNF US Equity","WORKING_CAPITAL","1993-06-18","2026-05-02","Per=Y","Days=T","Dir=V")</f>
        <v>0</v>
      </c>
      <c r="Y2">
        <f>BDH("UNF US Equity","SALES_REV_TURN","1993-06-18","2026-05-02","Per=Y","Days=T","Dir=V")</f>
        <v>0</v>
      </c>
      <c r="AA2">
        <f>BDH("UNF US Equity","EBIT","1993-06-18","2026-05-02","Per=Y","Days=T","Dir=V")</f>
        <v>0</v>
      </c>
      <c r="AC2">
        <f>BDH("UNF US Equity","EBITDA","1993-06-18","2026-05-02","Per=Y","Days=T","Dir=V")</f>
        <v>0</v>
      </c>
      <c r="AE2">
        <f>BDH("UNF US Equity","NET_INCOME","1993-06-18","2026-05-02","Per=Y","Days=T","Dir=V")</f>
        <v>0</v>
      </c>
      <c r="AG2">
        <f>BDH("UNF US Equity","IS_INT_EXPENSE","1993-06-18","2026-05-02","Per=Y","Days=T","Dir=V")</f>
        <v>0</v>
      </c>
      <c r="AI2">
        <f>BDH("UNF US Equity","IS_DEPR_EXP","1993-06-18","2026-05-02","Per=Y","Days=T","Dir=V")</f>
        <v>0</v>
      </c>
      <c r="AK2">
        <f>BDH("UNF US Equity","CF_CASH_FROM_OPER","1993-06-18","2026-05-02","Per=Y","Days=T","Dir=V")</f>
        <v>0</v>
      </c>
      <c r="AM2">
        <f>BDH("UNF US Equity","CAPITAL_EXPEND","1993-06-18","2026-05-02","Per=Y","Days=T","Dir=V")</f>
        <v>0</v>
      </c>
      <c r="AO2">
        <f>BDH("UNF US Equity","CF_FREE_CASH_FLOW","1993-06-18","2026-05-02","Per=Y","Days=T","Dir=V")</f>
        <v>0</v>
      </c>
      <c r="AQ2">
        <f>BDH("UNF US Equity","PX_LAST","1993-06-18","2026-05-02","Per=M","Days=T","Dir=V")</f>
        <v>0</v>
      </c>
      <c r="AS2">
        <f>BDH("UNF US Equity","CUR_MKT_CAP","1993-06-18","2026-05-02","Per=M","Days=T","Dir=V")</f>
        <v>0</v>
      </c>
      <c r="AU2">
        <f>BDH("UNF US Equity","EQY_SH_OUT","1993-06-18","2026-05-02","Per=M","Days=T","Dir=V")</f>
        <v>0</v>
      </c>
      <c r="AW2">
        <f>BDH("UNF US Equity","PX_VOLUME","1993-06-18","2026-05-02","Per=M","Days=T","Dir=V")</f>
        <v>0</v>
      </c>
      <c r="AY2">
        <f>BDH("UNF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BDH("UNFI US Equity","BS_TOT_ASSET","1993-06-18","2026-05-02","Per=Y","Days=T","Dir=V")</f>
        <v>0</v>
      </c>
      <c r="C2">
        <f>BDH("UNFI US Equity","BS_TOT_LIAB2","1993-06-18","2026-05-02","Per=Y","Days=T","Dir=V")</f>
        <v>0</v>
      </c>
      <c r="E2">
        <f>BDH("UNFI US Equity","SHORT_AND_LONG_TERM_DEBT","1993-06-18","2026-05-02","Per=Y","Days=T","Dir=V")</f>
        <v>0</v>
      </c>
      <c r="G2">
        <f>BDH("UNFI US Equity","BS_ST_BORROW","1993-06-18","2026-05-02","Per=Y","Days=T","Dir=V")</f>
        <v>0</v>
      </c>
      <c r="I2">
        <f>BDH("UNFI US Equity","BS_LT_BORROW","1993-06-18","2026-05-02","Per=Y","Days=T","Dir=V")</f>
        <v>0</v>
      </c>
      <c r="K2">
        <f>BDH("UNFI US Equity","BS_CASH_NEAR_CASH_ITEM","1993-06-18","2026-05-02","Per=Y","Days=T","Dir=V")</f>
        <v>0</v>
      </c>
      <c r="M2">
        <f>BDH("UNFI US Equity","BS_CUR_ASSET_REPORT","1993-06-18","2026-05-02","Per=Y","Days=T","Dir=V")</f>
        <v>0</v>
      </c>
      <c r="O2">
        <f>BDH("UNFI US Equity","BS_CUR_LIAB","1993-06-18","2026-05-02","Per=Y","Days=T","Dir=V")</f>
        <v>0</v>
      </c>
      <c r="Q2">
        <f>BDH("UNFI US Equity","BS_SHAREHOLDER_EQY_ENDING_PERIOD","1993-06-18","2026-05-02","Per=Y","Days=T","Dir=V")</f>
        <v>0</v>
      </c>
      <c r="S2">
        <f>BDH("UNFI US Equity","BS_ACCT_NOTE_RCV","1993-06-18","2026-05-02","Per=Y","Days=T","Dir=V")</f>
        <v>0</v>
      </c>
      <c r="U2">
        <f>BDH("UNFI US Equity","BS_INVENTORIES","1993-06-18","2026-05-02","Per=Y","Days=T","Dir=V")</f>
        <v>0</v>
      </c>
      <c r="W2">
        <f>BDH("UNFI US Equity","WORKING_CAPITAL","1993-06-18","2026-05-02","Per=Y","Days=T","Dir=V")</f>
        <v>0</v>
      </c>
      <c r="Y2">
        <f>BDH("UNFI US Equity","SALES_REV_TURN","1993-06-18","2026-05-02","Per=Y","Days=T","Dir=V")</f>
        <v>0</v>
      </c>
      <c r="AA2">
        <f>BDH("UNFI US Equity","EBIT","1993-06-18","2026-05-02","Per=Y","Days=T","Dir=V")</f>
        <v>0</v>
      </c>
      <c r="AC2">
        <f>BDH("UNFI US Equity","EBITDA","1993-06-18","2026-05-02","Per=Y","Days=T","Dir=V")</f>
        <v>0</v>
      </c>
      <c r="AE2">
        <f>BDH("UNFI US Equity","NET_INCOME","1993-06-18","2026-05-02","Per=Y","Days=T","Dir=V")</f>
        <v>0</v>
      </c>
      <c r="AG2">
        <f>BDH("UNFI US Equity","IS_INT_EXPENSE","1993-06-18","2026-05-02","Per=Y","Days=T","Dir=V")</f>
        <v>0</v>
      </c>
      <c r="AI2">
        <f>BDH("UNFI US Equity","IS_DEPR_EXP","1993-06-18","2026-05-02","Per=Y","Days=T","Dir=V")</f>
        <v>0</v>
      </c>
      <c r="AK2">
        <f>BDH("UNFI US Equity","CF_CASH_FROM_OPER","1993-06-18","2026-05-02","Per=Y","Days=T","Dir=V")</f>
        <v>0</v>
      </c>
      <c r="AM2">
        <f>BDH("UNFI US Equity","CAPITAL_EXPEND","1993-06-18","2026-05-02","Per=Y","Days=T","Dir=V")</f>
        <v>0</v>
      </c>
      <c r="AO2">
        <f>BDH("UNFI US Equity","CF_FREE_CASH_FLOW","1993-06-18","2026-05-02","Per=Y","Days=T","Dir=V")</f>
        <v>0</v>
      </c>
      <c r="AQ2">
        <f>BDH("UNFI US Equity","PX_LAST","1993-06-18","2026-05-02","Per=M","Days=T","Dir=V")</f>
        <v>0</v>
      </c>
      <c r="AS2">
        <f>BDH("UNFI US Equity","CUR_MKT_CAP","1993-06-18","2026-05-02","Per=M","Days=T","Dir=V")</f>
        <v>0</v>
      </c>
      <c r="AU2">
        <f>BDH("UNFI US Equity","EQY_SH_OUT","1993-06-18","2026-05-02","Per=M","Days=T","Dir=V")</f>
        <v>0</v>
      </c>
      <c r="AW2">
        <f>BDH("UNFI US Equity","PX_VOLUME","1993-06-18","2026-05-02","Per=M","Days=T","Dir=V")</f>
        <v>0</v>
      </c>
      <c r="AY2">
        <f>BDH("UNFI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BDH("UNH US Equity","BS_TOT_ASSET","1993-06-18","2026-05-02","Per=Y","Days=T","Dir=V")</f>
        <v>0</v>
      </c>
      <c r="C2">
        <f>BDH("UNH US Equity","BS_TOT_LIAB2","1993-06-18","2026-05-02","Per=Y","Days=T","Dir=V")</f>
        <v>0</v>
      </c>
      <c r="E2">
        <f>BDH("UNH US Equity","SHORT_AND_LONG_TERM_DEBT","1993-06-18","2026-05-02","Per=Y","Days=T","Dir=V")</f>
        <v>0</v>
      </c>
      <c r="G2">
        <f>BDH("UNH US Equity","BS_ST_BORROW","1993-06-18","2026-05-02","Per=Y","Days=T","Dir=V")</f>
        <v>0</v>
      </c>
      <c r="I2">
        <f>BDH("UNH US Equity","BS_LT_BORROW","1993-06-18","2026-05-02","Per=Y","Days=T","Dir=V")</f>
        <v>0</v>
      </c>
      <c r="K2">
        <f>BDH("UNH US Equity","BS_CASH_NEAR_CASH_ITEM","1993-06-18","2026-05-02","Per=Y","Days=T","Dir=V")</f>
        <v>0</v>
      </c>
      <c r="M2">
        <f>BDH("UNH US Equity","BS_CUR_ASSET_REPORT","1993-06-18","2026-05-02","Per=Y","Days=T","Dir=V")</f>
        <v>0</v>
      </c>
      <c r="O2">
        <f>BDH("UNH US Equity","BS_CUR_LIAB","1993-06-18","2026-05-02","Per=Y","Days=T","Dir=V")</f>
        <v>0</v>
      </c>
      <c r="Q2">
        <f>BDH("UNH US Equity","BS_SHAREHOLDER_EQY_ENDING_PERIOD","1993-06-18","2026-05-02","Per=Y","Days=T","Dir=V")</f>
        <v>0</v>
      </c>
      <c r="S2">
        <f>BDH("UNH US Equity","BS_ACCT_NOTE_RCV","1993-06-18","2026-05-02","Per=Y","Days=T","Dir=V")</f>
        <v>0</v>
      </c>
      <c r="U2">
        <f>BDH("UNH US Equity","BS_INVENTORIES","1993-06-18","2026-05-02","Per=Y","Days=T","Dir=V")</f>
        <v>0</v>
      </c>
      <c r="W2">
        <f>BDH("UNH US Equity","WORKING_CAPITAL","1993-06-18","2026-05-02","Per=Y","Days=T","Dir=V")</f>
        <v>0</v>
      </c>
      <c r="Y2">
        <f>BDH("UNH US Equity","SALES_REV_TURN","1993-06-18","2026-05-02","Per=Y","Days=T","Dir=V")</f>
        <v>0</v>
      </c>
      <c r="AA2">
        <f>BDH("UNH US Equity","EBIT","1993-06-18","2026-05-02","Per=Y","Days=T","Dir=V")</f>
        <v>0</v>
      </c>
      <c r="AC2">
        <f>BDH("UNH US Equity","EBITDA","1993-06-18","2026-05-02","Per=Y","Days=T","Dir=V")</f>
        <v>0</v>
      </c>
      <c r="AE2">
        <f>BDH("UNH US Equity","NET_INCOME","1993-06-18","2026-05-02","Per=Y","Days=T","Dir=V")</f>
        <v>0</v>
      </c>
      <c r="AG2">
        <f>BDH("UNH US Equity","IS_INT_EXPENSE","1993-06-18","2026-05-02","Per=Y","Days=T","Dir=V")</f>
        <v>0</v>
      </c>
      <c r="AI2">
        <f>BDH("UNH US Equity","IS_DEPR_EXP","1993-06-18","2026-05-02","Per=Y","Days=T","Dir=V")</f>
        <v>0</v>
      </c>
      <c r="AK2">
        <f>BDH("UNH US Equity","CF_CASH_FROM_OPER","1993-06-18","2026-05-02","Per=Y","Days=T","Dir=V")</f>
        <v>0</v>
      </c>
      <c r="AM2">
        <f>BDH("UNH US Equity","CAPITAL_EXPEND","1993-06-18","2026-05-02","Per=Y","Days=T","Dir=V")</f>
        <v>0</v>
      </c>
      <c r="AO2">
        <f>BDH("UNH US Equity","CF_FREE_CASH_FLOW","1993-06-18","2026-05-02","Per=Y","Days=T","Dir=V")</f>
        <v>0</v>
      </c>
      <c r="AQ2">
        <f>BDH("UNH US Equity","PX_LAST","1993-06-18","2026-05-02","Per=M","Days=T","Dir=V")</f>
        <v>0</v>
      </c>
      <c r="AS2">
        <f>BDH("UNH US Equity","CUR_MKT_CAP","1993-06-18","2026-05-02","Per=M","Days=T","Dir=V")</f>
        <v>0</v>
      </c>
      <c r="AU2">
        <f>BDH("UNH US Equity","EQY_SH_OUT","1993-06-18","2026-05-02","Per=M","Days=T","Dir=V")</f>
        <v>0</v>
      </c>
      <c r="AW2">
        <f>BDH("UNH US Equity","PX_VOLUME","1993-06-18","2026-05-02","Per=M","Days=T","Dir=V")</f>
        <v>0</v>
      </c>
      <c r="AY2">
        <f>BDH("UNH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BDH("UNP US Equity","BS_TOT_ASSET","1993-06-18","2026-05-02","Per=Y","Days=T","Dir=V")</f>
        <v>0</v>
      </c>
      <c r="C2">
        <f>BDH("UNP US Equity","BS_TOT_LIAB2","1993-06-18","2026-05-02","Per=Y","Days=T","Dir=V")</f>
        <v>0</v>
      </c>
      <c r="E2">
        <f>BDH("UNP US Equity","SHORT_AND_LONG_TERM_DEBT","1993-06-18","2026-05-02","Per=Y","Days=T","Dir=V")</f>
        <v>0</v>
      </c>
      <c r="G2">
        <f>BDH("UNP US Equity","BS_ST_BORROW","1993-06-18","2026-05-02","Per=Y","Days=T","Dir=V")</f>
        <v>0</v>
      </c>
      <c r="I2">
        <f>BDH("UNP US Equity","BS_LT_BORROW","1993-06-18","2026-05-02","Per=Y","Days=T","Dir=V")</f>
        <v>0</v>
      </c>
      <c r="K2">
        <f>BDH("UNP US Equity","BS_CASH_NEAR_CASH_ITEM","1993-06-18","2026-05-02","Per=Y","Days=T","Dir=V")</f>
        <v>0</v>
      </c>
      <c r="M2">
        <f>BDH("UNP US Equity","BS_CUR_ASSET_REPORT","1993-06-18","2026-05-02","Per=Y","Days=T","Dir=V")</f>
        <v>0</v>
      </c>
      <c r="O2">
        <f>BDH("UNP US Equity","BS_CUR_LIAB","1993-06-18","2026-05-02","Per=Y","Days=T","Dir=V")</f>
        <v>0</v>
      </c>
      <c r="Q2">
        <f>BDH("UNP US Equity","BS_SHAREHOLDER_EQY_ENDING_PERIOD","1993-06-18","2026-05-02","Per=Y","Days=T","Dir=V")</f>
        <v>0</v>
      </c>
      <c r="S2">
        <f>BDH("UNP US Equity","BS_ACCT_NOTE_RCV","1993-06-18","2026-05-02","Per=Y","Days=T","Dir=V")</f>
        <v>0</v>
      </c>
      <c r="U2">
        <f>BDH("UNP US Equity","BS_INVENTORIES","1993-06-18","2026-05-02","Per=Y","Days=T","Dir=V")</f>
        <v>0</v>
      </c>
      <c r="W2">
        <f>BDH("UNP US Equity","WORKING_CAPITAL","1993-06-18","2026-05-02","Per=Y","Days=T","Dir=V")</f>
        <v>0</v>
      </c>
      <c r="Y2">
        <f>BDH("UNP US Equity","SALES_REV_TURN","1993-06-18","2026-05-02","Per=Y","Days=T","Dir=V")</f>
        <v>0</v>
      </c>
      <c r="AA2">
        <f>BDH("UNP US Equity","EBIT","1993-06-18","2026-05-02","Per=Y","Days=T","Dir=V")</f>
        <v>0</v>
      </c>
      <c r="AC2">
        <f>BDH("UNP US Equity","EBITDA","1993-06-18","2026-05-02","Per=Y","Days=T","Dir=V")</f>
        <v>0</v>
      </c>
      <c r="AE2">
        <f>BDH("UNP US Equity","NET_INCOME","1993-06-18","2026-05-02","Per=Y","Days=T","Dir=V")</f>
        <v>0</v>
      </c>
      <c r="AG2">
        <f>BDH("UNP US Equity","IS_INT_EXPENSE","1993-06-18","2026-05-02","Per=Y","Days=T","Dir=V")</f>
        <v>0</v>
      </c>
      <c r="AI2">
        <f>BDH("UNP US Equity","IS_DEPR_EXP","1993-06-18","2026-05-02","Per=Y","Days=T","Dir=V")</f>
        <v>0</v>
      </c>
      <c r="AK2">
        <f>BDH("UNP US Equity","CF_CASH_FROM_OPER","1993-06-18","2026-05-02","Per=Y","Days=T","Dir=V")</f>
        <v>0</v>
      </c>
      <c r="AM2">
        <f>BDH("UNP US Equity","CAPITAL_EXPEND","1993-06-18","2026-05-02","Per=Y","Days=T","Dir=V")</f>
        <v>0</v>
      </c>
      <c r="AO2">
        <f>BDH("UNP US Equity","CF_FREE_CASH_FLOW","1993-06-18","2026-05-02","Per=Y","Days=T","Dir=V")</f>
        <v>0</v>
      </c>
      <c r="AQ2">
        <f>BDH("UNP US Equity","PX_LAST","1993-06-18","2026-05-02","Per=M","Days=T","Dir=V")</f>
        <v>0</v>
      </c>
      <c r="AS2">
        <f>BDH("UNP US Equity","CUR_MKT_CAP","1993-06-18","2026-05-02","Per=M","Days=T","Dir=V")</f>
        <v>0</v>
      </c>
      <c r="AU2">
        <f>BDH("UNP US Equity","EQY_SH_OUT","1993-06-18","2026-05-02","Per=M","Days=T","Dir=V")</f>
        <v>0</v>
      </c>
      <c r="AW2">
        <f>BDH("UNP US Equity","PX_VOLUME","1993-06-18","2026-05-02","Per=M","Days=T","Dir=V")</f>
        <v>0</v>
      </c>
      <c r="AY2">
        <f>BDH("UNP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BDH("UONE US Equity","BS_TOT_ASSET","1993-06-18","2026-05-02","Per=Y","Days=T","Dir=V")</f>
        <v>0</v>
      </c>
      <c r="C2">
        <f>BDH("UONE US Equity","BS_TOT_LIAB2","1993-06-18","2026-05-02","Per=Y","Days=T","Dir=V")</f>
        <v>0</v>
      </c>
      <c r="E2">
        <f>BDH("UONE US Equity","SHORT_AND_LONG_TERM_DEBT","1993-06-18","2026-05-02","Per=Y","Days=T","Dir=V")</f>
        <v>0</v>
      </c>
      <c r="G2">
        <f>BDH("UONE US Equity","BS_ST_BORROW","1993-06-18","2026-05-02","Per=Y","Days=T","Dir=V")</f>
        <v>0</v>
      </c>
      <c r="I2">
        <f>BDH("UONE US Equity","BS_LT_BORROW","1993-06-18","2026-05-02","Per=Y","Days=T","Dir=V")</f>
        <v>0</v>
      </c>
      <c r="K2">
        <f>BDH("UONE US Equity","BS_CASH_NEAR_CASH_ITEM","1993-06-18","2026-05-02","Per=Y","Days=T","Dir=V")</f>
        <v>0</v>
      </c>
      <c r="M2">
        <f>BDH("UONE US Equity","BS_CUR_ASSET_REPORT","1993-06-18","2026-05-02","Per=Y","Days=T","Dir=V")</f>
        <v>0</v>
      </c>
      <c r="O2">
        <f>BDH("UONE US Equity","BS_CUR_LIAB","1993-06-18","2026-05-02","Per=Y","Days=T","Dir=V")</f>
        <v>0</v>
      </c>
      <c r="Q2">
        <f>BDH("UONE US Equity","BS_SHAREHOLDER_EQY_ENDING_PERIOD","1993-06-18","2026-05-02","Per=Y","Days=T","Dir=V")</f>
        <v>0</v>
      </c>
      <c r="S2">
        <f>BDH("UONE US Equity","BS_ACCT_NOTE_RCV","1993-06-18","2026-05-02","Per=Y","Days=T","Dir=V")</f>
        <v>0</v>
      </c>
      <c r="U2">
        <f>BDH("UONE US Equity","BS_INVENTORIES","1993-06-18","2026-05-02","Per=Y","Days=T","Dir=V")</f>
        <v>0</v>
      </c>
      <c r="W2">
        <f>BDH("UONE US Equity","WORKING_CAPITAL","1993-06-18","2026-05-02","Per=Y","Days=T","Dir=V")</f>
        <v>0</v>
      </c>
      <c r="Y2">
        <f>BDH("UONE US Equity","SALES_REV_TURN","1993-06-18","2026-05-02","Per=Y","Days=T","Dir=V")</f>
        <v>0</v>
      </c>
      <c r="AA2">
        <f>BDH("UONE US Equity","EBIT","1993-06-18","2026-05-02","Per=Y","Days=T","Dir=V")</f>
        <v>0</v>
      </c>
      <c r="AC2">
        <f>BDH("UONE US Equity","EBITDA","1993-06-18","2026-05-02","Per=Y","Days=T","Dir=V")</f>
        <v>0</v>
      </c>
      <c r="AE2">
        <f>BDH("UONE US Equity","NET_INCOME","1993-06-18","2026-05-02","Per=Y","Days=T","Dir=V")</f>
        <v>0</v>
      </c>
      <c r="AG2">
        <f>BDH("UONE US Equity","IS_INT_EXPENSE","1993-06-18","2026-05-02","Per=Y","Days=T","Dir=V")</f>
        <v>0</v>
      </c>
      <c r="AI2">
        <f>BDH("UONE US Equity","IS_DEPR_EXP","1993-06-18","2026-05-02","Per=Y","Days=T","Dir=V")</f>
        <v>0</v>
      </c>
      <c r="AK2">
        <f>BDH("UONE US Equity","CF_CASH_FROM_OPER","1993-06-18","2026-05-02","Per=Y","Days=T","Dir=V")</f>
        <v>0</v>
      </c>
      <c r="AM2">
        <f>BDH("UONE US Equity","CAPITAL_EXPEND","1993-06-18","2026-05-02","Per=Y","Days=T","Dir=V")</f>
        <v>0</v>
      </c>
      <c r="AO2">
        <f>BDH("UONE US Equity","CF_FREE_CASH_FLOW","1993-06-18","2026-05-02","Per=Y","Days=T","Dir=V")</f>
        <v>0</v>
      </c>
      <c r="AQ2">
        <f>BDH("UONE US Equity","PX_LAST","1993-06-18","2026-05-02","Per=M","Days=T","Dir=V")</f>
        <v>0</v>
      </c>
      <c r="AS2">
        <f>BDH("UONE US Equity","CUR_MKT_CAP","1993-06-18","2026-05-02","Per=M","Days=T","Dir=V")</f>
        <v>0</v>
      </c>
      <c r="AU2">
        <f>BDH("UONE US Equity","EQY_SH_OUT","1993-06-18","2026-05-02","Per=M","Days=T","Dir=V")</f>
        <v>0</v>
      </c>
      <c r="AW2">
        <f>BDH("UONE US Equity","PX_VOLUME","1993-06-18","2026-05-02","Per=M","Days=T","Dir=V")</f>
        <v>0</v>
      </c>
      <c r="AY2">
        <f>BDH("UONE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BDH("UONEK US Equity","BS_TOT_ASSET","1993-06-18","2026-05-02","Per=Y","Days=T","Dir=V")</f>
        <v>0</v>
      </c>
      <c r="C2">
        <f>BDH("UONEK US Equity","BS_TOT_LIAB2","1993-06-18","2026-05-02","Per=Y","Days=T","Dir=V")</f>
        <v>0</v>
      </c>
      <c r="E2">
        <f>BDH("UONEK US Equity","SHORT_AND_LONG_TERM_DEBT","1993-06-18","2026-05-02","Per=Y","Days=T","Dir=V")</f>
        <v>0</v>
      </c>
      <c r="G2">
        <f>BDH("UONEK US Equity","BS_ST_BORROW","1993-06-18","2026-05-02","Per=Y","Days=T","Dir=V")</f>
        <v>0</v>
      </c>
      <c r="I2">
        <f>BDH("UONEK US Equity","BS_LT_BORROW","1993-06-18","2026-05-02","Per=Y","Days=T","Dir=V")</f>
        <v>0</v>
      </c>
      <c r="K2">
        <f>BDH("UONEK US Equity","BS_CASH_NEAR_CASH_ITEM","1993-06-18","2026-05-02","Per=Y","Days=T","Dir=V")</f>
        <v>0</v>
      </c>
      <c r="M2">
        <f>BDH("UONEK US Equity","BS_CUR_ASSET_REPORT","1993-06-18","2026-05-02","Per=Y","Days=T","Dir=V")</f>
        <v>0</v>
      </c>
      <c r="O2">
        <f>BDH("UONEK US Equity","BS_CUR_LIAB","1993-06-18","2026-05-02","Per=Y","Days=T","Dir=V")</f>
        <v>0</v>
      </c>
      <c r="Q2">
        <f>BDH("UONEK US Equity","BS_SHAREHOLDER_EQY_ENDING_PERIOD","1993-06-18","2026-05-02","Per=Y","Days=T","Dir=V")</f>
        <v>0</v>
      </c>
      <c r="S2">
        <f>BDH("UONEK US Equity","BS_ACCT_NOTE_RCV","1993-06-18","2026-05-02","Per=Y","Days=T","Dir=V")</f>
        <v>0</v>
      </c>
      <c r="U2">
        <f>BDH("UONEK US Equity","BS_INVENTORIES","1993-06-18","2026-05-02","Per=Y","Days=T","Dir=V")</f>
        <v>0</v>
      </c>
      <c r="W2">
        <f>BDH("UONEK US Equity","WORKING_CAPITAL","1993-06-18","2026-05-02","Per=Y","Days=T","Dir=V")</f>
        <v>0</v>
      </c>
      <c r="Y2">
        <f>BDH("UONEK US Equity","SALES_REV_TURN","1993-06-18","2026-05-02","Per=Y","Days=T","Dir=V")</f>
        <v>0</v>
      </c>
      <c r="AA2">
        <f>BDH("UONEK US Equity","EBIT","1993-06-18","2026-05-02","Per=Y","Days=T","Dir=V")</f>
        <v>0</v>
      </c>
      <c r="AC2">
        <f>BDH("UONEK US Equity","EBITDA","1993-06-18","2026-05-02","Per=Y","Days=T","Dir=V")</f>
        <v>0</v>
      </c>
      <c r="AE2">
        <f>BDH("UONEK US Equity","NET_INCOME","1993-06-18","2026-05-02","Per=Y","Days=T","Dir=V")</f>
        <v>0</v>
      </c>
      <c r="AG2">
        <f>BDH("UONEK US Equity","IS_INT_EXPENSE","1993-06-18","2026-05-02","Per=Y","Days=T","Dir=V")</f>
        <v>0</v>
      </c>
      <c r="AI2">
        <f>BDH("UONEK US Equity","IS_DEPR_EXP","1993-06-18","2026-05-02","Per=Y","Days=T","Dir=V")</f>
        <v>0</v>
      </c>
      <c r="AK2">
        <f>BDH("UONEK US Equity","CF_CASH_FROM_OPER","1993-06-18","2026-05-02","Per=Y","Days=T","Dir=V")</f>
        <v>0</v>
      </c>
      <c r="AM2">
        <f>BDH("UONEK US Equity","CAPITAL_EXPEND","1993-06-18","2026-05-02","Per=Y","Days=T","Dir=V")</f>
        <v>0</v>
      </c>
      <c r="AO2">
        <f>BDH("UONEK US Equity","CF_FREE_CASH_FLOW","1993-06-18","2026-05-02","Per=Y","Days=T","Dir=V")</f>
        <v>0</v>
      </c>
      <c r="AQ2">
        <f>BDH("UONEK US Equity","PX_LAST","1993-06-18","2026-05-02","Per=M","Days=T","Dir=V")</f>
        <v>0</v>
      </c>
      <c r="AS2">
        <f>BDH("UONEK US Equity","CUR_MKT_CAP","1993-06-18","2026-05-02","Per=M","Days=T","Dir=V")</f>
        <v>0</v>
      </c>
      <c r="AU2">
        <f>BDH("UONEK US Equity","EQY_SH_OUT","1993-06-18","2026-05-02","Per=M","Days=T","Dir=V")</f>
        <v>0</v>
      </c>
      <c r="AW2">
        <f>BDH("UONEK US Equity","PX_VOLUME","1993-06-18","2026-05-02","Per=M","Days=T","Dir=V")</f>
        <v>0</v>
      </c>
      <c r="AY2">
        <f>BDH("UONEK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BDH("UPB US Equity","BS_TOT_ASSET","1993-06-18","2026-05-02","Per=Y","Days=T","Dir=V")</f>
        <v>0</v>
      </c>
      <c r="C2">
        <f>BDH("UPB US Equity","BS_TOT_LIAB2","1993-06-18","2026-05-02","Per=Y","Days=T","Dir=V")</f>
        <v>0</v>
      </c>
      <c r="E2">
        <f>BDH("UPB US Equity","SHORT_AND_LONG_TERM_DEBT","1993-06-18","2026-05-02","Per=Y","Days=T","Dir=V")</f>
        <v>0</v>
      </c>
      <c r="G2">
        <f>BDH("UPB US Equity","BS_ST_BORROW","1993-06-18","2026-05-02","Per=Y","Days=T","Dir=V")</f>
        <v>0</v>
      </c>
      <c r="I2">
        <f>BDH("UPB US Equity","BS_LT_BORROW","1993-06-18","2026-05-02","Per=Y","Days=T","Dir=V")</f>
        <v>0</v>
      </c>
      <c r="K2">
        <f>BDH("UPB US Equity","BS_CASH_NEAR_CASH_ITEM","1993-06-18","2026-05-02","Per=Y","Days=T","Dir=V")</f>
        <v>0</v>
      </c>
      <c r="M2">
        <f>BDH("UPB US Equity","BS_CUR_ASSET_REPORT","1993-06-18","2026-05-02","Per=Y","Days=T","Dir=V")</f>
        <v>0</v>
      </c>
      <c r="O2">
        <f>BDH("UPB US Equity","BS_CUR_LIAB","1993-06-18","2026-05-02","Per=Y","Days=T","Dir=V")</f>
        <v>0</v>
      </c>
      <c r="Q2">
        <f>BDH("UPB US Equity","BS_SHAREHOLDER_EQY_ENDING_PERIOD","1993-06-18","2026-05-02","Per=Y","Days=T","Dir=V")</f>
        <v>0</v>
      </c>
      <c r="S2">
        <f>BDH("UPB US Equity","BS_ACCT_NOTE_RCV","1993-06-18","2026-05-02","Per=Y","Days=T","Dir=V")</f>
        <v>0</v>
      </c>
      <c r="U2">
        <f>BDH("UPB US Equity","BS_INVENTORIES","1993-06-18","2026-05-02","Per=Y","Days=T","Dir=V")</f>
        <v>0</v>
      </c>
      <c r="W2">
        <f>BDH("UPB US Equity","WORKING_CAPITAL","1993-06-18","2026-05-02","Per=Y","Days=T","Dir=V")</f>
        <v>0</v>
      </c>
      <c r="Y2">
        <f>BDH("UPB US Equity","SALES_REV_TURN","1993-06-18","2026-05-02","Per=Y","Days=T","Dir=V")</f>
        <v>0</v>
      </c>
      <c r="AA2">
        <f>BDH("UPB US Equity","EBIT","1993-06-18","2026-05-02","Per=Y","Days=T","Dir=V")</f>
        <v>0</v>
      </c>
      <c r="AC2">
        <f>BDH("UPB US Equity","EBITDA","1993-06-18","2026-05-02","Per=Y","Days=T","Dir=V")</f>
        <v>0</v>
      </c>
      <c r="AE2">
        <f>BDH("UPB US Equity","NET_INCOME","1993-06-18","2026-05-02","Per=Y","Days=T","Dir=V")</f>
        <v>0</v>
      </c>
      <c r="AG2">
        <f>BDH("UPB US Equity","IS_INT_EXPENSE","1993-06-18","2026-05-02","Per=Y","Days=T","Dir=V")</f>
        <v>0</v>
      </c>
      <c r="AI2">
        <f>BDH("UPB US Equity","IS_DEPR_EXP","1993-06-18","2026-05-02","Per=Y","Days=T","Dir=V")</f>
        <v>0</v>
      </c>
      <c r="AK2">
        <f>BDH("UPB US Equity","CF_CASH_FROM_OPER","1993-06-18","2026-05-02","Per=Y","Days=T","Dir=V")</f>
        <v>0</v>
      </c>
      <c r="AM2">
        <f>BDH("UPB US Equity","CAPITAL_EXPEND","1993-06-18","2026-05-02","Per=Y","Days=T","Dir=V")</f>
        <v>0</v>
      </c>
      <c r="AO2">
        <f>BDH("UPB US Equity","CF_FREE_CASH_FLOW","1993-06-18","2026-05-02","Per=Y","Days=T","Dir=V")</f>
        <v>0</v>
      </c>
      <c r="AQ2">
        <f>BDH("UPB US Equity","PX_LAST","1993-06-18","2026-05-02","Per=M","Days=T","Dir=V")</f>
        <v>0</v>
      </c>
      <c r="AS2">
        <f>BDH("UPB US Equity","CUR_MKT_CAP","1993-06-18","2026-05-02","Per=M","Days=T","Dir=V")</f>
        <v>0</v>
      </c>
      <c r="AU2">
        <f>BDH("UPB US Equity","EQY_SH_OUT","1993-06-18","2026-05-02","Per=M","Days=T","Dir=V")</f>
        <v>0</v>
      </c>
      <c r="AW2">
        <f>BDH("UPB US Equity","PX_VOLUME","1993-06-18","2026-05-02","Per=M","Days=T","Dir=V")</f>
        <v>0</v>
      </c>
      <c r="AY2">
        <f>BDH("UPB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BDH("UPBD US Equity","BS_TOT_ASSET","1993-06-18","2026-05-02","Per=Y","Days=T","Dir=V")</f>
        <v>0</v>
      </c>
      <c r="C2">
        <f>BDH("UPBD US Equity","BS_TOT_LIAB2","1993-06-18","2026-05-02","Per=Y","Days=T","Dir=V")</f>
        <v>0</v>
      </c>
      <c r="E2">
        <f>BDH("UPBD US Equity","SHORT_AND_LONG_TERM_DEBT","1993-06-18","2026-05-02","Per=Y","Days=T","Dir=V")</f>
        <v>0</v>
      </c>
      <c r="G2">
        <f>BDH("UPBD US Equity","BS_ST_BORROW","1993-06-18","2026-05-02","Per=Y","Days=T","Dir=V")</f>
        <v>0</v>
      </c>
      <c r="I2">
        <f>BDH("UPBD US Equity","BS_LT_BORROW","1993-06-18","2026-05-02","Per=Y","Days=T","Dir=V")</f>
        <v>0</v>
      </c>
      <c r="K2">
        <f>BDH("UPBD US Equity","BS_CASH_NEAR_CASH_ITEM","1993-06-18","2026-05-02","Per=Y","Days=T","Dir=V")</f>
        <v>0</v>
      </c>
      <c r="M2">
        <f>BDH("UPBD US Equity","BS_CUR_ASSET_REPORT","1993-06-18","2026-05-02","Per=Y","Days=T","Dir=V")</f>
        <v>0</v>
      </c>
      <c r="O2">
        <f>BDH("UPBD US Equity","BS_CUR_LIAB","1993-06-18","2026-05-02","Per=Y","Days=T","Dir=V")</f>
        <v>0</v>
      </c>
      <c r="Q2">
        <f>BDH("UPBD US Equity","BS_SHAREHOLDER_EQY_ENDING_PERIOD","1993-06-18","2026-05-02","Per=Y","Days=T","Dir=V")</f>
        <v>0</v>
      </c>
      <c r="S2">
        <f>BDH("UPBD US Equity","BS_ACCT_NOTE_RCV","1993-06-18","2026-05-02","Per=Y","Days=T","Dir=V")</f>
        <v>0</v>
      </c>
      <c r="U2">
        <f>BDH("UPBD US Equity","BS_INVENTORIES","1993-06-18","2026-05-02","Per=Y","Days=T","Dir=V")</f>
        <v>0</v>
      </c>
      <c r="W2">
        <f>BDH("UPBD US Equity","WORKING_CAPITAL","1993-06-18","2026-05-02","Per=Y","Days=T","Dir=V")</f>
        <v>0</v>
      </c>
      <c r="Y2">
        <f>BDH("UPBD US Equity","SALES_REV_TURN","1993-06-18","2026-05-02","Per=Y","Days=T","Dir=V")</f>
        <v>0</v>
      </c>
      <c r="AA2">
        <f>BDH("UPBD US Equity","EBIT","1993-06-18","2026-05-02","Per=Y","Days=T","Dir=V")</f>
        <v>0</v>
      </c>
      <c r="AC2">
        <f>BDH("UPBD US Equity","EBITDA","1993-06-18","2026-05-02","Per=Y","Days=T","Dir=V")</f>
        <v>0</v>
      </c>
      <c r="AE2">
        <f>BDH("UPBD US Equity","NET_INCOME","1993-06-18","2026-05-02","Per=Y","Days=T","Dir=V")</f>
        <v>0</v>
      </c>
      <c r="AG2">
        <f>BDH("UPBD US Equity","IS_INT_EXPENSE","1993-06-18","2026-05-02","Per=Y","Days=T","Dir=V")</f>
        <v>0</v>
      </c>
      <c r="AI2">
        <f>BDH("UPBD US Equity","IS_DEPR_EXP","1993-06-18","2026-05-02","Per=Y","Days=T","Dir=V")</f>
        <v>0</v>
      </c>
      <c r="AK2">
        <f>BDH("UPBD US Equity","CF_CASH_FROM_OPER","1993-06-18","2026-05-02","Per=Y","Days=T","Dir=V")</f>
        <v>0</v>
      </c>
      <c r="AM2">
        <f>BDH("UPBD US Equity","CAPITAL_EXPEND","1993-06-18","2026-05-02","Per=Y","Days=T","Dir=V")</f>
        <v>0</v>
      </c>
      <c r="AO2">
        <f>BDH("UPBD US Equity","CF_FREE_CASH_FLOW","1993-06-18","2026-05-02","Per=Y","Days=T","Dir=V")</f>
        <v>0</v>
      </c>
      <c r="AQ2">
        <f>BDH("UPBD US Equity","PX_LAST","1993-06-18","2026-05-02","Per=M","Days=T","Dir=V")</f>
        <v>0</v>
      </c>
      <c r="AS2">
        <f>BDH("UPBD US Equity","CUR_MKT_CAP","1993-06-18","2026-05-02","Per=M","Days=T","Dir=V")</f>
        <v>0</v>
      </c>
      <c r="AU2">
        <f>BDH("UPBD US Equity","EQY_SH_OUT","1993-06-18","2026-05-02","Per=M","Days=T","Dir=V")</f>
        <v>0</v>
      </c>
      <c r="AW2">
        <f>BDH("UPBD US Equity","PX_VOLUME","1993-06-18","2026-05-02","Per=M","Days=T","Dir=V")</f>
        <v>0</v>
      </c>
      <c r="AY2">
        <f>BDH("UPBD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BDH("UPLD US Equity","BS_TOT_ASSET","1993-06-18","2026-05-02","Per=Y","Days=T","Dir=V")</f>
        <v>0</v>
      </c>
      <c r="C2">
        <f>BDH("UPLD US Equity","BS_TOT_LIAB2","1993-06-18","2026-05-02","Per=Y","Days=T","Dir=V")</f>
        <v>0</v>
      </c>
      <c r="E2">
        <f>BDH("UPLD US Equity","SHORT_AND_LONG_TERM_DEBT","1993-06-18","2026-05-02","Per=Y","Days=T","Dir=V")</f>
        <v>0</v>
      </c>
      <c r="G2">
        <f>BDH("UPLD US Equity","BS_ST_BORROW","1993-06-18","2026-05-02","Per=Y","Days=T","Dir=V")</f>
        <v>0</v>
      </c>
      <c r="I2">
        <f>BDH("UPLD US Equity","BS_LT_BORROW","1993-06-18","2026-05-02","Per=Y","Days=T","Dir=V")</f>
        <v>0</v>
      </c>
      <c r="K2">
        <f>BDH("UPLD US Equity","BS_CASH_NEAR_CASH_ITEM","1993-06-18","2026-05-02","Per=Y","Days=T","Dir=V")</f>
        <v>0</v>
      </c>
      <c r="M2">
        <f>BDH("UPLD US Equity","BS_CUR_ASSET_REPORT","1993-06-18","2026-05-02","Per=Y","Days=T","Dir=V")</f>
        <v>0</v>
      </c>
      <c r="O2">
        <f>BDH("UPLD US Equity","BS_CUR_LIAB","1993-06-18","2026-05-02","Per=Y","Days=T","Dir=V")</f>
        <v>0</v>
      </c>
      <c r="Q2">
        <f>BDH("UPLD US Equity","BS_SHAREHOLDER_EQY_ENDING_PERIOD","1993-06-18","2026-05-02","Per=Y","Days=T","Dir=V")</f>
        <v>0</v>
      </c>
      <c r="S2">
        <f>BDH("UPLD US Equity","BS_ACCT_NOTE_RCV","1993-06-18","2026-05-02","Per=Y","Days=T","Dir=V")</f>
        <v>0</v>
      </c>
      <c r="U2">
        <f>BDH("UPLD US Equity","BS_INVENTORIES","1993-06-18","2026-05-02","Per=Y","Days=T","Dir=V")</f>
        <v>0</v>
      </c>
      <c r="W2">
        <f>BDH("UPLD US Equity","WORKING_CAPITAL","1993-06-18","2026-05-02","Per=Y","Days=T","Dir=V")</f>
        <v>0</v>
      </c>
      <c r="Y2">
        <f>BDH("UPLD US Equity","SALES_REV_TURN","1993-06-18","2026-05-02","Per=Y","Days=T","Dir=V")</f>
        <v>0</v>
      </c>
      <c r="AA2">
        <f>BDH("UPLD US Equity","EBIT","1993-06-18","2026-05-02","Per=Y","Days=T","Dir=V")</f>
        <v>0</v>
      </c>
      <c r="AC2">
        <f>BDH("UPLD US Equity","EBITDA","1993-06-18","2026-05-02","Per=Y","Days=T","Dir=V")</f>
        <v>0</v>
      </c>
      <c r="AE2">
        <f>BDH("UPLD US Equity","NET_INCOME","1993-06-18","2026-05-02","Per=Y","Days=T","Dir=V")</f>
        <v>0</v>
      </c>
      <c r="AG2">
        <f>BDH("UPLD US Equity","IS_INT_EXPENSE","1993-06-18","2026-05-02","Per=Y","Days=T","Dir=V")</f>
        <v>0</v>
      </c>
      <c r="AI2">
        <f>BDH("UPLD US Equity","IS_DEPR_EXP","1993-06-18","2026-05-02","Per=Y","Days=T","Dir=V")</f>
        <v>0</v>
      </c>
      <c r="AK2">
        <f>BDH("UPLD US Equity","CF_CASH_FROM_OPER","1993-06-18","2026-05-02","Per=Y","Days=T","Dir=V")</f>
        <v>0</v>
      </c>
      <c r="AM2">
        <f>BDH("UPLD US Equity","CAPITAL_EXPEND","1993-06-18","2026-05-02","Per=Y","Days=T","Dir=V")</f>
        <v>0</v>
      </c>
      <c r="AO2">
        <f>BDH("UPLD US Equity","CF_FREE_CASH_FLOW","1993-06-18","2026-05-02","Per=Y","Days=T","Dir=V")</f>
        <v>0</v>
      </c>
      <c r="AQ2">
        <f>BDH("UPLD US Equity","PX_LAST","1993-06-18","2026-05-02","Per=M","Days=T","Dir=V")</f>
        <v>0</v>
      </c>
      <c r="AS2">
        <f>BDH("UPLD US Equity","CUR_MKT_CAP","1993-06-18","2026-05-02","Per=M","Days=T","Dir=V")</f>
        <v>0</v>
      </c>
      <c r="AU2">
        <f>BDH("UPLD US Equity","EQY_SH_OUT","1993-06-18","2026-05-02","Per=M","Days=T","Dir=V")</f>
        <v>0</v>
      </c>
      <c r="AW2">
        <f>BDH("UPLD US Equity","PX_VOLUME","1993-06-18","2026-05-02","Per=M","Days=T","Dir=V")</f>
        <v>0</v>
      </c>
      <c r="AY2">
        <f>BDH("UPLD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BDH("UPS US Equity","BS_TOT_ASSET","1993-06-18","2026-05-02","Per=Y","Days=T","Dir=V")</f>
        <v>0</v>
      </c>
      <c r="C2">
        <f>BDH("UPS US Equity","BS_TOT_LIAB2","1993-06-18","2026-05-02","Per=Y","Days=T","Dir=V")</f>
        <v>0</v>
      </c>
      <c r="E2">
        <f>BDH("UPS US Equity","SHORT_AND_LONG_TERM_DEBT","1993-06-18","2026-05-02","Per=Y","Days=T","Dir=V")</f>
        <v>0</v>
      </c>
      <c r="G2">
        <f>BDH("UPS US Equity","BS_ST_BORROW","1993-06-18","2026-05-02","Per=Y","Days=T","Dir=V")</f>
        <v>0</v>
      </c>
      <c r="I2">
        <f>BDH("UPS US Equity","BS_LT_BORROW","1993-06-18","2026-05-02","Per=Y","Days=T","Dir=V")</f>
        <v>0</v>
      </c>
      <c r="K2">
        <f>BDH("UPS US Equity","BS_CASH_NEAR_CASH_ITEM","1993-06-18","2026-05-02","Per=Y","Days=T","Dir=V")</f>
        <v>0</v>
      </c>
      <c r="M2">
        <f>BDH("UPS US Equity","BS_CUR_ASSET_REPORT","1993-06-18","2026-05-02","Per=Y","Days=T","Dir=V")</f>
        <v>0</v>
      </c>
      <c r="O2">
        <f>BDH("UPS US Equity","BS_CUR_LIAB","1993-06-18","2026-05-02","Per=Y","Days=T","Dir=V")</f>
        <v>0</v>
      </c>
      <c r="Q2">
        <f>BDH("UPS US Equity","BS_SHAREHOLDER_EQY_ENDING_PERIOD","1993-06-18","2026-05-02","Per=Y","Days=T","Dir=V")</f>
        <v>0</v>
      </c>
      <c r="S2">
        <f>BDH("UPS US Equity","BS_ACCT_NOTE_RCV","1993-06-18","2026-05-02","Per=Y","Days=T","Dir=V")</f>
        <v>0</v>
      </c>
      <c r="U2">
        <f>BDH("UPS US Equity","BS_INVENTORIES","1993-06-18","2026-05-02","Per=Y","Days=T","Dir=V")</f>
        <v>0</v>
      </c>
      <c r="W2">
        <f>BDH("UPS US Equity","WORKING_CAPITAL","1993-06-18","2026-05-02","Per=Y","Days=T","Dir=V")</f>
        <v>0</v>
      </c>
      <c r="Y2">
        <f>BDH("UPS US Equity","SALES_REV_TURN","1993-06-18","2026-05-02","Per=Y","Days=T","Dir=V")</f>
        <v>0</v>
      </c>
      <c r="AA2">
        <f>BDH("UPS US Equity","EBIT","1993-06-18","2026-05-02","Per=Y","Days=T","Dir=V")</f>
        <v>0</v>
      </c>
      <c r="AC2">
        <f>BDH("UPS US Equity","EBITDA","1993-06-18","2026-05-02","Per=Y","Days=T","Dir=V")</f>
        <v>0</v>
      </c>
      <c r="AE2">
        <f>BDH("UPS US Equity","NET_INCOME","1993-06-18","2026-05-02","Per=Y","Days=T","Dir=V")</f>
        <v>0</v>
      </c>
      <c r="AG2">
        <f>BDH("UPS US Equity","IS_INT_EXPENSE","1993-06-18","2026-05-02","Per=Y","Days=T","Dir=V")</f>
        <v>0</v>
      </c>
      <c r="AI2">
        <f>BDH("UPS US Equity","IS_DEPR_EXP","1993-06-18","2026-05-02","Per=Y","Days=T","Dir=V")</f>
        <v>0</v>
      </c>
      <c r="AK2">
        <f>BDH("UPS US Equity","CF_CASH_FROM_OPER","1993-06-18","2026-05-02","Per=Y","Days=T","Dir=V")</f>
        <v>0</v>
      </c>
      <c r="AM2">
        <f>BDH("UPS US Equity","CAPITAL_EXPEND","1993-06-18","2026-05-02","Per=Y","Days=T","Dir=V")</f>
        <v>0</v>
      </c>
      <c r="AO2">
        <f>BDH("UPS US Equity","CF_FREE_CASH_FLOW","1993-06-18","2026-05-02","Per=Y","Days=T","Dir=V")</f>
        <v>0</v>
      </c>
      <c r="AQ2">
        <f>BDH("UPS US Equity","PX_LAST","1993-06-18","2026-05-02","Per=M","Days=T","Dir=V")</f>
        <v>0</v>
      </c>
      <c r="AS2">
        <f>BDH("UPS US Equity","CUR_MKT_CAP","1993-06-18","2026-05-02","Per=M","Days=T","Dir=V")</f>
        <v>0</v>
      </c>
      <c r="AU2">
        <f>BDH("UPS US Equity","EQY_SH_OUT","1993-06-18","2026-05-02","Per=M","Days=T","Dir=V")</f>
        <v>0</v>
      </c>
      <c r="AW2">
        <f>BDH("UPS US Equity","PX_VOLUME","1993-06-18","2026-05-02","Per=M","Days=T","Dir=V")</f>
        <v>0</v>
      </c>
      <c r="AY2">
        <f>BDH("UPS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BDH("UPWK US Equity","BS_TOT_ASSET","1993-06-18","2026-05-02","Per=Y","Days=T","Dir=V")</f>
        <v>0</v>
      </c>
      <c r="C2">
        <f>BDH("UPWK US Equity","BS_TOT_LIAB2","1993-06-18","2026-05-02","Per=Y","Days=T","Dir=V")</f>
        <v>0</v>
      </c>
      <c r="E2">
        <f>BDH("UPWK US Equity","SHORT_AND_LONG_TERM_DEBT","1993-06-18","2026-05-02","Per=Y","Days=T","Dir=V")</f>
        <v>0</v>
      </c>
      <c r="G2">
        <f>BDH("UPWK US Equity","BS_ST_BORROW","1993-06-18","2026-05-02","Per=Y","Days=T","Dir=V")</f>
        <v>0</v>
      </c>
      <c r="I2">
        <f>BDH("UPWK US Equity","BS_LT_BORROW","1993-06-18","2026-05-02","Per=Y","Days=T","Dir=V")</f>
        <v>0</v>
      </c>
      <c r="K2">
        <f>BDH("UPWK US Equity","BS_CASH_NEAR_CASH_ITEM","1993-06-18","2026-05-02","Per=Y","Days=T","Dir=V")</f>
        <v>0</v>
      </c>
      <c r="M2">
        <f>BDH("UPWK US Equity","BS_CUR_ASSET_REPORT","1993-06-18","2026-05-02","Per=Y","Days=T","Dir=V")</f>
        <v>0</v>
      </c>
      <c r="O2">
        <f>BDH("UPWK US Equity","BS_CUR_LIAB","1993-06-18","2026-05-02","Per=Y","Days=T","Dir=V")</f>
        <v>0</v>
      </c>
      <c r="Q2">
        <f>BDH("UPWK US Equity","BS_SHAREHOLDER_EQY_ENDING_PERIOD","1993-06-18","2026-05-02","Per=Y","Days=T","Dir=V")</f>
        <v>0</v>
      </c>
      <c r="S2">
        <f>BDH("UPWK US Equity","BS_ACCT_NOTE_RCV","1993-06-18","2026-05-02","Per=Y","Days=T","Dir=V")</f>
        <v>0</v>
      </c>
      <c r="U2">
        <f>BDH("UPWK US Equity","BS_INVENTORIES","1993-06-18","2026-05-02","Per=Y","Days=T","Dir=V")</f>
        <v>0</v>
      </c>
      <c r="W2">
        <f>BDH("UPWK US Equity","WORKING_CAPITAL","1993-06-18","2026-05-02","Per=Y","Days=T","Dir=V")</f>
        <v>0</v>
      </c>
      <c r="Y2">
        <f>BDH("UPWK US Equity","SALES_REV_TURN","1993-06-18","2026-05-02","Per=Y","Days=T","Dir=V")</f>
        <v>0</v>
      </c>
      <c r="AA2">
        <f>BDH("UPWK US Equity","EBIT","1993-06-18","2026-05-02","Per=Y","Days=T","Dir=V")</f>
        <v>0</v>
      </c>
      <c r="AC2">
        <f>BDH("UPWK US Equity","EBITDA","1993-06-18","2026-05-02","Per=Y","Days=T","Dir=V")</f>
        <v>0</v>
      </c>
      <c r="AE2">
        <f>BDH("UPWK US Equity","NET_INCOME","1993-06-18","2026-05-02","Per=Y","Days=T","Dir=V")</f>
        <v>0</v>
      </c>
      <c r="AG2">
        <f>BDH("UPWK US Equity","IS_INT_EXPENSE","1993-06-18","2026-05-02","Per=Y","Days=T","Dir=V")</f>
        <v>0</v>
      </c>
      <c r="AI2">
        <f>BDH("UPWK US Equity","IS_DEPR_EXP","1993-06-18","2026-05-02","Per=Y","Days=T","Dir=V")</f>
        <v>0</v>
      </c>
      <c r="AK2">
        <f>BDH("UPWK US Equity","CF_CASH_FROM_OPER","1993-06-18","2026-05-02","Per=Y","Days=T","Dir=V")</f>
        <v>0</v>
      </c>
      <c r="AM2">
        <f>BDH("UPWK US Equity","CAPITAL_EXPEND","1993-06-18","2026-05-02","Per=Y","Days=T","Dir=V")</f>
        <v>0</v>
      </c>
      <c r="AO2">
        <f>BDH("UPWK US Equity","CF_FREE_CASH_FLOW","1993-06-18","2026-05-02","Per=Y","Days=T","Dir=V")</f>
        <v>0</v>
      </c>
      <c r="AQ2">
        <f>BDH("UPWK US Equity","PX_LAST","1993-06-18","2026-05-02","Per=M","Days=T","Dir=V")</f>
        <v>0</v>
      </c>
      <c r="AS2">
        <f>BDH("UPWK US Equity","CUR_MKT_CAP","1993-06-18","2026-05-02","Per=M","Days=T","Dir=V")</f>
        <v>0</v>
      </c>
      <c r="AU2">
        <f>BDH("UPWK US Equity","EQY_SH_OUT","1993-06-18","2026-05-02","Per=M","Days=T","Dir=V")</f>
        <v>0</v>
      </c>
      <c r="AW2">
        <f>BDH("UPWK US Equity","PX_VOLUME","1993-06-18","2026-05-02","Per=M","Days=T","Dir=V")</f>
        <v>0</v>
      </c>
      <c r="AY2">
        <f>BDH("UPWK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BDH("URBN US Equity","BS_TOT_ASSET","1993-06-18","2026-05-02","Per=Y","Days=T","Dir=V")</f>
        <v>0</v>
      </c>
      <c r="C2">
        <f>BDH("URBN US Equity","BS_TOT_LIAB2","1993-06-18","2026-05-02","Per=Y","Days=T","Dir=V")</f>
        <v>0</v>
      </c>
      <c r="E2">
        <f>BDH("URBN US Equity","SHORT_AND_LONG_TERM_DEBT","1993-06-18","2026-05-02","Per=Y","Days=T","Dir=V")</f>
        <v>0</v>
      </c>
      <c r="G2">
        <f>BDH("URBN US Equity","BS_ST_BORROW","1993-06-18","2026-05-02","Per=Y","Days=T","Dir=V")</f>
        <v>0</v>
      </c>
      <c r="I2">
        <f>BDH("URBN US Equity","BS_LT_BORROW","1993-06-18","2026-05-02","Per=Y","Days=T","Dir=V")</f>
        <v>0</v>
      </c>
      <c r="K2">
        <f>BDH("URBN US Equity","BS_CASH_NEAR_CASH_ITEM","1993-06-18","2026-05-02","Per=Y","Days=T","Dir=V")</f>
        <v>0</v>
      </c>
      <c r="M2">
        <f>BDH("URBN US Equity","BS_CUR_ASSET_REPORT","1993-06-18","2026-05-02","Per=Y","Days=T","Dir=V")</f>
        <v>0</v>
      </c>
      <c r="O2">
        <f>BDH("URBN US Equity","BS_CUR_LIAB","1993-06-18","2026-05-02","Per=Y","Days=T","Dir=V")</f>
        <v>0</v>
      </c>
      <c r="Q2">
        <f>BDH("URBN US Equity","BS_SHAREHOLDER_EQY_ENDING_PERIOD","1993-06-18","2026-05-02","Per=Y","Days=T","Dir=V")</f>
        <v>0</v>
      </c>
      <c r="S2">
        <f>BDH("URBN US Equity","BS_ACCT_NOTE_RCV","1993-06-18","2026-05-02","Per=Y","Days=T","Dir=V")</f>
        <v>0</v>
      </c>
      <c r="U2">
        <f>BDH("URBN US Equity","BS_INVENTORIES","1993-06-18","2026-05-02","Per=Y","Days=T","Dir=V")</f>
        <v>0</v>
      </c>
      <c r="W2">
        <f>BDH("URBN US Equity","WORKING_CAPITAL","1993-06-18","2026-05-02","Per=Y","Days=T","Dir=V")</f>
        <v>0</v>
      </c>
      <c r="Y2">
        <f>BDH("URBN US Equity","SALES_REV_TURN","1993-06-18","2026-05-02","Per=Y","Days=T","Dir=V")</f>
        <v>0</v>
      </c>
      <c r="AA2">
        <f>BDH("URBN US Equity","EBIT","1993-06-18","2026-05-02","Per=Y","Days=T","Dir=V")</f>
        <v>0</v>
      </c>
      <c r="AC2">
        <f>BDH("URBN US Equity","EBITDA","1993-06-18","2026-05-02","Per=Y","Days=T","Dir=V")</f>
        <v>0</v>
      </c>
      <c r="AE2">
        <f>BDH("URBN US Equity","NET_INCOME","1993-06-18","2026-05-02","Per=Y","Days=T","Dir=V")</f>
        <v>0</v>
      </c>
      <c r="AG2">
        <f>BDH("URBN US Equity","IS_INT_EXPENSE","1993-06-18","2026-05-02","Per=Y","Days=T","Dir=V")</f>
        <v>0</v>
      </c>
      <c r="AI2">
        <f>BDH("URBN US Equity","IS_DEPR_EXP","1993-06-18","2026-05-02","Per=Y","Days=T","Dir=V")</f>
        <v>0</v>
      </c>
      <c r="AK2">
        <f>BDH("URBN US Equity","CF_CASH_FROM_OPER","1993-06-18","2026-05-02","Per=Y","Days=T","Dir=V")</f>
        <v>0</v>
      </c>
      <c r="AM2">
        <f>BDH("URBN US Equity","CAPITAL_EXPEND","1993-06-18","2026-05-02","Per=Y","Days=T","Dir=V")</f>
        <v>0</v>
      </c>
      <c r="AO2">
        <f>BDH("URBN US Equity","CF_FREE_CASH_FLOW","1993-06-18","2026-05-02","Per=Y","Days=T","Dir=V")</f>
        <v>0</v>
      </c>
      <c r="AQ2">
        <f>BDH("URBN US Equity","PX_LAST","1993-06-18","2026-05-02","Per=M","Days=T","Dir=V")</f>
        <v>0</v>
      </c>
      <c r="AS2">
        <f>BDH("URBN US Equity","CUR_MKT_CAP","1993-06-18","2026-05-02","Per=M","Days=T","Dir=V")</f>
        <v>0</v>
      </c>
      <c r="AU2">
        <f>BDH("URBN US Equity","EQY_SH_OUT","1993-06-18","2026-05-02","Per=M","Days=T","Dir=V")</f>
        <v>0</v>
      </c>
      <c r="AW2">
        <f>BDH("URBN US Equity","PX_VOLUME","1993-06-18","2026-05-02","Per=M","Days=T","Dir=V")</f>
        <v>0</v>
      </c>
      <c r="AY2">
        <f>BDH("URBN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BDH("URI US Equity","BS_TOT_ASSET","1993-06-18","2026-05-02","Per=Y","Days=T","Dir=V")</f>
        <v>0</v>
      </c>
      <c r="C2">
        <f>BDH("URI US Equity","BS_TOT_LIAB2","1993-06-18","2026-05-02","Per=Y","Days=T","Dir=V")</f>
        <v>0</v>
      </c>
      <c r="E2">
        <f>BDH("URI US Equity","SHORT_AND_LONG_TERM_DEBT","1993-06-18","2026-05-02","Per=Y","Days=T","Dir=V")</f>
        <v>0</v>
      </c>
      <c r="G2">
        <f>BDH("URI US Equity","BS_ST_BORROW","1993-06-18","2026-05-02","Per=Y","Days=T","Dir=V")</f>
        <v>0</v>
      </c>
      <c r="I2">
        <f>BDH("URI US Equity","BS_LT_BORROW","1993-06-18","2026-05-02","Per=Y","Days=T","Dir=V")</f>
        <v>0</v>
      </c>
      <c r="K2">
        <f>BDH("URI US Equity","BS_CASH_NEAR_CASH_ITEM","1993-06-18","2026-05-02","Per=Y","Days=T","Dir=V")</f>
        <v>0</v>
      </c>
      <c r="M2">
        <f>BDH("URI US Equity","BS_CUR_ASSET_REPORT","1993-06-18","2026-05-02","Per=Y","Days=T","Dir=V")</f>
        <v>0</v>
      </c>
      <c r="O2">
        <f>BDH("URI US Equity","BS_CUR_LIAB","1993-06-18","2026-05-02","Per=Y","Days=T","Dir=V")</f>
        <v>0</v>
      </c>
      <c r="Q2">
        <f>BDH("URI US Equity","BS_SHAREHOLDER_EQY_ENDING_PERIOD","1993-06-18","2026-05-02","Per=Y","Days=T","Dir=V")</f>
        <v>0</v>
      </c>
      <c r="S2">
        <f>BDH("URI US Equity","BS_ACCT_NOTE_RCV","1993-06-18","2026-05-02","Per=Y","Days=T","Dir=V")</f>
        <v>0</v>
      </c>
      <c r="U2">
        <f>BDH("URI US Equity","BS_INVENTORIES","1993-06-18","2026-05-02","Per=Y","Days=T","Dir=V")</f>
        <v>0</v>
      </c>
      <c r="W2">
        <f>BDH("URI US Equity","WORKING_CAPITAL","1993-06-18","2026-05-02","Per=Y","Days=T","Dir=V")</f>
        <v>0</v>
      </c>
      <c r="Y2">
        <f>BDH("URI US Equity","SALES_REV_TURN","1993-06-18","2026-05-02","Per=Y","Days=T","Dir=V")</f>
        <v>0</v>
      </c>
      <c r="AA2">
        <f>BDH("URI US Equity","EBIT","1993-06-18","2026-05-02","Per=Y","Days=T","Dir=V")</f>
        <v>0</v>
      </c>
      <c r="AC2">
        <f>BDH("URI US Equity","EBITDA","1993-06-18","2026-05-02","Per=Y","Days=T","Dir=V")</f>
        <v>0</v>
      </c>
      <c r="AE2">
        <f>BDH("URI US Equity","NET_INCOME","1993-06-18","2026-05-02","Per=Y","Days=T","Dir=V")</f>
        <v>0</v>
      </c>
      <c r="AG2">
        <f>BDH("URI US Equity","IS_INT_EXPENSE","1993-06-18","2026-05-02","Per=Y","Days=T","Dir=V")</f>
        <v>0</v>
      </c>
      <c r="AI2">
        <f>BDH("URI US Equity","IS_DEPR_EXP","1993-06-18","2026-05-02","Per=Y","Days=T","Dir=V")</f>
        <v>0</v>
      </c>
      <c r="AK2">
        <f>BDH("URI US Equity","CF_CASH_FROM_OPER","1993-06-18","2026-05-02","Per=Y","Days=T","Dir=V")</f>
        <v>0</v>
      </c>
      <c r="AM2">
        <f>BDH("URI US Equity","CAPITAL_EXPEND","1993-06-18","2026-05-02","Per=Y","Days=T","Dir=V")</f>
        <v>0</v>
      </c>
      <c r="AO2">
        <f>BDH("URI US Equity","CF_FREE_CASH_FLOW","1993-06-18","2026-05-02","Per=Y","Days=T","Dir=V")</f>
        <v>0</v>
      </c>
      <c r="AQ2">
        <f>BDH("URI US Equity","PX_LAST","1993-06-18","2026-05-02","Per=M","Days=T","Dir=V")</f>
        <v>0</v>
      </c>
      <c r="AS2">
        <f>BDH("URI US Equity","CUR_MKT_CAP","1993-06-18","2026-05-02","Per=M","Days=T","Dir=V")</f>
        <v>0</v>
      </c>
      <c r="AU2">
        <f>BDH("URI US Equity","EQY_SH_OUT","1993-06-18","2026-05-02","Per=M","Days=T","Dir=V")</f>
        <v>0</v>
      </c>
      <c r="AW2">
        <f>BDH("URI US Equity","PX_VOLUME","1993-06-18","2026-05-02","Per=M","Days=T","Dir=V")</f>
        <v>0</v>
      </c>
      <c r="AY2">
        <f>BDH("URI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BDH("USAC US Equity","BS_TOT_ASSET","1993-06-18","2026-05-02","Per=Y","Days=T","Dir=V")</f>
        <v>0</v>
      </c>
      <c r="C2">
        <f>BDH("USAC US Equity","BS_TOT_LIAB2","1993-06-18","2026-05-02","Per=Y","Days=T","Dir=V")</f>
        <v>0</v>
      </c>
      <c r="E2">
        <f>BDH("USAC US Equity","SHORT_AND_LONG_TERM_DEBT","1993-06-18","2026-05-02","Per=Y","Days=T","Dir=V")</f>
        <v>0</v>
      </c>
      <c r="G2">
        <f>BDH("USAC US Equity","BS_ST_BORROW","1993-06-18","2026-05-02","Per=Y","Days=T","Dir=V")</f>
        <v>0</v>
      </c>
      <c r="I2">
        <f>BDH("USAC US Equity","BS_LT_BORROW","1993-06-18","2026-05-02","Per=Y","Days=T","Dir=V")</f>
        <v>0</v>
      </c>
      <c r="K2">
        <f>BDH("USAC US Equity","BS_CASH_NEAR_CASH_ITEM","1993-06-18","2026-05-02","Per=Y","Days=T","Dir=V")</f>
        <v>0</v>
      </c>
      <c r="M2">
        <f>BDH("USAC US Equity","BS_CUR_ASSET_REPORT","1993-06-18","2026-05-02","Per=Y","Days=T","Dir=V")</f>
        <v>0</v>
      </c>
      <c r="O2">
        <f>BDH("USAC US Equity","BS_CUR_LIAB","1993-06-18","2026-05-02","Per=Y","Days=T","Dir=V")</f>
        <v>0</v>
      </c>
      <c r="Q2">
        <f>BDH("USAC US Equity","BS_SHAREHOLDER_EQY_ENDING_PERIOD","1993-06-18","2026-05-02","Per=Y","Days=T","Dir=V")</f>
        <v>0</v>
      </c>
      <c r="S2">
        <f>BDH("USAC US Equity","BS_ACCT_NOTE_RCV","1993-06-18","2026-05-02","Per=Y","Days=T","Dir=V")</f>
        <v>0</v>
      </c>
      <c r="U2">
        <f>BDH("USAC US Equity","BS_INVENTORIES","1993-06-18","2026-05-02","Per=Y","Days=T","Dir=V")</f>
        <v>0</v>
      </c>
      <c r="W2">
        <f>BDH("USAC US Equity","WORKING_CAPITAL","1993-06-18","2026-05-02","Per=Y","Days=T","Dir=V")</f>
        <v>0</v>
      </c>
      <c r="Y2">
        <f>BDH("USAC US Equity","SALES_REV_TURN","1993-06-18","2026-05-02","Per=Y","Days=T","Dir=V")</f>
        <v>0</v>
      </c>
      <c r="AA2">
        <f>BDH("USAC US Equity","EBIT","1993-06-18","2026-05-02","Per=Y","Days=T","Dir=V")</f>
        <v>0</v>
      </c>
      <c r="AC2">
        <f>BDH("USAC US Equity","EBITDA","1993-06-18","2026-05-02","Per=Y","Days=T","Dir=V")</f>
        <v>0</v>
      </c>
      <c r="AE2">
        <f>BDH("USAC US Equity","NET_INCOME","1993-06-18","2026-05-02","Per=Y","Days=T","Dir=V")</f>
        <v>0</v>
      </c>
      <c r="AG2">
        <f>BDH("USAC US Equity","IS_INT_EXPENSE","1993-06-18","2026-05-02","Per=Y","Days=T","Dir=V")</f>
        <v>0</v>
      </c>
      <c r="AI2">
        <f>BDH("USAC US Equity","IS_DEPR_EXP","1993-06-18","2026-05-02","Per=Y","Days=T","Dir=V")</f>
        <v>0</v>
      </c>
      <c r="AK2">
        <f>BDH("USAC US Equity","CF_CASH_FROM_OPER","1993-06-18","2026-05-02","Per=Y","Days=T","Dir=V")</f>
        <v>0</v>
      </c>
      <c r="AM2">
        <f>BDH("USAC US Equity","CAPITAL_EXPEND","1993-06-18","2026-05-02","Per=Y","Days=T","Dir=V")</f>
        <v>0</v>
      </c>
      <c r="AO2">
        <f>BDH("USAC US Equity","CF_FREE_CASH_FLOW","1993-06-18","2026-05-02","Per=Y","Days=T","Dir=V")</f>
        <v>0</v>
      </c>
      <c r="AQ2">
        <f>BDH("USAC US Equity","PX_LAST","1993-06-18","2026-05-02","Per=M","Days=T","Dir=V")</f>
        <v>0</v>
      </c>
      <c r="AS2">
        <f>BDH("USAC US Equity","CUR_MKT_CAP","1993-06-18","2026-05-02","Per=M","Days=T","Dir=V")</f>
        <v>0</v>
      </c>
      <c r="AU2">
        <f>BDH("USAC US Equity","EQY_SH_OUT","1993-06-18","2026-05-02","Per=M","Days=T","Dir=V")</f>
        <v>0</v>
      </c>
      <c r="AW2">
        <f>BDH("USAC US Equity","PX_VOLUME","1993-06-18","2026-05-02","Per=M","Days=T","Dir=V")</f>
        <v>0</v>
      </c>
      <c r="AY2">
        <f>BDH("USAC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BDH("USAR US Equity","BS_TOT_ASSET","1993-06-18","2026-05-02","Per=Y","Days=T","Dir=V")</f>
        <v>0</v>
      </c>
      <c r="C2">
        <f>BDH("USAR US Equity","BS_TOT_LIAB2","1993-06-18","2026-05-02","Per=Y","Days=T","Dir=V")</f>
        <v>0</v>
      </c>
      <c r="E2">
        <f>BDH("USAR US Equity","SHORT_AND_LONG_TERM_DEBT","1993-06-18","2026-05-02","Per=Y","Days=T","Dir=V")</f>
        <v>0</v>
      </c>
      <c r="G2">
        <f>BDH("USAR US Equity","BS_ST_BORROW","1993-06-18","2026-05-02","Per=Y","Days=T","Dir=V")</f>
        <v>0</v>
      </c>
      <c r="I2">
        <f>BDH("USAR US Equity","BS_LT_BORROW","1993-06-18","2026-05-02","Per=Y","Days=T","Dir=V")</f>
        <v>0</v>
      </c>
      <c r="K2">
        <f>BDH("USAR US Equity","BS_CASH_NEAR_CASH_ITEM","1993-06-18","2026-05-02","Per=Y","Days=T","Dir=V")</f>
        <v>0</v>
      </c>
      <c r="M2">
        <f>BDH("USAR US Equity","BS_CUR_ASSET_REPORT","1993-06-18","2026-05-02","Per=Y","Days=T","Dir=V")</f>
        <v>0</v>
      </c>
      <c r="O2">
        <f>BDH("USAR US Equity","BS_CUR_LIAB","1993-06-18","2026-05-02","Per=Y","Days=T","Dir=V")</f>
        <v>0</v>
      </c>
      <c r="Q2">
        <f>BDH("USAR US Equity","BS_SHAREHOLDER_EQY_ENDING_PERIOD","1993-06-18","2026-05-02","Per=Y","Days=T","Dir=V")</f>
        <v>0</v>
      </c>
      <c r="S2">
        <f>BDH("USAR US Equity","BS_ACCT_NOTE_RCV","1993-06-18","2026-05-02","Per=Y","Days=T","Dir=V")</f>
        <v>0</v>
      </c>
      <c r="U2">
        <f>BDH("USAR US Equity","BS_INVENTORIES","1993-06-18","2026-05-02","Per=Y","Days=T","Dir=V")</f>
        <v>0</v>
      </c>
      <c r="W2">
        <f>BDH("USAR US Equity","WORKING_CAPITAL","1993-06-18","2026-05-02","Per=Y","Days=T","Dir=V")</f>
        <v>0</v>
      </c>
      <c r="Y2">
        <f>BDH("USAR US Equity","SALES_REV_TURN","1993-06-18","2026-05-02","Per=Y","Days=T","Dir=V")</f>
        <v>0</v>
      </c>
      <c r="AA2">
        <f>BDH("USAR US Equity","EBIT","1993-06-18","2026-05-02","Per=Y","Days=T","Dir=V")</f>
        <v>0</v>
      </c>
      <c r="AC2">
        <f>BDH("USAR US Equity","EBITDA","1993-06-18","2026-05-02","Per=Y","Days=T","Dir=V")</f>
        <v>0</v>
      </c>
      <c r="AE2">
        <f>BDH("USAR US Equity","NET_INCOME","1993-06-18","2026-05-02","Per=Y","Days=T","Dir=V")</f>
        <v>0</v>
      </c>
      <c r="AG2">
        <f>BDH("USAR US Equity","IS_INT_EXPENSE","1993-06-18","2026-05-02","Per=Y","Days=T","Dir=V")</f>
        <v>0</v>
      </c>
      <c r="AI2">
        <f>BDH("USAR US Equity","IS_DEPR_EXP","1993-06-18","2026-05-02","Per=Y","Days=T","Dir=V")</f>
        <v>0</v>
      </c>
      <c r="AK2">
        <f>BDH("USAR US Equity","CF_CASH_FROM_OPER","1993-06-18","2026-05-02","Per=Y","Days=T","Dir=V")</f>
        <v>0</v>
      </c>
      <c r="AM2">
        <f>BDH("USAR US Equity","CAPITAL_EXPEND","1993-06-18","2026-05-02","Per=Y","Days=T","Dir=V")</f>
        <v>0</v>
      </c>
      <c r="AO2">
        <f>BDH("USAR US Equity","CF_FREE_CASH_FLOW","1993-06-18","2026-05-02","Per=Y","Days=T","Dir=V")</f>
        <v>0</v>
      </c>
      <c r="AQ2">
        <f>BDH("USAR US Equity","PX_LAST","1993-06-18","2026-05-02","Per=M","Days=T","Dir=V")</f>
        <v>0</v>
      </c>
      <c r="AS2">
        <f>BDH("USAR US Equity","CUR_MKT_CAP","1993-06-18","2026-05-02","Per=M","Days=T","Dir=V")</f>
        <v>0</v>
      </c>
      <c r="AU2">
        <f>BDH("USAR US Equity","EQY_SH_OUT","1993-06-18","2026-05-02","Per=M","Days=T","Dir=V")</f>
        <v>0</v>
      </c>
      <c r="AW2">
        <f>BDH("USAR US Equity","PX_VOLUME","1993-06-18","2026-05-02","Per=M","Days=T","Dir=V")</f>
        <v>0</v>
      </c>
      <c r="AY2">
        <f>BDH("USAR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BDH("USAU US Equity","BS_TOT_ASSET","1993-06-18","2026-05-02","Per=Y","Days=T","Dir=V")</f>
        <v>0</v>
      </c>
      <c r="C2">
        <f>BDH("USAU US Equity","BS_TOT_LIAB2","1993-06-18","2026-05-02","Per=Y","Days=T","Dir=V")</f>
        <v>0</v>
      </c>
      <c r="E2">
        <f>BDH("USAU US Equity","SHORT_AND_LONG_TERM_DEBT","1993-06-18","2026-05-02","Per=Y","Days=T","Dir=V")</f>
        <v>0</v>
      </c>
      <c r="G2">
        <f>BDH("USAU US Equity","BS_ST_BORROW","1993-06-18","2026-05-02","Per=Y","Days=T","Dir=V")</f>
        <v>0</v>
      </c>
      <c r="I2">
        <f>BDH("USAU US Equity","BS_LT_BORROW","1993-06-18","2026-05-02","Per=Y","Days=T","Dir=V")</f>
        <v>0</v>
      </c>
      <c r="K2">
        <f>BDH("USAU US Equity","BS_CASH_NEAR_CASH_ITEM","1993-06-18","2026-05-02","Per=Y","Days=T","Dir=V")</f>
        <v>0</v>
      </c>
      <c r="M2">
        <f>BDH("USAU US Equity","BS_CUR_ASSET_REPORT","1993-06-18","2026-05-02","Per=Y","Days=T","Dir=V")</f>
        <v>0</v>
      </c>
      <c r="O2">
        <f>BDH("USAU US Equity","BS_CUR_LIAB","1993-06-18","2026-05-02","Per=Y","Days=T","Dir=V")</f>
        <v>0</v>
      </c>
      <c r="Q2">
        <f>BDH("USAU US Equity","BS_SHAREHOLDER_EQY_ENDING_PERIOD","1993-06-18","2026-05-02","Per=Y","Days=T","Dir=V")</f>
        <v>0</v>
      </c>
      <c r="S2">
        <f>BDH("USAU US Equity","BS_ACCT_NOTE_RCV","1993-06-18","2026-05-02","Per=Y","Days=T","Dir=V")</f>
        <v>0</v>
      </c>
      <c r="U2">
        <f>BDH("USAU US Equity","BS_INVENTORIES","1993-06-18","2026-05-02","Per=Y","Days=T","Dir=V")</f>
        <v>0</v>
      </c>
      <c r="W2">
        <f>BDH("USAU US Equity","WORKING_CAPITAL","1993-06-18","2026-05-02","Per=Y","Days=T","Dir=V")</f>
        <v>0</v>
      </c>
      <c r="Y2">
        <f>BDH("USAU US Equity","SALES_REV_TURN","1993-06-18","2026-05-02","Per=Y","Days=T","Dir=V")</f>
        <v>0</v>
      </c>
      <c r="AA2">
        <f>BDH("USAU US Equity","EBIT","1993-06-18","2026-05-02","Per=Y","Days=T","Dir=V")</f>
        <v>0</v>
      </c>
      <c r="AC2">
        <f>BDH("USAU US Equity","EBITDA","1993-06-18","2026-05-02","Per=Y","Days=T","Dir=V")</f>
        <v>0</v>
      </c>
      <c r="AE2">
        <f>BDH("USAU US Equity","NET_INCOME","1993-06-18","2026-05-02","Per=Y","Days=T","Dir=V")</f>
        <v>0</v>
      </c>
      <c r="AG2">
        <f>BDH("USAU US Equity","IS_INT_EXPENSE","1993-06-18","2026-05-02","Per=Y","Days=T","Dir=V")</f>
        <v>0</v>
      </c>
      <c r="AI2">
        <f>BDH("USAU US Equity","IS_DEPR_EXP","1993-06-18","2026-05-02","Per=Y","Days=T","Dir=V")</f>
        <v>0</v>
      </c>
      <c r="AK2">
        <f>BDH("USAU US Equity","CF_CASH_FROM_OPER","1993-06-18","2026-05-02","Per=Y","Days=T","Dir=V")</f>
        <v>0</v>
      </c>
      <c r="AM2">
        <f>BDH("USAU US Equity","CAPITAL_EXPEND","1993-06-18","2026-05-02","Per=Y","Days=T","Dir=V")</f>
        <v>0</v>
      </c>
      <c r="AO2">
        <f>BDH("USAU US Equity","CF_FREE_CASH_FLOW","1993-06-18","2026-05-02","Per=Y","Days=T","Dir=V")</f>
        <v>0</v>
      </c>
      <c r="AQ2">
        <f>BDH("USAU US Equity","PX_LAST","1993-06-18","2026-05-02","Per=M","Days=T","Dir=V")</f>
        <v>0</v>
      </c>
      <c r="AS2">
        <f>BDH("USAU US Equity","CUR_MKT_CAP","1993-06-18","2026-05-02","Per=M","Days=T","Dir=V")</f>
        <v>0</v>
      </c>
      <c r="AU2">
        <f>BDH("USAU US Equity","EQY_SH_OUT","1993-06-18","2026-05-02","Per=M","Days=T","Dir=V")</f>
        <v>0</v>
      </c>
      <c r="AW2">
        <f>BDH("USAU US Equity","PX_VOLUME","1993-06-18","2026-05-02","Per=M","Days=T","Dir=V")</f>
        <v>0</v>
      </c>
      <c r="AY2">
        <f>BDH("USAU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BDH("USFD US Equity","BS_TOT_ASSET","1993-06-18","2026-05-02","Per=Y","Days=T","Dir=V")</f>
        <v>0</v>
      </c>
      <c r="C2">
        <f>BDH("USFD US Equity","BS_TOT_LIAB2","1993-06-18","2026-05-02","Per=Y","Days=T","Dir=V")</f>
        <v>0</v>
      </c>
      <c r="E2">
        <f>BDH("USFD US Equity","SHORT_AND_LONG_TERM_DEBT","1993-06-18","2026-05-02","Per=Y","Days=T","Dir=V")</f>
        <v>0</v>
      </c>
      <c r="G2">
        <f>BDH("USFD US Equity","BS_ST_BORROW","1993-06-18","2026-05-02","Per=Y","Days=T","Dir=V")</f>
        <v>0</v>
      </c>
      <c r="I2">
        <f>BDH("USFD US Equity","BS_LT_BORROW","1993-06-18","2026-05-02","Per=Y","Days=T","Dir=V")</f>
        <v>0</v>
      </c>
      <c r="K2">
        <f>BDH("USFD US Equity","BS_CASH_NEAR_CASH_ITEM","1993-06-18","2026-05-02","Per=Y","Days=T","Dir=V")</f>
        <v>0</v>
      </c>
      <c r="M2">
        <f>BDH("USFD US Equity","BS_CUR_ASSET_REPORT","1993-06-18","2026-05-02","Per=Y","Days=T","Dir=V")</f>
        <v>0</v>
      </c>
      <c r="O2">
        <f>BDH("USFD US Equity","BS_CUR_LIAB","1993-06-18","2026-05-02","Per=Y","Days=T","Dir=V")</f>
        <v>0</v>
      </c>
      <c r="Q2">
        <f>BDH("USFD US Equity","BS_SHAREHOLDER_EQY_ENDING_PERIOD","1993-06-18","2026-05-02","Per=Y","Days=T","Dir=V")</f>
        <v>0</v>
      </c>
      <c r="S2">
        <f>BDH("USFD US Equity","BS_ACCT_NOTE_RCV","1993-06-18","2026-05-02","Per=Y","Days=T","Dir=V")</f>
        <v>0</v>
      </c>
      <c r="U2">
        <f>BDH("USFD US Equity","BS_INVENTORIES","1993-06-18","2026-05-02","Per=Y","Days=T","Dir=V")</f>
        <v>0</v>
      </c>
      <c r="W2">
        <f>BDH("USFD US Equity","WORKING_CAPITAL","1993-06-18","2026-05-02","Per=Y","Days=T","Dir=V")</f>
        <v>0</v>
      </c>
      <c r="Y2">
        <f>BDH("USFD US Equity","SALES_REV_TURN","1993-06-18","2026-05-02","Per=Y","Days=T","Dir=V")</f>
        <v>0</v>
      </c>
      <c r="AA2">
        <f>BDH("USFD US Equity","EBIT","1993-06-18","2026-05-02","Per=Y","Days=T","Dir=V")</f>
        <v>0</v>
      </c>
      <c r="AC2">
        <f>BDH("USFD US Equity","EBITDA","1993-06-18","2026-05-02","Per=Y","Days=T","Dir=V")</f>
        <v>0</v>
      </c>
      <c r="AE2">
        <f>BDH("USFD US Equity","NET_INCOME","1993-06-18","2026-05-02","Per=Y","Days=T","Dir=V")</f>
        <v>0</v>
      </c>
      <c r="AG2">
        <f>BDH("USFD US Equity","IS_INT_EXPENSE","1993-06-18","2026-05-02","Per=Y","Days=T","Dir=V")</f>
        <v>0</v>
      </c>
      <c r="AI2">
        <f>BDH("USFD US Equity","IS_DEPR_EXP","1993-06-18","2026-05-02","Per=Y","Days=T","Dir=V")</f>
        <v>0</v>
      </c>
      <c r="AK2">
        <f>BDH("USFD US Equity","CF_CASH_FROM_OPER","1993-06-18","2026-05-02","Per=Y","Days=T","Dir=V")</f>
        <v>0</v>
      </c>
      <c r="AM2">
        <f>BDH("USFD US Equity","CAPITAL_EXPEND","1993-06-18","2026-05-02","Per=Y","Days=T","Dir=V")</f>
        <v>0</v>
      </c>
      <c r="AO2">
        <f>BDH("USFD US Equity","CF_FREE_CASH_FLOW","1993-06-18","2026-05-02","Per=Y","Days=T","Dir=V")</f>
        <v>0</v>
      </c>
      <c r="AQ2">
        <f>BDH("USFD US Equity","PX_LAST","1993-06-18","2026-05-02","Per=M","Days=T","Dir=V")</f>
        <v>0</v>
      </c>
      <c r="AS2">
        <f>BDH("USFD US Equity","CUR_MKT_CAP","1993-06-18","2026-05-02","Per=M","Days=T","Dir=V")</f>
        <v>0</v>
      </c>
      <c r="AU2">
        <f>BDH("USFD US Equity","EQY_SH_OUT","1993-06-18","2026-05-02","Per=M","Days=T","Dir=V")</f>
        <v>0</v>
      </c>
      <c r="AW2">
        <f>BDH("USFD US Equity","PX_VOLUME","1993-06-18","2026-05-02","Per=M","Days=T","Dir=V")</f>
        <v>0</v>
      </c>
      <c r="AY2">
        <f>BDH("USFD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BDH("USGO US Equity","BS_TOT_ASSET","1993-06-18","2026-05-02","Per=Y","Days=T","Dir=V")</f>
        <v>0</v>
      </c>
      <c r="C2">
        <f>BDH("USGO US Equity","BS_TOT_LIAB2","1993-06-18","2026-05-02","Per=Y","Days=T","Dir=V")</f>
        <v>0</v>
      </c>
      <c r="E2">
        <f>BDH("USGO US Equity","SHORT_AND_LONG_TERM_DEBT","1993-06-18","2026-05-02","Per=Y","Days=T","Dir=V")</f>
        <v>0</v>
      </c>
      <c r="G2">
        <f>BDH("USGO US Equity","BS_ST_BORROW","1993-06-18","2026-05-02","Per=Y","Days=T","Dir=V")</f>
        <v>0</v>
      </c>
      <c r="I2">
        <f>BDH("USGO US Equity","BS_LT_BORROW","1993-06-18","2026-05-02","Per=Y","Days=T","Dir=V")</f>
        <v>0</v>
      </c>
      <c r="K2">
        <f>BDH("USGO US Equity","BS_CASH_NEAR_CASH_ITEM","1993-06-18","2026-05-02","Per=Y","Days=T","Dir=V")</f>
        <v>0</v>
      </c>
      <c r="M2">
        <f>BDH("USGO US Equity","BS_CUR_ASSET_REPORT","1993-06-18","2026-05-02","Per=Y","Days=T","Dir=V")</f>
        <v>0</v>
      </c>
      <c r="O2">
        <f>BDH("USGO US Equity","BS_CUR_LIAB","1993-06-18","2026-05-02","Per=Y","Days=T","Dir=V")</f>
        <v>0</v>
      </c>
      <c r="Q2">
        <f>BDH("USGO US Equity","BS_SHAREHOLDER_EQY_ENDING_PERIOD","1993-06-18","2026-05-02","Per=Y","Days=T","Dir=V")</f>
        <v>0</v>
      </c>
      <c r="S2">
        <f>BDH("USGO US Equity","BS_ACCT_NOTE_RCV","1993-06-18","2026-05-02","Per=Y","Days=T","Dir=V")</f>
        <v>0</v>
      </c>
      <c r="U2">
        <f>BDH("USGO US Equity","BS_INVENTORIES","1993-06-18","2026-05-02","Per=Y","Days=T","Dir=V")</f>
        <v>0</v>
      </c>
      <c r="W2">
        <f>BDH("USGO US Equity","WORKING_CAPITAL","1993-06-18","2026-05-02","Per=Y","Days=T","Dir=V")</f>
        <v>0</v>
      </c>
      <c r="Y2">
        <f>BDH("USGO US Equity","SALES_REV_TURN","1993-06-18","2026-05-02","Per=Y","Days=T","Dir=V")</f>
        <v>0</v>
      </c>
      <c r="AA2">
        <f>BDH("USGO US Equity","EBIT","1993-06-18","2026-05-02","Per=Y","Days=T","Dir=V")</f>
        <v>0</v>
      </c>
      <c r="AC2">
        <f>BDH("USGO US Equity","EBITDA","1993-06-18","2026-05-02","Per=Y","Days=T","Dir=V")</f>
        <v>0</v>
      </c>
      <c r="AE2">
        <f>BDH("USGO US Equity","NET_INCOME","1993-06-18","2026-05-02","Per=Y","Days=T","Dir=V")</f>
        <v>0</v>
      </c>
      <c r="AG2">
        <f>BDH("USGO US Equity","IS_INT_EXPENSE","1993-06-18","2026-05-02","Per=Y","Days=T","Dir=V")</f>
        <v>0</v>
      </c>
      <c r="AI2">
        <f>BDH("USGO US Equity","IS_DEPR_EXP","1993-06-18","2026-05-02","Per=Y","Days=T","Dir=V")</f>
        <v>0</v>
      </c>
      <c r="AK2">
        <f>BDH("USGO US Equity","CF_CASH_FROM_OPER","1993-06-18","2026-05-02","Per=Y","Days=T","Dir=V")</f>
        <v>0</v>
      </c>
      <c r="AM2">
        <f>BDH("USGO US Equity","CAPITAL_EXPEND","1993-06-18","2026-05-02","Per=Y","Days=T","Dir=V")</f>
        <v>0</v>
      </c>
      <c r="AO2">
        <f>BDH("USGO US Equity","CF_FREE_CASH_FLOW","1993-06-18","2026-05-02","Per=Y","Days=T","Dir=V")</f>
        <v>0</v>
      </c>
      <c r="AQ2">
        <f>BDH("USGO US Equity","PX_LAST","1993-06-18","2026-05-02","Per=M","Days=T","Dir=V")</f>
        <v>0</v>
      </c>
      <c r="AS2">
        <f>BDH("USGO US Equity","CUR_MKT_CAP","1993-06-18","2026-05-02","Per=M","Days=T","Dir=V")</f>
        <v>0</v>
      </c>
      <c r="AU2">
        <f>BDH("USGO US Equity","EQY_SH_OUT","1993-06-18","2026-05-02","Per=M","Days=T","Dir=V")</f>
        <v>0</v>
      </c>
      <c r="AW2">
        <f>BDH("USGO US Equity","PX_VOLUME","1993-06-18","2026-05-02","Per=M","Days=T","Dir=V")</f>
        <v>0</v>
      </c>
      <c r="AY2">
        <f>BDH("USGO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BDH("USLM US Equity","BS_TOT_ASSET","1993-06-18","2026-05-02","Per=Y","Days=T","Dir=V")</f>
        <v>0</v>
      </c>
      <c r="C2">
        <f>BDH("USLM US Equity","BS_TOT_LIAB2","1993-06-18","2026-05-02","Per=Y","Days=T","Dir=V")</f>
        <v>0</v>
      </c>
      <c r="E2">
        <f>BDH("USLM US Equity","SHORT_AND_LONG_TERM_DEBT","1993-06-18","2026-05-02","Per=Y","Days=T","Dir=V")</f>
        <v>0</v>
      </c>
      <c r="G2">
        <f>BDH("USLM US Equity","BS_ST_BORROW","1993-06-18","2026-05-02","Per=Y","Days=T","Dir=V")</f>
        <v>0</v>
      </c>
      <c r="I2">
        <f>BDH("USLM US Equity","BS_LT_BORROW","1993-06-18","2026-05-02","Per=Y","Days=T","Dir=V")</f>
        <v>0</v>
      </c>
      <c r="K2">
        <f>BDH("USLM US Equity","BS_CASH_NEAR_CASH_ITEM","1993-06-18","2026-05-02","Per=Y","Days=T","Dir=V")</f>
        <v>0</v>
      </c>
      <c r="M2">
        <f>BDH("USLM US Equity","BS_CUR_ASSET_REPORT","1993-06-18","2026-05-02","Per=Y","Days=T","Dir=V")</f>
        <v>0</v>
      </c>
      <c r="O2">
        <f>BDH("USLM US Equity","BS_CUR_LIAB","1993-06-18","2026-05-02","Per=Y","Days=T","Dir=V")</f>
        <v>0</v>
      </c>
      <c r="Q2">
        <f>BDH("USLM US Equity","BS_SHAREHOLDER_EQY_ENDING_PERIOD","1993-06-18","2026-05-02","Per=Y","Days=T","Dir=V")</f>
        <v>0</v>
      </c>
      <c r="S2">
        <f>BDH("USLM US Equity","BS_ACCT_NOTE_RCV","1993-06-18","2026-05-02","Per=Y","Days=T","Dir=V")</f>
        <v>0</v>
      </c>
      <c r="U2">
        <f>BDH("USLM US Equity","BS_INVENTORIES","1993-06-18","2026-05-02","Per=Y","Days=T","Dir=V")</f>
        <v>0</v>
      </c>
      <c r="W2">
        <f>BDH("USLM US Equity","WORKING_CAPITAL","1993-06-18","2026-05-02","Per=Y","Days=T","Dir=V")</f>
        <v>0</v>
      </c>
      <c r="Y2">
        <f>BDH("USLM US Equity","SALES_REV_TURN","1993-06-18","2026-05-02","Per=Y","Days=T","Dir=V")</f>
        <v>0</v>
      </c>
      <c r="AA2">
        <f>BDH("USLM US Equity","EBIT","1993-06-18","2026-05-02","Per=Y","Days=T","Dir=V")</f>
        <v>0</v>
      </c>
      <c r="AC2">
        <f>BDH("USLM US Equity","EBITDA","1993-06-18","2026-05-02","Per=Y","Days=T","Dir=V")</f>
        <v>0</v>
      </c>
      <c r="AE2">
        <f>BDH("USLM US Equity","NET_INCOME","1993-06-18","2026-05-02","Per=Y","Days=T","Dir=V")</f>
        <v>0</v>
      </c>
      <c r="AG2">
        <f>BDH("USLM US Equity","IS_INT_EXPENSE","1993-06-18","2026-05-02","Per=Y","Days=T","Dir=V")</f>
        <v>0</v>
      </c>
      <c r="AI2">
        <f>BDH("USLM US Equity","IS_DEPR_EXP","1993-06-18","2026-05-02","Per=Y","Days=T","Dir=V")</f>
        <v>0</v>
      </c>
      <c r="AK2">
        <f>BDH("USLM US Equity","CF_CASH_FROM_OPER","1993-06-18","2026-05-02","Per=Y","Days=T","Dir=V")</f>
        <v>0</v>
      </c>
      <c r="AM2">
        <f>BDH("USLM US Equity","CAPITAL_EXPEND","1993-06-18","2026-05-02","Per=Y","Days=T","Dir=V")</f>
        <v>0</v>
      </c>
      <c r="AO2">
        <f>BDH("USLM US Equity","CF_FREE_CASH_FLOW","1993-06-18","2026-05-02","Per=Y","Days=T","Dir=V")</f>
        <v>0</v>
      </c>
      <c r="AQ2">
        <f>BDH("USLM US Equity","PX_LAST","1993-06-18","2026-05-02","Per=M","Days=T","Dir=V")</f>
        <v>0</v>
      </c>
      <c r="AS2">
        <f>BDH("USLM US Equity","CUR_MKT_CAP","1993-06-18","2026-05-02","Per=M","Days=T","Dir=V")</f>
        <v>0</v>
      </c>
      <c r="AU2">
        <f>BDH("USLM US Equity","EQY_SH_OUT","1993-06-18","2026-05-02","Per=M","Days=T","Dir=V")</f>
        <v>0</v>
      </c>
      <c r="AW2">
        <f>BDH("USLM US Equity","PX_VOLUME","1993-06-18","2026-05-02","Per=M","Days=T","Dir=V")</f>
        <v>0</v>
      </c>
      <c r="AY2">
        <f>BDH("USLM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BDH("USNA US Equity","BS_TOT_ASSET","1993-06-18","2026-05-02","Per=Y","Days=T","Dir=V")</f>
        <v>0</v>
      </c>
      <c r="C2">
        <f>BDH("USNA US Equity","BS_TOT_LIAB2","1993-06-18","2026-05-02","Per=Y","Days=T","Dir=V")</f>
        <v>0</v>
      </c>
      <c r="E2">
        <f>BDH("USNA US Equity","SHORT_AND_LONG_TERM_DEBT","1993-06-18","2026-05-02","Per=Y","Days=T","Dir=V")</f>
        <v>0</v>
      </c>
      <c r="G2">
        <f>BDH("USNA US Equity","BS_ST_BORROW","1993-06-18","2026-05-02","Per=Y","Days=T","Dir=V")</f>
        <v>0</v>
      </c>
      <c r="I2">
        <f>BDH("USNA US Equity","BS_LT_BORROW","1993-06-18","2026-05-02","Per=Y","Days=T","Dir=V")</f>
        <v>0</v>
      </c>
      <c r="K2">
        <f>BDH("USNA US Equity","BS_CASH_NEAR_CASH_ITEM","1993-06-18","2026-05-02","Per=Y","Days=T","Dir=V")</f>
        <v>0</v>
      </c>
      <c r="M2">
        <f>BDH("USNA US Equity","BS_CUR_ASSET_REPORT","1993-06-18","2026-05-02","Per=Y","Days=T","Dir=V")</f>
        <v>0</v>
      </c>
      <c r="O2">
        <f>BDH("USNA US Equity","BS_CUR_LIAB","1993-06-18","2026-05-02","Per=Y","Days=T","Dir=V")</f>
        <v>0</v>
      </c>
      <c r="Q2">
        <f>BDH("USNA US Equity","BS_SHAREHOLDER_EQY_ENDING_PERIOD","1993-06-18","2026-05-02","Per=Y","Days=T","Dir=V")</f>
        <v>0</v>
      </c>
      <c r="S2">
        <f>BDH("USNA US Equity","BS_ACCT_NOTE_RCV","1993-06-18","2026-05-02","Per=Y","Days=T","Dir=V")</f>
        <v>0</v>
      </c>
      <c r="U2">
        <f>BDH("USNA US Equity","BS_INVENTORIES","1993-06-18","2026-05-02","Per=Y","Days=T","Dir=V")</f>
        <v>0</v>
      </c>
      <c r="W2">
        <f>BDH("USNA US Equity","WORKING_CAPITAL","1993-06-18","2026-05-02","Per=Y","Days=T","Dir=V")</f>
        <v>0</v>
      </c>
      <c r="Y2">
        <f>BDH("USNA US Equity","SALES_REV_TURN","1993-06-18","2026-05-02","Per=Y","Days=T","Dir=V")</f>
        <v>0</v>
      </c>
      <c r="AA2">
        <f>BDH("USNA US Equity","EBIT","1993-06-18","2026-05-02","Per=Y","Days=T","Dir=V")</f>
        <v>0</v>
      </c>
      <c r="AC2">
        <f>BDH("USNA US Equity","EBITDA","1993-06-18","2026-05-02","Per=Y","Days=T","Dir=V")</f>
        <v>0</v>
      </c>
      <c r="AE2">
        <f>BDH("USNA US Equity","NET_INCOME","1993-06-18","2026-05-02","Per=Y","Days=T","Dir=V")</f>
        <v>0</v>
      </c>
      <c r="AG2">
        <f>BDH("USNA US Equity","IS_INT_EXPENSE","1993-06-18","2026-05-02","Per=Y","Days=T","Dir=V")</f>
        <v>0</v>
      </c>
      <c r="AI2">
        <f>BDH("USNA US Equity","IS_DEPR_EXP","1993-06-18","2026-05-02","Per=Y","Days=T","Dir=V")</f>
        <v>0</v>
      </c>
      <c r="AK2">
        <f>BDH("USNA US Equity","CF_CASH_FROM_OPER","1993-06-18","2026-05-02","Per=Y","Days=T","Dir=V")</f>
        <v>0</v>
      </c>
      <c r="AM2">
        <f>BDH("USNA US Equity","CAPITAL_EXPEND","1993-06-18","2026-05-02","Per=Y","Days=T","Dir=V")</f>
        <v>0</v>
      </c>
      <c r="AO2">
        <f>BDH("USNA US Equity","CF_FREE_CASH_FLOW","1993-06-18","2026-05-02","Per=Y","Days=T","Dir=V")</f>
        <v>0</v>
      </c>
      <c r="AQ2">
        <f>BDH("USNA US Equity","PX_LAST","1993-06-18","2026-05-02","Per=M","Days=T","Dir=V")</f>
        <v>0</v>
      </c>
      <c r="AS2">
        <f>BDH("USNA US Equity","CUR_MKT_CAP","1993-06-18","2026-05-02","Per=M","Days=T","Dir=V")</f>
        <v>0</v>
      </c>
      <c r="AU2">
        <f>BDH("USNA US Equity","EQY_SH_OUT","1993-06-18","2026-05-02","Per=M","Days=T","Dir=V")</f>
        <v>0</v>
      </c>
      <c r="AW2">
        <f>BDH("USNA US Equity","PX_VOLUME","1993-06-18","2026-05-02","Per=M","Days=T","Dir=V")</f>
        <v>0</v>
      </c>
      <c r="AY2">
        <f>BDH("USNA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BDH("USPH US Equity","BS_TOT_ASSET","1993-06-18","2026-05-02","Per=Y","Days=T","Dir=V")</f>
        <v>0</v>
      </c>
      <c r="C2">
        <f>BDH("USPH US Equity","BS_TOT_LIAB2","1993-06-18","2026-05-02","Per=Y","Days=T","Dir=V")</f>
        <v>0</v>
      </c>
      <c r="E2">
        <f>BDH("USPH US Equity","SHORT_AND_LONG_TERM_DEBT","1993-06-18","2026-05-02","Per=Y","Days=T","Dir=V")</f>
        <v>0</v>
      </c>
      <c r="G2">
        <f>BDH("USPH US Equity","BS_ST_BORROW","1993-06-18","2026-05-02","Per=Y","Days=T","Dir=V")</f>
        <v>0</v>
      </c>
      <c r="I2">
        <f>BDH("USPH US Equity","BS_LT_BORROW","1993-06-18","2026-05-02","Per=Y","Days=T","Dir=V")</f>
        <v>0</v>
      </c>
      <c r="K2">
        <f>BDH("USPH US Equity","BS_CASH_NEAR_CASH_ITEM","1993-06-18","2026-05-02","Per=Y","Days=T","Dir=V")</f>
        <v>0</v>
      </c>
      <c r="M2">
        <f>BDH("USPH US Equity","BS_CUR_ASSET_REPORT","1993-06-18","2026-05-02","Per=Y","Days=T","Dir=V")</f>
        <v>0</v>
      </c>
      <c r="O2">
        <f>BDH("USPH US Equity","BS_CUR_LIAB","1993-06-18","2026-05-02","Per=Y","Days=T","Dir=V")</f>
        <v>0</v>
      </c>
      <c r="Q2">
        <f>BDH("USPH US Equity","BS_SHAREHOLDER_EQY_ENDING_PERIOD","1993-06-18","2026-05-02","Per=Y","Days=T","Dir=V")</f>
        <v>0</v>
      </c>
      <c r="S2">
        <f>BDH("USPH US Equity","BS_ACCT_NOTE_RCV","1993-06-18","2026-05-02","Per=Y","Days=T","Dir=V")</f>
        <v>0</v>
      </c>
      <c r="U2">
        <f>BDH("USPH US Equity","BS_INVENTORIES","1993-06-18","2026-05-02","Per=Y","Days=T","Dir=V")</f>
        <v>0</v>
      </c>
      <c r="W2">
        <f>BDH("USPH US Equity","WORKING_CAPITAL","1993-06-18","2026-05-02","Per=Y","Days=T","Dir=V")</f>
        <v>0</v>
      </c>
      <c r="Y2">
        <f>BDH("USPH US Equity","SALES_REV_TURN","1993-06-18","2026-05-02","Per=Y","Days=T","Dir=V")</f>
        <v>0</v>
      </c>
      <c r="AA2">
        <f>BDH("USPH US Equity","EBIT","1993-06-18","2026-05-02","Per=Y","Days=T","Dir=V")</f>
        <v>0</v>
      </c>
      <c r="AC2">
        <f>BDH("USPH US Equity","EBITDA","1993-06-18","2026-05-02","Per=Y","Days=T","Dir=V")</f>
        <v>0</v>
      </c>
      <c r="AE2">
        <f>BDH("USPH US Equity","NET_INCOME","1993-06-18","2026-05-02","Per=Y","Days=T","Dir=V")</f>
        <v>0</v>
      </c>
      <c r="AG2">
        <f>BDH("USPH US Equity","IS_INT_EXPENSE","1993-06-18","2026-05-02","Per=Y","Days=T","Dir=V")</f>
        <v>0</v>
      </c>
      <c r="AI2">
        <f>BDH("USPH US Equity","IS_DEPR_EXP","1993-06-18","2026-05-02","Per=Y","Days=T","Dir=V")</f>
        <v>0</v>
      </c>
      <c r="AK2">
        <f>BDH("USPH US Equity","CF_CASH_FROM_OPER","1993-06-18","2026-05-02","Per=Y","Days=T","Dir=V")</f>
        <v>0</v>
      </c>
      <c r="AM2">
        <f>BDH("USPH US Equity","CAPITAL_EXPEND","1993-06-18","2026-05-02","Per=Y","Days=T","Dir=V")</f>
        <v>0</v>
      </c>
      <c r="AO2">
        <f>BDH("USPH US Equity","CF_FREE_CASH_FLOW","1993-06-18","2026-05-02","Per=Y","Days=T","Dir=V")</f>
        <v>0</v>
      </c>
      <c r="AQ2">
        <f>BDH("USPH US Equity","PX_LAST","1993-06-18","2026-05-02","Per=M","Days=T","Dir=V")</f>
        <v>0</v>
      </c>
      <c r="AS2">
        <f>BDH("USPH US Equity","CUR_MKT_CAP","1993-06-18","2026-05-02","Per=M","Days=T","Dir=V")</f>
        <v>0</v>
      </c>
      <c r="AU2">
        <f>BDH("USPH US Equity","EQY_SH_OUT","1993-06-18","2026-05-02","Per=M","Days=T","Dir=V")</f>
        <v>0</v>
      </c>
      <c r="AW2">
        <f>BDH("USPH US Equity","PX_VOLUME","1993-06-18","2026-05-02","Per=M","Days=T","Dir=V")</f>
        <v>0</v>
      </c>
      <c r="AY2">
        <f>BDH("USPH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BDH("UTHR US Equity","BS_TOT_ASSET","1993-06-18","2026-05-02","Per=Y","Days=T","Dir=V")</f>
        <v>0</v>
      </c>
      <c r="C2">
        <f>BDH("UTHR US Equity","BS_TOT_LIAB2","1993-06-18","2026-05-02","Per=Y","Days=T","Dir=V")</f>
        <v>0</v>
      </c>
      <c r="E2">
        <f>BDH("UTHR US Equity","SHORT_AND_LONG_TERM_DEBT","1993-06-18","2026-05-02","Per=Y","Days=T","Dir=V")</f>
        <v>0</v>
      </c>
      <c r="G2">
        <f>BDH("UTHR US Equity","BS_ST_BORROW","1993-06-18","2026-05-02","Per=Y","Days=T","Dir=V")</f>
        <v>0</v>
      </c>
      <c r="I2">
        <f>BDH("UTHR US Equity","BS_LT_BORROW","1993-06-18","2026-05-02","Per=Y","Days=T","Dir=V")</f>
        <v>0</v>
      </c>
      <c r="K2">
        <f>BDH("UTHR US Equity","BS_CASH_NEAR_CASH_ITEM","1993-06-18","2026-05-02","Per=Y","Days=T","Dir=V")</f>
        <v>0</v>
      </c>
      <c r="M2">
        <f>BDH("UTHR US Equity","BS_CUR_ASSET_REPORT","1993-06-18","2026-05-02","Per=Y","Days=T","Dir=V")</f>
        <v>0</v>
      </c>
      <c r="O2">
        <f>BDH("UTHR US Equity","BS_CUR_LIAB","1993-06-18","2026-05-02","Per=Y","Days=T","Dir=V")</f>
        <v>0</v>
      </c>
      <c r="Q2">
        <f>BDH("UTHR US Equity","BS_SHAREHOLDER_EQY_ENDING_PERIOD","1993-06-18","2026-05-02","Per=Y","Days=T","Dir=V")</f>
        <v>0</v>
      </c>
      <c r="S2">
        <f>BDH("UTHR US Equity","BS_ACCT_NOTE_RCV","1993-06-18","2026-05-02","Per=Y","Days=T","Dir=V")</f>
        <v>0</v>
      </c>
      <c r="U2">
        <f>BDH("UTHR US Equity","BS_INVENTORIES","1993-06-18","2026-05-02","Per=Y","Days=T","Dir=V")</f>
        <v>0</v>
      </c>
      <c r="W2">
        <f>BDH("UTHR US Equity","WORKING_CAPITAL","1993-06-18","2026-05-02","Per=Y","Days=T","Dir=V")</f>
        <v>0</v>
      </c>
      <c r="Y2">
        <f>BDH("UTHR US Equity","SALES_REV_TURN","1993-06-18","2026-05-02","Per=Y","Days=T","Dir=V")</f>
        <v>0</v>
      </c>
      <c r="AA2">
        <f>BDH("UTHR US Equity","EBIT","1993-06-18","2026-05-02","Per=Y","Days=T","Dir=V")</f>
        <v>0</v>
      </c>
      <c r="AC2">
        <f>BDH("UTHR US Equity","EBITDA","1993-06-18","2026-05-02","Per=Y","Days=T","Dir=V")</f>
        <v>0</v>
      </c>
      <c r="AE2">
        <f>BDH("UTHR US Equity","NET_INCOME","1993-06-18","2026-05-02","Per=Y","Days=T","Dir=V")</f>
        <v>0</v>
      </c>
      <c r="AG2">
        <f>BDH("UTHR US Equity","IS_INT_EXPENSE","1993-06-18","2026-05-02","Per=Y","Days=T","Dir=V")</f>
        <v>0</v>
      </c>
      <c r="AI2">
        <f>BDH("UTHR US Equity","IS_DEPR_EXP","1993-06-18","2026-05-02","Per=Y","Days=T","Dir=V")</f>
        <v>0</v>
      </c>
      <c r="AK2">
        <f>BDH("UTHR US Equity","CF_CASH_FROM_OPER","1993-06-18","2026-05-02","Per=Y","Days=T","Dir=V")</f>
        <v>0</v>
      </c>
      <c r="AM2">
        <f>BDH("UTHR US Equity","CAPITAL_EXPEND","1993-06-18","2026-05-02","Per=Y","Days=T","Dir=V")</f>
        <v>0</v>
      </c>
      <c r="AO2">
        <f>BDH("UTHR US Equity","CF_FREE_CASH_FLOW","1993-06-18","2026-05-02","Per=Y","Days=T","Dir=V")</f>
        <v>0</v>
      </c>
      <c r="AQ2">
        <f>BDH("UTHR US Equity","PX_LAST","1993-06-18","2026-05-02","Per=M","Days=T","Dir=V")</f>
        <v>0</v>
      </c>
      <c r="AS2">
        <f>BDH("UTHR US Equity","CUR_MKT_CAP","1993-06-18","2026-05-02","Per=M","Days=T","Dir=V")</f>
        <v>0</v>
      </c>
      <c r="AU2">
        <f>BDH("UTHR US Equity","EQY_SH_OUT","1993-06-18","2026-05-02","Per=M","Days=T","Dir=V")</f>
        <v>0</v>
      </c>
      <c r="AW2">
        <f>BDH("UTHR US Equity","PX_VOLUME","1993-06-18","2026-05-02","Per=M","Days=T","Dir=V")</f>
        <v>0</v>
      </c>
      <c r="AY2">
        <f>BDH("UTHR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BDH("UTL US Equity","BS_TOT_ASSET","1993-06-18","2026-05-02","Per=Y","Days=T","Dir=V")</f>
        <v>0</v>
      </c>
      <c r="C2">
        <f>BDH("UTL US Equity","BS_TOT_LIAB2","1993-06-18","2026-05-02","Per=Y","Days=T","Dir=V")</f>
        <v>0</v>
      </c>
      <c r="E2">
        <f>BDH("UTL US Equity","SHORT_AND_LONG_TERM_DEBT","1993-06-18","2026-05-02","Per=Y","Days=T","Dir=V")</f>
        <v>0</v>
      </c>
      <c r="G2">
        <f>BDH("UTL US Equity","BS_ST_BORROW","1993-06-18","2026-05-02","Per=Y","Days=T","Dir=V")</f>
        <v>0</v>
      </c>
      <c r="I2">
        <f>BDH("UTL US Equity","BS_LT_BORROW","1993-06-18","2026-05-02","Per=Y","Days=T","Dir=V")</f>
        <v>0</v>
      </c>
      <c r="K2">
        <f>BDH("UTL US Equity","BS_CASH_NEAR_CASH_ITEM","1993-06-18","2026-05-02","Per=Y","Days=T","Dir=V")</f>
        <v>0</v>
      </c>
      <c r="M2">
        <f>BDH("UTL US Equity","BS_CUR_ASSET_REPORT","1993-06-18","2026-05-02","Per=Y","Days=T","Dir=V")</f>
        <v>0</v>
      </c>
      <c r="O2">
        <f>BDH("UTL US Equity","BS_CUR_LIAB","1993-06-18","2026-05-02","Per=Y","Days=T","Dir=V")</f>
        <v>0</v>
      </c>
      <c r="Q2">
        <f>BDH("UTL US Equity","BS_SHAREHOLDER_EQY_ENDING_PERIOD","1993-06-18","2026-05-02","Per=Y","Days=T","Dir=V")</f>
        <v>0</v>
      </c>
      <c r="S2">
        <f>BDH("UTL US Equity","BS_ACCT_NOTE_RCV","1993-06-18","2026-05-02","Per=Y","Days=T","Dir=V")</f>
        <v>0</v>
      </c>
      <c r="U2">
        <f>BDH("UTL US Equity","BS_INVENTORIES","1993-06-18","2026-05-02","Per=Y","Days=T","Dir=V")</f>
        <v>0</v>
      </c>
      <c r="W2">
        <f>BDH("UTL US Equity","WORKING_CAPITAL","1993-06-18","2026-05-02","Per=Y","Days=T","Dir=V")</f>
        <v>0</v>
      </c>
      <c r="Y2">
        <f>BDH("UTL US Equity","SALES_REV_TURN","1993-06-18","2026-05-02","Per=Y","Days=T","Dir=V")</f>
        <v>0</v>
      </c>
      <c r="AA2">
        <f>BDH("UTL US Equity","EBIT","1993-06-18","2026-05-02","Per=Y","Days=T","Dir=V")</f>
        <v>0</v>
      </c>
      <c r="AC2">
        <f>BDH("UTL US Equity","EBITDA","1993-06-18","2026-05-02","Per=Y","Days=T","Dir=V")</f>
        <v>0</v>
      </c>
      <c r="AE2">
        <f>BDH("UTL US Equity","NET_INCOME","1993-06-18","2026-05-02","Per=Y","Days=T","Dir=V")</f>
        <v>0</v>
      </c>
      <c r="AG2">
        <f>BDH("UTL US Equity","IS_INT_EXPENSE","1993-06-18","2026-05-02","Per=Y","Days=T","Dir=V")</f>
        <v>0</v>
      </c>
      <c r="AI2">
        <f>BDH("UTL US Equity","IS_DEPR_EXP","1993-06-18","2026-05-02","Per=Y","Days=T","Dir=V")</f>
        <v>0</v>
      </c>
      <c r="AK2">
        <f>BDH("UTL US Equity","CF_CASH_FROM_OPER","1993-06-18","2026-05-02","Per=Y","Days=T","Dir=V")</f>
        <v>0</v>
      </c>
      <c r="AM2">
        <f>BDH("UTL US Equity","CAPITAL_EXPEND","1993-06-18","2026-05-02","Per=Y","Days=T","Dir=V")</f>
        <v>0</v>
      </c>
      <c r="AO2">
        <f>BDH("UTL US Equity","CF_FREE_CASH_FLOW","1993-06-18","2026-05-02","Per=Y","Days=T","Dir=V")</f>
        <v>0</v>
      </c>
      <c r="AQ2">
        <f>BDH("UTL US Equity","PX_LAST","1993-06-18","2026-05-02","Per=M","Days=T","Dir=V")</f>
        <v>0</v>
      </c>
      <c r="AS2">
        <f>BDH("UTL US Equity","CUR_MKT_CAP","1993-06-18","2026-05-02","Per=M","Days=T","Dir=V")</f>
        <v>0</v>
      </c>
      <c r="AU2">
        <f>BDH("UTL US Equity","EQY_SH_OUT","1993-06-18","2026-05-02","Per=M","Days=T","Dir=V")</f>
        <v>0</v>
      </c>
      <c r="AW2">
        <f>BDH("UTL US Equity","PX_VOLUME","1993-06-18","2026-05-02","Per=M","Days=T","Dir=V")</f>
        <v>0</v>
      </c>
      <c r="AY2">
        <f>BDH("UTL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BDH("UTMD US Equity","BS_TOT_ASSET","1993-06-18","2026-05-02","Per=Y","Days=T","Dir=V")</f>
        <v>0</v>
      </c>
      <c r="C2">
        <f>BDH("UTMD US Equity","BS_TOT_LIAB2","1993-06-18","2026-05-02","Per=Y","Days=T","Dir=V")</f>
        <v>0</v>
      </c>
      <c r="E2">
        <f>BDH("UTMD US Equity","SHORT_AND_LONG_TERM_DEBT","1993-06-18","2026-05-02","Per=Y","Days=T","Dir=V")</f>
        <v>0</v>
      </c>
      <c r="G2">
        <f>BDH("UTMD US Equity","BS_ST_BORROW","1993-06-18","2026-05-02","Per=Y","Days=T","Dir=V")</f>
        <v>0</v>
      </c>
      <c r="I2">
        <f>BDH("UTMD US Equity","BS_LT_BORROW","1993-06-18","2026-05-02","Per=Y","Days=T","Dir=V")</f>
        <v>0</v>
      </c>
      <c r="K2">
        <f>BDH("UTMD US Equity","BS_CASH_NEAR_CASH_ITEM","1993-06-18","2026-05-02","Per=Y","Days=T","Dir=V")</f>
        <v>0</v>
      </c>
      <c r="M2">
        <f>BDH("UTMD US Equity","BS_CUR_ASSET_REPORT","1993-06-18","2026-05-02","Per=Y","Days=T","Dir=V")</f>
        <v>0</v>
      </c>
      <c r="O2">
        <f>BDH("UTMD US Equity","BS_CUR_LIAB","1993-06-18","2026-05-02","Per=Y","Days=T","Dir=V")</f>
        <v>0</v>
      </c>
      <c r="Q2">
        <f>BDH("UTMD US Equity","BS_SHAREHOLDER_EQY_ENDING_PERIOD","1993-06-18","2026-05-02","Per=Y","Days=T","Dir=V")</f>
        <v>0</v>
      </c>
      <c r="S2">
        <f>BDH("UTMD US Equity","BS_ACCT_NOTE_RCV","1993-06-18","2026-05-02","Per=Y","Days=T","Dir=V")</f>
        <v>0</v>
      </c>
      <c r="U2">
        <f>BDH("UTMD US Equity","BS_INVENTORIES","1993-06-18","2026-05-02","Per=Y","Days=T","Dir=V")</f>
        <v>0</v>
      </c>
      <c r="W2">
        <f>BDH("UTMD US Equity","WORKING_CAPITAL","1993-06-18","2026-05-02","Per=Y","Days=T","Dir=V")</f>
        <v>0</v>
      </c>
      <c r="Y2">
        <f>BDH("UTMD US Equity","SALES_REV_TURN","1993-06-18","2026-05-02","Per=Y","Days=T","Dir=V")</f>
        <v>0</v>
      </c>
      <c r="AA2">
        <f>BDH("UTMD US Equity","EBIT","1993-06-18","2026-05-02","Per=Y","Days=T","Dir=V")</f>
        <v>0</v>
      </c>
      <c r="AC2">
        <f>BDH("UTMD US Equity","EBITDA","1993-06-18","2026-05-02","Per=Y","Days=T","Dir=V")</f>
        <v>0</v>
      </c>
      <c r="AE2">
        <f>BDH("UTMD US Equity","NET_INCOME","1993-06-18","2026-05-02","Per=Y","Days=T","Dir=V")</f>
        <v>0</v>
      </c>
      <c r="AG2">
        <f>BDH("UTMD US Equity","IS_INT_EXPENSE","1993-06-18","2026-05-02","Per=Y","Days=T","Dir=V")</f>
        <v>0</v>
      </c>
      <c r="AI2">
        <f>BDH("UTMD US Equity","IS_DEPR_EXP","1993-06-18","2026-05-02","Per=Y","Days=T","Dir=V")</f>
        <v>0</v>
      </c>
      <c r="AK2">
        <f>BDH("UTMD US Equity","CF_CASH_FROM_OPER","1993-06-18","2026-05-02","Per=Y","Days=T","Dir=V")</f>
        <v>0</v>
      </c>
      <c r="AM2">
        <f>BDH("UTMD US Equity","CAPITAL_EXPEND","1993-06-18","2026-05-02","Per=Y","Days=T","Dir=V")</f>
        <v>0</v>
      </c>
      <c r="AO2">
        <f>BDH("UTMD US Equity","CF_FREE_CASH_FLOW","1993-06-18","2026-05-02","Per=Y","Days=T","Dir=V")</f>
        <v>0</v>
      </c>
      <c r="AQ2">
        <f>BDH("UTMD US Equity","PX_LAST","1993-06-18","2026-05-02","Per=M","Days=T","Dir=V")</f>
        <v>0</v>
      </c>
      <c r="AS2">
        <f>BDH("UTMD US Equity","CUR_MKT_CAP","1993-06-18","2026-05-02","Per=M","Days=T","Dir=V")</f>
        <v>0</v>
      </c>
      <c r="AU2">
        <f>BDH("UTMD US Equity","EQY_SH_OUT","1993-06-18","2026-05-02","Per=M","Days=T","Dir=V")</f>
        <v>0</v>
      </c>
      <c r="AW2">
        <f>BDH("UTMD US Equity","PX_VOLUME","1993-06-18","2026-05-02","Per=M","Days=T","Dir=V")</f>
        <v>0</v>
      </c>
      <c r="AY2">
        <f>BDH("UTMD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BDH("UTZ US Equity","BS_TOT_ASSET","1993-06-18","2026-05-02","Per=Y","Days=T","Dir=V")</f>
        <v>0</v>
      </c>
      <c r="C2">
        <f>BDH("UTZ US Equity","BS_TOT_LIAB2","1993-06-18","2026-05-02","Per=Y","Days=T","Dir=V")</f>
        <v>0</v>
      </c>
      <c r="E2">
        <f>BDH("UTZ US Equity","SHORT_AND_LONG_TERM_DEBT","1993-06-18","2026-05-02","Per=Y","Days=T","Dir=V")</f>
        <v>0</v>
      </c>
      <c r="G2">
        <f>BDH("UTZ US Equity","BS_ST_BORROW","1993-06-18","2026-05-02","Per=Y","Days=T","Dir=V")</f>
        <v>0</v>
      </c>
      <c r="I2">
        <f>BDH("UTZ US Equity","BS_LT_BORROW","1993-06-18","2026-05-02","Per=Y","Days=T","Dir=V")</f>
        <v>0</v>
      </c>
      <c r="K2">
        <f>BDH("UTZ US Equity","BS_CASH_NEAR_CASH_ITEM","1993-06-18","2026-05-02","Per=Y","Days=T","Dir=V")</f>
        <v>0</v>
      </c>
      <c r="M2">
        <f>BDH("UTZ US Equity","BS_CUR_ASSET_REPORT","1993-06-18","2026-05-02","Per=Y","Days=T","Dir=V")</f>
        <v>0</v>
      </c>
      <c r="O2">
        <f>BDH("UTZ US Equity","BS_CUR_LIAB","1993-06-18","2026-05-02","Per=Y","Days=T","Dir=V")</f>
        <v>0</v>
      </c>
      <c r="Q2">
        <f>BDH("UTZ US Equity","BS_SHAREHOLDER_EQY_ENDING_PERIOD","1993-06-18","2026-05-02","Per=Y","Days=T","Dir=V")</f>
        <v>0</v>
      </c>
      <c r="S2">
        <f>BDH("UTZ US Equity","BS_ACCT_NOTE_RCV","1993-06-18","2026-05-02","Per=Y","Days=T","Dir=V")</f>
        <v>0</v>
      </c>
      <c r="U2">
        <f>BDH("UTZ US Equity","BS_INVENTORIES","1993-06-18","2026-05-02","Per=Y","Days=T","Dir=V")</f>
        <v>0</v>
      </c>
      <c r="W2">
        <f>BDH("UTZ US Equity","WORKING_CAPITAL","1993-06-18","2026-05-02","Per=Y","Days=T","Dir=V")</f>
        <v>0</v>
      </c>
      <c r="Y2">
        <f>BDH("UTZ US Equity","SALES_REV_TURN","1993-06-18","2026-05-02","Per=Y","Days=T","Dir=V")</f>
        <v>0</v>
      </c>
      <c r="AA2">
        <f>BDH("UTZ US Equity","EBIT","1993-06-18","2026-05-02","Per=Y","Days=T","Dir=V")</f>
        <v>0</v>
      </c>
      <c r="AC2">
        <f>BDH("UTZ US Equity","EBITDA","1993-06-18","2026-05-02","Per=Y","Days=T","Dir=V")</f>
        <v>0</v>
      </c>
      <c r="AE2">
        <f>BDH("UTZ US Equity","NET_INCOME","1993-06-18","2026-05-02","Per=Y","Days=T","Dir=V")</f>
        <v>0</v>
      </c>
      <c r="AG2">
        <f>BDH("UTZ US Equity","IS_INT_EXPENSE","1993-06-18","2026-05-02","Per=Y","Days=T","Dir=V")</f>
        <v>0</v>
      </c>
      <c r="AI2">
        <f>BDH("UTZ US Equity","IS_DEPR_EXP","1993-06-18","2026-05-02","Per=Y","Days=T","Dir=V")</f>
        <v>0</v>
      </c>
      <c r="AK2">
        <f>BDH("UTZ US Equity","CF_CASH_FROM_OPER","1993-06-18","2026-05-02","Per=Y","Days=T","Dir=V")</f>
        <v>0</v>
      </c>
      <c r="AM2">
        <f>BDH("UTZ US Equity","CAPITAL_EXPEND","1993-06-18","2026-05-02","Per=Y","Days=T","Dir=V")</f>
        <v>0</v>
      </c>
      <c r="AO2">
        <f>BDH("UTZ US Equity","CF_FREE_CASH_FLOW","1993-06-18","2026-05-02","Per=Y","Days=T","Dir=V")</f>
        <v>0</v>
      </c>
      <c r="AQ2">
        <f>BDH("UTZ US Equity","PX_LAST","1993-06-18","2026-05-02","Per=M","Days=T","Dir=V")</f>
        <v>0</v>
      </c>
      <c r="AS2">
        <f>BDH("UTZ US Equity","CUR_MKT_CAP","1993-06-18","2026-05-02","Per=M","Days=T","Dir=V")</f>
        <v>0</v>
      </c>
      <c r="AU2">
        <f>BDH("UTZ US Equity","EQY_SH_OUT","1993-06-18","2026-05-02","Per=M","Days=T","Dir=V")</f>
        <v>0</v>
      </c>
      <c r="AW2">
        <f>BDH("UTZ US Equity","PX_VOLUME","1993-06-18","2026-05-02","Per=M","Days=T","Dir=V")</f>
        <v>0</v>
      </c>
      <c r="AY2">
        <f>BDH("UTZ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BDH("UUU US Equity","BS_TOT_ASSET","1993-06-18","2026-05-02","Per=Y","Days=T","Dir=V")</f>
        <v>0</v>
      </c>
      <c r="C2">
        <f>BDH("UUU US Equity","BS_TOT_LIAB2","1993-06-18","2026-05-02","Per=Y","Days=T","Dir=V")</f>
        <v>0</v>
      </c>
      <c r="E2">
        <f>BDH("UUU US Equity","SHORT_AND_LONG_TERM_DEBT","1993-06-18","2026-05-02","Per=Y","Days=T","Dir=V")</f>
        <v>0</v>
      </c>
      <c r="G2">
        <f>BDH("UUU US Equity","BS_ST_BORROW","1993-06-18","2026-05-02","Per=Y","Days=T","Dir=V")</f>
        <v>0</v>
      </c>
      <c r="I2">
        <f>BDH("UUU US Equity","BS_LT_BORROW","1993-06-18","2026-05-02","Per=Y","Days=T","Dir=V")</f>
        <v>0</v>
      </c>
      <c r="K2">
        <f>BDH("UUU US Equity","BS_CASH_NEAR_CASH_ITEM","1993-06-18","2026-05-02","Per=Y","Days=T","Dir=V")</f>
        <v>0</v>
      </c>
      <c r="M2">
        <f>BDH("UUU US Equity","BS_CUR_ASSET_REPORT","1993-06-18","2026-05-02","Per=Y","Days=T","Dir=V")</f>
        <v>0</v>
      </c>
      <c r="O2">
        <f>BDH("UUU US Equity","BS_CUR_LIAB","1993-06-18","2026-05-02","Per=Y","Days=T","Dir=V")</f>
        <v>0</v>
      </c>
      <c r="Q2">
        <f>BDH("UUU US Equity","BS_SHAREHOLDER_EQY_ENDING_PERIOD","1993-06-18","2026-05-02","Per=Y","Days=T","Dir=V")</f>
        <v>0</v>
      </c>
      <c r="S2">
        <f>BDH("UUU US Equity","BS_ACCT_NOTE_RCV","1993-06-18","2026-05-02","Per=Y","Days=T","Dir=V")</f>
        <v>0</v>
      </c>
      <c r="U2">
        <f>BDH("UUU US Equity","BS_INVENTORIES","1993-06-18","2026-05-02","Per=Y","Days=T","Dir=V")</f>
        <v>0</v>
      </c>
      <c r="W2">
        <f>BDH("UUU US Equity","WORKING_CAPITAL","1993-06-18","2026-05-02","Per=Y","Days=T","Dir=V")</f>
        <v>0</v>
      </c>
      <c r="Y2">
        <f>BDH("UUU US Equity","SALES_REV_TURN","1993-06-18","2026-05-02","Per=Y","Days=T","Dir=V")</f>
        <v>0</v>
      </c>
      <c r="AA2">
        <f>BDH("UUU US Equity","EBIT","1993-06-18","2026-05-02","Per=Y","Days=T","Dir=V")</f>
        <v>0</v>
      </c>
      <c r="AC2">
        <f>BDH("UUU US Equity","EBITDA","1993-06-18","2026-05-02","Per=Y","Days=T","Dir=V")</f>
        <v>0</v>
      </c>
      <c r="AE2">
        <f>BDH("UUU US Equity","NET_INCOME","1993-06-18","2026-05-02","Per=Y","Days=T","Dir=V")</f>
        <v>0</v>
      </c>
      <c r="AG2">
        <f>BDH("UUU US Equity","IS_INT_EXPENSE","1993-06-18","2026-05-02","Per=Y","Days=T","Dir=V")</f>
        <v>0</v>
      </c>
      <c r="AI2">
        <f>BDH("UUU US Equity","IS_DEPR_EXP","1993-06-18","2026-05-02","Per=Y","Days=T","Dir=V")</f>
        <v>0</v>
      </c>
      <c r="AK2">
        <f>BDH("UUU US Equity","CF_CASH_FROM_OPER","1993-06-18","2026-05-02","Per=Y","Days=T","Dir=V")</f>
        <v>0</v>
      </c>
      <c r="AM2">
        <f>BDH("UUU US Equity","CAPITAL_EXPEND","1993-06-18","2026-05-02","Per=Y","Days=T","Dir=V")</f>
        <v>0</v>
      </c>
      <c r="AO2">
        <f>BDH("UUU US Equity","CF_FREE_CASH_FLOW","1993-06-18","2026-05-02","Per=Y","Days=T","Dir=V")</f>
        <v>0</v>
      </c>
      <c r="AQ2">
        <f>BDH("UUU US Equity","PX_LAST","1993-06-18","2026-05-02","Per=M","Days=T","Dir=V")</f>
        <v>0</v>
      </c>
      <c r="AS2">
        <f>BDH("UUU US Equity","CUR_MKT_CAP","1993-06-18","2026-05-02","Per=M","Days=T","Dir=V")</f>
        <v>0</v>
      </c>
      <c r="AU2">
        <f>BDH("UUU US Equity","EQY_SH_OUT","1993-06-18","2026-05-02","Per=M","Days=T","Dir=V")</f>
        <v>0</v>
      </c>
      <c r="AW2">
        <f>BDH("UUU US Equity","PX_VOLUME","1993-06-18","2026-05-02","Per=M","Days=T","Dir=V")</f>
        <v>0</v>
      </c>
      <c r="AY2">
        <f>BDH("UUU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BDH("UVV US Equity","BS_TOT_ASSET","1993-06-18","2026-05-02","Per=Y","Days=T","Dir=V")</f>
        <v>0</v>
      </c>
      <c r="C2">
        <f>BDH("UVV US Equity","BS_TOT_LIAB2","1993-06-18","2026-05-02","Per=Y","Days=T","Dir=V")</f>
        <v>0</v>
      </c>
      <c r="E2">
        <f>BDH("UVV US Equity","SHORT_AND_LONG_TERM_DEBT","1993-06-18","2026-05-02","Per=Y","Days=T","Dir=V")</f>
        <v>0</v>
      </c>
      <c r="G2">
        <f>BDH("UVV US Equity","BS_ST_BORROW","1993-06-18","2026-05-02","Per=Y","Days=T","Dir=V")</f>
        <v>0</v>
      </c>
      <c r="I2">
        <f>BDH("UVV US Equity","BS_LT_BORROW","1993-06-18","2026-05-02","Per=Y","Days=T","Dir=V")</f>
        <v>0</v>
      </c>
      <c r="K2">
        <f>BDH("UVV US Equity","BS_CASH_NEAR_CASH_ITEM","1993-06-18","2026-05-02","Per=Y","Days=T","Dir=V")</f>
        <v>0</v>
      </c>
      <c r="M2">
        <f>BDH("UVV US Equity","BS_CUR_ASSET_REPORT","1993-06-18","2026-05-02","Per=Y","Days=T","Dir=V")</f>
        <v>0</v>
      </c>
      <c r="O2">
        <f>BDH("UVV US Equity","BS_CUR_LIAB","1993-06-18","2026-05-02","Per=Y","Days=T","Dir=V")</f>
        <v>0</v>
      </c>
      <c r="Q2">
        <f>BDH("UVV US Equity","BS_SHAREHOLDER_EQY_ENDING_PERIOD","1993-06-18","2026-05-02","Per=Y","Days=T","Dir=V")</f>
        <v>0</v>
      </c>
      <c r="S2">
        <f>BDH("UVV US Equity","BS_ACCT_NOTE_RCV","1993-06-18","2026-05-02","Per=Y","Days=T","Dir=V")</f>
        <v>0</v>
      </c>
      <c r="U2">
        <f>BDH("UVV US Equity","BS_INVENTORIES","1993-06-18","2026-05-02","Per=Y","Days=T","Dir=V")</f>
        <v>0</v>
      </c>
      <c r="W2">
        <f>BDH("UVV US Equity","WORKING_CAPITAL","1993-06-18","2026-05-02","Per=Y","Days=T","Dir=V")</f>
        <v>0</v>
      </c>
      <c r="Y2">
        <f>BDH("UVV US Equity","SALES_REV_TURN","1993-06-18","2026-05-02","Per=Y","Days=T","Dir=V")</f>
        <v>0</v>
      </c>
      <c r="AA2">
        <f>BDH("UVV US Equity","EBIT","1993-06-18","2026-05-02","Per=Y","Days=T","Dir=V")</f>
        <v>0</v>
      </c>
      <c r="AC2">
        <f>BDH("UVV US Equity","EBITDA","1993-06-18","2026-05-02","Per=Y","Days=T","Dir=V")</f>
        <v>0</v>
      </c>
      <c r="AE2">
        <f>BDH("UVV US Equity","NET_INCOME","1993-06-18","2026-05-02","Per=Y","Days=T","Dir=V")</f>
        <v>0</v>
      </c>
      <c r="AG2">
        <f>BDH("UVV US Equity","IS_INT_EXPENSE","1993-06-18","2026-05-02","Per=Y","Days=T","Dir=V")</f>
        <v>0</v>
      </c>
      <c r="AI2">
        <f>BDH("UVV US Equity","IS_DEPR_EXP","1993-06-18","2026-05-02","Per=Y","Days=T","Dir=V")</f>
        <v>0</v>
      </c>
      <c r="AK2">
        <f>BDH("UVV US Equity","CF_CASH_FROM_OPER","1993-06-18","2026-05-02","Per=Y","Days=T","Dir=V")</f>
        <v>0</v>
      </c>
      <c r="AM2">
        <f>BDH("UVV US Equity","CAPITAL_EXPEND","1993-06-18","2026-05-02","Per=Y","Days=T","Dir=V")</f>
        <v>0</v>
      </c>
      <c r="AO2">
        <f>BDH("UVV US Equity","CF_FREE_CASH_FLOW","1993-06-18","2026-05-02","Per=Y","Days=T","Dir=V")</f>
        <v>0</v>
      </c>
      <c r="AQ2">
        <f>BDH("UVV US Equity","PX_LAST","1993-06-18","2026-05-02","Per=M","Days=T","Dir=V")</f>
        <v>0</v>
      </c>
      <c r="AS2">
        <f>BDH("UVV US Equity","CUR_MKT_CAP","1993-06-18","2026-05-02","Per=M","Days=T","Dir=V")</f>
        <v>0</v>
      </c>
      <c r="AU2">
        <f>BDH("UVV US Equity","EQY_SH_OUT","1993-06-18","2026-05-02","Per=M","Days=T","Dir=V")</f>
        <v>0</v>
      </c>
      <c r="AW2">
        <f>BDH("UVV US Equity","PX_VOLUME","1993-06-18","2026-05-02","Per=M","Days=T","Dir=V")</f>
        <v>0</v>
      </c>
      <c r="AY2">
        <f>BDH("UVV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BDH("UZD US Equity","BS_TOT_ASSET","1993-06-18","2026-05-02","Per=Y","Days=T","Dir=V")</f>
        <v>0</v>
      </c>
      <c r="C2">
        <f>BDH("UZD US Equity","BS_TOT_LIAB2","1993-06-18","2026-05-02","Per=Y","Days=T","Dir=V")</f>
        <v>0</v>
      </c>
      <c r="E2">
        <f>BDH("UZD US Equity","SHORT_AND_LONG_TERM_DEBT","1993-06-18","2026-05-02","Per=Y","Days=T","Dir=V")</f>
        <v>0</v>
      </c>
      <c r="G2">
        <f>BDH("UZD US Equity","BS_ST_BORROW","1993-06-18","2026-05-02","Per=Y","Days=T","Dir=V")</f>
        <v>0</v>
      </c>
      <c r="I2">
        <f>BDH("UZD US Equity","BS_LT_BORROW","1993-06-18","2026-05-02","Per=Y","Days=T","Dir=V")</f>
        <v>0</v>
      </c>
      <c r="K2">
        <f>BDH("UZD US Equity","BS_CASH_NEAR_CASH_ITEM","1993-06-18","2026-05-02","Per=Y","Days=T","Dir=V")</f>
        <v>0</v>
      </c>
      <c r="M2">
        <f>BDH("UZD US Equity","BS_CUR_ASSET_REPORT","1993-06-18","2026-05-02","Per=Y","Days=T","Dir=V")</f>
        <v>0</v>
      </c>
      <c r="O2">
        <f>BDH("UZD US Equity","BS_CUR_LIAB","1993-06-18","2026-05-02","Per=Y","Days=T","Dir=V")</f>
        <v>0</v>
      </c>
      <c r="Q2">
        <f>BDH("UZD US Equity","BS_SHAREHOLDER_EQY_ENDING_PERIOD","1993-06-18","2026-05-02","Per=Y","Days=T","Dir=V")</f>
        <v>0</v>
      </c>
      <c r="S2">
        <f>BDH("UZD US Equity","BS_ACCT_NOTE_RCV","1993-06-18","2026-05-02","Per=Y","Days=T","Dir=V")</f>
        <v>0</v>
      </c>
      <c r="U2">
        <f>BDH("UZD US Equity","BS_INVENTORIES","1993-06-18","2026-05-02","Per=Y","Days=T","Dir=V")</f>
        <v>0</v>
      </c>
      <c r="W2">
        <f>BDH("UZD US Equity","WORKING_CAPITAL","1993-06-18","2026-05-02","Per=Y","Days=T","Dir=V")</f>
        <v>0</v>
      </c>
      <c r="Y2">
        <f>BDH("UZD US Equity","SALES_REV_TURN","1993-06-18","2026-05-02","Per=Y","Days=T","Dir=V")</f>
        <v>0</v>
      </c>
      <c r="AA2">
        <f>BDH("UZD US Equity","EBIT","1993-06-18","2026-05-02","Per=Y","Days=T","Dir=V")</f>
        <v>0</v>
      </c>
      <c r="AC2">
        <f>BDH("UZD US Equity","EBITDA","1993-06-18","2026-05-02","Per=Y","Days=T","Dir=V")</f>
        <v>0</v>
      </c>
      <c r="AE2">
        <f>BDH("UZD US Equity","NET_INCOME","1993-06-18","2026-05-02","Per=Y","Days=T","Dir=V")</f>
        <v>0</v>
      </c>
      <c r="AG2">
        <f>BDH("UZD US Equity","IS_INT_EXPENSE","1993-06-18","2026-05-02","Per=Y","Days=T","Dir=V")</f>
        <v>0</v>
      </c>
      <c r="AI2">
        <f>BDH("UZD US Equity","IS_DEPR_EXP","1993-06-18","2026-05-02","Per=Y","Days=T","Dir=V")</f>
        <v>0</v>
      </c>
      <c r="AK2">
        <f>BDH("UZD US Equity","CF_CASH_FROM_OPER","1993-06-18","2026-05-02","Per=Y","Days=T","Dir=V")</f>
        <v>0</v>
      </c>
      <c r="AM2">
        <f>BDH("UZD US Equity","CAPITAL_EXPEND","1993-06-18","2026-05-02","Per=Y","Days=T","Dir=V")</f>
        <v>0</v>
      </c>
      <c r="AO2">
        <f>BDH("UZD US Equity","CF_FREE_CASH_FLOW","1993-06-18","2026-05-02","Per=Y","Days=T","Dir=V")</f>
        <v>0</v>
      </c>
      <c r="AQ2">
        <f>BDH("UZD US Equity","PX_LAST","1993-06-18","2026-05-02","Per=M","Days=T","Dir=V")</f>
        <v>0</v>
      </c>
      <c r="AS2">
        <f>BDH("UZD US Equity","CUR_MKT_CAP","1993-06-18","2026-05-02","Per=M","Days=T","Dir=V")</f>
        <v>0</v>
      </c>
      <c r="AU2">
        <f>BDH("UZD US Equity","EQY_SH_OUT","1993-06-18","2026-05-02","Per=M","Days=T","Dir=V")</f>
        <v>0</v>
      </c>
      <c r="AW2">
        <f>BDH("UZD US Equity","PX_VOLUME","1993-06-18","2026-05-02","Per=M","Days=T","Dir=V")</f>
        <v>0</v>
      </c>
      <c r="AY2">
        <f>BDH("UZD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BDH("UZE US Equity","BS_TOT_ASSET","1993-06-18","2026-05-02","Per=Y","Days=T","Dir=V")</f>
        <v>0</v>
      </c>
      <c r="C2">
        <f>BDH("UZE US Equity","BS_TOT_LIAB2","1993-06-18","2026-05-02","Per=Y","Days=T","Dir=V")</f>
        <v>0</v>
      </c>
      <c r="E2">
        <f>BDH("UZE US Equity","SHORT_AND_LONG_TERM_DEBT","1993-06-18","2026-05-02","Per=Y","Days=T","Dir=V")</f>
        <v>0</v>
      </c>
      <c r="G2">
        <f>BDH("UZE US Equity","BS_ST_BORROW","1993-06-18","2026-05-02","Per=Y","Days=T","Dir=V")</f>
        <v>0</v>
      </c>
      <c r="I2">
        <f>BDH("UZE US Equity","BS_LT_BORROW","1993-06-18","2026-05-02","Per=Y","Days=T","Dir=V")</f>
        <v>0</v>
      </c>
      <c r="K2">
        <f>BDH("UZE US Equity","BS_CASH_NEAR_CASH_ITEM","1993-06-18","2026-05-02","Per=Y","Days=T","Dir=V")</f>
        <v>0</v>
      </c>
      <c r="M2">
        <f>BDH("UZE US Equity","BS_CUR_ASSET_REPORT","1993-06-18","2026-05-02","Per=Y","Days=T","Dir=V")</f>
        <v>0</v>
      </c>
      <c r="O2">
        <f>BDH("UZE US Equity","BS_CUR_LIAB","1993-06-18","2026-05-02","Per=Y","Days=T","Dir=V")</f>
        <v>0</v>
      </c>
      <c r="Q2">
        <f>BDH("UZE US Equity","BS_SHAREHOLDER_EQY_ENDING_PERIOD","1993-06-18","2026-05-02","Per=Y","Days=T","Dir=V")</f>
        <v>0</v>
      </c>
      <c r="S2">
        <f>BDH("UZE US Equity","BS_ACCT_NOTE_RCV","1993-06-18","2026-05-02","Per=Y","Days=T","Dir=V")</f>
        <v>0</v>
      </c>
      <c r="U2">
        <f>BDH("UZE US Equity","BS_INVENTORIES","1993-06-18","2026-05-02","Per=Y","Days=T","Dir=V")</f>
        <v>0</v>
      </c>
      <c r="W2">
        <f>BDH("UZE US Equity","WORKING_CAPITAL","1993-06-18","2026-05-02","Per=Y","Days=T","Dir=V")</f>
        <v>0</v>
      </c>
      <c r="Y2">
        <f>BDH("UZE US Equity","SALES_REV_TURN","1993-06-18","2026-05-02","Per=Y","Days=T","Dir=V")</f>
        <v>0</v>
      </c>
      <c r="AA2">
        <f>BDH("UZE US Equity","EBIT","1993-06-18","2026-05-02","Per=Y","Days=T","Dir=V")</f>
        <v>0</v>
      </c>
      <c r="AC2">
        <f>BDH("UZE US Equity","EBITDA","1993-06-18","2026-05-02","Per=Y","Days=T","Dir=V")</f>
        <v>0</v>
      </c>
      <c r="AE2">
        <f>BDH("UZE US Equity","NET_INCOME","1993-06-18","2026-05-02","Per=Y","Days=T","Dir=V")</f>
        <v>0</v>
      </c>
      <c r="AG2">
        <f>BDH("UZE US Equity","IS_INT_EXPENSE","1993-06-18","2026-05-02","Per=Y","Days=T","Dir=V")</f>
        <v>0</v>
      </c>
      <c r="AI2">
        <f>BDH("UZE US Equity","IS_DEPR_EXP","1993-06-18","2026-05-02","Per=Y","Days=T","Dir=V")</f>
        <v>0</v>
      </c>
      <c r="AK2">
        <f>BDH("UZE US Equity","CF_CASH_FROM_OPER","1993-06-18","2026-05-02","Per=Y","Days=T","Dir=V")</f>
        <v>0</v>
      </c>
      <c r="AM2">
        <f>BDH("UZE US Equity","CAPITAL_EXPEND","1993-06-18","2026-05-02","Per=Y","Days=T","Dir=V")</f>
        <v>0</v>
      </c>
      <c r="AO2">
        <f>BDH("UZE US Equity","CF_FREE_CASH_FLOW","1993-06-18","2026-05-02","Per=Y","Days=T","Dir=V")</f>
        <v>0</v>
      </c>
      <c r="AQ2">
        <f>BDH("UZE US Equity","PX_LAST","1993-06-18","2026-05-02","Per=M","Days=T","Dir=V")</f>
        <v>0</v>
      </c>
      <c r="AS2">
        <f>BDH("UZE US Equity","CUR_MKT_CAP","1993-06-18","2026-05-02","Per=M","Days=T","Dir=V")</f>
        <v>0</v>
      </c>
      <c r="AU2">
        <f>BDH("UZE US Equity","EQY_SH_OUT","1993-06-18","2026-05-02","Per=M","Days=T","Dir=V")</f>
        <v>0</v>
      </c>
      <c r="AW2">
        <f>BDH("UZE US Equity","PX_VOLUME","1993-06-18","2026-05-02","Per=M","Days=T","Dir=V")</f>
        <v>0</v>
      </c>
      <c r="AY2">
        <f>BDH("UZE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BDH("UZF US Equity","BS_TOT_ASSET","1993-06-18","2026-05-02","Per=Y","Days=T","Dir=V")</f>
        <v>0</v>
      </c>
      <c r="C2">
        <f>BDH("UZF US Equity","BS_TOT_LIAB2","1993-06-18","2026-05-02","Per=Y","Days=T","Dir=V")</f>
        <v>0</v>
      </c>
      <c r="E2">
        <f>BDH("UZF US Equity","SHORT_AND_LONG_TERM_DEBT","1993-06-18","2026-05-02","Per=Y","Days=T","Dir=V")</f>
        <v>0</v>
      </c>
      <c r="G2">
        <f>BDH("UZF US Equity","BS_ST_BORROW","1993-06-18","2026-05-02","Per=Y","Days=T","Dir=V")</f>
        <v>0</v>
      </c>
      <c r="I2">
        <f>BDH("UZF US Equity","BS_LT_BORROW","1993-06-18","2026-05-02","Per=Y","Days=T","Dir=V")</f>
        <v>0</v>
      </c>
      <c r="K2">
        <f>BDH("UZF US Equity","BS_CASH_NEAR_CASH_ITEM","1993-06-18","2026-05-02","Per=Y","Days=T","Dir=V")</f>
        <v>0</v>
      </c>
      <c r="M2">
        <f>BDH("UZF US Equity","BS_CUR_ASSET_REPORT","1993-06-18","2026-05-02","Per=Y","Days=T","Dir=V")</f>
        <v>0</v>
      </c>
      <c r="O2">
        <f>BDH("UZF US Equity","BS_CUR_LIAB","1993-06-18","2026-05-02","Per=Y","Days=T","Dir=V")</f>
        <v>0</v>
      </c>
      <c r="Q2">
        <f>BDH("UZF US Equity","BS_SHAREHOLDER_EQY_ENDING_PERIOD","1993-06-18","2026-05-02","Per=Y","Days=T","Dir=V")</f>
        <v>0</v>
      </c>
      <c r="S2">
        <f>BDH("UZF US Equity","BS_ACCT_NOTE_RCV","1993-06-18","2026-05-02","Per=Y","Days=T","Dir=V")</f>
        <v>0</v>
      </c>
      <c r="U2">
        <f>BDH("UZF US Equity","BS_INVENTORIES","1993-06-18","2026-05-02","Per=Y","Days=T","Dir=V")</f>
        <v>0</v>
      </c>
      <c r="W2">
        <f>BDH("UZF US Equity","WORKING_CAPITAL","1993-06-18","2026-05-02","Per=Y","Days=T","Dir=V")</f>
        <v>0</v>
      </c>
      <c r="Y2">
        <f>BDH("UZF US Equity","SALES_REV_TURN","1993-06-18","2026-05-02","Per=Y","Days=T","Dir=V")</f>
        <v>0</v>
      </c>
      <c r="AA2">
        <f>BDH("UZF US Equity","EBIT","1993-06-18","2026-05-02","Per=Y","Days=T","Dir=V")</f>
        <v>0</v>
      </c>
      <c r="AC2">
        <f>BDH("UZF US Equity","EBITDA","1993-06-18","2026-05-02","Per=Y","Days=T","Dir=V")</f>
        <v>0</v>
      </c>
      <c r="AE2">
        <f>BDH("UZF US Equity","NET_INCOME","1993-06-18","2026-05-02","Per=Y","Days=T","Dir=V")</f>
        <v>0</v>
      </c>
      <c r="AG2">
        <f>BDH("UZF US Equity","IS_INT_EXPENSE","1993-06-18","2026-05-02","Per=Y","Days=T","Dir=V")</f>
        <v>0</v>
      </c>
      <c r="AI2">
        <f>BDH("UZF US Equity","IS_DEPR_EXP","1993-06-18","2026-05-02","Per=Y","Days=T","Dir=V")</f>
        <v>0</v>
      </c>
      <c r="AK2">
        <f>BDH("UZF US Equity","CF_CASH_FROM_OPER","1993-06-18","2026-05-02","Per=Y","Days=T","Dir=V")</f>
        <v>0</v>
      </c>
      <c r="AM2">
        <f>BDH("UZF US Equity","CAPITAL_EXPEND","1993-06-18","2026-05-02","Per=Y","Days=T","Dir=V")</f>
        <v>0</v>
      </c>
      <c r="AO2">
        <f>BDH("UZF US Equity","CF_FREE_CASH_FLOW","1993-06-18","2026-05-02","Per=Y","Days=T","Dir=V")</f>
        <v>0</v>
      </c>
      <c r="AQ2">
        <f>BDH("UZF US Equity","PX_LAST","1993-06-18","2026-05-02","Per=M","Days=T","Dir=V")</f>
        <v>0</v>
      </c>
      <c r="AS2">
        <f>BDH("UZF US Equity","CUR_MKT_CAP","1993-06-18","2026-05-02","Per=M","Days=T","Dir=V")</f>
        <v>0</v>
      </c>
      <c r="AU2">
        <f>BDH("UZF US Equity","EQY_SH_OUT","1993-06-18","2026-05-02","Per=M","Days=T","Dir=V")</f>
        <v>0</v>
      </c>
      <c r="AW2">
        <f>BDH("UZF US Equity","PX_VOLUME","1993-06-18","2026-05-02","Per=M","Days=T","Dir=V")</f>
        <v>0</v>
      </c>
      <c r="AY2">
        <f>BDH("UZF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 US Equity","BS_TOT_ASSET","1993-06-18","2026-05-02","Per=Y","Days=T","Dir=V")</f>
        <v>0</v>
      </c>
      <c r="C2">
        <f>BDH("V US Equity","BS_TOT_LIAB2","1993-06-18","2026-05-02","Per=Y","Days=T","Dir=V")</f>
        <v>0</v>
      </c>
      <c r="E2">
        <f>BDH("V US Equity","SHORT_AND_LONG_TERM_DEBT","1993-06-18","2026-05-02","Per=Y","Days=T","Dir=V")</f>
        <v>0</v>
      </c>
      <c r="G2">
        <f>BDH("V US Equity","BS_ST_BORROW","1993-06-18","2026-05-02","Per=Y","Days=T","Dir=V")</f>
        <v>0</v>
      </c>
      <c r="I2">
        <f>BDH("V US Equity","BS_LT_BORROW","1993-06-18","2026-05-02","Per=Y","Days=T","Dir=V")</f>
        <v>0</v>
      </c>
      <c r="K2">
        <f>BDH("V US Equity","BS_CASH_NEAR_CASH_ITEM","1993-06-18","2026-05-02","Per=Y","Days=T","Dir=V")</f>
        <v>0</v>
      </c>
      <c r="M2">
        <f>BDH("V US Equity","BS_CUR_ASSET_REPORT","1993-06-18","2026-05-02","Per=Y","Days=T","Dir=V")</f>
        <v>0</v>
      </c>
      <c r="O2">
        <f>BDH("V US Equity","BS_CUR_LIAB","1993-06-18","2026-05-02","Per=Y","Days=T","Dir=V")</f>
        <v>0</v>
      </c>
      <c r="Q2">
        <f>BDH("V US Equity","BS_SHAREHOLDER_EQY_ENDING_PERIOD","1993-06-18","2026-05-02","Per=Y","Days=T","Dir=V")</f>
        <v>0</v>
      </c>
      <c r="S2">
        <f>BDH("V US Equity","BS_ACCT_NOTE_RCV","1993-06-18","2026-05-02","Per=Y","Days=T","Dir=V")</f>
        <v>0</v>
      </c>
      <c r="U2">
        <f>BDH("V US Equity","BS_INVENTORIES","1993-06-18","2026-05-02","Per=Y","Days=T","Dir=V")</f>
        <v>0</v>
      </c>
      <c r="W2">
        <f>BDH("V US Equity","WORKING_CAPITAL","1993-06-18","2026-05-02","Per=Y","Days=T","Dir=V")</f>
        <v>0</v>
      </c>
      <c r="Y2">
        <f>BDH("V US Equity","SALES_REV_TURN","1993-06-18","2026-05-02","Per=Y","Days=T","Dir=V")</f>
        <v>0</v>
      </c>
      <c r="AA2">
        <f>BDH("V US Equity","EBIT","1993-06-18","2026-05-02","Per=Y","Days=T","Dir=V")</f>
        <v>0</v>
      </c>
      <c r="AC2">
        <f>BDH("V US Equity","EBITDA","1993-06-18","2026-05-02","Per=Y","Days=T","Dir=V")</f>
        <v>0</v>
      </c>
      <c r="AE2">
        <f>BDH("V US Equity","NET_INCOME","1993-06-18","2026-05-02","Per=Y","Days=T","Dir=V")</f>
        <v>0</v>
      </c>
      <c r="AG2">
        <f>BDH("V US Equity","IS_INT_EXPENSE","1993-06-18","2026-05-02","Per=Y","Days=T","Dir=V")</f>
        <v>0</v>
      </c>
      <c r="AI2">
        <f>BDH("V US Equity","IS_DEPR_EXP","1993-06-18","2026-05-02","Per=Y","Days=T","Dir=V")</f>
        <v>0</v>
      </c>
      <c r="AK2">
        <f>BDH("V US Equity","CF_CASH_FROM_OPER","1993-06-18","2026-05-02","Per=Y","Days=T","Dir=V")</f>
        <v>0</v>
      </c>
      <c r="AM2">
        <f>BDH("V US Equity","CAPITAL_EXPEND","1993-06-18","2026-05-02","Per=Y","Days=T","Dir=V")</f>
        <v>0</v>
      </c>
      <c r="AO2">
        <f>BDH("V US Equity","CF_FREE_CASH_FLOW","1993-06-18","2026-05-02","Per=Y","Days=T","Dir=V")</f>
        <v>0</v>
      </c>
      <c r="AQ2">
        <f>BDH("V US Equity","PX_LAST","1993-06-18","2026-05-02","Per=M","Days=T","Dir=V")</f>
        <v>0</v>
      </c>
      <c r="AS2">
        <f>BDH("V US Equity","CUR_MKT_CAP","1993-06-18","2026-05-02","Per=M","Days=T","Dir=V")</f>
        <v>0</v>
      </c>
      <c r="AU2">
        <f>BDH("V US Equity","EQY_SH_OUT","1993-06-18","2026-05-02","Per=M","Days=T","Dir=V")</f>
        <v>0</v>
      </c>
      <c r="AW2">
        <f>BDH("V US Equity","PX_VOLUME","1993-06-18","2026-05-02","Per=M","Days=T","Dir=V")</f>
        <v>0</v>
      </c>
      <c r="AY2">
        <f>BDH("V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BDH("VAL US Equity","BS_TOT_ASSET","1993-06-18","2026-05-02","Per=Y","Days=T","Dir=V")</f>
        <v>0</v>
      </c>
      <c r="C2">
        <f>BDH("VAL US Equity","BS_TOT_LIAB2","1993-06-18","2026-05-02","Per=Y","Days=T","Dir=V")</f>
        <v>0</v>
      </c>
      <c r="E2">
        <f>BDH("VAL US Equity","SHORT_AND_LONG_TERM_DEBT","1993-06-18","2026-05-02","Per=Y","Days=T","Dir=V")</f>
        <v>0</v>
      </c>
      <c r="G2">
        <f>BDH("VAL US Equity","BS_ST_BORROW","1993-06-18","2026-05-02","Per=Y","Days=T","Dir=V")</f>
        <v>0</v>
      </c>
      <c r="I2">
        <f>BDH("VAL US Equity","BS_LT_BORROW","1993-06-18","2026-05-02","Per=Y","Days=T","Dir=V")</f>
        <v>0</v>
      </c>
      <c r="K2">
        <f>BDH("VAL US Equity","BS_CASH_NEAR_CASH_ITEM","1993-06-18","2026-05-02","Per=Y","Days=T","Dir=V")</f>
        <v>0</v>
      </c>
      <c r="M2">
        <f>BDH("VAL US Equity","BS_CUR_ASSET_REPORT","1993-06-18","2026-05-02","Per=Y","Days=T","Dir=V")</f>
        <v>0</v>
      </c>
      <c r="O2">
        <f>BDH("VAL US Equity","BS_CUR_LIAB","1993-06-18","2026-05-02","Per=Y","Days=T","Dir=V")</f>
        <v>0</v>
      </c>
      <c r="Q2">
        <f>BDH("VAL US Equity","BS_SHAREHOLDER_EQY_ENDING_PERIOD","1993-06-18","2026-05-02","Per=Y","Days=T","Dir=V")</f>
        <v>0</v>
      </c>
      <c r="S2">
        <f>BDH("VAL US Equity","BS_ACCT_NOTE_RCV","1993-06-18","2026-05-02","Per=Y","Days=T","Dir=V")</f>
        <v>0</v>
      </c>
      <c r="U2">
        <f>BDH("VAL US Equity","BS_INVENTORIES","1993-06-18","2026-05-02","Per=Y","Days=T","Dir=V")</f>
        <v>0</v>
      </c>
      <c r="W2">
        <f>BDH("VAL US Equity","WORKING_CAPITAL","1993-06-18","2026-05-02","Per=Y","Days=T","Dir=V")</f>
        <v>0</v>
      </c>
      <c r="Y2">
        <f>BDH("VAL US Equity","SALES_REV_TURN","1993-06-18","2026-05-02","Per=Y","Days=T","Dir=V")</f>
        <v>0</v>
      </c>
      <c r="AA2">
        <f>BDH("VAL US Equity","EBIT","1993-06-18","2026-05-02","Per=Y","Days=T","Dir=V")</f>
        <v>0</v>
      </c>
      <c r="AC2">
        <f>BDH("VAL US Equity","EBITDA","1993-06-18","2026-05-02","Per=Y","Days=T","Dir=V")</f>
        <v>0</v>
      </c>
      <c r="AE2">
        <f>BDH("VAL US Equity","NET_INCOME","1993-06-18","2026-05-02","Per=Y","Days=T","Dir=V")</f>
        <v>0</v>
      </c>
      <c r="AG2">
        <f>BDH("VAL US Equity","IS_INT_EXPENSE","1993-06-18","2026-05-02","Per=Y","Days=T","Dir=V")</f>
        <v>0</v>
      </c>
      <c r="AI2">
        <f>BDH("VAL US Equity","IS_DEPR_EXP","1993-06-18","2026-05-02","Per=Y","Days=T","Dir=V")</f>
        <v>0</v>
      </c>
      <c r="AK2">
        <f>BDH("VAL US Equity","CF_CASH_FROM_OPER","1993-06-18","2026-05-02","Per=Y","Days=T","Dir=V")</f>
        <v>0</v>
      </c>
      <c r="AM2">
        <f>BDH("VAL US Equity","CAPITAL_EXPEND","1993-06-18","2026-05-02","Per=Y","Days=T","Dir=V")</f>
        <v>0</v>
      </c>
      <c r="AO2">
        <f>BDH("VAL US Equity","CF_FREE_CASH_FLOW","1993-06-18","2026-05-02","Per=Y","Days=T","Dir=V")</f>
        <v>0</v>
      </c>
      <c r="AQ2">
        <f>BDH("VAL US Equity","PX_LAST","1993-06-18","2026-05-02","Per=M","Days=T","Dir=V")</f>
        <v>0</v>
      </c>
      <c r="AS2">
        <f>BDH("VAL US Equity","CUR_MKT_CAP","1993-06-18","2026-05-02","Per=M","Days=T","Dir=V")</f>
        <v>0</v>
      </c>
      <c r="AU2">
        <f>BDH("VAL US Equity","EQY_SH_OUT","1993-06-18","2026-05-02","Per=M","Days=T","Dir=V")</f>
        <v>0</v>
      </c>
      <c r="AW2">
        <f>BDH("VAL US Equity","PX_VOLUME","1993-06-18","2026-05-02","Per=M","Days=T","Dir=V")</f>
        <v>0</v>
      </c>
      <c r="AY2">
        <f>BDH("VAL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BDH("VANI US Equity","BS_TOT_ASSET","1993-06-18","2026-05-02","Per=Y","Days=T","Dir=V")</f>
        <v>0</v>
      </c>
      <c r="C2">
        <f>BDH("VANI US Equity","BS_TOT_LIAB2","1993-06-18","2026-05-02","Per=Y","Days=T","Dir=V")</f>
        <v>0</v>
      </c>
      <c r="E2">
        <f>BDH("VANI US Equity","SHORT_AND_LONG_TERM_DEBT","1993-06-18","2026-05-02","Per=Y","Days=T","Dir=V")</f>
        <v>0</v>
      </c>
      <c r="G2">
        <f>BDH("VANI US Equity","BS_ST_BORROW","1993-06-18","2026-05-02","Per=Y","Days=T","Dir=V")</f>
        <v>0</v>
      </c>
      <c r="I2">
        <f>BDH("VANI US Equity","BS_LT_BORROW","1993-06-18","2026-05-02","Per=Y","Days=T","Dir=V")</f>
        <v>0</v>
      </c>
      <c r="K2">
        <f>BDH("VANI US Equity","BS_CASH_NEAR_CASH_ITEM","1993-06-18","2026-05-02","Per=Y","Days=T","Dir=V")</f>
        <v>0</v>
      </c>
      <c r="M2">
        <f>BDH("VANI US Equity","BS_CUR_ASSET_REPORT","1993-06-18","2026-05-02","Per=Y","Days=T","Dir=V")</f>
        <v>0</v>
      </c>
      <c r="O2">
        <f>BDH("VANI US Equity","BS_CUR_LIAB","1993-06-18","2026-05-02","Per=Y","Days=T","Dir=V")</f>
        <v>0</v>
      </c>
      <c r="Q2">
        <f>BDH("VANI US Equity","BS_SHAREHOLDER_EQY_ENDING_PERIOD","1993-06-18","2026-05-02","Per=Y","Days=T","Dir=V")</f>
        <v>0</v>
      </c>
      <c r="S2">
        <f>BDH("VANI US Equity","BS_ACCT_NOTE_RCV","1993-06-18","2026-05-02","Per=Y","Days=T","Dir=V")</f>
        <v>0</v>
      </c>
      <c r="U2">
        <f>BDH("VANI US Equity","BS_INVENTORIES","1993-06-18","2026-05-02","Per=Y","Days=T","Dir=V")</f>
        <v>0</v>
      </c>
      <c r="W2">
        <f>BDH("VANI US Equity","WORKING_CAPITAL","1993-06-18","2026-05-02","Per=Y","Days=T","Dir=V")</f>
        <v>0</v>
      </c>
      <c r="Y2">
        <f>BDH("VANI US Equity","SALES_REV_TURN","1993-06-18","2026-05-02","Per=Y","Days=T","Dir=V")</f>
        <v>0</v>
      </c>
      <c r="AA2">
        <f>BDH("VANI US Equity","EBIT","1993-06-18","2026-05-02","Per=Y","Days=T","Dir=V")</f>
        <v>0</v>
      </c>
      <c r="AC2">
        <f>BDH("VANI US Equity","EBITDA","1993-06-18","2026-05-02","Per=Y","Days=T","Dir=V")</f>
        <v>0</v>
      </c>
      <c r="AE2">
        <f>BDH("VANI US Equity","NET_INCOME","1993-06-18","2026-05-02","Per=Y","Days=T","Dir=V")</f>
        <v>0</v>
      </c>
      <c r="AG2">
        <f>BDH("VANI US Equity","IS_INT_EXPENSE","1993-06-18","2026-05-02","Per=Y","Days=T","Dir=V")</f>
        <v>0</v>
      </c>
      <c r="AI2">
        <f>BDH("VANI US Equity","IS_DEPR_EXP","1993-06-18","2026-05-02","Per=Y","Days=T","Dir=V")</f>
        <v>0</v>
      </c>
      <c r="AK2">
        <f>BDH("VANI US Equity","CF_CASH_FROM_OPER","1993-06-18","2026-05-02","Per=Y","Days=T","Dir=V")</f>
        <v>0</v>
      </c>
      <c r="AM2">
        <f>BDH("VANI US Equity","CAPITAL_EXPEND","1993-06-18","2026-05-02","Per=Y","Days=T","Dir=V")</f>
        <v>0</v>
      </c>
      <c r="AO2">
        <f>BDH("VANI US Equity","CF_FREE_CASH_FLOW","1993-06-18","2026-05-02","Per=Y","Days=T","Dir=V")</f>
        <v>0</v>
      </c>
      <c r="AQ2">
        <f>BDH("VANI US Equity","PX_LAST","1993-06-18","2026-05-02","Per=M","Days=T","Dir=V")</f>
        <v>0</v>
      </c>
      <c r="AS2">
        <f>BDH("VANI US Equity","CUR_MKT_CAP","1993-06-18","2026-05-02","Per=M","Days=T","Dir=V")</f>
        <v>0</v>
      </c>
      <c r="AU2">
        <f>BDH("VANI US Equity","EQY_SH_OUT","1993-06-18","2026-05-02","Per=M","Days=T","Dir=V")</f>
        <v>0</v>
      </c>
      <c r="AW2">
        <f>BDH("VANI US Equity","PX_VOLUME","1993-06-18","2026-05-02","Per=M","Days=T","Dir=V")</f>
        <v>0</v>
      </c>
      <c r="AY2">
        <f>BDH("VANI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BDH("VATE US Equity","BS_TOT_ASSET","1993-06-18","2026-05-02","Per=Y","Days=T","Dir=V")</f>
        <v>0</v>
      </c>
      <c r="C2">
        <f>BDH("VATE US Equity","BS_TOT_LIAB2","1993-06-18","2026-05-02","Per=Y","Days=T","Dir=V")</f>
        <v>0</v>
      </c>
      <c r="E2">
        <f>BDH("VATE US Equity","SHORT_AND_LONG_TERM_DEBT","1993-06-18","2026-05-02","Per=Y","Days=T","Dir=V")</f>
        <v>0</v>
      </c>
      <c r="G2">
        <f>BDH("VATE US Equity","BS_ST_BORROW","1993-06-18","2026-05-02","Per=Y","Days=T","Dir=V")</f>
        <v>0</v>
      </c>
      <c r="I2">
        <f>BDH("VATE US Equity","BS_LT_BORROW","1993-06-18","2026-05-02","Per=Y","Days=T","Dir=V")</f>
        <v>0</v>
      </c>
      <c r="K2">
        <f>BDH("VATE US Equity","BS_CASH_NEAR_CASH_ITEM","1993-06-18","2026-05-02","Per=Y","Days=T","Dir=V")</f>
        <v>0</v>
      </c>
      <c r="M2">
        <f>BDH("VATE US Equity","BS_CUR_ASSET_REPORT","1993-06-18","2026-05-02","Per=Y","Days=T","Dir=V")</f>
        <v>0</v>
      </c>
      <c r="O2">
        <f>BDH("VATE US Equity","BS_CUR_LIAB","1993-06-18","2026-05-02","Per=Y","Days=T","Dir=V")</f>
        <v>0</v>
      </c>
      <c r="Q2">
        <f>BDH("VATE US Equity","BS_SHAREHOLDER_EQY_ENDING_PERIOD","1993-06-18","2026-05-02","Per=Y","Days=T","Dir=V")</f>
        <v>0</v>
      </c>
      <c r="S2">
        <f>BDH("VATE US Equity","BS_ACCT_NOTE_RCV","1993-06-18","2026-05-02","Per=Y","Days=T","Dir=V")</f>
        <v>0</v>
      </c>
      <c r="U2">
        <f>BDH("VATE US Equity","BS_INVENTORIES","1993-06-18","2026-05-02","Per=Y","Days=T","Dir=V")</f>
        <v>0</v>
      </c>
      <c r="W2">
        <f>BDH("VATE US Equity","WORKING_CAPITAL","1993-06-18","2026-05-02","Per=Y","Days=T","Dir=V")</f>
        <v>0</v>
      </c>
      <c r="Y2">
        <f>BDH("VATE US Equity","SALES_REV_TURN","1993-06-18","2026-05-02","Per=Y","Days=T","Dir=V")</f>
        <v>0</v>
      </c>
      <c r="AA2">
        <f>BDH("VATE US Equity","EBIT","1993-06-18","2026-05-02","Per=Y","Days=T","Dir=V")</f>
        <v>0</v>
      </c>
      <c r="AC2">
        <f>BDH("VATE US Equity","EBITDA","1993-06-18","2026-05-02","Per=Y","Days=T","Dir=V")</f>
        <v>0</v>
      </c>
      <c r="AE2">
        <f>BDH("VATE US Equity","NET_INCOME","1993-06-18","2026-05-02","Per=Y","Days=T","Dir=V")</f>
        <v>0</v>
      </c>
      <c r="AG2">
        <f>BDH("VATE US Equity","IS_INT_EXPENSE","1993-06-18","2026-05-02","Per=Y","Days=T","Dir=V")</f>
        <v>0</v>
      </c>
      <c r="AI2">
        <f>BDH("VATE US Equity","IS_DEPR_EXP","1993-06-18","2026-05-02","Per=Y","Days=T","Dir=V")</f>
        <v>0</v>
      </c>
      <c r="AK2">
        <f>BDH("VATE US Equity","CF_CASH_FROM_OPER","1993-06-18","2026-05-02","Per=Y","Days=T","Dir=V")</f>
        <v>0</v>
      </c>
      <c r="AM2">
        <f>BDH("VATE US Equity","CAPITAL_EXPEND","1993-06-18","2026-05-02","Per=Y","Days=T","Dir=V")</f>
        <v>0</v>
      </c>
      <c r="AO2">
        <f>BDH("VATE US Equity","CF_FREE_CASH_FLOW","1993-06-18","2026-05-02","Per=Y","Days=T","Dir=V")</f>
        <v>0</v>
      </c>
      <c r="AQ2">
        <f>BDH("VATE US Equity","PX_LAST","1993-06-18","2026-05-02","Per=M","Days=T","Dir=V")</f>
        <v>0</v>
      </c>
      <c r="AS2">
        <f>BDH("VATE US Equity","CUR_MKT_CAP","1993-06-18","2026-05-02","Per=M","Days=T","Dir=V")</f>
        <v>0</v>
      </c>
      <c r="AU2">
        <f>BDH("VATE US Equity","EQY_SH_OUT","1993-06-18","2026-05-02","Per=M","Days=T","Dir=V")</f>
        <v>0</v>
      </c>
      <c r="AW2">
        <f>BDH("VATE US Equity","PX_VOLUME","1993-06-18","2026-05-02","Per=M","Days=T","Dir=V")</f>
        <v>0</v>
      </c>
      <c r="AY2">
        <f>BDH("VATE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BDH("VBIO US Equity","BS_TOT_ASSET","1993-06-18","2026-05-02","Per=Y","Days=T","Dir=V")</f>
        <v>0</v>
      </c>
      <c r="C2">
        <f>BDH("VBIO US Equity","BS_TOT_LIAB2","1993-06-18","2026-05-02","Per=Y","Days=T","Dir=V")</f>
        <v>0</v>
      </c>
      <c r="E2">
        <f>BDH("VBIO US Equity","SHORT_AND_LONG_TERM_DEBT","1993-06-18","2026-05-02","Per=Y","Days=T","Dir=V")</f>
        <v>0</v>
      </c>
      <c r="G2">
        <f>BDH("VBIO US Equity","BS_ST_BORROW","1993-06-18","2026-05-02","Per=Y","Days=T","Dir=V")</f>
        <v>0</v>
      </c>
      <c r="I2">
        <f>BDH("VBIO US Equity","BS_LT_BORROW","1993-06-18","2026-05-02","Per=Y","Days=T","Dir=V")</f>
        <v>0</v>
      </c>
      <c r="K2">
        <f>BDH("VBIO US Equity","BS_CASH_NEAR_CASH_ITEM","1993-06-18","2026-05-02","Per=Y","Days=T","Dir=V")</f>
        <v>0</v>
      </c>
      <c r="M2">
        <f>BDH("VBIO US Equity","BS_CUR_ASSET_REPORT","1993-06-18","2026-05-02","Per=Y","Days=T","Dir=V")</f>
        <v>0</v>
      </c>
      <c r="O2">
        <f>BDH("VBIO US Equity","BS_CUR_LIAB","1993-06-18","2026-05-02","Per=Y","Days=T","Dir=V")</f>
        <v>0</v>
      </c>
      <c r="Q2">
        <f>BDH("VBIO US Equity","BS_SHAREHOLDER_EQY_ENDING_PERIOD","1993-06-18","2026-05-02","Per=Y","Days=T","Dir=V")</f>
        <v>0</v>
      </c>
      <c r="S2">
        <f>BDH("VBIO US Equity","BS_ACCT_NOTE_RCV","1993-06-18","2026-05-02","Per=Y","Days=T","Dir=V")</f>
        <v>0</v>
      </c>
      <c r="U2">
        <f>BDH("VBIO US Equity","BS_INVENTORIES","1993-06-18","2026-05-02","Per=Y","Days=T","Dir=V")</f>
        <v>0</v>
      </c>
      <c r="W2">
        <f>BDH("VBIO US Equity","WORKING_CAPITAL","1993-06-18","2026-05-02","Per=Y","Days=T","Dir=V")</f>
        <v>0</v>
      </c>
      <c r="Y2">
        <f>BDH("VBIO US Equity","SALES_REV_TURN","1993-06-18","2026-05-02","Per=Y","Days=T","Dir=V")</f>
        <v>0</v>
      </c>
      <c r="AA2">
        <f>BDH("VBIO US Equity","EBIT","1993-06-18","2026-05-02","Per=Y","Days=T","Dir=V")</f>
        <v>0</v>
      </c>
      <c r="AC2">
        <f>BDH("VBIO US Equity","EBITDA","1993-06-18","2026-05-02","Per=Y","Days=T","Dir=V")</f>
        <v>0</v>
      </c>
      <c r="AE2">
        <f>BDH("VBIO US Equity","NET_INCOME","1993-06-18","2026-05-02","Per=Y","Days=T","Dir=V")</f>
        <v>0</v>
      </c>
      <c r="AG2">
        <f>BDH("VBIO US Equity","IS_INT_EXPENSE","1993-06-18","2026-05-02","Per=Y","Days=T","Dir=V")</f>
        <v>0</v>
      </c>
      <c r="AI2">
        <f>BDH("VBIO US Equity","IS_DEPR_EXP","1993-06-18","2026-05-02","Per=Y","Days=T","Dir=V")</f>
        <v>0</v>
      </c>
      <c r="AK2">
        <f>BDH("VBIO US Equity","CF_CASH_FROM_OPER","1993-06-18","2026-05-02","Per=Y","Days=T","Dir=V")</f>
        <v>0</v>
      </c>
      <c r="AM2">
        <f>BDH("VBIO US Equity","CAPITAL_EXPEND","1993-06-18","2026-05-02","Per=Y","Days=T","Dir=V")</f>
        <v>0</v>
      </c>
      <c r="AO2">
        <f>BDH("VBIO US Equity","CF_FREE_CASH_FLOW","1993-06-18","2026-05-02","Per=Y","Days=T","Dir=V")</f>
        <v>0</v>
      </c>
      <c r="AQ2">
        <f>BDH("VBIO US Equity","PX_LAST","1993-06-18","2026-05-02","Per=M","Days=T","Dir=V")</f>
        <v>0</v>
      </c>
      <c r="AS2">
        <f>BDH("VBIO US Equity","CUR_MKT_CAP","1993-06-18","2026-05-02","Per=M","Days=T","Dir=V")</f>
        <v>0</v>
      </c>
      <c r="AU2">
        <f>BDH("VBIO US Equity","EQY_SH_OUT","1993-06-18","2026-05-02","Per=M","Days=T","Dir=V")</f>
        <v>0</v>
      </c>
      <c r="AW2">
        <f>BDH("VBIO US Equity","PX_VOLUME","1993-06-18","2026-05-02","Per=M","Days=T","Dir=V")</f>
        <v>0</v>
      </c>
      <c r="AY2">
        <f>BDH("VBIO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BDH("VC US Equity","BS_TOT_ASSET","1993-06-18","2026-05-02","Per=Y","Days=T","Dir=V")</f>
        <v>0</v>
      </c>
      <c r="C2">
        <f>BDH("VC US Equity","BS_TOT_LIAB2","1993-06-18","2026-05-02","Per=Y","Days=T","Dir=V")</f>
        <v>0</v>
      </c>
      <c r="E2">
        <f>BDH("VC US Equity","SHORT_AND_LONG_TERM_DEBT","1993-06-18","2026-05-02","Per=Y","Days=T","Dir=V")</f>
        <v>0</v>
      </c>
      <c r="G2">
        <f>BDH("VC US Equity","BS_ST_BORROW","1993-06-18","2026-05-02","Per=Y","Days=T","Dir=V")</f>
        <v>0</v>
      </c>
      <c r="I2">
        <f>BDH("VC US Equity","BS_LT_BORROW","1993-06-18","2026-05-02","Per=Y","Days=T","Dir=V")</f>
        <v>0</v>
      </c>
      <c r="K2">
        <f>BDH("VC US Equity","BS_CASH_NEAR_CASH_ITEM","1993-06-18","2026-05-02","Per=Y","Days=T","Dir=V")</f>
        <v>0</v>
      </c>
      <c r="M2">
        <f>BDH("VC US Equity","BS_CUR_ASSET_REPORT","1993-06-18","2026-05-02","Per=Y","Days=T","Dir=V")</f>
        <v>0</v>
      </c>
      <c r="O2">
        <f>BDH("VC US Equity","BS_CUR_LIAB","1993-06-18","2026-05-02","Per=Y","Days=T","Dir=V")</f>
        <v>0</v>
      </c>
      <c r="Q2">
        <f>BDH("VC US Equity","BS_SHAREHOLDER_EQY_ENDING_PERIOD","1993-06-18","2026-05-02","Per=Y","Days=T","Dir=V")</f>
        <v>0</v>
      </c>
      <c r="S2">
        <f>BDH("VC US Equity","BS_ACCT_NOTE_RCV","1993-06-18","2026-05-02","Per=Y","Days=T","Dir=V")</f>
        <v>0</v>
      </c>
      <c r="U2">
        <f>BDH("VC US Equity","BS_INVENTORIES","1993-06-18","2026-05-02","Per=Y","Days=T","Dir=V")</f>
        <v>0</v>
      </c>
      <c r="W2">
        <f>BDH("VC US Equity","WORKING_CAPITAL","1993-06-18","2026-05-02","Per=Y","Days=T","Dir=V")</f>
        <v>0</v>
      </c>
      <c r="Y2">
        <f>BDH("VC US Equity","SALES_REV_TURN","1993-06-18","2026-05-02","Per=Y","Days=T","Dir=V")</f>
        <v>0</v>
      </c>
      <c r="AA2">
        <f>BDH("VC US Equity","EBIT","1993-06-18","2026-05-02","Per=Y","Days=T","Dir=V")</f>
        <v>0</v>
      </c>
      <c r="AC2">
        <f>BDH("VC US Equity","EBITDA","1993-06-18","2026-05-02","Per=Y","Days=T","Dir=V")</f>
        <v>0</v>
      </c>
      <c r="AE2">
        <f>BDH("VC US Equity","NET_INCOME","1993-06-18","2026-05-02","Per=Y","Days=T","Dir=V")</f>
        <v>0</v>
      </c>
      <c r="AG2">
        <f>BDH("VC US Equity","IS_INT_EXPENSE","1993-06-18","2026-05-02","Per=Y","Days=T","Dir=V")</f>
        <v>0</v>
      </c>
      <c r="AI2">
        <f>BDH("VC US Equity","IS_DEPR_EXP","1993-06-18","2026-05-02","Per=Y","Days=T","Dir=V")</f>
        <v>0</v>
      </c>
      <c r="AK2">
        <f>BDH("VC US Equity","CF_CASH_FROM_OPER","1993-06-18","2026-05-02","Per=Y","Days=T","Dir=V")</f>
        <v>0</v>
      </c>
      <c r="AM2">
        <f>BDH("VC US Equity","CAPITAL_EXPEND","1993-06-18","2026-05-02","Per=Y","Days=T","Dir=V")</f>
        <v>0</v>
      </c>
      <c r="AO2">
        <f>BDH("VC US Equity","CF_FREE_CASH_FLOW","1993-06-18","2026-05-02","Per=Y","Days=T","Dir=V")</f>
        <v>0</v>
      </c>
      <c r="AQ2">
        <f>BDH("VC US Equity","PX_LAST","1993-06-18","2026-05-02","Per=M","Days=T","Dir=V")</f>
        <v>0</v>
      </c>
      <c r="AS2">
        <f>BDH("VC US Equity","CUR_MKT_CAP","1993-06-18","2026-05-02","Per=M","Days=T","Dir=V")</f>
        <v>0</v>
      </c>
      <c r="AU2">
        <f>BDH("VC US Equity","EQY_SH_OUT","1993-06-18","2026-05-02","Per=M","Days=T","Dir=V")</f>
        <v>0</v>
      </c>
      <c r="AW2">
        <f>BDH("VC US Equity","PX_VOLUME","1993-06-18","2026-05-02","Per=M","Days=T","Dir=V")</f>
        <v>0</v>
      </c>
      <c r="AY2">
        <f>BDH("VC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BDH("VCEL US Equity","BS_TOT_ASSET","1993-06-18","2026-05-02","Per=Y","Days=T","Dir=V")</f>
        <v>0</v>
      </c>
      <c r="C2">
        <f>BDH("VCEL US Equity","BS_TOT_LIAB2","1993-06-18","2026-05-02","Per=Y","Days=T","Dir=V")</f>
        <v>0</v>
      </c>
      <c r="E2">
        <f>BDH("VCEL US Equity","SHORT_AND_LONG_TERM_DEBT","1993-06-18","2026-05-02","Per=Y","Days=T","Dir=V")</f>
        <v>0</v>
      </c>
      <c r="G2">
        <f>BDH("VCEL US Equity","BS_ST_BORROW","1993-06-18","2026-05-02","Per=Y","Days=T","Dir=V")</f>
        <v>0</v>
      </c>
      <c r="I2">
        <f>BDH("VCEL US Equity","BS_LT_BORROW","1993-06-18","2026-05-02","Per=Y","Days=T","Dir=V")</f>
        <v>0</v>
      </c>
      <c r="K2">
        <f>BDH("VCEL US Equity","BS_CASH_NEAR_CASH_ITEM","1993-06-18","2026-05-02","Per=Y","Days=T","Dir=V")</f>
        <v>0</v>
      </c>
      <c r="M2">
        <f>BDH("VCEL US Equity","BS_CUR_ASSET_REPORT","1993-06-18","2026-05-02","Per=Y","Days=T","Dir=V")</f>
        <v>0</v>
      </c>
      <c r="O2">
        <f>BDH("VCEL US Equity","BS_CUR_LIAB","1993-06-18","2026-05-02","Per=Y","Days=T","Dir=V")</f>
        <v>0</v>
      </c>
      <c r="Q2">
        <f>BDH("VCEL US Equity","BS_SHAREHOLDER_EQY_ENDING_PERIOD","1993-06-18","2026-05-02","Per=Y","Days=T","Dir=V")</f>
        <v>0</v>
      </c>
      <c r="S2">
        <f>BDH("VCEL US Equity","BS_ACCT_NOTE_RCV","1993-06-18","2026-05-02","Per=Y","Days=T","Dir=V")</f>
        <v>0</v>
      </c>
      <c r="U2">
        <f>BDH("VCEL US Equity","BS_INVENTORIES","1993-06-18","2026-05-02","Per=Y","Days=T","Dir=V")</f>
        <v>0</v>
      </c>
      <c r="W2">
        <f>BDH("VCEL US Equity","WORKING_CAPITAL","1993-06-18","2026-05-02","Per=Y","Days=T","Dir=V")</f>
        <v>0</v>
      </c>
      <c r="Y2">
        <f>BDH("VCEL US Equity","SALES_REV_TURN","1993-06-18","2026-05-02","Per=Y","Days=T","Dir=V")</f>
        <v>0</v>
      </c>
      <c r="AA2">
        <f>BDH("VCEL US Equity","EBIT","1993-06-18","2026-05-02","Per=Y","Days=T","Dir=V")</f>
        <v>0</v>
      </c>
      <c r="AC2">
        <f>BDH("VCEL US Equity","EBITDA","1993-06-18","2026-05-02","Per=Y","Days=T","Dir=V")</f>
        <v>0</v>
      </c>
      <c r="AE2">
        <f>BDH("VCEL US Equity","NET_INCOME","1993-06-18","2026-05-02","Per=Y","Days=T","Dir=V")</f>
        <v>0</v>
      </c>
      <c r="AG2">
        <f>BDH("VCEL US Equity","IS_INT_EXPENSE","1993-06-18","2026-05-02","Per=Y","Days=T","Dir=V")</f>
        <v>0</v>
      </c>
      <c r="AI2">
        <f>BDH("VCEL US Equity","IS_DEPR_EXP","1993-06-18","2026-05-02","Per=Y","Days=T","Dir=V")</f>
        <v>0</v>
      </c>
      <c r="AK2">
        <f>BDH("VCEL US Equity","CF_CASH_FROM_OPER","1993-06-18","2026-05-02","Per=Y","Days=T","Dir=V")</f>
        <v>0</v>
      </c>
      <c r="AM2">
        <f>BDH("VCEL US Equity","CAPITAL_EXPEND","1993-06-18","2026-05-02","Per=Y","Days=T","Dir=V")</f>
        <v>0</v>
      </c>
      <c r="AO2">
        <f>BDH("VCEL US Equity","CF_FREE_CASH_FLOW","1993-06-18","2026-05-02","Per=Y","Days=T","Dir=V")</f>
        <v>0</v>
      </c>
      <c r="AQ2">
        <f>BDH("VCEL US Equity","PX_LAST","1993-06-18","2026-05-02","Per=M","Days=T","Dir=V")</f>
        <v>0</v>
      </c>
      <c r="AS2">
        <f>BDH("VCEL US Equity","CUR_MKT_CAP","1993-06-18","2026-05-02","Per=M","Days=T","Dir=V")</f>
        <v>0</v>
      </c>
      <c r="AU2">
        <f>BDH("VCEL US Equity","EQY_SH_OUT","1993-06-18","2026-05-02","Per=M","Days=T","Dir=V")</f>
        <v>0</v>
      </c>
      <c r="AW2">
        <f>BDH("VCEL US Equity","PX_VOLUME","1993-06-18","2026-05-02","Per=M","Days=T","Dir=V")</f>
        <v>0</v>
      </c>
      <c r="AY2">
        <f>BDH("VCEL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BDH("VCYT US Equity","BS_TOT_ASSET","1993-06-18","2026-05-02","Per=Y","Days=T","Dir=V")</f>
        <v>0</v>
      </c>
      <c r="C2">
        <f>BDH("VCYT US Equity","BS_TOT_LIAB2","1993-06-18","2026-05-02","Per=Y","Days=T","Dir=V")</f>
        <v>0</v>
      </c>
      <c r="E2">
        <f>BDH("VCYT US Equity","SHORT_AND_LONG_TERM_DEBT","1993-06-18","2026-05-02","Per=Y","Days=T","Dir=V")</f>
        <v>0</v>
      </c>
      <c r="G2">
        <f>BDH("VCYT US Equity","BS_ST_BORROW","1993-06-18","2026-05-02","Per=Y","Days=T","Dir=V")</f>
        <v>0</v>
      </c>
      <c r="I2">
        <f>BDH("VCYT US Equity","BS_LT_BORROW","1993-06-18","2026-05-02","Per=Y","Days=T","Dir=V")</f>
        <v>0</v>
      </c>
      <c r="K2">
        <f>BDH("VCYT US Equity","BS_CASH_NEAR_CASH_ITEM","1993-06-18","2026-05-02","Per=Y","Days=T","Dir=V")</f>
        <v>0</v>
      </c>
      <c r="M2">
        <f>BDH("VCYT US Equity","BS_CUR_ASSET_REPORT","1993-06-18","2026-05-02","Per=Y","Days=T","Dir=V")</f>
        <v>0</v>
      </c>
      <c r="O2">
        <f>BDH("VCYT US Equity","BS_CUR_LIAB","1993-06-18","2026-05-02","Per=Y","Days=T","Dir=V")</f>
        <v>0</v>
      </c>
      <c r="Q2">
        <f>BDH("VCYT US Equity","BS_SHAREHOLDER_EQY_ENDING_PERIOD","1993-06-18","2026-05-02","Per=Y","Days=T","Dir=V")</f>
        <v>0</v>
      </c>
      <c r="S2">
        <f>BDH("VCYT US Equity","BS_ACCT_NOTE_RCV","1993-06-18","2026-05-02","Per=Y","Days=T","Dir=V")</f>
        <v>0</v>
      </c>
      <c r="U2">
        <f>BDH("VCYT US Equity","BS_INVENTORIES","1993-06-18","2026-05-02","Per=Y","Days=T","Dir=V")</f>
        <v>0</v>
      </c>
      <c r="W2">
        <f>BDH("VCYT US Equity","WORKING_CAPITAL","1993-06-18","2026-05-02","Per=Y","Days=T","Dir=V")</f>
        <v>0</v>
      </c>
      <c r="Y2">
        <f>BDH("VCYT US Equity","SALES_REV_TURN","1993-06-18","2026-05-02","Per=Y","Days=T","Dir=V")</f>
        <v>0</v>
      </c>
      <c r="AA2">
        <f>BDH("VCYT US Equity","EBIT","1993-06-18","2026-05-02","Per=Y","Days=T","Dir=V")</f>
        <v>0</v>
      </c>
      <c r="AC2">
        <f>BDH("VCYT US Equity","EBITDA","1993-06-18","2026-05-02","Per=Y","Days=T","Dir=V")</f>
        <v>0</v>
      </c>
      <c r="AE2">
        <f>BDH("VCYT US Equity","NET_INCOME","1993-06-18","2026-05-02","Per=Y","Days=T","Dir=V")</f>
        <v>0</v>
      </c>
      <c r="AG2">
        <f>BDH("VCYT US Equity","IS_INT_EXPENSE","1993-06-18","2026-05-02","Per=Y","Days=T","Dir=V")</f>
        <v>0</v>
      </c>
      <c r="AI2">
        <f>BDH("VCYT US Equity","IS_DEPR_EXP","1993-06-18","2026-05-02","Per=Y","Days=T","Dir=V")</f>
        <v>0</v>
      </c>
      <c r="AK2">
        <f>BDH("VCYT US Equity","CF_CASH_FROM_OPER","1993-06-18","2026-05-02","Per=Y","Days=T","Dir=V")</f>
        <v>0</v>
      </c>
      <c r="AM2">
        <f>BDH("VCYT US Equity","CAPITAL_EXPEND","1993-06-18","2026-05-02","Per=Y","Days=T","Dir=V")</f>
        <v>0</v>
      </c>
      <c r="AO2">
        <f>BDH("VCYT US Equity","CF_FREE_CASH_FLOW","1993-06-18","2026-05-02","Per=Y","Days=T","Dir=V")</f>
        <v>0</v>
      </c>
      <c r="AQ2">
        <f>BDH("VCYT US Equity","PX_LAST","1993-06-18","2026-05-02","Per=M","Days=T","Dir=V")</f>
        <v>0</v>
      </c>
      <c r="AS2">
        <f>BDH("VCYT US Equity","CUR_MKT_CAP","1993-06-18","2026-05-02","Per=M","Days=T","Dir=V")</f>
        <v>0</v>
      </c>
      <c r="AU2">
        <f>BDH("VCYT US Equity","EQY_SH_OUT","1993-06-18","2026-05-02","Per=M","Days=T","Dir=V")</f>
        <v>0</v>
      </c>
      <c r="AW2">
        <f>BDH("VCYT US Equity","PX_VOLUME","1993-06-18","2026-05-02","Per=M","Days=T","Dir=V")</f>
        <v>0</v>
      </c>
      <c r="AY2">
        <f>BDH("VCYT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BDH("VECO US Equity","BS_TOT_ASSET","1993-06-18","2026-05-02","Per=Y","Days=T","Dir=V")</f>
        <v>0</v>
      </c>
      <c r="C2">
        <f>BDH("VECO US Equity","BS_TOT_LIAB2","1993-06-18","2026-05-02","Per=Y","Days=T","Dir=V")</f>
        <v>0</v>
      </c>
      <c r="E2">
        <f>BDH("VECO US Equity","SHORT_AND_LONG_TERM_DEBT","1993-06-18","2026-05-02","Per=Y","Days=T","Dir=V")</f>
        <v>0</v>
      </c>
      <c r="G2">
        <f>BDH("VECO US Equity","BS_ST_BORROW","1993-06-18","2026-05-02","Per=Y","Days=T","Dir=V")</f>
        <v>0</v>
      </c>
      <c r="I2">
        <f>BDH("VECO US Equity","BS_LT_BORROW","1993-06-18","2026-05-02","Per=Y","Days=T","Dir=V")</f>
        <v>0</v>
      </c>
      <c r="K2">
        <f>BDH("VECO US Equity","BS_CASH_NEAR_CASH_ITEM","1993-06-18","2026-05-02","Per=Y","Days=T","Dir=V")</f>
        <v>0</v>
      </c>
      <c r="M2">
        <f>BDH("VECO US Equity","BS_CUR_ASSET_REPORT","1993-06-18","2026-05-02","Per=Y","Days=T","Dir=V")</f>
        <v>0</v>
      </c>
      <c r="O2">
        <f>BDH("VECO US Equity","BS_CUR_LIAB","1993-06-18","2026-05-02","Per=Y","Days=T","Dir=V")</f>
        <v>0</v>
      </c>
      <c r="Q2">
        <f>BDH("VECO US Equity","BS_SHAREHOLDER_EQY_ENDING_PERIOD","1993-06-18","2026-05-02","Per=Y","Days=T","Dir=V")</f>
        <v>0</v>
      </c>
      <c r="S2">
        <f>BDH("VECO US Equity","BS_ACCT_NOTE_RCV","1993-06-18","2026-05-02","Per=Y","Days=T","Dir=V")</f>
        <v>0</v>
      </c>
      <c r="U2">
        <f>BDH("VECO US Equity","BS_INVENTORIES","1993-06-18","2026-05-02","Per=Y","Days=T","Dir=V")</f>
        <v>0</v>
      </c>
      <c r="W2">
        <f>BDH("VECO US Equity","WORKING_CAPITAL","1993-06-18","2026-05-02","Per=Y","Days=T","Dir=V")</f>
        <v>0</v>
      </c>
      <c r="Y2">
        <f>BDH("VECO US Equity","SALES_REV_TURN","1993-06-18","2026-05-02","Per=Y","Days=T","Dir=V")</f>
        <v>0</v>
      </c>
      <c r="AA2">
        <f>BDH("VECO US Equity","EBIT","1993-06-18","2026-05-02","Per=Y","Days=T","Dir=V")</f>
        <v>0</v>
      </c>
      <c r="AC2">
        <f>BDH("VECO US Equity","EBITDA","1993-06-18","2026-05-02","Per=Y","Days=T","Dir=V")</f>
        <v>0</v>
      </c>
      <c r="AE2">
        <f>BDH("VECO US Equity","NET_INCOME","1993-06-18","2026-05-02","Per=Y","Days=T","Dir=V")</f>
        <v>0</v>
      </c>
      <c r="AG2">
        <f>BDH("VECO US Equity","IS_INT_EXPENSE","1993-06-18","2026-05-02","Per=Y","Days=T","Dir=V")</f>
        <v>0</v>
      </c>
      <c r="AI2">
        <f>BDH("VECO US Equity","IS_DEPR_EXP","1993-06-18","2026-05-02","Per=Y","Days=T","Dir=V")</f>
        <v>0</v>
      </c>
      <c r="AK2">
        <f>BDH("VECO US Equity","CF_CASH_FROM_OPER","1993-06-18","2026-05-02","Per=Y","Days=T","Dir=V")</f>
        <v>0</v>
      </c>
      <c r="AM2">
        <f>BDH("VECO US Equity","CAPITAL_EXPEND","1993-06-18","2026-05-02","Per=Y","Days=T","Dir=V")</f>
        <v>0</v>
      </c>
      <c r="AO2">
        <f>BDH("VECO US Equity","CF_FREE_CASH_FLOW","1993-06-18","2026-05-02","Per=Y","Days=T","Dir=V")</f>
        <v>0</v>
      </c>
      <c r="AQ2">
        <f>BDH("VECO US Equity","PX_LAST","1993-06-18","2026-05-02","Per=M","Days=T","Dir=V")</f>
        <v>0</v>
      </c>
      <c r="AS2">
        <f>BDH("VECO US Equity","CUR_MKT_CAP","1993-06-18","2026-05-02","Per=M","Days=T","Dir=V")</f>
        <v>0</v>
      </c>
      <c r="AU2">
        <f>BDH("VECO US Equity","EQY_SH_OUT","1993-06-18","2026-05-02","Per=M","Days=T","Dir=V")</f>
        <v>0</v>
      </c>
      <c r="AW2">
        <f>BDH("VECO US Equity","PX_VOLUME","1993-06-18","2026-05-02","Per=M","Days=T","Dir=V")</f>
        <v>0</v>
      </c>
      <c r="AY2">
        <f>BDH("VECO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BDH("VEEA US Equity","BS_TOT_ASSET","1993-06-18","2026-05-02","Per=Y","Days=T","Dir=V")</f>
        <v>0</v>
      </c>
      <c r="C2">
        <f>BDH("VEEA US Equity","BS_TOT_LIAB2","1993-06-18","2026-05-02","Per=Y","Days=T","Dir=V")</f>
        <v>0</v>
      </c>
      <c r="E2">
        <f>BDH("VEEA US Equity","SHORT_AND_LONG_TERM_DEBT","1993-06-18","2026-05-02","Per=Y","Days=T","Dir=V")</f>
        <v>0</v>
      </c>
      <c r="G2">
        <f>BDH("VEEA US Equity","BS_ST_BORROW","1993-06-18","2026-05-02","Per=Y","Days=T","Dir=V")</f>
        <v>0</v>
      </c>
      <c r="I2">
        <f>BDH("VEEA US Equity","BS_LT_BORROW","1993-06-18","2026-05-02","Per=Y","Days=T","Dir=V")</f>
        <v>0</v>
      </c>
      <c r="K2">
        <f>BDH("VEEA US Equity","BS_CASH_NEAR_CASH_ITEM","1993-06-18","2026-05-02","Per=Y","Days=T","Dir=V")</f>
        <v>0</v>
      </c>
      <c r="M2">
        <f>BDH("VEEA US Equity","BS_CUR_ASSET_REPORT","1993-06-18","2026-05-02","Per=Y","Days=T","Dir=V")</f>
        <v>0</v>
      </c>
      <c r="O2">
        <f>BDH("VEEA US Equity","BS_CUR_LIAB","1993-06-18","2026-05-02","Per=Y","Days=T","Dir=V")</f>
        <v>0</v>
      </c>
      <c r="Q2">
        <f>BDH("VEEA US Equity","BS_SHAREHOLDER_EQY_ENDING_PERIOD","1993-06-18","2026-05-02","Per=Y","Days=T","Dir=V")</f>
        <v>0</v>
      </c>
      <c r="S2">
        <f>BDH("VEEA US Equity","BS_ACCT_NOTE_RCV","1993-06-18","2026-05-02","Per=Y","Days=T","Dir=V")</f>
        <v>0</v>
      </c>
      <c r="U2">
        <f>BDH("VEEA US Equity","BS_INVENTORIES","1993-06-18","2026-05-02","Per=Y","Days=T","Dir=V")</f>
        <v>0</v>
      </c>
      <c r="W2">
        <f>BDH("VEEA US Equity","WORKING_CAPITAL","1993-06-18","2026-05-02","Per=Y","Days=T","Dir=V")</f>
        <v>0</v>
      </c>
      <c r="Y2">
        <f>BDH("VEEA US Equity","SALES_REV_TURN","1993-06-18","2026-05-02","Per=Y","Days=T","Dir=V")</f>
        <v>0</v>
      </c>
      <c r="AA2">
        <f>BDH("VEEA US Equity","EBIT","1993-06-18","2026-05-02","Per=Y","Days=T","Dir=V")</f>
        <v>0</v>
      </c>
      <c r="AC2">
        <f>BDH("VEEA US Equity","EBITDA","1993-06-18","2026-05-02","Per=Y","Days=T","Dir=V")</f>
        <v>0</v>
      </c>
      <c r="AE2">
        <f>BDH("VEEA US Equity","NET_INCOME","1993-06-18","2026-05-02","Per=Y","Days=T","Dir=V")</f>
        <v>0</v>
      </c>
      <c r="AG2">
        <f>BDH("VEEA US Equity","IS_INT_EXPENSE","1993-06-18","2026-05-02","Per=Y","Days=T","Dir=V")</f>
        <v>0</v>
      </c>
      <c r="AI2">
        <f>BDH("VEEA US Equity","IS_DEPR_EXP","1993-06-18","2026-05-02","Per=Y","Days=T","Dir=V")</f>
        <v>0</v>
      </c>
      <c r="AK2">
        <f>BDH("VEEA US Equity","CF_CASH_FROM_OPER","1993-06-18","2026-05-02","Per=Y","Days=T","Dir=V")</f>
        <v>0</v>
      </c>
      <c r="AM2">
        <f>BDH("VEEA US Equity","CAPITAL_EXPEND","1993-06-18","2026-05-02","Per=Y","Days=T","Dir=V")</f>
        <v>0</v>
      </c>
      <c r="AO2">
        <f>BDH("VEEA US Equity","CF_FREE_CASH_FLOW","1993-06-18","2026-05-02","Per=Y","Days=T","Dir=V")</f>
        <v>0</v>
      </c>
      <c r="AQ2">
        <f>BDH("VEEA US Equity","PX_LAST","1993-06-18","2026-05-02","Per=M","Days=T","Dir=V")</f>
        <v>0</v>
      </c>
      <c r="AS2">
        <f>BDH("VEEA US Equity","CUR_MKT_CAP","1993-06-18","2026-05-02","Per=M","Days=T","Dir=V")</f>
        <v>0</v>
      </c>
      <c r="AU2">
        <f>BDH("VEEA US Equity","EQY_SH_OUT","1993-06-18","2026-05-02","Per=M","Days=T","Dir=V")</f>
        <v>0</v>
      </c>
      <c r="AW2">
        <f>BDH("VEEA US Equity","PX_VOLUME","1993-06-18","2026-05-02","Per=M","Days=T","Dir=V")</f>
        <v>0</v>
      </c>
      <c r="AY2">
        <f>BDH("VEEA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BDH("VEEAW US Equity","BS_TOT_ASSET","1993-06-18","2026-05-02","Per=Y","Days=T","Dir=V")</f>
        <v>0</v>
      </c>
      <c r="C2">
        <f>BDH("VEEAW US Equity","BS_TOT_LIAB2","1993-06-18","2026-05-02","Per=Y","Days=T","Dir=V")</f>
        <v>0</v>
      </c>
      <c r="E2">
        <f>BDH("VEEAW US Equity","SHORT_AND_LONG_TERM_DEBT","1993-06-18","2026-05-02","Per=Y","Days=T","Dir=V")</f>
        <v>0</v>
      </c>
      <c r="G2">
        <f>BDH("VEEAW US Equity","BS_ST_BORROW","1993-06-18","2026-05-02","Per=Y","Days=T","Dir=V")</f>
        <v>0</v>
      </c>
      <c r="I2">
        <f>BDH("VEEAW US Equity","BS_LT_BORROW","1993-06-18","2026-05-02","Per=Y","Days=T","Dir=V")</f>
        <v>0</v>
      </c>
      <c r="K2">
        <f>BDH("VEEAW US Equity","BS_CASH_NEAR_CASH_ITEM","1993-06-18","2026-05-02","Per=Y","Days=T","Dir=V")</f>
        <v>0</v>
      </c>
      <c r="M2">
        <f>BDH("VEEAW US Equity","BS_CUR_ASSET_REPORT","1993-06-18","2026-05-02","Per=Y","Days=T","Dir=V")</f>
        <v>0</v>
      </c>
      <c r="O2">
        <f>BDH("VEEAW US Equity","BS_CUR_LIAB","1993-06-18","2026-05-02","Per=Y","Days=T","Dir=V")</f>
        <v>0</v>
      </c>
      <c r="Q2">
        <f>BDH("VEEAW US Equity","BS_SHAREHOLDER_EQY_ENDING_PERIOD","1993-06-18","2026-05-02","Per=Y","Days=T","Dir=V")</f>
        <v>0</v>
      </c>
      <c r="S2">
        <f>BDH("VEEAW US Equity","BS_ACCT_NOTE_RCV","1993-06-18","2026-05-02","Per=Y","Days=T","Dir=V")</f>
        <v>0</v>
      </c>
      <c r="U2">
        <f>BDH("VEEAW US Equity","BS_INVENTORIES","1993-06-18","2026-05-02","Per=Y","Days=T","Dir=V")</f>
        <v>0</v>
      </c>
      <c r="W2">
        <f>BDH("VEEAW US Equity","WORKING_CAPITAL","1993-06-18","2026-05-02","Per=Y","Days=T","Dir=V")</f>
        <v>0</v>
      </c>
      <c r="Y2">
        <f>BDH("VEEAW US Equity","SALES_REV_TURN","1993-06-18","2026-05-02","Per=Y","Days=T","Dir=V")</f>
        <v>0</v>
      </c>
      <c r="AA2">
        <f>BDH("VEEAW US Equity","EBIT","1993-06-18","2026-05-02","Per=Y","Days=T","Dir=V")</f>
        <v>0</v>
      </c>
      <c r="AC2">
        <f>BDH("VEEAW US Equity","EBITDA","1993-06-18","2026-05-02","Per=Y","Days=T","Dir=V")</f>
        <v>0</v>
      </c>
      <c r="AE2">
        <f>BDH("VEEAW US Equity","NET_INCOME","1993-06-18","2026-05-02","Per=Y","Days=T","Dir=V")</f>
        <v>0</v>
      </c>
      <c r="AG2">
        <f>BDH("VEEAW US Equity","IS_INT_EXPENSE","1993-06-18","2026-05-02","Per=Y","Days=T","Dir=V")</f>
        <v>0</v>
      </c>
      <c r="AI2">
        <f>BDH("VEEAW US Equity","IS_DEPR_EXP","1993-06-18","2026-05-02","Per=Y","Days=T","Dir=V")</f>
        <v>0</v>
      </c>
      <c r="AK2">
        <f>BDH("VEEAW US Equity","CF_CASH_FROM_OPER","1993-06-18","2026-05-02","Per=Y","Days=T","Dir=V")</f>
        <v>0</v>
      </c>
      <c r="AM2">
        <f>BDH("VEEAW US Equity","CAPITAL_EXPEND","1993-06-18","2026-05-02","Per=Y","Days=T","Dir=V")</f>
        <v>0</v>
      </c>
      <c r="AO2">
        <f>BDH("VEEAW US Equity","CF_FREE_CASH_FLOW","1993-06-18","2026-05-02","Per=Y","Days=T","Dir=V")</f>
        <v>0</v>
      </c>
      <c r="AQ2">
        <f>BDH("VEEAW US Equity","PX_LAST","1993-06-18","2026-05-02","Per=M","Days=T","Dir=V")</f>
        <v>0</v>
      </c>
      <c r="AS2">
        <f>BDH("VEEAW US Equity","CUR_MKT_CAP","1993-06-18","2026-05-02","Per=M","Days=T","Dir=V")</f>
        <v>0</v>
      </c>
      <c r="AU2">
        <f>BDH("VEEAW US Equity","EQY_SH_OUT","1993-06-18","2026-05-02","Per=M","Days=T","Dir=V")</f>
        <v>0</v>
      </c>
      <c r="AW2">
        <f>BDH("VEEAW US Equity","PX_VOLUME","1993-06-18","2026-05-02","Per=M","Days=T","Dir=V")</f>
        <v>0</v>
      </c>
      <c r="AY2">
        <f>BDH("VEEAW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BDH("VEEE US Equity","BS_TOT_ASSET","1993-06-18","2026-05-02","Per=Y","Days=T","Dir=V")</f>
        <v>0</v>
      </c>
      <c r="C2">
        <f>BDH("VEEE US Equity","BS_TOT_LIAB2","1993-06-18","2026-05-02","Per=Y","Days=T","Dir=V")</f>
        <v>0</v>
      </c>
      <c r="E2">
        <f>BDH("VEEE US Equity","SHORT_AND_LONG_TERM_DEBT","1993-06-18","2026-05-02","Per=Y","Days=T","Dir=V")</f>
        <v>0</v>
      </c>
      <c r="G2">
        <f>BDH("VEEE US Equity","BS_ST_BORROW","1993-06-18","2026-05-02","Per=Y","Days=T","Dir=V")</f>
        <v>0</v>
      </c>
      <c r="I2">
        <f>BDH("VEEE US Equity","BS_LT_BORROW","1993-06-18","2026-05-02","Per=Y","Days=T","Dir=V")</f>
        <v>0</v>
      </c>
      <c r="K2">
        <f>BDH("VEEE US Equity","BS_CASH_NEAR_CASH_ITEM","1993-06-18","2026-05-02","Per=Y","Days=T","Dir=V")</f>
        <v>0</v>
      </c>
      <c r="M2">
        <f>BDH("VEEE US Equity","BS_CUR_ASSET_REPORT","1993-06-18","2026-05-02","Per=Y","Days=T","Dir=V")</f>
        <v>0</v>
      </c>
      <c r="O2">
        <f>BDH("VEEE US Equity","BS_CUR_LIAB","1993-06-18","2026-05-02","Per=Y","Days=T","Dir=V")</f>
        <v>0</v>
      </c>
      <c r="Q2">
        <f>BDH("VEEE US Equity","BS_SHAREHOLDER_EQY_ENDING_PERIOD","1993-06-18","2026-05-02","Per=Y","Days=T","Dir=V")</f>
        <v>0</v>
      </c>
      <c r="S2">
        <f>BDH("VEEE US Equity","BS_ACCT_NOTE_RCV","1993-06-18","2026-05-02","Per=Y","Days=T","Dir=V")</f>
        <v>0</v>
      </c>
      <c r="U2">
        <f>BDH("VEEE US Equity","BS_INVENTORIES","1993-06-18","2026-05-02","Per=Y","Days=T","Dir=V")</f>
        <v>0</v>
      </c>
      <c r="W2">
        <f>BDH("VEEE US Equity","WORKING_CAPITAL","1993-06-18","2026-05-02","Per=Y","Days=T","Dir=V")</f>
        <v>0</v>
      </c>
      <c r="Y2">
        <f>BDH("VEEE US Equity","SALES_REV_TURN","1993-06-18","2026-05-02","Per=Y","Days=T","Dir=V")</f>
        <v>0</v>
      </c>
      <c r="AA2">
        <f>BDH("VEEE US Equity","EBIT","1993-06-18","2026-05-02","Per=Y","Days=T","Dir=V")</f>
        <v>0</v>
      </c>
      <c r="AC2">
        <f>BDH("VEEE US Equity","EBITDA","1993-06-18","2026-05-02","Per=Y","Days=T","Dir=V")</f>
        <v>0</v>
      </c>
      <c r="AE2">
        <f>BDH("VEEE US Equity","NET_INCOME","1993-06-18","2026-05-02","Per=Y","Days=T","Dir=V")</f>
        <v>0</v>
      </c>
      <c r="AG2">
        <f>BDH("VEEE US Equity","IS_INT_EXPENSE","1993-06-18","2026-05-02","Per=Y","Days=T","Dir=V")</f>
        <v>0</v>
      </c>
      <c r="AI2">
        <f>BDH("VEEE US Equity","IS_DEPR_EXP","1993-06-18","2026-05-02","Per=Y","Days=T","Dir=V")</f>
        <v>0</v>
      </c>
      <c r="AK2">
        <f>BDH("VEEE US Equity","CF_CASH_FROM_OPER","1993-06-18","2026-05-02","Per=Y","Days=T","Dir=V")</f>
        <v>0</v>
      </c>
      <c r="AM2">
        <f>BDH("VEEE US Equity","CAPITAL_EXPEND","1993-06-18","2026-05-02","Per=Y","Days=T","Dir=V")</f>
        <v>0</v>
      </c>
      <c r="AO2">
        <f>BDH("VEEE US Equity","CF_FREE_CASH_FLOW","1993-06-18","2026-05-02","Per=Y","Days=T","Dir=V")</f>
        <v>0</v>
      </c>
      <c r="AQ2">
        <f>BDH("VEEE US Equity","PX_LAST","1993-06-18","2026-05-02","Per=M","Days=T","Dir=V")</f>
        <v>0</v>
      </c>
      <c r="AS2">
        <f>BDH("VEEE US Equity","CUR_MKT_CAP","1993-06-18","2026-05-02","Per=M","Days=T","Dir=V")</f>
        <v>0</v>
      </c>
      <c r="AU2">
        <f>BDH("VEEE US Equity","EQY_SH_OUT","1993-06-18","2026-05-02","Per=M","Days=T","Dir=V")</f>
        <v>0</v>
      </c>
      <c r="AW2">
        <f>BDH("VEEE US Equity","PX_VOLUME","1993-06-18","2026-05-02","Per=M","Days=T","Dir=V")</f>
        <v>0</v>
      </c>
      <c r="AY2">
        <f>BDH("VEEE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BDH("VEEV US Equity","BS_TOT_ASSET","1993-06-18","2026-05-02","Per=Y","Days=T","Dir=V")</f>
        <v>0</v>
      </c>
      <c r="C2">
        <f>BDH("VEEV US Equity","BS_TOT_LIAB2","1993-06-18","2026-05-02","Per=Y","Days=T","Dir=V")</f>
        <v>0</v>
      </c>
      <c r="E2">
        <f>BDH("VEEV US Equity","SHORT_AND_LONG_TERM_DEBT","1993-06-18","2026-05-02","Per=Y","Days=T","Dir=V")</f>
        <v>0</v>
      </c>
      <c r="G2">
        <f>BDH("VEEV US Equity","BS_ST_BORROW","1993-06-18","2026-05-02","Per=Y","Days=T","Dir=V")</f>
        <v>0</v>
      </c>
      <c r="I2">
        <f>BDH("VEEV US Equity","BS_LT_BORROW","1993-06-18","2026-05-02","Per=Y","Days=T","Dir=V")</f>
        <v>0</v>
      </c>
      <c r="K2">
        <f>BDH("VEEV US Equity","BS_CASH_NEAR_CASH_ITEM","1993-06-18","2026-05-02","Per=Y","Days=T","Dir=V")</f>
        <v>0</v>
      </c>
      <c r="M2">
        <f>BDH("VEEV US Equity","BS_CUR_ASSET_REPORT","1993-06-18","2026-05-02","Per=Y","Days=T","Dir=V")</f>
        <v>0</v>
      </c>
      <c r="O2">
        <f>BDH("VEEV US Equity","BS_CUR_LIAB","1993-06-18","2026-05-02","Per=Y","Days=T","Dir=V")</f>
        <v>0</v>
      </c>
      <c r="Q2">
        <f>BDH("VEEV US Equity","BS_SHAREHOLDER_EQY_ENDING_PERIOD","1993-06-18","2026-05-02","Per=Y","Days=T","Dir=V")</f>
        <v>0</v>
      </c>
      <c r="S2">
        <f>BDH("VEEV US Equity","BS_ACCT_NOTE_RCV","1993-06-18","2026-05-02","Per=Y","Days=T","Dir=V")</f>
        <v>0</v>
      </c>
      <c r="U2">
        <f>BDH("VEEV US Equity","BS_INVENTORIES","1993-06-18","2026-05-02","Per=Y","Days=T","Dir=V")</f>
        <v>0</v>
      </c>
      <c r="W2">
        <f>BDH("VEEV US Equity","WORKING_CAPITAL","1993-06-18","2026-05-02","Per=Y","Days=T","Dir=V")</f>
        <v>0</v>
      </c>
      <c r="Y2">
        <f>BDH("VEEV US Equity","SALES_REV_TURN","1993-06-18","2026-05-02","Per=Y","Days=T","Dir=V")</f>
        <v>0</v>
      </c>
      <c r="AA2">
        <f>BDH("VEEV US Equity","EBIT","1993-06-18","2026-05-02","Per=Y","Days=T","Dir=V")</f>
        <v>0</v>
      </c>
      <c r="AC2">
        <f>BDH("VEEV US Equity","EBITDA","1993-06-18","2026-05-02","Per=Y","Days=T","Dir=V")</f>
        <v>0</v>
      </c>
      <c r="AE2">
        <f>BDH("VEEV US Equity","NET_INCOME","1993-06-18","2026-05-02","Per=Y","Days=T","Dir=V")</f>
        <v>0</v>
      </c>
      <c r="AG2">
        <f>BDH("VEEV US Equity","IS_INT_EXPENSE","1993-06-18","2026-05-02","Per=Y","Days=T","Dir=V")</f>
        <v>0</v>
      </c>
      <c r="AI2">
        <f>BDH("VEEV US Equity","IS_DEPR_EXP","1993-06-18","2026-05-02","Per=Y","Days=T","Dir=V")</f>
        <v>0</v>
      </c>
      <c r="AK2">
        <f>BDH("VEEV US Equity","CF_CASH_FROM_OPER","1993-06-18","2026-05-02","Per=Y","Days=T","Dir=V")</f>
        <v>0</v>
      </c>
      <c r="AM2">
        <f>BDH("VEEV US Equity","CAPITAL_EXPEND","1993-06-18","2026-05-02","Per=Y","Days=T","Dir=V")</f>
        <v>0</v>
      </c>
      <c r="AO2">
        <f>BDH("VEEV US Equity","CF_FREE_CASH_FLOW","1993-06-18","2026-05-02","Per=Y","Days=T","Dir=V")</f>
        <v>0</v>
      </c>
      <c r="AQ2">
        <f>BDH("VEEV US Equity","PX_LAST","1993-06-18","2026-05-02","Per=M","Days=T","Dir=V")</f>
        <v>0</v>
      </c>
      <c r="AS2">
        <f>BDH("VEEV US Equity","CUR_MKT_CAP","1993-06-18","2026-05-02","Per=M","Days=T","Dir=V")</f>
        <v>0</v>
      </c>
      <c r="AU2">
        <f>BDH("VEEV US Equity","EQY_SH_OUT","1993-06-18","2026-05-02","Per=M","Days=T","Dir=V")</f>
        <v>0</v>
      </c>
      <c r="AW2">
        <f>BDH("VEEV US Equity","PX_VOLUME","1993-06-18","2026-05-02","Per=M","Days=T","Dir=V")</f>
        <v>0</v>
      </c>
      <c r="AY2">
        <f>BDH("VEEV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BDH("VELO US Equity","BS_TOT_ASSET","1993-06-18","2026-05-02","Per=Y","Days=T","Dir=V")</f>
        <v>0</v>
      </c>
      <c r="C2">
        <f>BDH("VELO US Equity","BS_TOT_LIAB2","1993-06-18","2026-05-02","Per=Y","Days=T","Dir=V")</f>
        <v>0</v>
      </c>
      <c r="E2">
        <f>BDH("VELO US Equity","SHORT_AND_LONG_TERM_DEBT","1993-06-18","2026-05-02","Per=Y","Days=T","Dir=V")</f>
        <v>0</v>
      </c>
      <c r="G2">
        <f>BDH("VELO US Equity","BS_ST_BORROW","1993-06-18","2026-05-02","Per=Y","Days=T","Dir=V")</f>
        <v>0</v>
      </c>
      <c r="I2">
        <f>BDH("VELO US Equity","BS_LT_BORROW","1993-06-18","2026-05-02","Per=Y","Days=T","Dir=V")</f>
        <v>0</v>
      </c>
      <c r="K2">
        <f>BDH("VELO US Equity","BS_CASH_NEAR_CASH_ITEM","1993-06-18","2026-05-02","Per=Y","Days=T","Dir=V")</f>
        <v>0</v>
      </c>
      <c r="M2">
        <f>BDH("VELO US Equity","BS_CUR_ASSET_REPORT","1993-06-18","2026-05-02","Per=Y","Days=T","Dir=V")</f>
        <v>0</v>
      </c>
      <c r="O2">
        <f>BDH("VELO US Equity","BS_CUR_LIAB","1993-06-18","2026-05-02","Per=Y","Days=T","Dir=V")</f>
        <v>0</v>
      </c>
      <c r="Q2">
        <f>BDH("VELO US Equity","BS_SHAREHOLDER_EQY_ENDING_PERIOD","1993-06-18","2026-05-02","Per=Y","Days=T","Dir=V")</f>
        <v>0</v>
      </c>
      <c r="S2">
        <f>BDH("VELO US Equity","BS_ACCT_NOTE_RCV","1993-06-18","2026-05-02","Per=Y","Days=T","Dir=V")</f>
        <v>0</v>
      </c>
      <c r="U2">
        <f>BDH("VELO US Equity","BS_INVENTORIES","1993-06-18","2026-05-02","Per=Y","Days=T","Dir=V")</f>
        <v>0</v>
      </c>
      <c r="W2">
        <f>BDH("VELO US Equity","WORKING_CAPITAL","1993-06-18","2026-05-02","Per=Y","Days=T","Dir=V")</f>
        <v>0</v>
      </c>
      <c r="Y2">
        <f>BDH("VELO US Equity","SALES_REV_TURN","1993-06-18","2026-05-02","Per=Y","Days=T","Dir=V")</f>
        <v>0</v>
      </c>
      <c r="AA2">
        <f>BDH("VELO US Equity","EBIT","1993-06-18","2026-05-02","Per=Y","Days=T","Dir=V")</f>
        <v>0</v>
      </c>
      <c r="AC2">
        <f>BDH("VELO US Equity","EBITDA","1993-06-18","2026-05-02","Per=Y","Days=T","Dir=V")</f>
        <v>0</v>
      </c>
      <c r="AE2">
        <f>BDH("VELO US Equity","NET_INCOME","1993-06-18","2026-05-02","Per=Y","Days=T","Dir=V")</f>
        <v>0</v>
      </c>
      <c r="AG2">
        <f>BDH("VELO US Equity","IS_INT_EXPENSE","1993-06-18","2026-05-02","Per=Y","Days=T","Dir=V")</f>
        <v>0</v>
      </c>
      <c r="AI2">
        <f>BDH("VELO US Equity","IS_DEPR_EXP","1993-06-18","2026-05-02","Per=Y","Days=T","Dir=V")</f>
        <v>0</v>
      </c>
      <c r="AK2">
        <f>BDH("VELO US Equity","CF_CASH_FROM_OPER","1993-06-18","2026-05-02","Per=Y","Days=T","Dir=V")</f>
        <v>0</v>
      </c>
      <c r="AM2">
        <f>BDH("VELO US Equity","CAPITAL_EXPEND","1993-06-18","2026-05-02","Per=Y","Days=T","Dir=V")</f>
        <v>0</v>
      </c>
      <c r="AO2">
        <f>BDH("VELO US Equity","CF_FREE_CASH_FLOW","1993-06-18","2026-05-02","Per=Y","Days=T","Dir=V")</f>
        <v>0</v>
      </c>
      <c r="AQ2">
        <f>BDH("VELO US Equity","PX_LAST","1993-06-18","2026-05-02","Per=M","Days=T","Dir=V")</f>
        <v>0</v>
      </c>
      <c r="AS2">
        <f>BDH("VELO US Equity","CUR_MKT_CAP","1993-06-18","2026-05-02","Per=M","Days=T","Dir=V")</f>
        <v>0</v>
      </c>
      <c r="AU2">
        <f>BDH("VELO US Equity","EQY_SH_OUT","1993-06-18","2026-05-02","Per=M","Days=T","Dir=V")</f>
        <v>0</v>
      </c>
      <c r="AW2">
        <f>BDH("VELO US Equity","PX_VOLUME","1993-06-18","2026-05-02","Per=M","Days=T","Dir=V")</f>
        <v>0</v>
      </c>
      <c r="AY2">
        <f>BDH("VELO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BDH("VENU US Equity","BS_TOT_ASSET","1993-06-18","2026-05-02","Per=Y","Days=T","Dir=V")</f>
        <v>0</v>
      </c>
      <c r="C2">
        <f>BDH("VENU US Equity","BS_TOT_LIAB2","1993-06-18","2026-05-02","Per=Y","Days=T","Dir=V")</f>
        <v>0</v>
      </c>
      <c r="E2">
        <f>BDH("VENU US Equity","SHORT_AND_LONG_TERM_DEBT","1993-06-18","2026-05-02","Per=Y","Days=T","Dir=V")</f>
        <v>0</v>
      </c>
      <c r="G2">
        <f>BDH("VENU US Equity","BS_ST_BORROW","1993-06-18","2026-05-02","Per=Y","Days=T","Dir=V")</f>
        <v>0</v>
      </c>
      <c r="I2">
        <f>BDH("VENU US Equity","BS_LT_BORROW","1993-06-18","2026-05-02","Per=Y","Days=T","Dir=V")</f>
        <v>0</v>
      </c>
      <c r="K2">
        <f>BDH("VENU US Equity","BS_CASH_NEAR_CASH_ITEM","1993-06-18","2026-05-02","Per=Y","Days=T","Dir=V")</f>
        <v>0</v>
      </c>
      <c r="M2">
        <f>BDH("VENU US Equity","BS_CUR_ASSET_REPORT","1993-06-18","2026-05-02","Per=Y","Days=T","Dir=V")</f>
        <v>0</v>
      </c>
      <c r="O2">
        <f>BDH("VENU US Equity","BS_CUR_LIAB","1993-06-18","2026-05-02","Per=Y","Days=T","Dir=V")</f>
        <v>0</v>
      </c>
      <c r="Q2">
        <f>BDH("VENU US Equity","BS_SHAREHOLDER_EQY_ENDING_PERIOD","1993-06-18","2026-05-02","Per=Y","Days=T","Dir=V")</f>
        <v>0</v>
      </c>
      <c r="S2">
        <f>BDH("VENU US Equity","BS_ACCT_NOTE_RCV","1993-06-18","2026-05-02","Per=Y","Days=T","Dir=V")</f>
        <v>0</v>
      </c>
      <c r="U2">
        <f>BDH("VENU US Equity","BS_INVENTORIES","1993-06-18","2026-05-02","Per=Y","Days=T","Dir=V")</f>
        <v>0</v>
      </c>
      <c r="W2">
        <f>BDH("VENU US Equity","WORKING_CAPITAL","1993-06-18","2026-05-02","Per=Y","Days=T","Dir=V")</f>
        <v>0</v>
      </c>
      <c r="Y2">
        <f>BDH("VENU US Equity","SALES_REV_TURN","1993-06-18","2026-05-02","Per=Y","Days=T","Dir=V")</f>
        <v>0</v>
      </c>
      <c r="AA2">
        <f>BDH("VENU US Equity","EBIT","1993-06-18","2026-05-02","Per=Y","Days=T","Dir=V")</f>
        <v>0</v>
      </c>
      <c r="AC2">
        <f>BDH("VENU US Equity","EBITDA","1993-06-18","2026-05-02","Per=Y","Days=T","Dir=V")</f>
        <v>0</v>
      </c>
      <c r="AE2">
        <f>BDH("VENU US Equity","NET_INCOME","1993-06-18","2026-05-02","Per=Y","Days=T","Dir=V")</f>
        <v>0</v>
      </c>
      <c r="AG2">
        <f>BDH("VENU US Equity","IS_INT_EXPENSE","1993-06-18","2026-05-02","Per=Y","Days=T","Dir=V")</f>
        <v>0</v>
      </c>
      <c r="AI2">
        <f>BDH("VENU US Equity","IS_DEPR_EXP","1993-06-18","2026-05-02","Per=Y","Days=T","Dir=V")</f>
        <v>0</v>
      </c>
      <c r="AK2">
        <f>BDH("VENU US Equity","CF_CASH_FROM_OPER","1993-06-18","2026-05-02","Per=Y","Days=T","Dir=V")</f>
        <v>0</v>
      </c>
      <c r="AM2">
        <f>BDH("VENU US Equity","CAPITAL_EXPEND","1993-06-18","2026-05-02","Per=Y","Days=T","Dir=V")</f>
        <v>0</v>
      </c>
      <c r="AO2">
        <f>BDH("VENU US Equity","CF_FREE_CASH_FLOW","1993-06-18","2026-05-02","Per=Y","Days=T","Dir=V")</f>
        <v>0</v>
      </c>
      <c r="AQ2">
        <f>BDH("VENU US Equity","PX_LAST","1993-06-18","2026-05-02","Per=M","Days=T","Dir=V")</f>
        <v>0</v>
      </c>
      <c r="AS2">
        <f>BDH("VENU US Equity","CUR_MKT_CAP","1993-06-18","2026-05-02","Per=M","Days=T","Dir=V")</f>
        <v>0</v>
      </c>
      <c r="AU2">
        <f>BDH("VENU US Equity","EQY_SH_OUT","1993-06-18","2026-05-02","Per=M","Days=T","Dir=V")</f>
        <v>0</v>
      </c>
      <c r="AW2">
        <f>BDH("VENU US Equity","PX_VOLUME","1993-06-18","2026-05-02","Per=M","Days=T","Dir=V")</f>
        <v>0</v>
      </c>
      <c r="AY2">
        <f>BDH("VENU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BDH("VERA US Equity","BS_TOT_ASSET","1993-06-18","2026-05-02","Per=Y","Days=T","Dir=V")</f>
        <v>0</v>
      </c>
      <c r="C2">
        <f>BDH("VERA US Equity","BS_TOT_LIAB2","1993-06-18","2026-05-02","Per=Y","Days=T","Dir=V")</f>
        <v>0</v>
      </c>
      <c r="E2">
        <f>BDH("VERA US Equity","SHORT_AND_LONG_TERM_DEBT","1993-06-18","2026-05-02","Per=Y","Days=T","Dir=V")</f>
        <v>0</v>
      </c>
      <c r="G2">
        <f>BDH("VERA US Equity","BS_ST_BORROW","1993-06-18","2026-05-02","Per=Y","Days=T","Dir=V")</f>
        <v>0</v>
      </c>
      <c r="I2">
        <f>BDH("VERA US Equity","BS_LT_BORROW","1993-06-18","2026-05-02","Per=Y","Days=T","Dir=V")</f>
        <v>0</v>
      </c>
      <c r="K2">
        <f>BDH("VERA US Equity","BS_CASH_NEAR_CASH_ITEM","1993-06-18","2026-05-02","Per=Y","Days=T","Dir=V")</f>
        <v>0</v>
      </c>
      <c r="M2">
        <f>BDH("VERA US Equity","BS_CUR_ASSET_REPORT","1993-06-18","2026-05-02","Per=Y","Days=T","Dir=V")</f>
        <v>0</v>
      </c>
      <c r="O2">
        <f>BDH("VERA US Equity","BS_CUR_LIAB","1993-06-18","2026-05-02","Per=Y","Days=T","Dir=V")</f>
        <v>0</v>
      </c>
      <c r="Q2">
        <f>BDH("VERA US Equity","BS_SHAREHOLDER_EQY_ENDING_PERIOD","1993-06-18","2026-05-02","Per=Y","Days=T","Dir=V")</f>
        <v>0</v>
      </c>
      <c r="S2">
        <f>BDH("VERA US Equity","BS_ACCT_NOTE_RCV","1993-06-18","2026-05-02","Per=Y","Days=T","Dir=V")</f>
        <v>0</v>
      </c>
      <c r="U2">
        <f>BDH("VERA US Equity","BS_INVENTORIES","1993-06-18","2026-05-02","Per=Y","Days=T","Dir=V")</f>
        <v>0</v>
      </c>
      <c r="W2">
        <f>BDH("VERA US Equity","WORKING_CAPITAL","1993-06-18","2026-05-02","Per=Y","Days=T","Dir=V")</f>
        <v>0</v>
      </c>
      <c r="Y2">
        <f>BDH("VERA US Equity","SALES_REV_TURN","1993-06-18","2026-05-02","Per=Y","Days=T","Dir=V")</f>
        <v>0</v>
      </c>
      <c r="AA2">
        <f>BDH("VERA US Equity","EBIT","1993-06-18","2026-05-02","Per=Y","Days=T","Dir=V")</f>
        <v>0</v>
      </c>
      <c r="AC2">
        <f>BDH("VERA US Equity","EBITDA","1993-06-18","2026-05-02","Per=Y","Days=T","Dir=V")</f>
        <v>0</v>
      </c>
      <c r="AE2">
        <f>BDH("VERA US Equity","NET_INCOME","1993-06-18","2026-05-02","Per=Y","Days=T","Dir=V")</f>
        <v>0</v>
      </c>
      <c r="AG2">
        <f>BDH("VERA US Equity","IS_INT_EXPENSE","1993-06-18","2026-05-02","Per=Y","Days=T","Dir=V")</f>
        <v>0</v>
      </c>
      <c r="AI2">
        <f>BDH("VERA US Equity","IS_DEPR_EXP","1993-06-18","2026-05-02","Per=Y","Days=T","Dir=V")</f>
        <v>0</v>
      </c>
      <c r="AK2">
        <f>BDH("VERA US Equity","CF_CASH_FROM_OPER","1993-06-18","2026-05-02","Per=Y","Days=T","Dir=V")</f>
        <v>0</v>
      </c>
      <c r="AM2">
        <f>BDH("VERA US Equity","CAPITAL_EXPEND","1993-06-18","2026-05-02","Per=Y","Days=T","Dir=V")</f>
        <v>0</v>
      </c>
      <c r="AO2">
        <f>BDH("VERA US Equity","CF_FREE_CASH_FLOW","1993-06-18","2026-05-02","Per=Y","Days=T","Dir=V")</f>
        <v>0</v>
      </c>
      <c r="AQ2">
        <f>BDH("VERA US Equity","PX_LAST","1993-06-18","2026-05-02","Per=M","Days=T","Dir=V")</f>
        <v>0</v>
      </c>
      <c r="AS2">
        <f>BDH("VERA US Equity","CUR_MKT_CAP","1993-06-18","2026-05-02","Per=M","Days=T","Dir=V")</f>
        <v>0</v>
      </c>
      <c r="AU2">
        <f>BDH("VERA US Equity","EQY_SH_OUT","1993-06-18","2026-05-02","Per=M","Days=T","Dir=V")</f>
        <v>0</v>
      </c>
      <c r="AW2">
        <f>BDH("VERA US Equity","PX_VOLUME","1993-06-18","2026-05-02","Per=M","Days=T","Dir=V")</f>
        <v>0</v>
      </c>
      <c r="AY2">
        <f>BDH("VERA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BDH("VERI US Equity","BS_TOT_ASSET","1993-06-18","2026-05-02","Per=Y","Days=T","Dir=V")</f>
        <v>0</v>
      </c>
      <c r="C2">
        <f>BDH("VERI US Equity","BS_TOT_LIAB2","1993-06-18","2026-05-02","Per=Y","Days=T","Dir=V")</f>
        <v>0</v>
      </c>
      <c r="E2">
        <f>BDH("VERI US Equity","SHORT_AND_LONG_TERM_DEBT","1993-06-18","2026-05-02","Per=Y","Days=T","Dir=V")</f>
        <v>0</v>
      </c>
      <c r="G2">
        <f>BDH("VERI US Equity","BS_ST_BORROW","1993-06-18","2026-05-02","Per=Y","Days=T","Dir=V")</f>
        <v>0</v>
      </c>
      <c r="I2">
        <f>BDH("VERI US Equity","BS_LT_BORROW","1993-06-18","2026-05-02","Per=Y","Days=T","Dir=V")</f>
        <v>0</v>
      </c>
      <c r="K2">
        <f>BDH("VERI US Equity","BS_CASH_NEAR_CASH_ITEM","1993-06-18","2026-05-02","Per=Y","Days=T","Dir=V")</f>
        <v>0</v>
      </c>
      <c r="M2">
        <f>BDH("VERI US Equity","BS_CUR_ASSET_REPORT","1993-06-18","2026-05-02","Per=Y","Days=T","Dir=V")</f>
        <v>0</v>
      </c>
      <c r="O2">
        <f>BDH("VERI US Equity","BS_CUR_LIAB","1993-06-18","2026-05-02","Per=Y","Days=T","Dir=V")</f>
        <v>0</v>
      </c>
      <c r="Q2">
        <f>BDH("VERI US Equity","BS_SHAREHOLDER_EQY_ENDING_PERIOD","1993-06-18","2026-05-02","Per=Y","Days=T","Dir=V")</f>
        <v>0</v>
      </c>
      <c r="S2">
        <f>BDH("VERI US Equity","BS_ACCT_NOTE_RCV","1993-06-18","2026-05-02","Per=Y","Days=T","Dir=V")</f>
        <v>0</v>
      </c>
      <c r="U2">
        <f>BDH("VERI US Equity","BS_INVENTORIES","1993-06-18","2026-05-02","Per=Y","Days=T","Dir=V")</f>
        <v>0</v>
      </c>
      <c r="W2">
        <f>BDH("VERI US Equity","WORKING_CAPITAL","1993-06-18","2026-05-02","Per=Y","Days=T","Dir=V")</f>
        <v>0</v>
      </c>
      <c r="Y2">
        <f>BDH("VERI US Equity","SALES_REV_TURN","1993-06-18","2026-05-02","Per=Y","Days=T","Dir=V")</f>
        <v>0</v>
      </c>
      <c r="AA2">
        <f>BDH("VERI US Equity","EBIT","1993-06-18","2026-05-02","Per=Y","Days=T","Dir=V")</f>
        <v>0</v>
      </c>
      <c r="AC2">
        <f>BDH("VERI US Equity","EBITDA","1993-06-18","2026-05-02","Per=Y","Days=T","Dir=V")</f>
        <v>0</v>
      </c>
      <c r="AE2">
        <f>BDH("VERI US Equity","NET_INCOME","1993-06-18","2026-05-02","Per=Y","Days=T","Dir=V")</f>
        <v>0</v>
      </c>
      <c r="AG2">
        <f>BDH("VERI US Equity","IS_INT_EXPENSE","1993-06-18","2026-05-02","Per=Y","Days=T","Dir=V")</f>
        <v>0</v>
      </c>
      <c r="AI2">
        <f>BDH("VERI US Equity","IS_DEPR_EXP","1993-06-18","2026-05-02","Per=Y","Days=T","Dir=V")</f>
        <v>0</v>
      </c>
      <c r="AK2">
        <f>BDH("VERI US Equity","CF_CASH_FROM_OPER","1993-06-18","2026-05-02","Per=Y","Days=T","Dir=V")</f>
        <v>0</v>
      </c>
      <c r="AM2">
        <f>BDH("VERI US Equity","CAPITAL_EXPEND","1993-06-18","2026-05-02","Per=Y","Days=T","Dir=V")</f>
        <v>0</v>
      </c>
      <c r="AO2">
        <f>BDH("VERI US Equity","CF_FREE_CASH_FLOW","1993-06-18","2026-05-02","Per=Y","Days=T","Dir=V")</f>
        <v>0</v>
      </c>
      <c r="AQ2">
        <f>BDH("VERI US Equity","PX_LAST","1993-06-18","2026-05-02","Per=M","Days=T","Dir=V")</f>
        <v>0</v>
      </c>
      <c r="AS2">
        <f>BDH("VERI US Equity","CUR_MKT_CAP","1993-06-18","2026-05-02","Per=M","Days=T","Dir=V")</f>
        <v>0</v>
      </c>
      <c r="AU2">
        <f>BDH("VERI US Equity","EQY_SH_OUT","1993-06-18","2026-05-02","Per=M","Days=T","Dir=V")</f>
        <v>0</v>
      </c>
      <c r="AW2">
        <f>BDH("VERI US Equity","PX_VOLUME","1993-06-18","2026-05-02","Per=M","Days=T","Dir=V")</f>
        <v>0</v>
      </c>
      <c r="AY2">
        <f>BDH("VERI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BDH("VERU US Equity","BS_TOT_ASSET","1993-06-18","2026-05-02","Per=Y","Days=T","Dir=V")</f>
        <v>0</v>
      </c>
      <c r="C2">
        <f>BDH("VERU US Equity","BS_TOT_LIAB2","1993-06-18","2026-05-02","Per=Y","Days=T","Dir=V")</f>
        <v>0</v>
      </c>
      <c r="E2">
        <f>BDH("VERU US Equity","SHORT_AND_LONG_TERM_DEBT","1993-06-18","2026-05-02","Per=Y","Days=T","Dir=V")</f>
        <v>0</v>
      </c>
      <c r="G2">
        <f>BDH("VERU US Equity","BS_ST_BORROW","1993-06-18","2026-05-02","Per=Y","Days=T","Dir=V")</f>
        <v>0</v>
      </c>
      <c r="I2">
        <f>BDH("VERU US Equity","BS_LT_BORROW","1993-06-18","2026-05-02","Per=Y","Days=T","Dir=V")</f>
        <v>0</v>
      </c>
      <c r="K2">
        <f>BDH("VERU US Equity","BS_CASH_NEAR_CASH_ITEM","1993-06-18","2026-05-02","Per=Y","Days=T","Dir=V")</f>
        <v>0</v>
      </c>
      <c r="M2">
        <f>BDH("VERU US Equity","BS_CUR_ASSET_REPORT","1993-06-18","2026-05-02","Per=Y","Days=T","Dir=V")</f>
        <v>0</v>
      </c>
      <c r="O2">
        <f>BDH("VERU US Equity","BS_CUR_LIAB","1993-06-18","2026-05-02","Per=Y","Days=T","Dir=V")</f>
        <v>0</v>
      </c>
      <c r="Q2">
        <f>BDH("VERU US Equity","BS_SHAREHOLDER_EQY_ENDING_PERIOD","1993-06-18","2026-05-02","Per=Y","Days=T","Dir=V")</f>
        <v>0</v>
      </c>
      <c r="S2">
        <f>BDH("VERU US Equity","BS_ACCT_NOTE_RCV","1993-06-18","2026-05-02","Per=Y","Days=T","Dir=V")</f>
        <v>0</v>
      </c>
      <c r="U2">
        <f>BDH("VERU US Equity","BS_INVENTORIES","1993-06-18","2026-05-02","Per=Y","Days=T","Dir=V")</f>
        <v>0</v>
      </c>
      <c r="W2">
        <f>BDH("VERU US Equity","WORKING_CAPITAL","1993-06-18","2026-05-02","Per=Y","Days=T","Dir=V")</f>
        <v>0</v>
      </c>
      <c r="Y2">
        <f>BDH("VERU US Equity","SALES_REV_TURN","1993-06-18","2026-05-02","Per=Y","Days=T","Dir=V")</f>
        <v>0</v>
      </c>
      <c r="AA2">
        <f>BDH("VERU US Equity","EBIT","1993-06-18","2026-05-02","Per=Y","Days=T","Dir=V")</f>
        <v>0</v>
      </c>
      <c r="AC2">
        <f>BDH("VERU US Equity","EBITDA","1993-06-18","2026-05-02","Per=Y","Days=T","Dir=V")</f>
        <v>0</v>
      </c>
      <c r="AE2">
        <f>BDH("VERU US Equity","NET_INCOME","1993-06-18","2026-05-02","Per=Y","Days=T","Dir=V")</f>
        <v>0</v>
      </c>
      <c r="AG2">
        <f>BDH("VERU US Equity","IS_INT_EXPENSE","1993-06-18","2026-05-02","Per=Y","Days=T","Dir=V")</f>
        <v>0</v>
      </c>
      <c r="AI2">
        <f>BDH("VERU US Equity","IS_DEPR_EXP","1993-06-18","2026-05-02","Per=Y","Days=T","Dir=V")</f>
        <v>0</v>
      </c>
      <c r="AK2">
        <f>BDH("VERU US Equity","CF_CASH_FROM_OPER","1993-06-18","2026-05-02","Per=Y","Days=T","Dir=V")</f>
        <v>0</v>
      </c>
      <c r="AM2">
        <f>BDH("VERU US Equity","CAPITAL_EXPEND","1993-06-18","2026-05-02","Per=Y","Days=T","Dir=V")</f>
        <v>0</v>
      </c>
      <c r="AO2">
        <f>BDH("VERU US Equity","CF_FREE_CASH_FLOW","1993-06-18","2026-05-02","Per=Y","Days=T","Dir=V")</f>
        <v>0</v>
      </c>
      <c r="AQ2">
        <f>BDH("VERU US Equity","PX_LAST","1993-06-18","2026-05-02","Per=M","Days=T","Dir=V")</f>
        <v>0</v>
      </c>
      <c r="AS2">
        <f>BDH("VERU US Equity","CUR_MKT_CAP","1993-06-18","2026-05-02","Per=M","Days=T","Dir=V")</f>
        <v>0</v>
      </c>
      <c r="AU2">
        <f>BDH("VERU US Equity","EQY_SH_OUT","1993-06-18","2026-05-02","Per=M","Days=T","Dir=V")</f>
        <v>0</v>
      </c>
      <c r="AW2">
        <f>BDH("VERU US Equity","PX_VOLUME","1993-06-18","2026-05-02","Per=M","Days=T","Dir=V")</f>
        <v>0</v>
      </c>
      <c r="AY2">
        <f>BDH("VERU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BDH("VERX US Equity","BS_TOT_ASSET","1993-06-18","2026-05-02","Per=Y","Days=T","Dir=V")</f>
        <v>0</v>
      </c>
      <c r="C2">
        <f>BDH("VERX US Equity","BS_TOT_LIAB2","1993-06-18","2026-05-02","Per=Y","Days=T","Dir=V")</f>
        <v>0</v>
      </c>
      <c r="E2">
        <f>BDH("VERX US Equity","SHORT_AND_LONG_TERM_DEBT","1993-06-18","2026-05-02","Per=Y","Days=T","Dir=V")</f>
        <v>0</v>
      </c>
      <c r="G2">
        <f>BDH("VERX US Equity","BS_ST_BORROW","1993-06-18","2026-05-02","Per=Y","Days=T","Dir=V")</f>
        <v>0</v>
      </c>
      <c r="I2">
        <f>BDH("VERX US Equity","BS_LT_BORROW","1993-06-18","2026-05-02","Per=Y","Days=T","Dir=V")</f>
        <v>0</v>
      </c>
      <c r="K2">
        <f>BDH("VERX US Equity","BS_CASH_NEAR_CASH_ITEM","1993-06-18","2026-05-02","Per=Y","Days=T","Dir=V")</f>
        <v>0</v>
      </c>
      <c r="M2">
        <f>BDH("VERX US Equity","BS_CUR_ASSET_REPORT","1993-06-18","2026-05-02","Per=Y","Days=T","Dir=V")</f>
        <v>0</v>
      </c>
      <c r="O2">
        <f>BDH("VERX US Equity","BS_CUR_LIAB","1993-06-18","2026-05-02","Per=Y","Days=T","Dir=V")</f>
        <v>0</v>
      </c>
      <c r="Q2">
        <f>BDH("VERX US Equity","BS_SHAREHOLDER_EQY_ENDING_PERIOD","1993-06-18","2026-05-02","Per=Y","Days=T","Dir=V")</f>
        <v>0</v>
      </c>
      <c r="S2">
        <f>BDH("VERX US Equity","BS_ACCT_NOTE_RCV","1993-06-18","2026-05-02","Per=Y","Days=T","Dir=V")</f>
        <v>0</v>
      </c>
      <c r="U2">
        <f>BDH("VERX US Equity","BS_INVENTORIES","1993-06-18","2026-05-02","Per=Y","Days=T","Dir=V")</f>
        <v>0</v>
      </c>
      <c r="W2">
        <f>BDH("VERX US Equity","WORKING_CAPITAL","1993-06-18","2026-05-02","Per=Y","Days=T","Dir=V")</f>
        <v>0</v>
      </c>
      <c r="Y2">
        <f>BDH("VERX US Equity","SALES_REV_TURN","1993-06-18","2026-05-02","Per=Y","Days=T","Dir=V")</f>
        <v>0</v>
      </c>
      <c r="AA2">
        <f>BDH("VERX US Equity","EBIT","1993-06-18","2026-05-02","Per=Y","Days=T","Dir=V")</f>
        <v>0</v>
      </c>
      <c r="AC2">
        <f>BDH("VERX US Equity","EBITDA","1993-06-18","2026-05-02","Per=Y","Days=T","Dir=V")</f>
        <v>0</v>
      </c>
      <c r="AE2">
        <f>BDH("VERX US Equity","NET_INCOME","1993-06-18","2026-05-02","Per=Y","Days=T","Dir=V")</f>
        <v>0</v>
      </c>
      <c r="AG2">
        <f>BDH("VERX US Equity","IS_INT_EXPENSE","1993-06-18","2026-05-02","Per=Y","Days=T","Dir=V")</f>
        <v>0</v>
      </c>
      <c r="AI2">
        <f>BDH("VERX US Equity","IS_DEPR_EXP","1993-06-18","2026-05-02","Per=Y","Days=T","Dir=V")</f>
        <v>0</v>
      </c>
      <c r="AK2">
        <f>BDH("VERX US Equity","CF_CASH_FROM_OPER","1993-06-18","2026-05-02","Per=Y","Days=T","Dir=V")</f>
        <v>0</v>
      </c>
      <c r="AM2">
        <f>BDH("VERX US Equity","CAPITAL_EXPEND","1993-06-18","2026-05-02","Per=Y","Days=T","Dir=V")</f>
        <v>0</v>
      </c>
      <c r="AO2">
        <f>BDH("VERX US Equity","CF_FREE_CASH_FLOW","1993-06-18","2026-05-02","Per=Y","Days=T","Dir=V")</f>
        <v>0</v>
      </c>
      <c r="AQ2">
        <f>BDH("VERX US Equity","PX_LAST","1993-06-18","2026-05-02","Per=M","Days=T","Dir=V")</f>
        <v>0</v>
      </c>
      <c r="AS2">
        <f>BDH("VERX US Equity","CUR_MKT_CAP","1993-06-18","2026-05-02","Per=M","Days=T","Dir=V")</f>
        <v>0</v>
      </c>
      <c r="AU2">
        <f>BDH("VERX US Equity","EQY_SH_OUT","1993-06-18","2026-05-02","Per=M","Days=T","Dir=V")</f>
        <v>0</v>
      </c>
      <c r="AW2">
        <f>BDH("VERX US Equity","PX_VOLUME","1993-06-18","2026-05-02","Per=M","Days=T","Dir=V")</f>
        <v>0</v>
      </c>
      <c r="AY2">
        <f>BDH("VERX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BDH("VFC US Equity","BS_TOT_ASSET","1993-06-18","2026-05-02","Per=Y","Days=T","Dir=V")</f>
        <v>0</v>
      </c>
      <c r="C2">
        <f>BDH("VFC US Equity","BS_TOT_LIAB2","1993-06-18","2026-05-02","Per=Y","Days=T","Dir=V")</f>
        <v>0</v>
      </c>
      <c r="E2">
        <f>BDH("VFC US Equity","SHORT_AND_LONG_TERM_DEBT","1993-06-18","2026-05-02","Per=Y","Days=T","Dir=V")</f>
        <v>0</v>
      </c>
      <c r="G2">
        <f>BDH("VFC US Equity","BS_ST_BORROW","1993-06-18","2026-05-02","Per=Y","Days=T","Dir=V")</f>
        <v>0</v>
      </c>
      <c r="I2">
        <f>BDH("VFC US Equity","BS_LT_BORROW","1993-06-18","2026-05-02","Per=Y","Days=T","Dir=V")</f>
        <v>0</v>
      </c>
      <c r="K2">
        <f>BDH("VFC US Equity","BS_CASH_NEAR_CASH_ITEM","1993-06-18","2026-05-02","Per=Y","Days=T","Dir=V")</f>
        <v>0</v>
      </c>
      <c r="M2">
        <f>BDH("VFC US Equity","BS_CUR_ASSET_REPORT","1993-06-18","2026-05-02","Per=Y","Days=T","Dir=V")</f>
        <v>0</v>
      </c>
      <c r="O2">
        <f>BDH("VFC US Equity","BS_CUR_LIAB","1993-06-18","2026-05-02","Per=Y","Days=T","Dir=V")</f>
        <v>0</v>
      </c>
      <c r="Q2">
        <f>BDH("VFC US Equity","BS_SHAREHOLDER_EQY_ENDING_PERIOD","1993-06-18","2026-05-02","Per=Y","Days=T","Dir=V")</f>
        <v>0</v>
      </c>
      <c r="S2">
        <f>BDH("VFC US Equity","BS_ACCT_NOTE_RCV","1993-06-18","2026-05-02","Per=Y","Days=T","Dir=V")</f>
        <v>0</v>
      </c>
      <c r="U2">
        <f>BDH("VFC US Equity","BS_INVENTORIES","1993-06-18","2026-05-02","Per=Y","Days=T","Dir=V")</f>
        <v>0</v>
      </c>
      <c r="W2">
        <f>BDH("VFC US Equity","WORKING_CAPITAL","1993-06-18","2026-05-02","Per=Y","Days=T","Dir=V")</f>
        <v>0</v>
      </c>
      <c r="Y2">
        <f>BDH("VFC US Equity","SALES_REV_TURN","1993-06-18","2026-05-02","Per=Y","Days=T","Dir=V")</f>
        <v>0</v>
      </c>
      <c r="AA2">
        <f>BDH("VFC US Equity","EBIT","1993-06-18","2026-05-02","Per=Y","Days=T","Dir=V")</f>
        <v>0</v>
      </c>
      <c r="AC2">
        <f>BDH("VFC US Equity","EBITDA","1993-06-18","2026-05-02","Per=Y","Days=T","Dir=V")</f>
        <v>0</v>
      </c>
      <c r="AE2">
        <f>BDH("VFC US Equity","NET_INCOME","1993-06-18","2026-05-02","Per=Y","Days=T","Dir=V")</f>
        <v>0</v>
      </c>
      <c r="AG2">
        <f>BDH("VFC US Equity","IS_INT_EXPENSE","1993-06-18","2026-05-02","Per=Y","Days=T","Dir=V")</f>
        <v>0</v>
      </c>
      <c r="AI2">
        <f>BDH("VFC US Equity","IS_DEPR_EXP","1993-06-18","2026-05-02","Per=Y","Days=T","Dir=V")</f>
        <v>0</v>
      </c>
      <c r="AK2">
        <f>BDH("VFC US Equity","CF_CASH_FROM_OPER","1993-06-18","2026-05-02","Per=Y","Days=T","Dir=V")</f>
        <v>0</v>
      </c>
      <c r="AM2">
        <f>BDH("VFC US Equity","CAPITAL_EXPEND","1993-06-18","2026-05-02","Per=Y","Days=T","Dir=V")</f>
        <v>0</v>
      </c>
      <c r="AO2">
        <f>BDH("VFC US Equity","CF_FREE_CASH_FLOW","1993-06-18","2026-05-02","Per=Y","Days=T","Dir=V")</f>
        <v>0</v>
      </c>
      <c r="AQ2">
        <f>BDH("VFC US Equity","PX_LAST","1993-06-18","2026-05-02","Per=M","Days=T","Dir=V")</f>
        <v>0</v>
      </c>
      <c r="AS2">
        <f>BDH("VFC US Equity","CUR_MKT_CAP","1993-06-18","2026-05-02","Per=M","Days=T","Dir=V")</f>
        <v>0</v>
      </c>
      <c r="AU2">
        <f>BDH("VFC US Equity","EQY_SH_OUT","1993-06-18","2026-05-02","Per=M","Days=T","Dir=V")</f>
        <v>0</v>
      </c>
      <c r="AW2">
        <f>BDH("VFC US Equity","PX_VOLUME","1993-06-18","2026-05-02","Per=M","Days=T","Dir=V")</f>
        <v>0</v>
      </c>
      <c r="AY2">
        <f>BDH("VFC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BDH("VG US Equity","BS_TOT_ASSET","1993-06-18","2026-05-02","Per=Y","Days=T","Dir=V")</f>
        <v>0</v>
      </c>
      <c r="C2">
        <f>BDH("VG US Equity","BS_TOT_LIAB2","1993-06-18","2026-05-02","Per=Y","Days=T","Dir=V")</f>
        <v>0</v>
      </c>
      <c r="E2">
        <f>BDH("VG US Equity","SHORT_AND_LONG_TERM_DEBT","1993-06-18","2026-05-02","Per=Y","Days=T","Dir=V")</f>
        <v>0</v>
      </c>
      <c r="G2">
        <f>BDH("VG US Equity","BS_ST_BORROW","1993-06-18","2026-05-02","Per=Y","Days=T","Dir=V")</f>
        <v>0</v>
      </c>
      <c r="I2">
        <f>BDH("VG US Equity","BS_LT_BORROW","1993-06-18","2026-05-02","Per=Y","Days=T","Dir=V")</f>
        <v>0</v>
      </c>
      <c r="K2">
        <f>BDH("VG US Equity","BS_CASH_NEAR_CASH_ITEM","1993-06-18","2026-05-02","Per=Y","Days=T","Dir=V")</f>
        <v>0</v>
      </c>
      <c r="M2">
        <f>BDH("VG US Equity","BS_CUR_ASSET_REPORT","1993-06-18","2026-05-02","Per=Y","Days=T","Dir=V")</f>
        <v>0</v>
      </c>
      <c r="O2">
        <f>BDH("VG US Equity","BS_CUR_LIAB","1993-06-18","2026-05-02","Per=Y","Days=T","Dir=V")</f>
        <v>0</v>
      </c>
      <c r="Q2">
        <f>BDH("VG US Equity","BS_SHAREHOLDER_EQY_ENDING_PERIOD","1993-06-18","2026-05-02","Per=Y","Days=T","Dir=V")</f>
        <v>0</v>
      </c>
      <c r="S2">
        <f>BDH("VG US Equity","BS_ACCT_NOTE_RCV","1993-06-18","2026-05-02","Per=Y","Days=T","Dir=V")</f>
        <v>0</v>
      </c>
      <c r="U2">
        <f>BDH("VG US Equity","BS_INVENTORIES","1993-06-18","2026-05-02","Per=Y","Days=T","Dir=V")</f>
        <v>0</v>
      </c>
      <c r="W2">
        <f>BDH("VG US Equity","WORKING_CAPITAL","1993-06-18","2026-05-02","Per=Y","Days=T","Dir=V")</f>
        <v>0</v>
      </c>
      <c r="Y2">
        <f>BDH("VG US Equity","SALES_REV_TURN","1993-06-18","2026-05-02","Per=Y","Days=T","Dir=V")</f>
        <v>0</v>
      </c>
      <c r="AA2">
        <f>BDH("VG US Equity","EBIT","1993-06-18","2026-05-02","Per=Y","Days=T","Dir=V")</f>
        <v>0</v>
      </c>
      <c r="AC2">
        <f>BDH("VG US Equity","EBITDA","1993-06-18","2026-05-02","Per=Y","Days=T","Dir=V")</f>
        <v>0</v>
      </c>
      <c r="AE2">
        <f>BDH("VG US Equity","NET_INCOME","1993-06-18","2026-05-02","Per=Y","Days=T","Dir=V")</f>
        <v>0</v>
      </c>
      <c r="AG2">
        <f>BDH("VG US Equity","IS_INT_EXPENSE","1993-06-18","2026-05-02","Per=Y","Days=T","Dir=V")</f>
        <v>0</v>
      </c>
      <c r="AI2">
        <f>BDH("VG US Equity","IS_DEPR_EXP","1993-06-18","2026-05-02","Per=Y","Days=T","Dir=V")</f>
        <v>0</v>
      </c>
      <c r="AK2">
        <f>BDH("VG US Equity","CF_CASH_FROM_OPER","1993-06-18","2026-05-02","Per=Y","Days=T","Dir=V")</f>
        <v>0</v>
      </c>
      <c r="AM2">
        <f>BDH("VG US Equity","CAPITAL_EXPEND","1993-06-18","2026-05-02","Per=Y","Days=T","Dir=V")</f>
        <v>0</v>
      </c>
      <c r="AO2">
        <f>BDH("VG US Equity","CF_FREE_CASH_FLOW","1993-06-18","2026-05-02","Per=Y","Days=T","Dir=V")</f>
        <v>0</v>
      </c>
      <c r="AQ2">
        <f>BDH("VG US Equity","PX_LAST","1993-06-18","2026-05-02","Per=M","Days=T","Dir=V")</f>
        <v>0</v>
      </c>
      <c r="AS2">
        <f>BDH("VG US Equity","CUR_MKT_CAP","1993-06-18","2026-05-02","Per=M","Days=T","Dir=V")</f>
        <v>0</v>
      </c>
      <c r="AU2">
        <f>BDH("VG US Equity","EQY_SH_OUT","1993-06-18","2026-05-02","Per=M","Days=T","Dir=V")</f>
        <v>0</v>
      </c>
      <c r="AW2">
        <f>BDH("VG US Equity","PX_VOLUME","1993-06-18","2026-05-02","Per=M","Days=T","Dir=V")</f>
        <v>0</v>
      </c>
      <c r="AY2">
        <f>BDH("VG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BDH("VGAS US Equity","BS_TOT_ASSET","1993-06-18","2026-05-02","Per=Y","Days=T","Dir=V")</f>
        <v>0</v>
      </c>
      <c r="C2">
        <f>BDH("VGAS US Equity","BS_TOT_LIAB2","1993-06-18","2026-05-02","Per=Y","Days=T","Dir=V")</f>
        <v>0</v>
      </c>
      <c r="E2">
        <f>BDH("VGAS US Equity","SHORT_AND_LONG_TERM_DEBT","1993-06-18","2026-05-02","Per=Y","Days=T","Dir=V")</f>
        <v>0</v>
      </c>
      <c r="G2">
        <f>BDH("VGAS US Equity","BS_ST_BORROW","1993-06-18","2026-05-02","Per=Y","Days=T","Dir=V")</f>
        <v>0</v>
      </c>
      <c r="I2">
        <f>BDH("VGAS US Equity","BS_LT_BORROW","1993-06-18","2026-05-02","Per=Y","Days=T","Dir=V")</f>
        <v>0</v>
      </c>
      <c r="K2">
        <f>BDH("VGAS US Equity","BS_CASH_NEAR_CASH_ITEM","1993-06-18","2026-05-02","Per=Y","Days=T","Dir=V")</f>
        <v>0</v>
      </c>
      <c r="M2">
        <f>BDH("VGAS US Equity","BS_CUR_ASSET_REPORT","1993-06-18","2026-05-02","Per=Y","Days=T","Dir=V")</f>
        <v>0</v>
      </c>
      <c r="O2">
        <f>BDH("VGAS US Equity","BS_CUR_LIAB","1993-06-18","2026-05-02","Per=Y","Days=T","Dir=V")</f>
        <v>0</v>
      </c>
      <c r="Q2">
        <f>BDH("VGAS US Equity","BS_SHAREHOLDER_EQY_ENDING_PERIOD","1993-06-18","2026-05-02","Per=Y","Days=T","Dir=V")</f>
        <v>0</v>
      </c>
      <c r="S2">
        <f>BDH("VGAS US Equity","BS_ACCT_NOTE_RCV","1993-06-18","2026-05-02","Per=Y","Days=T","Dir=V")</f>
        <v>0</v>
      </c>
      <c r="U2">
        <f>BDH("VGAS US Equity","BS_INVENTORIES","1993-06-18","2026-05-02","Per=Y","Days=T","Dir=V")</f>
        <v>0</v>
      </c>
      <c r="W2">
        <f>BDH("VGAS US Equity","WORKING_CAPITAL","1993-06-18","2026-05-02","Per=Y","Days=T","Dir=V")</f>
        <v>0</v>
      </c>
      <c r="Y2">
        <f>BDH("VGAS US Equity","SALES_REV_TURN","1993-06-18","2026-05-02","Per=Y","Days=T","Dir=V")</f>
        <v>0</v>
      </c>
      <c r="AA2">
        <f>BDH("VGAS US Equity","EBIT","1993-06-18","2026-05-02","Per=Y","Days=T","Dir=V")</f>
        <v>0</v>
      </c>
      <c r="AC2">
        <f>BDH("VGAS US Equity","EBITDA","1993-06-18","2026-05-02","Per=Y","Days=T","Dir=V")</f>
        <v>0</v>
      </c>
      <c r="AE2">
        <f>BDH("VGAS US Equity","NET_INCOME","1993-06-18","2026-05-02","Per=Y","Days=T","Dir=V")</f>
        <v>0</v>
      </c>
      <c r="AG2">
        <f>BDH("VGAS US Equity","IS_INT_EXPENSE","1993-06-18","2026-05-02","Per=Y","Days=T","Dir=V")</f>
        <v>0</v>
      </c>
      <c r="AI2">
        <f>BDH("VGAS US Equity","IS_DEPR_EXP","1993-06-18","2026-05-02","Per=Y","Days=T","Dir=V")</f>
        <v>0</v>
      </c>
      <c r="AK2">
        <f>BDH("VGAS US Equity","CF_CASH_FROM_OPER","1993-06-18","2026-05-02","Per=Y","Days=T","Dir=V")</f>
        <v>0</v>
      </c>
      <c r="AM2">
        <f>BDH("VGAS US Equity","CAPITAL_EXPEND","1993-06-18","2026-05-02","Per=Y","Days=T","Dir=V")</f>
        <v>0</v>
      </c>
      <c r="AO2">
        <f>BDH("VGAS US Equity","CF_FREE_CASH_FLOW","1993-06-18","2026-05-02","Per=Y","Days=T","Dir=V")</f>
        <v>0</v>
      </c>
      <c r="AQ2">
        <f>BDH("VGAS US Equity","PX_LAST","1993-06-18","2026-05-02","Per=M","Days=T","Dir=V")</f>
        <v>0</v>
      </c>
      <c r="AS2">
        <f>BDH("VGAS US Equity","CUR_MKT_CAP","1993-06-18","2026-05-02","Per=M","Days=T","Dir=V")</f>
        <v>0</v>
      </c>
      <c r="AU2">
        <f>BDH("VGAS US Equity","EQY_SH_OUT","1993-06-18","2026-05-02","Per=M","Days=T","Dir=V")</f>
        <v>0</v>
      </c>
      <c r="AW2">
        <f>BDH("VGAS US Equity","PX_VOLUME","1993-06-18","2026-05-02","Per=M","Days=T","Dir=V")</f>
        <v>0</v>
      </c>
      <c r="AY2">
        <f>BDH("VGAS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BDH("VGASW US Equity","BS_TOT_ASSET","1993-06-18","2026-05-02","Per=Y","Days=T","Dir=V")</f>
        <v>0</v>
      </c>
      <c r="C2">
        <f>BDH("VGASW US Equity","BS_TOT_LIAB2","1993-06-18","2026-05-02","Per=Y","Days=T","Dir=V")</f>
        <v>0</v>
      </c>
      <c r="E2">
        <f>BDH("VGASW US Equity","SHORT_AND_LONG_TERM_DEBT","1993-06-18","2026-05-02","Per=Y","Days=T","Dir=V")</f>
        <v>0</v>
      </c>
      <c r="G2">
        <f>BDH("VGASW US Equity","BS_ST_BORROW","1993-06-18","2026-05-02","Per=Y","Days=T","Dir=V")</f>
        <v>0</v>
      </c>
      <c r="I2">
        <f>BDH("VGASW US Equity","BS_LT_BORROW","1993-06-18","2026-05-02","Per=Y","Days=T","Dir=V")</f>
        <v>0</v>
      </c>
      <c r="K2">
        <f>BDH("VGASW US Equity","BS_CASH_NEAR_CASH_ITEM","1993-06-18","2026-05-02","Per=Y","Days=T","Dir=V")</f>
        <v>0</v>
      </c>
      <c r="M2">
        <f>BDH("VGASW US Equity","BS_CUR_ASSET_REPORT","1993-06-18","2026-05-02","Per=Y","Days=T","Dir=V")</f>
        <v>0</v>
      </c>
      <c r="O2">
        <f>BDH("VGASW US Equity","BS_CUR_LIAB","1993-06-18","2026-05-02","Per=Y","Days=T","Dir=V")</f>
        <v>0</v>
      </c>
      <c r="Q2">
        <f>BDH("VGASW US Equity","BS_SHAREHOLDER_EQY_ENDING_PERIOD","1993-06-18","2026-05-02","Per=Y","Days=T","Dir=V")</f>
        <v>0</v>
      </c>
      <c r="S2">
        <f>BDH("VGASW US Equity","BS_ACCT_NOTE_RCV","1993-06-18","2026-05-02","Per=Y","Days=T","Dir=V")</f>
        <v>0</v>
      </c>
      <c r="U2">
        <f>BDH("VGASW US Equity","BS_INVENTORIES","1993-06-18","2026-05-02","Per=Y","Days=T","Dir=V")</f>
        <v>0</v>
      </c>
      <c r="W2">
        <f>BDH("VGASW US Equity","WORKING_CAPITAL","1993-06-18","2026-05-02","Per=Y","Days=T","Dir=V")</f>
        <v>0</v>
      </c>
      <c r="Y2">
        <f>BDH("VGASW US Equity","SALES_REV_TURN","1993-06-18","2026-05-02","Per=Y","Days=T","Dir=V")</f>
        <v>0</v>
      </c>
      <c r="AA2">
        <f>BDH("VGASW US Equity","EBIT","1993-06-18","2026-05-02","Per=Y","Days=T","Dir=V")</f>
        <v>0</v>
      </c>
      <c r="AC2">
        <f>BDH("VGASW US Equity","EBITDA","1993-06-18","2026-05-02","Per=Y","Days=T","Dir=V")</f>
        <v>0</v>
      </c>
      <c r="AE2">
        <f>BDH("VGASW US Equity","NET_INCOME","1993-06-18","2026-05-02","Per=Y","Days=T","Dir=V")</f>
        <v>0</v>
      </c>
      <c r="AG2">
        <f>BDH("VGASW US Equity","IS_INT_EXPENSE","1993-06-18","2026-05-02","Per=Y","Days=T","Dir=V")</f>
        <v>0</v>
      </c>
      <c r="AI2">
        <f>BDH("VGASW US Equity","IS_DEPR_EXP","1993-06-18","2026-05-02","Per=Y","Days=T","Dir=V")</f>
        <v>0</v>
      </c>
      <c r="AK2">
        <f>BDH("VGASW US Equity","CF_CASH_FROM_OPER","1993-06-18","2026-05-02","Per=Y","Days=T","Dir=V")</f>
        <v>0</v>
      </c>
      <c r="AM2">
        <f>BDH("VGASW US Equity","CAPITAL_EXPEND","1993-06-18","2026-05-02","Per=Y","Days=T","Dir=V")</f>
        <v>0</v>
      </c>
      <c r="AO2">
        <f>BDH("VGASW US Equity","CF_FREE_CASH_FLOW","1993-06-18","2026-05-02","Per=Y","Days=T","Dir=V")</f>
        <v>0</v>
      </c>
      <c r="AQ2">
        <f>BDH("VGASW US Equity","PX_LAST","1993-06-18","2026-05-02","Per=M","Days=T","Dir=V")</f>
        <v>0</v>
      </c>
      <c r="AS2">
        <f>BDH("VGASW US Equity","CUR_MKT_CAP","1993-06-18","2026-05-02","Per=M","Days=T","Dir=V")</f>
        <v>0</v>
      </c>
      <c r="AU2">
        <f>BDH("VGASW US Equity","EQY_SH_OUT","1993-06-18","2026-05-02","Per=M","Days=T","Dir=V")</f>
        <v>0</v>
      </c>
      <c r="AW2">
        <f>BDH("VGASW US Equity","PX_VOLUME","1993-06-18","2026-05-02","Per=M","Days=T","Dir=V")</f>
        <v>0</v>
      </c>
      <c r="AY2">
        <f>BDH("VGASW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BDH("VGZ US Equity","BS_TOT_ASSET","1993-06-18","2026-05-02","Per=Y","Days=T","Dir=V")</f>
        <v>0</v>
      </c>
      <c r="C2">
        <f>BDH("VGZ US Equity","BS_TOT_LIAB2","1993-06-18","2026-05-02","Per=Y","Days=T","Dir=V")</f>
        <v>0</v>
      </c>
      <c r="E2">
        <f>BDH("VGZ US Equity","SHORT_AND_LONG_TERM_DEBT","1993-06-18","2026-05-02","Per=Y","Days=T","Dir=V")</f>
        <v>0</v>
      </c>
      <c r="G2">
        <f>BDH("VGZ US Equity","BS_ST_BORROW","1993-06-18","2026-05-02","Per=Y","Days=T","Dir=V")</f>
        <v>0</v>
      </c>
      <c r="I2">
        <f>BDH("VGZ US Equity","BS_LT_BORROW","1993-06-18","2026-05-02","Per=Y","Days=T","Dir=V")</f>
        <v>0</v>
      </c>
      <c r="K2">
        <f>BDH("VGZ US Equity","BS_CASH_NEAR_CASH_ITEM","1993-06-18","2026-05-02","Per=Y","Days=T","Dir=V")</f>
        <v>0</v>
      </c>
      <c r="M2">
        <f>BDH("VGZ US Equity","BS_CUR_ASSET_REPORT","1993-06-18","2026-05-02","Per=Y","Days=T","Dir=V")</f>
        <v>0</v>
      </c>
      <c r="O2">
        <f>BDH("VGZ US Equity","BS_CUR_LIAB","1993-06-18","2026-05-02","Per=Y","Days=T","Dir=V")</f>
        <v>0</v>
      </c>
      <c r="Q2">
        <f>BDH("VGZ US Equity","BS_SHAREHOLDER_EQY_ENDING_PERIOD","1993-06-18","2026-05-02","Per=Y","Days=T","Dir=V")</f>
        <v>0</v>
      </c>
      <c r="S2">
        <f>BDH("VGZ US Equity","BS_ACCT_NOTE_RCV","1993-06-18","2026-05-02","Per=Y","Days=T","Dir=V")</f>
        <v>0</v>
      </c>
      <c r="U2">
        <f>BDH("VGZ US Equity","BS_INVENTORIES","1993-06-18","2026-05-02","Per=Y","Days=T","Dir=V")</f>
        <v>0</v>
      </c>
      <c r="W2">
        <f>BDH("VGZ US Equity","WORKING_CAPITAL","1993-06-18","2026-05-02","Per=Y","Days=T","Dir=V")</f>
        <v>0</v>
      </c>
      <c r="Y2">
        <f>BDH("VGZ US Equity","SALES_REV_TURN","1993-06-18","2026-05-02","Per=Y","Days=T","Dir=V")</f>
        <v>0</v>
      </c>
      <c r="AA2">
        <f>BDH("VGZ US Equity","EBIT","1993-06-18","2026-05-02","Per=Y","Days=T","Dir=V")</f>
        <v>0</v>
      </c>
      <c r="AC2">
        <f>BDH("VGZ US Equity","EBITDA","1993-06-18","2026-05-02","Per=Y","Days=T","Dir=V")</f>
        <v>0</v>
      </c>
      <c r="AE2">
        <f>BDH("VGZ US Equity","NET_INCOME","1993-06-18","2026-05-02","Per=Y","Days=T","Dir=V")</f>
        <v>0</v>
      </c>
      <c r="AG2">
        <f>BDH("VGZ US Equity","IS_INT_EXPENSE","1993-06-18","2026-05-02","Per=Y","Days=T","Dir=V")</f>
        <v>0</v>
      </c>
      <c r="AI2">
        <f>BDH("VGZ US Equity","IS_DEPR_EXP","1993-06-18","2026-05-02","Per=Y","Days=T","Dir=V")</f>
        <v>0</v>
      </c>
      <c r="AK2">
        <f>BDH("VGZ US Equity","CF_CASH_FROM_OPER","1993-06-18","2026-05-02","Per=Y","Days=T","Dir=V")</f>
        <v>0</v>
      </c>
      <c r="AM2">
        <f>BDH("VGZ US Equity","CAPITAL_EXPEND","1993-06-18","2026-05-02","Per=Y","Days=T","Dir=V")</f>
        <v>0</v>
      </c>
      <c r="AO2">
        <f>BDH("VGZ US Equity","CF_FREE_CASH_FLOW","1993-06-18","2026-05-02","Per=Y","Days=T","Dir=V")</f>
        <v>0</v>
      </c>
      <c r="AQ2">
        <f>BDH("VGZ US Equity","PX_LAST","1993-06-18","2026-05-02","Per=M","Days=T","Dir=V")</f>
        <v>0</v>
      </c>
      <c r="AS2">
        <f>BDH("VGZ US Equity","CUR_MKT_CAP","1993-06-18","2026-05-02","Per=M","Days=T","Dir=V")</f>
        <v>0</v>
      </c>
      <c r="AU2">
        <f>BDH("VGZ US Equity","EQY_SH_OUT","1993-06-18","2026-05-02","Per=M","Days=T","Dir=V")</f>
        <v>0</v>
      </c>
      <c r="AW2">
        <f>BDH("VGZ US Equity","PX_VOLUME","1993-06-18","2026-05-02","Per=M","Days=T","Dir=V")</f>
        <v>0</v>
      </c>
      <c r="AY2">
        <f>BDH("VGZ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BDH("VHI US Equity","BS_TOT_ASSET","1993-06-18","2026-05-02","Per=Y","Days=T","Dir=V")</f>
        <v>0</v>
      </c>
      <c r="C2">
        <f>BDH("VHI US Equity","BS_TOT_LIAB2","1993-06-18","2026-05-02","Per=Y","Days=T","Dir=V")</f>
        <v>0</v>
      </c>
      <c r="E2">
        <f>BDH("VHI US Equity","SHORT_AND_LONG_TERM_DEBT","1993-06-18","2026-05-02","Per=Y","Days=T","Dir=V")</f>
        <v>0</v>
      </c>
      <c r="G2">
        <f>BDH("VHI US Equity","BS_ST_BORROW","1993-06-18","2026-05-02","Per=Y","Days=T","Dir=V")</f>
        <v>0</v>
      </c>
      <c r="I2">
        <f>BDH("VHI US Equity","BS_LT_BORROW","1993-06-18","2026-05-02","Per=Y","Days=T","Dir=V")</f>
        <v>0</v>
      </c>
      <c r="K2">
        <f>BDH("VHI US Equity","BS_CASH_NEAR_CASH_ITEM","1993-06-18","2026-05-02","Per=Y","Days=T","Dir=V")</f>
        <v>0</v>
      </c>
      <c r="M2">
        <f>BDH("VHI US Equity","BS_CUR_ASSET_REPORT","1993-06-18","2026-05-02","Per=Y","Days=T","Dir=V")</f>
        <v>0</v>
      </c>
      <c r="O2">
        <f>BDH("VHI US Equity","BS_CUR_LIAB","1993-06-18","2026-05-02","Per=Y","Days=T","Dir=V")</f>
        <v>0</v>
      </c>
      <c r="Q2">
        <f>BDH("VHI US Equity","BS_SHAREHOLDER_EQY_ENDING_PERIOD","1993-06-18","2026-05-02","Per=Y","Days=T","Dir=V")</f>
        <v>0</v>
      </c>
      <c r="S2">
        <f>BDH("VHI US Equity","BS_ACCT_NOTE_RCV","1993-06-18","2026-05-02","Per=Y","Days=T","Dir=V")</f>
        <v>0</v>
      </c>
      <c r="U2">
        <f>BDH("VHI US Equity","BS_INVENTORIES","1993-06-18","2026-05-02","Per=Y","Days=T","Dir=V")</f>
        <v>0</v>
      </c>
      <c r="W2">
        <f>BDH("VHI US Equity","WORKING_CAPITAL","1993-06-18","2026-05-02","Per=Y","Days=T","Dir=V")</f>
        <v>0</v>
      </c>
      <c r="Y2">
        <f>BDH("VHI US Equity","SALES_REV_TURN","1993-06-18","2026-05-02","Per=Y","Days=T","Dir=V")</f>
        <v>0</v>
      </c>
      <c r="AA2">
        <f>BDH("VHI US Equity","EBIT","1993-06-18","2026-05-02","Per=Y","Days=T","Dir=V")</f>
        <v>0</v>
      </c>
      <c r="AC2">
        <f>BDH("VHI US Equity","EBITDA","1993-06-18","2026-05-02","Per=Y","Days=T","Dir=V")</f>
        <v>0</v>
      </c>
      <c r="AE2">
        <f>BDH("VHI US Equity","NET_INCOME","1993-06-18","2026-05-02","Per=Y","Days=T","Dir=V")</f>
        <v>0</v>
      </c>
      <c r="AG2">
        <f>BDH("VHI US Equity","IS_INT_EXPENSE","1993-06-18","2026-05-02","Per=Y","Days=T","Dir=V")</f>
        <v>0</v>
      </c>
      <c r="AI2">
        <f>BDH("VHI US Equity","IS_DEPR_EXP","1993-06-18","2026-05-02","Per=Y","Days=T","Dir=V")</f>
        <v>0</v>
      </c>
      <c r="AK2">
        <f>BDH("VHI US Equity","CF_CASH_FROM_OPER","1993-06-18","2026-05-02","Per=Y","Days=T","Dir=V")</f>
        <v>0</v>
      </c>
      <c r="AM2">
        <f>BDH("VHI US Equity","CAPITAL_EXPEND","1993-06-18","2026-05-02","Per=Y","Days=T","Dir=V")</f>
        <v>0</v>
      </c>
      <c r="AO2">
        <f>BDH("VHI US Equity","CF_FREE_CASH_FLOW","1993-06-18","2026-05-02","Per=Y","Days=T","Dir=V")</f>
        <v>0</v>
      </c>
      <c r="AQ2">
        <f>BDH("VHI US Equity","PX_LAST","1993-06-18","2026-05-02","Per=M","Days=T","Dir=V")</f>
        <v>0</v>
      </c>
      <c r="AS2">
        <f>BDH("VHI US Equity","CUR_MKT_CAP","1993-06-18","2026-05-02","Per=M","Days=T","Dir=V")</f>
        <v>0</v>
      </c>
      <c r="AU2">
        <f>BDH("VHI US Equity","EQY_SH_OUT","1993-06-18","2026-05-02","Per=M","Days=T","Dir=V")</f>
        <v>0</v>
      </c>
      <c r="AW2">
        <f>BDH("VHI US Equity","PX_VOLUME","1993-06-18","2026-05-02","Per=M","Days=T","Dir=V")</f>
        <v>0</v>
      </c>
      <c r="AY2">
        <f>BDH("VHI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BDH("VHUB US Equity","BS_TOT_ASSET","1993-06-18","2026-05-02","Per=Y","Days=T","Dir=V")</f>
        <v>0</v>
      </c>
      <c r="C2">
        <f>BDH("VHUB US Equity","BS_TOT_LIAB2","1993-06-18","2026-05-02","Per=Y","Days=T","Dir=V")</f>
        <v>0</v>
      </c>
      <c r="E2">
        <f>BDH("VHUB US Equity","SHORT_AND_LONG_TERM_DEBT","1993-06-18","2026-05-02","Per=Y","Days=T","Dir=V")</f>
        <v>0</v>
      </c>
      <c r="G2">
        <f>BDH("VHUB US Equity","BS_ST_BORROW","1993-06-18","2026-05-02","Per=Y","Days=T","Dir=V")</f>
        <v>0</v>
      </c>
      <c r="I2">
        <f>BDH("VHUB US Equity","BS_LT_BORROW","1993-06-18","2026-05-02","Per=Y","Days=T","Dir=V")</f>
        <v>0</v>
      </c>
      <c r="K2">
        <f>BDH("VHUB US Equity","BS_CASH_NEAR_CASH_ITEM","1993-06-18","2026-05-02","Per=Y","Days=T","Dir=V")</f>
        <v>0</v>
      </c>
      <c r="M2">
        <f>BDH("VHUB US Equity","BS_CUR_ASSET_REPORT","1993-06-18","2026-05-02","Per=Y","Days=T","Dir=V")</f>
        <v>0</v>
      </c>
      <c r="O2">
        <f>BDH("VHUB US Equity","BS_CUR_LIAB","1993-06-18","2026-05-02","Per=Y","Days=T","Dir=V")</f>
        <v>0</v>
      </c>
      <c r="Q2">
        <f>BDH("VHUB US Equity","BS_SHAREHOLDER_EQY_ENDING_PERIOD","1993-06-18","2026-05-02","Per=Y","Days=T","Dir=V")</f>
        <v>0</v>
      </c>
      <c r="S2">
        <f>BDH("VHUB US Equity","BS_ACCT_NOTE_RCV","1993-06-18","2026-05-02","Per=Y","Days=T","Dir=V")</f>
        <v>0</v>
      </c>
      <c r="U2">
        <f>BDH("VHUB US Equity","BS_INVENTORIES","1993-06-18","2026-05-02","Per=Y","Days=T","Dir=V")</f>
        <v>0</v>
      </c>
      <c r="W2">
        <f>BDH("VHUB US Equity","WORKING_CAPITAL","1993-06-18","2026-05-02","Per=Y","Days=T","Dir=V")</f>
        <v>0</v>
      </c>
      <c r="Y2">
        <f>BDH("VHUB US Equity","SALES_REV_TURN","1993-06-18","2026-05-02","Per=Y","Days=T","Dir=V")</f>
        <v>0</v>
      </c>
      <c r="AA2">
        <f>BDH("VHUB US Equity","EBIT","1993-06-18","2026-05-02","Per=Y","Days=T","Dir=V")</f>
        <v>0</v>
      </c>
      <c r="AC2">
        <f>BDH("VHUB US Equity","EBITDA","1993-06-18","2026-05-02","Per=Y","Days=T","Dir=V")</f>
        <v>0</v>
      </c>
      <c r="AE2">
        <f>BDH("VHUB US Equity","NET_INCOME","1993-06-18","2026-05-02","Per=Y","Days=T","Dir=V")</f>
        <v>0</v>
      </c>
      <c r="AG2">
        <f>BDH("VHUB US Equity","IS_INT_EXPENSE","1993-06-18","2026-05-02","Per=Y","Days=T","Dir=V")</f>
        <v>0</v>
      </c>
      <c r="AI2">
        <f>BDH("VHUB US Equity","IS_DEPR_EXP","1993-06-18","2026-05-02","Per=Y","Days=T","Dir=V")</f>
        <v>0</v>
      </c>
      <c r="AK2">
        <f>BDH("VHUB US Equity","CF_CASH_FROM_OPER","1993-06-18","2026-05-02","Per=Y","Days=T","Dir=V")</f>
        <v>0</v>
      </c>
      <c r="AM2">
        <f>BDH("VHUB US Equity","CAPITAL_EXPEND","1993-06-18","2026-05-02","Per=Y","Days=T","Dir=V")</f>
        <v>0</v>
      </c>
      <c r="AO2">
        <f>BDH("VHUB US Equity","CF_FREE_CASH_FLOW","1993-06-18","2026-05-02","Per=Y","Days=T","Dir=V")</f>
        <v>0</v>
      </c>
      <c r="AQ2">
        <f>BDH("VHUB US Equity","PX_LAST","1993-06-18","2026-05-02","Per=M","Days=T","Dir=V")</f>
        <v>0</v>
      </c>
      <c r="AS2">
        <f>BDH("VHUB US Equity","CUR_MKT_CAP","1993-06-18","2026-05-02","Per=M","Days=T","Dir=V")</f>
        <v>0</v>
      </c>
      <c r="AU2">
        <f>BDH("VHUB US Equity","EQY_SH_OUT","1993-06-18","2026-05-02","Per=M","Days=T","Dir=V")</f>
        <v>0</v>
      </c>
      <c r="AW2">
        <f>BDH("VHUB US Equity","PX_VOLUME","1993-06-18","2026-05-02","Per=M","Days=T","Dir=V")</f>
        <v>0</v>
      </c>
      <c r="AY2">
        <f>BDH("VHUB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BDH("VIA US Equity","BS_TOT_ASSET","1993-06-18","2026-05-02","Per=Y","Days=T","Dir=V")</f>
        <v>0</v>
      </c>
      <c r="C2">
        <f>BDH("VIA US Equity","BS_TOT_LIAB2","1993-06-18","2026-05-02","Per=Y","Days=T","Dir=V")</f>
        <v>0</v>
      </c>
      <c r="E2">
        <f>BDH("VIA US Equity","SHORT_AND_LONG_TERM_DEBT","1993-06-18","2026-05-02","Per=Y","Days=T","Dir=V")</f>
        <v>0</v>
      </c>
      <c r="G2">
        <f>BDH("VIA US Equity","BS_ST_BORROW","1993-06-18","2026-05-02","Per=Y","Days=T","Dir=V")</f>
        <v>0</v>
      </c>
      <c r="I2">
        <f>BDH("VIA US Equity","BS_LT_BORROW","1993-06-18","2026-05-02","Per=Y","Days=T","Dir=V")</f>
        <v>0</v>
      </c>
      <c r="K2">
        <f>BDH("VIA US Equity","BS_CASH_NEAR_CASH_ITEM","1993-06-18","2026-05-02","Per=Y","Days=T","Dir=V")</f>
        <v>0</v>
      </c>
      <c r="M2">
        <f>BDH("VIA US Equity","BS_CUR_ASSET_REPORT","1993-06-18","2026-05-02","Per=Y","Days=T","Dir=V")</f>
        <v>0</v>
      </c>
      <c r="O2">
        <f>BDH("VIA US Equity","BS_CUR_LIAB","1993-06-18","2026-05-02","Per=Y","Days=T","Dir=V")</f>
        <v>0</v>
      </c>
      <c r="Q2">
        <f>BDH("VIA US Equity","BS_SHAREHOLDER_EQY_ENDING_PERIOD","1993-06-18","2026-05-02","Per=Y","Days=T","Dir=V")</f>
        <v>0</v>
      </c>
      <c r="S2">
        <f>BDH("VIA US Equity","BS_ACCT_NOTE_RCV","1993-06-18","2026-05-02","Per=Y","Days=T","Dir=V")</f>
        <v>0</v>
      </c>
      <c r="U2">
        <f>BDH("VIA US Equity","BS_INVENTORIES","1993-06-18","2026-05-02","Per=Y","Days=T","Dir=V")</f>
        <v>0</v>
      </c>
      <c r="W2">
        <f>BDH("VIA US Equity","WORKING_CAPITAL","1993-06-18","2026-05-02","Per=Y","Days=T","Dir=V")</f>
        <v>0</v>
      </c>
      <c r="Y2">
        <f>BDH("VIA US Equity","SALES_REV_TURN","1993-06-18","2026-05-02","Per=Y","Days=T","Dir=V")</f>
        <v>0</v>
      </c>
      <c r="AA2">
        <f>BDH("VIA US Equity","EBIT","1993-06-18","2026-05-02","Per=Y","Days=T","Dir=V")</f>
        <v>0</v>
      </c>
      <c r="AC2">
        <f>BDH("VIA US Equity","EBITDA","1993-06-18","2026-05-02","Per=Y","Days=T","Dir=V")</f>
        <v>0</v>
      </c>
      <c r="AE2">
        <f>BDH("VIA US Equity","NET_INCOME","1993-06-18","2026-05-02","Per=Y","Days=T","Dir=V")</f>
        <v>0</v>
      </c>
      <c r="AG2">
        <f>BDH("VIA US Equity","IS_INT_EXPENSE","1993-06-18","2026-05-02","Per=Y","Days=T","Dir=V")</f>
        <v>0</v>
      </c>
      <c r="AI2">
        <f>BDH("VIA US Equity","IS_DEPR_EXP","1993-06-18","2026-05-02","Per=Y","Days=T","Dir=V")</f>
        <v>0</v>
      </c>
      <c r="AK2">
        <f>BDH("VIA US Equity","CF_CASH_FROM_OPER","1993-06-18","2026-05-02","Per=Y","Days=T","Dir=V")</f>
        <v>0</v>
      </c>
      <c r="AM2">
        <f>BDH("VIA US Equity","CAPITAL_EXPEND","1993-06-18","2026-05-02","Per=Y","Days=T","Dir=V")</f>
        <v>0</v>
      </c>
      <c r="AO2">
        <f>BDH("VIA US Equity","CF_FREE_CASH_FLOW","1993-06-18","2026-05-02","Per=Y","Days=T","Dir=V")</f>
        <v>0</v>
      </c>
      <c r="AQ2">
        <f>BDH("VIA US Equity","PX_LAST","1993-06-18","2026-05-02","Per=M","Days=T","Dir=V")</f>
        <v>0</v>
      </c>
      <c r="AS2">
        <f>BDH("VIA US Equity","CUR_MKT_CAP","1993-06-18","2026-05-02","Per=M","Days=T","Dir=V")</f>
        <v>0</v>
      </c>
      <c r="AU2">
        <f>BDH("VIA US Equity","EQY_SH_OUT","1993-06-18","2026-05-02","Per=M","Days=T","Dir=V")</f>
        <v>0</v>
      </c>
      <c r="AW2">
        <f>BDH("VIA US Equity","PX_VOLUME","1993-06-18","2026-05-02","Per=M","Days=T","Dir=V")</f>
        <v>0</v>
      </c>
      <c r="AY2">
        <f>BDH("VIA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BDH("VIAV US Equity","BS_TOT_ASSET","1993-06-18","2026-05-02","Per=Y","Days=T","Dir=V")</f>
        <v>0</v>
      </c>
      <c r="C2">
        <f>BDH("VIAV US Equity","BS_TOT_LIAB2","1993-06-18","2026-05-02","Per=Y","Days=T","Dir=V")</f>
        <v>0</v>
      </c>
      <c r="E2">
        <f>BDH("VIAV US Equity","SHORT_AND_LONG_TERM_DEBT","1993-06-18","2026-05-02","Per=Y","Days=T","Dir=V")</f>
        <v>0</v>
      </c>
      <c r="G2">
        <f>BDH("VIAV US Equity","BS_ST_BORROW","1993-06-18","2026-05-02","Per=Y","Days=T","Dir=V")</f>
        <v>0</v>
      </c>
      <c r="I2">
        <f>BDH("VIAV US Equity","BS_LT_BORROW","1993-06-18","2026-05-02","Per=Y","Days=T","Dir=V")</f>
        <v>0</v>
      </c>
      <c r="K2">
        <f>BDH("VIAV US Equity","BS_CASH_NEAR_CASH_ITEM","1993-06-18","2026-05-02","Per=Y","Days=T","Dir=V")</f>
        <v>0</v>
      </c>
      <c r="M2">
        <f>BDH("VIAV US Equity","BS_CUR_ASSET_REPORT","1993-06-18","2026-05-02","Per=Y","Days=T","Dir=V")</f>
        <v>0</v>
      </c>
      <c r="O2">
        <f>BDH("VIAV US Equity","BS_CUR_LIAB","1993-06-18","2026-05-02","Per=Y","Days=T","Dir=V")</f>
        <v>0</v>
      </c>
      <c r="Q2">
        <f>BDH("VIAV US Equity","BS_SHAREHOLDER_EQY_ENDING_PERIOD","1993-06-18","2026-05-02","Per=Y","Days=T","Dir=V")</f>
        <v>0</v>
      </c>
      <c r="S2">
        <f>BDH("VIAV US Equity","BS_ACCT_NOTE_RCV","1993-06-18","2026-05-02","Per=Y","Days=T","Dir=V")</f>
        <v>0</v>
      </c>
      <c r="U2">
        <f>BDH("VIAV US Equity","BS_INVENTORIES","1993-06-18","2026-05-02","Per=Y","Days=T","Dir=V")</f>
        <v>0</v>
      </c>
      <c r="W2">
        <f>BDH("VIAV US Equity","WORKING_CAPITAL","1993-06-18","2026-05-02","Per=Y","Days=T","Dir=V")</f>
        <v>0</v>
      </c>
      <c r="Y2">
        <f>BDH("VIAV US Equity","SALES_REV_TURN","1993-06-18","2026-05-02","Per=Y","Days=T","Dir=V")</f>
        <v>0</v>
      </c>
      <c r="AA2">
        <f>BDH("VIAV US Equity","EBIT","1993-06-18","2026-05-02","Per=Y","Days=T","Dir=V")</f>
        <v>0</v>
      </c>
      <c r="AC2">
        <f>BDH("VIAV US Equity","EBITDA","1993-06-18","2026-05-02","Per=Y","Days=T","Dir=V")</f>
        <v>0</v>
      </c>
      <c r="AE2">
        <f>BDH("VIAV US Equity","NET_INCOME","1993-06-18","2026-05-02","Per=Y","Days=T","Dir=V")</f>
        <v>0</v>
      </c>
      <c r="AG2">
        <f>BDH("VIAV US Equity","IS_INT_EXPENSE","1993-06-18","2026-05-02","Per=Y","Days=T","Dir=V")</f>
        <v>0</v>
      </c>
      <c r="AI2">
        <f>BDH("VIAV US Equity","IS_DEPR_EXP","1993-06-18","2026-05-02","Per=Y","Days=T","Dir=V")</f>
        <v>0</v>
      </c>
      <c r="AK2">
        <f>BDH("VIAV US Equity","CF_CASH_FROM_OPER","1993-06-18","2026-05-02","Per=Y","Days=T","Dir=V")</f>
        <v>0</v>
      </c>
      <c r="AM2">
        <f>BDH("VIAV US Equity","CAPITAL_EXPEND","1993-06-18","2026-05-02","Per=Y","Days=T","Dir=V")</f>
        <v>0</v>
      </c>
      <c r="AO2">
        <f>BDH("VIAV US Equity","CF_FREE_CASH_FLOW","1993-06-18","2026-05-02","Per=Y","Days=T","Dir=V")</f>
        <v>0</v>
      </c>
      <c r="AQ2">
        <f>BDH("VIAV US Equity","PX_LAST","1993-06-18","2026-05-02","Per=M","Days=T","Dir=V")</f>
        <v>0</v>
      </c>
      <c r="AS2">
        <f>BDH("VIAV US Equity","CUR_MKT_CAP","1993-06-18","2026-05-02","Per=M","Days=T","Dir=V")</f>
        <v>0</v>
      </c>
      <c r="AU2">
        <f>BDH("VIAV US Equity","EQY_SH_OUT","1993-06-18","2026-05-02","Per=M","Days=T","Dir=V")</f>
        <v>0</v>
      </c>
      <c r="AW2">
        <f>BDH("VIAV US Equity","PX_VOLUME","1993-06-18","2026-05-02","Per=M","Days=T","Dir=V")</f>
        <v>0</v>
      </c>
      <c r="AY2">
        <f>BDH("VIAV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BDH("VICR US Equity","BS_TOT_ASSET","1993-06-18","2026-05-02","Per=Y","Days=T","Dir=V")</f>
        <v>0</v>
      </c>
      <c r="C2">
        <f>BDH("VICR US Equity","BS_TOT_LIAB2","1993-06-18","2026-05-02","Per=Y","Days=T","Dir=V")</f>
        <v>0</v>
      </c>
      <c r="E2">
        <f>BDH("VICR US Equity","SHORT_AND_LONG_TERM_DEBT","1993-06-18","2026-05-02","Per=Y","Days=T","Dir=V")</f>
        <v>0</v>
      </c>
      <c r="G2">
        <f>BDH("VICR US Equity","BS_ST_BORROW","1993-06-18","2026-05-02","Per=Y","Days=T","Dir=V")</f>
        <v>0</v>
      </c>
      <c r="I2">
        <f>BDH("VICR US Equity","BS_LT_BORROW","1993-06-18","2026-05-02","Per=Y","Days=T","Dir=V")</f>
        <v>0</v>
      </c>
      <c r="K2">
        <f>BDH("VICR US Equity","BS_CASH_NEAR_CASH_ITEM","1993-06-18","2026-05-02","Per=Y","Days=T","Dir=V")</f>
        <v>0</v>
      </c>
      <c r="M2">
        <f>BDH("VICR US Equity","BS_CUR_ASSET_REPORT","1993-06-18","2026-05-02","Per=Y","Days=T","Dir=V")</f>
        <v>0</v>
      </c>
      <c r="O2">
        <f>BDH("VICR US Equity","BS_CUR_LIAB","1993-06-18","2026-05-02","Per=Y","Days=T","Dir=V")</f>
        <v>0</v>
      </c>
      <c r="Q2">
        <f>BDH("VICR US Equity","BS_SHAREHOLDER_EQY_ENDING_PERIOD","1993-06-18","2026-05-02","Per=Y","Days=T","Dir=V")</f>
        <v>0</v>
      </c>
      <c r="S2">
        <f>BDH("VICR US Equity","BS_ACCT_NOTE_RCV","1993-06-18","2026-05-02","Per=Y","Days=T","Dir=V")</f>
        <v>0</v>
      </c>
      <c r="U2">
        <f>BDH("VICR US Equity","BS_INVENTORIES","1993-06-18","2026-05-02","Per=Y","Days=T","Dir=V")</f>
        <v>0</v>
      </c>
      <c r="W2">
        <f>BDH("VICR US Equity","WORKING_CAPITAL","1993-06-18","2026-05-02","Per=Y","Days=T","Dir=V")</f>
        <v>0</v>
      </c>
      <c r="Y2">
        <f>BDH("VICR US Equity","SALES_REV_TURN","1993-06-18","2026-05-02","Per=Y","Days=T","Dir=V")</f>
        <v>0</v>
      </c>
      <c r="AA2">
        <f>BDH("VICR US Equity","EBIT","1993-06-18","2026-05-02","Per=Y","Days=T","Dir=V")</f>
        <v>0</v>
      </c>
      <c r="AC2">
        <f>BDH("VICR US Equity","EBITDA","1993-06-18","2026-05-02","Per=Y","Days=T","Dir=V")</f>
        <v>0</v>
      </c>
      <c r="AE2">
        <f>BDH("VICR US Equity","NET_INCOME","1993-06-18","2026-05-02","Per=Y","Days=T","Dir=V")</f>
        <v>0</v>
      </c>
      <c r="AG2">
        <f>BDH("VICR US Equity","IS_INT_EXPENSE","1993-06-18","2026-05-02","Per=Y","Days=T","Dir=V")</f>
        <v>0</v>
      </c>
      <c r="AI2">
        <f>BDH("VICR US Equity","IS_DEPR_EXP","1993-06-18","2026-05-02","Per=Y","Days=T","Dir=V")</f>
        <v>0</v>
      </c>
      <c r="AK2">
        <f>BDH("VICR US Equity","CF_CASH_FROM_OPER","1993-06-18","2026-05-02","Per=Y","Days=T","Dir=V")</f>
        <v>0</v>
      </c>
      <c r="AM2">
        <f>BDH("VICR US Equity","CAPITAL_EXPEND","1993-06-18","2026-05-02","Per=Y","Days=T","Dir=V")</f>
        <v>0</v>
      </c>
      <c r="AO2">
        <f>BDH("VICR US Equity","CF_FREE_CASH_FLOW","1993-06-18","2026-05-02","Per=Y","Days=T","Dir=V")</f>
        <v>0</v>
      </c>
      <c r="AQ2">
        <f>BDH("VICR US Equity","PX_LAST","1993-06-18","2026-05-02","Per=M","Days=T","Dir=V")</f>
        <v>0</v>
      </c>
      <c r="AS2">
        <f>BDH("VICR US Equity","CUR_MKT_CAP","1993-06-18","2026-05-02","Per=M","Days=T","Dir=V")</f>
        <v>0</v>
      </c>
      <c r="AU2">
        <f>BDH("VICR US Equity","EQY_SH_OUT","1993-06-18","2026-05-02","Per=M","Days=T","Dir=V")</f>
        <v>0</v>
      </c>
      <c r="AW2">
        <f>BDH("VICR US Equity","PX_VOLUME","1993-06-18","2026-05-02","Per=M","Days=T","Dir=V")</f>
        <v>0</v>
      </c>
      <c r="AY2">
        <f>BDH("VICR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BDH("VIK US Equity","BS_TOT_ASSET","1993-06-18","2026-05-02","Per=Y","Days=T","Dir=V")</f>
        <v>0</v>
      </c>
      <c r="C2">
        <f>BDH("VIK US Equity","BS_TOT_LIAB2","1993-06-18","2026-05-02","Per=Y","Days=T","Dir=V")</f>
        <v>0</v>
      </c>
      <c r="E2">
        <f>BDH("VIK US Equity","SHORT_AND_LONG_TERM_DEBT","1993-06-18","2026-05-02","Per=Y","Days=T","Dir=V")</f>
        <v>0</v>
      </c>
      <c r="G2">
        <f>BDH("VIK US Equity","BS_ST_BORROW","1993-06-18","2026-05-02","Per=Y","Days=T","Dir=V")</f>
        <v>0</v>
      </c>
      <c r="I2">
        <f>BDH("VIK US Equity","BS_LT_BORROW","1993-06-18","2026-05-02","Per=Y","Days=T","Dir=V")</f>
        <v>0</v>
      </c>
      <c r="K2">
        <f>BDH("VIK US Equity","BS_CASH_NEAR_CASH_ITEM","1993-06-18","2026-05-02","Per=Y","Days=T","Dir=V")</f>
        <v>0</v>
      </c>
      <c r="M2">
        <f>BDH("VIK US Equity","BS_CUR_ASSET_REPORT","1993-06-18","2026-05-02","Per=Y","Days=T","Dir=V")</f>
        <v>0</v>
      </c>
      <c r="O2">
        <f>BDH("VIK US Equity","BS_CUR_LIAB","1993-06-18","2026-05-02","Per=Y","Days=T","Dir=V")</f>
        <v>0</v>
      </c>
      <c r="Q2">
        <f>BDH("VIK US Equity","BS_SHAREHOLDER_EQY_ENDING_PERIOD","1993-06-18","2026-05-02","Per=Y","Days=T","Dir=V")</f>
        <v>0</v>
      </c>
      <c r="S2">
        <f>BDH("VIK US Equity","BS_ACCT_NOTE_RCV","1993-06-18","2026-05-02","Per=Y","Days=T","Dir=V")</f>
        <v>0</v>
      </c>
      <c r="U2">
        <f>BDH("VIK US Equity","BS_INVENTORIES","1993-06-18","2026-05-02","Per=Y","Days=T","Dir=V")</f>
        <v>0</v>
      </c>
      <c r="W2">
        <f>BDH("VIK US Equity","WORKING_CAPITAL","1993-06-18","2026-05-02","Per=Y","Days=T","Dir=V")</f>
        <v>0</v>
      </c>
      <c r="Y2">
        <f>BDH("VIK US Equity","SALES_REV_TURN","1993-06-18","2026-05-02","Per=Y","Days=T","Dir=V")</f>
        <v>0</v>
      </c>
      <c r="AA2">
        <f>BDH("VIK US Equity","EBIT","1993-06-18","2026-05-02","Per=Y","Days=T","Dir=V")</f>
        <v>0</v>
      </c>
      <c r="AC2">
        <f>BDH("VIK US Equity","EBITDA","1993-06-18","2026-05-02","Per=Y","Days=T","Dir=V")</f>
        <v>0</v>
      </c>
      <c r="AE2">
        <f>BDH("VIK US Equity","NET_INCOME","1993-06-18","2026-05-02","Per=Y","Days=T","Dir=V")</f>
        <v>0</v>
      </c>
      <c r="AG2">
        <f>BDH("VIK US Equity","IS_INT_EXPENSE","1993-06-18","2026-05-02","Per=Y","Days=T","Dir=V")</f>
        <v>0</v>
      </c>
      <c r="AI2">
        <f>BDH("VIK US Equity","IS_DEPR_EXP","1993-06-18","2026-05-02","Per=Y","Days=T","Dir=V")</f>
        <v>0</v>
      </c>
      <c r="AK2">
        <f>BDH("VIK US Equity","CF_CASH_FROM_OPER","1993-06-18","2026-05-02","Per=Y","Days=T","Dir=V")</f>
        <v>0</v>
      </c>
      <c r="AM2">
        <f>BDH("VIK US Equity","CAPITAL_EXPEND","1993-06-18","2026-05-02","Per=Y","Days=T","Dir=V")</f>
        <v>0</v>
      </c>
      <c r="AO2">
        <f>BDH("VIK US Equity","CF_FREE_CASH_FLOW","1993-06-18","2026-05-02","Per=Y","Days=T","Dir=V")</f>
        <v>0</v>
      </c>
      <c r="AQ2">
        <f>BDH("VIK US Equity","PX_LAST","1993-06-18","2026-05-02","Per=M","Days=T","Dir=V")</f>
        <v>0</v>
      </c>
      <c r="AS2">
        <f>BDH("VIK US Equity","CUR_MKT_CAP","1993-06-18","2026-05-02","Per=M","Days=T","Dir=V")</f>
        <v>0</v>
      </c>
      <c r="AU2">
        <f>BDH("VIK US Equity","EQY_SH_OUT","1993-06-18","2026-05-02","Per=M","Days=T","Dir=V")</f>
        <v>0</v>
      </c>
      <c r="AW2">
        <f>BDH("VIK US Equity","PX_VOLUME","1993-06-18","2026-05-02","Per=M","Days=T","Dir=V")</f>
        <v>0</v>
      </c>
      <c r="AY2">
        <f>BDH("VIK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BDH("VIR US Equity","BS_TOT_ASSET","1993-06-18","2026-05-02","Per=Y","Days=T","Dir=V")</f>
        <v>0</v>
      </c>
      <c r="C2">
        <f>BDH("VIR US Equity","BS_TOT_LIAB2","1993-06-18","2026-05-02","Per=Y","Days=T","Dir=V")</f>
        <v>0</v>
      </c>
      <c r="E2">
        <f>BDH("VIR US Equity","SHORT_AND_LONG_TERM_DEBT","1993-06-18","2026-05-02","Per=Y","Days=T","Dir=V")</f>
        <v>0</v>
      </c>
      <c r="G2">
        <f>BDH("VIR US Equity","BS_ST_BORROW","1993-06-18","2026-05-02","Per=Y","Days=T","Dir=V")</f>
        <v>0</v>
      </c>
      <c r="I2">
        <f>BDH("VIR US Equity","BS_LT_BORROW","1993-06-18","2026-05-02","Per=Y","Days=T","Dir=V")</f>
        <v>0</v>
      </c>
      <c r="K2">
        <f>BDH("VIR US Equity","BS_CASH_NEAR_CASH_ITEM","1993-06-18","2026-05-02","Per=Y","Days=T","Dir=V")</f>
        <v>0</v>
      </c>
      <c r="M2">
        <f>BDH("VIR US Equity","BS_CUR_ASSET_REPORT","1993-06-18","2026-05-02","Per=Y","Days=T","Dir=V")</f>
        <v>0</v>
      </c>
      <c r="O2">
        <f>BDH("VIR US Equity","BS_CUR_LIAB","1993-06-18","2026-05-02","Per=Y","Days=T","Dir=V")</f>
        <v>0</v>
      </c>
      <c r="Q2">
        <f>BDH("VIR US Equity","BS_SHAREHOLDER_EQY_ENDING_PERIOD","1993-06-18","2026-05-02","Per=Y","Days=T","Dir=V")</f>
        <v>0</v>
      </c>
      <c r="S2">
        <f>BDH("VIR US Equity","BS_ACCT_NOTE_RCV","1993-06-18","2026-05-02","Per=Y","Days=T","Dir=V")</f>
        <v>0</v>
      </c>
      <c r="U2">
        <f>BDH("VIR US Equity","BS_INVENTORIES","1993-06-18","2026-05-02","Per=Y","Days=T","Dir=V")</f>
        <v>0</v>
      </c>
      <c r="W2">
        <f>BDH("VIR US Equity","WORKING_CAPITAL","1993-06-18","2026-05-02","Per=Y","Days=T","Dir=V")</f>
        <v>0</v>
      </c>
      <c r="Y2">
        <f>BDH("VIR US Equity","SALES_REV_TURN","1993-06-18","2026-05-02","Per=Y","Days=T","Dir=V")</f>
        <v>0</v>
      </c>
      <c r="AA2">
        <f>BDH("VIR US Equity","EBIT","1993-06-18","2026-05-02","Per=Y","Days=T","Dir=V")</f>
        <v>0</v>
      </c>
      <c r="AC2">
        <f>BDH("VIR US Equity","EBITDA","1993-06-18","2026-05-02","Per=Y","Days=T","Dir=V")</f>
        <v>0</v>
      </c>
      <c r="AE2">
        <f>BDH("VIR US Equity","NET_INCOME","1993-06-18","2026-05-02","Per=Y","Days=T","Dir=V")</f>
        <v>0</v>
      </c>
      <c r="AG2">
        <f>BDH("VIR US Equity","IS_INT_EXPENSE","1993-06-18","2026-05-02","Per=Y","Days=T","Dir=V")</f>
        <v>0</v>
      </c>
      <c r="AI2">
        <f>BDH("VIR US Equity","IS_DEPR_EXP","1993-06-18","2026-05-02","Per=Y","Days=T","Dir=V")</f>
        <v>0</v>
      </c>
      <c r="AK2">
        <f>BDH("VIR US Equity","CF_CASH_FROM_OPER","1993-06-18","2026-05-02","Per=Y","Days=T","Dir=V")</f>
        <v>0</v>
      </c>
      <c r="AM2">
        <f>BDH("VIR US Equity","CAPITAL_EXPEND","1993-06-18","2026-05-02","Per=Y","Days=T","Dir=V")</f>
        <v>0</v>
      </c>
      <c r="AO2">
        <f>BDH("VIR US Equity","CF_FREE_CASH_FLOW","1993-06-18","2026-05-02","Per=Y","Days=T","Dir=V")</f>
        <v>0</v>
      </c>
      <c r="AQ2">
        <f>BDH("VIR US Equity","PX_LAST","1993-06-18","2026-05-02","Per=M","Days=T","Dir=V")</f>
        <v>0</v>
      </c>
      <c r="AS2">
        <f>BDH("VIR US Equity","CUR_MKT_CAP","1993-06-18","2026-05-02","Per=M","Days=T","Dir=V")</f>
        <v>0</v>
      </c>
      <c r="AU2">
        <f>BDH("VIR US Equity","EQY_SH_OUT","1993-06-18","2026-05-02","Per=M","Days=T","Dir=V")</f>
        <v>0</v>
      </c>
      <c r="AW2">
        <f>BDH("VIR US Equity","PX_VOLUME","1993-06-18","2026-05-02","Per=M","Days=T","Dir=V")</f>
        <v>0</v>
      </c>
      <c r="AY2">
        <f>BDH("VIR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BDH("VIRC US Equity","BS_TOT_ASSET","1993-06-18","2026-05-02","Per=Y","Days=T","Dir=V")</f>
        <v>0</v>
      </c>
      <c r="C2">
        <f>BDH("VIRC US Equity","BS_TOT_LIAB2","1993-06-18","2026-05-02","Per=Y","Days=T","Dir=V")</f>
        <v>0</v>
      </c>
      <c r="E2">
        <f>BDH("VIRC US Equity","SHORT_AND_LONG_TERM_DEBT","1993-06-18","2026-05-02","Per=Y","Days=T","Dir=V")</f>
        <v>0</v>
      </c>
      <c r="G2">
        <f>BDH("VIRC US Equity","BS_ST_BORROW","1993-06-18","2026-05-02","Per=Y","Days=T","Dir=V")</f>
        <v>0</v>
      </c>
      <c r="I2">
        <f>BDH("VIRC US Equity","BS_LT_BORROW","1993-06-18","2026-05-02","Per=Y","Days=T","Dir=V")</f>
        <v>0</v>
      </c>
      <c r="K2">
        <f>BDH("VIRC US Equity","BS_CASH_NEAR_CASH_ITEM","1993-06-18","2026-05-02","Per=Y","Days=T","Dir=V")</f>
        <v>0</v>
      </c>
      <c r="M2">
        <f>BDH("VIRC US Equity","BS_CUR_ASSET_REPORT","1993-06-18","2026-05-02","Per=Y","Days=T","Dir=V")</f>
        <v>0</v>
      </c>
      <c r="O2">
        <f>BDH("VIRC US Equity","BS_CUR_LIAB","1993-06-18","2026-05-02","Per=Y","Days=T","Dir=V")</f>
        <v>0</v>
      </c>
      <c r="Q2">
        <f>BDH("VIRC US Equity","BS_SHAREHOLDER_EQY_ENDING_PERIOD","1993-06-18","2026-05-02","Per=Y","Days=T","Dir=V")</f>
        <v>0</v>
      </c>
      <c r="S2">
        <f>BDH("VIRC US Equity","BS_ACCT_NOTE_RCV","1993-06-18","2026-05-02","Per=Y","Days=T","Dir=V")</f>
        <v>0</v>
      </c>
      <c r="U2">
        <f>BDH("VIRC US Equity","BS_INVENTORIES","1993-06-18","2026-05-02","Per=Y","Days=T","Dir=V")</f>
        <v>0</v>
      </c>
      <c r="W2">
        <f>BDH("VIRC US Equity","WORKING_CAPITAL","1993-06-18","2026-05-02","Per=Y","Days=T","Dir=V")</f>
        <v>0</v>
      </c>
      <c r="Y2">
        <f>BDH("VIRC US Equity","SALES_REV_TURN","1993-06-18","2026-05-02","Per=Y","Days=T","Dir=V")</f>
        <v>0</v>
      </c>
      <c r="AA2">
        <f>BDH("VIRC US Equity","EBIT","1993-06-18","2026-05-02","Per=Y","Days=T","Dir=V")</f>
        <v>0</v>
      </c>
      <c r="AC2">
        <f>BDH("VIRC US Equity","EBITDA","1993-06-18","2026-05-02","Per=Y","Days=T","Dir=V")</f>
        <v>0</v>
      </c>
      <c r="AE2">
        <f>BDH("VIRC US Equity","NET_INCOME","1993-06-18","2026-05-02","Per=Y","Days=T","Dir=V")</f>
        <v>0</v>
      </c>
      <c r="AG2">
        <f>BDH("VIRC US Equity","IS_INT_EXPENSE","1993-06-18","2026-05-02","Per=Y","Days=T","Dir=V")</f>
        <v>0</v>
      </c>
      <c r="AI2">
        <f>BDH("VIRC US Equity","IS_DEPR_EXP","1993-06-18","2026-05-02","Per=Y","Days=T","Dir=V")</f>
        <v>0</v>
      </c>
      <c r="AK2">
        <f>BDH("VIRC US Equity","CF_CASH_FROM_OPER","1993-06-18","2026-05-02","Per=Y","Days=T","Dir=V")</f>
        <v>0</v>
      </c>
      <c r="AM2">
        <f>BDH("VIRC US Equity","CAPITAL_EXPEND","1993-06-18","2026-05-02","Per=Y","Days=T","Dir=V")</f>
        <v>0</v>
      </c>
      <c r="AO2">
        <f>BDH("VIRC US Equity","CF_FREE_CASH_FLOW","1993-06-18","2026-05-02","Per=Y","Days=T","Dir=V")</f>
        <v>0</v>
      </c>
      <c r="AQ2">
        <f>BDH("VIRC US Equity","PX_LAST","1993-06-18","2026-05-02","Per=M","Days=T","Dir=V")</f>
        <v>0</v>
      </c>
      <c r="AS2">
        <f>BDH("VIRC US Equity","CUR_MKT_CAP","1993-06-18","2026-05-02","Per=M","Days=T","Dir=V")</f>
        <v>0</v>
      </c>
      <c r="AU2">
        <f>BDH("VIRC US Equity","EQY_SH_OUT","1993-06-18","2026-05-02","Per=M","Days=T","Dir=V")</f>
        <v>0</v>
      </c>
      <c r="AW2">
        <f>BDH("VIRC US Equity","PX_VOLUME","1993-06-18","2026-05-02","Per=M","Days=T","Dir=V")</f>
        <v>0</v>
      </c>
      <c r="AY2">
        <f>BDH("VIRC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BDH("VISN US Equity","BS_TOT_ASSET","1993-06-18","2026-05-02","Per=Y","Days=T","Dir=V")</f>
        <v>0</v>
      </c>
      <c r="C2">
        <f>BDH("VISN US Equity","BS_TOT_LIAB2","1993-06-18","2026-05-02","Per=Y","Days=T","Dir=V")</f>
        <v>0</v>
      </c>
      <c r="E2">
        <f>BDH("VISN US Equity","SHORT_AND_LONG_TERM_DEBT","1993-06-18","2026-05-02","Per=Y","Days=T","Dir=V")</f>
        <v>0</v>
      </c>
      <c r="G2">
        <f>BDH("VISN US Equity","BS_ST_BORROW","1993-06-18","2026-05-02","Per=Y","Days=T","Dir=V")</f>
        <v>0</v>
      </c>
      <c r="I2">
        <f>BDH("VISN US Equity","BS_LT_BORROW","1993-06-18","2026-05-02","Per=Y","Days=T","Dir=V")</f>
        <v>0</v>
      </c>
      <c r="K2">
        <f>BDH("VISN US Equity","BS_CASH_NEAR_CASH_ITEM","1993-06-18","2026-05-02","Per=Y","Days=T","Dir=V")</f>
        <v>0</v>
      </c>
      <c r="M2">
        <f>BDH("VISN US Equity","BS_CUR_ASSET_REPORT","1993-06-18","2026-05-02","Per=Y","Days=T","Dir=V")</f>
        <v>0</v>
      </c>
      <c r="O2">
        <f>BDH("VISN US Equity","BS_CUR_LIAB","1993-06-18","2026-05-02","Per=Y","Days=T","Dir=V")</f>
        <v>0</v>
      </c>
      <c r="Q2">
        <f>BDH("VISN US Equity","BS_SHAREHOLDER_EQY_ENDING_PERIOD","1993-06-18","2026-05-02","Per=Y","Days=T","Dir=V")</f>
        <v>0</v>
      </c>
      <c r="S2">
        <f>BDH("VISN US Equity","BS_ACCT_NOTE_RCV","1993-06-18","2026-05-02","Per=Y","Days=T","Dir=V")</f>
        <v>0</v>
      </c>
      <c r="U2">
        <f>BDH("VISN US Equity","BS_INVENTORIES","1993-06-18","2026-05-02","Per=Y","Days=T","Dir=V")</f>
        <v>0</v>
      </c>
      <c r="W2">
        <f>BDH("VISN US Equity","WORKING_CAPITAL","1993-06-18","2026-05-02","Per=Y","Days=T","Dir=V")</f>
        <v>0</v>
      </c>
      <c r="Y2">
        <f>BDH("VISN US Equity","SALES_REV_TURN","1993-06-18","2026-05-02","Per=Y","Days=T","Dir=V")</f>
        <v>0</v>
      </c>
      <c r="AA2">
        <f>BDH("VISN US Equity","EBIT","1993-06-18","2026-05-02","Per=Y","Days=T","Dir=V")</f>
        <v>0</v>
      </c>
      <c r="AC2">
        <f>BDH("VISN US Equity","EBITDA","1993-06-18","2026-05-02","Per=Y","Days=T","Dir=V")</f>
        <v>0</v>
      </c>
      <c r="AE2">
        <f>BDH("VISN US Equity","NET_INCOME","1993-06-18","2026-05-02","Per=Y","Days=T","Dir=V")</f>
        <v>0</v>
      </c>
      <c r="AG2">
        <f>BDH("VISN US Equity","IS_INT_EXPENSE","1993-06-18","2026-05-02","Per=Y","Days=T","Dir=V")</f>
        <v>0</v>
      </c>
      <c r="AI2">
        <f>BDH("VISN US Equity","IS_DEPR_EXP","1993-06-18","2026-05-02","Per=Y","Days=T","Dir=V")</f>
        <v>0</v>
      </c>
      <c r="AK2">
        <f>BDH("VISN US Equity","CF_CASH_FROM_OPER","1993-06-18","2026-05-02","Per=Y","Days=T","Dir=V")</f>
        <v>0</v>
      </c>
      <c r="AM2">
        <f>BDH("VISN US Equity","CAPITAL_EXPEND","1993-06-18","2026-05-02","Per=Y","Days=T","Dir=V")</f>
        <v>0</v>
      </c>
      <c r="AO2">
        <f>BDH("VISN US Equity","CF_FREE_CASH_FLOW","1993-06-18","2026-05-02","Per=Y","Days=T","Dir=V")</f>
        <v>0</v>
      </c>
      <c r="AQ2">
        <f>BDH("VISN US Equity","PX_LAST","1993-06-18","2026-05-02","Per=M","Days=T","Dir=V")</f>
        <v>0</v>
      </c>
      <c r="AS2">
        <f>BDH("VISN US Equity","CUR_MKT_CAP","1993-06-18","2026-05-02","Per=M","Days=T","Dir=V")</f>
        <v>0</v>
      </c>
      <c r="AU2">
        <f>BDH("VISN US Equity","EQY_SH_OUT","1993-06-18","2026-05-02","Per=M","Days=T","Dir=V")</f>
        <v>0</v>
      </c>
      <c r="AW2">
        <f>BDH("VISN US Equity","PX_VOLUME","1993-06-18","2026-05-02","Per=M","Days=T","Dir=V")</f>
        <v>0</v>
      </c>
      <c r="AY2">
        <f>BDH("VISN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BDH("VITL US Equity","BS_TOT_ASSET","1993-06-18","2026-05-02","Per=Y","Days=T","Dir=V")</f>
        <v>0</v>
      </c>
      <c r="C2">
        <f>BDH("VITL US Equity","BS_TOT_LIAB2","1993-06-18","2026-05-02","Per=Y","Days=T","Dir=V")</f>
        <v>0</v>
      </c>
      <c r="E2">
        <f>BDH("VITL US Equity","SHORT_AND_LONG_TERM_DEBT","1993-06-18","2026-05-02","Per=Y","Days=T","Dir=V")</f>
        <v>0</v>
      </c>
      <c r="G2">
        <f>BDH("VITL US Equity","BS_ST_BORROW","1993-06-18","2026-05-02","Per=Y","Days=T","Dir=V")</f>
        <v>0</v>
      </c>
      <c r="I2">
        <f>BDH("VITL US Equity","BS_LT_BORROW","1993-06-18","2026-05-02","Per=Y","Days=T","Dir=V")</f>
        <v>0</v>
      </c>
      <c r="K2">
        <f>BDH("VITL US Equity","BS_CASH_NEAR_CASH_ITEM","1993-06-18","2026-05-02","Per=Y","Days=T","Dir=V")</f>
        <v>0</v>
      </c>
      <c r="M2">
        <f>BDH("VITL US Equity","BS_CUR_ASSET_REPORT","1993-06-18","2026-05-02","Per=Y","Days=T","Dir=V")</f>
        <v>0</v>
      </c>
      <c r="O2">
        <f>BDH("VITL US Equity","BS_CUR_LIAB","1993-06-18","2026-05-02","Per=Y","Days=T","Dir=V")</f>
        <v>0</v>
      </c>
      <c r="Q2">
        <f>BDH("VITL US Equity","BS_SHAREHOLDER_EQY_ENDING_PERIOD","1993-06-18","2026-05-02","Per=Y","Days=T","Dir=V")</f>
        <v>0</v>
      </c>
      <c r="S2">
        <f>BDH("VITL US Equity","BS_ACCT_NOTE_RCV","1993-06-18","2026-05-02","Per=Y","Days=T","Dir=V")</f>
        <v>0</v>
      </c>
      <c r="U2">
        <f>BDH("VITL US Equity","BS_INVENTORIES","1993-06-18","2026-05-02","Per=Y","Days=T","Dir=V")</f>
        <v>0</v>
      </c>
      <c r="W2">
        <f>BDH("VITL US Equity","WORKING_CAPITAL","1993-06-18","2026-05-02","Per=Y","Days=T","Dir=V")</f>
        <v>0</v>
      </c>
      <c r="Y2">
        <f>BDH("VITL US Equity","SALES_REV_TURN","1993-06-18","2026-05-02","Per=Y","Days=T","Dir=V")</f>
        <v>0</v>
      </c>
      <c r="AA2">
        <f>BDH("VITL US Equity","EBIT","1993-06-18","2026-05-02","Per=Y","Days=T","Dir=V")</f>
        <v>0</v>
      </c>
      <c r="AC2">
        <f>BDH("VITL US Equity","EBITDA","1993-06-18","2026-05-02","Per=Y","Days=T","Dir=V")</f>
        <v>0</v>
      </c>
      <c r="AE2">
        <f>BDH("VITL US Equity","NET_INCOME","1993-06-18","2026-05-02","Per=Y","Days=T","Dir=V")</f>
        <v>0</v>
      </c>
      <c r="AG2">
        <f>BDH("VITL US Equity","IS_INT_EXPENSE","1993-06-18","2026-05-02","Per=Y","Days=T","Dir=V")</f>
        <v>0</v>
      </c>
      <c r="AI2">
        <f>BDH("VITL US Equity","IS_DEPR_EXP","1993-06-18","2026-05-02","Per=Y","Days=T","Dir=V")</f>
        <v>0</v>
      </c>
      <c r="AK2">
        <f>BDH("VITL US Equity","CF_CASH_FROM_OPER","1993-06-18","2026-05-02","Per=Y","Days=T","Dir=V")</f>
        <v>0</v>
      </c>
      <c r="AM2">
        <f>BDH("VITL US Equity","CAPITAL_EXPEND","1993-06-18","2026-05-02","Per=Y","Days=T","Dir=V")</f>
        <v>0</v>
      </c>
      <c r="AO2">
        <f>BDH("VITL US Equity","CF_FREE_CASH_FLOW","1993-06-18","2026-05-02","Per=Y","Days=T","Dir=V")</f>
        <v>0</v>
      </c>
      <c r="AQ2">
        <f>BDH("VITL US Equity","PX_LAST","1993-06-18","2026-05-02","Per=M","Days=T","Dir=V")</f>
        <v>0</v>
      </c>
      <c r="AS2">
        <f>BDH("VITL US Equity","CUR_MKT_CAP","1993-06-18","2026-05-02","Per=M","Days=T","Dir=V")</f>
        <v>0</v>
      </c>
      <c r="AU2">
        <f>BDH("VITL US Equity","EQY_SH_OUT","1993-06-18","2026-05-02","Per=M","Days=T","Dir=V")</f>
        <v>0</v>
      </c>
      <c r="AW2">
        <f>BDH("VITL US Equity","PX_VOLUME","1993-06-18","2026-05-02","Per=M","Days=T","Dir=V")</f>
        <v>0</v>
      </c>
      <c r="AY2">
        <f>BDH("VITL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BDH("VIVK US Equity","BS_TOT_ASSET","1993-06-18","2026-05-02","Per=Y","Days=T","Dir=V")</f>
        <v>0</v>
      </c>
      <c r="C2">
        <f>BDH("VIVK US Equity","BS_TOT_LIAB2","1993-06-18","2026-05-02","Per=Y","Days=T","Dir=V")</f>
        <v>0</v>
      </c>
      <c r="E2">
        <f>BDH("VIVK US Equity","SHORT_AND_LONG_TERM_DEBT","1993-06-18","2026-05-02","Per=Y","Days=T","Dir=V")</f>
        <v>0</v>
      </c>
      <c r="G2">
        <f>BDH("VIVK US Equity","BS_ST_BORROW","1993-06-18","2026-05-02","Per=Y","Days=T","Dir=V")</f>
        <v>0</v>
      </c>
      <c r="I2">
        <f>BDH("VIVK US Equity","BS_LT_BORROW","1993-06-18","2026-05-02","Per=Y","Days=T","Dir=V")</f>
        <v>0</v>
      </c>
      <c r="K2">
        <f>BDH("VIVK US Equity","BS_CASH_NEAR_CASH_ITEM","1993-06-18","2026-05-02","Per=Y","Days=T","Dir=V")</f>
        <v>0</v>
      </c>
      <c r="M2">
        <f>BDH("VIVK US Equity","BS_CUR_ASSET_REPORT","1993-06-18","2026-05-02","Per=Y","Days=T","Dir=V")</f>
        <v>0</v>
      </c>
      <c r="O2">
        <f>BDH("VIVK US Equity","BS_CUR_LIAB","1993-06-18","2026-05-02","Per=Y","Days=T","Dir=V")</f>
        <v>0</v>
      </c>
      <c r="Q2">
        <f>BDH("VIVK US Equity","BS_SHAREHOLDER_EQY_ENDING_PERIOD","1993-06-18","2026-05-02","Per=Y","Days=T","Dir=V")</f>
        <v>0</v>
      </c>
      <c r="S2">
        <f>BDH("VIVK US Equity","BS_ACCT_NOTE_RCV","1993-06-18","2026-05-02","Per=Y","Days=T","Dir=V")</f>
        <v>0</v>
      </c>
      <c r="U2">
        <f>BDH("VIVK US Equity","BS_INVENTORIES","1993-06-18","2026-05-02","Per=Y","Days=T","Dir=V")</f>
        <v>0</v>
      </c>
      <c r="W2">
        <f>BDH("VIVK US Equity","WORKING_CAPITAL","1993-06-18","2026-05-02","Per=Y","Days=T","Dir=V")</f>
        <v>0</v>
      </c>
      <c r="Y2">
        <f>BDH("VIVK US Equity","SALES_REV_TURN","1993-06-18","2026-05-02","Per=Y","Days=T","Dir=V")</f>
        <v>0</v>
      </c>
      <c r="AA2">
        <f>BDH("VIVK US Equity","EBIT","1993-06-18","2026-05-02","Per=Y","Days=T","Dir=V")</f>
        <v>0</v>
      </c>
      <c r="AC2">
        <f>BDH("VIVK US Equity","EBITDA","1993-06-18","2026-05-02","Per=Y","Days=T","Dir=V")</f>
        <v>0</v>
      </c>
      <c r="AE2">
        <f>BDH("VIVK US Equity","NET_INCOME","1993-06-18","2026-05-02","Per=Y","Days=T","Dir=V")</f>
        <v>0</v>
      </c>
      <c r="AG2">
        <f>BDH("VIVK US Equity","IS_INT_EXPENSE","1993-06-18","2026-05-02","Per=Y","Days=T","Dir=V")</f>
        <v>0</v>
      </c>
      <c r="AI2">
        <f>BDH("VIVK US Equity","IS_DEPR_EXP","1993-06-18","2026-05-02","Per=Y","Days=T","Dir=V")</f>
        <v>0</v>
      </c>
      <c r="AK2">
        <f>BDH("VIVK US Equity","CF_CASH_FROM_OPER","1993-06-18","2026-05-02","Per=Y","Days=T","Dir=V")</f>
        <v>0</v>
      </c>
      <c r="AM2">
        <f>BDH("VIVK US Equity","CAPITAL_EXPEND","1993-06-18","2026-05-02","Per=Y","Days=T","Dir=V")</f>
        <v>0</v>
      </c>
      <c r="AO2">
        <f>BDH("VIVK US Equity","CF_FREE_CASH_FLOW","1993-06-18","2026-05-02","Per=Y","Days=T","Dir=V")</f>
        <v>0</v>
      </c>
      <c r="AQ2">
        <f>BDH("VIVK US Equity","PX_LAST","1993-06-18","2026-05-02","Per=M","Days=T","Dir=V")</f>
        <v>0</v>
      </c>
      <c r="AS2">
        <f>BDH("VIVK US Equity","CUR_MKT_CAP","1993-06-18","2026-05-02","Per=M","Days=T","Dir=V")</f>
        <v>0</v>
      </c>
      <c r="AU2">
        <f>BDH("VIVK US Equity","EQY_SH_OUT","1993-06-18","2026-05-02","Per=M","Days=T","Dir=V")</f>
        <v>0</v>
      </c>
      <c r="AW2">
        <f>BDH("VIVK US Equity","PX_VOLUME","1993-06-18","2026-05-02","Per=M","Days=T","Dir=V")</f>
        <v>0</v>
      </c>
      <c r="AY2">
        <f>BDH("VIVK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BDH("VIVS US Equity","BS_TOT_ASSET","1993-06-18","2026-05-02","Per=Y","Days=T","Dir=V")</f>
        <v>0</v>
      </c>
      <c r="C2">
        <f>BDH("VIVS US Equity","BS_TOT_LIAB2","1993-06-18","2026-05-02","Per=Y","Days=T","Dir=V")</f>
        <v>0</v>
      </c>
      <c r="E2">
        <f>BDH("VIVS US Equity","SHORT_AND_LONG_TERM_DEBT","1993-06-18","2026-05-02","Per=Y","Days=T","Dir=V")</f>
        <v>0</v>
      </c>
      <c r="G2">
        <f>BDH("VIVS US Equity","BS_ST_BORROW","1993-06-18","2026-05-02","Per=Y","Days=T","Dir=V")</f>
        <v>0</v>
      </c>
      <c r="I2">
        <f>BDH("VIVS US Equity","BS_LT_BORROW","1993-06-18","2026-05-02","Per=Y","Days=T","Dir=V")</f>
        <v>0</v>
      </c>
      <c r="K2">
        <f>BDH("VIVS US Equity","BS_CASH_NEAR_CASH_ITEM","1993-06-18","2026-05-02","Per=Y","Days=T","Dir=V")</f>
        <v>0</v>
      </c>
      <c r="M2">
        <f>BDH("VIVS US Equity","BS_CUR_ASSET_REPORT","1993-06-18","2026-05-02","Per=Y","Days=T","Dir=V")</f>
        <v>0</v>
      </c>
      <c r="O2">
        <f>BDH("VIVS US Equity","BS_CUR_LIAB","1993-06-18","2026-05-02","Per=Y","Days=T","Dir=V")</f>
        <v>0</v>
      </c>
      <c r="Q2">
        <f>BDH("VIVS US Equity","BS_SHAREHOLDER_EQY_ENDING_PERIOD","1993-06-18","2026-05-02","Per=Y","Days=T","Dir=V")</f>
        <v>0</v>
      </c>
      <c r="S2">
        <f>BDH("VIVS US Equity","BS_ACCT_NOTE_RCV","1993-06-18","2026-05-02","Per=Y","Days=T","Dir=V")</f>
        <v>0</v>
      </c>
      <c r="U2">
        <f>BDH("VIVS US Equity","BS_INVENTORIES","1993-06-18","2026-05-02","Per=Y","Days=T","Dir=V")</f>
        <v>0</v>
      </c>
      <c r="W2">
        <f>BDH("VIVS US Equity","WORKING_CAPITAL","1993-06-18","2026-05-02","Per=Y","Days=T","Dir=V")</f>
        <v>0</v>
      </c>
      <c r="Y2">
        <f>BDH("VIVS US Equity","SALES_REV_TURN","1993-06-18","2026-05-02","Per=Y","Days=T","Dir=V")</f>
        <v>0</v>
      </c>
      <c r="AA2">
        <f>BDH("VIVS US Equity","EBIT","1993-06-18","2026-05-02","Per=Y","Days=T","Dir=V")</f>
        <v>0</v>
      </c>
      <c r="AC2">
        <f>BDH("VIVS US Equity","EBITDA","1993-06-18","2026-05-02","Per=Y","Days=T","Dir=V")</f>
        <v>0</v>
      </c>
      <c r="AE2">
        <f>BDH("VIVS US Equity","NET_INCOME","1993-06-18","2026-05-02","Per=Y","Days=T","Dir=V")</f>
        <v>0</v>
      </c>
      <c r="AG2">
        <f>BDH("VIVS US Equity","IS_INT_EXPENSE","1993-06-18","2026-05-02","Per=Y","Days=T","Dir=V")</f>
        <v>0</v>
      </c>
      <c r="AI2">
        <f>BDH("VIVS US Equity","IS_DEPR_EXP","1993-06-18","2026-05-02","Per=Y","Days=T","Dir=V")</f>
        <v>0</v>
      </c>
      <c r="AK2">
        <f>BDH("VIVS US Equity","CF_CASH_FROM_OPER","1993-06-18","2026-05-02","Per=Y","Days=T","Dir=V")</f>
        <v>0</v>
      </c>
      <c r="AM2">
        <f>BDH("VIVS US Equity","CAPITAL_EXPEND","1993-06-18","2026-05-02","Per=Y","Days=T","Dir=V")</f>
        <v>0</v>
      </c>
      <c r="AO2">
        <f>BDH("VIVS US Equity","CF_FREE_CASH_FLOW","1993-06-18","2026-05-02","Per=Y","Days=T","Dir=V")</f>
        <v>0</v>
      </c>
      <c r="AQ2">
        <f>BDH("VIVS US Equity","PX_LAST","1993-06-18","2026-05-02","Per=M","Days=T","Dir=V")</f>
        <v>0</v>
      </c>
      <c r="AS2">
        <f>BDH("VIVS US Equity","CUR_MKT_CAP","1993-06-18","2026-05-02","Per=M","Days=T","Dir=V")</f>
        <v>0</v>
      </c>
      <c r="AU2">
        <f>BDH("VIVS US Equity","EQY_SH_OUT","1993-06-18","2026-05-02","Per=M","Days=T","Dir=V")</f>
        <v>0</v>
      </c>
      <c r="AW2">
        <f>BDH("VIVS US Equity","PX_VOLUME","1993-06-18","2026-05-02","Per=M","Days=T","Dir=V")</f>
        <v>0</v>
      </c>
      <c r="AY2">
        <f>BDH("VIVS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BDH("VKTX US Equity","BS_TOT_ASSET","1993-06-18","2026-05-02","Per=Y","Days=T","Dir=V")</f>
        <v>0</v>
      </c>
      <c r="C2">
        <f>BDH("VKTX US Equity","BS_TOT_LIAB2","1993-06-18","2026-05-02","Per=Y","Days=T","Dir=V")</f>
        <v>0</v>
      </c>
      <c r="E2">
        <f>BDH("VKTX US Equity","SHORT_AND_LONG_TERM_DEBT","1993-06-18","2026-05-02","Per=Y","Days=T","Dir=V")</f>
        <v>0</v>
      </c>
      <c r="G2">
        <f>BDH("VKTX US Equity","BS_ST_BORROW","1993-06-18","2026-05-02","Per=Y","Days=T","Dir=V")</f>
        <v>0</v>
      </c>
      <c r="I2">
        <f>BDH("VKTX US Equity","BS_LT_BORROW","1993-06-18","2026-05-02","Per=Y","Days=T","Dir=V")</f>
        <v>0</v>
      </c>
      <c r="K2">
        <f>BDH("VKTX US Equity","BS_CASH_NEAR_CASH_ITEM","1993-06-18","2026-05-02","Per=Y","Days=T","Dir=V")</f>
        <v>0</v>
      </c>
      <c r="M2">
        <f>BDH("VKTX US Equity","BS_CUR_ASSET_REPORT","1993-06-18","2026-05-02","Per=Y","Days=T","Dir=V")</f>
        <v>0</v>
      </c>
      <c r="O2">
        <f>BDH("VKTX US Equity","BS_CUR_LIAB","1993-06-18","2026-05-02","Per=Y","Days=T","Dir=V")</f>
        <v>0</v>
      </c>
      <c r="Q2">
        <f>BDH("VKTX US Equity","BS_SHAREHOLDER_EQY_ENDING_PERIOD","1993-06-18","2026-05-02","Per=Y","Days=T","Dir=V")</f>
        <v>0</v>
      </c>
      <c r="S2">
        <f>BDH("VKTX US Equity","BS_ACCT_NOTE_RCV","1993-06-18","2026-05-02","Per=Y","Days=T","Dir=V")</f>
        <v>0</v>
      </c>
      <c r="U2">
        <f>BDH("VKTX US Equity","BS_INVENTORIES","1993-06-18","2026-05-02","Per=Y","Days=T","Dir=V")</f>
        <v>0</v>
      </c>
      <c r="W2">
        <f>BDH("VKTX US Equity","WORKING_CAPITAL","1993-06-18","2026-05-02","Per=Y","Days=T","Dir=V")</f>
        <v>0</v>
      </c>
      <c r="Y2">
        <f>BDH("VKTX US Equity","SALES_REV_TURN","1993-06-18","2026-05-02","Per=Y","Days=T","Dir=V")</f>
        <v>0</v>
      </c>
      <c r="AA2">
        <f>BDH("VKTX US Equity","EBIT","1993-06-18","2026-05-02","Per=Y","Days=T","Dir=V")</f>
        <v>0</v>
      </c>
      <c r="AC2">
        <f>BDH("VKTX US Equity","EBITDA","1993-06-18","2026-05-02","Per=Y","Days=T","Dir=V")</f>
        <v>0</v>
      </c>
      <c r="AE2">
        <f>BDH("VKTX US Equity","NET_INCOME","1993-06-18","2026-05-02","Per=Y","Days=T","Dir=V")</f>
        <v>0</v>
      </c>
      <c r="AG2">
        <f>BDH("VKTX US Equity","IS_INT_EXPENSE","1993-06-18","2026-05-02","Per=Y","Days=T","Dir=V")</f>
        <v>0</v>
      </c>
      <c r="AI2">
        <f>BDH("VKTX US Equity","IS_DEPR_EXP","1993-06-18","2026-05-02","Per=Y","Days=T","Dir=V")</f>
        <v>0</v>
      </c>
      <c r="AK2">
        <f>BDH("VKTX US Equity","CF_CASH_FROM_OPER","1993-06-18","2026-05-02","Per=Y","Days=T","Dir=V")</f>
        <v>0</v>
      </c>
      <c r="AM2">
        <f>BDH("VKTX US Equity","CAPITAL_EXPEND","1993-06-18","2026-05-02","Per=Y","Days=T","Dir=V")</f>
        <v>0</v>
      </c>
      <c r="AO2">
        <f>BDH("VKTX US Equity","CF_FREE_CASH_FLOW","1993-06-18","2026-05-02","Per=Y","Days=T","Dir=V")</f>
        <v>0</v>
      </c>
      <c r="AQ2">
        <f>BDH("VKTX US Equity","PX_LAST","1993-06-18","2026-05-02","Per=M","Days=T","Dir=V")</f>
        <v>0</v>
      </c>
      <c r="AS2">
        <f>BDH("VKTX US Equity","CUR_MKT_CAP","1993-06-18","2026-05-02","Per=M","Days=T","Dir=V")</f>
        <v>0</v>
      </c>
      <c r="AU2">
        <f>BDH("VKTX US Equity","EQY_SH_OUT","1993-06-18","2026-05-02","Per=M","Days=T","Dir=V")</f>
        <v>0</v>
      </c>
      <c r="AW2">
        <f>BDH("VKTX US Equity","PX_VOLUME","1993-06-18","2026-05-02","Per=M","Days=T","Dir=V")</f>
        <v>0</v>
      </c>
      <c r="AY2">
        <f>BDH("VKTX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BDH("VLGEA US Equity","BS_TOT_ASSET","1993-06-18","2026-05-02","Per=Y","Days=T","Dir=V")</f>
        <v>0</v>
      </c>
      <c r="C2">
        <f>BDH("VLGEA US Equity","BS_TOT_LIAB2","1993-06-18","2026-05-02","Per=Y","Days=T","Dir=V")</f>
        <v>0</v>
      </c>
      <c r="E2">
        <f>BDH("VLGEA US Equity","SHORT_AND_LONG_TERM_DEBT","1993-06-18","2026-05-02","Per=Y","Days=T","Dir=V")</f>
        <v>0</v>
      </c>
      <c r="G2">
        <f>BDH("VLGEA US Equity","BS_ST_BORROW","1993-06-18","2026-05-02","Per=Y","Days=T","Dir=V")</f>
        <v>0</v>
      </c>
      <c r="I2">
        <f>BDH("VLGEA US Equity","BS_LT_BORROW","1993-06-18","2026-05-02","Per=Y","Days=T","Dir=V")</f>
        <v>0</v>
      </c>
      <c r="K2">
        <f>BDH("VLGEA US Equity","BS_CASH_NEAR_CASH_ITEM","1993-06-18","2026-05-02","Per=Y","Days=T","Dir=V")</f>
        <v>0</v>
      </c>
      <c r="M2">
        <f>BDH("VLGEA US Equity","BS_CUR_ASSET_REPORT","1993-06-18","2026-05-02","Per=Y","Days=T","Dir=V")</f>
        <v>0</v>
      </c>
      <c r="O2">
        <f>BDH("VLGEA US Equity","BS_CUR_LIAB","1993-06-18","2026-05-02","Per=Y","Days=T","Dir=V")</f>
        <v>0</v>
      </c>
      <c r="Q2">
        <f>BDH("VLGEA US Equity","BS_SHAREHOLDER_EQY_ENDING_PERIOD","1993-06-18","2026-05-02","Per=Y","Days=T","Dir=V")</f>
        <v>0</v>
      </c>
      <c r="S2">
        <f>BDH("VLGEA US Equity","BS_ACCT_NOTE_RCV","1993-06-18","2026-05-02","Per=Y","Days=T","Dir=V")</f>
        <v>0</v>
      </c>
      <c r="U2">
        <f>BDH("VLGEA US Equity","BS_INVENTORIES","1993-06-18","2026-05-02","Per=Y","Days=T","Dir=V")</f>
        <v>0</v>
      </c>
      <c r="W2">
        <f>BDH("VLGEA US Equity","WORKING_CAPITAL","1993-06-18","2026-05-02","Per=Y","Days=T","Dir=V")</f>
        <v>0</v>
      </c>
      <c r="Y2">
        <f>BDH("VLGEA US Equity","SALES_REV_TURN","1993-06-18","2026-05-02","Per=Y","Days=T","Dir=V")</f>
        <v>0</v>
      </c>
      <c r="AA2">
        <f>BDH("VLGEA US Equity","EBIT","1993-06-18","2026-05-02","Per=Y","Days=T","Dir=V")</f>
        <v>0</v>
      </c>
      <c r="AC2">
        <f>BDH("VLGEA US Equity","EBITDA","1993-06-18","2026-05-02","Per=Y","Days=T","Dir=V")</f>
        <v>0</v>
      </c>
      <c r="AE2">
        <f>BDH("VLGEA US Equity","NET_INCOME","1993-06-18","2026-05-02","Per=Y","Days=T","Dir=V")</f>
        <v>0</v>
      </c>
      <c r="AG2">
        <f>BDH("VLGEA US Equity","IS_INT_EXPENSE","1993-06-18","2026-05-02","Per=Y","Days=T","Dir=V")</f>
        <v>0</v>
      </c>
      <c r="AI2">
        <f>BDH("VLGEA US Equity","IS_DEPR_EXP","1993-06-18","2026-05-02","Per=Y","Days=T","Dir=V")</f>
        <v>0</v>
      </c>
      <c r="AK2">
        <f>BDH("VLGEA US Equity","CF_CASH_FROM_OPER","1993-06-18","2026-05-02","Per=Y","Days=T","Dir=V")</f>
        <v>0</v>
      </c>
      <c r="AM2">
        <f>BDH("VLGEA US Equity","CAPITAL_EXPEND","1993-06-18","2026-05-02","Per=Y","Days=T","Dir=V")</f>
        <v>0</v>
      </c>
      <c r="AO2">
        <f>BDH("VLGEA US Equity","CF_FREE_CASH_FLOW","1993-06-18","2026-05-02","Per=Y","Days=T","Dir=V")</f>
        <v>0</v>
      </c>
      <c r="AQ2">
        <f>BDH("VLGEA US Equity","PX_LAST","1993-06-18","2026-05-02","Per=M","Days=T","Dir=V")</f>
        <v>0</v>
      </c>
      <c r="AS2">
        <f>BDH("VLGEA US Equity","CUR_MKT_CAP","1993-06-18","2026-05-02","Per=M","Days=T","Dir=V")</f>
        <v>0</v>
      </c>
      <c r="AU2">
        <f>BDH("VLGEA US Equity","EQY_SH_OUT","1993-06-18","2026-05-02","Per=M","Days=T","Dir=V")</f>
        <v>0</v>
      </c>
      <c r="AW2">
        <f>BDH("VLGEA US Equity","PX_VOLUME","1993-06-18","2026-05-02","Per=M","Days=T","Dir=V")</f>
        <v>0</v>
      </c>
      <c r="AY2">
        <f>BDH("VLGEA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BDH("VLO US Equity","BS_TOT_ASSET","1993-06-18","2026-05-02","Per=Y","Days=T","Dir=V")</f>
        <v>0</v>
      </c>
      <c r="C2">
        <f>BDH("VLO US Equity","BS_TOT_LIAB2","1993-06-18","2026-05-02","Per=Y","Days=T","Dir=V")</f>
        <v>0</v>
      </c>
      <c r="E2">
        <f>BDH("VLO US Equity","SHORT_AND_LONG_TERM_DEBT","1993-06-18","2026-05-02","Per=Y","Days=T","Dir=V")</f>
        <v>0</v>
      </c>
      <c r="G2">
        <f>BDH("VLO US Equity","BS_ST_BORROW","1993-06-18","2026-05-02","Per=Y","Days=T","Dir=V")</f>
        <v>0</v>
      </c>
      <c r="I2">
        <f>BDH("VLO US Equity","BS_LT_BORROW","1993-06-18","2026-05-02","Per=Y","Days=T","Dir=V")</f>
        <v>0</v>
      </c>
      <c r="K2">
        <f>BDH("VLO US Equity","BS_CASH_NEAR_CASH_ITEM","1993-06-18","2026-05-02","Per=Y","Days=T","Dir=V")</f>
        <v>0</v>
      </c>
      <c r="M2">
        <f>BDH("VLO US Equity","BS_CUR_ASSET_REPORT","1993-06-18","2026-05-02","Per=Y","Days=T","Dir=V")</f>
        <v>0</v>
      </c>
      <c r="O2">
        <f>BDH("VLO US Equity","BS_CUR_LIAB","1993-06-18","2026-05-02","Per=Y","Days=T","Dir=V")</f>
        <v>0</v>
      </c>
      <c r="Q2">
        <f>BDH("VLO US Equity","BS_SHAREHOLDER_EQY_ENDING_PERIOD","1993-06-18","2026-05-02","Per=Y","Days=T","Dir=V")</f>
        <v>0</v>
      </c>
      <c r="S2">
        <f>BDH("VLO US Equity","BS_ACCT_NOTE_RCV","1993-06-18","2026-05-02","Per=Y","Days=T","Dir=V")</f>
        <v>0</v>
      </c>
      <c r="U2">
        <f>BDH("VLO US Equity","BS_INVENTORIES","1993-06-18","2026-05-02","Per=Y","Days=T","Dir=V")</f>
        <v>0</v>
      </c>
      <c r="W2">
        <f>BDH("VLO US Equity","WORKING_CAPITAL","1993-06-18","2026-05-02","Per=Y","Days=T","Dir=V")</f>
        <v>0</v>
      </c>
      <c r="Y2">
        <f>BDH("VLO US Equity","SALES_REV_TURN","1993-06-18","2026-05-02","Per=Y","Days=T","Dir=V")</f>
        <v>0</v>
      </c>
      <c r="AA2">
        <f>BDH("VLO US Equity","EBIT","1993-06-18","2026-05-02","Per=Y","Days=T","Dir=V")</f>
        <v>0</v>
      </c>
      <c r="AC2">
        <f>BDH("VLO US Equity","EBITDA","1993-06-18","2026-05-02","Per=Y","Days=T","Dir=V")</f>
        <v>0</v>
      </c>
      <c r="AE2">
        <f>BDH("VLO US Equity","NET_INCOME","1993-06-18","2026-05-02","Per=Y","Days=T","Dir=V")</f>
        <v>0</v>
      </c>
      <c r="AG2">
        <f>BDH("VLO US Equity","IS_INT_EXPENSE","1993-06-18","2026-05-02","Per=Y","Days=T","Dir=V")</f>
        <v>0</v>
      </c>
      <c r="AI2">
        <f>BDH("VLO US Equity","IS_DEPR_EXP","1993-06-18","2026-05-02","Per=Y","Days=T","Dir=V")</f>
        <v>0</v>
      </c>
      <c r="AK2">
        <f>BDH("VLO US Equity","CF_CASH_FROM_OPER","1993-06-18","2026-05-02","Per=Y","Days=T","Dir=V")</f>
        <v>0</v>
      </c>
      <c r="AM2">
        <f>BDH("VLO US Equity","CAPITAL_EXPEND","1993-06-18","2026-05-02","Per=Y","Days=T","Dir=V")</f>
        <v>0</v>
      </c>
      <c r="AO2">
        <f>BDH("VLO US Equity","CF_FREE_CASH_FLOW","1993-06-18","2026-05-02","Per=Y","Days=T","Dir=V")</f>
        <v>0</v>
      </c>
      <c r="AQ2">
        <f>BDH("VLO US Equity","PX_LAST","1993-06-18","2026-05-02","Per=M","Days=T","Dir=V")</f>
        <v>0</v>
      </c>
      <c r="AS2">
        <f>BDH("VLO US Equity","CUR_MKT_CAP","1993-06-18","2026-05-02","Per=M","Days=T","Dir=V")</f>
        <v>0</v>
      </c>
      <c r="AU2">
        <f>BDH("VLO US Equity","EQY_SH_OUT","1993-06-18","2026-05-02","Per=M","Days=T","Dir=V")</f>
        <v>0</v>
      </c>
      <c r="AW2">
        <f>BDH("VLO US Equity","PX_VOLUME","1993-06-18","2026-05-02","Per=M","Days=T","Dir=V")</f>
        <v>0</v>
      </c>
      <c r="AY2">
        <f>BDH("VLO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BDH("VLTO US Equity","BS_TOT_ASSET","1993-06-18","2026-05-02","Per=Y","Days=T","Dir=V")</f>
        <v>0</v>
      </c>
      <c r="C2">
        <f>BDH("VLTO US Equity","BS_TOT_LIAB2","1993-06-18","2026-05-02","Per=Y","Days=T","Dir=V")</f>
        <v>0</v>
      </c>
      <c r="E2">
        <f>BDH("VLTO US Equity","SHORT_AND_LONG_TERM_DEBT","1993-06-18","2026-05-02","Per=Y","Days=T","Dir=V")</f>
        <v>0</v>
      </c>
      <c r="G2">
        <f>BDH("VLTO US Equity","BS_ST_BORROW","1993-06-18","2026-05-02","Per=Y","Days=T","Dir=V")</f>
        <v>0</v>
      </c>
      <c r="I2">
        <f>BDH("VLTO US Equity","BS_LT_BORROW","1993-06-18","2026-05-02","Per=Y","Days=T","Dir=V")</f>
        <v>0</v>
      </c>
      <c r="K2">
        <f>BDH("VLTO US Equity","BS_CASH_NEAR_CASH_ITEM","1993-06-18","2026-05-02","Per=Y","Days=T","Dir=V")</f>
        <v>0</v>
      </c>
      <c r="M2">
        <f>BDH("VLTO US Equity","BS_CUR_ASSET_REPORT","1993-06-18","2026-05-02","Per=Y","Days=T","Dir=V")</f>
        <v>0</v>
      </c>
      <c r="O2">
        <f>BDH("VLTO US Equity","BS_CUR_LIAB","1993-06-18","2026-05-02","Per=Y","Days=T","Dir=V")</f>
        <v>0</v>
      </c>
      <c r="Q2">
        <f>BDH("VLTO US Equity","BS_SHAREHOLDER_EQY_ENDING_PERIOD","1993-06-18","2026-05-02","Per=Y","Days=T","Dir=V")</f>
        <v>0</v>
      </c>
      <c r="S2">
        <f>BDH("VLTO US Equity","BS_ACCT_NOTE_RCV","1993-06-18","2026-05-02","Per=Y","Days=T","Dir=V")</f>
        <v>0</v>
      </c>
      <c r="U2">
        <f>BDH("VLTO US Equity","BS_INVENTORIES","1993-06-18","2026-05-02","Per=Y","Days=T","Dir=V")</f>
        <v>0</v>
      </c>
      <c r="W2">
        <f>BDH("VLTO US Equity","WORKING_CAPITAL","1993-06-18","2026-05-02","Per=Y","Days=T","Dir=V")</f>
        <v>0</v>
      </c>
      <c r="Y2">
        <f>BDH("VLTO US Equity","SALES_REV_TURN","1993-06-18","2026-05-02","Per=Y","Days=T","Dir=V")</f>
        <v>0</v>
      </c>
      <c r="AA2">
        <f>BDH("VLTO US Equity","EBIT","1993-06-18","2026-05-02","Per=Y","Days=T","Dir=V")</f>
        <v>0</v>
      </c>
      <c r="AC2">
        <f>BDH("VLTO US Equity","EBITDA","1993-06-18","2026-05-02","Per=Y","Days=T","Dir=V")</f>
        <v>0</v>
      </c>
      <c r="AE2">
        <f>BDH("VLTO US Equity","NET_INCOME","1993-06-18","2026-05-02","Per=Y","Days=T","Dir=V")</f>
        <v>0</v>
      </c>
      <c r="AG2">
        <f>BDH("VLTO US Equity","IS_INT_EXPENSE","1993-06-18","2026-05-02","Per=Y","Days=T","Dir=V")</f>
        <v>0</v>
      </c>
      <c r="AI2">
        <f>BDH("VLTO US Equity","IS_DEPR_EXP","1993-06-18","2026-05-02","Per=Y","Days=T","Dir=V")</f>
        <v>0</v>
      </c>
      <c r="AK2">
        <f>BDH("VLTO US Equity","CF_CASH_FROM_OPER","1993-06-18","2026-05-02","Per=Y","Days=T","Dir=V")</f>
        <v>0</v>
      </c>
      <c r="AM2">
        <f>BDH("VLTO US Equity","CAPITAL_EXPEND","1993-06-18","2026-05-02","Per=Y","Days=T","Dir=V")</f>
        <v>0</v>
      </c>
      <c r="AO2">
        <f>BDH("VLTO US Equity","CF_FREE_CASH_FLOW","1993-06-18","2026-05-02","Per=Y","Days=T","Dir=V")</f>
        <v>0</v>
      </c>
      <c r="AQ2">
        <f>BDH("VLTO US Equity","PX_LAST","1993-06-18","2026-05-02","Per=M","Days=T","Dir=V")</f>
        <v>0</v>
      </c>
      <c r="AS2">
        <f>BDH("VLTO US Equity","CUR_MKT_CAP","1993-06-18","2026-05-02","Per=M","Days=T","Dir=V")</f>
        <v>0</v>
      </c>
      <c r="AU2">
        <f>BDH("VLTO US Equity","EQY_SH_OUT","1993-06-18","2026-05-02","Per=M","Days=T","Dir=V")</f>
        <v>0</v>
      </c>
      <c r="AW2">
        <f>BDH("VLTO US Equity","PX_VOLUME","1993-06-18","2026-05-02","Per=M","Days=T","Dir=V")</f>
        <v>0</v>
      </c>
      <c r="AY2">
        <f>BDH("VLTO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BDH("VMC US Equity","BS_TOT_ASSET","1993-06-18","2026-05-02","Per=Y","Days=T","Dir=V")</f>
        <v>0</v>
      </c>
      <c r="C2">
        <f>BDH("VMC US Equity","BS_TOT_LIAB2","1993-06-18","2026-05-02","Per=Y","Days=T","Dir=V")</f>
        <v>0</v>
      </c>
      <c r="E2">
        <f>BDH("VMC US Equity","SHORT_AND_LONG_TERM_DEBT","1993-06-18","2026-05-02","Per=Y","Days=T","Dir=V")</f>
        <v>0</v>
      </c>
      <c r="G2">
        <f>BDH("VMC US Equity","BS_ST_BORROW","1993-06-18","2026-05-02","Per=Y","Days=T","Dir=V")</f>
        <v>0</v>
      </c>
      <c r="I2">
        <f>BDH("VMC US Equity","BS_LT_BORROW","1993-06-18","2026-05-02","Per=Y","Days=T","Dir=V")</f>
        <v>0</v>
      </c>
      <c r="K2">
        <f>BDH("VMC US Equity","BS_CASH_NEAR_CASH_ITEM","1993-06-18","2026-05-02","Per=Y","Days=T","Dir=V")</f>
        <v>0</v>
      </c>
      <c r="M2">
        <f>BDH("VMC US Equity","BS_CUR_ASSET_REPORT","1993-06-18","2026-05-02","Per=Y","Days=T","Dir=V")</f>
        <v>0</v>
      </c>
      <c r="O2">
        <f>BDH("VMC US Equity","BS_CUR_LIAB","1993-06-18","2026-05-02","Per=Y","Days=T","Dir=V")</f>
        <v>0</v>
      </c>
      <c r="Q2">
        <f>BDH("VMC US Equity","BS_SHAREHOLDER_EQY_ENDING_PERIOD","1993-06-18","2026-05-02","Per=Y","Days=T","Dir=V")</f>
        <v>0</v>
      </c>
      <c r="S2">
        <f>BDH("VMC US Equity","BS_ACCT_NOTE_RCV","1993-06-18","2026-05-02","Per=Y","Days=T","Dir=V")</f>
        <v>0</v>
      </c>
      <c r="U2">
        <f>BDH("VMC US Equity","BS_INVENTORIES","1993-06-18","2026-05-02","Per=Y","Days=T","Dir=V")</f>
        <v>0</v>
      </c>
      <c r="W2">
        <f>BDH("VMC US Equity","WORKING_CAPITAL","1993-06-18","2026-05-02","Per=Y","Days=T","Dir=V")</f>
        <v>0</v>
      </c>
      <c r="Y2">
        <f>BDH("VMC US Equity","SALES_REV_TURN","1993-06-18","2026-05-02","Per=Y","Days=T","Dir=V")</f>
        <v>0</v>
      </c>
      <c r="AA2">
        <f>BDH("VMC US Equity","EBIT","1993-06-18","2026-05-02","Per=Y","Days=T","Dir=V")</f>
        <v>0</v>
      </c>
      <c r="AC2">
        <f>BDH("VMC US Equity","EBITDA","1993-06-18","2026-05-02","Per=Y","Days=T","Dir=V")</f>
        <v>0</v>
      </c>
      <c r="AE2">
        <f>BDH("VMC US Equity","NET_INCOME","1993-06-18","2026-05-02","Per=Y","Days=T","Dir=V")</f>
        <v>0</v>
      </c>
      <c r="AG2">
        <f>BDH("VMC US Equity","IS_INT_EXPENSE","1993-06-18","2026-05-02","Per=Y","Days=T","Dir=V")</f>
        <v>0</v>
      </c>
      <c r="AI2">
        <f>BDH("VMC US Equity","IS_DEPR_EXP","1993-06-18","2026-05-02","Per=Y","Days=T","Dir=V")</f>
        <v>0</v>
      </c>
      <c r="AK2">
        <f>BDH("VMC US Equity","CF_CASH_FROM_OPER","1993-06-18","2026-05-02","Per=Y","Days=T","Dir=V")</f>
        <v>0</v>
      </c>
      <c r="AM2">
        <f>BDH("VMC US Equity","CAPITAL_EXPEND","1993-06-18","2026-05-02","Per=Y","Days=T","Dir=V")</f>
        <v>0</v>
      </c>
      <c r="AO2">
        <f>BDH("VMC US Equity","CF_FREE_CASH_FLOW","1993-06-18","2026-05-02","Per=Y","Days=T","Dir=V")</f>
        <v>0</v>
      </c>
      <c r="AQ2">
        <f>BDH("VMC US Equity","PX_LAST","1993-06-18","2026-05-02","Per=M","Days=T","Dir=V")</f>
        <v>0</v>
      </c>
      <c r="AS2">
        <f>BDH("VMC US Equity","CUR_MKT_CAP","1993-06-18","2026-05-02","Per=M","Days=T","Dir=V")</f>
        <v>0</v>
      </c>
      <c r="AU2">
        <f>BDH("VMC US Equity","EQY_SH_OUT","1993-06-18","2026-05-02","Per=M","Days=T","Dir=V")</f>
        <v>0</v>
      </c>
      <c r="AW2">
        <f>BDH("VMC US Equity","PX_VOLUME","1993-06-18","2026-05-02","Per=M","Days=T","Dir=V")</f>
        <v>0</v>
      </c>
      <c r="AY2">
        <f>BDH("VMC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BDH("VMD US Equity","BS_TOT_ASSET","1993-06-18","2026-05-02","Per=Y","Days=T","Dir=V")</f>
        <v>0</v>
      </c>
      <c r="C2">
        <f>BDH("VMD US Equity","BS_TOT_LIAB2","1993-06-18","2026-05-02","Per=Y","Days=T","Dir=V")</f>
        <v>0</v>
      </c>
      <c r="E2">
        <f>BDH("VMD US Equity","SHORT_AND_LONG_TERM_DEBT","1993-06-18","2026-05-02","Per=Y","Days=T","Dir=V")</f>
        <v>0</v>
      </c>
      <c r="G2">
        <f>BDH("VMD US Equity","BS_ST_BORROW","1993-06-18","2026-05-02","Per=Y","Days=T","Dir=V")</f>
        <v>0</v>
      </c>
      <c r="I2">
        <f>BDH("VMD US Equity","BS_LT_BORROW","1993-06-18","2026-05-02","Per=Y","Days=T","Dir=V")</f>
        <v>0</v>
      </c>
      <c r="K2">
        <f>BDH("VMD US Equity","BS_CASH_NEAR_CASH_ITEM","1993-06-18","2026-05-02","Per=Y","Days=T","Dir=V")</f>
        <v>0</v>
      </c>
      <c r="M2">
        <f>BDH("VMD US Equity","BS_CUR_ASSET_REPORT","1993-06-18","2026-05-02","Per=Y","Days=T","Dir=V")</f>
        <v>0</v>
      </c>
      <c r="O2">
        <f>BDH("VMD US Equity","BS_CUR_LIAB","1993-06-18","2026-05-02","Per=Y","Days=T","Dir=V")</f>
        <v>0</v>
      </c>
      <c r="Q2">
        <f>BDH("VMD US Equity","BS_SHAREHOLDER_EQY_ENDING_PERIOD","1993-06-18","2026-05-02","Per=Y","Days=T","Dir=V")</f>
        <v>0</v>
      </c>
      <c r="S2">
        <f>BDH("VMD US Equity","BS_ACCT_NOTE_RCV","1993-06-18","2026-05-02","Per=Y","Days=T","Dir=V")</f>
        <v>0</v>
      </c>
      <c r="U2">
        <f>BDH("VMD US Equity","BS_INVENTORIES","1993-06-18","2026-05-02","Per=Y","Days=T","Dir=V")</f>
        <v>0</v>
      </c>
      <c r="W2">
        <f>BDH("VMD US Equity","WORKING_CAPITAL","1993-06-18","2026-05-02","Per=Y","Days=T","Dir=V")</f>
        <v>0</v>
      </c>
      <c r="Y2">
        <f>BDH("VMD US Equity","SALES_REV_TURN","1993-06-18","2026-05-02","Per=Y","Days=T","Dir=V")</f>
        <v>0</v>
      </c>
      <c r="AA2">
        <f>BDH("VMD US Equity","EBIT","1993-06-18","2026-05-02","Per=Y","Days=T","Dir=V")</f>
        <v>0</v>
      </c>
      <c r="AC2">
        <f>BDH("VMD US Equity","EBITDA","1993-06-18","2026-05-02","Per=Y","Days=T","Dir=V")</f>
        <v>0</v>
      </c>
      <c r="AE2">
        <f>BDH("VMD US Equity","NET_INCOME","1993-06-18","2026-05-02","Per=Y","Days=T","Dir=V")</f>
        <v>0</v>
      </c>
      <c r="AG2">
        <f>BDH("VMD US Equity","IS_INT_EXPENSE","1993-06-18","2026-05-02","Per=Y","Days=T","Dir=V")</f>
        <v>0</v>
      </c>
      <c r="AI2">
        <f>BDH("VMD US Equity","IS_DEPR_EXP","1993-06-18","2026-05-02","Per=Y","Days=T","Dir=V")</f>
        <v>0</v>
      </c>
      <c r="AK2">
        <f>BDH("VMD US Equity","CF_CASH_FROM_OPER","1993-06-18","2026-05-02","Per=Y","Days=T","Dir=V")</f>
        <v>0</v>
      </c>
      <c r="AM2">
        <f>BDH("VMD US Equity","CAPITAL_EXPEND","1993-06-18","2026-05-02","Per=Y","Days=T","Dir=V")</f>
        <v>0</v>
      </c>
      <c r="AO2">
        <f>BDH("VMD US Equity","CF_FREE_CASH_FLOW","1993-06-18","2026-05-02","Per=Y","Days=T","Dir=V")</f>
        <v>0</v>
      </c>
      <c r="AQ2">
        <f>BDH("VMD US Equity","PX_LAST","1993-06-18","2026-05-02","Per=M","Days=T","Dir=V")</f>
        <v>0</v>
      </c>
      <c r="AS2">
        <f>BDH("VMD US Equity","CUR_MKT_CAP","1993-06-18","2026-05-02","Per=M","Days=T","Dir=V")</f>
        <v>0</v>
      </c>
      <c r="AU2">
        <f>BDH("VMD US Equity","EQY_SH_OUT","1993-06-18","2026-05-02","Per=M","Days=T","Dir=V")</f>
        <v>0</v>
      </c>
      <c r="AW2">
        <f>BDH("VMD US Equity","PX_VOLUME","1993-06-18","2026-05-02","Per=M","Days=T","Dir=V")</f>
        <v>0</v>
      </c>
      <c r="AY2">
        <f>BDH("VMD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BDH("VMI US Equity","BS_TOT_ASSET","1993-06-18","2026-05-02","Per=Y","Days=T","Dir=V")</f>
        <v>0</v>
      </c>
      <c r="C2">
        <f>BDH("VMI US Equity","BS_TOT_LIAB2","1993-06-18","2026-05-02","Per=Y","Days=T","Dir=V")</f>
        <v>0</v>
      </c>
      <c r="E2">
        <f>BDH("VMI US Equity","SHORT_AND_LONG_TERM_DEBT","1993-06-18","2026-05-02","Per=Y","Days=T","Dir=V")</f>
        <v>0</v>
      </c>
      <c r="G2">
        <f>BDH("VMI US Equity","BS_ST_BORROW","1993-06-18","2026-05-02","Per=Y","Days=T","Dir=V")</f>
        <v>0</v>
      </c>
      <c r="I2">
        <f>BDH("VMI US Equity","BS_LT_BORROW","1993-06-18","2026-05-02","Per=Y","Days=T","Dir=V")</f>
        <v>0</v>
      </c>
      <c r="K2">
        <f>BDH("VMI US Equity","BS_CASH_NEAR_CASH_ITEM","1993-06-18","2026-05-02","Per=Y","Days=T","Dir=V")</f>
        <v>0</v>
      </c>
      <c r="M2">
        <f>BDH("VMI US Equity","BS_CUR_ASSET_REPORT","1993-06-18","2026-05-02","Per=Y","Days=T","Dir=V")</f>
        <v>0</v>
      </c>
      <c r="O2">
        <f>BDH("VMI US Equity","BS_CUR_LIAB","1993-06-18","2026-05-02","Per=Y","Days=T","Dir=V")</f>
        <v>0</v>
      </c>
      <c r="Q2">
        <f>BDH("VMI US Equity","BS_SHAREHOLDER_EQY_ENDING_PERIOD","1993-06-18","2026-05-02","Per=Y","Days=T","Dir=V")</f>
        <v>0</v>
      </c>
      <c r="S2">
        <f>BDH("VMI US Equity","BS_ACCT_NOTE_RCV","1993-06-18","2026-05-02","Per=Y","Days=T","Dir=V")</f>
        <v>0</v>
      </c>
      <c r="U2">
        <f>BDH("VMI US Equity","BS_INVENTORIES","1993-06-18","2026-05-02","Per=Y","Days=T","Dir=V")</f>
        <v>0</v>
      </c>
      <c r="W2">
        <f>BDH("VMI US Equity","WORKING_CAPITAL","1993-06-18","2026-05-02","Per=Y","Days=T","Dir=V")</f>
        <v>0</v>
      </c>
      <c r="Y2">
        <f>BDH("VMI US Equity","SALES_REV_TURN","1993-06-18","2026-05-02","Per=Y","Days=T","Dir=V")</f>
        <v>0</v>
      </c>
      <c r="AA2">
        <f>BDH("VMI US Equity","EBIT","1993-06-18","2026-05-02","Per=Y","Days=T","Dir=V")</f>
        <v>0</v>
      </c>
      <c r="AC2">
        <f>BDH("VMI US Equity","EBITDA","1993-06-18","2026-05-02","Per=Y","Days=T","Dir=V")</f>
        <v>0</v>
      </c>
      <c r="AE2">
        <f>BDH("VMI US Equity","NET_INCOME","1993-06-18","2026-05-02","Per=Y","Days=T","Dir=V")</f>
        <v>0</v>
      </c>
      <c r="AG2">
        <f>BDH("VMI US Equity","IS_INT_EXPENSE","1993-06-18","2026-05-02","Per=Y","Days=T","Dir=V")</f>
        <v>0</v>
      </c>
      <c r="AI2">
        <f>BDH("VMI US Equity","IS_DEPR_EXP","1993-06-18","2026-05-02","Per=Y","Days=T","Dir=V")</f>
        <v>0</v>
      </c>
      <c r="AK2">
        <f>BDH("VMI US Equity","CF_CASH_FROM_OPER","1993-06-18","2026-05-02","Per=Y","Days=T","Dir=V")</f>
        <v>0</v>
      </c>
      <c r="AM2">
        <f>BDH("VMI US Equity","CAPITAL_EXPEND","1993-06-18","2026-05-02","Per=Y","Days=T","Dir=V")</f>
        <v>0</v>
      </c>
      <c r="AO2">
        <f>BDH("VMI US Equity","CF_FREE_CASH_FLOW","1993-06-18","2026-05-02","Per=Y","Days=T","Dir=V")</f>
        <v>0</v>
      </c>
      <c r="AQ2">
        <f>BDH("VMI US Equity","PX_LAST","1993-06-18","2026-05-02","Per=M","Days=T","Dir=V")</f>
        <v>0</v>
      </c>
      <c r="AS2">
        <f>BDH("VMI US Equity","CUR_MKT_CAP","1993-06-18","2026-05-02","Per=M","Days=T","Dir=V")</f>
        <v>0</v>
      </c>
      <c r="AU2">
        <f>BDH("VMI US Equity","EQY_SH_OUT","1993-06-18","2026-05-02","Per=M","Days=T","Dir=V")</f>
        <v>0</v>
      </c>
      <c r="AW2">
        <f>BDH("VMI US Equity","PX_VOLUME","1993-06-18","2026-05-02","Per=M","Days=T","Dir=V")</f>
        <v>0</v>
      </c>
      <c r="AY2">
        <f>BDH("VMI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BDH("VNCE US Equity","BS_TOT_ASSET","1993-06-18","2026-05-02","Per=Y","Days=T","Dir=V")</f>
        <v>0</v>
      </c>
      <c r="C2">
        <f>BDH("VNCE US Equity","BS_TOT_LIAB2","1993-06-18","2026-05-02","Per=Y","Days=T","Dir=V")</f>
        <v>0</v>
      </c>
      <c r="E2">
        <f>BDH("VNCE US Equity","SHORT_AND_LONG_TERM_DEBT","1993-06-18","2026-05-02","Per=Y","Days=T","Dir=V")</f>
        <v>0</v>
      </c>
      <c r="G2">
        <f>BDH("VNCE US Equity","BS_ST_BORROW","1993-06-18","2026-05-02","Per=Y","Days=T","Dir=V")</f>
        <v>0</v>
      </c>
      <c r="I2">
        <f>BDH("VNCE US Equity","BS_LT_BORROW","1993-06-18","2026-05-02","Per=Y","Days=T","Dir=V")</f>
        <v>0</v>
      </c>
      <c r="K2">
        <f>BDH("VNCE US Equity","BS_CASH_NEAR_CASH_ITEM","1993-06-18","2026-05-02","Per=Y","Days=T","Dir=V")</f>
        <v>0</v>
      </c>
      <c r="M2">
        <f>BDH("VNCE US Equity","BS_CUR_ASSET_REPORT","1993-06-18","2026-05-02","Per=Y","Days=T","Dir=V")</f>
        <v>0</v>
      </c>
      <c r="O2">
        <f>BDH("VNCE US Equity","BS_CUR_LIAB","1993-06-18","2026-05-02","Per=Y","Days=T","Dir=V")</f>
        <v>0</v>
      </c>
      <c r="Q2">
        <f>BDH("VNCE US Equity","BS_SHAREHOLDER_EQY_ENDING_PERIOD","1993-06-18","2026-05-02","Per=Y","Days=T","Dir=V")</f>
        <v>0</v>
      </c>
      <c r="S2">
        <f>BDH("VNCE US Equity","BS_ACCT_NOTE_RCV","1993-06-18","2026-05-02","Per=Y","Days=T","Dir=V")</f>
        <v>0</v>
      </c>
      <c r="U2">
        <f>BDH("VNCE US Equity","BS_INVENTORIES","1993-06-18","2026-05-02","Per=Y","Days=T","Dir=V")</f>
        <v>0</v>
      </c>
      <c r="W2">
        <f>BDH("VNCE US Equity","WORKING_CAPITAL","1993-06-18","2026-05-02","Per=Y","Days=T","Dir=V")</f>
        <v>0</v>
      </c>
      <c r="Y2">
        <f>BDH("VNCE US Equity","SALES_REV_TURN","1993-06-18","2026-05-02","Per=Y","Days=T","Dir=V")</f>
        <v>0</v>
      </c>
      <c r="AA2">
        <f>BDH("VNCE US Equity","EBIT","1993-06-18","2026-05-02","Per=Y","Days=T","Dir=V")</f>
        <v>0</v>
      </c>
      <c r="AC2">
        <f>BDH("VNCE US Equity","EBITDA","1993-06-18","2026-05-02","Per=Y","Days=T","Dir=V")</f>
        <v>0</v>
      </c>
      <c r="AE2">
        <f>BDH("VNCE US Equity","NET_INCOME","1993-06-18","2026-05-02","Per=Y","Days=T","Dir=V")</f>
        <v>0</v>
      </c>
      <c r="AG2">
        <f>BDH("VNCE US Equity","IS_INT_EXPENSE","1993-06-18","2026-05-02","Per=Y","Days=T","Dir=V")</f>
        <v>0</v>
      </c>
      <c r="AI2">
        <f>BDH("VNCE US Equity","IS_DEPR_EXP","1993-06-18","2026-05-02","Per=Y","Days=T","Dir=V")</f>
        <v>0</v>
      </c>
      <c r="AK2">
        <f>BDH("VNCE US Equity","CF_CASH_FROM_OPER","1993-06-18","2026-05-02","Per=Y","Days=T","Dir=V")</f>
        <v>0</v>
      </c>
      <c r="AM2">
        <f>BDH("VNCE US Equity","CAPITAL_EXPEND","1993-06-18","2026-05-02","Per=Y","Days=T","Dir=V")</f>
        <v>0</v>
      </c>
      <c r="AO2">
        <f>BDH("VNCE US Equity","CF_FREE_CASH_FLOW","1993-06-18","2026-05-02","Per=Y","Days=T","Dir=V")</f>
        <v>0</v>
      </c>
      <c r="AQ2">
        <f>BDH("VNCE US Equity","PX_LAST","1993-06-18","2026-05-02","Per=M","Days=T","Dir=V")</f>
        <v>0</v>
      </c>
      <c r="AS2">
        <f>BDH("VNCE US Equity","CUR_MKT_CAP","1993-06-18","2026-05-02","Per=M","Days=T","Dir=V")</f>
        <v>0</v>
      </c>
      <c r="AU2">
        <f>BDH("VNCE US Equity","EQY_SH_OUT","1993-06-18","2026-05-02","Per=M","Days=T","Dir=V")</f>
        <v>0</v>
      </c>
      <c r="AW2">
        <f>BDH("VNCE US Equity","PX_VOLUME","1993-06-18","2026-05-02","Per=M","Days=T","Dir=V")</f>
        <v>0</v>
      </c>
      <c r="AY2">
        <f>BDH("VNCE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BDH("VNDA US Equity","BS_TOT_ASSET","1993-06-18","2026-05-02","Per=Y","Days=T","Dir=V")</f>
        <v>0</v>
      </c>
      <c r="C2">
        <f>BDH("VNDA US Equity","BS_TOT_LIAB2","1993-06-18","2026-05-02","Per=Y","Days=T","Dir=V")</f>
        <v>0</v>
      </c>
      <c r="E2">
        <f>BDH("VNDA US Equity","SHORT_AND_LONG_TERM_DEBT","1993-06-18","2026-05-02","Per=Y","Days=T","Dir=V")</f>
        <v>0</v>
      </c>
      <c r="G2">
        <f>BDH("VNDA US Equity","BS_ST_BORROW","1993-06-18","2026-05-02","Per=Y","Days=T","Dir=V")</f>
        <v>0</v>
      </c>
      <c r="I2">
        <f>BDH("VNDA US Equity","BS_LT_BORROW","1993-06-18","2026-05-02","Per=Y","Days=T","Dir=V")</f>
        <v>0</v>
      </c>
      <c r="K2">
        <f>BDH("VNDA US Equity","BS_CASH_NEAR_CASH_ITEM","1993-06-18","2026-05-02","Per=Y","Days=T","Dir=V")</f>
        <v>0</v>
      </c>
      <c r="M2">
        <f>BDH("VNDA US Equity","BS_CUR_ASSET_REPORT","1993-06-18","2026-05-02","Per=Y","Days=T","Dir=V")</f>
        <v>0</v>
      </c>
      <c r="O2">
        <f>BDH("VNDA US Equity","BS_CUR_LIAB","1993-06-18","2026-05-02","Per=Y","Days=T","Dir=V")</f>
        <v>0</v>
      </c>
      <c r="Q2">
        <f>BDH("VNDA US Equity","BS_SHAREHOLDER_EQY_ENDING_PERIOD","1993-06-18","2026-05-02","Per=Y","Days=T","Dir=V")</f>
        <v>0</v>
      </c>
      <c r="S2">
        <f>BDH("VNDA US Equity","BS_ACCT_NOTE_RCV","1993-06-18","2026-05-02","Per=Y","Days=T","Dir=V")</f>
        <v>0</v>
      </c>
      <c r="U2">
        <f>BDH("VNDA US Equity","BS_INVENTORIES","1993-06-18","2026-05-02","Per=Y","Days=T","Dir=V")</f>
        <v>0</v>
      </c>
      <c r="W2">
        <f>BDH("VNDA US Equity","WORKING_CAPITAL","1993-06-18","2026-05-02","Per=Y","Days=T","Dir=V")</f>
        <v>0</v>
      </c>
      <c r="Y2">
        <f>BDH("VNDA US Equity","SALES_REV_TURN","1993-06-18","2026-05-02","Per=Y","Days=T","Dir=V")</f>
        <v>0</v>
      </c>
      <c r="AA2">
        <f>BDH("VNDA US Equity","EBIT","1993-06-18","2026-05-02","Per=Y","Days=T","Dir=V")</f>
        <v>0</v>
      </c>
      <c r="AC2">
        <f>BDH("VNDA US Equity","EBITDA","1993-06-18","2026-05-02","Per=Y","Days=T","Dir=V")</f>
        <v>0</v>
      </c>
      <c r="AE2">
        <f>BDH("VNDA US Equity","NET_INCOME","1993-06-18","2026-05-02","Per=Y","Days=T","Dir=V")</f>
        <v>0</v>
      </c>
      <c r="AG2">
        <f>BDH("VNDA US Equity","IS_INT_EXPENSE","1993-06-18","2026-05-02","Per=Y","Days=T","Dir=V")</f>
        <v>0</v>
      </c>
      <c r="AI2">
        <f>BDH("VNDA US Equity","IS_DEPR_EXP","1993-06-18","2026-05-02","Per=Y","Days=T","Dir=V")</f>
        <v>0</v>
      </c>
      <c r="AK2">
        <f>BDH("VNDA US Equity","CF_CASH_FROM_OPER","1993-06-18","2026-05-02","Per=Y","Days=T","Dir=V")</f>
        <v>0</v>
      </c>
      <c r="AM2">
        <f>BDH("VNDA US Equity","CAPITAL_EXPEND","1993-06-18","2026-05-02","Per=Y","Days=T","Dir=V")</f>
        <v>0</v>
      </c>
      <c r="AO2">
        <f>BDH("VNDA US Equity","CF_FREE_CASH_FLOW","1993-06-18","2026-05-02","Per=Y","Days=T","Dir=V")</f>
        <v>0</v>
      </c>
      <c r="AQ2">
        <f>BDH("VNDA US Equity","PX_LAST","1993-06-18","2026-05-02","Per=M","Days=T","Dir=V")</f>
        <v>0</v>
      </c>
      <c r="AS2">
        <f>BDH("VNDA US Equity","CUR_MKT_CAP","1993-06-18","2026-05-02","Per=M","Days=T","Dir=V")</f>
        <v>0</v>
      </c>
      <c r="AU2">
        <f>BDH("VNDA US Equity","EQY_SH_OUT","1993-06-18","2026-05-02","Per=M","Days=T","Dir=V")</f>
        <v>0</v>
      </c>
      <c r="AW2">
        <f>BDH("VNDA US Equity","PX_VOLUME","1993-06-18","2026-05-02","Per=M","Days=T","Dir=V")</f>
        <v>0</v>
      </c>
      <c r="AY2">
        <f>BDH("VNDA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BDH("VNOM US Equity","BS_TOT_ASSET","1993-06-18","2026-05-02","Per=Y","Days=T","Dir=V")</f>
        <v>0</v>
      </c>
      <c r="C2">
        <f>BDH("VNOM US Equity","BS_TOT_LIAB2","1993-06-18","2026-05-02","Per=Y","Days=T","Dir=V")</f>
        <v>0</v>
      </c>
      <c r="E2">
        <f>BDH("VNOM US Equity","SHORT_AND_LONG_TERM_DEBT","1993-06-18","2026-05-02","Per=Y","Days=T","Dir=V")</f>
        <v>0</v>
      </c>
      <c r="G2">
        <f>BDH("VNOM US Equity","BS_ST_BORROW","1993-06-18","2026-05-02","Per=Y","Days=T","Dir=V")</f>
        <v>0</v>
      </c>
      <c r="I2">
        <f>BDH("VNOM US Equity","BS_LT_BORROW","1993-06-18","2026-05-02","Per=Y","Days=T","Dir=V")</f>
        <v>0</v>
      </c>
      <c r="K2">
        <f>BDH("VNOM US Equity","BS_CASH_NEAR_CASH_ITEM","1993-06-18","2026-05-02","Per=Y","Days=T","Dir=V")</f>
        <v>0</v>
      </c>
      <c r="M2">
        <f>BDH("VNOM US Equity","BS_CUR_ASSET_REPORT","1993-06-18","2026-05-02","Per=Y","Days=T","Dir=V")</f>
        <v>0</v>
      </c>
      <c r="O2">
        <f>BDH("VNOM US Equity","BS_CUR_LIAB","1993-06-18","2026-05-02","Per=Y","Days=T","Dir=V")</f>
        <v>0</v>
      </c>
      <c r="Q2">
        <f>BDH("VNOM US Equity","BS_SHAREHOLDER_EQY_ENDING_PERIOD","1993-06-18","2026-05-02","Per=Y","Days=T","Dir=V")</f>
        <v>0</v>
      </c>
      <c r="S2">
        <f>BDH("VNOM US Equity","BS_ACCT_NOTE_RCV","1993-06-18","2026-05-02","Per=Y","Days=T","Dir=V")</f>
        <v>0</v>
      </c>
      <c r="U2">
        <f>BDH("VNOM US Equity","BS_INVENTORIES","1993-06-18","2026-05-02","Per=Y","Days=T","Dir=V")</f>
        <v>0</v>
      </c>
      <c r="W2">
        <f>BDH("VNOM US Equity","WORKING_CAPITAL","1993-06-18","2026-05-02","Per=Y","Days=T","Dir=V")</f>
        <v>0</v>
      </c>
      <c r="Y2">
        <f>BDH("VNOM US Equity","SALES_REV_TURN","1993-06-18","2026-05-02","Per=Y","Days=T","Dir=V")</f>
        <v>0</v>
      </c>
      <c r="AA2">
        <f>BDH("VNOM US Equity","EBIT","1993-06-18","2026-05-02","Per=Y","Days=T","Dir=V")</f>
        <v>0</v>
      </c>
      <c r="AC2">
        <f>BDH("VNOM US Equity","EBITDA","1993-06-18","2026-05-02","Per=Y","Days=T","Dir=V")</f>
        <v>0</v>
      </c>
      <c r="AE2">
        <f>BDH("VNOM US Equity","NET_INCOME","1993-06-18","2026-05-02","Per=Y","Days=T","Dir=V")</f>
        <v>0</v>
      </c>
      <c r="AG2">
        <f>BDH("VNOM US Equity","IS_INT_EXPENSE","1993-06-18","2026-05-02","Per=Y","Days=T","Dir=V")</f>
        <v>0</v>
      </c>
      <c r="AI2">
        <f>BDH("VNOM US Equity","IS_DEPR_EXP","1993-06-18","2026-05-02","Per=Y","Days=T","Dir=V")</f>
        <v>0</v>
      </c>
      <c r="AK2">
        <f>BDH("VNOM US Equity","CF_CASH_FROM_OPER","1993-06-18","2026-05-02","Per=Y","Days=T","Dir=V")</f>
        <v>0</v>
      </c>
      <c r="AM2">
        <f>BDH("VNOM US Equity","CAPITAL_EXPEND","1993-06-18","2026-05-02","Per=Y","Days=T","Dir=V")</f>
        <v>0</v>
      </c>
      <c r="AO2">
        <f>BDH("VNOM US Equity","CF_FREE_CASH_FLOW","1993-06-18","2026-05-02","Per=Y","Days=T","Dir=V")</f>
        <v>0</v>
      </c>
      <c r="AQ2">
        <f>BDH("VNOM US Equity","PX_LAST","1993-06-18","2026-05-02","Per=M","Days=T","Dir=V")</f>
        <v>0</v>
      </c>
      <c r="AS2">
        <f>BDH("VNOM US Equity","CUR_MKT_CAP","1993-06-18","2026-05-02","Per=M","Days=T","Dir=V")</f>
        <v>0</v>
      </c>
      <c r="AU2">
        <f>BDH("VNOM US Equity","EQY_SH_OUT","1993-06-18","2026-05-02","Per=M","Days=T","Dir=V")</f>
        <v>0</v>
      </c>
      <c r="AW2">
        <f>BDH("VNOM US Equity","PX_VOLUME","1993-06-18","2026-05-02","Per=M","Days=T","Dir=V")</f>
        <v>0</v>
      </c>
      <c r="AY2">
        <f>BDH("VNOM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BDH("VNT US Equity","BS_TOT_ASSET","1993-06-18","2026-05-02","Per=Y","Days=T","Dir=V")</f>
        <v>0</v>
      </c>
      <c r="C2">
        <f>BDH("VNT US Equity","BS_TOT_LIAB2","1993-06-18","2026-05-02","Per=Y","Days=T","Dir=V")</f>
        <v>0</v>
      </c>
      <c r="E2">
        <f>BDH("VNT US Equity","SHORT_AND_LONG_TERM_DEBT","1993-06-18","2026-05-02","Per=Y","Days=T","Dir=V")</f>
        <v>0</v>
      </c>
      <c r="G2">
        <f>BDH("VNT US Equity","BS_ST_BORROW","1993-06-18","2026-05-02","Per=Y","Days=T","Dir=V")</f>
        <v>0</v>
      </c>
      <c r="I2">
        <f>BDH("VNT US Equity","BS_LT_BORROW","1993-06-18","2026-05-02","Per=Y","Days=T","Dir=V")</f>
        <v>0</v>
      </c>
      <c r="K2">
        <f>BDH("VNT US Equity","BS_CASH_NEAR_CASH_ITEM","1993-06-18","2026-05-02","Per=Y","Days=T","Dir=V")</f>
        <v>0</v>
      </c>
      <c r="M2">
        <f>BDH("VNT US Equity","BS_CUR_ASSET_REPORT","1993-06-18","2026-05-02","Per=Y","Days=T","Dir=V")</f>
        <v>0</v>
      </c>
      <c r="O2">
        <f>BDH("VNT US Equity","BS_CUR_LIAB","1993-06-18","2026-05-02","Per=Y","Days=T","Dir=V")</f>
        <v>0</v>
      </c>
      <c r="Q2">
        <f>BDH("VNT US Equity","BS_SHAREHOLDER_EQY_ENDING_PERIOD","1993-06-18","2026-05-02","Per=Y","Days=T","Dir=V")</f>
        <v>0</v>
      </c>
      <c r="S2">
        <f>BDH("VNT US Equity","BS_ACCT_NOTE_RCV","1993-06-18","2026-05-02","Per=Y","Days=T","Dir=V")</f>
        <v>0</v>
      </c>
      <c r="U2">
        <f>BDH("VNT US Equity","BS_INVENTORIES","1993-06-18","2026-05-02","Per=Y","Days=T","Dir=V")</f>
        <v>0</v>
      </c>
      <c r="W2">
        <f>BDH("VNT US Equity","WORKING_CAPITAL","1993-06-18","2026-05-02","Per=Y","Days=T","Dir=V")</f>
        <v>0</v>
      </c>
      <c r="Y2">
        <f>BDH("VNT US Equity","SALES_REV_TURN","1993-06-18","2026-05-02","Per=Y","Days=T","Dir=V")</f>
        <v>0</v>
      </c>
      <c r="AA2">
        <f>BDH("VNT US Equity","EBIT","1993-06-18","2026-05-02","Per=Y","Days=T","Dir=V")</f>
        <v>0</v>
      </c>
      <c r="AC2">
        <f>BDH("VNT US Equity","EBITDA","1993-06-18","2026-05-02","Per=Y","Days=T","Dir=V")</f>
        <v>0</v>
      </c>
      <c r="AE2">
        <f>BDH("VNT US Equity","NET_INCOME","1993-06-18","2026-05-02","Per=Y","Days=T","Dir=V")</f>
        <v>0</v>
      </c>
      <c r="AG2">
        <f>BDH("VNT US Equity","IS_INT_EXPENSE","1993-06-18","2026-05-02","Per=Y","Days=T","Dir=V")</f>
        <v>0</v>
      </c>
      <c r="AI2">
        <f>BDH("VNT US Equity","IS_DEPR_EXP","1993-06-18","2026-05-02","Per=Y","Days=T","Dir=V")</f>
        <v>0</v>
      </c>
      <c r="AK2">
        <f>BDH("VNT US Equity","CF_CASH_FROM_OPER","1993-06-18","2026-05-02","Per=Y","Days=T","Dir=V")</f>
        <v>0</v>
      </c>
      <c r="AM2">
        <f>BDH("VNT US Equity","CAPITAL_EXPEND","1993-06-18","2026-05-02","Per=Y","Days=T","Dir=V")</f>
        <v>0</v>
      </c>
      <c r="AO2">
        <f>BDH("VNT US Equity","CF_FREE_CASH_FLOW","1993-06-18","2026-05-02","Per=Y","Days=T","Dir=V")</f>
        <v>0</v>
      </c>
      <c r="AQ2">
        <f>BDH("VNT US Equity","PX_LAST","1993-06-18","2026-05-02","Per=M","Days=T","Dir=V")</f>
        <v>0</v>
      </c>
      <c r="AS2">
        <f>BDH("VNT US Equity","CUR_MKT_CAP","1993-06-18","2026-05-02","Per=M","Days=T","Dir=V")</f>
        <v>0</v>
      </c>
      <c r="AU2">
        <f>BDH("VNT US Equity","EQY_SH_OUT","1993-06-18","2026-05-02","Per=M","Days=T","Dir=V")</f>
        <v>0</v>
      </c>
      <c r="AW2">
        <f>BDH("VNT US Equity","PX_VOLUME","1993-06-18","2026-05-02","Per=M","Days=T","Dir=V")</f>
        <v>0</v>
      </c>
      <c r="AY2">
        <f>BDH("VNT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BDH("VOC US Equity","BS_TOT_ASSET","1993-06-18","2026-05-02","Per=Y","Days=T","Dir=V")</f>
        <v>0</v>
      </c>
      <c r="C2">
        <f>BDH("VOC US Equity","BS_TOT_LIAB2","1993-06-18","2026-05-02","Per=Y","Days=T","Dir=V")</f>
        <v>0</v>
      </c>
      <c r="E2">
        <f>BDH("VOC US Equity","SHORT_AND_LONG_TERM_DEBT","1993-06-18","2026-05-02","Per=Y","Days=T","Dir=V")</f>
        <v>0</v>
      </c>
      <c r="G2">
        <f>BDH("VOC US Equity","BS_ST_BORROW","1993-06-18","2026-05-02","Per=Y","Days=T","Dir=V")</f>
        <v>0</v>
      </c>
      <c r="I2">
        <f>BDH("VOC US Equity","BS_LT_BORROW","1993-06-18","2026-05-02","Per=Y","Days=T","Dir=V")</f>
        <v>0</v>
      </c>
      <c r="K2">
        <f>BDH("VOC US Equity","BS_CASH_NEAR_CASH_ITEM","1993-06-18","2026-05-02","Per=Y","Days=T","Dir=V")</f>
        <v>0</v>
      </c>
      <c r="M2">
        <f>BDH("VOC US Equity","BS_CUR_ASSET_REPORT","1993-06-18","2026-05-02","Per=Y","Days=T","Dir=V")</f>
        <v>0</v>
      </c>
      <c r="O2">
        <f>BDH("VOC US Equity","BS_CUR_LIAB","1993-06-18","2026-05-02","Per=Y","Days=T","Dir=V")</f>
        <v>0</v>
      </c>
      <c r="Q2">
        <f>BDH("VOC US Equity","BS_SHAREHOLDER_EQY_ENDING_PERIOD","1993-06-18","2026-05-02","Per=Y","Days=T","Dir=V")</f>
        <v>0</v>
      </c>
      <c r="S2">
        <f>BDH("VOC US Equity","BS_ACCT_NOTE_RCV","1993-06-18","2026-05-02","Per=Y","Days=T","Dir=V")</f>
        <v>0</v>
      </c>
      <c r="U2">
        <f>BDH("VOC US Equity","BS_INVENTORIES","1993-06-18","2026-05-02","Per=Y","Days=T","Dir=V")</f>
        <v>0</v>
      </c>
      <c r="W2">
        <f>BDH("VOC US Equity","WORKING_CAPITAL","1993-06-18","2026-05-02","Per=Y","Days=T","Dir=V")</f>
        <v>0</v>
      </c>
      <c r="Y2">
        <f>BDH("VOC US Equity","SALES_REV_TURN","1993-06-18","2026-05-02","Per=Y","Days=T","Dir=V")</f>
        <v>0</v>
      </c>
      <c r="AA2">
        <f>BDH("VOC US Equity","EBIT","1993-06-18","2026-05-02","Per=Y","Days=T","Dir=V")</f>
        <v>0</v>
      </c>
      <c r="AC2">
        <f>BDH("VOC US Equity","EBITDA","1993-06-18","2026-05-02","Per=Y","Days=T","Dir=V")</f>
        <v>0</v>
      </c>
      <c r="AE2">
        <f>BDH("VOC US Equity","NET_INCOME","1993-06-18","2026-05-02","Per=Y","Days=T","Dir=V")</f>
        <v>0</v>
      </c>
      <c r="AG2">
        <f>BDH("VOC US Equity","IS_INT_EXPENSE","1993-06-18","2026-05-02","Per=Y","Days=T","Dir=V")</f>
        <v>0</v>
      </c>
      <c r="AI2">
        <f>BDH("VOC US Equity","IS_DEPR_EXP","1993-06-18","2026-05-02","Per=Y","Days=T","Dir=V")</f>
        <v>0</v>
      </c>
      <c r="AK2">
        <f>BDH("VOC US Equity","CF_CASH_FROM_OPER","1993-06-18","2026-05-02","Per=Y","Days=T","Dir=V")</f>
        <v>0</v>
      </c>
      <c r="AM2">
        <f>BDH("VOC US Equity","CAPITAL_EXPEND","1993-06-18","2026-05-02","Per=Y","Days=T","Dir=V")</f>
        <v>0</v>
      </c>
      <c r="AO2">
        <f>BDH("VOC US Equity","CF_FREE_CASH_FLOW","1993-06-18","2026-05-02","Per=Y","Days=T","Dir=V")</f>
        <v>0</v>
      </c>
      <c r="AQ2">
        <f>BDH("VOC US Equity","PX_LAST","1993-06-18","2026-05-02","Per=M","Days=T","Dir=V")</f>
        <v>0</v>
      </c>
      <c r="AS2">
        <f>BDH("VOC US Equity","CUR_MKT_CAP","1993-06-18","2026-05-02","Per=M","Days=T","Dir=V")</f>
        <v>0</v>
      </c>
      <c r="AU2">
        <f>BDH("VOC US Equity","EQY_SH_OUT","1993-06-18","2026-05-02","Per=M","Days=T","Dir=V")</f>
        <v>0</v>
      </c>
      <c r="AW2">
        <f>BDH("VOC US Equity","PX_VOLUME","1993-06-18","2026-05-02","Per=M","Days=T","Dir=V")</f>
        <v>0</v>
      </c>
      <c r="AY2">
        <f>BDH("VOC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BDH("VOGX US Equity","BS_TOT_ASSET","1993-06-18","2026-05-02","Per=Y","Days=T","Dir=V")</f>
        <v>0</v>
      </c>
      <c r="C2">
        <f>BDH("VOGX US Equity","BS_TOT_LIAB2","1993-06-18","2026-05-02","Per=Y","Days=T","Dir=V")</f>
        <v>0</v>
      </c>
      <c r="E2">
        <f>BDH("VOGX US Equity","SHORT_AND_LONG_TERM_DEBT","1993-06-18","2026-05-02","Per=Y","Days=T","Dir=V")</f>
        <v>0</v>
      </c>
      <c r="G2">
        <f>BDH("VOGX US Equity","BS_ST_BORROW","1993-06-18","2026-05-02","Per=Y","Days=T","Dir=V")</f>
        <v>0</v>
      </c>
      <c r="I2">
        <f>BDH("VOGX US Equity","BS_LT_BORROW","1993-06-18","2026-05-02","Per=Y","Days=T","Dir=V")</f>
        <v>0</v>
      </c>
      <c r="K2">
        <f>BDH("VOGX US Equity","BS_CASH_NEAR_CASH_ITEM","1993-06-18","2026-05-02","Per=Y","Days=T","Dir=V")</f>
        <v>0</v>
      </c>
      <c r="M2">
        <f>BDH("VOGX US Equity","BS_CUR_ASSET_REPORT","1993-06-18","2026-05-02","Per=Y","Days=T","Dir=V")</f>
        <v>0</v>
      </c>
      <c r="O2">
        <f>BDH("VOGX US Equity","BS_CUR_LIAB","1993-06-18","2026-05-02","Per=Y","Days=T","Dir=V")</f>
        <v>0</v>
      </c>
      <c r="Q2">
        <f>BDH("VOGX US Equity","BS_SHAREHOLDER_EQY_ENDING_PERIOD","1993-06-18","2026-05-02","Per=Y","Days=T","Dir=V")</f>
        <v>0</v>
      </c>
      <c r="S2">
        <f>BDH("VOGX US Equity","BS_ACCT_NOTE_RCV","1993-06-18","2026-05-02","Per=Y","Days=T","Dir=V")</f>
        <v>0</v>
      </c>
      <c r="U2">
        <f>BDH("VOGX US Equity","BS_INVENTORIES","1993-06-18","2026-05-02","Per=Y","Days=T","Dir=V")</f>
        <v>0</v>
      </c>
      <c r="W2">
        <f>BDH("VOGX US Equity","WORKING_CAPITAL","1993-06-18","2026-05-02","Per=Y","Days=T","Dir=V")</f>
        <v>0</v>
      </c>
      <c r="Y2">
        <f>BDH("VOGX US Equity","SALES_REV_TURN","1993-06-18","2026-05-02","Per=Y","Days=T","Dir=V")</f>
        <v>0</v>
      </c>
      <c r="AA2">
        <f>BDH("VOGX US Equity","EBIT","1993-06-18","2026-05-02","Per=Y","Days=T","Dir=V")</f>
        <v>0</v>
      </c>
      <c r="AC2">
        <f>BDH("VOGX US Equity","EBITDA","1993-06-18","2026-05-02","Per=Y","Days=T","Dir=V")</f>
        <v>0</v>
      </c>
      <c r="AE2">
        <f>BDH("VOGX US Equity","NET_INCOME","1993-06-18","2026-05-02","Per=Y","Days=T","Dir=V")</f>
        <v>0</v>
      </c>
      <c r="AG2">
        <f>BDH("VOGX US Equity","IS_INT_EXPENSE","1993-06-18","2026-05-02","Per=Y","Days=T","Dir=V")</f>
        <v>0</v>
      </c>
      <c r="AI2">
        <f>BDH("VOGX US Equity","IS_DEPR_EXP","1993-06-18","2026-05-02","Per=Y","Days=T","Dir=V")</f>
        <v>0</v>
      </c>
      <c r="AK2">
        <f>BDH("VOGX US Equity","CF_CASH_FROM_OPER","1993-06-18","2026-05-02","Per=Y","Days=T","Dir=V")</f>
        <v>0</v>
      </c>
      <c r="AM2">
        <f>BDH("VOGX US Equity","CAPITAL_EXPEND","1993-06-18","2026-05-02","Per=Y","Days=T","Dir=V")</f>
        <v>0</v>
      </c>
      <c r="AO2">
        <f>BDH("VOGX US Equity","CF_FREE_CASH_FLOW","1993-06-18","2026-05-02","Per=Y","Days=T","Dir=V")</f>
        <v>0</v>
      </c>
      <c r="AQ2">
        <f>BDH("VOGX US Equity","PX_LAST","1993-06-18","2026-05-02","Per=M","Days=T","Dir=V")</f>
        <v>0</v>
      </c>
      <c r="AS2">
        <f>BDH("VOGX US Equity","CUR_MKT_CAP","1993-06-18","2026-05-02","Per=M","Days=T","Dir=V")</f>
        <v>0</v>
      </c>
      <c r="AU2">
        <f>BDH("VOGX US Equity","EQY_SH_OUT","1993-06-18","2026-05-02","Per=M","Days=T","Dir=V")</f>
        <v>0</v>
      </c>
      <c r="AW2">
        <f>BDH("VOGX US Equity","PX_VOLUME","1993-06-18","2026-05-02","Per=M","Days=T","Dir=V")</f>
        <v>0</v>
      </c>
      <c r="AY2">
        <f>BDH("VOGX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BDH("VOR US Equity","BS_TOT_ASSET","1993-06-18","2026-05-02","Per=Y","Days=T","Dir=V")</f>
        <v>0</v>
      </c>
      <c r="C2">
        <f>BDH("VOR US Equity","BS_TOT_LIAB2","1993-06-18","2026-05-02","Per=Y","Days=T","Dir=V")</f>
        <v>0</v>
      </c>
      <c r="E2">
        <f>BDH("VOR US Equity","SHORT_AND_LONG_TERM_DEBT","1993-06-18","2026-05-02","Per=Y","Days=T","Dir=V")</f>
        <v>0</v>
      </c>
      <c r="G2">
        <f>BDH("VOR US Equity","BS_ST_BORROW","1993-06-18","2026-05-02","Per=Y","Days=T","Dir=V")</f>
        <v>0</v>
      </c>
      <c r="I2">
        <f>BDH("VOR US Equity","BS_LT_BORROW","1993-06-18","2026-05-02","Per=Y","Days=T","Dir=V")</f>
        <v>0</v>
      </c>
      <c r="K2">
        <f>BDH("VOR US Equity","BS_CASH_NEAR_CASH_ITEM","1993-06-18","2026-05-02","Per=Y","Days=T","Dir=V")</f>
        <v>0</v>
      </c>
      <c r="M2">
        <f>BDH("VOR US Equity","BS_CUR_ASSET_REPORT","1993-06-18","2026-05-02","Per=Y","Days=T","Dir=V")</f>
        <v>0</v>
      </c>
      <c r="O2">
        <f>BDH("VOR US Equity","BS_CUR_LIAB","1993-06-18","2026-05-02","Per=Y","Days=T","Dir=V")</f>
        <v>0</v>
      </c>
      <c r="Q2">
        <f>BDH("VOR US Equity","BS_SHAREHOLDER_EQY_ENDING_PERIOD","1993-06-18","2026-05-02","Per=Y","Days=T","Dir=V")</f>
        <v>0</v>
      </c>
      <c r="S2">
        <f>BDH("VOR US Equity","BS_ACCT_NOTE_RCV","1993-06-18","2026-05-02","Per=Y","Days=T","Dir=V")</f>
        <v>0</v>
      </c>
      <c r="U2">
        <f>BDH("VOR US Equity","BS_INVENTORIES","1993-06-18","2026-05-02","Per=Y","Days=T","Dir=V")</f>
        <v>0</v>
      </c>
      <c r="W2">
        <f>BDH("VOR US Equity","WORKING_CAPITAL","1993-06-18","2026-05-02","Per=Y","Days=T","Dir=V")</f>
        <v>0</v>
      </c>
      <c r="Y2">
        <f>BDH("VOR US Equity","SALES_REV_TURN","1993-06-18","2026-05-02","Per=Y","Days=T","Dir=V")</f>
        <v>0</v>
      </c>
      <c r="AA2">
        <f>BDH("VOR US Equity","EBIT","1993-06-18","2026-05-02","Per=Y","Days=T","Dir=V")</f>
        <v>0</v>
      </c>
      <c r="AC2">
        <f>BDH("VOR US Equity","EBITDA","1993-06-18","2026-05-02","Per=Y","Days=T","Dir=V")</f>
        <v>0</v>
      </c>
      <c r="AE2">
        <f>BDH("VOR US Equity","NET_INCOME","1993-06-18","2026-05-02","Per=Y","Days=T","Dir=V")</f>
        <v>0</v>
      </c>
      <c r="AG2">
        <f>BDH("VOR US Equity","IS_INT_EXPENSE","1993-06-18","2026-05-02","Per=Y","Days=T","Dir=V")</f>
        <v>0</v>
      </c>
      <c r="AI2">
        <f>BDH("VOR US Equity","IS_DEPR_EXP","1993-06-18","2026-05-02","Per=Y","Days=T","Dir=V")</f>
        <v>0</v>
      </c>
      <c r="AK2">
        <f>BDH("VOR US Equity","CF_CASH_FROM_OPER","1993-06-18","2026-05-02","Per=Y","Days=T","Dir=V")</f>
        <v>0</v>
      </c>
      <c r="AM2">
        <f>BDH("VOR US Equity","CAPITAL_EXPEND","1993-06-18","2026-05-02","Per=Y","Days=T","Dir=V")</f>
        <v>0</v>
      </c>
      <c r="AO2">
        <f>BDH("VOR US Equity","CF_FREE_CASH_FLOW","1993-06-18","2026-05-02","Per=Y","Days=T","Dir=V")</f>
        <v>0</v>
      </c>
      <c r="AQ2">
        <f>BDH("VOR US Equity","PX_LAST","1993-06-18","2026-05-02","Per=M","Days=T","Dir=V")</f>
        <v>0</v>
      </c>
      <c r="AS2">
        <f>BDH("VOR US Equity","CUR_MKT_CAP","1993-06-18","2026-05-02","Per=M","Days=T","Dir=V")</f>
        <v>0</v>
      </c>
      <c r="AU2">
        <f>BDH("VOR US Equity","EQY_SH_OUT","1993-06-18","2026-05-02","Per=M","Days=T","Dir=V")</f>
        <v>0</v>
      </c>
      <c r="AW2">
        <f>BDH("VOR US Equity","PX_VOLUME","1993-06-18","2026-05-02","Per=M","Days=T","Dir=V")</f>
        <v>0</v>
      </c>
      <c r="AY2">
        <f>BDH("VOR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BDH("VOYG US Equity","BS_TOT_ASSET","1993-06-18","2026-05-02","Per=Y","Days=T","Dir=V")</f>
        <v>0</v>
      </c>
      <c r="C2">
        <f>BDH("VOYG US Equity","BS_TOT_LIAB2","1993-06-18","2026-05-02","Per=Y","Days=T","Dir=V")</f>
        <v>0</v>
      </c>
      <c r="E2">
        <f>BDH("VOYG US Equity","SHORT_AND_LONG_TERM_DEBT","1993-06-18","2026-05-02","Per=Y","Days=T","Dir=V")</f>
        <v>0</v>
      </c>
      <c r="G2">
        <f>BDH("VOYG US Equity","BS_ST_BORROW","1993-06-18","2026-05-02","Per=Y","Days=T","Dir=V")</f>
        <v>0</v>
      </c>
      <c r="I2">
        <f>BDH("VOYG US Equity","BS_LT_BORROW","1993-06-18","2026-05-02","Per=Y","Days=T","Dir=V")</f>
        <v>0</v>
      </c>
      <c r="K2">
        <f>BDH("VOYG US Equity","BS_CASH_NEAR_CASH_ITEM","1993-06-18","2026-05-02","Per=Y","Days=T","Dir=V")</f>
        <v>0</v>
      </c>
      <c r="M2">
        <f>BDH("VOYG US Equity","BS_CUR_ASSET_REPORT","1993-06-18","2026-05-02","Per=Y","Days=T","Dir=V")</f>
        <v>0</v>
      </c>
      <c r="O2">
        <f>BDH("VOYG US Equity","BS_CUR_LIAB","1993-06-18","2026-05-02","Per=Y","Days=T","Dir=V")</f>
        <v>0</v>
      </c>
      <c r="Q2">
        <f>BDH("VOYG US Equity","BS_SHAREHOLDER_EQY_ENDING_PERIOD","1993-06-18","2026-05-02","Per=Y","Days=T","Dir=V")</f>
        <v>0</v>
      </c>
      <c r="S2">
        <f>BDH("VOYG US Equity","BS_ACCT_NOTE_RCV","1993-06-18","2026-05-02","Per=Y","Days=T","Dir=V")</f>
        <v>0</v>
      </c>
      <c r="U2">
        <f>BDH("VOYG US Equity","BS_INVENTORIES","1993-06-18","2026-05-02","Per=Y","Days=T","Dir=V")</f>
        <v>0</v>
      </c>
      <c r="W2">
        <f>BDH("VOYG US Equity","WORKING_CAPITAL","1993-06-18","2026-05-02","Per=Y","Days=T","Dir=V")</f>
        <v>0</v>
      </c>
      <c r="Y2">
        <f>BDH("VOYG US Equity","SALES_REV_TURN","1993-06-18","2026-05-02","Per=Y","Days=T","Dir=V")</f>
        <v>0</v>
      </c>
      <c r="AA2">
        <f>BDH("VOYG US Equity","EBIT","1993-06-18","2026-05-02","Per=Y","Days=T","Dir=V")</f>
        <v>0</v>
      </c>
      <c r="AC2">
        <f>BDH("VOYG US Equity","EBITDA","1993-06-18","2026-05-02","Per=Y","Days=T","Dir=V")</f>
        <v>0</v>
      </c>
      <c r="AE2">
        <f>BDH("VOYG US Equity","NET_INCOME","1993-06-18","2026-05-02","Per=Y","Days=T","Dir=V")</f>
        <v>0</v>
      </c>
      <c r="AG2">
        <f>BDH("VOYG US Equity","IS_INT_EXPENSE","1993-06-18","2026-05-02","Per=Y","Days=T","Dir=V")</f>
        <v>0</v>
      </c>
      <c r="AI2">
        <f>BDH("VOYG US Equity","IS_DEPR_EXP","1993-06-18","2026-05-02","Per=Y","Days=T","Dir=V")</f>
        <v>0</v>
      </c>
      <c r="AK2">
        <f>BDH("VOYG US Equity","CF_CASH_FROM_OPER","1993-06-18","2026-05-02","Per=Y","Days=T","Dir=V")</f>
        <v>0</v>
      </c>
      <c r="AM2">
        <f>BDH("VOYG US Equity","CAPITAL_EXPEND","1993-06-18","2026-05-02","Per=Y","Days=T","Dir=V")</f>
        <v>0</v>
      </c>
      <c r="AO2">
        <f>BDH("VOYG US Equity","CF_FREE_CASH_FLOW","1993-06-18","2026-05-02","Per=Y","Days=T","Dir=V")</f>
        <v>0</v>
      </c>
      <c r="AQ2">
        <f>BDH("VOYG US Equity","PX_LAST","1993-06-18","2026-05-02","Per=M","Days=T","Dir=V")</f>
        <v>0</v>
      </c>
      <c r="AS2">
        <f>BDH("VOYG US Equity","CUR_MKT_CAP","1993-06-18","2026-05-02","Per=M","Days=T","Dir=V")</f>
        <v>0</v>
      </c>
      <c r="AU2">
        <f>BDH("VOYG US Equity","EQY_SH_OUT","1993-06-18","2026-05-02","Per=M","Days=T","Dir=V")</f>
        <v>0</v>
      </c>
      <c r="AW2">
        <f>BDH("VOYG US Equity","PX_VOLUME","1993-06-18","2026-05-02","Per=M","Days=T","Dir=V")</f>
        <v>0</v>
      </c>
      <c r="AY2">
        <f>BDH("VOYG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BDH("VPG US Equity","BS_TOT_ASSET","1993-06-18","2026-05-02","Per=Y","Days=T","Dir=V")</f>
        <v>0</v>
      </c>
      <c r="C2">
        <f>BDH("VPG US Equity","BS_TOT_LIAB2","1993-06-18","2026-05-02","Per=Y","Days=T","Dir=V")</f>
        <v>0</v>
      </c>
      <c r="E2">
        <f>BDH("VPG US Equity","SHORT_AND_LONG_TERM_DEBT","1993-06-18","2026-05-02","Per=Y","Days=T","Dir=V")</f>
        <v>0</v>
      </c>
      <c r="G2">
        <f>BDH("VPG US Equity","BS_ST_BORROW","1993-06-18","2026-05-02","Per=Y","Days=T","Dir=V")</f>
        <v>0</v>
      </c>
      <c r="I2">
        <f>BDH("VPG US Equity","BS_LT_BORROW","1993-06-18","2026-05-02","Per=Y","Days=T","Dir=V")</f>
        <v>0</v>
      </c>
      <c r="K2">
        <f>BDH("VPG US Equity","BS_CASH_NEAR_CASH_ITEM","1993-06-18","2026-05-02","Per=Y","Days=T","Dir=V")</f>
        <v>0</v>
      </c>
      <c r="M2">
        <f>BDH("VPG US Equity","BS_CUR_ASSET_REPORT","1993-06-18","2026-05-02","Per=Y","Days=T","Dir=V")</f>
        <v>0</v>
      </c>
      <c r="O2">
        <f>BDH("VPG US Equity","BS_CUR_LIAB","1993-06-18","2026-05-02","Per=Y","Days=T","Dir=V")</f>
        <v>0</v>
      </c>
      <c r="Q2">
        <f>BDH("VPG US Equity","BS_SHAREHOLDER_EQY_ENDING_PERIOD","1993-06-18","2026-05-02","Per=Y","Days=T","Dir=V")</f>
        <v>0</v>
      </c>
      <c r="S2">
        <f>BDH("VPG US Equity","BS_ACCT_NOTE_RCV","1993-06-18","2026-05-02","Per=Y","Days=T","Dir=V")</f>
        <v>0</v>
      </c>
      <c r="U2">
        <f>BDH("VPG US Equity","BS_INVENTORIES","1993-06-18","2026-05-02","Per=Y","Days=T","Dir=V")</f>
        <v>0</v>
      </c>
      <c r="W2">
        <f>BDH("VPG US Equity","WORKING_CAPITAL","1993-06-18","2026-05-02","Per=Y","Days=T","Dir=V")</f>
        <v>0</v>
      </c>
      <c r="Y2">
        <f>BDH("VPG US Equity","SALES_REV_TURN","1993-06-18","2026-05-02","Per=Y","Days=T","Dir=V")</f>
        <v>0</v>
      </c>
      <c r="AA2">
        <f>BDH("VPG US Equity","EBIT","1993-06-18","2026-05-02","Per=Y","Days=T","Dir=V")</f>
        <v>0</v>
      </c>
      <c r="AC2">
        <f>BDH("VPG US Equity","EBITDA","1993-06-18","2026-05-02","Per=Y","Days=T","Dir=V")</f>
        <v>0</v>
      </c>
      <c r="AE2">
        <f>BDH("VPG US Equity","NET_INCOME","1993-06-18","2026-05-02","Per=Y","Days=T","Dir=V")</f>
        <v>0</v>
      </c>
      <c r="AG2">
        <f>BDH("VPG US Equity","IS_INT_EXPENSE","1993-06-18","2026-05-02","Per=Y","Days=T","Dir=V")</f>
        <v>0</v>
      </c>
      <c r="AI2">
        <f>BDH("VPG US Equity","IS_DEPR_EXP","1993-06-18","2026-05-02","Per=Y","Days=T","Dir=V")</f>
        <v>0</v>
      </c>
      <c r="AK2">
        <f>BDH("VPG US Equity","CF_CASH_FROM_OPER","1993-06-18","2026-05-02","Per=Y","Days=T","Dir=V")</f>
        <v>0</v>
      </c>
      <c r="AM2">
        <f>BDH("VPG US Equity","CAPITAL_EXPEND","1993-06-18","2026-05-02","Per=Y","Days=T","Dir=V")</f>
        <v>0</v>
      </c>
      <c r="AO2">
        <f>BDH("VPG US Equity","CF_FREE_CASH_FLOW","1993-06-18","2026-05-02","Per=Y","Days=T","Dir=V")</f>
        <v>0</v>
      </c>
      <c r="AQ2">
        <f>BDH("VPG US Equity","PX_LAST","1993-06-18","2026-05-02","Per=M","Days=T","Dir=V")</f>
        <v>0</v>
      </c>
      <c r="AS2">
        <f>BDH("VPG US Equity","CUR_MKT_CAP","1993-06-18","2026-05-02","Per=M","Days=T","Dir=V")</f>
        <v>0</v>
      </c>
      <c r="AU2">
        <f>BDH("VPG US Equity","EQY_SH_OUT","1993-06-18","2026-05-02","Per=M","Days=T","Dir=V")</f>
        <v>0</v>
      </c>
      <c r="AW2">
        <f>BDH("VPG US Equity","PX_VOLUME","1993-06-18","2026-05-02","Per=M","Days=T","Dir=V")</f>
        <v>0</v>
      </c>
      <c r="AY2">
        <f>BDH("VPG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BDH("VRA US Equity","BS_TOT_ASSET","1993-06-18","2026-05-02","Per=Y","Days=T","Dir=V")</f>
        <v>0</v>
      </c>
      <c r="C2">
        <f>BDH("VRA US Equity","BS_TOT_LIAB2","1993-06-18","2026-05-02","Per=Y","Days=T","Dir=V")</f>
        <v>0</v>
      </c>
      <c r="E2">
        <f>BDH("VRA US Equity","SHORT_AND_LONG_TERM_DEBT","1993-06-18","2026-05-02","Per=Y","Days=T","Dir=V")</f>
        <v>0</v>
      </c>
      <c r="G2">
        <f>BDH("VRA US Equity","BS_ST_BORROW","1993-06-18","2026-05-02","Per=Y","Days=T","Dir=V")</f>
        <v>0</v>
      </c>
      <c r="I2">
        <f>BDH("VRA US Equity","BS_LT_BORROW","1993-06-18","2026-05-02","Per=Y","Days=T","Dir=V")</f>
        <v>0</v>
      </c>
      <c r="K2">
        <f>BDH("VRA US Equity","BS_CASH_NEAR_CASH_ITEM","1993-06-18","2026-05-02","Per=Y","Days=T","Dir=V")</f>
        <v>0</v>
      </c>
      <c r="M2">
        <f>BDH("VRA US Equity","BS_CUR_ASSET_REPORT","1993-06-18","2026-05-02","Per=Y","Days=T","Dir=V")</f>
        <v>0</v>
      </c>
      <c r="O2">
        <f>BDH("VRA US Equity","BS_CUR_LIAB","1993-06-18","2026-05-02","Per=Y","Days=T","Dir=V")</f>
        <v>0</v>
      </c>
      <c r="Q2">
        <f>BDH("VRA US Equity","BS_SHAREHOLDER_EQY_ENDING_PERIOD","1993-06-18","2026-05-02","Per=Y","Days=T","Dir=V")</f>
        <v>0</v>
      </c>
      <c r="S2">
        <f>BDH("VRA US Equity","BS_ACCT_NOTE_RCV","1993-06-18","2026-05-02","Per=Y","Days=T","Dir=V")</f>
        <v>0</v>
      </c>
      <c r="U2">
        <f>BDH("VRA US Equity","BS_INVENTORIES","1993-06-18","2026-05-02","Per=Y","Days=T","Dir=V")</f>
        <v>0</v>
      </c>
      <c r="W2">
        <f>BDH("VRA US Equity","WORKING_CAPITAL","1993-06-18","2026-05-02","Per=Y","Days=T","Dir=V")</f>
        <v>0</v>
      </c>
      <c r="Y2">
        <f>BDH("VRA US Equity","SALES_REV_TURN","1993-06-18","2026-05-02","Per=Y","Days=T","Dir=V")</f>
        <v>0</v>
      </c>
      <c r="AA2">
        <f>BDH("VRA US Equity","EBIT","1993-06-18","2026-05-02","Per=Y","Days=T","Dir=V")</f>
        <v>0</v>
      </c>
      <c r="AC2">
        <f>BDH("VRA US Equity","EBITDA","1993-06-18","2026-05-02","Per=Y","Days=T","Dir=V")</f>
        <v>0</v>
      </c>
      <c r="AE2">
        <f>BDH("VRA US Equity","NET_INCOME","1993-06-18","2026-05-02","Per=Y","Days=T","Dir=V")</f>
        <v>0</v>
      </c>
      <c r="AG2">
        <f>BDH("VRA US Equity","IS_INT_EXPENSE","1993-06-18","2026-05-02","Per=Y","Days=T","Dir=V")</f>
        <v>0</v>
      </c>
      <c r="AI2">
        <f>BDH("VRA US Equity","IS_DEPR_EXP","1993-06-18","2026-05-02","Per=Y","Days=T","Dir=V")</f>
        <v>0</v>
      </c>
      <c r="AK2">
        <f>BDH("VRA US Equity","CF_CASH_FROM_OPER","1993-06-18","2026-05-02","Per=Y","Days=T","Dir=V")</f>
        <v>0</v>
      </c>
      <c r="AM2">
        <f>BDH("VRA US Equity","CAPITAL_EXPEND","1993-06-18","2026-05-02","Per=Y","Days=T","Dir=V")</f>
        <v>0</v>
      </c>
      <c r="AO2">
        <f>BDH("VRA US Equity","CF_FREE_CASH_FLOW","1993-06-18","2026-05-02","Per=Y","Days=T","Dir=V")</f>
        <v>0</v>
      </c>
      <c r="AQ2">
        <f>BDH("VRA US Equity","PX_LAST","1993-06-18","2026-05-02","Per=M","Days=T","Dir=V")</f>
        <v>0</v>
      </c>
      <c r="AS2">
        <f>BDH("VRA US Equity","CUR_MKT_CAP","1993-06-18","2026-05-02","Per=M","Days=T","Dir=V")</f>
        <v>0</v>
      </c>
      <c r="AU2">
        <f>BDH("VRA US Equity","EQY_SH_OUT","1993-06-18","2026-05-02","Per=M","Days=T","Dir=V")</f>
        <v>0</v>
      </c>
      <c r="AW2">
        <f>BDH("VRA US Equity","PX_VOLUME","1993-06-18","2026-05-02","Per=M","Days=T","Dir=V")</f>
        <v>0</v>
      </c>
      <c r="AY2">
        <f>BDH("VRA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BDH("VRCA US Equity","BS_TOT_ASSET","1993-06-18","2026-05-02","Per=Y","Days=T","Dir=V")</f>
        <v>0</v>
      </c>
      <c r="C2">
        <f>BDH("VRCA US Equity","BS_TOT_LIAB2","1993-06-18","2026-05-02","Per=Y","Days=T","Dir=V")</f>
        <v>0</v>
      </c>
      <c r="E2">
        <f>BDH("VRCA US Equity","SHORT_AND_LONG_TERM_DEBT","1993-06-18","2026-05-02","Per=Y","Days=T","Dir=V")</f>
        <v>0</v>
      </c>
      <c r="G2">
        <f>BDH("VRCA US Equity","BS_ST_BORROW","1993-06-18","2026-05-02","Per=Y","Days=T","Dir=V")</f>
        <v>0</v>
      </c>
      <c r="I2">
        <f>BDH("VRCA US Equity","BS_LT_BORROW","1993-06-18","2026-05-02","Per=Y","Days=T","Dir=V")</f>
        <v>0</v>
      </c>
      <c r="K2">
        <f>BDH("VRCA US Equity","BS_CASH_NEAR_CASH_ITEM","1993-06-18","2026-05-02","Per=Y","Days=T","Dir=V")</f>
        <v>0</v>
      </c>
      <c r="M2">
        <f>BDH("VRCA US Equity","BS_CUR_ASSET_REPORT","1993-06-18","2026-05-02","Per=Y","Days=T","Dir=V")</f>
        <v>0</v>
      </c>
      <c r="O2">
        <f>BDH("VRCA US Equity","BS_CUR_LIAB","1993-06-18","2026-05-02","Per=Y","Days=T","Dir=V")</f>
        <v>0</v>
      </c>
      <c r="Q2">
        <f>BDH("VRCA US Equity","BS_SHAREHOLDER_EQY_ENDING_PERIOD","1993-06-18","2026-05-02","Per=Y","Days=T","Dir=V")</f>
        <v>0</v>
      </c>
      <c r="S2">
        <f>BDH("VRCA US Equity","BS_ACCT_NOTE_RCV","1993-06-18","2026-05-02","Per=Y","Days=T","Dir=V")</f>
        <v>0</v>
      </c>
      <c r="U2">
        <f>BDH("VRCA US Equity","BS_INVENTORIES","1993-06-18","2026-05-02","Per=Y","Days=T","Dir=V")</f>
        <v>0</v>
      </c>
      <c r="W2">
        <f>BDH("VRCA US Equity","WORKING_CAPITAL","1993-06-18","2026-05-02","Per=Y","Days=T","Dir=V")</f>
        <v>0</v>
      </c>
      <c r="Y2">
        <f>BDH("VRCA US Equity","SALES_REV_TURN","1993-06-18","2026-05-02","Per=Y","Days=T","Dir=V")</f>
        <v>0</v>
      </c>
      <c r="AA2">
        <f>BDH("VRCA US Equity","EBIT","1993-06-18","2026-05-02","Per=Y","Days=T","Dir=V")</f>
        <v>0</v>
      </c>
      <c r="AC2">
        <f>BDH("VRCA US Equity","EBITDA","1993-06-18","2026-05-02","Per=Y","Days=T","Dir=V")</f>
        <v>0</v>
      </c>
      <c r="AE2">
        <f>BDH("VRCA US Equity","NET_INCOME","1993-06-18","2026-05-02","Per=Y","Days=T","Dir=V")</f>
        <v>0</v>
      </c>
      <c r="AG2">
        <f>BDH("VRCA US Equity","IS_INT_EXPENSE","1993-06-18","2026-05-02","Per=Y","Days=T","Dir=V")</f>
        <v>0</v>
      </c>
      <c r="AI2">
        <f>BDH("VRCA US Equity","IS_DEPR_EXP","1993-06-18","2026-05-02","Per=Y","Days=T","Dir=V")</f>
        <v>0</v>
      </c>
      <c r="AK2">
        <f>BDH("VRCA US Equity","CF_CASH_FROM_OPER","1993-06-18","2026-05-02","Per=Y","Days=T","Dir=V")</f>
        <v>0</v>
      </c>
      <c r="AM2">
        <f>BDH("VRCA US Equity","CAPITAL_EXPEND","1993-06-18","2026-05-02","Per=Y","Days=T","Dir=V")</f>
        <v>0</v>
      </c>
      <c r="AO2">
        <f>BDH("VRCA US Equity","CF_FREE_CASH_FLOW","1993-06-18","2026-05-02","Per=Y","Days=T","Dir=V")</f>
        <v>0</v>
      </c>
      <c r="AQ2">
        <f>BDH("VRCA US Equity","PX_LAST","1993-06-18","2026-05-02","Per=M","Days=T","Dir=V")</f>
        <v>0</v>
      </c>
      <c r="AS2">
        <f>BDH("VRCA US Equity","CUR_MKT_CAP","1993-06-18","2026-05-02","Per=M","Days=T","Dir=V")</f>
        <v>0</v>
      </c>
      <c r="AU2">
        <f>BDH("VRCA US Equity","EQY_SH_OUT","1993-06-18","2026-05-02","Per=M","Days=T","Dir=V")</f>
        <v>0</v>
      </c>
      <c r="AW2">
        <f>BDH("VRCA US Equity","PX_VOLUME","1993-06-18","2026-05-02","Per=M","Days=T","Dir=V")</f>
        <v>0</v>
      </c>
      <c r="AY2">
        <f>BDH("VRCA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BDH("VRDN US Equity","BS_TOT_ASSET","1993-06-18","2026-05-02","Per=Y","Days=T","Dir=V")</f>
        <v>0</v>
      </c>
      <c r="C2">
        <f>BDH("VRDN US Equity","BS_TOT_LIAB2","1993-06-18","2026-05-02","Per=Y","Days=T","Dir=V")</f>
        <v>0</v>
      </c>
      <c r="E2">
        <f>BDH("VRDN US Equity","SHORT_AND_LONG_TERM_DEBT","1993-06-18","2026-05-02","Per=Y","Days=T","Dir=V")</f>
        <v>0</v>
      </c>
      <c r="G2">
        <f>BDH("VRDN US Equity","BS_ST_BORROW","1993-06-18","2026-05-02","Per=Y","Days=T","Dir=V")</f>
        <v>0</v>
      </c>
      <c r="I2">
        <f>BDH("VRDN US Equity","BS_LT_BORROW","1993-06-18","2026-05-02","Per=Y","Days=T","Dir=V")</f>
        <v>0</v>
      </c>
      <c r="K2">
        <f>BDH("VRDN US Equity","BS_CASH_NEAR_CASH_ITEM","1993-06-18","2026-05-02","Per=Y","Days=T","Dir=V")</f>
        <v>0</v>
      </c>
      <c r="M2">
        <f>BDH("VRDN US Equity","BS_CUR_ASSET_REPORT","1993-06-18","2026-05-02","Per=Y","Days=T","Dir=V")</f>
        <v>0</v>
      </c>
      <c r="O2">
        <f>BDH("VRDN US Equity","BS_CUR_LIAB","1993-06-18","2026-05-02","Per=Y","Days=T","Dir=V")</f>
        <v>0</v>
      </c>
      <c r="Q2">
        <f>BDH("VRDN US Equity","BS_SHAREHOLDER_EQY_ENDING_PERIOD","1993-06-18","2026-05-02","Per=Y","Days=T","Dir=V")</f>
        <v>0</v>
      </c>
      <c r="S2">
        <f>BDH("VRDN US Equity","BS_ACCT_NOTE_RCV","1993-06-18","2026-05-02","Per=Y","Days=T","Dir=V")</f>
        <v>0</v>
      </c>
      <c r="U2">
        <f>BDH("VRDN US Equity","BS_INVENTORIES","1993-06-18","2026-05-02","Per=Y","Days=T","Dir=V")</f>
        <v>0</v>
      </c>
      <c r="W2">
        <f>BDH("VRDN US Equity","WORKING_CAPITAL","1993-06-18","2026-05-02","Per=Y","Days=T","Dir=V")</f>
        <v>0</v>
      </c>
      <c r="Y2">
        <f>BDH("VRDN US Equity","SALES_REV_TURN","1993-06-18","2026-05-02","Per=Y","Days=T","Dir=V")</f>
        <v>0</v>
      </c>
      <c r="AA2">
        <f>BDH("VRDN US Equity","EBIT","1993-06-18","2026-05-02","Per=Y","Days=T","Dir=V")</f>
        <v>0</v>
      </c>
      <c r="AC2">
        <f>BDH("VRDN US Equity","EBITDA","1993-06-18","2026-05-02","Per=Y","Days=T","Dir=V")</f>
        <v>0</v>
      </c>
      <c r="AE2">
        <f>BDH("VRDN US Equity","NET_INCOME","1993-06-18","2026-05-02","Per=Y","Days=T","Dir=V")</f>
        <v>0</v>
      </c>
      <c r="AG2">
        <f>BDH("VRDN US Equity","IS_INT_EXPENSE","1993-06-18","2026-05-02","Per=Y","Days=T","Dir=V")</f>
        <v>0</v>
      </c>
      <c r="AI2">
        <f>BDH("VRDN US Equity","IS_DEPR_EXP","1993-06-18","2026-05-02","Per=Y","Days=T","Dir=V")</f>
        <v>0</v>
      </c>
      <c r="AK2">
        <f>BDH("VRDN US Equity","CF_CASH_FROM_OPER","1993-06-18","2026-05-02","Per=Y","Days=T","Dir=V")</f>
        <v>0</v>
      </c>
      <c r="AM2">
        <f>BDH("VRDN US Equity","CAPITAL_EXPEND","1993-06-18","2026-05-02","Per=Y","Days=T","Dir=V")</f>
        <v>0</v>
      </c>
      <c r="AO2">
        <f>BDH("VRDN US Equity","CF_FREE_CASH_FLOW","1993-06-18","2026-05-02","Per=Y","Days=T","Dir=V")</f>
        <v>0</v>
      </c>
      <c r="AQ2">
        <f>BDH("VRDN US Equity","PX_LAST","1993-06-18","2026-05-02","Per=M","Days=T","Dir=V")</f>
        <v>0</v>
      </c>
      <c r="AS2">
        <f>BDH("VRDN US Equity","CUR_MKT_CAP","1993-06-18","2026-05-02","Per=M","Days=T","Dir=V")</f>
        <v>0</v>
      </c>
      <c r="AU2">
        <f>BDH("VRDN US Equity","EQY_SH_OUT","1993-06-18","2026-05-02","Per=M","Days=T","Dir=V")</f>
        <v>0</v>
      </c>
      <c r="AW2">
        <f>BDH("VRDN US Equity","PX_VOLUME","1993-06-18","2026-05-02","Per=M","Days=T","Dir=V")</f>
        <v>0</v>
      </c>
      <c r="AY2">
        <f>BDH("VRDN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BDH("VREX US Equity","BS_TOT_ASSET","1993-06-18","2026-05-02","Per=Y","Days=T","Dir=V")</f>
        <v>0</v>
      </c>
      <c r="C2">
        <f>BDH("VREX US Equity","BS_TOT_LIAB2","1993-06-18","2026-05-02","Per=Y","Days=T","Dir=V")</f>
        <v>0</v>
      </c>
      <c r="E2">
        <f>BDH("VREX US Equity","SHORT_AND_LONG_TERM_DEBT","1993-06-18","2026-05-02","Per=Y","Days=T","Dir=V")</f>
        <v>0</v>
      </c>
      <c r="G2">
        <f>BDH("VREX US Equity","BS_ST_BORROW","1993-06-18","2026-05-02","Per=Y","Days=T","Dir=V")</f>
        <v>0</v>
      </c>
      <c r="I2">
        <f>BDH("VREX US Equity","BS_LT_BORROW","1993-06-18","2026-05-02","Per=Y","Days=T","Dir=V")</f>
        <v>0</v>
      </c>
      <c r="K2">
        <f>BDH("VREX US Equity","BS_CASH_NEAR_CASH_ITEM","1993-06-18","2026-05-02","Per=Y","Days=T","Dir=V")</f>
        <v>0</v>
      </c>
      <c r="M2">
        <f>BDH("VREX US Equity","BS_CUR_ASSET_REPORT","1993-06-18","2026-05-02","Per=Y","Days=T","Dir=V")</f>
        <v>0</v>
      </c>
      <c r="O2">
        <f>BDH("VREX US Equity","BS_CUR_LIAB","1993-06-18","2026-05-02","Per=Y","Days=T","Dir=V")</f>
        <v>0</v>
      </c>
      <c r="Q2">
        <f>BDH("VREX US Equity","BS_SHAREHOLDER_EQY_ENDING_PERIOD","1993-06-18","2026-05-02","Per=Y","Days=T","Dir=V")</f>
        <v>0</v>
      </c>
      <c r="S2">
        <f>BDH("VREX US Equity","BS_ACCT_NOTE_RCV","1993-06-18","2026-05-02","Per=Y","Days=T","Dir=V")</f>
        <v>0</v>
      </c>
      <c r="U2">
        <f>BDH("VREX US Equity","BS_INVENTORIES","1993-06-18","2026-05-02","Per=Y","Days=T","Dir=V")</f>
        <v>0</v>
      </c>
      <c r="W2">
        <f>BDH("VREX US Equity","WORKING_CAPITAL","1993-06-18","2026-05-02","Per=Y","Days=T","Dir=V")</f>
        <v>0</v>
      </c>
      <c r="Y2">
        <f>BDH("VREX US Equity","SALES_REV_TURN","1993-06-18","2026-05-02","Per=Y","Days=T","Dir=V")</f>
        <v>0</v>
      </c>
      <c r="AA2">
        <f>BDH("VREX US Equity","EBIT","1993-06-18","2026-05-02","Per=Y","Days=T","Dir=V")</f>
        <v>0</v>
      </c>
      <c r="AC2">
        <f>BDH("VREX US Equity","EBITDA","1993-06-18","2026-05-02","Per=Y","Days=T","Dir=V")</f>
        <v>0</v>
      </c>
      <c r="AE2">
        <f>BDH("VREX US Equity","NET_INCOME","1993-06-18","2026-05-02","Per=Y","Days=T","Dir=V")</f>
        <v>0</v>
      </c>
      <c r="AG2">
        <f>BDH("VREX US Equity","IS_INT_EXPENSE","1993-06-18","2026-05-02","Per=Y","Days=T","Dir=V")</f>
        <v>0</v>
      </c>
      <c r="AI2">
        <f>BDH("VREX US Equity","IS_DEPR_EXP","1993-06-18","2026-05-02","Per=Y","Days=T","Dir=V")</f>
        <v>0</v>
      </c>
      <c r="AK2">
        <f>BDH("VREX US Equity","CF_CASH_FROM_OPER","1993-06-18","2026-05-02","Per=Y","Days=T","Dir=V")</f>
        <v>0</v>
      </c>
      <c r="AM2">
        <f>BDH("VREX US Equity","CAPITAL_EXPEND","1993-06-18","2026-05-02","Per=Y","Days=T","Dir=V")</f>
        <v>0</v>
      </c>
      <c r="AO2">
        <f>BDH("VREX US Equity","CF_FREE_CASH_FLOW","1993-06-18","2026-05-02","Per=Y","Days=T","Dir=V")</f>
        <v>0</v>
      </c>
      <c r="AQ2">
        <f>BDH("VREX US Equity","PX_LAST","1993-06-18","2026-05-02","Per=M","Days=T","Dir=V")</f>
        <v>0</v>
      </c>
      <c r="AS2">
        <f>BDH("VREX US Equity","CUR_MKT_CAP","1993-06-18","2026-05-02","Per=M","Days=T","Dir=V")</f>
        <v>0</v>
      </c>
      <c r="AU2">
        <f>BDH("VREX US Equity","EQY_SH_OUT","1993-06-18","2026-05-02","Per=M","Days=T","Dir=V")</f>
        <v>0</v>
      </c>
      <c r="AW2">
        <f>BDH("VREX US Equity","PX_VOLUME","1993-06-18","2026-05-02","Per=M","Days=T","Dir=V")</f>
        <v>0</v>
      </c>
      <c r="AY2">
        <f>BDH("VREX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BDH("VRM US Equity","BS_TOT_ASSET","1993-06-18","2026-05-02","Per=Y","Days=T","Dir=V")</f>
        <v>0</v>
      </c>
      <c r="C2">
        <f>BDH("VRM US Equity","BS_TOT_LIAB2","1993-06-18","2026-05-02","Per=Y","Days=T","Dir=V")</f>
        <v>0</v>
      </c>
      <c r="E2">
        <f>BDH("VRM US Equity","SHORT_AND_LONG_TERM_DEBT","1993-06-18","2026-05-02","Per=Y","Days=T","Dir=V")</f>
        <v>0</v>
      </c>
      <c r="G2">
        <f>BDH("VRM US Equity","BS_ST_BORROW","1993-06-18","2026-05-02","Per=Y","Days=T","Dir=V")</f>
        <v>0</v>
      </c>
      <c r="I2">
        <f>BDH("VRM US Equity","BS_LT_BORROW","1993-06-18","2026-05-02","Per=Y","Days=T","Dir=V")</f>
        <v>0</v>
      </c>
      <c r="K2">
        <f>BDH("VRM US Equity","BS_CASH_NEAR_CASH_ITEM","1993-06-18","2026-05-02","Per=Y","Days=T","Dir=V")</f>
        <v>0</v>
      </c>
      <c r="M2">
        <f>BDH("VRM US Equity","BS_CUR_ASSET_REPORT","1993-06-18","2026-05-02","Per=Y","Days=T","Dir=V")</f>
        <v>0</v>
      </c>
      <c r="O2">
        <f>BDH("VRM US Equity","BS_CUR_LIAB","1993-06-18","2026-05-02","Per=Y","Days=T","Dir=V")</f>
        <v>0</v>
      </c>
      <c r="Q2">
        <f>BDH("VRM US Equity","BS_SHAREHOLDER_EQY_ENDING_PERIOD","1993-06-18","2026-05-02","Per=Y","Days=T","Dir=V")</f>
        <v>0</v>
      </c>
      <c r="S2">
        <f>BDH("VRM US Equity","BS_ACCT_NOTE_RCV","1993-06-18","2026-05-02","Per=Y","Days=T","Dir=V")</f>
        <v>0</v>
      </c>
      <c r="U2">
        <f>BDH("VRM US Equity","BS_INVENTORIES","1993-06-18","2026-05-02","Per=Y","Days=T","Dir=V")</f>
        <v>0</v>
      </c>
      <c r="W2">
        <f>BDH("VRM US Equity","WORKING_CAPITAL","1993-06-18","2026-05-02","Per=Y","Days=T","Dir=V")</f>
        <v>0</v>
      </c>
      <c r="Y2">
        <f>BDH("VRM US Equity","SALES_REV_TURN","1993-06-18","2026-05-02","Per=Y","Days=T","Dir=V")</f>
        <v>0</v>
      </c>
      <c r="AA2">
        <f>BDH("VRM US Equity","EBIT","1993-06-18","2026-05-02","Per=Y","Days=T","Dir=V")</f>
        <v>0</v>
      </c>
      <c r="AC2">
        <f>BDH("VRM US Equity","EBITDA","1993-06-18","2026-05-02","Per=Y","Days=T","Dir=V")</f>
        <v>0</v>
      </c>
      <c r="AE2">
        <f>BDH("VRM US Equity","NET_INCOME","1993-06-18","2026-05-02","Per=Y","Days=T","Dir=V")</f>
        <v>0</v>
      </c>
      <c r="AG2">
        <f>BDH("VRM US Equity","IS_INT_EXPENSE","1993-06-18","2026-05-02","Per=Y","Days=T","Dir=V")</f>
        <v>0</v>
      </c>
      <c r="AI2">
        <f>BDH("VRM US Equity","IS_DEPR_EXP","1993-06-18","2026-05-02","Per=Y","Days=T","Dir=V")</f>
        <v>0</v>
      </c>
      <c r="AK2">
        <f>BDH("VRM US Equity","CF_CASH_FROM_OPER","1993-06-18","2026-05-02","Per=Y","Days=T","Dir=V")</f>
        <v>0</v>
      </c>
      <c r="AM2">
        <f>BDH("VRM US Equity","CAPITAL_EXPEND","1993-06-18","2026-05-02","Per=Y","Days=T","Dir=V")</f>
        <v>0</v>
      </c>
      <c r="AO2">
        <f>BDH("VRM US Equity","CF_FREE_CASH_FLOW","1993-06-18","2026-05-02","Per=Y","Days=T","Dir=V")</f>
        <v>0</v>
      </c>
      <c r="AQ2">
        <f>BDH("VRM US Equity","PX_LAST","1993-06-18","2026-05-02","Per=M","Days=T","Dir=V")</f>
        <v>0</v>
      </c>
      <c r="AS2">
        <f>BDH("VRM US Equity","CUR_MKT_CAP","1993-06-18","2026-05-02","Per=M","Days=T","Dir=V")</f>
        <v>0</v>
      </c>
      <c r="AU2">
        <f>BDH("VRM US Equity","EQY_SH_OUT","1993-06-18","2026-05-02","Per=M","Days=T","Dir=V")</f>
        <v>0</v>
      </c>
      <c r="AW2">
        <f>BDH("VRM US Equity","PX_VOLUME","1993-06-18","2026-05-02","Per=M","Days=T","Dir=V")</f>
        <v>0</v>
      </c>
      <c r="AY2">
        <f>BDH("VRM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BDH("VRME US Equity","BS_TOT_ASSET","1993-06-18","2026-05-02","Per=Y","Days=T","Dir=V")</f>
        <v>0</v>
      </c>
      <c r="C2">
        <f>BDH("VRME US Equity","BS_TOT_LIAB2","1993-06-18","2026-05-02","Per=Y","Days=T","Dir=V")</f>
        <v>0</v>
      </c>
      <c r="E2">
        <f>BDH("VRME US Equity","SHORT_AND_LONG_TERM_DEBT","1993-06-18","2026-05-02","Per=Y","Days=T","Dir=V")</f>
        <v>0</v>
      </c>
      <c r="G2">
        <f>BDH("VRME US Equity","BS_ST_BORROW","1993-06-18","2026-05-02","Per=Y","Days=T","Dir=V")</f>
        <v>0</v>
      </c>
      <c r="I2">
        <f>BDH("VRME US Equity","BS_LT_BORROW","1993-06-18","2026-05-02","Per=Y","Days=T","Dir=V")</f>
        <v>0</v>
      </c>
      <c r="K2">
        <f>BDH("VRME US Equity","BS_CASH_NEAR_CASH_ITEM","1993-06-18","2026-05-02","Per=Y","Days=T","Dir=V")</f>
        <v>0</v>
      </c>
      <c r="M2">
        <f>BDH("VRME US Equity","BS_CUR_ASSET_REPORT","1993-06-18","2026-05-02","Per=Y","Days=T","Dir=V")</f>
        <v>0</v>
      </c>
      <c r="O2">
        <f>BDH("VRME US Equity","BS_CUR_LIAB","1993-06-18","2026-05-02","Per=Y","Days=T","Dir=V")</f>
        <v>0</v>
      </c>
      <c r="Q2">
        <f>BDH("VRME US Equity","BS_SHAREHOLDER_EQY_ENDING_PERIOD","1993-06-18","2026-05-02","Per=Y","Days=T","Dir=V")</f>
        <v>0</v>
      </c>
      <c r="S2">
        <f>BDH("VRME US Equity","BS_ACCT_NOTE_RCV","1993-06-18","2026-05-02","Per=Y","Days=T","Dir=V")</f>
        <v>0</v>
      </c>
      <c r="U2">
        <f>BDH("VRME US Equity","BS_INVENTORIES","1993-06-18","2026-05-02","Per=Y","Days=T","Dir=V")</f>
        <v>0</v>
      </c>
      <c r="W2">
        <f>BDH("VRME US Equity","WORKING_CAPITAL","1993-06-18","2026-05-02","Per=Y","Days=T","Dir=V")</f>
        <v>0</v>
      </c>
      <c r="Y2">
        <f>BDH("VRME US Equity","SALES_REV_TURN","1993-06-18","2026-05-02","Per=Y","Days=T","Dir=V")</f>
        <v>0</v>
      </c>
      <c r="AA2">
        <f>BDH("VRME US Equity","EBIT","1993-06-18","2026-05-02","Per=Y","Days=T","Dir=V")</f>
        <v>0</v>
      </c>
      <c r="AC2">
        <f>BDH("VRME US Equity","EBITDA","1993-06-18","2026-05-02","Per=Y","Days=T","Dir=V")</f>
        <v>0</v>
      </c>
      <c r="AE2">
        <f>BDH("VRME US Equity","NET_INCOME","1993-06-18","2026-05-02","Per=Y","Days=T","Dir=V")</f>
        <v>0</v>
      </c>
      <c r="AG2">
        <f>BDH("VRME US Equity","IS_INT_EXPENSE","1993-06-18","2026-05-02","Per=Y","Days=T","Dir=V")</f>
        <v>0</v>
      </c>
      <c r="AI2">
        <f>BDH("VRME US Equity","IS_DEPR_EXP","1993-06-18","2026-05-02","Per=Y","Days=T","Dir=V")</f>
        <v>0</v>
      </c>
      <c r="AK2">
        <f>BDH("VRME US Equity","CF_CASH_FROM_OPER","1993-06-18","2026-05-02","Per=Y","Days=T","Dir=V")</f>
        <v>0</v>
      </c>
      <c r="AM2">
        <f>BDH("VRME US Equity","CAPITAL_EXPEND","1993-06-18","2026-05-02","Per=Y","Days=T","Dir=V")</f>
        <v>0</v>
      </c>
      <c r="AO2">
        <f>BDH("VRME US Equity","CF_FREE_CASH_FLOW","1993-06-18","2026-05-02","Per=Y","Days=T","Dir=V")</f>
        <v>0</v>
      </c>
      <c r="AQ2">
        <f>BDH("VRME US Equity","PX_LAST","1993-06-18","2026-05-02","Per=M","Days=T","Dir=V")</f>
        <v>0</v>
      </c>
      <c r="AS2">
        <f>BDH("VRME US Equity","CUR_MKT_CAP","1993-06-18","2026-05-02","Per=M","Days=T","Dir=V")</f>
        <v>0</v>
      </c>
      <c r="AU2">
        <f>BDH("VRME US Equity","EQY_SH_OUT","1993-06-18","2026-05-02","Per=M","Days=T","Dir=V")</f>
        <v>0</v>
      </c>
      <c r="AW2">
        <f>BDH("VRME US Equity","PX_VOLUME","1993-06-18","2026-05-02","Per=M","Days=T","Dir=V")</f>
        <v>0</v>
      </c>
      <c r="AY2">
        <f>BDH("VRME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BDH("VRNS US Equity","BS_TOT_ASSET","1993-06-18","2026-05-02","Per=Y","Days=T","Dir=V")</f>
        <v>0</v>
      </c>
      <c r="C2">
        <f>BDH("VRNS US Equity","BS_TOT_LIAB2","1993-06-18","2026-05-02","Per=Y","Days=T","Dir=V")</f>
        <v>0</v>
      </c>
      <c r="E2">
        <f>BDH("VRNS US Equity","SHORT_AND_LONG_TERM_DEBT","1993-06-18","2026-05-02","Per=Y","Days=T","Dir=V")</f>
        <v>0</v>
      </c>
      <c r="G2">
        <f>BDH("VRNS US Equity","BS_ST_BORROW","1993-06-18","2026-05-02","Per=Y","Days=T","Dir=V")</f>
        <v>0</v>
      </c>
      <c r="I2">
        <f>BDH("VRNS US Equity","BS_LT_BORROW","1993-06-18","2026-05-02","Per=Y","Days=T","Dir=V")</f>
        <v>0</v>
      </c>
      <c r="K2">
        <f>BDH("VRNS US Equity","BS_CASH_NEAR_CASH_ITEM","1993-06-18","2026-05-02","Per=Y","Days=T","Dir=V")</f>
        <v>0</v>
      </c>
      <c r="M2">
        <f>BDH("VRNS US Equity","BS_CUR_ASSET_REPORT","1993-06-18","2026-05-02","Per=Y","Days=T","Dir=V")</f>
        <v>0</v>
      </c>
      <c r="O2">
        <f>BDH("VRNS US Equity","BS_CUR_LIAB","1993-06-18","2026-05-02","Per=Y","Days=T","Dir=V")</f>
        <v>0</v>
      </c>
      <c r="Q2">
        <f>BDH("VRNS US Equity","BS_SHAREHOLDER_EQY_ENDING_PERIOD","1993-06-18","2026-05-02","Per=Y","Days=T","Dir=V")</f>
        <v>0</v>
      </c>
      <c r="S2">
        <f>BDH("VRNS US Equity","BS_ACCT_NOTE_RCV","1993-06-18","2026-05-02","Per=Y","Days=T","Dir=V")</f>
        <v>0</v>
      </c>
      <c r="U2">
        <f>BDH("VRNS US Equity","BS_INVENTORIES","1993-06-18","2026-05-02","Per=Y","Days=T","Dir=V")</f>
        <v>0</v>
      </c>
      <c r="W2">
        <f>BDH("VRNS US Equity","WORKING_CAPITAL","1993-06-18","2026-05-02","Per=Y","Days=T","Dir=V")</f>
        <v>0</v>
      </c>
      <c r="Y2">
        <f>BDH("VRNS US Equity","SALES_REV_TURN","1993-06-18","2026-05-02","Per=Y","Days=T","Dir=V")</f>
        <v>0</v>
      </c>
      <c r="AA2">
        <f>BDH("VRNS US Equity","EBIT","1993-06-18","2026-05-02","Per=Y","Days=T","Dir=V")</f>
        <v>0</v>
      </c>
      <c r="AC2">
        <f>BDH("VRNS US Equity","EBITDA","1993-06-18","2026-05-02","Per=Y","Days=T","Dir=V")</f>
        <v>0</v>
      </c>
      <c r="AE2">
        <f>BDH("VRNS US Equity","NET_INCOME","1993-06-18","2026-05-02","Per=Y","Days=T","Dir=V")</f>
        <v>0</v>
      </c>
      <c r="AG2">
        <f>BDH("VRNS US Equity","IS_INT_EXPENSE","1993-06-18","2026-05-02","Per=Y","Days=T","Dir=V")</f>
        <v>0</v>
      </c>
      <c r="AI2">
        <f>BDH("VRNS US Equity","IS_DEPR_EXP","1993-06-18","2026-05-02","Per=Y","Days=T","Dir=V")</f>
        <v>0</v>
      </c>
      <c r="AK2">
        <f>BDH("VRNS US Equity","CF_CASH_FROM_OPER","1993-06-18","2026-05-02","Per=Y","Days=T","Dir=V")</f>
        <v>0</v>
      </c>
      <c r="AM2">
        <f>BDH("VRNS US Equity","CAPITAL_EXPEND","1993-06-18","2026-05-02","Per=Y","Days=T","Dir=V")</f>
        <v>0</v>
      </c>
      <c r="AO2">
        <f>BDH("VRNS US Equity","CF_FREE_CASH_FLOW","1993-06-18","2026-05-02","Per=Y","Days=T","Dir=V")</f>
        <v>0</v>
      </c>
      <c r="AQ2">
        <f>BDH("VRNS US Equity","PX_LAST","1993-06-18","2026-05-02","Per=M","Days=T","Dir=V")</f>
        <v>0</v>
      </c>
      <c r="AS2">
        <f>BDH("VRNS US Equity","CUR_MKT_CAP","1993-06-18","2026-05-02","Per=M","Days=T","Dir=V")</f>
        <v>0</v>
      </c>
      <c r="AU2">
        <f>BDH("VRNS US Equity","EQY_SH_OUT","1993-06-18","2026-05-02","Per=M","Days=T","Dir=V")</f>
        <v>0</v>
      </c>
      <c r="AW2">
        <f>BDH("VRNS US Equity","PX_VOLUME","1993-06-18","2026-05-02","Per=M","Days=T","Dir=V")</f>
        <v>0</v>
      </c>
      <c r="AY2">
        <f>BDH("VRNS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BDH("VRRM US Equity","BS_TOT_ASSET","1993-06-18","2026-05-02","Per=Y","Days=T","Dir=V")</f>
        <v>0</v>
      </c>
      <c r="C2">
        <f>BDH("VRRM US Equity","BS_TOT_LIAB2","1993-06-18","2026-05-02","Per=Y","Days=T","Dir=V")</f>
        <v>0</v>
      </c>
      <c r="E2">
        <f>BDH("VRRM US Equity","SHORT_AND_LONG_TERM_DEBT","1993-06-18","2026-05-02","Per=Y","Days=T","Dir=V")</f>
        <v>0</v>
      </c>
      <c r="G2">
        <f>BDH("VRRM US Equity","BS_ST_BORROW","1993-06-18","2026-05-02","Per=Y","Days=T","Dir=V")</f>
        <v>0</v>
      </c>
      <c r="I2">
        <f>BDH("VRRM US Equity","BS_LT_BORROW","1993-06-18","2026-05-02","Per=Y","Days=T","Dir=V")</f>
        <v>0</v>
      </c>
      <c r="K2">
        <f>BDH("VRRM US Equity","BS_CASH_NEAR_CASH_ITEM","1993-06-18","2026-05-02","Per=Y","Days=T","Dir=V")</f>
        <v>0</v>
      </c>
      <c r="M2">
        <f>BDH("VRRM US Equity","BS_CUR_ASSET_REPORT","1993-06-18","2026-05-02","Per=Y","Days=T","Dir=V")</f>
        <v>0</v>
      </c>
      <c r="O2">
        <f>BDH("VRRM US Equity","BS_CUR_LIAB","1993-06-18","2026-05-02","Per=Y","Days=T","Dir=V")</f>
        <v>0</v>
      </c>
      <c r="Q2">
        <f>BDH("VRRM US Equity","BS_SHAREHOLDER_EQY_ENDING_PERIOD","1993-06-18","2026-05-02","Per=Y","Days=T","Dir=V")</f>
        <v>0</v>
      </c>
      <c r="S2">
        <f>BDH("VRRM US Equity","BS_ACCT_NOTE_RCV","1993-06-18","2026-05-02","Per=Y","Days=T","Dir=V")</f>
        <v>0</v>
      </c>
      <c r="U2">
        <f>BDH("VRRM US Equity","BS_INVENTORIES","1993-06-18","2026-05-02","Per=Y","Days=T","Dir=V")</f>
        <v>0</v>
      </c>
      <c r="W2">
        <f>BDH("VRRM US Equity","WORKING_CAPITAL","1993-06-18","2026-05-02","Per=Y","Days=T","Dir=V")</f>
        <v>0</v>
      </c>
      <c r="Y2">
        <f>BDH("VRRM US Equity","SALES_REV_TURN","1993-06-18","2026-05-02","Per=Y","Days=T","Dir=V")</f>
        <v>0</v>
      </c>
      <c r="AA2">
        <f>BDH("VRRM US Equity","EBIT","1993-06-18","2026-05-02","Per=Y","Days=T","Dir=V")</f>
        <v>0</v>
      </c>
      <c r="AC2">
        <f>BDH("VRRM US Equity","EBITDA","1993-06-18","2026-05-02","Per=Y","Days=T","Dir=V")</f>
        <v>0</v>
      </c>
      <c r="AE2">
        <f>BDH("VRRM US Equity","NET_INCOME","1993-06-18","2026-05-02","Per=Y","Days=T","Dir=V")</f>
        <v>0</v>
      </c>
      <c r="AG2">
        <f>BDH("VRRM US Equity","IS_INT_EXPENSE","1993-06-18","2026-05-02","Per=Y","Days=T","Dir=V")</f>
        <v>0</v>
      </c>
      <c r="AI2">
        <f>BDH("VRRM US Equity","IS_DEPR_EXP","1993-06-18","2026-05-02","Per=Y","Days=T","Dir=V")</f>
        <v>0</v>
      </c>
      <c r="AK2">
        <f>BDH("VRRM US Equity","CF_CASH_FROM_OPER","1993-06-18","2026-05-02","Per=Y","Days=T","Dir=V")</f>
        <v>0</v>
      </c>
      <c r="AM2">
        <f>BDH("VRRM US Equity","CAPITAL_EXPEND","1993-06-18","2026-05-02","Per=Y","Days=T","Dir=V")</f>
        <v>0</v>
      </c>
      <c r="AO2">
        <f>BDH("VRRM US Equity","CF_FREE_CASH_FLOW","1993-06-18","2026-05-02","Per=Y","Days=T","Dir=V")</f>
        <v>0</v>
      </c>
      <c r="AQ2">
        <f>BDH("VRRM US Equity","PX_LAST","1993-06-18","2026-05-02","Per=M","Days=T","Dir=V")</f>
        <v>0</v>
      </c>
      <c r="AS2">
        <f>BDH("VRRM US Equity","CUR_MKT_CAP","1993-06-18","2026-05-02","Per=M","Days=T","Dir=V")</f>
        <v>0</v>
      </c>
      <c r="AU2">
        <f>BDH("VRRM US Equity","EQY_SH_OUT","1993-06-18","2026-05-02","Per=M","Days=T","Dir=V")</f>
        <v>0</v>
      </c>
      <c r="AW2">
        <f>BDH("VRRM US Equity","PX_VOLUME","1993-06-18","2026-05-02","Per=M","Days=T","Dir=V")</f>
        <v>0</v>
      </c>
      <c r="AY2">
        <f>BDH("VRRM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BDH("VRSK US Equity","BS_TOT_ASSET","1993-06-18","2026-05-02","Per=Y","Days=T","Dir=V")</f>
        <v>0</v>
      </c>
      <c r="C2">
        <f>BDH("VRSK US Equity","BS_TOT_LIAB2","1993-06-18","2026-05-02","Per=Y","Days=T","Dir=V")</f>
        <v>0</v>
      </c>
      <c r="E2">
        <f>BDH("VRSK US Equity","SHORT_AND_LONG_TERM_DEBT","1993-06-18","2026-05-02","Per=Y","Days=T","Dir=V")</f>
        <v>0</v>
      </c>
      <c r="G2">
        <f>BDH("VRSK US Equity","BS_ST_BORROW","1993-06-18","2026-05-02","Per=Y","Days=T","Dir=V")</f>
        <v>0</v>
      </c>
      <c r="I2">
        <f>BDH("VRSK US Equity","BS_LT_BORROW","1993-06-18","2026-05-02","Per=Y","Days=T","Dir=V")</f>
        <v>0</v>
      </c>
      <c r="K2">
        <f>BDH("VRSK US Equity","BS_CASH_NEAR_CASH_ITEM","1993-06-18","2026-05-02","Per=Y","Days=T","Dir=V")</f>
        <v>0</v>
      </c>
      <c r="M2">
        <f>BDH("VRSK US Equity","BS_CUR_ASSET_REPORT","1993-06-18","2026-05-02","Per=Y","Days=T","Dir=V")</f>
        <v>0</v>
      </c>
      <c r="O2">
        <f>BDH("VRSK US Equity","BS_CUR_LIAB","1993-06-18","2026-05-02","Per=Y","Days=T","Dir=V")</f>
        <v>0</v>
      </c>
      <c r="Q2">
        <f>BDH("VRSK US Equity","BS_SHAREHOLDER_EQY_ENDING_PERIOD","1993-06-18","2026-05-02","Per=Y","Days=T","Dir=V")</f>
        <v>0</v>
      </c>
      <c r="S2">
        <f>BDH("VRSK US Equity","BS_ACCT_NOTE_RCV","1993-06-18","2026-05-02","Per=Y","Days=T","Dir=V")</f>
        <v>0</v>
      </c>
      <c r="U2">
        <f>BDH("VRSK US Equity","BS_INVENTORIES","1993-06-18","2026-05-02","Per=Y","Days=T","Dir=V")</f>
        <v>0</v>
      </c>
      <c r="W2">
        <f>BDH("VRSK US Equity","WORKING_CAPITAL","1993-06-18","2026-05-02","Per=Y","Days=T","Dir=V")</f>
        <v>0</v>
      </c>
      <c r="Y2">
        <f>BDH("VRSK US Equity","SALES_REV_TURN","1993-06-18","2026-05-02","Per=Y","Days=T","Dir=V")</f>
        <v>0</v>
      </c>
      <c r="AA2">
        <f>BDH("VRSK US Equity","EBIT","1993-06-18","2026-05-02","Per=Y","Days=T","Dir=V")</f>
        <v>0</v>
      </c>
      <c r="AC2">
        <f>BDH("VRSK US Equity","EBITDA","1993-06-18","2026-05-02","Per=Y","Days=T","Dir=V")</f>
        <v>0</v>
      </c>
      <c r="AE2">
        <f>BDH("VRSK US Equity","NET_INCOME","1993-06-18","2026-05-02","Per=Y","Days=T","Dir=V")</f>
        <v>0</v>
      </c>
      <c r="AG2">
        <f>BDH("VRSK US Equity","IS_INT_EXPENSE","1993-06-18","2026-05-02","Per=Y","Days=T","Dir=V")</f>
        <v>0</v>
      </c>
      <c r="AI2">
        <f>BDH("VRSK US Equity","IS_DEPR_EXP","1993-06-18","2026-05-02","Per=Y","Days=T","Dir=V")</f>
        <v>0</v>
      </c>
      <c r="AK2">
        <f>BDH("VRSK US Equity","CF_CASH_FROM_OPER","1993-06-18","2026-05-02","Per=Y","Days=T","Dir=V")</f>
        <v>0</v>
      </c>
      <c r="AM2">
        <f>BDH("VRSK US Equity","CAPITAL_EXPEND","1993-06-18","2026-05-02","Per=Y","Days=T","Dir=V")</f>
        <v>0</v>
      </c>
      <c r="AO2">
        <f>BDH("VRSK US Equity","CF_FREE_CASH_FLOW","1993-06-18","2026-05-02","Per=Y","Days=T","Dir=V")</f>
        <v>0</v>
      </c>
      <c r="AQ2">
        <f>BDH("VRSK US Equity","PX_LAST","1993-06-18","2026-05-02","Per=M","Days=T","Dir=V")</f>
        <v>0</v>
      </c>
      <c r="AS2">
        <f>BDH("VRSK US Equity","CUR_MKT_CAP","1993-06-18","2026-05-02","Per=M","Days=T","Dir=V")</f>
        <v>0</v>
      </c>
      <c r="AU2">
        <f>BDH("VRSK US Equity","EQY_SH_OUT","1993-06-18","2026-05-02","Per=M","Days=T","Dir=V")</f>
        <v>0</v>
      </c>
      <c r="AW2">
        <f>BDH("VRSK US Equity","PX_VOLUME","1993-06-18","2026-05-02","Per=M","Days=T","Dir=V")</f>
        <v>0</v>
      </c>
      <c r="AY2">
        <f>BDH("VRSK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BDH("VRSN US Equity","BS_TOT_ASSET","1993-06-18","2026-05-02","Per=Y","Days=T","Dir=V")</f>
        <v>0</v>
      </c>
      <c r="C2">
        <f>BDH("VRSN US Equity","BS_TOT_LIAB2","1993-06-18","2026-05-02","Per=Y","Days=T","Dir=V")</f>
        <v>0</v>
      </c>
      <c r="E2">
        <f>BDH("VRSN US Equity","SHORT_AND_LONG_TERM_DEBT","1993-06-18","2026-05-02","Per=Y","Days=T","Dir=V")</f>
        <v>0</v>
      </c>
      <c r="G2">
        <f>BDH("VRSN US Equity","BS_ST_BORROW","1993-06-18","2026-05-02","Per=Y","Days=T","Dir=V")</f>
        <v>0</v>
      </c>
      <c r="I2">
        <f>BDH("VRSN US Equity","BS_LT_BORROW","1993-06-18","2026-05-02","Per=Y","Days=T","Dir=V")</f>
        <v>0</v>
      </c>
      <c r="K2">
        <f>BDH("VRSN US Equity","BS_CASH_NEAR_CASH_ITEM","1993-06-18","2026-05-02","Per=Y","Days=T","Dir=V")</f>
        <v>0</v>
      </c>
      <c r="M2">
        <f>BDH("VRSN US Equity","BS_CUR_ASSET_REPORT","1993-06-18","2026-05-02","Per=Y","Days=T","Dir=V")</f>
        <v>0</v>
      </c>
      <c r="O2">
        <f>BDH("VRSN US Equity","BS_CUR_LIAB","1993-06-18","2026-05-02","Per=Y","Days=T","Dir=V")</f>
        <v>0</v>
      </c>
      <c r="Q2">
        <f>BDH("VRSN US Equity","BS_SHAREHOLDER_EQY_ENDING_PERIOD","1993-06-18","2026-05-02","Per=Y","Days=T","Dir=V")</f>
        <v>0</v>
      </c>
      <c r="S2">
        <f>BDH("VRSN US Equity","BS_ACCT_NOTE_RCV","1993-06-18","2026-05-02","Per=Y","Days=T","Dir=V")</f>
        <v>0</v>
      </c>
      <c r="U2">
        <f>BDH("VRSN US Equity","BS_INVENTORIES","1993-06-18","2026-05-02","Per=Y","Days=T","Dir=V")</f>
        <v>0</v>
      </c>
      <c r="W2">
        <f>BDH("VRSN US Equity","WORKING_CAPITAL","1993-06-18","2026-05-02","Per=Y","Days=T","Dir=V")</f>
        <v>0</v>
      </c>
      <c r="Y2">
        <f>BDH("VRSN US Equity","SALES_REV_TURN","1993-06-18","2026-05-02","Per=Y","Days=T","Dir=V")</f>
        <v>0</v>
      </c>
      <c r="AA2">
        <f>BDH("VRSN US Equity","EBIT","1993-06-18","2026-05-02","Per=Y","Days=T","Dir=V")</f>
        <v>0</v>
      </c>
      <c r="AC2">
        <f>BDH("VRSN US Equity","EBITDA","1993-06-18","2026-05-02","Per=Y","Days=T","Dir=V")</f>
        <v>0</v>
      </c>
      <c r="AE2">
        <f>BDH("VRSN US Equity","NET_INCOME","1993-06-18","2026-05-02","Per=Y","Days=T","Dir=V")</f>
        <v>0</v>
      </c>
      <c r="AG2">
        <f>BDH("VRSN US Equity","IS_INT_EXPENSE","1993-06-18","2026-05-02","Per=Y","Days=T","Dir=V")</f>
        <v>0</v>
      </c>
      <c r="AI2">
        <f>BDH("VRSN US Equity","IS_DEPR_EXP","1993-06-18","2026-05-02","Per=Y","Days=T","Dir=V")</f>
        <v>0</v>
      </c>
      <c r="AK2">
        <f>BDH("VRSN US Equity","CF_CASH_FROM_OPER","1993-06-18","2026-05-02","Per=Y","Days=T","Dir=V")</f>
        <v>0</v>
      </c>
      <c r="AM2">
        <f>BDH("VRSN US Equity","CAPITAL_EXPEND","1993-06-18","2026-05-02","Per=Y","Days=T","Dir=V")</f>
        <v>0</v>
      </c>
      <c r="AO2">
        <f>BDH("VRSN US Equity","CF_FREE_CASH_FLOW","1993-06-18","2026-05-02","Per=Y","Days=T","Dir=V")</f>
        <v>0</v>
      </c>
      <c r="AQ2">
        <f>BDH("VRSN US Equity","PX_LAST","1993-06-18","2026-05-02","Per=M","Days=T","Dir=V")</f>
        <v>0</v>
      </c>
      <c r="AS2">
        <f>BDH("VRSN US Equity","CUR_MKT_CAP","1993-06-18","2026-05-02","Per=M","Days=T","Dir=V")</f>
        <v>0</v>
      </c>
      <c r="AU2">
        <f>BDH("VRSN US Equity","EQY_SH_OUT","1993-06-18","2026-05-02","Per=M","Days=T","Dir=V")</f>
        <v>0</v>
      </c>
      <c r="AW2">
        <f>BDH("VRSN US Equity","PX_VOLUME","1993-06-18","2026-05-02","Per=M","Days=T","Dir=V")</f>
        <v>0</v>
      </c>
      <c r="AY2">
        <f>BDH("VRSN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BDH("VRT US Equity","BS_TOT_ASSET","1993-06-18","2026-05-02","Per=Y","Days=T","Dir=V")</f>
        <v>0</v>
      </c>
      <c r="C2">
        <f>BDH("VRT US Equity","BS_TOT_LIAB2","1993-06-18","2026-05-02","Per=Y","Days=T","Dir=V")</f>
        <v>0</v>
      </c>
      <c r="E2">
        <f>BDH("VRT US Equity","SHORT_AND_LONG_TERM_DEBT","1993-06-18","2026-05-02","Per=Y","Days=T","Dir=V")</f>
        <v>0</v>
      </c>
      <c r="G2">
        <f>BDH("VRT US Equity","BS_ST_BORROW","1993-06-18","2026-05-02","Per=Y","Days=T","Dir=V")</f>
        <v>0</v>
      </c>
      <c r="I2">
        <f>BDH("VRT US Equity","BS_LT_BORROW","1993-06-18","2026-05-02","Per=Y","Days=T","Dir=V")</f>
        <v>0</v>
      </c>
      <c r="K2">
        <f>BDH("VRT US Equity","BS_CASH_NEAR_CASH_ITEM","1993-06-18","2026-05-02","Per=Y","Days=T","Dir=V")</f>
        <v>0</v>
      </c>
      <c r="M2">
        <f>BDH("VRT US Equity","BS_CUR_ASSET_REPORT","1993-06-18","2026-05-02","Per=Y","Days=T","Dir=V")</f>
        <v>0</v>
      </c>
      <c r="O2">
        <f>BDH("VRT US Equity","BS_CUR_LIAB","1993-06-18","2026-05-02","Per=Y","Days=T","Dir=V")</f>
        <v>0</v>
      </c>
      <c r="Q2">
        <f>BDH("VRT US Equity","BS_SHAREHOLDER_EQY_ENDING_PERIOD","1993-06-18","2026-05-02","Per=Y","Days=T","Dir=V")</f>
        <v>0</v>
      </c>
      <c r="S2">
        <f>BDH("VRT US Equity","BS_ACCT_NOTE_RCV","1993-06-18","2026-05-02","Per=Y","Days=T","Dir=V")</f>
        <v>0</v>
      </c>
      <c r="U2">
        <f>BDH("VRT US Equity","BS_INVENTORIES","1993-06-18","2026-05-02","Per=Y","Days=T","Dir=V")</f>
        <v>0</v>
      </c>
      <c r="W2">
        <f>BDH("VRT US Equity","WORKING_CAPITAL","1993-06-18","2026-05-02","Per=Y","Days=T","Dir=V")</f>
        <v>0</v>
      </c>
      <c r="Y2">
        <f>BDH("VRT US Equity","SALES_REV_TURN","1993-06-18","2026-05-02","Per=Y","Days=T","Dir=V")</f>
        <v>0</v>
      </c>
      <c r="AA2">
        <f>BDH("VRT US Equity","EBIT","1993-06-18","2026-05-02","Per=Y","Days=T","Dir=V")</f>
        <v>0</v>
      </c>
      <c r="AC2">
        <f>BDH("VRT US Equity","EBITDA","1993-06-18","2026-05-02","Per=Y","Days=T","Dir=V")</f>
        <v>0</v>
      </c>
      <c r="AE2">
        <f>BDH("VRT US Equity","NET_INCOME","1993-06-18","2026-05-02","Per=Y","Days=T","Dir=V")</f>
        <v>0</v>
      </c>
      <c r="AG2">
        <f>BDH("VRT US Equity","IS_INT_EXPENSE","1993-06-18","2026-05-02","Per=Y","Days=T","Dir=V")</f>
        <v>0</v>
      </c>
      <c r="AI2">
        <f>BDH("VRT US Equity","IS_DEPR_EXP","1993-06-18","2026-05-02","Per=Y","Days=T","Dir=V")</f>
        <v>0</v>
      </c>
      <c r="AK2">
        <f>BDH("VRT US Equity","CF_CASH_FROM_OPER","1993-06-18","2026-05-02","Per=Y","Days=T","Dir=V")</f>
        <v>0</v>
      </c>
      <c r="AM2">
        <f>BDH("VRT US Equity","CAPITAL_EXPEND","1993-06-18","2026-05-02","Per=Y","Days=T","Dir=V")</f>
        <v>0</v>
      </c>
      <c r="AO2">
        <f>BDH("VRT US Equity","CF_FREE_CASH_FLOW","1993-06-18","2026-05-02","Per=Y","Days=T","Dir=V")</f>
        <v>0</v>
      </c>
      <c r="AQ2">
        <f>BDH("VRT US Equity","PX_LAST","1993-06-18","2026-05-02","Per=M","Days=T","Dir=V")</f>
        <v>0</v>
      </c>
      <c r="AS2">
        <f>BDH("VRT US Equity","CUR_MKT_CAP","1993-06-18","2026-05-02","Per=M","Days=T","Dir=V")</f>
        <v>0</v>
      </c>
      <c r="AU2">
        <f>BDH("VRT US Equity","EQY_SH_OUT","1993-06-18","2026-05-02","Per=M","Days=T","Dir=V")</f>
        <v>0</v>
      </c>
      <c r="AW2">
        <f>BDH("VRT US Equity","PX_VOLUME","1993-06-18","2026-05-02","Per=M","Days=T","Dir=V")</f>
        <v>0</v>
      </c>
      <c r="AY2">
        <f>BDH("VRT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BDH("VRTX US Equity","BS_TOT_ASSET","1993-06-18","2026-05-02","Per=Y","Days=T","Dir=V")</f>
        <v>0</v>
      </c>
      <c r="C2">
        <f>BDH("VRTX US Equity","BS_TOT_LIAB2","1993-06-18","2026-05-02","Per=Y","Days=T","Dir=V")</f>
        <v>0</v>
      </c>
      <c r="E2">
        <f>BDH("VRTX US Equity","SHORT_AND_LONG_TERM_DEBT","1993-06-18","2026-05-02","Per=Y","Days=T","Dir=V")</f>
        <v>0</v>
      </c>
      <c r="G2">
        <f>BDH("VRTX US Equity","BS_ST_BORROW","1993-06-18","2026-05-02","Per=Y","Days=T","Dir=V")</f>
        <v>0</v>
      </c>
      <c r="I2">
        <f>BDH("VRTX US Equity","BS_LT_BORROW","1993-06-18","2026-05-02","Per=Y","Days=T","Dir=V")</f>
        <v>0</v>
      </c>
      <c r="K2">
        <f>BDH("VRTX US Equity","BS_CASH_NEAR_CASH_ITEM","1993-06-18","2026-05-02","Per=Y","Days=T","Dir=V")</f>
        <v>0</v>
      </c>
      <c r="M2">
        <f>BDH("VRTX US Equity","BS_CUR_ASSET_REPORT","1993-06-18","2026-05-02","Per=Y","Days=T","Dir=V")</f>
        <v>0</v>
      </c>
      <c r="O2">
        <f>BDH("VRTX US Equity","BS_CUR_LIAB","1993-06-18","2026-05-02","Per=Y","Days=T","Dir=V")</f>
        <v>0</v>
      </c>
      <c r="Q2">
        <f>BDH("VRTX US Equity","BS_SHAREHOLDER_EQY_ENDING_PERIOD","1993-06-18","2026-05-02","Per=Y","Days=T","Dir=V")</f>
        <v>0</v>
      </c>
      <c r="S2">
        <f>BDH("VRTX US Equity","BS_ACCT_NOTE_RCV","1993-06-18","2026-05-02","Per=Y","Days=T","Dir=V")</f>
        <v>0</v>
      </c>
      <c r="U2">
        <f>BDH("VRTX US Equity","BS_INVENTORIES","1993-06-18","2026-05-02","Per=Y","Days=T","Dir=V")</f>
        <v>0</v>
      </c>
      <c r="W2">
        <f>BDH("VRTX US Equity","WORKING_CAPITAL","1993-06-18","2026-05-02","Per=Y","Days=T","Dir=V")</f>
        <v>0</v>
      </c>
      <c r="Y2">
        <f>BDH("VRTX US Equity","SALES_REV_TURN","1993-06-18","2026-05-02","Per=Y","Days=T","Dir=V")</f>
        <v>0</v>
      </c>
      <c r="AA2">
        <f>BDH("VRTX US Equity","EBIT","1993-06-18","2026-05-02","Per=Y","Days=T","Dir=V")</f>
        <v>0</v>
      </c>
      <c r="AC2">
        <f>BDH("VRTX US Equity","EBITDA","1993-06-18","2026-05-02","Per=Y","Days=T","Dir=V")</f>
        <v>0</v>
      </c>
      <c r="AE2">
        <f>BDH("VRTX US Equity","NET_INCOME","1993-06-18","2026-05-02","Per=Y","Days=T","Dir=V")</f>
        <v>0</v>
      </c>
      <c r="AG2">
        <f>BDH("VRTX US Equity","IS_INT_EXPENSE","1993-06-18","2026-05-02","Per=Y","Days=T","Dir=V")</f>
        <v>0</v>
      </c>
      <c r="AI2">
        <f>BDH("VRTX US Equity","IS_DEPR_EXP","1993-06-18","2026-05-02","Per=Y","Days=T","Dir=V")</f>
        <v>0</v>
      </c>
      <c r="AK2">
        <f>BDH("VRTX US Equity","CF_CASH_FROM_OPER","1993-06-18","2026-05-02","Per=Y","Days=T","Dir=V")</f>
        <v>0</v>
      </c>
      <c r="AM2">
        <f>BDH("VRTX US Equity","CAPITAL_EXPEND","1993-06-18","2026-05-02","Per=Y","Days=T","Dir=V")</f>
        <v>0</v>
      </c>
      <c r="AO2">
        <f>BDH("VRTX US Equity","CF_FREE_CASH_FLOW","1993-06-18","2026-05-02","Per=Y","Days=T","Dir=V")</f>
        <v>0</v>
      </c>
      <c r="AQ2">
        <f>BDH("VRTX US Equity","PX_LAST","1993-06-18","2026-05-02","Per=M","Days=T","Dir=V")</f>
        <v>0</v>
      </c>
      <c r="AS2">
        <f>BDH("VRTX US Equity","CUR_MKT_CAP","1993-06-18","2026-05-02","Per=M","Days=T","Dir=V")</f>
        <v>0</v>
      </c>
      <c r="AU2">
        <f>BDH("VRTX US Equity","EQY_SH_OUT","1993-06-18","2026-05-02","Per=M","Days=T","Dir=V")</f>
        <v>0</v>
      </c>
      <c r="AW2">
        <f>BDH("VRTX US Equity","PX_VOLUME","1993-06-18","2026-05-02","Per=M","Days=T","Dir=V")</f>
        <v>0</v>
      </c>
      <c r="AY2">
        <f>BDH("VRTX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BDH("VSAT US Equity","BS_TOT_ASSET","1993-06-18","2026-05-02","Per=Y","Days=T","Dir=V")</f>
        <v>0</v>
      </c>
      <c r="C2">
        <f>BDH("VSAT US Equity","BS_TOT_LIAB2","1993-06-18","2026-05-02","Per=Y","Days=T","Dir=V")</f>
        <v>0</v>
      </c>
      <c r="E2">
        <f>BDH("VSAT US Equity","SHORT_AND_LONG_TERM_DEBT","1993-06-18","2026-05-02","Per=Y","Days=T","Dir=V")</f>
        <v>0</v>
      </c>
      <c r="G2">
        <f>BDH("VSAT US Equity","BS_ST_BORROW","1993-06-18","2026-05-02","Per=Y","Days=T","Dir=V")</f>
        <v>0</v>
      </c>
      <c r="I2">
        <f>BDH("VSAT US Equity","BS_LT_BORROW","1993-06-18","2026-05-02","Per=Y","Days=T","Dir=V")</f>
        <v>0</v>
      </c>
      <c r="K2">
        <f>BDH("VSAT US Equity","BS_CASH_NEAR_CASH_ITEM","1993-06-18","2026-05-02","Per=Y","Days=T","Dir=V")</f>
        <v>0</v>
      </c>
      <c r="M2">
        <f>BDH("VSAT US Equity","BS_CUR_ASSET_REPORT","1993-06-18","2026-05-02","Per=Y","Days=T","Dir=V")</f>
        <v>0</v>
      </c>
      <c r="O2">
        <f>BDH("VSAT US Equity","BS_CUR_LIAB","1993-06-18","2026-05-02","Per=Y","Days=T","Dir=V")</f>
        <v>0</v>
      </c>
      <c r="Q2">
        <f>BDH("VSAT US Equity","BS_SHAREHOLDER_EQY_ENDING_PERIOD","1993-06-18","2026-05-02","Per=Y","Days=T","Dir=V")</f>
        <v>0</v>
      </c>
      <c r="S2">
        <f>BDH("VSAT US Equity","BS_ACCT_NOTE_RCV","1993-06-18","2026-05-02","Per=Y","Days=T","Dir=V")</f>
        <v>0</v>
      </c>
      <c r="U2">
        <f>BDH("VSAT US Equity","BS_INVENTORIES","1993-06-18","2026-05-02","Per=Y","Days=T","Dir=V")</f>
        <v>0</v>
      </c>
      <c r="W2">
        <f>BDH("VSAT US Equity","WORKING_CAPITAL","1993-06-18","2026-05-02","Per=Y","Days=T","Dir=V")</f>
        <v>0</v>
      </c>
      <c r="Y2">
        <f>BDH("VSAT US Equity","SALES_REV_TURN","1993-06-18","2026-05-02","Per=Y","Days=T","Dir=V")</f>
        <v>0</v>
      </c>
      <c r="AA2">
        <f>BDH("VSAT US Equity","EBIT","1993-06-18","2026-05-02","Per=Y","Days=T","Dir=V")</f>
        <v>0</v>
      </c>
      <c r="AC2">
        <f>BDH("VSAT US Equity","EBITDA","1993-06-18","2026-05-02","Per=Y","Days=T","Dir=V")</f>
        <v>0</v>
      </c>
      <c r="AE2">
        <f>BDH("VSAT US Equity","NET_INCOME","1993-06-18","2026-05-02","Per=Y","Days=T","Dir=V")</f>
        <v>0</v>
      </c>
      <c r="AG2">
        <f>BDH("VSAT US Equity","IS_INT_EXPENSE","1993-06-18","2026-05-02","Per=Y","Days=T","Dir=V")</f>
        <v>0</v>
      </c>
      <c r="AI2">
        <f>BDH("VSAT US Equity","IS_DEPR_EXP","1993-06-18","2026-05-02","Per=Y","Days=T","Dir=V")</f>
        <v>0</v>
      </c>
      <c r="AK2">
        <f>BDH("VSAT US Equity","CF_CASH_FROM_OPER","1993-06-18","2026-05-02","Per=Y","Days=T","Dir=V")</f>
        <v>0</v>
      </c>
      <c r="AM2">
        <f>BDH("VSAT US Equity","CAPITAL_EXPEND","1993-06-18","2026-05-02","Per=Y","Days=T","Dir=V")</f>
        <v>0</v>
      </c>
      <c r="AO2">
        <f>BDH("VSAT US Equity","CF_FREE_CASH_FLOW","1993-06-18","2026-05-02","Per=Y","Days=T","Dir=V")</f>
        <v>0</v>
      </c>
      <c r="AQ2">
        <f>BDH("VSAT US Equity","PX_LAST","1993-06-18","2026-05-02","Per=M","Days=T","Dir=V")</f>
        <v>0</v>
      </c>
      <c r="AS2">
        <f>BDH("VSAT US Equity","CUR_MKT_CAP","1993-06-18","2026-05-02","Per=M","Days=T","Dir=V")</f>
        <v>0</v>
      </c>
      <c r="AU2">
        <f>BDH("VSAT US Equity","EQY_SH_OUT","1993-06-18","2026-05-02","Per=M","Days=T","Dir=V")</f>
        <v>0</v>
      </c>
      <c r="AW2">
        <f>BDH("VSAT US Equity","PX_VOLUME","1993-06-18","2026-05-02","Per=M","Days=T","Dir=V")</f>
        <v>0</v>
      </c>
      <c r="AY2">
        <f>BDH("VSAT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BDH("VSEC US Equity","BS_TOT_ASSET","1993-06-18","2026-05-02","Per=Y","Days=T","Dir=V")</f>
        <v>0</v>
      </c>
      <c r="C2">
        <f>BDH("VSEC US Equity","BS_TOT_LIAB2","1993-06-18","2026-05-02","Per=Y","Days=T","Dir=V")</f>
        <v>0</v>
      </c>
      <c r="E2">
        <f>BDH("VSEC US Equity","SHORT_AND_LONG_TERM_DEBT","1993-06-18","2026-05-02","Per=Y","Days=T","Dir=V")</f>
        <v>0</v>
      </c>
      <c r="G2">
        <f>BDH("VSEC US Equity","BS_ST_BORROW","1993-06-18","2026-05-02","Per=Y","Days=T","Dir=V")</f>
        <v>0</v>
      </c>
      <c r="I2">
        <f>BDH("VSEC US Equity","BS_LT_BORROW","1993-06-18","2026-05-02","Per=Y","Days=T","Dir=V")</f>
        <v>0</v>
      </c>
      <c r="K2">
        <f>BDH("VSEC US Equity","BS_CASH_NEAR_CASH_ITEM","1993-06-18","2026-05-02","Per=Y","Days=T","Dir=V")</f>
        <v>0</v>
      </c>
      <c r="M2">
        <f>BDH("VSEC US Equity","BS_CUR_ASSET_REPORT","1993-06-18","2026-05-02","Per=Y","Days=T","Dir=V")</f>
        <v>0</v>
      </c>
      <c r="O2">
        <f>BDH("VSEC US Equity","BS_CUR_LIAB","1993-06-18","2026-05-02","Per=Y","Days=T","Dir=V")</f>
        <v>0</v>
      </c>
      <c r="Q2">
        <f>BDH("VSEC US Equity","BS_SHAREHOLDER_EQY_ENDING_PERIOD","1993-06-18","2026-05-02","Per=Y","Days=T","Dir=V")</f>
        <v>0</v>
      </c>
      <c r="S2">
        <f>BDH("VSEC US Equity","BS_ACCT_NOTE_RCV","1993-06-18","2026-05-02","Per=Y","Days=T","Dir=V")</f>
        <v>0</v>
      </c>
      <c r="U2">
        <f>BDH("VSEC US Equity","BS_INVENTORIES","1993-06-18","2026-05-02","Per=Y","Days=T","Dir=V")</f>
        <v>0</v>
      </c>
      <c r="W2">
        <f>BDH("VSEC US Equity","WORKING_CAPITAL","1993-06-18","2026-05-02","Per=Y","Days=T","Dir=V")</f>
        <v>0</v>
      </c>
      <c r="Y2">
        <f>BDH("VSEC US Equity","SALES_REV_TURN","1993-06-18","2026-05-02","Per=Y","Days=T","Dir=V")</f>
        <v>0</v>
      </c>
      <c r="AA2">
        <f>BDH("VSEC US Equity","EBIT","1993-06-18","2026-05-02","Per=Y","Days=T","Dir=V")</f>
        <v>0</v>
      </c>
      <c r="AC2">
        <f>BDH("VSEC US Equity","EBITDA","1993-06-18","2026-05-02","Per=Y","Days=T","Dir=V")</f>
        <v>0</v>
      </c>
      <c r="AE2">
        <f>BDH("VSEC US Equity","NET_INCOME","1993-06-18","2026-05-02","Per=Y","Days=T","Dir=V")</f>
        <v>0</v>
      </c>
      <c r="AG2">
        <f>BDH("VSEC US Equity","IS_INT_EXPENSE","1993-06-18","2026-05-02","Per=Y","Days=T","Dir=V")</f>
        <v>0</v>
      </c>
      <c r="AI2">
        <f>BDH("VSEC US Equity","IS_DEPR_EXP","1993-06-18","2026-05-02","Per=Y","Days=T","Dir=V")</f>
        <v>0</v>
      </c>
      <c r="AK2">
        <f>BDH("VSEC US Equity","CF_CASH_FROM_OPER","1993-06-18","2026-05-02","Per=Y","Days=T","Dir=V")</f>
        <v>0</v>
      </c>
      <c r="AM2">
        <f>BDH("VSEC US Equity","CAPITAL_EXPEND","1993-06-18","2026-05-02","Per=Y","Days=T","Dir=V")</f>
        <v>0</v>
      </c>
      <c r="AO2">
        <f>BDH("VSEC US Equity","CF_FREE_CASH_FLOW","1993-06-18","2026-05-02","Per=Y","Days=T","Dir=V")</f>
        <v>0</v>
      </c>
      <c r="AQ2">
        <f>BDH("VSEC US Equity","PX_LAST","1993-06-18","2026-05-02","Per=M","Days=T","Dir=V")</f>
        <v>0</v>
      </c>
      <c r="AS2">
        <f>BDH("VSEC US Equity","CUR_MKT_CAP","1993-06-18","2026-05-02","Per=M","Days=T","Dir=V")</f>
        <v>0</v>
      </c>
      <c r="AU2">
        <f>BDH("VSEC US Equity","EQY_SH_OUT","1993-06-18","2026-05-02","Per=M","Days=T","Dir=V")</f>
        <v>0</v>
      </c>
      <c r="AW2">
        <f>BDH("VSEC US Equity","PX_VOLUME","1993-06-18","2026-05-02","Per=M","Days=T","Dir=V")</f>
        <v>0</v>
      </c>
      <c r="AY2">
        <f>BDH("VSEC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BDH("VSH US Equity","BS_TOT_ASSET","1993-06-18","2026-05-02","Per=Y","Days=T","Dir=V")</f>
        <v>0</v>
      </c>
      <c r="C2">
        <f>BDH("VSH US Equity","BS_TOT_LIAB2","1993-06-18","2026-05-02","Per=Y","Days=T","Dir=V")</f>
        <v>0</v>
      </c>
      <c r="E2">
        <f>BDH("VSH US Equity","SHORT_AND_LONG_TERM_DEBT","1993-06-18","2026-05-02","Per=Y","Days=T","Dir=V")</f>
        <v>0</v>
      </c>
      <c r="G2">
        <f>BDH("VSH US Equity","BS_ST_BORROW","1993-06-18","2026-05-02","Per=Y","Days=T","Dir=V")</f>
        <v>0</v>
      </c>
      <c r="I2">
        <f>BDH("VSH US Equity","BS_LT_BORROW","1993-06-18","2026-05-02","Per=Y","Days=T","Dir=V")</f>
        <v>0</v>
      </c>
      <c r="K2">
        <f>BDH("VSH US Equity","BS_CASH_NEAR_CASH_ITEM","1993-06-18","2026-05-02","Per=Y","Days=T","Dir=V")</f>
        <v>0</v>
      </c>
      <c r="M2">
        <f>BDH("VSH US Equity","BS_CUR_ASSET_REPORT","1993-06-18","2026-05-02","Per=Y","Days=T","Dir=V")</f>
        <v>0</v>
      </c>
      <c r="O2">
        <f>BDH("VSH US Equity","BS_CUR_LIAB","1993-06-18","2026-05-02","Per=Y","Days=T","Dir=V")</f>
        <v>0</v>
      </c>
      <c r="Q2">
        <f>BDH("VSH US Equity","BS_SHAREHOLDER_EQY_ENDING_PERIOD","1993-06-18","2026-05-02","Per=Y","Days=T","Dir=V")</f>
        <v>0</v>
      </c>
      <c r="S2">
        <f>BDH("VSH US Equity","BS_ACCT_NOTE_RCV","1993-06-18","2026-05-02","Per=Y","Days=T","Dir=V")</f>
        <v>0</v>
      </c>
      <c r="U2">
        <f>BDH("VSH US Equity","BS_INVENTORIES","1993-06-18","2026-05-02","Per=Y","Days=T","Dir=V")</f>
        <v>0</v>
      </c>
      <c r="W2">
        <f>BDH("VSH US Equity","WORKING_CAPITAL","1993-06-18","2026-05-02","Per=Y","Days=T","Dir=V")</f>
        <v>0</v>
      </c>
      <c r="Y2">
        <f>BDH("VSH US Equity","SALES_REV_TURN","1993-06-18","2026-05-02","Per=Y","Days=T","Dir=V")</f>
        <v>0</v>
      </c>
      <c r="AA2">
        <f>BDH("VSH US Equity","EBIT","1993-06-18","2026-05-02","Per=Y","Days=T","Dir=V")</f>
        <v>0</v>
      </c>
      <c r="AC2">
        <f>BDH("VSH US Equity","EBITDA","1993-06-18","2026-05-02","Per=Y","Days=T","Dir=V")</f>
        <v>0</v>
      </c>
      <c r="AE2">
        <f>BDH("VSH US Equity","NET_INCOME","1993-06-18","2026-05-02","Per=Y","Days=T","Dir=V")</f>
        <v>0</v>
      </c>
      <c r="AG2">
        <f>BDH("VSH US Equity","IS_INT_EXPENSE","1993-06-18","2026-05-02","Per=Y","Days=T","Dir=V")</f>
        <v>0</v>
      </c>
      <c r="AI2">
        <f>BDH("VSH US Equity","IS_DEPR_EXP","1993-06-18","2026-05-02","Per=Y","Days=T","Dir=V")</f>
        <v>0</v>
      </c>
      <c r="AK2">
        <f>BDH("VSH US Equity","CF_CASH_FROM_OPER","1993-06-18","2026-05-02","Per=Y","Days=T","Dir=V")</f>
        <v>0</v>
      </c>
      <c r="AM2">
        <f>BDH("VSH US Equity","CAPITAL_EXPEND","1993-06-18","2026-05-02","Per=Y","Days=T","Dir=V")</f>
        <v>0</v>
      </c>
      <c r="AO2">
        <f>BDH("VSH US Equity","CF_FREE_CASH_FLOW","1993-06-18","2026-05-02","Per=Y","Days=T","Dir=V")</f>
        <v>0</v>
      </c>
      <c r="AQ2">
        <f>BDH("VSH US Equity","PX_LAST","1993-06-18","2026-05-02","Per=M","Days=T","Dir=V")</f>
        <v>0</v>
      </c>
      <c r="AS2">
        <f>BDH("VSH US Equity","CUR_MKT_CAP","1993-06-18","2026-05-02","Per=M","Days=T","Dir=V")</f>
        <v>0</v>
      </c>
      <c r="AU2">
        <f>BDH("VSH US Equity","EQY_SH_OUT","1993-06-18","2026-05-02","Per=M","Days=T","Dir=V")</f>
        <v>0</v>
      </c>
      <c r="AW2">
        <f>BDH("VSH US Equity","PX_VOLUME","1993-06-18","2026-05-02","Per=M","Days=T","Dir=V")</f>
        <v>0</v>
      </c>
      <c r="AY2">
        <f>BDH("VSH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BDH("VSNT US Equity","BS_TOT_ASSET","1993-06-18","2026-05-02","Per=Y","Days=T","Dir=V")</f>
        <v>0</v>
      </c>
      <c r="C2">
        <f>BDH("VSNT US Equity","BS_TOT_LIAB2","1993-06-18","2026-05-02","Per=Y","Days=T","Dir=V")</f>
        <v>0</v>
      </c>
      <c r="E2">
        <f>BDH("VSNT US Equity","SHORT_AND_LONG_TERM_DEBT","1993-06-18","2026-05-02","Per=Y","Days=T","Dir=V")</f>
        <v>0</v>
      </c>
      <c r="G2">
        <f>BDH("VSNT US Equity","BS_ST_BORROW","1993-06-18","2026-05-02","Per=Y","Days=T","Dir=V")</f>
        <v>0</v>
      </c>
      <c r="I2">
        <f>BDH("VSNT US Equity","BS_LT_BORROW","1993-06-18","2026-05-02","Per=Y","Days=T","Dir=V")</f>
        <v>0</v>
      </c>
      <c r="K2">
        <f>BDH("VSNT US Equity","BS_CASH_NEAR_CASH_ITEM","1993-06-18","2026-05-02","Per=Y","Days=T","Dir=V")</f>
        <v>0</v>
      </c>
      <c r="M2">
        <f>BDH("VSNT US Equity","BS_CUR_ASSET_REPORT","1993-06-18","2026-05-02","Per=Y","Days=T","Dir=V")</f>
        <v>0</v>
      </c>
      <c r="O2">
        <f>BDH("VSNT US Equity","BS_CUR_LIAB","1993-06-18","2026-05-02","Per=Y","Days=T","Dir=V")</f>
        <v>0</v>
      </c>
      <c r="Q2">
        <f>BDH("VSNT US Equity","BS_SHAREHOLDER_EQY_ENDING_PERIOD","1993-06-18","2026-05-02","Per=Y","Days=T","Dir=V")</f>
        <v>0</v>
      </c>
      <c r="S2">
        <f>BDH("VSNT US Equity","BS_ACCT_NOTE_RCV","1993-06-18","2026-05-02","Per=Y","Days=T","Dir=V")</f>
        <v>0</v>
      </c>
      <c r="U2">
        <f>BDH("VSNT US Equity","BS_INVENTORIES","1993-06-18","2026-05-02","Per=Y","Days=T","Dir=V")</f>
        <v>0</v>
      </c>
      <c r="W2">
        <f>BDH("VSNT US Equity","WORKING_CAPITAL","1993-06-18","2026-05-02","Per=Y","Days=T","Dir=V")</f>
        <v>0</v>
      </c>
      <c r="Y2">
        <f>BDH("VSNT US Equity","SALES_REV_TURN","1993-06-18","2026-05-02","Per=Y","Days=T","Dir=V")</f>
        <v>0</v>
      </c>
      <c r="AA2">
        <f>BDH("VSNT US Equity","EBIT","1993-06-18","2026-05-02","Per=Y","Days=T","Dir=V")</f>
        <v>0</v>
      </c>
      <c r="AC2">
        <f>BDH("VSNT US Equity","EBITDA","1993-06-18","2026-05-02","Per=Y","Days=T","Dir=V")</f>
        <v>0</v>
      </c>
      <c r="AE2">
        <f>BDH("VSNT US Equity","NET_INCOME","1993-06-18","2026-05-02","Per=Y","Days=T","Dir=V")</f>
        <v>0</v>
      </c>
      <c r="AG2">
        <f>BDH("VSNT US Equity","IS_INT_EXPENSE","1993-06-18","2026-05-02","Per=Y","Days=T","Dir=V")</f>
        <v>0</v>
      </c>
      <c r="AI2">
        <f>BDH("VSNT US Equity","IS_DEPR_EXP","1993-06-18","2026-05-02","Per=Y","Days=T","Dir=V")</f>
        <v>0</v>
      </c>
      <c r="AK2">
        <f>BDH("VSNT US Equity","CF_CASH_FROM_OPER","1993-06-18","2026-05-02","Per=Y","Days=T","Dir=V")</f>
        <v>0</v>
      </c>
      <c r="AM2">
        <f>BDH("VSNT US Equity","CAPITAL_EXPEND","1993-06-18","2026-05-02","Per=Y","Days=T","Dir=V")</f>
        <v>0</v>
      </c>
      <c r="AO2">
        <f>BDH("VSNT US Equity","CF_FREE_CASH_FLOW","1993-06-18","2026-05-02","Per=Y","Days=T","Dir=V")</f>
        <v>0</v>
      </c>
      <c r="AQ2">
        <f>BDH("VSNT US Equity","PX_LAST","1993-06-18","2026-05-02","Per=M","Days=T","Dir=V")</f>
        <v>0</v>
      </c>
      <c r="AS2">
        <f>BDH("VSNT US Equity","CUR_MKT_CAP","1993-06-18","2026-05-02","Per=M","Days=T","Dir=V")</f>
        <v>0</v>
      </c>
      <c r="AU2">
        <f>BDH("VSNT US Equity","EQY_SH_OUT","1993-06-18","2026-05-02","Per=M","Days=T","Dir=V")</f>
        <v>0</v>
      </c>
      <c r="AW2">
        <f>BDH("VSNT US Equity","PX_VOLUME","1993-06-18","2026-05-02","Per=M","Days=T","Dir=V")</f>
        <v>0</v>
      </c>
      <c r="AY2">
        <f>BDH("VSNT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BDH("VST US Equity","BS_TOT_ASSET","1993-06-18","2026-05-02","Per=Y","Days=T","Dir=V")</f>
        <v>0</v>
      </c>
      <c r="C2">
        <f>BDH("VST US Equity","BS_TOT_LIAB2","1993-06-18","2026-05-02","Per=Y","Days=T","Dir=V")</f>
        <v>0</v>
      </c>
      <c r="E2">
        <f>BDH("VST US Equity","SHORT_AND_LONG_TERM_DEBT","1993-06-18","2026-05-02","Per=Y","Days=T","Dir=V")</f>
        <v>0</v>
      </c>
      <c r="G2">
        <f>BDH("VST US Equity","BS_ST_BORROW","1993-06-18","2026-05-02","Per=Y","Days=T","Dir=V")</f>
        <v>0</v>
      </c>
      <c r="I2">
        <f>BDH("VST US Equity","BS_LT_BORROW","1993-06-18","2026-05-02","Per=Y","Days=T","Dir=V")</f>
        <v>0</v>
      </c>
      <c r="K2">
        <f>BDH("VST US Equity","BS_CASH_NEAR_CASH_ITEM","1993-06-18","2026-05-02","Per=Y","Days=T","Dir=V")</f>
        <v>0</v>
      </c>
      <c r="M2">
        <f>BDH("VST US Equity","BS_CUR_ASSET_REPORT","1993-06-18","2026-05-02","Per=Y","Days=T","Dir=V")</f>
        <v>0</v>
      </c>
      <c r="O2">
        <f>BDH("VST US Equity","BS_CUR_LIAB","1993-06-18","2026-05-02","Per=Y","Days=T","Dir=V")</f>
        <v>0</v>
      </c>
      <c r="Q2">
        <f>BDH("VST US Equity","BS_SHAREHOLDER_EQY_ENDING_PERIOD","1993-06-18","2026-05-02","Per=Y","Days=T","Dir=V")</f>
        <v>0</v>
      </c>
      <c r="S2">
        <f>BDH("VST US Equity","BS_ACCT_NOTE_RCV","1993-06-18","2026-05-02","Per=Y","Days=T","Dir=V")</f>
        <v>0</v>
      </c>
      <c r="U2">
        <f>BDH("VST US Equity","BS_INVENTORIES","1993-06-18","2026-05-02","Per=Y","Days=T","Dir=V")</f>
        <v>0</v>
      </c>
      <c r="W2">
        <f>BDH("VST US Equity","WORKING_CAPITAL","1993-06-18","2026-05-02","Per=Y","Days=T","Dir=V")</f>
        <v>0</v>
      </c>
      <c r="Y2">
        <f>BDH("VST US Equity","SALES_REV_TURN","1993-06-18","2026-05-02","Per=Y","Days=T","Dir=V")</f>
        <v>0</v>
      </c>
      <c r="AA2">
        <f>BDH("VST US Equity","EBIT","1993-06-18","2026-05-02","Per=Y","Days=T","Dir=V")</f>
        <v>0</v>
      </c>
      <c r="AC2">
        <f>BDH("VST US Equity","EBITDA","1993-06-18","2026-05-02","Per=Y","Days=T","Dir=V")</f>
        <v>0</v>
      </c>
      <c r="AE2">
        <f>BDH("VST US Equity","NET_INCOME","1993-06-18","2026-05-02","Per=Y","Days=T","Dir=V")</f>
        <v>0</v>
      </c>
      <c r="AG2">
        <f>BDH("VST US Equity","IS_INT_EXPENSE","1993-06-18","2026-05-02","Per=Y","Days=T","Dir=V")</f>
        <v>0</v>
      </c>
      <c r="AI2">
        <f>BDH("VST US Equity","IS_DEPR_EXP","1993-06-18","2026-05-02","Per=Y","Days=T","Dir=V")</f>
        <v>0</v>
      </c>
      <c r="AK2">
        <f>BDH("VST US Equity","CF_CASH_FROM_OPER","1993-06-18","2026-05-02","Per=Y","Days=T","Dir=V")</f>
        <v>0</v>
      </c>
      <c r="AM2">
        <f>BDH("VST US Equity","CAPITAL_EXPEND","1993-06-18","2026-05-02","Per=Y","Days=T","Dir=V")</f>
        <v>0</v>
      </c>
      <c r="AO2">
        <f>BDH("VST US Equity","CF_FREE_CASH_FLOW","1993-06-18","2026-05-02","Per=Y","Days=T","Dir=V")</f>
        <v>0</v>
      </c>
      <c r="AQ2">
        <f>BDH("VST US Equity","PX_LAST","1993-06-18","2026-05-02","Per=M","Days=T","Dir=V")</f>
        <v>0</v>
      </c>
      <c r="AS2">
        <f>BDH("VST US Equity","CUR_MKT_CAP","1993-06-18","2026-05-02","Per=M","Days=T","Dir=V")</f>
        <v>0</v>
      </c>
      <c r="AU2">
        <f>BDH("VST US Equity","EQY_SH_OUT","1993-06-18","2026-05-02","Per=M","Days=T","Dir=V")</f>
        <v>0</v>
      </c>
      <c r="AW2">
        <f>BDH("VST US Equity","PX_VOLUME","1993-06-18","2026-05-02","Per=M","Days=T","Dir=V")</f>
        <v>0</v>
      </c>
      <c r="AY2">
        <f>BDH("VST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BDH("VSTM US Equity","BS_TOT_ASSET","1993-06-18","2026-05-02","Per=Y","Days=T","Dir=V")</f>
        <v>0</v>
      </c>
      <c r="C2">
        <f>BDH("VSTM US Equity","BS_TOT_LIAB2","1993-06-18","2026-05-02","Per=Y","Days=T","Dir=V")</f>
        <v>0</v>
      </c>
      <c r="E2">
        <f>BDH("VSTM US Equity","SHORT_AND_LONG_TERM_DEBT","1993-06-18","2026-05-02","Per=Y","Days=T","Dir=V")</f>
        <v>0</v>
      </c>
      <c r="G2">
        <f>BDH("VSTM US Equity","BS_ST_BORROW","1993-06-18","2026-05-02","Per=Y","Days=T","Dir=V")</f>
        <v>0</v>
      </c>
      <c r="I2">
        <f>BDH("VSTM US Equity","BS_LT_BORROW","1993-06-18","2026-05-02","Per=Y","Days=T","Dir=V")</f>
        <v>0</v>
      </c>
      <c r="K2">
        <f>BDH("VSTM US Equity","BS_CASH_NEAR_CASH_ITEM","1993-06-18","2026-05-02","Per=Y","Days=T","Dir=V")</f>
        <v>0</v>
      </c>
      <c r="M2">
        <f>BDH("VSTM US Equity","BS_CUR_ASSET_REPORT","1993-06-18","2026-05-02","Per=Y","Days=T","Dir=V")</f>
        <v>0</v>
      </c>
      <c r="O2">
        <f>BDH("VSTM US Equity","BS_CUR_LIAB","1993-06-18","2026-05-02","Per=Y","Days=T","Dir=V")</f>
        <v>0</v>
      </c>
      <c r="Q2">
        <f>BDH("VSTM US Equity","BS_SHAREHOLDER_EQY_ENDING_PERIOD","1993-06-18","2026-05-02","Per=Y","Days=T","Dir=V")</f>
        <v>0</v>
      </c>
      <c r="S2">
        <f>BDH("VSTM US Equity","BS_ACCT_NOTE_RCV","1993-06-18","2026-05-02","Per=Y","Days=T","Dir=V")</f>
        <v>0</v>
      </c>
      <c r="U2">
        <f>BDH("VSTM US Equity","BS_INVENTORIES","1993-06-18","2026-05-02","Per=Y","Days=T","Dir=V")</f>
        <v>0</v>
      </c>
      <c r="W2">
        <f>BDH("VSTM US Equity","WORKING_CAPITAL","1993-06-18","2026-05-02","Per=Y","Days=T","Dir=V")</f>
        <v>0</v>
      </c>
      <c r="Y2">
        <f>BDH("VSTM US Equity","SALES_REV_TURN","1993-06-18","2026-05-02","Per=Y","Days=T","Dir=V")</f>
        <v>0</v>
      </c>
      <c r="AA2">
        <f>BDH("VSTM US Equity","EBIT","1993-06-18","2026-05-02","Per=Y","Days=T","Dir=V")</f>
        <v>0</v>
      </c>
      <c r="AC2">
        <f>BDH("VSTM US Equity","EBITDA","1993-06-18","2026-05-02","Per=Y","Days=T","Dir=V")</f>
        <v>0</v>
      </c>
      <c r="AE2">
        <f>BDH("VSTM US Equity","NET_INCOME","1993-06-18","2026-05-02","Per=Y","Days=T","Dir=V")</f>
        <v>0</v>
      </c>
      <c r="AG2">
        <f>BDH("VSTM US Equity","IS_INT_EXPENSE","1993-06-18","2026-05-02","Per=Y","Days=T","Dir=V")</f>
        <v>0</v>
      </c>
      <c r="AI2">
        <f>BDH("VSTM US Equity","IS_DEPR_EXP","1993-06-18","2026-05-02","Per=Y","Days=T","Dir=V")</f>
        <v>0</v>
      </c>
      <c r="AK2">
        <f>BDH("VSTM US Equity","CF_CASH_FROM_OPER","1993-06-18","2026-05-02","Per=Y","Days=T","Dir=V")</f>
        <v>0</v>
      </c>
      <c r="AM2">
        <f>BDH("VSTM US Equity","CAPITAL_EXPEND","1993-06-18","2026-05-02","Per=Y","Days=T","Dir=V")</f>
        <v>0</v>
      </c>
      <c r="AO2">
        <f>BDH("VSTM US Equity","CF_FREE_CASH_FLOW","1993-06-18","2026-05-02","Per=Y","Days=T","Dir=V")</f>
        <v>0</v>
      </c>
      <c r="AQ2">
        <f>BDH("VSTM US Equity","PX_LAST","1993-06-18","2026-05-02","Per=M","Days=T","Dir=V")</f>
        <v>0</v>
      </c>
      <c r="AS2">
        <f>BDH("VSTM US Equity","CUR_MKT_CAP","1993-06-18","2026-05-02","Per=M","Days=T","Dir=V")</f>
        <v>0</v>
      </c>
      <c r="AU2">
        <f>BDH("VSTM US Equity","EQY_SH_OUT","1993-06-18","2026-05-02","Per=M","Days=T","Dir=V")</f>
        <v>0</v>
      </c>
      <c r="AW2">
        <f>BDH("VSTM US Equity","PX_VOLUME","1993-06-18","2026-05-02","Per=M","Days=T","Dir=V")</f>
        <v>0</v>
      </c>
      <c r="AY2">
        <f>BDH("VSTM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BDH("VSTS US Equity","BS_TOT_ASSET","1993-06-18","2026-05-02","Per=Y","Days=T","Dir=V")</f>
        <v>0</v>
      </c>
      <c r="C2">
        <f>BDH("VSTS US Equity","BS_TOT_LIAB2","1993-06-18","2026-05-02","Per=Y","Days=T","Dir=V")</f>
        <v>0</v>
      </c>
      <c r="E2">
        <f>BDH("VSTS US Equity","SHORT_AND_LONG_TERM_DEBT","1993-06-18","2026-05-02","Per=Y","Days=T","Dir=V")</f>
        <v>0</v>
      </c>
      <c r="G2">
        <f>BDH("VSTS US Equity","BS_ST_BORROW","1993-06-18","2026-05-02","Per=Y","Days=T","Dir=V")</f>
        <v>0</v>
      </c>
      <c r="I2">
        <f>BDH("VSTS US Equity","BS_LT_BORROW","1993-06-18","2026-05-02","Per=Y","Days=T","Dir=V")</f>
        <v>0</v>
      </c>
      <c r="K2">
        <f>BDH("VSTS US Equity","BS_CASH_NEAR_CASH_ITEM","1993-06-18","2026-05-02","Per=Y","Days=T","Dir=V")</f>
        <v>0</v>
      </c>
      <c r="M2">
        <f>BDH("VSTS US Equity","BS_CUR_ASSET_REPORT","1993-06-18","2026-05-02","Per=Y","Days=T","Dir=V")</f>
        <v>0</v>
      </c>
      <c r="O2">
        <f>BDH("VSTS US Equity","BS_CUR_LIAB","1993-06-18","2026-05-02","Per=Y","Days=T","Dir=V")</f>
        <v>0</v>
      </c>
      <c r="Q2">
        <f>BDH("VSTS US Equity","BS_SHAREHOLDER_EQY_ENDING_PERIOD","1993-06-18","2026-05-02","Per=Y","Days=T","Dir=V")</f>
        <v>0</v>
      </c>
      <c r="S2">
        <f>BDH("VSTS US Equity","BS_ACCT_NOTE_RCV","1993-06-18","2026-05-02","Per=Y","Days=T","Dir=V")</f>
        <v>0</v>
      </c>
      <c r="U2">
        <f>BDH("VSTS US Equity","BS_INVENTORIES","1993-06-18","2026-05-02","Per=Y","Days=T","Dir=V")</f>
        <v>0</v>
      </c>
      <c r="W2">
        <f>BDH("VSTS US Equity","WORKING_CAPITAL","1993-06-18","2026-05-02","Per=Y","Days=T","Dir=V")</f>
        <v>0</v>
      </c>
      <c r="Y2">
        <f>BDH("VSTS US Equity","SALES_REV_TURN","1993-06-18","2026-05-02","Per=Y","Days=T","Dir=V")</f>
        <v>0</v>
      </c>
      <c r="AA2">
        <f>BDH("VSTS US Equity","EBIT","1993-06-18","2026-05-02","Per=Y","Days=T","Dir=V")</f>
        <v>0</v>
      </c>
      <c r="AC2">
        <f>BDH("VSTS US Equity","EBITDA","1993-06-18","2026-05-02","Per=Y","Days=T","Dir=V")</f>
        <v>0</v>
      </c>
      <c r="AE2">
        <f>BDH("VSTS US Equity","NET_INCOME","1993-06-18","2026-05-02","Per=Y","Days=T","Dir=V")</f>
        <v>0</v>
      </c>
      <c r="AG2">
        <f>BDH("VSTS US Equity","IS_INT_EXPENSE","1993-06-18","2026-05-02","Per=Y","Days=T","Dir=V")</f>
        <v>0</v>
      </c>
      <c r="AI2">
        <f>BDH("VSTS US Equity","IS_DEPR_EXP","1993-06-18","2026-05-02","Per=Y","Days=T","Dir=V")</f>
        <v>0</v>
      </c>
      <c r="AK2">
        <f>BDH("VSTS US Equity","CF_CASH_FROM_OPER","1993-06-18","2026-05-02","Per=Y","Days=T","Dir=V")</f>
        <v>0</v>
      </c>
      <c r="AM2">
        <f>BDH("VSTS US Equity","CAPITAL_EXPEND","1993-06-18","2026-05-02","Per=Y","Days=T","Dir=V")</f>
        <v>0</v>
      </c>
      <c r="AO2">
        <f>BDH("VSTS US Equity","CF_FREE_CASH_FLOW","1993-06-18","2026-05-02","Per=Y","Days=T","Dir=V")</f>
        <v>0</v>
      </c>
      <c r="AQ2">
        <f>BDH("VSTS US Equity","PX_LAST","1993-06-18","2026-05-02","Per=M","Days=T","Dir=V")</f>
        <v>0</v>
      </c>
      <c r="AS2">
        <f>BDH("VSTS US Equity","CUR_MKT_CAP","1993-06-18","2026-05-02","Per=M","Days=T","Dir=V")</f>
        <v>0</v>
      </c>
      <c r="AU2">
        <f>BDH("VSTS US Equity","EQY_SH_OUT","1993-06-18","2026-05-02","Per=M","Days=T","Dir=V")</f>
        <v>0</v>
      </c>
      <c r="AW2">
        <f>BDH("VSTS US Equity","PX_VOLUME","1993-06-18","2026-05-02","Per=M","Days=T","Dir=V")</f>
        <v>0</v>
      </c>
      <c r="AY2">
        <f>BDH("VSTS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BDH("VSXY US Equity","BS_TOT_ASSET","1993-06-18","2026-05-02","Per=Y","Days=T","Dir=V")</f>
        <v>0</v>
      </c>
      <c r="C2">
        <f>BDH("VSXY US Equity","BS_TOT_LIAB2","1993-06-18","2026-05-02","Per=Y","Days=T","Dir=V")</f>
        <v>0</v>
      </c>
      <c r="E2">
        <f>BDH("VSXY US Equity","SHORT_AND_LONG_TERM_DEBT","1993-06-18","2026-05-02","Per=Y","Days=T","Dir=V")</f>
        <v>0</v>
      </c>
      <c r="G2">
        <f>BDH("VSXY US Equity","BS_ST_BORROW","1993-06-18","2026-05-02","Per=Y","Days=T","Dir=V")</f>
        <v>0</v>
      </c>
      <c r="I2">
        <f>BDH("VSXY US Equity","BS_LT_BORROW","1993-06-18","2026-05-02","Per=Y","Days=T","Dir=V")</f>
        <v>0</v>
      </c>
      <c r="K2">
        <f>BDH("VSXY US Equity","BS_CASH_NEAR_CASH_ITEM","1993-06-18","2026-05-02","Per=Y","Days=T","Dir=V")</f>
        <v>0</v>
      </c>
      <c r="M2">
        <f>BDH("VSXY US Equity","BS_CUR_ASSET_REPORT","1993-06-18","2026-05-02","Per=Y","Days=T","Dir=V")</f>
        <v>0</v>
      </c>
      <c r="O2">
        <f>BDH("VSXY US Equity","BS_CUR_LIAB","1993-06-18","2026-05-02","Per=Y","Days=T","Dir=V")</f>
        <v>0</v>
      </c>
      <c r="Q2">
        <f>BDH("VSXY US Equity","BS_SHAREHOLDER_EQY_ENDING_PERIOD","1993-06-18","2026-05-02","Per=Y","Days=T","Dir=V")</f>
        <v>0</v>
      </c>
      <c r="S2">
        <f>BDH("VSXY US Equity","BS_ACCT_NOTE_RCV","1993-06-18","2026-05-02","Per=Y","Days=T","Dir=V")</f>
        <v>0</v>
      </c>
      <c r="U2">
        <f>BDH("VSXY US Equity","BS_INVENTORIES","1993-06-18","2026-05-02","Per=Y","Days=T","Dir=V")</f>
        <v>0</v>
      </c>
      <c r="W2">
        <f>BDH("VSXY US Equity","WORKING_CAPITAL","1993-06-18","2026-05-02","Per=Y","Days=T","Dir=V")</f>
        <v>0</v>
      </c>
      <c r="Y2">
        <f>BDH("VSXY US Equity","SALES_REV_TURN","1993-06-18","2026-05-02","Per=Y","Days=T","Dir=V")</f>
        <v>0</v>
      </c>
      <c r="AA2">
        <f>BDH("VSXY US Equity","EBIT","1993-06-18","2026-05-02","Per=Y","Days=T","Dir=V")</f>
        <v>0</v>
      </c>
      <c r="AC2">
        <f>BDH("VSXY US Equity","EBITDA","1993-06-18","2026-05-02","Per=Y","Days=T","Dir=V")</f>
        <v>0</v>
      </c>
      <c r="AE2">
        <f>BDH("VSXY US Equity","NET_INCOME","1993-06-18","2026-05-02","Per=Y","Days=T","Dir=V")</f>
        <v>0</v>
      </c>
      <c r="AG2">
        <f>BDH("VSXY US Equity","IS_INT_EXPENSE","1993-06-18","2026-05-02","Per=Y","Days=T","Dir=V")</f>
        <v>0</v>
      </c>
      <c r="AI2">
        <f>BDH("VSXY US Equity","IS_DEPR_EXP","1993-06-18","2026-05-02","Per=Y","Days=T","Dir=V")</f>
        <v>0</v>
      </c>
      <c r="AK2">
        <f>BDH("VSXY US Equity","CF_CASH_FROM_OPER","1993-06-18","2026-05-02","Per=Y","Days=T","Dir=V")</f>
        <v>0</v>
      </c>
      <c r="AM2">
        <f>BDH("VSXY US Equity","CAPITAL_EXPEND","1993-06-18","2026-05-02","Per=Y","Days=T","Dir=V")</f>
        <v>0</v>
      </c>
      <c r="AO2">
        <f>BDH("VSXY US Equity","CF_FREE_CASH_FLOW","1993-06-18","2026-05-02","Per=Y","Days=T","Dir=V")</f>
        <v>0</v>
      </c>
      <c r="AQ2">
        <f>BDH("VSXY US Equity","PX_LAST","1993-06-18","2026-05-02","Per=M","Days=T","Dir=V")</f>
        <v>0</v>
      </c>
      <c r="AS2">
        <f>BDH("VSXY US Equity","CUR_MKT_CAP","1993-06-18","2026-05-02","Per=M","Days=T","Dir=V")</f>
        <v>0</v>
      </c>
      <c r="AU2">
        <f>BDH("VSXY US Equity","EQY_SH_OUT","1993-06-18","2026-05-02","Per=M","Days=T","Dir=V")</f>
        <v>0</v>
      </c>
      <c r="AW2">
        <f>BDH("VSXY US Equity","PX_VOLUME","1993-06-18","2026-05-02","Per=M","Days=T","Dir=V")</f>
        <v>0</v>
      </c>
      <c r="AY2">
        <f>BDH("VSXY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BDH("VTGN US Equity","BS_TOT_ASSET","1993-06-18","2026-05-02","Per=Y","Days=T","Dir=V")</f>
        <v>0</v>
      </c>
      <c r="C2">
        <f>BDH("VTGN US Equity","BS_TOT_LIAB2","1993-06-18","2026-05-02","Per=Y","Days=T","Dir=V")</f>
        <v>0</v>
      </c>
      <c r="E2">
        <f>BDH("VTGN US Equity","SHORT_AND_LONG_TERM_DEBT","1993-06-18","2026-05-02","Per=Y","Days=T","Dir=V")</f>
        <v>0</v>
      </c>
      <c r="G2">
        <f>BDH("VTGN US Equity","BS_ST_BORROW","1993-06-18","2026-05-02","Per=Y","Days=T","Dir=V")</f>
        <v>0</v>
      </c>
      <c r="I2">
        <f>BDH("VTGN US Equity","BS_LT_BORROW","1993-06-18","2026-05-02","Per=Y","Days=T","Dir=V")</f>
        <v>0</v>
      </c>
      <c r="K2">
        <f>BDH("VTGN US Equity","BS_CASH_NEAR_CASH_ITEM","1993-06-18","2026-05-02","Per=Y","Days=T","Dir=V")</f>
        <v>0</v>
      </c>
      <c r="M2">
        <f>BDH("VTGN US Equity","BS_CUR_ASSET_REPORT","1993-06-18","2026-05-02","Per=Y","Days=T","Dir=V")</f>
        <v>0</v>
      </c>
      <c r="O2">
        <f>BDH("VTGN US Equity","BS_CUR_LIAB","1993-06-18","2026-05-02","Per=Y","Days=T","Dir=V")</f>
        <v>0</v>
      </c>
      <c r="Q2">
        <f>BDH("VTGN US Equity","BS_SHAREHOLDER_EQY_ENDING_PERIOD","1993-06-18","2026-05-02","Per=Y","Days=T","Dir=V")</f>
        <v>0</v>
      </c>
      <c r="S2">
        <f>BDH("VTGN US Equity","BS_ACCT_NOTE_RCV","1993-06-18","2026-05-02","Per=Y","Days=T","Dir=V")</f>
        <v>0</v>
      </c>
      <c r="U2">
        <f>BDH("VTGN US Equity","BS_INVENTORIES","1993-06-18","2026-05-02","Per=Y","Days=T","Dir=V")</f>
        <v>0</v>
      </c>
      <c r="W2">
        <f>BDH("VTGN US Equity","WORKING_CAPITAL","1993-06-18","2026-05-02","Per=Y","Days=T","Dir=V")</f>
        <v>0</v>
      </c>
      <c r="Y2">
        <f>BDH("VTGN US Equity","SALES_REV_TURN","1993-06-18","2026-05-02","Per=Y","Days=T","Dir=V")</f>
        <v>0</v>
      </c>
      <c r="AA2">
        <f>BDH("VTGN US Equity","EBIT","1993-06-18","2026-05-02","Per=Y","Days=T","Dir=V")</f>
        <v>0</v>
      </c>
      <c r="AC2">
        <f>BDH("VTGN US Equity","EBITDA","1993-06-18","2026-05-02","Per=Y","Days=T","Dir=V")</f>
        <v>0</v>
      </c>
      <c r="AE2">
        <f>BDH("VTGN US Equity","NET_INCOME","1993-06-18","2026-05-02","Per=Y","Days=T","Dir=V")</f>
        <v>0</v>
      </c>
      <c r="AG2">
        <f>BDH("VTGN US Equity","IS_INT_EXPENSE","1993-06-18","2026-05-02","Per=Y","Days=T","Dir=V")</f>
        <v>0</v>
      </c>
      <c r="AI2">
        <f>BDH("VTGN US Equity","IS_DEPR_EXP","1993-06-18","2026-05-02","Per=Y","Days=T","Dir=V")</f>
        <v>0</v>
      </c>
      <c r="AK2">
        <f>BDH("VTGN US Equity","CF_CASH_FROM_OPER","1993-06-18","2026-05-02","Per=Y","Days=T","Dir=V")</f>
        <v>0</v>
      </c>
      <c r="AM2">
        <f>BDH("VTGN US Equity","CAPITAL_EXPEND","1993-06-18","2026-05-02","Per=Y","Days=T","Dir=V")</f>
        <v>0</v>
      </c>
      <c r="AO2">
        <f>BDH("VTGN US Equity","CF_FREE_CASH_FLOW","1993-06-18","2026-05-02","Per=Y","Days=T","Dir=V")</f>
        <v>0</v>
      </c>
      <c r="AQ2">
        <f>BDH("VTGN US Equity","PX_LAST","1993-06-18","2026-05-02","Per=M","Days=T","Dir=V")</f>
        <v>0</v>
      </c>
      <c r="AS2">
        <f>BDH("VTGN US Equity","CUR_MKT_CAP","1993-06-18","2026-05-02","Per=M","Days=T","Dir=V")</f>
        <v>0</v>
      </c>
      <c r="AU2">
        <f>BDH("VTGN US Equity","EQY_SH_OUT","1993-06-18","2026-05-02","Per=M","Days=T","Dir=V")</f>
        <v>0</v>
      </c>
      <c r="AW2">
        <f>BDH("VTGN US Equity","PX_VOLUME","1993-06-18","2026-05-02","Per=M","Days=T","Dir=V")</f>
        <v>0</v>
      </c>
      <c r="AY2">
        <f>BDH("VTGN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BDH("VTIX US Equity","BS_TOT_ASSET","1993-06-18","2026-05-02","Per=Y","Days=T","Dir=V")</f>
        <v>0</v>
      </c>
      <c r="C2">
        <f>BDH("VTIX US Equity","BS_TOT_LIAB2","1993-06-18","2026-05-02","Per=Y","Days=T","Dir=V")</f>
        <v>0</v>
      </c>
      <c r="E2">
        <f>BDH("VTIX US Equity","SHORT_AND_LONG_TERM_DEBT","1993-06-18","2026-05-02","Per=Y","Days=T","Dir=V")</f>
        <v>0</v>
      </c>
      <c r="G2">
        <f>BDH("VTIX US Equity","BS_ST_BORROW","1993-06-18","2026-05-02","Per=Y","Days=T","Dir=V")</f>
        <v>0</v>
      </c>
      <c r="I2">
        <f>BDH("VTIX US Equity","BS_LT_BORROW","1993-06-18","2026-05-02","Per=Y","Days=T","Dir=V")</f>
        <v>0</v>
      </c>
      <c r="K2">
        <f>BDH("VTIX US Equity","BS_CASH_NEAR_CASH_ITEM","1993-06-18","2026-05-02","Per=Y","Days=T","Dir=V")</f>
        <v>0</v>
      </c>
      <c r="M2">
        <f>BDH("VTIX US Equity","BS_CUR_ASSET_REPORT","1993-06-18","2026-05-02","Per=Y","Days=T","Dir=V")</f>
        <v>0</v>
      </c>
      <c r="O2">
        <f>BDH("VTIX US Equity","BS_CUR_LIAB","1993-06-18","2026-05-02","Per=Y","Days=T","Dir=V")</f>
        <v>0</v>
      </c>
      <c r="Q2">
        <f>BDH("VTIX US Equity","BS_SHAREHOLDER_EQY_ENDING_PERIOD","1993-06-18","2026-05-02","Per=Y","Days=T","Dir=V")</f>
        <v>0</v>
      </c>
      <c r="S2">
        <f>BDH("VTIX US Equity","BS_ACCT_NOTE_RCV","1993-06-18","2026-05-02","Per=Y","Days=T","Dir=V")</f>
        <v>0</v>
      </c>
      <c r="U2">
        <f>BDH("VTIX US Equity","BS_INVENTORIES","1993-06-18","2026-05-02","Per=Y","Days=T","Dir=V")</f>
        <v>0</v>
      </c>
      <c r="W2">
        <f>BDH("VTIX US Equity","WORKING_CAPITAL","1993-06-18","2026-05-02","Per=Y","Days=T","Dir=V")</f>
        <v>0</v>
      </c>
      <c r="Y2">
        <f>BDH("VTIX US Equity","SALES_REV_TURN","1993-06-18","2026-05-02","Per=Y","Days=T","Dir=V")</f>
        <v>0</v>
      </c>
      <c r="AA2">
        <f>BDH("VTIX US Equity","EBIT","1993-06-18","2026-05-02","Per=Y","Days=T","Dir=V")</f>
        <v>0</v>
      </c>
      <c r="AC2">
        <f>BDH("VTIX US Equity","EBITDA","1993-06-18","2026-05-02","Per=Y","Days=T","Dir=V")</f>
        <v>0</v>
      </c>
      <c r="AE2">
        <f>BDH("VTIX US Equity","NET_INCOME","1993-06-18","2026-05-02","Per=Y","Days=T","Dir=V")</f>
        <v>0</v>
      </c>
      <c r="AG2">
        <f>BDH("VTIX US Equity","IS_INT_EXPENSE","1993-06-18","2026-05-02","Per=Y","Days=T","Dir=V")</f>
        <v>0</v>
      </c>
      <c r="AI2">
        <f>BDH("VTIX US Equity","IS_DEPR_EXP","1993-06-18","2026-05-02","Per=Y","Days=T","Dir=V")</f>
        <v>0</v>
      </c>
      <c r="AK2">
        <f>BDH("VTIX US Equity","CF_CASH_FROM_OPER","1993-06-18","2026-05-02","Per=Y","Days=T","Dir=V")</f>
        <v>0</v>
      </c>
      <c r="AM2">
        <f>BDH("VTIX US Equity","CAPITAL_EXPEND","1993-06-18","2026-05-02","Per=Y","Days=T","Dir=V")</f>
        <v>0</v>
      </c>
      <c r="AO2">
        <f>BDH("VTIX US Equity","CF_FREE_CASH_FLOW","1993-06-18","2026-05-02","Per=Y","Days=T","Dir=V")</f>
        <v>0</v>
      </c>
      <c r="AQ2">
        <f>BDH("VTIX US Equity","PX_LAST","1993-06-18","2026-05-02","Per=M","Days=T","Dir=V")</f>
        <v>0</v>
      </c>
      <c r="AS2">
        <f>BDH("VTIX US Equity","CUR_MKT_CAP","1993-06-18","2026-05-02","Per=M","Days=T","Dir=V")</f>
        <v>0</v>
      </c>
      <c r="AU2">
        <f>BDH("VTIX US Equity","EQY_SH_OUT","1993-06-18","2026-05-02","Per=M","Days=T","Dir=V")</f>
        <v>0</v>
      </c>
      <c r="AW2">
        <f>BDH("VTIX US Equity","PX_VOLUME","1993-06-18","2026-05-02","Per=M","Days=T","Dir=V")</f>
        <v>0</v>
      </c>
      <c r="AY2">
        <f>BDH("VTIX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BDH("VTOL US Equity","BS_TOT_ASSET","1993-06-18","2026-05-02","Per=Y","Days=T","Dir=V")</f>
        <v>0</v>
      </c>
      <c r="C2">
        <f>BDH("VTOL US Equity","BS_TOT_LIAB2","1993-06-18","2026-05-02","Per=Y","Days=T","Dir=V")</f>
        <v>0</v>
      </c>
      <c r="E2">
        <f>BDH("VTOL US Equity","SHORT_AND_LONG_TERM_DEBT","1993-06-18","2026-05-02","Per=Y","Days=T","Dir=V")</f>
        <v>0</v>
      </c>
      <c r="G2">
        <f>BDH("VTOL US Equity","BS_ST_BORROW","1993-06-18","2026-05-02","Per=Y","Days=T","Dir=V")</f>
        <v>0</v>
      </c>
      <c r="I2">
        <f>BDH("VTOL US Equity","BS_LT_BORROW","1993-06-18","2026-05-02","Per=Y","Days=T","Dir=V")</f>
        <v>0</v>
      </c>
      <c r="K2">
        <f>BDH("VTOL US Equity","BS_CASH_NEAR_CASH_ITEM","1993-06-18","2026-05-02","Per=Y","Days=T","Dir=V")</f>
        <v>0</v>
      </c>
      <c r="M2">
        <f>BDH("VTOL US Equity","BS_CUR_ASSET_REPORT","1993-06-18","2026-05-02","Per=Y","Days=T","Dir=V")</f>
        <v>0</v>
      </c>
      <c r="O2">
        <f>BDH("VTOL US Equity","BS_CUR_LIAB","1993-06-18","2026-05-02","Per=Y","Days=T","Dir=V")</f>
        <v>0</v>
      </c>
      <c r="Q2">
        <f>BDH("VTOL US Equity","BS_SHAREHOLDER_EQY_ENDING_PERIOD","1993-06-18","2026-05-02","Per=Y","Days=T","Dir=V")</f>
        <v>0</v>
      </c>
      <c r="S2">
        <f>BDH("VTOL US Equity","BS_ACCT_NOTE_RCV","1993-06-18","2026-05-02","Per=Y","Days=T","Dir=V")</f>
        <v>0</v>
      </c>
      <c r="U2">
        <f>BDH("VTOL US Equity","BS_INVENTORIES","1993-06-18","2026-05-02","Per=Y","Days=T","Dir=V")</f>
        <v>0</v>
      </c>
      <c r="W2">
        <f>BDH("VTOL US Equity","WORKING_CAPITAL","1993-06-18","2026-05-02","Per=Y","Days=T","Dir=V")</f>
        <v>0</v>
      </c>
      <c r="Y2">
        <f>BDH("VTOL US Equity","SALES_REV_TURN","1993-06-18","2026-05-02","Per=Y","Days=T","Dir=V")</f>
        <v>0</v>
      </c>
      <c r="AA2">
        <f>BDH("VTOL US Equity","EBIT","1993-06-18","2026-05-02","Per=Y","Days=T","Dir=V")</f>
        <v>0</v>
      </c>
      <c r="AC2">
        <f>BDH("VTOL US Equity","EBITDA","1993-06-18","2026-05-02","Per=Y","Days=T","Dir=V")</f>
        <v>0</v>
      </c>
      <c r="AE2">
        <f>BDH("VTOL US Equity","NET_INCOME","1993-06-18","2026-05-02","Per=Y","Days=T","Dir=V")</f>
        <v>0</v>
      </c>
      <c r="AG2">
        <f>BDH("VTOL US Equity","IS_INT_EXPENSE","1993-06-18","2026-05-02","Per=Y","Days=T","Dir=V")</f>
        <v>0</v>
      </c>
      <c r="AI2">
        <f>BDH("VTOL US Equity","IS_DEPR_EXP","1993-06-18","2026-05-02","Per=Y","Days=T","Dir=V")</f>
        <v>0</v>
      </c>
      <c r="AK2">
        <f>BDH("VTOL US Equity","CF_CASH_FROM_OPER","1993-06-18","2026-05-02","Per=Y","Days=T","Dir=V")</f>
        <v>0</v>
      </c>
      <c r="AM2">
        <f>BDH("VTOL US Equity","CAPITAL_EXPEND","1993-06-18","2026-05-02","Per=Y","Days=T","Dir=V")</f>
        <v>0</v>
      </c>
      <c r="AO2">
        <f>BDH("VTOL US Equity","CF_FREE_CASH_FLOW","1993-06-18","2026-05-02","Per=Y","Days=T","Dir=V")</f>
        <v>0</v>
      </c>
      <c r="AQ2">
        <f>BDH("VTOL US Equity","PX_LAST","1993-06-18","2026-05-02","Per=M","Days=T","Dir=V")</f>
        <v>0</v>
      </c>
      <c r="AS2">
        <f>BDH("VTOL US Equity","CUR_MKT_CAP","1993-06-18","2026-05-02","Per=M","Days=T","Dir=V")</f>
        <v>0</v>
      </c>
      <c r="AU2">
        <f>BDH("VTOL US Equity","EQY_SH_OUT","1993-06-18","2026-05-02","Per=M","Days=T","Dir=V")</f>
        <v>0</v>
      </c>
      <c r="AW2">
        <f>BDH("VTOL US Equity","PX_VOLUME","1993-06-18","2026-05-02","Per=M","Days=T","Dir=V")</f>
        <v>0</v>
      </c>
      <c r="AY2">
        <f>BDH("VTOL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BDH("VTRS US Equity","BS_TOT_ASSET","1993-06-18","2026-05-02","Per=Y","Days=T","Dir=V")</f>
        <v>0</v>
      </c>
      <c r="C2">
        <f>BDH("VTRS US Equity","BS_TOT_LIAB2","1993-06-18","2026-05-02","Per=Y","Days=T","Dir=V")</f>
        <v>0</v>
      </c>
      <c r="E2">
        <f>BDH("VTRS US Equity","SHORT_AND_LONG_TERM_DEBT","1993-06-18","2026-05-02","Per=Y","Days=T","Dir=V")</f>
        <v>0</v>
      </c>
      <c r="G2">
        <f>BDH("VTRS US Equity","BS_ST_BORROW","1993-06-18","2026-05-02","Per=Y","Days=T","Dir=V")</f>
        <v>0</v>
      </c>
      <c r="I2">
        <f>BDH("VTRS US Equity","BS_LT_BORROW","1993-06-18","2026-05-02","Per=Y","Days=T","Dir=V")</f>
        <v>0</v>
      </c>
      <c r="K2">
        <f>BDH("VTRS US Equity","BS_CASH_NEAR_CASH_ITEM","1993-06-18","2026-05-02","Per=Y","Days=T","Dir=V")</f>
        <v>0</v>
      </c>
      <c r="M2">
        <f>BDH("VTRS US Equity","BS_CUR_ASSET_REPORT","1993-06-18","2026-05-02","Per=Y","Days=T","Dir=V")</f>
        <v>0</v>
      </c>
      <c r="O2">
        <f>BDH("VTRS US Equity","BS_CUR_LIAB","1993-06-18","2026-05-02","Per=Y","Days=T","Dir=V")</f>
        <v>0</v>
      </c>
      <c r="Q2">
        <f>BDH("VTRS US Equity","BS_SHAREHOLDER_EQY_ENDING_PERIOD","1993-06-18","2026-05-02","Per=Y","Days=T","Dir=V")</f>
        <v>0</v>
      </c>
      <c r="S2">
        <f>BDH("VTRS US Equity","BS_ACCT_NOTE_RCV","1993-06-18","2026-05-02","Per=Y","Days=T","Dir=V")</f>
        <v>0</v>
      </c>
      <c r="U2">
        <f>BDH("VTRS US Equity","BS_INVENTORIES","1993-06-18","2026-05-02","Per=Y","Days=T","Dir=V")</f>
        <v>0</v>
      </c>
      <c r="W2">
        <f>BDH("VTRS US Equity","WORKING_CAPITAL","1993-06-18","2026-05-02","Per=Y","Days=T","Dir=V")</f>
        <v>0</v>
      </c>
      <c r="Y2">
        <f>BDH("VTRS US Equity","SALES_REV_TURN","1993-06-18","2026-05-02","Per=Y","Days=T","Dir=V")</f>
        <v>0</v>
      </c>
      <c r="AA2">
        <f>BDH("VTRS US Equity","EBIT","1993-06-18","2026-05-02","Per=Y","Days=T","Dir=V")</f>
        <v>0</v>
      </c>
      <c r="AC2">
        <f>BDH("VTRS US Equity","EBITDA","1993-06-18","2026-05-02","Per=Y","Days=T","Dir=V")</f>
        <v>0</v>
      </c>
      <c r="AE2">
        <f>BDH("VTRS US Equity","NET_INCOME","1993-06-18","2026-05-02","Per=Y","Days=T","Dir=V")</f>
        <v>0</v>
      </c>
      <c r="AG2">
        <f>BDH("VTRS US Equity","IS_INT_EXPENSE","1993-06-18","2026-05-02","Per=Y","Days=T","Dir=V")</f>
        <v>0</v>
      </c>
      <c r="AI2">
        <f>BDH("VTRS US Equity","IS_DEPR_EXP","1993-06-18","2026-05-02","Per=Y","Days=T","Dir=V")</f>
        <v>0</v>
      </c>
      <c r="AK2">
        <f>BDH("VTRS US Equity","CF_CASH_FROM_OPER","1993-06-18","2026-05-02","Per=Y","Days=T","Dir=V")</f>
        <v>0</v>
      </c>
      <c r="AM2">
        <f>BDH("VTRS US Equity","CAPITAL_EXPEND","1993-06-18","2026-05-02","Per=Y","Days=T","Dir=V")</f>
        <v>0</v>
      </c>
      <c r="AO2">
        <f>BDH("VTRS US Equity","CF_FREE_CASH_FLOW","1993-06-18","2026-05-02","Per=Y","Days=T","Dir=V")</f>
        <v>0</v>
      </c>
      <c r="AQ2">
        <f>BDH("VTRS US Equity","PX_LAST","1993-06-18","2026-05-02","Per=M","Days=T","Dir=V")</f>
        <v>0</v>
      </c>
      <c r="AS2">
        <f>BDH("VTRS US Equity","CUR_MKT_CAP","1993-06-18","2026-05-02","Per=M","Days=T","Dir=V")</f>
        <v>0</v>
      </c>
      <c r="AU2">
        <f>BDH("VTRS US Equity","EQY_SH_OUT","1993-06-18","2026-05-02","Per=M","Days=T","Dir=V")</f>
        <v>0</v>
      </c>
      <c r="AW2">
        <f>BDH("VTRS US Equity","PX_VOLUME","1993-06-18","2026-05-02","Per=M","Days=T","Dir=V")</f>
        <v>0</v>
      </c>
      <c r="AY2">
        <f>BDH("VTRS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BDH("VTS US Equity","BS_TOT_ASSET","1993-06-18","2026-05-02","Per=Y","Days=T","Dir=V")</f>
        <v>0</v>
      </c>
      <c r="C2">
        <f>BDH("VTS US Equity","BS_TOT_LIAB2","1993-06-18","2026-05-02","Per=Y","Days=T","Dir=V")</f>
        <v>0</v>
      </c>
      <c r="E2">
        <f>BDH("VTS US Equity","SHORT_AND_LONG_TERM_DEBT","1993-06-18","2026-05-02","Per=Y","Days=T","Dir=V")</f>
        <v>0</v>
      </c>
      <c r="G2">
        <f>BDH("VTS US Equity","BS_ST_BORROW","1993-06-18","2026-05-02","Per=Y","Days=T","Dir=V")</f>
        <v>0</v>
      </c>
      <c r="I2">
        <f>BDH("VTS US Equity","BS_LT_BORROW","1993-06-18","2026-05-02","Per=Y","Days=T","Dir=V")</f>
        <v>0</v>
      </c>
      <c r="K2">
        <f>BDH("VTS US Equity","BS_CASH_NEAR_CASH_ITEM","1993-06-18","2026-05-02","Per=Y","Days=T","Dir=V")</f>
        <v>0</v>
      </c>
      <c r="M2">
        <f>BDH("VTS US Equity","BS_CUR_ASSET_REPORT","1993-06-18","2026-05-02","Per=Y","Days=T","Dir=V")</f>
        <v>0</v>
      </c>
      <c r="O2">
        <f>BDH("VTS US Equity","BS_CUR_LIAB","1993-06-18","2026-05-02","Per=Y","Days=T","Dir=V")</f>
        <v>0</v>
      </c>
      <c r="Q2">
        <f>BDH("VTS US Equity","BS_SHAREHOLDER_EQY_ENDING_PERIOD","1993-06-18","2026-05-02","Per=Y","Days=T","Dir=V")</f>
        <v>0</v>
      </c>
      <c r="S2">
        <f>BDH("VTS US Equity","BS_ACCT_NOTE_RCV","1993-06-18","2026-05-02","Per=Y","Days=T","Dir=V")</f>
        <v>0</v>
      </c>
      <c r="U2">
        <f>BDH("VTS US Equity","BS_INVENTORIES","1993-06-18","2026-05-02","Per=Y","Days=T","Dir=V")</f>
        <v>0</v>
      </c>
      <c r="W2">
        <f>BDH("VTS US Equity","WORKING_CAPITAL","1993-06-18","2026-05-02","Per=Y","Days=T","Dir=V")</f>
        <v>0</v>
      </c>
      <c r="Y2">
        <f>BDH("VTS US Equity","SALES_REV_TURN","1993-06-18","2026-05-02","Per=Y","Days=T","Dir=V")</f>
        <v>0</v>
      </c>
      <c r="AA2">
        <f>BDH("VTS US Equity","EBIT","1993-06-18","2026-05-02","Per=Y","Days=T","Dir=V")</f>
        <v>0</v>
      </c>
      <c r="AC2">
        <f>BDH("VTS US Equity","EBITDA","1993-06-18","2026-05-02","Per=Y","Days=T","Dir=V")</f>
        <v>0</v>
      </c>
      <c r="AE2">
        <f>BDH("VTS US Equity","NET_INCOME","1993-06-18","2026-05-02","Per=Y","Days=T","Dir=V")</f>
        <v>0</v>
      </c>
      <c r="AG2">
        <f>BDH("VTS US Equity","IS_INT_EXPENSE","1993-06-18","2026-05-02","Per=Y","Days=T","Dir=V")</f>
        <v>0</v>
      </c>
      <c r="AI2">
        <f>BDH("VTS US Equity","IS_DEPR_EXP","1993-06-18","2026-05-02","Per=Y","Days=T","Dir=V")</f>
        <v>0</v>
      </c>
      <c r="AK2">
        <f>BDH("VTS US Equity","CF_CASH_FROM_OPER","1993-06-18","2026-05-02","Per=Y","Days=T","Dir=V")</f>
        <v>0</v>
      </c>
      <c r="AM2">
        <f>BDH("VTS US Equity","CAPITAL_EXPEND","1993-06-18","2026-05-02","Per=Y","Days=T","Dir=V")</f>
        <v>0</v>
      </c>
      <c r="AO2">
        <f>BDH("VTS US Equity","CF_FREE_CASH_FLOW","1993-06-18","2026-05-02","Per=Y","Days=T","Dir=V")</f>
        <v>0</v>
      </c>
      <c r="AQ2">
        <f>BDH("VTS US Equity","PX_LAST","1993-06-18","2026-05-02","Per=M","Days=T","Dir=V")</f>
        <v>0</v>
      </c>
      <c r="AS2">
        <f>BDH("VTS US Equity","CUR_MKT_CAP","1993-06-18","2026-05-02","Per=M","Days=T","Dir=V")</f>
        <v>0</v>
      </c>
      <c r="AU2">
        <f>BDH("VTS US Equity","EQY_SH_OUT","1993-06-18","2026-05-02","Per=M","Days=T","Dir=V")</f>
        <v>0</v>
      </c>
      <c r="AW2">
        <f>BDH("VTS US Equity","PX_VOLUME","1993-06-18","2026-05-02","Per=M","Days=T","Dir=V")</f>
        <v>0</v>
      </c>
      <c r="AY2">
        <f>BDH("VTS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BDH("VTSI US Equity","BS_TOT_ASSET","1993-06-18","2026-05-02","Per=Y","Days=T","Dir=V")</f>
        <v>0</v>
      </c>
      <c r="C2">
        <f>BDH("VTSI US Equity","BS_TOT_LIAB2","1993-06-18","2026-05-02","Per=Y","Days=T","Dir=V")</f>
        <v>0</v>
      </c>
      <c r="E2">
        <f>BDH("VTSI US Equity","SHORT_AND_LONG_TERM_DEBT","1993-06-18","2026-05-02","Per=Y","Days=T","Dir=V")</f>
        <v>0</v>
      </c>
      <c r="G2">
        <f>BDH("VTSI US Equity","BS_ST_BORROW","1993-06-18","2026-05-02","Per=Y","Days=T","Dir=V")</f>
        <v>0</v>
      </c>
      <c r="I2">
        <f>BDH("VTSI US Equity","BS_LT_BORROW","1993-06-18","2026-05-02","Per=Y","Days=T","Dir=V")</f>
        <v>0</v>
      </c>
      <c r="K2">
        <f>BDH("VTSI US Equity","BS_CASH_NEAR_CASH_ITEM","1993-06-18","2026-05-02","Per=Y","Days=T","Dir=V")</f>
        <v>0</v>
      </c>
      <c r="M2">
        <f>BDH("VTSI US Equity","BS_CUR_ASSET_REPORT","1993-06-18","2026-05-02","Per=Y","Days=T","Dir=V")</f>
        <v>0</v>
      </c>
      <c r="O2">
        <f>BDH("VTSI US Equity","BS_CUR_LIAB","1993-06-18","2026-05-02","Per=Y","Days=T","Dir=V")</f>
        <v>0</v>
      </c>
      <c r="Q2">
        <f>BDH("VTSI US Equity","BS_SHAREHOLDER_EQY_ENDING_PERIOD","1993-06-18","2026-05-02","Per=Y","Days=T","Dir=V")</f>
        <v>0</v>
      </c>
      <c r="S2">
        <f>BDH("VTSI US Equity","BS_ACCT_NOTE_RCV","1993-06-18","2026-05-02","Per=Y","Days=T","Dir=V")</f>
        <v>0</v>
      </c>
      <c r="U2">
        <f>BDH("VTSI US Equity","BS_INVENTORIES","1993-06-18","2026-05-02","Per=Y","Days=T","Dir=V")</f>
        <v>0</v>
      </c>
      <c r="W2">
        <f>BDH("VTSI US Equity","WORKING_CAPITAL","1993-06-18","2026-05-02","Per=Y","Days=T","Dir=V")</f>
        <v>0</v>
      </c>
      <c r="Y2">
        <f>BDH("VTSI US Equity","SALES_REV_TURN","1993-06-18","2026-05-02","Per=Y","Days=T","Dir=V")</f>
        <v>0</v>
      </c>
      <c r="AA2">
        <f>BDH("VTSI US Equity","EBIT","1993-06-18","2026-05-02","Per=Y","Days=T","Dir=V")</f>
        <v>0</v>
      </c>
      <c r="AC2">
        <f>BDH("VTSI US Equity","EBITDA","1993-06-18","2026-05-02","Per=Y","Days=T","Dir=V")</f>
        <v>0</v>
      </c>
      <c r="AE2">
        <f>BDH("VTSI US Equity","NET_INCOME","1993-06-18","2026-05-02","Per=Y","Days=T","Dir=V")</f>
        <v>0</v>
      </c>
      <c r="AG2">
        <f>BDH("VTSI US Equity","IS_INT_EXPENSE","1993-06-18","2026-05-02","Per=Y","Days=T","Dir=V")</f>
        <v>0</v>
      </c>
      <c r="AI2">
        <f>BDH("VTSI US Equity","IS_DEPR_EXP","1993-06-18","2026-05-02","Per=Y","Days=T","Dir=V")</f>
        <v>0</v>
      </c>
      <c r="AK2">
        <f>BDH("VTSI US Equity","CF_CASH_FROM_OPER","1993-06-18","2026-05-02","Per=Y","Days=T","Dir=V")</f>
        <v>0</v>
      </c>
      <c r="AM2">
        <f>BDH("VTSI US Equity","CAPITAL_EXPEND","1993-06-18","2026-05-02","Per=Y","Days=T","Dir=V")</f>
        <v>0</v>
      </c>
      <c r="AO2">
        <f>BDH("VTSI US Equity","CF_FREE_CASH_FLOW","1993-06-18","2026-05-02","Per=Y","Days=T","Dir=V")</f>
        <v>0</v>
      </c>
      <c r="AQ2">
        <f>BDH("VTSI US Equity","PX_LAST","1993-06-18","2026-05-02","Per=M","Days=T","Dir=V")</f>
        <v>0</v>
      </c>
      <c r="AS2">
        <f>BDH("VTSI US Equity","CUR_MKT_CAP","1993-06-18","2026-05-02","Per=M","Days=T","Dir=V")</f>
        <v>0</v>
      </c>
      <c r="AU2">
        <f>BDH("VTSI US Equity","EQY_SH_OUT","1993-06-18","2026-05-02","Per=M","Days=T","Dir=V")</f>
        <v>0</v>
      </c>
      <c r="AW2">
        <f>BDH("VTSI US Equity","PX_VOLUME","1993-06-18","2026-05-02","Per=M","Days=T","Dir=V")</f>
        <v>0</v>
      </c>
      <c r="AY2">
        <f>BDH("VTSI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BDH("VTVT US Equity","BS_TOT_ASSET","1993-06-18","2026-05-02","Per=Y","Days=T","Dir=V")</f>
        <v>0</v>
      </c>
      <c r="C2">
        <f>BDH("VTVT US Equity","BS_TOT_LIAB2","1993-06-18","2026-05-02","Per=Y","Days=T","Dir=V")</f>
        <v>0</v>
      </c>
      <c r="E2">
        <f>BDH("VTVT US Equity","SHORT_AND_LONG_TERM_DEBT","1993-06-18","2026-05-02","Per=Y","Days=T","Dir=V")</f>
        <v>0</v>
      </c>
      <c r="G2">
        <f>BDH("VTVT US Equity","BS_ST_BORROW","1993-06-18","2026-05-02","Per=Y","Days=T","Dir=V")</f>
        <v>0</v>
      </c>
      <c r="I2">
        <f>BDH("VTVT US Equity","BS_LT_BORROW","1993-06-18","2026-05-02","Per=Y","Days=T","Dir=V")</f>
        <v>0</v>
      </c>
      <c r="K2">
        <f>BDH("VTVT US Equity","BS_CASH_NEAR_CASH_ITEM","1993-06-18","2026-05-02","Per=Y","Days=T","Dir=V")</f>
        <v>0</v>
      </c>
      <c r="M2">
        <f>BDH("VTVT US Equity","BS_CUR_ASSET_REPORT","1993-06-18","2026-05-02","Per=Y","Days=T","Dir=V")</f>
        <v>0</v>
      </c>
      <c r="O2">
        <f>BDH("VTVT US Equity","BS_CUR_LIAB","1993-06-18","2026-05-02","Per=Y","Days=T","Dir=V")</f>
        <v>0</v>
      </c>
      <c r="Q2">
        <f>BDH("VTVT US Equity","BS_SHAREHOLDER_EQY_ENDING_PERIOD","1993-06-18","2026-05-02","Per=Y","Days=T","Dir=V")</f>
        <v>0</v>
      </c>
      <c r="S2">
        <f>BDH("VTVT US Equity","BS_ACCT_NOTE_RCV","1993-06-18","2026-05-02","Per=Y","Days=T","Dir=V")</f>
        <v>0</v>
      </c>
      <c r="U2">
        <f>BDH("VTVT US Equity","BS_INVENTORIES","1993-06-18","2026-05-02","Per=Y","Days=T","Dir=V")</f>
        <v>0</v>
      </c>
      <c r="W2">
        <f>BDH("VTVT US Equity","WORKING_CAPITAL","1993-06-18","2026-05-02","Per=Y","Days=T","Dir=V")</f>
        <v>0</v>
      </c>
      <c r="Y2">
        <f>BDH("VTVT US Equity","SALES_REV_TURN","1993-06-18","2026-05-02","Per=Y","Days=T","Dir=V")</f>
        <v>0</v>
      </c>
      <c r="AA2">
        <f>BDH("VTVT US Equity","EBIT","1993-06-18","2026-05-02","Per=Y","Days=T","Dir=V")</f>
        <v>0</v>
      </c>
      <c r="AC2">
        <f>BDH("VTVT US Equity","EBITDA","1993-06-18","2026-05-02","Per=Y","Days=T","Dir=V")</f>
        <v>0</v>
      </c>
      <c r="AE2">
        <f>BDH("VTVT US Equity","NET_INCOME","1993-06-18","2026-05-02","Per=Y","Days=T","Dir=V")</f>
        <v>0</v>
      </c>
      <c r="AG2">
        <f>BDH("VTVT US Equity","IS_INT_EXPENSE","1993-06-18","2026-05-02","Per=Y","Days=T","Dir=V")</f>
        <v>0</v>
      </c>
      <c r="AI2">
        <f>BDH("VTVT US Equity","IS_DEPR_EXP","1993-06-18","2026-05-02","Per=Y","Days=T","Dir=V")</f>
        <v>0</v>
      </c>
      <c r="AK2">
        <f>BDH("VTVT US Equity","CF_CASH_FROM_OPER","1993-06-18","2026-05-02","Per=Y","Days=T","Dir=V")</f>
        <v>0</v>
      </c>
      <c r="AM2">
        <f>BDH("VTVT US Equity","CAPITAL_EXPEND","1993-06-18","2026-05-02","Per=Y","Days=T","Dir=V")</f>
        <v>0</v>
      </c>
      <c r="AO2">
        <f>BDH("VTVT US Equity","CF_FREE_CASH_FLOW","1993-06-18","2026-05-02","Per=Y","Days=T","Dir=V")</f>
        <v>0</v>
      </c>
      <c r="AQ2">
        <f>BDH("VTVT US Equity","PX_LAST","1993-06-18","2026-05-02","Per=M","Days=T","Dir=V")</f>
        <v>0</v>
      </c>
      <c r="AS2">
        <f>BDH("VTVT US Equity","CUR_MKT_CAP","1993-06-18","2026-05-02","Per=M","Days=T","Dir=V")</f>
        <v>0</v>
      </c>
      <c r="AU2">
        <f>BDH("VTVT US Equity","EQY_SH_OUT","1993-06-18","2026-05-02","Per=M","Days=T","Dir=V")</f>
        <v>0</v>
      </c>
      <c r="AW2">
        <f>BDH("VTVT US Equity","PX_VOLUME","1993-06-18","2026-05-02","Per=M","Days=T","Dir=V")</f>
        <v>0</v>
      </c>
      <c r="AY2">
        <f>BDH("VTVT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BDH("VUZI US Equity","BS_TOT_ASSET","1993-06-18","2026-05-02","Per=Y","Days=T","Dir=V")</f>
        <v>0</v>
      </c>
      <c r="C2">
        <f>BDH("VUZI US Equity","BS_TOT_LIAB2","1993-06-18","2026-05-02","Per=Y","Days=T","Dir=V")</f>
        <v>0</v>
      </c>
      <c r="E2">
        <f>BDH("VUZI US Equity","SHORT_AND_LONG_TERM_DEBT","1993-06-18","2026-05-02","Per=Y","Days=T","Dir=V")</f>
        <v>0</v>
      </c>
      <c r="G2">
        <f>BDH("VUZI US Equity","BS_ST_BORROW","1993-06-18","2026-05-02","Per=Y","Days=T","Dir=V")</f>
        <v>0</v>
      </c>
      <c r="I2">
        <f>BDH("VUZI US Equity","BS_LT_BORROW","1993-06-18","2026-05-02","Per=Y","Days=T","Dir=V")</f>
        <v>0</v>
      </c>
      <c r="K2">
        <f>BDH("VUZI US Equity","BS_CASH_NEAR_CASH_ITEM","1993-06-18","2026-05-02","Per=Y","Days=T","Dir=V")</f>
        <v>0</v>
      </c>
      <c r="M2">
        <f>BDH("VUZI US Equity","BS_CUR_ASSET_REPORT","1993-06-18","2026-05-02","Per=Y","Days=T","Dir=V")</f>
        <v>0</v>
      </c>
      <c r="O2">
        <f>BDH("VUZI US Equity","BS_CUR_LIAB","1993-06-18","2026-05-02","Per=Y","Days=T","Dir=V")</f>
        <v>0</v>
      </c>
      <c r="Q2">
        <f>BDH("VUZI US Equity","BS_SHAREHOLDER_EQY_ENDING_PERIOD","1993-06-18","2026-05-02","Per=Y","Days=T","Dir=V")</f>
        <v>0</v>
      </c>
      <c r="S2">
        <f>BDH("VUZI US Equity","BS_ACCT_NOTE_RCV","1993-06-18","2026-05-02","Per=Y","Days=T","Dir=V")</f>
        <v>0</v>
      </c>
      <c r="U2">
        <f>BDH("VUZI US Equity","BS_INVENTORIES","1993-06-18","2026-05-02","Per=Y","Days=T","Dir=V")</f>
        <v>0</v>
      </c>
      <c r="W2">
        <f>BDH("VUZI US Equity","WORKING_CAPITAL","1993-06-18","2026-05-02","Per=Y","Days=T","Dir=V")</f>
        <v>0</v>
      </c>
      <c r="Y2">
        <f>BDH("VUZI US Equity","SALES_REV_TURN","1993-06-18","2026-05-02","Per=Y","Days=T","Dir=V")</f>
        <v>0</v>
      </c>
      <c r="AA2">
        <f>BDH("VUZI US Equity","EBIT","1993-06-18","2026-05-02","Per=Y","Days=T","Dir=V")</f>
        <v>0</v>
      </c>
      <c r="AC2">
        <f>BDH("VUZI US Equity","EBITDA","1993-06-18","2026-05-02","Per=Y","Days=T","Dir=V")</f>
        <v>0</v>
      </c>
      <c r="AE2">
        <f>BDH("VUZI US Equity","NET_INCOME","1993-06-18","2026-05-02","Per=Y","Days=T","Dir=V")</f>
        <v>0</v>
      </c>
      <c r="AG2">
        <f>BDH("VUZI US Equity","IS_INT_EXPENSE","1993-06-18","2026-05-02","Per=Y","Days=T","Dir=V")</f>
        <v>0</v>
      </c>
      <c r="AI2">
        <f>BDH("VUZI US Equity","IS_DEPR_EXP","1993-06-18","2026-05-02","Per=Y","Days=T","Dir=V")</f>
        <v>0</v>
      </c>
      <c r="AK2">
        <f>BDH("VUZI US Equity","CF_CASH_FROM_OPER","1993-06-18","2026-05-02","Per=Y","Days=T","Dir=V")</f>
        <v>0</v>
      </c>
      <c r="AM2">
        <f>BDH("VUZI US Equity","CAPITAL_EXPEND","1993-06-18","2026-05-02","Per=Y","Days=T","Dir=V")</f>
        <v>0</v>
      </c>
      <c r="AO2">
        <f>BDH("VUZI US Equity","CF_FREE_CASH_FLOW","1993-06-18","2026-05-02","Per=Y","Days=T","Dir=V")</f>
        <v>0</v>
      </c>
      <c r="AQ2">
        <f>BDH("VUZI US Equity","PX_LAST","1993-06-18","2026-05-02","Per=M","Days=T","Dir=V")</f>
        <v>0</v>
      </c>
      <c r="AS2">
        <f>BDH("VUZI US Equity","CUR_MKT_CAP","1993-06-18","2026-05-02","Per=M","Days=T","Dir=V")</f>
        <v>0</v>
      </c>
      <c r="AU2">
        <f>BDH("VUZI US Equity","EQY_SH_OUT","1993-06-18","2026-05-02","Per=M","Days=T","Dir=V")</f>
        <v>0</v>
      </c>
      <c r="AW2">
        <f>BDH("VUZI US Equity","PX_VOLUME","1993-06-18","2026-05-02","Per=M","Days=T","Dir=V")</f>
        <v>0</v>
      </c>
      <c r="AY2">
        <f>BDH("VUZI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BDH("VVOS US Equity","BS_TOT_ASSET","1993-06-18","2026-05-02","Per=Y","Days=T","Dir=V")</f>
        <v>0</v>
      </c>
      <c r="C2">
        <f>BDH("VVOS US Equity","BS_TOT_LIAB2","1993-06-18","2026-05-02","Per=Y","Days=T","Dir=V")</f>
        <v>0</v>
      </c>
      <c r="E2">
        <f>BDH("VVOS US Equity","SHORT_AND_LONG_TERM_DEBT","1993-06-18","2026-05-02","Per=Y","Days=T","Dir=V")</f>
        <v>0</v>
      </c>
      <c r="G2">
        <f>BDH("VVOS US Equity","BS_ST_BORROW","1993-06-18","2026-05-02","Per=Y","Days=T","Dir=V")</f>
        <v>0</v>
      </c>
      <c r="I2">
        <f>BDH("VVOS US Equity","BS_LT_BORROW","1993-06-18","2026-05-02","Per=Y","Days=T","Dir=V")</f>
        <v>0</v>
      </c>
      <c r="K2">
        <f>BDH("VVOS US Equity","BS_CASH_NEAR_CASH_ITEM","1993-06-18","2026-05-02","Per=Y","Days=T","Dir=V")</f>
        <v>0</v>
      </c>
      <c r="M2">
        <f>BDH("VVOS US Equity","BS_CUR_ASSET_REPORT","1993-06-18","2026-05-02","Per=Y","Days=T","Dir=V")</f>
        <v>0</v>
      </c>
      <c r="O2">
        <f>BDH("VVOS US Equity","BS_CUR_LIAB","1993-06-18","2026-05-02","Per=Y","Days=T","Dir=V")</f>
        <v>0</v>
      </c>
      <c r="Q2">
        <f>BDH("VVOS US Equity","BS_SHAREHOLDER_EQY_ENDING_PERIOD","1993-06-18","2026-05-02","Per=Y","Days=T","Dir=V")</f>
        <v>0</v>
      </c>
      <c r="S2">
        <f>BDH("VVOS US Equity","BS_ACCT_NOTE_RCV","1993-06-18","2026-05-02","Per=Y","Days=T","Dir=V")</f>
        <v>0</v>
      </c>
      <c r="U2">
        <f>BDH("VVOS US Equity","BS_INVENTORIES","1993-06-18","2026-05-02","Per=Y","Days=T","Dir=V")</f>
        <v>0</v>
      </c>
      <c r="W2">
        <f>BDH("VVOS US Equity","WORKING_CAPITAL","1993-06-18","2026-05-02","Per=Y","Days=T","Dir=V")</f>
        <v>0</v>
      </c>
      <c r="Y2">
        <f>BDH("VVOS US Equity","SALES_REV_TURN","1993-06-18","2026-05-02","Per=Y","Days=T","Dir=V")</f>
        <v>0</v>
      </c>
      <c r="AA2">
        <f>BDH("VVOS US Equity","EBIT","1993-06-18","2026-05-02","Per=Y","Days=T","Dir=V")</f>
        <v>0</v>
      </c>
      <c r="AC2">
        <f>BDH("VVOS US Equity","EBITDA","1993-06-18","2026-05-02","Per=Y","Days=T","Dir=V")</f>
        <v>0</v>
      </c>
      <c r="AE2">
        <f>BDH("VVOS US Equity","NET_INCOME","1993-06-18","2026-05-02","Per=Y","Days=T","Dir=V")</f>
        <v>0</v>
      </c>
      <c r="AG2">
        <f>BDH("VVOS US Equity","IS_INT_EXPENSE","1993-06-18","2026-05-02","Per=Y","Days=T","Dir=V")</f>
        <v>0</v>
      </c>
      <c r="AI2">
        <f>BDH("VVOS US Equity","IS_DEPR_EXP","1993-06-18","2026-05-02","Per=Y","Days=T","Dir=V")</f>
        <v>0</v>
      </c>
      <c r="AK2">
        <f>BDH("VVOS US Equity","CF_CASH_FROM_OPER","1993-06-18","2026-05-02","Per=Y","Days=T","Dir=V")</f>
        <v>0</v>
      </c>
      <c r="AM2">
        <f>BDH("VVOS US Equity","CAPITAL_EXPEND","1993-06-18","2026-05-02","Per=Y","Days=T","Dir=V")</f>
        <v>0</v>
      </c>
      <c r="AO2">
        <f>BDH("VVOS US Equity","CF_FREE_CASH_FLOW","1993-06-18","2026-05-02","Per=Y","Days=T","Dir=V")</f>
        <v>0</v>
      </c>
      <c r="AQ2">
        <f>BDH("VVOS US Equity","PX_LAST","1993-06-18","2026-05-02","Per=M","Days=T","Dir=V")</f>
        <v>0</v>
      </c>
      <c r="AS2">
        <f>BDH("VVOS US Equity","CUR_MKT_CAP","1993-06-18","2026-05-02","Per=M","Days=T","Dir=V")</f>
        <v>0</v>
      </c>
      <c r="AU2">
        <f>BDH("VVOS US Equity","EQY_SH_OUT","1993-06-18","2026-05-02","Per=M","Days=T","Dir=V")</f>
        <v>0</v>
      </c>
      <c r="AW2">
        <f>BDH("VVOS US Equity","PX_VOLUME","1993-06-18","2026-05-02","Per=M","Days=T","Dir=V")</f>
        <v>0</v>
      </c>
      <c r="AY2">
        <f>BDH("VVOS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BDH("VVV US Equity","BS_TOT_ASSET","1993-06-18","2026-05-02","Per=Y","Days=T","Dir=V")</f>
        <v>0</v>
      </c>
      <c r="C2">
        <f>BDH("VVV US Equity","BS_TOT_LIAB2","1993-06-18","2026-05-02","Per=Y","Days=T","Dir=V")</f>
        <v>0</v>
      </c>
      <c r="E2">
        <f>BDH("VVV US Equity","SHORT_AND_LONG_TERM_DEBT","1993-06-18","2026-05-02","Per=Y","Days=T","Dir=V")</f>
        <v>0</v>
      </c>
      <c r="G2">
        <f>BDH("VVV US Equity","BS_ST_BORROW","1993-06-18","2026-05-02","Per=Y","Days=T","Dir=V")</f>
        <v>0</v>
      </c>
      <c r="I2">
        <f>BDH("VVV US Equity","BS_LT_BORROW","1993-06-18","2026-05-02","Per=Y","Days=T","Dir=V")</f>
        <v>0</v>
      </c>
      <c r="K2">
        <f>BDH("VVV US Equity","BS_CASH_NEAR_CASH_ITEM","1993-06-18","2026-05-02","Per=Y","Days=T","Dir=V")</f>
        <v>0</v>
      </c>
      <c r="M2">
        <f>BDH("VVV US Equity","BS_CUR_ASSET_REPORT","1993-06-18","2026-05-02","Per=Y","Days=T","Dir=V")</f>
        <v>0</v>
      </c>
      <c r="O2">
        <f>BDH("VVV US Equity","BS_CUR_LIAB","1993-06-18","2026-05-02","Per=Y","Days=T","Dir=V")</f>
        <v>0</v>
      </c>
      <c r="Q2">
        <f>BDH("VVV US Equity","BS_SHAREHOLDER_EQY_ENDING_PERIOD","1993-06-18","2026-05-02","Per=Y","Days=T","Dir=V")</f>
        <v>0</v>
      </c>
      <c r="S2">
        <f>BDH("VVV US Equity","BS_ACCT_NOTE_RCV","1993-06-18","2026-05-02","Per=Y","Days=T","Dir=V")</f>
        <v>0</v>
      </c>
      <c r="U2">
        <f>BDH("VVV US Equity","BS_INVENTORIES","1993-06-18","2026-05-02","Per=Y","Days=T","Dir=V")</f>
        <v>0</v>
      </c>
      <c r="W2">
        <f>BDH("VVV US Equity","WORKING_CAPITAL","1993-06-18","2026-05-02","Per=Y","Days=T","Dir=V")</f>
        <v>0</v>
      </c>
      <c r="Y2">
        <f>BDH("VVV US Equity","SALES_REV_TURN","1993-06-18","2026-05-02","Per=Y","Days=T","Dir=V")</f>
        <v>0</v>
      </c>
      <c r="AA2">
        <f>BDH("VVV US Equity","EBIT","1993-06-18","2026-05-02","Per=Y","Days=T","Dir=V")</f>
        <v>0</v>
      </c>
      <c r="AC2">
        <f>BDH("VVV US Equity","EBITDA","1993-06-18","2026-05-02","Per=Y","Days=T","Dir=V")</f>
        <v>0</v>
      </c>
      <c r="AE2">
        <f>BDH("VVV US Equity","NET_INCOME","1993-06-18","2026-05-02","Per=Y","Days=T","Dir=V")</f>
        <v>0</v>
      </c>
      <c r="AG2">
        <f>BDH("VVV US Equity","IS_INT_EXPENSE","1993-06-18","2026-05-02","Per=Y","Days=T","Dir=V")</f>
        <v>0</v>
      </c>
      <c r="AI2">
        <f>BDH("VVV US Equity","IS_DEPR_EXP","1993-06-18","2026-05-02","Per=Y","Days=T","Dir=V")</f>
        <v>0</v>
      </c>
      <c r="AK2">
        <f>BDH("VVV US Equity","CF_CASH_FROM_OPER","1993-06-18","2026-05-02","Per=Y","Days=T","Dir=V")</f>
        <v>0</v>
      </c>
      <c r="AM2">
        <f>BDH("VVV US Equity","CAPITAL_EXPEND","1993-06-18","2026-05-02","Per=Y","Days=T","Dir=V")</f>
        <v>0</v>
      </c>
      <c r="AO2">
        <f>BDH("VVV US Equity","CF_FREE_CASH_FLOW","1993-06-18","2026-05-02","Per=Y","Days=T","Dir=V")</f>
        <v>0</v>
      </c>
      <c r="AQ2">
        <f>BDH("VVV US Equity","PX_LAST","1993-06-18","2026-05-02","Per=M","Days=T","Dir=V")</f>
        <v>0</v>
      </c>
      <c r="AS2">
        <f>BDH("VVV US Equity","CUR_MKT_CAP","1993-06-18","2026-05-02","Per=M","Days=T","Dir=V")</f>
        <v>0</v>
      </c>
      <c r="AU2">
        <f>BDH("VVV US Equity","EQY_SH_OUT","1993-06-18","2026-05-02","Per=M","Days=T","Dir=V")</f>
        <v>0</v>
      </c>
      <c r="AW2">
        <f>BDH("VVV US Equity","PX_VOLUME","1993-06-18","2026-05-02","Per=M","Days=T","Dir=V")</f>
        <v>0</v>
      </c>
      <c r="AY2">
        <f>BDH("VVV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BDH("VVX US Equity","BS_TOT_ASSET","1993-06-18","2026-05-02","Per=Y","Days=T","Dir=V")</f>
        <v>0</v>
      </c>
      <c r="C2">
        <f>BDH("VVX US Equity","BS_TOT_LIAB2","1993-06-18","2026-05-02","Per=Y","Days=T","Dir=V")</f>
        <v>0</v>
      </c>
      <c r="E2">
        <f>BDH("VVX US Equity","SHORT_AND_LONG_TERM_DEBT","1993-06-18","2026-05-02","Per=Y","Days=T","Dir=V")</f>
        <v>0</v>
      </c>
      <c r="G2">
        <f>BDH("VVX US Equity","BS_ST_BORROW","1993-06-18","2026-05-02","Per=Y","Days=T","Dir=V")</f>
        <v>0</v>
      </c>
      <c r="I2">
        <f>BDH("VVX US Equity","BS_LT_BORROW","1993-06-18","2026-05-02","Per=Y","Days=T","Dir=V")</f>
        <v>0</v>
      </c>
      <c r="K2">
        <f>BDH("VVX US Equity","BS_CASH_NEAR_CASH_ITEM","1993-06-18","2026-05-02","Per=Y","Days=T","Dir=V")</f>
        <v>0</v>
      </c>
      <c r="M2">
        <f>BDH("VVX US Equity","BS_CUR_ASSET_REPORT","1993-06-18","2026-05-02","Per=Y","Days=T","Dir=V")</f>
        <v>0</v>
      </c>
      <c r="O2">
        <f>BDH("VVX US Equity","BS_CUR_LIAB","1993-06-18","2026-05-02","Per=Y","Days=T","Dir=V")</f>
        <v>0</v>
      </c>
      <c r="Q2">
        <f>BDH("VVX US Equity","BS_SHAREHOLDER_EQY_ENDING_PERIOD","1993-06-18","2026-05-02","Per=Y","Days=T","Dir=V")</f>
        <v>0</v>
      </c>
      <c r="S2">
        <f>BDH("VVX US Equity","BS_ACCT_NOTE_RCV","1993-06-18","2026-05-02","Per=Y","Days=T","Dir=V")</f>
        <v>0</v>
      </c>
      <c r="U2">
        <f>BDH("VVX US Equity","BS_INVENTORIES","1993-06-18","2026-05-02","Per=Y","Days=T","Dir=V")</f>
        <v>0</v>
      </c>
      <c r="W2">
        <f>BDH("VVX US Equity","WORKING_CAPITAL","1993-06-18","2026-05-02","Per=Y","Days=T","Dir=V")</f>
        <v>0</v>
      </c>
      <c r="Y2">
        <f>BDH("VVX US Equity","SALES_REV_TURN","1993-06-18","2026-05-02","Per=Y","Days=T","Dir=V")</f>
        <v>0</v>
      </c>
      <c r="AA2">
        <f>BDH("VVX US Equity","EBIT","1993-06-18","2026-05-02","Per=Y","Days=T","Dir=V")</f>
        <v>0</v>
      </c>
      <c r="AC2">
        <f>BDH("VVX US Equity","EBITDA","1993-06-18","2026-05-02","Per=Y","Days=T","Dir=V")</f>
        <v>0</v>
      </c>
      <c r="AE2">
        <f>BDH("VVX US Equity","NET_INCOME","1993-06-18","2026-05-02","Per=Y","Days=T","Dir=V")</f>
        <v>0</v>
      </c>
      <c r="AG2">
        <f>BDH("VVX US Equity","IS_INT_EXPENSE","1993-06-18","2026-05-02","Per=Y","Days=T","Dir=V")</f>
        <v>0</v>
      </c>
      <c r="AI2">
        <f>BDH("VVX US Equity","IS_DEPR_EXP","1993-06-18","2026-05-02","Per=Y","Days=T","Dir=V")</f>
        <v>0</v>
      </c>
      <c r="AK2">
        <f>BDH("VVX US Equity","CF_CASH_FROM_OPER","1993-06-18","2026-05-02","Per=Y","Days=T","Dir=V")</f>
        <v>0</v>
      </c>
      <c r="AM2">
        <f>BDH("VVX US Equity","CAPITAL_EXPEND","1993-06-18","2026-05-02","Per=Y","Days=T","Dir=V")</f>
        <v>0</v>
      </c>
      <c r="AO2">
        <f>BDH("VVX US Equity","CF_FREE_CASH_FLOW","1993-06-18","2026-05-02","Per=Y","Days=T","Dir=V")</f>
        <v>0</v>
      </c>
      <c r="AQ2">
        <f>BDH("VVX US Equity","PX_LAST","1993-06-18","2026-05-02","Per=M","Days=T","Dir=V")</f>
        <v>0</v>
      </c>
      <c r="AS2">
        <f>BDH("VVX US Equity","CUR_MKT_CAP","1993-06-18","2026-05-02","Per=M","Days=T","Dir=V")</f>
        <v>0</v>
      </c>
      <c r="AU2">
        <f>BDH("VVX US Equity","EQY_SH_OUT","1993-06-18","2026-05-02","Per=M","Days=T","Dir=V")</f>
        <v>0</v>
      </c>
      <c r="AW2">
        <f>BDH("VVX US Equity","PX_VOLUME","1993-06-18","2026-05-02","Per=M","Days=T","Dir=V")</f>
        <v>0</v>
      </c>
      <c r="AY2">
        <f>BDH("VVX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BDH("VWAV US Equity","BS_TOT_ASSET","1993-06-18","2026-05-02","Per=Y","Days=T","Dir=V")</f>
        <v>0</v>
      </c>
      <c r="C2">
        <f>BDH("VWAV US Equity","BS_TOT_LIAB2","1993-06-18","2026-05-02","Per=Y","Days=T","Dir=V")</f>
        <v>0</v>
      </c>
      <c r="E2">
        <f>BDH("VWAV US Equity","SHORT_AND_LONG_TERM_DEBT","1993-06-18","2026-05-02","Per=Y","Days=T","Dir=V")</f>
        <v>0</v>
      </c>
      <c r="G2">
        <f>BDH("VWAV US Equity","BS_ST_BORROW","1993-06-18","2026-05-02","Per=Y","Days=T","Dir=V")</f>
        <v>0</v>
      </c>
      <c r="I2">
        <f>BDH("VWAV US Equity","BS_LT_BORROW","1993-06-18","2026-05-02","Per=Y","Days=T","Dir=V")</f>
        <v>0</v>
      </c>
      <c r="K2">
        <f>BDH("VWAV US Equity","BS_CASH_NEAR_CASH_ITEM","1993-06-18","2026-05-02","Per=Y","Days=T","Dir=V")</f>
        <v>0</v>
      </c>
      <c r="M2">
        <f>BDH("VWAV US Equity","BS_CUR_ASSET_REPORT","1993-06-18","2026-05-02","Per=Y","Days=T","Dir=V")</f>
        <v>0</v>
      </c>
      <c r="O2">
        <f>BDH("VWAV US Equity","BS_CUR_LIAB","1993-06-18","2026-05-02","Per=Y","Days=T","Dir=V")</f>
        <v>0</v>
      </c>
      <c r="Q2">
        <f>BDH("VWAV US Equity","BS_SHAREHOLDER_EQY_ENDING_PERIOD","1993-06-18","2026-05-02","Per=Y","Days=T","Dir=V")</f>
        <v>0</v>
      </c>
      <c r="S2">
        <f>BDH("VWAV US Equity","BS_ACCT_NOTE_RCV","1993-06-18","2026-05-02","Per=Y","Days=T","Dir=V")</f>
        <v>0</v>
      </c>
      <c r="U2">
        <f>BDH("VWAV US Equity","BS_INVENTORIES","1993-06-18","2026-05-02","Per=Y","Days=T","Dir=V")</f>
        <v>0</v>
      </c>
      <c r="W2">
        <f>BDH("VWAV US Equity","WORKING_CAPITAL","1993-06-18","2026-05-02","Per=Y","Days=T","Dir=V")</f>
        <v>0</v>
      </c>
      <c r="Y2">
        <f>BDH("VWAV US Equity","SALES_REV_TURN","1993-06-18","2026-05-02","Per=Y","Days=T","Dir=V")</f>
        <v>0</v>
      </c>
      <c r="AA2">
        <f>BDH("VWAV US Equity","EBIT","1993-06-18","2026-05-02","Per=Y","Days=T","Dir=V")</f>
        <v>0</v>
      </c>
      <c r="AC2">
        <f>BDH("VWAV US Equity","EBITDA","1993-06-18","2026-05-02","Per=Y","Days=T","Dir=V")</f>
        <v>0</v>
      </c>
      <c r="AE2">
        <f>BDH("VWAV US Equity","NET_INCOME","1993-06-18","2026-05-02","Per=Y","Days=T","Dir=V")</f>
        <v>0</v>
      </c>
      <c r="AG2">
        <f>BDH("VWAV US Equity","IS_INT_EXPENSE","1993-06-18","2026-05-02","Per=Y","Days=T","Dir=V")</f>
        <v>0</v>
      </c>
      <c r="AI2">
        <f>BDH("VWAV US Equity","IS_DEPR_EXP","1993-06-18","2026-05-02","Per=Y","Days=T","Dir=V")</f>
        <v>0</v>
      </c>
      <c r="AK2">
        <f>BDH("VWAV US Equity","CF_CASH_FROM_OPER","1993-06-18","2026-05-02","Per=Y","Days=T","Dir=V")</f>
        <v>0</v>
      </c>
      <c r="AM2">
        <f>BDH("VWAV US Equity","CAPITAL_EXPEND","1993-06-18","2026-05-02","Per=Y","Days=T","Dir=V")</f>
        <v>0</v>
      </c>
      <c r="AO2">
        <f>BDH("VWAV US Equity","CF_FREE_CASH_FLOW","1993-06-18","2026-05-02","Per=Y","Days=T","Dir=V")</f>
        <v>0</v>
      </c>
      <c r="AQ2">
        <f>BDH("VWAV US Equity","PX_LAST","1993-06-18","2026-05-02","Per=M","Days=T","Dir=V")</f>
        <v>0</v>
      </c>
      <c r="AS2">
        <f>BDH("VWAV US Equity","CUR_MKT_CAP","1993-06-18","2026-05-02","Per=M","Days=T","Dir=V")</f>
        <v>0</v>
      </c>
      <c r="AU2">
        <f>BDH("VWAV US Equity","EQY_SH_OUT","1993-06-18","2026-05-02","Per=M","Days=T","Dir=V")</f>
        <v>0</v>
      </c>
      <c r="AW2">
        <f>BDH("VWAV US Equity","PX_VOLUME","1993-06-18","2026-05-02","Per=M","Days=T","Dir=V")</f>
        <v>0</v>
      </c>
      <c r="AY2">
        <f>BDH("VWAV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BDH("VWAVW US Equity","BS_TOT_ASSET","1993-06-18","2026-05-02","Per=Y","Days=T","Dir=V")</f>
        <v>0</v>
      </c>
      <c r="C2">
        <f>BDH("VWAVW US Equity","BS_TOT_LIAB2","1993-06-18","2026-05-02","Per=Y","Days=T","Dir=V")</f>
        <v>0</v>
      </c>
      <c r="E2">
        <f>BDH("VWAVW US Equity","SHORT_AND_LONG_TERM_DEBT","1993-06-18","2026-05-02","Per=Y","Days=T","Dir=V")</f>
        <v>0</v>
      </c>
      <c r="G2">
        <f>BDH("VWAVW US Equity","BS_ST_BORROW","1993-06-18","2026-05-02","Per=Y","Days=T","Dir=V")</f>
        <v>0</v>
      </c>
      <c r="I2">
        <f>BDH("VWAVW US Equity","BS_LT_BORROW","1993-06-18","2026-05-02","Per=Y","Days=T","Dir=V")</f>
        <v>0</v>
      </c>
      <c r="K2">
        <f>BDH("VWAVW US Equity","BS_CASH_NEAR_CASH_ITEM","1993-06-18","2026-05-02","Per=Y","Days=T","Dir=V")</f>
        <v>0</v>
      </c>
      <c r="M2">
        <f>BDH("VWAVW US Equity","BS_CUR_ASSET_REPORT","1993-06-18","2026-05-02","Per=Y","Days=T","Dir=V")</f>
        <v>0</v>
      </c>
      <c r="O2">
        <f>BDH("VWAVW US Equity","BS_CUR_LIAB","1993-06-18","2026-05-02","Per=Y","Days=T","Dir=V")</f>
        <v>0</v>
      </c>
      <c r="Q2">
        <f>BDH("VWAVW US Equity","BS_SHAREHOLDER_EQY_ENDING_PERIOD","1993-06-18","2026-05-02","Per=Y","Days=T","Dir=V")</f>
        <v>0</v>
      </c>
      <c r="S2">
        <f>BDH("VWAVW US Equity","BS_ACCT_NOTE_RCV","1993-06-18","2026-05-02","Per=Y","Days=T","Dir=V")</f>
        <v>0</v>
      </c>
      <c r="U2">
        <f>BDH("VWAVW US Equity","BS_INVENTORIES","1993-06-18","2026-05-02","Per=Y","Days=T","Dir=V")</f>
        <v>0</v>
      </c>
      <c r="W2">
        <f>BDH("VWAVW US Equity","WORKING_CAPITAL","1993-06-18","2026-05-02","Per=Y","Days=T","Dir=V")</f>
        <v>0</v>
      </c>
      <c r="Y2">
        <f>BDH("VWAVW US Equity","SALES_REV_TURN","1993-06-18","2026-05-02","Per=Y","Days=T","Dir=V")</f>
        <v>0</v>
      </c>
      <c r="AA2">
        <f>BDH("VWAVW US Equity","EBIT","1993-06-18","2026-05-02","Per=Y","Days=T","Dir=V")</f>
        <v>0</v>
      </c>
      <c r="AC2">
        <f>BDH("VWAVW US Equity","EBITDA","1993-06-18","2026-05-02","Per=Y","Days=T","Dir=V")</f>
        <v>0</v>
      </c>
      <c r="AE2">
        <f>BDH("VWAVW US Equity","NET_INCOME","1993-06-18","2026-05-02","Per=Y","Days=T","Dir=V")</f>
        <v>0</v>
      </c>
      <c r="AG2">
        <f>BDH("VWAVW US Equity","IS_INT_EXPENSE","1993-06-18","2026-05-02","Per=Y","Days=T","Dir=V")</f>
        <v>0</v>
      </c>
      <c r="AI2">
        <f>BDH("VWAVW US Equity","IS_DEPR_EXP","1993-06-18","2026-05-02","Per=Y","Days=T","Dir=V")</f>
        <v>0</v>
      </c>
      <c r="AK2">
        <f>BDH("VWAVW US Equity","CF_CASH_FROM_OPER","1993-06-18","2026-05-02","Per=Y","Days=T","Dir=V")</f>
        <v>0</v>
      </c>
      <c r="AM2">
        <f>BDH("VWAVW US Equity","CAPITAL_EXPEND","1993-06-18","2026-05-02","Per=Y","Days=T","Dir=V")</f>
        <v>0</v>
      </c>
      <c r="AO2">
        <f>BDH("VWAVW US Equity","CF_FREE_CASH_FLOW","1993-06-18","2026-05-02","Per=Y","Days=T","Dir=V")</f>
        <v>0</v>
      </c>
      <c r="AQ2">
        <f>BDH("VWAVW US Equity","PX_LAST","1993-06-18","2026-05-02","Per=M","Days=T","Dir=V")</f>
        <v>0</v>
      </c>
      <c r="AS2">
        <f>BDH("VWAVW US Equity","CUR_MKT_CAP","1993-06-18","2026-05-02","Per=M","Days=T","Dir=V")</f>
        <v>0</v>
      </c>
      <c r="AU2">
        <f>BDH("VWAVW US Equity","EQY_SH_OUT","1993-06-18","2026-05-02","Per=M","Days=T","Dir=V")</f>
        <v>0</v>
      </c>
      <c r="AW2">
        <f>BDH("VWAVW US Equity","PX_VOLUME","1993-06-18","2026-05-02","Per=M","Days=T","Dir=V")</f>
        <v>0</v>
      </c>
      <c r="AY2">
        <f>BDH("VWAVW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BDH("VYGR US Equity","BS_TOT_ASSET","1993-06-18","2026-05-02","Per=Y","Days=T","Dir=V")</f>
        <v>0</v>
      </c>
      <c r="C2">
        <f>BDH("VYGR US Equity","BS_TOT_LIAB2","1993-06-18","2026-05-02","Per=Y","Days=T","Dir=V")</f>
        <v>0</v>
      </c>
      <c r="E2">
        <f>BDH("VYGR US Equity","SHORT_AND_LONG_TERM_DEBT","1993-06-18","2026-05-02","Per=Y","Days=T","Dir=V")</f>
        <v>0</v>
      </c>
      <c r="G2">
        <f>BDH("VYGR US Equity","BS_ST_BORROW","1993-06-18","2026-05-02","Per=Y","Days=T","Dir=V")</f>
        <v>0</v>
      </c>
      <c r="I2">
        <f>BDH("VYGR US Equity","BS_LT_BORROW","1993-06-18","2026-05-02","Per=Y","Days=T","Dir=V")</f>
        <v>0</v>
      </c>
      <c r="K2">
        <f>BDH("VYGR US Equity","BS_CASH_NEAR_CASH_ITEM","1993-06-18","2026-05-02","Per=Y","Days=T","Dir=V")</f>
        <v>0</v>
      </c>
      <c r="M2">
        <f>BDH("VYGR US Equity","BS_CUR_ASSET_REPORT","1993-06-18","2026-05-02","Per=Y","Days=T","Dir=V")</f>
        <v>0</v>
      </c>
      <c r="O2">
        <f>BDH("VYGR US Equity","BS_CUR_LIAB","1993-06-18","2026-05-02","Per=Y","Days=T","Dir=V")</f>
        <v>0</v>
      </c>
      <c r="Q2">
        <f>BDH("VYGR US Equity","BS_SHAREHOLDER_EQY_ENDING_PERIOD","1993-06-18","2026-05-02","Per=Y","Days=T","Dir=V")</f>
        <v>0</v>
      </c>
      <c r="S2">
        <f>BDH("VYGR US Equity","BS_ACCT_NOTE_RCV","1993-06-18","2026-05-02","Per=Y","Days=T","Dir=V")</f>
        <v>0</v>
      </c>
      <c r="U2">
        <f>BDH("VYGR US Equity","BS_INVENTORIES","1993-06-18","2026-05-02","Per=Y","Days=T","Dir=V")</f>
        <v>0</v>
      </c>
      <c r="W2">
        <f>BDH("VYGR US Equity","WORKING_CAPITAL","1993-06-18","2026-05-02","Per=Y","Days=T","Dir=V")</f>
        <v>0</v>
      </c>
      <c r="Y2">
        <f>BDH("VYGR US Equity","SALES_REV_TURN","1993-06-18","2026-05-02","Per=Y","Days=T","Dir=V")</f>
        <v>0</v>
      </c>
      <c r="AA2">
        <f>BDH("VYGR US Equity","EBIT","1993-06-18","2026-05-02","Per=Y","Days=T","Dir=V")</f>
        <v>0</v>
      </c>
      <c r="AC2">
        <f>BDH("VYGR US Equity","EBITDA","1993-06-18","2026-05-02","Per=Y","Days=T","Dir=V")</f>
        <v>0</v>
      </c>
      <c r="AE2">
        <f>BDH("VYGR US Equity","NET_INCOME","1993-06-18","2026-05-02","Per=Y","Days=T","Dir=V")</f>
        <v>0</v>
      </c>
      <c r="AG2">
        <f>BDH("VYGR US Equity","IS_INT_EXPENSE","1993-06-18","2026-05-02","Per=Y","Days=T","Dir=V")</f>
        <v>0</v>
      </c>
      <c r="AI2">
        <f>BDH("VYGR US Equity","IS_DEPR_EXP","1993-06-18","2026-05-02","Per=Y","Days=T","Dir=V")</f>
        <v>0</v>
      </c>
      <c r="AK2">
        <f>BDH("VYGR US Equity","CF_CASH_FROM_OPER","1993-06-18","2026-05-02","Per=Y","Days=T","Dir=V")</f>
        <v>0</v>
      </c>
      <c r="AM2">
        <f>BDH("VYGR US Equity","CAPITAL_EXPEND","1993-06-18","2026-05-02","Per=Y","Days=T","Dir=V")</f>
        <v>0</v>
      </c>
      <c r="AO2">
        <f>BDH("VYGR US Equity","CF_FREE_CASH_FLOW","1993-06-18","2026-05-02","Per=Y","Days=T","Dir=V")</f>
        <v>0</v>
      </c>
      <c r="AQ2">
        <f>BDH("VYGR US Equity","PX_LAST","1993-06-18","2026-05-02","Per=M","Days=T","Dir=V")</f>
        <v>0</v>
      </c>
      <c r="AS2">
        <f>BDH("VYGR US Equity","CUR_MKT_CAP","1993-06-18","2026-05-02","Per=M","Days=T","Dir=V")</f>
        <v>0</v>
      </c>
      <c r="AU2">
        <f>BDH("VYGR US Equity","EQY_SH_OUT","1993-06-18","2026-05-02","Per=M","Days=T","Dir=V")</f>
        <v>0</v>
      </c>
      <c r="AW2">
        <f>BDH("VYGR US Equity","PX_VOLUME","1993-06-18","2026-05-02","Per=M","Days=T","Dir=V")</f>
        <v>0</v>
      </c>
      <c r="AY2">
        <f>BDH("VYGR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BDH("VZ US Equity","BS_TOT_ASSET","1993-06-18","2026-05-02","Per=Y","Days=T","Dir=V")</f>
        <v>0</v>
      </c>
      <c r="C2">
        <f>BDH("VZ US Equity","BS_TOT_LIAB2","1993-06-18","2026-05-02","Per=Y","Days=T","Dir=V")</f>
        <v>0</v>
      </c>
      <c r="E2">
        <f>BDH("VZ US Equity","SHORT_AND_LONG_TERM_DEBT","1993-06-18","2026-05-02","Per=Y","Days=T","Dir=V")</f>
        <v>0</v>
      </c>
      <c r="G2">
        <f>BDH("VZ US Equity","BS_ST_BORROW","1993-06-18","2026-05-02","Per=Y","Days=T","Dir=V")</f>
        <v>0</v>
      </c>
      <c r="I2">
        <f>BDH("VZ US Equity","BS_LT_BORROW","1993-06-18","2026-05-02","Per=Y","Days=T","Dir=V")</f>
        <v>0</v>
      </c>
      <c r="K2">
        <f>BDH("VZ US Equity","BS_CASH_NEAR_CASH_ITEM","1993-06-18","2026-05-02","Per=Y","Days=T","Dir=V")</f>
        <v>0</v>
      </c>
      <c r="M2">
        <f>BDH("VZ US Equity","BS_CUR_ASSET_REPORT","1993-06-18","2026-05-02","Per=Y","Days=T","Dir=V")</f>
        <v>0</v>
      </c>
      <c r="O2">
        <f>BDH("VZ US Equity","BS_CUR_LIAB","1993-06-18","2026-05-02","Per=Y","Days=T","Dir=V")</f>
        <v>0</v>
      </c>
      <c r="Q2">
        <f>BDH("VZ US Equity","BS_SHAREHOLDER_EQY_ENDING_PERIOD","1993-06-18","2026-05-02","Per=Y","Days=T","Dir=V")</f>
        <v>0</v>
      </c>
      <c r="S2">
        <f>BDH("VZ US Equity","BS_ACCT_NOTE_RCV","1993-06-18","2026-05-02","Per=Y","Days=T","Dir=V")</f>
        <v>0</v>
      </c>
      <c r="U2">
        <f>BDH("VZ US Equity","BS_INVENTORIES","1993-06-18","2026-05-02","Per=Y","Days=T","Dir=V")</f>
        <v>0</v>
      </c>
      <c r="W2">
        <f>BDH("VZ US Equity","WORKING_CAPITAL","1993-06-18","2026-05-02","Per=Y","Days=T","Dir=V")</f>
        <v>0</v>
      </c>
      <c r="Y2">
        <f>BDH("VZ US Equity","SALES_REV_TURN","1993-06-18","2026-05-02","Per=Y","Days=T","Dir=V")</f>
        <v>0</v>
      </c>
      <c r="AA2">
        <f>BDH("VZ US Equity","EBIT","1993-06-18","2026-05-02","Per=Y","Days=T","Dir=V")</f>
        <v>0</v>
      </c>
      <c r="AC2">
        <f>BDH("VZ US Equity","EBITDA","1993-06-18","2026-05-02","Per=Y","Days=T","Dir=V")</f>
        <v>0</v>
      </c>
      <c r="AE2">
        <f>BDH("VZ US Equity","NET_INCOME","1993-06-18","2026-05-02","Per=Y","Days=T","Dir=V")</f>
        <v>0</v>
      </c>
      <c r="AG2">
        <f>BDH("VZ US Equity","IS_INT_EXPENSE","1993-06-18","2026-05-02","Per=Y","Days=T","Dir=V")</f>
        <v>0</v>
      </c>
      <c r="AI2">
        <f>BDH("VZ US Equity","IS_DEPR_EXP","1993-06-18","2026-05-02","Per=Y","Days=T","Dir=V")</f>
        <v>0</v>
      </c>
      <c r="AK2">
        <f>BDH("VZ US Equity","CF_CASH_FROM_OPER","1993-06-18","2026-05-02","Per=Y","Days=T","Dir=V")</f>
        <v>0</v>
      </c>
      <c r="AM2">
        <f>BDH("VZ US Equity","CAPITAL_EXPEND","1993-06-18","2026-05-02","Per=Y","Days=T","Dir=V")</f>
        <v>0</v>
      </c>
      <c r="AO2">
        <f>BDH("VZ US Equity","CF_FREE_CASH_FLOW","1993-06-18","2026-05-02","Per=Y","Days=T","Dir=V")</f>
        <v>0</v>
      </c>
      <c r="AQ2">
        <f>BDH("VZ US Equity","PX_LAST","1993-06-18","2026-05-02","Per=M","Days=T","Dir=V")</f>
        <v>0</v>
      </c>
      <c r="AS2">
        <f>BDH("VZ US Equity","CUR_MKT_CAP","1993-06-18","2026-05-02","Per=M","Days=T","Dir=V")</f>
        <v>0</v>
      </c>
      <c r="AU2">
        <f>BDH("VZ US Equity","EQY_SH_OUT","1993-06-18","2026-05-02","Per=M","Days=T","Dir=V")</f>
        <v>0</v>
      </c>
      <c r="AW2">
        <f>BDH("VZ US Equity","PX_VOLUME","1993-06-18","2026-05-02","Per=M","Days=T","Dir=V")</f>
        <v>0</v>
      </c>
      <c r="AY2">
        <f>BDH("VZ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 US Equity","BS_TOT_ASSET","1993-06-18","2026-05-02","Per=Y","Days=T","Dir=V")</f>
        <v>0</v>
      </c>
      <c r="C2">
        <f>BDH("W US Equity","BS_TOT_LIAB2","1993-06-18","2026-05-02","Per=Y","Days=T","Dir=V")</f>
        <v>0</v>
      </c>
      <c r="E2">
        <f>BDH("W US Equity","SHORT_AND_LONG_TERM_DEBT","1993-06-18","2026-05-02","Per=Y","Days=T","Dir=V")</f>
        <v>0</v>
      </c>
      <c r="G2">
        <f>BDH("W US Equity","BS_ST_BORROW","1993-06-18","2026-05-02","Per=Y","Days=T","Dir=V")</f>
        <v>0</v>
      </c>
      <c r="I2">
        <f>BDH("W US Equity","BS_LT_BORROW","1993-06-18","2026-05-02","Per=Y","Days=T","Dir=V")</f>
        <v>0</v>
      </c>
      <c r="K2">
        <f>BDH("W US Equity","BS_CASH_NEAR_CASH_ITEM","1993-06-18","2026-05-02","Per=Y","Days=T","Dir=V")</f>
        <v>0</v>
      </c>
      <c r="M2">
        <f>BDH("W US Equity","BS_CUR_ASSET_REPORT","1993-06-18","2026-05-02","Per=Y","Days=T","Dir=V")</f>
        <v>0</v>
      </c>
      <c r="O2">
        <f>BDH("W US Equity","BS_CUR_LIAB","1993-06-18","2026-05-02","Per=Y","Days=T","Dir=V")</f>
        <v>0</v>
      </c>
      <c r="Q2">
        <f>BDH("W US Equity","BS_SHAREHOLDER_EQY_ENDING_PERIOD","1993-06-18","2026-05-02","Per=Y","Days=T","Dir=V")</f>
        <v>0</v>
      </c>
      <c r="S2">
        <f>BDH("W US Equity","BS_ACCT_NOTE_RCV","1993-06-18","2026-05-02","Per=Y","Days=T","Dir=V")</f>
        <v>0</v>
      </c>
      <c r="U2">
        <f>BDH("W US Equity","BS_INVENTORIES","1993-06-18","2026-05-02","Per=Y","Days=T","Dir=V")</f>
        <v>0</v>
      </c>
      <c r="W2">
        <f>BDH("W US Equity","WORKING_CAPITAL","1993-06-18","2026-05-02","Per=Y","Days=T","Dir=V")</f>
        <v>0</v>
      </c>
      <c r="Y2">
        <f>BDH("W US Equity","SALES_REV_TURN","1993-06-18","2026-05-02","Per=Y","Days=T","Dir=V")</f>
        <v>0</v>
      </c>
      <c r="AA2">
        <f>BDH("W US Equity","EBIT","1993-06-18","2026-05-02","Per=Y","Days=T","Dir=V")</f>
        <v>0</v>
      </c>
      <c r="AC2">
        <f>BDH("W US Equity","EBITDA","1993-06-18","2026-05-02","Per=Y","Days=T","Dir=V")</f>
        <v>0</v>
      </c>
      <c r="AE2">
        <f>BDH("W US Equity","NET_INCOME","1993-06-18","2026-05-02","Per=Y","Days=T","Dir=V")</f>
        <v>0</v>
      </c>
      <c r="AG2">
        <f>BDH("W US Equity","IS_INT_EXPENSE","1993-06-18","2026-05-02","Per=Y","Days=T","Dir=V")</f>
        <v>0</v>
      </c>
      <c r="AI2">
        <f>BDH("W US Equity","IS_DEPR_EXP","1993-06-18","2026-05-02","Per=Y","Days=T","Dir=V")</f>
        <v>0</v>
      </c>
      <c r="AK2">
        <f>BDH("W US Equity","CF_CASH_FROM_OPER","1993-06-18","2026-05-02","Per=Y","Days=T","Dir=V")</f>
        <v>0</v>
      </c>
      <c r="AM2">
        <f>BDH("W US Equity","CAPITAL_EXPEND","1993-06-18","2026-05-02","Per=Y","Days=T","Dir=V")</f>
        <v>0</v>
      </c>
      <c r="AO2">
        <f>BDH("W US Equity","CF_FREE_CASH_FLOW","1993-06-18","2026-05-02","Per=Y","Days=T","Dir=V")</f>
        <v>0</v>
      </c>
      <c r="AQ2">
        <f>BDH("W US Equity","PX_LAST","1993-06-18","2026-05-02","Per=M","Days=T","Dir=V")</f>
        <v>0</v>
      </c>
      <c r="AS2">
        <f>BDH("W US Equity","CUR_MKT_CAP","1993-06-18","2026-05-02","Per=M","Days=T","Dir=V")</f>
        <v>0</v>
      </c>
      <c r="AU2">
        <f>BDH("W US Equity","EQY_SH_OUT","1993-06-18","2026-05-02","Per=M","Days=T","Dir=V")</f>
        <v>0</v>
      </c>
      <c r="AW2">
        <f>BDH("W US Equity","PX_VOLUME","1993-06-18","2026-05-02","Per=M","Days=T","Dir=V")</f>
        <v>0</v>
      </c>
      <c r="AY2">
        <f>BDH("W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BDH("WAB US Equity","BS_TOT_ASSET","1993-06-18","2026-05-02","Per=Y","Days=T","Dir=V")</f>
        <v>0</v>
      </c>
      <c r="C2">
        <f>BDH("WAB US Equity","BS_TOT_LIAB2","1993-06-18","2026-05-02","Per=Y","Days=T","Dir=V")</f>
        <v>0</v>
      </c>
      <c r="E2">
        <f>BDH("WAB US Equity","SHORT_AND_LONG_TERM_DEBT","1993-06-18","2026-05-02","Per=Y","Days=T","Dir=V")</f>
        <v>0</v>
      </c>
      <c r="G2">
        <f>BDH("WAB US Equity","BS_ST_BORROW","1993-06-18","2026-05-02","Per=Y","Days=T","Dir=V")</f>
        <v>0</v>
      </c>
      <c r="I2">
        <f>BDH("WAB US Equity","BS_LT_BORROW","1993-06-18","2026-05-02","Per=Y","Days=T","Dir=V")</f>
        <v>0</v>
      </c>
      <c r="K2">
        <f>BDH("WAB US Equity","BS_CASH_NEAR_CASH_ITEM","1993-06-18","2026-05-02","Per=Y","Days=T","Dir=V")</f>
        <v>0</v>
      </c>
      <c r="M2">
        <f>BDH("WAB US Equity","BS_CUR_ASSET_REPORT","1993-06-18","2026-05-02","Per=Y","Days=T","Dir=V")</f>
        <v>0</v>
      </c>
      <c r="O2">
        <f>BDH("WAB US Equity","BS_CUR_LIAB","1993-06-18","2026-05-02","Per=Y","Days=T","Dir=V")</f>
        <v>0</v>
      </c>
      <c r="Q2">
        <f>BDH("WAB US Equity","BS_SHAREHOLDER_EQY_ENDING_PERIOD","1993-06-18","2026-05-02","Per=Y","Days=T","Dir=V")</f>
        <v>0</v>
      </c>
      <c r="S2">
        <f>BDH("WAB US Equity","BS_ACCT_NOTE_RCV","1993-06-18","2026-05-02","Per=Y","Days=T","Dir=V")</f>
        <v>0</v>
      </c>
      <c r="U2">
        <f>BDH("WAB US Equity","BS_INVENTORIES","1993-06-18","2026-05-02","Per=Y","Days=T","Dir=V")</f>
        <v>0</v>
      </c>
      <c r="W2">
        <f>BDH("WAB US Equity","WORKING_CAPITAL","1993-06-18","2026-05-02","Per=Y","Days=T","Dir=V")</f>
        <v>0</v>
      </c>
      <c r="Y2">
        <f>BDH("WAB US Equity","SALES_REV_TURN","1993-06-18","2026-05-02","Per=Y","Days=T","Dir=V")</f>
        <v>0</v>
      </c>
      <c r="AA2">
        <f>BDH("WAB US Equity","EBIT","1993-06-18","2026-05-02","Per=Y","Days=T","Dir=V")</f>
        <v>0</v>
      </c>
      <c r="AC2">
        <f>BDH("WAB US Equity","EBITDA","1993-06-18","2026-05-02","Per=Y","Days=T","Dir=V")</f>
        <v>0</v>
      </c>
      <c r="AE2">
        <f>BDH("WAB US Equity","NET_INCOME","1993-06-18","2026-05-02","Per=Y","Days=T","Dir=V")</f>
        <v>0</v>
      </c>
      <c r="AG2">
        <f>BDH("WAB US Equity","IS_INT_EXPENSE","1993-06-18","2026-05-02","Per=Y","Days=T","Dir=V")</f>
        <v>0</v>
      </c>
      <c r="AI2">
        <f>BDH("WAB US Equity","IS_DEPR_EXP","1993-06-18","2026-05-02","Per=Y","Days=T","Dir=V")</f>
        <v>0</v>
      </c>
      <c r="AK2">
        <f>BDH("WAB US Equity","CF_CASH_FROM_OPER","1993-06-18","2026-05-02","Per=Y","Days=T","Dir=V")</f>
        <v>0</v>
      </c>
      <c r="AM2">
        <f>BDH("WAB US Equity","CAPITAL_EXPEND","1993-06-18","2026-05-02","Per=Y","Days=T","Dir=V")</f>
        <v>0</v>
      </c>
      <c r="AO2">
        <f>BDH("WAB US Equity","CF_FREE_CASH_FLOW","1993-06-18","2026-05-02","Per=Y","Days=T","Dir=V")</f>
        <v>0</v>
      </c>
      <c r="AQ2">
        <f>BDH("WAB US Equity","PX_LAST","1993-06-18","2026-05-02","Per=M","Days=T","Dir=V")</f>
        <v>0</v>
      </c>
      <c r="AS2">
        <f>BDH("WAB US Equity","CUR_MKT_CAP","1993-06-18","2026-05-02","Per=M","Days=T","Dir=V")</f>
        <v>0</v>
      </c>
      <c r="AU2">
        <f>BDH("WAB US Equity","EQY_SH_OUT","1993-06-18","2026-05-02","Per=M","Days=T","Dir=V")</f>
        <v>0</v>
      </c>
      <c r="AW2">
        <f>BDH("WAB US Equity","PX_VOLUME","1993-06-18","2026-05-02","Per=M","Days=T","Dir=V")</f>
        <v>0</v>
      </c>
      <c r="AY2">
        <f>BDH("WAB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BDH("WALD US Equity","BS_TOT_ASSET","1993-06-18","2026-05-02","Per=Y","Days=T","Dir=V")</f>
        <v>0</v>
      </c>
      <c r="C2">
        <f>BDH("WALD US Equity","BS_TOT_LIAB2","1993-06-18","2026-05-02","Per=Y","Days=T","Dir=V")</f>
        <v>0</v>
      </c>
      <c r="E2">
        <f>BDH("WALD US Equity","SHORT_AND_LONG_TERM_DEBT","1993-06-18","2026-05-02","Per=Y","Days=T","Dir=V")</f>
        <v>0</v>
      </c>
      <c r="G2">
        <f>BDH("WALD US Equity","BS_ST_BORROW","1993-06-18","2026-05-02","Per=Y","Days=T","Dir=V")</f>
        <v>0</v>
      </c>
      <c r="I2">
        <f>BDH("WALD US Equity","BS_LT_BORROW","1993-06-18","2026-05-02","Per=Y","Days=T","Dir=V")</f>
        <v>0</v>
      </c>
      <c r="K2">
        <f>BDH("WALD US Equity","BS_CASH_NEAR_CASH_ITEM","1993-06-18","2026-05-02","Per=Y","Days=T","Dir=V")</f>
        <v>0</v>
      </c>
      <c r="M2">
        <f>BDH("WALD US Equity","BS_CUR_ASSET_REPORT","1993-06-18","2026-05-02","Per=Y","Days=T","Dir=V")</f>
        <v>0</v>
      </c>
      <c r="O2">
        <f>BDH("WALD US Equity","BS_CUR_LIAB","1993-06-18","2026-05-02","Per=Y","Days=T","Dir=V")</f>
        <v>0</v>
      </c>
      <c r="Q2">
        <f>BDH("WALD US Equity","BS_SHAREHOLDER_EQY_ENDING_PERIOD","1993-06-18","2026-05-02","Per=Y","Days=T","Dir=V")</f>
        <v>0</v>
      </c>
      <c r="S2">
        <f>BDH("WALD US Equity","BS_ACCT_NOTE_RCV","1993-06-18","2026-05-02","Per=Y","Days=T","Dir=V")</f>
        <v>0</v>
      </c>
      <c r="U2">
        <f>BDH("WALD US Equity","BS_INVENTORIES","1993-06-18","2026-05-02","Per=Y","Days=T","Dir=V")</f>
        <v>0</v>
      </c>
      <c r="W2">
        <f>BDH("WALD US Equity","WORKING_CAPITAL","1993-06-18","2026-05-02","Per=Y","Days=T","Dir=V")</f>
        <v>0</v>
      </c>
      <c r="Y2">
        <f>BDH("WALD US Equity","SALES_REV_TURN","1993-06-18","2026-05-02","Per=Y","Days=T","Dir=V")</f>
        <v>0</v>
      </c>
      <c r="AA2">
        <f>BDH("WALD US Equity","EBIT","1993-06-18","2026-05-02","Per=Y","Days=T","Dir=V")</f>
        <v>0</v>
      </c>
      <c r="AC2">
        <f>BDH("WALD US Equity","EBITDA","1993-06-18","2026-05-02","Per=Y","Days=T","Dir=V")</f>
        <v>0</v>
      </c>
      <c r="AE2">
        <f>BDH("WALD US Equity","NET_INCOME","1993-06-18","2026-05-02","Per=Y","Days=T","Dir=V")</f>
        <v>0</v>
      </c>
      <c r="AG2">
        <f>BDH("WALD US Equity","IS_INT_EXPENSE","1993-06-18","2026-05-02","Per=Y","Days=T","Dir=V")</f>
        <v>0</v>
      </c>
      <c r="AI2">
        <f>BDH("WALD US Equity","IS_DEPR_EXP","1993-06-18","2026-05-02","Per=Y","Days=T","Dir=V")</f>
        <v>0</v>
      </c>
      <c r="AK2">
        <f>BDH("WALD US Equity","CF_CASH_FROM_OPER","1993-06-18","2026-05-02","Per=Y","Days=T","Dir=V")</f>
        <v>0</v>
      </c>
      <c r="AM2">
        <f>BDH("WALD US Equity","CAPITAL_EXPEND","1993-06-18","2026-05-02","Per=Y","Days=T","Dir=V")</f>
        <v>0</v>
      </c>
      <c r="AO2">
        <f>BDH("WALD US Equity","CF_FREE_CASH_FLOW","1993-06-18","2026-05-02","Per=Y","Days=T","Dir=V")</f>
        <v>0</v>
      </c>
      <c r="AQ2">
        <f>BDH("WALD US Equity","PX_LAST","1993-06-18","2026-05-02","Per=M","Days=T","Dir=V")</f>
        <v>0</v>
      </c>
      <c r="AS2">
        <f>BDH("WALD US Equity","CUR_MKT_CAP","1993-06-18","2026-05-02","Per=M","Days=T","Dir=V")</f>
        <v>0</v>
      </c>
      <c r="AU2">
        <f>BDH("WALD US Equity","EQY_SH_OUT","1993-06-18","2026-05-02","Per=M","Days=T","Dir=V")</f>
        <v>0</v>
      </c>
      <c r="AW2">
        <f>BDH("WALD US Equity","PX_VOLUME","1993-06-18","2026-05-02","Per=M","Days=T","Dir=V")</f>
        <v>0</v>
      </c>
      <c r="AY2">
        <f>BDH("WALD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BDH("WALDW US Equity","BS_TOT_ASSET","1993-06-18","2026-05-02","Per=Y","Days=T","Dir=V")</f>
        <v>0</v>
      </c>
      <c r="C2">
        <f>BDH("WALDW US Equity","BS_TOT_LIAB2","1993-06-18","2026-05-02","Per=Y","Days=T","Dir=V")</f>
        <v>0</v>
      </c>
      <c r="E2">
        <f>BDH("WALDW US Equity","SHORT_AND_LONG_TERM_DEBT","1993-06-18","2026-05-02","Per=Y","Days=T","Dir=V")</f>
        <v>0</v>
      </c>
      <c r="G2">
        <f>BDH("WALDW US Equity","BS_ST_BORROW","1993-06-18","2026-05-02","Per=Y","Days=T","Dir=V")</f>
        <v>0</v>
      </c>
      <c r="I2">
        <f>BDH("WALDW US Equity","BS_LT_BORROW","1993-06-18","2026-05-02","Per=Y","Days=T","Dir=V")</f>
        <v>0</v>
      </c>
      <c r="K2">
        <f>BDH("WALDW US Equity","BS_CASH_NEAR_CASH_ITEM","1993-06-18","2026-05-02","Per=Y","Days=T","Dir=V")</f>
        <v>0</v>
      </c>
      <c r="M2">
        <f>BDH("WALDW US Equity","BS_CUR_ASSET_REPORT","1993-06-18","2026-05-02","Per=Y","Days=T","Dir=V")</f>
        <v>0</v>
      </c>
      <c r="O2">
        <f>BDH("WALDW US Equity","BS_CUR_LIAB","1993-06-18","2026-05-02","Per=Y","Days=T","Dir=V")</f>
        <v>0</v>
      </c>
      <c r="Q2">
        <f>BDH("WALDW US Equity","BS_SHAREHOLDER_EQY_ENDING_PERIOD","1993-06-18","2026-05-02","Per=Y","Days=T","Dir=V")</f>
        <v>0</v>
      </c>
      <c r="S2">
        <f>BDH("WALDW US Equity","BS_ACCT_NOTE_RCV","1993-06-18","2026-05-02","Per=Y","Days=T","Dir=V")</f>
        <v>0</v>
      </c>
      <c r="U2">
        <f>BDH("WALDW US Equity","BS_INVENTORIES","1993-06-18","2026-05-02","Per=Y","Days=T","Dir=V")</f>
        <v>0</v>
      </c>
      <c r="W2">
        <f>BDH("WALDW US Equity","WORKING_CAPITAL","1993-06-18","2026-05-02","Per=Y","Days=T","Dir=V")</f>
        <v>0</v>
      </c>
      <c r="Y2">
        <f>BDH("WALDW US Equity","SALES_REV_TURN","1993-06-18","2026-05-02","Per=Y","Days=T","Dir=V")</f>
        <v>0</v>
      </c>
      <c r="AA2">
        <f>BDH("WALDW US Equity","EBIT","1993-06-18","2026-05-02","Per=Y","Days=T","Dir=V")</f>
        <v>0</v>
      </c>
      <c r="AC2">
        <f>BDH("WALDW US Equity","EBITDA","1993-06-18","2026-05-02","Per=Y","Days=T","Dir=V")</f>
        <v>0</v>
      </c>
      <c r="AE2">
        <f>BDH("WALDW US Equity","NET_INCOME","1993-06-18","2026-05-02","Per=Y","Days=T","Dir=V")</f>
        <v>0</v>
      </c>
      <c r="AG2">
        <f>BDH("WALDW US Equity","IS_INT_EXPENSE","1993-06-18","2026-05-02","Per=Y","Days=T","Dir=V")</f>
        <v>0</v>
      </c>
      <c r="AI2">
        <f>BDH("WALDW US Equity","IS_DEPR_EXP","1993-06-18","2026-05-02","Per=Y","Days=T","Dir=V")</f>
        <v>0</v>
      </c>
      <c r="AK2">
        <f>BDH("WALDW US Equity","CF_CASH_FROM_OPER","1993-06-18","2026-05-02","Per=Y","Days=T","Dir=V")</f>
        <v>0</v>
      </c>
      <c r="AM2">
        <f>BDH("WALDW US Equity","CAPITAL_EXPEND","1993-06-18","2026-05-02","Per=Y","Days=T","Dir=V")</f>
        <v>0</v>
      </c>
      <c r="AO2">
        <f>BDH("WALDW US Equity","CF_FREE_CASH_FLOW","1993-06-18","2026-05-02","Per=Y","Days=T","Dir=V")</f>
        <v>0</v>
      </c>
      <c r="AQ2">
        <f>BDH("WALDW US Equity","PX_LAST","1993-06-18","2026-05-02","Per=M","Days=T","Dir=V")</f>
        <v>0</v>
      </c>
      <c r="AS2">
        <f>BDH("WALDW US Equity","CUR_MKT_CAP","1993-06-18","2026-05-02","Per=M","Days=T","Dir=V")</f>
        <v>0</v>
      </c>
      <c r="AU2">
        <f>BDH("WALDW US Equity","EQY_SH_OUT","1993-06-18","2026-05-02","Per=M","Days=T","Dir=V")</f>
        <v>0</v>
      </c>
      <c r="AW2">
        <f>BDH("WALDW US Equity","PX_VOLUME","1993-06-18","2026-05-02","Per=M","Days=T","Dir=V")</f>
        <v>0</v>
      </c>
      <c r="AY2">
        <f>BDH("WALDW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BDH("WAT US Equity","BS_TOT_ASSET","1993-06-18","2026-05-02","Per=Y","Days=T","Dir=V")</f>
        <v>0</v>
      </c>
      <c r="C2">
        <f>BDH("WAT US Equity","BS_TOT_LIAB2","1993-06-18","2026-05-02","Per=Y","Days=T","Dir=V")</f>
        <v>0</v>
      </c>
      <c r="E2">
        <f>BDH("WAT US Equity","SHORT_AND_LONG_TERM_DEBT","1993-06-18","2026-05-02","Per=Y","Days=T","Dir=V")</f>
        <v>0</v>
      </c>
      <c r="G2">
        <f>BDH("WAT US Equity","BS_ST_BORROW","1993-06-18","2026-05-02","Per=Y","Days=T","Dir=V")</f>
        <v>0</v>
      </c>
      <c r="I2">
        <f>BDH("WAT US Equity","BS_LT_BORROW","1993-06-18","2026-05-02","Per=Y","Days=T","Dir=V")</f>
        <v>0</v>
      </c>
      <c r="K2">
        <f>BDH("WAT US Equity","BS_CASH_NEAR_CASH_ITEM","1993-06-18","2026-05-02","Per=Y","Days=T","Dir=V")</f>
        <v>0</v>
      </c>
      <c r="M2">
        <f>BDH("WAT US Equity","BS_CUR_ASSET_REPORT","1993-06-18","2026-05-02","Per=Y","Days=T","Dir=V")</f>
        <v>0</v>
      </c>
      <c r="O2">
        <f>BDH("WAT US Equity","BS_CUR_LIAB","1993-06-18","2026-05-02","Per=Y","Days=T","Dir=V")</f>
        <v>0</v>
      </c>
      <c r="Q2">
        <f>BDH("WAT US Equity","BS_SHAREHOLDER_EQY_ENDING_PERIOD","1993-06-18","2026-05-02","Per=Y","Days=T","Dir=V")</f>
        <v>0</v>
      </c>
      <c r="S2">
        <f>BDH("WAT US Equity","BS_ACCT_NOTE_RCV","1993-06-18","2026-05-02","Per=Y","Days=T","Dir=V")</f>
        <v>0</v>
      </c>
      <c r="U2">
        <f>BDH("WAT US Equity","BS_INVENTORIES","1993-06-18","2026-05-02","Per=Y","Days=T","Dir=V")</f>
        <v>0</v>
      </c>
      <c r="W2">
        <f>BDH("WAT US Equity","WORKING_CAPITAL","1993-06-18","2026-05-02","Per=Y","Days=T","Dir=V")</f>
        <v>0</v>
      </c>
      <c r="Y2">
        <f>BDH("WAT US Equity","SALES_REV_TURN","1993-06-18","2026-05-02","Per=Y","Days=T","Dir=V")</f>
        <v>0</v>
      </c>
      <c r="AA2">
        <f>BDH("WAT US Equity","EBIT","1993-06-18","2026-05-02","Per=Y","Days=T","Dir=V")</f>
        <v>0</v>
      </c>
      <c r="AC2">
        <f>BDH("WAT US Equity","EBITDA","1993-06-18","2026-05-02","Per=Y","Days=T","Dir=V")</f>
        <v>0</v>
      </c>
      <c r="AE2">
        <f>BDH("WAT US Equity","NET_INCOME","1993-06-18","2026-05-02","Per=Y","Days=T","Dir=V")</f>
        <v>0</v>
      </c>
      <c r="AG2">
        <f>BDH("WAT US Equity","IS_INT_EXPENSE","1993-06-18","2026-05-02","Per=Y","Days=T","Dir=V")</f>
        <v>0</v>
      </c>
      <c r="AI2">
        <f>BDH("WAT US Equity","IS_DEPR_EXP","1993-06-18","2026-05-02","Per=Y","Days=T","Dir=V")</f>
        <v>0</v>
      </c>
      <c r="AK2">
        <f>BDH("WAT US Equity","CF_CASH_FROM_OPER","1993-06-18","2026-05-02","Per=Y","Days=T","Dir=V")</f>
        <v>0</v>
      </c>
      <c r="AM2">
        <f>BDH("WAT US Equity","CAPITAL_EXPEND","1993-06-18","2026-05-02","Per=Y","Days=T","Dir=V")</f>
        <v>0</v>
      </c>
      <c r="AO2">
        <f>BDH("WAT US Equity","CF_FREE_CASH_FLOW","1993-06-18","2026-05-02","Per=Y","Days=T","Dir=V")</f>
        <v>0</v>
      </c>
      <c r="AQ2">
        <f>BDH("WAT US Equity","PX_LAST","1993-06-18","2026-05-02","Per=M","Days=T","Dir=V")</f>
        <v>0</v>
      </c>
      <c r="AS2">
        <f>BDH("WAT US Equity","CUR_MKT_CAP","1993-06-18","2026-05-02","Per=M","Days=T","Dir=V")</f>
        <v>0</v>
      </c>
      <c r="AU2">
        <f>BDH("WAT US Equity","EQY_SH_OUT","1993-06-18","2026-05-02","Per=M","Days=T","Dir=V")</f>
        <v>0</v>
      </c>
      <c r="AW2">
        <f>BDH("WAT US Equity","PX_VOLUME","1993-06-18","2026-05-02","Per=M","Days=T","Dir=V")</f>
        <v>0</v>
      </c>
      <c r="AY2">
        <f>BDH("WAT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BDH("WATT US Equity","BS_TOT_ASSET","1993-06-18","2026-05-02","Per=Y","Days=T","Dir=V")</f>
        <v>0</v>
      </c>
      <c r="C2">
        <f>BDH("WATT US Equity","BS_TOT_LIAB2","1993-06-18","2026-05-02","Per=Y","Days=T","Dir=V")</f>
        <v>0</v>
      </c>
      <c r="E2">
        <f>BDH("WATT US Equity","SHORT_AND_LONG_TERM_DEBT","1993-06-18","2026-05-02","Per=Y","Days=T","Dir=V")</f>
        <v>0</v>
      </c>
      <c r="G2">
        <f>BDH("WATT US Equity","BS_ST_BORROW","1993-06-18","2026-05-02","Per=Y","Days=T","Dir=V")</f>
        <v>0</v>
      </c>
      <c r="I2">
        <f>BDH("WATT US Equity","BS_LT_BORROW","1993-06-18","2026-05-02","Per=Y","Days=T","Dir=V")</f>
        <v>0</v>
      </c>
      <c r="K2">
        <f>BDH("WATT US Equity","BS_CASH_NEAR_CASH_ITEM","1993-06-18","2026-05-02","Per=Y","Days=T","Dir=V")</f>
        <v>0</v>
      </c>
      <c r="M2">
        <f>BDH("WATT US Equity","BS_CUR_ASSET_REPORT","1993-06-18","2026-05-02","Per=Y","Days=T","Dir=V")</f>
        <v>0</v>
      </c>
      <c r="O2">
        <f>BDH("WATT US Equity","BS_CUR_LIAB","1993-06-18","2026-05-02","Per=Y","Days=T","Dir=V")</f>
        <v>0</v>
      </c>
      <c r="Q2">
        <f>BDH("WATT US Equity","BS_SHAREHOLDER_EQY_ENDING_PERIOD","1993-06-18","2026-05-02","Per=Y","Days=T","Dir=V")</f>
        <v>0</v>
      </c>
      <c r="S2">
        <f>BDH("WATT US Equity","BS_ACCT_NOTE_RCV","1993-06-18","2026-05-02","Per=Y","Days=T","Dir=V")</f>
        <v>0</v>
      </c>
      <c r="U2">
        <f>BDH("WATT US Equity","BS_INVENTORIES","1993-06-18","2026-05-02","Per=Y","Days=T","Dir=V")</f>
        <v>0</v>
      </c>
      <c r="W2">
        <f>BDH("WATT US Equity","WORKING_CAPITAL","1993-06-18","2026-05-02","Per=Y","Days=T","Dir=V")</f>
        <v>0</v>
      </c>
      <c r="Y2">
        <f>BDH("WATT US Equity","SALES_REV_TURN","1993-06-18","2026-05-02","Per=Y","Days=T","Dir=V")</f>
        <v>0</v>
      </c>
      <c r="AA2">
        <f>BDH("WATT US Equity","EBIT","1993-06-18","2026-05-02","Per=Y","Days=T","Dir=V")</f>
        <v>0</v>
      </c>
      <c r="AC2">
        <f>BDH("WATT US Equity","EBITDA","1993-06-18","2026-05-02","Per=Y","Days=T","Dir=V")</f>
        <v>0</v>
      </c>
      <c r="AE2">
        <f>BDH("WATT US Equity","NET_INCOME","1993-06-18","2026-05-02","Per=Y","Days=T","Dir=V")</f>
        <v>0</v>
      </c>
      <c r="AG2">
        <f>BDH("WATT US Equity","IS_INT_EXPENSE","1993-06-18","2026-05-02","Per=Y","Days=T","Dir=V")</f>
        <v>0</v>
      </c>
      <c r="AI2">
        <f>BDH("WATT US Equity","IS_DEPR_EXP","1993-06-18","2026-05-02","Per=Y","Days=T","Dir=V")</f>
        <v>0</v>
      </c>
      <c r="AK2">
        <f>BDH("WATT US Equity","CF_CASH_FROM_OPER","1993-06-18","2026-05-02","Per=Y","Days=T","Dir=V")</f>
        <v>0</v>
      </c>
      <c r="AM2">
        <f>BDH("WATT US Equity","CAPITAL_EXPEND","1993-06-18","2026-05-02","Per=Y","Days=T","Dir=V")</f>
        <v>0</v>
      </c>
      <c r="AO2">
        <f>BDH("WATT US Equity","CF_FREE_CASH_FLOW","1993-06-18","2026-05-02","Per=Y","Days=T","Dir=V")</f>
        <v>0</v>
      </c>
      <c r="AQ2">
        <f>BDH("WATT US Equity","PX_LAST","1993-06-18","2026-05-02","Per=M","Days=T","Dir=V")</f>
        <v>0</v>
      </c>
      <c r="AS2">
        <f>BDH("WATT US Equity","CUR_MKT_CAP","1993-06-18","2026-05-02","Per=M","Days=T","Dir=V")</f>
        <v>0</v>
      </c>
      <c r="AU2">
        <f>BDH("WATT US Equity","EQY_SH_OUT","1993-06-18","2026-05-02","Per=M","Days=T","Dir=V")</f>
        <v>0</v>
      </c>
      <c r="AW2">
        <f>BDH("WATT US Equity","PX_VOLUME","1993-06-18","2026-05-02","Per=M","Days=T","Dir=V")</f>
        <v>0</v>
      </c>
      <c r="AY2">
        <f>BDH("WATT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BDH("WAY US Equity","BS_TOT_ASSET","1993-06-18","2026-05-02","Per=Y","Days=T","Dir=V")</f>
        <v>0</v>
      </c>
      <c r="C2">
        <f>BDH("WAY US Equity","BS_TOT_LIAB2","1993-06-18","2026-05-02","Per=Y","Days=T","Dir=V")</f>
        <v>0</v>
      </c>
      <c r="E2">
        <f>BDH("WAY US Equity","SHORT_AND_LONG_TERM_DEBT","1993-06-18","2026-05-02","Per=Y","Days=T","Dir=V")</f>
        <v>0</v>
      </c>
      <c r="G2">
        <f>BDH("WAY US Equity","BS_ST_BORROW","1993-06-18","2026-05-02","Per=Y","Days=T","Dir=V")</f>
        <v>0</v>
      </c>
      <c r="I2">
        <f>BDH("WAY US Equity","BS_LT_BORROW","1993-06-18","2026-05-02","Per=Y","Days=T","Dir=V")</f>
        <v>0</v>
      </c>
      <c r="K2">
        <f>BDH("WAY US Equity","BS_CASH_NEAR_CASH_ITEM","1993-06-18","2026-05-02","Per=Y","Days=T","Dir=V")</f>
        <v>0</v>
      </c>
      <c r="M2">
        <f>BDH("WAY US Equity","BS_CUR_ASSET_REPORT","1993-06-18","2026-05-02","Per=Y","Days=T","Dir=V")</f>
        <v>0</v>
      </c>
      <c r="O2">
        <f>BDH("WAY US Equity","BS_CUR_LIAB","1993-06-18","2026-05-02","Per=Y","Days=T","Dir=V")</f>
        <v>0</v>
      </c>
      <c r="Q2">
        <f>BDH("WAY US Equity","BS_SHAREHOLDER_EQY_ENDING_PERIOD","1993-06-18","2026-05-02","Per=Y","Days=T","Dir=V")</f>
        <v>0</v>
      </c>
      <c r="S2">
        <f>BDH("WAY US Equity","BS_ACCT_NOTE_RCV","1993-06-18","2026-05-02","Per=Y","Days=T","Dir=V")</f>
        <v>0</v>
      </c>
      <c r="U2">
        <f>BDH("WAY US Equity","BS_INVENTORIES","1993-06-18","2026-05-02","Per=Y","Days=T","Dir=V")</f>
        <v>0</v>
      </c>
      <c r="W2">
        <f>BDH("WAY US Equity","WORKING_CAPITAL","1993-06-18","2026-05-02","Per=Y","Days=T","Dir=V")</f>
        <v>0</v>
      </c>
      <c r="Y2">
        <f>BDH("WAY US Equity","SALES_REV_TURN","1993-06-18","2026-05-02","Per=Y","Days=T","Dir=V")</f>
        <v>0</v>
      </c>
      <c r="AA2">
        <f>BDH("WAY US Equity","EBIT","1993-06-18","2026-05-02","Per=Y","Days=T","Dir=V")</f>
        <v>0</v>
      </c>
      <c r="AC2">
        <f>BDH("WAY US Equity","EBITDA","1993-06-18","2026-05-02","Per=Y","Days=T","Dir=V")</f>
        <v>0</v>
      </c>
      <c r="AE2">
        <f>BDH("WAY US Equity","NET_INCOME","1993-06-18","2026-05-02","Per=Y","Days=T","Dir=V")</f>
        <v>0</v>
      </c>
      <c r="AG2">
        <f>BDH("WAY US Equity","IS_INT_EXPENSE","1993-06-18","2026-05-02","Per=Y","Days=T","Dir=V")</f>
        <v>0</v>
      </c>
      <c r="AI2">
        <f>BDH("WAY US Equity","IS_DEPR_EXP","1993-06-18","2026-05-02","Per=Y","Days=T","Dir=V")</f>
        <v>0</v>
      </c>
      <c r="AK2">
        <f>BDH("WAY US Equity","CF_CASH_FROM_OPER","1993-06-18","2026-05-02","Per=Y","Days=T","Dir=V")</f>
        <v>0</v>
      </c>
      <c r="AM2">
        <f>BDH("WAY US Equity","CAPITAL_EXPEND","1993-06-18","2026-05-02","Per=Y","Days=T","Dir=V")</f>
        <v>0</v>
      </c>
      <c r="AO2">
        <f>BDH("WAY US Equity","CF_FREE_CASH_FLOW","1993-06-18","2026-05-02","Per=Y","Days=T","Dir=V")</f>
        <v>0</v>
      </c>
      <c r="AQ2">
        <f>BDH("WAY US Equity","PX_LAST","1993-06-18","2026-05-02","Per=M","Days=T","Dir=V")</f>
        <v>0</v>
      </c>
      <c r="AS2">
        <f>BDH("WAY US Equity","CUR_MKT_CAP","1993-06-18","2026-05-02","Per=M","Days=T","Dir=V")</f>
        <v>0</v>
      </c>
      <c r="AU2">
        <f>BDH("WAY US Equity","EQY_SH_OUT","1993-06-18","2026-05-02","Per=M","Days=T","Dir=V")</f>
        <v>0</v>
      </c>
      <c r="AW2">
        <f>BDH("WAY US Equity","PX_VOLUME","1993-06-18","2026-05-02","Per=M","Days=T","Dir=V")</f>
        <v>0</v>
      </c>
      <c r="AY2">
        <f>BDH("WAY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BDH("WBD US Equity","BS_TOT_ASSET","1993-06-18","2026-05-02","Per=Y","Days=T","Dir=V")</f>
        <v>0</v>
      </c>
      <c r="C2">
        <f>BDH("WBD US Equity","BS_TOT_LIAB2","1993-06-18","2026-05-02","Per=Y","Days=T","Dir=V")</f>
        <v>0</v>
      </c>
      <c r="E2">
        <f>BDH("WBD US Equity","SHORT_AND_LONG_TERM_DEBT","1993-06-18","2026-05-02","Per=Y","Days=T","Dir=V")</f>
        <v>0</v>
      </c>
      <c r="G2">
        <f>BDH("WBD US Equity","BS_ST_BORROW","1993-06-18","2026-05-02","Per=Y","Days=T","Dir=V")</f>
        <v>0</v>
      </c>
      <c r="I2">
        <f>BDH("WBD US Equity","BS_LT_BORROW","1993-06-18","2026-05-02","Per=Y","Days=T","Dir=V")</f>
        <v>0</v>
      </c>
      <c r="K2">
        <f>BDH("WBD US Equity","BS_CASH_NEAR_CASH_ITEM","1993-06-18","2026-05-02","Per=Y","Days=T","Dir=V")</f>
        <v>0</v>
      </c>
      <c r="M2">
        <f>BDH("WBD US Equity","BS_CUR_ASSET_REPORT","1993-06-18","2026-05-02","Per=Y","Days=T","Dir=V")</f>
        <v>0</v>
      </c>
      <c r="O2">
        <f>BDH("WBD US Equity","BS_CUR_LIAB","1993-06-18","2026-05-02","Per=Y","Days=T","Dir=V")</f>
        <v>0</v>
      </c>
      <c r="Q2">
        <f>BDH("WBD US Equity","BS_SHAREHOLDER_EQY_ENDING_PERIOD","1993-06-18","2026-05-02","Per=Y","Days=T","Dir=V")</f>
        <v>0</v>
      </c>
      <c r="S2">
        <f>BDH("WBD US Equity","BS_ACCT_NOTE_RCV","1993-06-18","2026-05-02","Per=Y","Days=T","Dir=V")</f>
        <v>0</v>
      </c>
      <c r="U2">
        <f>BDH("WBD US Equity","BS_INVENTORIES","1993-06-18","2026-05-02","Per=Y","Days=T","Dir=V")</f>
        <v>0</v>
      </c>
      <c r="W2">
        <f>BDH("WBD US Equity","WORKING_CAPITAL","1993-06-18","2026-05-02","Per=Y","Days=T","Dir=V")</f>
        <v>0</v>
      </c>
      <c r="Y2">
        <f>BDH("WBD US Equity","SALES_REV_TURN","1993-06-18","2026-05-02","Per=Y","Days=T","Dir=V")</f>
        <v>0</v>
      </c>
      <c r="AA2">
        <f>BDH("WBD US Equity","EBIT","1993-06-18","2026-05-02","Per=Y","Days=T","Dir=V")</f>
        <v>0</v>
      </c>
      <c r="AC2">
        <f>BDH("WBD US Equity","EBITDA","1993-06-18","2026-05-02","Per=Y","Days=T","Dir=V")</f>
        <v>0</v>
      </c>
      <c r="AE2">
        <f>BDH("WBD US Equity","NET_INCOME","1993-06-18","2026-05-02","Per=Y","Days=T","Dir=V")</f>
        <v>0</v>
      </c>
      <c r="AG2">
        <f>BDH("WBD US Equity","IS_INT_EXPENSE","1993-06-18","2026-05-02","Per=Y","Days=T","Dir=V")</f>
        <v>0</v>
      </c>
      <c r="AI2">
        <f>BDH("WBD US Equity","IS_DEPR_EXP","1993-06-18","2026-05-02","Per=Y","Days=T","Dir=V")</f>
        <v>0</v>
      </c>
      <c r="AK2">
        <f>BDH("WBD US Equity","CF_CASH_FROM_OPER","1993-06-18","2026-05-02","Per=Y","Days=T","Dir=V")</f>
        <v>0</v>
      </c>
      <c r="AM2">
        <f>BDH("WBD US Equity","CAPITAL_EXPEND","1993-06-18","2026-05-02","Per=Y","Days=T","Dir=V")</f>
        <v>0</v>
      </c>
      <c r="AO2">
        <f>BDH("WBD US Equity","CF_FREE_CASH_FLOW","1993-06-18","2026-05-02","Per=Y","Days=T","Dir=V")</f>
        <v>0</v>
      </c>
      <c r="AQ2">
        <f>BDH("WBD US Equity","PX_LAST","1993-06-18","2026-05-02","Per=M","Days=T","Dir=V")</f>
        <v>0</v>
      </c>
      <c r="AS2">
        <f>BDH("WBD US Equity","CUR_MKT_CAP","1993-06-18","2026-05-02","Per=M","Days=T","Dir=V")</f>
        <v>0</v>
      </c>
      <c r="AU2">
        <f>BDH("WBD US Equity","EQY_SH_OUT","1993-06-18","2026-05-02","Per=M","Days=T","Dir=V")</f>
        <v>0</v>
      </c>
      <c r="AW2">
        <f>BDH("WBD US Equity","PX_VOLUME","1993-06-18","2026-05-02","Per=M","Days=T","Dir=V")</f>
        <v>0</v>
      </c>
      <c r="AY2">
        <f>BDH("WBD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BDH("WBTN US Equity","BS_TOT_ASSET","1993-06-18","2026-05-02","Per=Y","Days=T","Dir=V")</f>
        <v>0</v>
      </c>
      <c r="C2">
        <f>BDH("WBTN US Equity","BS_TOT_LIAB2","1993-06-18","2026-05-02","Per=Y","Days=T","Dir=V")</f>
        <v>0</v>
      </c>
      <c r="E2">
        <f>BDH("WBTN US Equity","SHORT_AND_LONG_TERM_DEBT","1993-06-18","2026-05-02","Per=Y","Days=T","Dir=V")</f>
        <v>0</v>
      </c>
      <c r="G2">
        <f>BDH("WBTN US Equity","BS_ST_BORROW","1993-06-18","2026-05-02","Per=Y","Days=T","Dir=V")</f>
        <v>0</v>
      </c>
      <c r="I2">
        <f>BDH("WBTN US Equity","BS_LT_BORROW","1993-06-18","2026-05-02","Per=Y","Days=T","Dir=V")</f>
        <v>0</v>
      </c>
      <c r="K2">
        <f>BDH("WBTN US Equity","BS_CASH_NEAR_CASH_ITEM","1993-06-18","2026-05-02","Per=Y","Days=T","Dir=V")</f>
        <v>0</v>
      </c>
      <c r="M2">
        <f>BDH("WBTN US Equity","BS_CUR_ASSET_REPORT","1993-06-18","2026-05-02","Per=Y","Days=T","Dir=V")</f>
        <v>0</v>
      </c>
      <c r="O2">
        <f>BDH("WBTN US Equity","BS_CUR_LIAB","1993-06-18","2026-05-02","Per=Y","Days=T","Dir=V")</f>
        <v>0</v>
      </c>
      <c r="Q2">
        <f>BDH("WBTN US Equity","BS_SHAREHOLDER_EQY_ENDING_PERIOD","1993-06-18","2026-05-02","Per=Y","Days=T","Dir=V")</f>
        <v>0</v>
      </c>
      <c r="S2">
        <f>BDH("WBTN US Equity","BS_ACCT_NOTE_RCV","1993-06-18","2026-05-02","Per=Y","Days=T","Dir=V")</f>
        <v>0</v>
      </c>
      <c r="U2">
        <f>BDH("WBTN US Equity","BS_INVENTORIES","1993-06-18","2026-05-02","Per=Y","Days=T","Dir=V")</f>
        <v>0</v>
      </c>
      <c r="W2">
        <f>BDH("WBTN US Equity","WORKING_CAPITAL","1993-06-18","2026-05-02","Per=Y","Days=T","Dir=V")</f>
        <v>0</v>
      </c>
      <c r="Y2">
        <f>BDH("WBTN US Equity","SALES_REV_TURN","1993-06-18","2026-05-02","Per=Y","Days=T","Dir=V")</f>
        <v>0</v>
      </c>
      <c r="AA2">
        <f>BDH("WBTN US Equity","EBIT","1993-06-18","2026-05-02","Per=Y","Days=T","Dir=V")</f>
        <v>0</v>
      </c>
      <c r="AC2">
        <f>BDH("WBTN US Equity","EBITDA","1993-06-18","2026-05-02","Per=Y","Days=T","Dir=V")</f>
        <v>0</v>
      </c>
      <c r="AE2">
        <f>BDH("WBTN US Equity","NET_INCOME","1993-06-18","2026-05-02","Per=Y","Days=T","Dir=V")</f>
        <v>0</v>
      </c>
      <c r="AG2">
        <f>BDH("WBTN US Equity","IS_INT_EXPENSE","1993-06-18","2026-05-02","Per=Y","Days=T","Dir=V")</f>
        <v>0</v>
      </c>
      <c r="AI2">
        <f>BDH("WBTN US Equity","IS_DEPR_EXP","1993-06-18","2026-05-02","Per=Y","Days=T","Dir=V")</f>
        <v>0</v>
      </c>
      <c r="AK2">
        <f>BDH("WBTN US Equity","CF_CASH_FROM_OPER","1993-06-18","2026-05-02","Per=Y","Days=T","Dir=V")</f>
        <v>0</v>
      </c>
      <c r="AM2">
        <f>BDH("WBTN US Equity","CAPITAL_EXPEND","1993-06-18","2026-05-02","Per=Y","Days=T","Dir=V")</f>
        <v>0</v>
      </c>
      <c r="AO2">
        <f>BDH("WBTN US Equity","CF_FREE_CASH_FLOW","1993-06-18","2026-05-02","Per=Y","Days=T","Dir=V")</f>
        <v>0</v>
      </c>
      <c r="AQ2">
        <f>BDH("WBTN US Equity","PX_LAST","1993-06-18","2026-05-02","Per=M","Days=T","Dir=V")</f>
        <v>0</v>
      </c>
      <c r="AS2">
        <f>BDH("WBTN US Equity","CUR_MKT_CAP","1993-06-18","2026-05-02","Per=M","Days=T","Dir=V")</f>
        <v>0</v>
      </c>
      <c r="AU2">
        <f>BDH("WBTN US Equity","EQY_SH_OUT","1993-06-18","2026-05-02","Per=M","Days=T","Dir=V")</f>
        <v>0</v>
      </c>
      <c r="AW2">
        <f>BDH("WBTN US Equity","PX_VOLUME","1993-06-18","2026-05-02","Per=M","Days=T","Dir=V")</f>
        <v>0</v>
      </c>
      <c r="AY2">
        <f>BDH("WBTN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BDH("WCC US Equity","BS_TOT_ASSET","1993-06-18","2026-05-02","Per=Y","Days=T","Dir=V")</f>
        <v>0</v>
      </c>
      <c r="C2">
        <f>BDH("WCC US Equity","BS_TOT_LIAB2","1993-06-18","2026-05-02","Per=Y","Days=T","Dir=V")</f>
        <v>0</v>
      </c>
      <c r="E2">
        <f>BDH("WCC US Equity","SHORT_AND_LONG_TERM_DEBT","1993-06-18","2026-05-02","Per=Y","Days=T","Dir=V")</f>
        <v>0</v>
      </c>
      <c r="G2">
        <f>BDH("WCC US Equity","BS_ST_BORROW","1993-06-18","2026-05-02","Per=Y","Days=T","Dir=V")</f>
        <v>0</v>
      </c>
      <c r="I2">
        <f>BDH("WCC US Equity","BS_LT_BORROW","1993-06-18","2026-05-02","Per=Y","Days=T","Dir=V")</f>
        <v>0</v>
      </c>
      <c r="K2">
        <f>BDH("WCC US Equity","BS_CASH_NEAR_CASH_ITEM","1993-06-18","2026-05-02","Per=Y","Days=T","Dir=V")</f>
        <v>0</v>
      </c>
      <c r="M2">
        <f>BDH("WCC US Equity","BS_CUR_ASSET_REPORT","1993-06-18","2026-05-02","Per=Y","Days=T","Dir=V")</f>
        <v>0</v>
      </c>
      <c r="O2">
        <f>BDH("WCC US Equity","BS_CUR_LIAB","1993-06-18","2026-05-02","Per=Y","Days=T","Dir=V")</f>
        <v>0</v>
      </c>
      <c r="Q2">
        <f>BDH("WCC US Equity","BS_SHAREHOLDER_EQY_ENDING_PERIOD","1993-06-18","2026-05-02","Per=Y","Days=T","Dir=V")</f>
        <v>0</v>
      </c>
      <c r="S2">
        <f>BDH("WCC US Equity","BS_ACCT_NOTE_RCV","1993-06-18","2026-05-02","Per=Y","Days=T","Dir=V")</f>
        <v>0</v>
      </c>
      <c r="U2">
        <f>BDH("WCC US Equity","BS_INVENTORIES","1993-06-18","2026-05-02","Per=Y","Days=T","Dir=V")</f>
        <v>0</v>
      </c>
      <c r="W2">
        <f>BDH("WCC US Equity","WORKING_CAPITAL","1993-06-18","2026-05-02","Per=Y","Days=T","Dir=V")</f>
        <v>0</v>
      </c>
      <c r="Y2">
        <f>BDH("WCC US Equity","SALES_REV_TURN","1993-06-18","2026-05-02","Per=Y","Days=T","Dir=V")</f>
        <v>0</v>
      </c>
      <c r="AA2">
        <f>BDH("WCC US Equity","EBIT","1993-06-18","2026-05-02","Per=Y","Days=T","Dir=V")</f>
        <v>0</v>
      </c>
      <c r="AC2">
        <f>BDH("WCC US Equity","EBITDA","1993-06-18","2026-05-02","Per=Y","Days=T","Dir=V")</f>
        <v>0</v>
      </c>
      <c r="AE2">
        <f>BDH("WCC US Equity","NET_INCOME","1993-06-18","2026-05-02","Per=Y","Days=T","Dir=V")</f>
        <v>0</v>
      </c>
      <c r="AG2">
        <f>BDH("WCC US Equity","IS_INT_EXPENSE","1993-06-18","2026-05-02","Per=Y","Days=T","Dir=V")</f>
        <v>0</v>
      </c>
      <c r="AI2">
        <f>BDH("WCC US Equity","IS_DEPR_EXP","1993-06-18","2026-05-02","Per=Y","Days=T","Dir=V")</f>
        <v>0</v>
      </c>
      <c r="AK2">
        <f>BDH("WCC US Equity","CF_CASH_FROM_OPER","1993-06-18","2026-05-02","Per=Y","Days=T","Dir=V")</f>
        <v>0</v>
      </c>
      <c r="AM2">
        <f>BDH("WCC US Equity","CAPITAL_EXPEND","1993-06-18","2026-05-02","Per=Y","Days=T","Dir=V")</f>
        <v>0</v>
      </c>
      <c r="AO2">
        <f>BDH("WCC US Equity","CF_FREE_CASH_FLOW","1993-06-18","2026-05-02","Per=Y","Days=T","Dir=V")</f>
        <v>0</v>
      </c>
      <c r="AQ2">
        <f>BDH("WCC US Equity","PX_LAST","1993-06-18","2026-05-02","Per=M","Days=T","Dir=V")</f>
        <v>0</v>
      </c>
      <c r="AS2">
        <f>BDH("WCC US Equity","CUR_MKT_CAP","1993-06-18","2026-05-02","Per=M","Days=T","Dir=V")</f>
        <v>0</v>
      </c>
      <c r="AU2">
        <f>BDH("WCC US Equity","EQY_SH_OUT","1993-06-18","2026-05-02","Per=M","Days=T","Dir=V")</f>
        <v>0</v>
      </c>
      <c r="AW2">
        <f>BDH("WCC US Equity","PX_VOLUME","1993-06-18","2026-05-02","Per=M","Days=T","Dir=V")</f>
        <v>0</v>
      </c>
      <c r="AY2">
        <f>BDH("WCC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BDH("WDAY US Equity","BS_TOT_ASSET","1993-06-18","2026-05-02","Per=Y","Days=T","Dir=V")</f>
        <v>0</v>
      </c>
      <c r="C2">
        <f>BDH("WDAY US Equity","BS_TOT_LIAB2","1993-06-18","2026-05-02","Per=Y","Days=T","Dir=V")</f>
        <v>0</v>
      </c>
      <c r="E2">
        <f>BDH("WDAY US Equity","SHORT_AND_LONG_TERM_DEBT","1993-06-18","2026-05-02","Per=Y","Days=T","Dir=V")</f>
        <v>0</v>
      </c>
      <c r="G2">
        <f>BDH("WDAY US Equity","BS_ST_BORROW","1993-06-18","2026-05-02","Per=Y","Days=T","Dir=V")</f>
        <v>0</v>
      </c>
      <c r="I2">
        <f>BDH("WDAY US Equity","BS_LT_BORROW","1993-06-18","2026-05-02","Per=Y","Days=T","Dir=V")</f>
        <v>0</v>
      </c>
      <c r="K2">
        <f>BDH("WDAY US Equity","BS_CASH_NEAR_CASH_ITEM","1993-06-18","2026-05-02","Per=Y","Days=T","Dir=V")</f>
        <v>0</v>
      </c>
      <c r="M2">
        <f>BDH("WDAY US Equity","BS_CUR_ASSET_REPORT","1993-06-18","2026-05-02","Per=Y","Days=T","Dir=V")</f>
        <v>0</v>
      </c>
      <c r="O2">
        <f>BDH("WDAY US Equity","BS_CUR_LIAB","1993-06-18","2026-05-02","Per=Y","Days=T","Dir=V")</f>
        <v>0</v>
      </c>
      <c r="Q2">
        <f>BDH("WDAY US Equity","BS_SHAREHOLDER_EQY_ENDING_PERIOD","1993-06-18","2026-05-02","Per=Y","Days=T","Dir=V")</f>
        <v>0</v>
      </c>
      <c r="S2">
        <f>BDH("WDAY US Equity","BS_ACCT_NOTE_RCV","1993-06-18","2026-05-02","Per=Y","Days=T","Dir=V")</f>
        <v>0</v>
      </c>
      <c r="U2">
        <f>BDH("WDAY US Equity","BS_INVENTORIES","1993-06-18","2026-05-02","Per=Y","Days=T","Dir=V")</f>
        <v>0</v>
      </c>
      <c r="W2">
        <f>BDH("WDAY US Equity","WORKING_CAPITAL","1993-06-18","2026-05-02","Per=Y","Days=T","Dir=V")</f>
        <v>0</v>
      </c>
      <c r="Y2">
        <f>BDH("WDAY US Equity","SALES_REV_TURN","1993-06-18","2026-05-02","Per=Y","Days=T","Dir=V")</f>
        <v>0</v>
      </c>
      <c r="AA2">
        <f>BDH("WDAY US Equity","EBIT","1993-06-18","2026-05-02","Per=Y","Days=T","Dir=V")</f>
        <v>0</v>
      </c>
      <c r="AC2">
        <f>BDH("WDAY US Equity","EBITDA","1993-06-18","2026-05-02","Per=Y","Days=T","Dir=V")</f>
        <v>0</v>
      </c>
      <c r="AE2">
        <f>BDH("WDAY US Equity","NET_INCOME","1993-06-18","2026-05-02","Per=Y","Days=T","Dir=V")</f>
        <v>0</v>
      </c>
      <c r="AG2">
        <f>BDH("WDAY US Equity","IS_INT_EXPENSE","1993-06-18","2026-05-02","Per=Y","Days=T","Dir=V")</f>
        <v>0</v>
      </c>
      <c r="AI2">
        <f>BDH("WDAY US Equity","IS_DEPR_EXP","1993-06-18","2026-05-02","Per=Y","Days=T","Dir=V")</f>
        <v>0</v>
      </c>
      <c r="AK2">
        <f>BDH("WDAY US Equity","CF_CASH_FROM_OPER","1993-06-18","2026-05-02","Per=Y","Days=T","Dir=V")</f>
        <v>0</v>
      </c>
      <c r="AM2">
        <f>BDH("WDAY US Equity","CAPITAL_EXPEND","1993-06-18","2026-05-02","Per=Y","Days=T","Dir=V")</f>
        <v>0</v>
      </c>
      <c r="AO2">
        <f>BDH("WDAY US Equity","CF_FREE_CASH_FLOW","1993-06-18","2026-05-02","Per=Y","Days=T","Dir=V")</f>
        <v>0</v>
      </c>
      <c r="AQ2">
        <f>BDH("WDAY US Equity","PX_LAST","1993-06-18","2026-05-02","Per=M","Days=T","Dir=V")</f>
        <v>0</v>
      </c>
      <c r="AS2">
        <f>BDH("WDAY US Equity","CUR_MKT_CAP","1993-06-18","2026-05-02","Per=M","Days=T","Dir=V")</f>
        <v>0</v>
      </c>
      <c r="AU2">
        <f>BDH("WDAY US Equity","EQY_SH_OUT","1993-06-18","2026-05-02","Per=M","Days=T","Dir=V")</f>
        <v>0</v>
      </c>
      <c r="AW2">
        <f>BDH("WDAY US Equity","PX_VOLUME","1993-06-18","2026-05-02","Per=M","Days=T","Dir=V")</f>
        <v>0</v>
      </c>
      <c r="AY2">
        <f>BDH("WDAY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BDH("WDC US Equity","BS_TOT_ASSET","1993-06-18","2026-05-02","Per=Y","Days=T","Dir=V")</f>
        <v>0</v>
      </c>
      <c r="C2">
        <f>BDH("WDC US Equity","BS_TOT_LIAB2","1993-06-18","2026-05-02","Per=Y","Days=T","Dir=V")</f>
        <v>0</v>
      </c>
      <c r="E2">
        <f>BDH("WDC US Equity","SHORT_AND_LONG_TERM_DEBT","1993-06-18","2026-05-02","Per=Y","Days=T","Dir=V")</f>
        <v>0</v>
      </c>
      <c r="G2">
        <f>BDH("WDC US Equity","BS_ST_BORROW","1993-06-18","2026-05-02","Per=Y","Days=T","Dir=V")</f>
        <v>0</v>
      </c>
      <c r="I2">
        <f>BDH("WDC US Equity","BS_LT_BORROW","1993-06-18","2026-05-02","Per=Y","Days=T","Dir=V")</f>
        <v>0</v>
      </c>
      <c r="K2">
        <f>BDH("WDC US Equity","BS_CASH_NEAR_CASH_ITEM","1993-06-18","2026-05-02","Per=Y","Days=T","Dir=V")</f>
        <v>0</v>
      </c>
      <c r="M2">
        <f>BDH("WDC US Equity","BS_CUR_ASSET_REPORT","1993-06-18","2026-05-02","Per=Y","Days=T","Dir=V")</f>
        <v>0</v>
      </c>
      <c r="O2">
        <f>BDH("WDC US Equity","BS_CUR_LIAB","1993-06-18","2026-05-02","Per=Y","Days=T","Dir=V")</f>
        <v>0</v>
      </c>
      <c r="Q2">
        <f>BDH("WDC US Equity","BS_SHAREHOLDER_EQY_ENDING_PERIOD","1993-06-18","2026-05-02","Per=Y","Days=T","Dir=V")</f>
        <v>0</v>
      </c>
      <c r="S2">
        <f>BDH("WDC US Equity","BS_ACCT_NOTE_RCV","1993-06-18","2026-05-02","Per=Y","Days=T","Dir=V")</f>
        <v>0</v>
      </c>
      <c r="U2">
        <f>BDH("WDC US Equity","BS_INVENTORIES","1993-06-18","2026-05-02","Per=Y","Days=T","Dir=V")</f>
        <v>0</v>
      </c>
      <c r="W2">
        <f>BDH("WDC US Equity","WORKING_CAPITAL","1993-06-18","2026-05-02","Per=Y","Days=T","Dir=V")</f>
        <v>0</v>
      </c>
      <c r="Y2">
        <f>BDH("WDC US Equity","SALES_REV_TURN","1993-06-18","2026-05-02","Per=Y","Days=T","Dir=V")</f>
        <v>0</v>
      </c>
      <c r="AA2">
        <f>BDH("WDC US Equity","EBIT","1993-06-18","2026-05-02","Per=Y","Days=T","Dir=V")</f>
        <v>0</v>
      </c>
      <c r="AC2">
        <f>BDH("WDC US Equity","EBITDA","1993-06-18","2026-05-02","Per=Y","Days=T","Dir=V")</f>
        <v>0</v>
      </c>
      <c r="AE2">
        <f>BDH("WDC US Equity","NET_INCOME","1993-06-18","2026-05-02","Per=Y","Days=T","Dir=V")</f>
        <v>0</v>
      </c>
      <c r="AG2">
        <f>BDH("WDC US Equity","IS_INT_EXPENSE","1993-06-18","2026-05-02","Per=Y","Days=T","Dir=V")</f>
        <v>0</v>
      </c>
      <c r="AI2">
        <f>BDH("WDC US Equity","IS_DEPR_EXP","1993-06-18","2026-05-02","Per=Y","Days=T","Dir=V")</f>
        <v>0</v>
      </c>
      <c r="AK2">
        <f>BDH("WDC US Equity","CF_CASH_FROM_OPER","1993-06-18","2026-05-02","Per=Y","Days=T","Dir=V")</f>
        <v>0</v>
      </c>
      <c r="AM2">
        <f>BDH("WDC US Equity","CAPITAL_EXPEND","1993-06-18","2026-05-02","Per=Y","Days=T","Dir=V")</f>
        <v>0</v>
      </c>
      <c r="AO2">
        <f>BDH("WDC US Equity","CF_FREE_CASH_FLOW","1993-06-18","2026-05-02","Per=Y","Days=T","Dir=V")</f>
        <v>0</v>
      </c>
      <c r="AQ2">
        <f>BDH("WDC US Equity","PX_LAST","1993-06-18","2026-05-02","Per=M","Days=T","Dir=V")</f>
        <v>0</v>
      </c>
      <c r="AS2">
        <f>BDH("WDC US Equity","CUR_MKT_CAP","1993-06-18","2026-05-02","Per=M","Days=T","Dir=V")</f>
        <v>0</v>
      </c>
      <c r="AU2">
        <f>BDH("WDC US Equity","EQY_SH_OUT","1993-06-18","2026-05-02","Per=M","Days=T","Dir=V")</f>
        <v>0</v>
      </c>
      <c r="AW2">
        <f>BDH("WDC US Equity","PX_VOLUME","1993-06-18","2026-05-02","Per=M","Days=T","Dir=V")</f>
        <v>0</v>
      </c>
      <c r="AY2">
        <f>BDH("WDC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BDH("WDFC US Equity","BS_TOT_ASSET","1993-06-18","2026-05-02","Per=Y","Days=T","Dir=V")</f>
        <v>0</v>
      </c>
      <c r="C2">
        <f>BDH("WDFC US Equity","BS_TOT_LIAB2","1993-06-18","2026-05-02","Per=Y","Days=T","Dir=V")</f>
        <v>0</v>
      </c>
      <c r="E2">
        <f>BDH("WDFC US Equity","SHORT_AND_LONG_TERM_DEBT","1993-06-18","2026-05-02","Per=Y","Days=T","Dir=V")</f>
        <v>0</v>
      </c>
      <c r="G2">
        <f>BDH("WDFC US Equity","BS_ST_BORROW","1993-06-18","2026-05-02","Per=Y","Days=T","Dir=V")</f>
        <v>0</v>
      </c>
      <c r="I2">
        <f>BDH("WDFC US Equity","BS_LT_BORROW","1993-06-18","2026-05-02","Per=Y","Days=T","Dir=V")</f>
        <v>0</v>
      </c>
      <c r="K2">
        <f>BDH("WDFC US Equity","BS_CASH_NEAR_CASH_ITEM","1993-06-18","2026-05-02","Per=Y","Days=T","Dir=V")</f>
        <v>0</v>
      </c>
      <c r="M2">
        <f>BDH("WDFC US Equity","BS_CUR_ASSET_REPORT","1993-06-18","2026-05-02","Per=Y","Days=T","Dir=V")</f>
        <v>0</v>
      </c>
      <c r="O2">
        <f>BDH("WDFC US Equity","BS_CUR_LIAB","1993-06-18","2026-05-02","Per=Y","Days=T","Dir=V")</f>
        <v>0</v>
      </c>
      <c r="Q2">
        <f>BDH("WDFC US Equity","BS_SHAREHOLDER_EQY_ENDING_PERIOD","1993-06-18","2026-05-02","Per=Y","Days=T","Dir=V")</f>
        <v>0</v>
      </c>
      <c r="S2">
        <f>BDH("WDFC US Equity","BS_ACCT_NOTE_RCV","1993-06-18","2026-05-02","Per=Y","Days=T","Dir=V")</f>
        <v>0</v>
      </c>
      <c r="U2">
        <f>BDH("WDFC US Equity","BS_INVENTORIES","1993-06-18","2026-05-02","Per=Y","Days=T","Dir=V")</f>
        <v>0</v>
      </c>
      <c r="W2">
        <f>BDH("WDFC US Equity","WORKING_CAPITAL","1993-06-18","2026-05-02","Per=Y","Days=T","Dir=V")</f>
        <v>0</v>
      </c>
      <c r="Y2">
        <f>BDH("WDFC US Equity","SALES_REV_TURN","1993-06-18","2026-05-02","Per=Y","Days=T","Dir=V")</f>
        <v>0</v>
      </c>
      <c r="AA2">
        <f>BDH("WDFC US Equity","EBIT","1993-06-18","2026-05-02","Per=Y","Days=T","Dir=V")</f>
        <v>0</v>
      </c>
      <c r="AC2">
        <f>BDH("WDFC US Equity","EBITDA","1993-06-18","2026-05-02","Per=Y","Days=T","Dir=V")</f>
        <v>0</v>
      </c>
      <c r="AE2">
        <f>BDH("WDFC US Equity","NET_INCOME","1993-06-18","2026-05-02","Per=Y","Days=T","Dir=V")</f>
        <v>0</v>
      </c>
      <c r="AG2">
        <f>BDH("WDFC US Equity","IS_INT_EXPENSE","1993-06-18","2026-05-02","Per=Y","Days=T","Dir=V")</f>
        <v>0</v>
      </c>
      <c r="AI2">
        <f>BDH("WDFC US Equity","IS_DEPR_EXP","1993-06-18","2026-05-02","Per=Y","Days=T","Dir=V")</f>
        <v>0</v>
      </c>
      <c r="AK2">
        <f>BDH("WDFC US Equity","CF_CASH_FROM_OPER","1993-06-18","2026-05-02","Per=Y","Days=T","Dir=V")</f>
        <v>0</v>
      </c>
      <c r="AM2">
        <f>BDH("WDFC US Equity","CAPITAL_EXPEND","1993-06-18","2026-05-02","Per=Y","Days=T","Dir=V")</f>
        <v>0</v>
      </c>
      <c r="AO2">
        <f>BDH("WDFC US Equity","CF_FREE_CASH_FLOW","1993-06-18","2026-05-02","Per=Y","Days=T","Dir=V")</f>
        <v>0</v>
      </c>
      <c r="AQ2">
        <f>BDH("WDFC US Equity","PX_LAST","1993-06-18","2026-05-02","Per=M","Days=T","Dir=V")</f>
        <v>0</v>
      </c>
      <c r="AS2">
        <f>BDH("WDFC US Equity","CUR_MKT_CAP","1993-06-18","2026-05-02","Per=M","Days=T","Dir=V")</f>
        <v>0</v>
      </c>
      <c r="AU2">
        <f>BDH("WDFC US Equity","EQY_SH_OUT","1993-06-18","2026-05-02","Per=M","Days=T","Dir=V")</f>
        <v>0</v>
      </c>
      <c r="AW2">
        <f>BDH("WDFC US Equity","PX_VOLUME","1993-06-18","2026-05-02","Per=M","Days=T","Dir=V")</f>
        <v>0</v>
      </c>
      <c r="AY2">
        <f>BDH("WDFC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BDH("WEAV US Equity","BS_TOT_ASSET","1993-06-18","2026-05-02","Per=Y","Days=T","Dir=V")</f>
        <v>0</v>
      </c>
      <c r="C2">
        <f>BDH("WEAV US Equity","BS_TOT_LIAB2","1993-06-18","2026-05-02","Per=Y","Days=T","Dir=V")</f>
        <v>0</v>
      </c>
      <c r="E2">
        <f>BDH("WEAV US Equity","SHORT_AND_LONG_TERM_DEBT","1993-06-18","2026-05-02","Per=Y","Days=T","Dir=V")</f>
        <v>0</v>
      </c>
      <c r="G2">
        <f>BDH("WEAV US Equity","BS_ST_BORROW","1993-06-18","2026-05-02","Per=Y","Days=T","Dir=V")</f>
        <v>0</v>
      </c>
      <c r="I2">
        <f>BDH("WEAV US Equity","BS_LT_BORROW","1993-06-18","2026-05-02","Per=Y","Days=T","Dir=V")</f>
        <v>0</v>
      </c>
      <c r="K2">
        <f>BDH("WEAV US Equity","BS_CASH_NEAR_CASH_ITEM","1993-06-18","2026-05-02","Per=Y","Days=T","Dir=V")</f>
        <v>0</v>
      </c>
      <c r="M2">
        <f>BDH("WEAV US Equity","BS_CUR_ASSET_REPORT","1993-06-18","2026-05-02","Per=Y","Days=T","Dir=V")</f>
        <v>0</v>
      </c>
      <c r="O2">
        <f>BDH("WEAV US Equity","BS_CUR_LIAB","1993-06-18","2026-05-02","Per=Y","Days=T","Dir=V")</f>
        <v>0</v>
      </c>
      <c r="Q2">
        <f>BDH("WEAV US Equity","BS_SHAREHOLDER_EQY_ENDING_PERIOD","1993-06-18","2026-05-02","Per=Y","Days=T","Dir=V")</f>
        <v>0</v>
      </c>
      <c r="S2">
        <f>BDH("WEAV US Equity","BS_ACCT_NOTE_RCV","1993-06-18","2026-05-02","Per=Y","Days=T","Dir=V")</f>
        <v>0</v>
      </c>
      <c r="U2">
        <f>BDH("WEAV US Equity","BS_INVENTORIES","1993-06-18","2026-05-02","Per=Y","Days=T","Dir=V")</f>
        <v>0</v>
      </c>
      <c r="W2">
        <f>BDH("WEAV US Equity","WORKING_CAPITAL","1993-06-18","2026-05-02","Per=Y","Days=T","Dir=V")</f>
        <v>0</v>
      </c>
      <c r="Y2">
        <f>BDH("WEAV US Equity","SALES_REV_TURN","1993-06-18","2026-05-02","Per=Y","Days=T","Dir=V")</f>
        <v>0</v>
      </c>
      <c r="AA2">
        <f>BDH("WEAV US Equity","EBIT","1993-06-18","2026-05-02","Per=Y","Days=T","Dir=V")</f>
        <v>0</v>
      </c>
      <c r="AC2">
        <f>BDH("WEAV US Equity","EBITDA","1993-06-18","2026-05-02","Per=Y","Days=T","Dir=V")</f>
        <v>0</v>
      </c>
      <c r="AE2">
        <f>BDH("WEAV US Equity","NET_INCOME","1993-06-18","2026-05-02","Per=Y","Days=T","Dir=V")</f>
        <v>0</v>
      </c>
      <c r="AG2">
        <f>BDH("WEAV US Equity","IS_INT_EXPENSE","1993-06-18","2026-05-02","Per=Y","Days=T","Dir=V")</f>
        <v>0</v>
      </c>
      <c r="AI2">
        <f>BDH("WEAV US Equity","IS_DEPR_EXP","1993-06-18","2026-05-02","Per=Y","Days=T","Dir=V")</f>
        <v>0</v>
      </c>
      <c r="AK2">
        <f>BDH("WEAV US Equity","CF_CASH_FROM_OPER","1993-06-18","2026-05-02","Per=Y","Days=T","Dir=V")</f>
        <v>0</v>
      </c>
      <c r="AM2">
        <f>BDH("WEAV US Equity","CAPITAL_EXPEND","1993-06-18","2026-05-02","Per=Y","Days=T","Dir=V")</f>
        <v>0</v>
      </c>
      <c r="AO2">
        <f>BDH("WEAV US Equity","CF_FREE_CASH_FLOW","1993-06-18","2026-05-02","Per=Y","Days=T","Dir=V")</f>
        <v>0</v>
      </c>
      <c r="AQ2">
        <f>BDH("WEAV US Equity","PX_LAST","1993-06-18","2026-05-02","Per=M","Days=T","Dir=V")</f>
        <v>0</v>
      </c>
      <c r="AS2">
        <f>BDH("WEAV US Equity","CUR_MKT_CAP","1993-06-18","2026-05-02","Per=M","Days=T","Dir=V")</f>
        <v>0</v>
      </c>
      <c r="AU2">
        <f>BDH("WEAV US Equity","EQY_SH_OUT","1993-06-18","2026-05-02","Per=M","Days=T","Dir=V")</f>
        <v>0</v>
      </c>
      <c r="AW2">
        <f>BDH("WEAV US Equity","PX_VOLUME","1993-06-18","2026-05-02","Per=M","Days=T","Dir=V")</f>
        <v>0</v>
      </c>
      <c r="AY2">
        <f>BDH("WEAV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BDH("WEC US Equity","BS_TOT_ASSET","1993-06-18","2026-05-02","Per=Y","Days=T","Dir=V")</f>
        <v>0</v>
      </c>
      <c r="C2">
        <f>BDH("WEC US Equity","BS_TOT_LIAB2","1993-06-18","2026-05-02","Per=Y","Days=T","Dir=V")</f>
        <v>0</v>
      </c>
      <c r="E2">
        <f>BDH("WEC US Equity","SHORT_AND_LONG_TERM_DEBT","1993-06-18","2026-05-02","Per=Y","Days=T","Dir=V")</f>
        <v>0</v>
      </c>
      <c r="G2">
        <f>BDH("WEC US Equity","BS_ST_BORROW","1993-06-18","2026-05-02","Per=Y","Days=T","Dir=V")</f>
        <v>0</v>
      </c>
      <c r="I2">
        <f>BDH("WEC US Equity","BS_LT_BORROW","1993-06-18","2026-05-02","Per=Y","Days=T","Dir=V")</f>
        <v>0</v>
      </c>
      <c r="K2">
        <f>BDH("WEC US Equity","BS_CASH_NEAR_CASH_ITEM","1993-06-18","2026-05-02","Per=Y","Days=T","Dir=V")</f>
        <v>0</v>
      </c>
      <c r="M2">
        <f>BDH("WEC US Equity","BS_CUR_ASSET_REPORT","1993-06-18","2026-05-02","Per=Y","Days=T","Dir=V")</f>
        <v>0</v>
      </c>
      <c r="O2">
        <f>BDH("WEC US Equity","BS_CUR_LIAB","1993-06-18","2026-05-02","Per=Y","Days=T","Dir=V")</f>
        <v>0</v>
      </c>
      <c r="Q2">
        <f>BDH("WEC US Equity","BS_SHAREHOLDER_EQY_ENDING_PERIOD","1993-06-18","2026-05-02","Per=Y","Days=T","Dir=V")</f>
        <v>0</v>
      </c>
      <c r="S2">
        <f>BDH("WEC US Equity","BS_ACCT_NOTE_RCV","1993-06-18","2026-05-02","Per=Y","Days=T","Dir=V")</f>
        <v>0</v>
      </c>
      <c r="U2">
        <f>BDH("WEC US Equity","BS_INVENTORIES","1993-06-18","2026-05-02","Per=Y","Days=T","Dir=V")</f>
        <v>0</v>
      </c>
      <c r="W2">
        <f>BDH("WEC US Equity","WORKING_CAPITAL","1993-06-18","2026-05-02","Per=Y","Days=T","Dir=V")</f>
        <v>0</v>
      </c>
      <c r="Y2">
        <f>BDH("WEC US Equity","SALES_REV_TURN","1993-06-18","2026-05-02","Per=Y","Days=T","Dir=V")</f>
        <v>0</v>
      </c>
      <c r="AA2">
        <f>BDH("WEC US Equity","EBIT","1993-06-18","2026-05-02","Per=Y","Days=T","Dir=V")</f>
        <v>0</v>
      </c>
      <c r="AC2">
        <f>BDH("WEC US Equity","EBITDA","1993-06-18","2026-05-02","Per=Y","Days=T","Dir=V")</f>
        <v>0</v>
      </c>
      <c r="AE2">
        <f>BDH("WEC US Equity","NET_INCOME","1993-06-18","2026-05-02","Per=Y","Days=T","Dir=V")</f>
        <v>0</v>
      </c>
      <c r="AG2">
        <f>BDH("WEC US Equity","IS_INT_EXPENSE","1993-06-18","2026-05-02","Per=Y","Days=T","Dir=V")</f>
        <v>0</v>
      </c>
      <c r="AI2">
        <f>BDH("WEC US Equity","IS_DEPR_EXP","1993-06-18","2026-05-02","Per=Y","Days=T","Dir=V")</f>
        <v>0</v>
      </c>
      <c r="AK2">
        <f>BDH("WEC US Equity","CF_CASH_FROM_OPER","1993-06-18","2026-05-02","Per=Y","Days=T","Dir=V")</f>
        <v>0</v>
      </c>
      <c r="AM2">
        <f>BDH("WEC US Equity","CAPITAL_EXPEND","1993-06-18","2026-05-02","Per=Y","Days=T","Dir=V")</f>
        <v>0</v>
      </c>
      <c r="AO2">
        <f>BDH("WEC US Equity","CF_FREE_CASH_FLOW","1993-06-18","2026-05-02","Per=Y","Days=T","Dir=V")</f>
        <v>0</v>
      </c>
      <c r="AQ2">
        <f>BDH("WEC US Equity","PX_LAST","1993-06-18","2026-05-02","Per=M","Days=T","Dir=V")</f>
        <v>0</v>
      </c>
      <c r="AS2">
        <f>BDH("WEC US Equity","CUR_MKT_CAP","1993-06-18","2026-05-02","Per=M","Days=T","Dir=V")</f>
        <v>0</v>
      </c>
      <c r="AU2">
        <f>BDH("WEC US Equity","EQY_SH_OUT","1993-06-18","2026-05-02","Per=M","Days=T","Dir=V")</f>
        <v>0</v>
      </c>
      <c r="AW2">
        <f>BDH("WEC US Equity","PX_VOLUME","1993-06-18","2026-05-02","Per=M","Days=T","Dir=V")</f>
        <v>0</v>
      </c>
      <c r="AY2">
        <f>BDH("WEC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BDH("WEN US Equity","BS_TOT_ASSET","1993-06-18","2026-05-02","Per=Y","Days=T","Dir=V")</f>
        <v>0</v>
      </c>
      <c r="C2">
        <f>BDH("WEN US Equity","BS_TOT_LIAB2","1993-06-18","2026-05-02","Per=Y","Days=T","Dir=V")</f>
        <v>0</v>
      </c>
      <c r="E2">
        <f>BDH("WEN US Equity","SHORT_AND_LONG_TERM_DEBT","1993-06-18","2026-05-02","Per=Y","Days=T","Dir=V")</f>
        <v>0</v>
      </c>
      <c r="G2">
        <f>BDH("WEN US Equity","BS_ST_BORROW","1993-06-18","2026-05-02","Per=Y","Days=T","Dir=V")</f>
        <v>0</v>
      </c>
      <c r="I2">
        <f>BDH("WEN US Equity","BS_LT_BORROW","1993-06-18","2026-05-02","Per=Y","Days=T","Dir=V")</f>
        <v>0</v>
      </c>
      <c r="K2">
        <f>BDH("WEN US Equity","BS_CASH_NEAR_CASH_ITEM","1993-06-18","2026-05-02","Per=Y","Days=T","Dir=V")</f>
        <v>0</v>
      </c>
      <c r="M2">
        <f>BDH("WEN US Equity","BS_CUR_ASSET_REPORT","1993-06-18","2026-05-02","Per=Y","Days=T","Dir=V")</f>
        <v>0</v>
      </c>
      <c r="O2">
        <f>BDH("WEN US Equity","BS_CUR_LIAB","1993-06-18","2026-05-02","Per=Y","Days=T","Dir=V")</f>
        <v>0</v>
      </c>
      <c r="Q2">
        <f>BDH("WEN US Equity","BS_SHAREHOLDER_EQY_ENDING_PERIOD","1993-06-18","2026-05-02","Per=Y","Days=T","Dir=V")</f>
        <v>0</v>
      </c>
      <c r="S2">
        <f>BDH("WEN US Equity","BS_ACCT_NOTE_RCV","1993-06-18","2026-05-02","Per=Y","Days=T","Dir=V")</f>
        <v>0</v>
      </c>
      <c r="U2">
        <f>BDH("WEN US Equity","BS_INVENTORIES","1993-06-18","2026-05-02","Per=Y","Days=T","Dir=V")</f>
        <v>0</v>
      </c>
      <c r="W2">
        <f>BDH("WEN US Equity","WORKING_CAPITAL","1993-06-18","2026-05-02","Per=Y","Days=T","Dir=V")</f>
        <v>0</v>
      </c>
      <c r="Y2">
        <f>BDH("WEN US Equity","SALES_REV_TURN","1993-06-18","2026-05-02","Per=Y","Days=T","Dir=V")</f>
        <v>0</v>
      </c>
      <c r="AA2">
        <f>BDH("WEN US Equity","EBIT","1993-06-18","2026-05-02","Per=Y","Days=T","Dir=V")</f>
        <v>0</v>
      </c>
      <c r="AC2">
        <f>BDH("WEN US Equity","EBITDA","1993-06-18","2026-05-02","Per=Y","Days=T","Dir=V")</f>
        <v>0</v>
      </c>
      <c r="AE2">
        <f>BDH("WEN US Equity","NET_INCOME","1993-06-18","2026-05-02","Per=Y","Days=T","Dir=V")</f>
        <v>0</v>
      </c>
      <c r="AG2">
        <f>BDH("WEN US Equity","IS_INT_EXPENSE","1993-06-18","2026-05-02","Per=Y","Days=T","Dir=V")</f>
        <v>0</v>
      </c>
      <c r="AI2">
        <f>BDH("WEN US Equity","IS_DEPR_EXP","1993-06-18","2026-05-02","Per=Y","Days=T","Dir=V")</f>
        <v>0</v>
      </c>
      <c r="AK2">
        <f>BDH("WEN US Equity","CF_CASH_FROM_OPER","1993-06-18","2026-05-02","Per=Y","Days=T","Dir=V")</f>
        <v>0</v>
      </c>
      <c r="AM2">
        <f>BDH("WEN US Equity","CAPITAL_EXPEND","1993-06-18","2026-05-02","Per=Y","Days=T","Dir=V")</f>
        <v>0</v>
      </c>
      <c r="AO2">
        <f>BDH("WEN US Equity","CF_FREE_CASH_FLOW","1993-06-18","2026-05-02","Per=Y","Days=T","Dir=V")</f>
        <v>0</v>
      </c>
      <c r="AQ2">
        <f>BDH("WEN US Equity","PX_LAST","1993-06-18","2026-05-02","Per=M","Days=T","Dir=V")</f>
        <v>0</v>
      </c>
      <c r="AS2">
        <f>BDH("WEN US Equity","CUR_MKT_CAP","1993-06-18","2026-05-02","Per=M","Days=T","Dir=V")</f>
        <v>0</v>
      </c>
      <c r="AU2">
        <f>BDH("WEN US Equity","EQY_SH_OUT","1993-06-18","2026-05-02","Per=M","Days=T","Dir=V")</f>
        <v>0</v>
      </c>
      <c r="AW2">
        <f>BDH("WEN US Equity","PX_VOLUME","1993-06-18","2026-05-02","Per=M","Days=T","Dir=V")</f>
        <v>0</v>
      </c>
      <c r="AY2">
        <f>BDH("WEN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BDH("WERN US Equity","BS_TOT_ASSET","1993-06-18","2026-05-02","Per=Y","Days=T","Dir=V")</f>
        <v>0</v>
      </c>
      <c r="C2">
        <f>BDH("WERN US Equity","BS_TOT_LIAB2","1993-06-18","2026-05-02","Per=Y","Days=T","Dir=V")</f>
        <v>0</v>
      </c>
      <c r="E2">
        <f>BDH("WERN US Equity","SHORT_AND_LONG_TERM_DEBT","1993-06-18","2026-05-02","Per=Y","Days=T","Dir=V")</f>
        <v>0</v>
      </c>
      <c r="G2">
        <f>BDH("WERN US Equity","BS_ST_BORROW","1993-06-18","2026-05-02","Per=Y","Days=T","Dir=V")</f>
        <v>0</v>
      </c>
      <c r="I2">
        <f>BDH("WERN US Equity","BS_LT_BORROW","1993-06-18","2026-05-02","Per=Y","Days=T","Dir=V")</f>
        <v>0</v>
      </c>
      <c r="K2">
        <f>BDH("WERN US Equity","BS_CASH_NEAR_CASH_ITEM","1993-06-18","2026-05-02","Per=Y","Days=T","Dir=V")</f>
        <v>0</v>
      </c>
      <c r="M2">
        <f>BDH("WERN US Equity","BS_CUR_ASSET_REPORT","1993-06-18","2026-05-02","Per=Y","Days=T","Dir=V")</f>
        <v>0</v>
      </c>
      <c r="O2">
        <f>BDH("WERN US Equity","BS_CUR_LIAB","1993-06-18","2026-05-02","Per=Y","Days=T","Dir=V")</f>
        <v>0</v>
      </c>
      <c r="Q2">
        <f>BDH("WERN US Equity","BS_SHAREHOLDER_EQY_ENDING_PERIOD","1993-06-18","2026-05-02","Per=Y","Days=T","Dir=V")</f>
        <v>0</v>
      </c>
      <c r="S2">
        <f>BDH("WERN US Equity","BS_ACCT_NOTE_RCV","1993-06-18","2026-05-02","Per=Y","Days=T","Dir=V")</f>
        <v>0</v>
      </c>
      <c r="U2">
        <f>BDH("WERN US Equity","BS_INVENTORIES","1993-06-18","2026-05-02","Per=Y","Days=T","Dir=V")</f>
        <v>0</v>
      </c>
      <c r="W2">
        <f>BDH("WERN US Equity","WORKING_CAPITAL","1993-06-18","2026-05-02","Per=Y","Days=T","Dir=V")</f>
        <v>0</v>
      </c>
      <c r="Y2">
        <f>BDH("WERN US Equity","SALES_REV_TURN","1993-06-18","2026-05-02","Per=Y","Days=T","Dir=V")</f>
        <v>0</v>
      </c>
      <c r="AA2">
        <f>BDH("WERN US Equity","EBIT","1993-06-18","2026-05-02","Per=Y","Days=T","Dir=V")</f>
        <v>0</v>
      </c>
      <c r="AC2">
        <f>BDH("WERN US Equity","EBITDA","1993-06-18","2026-05-02","Per=Y","Days=T","Dir=V")</f>
        <v>0</v>
      </c>
      <c r="AE2">
        <f>BDH("WERN US Equity","NET_INCOME","1993-06-18","2026-05-02","Per=Y","Days=T","Dir=V")</f>
        <v>0</v>
      </c>
      <c r="AG2">
        <f>BDH("WERN US Equity","IS_INT_EXPENSE","1993-06-18","2026-05-02","Per=Y","Days=T","Dir=V")</f>
        <v>0</v>
      </c>
      <c r="AI2">
        <f>BDH("WERN US Equity","IS_DEPR_EXP","1993-06-18","2026-05-02","Per=Y","Days=T","Dir=V")</f>
        <v>0</v>
      </c>
      <c r="AK2">
        <f>BDH("WERN US Equity","CF_CASH_FROM_OPER","1993-06-18","2026-05-02","Per=Y","Days=T","Dir=V")</f>
        <v>0</v>
      </c>
      <c r="AM2">
        <f>BDH("WERN US Equity","CAPITAL_EXPEND","1993-06-18","2026-05-02","Per=Y","Days=T","Dir=V")</f>
        <v>0</v>
      </c>
      <c r="AO2">
        <f>BDH("WERN US Equity","CF_FREE_CASH_FLOW","1993-06-18","2026-05-02","Per=Y","Days=T","Dir=V")</f>
        <v>0</v>
      </c>
      <c r="AQ2">
        <f>BDH("WERN US Equity","PX_LAST","1993-06-18","2026-05-02","Per=M","Days=T","Dir=V")</f>
        <v>0</v>
      </c>
      <c r="AS2">
        <f>BDH("WERN US Equity","CUR_MKT_CAP","1993-06-18","2026-05-02","Per=M","Days=T","Dir=V")</f>
        <v>0</v>
      </c>
      <c r="AU2">
        <f>BDH("WERN US Equity","EQY_SH_OUT","1993-06-18","2026-05-02","Per=M","Days=T","Dir=V")</f>
        <v>0</v>
      </c>
      <c r="AW2">
        <f>BDH("WERN US Equity","PX_VOLUME","1993-06-18","2026-05-02","Per=M","Days=T","Dir=V")</f>
        <v>0</v>
      </c>
      <c r="AY2">
        <f>BDH("WERN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BDH("WES US Equity","BS_TOT_ASSET","1993-06-18","2026-05-02","Per=Y","Days=T","Dir=V")</f>
        <v>0</v>
      </c>
      <c r="C2">
        <f>BDH("WES US Equity","BS_TOT_LIAB2","1993-06-18","2026-05-02","Per=Y","Days=T","Dir=V")</f>
        <v>0</v>
      </c>
      <c r="E2">
        <f>BDH("WES US Equity","SHORT_AND_LONG_TERM_DEBT","1993-06-18","2026-05-02","Per=Y","Days=T","Dir=V")</f>
        <v>0</v>
      </c>
      <c r="G2">
        <f>BDH("WES US Equity","BS_ST_BORROW","1993-06-18","2026-05-02","Per=Y","Days=T","Dir=V")</f>
        <v>0</v>
      </c>
      <c r="I2">
        <f>BDH("WES US Equity","BS_LT_BORROW","1993-06-18","2026-05-02","Per=Y","Days=T","Dir=V")</f>
        <v>0</v>
      </c>
      <c r="K2">
        <f>BDH("WES US Equity","BS_CASH_NEAR_CASH_ITEM","1993-06-18","2026-05-02","Per=Y","Days=T","Dir=V")</f>
        <v>0</v>
      </c>
      <c r="M2">
        <f>BDH("WES US Equity","BS_CUR_ASSET_REPORT","1993-06-18","2026-05-02","Per=Y","Days=T","Dir=V")</f>
        <v>0</v>
      </c>
      <c r="O2">
        <f>BDH("WES US Equity","BS_CUR_LIAB","1993-06-18","2026-05-02","Per=Y","Days=T","Dir=V")</f>
        <v>0</v>
      </c>
      <c r="Q2">
        <f>BDH("WES US Equity","BS_SHAREHOLDER_EQY_ENDING_PERIOD","1993-06-18","2026-05-02","Per=Y","Days=T","Dir=V")</f>
        <v>0</v>
      </c>
      <c r="S2">
        <f>BDH("WES US Equity","BS_ACCT_NOTE_RCV","1993-06-18","2026-05-02","Per=Y","Days=T","Dir=V")</f>
        <v>0</v>
      </c>
      <c r="U2">
        <f>BDH("WES US Equity","BS_INVENTORIES","1993-06-18","2026-05-02","Per=Y","Days=T","Dir=V")</f>
        <v>0</v>
      </c>
      <c r="W2">
        <f>BDH("WES US Equity","WORKING_CAPITAL","1993-06-18","2026-05-02","Per=Y","Days=T","Dir=V")</f>
        <v>0</v>
      </c>
      <c r="Y2">
        <f>BDH("WES US Equity","SALES_REV_TURN","1993-06-18","2026-05-02","Per=Y","Days=T","Dir=V")</f>
        <v>0</v>
      </c>
      <c r="AA2">
        <f>BDH("WES US Equity","EBIT","1993-06-18","2026-05-02","Per=Y","Days=T","Dir=V")</f>
        <v>0</v>
      </c>
      <c r="AC2">
        <f>BDH("WES US Equity","EBITDA","1993-06-18","2026-05-02","Per=Y","Days=T","Dir=V")</f>
        <v>0</v>
      </c>
      <c r="AE2">
        <f>BDH("WES US Equity","NET_INCOME","1993-06-18","2026-05-02","Per=Y","Days=T","Dir=V")</f>
        <v>0</v>
      </c>
      <c r="AG2">
        <f>BDH("WES US Equity","IS_INT_EXPENSE","1993-06-18","2026-05-02","Per=Y","Days=T","Dir=V")</f>
        <v>0</v>
      </c>
      <c r="AI2">
        <f>BDH("WES US Equity","IS_DEPR_EXP","1993-06-18","2026-05-02","Per=Y","Days=T","Dir=V")</f>
        <v>0</v>
      </c>
      <c r="AK2">
        <f>BDH("WES US Equity","CF_CASH_FROM_OPER","1993-06-18","2026-05-02","Per=Y","Days=T","Dir=V")</f>
        <v>0</v>
      </c>
      <c r="AM2">
        <f>BDH("WES US Equity","CAPITAL_EXPEND","1993-06-18","2026-05-02","Per=Y","Days=T","Dir=V")</f>
        <v>0</v>
      </c>
      <c r="AO2">
        <f>BDH("WES US Equity","CF_FREE_CASH_FLOW","1993-06-18","2026-05-02","Per=Y","Days=T","Dir=V")</f>
        <v>0</v>
      </c>
      <c r="AQ2">
        <f>BDH("WES US Equity","PX_LAST","1993-06-18","2026-05-02","Per=M","Days=T","Dir=V")</f>
        <v>0</v>
      </c>
      <c r="AS2">
        <f>BDH("WES US Equity","CUR_MKT_CAP","1993-06-18","2026-05-02","Per=M","Days=T","Dir=V")</f>
        <v>0</v>
      </c>
      <c r="AU2">
        <f>BDH("WES US Equity","EQY_SH_OUT","1993-06-18","2026-05-02","Per=M","Days=T","Dir=V")</f>
        <v>0</v>
      </c>
      <c r="AW2">
        <f>BDH("WES US Equity","PX_VOLUME","1993-06-18","2026-05-02","Per=M","Days=T","Dir=V")</f>
        <v>0</v>
      </c>
      <c r="AY2">
        <f>BDH("WES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BDH("WEST US Equity","BS_TOT_ASSET","1993-06-18","2026-05-02","Per=Y","Days=T","Dir=V")</f>
        <v>0</v>
      </c>
      <c r="C2">
        <f>BDH("WEST US Equity","BS_TOT_LIAB2","1993-06-18","2026-05-02","Per=Y","Days=T","Dir=V")</f>
        <v>0</v>
      </c>
      <c r="E2">
        <f>BDH("WEST US Equity","SHORT_AND_LONG_TERM_DEBT","1993-06-18","2026-05-02","Per=Y","Days=T","Dir=V")</f>
        <v>0</v>
      </c>
      <c r="G2">
        <f>BDH("WEST US Equity","BS_ST_BORROW","1993-06-18","2026-05-02","Per=Y","Days=T","Dir=V")</f>
        <v>0</v>
      </c>
      <c r="I2">
        <f>BDH("WEST US Equity","BS_LT_BORROW","1993-06-18","2026-05-02","Per=Y","Days=T","Dir=V")</f>
        <v>0</v>
      </c>
      <c r="K2">
        <f>BDH("WEST US Equity","BS_CASH_NEAR_CASH_ITEM","1993-06-18","2026-05-02","Per=Y","Days=T","Dir=V")</f>
        <v>0</v>
      </c>
      <c r="M2">
        <f>BDH("WEST US Equity","BS_CUR_ASSET_REPORT","1993-06-18","2026-05-02","Per=Y","Days=T","Dir=V")</f>
        <v>0</v>
      </c>
      <c r="O2">
        <f>BDH("WEST US Equity","BS_CUR_LIAB","1993-06-18","2026-05-02","Per=Y","Days=T","Dir=V")</f>
        <v>0</v>
      </c>
      <c r="Q2">
        <f>BDH("WEST US Equity","BS_SHAREHOLDER_EQY_ENDING_PERIOD","1993-06-18","2026-05-02","Per=Y","Days=T","Dir=V")</f>
        <v>0</v>
      </c>
      <c r="S2">
        <f>BDH("WEST US Equity","BS_ACCT_NOTE_RCV","1993-06-18","2026-05-02","Per=Y","Days=T","Dir=V")</f>
        <v>0</v>
      </c>
      <c r="U2">
        <f>BDH("WEST US Equity","BS_INVENTORIES","1993-06-18","2026-05-02","Per=Y","Days=T","Dir=V")</f>
        <v>0</v>
      </c>
      <c r="W2">
        <f>BDH("WEST US Equity","WORKING_CAPITAL","1993-06-18","2026-05-02","Per=Y","Days=T","Dir=V")</f>
        <v>0</v>
      </c>
      <c r="Y2">
        <f>BDH("WEST US Equity","SALES_REV_TURN","1993-06-18","2026-05-02","Per=Y","Days=T","Dir=V")</f>
        <v>0</v>
      </c>
      <c r="AA2">
        <f>BDH("WEST US Equity","EBIT","1993-06-18","2026-05-02","Per=Y","Days=T","Dir=V")</f>
        <v>0</v>
      </c>
      <c r="AC2">
        <f>BDH("WEST US Equity","EBITDA","1993-06-18","2026-05-02","Per=Y","Days=T","Dir=V")</f>
        <v>0</v>
      </c>
      <c r="AE2">
        <f>BDH("WEST US Equity","NET_INCOME","1993-06-18","2026-05-02","Per=Y","Days=T","Dir=V")</f>
        <v>0</v>
      </c>
      <c r="AG2">
        <f>BDH("WEST US Equity","IS_INT_EXPENSE","1993-06-18","2026-05-02","Per=Y","Days=T","Dir=V")</f>
        <v>0</v>
      </c>
      <c r="AI2">
        <f>BDH("WEST US Equity","IS_DEPR_EXP","1993-06-18","2026-05-02","Per=Y","Days=T","Dir=V")</f>
        <v>0</v>
      </c>
      <c r="AK2">
        <f>BDH("WEST US Equity","CF_CASH_FROM_OPER","1993-06-18","2026-05-02","Per=Y","Days=T","Dir=V")</f>
        <v>0</v>
      </c>
      <c r="AM2">
        <f>BDH("WEST US Equity","CAPITAL_EXPEND","1993-06-18","2026-05-02","Per=Y","Days=T","Dir=V")</f>
        <v>0</v>
      </c>
      <c r="AO2">
        <f>BDH("WEST US Equity","CF_FREE_CASH_FLOW","1993-06-18","2026-05-02","Per=Y","Days=T","Dir=V")</f>
        <v>0</v>
      </c>
      <c r="AQ2">
        <f>BDH("WEST US Equity","PX_LAST","1993-06-18","2026-05-02","Per=M","Days=T","Dir=V")</f>
        <v>0</v>
      </c>
      <c r="AS2">
        <f>BDH("WEST US Equity","CUR_MKT_CAP","1993-06-18","2026-05-02","Per=M","Days=T","Dir=V")</f>
        <v>0</v>
      </c>
      <c r="AU2">
        <f>BDH("WEST US Equity","EQY_SH_OUT","1993-06-18","2026-05-02","Per=M","Days=T","Dir=V")</f>
        <v>0</v>
      </c>
      <c r="AW2">
        <f>BDH("WEST US Equity","PX_VOLUME","1993-06-18","2026-05-02","Per=M","Days=T","Dir=V")</f>
        <v>0</v>
      </c>
      <c r="AY2">
        <f>BDH("WEST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BDH("WEX US Equity","BS_TOT_ASSET","1993-06-18","2026-05-02","Per=Y","Days=T","Dir=V")</f>
        <v>0</v>
      </c>
      <c r="C2">
        <f>BDH("WEX US Equity","BS_TOT_LIAB2","1993-06-18","2026-05-02","Per=Y","Days=T","Dir=V")</f>
        <v>0</v>
      </c>
      <c r="E2">
        <f>BDH("WEX US Equity","SHORT_AND_LONG_TERM_DEBT","1993-06-18","2026-05-02","Per=Y","Days=T","Dir=V")</f>
        <v>0</v>
      </c>
      <c r="G2">
        <f>BDH("WEX US Equity","BS_ST_BORROW","1993-06-18","2026-05-02","Per=Y","Days=T","Dir=V")</f>
        <v>0</v>
      </c>
      <c r="I2">
        <f>BDH("WEX US Equity","BS_LT_BORROW","1993-06-18","2026-05-02","Per=Y","Days=T","Dir=V")</f>
        <v>0</v>
      </c>
      <c r="K2">
        <f>BDH("WEX US Equity","BS_CASH_NEAR_CASH_ITEM","1993-06-18","2026-05-02","Per=Y","Days=T","Dir=V")</f>
        <v>0</v>
      </c>
      <c r="M2">
        <f>BDH("WEX US Equity","BS_CUR_ASSET_REPORT","1993-06-18","2026-05-02","Per=Y","Days=T","Dir=V")</f>
        <v>0</v>
      </c>
      <c r="O2">
        <f>BDH("WEX US Equity","BS_CUR_LIAB","1993-06-18","2026-05-02","Per=Y","Days=T","Dir=V")</f>
        <v>0</v>
      </c>
      <c r="Q2">
        <f>BDH("WEX US Equity","BS_SHAREHOLDER_EQY_ENDING_PERIOD","1993-06-18","2026-05-02","Per=Y","Days=T","Dir=V")</f>
        <v>0</v>
      </c>
      <c r="S2">
        <f>BDH("WEX US Equity","BS_ACCT_NOTE_RCV","1993-06-18","2026-05-02","Per=Y","Days=T","Dir=V")</f>
        <v>0</v>
      </c>
      <c r="U2">
        <f>BDH("WEX US Equity","BS_INVENTORIES","1993-06-18","2026-05-02","Per=Y","Days=T","Dir=V")</f>
        <v>0</v>
      </c>
      <c r="W2">
        <f>BDH("WEX US Equity","WORKING_CAPITAL","1993-06-18","2026-05-02","Per=Y","Days=T","Dir=V")</f>
        <v>0</v>
      </c>
      <c r="Y2">
        <f>BDH("WEX US Equity","SALES_REV_TURN","1993-06-18","2026-05-02","Per=Y","Days=T","Dir=V")</f>
        <v>0</v>
      </c>
      <c r="AA2">
        <f>BDH("WEX US Equity","EBIT","1993-06-18","2026-05-02","Per=Y","Days=T","Dir=V")</f>
        <v>0</v>
      </c>
      <c r="AC2">
        <f>BDH("WEX US Equity","EBITDA","1993-06-18","2026-05-02","Per=Y","Days=T","Dir=V")</f>
        <v>0</v>
      </c>
      <c r="AE2">
        <f>BDH("WEX US Equity","NET_INCOME","1993-06-18","2026-05-02","Per=Y","Days=T","Dir=V")</f>
        <v>0</v>
      </c>
      <c r="AG2">
        <f>BDH("WEX US Equity","IS_INT_EXPENSE","1993-06-18","2026-05-02","Per=Y","Days=T","Dir=V")</f>
        <v>0</v>
      </c>
      <c r="AI2">
        <f>BDH("WEX US Equity","IS_DEPR_EXP","1993-06-18","2026-05-02","Per=Y","Days=T","Dir=V")</f>
        <v>0</v>
      </c>
      <c r="AK2">
        <f>BDH("WEX US Equity","CF_CASH_FROM_OPER","1993-06-18","2026-05-02","Per=Y","Days=T","Dir=V")</f>
        <v>0</v>
      </c>
      <c r="AM2">
        <f>BDH("WEX US Equity","CAPITAL_EXPEND","1993-06-18","2026-05-02","Per=Y","Days=T","Dir=V")</f>
        <v>0</v>
      </c>
      <c r="AO2">
        <f>BDH("WEX US Equity","CF_FREE_CASH_FLOW","1993-06-18","2026-05-02","Per=Y","Days=T","Dir=V")</f>
        <v>0</v>
      </c>
      <c r="AQ2">
        <f>BDH("WEX US Equity","PX_LAST","1993-06-18","2026-05-02","Per=M","Days=T","Dir=V")</f>
        <v>0</v>
      </c>
      <c r="AS2">
        <f>BDH("WEX US Equity","CUR_MKT_CAP","1993-06-18","2026-05-02","Per=M","Days=T","Dir=V")</f>
        <v>0</v>
      </c>
      <c r="AU2">
        <f>BDH("WEX US Equity","EQY_SH_OUT","1993-06-18","2026-05-02","Per=M","Days=T","Dir=V")</f>
        <v>0</v>
      </c>
      <c r="AW2">
        <f>BDH("WEX US Equity","PX_VOLUME","1993-06-18","2026-05-02","Per=M","Days=T","Dir=V")</f>
        <v>0</v>
      </c>
      <c r="AY2">
        <f>BDH("WEX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BDH("WEYS US Equity","BS_TOT_ASSET","1993-06-18","2026-05-02","Per=Y","Days=T","Dir=V")</f>
        <v>0</v>
      </c>
      <c r="C2">
        <f>BDH("WEYS US Equity","BS_TOT_LIAB2","1993-06-18","2026-05-02","Per=Y","Days=T","Dir=V")</f>
        <v>0</v>
      </c>
      <c r="E2">
        <f>BDH("WEYS US Equity","SHORT_AND_LONG_TERM_DEBT","1993-06-18","2026-05-02","Per=Y","Days=T","Dir=V")</f>
        <v>0</v>
      </c>
      <c r="G2">
        <f>BDH("WEYS US Equity","BS_ST_BORROW","1993-06-18","2026-05-02","Per=Y","Days=T","Dir=V")</f>
        <v>0</v>
      </c>
      <c r="I2">
        <f>BDH("WEYS US Equity","BS_LT_BORROW","1993-06-18","2026-05-02","Per=Y","Days=T","Dir=V")</f>
        <v>0</v>
      </c>
      <c r="K2">
        <f>BDH("WEYS US Equity","BS_CASH_NEAR_CASH_ITEM","1993-06-18","2026-05-02","Per=Y","Days=T","Dir=V")</f>
        <v>0</v>
      </c>
      <c r="M2">
        <f>BDH("WEYS US Equity","BS_CUR_ASSET_REPORT","1993-06-18","2026-05-02","Per=Y","Days=T","Dir=V")</f>
        <v>0</v>
      </c>
      <c r="O2">
        <f>BDH("WEYS US Equity","BS_CUR_LIAB","1993-06-18","2026-05-02","Per=Y","Days=T","Dir=V")</f>
        <v>0</v>
      </c>
      <c r="Q2">
        <f>BDH("WEYS US Equity","BS_SHAREHOLDER_EQY_ENDING_PERIOD","1993-06-18","2026-05-02","Per=Y","Days=T","Dir=V")</f>
        <v>0</v>
      </c>
      <c r="S2">
        <f>BDH("WEYS US Equity","BS_ACCT_NOTE_RCV","1993-06-18","2026-05-02","Per=Y","Days=T","Dir=V")</f>
        <v>0</v>
      </c>
      <c r="U2">
        <f>BDH("WEYS US Equity","BS_INVENTORIES","1993-06-18","2026-05-02","Per=Y","Days=T","Dir=V")</f>
        <v>0</v>
      </c>
      <c r="W2">
        <f>BDH("WEYS US Equity","WORKING_CAPITAL","1993-06-18","2026-05-02","Per=Y","Days=T","Dir=V")</f>
        <v>0</v>
      </c>
      <c r="Y2">
        <f>BDH("WEYS US Equity","SALES_REV_TURN","1993-06-18","2026-05-02","Per=Y","Days=T","Dir=V")</f>
        <v>0</v>
      </c>
      <c r="AA2">
        <f>BDH("WEYS US Equity","EBIT","1993-06-18","2026-05-02","Per=Y","Days=T","Dir=V")</f>
        <v>0</v>
      </c>
      <c r="AC2">
        <f>BDH("WEYS US Equity","EBITDA","1993-06-18","2026-05-02","Per=Y","Days=T","Dir=V")</f>
        <v>0</v>
      </c>
      <c r="AE2">
        <f>BDH("WEYS US Equity","NET_INCOME","1993-06-18","2026-05-02","Per=Y","Days=T","Dir=V")</f>
        <v>0</v>
      </c>
      <c r="AG2">
        <f>BDH("WEYS US Equity","IS_INT_EXPENSE","1993-06-18","2026-05-02","Per=Y","Days=T","Dir=V")</f>
        <v>0</v>
      </c>
      <c r="AI2">
        <f>BDH("WEYS US Equity","IS_DEPR_EXP","1993-06-18","2026-05-02","Per=Y","Days=T","Dir=V")</f>
        <v>0</v>
      </c>
      <c r="AK2">
        <f>BDH("WEYS US Equity","CF_CASH_FROM_OPER","1993-06-18","2026-05-02","Per=Y","Days=T","Dir=V")</f>
        <v>0</v>
      </c>
      <c r="AM2">
        <f>BDH("WEYS US Equity","CAPITAL_EXPEND","1993-06-18","2026-05-02","Per=Y","Days=T","Dir=V")</f>
        <v>0</v>
      </c>
      <c r="AO2">
        <f>BDH("WEYS US Equity","CF_FREE_CASH_FLOW","1993-06-18","2026-05-02","Per=Y","Days=T","Dir=V")</f>
        <v>0</v>
      </c>
      <c r="AQ2">
        <f>BDH("WEYS US Equity","PX_LAST","1993-06-18","2026-05-02","Per=M","Days=T","Dir=V")</f>
        <v>0</v>
      </c>
      <c r="AS2">
        <f>BDH("WEYS US Equity","CUR_MKT_CAP","1993-06-18","2026-05-02","Per=M","Days=T","Dir=V")</f>
        <v>0</v>
      </c>
      <c r="AU2">
        <f>BDH("WEYS US Equity","EQY_SH_OUT","1993-06-18","2026-05-02","Per=M","Days=T","Dir=V")</f>
        <v>0</v>
      </c>
      <c r="AW2">
        <f>BDH("WEYS US Equity","PX_VOLUME","1993-06-18","2026-05-02","Per=M","Days=T","Dir=V")</f>
        <v>0</v>
      </c>
      <c r="AY2">
        <f>BDH("WEYS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BDH("WFCF US Equity","BS_TOT_ASSET","1993-06-18","2026-05-02","Per=Y","Days=T","Dir=V")</f>
        <v>0</v>
      </c>
      <c r="C2">
        <f>BDH("WFCF US Equity","BS_TOT_LIAB2","1993-06-18","2026-05-02","Per=Y","Days=T","Dir=V")</f>
        <v>0</v>
      </c>
      <c r="E2">
        <f>BDH("WFCF US Equity","SHORT_AND_LONG_TERM_DEBT","1993-06-18","2026-05-02","Per=Y","Days=T","Dir=V")</f>
        <v>0</v>
      </c>
      <c r="G2">
        <f>BDH("WFCF US Equity","BS_ST_BORROW","1993-06-18","2026-05-02","Per=Y","Days=T","Dir=V")</f>
        <v>0</v>
      </c>
      <c r="I2">
        <f>BDH("WFCF US Equity","BS_LT_BORROW","1993-06-18","2026-05-02","Per=Y","Days=T","Dir=V")</f>
        <v>0</v>
      </c>
      <c r="K2">
        <f>BDH("WFCF US Equity","BS_CASH_NEAR_CASH_ITEM","1993-06-18","2026-05-02","Per=Y","Days=T","Dir=V")</f>
        <v>0</v>
      </c>
      <c r="M2">
        <f>BDH("WFCF US Equity","BS_CUR_ASSET_REPORT","1993-06-18","2026-05-02","Per=Y","Days=T","Dir=V")</f>
        <v>0</v>
      </c>
      <c r="O2">
        <f>BDH("WFCF US Equity","BS_CUR_LIAB","1993-06-18","2026-05-02","Per=Y","Days=T","Dir=V")</f>
        <v>0</v>
      </c>
      <c r="Q2">
        <f>BDH("WFCF US Equity","BS_SHAREHOLDER_EQY_ENDING_PERIOD","1993-06-18","2026-05-02","Per=Y","Days=T","Dir=V")</f>
        <v>0</v>
      </c>
      <c r="S2">
        <f>BDH("WFCF US Equity","BS_ACCT_NOTE_RCV","1993-06-18","2026-05-02","Per=Y","Days=T","Dir=V")</f>
        <v>0</v>
      </c>
      <c r="U2">
        <f>BDH("WFCF US Equity","BS_INVENTORIES","1993-06-18","2026-05-02","Per=Y","Days=T","Dir=V")</f>
        <v>0</v>
      </c>
      <c r="W2">
        <f>BDH("WFCF US Equity","WORKING_CAPITAL","1993-06-18","2026-05-02","Per=Y","Days=T","Dir=V")</f>
        <v>0</v>
      </c>
      <c r="Y2">
        <f>BDH("WFCF US Equity","SALES_REV_TURN","1993-06-18","2026-05-02","Per=Y","Days=T","Dir=V")</f>
        <v>0</v>
      </c>
      <c r="AA2">
        <f>BDH("WFCF US Equity","EBIT","1993-06-18","2026-05-02","Per=Y","Days=T","Dir=V")</f>
        <v>0</v>
      </c>
      <c r="AC2">
        <f>BDH("WFCF US Equity","EBITDA","1993-06-18","2026-05-02","Per=Y","Days=T","Dir=V")</f>
        <v>0</v>
      </c>
      <c r="AE2">
        <f>BDH("WFCF US Equity","NET_INCOME","1993-06-18","2026-05-02","Per=Y","Days=T","Dir=V")</f>
        <v>0</v>
      </c>
      <c r="AG2">
        <f>BDH("WFCF US Equity","IS_INT_EXPENSE","1993-06-18","2026-05-02","Per=Y","Days=T","Dir=V")</f>
        <v>0</v>
      </c>
      <c r="AI2">
        <f>BDH("WFCF US Equity","IS_DEPR_EXP","1993-06-18","2026-05-02","Per=Y","Days=T","Dir=V")</f>
        <v>0</v>
      </c>
      <c r="AK2">
        <f>BDH("WFCF US Equity","CF_CASH_FROM_OPER","1993-06-18","2026-05-02","Per=Y","Days=T","Dir=V")</f>
        <v>0</v>
      </c>
      <c r="AM2">
        <f>BDH("WFCF US Equity","CAPITAL_EXPEND","1993-06-18","2026-05-02","Per=Y","Days=T","Dir=V")</f>
        <v>0</v>
      </c>
      <c r="AO2">
        <f>BDH("WFCF US Equity","CF_FREE_CASH_FLOW","1993-06-18","2026-05-02","Per=Y","Days=T","Dir=V")</f>
        <v>0</v>
      </c>
      <c r="AQ2">
        <f>BDH("WFCF US Equity","PX_LAST","1993-06-18","2026-05-02","Per=M","Days=T","Dir=V")</f>
        <v>0</v>
      </c>
      <c r="AS2">
        <f>BDH("WFCF US Equity","CUR_MKT_CAP","1993-06-18","2026-05-02","Per=M","Days=T","Dir=V")</f>
        <v>0</v>
      </c>
      <c r="AU2">
        <f>BDH("WFCF US Equity","EQY_SH_OUT","1993-06-18","2026-05-02","Per=M","Days=T","Dir=V")</f>
        <v>0</v>
      </c>
      <c r="AW2">
        <f>BDH("WFCF US Equity","PX_VOLUME","1993-06-18","2026-05-02","Per=M","Days=T","Dir=V")</f>
        <v>0</v>
      </c>
      <c r="AY2">
        <f>BDH("WFCF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BDH("WFRD US Equity","BS_TOT_ASSET","1993-06-18","2026-05-02","Per=Y","Days=T","Dir=V")</f>
        <v>0</v>
      </c>
      <c r="C2">
        <f>BDH("WFRD US Equity","BS_TOT_LIAB2","1993-06-18","2026-05-02","Per=Y","Days=T","Dir=V")</f>
        <v>0</v>
      </c>
      <c r="E2">
        <f>BDH("WFRD US Equity","SHORT_AND_LONG_TERM_DEBT","1993-06-18","2026-05-02","Per=Y","Days=T","Dir=V")</f>
        <v>0</v>
      </c>
      <c r="G2">
        <f>BDH("WFRD US Equity","BS_ST_BORROW","1993-06-18","2026-05-02","Per=Y","Days=T","Dir=V")</f>
        <v>0</v>
      </c>
      <c r="I2">
        <f>BDH("WFRD US Equity","BS_LT_BORROW","1993-06-18","2026-05-02","Per=Y","Days=T","Dir=V")</f>
        <v>0</v>
      </c>
      <c r="K2">
        <f>BDH("WFRD US Equity","BS_CASH_NEAR_CASH_ITEM","1993-06-18","2026-05-02","Per=Y","Days=T","Dir=V")</f>
        <v>0</v>
      </c>
      <c r="M2">
        <f>BDH("WFRD US Equity","BS_CUR_ASSET_REPORT","1993-06-18","2026-05-02","Per=Y","Days=T","Dir=V")</f>
        <v>0</v>
      </c>
      <c r="O2">
        <f>BDH("WFRD US Equity","BS_CUR_LIAB","1993-06-18","2026-05-02","Per=Y","Days=T","Dir=V")</f>
        <v>0</v>
      </c>
      <c r="Q2">
        <f>BDH("WFRD US Equity","BS_SHAREHOLDER_EQY_ENDING_PERIOD","1993-06-18","2026-05-02","Per=Y","Days=T","Dir=V")</f>
        <v>0</v>
      </c>
      <c r="S2">
        <f>BDH("WFRD US Equity","BS_ACCT_NOTE_RCV","1993-06-18","2026-05-02","Per=Y","Days=T","Dir=V")</f>
        <v>0</v>
      </c>
      <c r="U2">
        <f>BDH("WFRD US Equity","BS_INVENTORIES","1993-06-18","2026-05-02","Per=Y","Days=T","Dir=V")</f>
        <v>0</v>
      </c>
      <c r="W2">
        <f>BDH("WFRD US Equity","WORKING_CAPITAL","1993-06-18","2026-05-02","Per=Y","Days=T","Dir=V")</f>
        <v>0</v>
      </c>
      <c r="Y2">
        <f>BDH("WFRD US Equity","SALES_REV_TURN","1993-06-18","2026-05-02","Per=Y","Days=T","Dir=V")</f>
        <v>0</v>
      </c>
      <c r="AA2">
        <f>BDH("WFRD US Equity","EBIT","1993-06-18","2026-05-02","Per=Y","Days=T","Dir=V")</f>
        <v>0</v>
      </c>
      <c r="AC2">
        <f>BDH("WFRD US Equity","EBITDA","1993-06-18","2026-05-02","Per=Y","Days=T","Dir=V")</f>
        <v>0</v>
      </c>
      <c r="AE2">
        <f>BDH("WFRD US Equity","NET_INCOME","1993-06-18","2026-05-02","Per=Y","Days=T","Dir=V")</f>
        <v>0</v>
      </c>
      <c r="AG2">
        <f>BDH("WFRD US Equity","IS_INT_EXPENSE","1993-06-18","2026-05-02","Per=Y","Days=T","Dir=V")</f>
        <v>0</v>
      </c>
      <c r="AI2">
        <f>BDH("WFRD US Equity","IS_DEPR_EXP","1993-06-18","2026-05-02","Per=Y","Days=T","Dir=V")</f>
        <v>0</v>
      </c>
      <c r="AK2">
        <f>BDH("WFRD US Equity","CF_CASH_FROM_OPER","1993-06-18","2026-05-02","Per=Y","Days=T","Dir=V")</f>
        <v>0</v>
      </c>
      <c r="AM2">
        <f>BDH("WFRD US Equity","CAPITAL_EXPEND","1993-06-18","2026-05-02","Per=Y","Days=T","Dir=V")</f>
        <v>0</v>
      </c>
      <c r="AO2">
        <f>BDH("WFRD US Equity","CF_FREE_CASH_FLOW","1993-06-18","2026-05-02","Per=Y","Days=T","Dir=V")</f>
        <v>0</v>
      </c>
      <c r="AQ2">
        <f>BDH("WFRD US Equity","PX_LAST","1993-06-18","2026-05-02","Per=M","Days=T","Dir=V")</f>
        <v>0</v>
      </c>
      <c r="AS2">
        <f>BDH("WFRD US Equity","CUR_MKT_CAP","1993-06-18","2026-05-02","Per=M","Days=T","Dir=V")</f>
        <v>0</v>
      </c>
      <c r="AU2">
        <f>BDH("WFRD US Equity","EQY_SH_OUT","1993-06-18","2026-05-02","Per=M","Days=T","Dir=V")</f>
        <v>0</v>
      </c>
      <c r="AW2">
        <f>BDH("WFRD US Equity","PX_VOLUME","1993-06-18","2026-05-02","Per=M","Days=T","Dir=V")</f>
        <v>0</v>
      </c>
      <c r="AY2">
        <f>BDH("WFRD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BDH("WGO US Equity","BS_TOT_ASSET","1993-06-18","2026-05-02","Per=Y","Days=T","Dir=V")</f>
        <v>0</v>
      </c>
      <c r="C2">
        <f>BDH("WGO US Equity","BS_TOT_LIAB2","1993-06-18","2026-05-02","Per=Y","Days=T","Dir=V")</f>
        <v>0</v>
      </c>
      <c r="E2">
        <f>BDH("WGO US Equity","SHORT_AND_LONG_TERM_DEBT","1993-06-18","2026-05-02","Per=Y","Days=T","Dir=V")</f>
        <v>0</v>
      </c>
      <c r="G2">
        <f>BDH("WGO US Equity","BS_ST_BORROW","1993-06-18","2026-05-02","Per=Y","Days=T","Dir=V")</f>
        <v>0</v>
      </c>
      <c r="I2">
        <f>BDH("WGO US Equity","BS_LT_BORROW","1993-06-18","2026-05-02","Per=Y","Days=T","Dir=V")</f>
        <v>0</v>
      </c>
      <c r="K2">
        <f>BDH("WGO US Equity","BS_CASH_NEAR_CASH_ITEM","1993-06-18","2026-05-02","Per=Y","Days=T","Dir=V")</f>
        <v>0</v>
      </c>
      <c r="M2">
        <f>BDH("WGO US Equity","BS_CUR_ASSET_REPORT","1993-06-18","2026-05-02","Per=Y","Days=T","Dir=V")</f>
        <v>0</v>
      </c>
      <c r="O2">
        <f>BDH("WGO US Equity","BS_CUR_LIAB","1993-06-18","2026-05-02","Per=Y","Days=T","Dir=V")</f>
        <v>0</v>
      </c>
      <c r="Q2">
        <f>BDH("WGO US Equity","BS_SHAREHOLDER_EQY_ENDING_PERIOD","1993-06-18","2026-05-02","Per=Y","Days=T","Dir=V")</f>
        <v>0</v>
      </c>
      <c r="S2">
        <f>BDH("WGO US Equity","BS_ACCT_NOTE_RCV","1993-06-18","2026-05-02","Per=Y","Days=T","Dir=V")</f>
        <v>0</v>
      </c>
      <c r="U2">
        <f>BDH("WGO US Equity","BS_INVENTORIES","1993-06-18","2026-05-02","Per=Y","Days=T","Dir=V")</f>
        <v>0</v>
      </c>
      <c r="W2">
        <f>BDH("WGO US Equity","WORKING_CAPITAL","1993-06-18","2026-05-02","Per=Y","Days=T","Dir=V")</f>
        <v>0</v>
      </c>
      <c r="Y2">
        <f>BDH("WGO US Equity","SALES_REV_TURN","1993-06-18","2026-05-02","Per=Y","Days=T","Dir=V")</f>
        <v>0</v>
      </c>
      <c r="AA2">
        <f>BDH("WGO US Equity","EBIT","1993-06-18","2026-05-02","Per=Y","Days=T","Dir=V")</f>
        <v>0</v>
      </c>
      <c r="AC2">
        <f>BDH("WGO US Equity","EBITDA","1993-06-18","2026-05-02","Per=Y","Days=T","Dir=V")</f>
        <v>0</v>
      </c>
      <c r="AE2">
        <f>BDH("WGO US Equity","NET_INCOME","1993-06-18","2026-05-02","Per=Y","Days=T","Dir=V")</f>
        <v>0</v>
      </c>
      <c r="AG2">
        <f>BDH("WGO US Equity","IS_INT_EXPENSE","1993-06-18","2026-05-02","Per=Y","Days=T","Dir=V")</f>
        <v>0</v>
      </c>
      <c r="AI2">
        <f>BDH("WGO US Equity","IS_DEPR_EXP","1993-06-18","2026-05-02","Per=Y","Days=T","Dir=V")</f>
        <v>0</v>
      </c>
      <c r="AK2">
        <f>BDH("WGO US Equity","CF_CASH_FROM_OPER","1993-06-18","2026-05-02","Per=Y","Days=T","Dir=V")</f>
        <v>0</v>
      </c>
      <c r="AM2">
        <f>BDH("WGO US Equity","CAPITAL_EXPEND","1993-06-18","2026-05-02","Per=Y","Days=T","Dir=V")</f>
        <v>0</v>
      </c>
      <c r="AO2">
        <f>BDH("WGO US Equity","CF_FREE_CASH_FLOW","1993-06-18","2026-05-02","Per=Y","Days=T","Dir=V")</f>
        <v>0</v>
      </c>
      <c r="AQ2">
        <f>BDH("WGO US Equity","PX_LAST","1993-06-18","2026-05-02","Per=M","Days=T","Dir=V")</f>
        <v>0</v>
      </c>
      <c r="AS2">
        <f>BDH("WGO US Equity","CUR_MKT_CAP","1993-06-18","2026-05-02","Per=M","Days=T","Dir=V")</f>
        <v>0</v>
      </c>
      <c r="AU2">
        <f>BDH("WGO US Equity","EQY_SH_OUT","1993-06-18","2026-05-02","Per=M","Days=T","Dir=V")</f>
        <v>0</v>
      </c>
      <c r="AW2">
        <f>BDH("WGO US Equity","PX_VOLUME","1993-06-18","2026-05-02","Per=M","Days=T","Dir=V")</f>
        <v>0</v>
      </c>
      <c r="AY2">
        <f>BDH("WGO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BDH("WGS US Equity","BS_TOT_ASSET","1993-06-18","2026-05-02","Per=Y","Days=T","Dir=V")</f>
        <v>0</v>
      </c>
      <c r="C2">
        <f>BDH("WGS US Equity","BS_TOT_LIAB2","1993-06-18","2026-05-02","Per=Y","Days=T","Dir=V")</f>
        <v>0</v>
      </c>
      <c r="E2">
        <f>BDH("WGS US Equity","SHORT_AND_LONG_TERM_DEBT","1993-06-18","2026-05-02","Per=Y","Days=T","Dir=V")</f>
        <v>0</v>
      </c>
      <c r="G2">
        <f>BDH("WGS US Equity","BS_ST_BORROW","1993-06-18","2026-05-02","Per=Y","Days=T","Dir=V")</f>
        <v>0</v>
      </c>
      <c r="I2">
        <f>BDH("WGS US Equity","BS_LT_BORROW","1993-06-18","2026-05-02","Per=Y","Days=T","Dir=V")</f>
        <v>0</v>
      </c>
      <c r="K2">
        <f>BDH("WGS US Equity","BS_CASH_NEAR_CASH_ITEM","1993-06-18","2026-05-02","Per=Y","Days=T","Dir=V")</f>
        <v>0</v>
      </c>
      <c r="M2">
        <f>BDH("WGS US Equity","BS_CUR_ASSET_REPORT","1993-06-18","2026-05-02","Per=Y","Days=T","Dir=V")</f>
        <v>0</v>
      </c>
      <c r="O2">
        <f>BDH("WGS US Equity","BS_CUR_LIAB","1993-06-18","2026-05-02","Per=Y","Days=T","Dir=V")</f>
        <v>0</v>
      </c>
      <c r="Q2">
        <f>BDH("WGS US Equity","BS_SHAREHOLDER_EQY_ENDING_PERIOD","1993-06-18","2026-05-02","Per=Y","Days=T","Dir=V")</f>
        <v>0</v>
      </c>
      <c r="S2">
        <f>BDH("WGS US Equity","BS_ACCT_NOTE_RCV","1993-06-18","2026-05-02","Per=Y","Days=T","Dir=V")</f>
        <v>0</v>
      </c>
      <c r="U2">
        <f>BDH("WGS US Equity","BS_INVENTORIES","1993-06-18","2026-05-02","Per=Y","Days=T","Dir=V")</f>
        <v>0</v>
      </c>
      <c r="W2">
        <f>BDH("WGS US Equity","WORKING_CAPITAL","1993-06-18","2026-05-02","Per=Y","Days=T","Dir=V")</f>
        <v>0</v>
      </c>
      <c r="Y2">
        <f>BDH("WGS US Equity","SALES_REV_TURN","1993-06-18","2026-05-02","Per=Y","Days=T","Dir=V")</f>
        <v>0</v>
      </c>
      <c r="AA2">
        <f>BDH("WGS US Equity","EBIT","1993-06-18","2026-05-02","Per=Y","Days=T","Dir=V")</f>
        <v>0</v>
      </c>
      <c r="AC2">
        <f>BDH("WGS US Equity","EBITDA","1993-06-18","2026-05-02","Per=Y","Days=T","Dir=V")</f>
        <v>0</v>
      </c>
      <c r="AE2">
        <f>BDH("WGS US Equity","NET_INCOME","1993-06-18","2026-05-02","Per=Y","Days=T","Dir=V")</f>
        <v>0</v>
      </c>
      <c r="AG2">
        <f>BDH("WGS US Equity","IS_INT_EXPENSE","1993-06-18","2026-05-02","Per=Y","Days=T","Dir=V")</f>
        <v>0</v>
      </c>
      <c r="AI2">
        <f>BDH("WGS US Equity","IS_DEPR_EXP","1993-06-18","2026-05-02","Per=Y","Days=T","Dir=V")</f>
        <v>0</v>
      </c>
      <c r="AK2">
        <f>BDH("WGS US Equity","CF_CASH_FROM_OPER","1993-06-18","2026-05-02","Per=Y","Days=T","Dir=V")</f>
        <v>0</v>
      </c>
      <c r="AM2">
        <f>BDH("WGS US Equity","CAPITAL_EXPEND","1993-06-18","2026-05-02","Per=Y","Days=T","Dir=V")</f>
        <v>0</v>
      </c>
      <c r="AO2">
        <f>BDH("WGS US Equity","CF_FREE_CASH_FLOW","1993-06-18","2026-05-02","Per=Y","Days=T","Dir=V")</f>
        <v>0</v>
      </c>
      <c r="AQ2">
        <f>BDH("WGS US Equity","PX_LAST","1993-06-18","2026-05-02","Per=M","Days=T","Dir=V")</f>
        <v>0</v>
      </c>
      <c r="AS2">
        <f>BDH("WGS US Equity","CUR_MKT_CAP","1993-06-18","2026-05-02","Per=M","Days=T","Dir=V")</f>
        <v>0</v>
      </c>
      <c r="AU2">
        <f>BDH("WGS US Equity","EQY_SH_OUT","1993-06-18","2026-05-02","Per=M","Days=T","Dir=V")</f>
        <v>0</v>
      </c>
      <c r="AW2">
        <f>BDH("WGS US Equity","PX_VOLUME","1993-06-18","2026-05-02","Per=M","Days=T","Dir=V")</f>
        <v>0</v>
      </c>
      <c r="AY2">
        <f>BDH("WGS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BDH("WH US Equity","BS_TOT_ASSET","1993-06-18","2026-05-02","Per=Y","Days=T","Dir=V")</f>
        <v>0</v>
      </c>
      <c r="C2">
        <f>BDH("WH US Equity","BS_TOT_LIAB2","1993-06-18","2026-05-02","Per=Y","Days=T","Dir=V")</f>
        <v>0</v>
      </c>
      <c r="E2">
        <f>BDH("WH US Equity","SHORT_AND_LONG_TERM_DEBT","1993-06-18","2026-05-02","Per=Y","Days=T","Dir=V")</f>
        <v>0</v>
      </c>
      <c r="G2">
        <f>BDH("WH US Equity","BS_ST_BORROW","1993-06-18","2026-05-02","Per=Y","Days=T","Dir=V")</f>
        <v>0</v>
      </c>
      <c r="I2">
        <f>BDH("WH US Equity","BS_LT_BORROW","1993-06-18","2026-05-02","Per=Y","Days=T","Dir=V")</f>
        <v>0</v>
      </c>
      <c r="K2">
        <f>BDH("WH US Equity","BS_CASH_NEAR_CASH_ITEM","1993-06-18","2026-05-02","Per=Y","Days=T","Dir=V")</f>
        <v>0</v>
      </c>
      <c r="M2">
        <f>BDH("WH US Equity","BS_CUR_ASSET_REPORT","1993-06-18","2026-05-02","Per=Y","Days=T","Dir=V")</f>
        <v>0</v>
      </c>
      <c r="O2">
        <f>BDH("WH US Equity","BS_CUR_LIAB","1993-06-18","2026-05-02","Per=Y","Days=T","Dir=V")</f>
        <v>0</v>
      </c>
      <c r="Q2">
        <f>BDH("WH US Equity","BS_SHAREHOLDER_EQY_ENDING_PERIOD","1993-06-18","2026-05-02","Per=Y","Days=T","Dir=V")</f>
        <v>0</v>
      </c>
      <c r="S2">
        <f>BDH("WH US Equity","BS_ACCT_NOTE_RCV","1993-06-18","2026-05-02","Per=Y","Days=T","Dir=V")</f>
        <v>0</v>
      </c>
      <c r="U2">
        <f>BDH("WH US Equity","BS_INVENTORIES","1993-06-18","2026-05-02","Per=Y","Days=T","Dir=V")</f>
        <v>0</v>
      </c>
      <c r="W2">
        <f>BDH("WH US Equity","WORKING_CAPITAL","1993-06-18","2026-05-02","Per=Y","Days=T","Dir=V")</f>
        <v>0</v>
      </c>
      <c r="Y2">
        <f>BDH("WH US Equity","SALES_REV_TURN","1993-06-18","2026-05-02","Per=Y","Days=T","Dir=V")</f>
        <v>0</v>
      </c>
      <c r="AA2">
        <f>BDH("WH US Equity","EBIT","1993-06-18","2026-05-02","Per=Y","Days=T","Dir=V")</f>
        <v>0</v>
      </c>
      <c r="AC2">
        <f>BDH("WH US Equity","EBITDA","1993-06-18","2026-05-02","Per=Y","Days=T","Dir=V")</f>
        <v>0</v>
      </c>
      <c r="AE2">
        <f>BDH("WH US Equity","NET_INCOME","1993-06-18","2026-05-02","Per=Y","Days=T","Dir=V")</f>
        <v>0</v>
      </c>
      <c r="AG2">
        <f>BDH("WH US Equity","IS_INT_EXPENSE","1993-06-18","2026-05-02","Per=Y","Days=T","Dir=V")</f>
        <v>0</v>
      </c>
      <c r="AI2">
        <f>BDH("WH US Equity","IS_DEPR_EXP","1993-06-18","2026-05-02","Per=Y","Days=T","Dir=V")</f>
        <v>0</v>
      </c>
      <c r="AK2">
        <f>BDH("WH US Equity","CF_CASH_FROM_OPER","1993-06-18","2026-05-02","Per=Y","Days=T","Dir=V")</f>
        <v>0</v>
      </c>
      <c r="AM2">
        <f>BDH("WH US Equity","CAPITAL_EXPEND","1993-06-18","2026-05-02","Per=Y","Days=T","Dir=V")</f>
        <v>0</v>
      </c>
      <c r="AO2">
        <f>BDH("WH US Equity","CF_FREE_CASH_FLOW","1993-06-18","2026-05-02","Per=Y","Days=T","Dir=V")</f>
        <v>0</v>
      </c>
      <c r="AQ2">
        <f>BDH("WH US Equity","PX_LAST","1993-06-18","2026-05-02","Per=M","Days=T","Dir=V")</f>
        <v>0</v>
      </c>
      <c r="AS2">
        <f>BDH("WH US Equity","CUR_MKT_CAP","1993-06-18","2026-05-02","Per=M","Days=T","Dir=V")</f>
        <v>0</v>
      </c>
      <c r="AU2">
        <f>BDH("WH US Equity","EQY_SH_OUT","1993-06-18","2026-05-02","Per=M","Days=T","Dir=V")</f>
        <v>0</v>
      </c>
      <c r="AW2">
        <f>BDH("WH US Equity","PX_VOLUME","1993-06-18","2026-05-02","Per=M","Days=T","Dir=V")</f>
        <v>0</v>
      </c>
      <c r="AY2">
        <f>BDH("WH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BDH("WHD US Equity","BS_TOT_ASSET","1993-06-18","2026-05-02","Per=Y","Days=T","Dir=V")</f>
        <v>0</v>
      </c>
      <c r="C2">
        <f>BDH("WHD US Equity","BS_TOT_LIAB2","1993-06-18","2026-05-02","Per=Y","Days=T","Dir=V")</f>
        <v>0</v>
      </c>
      <c r="E2">
        <f>BDH("WHD US Equity","SHORT_AND_LONG_TERM_DEBT","1993-06-18","2026-05-02","Per=Y","Days=T","Dir=V")</f>
        <v>0</v>
      </c>
      <c r="G2">
        <f>BDH("WHD US Equity","BS_ST_BORROW","1993-06-18","2026-05-02","Per=Y","Days=T","Dir=V")</f>
        <v>0</v>
      </c>
      <c r="I2">
        <f>BDH("WHD US Equity","BS_LT_BORROW","1993-06-18","2026-05-02","Per=Y","Days=T","Dir=V")</f>
        <v>0</v>
      </c>
      <c r="K2">
        <f>BDH("WHD US Equity","BS_CASH_NEAR_CASH_ITEM","1993-06-18","2026-05-02","Per=Y","Days=T","Dir=V")</f>
        <v>0</v>
      </c>
      <c r="M2">
        <f>BDH("WHD US Equity","BS_CUR_ASSET_REPORT","1993-06-18","2026-05-02","Per=Y","Days=T","Dir=V")</f>
        <v>0</v>
      </c>
      <c r="O2">
        <f>BDH("WHD US Equity","BS_CUR_LIAB","1993-06-18","2026-05-02","Per=Y","Days=T","Dir=V")</f>
        <v>0</v>
      </c>
      <c r="Q2">
        <f>BDH("WHD US Equity","BS_SHAREHOLDER_EQY_ENDING_PERIOD","1993-06-18","2026-05-02","Per=Y","Days=T","Dir=V")</f>
        <v>0</v>
      </c>
      <c r="S2">
        <f>BDH("WHD US Equity","BS_ACCT_NOTE_RCV","1993-06-18","2026-05-02","Per=Y","Days=T","Dir=V")</f>
        <v>0</v>
      </c>
      <c r="U2">
        <f>BDH("WHD US Equity","BS_INVENTORIES","1993-06-18","2026-05-02","Per=Y","Days=T","Dir=V")</f>
        <v>0</v>
      </c>
      <c r="W2">
        <f>BDH("WHD US Equity","WORKING_CAPITAL","1993-06-18","2026-05-02","Per=Y","Days=T","Dir=V")</f>
        <v>0</v>
      </c>
      <c r="Y2">
        <f>BDH("WHD US Equity","SALES_REV_TURN","1993-06-18","2026-05-02","Per=Y","Days=T","Dir=V")</f>
        <v>0</v>
      </c>
      <c r="AA2">
        <f>BDH("WHD US Equity","EBIT","1993-06-18","2026-05-02","Per=Y","Days=T","Dir=V")</f>
        <v>0</v>
      </c>
      <c r="AC2">
        <f>BDH("WHD US Equity","EBITDA","1993-06-18","2026-05-02","Per=Y","Days=T","Dir=V")</f>
        <v>0</v>
      </c>
      <c r="AE2">
        <f>BDH("WHD US Equity","NET_INCOME","1993-06-18","2026-05-02","Per=Y","Days=T","Dir=V")</f>
        <v>0</v>
      </c>
      <c r="AG2">
        <f>BDH("WHD US Equity","IS_INT_EXPENSE","1993-06-18","2026-05-02","Per=Y","Days=T","Dir=V")</f>
        <v>0</v>
      </c>
      <c r="AI2">
        <f>BDH("WHD US Equity","IS_DEPR_EXP","1993-06-18","2026-05-02","Per=Y","Days=T","Dir=V")</f>
        <v>0</v>
      </c>
      <c r="AK2">
        <f>BDH("WHD US Equity","CF_CASH_FROM_OPER","1993-06-18","2026-05-02","Per=Y","Days=T","Dir=V")</f>
        <v>0</v>
      </c>
      <c r="AM2">
        <f>BDH("WHD US Equity","CAPITAL_EXPEND","1993-06-18","2026-05-02","Per=Y","Days=T","Dir=V")</f>
        <v>0</v>
      </c>
      <c r="AO2">
        <f>BDH("WHD US Equity","CF_FREE_CASH_FLOW","1993-06-18","2026-05-02","Per=Y","Days=T","Dir=V")</f>
        <v>0</v>
      </c>
      <c r="AQ2">
        <f>BDH("WHD US Equity","PX_LAST","1993-06-18","2026-05-02","Per=M","Days=T","Dir=V")</f>
        <v>0</v>
      </c>
      <c r="AS2">
        <f>BDH("WHD US Equity","CUR_MKT_CAP","1993-06-18","2026-05-02","Per=M","Days=T","Dir=V")</f>
        <v>0</v>
      </c>
      <c r="AU2">
        <f>BDH("WHD US Equity","EQY_SH_OUT","1993-06-18","2026-05-02","Per=M","Days=T","Dir=V")</f>
        <v>0</v>
      </c>
      <c r="AW2">
        <f>BDH("WHD US Equity","PX_VOLUME","1993-06-18","2026-05-02","Per=M","Days=T","Dir=V")</f>
        <v>0</v>
      </c>
      <c r="AY2">
        <f>BDH("WHD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BDH("WHR US Equity","BS_TOT_ASSET","1993-06-18","2026-05-02","Per=Y","Days=T","Dir=V")</f>
        <v>0</v>
      </c>
      <c r="C2">
        <f>BDH("WHR US Equity","BS_TOT_LIAB2","1993-06-18","2026-05-02","Per=Y","Days=T","Dir=V")</f>
        <v>0</v>
      </c>
      <c r="E2">
        <f>BDH("WHR US Equity","SHORT_AND_LONG_TERM_DEBT","1993-06-18","2026-05-02","Per=Y","Days=T","Dir=V")</f>
        <v>0</v>
      </c>
      <c r="G2">
        <f>BDH("WHR US Equity","BS_ST_BORROW","1993-06-18","2026-05-02","Per=Y","Days=T","Dir=V")</f>
        <v>0</v>
      </c>
      <c r="I2">
        <f>BDH("WHR US Equity","BS_LT_BORROW","1993-06-18","2026-05-02","Per=Y","Days=T","Dir=V")</f>
        <v>0</v>
      </c>
      <c r="K2">
        <f>BDH("WHR US Equity","BS_CASH_NEAR_CASH_ITEM","1993-06-18","2026-05-02","Per=Y","Days=T","Dir=V")</f>
        <v>0</v>
      </c>
      <c r="M2">
        <f>BDH("WHR US Equity","BS_CUR_ASSET_REPORT","1993-06-18","2026-05-02","Per=Y","Days=T","Dir=V")</f>
        <v>0</v>
      </c>
      <c r="O2">
        <f>BDH("WHR US Equity","BS_CUR_LIAB","1993-06-18","2026-05-02","Per=Y","Days=T","Dir=V")</f>
        <v>0</v>
      </c>
      <c r="Q2">
        <f>BDH("WHR US Equity","BS_SHAREHOLDER_EQY_ENDING_PERIOD","1993-06-18","2026-05-02","Per=Y","Days=T","Dir=V")</f>
        <v>0</v>
      </c>
      <c r="S2">
        <f>BDH("WHR US Equity","BS_ACCT_NOTE_RCV","1993-06-18","2026-05-02","Per=Y","Days=T","Dir=V")</f>
        <v>0</v>
      </c>
      <c r="U2">
        <f>BDH("WHR US Equity","BS_INVENTORIES","1993-06-18","2026-05-02","Per=Y","Days=T","Dir=V")</f>
        <v>0</v>
      </c>
      <c r="W2">
        <f>BDH("WHR US Equity","WORKING_CAPITAL","1993-06-18","2026-05-02","Per=Y","Days=T","Dir=V")</f>
        <v>0</v>
      </c>
      <c r="Y2">
        <f>BDH("WHR US Equity","SALES_REV_TURN","1993-06-18","2026-05-02","Per=Y","Days=T","Dir=V")</f>
        <v>0</v>
      </c>
      <c r="AA2">
        <f>BDH("WHR US Equity","EBIT","1993-06-18","2026-05-02","Per=Y","Days=T","Dir=V")</f>
        <v>0</v>
      </c>
      <c r="AC2">
        <f>BDH("WHR US Equity","EBITDA","1993-06-18","2026-05-02","Per=Y","Days=T","Dir=V")</f>
        <v>0</v>
      </c>
      <c r="AE2">
        <f>BDH("WHR US Equity","NET_INCOME","1993-06-18","2026-05-02","Per=Y","Days=T","Dir=V")</f>
        <v>0</v>
      </c>
      <c r="AG2">
        <f>BDH("WHR US Equity","IS_INT_EXPENSE","1993-06-18","2026-05-02","Per=Y","Days=T","Dir=V")</f>
        <v>0</v>
      </c>
      <c r="AI2">
        <f>BDH("WHR US Equity","IS_DEPR_EXP","1993-06-18","2026-05-02","Per=Y","Days=T","Dir=V")</f>
        <v>0</v>
      </c>
      <c r="AK2">
        <f>BDH("WHR US Equity","CF_CASH_FROM_OPER","1993-06-18","2026-05-02","Per=Y","Days=T","Dir=V")</f>
        <v>0</v>
      </c>
      <c r="AM2">
        <f>BDH("WHR US Equity","CAPITAL_EXPEND","1993-06-18","2026-05-02","Per=Y","Days=T","Dir=V")</f>
        <v>0</v>
      </c>
      <c r="AO2">
        <f>BDH("WHR US Equity","CF_FREE_CASH_FLOW","1993-06-18","2026-05-02","Per=Y","Days=T","Dir=V")</f>
        <v>0</v>
      </c>
      <c r="AQ2">
        <f>BDH("WHR US Equity","PX_LAST","1993-06-18","2026-05-02","Per=M","Days=T","Dir=V")</f>
        <v>0</v>
      </c>
      <c r="AS2">
        <f>BDH("WHR US Equity","CUR_MKT_CAP","1993-06-18","2026-05-02","Per=M","Days=T","Dir=V")</f>
        <v>0</v>
      </c>
      <c r="AU2">
        <f>BDH("WHR US Equity","EQY_SH_OUT","1993-06-18","2026-05-02","Per=M","Days=T","Dir=V")</f>
        <v>0</v>
      </c>
      <c r="AW2">
        <f>BDH("WHR US Equity","PX_VOLUME","1993-06-18","2026-05-02","Per=M","Days=T","Dir=V")</f>
        <v>0</v>
      </c>
      <c r="AY2">
        <f>BDH("WHR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BDH("WHWK US Equity","BS_TOT_ASSET","1993-06-18","2026-05-02","Per=Y","Days=T","Dir=V")</f>
        <v>0</v>
      </c>
      <c r="C2">
        <f>BDH("WHWK US Equity","BS_TOT_LIAB2","1993-06-18","2026-05-02","Per=Y","Days=T","Dir=V")</f>
        <v>0</v>
      </c>
      <c r="E2">
        <f>BDH("WHWK US Equity","SHORT_AND_LONG_TERM_DEBT","1993-06-18","2026-05-02","Per=Y","Days=T","Dir=V")</f>
        <v>0</v>
      </c>
      <c r="G2">
        <f>BDH("WHWK US Equity","BS_ST_BORROW","1993-06-18","2026-05-02","Per=Y","Days=T","Dir=V")</f>
        <v>0</v>
      </c>
      <c r="I2">
        <f>BDH("WHWK US Equity","BS_LT_BORROW","1993-06-18","2026-05-02","Per=Y","Days=T","Dir=V")</f>
        <v>0</v>
      </c>
      <c r="K2">
        <f>BDH("WHWK US Equity","BS_CASH_NEAR_CASH_ITEM","1993-06-18","2026-05-02","Per=Y","Days=T","Dir=V")</f>
        <v>0</v>
      </c>
      <c r="M2">
        <f>BDH("WHWK US Equity","BS_CUR_ASSET_REPORT","1993-06-18","2026-05-02","Per=Y","Days=T","Dir=V")</f>
        <v>0</v>
      </c>
      <c r="O2">
        <f>BDH("WHWK US Equity","BS_CUR_LIAB","1993-06-18","2026-05-02","Per=Y","Days=T","Dir=V")</f>
        <v>0</v>
      </c>
      <c r="Q2">
        <f>BDH("WHWK US Equity","BS_SHAREHOLDER_EQY_ENDING_PERIOD","1993-06-18","2026-05-02","Per=Y","Days=T","Dir=V")</f>
        <v>0</v>
      </c>
      <c r="S2">
        <f>BDH("WHWK US Equity","BS_ACCT_NOTE_RCV","1993-06-18","2026-05-02","Per=Y","Days=T","Dir=V")</f>
        <v>0</v>
      </c>
      <c r="U2">
        <f>BDH("WHWK US Equity","BS_INVENTORIES","1993-06-18","2026-05-02","Per=Y","Days=T","Dir=V")</f>
        <v>0</v>
      </c>
      <c r="W2">
        <f>BDH("WHWK US Equity","WORKING_CAPITAL","1993-06-18","2026-05-02","Per=Y","Days=T","Dir=V")</f>
        <v>0</v>
      </c>
      <c r="Y2">
        <f>BDH("WHWK US Equity","SALES_REV_TURN","1993-06-18","2026-05-02","Per=Y","Days=T","Dir=V")</f>
        <v>0</v>
      </c>
      <c r="AA2">
        <f>BDH("WHWK US Equity","EBIT","1993-06-18","2026-05-02","Per=Y","Days=T","Dir=V")</f>
        <v>0</v>
      </c>
      <c r="AC2">
        <f>BDH("WHWK US Equity","EBITDA","1993-06-18","2026-05-02","Per=Y","Days=T","Dir=V")</f>
        <v>0</v>
      </c>
      <c r="AE2">
        <f>BDH("WHWK US Equity","NET_INCOME","1993-06-18","2026-05-02","Per=Y","Days=T","Dir=V")</f>
        <v>0</v>
      </c>
      <c r="AG2">
        <f>BDH("WHWK US Equity","IS_INT_EXPENSE","1993-06-18","2026-05-02","Per=Y","Days=T","Dir=V")</f>
        <v>0</v>
      </c>
      <c r="AI2">
        <f>BDH("WHWK US Equity","IS_DEPR_EXP","1993-06-18","2026-05-02","Per=Y","Days=T","Dir=V")</f>
        <v>0</v>
      </c>
      <c r="AK2">
        <f>BDH("WHWK US Equity","CF_CASH_FROM_OPER","1993-06-18","2026-05-02","Per=Y","Days=T","Dir=V")</f>
        <v>0</v>
      </c>
      <c r="AM2">
        <f>BDH("WHWK US Equity","CAPITAL_EXPEND","1993-06-18","2026-05-02","Per=Y","Days=T","Dir=V")</f>
        <v>0</v>
      </c>
      <c r="AO2">
        <f>BDH("WHWK US Equity","CF_FREE_CASH_FLOW","1993-06-18","2026-05-02","Per=Y","Days=T","Dir=V")</f>
        <v>0</v>
      </c>
      <c r="AQ2">
        <f>BDH("WHWK US Equity","PX_LAST","1993-06-18","2026-05-02","Per=M","Days=T","Dir=V")</f>
        <v>0</v>
      </c>
      <c r="AS2">
        <f>BDH("WHWK US Equity","CUR_MKT_CAP","1993-06-18","2026-05-02","Per=M","Days=T","Dir=V")</f>
        <v>0</v>
      </c>
      <c r="AU2">
        <f>BDH("WHWK US Equity","EQY_SH_OUT","1993-06-18","2026-05-02","Per=M","Days=T","Dir=V")</f>
        <v>0</v>
      </c>
      <c r="AW2">
        <f>BDH("WHWK US Equity","PX_VOLUME","1993-06-18","2026-05-02","Per=M","Days=T","Dir=V")</f>
        <v>0</v>
      </c>
      <c r="AY2">
        <f>BDH("WHWK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BDH("WINA US Equity","BS_TOT_ASSET","1993-06-18","2026-05-02","Per=Y","Days=T","Dir=V")</f>
        <v>0</v>
      </c>
      <c r="C2">
        <f>BDH("WINA US Equity","BS_TOT_LIAB2","1993-06-18","2026-05-02","Per=Y","Days=T","Dir=V")</f>
        <v>0</v>
      </c>
      <c r="E2">
        <f>BDH("WINA US Equity","SHORT_AND_LONG_TERM_DEBT","1993-06-18","2026-05-02","Per=Y","Days=T","Dir=V")</f>
        <v>0</v>
      </c>
      <c r="G2">
        <f>BDH("WINA US Equity","BS_ST_BORROW","1993-06-18","2026-05-02","Per=Y","Days=T","Dir=V")</f>
        <v>0</v>
      </c>
      <c r="I2">
        <f>BDH("WINA US Equity","BS_LT_BORROW","1993-06-18","2026-05-02","Per=Y","Days=T","Dir=V")</f>
        <v>0</v>
      </c>
      <c r="K2">
        <f>BDH("WINA US Equity","BS_CASH_NEAR_CASH_ITEM","1993-06-18","2026-05-02","Per=Y","Days=T","Dir=V")</f>
        <v>0</v>
      </c>
      <c r="M2">
        <f>BDH("WINA US Equity","BS_CUR_ASSET_REPORT","1993-06-18","2026-05-02","Per=Y","Days=T","Dir=V")</f>
        <v>0</v>
      </c>
      <c r="O2">
        <f>BDH("WINA US Equity","BS_CUR_LIAB","1993-06-18","2026-05-02","Per=Y","Days=T","Dir=V")</f>
        <v>0</v>
      </c>
      <c r="Q2">
        <f>BDH("WINA US Equity","BS_SHAREHOLDER_EQY_ENDING_PERIOD","1993-06-18","2026-05-02","Per=Y","Days=T","Dir=V")</f>
        <v>0</v>
      </c>
      <c r="S2">
        <f>BDH("WINA US Equity","BS_ACCT_NOTE_RCV","1993-06-18","2026-05-02","Per=Y","Days=T","Dir=V")</f>
        <v>0</v>
      </c>
      <c r="U2">
        <f>BDH("WINA US Equity","BS_INVENTORIES","1993-06-18","2026-05-02","Per=Y","Days=T","Dir=V")</f>
        <v>0</v>
      </c>
      <c r="W2">
        <f>BDH("WINA US Equity","WORKING_CAPITAL","1993-06-18","2026-05-02","Per=Y","Days=T","Dir=V")</f>
        <v>0</v>
      </c>
      <c r="Y2">
        <f>BDH("WINA US Equity","SALES_REV_TURN","1993-06-18","2026-05-02","Per=Y","Days=T","Dir=V")</f>
        <v>0</v>
      </c>
      <c r="AA2">
        <f>BDH("WINA US Equity","EBIT","1993-06-18","2026-05-02","Per=Y","Days=T","Dir=V")</f>
        <v>0</v>
      </c>
      <c r="AC2">
        <f>BDH("WINA US Equity","EBITDA","1993-06-18","2026-05-02","Per=Y","Days=T","Dir=V")</f>
        <v>0</v>
      </c>
      <c r="AE2">
        <f>BDH("WINA US Equity","NET_INCOME","1993-06-18","2026-05-02","Per=Y","Days=T","Dir=V")</f>
        <v>0</v>
      </c>
      <c r="AG2">
        <f>BDH("WINA US Equity","IS_INT_EXPENSE","1993-06-18","2026-05-02","Per=Y","Days=T","Dir=V")</f>
        <v>0</v>
      </c>
      <c r="AI2">
        <f>BDH("WINA US Equity","IS_DEPR_EXP","1993-06-18","2026-05-02","Per=Y","Days=T","Dir=V")</f>
        <v>0</v>
      </c>
      <c r="AK2">
        <f>BDH("WINA US Equity","CF_CASH_FROM_OPER","1993-06-18","2026-05-02","Per=Y","Days=T","Dir=V")</f>
        <v>0</v>
      </c>
      <c r="AM2">
        <f>BDH("WINA US Equity","CAPITAL_EXPEND","1993-06-18","2026-05-02","Per=Y","Days=T","Dir=V")</f>
        <v>0</v>
      </c>
      <c r="AO2">
        <f>BDH("WINA US Equity","CF_FREE_CASH_FLOW","1993-06-18","2026-05-02","Per=Y","Days=T","Dir=V")</f>
        <v>0</v>
      </c>
      <c r="AQ2">
        <f>BDH("WINA US Equity","PX_LAST","1993-06-18","2026-05-02","Per=M","Days=T","Dir=V")</f>
        <v>0</v>
      </c>
      <c r="AS2">
        <f>BDH("WINA US Equity","CUR_MKT_CAP","1993-06-18","2026-05-02","Per=M","Days=T","Dir=V")</f>
        <v>0</v>
      </c>
      <c r="AU2">
        <f>BDH("WINA US Equity","EQY_SH_OUT","1993-06-18","2026-05-02","Per=M","Days=T","Dir=V")</f>
        <v>0</v>
      </c>
      <c r="AW2">
        <f>BDH("WINA US Equity","PX_VOLUME","1993-06-18","2026-05-02","Per=M","Days=T","Dir=V")</f>
        <v>0</v>
      </c>
      <c r="AY2">
        <f>BDH("WINA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BDH("WING US Equity","BS_TOT_ASSET","1993-06-18","2026-05-02","Per=Y","Days=T","Dir=V")</f>
        <v>0</v>
      </c>
      <c r="C2">
        <f>BDH("WING US Equity","BS_TOT_LIAB2","1993-06-18","2026-05-02","Per=Y","Days=T","Dir=V")</f>
        <v>0</v>
      </c>
      <c r="E2">
        <f>BDH("WING US Equity","SHORT_AND_LONG_TERM_DEBT","1993-06-18","2026-05-02","Per=Y","Days=T","Dir=V")</f>
        <v>0</v>
      </c>
      <c r="G2">
        <f>BDH("WING US Equity","BS_ST_BORROW","1993-06-18","2026-05-02","Per=Y","Days=T","Dir=V")</f>
        <v>0</v>
      </c>
      <c r="I2">
        <f>BDH("WING US Equity","BS_LT_BORROW","1993-06-18","2026-05-02","Per=Y","Days=T","Dir=V")</f>
        <v>0</v>
      </c>
      <c r="K2">
        <f>BDH("WING US Equity","BS_CASH_NEAR_CASH_ITEM","1993-06-18","2026-05-02","Per=Y","Days=T","Dir=V")</f>
        <v>0</v>
      </c>
      <c r="M2">
        <f>BDH("WING US Equity","BS_CUR_ASSET_REPORT","1993-06-18","2026-05-02","Per=Y","Days=T","Dir=V")</f>
        <v>0</v>
      </c>
      <c r="O2">
        <f>BDH("WING US Equity","BS_CUR_LIAB","1993-06-18","2026-05-02","Per=Y","Days=T","Dir=V")</f>
        <v>0</v>
      </c>
      <c r="Q2">
        <f>BDH("WING US Equity","BS_SHAREHOLDER_EQY_ENDING_PERIOD","1993-06-18","2026-05-02","Per=Y","Days=T","Dir=V")</f>
        <v>0</v>
      </c>
      <c r="S2">
        <f>BDH("WING US Equity","BS_ACCT_NOTE_RCV","1993-06-18","2026-05-02","Per=Y","Days=T","Dir=V")</f>
        <v>0</v>
      </c>
      <c r="U2">
        <f>BDH("WING US Equity","BS_INVENTORIES","1993-06-18","2026-05-02","Per=Y","Days=T","Dir=V")</f>
        <v>0</v>
      </c>
      <c r="W2">
        <f>BDH("WING US Equity","WORKING_CAPITAL","1993-06-18","2026-05-02","Per=Y","Days=T","Dir=V")</f>
        <v>0</v>
      </c>
      <c r="Y2">
        <f>BDH("WING US Equity","SALES_REV_TURN","1993-06-18","2026-05-02","Per=Y","Days=T","Dir=V")</f>
        <v>0</v>
      </c>
      <c r="AA2">
        <f>BDH("WING US Equity","EBIT","1993-06-18","2026-05-02","Per=Y","Days=T","Dir=V")</f>
        <v>0</v>
      </c>
      <c r="AC2">
        <f>BDH("WING US Equity","EBITDA","1993-06-18","2026-05-02","Per=Y","Days=T","Dir=V")</f>
        <v>0</v>
      </c>
      <c r="AE2">
        <f>BDH("WING US Equity","NET_INCOME","1993-06-18","2026-05-02","Per=Y","Days=T","Dir=V")</f>
        <v>0</v>
      </c>
      <c r="AG2">
        <f>BDH("WING US Equity","IS_INT_EXPENSE","1993-06-18","2026-05-02","Per=Y","Days=T","Dir=V")</f>
        <v>0</v>
      </c>
      <c r="AI2">
        <f>BDH("WING US Equity","IS_DEPR_EXP","1993-06-18","2026-05-02","Per=Y","Days=T","Dir=V")</f>
        <v>0</v>
      </c>
      <c r="AK2">
        <f>BDH("WING US Equity","CF_CASH_FROM_OPER","1993-06-18","2026-05-02","Per=Y","Days=T","Dir=V")</f>
        <v>0</v>
      </c>
      <c r="AM2">
        <f>BDH("WING US Equity","CAPITAL_EXPEND","1993-06-18","2026-05-02","Per=Y","Days=T","Dir=V")</f>
        <v>0</v>
      </c>
      <c r="AO2">
        <f>BDH("WING US Equity","CF_FREE_CASH_FLOW","1993-06-18","2026-05-02","Per=Y","Days=T","Dir=V")</f>
        <v>0</v>
      </c>
      <c r="AQ2">
        <f>BDH("WING US Equity","PX_LAST","1993-06-18","2026-05-02","Per=M","Days=T","Dir=V")</f>
        <v>0</v>
      </c>
      <c r="AS2">
        <f>BDH("WING US Equity","CUR_MKT_CAP","1993-06-18","2026-05-02","Per=M","Days=T","Dir=V")</f>
        <v>0</v>
      </c>
      <c r="AU2">
        <f>BDH("WING US Equity","EQY_SH_OUT","1993-06-18","2026-05-02","Per=M","Days=T","Dir=V")</f>
        <v>0</v>
      </c>
      <c r="AW2">
        <f>BDH("WING US Equity","PX_VOLUME","1993-06-18","2026-05-02","Per=M","Days=T","Dir=V")</f>
        <v>0</v>
      </c>
      <c r="AY2">
        <f>BDH("WING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BDH("WK US Equity","BS_TOT_ASSET","1993-06-18","2026-05-02","Per=Y","Days=T","Dir=V")</f>
        <v>0</v>
      </c>
      <c r="C2">
        <f>BDH("WK US Equity","BS_TOT_LIAB2","1993-06-18","2026-05-02","Per=Y","Days=T","Dir=V")</f>
        <v>0</v>
      </c>
      <c r="E2">
        <f>BDH("WK US Equity","SHORT_AND_LONG_TERM_DEBT","1993-06-18","2026-05-02","Per=Y","Days=T","Dir=V")</f>
        <v>0</v>
      </c>
      <c r="G2">
        <f>BDH("WK US Equity","BS_ST_BORROW","1993-06-18","2026-05-02","Per=Y","Days=T","Dir=V")</f>
        <v>0</v>
      </c>
      <c r="I2">
        <f>BDH("WK US Equity","BS_LT_BORROW","1993-06-18","2026-05-02","Per=Y","Days=T","Dir=V")</f>
        <v>0</v>
      </c>
      <c r="K2">
        <f>BDH("WK US Equity","BS_CASH_NEAR_CASH_ITEM","1993-06-18","2026-05-02","Per=Y","Days=T","Dir=V")</f>
        <v>0</v>
      </c>
      <c r="M2">
        <f>BDH("WK US Equity","BS_CUR_ASSET_REPORT","1993-06-18","2026-05-02","Per=Y","Days=T","Dir=V")</f>
        <v>0</v>
      </c>
      <c r="O2">
        <f>BDH("WK US Equity","BS_CUR_LIAB","1993-06-18","2026-05-02","Per=Y","Days=T","Dir=V")</f>
        <v>0</v>
      </c>
      <c r="Q2">
        <f>BDH("WK US Equity","BS_SHAREHOLDER_EQY_ENDING_PERIOD","1993-06-18","2026-05-02","Per=Y","Days=T","Dir=V")</f>
        <v>0</v>
      </c>
      <c r="S2">
        <f>BDH("WK US Equity","BS_ACCT_NOTE_RCV","1993-06-18","2026-05-02","Per=Y","Days=T","Dir=V")</f>
        <v>0</v>
      </c>
      <c r="U2">
        <f>BDH("WK US Equity","BS_INVENTORIES","1993-06-18","2026-05-02","Per=Y","Days=T","Dir=V")</f>
        <v>0</v>
      </c>
      <c r="W2">
        <f>BDH("WK US Equity","WORKING_CAPITAL","1993-06-18","2026-05-02","Per=Y","Days=T","Dir=V")</f>
        <v>0</v>
      </c>
      <c r="Y2">
        <f>BDH("WK US Equity","SALES_REV_TURN","1993-06-18","2026-05-02","Per=Y","Days=T","Dir=V")</f>
        <v>0</v>
      </c>
      <c r="AA2">
        <f>BDH("WK US Equity","EBIT","1993-06-18","2026-05-02","Per=Y","Days=T","Dir=V")</f>
        <v>0</v>
      </c>
      <c r="AC2">
        <f>BDH("WK US Equity","EBITDA","1993-06-18","2026-05-02","Per=Y","Days=T","Dir=V")</f>
        <v>0</v>
      </c>
      <c r="AE2">
        <f>BDH("WK US Equity","NET_INCOME","1993-06-18","2026-05-02","Per=Y","Days=T","Dir=V")</f>
        <v>0</v>
      </c>
      <c r="AG2">
        <f>BDH("WK US Equity","IS_INT_EXPENSE","1993-06-18","2026-05-02","Per=Y","Days=T","Dir=V")</f>
        <v>0</v>
      </c>
      <c r="AI2">
        <f>BDH("WK US Equity","IS_DEPR_EXP","1993-06-18","2026-05-02","Per=Y","Days=T","Dir=V")</f>
        <v>0</v>
      </c>
      <c r="AK2">
        <f>BDH("WK US Equity","CF_CASH_FROM_OPER","1993-06-18","2026-05-02","Per=Y","Days=T","Dir=V")</f>
        <v>0</v>
      </c>
      <c r="AM2">
        <f>BDH("WK US Equity","CAPITAL_EXPEND","1993-06-18","2026-05-02","Per=Y","Days=T","Dir=V")</f>
        <v>0</v>
      </c>
      <c r="AO2">
        <f>BDH("WK US Equity","CF_FREE_CASH_FLOW","1993-06-18","2026-05-02","Per=Y","Days=T","Dir=V")</f>
        <v>0</v>
      </c>
      <c r="AQ2">
        <f>BDH("WK US Equity","PX_LAST","1993-06-18","2026-05-02","Per=M","Days=T","Dir=V")</f>
        <v>0</v>
      </c>
      <c r="AS2">
        <f>BDH("WK US Equity","CUR_MKT_CAP","1993-06-18","2026-05-02","Per=M","Days=T","Dir=V")</f>
        <v>0</v>
      </c>
      <c r="AU2">
        <f>BDH("WK US Equity","EQY_SH_OUT","1993-06-18","2026-05-02","Per=M","Days=T","Dir=V")</f>
        <v>0</v>
      </c>
      <c r="AW2">
        <f>BDH("WK US Equity","PX_VOLUME","1993-06-18","2026-05-02","Per=M","Days=T","Dir=V")</f>
        <v>0</v>
      </c>
      <c r="AY2">
        <f>BDH("WK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BDH("WKC US Equity","BS_TOT_ASSET","1993-06-18","2026-05-02","Per=Y","Days=T","Dir=V")</f>
        <v>0</v>
      </c>
      <c r="C2">
        <f>BDH("WKC US Equity","BS_TOT_LIAB2","1993-06-18","2026-05-02","Per=Y","Days=T","Dir=V")</f>
        <v>0</v>
      </c>
      <c r="E2">
        <f>BDH("WKC US Equity","SHORT_AND_LONG_TERM_DEBT","1993-06-18","2026-05-02","Per=Y","Days=T","Dir=V")</f>
        <v>0</v>
      </c>
      <c r="G2">
        <f>BDH("WKC US Equity","BS_ST_BORROW","1993-06-18","2026-05-02","Per=Y","Days=T","Dir=V")</f>
        <v>0</v>
      </c>
      <c r="I2">
        <f>BDH("WKC US Equity","BS_LT_BORROW","1993-06-18","2026-05-02","Per=Y","Days=T","Dir=V")</f>
        <v>0</v>
      </c>
      <c r="K2">
        <f>BDH("WKC US Equity","BS_CASH_NEAR_CASH_ITEM","1993-06-18","2026-05-02","Per=Y","Days=T","Dir=V")</f>
        <v>0</v>
      </c>
      <c r="M2">
        <f>BDH("WKC US Equity","BS_CUR_ASSET_REPORT","1993-06-18","2026-05-02","Per=Y","Days=T","Dir=V")</f>
        <v>0</v>
      </c>
      <c r="O2">
        <f>BDH("WKC US Equity","BS_CUR_LIAB","1993-06-18","2026-05-02","Per=Y","Days=T","Dir=V")</f>
        <v>0</v>
      </c>
      <c r="Q2">
        <f>BDH("WKC US Equity","BS_SHAREHOLDER_EQY_ENDING_PERIOD","1993-06-18","2026-05-02","Per=Y","Days=T","Dir=V")</f>
        <v>0</v>
      </c>
      <c r="S2">
        <f>BDH("WKC US Equity","BS_ACCT_NOTE_RCV","1993-06-18","2026-05-02","Per=Y","Days=T","Dir=V")</f>
        <v>0</v>
      </c>
      <c r="U2">
        <f>BDH("WKC US Equity","BS_INVENTORIES","1993-06-18","2026-05-02","Per=Y","Days=T","Dir=V")</f>
        <v>0</v>
      </c>
      <c r="W2">
        <f>BDH("WKC US Equity","WORKING_CAPITAL","1993-06-18","2026-05-02","Per=Y","Days=T","Dir=V")</f>
        <v>0</v>
      </c>
      <c r="Y2">
        <f>BDH("WKC US Equity","SALES_REV_TURN","1993-06-18","2026-05-02","Per=Y","Days=T","Dir=V")</f>
        <v>0</v>
      </c>
      <c r="AA2">
        <f>BDH("WKC US Equity","EBIT","1993-06-18","2026-05-02","Per=Y","Days=T","Dir=V")</f>
        <v>0</v>
      </c>
      <c r="AC2">
        <f>BDH("WKC US Equity","EBITDA","1993-06-18","2026-05-02","Per=Y","Days=T","Dir=V")</f>
        <v>0</v>
      </c>
      <c r="AE2">
        <f>BDH("WKC US Equity","NET_INCOME","1993-06-18","2026-05-02","Per=Y","Days=T","Dir=V")</f>
        <v>0</v>
      </c>
      <c r="AG2">
        <f>BDH("WKC US Equity","IS_INT_EXPENSE","1993-06-18","2026-05-02","Per=Y","Days=T","Dir=V")</f>
        <v>0</v>
      </c>
      <c r="AI2">
        <f>BDH("WKC US Equity","IS_DEPR_EXP","1993-06-18","2026-05-02","Per=Y","Days=T","Dir=V")</f>
        <v>0</v>
      </c>
      <c r="AK2">
        <f>BDH("WKC US Equity","CF_CASH_FROM_OPER","1993-06-18","2026-05-02","Per=Y","Days=T","Dir=V")</f>
        <v>0</v>
      </c>
      <c r="AM2">
        <f>BDH("WKC US Equity","CAPITAL_EXPEND","1993-06-18","2026-05-02","Per=Y","Days=T","Dir=V")</f>
        <v>0</v>
      </c>
      <c r="AO2">
        <f>BDH("WKC US Equity","CF_FREE_CASH_FLOW","1993-06-18","2026-05-02","Per=Y","Days=T","Dir=V")</f>
        <v>0</v>
      </c>
      <c r="AQ2">
        <f>BDH("WKC US Equity","PX_LAST","1993-06-18","2026-05-02","Per=M","Days=T","Dir=V")</f>
        <v>0</v>
      </c>
      <c r="AS2">
        <f>BDH("WKC US Equity","CUR_MKT_CAP","1993-06-18","2026-05-02","Per=M","Days=T","Dir=V")</f>
        <v>0</v>
      </c>
      <c r="AU2">
        <f>BDH("WKC US Equity","EQY_SH_OUT","1993-06-18","2026-05-02","Per=M","Days=T","Dir=V")</f>
        <v>0</v>
      </c>
      <c r="AW2">
        <f>BDH("WKC US Equity","PX_VOLUME","1993-06-18","2026-05-02","Per=M","Days=T","Dir=V")</f>
        <v>0</v>
      </c>
      <c r="AY2">
        <f>BDH("WKC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BDH("WKHS US Equity","BS_TOT_ASSET","1993-06-18","2026-05-02","Per=Y","Days=T","Dir=V")</f>
        <v>0</v>
      </c>
      <c r="C2">
        <f>BDH("WKHS US Equity","BS_TOT_LIAB2","1993-06-18","2026-05-02","Per=Y","Days=T","Dir=V")</f>
        <v>0</v>
      </c>
      <c r="E2">
        <f>BDH("WKHS US Equity","SHORT_AND_LONG_TERM_DEBT","1993-06-18","2026-05-02","Per=Y","Days=T","Dir=V")</f>
        <v>0</v>
      </c>
      <c r="G2">
        <f>BDH("WKHS US Equity","BS_ST_BORROW","1993-06-18","2026-05-02","Per=Y","Days=T","Dir=V")</f>
        <v>0</v>
      </c>
      <c r="I2">
        <f>BDH("WKHS US Equity","BS_LT_BORROW","1993-06-18","2026-05-02","Per=Y","Days=T","Dir=V")</f>
        <v>0</v>
      </c>
      <c r="K2">
        <f>BDH("WKHS US Equity","BS_CASH_NEAR_CASH_ITEM","1993-06-18","2026-05-02","Per=Y","Days=T","Dir=V")</f>
        <v>0</v>
      </c>
      <c r="M2">
        <f>BDH("WKHS US Equity","BS_CUR_ASSET_REPORT","1993-06-18","2026-05-02","Per=Y","Days=T","Dir=V")</f>
        <v>0</v>
      </c>
      <c r="O2">
        <f>BDH("WKHS US Equity","BS_CUR_LIAB","1993-06-18","2026-05-02","Per=Y","Days=T","Dir=V")</f>
        <v>0</v>
      </c>
      <c r="Q2">
        <f>BDH("WKHS US Equity","BS_SHAREHOLDER_EQY_ENDING_PERIOD","1993-06-18","2026-05-02","Per=Y","Days=T","Dir=V")</f>
        <v>0</v>
      </c>
      <c r="S2">
        <f>BDH("WKHS US Equity","BS_ACCT_NOTE_RCV","1993-06-18","2026-05-02","Per=Y","Days=T","Dir=V")</f>
        <v>0</v>
      </c>
      <c r="U2">
        <f>BDH("WKHS US Equity","BS_INVENTORIES","1993-06-18","2026-05-02","Per=Y","Days=T","Dir=V")</f>
        <v>0</v>
      </c>
      <c r="W2">
        <f>BDH("WKHS US Equity","WORKING_CAPITAL","1993-06-18","2026-05-02","Per=Y","Days=T","Dir=V")</f>
        <v>0</v>
      </c>
      <c r="Y2">
        <f>BDH("WKHS US Equity","SALES_REV_TURN","1993-06-18","2026-05-02","Per=Y","Days=T","Dir=V")</f>
        <v>0</v>
      </c>
      <c r="AA2">
        <f>BDH("WKHS US Equity","EBIT","1993-06-18","2026-05-02","Per=Y","Days=T","Dir=V")</f>
        <v>0</v>
      </c>
      <c r="AC2">
        <f>BDH("WKHS US Equity","EBITDA","1993-06-18","2026-05-02","Per=Y","Days=T","Dir=V")</f>
        <v>0</v>
      </c>
      <c r="AE2">
        <f>BDH("WKHS US Equity","NET_INCOME","1993-06-18","2026-05-02","Per=Y","Days=T","Dir=V")</f>
        <v>0</v>
      </c>
      <c r="AG2">
        <f>BDH("WKHS US Equity","IS_INT_EXPENSE","1993-06-18","2026-05-02","Per=Y","Days=T","Dir=V")</f>
        <v>0</v>
      </c>
      <c r="AI2">
        <f>BDH("WKHS US Equity","IS_DEPR_EXP","1993-06-18","2026-05-02","Per=Y","Days=T","Dir=V")</f>
        <v>0</v>
      </c>
      <c r="AK2">
        <f>BDH("WKHS US Equity","CF_CASH_FROM_OPER","1993-06-18","2026-05-02","Per=Y","Days=T","Dir=V")</f>
        <v>0</v>
      </c>
      <c r="AM2">
        <f>BDH("WKHS US Equity","CAPITAL_EXPEND","1993-06-18","2026-05-02","Per=Y","Days=T","Dir=V")</f>
        <v>0</v>
      </c>
      <c r="AO2">
        <f>BDH("WKHS US Equity","CF_FREE_CASH_FLOW","1993-06-18","2026-05-02","Per=Y","Days=T","Dir=V")</f>
        <v>0</v>
      </c>
      <c r="AQ2">
        <f>BDH("WKHS US Equity","PX_LAST","1993-06-18","2026-05-02","Per=M","Days=T","Dir=V")</f>
        <v>0</v>
      </c>
      <c r="AS2">
        <f>BDH("WKHS US Equity","CUR_MKT_CAP","1993-06-18","2026-05-02","Per=M","Days=T","Dir=V")</f>
        <v>0</v>
      </c>
      <c r="AU2">
        <f>BDH("WKHS US Equity","EQY_SH_OUT","1993-06-18","2026-05-02","Per=M","Days=T","Dir=V")</f>
        <v>0</v>
      </c>
      <c r="AW2">
        <f>BDH("WKHS US Equity","PX_VOLUME","1993-06-18","2026-05-02","Per=M","Days=T","Dir=V")</f>
        <v>0</v>
      </c>
      <c r="AY2">
        <f>BDH("WKHS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BDH("WLDN US Equity","BS_TOT_ASSET","1993-06-18","2026-05-02","Per=Y","Days=T","Dir=V")</f>
        <v>0</v>
      </c>
      <c r="C2">
        <f>BDH("WLDN US Equity","BS_TOT_LIAB2","1993-06-18","2026-05-02","Per=Y","Days=T","Dir=V")</f>
        <v>0</v>
      </c>
      <c r="E2">
        <f>BDH("WLDN US Equity","SHORT_AND_LONG_TERM_DEBT","1993-06-18","2026-05-02","Per=Y","Days=T","Dir=V")</f>
        <v>0</v>
      </c>
      <c r="G2">
        <f>BDH("WLDN US Equity","BS_ST_BORROW","1993-06-18","2026-05-02","Per=Y","Days=T","Dir=V")</f>
        <v>0</v>
      </c>
      <c r="I2">
        <f>BDH("WLDN US Equity","BS_LT_BORROW","1993-06-18","2026-05-02","Per=Y","Days=T","Dir=V")</f>
        <v>0</v>
      </c>
      <c r="K2">
        <f>BDH("WLDN US Equity","BS_CASH_NEAR_CASH_ITEM","1993-06-18","2026-05-02","Per=Y","Days=T","Dir=V")</f>
        <v>0</v>
      </c>
      <c r="M2">
        <f>BDH("WLDN US Equity","BS_CUR_ASSET_REPORT","1993-06-18","2026-05-02","Per=Y","Days=T","Dir=V")</f>
        <v>0</v>
      </c>
      <c r="O2">
        <f>BDH("WLDN US Equity","BS_CUR_LIAB","1993-06-18","2026-05-02","Per=Y","Days=T","Dir=V")</f>
        <v>0</v>
      </c>
      <c r="Q2">
        <f>BDH("WLDN US Equity","BS_SHAREHOLDER_EQY_ENDING_PERIOD","1993-06-18","2026-05-02","Per=Y","Days=T","Dir=V")</f>
        <v>0</v>
      </c>
      <c r="S2">
        <f>BDH("WLDN US Equity","BS_ACCT_NOTE_RCV","1993-06-18","2026-05-02","Per=Y","Days=T","Dir=V")</f>
        <v>0</v>
      </c>
      <c r="U2">
        <f>BDH("WLDN US Equity","BS_INVENTORIES","1993-06-18","2026-05-02","Per=Y","Days=T","Dir=V")</f>
        <v>0</v>
      </c>
      <c r="W2">
        <f>BDH("WLDN US Equity","WORKING_CAPITAL","1993-06-18","2026-05-02","Per=Y","Days=T","Dir=V")</f>
        <v>0</v>
      </c>
      <c r="Y2">
        <f>BDH("WLDN US Equity","SALES_REV_TURN","1993-06-18","2026-05-02","Per=Y","Days=T","Dir=V")</f>
        <v>0</v>
      </c>
      <c r="AA2">
        <f>BDH("WLDN US Equity","EBIT","1993-06-18","2026-05-02","Per=Y","Days=T","Dir=V")</f>
        <v>0</v>
      </c>
      <c r="AC2">
        <f>BDH("WLDN US Equity","EBITDA","1993-06-18","2026-05-02","Per=Y","Days=T","Dir=V")</f>
        <v>0</v>
      </c>
      <c r="AE2">
        <f>BDH("WLDN US Equity","NET_INCOME","1993-06-18","2026-05-02","Per=Y","Days=T","Dir=V")</f>
        <v>0</v>
      </c>
      <c r="AG2">
        <f>BDH("WLDN US Equity","IS_INT_EXPENSE","1993-06-18","2026-05-02","Per=Y","Days=T","Dir=V")</f>
        <v>0</v>
      </c>
      <c r="AI2">
        <f>BDH("WLDN US Equity","IS_DEPR_EXP","1993-06-18","2026-05-02","Per=Y","Days=T","Dir=V")</f>
        <v>0</v>
      </c>
      <c r="AK2">
        <f>BDH("WLDN US Equity","CF_CASH_FROM_OPER","1993-06-18","2026-05-02","Per=Y","Days=T","Dir=V")</f>
        <v>0</v>
      </c>
      <c r="AM2">
        <f>BDH("WLDN US Equity","CAPITAL_EXPEND","1993-06-18","2026-05-02","Per=Y","Days=T","Dir=V")</f>
        <v>0</v>
      </c>
      <c r="AO2">
        <f>BDH("WLDN US Equity","CF_FREE_CASH_FLOW","1993-06-18","2026-05-02","Per=Y","Days=T","Dir=V")</f>
        <v>0</v>
      </c>
      <c r="AQ2">
        <f>BDH("WLDN US Equity","PX_LAST","1993-06-18","2026-05-02","Per=M","Days=T","Dir=V")</f>
        <v>0</v>
      </c>
      <c r="AS2">
        <f>BDH("WLDN US Equity","CUR_MKT_CAP","1993-06-18","2026-05-02","Per=M","Days=T","Dir=V")</f>
        <v>0</v>
      </c>
      <c r="AU2">
        <f>BDH("WLDN US Equity","EQY_SH_OUT","1993-06-18","2026-05-02","Per=M","Days=T","Dir=V")</f>
        <v>0</v>
      </c>
      <c r="AW2">
        <f>BDH("WLDN US Equity","PX_VOLUME","1993-06-18","2026-05-02","Per=M","Days=T","Dir=V")</f>
        <v>0</v>
      </c>
      <c r="AY2">
        <f>BDH("WLDN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BDH("WLFC US Equity","BS_TOT_ASSET","1993-06-18","2026-05-02","Per=Y","Days=T","Dir=V")</f>
        <v>0</v>
      </c>
      <c r="C2">
        <f>BDH("WLFC US Equity","BS_TOT_LIAB2","1993-06-18","2026-05-02","Per=Y","Days=T","Dir=V")</f>
        <v>0</v>
      </c>
      <c r="E2">
        <f>BDH("WLFC US Equity","SHORT_AND_LONG_TERM_DEBT","1993-06-18","2026-05-02","Per=Y","Days=T","Dir=V")</f>
        <v>0</v>
      </c>
      <c r="G2">
        <f>BDH("WLFC US Equity","BS_ST_BORROW","1993-06-18","2026-05-02","Per=Y","Days=T","Dir=V")</f>
        <v>0</v>
      </c>
      <c r="I2">
        <f>BDH("WLFC US Equity","BS_LT_BORROW","1993-06-18","2026-05-02","Per=Y","Days=T","Dir=V")</f>
        <v>0</v>
      </c>
      <c r="K2">
        <f>BDH("WLFC US Equity","BS_CASH_NEAR_CASH_ITEM","1993-06-18","2026-05-02","Per=Y","Days=T","Dir=V")</f>
        <v>0</v>
      </c>
      <c r="M2">
        <f>BDH("WLFC US Equity","BS_CUR_ASSET_REPORT","1993-06-18","2026-05-02","Per=Y","Days=T","Dir=V")</f>
        <v>0</v>
      </c>
      <c r="O2">
        <f>BDH("WLFC US Equity","BS_CUR_LIAB","1993-06-18","2026-05-02","Per=Y","Days=T","Dir=V")</f>
        <v>0</v>
      </c>
      <c r="Q2">
        <f>BDH("WLFC US Equity","BS_SHAREHOLDER_EQY_ENDING_PERIOD","1993-06-18","2026-05-02","Per=Y","Days=T","Dir=V")</f>
        <v>0</v>
      </c>
      <c r="S2">
        <f>BDH("WLFC US Equity","BS_ACCT_NOTE_RCV","1993-06-18","2026-05-02","Per=Y","Days=T","Dir=V")</f>
        <v>0</v>
      </c>
      <c r="U2">
        <f>BDH("WLFC US Equity","BS_INVENTORIES","1993-06-18","2026-05-02","Per=Y","Days=T","Dir=V")</f>
        <v>0</v>
      </c>
      <c r="W2">
        <f>BDH("WLFC US Equity","WORKING_CAPITAL","1993-06-18","2026-05-02","Per=Y","Days=T","Dir=V")</f>
        <v>0</v>
      </c>
      <c r="Y2">
        <f>BDH("WLFC US Equity","SALES_REV_TURN","1993-06-18","2026-05-02","Per=Y","Days=T","Dir=V")</f>
        <v>0</v>
      </c>
      <c r="AA2">
        <f>BDH("WLFC US Equity","EBIT","1993-06-18","2026-05-02","Per=Y","Days=T","Dir=V")</f>
        <v>0</v>
      </c>
      <c r="AC2">
        <f>BDH("WLFC US Equity","EBITDA","1993-06-18","2026-05-02","Per=Y","Days=T","Dir=V")</f>
        <v>0</v>
      </c>
      <c r="AE2">
        <f>BDH("WLFC US Equity","NET_INCOME","1993-06-18","2026-05-02","Per=Y","Days=T","Dir=V")</f>
        <v>0</v>
      </c>
      <c r="AG2">
        <f>BDH("WLFC US Equity","IS_INT_EXPENSE","1993-06-18","2026-05-02","Per=Y","Days=T","Dir=V")</f>
        <v>0</v>
      </c>
      <c r="AI2">
        <f>BDH("WLFC US Equity","IS_DEPR_EXP","1993-06-18","2026-05-02","Per=Y","Days=T","Dir=V")</f>
        <v>0</v>
      </c>
      <c r="AK2">
        <f>BDH("WLFC US Equity","CF_CASH_FROM_OPER","1993-06-18","2026-05-02","Per=Y","Days=T","Dir=V")</f>
        <v>0</v>
      </c>
      <c r="AM2">
        <f>BDH("WLFC US Equity","CAPITAL_EXPEND","1993-06-18","2026-05-02","Per=Y","Days=T","Dir=V")</f>
        <v>0</v>
      </c>
      <c r="AO2">
        <f>BDH("WLFC US Equity","CF_FREE_CASH_FLOW","1993-06-18","2026-05-02","Per=Y","Days=T","Dir=V")</f>
        <v>0</v>
      </c>
      <c r="AQ2">
        <f>BDH("WLFC US Equity","PX_LAST","1993-06-18","2026-05-02","Per=M","Days=T","Dir=V")</f>
        <v>0</v>
      </c>
      <c r="AS2">
        <f>BDH("WLFC US Equity","CUR_MKT_CAP","1993-06-18","2026-05-02","Per=M","Days=T","Dir=V")</f>
        <v>0</v>
      </c>
      <c r="AU2">
        <f>BDH("WLFC US Equity","EQY_SH_OUT","1993-06-18","2026-05-02","Per=M","Days=T","Dir=V")</f>
        <v>0</v>
      </c>
      <c r="AW2">
        <f>BDH("WLFC US Equity","PX_VOLUME","1993-06-18","2026-05-02","Per=M","Days=T","Dir=V")</f>
        <v>0</v>
      </c>
      <c r="AY2">
        <f>BDH("WLFC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BDH("WLK US Equity","BS_TOT_ASSET","1993-06-18","2026-05-02","Per=Y","Days=T","Dir=V")</f>
        <v>0</v>
      </c>
      <c r="C2">
        <f>BDH("WLK US Equity","BS_TOT_LIAB2","1993-06-18","2026-05-02","Per=Y","Days=T","Dir=V")</f>
        <v>0</v>
      </c>
      <c r="E2">
        <f>BDH("WLK US Equity","SHORT_AND_LONG_TERM_DEBT","1993-06-18","2026-05-02","Per=Y","Days=T","Dir=V")</f>
        <v>0</v>
      </c>
      <c r="G2">
        <f>BDH("WLK US Equity","BS_ST_BORROW","1993-06-18","2026-05-02","Per=Y","Days=T","Dir=V")</f>
        <v>0</v>
      </c>
      <c r="I2">
        <f>BDH("WLK US Equity","BS_LT_BORROW","1993-06-18","2026-05-02","Per=Y","Days=T","Dir=V")</f>
        <v>0</v>
      </c>
      <c r="K2">
        <f>BDH("WLK US Equity","BS_CASH_NEAR_CASH_ITEM","1993-06-18","2026-05-02","Per=Y","Days=T","Dir=V")</f>
        <v>0</v>
      </c>
      <c r="M2">
        <f>BDH("WLK US Equity","BS_CUR_ASSET_REPORT","1993-06-18","2026-05-02","Per=Y","Days=T","Dir=V")</f>
        <v>0</v>
      </c>
      <c r="O2">
        <f>BDH("WLK US Equity","BS_CUR_LIAB","1993-06-18","2026-05-02","Per=Y","Days=T","Dir=V")</f>
        <v>0</v>
      </c>
      <c r="Q2">
        <f>BDH("WLK US Equity","BS_SHAREHOLDER_EQY_ENDING_PERIOD","1993-06-18","2026-05-02","Per=Y","Days=T","Dir=V")</f>
        <v>0</v>
      </c>
      <c r="S2">
        <f>BDH("WLK US Equity","BS_ACCT_NOTE_RCV","1993-06-18","2026-05-02","Per=Y","Days=T","Dir=V")</f>
        <v>0</v>
      </c>
      <c r="U2">
        <f>BDH("WLK US Equity","BS_INVENTORIES","1993-06-18","2026-05-02","Per=Y","Days=T","Dir=V")</f>
        <v>0</v>
      </c>
      <c r="W2">
        <f>BDH("WLK US Equity","WORKING_CAPITAL","1993-06-18","2026-05-02","Per=Y","Days=T","Dir=V")</f>
        <v>0</v>
      </c>
      <c r="Y2">
        <f>BDH("WLK US Equity","SALES_REV_TURN","1993-06-18","2026-05-02","Per=Y","Days=T","Dir=V")</f>
        <v>0</v>
      </c>
      <c r="AA2">
        <f>BDH("WLK US Equity","EBIT","1993-06-18","2026-05-02","Per=Y","Days=T","Dir=V")</f>
        <v>0</v>
      </c>
      <c r="AC2">
        <f>BDH("WLK US Equity","EBITDA","1993-06-18","2026-05-02","Per=Y","Days=T","Dir=V")</f>
        <v>0</v>
      </c>
      <c r="AE2">
        <f>BDH("WLK US Equity","NET_INCOME","1993-06-18","2026-05-02","Per=Y","Days=T","Dir=V")</f>
        <v>0</v>
      </c>
      <c r="AG2">
        <f>BDH("WLK US Equity","IS_INT_EXPENSE","1993-06-18","2026-05-02","Per=Y","Days=T","Dir=V")</f>
        <v>0</v>
      </c>
      <c r="AI2">
        <f>BDH("WLK US Equity","IS_DEPR_EXP","1993-06-18","2026-05-02","Per=Y","Days=T","Dir=V")</f>
        <v>0</v>
      </c>
      <c r="AK2">
        <f>BDH("WLK US Equity","CF_CASH_FROM_OPER","1993-06-18","2026-05-02","Per=Y","Days=T","Dir=V")</f>
        <v>0</v>
      </c>
      <c r="AM2">
        <f>BDH("WLK US Equity","CAPITAL_EXPEND","1993-06-18","2026-05-02","Per=Y","Days=T","Dir=V")</f>
        <v>0</v>
      </c>
      <c r="AO2">
        <f>BDH("WLK US Equity","CF_FREE_CASH_FLOW","1993-06-18","2026-05-02","Per=Y","Days=T","Dir=V")</f>
        <v>0</v>
      </c>
      <c r="AQ2">
        <f>BDH("WLK US Equity","PX_LAST","1993-06-18","2026-05-02","Per=M","Days=T","Dir=V")</f>
        <v>0</v>
      </c>
      <c r="AS2">
        <f>BDH("WLK US Equity","CUR_MKT_CAP","1993-06-18","2026-05-02","Per=M","Days=T","Dir=V")</f>
        <v>0</v>
      </c>
      <c r="AU2">
        <f>BDH("WLK US Equity","EQY_SH_OUT","1993-06-18","2026-05-02","Per=M","Days=T","Dir=V")</f>
        <v>0</v>
      </c>
      <c r="AW2">
        <f>BDH("WLK US Equity","PX_VOLUME","1993-06-18","2026-05-02","Per=M","Days=T","Dir=V")</f>
        <v>0</v>
      </c>
      <c r="AY2">
        <f>BDH("WLK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BDH("WLKP US Equity","BS_TOT_ASSET","1993-06-18","2026-05-02","Per=Y","Days=T","Dir=V")</f>
        <v>0</v>
      </c>
      <c r="C2">
        <f>BDH("WLKP US Equity","BS_TOT_LIAB2","1993-06-18","2026-05-02","Per=Y","Days=T","Dir=V")</f>
        <v>0</v>
      </c>
      <c r="E2">
        <f>BDH("WLKP US Equity","SHORT_AND_LONG_TERM_DEBT","1993-06-18","2026-05-02","Per=Y","Days=T","Dir=V")</f>
        <v>0</v>
      </c>
      <c r="G2">
        <f>BDH("WLKP US Equity","BS_ST_BORROW","1993-06-18","2026-05-02","Per=Y","Days=T","Dir=V")</f>
        <v>0</v>
      </c>
      <c r="I2">
        <f>BDH("WLKP US Equity","BS_LT_BORROW","1993-06-18","2026-05-02","Per=Y","Days=T","Dir=V")</f>
        <v>0</v>
      </c>
      <c r="K2">
        <f>BDH("WLKP US Equity","BS_CASH_NEAR_CASH_ITEM","1993-06-18","2026-05-02","Per=Y","Days=T","Dir=V")</f>
        <v>0</v>
      </c>
      <c r="M2">
        <f>BDH("WLKP US Equity","BS_CUR_ASSET_REPORT","1993-06-18","2026-05-02","Per=Y","Days=T","Dir=V")</f>
        <v>0</v>
      </c>
      <c r="O2">
        <f>BDH("WLKP US Equity","BS_CUR_LIAB","1993-06-18","2026-05-02","Per=Y","Days=T","Dir=V")</f>
        <v>0</v>
      </c>
      <c r="Q2">
        <f>BDH("WLKP US Equity","BS_SHAREHOLDER_EQY_ENDING_PERIOD","1993-06-18","2026-05-02","Per=Y","Days=T","Dir=V")</f>
        <v>0</v>
      </c>
      <c r="S2">
        <f>BDH("WLKP US Equity","BS_ACCT_NOTE_RCV","1993-06-18","2026-05-02","Per=Y","Days=T","Dir=V")</f>
        <v>0</v>
      </c>
      <c r="U2">
        <f>BDH("WLKP US Equity","BS_INVENTORIES","1993-06-18","2026-05-02","Per=Y","Days=T","Dir=V")</f>
        <v>0</v>
      </c>
      <c r="W2">
        <f>BDH("WLKP US Equity","WORKING_CAPITAL","1993-06-18","2026-05-02","Per=Y","Days=T","Dir=V")</f>
        <v>0</v>
      </c>
      <c r="Y2">
        <f>BDH("WLKP US Equity","SALES_REV_TURN","1993-06-18","2026-05-02","Per=Y","Days=T","Dir=V")</f>
        <v>0</v>
      </c>
      <c r="AA2">
        <f>BDH("WLKP US Equity","EBIT","1993-06-18","2026-05-02","Per=Y","Days=T","Dir=V")</f>
        <v>0</v>
      </c>
      <c r="AC2">
        <f>BDH("WLKP US Equity","EBITDA","1993-06-18","2026-05-02","Per=Y","Days=T","Dir=V")</f>
        <v>0</v>
      </c>
      <c r="AE2">
        <f>BDH("WLKP US Equity","NET_INCOME","1993-06-18","2026-05-02","Per=Y","Days=T","Dir=V")</f>
        <v>0</v>
      </c>
      <c r="AG2">
        <f>BDH("WLKP US Equity","IS_INT_EXPENSE","1993-06-18","2026-05-02","Per=Y","Days=T","Dir=V")</f>
        <v>0</v>
      </c>
      <c r="AI2">
        <f>BDH("WLKP US Equity","IS_DEPR_EXP","1993-06-18","2026-05-02","Per=Y","Days=T","Dir=V")</f>
        <v>0</v>
      </c>
      <c r="AK2">
        <f>BDH("WLKP US Equity","CF_CASH_FROM_OPER","1993-06-18","2026-05-02","Per=Y","Days=T","Dir=V")</f>
        <v>0</v>
      </c>
      <c r="AM2">
        <f>BDH("WLKP US Equity","CAPITAL_EXPEND","1993-06-18","2026-05-02","Per=Y","Days=T","Dir=V")</f>
        <v>0</v>
      </c>
      <c r="AO2">
        <f>BDH("WLKP US Equity","CF_FREE_CASH_FLOW","1993-06-18","2026-05-02","Per=Y","Days=T","Dir=V")</f>
        <v>0</v>
      </c>
      <c r="AQ2">
        <f>BDH("WLKP US Equity","PX_LAST","1993-06-18","2026-05-02","Per=M","Days=T","Dir=V")</f>
        <v>0</v>
      </c>
      <c r="AS2">
        <f>BDH("WLKP US Equity","CUR_MKT_CAP","1993-06-18","2026-05-02","Per=M","Days=T","Dir=V")</f>
        <v>0</v>
      </c>
      <c r="AU2">
        <f>BDH("WLKP US Equity","EQY_SH_OUT","1993-06-18","2026-05-02","Per=M","Days=T","Dir=V")</f>
        <v>0</v>
      </c>
      <c r="AW2">
        <f>BDH("WLKP US Equity","PX_VOLUME","1993-06-18","2026-05-02","Per=M","Days=T","Dir=V")</f>
        <v>0</v>
      </c>
      <c r="AY2">
        <f>BDH("WLKP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BDH("WLY US Equity","BS_TOT_ASSET","1993-06-18","2026-05-02","Per=Y","Days=T","Dir=V")</f>
        <v>0</v>
      </c>
      <c r="C2">
        <f>BDH("WLY US Equity","BS_TOT_LIAB2","1993-06-18","2026-05-02","Per=Y","Days=T","Dir=V")</f>
        <v>0</v>
      </c>
      <c r="E2">
        <f>BDH("WLY US Equity","SHORT_AND_LONG_TERM_DEBT","1993-06-18","2026-05-02","Per=Y","Days=T","Dir=V")</f>
        <v>0</v>
      </c>
      <c r="G2">
        <f>BDH("WLY US Equity","BS_ST_BORROW","1993-06-18","2026-05-02","Per=Y","Days=T","Dir=V")</f>
        <v>0</v>
      </c>
      <c r="I2">
        <f>BDH("WLY US Equity","BS_LT_BORROW","1993-06-18","2026-05-02","Per=Y","Days=T","Dir=V")</f>
        <v>0</v>
      </c>
      <c r="K2">
        <f>BDH("WLY US Equity","BS_CASH_NEAR_CASH_ITEM","1993-06-18","2026-05-02","Per=Y","Days=T","Dir=V")</f>
        <v>0</v>
      </c>
      <c r="M2">
        <f>BDH("WLY US Equity","BS_CUR_ASSET_REPORT","1993-06-18","2026-05-02","Per=Y","Days=T","Dir=V")</f>
        <v>0</v>
      </c>
      <c r="O2">
        <f>BDH("WLY US Equity","BS_CUR_LIAB","1993-06-18","2026-05-02","Per=Y","Days=T","Dir=V")</f>
        <v>0</v>
      </c>
      <c r="Q2">
        <f>BDH("WLY US Equity","BS_SHAREHOLDER_EQY_ENDING_PERIOD","1993-06-18","2026-05-02","Per=Y","Days=T","Dir=V")</f>
        <v>0</v>
      </c>
      <c r="S2">
        <f>BDH("WLY US Equity","BS_ACCT_NOTE_RCV","1993-06-18","2026-05-02","Per=Y","Days=T","Dir=V")</f>
        <v>0</v>
      </c>
      <c r="U2">
        <f>BDH("WLY US Equity","BS_INVENTORIES","1993-06-18","2026-05-02","Per=Y","Days=T","Dir=V")</f>
        <v>0</v>
      </c>
      <c r="W2">
        <f>BDH("WLY US Equity","WORKING_CAPITAL","1993-06-18","2026-05-02","Per=Y","Days=T","Dir=V")</f>
        <v>0</v>
      </c>
      <c r="Y2">
        <f>BDH("WLY US Equity","SALES_REV_TURN","1993-06-18","2026-05-02","Per=Y","Days=T","Dir=V")</f>
        <v>0</v>
      </c>
      <c r="AA2">
        <f>BDH("WLY US Equity","EBIT","1993-06-18","2026-05-02","Per=Y","Days=T","Dir=V")</f>
        <v>0</v>
      </c>
      <c r="AC2">
        <f>BDH("WLY US Equity","EBITDA","1993-06-18","2026-05-02","Per=Y","Days=T","Dir=V")</f>
        <v>0</v>
      </c>
      <c r="AE2">
        <f>BDH("WLY US Equity","NET_INCOME","1993-06-18","2026-05-02","Per=Y","Days=T","Dir=V")</f>
        <v>0</v>
      </c>
      <c r="AG2">
        <f>BDH("WLY US Equity","IS_INT_EXPENSE","1993-06-18","2026-05-02","Per=Y","Days=T","Dir=V")</f>
        <v>0</v>
      </c>
      <c r="AI2">
        <f>BDH("WLY US Equity","IS_DEPR_EXP","1993-06-18","2026-05-02","Per=Y","Days=T","Dir=V")</f>
        <v>0</v>
      </c>
      <c r="AK2">
        <f>BDH("WLY US Equity","CF_CASH_FROM_OPER","1993-06-18","2026-05-02","Per=Y","Days=T","Dir=V")</f>
        <v>0</v>
      </c>
      <c r="AM2">
        <f>BDH("WLY US Equity","CAPITAL_EXPEND","1993-06-18","2026-05-02","Per=Y","Days=T","Dir=V")</f>
        <v>0</v>
      </c>
      <c r="AO2">
        <f>BDH("WLY US Equity","CF_FREE_CASH_FLOW","1993-06-18","2026-05-02","Per=Y","Days=T","Dir=V")</f>
        <v>0</v>
      </c>
      <c r="AQ2">
        <f>BDH("WLY US Equity","PX_LAST","1993-06-18","2026-05-02","Per=M","Days=T","Dir=V")</f>
        <v>0</v>
      </c>
      <c r="AS2">
        <f>BDH("WLY US Equity","CUR_MKT_CAP","1993-06-18","2026-05-02","Per=M","Days=T","Dir=V")</f>
        <v>0</v>
      </c>
      <c r="AU2">
        <f>BDH("WLY US Equity","EQY_SH_OUT","1993-06-18","2026-05-02","Per=M","Days=T","Dir=V")</f>
        <v>0</v>
      </c>
      <c r="AW2">
        <f>BDH("WLY US Equity","PX_VOLUME","1993-06-18","2026-05-02","Per=M","Days=T","Dir=V")</f>
        <v>0</v>
      </c>
      <c r="AY2">
        <f>BDH("WLY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BDH("WLYB US Equity","BS_TOT_ASSET","1993-06-18","2026-05-02","Per=Y","Days=T","Dir=V")</f>
        <v>0</v>
      </c>
      <c r="C2">
        <f>BDH("WLYB US Equity","BS_TOT_LIAB2","1993-06-18","2026-05-02","Per=Y","Days=T","Dir=V")</f>
        <v>0</v>
      </c>
      <c r="E2">
        <f>BDH("WLYB US Equity","SHORT_AND_LONG_TERM_DEBT","1993-06-18","2026-05-02","Per=Y","Days=T","Dir=V")</f>
        <v>0</v>
      </c>
      <c r="G2">
        <f>BDH("WLYB US Equity","BS_ST_BORROW","1993-06-18","2026-05-02","Per=Y","Days=T","Dir=V")</f>
        <v>0</v>
      </c>
      <c r="I2">
        <f>BDH("WLYB US Equity","BS_LT_BORROW","1993-06-18","2026-05-02","Per=Y","Days=T","Dir=V")</f>
        <v>0</v>
      </c>
      <c r="K2">
        <f>BDH("WLYB US Equity","BS_CASH_NEAR_CASH_ITEM","1993-06-18","2026-05-02","Per=Y","Days=T","Dir=V")</f>
        <v>0</v>
      </c>
      <c r="M2">
        <f>BDH("WLYB US Equity","BS_CUR_ASSET_REPORT","1993-06-18","2026-05-02","Per=Y","Days=T","Dir=V")</f>
        <v>0</v>
      </c>
      <c r="O2">
        <f>BDH("WLYB US Equity","BS_CUR_LIAB","1993-06-18","2026-05-02","Per=Y","Days=T","Dir=V")</f>
        <v>0</v>
      </c>
      <c r="Q2">
        <f>BDH("WLYB US Equity","BS_SHAREHOLDER_EQY_ENDING_PERIOD","1993-06-18","2026-05-02","Per=Y","Days=T","Dir=V")</f>
        <v>0</v>
      </c>
      <c r="S2">
        <f>BDH("WLYB US Equity","BS_ACCT_NOTE_RCV","1993-06-18","2026-05-02","Per=Y","Days=T","Dir=V")</f>
        <v>0</v>
      </c>
      <c r="U2">
        <f>BDH("WLYB US Equity","BS_INVENTORIES","1993-06-18","2026-05-02","Per=Y","Days=T","Dir=V")</f>
        <v>0</v>
      </c>
      <c r="W2">
        <f>BDH("WLYB US Equity","WORKING_CAPITAL","1993-06-18","2026-05-02","Per=Y","Days=T","Dir=V")</f>
        <v>0</v>
      </c>
      <c r="Y2">
        <f>BDH("WLYB US Equity","SALES_REV_TURN","1993-06-18","2026-05-02","Per=Y","Days=T","Dir=V")</f>
        <v>0</v>
      </c>
      <c r="AA2">
        <f>BDH("WLYB US Equity","EBIT","1993-06-18","2026-05-02","Per=Y","Days=T","Dir=V")</f>
        <v>0</v>
      </c>
      <c r="AC2">
        <f>BDH("WLYB US Equity","EBITDA","1993-06-18","2026-05-02","Per=Y","Days=T","Dir=V")</f>
        <v>0</v>
      </c>
      <c r="AE2">
        <f>BDH("WLYB US Equity","NET_INCOME","1993-06-18","2026-05-02","Per=Y","Days=T","Dir=V")</f>
        <v>0</v>
      </c>
      <c r="AG2">
        <f>BDH("WLYB US Equity","IS_INT_EXPENSE","1993-06-18","2026-05-02","Per=Y","Days=T","Dir=V")</f>
        <v>0</v>
      </c>
      <c r="AI2">
        <f>BDH("WLYB US Equity","IS_DEPR_EXP","1993-06-18","2026-05-02","Per=Y","Days=T","Dir=V")</f>
        <v>0</v>
      </c>
      <c r="AK2">
        <f>BDH("WLYB US Equity","CF_CASH_FROM_OPER","1993-06-18","2026-05-02","Per=Y","Days=T","Dir=V")</f>
        <v>0</v>
      </c>
      <c r="AM2">
        <f>BDH("WLYB US Equity","CAPITAL_EXPEND","1993-06-18","2026-05-02","Per=Y","Days=T","Dir=V")</f>
        <v>0</v>
      </c>
      <c r="AO2">
        <f>BDH("WLYB US Equity","CF_FREE_CASH_FLOW","1993-06-18","2026-05-02","Per=Y","Days=T","Dir=V")</f>
        <v>0</v>
      </c>
      <c r="AQ2">
        <f>BDH("WLYB US Equity","PX_LAST","1993-06-18","2026-05-02","Per=M","Days=T","Dir=V")</f>
        <v>0</v>
      </c>
      <c r="AS2">
        <f>BDH("WLYB US Equity","CUR_MKT_CAP","1993-06-18","2026-05-02","Per=M","Days=T","Dir=V")</f>
        <v>0</v>
      </c>
      <c r="AU2">
        <f>BDH("WLYB US Equity","EQY_SH_OUT","1993-06-18","2026-05-02","Per=M","Days=T","Dir=V")</f>
        <v>0</v>
      </c>
      <c r="AW2">
        <f>BDH("WLYB US Equity","PX_VOLUME","1993-06-18","2026-05-02","Per=M","Days=T","Dir=V")</f>
        <v>0</v>
      </c>
      <c r="AY2">
        <f>BDH("WLYB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BDH("WM US Equity","BS_TOT_ASSET","1993-06-18","2026-05-02","Per=Y","Days=T","Dir=V")</f>
        <v>0</v>
      </c>
      <c r="C2">
        <f>BDH("WM US Equity","BS_TOT_LIAB2","1993-06-18","2026-05-02","Per=Y","Days=T","Dir=V")</f>
        <v>0</v>
      </c>
      <c r="E2">
        <f>BDH("WM US Equity","SHORT_AND_LONG_TERM_DEBT","1993-06-18","2026-05-02","Per=Y","Days=T","Dir=V")</f>
        <v>0</v>
      </c>
      <c r="G2">
        <f>BDH("WM US Equity","BS_ST_BORROW","1993-06-18","2026-05-02","Per=Y","Days=T","Dir=V")</f>
        <v>0</v>
      </c>
      <c r="I2">
        <f>BDH("WM US Equity","BS_LT_BORROW","1993-06-18","2026-05-02","Per=Y","Days=T","Dir=V")</f>
        <v>0</v>
      </c>
      <c r="K2">
        <f>BDH("WM US Equity","BS_CASH_NEAR_CASH_ITEM","1993-06-18","2026-05-02","Per=Y","Days=T","Dir=V")</f>
        <v>0</v>
      </c>
      <c r="M2">
        <f>BDH("WM US Equity","BS_CUR_ASSET_REPORT","1993-06-18","2026-05-02","Per=Y","Days=T","Dir=V")</f>
        <v>0</v>
      </c>
      <c r="O2">
        <f>BDH("WM US Equity","BS_CUR_LIAB","1993-06-18","2026-05-02","Per=Y","Days=T","Dir=V")</f>
        <v>0</v>
      </c>
      <c r="Q2">
        <f>BDH("WM US Equity","BS_SHAREHOLDER_EQY_ENDING_PERIOD","1993-06-18","2026-05-02","Per=Y","Days=T","Dir=V")</f>
        <v>0</v>
      </c>
      <c r="S2">
        <f>BDH("WM US Equity","BS_ACCT_NOTE_RCV","1993-06-18","2026-05-02","Per=Y","Days=T","Dir=V")</f>
        <v>0</v>
      </c>
      <c r="U2">
        <f>BDH("WM US Equity","BS_INVENTORIES","1993-06-18","2026-05-02","Per=Y","Days=T","Dir=V")</f>
        <v>0</v>
      </c>
      <c r="W2">
        <f>BDH("WM US Equity","WORKING_CAPITAL","1993-06-18","2026-05-02","Per=Y","Days=T","Dir=V")</f>
        <v>0</v>
      </c>
      <c r="Y2">
        <f>BDH("WM US Equity","SALES_REV_TURN","1993-06-18","2026-05-02","Per=Y","Days=T","Dir=V")</f>
        <v>0</v>
      </c>
      <c r="AA2">
        <f>BDH("WM US Equity","EBIT","1993-06-18","2026-05-02","Per=Y","Days=T","Dir=V")</f>
        <v>0</v>
      </c>
      <c r="AC2">
        <f>BDH("WM US Equity","EBITDA","1993-06-18","2026-05-02","Per=Y","Days=T","Dir=V")</f>
        <v>0</v>
      </c>
      <c r="AE2">
        <f>BDH("WM US Equity","NET_INCOME","1993-06-18","2026-05-02","Per=Y","Days=T","Dir=V")</f>
        <v>0</v>
      </c>
      <c r="AG2">
        <f>BDH("WM US Equity","IS_INT_EXPENSE","1993-06-18","2026-05-02","Per=Y","Days=T","Dir=V")</f>
        <v>0</v>
      </c>
      <c r="AI2">
        <f>BDH("WM US Equity","IS_DEPR_EXP","1993-06-18","2026-05-02","Per=Y","Days=T","Dir=V")</f>
        <v>0</v>
      </c>
      <c r="AK2">
        <f>BDH("WM US Equity","CF_CASH_FROM_OPER","1993-06-18","2026-05-02","Per=Y","Days=T","Dir=V")</f>
        <v>0</v>
      </c>
      <c r="AM2">
        <f>BDH("WM US Equity","CAPITAL_EXPEND","1993-06-18","2026-05-02","Per=Y","Days=T","Dir=V")</f>
        <v>0</v>
      </c>
      <c r="AO2">
        <f>BDH("WM US Equity","CF_FREE_CASH_FLOW","1993-06-18","2026-05-02","Per=Y","Days=T","Dir=V")</f>
        <v>0</v>
      </c>
      <c r="AQ2">
        <f>BDH("WM US Equity","PX_LAST","1993-06-18","2026-05-02","Per=M","Days=T","Dir=V")</f>
        <v>0</v>
      </c>
      <c r="AS2">
        <f>BDH("WM US Equity","CUR_MKT_CAP","1993-06-18","2026-05-02","Per=M","Days=T","Dir=V")</f>
        <v>0</v>
      </c>
      <c r="AU2">
        <f>BDH("WM US Equity","EQY_SH_OUT","1993-06-18","2026-05-02","Per=M","Days=T","Dir=V")</f>
        <v>0</v>
      </c>
      <c r="AW2">
        <f>BDH("WM US Equity","PX_VOLUME","1993-06-18","2026-05-02","Per=M","Days=T","Dir=V")</f>
        <v>0</v>
      </c>
      <c r="AY2">
        <f>BDH("WM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BDH("WMB US Equity","BS_TOT_ASSET","1993-06-18","2026-05-02","Per=Y","Days=T","Dir=V")</f>
        <v>0</v>
      </c>
      <c r="C2">
        <f>BDH("WMB US Equity","BS_TOT_LIAB2","1993-06-18","2026-05-02","Per=Y","Days=T","Dir=V")</f>
        <v>0</v>
      </c>
      <c r="E2">
        <f>BDH("WMB US Equity","SHORT_AND_LONG_TERM_DEBT","1993-06-18","2026-05-02","Per=Y","Days=T","Dir=V")</f>
        <v>0</v>
      </c>
      <c r="G2">
        <f>BDH("WMB US Equity","BS_ST_BORROW","1993-06-18","2026-05-02","Per=Y","Days=T","Dir=V")</f>
        <v>0</v>
      </c>
      <c r="I2">
        <f>BDH("WMB US Equity","BS_LT_BORROW","1993-06-18","2026-05-02","Per=Y","Days=T","Dir=V")</f>
        <v>0</v>
      </c>
      <c r="K2">
        <f>BDH("WMB US Equity","BS_CASH_NEAR_CASH_ITEM","1993-06-18","2026-05-02","Per=Y","Days=T","Dir=V")</f>
        <v>0</v>
      </c>
      <c r="M2">
        <f>BDH("WMB US Equity","BS_CUR_ASSET_REPORT","1993-06-18","2026-05-02","Per=Y","Days=T","Dir=V")</f>
        <v>0</v>
      </c>
      <c r="O2">
        <f>BDH("WMB US Equity","BS_CUR_LIAB","1993-06-18","2026-05-02","Per=Y","Days=T","Dir=V")</f>
        <v>0</v>
      </c>
      <c r="Q2">
        <f>BDH("WMB US Equity","BS_SHAREHOLDER_EQY_ENDING_PERIOD","1993-06-18","2026-05-02","Per=Y","Days=T","Dir=V")</f>
        <v>0</v>
      </c>
      <c r="S2">
        <f>BDH("WMB US Equity","BS_ACCT_NOTE_RCV","1993-06-18","2026-05-02","Per=Y","Days=T","Dir=V")</f>
        <v>0</v>
      </c>
      <c r="U2">
        <f>BDH("WMB US Equity","BS_INVENTORIES","1993-06-18","2026-05-02","Per=Y","Days=T","Dir=V")</f>
        <v>0</v>
      </c>
      <c r="W2">
        <f>BDH("WMB US Equity","WORKING_CAPITAL","1993-06-18","2026-05-02","Per=Y","Days=T","Dir=V")</f>
        <v>0</v>
      </c>
      <c r="Y2">
        <f>BDH("WMB US Equity","SALES_REV_TURN","1993-06-18","2026-05-02","Per=Y","Days=T","Dir=V")</f>
        <v>0</v>
      </c>
      <c r="AA2">
        <f>BDH("WMB US Equity","EBIT","1993-06-18","2026-05-02","Per=Y","Days=T","Dir=V")</f>
        <v>0</v>
      </c>
      <c r="AC2">
        <f>BDH("WMB US Equity","EBITDA","1993-06-18","2026-05-02","Per=Y","Days=T","Dir=V")</f>
        <v>0</v>
      </c>
      <c r="AE2">
        <f>BDH("WMB US Equity","NET_INCOME","1993-06-18","2026-05-02","Per=Y","Days=T","Dir=V")</f>
        <v>0</v>
      </c>
      <c r="AG2">
        <f>BDH("WMB US Equity","IS_INT_EXPENSE","1993-06-18","2026-05-02","Per=Y","Days=T","Dir=V")</f>
        <v>0</v>
      </c>
      <c r="AI2">
        <f>BDH("WMB US Equity","IS_DEPR_EXP","1993-06-18","2026-05-02","Per=Y","Days=T","Dir=V")</f>
        <v>0</v>
      </c>
      <c r="AK2">
        <f>BDH("WMB US Equity","CF_CASH_FROM_OPER","1993-06-18","2026-05-02","Per=Y","Days=T","Dir=V")</f>
        <v>0</v>
      </c>
      <c r="AM2">
        <f>BDH("WMB US Equity","CAPITAL_EXPEND","1993-06-18","2026-05-02","Per=Y","Days=T","Dir=V")</f>
        <v>0</v>
      </c>
      <c r="AO2">
        <f>BDH("WMB US Equity","CF_FREE_CASH_FLOW","1993-06-18","2026-05-02","Per=Y","Days=T","Dir=V")</f>
        <v>0</v>
      </c>
      <c r="AQ2">
        <f>BDH("WMB US Equity","PX_LAST","1993-06-18","2026-05-02","Per=M","Days=T","Dir=V")</f>
        <v>0</v>
      </c>
      <c r="AS2">
        <f>BDH("WMB US Equity","CUR_MKT_CAP","1993-06-18","2026-05-02","Per=M","Days=T","Dir=V")</f>
        <v>0</v>
      </c>
      <c r="AU2">
        <f>BDH("WMB US Equity","EQY_SH_OUT","1993-06-18","2026-05-02","Per=M","Days=T","Dir=V")</f>
        <v>0</v>
      </c>
      <c r="AW2">
        <f>BDH("WMB US Equity","PX_VOLUME","1993-06-18","2026-05-02","Per=M","Days=T","Dir=V")</f>
        <v>0</v>
      </c>
      <c r="AY2">
        <f>BDH("WMB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BDH("WMG US Equity","BS_TOT_ASSET","1993-06-18","2026-05-02","Per=Y","Days=T","Dir=V")</f>
        <v>0</v>
      </c>
      <c r="C2">
        <f>BDH("WMG US Equity","BS_TOT_LIAB2","1993-06-18","2026-05-02","Per=Y","Days=T","Dir=V")</f>
        <v>0</v>
      </c>
      <c r="E2">
        <f>BDH("WMG US Equity","SHORT_AND_LONG_TERM_DEBT","1993-06-18","2026-05-02","Per=Y","Days=T","Dir=V")</f>
        <v>0</v>
      </c>
      <c r="G2">
        <f>BDH("WMG US Equity","BS_ST_BORROW","1993-06-18","2026-05-02","Per=Y","Days=T","Dir=V")</f>
        <v>0</v>
      </c>
      <c r="I2">
        <f>BDH("WMG US Equity","BS_LT_BORROW","1993-06-18","2026-05-02","Per=Y","Days=T","Dir=V")</f>
        <v>0</v>
      </c>
      <c r="K2">
        <f>BDH("WMG US Equity","BS_CASH_NEAR_CASH_ITEM","1993-06-18","2026-05-02","Per=Y","Days=T","Dir=V")</f>
        <v>0</v>
      </c>
      <c r="M2">
        <f>BDH("WMG US Equity","BS_CUR_ASSET_REPORT","1993-06-18","2026-05-02","Per=Y","Days=T","Dir=V")</f>
        <v>0</v>
      </c>
      <c r="O2">
        <f>BDH("WMG US Equity","BS_CUR_LIAB","1993-06-18","2026-05-02","Per=Y","Days=T","Dir=V")</f>
        <v>0</v>
      </c>
      <c r="Q2">
        <f>BDH("WMG US Equity","BS_SHAREHOLDER_EQY_ENDING_PERIOD","1993-06-18","2026-05-02","Per=Y","Days=T","Dir=V")</f>
        <v>0</v>
      </c>
      <c r="S2">
        <f>BDH("WMG US Equity","BS_ACCT_NOTE_RCV","1993-06-18","2026-05-02","Per=Y","Days=T","Dir=V")</f>
        <v>0</v>
      </c>
      <c r="U2">
        <f>BDH("WMG US Equity","BS_INVENTORIES","1993-06-18","2026-05-02","Per=Y","Days=T","Dir=V")</f>
        <v>0</v>
      </c>
      <c r="W2">
        <f>BDH("WMG US Equity","WORKING_CAPITAL","1993-06-18","2026-05-02","Per=Y","Days=T","Dir=V")</f>
        <v>0</v>
      </c>
      <c r="Y2">
        <f>BDH("WMG US Equity","SALES_REV_TURN","1993-06-18","2026-05-02","Per=Y","Days=T","Dir=V")</f>
        <v>0</v>
      </c>
      <c r="AA2">
        <f>BDH("WMG US Equity","EBIT","1993-06-18","2026-05-02","Per=Y","Days=T","Dir=V")</f>
        <v>0</v>
      </c>
      <c r="AC2">
        <f>BDH("WMG US Equity","EBITDA","1993-06-18","2026-05-02","Per=Y","Days=T","Dir=V")</f>
        <v>0</v>
      </c>
      <c r="AE2">
        <f>BDH("WMG US Equity","NET_INCOME","1993-06-18","2026-05-02","Per=Y","Days=T","Dir=V")</f>
        <v>0</v>
      </c>
      <c r="AG2">
        <f>BDH("WMG US Equity","IS_INT_EXPENSE","1993-06-18","2026-05-02","Per=Y","Days=T","Dir=V")</f>
        <v>0</v>
      </c>
      <c r="AI2">
        <f>BDH("WMG US Equity","IS_DEPR_EXP","1993-06-18","2026-05-02","Per=Y","Days=T","Dir=V")</f>
        <v>0</v>
      </c>
      <c r="AK2">
        <f>BDH("WMG US Equity","CF_CASH_FROM_OPER","1993-06-18","2026-05-02","Per=Y","Days=T","Dir=V")</f>
        <v>0</v>
      </c>
      <c r="AM2">
        <f>BDH("WMG US Equity","CAPITAL_EXPEND","1993-06-18","2026-05-02","Per=Y","Days=T","Dir=V")</f>
        <v>0</v>
      </c>
      <c r="AO2">
        <f>BDH("WMG US Equity","CF_FREE_CASH_FLOW","1993-06-18","2026-05-02","Per=Y","Days=T","Dir=V")</f>
        <v>0</v>
      </c>
      <c r="AQ2">
        <f>BDH("WMG US Equity","PX_LAST","1993-06-18","2026-05-02","Per=M","Days=T","Dir=V")</f>
        <v>0</v>
      </c>
      <c r="AS2">
        <f>BDH("WMG US Equity","CUR_MKT_CAP","1993-06-18","2026-05-02","Per=M","Days=T","Dir=V")</f>
        <v>0</v>
      </c>
      <c r="AU2">
        <f>BDH("WMG US Equity","EQY_SH_OUT","1993-06-18","2026-05-02","Per=M","Days=T","Dir=V")</f>
        <v>0</v>
      </c>
      <c r="AW2">
        <f>BDH("WMG US Equity","PX_VOLUME","1993-06-18","2026-05-02","Per=M","Days=T","Dir=V")</f>
        <v>0</v>
      </c>
      <c r="AY2">
        <f>BDH("WMG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BDH("WMK US Equity","BS_TOT_ASSET","1993-06-18","2026-05-02","Per=Y","Days=T","Dir=V")</f>
        <v>0</v>
      </c>
      <c r="C2">
        <f>BDH("WMK US Equity","BS_TOT_LIAB2","1993-06-18","2026-05-02","Per=Y","Days=T","Dir=V")</f>
        <v>0</v>
      </c>
      <c r="E2">
        <f>BDH("WMK US Equity","SHORT_AND_LONG_TERM_DEBT","1993-06-18","2026-05-02","Per=Y","Days=T","Dir=V")</f>
        <v>0</v>
      </c>
      <c r="G2">
        <f>BDH("WMK US Equity","BS_ST_BORROW","1993-06-18","2026-05-02","Per=Y","Days=T","Dir=V")</f>
        <v>0</v>
      </c>
      <c r="I2">
        <f>BDH("WMK US Equity","BS_LT_BORROW","1993-06-18","2026-05-02","Per=Y","Days=T","Dir=V")</f>
        <v>0</v>
      </c>
      <c r="K2">
        <f>BDH("WMK US Equity","BS_CASH_NEAR_CASH_ITEM","1993-06-18","2026-05-02","Per=Y","Days=T","Dir=V")</f>
        <v>0</v>
      </c>
      <c r="M2">
        <f>BDH("WMK US Equity","BS_CUR_ASSET_REPORT","1993-06-18","2026-05-02","Per=Y","Days=T","Dir=V")</f>
        <v>0</v>
      </c>
      <c r="O2">
        <f>BDH("WMK US Equity","BS_CUR_LIAB","1993-06-18","2026-05-02","Per=Y","Days=T","Dir=V")</f>
        <v>0</v>
      </c>
      <c r="Q2">
        <f>BDH("WMK US Equity","BS_SHAREHOLDER_EQY_ENDING_PERIOD","1993-06-18","2026-05-02","Per=Y","Days=T","Dir=V")</f>
        <v>0</v>
      </c>
      <c r="S2">
        <f>BDH("WMK US Equity","BS_ACCT_NOTE_RCV","1993-06-18","2026-05-02","Per=Y","Days=T","Dir=V")</f>
        <v>0</v>
      </c>
      <c r="U2">
        <f>BDH("WMK US Equity","BS_INVENTORIES","1993-06-18","2026-05-02","Per=Y","Days=T","Dir=V")</f>
        <v>0</v>
      </c>
      <c r="W2">
        <f>BDH("WMK US Equity","WORKING_CAPITAL","1993-06-18","2026-05-02","Per=Y","Days=T","Dir=V")</f>
        <v>0</v>
      </c>
      <c r="Y2">
        <f>BDH("WMK US Equity","SALES_REV_TURN","1993-06-18","2026-05-02","Per=Y","Days=T","Dir=V")</f>
        <v>0</v>
      </c>
      <c r="AA2">
        <f>BDH("WMK US Equity","EBIT","1993-06-18","2026-05-02","Per=Y","Days=T","Dir=V")</f>
        <v>0</v>
      </c>
      <c r="AC2">
        <f>BDH("WMK US Equity","EBITDA","1993-06-18","2026-05-02","Per=Y","Days=T","Dir=V")</f>
        <v>0</v>
      </c>
      <c r="AE2">
        <f>BDH("WMK US Equity","NET_INCOME","1993-06-18","2026-05-02","Per=Y","Days=T","Dir=V")</f>
        <v>0</v>
      </c>
      <c r="AG2">
        <f>BDH("WMK US Equity","IS_INT_EXPENSE","1993-06-18","2026-05-02","Per=Y","Days=T","Dir=V")</f>
        <v>0</v>
      </c>
      <c r="AI2">
        <f>BDH("WMK US Equity","IS_DEPR_EXP","1993-06-18","2026-05-02","Per=Y","Days=T","Dir=V")</f>
        <v>0</v>
      </c>
      <c r="AK2">
        <f>BDH("WMK US Equity","CF_CASH_FROM_OPER","1993-06-18","2026-05-02","Per=Y","Days=T","Dir=V")</f>
        <v>0</v>
      </c>
      <c r="AM2">
        <f>BDH("WMK US Equity","CAPITAL_EXPEND","1993-06-18","2026-05-02","Per=Y","Days=T","Dir=V")</f>
        <v>0</v>
      </c>
      <c r="AO2">
        <f>BDH("WMK US Equity","CF_FREE_CASH_FLOW","1993-06-18","2026-05-02","Per=Y","Days=T","Dir=V")</f>
        <v>0</v>
      </c>
      <c r="AQ2">
        <f>BDH("WMK US Equity","PX_LAST","1993-06-18","2026-05-02","Per=M","Days=T","Dir=V")</f>
        <v>0</v>
      </c>
      <c r="AS2">
        <f>BDH("WMK US Equity","CUR_MKT_CAP","1993-06-18","2026-05-02","Per=M","Days=T","Dir=V")</f>
        <v>0</v>
      </c>
      <c r="AU2">
        <f>BDH("WMK US Equity","EQY_SH_OUT","1993-06-18","2026-05-02","Per=M","Days=T","Dir=V")</f>
        <v>0</v>
      </c>
      <c r="AW2">
        <f>BDH("WMK US Equity","PX_VOLUME","1993-06-18","2026-05-02","Per=M","Days=T","Dir=V")</f>
        <v>0</v>
      </c>
      <c r="AY2">
        <f>BDH("WMK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BDH("WMS US Equity","BS_TOT_ASSET","1993-06-18","2026-05-02","Per=Y","Days=T","Dir=V")</f>
        <v>0</v>
      </c>
      <c r="C2">
        <f>BDH("WMS US Equity","BS_TOT_LIAB2","1993-06-18","2026-05-02","Per=Y","Days=T","Dir=V")</f>
        <v>0</v>
      </c>
      <c r="E2">
        <f>BDH("WMS US Equity","SHORT_AND_LONG_TERM_DEBT","1993-06-18","2026-05-02","Per=Y","Days=T","Dir=V")</f>
        <v>0</v>
      </c>
      <c r="G2">
        <f>BDH("WMS US Equity","BS_ST_BORROW","1993-06-18","2026-05-02","Per=Y","Days=T","Dir=V")</f>
        <v>0</v>
      </c>
      <c r="I2">
        <f>BDH("WMS US Equity","BS_LT_BORROW","1993-06-18","2026-05-02","Per=Y","Days=T","Dir=V")</f>
        <v>0</v>
      </c>
      <c r="K2">
        <f>BDH("WMS US Equity","BS_CASH_NEAR_CASH_ITEM","1993-06-18","2026-05-02","Per=Y","Days=T","Dir=V")</f>
        <v>0</v>
      </c>
      <c r="M2">
        <f>BDH("WMS US Equity","BS_CUR_ASSET_REPORT","1993-06-18","2026-05-02","Per=Y","Days=T","Dir=V")</f>
        <v>0</v>
      </c>
      <c r="O2">
        <f>BDH("WMS US Equity","BS_CUR_LIAB","1993-06-18","2026-05-02","Per=Y","Days=T","Dir=V")</f>
        <v>0</v>
      </c>
      <c r="Q2">
        <f>BDH("WMS US Equity","BS_SHAREHOLDER_EQY_ENDING_PERIOD","1993-06-18","2026-05-02","Per=Y","Days=T","Dir=V")</f>
        <v>0</v>
      </c>
      <c r="S2">
        <f>BDH("WMS US Equity","BS_ACCT_NOTE_RCV","1993-06-18","2026-05-02","Per=Y","Days=T","Dir=V")</f>
        <v>0</v>
      </c>
      <c r="U2">
        <f>BDH("WMS US Equity","BS_INVENTORIES","1993-06-18","2026-05-02","Per=Y","Days=T","Dir=V")</f>
        <v>0</v>
      </c>
      <c r="W2">
        <f>BDH("WMS US Equity","WORKING_CAPITAL","1993-06-18","2026-05-02","Per=Y","Days=T","Dir=V")</f>
        <v>0</v>
      </c>
      <c r="Y2">
        <f>BDH("WMS US Equity","SALES_REV_TURN","1993-06-18","2026-05-02","Per=Y","Days=T","Dir=V")</f>
        <v>0</v>
      </c>
      <c r="AA2">
        <f>BDH("WMS US Equity","EBIT","1993-06-18","2026-05-02","Per=Y","Days=T","Dir=V")</f>
        <v>0</v>
      </c>
      <c r="AC2">
        <f>BDH("WMS US Equity","EBITDA","1993-06-18","2026-05-02","Per=Y","Days=T","Dir=V")</f>
        <v>0</v>
      </c>
      <c r="AE2">
        <f>BDH("WMS US Equity","NET_INCOME","1993-06-18","2026-05-02","Per=Y","Days=T","Dir=V")</f>
        <v>0</v>
      </c>
      <c r="AG2">
        <f>BDH("WMS US Equity","IS_INT_EXPENSE","1993-06-18","2026-05-02","Per=Y","Days=T","Dir=V")</f>
        <v>0</v>
      </c>
      <c r="AI2">
        <f>BDH("WMS US Equity","IS_DEPR_EXP","1993-06-18","2026-05-02","Per=Y","Days=T","Dir=V")</f>
        <v>0</v>
      </c>
      <c r="AK2">
        <f>BDH("WMS US Equity","CF_CASH_FROM_OPER","1993-06-18","2026-05-02","Per=Y","Days=T","Dir=V")</f>
        <v>0</v>
      </c>
      <c r="AM2">
        <f>BDH("WMS US Equity","CAPITAL_EXPEND","1993-06-18","2026-05-02","Per=Y","Days=T","Dir=V")</f>
        <v>0</v>
      </c>
      <c r="AO2">
        <f>BDH("WMS US Equity","CF_FREE_CASH_FLOW","1993-06-18","2026-05-02","Per=Y","Days=T","Dir=V")</f>
        <v>0</v>
      </c>
      <c r="AQ2">
        <f>BDH("WMS US Equity","PX_LAST","1993-06-18","2026-05-02","Per=M","Days=T","Dir=V")</f>
        <v>0</v>
      </c>
      <c r="AS2">
        <f>BDH("WMS US Equity","CUR_MKT_CAP","1993-06-18","2026-05-02","Per=M","Days=T","Dir=V")</f>
        <v>0</v>
      </c>
      <c r="AU2">
        <f>BDH("WMS US Equity","EQY_SH_OUT","1993-06-18","2026-05-02","Per=M","Days=T","Dir=V")</f>
        <v>0</v>
      </c>
      <c r="AW2">
        <f>BDH("WMS US Equity","PX_VOLUME","1993-06-18","2026-05-02","Per=M","Days=T","Dir=V")</f>
        <v>0</v>
      </c>
      <c r="AY2">
        <f>BDH("WMS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BDH("WMT US Equity","BS_TOT_ASSET","1993-06-18","2026-05-02","Per=Y","Days=T","Dir=V")</f>
        <v>0</v>
      </c>
      <c r="C2">
        <f>BDH("WMT US Equity","BS_TOT_LIAB2","1993-06-18","2026-05-02","Per=Y","Days=T","Dir=V")</f>
        <v>0</v>
      </c>
      <c r="E2">
        <f>BDH("WMT US Equity","SHORT_AND_LONG_TERM_DEBT","1993-06-18","2026-05-02","Per=Y","Days=T","Dir=V")</f>
        <v>0</v>
      </c>
      <c r="G2">
        <f>BDH("WMT US Equity","BS_ST_BORROW","1993-06-18","2026-05-02","Per=Y","Days=T","Dir=V")</f>
        <v>0</v>
      </c>
      <c r="I2">
        <f>BDH("WMT US Equity","BS_LT_BORROW","1993-06-18","2026-05-02","Per=Y","Days=T","Dir=V")</f>
        <v>0</v>
      </c>
      <c r="K2">
        <f>BDH("WMT US Equity","BS_CASH_NEAR_CASH_ITEM","1993-06-18","2026-05-02","Per=Y","Days=T","Dir=V")</f>
        <v>0</v>
      </c>
      <c r="M2">
        <f>BDH("WMT US Equity","BS_CUR_ASSET_REPORT","1993-06-18","2026-05-02","Per=Y","Days=T","Dir=V")</f>
        <v>0</v>
      </c>
      <c r="O2">
        <f>BDH("WMT US Equity","BS_CUR_LIAB","1993-06-18","2026-05-02","Per=Y","Days=T","Dir=V")</f>
        <v>0</v>
      </c>
      <c r="Q2">
        <f>BDH("WMT US Equity","BS_SHAREHOLDER_EQY_ENDING_PERIOD","1993-06-18","2026-05-02","Per=Y","Days=T","Dir=V")</f>
        <v>0</v>
      </c>
      <c r="S2">
        <f>BDH("WMT US Equity","BS_ACCT_NOTE_RCV","1993-06-18","2026-05-02","Per=Y","Days=T","Dir=V")</f>
        <v>0</v>
      </c>
      <c r="U2">
        <f>BDH("WMT US Equity","BS_INVENTORIES","1993-06-18","2026-05-02","Per=Y","Days=T","Dir=V")</f>
        <v>0</v>
      </c>
      <c r="W2">
        <f>BDH("WMT US Equity","WORKING_CAPITAL","1993-06-18","2026-05-02","Per=Y","Days=T","Dir=V")</f>
        <v>0</v>
      </c>
      <c r="Y2">
        <f>BDH("WMT US Equity","SALES_REV_TURN","1993-06-18","2026-05-02","Per=Y","Days=T","Dir=V")</f>
        <v>0</v>
      </c>
      <c r="AA2">
        <f>BDH("WMT US Equity","EBIT","1993-06-18","2026-05-02","Per=Y","Days=T","Dir=V")</f>
        <v>0</v>
      </c>
      <c r="AC2">
        <f>BDH("WMT US Equity","EBITDA","1993-06-18","2026-05-02","Per=Y","Days=T","Dir=V")</f>
        <v>0</v>
      </c>
      <c r="AE2">
        <f>BDH("WMT US Equity","NET_INCOME","1993-06-18","2026-05-02","Per=Y","Days=T","Dir=V")</f>
        <v>0</v>
      </c>
      <c r="AG2">
        <f>BDH("WMT US Equity","IS_INT_EXPENSE","1993-06-18","2026-05-02","Per=Y","Days=T","Dir=V")</f>
        <v>0</v>
      </c>
      <c r="AI2">
        <f>BDH("WMT US Equity","IS_DEPR_EXP","1993-06-18","2026-05-02","Per=Y","Days=T","Dir=V")</f>
        <v>0</v>
      </c>
      <c r="AK2">
        <f>BDH("WMT US Equity","CF_CASH_FROM_OPER","1993-06-18","2026-05-02","Per=Y","Days=T","Dir=V")</f>
        <v>0</v>
      </c>
      <c r="AM2">
        <f>BDH("WMT US Equity","CAPITAL_EXPEND","1993-06-18","2026-05-02","Per=Y","Days=T","Dir=V")</f>
        <v>0</v>
      </c>
      <c r="AO2">
        <f>BDH("WMT US Equity","CF_FREE_CASH_FLOW","1993-06-18","2026-05-02","Per=Y","Days=T","Dir=V")</f>
        <v>0</v>
      </c>
      <c r="AQ2">
        <f>BDH("WMT US Equity","PX_LAST","1993-06-18","2026-05-02","Per=M","Days=T","Dir=V")</f>
        <v>0</v>
      </c>
      <c r="AS2">
        <f>BDH("WMT US Equity","CUR_MKT_CAP","1993-06-18","2026-05-02","Per=M","Days=T","Dir=V")</f>
        <v>0</v>
      </c>
      <c r="AU2">
        <f>BDH("WMT US Equity","EQY_SH_OUT","1993-06-18","2026-05-02","Per=M","Days=T","Dir=V")</f>
        <v>0</v>
      </c>
      <c r="AW2">
        <f>BDH("WMT US Equity","PX_VOLUME","1993-06-18","2026-05-02","Per=M","Days=T","Dir=V")</f>
        <v>0</v>
      </c>
      <c r="AY2">
        <f>BDH("WMT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BDH("WNC US Equity","BS_TOT_ASSET","1993-06-18","2026-05-02","Per=Y","Days=T","Dir=V")</f>
        <v>0</v>
      </c>
      <c r="C2">
        <f>BDH("WNC US Equity","BS_TOT_LIAB2","1993-06-18","2026-05-02","Per=Y","Days=T","Dir=V")</f>
        <v>0</v>
      </c>
      <c r="E2">
        <f>BDH("WNC US Equity","SHORT_AND_LONG_TERM_DEBT","1993-06-18","2026-05-02","Per=Y","Days=T","Dir=V")</f>
        <v>0</v>
      </c>
      <c r="G2">
        <f>BDH("WNC US Equity","BS_ST_BORROW","1993-06-18","2026-05-02","Per=Y","Days=T","Dir=V")</f>
        <v>0</v>
      </c>
      <c r="I2">
        <f>BDH("WNC US Equity","BS_LT_BORROW","1993-06-18","2026-05-02","Per=Y","Days=T","Dir=V")</f>
        <v>0</v>
      </c>
      <c r="K2">
        <f>BDH("WNC US Equity","BS_CASH_NEAR_CASH_ITEM","1993-06-18","2026-05-02","Per=Y","Days=T","Dir=V")</f>
        <v>0</v>
      </c>
      <c r="M2">
        <f>BDH("WNC US Equity","BS_CUR_ASSET_REPORT","1993-06-18","2026-05-02","Per=Y","Days=T","Dir=V")</f>
        <v>0</v>
      </c>
      <c r="O2">
        <f>BDH("WNC US Equity","BS_CUR_LIAB","1993-06-18","2026-05-02","Per=Y","Days=T","Dir=V")</f>
        <v>0</v>
      </c>
      <c r="Q2">
        <f>BDH("WNC US Equity","BS_SHAREHOLDER_EQY_ENDING_PERIOD","1993-06-18","2026-05-02","Per=Y","Days=T","Dir=V")</f>
        <v>0</v>
      </c>
      <c r="S2">
        <f>BDH("WNC US Equity","BS_ACCT_NOTE_RCV","1993-06-18","2026-05-02","Per=Y","Days=T","Dir=V")</f>
        <v>0</v>
      </c>
      <c r="U2">
        <f>BDH("WNC US Equity","BS_INVENTORIES","1993-06-18","2026-05-02","Per=Y","Days=T","Dir=V")</f>
        <v>0</v>
      </c>
      <c r="W2">
        <f>BDH("WNC US Equity","WORKING_CAPITAL","1993-06-18","2026-05-02","Per=Y","Days=T","Dir=V")</f>
        <v>0</v>
      </c>
      <c r="Y2">
        <f>BDH("WNC US Equity","SALES_REV_TURN","1993-06-18","2026-05-02","Per=Y","Days=T","Dir=V")</f>
        <v>0</v>
      </c>
      <c r="AA2">
        <f>BDH("WNC US Equity","EBIT","1993-06-18","2026-05-02","Per=Y","Days=T","Dir=V")</f>
        <v>0</v>
      </c>
      <c r="AC2">
        <f>BDH("WNC US Equity","EBITDA","1993-06-18","2026-05-02","Per=Y","Days=T","Dir=V")</f>
        <v>0</v>
      </c>
      <c r="AE2">
        <f>BDH("WNC US Equity","NET_INCOME","1993-06-18","2026-05-02","Per=Y","Days=T","Dir=V")</f>
        <v>0</v>
      </c>
      <c r="AG2">
        <f>BDH("WNC US Equity","IS_INT_EXPENSE","1993-06-18","2026-05-02","Per=Y","Days=T","Dir=V")</f>
        <v>0</v>
      </c>
      <c r="AI2">
        <f>BDH("WNC US Equity","IS_DEPR_EXP","1993-06-18","2026-05-02","Per=Y","Days=T","Dir=V")</f>
        <v>0</v>
      </c>
      <c r="AK2">
        <f>BDH("WNC US Equity","CF_CASH_FROM_OPER","1993-06-18","2026-05-02","Per=Y","Days=T","Dir=V")</f>
        <v>0</v>
      </c>
      <c r="AM2">
        <f>BDH("WNC US Equity","CAPITAL_EXPEND","1993-06-18","2026-05-02","Per=Y","Days=T","Dir=V")</f>
        <v>0</v>
      </c>
      <c r="AO2">
        <f>BDH("WNC US Equity","CF_FREE_CASH_FLOW","1993-06-18","2026-05-02","Per=Y","Days=T","Dir=V")</f>
        <v>0</v>
      </c>
      <c r="AQ2">
        <f>BDH("WNC US Equity","PX_LAST","1993-06-18","2026-05-02","Per=M","Days=T","Dir=V")</f>
        <v>0</v>
      </c>
      <c r="AS2">
        <f>BDH("WNC US Equity","CUR_MKT_CAP","1993-06-18","2026-05-02","Per=M","Days=T","Dir=V")</f>
        <v>0</v>
      </c>
      <c r="AU2">
        <f>BDH("WNC US Equity","EQY_SH_OUT","1993-06-18","2026-05-02","Per=M","Days=T","Dir=V")</f>
        <v>0</v>
      </c>
      <c r="AW2">
        <f>BDH("WNC US Equity","PX_VOLUME","1993-06-18","2026-05-02","Per=M","Days=T","Dir=V")</f>
        <v>0</v>
      </c>
      <c r="AY2">
        <f>BDH("WNC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BDH("WOLF US Equity","BS_TOT_ASSET","1993-06-18","2026-05-02","Per=Y","Days=T","Dir=V")</f>
        <v>0</v>
      </c>
      <c r="C2">
        <f>BDH("WOLF US Equity","BS_TOT_LIAB2","1993-06-18","2026-05-02","Per=Y","Days=T","Dir=V")</f>
        <v>0</v>
      </c>
      <c r="E2">
        <f>BDH("WOLF US Equity","SHORT_AND_LONG_TERM_DEBT","1993-06-18","2026-05-02","Per=Y","Days=T","Dir=V")</f>
        <v>0</v>
      </c>
      <c r="G2">
        <f>BDH("WOLF US Equity","BS_ST_BORROW","1993-06-18","2026-05-02","Per=Y","Days=T","Dir=V")</f>
        <v>0</v>
      </c>
      <c r="I2">
        <f>BDH("WOLF US Equity","BS_LT_BORROW","1993-06-18","2026-05-02","Per=Y","Days=T","Dir=V")</f>
        <v>0</v>
      </c>
      <c r="K2">
        <f>BDH("WOLF US Equity","BS_CASH_NEAR_CASH_ITEM","1993-06-18","2026-05-02","Per=Y","Days=T","Dir=V")</f>
        <v>0</v>
      </c>
      <c r="M2">
        <f>BDH("WOLF US Equity","BS_CUR_ASSET_REPORT","1993-06-18","2026-05-02","Per=Y","Days=T","Dir=V")</f>
        <v>0</v>
      </c>
      <c r="O2">
        <f>BDH("WOLF US Equity","BS_CUR_LIAB","1993-06-18","2026-05-02","Per=Y","Days=T","Dir=V")</f>
        <v>0</v>
      </c>
      <c r="Q2">
        <f>BDH("WOLF US Equity","BS_SHAREHOLDER_EQY_ENDING_PERIOD","1993-06-18","2026-05-02","Per=Y","Days=T","Dir=V")</f>
        <v>0</v>
      </c>
      <c r="S2">
        <f>BDH("WOLF US Equity","BS_ACCT_NOTE_RCV","1993-06-18","2026-05-02","Per=Y","Days=T","Dir=V")</f>
        <v>0</v>
      </c>
      <c r="U2">
        <f>BDH("WOLF US Equity","BS_INVENTORIES","1993-06-18","2026-05-02","Per=Y","Days=T","Dir=V")</f>
        <v>0</v>
      </c>
      <c r="W2">
        <f>BDH("WOLF US Equity","WORKING_CAPITAL","1993-06-18","2026-05-02","Per=Y","Days=T","Dir=V")</f>
        <v>0</v>
      </c>
      <c r="Y2">
        <f>BDH("WOLF US Equity","SALES_REV_TURN","1993-06-18","2026-05-02","Per=Y","Days=T","Dir=V")</f>
        <v>0</v>
      </c>
      <c r="AA2">
        <f>BDH("WOLF US Equity","EBIT","1993-06-18","2026-05-02","Per=Y","Days=T","Dir=V")</f>
        <v>0</v>
      </c>
      <c r="AC2">
        <f>BDH("WOLF US Equity","EBITDA","1993-06-18","2026-05-02","Per=Y","Days=T","Dir=V")</f>
        <v>0</v>
      </c>
      <c r="AE2">
        <f>BDH("WOLF US Equity","NET_INCOME","1993-06-18","2026-05-02","Per=Y","Days=T","Dir=V")</f>
        <v>0</v>
      </c>
      <c r="AG2">
        <f>BDH("WOLF US Equity","IS_INT_EXPENSE","1993-06-18","2026-05-02","Per=Y","Days=T","Dir=V")</f>
        <v>0</v>
      </c>
      <c r="AI2">
        <f>BDH("WOLF US Equity","IS_DEPR_EXP","1993-06-18","2026-05-02","Per=Y","Days=T","Dir=V")</f>
        <v>0</v>
      </c>
      <c r="AK2">
        <f>BDH("WOLF US Equity","CF_CASH_FROM_OPER","1993-06-18","2026-05-02","Per=Y","Days=T","Dir=V")</f>
        <v>0</v>
      </c>
      <c r="AM2">
        <f>BDH("WOLF US Equity","CAPITAL_EXPEND","1993-06-18","2026-05-02","Per=Y","Days=T","Dir=V")</f>
        <v>0</v>
      </c>
      <c r="AO2">
        <f>BDH("WOLF US Equity","CF_FREE_CASH_FLOW","1993-06-18","2026-05-02","Per=Y","Days=T","Dir=V")</f>
        <v>0</v>
      </c>
      <c r="AQ2">
        <f>BDH("WOLF US Equity","PX_LAST","1993-06-18","2026-05-02","Per=M","Days=T","Dir=V")</f>
        <v>0</v>
      </c>
      <c r="AS2">
        <f>BDH("WOLF US Equity","CUR_MKT_CAP","1993-06-18","2026-05-02","Per=M","Days=T","Dir=V")</f>
        <v>0</v>
      </c>
      <c r="AU2">
        <f>BDH("WOLF US Equity","EQY_SH_OUT","1993-06-18","2026-05-02","Per=M","Days=T","Dir=V")</f>
        <v>0</v>
      </c>
      <c r="AW2">
        <f>BDH("WOLF US Equity","PX_VOLUME","1993-06-18","2026-05-02","Per=M","Days=T","Dir=V")</f>
        <v>0</v>
      </c>
      <c r="AY2">
        <f>BDH("WOLF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BDH("WOOF US Equity","BS_TOT_ASSET","1993-06-18","2026-05-02","Per=Y","Days=T","Dir=V")</f>
        <v>0</v>
      </c>
      <c r="C2">
        <f>BDH("WOOF US Equity","BS_TOT_LIAB2","1993-06-18","2026-05-02","Per=Y","Days=T","Dir=V")</f>
        <v>0</v>
      </c>
      <c r="E2">
        <f>BDH("WOOF US Equity","SHORT_AND_LONG_TERM_DEBT","1993-06-18","2026-05-02","Per=Y","Days=T","Dir=V")</f>
        <v>0</v>
      </c>
      <c r="G2">
        <f>BDH("WOOF US Equity","BS_ST_BORROW","1993-06-18","2026-05-02","Per=Y","Days=T","Dir=V")</f>
        <v>0</v>
      </c>
      <c r="I2">
        <f>BDH("WOOF US Equity","BS_LT_BORROW","1993-06-18","2026-05-02","Per=Y","Days=T","Dir=V")</f>
        <v>0</v>
      </c>
      <c r="K2">
        <f>BDH("WOOF US Equity","BS_CASH_NEAR_CASH_ITEM","1993-06-18","2026-05-02","Per=Y","Days=T","Dir=V")</f>
        <v>0</v>
      </c>
      <c r="M2">
        <f>BDH("WOOF US Equity","BS_CUR_ASSET_REPORT","1993-06-18","2026-05-02","Per=Y","Days=T","Dir=V")</f>
        <v>0</v>
      </c>
      <c r="O2">
        <f>BDH("WOOF US Equity","BS_CUR_LIAB","1993-06-18","2026-05-02","Per=Y","Days=T","Dir=V")</f>
        <v>0</v>
      </c>
      <c r="Q2">
        <f>BDH("WOOF US Equity","BS_SHAREHOLDER_EQY_ENDING_PERIOD","1993-06-18","2026-05-02","Per=Y","Days=T","Dir=V")</f>
        <v>0</v>
      </c>
      <c r="S2">
        <f>BDH("WOOF US Equity","BS_ACCT_NOTE_RCV","1993-06-18","2026-05-02","Per=Y","Days=T","Dir=V")</f>
        <v>0</v>
      </c>
      <c r="U2">
        <f>BDH("WOOF US Equity","BS_INVENTORIES","1993-06-18","2026-05-02","Per=Y","Days=T","Dir=V")</f>
        <v>0</v>
      </c>
      <c r="W2">
        <f>BDH("WOOF US Equity","WORKING_CAPITAL","1993-06-18","2026-05-02","Per=Y","Days=T","Dir=V")</f>
        <v>0</v>
      </c>
      <c r="Y2">
        <f>BDH("WOOF US Equity","SALES_REV_TURN","1993-06-18","2026-05-02","Per=Y","Days=T","Dir=V")</f>
        <v>0</v>
      </c>
      <c r="AA2">
        <f>BDH("WOOF US Equity","EBIT","1993-06-18","2026-05-02","Per=Y","Days=T","Dir=V")</f>
        <v>0</v>
      </c>
      <c r="AC2">
        <f>BDH("WOOF US Equity","EBITDA","1993-06-18","2026-05-02","Per=Y","Days=T","Dir=V")</f>
        <v>0</v>
      </c>
      <c r="AE2">
        <f>BDH("WOOF US Equity","NET_INCOME","1993-06-18","2026-05-02","Per=Y","Days=T","Dir=V")</f>
        <v>0</v>
      </c>
      <c r="AG2">
        <f>BDH("WOOF US Equity","IS_INT_EXPENSE","1993-06-18","2026-05-02","Per=Y","Days=T","Dir=V")</f>
        <v>0</v>
      </c>
      <c r="AI2">
        <f>BDH("WOOF US Equity","IS_DEPR_EXP","1993-06-18","2026-05-02","Per=Y","Days=T","Dir=V")</f>
        <v>0</v>
      </c>
      <c r="AK2">
        <f>BDH("WOOF US Equity","CF_CASH_FROM_OPER","1993-06-18","2026-05-02","Per=Y","Days=T","Dir=V")</f>
        <v>0</v>
      </c>
      <c r="AM2">
        <f>BDH("WOOF US Equity","CAPITAL_EXPEND","1993-06-18","2026-05-02","Per=Y","Days=T","Dir=V")</f>
        <v>0</v>
      </c>
      <c r="AO2">
        <f>BDH("WOOF US Equity","CF_FREE_CASH_FLOW","1993-06-18","2026-05-02","Per=Y","Days=T","Dir=V")</f>
        <v>0</v>
      </c>
      <c r="AQ2">
        <f>BDH("WOOF US Equity","PX_LAST","1993-06-18","2026-05-02","Per=M","Days=T","Dir=V")</f>
        <v>0</v>
      </c>
      <c r="AS2">
        <f>BDH("WOOF US Equity","CUR_MKT_CAP","1993-06-18","2026-05-02","Per=M","Days=T","Dir=V")</f>
        <v>0</v>
      </c>
      <c r="AU2">
        <f>BDH("WOOF US Equity","EQY_SH_OUT","1993-06-18","2026-05-02","Per=M","Days=T","Dir=V")</f>
        <v>0</v>
      </c>
      <c r="AW2">
        <f>BDH("WOOF US Equity","PX_VOLUME","1993-06-18","2026-05-02","Per=M","Days=T","Dir=V")</f>
        <v>0</v>
      </c>
      <c r="AY2">
        <f>BDH("WOOF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BDH("WOR US Equity","BS_TOT_ASSET","1993-06-18","2026-05-02","Per=Y","Days=T","Dir=V")</f>
        <v>0</v>
      </c>
      <c r="C2">
        <f>BDH("WOR US Equity","BS_TOT_LIAB2","1993-06-18","2026-05-02","Per=Y","Days=T","Dir=V")</f>
        <v>0</v>
      </c>
      <c r="E2">
        <f>BDH("WOR US Equity","SHORT_AND_LONG_TERM_DEBT","1993-06-18","2026-05-02","Per=Y","Days=T","Dir=V")</f>
        <v>0</v>
      </c>
      <c r="G2">
        <f>BDH("WOR US Equity","BS_ST_BORROW","1993-06-18","2026-05-02","Per=Y","Days=T","Dir=V")</f>
        <v>0</v>
      </c>
      <c r="I2">
        <f>BDH("WOR US Equity","BS_LT_BORROW","1993-06-18","2026-05-02","Per=Y","Days=T","Dir=V")</f>
        <v>0</v>
      </c>
      <c r="K2">
        <f>BDH("WOR US Equity","BS_CASH_NEAR_CASH_ITEM","1993-06-18","2026-05-02","Per=Y","Days=T","Dir=V")</f>
        <v>0</v>
      </c>
      <c r="M2">
        <f>BDH("WOR US Equity","BS_CUR_ASSET_REPORT","1993-06-18","2026-05-02","Per=Y","Days=T","Dir=V")</f>
        <v>0</v>
      </c>
      <c r="O2">
        <f>BDH("WOR US Equity","BS_CUR_LIAB","1993-06-18","2026-05-02","Per=Y","Days=T","Dir=V")</f>
        <v>0</v>
      </c>
      <c r="Q2">
        <f>BDH("WOR US Equity","BS_SHAREHOLDER_EQY_ENDING_PERIOD","1993-06-18","2026-05-02","Per=Y","Days=T","Dir=V")</f>
        <v>0</v>
      </c>
      <c r="S2">
        <f>BDH("WOR US Equity","BS_ACCT_NOTE_RCV","1993-06-18","2026-05-02","Per=Y","Days=T","Dir=V")</f>
        <v>0</v>
      </c>
      <c r="U2">
        <f>BDH("WOR US Equity","BS_INVENTORIES","1993-06-18","2026-05-02","Per=Y","Days=T","Dir=V")</f>
        <v>0</v>
      </c>
      <c r="W2">
        <f>BDH("WOR US Equity","WORKING_CAPITAL","1993-06-18","2026-05-02","Per=Y","Days=T","Dir=V")</f>
        <v>0</v>
      </c>
      <c r="Y2">
        <f>BDH("WOR US Equity","SALES_REV_TURN","1993-06-18","2026-05-02","Per=Y","Days=T","Dir=V")</f>
        <v>0</v>
      </c>
      <c r="AA2">
        <f>BDH("WOR US Equity","EBIT","1993-06-18","2026-05-02","Per=Y","Days=T","Dir=V")</f>
        <v>0</v>
      </c>
      <c r="AC2">
        <f>BDH("WOR US Equity","EBITDA","1993-06-18","2026-05-02","Per=Y","Days=T","Dir=V")</f>
        <v>0</v>
      </c>
      <c r="AE2">
        <f>BDH("WOR US Equity","NET_INCOME","1993-06-18","2026-05-02","Per=Y","Days=T","Dir=V")</f>
        <v>0</v>
      </c>
      <c r="AG2">
        <f>BDH("WOR US Equity","IS_INT_EXPENSE","1993-06-18","2026-05-02","Per=Y","Days=T","Dir=V")</f>
        <v>0</v>
      </c>
      <c r="AI2">
        <f>BDH("WOR US Equity","IS_DEPR_EXP","1993-06-18","2026-05-02","Per=Y","Days=T","Dir=V")</f>
        <v>0</v>
      </c>
      <c r="AK2">
        <f>BDH("WOR US Equity","CF_CASH_FROM_OPER","1993-06-18","2026-05-02","Per=Y","Days=T","Dir=V")</f>
        <v>0</v>
      </c>
      <c r="AM2">
        <f>BDH("WOR US Equity","CAPITAL_EXPEND","1993-06-18","2026-05-02","Per=Y","Days=T","Dir=V")</f>
        <v>0</v>
      </c>
      <c r="AO2">
        <f>BDH("WOR US Equity","CF_FREE_CASH_FLOW","1993-06-18","2026-05-02","Per=Y","Days=T","Dir=V")</f>
        <v>0</v>
      </c>
      <c r="AQ2">
        <f>BDH("WOR US Equity","PX_LAST","1993-06-18","2026-05-02","Per=M","Days=T","Dir=V")</f>
        <v>0</v>
      </c>
      <c r="AS2">
        <f>BDH("WOR US Equity","CUR_MKT_CAP","1993-06-18","2026-05-02","Per=M","Days=T","Dir=V")</f>
        <v>0</v>
      </c>
      <c r="AU2">
        <f>BDH("WOR US Equity","EQY_SH_OUT","1993-06-18","2026-05-02","Per=M","Days=T","Dir=V")</f>
        <v>0</v>
      </c>
      <c r="AW2">
        <f>BDH("WOR US Equity","PX_VOLUME","1993-06-18","2026-05-02","Per=M","Days=T","Dir=V")</f>
        <v>0</v>
      </c>
      <c r="AY2">
        <f>BDH("WOR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BDH("WRAP US Equity","BS_TOT_ASSET","1993-06-18","2026-05-02","Per=Y","Days=T","Dir=V")</f>
        <v>0</v>
      </c>
      <c r="C2">
        <f>BDH("WRAP US Equity","BS_TOT_LIAB2","1993-06-18","2026-05-02","Per=Y","Days=T","Dir=V")</f>
        <v>0</v>
      </c>
      <c r="E2">
        <f>BDH("WRAP US Equity","SHORT_AND_LONG_TERM_DEBT","1993-06-18","2026-05-02","Per=Y","Days=T","Dir=V")</f>
        <v>0</v>
      </c>
      <c r="G2">
        <f>BDH("WRAP US Equity","BS_ST_BORROW","1993-06-18","2026-05-02","Per=Y","Days=T","Dir=V")</f>
        <v>0</v>
      </c>
      <c r="I2">
        <f>BDH("WRAP US Equity","BS_LT_BORROW","1993-06-18","2026-05-02","Per=Y","Days=T","Dir=V")</f>
        <v>0</v>
      </c>
      <c r="K2">
        <f>BDH("WRAP US Equity","BS_CASH_NEAR_CASH_ITEM","1993-06-18","2026-05-02","Per=Y","Days=T","Dir=V")</f>
        <v>0</v>
      </c>
      <c r="M2">
        <f>BDH("WRAP US Equity","BS_CUR_ASSET_REPORT","1993-06-18","2026-05-02","Per=Y","Days=T","Dir=V")</f>
        <v>0</v>
      </c>
      <c r="O2">
        <f>BDH("WRAP US Equity","BS_CUR_LIAB","1993-06-18","2026-05-02","Per=Y","Days=T","Dir=V")</f>
        <v>0</v>
      </c>
      <c r="Q2">
        <f>BDH("WRAP US Equity","BS_SHAREHOLDER_EQY_ENDING_PERIOD","1993-06-18","2026-05-02","Per=Y","Days=T","Dir=V")</f>
        <v>0</v>
      </c>
      <c r="S2">
        <f>BDH("WRAP US Equity","BS_ACCT_NOTE_RCV","1993-06-18","2026-05-02","Per=Y","Days=T","Dir=V")</f>
        <v>0</v>
      </c>
      <c r="U2">
        <f>BDH("WRAP US Equity","BS_INVENTORIES","1993-06-18","2026-05-02","Per=Y","Days=T","Dir=V")</f>
        <v>0</v>
      </c>
      <c r="W2">
        <f>BDH("WRAP US Equity","WORKING_CAPITAL","1993-06-18","2026-05-02","Per=Y","Days=T","Dir=V")</f>
        <v>0</v>
      </c>
      <c r="Y2">
        <f>BDH("WRAP US Equity","SALES_REV_TURN","1993-06-18","2026-05-02","Per=Y","Days=T","Dir=V")</f>
        <v>0</v>
      </c>
      <c r="AA2">
        <f>BDH("WRAP US Equity","EBIT","1993-06-18","2026-05-02","Per=Y","Days=T","Dir=V")</f>
        <v>0</v>
      </c>
      <c r="AC2">
        <f>BDH("WRAP US Equity","EBITDA","1993-06-18","2026-05-02","Per=Y","Days=T","Dir=V")</f>
        <v>0</v>
      </c>
      <c r="AE2">
        <f>BDH("WRAP US Equity","NET_INCOME","1993-06-18","2026-05-02","Per=Y","Days=T","Dir=V")</f>
        <v>0</v>
      </c>
      <c r="AG2">
        <f>BDH("WRAP US Equity","IS_INT_EXPENSE","1993-06-18","2026-05-02","Per=Y","Days=T","Dir=V")</f>
        <v>0</v>
      </c>
      <c r="AI2">
        <f>BDH("WRAP US Equity","IS_DEPR_EXP","1993-06-18","2026-05-02","Per=Y","Days=T","Dir=V")</f>
        <v>0</v>
      </c>
      <c r="AK2">
        <f>BDH("WRAP US Equity","CF_CASH_FROM_OPER","1993-06-18","2026-05-02","Per=Y","Days=T","Dir=V")</f>
        <v>0</v>
      </c>
      <c r="AM2">
        <f>BDH("WRAP US Equity","CAPITAL_EXPEND","1993-06-18","2026-05-02","Per=Y","Days=T","Dir=V")</f>
        <v>0</v>
      </c>
      <c r="AO2">
        <f>BDH("WRAP US Equity","CF_FREE_CASH_FLOW","1993-06-18","2026-05-02","Per=Y","Days=T","Dir=V")</f>
        <v>0</v>
      </c>
      <c r="AQ2">
        <f>BDH("WRAP US Equity","PX_LAST","1993-06-18","2026-05-02","Per=M","Days=T","Dir=V")</f>
        <v>0</v>
      </c>
      <c r="AS2">
        <f>BDH("WRAP US Equity","CUR_MKT_CAP","1993-06-18","2026-05-02","Per=M","Days=T","Dir=V")</f>
        <v>0</v>
      </c>
      <c r="AU2">
        <f>BDH("WRAP US Equity","EQY_SH_OUT","1993-06-18","2026-05-02","Per=M","Days=T","Dir=V")</f>
        <v>0</v>
      </c>
      <c r="AW2">
        <f>BDH("WRAP US Equity","PX_VOLUME","1993-06-18","2026-05-02","Per=M","Days=T","Dir=V")</f>
        <v>0</v>
      </c>
      <c r="AY2">
        <f>BDH("WRAP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BDH("WRBY US Equity","BS_TOT_ASSET","1993-06-18","2026-05-02","Per=Y","Days=T","Dir=V")</f>
        <v>0</v>
      </c>
      <c r="C2">
        <f>BDH("WRBY US Equity","BS_TOT_LIAB2","1993-06-18","2026-05-02","Per=Y","Days=T","Dir=V")</f>
        <v>0</v>
      </c>
      <c r="E2">
        <f>BDH("WRBY US Equity","SHORT_AND_LONG_TERM_DEBT","1993-06-18","2026-05-02","Per=Y","Days=T","Dir=V")</f>
        <v>0</v>
      </c>
      <c r="G2">
        <f>BDH("WRBY US Equity","BS_ST_BORROW","1993-06-18","2026-05-02","Per=Y","Days=T","Dir=V")</f>
        <v>0</v>
      </c>
      <c r="I2">
        <f>BDH("WRBY US Equity","BS_LT_BORROW","1993-06-18","2026-05-02","Per=Y","Days=T","Dir=V")</f>
        <v>0</v>
      </c>
      <c r="K2">
        <f>BDH("WRBY US Equity","BS_CASH_NEAR_CASH_ITEM","1993-06-18","2026-05-02","Per=Y","Days=T","Dir=V")</f>
        <v>0</v>
      </c>
      <c r="M2">
        <f>BDH("WRBY US Equity","BS_CUR_ASSET_REPORT","1993-06-18","2026-05-02","Per=Y","Days=T","Dir=V")</f>
        <v>0</v>
      </c>
      <c r="O2">
        <f>BDH("WRBY US Equity","BS_CUR_LIAB","1993-06-18","2026-05-02","Per=Y","Days=T","Dir=V")</f>
        <v>0</v>
      </c>
      <c r="Q2">
        <f>BDH("WRBY US Equity","BS_SHAREHOLDER_EQY_ENDING_PERIOD","1993-06-18","2026-05-02","Per=Y","Days=T","Dir=V")</f>
        <v>0</v>
      </c>
      <c r="S2">
        <f>BDH("WRBY US Equity","BS_ACCT_NOTE_RCV","1993-06-18","2026-05-02","Per=Y","Days=T","Dir=V")</f>
        <v>0</v>
      </c>
      <c r="U2">
        <f>BDH("WRBY US Equity","BS_INVENTORIES","1993-06-18","2026-05-02","Per=Y","Days=T","Dir=V")</f>
        <v>0</v>
      </c>
      <c r="W2">
        <f>BDH("WRBY US Equity","WORKING_CAPITAL","1993-06-18","2026-05-02","Per=Y","Days=T","Dir=V")</f>
        <v>0</v>
      </c>
      <c r="Y2">
        <f>BDH("WRBY US Equity","SALES_REV_TURN","1993-06-18","2026-05-02","Per=Y","Days=T","Dir=V")</f>
        <v>0</v>
      </c>
      <c r="AA2">
        <f>BDH("WRBY US Equity","EBIT","1993-06-18","2026-05-02","Per=Y","Days=T","Dir=V")</f>
        <v>0</v>
      </c>
      <c r="AC2">
        <f>BDH("WRBY US Equity","EBITDA","1993-06-18","2026-05-02","Per=Y","Days=T","Dir=V")</f>
        <v>0</v>
      </c>
      <c r="AE2">
        <f>BDH("WRBY US Equity","NET_INCOME","1993-06-18","2026-05-02","Per=Y","Days=T","Dir=V")</f>
        <v>0</v>
      </c>
      <c r="AG2">
        <f>BDH("WRBY US Equity","IS_INT_EXPENSE","1993-06-18","2026-05-02","Per=Y","Days=T","Dir=V")</f>
        <v>0</v>
      </c>
      <c r="AI2">
        <f>BDH("WRBY US Equity","IS_DEPR_EXP","1993-06-18","2026-05-02","Per=Y","Days=T","Dir=V")</f>
        <v>0</v>
      </c>
      <c r="AK2">
        <f>BDH("WRBY US Equity","CF_CASH_FROM_OPER","1993-06-18","2026-05-02","Per=Y","Days=T","Dir=V")</f>
        <v>0</v>
      </c>
      <c r="AM2">
        <f>BDH("WRBY US Equity","CAPITAL_EXPEND","1993-06-18","2026-05-02","Per=Y","Days=T","Dir=V")</f>
        <v>0</v>
      </c>
      <c r="AO2">
        <f>BDH("WRBY US Equity","CF_FREE_CASH_FLOW","1993-06-18","2026-05-02","Per=Y","Days=T","Dir=V")</f>
        <v>0</v>
      </c>
      <c r="AQ2">
        <f>BDH("WRBY US Equity","PX_LAST","1993-06-18","2026-05-02","Per=M","Days=T","Dir=V")</f>
        <v>0</v>
      </c>
      <c r="AS2">
        <f>BDH("WRBY US Equity","CUR_MKT_CAP","1993-06-18","2026-05-02","Per=M","Days=T","Dir=V")</f>
        <v>0</v>
      </c>
      <c r="AU2">
        <f>BDH("WRBY US Equity","EQY_SH_OUT","1993-06-18","2026-05-02","Per=M","Days=T","Dir=V")</f>
        <v>0</v>
      </c>
      <c r="AW2">
        <f>BDH("WRBY US Equity","PX_VOLUME","1993-06-18","2026-05-02","Per=M","Days=T","Dir=V")</f>
        <v>0</v>
      </c>
      <c r="AY2">
        <f>BDH("WRBY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BDH("WS US Equity","BS_TOT_ASSET","1993-06-18","2026-05-02","Per=Y","Days=T","Dir=V")</f>
        <v>0</v>
      </c>
      <c r="C2">
        <f>BDH("WS US Equity","BS_TOT_LIAB2","1993-06-18","2026-05-02","Per=Y","Days=T","Dir=V")</f>
        <v>0</v>
      </c>
      <c r="E2">
        <f>BDH("WS US Equity","SHORT_AND_LONG_TERM_DEBT","1993-06-18","2026-05-02","Per=Y","Days=T","Dir=V")</f>
        <v>0</v>
      </c>
      <c r="G2">
        <f>BDH("WS US Equity","BS_ST_BORROW","1993-06-18","2026-05-02","Per=Y","Days=T","Dir=V")</f>
        <v>0</v>
      </c>
      <c r="I2">
        <f>BDH("WS US Equity","BS_LT_BORROW","1993-06-18","2026-05-02","Per=Y","Days=T","Dir=V")</f>
        <v>0</v>
      </c>
      <c r="K2">
        <f>BDH("WS US Equity","BS_CASH_NEAR_CASH_ITEM","1993-06-18","2026-05-02","Per=Y","Days=T","Dir=V")</f>
        <v>0</v>
      </c>
      <c r="M2">
        <f>BDH("WS US Equity","BS_CUR_ASSET_REPORT","1993-06-18","2026-05-02","Per=Y","Days=T","Dir=V")</f>
        <v>0</v>
      </c>
      <c r="O2">
        <f>BDH("WS US Equity","BS_CUR_LIAB","1993-06-18","2026-05-02","Per=Y","Days=T","Dir=V")</f>
        <v>0</v>
      </c>
      <c r="Q2">
        <f>BDH("WS US Equity","BS_SHAREHOLDER_EQY_ENDING_PERIOD","1993-06-18","2026-05-02","Per=Y","Days=T","Dir=V")</f>
        <v>0</v>
      </c>
      <c r="S2">
        <f>BDH("WS US Equity","BS_ACCT_NOTE_RCV","1993-06-18","2026-05-02","Per=Y","Days=T","Dir=V")</f>
        <v>0</v>
      </c>
      <c r="U2">
        <f>BDH("WS US Equity","BS_INVENTORIES","1993-06-18","2026-05-02","Per=Y","Days=T","Dir=V")</f>
        <v>0</v>
      </c>
      <c r="W2">
        <f>BDH("WS US Equity","WORKING_CAPITAL","1993-06-18","2026-05-02","Per=Y","Days=T","Dir=V")</f>
        <v>0</v>
      </c>
      <c r="Y2">
        <f>BDH("WS US Equity","SALES_REV_TURN","1993-06-18","2026-05-02","Per=Y","Days=T","Dir=V")</f>
        <v>0</v>
      </c>
      <c r="AA2">
        <f>BDH("WS US Equity","EBIT","1993-06-18","2026-05-02","Per=Y","Days=T","Dir=V")</f>
        <v>0</v>
      </c>
      <c r="AC2">
        <f>BDH("WS US Equity","EBITDA","1993-06-18","2026-05-02","Per=Y","Days=T","Dir=V")</f>
        <v>0</v>
      </c>
      <c r="AE2">
        <f>BDH("WS US Equity","NET_INCOME","1993-06-18","2026-05-02","Per=Y","Days=T","Dir=V")</f>
        <v>0</v>
      </c>
      <c r="AG2">
        <f>BDH("WS US Equity","IS_INT_EXPENSE","1993-06-18","2026-05-02","Per=Y","Days=T","Dir=V")</f>
        <v>0</v>
      </c>
      <c r="AI2">
        <f>BDH("WS US Equity","IS_DEPR_EXP","1993-06-18","2026-05-02","Per=Y","Days=T","Dir=V")</f>
        <v>0</v>
      </c>
      <c r="AK2">
        <f>BDH("WS US Equity","CF_CASH_FROM_OPER","1993-06-18","2026-05-02","Per=Y","Days=T","Dir=V")</f>
        <v>0</v>
      </c>
      <c r="AM2">
        <f>BDH("WS US Equity","CAPITAL_EXPEND","1993-06-18","2026-05-02","Per=Y","Days=T","Dir=V")</f>
        <v>0</v>
      </c>
      <c r="AO2">
        <f>BDH("WS US Equity","CF_FREE_CASH_FLOW","1993-06-18","2026-05-02","Per=Y","Days=T","Dir=V")</f>
        <v>0</v>
      </c>
      <c r="AQ2">
        <f>BDH("WS US Equity","PX_LAST","1993-06-18","2026-05-02","Per=M","Days=T","Dir=V")</f>
        <v>0</v>
      </c>
      <c r="AS2">
        <f>BDH("WS US Equity","CUR_MKT_CAP","1993-06-18","2026-05-02","Per=M","Days=T","Dir=V")</f>
        <v>0</v>
      </c>
      <c r="AU2">
        <f>BDH("WS US Equity","EQY_SH_OUT","1993-06-18","2026-05-02","Per=M","Days=T","Dir=V")</f>
        <v>0</v>
      </c>
      <c r="AW2">
        <f>BDH("WS US Equity","PX_VOLUME","1993-06-18","2026-05-02","Per=M","Days=T","Dir=V")</f>
        <v>0</v>
      </c>
      <c r="AY2">
        <f>BDH("WS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BDH("WSC US Equity","BS_TOT_ASSET","1993-06-18","2026-05-02","Per=Y","Days=T","Dir=V")</f>
        <v>0</v>
      </c>
      <c r="C2">
        <f>BDH("WSC US Equity","BS_TOT_LIAB2","1993-06-18","2026-05-02","Per=Y","Days=T","Dir=V")</f>
        <v>0</v>
      </c>
      <c r="E2">
        <f>BDH("WSC US Equity","SHORT_AND_LONG_TERM_DEBT","1993-06-18","2026-05-02","Per=Y","Days=T","Dir=V")</f>
        <v>0</v>
      </c>
      <c r="G2">
        <f>BDH("WSC US Equity","BS_ST_BORROW","1993-06-18","2026-05-02","Per=Y","Days=T","Dir=V")</f>
        <v>0</v>
      </c>
      <c r="I2">
        <f>BDH("WSC US Equity","BS_LT_BORROW","1993-06-18","2026-05-02","Per=Y","Days=T","Dir=V")</f>
        <v>0</v>
      </c>
      <c r="K2">
        <f>BDH("WSC US Equity","BS_CASH_NEAR_CASH_ITEM","1993-06-18","2026-05-02","Per=Y","Days=T","Dir=V")</f>
        <v>0</v>
      </c>
      <c r="M2">
        <f>BDH("WSC US Equity","BS_CUR_ASSET_REPORT","1993-06-18","2026-05-02","Per=Y","Days=T","Dir=V")</f>
        <v>0</v>
      </c>
      <c r="O2">
        <f>BDH("WSC US Equity","BS_CUR_LIAB","1993-06-18","2026-05-02","Per=Y","Days=T","Dir=V")</f>
        <v>0</v>
      </c>
      <c r="Q2">
        <f>BDH("WSC US Equity","BS_SHAREHOLDER_EQY_ENDING_PERIOD","1993-06-18","2026-05-02","Per=Y","Days=T","Dir=V")</f>
        <v>0</v>
      </c>
      <c r="S2">
        <f>BDH("WSC US Equity","BS_ACCT_NOTE_RCV","1993-06-18","2026-05-02","Per=Y","Days=T","Dir=V")</f>
        <v>0</v>
      </c>
      <c r="U2">
        <f>BDH("WSC US Equity","BS_INVENTORIES","1993-06-18","2026-05-02","Per=Y","Days=T","Dir=V")</f>
        <v>0</v>
      </c>
      <c r="W2">
        <f>BDH("WSC US Equity","WORKING_CAPITAL","1993-06-18","2026-05-02","Per=Y","Days=T","Dir=V")</f>
        <v>0</v>
      </c>
      <c r="Y2">
        <f>BDH("WSC US Equity","SALES_REV_TURN","1993-06-18","2026-05-02","Per=Y","Days=T","Dir=V")</f>
        <v>0</v>
      </c>
      <c r="AA2">
        <f>BDH("WSC US Equity","EBIT","1993-06-18","2026-05-02","Per=Y","Days=T","Dir=V")</f>
        <v>0</v>
      </c>
      <c r="AC2">
        <f>BDH("WSC US Equity","EBITDA","1993-06-18","2026-05-02","Per=Y","Days=T","Dir=V")</f>
        <v>0</v>
      </c>
      <c r="AE2">
        <f>BDH("WSC US Equity","NET_INCOME","1993-06-18","2026-05-02","Per=Y","Days=T","Dir=V")</f>
        <v>0</v>
      </c>
      <c r="AG2">
        <f>BDH("WSC US Equity","IS_INT_EXPENSE","1993-06-18","2026-05-02","Per=Y","Days=T","Dir=V")</f>
        <v>0</v>
      </c>
      <c r="AI2">
        <f>BDH("WSC US Equity","IS_DEPR_EXP","1993-06-18","2026-05-02","Per=Y","Days=T","Dir=V")</f>
        <v>0</v>
      </c>
      <c r="AK2">
        <f>BDH("WSC US Equity","CF_CASH_FROM_OPER","1993-06-18","2026-05-02","Per=Y","Days=T","Dir=V")</f>
        <v>0</v>
      </c>
      <c r="AM2">
        <f>BDH("WSC US Equity","CAPITAL_EXPEND","1993-06-18","2026-05-02","Per=Y","Days=T","Dir=V")</f>
        <v>0</v>
      </c>
      <c r="AO2">
        <f>BDH("WSC US Equity","CF_FREE_CASH_FLOW","1993-06-18","2026-05-02","Per=Y","Days=T","Dir=V")</f>
        <v>0</v>
      </c>
      <c r="AQ2">
        <f>BDH("WSC US Equity","PX_LAST","1993-06-18","2026-05-02","Per=M","Days=T","Dir=V")</f>
        <v>0</v>
      </c>
      <c r="AS2">
        <f>BDH("WSC US Equity","CUR_MKT_CAP","1993-06-18","2026-05-02","Per=M","Days=T","Dir=V")</f>
        <v>0</v>
      </c>
      <c r="AU2">
        <f>BDH("WSC US Equity","EQY_SH_OUT","1993-06-18","2026-05-02","Per=M","Days=T","Dir=V")</f>
        <v>0</v>
      </c>
      <c r="AW2">
        <f>BDH("WSC US Equity","PX_VOLUME","1993-06-18","2026-05-02","Per=M","Days=T","Dir=V")</f>
        <v>0</v>
      </c>
      <c r="AY2">
        <f>BDH("WSC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BDH("WSM US Equity","BS_TOT_ASSET","1993-06-18","2026-05-02","Per=Y","Days=T","Dir=V")</f>
        <v>0</v>
      </c>
      <c r="C2">
        <f>BDH("WSM US Equity","BS_TOT_LIAB2","1993-06-18","2026-05-02","Per=Y","Days=T","Dir=V")</f>
        <v>0</v>
      </c>
      <c r="E2">
        <f>BDH("WSM US Equity","SHORT_AND_LONG_TERM_DEBT","1993-06-18","2026-05-02","Per=Y","Days=T","Dir=V")</f>
        <v>0</v>
      </c>
      <c r="G2">
        <f>BDH("WSM US Equity","BS_ST_BORROW","1993-06-18","2026-05-02","Per=Y","Days=T","Dir=V")</f>
        <v>0</v>
      </c>
      <c r="I2">
        <f>BDH("WSM US Equity","BS_LT_BORROW","1993-06-18","2026-05-02","Per=Y","Days=T","Dir=V")</f>
        <v>0</v>
      </c>
      <c r="K2">
        <f>BDH("WSM US Equity","BS_CASH_NEAR_CASH_ITEM","1993-06-18","2026-05-02","Per=Y","Days=T","Dir=V")</f>
        <v>0</v>
      </c>
      <c r="M2">
        <f>BDH("WSM US Equity","BS_CUR_ASSET_REPORT","1993-06-18","2026-05-02","Per=Y","Days=T","Dir=V")</f>
        <v>0</v>
      </c>
      <c r="O2">
        <f>BDH("WSM US Equity","BS_CUR_LIAB","1993-06-18","2026-05-02","Per=Y","Days=T","Dir=V")</f>
        <v>0</v>
      </c>
      <c r="Q2">
        <f>BDH("WSM US Equity","BS_SHAREHOLDER_EQY_ENDING_PERIOD","1993-06-18","2026-05-02","Per=Y","Days=T","Dir=V")</f>
        <v>0</v>
      </c>
      <c r="S2">
        <f>BDH("WSM US Equity","BS_ACCT_NOTE_RCV","1993-06-18","2026-05-02","Per=Y","Days=T","Dir=V")</f>
        <v>0</v>
      </c>
      <c r="U2">
        <f>BDH("WSM US Equity","BS_INVENTORIES","1993-06-18","2026-05-02","Per=Y","Days=T","Dir=V")</f>
        <v>0</v>
      </c>
      <c r="W2">
        <f>BDH("WSM US Equity","WORKING_CAPITAL","1993-06-18","2026-05-02","Per=Y","Days=T","Dir=V")</f>
        <v>0</v>
      </c>
      <c r="Y2">
        <f>BDH("WSM US Equity","SALES_REV_TURN","1993-06-18","2026-05-02","Per=Y","Days=T","Dir=V")</f>
        <v>0</v>
      </c>
      <c r="AA2">
        <f>BDH("WSM US Equity","EBIT","1993-06-18","2026-05-02","Per=Y","Days=T","Dir=V")</f>
        <v>0</v>
      </c>
      <c r="AC2">
        <f>BDH("WSM US Equity","EBITDA","1993-06-18","2026-05-02","Per=Y","Days=T","Dir=V")</f>
        <v>0</v>
      </c>
      <c r="AE2">
        <f>BDH("WSM US Equity","NET_INCOME","1993-06-18","2026-05-02","Per=Y","Days=T","Dir=V")</f>
        <v>0</v>
      </c>
      <c r="AG2">
        <f>BDH("WSM US Equity","IS_INT_EXPENSE","1993-06-18","2026-05-02","Per=Y","Days=T","Dir=V")</f>
        <v>0</v>
      </c>
      <c r="AI2">
        <f>BDH("WSM US Equity","IS_DEPR_EXP","1993-06-18","2026-05-02","Per=Y","Days=T","Dir=V")</f>
        <v>0</v>
      </c>
      <c r="AK2">
        <f>BDH("WSM US Equity","CF_CASH_FROM_OPER","1993-06-18","2026-05-02","Per=Y","Days=T","Dir=V")</f>
        <v>0</v>
      </c>
      <c r="AM2">
        <f>BDH("WSM US Equity","CAPITAL_EXPEND","1993-06-18","2026-05-02","Per=Y","Days=T","Dir=V")</f>
        <v>0</v>
      </c>
      <c r="AO2">
        <f>BDH("WSM US Equity","CF_FREE_CASH_FLOW","1993-06-18","2026-05-02","Per=Y","Days=T","Dir=V")</f>
        <v>0</v>
      </c>
      <c r="AQ2">
        <f>BDH("WSM US Equity","PX_LAST","1993-06-18","2026-05-02","Per=M","Days=T","Dir=V")</f>
        <v>0</v>
      </c>
      <c r="AS2">
        <f>BDH("WSM US Equity","CUR_MKT_CAP","1993-06-18","2026-05-02","Per=M","Days=T","Dir=V")</f>
        <v>0</v>
      </c>
      <c r="AU2">
        <f>BDH("WSM US Equity","EQY_SH_OUT","1993-06-18","2026-05-02","Per=M","Days=T","Dir=V")</f>
        <v>0</v>
      </c>
      <c r="AW2">
        <f>BDH("WSM US Equity","PX_VOLUME","1993-06-18","2026-05-02","Per=M","Days=T","Dir=V")</f>
        <v>0</v>
      </c>
      <c r="AY2">
        <f>BDH("WSM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BDH("WSO US Equity","BS_TOT_ASSET","1993-06-18","2026-05-02","Per=Y","Days=T","Dir=V")</f>
        <v>0</v>
      </c>
      <c r="C2">
        <f>BDH("WSO US Equity","BS_TOT_LIAB2","1993-06-18","2026-05-02","Per=Y","Days=T","Dir=V")</f>
        <v>0</v>
      </c>
      <c r="E2">
        <f>BDH("WSO US Equity","SHORT_AND_LONG_TERM_DEBT","1993-06-18","2026-05-02","Per=Y","Days=T","Dir=V")</f>
        <v>0</v>
      </c>
      <c r="G2">
        <f>BDH("WSO US Equity","BS_ST_BORROW","1993-06-18","2026-05-02","Per=Y","Days=T","Dir=V")</f>
        <v>0</v>
      </c>
      <c r="I2">
        <f>BDH("WSO US Equity","BS_LT_BORROW","1993-06-18","2026-05-02","Per=Y","Days=T","Dir=V")</f>
        <v>0</v>
      </c>
      <c r="K2">
        <f>BDH("WSO US Equity","BS_CASH_NEAR_CASH_ITEM","1993-06-18","2026-05-02","Per=Y","Days=T","Dir=V")</f>
        <v>0</v>
      </c>
      <c r="M2">
        <f>BDH("WSO US Equity","BS_CUR_ASSET_REPORT","1993-06-18","2026-05-02","Per=Y","Days=T","Dir=V")</f>
        <v>0</v>
      </c>
      <c r="O2">
        <f>BDH("WSO US Equity","BS_CUR_LIAB","1993-06-18","2026-05-02","Per=Y","Days=T","Dir=V")</f>
        <v>0</v>
      </c>
      <c r="Q2">
        <f>BDH("WSO US Equity","BS_SHAREHOLDER_EQY_ENDING_PERIOD","1993-06-18","2026-05-02","Per=Y","Days=T","Dir=V")</f>
        <v>0</v>
      </c>
      <c r="S2">
        <f>BDH("WSO US Equity","BS_ACCT_NOTE_RCV","1993-06-18","2026-05-02","Per=Y","Days=T","Dir=V")</f>
        <v>0</v>
      </c>
      <c r="U2">
        <f>BDH("WSO US Equity","BS_INVENTORIES","1993-06-18","2026-05-02","Per=Y","Days=T","Dir=V")</f>
        <v>0</v>
      </c>
      <c r="W2">
        <f>BDH("WSO US Equity","WORKING_CAPITAL","1993-06-18","2026-05-02","Per=Y","Days=T","Dir=V")</f>
        <v>0</v>
      </c>
      <c r="Y2">
        <f>BDH("WSO US Equity","SALES_REV_TURN","1993-06-18","2026-05-02","Per=Y","Days=T","Dir=V")</f>
        <v>0</v>
      </c>
      <c r="AA2">
        <f>BDH("WSO US Equity","EBIT","1993-06-18","2026-05-02","Per=Y","Days=T","Dir=V")</f>
        <v>0</v>
      </c>
      <c r="AC2">
        <f>BDH("WSO US Equity","EBITDA","1993-06-18","2026-05-02","Per=Y","Days=T","Dir=V")</f>
        <v>0</v>
      </c>
      <c r="AE2">
        <f>BDH("WSO US Equity","NET_INCOME","1993-06-18","2026-05-02","Per=Y","Days=T","Dir=V")</f>
        <v>0</v>
      </c>
      <c r="AG2">
        <f>BDH("WSO US Equity","IS_INT_EXPENSE","1993-06-18","2026-05-02","Per=Y","Days=T","Dir=V")</f>
        <v>0</v>
      </c>
      <c r="AI2">
        <f>BDH("WSO US Equity","IS_DEPR_EXP","1993-06-18","2026-05-02","Per=Y","Days=T","Dir=V")</f>
        <v>0</v>
      </c>
      <c r="AK2">
        <f>BDH("WSO US Equity","CF_CASH_FROM_OPER","1993-06-18","2026-05-02","Per=Y","Days=T","Dir=V")</f>
        <v>0</v>
      </c>
      <c r="AM2">
        <f>BDH("WSO US Equity","CAPITAL_EXPEND","1993-06-18","2026-05-02","Per=Y","Days=T","Dir=V")</f>
        <v>0</v>
      </c>
      <c r="AO2">
        <f>BDH("WSO US Equity","CF_FREE_CASH_FLOW","1993-06-18","2026-05-02","Per=Y","Days=T","Dir=V")</f>
        <v>0</v>
      </c>
      <c r="AQ2">
        <f>BDH("WSO US Equity","PX_LAST","1993-06-18","2026-05-02","Per=M","Days=T","Dir=V")</f>
        <v>0</v>
      </c>
      <c r="AS2">
        <f>BDH("WSO US Equity","CUR_MKT_CAP","1993-06-18","2026-05-02","Per=M","Days=T","Dir=V")</f>
        <v>0</v>
      </c>
      <c r="AU2">
        <f>BDH("WSO US Equity","EQY_SH_OUT","1993-06-18","2026-05-02","Per=M","Days=T","Dir=V")</f>
        <v>0</v>
      </c>
      <c r="AW2">
        <f>BDH("WSO US Equity","PX_VOLUME","1993-06-18","2026-05-02","Per=M","Days=T","Dir=V")</f>
        <v>0</v>
      </c>
      <c r="AY2">
        <f>BDH("WSO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BDH("WST US Equity","BS_TOT_ASSET","1993-06-18","2026-05-02","Per=Y","Days=T","Dir=V")</f>
        <v>0</v>
      </c>
      <c r="C2">
        <f>BDH("WST US Equity","BS_TOT_LIAB2","1993-06-18","2026-05-02","Per=Y","Days=T","Dir=V")</f>
        <v>0</v>
      </c>
      <c r="E2">
        <f>BDH("WST US Equity","SHORT_AND_LONG_TERM_DEBT","1993-06-18","2026-05-02","Per=Y","Days=T","Dir=V")</f>
        <v>0</v>
      </c>
      <c r="G2">
        <f>BDH("WST US Equity","BS_ST_BORROW","1993-06-18","2026-05-02","Per=Y","Days=T","Dir=V")</f>
        <v>0</v>
      </c>
      <c r="I2">
        <f>BDH("WST US Equity","BS_LT_BORROW","1993-06-18","2026-05-02","Per=Y","Days=T","Dir=V")</f>
        <v>0</v>
      </c>
      <c r="K2">
        <f>BDH("WST US Equity","BS_CASH_NEAR_CASH_ITEM","1993-06-18","2026-05-02","Per=Y","Days=T","Dir=V")</f>
        <v>0</v>
      </c>
      <c r="M2">
        <f>BDH("WST US Equity","BS_CUR_ASSET_REPORT","1993-06-18","2026-05-02","Per=Y","Days=T","Dir=V")</f>
        <v>0</v>
      </c>
      <c r="O2">
        <f>BDH("WST US Equity","BS_CUR_LIAB","1993-06-18","2026-05-02","Per=Y","Days=T","Dir=V")</f>
        <v>0</v>
      </c>
      <c r="Q2">
        <f>BDH("WST US Equity","BS_SHAREHOLDER_EQY_ENDING_PERIOD","1993-06-18","2026-05-02","Per=Y","Days=T","Dir=V")</f>
        <v>0</v>
      </c>
      <c r="S2">
        <f>BDH("WST US Equity","BS_ACCT_NOTE_RCV","1993-06-18","2026-05-02","Per=Y","Days=T","Dir=V")</f>
        <v>0</v>
      </c>
      <c r="U2">
        <f>BDH("WST US Equity","BS_INVENTORIES","1993-06-18","2026-05-02","Per=Y","Days=T","Dir=V")</f>
        <v>0</v>
      </c>
      <c r="W2">
        <f>BDH("WST US Equity","WORKING_CAPITAL","1993-06-18","2026-05-02","Per=Y","Days=T","Dir=V")</f>
        <v>0</v>
      </c>
      <c r="Y2">
        <f>BDH("WST US Equity","SALES_REV_TURN","1993-06-18","2026-05-02","Per=Y","Days=T","Dir=V")</f>
        <v>0</v>
      </c>
      <c r="AA2">
        <f>BDH("WST US Equity","EBIT","1993-06-18","2026-05-02","Per=Y","Days=T","Dir=V")</f>
        <v>0</v>
      </c>
      <c r="AC2">
        <f>BDH("WST US Equity","EBITDA","1993-06-18","2026-05-02","Per=Y","Days=T","Dir=V")</f>
        <v>0</v>
      </c>
      <c r="AE2">
        <f>BDH("WST US Equity","NET_INCOME","1993-06-18","2026-05-02","Per=Y","Days=T","Dir=V")</f>
        <v>0</v>
      </c>
      <c r="AG2">
        <f>BDH("WST US Equity","IS_INT_EXPENSE","1993-06-18","2026-05-02","Per=Y","Days=T","Dir=V")</f>
        <v>0</v>
      </c>
      <c r="AI2">
        <f>BDH("WST US Equity","IS_DEPR_EXP","1993-06-18","2026-05-02","Per=Y","Days=T","Dir=V")</f>
        <v>0</v>
      </c>
      <c r="AK2">
        <f>BDH("WST US Equity","CF_CASH_FROM_OPER","1993-06-18","2026-05-02","Per=Y","Days=T","Dir=V")</f>
        <v>0</v>
      </c>
      <c r="AM2">
        <f>BDH("WST US Equity","CAPITAL_EXPEND","1993-06-18","2026-05-02","Per=Y","Days=T","Dir=V")</f>
        <v>0</v>
      </c>
      <c r="AO2">
        <f>BDH("WST US Equity","CF_FREE_CASH_FLOW","1993-06-18","2026-05-02","Per=Y","Days=T","Dir=V")</f>
        <v>0</v>
      </c>
      <c r="AQ2">
        <f>BDH("WST US Equity","PX_LAST","1993-06-18","2026-05-02","Per=M","Days=T","Dir=V")</f>
        <v>0</v>
      </c>
      <c r="AS2">
        <f>BDH("WST US Equity","CUR_MKT_CAP","1993-06-18","2026-05-02","Per=M","Days=T","Dir=V")</f>
        <v>0</v>
      </c>
      <c r="AU2">
        <f>BDH("WST US Equity","EQY_SH_OUT","1993-06-18","2026-05-02","Per=M","Days=T","Dir=V")</f>
        <v>0</v>
      </c>
      <c r="AW2">
        <f>BDH("WST US Equity","PX_VOLUME","1993-06-18","2026-05-02","Per=M","Days=T","Dir=V")</f>
        <v>0</v>
      </c>
      <c r="AY2">
        <f>BDH("WST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BDH("WTI US Equity","BS_TOT_ASSET","1993-06-18","2026-05-02","Per=Y","Days=T","Dir=V")</f>
        <v>0</v>
      </c>
      <c r="C2">
        <f>BDH("WTI US Equity","BS_TOT_LIAB2","1993-06-18","2026-05-02","Per=Y","Days=T","Dir=V")</f>
        <v>0</v>
      </c>
      <c r="E2">
        <f>BDH("WTI US Equity","SHORT_AND_LONG_TERM_DEBT","1993-06-18","2026-05-02","Per=Y","Days=T","Dir=V")</f>
        <v>0</v>
      </c>
      <c r="G2">
        <f>BDH("WTI US Equity","BS_ST_BORROW","1993-06-18","2026-05-02","Per=Y","Days=T","Dir=V")</f>
        <v>0</v>
      </c>
      <c r="I2">
        <f>BDH("WTI US Equity","BS_LT_BORROW","1993-06-18","2026-05-02","Per=Y","Days=T","Dir=V")</f>
        <v>0</v>
      </c>
      <c r="K2">
        <f>BDH("WTI US Equity","BS_CASH_NEAR_CASH_ITEM","1993-06-18","2026-05-02","Per=Y","Days=T","Dir=V")</f>
        <v>0</v>
      </c>
      <c r="M2">
        <f>BDH("WTI US Equity","BS_CUR_ASSET_REPORT","1993-06-18","2026-05-02","Per=Y","Days=T","Dir=V")</f>
        <v>0</v>
      </c>
      <c r="O2">
        <f>BDH("WTI US Equity","BS_CUR_LIAB","1993-06-18","2026-05-02","Per=Y","Days=T","Dir=V")</f>
        <v>0</v>
      </c>
      <c r="Q2">
        <f>BDH("WTI US Equity","BS_SHAREHOLDER_EQY_ENDING_PERIOD","1993-06-18","2026-05-02","Per=Y","Days=T","Dir=V")</f>
        <v>0</v>
      </c>
      <c r="S2">
        <f>BDH("WTI US Equity","BS_ACCT_NOTE_RCV","1993-06-18","2026-05-02","Per=Y","Days=T","Dir=V")</f>
        <v>0</v>
      </c>
      <c r="U2">
        <f>BDH("WTI US Equity","BS_INVENTORIES","1993-06-18","2026-05-02","Per=Y","Days=T","Dir=V")</f>
        <v>0</v>
      </c>
      <c r="W2">
        <f>BDH("WTI US Equity","WORKING_CAPITAL","1993-06-18","2026-05-02","Per=Y","Days=T","Dir=V")</f>
        <v>0</v>
      </c>
      <c r="Y2">
        <f>BDH("WTI US Equity","SALES_REV_TURN","1993-06-18","2026-05-02","Per=Y","Days=T","Dir=V")</f>
        <v>0</v>
      </c>
      <c r="AA2">
        <f>BDH("WTI US Equity","EBIT","1993-06-18","2026-05-02","Per=Y","Days=T","Dir=V")</f>
        <v>0</v>
      </c>
      <c r="AC2">
        <f>BDH("WTI US Equity","EBITDA","1993-06-18","2026-05-02","Per=Y","Days=T","Dir=V")</f>
        <v>0</v>
      </c>
      <c r="AE2">
        <f>BDH("WTI US Equity","NET_INCOME","1993-06-18","2026-05-02","Per=Y","Days=T","Dir=V")</f>
        <v>0</v>
      </c>
      <c r="AG2">
        <f>BDH("WTI US Equity","IS_INT_EXPENSE","1993-06-18","2026-05-02","Per=Y","Days=T","Dir=V")</f>
        <v>0</v>
      </c>
      <c r="AI2">
        <f>BDH("WTI US Equity","IS_DEPR_EXP","1993-06-18","2026-05-02","Per=Y","Days=T","Dir=V")</f>
        <v>0</v>
      </c>
      <c r="AK2">
        <f>BDH("WTI US Equity","CF_CASH_FROM_OPER","1993-06-18","2026-05-02","Per=Y","Days=T","Dir=V")</f>
        <v>0</v>
      </c>
      <c r="AM2">
        <f>BDH("WTI US Equity","CAPITAL_EXPEND","1993-06-18","2026-05-02","Per=Y","Days=T","Dir=V")</f>
        <v>0</v>
      </c>
      <c r="AO2">
        <f>BDH("WTI US Equity","CF_FREE_CASH_FLOW","1993-06-18","2026-05-02","Per=Y","Days=T","Dir=V")</f>
        <v>0</v>
      </c>
      <c r="AQ2">
        <f>BDH("WTI US Equity","PX_LAST","1993-06-18","2026-05-02","Per=M","Days=T","Dir=V")</f>
        <v>0</v>
      </c>
      <c r="AS2">
        <f>BDH("WTI US Equity","CUR_MKT_CAP","1993-06-18","2026-05-02","Per=M","Days=T","Dir=V")</f>
        <v>0</v>
      </c>
      <c r="AU2">
        <f>BDH("WTI US Equity","EQY_SH_OUT","1993-06-18","2026-05-02","Per=M","Days=T","Dir=V")</f>
        <v>0</v>
      </c>
      <c r="AW2">
        <f>BDH("WTI US Equity","PX_VOLUME","1993-06-18","2026-05-02","Per=M","Days=T","Dir=V")</f>
        <v>0</v>
      </c>
      <c r="AY2">
        <f>BDH("WTI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BDH("WTRG US Equity","BS_TOT_ASSET","1993-06-18","2026-05-02","Per=Y","Days=T","Dir=V")</f>
        <v>0</v>
      </c>
      <c r="C2">
        <f>BDH("WTRG US Equity","BS_TOT_LIAB2","1993-06-18","2026-05-02","Per=Y","Days=T","Dir=V")</f>
        <v>0</v>
      </c>
      <c r="E2">
        <f>BDH("WTRG US Equity","SHORT_AND_LONG_TERM_DEBT","1993-06-18","2026-05-02","Per=Y","Days=T","Dir=V")</f>
        <v>0</v>
      </c>
      <c r="G2">
        <f>BDH("WTRG US Equity","BS_ST_BORROW","1993-06-18","2026-05-02","Per=Y","Days=T","Dir=V")</f>
        <v>0</v>
      </c>
      <c r="I2">
        <f>BDH("WTRG US Equity","BS_LT_BORROW","1993-06-18","2026-05-02","Per=Y","Days=T","Dir=V")</f>
        <v>0</v>
      </c>
      <c r="K2">
        <f>BDH("WTRG US Equity","BS_CASH_NEAR_CASH_ITEM","1993-06-18","2026-05-02","Per=Y","Days=T","Dir=V")</f>
        <v>0</v>
      </c>
      <c r="M2">
        <f>BDH("WTRG US Equity","BS_CUR_ASSET_REPORT","1993-06-18","2026-05-02","Per=Y","Days=T","Dir=V")</f>
        <v>0</v>
      </c>
      <c r="O2">
        <f>BDH("WTRG US Equity","BS_CUR_LIAB","1993-06-18","2026-05-02","Per=Y","Days=T","Dir=V")</f>
        <v>0</v>
      </c>
      <c r="Q2">
        <f>BDH("WTRG US Equity","BS_SHAREHOLDER_EQY_ENDING_PERIOD","1993-06-18","2026-05-02","Per=Y","Days=T","Dir=V")</f>
        <v>0</v>
      </c>
      <c r="S2">
        <f>BDH("WTRG US Equity","BS_ACCT_NOTE_RCV","1993-06-18","2026-05-02","Per=Y","Days=T","Dir=V")</f>
        <v>0</v>
      </c>
      <c r="U2">
        <f>BDH("WTRG US Equity","BS_INVENTORIES","1993-06-18","2026-05-02","Per=Y","Days=T","Dir=V")</f>
        <v>0</v>
      </c>
      <c r="W2">
        <f>BDH("WTRG US Equity","WORKING_CAPITAL","1993-06-18","2026-05-02","Per=Y","Days=T","Dir=V")</f>
        <v>0</v>
      </c>
      <c r="Y2">
        <f>BDH("WTRG US Equity","SALES_REV_TURN","1993-06-18","2026-05-02","Per=Y","Days=T","Dir=V")</f>
        <v>0</v>
      </c>
      <c r="AA2">
        <f>BDH("WTRG US Equity","EBIT","1993-06-18","2026-05-02","Per=Y","Days=T","Dir=V")</f>
        <v>0</v>
      </c>
      <c r="AC2">
        <f>BDH("WTRG US Equity","EBITDA","1993-06-18","2026-05-02","Per=Y","Days=T","Dir=V")</f>
        <v>0</v>
      </c>
      <c r="AE2">
        <f>BDH("WTRG US Equity","NET_INCOME","1993-06-18","2026-05-02","Per=Y","Days=T","Dir=V")</f>
        <v>0</v>
      </c>
      <c r="AG2">
        <f>BDH("WTRG US Equity","IS_INT_EXPENSE","1993-06-18","2026-05-02","Per=Y","Days=T","Dir=V")</f>
        <v>0</v>
      </c>
      <c r="AI2">
        <f>BDH("WTRG US Equity","IS_DEPR_EXP","1993-06-18","2026-05-02","Per=Y","Days=T","Dir=V")</f>
        <v>0</v>
      </c>
      <c r="AK2">
        <f>BDH("WTRG US Equity","CF_CASH_FROM_OPER","1993-06-18","2026-05-02","Per=Y","Days=T","Dir=V")</f>
        <v>0</v>
      </c>
      <c r="AM2">
        <f>BDH("WTRG US Equity","CAPITAL_EXPEND","1993-06-18","2026-05-02","Per=Y","Days=T","Dir=V")</f>
        <v>0</v>
      </c>
      <c r="AO2">
        <f>BDH("WTRG US Equity","CF_FREE_CASH_FLOW","1993-06-18","2026-05-02","Per=Y","Days=T","Dir=V")</f>
        <v>0</v>
      </c>
      <c r="AQ2">
        <f>BDH("WTRG US Equity","PX_LAST","1993-06-18","2026-05-02","Per=M","Days=T","Dir=V")</f>
        <v>0</v>
      </c>
      <c r="AS2">
        <f>BDH("WTRG US Equity","CUR_MKT_CAP","1993-06-18","2026-05-02","Per=M","Days=T","Dir=V")</f>
        <v>0</v>
      </c>
      <c r="AU2">
        <f>BDH("WTRG US Equity","EQY_SH_OUT","1993-06-18","2026-05-02","Per=M","Days=T","Dir=V")</f>
        <v>0</v>
      </c>
      <c r="AW2">
        <f>BDH("WTRG US Equity","PX_VOLUME","1993-06-18","2026-05-02","Per=M","Days=T","Dir=V")</f>
        <v>0</v>
      </c>
      <c r="AY2">
        <f>BDH("WTRG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BDH("WTS US Equity","BS_TOT_ASSET","1993-06-18","2026-05-02","Per=Y","Days=T","Dir=V")</f>
        <v>0</v>
      </c>
      <c r="C2">
        <f>BDH("WTS US Equity","BS_TOT_LIAB2","1993-06-18","2026-05-02","Per=Y","Days=T","Dir=V")</f>
        <v>0</v>
      </c>
      <c r="E2">
        <f>BDH("WTS US Equity","SHORT_AND_LONG_TERM_DEBT","1993-06-18","2026-05-02","Per=Y","Days=T","Dir=V")</f>
        <v>0</v>
      </c>
      <c r="G2">
        <f>BDH("WTS US Equity","BS_ST_BORROW","1993-06-18","2026-05-02","Per=Y","Days=T","Dir=V")</f>
        <v>0</v>
      </c>
      <c r="I2">
        <f>BDH("WTS US Equity","BS_LT_BORROW","1993-06-18","2026-05-02","Per=Y","Days=T","Dir=V")</f>
        <v>0</v>
      </c>
      <c r="K2">
        <f>BDH("WTS US Equity","BS_CASH_NEAR_CASH_ITEM","1993-06-18","2026-05-02","Per=Y","Days=T","Dir=V")</f>
        <v>0</v>
      </c>
      <c r="M2">
        <f>BDH("WTS US Equity","BS_CUR_ASSET_REPORT","1993-06-18","2026-05-02","Per=Y","Days=T","Dir=V")</f>
        <v>0</v>
      </c>
      <c r="O2">
        <f>BDH("WTS US Equity","BS_CUR_LIAB","1993-06-18","2026-05-02","Per=Y","Days=T","Dir=V")</f>
        <v>0</v>
      </c>
      <c r="Q2">
        <f>BDH("WTS US Equity","BS_SHAREHOLDER_EQY_ENDING_PERIOD","1993-06-18","2026-05-02","Per=Y","Days=T","Dir=V")</f>
        <v>0</v>
      </c>
      <c r="S2">
        <f>BDH("WTS US Equity","BS_ACCT_NOTE_RCV","1993-06-18","2026-05-02","Per=Y","Days=T","Dir=V")</f>
        <v>0</v>
      </c>
      <c r="U2">
        <f>BDH("WTS US Equity","BS_INVENTORIES","1993-06-18","2026-05-02","Per=Y","Days=T","Dir=V")</f>
        <v>0</v>
      </c>
      <c r="W2">
        <f>BDH("WTS US Equity","WORKING_CAPITAL","1993-06-18","2026-05-02","Per=Y","Days=T","Dir=V")</f>
        <v>0</v>
      </c>
      <c r="Y2">
        <f>BDH("WTS US Equity","SALES_REV_TURN","1993-06-18","2026-05-02","Per=Y","Days=T","Dir=V")</f>
        <v>0</v>
      </c>
      <c r="AA2">
        <f>BDH("WTS US Equity","EBIT","1993-06-18","2026-05-02","Per=Y","Days=T","Dir=V")</f>
        <v>0</v>
      </c>
      <c r="AC2">
        <f>BDH("WTS US Equity","EBITDA","1993-06-18","2026-05-02","Per=Y","Days=T","Dir=V")</f>
        <v>0</v>
      </c>
      <c r="AE2">
        <f>BDH("WTS US Equity","NET_INCOME","1993-06-18","2026-05-02","Per=Y","Days=T","Dir=V")</f>
        <v>0</v>
      </c>
      <c r="AG2">
        <f>BDH("WTS US Equity","IS_INT_EXPENSE","1993-06-18","2026-05-02","Per=Y","Days=T","Dir=V")</f>
        <v>0</v>
      </c>
      <c r="AI2">
        <f>BDH("WTS US Equity","IS_DEPR_EXP","1993-06-18","2026-05-02","Per=Y","Days=T","Dir=V")</f>
        <v>0</v>
      </c>
      <c r="AK2">
        <f>BDH("WTS US Equity","CF_CASH_FROM_OPER","1993-06-18","2026-05-02","Per=Y","Days=T","Dir=V")</f>
        <v>0</v>
      </c>
      <c r="AM2">
        <f>BDH("WTS US Equity","CAPITAL_EXPEND","1993-06-18","2026-05-02","Per=Y","Days=T","Dir=V")</f>
        <v>0</v>
      </c>
      <c r="AO2">
        <f>BDH("WTS US Equity","CF_FREE_CASH_FLOW","1993-06-18","2026-05-02","Per=Y","Days=T","Dir=V")</f>
        <v>0</v>
      </c>
      <c r="AQ2">
        <f>BDH("WTS US Equity","PX_LAST","1993-06-18","2026-05-02","Per=M","Days=T","Dir=V")</f>
        <v>0</v>
      </c>
      <c r="AS2">
        <f>BDH("WTS US Equity","CUR_MKT_CAP","1993-06-18","2026-05-02","Per=M","Days=T","Dir=V")</f>
        <v>0</v>
      </c>
      <c r="AU2">
        <f>BDH("WTS US Equity","EQY_SH_OUT","1993-06-18","2026-05-02","Per=M","Days=T","Dir=V")</f>
        <v>0</v>
      </c>
      <c r="AW2">
        <f>BDH("WTS US Equity","PX_VOLUME","1993-06-18","2026-05-02","Per=M","Days=T","Dir=V")</f>
        <v>0</v>
      </c>
      <c r="AY2">
        <f>BDH("WTS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BDH("WTTR US Equity","BS_TOT_ASSET","1993-06-18","2026-05-02","Per=Y","Days=T","Dir=V")</f>
        <v>0</v>
      </c>
      <c r="C2">
        <f>BDH("WTTR US Equity","BS_TOT_LIAB2","1993-06-18","2026-05-02","Per=Y","Days=T","Dir=V")</f>
        <v>0</v>
      </c>
      <c r="E2">
        <f>BDH("WTTR US Equity","SHORT_AND_LONG_TERM_DEBT","1993-06-18","2026-05-02","Per=Y","Days=T","Dir=V")</f>
        <v>0</v>
      </c>
      <c r="G2">
        <f>BDH("WTTR US Equity","BS_ST_BORROW","1993-06-18","2026-05-02","Per=Y","Days=T","Dir=V")</f>
        <v>0</v>
      </c>
      <c r="I2">
        <f>BDH("WTTR US Equity","BS_LT_BORROW","1993-06-18","2026-05-02","Per=Y","Days=T","Dir=V")</f>
        <v>0</v>
      </c>
      <c r="K2">
        <f>BDH("WTTR US Equity","BS_CASH_NEAR_CASH_ITEM","1993-06-18","2026-05-02","Per=Y","Days=T","Dir=V")</f>
        <v>0</v>
      </c>
      <c r="M2">
        <f>BDH("WTTR US Equity","BS_CUR_ASSET_REPORT","1993-06-18","2026-05-02","Per=Y","Days=T","Dir=V")</f>
        <v>0</v>
      </c>
      <c r="O2">
        <f>BDH("WTTR US Equity","BS_CUR_LIAB","1993-06-18","2026-05-02","Per=Y","Days=T","Dir=V")</f>
        <v>0</v>
      </c>
      <c r="Q2">
        <f>BDH("WTTR US Equity","BS_SHAREHOLDER_EQY_ENDING_PERIOD","1993-06-18","2026-05-02","Per=Y","Days=T","Dir=V")</f>
        <v>0</v>
      </c>
      <c r="S2">
        <f>BDH("WTTR US Equity","BS_ACCT_NOTE_RCV","1993-06-18","2026-05-02","Per=Y","Days=T","Dir=V")</f>
        <v>0</v>
      </c>
      <c r="U2">
        <f>BDH("WTTR US Equity","BS_INVENTORIES","1993-06-18","2026-05-02","Per=Y","Days=T","Dir=V")</f>
        <v>0</v>
      </c>
      <c r="W2">
        <f>BDH("WTTR US Equity","WORKING_CAPITAL","1993-06-18","2026-05-02","Per=Y","Days=T","Dir=V")</f>
        <v>0</v>
      </c>
      <c r="Y2">
        <f>BDH("WTTR US Equity","SALES_REV_TURN","1993-06-18","2026-05-02","Per=Y","Days=T","Dir=V")</f>
        <v>0</v>
      </c>
      <c r="AA2">
        <f>BDH("WTTR US Equity","EBIT","1993-06-18","2026-05-02","Per=Y","Days=T","Dir=V")</f>
        <v>0</v>
      </c>
      <c r="AC2">
        <f>BDH("WTTR US Equity","EBITDA","1993-06-18","2026-05-02","Per=Y","Days=T","Dir=V")</f>
        <v>0</v>
      </c>
      <c r="AE2">
        <f>BDH("WTTR US Equity","NET_INCOME","1993-06-18","2026-05-02","Per=Y","Days=T","Dir=V")</f>
        <v>0</v>
      </c>
      <c r="AG2">
        <f>BDH("WTTR US Equity","IS_INT_EXPENSE","1993-06-18","2026-05-02","Per=Y","Days=T","Dir=V")</f>
        <v>0</v>
      </c>
      <c r="AI2">
        <f>BDH("WTTR US Equity","IS_DEPR_EXP","1993-06-18","2026-05-02","Per=Y","Days=T","Dir=V")</f>
        <v>0</v>
      </c>
      <c r="AK2">
        <f>BDH("WTTR US Equity","CF_CASH_FROM_OPER","1993-06-18","2026-05-02","Per=Y","Days=T","Dir=V")</f>
        <v>0</v>
      </c>
      <c r="AM2">
        <f>BDH("WTTR US Equity","CAPITAL_EXPEND","1993-06-18","2026-05-02","Per=Y","Days=T","Dir=V")</f>
        <v>0</v>
      </c>
      <c r="AO2">
        <f>BDH("WTTR US Equity","CF_FREE_CASH_FLOW","1993-06-18","2026-05-02","Per=Y","Days=T","Dir=V")</f>
        <v>0</v>
      </c>
      <c r="AQ2">
        <f>BDH("WTTR US Equity","PX_LAST","1993-06-18","2026-05-02","Per=M","Days=T","Dir=V")</f>
        <v>0</v>
      </c>
      <c r="AS2">
        <f>BDH("WTTR US Equity","CUR_MKT_CAP","1993-06-18","2026-05-02","Per=M","Days=T","Dir=V")</f>
        <v>0</v>
      </c>
      <c r="AU2">
        <f>BDH("WTTR US Equity","EQY_SH_OUT","1993-06-18","2026-05-02","Per=M","Days=T","Dir=V")</f>
        <v>0</v>
      </c>
      <c r="AW2">
        <f>BDH("WTTR US Equity","PX_VOLUME","1993-06-18","2026-05-02","Per=M","Days=T","Dir=V")</f>
        <v>0</v>
      </c>
      <c r="AY2">
        <f>BDH("WTTR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BDH("WU US Equity","BS_TOT_ASSET","1993-06-18","2026-05-02","Per=Y","Days=T","Dir=V")</f>
        <v>0</v>
      </c>
      <c r="C2">
        <f>BDH("WU US Equity","BS_TOT_LIAB2","1993-06-18","2026-05-02","Per=Y","Days=T","Dir=V")</f>
        <v>0</v>
      </c>
      <c r="E2">
        <f>BDH("WU US Equity","SHORT_AND_LONG_TERM_DEBT","1993-06-18","2026-05-02","Per=Y","Days=T","Dir=V")</f>
        <v>0</v>
      </c>
      <c r="G2">
        <f>BDH("WU US Equity","BS_ST_BORROW","1993-06-18","2026-05-02","Per=Y","Days=T","Dir=V")</f>
        <v>0</v>
      </c>
      <c r="I2">
        <f>BDH("WU US Equity","BS_LT_BORROW","1993-06-18","2026-05-02","Per=Y","Days=T","Dir=V")</f>
        <v>0</v>
      </c>
      <c r="K2">
        <f>BDH("WU US Equity","BS_CASH_NEAR_CASH_ITEM","1993-06-18","2026-05-02","Per=Y","Days=T","Dir=V")</f>
        <v>0</v>
      </c>
      <c r="M2">
        <f>BDH("WU US Equity","BS_CUR_ASSET_REPORT","1993-06-18","2026-05-02","Per=Y","Days=T","Dir=V")</f>
        <v>0</v>
      </c>
      <c r="O2">
        <f>BDH("WU US Equity","BS_CUR_LIAB","1993-06-18","2026-05-02","Per=Y","Days=T","Dir=V")</f>
        <v>0</v>
      </c>
      <c r="Q2">
        <f>BDH("WU US Equity","BS_SHAREHOLDER_EQY_ENDING_PERIOD","1993-06-18","2026-05-02","Per=Y","Days=T","Dir=V")</f>
        <v>0</v>
      </c>
      <c r="S2">
        <f>BDH("WU US Equity","BS_ACCT_NOTE_RCV","1993-06-18","2026-05-02","Per=Y","Days=T","Dir=V")</f>
        <v>0</v>
      </c>
      <c r="U2">
        <f>BDH("WU US Equity","BS_INVENTORIES","1993-06-18","2026-05-02","Per=Y","Days=T","Dir=V")</f>
        <v>0</v>
      </c>
      <c r="W2">
        <f>BDH("WU US Equity","WORKING_CAPITAL","1993-06-18","2026-05-02","Per=Y","Days=T","Dir=V")</f>
        <v>0</v>
      </c>
      <c r="Y2">
        <f>BDH("WU US Equity","SALES_REV_TURN","1993-06-18","2026-05-02","Per=Y","Days=T","Dir=V")</f>
        <v>0</v>
      </c>
      <c r="AA2">
        <f>BDH("WU US Equity","EBIT","1993-06-18","2026-05-02","Per=Y","Days=T","Dir=V")</f>
        <v>0</v>
      </c>
      <c r="AC2">
        <f>BDH("WU US Equity","EBITDA","1993-06-18","2026-05-02","Per=Y","Days=T","Dir=V")</f>
        <v>0</v>
      </c>
      <c r="AE2">
        <f>BDH("WU US Equity","NET_INCOME","1993-06-18","2026-05-02","Per=Y","Days=T","Dir=V")</f>
        <v>0</v>
      </c>
      <c r="AG2">
        <f>BDH("WU US Equity","IS_INT_EXPENSE","1993-06-18","2026-05-02","Per=Y","Days=T","Dir=V")</f>
        <v>0</v>
      </c>
      <c r="AI2">
        <f>BDH("WU US Equity","IS_DEPR_EXP","1993-06-18","2026-05-02","Per=Y","Days=T","Dir=V")</f>
        <v>0</v>
      </c>
      <c r="AK2">
        <f>BDH("WU US Equity","CF_CASH_FROM_OPER","1993-06-18","2026-05-02","Per=Y","Days=T","Dir=V")</f>
        <v>0</v>
      </c>
      <c r="AM2">
        <f>BDH("WU US Equity","CAPITAL_EXPEND","1993-06-18","2026-05-02","Per=Y","Days=T","Dir=V")</f>
        <v>0</v>
      </c>
      <c r="AO2">
        <f>BDH("WU US Equity","CF_FREE_CASH_FLOW","1993-06-18","2026-05-02","Per=Y","Days=T","Dir=V")</f>
        <v>0</v>
      </c>
      <c r="AQ2">
        <f>BDH("WU US Equity","PX_LAST","1993-06-18","2026-05-02","Per=M","Days=T","Dir=V")</f>
        <v>0</v>
      </c>
      <c r="AS2">
        <f>BDH("WU US Equity","CUR_MKT_CAP","1993-06-18","2026-05-02","Per=M","Days=T","Dir=V")</f>
        <v>0</v>
      </c>
      <c r="AU2">
        <f>BDH("WU US Equity","EQY_SH_OUT","1993-06-18","2026-05-02","Per=M","Days=T","Dir=V")</f>
        <v>0</v>
      </c>
      <c r="AW2">
        <f>BDH("WU US Equity","PX_VOLUME","1993-06-18","2026-05-02","Per=M","Days=T","Dir=V")</f>
        <v>0</v>
      </c>
      <c r="AY2">
        <f>BDH("WU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BDH("WVVI US Equity","BS_TOT_ASSET","1993-06-18","2026-05-02","Per=Y","Days=T","Dir=V")</f>
        <v>0</v>
      </c>
      <c r="C2">
        <f>BDH("WVVI US Equity","BS_TOT_LIAB2","1993-06-18","2026-05-02","Per=Y","Days=T","Dir=V")</f>
        <v>0</v>
      </c>
      <c r="E2">
        <f>BDH("WVVI US Equity","SHORT_AND_LONG_TERM_DEBT","1993-06-18","2026-05-02","Per=Y","Days=T","Dir=V")</f>
        <v>0</v>
      </c>
      <c r="G2">
        <f>BDH("WVVI US Equity","BS_ST_BORROW","1993-06-18","2026-05-02","Per=Y","Days=T","Dir=V")</f>
        <v>0</v>
      </c>
      <c r="I2">
        <f>BDH("WVVI US Equity","BS_LT_BORROW","1993-06-18","2026-05-02","Per=Y","Days=T","Dir=V")</f>
        <v>0</v>
      </c>
      <c r="K2">
        <f>BDH("WVVI US Equity","BS_CASH_NEAR_CASH_ITEM","1993-06-18","2026-05-02","Per=Y","Days=T","Dir=V")</f>
        <v>0</v>
      </c>
      <c r="M2">
        <f>BDH("WVVI US Equity","BS_CUR_ASSET_REPORT","1993-06-18","2026-05-02","Per=Y","Days=T","Dir=V")</f>
        <v>0</v>
      </c>
      <c r="O2">
        <f>BDH("WVVI US Equity","BS_CUR_LIAB","1993-06-18","2026-05-02","Per=Y","Days=T","Dir=V")</f>
        <v>0</v>
      </c>
      <c r="Q2">
        <f>BDH("WVVI US Equity","BS_SHAREHOLDER_EQY_ENDING_PERIOD","1993-06-18","2026-05-02","Per=Y","Days=T","Dir=V")</f>
        <v>0</v>
      </c>
      <c r="S2">
        <f>BDH("WVVI US Equity","BS_ACCT_NOTE_RCV","1993-06-18","2026-05-02","Per=Y","Days=T","Dir=V")</f>
        <v>0</v>
      </c>
      <c r="U2">
        <f>BDH("WVVI US Equity","BS_INVENTORIES","1993-06-18","2026-05-02","Per=Y","Days=T","Dir=V")</f>
        <v>0</v>
      </c>
      <c r="W2">
        <f>BDH("WVVI US Equity","WORKING_CAPITAL","1993-06-18","2026-05-02","Per=Y","Days=T","Dir=V")</f>
        <v>0</v>
      </c>
      <c r="Y2">
        <f>BDH("WVVI US Equity","SALES_REV_TURN","1993-06-18","2026-05-02","Per=Y","Days=T","Dir=V")</f>
        <v>0</v>
      </c>
      <c r="AA2">
        <f>BDH("WVVI US Equity","EBIT","1993-06-18","2026-05-02","Per=Y","Days=T","Dir=V")</f>
        <v>0</v>
      </c>
      <c r="AC2">
        <f>BDH("WVVI US Equity","EBITDA","1993-06-18","2026-05-02","Per=Y","Days=T","Dir=V")</f>
        <v>0</v>
      </c>
      <c r="AE2">
        <f>BDH("WVVI US Equity","NET_INCOME","1993-06-18","2026-05-02","Per=Y","Days=T","Dir=V")</f>
        <v>0</v>
      </c>
      <c r="AG2">
        <f>BDH("WVVI US Equity","IS_INT_EXPENSE","1993-06-18","2026-05-02","Per=Y","Days=T","Dir=V")</f>
        <v>0</v>
      </c>
      <c r="AI2">
        <f>BDH("WVVI US Equity","IS_DEPR_EXP","1993-06-18","2026-05-02","Per=Y","Days=T","Dir=V")</f>
        <v>0</v>
      </c>
      <c r="AK2">
        <f>BDH("WVVI US Equity","CF_CASH_FROM_OPER","1993-06-18","2026-05-02","Per=Y","Days=T","Dir=V")</f>
        <v>0</v>
      </c>
      <c r="AM2">
        <f>BDH("WVVI US Equity","CAPITAL_EXPEND","1993-06-18","2026-05-02","Per=Y","Days=T","Dir=V")</f>
        <v>0</v>
      </c>
      <c r="AO2">
        <f>BDH("WVVI US Equity","CF_FREE_CASH_FLOW","1993-06-18","2026-05-02","Per=Y","Days=T","Dir=V")</f>
        <v>0</v>
      </c>
      <c r="AQ2">
        <f>BDH("WVVI US Equity","PX_LAST","1993-06-18","2026-05-02","Per=M","Days=T","Dir=V")</f>
        <v>0</v>
      </c>
      <c r="AS2">
        <f>BDH("WVVI US Equity","CUR_MKT_CAP","1993-06-18","2026-05-02","Per=M","Days=T","Dir=V")</f>
        <v>0</v>
      </c>
      <c r="AU2">
        <f>BDH("WVVI US Equity","EQY_SH_OUT","1993-06-18","2026-05-02","Per=M","Days=T","Dir=V")</f>
        <v>0</v>
      </c>
      <c r="AW2">
        <f>BDH("WVVI US Equity","PX_VOLUME","1993-06-18","2026-05-02","Per=M","Days=T","Dir=V")</f>
        <v>0</v>
      </c>
      <c r="AY2">
        <f>BDH("WVVI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BDH("WVVIP US Equity","BS_TOT_ASSET","1993-06-18","2026-05-02","Per=Y","Days=T","Dir=V")</f>
        <v>0</v>
      </c>
      <c r="C2">
        <f>BDH("WVVIP US Equity","BS_TOT_LIAB2","1993-06-18","2026-05-02","Per=Y","Days=T","Dir=V")</f>
        <v>0</v>
      </c>
      <c r="E2">
        <f>BDH("WVVIP US Equity","SHORT_AND_LONG_TERM_DEBT","1993-06-18","2026-05-02","Per=Y","Days=T","Dir=V")</f>
        <v>0</v>
      </c>
      <c r="G2">
        <f>BDH("WVVIP US Equity","BS_ST_BORROW","1993-06-18","2026-05-02","Per=Y","Days=T","Dir=V")</f>
        <v>0</v>
      </c>
      <c r="I2">
        <f>BDH("WVVIP US Equity","BS_LT_BORROW","1993-06-18","2026-05-02","Per=Y","Days=T","Dir=V")</f>
        <v>0</v>
      </c>
      <c r="K2">
        <f>BDH("WVVIP US Equity","BS_CASH_NEAR_CASH_ITEM","1993-06-18","2026-05-02","Per=Y","Days=T","Dir=V")</f>
        <v>0</v>
      </c>
      <c r="M2">
        <f>BDH("WVVIP US Equity","BS_CUR_ASSET_REPORT","1993-06-18","2026-05-02","Per=Y","Days=T","Dir=V")</f>
        <v>0</v>
      </c>
      <c r="O2">
        <f>BDH("WVVIP US Equity","BS_CUR_LIAB","1993-06-18","2026-05-02","Per=Y","Days=T","Dir=V")</f>
        <v>0</v>
      </c>
      <c r="Q2">
        <f>BDH("WVVIP US Equity","BS_SHAREHOLDER_EQY_ENDING_PERIOD","1993-06-18","2026-05-02","Per=Y","Days=T","Dir=V")</f>
        <v>0</v>
      </c>
      <c r="S2">
        <f>BDH("WVVIP US Equity","BS_ACCT_NOTE_RCV","1993-06-18","2026-05-02","Per=Y","Days=T","Dir=V")</f>
        <v>0</v>
      </c>
      <c r="U2">
        <f>BDH("WVVIP US Equity","BS_INVENTORIES","1993-06-18","2026-05-02","Per=Y","Days=T","Dir=V")</f>
        <v>0</v>
      </c>
      <c r="W2">
        <f>BDH("WVVIP US Equity","WORKING_CAPITAL","1993-06-18","2026-05-02","Per=Y","Days=T","Dir=V")</f>
        <v>0</v>
      </c>
      <c r="Y2">
        <f>BDH("WVVIP US Equity","SALES_REV_TURN","1993-06-18","2026-05-02","Per=Y","Days=T","Dir=V")</f>
        <v>0</v>
      </c>
      <c r="AA2">
        <f>BDH("WVVIP US Equity","EBIT","1993-06-18","2026-05-02","Per=Y","Days=T","Dir=V")</f>
        <v>0</v>
      </c>
      <c r="AC2">
        <f>BDH("WVVIP US Equity","EBITDA","1993-06-18","2026-05-02","Per=Y","Days=T","Dir=V")</f>
        <v>0</v>
      </c>
      <c r="AE2">
        <f>BDH("WVVIP US Equity","NET_INCOME","1993-06-18","2026-05-02","Per=Y","Days=T","Dir=V")</f>
        <v>0</v>
      </c>
      <c r="AG2">
        <f>BDH("WVVIP US Equity","IS_INT_EXPENSE","1993-06-18","2026-05-02","Per=Y","Days=T","Dir=V")</f>
        <v>0</v>
      </c>
      <c r="AI2">
        <f>BDH("WVVIP US Equity","IS_DEPR_EXP","1993-06-18","2026-05-02","Per=Y","Days=T","Dir=V")</f>
        <v>0</v>
      </c>
      <c r="AK2">
        <f>BDH("WVVIP US Equity","CF_CASH_FROM_OPER","1993-06-18","2026-05-02","Per=Y","Days=T","Dir=V")</f>
        <v>0</v>
      </c>
      <c r="AM2">
        <f>BDH("WVVIP US Equity","CAPITAL_EXPEND","1993-06-18","2026-05-02","Per=Y","Days=T","Dir=V")</f>
        <v>0</v>
      </c>
      <c r="AO2">
        <f>BDH("WVVIP US Equity","CF_FREE_CASH_FLOW","1993-06-18","2026-05-02","Per=Y","Days=T","Dir=V")</f>
        <v>0</v>
      </c>
      <c r="AQ2">
        <f>BDH("WVVIP US Equity","PX_LAST","1993-06-18","2026-05-02","Per=M","Days=T","Dir=V")</f>
        <v>0</v>
      </c>
      <c r="AS2">
        <f>BDH("WVVIP US Equity","CUR_MKT_CAP","1993-06-18","2026-05-02","Per=M","Days=T","Dir=V")</f>
        <v>0</v>
      </c>
      <c r="AU2">
        <f>BDH("WVVIP US Equity","EQY_SH_OUT","1993-06-18","2026-05-02","Per=M","Days=T","Dir=V")</f>
        <v>0</v>
      </c>
      <c r="AW2">
        <f>BDH("WVVIP US Equity","PX_VOLUME","1993-06-18","2026-05-02","Per=M","Days=T","Dir=V")</f>
        <v>0</v>
      </c>
      <c r="AY2">
        <f>BDH("WVVIP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BDH("WW US Equity","BS_TOT_ASSET","1993-06-18","2026-05-02","Per=Y","Days=T","Dir=V")</f>
        <v>0</v>
      </c>
      <c r="C2">
        <f>BDH("WW US Equity","BS_TOT_LIAB2","1993-06-18","2026-05-02","Per=Y","Days=T","Dir=V")</f>
        <v>0</v>
      </c>
      <c r="E2">
        <f>BDH("WW US Equity","SHORT_AND_LONG_TERM_DEBT","1993-06-18","2026-05-02","Per=Y","Days=T","Dir=V")</f>
        <v>0</v>
      </c>
      <c r="G2">
        <f>BDH("WW US Equity","BS_ST_BORROW","1993-06-18","2026-05-02","Per=Y","Days=T","Dir=V")</f>
        <v>0</v>
      </c>
      <c r="I2">
        <f>BDH("WW US Equity","BS_LT_BORROW","1993-06-18","2026-05-02","Per=Y","Days=T","Dir=V")</f>
        <v>0</v>
      </c>
      <c r="K2">
        <f>BDH("WW US Equity","BS_CASH_NEAR_CASH_ITEM","1993-06-18","2026-05-02","Per=Y","Days=T","Dir=V")</f>
        <v>0</v>
      </c>
      <c r="M2">
        <f>BDH("WW US Equity","BS_CUR_ASSET_REPORT","1993-06-18","2026-05-02","Per=Y","Days=T","Dir=V")</f>
        <v>0</v>
      </c>
      <c r="O2">
        <f>BDH("WW US Equity","BS_CUR_LIAB","1993-06-18","2026-05-02","Per=Y","Days=T","Dir=V")</f>
        <v>0</v>
      </c>
      <c r="Q2">
        <f>BDH("WW US Equity","BS_SHAREHOLDER_EQY_ENDING_PERIOD","1993-06-18","2026-05-02","Per=Y","Days=T","Dir=V")</f>
        <v>0</v>
      </c>
      <c r="S2">
        <f>BDH("WW US Equity","BS_ACCT_NOTE_RCV","1993-06-18","2026-05-02","Per=Y","Days=T","Dir=V")</f>
        <v>0</v>
      </c>
      <c r="U2">
        <f>BDH("WW US Equity","BS_INVENTORIES","1993-06-18","2026-05-02","Per=Y","Days=T","Dir=V")</f>
        <v>0</v>
      </c>
      <c r="W2">
        <f>BDH("WW US Equity","WORKING_CAPITAL","1993-06-18","2026-05-02","Per=Y","Days=T","Dir=V")</f>
        <v>0</v>
      </c>
      <c r="Y2">
        <f>BDH("WW US Equity","SALES_REV_TURN","1993-06-18","2026-05-02","Per=Y","Days=T","Dir=V")</f>
        <v>0</v>
      </c>
      <c r="AA2">
        <f>BDH("WW US Equity","EBIT","1993-06-18","2026-05-02","Per=Y","Days=T","Dir=V")</f>
        <v>0</v>
      </c>
      <c r="AC2">
        <f>BDH("WW US Equity","EBITDA","1993-06-18","2026-05-02","Per=Y","Days=T","Dir=V")</f>
        <v>0</v>
      </c>
      <c r="AE2">
        <f>BDH("WW US Equity","NET_INCOME","1993-06-18","2026-05-02","Per=Y","Days=T","Dir=V")</f>
        <v>0</v>
      </c>
      <c r="AG2">
        <f>BDH("WW US Equity","IS_INT_EXPENSE","1993-06-18","2026-05-02","Per=Y","Days=T","Dir=V")</f>
        <v>0</v>
      </c>
      <c r="AI2">
        <f>BDH("WW US Equity","IS_DEPR_EXP","1993-06-18","2026-05-02","Per=Y","Days=T","Dir=V")</f>
        <v>0</v>
      </c>
      <c r="AK2">
        <f>BDH("WW US Equity","CF_CASH_FROM_OPER","1993-06-18","2026-05-02","Per=Y","Days=T","Dir=V")</f>
        <v>0</v>
      </c>
      <c r="AM2">
        <f>BDH("WW US Equity","CAPITAL_EXPEND","1993-06-18","2026-05-02","Per=Y","Days=T","Dir=V")</f>
        <v>0</v>
      </c>
      <c r="AO2">
        <f>BDH("WW US Equity","CF_FREE_CASH_FLOW","1993-06-18","2026-05-02","Per=Y","Days=T","Dir=V")</f>
        <v>0</v>
      </c>
      <c r="AQ2">
        <f>BDH("WW US Equity","PX_LAST","1993-06-18","2026-05-02","Per=M","Days=T","Dir=V")</f>
        <v>0</v>
      </c>
      <c r="AS2">
        <f>BDH("WW US Equity","CUR_MKT_CAP","1993-06-18","2026-05-02","Per=M","Days=T","Dir=V")</f>
        <v>0</v>
      </c>
      <c r="AU2">
        <f>BDH("WW US Equity","EQY_SH_OUT","1993-06-18","2026-05-02","Per=M","Days=T","Dir=V")</f>
        <v>0</v>
      </c>
      <c r="AW2">
        <f>BDH("WW US Equity","PX_VOLUME","1993-06-18","2026-05-02","Per=M","Days=T","Dir=V")</f>
        <v>0</v>
      </c>
      <c r="AY2">
        <f>BDH("WW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BDH("WWD US Equity","BS_TOT_ASSET","1993-06-18","2026-05-02","Per=Y","Days=T","Dir=V")</f>
        <v>0</v>
      </c>
      <c r="C2">
        <f>BDH("WWD US Equity","BS_TOT_LIAB2","1993-06-18","2026-05-02","Per=Y","Days=T","Dir=V")</f>
        <v>0</v>
      </c>
      <c r="E2">
        <f>BDH("WWD US Equity","SHORT_AND_LONG_TERM_DEBT","1993-06-18","2026-05-02","Per=Y","Days=T","Dir=V")</f>
        <v>0</v>
      </c>
      <c r="G2">
        <f>BDH("WWD US Equity","BS_ST_BORROW","1993-06-18","2026-05-02","Per=Y","Days=T","Dir=V")</f>
        <v>0</v>
      </c>
      <c r="I2">
        <f>BDH("WWD US Equity","BS_LT_BORROW","1993-06-18","2026-05-02","Per=Y","Days=T","Dir=V")</f>
        <v>0</v>
      </c>
      <c r="K2">
        <f>BDH("WWD US Equity","BS_CASH_NEAR_CASH_ITEM","1993-06-18","2026-05-02","Per=Y","Days=T","Dir=V")</f>
        <v>0</v>
      </c>
      <c r="M2">
        <f>BDH("WWD US Equity","BS_CUR_ASSET_REPORT","1993-06-18","2026-05-02","Per=Y","Days=T","Dir=V")</f>
        <v>0</v>
      </c>
      <c r="O2">
        <f>BDH("WWD US Equity","BS_CUR_LIAB","1993-06-18","2026-05-02","Per=Y","Days=T","Dir=V")</f>
        <v>0</v>
      </c>
      <c r="Q2">
        <f>BDH("WWD US Equity","BS_SHAREHOLDER_EQY_ENDING_PERIOD","1993-06-18","2026-05-02","Per=Y","Days=T","Dir=V")</f>
        <v>0</v>
      </c>
      <c r="S2">
        <f>BDH("WWD US Equity","BS_ACCT_NOTE_RCV","1993-06-18","2026-05-02","Per=Y","Days=T","Dir=V")</f>
        <v>0</v>
      </c>
      <c r="U2">
        <f>BDH("WWD US Equity","BS_INVENTORIES","1993-06-18","2026-05-02","Per=Y","Days=T","Dir=V")</f>
        <v>0</v>
      </c>
      <c r="W2">
        <f>BDH("WWD US Equity","WORKING_CAPITAL","1993-06-18","2026-05-02","Per=Y","Days=T","Dir=V")</f>
        <v>0</v>
      </c>
      <c r="Y2">
        <f>BDH("WWD US Equity","SALES_REV_TURN","1993-06-18","2026-05-02","Per=Y","Days=T","Dir=V")</f>
        <v>0</v>
      </c>
      <c r="AA2">
        <f>BDH("WWD US Equity","EBIT","1993-06-18","2026-05-02","Per=Y","Days=T","Dir=V")</f>
        <v>0</v>
      </c>
      <c r="AC2">
        <f>BDH("WWD US Equity","EBITDA","1993-06-18","2026-05-02","Per=Y","Days=T","Dir=V")</f>
        <v>0</v>
      </c>
      <c r="AE2">
        <f>BDH("WWD US Equity","NET_INCOME","1993-06-18","2026-05-02","Per=Y","Days=T","Dir=V")</f>
        <v>0</v>
      </c>
      <c r="AG2">
        <f>BDH("WWD US Equity","IS_INT_EXPENSE","1993-06-18","2026-05-02","Per=Y","Days=T","Dir=V")</f>
        <v>0</v>
      </c>
      <c r="AI2">
        <f>BDH("WWD US Equity","IS_DEPR_EXP","1993-06-18","2026-05-02","Per=Y","Days=T","Dir=V")</f>
        <v>0</v>
      </c>
      <c r="AK2">
        <f>BDH("WWD US Equity","CF_CASH_FROM_OPER","1993-06-18","2026-05-02","Per=Y","Days=T","Dir=V")</f>
        <v>0</v>
      </c>
      <c r="AM2">
        <f>BDH("WWD US Equity","CAPITAL_EXPEND","1993-06-18","2026-05-02","Per=Y","Days=T","Dir=V")</f>
        <v>0</v>
      </c>
      <c r="AO2">
        <f>BDH("WWD US Equity","CF_FREE_CASH_FLOW","1993-06-18","2026-05-02","Per=Y","Days=T","Dir=V")</f>
        <v>0</v>
      </c>
      <c r="AQ2">
        <f>BDH("WWD US Equity","PX_LAST","1993-06-18","2026-05-02","Per=M","Days=T","Dir=V")</f>
        <v>0</v>
      </c>
      <c r="AS2">
        <f>BDH("WWD US Equity","CUR_MKT_CAP","1993-06-18","2026-05-02","Per=M","Days=T","Dir=V")</f>
        <v>0</v>
      </c>
      <c r="AU2">
        <f>BDH("WWD US Equity","EQY_SH_OUT","1993-06-18","2026-05-02","Per=M","Days=T","Dir=V")</f>
        <v>0</v>
      </c>
      <c r="AW2">
        <f>BDH("WWD US Equity","PX_VOLUME","1993-06-18","2026-05-02","Per=M","Days=T","Dir=V")</f>
        <v>0</v>
      </c>
      <c r="AY2">
        <f>BDH("WWD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BDH("WWR US Equity","BS_TOT_ASSET","1993-06-18","2026-05-02","Per=Y","Days=T","Dir=V")</f>
        <v>0</v>
      </c>
      <c r="C2">
        <f>BDH("WWR US Equity","BS_TOT_LIAB2","1993-06-18","2026-05-02","Per=Y","Days=T","Dir=V")</f>
        <v>0</v>
      </c>
      <c r="E2">
        <f>BDH("WWR US Equity","SHORT_AND_LONG_TERM_DEBT","1993-06-18","2026-05-02","Per=Y","Days=T","Dir=V")</f>
        <v>0</v>
      </c>
      <c r="G2">
        <f>BDH("WWR US Equity","BS_ST_BORROW","1993-06-18","2026-05-02","Per=Y","Days=T","Dir=V")</f>
        <v>0</v>
      </c>
      <c r="I2">
        <f>BDH("WWR US Equity","BS_LT_BORROW","1993-06-18","2026-05-02","Per=Y","Days=T","Dir=V")</f>
        <v>0</v>
      </c>
      <c r="K2">
        <f>BDH("WWR US Equity","BS_CASH_NEAR_CASH_ITEM","1993-06-18","2026-05-02","Per=Y","Days=T","Dir=V")</f>
        <v>0</v>
      </c>
      <c r="M2">
        <f>BDH("WWR US Equity","BS_CUR_ASSET_REPORT","1993-06-18","2026-05-02","Per=Y","Days=T","Dir=V")</f>
        <v>0</v>
      </c>
      <c r="O2">
        <f>BDH("WWR US Equity","BS_CUR_LIAB","1993-06-18","2026-05-02","Per=Y","Days=T","Dir=V")</f>
        <v>0</v>
      </c>
      <c r="Q2">
        <f>BDH("WWR US Equity","BS_SHAREHOLDER_EQY_ENDING_PERIOD","1993-06-18","2026-05-02","Per=Y","Days=T","Dir=V")</f>
        <v>0</v>
      </c>
      <c r="S2">
        <f>BDH("WWR US Equity","BS_ACCT_NOTE_RCV","1993-06-18","2026-05-02","Per=Y","Days=T","Dir=V")</f>
        <v>0</v>
      </c>
      <c r="U2">
        <f>BDH("WWR US Equity","BS_INVENTORIES","1993-06-18","2026-05-02","Per=Y","Days=T","Dir=V")</f>
        <v>0</v>
      </c>
      <c r="W2">
        <f>BDH("WWR US Equity","WORKING_CAPITAL","1993-06-18","2026-05-02","Per=Y","Days=T","Dir=V")</f>
        <v>0</v>
      </c>
      <c r="Y2">
        <f>BDH("WWR US Equity","SALES_REV_TURN","1993-06-18","2026-05-02","Per=Y","Days=T","Dir=V")</f>
        <v>0</v>
      </c>
      <c r="AA2">
        <f>BDH("WWR US Equity","EBIT","1993-06-18","2026-05-02","Per=Y","Days=T","Dir=V")</f>
        <v>0</v>
      </c>
      <c r="AC2">
        <f>BDH("WWR US Equity","EBITDA","1993-06-18","2026-05-02","Per=Y","Days=T","Dir=V")</f>
        <v>0</v>
      </c>
      <c r="AE2">
        <f>BDH("WWR US Equity","NET_INCOME","1993-06-18","2026-05-02","Per=Y","Days=T","Dir=V")</f>
        <v>0</v>
      </c>
      <c r="AG2">
        <f>BDH("WWR US Equity","IS_INT_EXPENSE","1993-06-18","2026-05-02","Per=Y","Days=T","Dir=V")</f>
        <v>0</v>
      </c>
      <c r="AI2">
        <f>BDH("WWR US Equity","IS_DEPR_EXP","1993-06-18","2026-05-02","Per=Y","Days=T","Dir=V")</f>
        <v>0</v>
      </c>
      <c r="AK2">
        <f>BDH("WWR US Equity","CF_CASH_FROM_OPER","1993-06-18","2026-05-02","Per=Y","Days=T","Dir=V")</f>
        <v>0</v>
      </c>
      <c r="AM2">
        <f>BDH("WWR US Equity","CAPITAL_EXPEND","1993-06-18","2026-05-02","Per=Y","Days=T","Dir=V")</f>
        <v>0</v>
      </c>
      <c r="AO2">
        <f>BDH("WWR US Equity","CF_FREE_CASH_FLOW","1993-06-18","2026-05-02","Per=Y","Days=T","Dir=V")</f>
        <v>0</v>
      </c>
      <c r="AQ2">
        <f>BDH("WWR US Equity","PX_LAST","1993-06-18","2026-05-02","Per=M","Days=T","Dir=V")</f>
        <v>0</v>
      </c>
      <c r="AS2">
        <f>BDH("WWR US Equity","CUR_MKT_CAP","1993-06-18","2026-05-02","Per=M","Days=T","Dir=V")</f>
        <v>0</v>
      </c>
      <c r="AU2">
        <f>BDH("WWR US Equity","EQY_SH_OUT","1993-06-18","2026-05-02","Per=M","Days=T","Dir=V")</f>
        <v>0</v>
      </c>
      <c r="AW2">
        <f>BDH("WWR US Equity","PX_VOLUME","1993-06-18","2026-05-02","Per=M","Days=T","Dir=V")</f>
        <v>0</v>
      </c>
      <c r="AY2">
        <f>BDH("WWR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BDH("WWW US Equity","BS_TOT_ASSET","1993-06-18","2026-05-02","Per=Y","Days=T","Dir=V")</f>
        <v>0</v>
      </c>
      <c r="C2">
        <f>BDH("WWW US Equity","BS_TOT_LIAB2","1993-06-18","2026-05-02","Per=Y","Days=T","Dir=V")</f>
        <v>0</v>
      </c>
      <c r="E2">
        <f>BDH("WWW US Equity","SHORT_AND_LONG_TERM_DEBT","1993-06-18","2026-05-02","Per=Y","Days=T","Dir=V")</f>
        <v>0</v>
      </c>
      <c r="G2">
        <f>BDH("WWW US Equity","BS_ST_BORROW","1993-06-18","2026-05-02","Per=Y","Days=T","Dir=V")</f>
        <v>0</v>
      </c>
      <c r="I2">
        <f>BDH("WWW US Equity","BS_LT_BORROW","1993-06-18","2026-05-02","Per=Y","Days=T","Dir=V")</f>
        <v>0</v>
      </c>
      <c r="K2">
        <f>BDH("WWW US Equity","BS_CASH_NEAR_CASH_ITEM","1993-06-18","2026-05-02","Per=Y","Days=T","Dir=V")</f>
        <v>0</v>
      </c>
      <c r="M2">
        <f>BDH("WWW US Equity","BS_CUR_ASSET_REPORT","1993-06-18","2026-05-02","Per=Y","Days=T","Dir=V")</f>
        <v>0</v>
      </c>
      <c r="O2">
        <f>BDH("WWW US Equity","BS_CUR_LIAB","1993-06-18","2026-05-02","Per=Y","Days=T","Dir=V")</f>
        <v>0</v>
      </c>
      <c r="Q2">
        <f>BDH("WWW US Equity","BS_SHAREHOLDER_EQY_ENDING_PERIOD","1993-06-18","2026-05-02","Per=Y","Days=T","Dir=V")</f>
        <v>0</v>
      </c>
      <c r="S2">
        <f>BDH("WWW US Equity","BS_ACCT_NOTE_RCV","1993-06-18","2026-05-02","Per=Y","Days=T","Dir=V")</f>
        <v>0</v>
      </c>
      <c r="U2">
        <f>BDH("WWW US Equity","BS_INVENTORIES","1993-06-18","2026-05-02","Per=Y","Days=T","Dir=V")</f>
        <v>0</v>
      </c>
      <c r="W2">
        <f>BDH("WWW US Equity","WORKING_CAPITAL","1993-06-18","2026-05-02","Per=Y","Days=T","Dir=V")</f>
        <v>0</v>
      </c>
      <c r="Y2">
        <f>BDH("WWW US Equity","SALES_REV_TURN","1993-06-18","2026-05-02","Per=Y","Days=T","Dir=V")</f>
        <v>0</v>
      </c>
      <c r="AA2">
        <f>BDH("WWW US Equity","EBIT","1993-06-18","2026-05-02","Per=Y","Days=T","Dir=V")</f>
        <v>0</v>
      </c>
      <c r="AC2">
        <f>BDH("WWW US Equity","EBITDA","1993-06-18","2026-05-02","Per=Y","Days=T","Dir=V")</f>
        <v>0</v>
      </c>
      <c r="AE2">
        <f>BDH("WWW US Equity","NET_INCOME","1993-06-18","2026-05-02","Per=Y","Days=T","Dir=V")</f>
        <v>0</v>
      </c>
      <c r="AG2">
        <f>BDH("WWW US Equity","IS_INT_EXPENSE","1993-06-18","2026-05-02","Per=Y","Days=T","Dir=V")</f>
        <v>0</v>
      </c>
      <c r="AI2">
        <f>BDH("WWW US Equity","IS_DEPR_EXP","1993-06-18","2026-05-02","Per=Y","Days=T","Dir=V")</f>
        <v>0</v>
      </c>
      <c r="AK2">
        <f>BDH("WWW US Equity","CF_CASH_FROM_OPER","1993-06-18","2026-05-02","Per=Y","Days=T","Dir=V")</f>
        <v>0</v>
      </c>
      <c r="AM2">
        <f>BDH("WWW US Equity","CAPITAL_EXPEND","1993-06-18","2026-05-02","Per=Y","Days=T","Dir=V")</f>
        <v>0</v>
      </c>
      <c r="AO2">
        <f>BDH("WWW US Equity","CF_FREE_CASH_FLOW","1993-06-18","2026-05-02","Per=Y","Days=T","Dir=V")</f>
        <v>0</v>
      </c>
      <c r="AQ2">
        <f>BDH("WWW US Equity","PX_LAST","1993-06-18","2026-05-02","Per=M","Days=T","Dir=V")</f>
        <v>0</v>
      </c>
      <c r="AS2">
        <f>BDH("WWW US Equity","CUR_MKT_CAP","1993-06-18","2026-05-02","Per=M","Days=T","Dir=V")</f>
        <v>0</v>
      </c>
      <c r="AU2">
        <f>BDH("WWW US Equity","EQY_SH_OUT","1993-06-18","2026-05-02","Per=M","Days=T","Dir=V")</f>
        <v>0</v>
      </c>
      <c r="AW2">
        <f>BDH("WWW US Equity","PX_VOLUME","1993-06-18","2026-05-02","Per=M","Days=T","Dir=V")</f>
        <v>0</v>
      </c>
      <c r="AY2">
        <f>BDH("WWW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BDH("WYNN US Equity","BS_TOT_ASSET","1993-06-18","2026-05-02","Per=Y","Days=T","Dir=V")</f>
        <v>0</v>
      </c>
      <c r="C2">
        <f>BDH("WYNN US Equity","BS_TOT_LIAB2","1993-06-18","2026-05-02","Per=Y","Days=T","Dir=V")</f>
        <v>0</v>
      </c>
      <c r="E2">
        <f>BDH("WYNN US Equity","SHORT_AND_LONG_TERM_DEBT","1993-06-18","2026-05-02","Per=Y","Days=T","Dir=V")</f>
        <v>0</v>
      </c>
      <c r="G2">
        <f>BDH("WYNN US Equity","BS_ST_BORROW","1993-06-18","2026-05-02","Per=Y","Days=T","Dir=V")</f>
        <v>0</v>
      </c>
      <c r="I2">
        <f>BDH("WYNN US Equity","BS_LT_BORROW","1993-06-18","2026-05-02","Per=Y","Days=T","Dir=V")</f>
        <v>0</v>
      </c>
      <c r="K2">
        <f>BDH("WYNN US Equity","BS_CASH_NEAR_CASH_ITEM","1993-06-18","2026-05-02","Per=Y","Days=T","Dir=V")</f>
        <v>0</v>
      </c>
      <c r="M2">
        <f>BDH("WYNN US Equity","BS_CUR_ASSET_REPORT","1993-06-18","2026-05-02","Per=Y","Days=T","Dir=V")</f>
        <v>0</v>
      </c>
      <c r="O2">
        <f>BDH("WYNN US Equity","BS_CUR_LIAB","1993-06-18","2026-05-02","Per=Y","Days=T","Dir=V")</f>
        <v>0</v>
      </c>
      <c r="Q2">
        <f>BDH("WYNN US Equity","BS_SHAREHOLDER_EQY_ENDING_PERIOD","1993-06-18","2026-05-02","Per=Y","Days=T","Dir=V")</f>
        <v>0</v>
      </c>
      <c r="S2">
        <f>BDH("WYNN US Equity","BS_ACCT_NOTE_RCV","1993-06-18","2026-05-02","Per=Y","Days=T","Dir=V")</f>
        <v>0</v>
      </c>
      <c r="U2">
        <f>BDH("WYNN US Equity","BS_INVENTORIES","1993-06-18","2026-05-02","Per=Y","Days=T","Dir=V")</f>
        <v>0</v>
      </c>
      <c r="W2">
        <f>BDH("WYNN US Equity","WORKING_CAPITAL","1993-06-18","2026-05-02","Per=Y","Days=T","Dir=V")</f>
        <v>0</v>
      </c>
      <c r="Y2">
        <f>BDH("WYNN US Equity","SALES_REV_TURN","1993-06-18","2026-05-02","Per=Y","Days=T","Dir=V")</f>
        <v>0</v>
      </c>
      <c r="AA2">
        <f>BDH("WYNN US Equity","EBIT","1993-06-18","2026-05-02","Per=Y","Days=T","Dir=V")</f>
        <v>0</v>
      </c>
      <c r="AC2">
        <f>BDH("WYNN US Equity","EBITDA","1993-06-18","2026-05-02","Per=Y","Days=T","Dir=V")</f>
        <v>0</v>
      </c>
      <c r="AE2">
        <f>BDH("WYNN US Equity","NET_INCOME","1993-06-18","2026-05-02","Per=Y","Days=T","Dir=V")</f>
        <v>0</v>
      </c>
      <c r="AG2">
        <f>BDH("WYNN US Equity","IS_INT_EXPENSE","1993-06-18","2026-05-02","Per=Y","Days=T","Dir=V")</f>
        <v>0</v>
      </c>
      <c r="AI2">
        <f>BDH("WYNN US Equity","IS_DEPR_EXP","1993-06-18","2026-05-02","Per=Y","Days=T","Dir=V")</f>
        <v>0</v>
      </c>
      <c r="AK2">
        <f>BDH("WYNN US Equity","CF_CASH_FROM_OPER","1993-06-18","2026-05-02","Per=Y","Days=T","Dir=V")</f>
        <v>0</v>
      </c>
      <c r="AM2">
        <f>BDH("WYNN US Equity","CAPITAL_EXPEND","1993-06-18","2026-05-02","Per=Y","Days=T","Dir=V")</f>
        <v>0</v>
      </c>
      <c r="AO2">
        <f>BDH("WYNN US Equity","CF_FREE_CASH_FLOW","1993-06-18","2026-05-02","Per=Y","Days=T","Dir=V")</f>
        <v>0</v>
      </c>
      <c r="AQ2">
        <f>BDH("WYNN US Equity","PX_LAST","1993-06-18","2026-05-02","Per=M","Days=T","Dir=V")</f>
        <v>0</v>
      </c>
      <c r="AS2">
        <f>BDH("WYNN US Equity","CUR_MKT_CAP","1993-06-18","2026-05-02","Per=M","Days=T","Dir=V")</f>
        <v>0</v>
      </c>
      <c r="AU2">
        <f>BDH("WYNN US Equity","EQY_SH_OUT","1993-06-18","2026-05-02","Per=M","Days=T","Dir=V")</f>
        <v>0</v>
      </c>
      <c r="AW2">
        <f>BDH("WYNN US Equity","PX_VOLUME","1993-06-18","2026-05-02","Per=M","Days=T","Dir=V")</f>
        <v>0</v>
      </c>
      <c r="AY2">
        <f>BDH("WYNN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BDH("WYY US Equity","BS_TOT_ASSET","1993-06-18","2026-05-02","Per=Y","Days=T","Dir=V")</f>
        <v>0</v>
      </c>
      <c r="C2">
        <f>BDH("WYY US Equity","BS_TOT_LIAB2","1993-06-18","2026-05-02","Per=Y","Days=T","Dir=V")</f>
        <v>0</v>
      </c>
      <c r="E2">
        <f>BDH("WYY US Equity","SHORT_AND_LONG_TERM_DEBT","1993-06-18","2026-05-02","Per=Y","Days=T","Dir=V")</f>
        <v>0</v>
      </c>
      <c r="G2">
        <f>BDH("WYY US Equity","BS_ST_BORROW","1993-06-18","2026-05-02","Per=Y","Days=T","Dir=V")</f>
        <v>0</v>
      </c>
      <c r="I2">
        <f>BDH("WYY US Equity","BS_LT_BORROW","1993-06-18","2026-05-02","Per=Y","Days=T","Dir=V")</f>
        <v>0</v>
      </c>
      <c r="K2">
        <f>BDH("WYY US Equity","BS_CASH_NEAR_CASH_ITEM","1993-06-18","2026-05-02","Per=Y","Days=T","Dir=V")</f>
        <v>0</v>
      </c>
      <c r="M2">
        <f>BDH("WYY US Equity","BS_CUR_ASSET_REPORT","1993-06-18","2026-05-02","Per=Y","Days=T","Dir=V")</f>
        <v>0</v>
      </c>
      <c r="O2">
        <f>BDH("WYY US Equity","BS_CUR_LIAB","1993-06-18","2026-05-02","Per=Y","Days=T","Dir=V")</f>
        <v>0</v>
      </c>
      <c r="Q2">
        <f>BDH("WYY US Equity","BS_SHAREHOLDER_EQY_ENDING_PERIOD","1993-06-18","2026-05-02","Per=Y","Days=T","Dir=V")</f>
        <v>0</v>
      </c>
      <c r="S2">
        <f>BDH("WYY US Equity","BS_ACCT_NOTE_RCV","1993-06-18","2026-05-02","Per=Y","Days=T","Dir=V")</f>
        <v>0</v>
      </c>
      <c r="U2">
        <f>BDH("WYY US Equity","BS_INVENTORIES","1993-06-18","2026-05-02","Per=Y","Days=T","Dir=V")</f>
        <v>0</v>
      </c>
      <c r="W2">
        <f>BDH("WYY US Equity","WORKING_CAPITAL","1993-06-18","2026-05-02","Per=Y","Days=T","Dir=V")</f>
        <v>0</v>
      </c>
      <c r="Y2">
        <f>BDH("WYY US Equity","SALES_REV_TURN","1993-06-18","2026-05-02","Per=Y","Days=T","Dir=V")</f>
        <v>0</v>
      </c>
      <c r="AA2">
        <f>BDH("WYY US Equity","EBIT","1993-06-18","2026-05-02","Per=Y","Days=T","Dir=V")</f>
        <v>0</v>
      </c>
      <c r="AC2">
        <f>BDH("WYY US Equity","EBITDA","1993-06-18","2026-05-02","Per=Y","Days=T","Dir=V")</f>
        <v>0</v>
      </c>
      <c r="AE2">
        <f>BDH("WYY US Equity","NET_INCOME","1993-06-18","2026-05-02","Per=Y","Days=T","Dir=V")</f>
        <v>0</v>
      </c>
      <c r="AG2">
        <f>BDH("WYY US Equity","IS_INT_EXPENSE","1993-06-18","2026-05-02","Per=Y","Days=T","Dir=V")</f>
        <v>0</v>
      </c>
      <c r="AI2">
        <f>BDH("WYY US Equity","IS_DEPR_EXP","1993-06-18","2026-05-02","Per=Y","Days=T","Dir=V")</f>
        <v>0</v>
      </c>
      <c r="AK2">
        <f>BDH("WYY US Equity","CF_CASH_FROM_OPER","1993-06-18","2026-05-02","Per=Y","Days=T","Dir=V")</f>
        <v>0</v>
      </c>
      <c r="AM2">
        <f>BDH("WYY US Equity","CAPITAL_EXPEND","1993-06-18","2026-05-02","Per=Y","Days=T","Dir=V")</f>
        <v>0</v>
      </c>
      <c r="AO2">
        <f>BDH("WYY US Equity","CF_FREE_CASH_FLOW","1993-06-18","2026-05-02","Per=Y","Days=T","Dir=V")</f>
        <v>0</v>
      </c>
      <c r="AQ2">
        <f>BDH("WYY US Equity","PX_LAST","1993-06-18","2026-05-02","Per=M","Days=T","Dir=V")</f>
        <v>0</v>
      </c>
      <c r="AS2">
        <f>BDH("WYY US Equity","CUR_MKT_CAP","1993-06-18","2026-05-02","Per=M","Days=T","Dir=V")</f>
        <v>0</v>
      </c>
      <c r="AU2">
        <f>BDH("WYY US Equity","EQY_SH_OUT","1993-06-18","2026-05-02","Per=M","Days=T","Dir=V")</f>
        <v>0</v>
      </c>
      <c r="AW2">
        <f>BDH("WYY US Equity","PX_VOLUME","1993-06-18","2026-05-02","Per=M","Days=T","Dir=V")</f>
        <v>0</v>
      </c>
      <c r="AY2">
        <f>BDH("WYY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  <c r="S1" t="s">
        <v>1131</v>
      </c>
      <c r="T1" t="s">
        <v>1132</v>
      </c>
      <c r="U1" t="s">
        <v>1133</v>
      </c>
      <c r="V1" t="s">
        <v>1134</v>
      </c>
      <c r="W1" t="s">
        <v>1135</v>
      </c>
      <c r="X1" t="s">
        <v>1136</v>
      </c>
      <c r="Y1" t="s">
        <v>1137</v>
      </c>
      <c r="Z1" t="s">
        <v>1138</v>
      </c>
      <c r="AA1" t="s">
        <v>1139</v>
      </c>
      <c r="AB1" t="s">
        <v>1140</v>
      </c>
      <c r="AC1" t="s">
        <v>1141</v>
      </c>
      <c r="AD1" t="s">
        <v>1142</v>
      </c>
      <c r="AE1" t="s">
        <v>1143</v>
      </c>
      <c r="AF1" t="s">
        <v>1144</v>
      </c>
      <c r="AG1" t="s">
        <v>1145</v>
      </c>
      <c r="AH1" t="s">
        <v>1146</v>
      </c>
      <c r="AI1" t="s">
        <v>1147</v>
      </c>
      <c r="AJ1" t="s">
        <v>1148</v>
      </c>
      <c r="AK1" t="s">
        <v>1149</v>
      </c>
      <c r="AL1" t="s">
        <v>1150</v>
      </c>
      <c r="AM1" t="s">
        <v>1151</v>
      </c>
      <c r="AN1" t="s">
        <v>1152</v>
      </c>
      <c r="AO1" t="s">
        <v>1153</v>
      </c>
      <c r="AP1" t="s">
        <v>1154</v>
      </c>
      <c r="AQ1" t="s">
        <v>1155</v>
      </c>
      <c r="AR1" t="s">
        <v>1156</v>
      </c>
      <c r="AS1" t="s">
        <v>1157</v>
      </c>
      <c r="AT1" t="s">
        <v>1158</v>
      </c>
      <c r="AU1" t="s">
        <v>1159</v>
      </c>
      <c r="AV1" t="s">
        <v>1160</v>
      </c>
      <c r="AW1" t="s">
        <v>1161</v>
      </c>
      <c r="AX1" t="s">
        <v>1162</v>
      </c>
      <c r="AY1" t="s">
        <v>1163</v>
      </c>
      <c r="AZ1" t="s">
        <v>1164</v>
      </c>
    </row>
    <row r="2" spans="1:52">
      <c r="A2">
        <f>BDH("XAIR US Equity","BS_TOT_ASSET","1993-06-18","2026-05-02","Per=Y","Days=T","Dir=V")</f>
        <v>0</v>
      </c>
      <c r="C2">
        <f>BDH("XAIR US Equity","BS_TOT_LIAB2","1993-06-18","2026-05-02","Per=Y","Days=T","Dir=V")</f>
        <v>0</v>
      </c>
      <c r="E2">
        <f>BDH("XAIR US Equity","SHORT_AND_LONG_TERM_DEBT","1993-06-18","2026-05-02","Per=Y","Days=T","Dir=V")</f>
        <v>0</v>
      </c>
      <c r="G2">
        <f>BDH("XAIR US Equity","BS_ST_BORROW","1993-06-18","2026-05-02","Per=Y","Days=T","Dir=V")</f>
        <v>0</v>
      </c>
      <c r="I2">
        <f>BDH("XAIR US Equity","BS_LT_BORROW","1993-06-18","2026-05-02","Per=Y","Days=T","Dir=V")</f>
        <v>0</v>
      </c>
      <c r="K2">
        <f>BDH("XAIR US Equity","BS_CASH_NEAR_CASH_ITEM","1993-06-18","2026-05-02","Per=Y","Days=T","Dir=V")</f>
        <v>0</v>
      </c>
      <c r="M2">
        <f>BDH("XAIR US Equity","BS_CUR_ASSET_REPORT","1993-06-18","2026-05-02","Per=Y","Days=T","Dir=V")</f>
        <v>0</v>
      </c>
      <c r="O2">
        <f>BDH("XAIR US Equity","BS_CUR_LIAB","1993-06-18","2026-05-02","Per=Y","Days=T","Dir=V")</f>
        <v>0</v>
      </c>
      <c r="Q2">
        <f>BDH("XAIR US Equity","BS_SHAREHOLDER_EQY_ENDING_PERIOD","1993-06-18","2026-05-02","Per=Y","Days=T","Dir=V")</f>
        <v>0</v>
      </c>
      <c r="S2">
        <f>BDH("XAIR US Equity","BS_ACCT_NOTE_RCV","1993-06-18","2026-05-02","Per=Y","Days=T","Dir=V")</f>
        <v>0</v>
      </c>
      <c r="U2">
        <f>BDH("XAIR US Equity","BS_INVENTORIES","1993-06-18","2026-05-02","Per=Y","Days=T","Dir=V")</f>
        <v>0</v>
      </c>
      <c r="W2">
        <f>BDH("XAIR US Equity","WORKING_CAPITAL","1993-06-18","2026-05-02","Per=Y","Days=T","Dir=V")</f>
        <v>0</v>
      </c>
      <c r="Y2">
        <f>BDH("XAIR US Equity","SALES_REV_TURN","1993-06-18","2026-05-02","Per=Y","Days=T","Dir=V")</f>
        <v>0</v>
      </c>
      <c r="AA2">
        <f>BDH("XAIR US Equity","EBIT","1993-06-18","2026-05-02","Per=Y","Days=T","Dir=V")</f>
        <v>0</v>
      </c>
      <c r="AC2">
        <f>BDH("XAIR US Equity","EBITDA","1993-06-18","2026-05-02","Per=Y","Days=T","Dir=V")</f>
        <v>0</v>
      </c>
      <c r="AE2">
        <f>BDH("XAIR US Equity","NET_INCOME","1993-06-18","2026-05-02","Per=Y","Days=T","Dir=V")</f>
        <v>0</v>
      </c>
      <c r="AG2">
        <f>BDH("XAIR US Equity","IS_INT_EXPENSE","1993-06-18","2026-05-02","Per=Y","Days=T","Dir=V")</f>
        <v>0</v>
      </c>
      <c r="AI2">
        <f>BDH("XAIR US Equity","IS_DEPR_EXP","1993-06-18","2026-05-02","Per=Y","Days=T","Dir=V")</f>
        <v>0</v>
      </c>
      <c r="AK2">
        <f>BDH("XAIR US Equity","CF_CASH_FROM_OPER","1993-06-18","2026-05-02","Per=Y","Days=T","Dir=V")</f>
        <v>0</v>
      </c>
      <c r="AM2">
        <f>BDH("XAIR US Equity","CAPITAL_EXPEND","1993-06-18","2026-05-02","Per=Y","Days=T","Dir=V")</f>
        <v>0</v>
      </c>
      <c r="AO2">
        <f>BDH("XAIR US Equity","CF_FREE_CASH_FLOW","1993-06-18","2026-05-02","Per=Y","Days=T","Dir=V")</f>
        <v>0</v>
      </c>
      <c r="AQ2">
        <f>BDH("XAIR US Equity","PX_LAST","1993-06-18","2026-05-02","Per=M","Days=T","Dir=V")</f>
        <v>0</v>
      </c>
      <c r="AS2">
        <f>BDH("XAIR US Equity","CUR_MKT_CAP","1993-06-18","2026-05-02","Per=M","Days=T","Dir=V")</f>
        <v>0</v>
      </c>
      <c r="AU2">
        <f>BDH("XAIR US Equity","EQY_SH_OUT","1993-06-18","2026-05-02","Per=M","Days=T","Dir=V")</f>
        <v>0</v>
      </c>
      <c r="AW2">
        <f>BDH("XAIR US Equity","PX_VOLUME","1993-06-18","2026-05-02","Per=M","Days=T","Dir=V")</f>
        <v>0</v>
      </c>
      <c r="AY2">
        <f>BDH("XAIR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NB_2731_TSS Inc. Common Stock</vt:lpstr>
      <vt:lpstr>NB_2732_Titan America SA Common</vt:lpstr>
      <vt:lpstr>NB_2733_ServiceTitan Inc. Class</vt:lpstr>
      <vt:lpstr>NB_2734_Toro Company (The) Comm</vt:lpstr>
      <vt:lpstr>NB_2735_The Trade Desk Inc. Cla</vt:lpstr>
      <vt:lpstr>NB_2736_TTEC Holdings Inc. Comm</vt:lpstr>
      <vt:lpstr>NB_2737_Tetra Tech Inc. Common </vt:lpstr>
      <vt:lpstr>NB_2738_TechTarget Inc. Common </vt:lpstr>
      <vt:lpstr>NB_2739_Tetra Technologies Inc.</vt:lpstr>
      <vt:lpstr>NB_2740_TTM Technologies Inc. C</vt:lpstr>
      <vt:lpstr>NB_2741_Turn Therapeutics Inc. </vt:lpstr>
      <vt:lpstr>NB_2742_Take-Two Interactive So</vt:lpstr>
      <vt:lpstr>NB_2743_Bloomia Holdings Inc. C</vt:lpstr>
      <vt:lpstr>NB_2744_Mammoth Energy Services</vt:lpstr>
      <vt:lpstr>NB_2745_Tennessee Valley Author</vt:lpstr>
      <vt:lpstr>NB_2746_Tennessee Valley Author</vt:lpstr>
      <vt:lpstr>NB_2747_Tevogen Inc. Common Sto</vt:lpstr>
      <vt:lpstr>NB_2748_Tevogen Inc. Warrant</vt:lpstr>
      <vt:lpstr>NB_2749_Tvardi Therapeutics Inc</vt:lpstr>
      <vt:lpstr>NB_2750_Travere Therapeutics In</vt:lpstr>
      <vt:lpstr>NB_2751_TaoWeave Inc. Common St</vt:lpstr>
      <vt:lpstr>NB_2752_Titan International Inc</vt:lpstr>
      <vt:lpstr>NB_2753_Twin Disc Incorporated </vt:lpstr>
      <vt:lpstr>NB_2754_Twilio Inc. Class A Com</vt:lpstr>
      <vt:lpstr>NB_2755_Twist Bioscience Corpor</vt:lpstr>
      <vt:lpstr>NB_2756_10x Genomics Inc. Class</vt:lpstr>
      <vt:lpstr>NB_2757_TherapeuticsMD Inc. Com</vt:lpstr>
      <vt:lpstr>NB_2758_Texas Instruments Incor</vt:lpstr>
      <vt:lpstr>NB_2759_TXNM Energy Inc. Common</vt:lpstr>
      <vt:lpstr>NB_2760_TXO Partners L.P. Commo</vt:lpstr>
      <vt:lpstr>NB_2761_Texas Roadhouse Inc. Co</vt:lpstr>
      <vt:lpstr>NB_2762_Textron Inc. Common Sto</vt:lpstr>
      <vt:lpstr>NB_2763_Tigo Energy Inc. Common</vt:lpstr>
      <vt:lpstr>NB_2764_Tyler Technologies Inc.</vt:lpstr>
      <vt:lpstr>NB_2765_Tyra Biosciences Inc. C</vt:lpstr>
      <vt:lpstr>NB_2766_Travelzoo Common Stock</vt:lpstr>
      <vt:lpstr>NB_2767_Unity Software Inc. Com</vt:lpstr>
      <vt:lpstr>NB_2768_Under Armour Inc. Class</vt:lpstr>
      <vt:lpstr>NB_2769_Under Armour Inc. Class</vt:lpstr>
      <vt:lpstr>NB_2770_United Airlines Holding</vt:lpstr>
      <vt:lpstr>NB_2771_United States Antimony </vt:lpstr>
      <vt:lpstr>NB_2772_CVR Partners LP Common </vt:lpstr>
      <vt:lpstr>NB_2773_AgEagle Aerial Systems </vt:lpstr>
      <vt:lpstr>NB_2774_Uber Technologies Inc. </vt:lpstr>
      <vt:lpstr>NB_2775_Ultra Clean Holdings In</vt:lpstr>
      <vt:lpstr>NB_2776_Universal Electronics I</vt:lpstr>
      <vt:lpstr>NB_2777_Unifi Inc. New Common S</vt:lpstr>
      <vt:lpstr>NB_2778_UFP Industries Inc. Com</vt:lpstr>
      <vt:lpstr>NB_2779_UFP Technologies Inc. C</vt:lpstr>
      <vt:lpstr>NB_2780_United-Guardian Inc. Co</vt:lpstr>
      <vt:lpstr>NB_2781_UGI Corporation Common </vt:lpstr>
      <vt:lpstr>NB_2782_U-Haul Holding Company </vt:lpstr>
      <vt:lpstr>NB_2783_Universal Health Servic</vt:lpstr>
      <vt:lpstr>NB_2784_Ubiquiti Inc. Common St</vt:lpstr>
      <vt:lpstr>NB_2785_Unisys Corporation New </vt:lpstr>
      <vt:lpstr>NB_2786_Ucommune International </vt:lpstr>
      <vt:lpstr>NB_2787_Frontier Group Holdings</vt:lpstr>
      <vt:lpstr>NB_2788_Universal Logistics Hol</vt:lpstr>
      <vt:lpstr>NB_2789_UL Solutions Inc. Class</vt:lpstr>
      <vt:lpstr>NB_2790_Ulta Beauty Inc. Common</vt:lpstr>
      <vt:lpstr>NB_2791_Unusual Machines Inc. C</vt:lpstr>
      <vt:lpstr>NB_2792_Unicycive Therapeutics </vt:lpstr>
      <vt:lpstr>NB_2793_Unifirst Corporation Co</vt:lpstr>
      <vt:lpstr>NB_2794_United Natural Foods In</vt:lpstr>
      <vt:lpstr>NB_2795_UnitedHealth Group Inco</vt:lpstr>
      <vt:lpstr>NB_2796_Union Pacific Corporati</vt:lpstr>
      <vt:lpstr>NB_2797_Urban One Inc. Class A </vt:lpstr>
      <vt:lpstr>NB_2798_Urban One Inc. Class D </vt:lpstr>
      <vt:lpstr>NB_2799_Upstream Bio Inc. Commo</vt:lpstr>
      <vt:lpstr>NB_2800_Upbound Group Inc. Comm</vt:lpstr>
      <vt:lpstr>NB_2801_Upland Software Inc. Co</vt:lpstr>
      <vt:lpstr>NB_2802_United Parcel Service I</vt:lpstr>
      <vt:lpstr>NB_2803_Upwork Inc. Common Stoc</vt:lpstr>
      <vt:lpstr>NB_2804_Urban Outfitters Inc. C</vt:lpstr>
      <vt:lpstr>NB_2805_United Rentals Inc. Com</vt:lpstr>
      <vt:lpstr>NB_2806_USA Compression Partner</vt:lpstr>
      <vt:lpstr>NB_2807_USA Rare Earth Inc. Cla</vt:lpstr>
      <vt:lpstr>NB_2808_U.S. Gold Corp. Common </vt:lpstr>
      <vt:lpstr>NB_2809_US Foods Holding Corp. </vt:lpstr>
      <vt:lpstr>NB_2810_U.S. GoldMining Inc. Co</vt:lpstr>
      <vt:lpstr>NB_2811_United States Lime &amp; Mi</vt:lpstr>
      <vt:lpstr>NB_2812_USANA Health Sciences I</vt:lpstr>
      <vt:lpstr>NB_2813_U.S. Physical Therapy I</vt:lpstr>
      <vt:lpstr>NB_2814_United Therapeutics Cor</vt:lpstr>
      <vt:lpstr>NB_2815_UNITIL Corporation Comm</vt:lpstr>
      <vt:lpstr>NB_2816_Utah Medical Products I</vt:lpstr>
      <vt:lpstr>NB_2817_Utz Brands Inc Class A </vt:lpstr>
      <vt:lpstr>NB_2818_Universal Safety Produc</vt:lpstr>
      <vt:lpstr>NB_2819_Universal Corporation C</vt:lpstr>
      <vt:lpstr>NB_2820_Array Digital Infrastru</vt:lpstr>
      <vt:lpstr>NB_2821_Array Digital Infrastru</vt:lpstr>
      <vt:lpstr>NB_2822_Array Digital Infrastru</vt:lpstr>
      <vt:lpstr>NB_2823_Visa Inc.</vt:lpstr>
      <vt:lpstr>NB_2824_Valaris Limited Common </vt:lpstr>
      <vt:lpstr>NB_2825_Vivani Medical Inc. Com</vt:lpstr>
      <vt:lpstr>NB_2826_INNOVATE Corp. Common S</vt:lpstr>
      <vt:lpstr>NB_2827_Valion Bio Inc. Common </vt:lpstr>
      <vt:lpstr>NB_2828_Visteon Corporation Com</vt:lpstr>
      <vt:lpstr>NB_2829_Vericel Corporation Com</vt:lpstr>
      <vt:lpstr>NB_2830_Veracyte Inc. Common St</vt:lpstr>
      <vt:lpstr>NB_2831_Veeco Instruments Inc. </vt:lpstr>
      <vt:lpstr>NB_2832_Veea Inc. Common Stock</vt:lpstr>
      <vt:lpstr>NB_2833_Veea Inc. Warrant</vt:lpstr>
      <vt:lpstr>NB_2834_Twin Vee PowerCats Co. </vt:lpstr>
      <vt:lpstr>NB_2835_Veeva Systems Inc. Clas</vt:lpstr>
      <vt:lpstr>NB_2836_Velo3D Inc. Common stoc</vt:lpstr>
      <vt:lpstr>NB_2837_Venu Holding Corporatio</vt:lpstr>
      <vt:lpstr>NB_2838_Vera Therapeutics Inc. </vt:lpstr>
      <vt:lpstr>NB_2839_Veritone Inc. Common St</vt:lpstr>
      <vt:lpstr>NB_2840_Veru Inc. Common Stock</vt:lpstr>
      <vt:lpstr>NB_2841_Vertex Inc. Class A Com</vt:lpstr>
      <vt:lpstr>NB_2842_V.F. Corporation Common</vt:lpstr>
      <vt:lpstr>NB_2843_Venture Global Inc. Cla</vt:lpstr>
      <vt:lpstr>NB_2844_Verde Clean Fuels Inc. </vt:lpstr>
      <vt:lpstr>NB_2845_Verde Clean Fuels Inc. </vt:lpstr>
      <vt:lpstr>NB_2846_Vista Gold Corp Common </vt:lpstr>
      <vt:lpstr>NB_2847_Valhi Inc. Common Stock</vt:lpstr>
      <vt:lpstr>NB_2848_VenHub Global Inc. Comm</vt:lpstr>
      <vt:lpstr>NB_2849_Via Transportation Inc.</vt:lpstr>
      <vt:lpstr>NB_2850_Viavi Solutions Inc. Co</vt:lpstr>
      <vt:lpstr>NB_2851_Vicor Corporation Commo</vt:lpstr>
      <vt:lpstr>NB_2852_Viking Holdings Ltd Ord</vt:lpstr>
      <vt:lpstr>NB_2853_Vir Biotechnology Inc. </vt:lpstr>
      <vt:lpstr>NB_2854_Virco Manufacturing Cor</vt:lpstr>
      <vt:lpstr>NB_2855_Vistance Networks Inc. </vt:lpstr>
      <vt:lpstr>NB_2856_Vital Farms Inc. Common</vt:lpstr>
      <vt:lpstr>NB_2857_Vivakor Inc. Common Sto</vt:lpstr>
      <vt:lpstr>NB_2858_VivoSim Labs Inc. Commo</vt:lpstr>
      <vt:lpstr>NB_2859_Viking Therapeutics Inc</vt:lpstr>
      <vt:lpstr>NB_2860_Village Super Market In</vt:lpstr>
      <vt:lpstr>NB_2861_Valero Energy Corporati</vt:lpstr>
      <vt:lpstr>NB_2862_Veralto Corp Common Sto</vt:lpstr>
      <vt:lpstr>NB_2863_Vulcan Materials Compan</vt:lpstr>
      <vt:lpstr>NB_2864_Viemed Healthcare Inc. </vt:lpstr>
      <vt:lpstr>NB_2865_Valmont Industries Inc.</vt:lpstr>
      <vt:lpstr>NB_2866_Vince Holding Corp. Com</vt:lpstr>
      <vt:lpstr>NB_2867_Vanda Pharmaceuticals I</vt:lpstr>
      <vt:lpstr>NB_2868_Viper Energy Inc. Class</vt:lpstr>
      <vt:lpstr>NB_2869_Vontier Corporation Com</vt:lpstr>
      <vt:lpstr>NB_2870_VOC Energy Trust Units </vt:lpstr>
      <vt:lpstr>NB_2871_Vogenx Inc Common Stock</vt:lpstr>
      <vt:lpstr>NB_2872_Vor Biopharma Inc. Comm</vt:lpstr>
      <vt:lpstr>NB_2873_Voyager Technologies In</vt:lpstr>
      <vt:lpstr>NB_2874_Vishay Precision Group </vt:lpstr>
      <vt:lpstr>NB_2875_Vera Bradley Inc. Commo</vt:lpstr>
      <vt:lpstr>NB_2876_Verrica Pharmaceuticals</vt:lpstr>
      <vt:lpstr>NB_2877_Viridian Therapeutics I</vt:lpstr>
      <vt:lpstr>NB_2878_Varex Imaging Corporati</vt:lpstr>
      <vt:lpstr>NB_2879_Vroom Inc. Common Stock</vt:lpstr>
      <vt:lpstr>NB_2880_VerifyMe Inc. Common St</vt:lpstr>
      <vt:lpstr>NB_2881_Varonis Systems Inc. Co</vt:lpstr>
      <vt:lpstr>NB_2882_Verra Mobility Corporat</vt:lpstr>
      <vt:lpstr>NB_2883_Verisk Analytics Inc. C</vt:lpstr>
      <vt:lpstr>NB_2884_VeriSign Inc. Common St</vt:lpstr>
      <vt:lpstr>NB_2885_Vertiv Holdings LLC Cla</vt:lpstr>
      <vt:lpstr>NB_2886_Vertex Pharmaceuticals </vt:lpstr>
      <vt:lpstr>NB_2887_ViaSat Inc. Common Stoc</vt:lpstr>
      <vt:lpstr>NB_2888_VSE Corporation Common </vt:lpstr>
      <vt:lpstr>NB_2889_Vishay Intertechnology </vt:lpstr>
      <vt:lpstr>NB_2890_Versant Media Group Inc</vt:lpstr>
      <vt:lpstr>NB_2891_Vistra Corp. Common Sto</vt:lpstr>
      <vt:lpstr>NB_2892_Verastem Inc. Common St</vt:lpstr>
      <vt:lpstr>NB_2893_Vestis Corporation Comm</vt:lpstr>
      <vt:lpstr>NB_2894_Victorias Secret &amp; Co. </vt:lpstr>
      <vt:lpstr>NB_2895_Vistagen Therapeutics I</vt:lpstr>
      <vt:lpstr>NB_2896_Virtuix Holdings Inc. C</vt:lpstr>
      <vt:lpstr>NB_2897_Bristow Group Inc. Comm</vt:lpstr>
      <vt:lpstr>NB_2898_Viatris Inc. Common Sto</vt:lpstr>
      <vt:lpstr>NB_2899_Vitesse Energy Inc. Com</vt:lpstr>
      <vt:lpstr>NB_2900_VirTra Inc. Common Stoc</vt:lpstr>
      <vt:lpstr>NB_2901_vTv Therapeutics Inc. C</vt:lpstr>
      <vt:lpstr>NB_2902_Vuzix Corporation Commo</vt:lpstr>
      <vt:lpstr>NB_2903_Vivos Therapeutics Inc.</vt:lpstr>
      <vt:lpstr>NB_2904_Valvoline Inc. Common S</vt:lpstr>
      <vt:lpstr>NB_2905_V2X Inc. Common Stock</vt:lpstr>
      <vt:lpstr>NB_2906_VisionWave Holdings Inc</vt:lpstr>
      <vt:lpstr>NB_2907_VisionWave Holdings Inc</vt:lpstr>
      <vt:lpstr>NB_2908_Voyager Therapeutics In</vt:lpstr>
      <vt:lpstr>NB_2909_Verizon Communications </vt:lpstr>
      <vt:lpstr>NB_2910_Wayfair Inc. Class A Co</vt:lpstr>
      <vt:lpstr>NB_2911_Westinghouse Air Brake </vt:lpstr>
      <vt:lpstr>NB_2912_Waldencast plc Class A </vt:lpstr>
      <vt:lpstr>NB_2913_Waldencast plc Warrant</vt:lpstr>
      <vt:lpstr>NB_2914_Waters Corporation Comm</vt:lpstr>
      <vt:lpstr>NB_2915_Energous Corporation Co</vt:lpstr>
      <vt:lpstr>NB_2916_Waystar Holding Corp. C</vt:lpstr>
      <vt:lpstr>NB_2917_Warner Bros. Discovery </vt:lpstr>
      <vt:lpstr>NB_2918_WEBTOON Entertainment I</vt:lpstr>
      <vt:lpstr>NB_2919_WESCO International Inc</vt:lpstr>
      <vt:lpstr>NB_2920_Workday Inc. Class A Co</vt:lpstr>
      <vt:lpstr>NB_2921_Western Digital Corpora</vt:lpstr>
      <vt:lpstr>NB_2922_WD-40 Company Common St</vt:lpstr>
      <vt:lpstr>NB_2923_Weave Communications In</vt:lpstr>
      <vt:lpstr>NB_2924_WEC Energy Group Inc. C</vt:lpstr>
      <vt:lpstr>NB_2925_Wendy's Company (The) C</vt:lpstr>
      <vt:lpstr>NB_2926_Werner Enterprises Inc.</vt:lpstr>
      <vt:lpstr>NB_2927_Western Midstream Partn</vt:lpstr>
      <vt:lpstr>NB_2928_Westrock Coffee Company</vt:lpstr>
      <vt:lpstr>NB_2929_WEX Inc. common stock</vt:lpstr>
      <vt:lpstr>NB_2930_Weyco Group Inc. Common</vt:lpstr>
      <vt:lpstr>NB_2931_Where Food Comes From I</vt:lpstr>
      <vt:lpstr>NB_2932_Weatherford Internation</vt:lpstr>
      <vt:lpstr>NB_2933_Winnebago Industries In</vt:lpstr>
      <vt:lpstr>NB_2934_GeneDx Holdings Corp. C</vt:lpstr>
      <vt:lpstr>NB_2935_Wyndham Hotels &amp; Resort</vt:lpstr>
      <vt:lpstr>NB_2936_Cactus Inc. Class A Com</vt:lpstr>
      <vt:lpstr>NB_2937_Whirlpool Corporation C</vt:lpstr>
      <vt:lpstr>NB_2938_Whitehawk Therapeutics </vt:lpstr>
      <vt:lpstr>NB_2939_Winmark Corporation Com</vt:lpstr>
      <vt:lpstr>NB_2940_Wingstop Inc. Common St</vt:lpstr>
      <vt:lpstr>NB_2941_Workiva Inc. Class A Co</vt:lpstr>
      <vt:lpstr>NB_2942_World Kinect Corporatio</vt:lpstr>
      <vt:lpstr>NB_2943_Workhorse Group Inc. Co</vt:lpstr>
      <vt:lpstr>NB_2944_Willdan Group Inc. Comm</vt:lpstr>
      <vt:lpstr>NB_2945_Willis Lease Finance Co</vt:lpstr>
      <vt:lpstr>NB_2946_Westlake Corporation Co</vt:lpstr>
      <vt:lpstr>NB_2947_Westlake Chemical Partn</vt:lpstr>
      <vt:lpstr>NB_2948_John Wiley &amp; Sons Inc. </vt:lpstr>
      <vt:lpstr>NB_2949_John Wiley &amp; Sons Inc. </vt:lpstr>
      <vt:lpstr>NB_2950_Waste Management Inc. C</vt:lpstr>
      <vt:lpstr>NB_2951_Williams Companies Inc.</vt:lpstr>
      <vt:lpstr>NB_2952_Warner Music Group Corp</vt:lpstr>
      <vt:lpstr>NB_2953_Weis Markets Inc. Commo</vt:lpstr>
      <vt:lpstr>NB_2954_Advanced Drainage Syste</vt:lpstr>
      <vt:lpstr>NB_2955_Walmart Inc. Common Sto</vt:lpstr>
      <vt:lpstr>NB_2956_Wabash National Corpora</vt:lpstr>
      <vt:lpstr>NB_2957_Wolfspeed Inc. Common S</vt:lpstr>
      <vt:lpstr>NB_2958_Petco Health and Wellne</vt:lpstr>
      <vt:lpstr>NB_2959_Worthington Enterprises</vt:lpstr>
      <vt:lpstr>NB_2960_Wrap Technologies Inc. </vt:lpstr>
      <vt:lpstr>NB_2961_Warby Parker Inc. Class</vt:lpstr>
      <vt:lpstr>NB_2962_Worthington Steel Inc. </vt:lpstr>
      <vt:lpstr>NB_2963_WillScot Holdings Corpo</vt:lpstr>
      <vt:lpstr>NB_2964_Williams-Sonoma Inc. Co</vt:lpstr>
      <vt:lpstr>NB_2965_Watsco Inc. Common Stoc</vt:lpstr>
      <vt:lpstr>NB_2966_West Pharmaceutical Ser</vt:lpstr>
      <vt:lpstr>NB_2967_W&amp;T Offshore Inc. Commo</vt:lpstr>
      <vt:lpstr>NB_2968_Essential Utilities Inc</vt:lpstr>
      <vt:lpstr>NB_2969_Watts Water Technologie</vt:lpstr>
      <vt:lpstr>NB_2970_Select Water Solutions </vt:lpstr>
      <vt:lpstr>NB_2971_Western Union Company (</vt:lpstr>
      <vt:lpstr>NB_2972_Willamette Valley Viney</vt:lpstr>
      <vt:lpstr>NB_2973_Willamette Valley Viney</vt:lpstr>
      <vt:lpstr>NB_2974_WW International Inc.  </vt:lpstr>
      <vt:lpstr>NB_2975_Woodward Inc. Common St</vt:lpstr>
      <vt:lpstr>NB_2976_Westwater Resources Inc</vt:lpstr>
      <vt:lpstr>NB_2977_Wolverine World Wide In</vt:lpstr>
      <vt:lpstr>NB_2978_Wynn Resorts Limited Co</vt:lpstr>
      <vt:lpstr>NB_2979_WidePoint Corporation C</vt:lpstr>
      <vt:lpstr>NB_2980_Beyond Air Inc. Common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2026-10-05T19:45:20Z</dcterms:created>
  <dcterms:modified xsi:type="dcterms:W3CDTF">2026-10-05T19:45:20Z</dcterms:modified>
</cp:coreProperties>
</file>