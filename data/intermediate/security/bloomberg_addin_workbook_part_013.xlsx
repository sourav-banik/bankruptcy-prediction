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urity_List" sheetId="1" r:id="rId1"/>
    <sheet name="NB_2731_TSS Inc. Common Stock" sheetId="2" r:id="rId2"/>
    <sheet name="NB_2732_Titan America SA Common" sheetId="3" r:id="rId3"/>
    <sheet name="NB_2733_ServiceTitan Inc. Class" sheetId="4" r:id="rId4"/>
    <sheet name="NB_2734_Toro Company (The) Comm" sheetId="5" r:id="rId5"/>
    <sheet name="NB_2735_The Trade Desk Inc. Cla" sheetId="6" r:id="rId6"/>
    <sheet name="NB_2736_TTEC Holdings Inc. Comm" sheetId="7" r:id="rId7"/>
    <sheet name="NB_2737_Tetra Tech Inc. Common " sheetId="8" r:id="rId8"/>
    <sheet name="NB_2738_TechTarget Inc. Common " sheetId="9" r:id="rId9"/>
    <sheet name="NB_2739_Tetra Technologies Inc." sheetId="10" r:id="rId10"/>
    <sheet name="NB_2740_TTM Technologies Inc. C" sheetId="11" r:id="rId11"/>
    <sheet name="NB_2741_Turn Therapeutics Inc. " sheetId="12" r:id="rId12"/>
    <sheet name="NB_2742_Take-Two Interactive So" sheetId="13" r:id="rId13"/>
    <sheet name="NB_2743_Bloomia Holdings Inc. C" sheetId="14" r:id="rId14"/>
    <sheet name="NB_2744_Mammoth Energy Services" sheetId="15" r:id="rId15"/>
    <sheet name="NB_2745_Tennessee Valley Author" sheetId="16" r:id="rId16"/>
    <sheet name="NB_2746_Tennessee Valley Author" sheetId="17" r:id="rId17"/>
    <sheet name="NB_2747_Tevogen Inc. Common Sto" sheetId="18" r:id="rId18"/>
    <sheet name="NB_2748_Tevogen Inc. Warrant" sheetId="19" r:id="rId19"/>
    <sheet name="NB_2749_Tvardi Therapeutics Inc" sheetId="20" r:id="rId20"/>
    <sheet name="NB_2750_Travere Therapeutics In" sheetId="21" r:id="rId21"/>
    <sheet name="NB_2751_TaoWeave Inc. Common St" sheetId="22" r:id="rId22"/>
    <sheet name="NB_2752_Titan International Inc" sheetId="23" r:id="rId23"/>
    <sheet name="NB_2753_Twin Disc Incorporated " sheetId="24" r:id="rId24"/>
    <sheet name="NB_2754_Twilio Inc. Class A Com" sheetId="25" r:id="rId25"/>
    <sheet name="NB_2755_Twist Bioscience Corpor" sheetId="26" r:id="rId26"/>
    <sheet name="NB_2756_10x Genomics Inc. Class" sheetId="27" r:id="rId27"/>
    <sheet name="NB_2757_TherapeuticsMD Inc. Com" sheetId="28" r:id="rId28"/>
    <sheet name="NB_2758_Texas Instruments Incor" sheetId="29" r:id="rId29"/>
    <sheet name="NB_2759_TXNM Energy Inc. Common" sheetId="30" r:id="rId30"/>
    <sheet name="NB_2760_TXO Partners L.P. Commo" sheetId="31" r:id="rId31"/>
    <sheet name="NB_2761_Texas Roadhouse Inc. Co" sheetId="32" r:id="rId32"/>
    <sheet name="NB_2762_Textron Inc. Common Sto" sheetId="33" r:id="rId33"/>
    <sheet name="NB_2763_Tigo Energy Inc. Common" sheetId="34" r:id="rId34"/>
    <sheet name="NB_2764_Tyler Technologies Inc." sheetId="35" r:id="rId35"/>
    <sheet name="NB_2765_Tyra Biosciences Inc. C" sheetId="36" r:id="rId36"/>
    <sheet name="NB_2766_Travelzoo Common Stock" sheetId="37" r:id="rId37"/>
    <sheet name="NB_2767_Unity Software Inc. Com" sheetId="38" r:id="rId38"/>
    <sheet name="NB_2768_Under Armour Inc. Class" sheetId="39" r:id="rId39"/>
    <sheet name="NB_2769_Under Armour Inc. Class" sheetId="40" r:id="rId40"/>
    <sheet name="NB_2770_United Airlines Holding" sheetId="41" r:id="rId41"/>
    <sheet name="NB_2771_United States Antimony " sheetId="42" r:id="rId42"/>
    <sheet name="NB_2772_CVR Partners LP Common " sheetId="43" r:id="rId43"/>
    <sheet name="NB_2773_AgEagle Aerial Systems " sheetId="44" r:id="rId44"/>
    <sheet name="NB_2774_Uber Technologies Inc. " sheetId="45" r:id="rId45"/>
    <sheet name="NB_2775_Ultra Clean Holdings In" sheetId="46" r:id="rId46"/>
    <sheet name="NB_2776_Universal Electronics I" sheetId="47" r:id="rId47"/>
    <sheet name="NB_2777_Unifi Inc. New Common S" sheetId="48" r:id="rId48"/>
    <sheet name="NB_2778_UFP Industries Inc. Com" sheetId="49" r:id="rId49"/>
    <sheet name="NB_2779_UFP Technologies Inc. C" sheetId="50" r:id="rId50"/>
    <sheet name="NB_2780_United-Guardian Inc. Co" sheetId="51" r:id="rId51"/>
    <sheet name="NB_2781_UGI Corporation Common " sheetId="52" r:id="rId52"/>
    <sheet name="NB_2782_U-Haul Holding Company " sheetId="53" r:id="rId53"/>
    <sheet name="NB_2783_Universal Health Servic" sheetId="54" r:id="rId54"/>
    <sheet name="NB_2784_Ubiquiti Inc. Common St" sheetId="55" r:id="rId55"/>
    <sheet name="NB_2785_Unisys Corporation New " sheetId="56" r:id="rId56"/>
    <sheet name="NB_2786_Ucommune International " sheetId="57" r:id="rId57"/>
    <sheet name="NB_2787_Frontier Group Holdings" sheetId="58" r:id="rId58"/>
    <sheet name="NB_2788_Universal Logistics Hol" sheetId="59" r:id="rId59"/>
    <sheet name="NB_2789_UL Solutions Inc. Class" sheetId="60" r:id="rId60"/>
    <sheet name="NB_2790_Ulta Beauty Inc. Common" sheetId="61" r:id="rId61"/>
    <sheet name="NB_2791_Unusual Machines Inc. C" sheetId="62" r:id="rId62"/>
    <sheet name="NB_2792_Unicycive Therapeutics " sheetId="63" r:id="rId63"/>
    <sheet name="NB_2793_Unifirst Corporation Co" sheetId="64" r:id="rId64"/>
    <sheet name="NB_2794_United Natural Foods In" sheetId="65" r:id="rId65"/>
    <sheet name="NB_2795_UnitedHealth Group Inco" sheetId="66" r:id="rId66"/>
    <sheet name="NB_2796_Union Pacific Corporati" sheetId="67" r:id="rId67"/>
    <sheet name="NB_2797_Urban One Inc. Class A " sheetId="68" r:id="rId68"/>
    <sheet name="NB_2798_Urban One Inc. Class D " sheetId="69" r:id="rId69"/>
    <sheet name="NB_2799_Upstream Bio Inc. Commo" sheetId="70" r:id="rId70"/>
    <sheet name="NB_2800_Upbound Group Inc. Comm" sheetId="71" r:id="rId71"/>
    <sheet name="NB_2801_Upland Software Inc. Co" sheetId="72" r:id="rId72"/>
    <sheet name="NB_2802_United Parcel Service I" sheetId="73" r:id="rId73"/>
    <sheet name="NB_2803_Upwork Inc. Common Stoc" sheetId="74" r:id="rId74"/>
    <sheet name="NB_2804_Urban Outfitters Inc. C" sheetId="75" r:id="rId75"/>
    <sheet name="NB_2805_United Rentals Inc. Com" sheetId="76" r:id="rId76"/>
    <sheet name="NB_2806_USA Compression Partner" sheetId="77" r:id="rId77"/>
    <sheet name="NB_2807_USA Rare Earth Inc. Cla" sheetId="78" r:id="rId78"/>
    <sheet name="NB_2808_U.S. Gold Corp. Common " sheetId="79" r:id="rId79"/>
    <sheet name="NB_2809_US Foods Holding Corp. " sheetId="80" r:id="rId80"/>
    <sheet name="NB_2810_U.S. GoldMining Inc. Co" sheetId="81" r:id="rId81"/>
    <sheet name="NB_2811_United States Lime &amp; Mi" sheetId="82" r:id="rId82"/>
    <sheet name="NB_2812_USANA Health Sciences I" sheetId="83" r:id="rId83"/>
    <sheet name="NB_2813_U.S. Physical Therapy I" sheetId="84" r:id="rId84"/>
    <sheet name="NB_2814_United Therapeutics Cor" sheetId="85" r:id="rId85"/>
    <sheet name="NB_2815_UNITIL Corporation Comm" sheetId="86" r:id="rId86"/>
    <sheet name="NB_2816_Utah Medical Products I" sheetId="87" r:id="rId87"/>
    <sheet name="NB_2817_Utz Brands Inc Class A " sheetId="88" r:id="rId88"/>
    <sheet name="NB_2818_Universal Safety Produc" sheetId="89" r:id="rId89"/>
    <sheet name="NB_2819_Universal Corporation C" sheetId="90" r:id="rId90"/>
    <sheet name="NB_2820_Array Digital Infrastru" sheetId="91" r:id="rId91"/>
    <sheet name="NB_2821_Array Digital Infrastru" sheetId="92" r:id="rId92"/>
    <sheet name="NB_2822_Array Digital Infrastru" sheetId="93" r:id="rId93"/>
    <sheet name="NB_2823_Visa Inc." sheetId="94" r:id="rId94"/>
    <sheet name="NB_2824_Valaris Limited Common " sheetId="95" r:id="rId95"/>
    <sheet name="NB_2825_Vivani Medical Inc. Com" sheetId="96" r:id="rId96"/>
    <sheet name="NB_2826_INNOVATE Corp. Common S" sheetId="97" r:id="rId97"/>
    <sheet name="NB_2827_Valion Bio Inc. Common " sheetId="98" r:id="rId98"/>
    <sheet name="NB_2828_Visteon Corporation Com" sheetId="99" r:id="rId99"/>
    <sheet name="NB_2829_Vericel Corporation Com" sheetId="100" r:id="rId100"/>
    <sheet name="NB_2830_Veracyte Inc. Common St" sheetId="101" r:id="rId101"/>
    <sheet name="NB_2831_Veeco Instruments Inc. " sheetId="102" r:id="rId102"/>
    <sheet name="NB_2832_Veea Inc. Common Stock" sheetId="103" r:id="rId103"/>
    <sheet name="NB_2833_Veea Inc. Warrant" sheetId="104" r:id="rId104"/>
    <sheet name="NB_2834_Twin Vee PowerCats Co. " sheetId="105" r:id="rId105"/>
    <sheet name="NB_2835_Veeva Systems Inc. Clas" sheetId="106" r:id="rId106"/>
    <sheet name="NB_2836_Velo3D Inc. Common stoc" sheetId="107" r:id="rId107"/>
    <sheet name="NB_2837_Venu Holding Corporatio" sheetId="108" r:id="rId108"/>
    <sheet name="NB_2838_Vera Therapeutics Inc. " sheetId="109" r:id="rId109"/>
    <sheet name="NB_2839_Veritone Inc. Common St" sheetId="110" r:id="rId110"/>
    <sheet name="NB_2840_Veru Inc. Common Stock" sheetId="111" r:id="rId111"/>
    <sheet name="NB_2841_Vertex Inc. Class A Com" sheetId="112" r:id="rId112"/>
    <sheet name="NB_2842_V.F. Corporation Common" sheetId="113" r:id="rId113"/>
    <sheet name="NB_2843_Venture Global Inc. Cla" sheetId="114" r:id="rId114"/>
    <sheet name="NB_2844_Verde Clean Fuels Inc. " sheetId="115" r:id="rId115"/>
    <sheet name="NB_2845_Verde Clean Fuels Inc. " sheetId="116" r:id="rId116"/>
    <sheet name="NB_2846_Vista Gold Corp Common " sheetId="117" r:id="rId117"/>
    <sheet name="NB_2847_Valhi Inc. Common Stock" sheetId="118" r:id="rId118"/>
    <sheet name="NB_2848_VenHub Global Inc. Comm" sheetId="119" r:id="rId119"/>
    <sheet name="NB_2849_Via Transportation Inc." sheetId="120" r:id="rId120"/>
    <sheet name="NB_2850_Viavi Solutions Inc. Co" sheetId="121" r:id="rId121"/>
    <sheet name="NB_2851_Vicor Corporation Commo" sheetId="122" r:id="rId122"/>
    <sheet name="NB_2852_Viking Holdings Ltd Ord" sheetId="123" r:id="rId123"/>
    <sheet name="NB_2853_Vir Biotechnology Inc. " sheetId="124" r:id="rId124"/>
    <sheet name="NB_2854_Virco Manufacturing Cor" sheetId="125" r:id="rId125"/>
    <sheet name="NB_2855_Vistance Networks Inc. " sheetId="126" r:id="rId126"/>
    <sheet name="NB_2856_Vital Farms Inc. Common" sheetId="127" r:id="rId127"/>
    <sheet name="NB_2857_Vivakor Inc. Common Sto" sheetId="128" r:id="rId128"/>
    <sheet name="NB_2858_VivoSim Labs Inc. Commo" sheetId="129" r:id="rId129"/>
    <sheet name="NB_2859_Viking Therapeutics Inc" sheetId="130" r:id="rId130"/>
    <sheet name="NB_2860_Village Super Market In" sheetId="131" r:id="rId131"/>
    <sheet name="NB_2861_Valero Energy Corporati" sheetId="132" r:id="rId132"/>
    <sheet name="NB_2862_Veralto Corp Common Sto" sheetId="133" r:id="rId133"/>
    <sheet name="NB_2863_Vulcan Materials Compan" sheetId="134" r:id="rId134"/>
    <sheet name="NB_2864_Viemed Healthcare Inc. " sheetId="135" r:id="rId135"/>
    <sheet name="NB_2865_Valmont Industries Inc." sheetId="136" r:id="rId136"/>
    <sheet name="NB_2866_Vince Holding Corp. Com" sheetId="137" r:id="rId137"/>
    <sheet name="NB_2867_Vanda Pharmaceuticals I" sheetId="138" r:id="rId138"/>
    <sheet name="NB_2868_Viper Energy Inc. Class" sheetId="139" r:id="rId139"/>
    <sheet name="NB_2869_Vontier Corporation Com" sheetId="140" r:id="rId140"/>
    <sheet name="NB_2870_VOC Energy Trust Units " sheetId="141" r:id="rId141"/>
    <sheet name="NB_2871_Vogenx Inc Common Stock" sheetId="142" r:id="rId142"/>
    <sheet name="NB_2872_Vor Biopharma Inc. Comm" sheetId="143" r:id="rId143"/>
    <sheet name="NB_2873_Voyager Technologies In" sheetId="144" r:id="rId144"/>
    <sheet name="NB_2874_Vishay Precision Group " sheetId="145" r:id="rId145"/>
    <sheet name="NB_2875_Vera Bradley Inc. Commo" sheetId="146" r:id="rId146"/>
    <sheet name="NB_2876_Verrica Pharmaceuticals" sheetId="147" r:id="rId147"/>
    <sheet name="NB_2877_Viridian Therapeutics I" sheetId="148" r:id="rId148"/>
    <sheet name="NB_2878_Varex Imaging Corporati" sheetId="149" r:id="rId149"/>
    <sheet name="NB_2879_Vroom Inc. Common Stock" sheetId="150" r:id="rId150"/>
    <sheet name="NB_2880_VerifyMe Inc. Common St" sheetId="151" r:id="rId151"/>
    <sheet name="NB_2881_Varonis Systems Inc. Co" sheetId="152" r:id="rId152"/>
    <sheet name="NB_2882_Verra Mobility Corporat" sheetId="153" r:id="rId153"/>
    <sheet name="NB_2883_Verisk Analytics Inc. C" sheetId="154" r:id="rId154"/>
    <sheet name="NB_2884_VeriSign Inc. Common St" sheetId="155" r:id="rId155"/>
    <sheet name="NB_2885_Vertiv Holdings LLC Cla" sheetId="156" r:id="rId156"/>
    <sheet name="NB_2886_Vertex Pharmaceuticals " sheetId="157" r:id="rId157"/>
    <sheet name="NB_2887_ViaSat Inc. Common Stoc" sheetId="158" r:id="rId158"/>
    <sheet name="NB_2888_VSE Corporation Common " sheetId="159" r:id="rId159"/>
    <sheet name="NB_2889_Vishay Intertechnology " sheetId="160" r:id="rId160"/>
    <sheet name="NB_2890_Versant Media Group Inc" sheetId="161" r:id="rId161"/>
    <sheet name="NB_2891_Vistra Corp. Common Sto" sheetId="162" r:id="rId162"/>
    <sheet name="NB_2892_Verastem Inc. Common St" sheetId="163" r:id="rId163"/>
    <sheet name="NB_2893_Vestis Corporation Comm" sheetId="164" r:id="rId164"/>
    <sheet name="NB_2894_Victorias Secret &amp; Co. " sheetId="165" r:id="rId165"/>
    <sheet name="NB_2895_Vistagen Therapeutics I" sheetId="166" r:id="rId166"/>
    <sheet name="NB_2896_Virtuix Holdings Inc. C" sheetId="167" r:id="rId167"/>
    <sheet name="NB_2897_Bristow Group Inc. Comm" sheetId="168" r:id="rId168"/>
    <sheet name="NB_2898_Viatris Inc. Common Sto" sheetId="169" r:id="rId169"/>
    <sheet name="NB_2899_Vitesse Energy Inc. Com" sheetId="170" r:id="rId170"/>
    <sheet name="NB_2900_VirTra Inc. Common Stoc" sheetId="171" r:id="rId171"/>
    <sheet name="NB_2901_vTv Therapeutics Inc. C" sheetId="172" r:id="rId172"/>
    <sheet name="NB_2902_Vuzix Corporation Commo" sheetId="173" r:id="rId173"/>
    <sheet name="NB_2903_Vivos Therapeutics Inc." sheetId="174" r:id="rId174"/>
    <sheet name="NB_2904_Valvoline Inc. Common S" sheetId="175" r:id="rId175"/>
    <sheet name="NB_2905_V2X Inc. Common Stock" sheetId="176" r:id="rId176"/>
    <sheet name="NB_2906_VisionWave Holdings Inc" sheetId="177" r:id="rId177"/>
    <sheet name="NB_2907_VisionWave Holdings Inc" sheetId="178" r:id="rId178"/>
    <sheet name="NB_2908_Voyager Therapeutics In" sheetId="179" r:id="rId179"/>
    <sheet name="NB_2909_Verizon Communications " sheetId="180" r:id="rId180"/>
    <sheet name="NB_2910_Wayfair Inc. Class A Co" sheetId="181" r:id="rId181"/>
    <sheet name="NB_2911_Westinghouse Air Brake " sheetId="182" r:id="rId182"/>
    <sheet name="NB_2912_Waldencast plc Class A " sheetId="183" r:id="rId183"/>
    <sheet name="NB_2913_Waldencast plc Warrant" sheetId="184" r:id="rId184"/>
    <sheet name="NB_2914_Waters Corporation Comm" sheetId="185" r:id="rId185"/>
    <sheet name="NB_2915_Energous Corporation Co" sheetId="186" r:id="rId186"/>
    <sheet name="NB_2916_Waystar Holding Corp. C" sheetId="187" r:id="rId187"/>
    <sheet name="NB_2917_Warner Bros. Discovery " sheetId="188" r:id="rId188"/>
    <sheet name="NB_2918_WEBTOON Entertainment I" sheetId="189" r:id="rId189"/>
    <sheet name="NB_2919_WESCO International Inc" sheetId="190" r:id="rId190"/>
    <sheet name="NB_2920_Workday Inc. Class A Co" sheetId="191" r:id="rId191"/>
    <sheet name="NB_2921_Western Digital Corpora" sheetId="192" r:id="rId192"/>
    <sheet name="NB_2922_WD-40 Company Common St" sheetId="193" r:id="rId193"/>
    <sheet name="NB_2923_Weave Communications In" sheetId="194" r:id="rId194"/>
    <sheet name="NB_2924_WEC Energy Group Inc. C" sheetId="195" r:id="rId195"/>
    <sheet name="NB_2925_Wendy's Company (The) C" sheetId="196" r:id="rId196"/>
    <sheet name="NB_2926_Werner Enterprises Inc." sheetId="197" r:id="rId197"/>
    <sheet name="NB_2927_Western Midstream Partn" sheetId="198" r:id="rId198"/>
    <sheet name="NB_2928_Westrock Coffee Company" sheetId="199" r:id="rId199"/>
    <sheet name="NB_2929_WEX Inc. common stock" sheetId="200" r:id="rId200"/>
    <sheet name="NB_2930_Weyco Group Inc. Common" sheetId="201" r:id="rId201"/>
    <sheet name="NB_2931_Where Food Comes From I" sheetId="202" r:id="rId202"/>
    <sheet name="NB_2932_Weatherford Internation" sheetId="203" r:id="rId203"/>
    <sheet name="NB_2933_Winnebago Industries In" sheetId="204" r:id="rId204"/>
    <sheet name="NB_2934_GeneDx Holdings Corp. C" sheetId="205" r:id="rId205"/>
    <sheet name="NB_2935_Wyndham Hotels &amp; Resort" sheetId="206" r:id="rId206"/>
    <sheet name="NB_2936_Cactus Inc. Class A Com" sheetId="207" r:id="rId207"/>
    <sheet name="NB_2937_Whirlpool Corporation C" sheetId="208" r:id="rId208"/>
    <sheet name="NB_2938_Whitehawk Therapeutics " sheetId="209" r:id="rId209"/>
    <sheet name="NB_2939_Winmark Corporation Com" sheetId="210" r:id="rId210"/>
    <sheet name="NB_2940_Wingstop Inc. Common St" sheetId="211" r:id="rId211"/>
    <sheet name="NB_2941_Workiva Inc. Class A Co" sheetId="212" r:id="rId212"/>
    <sheet name="NB_2942_World Kinect Corporatio" sheetId="213" r:id="rId213"/>
    <sheet name="NB_2943_Workhorse Group Inc. Co" sheetId="214" r:id="rId214"/>
    <sheet name="NB_2944_Willdan Group Inc. Comm" sheetId="215" r:id="rId215"/>
    <sheet name="NB_2945_Willis Lease Finance Co" sheetId="216" r:id="rId216"/>
    <sheet name="NB_2946_Westlake Corporation Co" sheetId="217" r:id="rId217"/>
    <sheet name="NB_2947_Westlake Chemical Partn" sheetId="218" r:id="rId218"/>
    <sheet name="NB_2948_John Wiley &amp; Sons Inc. " sheetId="219" r:id="rId219"/>
    <sheet name="NB_2949_John Wiley &amp; Sons Inc. " sheetId="220" r:id="rId220"/>
    <sheet name="NB_2950_Waste Management Inc. C" sheetId="221" r:id="rId221"/>
    <sheet name="NB_2951_Williams Companies Inc." sheetId="222" r:id="rId222"/>
    <sheet name="NB_2952_Warner Music Group Corp" sheetId="223" r:id="rId223"/>
    <sheet name="NB_2953_Weis Markets Inc. Commo" sheetId="224" r:id="rId224"/>
    <sheet name="NB_2954_Advanced Drainage Syste" sheetId="225" r:id="rId225"/>
    <sheet name="NB_2955_Walmart Inc. Common Sto" sheetId="226" r:id="rId226"/>
    <sheet name="NB_2956_Wabash National Corpora" sheetId="227" r:id="rId227"/>
    <sheet name="NB_2957_Wolfspeed Inc. Common S" sheetId="228" r:id="rId228"/>
    <sheet name="NB_2958_Petco Health and Wellne" sheetId="229" r:id="rId229"/>
    <sheet name="NB_2959_Worthington Enterprises" sheetId="230" r:id="rId230"/>
    <sheet name="NB_2960_Wrap Technologies Inc. " sheetId="231" r:id="rId231"/>
    <sheet name="NB_2961_Warby Parker Inc. Class" sheetId="232" r:id="rId232"/>
    <sheet name="NB_2962_Worthington Steel Inc. " sheetId="233" r:id="rId233"/>
    <sheet name="NB_2963_WillScot Holdings Corpo" sheetId="234" r:id="rId234"/>
    <sheet name="NB_2964_Williams-Sonoma Inc. Co" sheetId="235" r:id="rId235"/>
    <sheet name="NB_2965_Watsco Inc. Common Stoc" sheetId="236" r:id="rId236"/>
    <sheet name="NB_2966_West Pharmaceutical Ser" sheetId="237" r:id="rId237"/>
    <sheet name="NB_2967_W&amp;T Offshore Inc. Commo" sheetId="238" r:id="rId238"/>
    <sheet name="NB_2968_Essential Utilities Inc" sheetId="239" r:id="rId239"/>
    <sheet name="NB_2969_Watts Water Technologie" sheetId="240" r:id="rId240"/>
    <sheet name="NB_2970_Select Water Solutions " sheetId="241" r:id="rId241"/>
    <sheet name="NB_2971_Western Union Company (" sheetId="242" r:id="rId242"/>
    <sheet name="NB_2972_Willamette Valley Viney" sheetId="243" r:id="rId243"/>
    <sheet name="NB_2973_Willamette Valley Viney" sheetId="244" r:id="rId244"/>
    <sheet name="NB_2974_WW International Inc.  " sheetId="245" r:id="rId245"/>
    <sheet name="NB_2975_Woodward Inc. Common St" sheetId="246" r:id="rId246"/>
    <sheet name="NB_2976_Westwater Resources Inc" sheetId="247" r:id="rId247"/>
    <sheet name="NB_2977_Wolverine World Wide In" sheetId="248" r:id="rId248"/>
    <sheet name="NB_2978_Wynn Resorts Limited Co" sheetId="249" r:id="rId249"/>
    <sheet name="NB_2979_WidePoint Corporation C" sheetId="250" r:id="rId250"/>
    <sheet name="NB_2980_Beyond Air Inc. Common " sheetId="251" r:id="rId251"/>
  </sheets>
  <calcPr calcId="124519" fullCalcOnLoad="1"/>
</workbook>
</file>

<file path=xl/sharedStrings.xml><?xml version="1.0" encoding="utf-8"?>
<sst xmlns="http://schemas.openxmlformats.org/spreadsheetml/2006/main" count="15763" uniqueCount="1165">
  <si>
    <t>company_id</t>
  </si>
  <si>
    <t>company_type</t>
  </si>
  <si>
    <t>bankruptcy_date</t>
  </si>
  <si>
    <t>ticker</t>
  </si>
  <si>
    <t>name</t>
  </si>
  <si>
    <t>Sector</t>
  </si>
  <si>
    <t>Industry</t>
  </si>
  <si>
    <t>bloomberg_identifier</t>
  </si>
  <si>
    <t>prediction_date</t>
  </si>
  <si>
    <t>start_date</t>
  </si>
  <si>
    <t>end_date</t>
  </si>
  <si>
    <t>bloomberg_sector</t>
  </si>
  <si>
    <t>bloomberg_industry</t>
  </si>
  <si>
    <t>NB_2731</t>
  </si>
  <si>
    <t>nonbankrupt</t>
  </si>
  <si>
    <t/>
  </si>
  <si>
    <t>TSSI</t>
  </si>
  <si>
    <t>TSS Inc. Common Stock</t>
  </si>
  <si>
    <t>Consumer Discretionary</t>
  </si>
  <si>
    <t>Professional Services</t>
  </si>
  <si>
    <t>TSSI US Equity</t>
  </si>
  <si>
    <t>1993-06-18</t>
  </si>
  <si>
    <t>2026-05-02</t>
  </si>
  <si>
    <t>NB_2732</t>
  </si>
  <si>
    <t>TTAM</t>
  </si>
  <si>
    <t>Titan America SA Common Shares</t>
  </si>
  <si>
    <t>Industrials</t>
  </si>
  <si>
    <t>Mining &amp; Quarrying of Nonmetallic Minerals (No Fuels)</t>
  </si>
  <si>
    <t>TTAM US Equity</t>
  </si>
  <si>
    <t>NB_2733</t>
  </si>
  <si>
    <t>TTAN</t>
  </si>
  <si>
    <t>ServiceTitan Inc. Class A Common Stock</t>
  </si>
  <si>
    <t>Technology</t>
  </si>
  <si>
    <t>Computer Software: Prepackaged Software</t>
  </si>
  <si>
    <t>TTAN US Equity</t>
  </si>
  <si>
    <t>NB_2734</t>
  </si>
  <si>
    <t>TTC</t>
  </si>
  <si>
    <t>Toro Company (The) Common Stock</t>
  </si>
  <si>
    <t>Tools/Hardware</t>
  </si>
  <si>
    <t>TTC US Equity</t>
  </si>
  <si>
    <t>NB_2735</t>
  </si>
  <si>
    <t>TTD</t>
  </si>
  <si>
    <t>The Trade Desk Inc. Class A Common Stock</t>
  </si>
  <si>
    <t>Computer Software: Programming Data Processing</t>
  </si>
  <si>
    <t>TTD US Equity</t>
  </si>
  <si>
    <t>NB_2736</t>
  </si>
  <si>
    <t>TTEC</t>
  </si>
  <si>
    <t>TTEC Holdings Inc. Common Stock</t>
  </si>
  <si>
    <t>TTEC US Equity</t>
  </si>
  <si>
    <t>NB_2737</t>
  </si>
  <si>
    <t>TTEK</t>
  </si>
  <si>
    <t>Tetra Tech Inc. Common Stock</t>
  </si>
  <si>
    <t>Military/Government/Technical</t>
  </si>
  <si>
    <t>TTEK US Equity</t>
  </si>
  <si>
    <t>NB_2738</t>
  </si>
  <si>
    <t>TTGT</t>
  </si>
  <si>
    <t>TechTarget Inc. Common Stock</t>
  </si>
  <si>
    <t>Telecommunications</t>
  </si>
  <si>
    <t>Telecommunications Equipment</t>
  </si>
  <si>
    <t>TTGT US Equity</t>
  </si>
  <si>
    <t>NB_2739</t>
  </si>
  <si>
    <t>TTI</t>
  </si>
  <si>
    <t>Tetra Technologies Inc. Common Stock</t>
  </si>
  <si>
    <t>Energy</t>
  </si>
  <si>
    <t>Oil &amp; Gas Production</t>
  </si>
  <si>
    <t>TTI US Equity</t>
  </si>
  <si>
    <t>NB_2740</t>
  </si>
  <si>
    <t>TTMI</t>
  </si>
  <si>
    <t>TTM Technologies Inc. Common Stock</t>
  </si>
  <si>
    <t>Electrical Products</t>
  </si>
  <si>
    <t>TTMI US Equity</t>
  </si>
  <si>
    <t>NB_2741</t>
  </si>
  <si>
    <t>TTRX</t>
  </si>
  <si>
    <t>Turn Therapeutics Inc. Common Stock</t>
  </si>
  <si>
    <t>Health Care</t>
  </si>
  <si>
    <t>Biotechnology: Pharmaceutical Preparations</t>
  </si>
  <si>
    <t>TTRX US Equity</t>
  </si>
  <si>
    <t>NB_2742</t>
  </si>
  <si>
    <t>TTWO</t>
  </si>
  <si>
    <t>Take-Two Interactive Software Inc. Common Stock</t>
  </si>
  <si>
    <t>TTWO US Equity</t>
  </si>
  <si>
    <t>NB_2743</t>
  </si>
  <si>
    <t>TULP</t>
  </si>
  <si>
    <t>Bloomia Holdings Inc. Common Stock</t>
  </si>
  <si>
    <t>Consumer Staples</t>
  </si>
  <si>
    <t>Farming/Seeds/Milling</t>
  </si>
  <si>
    <t>TULP US Equity</t>
  </si>
  <si>
    <t>NB_2744</t>
  </si>
  <si>
    <t>TUSK</t>
  </si>
  <si>
    <t>Mammoth Energy Services Inc. Common Stock</t>
  </si>
  <si>
    <t>Oilfield Services/Equipment</t>
  </si>
  <si>
    <t>TUSK US Equity</t>
  </si>
  <si>
    <t>NB_2745</t>
  </si>
  <si>
    <t>TVC</t>
  </si>
  <si>
    <t>Tennessee Valley Authority Common Stock</t>
  </si>
  <si>
    <t>Utilities</t>
  </si>
  <si>
    <t>Electric Utilities: Central</t>
  </si>
  <si>
    <t>TVC US Equity</t>
  </si>
  <si>
    <t>NB_2746</t>
  </si>
  <si>
    <t>TVE</t>
  </si>
  <si>
    <t>Tennessee Valley Authority</t>
  </si>
  <si>
    <t>TVE US Equity</t>
  </si>
  <si>
    <t>NB_2747</t>
  </si>
  <si>
    <t>TVGN</t>
  </si>
  <si>
    <t>Tevogen Inc. Common Stock</t>
  </si>
  <si>
    <t>Biotechnology: Biological Products (No Diagnostic Substances)</t>
  </si>
  <si>
    <t>TVGN US Equity</t>
  </si>
  <si>
    <t>NB_2748</t>
  </si>
  <si>
    <t>TVGNW</t>
  </si>
  <si>
    <t>Tevogen Inc. Warrant</t>
  </si>
  <si>
    <t>TVGNW US Equity</t>
  </si>
  <si>
    <t>NB_2749</t>
  </si>
  <si>
    <t>TVRD</t>
  </si>
  <si>
    <t>Tvardi Therapeutics Inc. Common Stock</t>
  </si>
  <si>
    <t>TVRD US Equity</t>
  </si>
  <si>
    <t>NB_2750</t>
  </si>
  <si>
    <t>TVTX</t>
  </si>
  <si>
    <t>Travere Therapeutics Inc. Common Stock</t>
  </si>
  <si>
    <t>TVTX US Equity</t>
  </si>
  <si>
    <t>NB_2751</t>
  </si>
  <si>
    <t>TWAV</t>
  </si>
  <si>
    <t>TaoWeave Inc. Common Stock</t>
  </si>
  <si>
    <t>TWAV US Equity</t>
  </si>
  <si>
    <t>NB_2752</t>
  </si>
  <si>
    <t>TWI</t>
  </si>
  <si>
    <t>Titan International Inc. (DE) Common Stock</t>
  </si>
  <si>
    <t>Steel/Iron Ore</t>
  </si>
  <si>
    <t>TWI US Equity</t>
  </si>
  <si>
    <t>NB_2753</t>
  </si>
  <si>
    <t>TWIN</t>
  </si>
  <si>
    <t>Twin Disc Incorporated Common Stock</t>
  </si>
  <si>
    <t>Industrial Machinery/Components</t>
  </si>
  <si>
    <t>TWIN US Equity</t>
  </si>
  <si>
    <t>NB_2754</t>
  </si>
  <si>
    <t>TWLO</t>
  </si>
  <si>
    <t>Twilio Inc. Class A Common Stock</t>
  </si>
  <si>
    <t>TWLO US Equity</t>
  </si>
  <si>
    <t>NB_2755</t>
  </si>
  <si>
    <t>TWST</t>
  </si>
  <si>
    <t>Twist Bioscience Corporation Common Stock</t>
  </si>
  <si>
    <t>TWST US Equity</t>
  </si>
  <si>
    <t>NB_2756</t>
  </si>
  <si>
    <t>TXG</t>
  </si>
  <si>
    <t>10x Genomics Inc. Class A Common Stock</t>
  </si>
  <si>
    <t>Biotechnology: Laboratory Analytical Instruments</t>
  </si>
  <si>
    <t>TXG US Equity</t>
  </si>
  <si>
    <t>NB_2757</t>
  </si>
  <si>
    <t>TXMD</t>
  </si>
  <si>
    <t>TherapeuticsMD Inc. Common Stock</t>
  </si>
  <si>
    <t>TXMD US Equity</t>
  </si>
  <si>
    <t>NB_2758</t>
  </si>
  <si>
    <t>TXN</t>
  </si>
  <si>
    <t>Texas Instruments Incorporated Common Stock</t>
  </si>
  <si>
    <t>Semiconductors</t>
  </si>
  <si>
    <t>TXN US Equity</t>
  </si>
  <si>
    <t>NB_2759</t>
  </si>
  <si>
    <t>TXNM</t>
  </si>
  <si>
    <t>TXNM Energy Inc. Common Stock</t>
  </si>
  <si>
    <t>TXNM US Equity</t>
  </si>
  <si>
    <t>NB_2760</t>
  </si>
  <si>
    <t>TXO</t>
  </si>
  <si>
    <t>TXO Partners L.P. Common Units Representing Limited Partner Interests</t>
  </si>
  <si>
    <t>TXO US Equity</t>
  </si>
  <si>
    <t>NB_2761</t>
  </si>
  <si>
    <t>TXRH</t>
  </si>
  <si>
    <t>Texas Roadhouse Inc. Common Stock</t>
  </si>
  <si>
    <t>Restaurants</t>
  </si>
  <si>
    <t>TXRH US Equity</t>
  </si>
  <si>
    <t>NB_2762</t>
  </si>
  <si>
    <t>TXT</t>
  </si>
  <si>
    <t>Textron Inc. Common Stock</t>
  </si>
  <si>
    <t>Aerospace</t>
  </si>
  <si>
    <t>TXT US Equity</t>
  </si>
  <si>
    <t>NB_2763</t>
  </si>
  <si>
    <t>TYGO</t>
  </si>
  <si>
    <t>Tigo Energy Inc. Common Stock</t>
  </si>
  <si>
    <t>TYGO US Equity</t>
  </si>
  <si>
    <t>NB_2764</t>
  </si>
  <si>
    <t>TYL</t>
  </si>
  <si>
    <t>Tyler Technologies Inc. Common Stock</t>
  </si>
  <si>
    <t>TYL US Equity</t>
  </si>
  <si>
    <t>NB_2765</t>
  </si>
  <si>
    <t>TYRA</t>
  </si>
  <si>
    <t>Tyra Biosciences Inc. Common Stock</t>
  </si>
  <si>
    <t>TYRA US Equity</t>
  </si>
  <si>
    <t>NB_2766</t>
  </si>
  <si>
    <t>TZOO</t>
  </si>
  <si>
    <t>Travelzoo Common Stock</t>
  </si>
  <si>
    <t>Advertising</t>
  </si>
  <si>
    <t>TZOO US Equity</t>
  </si>
  <si>
    <t>NB_2767</t>
  </si>
  <si>
    <t>U</t>
  </si>
  <si>
    <t>Unity Software Inc. Common Stock</t>
  </si>
  <si>
    <t>U US Equity</t>
  </si>
  <si>
    <t>NB_2768</t>
  </si>
  <si>
    <t>UA</t>
  </si>
  <si>
    <t>Under Armour Inc. Class C Common Stock</t>
  </si>
  <si>
    <t>Apparel</t>
  </si>
  <si>
    <t>UA US Equity</t>
  </si>
  <si>
    <t>NB_2769</t>
  </si>
  <si>
    <t>UAA</t>
  </si>
  <si>
    <t>Under Armour Inc. Class A Common Stock</t>
  </si>
  <si>
    <t>UAA US Equity</t>
  </si>
  <si>
    <t>NB_2770</t>
  </si>
  <si>
    <t>UAL</t>
  </si>
  <si>
    <t>United Airlines Holdings Inc. Common Stock</t>
  </si>
  <si>
    <t>Air Freight/Delivery Services</t>
  </si>
  <si>
    <t>UAL US Equity</t>
  </si>
  <si>
    <t>NB_2771</t>
  </si>
  <si>
    <t>UAMY</t>
  </si>
  <si>
    <t>United States Antimony Corporation Common Stock</t>
  </si>
  <si>
    <t>Metal Fabrications</t>
  </si>
  <si>
    <t>UAMY US Equity</t>
  </si>
  <si>
    <t>NB_2772</t>
  </si>
  <si>
    <t>UAN</t>
  </si>
  <si>
    <t>CVR Partners LP Common Units representing Limited Partner Interests</t>
  </si>
  <si>
    <t>Agricultural Chemicals</t>
  </si>
  <si>
    <t>UAN US Equity</t>
  </si>
  <si>
    <t>NB_2773</t>
  </si>
  <si>
    <t>UAVS</t>
  </si>
  <si>
    <t>AgEagle Aerial Systems Inc. Common Stock</t>
  </si>
  <si>
    <t>UAVS US Equity</t>
  </si>
  <si>
    <t>NB_2774</t>
  </si>
  <si>
    <t>UBER</t>
  </si>
  <si>
    <t>Uber Technologies Inc. Common Stock</t>
  </si>
  <si>
    <t>Business Services</t>
  </si>
  <si>
    <t>UBER US Equity</t>
  </si>
  <si>
    <t>NB_2775</t>
  </si>
  <si>
    <t>UCTT</t>
  </si>
  <si>
    <t>Ultra Clean Holdings Inc. Common Stock</t>
  </si>
  <si>
    <t>UCTT US Equity</t>
  </si>
  <si>
    <t>NB_2776</t>
  </si>
  <si>
    <t>UEIC</t>
  </si>
  <si>
    <t>Universal Electronics Inc. Common Stock</t>
  </si>
  <si>
    <t>Consumer Electronics/Appliances</t>
  </si>
  <si>
    <t>UEIC US Equity</t>
  </si>
  <si>
    <t>NB_2777</t>
  </si>
  <si>
    <t>UFI</t>
  </si>
  <si>
    <t>Unifi Inc. New Common Stock</t>
  </si>
  <si>
    <t>Textiles</t>
  </si>
  <si>
    <t>UFI US Equity</t>
  </si>
  <si>
    <t>NB_2778</t>
  </si>
  <si>
    <t>UFPI</t>
  </si>
  <si>
    <t>UFP Industries Inc. Common Stock</t>
  </si>
  <si>
    <t>Basic Materials</t>
  </si>
  <si>
    <t>Forest Products</t>
  </si>
  <si>
    <t>UFPI US Equity</t>
  </si>
  <si>
    <t>NB_2779</t>
  </si>
  <si>
    <t>UFPT</t>
  </si>
  <si>
    <t>UFP Technologies Inc. Common Stock</t>
  </si>
  <si>
    <t>Medical/Dental Instruments</t>
  </si>
  <si>
    <t>UFPT US Equity</t>
  </si>
  <si>
    <t>NB_2780</t>
  </si>
  <si>
    <t>UG</t>
  </si>
  <si>
    <t>United-Guardian Inc. Common Stock</t>
  </si>
  <si>
    <t>Package Goods/Cosmetics</t>
  </si>
  <si>
    <t>UG US Equity</t>
  </si>
  <si>
    <t>NB_2781</t>
  </si>
  <si>
    <t>UGI</t>
  </si>
  <si>
    <t>UGI Corporation Common Stock</t>
  </si>
  <si>
    <t>Natural Gas Distribution</t>
  </si>
  <si>
    <t>UGI US Equity</t>
  </si>
  <si>
    <t>NB_2782</t>
  </si>
  <si>
    <t>UHAL</t>
  </si>
  <si>
    <t>U-Haul Holding Company Common Stock</t>
  </si>
  <si>
    <t>Rental/Leasing Companies</t>
  </si>
  <si>
    <t>UHAL US Equity</t>
  </si>
  <si>
    <t>NB_2783</t>
  </si>
  <si>
    <t>UHS</t>
  </si>
  <si>
    <t>Universal Health Services Inc. Common Stock</t>
  </si>
  <si>
    <t>Hospital/Nursing Management</t>
  </si>
  <si>
    <t>UHS US Equity</t>
  </si>
  <si>
    <t>NB_2784</t>
  </si>
  <si>
    <t>UI</t>
  </si>
  <si>
    <t>Ubiquiti Inc. Common Stock</t>
  </si>
  <si>
    <t>Radio And Television Broadcasting And Communications Equipment</t>
  </si>
  <si>
    <t>UI US Equity</t>
  </si>
  <si>
    <t>NB_2785</t>
  </si>
  <si>
    <t>UIS</t>
  </si>
  <si>
    <t>Unisys Corporation New Common Stock</t>
  </si>
  <si>
    <t>EDP Services</t>
  </si>
  <si>
    <t>UIS US Equity</t>
  </si>
  <si>
    <t>NB_2786</t>
  </si>
  <si>
    <t>UK</t>
  </si>
  <si>
    <t>Ucommune International Ltd Class A Ordinary Shares</t>
  </si>
  <si>
    <t>UK US Equity</t>
  </si>
  <si>
    <t>NB_2787</t>
  </si>
  <si>
    <t>ULCC</t>
  </si>
  <si>
    <t>Frontier Group Holdings Inc. Common Stock</t>
  </si>
  <si>
    <t>ULCC US Equity</t>
  </si>
  <si>
    <t>NB_2788</t>
  </si>
  <si>
    <t>ULH</t>
  </si>
  <si>
    <t>Universal Logistics Holdings Inc. Common Stock</t>
  </si>
  <si>
    <t>Trucking Freight/Courier Services</t>
  </si>
  <si>
    <t>ULH US Equity</t>
  </si>
  <si>
    <t>NB_2789</t>
  </si>
  <si>
    <t>ULS</t>
  </si>
  <si>
    <t>UL Solutions Inc. Class A Common Stock</t>
  </si>
  <si>
    <t>Precision Instruments</t>
  </si>
  <si>
    <t>ULS US Equity</t>
  </si>
  <si>
    <t>NB_2790</t>
  </si>
  <si>
    <t>ULTA</t>
  </si>
  <si>
    <t>Ulta Beauty Inc. Common Stock</t>
  </si>
  <si>
    <t>Other Specialty Stores</t>
  </si>
  <si>
    <t>ULTA US Equity</t>
  </si>
  <si>
    <t>NB_2791</t>
  </si>
  <si>
    <t>UMAC</t>
  </si>
  <si>
    <t>Unusual Machines Inc. Common Stock</t>
  </si>
  <si>
    <t>UMAC US Equity</t>
  </si>
  <si>
    <t>NB_2792</t>
  </si>
  <si>
    <t>UNCY</t>
  </si>
  <si>
    <t>Unicycive Therapeutics Inc. Common Stock</t>
  </si>
  <si>
    <t>UNCY US Equity</t>
  </si>
  <si>
    <t>NB_2793</t>
  </si>
  <si>
    <t>UNF</t>
  </si>
  <si>
    <t>Unifirst Corporation Common Stock</t>
  </si>
  <si>
    <t>Other Consumer Services</t>
  </si>
  <si>
    <t>UNF US Equity</t>
  </si>
  <si>
    <t>NB_2794</t>
  </si>
  <si>
    <t>UNFI</t>
  </si>
  <si>
    <t>United Natural Foods Inc. Common Stock</t>
  </si>
  <si>
    <t>Food Distributors</t>
  </si>
  <si>
    <t>UNFI US Equity</t>
  </si>
  <si>
    <t>NB_2795</t>
  </si>
  <si>
    <t>UNH</t>
  </si>
  <si>
    <t>UnitedHealth Group Incorporated Common Stock (DE)</t>
  </si>
  <si>
    <t>Medical Specialities</t>
  </si>
  <si>
    <t>UNH US Equity</t>
  </si>
  <si>
    <t>NB_2796</t>
  </si>
  <si>
    <t>UNP</t>
  </si>
  <si>
    <t>Union Pacific Corporation Common Stock</t>
  </si>
  <si>
    <t>Railroads</t>
  </si>
  <si>
    <t>UNP US Equity</t>
  </si>
  <si>
    <t>NB_2797</t>
  </si>
  <si>
    <t>UONE</t>
  </si>
  <si>
    <t>Urban One Inc. Class A Common Stock</t>
  </si>
  <si>
    <t>Broadcasting</t>
  </si>
  <si>
    <t>UONE US Equity</t>
  </si>
  <si>
    <t>NB_2798</t>
  </si>
  <si>
    <t>UONEK</t>
  </si>
  <si>
    <t>Urban One Inc. Class D Common Stock</t>
  </si>
  <si>
    <t>UONEK US Equity</t>
  </si>
  <si>
    <t>NB_2799</t>
  </si>
  <si>
    <t>UPB</t>
  </si>
  <si>
    <t>Upstream Bio Inc. Common Stock</t>
  </si>
  <si>
    <t>UPB US Equity</t>
  </si>
  <si>
    <t>NB_2800</t>
  </si>
  <si>
    <t>UPBD</t>
  </si>
  <si>
    <t>Upbound Group Inc. Common Stock</t>
  </si>
  <si>
    <t>Diversified Commercial Services</t>
  </si>
  <si>
    <t>UPBD US Equity</t>
  </si>
  <si>
    <t>NB_2801</t>
  </si>
  <si>
    <t>UPLD</t>
  </si>
  <si>
    <t>Upland Software Inc. Common Stock</t>
  </si>
  <si>
    <t>UPLD US Equity</t>
  </si>
  <si>
    <t>NB_2802</t>
  </si>
  <si>
    <t>UPS</t>
  </si>
  <si>
    <t>United Parcel Service Inc. Common Stock</t>
  </si>
  <si>
    <t>UPS US Equity</t>
  </si>
  <si>
    <t>NB_2803</t>
  </si>
  <si>
    <t>UPWK</t>
  </si>
  <si>
    <t>Upwork Inc. Common Stock</t>
  </si>
  <si>
    <t>UPWK US Equity</t>
  </si>
  <si>
    <t>NB_2804</t>
  </si>
  <si>
    <t>URBN</t>
  </si>
  <si>
    <t>Urban Outfitters Inc. Common Stock</t>
  </si>
  <si>
    <t>Clothing/Shoe/Accessory Stores</t>
  </si>
  <si>
    <t>URBN US Equity</t>
  </si>
  <si>
    <t>NB_2805</t>
  </si>
  <si>
    <t>URI</t>
  </si>
  <si>
    <t>United Rentals Inc. Common Stock</t>
  </si>
  <si>
    <t>URI US Equity</t>
  </si>
  <si>
    <t>NB_2806</t>
  </si>
  <si>
    <t>USAC</t>
  </si>
  <si>
    <t>USA Compression Partners LP Common Units Representing Limited Partner Interests</t>
  </si>
  <si>
    <t>USAC US Equity</t>
  </si>
  <si>
    <t>NB_2807</t>
  </si>
  <si>
    <t>USAR</t>
  </si>
  <si>
    <t>USA Rare Earth Inc. Class A Common Stock</t>
  </si>
  <si>
    <t>Metal Mining</t>
  </si>
  <si>
    <t>USAR US Equity</t>
  </si>
  <si>
    <t>NB_2808</t>
  </si>
  <si>
    <t>USAU</t>
  </si>
  <si>
    <t>U.S. Gold Corp. Common Stock</t>
  </si>
  <si>
    <t>USAU US Equity</t>
  </si>
  <si>
    <t>NB_2809</t>
  </si>
  <si>
    <t>USFD</t>
  </si>
  <si>
    <t>US Foods Holding Corp. Common Stock</t>
  </si>
  <si>
    <t>USFD US Equity</t>
  </si>
  <si>
    <t>NB_2810</t>
  </si>
  <si>
    <t>USGO</t>
  </si>
  <si>
    <t>U.S. GoldMining Inc. Common stock</t>
  </si>
  <si>
    <t>Precious Metals</t>
  </si>
  <si>
    <t>USGO US Equity</t>
  </si>
  <si>
    <t>NB_2811</t>
  </si>
  <si>
    <t>USLM</t>
  </si>
  <si>
    <t>United States Lime &amp; Minerals Inc. Common Stock</t>
  </si>
  <si>
    <t>USLM US Equity</t>
  </si>
  <si>
    <t>NB_2812</t>
  </si>
  <si>
    <t>USNA</t>
  </si>
  <si>
    <t>USANA Health Sciences Inc. Common Stock</t>
  </si>
  <si>
    <t>Medicinal Chemicals and Botanical Products</t>
  </si>
  <si>
    <t>USNA US Equity</t>
  </si>
  <si>
    <t>NB_2813</t>
  </si>
  <si>
    <t>USPH</t>
  </si>
  <si>
    <t>U.S. Physical Therapy Inc. Common Stock</t>
  </si>
  <si>
    <t>Medical/Nursing Services</t>
  </si>
  <si>
    <t>USPH US Equity</t>
  </si>
  <si>
    <t>NB_2814</t>
  </si>
  <si>
    <t>UTHR</t>
  </si>
  <si>
    <t>United Therapeutics Corporation Common Stock</t>
  </si>
  <si>
    <t>UTHR US Equity</t>
  </si>
  <si>
    <t>NB_2815</t>
  </si>
  <si>
    <t>UTL</t>
  </si>
  <si>
    <t>UNITIL Corporation Common Stock</t>
  </si>
  <si>
    <t>Power Generation</t>
  </si>
  <si>
    <t>UTL US Equity</t>
  </si>
  <si>
    <t>NB_2816</t>
  </si>
  <si>
    <t>UTMD</t>
  </si>
  <si>
    <t>Utah Medical Products Inc. Common Stock</t>
  </si>
  <si>
    <t>UTMD US Equity</t>
  </si>
  <si>
    <t>NB_2817</t>
  </si>
  <si>
    <t>UTZ</t>
  </si>
  <si>
    <t>Utz Brands Inc Class A Common Stock</t>
  </si>
  <si>
    <t>Packaged Foods</t>
  </si>
  <si>
    <t>UTZ US Equity</t>
  </si>
  <si>
    <t>NB_2818</t>
  </si>
  <si>
    <t>UUU</t>
  </si>
  <si>
    <t>Universal Safety Products Inc. Common Stock</t>
  </si>
  <si>
    <t>Electronic Components</t>
  </si>
  <si>
    <t>UUU US Equity</t>
  </si>
  <si>
    <t>NB_2819</t>
  </si>
  <si>
    <t>UVV</t>
  </si>
  <si>
    <t>Universal Corporation Common Stock</t>
  </si>
  <si>
    <t>UVV US Equity</t>
  </si>
  <si>
    <t>NB_2820</t>
  </si>
  <si>
    <t>UZD</t>
  </si>
  <si>
    <t>Array Digital Infrastructure Inc. 6.250% Senior Notes due 2069</t>
  </si>
  <si>
    <t>UZD US Equity</t>
  </si>
  <si>
    <t>NB_2821</t>
  </si>
  <si>
    <t>UZE</t>
  </si>
  <si>
    <t>Array Digital Infrastructure Inc. 5.500% Senior Notes due 2070</t>
  </si>
  <si>
    <t>UZE US Equity</t>
  </si>
  <si>
    <t>NB_2822</t>
  </si>
  <si>
    <t>UZF</t>
  </si>
  <si>
    <t>UZF US Equity</t>
  </si>
  <si>
    <t>NB_2823</t>
  </si>
  <si>
    <t>V</t>
  </si>
  <si>
    <t>Visa Inc.</t>
  </si>
  <si>
    <t>V US Equity</t>
  </si>
  <si>
    <t>NB_2824</t>
  </si>
  <si>
    <t>VAL</t>
  </si>
  <si>
    <t>Valaris Limited Common Shares</t>
  </si>
  <si>
    <t>VAL US Equity</t>
  </si>
  <si>
    <t>NB_2825</t>
  </si>
  <si>
    <t>VANI</t>
  </si>
  <si>
    <t>Vivani Medical Inc. Common Stock (DE)</t>
  </si>
  <si>
    <t>Biotechnology: Electromedical &amp; Electrotherapeutic Apparatus</t>
  </si>
  <si>
    <t>VANI US Equity</t>
  </si>
  <si>
    <t>NB_2826</t>
  </si>
  <si>
    <t>VATE</t>
  </si>
  <si>
    <t>INNOVATE Corp. Common Stock</t>
  </si>
  <si>
    <t>VATE US Equity</t>
  </si>
  <si>
    <t>NB_2827</t>
  </si>
  <si>
    <t>VBIO</t>
  </si>
  <si>
    <t>Valion Bio Inc. Common Stock</t>
  </si>
  <si>
    <t>VBIO US Equity</t>
  </si>
  <si>
    <t>NB_2828</t>
  </si>
  <si>
    <t>VC</t>
  </si>
  <si>
    <t>Visteon Corporation Common Stock</t>
  </si>
  <si>
    <t>Auto Parts:O.E.M.</t>
  </si>
  <si>
    <t>VC US Equity</t>
  </si>
  <si>
    <t>NB_2829</t>
  </si>
  <si>
    <t>VCEL</t>
  </si>
  <si>
    <t>Vericel Corporation Common Stock</t>
  </si>
  <si>
    <t>VCEL US Equity</t>
  </si>
  <si>
    <t>NB_2830</t>
  </si>
  <si>
    <t>VCYT</t>
  </si>
  <si>
    <t>Veracyte Inc. Common Stock</t>
  </si>
  <si>
    <t>VCYT US Equity</t>
  </si>
  <si>
    <t>NB_2831</t>
  </si>
  <si>
    <t>VECO</t>
  </si>
  <si>
    <t>Veeco Instruments Inc. Common Stock</t>
  </si>
  <si>
    <t>VECO US Equity</t>
  </si>
  <si>
    <t>NB_2832</t>
  </si>
  <si>
    <t>VEEA</t>
  </si>
  <si>
    <t>Veea Inc. Common Stock</t>
  </si>
  <si>
    <t>VEEA US Equity</t>
  </si>
  <si>
    <t>NB_2833</t>
  </si>
  <si>
    <t>VEEAW</t>
  </si>
  <si>
    <t>Veea Inc. Warrant</t>
  </si>
  <si>
    <t>VEEAW US Equity</t>
  </si>
  <si>
    <t>NB_2834</t>
  </si>
  <si>
    <t>VEEE</t>
  </si>
  <si>
    <t>Twin Vee PowerCats Co. Common Stock</t>
  </si>
  <si>
    <t>Marine Transportation</t>
  </si>
  <si>
    <t>VEEE US Equity</t>
  </si>
  <si>
    <t>NB_2835</t>
  </si>
  <si>
    <t>VEEV</t>
  </si>
  <si>
    <t>Veeva Systems Inc. Class A Common Stock</t>
  </si>
  <si>
    <t>VEEV US Equity</t>
  </si>
  <si>
    <t>NB_2836</t>
  </si>
  <si>
    <t>VELO</t>
  </si>
  <si>
    <t>Velo3D Inc. Common stock</t>
  </si>
  <si>
    <t>VELO US Equity</t>
  </si>
  <si>
    <t>NB_2837</t>
  </si>
  <si>
    <t>VENU</t>
  </si>
  <si>
    <t>Venu Holding Corporation Common Stock</t>
  </si>
  <si>
    <t>Services-Misc. Amusement &amp; Recreation</t>
  </si>
  <si>
    <t>VENU US Equity</t>
  </si>
  <si>
    <t>NB_2838</t>
  </si>
  <si>
    <t>VERA</t>
  </si>
  <si>
    <t>Vera Therapeutics Inc. Class A Common Stock</t>
  </si>
  <si>
    <t>VERA US Equity</t>
  </si>
  <si>
    <t>NB_2839</t>
  </si>
  <si>
    <t>VERI</t>
  </si>
  <si>
    <t>Veritone Inc. Common Stock</t>
  </si>
  <si>
    <t>VERI US Equity</t>
  </si>
  <si>
    <t>NB_2840</t>
  </si>
  <si>
    <t>VERU</t>
  </si>
  <si>
    <t>Veru Inc. Common Stock</t>
  </si>
  <si>
    <t>VERU US Equity</t>
  </si>
  <si>
    <t>NB_2841</t>
  </si>
  <si>
    <t>VERX</t>
  </si>
  <si>
    <t>Vertex Inc. Class A Common Stock</t>
  </si>
  <si>
    <t>VERX US Equity</t>
  </si>
  <si>
    <t>NB_2842</t>
  </si>
  <si>
    <t>VFC</t>
  </si>
  <si>
    <t>V.F. Corporation Common Stock</t>
  </si>
  <si>
    <t>Garments and Clothing</t>
  </si>
  <si>
    <t>VFC US Equity</t>
  </si>
  <si>
    <t>NB_2843</t>
  </si>
  <si>
    <t>VG</t>
  </si>
  <si>
    <t>Venture Global Inc. Class A common stock</t>
  </si>
  <si>
    <t>Oil/Gas Transmission</t>
  </si>
  <si>
    <t>VG US Equity</t>
  </si>
  <si>
    <t>NB_2844</t>
  </si>
  <si>
    <t>VGAS</t>
  </si>
  <si>
    <t>Verde Clean Fuels Inc. Class A Common Stock</t>
  </si>
  <si>
    <t>Major Chemicals</t>
  </si>
  <si>
    <t>VGAS US Equity</t>
  </si>
  <si>
    <t>NB_2845</t>
  </si>
  <si>
    <t>VGASW</t>
  </si>
  <si>
    <t>Verde Clean Fuels Inc. Warrant</t>
  </si>
  <si>
    <t>VGASW US Equity</t>
  </si>
  <si>
    <t>NB_2846</t>
  </si>
  <si>
    <t>VGZ</t>
  </si>
  <si>
    <t>Vista Gold Corp Common Stock</t>
  </si>
  <si>
    <t>VGZ US Equity</t>
  </si>
  <si>
    <t>NB_2847</t>
  </si>
  <si>
    <t>VHI</t>
  </si>
  <si>
    <t>Valhi Inc. Common Stock</t>
  </si>
  <si>
    <t>VHI US Equity</t>
  </si>
  <si>
    <t>NB_2848</t>
  </si>
  <si>
    <t>VHUB</t>
  </si>
  <si>
    <t>VenHub Global Inc. Common Stock</t>
  </si>
  <si>
    <t>VHUB US Equity</t>
  </si>
  <si>
    <t>NB_2849</t>
  </si>
  <si>
    <t>VIA</t>
  </si>
  <si>
    <t>Via Transportation Inc. Class A Common Stock</t>
  </si>
  <si>
    <t>VIA US Equity</t>
  </si>
  <si>
    <t>NB_2850</t>
  </si>
  <si>
    <t>VIAV</t>
  </si>
  <si>
    <t>Viavi Solutions Inc. Common Stock</t>
  </si>
  <si>
    <t>VIAV US Equity</t>
  </si>
  <si>
    <t>NB_2851</t>
  </si>
  <si>
    <t>VICR</t>
  </si>
  <si>
    <t>Vicor Corporation Common Stock</t>
  </si>
  <si>
    <t>VICR US Equity</t>
  </si>
  <si>
    <t>NB_2852</t>
  </si>
  <si>
    <t>VIK</t>
  </si>
  <si>
    <t>Viking Holdings Ltd Ordinary Shares</t>
  </si>
  <si>
    <t>VIK US Equity</t>
  </si>
  <si>
    <t>NB_2853</t>
  </si>
  <si>
    <t>VIR</t>
  </si>
  <si>
    <t>Vir Biotechnology Inc. Common Stock</t>
  </si>
  <si>
    <t>VIR US Equity</t>
  </si>
  <si>
    <t>NB_2854</t>
  </si>
  <si>
    <t>VIRC</t>
  </si>
  <si>
    <t>Virco Manufacturing Corporation Common Stock</t>
  </si>
  <si>
    <t>Industrial Specialties</t>
  </si>
  <si>
    <t>VIRC US Equity</t>
  </si>
  <si>
    <t>NB_2855</t>
  </si>
  <si>
    <t>VISN</t>
  </si>
  <si>
    <t>Vistance Networks Inc. Common Stock</t>
  </si>
  <si>
    <t>VISN US Equity</t>
  </si>
  <si>
    <t>NB_2856</t>
  </si>
  <si>
    <t>VITL</t>
  </si>
  <si>
    <t>Vital Farms Inc. Common Stock</t>
  </si>
  <si>
    <t>VITL US Equity</t>
  </si>
  <si>
    <t>NB_2857</t>
  </si>
  <si>
    <t>VIVK</t>
  </si>
  <si>
    <t>Vivakor Inc. Common Stock</t>
  </si>
  <si>
    <t>Environmental Services</t>
  </si>
  <si>
    <t>VIVK US Equity</t>
  </si>
  <si>
    <t>NB_2858</t>
  </si>
  <si>
    <t>VIVS</t>
  </si>
  <si>
    <t>VivoSim Labs Inc. Common Stock</t>
  </si>
  <si>
    <t>VIVS US Equity</t>
  </si>
  <si>
    <t>NB_2859</t>
  </si>
  <si>
    <t>VKTX</t>
  </si>
  <si>
    <t>Viking Therapeutics Inc. Common Stock</t>
  </si>
  <si>
    <t>VKTX US Equity</t>
  </si>
  <si>
    <t>NB_2860</t>
  </si>
  <si>
    <t>VLGEA</t>
  </si>
  <si>
    <t>Village Super Market Inc. Class A Common Stock</t>
  </si>
  <si>
    <t>Food Chains</t>
  </si>
  <si>
    <t>VLGEA US Equity</t>
  </si>
  <si>
    <t>NB_2861</t>
  </si>
  <si>
    <t>VLO</t>
  </si>
  <si>
    <t>Valero Energy Corporation Common Stock</t>
  </si>
  <si>
    <t>Integrated oil Companies</t>
  </si>
  <si>
    <t>VLO US Equity</t>
  </si>
  <si>
    <t>NB_2862</t>
  </si>
  <si>
    <t>VLTO</t>
  </si>
  <si>
    <t>Veralto Corp Common Stock</t>
  </si>
  <si>
    <t>VLTO US Equity</t>
  </si>
  <si>
    <t>NB_2863</t>
  </si>
  <si>
    <t>VMC</t>
  </si>
  <si>
    <t>Vulcan Materials Company (Holding Company) Common Stock</t>
  </si>
  <si>
    <t>VMC US Equity</t>
  </si>
  <si>
    <t>NB_2864</t>
  </si>
  <si>
    <t>VMD</t>
  </si>
  <si>
    <t>Viemed Healthcare Inc. Common Shares</t>
  </si>
  <si>
    <t>Misc Health and Biotechnology Services</t>
  </si>
  <si>
    <t>VMD US Equity</t>
  </si>
  <si>
    <t>NB_2865</t>
  </si>
  <si>
    <t>VMI</t>
  </si>
  <si>
    <t>Valmont Industries Inc. Common Stock</t>
  </si>
  <si>
    <t>VMI US Equity</t>
  </si>
  <si>
    <t>NB_2866</t>
  </si>
  <si>
    <t>VNCE</t>
  </si>
  <si>
    <t>Vince Holding Corp. Common Stock</t>
  </si>
  <si>
    <t>VNCE US Equity</t>
  </si>
  <si>
    <t>NB_2867</t>
  </si>
  <si>
    <t>VNDA</t>
  </si>
  <si>
    <t>Vanda Pharmaceuticals Inc. Common Stock</t>
  </si>
  <si>
    <t>VNDA US Equity</t>
  </si>
  <si>
    <t>NB_2868</t>
  </si>
  <si>
    <t>VNOM</t>
  </si>
  <si>
    <t>Viper Energy Inc. Class A Common Stock</t>
  </si>
  <si>
    <t>VNOM US Equity</t>
  </si>
  <si>
    <t>NB_2869</t>
  </si>
  <si>
    <t>VNT</t>
  </si>
  <si>
    <t>Vontier Corporation Common Stock</t>
  </si>
  <si>
    <t>VNT US Equity</t>
  </si>
  <si>
    <t>NB_2870</t>
  </si>
  <si>
    <t>VOC</t>
  </si>
  <si>
    <t>VOC Energy Trust Units of Beneficial Interest</t>
  </si>
  <si>
    <t>VOC US Equity</t>
  </si>
  <si>
    <t>NB_2871</t>
  </si>
  <si>
    <t>VOGX</t>
  </si>
  <si>
    <t>Vogenx Inc Common Stock</t>
  </si>
  <si>
    <t>VOGX US Equity</t>
  </si>
  <si>
    <t>NB_2872</t>
  </si>
  <si>
    <t>VOR</t>
  </si>
  <si>
    <t>Vor Biopharma Inc. Common Stock</t>
  </si>
  <si>
    <t>VOR US Equity</t>
  </si>
  <si>
    <t>NB_2873</t>
  </si>
  <si>
    <t>VOYG</t>
  </si>
  <si>
    <t>Voyager Technologies Inc. Class A Common Stock</t>
  </si>
  <si>
    <t>VOYG US Equity</t>
  </si>
  <si>
    <t>NB_2874</t>
  </si>
  <si>
    <t>VPG</t>
  </si>
  <si>
    <t>Vishay Precision Group Inc. Common Stock</t>
  </si>
  <si>
    <t>VPG US Equity</t>
  </si>
  <si>
    <t>NB_2875</t>
  </si>
  <si>
    <t>VRA</t>
  </si>
  <si>
    <t>Vera Bradley Inc. Common Stock</t>
  </si>
  <si>
    <t>VRA US Equity</t>
  </si>
  <si>
    <t>NB_2876</t>
  </si>
  <si>
    <t>VRCA</t>
  </si>
  <si>
    <t>Verrica Pharmaceuticals Inc. Common Stock</t>
  </si>
  <si>
    <t>VRCA US Equity</t>
  </si>
  <si>
    <t>NB_2877</t>
  </si>
  <si>
    <t>VRDN</t>
  </si>
  <si>
    <t>Viridian Therapeutics Inc. Common Stock</t>
  </si>
  <si>
    <t>VRDN US Equity</t>
  </si>
  <si>
    <t>NB_2878</t>
  </si>
  <si>
    <t>VREX</t>
  </si>
  <si>
    <t>Varex Imaging Corporation Common Stock</t>
  </si>
  <si>
    <t>VREX US Equity</t>
  </si>
  <si>
    <t>NB_2879</t>
  </si>
  <si>
    <t>VRM</t>
  </si>
  <si>
    <t>Vroom Inc. Common Stock</t>
  </si>
  <si>
    <t>Retail-Auto Dealers and Gas Stations</t>
  </si>
  <si>
    <t>VRM US Equity</t>
  </si>
  <si>
    <t>NB_2880</t>
  </si>
  <si>
    <t>VRME</t>
  </si>
  <si>
    <t>VerifyMe Inc. Common Stock</t>
  </si>
  <si>
    <t>VRME US Equity</t>
  </si>
  <si>
    <t>NB_2881</t>
  </si>
  <si>
    <t>VRNS</t>
  </si>
  <si>
    <t>Varonis Systems Inc. Common Stock</t>
  </si>
  <si>
    <t>VRNS US Equity</t>
  </si>
  <si>
    <t>NB_2882</t>
  </si>
  <si>
    <t>VRRM</t>
  </si>
  <si>
    <t>Verra Mobility Corporation Class A Common Stock</t>
  </si>
  <si>
    <t>Transportation Services</t>
  </si>
  <si>
    <t>VRRM US Equity</t>
  </si>
  <si>
    <t>NB_2883</t>
  </si>
  <si>
    <t>VRSK</t>
  </si>
  <si>
    <t>Verisk Analytics Inc. Common Stock</t>
  </si>
  <si>
    <t>VRSK US Equity</t>
  </si>
  <si>
    <t>NB_2884</t>
  </si>
  <si>
    <t>VRSN</t>
  </si>
  <si>
    <t>VeriSign Inc. Common Stock</t>
  </si>
  <si>
    <t>VRSN US Equity</t>
  </si>
  <si>
    <t>NB_2885</t>
  </si>
  <si>
    <t>VRT</t>
  </si>
  <si>
    <t>Vertiv Holdings LLC Class A Common Stock</t>
  </si>
  <si>
    <t>VRT US Equity</t>
  </si>
  <si>
    <t>NB_2886</t>
  </si>
  <si>
    <t>VRTX</t>
  </si>
  <si>
    <t>Vertex Pharmaceuticals Incorporated Common Stock</t>
  </si>
  <si>
    <t>VRTX US Equity</t>
  </si>
  <si>
    <t>NB_2887</t>
  </si>
  <si>
    <t>VSAT</t>
  </si>
  <si>
    <t>ViaSat Inc. Common Stock</t>
  </si>
  <si>
    <t>VSAT US Equity</t>
  </si>
  <si>
    <t>NB_2888</t>
  </si>
  <si>
    <t>VSEC</t>
  </si>
  <si>
    <t>VSE Corporation Common Stock</t>
  </si>
  <si>
    <t>VSEC US Equity</t>
  </si>
  <si>
    <t>NB_2889</t>
  </si>
  <si>
    <t>VSH</t>
  </si>
  <si>
    <t>Vishay Intertechnology Inc. Common Stock</t>
  </si>
  <si>
    <t>VSH US Equity</t>
  </si>
  <si>
    <t>NB_2890</t>
  </si>
  <si>
    <t>VSNT</t>
  </si>
  <si>
    <t>Versant Media Group Inc. Class A Common Stock</t>
  </si>
  <si>
    <t>VSNT US Equity</t>
  </si>
  <si>
    <t>NB_2891</t>
  </si>
  <si>
    <t>VST</t>
  </si>
  <si>
    <t>Vistra Corp. Common Stock</t>
  </si>
  <si>
    <t>VST US Equity</t>
  </si>
  <si>
    <t>NB_2892</t>
  </si>
  <si>
    <t>VSTM</t>
  </si>
  <si>
    <t>Verastem Inc. Common Stock</t>
  </si>
  <si>
    <t>VSTM US Equity</t>
  </si>
  <si>
    <t>NB_2893</t>
  </si>
  <si>
    <t>VSTS</t>
  </si>
  <si>
    <t>Vestis Corporation Common Stock</t>
  </si>
  <si>
    <t>Consumer Specialties</t>
  </si>
  <si>
    <t>VSTS US Equity</t>
  </si>
  <si>
    <t>NB_2894</t>
  </si>
  <si>
    <t>VSXY</t>
  </si>
  <si>
    <t>Victorias Secret &amp; Co. Common Stock</t>
  </si>
  <si>
    <t>VSXY US Equity</t>
  </si>
  <si>
    <t>NB_2895</t>
  </si>
  <si>
    <t>VTGN</t>
  </si>
  <si>
    <t>Vistagen Therapeutics Inc. Common Stock</t>
  </si>
  <si>
    <t>VTGN US Equity</t>
  </si>
  <si>
    <t>NB_2896</t>
  </si>
  <si>
    <t>VTIX</t>
  </si>
  <si>
    <t>Virtuix Holdings Inc. Class A Common Stock</t>
  </si>
  <si>
    <t>Computer peripheral equipment</t>
  </si>
  <si>
    <t>VTIX US Equity</t>
  </si>
  <si>
    <t>NB_2897</t>
  </si>
  <si>
    <t>VTOL</t>
  </si>
  <si>
    <t>Bristow Group Inc. Common Stock</t>
  </si>
  <si>
    <t>VTOL US Equity</t>
  </si>
  <si>
    <t>NB_2898</t>
  </si>
  <si>
    <t>VTRS</t>
  </si>
  <si>
    <t>Viatris Inc. Common Stock</t>
  </si>
  <si>
    <t>VTRS US Equity</t>
  </si>
  <si>
    <t>NB_2899</t>
  </si>
  <si>
    <t>VTS</t>
  </si>
  <si>
    <t>Vitesse Energy Inc. Common Stock</t>
  </si>
  <si>
    <t>VTS US Equity</t>
  </si>
  <si>
    <t>NB_2900</t>
  </si>
  <si>
    <t>VTSI</t>
  </si>
  <si>
    <t>VirTra Inc. Common Stock</t>
  </si>
  <si>
    <t>Miscellaneous manufacturing industries</t>
  </si>
  <si>
    <t>VTSI US Equity</t>
  </si>
  <si>
    <t>NB_2901</t>
  </si>
  <si>
    <t>VTVT</t>
  </si>
  <si>
    <t>vTv Therapeutics Inc. Class A Common Stock</t>
  </si>
  <si>
    <t>VTVT US Equity</t>
  </si>
  <si>
    <t>NB_2902</t>
  </si>
  <si>
    <t>VUZI</t>
  </si>
  <si>
    <t>Vuzix Corporation Common Stock</t>
  </si>
  <si>
    <t>VUZI US Equity</t>
  </si>
  <si>
    <t>NB_2903</t>
  </si>
  <si>
    <t>VVOS</t>
  </si>
  <si>
    <t>Vivos Therapeutics Inc. Common Stock</t>
  </si>
  <si>
    <t>VVOS US Equity</t>
  </si>
  <si>
    <t>NB_2904</t>
  </si>
  <si>
    <t>VVV</t>
  </si>
  <si>
    <t>Valvoline Inc. Common Stock</t>
  </si>
  <si>
    <t>VVV US Equity</t>
  </si>
  <si>
    <t>NB_2905</t>
  </si>
  <si>
    <t>VVX</t>
  </si>
  <si>
    <t>V2X Inc. Common Stock</t>
  </si>
  <si>
    <t>VVX US Equity</t>
  </si>
  <si>
    <t>NB_2906</t>
  </si>
  <si>
    <t>VWAV</t>
  </si>
  <si>
    <t>VisionWave Holdings Inc. Common Stock</t>
  </si>
  <si>
    <t>VWAV US Equity</t>
  </si>
  <si>
    <t>NB_2907</t>
  </si>
  <si>
    <t>VWAVW</t>
  </si>
  <si>
    <t>VisionWave Holdings Inc. Warrant</t>
  </si>
  <si>
    <t>VWAVW US Equity</t>
  </si>
  <si>
    <t>NB_2908</t>
  </si>
  <si>
    <t>VYGR</t>
  </si>
  <si>
    <t>Voyager Therapeutics Inc. Common Stock</t>
  </si>
  <si>
    <t>VYGR US Equity</t>
  </si>
  <si>
    <t>NB_2909</t>
  </si>
  <si>
    <t>VZ</t>
  </si>
  <si>
    <t>Verizon Communications Inc. Common Stock</t>
  </si>
  <si>
    <t>VZ US Equity</t>
  </si>
  <si>
    <t>NB_2910</t>
  </si>
  <si>
    <t>W</t>
  </si>
  <si>
    <t>Wayfair Inc. Class A Common Stock</t>
  </si>
  <si>
    <t>Catalog/Specialty Distribution</t>
  </si>
  <si>
    <t>W US Equity</t>
  </si>
  <si>
    <t>NB_2911</t>
  </si>
  <si>
    <t>WAB</t>
  </si>
  <si>
    <t>Westinghouse Air Brake Technologies Corporation Common Stock</t>
  </si>
  <si>
    <t>WAB US Equity</t>
  </si>
  <si>
    <t>NB_2912</t>
  </si>
  <si>
    <t>WALD</t>
  </si>
  <si>
    <t>Waldencast plc Class A Ordinary Share</t>
  </si>
  <si>
    <t>WALD US Equity</t>
  </si>
  <si>
    <t>NB_2913</t>
  </si>
  <si>
    <t>WALDW</t>
  </si>
  <si>
    <t>Waldencast plc Warrant</t>
  </si>
  <si>
    <t>WALDW US Equity</t>
  </si>
  <si>
    <t>NB_2914</t>
  </si>
  <si>
    <t>WAT</t>
  </si>
  <si>
    <t>Waters Corporation Common Stock</t>
  </si>
  <si>
    <t>WAT US Equity</t>
  </si>
  <si>
    <t>NB_2915</t>
  </si>
  <si>
    <t>WATT</t>
  </si>
  <si>
    <t>Energous Corporation Common Stock</t>
  </si>
  <si>
    <t>WATT US Equity</t>
  </si>
  <si>
    <t>NB_2916</t>
  </si>
  <si>
    <t>WAY</t>
  </si>
  <si>
    <t>Waystar Holding Corp. Common Stock</t>
  </si>
  <si>
    <t>WAY US Equity</t>
  </si>
  <si>
    <t>NB_2917</t>
  </si>
  <si>
    <t>WBD</t>
  </si>
  <si>
    <t>Warner Bros. Discovery Inc. Series A Common Stock</t>
  </si>
  <si>
    <t>Cable &amp; Other Pay Television Services</t>
  </si>
  <si>
    <t>WBD US Equity</t>
  </si>
  <si>
    <t>NB_2918</t>
  </si>
  <si>
    <t>WBTN</t>
  </si>
  <si>
    <t>WEBTOON Entertainment Inc. Common stock</t>
  </si>
  <si>
    <t>Publishing</t>
  </si>
  <si>
    <t>WBTN US Equity</t>
  </si>
  <si>
    <t>NB_2919</t>
  </si>
  <si>
    <t>WCC</t>
  </si>
  <si>
    <t>WESCO International Inc. Common Stock</t>
  </si>
  <si>
    <t>WCC US Equity</t>
  </si>
  <si>
    <t>NB_2920</t>
  </si>
  <si>
    <t>WDAY</t>
  </si>
  <si>
    <t>Workday Inc. Class A Common Stock</t>
  </si>
  <si>
    <t>WDAY US Equity</t>
  </si>
  <si>
    <t>NB_2921</t>
  </si>
  <si>
    <t>WDC</t>
  </si>
  <si>
    <t>Western Digital Corporation Common Stock</t>
  </si>
  <si>
    <t>WDC US Equity</t>
  </si>
  <si>
    <t>NB_2922</t>
  </si>
  <si>
    <t>WDFC</t>
  </si>
  <si>
    <t>WD-40 Company Common Stock</t>
  </si>
  <si>
    <t>WDFC US Equity</t>
  </si>
  <si>
    <t>NB_2923</t>
  </si>
  <si>
    <t>WEAV</t>
  </si>
  <si>
    <t>Weave Communications Inc. Common Stock</t>
  </si>
  <si>
    <t>WEAV US Equity</t>
  </si>
  <si>
    <t>NB_2924</t>
  </si>
  <si>
    <t>WEC</t>
  </si>
  <si>
    <t>WEC Energy Group Inc. Common Stock</t>
  </si>
  <si>
    <t>WEC US Equity</t>
  </si>
  <si>
    <t>NB_2925</t>
  </si>
  <si>
    <t>WEN</t>
  </si>
  <si>
    <t>Wendy's Company (The) Common Stock</t>
  </si>
  <si>
    <t>WEN US Equity</t>
  </si>
  <si>
    <t>NB_2926</t>
  </si>
  <si>
    <t>WERN</t>
  </si>
  <si>
    <t>Werner Enterprises Inc. Common Stock</t>
  </si>
  <si>
    <t>WERN US Equity</t>
  </si>
  <si>
    <t>NB_2927</t>
  </si>
  <si>
    <t>WES</t>
  </si>
  <si>
    <t>Western Midstream Partners LP Common Units Representing Limited Partner Interests</t>
  </si>
  <si>
    <t>WES US Equity</t>
  </si>
  <si>
    <t>NB_2928</t>
  </si>
  <si>
    <t>WEST</t>
  </si>
  <si>
    <t>Westrock Coffee Company Common Stock</t>
  </si>
  <si>
    <t>Beverages (Production/Distribution)</t>
  </si>
  <si>
    <t>WEST US Equity</t>
  </si>
  <si>
    <t>NB_2929</t>
  </si>
  <si>
    <t>WEX</t>
  </si>
  <si>
    <t>WEX Inc. common stock</t>
  </si>
  <si>
    <t>WEX US Equity</t>
  </si>
  <si>
    <t>NB_2930</t>
  </si>
  <si>
    <t>WEYS</t>
  </si>
  <si>
    <t>Weyco Group Inc. Common Stock</t>
  </si>
  <si>
    <t>WEYS US Equity</t>
  </si>
  <si>
    <t>NB_2931</t>
  </si>
  <si>
    <t>WFCF</t>
  </si>
  <si>
    <t>Where Food Comes From Inc. Common Stock</t>
  </si>
  <si>
    <t>WFCF US Equity</t>
  </si>
  <si>
    <t>NB_2932</t>
  </si>
  <si>
    <t>WFRD</t>
  </si>
  <si>
    <t>Weatherford International plc Ordinary Shares</t>
  </si>
  <si>
    <t>Oil and Gas Field Machinery</t>
  </si>
  <si>
    <t>WFRD US Equity</t>
  </si>
  <si>
    <t>NB_2933</t>
  </si>
  <si>
    <t>WGO</t>
  </si>
  <si>
    <t>Winnebago Industries Inc. Common Stock</t>
  </si>
  <si>
    <t>Homebuilding</t>
  </si>
  <si>
    <t>WGO US Equity</t>
  </si>
  <si>
    <t>NB_2934</t>
  </si>
  <si>
    <t>WGS</t>
  </si>
  <si>
    <t>GeneDx Holdings Corp. Class A Common Stock</t>
  </si>
  <si>
    <t>WGS US Equity</t>
  </si>
  <si>
    <t>NB_2935</t>
  </si>
  <si>
    <t>WH</t>
  </si>
  <si>
    <t>Wyndham Hotels &amp; Resorts Inc. Common Stock</t>
  </si>
  <si>
    <t>Hotels/Resorts</t>
  </si>
  <si>
    <t>WH US Equity</t>
  </si>
  <si>
    <t>NB_2936</t>
  </si>
  <si>
    <t>WHD</t>
  </si>
  <si>
    <t>Cactus Inc. Class A Common Stock</t>
  </si>
  <si>
    <t>WHD US Equity</t>
  </si>
  <si>
    <t>NB_2937</t>
  </si>
  <si>
    <t>WHR</t>
  </si>
  <si>
    <t>Whirlpool Corporation Common Stock</t>
  </si>
  <si>
    <t>WHR US Equity</t>
  </si>
  <si>
    <t>NB_2938</t>
  </si>
  <si>
    <t>WHWK</t>
  </si>
  <si>
    <t>Whitehawk Therapeutics Inc. Common Stock</t>
  </si>
  <si>
    <t>WHWK US Equity</t>
  </si>
  <si>
    <t>NB_2939</t>
  </si>
  <si>
    <t>WINA</t>
  </si>
  <si>
    <t>Winmark Corporation Common Stock</t>
  </si>
  <si>
    <t>WINA US Equity</t>
  </si>
  <si>
    <t>NB_2940</t>
  </si>
  <si>
    <t>WING</t>
  </si>
  <si>
    <t>Wingstop Inc. Common Stock</t>
  </si>
  <si>
    <t>WING US Equity</t>
  </si>
  <si>
    <t>NB_2941</t>
  </si>
  <si>
    <t>WK</t>
  </si>
  <si>
    <t>Workiva Inc. Class A Common Stock</t>
  </si>
  <si>
    <t>WK US Equity</t>
  </si>
  <si>
    <t>NB_2942</t>
  </si>
  <si>
    <t>WKC</t>
  </si>
  <si>
    <t>World Kinect Corporation Common Stock</t>
  </si>
  <si>
    <t>Oil Refining/Marketing</t>
  </si>
  <si>
    <t>WKC US Equity</t>
  </si>
  <si>
    <t>NB_2943</t>
  </si>
  <si>
    <t>WKHS</t>
  </si>
  <si>
    <t>Workhorse Group Inc. Common Stock</t>
  </si>
  <si>
    <t>Auto Manufacturing</t>
  </si>
  <si>
    <t>WKHS US Equity</t>
  </si>
  <si>
    <t>NB_2944</t>
  </si>
  <si>
    <t>WLDN</t>
  </si>
  <si>
    <t>Willdan Group Inc. Common Stock</t>
  </si>
  <si>
    <t>WLDN US Equity</t>
  </si>
  <si>
    <t>NB_2945</t>
  </si>
  <si>
    <t>WLFC</t>
  </si>
  <si>
    <t>Willis Lease Finance Corporation Common Stock</t>
  </si>
  <si>
    <t>WLFC US Equity</t>
  </si>
  <si>
    <t>NB_2946</t>
  </si>
  <si>
    <t>WLK</t>
  </si>
  <si>
    <t>Westlake Corporation Common Stock</t>
  </si>
  <si>
    <t>WLK US Equity</t>
  </si>
  <si>
    <t>NB_2947</t>
  </si>
  <si>
    <t>WLKP</t>
  </si>
  <si>
    <t>Westlake Chemical Partners LP Common Units representing limited partner interests</t>
  </si>
  <si>
    <t>WLKP US Equity</t>
  </si>
  <si>
    <t>NB_2948</t>
  </si>
  <si>
    <t>WLY</t>
  </si>
  <si>
    <t>John Wiley &amp; Sons Inc. Common Stock</t>
  </si>
  <si>
    <t>Books</t>
  </si>
  <si>
    <t>WLY US Equity</t>
  </si>
  <si>
    <t>NB_2949</t>
  </si>
  <si>
    <t>WLYB</t>
  </si>
  <si>
    <t>WLYB US Equity</t>
  </si>
  <si>
    <t>NB_2950</t>
  </si>
  <si>
    <t>WM</t>
  </si>
  <si>
    <t>Waste Management Inc. Common Stock</t>
  </si>
  <si>
    <t>WM US Equity</t>
  </si>
  <si>
    <t>NB_2951</t>
  </si>
  <si>
    <t>WMB</t>
  </si>
  <si>
    <t>Williams Companies Inc. (The) Common Stock</t>
  </si>
  <si>
    <t>WMB US Equity</t>
  </si>
  <si>
    <t>NB_2952</t>
  </si>
  <si>
    <t>WMG</t>
  </si>
  <si>
    <t>Warner Music Group Corp. Class A Common Stock</t>
  </si>
  <si>
    <t>WMG US Equity</t>
  </si>
  <si>
    <t>NB_2953</t>
  </si>
  <si>
    <t>WMK</t>
  </si>
  <si>
    <t>Weis Markets Inc. Common Stock</t>
  </si>
  <si>
    <t>WMK US Equity</t>
  </si>
  <si>
    <t>NB_2954</t>
  </si>
  <si>
    <t>WMS</t>
  </si>
  <si>
    <t>Advanced Drainage Systems Inc. Common Stock</t>
  </si>
  <si>
    <t>Containers/Packaging</t>
  </si>
  <si>
    <t>WMS US Equity</t>
  </si>
  <si>
    <t>NB_2955</t>
  </si>
  <si>
    <t>WMT</t>
  </si>
  <si>
    <t>Walmart Inc. Common Stock</t>
  </si>
  <si>
    <t>Department/Specialty Retail Stores</t>
  </si>
  <si>
    <t>WMT US Equity</t>
  </si>
  <si>
    <t>NB_2956</t>
  </si>
  <si>
    <t>WNC</t>
  </si>
  <si>
    <t>Wabash National Corporation Common Stock</t>
  </si>
  <si>
    <t>Construction/Ag Equipment/Trucks</t>
  </si>
  <si>
    <t>WNC US Equity</t>
  </si>
  <si>
    <t>NB_2957</t>
  </si>
  <si>
    <t>WOLF</t>
  </si>
  <si>
    <t>Wolfspeed Inc. Common Stock New</t>
  </si>
  <si>
    <t>WOLF US Equity</t>
  </si>
  <si>
    <t>NB_2958</t>
  </si>
  <si>
    <t>WOOF</t>
  </si>
  <si>
    <t>Petco Health and Wellness Company Inc. Class A Common Stock</t>
  </si>
  <si>
    <t>WOOF US Equity</t>
  </si>
  <si>
    <t>NB_2959</t>
  </si>
  <si>
    <t>WOR</t>
  </si>
  <si>
    <t>Worthington Enterprises Inc. Common Shares</t>
  </si>
  <si>
    <t>WOR US Equity</t>
  </si>
  <si>
    <t>NB_2960</t>
  </si>
  <si>
    <t>WRAP</t>
  </si>
  <si>
    <t>Wrap Technologies Inc. Common Stock</t>
  </si>
  <si>
    <t>Ordnance And Accessories</t>
  </si>
  <si>
    <t>WRAP US Equity</t>
  </si>
  <si>
    <t>NB_2961</t>
  </si>
  <si>
    <t>WRBY</t>
  </si>
  <si>
    <t>Warby Parker Inc. Class A Common Stock</t>
  </si>
  <si>
    <t>Ophthalmic Goods</t>
  </si>
  <si>
    <t>WRBY US Equity</t>
  </si>
  <si>
    <t>NB_2962</t>
  </si>
  <si>
    <t>WS</t>
  </si>
  <si>
    <t>Worthington Steel Inc. Common Shares</t>
  </si>
  <si>
    <t>WS US Equity</t>
  </si>
  <si>
    <t>NB_2963</t>
  </si>
  <si>
    <t>WSC</t>
  </si>
  <si>
    <t>WillScot Holdings Corporation Class A Common Stock</t>
  </si>
  <si>
    <t>Misc Corporate Leasing Services</t>
  </si>
  <si>
    <t>WSC US Equity</t>
  </si>
  <si>
    <t>NB_2964</t>
  </si>
  <si>
    <t>WSM</t>
  </si>
  <si>
    <t>Williams-Sonoma Inc. Common Stock (DE)</t>
  </si>
  <si>
    <t>Home Furnishings</t>
  </si>
  <si>
    <t>WSM US Equity</t>
  </si>
  <si>
    <t>NB_2965</t>
  </si>
  <si>
    <t>WSO</t>
  </si>
  <si>
    <t>Watsco Inc. Common Stock</t>
  </si>
  <si>
    <t>WSO US Equity</t>
  </si>
  <si>
    <t>NB_2966</t>
  </si>
  <si>
    <t>WST</t>
  </si>
  <si>
    <t>West Pharmaceutical Services Inc. Common Stock</t>
  </si>
  <si>
    <t>WST US Equity</t>
  </si>
  <si>
    <t>NB_2967</t>
  </si>
  <si>
    <t>WTI</t>
  </si>
  <si>
    <t>W&amp;T Offshore Inc. Common Stock</t>
  </si>
  <si>
    <t>WTI US Equity</t>
  </si>
  <si>
    <t>NB_2968</t>
  </si>
  <si>
    <t>WTRG</t>
  </si>
  <si>
    <t>Essential Utilities Inc. Common Stock</t>
  </si>
  <si>
    <t>Water Supply</t>
  </si>
  <si>
    <t>WTRG US Equity</t>
  </si>
  <si>
    <t>NB_2969</t>
  </si>
  <si>
    <t>WTS</t>
  </si>
  <si>
    <t>Watts Water Technologies Inc. Class A Common Stock</t>
  </si>
  <si>
    <t>WTS US Equity</t>
  </si>
  <si>
    <t>NB_2970</t>
  </si>
  <si>
    <t>WTTR</t>
  </si>
  <si>
    <t>Select Water Solutions Inc. Class A common stock</t>
  </si>
  <si>
    <t>WTTR US Equity</t>
  </si>
  <si>
    <t>NB_2971</t>
  </si>
  <si>
    <t>WU</t>
  </si>
  <si>
    <t>Western Union Company (The) Common Stock</t>
  </si>
  <si>
    <t>WU US Equity</t>
  </si>
  <si>
    <t>NB_2972</t>
  </si>
  <si>
    <t>WVVI</t>
  </si>
  <si>
    <t>Willamette Valley Vineyards Inc. Common Stock</t>
  </si>
  <si>
    <t>WVVI US Equity</t>
  </si>
  <si>
    <t>NB_2973</t>
  </si>
  <si>
    <t>WVVIP</t>
  </si>
  <si>
    <t>Willamette Valley Vineyards Inc. Series A Redeemable Preferred Stock</t>
  </si>
  <si>
    <t>WVVIP US Equity</t>
  </si>
  <si>
    <t>NB_2974</t>
  </si>
  <si>
    <t>WW</t>
  </si>
  <si>
    <t>WW International Inc.  Common Stock</t>
  </si>
  <si>
    <t>WW US Equity</t>
  </si>
  <si>
    <t>NB_2975</t>
  </si>
  <si>
    <t>WWD</t>
  </si>
  <si>
    <t>Woodward Inc. Common Stock</t>
  </si>
  <si>
    <t>WWD US Equity</t>
  </si>
  <si>
    <t>NB_2976</t>
  </si>
  <si>
    <t>WWR</t>
  </si>
  <si>
    <t>Westwater Resources Inc. Common Stock</t>
  </si>
  <si>
    <t>WWR US Equity</t>
  </si>
  <si>
    <t>NB_2977</t>
  </si>
  <si>
    <t>WWW</t>
  </si>
  <si>
    <t>Wolverine World Wide Inc. Common Stock</t>
  </si>
  <si>
    <t>Shoe Manufacturing</t>
  </si>
  <si>
    <t>WWW US Equity</t>
  </si>
  <si>
    <t>NB_2978</t>
  </si>
  <si>
    <t>WYNN</t>
  </si>
  <si>
    <t>Wynn Resorts Limited Common stock</t>
  </si>
  <si>
    <t>WYNN US Equity</t>
  </si>
  <si>
    <t>NB_2979</t>
  </si>
  <si>
    <t>WYY</t>
  </si>
  <si>
    <t>WidePoint Corporation Common Stock</t>
  </si>
  <si>
    <t>WYY US Equity</t>
  </si>
  <si>
    <t>NB_2980</t>
  </si>
  <si>
    <t>XAIR</t>
  </si>
  <si>
    <t>Beyond Air Inc. Common Stock</t>
  </si>
  <si>
    <t>XAIR US Equity</t>
  </si>
  <si>
    <t>total_assets_Date</t>
  </si>
  <si>
    <t>total_assets_Value</t>
  </si>
  <si>
    <t>total_liabilities_Date</t>
  </si>
  <si>
    <t>total_liabilities_Value</t>
  </si>
  <si>
    <t>total_debt_Date</t>
  </si>
  <si>
    <t>total_debt_Value</t>
  </si>
  <si>
    <t>short_term_debt_Date</t>
  </si>
  <si>
    <t>short_term_debt_Value</t>
  </si>
  <si>
    <t>long_term_debt_Date</t>
  </si>
  <si>
    <t>long_term_debt_Value</t>
  </si>
  <si>
    <t>cash_short_term_investments_Date</t>
  </si>
  <si>
    <t>cash_short_term_investments_Value</t>
  </si>
  <si>
    <t>current_assets_Date</t>
  </si>
  <si>
    <t>current_assets_Value</t>
  </si>
  <si>
    <t>current_liabilities_Date</t>
  </si>
  <si>
    <t>current_liabilities_Value</t>
  </si>
  <si>
    <t>shareholders_equity_Date</t>
  </si>
  <si>
    <t>shareholders_equity_Value</t>
  </si>
  <si>
    <t>accounts_receivable_Date</t>
  </si>
  <si>
    <t>accounts_receivable_Value</t>
  </si>
  <si>
    <t>inventory_Date</t>
  </si>
  <si>
    <t>inventory_Value</t>
  </si>
  <si>
    <t>working_capital_Date</t>
  </si>
  <si>
    <t>working_capital_Value</t>
  </si>
  <si>
    <t>revenue_Date</t>
  </si>
  <si>
    <t>revenue_Value</t>
  </si>
  <si>
    <t>ebit_Date</t>
  </si>
  <si>
    <t>ebit_Value</t>
  </si>
  <si>
    <t>ebitda_Date</t>
  </si>
  <si>
    <t>ebitda_Value</t>
  </si>
  <si>
    <t>net_income_Date</t>
  </si>
  <si>
    <t>net_income_Value</t>
  </si>
  <si>
    <t>interest_expense_Date</t>
  </si>
  <si>
    <t>interest_expense_Value</t>
  </si>
  <si>
    <t>depreciation_amortization_Date</t>
  </si>
  <si>
    <t>depreciation_amortization_Value</t>
  </si>
  <si>
    <t>operating_cash_flow_Date</t>
  </si>
  <si>
    <t>operating_cash_flow_Value</t>
  </si>
  <si>
    <t>capital_expenditures_Date</t>
  </si>
  <si>
    <t>capital_expenditures_Value</t>
  </si>
  <si>
    <t>free_cash_flow_Date</t>
  </si>
  <si>
    <t>free_cash_flow_Value</t>
  </si>
  <si>
    <t>adjusted_price_Date</t>
  </si>
  <si>
    <t>adjusted_price_Value</t>
  </si>
  <si>
    <t>market_cap_Date</t>
  </si>
  <si>
    <t>market_cap_Value</t>
  </si>
  <si>
    <t>shares_outstanding_Date</t>
  </si>
  <si>
    <t>shares_outstanding_Value</t>
  </si>
  <si>
    <t>volume_Date</t>
  </si>
  <si>
    <t>volume_Value</t>
  </si>
  <si>
    <t>turnover_Date</t>
  </si>
  <si>
    <t>turnover_Value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</si>
</sst>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worksheet" Target="worksheets/sheet101.xml"/><Relationship Id="rId102" Type="http://schemas.openxmlformats.org/officeDocument/2006/relationships/worksheet" Target="worksheets/sheet102.xml"/><Relationship Id="rId103" Type="http://schemas.openxmlformats.org/officeDocument/2006/relationships/worksheet" Target="worksheets/sheet103.xml"/><Relationship Id="rId104" Type="http://schemas.openxmlformats.org/officeDocument/2006/relationships/worksheet" Target="worksheets/sheet104.xml"/><Relationship Id="rId105" Type="http://schemas.openxmlformats.org/officeDocument/2006/relationships/worksheet" Target="worksheets/sheet105.xml"/><Relationship Id="rId106" Type="http://schemas.openxmlformats.org/officeDocument/2006/relationships/worksheet" Target="worksheets/sheet106.xml"/><Relationship Id="rId107" Type="http://schemas.openxmlformats.org/officeDocument/2006/relationships/worksheet" Target="worksheets/sheet107.xml"/><Relationship Id="rId108" Type="http://schemas.openxmlformats.org/officeDocument/2006/relationships/worksheet" Target="worksheets/sheet108.xml"/><Relationship Id="rId109" Type="http://schemas.openxmlformats.org/officeDocument/2006/relationships/worksheet" Target="worksheets/sheet109.xml"/><Relationship Id="rId110" Type="http://schemas.openxmlformats.org/officeDocument/2006/relationships/worksheet" Target="worksheets/sheet110.xml"/><Relationship Id="rId111" Type="http://schemas.openxmlformats.org/officeDocument/2006/relationships/worksheet" Target="worksheets/sheet111.xml"/><Relationship Id="rId112" Type="http://schemas.openxmlformats.org/officeDocument/2006/relationships/worksheet" Target="worksheets/sheet112.xml"/><Relationship Id="rId113" Type="http://schemas.openxmlformats.org/officeDocument/2006/relationships/worksheet" Target="worksheets/sheet113.xml"/><Relationship Id="rId114" Type="http://schemas.openxmlformats.org/officeDocument/2006/relationships/worksheet" Target="worksheets/sheet114.xml"/><Relationship Id="rId115" Type="http://schemas.openxmlformats.org/officeDocument/2006/relationships/worksheet" Target="worksheets/sheet115.xml"/><Relationship Id="rId116" Type="http://schemas.openxmlformats.org/officeDocument/2006/relationships/worksheet" Target="worksheets/sheet116.xml"/><Relationship Id="rId117" Type="http://schemas.openxmlformats.org/officeDocument/2006/relationships/worksheet" Target="worksheets/sheet117.xml"/><Relationship Id="rId118" Type="http://schemas.openxmlformats.org/officeDocument/2006/relationships/worksheet" Target="worksheets/sheet118.xml"/><Relationship Id="rId119" Type="http://schemas.openxmlformats.org/officeDocument/2006/relationships/worksheet" Target="worksheets/sheet119.xml"/><Relationship Id="rId120" Type="http://schemas.openxmlformats.org/officeDocument/2006/relationships/worksheet" Target="worksheets/sheet120.xml"/><Relationship Id="rId121" Type="http://schemas.openxmlformats.org/officeDocument/2006/relationships/worksheet" Target="worksheets/sheet121.xml"/><Relationship Id="rId122" Type="http://schemas.openxmlformats.org/officeDocument/2006/relationships/worksheet" Target="worksheets/sheet122.xml"/><Relationship Id="rId123" Type="http://schemas.openxmlformats.org/officeDocument/2006/relationships/worksheet" Target="worksheets/sheet123.xml"/><Relationship Id="rId124" Type="http://schemas.openxmlformats.org/officeDocument/2006/relationships/worksheet" Target="worksheets/sheet124.xml"/><Relationship Id="rId125" Type="http://schemas.openxmlformats.org/officeDocument/2006/relationships/worksheet" Target="worksheets/sheet125.xml"/><Relationship Id="rId126" Type="http://schemas.openxmlformats.org/officeDocument/2006/relationships/worksheet" Target="worksheets/sheet126.xml"/><Relationship Id="rId127" Type="http://schemas.openxmlformats.org/officeDocument/2006/relationships/worksheet" Target="worksheets/sheet127.xml"/><Relationship Id="rId128" Type="http://schemas.openxmlformats.org/officeDocument/2006/relationships/worksheet" Target="worksheets/sheet128.xml"/><Relationship Id="rId129" Type="http://schemas.openxmlformats.org/officeDocument/2006/relationships/worksheet" Target="worksheets/sheet129.xml"/><Relationship Id="rId130" Type="http://schemas.openxmlformats.org/officeDocument/2006/relationships/worksheet" Target="worksheets/sheet130.xml"/><Relationship Id="rId131" Type="http://schemas.openxmlformats.org/officeDocument/2006/relationships/worksheet" Target="worksheets/sheet131.xml"/><Relationship Id="rId132" Type="http://schemas.openxmlformats.org/officeDocument/2006/relationships/worksheet" Target="worksheets/sheet132.xml"/><Relationship Id="rId133" Type="http://schemas.openxmlformats.org/officeDocument/2006/relationships/worksheet" Target="worksheets/sheet133.xml"/><Relationship Id="rId134" Type="http://schemas.openxmlformats.org/officeDocument/2006/relationships/worksheet" Target="worksheets/sheet134.xml"/><Relationship Id="rId135" Type="http://schemas.openxmlformats.org/officeDocument/2006/relationships/worksheet" Target="worksheets/sheet135.xml"/><Relationship Id="rId136" Type="http://schemas.openxmlformats.org/officeDocument/2006/relationships/worksheet" Target="worksheets/sheet136.xml"/><Relationship Id="rId137" Type="http://schemas.openxmlformats.org/officeDocument/2006/relationships/worksheet" Target="worksheets/sheet137.xml"/><Relationship Id="rId138" Type="http://schemas.openxmlformats.org/officeDocument/2006/relationships/worksheet" Target="worksheets/sheet138.xml"/><Relationship Id="rId139" Type="http://schemas.openxmlformats.org/officeDocument/2006/relationships/worksheet" Target="worksheets/sheet139.xml"/><Relationship Id="rId140" Type="http://schemas.openxmlformats.org/officeDocument/2006/relationships/worksheet" Target="worksheets/sheet140.xml"/><Relationship Id="rId141" Type="http://schemas.openxmlformats.org/officeDocument/2006/relationships/worksheet" Target="worksheets/sheet141.xml"/><Relationship Id="rId142" Type="http://schemas.openxmlformats.org/officeDocument/2006/relationships/worksheet" Target="worksheets/sheet142.xml"/><Relationship Id="rId143" Type="http://schemas.openxmlformats.org/officeDocument/2006/relationships/worksheet" Target="worksheets/sheet143.xml"/><Relationship Id="rId144" Type="http://schemas.openxmlformats.org/officeDocument/2006/relationships/worksheet" Target="worksheets/sheet144.xml"/><Relationship Id="rId145" Type="http://schemas.openxmlformats.org/officeDocument/2006/relationships/worksheet" Target="worksheets/sheet145.xml"/><Relationship Id="rId146" Type="http://schemas.openxmlformats.org/officeDocument/2006/relationships/worksheet" Target="worksheets/sheet146.xml"/><Relationship Id="rId147" Type="http://schemas.openxmlformats.org/officeDocument/2006/relationships/worksheet" Target="worksheets/sheet147.xml"/><Relationship Id="rId148" Type="http://schemas.openxmlformats.org/officeDocument/2006/relationships/worksheet" Target="worksheets/sheet148.xml"/><Relationship Id="rId149" Type="http://schemas.openxmlformats.org/officeDocument/2006/relationships/worksheet" Target="worksheets/sheet149.xml"/><Relationship Id="rId150" Type="http://schemas.openxmlformats.org/officeDocument/2006/relationships/worksheet" Target="worksheets/sheet150.xml"/><Relationship Id="rId151" Type="http://schemas.openxmlformats.org/officeDocument/2006/relationships/worksheet" Target="worksheets/sheet151.xml"/><Relationship Id="rId152" Type="http://schemas.openxmlformats.org/officeDocument/2006/relationships/worksheet" Target="worksheets/sheet152.xml"/><Relationship Id="rId153" Type="http://schemas.openxmlformats.org/officeDocument/2006/relationships/worksheet" Target="worksheets/sheet153.xml"/><Relationship Id="rId154" Type="http://schemas.openxmlformats.org/officeDocument/2006/relationships/worksheet" Target="worksheets/sheet154.xml"/><Relationship Id="rId155" Type="http://schemas.openxmlformats.org/officeDocument/2006/relationships/worksheet" Target="worksheets/sheet155.xml"/><Relationship Id="rId156" Type="http://schemas.openxmlformats.org/officeDocument/2006/relationships/worksheet" Target="worksheets/sheet156.xml"/><Relationship Id="rId157" Type="http://schemas.openxmlformats.org/officeDocument/2006/relationships/worksheet" Target="worksheets/sheet157.xml"/><Relationship Id="rId158" Type="http://schemas.openxmlformats.org/officeDocument/2006/relationships/worksheet" Target="worksheets/sheet158.xml"/><Relationship Id="rId159" Type="http://schemas.openxmlformats.org/officeDocument/2006/relationships/worksheet" Target="worksheets/sheet159.xml"/><Relationship Id="rId160" Type="http://schemas.openxmlformats.org/officeDocument/2006/relationships/worksheet" Target="worksheets/sheet160.xml"/><Relationship Id="rId161" Type="http://schemas.openxmlformats.org/officeDocument/2006/relationships/worksheet" Target="worksheets/sheet161.xml"/><Relationship Id="rId162" Type="http://schemas.openxmlformats.org/officeDocument/2006/relationships/worksheet" Target="worksheets/sheet162.xml"/><Relationship Id="rId163" Type="http://schemas.openxmlformats.org/officeDocument/2006/relationships/worksheet" Target="worksheets/sheet163.xml"/><Relationship Id="rId164" Type="http://schemas.openxmlformats.org/officeDocument/2006/relationships/worksheet" Target="worksheets/sheet164.xml"/><Relationship Id="rId165" Type="http://schemas.openxmlformats.org/officeDocument/2006/relationships/worksheet" Target="worksheets/sheet165.xml"/><Relationship Id="rId166" Type="http://schemas.openxmlformats.org/officeDocument/2006/relationships/worksheet" Target="worksheets/sheet166.xml"/><Relationship Id="rId167" Type="http://schemas.openxmlformats.org/officeDocument/2006/relationships/worksheet" Target="worksheets/sheet167.xml"/><Relationship Id="rId168" Type="http://schemas.openxmlformats.org/officeDocument/2006/relationships/worksheet" Target="worksheets/sheet168.xml"/><Relationship Id="rId169" Type="http://schemas.openxmlformats.org/officeDocument/2006/relationships/worksheet" Target="worksheets/sheet169.xml"/><Relationship Id="rId170" Type="http://schemas.openxmlformats.org/officeDocument/2006/relationships/worksheet" Target="worksheets/sheet170.xml"/><Relationship Id="rId171" Type="http://schemas.openxmlformats.org/officeDocument/2006/relationships/worksheet" Target="worksheets/sheet171.xml"/><Relationship Id="rId172" Type="http://schemas.openxmlformats.org/officeDocument/2006/relationships/worksheet" Target="worksheets/sheet172.xml"/><Relationship Id="rId173" Type="http://schemas.openxmlformats.org/officeDocument/2006/relationships/worksheet" Target="worksheets/sheet173.xml"/><Relationship Id="rId174" Type="http://schemas.openxmlformats.org/officeDocument/2006/relationships/worksheet" Target="worksheets/sheet174.xml"/><Relationship Id="rId175" Type="http://schemas.openxmlformats.org/officeDocument/2006/relationships/worksheet" Target="worksheets/sheet175.xml"/><Relationship Id="rId176" Type="http://schemas.openxmlformats.org/officeDocument/2006/relationships/worksheet" Target="worksheets/sheet176.xml"/><Relationship Id="rId177" Type="http://schemas.openxmlformats.org/officeDocument/2006/relationships/worksheet" Target="worksheets/sheet177.xml"/><Relationship Id="rId178" Type="http://schemas.openxmlformats.org/officeDocument/2006/relationships/worksheet" Target="worksheets/sheet178.xml"/><Relationship Id="rId179" Type="http://schemas.openxmlformats.org/officeDocument/2006/relationships/worksheet" Target="worksheets/sheet179.xml"/><Relationship Id="rId180" Type="http://schemas.openxmlformats.org/officeDocument/2006/relationships/worksheet" Target="worksheets/sheet180.xml"/><Relationship Id="rId181" Type="http://schemas.openxmlformats.org/officeDocument/2006/relationships/worksheet" Target="worksheets/sheet181.xml"/><Relationship Id="rId182" Type="http://schemas.openxmlformats.org/officeDocument/2006/relationships/worksheet" Target="worksheets/sheet182.xml"/><Relationship Id="rId183" Type="http://schemas.openxmlformats.org/officeDocument/2006/relationships/worksheet" Target="worksheets/sheet183.xml"/><Relationship Id="rId184" Type="http://schemas.openxmlformats.org/officeDocument/2006/relationships/worksheet" Target="worksheets/sheet184.xml"/><Relationship Id="rId185" Type="http://schemas.openxmlformats.org/officeDocument/2006/relationships/worksheet" Target="worksheets/sheet185.xml"/><Relationship Id="rId186" Type="http://schemas.openxmlformats.org/officeDocument/2006/relationships/worksheet" Target="worksheets/sheet186.xml"/><Relationship Id="rId187" Type="http://schemas.openxmlformats.org/officeDocument/2006/relationships/worksheet" Target="worksheets/sheet187.xml"/><Relationship Id="rId188" Type="http://schemas.openxmlformats.org/officeDocument/2006/relationships/worksheet" Target="worksheets/sheet188.xml"/><Relationship Id="rId189" Type="http://schemas.openxmlformats.org/officeDocument/2006/relationships/worksheet" Target="worksheets/sheet189.xml"/><Relationship Id="rId190" Type="http://schemas.openxmlformats.org/officeDocument/2006/relationships/worksheet" Target="worksheets/sheet190.xml"/><Relationship Id="rId191" Type="http://schemas.openxmlformats.org/officeDocument/2006/relationships/worksheet" Target="worksheets/sheet191.xml"/><Relationship Id="rId192" Type="http://schemas.openxmlformats.org/officeDocument/2006/relationships/worksheet" Target="worksheets/sheet192.xml"/><Relationship Id="rId193" Type="http://schemas.openxmlformats.org/officeDocument/2006/relationships/worksheet" Target="worksheets/sheet193.xml"/><Relationship Id="rId194" Type="http://schemas.openxmlformats.org/officeDocument/2006/relationships/worksheet" Target="worksheets/sheet194.xml"/><Relationship Id="rId195" Type="http://schemas.openxmlformats.org/officeDocument/2006/relationships/worksheet" Target="worksheets/sheet195.xml"/><Relationship Id="rId196" Type="http://schemas.openxmlformats.org/officeDocument/2006/relationships/worksheet" Target="worksheets/sheet196.xml"/><Relationship Id="rId197" Type="http://schemas.openxmlformats.org/officeDocument/2006/relationships/worksheet" Target="worksheets/sheet197.xml"/><Relationship Id="rId198" Type="http://schemas.openxmlformats.org/officeDocument/2006/relationships/worksheet" Target="worksheets/sheet198.xml"/><Relationship Id="rId199" Type="http://schemas.openxmlformats.org/officeDocument/2006/relationships/worksheet" Target="worksheets/sheet199.xml"/><Relationship Id="rId200" Type="http://schemas.openxmlformats.org/officeDocument/2006/relationships/worksheet" Target="worksheets/sheet200.xml"/><Relationship Id="rId201" Type="http://schemas.openxmlformats.org/officeDocument/2006/relationships/worksheet" Target="worksheets/sheet201.xml"/><Relationship Id="rId202" Type="http://schemas.openxmlformats.org/officeDocument/2006/relationships/worksheet" Target="worksheets/sheet202.xml"/><Relationship Id="rId203" Type="http://schemas.openxmlformats.org/officeDocument/2006/relationships/worksheet" Target="worksheets/sheet203.xml"/><Relationship Id="rId204" Type="http://schemas.openxmlformats.org/officeDocument/2006/relationships/worksheet" Target="worksheets/sheet204.xml"/><Relationship Id="rId205" Type="http://schemas.openxmlformats.org/officeDocument/2006/relationships/worksheet" Target="worksheets/sheet205.xml"/><Relationship Id="rId206" Type="http://schemas.openxmlformats.org/officeDocument/2006/relationships/worksheet" Target="worksheets/sheet206.xml"/><Relationship Id="rId207" Type="http://schemas.openxmlformats.org/officeDocument/2006/relationships/worksheet" Target="worksheets/sheet207.xml"/><Relationship Id="rId208" Type="http://schemas.openxmlformats.org/officeDocument/2006/relationships/worksheet" Target="worksheets/sheet208.xml"/><Relationship Id="rId209" Type="http://schemas.openxmlformats.org/officeDocument/2006/relationships/worksheet" Target="worksheets/sheet209.xml"/><Relationship Id="rId210" Type="http://schemas.openxmlformats.org/officeDocument/2006/relationships/worksheet" Target="worksheets/sheet210.xml"/><Relationship Id="rId211" Type="http://schemas.openxmlformats.org/officeDocument/2006/relationships/worksheet" Target="worksheets/sheet211.xml"/><Relationship Id="rId212" Type="http://schemas.openxmlformats.org/officeDocument/2006/relationships/worksheet" Target="worksheets/sheet212.xml"/><Relationship Id="rId213" Type="http://schemas.openxmlformats.org/officeDocument/2006/relationships/worksheet" Target="worksheets/sheet213.xml"/><Relationship Id="rId214" Type="http://schemas.openxmlformats.org/officeDocument/2006/relationships/worksheet" Target="worksheets/sheet214.xml"/><Relationship Id="rId215" Type="http://schemas.openxmlformats.org/officeDocument/2006/relationships/worksheet" Target="worksheets/sheet215.xml"/><Relationship Id="rId216" Type="http://schemas.openxmlformats.org/officeDocument/2006/relationships/worksheet" Target="worksheets/sheet216.xml"/><Relationship Id="rId217" Type="http://schemas.openxmlformats.org/officeDocument/2006/relationships/worksheet" Target="worksheets/sheet217.xml"/><Relationship Id="rId218" Type="http://schemas.openxmlformats.org/officeDocument/2006/relationships/worksheet" Target="worksheets/sheet218.xml"/><Relationship Id="rId219" Type="http://schemas.openxmlformats.org/officeDocument/2006/relationships/worksheet" Target="worksheets/sheet219.xml"/><Relationship Id="rId220" Type="http://schemas.openxmlformats.org/officeDocument/2006/relationships/worksheet" Target="worksheets/sheet220.xml"/><Relationship Id="rId221" Type="http://schemas.openxmlformats.org/officeDocument/2006/relationships/worksheet" Target="worksheets/sheet221.xml"/><Relationship Id="rId222" Type="http://schemas.openxmlformats.org/officeDocument/2006/relationships/worksheet" Target="worksheets/sheet222.xml"/><Relationship Id="rId223" Type="http://schemas.openxmlformats.org/officeDocument/2006/relationships/worksheet" Target="worksheets/sheet223.xml"/><Relationship Id="rId224" Type="http://schemas.openxmlformats.org/officeDocument/2006/relationships/worksheet" Target="worksheets/sheet224.xml"/><Relationship Id="rId225" Type="http://schemas.openxmlformats.org/officeDocument/2006/relationships/worksheet" Target="worksheets/sheet225.xml"/><Relationship Id="rId226" Type="http://schemas.openxmlformats.org/officeDocument/2006/relationships/worksheet" Target="worksheets/sheet226.xml"/><Relationship Id="rId227" Type="http://schemas.openxmlformats.org/officeDocument/2006/relationships/worksheet" Target="worksheets/sheet227.xml"/><Relationship Id="rId228" Type="http://schemas.openxmlformats.org/officeDocument/2006/relationships/worksheet" Target="worksheets/sheet228.xml"/><Relationship Id="rId229" Type="http://schemas.openxmlformats.org/officeDocument/2006/relationships/worksheet" Target="worksheets/sheet229.xml"/><Relationship Id="rId230" Type="http://schemas.openxmlformats.org/officeDocument/2006/relationships/worksheet" Target="worksheets/sheet230.xml"/><Relationship Id="rId231" Type="http://schemas.openxmlformats.org/officeDocument/2006/relationships/worksheet" Target="worksheets/sheet231.xml"/><Relationship Id="rId232" Type="http://schemas.openxmlformats.org/officeDocument/2006/relationships/worksheet" Target="worksheets/sheet232.xml"/><Relationship Id="rId233" Type="http://schemas.openxmlformats.org/officeDocument/2006/relationships/worksheet" Target="worksheets/sheet233.xml"/><Relationship Id="rId234" Type="http://schemas.openxmlformats.org/officeDocument/2006/relationships/worksheet" Target="worksheets/sheet234.xml"/><Relationship Id="rId235" Type="http://schemas.openxmlformats.org/officeDocument/2006/relationships/worksheet" Target="worksheets/sheet235.xml"/><Relationship Id="rId236" Type="http://schemas.openxmlformats.org/officeDocument/2006/relationships/worksheet" Target="worksheets/sheet236.xml"/><Relationship Id="rId237" Type="http://schemas.openxmlformats.org/officeDocument/2006/relationships/worksheet" Target="worksheets/sheet237.xml"/><Relationship Id="rId238" Type="http://schemas.openxmlformats.org/officeDocument/2006/relationships/worksheet" Target="worksheets/sheet238.xml"/><Relationship Id="rId239" Type="http://schemas.openxmlformats.org/officeDocument/2006/relationships/worksheet" Target="worksheets/sheet239.xml"/><Relationship Id="rId240" Type="http://schemas.openxmlformats.org/officeDocument/2006/relationships/worksheet" Target="worksheets/sheet240.xml"/><Relationship Id="rId241" Type="http://schemas.openxmlformats.org/officeDocument/2006/relationships/worksheet" Target="worksheets/sheet241.xml"/><Relationship Id="rId242" Type="http://schemas.openxmlformats.org/officeDocument/2006/relationships/worksheet" Target="worksheets/sheet242.xml"/><Relationship Id="rId243" Type="http://schemas.openxmlformats.org/officeDocument/2006/relationships/worksheet" Target="worksheets/sheet243.xml"/><Relationship Id="rId244" Type="http://schemas.openxmlformats.org/officeDocument/2006/relationships/worksheet" Target="worksheets/sheet244.xml"/><Relationship Id="rId245" Type="http://schemas.openxmlformats.org/officeDocument/2006/relationships/worksheet" Target="worksheets/sheet245.xml"/><Relationship Id="rId246" Type="http://schemas.openxmlformats.org/officeDocument/2006/relationships/worksheet" Target="worksheets/sheet246.xml"/><Relationship Id="rId247" Type="http://schemas.openxmlformats.org/officeDocument/2006/relationships/worksheet" Target="worksheets/sheet247.xml"/><Relationship Id="rId248" Type="http://schemas.openxmlformats.org/officeDocument/2006/relationships/worksheet" Target="worksheets/sheet248.xml"/><Relationship Id="rId249" Type="http://schemas.openxmlformats.org/officeDocument/2006/relationships/worksheet" Target="worksheets/sheet249.xml"/><Relationship Id="rId250" Type="http://schemas.openxmlformats.org/officeDocument/2006/relationships/worksheet" Target="worksheets/sheet250.xml"/><Relationship Id="rId251" Type="http://schemas.openxmlformats.org/officeDocument/2006/relationships/worksheet" Target="worksheets/sheet251.xml"/><Relationship Id="rId252" Type="http://schemas.openxmlformats.org/officeDocument/2006/relationships/theme" Target="theme/theme1.xml"/><Relationship Id="rId253" Type="http://schemas.openxmlformats.org/officeDocument/2006/relationships/styles" Target="styles.xml"/><Relationship Id="rId25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51"/>
  <sheetViews>
    <sheetView tabSelected="1" workbookViewId="0"/>
  </sheetViews>
  <sheetFormatPr defaultRowHeight="15"/>
  <cols>
    <col min="1" max="11" width="18.7109375" customWidth="1"/>
    <col min="12" max="13" width="32.7109375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15</v>
      </c>
      <c r="J2" t="s">
        <v>21</v>
      </c>
      <c r="K2" t="s">
        <v>22</v>
      </c>
      <c r="L2">
        <f>BDP($H2,"BICS_LEVEL_1_SECTOR_NAME")</f>
        <v/>
      </c>
      <c r="M2">
        <f>BDP($H2,"BICS_LEVEL_3_INDUSTRY_NAME")</f>
        <v/>
      </c>
    </row>
    <row r="3" spans="1:13">
      <c r="A3" t="s">
        <v>23</v>
      </c>
      <c r="B3" t="s">
        <v>14</v>
      </c>
      <c r="C3" t="s">
        <v>15</v>
      </c>
      <c r="D3" t="s">
        <v>24</v>
      </c>
      <c r="E3" t="s">
        <v>25</v>
      </c>
      <c r="F3" t="s">
        <v>26</v>
      </c>
      <c r="G3" t="s">
        <v>27</v>
      </c>
      <c r="H3" t="s">
        <v>28</v>
      </c>
      <c r="I3" t="s">
        <v>15</v>
      </c>
      <c r="J3" t="s">
        <v>21</v>
      </c>
      <c r="K3" t="s">
        <v>22</v>
      </c>
      <c r="L3">
        <f>BDP($H3,"BICS_LEVEL_1_SECTOR_NAME")</f>
        <v/>
      </c>
      <c r="M3">
        <f>BDP($H3,"BICS_LEVEL_3_INDUSTRY_NAME")</f>
        <v/>
      </c>
    </row>
    <row r="4" spans="1:13">
      <c r="A4" t="s">
        <v>29</v>
      </c>
      <c r="B4" t="s">
        <v>14</v>
      </c>
      <c r="C4" t="s">
        <v>15</v>
      </c>
      <c r="D4" t="s">
        <v>30</v>
      </c>
      <c r="E4" t="s">
        <v>31</v>
      </c>
      <c r="F4" t="s">
        <v>32</v>
      </c>
      <c r="G4" t="s">
        <v>33</v>
      </c>
      <c r="H4" t="s">
        <v>34</v>
      </c>
      <c r="I4" t="s">
        <v>15</v>
      </c>
      <c r="J4" t="s">
        <v>21</v>
      </c>
      <c r="K4" t="s">
        <v>22</v>
      </c>
      <c r="L4">
        <f>BDP($H4,"BICS_LEVEL_1_SECTOR_NAME")</f>
        <v/>
      </c>
      <c r="M4">
        <f>BDP($H4,"BICS_LEVEL_3_INDUSTRY_NAME")</f>
        <v/>
      </c>
    </row>
    <row r="5" spans="1:13">
      <c r="A5" t="s">
        <v>35</v>
      </c>
      <c r="B5" t="s">
        <v>14</v>
      </c>
      <c r="C5" t="s">
        <v>15</v>
      </c>
      <c r="D5" t="s">
        <v>36</v>
      </c>
      <c r="E5" t="s">
        <v>37</v>
      </c>
      <c r="F5" t="s">
        <v>18</v>
      </c>
      <c r="G5" t="s">
        <v>38</v>
      </c>
      <c r="H5" t="s">
        <v>39</v>
      </c>
      <c r="I5" t="s">
        <v>15</v>
      </c>
      <c r="J5" t="s">
        <v>21</v>
      </c>
      <c r="K5" t="s">
        <v>22</v>
      </c>
      <c r="L5">
        <f>BDP($H5,"BICS_LEVEL_1_SECTOR_NAME")</f>
        <v/>
      </c>
      <c r="M5">
        <f>BDP($H5,"BICS_LEVEL_3_INDUSTRY_NAME")</f>
        <v/>
      </c>
    </row>
    <row r="6" spans="1:13">
      <c r="A6" t="s">
        <v>40</v>
      </c>
      <c r="B6" t="s">
        <v>14</v>
      </c>
      <c r="C6" t="s">
        <v>15</v>
      </c>
      <c r="D6" t="s">
        <v>41</v>
      </c>
      <c r="E6" t="s">
        <v>42</v>
      </c>
      <c r="F6" t="s">
        <v>32</v>
      </c>
      <c r="G6" t="s">
        <v>43</v>
      </c>
      <c r="H6" t="s">
        <v>44</v>
      </c>
      <c r="I6" t="s">
        <v>15</v>
      </c>
      <c r="J6" t="s">
        <v>21</v>
      </c>
      <c r="K6" t="s">
        <v>22</v>
      </c>
      <c r="L6">
        <f>BDP($H6,"BICS_LEVEL_1_SECTOR_NAME")</f>
        <v/>
      </c>
      <c r="M6">
        <f>BDP($H6,"BICS_LEVEL_3_INDUSTRY_NAME")</f>
        <v/>
      </c>
    </row>
    <row r="7" spans="1:13">
      <c r="A7" t="s">
        <v>45</v>
      </c>
      <c r="B7" t="s">
        <v>14</v>
      </c>
      <c r="C7" t="s">
        <v>15</v>
      </c>
      <c r="D7" t="s">
        <v>46</v>
      </c>
      <c r="E7" t="s">
        <v>47</v>
      </c>
      <c r="F7" t="s">
        <v>18</v>
      </c>
      <c r="G7" t="s">
        <v>19</v>
      </c>
      <c r="H7" t="s">
        <v>48</v>
      </c>
      <c r="I7" t="s">
        <v>15</v>
      </c>
      <c r="J7" t="s">
        <v>21</v>
      </c>
      <c r="K7" t="s">
        <v>22</v>
      </c>
      <c r="L7">
        <f>BDP($H7,"BICS_LEVEL_1_SECTOR_NAME")</f>
        <v/>
      </c>
      <c r="M7">
        <f>BDP($H7,"BICS_LEVEL_3_INDUSTRY_NAME")</f>
        <v/>
      </c>
    </row>
    <row r="8" spans="1:13">
      <c r="A8" t="s">
        <v>49</v>
      </c>
      <c r="B8" t="s">
        <v>14</v>
      </c>
      <c r="C8" t="s">
        <v>15</v>
      </c>
      <c r="D8" t="s">
        <v>50</v>
      </c>
      <c r="E8" t="s">
        <v>51</v>
      </c>
      <c r="F8" t="s">
        <v>18</v>
      </c>
      <c r="G8" t="s">
        <v>52</v>
      </c>
      <c r="H8" t="s">
        <v>53</v>
      </c>
      <c r="I8" t="s">
        <v>15</v>
      </c>
      <c r="J8" t="s">
        <v>21</v>
      </c>
      <c r="K8" t="s">
        <v>22</v>
      </c>
      <c r="L8">
        <f>BDP($H8,"BICS_LEVEL_1_SECTOR_NAME")</f>
        <v/>
      </c>
      <c r="M8">
        <f>BDP($H8,"BICS_LEVEL_3_INDUSTRY_NAME")</f>
        <v/>
      </c>
    </row>
    <row r="9" spans="1:13">
      <c r="A9" t="s">
        <v>54</v>
      </c>
      <c r="B9" t="s">
        <v>14</v>
      </c>
      <c r="C9" t="s">
        <v>15</v>
      </c>
      <c r="D9" t="s">
        <v>55</v>
      </c>
      <c r="E9" t="s">
        <v>56</v>
      </c>
      <c r="F9" t="s">
        <v>57</v>
      </c>
      <c r="G9" t="s">
        <v>58</v>
      </c>
      <c r="H9" t="s">
        <v>59</v>
      </c>
      <c r="I9" t="s">
        <v>15</v>
      </c>
      <c r="J9" t="s">
        <v>21</v>
      </c>
      <c r="K9" t="s">
        <v>22</v>
      </c>
      <c r="L9">
        <f>BDP($H9,"BICS_LEVEL_1_SECTOR_NAME")</f>
        <v/>
      </c>
      <c r="M9">
        <f>BDP($H9,"BICS_LEVEL_3_INDUSTRY_NAME")</f>
        <v/>
      </c>
    </row>
    <row r="10" spans="1:13">
      <c r="A10" t="s">
        <v>60</v>
      </c>
      <c r="B10" t="s">
        <v>14</v>
      </c>
      <c r="C10" t="s">
        <v>15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15</v>
      </c>
      <c r="J10" t="s">
        <v>21</v>
      </c>
      <c r="K10" t="s">
        <v>22</v>
      </c>
      <c r="L10">
        <f>BDP($H10,"BICS_LEVEL_1_SECTOR_NAME")</f>
        <v/>
      </c>
      <c r="M10">
        <f>BDP($H10,"BICS_LEVEL_3_INDUSTRY_NAME")</f>
        <v/>
      </c>
    </row>
    <row r="11" spans="1:13">
      <c r="A11" t="s">
        <v>66</v>
      </c>
      <c r="B11" t="s">
        <v>14</v>
      </c>
      <c r="C11" t="s">
        <v>15</v>
      </c>
      <c r="D11" t="s">
        <v>67</v>
      </c>
      <c r="E11" t="s">
        <v>68</v>
      </c>
      <c r="F11" t="s">
        <v>32</v>
      </c>
      <c r="G11" t="s">
        <v>69</v>
      </c>
      <c r="H11" t="s">
        <v>70</v>
      </c>
      <c r="I11" t="s">
        <v>15</v>
      </c>
      <c r="J11" t="s">
        <v>21</v>
      </c>
      <c r="K11" t="s">
        <v>22</v>
      </c>
      <c r="L11">
        <f>BDP($H11,"BICS_LEVEL_1_SECTOR_NAME")</f>
        <v/>
      </c>
      <c r="M11">
        <f>BDP($H11,"BICS_LEVEL_3_INDUSTRY_NAME")</f>
        <v/>
      </c>
    </row>
    <row r="12" spans="1:13">
      <c r="A12" t="s">
        <v>71</v>
      </c>
      <c r="B12" t="s">
        <v>14</v>
      </c>
      <c r="C12" t="s">
        <v>15</v>
      </c>
      <c r="D12" t="s">
        <v>72</v>
      </c>
      <c r="E12" t="s">
        <v>73</v>
      </c>
      <c r="F12" t="s">
        <v>74</v>
      </c>
      <c r="G12" t="s">
        <v>75</v>
      </c>
      <c r="H12" t="s">
        <v>76</v>
      </c>
      <c r="I12" t="s">
        <v>15</v>
      </c>
      <c r="J12" t="s">
        <v>21</v>
      </c>
      <c r="K12" t="s">
        <v>22</v>
      </c>
      <c r="L12">
        <f>BDP($H12,"BICS_LEVEL_1_SECTOR_NAME")</f>
        <v/>
      </c>
      <c r="M12">
        <f>BDP($H12,"BICS_LEVEL_3_INDUSTRY_NAME")</f>
        <v/>
      </c>
    </row>
    <row r="13" spans="1:13">
      <c r="A13" t="s">
        <v>77</v>
      </c>
      <c r="B13" t="s">
        <v>14</v>
      </c>
      <c r="C13" t="s">
        <v>15</v>
      </c>
      <c r="D13" t="s">
        <v>78</v>
      </c>
      <c r="E13" t="s">
        <v>79</v>
      </c>
      <c r="F13" t="s">
        <v>32</v>
      </c>
      <c r="G13" t="s">
        <v>33</v>
      </c>
      <c r="H13" t="s">
        <v>80</v>
      </c>
      <c r="I13" t="s">
        <v>15</v>
      </c>
      <c r="J13" t="s">
        <v>21</v>
      </c>
      <c r="K13" t="s">
        <v>22</v>
      </c>
      <c r="L13">
        <f>BDP($H13,"BICS_LEVEL_1_SECTOR_NAME")</f>
        <v/>
      </c>
      <c r="M13">
        <f>BDP($H13,"BICS_LEVEL_3_INDUSTRY_NAME")</f>
        <v/>
      </c>
    </row>
    <row r="14" spans="1:13">
      <c r="A14" t="s">
        <v>81</v>
      </c>
      <c r="B14" t="s">
        <v>14</v>
      </c>
      <c r="C14" t="s">
        <v>15</v>
      </c>
      <c r="D14" t="s">
        <v>82</v>
      </c>
      <c r="E14" t="s">
        <v>83</v>
      </c>
      <c r="F14" t="s">
        <v>84</v>
      </c>
      <c r="G14" t="s">
        <v>85</v>
      </c>
      <c r="H14" t="s">
        <v>86</v>
      </c>
      <c r="I14" t="s">
        <v>15</v>
      </c>
      <c r="J14" t="s">
        <v>21</v>
      </c>
      <c r="K14" t="s">
        <v>22</v>
      </c>
      <c r="L14">
        <f>BDP($H14,"BICS_LEVEL_1_SECTOR_NAME")</f>
        <v/>
      </c>
      <c r="M14">
        <f>BDP($H14,"BICS_LEVEL_3_INDUSTRY_NAME")</f>
        <v/>
      </c>
    </row>
    <row r="15" spans="1:13">
      <c r="A15" t="s">
        <v>87</v>
      </c>
      <c r="B15" t="s">
        <v>14</v>
      </c>
      <c r="C15" t="s">
        <v>15</v>
      </c>
      <c r="D15" t="s">
        <v>88</v>
      </c>
      <c r="E15" t="s">
        <v>89</v>
      </c>
      <c r="F15" t="s">
        <v>63</v>
      </c>
      <c r="G15" t="s">
        <v>90</v>
      </c>
      <c r="H15" t="s">
        <v>91</v>
      </c>
      <c r="I15" t="s">
        <v>15</v>
      </c>
      <c r="J15" t="s">
        <v>21</v>
      </c>
      <c r="K15" t="s">
        <v>22</v>
      </c>
      <c r="L15">
        <f>BDP($H15,"BICS_LEVEL_1_SECTOR_NAME")</f>
        <v/>
      </c>
      <c r="M15">
        <f>BDP($H15,"BICS_LEVEL_3_INDUSTRY_NAME")</f>
        <v/>
      </c>
    </row>
    <row r="16" spans="1:13">
      <c r="A16" t="s">
        <v>92</v>
      </c>
      <c r="B16" t="s">
        <v>14</v>
      </c>
      <c r="C16" t="s">
        <v>15</v>
      </c>
      <c r="D16" t="s">
        <v>93</v>
      </c>
      <c r="E16" t="s">
        <v>94</v>
      </c>
      <c r="F16" t="s">
        <v>95</v>
      </c>
      <c r="G16" t="s">
        <v>96</v>
      </c>
      <c r="H16" t="s">
        <v>97</v>
      </c>
      <c r="I16" t="s">
        <v>15</v>
      </c>
      <c r="J16" t="s">
        <v>21</v>
      </c>
      <c r="K16" t="s">
        <v>22</v>
      </c>
      <c r="L16">
        <f>BDP($H16,"BICS_LEVEL_1_SECTOR_NAME")</f>
        <v/>
      </c>
      <c r="M16">
        <f>BDP($H16,"BICS_LEVEL_3_INDUSTRY_NAME")</f>
        <v/>
      </c>
    </row>
    <row r="17" spans="1:13">
      <c r="A17" t="s">
        <v>98</v>
      </c>
      <c r="B17" t="s">
        <v>14</v>
      </c>
      <c r="C17" t="s">
        <v>15</v>
      </c>
      <c r="D17" t="s">
        <v>99</v>
      </c>
      <c r="E17" t="s">
        <v>100</v>
      </c>
      <c r="F17" t="s">
        <v>95</v>
      </c>
      <c r="G17" t="s">
        <v>96</v>
      </c>
      <c r="H17" t="s">
        <v>101</v>
      </c>
      <c r="I17" t="s">
        <v>15</v>
      </c>
      <c r="J17" t="s">
        <v>21</v>
      </c>
      <c r="K17" t="s">
        <v>22</v>
      </c>
      <c r="L17">
        <f>BDP($H17,"BICS_LEVEL_1_SECTOR_NAME")</f>
        <v/>
      </c>
      <c r="M17">
        <f>BDP($H17,"BICS_LEVEL_3_INDUSTRY_NAME")</f>
        <v/>
      </c>
    </row>
    <row r="18" spans="1:13">
      <c r="A18" t="s">
        <v>102</v>
      </c>
      <c r="B18" t="s">
        <v>14</v>
      </c>
      <c r="C18" t="s">
        <v>15</v>
      </c>
      <c r="D18" t="s">
        <v>103</v>
      </c>
      <c r="E18" t="s">
        <v>104</v>
      </c>
      <c r="F18" t="s">
        <v>74</v>
      </c>
      <c r="G18" t="s">
        <v>105</v>
      </c>
      <c r="H18" t="s">
        <v>106</v>
      </c>
      <c r="I18" t="s">
        <v>15</v>
      </c>
      <c r="J18" t="s">
        <v>21</v>
      </c>
      <c r="K18" t="s">
        <v>22</v>
      </c>
      <c r="L18">
        <f>BDP($H18,"BICS_LEVEL_1_SECTOR_NAME")</f>
        <v/>
      </c>
      <c r="M18">
        <f>BDP($H18,"BICS_LEVEL_3_INDUSTRY_NAME")</f>
        <v/>
      </c>
    </row>
    <row r="19" spans="1:13">
      <c r="A19" t="s">
        <v>107</v>
      </c>
      <c r="B19" t="s">
        <v>14</v>
      </c>
      <c r="C19" t="s">
        <v>15</v>
      </c>
      <c r="D19" t="s">
        <v>108</v>
      </c>
      <c r="E19" t="s">
        <v>109</v>
      </c>
      <c r="F19" t="s">
        <v>74</v>
      </c>
      <c r="G19" t="s">
        <v>105</v>
      </c>
      <c r="H19" t="s">
        <v>110</v>
      </c>
      <c r="I19" t="s">
        <v>15</v>
      </c>
      <c r="J19" t="s">
        <v>21</v>
      </c>
      <c r="K19" t="s">
        <v>22</v>
      </c>
      <c r="L19">
        <f>BDP($H19,"BICS_LEVEL_1_SECTOR_NAME")</f>
        <v/>
      </c>
      <c r="M19">
        <f>BDP($H19,"BICS_LEVEL_3_INDUSTRY_NAME")</f>
        <v/>
      </c>
    </row>
    <row r="20" spans="1:13">
      <c r="A20" t="s">
        <v>111</v>
      </c>
      <c r="B20" t="s">
        <v>14</v>
      </c>
      <c r="C20" t="s">
        <v>15</v>
      </c>
      <c r="D20" t="s">
        <v>112</v>
      </c>
      <c r="E20" t="s">
        <v>113</v>
      </c>
      <c r="F20" t="s">
        <v>74</v>
      </c>
      <c r="G20" t="s">
        <v>75</v>
      </c>
      <c r="H20" t="s">
        <v>114</v>
      </c>
      <c r="I20" t="s">
        <v>15</v>
      </c>
      <c r="J20" t="s">
        <v>21</v>
      </c>
      <c r="K20" t="s">
        <v>22</v>
      </c>
      <c r="L20">
        <f>BDP($H20,"BICS_LEVEL_1_SECTOR_NAME")</f>
        <v/>
      </c>
      <c r="M20">
        <f>BDP($H20,"BICS_LEVEL_3_INDUSTRY_NAME")</f>
        <v/>
      </c>
    </row>
    <row r="21" spans="1:13">
      <c r="A21" t="s">
        <v>115</v>
      </c>
      <c r="B21" t="s">
        <v>14</v>
      </c>
      <c r="C21" t="s">
        <v>15</v>
      </c>
      <c r="D21" t="s">
        <v>116</v>
      </c>
      <c r="E21" t="s">
        <v>117</v>
      </c>
      <c r="F21" t="s">
        <v>74</v>
      </c>
      <c r="G21" t="s">
        <v>75</v>
      </c>
      <c r="H21" t="s">
        <v>118</v>
      </c>
      <c r="I21" t="s">
        <v>15</v>
      </c>
      <c r="J21" t="s">
        <v>21</v>
      </c>
      <c r="K21" t="s">
        <v>22</v>
      </c>
      <c r="L21">
        <f>BDP($H21,"BICS_LEVEL_1_SECTOR_NAME")</f>
        <v/>
      </c>
      <c r="M21">
        <f>BDP($H21,"BICS_LEVEL_3_INDUSTRY_NAME")</f>
        <v/>
      </c>
    </row>
    <row r="22" spans="1:13">
      <c r="A22" t="s">
        <v>119</v>
      </c>
      <c r="B22" t="s">
        <v>14</v>
      </c>
      <c r="C22" t="s">
        <v>15</v>
      </c>
      <c r="D22" t="s">
        <v>120</v>
      </c>
      <c r="E22" t="s">
        <v>121</v>
      </c>
      <c r="F22" t="s">
        <v>32</v>
      </c>
      <c r="G22" t="s">
        <v>43</v>
      </c>
      <c r="H22" t="s">
        <v>122</v>
      </c>
      <c r="I22" t="s">
        <v>15</v>
      </c>
      <c r="J22" t="s">
        <v>21</v>
      </c>
      <c r="K22" t="s">
        <v>22</v>
      </c>
      <c r="L22">
        <f>BDP($H22,"BICS_LEVEL_1_SECTOR_NAME")</f>
        <v/>
      </c>
      <c r="M22">
        <f>BDP($H22,"BICS_LEVEL_3_INDUSTRY_NAME")</f>
        <v/>
      </c>
    </row>
    <row r="23" spans="1:13">
      <c r="A23" t="s">
        <v>123</v>
      </c>
      <c r="B23" t="s">
        <v>14</v>
      </c>
      <c r="C23" t="s">
        <v>15</v>
      </c>
      <c r="D23" t="s">
        <v>124</v>
      </c>
      <c r="E23" t="s">
        <v>125</v>
      </c>
      <c r="F23" t="s">
        <v>26</v>
      </c>
      <c r="G23" t="s">
        <v>126</v>
      </c>
      <c r="H23" t="s">
        <v>127</v>
      </c>
      <c r="I23" t="s">
        <v>15</v>
      </c>
      <c r="J23" t="s">
        <v>21</v>
      </c>
      <c r="K23" t="s">
        <v>22</v>
      </c>
      <c r="L23">
        <f>BDP($H23,"BICS_LEVEL_1_SECTOR_NAME")</f>
        <v/>
      </c>
      <c r="M23">
        <f>BDP($H23,"BICS_LEVEL_3_INDUSTRY_NAME")</f>
        <v/>
      </c>
    </row>
    <row r="24" spans="1:13">
      <c r="A24" t="s">
        <v>128</v>
      </c>
      <c r="B24" t="s">
        <v>14</v>
      </c>
      <c r="C24" t="s">
        <v>15</v>
      </c>
      <c r="D24" t="s">
        <v>129</v>
      </c>
      <c r="E24" t="s">
        <v>130</v>
      </c>
      <c r="F24" t="s">
        <v>26</v>
      </c>
      <c r="G24" t="s">
        <v>131</v>
      </c>
      <c r="H24" t="s">
        <v>132</v>
      </c>
      <c r="I24" t="s">
        <v>15</v>
      </c>
      <c r="J24" t="s">
        <v>21</v>
      </c>
      <c r="K24" t="s">
        <v>22</v>
      </c>
      <c r="L24">
        <f>BDP($H24,"BICS_LEVEL_1_SECTOR_NAME")</f>
        <v/>
      </c>
      <c r="M24">
        <f>BDP($H24,"BICS_LEVEL_3_INDUSTRY_NAME")</f>
        <v/>
      </c>
    </row>
    <row r="25" spans="1:13">
      <c r="A25" t="s">
        <v>133</v>
      </c>
      <c r="B25" t="s">
        <v>14</v>
      </c>
      <c r="C25" t="s">
        <v>15</v>
      </c>
      <c r="D25" t="s">
        <v>134</v>
      </c>
      <c r="E25" t="s">
        <v>135</v>
      </c>
      <c r="F25" t="s">
        <v>32</v>
      </c>
      <c r="G25" t="s">
        <v>33</v>
      </c>
      <c r="H25" t="s">
        <v>136</v>
      </c>
      <c r="I25" t="s">
        <v>15</v>
      </c>
      <c r="J25" t="s">
        <v>21</v>
      </c>
      <c r="K25" t="s">
        <v>22</v>
      </c>
      <c r="L25">
        <f>BDP($H25,"BICS_LEVEL_1_SECTOR_NAME")</f>
        <v/>
      </c>
      <c r="M25">
        <f>BDP($H25,"BICS_LEVEL_3_INDUSTRY_NAME")</f>
        <v/>
      </c>
    </row>
    <row r="26" spans="1:13">
      <c r="A26" t="s">
        <v>137</v>
      </c>
      <c r="B26" t="s">
        <v>14</v>
      </c>
      <c r="C26" t="s">
        <v>15</v>
      </c>
      <c r="D26" t="s">
        <v>138</v>
      </c>
      <c r="E26" t="s">
        <v>139</v>
      </c>
      <c r="F26" t="s">
        <v>74</v>
      </c>
      <c r="G26" t="s">
        <v>105</v>
      </c>
      <c r="H26" t="s">
        <v>140</v>
      </c>
      <c r="I26" t="s">
        <v>15</v>
      </c>
      <c r="J26" t="s">
        <v>21</v>
      </c>
      <c r="K26" t="s">
        <v>22</v>
      </c>
      <c r="L26">
        <f>BDP($H26,"BICS_LEVEL_1_SECTOR_NAME")</f>
        <v/>
      </c>
      <c r="M26">
        <f>BDP($H26,"BICS_LEVEL_3_INDUSTRY_NAME")</f>
        <v/>
      </c>
    </row>
    <row r="27" spans="1:13">
      <c r="A27" t="s">
        <v>141</v>
      </c>
      <c r="B27" t="s">
        <v>14</v>
      </c>
      <c r="C27" t="s">
        <v>15</v>
      </c>
      <c r="D27" t="s">
        <v>142</v>
      </c>
      <c r="E27" t="s">
        <v>143</v>
      </c>
      <c r="F27" t="s">
        <v>26</v>
      </c>
      <c r="G27" t="s">
        <v>144</v>
      </c>
      <c r="H27" t="s">
        <v>145</v>
      </c>
      <c r="I27" t="s">
        <v>15</v>
      </c>
      <c r="J27" t="s">
        <v>21</v>
      </c>
      <c r="K27" t="s">
        <v>22</v>
      </c>
      <c r="L27">
        <f>BDP($H27,"BICS_LEVEL_1_SECTOR_NAME")</f>
        <v/>
      </c>
      <c r="M27">
        <f>BDP($H27,"BICS_LEVEL_3_INDUSTRY_NAME")</f>
        <v/>
      </c>
    </row>
    <row r="28" spans="1:13">
      <c r="A28" t="s">
        <v>146</v>
      </c>
      <c r="B28" t="s">
        <v>14</v>
      </c>
      <c r="C28" t="s">
        <v>15</v>
      </c>
      <c r="D28" t="s">
        <v>147</v>
      </c>
      <c r="E28" t="s">
        <v>148</v>
      </c>
      <c r="F28" t="s">
        <v>74</v>
      </c>
      <c r="G28" t="s">
        <v>75</v>
      </c>
      <c r="H28" t="s">
        <v>149</v>
      </c>
      <c r="I28" t="s">
        <v>15</v>
      </c>
      <c r="J28" t="s">
        <v>21</v>
      </c>
      <c r="K28" t="s">
        <v>22</v>
      </c>
      <c r="L28">
        <f>BDP($H28,"BICS_LEVEL_1_SECTOR_NAME")</f>
        <v/>
      </c>
      <c r="M28">
        <f>BDP($H28,"BICS_LEVEL_3_INDUSTRY_NAME")</f>
        <v/>
      </c>
    </row>
    <row r="29" spans="1:13">
      <c r="A29" t="s">
        <v>150</v>
      </c>
      <c r="B29" t="s">
        <v>14</v>
      </c>
      <c r="C29" t="s">
        <v>15</v>
      </c>
      <c r="D29" t="s">
        <v>151</v>
      </c>
      <c r="E29" t="s">
        <v>152</v>
      </c>
      <c r="F29" t="s">
        <v>32</v>
      </c>
      <c r="G29" t="s">
        <v>153</v>
      </c>
      <c r="H29" t="s">
        <v>154</v>
      </c>
      <c r="I29" t="s">
        <v>15</v>
      </c>
      <c r="J29" t="s">
        <v>21</v>
      </c>
      <c r="K29" t="s">
        <v>22</v>
      </c>
      <c r="L29">
        <f>BDP($H29,"BICS_LEVEL_1_SECTOR_NAME")</f>
        <v/>
      </c>
      <c r="M29">
        <f>BDP($H29,"BICS_LEVEL_3_INDUSTRY_NAME")</f>
        <v/>
      </c>
    </row>
    <row r="30" spans="1:13">
      <c r="A30" t="s">
        <v>155</v>
      </c>
      <c r="B30" t="s">
        <v>14</v>
      </c>
      <c r="C30" t="s">
        <v>15</v>
      </c>
      <c r="D30" t="s">
        <v>156</v>
      </c>
      <c r="E30" t="s">
        <v>157</v>
      </c>
      <c r="F30" t="s">
        <v>95</v>
      </c>
      <c r="G30" t="s">
        <v>96</v>
      </c>
      <c r="H30" t="s">
        <v>158</v>
      </c>
      <c r="I30" t="s">
        <v>15</v>
      </c>
      <c r="J30" t="s">
        <v>21</v>
      </c>
      <c r="K30" t="s">
        <v>22</v>
      </c>
      <c r="L30">
        <f>BDP($H30,"BICS_LEVEL_1_SECTOR_NAME")</f>
        <v/>
      </c>
      <c r="M30">
        <f>BDP($H30,"BICS_LEVEL_3_INDUSTRY_NAME")</f>
        <v/>
      </c>
    </row>
    <row r="31" spans="1:13">
      <c r="A31" t="s">
        <v>159</v>
      </c>
      <c r="B31" t="s">
        <v>14</v>
      </c>
      <c r="C31" t="s">
        <v>15</v>
      </c>
      <c r="D31" t="s">
        <v>160</v>
      </c>
      <c r="E31" t="s">
        <v>161</v>
      </c>
      <c r="F31" t="s">
        <v>63</v>
      </c>
      <c r="G31" t="s">
        <v>64</v>
      </c>
      <c r="H31" t="s">
        <v>162</v>
      </c>
      <c r="I31" t="s">
        <v>15</v>
      </c>
      <c r="J31" t="s">
        <v>21</v>
      </c>
      <c r="K31" t="s">
        <v>22</v>
      </c>
      <c r="L31">
        <f>BDP($H31,"BICS_LEVEL_1_SECTOR_NAME")</f>
        <v/>
      </c>
      <c r="M31">
        <f>BDP($H31,"BICS_LEVEL_3_INDUSTRY_NAME")</f>
        <v/>
      </c>
    </row>
    <row r="32" spans="1:13">
      <c r="A32" t="s">
        <v>163</v>
      </c>
      <c r="B32" t="s">
        <v>14</v>
      </c>
      <c r="C32" t="s">
        <v>15</v>
      </c>
      <c r="D32" t="s">
        <v>164</v>
      </c>
      <c r="E32" t="s">
        <v>165</v>
      </c>
      <c r="F32" t="s">
        <v>18</v>
      </c>
      <c r="G32" t="s">
        <v>166</v>
      </c>
      <c r="H32" t="s">
        <v>167</v>
      </c>
      <c r="I32" t="s">
        <v>15</v>
      </c>
      <c r="J32" t="s">
        <v>21</v>
      </c>
      <c r="K32" t="s">
        <v>22</v>
      </c>
      <c r="L32">
        <f>BDP($H32,"BICS_LEVEL_1_SECTOR_NAME")</f>
        <v/>
      </c>
      <c r="M32">
        <f>BDP($H32,"BICS_LEVEL_3_INDUSTRY_NAME")</f>
        <v/>
      </c>
    </row>
    <row r="33" spans="1:13">
      <c r="A33" t="s">
        <v>168</v>
      </c>
      <c r="B33" t="s">
        <v>14</v>
      </c>
      <c r="C33" t="s">
        <v>15</v>
      </c>
      <c r="D33" t="s">
        <v>169</v>
      </c>
      <c r="E33" t="s">
        <v>170</v>
      </c>
      <c r="F33" t="s">
        <v>26</v>
      </c>
      <c r="G33" t="s">
        <v>171</v>
      </c>
      <c r="H33" t="s">
        <v>172</v>
      </c>
      <c r="I33" t="s">
        <v>15</v>
      </c>
      <c r="J33" t="s">
        <v>21</v>
      </c>
      <c r="K33" t="s">
        <v>22</v>
      </c>
      <c r="L33">
        <f>BDP($H33,"BICS_LEVEL_1_SECTOR_NAME")</f>
        <v/>
      </c>
      <c r="M33">
        <f>BDP($H33,"BICS_LEVEL_3_INDUSTRY_NAME")</f>
        <v/>
      </c>
    </row>
    <row r="34" spans="1:13">
      <c r="A34" t="s">
        <v>173</v>
      </c>
      <c r="B34" t="s">
        <v>14</v>
      </c>
      <c r="C34" t="s">
        <v>15</v>
      </c>
      <c r="D34" t="s">
        <v>174</v>
      </c>
      <c r="E34" t="s">
        <v>175</v>
      </c>
      <c r="F34" t="s">
        <v>32</v>
      </c>
      <c r="G34" t="s">
        <v>153</v>
      </c>
      <c r="H34" t="s">
        <v>176</v>
      </c>
      <c r="I34" t="s">
        <v>15</v>
      </c>
      <c r="J34" t="s">
        <v>21</v>
      </c>
      <c r="K34" t="s">
        <v>22</v>
      </c>
      <c r="L34">
        <f>BDP($H34,"BICS_LEVEL_1_SECTOR_NAME")</f>
        <v/>
      </c>
      <c r="M34">
        <f>BDP($H34,"BICS_LEVEL_3_INDUSTRY_NAME")</f>
        <v/>
      </c>
    </row>
    <row r="35" spans="1:13">
      <c r="A35" t="s">
        <v>177</v>
      </c>
      <c r="B35" t="s">
        <v>14</v>
      </c>
      <c r="C35" t="s">
        <v>15</v>
      </c>
      <c r="D35" t="s">
        <v>178</v>
      </c>
      <c r="E35" t="s">
        <v>179</v>
      </c>
      <c r="F35" t="s">
        <v>32</v>
      </c>
      <c r="G35" t="s">
        <v>33</v>
      </c>
      <c r="H35" t="s">
        <v>180</v>
      </c>
      <c r="I35" t="s">
        <v>15</v>
      </c>
      <c r="J35" t="s">
        <v>21</v>
      </c>
      <c r="K35" t="s">
        <v>22</v>
      </c>
      <c r="L35">
        <f>BDP($H35,"BICS_LEVEL_1_SECTOR_NAME")</f>
        <v/>
      </c>
      <c r="M35">
        <f>BDP($H35,"BICS_LEVEL_3_INDUSTRY_NAME")</f>
        <v/>
      </c>
    </row>
    <row r="36" spans="1:13">
      <c r="A36" t="s">
        <v>181</v>
      </c>
      <c r="B36" t="s">
        <v>14</v>
      </c>
      <c r="C36" t="s">
        <v>15</v>
      </c>
      <c r="D36" t="s">
        <v>182</v>
      </c>
      <c r="E36" t="s">
        <v>183</v>
      </c>
      <c r="F36" t="s">
        <v>74</v>
      </c>
      <c r="G36" t="s">
        <v>75</v>
      </c>
      <c r="H36" t="s">
        <v>184</v>
      </c>
      <c r="I36" t="s">
        <v>15</v>
      </c>
      <c r="J36" t="s">
        <v>21</v>
      </c>
      <c r="K36" t="s">
        <v>22</v>
      </c>
      <c r="L36">
        <f>BDP($H36,"BICS_LEVEL_1_SECTOR_NAME")</f>
        <v/>
      </c>
      <c r="M36">
        <f>BDP($H36,"BICS_LEVEL_3_INDUSTRY_NAME")</f>
        <v/>
      </c>
    </row>
    <row r="37" spans="1:13">
      <c r="A37" t="s">
        <v>185</v>
      </c>
      <c r="B37" t="s">
        <v>14</v>
      </c>
      <c r="C37" t="s">
        <v>15</v>
      </c>
      <c r="D37" t="s">
        <v>186</v>
      </c>
      <c r="E37" t="s">
        <v>187</v>
      </c>
      <c r="F37" t="s">
        <v>18</v>
      </c>
      <c r="G37" t="s">
        <v>188</v>
      </c>
      <c r="H37" t="s">
        <v>189</v>
      </c>
      <c r="I37" t="s">
        <v>15</v>
      </c>
      <c r="J37" t="s">
        <v>21</v>
      </c>
      <c r="K37" t="s">
        <v>22</v>
      </c>
      <c r="L37">
        <f>BDP($H37,"BICS_LEVEL_1_SECTOR_NAME")</f>
        <v/>
      </c>
      <c r="M37">
        <f>BDP($H37,"BICS_LEVEL_3_INDUSTRY_NAME")</f>
        <v/>
      </c>
    </row>
    <row r="38" spans="1:13">
      <c r="A38" t="s">
        <v>190</v>
      </c>
      <c r="B38" t="s">
        <v>14</v>
      </c>
      <c r="C38" t="s">
        <v>15</v>
      </c>
      <c r="D38" t="s">
        <v>191</v>
      </c>
      <c r="E38" t="s">
        <v>192</v>
      </c>
      <c r="F38" t="s">
        <v>32</v>
      </c>
      <c r="G38" t="s">
        <v>33</v>
      </c>
      <c r="H38" t="s">
        <v>193</v>
      </c>
      <c r="I38" t="s">
        <v>15</v>
      </c>
      <c r="J38" t="s">
        <v>21</v>
      </c>
      <c r="K38" t="s">
        <v>22</v>
      </c>
      <c r="L38">
        <f>BDP($H38,"BICS_LEVEL_1_SECTOR_NAME")</f>
        <v/>
      </c>
      <c r="M38">
        <f>BDP($H38,"BICS_LEVEL_3_INDUSTRY_NAME")</f>
        <v/>
      </c>
    </row>
    <row r="39" spans="1:13">
      <c r="A39" t="s">
        <v>194</v>
      </c>
      <c r="B39" t="s">
        <v>14</v>
      </c>
      <c r="C39" t="s">
        <v>15</v>
      </c>
      <c r="D39" t="s">
        <v>195</v>
      </c>
      <c r="E39" t="s">
        <v>196</v>
      </c>
      <c r="F39" t="s">
        <v>18</v>
      </c>
      <c r="G39" t="s">
        <v>197</v>
      </c>
      <c r="H39" t="s">
        <v>198</v>
      </c>
      <c r="I39" t="s">
        <v>15</v>
      </c>
      <c r="J39" t="s">
        <v>21</v>
      </c>
      <c r="K39" t="s">
        <v>22</v>
      </c>
      <c r="L39">
        <f>BDP($H39,"BICS_LEVEL_1_SECTOR_NAME")</f>
        <v/>
      </c>
      <c r="M39">
        <f>BDP($H39,"BICS_LEVEL_3_INDUSTRY_NAME")</f>
        <v/>
      </c>
    </row>
    <row r="40" spans="1:13">
      <c r="A40" t="s">
        <v>199</v>
      </c>
      <c r="B40" t="s">
        <v>14</v>
      </c>
      <c r="C40" t="s">
        <v>15</v>
      </c>
      <c r="D40" t="s">
        <v>200</v>
      </c>
      <c r="E40" t="s">
        <v>201</v>
      </c>
      <c r="F40" t="s">
        <v>18</v>
      </c>
      <c r="G40" t="s">
        <v>197</v>
      </c>
      <c r="H40" t="s">
        <v>202</v>
      </c>
      <c r="I40" t="s">
        <v>15</v>
      </c>
      <c r="J40" t="s">
        <v>21</v>
      </c>
      <c r="K40" t="s">
        <v>22</v>
      </c>
      <c r="L40">
        <f>BDP($H40,"BICS_LEVEL_1_SECTOR_NAME")</f>
        <v/>
      </c>
      <c r="M40">
        <f>BDP($H40,"BICS_LEVEL_3_INDUSTRY_NAME")</f>
        <v/>
      </c>
    </row>
    <row r="41" spans="1:13">
      <c r="A41" t="s">
        <v>203</v>
      </c>
      <c r="B41" t="s">
        <v>14</v>
      </c>
      <c r="C41" t="s">
        <v>15</v>
      </c>
      <c r="D41" t="s">
        <v>204</v>
      </c>
      <c r="E41" t="s">
        <v>205</v>
      </c>
      <c r="F41" t="s">
        <v>18</v>
      </c>
      <c r="G41" t="s">
        <v>206</v>
      </c>
      <c r="H41" t="s">
        <v>207</v>
      </c>
      <c r="I41" t="s">
        <v>15</v>
      </c>
      <c r="J41" t="s">
        <v>21</v>
      </c>
      <c r="K41" t="s">
        <v>22</v>
      </c>
      <c r="L41">
        <f>BDP($H41,"BICS_LEVEL_1_SECTOR_NAME")</f>
        <v/>
      </c>
      <c r="M41">
        <f>BDP($H41,"BICS_LEVEL_3_INDUSTRY_NAME")</f>
        <v/>
      </c>
    </row>
    <row r="42" spans="1:13">
      <c r="A42" t="s">
        <v>208</v>
      </c>
      <c r="B42" t="s">
        <v>14</v>
      </c>
      <c r="C42" t="s">
        <v>15</v>
      </c>
      <c r="D42" t="s">
        <v>209</v>
      </c>
      <c r="E42" t="s">
        <v>210</v>
      </c>
      <c r="F42" t="s">
        <v>26</v>
      </c>
      <c r="G42" t="s">
        <v>211</v>
      </c>
      <c r="H42" t="s">
        <v>212</v>
      </c>
      <c r="I42" t="s">
        <v>15</v>
      </c>
      <c r="J42" t="s">
        <v>21</v>
      </c>
      <c r="K42" t="s">
        <v>22</v>
      </c>
      <c r="L42">
        <f>BDP($H42,"BICS_LEVEL_1_SECTOR_NAME")</f>
        <v/>
      </c>
      <c r="M42">
        <f>BDP($H42,"BICS_LEVEL_3_INDUSTRY_NAME")</f>
        <v/>
      </c>
    </row>
    <row r="43" spans="1:13">
      <c r="A43" t="s">
        <v>213</v>
      </c>
      <c r="B43" t="s">
        <v>14</v>
      </c>
      <c r="C43" t="s">
        <v>15</v>
      </c>
      <c r="D43" t="s">
        <v>214</v>
      </c>
      <c r="E43" t="s">
        <v>215</v>
      </c>
      <c r="F43" t="s">
        <v>26</v>
      </c>
      <c r="G43" t="s">
        <v>216</v>
      </c>
      <c r="H43" t="s">
        <v>217</v>
      </c>
      <c r="I43" t="s">
        <v>15</v>
      </c>
      <c r="J43" t="s">
        <v>21</v>
      </c>
      <c r="K43" t="s">
        <v>22</v>
      </c>
      <c r="L43">
        <f>BDP($H43,"BICS_LEVEL_1_SECTOR_NAME")</f>
        <v/>
      </c>
      <c r="M43">
        <f>BDP($H43,"BICS_LEVEL_3_INDUSTRY_NAME")</f>
        <v/>
      </c>
    </row>
    <row r="44" spans="1:13">
      <c r="A44" t="s">
        <v>218</v>
      </c>
      <c r="B44" t="s">
        <v>14</v>
      </c>
      <c r="C44" t="s">
        <v>15</v>
      </c>
      <c r="D44" t="s">
        <v>219</v>
      </c>
      <c r="E44" t="s">
        <v>220</v>
      </c>
      <c r="F44" t="s">
        <v>26</v>
      </c>
      <c r="G44" t="s">
        <v>171</v>
      </c>
      <c r="H44" t="s">
        <v>221</v>
      </c>
      <c r="I44" t="s">
        <v>15</v>
      </c>
      <c r="J44" t="s">
        <v>21</v>
      </c>
      <c r="K44" t="s">
        <v>22</v>
      </c>
      <c r="L44">
        <f>BDP($H44,"BICS_LEVEL_1_SECTOR_NAME")</f>
        <v/>
      </c>
      <c r="M44">
        <f>BDP($H44,"BICS_LEVEL_3_INDUSTRY_NAME")</f>
        <v/>
      </c>
    </row>
    <row r="45" spans="1:13">
      <c r="A45" t="s">
        <v>222</v>
      </c>
      <c r="B45" t="s">
        <v>14</v>
      </c>
      <c r="C45" t="s">
        <v>15</v>
      </c>
      <c r="D45" t="s">
        <v>223</v>
      </c>
      <c r="E45" t="s">
        <v>224</v>
      </c>
      <c r="F45" t="s">
        <v>18</v>
      </c>
      <c r="G45" t="s">
        <v>225</v>
      </c>
      <c r="H45" t="s">
        <v>226</v>
      </c>
      <c r="I45" t="s">
        <v>15</v>
      </c>
      <c r="J45" t="s">
        <v>21</v>
      </c>
      <c r="K45" t="s">
        <v>22</v>
      </c>
      <c r="L45">
        <f>BDP($H45,"BICS_LEVEL_1_SECTOR_NAME")</f>
        <v/>
      </c>
      <c r="M45">
        <f>BDP($H45,"BICS_LEVEL_3_INDUSTRY_NAME")</f>
        <v/>
      </c>
    </row>
    <row r="46" spans="1:13">
      <c r="A46" t="s">
        <v>227</v>
      </c>
      <c r="B46" t="s">
        <v>14</v>
      </c>
      <c r="C46" t="s">
        <v>15</v>
      </c>
      <c r="D46" t="s">
        <v>228</v>
      </c>
      <c r="E46" t="s">
        <v>229</v>
      </c>
      <c r="F46" t="s">
        <v>32</v>
      </c>
      <c r="G46" t="s">
        <v>153</v>
      </c>
      <c r="H46" t="s">
        <v>230</v>
      </c>
      <c r="I46" t="s">
        <v>15</v>
      </c>
      <c r="J46" t="s">
        <v>21</v>
      </c>
      <c r="K46" t="s">
        <v>22</v>
      </c>
      <c r="L46">
        <f>BDP($H46,"BICS_LEVEL_1_SECTOR_NAME")</f>
        <v/>
      </c>
      <c r="M46">
        <f>BDP($H46,"BICS_LEVEL_3_INDUSTRY_NAME")</f>
        <v/>
      </c>
    </row>
    <row r="47" spans="1:13">
      <c r="A47" t="s">
        <v>231</v>
      </c>
      <c r="B47" t="s">
        <v>14</v>
      </c>
      <c r="C47" t="s">
        <v>15</v>
      </c>
      <c r="D47" t="s">
        <v>232</v>
      </c>
      <c r="E47" t="s">
        <v>233</v>
      </c>
      <c r="F47" t="s">
        <v>84</v>
      </c>
      <c r="G47" t="s">
        <v>234</v>
      </c>
      <c r="H47" t="s">
        <v>235</v>
      </c>
      <c r="I47" t="s">
        <v>15</v>
      </c>
      <c r="J47" t="s">
        <v>21</v>
      </c>
      <c r="K47" t="s">
        <v>22</v>
      </c>
      <c r="L47">
        <f>BDP($H47,"BICS_LEVEL_1_SECTOR_NAME")</f>
        <v/>
      </c>
      <c r="M47">
        <f>BDP($H47,"BICS_LEVEL_3_INDUSTRY_NAME")</f>
        <v/>
      </c>
    </row>
    <row r="48" spans="1:13">
      <c r="A48" t="s">
        <v>236</v>
      </c>
      <c r="B48" t="s">
        <v>14</v>
      </c>
      <c r="C48" t="s">
        <v>15</v>
      </c>
      <c r="D48" t="s">
        <v>237</v>
      </c>
      <c r="E48" t="s">
        <v>238</v>
      </c>
      <c r="F48" t="s">
        <v>18</v>
      </c>
      <c r="G48" t="s">
        <v>239</v>
      </c>
      <c r="H48" t="s">
        <v>240</v>
      </c>
      <c r="I48" t="s">
        <v>15</v>
      </c>
      <c r="J48" t="s">
        <v>21</v>
      </c>
      <c r="K48" t="s">
        <v>22</v>
      </c>
      <c r="L48">
        <f>BDP($H48,"BICS_LEVEL_1_SECTOR_NAME")</f>
        <v/>
      </c>
      <c r="M48">
        <f>BDP($H48,"BICS_LEVEL_3_INDUSTRY_NAME")</f>
        <v/>
      </c>
    </row>
    <row r="49" spans="1:13">
      <c r="A49" t="s">
        <v>241</v>
      </c>
      <c r="B49" t="s">
        <v>14</v>
      </c>
      <c r="C49" t="s">
        <v>15</v>
      </c>
      <c r="D49" t="s">
        <v>242</v>
      </c>
      <c r="E49" t="s">
        <v>243</v>
      </c>
      <c r="F49" t="s">
        <v>244</v>
      </c>
      <c r="G49" t="s">
        <v>245</v>
      </c>
      <c r="H49" t="s">
        <v>246</v>
      </c>
      <c r="I49" t="s">
        <v>15</v>
      </c>
      <c r="J49" t="s">
        <v>21</v>
      </c>
      <c r="K49" t="s">
        <v>22</v>
      </c>
      <c r="L49">
        <f>BDP($H49,"BICS_LEVEL_1_SECTOR_NAME")</f>
        <v/>
      </c>
      <c r="M49">
        <f>BDP($H49,"BICS_LEVEL_3_INDUSTRY_NAME")</f>
        <v/>
      </c>
    </row>
    <row r="50" spans="1:13">
      <c r="A50" t="s">
        <v>247</v>
      </c>
      <c r="B50" t="s">
        <v>14</v>
      </c>
      <c r="C50" t="s">
        <v>15</v>
      </c>
      <c r="D50" t="s">
        <v>248</v>
      </c>
      <c r="E50" t="s">
        <v>249</v>
      </c>
      <c r="F50" t="s">
        <v>74</v>
      </c>
      <c r="G50" t="s">
        <v>250</v>
      </c>
      <c r="H50" t="s">
        <v>251</v>
      </c>
      <c r="I50" t="s">
        <v>15</v>
      </c>
      <c r="J50" t="s">
        <v>21</v>
      </c>
      <c r="K50" t="s">
        <v>22</v>
      </c>
      <c r="L50">
        <f>BDP($H50,"BICS_LEVEL_1_SECTOR_NAME")</f>
        <v/>
      </c>
      <c r="M50">
        <f>BDP($H50,"BICS_LEVEL_3_INDUSTRY_NAME")</f>
        <v/>
      </c>
    </row>
    <row r="51" spans="1:13">
      <c r="A51" t="s">
        <v>252</v>
      </c>
      <c r="B51" t="s">
        <v>14</v>
      </c>
      <c r="C51" t="s">
        <v>15</v>
      </c>
      <c r="D51" t="s">
        <v>253</v>
      </c>
      <c r="E51" t="s">
        <v>254</v>
      </c>
      <c r="F51" t="s">
        <v>18</v>
      </c>
      <c r="G51" t="s">
        <v>255</v>
      </c>
      <c r="H51" t="s">
        <v>256</v>
      </c>
      <c r="I51" t="s">
        <v>15</v>
      </c>
      <c r="J51" t="s">
        <v>21</v>
      </c>
      <c r="K51" t="s">
        <v>22</v>
      </c>
      <c r="L51">
        <f>BDP($H51,"BICS_LEVEL_1_SECTOR_NAME")</f>
        <v/>
      </c>
      <c r="M51">
        <f>BDP($H51,"BICS_LEVEL_3_INDUSTRY_NAME")</f>
        <v/>
      </c>
    </row>
    <row r="52" spans="1:13">
      <c r="A52" t="s">
        <v>257</v>
      </c>
      <c r="B52" t="s">
        <v>14</v>
      </c>
      <c r="C52" t="s">
        <v>15</v>
      </c>
      <c r="D52" t="s">
        <v>258</v>
      </c>
      <c r="E52" t="s">
        <v>259</v>
      </c>
      <c r="F52" t="s">
        <v>95</v>
      </c>
      <c r="G52" t="s">
        <v>260</v>
      </c>
      <c r="H52" t="s">
        <v>261</v>
      </c>
      <c r="I52" t="s">
        <v>15</v>
      </c>
      <c r="J52" t="s">
        <v>21</v>
      </c>
      <c r="K52" t="s">
        <v>22</v>
      </c>
      <c r="L52">
        <f>BDP($H52,"BICS_LEVEL_1_SECTOR_NAME")</f>
        <v/>
      </c>
      <c r="M52">
        <f>BDP($H52,"BICS_LEVEL_3_INDUSTRY_NAME")</f>
        <v/>
      </c>
    </row>
    <row r="53" spans="1:13">
      <c r="A53" t="s">
        <v>262</v>
      </c>
      <c r="B53" t="s">
        <v>14</v>
      </c>
      <c r="C53" t="s">
        <v>15</v>
      </c>
      <c r="D53" t="s">
        <v>263</v>
      </c>
      <c r="E53" t="s">
        <v>264</v>
      </c>
      <c r="F53" t="s">
        <v>18</v>
      </c>
      <c r="G53" t="s">
        <v>265</v>
      </c>
      <c r="H53" t="s">
        <v>266</v>
      </c>
      <c r="I53" t="s">
        <v>15</v>
      </c>
      <c r="J53" t="s">
        <v>21</v>
      </c>
      <c r="K53" t="s">
        <v>22</v>
      </c>
      <c r="L53">
        <f>BDP($H53,"BICS_LEVEL_1_SECTOR_NAME")</f>
        <v/>
      </c>
      <c r="M53">
        <f>BDP($H53,"BICS_LEVEL_3_INDUSTRY_NAME")</f>
        <v/>
      </c>
    </row>
    <row r="54" spans="1:13">
      <c r="A54" t="s">
        <v>267</v>
      </c>
      <c r="B54" t="s">
        <v>14</v>
      </c>
      <c r="C54" t="s">
        <v>15</v>
      </c>
      <c r="D54" t="s">
        <v>268</v>
      </c>
      <c r="E54" t="s">
        <v>269</v>
      </c>
      <c r="F54" t="s">
        <v>74</v>
      </c>
      <c r="G54" t="s">
        <v>270</v>
      </c>
      <c r="H54" t="s">
        <v>271</v>
      </c>
      <c r="I54" t="s">
        <v>15</v>
      </c>
      <c r="J54" t="s">
        <v>21</v>
      </c>
      <c r="K54" t="s">
        <v>22</v>
      </c>
      <c r="L54">
        <f>BDP($H54,"BICS_LEVEL_1_SECTOR_NAME")</f>
        <v/>
      </c>
      <c r="M54">
        <f>BDP($H54,"BICS_LEVEL_3_INDUSTRY_NAME")</f>
        <v/>
      </c>
    </row>
    <row r="55" spans="1:13">
      <c r="A55" t="s">
        <v>272</v>
      </c>
      <c r="B55" t="s">
        <v>14</v>
      </c>
      <c r="C55" t="s">
        <v>15</v>
      </c>
      <c r="D55" t="s">
        <v>273</v>
      </c>
      <c r="E55" t="s">
        <v>274</v>
      </c>
      <c r="F55" t="s">
        <v>32</v>
      </c>
      <c r="G55" t="s">
        <v>275</v>
      </c>
      <c r="H55" t="s">
        <v>276</v>
      </c>
      <c r="I55" t="s">
        <v>15</v>
      </c>
      <c r="J55" t="s">
        <v>21</v>
      </c>
      <c r="K55" t="s">
        <v>22</v>
      </c>
      <c r="L55">
        <f>BDP($H55,"BICS_LEVEL_1_SECTOR_NAME")</f>
        <v/>
      </c>
      <c r="M55">
        <f>BDP($H55,"BICS_LEVEL_3_INDUSTRY_NAME")</f>
        <v/>
      </c>
    </row>
    <row r="56" spans="1:13">
      <c r="A56" t="s">
        <v>277</v>
      </c>
      <c r="B56" t="s">
        <v>14</v>
      </c>
      <c r="C56" t="s">
        <v>15</v>
      </c>
      <c r="D56" t="s">
        <v>278</v>
      </c>
      <c r="E56" t="s">
        <v>279</v>
      </c>
      <c r="F56" t="s">
        <v>32</v>
      </c>
      <c r="G56" t="s">
        <v>280</v>
      </c>
      <c r="H56" t="s">
        <v>281</v>
      </c>
      <c r="I56" t="s">
        <v>15</v>
      </c>
      <c r="J56" t="s">
        <v>21</v>
      </c>
      <c r="K56" t="s">
        <v>22</v>
      </c>
      <c r="L56">
        <f>BDP($H56,"BICS_LEVEL_1_SECTOR_NAME")</f>
        <v/>
      </c>
      <c r="M56">
        <f>BDP($H56,"BICS_LEVEL_3_INDUSTRY_NAME")</f>
        <v/>
      </c>
    </row>
    <row r="57" spans="1:13">
      <c r="A57" t="s">
        <v>282</v>
      </c>
      <c r="B57" t="s">
        <v>14</v>
      </c>
      <c r="C57" t="s">
        <v>15</v>
      </c>
      <c r="D57" t="s">
        <v>283</v>
      </c>
      <c r="E57" t="s">
        <v>284</v>
      </c>
      <c r="F57" t="s">
        <v>18</v>
      </c>
      <c r="G57" t="s">
        <v>225</v>
      </c>
      <c r="H57" t="s">
        <v>285</v>
      </c>
      <c r="I57" t="s">
        <v>15</v>
      </c>
      <c r="J57" t="s">
        <v>21</v>
      </c>
      <c r="K57" t="s">
        <v>22</v>
      </c>
      <c r="L57">
        <f>BDP($H57,"BICS_LEVEL_1_SECTOR_NAME")</f>
        <v/>
      </c>
      <c r="M57">
        <f>BDP($H57,"BICS_LEVEL_3_INDUSTRY_NAME")</f>
        <v/>
      </c>
    </row>
    <row r="58" spans="1:13">
      <c r="A58" t="s">
        <v>286</v>
      </c>
      <c r="B58" t="s">
        <v>14</v>
      </c>
      <c r="C58" t="s">
        <v>15</v>
      </c>
      <c r="D58" t="s">
        <v>287</v>
      </c>
      <c r="E58" t="s">
        <v>288</v>
      </c>
      <c r="F58" t="s">
        <v>18</v>
      </c>
      <c r="G58" t="s">
        <v>206</v>
      </c>
      <c r="H58" t="s">
        <v>289</v>
      </c>
      <c r="I58" t="s">
        <v>15</v>
      </c>
      <c r="J58" t="s">
        <v>21</v>
      </c>
      <c r="K58" t="s">
        <v>22</v>
      </c>
      <c r="L58">
        <f>BDP($H58,"BICS_LEVEL_1_SECTOR_NAME")</f>
        <v/>
      </c>
      <c r="M58">
        <f>BDP($H58,"BICS_LEVEL_3_INDUSTRY_NAME")</f>
        <v/>
      </c>
    </row>
    <row r="59" spans="1:13">
      <c r="A59" t="s">
        <v>290</v>
      </c>
      <c r="B59" t="s">
        <v>14</v>
      </c>
      <c r="C59" t="s">
        <v>15</v>
      </c>
      <c r="D59" t="s">
        <v>291</v>
      </c>
      <c r="E59" t="s">
        <v>292</v>
      </c>
      <c r="F59" t="s">
        <v>26</v>
      </c>
      <c r="G59" t="s">
        <v>293</v>
      </c>
      <c r="H59" t="s">
        <v>294</v>
      </c>
      <c r="I59" t="s">
        <v>15</v>
      </c>
      <c r="J59" t="s">
        <v>21</v>
      </c>
      <c r="K59" t="s">
        <v>22</v>
      </c>
      <c r="L59">
        <f>BDP($H59,"BICS_LEVEL_1_SECTOR_NAME")</f>
        <v/>
      </c>
      <c r="M59">
        <f>BDP($H59,"BICS_LEVEL_3_INDUSTRY_NAME")</f>
        <v/>
      </c>
    </row>
    <row r="60" spans="1:13">
      <c r="A60" t="s">
        <v>295</v>
      </c>
      <c r="B60" t="s">
        <v>14</v>
      </c>
      <c r="C60" t="s">
        <v>15</v>
      </c>
      <c r="D60" t="s">
        <v>296</v>
      </c>
      <c r="E60" t="s">
        <v>297</v>
      </c>
      <c r="F60" t="s">
        <v>74</v>
      </c>
      <c r="G60" t="s">
        <v>298</v>
      </c>
      <c r="H60" t="s">
        <v>299</v>
      </c>
      <c r="I60" t="s">
        <v>15</v>
      </c>
      <c r="J60" t="s">
        <v>21</v>
      </c>
      <c r="K60" t="s">
        <v>22</v>
      </c>
      <c r="L60">
        <f>BDP($H60,"BICS_LEVEL_1_SECTOR_NAME")</f>
        <v/>
      </c>
      <c r="M60">
        <f>BDP($H60,"BICS_LEVEL_3_INDUSTRY_NAME")</f>
        <v/>
      </c>
    </row>
    <row r="61" spans="1:13">
      <c r="A61" t="s">
        <v>300</v>
      </c>
      <c r="B61" t="s">
        <v>14</v>
      </c>
      <c r="C61" t="s">
        <v>15</v>
      </c>
      <c r="D61" t="s">
        <v>301</v>
      </c>
      <c r="E61" t="s">
        <v>302</v>
      </c>
      <c r="F61" t="s">
        <v>18</v>
      </c>
      <c r="G61" t="s">
        <v>303</v>
      </c>
      <c r="H61" t="s">
        <v>304</v>
      </c>
      <c r="I61" t="s">
        <v>15</v>
      </c>
      <c r="J61" t="s">
        <v>21</v>
      </c>
      <c r="K61" t="s">
        <v>22</v>
      </c>
      <c r="L61">
        <f>BDP($H61,"BICS_LEVEL_1_SECTOR_NAME")</f>
        <v/>
      </c>
      <c r="M61">
        <f>BDP($H61,"BICS_LEVEL_3_INDUSTRY_NAME")</f>
        <v/>
      </c>
    </row>
    <row r="62" spans="1:13">
      <c r="A62" t="s">
        <v>305</v>
      </c>
      <c r="B62" t="s">
        <v>14</v>
      </c>
      <c r="C62" t="s">
        <v>15</v>
      </c>
      <c r="D62" t="s">
        <v>306</v>
      </c>
      <c r="E62" t="s">
        <v>307</v>
      </c>
      <c r="F62" t="s">
        <v>32</v>
      </c>
      <c r="G62" t="s">
        <v>275</v>
      </c>
      <c r="H62" t="s">
        <v>308</v>
      </c>
      <c r="I62" t="s">
        <v>15</v>
      </c>
      <c r="J62" t="s">
        <v>21</v>
      </c>
      <c r="K62" t="s">
        <v>22</v>
      </c>
      <c r="L62">
        <f>BDP($H62,"BICS_LEVEL_1_SECTOR_NAME")</f>
        <v/>
      </c>
      <c r="M62">
        <f>BDP($H62,"BICS_LEVEL_3_INDUSTRY_NAME")</f>
        <v/>
      </c>
    </row>
    <row r="63" spans="1:13">
      <c r="A63" t="s">
        <v>309</v>
      </c>
      <c r="B63" t="s">
        <v>14</v>
      </c>
      <c r="C63" t="s">
        <v>15</v>
      </c>
      <c r="D63" t="s">
        <v>310</v>
      </c>
      <c r="E63" t="s">
        <v>311</v>
      </c>
      <c r="F63" t="s">
        <v>74</v>
      </c>
      <c r="G63" t="s">
        <v>75</v>
      </c>
      <c r="H63" t="s">
        <v>312</v>
      </c>
      <c r="I63" t="s">
        <v>15</v>
      </c>
      <c r="J63" t="s">
        <v>21</v>
      </c>
      <c r="K63" t="s">
        <v>22</v>
      </c>
      <c r="L63">
        <f>BDP($H63,"BICS_LEVEL_1_SECTOR_NAME")</f>
        <v/>
      </c>
      <c r="M63">
        <f>BDP($H63,"BICS_LEVEL_3_INDUSTRY_NAME")</f>
        <v/>
      </c>
    </row>
    <row r="64" spans="1:13">
      <c r="A64" t="s">
        <v>313</v>
      </c>
      <c r="B64" t="s">
        <v>14</v>
      </c>
      <c r="C64" t="s">
        <v>15</v>
      </c>
      <c r="D64" t="s">
        <v>314</v>
      </c>
      <c r="E64" t="s">
        <v>315</v>
      </c>
      <c r="F64" t="s">
        <v>18</v>
      </c>
      <c r="G64" t="s">
        <v>316</v>
      </c>
      <c r="H64" t="s">
        <v>317</v>
      </c>
      <c r="I64" t="s">
        <v>15</v>
      </c>
      <c r="J64" t="s">
        <v>21</v>
      </c>
      <c r="K64" t="s">
        <v>22</v>
      </c>
      <c r="L64">
        <f>BDP($H64,"BICS_LEVEL_1_SECTOR_NAME")</f>
        <v/>
      </c>
      <c r="M64">
        <f>BDP($H64,"BICS_LEVEL_3_INDUSTRY_NAME")</f>
        <v/>
      </c>
    </row>
    <row r="65" spans="1:13">
      <c r="A65" t="s">
        <v>318</v>
      </c>
      <c r="B65" t="s">
        <v>14</v>
      </c>
      <c r="C65" t="s">
        <v>15</v>
      </c>
      <c r="D65" t="s">
        <v>319</v>
      </c>
      <c r="E65" t="s">
        <v>320</v>
      </c>
      <c r="F65" t="s">
        <v>18</v>
      </c>
      <c r="G65" t="s">
        <v>321</v>
      </c>
      <c r="H65" t="s">
        <v>322</v>
      </c>
      <c r="I65" t="s">
        <v>15</v>
      </c>
      <c r="J65" t="s">
        <v>21</v>
      </c>
      <c r="K65" t="s">
        <v>22</v>
      </c>
      <c r="L65">
        <f>BDP($H65,"BICS_LEVEL_1_SECTOR_NAME")</f>
        <v/>
      </c>
      <c r="M65">
        <f>BDP($H65,"BICS_LEVEL_3_INDUSTRY_NAME")</f>
        <v/>
      </c>
    </row>
    <row r="66" spans="1:13">
      <c r="A66" t="s">
        <v>323</v>
      </c>
      <c r="B66" t="s">
        <v>14</v>
      </c>
      <c r="C66" t="s">
        <v>15</v>
      </c>
      <c r="D66" t="s">
        <v>324</v>
      </c>
      <c r="E66" t="s">
        <v>325</v>
      </c>
      <c r="F66" t="s">
        <v>74</v>
      </c>
      <c r="G66" t="s">
        <v>326</v>
      </c>
      <c r="H66" t="s">
        <v>327</v>
      </c>
      <c r="I66" t="s">
        <v>15</v>
      </c>
      <c r="J66" t="s">
        <v>21</v>
      </c>
      <c r="K66" t="s">
        <v>22</v>
      </c>
      <c r="L66">
        <f>BDP($H66,"BICS_LEVEL_1_SECTOR_NAME")</f>
        <v/>
      </c>
      <c r="M66">
        <f>BDP($H66,"BICS_LEVEL_3_INDUSTRY_NAME")</f>
        <v/>
      </c>
    </row>
    <row r="67" spans="1:13">
      <c r="A67" t="s">
        <v>328</v>
      </c>
      <c r="B67" t="s">
        <v>14</v>
      </c>
      <c r="C67" t="s">
        <v>15</v>
      </c>
      <c r="D67" t="s">
        <v>329</v>
      </c>
      <c r="E67" t="s">
        <v>330</v>
      </c>
      <c r="F67" t="s">
        <v>26</v>
      </c>
      <c r="G67" t="s">
        <v>331</v>
      </c>
      <c r="H67" t="s">
        <v>332</v>
      </c>
      <c r="I67" t="s">
        <v>15</v>
      </c>
      <c r="J67" t="s">
        <v>21</v>
      </c>
      <c r="K67" t="s">
        <v>22</v>
      </c>
      <c r="L67">
        <f>BDP($H67,"BICS_LEVEL_1_SECTOR_NAME")</f>
        <v/>
      </c>
      <c r="M67">
        <f>BDP($H67,"BICS_LEVEL_3_INDUSTRY_NAME")</f>
        <v/>
      </c>
    </row>
    <row r="68" spans="1:13">
      <c r="A68" t="s">
        <v>333</v>
      </c>
      <c r="B68" t="s">
        <v>14</v>
      </c>
      <c r="C68" t="s">
        <v>15</v>
      </c>
      <c r="D68" t="s">
        <v>334</v>
      </c>
      <c r="E68" t="s">
        <v>335</v>
      </c>
      <c r="F68" t="s">
        <v>18</v>
      </c>
      <c r="G68" t="s">
        <v>336</v>
      </c>
      <c r="H68" t="s">
        <v>337</v>
      </c>
      <c r="I68" t="s">
        <v>15</v>
      </c>
      <c r="J68" t="s">
        <v>21</v>
      </c>
      <c r="K68" t="s">
        <v>22</v>
      </c>
      <c r="L68">
        <f>BDP($H68,"BICS_LEVEL_1_SECTOR_NAME")</f>
        <v/>
      </c>
      <c r="M68">
        <f>BDP($H68,"BICS_LEVEL_3_INDUSTRY_NAME")</f>
        <v/>
      </c>
    </row>
    <row r="69" spans="1:13">
      <c r="A69" t="s">
        <v>338</v>
      </c>
      <c r="B69" t="s">
        <v>14</v>
      </c>
      <c r="C69" t="s">
        <v>15</v>
      </c>
      <c r="D69" t="s">
        <v>339</v>
      </c>
      <c r="E69" t="s">
        <v>340</v>
      </c>
      <c r="F69" t="s">
        <v>18</v>
      </c>
      <c r="G69" t="s">
        <v>336</v>
      </c>
      <c r="H69" t="s">
        <v>341</v>
      </c>
      <c r="I69" t="s">
        <v>15</v>
      </c>
      <c r="J69" t="s">
        <v>21</v>
      </c>
      <c r="K69" t="s">
        <v>22</v>
      </c>
      <c r="L69">
        <f>BDP($H69,"BICS_LEVEL_1_SECTOR_NAME")</f>
        <v/>
      </c>
      <c r="M69">
        <f>BDP($H69,"BICS_LEVEL_3_INDUSTRY_NAME")</f>
        <v/>
      </c>
    </row>
    <row r="70" spans="1:13">
      <c r="A70" t="s">
        <v>342</v>
      </c>
      <c r="B70" t="s">
        <v>14</v>
      </c>
      <c r="C70" t="s">
        <v>15</v>
      </c>
      <c r="D70" t="s">
        <v>343</v>
      </c>
      <c r="E70" t="s">
        <v>344</v>
      </c>
      <c r="F70" t="s">
        <v>74</v>
      </c>
      <c r="G70" t="s">
        <v>75</v>
      </c>
      <c r="H70" t="s">
        <v>345</v>
      </c>
      <c r="I70" t="s">
        <v>15</v>
      </c>
      <c r="J70" t="s">
        <v>21</v>
      </c>
      <c r="K70" t="s">
        <v>22</v>
      </c>
      <c r="L70">
        <f>BDP($H70,"BICS_LEVEL_1_SECTOR_NAME")</f>
        <v/>
      </c>
      <c r="M70">
        <f>BDP($H70,"BICS_LEVEL_3_INDUSTRY_NAME")</f>
        <v/>
      </c>
    </row>
    <row r="71" spans="1:13">
      <c r="A71" t="s">
        <v>346</v>
      </c>
      <c r="B71" t="s">
        <v>14</v>
      </c>
      <c r="C71" t="s">
        <v>15</v>
      </c>
      <c r="D71" t="s">
        <v>347</v>
      </c>
      <c r="E71" t="s">
        <v>348</v>
      </c>
      <c r="F71" t="s">
        <v>18</v>
      </c>
      <c r="G71" t="s">
        <v>349</v>
      </c>
      <c r="H71" t="s">
        <v>350</v>
      </c>
      <c r="I71" t="s">
        <v>15</v>
      </c>
      <c r="J71" t="s">
        <v>21</v>
      </c>
      <c r="K71" t="s">
        <v>22</v>
      </c>
      <c r="L71">
        <f>BDP($H71,"BICS_LEVEL_1_SECTOR_NAME")</f>
        <v/>
      </c>
      <c r="M71">
        <f>BDP($H71,"BICS_LEVEL_3_INDUSTRY_NAME")</f>
        <v/>
      </c>
    </row>
    <row r="72" spans="1:13">
      <c r="A72" t="s">
        <v>351</v>
      </c>
      <c r="B72" t="s">
        <v>14</v>
      </c>
      <c r="C72" t="s">
        <v>15</v>
      </c>
      <c r="D72" t="s">
        <v>352</v>
      </c>
      <c r="E72" t="s">
        <v>353</v>
      </c>
      <c r="F72" t="s">
        <v>32</v>
      </c>
      <c r="G72" t="s">
        <v>33</v>
      </c>
      <c r="H72" t="s">
        <v>354</v>
      </c>
      <c r="I72" t="s">
        <v>15</v>
      </c>
      <c r="J72" t="s">
        <v>21</v>
      </c>
      <c r="K72" t="s">
        <v>22</v>
      </c>
      <c r="L72">
        <f>BDP($H72,"BICS_LEVEL_1_SECTOR_NAME")</f>
        <v/>
      </c>
      <c r="M72">
        <f>BDP($H72,"BICS_LEVEL_3_INDUSTRY_NAME")</f>
        <v/>
      </c>
    </row>
    <row r="73" spans="1:13">
      <c r="A73" t="s">
        <v>355</v>
      </c>
      <c r="B73" t="s">
        <v>14</v>
      </c>
      <c r="C73" t="s">
        <v>15</v>
      </c>
      <c r="D73" t="s">
        <v>356</v>
      </c>
      <c r="E73" t="s">
        <v>357</v>
      </c>
      <c r="F73" t="s">
        <v>26</v>
      </c>
      <c r="G73" t="s">
        <v>293</v>
      </c>
      <c r="H73" t="s">
        <v>358</v>
      </c>
      <c r="I73" t="s">
        <v>15</v>
      </c>
      <c r="J73" t="s">
        <v>21</v>
      </c>
      <c r="K73" t="s">
        <v>22</v>
      </c>
      <c r="L73">
        <f>BDP($H73,"BICS_LEVEL_1_SECTOR_NAME")</f>
        <v/>
      </c>
      <c r="M73">
        <f>BDP($H73,"BICS_LEVEL_3_INDUSTRY_NAME")</f>
        <v/>
      </c>
    </row>
    <row r="74" spans="1:13">
      <c r="A74" t="s">
        <v>359</v>
      </c>
      <c r="B74" t="s">
        <v>14</v>
      </c>
      <c r="C74" t="s">
        <v>15</v>
      </c>
      <c r="D74" t="s">
        <v>360</v>
      </c>
      <c r="E74" t="s">
        <v>361</v>
      </c>
      <c r="F74" t="s">
        <v>32</v>
      </c>
      <c r="G74" t="s">
        <v>280</v>
      </c>
      <c r="H74" t="s">
        <v>362</v>
      </c>
      <c r="I74" t="s">
        <v>15</v>
      </c>
      <c r="J74" t="s">
        <v>21</v>
      </c>
      <c r="K74" t="s">
        <v>22</v>
      </c>
      <c r="L74">
        <f>BDP($H74,"BICS_LEVEL_1_SECTOR_NAME")</f>
        <v/>
      </c>
      <c r="M74">
        <f>BDP($H74,"BICS_LEVEL_3_INDUSTRY_NAME")</f>
        <v/>
      </c>
    </row>
    <row r="75" spans="1:13">
      <c r="A75" t="s">
        <v>363</v>
      </c>
      <c r="B75" t="s">
        <v>14</v>
      </c>
      <c r="C75" t="s">
        <v>15</v>
      </c>
      <c r="D75" t="s">
        <v>364</v>
      </c>
      <c r="E75" t="s">
        <v>365</v>
      </c>
      <c r="F75" t="s">
        <v>18</v>
      </c>
      <c r="G75" t="s">
        <v>366</v>
      </c>
      <c r="H75" t="s">
        <v>367</v>
      </c>
      <c r="I75" t="s">
        <v>15</v>
      </c>
      <c r="J75" t="s">
        <v>21</v>
      </c>
      <c r="K75" t="s">
        <v>22</v>
      </c>
      <c r="L75">
        <f>BDP($H75,"BICS_LEVEL_1_SECTOR_NAME")</f>
        <v/>
      </c>
      <c r="M75">
        <f>BDP($H75,"BICS_LEVEL_3_INDUSTRY_NAME")</f>
        <v/>
      </c>
    </row>
    <row r="76" spans="1:13">
      <c r="A76" t="s">
        <v>368</v>
      </c>
      <c r="B76" t="s">
        <v>14</v>
      </c>
      <c r="C76" t="s">
        <v>15</v>
      </c>
      <c r="D76" t="s">
        <v>369</v>
      </c>
      <c r="E76" t="s">
        <v>370</v>
      </c>
      <c r="F76" t="s">
        <v>18</v>
      </c>
      <c r="G76" t="s">
        <v>349</v>
      </c>
      <c r="H76" t="s">
        <v>371</v>
      </c>
      <c r="I76" t="s">
        <v>15</v>
      </c>
      <c r="J76" t="s">
        <v>21</v>
      </c>
      <c r="K76" t="s">
        <v>22</v>
      </c>
      <c r="L76">
        <f>BDP($H76,"BICS_LEVEL_1_SECTOR_NAME")</f>
        <v/>
      </c>
      <c r="M76">
        <f>BDP($H76,"BICS_LEVEL_3_INDUSTRY_NAME")</f>
        <v/>
      </c>
    </row>
    <row r="77" spans="1:13">
      <c r="A77" t="s">
        <v>372</v>
      </c>
      <c r="B77" t="s">
        <v>14</v>
      </c>
      <c r="C77" t="s">
        <v>15</v>
      </c>
      <c r="D77" t="s">
        <v>373</v>
      </c>
      <c r="E77" t="s">
        <v>374</v>
      </c>
      <c r="F77" t="s">
        <v>95</v>
      </c>
      <c r="G77" t="s">
        <v>260</v>
      </c>
      <c r="H77" t="s">
        <v>375</v>
      </c>
      <c r="I77" t="s">
        <v>15</v>
      </c>
      <c r="J77" t="s">
        <v>21</v>
      </c>
      <c r="K77" t="s">
        <v>22</v>
      </c>
      <c r="L77">
        <f>BDP($H77,"BICS_LEVEL_1_SECTOR_NAME")</f>
        <v/>
      </c>
      <c r="M77">
        <f>BDP($H77,"BICS_LEVEL_3_INDUSTRY_NAME")</f>
        <v/>
      </c>
    </row>
    <row r="78" spans="1:13">
      <c r="A78" t="s">
        <v>376</v>
      </c>
      <c r="B78" t="s">
        <v>14</v>
      </c>
      <c r="C78" t="s">
        <v>15</v>
      </c>
      <c r="D78" t="s">
        <v>377</v>
      </c>
      <c r="E78" t="s">
        <v>378</v>
      </c>
      <c r="F78" t="s">
        <v>244</v>
      </c>
      <c r="G78" t="s">
        <v>379</v>
      </c>
      <c r="H78" t="s">
        <v>380</v>
      </c>
      <c r="I78" t="s">
        <v>15</v>
      </c>
      <c r="J78" t="s">
        <v>21</v>
      </c>
      <c r="K78" t="s">
        <v>22</v>
      </c>
      <c r="L78">
        <f>BDP($H78,"BICS_LEVEL_1_SECTOR_NAME")</f>
        <v/>
      </c>
      <c r="M78">
        <f>BDP($H78,"BICS_LEVEL_3_INDUSTRY_NAME")</f>
        <v/>
      </c>
    </row>
    <row r="79" spans="1:13">
      <c r="A79" t="s">
        <v>381</v>
      </c>
      <c r="B79" t="s">
        <v>14</v>
      </c>
      <c r="C79" t="s">
        <v>15</v>
      </c>
      <c r="D79" t="s">
        <v>382</v>
      </c>
      <c r="E79" t="s">
        <v>383</v>
      </c>
      <c r="F79" t="s">
        <v>244</v>
      </c>
      <c r="G79" t="s">
        <v>379</v>
      </c>
      <c r="H79" t="s">
        <v>384</v>
      </c>
      <c r="I79" t="s">
        <v>15</v>
      </c>
      <c r="J79" t="s">
        <v>21</v>
      </c>
      <c r="K79" t="s">
        <v>22</v>
      </c>
      <c r="L79">
        <f>BDP($H79,"BICS_LEVEL_1_SECTOR_NAME")</f>
        <v/>
      </c>
      <c r="M79">
        <f>BDP($H79,"BICS_LEVEL_3_INDUSTRY_NAME")</f>
        <v/>
      </c>
    </row>
    <row r="80" spans="1:13">
      <c r="A80" t="s">
        <v>385</v>
      </c>
      <c r="B80" t="s">
        <v>14</v>
      </c>
      <c r="C80" t="s">
        <v>15</v>
      </c>
      <c r="D80" t="s">
        <v>386</v>
      </c>
      <c r="E80" t="s">
        <v>387</v>
      </c>
      <c r="F80" t="s">
        <v>18</v>
      </c>
      <c r="G80" t="s">
        <v>321</v>
      </c>
      <c r="H80" t="s">
        <v>388</v>
      </c>
      <c r="I80" t="s">
        <v>15</v>
      </c>
      <c r="J80" t="s">
        <v>21</v>
      </c>
      <c r="K80" t="s">
        <v>22</v>
      </c>
      <c r="L80">
        <f>BDP($H80,"BICS_LEVEL_1_SECTOR_NAME")</f>
        <v/>
      </c>
      <c r="M80">
        <f>BDP($H80,"BICS_LEVEL_3_INDUSTRY_NAME")</f>
        <v/>
      </c>
    </row>
    <row r="81" spans="1:13">
      <c r="A81" t="s">
        <v>389</v>
      </c>
      <c r="B81" t="s">
        <v>14</v>
      </c>
      <c r="C81" t="s">
        <v>15</v>
      </c>
      <c r="D81" t="s">
        <v>390</v>
      </c>
      <c r="E81" t="s">
        <v>391</v>
      </c>
      <c r="F81" t="s">
        <v>244</v>
      </c>
      <c r="G81" t="s">
        <v>392</v>
      </c>
      <c r="H81" t="s">
        <v>393</v>
      </c>
      <c r="I81" t="s">
        <v>15</v>
      </c>
      <c r="J81" t="s">
        <v>21</v>
      </c>
      <c r="K81" t="s">
        <v>22</v>
      </c>
      <c r="L81">
        <f>BDP($H81,"BICS_LEVEL_1_SECTOR_NAME")</f>
        <v/>
      </c>
      <c r="M81">
        <f>BDP($H81,"BICS_LEVEL_3_INDUSTRY_NAME")</f>
        <v/>
      </c>
    </row>
    <row r="82" spans="1:13">
      <c r="A82" t="s">
        <v>394</v>
      </c>
      <c r="B82" t="s">
        <v>14</v>
      </c>
      <c r="C82" t="s">
        <v>15</v>
      </c>
      <c r="D82" t="s">
        <v>395</v>
      </c>
      <c r="E82" t="s">
        <v>396</v>
      </c>
      <c r="F82" t="s">
        <v>26</v>
      </c>
      <c r="G82" t="s">
        <v>27</v>
      </c>
      <c r="H82" t="s">
        <v>397</v>
      </c>
      <c r="I82" t="s">
        <v>15</v>
      </c>
      <c r="J82" t="s">
        <v>21</v>
      </c>
      <c r="K82" t="s">
        <v>22</v>
      </c>
      <c r="L82">
        <f>BDP($H82,"BICS_LEVEL_1_SECTOR_NAME")</f>
        <v/>
      </c>
      <c r="M82">
        <f>BDP($H82,"BICS_LEVEL_3_INDUSTRY_NAME")</f>
        <v/>
      </c>
    </row>
    <row r="83" spans="1:13">
      <c r="A83" t="s">
        <v>398</v>
      </c>
      <c r="B83" t="s">
        <v>14</v>
      </c>
      <c r="C83" t="s">
        <v>15</v>
      </c>
      <c r="D83" t="s">
        <v>399</v>
      </c>
      <c r="E83" t="s">
        <v>400</v>
      </c>
      <c r="F83" t="s">
        <v>74</v>
      </c>
      <c r="G83" t="s">
        <v>401</v>
      </c>
      <c r="H83" t="s">
        <v>402</v>
      </c>
      <c r="I83" t="s">
        <v>15</v>
      </c>
      <c r="J83" t="s">
        <v>21</v>
      </c>
      <c r="K83" t="s">
        <v>22</v>
      </c>
      <c r="L83">
        <f>BDP($H83,"BICS_LEVEL_1_SECTOR_NAME")</f>
        <v/>
      </c>
      <c r="M83">
        <f>BDP($H83,"BICS_LEVEL_3_INDUSTRY_NAME")</f>
        <v/>
      </c>
    </row>
    <row r="84" spans="1:13">
      <c r="A84" t="s">
        <v>403</v>
      </c>
      <c r="B84" t="s">
        <v>14</v>
      </c>
      <c r="C84" t="s">
        <v>15</v>
      </c>
      <c r="D84" t="s">
        <v>404</v>
      </c>
      <c r="E84" t="s">
        <v>405</v>
      </c>
      <c r="F84" t="s">
        <v>74</v>
      </c>
      <c r="G84" t="s">
        <v>406</v>
      </c>
      <c r="H84" t="s">
        <v>407</v>
      </c>
      <c r="I84" t="s">
        <v>15</v>
      </c>
      <c r="J84" t="s">
        <v>21</v>
      </c>
      <c r="K84" t="s">
        <v>22</v>
      </c>
      <c r="L84">
        <f>BDP($H84,"BICS_LEVEL_1_SECTOR_NAME")</f>
        <v/>
      </c>
      <c r="M84">
        <f>BDP($H84,"BICS_LEVEL_3_INDUSTRY_NAME")</f>
        <v/>
      </c>
    </row>
    <row r="85" spans="1:13">
      <c r="A85" t="s">
        <v>408</v>
      </c>
      <c r="B85" t="s">
        <v>14</v>
      </c>
      <c r="C85" t="s">
        <v>15</v>
      </c>
      <c r="D85" t="s">
        <v>409</v>
      </c>
      <c r="E85" t="s">
        <v>410</v>
      </c>
      <c r="F85" t="s">
        <v>74</v>
      </c>
      <c r="G85" t="s">
        <v>75</v>
      </c>
      <c r="H85" t="s">
        <v>411</v>
      </c>
      <c r="I85" t="s">
        <v>15</v>
      </c>
      <c r="J85" t="s">
        <v>21</v>
      </c>
      <c r="K85" t="s">
        <v>22</v>
      </c>
      <c r="L85">
        <f>BDP($H85,"BICS_LEVEL_1_SECTOR_NAME")</f>
        <v/>
      </c>
      <c r="M85">
        <f>BDP($H85,"BICS_LEVEL_3_INDUSTRY_NAME")</f>
        <v/>
      </c>
    </row>
    <row r="86" spans="1:13">
      <c r="A86" t="s">
        <v>412</v>
      </c>
      <c r="B86" t="s">
        <v>14</v>
      </c>
      <c r="C86" t="s">
        <v>15</v>
      </c>
      <c r="D86" t="s">
        <v>413</v>
      </c>
      <c r="E86" t="s">
        <v>414</v>
      </c>
      <c r="F86" t="s">
        <v>95</v>
      </c>
      <c r="G86" t="s">
        <v>415</v>
      </c>
      <c r="H86" t="s">
        <v>416</v>
      </c>
      <c r="I86" t="s">
        <v>15</v>
      </c>
      <c r="J86" t="s">
        <v>21</v>
      </c>
      <c r="K86" t="s">
        <v>22</v>
      </c>
      <c r="L86">
        <f>BDP($H86,"BICS_LEVEL_1_SECTOR_NAME")</f>
        <v/>
      </c>
      <c r="M86">
        <f>BDP($H86,"BICS_LEVEL_3_INDUSTRY_NAME")</f>
        <v/>
      </c>
    </row>
    <row r="87" spans="1:13">
      <c r="A87" t="s">
        <v>417</v>
      </c>
      <c r="B87" t="s">
        <v>14</v>
      </c>
      <c r="C87" t="s">
        <v>15</v>
      </c>
      <c r="D87" t="s">
        <v>418</v>
      </c>
      <c r="E87" t="s">
        <v>419</v>
      </c>
      <c r="F87" t="s">
        <v>74</v>
      </c>
      <c r="G87" t="s">
        <v>250</v>
      </c>
      <c r="H87" t="s">
        <v>420</v>
      </c>
      <c r="I87" t="s">
        <v>15</v>
      </c>
      <c r="J87" t="s">
        <v>21</v>
      </c>
      <c r="K87" t="s">
        <v>22</v>
      </c>
      <c r="L87">
        <f>BDP($H87,"BICS_LEVEL_1_SECTOR_NAME")</f>
        <v/>
      </c>
      <c r="M87">
        <f>BDP($H87,"BICS_LEVEL_3_INDUSTRY_NAME")</f>
        <v/>
      </c>
    </row>
    <row r="88" spans="1:13">
      <c r="A88" t="s">
        <v>421</v>
      </c>
      <c r="B88" t="s">
        <v>14</v>
      </c>
      <c r="C88" t="s">
        <v>15</v>
      </c>
      <c r="D88" t="s">
        <v>422</v>
      </c>
      <c r="E88" t="s">
        <v>423</v>
      </c>
      <c r="F88" t="s">
        <v>84</v>
      </c>
      <c r="G88" t="s">
        <v>424</v>
      </c>
      <c r="H88" t="s">
        <v>425</v>
      </c>
      <c r="I88" t="s">
        <v>15</v>
      </c>
      <c r="J88" t="s">
        <v>21</v>
      </c>
      <c r="K88" t="s">
        <v>22</v>
      </c>
      <c r="L88">
        <f>BDP($H88,"BICS_LEVEL_1_SECTOR_NAME")</f>
        <v/>
      </c>
      <c r="M88">
        <f>BDP($H88,"BICS_LEVEL_3_INDUSTRY_NAME")</f>
        <v/>
      </c>
    </row>
    <row r="89" spans="1:13">
      <c r="A89" t="s">
        <v>426</v>
      </c>
      <c r="B89" t="s">
        <v>14</v>
      </c>
      <c r="C89" t="s">
        <v>15</v>
      </c>
      <c r="D89" t="s">
        <v>427</v>
      </c>
      <c r="E89" t="s">
        <v>428</v>
      </c>
      <c r="F89" t="s">
        <v>32</v>
      </c>
      <c r="G89" t="s">
        <v>429</v>
      </c>
      <c r="H89" t="s">
        <v>430</v>
      </c>
      <c r="I89" t="s">
        <v>15</v>
      </c>
      <c r="J89" t="s">
        <v>21</v>
      </c>
      <c r="K89" t="s">
        <v>22</v>
      </c>
      <c r="L89">
        <f>BDP($H89,"BICS_LEVEL_1_SECTOR_NAME")</f>
        <v/>
      </c>
      <c r="M89">
        <f>BDP($H89,"BICS_LEVEL_3_INDUSTRY_NAME")</f>
        <v/>
      </c>
    </row>
    <row r="90" spans="1:13">
      <c r="A90" t="s">
        <v>431</v>
      </c>
      <c r="B90" t="s">
        <v>14</v>
      </c>
      <c r="C90" t="s">
        <v>15</v>
      </c>
      <c r="D90" t="s">
        <v>432</v>
      </c>
      <c r="E90" t="s">
        <v>433</v>
      </c>
      <c r="F90" t="s">
        <v>26</v>
      </c>
      <c r="G90" t="s">
        <v>85</v>
      </c>
      <c r="H90" t="s">
        <v>434</v>
      </c>
      <c r="I90" t="s">
        <v>15</v>
      </c>
      <c r="J90" t="s">
        <v>21</v>
      </c>
      <c r="K90" t="s">
        <v>22</v>
      </c>
      <c r="L90">
        <f>BDP($H90,"BICS_LEVEL_1_SECTOR_NAME")</f>
        <v/>
      </c>
      <c r="M90">
        <f>BDP($H90,"BICS_LEVEL_3_INDUSTRY_NAME")</f>
        <v/>
      </c>
    </row>
    <row r="91" spans="1:13">
      <c r="A91" t="s">
        <v>435</v>
      </c>
      <c r="B91" t="s">
        <v>14</v>
      </c>
      <c r="C91" t="s">
        <v>15</v>
      </c>
      <c r="D91" t="s">
        <v>436</v>
      </c>
      <c r="E91" t="s">
        <v>437</v>
      </c>
      <c r="F91" t="s">
        <v>57</v>
      </c>
      <c r="G91" t="s">
        <v>58</v>
      </c>
      <c r="H91" t="s">
        <v>438</v>
      </c>
      <c r="I91" t="s">
        <v>15</v>
      </c>
      <c r="J91" t="s">
        <v>21</v>
      </c>
      <c r="K91" t="s">
        <v>22</v>
      </c>
      <c r="L91">
        <f>BDP($H91,"BICS_LEVEL_1_SECTOR_NAME")</f>
        <v/>
      </c>
      <c r="M91">
        <f>BDP($H91,"BICS_LEVEL_3_INDUSTRY_NAME")</f>
        <v/>
      </c>
    </row>
    <row r="92" spans="1:13">
      <c r="A92" t="s">
        <v>439</v>
      </c>
      <c r="B92" t="s">
        <v>14</v>
      </c>
      <c r="C92" t="s">
        <v>15</v>
      </c>
      <c r="D92" t="s">
        <v>440</v>
      </c>
      <c r="E92" t="s">
        <v>441</v>
      </c>
      <c r="F92" t="s">
        <v>57</v>
      </c>
      <c r="G92" t="s">
        <v>58</v>
      </c>
      <c r="H92" t="s">
        <v>442</v>
      </c>
      <c r="I92" t="s">
        <v>15</v>
      </c>
      <c r="J92" t="s">
        <v>21</v>
      </c>
      <c r="K92" t="s">
        <v>22</v>
      </c>
      <c r="L92">
        <f>BDP($H92,"BICS_LEVEL_1_SECTOR_NAME")</f>
        <v/>
      </c>
      <c r="M92">
        <f>BDP($H92,"BICS_LEVEL_3_INDUSTRY_NAME")</f>
        <v/>
      </c>
    </row>
    <row r="93" spans="1:13">
      <c r="A93" t="s">
        <v>443</v>
      </c>
      <c r="B93" t="s">
        <v>14</v>
      </c>
      <c r="C93" t="s">
        <v>15</v>
      </c>
      <c r="D93" t="s">
        <v>444</v>
      </c>
      <c r="E93" t="s">
        <v>441</v>
      </c>
      <c r="F93" t="s">
        <v>57</v>
      </c>
      <c r="G93" t="s">
        <v>58</v>
      </c>
      <c r="H93" t="s">
        <v>445</v>
      </c>
      <c r="I93" t="s">
        <v>15</v>
      </c>
      <c r="J93" t="s">
        <v>21</v>
      </c>
      <c r="K93" t="s">
        <v>22</v>
      </c>
      <c r="L93">
        <f>BDP($H93,"BICS_LEVEL_1_SECTOR_NAME")</f>
        <v/>
      </c>
      <c r="M93">
        <f>BDP($H93,"BICS_LEVEL_3_INDUSTRY_NAME")</f>
        <v/>
      </c>
    </row>
    <row r="94" spans="1:13">
      <c r="A94" t="s">
        <v>446</v>
      </c>
      <c r="B94" t="s">
        <v>14</v>
      </c>
      <c r="C94" t="s">
        <v>15</v>
      </c>
      <c r="D94" t="s">
        <v>447</v>
      </c>
      <c r="E94" t="s">
        <v>448</v>
      </c>
      <c r="F94" t="s">
        <v>18</v>
      </c>
      <c r="G94" t="s">
        <v>225</v>
      </c>
      <c r="H94" t="s">
        <v>449</v>
      </c>
      <c r="I94" t="s">
        <v>15</v>
      </c>
      <c r="J94" t="s">
        <v>21</v>
      </c>
      <c r="K94" t="s">
        <v>22</v>
      </c>
      <c r="L94">
        <f>BDP($H94,"BICS_LEVEL_1_SECTOR_NAME")</f>
        <v/>
      </c>
      <c r="M94">
        <f>BDP($H94,"BICS_LEVEL_3_INDUSTRY_NAME")</f>
        <v/>
      </c>
    </row>
    <row r="95" spans="1:13">
      <c r="A95" t="s">
        <v>450</v>
      </c>
      <c r="B95" t="s">
        <v>14</v>
      </c>
      <c r="C95" t="s">
        <v>15</v>
      </c>
      <c r="D95" t="s">
        <v>451</v>
      </c>
      <c r="E95" t="s">
        <v>452</v>
      </c>
      <c r="F95" t="s">
        <v>63</v>
      </c>
      <c r="G95" t="s">
        <v>64</v>
      </c>
      <c r="H95" t="s">
        <v>453</v>
      </c>
      <c r="I95" t="s">
        <v>15</v>
      </c>
      <c r="J95" t="s">
        <v>21</v>
      </c>
      <c r="K95" t="s">
        <v>22</v>
      </c>
      <c r="L95">
        <f>BDP($H95,"BICS_LEVEL_1_SECTOR_NAME")</f>
        <v/>
      </c>
      <c r="M95">
        <f>BDP($H95,"BICS_LEVEL_3_INDUSTRY_NAME")</f>
        <v/>
      </c>
    </row>
    <row r="96" spans="1:13">
      <c r="A96" t="s">
        <v>454</v>
      </c>
      <c r="B96" t="s">
        <v>14</v>
      </c>
      <c r="C96" t="s">
        <v>15</v>
      </c>
      <c r="D96" t="s">
        <v>455</v>
      </c>
      <c r="E96" t="s">
        <v>456</v>
      </c>
      <c r="F96" t="s">
        <v>74</v>
      </c>
      <c r="G96" t="s">
        <v>457</v>
      </c>
      <c r="H96" t="s">
        <v>458</v>
      </c>
      <c r="I96" t="s">
        <v>15</v>
      </c>
      <c r="J96" t="s">
        <v>21</v>
      </c>
      <c r="K96" t="s">
        <v>22</v>
      </c>
      <c r="L96">
        <f>BDP($H96,"BICS_LEVEL_1_SECTOR_NAME")</f>
        <v/>
      </c>
      <c r="M96">
        <f>BDP($H96,"BICS_LEVEL_3_INDUSTRY_NAME")</f>
        <v/>
      </c>
    </row>
    <row r="97" spans="1:13">
      <c r="A97" t="s">
        <v>459</v>
      </c>
      <c r="B97" t="s">
        <v>14</v>
      </c>
      <c r="C97" t="s">
        <v>15</v>
      </c>
      <c r="D97" t="s">
        <v>460</v>
      </c>
      <c r="E97" t="s">
        <v>461</v>
      </c>
      <c r="F97" t="s">
        <v>26</v>
      </c>
      <c r="G97" t="s">
        <v>211</v>
      </c>
      <c r="H97" t="s">
        <v>462</v>
      </c>
      <c r="I97" t="s">
        <v>15</v>
      </c>
      <c r="J97" t="s">
        <v>21</v>
      </c>
      <c r="K97" t="s">
        <v>22</v>
      </c>
      <c r="L97">
        <f>BDP($H97,"BICS_LEVEL_1_SECTOR_NAME")</f>
        <v/>
      </c>
      <c r="M97">
        <f>BDP($H97,"BICS_LEVEL_3_INDUSTRY_NAME")</f>
        <v/>
      </c>
    </row>
    <row r="98" spans="1:13">
      <c r="A98" t="s">
        <v>463</v>
      </c>
      <c r="B98" t="s">
        <v>14</v>
      </c>
      <c r="C98" t="s">
        <v>15</v>
      </c>
      <c r="D98" t="s">
        <v>464</v>
      </c>
      <c r="E98" t="s">
        <v>465</v>
      </c>
      <c r="F98" t="s">
        <v>74</v>
      </c>
      <c r="G98" t="s">
        <v>457</v>
      </c>
      <c r="H98" t="s">
        <v>466</v>
      </c>
      <c r="I98" t="s">
        <v>15</v>
      </c>
      <c r="J98" t="s">
        <v>21</v>
      </c>
      <c r="K98" t="s">
        <v>22</v>
      </c>
      <c r="L98">
        <f>BDP($H98,"BICS_LEVEL_1_SECTOR_NAME")</f>
        <v/>
      </c>
      <c r="M98">
        <f>BDP($H98,"BICS_LEVEL_3_INDUSTRY_NAME")</f>
        <v/>
      </c>
    </row>
    <row r="99" spans="1:13">
      <c r="A99" t="s">
        <v>467</v>
      </c>
      <c r="B99" t="s">
        <v>14</v>
      </c>
      <c r="C99" t="s">
        <v>15</v>
      </c>
      <c r="D99" t="s">
        <v>468</v>
      </c>
      <c r="E99" t="s">
        <v>469</v>
      </c>
      <c r="F99" t="s">
        <v>18</v>
      </c>
      <c r="G99" t="s">
        <v>470</v>
      </c>
      <c r="H99" t="s">
        <v>471</v>
      </c>
      <c r="I99" t="s">
        <v>15</v>
      </c>
      <c r="J99" t="s">
        <v>21</v>
      </c>
      <c r="K99" t="s">
        <v>22</v>
      </c>
      <c r="L99">
        <f>BDP($H99,"BICS_LEVEL_1_SECTOR_NAME")</f>
        <v/>
      </c>
      <c r="M99">
        <f>BDP($H99,"BICS_LEVEL_3_INDUSTRY_NAME")</f>
        <v/>
      </c>
    </row>
    <row r="100" spans="1:13">
      <c r="A100" t="s">
        <v>472</v>
      </c>
      <c r="B100" t="s">
        <v>14</v>
      </c>
      <c r="C100" t="s">
        <v>15</v>
      </c>
      <c r="D100" t="s">
        <v>473</v>
      </c>
      <c r="E100" t="s">
        <v>474</v>
      </c>
      <c r="F100" t="s">
        <v>74</v>
      </c>
      <c r="G100" t="s">
        <v>105</v>
      </c>
      <c r="H100" t="s">
        <v>475</v>
      </c>
      <c r="I100" t="s">
        <v>15</v>
      </c>
      <c r="J100" t="s">
        <v>21</v>
      </c>
      <c r="K100" t="s">
        <v>22</v>
      </c>
      <c r="L100">
        <f>BDP($H100,"BICS_LEVEL_1_SECTOR_NAME")</f>
        <v/>
      </c>
      <c r="M100">
        <f>BDP($H100,"BICS_LEVEL_3_INDUSTRY_NAME")</f>
        <v/>
      </c>
    </row>
    <row r="101" spans="1:13">
      <c r="A101" t="s">
        <v>476</v>
      </c>
      <c r="B101" t="s">
        <v>14</v>
      </c>
      <c r="C101" t="s">
        <v>15</v>
      </c>
      <c r="D101" t="s">
        <v>477</v>
      </c>
      <c r="E101" t="s">
        <v>478</v>
      </c>
      <c r="F101" t="s">
        <v>74</v>
      </c>
      <c r="G101" t="s">
        <v>326</v>
      </c>
      <c r="H101" t="s">
        <v>479</v>
      </c>
      <c r="I101" t="s">
        <v>15</v>
      </c>
      <c r="J101" t="s">
        <v>21</v>
      </c>
      <c r="K101" t="s">
        <v>22</v>
      </c>
      <c r="L101">
        <f>BDP($H101,"BICS_LEVEL_1_SECTOR_NAME")</f>
        <v/>
      </c>
      <c r="M101">
        <f>BDP($H101,"BICS_LEVEL_3_INDUSTRY_NAME")</f>
        <v/>
      </c>
    </row>
    <row r="102" spans="1:13">
      <c r="A102" t="s">
        <v>480</v>
      </c>
      <c r="B102" t="s">
        <v>14</v>
      </c>
      <c r="C102" t="s">
        <v>15</v>
      </c>
      <c r="D102" t="s">
        <v>481</v>
      </c>
      <c r="E102" t="s">
        <v>482</v>
      </c>
      <c r="F102" t="s">
        <v>32</v>
      </c>
      <c r="G102" t="s">
        <v>131</v>
      </c>
      <c r="H102" t="s">
        <v>483</v>
      </c>
      <c r="I102" t="s">
        <v>15</v>
      </c>
      <c r="J102" t="s">
        <v>21</v>
      </c>
      <c r="K102" t="s">
        <v>22</v>
      </c>
      <c r="L102">
        <f>BDP($H102,"BICS_LEVEL_1_SECTOR_NAME")</f>
        <v/>
      </c>
      <c r="M102">
        <f>BDP($H102,"BICS_LEVEL_3_INDUSTRY_NAME")</f>
        <v/>
      </c>
    </row>
    <row r="103" spans="1:13">
      <c r="A103" t="s">
        <v>484</v>
      </c>
      <c r="B103" t="s">
        <v>14</v>
      </c>
      <c r="C103" t="s">
        <v>15</v>
      </c>
      <c r="D103" t="s">
        <v>485</v>
      </c>
      <c r="E103" t="s">
        <v>486</v>
      </c>
      <c r="F103" t="s">
        <v>32</v>
      </c>
      <c r="G103" t="s">
        <v>280</v>
      </c>
      <c r="H103" t="s">
        <v>487</v>
      </c>
      <c r="I103" t="s">
        <v>15</v>
      </c>
      <c r="J103" t="s">
        <v>21</v>
      </c>
      <c r="K103" t="s">
        <v>22</v>
      </c>
      <c r="L103">
        <f>BDP($H103,"BICS_LEVEL_1_SECTOR_NAME")</f>
        <v/>
      </c>
      <c r="M103">
        <f>BDP($H103,"BICS_LEVEL_3_INDUSTRY_NAME")</f>
        <v/>
      </c>
    </row>
    <row r="104" spans="1:13">
      <c r="A104" t="s">
        <v>488</v>
      </c>
      <c r="B104" t="s">
        <v>14</v>
      </c>
      <c r="C104" t="s">
        <v>15</v>
      </c>
      <c r="D104" t="s">
        <v>489</v>
      </c>
      <c r="E104" t="s">
        <v>490</v>
      </c>
      <c r="F104" t="s">
        <v>32</v>
      </c>
      <c r="G104" t="s">
        <v>280</v>
      </c>
      <c r="H104" t="s">
        <v>491</v>
      </c>
      <c r="I104" t="s">
        <v>15</v>
      </c>
      <c r="J104" t="s">
        <v>21</v>
      </c>
      <c r="K104" t="s">
        <v>22</v>
      </c>
      <c r="L104">
        <f>BDP($H104,"BICS_LEVEL_1_SECTOR_NAME")</f>
        <v/>
      </c>
      <c r="M104">
        <f>BDP($H104,"BICS_LEVEL_3_INDUSTRY_NAME")</f>
        <v/>
      </c>
    </row>
    <row r="105" spans="1:13">
      <c r="A105" t="s">
        <v>492</v>
      </c>
      <c r="B105" t="s">
        <v>14</v>
      </c>
      <c r="C105" t="s">
        <v>15</v>
      </c>
      <c r="D105" t="s">
        <v>493</v>
      </c>
      <c r="E105" t="s">
        <v>494</v>
      </c>
      <c r="F105" t="s">
        <v>26</v>
      </c>
      <c r="G105" t="s">
        <v>495</v>
      </c>
      <c r="H105" t="s">
        <v>496</v>
      </c>
      <c r="I105" t="s">
        <v>15</v>
      </c>
      <c r="J105" t="s">
        <v>21</v>
      </c>
      <c r="K105" t="s">
        <v>22</v>
      </c>
      <c r="L105">
        <f>BDP($H105,"BICS_LEVEL_1_SECTOR_NAME")</f>
        <v/>
      </c>
      <c r="M105">
        <f>BDP($H105,"BICS_LEVEL_3_INDUSTRY_NAME")</f>
        <v/>
      </c>
    </row>
    <row r="106" spans="1:13">
      <c r="A106" t="s">
        <v>497</v>
      </c>
      <c r="B106" t="s">
        <v>14</v>
      </c>
      <c r="C106" t="s">
        <v>15</v>
      </c>
      <c r="D106" t="s">
        <v>498</v>
      </c>
      <c r="E106" t="s">
        <v>499</v>
      </c>
      <c r="F106" t="s">
        <v>32</v>
      </c>
      <c r="G106" t="s">
        <v>33</v>
      </c>
      <c r="H106" t="s">
        <v>500</v>
      </c>
      <c r="I106" t="s">
        <v>15</v>
      </c>
      <c r="J106" t="s">
        <v>21</v>
      </c>
      <c r="K106" t="s">
        <v>22</v>
      </c>
      <c r="L106">
        <f>BDP($H106,"BICS_LEVEL_1_SECTOR_NAME")</f>
        <v/>
      </c>
      <c r="M106">
        <f>BDP($H106,"BICS_LEVEL_3_INDUSTRY_NAME")</f>
        <v/>
      </c>
    </row>
    <row r="107" spans="1:13">
      <c r="A107" t="s">
        <v>501</v>
      </c>
      <c r="B107" t="s">
        <v>14</v>
      </c>
      <c r="C107" t="s">
        <v>15</v>
      </c>
      <c r="D107" t="s">
        <v>502</v>
      </c>
      <c r="E107" t="s">
        <v>503</v>
      </c>
      <c r="F107" t="s">
        <v>32</v>
      </c>
      <c r="G107" t="s">
        <v>131</v>
      </c>
      <c r="H107" t="s">
        <v>504</v>
      </c>
      <c r="I107" t="s">
        <v>15</v>
      </c>
      <c r="J107" t="s">
        <v>21</v>
      </c>
      <c r="K107" t="s">
        <v>22</v>
      </c>
      <c r="L107">
        <f>BDP($H107,"BICS_LEVEL_1_SECTOR_NAME")</f>
        <v/>
      </c>
      <c r="M107">
        <f>BDP($H107,"BICS_LEVEL_3_INDUSTRY_NAME")</f>
        <v/>
      </c>
    </row>
    <row r="108" spans="1:13">
      <c r="A108" t="s">
        <v>505</v>
      </c>
      <c r="B108" t="s">
        <v>14</v>
      </c>
      <c r="C108" t="s">
        <v>15</v>
      </c>
      <c r="D108" t="s">
        <v>506</v>
      </c>
      <c r="E108" t="s">
        <v>507</v>
      </c>
      <c r="F108" t="s">
        <v>18</v>
      </c>
      <c r="G108" t="s">
        <v>508</v>
      </c>
      <c r="H108" t="s">
        <v>509</v>
      </c>
      <c r="I108" t="s">
        <v>15</v>
      </c>
      <c r="J108" t="s">
        <v>21</v>
      </c>
      <c r="K108" t="s">
        <v>22</v>
      </c>
      <c r="L108">
        <f>BDP($H108,"BICS_LEVEL_1_SECTOR_NAME")</f>
        <v/>
      </c>
      <c r="M108">
        <f>BDP($H108,"BICS_LEVEL_3_INDUSTRY_NAME")</f>
        <v/>
      </c>
    </row>
    <row r="109" spans="1:13">
      <c r="A109" t="s">
        <v>510</v>
      </c>
      <c r="B109" t="s">
        <v>14</v>
      </c>
      <c r="C109" t="s">
        <v>15</v>
      </c>
      <c r="D109" t="s">
        <v>511</v>
      </c>
      <c r="E109" t="s">
        <v>512</v>
      </c>
      <c r="F109" t="s">
        <v>74</v>
      </c>
      <c r="G109" t="s">
        <v>75</v>
      </c>
      <c r="H109" t="s">
        <v>513</v>
      </c>
      <c r="I109" t="s">
        <v>15</v>
      </c>
      <c r="J109" t="s">
        <v>21</v>
      </c>
      <c r="K109" t="s">
        <v>22</v>
      </c>
      <c r="L109">
        <f>BDP($H109,"BICS_LEVEL_1_SECTOR_NAME")</f>
        <v/>
      </c>
      <c r="M109">
        <f>BDP($H109,"BICS_LEVEL_3_INDUSTRY_NAME")</f>
        <v/>
      </c>
    </row>
    <row r="110" spans="1:13">
      <c r="A110" t="s">
        <v>514</v>
      </c>
      <c r="B110" t="s">
        <v>14</v>
      </c>
      <c r="C110" t="s">
        <v>15</v>
      </c>
      <c r="D110" t="s">
        <v>515</v>
      </c>
      <c r="E110" t="s">
        <v>516</v>
      </c>
      <c r="F110" t="s">
        <v>32</v>
      </c>
      <c r="G110" t="s">
        <v>280</v>
      </c>
      <c r="H110" t="s">
        <v>517</v>
      </c>
      <c r="I110" t="s">
        <v>15</v>
      </c>
      <c r="J110" t="s">
        <v>21</v>
      </c>
      <c r="K110" t="s">
        <v>22</v>
      </c>
      <c r="L110">
        <f>BDP($H110,"BICS_LEVEL_1_SECTOR_NAME")</f>
        <v/>
      </c>
      <c r="M110">
        <f>BDP($H110,"BICS_LEVEL_3_INDUSTRY_NAME")</f>
        <v/>
      </c>
    </row>
    <row r="111" spans="1:13">
      <c r="A111" t="s">
        <v>518</v>
      </c>
      <c r="B111" t="s">
        <v>14</v>
      </c>
      <c r="C111" t="s">
        <v>15</v>
      </c>
      <c r="D111" t="s">
        <v>519</v>
      </c>
      <c r="E111" t="s">
        <v>520</v>
      </c>
      <c r="F111" t="s">
        <v>74</v>
      </c>
      <c r="G111" t="s">
        <v>75</v>
      </c>
      <c r="H111" t="s">
        <v>521</v>
      </c>
      <c r="I111" t="s">
        <v>15</v>
      </c>
      <c r="J111" t="s">
        <v>21</v>
      </c>
      <c r="K111" t="s">
        <v>22</v>
      </c>
      <c r="L111">
        <f>BDP($H111,"BICS_LEVEL_1_SECTOR_NAME")</f>
        <v/>
      </c>
      <c r="M111">
        <f>BDP($H111,"BICS_LEVEL_3_INDUSTRY_NAME")</f>
        <v/>
      </c>
    </row>
    <row r="112" spans="1:13">
      <c r="A112" t="s">
        <v>522</v>
      </c>
      <c r="B112" t="s">
        <v>14</v>
      </c>
      <c r="C112" t="s">
        <v>15</v>
      </c>
      <c r="D112" t="s">
        <v>523</v>
      </c>
      <c r="E112" t="s">
        <v>524</v>
      </c>
      <c r="F112" t="s">
        <v>32</v>
      </c>
      <c r="G112" t="s">
        <v>33</v>
      </c>
      <c r="H112" t="s">
        <v>525</v>
      </c>
      <c r="I112" t="s">
        <v>15</v>
      </c>
      <c r="J112" t="s">
        <v>21</v>
      </c>
      <c r="K112" t="s">
        <v>22</v>
      </c>
      <c r="L112">
        <f>BDP($H112,"BICS_LEVEL_1_SECTOR_NAME")</f>
        <v/>
      </c>
      <c r="M112">
        <f>BDP($H112,"BICS_LEVEL_3_INDUSTRY_NAME")</f>
        <v/>
      </c>
    </row>
    <row r="113" spans="1:13">
      <c r="A113" t="s">
        <v>526</v>
      </c>
      <c r="B113" t="s">
        <v>14</v>
      </c>
      <c r="C113" t="s">
        <v>15</v>
      </c>
      <c r="D113" t="s">
        <v>527</v>
      </c>
      <c r="E113" t="s">
        <v>528</v>
      </c>
      <c r="F113" t="s">
        <v>26</v>
      </c>
      <c r="G113" t="s">
        <v>529</v>
      </c>
      <c r="H113" t="s">
        <v>530</v>
      </c>
      <c r="I113" t="s">
        <v>15</v>
      </c>
      <c r="J113" t="s">
        <v>21</v>
      </c>
      <c r="K113" t="s">
        <v>22</v>
      </c>
      <c r="L113">
        <f>BDP($H113,"BICS_LEVEL_1_SECTOR_NAME")</f>
        <v/>
      </c>
      <c r="M113">
        <f>BDP($H113,"BICS_LEVEL_3_INDUSTRY_NAME")</f>
        <v/>
      </c>
    </row>
    <row r="114" spans="1:13">
      <c r="A114" t="s">
        <v>531</v>
      </c>
      <c r="B114" t="s">
        <v>14</v>
      </c>
      <c r="C114" t="s">
        <v>15</v>
      </c>
      <c r="D114" t="s">
        <v>532</v>
      </c>
      <c r="E114" t="s">
        <v>533</v>
      </c>
      <c r="F114" t="s">
        <v>95</v>
      </c>
      <c r="G114" t="s">
        <v>534</v>
      </c>
      <c r="H114" t="s">
        <v>535</v>
      </c>
      <c r="I114" t="s">
        <v>15</v>
      </c>
      <c r="J114" t="s">
        <v>21</v>
      </c>
      <c r="K114" t="s">
        <v>22</v>
      </c>
      <c r="L114">
        <f>BDP($H114,"BICS_LEVEL_1_SECTOR_NAME")</f>
        <v/>
      </c>
      <c r="M114">
        <f>BDP($H114,"BICS_LEVEL_3_INDUSTRY_NAME")</f>
        <v/>
      </c>
    </row>
    <row r="115" spans="1:13">
      <c r="A115" t="s">
        <v>536</v>
      </c>
      <c r="B115" t="s">
        <v>14</v>
      </c>
      <c r="C115" t="s">
        <v>15</v>
      </c>
      <c r="D115" t="s">
        <v>537</v>
      </c>
      <c r="E115" t="s">
        <v>538</v>
      </c>
      <c r="F115" t="s">
        <v>26</v>
      </c>
      <c r="G115" t="s">
        <v>539</v>
      </c>
      <c r="H115" t="s">
        <v>540</v>
      </c>
      <c r="I115" t="s">
        <v>15</v>
      </c>
      <c r="J115" t="s">
        <v>21</v>
      </c>
      <c r="K115" t="s">
        <v>22</v>
      </c>
      <c r="L115">
        <f>BDP($H115,"BICS_LEVEL_1_SECTOR_NAME")</f>
        <v/>
      </c>
      <c r="M115">
        <f>BDP($H115,"BICS_LEVEL_3_INDUSTRY_NAME")</f>
        <v/>
      </c>
    </row>
    <row r="116" spans="1:13">
      <c r="A116" t="s">
        <v>541</v>
      </c>
      <c r="B116" t="s">
        <v>14</v>
      </c>
      <c r="C116" t="s">
        <v>15</v>
      </c>
      <c r="D116" t="s">
        <v>542</v>
      </c>
      <c r="E116" t="s">
        <v>543</v>
      </c>
      <c r="F116" t="s">
        <v>26</v>
      </c>
      <c r="G116" t="s">
        <v>539</v>
      </c>
      <c r="H116" t="s">
        <v>544</v>
      </c>
      <c r="I116" t="s">
        <v>15</v>
      </c>
      <c r="J116" t="s">
        <v>21</v>
      </c>
      <c r="K116" t="s">
        <v>22</v>
      </c>
      <c r="L116">
        <f>BDP($H116,"BICS_LEVEL_1_SECTOR_NAME")</f>
        <v/>
      </c>
      <c r="M116">
        <f>BDP($H116,"BICS_LEVEL_3_INDUSTRY_NAME")</f>
        <v/>
      </c>
    </row>
    <row r="117" spans="1:13">
      <c r="A117" t="s">
        <v>545</v>
      </c>
      <c r="B117" t="s">
        <v>14</v>
      </c>
      <c r="C117" t="s">
        <v>15</v>
      </c>
      <c r="D117" t="s">
        <v>546</v>
      </c>
      <c r="E117" t="s">
        <v>547</v>
      </c>
      <c r="F117" t="s">
        <v>244</v>
      </c>
      <c r="G117" t="s">
        <v>392</v>
      </c>
      <c r="H117" t="s">
        <v>548</v>
      </c>
      <c r="I117" t="s">
        <v>15</v>
      </c>
      <c r="J117" t="s">
        <v>21</v>
      </c>
      <c r="K117" t="s">
        <v>22</v>
      </c>
      <c r="L117">
        <f>BDP($H117,"BICS_LEVEL_1_SECTOR_NAME")</f>
        <v/>
      </c>
      <c r="M117">
        <f>BDP($H117,"BICS_LEVEL_3_INDUSTRY_NAME")</f>
        <v/>
      </c>
    </row>
    <row r="118" spans="1:13">
      <c r="A118" t="s">
        <v>549</v>
      </c>
      <c r="B118" t="s">
        <v>14</v>
      </c>
      <c r="C118" t="s">
        <v>15</v>
      </c>
      <c r="D118" t="s">
        <v>550</v>
      </c>
      <c r="E118" t="s">
        <v>551</v>
      </c>
      <c r="F118" t="s">
        <v>244</v>
      </c>
      <c r="G118" t="s">
        <v>539</v>
      </c>
      <c r="H118" t="s">
        <v>552</v>
      </c>
      <c r="I118" t="s">
        <v>15</v>
      </c>
      <c r="J118" t="s">
        <v>21</v>
      </c>
      <c r="K118" t="s">
        <v>22</v>
      </c>
      <c r="L118">
        <f>BDP($H118,"BICS_LEVEL_1_SECTOR_NAME")</f>
        <v/>
      </c>
      <c r="M118">
        <f>BDP($H118,"BICS_LEVEL_3_INDUSTRY_NAME")</f>
        <v/>
      </c>
    </row>
    <row r="119" spans="1:13">
      <c r="A119" t="s">
        <v>553</v>
      </c>
      <c r="B119" t="s">
        <v>14</v>
      </c>
      <c r="C119" t="s">
        <v>15</v>
      </c>
      <c r="D119" t="s">
        <v>554</v>
      </c>
      <c r="E119" t="s">
        <v>555</v>
      </c>
      <c r="F119" t="s">
        <v>32</v>
      </c>
      <c r="G119" t="s">
        <v>131</v>
      </c>
      <c r="H119" t="s">
        <v>556</v>
      </c>
      <c r="I119" t="s">
        <v>15</v>
      </c>
      <c r="J119" t="s">
        <v>21</v>
      </c>
      <c r="K119" t="s">
        <v>22</v>
      </c>
      <c r="L119">
        <f>BDP($H119,"BICS_LEVEL_1_SECTOR_NAME")</f>
        <v/>
      </c>
      <c r="M119">
        <f>BDP($H119,"BICS_LEVEL_3_INDUSTRY_NAME")</f>
        <v/>
      </c>
    </row>
    <row r="120" spans="1:13">
      <c r="A120" t="s">
        <v>557</v>
      </c>
      <c r="B120" t="s">
        <v>14</v>
      </c>
      <c r="C120" t="s">
        <v>15</v>
      </c>
      <c r="D120" t="s">
        <v>558</v>
      </c>
      <c r="E120" t="s">
        <v>559</v>
      </c>
      <c r="F120" t="s">
        <v>32</v>
      </c>
      <c r="G120" t="s">
        <v>33</v>
      </c>
      <c r="H120" t="s">
        <v>560</v>
      </c>
      <c r="I120" t="s">
        <v>15</v>
      </c>
      <c r="J120" t="s">
        <v>21</v>
      </c>
      <c r="K120" t="s">
        <v>22</v>
      </c>
      <c r="L120">
        <f>BDP($H120,"BICS_LEVEL_1_SECTOR_NAME")</f>
        <v/>
      </c>
      <c r="M120">
        <f>BDP($H120,"BICS_LEVEL_3_INDUSTRY_NAME")</f>
        <v/>
      </c>
    </row>
    <row r="121" spans="1:13">
      <c r="A121" t="s">
        <v>561</v>
      </c>
      <c r="B121" t="s">
        <v>14</v>
      </c>
      <c r="C121" t="s">
        <v>15</v>
      </c>
      <c r="D121" t="s">
        <v>562</v>
      </c>
      <c r="E121" t="s">
        <v>563</v>
      </c>
      <c r="F121" t="s">
        <v>32</v>
      </c>
      <c r="G121" t="s">
        <v>153</v>
      </c>
      <c r="H121" t="s">
        <v>564</v>
      </c>
      <c r="I121" t="s">
        <v>15</v>
      </c>
      <c r="J121" t="s">
        <v>21</v>
      </c>
      <c r="K121" t="s">
        <v>22</v>
      </c>
      <c r="L121">
        <f>BDP($H121,"BICS_LEVEL_1_SECTOR_NAME")</f>
        <v/>
      </c>
      <c r="M121">
        <f>BDP($H121,"BICS_LEVEL_3_INDUSTRY_NAME")</f>
        <v/>
      </c>
    </row>
    <row r="122" spans="1:13">
      <c r="A122" t="s">
        <v>565</v>
      </c>
      <c r="B122" t="s">
        <v>14</v>
      </c>
      <c r="C122" t="s">
        <v>15</v>
      </c>
      <c r="D122" t="s">
        <v>566</v>
      </c>
      <c r="E122" t="s">
        <v>567</v>
      </c>
      <c r="F122" t="s">
        <v>32</v>
      </c>
      <c r="G122" t="s">
        <v>131</v>
      </c>
      <c r="H122" t="s">
        <v>568</v>
      </c>
      <c r="I122" t="s">
        <v>15</v>
      </c>
      <c r="J122" t="s">
        <v>21</v>
      </c>
      <c r="K122" t="s">
        <v>22</v>
      </c>
      <c r="L122">
        <f>BDP($H122,"BICS_LEVEL_1_SECTOR_NAME")</f>
        <v/>
      </c>
      <c r="M122">
        <f>BDP($H122,"BICS_LEVEL_3_INDUSTRY_NAME")</f>
        <v/>
      </c>
    </row>
    <row r="123" spans="1:13">
      <c r="A123" t="s">
        <v>569</v>
      </c>
      <c r="B123" t="s">
        <v>14</v>
      </c>
      <c r="C123" t="s">
        <v>15</v>
      </c>
      <c r="D123" t="s">
        <v>570</v>
      </c>
      <c r="E123" t="s">
        <v>571</v>
      </c>
      <c r="F123" t="s">
        <v>18</v>
      </c>
      <c r="G123" t="s">
        <v>495</v>
      </c>
      <c r="H123" t="s">
        <v>572</v>
      </c>
      <c r="I123" t="s">
        <v>15</v>
      </c>
      <c r="J123" t="s">
        <v>21</v>
      </c>
      <c r="K123" t="s">
        <v>22</v>
      </c>
      <c r="L123">
        <f>BDP($H123,"BICS_LEVEL_1_SECTOR_NAME")</f>
        <v/>
      </c>
      <c r="M123">
        <f>BDP($H123,"BICS_LEVEL_3_INDUSTRY_NAME")</f>
        <v/>
      </c>
    </row>
    <row r="124" spans="1:13">
      <c r="A124" t="s">
        <v>573</v>
      </c>
      <c r="B124" t="s">
        <v>14</v>
      </c>
      <c r="C124" t="s">
        <v>15</v>
      </c>
      <c r="D124" t="s">
        <v>574</v>
      </c>
      <c r="E124" t="s">
        <v>575</v>
      </c>
      <c r="F124" t="s">
        <v>74</v>
      </c>
      <c r="G124" t="s">
        <v>105</v>
      </c>
      <c r="H124" t="s">
        <v>576</v>
      </c>
      <c r="I124" t="s">
        <v>15</v>
      </c>
      <c r="J124" t="s">
        <v>21</v>
      </c>
      <c r="K124" t="s">
        <v>22</v>
      </c>
      <c r="L124">
        <f>BDP($H124,"BICS_LEVEL_1_SECTOR_NAME")</f>
        <v/>
      </c>
      <c r="M124">
        <f>BDP($H124,"BICS_LEVEL_3_INDUSTRY_NAME")</f>
        <v/>
      </c>
    </row>
    <row r="125" spans="1:13">
      <c r="A125" t="s">
        <v>577</v>
      </c>
      <c r="B125" t="s">
        <v>14</v>
      </c>
      <c r="C125" t="s">
        <v>15</v>
      </c>
      <c r="D125" t="s">
        <v>578</v>
      </c>
      <c r="E125" t="s">
        <v>579</v>
      </c>
      <c r="F125" t="s">
        <v>18</v>
      </c>
      <c r="G125" t="s">
        <v>580</v>
      </c>
      <c r="H125" t="s">
        <v>581</v>
      </c>
      <c r="I125" t="s">
        <v>15</v>
      </c>
      <c r="J125" t="s">
        <v>21</v>
      </c>
      <c r="K125" t="s">
        <v>22</v>
      </c>
      <c r="L125">
        <f>BDP($H125,"BICS_LEVEL_1_SECTOR_NAME")</f>
        <v/>
      </c>
      <c r="M125">
        <f>BDP($H125,"BICS_LEVEL_3_INDUSTRY_NAME")</f>
        <v/>
      </c>
    </row>
    <row r="126" spans="1:13">
      <c r="A126" t="s">
        <v>582</v>
      </c>
      <c r="B126" t="s">
        <v>14</v>
      </c>
      <c r="C126" t="s">
        <v>15</v>
      </c>
      <c r="D126" t="s">
        <v>583</v>
      </c>
      <c r="E126" t="s">
        <v>584</v>
      </c>
      <c r="F126" t="s">
        <v>32</v>
      </c>
      <c r="G126" t="s">
        <v>275</v>
      </c>
      <c r="H126" t="s">
        <v>585</v>
      </c>
      <c r="I126" t="s">
        <v>15</v>
      </c>
      <c r="J126" t="s">
        <v>21</v>
      </c>
      <c r="K126" t="s">
        <v>22</v>
      </c>
      <c r="L126">
        <f>BDP($H126,"BICS_LEVEL_1_SECTOR_NAME")</f>
        <v/>
      </c>
      <c r="M126">
        <f>BDP($H126,"BICS_LEVEL_3_INDUSTRY_NAME")</f>
        <v/>
      </c>
    </row>
    <row r="127" spans="1:13">
      <c r="A127" t="s">
        <v>586</v>
      </c>
      <c r="B127" t="s">
        <v>14</v>
      </c>
      <c r="C127" t="s">
        <v>15</v>
      </c>
      <c r="D127" t="s">
        <v>587</v>
      </c>
      <c r="E127" t="s">
        <v>588</v>
      </c>
      <c r="F127" t="s">
        <v>84</v>
      </c>
      <c r="G127" t="s">
        <v>424</v>
      </c>
      <c r="H127" t="s">
        <v>589</v>
      </c>
      <c r="I127" t="s">
        <v>15</v>
      </c>
      <c r="J127" t="s">
        <v>21</v>
      </c>
      <c r="K127" t="s">
        <v>22</v>
      </c>
      <c r="L127">
        <f>BDP($H127,"BICS_LEVEL_1_SECTOR_NAME")</f>
        <v/>
      </c>
      <c r="M127">
        <f>BDP($H127,"BICS_LEVEL_3_INDUSTRY_NAME")</f>
        <v/>
      </c>
    </row>
    <row r="128" spans="1:13">
      <c r="A128" t="s">
        <v>590</v>
      </c>
      <c r="B128" t="s">
        <v>14</v>
      </c>
      <c r="C128" t="s">
        <v>15</v>
      </c>
      <c r="D128" t="s">
        <v>591</v>
      </c>
      <c r="E128" t="s">
        <v>592</v>
      </c>
      <c r="F128" t="s">
        <v>95</v>
      </c>
      <c r="G128" t="s">
        <v>593</v>
      </c>
      <c r="H128" t="s">
        <v>594</v>
      </c>
      <c r="I128" t="s">
        <v>15</v>
      </c>
      <c r="J128" t="s">
        <v>21</v>
      </c>
      <c r="K128" t="s">
        <v>22</v>
      </c>
      <c r="L128">
        <f>BDP($H128,"BICS_LEVEL_1_SECTOR_NAME")</f>
        <v/>
      </c>
      <c r="M128">
        <f>BDP($H128,"BICS_LEVEL_3_INDUSTRY_NAME")</f>
        <v/>
      </c>
    </row>
    <row r="129" spans="1:13">
      <c r="A129" t="s">
        <v>595</v>
      </c>
      <c r="B129" t="s">
        <v>14</v>
      </c>
      <c r="C129" t="s">
        <v>15</v>
      </c>
      <c r="D129" t="s">
        <v>596</v>
      </c>
      <c r="E129" t="s">
        <v>597</v>
      </c>
      <c r="F129" t="s">
        <v>74</v>
      </c>
      <c r="G129" t="s">
        <v>105</v>
      </c>
      <c r="H129" t="s">
        <v>598</v>
      </c>
      <c r="I129" t="s">
        <v>15</v>
      </c>
      <c r="J129" t="s">
        <v>21</v>
      </c>
      <c r="K129" t="s">
        <v>22</v>
      </c>
      <c r="L129">
        <f>BDP($H129,"BICS_LEVEL_1_SECTOR_NAME")</f>
        <v/>
      </c>
      <c r="M129">
        <f>BDP($H129,"BICS_LEVEL_3_INDUSTRY_NAME")</f>
        <v/>
      </c>
    </row>
    <row r="130" spans="1:13">
      <c r="A130" t="s">
        <v>599</v>
      </c>
      <c r="B130" t="s">
        <v>14</v>
      </c>
      <c r="C130" t="s">
        <v>15</v>
      </c>
      <c r="D130" t="s">
        <v>600</v>
      </c>
      <c r="E130" t="s">
        <v>601</v>
      </c>
      <c r="F130" t="s">
        <v>74</v>
      </c>
      <c r="G130" t="s">
        <v>75</v>
      </c>
      <c r="H130" t="s">
        <v>602</v>
      </c>
      <c r="I130" t="s">
        <v>15</v>
      </c>
      <c r="J130" t="s">
        <v>21</v>
      </c>
      <c r="K130" t="s">
        <v>22</v>
      </c>
      <c r="L130">
        <f>BDP($H130,"BICS_LEVEL_1_SECTOR_NAME")</f>
        <v/>
      </c>
      <c r="M130">
        <f>BDP($H130,"BICS_LEVEL_3_INDUSTRY_NAME")</f>
        <v/>
      </c>
    </row>
    <row r="131" spans="1:13">
      <c r="A131" t="s">
        <v>603</v>
      </c>
      <c r="B131" t="s">
        <v>14</v>
      </c>
      <c r="C131" t="s">
        <v>15</v>
      </c>
      <c r="D131" t="s">
        <v>604</v>
      </c>
      <c r="E131" t="s">
        <v>605</v>
      </c>
      <c r="F131" t="s">
        <v>84</v>
      </c>
      <c r="G131" t="s">
        <v>606</v>
      </c>
      <c r="H131" t="s">
        <v>607</v>
      </c>
      <c r="I131" t="s">
        <v>15</v>
      </c>
      <c r="J131" t="s">
        <v>21</v>
      </c>
      <c r="K131" t="s">
        <v>22</v>
      </c>
      <c r="L131">
        <f>BDP($H131,"BICS_LEVEL_1_SECTOR_NAME")</f>
        <v/>
      </c>
      <c r="M131">
        <f>BDP($H131,"BICS_LEVEL_3_INDUSTRY_NAME")</f>
        <v/>
      </c>
    </row>
    <row r="132" spans="1:13">
      <c r="A132" t="s">
        <v>608</v>
      </c>
      <c r="B132" t="s">
        <v>14</v>
      </c>
      <c r="C132" t="s">
        <v>15</v>
      </c>
      <c r="D132" t="s">
        <v>609</v>
      </c>
      <c r="E132" t="s">
        <v>610</v>
      </c>
      <c r="F132" t="s">
        <v>63</v>
      </c>
      <c r="G132" t="s">
        <v>611</v>
      </c>
      <c r="H132" t="s">
        <v>612</v>
      </c>
      <c r="I132" t="s">
        <v>15</v>
      </c>
      <c r="J132" t="s">
        <v>21</v>
      </c>
      <c r="K132" t="s">
        <v>22</v>
      </c>
      <c r="L132">
        <f>BDP($H132,"BICS_LEVEL_1_SECTOR_NAME")</f>
        <v/>
      </c>
      <c r="M132">
        <f>BDP($H132,"BICS_LEVEL_3_INDUSTRY_NAME")</f>
        <v/>
      </c>
    </row>
    <row r="133" spans="1:13">
      <c r="A133" t="s">
        <v>613</v>
      </c>
      <c r="B133" t="s">
        <v>14</v>
      </c>
      <c r="C133" t="s">
        <v>15</v>
      </c>
      <c r="D133" t="s">
        <v>614</v>
      </c>
      <c r="E133" t="s">
        <v>615</v>
      </c>
      <c r="F133" t="s">
        <v>26</v>
      </c>
      <c r="G133" t="s">
        <v>69</v>
      </c>
      <c r="H133" t="s">
        <v>616</v>
      </c>
      <c r="I133" t="s">
        <v>15</v>
      </c>
      <c r="J133" t="s">
        <v>21</v>
      </c>
      <c r="K133" t="s">
        <v>22</v>
      </c>
      <c r="L133">
        <f>BDP($H133,"BICS_LEVEL_1_SECTOR_NAME")</f>
        <v/>
      </c>
      <c r="M133">
        <f>BDP($H133,"BICS_LEVEL_3_INDUSTRY_NAME")</f>
        <v/>
      </c>
    </row>
    <row r="134" spans="1:13">
      <c r="A134" t="s">
        <v>617</v>
      </c>
      <c r="B134" t="s">
        <v>14</v>
      </c>
      <c r="C134" t="s">
        <v>15</v>
      </c>
      <c r="D134" t="s">
        <v>618</v>
      </c>
      <c r="E134" t="s">
        <v>619</v>
      </c>
      <c r="F134" t="s">
        <v>26</v>
      </c>
      <c r="G134" t="s">
        <v>27</v>
      </c>
      <c r="H134" t="s">
        <v>620</v>
      </c>
      <c r="I134" t="s">
        <v>15</v>
      </c>
      <c r="J134" t="s">
        <v>21</v>
      </c>
      <c r="K134" t="s">
        <v>22</v>
      </c>
      <c r="L134">
        <f>BDP($H134,"BICS_LEVEL_1_SECTOR_NAME")</f>
        <v/>
      </c>
      <c r="M134">
        <f>BDP($H134,"BICS_LEVEL_3_INDUSTRY_NAME")</f>
        <v/>
      </c>
    </row>
    <row r="135" spans="1:13">
      <c r="A135" t="s">
        <v>621</v>
      </c>
      <c r="B135" t="s">
        <v>14</v>
      </c>
      <c r="C135" t="s">
        <v>15</v>
      </c>
      <c r="D135" t="s">
        <v>622</v>
      </c>
      <c r="E135" t="s">
        <v>623</v>
      </c>
      <c r="F135" t="s">
        <v>74</v>
      </c>
      <c r="G135" t="s">
        <v>624</v>
      </c>
      <c r="H135" t="s">
        <v>625</v>
      </c>
      <c r="I135" t="s">
        <v>15</v>
      </c>
      <c r="J135" t="s">
        <v>21</v>
      </c>
      <c r="K135" t="s">
        <v>22</v>
      </c>
      <c r="L135">
        <f>BDP($H135,"BICS_LEVEL_1_SECTOR_NAME")</f>
        <v/>
      </c>
      <c r="M135">
        <f>BDP($H135,"BICS_LEVEL_3_INDUSTRY_NAME")</f>
        <v/>
      </c>
    </row>
    <row r="136" spans="1:13">
      <c r="A136" t="s">
        <v>626</v>
      </c>
      <c r="B136" t="s">
        <v>14</v>
      </c>
      <c r="C136" t="s">
        <v>15</v>
      </c>
      <c r="D136" t="s">
        <v>627</v>
      </c>
      <c r="E136" t="s">
        <v>628</v>
      </c>
      <c r="F136" t="s">
        <v>26</v>
      </c>
      <c r="G136" t="s">
        <v>211</v>
      </c>
      <c r="H136" t="s">
        <v>629</v>
      </c>
      <c r="I136" t="s">
        <v>15</v>
      </c>
      <c r="J136" t="s">
        <v>21</v>
      </c>
      <c r="K136" t="s">
        <v>22</v>
      </c>
      <c r="L136">
        <f>BDP($H136,"BICS_LEVEL_1_SECTOR_NAME")</f>
        <v/>
      </c>
      <c r="M136">
        <f>BDP($H136,"BICS_LEVEL_3_INDUSTRY_NAME")</f>
        <v/>
      </c>
    </row>
    <row r="137" spans="1:13">
      <c r="A137" t="s">
        <v>630</v>
      </c>
      <c r="B137" t="s">
        <v>14</v>
      </c>
      <c r="C137" t="s">
        <v>15</v>
      </c>
      <c r="D137" t="s">
        <v>631</v>
      </c>
      <c r="E137" t="s">
        <v>632</v>
      </c>
      <c r="F137" t="s">
        <v>18</v>
      </c>
      <c r="G137" t="s">
        <v>366</v>
      </c>
      <c r="H137" t="s">
        <v>633</v>
      </c>
      <c r="I137" t="s">
        <v>15</v>
      </c>
      <c r="J137" t="s">
        <v>21</v>
      </c>
      <c r="K137" t="s">
        <v>22</v>
      </c>
      <c r="L137">
        <f>BDP($H137,"BICS_LEVEL_1_SECTOR_NAME")</f>
        <v/>
      </c>
      <c r="M137">
        <f>BDP($H137,"BICS_LEVEL_3_INDUSTRY_NAME")</f>
        <v/>
      </c>
    </row>
    <row r="138" spans="1:13">
      <c r="A138" t="s">
        <v>634</v>
      </c>
      <c r="B138" t="s">
        <v>14</v>
      </c>
      <c r="C138" t="s">
        <v>15</v>
      </c>
      <c r="D138" t="s">
        <v>635</v>
      </c>
      <c r="E138" t="s">
        <v>636</v>
      </c>
      <c r="F138" t="s">
        <v>74</v>
      </c>
      <c r="G138" t="s">
        <v>75</v>
      </c>
      <c r="H138" t="s">
        <v>637</v>
      </c>
      <c r="I138" t="s">
        <v>15</v>
      </c>
      <c r="J138" t="s">
        <v>21</v>
      </c>
      <c r="K138" t="s">
        <v>22</v>
      </c>
      <c r="L138">
        <f>BDP($H138,"BICS_LEVEL_1_SECTOR_NAME")</f>
        <v/>
      </c>
      <c r="M138">
        <f>BDP($H138,"BICS_LEVEL_3_INDUSTRY_NAME")</f>
        <v/>
      </c>
    </row>
    <row r="139" spans="1:13">
      <c r="A139" t="s">
        <v>638</v>
      </c>
      <c r="B139" t="s">
        <v>14</v>
      </c>
      <c r="C139" t="s">
        <v>15</v>
      </c>
      <c r="D139" t="s">
        <v>639</v>
      </c>
      <c r="E139" t="s">
        <v>640</v>
      </c>
      <c r="F139" t="s">
        <v>63</v>
      </c>
      <c r="G139" t="s">
        <v>64</v>
      </c>
      <c r="H139" t="s">
        <v>641</v>
      </c>
      <c r="I139" t="s">
        <v>15</v>
      </c>
      <c r="J139" t="s">
        <v>21</v>
      </c>
      <c r="K139" t="s">
        <v>22</v>
      </c>
      <c r="L139">
        <f>BDP($H139,"BICS_LEVEL_1_SECTOR_NAME")</f>
        <v/>
      </c>
      <c r="M139">
        <f>BDP($H139,"BICS_LEVEL_3_INDUSTRY_NAME")</f>
        <v/>
      </c>
    </row>
    <row r="140" spans="1:13">
      <c r="A140" t="s">
        <v>642</v>
      </c>
      <c r="B140" t="s">
        <v>14</v>
      </c>
      <c r="C140" t="s">
        <v>15</v>
      </c>
      <c r="D140" t="s">
        <v>643</v>
      </c>
      <c r="E140" t="s">
        <v>644</v>
      </c>
      <c r="F140" t="s">
        <v>26</v>
      </c>
      <c r="G140" t="s">
        <v>131</v>
      </c>
      <c r="H140" t="s">
        <v>645</v>
      </c>
      <c r="I140" t="s">
        <v>15</v>
      </c>
      <c r="J140" t="s">
        <v>21</v>
      </c>
      <c r="K140" t="s">
        <v>22</v>
      </c>
      <c r="L140">
        <f>BDP($H140,"BICS_LEVEL_1_SECTOR_NAME")</f>
        <v/>
      </c>
      <c r="M140">
        <f>BDP($H140,"BICS_LEVEL_3_INDUSTRY_NAME")</f>
        <v/>
      </c>
    </row>
    <row r="141" spans="1:13">
      <c r="A141" t="s">
        <v>646</v>
      </c>
      <c r="B141" t="s">
        <v>14</v>
      </c>
      <c r="C141" t="s">
        <v>15</v>
      </c>
      <c r="D141" t="s">
        <v>647</v>
      </c>
      <c r="E141" t="s">
        <v>648</v>
      </c>
      <c r="F141" t="s">
        <v>63</v>
      </c>
      <c r="G141" t="s">
        <v>64</v>
      </c>
      <c r="H141" t="s">
        <v>649</v>
      </c>
      <c r="I141" t="s">
        <v>15</v>
      </c>
      <c r="J141" t="s">
        <v>21</v>
      </c>
      <c r="K141" t="s">
        <v>22</v>
      </c>
      <c r="L141">
        <f>BDP($H141,"BICS_LEVEL_1_SECTOR_NAME")</f>
        <v/>
      </c>
      <c r="M141">
        <f>BDP($H141,"BICS_LEVEL_3_INDUSTRY_NAME")</f>
        <v/>
      </c>
    </row>
    <row r="142" spans="1:13">
      <c r="A142" t="s">
        <v>650</v>
      </c>
      <c r="B142" t="s">
        <v>14</v>
      </c>
      <c r="C142" t="s">
        <v>15</v>
      </c>
      <c r="D142" t="s">
        <v>651</v>
      </c>
      <c r="E142" t="s">
        <v>652</v>
      </c>
      <c r="F142" t="s">
        <v>74</v>
      </c>
      <c r="G142" t="s">
        <v>75</v>
      </c>
      <c r="H142" t="s">
        <v>653</v>
      </c>
      <c r="I142" t="s">
        <v>15</v>
      </c>
      <c r="J142" t="s">
        <v>21</v>
      </c>
      <c r="K142" t="s">
        <v>22</v>
      </c>
      <c r="L142">
        <f>BDP($H142,"BICS_LEVEL_1_SECTOR_NAME")</f>
        <v/>
      </c>
      <c r="M142">
        <f>BDP($H142,"BICS_LEVEL_3_INDUSTRY_NAME")</f>
        <v/>
      </c>
    </row>
    <row r="143" spans="1:13">
      <c r="A143" t="s">
        <v>654</v>
      </c>
      <c r="B143" t="s">
        <v>14</v>
      </c>
      <c r="C143" t="s">
        <v>15</v>
      </c>
      <c r="D143" t="s">
        <v>655</v>
      </c>
      <c r="E143" t="s">
        <v>656</v>
      </c>
      <c r="F143" t="s">
        <v>74</v>
      </c>
      <c r="G143" t="s">
        <v>105</v>
      </c>
      <c r="H143" t="s">
        <v>657</v>
      </c>
      <c r="I143" t="s">
        <v>15</v>
      </c>
      <c r="J143" t="s">
        <v>21</v>
      </c>
      <c r="K143" t="s">
        <v>22</v>
      </c>
      <c r="L143">
        <f>BDP($H143,"BICS_LEVEL_1_SECTOR_NAME")</f>
        <v/>
      </c>
      <c r="M143">
        <f>BDP($H143,"BICS_LEVEL_3_INDUSTRY_NAME")</f>
        <v/>
      </c>
    </row>
    <row r="144" spans="1:13">
      <c r="A144" t="s">
        <v>658</v>
      </c>
      <c r="B144" t="s">
        <v>14</v>
      </c>
      <c r="C144" t="s">
        <v>15</v>
      </c>
      <c r="D144" t="s">
        <v>659</v>
      </c>
      <c r="E144" t="s">
        <v>660</v>
      </c>
      <c r="F144" t="s">
        <v>26</v>
      </c>
      <c r="G144" t="s">
        <v>52</v>
      </c>
      <c r="H144" t="s">
        <v>661</v>
      </c>
      <c r="I144" t="s">
        <v>15</v>
      </c>
      <c r="J144" t="s">
        <v>21</v>
      </c>
      <c r="K144" t="s">
        <v>22</v>
      </c>
      <c r="L144">
        <f>BDP($H144,"BICS_LEVEL_1_SECTOR_NAME")</f>
        <v/>
      </c>
      <c r="M144">
        <f>BDP($H144,"BICS_LEVEL_3_INDUSTRY_NAME")</f>
        <v/>
      </c>
    </row>
    <row r="145" spans="1:13">
      <c r="A145" t="s">
        <v>662</v>
      </c>
      <c r="B145" t="s">
        <v>14</v>
      </c>
      <c r="C145" t="s">
        <v>15</v>
      </c>
      <c r="D145" t="s">
        <v>663</v>
      </c>
      <c r="E145" t="s">
        <v>664</v>
      </c>
      <c r="F145" t="s">
        <v>32</v>
      </c>
      <c r="G145" t="s">
        <v>69</v>
      </c>
      <c r="H145" t="s">
        <v>665</v>
      </c>
      <c r="I145" t="s">
        <v>15</v>
      </c>
      <c r="J145" t="s">
        <v>21</v>
      </c>
      <c r="K145" t="s">
        <v>22</v>
      </c>
      <c r="L145">
        <f>BDP($H145,"BICS_LEVEL_1_SECTOR_NAME")</f>
        <v/>
      </c>
      <c r="M145">
        <f>BDP($H145,"BICS_LEVEL_3_INDUSTRY_NAME")</f>
        <v/>
      </c>
    </row>
    <row r="146" spans="1:13">
      <c r="A146" t="s">
        <v>666</v>
      </c>
      <c r="B146" t="s">
        <v>14</v>
      </c>
      <c r="C146" t="s">
        <v>15</v>
      </c>
      <c r="D146" t="s">
        <v>667</v>
      </c>
      <c r="E146" t="s">
        <v>668</v>
      </c>
      <c r="F146" t="s">
        <v>18</v>
      </c>
      <c r="G146" t="s">
        <v>197</v>
      </c>
      <c r="H146" t="s">
        <v>669</v>
      </c>
      <c r="I146" t="s">
        <v>15</v>
      </c>
      <c r="J146" t="s">
        <v>21</v>
      </c>
      <c r="K146" t="s">
        <v>22</v>
      </c>
      <c r="L146">
        <f>BDP($H146,"BICS_LEVEL_1_SECTOR_NAME")</f>
        <v/>
      </c>
      <c r="M146">
        <f>BDP($H146,"BICS_LEVEL_3_INDUSTRY_NAME")</f>
        <v/>
      </c>
    </row>
    <row r="147" spans="1:13">
      <c r="A147" t="s">
        <v>670</v>
      </c>
      <c r="B147" t="s">
        <v>14</v>
      </c>
      <c r="C147" t="s">
        <v>15</v>
      </c>
      <c r="D147" t="s">
        <v>671</v>
      </c>
      <c r="E147" t="s">
        <v>672</v>
      </c>
      <c r="F147" t="s">
        <v>74</v>
      </c>
      <c r="G147" t="s">
        <v>75</v>
      </c>
      <c r="H147" t="s">
        <v>673</v>
      </c>
      <c r="I147" t="s">
        <v>15</v>
      </c>
      <c r="J147" t="s">
        <v>21</v>
      </c>
      <c r="K147" t="s">
        <v>22</v>
      </c>
      <c r="L147">
        <f>BDP($H147,"BICS_LEVEL_1_SECTOR_NAME")</f>
        <v/>
      </c>
      <c r="M147">
        <f>BDP($H147,"BICS_LEVEL_3_INDUSTRY_NAME")</f>
        <v/>
      </c>
    </row>
    <row r="148" spans="1:13">
      <c r="A148" t="s">
        <v>674</v>
      </c>
      <c r="B148" t="s">
        <v>14</v>
      </c>
      <c r="C148" t="s">
        <v>15</v>
      </c>
      <c r="D148" t="s">
        <v>675</v>
      </c>
      <c r="E148" t="s">
        <v>676</v>
      </c>
      <c r="F148" t="s">
        <v>74</v>
      </c>
      <c r="G148" t="s">
        <v>75</v>
      </c>
      <c r="H148" t="s">
        <v>677</v>
      </c>
      <c r="I148" t="s">
        <v>15</v>
      </c>
      <c r="J148" t="s">
        <v>21</v>
      </c>
      <c r="K148" t="s">
        <v>22</v>
      </c>
      <c r="L148">
        <f>BDP($H148,"BICS_LEVEL_1_SECTOR_NAME")</f>
        <v/>
      </c>
      <c r="M148">
        <f>BDP($H148,"BICS_LEVEL_3_INDUSTRY_NAME")</f>
        <v/>
      </c>
    </row>
    <row r="149" spans="1:13">
      <c r="A149" t="s">
        <v>678</v>
      </c>
      <c r="B149" t="s">
        <v>14</v>
      </c>
      <c r="C149" t="s">
        <v>15</v>
      </c>
      <c r="D149" t="s">
        <v>679</v>
      </c>
      <c r="E149" t="s">
        <v>680</v>
      </c>
      <c r="F149" t="s">
        <v>32</v>
      </c>
      <c r="G149" t="s">
        <v>131</v>
      </c>
      <c r="H149" t="s">
        <v>681</v>
      </c>
      <c r="I149" t="s">
        <v>15</v>
      </c>
      <c r="J149" t="s">
        <v>21</v>
      </c>
      <c r="K149" t="s">
        <v>22</v>
      </c>
      <c r="L149">
        <f>BDP($H149,"BICS_LEVEL_1_SECTOR_NAME")</f>
        <v/>
      </c>
      <c r="M149">
        <f>BDP($H149,"BICS_LEVEL_3_INDUSTRY_NAME")</f>
        <v/>
      </c>
    </row>
    <row r="150" spans="1:13">
      <c r="A150" t="s">
        <v>682</v>
      </c>
      <c r="B150" t="s">
        <v>14</v>
      </c>
      <c r="C150" t="s">
        <v>15</v>
      </c>
      <c r="D150" t="s">
        <v>683</v>
      </c>
      <c r="E150" t="s">
        <v>684</v>
      </c>
      <c r="F150" t="s">
        <v>18</v>
      </c>
      <c r="G150" t="s">
        <v>685</v>
      </c>
      <c r="H150" t="s">
        <v>686</v>
      </c>
      <c r="I150" t="s">
        <v>15</v>
      </c>
      <c r="J150" t="s">
        <v>21</v>
      </c>
      <c r="K150" t="s">
        <v>22</v>
      </c>
      <c r="L150">
        <f>BDP($H150,"BICS_LEVEL_1_SECTOR_NAME")</f>
        <v/>
      </c>
      <c r="M150">
        <f>BDP($H150,"BICS_LEVEL_3_INDUSTRY_NAME")</f>
        <v/>
      </c>
    </row>
    <row r="151" spans="1:13">
      <c r="A151" t="s">
        <v>687</v>
      </c>
      <c r="B151" t="s">
        <v>14</v>
      </c>
      <c r="C151" t="s">
        <v>15</v>
      </c>
      <c r="D151" t="s">
        <v>688</v>
      </c>
      <c r="E151" t="s">
        <v>689</v>
      </c>
      <c r="F151" t="s">
        <v>32</v>
      </c>
      <c r="G151" t="s">
        <v>280</v>
      </c>
      <c r="H151" t="s">
        <v>690</v>
      </c>
      <c r="I151" t="s">
        <v>15</v>
      </c>
      <c r="J151" t="s">
        <v>21</v>
      </c>
      <c r="K151" t="s">
        <v>22</v>
      </c>
      <c r="L151">
        <f>BDP($H151,"BICS_LEVEL_1_SECTOR_NAME")</f>
        <v/>
      </c>
      <c r="M151">
        <f>BDP($H151,"BICS_LEVEL_3_INDUSTRY_NAME")</f>
        <v/>
      </c>
    </row>
    <row r="152" spans="1:13">
      <c r="A152" t="s">
        <v>691</v>
      </c>
      <c r="B152" t="s">
        <v>14</v>
      </c>
      <c r="C152" t="s">
        <v>15</v>
      </c>
      <c r="D152" t="s">
        <v>692</v>
      </c>
      <c r="E152" t="s">
        <v>693</v>
      </c>
      <c r="F152" t="s">
        <v>32</v>
      </c>
      <c r="G152" t="s">
        <v>33</v>
      </c>
      <c r="H152" t="s">
        <v>694</v>
      </c>
      <c r="I152" t="s">
        <v>15</v>
      </c>
      <c r="J152" t="s">
        <v>21</v>
      </c>
      <c r="K152" t="s">
        <v>22</v>
      </c>
      <c r="L152">
        <f>BDP($H152,"BICS_LEVEL_1_SECTOR_NAME")</f>
        <v/>
      </c>
      <c r="M152">
        <f>BDP($H152,"BICS_LEVEL_3_INDUSTRY_NAME")</f>
        <v/>
      </c>
    </row>
    <row r="153" spans="1:13">
      <c r="A153" t="s">
        <v>695</v>
      </c>
      <c r="B153" t="s">
        <v>14</v>
      </c>
      <c r="C153" t="s">
        <v>15</v>
      </c>
      <c r="D153" t="s">
        <v>696</v>
      </c>
      <c r="E153" t="s">
        <v>697</v>
      </c>
      <c r="F153" t="s">
        <v>18</v>
      </c>
      <c r="G153" t="s">
        <v>698</v>
      </c>
      <c r="H153" t="s">
        <v>699</v>
      </c>
      <c r="I153" t="s">
        <v>15</v>
      </c>
      <c r="J153" t="s">
        <v>21</v>
      </c>
      <c r="K153" t="s">
        <v>22</v>
      </c>
      <c r="L153">
        <f>BDP($H153,"BICS_LEVEL_1_SECTOR_NAME")</f>
        <v/>
      </c>
      <c r="M153">
        <f>BDP($H153,"BICS_LEVEL_3_INDUSTRY_NAME")</f>
        <v/>
      </c>
    </row>
    <row r="154" spans="1:13">
      <c r="A154" t="s">
        <v>700</v>
      </c>
      <c r="B154" t="s">
        <v>14</v>
      </c>
      <c r="C154" t="s">
        <v>15</v>
      </c>
      <c r="D154" t="s">
        <v>701</v>
      </c>
      <c r="E154" t="s">
        <v>702</v>
      </c>
      <c r="F154" t="s">
        <v>32</v>
      </c>
      <c r="G154" t="s">
        <v>280</v>
      </c>
      <c r="H154" t="s">
        <v>703</v>
      </c>
      <c r="I154" t="s">
        <v>15</v>
      </c>
      <c r="J154" t="s">
        <v>21</v>
      </c>
      <c r="K154" t="s">
        <v>22</v>
      </c>
      <c r="L154">
        <f>BDP($H154,"BICS_LEVEL_1_SECTOR_NAME")</f>
        <v/>
      </c>
      <c r="M154">
        <f>BDP($H154,"BICS_LEVEL_3_INDUSTRY_NAME")</f>
        <v/>
      </c>
    </row>
    <row r="155" spans="1:13">
      <c r="A155" t="s">
        <v>704</v>
      </c>
      <c r="B155" t="s">
        <v>14</v>
      </c>
      <c r="C155" t="s">
        <v>15</v>
      </c>
      <c r="D155" t="s">
        <v>705</v>
      </c>
      <c r="E155" t="s">
        <v>706</v>
      </c>
      <c r="F155" t="s">
        <v>32</v>
      </c>
      <c r="G155" t="s">
        <v>280</v>
      </c>
      <c r="H155" t="s">
        <v>707</v>
      </c>
      <c r="I155" t="s">
        <v>15</v>
      </c>
      <c r="J155" t="s">
        <v>21</v>
      </c>
      <c r="K155" t="s">
        <v>22</v>
      </c>
      <c r="L155">
        <f>BDP($H155,"BICS_LEVEL_1_SECTOR_NAME")</f>
        <v/>
      </c>
      <c r="M155">
        <f>BDP($H155,"BICS_LEVEL_3_INDUSTRY_NAME")</f>
        <v/>
      </c>
    </row>
    <row r="156" spans="1:13">
      <c r="A156" t="s">
        <v>708</v>
      </c>
      <c r="B156" t="s">
        <v>14</v>
      </c>
      <c r="C156" t="s">
        <v>15</v>
      </c>
      <c r="D156" t="s">
        <v>709</v>
      </c>
      <c r="E156" t="s">
        <v>710</v>
      </c>
      <c r="F156" t="s">
        <v>32</v>
      </c>
      <c r="G156" t="s">
        <v>131</v>
      </c>
      <c r="H156" t="s">
        <v>711</v>
      </c>
      <c r="I156" t="s">
        <v>15</v>
      </c>
      <c r="J156" t="s">
        <v>21</v>
      </c>
      <c r="K156" t="s">
        <v>22</v>
      </c>
      <c r="L156">
        <f>BDP($H156,"BICS_LEVEL_1_SECTOR_NAME")</f>
        <v/>
      </c>
      <c r="M156">
        <f>BDP($H156,"BICS_LEVEL_3_INDUSTRY_NAME")</f>
        <v/>
      </c>
    </row>
    <row r="157" spans="1:13">
      <c r="A157" t="s">
        <v>712</v>
      </c>
      <c r="B157" t="s">
        <v>14</v>
      </c>
      <c r="C157" t="s">
        <v>15</v>
      </c>
      <c r="D157" t="s">
        <v>713</v>
      </c>
      <c r="E157" t="s">
        <v>714</v>
      </c>
      <c r="F157" t="s">
        <v>74</v>
      </c>
      <c r="G157" t="s">
        <v>75</v>
      </c>
      <c r="H157" t="s">
        <v>715</v>
      </c>
      <c r="I157" t="s">
        <v>15</v>
      </c>
      <c r="J157" t="s">
        <v>21</v>
      </c>
      <c r="K157" t="s">
        <v>22</v>
      </c>
      <c r="L157">
        <f>BDP($H157,"BICS_LEVEL_1_SECTOR_NAME")</f>
        <v/>
      </c>
      <c r="M157">
        <f>BDP($H157,"BICS_LEVEL_3_INDUSTRY_NAME")</f>
        <v/>
      </c>
    </row>
    <row r="158" spans="1:13">
      <c r="A158" t="s">
        <v>716</v>
      </c>
      <c r="B158" t="s">
        <v>14</v>
      </c>
      <c r="C158" t="s">
        <v>15</v>
      </c>
      <c r="D158" t="s">
        <v>717</v>
      </c>
      <c r="E158" t="s">
        <v>718</v>
      </c>
      <c r="F158" t="s">
        <v>18</v>
      </c>
      <c r="G158" t="s">
        <v>58</v>
      </c>
      <c r="H158" t="s">
        <v>719</v>
      </c>
      <c r="I158" t="s">
        <v>15</v>
      </c>
      <c r="J158" t="s">
        <v>21</v>
      </c>
      <c r="K158" t="s">
        <v>22</v>
      </c>
      <c r="L158">
        <f>BDP($H158,"BICS_LEVEL_1_SECTOR_NAME")</f>
        <v/>
      </c>
      <c r="M158">
        <f>BDP($H158,"BICS_LEVEL_3_INDUSTRY_NAME")</f>
        <v/>
      </c>
    </row>
    <row r="159" spans="1:13">
      <c r="A159" t="s">
        <v>720</v>
      </c>
      <c r="B159" t="s">
        <v>14</v>
      </c>
      <c r="C159" t="s">
        <v>15</v>
      </c>
      <c r="D159" t="s">
        <v>721</v>
      </c>
      <c r="E159" t="s">
        <v>722</v>
      </c>
      <c r="F159" t="s">
        <v>18</v>
      </c>
      <c r="G159" t="s">
        <v>52</v>
      </c>
      <c r="H159" t="s">
        <v>723</v>
      </c>
      <c r="I159" t="s">
        <v>15</v>
      </c>
      <c r="J159" t="s">
        <v>21</v>
      </c>
      <c r="K159" t="s">
        <v>22</v>
      </c>
      <c r="L159">
        <f>BDP($H159,"BICS_LEVEL_1_SECTOR_NAME")</f>
        <v/>
      </c>
      <c r="M159">
        <f>BDP($H159,"BICS_LEVEL_3_INDUSTRY_NAME")</f>
        <v/>
      </c>
    </row>
    <row r="160" spans="1:13">
      <c r="A160" t="s">
        <v>724</v>
      </c>
      <c r="B160" t="s">
        <v>14</v>
      </c>
      <c r="C160" t="s">
        <v>15</v>
      </c>
      <c r="D160" t="s">
        <v>725</v>
      </c>
      <c r="E160" t="s">
        <v>726</v>
      </c>
      <c r="F160" t="s">
        <v>32</v>
      </c>
      <c r="G160" t="s">
        <v>69</v>
      </c>
      <c r="H160" t="s">
        <v>727</v>
      </c>
      <c r="I160" t="s">
        <v>15</v>
      </c>
      <c r="J160" t="s">
        <v>21</v>
      </c>
      <c r="K160" t="s">
        <v>22</v>
      </c>
      <c r="L160">
        <f>BDP($H160,"BICS_LEVEL_1_SECTOR_NAME")</f>
        <v/>
      </c>
      <c r="M160">
        <f>BDP($H160,"BICS_LEVEL_3_INDUSTRY_NAME")</f>
        <v/>
      </c>
    </row>
    <row r="161" spans="1:13">
      <c r="A161" t="s">
        <v>728</v>
      </c>
      <c r="B161" t="s">
        <v>14</v>
      </c>
      <c r="C161" t="s">
        <v>15</v>
      </c>
      <c r="D161" t="s">
        <v>729</v>
      </c>
      <c r="E161" t="s">
        <v>730</v>
      </c>
      <c r="F161" t="s">
        <v>26</v>
      </c>
      <c r="G161" t="s">
        <v>336</v>
      </c>
      <c r="H161" t="s">
        <v>731</v>
      </c>
      <c r="I161" t="s">
        <v>15</v>
      </c>
      <c r="J161" t="s">
        <v>21</v>
      </c>
      <c r="K161" t="s">
        <v>22</v>
      </c>
      <c r="L161">
        <f>BDP($H161,"BICS_LEVEL_1_SECTOR_NAME")</f>
        <v/>
      </c>
      <c r="M161">
        <f>BDP($H161,"BICS_LEVEL_3_INDUSTRY_NAME")</f>
        <v/>
      </c>
    </row>
    <row r="162" spans="1:13">
      <c r="A162" t="s">
        <v>732</v>
      </c>
      <c r="B162" t="s">
        <v>14</v>
      </c>
      <c r="C162" t="s">
        <v>15</v>
      </c>
      <c r="D162" t="s">
        <v>733</v>
      </c>
      <c r="E162" t="s">
        <v>734</v>
      </c>
      <c r="F162" t="s">
        <v>95</v>
      </c>
      <c r="G162" t="s">
        <v>96</v>
      </c>
      <c r="H162" t="s">
        <v>735</v>
      </c>
      <c r="I162" t="s">
        <v>15</v>
      </c>
      <c r="J162" t="s">
        <v>21</v>
      </c>
      <c r="K162" t="s">
        <v>22</v>
      </c>
      <c r="L162">
        <f>BDP($H162,"BICS_LEVEL_1_SECTOR_NAME")</f>
        <v/>
      </c>
      <c r="M162">
        <f>BDP($H162,"BICS_LEVEL_3_INDUSTRY_NAME")</f>
        <v/>
      </c>
    </row>
    <row r="163" spans="1:13">
      <c r="A163" t="s">
        <v>736</v>
      </c>
      <c r="B163" t="s">
        <v>14</v>
      </c>
      <c r="C163" t="s">
        <v>15</v>
      </c>
      <c r="D163" t="s">
        <v>737</v>
      </c>
      <c r="E163" t="s">
        <v>738</v>
      </c>
      <c r="F163" t="s">
        <v>74</v>
      </c>
      <c r="G163" t="s">
        <v>75</v>
      </c>
      <c r="H163" t="s">
        <v>739</v>
      </c>
      <c r="I163" t="s">
        <v>15</v>
      </c>
      <c r="J163" t="s">
        <v>21</v>
      </c>
      <c r="K163" t="s">
        <v>22</v>
      </c>
      <c r="L163">
        <f>BDP($H163,"BICS_LEVEL_1_SECTOR_NAME")</f>
        <v/>
      </c>
      <c r="M163">
        <f>BDP($H163,"BICS_LEVEL_3_INDUSTRY_NAME")</f>
        <v/>
      </c>
    </row>
    <row r="164" spans="1:13">
      <c r="A164" t="s">
        <v>740</v>
      </c>
      <c r="B164" t="s">
        <v>14</v>
      </c>
      <c r="C164" t="s">
        <v>15</v>
      </c>
      <c r="D164" t="s">
        <v>741</v>
      </c>
      <c r="E164" t="s">
        <v>742</v>
      </c>
      <c r="F164" t="s">
        <v>18</v>
      </c>
      <c r="G164" t="s">
        <v>743</v>
      </c>
      <c r="H164" t="s">
        <v>744</v>
      </c>
      <c r="I164" t="s">
        <v>15</v>
      </c>
      <c r="J164" t="s">
        <v>21</v>
      </c>
      <c r="K164" t="s">
        <v>22</v>
      </c>
      <c r="L164">
        <f>BDP($H164,"BICS_LEVEL_1_SECTOR_NAME")</f>
        <v/>
      </c>
      <c r="M164">
        <f>BDP($H164,"BICS_LEVEL_3_INDUSTRY_NAME")</f>
        <v/>
      </c>
    </row>
    <row r="165" spans="1:13">
      <c r="A165" t="s">
        <v>745</v>
      </c>
      <c r="B165" t="s">
        <v>14</v>
      </c>
      <c r="C165" t="s">
        <v>15</v>
      </c>
      <c r="D165" t="s">
        <v>746</v>
      </c>
      <c r="E165" t="s">
        <v>747</v>
      </c>
      <c r="F165" t="s">
        <v>18</v>
      </c>
      <c r="G165" t="s">
        <v>366</v>
      </c>
      <c r="H165" t="s">
        <v>748</v>
      </c>
      <c r="I165" t="s">
        <v>15</v>
      </c>
      <c r="J165" t="s">
        <v>21</v>
      </c>
      <c r="K165" t="s">
        <v>22</v>
      </c>
      <c r="L165">
        <f>BDP($H165,"BICS_LEVEL_1_SECTOR_NAME")</f>
        <v/>
      </c>
      <c r="M165">
        <f>BDP($H165,"BICS_LEVEL_3_INDUSTRY_NAME")</f>
        <v/>
      </c>
    </row>
    <row r="166" spans="1:13">
      <c r="A166" t="s">
        <v>749</v>
      </c>
      <c r="B166" t="s">
        <v>14</v>
      </c>
      <c r="C166" t="s">
        <v>15</v>
      </c>
      <c r="D166" t="s">
        <v>750</v>
      </c>
      <c r="E166" t="s">
        <v>751</v>
      </c>
      <c r="F166" t="s">
        <v>74</v>
      </c>
      <c r="G166" t="s">
        <v>75</v>
      </c>
      <c r="H166" t="s">
        <v>752</v>
      </c>
      <c r="I166" t="s">
        <v>15</v>
      </c>
      <c r="J166" t="s">
        <v>21</v>
      </c>
      <c r="K166" t="s">
        <v>22</v>
      </c>
      <c r="L166">
        <f>BDP($H166,"BICS_LEVEL_1_SECTOR_NAME")</f>
        <v/>
      </c>
      <c r="M166">
        <f>BDP($H166,"BICS_LEVEL_3_INDUSTRY_NAME")</f>
        <v/>
      </c>
    </row>
    <row r="167" spans="1:13">
      <c r="A167" t="s">
        <v>753</v>
      </c>
      <c r="B167" t="s">
        <v>14</v>
      </c>
      <c r="C167" t="s">
        <v>15</v>
      </c>
      <c r="D167" t="s">
        <v>754</v>
      </c>
      <c r="E167" t="s">
        <v>755</v>
      </c>
      <c r="F167" t="s">
        <v>32</v>
      </c>
      <c r="G167" t="s">
        <v>756</v>
      </c>
      <c r="H167" t="s">
        <v>757</v>
      </c>
      <c r="I167" t="s">
        <v>15</v>
      </c>
      <c r="J167" t="s">
        <v>21</v>
      </c>
      <c r="K167" t="s">
        <v>22</v>
      </c>
      <c r="L167">
        <f>BDP($H167,"BICS_LEVEL_1_SECTOR_NAME")</f>
        <v/>
      </c>
      <c r="M167">
        <f>BDP($H167,"BICS_LEVEL_3_INDUSTRY_NAME")</f>
        <v/>
      </c>
    </row>
    <row r="168" spans="1:13">
      <c r="A168" t="s">
        <v>758</v>
      </c>
      <c r="B168" t="s">
        <v>14</v>
      </c>
      <c r="C168" t="s">
        <v>15</v>
      </c>
      <c r="D168" t="s">
        <v>759</v>
      </c>
      <c r="E168" t="s">
        <v>760</v>
      </c>
      <c r="F168" t="s">
        <v>18</v>
      </c>
      <c r="G168" t="s">
        <v>698</v>
      </c>
      <c r="H168" t="s">
        <v>761</v>
      </c>
      <c r="I168" t="s">
        <v>15</v>
      </c>
      <c r="J168" t="s">
        <v>21</v>
      </c>
      <c r="K168" t="s">
        <v>22</v>
      </c>
      <c r="L168">
        <f>BDP($H168,"BICS_LEVEL_1_SECTOR_NAME")</f>
        <v/>
      </c>
      <c r="M168">
        <f>BDP($H168,"BICS_LEVEL_3_INDUSTRY_NAME")</f>
        <v/>
      </c>
    </row>
    <row r="169" spans="1:13">
      <c r="A169" t="s">
        <v>762</v>
      </c>
      <c r="B169" t="s">
        <v>14</v>
      </c>
      <c r="C169" t="s">
        <v>15</v>
      </c>
      <c r="D169" t="s">
        <v>763</v>
      </c>
      <c r="E169" t="s">
        <v>764</v>
      </c>
      <c r="F169" t="s">
        <v>74</v>
      </c>
      <c r="G169" t="s">
        <v>75</v>
      </c>
      <c r="H169" t="s">
        <v>765</v>
      </c>
      <c r="I169" t="s">
        <v>15</v>
      </c>
      <c r="J169" t="s">
        <v>21</v>
      </c>
      <c r="K169" t="s">
        <v>22</v>
      </c>
      <c r="L169">
        <f>BDP($H169,"BICS_LEVEL_1_SECTOR_NAME")</f>
        <v/>
      </c>
      <c r="M169">
        <f>BDP($H169,"BICS_LEVEL_3_INDUSTRY_NAME")</f>
        <v/>
      </c>
    </row>
    <row r="170" spans="1:13">
      <c r="A170" t="s">
        <v>766</v>
      </c>
      <c r="B170" t="s">
        <v>14</v>
      </c>
      <c r="C170" t="s">
        <v>15</v>
      </c>
      <c r="D170" t="s">
        <v>767</v>
      </c>
      <c r="E170" t="s">
        <v>768</v>
      </c>
      <c r="F170" t="s">
        <v>63</v>
      </c>
      <c r="G170" t="s">
        <v>64</v>
      </c>
      <c r="H170" t="s">
        <v>769</v>
      </c>
      <c r="I170" t="s">
        <v>15</v>
      </c>
      <c r="J170" t="s">
        <v>21</v>
      </c>
      <c r="K170" t="s">
        <v>22</v>
      </c>
      <c r="L170">
        <f>BDP($H170,"BICS_LEVEL_1_SECTOR_NAME")</f>
        <v/>
      </c>
      <c r="M170">
        <f>BDP($H170,"BICS_LEVEL_3_INDUSTRY_NAME")</f>
        <v/>
      </c>
    </row>
    <row r="171" spans="1:13">
      <c r="A171" t="s">
        <v>770</v>
      </c>
      <c r="B171" t="s">
        <v>14</v>
      </c>
      <c r="C171" t="s">
        <v>15</v>
      </c>
      <c r="D171" t="s">
        <v>771</v>
      </c>
      <c r="E171" t="s">
        <v>772</v>
      </c>
      <c r="F171" t="s">
        <v>18</v>
      </c>
      <c r="G171" t="s">
        <v>773</v>
      </c>
      <c r="H171" t="s">
        <v>774</v>
      </c>
      <c r="I171" t="s">
        <v>15</v>
      </c>
      <c r="J171" t="s">
        <v>21</v>
      </c>
      <c r="K171" t="s">
        <v>22</v>
      </c>
      <c r="L171">
        <f>BDP($H171,"BICS_LEVEL_1_SECTOR_NAME")</f>
        <v/>
      </c>
      <c r="M171">
        <f>BDP($H171,"BICS_LEVEL_3_INDUSTRY_NAME")</f>
        <v/>
      </c>
    </row>
    <row r="172" spans="1:13">
      <c r="A172" t="s">
        <v>775</v>
      </c>
      <c r="B172" t="s">
        <v>14</v>
      </c>
      <c r="C172" t="s">
        <v>15</v>
      </c>
      <c r="D172" t="s">
        <v>776</v>
      </c>
      <c r="E172" t="s">
        <v>777</v>
      </c>
      <c r="F172" t="s">
        <v>74</v>
      </c>
      <c r="G172" t="s">
        <v>75</v>
      </c>
      <c r="H172" t="s">
        <v>778</v>
      </c>
      <c r="I172" t="s">
        <v>15</v>
      </c>
      <c r="J172" t="s">
        <v>21</v>
      </c>
      <c r="K172" t="s">
        <v>22</v>
      </c>
      <c r="L172">
        <f>BDP($H172,"BICS_LEVEL_1_SECTOR_NAME")</f>
        <v/>
      </c>
      <c r="M172">
        <f>BDP($H172,"BICS_LEVEL_3_INDUSTRY_NAME")</f>
        <v/>
      </c>
    </row>
    <row r="173" spans="1:13">
      <c r="A173" t="s">
        <v>779</v>
      </c>
      <c r="B173" t="s">
        <v>14</v>
      </c>
      <c r="C173" t="s">
        <v>15</v>
      </c>
      <c r="D173" t="s">
        <v>780</v>
      </c>
      <c r="E173" t="s">
        <v>781</v>
      </c>
      <c r="F173" t="s">
        <v>32</v>
      </c>
      <c r="G173" t="s">
        <v>275</v>
      </c>
      <c r="H173" t="s">
        <v>782</v>
      </c>
      <c r="I173" t="s">
        <v>15</v>
      </c>
      <c r="J173" t="s">
        <v>21</v>
      </c>
      <c r="K173" t="s">
        <v>22</v>
      </c>
      <c r="L173">
        <f>BDP($H173,"BICS_LEVEL_1_SECTOR_NAME")</f>
        <v/>
      </c>
      <c r="M173">
        <f>BDP($H173,"BICS_LEVEL_3_INDUSTRY_NAME")</f>
        <v/>
      </c>
    </row>
    <row r="174" spans="1:13">
      <c r="A174" t="s">
        <v>783</v>
      </c>
      <c r="B174" t="s">
        <v>14</v>
      </c>
      <c r="C174" t="s">
        <v>15</v>
      </c>
      <c r="D174" t="s">
        <v>784</v>
      </c>
      <c r="E174" t="s">
        <v>785</v>
      </c>
      <c r="F174" t="s">
        <v>74</v>
      </c>
      <c r="G174" t="s">
        <v>250</v>
      </c>
      <c r="H174" t="s">
        <v>786</v>
      </c>
      <c r="I174" t="s">
        <v>15</v>
      </c>
      <c r="J174" t="s">
        <v>21</v>
      </c>
      <c r="K174" t="s">
        <v>22</v>
      </c>
      <c r="L174">
        <f>BDP($H174,"BICS_LEVEL_1_SECTOR_NAME")</f>
        <v/>
      </c>
      <c r="M174">
        <f>BDP($H174,"BICS_LEVEL_3_INDUSTRY_NAME")</f>
        <v/>
      </c>
    </row>
    <row r="175" spans="1:13">
      <c r="A175" t="s">
        <v>787</v>
      </c>
      <c r="B175" t="s">
        <v>14</v>
      </c>
      <c r="C175" t="s">
        <v>15</v>
      </c>
      <c r="D175" t="s">
        <v>788</v>
      </c>
      <c r="E175" t="s">
        <v>789</v>
      </c>
      <c r="F175" t="s">
        <v>26</v>
      </c>
      <c r="G175" t="s">
        <v>539</v>
      </c>
      <c r="H175" t="s">
        <v>790</v>
      </c>
      <c r="I175" t="s">
        <v>15</v>
      </c>
      <c r="J175" t="s">
        <v>21</v>
      </c>
      <c r="K175" t="s">
        <v>22</v>
      </c>
      <c r="L175">
        <f>BDP($H175,"BICS_LEVEL_1_SECTOR_NAME")</f>
        <v/>
      </c>
      <c r="M175">
        <f>BDP($H175,"BICS_LEVEL_3_INDUSTRY_NAME")</f>
        <v/>
      </c>
    </row>
    <row r="176" spans="1:13">
      <c r="A176" t="s">
        <v>791</v>
      </c>
      <c r="B176" t="s">
        <v>14</v>
      </c>
      <c r="C176" t="s">
        <v>15</v>
      </c>
      <c r="D176" t="s">
        <v>792</v>
      </c>
      <c r="E176" t="s">
        <v>793</v>
      </c>
      <c r="F176" t="s">
        <v>18</v>
      </c>
      <c r="G176" t="s">
        <v>349</v>
      </c>
      <c r="H176" t="s">
        <v>794</v>
      </c>
      <c r="I176" t="s">
        <v>15</v>
      </c>
      <c r="J176" t="s">
        <v>21</v>
      </c>
      <c r="K176" t="s">
        <v>22</v>
      </c>
      <c r="L176">
        <f>BDP($H176,"BICS_LEVEL_1_SECTOR_NAME")</f>
        <v/>
      </c>
      <c r="M176">
        <f>BDP($H176,"BICS_LEVEL_3_INDUSTRY_NAME")</f>
        <v/>
      </c>
    </row>
    <row r="177" spans="1:13">
      <c r="A177" t="s">
        <v>795</v>
      </c>
      <c r="B177" t="s">
        <v>14</v>
      </c>
      <c r="C177" t="s">
        <v>15</v>
      </c>
      <c r="D177" t="s">
        <v>796</v>
      </c>
      <c r="E177" t="s">
        <v>797</v>
      </c>
      <c r="F177" t="s">
        <v>32</v>
      </c>
      <c r="G177" t="s">
        <v>33</v>
      </c>
      <c r="H177" t="s">
        <v>798</v>
      </c>
      <c r="I177" t="s">
        <v>15</v>
      </c>
      <c r="J177" t="s">
        <v>21</v>
      </c>
      <c r="K177" t="s">
        <v>22</v>
      </c>
      <c r="L177">
        <f>BDP($H177,"BICS_LEVEL_1_SECTOR_NAME")</f>
        <v/>
      </c>
      <c r="M177">
        <f>BDP($H177,"BICS_LEVEL_3_INDUSTRY_NAME")</f>
        <v/>
      </c>
    </row>
    <row r="178" spans="1:13">
      <c r="A178" t="s">
        <v>799</v>
      </c>
      <c r="B178" t="s">
        <v>14</v>
      </c>
      <c r="C178" t="s">
        <v>15</v>
      </c>
      <c r="D178" t="s">
        <v>800</v>
      </c>
      <c r="E178" t="s">
        <v>801</v>
      </c>
      <c r="F178" t="s">
        <v>32</v>
      </c>
      <c r="G178" t="s">
        <v>33</v>
      </c>
      <c r="H178" t="s">
        <v>802</v>
      </c>
      <c r="I178" t="s">
        <v>15</v>
      </c>
      <c r="J178" t="s">
        <v>21</v>
      </c>
      <c r="K178" t="s">
        <v>22</v>
      </c>
      <c r="L178">
        <f>BDP($H178,"BICS_LEVEL_1_SECTOR_NAME")</f>
        <v/>
      </c>
      <c r="M178">
        <f>BDP($H178,"BICS_LEVEL_3_INDUSTRY_NAME")</f>
        <v/>
      </c>
    </row>
    <row r="179" spans="1:13">
      <c r="A179" t="s">
        <v>803</v>
      </c>
      <c r="B179" t="s">
        <v>14</v>
      </c>
      <c r="C179" t="s">
        <v>15</v>
      </c>
      <c r="D179" t="s">
        <v>804</v>
      </c>
      <c r="E179" t="s">
        <v>805</v>
      </c>
      <c r="F179" t="s">
        <v>74</v>
      </c>
      <c r="G179" t="s">
        <v>105</v>
      </c>
      <c r="H179" t="s">
        <v>806</v>
      </c>
      <c r="I179" t="s">
        <v>15</v>
      </c>
      <c r="J179" t="s">
        <v>21</v>
      </c>
      <c r="K179" t="s">
        <v>22</v>
      </c>
      <c r="L179">
        <f>BDP($H179,"BICS_LEVEL_1_SECTOR_NAME")</f>
        <v/>
      </c>
      <c r="M179">
        <f>BDP($H179,"BICS_LEVEL_3_INDUSTRY_NAME")</f>
        <v/>
      </c>
    </row>
    <row r="180" spans="1:13">
      <c r="A180" t="s">
        <v>807</v>
      </c>
      <c r="B180" t="s">
        <v>14</v>
      </c>
      <c r="C180" t="s">
        <v>15</v>
      </c>
      <c r="D180" t="s">
        <v>808</v>
      </c>
      <c r="E180" t="s">
        <v>809</v>
      </c>
      <c r="F180" t="s">
        <v>57</v>
      </c>
      <c r="G180" t="s">
        <v>58</v>
      </c>
      <c r="H180" t="s">
        <v>810</v>
      </c>
      <c r="I180" t="s">
        <v>15</v>
      </c>
      <c r="J180" t="s">
        <v>21</v>
      </c>
      <c r="K180" t="s">
        <v>22</v>
      </c>
      <c r="L180">
        <f>BDP($H180,"BICS_LEVEL_1_SECTOR_NAME")</f>
        <v/>
      </c>
      <c r="M180">
        <f>BDP($H180,"BICS_LEVEL_3_INDUSTRY_NAME")</f>
        <v/>
      </c>
    </row>
    <row r="181" spans="1:13">
      <c r="A181" t="s">
        <v>811</v>
      </c>
      <c r="B181" t="s">
        <v>14</v>
      </c>
      <c r="C181" t="s">
        <v>15</v>
      </c>
      <c r="D181" t="s">
        <v>812</v>
      </c>
      <c r="E181" t="s">
        <v>813</v>
      </c>
      <c r="F181" t="s">
        <v>18</v>
      </c>
      <c r="G181" t="s">
        <v>814</v>
      </c>
      <c r="H181" t="s">
        <v>815</v>
      </c>
      <c r="I181" t="s">
        <v>15</v>
      </c>
      <c r="J181" t="s">
        <v>21</v>
      </c>
      <c r="K181" t="s">
        <v>22</v>
      </c>
      <c r="L181">
        <f>BDP($H181,"BICS_LEVEL_1_SECTOR_NAME")</f>
        <v/>
      </c>
      <c r="M181">
        <f>BDP($H181,"BICS_LEVEL_3_INDUSTRY_NAME")</f>
        <v/>
      </c>
    </row>
    <row r="182" spans="1:13">
      <c r="A182" t="s">
        <v>816</v>
      </c>
      <c r="B182" t="s">
        <v>14</v>
      </c>
      <c r="C182" t="s">
        <v>15</v>
      </c>
      <c r="D182" t="s">
        <v>817</v>
      </c>
      <c r="E182" t="s">
        <v>818</v>
      </c>
      <c r="F182" t="s">
        <v>26</v>
      </c>
      <c r="G182" t="s">
        <v>331</v>
      </c>
      <c r="H182" t="s">
        <v>819</v>
      </c>
      <c r="I182" t="s">
        <v>15</v>
      </c>
      <c r="J182" t="s">
        <v>21</v>
      </c>
      <c r="K182" t="s">
        <v>22</v>
      </c>
      <c r="L182">
        <f>BDP($H182,"BICS_LEVEL_1_SECTOR_NAME")</f>
        <v/>
      </c>
      <c r="M182">
        <f>BDP($H182,"BICS_LEVEL_3_INDUSTRY_NAME")</f>
        <v/>
      </c>
    </row>
    <row r="183" spans="1:13">
      <c r="A183" t="s">
        <v>820</v>
      </c>
      <c r="B183" t="s">
        <v>14</v>
      </c>
      <c r="C183" t="s">
        <v>15</v>
      </c>
      <c r="D183" t="s">
        <v>821</v>
      </c>
      <c r="E183" t="s">
        <v>822</v>
      </c>
      <c r="F183" t="s">
        <v>18</v>
      </c>
      <c r="G183" t="s">
        <v>255</v>
      </c>
      <c r="H183" t="s">
        <v>823</v>
      </c>
      <c r="I183" t="s">
        <v>15</v>
      </c>
      <c r="J183" t="s">
        <v>21</v>
      </c>
      <c r="K183" t="s">
        <v>22</v>
      </c>
      <c r="L183">
        <f>BDP($H183,"BICS_LEVEL_1_SECTOR_NAME")</f>
        <v/>
      </c>
      <c r="M183">
        <f>BDP($H183,"BICS_LEVEL_3_INDUSTRY_NAME")</f>
        <v/>
      </c>
    </row>
    <row r="184" spans="1:13">
      <c r="A184" t="s">
        <v>824</v>
      </c>
      <c r="B184" t="s">
        <v>14</v>
      </c>
      <c r="C184" t="s">
        <v>15</v>
      </c>
      <c r="D184" t="s">
        <v>825</v>
      </c>
      <c r="E184" t="s">
        <v>826</v>
      </c>
      <c r="F184" t="s">
        <v>18</v>
      </c>
      <c r="G184" t="s">
        <v>255</v>
      </c>
      <c r="H184" t="s">
        <v>827</v>
      </c>
      <c r="I184" t="s">
        <v>15</v>
      </c>
      <c r="J184" t="s">
        <v>21</v>
      </c>
      <c r="K184" t="s">
        <v>22</v>
      </c>
      <c r="L184">
        <f>BDP($H184,"BICS_LEVEL_1_SECTOR_NAME")</f>
        <v/>
      </c>
      <c r="M184">
        <f>BDP($H184,"BICS_LEVEL_3_INDUSTRY_NAME")</f>
        <v/>
      </c>
    </row>
    <row r="185" spans="1:13">
      <c r="A185" t="s">
        <v>828</v>
      </c>
      <c r="B185" t="s">
        <v>14</v>
      </c>
      <c r="C185" t="s">
        <v>15</v>
      </c>
      <c r="D185" t="s">
        <v>829</v>
      </c>
      <c r="E185" t="s">
        <v>830</v>
      </c>
      <c r="F185" t="s">
        <v>26</v>
      </c>
      <c r="G185" t="s">
        <v>144</v>
      </c>
      <c r="H185" t="s">
        <v>831</v>
      </c>
      <c r="I185" t="s">
        <v>15</v>
      </c>
      <c r="J185" t="s">
        <v>21</v>
      </c>
      <c r="K185" t="s">
        <v>22</v>
      </c>
      <c r="L185">
        <f>BDP($H185,"BICS_LEVEL_1_SECTOR_NAME")</f>
        <v/>
      </c>
      <c r="M185">
        <f>BDP($H185,"BICS_LEVEL_3_INDUSTRY_NAME")</f>
        <v/>
      </c>
    </row>
    <row r="186" spans="1:13">
      <c r="A186" t="s">
        <v>832</v>
      </c>
      <c r="B186" t="s">
        <v>14</v>
      </c>
      <c r="C186" t="s">
        <v>15</v>
      </c>
      <c r="D186" t="s">
        <v>833</v>
      </c>
      <c r="E186" t="s">
        <v>834</v>
      </c>
      <c r="F186" t="s">
        <v>32</v>
      </c>
      <c r="G186" t="s">
        <v>275</v>
      </c>
      <c r="H186" t="s">
        <v>835</v>
      </c>
      <c r="I186" t="s">
        <v>15</v>
      </c>
      <c r="J186" t="s">
        <v>21</v>
      </c>
      <c r="K186" t="s">
        <v>22</v>
      </c>
      <c r="L186">
        <f>BDP($H186,"BICS_LEVEL_1_SECTOR_NAME")</f>
        <v/>
      </c>
      <c r="M186">
        <f>BDP($H186,"BICS_LEVEL_3_INDUSTRY_NAME")</f>
        <v/>
      </c>
    </row>
    <row r="187" spans="1:13">
      <c r="A187" t="s">
        <v>836</v>
      </c>
      <c r="B187" t="s">
        <v>14</v>
      </c>
      <c r="C187" t="s">
        <v>15</v>
      </c>
      <c r="D187" t="s">
        <v>837</v>
      </c>
      <c r="E187" t="s">
        <v>838</v>
      </c>
      <c r="F187" t="s">
        <v>32</v>
      </c>
      <c r="G187" t="s">
        <v>280</v>
      </c>
      <c r="H187" t="s">
        <v>839</v>
      </c>
      <c r="I187" t="s">
        <v>15</v>
      </c>
      <c r="J187" t="s">
        <v>21</v>
      </c>
      <c r="K187" t="s">
        <v>22</v>
      </c>
      <c r="L187">
        <f>BDP($H187,"BICS_LEVEL_1_SECTOR_NAME")</f>
        <v/>
      </c>
      <c r="M187">
        <f>BDP($H187,"BICS_LEVEL_3_INDUSTRY_NAME")</f>
        <v/>
      </c>
    </row>
    <row r="188" spans="1:13">
      <c r="A188" t="s">
        <v>840</v>
      </c>
      <c r="B188" t="s">
        <v>14</v>
      </c>
      <c r="C188" t="s">
        <v>15</v>
      </c>
      <c r="D188" t="s">
        <v>841</v>
      </c>
      <c r="E188" t="s">
        <v>842</v>
      </c>
      <c r="F188" t="s">
        <v>57</v>
      </c>
      <c r="G188" t="s">
        <v>843</v>
      </c>
      <c r="H188" t="s">
        <v>844</v>
      </c>
      <c r="I188" t="s">
        <v>15</v>
      </c>
      <c r="J188" t="s">
        <v>21</v>
      </c>
      <c r="K188" t="s">
        <v>22</v>
      </c>
      <c r="L188">
        <f>BDP($H188,"BICS_LEVEL_1_SECTOR_NAME")</f>
        <v/>
      </c>
      <c r="M188">
        <f>BDP($H188,"BICS_LEVEL_3_INDUSTRY_NAME")</f>
        <v/>
      </c>
    </row>
    <row r="189" spans="1:13">
      <c r="A189" t="s">
        <v>845</v>
      </c>
      <c r="B189" t="s">
        <v>14</v>
      </c>
      <c r="C189" t="s">
        <v>15</v>
      </c>
      <c r="D189" t="s">
        <v>846</v>
      </c>
      <c r="E189" t="s">
        <v>847</v>
      </c>
      <c r="F189" t="s">
        <v>18</v>
      </c>
      <c r="G189" t="s">
        <v>848</v>
      </c>
      <c r="H189" t="s">
        <v>849</v>
      </c>
      <c r="I189" t="s">
        <v>15</v>
      </c>
      <c r="J189" t="s">
        <v>21</v>
      </c>
      <c r="K189" t="s">
        <v>22</v>
      </c>
      <c r="L189">
        <f>BDP($H189,"BICS_LEVEL_1_SECTOR_NAME")</f>
        <v/>
      </c>
      <c r="M189">
        <f>BDP($H189,"BICS_LEVEL_3_INDUSTRY_NAME")</f>
        <v/>
      </c>
    </row>
    <row r="190" spans="1:13">
      <c r="A190" t="s">
        <v>850</v>
      </c>
      <c r="B190" t="s">
        <v>14</v>
      </c>
      <c r="C190" t="s">
        <v>15</v>
      </c>
      <c r="D190" t="s">
        <v>851</v>
      </c>
      <c r="E190" t="s">
        <v>852</v>
      </c>
      <c r="F190" t="s">
        <v>18</v>
      </c>
      <c r="G190" t="s">
        <v>58</v>
      </c>
      <c r="H190" t="s">
        <v>853</v>
      </c>
      <c r="I190" t="s">
        <v>15</v>
      </c>
      <c r="J190" t="s">
        <v>21</v>
      </c>
      <c r="K190" t="s">
        <v>22</v>
      </c>
      <c r="L190">
        <f>BDP($H190,"BICS_LEVEL_1_SECTOR_NAME")</f>
        <v/>
      </c>
      <c r="M190">
        <f>BDP($H190,"BICS_LEVEL_3_INDUSTRY_NAME")</f>
        <v/>
      </c>
    </row>
    <row r="191" spans="1:13">
      <c r="A191" t="s">
        <v>854</v>
      </c>
      <c r="B191" t="s">
        <v>14</v>
      </c>
      <c r="C191" t="s">
        <v>15</v>
      </c>
      <c r="D191" t="s">
        <v>855</v>
      </c>
      <c r="E191" t="s">
        <v>856</v>
      </c>
      <c r="F191" t="s">
        <v>32</v>
      </c>
      <c r="G191" t="s">
        <v>280</v>
      </c>
      <c r="H191" t="s">
        <v>857</v>
      </c>
      <c r="I191" t="s">
        <v>15</v>
      </c>
      <c r="J191" t="s">
        <v>21</v>
      </c>
      <c r="K191" t="s">
        <v>22</v>
      </c>
      <c r="L191">
        <f>BDP($H191,"BICS_LEVEL_1_SECTOR_NAME")</f>
        <v/>
      </c>
      <c r="M191">
        <f>BDP($H191,"BICS_LEVEL_3_INDUSTRY_NAME")</f>
        <v/>
      </c>
    </row>
    <row r="192" spans="1:13">
      <c r="A192" t="s">
        <v>858</v>
      </c>
      <c r="B192" t="s">
        <v>14</v>
      </c>
      <c r="C192" t="s">
        <v>15</v>
      </c>
      <c r="D192" t="s">
        <v>859</v>
      </c>
      <c r="E192" t="s">
        <v>860</v>
      </c>
      <c r="F192" t="s">
        <v>32</v>
      </c>
      <c r="G192" t="s">
        <v>429</v>
      </c>
      <c r="H192" t="s">
        <v>861</v>
      </c>
      <c r="I192" t="s">
        <v>15</v>
      </c>
      <c r="J192" t="s">
        <v>21</v>
      </c>
      <c r="K192" t="s">
        <v>22</v>
      </c>
      <c r="L192">
        <f>BDP($H192,"BICS_LEVEL_1_SECTOR_NAME")</f>
        <v/>
      </c>
      <c r="M192">
        <f>BDP($H192,"BICS_LEVEL_3_INDUSTRY_NAME")</f>
        <v/>
      </c>
    </row>
    <row r="193" spans="1:13">
      <c r="A193" t="s">
        <v>862</v>
      </c>
      <c r="B193" t="s">
        <v>14</v>
      </c>
      <c r="C193" t="s">
        <v>15</v>
      </c>
      <c r="D193" t="s">
        <v>863</v>
      </c>
      <c r="E193" t="s">
        <v>864</v>
      </c>
      <c r="F193" t="s">
        <v>26</v>
      </c>
      <c r="G193" t="s">
        <v>539</v>
      </c>
      <c r="H193" t="s">
        <v>865</v>
      </c>
      <c r="I193" t="s">
        <v>15</v>
      </c>
      <c r="J193" t="s">
        <v>21</v>
      </c>
      <c r="K193" t="s">
        <v>22</v>
      </c>
      <c r="L193">
        <f>BDP($H193,"BICS_LEVEL_1_SECTOR_NAME")</f>
        <v/>
      </c>
      <c r="M193">
        <f>BDP($H193,"BICS_LEVEL_3_INDUSTRY_NAME")</f>
        <v/>
      </c>
    </row>
    <row r="194" spans="1:13">
      <c r="A194" t="s">
        <v>866</v>
      </c>
      <c r="B194" t="s">
        <v>14</v>
      </c>
      <c r="C194" t="s">
        <v>15</v>
      </c>
      <c r="D194" t="s">
        <v>867</v>
      </c>
      <c r="E194" t="s">
        <v>868</v>
      </c>
      <c r="F194" t="s">
        <v>32</v>
      </c>
      <c r="G194" t="s">
        <v>33</v>
      </c>
      <c r="H194" t="s">
        <v>869</v>
      </c>
      <c r="I194" t="s">
        <v>15</v>
      </c>
      <c r="J194" t="s">
        <v>21</v>
      </c>
      <c r="K194" t="s">
        <v>22</v>
      </c>
      <c r="L194">
        <f>BDP($H194,"BICS_LEVEL_1_SECTOR_NAME")</f>
        <v/>
      </c>
      <c r="M194">
        <f>BDP($H194,"BICS_LEVEL_3_INDUSTRY_NAME")</f>
        <v/>
      </c>
    </row>
    <row r="195" spans="1:13">
      <c r="A195" t="s">
        <v>870</v>
      </c>
      <c r="B195" t="s">
        <v>14</v>
      </c>
      <c r="C195" t="s">
        <v>15</v>
      </c>
      <c r="D195" t="s">
        <v>871</v>
      </c>
      <c r="E195" t="s">
        <v>872</v>
      </c>
      <c r="F195" t="s">
        <v>95</v>
      </c>
      <c r="G195" t="s">
        <v>415</v>
      </c>
      <c r="H195" t="s">
        <v>873</v>
      </c>
      <c r="I195" t="s">
        <v>15</v>
      </c>
      <c r="J195" t="s">
        <v>21</v>
      </c>
      <c r="K195" t="s">
        <v>22</v>
      </c>
      <c r="L195">
        <f>BDP($H195,"BICS_LEVEL_1_SECTOR_NAME")</f>
        <v/>
      </c>
      <c r="M195">
        <f>BDP($H195,"BICS_LEVEL_3_INDUSTRY_NAME")</f>
        <v/>
      </c>
    </row>
    <row r="196" spans="1:13">
      <c r="A196" t="s">
        <v>874</v>
      </c>
      <c r="B196" t="s">
        <v>14</v>
      </c>
      <c r="C196" t="s">
        <v>15</v>
      </c>
      <c r="D196" t="s">
        <v>875</v>
      </c>
      <c r="E196" t="s">
        <v>876</v>
      </c>
      <c r="F196" t="s">
        <v>18</v>
      </c>
      <c r="G196" t="s">
        <v>166</v>
      </c>
      <c r="H196" t="s">
        <v>877</v>
      </c>
      <c r="I196" t="s">
        <v>15</v>
      </c>
      <c r="J196" t="s">
        <v>21</v>
      </c>
      <c r="K196" t="s">
        <v>22</v>
      </c>
      <c r="L196">
        <f>BDP($H196,"BICS_LEVEL_1_SECTOR_NAME")</f>
        <v/>
      </c>
      <c r="M196">
        <f>BDP($H196,"BICS_LEVEL_3_INDUSTRY_NAME")</f>
        <v/>
      </c>
    </row>
    <row r="197" spans="1:13">
      <c r="A197" t="s">
        <v>878</v>
      </c>
      <c r="B197" t="s">
        <v>14</v>
      </c>
      <c r="C197" t="s">
        <v>15</v>
      </c>
      <c r="D197" t="s">
        <v>879</v>
      </c>
      <c r="E197" t="s">
        <v>880</v>
      </c>
      <c r="F197" t="s">
        <v>26</v>
      </c>
      <c r="G197" t="s">
        <v>293</v>
      </c>
      <c r="H197" t="s">
        <v>881</v>
      </c>
      <c r="I197" t="s">
        <v>15</v>
      </c>
      <c r="J197" t="s">
        <v>21</v>
      </c>
      <c r="K197" t="s">
        <v>22</v>
      </c>
      <c r="L197">
        <f>BDP($H197,"BICS_LEVEL_1_SECTOR_NAME")</f>
        <v/>
      </c>
      <c r="M197">
        <f>BDP($H197,"BICS_LEVEL_3_INDUSTRY_NAME")</f>
        <v/>
      </c>
    </row>
    <row r="198" spans="1:13">
      <c r="A198" t="s">
        <v>882</v>
      </c>
      <c r="B198" t="s">
        <v>14</v>
      </c>
      <c r="C198" t="s">
        <v>15</v>
      </c>
      <c r="D198" t="s">
        <v>883</v>
      </c>
      <c r="E198" t="s">
        <v>884</v>
      </c>
      <c r="F198" t="s">
        <v>95</v>
      </c>
      <c r="G198" t="s">
        <v>260</v>
      </c>
      <c r="H198" t="s">
        <v>885</v>
      </c>
      <c r="I198" t="s">
        <v>15</v>
      </c>
      <c r="J198" t="s">
        <v>21</v>
      </c>
      <c r="K198" t="s">
        <v>22</v>
      </c>
      <c r="L198">
        <f>BDP($H198,"BICS_LEVEL_1_SECTOR_NAME")</f>
        <v/>
      </c>
      <c r="M198">
        <f>BDP($H198,"BICS_LEVEL_3_INDUSTRY_NAME")</f>
        <v/>
      </c>
    </row>
    <row r="199" spans="1:13">
      <c r="A199" t="s">
        <v>886</v>
      </c>
      <c r="B199" t="s">
        <v>14</v>
      </c>
      <c r="C199" t="s">
        <v>15</v>
      </c>
      <c r="D199" t="s">
        <v>887</v>
      </c>
      <c r="E199" t="s">
        <v>888</v>
      </c>
      <c r="F199" t="s">
        <v>84</v>
      </c>
      <c r="G199" t="s">
        <v>889</v>
      </c>
      <c r="H199" t="s">
        <v>890</v>
      </c>
      <c r="I199" t="s">
        <v>15</v>
      </c>
      <c r="J199" t="s">
        <v>21</v>
      </c>
      <c r="K199" t="s">
        <v>22</v>
      </c>
      <c r="L199">
        <f>BDP($H199,"BICS_LEVEL_1_SECTOR_NAME")</f>
        <v/>
      </c>
      <c r="M199">
        <f>BDP($H199,"BICS_LEVEL_3_INDUSTRY_NAME")</f>
        <v/>
      </c>
    </row>
    <row r="200" spans="1:13">
      <c r="A200" t="s">
        <v>891</v>
      </c>
      <c r="B200" t="s">
        <v>14</v>
      </c>
      <c r="C200" t="s">
        <v>15</v>
      </c>
      <c r="D200" t="s">
        <v>892</v>
      </c>
      <c r="E200" t="s">
        <v>893</v>
      </c>
      <c r="F200" t="s">
        <v>18</v>
      </c>
      <c r="G200" t="s">
        <v>225</v>
      </c>
      <c r="H200" t="s">
        <v>894</v>
      </c>
      <c r="I200" t="s">
        <v>15</v>
      </c>
      <c r="J200" t="s">
        <v>21</v>
      </c>
      <c r="K200" t="s">
        <v>22</v>
      </c>
      <c r="L200">
        <f>BDP($H200,"BICS_LEVEL_1_SECTOR_NAME")</f>
        <v/>
      </c>
      <c r="M200">
        <f>BDP($H200,"BICS_LEVEL_3_INDUSTRY_NAME")</f>
        <v/>
      </c>
    </row>
    <row r="201" spans="1:13">
      <c r="A201" t="s">
        <v>895</v>
      </c>
      <c r="B201" t="s">
        <v>14</v>
      </c>
      <c r="C201" t="s">
        <v>15</v>
      </c>
      <c r="D201" t="s">
        <v>896</v>
      </c>
      <c r="E201" t="s">
        <v>897</v>
      </c>
      <c r="F201" t="s">
        <v>84</v>
      </c>
      <c r="G201" t="s">
        <v>197</v>
      </c>
      <c r="H201" t="s">
        <v>898</v>
      </c>
      <c r="I201" t="s">
        <v>15</v>
      </c>
      <c r="J201" t="s">
        <v>21</v>
      </c>
      <c r="K201" t="s">
        <v>22</v>
      </c>
      <c r="L201">
        <f>BDP($H201,"BICS_LEVEL_1_SECTOR_NAME")</f>
        <v/>
      </c>
      <c r="M201">
        <f>BDP($H201,"BICS_LEVEL_3_INDUSTRY_NAME")</f>
        <v/>
      </c>
    </row>
    <row r="202" spans="1:13">
      <c r="A202" t="s">
        <v>899</v>
      </c>
      <c r="B202" t="s">
        <v>14</v>
      </c>
      <c r="C202" t="s">
        <v>15</v>
      </c>
      <c r="D202" t="s">
        <v>900</v>
      </c>
      <c r="E202" t="s">
        <v>901</v>
      </c>
      <c r="F202" t="s">
        <v>32</v>
      </c>
      <c r="G202" t="s">
        <v>33</v>
      </c>
      <c r="H202" t="s">
        <v>902</v>
      </c>
      <c r="I202" t="s">
        <v>15</v>
      </c>
      <c r="J202" t="s">
        <v>21</v>
      </c>
      <c r="K202" t="s">
        <v>22</v>
      </c>
      <c r="L202">
        <f>BDP($H202,"BICS_LEVEL_1_SECTOR_NAME")</f>
        <v/>
      </c>
      <c r="M202">
        <f>BDP($H202,"BICS_LEVEL_3_INDUSTRY_NAME")</f>
        <v/>
      </c>
    </row>
    <row r="203" spans="1:13">
      <c r="A203" t="s">
        <v>903</v>
      </c>
      <c r="B203" t="s">
        <v>14</v>
      </c>
      <c r="C203" t="s">
        <v>15</v>
      </c>
      <c r="D203" t="s">
        <v>904</v>
      </c>
      <c r="E203" t="s">
        <v>905</v>
      </c>
      <c r="F203" t="s">
        <v>18</v>
      </c>
      <c r="G203" t="s">
        <v>906</v>
      </c>
      <c r="H203" t="s">
        <v>907</v>
      </c>
      <c r="I203" t="s">
        <v>15</v>
      </c>
      <c r="J203" t="s">
        <v>21</v>
      </c>
      <c r="K203" t="s">
        <v>22</v>
      </c>
      <c r="L203">
        <f>BDP($H203,"BICS_LEVEL_1_SECTOR_NAME")</f>
        <v/>
      </c>
      <c r="M203">
        <f>BDP($H203,"BICS_LEVEL_3_INDUSTRY_NAME")</f>
        <v/>
      </c>
    </row>
    <row r="204" spans="1:13">
      <c r="A204" t="s">
        <v>908</v>
      </c>
      <c r="B204" t="s">
        <v>14</v>
      </c>
      <c r="C204" t="s">
        <v>15</v>
      </c>
      <c r="D204" t="s">
        <v>909</v>
      </c>
      <c r="E204" t="s">
        <v>910</v>
      </c>
      <c r="F204" t="s">
        <v>26</v>
      </c>
      <c r="G204" t="s">
        <v>911</v>
      </c>
      <c r="H204" t="s">
        <v>912</v>
      </c>
      <c r="I204" t="s">
        <v>15</v>
      </c>
      <c r="J204" t="s">
        <v>21</v>
      </c>
      <c r="K204" t="s">
        <v>22</v>
      </c>
      <c r="L204">
        <f>BDP($H204,"BICS_LEVEL_1_SECTOR_NAME")</f>
        <v/>
      </c>
      <c r="M204">
        <f>BDP($H204,"BICS_LEVEL_3_INDUSTRY_NAME")</f>
        <v/>
      </c>
    </row>
    <row r="205" spans="1:13">
      <c r="A205" t="s">
        <v>913</v>
      </c>
      <c r="B205" t="s">
        <v>14</v>
      </c>
      <c r="C205" t="s">
        <v>15</v>
      </c>
      <c r="D205" t="s">
        <v>914</v>
      </c>
      <c r="E205" t="s">
        <v>915</v>
      </c>
      <c r="F205" t="s">
        <v>74</v>
      </c>
      <c r="G205" t="s">
        <v>406</v>
      </c>
      <c r="H205" t="s">
        <v>916</v>
      </c>
      <c r="I205" t="s">
        <v>15</v>
      </c>
      <c r="J205" t="s">
        <v>21</v>
      </c>
      <c r="K205" t="s">
        <v>22</v>
      </c>
      <c r="L205">
        <f>BDP($H205,"BICS_LEVEL_1_SECTOR_NAME")</f>
        <v/>
      </c>
      <c r="M205">
        <f>BDP($H205,"BICS_LEVEL_3_INDUSTRY_NAME")</f>
        <v/>
      </c>
    </row>
    <row r="206" spans="1:13">
      <c r="A206" t="s">
        <v>917</v>
      </c>
      <c r="B206" t="s">
        <v>14</v>
      </c>
      <c r="C206" t="s">
        <v>15</v>
      </c>
      <c r="D206" t="s">
        <v>918</v>
      </c>
      <c r="E206" t="s">
        <v>919</v>
      </c>
      <c r="F206" t="s">
        <v>18</v>
      </c>
      <c r="G206" t="s">
        <v>920</v>
      </c>
      <c r="H206" t="s">
        <v>921</v>
      </c>
      <c r="I206" t="s">
        <v>15</v>
      </c>
      <c r="J206" t="s">
        <v>21</v>
      </c>
      <c r="K206" t="s">
        <v>22</v>
      </c>
      <c r="L206">
        <f>BDP($H206,"BICS_LEVEL_1_SECTOR_NAME")</f>
        <v/>
      </c>
      <c r="M206">
        <f>BDP($H206,"BICS_LEVEL_3_INDUSTRY_NAME")</f>
        <v/>
      </c>
    </row>
    <row r="207" spans="1:13">
      <c r="A207" t="s">
        <v>922</v>
      </c>
      <c r="B207" t="s">
        <v>14</v>
      </c>
      <c r="C207" t="s">
        <v>15</v>
      </c>
      <c r="D207" t="s">
        <v>923</v>
      </c>
      <c r="E207" t="s">
        <v>924</v>
      </c>
      <c r="F207" t="s">
        <v>18</v>
      </c>
      <c r="G207" t="s">
        <v>906</v>
      </c>
      <c r="H207" t="s">
        <v>925</v>
      </c>
      <c r="I207" t="s">
        <v>15</v>
      </c>
      <c r="J207" t="s">
        <v>21</v>
      </c>
      <c r="K207" t="s">
        <v>22</v>
      </c>
      <c r="L207">
        <f>BDP($H207,"BICS_LEVEL_1_SECTOR_NAME")</f>
        <v/>
      </c>
      <c r="M207">
        <f>BDP($H207,"BICS_LEVEL_3_INDUSTRY_NAME")</f>
        <v/>
      </c>
    </row>
    <row r="208" spans="1:13">
      <c r="A208" t="s">
        <v>926</v>
      </c>
      <c r="B208" t="s">
        <v>14</v>
      </c>
      <c r="C208" t="s">
        <v>15</v>
      </c>
      <c r="D208" t="s">
        <v>927</v>
      </c>
      <c r="E208" t="s">
        <v>928</v>
      </c>
      <c r="F208" t="s">
        <v>18</v>
      </c>
      <c r="G208" t="s">
        <v>234</v>
      </c>
      <c r="H208" t="s">
        <v>929</v>
      </c>
      <c r="I208" t="s">
        <v>15</v>
      </c>
      <c r="J208" t="s">
        <v>21</v>
      </c>
      <c r="K208" t="s">
        <v>22</v>
      </c>
      <c r="L208">
        <f>BDP($H208,"BICS_LEVEL_1_SECTOR_NAME")</f>
        <v/>
      </c>
      <c r="M208">
        <f>BDP($H208,"BICS_LEVEL_3_INDUSTRY_NAME")</f>
        <v/>
      </c>
    </row>
    <row r="209" spans="1:13">
      <c r="A209" t="s">
        <v>930</v>
      </c>
      <c r="B209" t="s">
        <v>14</v>
      </c>
      <c r="C209" t="s">
        <v>15</v>
      </c>
      <c r="D209" t="s">
        <v>931</v>
      </c>
      <c r="E209" t="s">
        <v>932</v>
      </c>
      <c r="F209" t="s">
        <v>74</v>
      </c>
      <c r="G209" t="s">
        <v>75</v>
      </c>
      <c r="H209" t="s">
        <v>933</v>
      </c>
      <c r="I209" t="s">
        <v>15</v>
      </c>
      <c r="J209" t="s">
        <v>21</v>
      </c>
      <c r="K209" t="s">
        <v>22</v>
      </c>
      <c r="L209">
        <f>BDP($H209,"BICS_LEVEL_1_SECTOR_NAME")</f>
        <v/>
      </c>
      <c r="M209">
        <f>BDP($H209,"BICS_LEVEL_3_INDUSTRY_NAME")</f>
        <v/>
      </c>
    </row>
    <row r="210" spans="1:13">
      <c r="A210" t="s">
        <v>934</v>
      </c>
      <c r="B210" t="s">
        <v>14</v>
      </c>
      <c r="C210" t="s">
        <v>15</v>
      </c>
      <c r="D210" t="s">
        <v>935</v>
      </c>
      <c r="E210" t="s">
        <v>936</v>
      </c>
      <c r="F210" t="s">
        <v>18</v>
      </c>
      <c r="G210" t="s">
        <v>303</v>
      </c>
      <c r="H210" t="s">
        <v>937</v>
      </c>
      <c r="I210" t="s">
        <v>15</v>
      </c>
      <c r="J210" t="s">
        <v>21</v>
      </c>
      <c r="K210" t="s">
        <v>22</v>
      </c>
      <c r="L210">
        <f>BDP($H210,"BICS_LEVEL_1_SECTOR_NAME")</f>
        <v/>
      </c>
      <c r="M210">
        <f>BDP($H210,"BICS_LEVEL_3_INDUSTRY_NAME")</f>
        <v/>
      </c>
    </row>
    <row r="211" spans="1:13">
      <c r="A211" t="s">
        <v>938</v>
      </c>
      <c r="B211" t="s">
        <v>14</v>
      </c>
      <c r="C211" t="s">
        <v>15</v>
      </c>
      <c r="D211" t="s">
        <v>939</v>
      </c>
      <c r="E211" t="s">
        <v>940</v>
      </c>
      <c r="F211" t="s">
        <v>18</v>
      </c>
      <c r="G211" t="s">
        <v>166</v>
      </c>
      <c r="H211" t="s">
        <v>941</v>
      </c>
      <c r="I211" t="s">
        <v>15</v>
      </c>
      <c r="J211" t="s">
        <v>21</v>
      </c>
      <c r="K211" t="s">
        <v>22</v>
      </c>
      <c r="L211">
        <f>BDP($H211,"BICS_LEVEL_1_SECTOR_NAME")</f>
        <v/>
      </c>
      <c r="M211">
        <f>BDP($H211,"BICS_LEVEL_3_INDUSTRY_NAME")</f>
        <v/>
      </c>
    </row>
    <row r="212" spans="1:13">
      <c r="A212" t="s">
        <v>942</v>
      </c>
      <c r="B212" t="s">
        <v>14</v>
      </c>
      <c r="C212" t="s">
        <v>15</v>
      </c>
      <c r="D212" t="s">
        <v>943</v>
      </c>
      <c r="E212" t="s">
        <v>944</v>
      </c>
      <c r="F212" t="s">
        <v>32</v>
      </c>
      <c r="G212" t="s">
        <v>33</v>
      </c>
      <c r="H212" t="s">
        <v>945</v>
      </c>
      <c r="I212" t="s">
        <v>15</v>
      </c>
      <c r="J212" t="s">
        <v>21</v>
      </c>
      <c r="K212" t="s">
        <v>22</v>
      </c>
      <c r="L212">
        <f>BDP($H212,"BICS_LEVEL_1_SECTOR_NAME")</f>
        <v/>
      </c>
      <c r="M212">
        <f>BDP($H212,"BICS_LEVEL_3_INDUSTRY_NAME")</f>
        <v/>
      </c>
    </row>
    <row r="213" spans="1:13">
      <c r="A213" t="s">
        <v>946</v>
      </c>
      <c r="B213" t="s">
        <v>14</v>
      </c>
      <c r="C213" t="s">
        <v>15</v>
      </c>
      <c r="D213" t="s">
        <v>947</v>
      </c>
      <c r="E213" t="s">
        <v>948</v>
      </c>
      <c r="F213" t="s">
        <v>63</v>
      </c>
      <c r="G213" t="s">
        <v>949</v>
      </c>
      <c r="H213" t="s">
        <v>950</v>
      </c>
      <c r="I213" t="s">
        <v>15</v>
      </c>
      <c r="J213" t="s">
        <v>21</v>
      </c>
      <c r="K213" t="s">
        <v>22</v>
      </c>
      <c r="L213">
        <f>BDP($H213,"BICS_LEVEL_1_SECTOR_NAME")</f>
        <v/>
      </c>
      <c r="M213">
        <f>BDP($H213,"BICS_LEVEL_3_INDUSTRY_NAME")</f>
        <v/>
      </c>
    </row>
    <row r="214" spans="1:13">
      <c r="A214" t="s">
        <v>951</v>
      </c>
      <c r="B214" t="s">
        <v>14</v>
      </c>
      <c r="C214" t="s">
        <v>15</v>
      </c>
      <c r="D214" t="s">
        <v>952</v>
      </c>
      <c r="E214" t="s">
        <v>953</v>
      </c>
      <c r="F214" t="s">
        <v>26</v>
      </c>
      <c r="G214" t="s">
        <v>954</v>
      </c>
      <c r="H214" t="s">
        <v>955</v>
      </c>
      <c r="I214" t="s">
        <v>15</v>
      </c>
      <c r="J214" t="s">
        <v>21</v>
      </c>
      <c r="K214" t="s">
        <v>22</v>
      </c>
      <c r="L214">
        <f>BDP($H214,"BICS_LEVEL_1_SECTOR_NAME")</f>
        <v/>
      </c>
      <c r="M214">
        <f>BDP($H214,"BICS_LEVEL_3_INDUSTRY_NAME")</f>
        <v/>
      </c>
    </row>
    <row r="215" spans="1:13">
      <c r="A215" t="s">
        <v>956</v>
      </c>
      <c r="B215" t="s">
        <v>14</v>
      </c>
      <c r="C215" t="s">
        <v>15</v>
      </c>
      <c r="D215" t="s">
        <v>957</v>
      </c>
      <c r="E215" t="s">
        <v>958</v>
      </c>
      <c r="F215" t="s">
        <v>18</v>
      </c>
      <c r="G215" t="s">
        <v>52</v>
      </c>
      <c r="H215" t="s">
        <v>959</v>
      </c>
      <c r="I215" t="s">
        <v>15</v>
      </c>
      <c r="J215" t="s">
        <v>21</v>
      </c>
      <c r="K215" t="s">
        <v>22</v>
      </c>
      <c r="L215">
        <f>BDP($H215,"BICS_LEVEL_1_SECTOR_NAME")</f>
        <v/>
      </c>
      <c r="M215">
        <f>BDP($H215,"BICS_LEVEL_3_INDUSTRY_NAME")</f>
        <v/>
      </c>
    </row>
    <row r="216" spans="1:13">
      <c r="A216" t="s">
        <v>960</v>
      </c>
      <c r="B216" t="s">
        <v>14</v>
      </c>
      <c r="C216" t="s">
        <v>15</v>
      </c>
      <c r="D216" t="s">
        <v>961</v>
      </c>
      <c r="E216" t="s">
        <v>962</v>
      </c>
      <c r="F216" t="s">
        <v>18</v>
      </c>
      <c r="G216" t="s">
        <v>580</v>
      </c>
      <c r="H216" t="s">
        <v>963</v>
      </c>
      <c r="I216" t="s">
        <v>15</v>
      </c>
      <c r="J216" t="s">
        <v>21</v>
      </c>
      <c r="K216" t="s">
        <v>22</v>
      </c>
      <c r="L216">
        <f>BDP($H216,"BICS_LEVEL_1_SECTOR_NAME")</f>
        <v/>
      </c>
      <c r="M216">
        <f>BDP($H216,"BICS_LEVEL_3_INDUSTRY_NAME")</f>
        <v/>
      </c>
    </row>
    <row r="217" spans="1:13">
      <c r="A217" t="s">
        <v>964</v>
      </c>
      <c r="B217" t="s">
        <v>14</v>
      </c>
      <c r="C217" t="s">
        <v>15</v>
      </c>
      <c r="D217" t="s">
        <v>965</v>
      </c>
      <c r="E217" t="s">
        <v>966</v>
      </c>
      <c r="F217" t="s">
        <v>26</v>
      </c>
      <c r="G217" t="s">
        <v>539</v>
      </c>
      <c r="H217" t="s">
        <v>967</v>
      </c>
      <c r="I217" t="s">
        <v>15</v>
      </c>
      <c r="J217" t="s">
        <v>21</v>
      </c>
      <c r="K217" t="s">
        <v>22</v>
      </c>
      <c r="L217">
        <f>BDP($H217,"BICS_LEVEL_1_SECTOR_NAME")</f>
        <v/>
      </c>
      <c r="M217">
        <f>BDP($H217,"BICS_LEVEL_3_INDUSTRY_NAME")</f>
        <v/>
      </c>
    </row>
    <row r="218" spans="1:13">
      <c r="A218" t="s">
        <v>968</v>
      </c>
      <c r="B218" t="s">
        <v>14</v>
      </c>
      <c r="C218" t="s">
        <v>15</v>
      </c>
      <c r="D218" t="s">
        <v>969</v>
      </c>
      <c r="E218" t="s">
        <v>970</v>
      </c>
      <c r="F218" t="s">
        <v>26</v>
      </c>
      <c r="G218" t="s">
        <v>539</v>
      </c>
      <c r="H218" t="s">
        <v>971</v>
      </c>
      <c r="I218" t="s">
        <v>15</v>
      </c>
      <c r="J218" t="s">
        <v>21</v>
      </c>
      <c r="K218" t="s">
        <v>22</v>
      </c>
      <c r="L218">
        <f>BDP($H218,"BICS_LEVEL_1_SECTOR_NAME")</f>
        <v/>
      </c>
      <c r="M218">
        <f>BDP($H218,"BICS_LEVEL_3_INDUSTRY_NAME")</f>
        <v/>
      </c>
    </row>
    <row r="219" spans="1:13">
      <c r="A219" t="s">
        <v>972</v>
      </c>
      <c r="B219" t="s">
        <v>14</v>
      </c>
      <c r="C219" t="s">
        <v>15</v>
      </c>
      <c r="D219" t="s">
        <v>973</v>
      </c>
      <c r="E219" t="s">
        <v>974</v>
      </c>
      <c r="F219" t="s">
        <v>18</v>
      </c>
      <c r="G219" t="s">
        <v>975</v>
      </c>
      <c r="H219" t="s">
        <v>976</v>
      </c>
      <c r="I219" t="s">
        <v>15</v>
      </c>
      <c r="J219" t="s">
        <v>21</v>
      </c>
      <c r="K219" t="s">
        <v>22</v>
      </c>
      <c r="L219">
        <f>BDP($H219,"BICS_LEVEL_1_SECTOR_NAME")</f>
        <v/>
      </c>
      <c r="M219">
        <f>BDP($H219,"BICS_LEVEL_3_INDUSTRY_NAME")</f>
        <v/>
      </c>
    </row>
    <row r="220" spans="1:13">
      <c r="A220" t="s">
        <v>977</v>
      </c>
      <c r="B220" t="s">
        <v>14</v>
      </c>
      <c r="C220" t="s">
        <v>15</v>
      </c>
      <c r="D220" t="s">
        <v>978</v>
      </c>
      <c r="E220" t="s">
        <v>974</v>
      </c>
      <c r="F220" t="s">
        <v>18</v>
      </c>
      <c r="G220" t="s">
        <v>975</v>
      </c>
      <c r="H220" t="s">
        <v>979</v>
      </c>
      <c r="I220" t="s">
        <v>15</v>
      </c>
      <c r="J220" t="s">
        <v>21</v>
      </c>
      <c r="K220" t="s">
        <v>22</v>
      </c>
      <c r="L220">
        <f>BDP($H220,"BICS_LEVEL_1_SECTOR_NAME")</f>
        <v/>
      </c>
      <c r="M220">
        <f>BDP($H220,"BICS_LEVEL_3_INDUSTRY_NAME")</f>
        <v/>
      </c>
    </row>
    <row r="221" spans="1:13">
      <c r="A221" t="s">
        <v>980</v>
      </c>
      <c r="B221" t="s">
        <v>14</v>
      </c>
      <c r="C221" t="s">
        <v>15</v>
      </c>
      <c r="D221" t="s">
        <v>981</v>
      </c>
      <c r="E221" t="s">
        <v>982</v>
      </c>
      <c r="F221" t="s">
        <v>95</v>
      </c>
      <c r="G221" t="s">
        <v>593</v>
      </c>
      <c r="H221" t="s">
        <v>983</v>
      </c>
      <c r="I221" t="s">
        <v>15</v>
      </c>
      <c r="J221" t="s">
        <v>21</v>
      </c>
      <c r="K221" t="s">
        <v>22</v>
      </c>
      <c r="L221">
        <f>BDP($H221,"BICS_LEVEL_1_SECTOR_NAME")</f>
        <v/>
      </c>
      <c r="M221">
        <f>BDP($H221,"BICS_LEVEL_3_INDUSTRY_NAME")</f>
        <v/>
      </c>
    </row>
    <row r="222" spans="1:13">
      <c r="A222" t="s">
        <v>984</v>
      </c>
      <c r="B222" t="s">
        <v>14</v>
      </c>
      <c r="C222" t="s">
        <v>15</v>
      </c>
      <c r="D222" t="s">
        <v>985</v>
      </c>
      <c r="E222" t="s">
        <v>986</v>
      </c>
      <c r="F222" t="s">
        <v>95</v>
      </c>
      <c r="G222" t="s">
        <v>260</v>
      </c>
      <c r="H222" t="s">
        <v>987</v>
      </c>
      <c r="I222" t="s">
        <v>15</v>
      </c>
      <c r="J222" t="s">
        <v>21</v>
      </c>
      <c r="K222" t="s">
        <v>22</v>
      </c>
      <c r="L222">
        <f>BDP($H222,"BICS_LEVEL_1_SECTOR_NAME")</f>
        <v/>
      </c>
      <c r="M222">
        <f>BDP($H222,"BICS_LEVEL_3_INDUSTRY_NAME")</f>
        <v/>
      </c>
    </row>
    <row r="223" spans="1:13">
      <c r="A223" t="s">
        <v>988</v>
      </c>
      <c r="B223" t="s">
        <v>14</v>
      </c>
      <c r="C223" t="s">
        <v>15</v>
      </c>
      <c r="D223" t="s">
        <v>989</v>
      </c>
      <c r="E223" t="s">
        <v>990</v>
      </c>
      <c r="F223" t="s">
        <v>18</v>
      </c>
      <c r="G223" t="s">
        <v>508</v>
      </c>
      <c r="H223" t="s">
        <v>991</v>
      </c>
      <c r="I223" t="s">
        <v>15</v>
      </c>
      <c r="J223" t="s">
        <v>21</v>
      </c>
      <c r="K223" t="s">
        <v>22</v>
      </c>
      <c r="L223">
        <f>BDP($H223,"BICS_LEVEL_1_SECTOR_NAME")</f>
        <v/>
      </c>
      <c r="M223">
        <f>BDP($H223,"BICS_LEVEL_3_INDUSTRY_NAME")</f>
        <v/>
      </c>
    </row>
    <row r="224" spans="1:13">
      <c r="A224" t="s">
        <v>992</v>
      </c>
      <c r="B224" t="s">
        <v>14</v>
      </c>
      <c r="C224" t="s">
        <v>15</v>
      </c>
      <c r="D224" t="s">
        <v>993</v>
      </c>
      <c r="E224" t="s">
        <v>994</v>
      </c>
      <c r="F224" t="s">
        <v>84</v>
      </c>
      <c r="G224" t="s">
        <v>606</v>
      </c>
      <c r="H224" t="s">
        <v>995</v>
      </c>
      <c r="I224" t="s">
        <v>15</v>
      </c>
      <c r="J224" t="s">
        <v>21</v>
      </c>
      <c r="K224" t="s">
        <v>22</v>
      </c>
      <c r="L224">
        <f>BDP($H224,"BICS_LEVEL_1_SECTOR_NAME")</f>
        <v/>
      </c>
      <c r="M224">
        <f>BDP($H224,"BICS_LEVEL_3_INDUSTRY_NAME")</f>
        <v/>
      </c>
    </row>
    <row r="225" spans="1:13">
      <c r="A225" t="s">
        <v>996</v>
      </c>
      <c r="B225" t="s">
        <v>14</v>
      </c>
      <c r="C225" t="s">
        <v>15</v>
      </c>
      <c r="D225" t="s">
        <v>997</v>
      </c>
      <c r="E225" t="s">
        <v>998</v>
      </c>
      <c r="F225" t="s">
        <v>18</v>
      </c>
      <c r="G225" t="s">
        <v>999</v>
      </c>
      <c r="H225" t="s">
        <v>1000</v>
      </c>
      <c r="I225" t="s">
        <v>15</v>
      </c>
      <c r="J225" t="s">
        <v>21</v>
      </c>
      <c r="K225" t="s">
        <v>22</v>
      </c>
      <c r="L225">
        <f>BDP($H225,"BICS_LEVEL_1_SECTOR_NAME")</f>
        <v/>
      </c>
      <c r="M225">
        <f>BDP($H225,"BICS_LEVEL_3_INDUSTRY_NAME")</f>
        <v/>
      </c>
    </row>
    <row r="226" spans="1:13">
      <c r="A226" t="s">
        <v>1001</v>
      </c>
      <c r="B226" t="s">
        <v>14</v>
      </c>
      <c r="C226" t="s">
        <v>15</v>
      </c>
      <c r="D226" t="s">
        <v>1002</v>
      </c>
      <c r="E226" t="s">
        <v>1003</v>
      </c>
      <c r="F226" t="s">
        <v>18</v>
      </c>
      <c r="G226" t="s">
        <v>1004</v>
      </c>
      <c r="H226" t="s">
        <v>1005</v>
      </c>
      <c r="I226" t="s">
        <v>15</v>
      </c>
      <c r="J226" t="s">
        <v>21</v>
      </c>
      <c r="K226" t="s">
        <v>22</v>
      </c>
      <c r="L226">
        <f>BDP($H226,"BICS_LEVEL_1_SECTOR_NAME")</f>
        <v/>
      </c>
      <c r="M226">
        <f>BDP($H226,"BICS_LEVEL_3_INDUSTRY_NAME")</f>
        <v/>
      </c>
    </row>
    <row r="227" spans="1:13">
      <c r="A227" t="s">
        <v>1006</v>
      </c>
      <c r="B227" t="s">
        <v>14</v>
      </c>
      <c r="C227" t="s">
        <v>15</v>
      </c>
      <c r="D227" t="s">
        <v>1007</v>
      </c>
      <c r="E227" t="s">
        <v>1008</v>
      </c>
      <c r="F227" t="s">
        <v>26</v>
      </c>
      <c r="G227" t="s">
        <v>1009</v>
      </c>
      <c r="H227" t="s">
        <v>1010</v>
      </c>
      <c r="I227" t="s">
        <v>15</v>
      </c>
      <c r="J227" t="s">
        <v>21</v>
      </c>
      <c r="K227" t="s">
        <v>22</v>
      </c>
      <c r="L227">
        <f>BDP($H227,"BICS_LEVEL_1_SECTOR_NAME")</f>
        <v/>
      </c>
      <c r="M227">
        <f>BDP($H227,"BICS_LEVEL_3_INDUSTRY_NAME")</f>
        <v/>
      </c>
    </row>
    <row r="228" spans="1:13">
      <c r="A228" t="s">
        <v>1011</v>
      </c>
      <c r="B228" t="s">
        <v>14</v>
      </c>
      <c r="C228" t="s">
        <v>15</v>
      </c>
      <c r="D228" t="s">
        <v>1012</v>
      </c>
      <c r="E228" t="s">
        <v>1013</v>
      </c>
      <c r="F228" t="s">
        <v>32</v>
      </c>
      <c r="G228" t="s">
        <v>153</v>
      </c>
      <c r="H228" t="s">
        <v>1014</v>
      </c>
      <c r="I228" t="s">
        <v>15</v>
      </c>
      <c r="J228" t="s">
        <v>21</v>
      </c>
      <c r="K228" t="s">
        <v>22</v>
      </c>
      <c r="L228">
        <f>BDP($H228,"BICS_LEVEL_1_SECTOR_NAME")</f>
        <v/>
      </c>
      <c r="M228">
        <f>BDP($H228,"BICS_LEVEL_3_INDUSTRY_NAME")</f>
        <v/>
      </c>
    </row>
    <row r="229" spans="1:13">
      <c r="A229" t="s">
        <v>1015</v>
      </c>
      <c r="B229" t="s">
        <v>14</v>
      </c>
      <c r="C229" t="s">
        <v>15</v>
      </c>
      <c r="D229" t="s">
        <v>1016</v>
      </c>
      <c r="E229" t="s">
        <v>1017</v>
      </c>
      <c r="F229" t="s">
        <v>18</v>
      </c>
      <c r="G229" t="s">
        <v>303</v>
      </c>
      <c r="H229" t="s">
        <v>1018</v>
      </c>
      <c r="I229" t="s">
        <v>15</v>
      </c>
      <c r="J229" t="s">
        <v>21</v>
      </c>
      <c r="K229" t="s">
        <v>22</v>
      </c>
      <c r="L229">
        <f>BDP($H229,"BICS_LEVEL_1_SECTOR_NAME")</f>
        <v/>
      </c>
      <c r="M229">
        <f>BDP($H229,"BICS_LEVEL_3_INDUSTRY_NAME")</f>
        <v/>
      </c>
    </row>
    <row r="230" spans="1:13">
      <c r="A230" t="s">
        <v>1019</v>
      </c>
      <c r="B230" t="s">
        <v>14</v>
      </c>
      <c r="C230" t="s">
        <v>15</v>
      </c>
      <c r="D230" t="s">
        <v>1020</v>
      </c>
      <c r="E230" t="s">
        <v>1021</v>
      </c>
      <c r="F230" t="s">
        <v>26</v>
      </c>
      <c r="G230" t="s">
        <v>126</v>
      </c>
      <c r="H230" t="s">
        <v>1022</v>
      </c>
      <c r="I230" t="s">
        <v>15</v>
      </c>
      <c r="J230" t="s">
        <v>21</v>
      </c>
      <c r="K230" t="s">
        <v>22</v>
      </c>
      <c r="L230">
        <f>BDP($H230,"BICS_LEVEL_1_SECTOR_NAME")</f>
        <v/>
      </c>
      <c r="M230">
        <f>BDP($H230,"BICS_LEVEL_3_INDUSTRY_NAME")</f>
        <v/>
      </c>
    </row>
    <row r="231" spans="1:13">
      <c r="A231" t="s">
        <v>1023</v>
      </c>
      <c r="B231" t="s">
        <v>14</v>
      </c>
      <c r="C231" t="s">
        <v>15</v>
      </c>
      <c r="D231" t="s">
        <v>1024</v>
      </c>
      <c r="E231" t="s">
        <v>1025</v>
      </c>
      <c r="F231" t="s">
        <v>26</v>
      </c>
      <c r="G231" t="s">
        <v>1026</v>
      </c>
      <c r="H231" t="s">
        <v>1027</v>
      </c>
      <c r="I231" t="s">
        <v>15</v>
      </c>
      <c r="J231" t="s">
        <v>21</v>
      </c>
      <c r="K231" t="s">
        <v>22</v>
      </c>
      <c r="L231">
        <f>BDP($H231,"BICS_LEVEL_1_SECTOR_NAME")</f>
        <v/>
      </c>
      <c r="M231">
        <f>BDP($H231,"BICS_LEVEL_3_INDUSTRY_NAME")</f>
        <v/>
      </c>
    </row>
    <row r="232" spans="1:13">
      <c r="A232" t="s">
        <v>1028</v>
      </c>
      <c r="B232" t="s">
        <v>14</v>
      </c>
      <c r="C232" t="s">
        <v>15</v>
      </c>
      <c r="D232" t="s">
        <v>1029</v>
      </c>
      <c r="E232" t="s">
        <v>1030</v>
      </c>
      <c r="F232" t="s">
        <v>74</v>
      </c>
      <c r="G232" t="s">
        <v>1031</v>
      </c>
      <c r="H232" t="s">
        <v>1032</v>
      </c>
      <c r="I232" t="s">
        <v>15</v>
      </c>
      <c r="J232" t="s">
        <v>21</v>
      </c>
      <c r="K232" t="s">
        <v>22</v>
      </c>
      <c r="L232">
        <f>BDP($H232,"BICS_LEVEL_1_SECTOR_NAME")</f>
        <v/>
      </c>
      <c r="M232">
        <f>BDP($H232,"BICS_LEVEL_3_INDUSTRY_NAME")</f>
        <v/>
      </c>
    </row>
    <row r="233" spans="1:13">
      <c r="A233" t="s">
        <v>1033</v>
      </c>
      <c r="B233" t="s">
        <v>14</v>
      </c>
      <c r="C233" t="s">
        <v>15</v>
      </c>
      <c r="D233" t="s">
        <v>1034</v>
      </c>
      <c r="E233" t="s">
        <v>1035</v>
      </c>
      <c r="F233" t="s">
        <v>26</v>
      </c>
      <c r="G233" t="s">
        <v>126</v>
      </c>
      <c r="H233" t="s">
        <v>1036</v>
      </c>
      <c r="I233" t="s">
        <v>15</v>
      </c>
      <c r="J233" t="s">
        <v>21</v>
      </c>
      <c r="K233" t="s">
        <v>22</v>
      </c>
      <c r="L233">
        <f>BDP($H233,"BICS_LEVEL_1_SECTOR_NAME")</f>
        <v/>
      </c>
      <c r="M233">
        <f>BDP($H233,"BICS_LEVEL_3_INDUSTRY_NAME")</f>
        <v/>
      </c>
    </row>
    <row r="234" spans="1:13">
      <c r="A234" t="s">
        <v>1037</v>
      </c>
      <c r="B234" t="s">
        <v>14</v>
      </c>
      <c r="C234" t="s">
        <v>15</v>
      </c>
      <c r="D234" t="s">
        <v>1038</v>
      </c>
      <c r="E234" t="s">
        <v>1039</v>
      </c>
      <c r="F234" t="s">
        <v>26</v>
      </c>
      <c r="G234" t="s">
        <v>1040</v>
      </c>
      <c r="H234" t="s">
        <v>1041</v>
      </c>
      <c r="I234" t="s">
        <v>15</v>
      </c>
      <c r="J234" t="s">
        <v>21</v>
      </c>
      <c r="K234" t="s">
        <v>22</v>
      </c>
      <c r="L234">
        <f>BDP($H234,"BICS_LEVEL_1_SECTOR_NAME")</f>
        <v/>
      </c>
      <c r="M234">
        <f>BDP($H234,"BICS_LEVEL_3_INDUSTRY_NAME")</f>
        <v/>
      </c>
    </row>
    <row r="235" spans="1:13">
      <c r="A235" t="s">
        <v>1042</v>
      </c>
      <c r="B235" t="s">
        <v>14</v>
      </c>
      <c r="C235" t="s">
        <v>15</v>
      </c>
      <c r="D235" t="s">
        <v>1043</v>
      </c>
      <c r="E235" t="s">
        <v>1044</v>
      </c>
      <c r="F235" t="s">
        <v>18</v>
      </c>
      <c r="G235" t="s">
        <v>1045</v>
      </c>
      <c r="H235" t="s">
        <v>1046</v>
      </c>
      <c r="I235" t="s">
        <v>15</v>
      </c>
      <c r="J235" t="s">
        <v>21</v>
      </c>
      <c r="K235" t="s">
        <v>22</v>
      </c>
      <c r="L235">
        <f>BDP($H235,"BICS_LEVEL_1_SECTOR_NAME")</f>
        <v/>
      </c>
      <c r="M235">
        <f>BDP($H235,"BICS_LEVEL_3_INDUSTRY_NAME")</f>
        <v/>
      </c>
    </row>
    <row r="236" spans="1:13">
      <c r="A236" t="s">
        <v>1047</v>
      </c>
      <c r="B236" t="s">
        <v>14</v>
      </c>
      <c r="C236" t="s">
        <v>15</v>
      </c>
      <c r="D236" t="s">
        <v>1048</v>
      </c>
      <c r="E236" t="s">
        <v>1049</v>
      </c>
      <c r="F236" t="s">
        <v>18</v>
      </c>
      <c r="G236" t="s">
        <v>131</v>
      </c>
      <c r="H236" t="s">
        <v>1050</v>
      </c>
      <c r="I236" t="s">
        <v>15</v>
      </c>
      <c r="J236" t="s">
        <v>21</v>
      </c>
      <c r="K236" t="s">
        <v>22</v>
      </c>
      <c r="L236">
        <f>BDP($H236,"BICS_LEVEL_1_SECTOR_NAME")</f>
        <v/>
      </c>
      <c r="M236">
        <f>BDP($H236,"BICS_LEVEL_3_INDUSTRY_NAME")</f>
        <v/>
      </c>
    </row>
    <row r="237" spans="1:13">
      <c r="A237" t="s">
        <v>1051</v>
      </c>
      <c r="B237" t="s">
        <v>14</v>
      </c>
      <c r="C237" t="s">
        <v>15</v>
      </c>
      <c r="D237" t="s">
        <v>1052</v>
      </c>
      <c r="E237" t="s">
        <v>1053</v>
      </c>
      <c r="F237" t="s">
        <v>74</v>
      </c>
      <c r="G237" t="s">
        <v>250</v>
      </c>
      <c r="H237" t="s">
        <v>1054</v>
      </c>
      <c r="I237" t="s">
        <v>15</v>
      </c>
      <c r="J237" t="s">
        <v>21</v>
      </c>
      <c r="K237" t="s">
        <v>22</v>
      </c>
      <c r="L237">
        <f>BDP($H237,"BICS_LEVEL_1_SECTOR_NAME")</f>
        <v/>
      </c>
      <c r="M237">
        <f>BDP($H237,"BICS_LEVEL_3_INDUSTRY_NAME")</f>
        <v/>
      </c>
    </row>
    <row r="238" spans="1:13">
      <c r="A238" t="s">
        <v>1055</v>
      </c>
      <c r="B238" t="s">
        <v>14</v>
      </c>
      <c r="C238" t="s">
        <v>15</v>
      </c>
      <c r="D238" t="s">
        <v>1056</v>
      </c>
      <c r="E238" t="s">
        <v>1057</v>
      </c>
      <c r="F238" t="s">
        <v>63</v>
      </c>
      <c r="G238" t="s">
        <v>64</v>
      </c>
      <c r="H238" t="s">
        <v>1058</v>
      </c>
      <c r="I238" t="s">
        <v>15</v>
      </c>
      <c r="J238" t="s">
        <v>21</v>
      </c>
      <c r="K238" t="s">
        <v>22</v>
      </c>
      <c r="L238">
        <f>BDP($H238,"BICS_LEVEL_1_SECTOR_NAME")</f>
        <v/>
      </c>
      <c r="M238">
        <f>BDP($H238,"BICS_LEVEL_3_INDUSTRY_NAME")</f>
        <v/>
      </c>
    </row>
    <row r="239" spans="1:13">
      <c r="A239" t="s">
        <v>1059</v>
      </c>
      <c r="B239" t="s">
        <v>14</v>
      </c>
      <c r="C239" t="s">
        <v>15</v>
      </c>
      <c r="D239" t="s">
        <v>1060</v>
      </c>
      <c r="E239" t="s">
        <v>1061</v>
      </c>
      <c r="F239" t="s">
        <v>95</v>
      </c>
      <c r="G239" t="s">
        <v>1062</v>
      </c>
      <c r="H239" t="s">
        <v>1063</v>
      </c>
      <c r="I239" t="s">
        <v>15</v>
      </c>
      <c r="J239" t="s">
        <v>21</v>
      </c>
      <c r="K239" t="s">
        <v>22</v>
      </c>
      <c r="L239">
        <f>BDP($H239,"BICS_LEVEL_1_SECTOR_NAME")</f>
        <v/>
      </c>
      <c r="M239">
        <f>BDP($H239,"BICS_LEVEL_3_INDUSTRY_NAME")</f>
        <v/>
      </c>
    </row>
    <row r="240" spans="1:13">
      <c r="A240" t="s">
        <v>1064</v>
      </c>
      <c r="B240" t="s">
        <v>14</v>
      </c>
      <c r="C240" t="s">
        <v>15</v>
      </c>
      <c r="D240" t="s">
        <v>1065</v>
      </c>
      <c r="E240" t="s">
        <v>1066</v>
      </c>
      <c r="F240" t="s">
        <v>26</v>
      </c>
      <c r="G240" t="s">
        <v>211</v>
      </c>
      <c r="H240" t="s">
        <v>1067</v>
      </c>
      <c r="I240" t="s">
        <v>15</v>
      </c>
      <c r="J240" t="s">
        <v>21</v>
      </c>
      <c r="K240" t="s">
        <v>22</v>
      </c>
      <c r="L240">
        <f>BDP($H240,"BICS_LEVEL_1_SECTOR_NAME")</f>
        <v/>
      </c>
      <c r="M240">
        <f>BDP($H240,"BICS_LEVEL_3_INDUSTRY_NAME")</f>
        <v/>
      </c>
    </row>
    <row r="241" spans="1:13">
      <c r="A241" t="s">
        <v>1068</v>
      </c>
      <c r="B241" t="s">
        <v>14</v>
      </c>
      <c r="C241" t="s">
        <v>15</v>
      </c>
      <c r="D241" t="s">
        <v>1069</v>
      </c>
      <c r="E241" t="s">
        <v>1070</v>
      </c>
      <c r="F241" t="s">
        <v>63</v>
      </c>
      <c r="G241" t="s">
        <v>90</v>
      </c>
      <c r="H241" t="s">
        <v>1071</v>
      </c>
      <c r="I241" t="s">
        <v>15</v>
      </c>
      <c r="J241" t="s">
        <v>21</v>
      </c>
      <c r="K241" t="s">
        <v>22</v>
      </c>
      <c r="L241">
        <f>BDP($H241,"BICS_LEVEL_1_SECTOR_NAME")</f>
        <v/>
      </c>
      <c r="M241">
        <f>BDP($H241,"BICS_LEVEL_3_INDUSTRY_NAME")</f>
        <v/>
      </c>
    </row>
    <row r="242" spans="1:13">
      <c r="A242" t="s">
        <v>1072</v>
      </c>
      <c r="B242" t="s">
        <v>14</v>
      </c>
      <c r="C242" t="s">
        <v>15</v>
      </c>
      <c r="D242" t="s">
        <v>1073</v>
      </c>
      <c r="E242" t="s">
        <v>1074</v>
      </c>
      <c r="F242" t="s">
        <v>18</v>
      </c>
      <c r="G242" t="s">
        <v>225</v>
      </c>
      <c r="H242" t="s">
        <v>1075</v>
      </c>
      <c r="I242" t="s">
        <v>15</v>
      </c>
      <c r="J242" t="s">
        <v>21</v>
      </c>
      <c r="K242" t="s">
        <v>22</v>
      </c>
      <c r="L242">
        <f>BDP($H242,"BICS_LEVEL_1_SECTOR_NAME")</f>
        <v/>
      </c>
      <c r="M242">
        <f>BDP($H242,"BICS_LEVEL_3_INDUSTRY_NAME")</f>
        <v/>
      </c>
    </row>
    <row r="243" spans="1:13">
      <c r="A243" t="s">
        <v>1076</v>
      </c>
      <c r="B243" t="s">
        <v>14</v>
      </c>
      <c r="C243" t="s">
        <v>15</v>
      </c>
      <c r="D243" t="s">
        <v>1077</v>
      </c>
      <c r="E243" t="s">
        <v>1078</v>
      </c>
      <c r="F243" t="s">
        <v>84</v>
      </c>
      <c r="G243" t="s">
        <v>889</v>
      </c>
      <c r="H243" t="s">
        <v>1079</v>
      </c>
      <c r="I243" t="s">
        <v>15</v>
      </c>
      <c r="J243" t="s">
        <v>21</v>
      </c>
      <c r="K243" t="s">
        <v>22</v>
      </c>
      <c r="L243">
        <f>BDP($H243,"BICS_LEVEL_1_SECTOR_NAME")</f>
        <v/>
      </c>
      <c r="M243">
        <f>BDP($H243,"BICS_LEVEL_3_INDUSTRY_NAME")</f>
        <v/>
      </c>
    </row>
    <row r="244" spans="1:13">
      <c r="A244" t="s">
        <v>1080</v>
      </c>
      <c r="B244" t="s">
        <v>14</v>
      </c>
      <c r="C244" t="s">
        <v>15</v>
      </c>
      <c r="D244" t="s">
        <v>1081</v>
      </c>
      <c r="E244" t="s">
        <v>1082</v>
      </c>
      <c r="F244" t="s">
        <v>84</v>
      </c>
      <c r="G244" t="s">
        <v>889</v>
      </c>
      <c r="H244" t="s">
        <v>1083</v>
      </c>
      <c r="I244" t="s">
        <v>15</v>
      </c>
      <c r="J244" t="s">
        <v>21</v>
      </c>
      <c r="K244" t="s">
        <v>22</v>
      </c>
      <c r="L244">
        <f>BDP($H244,"BICS_LEVEL_1_SECTOR_NAME")</f>
        <v/>
      </c>
      <c r="M244">
        <f>BDP($H244,"BICS_LEVEL_3_INDUSTRY_NAME")</f>
        <v/>
      </c>
    </row>
    <row r="245" spans="1:13">
      <c r="A245" t="s">
        <v>1084</v>
      </c>
      <c r="B245" t="s">
        <v>14</v>
      </c>
      <c r="C245" t="s">
        <v>15</v>
      </c>
      <c r="D245" t="s">
        <v>1085</v>
      </c>
      <c r="E245" t="s">
        <v>1086</v>
      </c>
      <c r="F245" t="s">
        <v>18</v>
      </c>
      <c r="G245" t="s">
        <v>316</v>
      </c>
      <c r="H245" t="s">
        <v>1087</v>
      </c>
      <c r="I245" t="s">
        <v>15</v>
      </c>
      <c r="J245" t="s">
        <v>21</v>
      </c>
      <c r="K245" t="s">
        <v>22</v>
      </c>
      <c r="L245">
        <f>BDP($H245,"BICS_LEVEL_1_SECTOR_NAME")</f>
        <v/>
      </c>
      <c r="M245">
        <f>BDP($H245,"BICS_LEVEL_3_INDUSTRY_NAME")</f>
        <v/>
      </c>
    </row>
    <row r="246" spans="1:13">
      <c r="A246" t="s">
        <v>1088</v>
      </c>
      <c r="B246" t="s">
        <v>14</v>
      </c>
      <c r="C246" t="s">
        <v>15</v>
      </c>
      <c r="D246" t="s">
        <v>1089</v>
      </c>
      <c r="E246" t="s">
        <v>1090</v>
      </c>
      <c r="F246" t="s">
        <v>63</v>
      </c>
      <c r="G246" t="s">
        <v>131</v>
      </c>
      <c r="H246" t="s">
        <v>1091</v>
      </c>
      <c r="I246" t="s">
        <v>15</v>
      </c>
      <c r="J246" t="s">
        <v>21</v>
      </c>
      <c r="K246" t="s">
        <v>22</v>
      </c>
      <c r="L246">
        <f>BDP($H246,"BICS_LEVEL_1_SECTOR_NAME")</f>
        <v/>
      </c>
      <c r="M246">
        <f>BDP($H246,"BICS_LEVEL_3_INDUSTRY_NAME")</f>
        <v/>
      </c>
    </row>
    <row r="247" spans="1:13">
      <c r="A247" t="s">
        <v>1092</v>
      </c>
      <c r="B247" t="s">
        <v>14</v>
      </c>
      <c r="C247" t="s">
        <v>15</v>
      </c>
      <c r="D247" t="s">
        <v>1093</v>
      </c>
      <c r="E247" t="s">
        <v>1094</v>
      </c>
      <c r="F247" t="s">
        <v>244</v>
      </c>
      <c r="G247" t="s">
        <v>379</v>
      </c>
      <c r="H247" t="s">
        <v>1095</v>
      </c>
      <c r="I247" t="s">
        <v>15</v>
      </c>
      <c r="J247" t="s">
        <v>21</v>
      </c>
      <c r="K247" t="s">
        <v>22</v>
      </c>
      <c r="L247">
        <f>BDP($H247,"BICS_LEVEL_1_SECTOR_NAME")</f>
        <v/>
      </c>
      <c r="M247">
        <f>BDP($H247,"BICS_LEVEL_3_INDUSTRY_NAME")</f>
        <v/>
      </c>
    </row>
    <row r="248" spans="1:13">
      <c r="A248" t="s">
        <v>1096</v>
      </c>
      <c r="B248" t="s">
        <v>14</v>
      </c>
      <c r="C248" t="s">
        <v>15</v>
      </c>
      <c r="D248" t="s">
        <v>1097</v>
      </c>
      <c r="E248" t="s">
        <v>1098</v>
      </c>
      <c r="F248" t="s">
        <v>18</v>
      </c>
      <c r="G248" t="s">
        <v>1099</v>
      </c>
      <c r="H248" t="s">
        <v>1100</v>
      </c>
      <c r="I248" t="s">
        <v>15</v>
      </c>
      <c r="J248" t="s">
        <v>21</v>
      </c>
      <c r="K248" t="s">
        <v>22</v>
      </c>
      <c r="L248">
        <f>BDP($H248,"BICS_LEVEL_1_SECTOR_NAME")</f>
        <v/>
      </c>
      <c r="M248">
        <f>BDP($H248,"BICS_LEVEL_3_INDUSTRY_NAME")</f>
        <v/>
      </c>
    </row>
    <row r="249" spans="1:13">
      <c r="A249" t="s">
        <v>1101</v>
      </c>
      <c r="B249" t="s">
        <v>14</v>
      </c>
      <c r="C249" t="s">
        <v>15</v>
      </c>
      <c r="D249" t="s">
        <v>1102</v>
      </c>
      <c r="E249" t="s">
        <v>1103</v>
      </c>
      <c r="F249" t="s">
        <v>18</v>
      </c>
      <c r="G249" t="s">
        <v>920</v>
      </c>
      <c r="H249" t="s">
        <v>1104</v>
      </c>
      <c r="I249" t="s">
        <v>15</v>
      </c>
      <c r="J249" t="s">
        <v>21</v>
      </c>
      <c r="K249" t="s">
        <v>22</v>
      </c>
      <c r="L249">
        <f>BDP($H249,"BICS_LEVEL_1_SECTOR_NAME")</f>
        <v/>
      </c>
      <c r="M249">
        <f>BDP($H249,"BICS_LEVEL_3_INDUSTRY_NAME")</f>
        <v/>
      </c>
    </row>
    <row r="250" spans="1:13">
      <c r="A250" t="s">
        <v>1105</v>
      </c>
      <c r="B250" t="s">
        <v>14</v>
      </c>
      <c r="C250" t="s">
        <v>15</v>
      </c>
      <c r="D250" t="s">
        <v>1106</v>
      </c>
      <c r="E250" t="s">
        <v>1107</v>
      </c>
      <c r="F250" t="s">
        <v>32</v>
      </c>
      <c r="G250" t="s">
        <v>280</v>
      </c>
      <c r="H250" t="s">
        <v>1108</v>
      </c>
      <c r="I250" t="s">
        <v>15</v>
      </c>
      <c r="J250" t="s">
        <v>21</v>
      </c>
      <c r="K250" t="s">
        <v>22</v>
      </c>
      <c r="L250">
        <f>BDP($H250,"BICS_LEVEL_1_SECTOR_NAME")</f>
        <v/>
      </c>
      <c r="M250">
        <f>BDP($H250,"BICS_LEVEL_3_INDUSTRY_NAME")</f>
        <v/>
      </c>
    </row>
    <row r="251" spans="1:13">
      <c r="A251" t="s">
        <v>1109</v>
      </c>
      <c r="B251" t="s">
        <v>14</v>
      </c>
      <c r="C251" t="s">
        <v>15</v>
      </c>
      <c r="D251" t="s">
        <v>1110</v>
      </c>
      <c r="E251" t="s">
        <v>1111</v>
      </c>
      <c r="F251" t="s">
        <v>74</v>
      </c>
      <c r="G251" t="s">
        <v>250</v>
      </c>
      <c r="H251" t="s">
        <v>1112</v>
      </c>
      <c r="I251" t="s">
        <v>15</v>
      </c>
      <c r="J251" t="s">
        <v>21</v>
      </c>
      <c r="K251" t="s">
        <v>22</v>
      </c>
      <c r="L251">
        <f>BDP($H251,"BICS_LEVEL_1_SECTOR_NAME")</f>
        <v/>
      </c>
      <c r="M251">
        <f>BDP($H251,"BICS_LEVEL_3_INDUSTRY_NAME")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BDH("TSSI US Equity","BS_TOT_ASSET","1993-06-18","2026-05-02","Per=Y","Days=T","Dir=V")</f>
        <v>0</v>
      </c>
      <c r="C2">
        <f>BDH("TSSI US Equity","BS_TOT_LIAB2","1993-06-18","2026-05-02","Per=Y","Days=T","Dir=V")</f>
        <v>0</v>
      </c>
      <c r="E2">
        <f>BDH("TSSI US Equity","SHORT_AND_LONG_TERM_DEBT","1993-06-18","2026-05-02","Per=Y","Days=T","Dir=V")</f>
        <v>0</v>
      </c>
      <c r="G2">
        <f>BDH("TSSI US Equity","BS_ST_BORROW","1993-06-18","2026-05-02","Per=Y","Days=T","Dir=V")</f>
        <v>0</v>
      </c>
      <c r="I2">
        <f>BDH("TSSI US Equity","BS_LT_BORROW","1993-06-18","2026-05-02","Per=Y","Days=T","Dir=V")</f>
        <v>0</v>
      </c>
      <c r="K2">
        <f>BDH("TSSI US Equity","BS_CASH_NEAR_CASH_ITEM","1993-06-18","2026-05-02","Per=Y","Days=T","Dir=V")</f>
        <v>0</v>
      </c>
      <c r="M2">
        <f>BDH("TSSI US Equity","BS_CUR_ASSET_REPORT","1993-06-18","2026-05-02","Per=Y","Days=T","Dir=V")</f>
        <v>0</v>
      </c>
      <c r="O2">
        <f>BDH("TSSI US Equity","BS_CUR_LIAB","1993-06-18","2026-05-02","Per=Y","Days=T","Dir=V")</f>
        <v>0</v>
      </c>
      <c r="Q2">
        <f>BDH("TSSI US Equity","BS_SHAREHOLDER_EQY_ENDING_PERIOD","1993-06-18","2026-05-02","Per=Y","Days=T","Dir=V")</f>
        <v>0</v>
      </c>
      <c r="S2">
        <f>BDH("TSSI US Equity","BS_ACCT_NOTE_RCV","1993-06-18","2026-05-02","Per=Y","Days=T","Dir=V")</f>
        <v>0</v>
      </c>
      <c r="U2">
        <f>BDH("TSSI US Equity","BS_INVENTORIES","1993-06-18","2026-05-02","Per=Y","Days=T","Dir=V")</f>
        <v>0</v>
      </c>
      <c r="W2">
        <f>BDH("TSSI US Equity","WORKING_CAPITAL","1993-06-18","2026-05-02","Per=Y","Days=T","Dir=V")</f>
        <v>0</v>
      </c>
      <c r="Y2">
        <f>BDH("TSSI US Equity","SALES_REV_TURN","1993-06-18","2026-05-02","Per=Y","Days=T","Dir=V")</f>
        <v>0</v>
      </c>
      <c r="AA2">
        <f>BDH("TSSI US Equity","EBIT","1993-06-18","2026-05-02","Per=Y","Days=T","Dir=V")</f>
        <v>0</v>
      </c>
      <c r="AC2">
        <f>BDH("TSSI US Equity","EBITDA","1993-06-18","2026-05-02","Per=Y","Days=T","Dir=V")</f>
        <v>0</v>
      </c>
      <c r="AE2">
        <f>BDH("TSSI US Equity","NET_INCOME","1993-06-18","2026-05-02","Per=Y","Days=T","Dir=V")</f>
        <v>0</v>
      </c>
      <c r="AG2">
        <f>BDH("TSSI US Equity","IS_INT_EXPENSE","1993-06-18","2026-05-02","Per=Y","Days=T","Dir=V")</f>
        <v>0</v>
      </c>
      <c r="AI2">
        <f>BDH("TSSI US Equity","IS_DEPR_EXP","1993-06-18","2026-05-02","Per=Y","Days=T","Dir=V")</f>
        <v>0</v>
      </c>
      <c r="AK2">
        <f>BDH("TSSI US Equity","CF_CASH_FROM_OPER","1993-06-18","2026-05-02","Per=Y","Days=T","Dir=V")</f>
        <v>0</v>
      </c>
      <c r="AM2">
        <f>BDH("TSSI US Equity","CAPITAL_EXPEND","1993-06-18","2026-05-02","Per=Y","Days=T","Dir=V")</f>
        <v>0</v>
      </c>
      <c r="AO2">
        <f>BDH("TSSI US Equity","CF_FREE_CASH_FLOW","1993-06-18","2026-05-02","Per=Y","Days=T","Dir=V")</f>
        <v>0</v>
      </c>
      <c r="AQ2">
        <f>BDH("TSSI US Equity","PX_LAST","1993-06-18","2026-05-02","Per=M","Days=T","Dir=V")</f>
        <v>0</v>
      </c>
      <c r="AS2">
        <f>BDH("TSSI US Equity","CUR_MKT_CAP","1993-06-18","2026-05-02","Per=M","Days=T","Dir=V")</f>
        <v>0</v>
      </c>
      <c r="AU2">
        <f>BDH("TSSI US Equity","EQY_SH_OUT","1993-06-18","2026-05-02","Per=M","Days=T","Dir=V")</f>
        <v>0</v>
      </c>
      <c r="AW2">
        <f>BDH("TSSI US Equity","PX_VOLUME","1993-06-18","2026-05-02","Per=M","Days=T","Dir=V")</f>
        <v>0</v>
      </c>
      <c r="AY2">
        <f>BDH("TSSI US Equity","TURNOVER","1993-06-18","2026-05-02","Per=M","Days=T","Dir=V")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BDH("TTAM US Equity","BS_TOT_ASSET","1993-06-18","2026-05-02","Per=Y","Days=T","Dir=V")</f>
        <v>0</v>
      </c>
      <c r="C2">
        <f>BDH("TTAM US Equity","BS_TOT_LIAB2","1993-06-18","2026-05-02","Per=Y","Days=T","Dir=V")</f>
        <v>0</v>
      </c>
      <c r="E2">
        <f>BDH("TTAM US Equity","SHORT_AND_LONG_TERM_DEBT","1993-06-18","2026-05-02","Per=Y","Days=T","Dir=V")</f>
        <v>0</v>
      </c>
      <c r="G2">
        <f>BDH("TTAM US Equity","BS_ST_BORROW","1993-06-18","2026-05-02","Per=Y","Days=T","Dir=V")</f>
        <v>0</v>
      </c>
      <c r="I2">
        <f>BDH("TTAM US Equity","BS_LT_BORROW","1993-06-18","2026-05-02","Per=Y","Days=T","Dir=V")</f>
        <v>0</v>
      </c>
      <c r="K2">
        <f>BDH("TTAM US Equity","BS_CASH_NEAR_CASH_ITEM","1993-06-18","2026-05-02","Per=Y","Days=T","Dir=V")</f>
        <v>0</v>
      </c>
      <c r="M2">
        <f>BDH("TTAM US Equity","BS_CUR_ASSET_REPORT","1993-06-18","2026-05-02","Per=Y","Days=T","Dir=V")</f>
        <v>0</v>
      </c>
      <c r="O2">
        <f>BDH("TTAM US Equity","BS_CUR_LIAB","1993-06-18","2026-05-02","Per=Y","Days=T","Dir=V")</f>
        <v>0</v>
      </c>
      <c r="Q2">
        <f>BDH("TTAM US Equity","BS_SHAREHOLDER_EQY_ENDING_PERIOD","1993-06-18","2026-05-02","Per=Y","Days=T","Dir=V")</f>
        <v>0</v>
      </c>
      <c r="S2">
        <f>BDH("TTAM US Equity","BS_ACCT_NOTE_RCV","1993-06-18","2026-05-02","Per=Y","Days=T","Dir=V")</f>
        <v>0</v>
      </c>
      <c r="U2">
        <f>BDH("TTAM US Equity","BS_INVENTORIES","1993-06-18","2026-05-02","Per=Y","Days=T","Dir=V")</f>
        <v>0</v>
      </c>
      <c r="W2">
        <f>BDH("TTAM US Equity","WORKING_CAPITAL","1993-06-18","2026-05-02","Per=Y","Days=T","Dir=V")</f>
        <v>0</v>
      </c>
      <c r="Y2">
        <f>BDH("TTAM US Equity","SALES_REV_TURN","1993-06-18","2026-05-02","Per=Y","Days=T","Dir=V")</f>
        <v>0</v>
      </c>
      <c r="AA2">
        <f>BDH("TTAM US Equity","EBIT","1993-06-18","2026-05-02","Per=Y","Days=T","Dir=V")</f>
        <v>0</v>
      </c>
      <c r="AC2">
        <f>BDH("TTAM US Equity","EBITDA","1993-06-18","2026-05-02","Per=Y","Days=T","Dir=V")</f>
        <v>0</v>
      </c>
      <c r="AE2">
        <f>BDH("TTAM US Equity","NET_INCOME","1993-06-18","2026-05-02","Per=Y","Days=T","Dir=V")</f>
        <v>0</v>
      </c>
      <c r="AG2">
        <f>BDH("TTAM US Equity","IS_INT_EXPENSE","1993-06-18","2026-05-02","Per=Y","Days=T","Dir=V")</f>
        <v>0</v>
      </c>
      <c r="AI2">
        <f>BDH("TTAM US Equity","IS_DEPR_EXP","1993-06-18","2026-05-02","Per=Y","Days=T","Dir=V")</f>
        <v>0</v>
      </c>
      <c r="AK2">
        <f>BDH("TTAM US Equity","CF_CASH_FROM_OPER","1993-06-18","2026-05-02","Per=Y","Days=T","Dir=V")</f>
        <v>0</v>
      </c>
      <c r="AM2">
        <f>BDH("TTAM US Equity","CAPITAL_EXPEND","1993-06-18","2026-05-02","Per=Y","Days=T","Dir=V")</f>
        <v>0</v>
      </c>
      <c r="AO2">
        <f>BDH("TTAM US Equity","CF_FREE_CASH_FLOW","1993-06-18","2026-05-02","Per=Y","Days=T","Dir=V")</f>
        <v>0</v>
      </c>
      <c r="AQ2">
        <f>BDH("TTAM US Equity","PX_LAST","1993-06-18","2026-05-02","Per=M","Days=T","Dir=V")</f>
        <v>0</v>
      </c>
      <c r="AS2">
        <f>BDH("TTAM US Equity","CUR_MKT_CAP","1993-06-18","2026-05-02","Per=M","Days=T","Dir=V")</f>
        <v>0</v>
      </c>
      <c r="AU2">
        <f>BDH("TTAM US Equity","EQY_SH_OUT","1993-06-18","2026-05-02","Per=M","Days=T","Dir=V")</f>
        <v>0</v>
      </c>
      <c r="AW2">
        <f>BDH("TTAM US Equity","PX_VOLUME","1993-06-18","2026-05-02","Per=M","Days=T","Dir=V")</f>
        <v>0</v>
      </c>
      <c r="AY2">
        <f>BDH("TTAM US Equity","TURNOVER","1993-06-18","2026-05-02","Per=M","Days=T","Dir=V")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BDH("TTAN US Equity","BS_TOT_ASSET","1993-06-18","2026-05-02","Per=Y","Days=T","Dir=V")</f>
        <v>0</v>
      </c>
      <c r="C2">
        <f>BDH("TTAN US Equity","BS_TOT_LIAB2","1993-06-18","2026-05-02","Per=Y","Days=T","Dir=V")</f>
        <v>0</v>
      </c>
      <c r="E2">
        <f>BDH("TTAN US Equity","SHORT_AND_LONG_TERM_DEBT","1993-06-18","2026-05-02","Per=Y","Days=T","Dir=V")</f>
        <v>0</v>
      </c>
      <c r="G2">
        <f>BDH("TTAN US Equity","BS_ST_BORROW","1993-06-18","2026-05-02","Per=Y","Days=T","Dir=V")</f>
        <v>0</v>
      </c>
      <c r="I2">
        <f>BDH("TTAN US Equity","BS_LT_BORROW","1993-06-18","2026-05-02","Per=Y","Days=T","Dir=V")</f>
        <v>0</v>
      </c>
      <c r="K2">
        <f>BDH("TTAN US Equity","BS_CASH_NEAR_CASH_ITEM","1993-06-18","2026-05-02","Per=Y","Days=T","Dir=V")</f>
        <v>0</v>
      </c>
      <c r="M2">
        <f>BDH("TTAN US Equity","BS_CUR_ASSET_REPORT","1993-06-18","2026-05-02","Per=Y","Days=T","Dir=V")</f>
        <v>0</v>
      </c>
      <c r="O2">
        <f>BDH("TTAN US Equity","BS_CUR_LIAB","1993-06-18","2026-05-02","Per=Y","Days=T","Dir=V")</f>
        <v>0</v>
      </c>
      <c r="Q2">
        <f>BDH("TTAN US Equity","BS_SHAREHOLDER_EQY_ENDING_PERIOD","1993-06-18","2026-05-02","Per=Y","Days=T","Dir=V")</f>
        <v>0</v>
      </c>
      <c r="S2">
        <f>BDH("TTAN US Equity","BS_ACCT_NOTE_RCV","1993-06-18","2026-05-02","Per=Y","Days=T","Dir=V")</f>
        <v>0</v>
      </c>
      <c r="U2">
        <f>BDH("TTAN US Equity","BS_INVENTORIES","1993-06-18","2026-05-02","Per=Y","Days=T","Dir=V")</f>
        <v>0</v>
      </c>
      <c r="W2">
        <f>BDH("TTAN US Equity","WORKING_CAPITAL","1993-06-18","2026-05-02","Per=Y","Days=T","Dir=V")</f>
        <v>0</v>
      </c>
      <c r="Y2">
        <f>BDH("TTAN US Equity","SALES_REV_TURN","1993-06-18","2026-05-02","Per=Y","Days=T","Dir=V")</f>
        <v>0</v>
      </c>
      <c r="AA2">
        <f>BDH("TTAN US Equity","EBIT","1993-06-18","2026-05-02","Per=Y","Days=T","Dir=V")</f>
        <v>0</v>
      </c>
      <c r="AC2">
        <f>BDH("TTAN US Equity","EBITDA","1993-06-18","2026-05-02","Per=Y","Days=T","Dir=V")</f>
        <v>0</v>
      </c>
      <c r="AE2">
        <f>BDH("TTAN US Equity","NET_INCOME","1993-06-18","2026-05-02","Per=Y","Days=T","Dir=V")</f>
        <v>0</v>
      </c>
      <c r="AG2">
        <f>BDH("TTAN US Equity","IS_INT_EXPENSE","1993-06-18","2026-05-02","Per=Y","Days=T","Dir=V")</f>
        <v>0</v>
      </c>
      <c r="AI2">
        <f>BDH("TTAN US Equity","IS_DEPR_EXP","1993-06-18","2026-05-02","Per=Y","Days=T","Dir=V")</f>
        <v>0</v>
      </c>
      <c r="AK2">
        <f>BDH("TTAN US Equity","CF_CASH_FROM_OPER","1993-06-18","2026-05-02","Per=Y","Days=T","Dir=V")</f>
        <v>0</v>
      </c>
      <c r="AM2">
        <f>BDH("TTAN US Equity","CAPITAL_EXPEND","1993-06-18","2026-05-02","Per=Y","Days=T","Dir=V")</f>
        <v>0</v>
      </c>
      <c r="AO2">
        <f>BDH("TTAN US Equity","CF_FREE_CASH_FLOW","1993-06-18","2026-05-02","Per=Y","Days=T","Dir=V")</f>
        <v>0</v>
      </c>
      <c r="AQ2">
        <f>BDH("TTAN US Equity","PX_LAST","1993-06-18","2026-05-02","Per=M","Days=T","Dir=V")</f>
        <v>0</v>
      </c>
      <c r="AS2">
        <f>BDH("TTAN US Equity","CUR_MKT_CAP","1993-06-18","2026-05-02","Per=M","Days=T","Dir=V")</f>
        <v>0</v>
      </c>
      <c r="AU2">
        <f>BDH("TTAN US Equity","EQY_SH_OUT","1993-06-18","2026-05-02","Per=M","Days=T","Dir=V")</f>
        <v>0</v>
      </c>
      <c r="AW2">
        <f>BDH("TTAN US Equity","PX_VOLUME","1993-06-18","2026-05-02","Per=M","Days=T","Dir=V")</f>
        <v>0</v>
      </c>
      <c r="AY2">
        <f>BDH("TTAN US Equity","TURNOVER","1993-06-18","2026-05-02","Per=M","Days=T","Dir=V")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BDH("TTC US Equity","BS_TOT_ASSET","1993-06-18","2026-05-02","Per=Y","Days=T","Dir=V")</f>
        <v>0</v>
      </c>
      <c r="C2">
        <f>BDH("TTC US Equity","BS_TOT_LIAB2","1993-06-18","2026-05-02","Per=Y","Days=T","Dir=V")</f>
        <v>0</v>
      </c>
      <c r="E2">
        <f>BDH("TTC US Equity","SHORT_AND_LONG_TERM_DEBT","1993-06-18","2026-05-02","Per=Y","Days=T","Dir=V")</f>
        <v>0</v>
      </c>
      <c r="G2">
        <f>BDH("TTC US Equity","BS_ST_BORROW","1993-06-18","2026-05-02","Per=Y","Days=T","Dir=V")</f>
        <v>0</v>
      </c>
      <c r="I2">
        <f>BDH("TTC US Equity","BS_LT_BORROW","1993-06-18","2026-05-02","Per=Y","Days=T","Dir=V")</f>
        <v>0</v>
      </c>
      <c r="K2">
        <f>BDH("TTC US Equity","BS_CASH_NEAR_CASH_ITEM","1993-06-18","2026-05-02","Per=Y","Days=T","Dir=V")</f>
        <v>0</v>
      </c>
      <c r="M2">
        <f>BDH("TTC US Equity","BS_CUR_ASSET_REPORT","1993-06-18","2026-05-02","Per=Y","Days=T","Dir=V")</f>
        <v>0</v>
      </c>
      <c r="O2">
        <f>BDH("TTC US Equity","BS_CUR_LIAB","1993-06-18","2026-05-02","Per=Y","Days=T","Dir=V")</f>
        <v>0</v>
      </c>
      <c r="Q2">
        <f>BDH("TTC US Equity","BS_SHAREHOLDER_EQY_ENDING_PERIOD","1993-06-18","2026-05-02","Per=Y","Days=T","Dir=V")</f>
        <v>0</v>
      </c>
      <c r="S2">
        <f>BDH("TTC US Equity","BS_ACCT_NOTE_RCV","1993-06-18","2026-05-02","Per=Y","Days=T","Dir=V")</f>
        <v>0</v>
      </c>
      <c r="U2">
        <f>BDH("TTC US Equity","BS_INVENTORIES","1993-06-18","2026-05-02","Per=Y","Days=T","Dir=V")</f>
        <v>0</v>
      </c>
      <c r="W2">
        <f>BDH("TTC US Equity","WORKING_CAPITAL","1993-06-18","2026-05-02","Per=Y","Days=T","Dir=V")</f>
        <v>0</v>
      </c>
      <c r="Y2">
        <f>BDH("TTC US Equity","SALES_REV_TURN","1993-06-18","2026-05-02","Per=Y","Days=T","Dir=V")</f>
        <v>0</v>
      </c>
      <c r="AA2">
        <f>BDH("TTC US Equity","EBIT","1993-06-18","2026-05-02","Per=Y","Days=T","Dir=V")</f>
        <v>0</v>
      </c>
      <c r="AC2">
        <f>BDH("TTC US Equity","EBITDA","1993-06-18","2026-05-02","Per=Y","Days=T","Dir=V")</f>
        <v>0</v>
      </c>
      <c r="AE2">
        <f>BDH("TTC US Equity","NET_INCOME","1993-06-18","2026-05-02","Per=Y","Days=T","Dir=V")</f>
        <v>0</v>
      </c>
      <c r="AG2">
        <f>BDH("TTC US Equity","IS_INT_EXPENSE","1993-06-18","2026-05-02","Per=Y","Days=T","Dir=V")</f>
        <v>0</v>
      </c>
      <c r="AI2">
        <f>BDH("TTC US Equity","IS_DEPR_EXP","1993-06-18","2026-05-02","Per=Y","Days=T","Dir=V")</f>
        <v>0</v>
      </c>
      <c r="AK2">
        <f>BDH("TTC US Equity","CF_CASH_FROM_OPER","1993-06-18","2026-05-02","Per=Y","Days=T","Dir=V")</f>
        <v>0</v>
      </c>
      <c r="AM2">
        <f>BDH("TTC US Equity","CAPITAL_EXPEND","1993-06-18","2026-05-02","Per=Y","Days=T","Dir=V")</f>
        <v>0</v>
      </c>
      <c r="AO2">
        <f>BDH("TTC US Equity","CF_FREE_CASH_FLOW","1993-06-18","2026-05-02","Per=Y","Days=T","Dir=V")</f>
        <v>0</v>
      </c>
      <c r="AQ2">
        <f>BDH("TTC US Equity","PX_LAST","1993-06-18","2026-05-02","Per=M","Days=T","Dir=V")</f>
        <v>0</v>
      </c>
      <c r="AS2">
        <f>BDH("TTC US Equity","CUR_MKT_CAP","1993-06-18","2026-05-02","Per=M","Days=T","Dir=V")</f>
        <v>0</v>
      </c>
      <c r="AU2">
        <f>BDH("TTC US Equity","EQY_SH_OUT","1993-06-18","2026-05-02","Per=M","Days=T","Dir=V")</f>
        <v>0</v>
      </c>
      <c r="AW2">
        <f>BDH("TTC US Equity","PX_VOLUME","1993-06-18","2026-05-02","Per=M","Days=T","Dir=V")</f>
        <v>0</v>
      </c>
      <c r="AY2">
        <f>BDH("TTC US Equity","TURNOVER","1993-06-18","2026-05-02","Per=M","Days=T","Dir=V")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BDH("TTD US Equity","BS_TOT_ASSET","1993-06-18","2026-05-02","Per=Y","Days=T","Dir=V")</f>
        <v>0</v>
      </c>
      <c r="C2">
        <f>BDH("TTD US Equity","BS_TOT_LIAB2","1993-06-18","2026-05-02","Per=Y","Days=T","Dir=V")</f>
        <v>0</v>
      </c>
      <c r="E2">
        <f>BDH("TTD US Equity","SHORT_AND_LONG_TERM_DEBT","1993-06-18","2026-05-02","Per=Y","Days=T","Dir=V")</f>
        <v>0</v>
      </c>
      <c r="G2">
        <f>BDH("TTD US Equity","BS_ST_BORROW","1993-06-18","2026-05-02","Per=Y","Days=T","Dir=V")</f>
        <v>0</v>
      </c>
      <c r="I2">
        <f>BDH("TTD US Equity","BS_LT_BORROW","1993-06-18","2026-05-02","Per=Y","Days=T","Dir=V")</f>
        <v>0</v>
      </c>
      <c r="K2">
        <f>BDH("TTD US Equity","BS_CASH_NEAR_CASH_ITEM","1993-06-18","2026-05-02","Per=Y","Days=T","Dir=V")</f>
        <v>0</v>
      </c>
      <c r="M2">
        <f>BDH("TTD US Equity","BS_CUR_ASSET_REPORT","1993-06-18","2026-05-02","Per=Y","Days=T","Dir=V")</f>
        <v>0</v>
      </c>
      <c r="O2">
        <f>BDH("TTD US Equity","BS_CUR_LIAB","1993-06-18","2026-05-02","Per=Y","Days=T","Dir=V")</f>
        <v>0</v>
      </c>
      <c r="Q2">
        <f>BDH("TTD US Equity","BS_SHAREHOLDER_EQY_ENDING_PERIOD","1993-06-18","2026-05-02","Per=Y","Days=T","Dir=V")</f>
        <v>0</v>
      </c>
      <c r="S2">
        <f>BDH("TTD US Equity","BS_ACCT_NOTE_RCV","1993-06-18","2026-05-02","Per=Y","Days=T","Dir=V")</f>
        <v>0</v>
      </c>
      <c r="U2">
        <f>BDH("TTD US Equity","BS_INVENTORIES","1993-06-18","2026-05-02","Per=Y","Days=T","Dir=V")</f>
        <v>0</v>
      </c>
      <c r="W2">
        <f>BDH("TTD US Equity","WORKING_CAPITAL","1993-06-18","2026-05-02","Per=Y","Days=T","Dir=V")</f>
        <v>0</v>
      </c>
      <c r="Y2">
        <f>BDH("TTD US Equity","SALES_REV_TURN","1993-06-18","2026-05-02","Per=Y","Days=T","Dir=V")</f>
        <v>0</v>
      </c>
      <c r="AA2">
        <f>BDH("TTD US Equity","EBIT","1993-06-18","2026-05-02","Per=Y","Days=T","Dir=V")</f>
        <v>0</v>
      </c>
      <c r="AC2">
        <f>BDH("TTD US Equity","EBITDA","1993-06-18","2026-05-02","Per=Y","Days=T","Dir=V")</f>
        <v>0</v>
      </c>
      <c r="AE2">
        <f>BDH("TTD US Equity","NET_INCOME","1993-06-18","2026-05-02","Per=Y","Days=T","Dir=V")</f>
        <v>0</v>
      </c>
      <c r="AG2">
        <f>BDH("TTD US Equity","IS_INT_EXPENSE","1993-06-18","2026-05-02","Per=Y","Days=T","Dir=V")</f>
        <v>0</v>
      </c>
      <c r="AI2">
        <f>BDH("TTD US Equity","IS_DEPR_EXP","1993-06-18","2026-05-02","Per=Y","Days=T","Dir=V")</f>
        <v>0</v>
      </c>
      <c r="AK2">
        <f>BDH("TTD US Equity","CF_CASH_FROM_OPER","1993-06-18","2026-05-02","Per=Y","Days=T","Dir=V")</f>
        <v>0</v>
      </c>
      <c r="AM2">
        <f>BDH("TTD US Equity","CAPITAL_EXPEND","1993-06-18","2026-05-02","Per=Y","Days=T","Dir=V")</f>
        <v>0</v>
      </c>
      <c r="AO2">
        <f>BDH("TTD US Equity","CF_FREE_CASH_FLOW","1993-06-18","2026-05-02","Per=Y","Days=T","Dir=V")</f>
        <v>0</v>
      </c>
      <c r="AQ2">
        <f>BDH("TTD US Equity","PX_LAST","1993-06-18","2026-05-02","Per=M","Days=T","Dir=V")</f>
        <v>0</v>
      </c>
      <c r="AS2">
        <f>BDH("TTD US Equity","CUR_MKT_CAP","1993-06-18","2026-05-02","Per=M","Days=T","Dir=V")</f>
        <v>0</v>
      </c>
      <c r="AU2">
        <f>BDH("TTD US Equity","EQY_SH_OUT","1993-06-18","2026-05-02","Per=M","Days=T","Dir=V")</f>
        <v>0</v>
      </c>
      <c r="AW2">
        <f>BDH("TTD US Equity","PX_VOLUME","1993-06-18","2026-05-02","Per=M","Days=T","Dir=V")</f>
        <v>0</v>
      </c>
      <c r="AY2">
        <f>BDH("TTD US Equity","TURNOVER","1993-06-18","2026-05-02","Per=M","Days=T","Dir=V")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BDH("TTEC US Equity","BS_TOT_ASSET","1993-06-18","2026-05-02","Per=Y","Days=T","Dir=V")</f>
        <v>0</v>
      </c>
      <c r="C2">
        <f>BDH("TTEC US Equity","BS_TOT_LIAB2","1993-06-18","2026-05-02","Per=Y","Days=T","Dir=V")</f>
        <v>0</v>
      </c>
      <c r="E2">
        <f>BDH("TTEC US Equity","SHORT_AND_LONG_TERM_DEBT","1993-06-18","2026-05-02","Per=Y","Days=T","Dir=V")</f>
        <v>0</v>
      </c>
      <c r="G2">
        <f>BDH("TTEC US Equity","BS_ST_BORROW","1993-06-18","2026-05-02","Per=Y","Days=T","Dir=V")</f>
        <v>0</v>
      </c>
      <c r="I2">
        <f>BDH("TTEC US Equity","BS_LT_BORROW","1993-06-18","2026-05-02","Per=Y","Days=T","Dir=V")</f>
        <v>0</v>
      </c>
      <c r="K2">
        <f>BDH("TTEC US Equity","BS_CASH_NEAR_CASH_ITEM","1993-06-18","2026-05-02","Per=Y","Days=T","Dir=V")</f>
        <v>0</v>
      </c>
      <c r="M2">
        <f>BDH("TTEC US Equity","BS_CUR_ASSET_REPORT","1993-06-18","2026-05-02","Per=Y","Days=T","Dir=V")</f>
        <v>0</v>
      </c>
      <c r="O2">
        <f>BDH("TTEC US Equity","BS_CUR_LIAB","1993-06-18","2026-05-02","Per=Y","Days=T","Dir=V")</f>
        <v>0</v>
      </c>
      <c r="Q2">
        <f>BDH("TTEC US Equity","BS_SHAREHOLDER_EQY_ENDING_PERIOD","1993-06-18","2026-05-02","Per=Y","Days=T","Dir=V")</f>
        <v>0</v>
      </c>
      <c r="S2">
        <f>BDH("TTEC US Equity","BS_ACCT_NOTE_RCV","1993-06-18","2026-05-02","Per=Y","Days=T","Dir=V")</f>
        <v>0</v>
      </c>
      <c r="U2">
        <f>BDH("TTEC US Equity","BS_INVENTORIES","1993-06-18","2026-05-02","Per=Y","Days=T","Dir=V")</f>
        <v>0</v>
      </c>
      <c r="W2">
        <f>BDH("TTEC US Equity","WORKING_CAPITAL","1993-06-18","2026-05-02","Per=Y","Days=T","Dir=V")</f>
        <v>0</v>
      </c>
      <c r="Y2">
        <f>BDH("TTEC US Equity","SALES_REV_TURN","1993-06-18","2026-05-02","Per=Y","Days=T","Dir=V")</f>
        <v>0</v>
      </c>
      <c r="AA2">
        <f>BDH("TTEC US Equity","EBIT","1993-06-18","2026-05-02","Per=Y","Days=T","Dir=V")</f>
        <v>0</v>
      </c>
      <c r="AC2">
        <f>BDH("TTEC US Equity","EBITDA","1993-06-18","2026-05-02","Per=Y","Days=T","Dir=V")</f>
        <v>0</v>
      </c>
      <c r="AE2">
        <f>BDH("TTEC US Equity","NET_INCOME","1993-06-18","2026-05-02","Per=Y","Days=T","Dir=V")</f>
        <v>0</v>
      </c>
      <c r="AG2">
        <f>BDH("TTEC US Equity","IS_INT_EXPENSE","1993-06-18","2026-05-02","Per=Y","Days=T","Dir=V")</f>
        <v>0</v>
      </c>
      <c r="AI2">
        <f>BDH("TTEC US Equity","IS_DEPR_EXP","1993-06-18","2026-05-02","Per=Y","Days=T","Dir=V")</f>
        <v>0</v>
      </c>
      <c r="AK2">
        <f>BDH("TTEC US Equity","CF_CASH_FROM_OPER","1993-06-18","2026-05-02","Per=Y","Days=T","Dir=V")</f>
        <v>0</v>
      </c>
      <c r="AM2">
        <f>BDH("TTEC US Equity","CAPITAL_EXPEND","1993-06-18","2026-05-02","Per=Y","Days=T","Dir=V")</f>
        <v>0</v>
      </c>
      <c r="AO2">
        <f>BDH("TTEC US Equity","CF_FREE_CASH_FLOW","1993-06-18","2026-05-02","Per=Y","Days=T","Dir=V")</f>
        <v>0</v>
      </c>
      <c r="AQ2">
        <f>BDH("TTEC US Equity","PX_LAST","1993-06-18","2026-05-02","Per=M","Days=T","Dir=V")</f>
        <v>0</v>
      </c>
      <c r="AS2">
        <f>BDH("TTEC US Equity","CUR_MKT_CAP","1993-06-18","2026-05-02","Per=M","Days=T","Dir=V")</f>
        <v>0</v>
      </c>
      <c r="AU2">
        <f>BDH("TTEC US Equity","EQY_SH_OUT","1993-06-18","2026-05-02","Per=M","Days=T","Dir=V")</f>
        <v>0</v>
      </c>
      <c r="AW2">
        <f>BDH("TTEC US Equity","PX_VOLUME","1993-06-18","2026-05-02","Per=M","Days=T","Dir=V")</f>
        <v>0</v>
      </c>
      <c r="AY2">
        <f>BDH("TTEC US Equity","TURNOVER","1993-06-18","2026-05-02","Per=M","Days=T","Dir=V")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BDH("TTEK US Equity","BS_TOT_ASSET","1993-06-18","2026-05-02","Per=Y","Days=T","Dir=V")</f>
        <v>0</v>
      </c>
      <c r="C2">
        <f>BDH("TTEK US Equity","BS_TOT_LIAB2","1993-06-18","2026-05-02","Per=Y","Days=T","Dir=V")</f>
        <v>0</v>
      </c>
      <c r="E2">
        <f>BDH("TTEK US Equity","SHORT_AND_LONG_TERM_DEBT","1993-06-18","2026-05-02","Per=Y","Days=T","Dir=V")</f>
        <v>0</v>
      </c>
      <c r="G2">
        <f>BDH("TTEK US Equity","BS_ST_BORROW","1993-06-18","2026-05-02","Per=Y","Days=T","Dir=V")</f>
        <v>0</v>
      </c>
      <c r="I2">
        <f>BDH("TTEK US Equity","BS_LT_BORROW","1993-06-18","2026-05-02","Per=Y","Days=T","Dir=V")</f>
        <v>0</v>
      </c>
      <c r="K2">
        <f>BDH("TTEK US Equity","BS_CASH_NEAR_CASH_ITEM","1993-06-18","2026-05-02","Per=Y","Days=T","Dir=V")</f>
        <v>0</v>
      </c>
      <c r="M2">
        <f>BDH("TTEK US Equity","BS_CUR_ASSET_REPORT","1993-06-18","2026-05-02","Per=Y","Days=T","Dir=V")</f>
        <v>0</v>
      </c>
      <c r="O2">
        <f>BDH("TTEK US Equity","BS_CUR_LIAB","1993-06-18","2026-05-02","Per=Y","Days=T","Dir=V")</f>
        <v>0</v>
      </c>
      <c r="Q2">
        <f>BDH("TTEK US Equity","BS_SHAREHOLDER_EQY_ENDING_PERIOD","1993-06-18","2026-05-02","Per=Y","Days=T","Dir=V")</f>
        <v>0</v>
      </c>
      <c r="S2">
        <f>BDH("TTEK US Equity","BS_ACCT_NOTE_RCV","1993-06-18","2026-05-02","Per=Y","Days=T","Dir=V")</f>
        <v>0</v>
      </c>
      <c r="U2">
        <f>BDH("TTEK US Equity","BS_INVENTORIES","1993-06-18","2026-05-02","Per=Y","Days=T","Dir=V")</f>
        <v>0</v>
      </c>
      <c r="W2">
        <f>BDH("TTEK US Equity","WORKING_CAPITAL","1993-06-18","2026-05-02","Per=Y","Days=T","Dir=V")</f>
        <v>0</v>
      </c>
      <c r="Y2">
        <f>BDH("TTEK US Equity","SALES_REV_TURN","1993-06-18","2026-05-02","Per=Y","Days=T","Dir=V")</f>
        <v>0</v>
      </c>
      <c r="AA2">
        <f>BDH("TTEK US Equity","EBIT","1993-06-18","2026-05-02","Per=Y","Days=T","Dir=V")</f>
        <v>0</v>
      </c>
      <c r="AC2">
        <f>BDH("TTEK US Equity","EBITDA","1993-06-18","2026-05-02","Per=Y","Days=T","Dir=V")</f>
        <v>0</v>
      </c>
      <c r="AE2">
        <f>BDH("TTEK US Equity","NET_INCOME","1993-06-18","2026-05-02","Per=Y","Days=T","Dir=V")</f>
        <v>0</v>
      </c>
      <c r="AG2">
        <f>BDH("TTEK US Equity","IS_INT_EXPENSE","1993-06-18","2026-05-02","Per=Y","Days=T","Dir=V")</f>
        <v>0</v>
      </c>
      <c r="AI2">
        <f>BDH("TTEK US Equity","IS_DEPR_EXP","1993-06-18","2026-05-02","Per=Y","Days=T","Dir=V")</f>
        <v>0</v>
      </c>
      <c r="AK2">
        <f>BDH("TTEK US Equity","CF_CASH_FROM_OPER","1993-06-18","2026-05-02","Per=Y","Days=T","Dir=V")</f>
        <v>0</v>
      </c>
      <c r="AM2">
        <f>BDH("TTEK US Equity","CAPITAL_EXPEND","1993-06-18","2026-05-02","Per=Y","Days=T","Dir=V")</f>
        <v>0</v>
      </c>
      <c r="AO2">
        <f>BDH("TTEK US Equity","CF_FREE_CASH_FLOW","1993-06-18","2026-05-02","Per=Y","Days=T","Dir=V")</f>
        <v>0</v>
      </c>
      <c r="AQ2">
        <f>BDH("TTEK US Equity","PX_LAST","1993-06-18","2026-05-02","Per=M","Days=T","Dir=V")</f>
        <v>0</v>
      </c>
      <c r="AS2">
        <f>BDH("TTEK US Equity","CUR_MKT_CAP","1993-06-18","2026-05-02","Per=M","Days=T","Dir=V")</f>
        <v>0</v>
      </c>
      <c r="AU2">
        <f>BDH("TTEK US Equity","EQY_SH_OUT","1993-06-18","2026-05-02","Per=M","Days=T","Dir=V")</f>
        <v>0</v>
      </c>
      <c r="AW2">
        <f>BDH("TTEK US Equity","PX_VOLUME","1993-06-18","2026-05-02","Per=M","Days=T","Dir=V")</f>
        <v>0</v>
      </c>
      <c r="AY2">
        <f>BDH("TTEK US Equity","TURNOVER","1993-06-18","2026-05-02","Per=M","Days=T","Dir=V")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BDH("TTGT US Equity","BS_TOT_ASSET","1993-06-18","2026-05-02","Per=Y","Days=T","Dir=V")</f>
        <v>0</v>
      </c>
      <c r="C2">
        <f>BDH("TTGT US Equity","BS_TOT_LIAB2","1993-06-18","2026-05-02","Per=Y","Days=T","Dir=V")</f>
        <v>0</v>
      </c>
      <c r="E2">
        <f>BDH("TTGT US Equity","SHORT_AND_LONG_TERM_DEBT","1993-06-18","2026-05-02","Per=Y","Days=T","Dir=V")</f>
        <v>0</v>
      </c>
      <c r="G2">
        <f>BDH("TTGT US Equity","BS_ST_BORROW","1993-06-18","2026-05-02","Per=Y","Days=T","Dir=V")</f>
        <v>0</v>
      </c>
      <c r="I2">
        <f>BDH("TTGT US Equity","BS_LT_BORROW","1993-06-18","2026-05-02","Per=Y","Days=T","Dir=V")</f>
        <v>0</v>
      </c>
      <c r="K2">
        <f>BDH("TTGT US Equity","BS_CASH_NEAR_CASH_ITEM","1993-06-18","2026-05-02","Per=Y","Days=T","Dir=V")</f>
        <v>0</v>
      </c>
      <c r="M2">
        <f>BDH("TTGT US Equity","BS_CUR_ASSET_REPORT","1993-06-18","2026-05-02","Per=Y","Days=T","Dir=V")</f>
        <v>0</v>
      </c>
      <c r="O2">
        <f>BDH("TTGT US Equity","BS_CUR_LIAB","1993-06-18","2026-05-02","Per=Y","Days=T","Dir=V")</f>
        <v>0</v>
      </c>
      <c r="Q2">
        <f>BDH("TTGT US Equity","BS_SHAREHOLDER_EQY_ENDING_PERIOD","1993-06-18","2026-05-02","Per=Y","Days=T","Dir=V")</f>
        <v>0</v>
      </c>
      <c r="S2">
        <f>BDH("TTGT US Equity","BS_ACCT_NOTE_RCV","1993-06-18","2026-05-02","Per=Y","Days=T","Dir=V")</f>
        <v>0</v>
      </c>
      <c r="U2">
        <f>BDH("TTGT US Equity","BS_INVENTORIES","1993-06-18","2026-05-02","Per=Y","Days=T","Dir=V")</f>
        <v>0</v>
      </c>
      <c r="W2">
        <f>BDH("TTGT US Equity","WORKING_CAPITAL","1993-06-18","2026-05-02","Per=Y","Days=T","Dir=V")</f>
        <v>0</v>
      </c>
      <c r="Y2">
        <f>BDH("TTGT US Equity","SALES_REV_TURN","1993-06-18","2026-05-02","Per=Y","Days=T","Dir=V")</f>
        <v>0</v>
      </c>
      <c r="AA2">
        <f>BDH("TTGT US Equity","EBIT","1993-06-18","2026-05-02","Per=Y","Days=T","Dir=V")</f>
        <v>0</v>
      </c>
      <c r="AC2">
        <f>BDH("TTGT US Equity","EBITDA","1993-06-18","2026-05-02","Per=Y","Days=T","Dir=V")</f>
        <v>0</v>
      </c>
      <c r="AE2">
        <f>BDH("TTGT US Equity","NET_INCOME","1993-06-18","2026-05-02","Per=Y","Days=T","Dir=V")</f>
        <v>0</v>
      </c>
      <c r="AG2">
        <f>BDH("TTGT US Equity","IS_INT_EXPENSE","1993-06-18","2026-05-02","Per=Y","Days=T","Dir=V")</f>
        <v>0</v>
      </c>
      <c r="AI2">
        <f>BDH("TTGT US Equity","IS_DEPR_EXP","1993-06-18","2026-05-02","Per=Y","Days=T","Dir=V")</f>
        <v>0</v>
      </c>
      <c r="AK2">
        <f>BDH("TTGT US Equity","CF_CASH_FROM_OPER","1993-06-18","2026-05-02","Per=Y","Days=T","Dir=V")</f>
        <v>0</v>
      </c>
      <c r="AM2">
        <f>BDH("TTGT US Equity","CAPITAL_EXPEND","1993-06-18","2026-05-02","Per=Y","Days=T","Dir=V")</f>
        <v>0</v>
      </c>
      <c r="AO2">
        <f>BDH("TTGT US Equity","CF_FREE_CASH_FLOW","1993-06-18","2026-05-02","Per=Y","Days=T","Dir=V")</f>
        <v>0</v>
      </c>
      <c r="AQ2">
        <f>BDH("TTGT US Equity","PX_LAST","1993-06-18","2026-05-02","Per=M","Days=T","Dir=V")</f>
        <v>0</v>
      </c>
      <c r="AS2">
        <f>BDH("TTGT US Equity","CUR_MKT_CAP","1993-06-18","2026-05-02","Per=M","Days=T","Dir=V")</f>
        <v>0</v>
      </c>
      <c r="AU2">
        <f>BDH("TTGT US Equity","EQY_SH_OUT","1993-06-18","2026-05-02","Per=M","Days=T","Dir=V")</f>
        <v>0</v>
      </c>
      <c r="AW2">
        <f>BDH("TTGT US Equity","PX_VOLUME","1993-06-18","2026-05-02","Per=M","Days=T","Dir=V")</f>
        <v>0</v>
      </c>
      <c r="AY2">
        <f>BDH("TTGT US Equity","TURNOVER","1993-06-18","2026-05-02","Per=M","Days=T","Dir=V")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BDH("TTI US Equity","BS_TOT_ASSET","1993-06-18","2026-05-02","Per=Y","Days=T","Dir=V")</f>
        <v>0</v>
      </c>
      <c r="C2">
        <f>BDH("TTI US Equity","BS_TOT_LIAB2","1993-06-18","2026-05-02","Per=Y","Days=T","Dir=V")</f>
        <v>0</v>
      </c>
      <c r="E2">
        <f>BDH("TTI US Equity","SHORT_AND_LONG_TERM_DEBT","1993-06-18","2026-05-02","Per=Y","Days=T","Dir=V")</f>
        <v>0</v>
      </c>
      <c r="G2">
        <f>BDH("TTI US Equity","BS_ST_BORROW","1993-06-18","2026-05-02","Per=Y","Days=T","Dir=V")</f>
        <v>0</v>
      </c>
      <c r="I2">
        <f>BDH("TTI US Equity","BS_LT_BORROW","1993-06-18","2026-05-02","Per=Y","Days=T","Dir=V")</f>
        <v>0</v>
      </c>
      <c r="K2">
        <f>BDH("TTI US Equity","BS_CASH_NEAR_CASH_ITEM","1993-06-18","2026-05-02","Per=Y","Days=T","Dir=V")</f>
        <v>0</v>
      </c>
      <c r="M2">
        <f>BDH("TTI US Equity","BS_CUR_ASSET_REPORT","1993-06-18","2026-05-02","Per=Y","Days=T","Dir=V")</f>
        <v>0</v>
      </c>
      <c r="O2">
        <f>BDH("TTI US Equity","BS_CUR_LIAB","1993-06-18","2026-05-02","Per=Y","Days=T","Dir=V")</f>
        <v>0</v>
      </c>
      <c r="Q2">
        <f>BDH("TTI US Equity","BS_SHAREHOLDER_EQY_ENDING_PERIOD","1993-06-18","2026-05-02","Per=Y","Days=T","Dir=V")</f>
        <v>0</v>
      </c>
      <c r="S2">
        <f>BDH("TTI US Equity","BS_ACCT_NOTE_RCV","1993-06-18","2026-05-02","Per=Y","Days=T","Dir=V")</f>
        <v>0</v>
      </c>
      <c r="U2">
        <f>BDH("TTI US Equity","BS_INVENTORIES","1993-06-18","2026-05-02","Per=Y","Days=T","Dir=V")</f>
        <v>0</v>
      </c>
      <c r="W2">
        <f>BDH("TTI US Equity","WORKING_CAPITAL","1993-06-18","2026-05-02","Per=Y","Days=T","Dir=V")</f>
        <v>0</v>
      </c>
      <c r="Y2">
        <f>BDH("TTI US Equity","SALES_REV_TURN","1993-06-18","2026-05-02","Per=Y","Days=T","Dir=V")</f>
        <v>0</v>
      </c>
      <c r="AA2">
        <f>BDH("TTI US Equity","EBIT","1993-06-18","2026-05-02","Per=Y","Days=T","Dir=V")</f>
        <v>0</v>
      </c>
      <c r="AC2">
        <f>BDH("TTI US Equity","EBITDA","1993-06-18","2026-05-02","Per=Y","Days=T","Dir=V")</f>
        <v>0</v>
      </c>
      <c r="AE2">
        <f>BDH("TTI US Equity","NET_INCOME","1993-06-18","2026-05-02","Per=Y","Days=T","Dir=V")</f>
        <v>0</v>
      </c>
      <c r="AG2">
        <f>BDH("TTI US Equity","IS_INT_EXPENSE","1993-06-18","2026-05-02","Per=Y","Days=T","Dir=V")</f>
        <v>0</v>
      </c>
      <c r="AI2">
        <f>BDH("TTI US Equity","IS_DEPR_EXP","1993-06-18","2026-05-02","Per=Y","Days=T","Dir=V")</f>
        <v>0</v>
      </c>
      <c r="AK2">
        <f>BDH("TTI US Equity","CF_CASH_FROM_OPER","1993-06-18","2026-05-02","Per=Y","Days=T","Dir=V")</f>
        <v>0</v>
      </c>
      <c r="AM2">
        <f>BDH("TTI US Equity","CAPITAL_EXPEND","1993-06-18","2026-05-02","Per=Y","Days=T","Dir=V")</f>
        <v>0</v>
      </c>
      <c r="AO2">
        <f>BDH("TTI US Equity","CF_FREE_CASH_FLOW","1993-06-18","2026-05-02","Per=Y","Days=T","Dir=V")</f>
        <v>0</v>
      </c>
      <c r="AQ2">
        <f>BDH("TTI US Equity","PX_LAST","1993-06-18","2026-05-02","Per=M","Days=T","Dir=V")</f>
        <v>0</v>
      </c>
      <c r="AS2">
        <f>BDH("TTI US Equity","CUR_MKT_CAP","1993-06-18","2026-05-02","Per=M","Days=T","Dir=V")</f>
        <v>0</v>
      </c>
      <c r="AU2">
        <f>BDH("TTI US Equity","EQY_SH_OUT","1993-06-18","2026-05-02","Per=M","Days=T","Dir=V")</f>
        <v>0</v>
      </c>
      <c r="AW2">
        <f>BDH("TTI US Equity","PX_VOLUME","1993-06-18","2026-05-02","Per=M","Days=T","Dir=V")</f>
        <v>0</v>
      </c>
      <c r="AY2">
        <f>BDH("TTI US Equity","TURNOVER","1993-06-18","2026-05-02","Per=M","Days=T","Dir=V")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BDH("TTMI US Equity","BS_TOT_ASSET","1993-06-18","2026-05-02","Per=Y","Days=T","Dir=V")</f>
        <v>0</v>
      </c>
      <c r="C2">
        <f>BDH("TTMI US Equity","BS_TOT_LIAB2","1993-06-18","2026-05-02","Per=Y","Days=T","Dir=V")</f>
        <v>0</v>
      </c>
      <c r="E2">
        <f>BDH("TTMI US Equity","SHORT_AND_LONG_TERM_DEBT","1993-06-18","2026-05-02","Per=Y","Days=T","Dir=V")</f>
        <v>0</v>
      </c>
      <c r="G2">
        <f>BDH("TTMI US Equity","BS_ST_BORROW","1993-06-18","2026-05-02","Per=Y","Days=T","Dir=V")</f>
        <v>0</v>
      </c>
      <c r="I2">
        <f>BDH("TTMI US Equity","BS_LT_BORROW","1993-06-18","2026-05-02","Per=Y","Days=T","Dir=V")</f>
        <v>0</v>
      </c>
      <c r="K2">
        <f>BDH("TTMI US Equity","BS_CASH_NEAR_CASH_ITEM","1993-06-18","2026-05-02","Per=Y","Days=T","Dir=V")</f>
        <v>0</v>
      </c>
      <c r="M2">
        <f>BDH("TTMI US Equity","BS_CUR_ASSET_REPORT","1993-06-18","2026-05-02","Per=Y","Days=T","Dir=V")</f>
        <v>0</v>
      </c>
      <c r="O2">
        <f>BDH("TTMI US Equity","BS_CUR_LIAB","1993-06-18","2026-05-02","Per=Y","Days=T","Dir=V")</f>
        <v>0</v>
      </c>
      <c r="Q2">
        <f>BDH("TTMI US Equity","BS_SHAREHOLDER_EQY_ENDING_PERIOD","1993-06-18","2026-05-02","Per=Y","Days=T","Dir=V")</f>
        <v>0</v>
      </c>
      <c r="S2">
        <f>BDH("TTMI US Equity","BS_ACCT_NOTE_RCV","1993-06-18","2026-05-02","Per=Y","Days=T","Dir=V")</f>
        <v>0</v>
      </c>
      <c r="U2">
        <f>BDH("TTMI US Equity","BS_INVENTORIES","1993-06-18","2026-05-02","Per=Y","Days=T","Dir=V")</f>
        <v>0</v>
      </c>
      <c r="W2">
        <f>BDH("TTMI US Equity","WORKING_CAPITAL","1993-06-18","2026-05-02","Per=Y","Days=T","Dir=V")</f>
        <v>0</v>
      </c>
      <c r="Y2">
        <f>BDH("TTMI US Equity","SALES_REV_TURN","1993-06-18","2026-05-02","Per=Y","Days=T","Dir=V")</f>
        <v>0</v>
      </c>
      <c r="AA2">
        <f>BDH("TTMI US Equity","EBIT","1993-06-18","2026-05-02","Per=Y","Days=T","Dir=V")</f>
        <v>0</v>
      </c>
      <c r="AC2">
        <f>BDH("TTMI US Equity","EBITDA","1993-06-18","2026-05-02","Per=Y","Days=T","Dir=V")</f>
        <v>0</v>
      </c>
      <c r="AE2">
        <f>BDH("TTMI US Equity","NET_INCOME","1993-06-18","2026-05-02","Per=Y","Days=T","Dir=V")</f>
        <v>0</v>
      </c>
      <c r="AG2">
        <f>BDH("TTMI US Equity","IS_INT_EXPENSE","1993-06-18","2026-05-02","Per=Y","Days=T","Dir=V")</f>
        <v>0</v>
      </c>
      <c r="AI2">
        <f>BDH("TTMI US Equity","IS_DEPR_EXP","1993-06-18","2026-05-02","Per=Y","Days=T","Dir=V")</f>
        <v>0</v>
      </c>
      <c r="AK2">
        <f>BDH("TTMI US Equity","CF_CASH_FROM_OPER","1993-06-18","2026-05-02","Per=Y","Days=T","Dir=V")</f>
        <v>0</v>
      </c>
      <c r="AM2">
        <f>BDH("TTMI US Equity","CAPITAL_EXPEND","1993-06-18","2026-05-02","Per=Y","Days=T","Dir=V")</f>
        <v>0</v>
      </c>
      <c r="AO2">
        <f>BDH("TTMI US Equity","CF_FREE_CASH_FLOW","1993-06-18","2026-05-02","Per=Y","Days=T","Dir=V")</f>
        <v>0</v>
      </c>
      <c r="AQ2">
        <f>BDH("TTMI US Equity","PX_LAST","1993-06-18","2026-05-02","Per=M","Days=T","Dir=V")</f>
        <v>0</v>
      </c>
      <c r="AS2">
        <f>BDH("TTMI US Equity","CUR_MKT_CAP","1993-06-18","2026-05-02","Per=M","Days=T","Dir=V")</f>
        <v>0</v>
      </c>
      <c r="AU2">
        <f>BDH("TTMI US Equity","EQY_SH_OUT","1993-06-18","2026-05-02","Per=M","Days=T","Dir=V")</f>
        <v>0</v>
      </c>
      <c r="AW2">
        <f>BDH("TTMI US Equity","PX_VOLUME","1993-06-18","2026-05-02","Per=M","Days=T","Dir=V")</f>
        <v>0</v>
      </c>
      <c r="AY2">
        <f>BDH("TTMI US Equity","TURNOVER","1993-06-18","2026-05-02","Per=M","Days=T","Dir=V")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BDH("TTRX US Equity","BS_TOT_ASSET","1993-06-18","2026-05-02","Per=Y","Days=T","Dir=V")</f>
        <v>0</v>
      </c>
      <c r="C2">
        <f>BDH("TTRX US Equity","BS_TOT_LIAB2","1993-06-18","2026-05-02","Per=Y","Days=T","Dir=V")</f>
        <v>0</v>
      </c>
      <c r="E2">
        <f>BDH("TTRX US Equity","SHORT_AND_LONG_TERM_DEBT","1993-06-18","2026-05-02","Per=Y","Days=T","Dir=V")</f>
        <v>0</v>
      </c>
      <c r="G2">
        <f>BDH("TTRX US Equity","BS_ST_BORROW","1993-06-18","2026-05-02","Per=Y","Days=T","Dir=V")</f>
        <v>0</v>
      </c>
      <c r="I2">
        <f>BDH("TTRX US Equity","BS_LT_BORROW","1993-06-18","2026-05-02","Per=Y","Days=T","Dir=V")</f>
        <v>0</v>
      </c>
      <c r="K2">
        <f>BDH("TTRX US Equity","BS_CASH_NEAR_CASH_ITEM","1993-06-18","2026-05-02","Per=Y","Days=T","Dir=V")</f>
        <v>0</v>
      </c>
      <c r="M2">
        <f>BDH("TTRX US Equity","BS_CUR_ASSET_REPORT","1993-06-18","2026-05-02","Per=Y","Days=T","Dir=V")</f>
        <v>0</v>
      </c>
      <c r="O2">
        <f>BDH("TTRX US Equity","BS_CUR_LIAB","1993-06-18","2026-05-02","Per=Y","Days=T","Dir=V")</f>
        <v>0</v>
      </c>
      <c r="Q2">
        <f>BDH("TTRX US Equity","BS_SHAREHOLDER_EQY_ENDING_PERIOD","1993-06-18","2026-05-02","Per=Y","Days=T","Dir=V")</f>
        <v>0</v>
      </c>
      <c r="S2">
        <f>BDH("TTRX US Equity","BS_ACCT_NOTE_RCV","1993-06-18","2026-05-02","Per=Y","Days=T","Dir=V")</f>
        <v>0</v>
      </c>
      <c r="U2">
        <f>BDH("TTRX US Equity","BS_INVENTORIES","1993-06-18","2026-05-02","Per=Y","Days=T","Dir=V")</f>
        <v>0</v>
      </c>
      <c r="W2">
        <f>BDH("TTRX US Equity","WORKING_CAPITAL","1993-06-18","2026-05-02","Per=Y","Days=T","Dir=V")</f>
        <v>0</v>
      </c>
      <c r="Y2">
        <f>BDH("TTRX US Equity","SALES_REV_TURN","1993-06-18","2026-05-02","Per=Y","Days=T","Dir=V")</f>
        <v>0</v>
      </c>
      <c r="AA2">
        <f>BDH("TTRX US Equity","EBIT","1993-06-18","2026-05-02","Per=Y","Days=T","Dir=V")</f>
        <v>0</v>
      </c>
      <c r="AC2">
        <f>BDH("TTRX US Equity","EBITDA","1993-06-18","2026-05-02","Per=Y","Days=T","Dir=V")</f>
        <v>0</v>
      </c>
      <c r="AE2">
        <f>BDH("TTRX US Equity","NET_INCOME","1993-06-18","2026-05-02","Per=Y","Days=T","Dir=V")</f>
        <v>0</v>
      </c>
      <c r="AG2">
        <f>BDH("TTRX US Equity","IS_INT_EXPENSE","1993-06-18","2026-05-02","Per=Y","Days=T","Dir=V")</f>
        <v>0</v>
      </c>
      <c r="AI2">
        <f>BDH("TTRX US Equity","IS_DEPR_EXP","1993-06-18","2026-05-02","Per=Y","Days=T","Dir=V")</f>
        <v>0</v>
      </c>
      <c r="AK2">
        <f>BDH("TTRX US Equity","CF_CASH_FROM_OPER","1993-06-18","2026-05-02","Per=Y","Days=T","Dir=V")</f>
        <v>0</v>
      </c>
      <c r="AM2">
        <f>BDH("TTRX US Equity","CAPITAL_EXPEND","1993-06-18","2026-05-02","Per=Y","Days=T","Dir=V")</f>
        <v>0</v>
      </c>
      <c r="AO2">
        <f>BDH("TTRX US Equity","CF_FREE_CASH_FLOW","1993-06-18","2026-05-02","Per=Y","Days=T","Dir=V")</f>
        <v>0</v>
      </c>
      <c r="AQ2">
        <f>BDH("TTRX US Equity","PX_LAST","1993-06-18","2026-05-02","Per=M","Days=T","Dir=V")</f>
        <v>0</v>
      </c>
      <c r="AS2">
        <f>BDH("TTRX US Equity","CUR_MKT_CAP","1993-06-18","2026-05-02","Per=M","Days=T","Dir=V")</f>
        <v>0</v>
      </c>
      <c r="AU2">
        <f>BDH("TTRX US Equity","EQY_SH_OUT","1993-06-18","2026-05-02","Per=M","Days=T","Dir=V")</f>
        <v>0</v>
      </c>
      <c r="AW2">
        <f>BDH("TTRX US Equity","PX_VOLUME","1993-06-18","2026-05-02","Per=M","Days=T","Dir=V")</f>
        <v>0</v>
      </c>
      <c r="AY2">
        <f>BDH("TTRX US Equity","TURNOVER","1993-06-18","2026-05-02","Per=M","Days=T","Dir=V")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BDH("TTWO US Equity","BS_TOT_ASSET","1993-06-18","2026-05-02","Per=Y","Days=T","Dir=V")</f>
        <v>0</v>
      </c>
      <c r="C2">
        <f>BDH("TTWO US Equity","BS_TOT_LIAB2","1993-06-18","2026-05-02","Per=Y","Days=T","Dir=V")</f>
        <v>0</v>
      </c>
      <c r="E2">
        <f>BDH("TTWO US Equity","SHORT_AND_LONG_TERM_DEBT","1993-06-18","2026-05-02","Per=Y","Days=T","Dir=V")</f>
        <v>0</v>
      </c>
      <c r="G2">
        <f>BDH("TTWO US Equity","BS_ST_BORROW","1993-06-18","2026-05-02","Per=Y","Days=T","Dir=V")</f>
        <v>0</v>
      </c>
      <c r="I2">
        <f>BDH("TTWO US Equity","BS_LT_BORROW","1993-06-18","2026-05-02","Per=Y","Days=T","Dir=V")</f>
        <v>0</v>
      </c>
      <c r="K2">
        <f>BDH("TTWO US Equity","BS_CASH_NEAR_CASH_ITEM","1993-06-18","2026-05-02","Per=Y","Days=T","Dir=V")</f>
        <v>0</v>
      </c>
      <c r="M2">
        <f>BDH("TTWO US Equity","BS_CUR_ASSET_REPORT","1993-06-18","2026-05-02","Per=Y","Days=T","Dir=V")</f>
        <v>0</v>
      </c>
      <c r="O2">
        <f>BDH("TTWO US Equity","BS_CUR_LIAB","1993-06-18","2026-05-02","Per=Y","Days=T","Dir=V")</f>
        <v>0</v>
      </c>
      <c r="Q2">
        <f>BDH("TTWO US Equity","BS_SHAREHOLDER_EQY_ENDING_PERIOD","1993-06-18","2026-05-02","Per=Y","Days=T","Dir=V")</f>
        <v>0</v>
      </c>
      <c r="S2">
        <f>BDH("TTWO US Equity","BS_ACCT_NOTE_RCV","1993-06-18","2026-05-02","Per=Y","Days=T","Dir=V")</f>
        <v>0</v>
      </c>
      <c r="U2">
        <f>BDH("TTWO US Equity","BS_INVENTORIES","1993-06-18","2026-05-02","Per=Y","Days=T","Dir=V")</f>
        <v>0</v>
      </c>
      <c r="W2">
        <f>BDH("TTWO US Equity","WORKING_CAPITAL","1993-06-18","2026-05-02","Per=Y","Days=T","Dir=V")</f>
        <v>0</v>
      </c>
      <c r="Y2">
        <f>BDH("TTWO US Equity","SALES_REV_TURN","1993-06-18","2026-05-02","Per=Y","Days=T","Dir=V")</f>
        <v>0</v>
      </c>
      <c r="AA2">
        <f>BDH("TTWO US Equity","EBIT","1993-06-18","2026-05-02","Per=Y","Days=T","Dir=V")</f>
        <v>0</v>
      </c>
      <c r="AC2">
        <f>BDH("TTWO US Equity","EBITDA","1993-06-18","2026-05-02","Per=Y","Days=T","Dir=V")</f>
        <v>0</v>
      </c>
      <c r="AE2">
        <f>BDH("TTWO US Equity","NET_INCOME","1993-06-18","2026-05-02","Per=Y","Days=T","Dir=V")</f>
        <v>0</v>
      </c>
      <c r="AG2">
        <f>BDH("TTWO US Equity","IS_INT_EXPENSE","1993-06-18","2026-05-02","Per=Y","Days=T","Dir=V")</f>
        <v>0</v>
      </c>
      <c r="AI2">
        <f>BDH("TTWO US Equity","IS_DEPR_EXP","1993-06-18","2026-05-02","Per=Y","Days=T","Dir=V")</f>
        <v>0</v>
      </c>
      <c r="AK2">
        <f>BDH("TTWO US Equity","CF_CASH_FROM_OPER","1993-06-18","2026-05-02","Per=Y","Days=T","Dir=V")</f>
        <v>0</v>
      </c>
      <c r="AM2">
        <f>BDH("TTWO US Equity","CAPITAL_EXPEND","1993-06-18","2026-05-02","Per=Y","Days=T","Dir=V")</f>
        <v>0</v>
      </c>
      <c r="AO2">
        <f>BDH("TTWO US Equity","CF_FREE_CASH_FLOW","1993-06-18","2026-05-02","Per=Y","Days=T","Dir=V")</f>
        <v>0</v>
      </c>
      <c r="AQ2">
        <f>BDH("TTWO US Equity","PX_LAST","1993-06-18","2026-05-02","Per=M","Days=T","Dir=V")</f>
        <v>0</v>
      </c>
      <c r="AS2">
        <f>BDH("TTWO US Equity","CUR_MKT_CAP","1993-06-18","2026-05-02","Per=M","Days=T","Dir=V")</f>
        <v>0</v>
      </c>
      <c r="AU2">
        <f>BDH("TTWO US Equity","EQY_SH_OUT","1993-06-18","2026-05-02","Per=M","Days=T","Dir=V")</f>
        <v>0</v>
      </c>
      <c r="AW2">
        <f>BDH("TTWO US Equity","PX_VOLUME","1993-06-18","2026-05-02","Per=M","Days=T","Dir=V")</f>
        <v>0</v>
      </c>
      <c r="AY2">
        <f>BDH("TTWO US Equity","TURNOVER","1993-06-18","2026-05-02","Per=M","Days=T","Dir=V")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BDH("TULP US Equity","BS_TOT_ASSET","1993-06-18","2026-05-02","Per=Y","Days=T","Dir=V")</f>
        <v>0</v>
      </c>
      <c r="C2">
        <f>BDH("TULP US Equity","BS_TOT_LIAB2","1993-06-18","2026-05-02","Per=Y","Days=T","Dir=V")</f>
        <v>0</v>
      </c>
      <c r="E2">
        <f>BDH("TULP US Equity","SHORT_AND_LONG_TERM_DEBT","1993-06-18","2026-05-02","Per=Y","Days=T","Dir=V")</f>
        <v>0</v>
      </c>
      <c r="G2">
        <f>BDH("TULP US Equity","BS_ST_BORROW","1993-06-18","2026-05-02","Per=Y","Days=T","Dir=V")</f>
        <v>0</v>
      </c>
      <c r="I2">
        <f>BDH("TULP US Equity","BS_LT_BORROW","1993-06-18","2026-05-02","Per=Y","Days=T","Dir=V")</f>
        <v>0</v>
      </c>
      <c r="K2">
        <f>BDH("TULP US Equity","BS_CASH_NEAR_CASH_ITEM","1993-06-18","2026-05-02","Per=Y","Days=T","Dir=V")</f>
        <v>0</v>
      </c>
      <c r="M2">
        <f>BDH("TULP US Equity","BS_CUR_ASSET_REPORT","1993-06-18","2026-05-02","Per=Y","Days=T","Dir=V")</f>
        <v>0</v>
      </c>
      <c r="O2">
        <f>BDH("TULP US Equity","BS_CUR_LIAB","1993-06-18","2026-05-02","Per=Y","Days=T","Dir=V")</f>
        <v>0</v>
      </c>
      <c r="Q2">
        <f>BDH("TULP US Equity","BS_SHAREHOLDER_EQY_ENDING_PERIOD","1993-06-18","2026-05-02","Per=Y","Days=T","Dir=V")</f>
        <v>0</v>
      </c>
      <c r="S2">
        <f>BDH("TULP US Equity","BS_ACCT_NOTE_RCV","1993-06-18","2026-05-02","Per=Y","Days=T","Dir=V")</f>
        <v>0</v>
      </c>
      <c r="U2">
        <f>BDH("TULP US Equity","BS_INVENTORIES","1993-06-18","2026-05-02","Per=Y","Days=T","Dir=V")</f>
        <v>0</v>
      </c>
      <c r="W2">
        <f>BDH("TULP US Equity","WORKING_CAPITAL","1993-06-18","2026-05-02","Per=Y","Days=T","Dir=V")</f>
        <v>0</v>
      </c>
      <c r="Y2">
        <f>BDH("TULP US Equity","SALES_REV_TURN","1993-06-18","2026-05-02","Per=Y","Days=T","Dir=V")</f>
        <v>0</v>
      </c>
      <c r="AA2">
        <f>BDH("TULP US Equity","EBIT","1993-06-18","2026-05-02","Per=Y","Days=T","Dir=V")</f>
        <v>0</v>
      </c>
      <c r="AC2">
        <f>BDH("TULP US Equity","EBITDA","1993-06-18","2026-05-02","Per=Y","Days=T","Dir=V")</f>
        <v>0</v>
      </c>
      <c r="AE2">
        <f>BDH("TULP US Equity","NET_INCOME","1993-06-18","2026-05-02","Per=Y","Days=T","Dir=V")</f>
        <v>0</v>
      </c>
      <c r="AG2">
        <f>BDH("TULP US Equity","IS_INT_EXPENSE","1993-06-18","2026-05-02","Per=Y","Days=T","Dir=V")</f>
        <v>0</v>
      </c>
      <c r="AI2">
        <f>BDH("TULP US Equity","IS_DEPR_EXP","1993-06-18","2026-05-02","Per=Y","Days=T","Dir=V")</f>
        <v>0</v>
      </c>
      <c r="AK2">
        <f>BDH("TULP US Equity","CF_CASH_FROM_OPER","1993-06-18","2026-05-02","Per=Y","Days=T","Dir=V")</f>
        <v>0</v>
      </c>
      <c r="AM2">
        <f>BDH("TULP US Equity","CAPITAL_EXPEND","1993-06-18","2026-05-02","Per=Y","Days=T","Dir=V")</f>
        <v>0</v>
      </c>
      <c r="AO2">
        <f>BDH("TULP US Equity","CF_FREE_CASH_FLOW","1993-06-18","2026-05-02","Per=Y","Days=T","Dir=V")</f>
        <v>0</v>
      </c>
      <c r="AQ2">
        <f>BDH("TULP US Equity","PX_LAST","1993-06-18","2026-05-02","Per=M","Days=T","Dir=V")</f>
        <v>0</v>
      </c>
      <c r="AS2">
        <f>BDH("TULP US Equity","CUR_MKT_CAP","1993-06-18","2026-05-02","Per=M","Days=T","Dir=V")</f>
        <v>0</v>
      </c>
      <c r="AU2">
        <f>BDH("TULP US Equity","EQY_SH_OUT","1993-06-18","2026-05-02","Per=M","Days=T","Dir=V")</f>
        <v>0</v>
      </c>
      <c r="AW2">
        <f>BDH("TULP US Equity","PX_VOLUME","1993-06-18","2026-05-02","Per=M","Days=T","Dir=V")</f>
        <v>0</v>
      </c>
      <c r="AY2">
        <f>BDH("TULP US Equity","TURNOVER","1993-06-18","2026-05-02","Per=M","Days=T","Dir=V")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BDH("TUSK US Equity","BS_TOT_ASSET","1993-06-18","2026-05-02","Per=Y","Days=T","Dir=V")</f>
        <v>0</v>
      </c>
      <c r="C2">
        <f>BDH("TUSK US Equity","BS_TOT_LIAB2","1993-06-18","2026-05-02","Per=Y","Days=T","Dir=V")</f>
        <v>0</v>
      </c>
      <c r="E2">
        <f>BDH("TUSK US Equity","SHORT_AND_LONG_TERM_DEBT","1993-06-18","2026-05-02","Per=Y","Days=T","Dir=V")</f>
        <v>0</v>
      </c>
      <c r="G2">
        <f>BDH("TUSK US Equity","BS_ST_BORROW","1993-06-18","2026-05-02","Per=Y","Days=T","Dir=V")</f>
        <v>0</v>
      </c>
      <c r="I2">
        <f>BDH("TUSK US Equity","BS_LT_BORROW","1993-06-18","2026-05-02","Per=Y","Days=T","Dir=V")</f>
        <v>0</v>
      </c>
      <c r="K2">
        <f>BDH("TUSK US Equity","BS_CASH_NEAR_CASH_ITEM","1993-06-18","2026-05-02","Per=Y","Days=T","Dir=V")</f>
        <v>0</v>
      </c>
      <c r="M2">
        <f>BDH("TUSK US Equity","BS_CUR_ASSET_REPORT","1993-06-18","2026-05-02","Per=Y","Days=T","Dir=V")</f>
        <v>0</v>
      </c>
      <c r="O2">
        <f>BDH("TUSK US Equity","BS_CUR_LIAB","1993-06-18","2026-05-02","Per=Y","Days=T","Dir=V")</f>
        <v>0</v>
      </c>
      <c r="Q2">
        <f>BDH("TUSK US Equity","BS_SHAREHOLDER_EQY_ENDING_PERIOD","1993-06-18","2026-05-02","Per=Y","Days=T","Dir=V")</f>
        <v>0</v>
      </c>
      <c r="S2">
        <f>BDH("TUSK US Equity","BS_ACCT_NOTE_RCV","1993-06-18","2026-05-02","Per=Y","Days=T","Dir=V")</f>
        <v>0</v>
      </c>
      <c r="U2">
        <f>BDH("TUSK US Equity","BS_INVENTORIES","1993-06-18","2026-05-02","Per=Y","Days=T","Dir=V")</f>
        <v>0</v>
      </c>
      <c r="W2">
        <f>BDH("TUSK US Equity","WORKING_CAPITAL","1993-06-18","2026-05-02","Per=Y","Days=T","Dir=V")</f>
        <v>0</v>
      </c>
      <c r="Y2">
        <f>BDH("TUSK US Equity","SALES_REV_TURN","1993-06-18","2026-05-02","Per=Y","Days=T","Dir=V")</f>
        <v>0</v>
      </c>
      <c r="AA2">
        <f>BDH("TUSK US Equity","EBIT","1993-06-18","2026-05-02","Per=Y","Days=T","Dir=V")</f>
        <v>0</v>
      </c>
      <c r="AC2">
        <f>BDH("TUSK US Equity","EBITDA","1993-06-18","2026-05-02","Per=Y","Days=T","Dir=V")</f>
        <v>0</v>
      </c>
      <c r="AE2">
        <f>BDH("TUSK US Equity","NET_INCOME","1993-06-18","2026-05-02","Per=Y","Days=T","Dir=V")</f>
        <v>0</v>
      </c>
      <c r="AG2">
        <f>BDH("TUSK US Equity","IS_INT_EXPENSE","1993-06-18","2026-05-02","Per=Y","Days=T","Dir=V")</f>
        <v>0</v>
      </c>
      <c r="AI2">
        <f>BDH("TUSK US Equity","IS_DEPR_EXP","1993-06-18","2026-05-02","Per=Y","Days=T","Dir=V")</f>
        <v>0</v>
      </c>
      <c r="AK2">
        <f>BDH("TUSK US Equity","CF_CASH_FROM_OPER","1993-06-18","2026-05-02","Per=Y","Days=T","Dir=V")</f>
        <v>0</v>
      </c>
      <c r="AM2">
        <f>BDH("TUSK US Equity","CAPITAL_EXPEND","1993-06-18","2026-05-02","Per=Y","Days=T","Dir=V")</f>
        <v>0</v>
      </c>
      <c r="AO2">
        <f>BDH("TUSK US Equity","CF_FREE_CASH_FLOW","1993-06-18","2026-05-02","Per=Y","Days=T","Dir=V")</f>
        <v>0</v>
      </c>
      <c r="AQ2">
        <f>BDH("TUSK US Equity","PX_LAST","1993-06-18","2026-05-02","Per=M","Days=T","Dir=V")</f>
        <v>0</v>
      </c>
      <c r="AS2">
        <f>BDH("TUSK US Equity","CUR_MKT_CAP","1993-06-18","2026-05-02","Per=M","Days=T","Dir=V")</f>
        <v>0</v>
      </c>
      <c r="AU2">
        <f>BDH("TUSK US Equity","EQY_SH_OUT","1993-06-18","2026-05-02","Per=M","Days=T","Dir=V")</f>
        <v>0</v>
      </c>
      <c r="AW2">
        <f>BDH("TUSK US Equity","PX_VOLUME","1993-06-18","2026-05-02","Per=M","Days=T","Dir=V")</f>
        <v>0</v>
      </c>
      <c r="AY2">
        <f>BDH("TUSK US Equity","TURNOVER","1993-06-18","2026-05-02","Per=M","Days=T","Dir=V")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BDH("TVC US Equity","BS_TOT_ASSET","1993-06-18","2026-05-02","Per=Y","Days=T","Dir=V")</f>
        <v>0</v>
      </c>
      <c r="C2">
        <f>BDH("TVC US Equity","BS_TOT_LIAB2","1993-06-18","2026-05-02","Per=Y","Days=T","Dir=V")</f>
        <v>0</v>
      </c>
      <c r="E2">
        <f>BDH("TVC US Equity","SHORT_AND_LONG_TERM_DEBT","1993-06-18","2026-05-02","Per=Y","Days=T","Dir=V")</f>
        <v>0</v>
      </c>
      <c r="G2">
        <f>BDH("TVC US Equity","BS_ST_BORROW","1993-06-18","2026-05-02","Per=Y","Days=T","Dir=V")</f>
        <v>0</v>
      </c>
      <c r="I2">
        <f>BDH("TVC US Equity","BS_LT_BORROW","1993-06-18","2026-05-02","Per=Y","Days=T","Dir=V")</f>
        <v>0</v>
      </c>
      <c r="K2">
        <f>BDH("TVC US Equity","BS_CASH_NEAR_CASH_ITEM","1993-06-18","2026-05-02","Per=Y","Days=T","Dir=V")</f>
        <v>0</v>
      </c>
      <c r="M2">
        <f>BDH("TVC US Equity","BS_CUR_ASSET_REPORT","1993-06-18","2026-05-02","Per=Y","Days=T","Dir=V")</f>
        <v>0</v>
      </c>
      <c r="O2">
        <f>BDH("TVC US Equity","BS_CUR_LIAB","1993-06-18","2026-05-02","Per=Y","Days=T","Dir=V")</f>
        <v>0</v>
      </c>
      <c r="Q2">
        <f>BDH("TVC US Equity","BS_SHAREHOLDER_EQY_ENDING_PERIOD","1993-06-18","2026-05-02","Per=Y","Days=T","Dir=V")</f>
        <v>0</v>
      </c>
      <c r="S2">
        <f>BDH("TVC US Equity","BS_ACCT_NOTE_RCV","1993-06-18","2026-05-02","Per=Y","Days=T","Dir=V")</f>
        <v>0</v>
      </c>
      <c r="U2">
        <f>BDH("TVC US Equity","BS_INVENTORIES","1993-06-18","2026-05-02","Per=Y","Days=T","Dir=V")</f>
        <v>0</v>
      </c>
      <c r="W2">
        <f>BDH("TVC US Equity","WORKING_CAPITAL","1993-06-18","2026-05-02","Per=Y","Days=T","Dir=V")</f>
        <v>0</v>
      </c>
      <c r="Y2">
        <f>BDH("TVC US Equity","SALES_REV_TURN","1993-06-18","2026-05-02","Per=Y","Days=T","Dir=V")</f>
        <v>0</v>
      </c>
      <c r="AA2">
        <f>BDH("TVC US Equity","EBIT","1993-06-18","2026-05-02","Per=Y","Days=T","Dir=V")</f>
        <v>0</v>
      </c>
      <c r="AC2">
        <f>BDH("TVC US Equity","EBITDA","1993-06-18","2026-05-02","Per=Y","Days=T","Dir=V")</f>
        <v>0</v>
      </c>
      <c r="AE2">
        <f>BDH("TVC US Equity","NET_INCOME","1993-06-18","2026-05-02","Per=Y","Days=T","Dir=V")</f>
        <v>0</v>
      </c>
      <c r="AG2">
        <f>BDH("TVC US Equity","IS_INT_EXPENSE","1993-06-18","2026-05-02","Per=Y","Days=T","Dir=V")</f>
        <v>0</v>
      </c>
      <c r="AI2">
        <f>BDH("TVC US Equity","IS_DEPR_EXP","1993-06-18","2026-05-02","Per=Y","Days=T","Dir=V")</f>
        <v>0</v>
      </c>
      <c r="AK2">
        <f>BDH("TVC US Equity","CF_CASH_FROM_OPER","1993-06-18","2026-05-02","Per=Y","Days=T","Dir=V")</f>
        <v>0</v>
      </c>
      <c r="AM2">
        <f>BDH("TVC US Equity","CAPITAL_EXPEND","1993-06-18","2026-05-02","Per=Y","Days=T","Dir=V")</f>
        <v>0</v>
      </c>
      <c r="AO2">
        <f>BDH("TVC US Equity","CF_FREE_CASH_FLOW","1993-06-18","2026-05-02","Per=Y","Days=T","Dir=V")</f>
        <v>0</v>
      </c>
      <c r="AQ2">
        <f>BDH("TVC US Equity","PX_LAST","1993-06-18","2026-05-02","Per=M","Days=T","Dir=V")</f>
        <v>0</v>
      </c>
      <c r="AS2">
        <f>BDH("TVC US Equity","CUR_MKT_CAP","1993-06-18","2026-05-02","Per=M","Days=T","Dir=V")</f>
        <v>0</v>
      </c>
      <c r="AU2">
        <f>BDH("TVC US Equity","EQY_SH_OUT","1993-06-18","2026-05-02","Per=M","Days=T","Dir=V")</f>
        <v>0</v>
      </c>
      <c r="AW2">
        <f>BDH("TVC US Equity","PX_VOLUME","1993-06-18","2026-05-02","Per=M","Days=T","Dir=V")</f>
        <v>0</v>
      </c>
      <c r="AY2">
        <f>BDH("TVC US Equity","TURNOVER","1993-06-18","2026-05-02","Per=M","Days=T","Dir=V")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BDH("TVE US Equity","BS_TOT_ASSET","1993-06-18","2026-05-02","Per=Y","Days=T","Dir=V")</f>
        <v>0</v>
      </c>
      <c r="C2">
        <f>BDH("TVE US Equity","BS_TOT_LIAB2","1993-06-18","2026-05-02","Per=Y","Days=T","Dir=V")</f>
        <v>0</v>
      </c>
      <c r="E2">
        <f>BDH("TVE US Equity","SHORT_AND_LONG_TERM_DEBT","1993-06-18","2026-05-02","Per=Y","Days=T","Dir=V")</f>
        <v>0</v>
      </c>
      <c r="G2">
        <f>BDH("TVE US Equity","BS_ST_BORROW","1993-06-18","2026-05-02","Per=Y","Days=T","Dir=V")</f>
        <v>0</v>
      </c>
      <c r="I2">
        <f>BDH("TVE US Equity","BS_LT_BORROW","1993-06-18","2026-05-02","Per=Y","Days=T","Dir=V")</f>
        <v>0</v>
      </c>
      <c r="K2">
        <f>BDH("TVE US Equity","BS_CASH_NEAR_CASH_ITEM","1993-06-18","2026-05-02","Per=Y","Days=T","Dir=V")</f>
        <v>0</v>
      </c>
      <c r="M2">
        <f>BDH("TVE US Equity","BS_CUR_ASSET_REPORT","1993-06-18","2026-05-02","Per=Y","Days=T","Dir=V")</f>
        <v>0</v>
      </c>
      <c r="O2">
        <f>BDH("TVE US Equity","BS_CUR_LIAB","1993-06-18","2026-05-02","Per=Y","Days=T","Dir=V")</f>
        <v>0</v>
      </c>
      <c r="Q2">
        <f>BDH("TVE US Equity","BS_SHAREHOLDER_EQY_ENDING_PERIOD","1993-06-18","2026-05-02","Per=Y","Days=T","Dir=V")</f>
        <v>0</v>
      </c>
      <c r="S2">
        <f>BDH("TVE US Equity","BS_ACCT_NOTE_RCV","1993-06-18","2026-05-02","Per=Y","Days=T","Dir=V")</f>
        <v>0</v>
      </c>
      <c r="U2">
        <f>BDH("TVE US Equity","BS_INVENTORIES","1993-06-18","2026-05-02","Per=Y","Days=T","Dir=V")</f>
        <v>0</v>
      </c>
      <c r="W2">
        <f>BDH("TVE US Equity","WORKING_CAPITAL","1993-06-18","2026-05-02","Per=Y","Days=T","Dir=V")</f>
        <v>0</v>
      </c>
      <c r="Y2">
        <f>BDH("TVE US Equity","SALES_REV_TURN","1993-06-18","2026-05-02","Per=Y","Days=T","Dir=V")</f>
        <v>0</v>
      </c>
      <c r="AA2">
        <f>BDH("TVE US Equity","EBIT","1993-06-18","2026-05-02","Per=Y","Days=T","Dir=V")</f>
        <v>0</v>
      </c>
      <c r="AC2">
        <f>BDH("TVE US Equity","EBITDA","1993-06-18","2026-05-02","Per=Y","Days=T","Dir=V")</f>
        <v>0</v>
      </c>
      <c r="AE2">
        <f>BDH("TVE US Equity","NET_INCOME","1993-06-18","2026-05-02","Per=Y","Days=T","Dir=V")</f>
        <v>0</v>
      </c>
      <c r="AG2">
        <f>BDH("TVE US Equity","IS_INT_EXPENSE","1993-06-18","2026-05-02","Per=Y","Days=T","Dir=V")</f>
        <v>0</v>
      </c>
      <c r="AI2">
        <f>BDH("TVE US Equity","IS_DEPR_EXP","1993-06-18","2026-05-02","Per=Y","Days=T","Dir=V")</f>
        <v>0</v>
      </c>
      <c r="AK2">
        <f>BDH("TVE US Equity","CF_CASH_FROM_OPER","1993-06-18","2026-05-02","Per=Y","Days=T","Dir=V")</f>
        <v>0</v>
      </c>
      <c r="AM2">
        <f>BDH("TVE US Equity","CAPITAL_EXPEND","1993-06-18","2026-05-02","Per=Y","Days=T","Dir=V")</f>
        <v>0</v>
      </c>
      <c r="AO2">
        <f>BDH("TVE US Equity","CF_FREE_CASH_FLOW","1993-06-18","2026-05-02","Per=Y","Days=T","Dir=V")</f>
        <v>0</v>
      </c>
      <c r="AQ2">
        <f>BDH("TVE US Equity","PX_LAST","1993-06-18","2026-05-02","Per=M","Days=T","Dir=V")</f>
        <v>0</v>
      </c>
      <c r="AS2">
        <f>BDH("TVE US Equity","CUR_MKT_CAP","1993-06-18","2026-05-02","Per=M","Days=T","Dir=V")</f>
        <v>0</v>
      </c>
      <c r="AU2">
        <f>BDH("TVE US Equity","EQY_SH_OUT","1993-06-18","2026-05-02","Per=M","Days=T","Dir=V")</f>
        <v>0</v>
      </c>
      <c r="AW2">
        <f>BDH("TVE US Equity","PX_VOLUME","1993-06-18","2026-05-02","Per=M","Days=T","Dir=V")</f>
        <v>0</v>
      </c>
      <c r="AY2">
        <f>BDH("TVE US Equity","TURNOVER","1993-06-18","2026-05-02","Per=M","Days=T","Dir=V")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BDH("TVGN US Equity","BS_TOT_ASSET","1993-06-18","2026-05-02","Per=Y","Days=T","Dir=V")</f>
        <v>0</v>
      </c>
      <c r="C2">
        <f>BDH("TVGN US Equity","BS_TOT_LIAB2","1993-06-18","2026-05-02","Per=Y","Days=T","Dir=V")</f>
        <v>0</v>
      </c>
      <c r="E2">
        <f>BDH("TVGN US Equity","SHORT_AND_LONG_TERM_DEBT","1993-06-18","2026-05-02","Per=Y","Days=T","Dir=V")</f>
        <v>0</v>
      </c>
      <c r="G2">
        <f>BDH("TVGN US Equity","BS_ST_BORROW","1993-06-18","2026-05-02","Per=Y","Days=T","Dir=V")</f>
        <v>0</v>
      </c>
      <c r="I2">
        <f>BDH("TVGN US Equity","BS_LT_BORROW","1993-06-18","2026-05-02","Per=Y","Days=T","Dir=V")</f>
        <v>0</v>
      </c>
      <c r="K2">
        <f>BDH("TVGN US Equity","BS_CASH_NEAR_CASH_ITEM","1993-06-18","2026-05-02","Per=Y","Days=T","Dir=V")</f>
        <v>0</v>
      </c>
      <c r="M2">
        <f>BDH("TVGN US Equity","BS_CUR_ASSET_REPORT","1993-06-18","2026-05-02","Per=Y","Days=T","Dir=V")</f>
        <v>0</v>
      </c>
      <c r="O2">
        <f>BDH("TVGN US Equity","BS_CUR_LIAB","1993-06-18","2026-05-02","Per=Y","Days=T","Dir=V")</f>
        <v>0</v>
      </c>
      <c r="Q2">
        <f>BDH("TVGN US Equity","BS_SHAREHOLDER_EQY_ENDING_PERIOD","1993-06-18","2026-05-02","Per=Y","Days=T","Dir=V")</f>
        <v>0</v>
      </c>
      <c r="S2">
        <f>BDH("TVGN US Equity","BS_ACCT_NOTE_RCV","1993-06-18","2026-05-02","Per=Y","Days=T","Dir=V")</f>
        <v>0</v>
      </c>
      <c r="U2">
        <f>BDH("TVGN US Equity","BS_INVENTORIES","1993-06-18","2026-05-02","Per=Y","Days=T","Dir=V")</f>
        <v>0</v>
      </c>
      <c r="W2">
        <f>BDH("TVGN US Equity","WORKING_CAPITAL","1993-06-18","2026-05-02","Per=Y","Days=T","Dir=V")</f>
        <v>0</v>
      </c>
      <c r="Y2">
        <f>BDH("TVGN US Equity","SALES_REV_TURN","1993-06-18","2026-05-02","Per=Y","Days=T","Dir=V")</f>
        <v>0</v>
      </c>
      <c r="AA2">
        <f>BDH("TVGN US Equity","EBIT","1993-06-18","2026-05-02","Per=Y","Days=T","Dir=V")</f>
        <v>0</v>
      </c>
      <c r="AC2">
        <f>BDH("TVGN US Equity","EBITDA","1993-06-18","2026-05-02","Per=Y","Days=T","Dir=V")</f>
        <v>0</v>
      </c>
      <c r="AE2">
        <f>BDH("TVGN US Equity","NET_INCOME","1993-06-18","2026-05-02","Per=Y","Days=T","Dir=V")</f>
        <v>0</v>
      </c>
      <c r="AG2">
        <f>BDH("TVGN US Equity","IS_INT_EXPENSE","1993-06-18","2026-05-02","Per=Y","Days=T","Dir=V")</f>
        <v>0</v>
      </c>
      <c r="AI2">
        <f>BDH("TVGN US Equity","IS_DEPR_EXP","1993-06-18","2026-05-02","Per=Y","Days=T","Dir=V")</f>
        <v>0</v>
      </c>
      <c r="AK2">
        <f>BDH("TVGN US Equity","CF_CASH_FROM_OPER","1993-06-18","2026-05-02","Per=Y","Days=T","Dir=V")</f>
        <v>0</v>
      </c>
      <c r="AM2">
        <f>BDH("TVGN US Equity","CAPITAL_EXPEND","1993-06-18","2026-05-02","Per=Y","Days=T","Dir=V")</f>
        <v>0</v>
      </c>
      <c r="AO2">
        <f>BDH("TVGN US Equity","CF_FREE_CASH_FLOW","1993-06-18","2026-05-02","Per=Y","Days=T","Dir=V")</f>
        <v>0</v>
      </c>
      <c r="AQ2">
        <f>BDH("TVGN US Equity","PX_LAST","1993-06-18","2026-05-02","Per=M","Days=T","Dir=V")</f>
        <v>0</v>
      </c>
      <c r="AS2">
        <f>BDH("TVGN US Equity","CUR_MKT_CAP","1993-06-18","2026-05-02","Per=M","Days=T","Dir=V")</f>
        <v>0</v>
      </c>
      <c r="AU2">
        <f>BDH("TVGN US Equity","EQY_SH_OUT","1993-06-18","2026-05-02","Per=M","Days=T","Dir=V")</f>
        <v>0</v>
      </c>
      <c r="AW2">
        <f>BDH("TVGN US Equity","PX_VOLUME","1993-06-18","2026-05-02","Per=M","Days=T","Dir=V")</f>
        <v>0</v>
      </c>
      <c r="AY2">
        <f>BDH("TVGN US Equity","TURNOVER","1993-06-18","2026-05-02","Per=M","Days=T","Dir=V")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BDH("TVGNW US Equity","BS_TOT_ASSET","1993-06-18","2026-05-02","Per=Y","Days=T","Dir=V")</f>
        <v>0</v>
      </c>
      <c r="C2">
        <f>BDH("TVGNW US Equity","BS_TOT_LIAB2","1993-06-18","2026-05-02","Per=Y","Days=T","Dir=V")</f>
        <v>0</v>
      </c>
      <c r="E2">
        <f>BDH("TVGNW US Equity","SHORT_AND_LONG_TERM_DEBT","1993-06-18","2026-05-02","Per=Y","Days=T","Dir=V")</f>
        <v>0</v>
      </c>
      <c r="G2">
        <f>BDH("TVGNW US Equity","BS_ST_BORROW","1993-06-18","2026-05-02","Per=Y","Days=T","Dir=V")</f>
        <v>0</v>
      </c>
      <c r="I2">
        <f>BDH("TVGNW US Equity","BS_LT_BORROW","1993-06-18","2026-05-02","Per=Y","Days=T","Dir=V")</f>
        <v>0</v>
      </c>
      <c r="K2">
        <f>BDH("TVGNW US Equity","BS_CASH_NEAR_CASH_ITEM","1993-06-18","2026-05-02","Per=Y","Days=T","Dir=V")</f>
        <v>0</v>
      </c>
      <c r="M2">
        <f>BDH("TVGNW US Equity","BS_CUR_ASSET_REPORT","1993-06-18","2026-05-02","Per=Y","Days=T","Dir=V")</f>
        <v>0</v>
      </c>
      <c r="O2">
        <f>BDH("TVGNW US Equity","BS_CUR_LIAB","1993-06-18","2026-05-02","Per=Y","Days=T","Dir=V")</f>
        <v>0</v>
      </c>
      <c r="Q2">
        <f>BDH("TVGNW US Equity","BS_SHAREHOLDER_EQY_ENDING_PERIOD","1993-06-18","2026-05-02","Per=Y","Days=T","Dir=V")</f>
        <v>0</v>
      </c>
      <c r="S2">
        <f>BDH("TVGNW US Equity","BS_ACCT_NOTE_RCV","1993-06-18","2026-05-02","Per=Y","Days=T","Dir=V")</f>
        <v>0</v>
      </c>
      <c r="U2">
        <f>BDH("TVGNW US Equity","BS_INVENTORIES","1993-06-18","2026-05-02","Per=Y","Days=T","Dir=V")</f>
        <v>0</v>
      </c>
      <c r="W2">
        <f>BDH("TVGNW US Equity","WORKING_CAPITAL","1993-06-18","2026-05-02","Per=Y","Days=T","Dir=V")</f>
        <v>0</v>
      </c>
      <c r="Y2">
        <f>BDH("TVGNW US Equity","SALES_REV_TURN","1993-06-18","2026-05-02","Per=Y","Days=T","Dir=V")</f>
        <v>0</v>
      </c>
      <c r="AA2">
        <f>BDH("TVGNW US Equity","EBIT","1993-06-18","2026-05-02","Per=Y","Days=T","Dir=V")</f>
        <v>0</v>
      </c>
      <c r="AC2">
        <f>BDH("TVGNW US Equity","EBITDA","1993-06-18","2026-05-02","Per=Y","Days=T","Dir=V")</f>
        <v>0</v>
      </c>
      <c r="AE2">
        <f>BDH("TVGNW US Equity","NET_INCOME","1993-06-18","2026-05-02","Per=Y","Days=T","Dir=V")</f>
        <v>0</v>
      </c>
      <c r="AG2">
        <f>BDH("TVGNW US Equity","IS_INT_EXPENSE","1993-06-18","2026-05-02","Per=Y","Days=T","Dir=V")</f>
        <v>0</v>
      </c>
      <c r="AI2">
        <f>BDH("TVGNW US Equity","IS_DEPR_EXP","1993-06-18","2026-05-02","Per=Y","Days=T","Dir=V")</f>
        <v>0</v>
      </c>
      <c r="AK2">
        <f>BDH("TVGNW US Equity","CF_CASH_FROM_OPER","1993-06-18","2026-05-02","Per=Y","Days=T","Dir=V")</f>
        <v>0</v>
      </c>
      <c r="AM2">
        <f>BDH("TVGNW US Equity","CAPITAL_EXPEND","1993-06-18","2026-05-02","Per=Y","Days=T","Dir=V")</f>
        <v>0</v>
      </c>
      <c r="AO2">
        <f>BDH("TVGNW US Equity","CF_FREE_CASH_FLOW","1993-06-18","2026-05-02","Per=Y","Days=T","Dir=V")</f>
        <v>0</v>
      </c>
      <c r="AQ2">
        <f>BDH("TVGNW US Equity","PX_LAST","1993-06-18","2026-05-02","Per=M","Days=T","Dir=V")</f>
        <v>0</v>
      </c>
      <c r="AS2">
        <f>BDH("TVGNW US Equity","CUR_MKT_CAP","1993-06-18","2026-05-02","Per=M","Days=T","Dir=V")</f>
        <v>0</v>
      </c>
      <c r="AU2">
        <f>BDH("TVGNW US Equity","EQY_SH_OUT","1993-06-18","2026-05-02","Per=M","Days=T","Dir=V")</f>
        <v>0</v>
      </c>
      <c r="AW2">
        <f>BDH("TVGNW US Equity","PX_VOLUME","1993-06-18","2026-05-02","Per=M","Days=T","Dir=V")</f>
        <v>0</v>
      </c>
      <c r="AY2">
        <f>BDH("TVGNW US Equity","TURNOVER","1993-06-18","2026-05-02","Per=M","Days=T","Dir=V")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BDH("TVRD US Equity","BS_TOT_ASSET","1993-06-18","2026-05-02","Per=Y","Days=T","Dir=V")</f>
        <v>0</v>
      </c>
      <c r="C2">
        <f>BDH("TVRD US Equity","BS_TOT_LIAB2","1993-06-18","2026-05-02","Per=Y","Days=T","Dir=V")</f>
        <v>0</v>
      </c>
      <c r="E2">
        <f>BDH("TVRD US Equity","SHORT_AND_LONG_TERM_DEBT","1993-06-18","2026-05-02","Per=Y","Days=T","Dir=V")</f>
        <v>0</v>
      </c>
      <c r="G2">
        <f>BDH("TVRD US Equity","BS_ST_BORROW","1993-06-18","2026-05-02","Per=Y","Days=T","Dir=V")</f>
        <v>0</v>
      </c>
      <c r="I2">
        <f>BDH("TVRD US Equity","BS_LT_BORROW","1993-06-18","2026-05-02","Per=Y","Days=T","Dir=V")</f>
        <v>0</v>
      </c>
      <c r="K2">
        <f>BDH("TVRD US Equity","BS_CASH_NEAR_CASH_ITEM","1993-06-18","2026-05-02","Per=Y","Days=T","Dir=V")</f>
        <v>0</v>
      </c>
      <c r="M2">
        <f>BDH("TVRD US Equity","BS_CUR_ASSET_REPORT","1993-06-18","2026-05-02","Per=Y","Days=T","Dir=V")</f>
        <v>0</v>
      </c>
      <c r="O2">
        <f>BDH("TVRD US Equity","BS_CUR_LIAB","1993-06-18","2026-05-02","Per=Y","Days=T","Dir=V")</f>
        <v>0</v>
      </c>
      <c r="Q2">
        <f>BDH("TVRD US Equity","BS_SHAREHOLDER_EQY_ENDING_PERIOD","1993-06-18","2026-05-02","Per=Y","Days=T","Dir=V")</f>
        <v>0</v>
      </c>
      <c r="S2">
        <f>BDH("TVRD US Equity","BS_ACCT_NOTE_RCV","1993-06-18","2026-05-02","Per=Y","Days=T","Dir=V")</f>
        <v>0</v>
      </c>
      <c r="U2">
        <f>BDH("TVRD US Equity","BS_INVENTORIES","1993-06-18","2026-05-02","Per=Y","Days=T","Dir=V")</f>
        <v>0</v>
      </c>
      <c r="W2">
        <f>BDH("TVRD US Equity","WORKING_CAPITAL","1993-06-18","2026-05-02","Per=Y","Days=T","Dir=V")</f>
        <v>0</v>
      </c>
      <c r="Y2">
        <f>BDH("TVRD US Equity","SALES_REV_TURN","1993-06-18","2026-05-02","Per=Y","Days=T","Dir=V")</f>
        <v>0</v>
      </c>
      <c r="AA2">
        <f>BDH("TVRD US Equity","EBIT","1993-06-18","2026-05-02","Per=Y","Days=T","Dir=V")</f>
        <v>0</v>
      </c>
      <c r="AC2">
        <f>BDH("TVRD US Equity","EBITDA","1993-06-18","2026-05-02","Per=Y","Days=T","Dir=V")</f>
        <v>0</v>
      </c>
      <c r="AE2">
        <f>BDH("TVRD US Equity","NET_INCOME","1993-06-18","2026-05-02","Per=Y","Days=T","Dir=V")</f>
        <v>0</v>
      </c>
      <c r="AG2">
        <f>BDH("TVRD US Equity","IS_INT_EXPENSE","1993-06-18","2026-05-02","Per=Y","Days=T","Dir=V")</f>
        <v>0</v>
      </c>
      <c r="AI2">
        <f>BDH("TVRD US Equity","IS_DEPR_EXP","1993-06-18","2026-05-02","Per=Y","Days=T","Dir=V")</f>
        <v>0</v>
      </c>
      <c r="AK2">
        <f>BDH("TVRD US Equity","CF_CASH_FROM_OPER","1993-06-18","2026-05-02","Per=Y","Days=T","Dir=V")</f>
        <v>0</v>
      </c>
      <c r="AM2">
        <f>BDH("TVRD US Equity","CAPITAL_EXPEND","1993-06-18","2026-05-02","Per=Y","Days=T","Dir=V")</f>
        <v>0</v>
      </c>
      <c r="AO2">
        <f>BDH("TVRD US Equity","CF_FREE_CASH_FLOW","1993-06-18","2026-05-02","Per=Y","Days=T","Dir=V")</f>
        <v>0</v>
      </c>
      <c r="AQ2">
        <f>BDH("TVRD US Equity","PX_LAST","1993-06-18","2026-05-02","Per=M","Days=T","Dir=V")</f>
        <v>0</v>
      </c>
      <c r="AS2">
        <f>BDH("TVRD US Equity","CUR_MKT_CAP","1993-06-18","2026-05-02","Per=M","Days=T","Dir=V")</f>
        <v>0</v>
      </c>
      <c r="AU2">
        <f>BDH("TVRD US Equity","EQY_SH_OUT","1993-06-18","2026-05-02","Per=M","Days=T","Dir=V")</f>
        <v>0</v>
      </c>
      <c r="AW2">
        <f>BDH("TVRD US Equity","PX_VOLUME","1993-06-18","2026-05-02","Per=M","Days=T","Dir=V")</f>
        <v>0</v>
      </c>
      <c r="AY2">
        <f>BDH("TVRD US Equity","TURNOVER","1993-06-18","2026-05-02","Per=M","Days=T","Dir=V")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BDH("TVTX US Equity","BS_TOT_ASSET","1993-06-18","2026-05-02","Per=Y","Days=T","Dir=V")</f>
        <v>0</v>
      </c>
      <c r="C2">
        <f>BDH("TVTX US Equity","BS_TOT_LIAB2","1993-06-18","2026-05-02","Per=Y","Days=T","Dir=V")</f>
        <v>0</v>
      </c>
      <c r="E2">
        <f>BDH("TVTX US Equity","SHORT_AND_LONG_TERM_DEBT","1993-06-18","2026-05-02","Per=Y","Days=T","Dir=V")</f>
        <v>0</v>
      </c>
      <c r="G2">
        <f>BDH("TVTX US Equity","BS_ST_BORROW","1993-06-18","2026-05-02","Per=Y","Days=T","Dir=V")</f>
        <v>0</v>
      </c>
      <c r="I2">
        <f>BDH("TVTX US Equity","BS_LT_BORROW","1993-06-18","2026-05-02","Per=Y","Days=T","Dir=V")</f>
        <v>0</v>
      </c>
      <c r="K2">
        <f>BDH("TVTX US Equity","BS_CASH_NEAR_CASH_ITEM","1993-06-18","2026-05-02","Per=Y","Days=T","Dir=V")</f>
        <v>0</v>
      </c>
      <c r="M2">
        <f>BDH("TVTX US Equity","BS_CUR_ASSET_REPORT","1993-06-18","2026-05-02","Per=Y","Days=T","Dir=V")</f>
        <v>0</v>
      </c>
      <c r="O2">
        <f>BDH("TVTX US Equity","BS_CUR_LIAB","1993-06-18","2026-05-02","Per=Y","Days=T","Dir=V")</f>
        <v>0</v>
      </c>
      <c r="Q2">
        <f>BDH("TVTX US Equity","BS_SHAREHOLDER_EQY_ENDING_PERIOD","1993-06-18","2026-05-02","Per=Y","Days=T","Dir=V")</f>
        <v>0</v>
      </c>
      <c r="S2">
        <f>BDH("TVTX US Equity","BS_ACCT_NOTE_RCV","1993-06-18","2026-05-02","Per=Y","Days=T","Dir=V")</f>
        <v>0</v>
      </c>
      <c r="U2">
        <f>BDH("TVTX US Equity","BS_INVENTORIES","1993-06-18","2026-05-02","Per=Y","Days=T","Dir=V")</f>
        <v>0</v>
      </c>
      <c r="W2">
        <f>BDH("TVTX US Equity","WORKING_CAPITAL","1993-06-18","2026-05-02","Per=Y","Days=T","Dir=V")</f>
        <v>0</v>
      </c>
      <c r="Y2">
        <f>BDH("TVTX US Equity","SALES_REV_TURN","1993-06-18","2026-05-02","Per=Y","Days=T","Dir=V")</f>
        <v>0</v>
      </c>
      <c r="AA2">
        <f>BDH("TVTX US Equity","EBIT","1993-06-18","2026-05-02","Per=Y","Days=T","Dir=V")</f>
        <v>0</v>
      </c>
      <c r="AC2">
        <f>BDH("TVTX US Equity","EBITDA","1993-06-18","2026-05-02","Per=Y","Days=T","Dir=V")</f>
        <v>0</v>
      </c>
      <c r="AE2">
        <f>BDH("TVTX US Equity","NET_INCOME","1993-06-18","2026-05-02","Per=Y","Days=T","Dir=V")</f>
        <v>0</v>
      </c>
      <c r="AG2">
        <f>BDH("TVTX US Equity","IS_INT_EXPENSE","1993-06-18","2026-05-02","Per=Y","Days=T","Dir=V")</f>
        <v>0</v>
      </c>
      <c r="AI2">
        <f>BDH("TVTX US Equity","IS_DEPR_EXP","1993-06-18","2026-05-02","Per=Y","Days=T","Dir=V")</f>
        <v>0</v>
      </c>
      <c r="AK2">
        <f>BDH("TVTX US Equity","CF_CASH_FROM_OPER","1993-06-18","2026-05-02","Per=Y","Days=T","Dir=V")</f>
        <v>0</v>
      </c>
      <c r="AM2">
        <f>BDH("TVTX US Equity","CAPITAL_EXPEND","1993-06-18","2026-05-02","Per=Y","Days=T","Dir=V")</f>
        <v>0</v>
      </c>
      <c r="AO2">
        <f>BDH("TVTX US Equity","CF_FREE_CASH_FLOW","1993-06-18","2026-05-02","Per=Y","Days=T","Dir=V")</f>
        <v>0</v>
      </c>
      <c r="AQ2">
        <f>BDH("TVTX US Equity","PX_LAST","1993-06-18","2026-05-02","Per=M","Days=T","Dir=V")</f>
        <v>0</v>
      </c>
      <c r="AS2">
        <f>BDH("TVTX US Equity","CUR_MKT_CAP","1993-06-18","2026-05-02","Per=M","Days=T","Dir=V")</f>
        <v>0</v>
      </c>
      <c r="AU2">
        <f>BDH("TVTX US Equity","EQY_SH_OUT","1993-06-18","2026-05-02","Per=M","Days=T","Dir=V")</f>
        <v>0</v>
      </c>
      <c r="AW2">
        <f>BDH("TVTX US Equity","PX_VOLUME","1993-06-18","2026-05-02","Per=M","Days=T","Dir=V")</f>
        <v>0</v>
      </c>
      <c r="AY2">
        <f>BDH("TVTX US Equity","TURNOVER","1993-06-18","2026-05-02","Per=M","Days=T","Dir=V")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BDH("TWAV US Equity","BS_TOT_ASSET","1993-06-18","2026-05-02","Per=Y","Days=T","Dir=V")</f>
        <v>0</v>
      </c>
      <c r="C2">
        <f>BDH("TWAV US Equity","BS_TOT_LIAB2","1993-06-18","2026-05-02","Per=Y","Days=T","Dir=V")</f>
        <v>0</v>
      </c>
      <c r="E2">
        <f>BDH("TWAV US Equity","SHORT_AND_LONG_TERM_DEBT","1993-06-18","2026-05-02","Per=Y","Days=T","Dir=V")</f>
        <v>0</v>
      </c>
      <c r="G2">
        <f>BDH("TWAV US Equity","BS_ST_BORROW","1993-06-18","2026-05-02","Per=Y","Days=T","Dir=V")</f>
        <v>0</v>
      </c>
      <c r="I2">
        <f>BDH("TWAV US Equity","BS_LT_BORROW","1993-06-18","2026-05-02","Per=Y","Days=T","Dir=V")</f>
        <v>0</v>
      </c>
      <c r="K2">
        <f>BDH("TWAV US Equity","BS_CASH_NEAR_CASH_ITEM","1993-06-18","2026-05-02","Per=Y","Days=T","Dir=V")</f>
        <v>0</v>
      </c>
      <c r="M2">
        <f>BDH("TWAV US Equity","BS_CUR_ASSET_REPORT","1993-06-18","2026-05-02","Per=Y","Days=T","Dir=V")</f>
        <v>0</v>
      </c>
      <c r="O2">
        <f>BDH("TWAV US Equity","BS_CUR_LIAB","1993-06-18","2026-05-02","Per=Y","Days=T","Dir=V")</f>
        <v>0</v>
      </c>
      <c r="Q2">
        <f>BDH("TWAV US Equity","BS_SHAREHOLDER_EQY_ENDING_PERIOD","1993-06-18","2026-05-02","Per=Y","Days=T","Dir=V")</f>
        <v>0</v>
      </c>
      <c r="S2">
        <f>BDH("TWAV US Equity","BS_ACCT_NOTE_RCV","1993-06-18","2026-05-02","Per=Y","Days=T","Dir=V")</f>
        <v>0</v>
      </c>
      <c r="U2">
        <f>BDH("TWAV US Equity","BS_INVENTORIES","1993-06-18","2026-05-02","Per=Y","Days=T","Dir=V")</f>
        <v>0</v>
      </c>
      <c r="W2">
        <f>BDH("TWAV US Equity","WORKING_CAPITAL","1993-06-18","2026-05-02","Per=Y","Days=T","Dir=V")</f>
        <v>0</v>
      </c>
      <c r="Y2">
        <f>BDH("TWAV US Equity","SALES_REV_TURN","1993-06-18","2026-05-02","Per=Y","Days=T","Dir=V")</f>
        <v>0</v>
      </c>
      <c r="AA2">
        <f>BDH("TWAV US Equity","EBIT","1993-06-18","2026-05-02","Per=Y","Days=T","Dir=V")</f>
        <v>0</v>
      </c>
      <c r="AC2">
        <f>BDH("TWAV US Equity","EBITDA","1993-06-18","2026-05-02","Per=Y","Days=T","Dir=V")</f>
        <v>0</v>
      </c>
      <c r="AE2">
        <f>BDH("TWAV US Equity","NET_INCOME","1993-06-18","2026-05-02","Per=Y","Days=T","Dir=V")</f>
        <v>0</v>
      </c>
      <c r="AG2">
        <f>BDH("TWAV US Equity","IS_INT_EXPENSE","1993-06-18","2026-05-02","Per=Y","Days=T","Dir=V")</f>
        <v>0</v>
      </c>
      <c r="AI2">
        <f>BDH("TWAV US Equity","IS_DEPR_EXP","1993-06-18","2026-05-02","Per=Y","Days=T","Dir=V")</f>
        <v>0</v>
      </c>
      <c r="AK2">
        <f>BDH("TWAV US Equity","CF_CASH_FROM_OPER","1993-06-18","2026-05-02","Per=Y","Days=T","Dir=V")</f>
        <v>0</v>
      </c>
      <c r="AM2">
        <f>BDH("TWAV US Equity","CAPITAL_EXPEND","1993-06-18","2026-05-02","Per=Y","Days=T","Dir=V")</f>
        <v>0</v>
      </c>
      <c r="AO2">
        <f>BDH("TWAV US Equity","CF_FREE_CASH_FLOW","1993-06-18","2026-05-02","Per=Y","Days=T","Dir=V")</f>
        <v>0</v>
      </c>
      <c r="AQ2">
        <f>BDH("TWAV US Equity","PX_LAST","1993-06-18","2026-05-02","Per=M","Days=T","Dir=V")</f>
        <v>0</v>
      </c>
      <c r="AS2">
        <f>BDH("TWAV US Equity","CUR_MKT_CAP","1993-06-18","2026-05-02","Per=M","Days=T","Dir=V")</f>
        <v>0</v>
      </c>
      <c r="AU2">
        <f>BDH("TWAV US Equity","EQY_SH_OUT","1993-06-18","2026-05-02","Per=M","Days=T","Dir=V")</f>
        <v>0</v>
      </c>
      <c r="AW2">
        <f>BDH("TWAV US Equity","PX_VOLUME","1993-06-18","2026-05-02","Per=M","Days=T","Dir=V")</f>
        <v>0</v>
      </c>
      <c r="AY2">
        <f>BDH("TWAV US Equity","TURNOVER","1993-06-18","2026-05-02","Per=M","Days=T","Dir=V")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BDH("TWI US Equity","BS_TOT_ASSET","1993-06-18","2026-05-02","Per=Y","Days=T","Dir=V")</f>
        <v>0</v>
      </c>
      <c r="C2">
        <f>BDH("TWI US Equity","BS_TOT_LIAB2","1993-06-18","2026-05-02","Per=Y","Days=T","Dir=V")</f>
        <v>0</v>
      </c>
      <c r="E2">
        <f>BDH("TWI US Equity","SHORT_AND_LONG_TERM_DEBT","1993-06-18","2026-05-02","Per=Y","Days=T","Dir=V")</f>
        <v>0</v>
      </c>
      <c r="G2">
        <f>BDH("TWI US Equity","BS_ST_BORROW","1993-06-18","2026-05-02","Per=Y","Days=T","Dir=V")</f>
        <v>0</v>
      </c>
      <c r="I2">
        <f>BDH("TWI US Equity","BS_LT_BORROW","1993-06-18","2026-05-02","Per=Y","Days=T","Dir=V")</f>
        <v>0</v>
      </c>
      <c r="K2">
        <f>BDH("TWI US Equity","BS_CASH_NEAR_CASH_ITEM","1993-06-18","2026-05-02","Per=Y","Days=T","Dir=V")</f>
        <v>0</v>
      </c>
      <c r="M2">
        <f>BDH("TWI US Equity","BS_CUR_ASSET_REPORT","1993-06-18","2026-05-02","Per=Y","Days=T","Dir=V")</f>
        <v>0</v>
      </c>
      <c r="O2">
        <f>BDH("TWI US Equity","BS_CUR_LIAB","1993-06-18","2026-05-02","Per=Y","Days=T","Dir=V")</f>
        <v>0</v>
      </c>
      <c r="Q2">
        <f>BDH("TWI US Equity","BS_SHAREHOLDER_EQY_ENDING_PERIOD","1993-06-18","2026-05-02","Per=Y","Days=T","Dir=V")</f>
        <v>0</v>
      </c>
      <c r="S2">
        <f>BDH("TWI US Equity","BS_ACCT_NOTE_RCV","1993-06-18","2026-05-02","Per=Y","Days=T","Dir=V")</f>
        <v>0</v>
      </c>
      <c r="U2">
        <f>BDH("TWI US Equity","BS_INVENTORIES","1993-06-18","2026-05-02","Per=Y","Days=T","Dir=V")</f>
        <v>0</v>
      </c>
      <c r="W2">
        <f>BDH("TWI US Equity","WORKING_CAPITAL","1993-06-18","2026-05-02","Per=Y","Days=T","Dir=V")</f>
        <v>0</v>
      </c>
      <c r="Y2">
        <f>BDH("TWI US Equity","SALES_REV_TURN","1993-06-18","2026-05-02","Per=Y","Days=T","Dir=V")</f>
        <v>0</v>
      </c>
      <c r="AA2">
        <f>BDH("TWI US Equity","EBIT","1993-06-18","2026-05-02","Per=Y","Days=T","Dir=V")</f>
        <v>0</v>
      </c>
      <c r="AC2">
        <f>BDH("TWI US Equity","EBITDA","1993-06-18","2026-05-02","Per=Y","Days=T","Dir=V")</f>
        <v>0</v>
      </c>
      <c r="AE2">
        <f>BDH("TWI US Equity","NET_INCOME","1993-06-18","2026-05-02","Per=Y","Days=T","Dir=V")</f>
        <v>0</v>
      </c>
      <c r="AG2">
        <f>BDH("TWI US Equity","IS_INT_EXPENSE","1993-06-18","2026-05-02","Per=Y","Days=T","Dir=V")</f>
        <v>0</v>
      </c>
      <c r="AI2">
        <f>BDH("TWI US Equity","IS_DEPR_EXP","1993-06-18","2026-05-02","Per=Y","Days=T","Dir=V")</f>
        <v>0</v>
      </c>
      <c r="AK2">
        <f>BDH("TWI US Equity","CF_CASH_FROM_OPER","1993-06-18","2026-05-02","Per=Y","Days=T","Dir=V")</f>
        <v>0</v>
      </c>
      <c r="AM2">
        <f>BDH("TWI US Equity","CAPITAL_EXPEND","1993-06-18","2026-05-02","Per=Y","Days=T","Dir=V")</f>
        <v>0</v>
      </c>
      <c r="AO2">
        <f>BDH("TWI US Equity","CF_FREE_CASH_FLOW","1993-06-18","2026-05-02","Per=Y","Days=T","Dir=V")</f>
        <v>0</v>
      </c>
      <c r="AQ2">
        <f>BDH("TWI US Equity","PX_LAST","1993-06-18","2026-05-02","Per=M","Days=T","Dir=V")</f>
        <v>0</v>
      </c>
      <c r="AS2">
        <f>BDH("TWI US Equity","CUR_MKT_CAP","1993-06-18","2026-05-02","Per=M","Days=T","Dir=V")</f>
        <v>0</v>
      </c>
      <c r="AU2">
        <f>BDH("TWI US Equity","EQY_SH_OUT","1993-06-18","2026-05-02","Per=M","Days=T","Dir=V")</f>
        <v>0</v>
      </c>
      <c r="AW2">
        <f>BDH("TWI US Equity","PX_VOLUME","1993-06-18","2026-05-02","Per=M","Days=T","Dir=V")</f>
        <v>0</v>
      </c>
      <c r="AY2">
        <f>BDH("TWI US Equity","TURNOVER","1993-06-18","2026-05-02","Per=M","Days=T","Dir=V")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BDH("TWIN US Equity","BS_TOT_ASSET","1993-06-18","2026-05-02","Per=Y","Days=T","Dir=V")</f>
        <v>0</v>
      </c>
      <c r="C2">
        <f>BDH("TWIN US Equity","BS_TOT_LIAB2","1993-06-18","2026-05-02","Per=Y","Days=T","Dir=V")</f>
        <v>0</v>
      </c>
      <c r="E2">
        <f>BDH("TWIN US Equity","SHORT_AND_LONG_TERM_DEBT","1993-06-18","2026-05-02","Per=Y","Days=T","Dir=V")</f>
        <v>0</v>
      </c>
      <c r="G2">
        <f>BDH("TWIN US Equity","BS_ST_BORROW","1993-06-18","2026-05-02","Per=Y","Days=T","Dir=V")</f>
        <v>0</v>
      </c>
      <c r="I2">
        <f>BDH("TWIN US Equity","BS_LT_BORROW","1993-06-18","2026-05-02","Per=Y","Days=T","Dir=V")</f>
        <v>0</v>
      </c>
      <c r="K2">
        <f>BDH("TWIN US Equity","BS_CASH_NEAR_CASH_ITEM","1993-06-18","2026-05-02","Per=Y","Days=T","Dir=V")</f>
        <v>0</v>
      </c>
      <c r="M2">
        <f>BDH("TWIN US Equity","BS_CUR_ASSET_REPORT","1993-06-18","2026-05-02","Per=Y","Days=T","Dir=V")</f>
        <v>0</v>
      </c>
      <c r="O2">
        <f>BDH("TWIN US Equity","BS_CUR_LIAB","1993-06-18","2026-05-02","Per=Y","Days=T","Dir=V")</f>
        <v>0</v>
      </c>
      <c r="Q2">
        <f>BDH("TWIN US Equity","BS_SHAREHOLDER_EQY_ENDING_PERIOD","1993-06-18","2026-05-02","Per=Y","Days=T","Dir=V")</f>
        <v>0</v>
      </c>
      <c r="S2">
        <f>BDH("TWIN US Equity","BS_ACCT_NOTE_RCV","1993-06-18","2026-05-02","Per=Y","Days=T","Dir=V")</f>
        <v>0</v>
      </c>
      <c r="U2">
        <f>BDH("TWIN US Equity","BS_INVENTORIES","1993-06-18","2026-05-02","Per=Y","Days=T","Dir=V")</f>
        <v>0</v>
      </c>
      <c r="W2">
        <f>BDH("TWIN US Equity","WORKING_CAPITAL","1993-06-18","2026-05-02","Per=Y","Days=T","Dir=V")</f>
        <v>0</v>
      </c>
      <c r="Y2">
        <f>BDH("TWIN US Equity","SALES_REV_TURN","1993-06-18","2026-05-02","Per=Y","Days=T","Dir=V")</f>
        <v>0</v>
      </c>
      <c r="AA2">
        <f>BDH("TWIN US Equity","EBIT","1993-06-18","2026-05-02","Per=Y","Days=T","Dir=V")</f>
        <v>0</v>
      </c>
      <c r="AC2">
        <f>BDH("TWIN US Equity","EBITDA","1993-06-18","2026-05-02","Per=Y","Days=T","Dir=V")</f>
        <v>0</v>
      </c>
      <c r="AE2">
        <f>BDH("TWIN US Equity","NET_INCOME","1993-06-18","2026-05-02","Per=Y","Days=T","Dir=V")</f>
        <v>0</v>
      </c>
      <c r="AG2">
        <f>BDH("TWIN US Equity","IS_INT_EXPENSE","1993-06-18","2026-05-02","Per=Y","Days=T","Dir=V")</f>
        <v>0</v>
      </c>
      <c r="AI2">
        <f>BDH("TWIN US Equity","IS_DEPR_EXP","1993-06-18","2026-05-02","Per=Y","Days=T","Dir=V")</f>
        <v>0</v>
      </c>
      <c r="AK2">
        <f>BDH("TWIN US Equity","CF_CASH_FROM_OPER","1993-06-18","2026-05-02","Per=Y","Days=T","Dir=V")</f>
        <v>0</v>
      </c>
      <c r="AM2">
        <f>BDH("TWIN US Equity","CAPITAL_EXPEND","1993-06-18","2026-05-02","Per=Y","Days=T","Dir=V")</f>
        <v>0</v>
      </c>
      <c r="AO2">
        <f>BDH("TWIN US Equity","CF_FREE_CASH_FLOW","1993-06-18","2026-05-02","Per=Y","Days=T","Dir=V")</f>
        <v>0</v>
      </c>
      <c r="AQ2">
        <f>BDH("TWIN US Equity","PX_LAST","1993-06-18","2026-05-02","Per=M","Days=T","Dir=V")</f>
        <v>0</v>
      </c>
      <c r="AS2">
        <f>BDH("TWIN US Equity","CUR_MKT_CAP","1993-06-18","2026-05-02","Per=M","Days=T","Dir=V")</f>
        <v>0</v>
      </c>
      <c r="AU2">
        <f>BDH("TWIN US Equity","EQY_SH_OUT","1993-06-18","2026-05-02","Per=M","Days=T","Dir=V")</f>
        <v>0</v>
      </c>
      <c r="AW2">
        <f>BDH("TWIN US Equity","PX_VOLUME","1993-06-18","2026-05-02","Per=M","Days=T","Dir=V")</f>
        <v>0</v>
      </c>
      <c r="AY2">
        <f>BDH("TWIN US Equity","TURNOVER","1993-06-18","2026-05-02","Per=M","Days=T","Dir=V")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BDH("TWLO US Equity","BS_TOT_ASSET","1993-06-18","2026-05-02","Per=Y","Days=T","Dir=V")</f>
        <v>0</v>
      </c>
      <c r="C2">
        <f>BDH("TWLO US Equity","BS_TOT_LIAB2","1993-06-18","2026-05-02","Per=Y","Days=T","Dir=V")</f>
        <v>0</v>
      </c>
      <c r="E2">
        <f>BDH("TWLO US Equity","SHORT_AND_LONG_TERM_DEBT","1993-06-18","2026-05-02","Per=Y","Days=T","Dir=V")</f>
        <v>0</v>
      </c>
      <c r="G2">
        <f>BDH("TWLO US Equity","BS_ST_BORROW","1993-06-18","2026-05-02","Per=Y","Days=T","Dir=V")</f>
        <v>0</v>
      </c>
      <c r="I2">
        <f>BDH("TWLO US Equity","BS_LT_BORROW","1993-06-18","2026-05-02","Per=Y","Days=T","Dir=V")</f>
        <v>0</v>
      </c>
      <c r="K2">
        <f>BDH("TWLO US Equity","BS_CASH_NEAR_CASH_ITEM","1993-06-18","2026-05-02","Per=Y","Days=T","Dir=V")</f>
        <v>0</v>
      </c>
      <c r="M2">
        <f>BDH("TWLO US Equity","BS_CUR_ASSET_REPORT","1993-06-18","2026-05-02","Per=Y","Days=T","Dir=V")</f>
        <v>0</v>
      </c>
      <c r="O2">
        <f>BDH("TWLO US Equity","BS_CUR_LIAB","1993-06-18","2026-05-02","Per=Y","Days=T","Dir=V")</f>
        <v>0</v>
      </c>
      <c r="Q2">
        <f>BDH("TWLO US Equity","BS_SHAREHOLDER_EQY_ENDING_PERIOD","1993-06-18","2026-05-02","Per=Y","Days=T","Dir=V")</f>
        <v>0</v>
      </c>
      <c r="S2">
        <f>BDH("TWLO US Equity","BS_ACCT_NOTE_RCV","1993-06-18","2026-05-02","Per=Y","Days=T","Dir=V")</f>
        <v>0</v>
      </c>
      <c r="U2">
        <f>BDH("TWLO US Equity","BS_INVENTORIES","1993-06-18","2026-05-02","Per=Y","Days=T","Dir=V")</f>
        <v>0</v>
      </c>
      <c r="W2">
        <f>BDH("TWLO US Equity","WORKING_CAPITAL","1993-06-18","2026-05-02","Per=Y","Days=T","Dir=V")</f>
        <v>0</v>
      </c>
      <c r="Y2">
        <f>BDH("TWLO US Equity","SALES_REV_TURN","1993-06-18","2026-05-02","Per=Y","Days=T","Dir=V")</f>
        <v>0</v>
      </c>
      <c r="AA2">
        <f>BDH("TWLO US Equity","EBIT","1993-06-18","2026-05-02","Per=Y","Days=T","Dir=V")</f>
        <v>0</v>
      </c>
      <c r="AC2">
        <f>BDH("TWLO US Equity","EBITDA","1993-06-18","2026-05-02","Per=Y","Days=T","Dir=V")</f>
        <v>0</v>
      </c>
      <c r="AE2">
        <f>BDH("TWLO US Equity","NET_INCOME","1993-06-18","2026-05-02","Per=Y","Days=T","Dir=V")</f>
        <v>0</v>
      </c>
      <c r="AG2">
        <f>BDH("TWLO US Equity","IS_INT_EXPENSE","1993-06-18","2026-05-02","Per=Y","Days=T","Dir=V")</f>
        <v>0</v>
      </c>
      <c r="AI2">
        <f>BDH("TWLO US Equity","IS_DEPR_EXP","1993-06-18","2026-05-02","Per=Y","Days=T","Dir=V")</f>
        <v>0</v>
      </c>
      <c r="AK2">
        <f>BDH("TWLO US Equity","CF_CASH_FROM_OPER","1993-06-18","2026-05-02","Per=Y","Days=T","Dir=V")</f>
        <v>0</v>
      </c>
      <c r="AM2">
        <f>BDH("TWLO US Equity","CAPITAL_EXPEND","1993-06-18","2026-05-02","Per=Y","Days=T","Dir=V")</f>
        <v>0</v>
      </c>
      <c r="AO2">
        <f>BDH("TWLO US Equity","CF_FREE_CASH_FLOW","1993-06-18","2026-05-02","Per=Y","Days=T","Dir=V")</f>
        <v>0</v>
      </c>
      <c r="AQ2">
        <f>BDH("TWLO US Equity","PX_LAST","1993-06-18","2026-05-02","Per=M","Days=T","Dir=V")</f>
        <v>0</v>
      </c>
      <c r="AS2">
        <f>BDH("TWLO US Equity","CUR_MKT_CAP","1993-06-18","2026-05-02","Per=M","Days=T","Dir=V")</f>
        <v>0</v>
      </c>
      <c r="AU2">
        <f>BDH("TWLO US Equity","EQY_SH_OUT","1993-06-18","2026-05-02","Per=M","Days=T","Dir=V")</f>
        <v>0</v>
      </c>
      <c r="AW2">
        <f>BDH("TWLO US Equity","PX_VOLUME","1993-06-18","2026-05-02","Per=M","Days=T","Dir=V")</f>
        <v>0</v>
      </c>
      <c r="AY2">
        <f>BDH("TWLO US Equity","TURNOVER","1993-06-18","2026-05-02","Per=M","Days=T","Dir=V")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BDH("TWST US Equity","BS_TOT_ASSET","1993-06-18","2026-05-02","Per=Y","Days=T","Dir=V")</f>
        <v>0</v>
      </c>
      <c r="C2">
        <f>BDH("TWST US Equity","BS_TOT_LIAB2","1993-06-18","2026-05-02","Per=Y","Days=T","Dir=V")</f>
        <v>0</v>
      </c>
      <c r="E2">
        <f>BDH("TWST US Equity","SHORT_AND_LONG_TERM_DEBT","1993-06-18","2026-05-02","Per=Y","Days=T","Dir=V")</f>
        <v>0</v>
      </c>
      <c r="G2">
        <f>BDH("TWST US Equity","BS_ST_BORROW","1993-06-18","2026-05-02","Per=Y","Days=T","Dir=V")</f>
        <v>0</v>
      </c>
      <c r="I2">
        <f>BDH("TWST US Equity","BS_LT_BORROW","1993-06-18","2026-05-02","Per=Y","Days=T","Dir=V")</f>
        <v>0</v>
      </c>
      <c r="K2">
        <f>BDH("TWST US Equity","BS_CASH_NEAR_CASH_ITEM","1993-06-18","2026-05-02","Per=Y","Days=T","Dir=V")</f>
        <v>0</v>
      </c>
      <c r="M2">
        <f>BDH("TWST US Equity","BS_CUR_ASSET_REPORT","1993-06-18","2026-05-02","Per=Y","Days=T","Dir=V")</f>
        <v>0</v>
      </c>
      <c r="O2">
        <f>BDH("TWST US Equity","BS_CUR_LIAB","1993-06-18","2026-05-02","Per=Y","Days=T","Dir=V")</f>
        <v>0</v>
      </c>
      <c r="Q2">
        <f>BDH("TWST US Equity","BS_SHAREHOLDER_EQY_ENDING_PERIOD","1993-06-18","2026-05-02","Per=Y","Days=T","Dir=V")</f>
        <v>0</v>
      </c>
      <c r="S2">
        <f>BDH("TWST US Equity","BS_ACCT_NOTE_RCV","1993-06-18","2026-05-02","Per=Y","Days=T","Dir=V")</f>
        <v>0</v>
      </c>
      <c r="U2">
        <f>BDH("TWST US Equity","BS_INVENTORIES","1993-06-18","2026-05-02","Per=Y","Days=T","Dir=V")</f>
        <v>0</v>
      </c>
      <c r="W2">
        <f>BDH("TWST US Equity","WORKING_CAPITAL","1993-06-18","2026-05-02","Per=Y","Days=T","Dir=V")</f>
        <v>0</v>
      </c>
      <c r="Y2">
        <f>BDH("TWST US Equity","SALES_REV_TURN","1993-06-18","2026-05-02","Per=Y","Days=T","Dir=V")</f>
        <v>0</v>
      </c>
      <c r="AA2">
        <f>BDH("TWST US Equity","EBIT","1993-06-18","2026-05-02","Per=Y","Days=T","Dir=V")</f>
        <v>0</v>
      </c>
      <c r="AC2">
        <f>BDH("TWST US Equity","EBITDA","1993-06-18","2026-05-02","Per=Y","Days=T","Dir=V")</f>
        <v>0</v>
      </c>
      <c r="AE2">
        <f>BDH("TWST US Equity","NET_INCOME","1993-06-18","2026-05-02","Per=Y","Days=T","Dir=V")</f>
        <v>0</v>
      </c>
      <c r="AG2">
        <f>BDH("TWST US Equity","IS_INT_EXPENSE","1993-06-18","2026-05-02","Per=Y","Days=T","Dir=V")</f>
        <v>0</v>
      </c>
      <c r="AI2">
        <f>BDH("TWST US Equity","IS_DEPR_EXP","1993-06-18","2026-05-02","Per=Y","Days=T","Dir=V")</f>
        <v>0</v>
      </c>
      <c r="AK2">
        <f>BDH("TWST US Equity","CF_CASH_FROM_OPER","1993-06-18","2026-05-02","Per=Y","Days=T","Dir=V")</f>
        <v>0</v>
      </c>
      <c r="AM2">
        <f>BDH("TWST US Equity","CAPITAL_EXPEND","1993-06-18","2026-05-02","Per=Y","Days=T","Dir=V")</f>
        <v>0</v>
      </c>
      <c r="AO2">
        <f>BDH("TWST US Equity","CF_FREE_CASH_FLOW","1993-06-18","2026-05-02","Per=Y","Days=T","Dir=V")</f>
        <v>0</v>
      </c>
      <c r="AQ2">
        <f>BDH("TWST US Equity","PX_LAST","1993-06-18","2026-05-02","Per=M","Days=T","Dir=V")</f>
        <v>0</v>
      </c>
      <c r="AS2">
        <f>BDH("TWST US Equity","CUR_MKT_CAP","1993-06-18","2026-05-02","Per=M","Days=T","Dir=V")</f>
        <v>0</v>
      </c>
      <c r="AU2">
        <f>BDH("TWST US Equity","EQY_SH_OUT","1993-06-18","2026-05-02","Per=M","Days=T","Dir=V")</f>
        <v>0</v>
      </c>
      <c r="AW2">
        <f>BDH("TWST US Equity","PX_VOLUME","1993-06-18","2026-05-02","Per=M","Days=T","Dir=V")</f>
        <v>0</v>
      </c>
      <c r="AY2">
        <f>BDH("TWST US Equity","TURNOVER","1993-06-18","2026-05-02","Per=M","Days=T","Dir=V")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BDH("TXG US Equity","BS_TOT_ASSET","1993-06-18","2026-05-02","Per=Y","Days=T","Dir=V")</f>
        <v>0</v>
      </c>
      <c r="C2">
        <f>BDH("TXG US Equity","BS_TOT_LIAB2","1993-06-18","2026-05-02","Per=Y","Days=T","Dir=V")</f>
        <v>0</v>
      </c>
      <c r="E2">
        <f>BDH("TXG US Equity","SHORT_AND_LONG_TERM_DEBT","1993-06-18","2026-05-02","Per=Y","Days=T","Dir=V")</f>
        <v>0</v>
      </c>
      <c r="G2">
        <f>BDH("TXG US Equity","BS_ST_BORROW","1993-06-18","2026-05-02","Per=Y","Days=T","Dir=V")</f>
        <v>0</v>
      </c>
      <c r="I2">
        <f>BDH("TXG US Equity","BS_LT_BORROW","1993-06-18","2026-05-02","Per=Y","Days=T","Dir=V")</f>
        <v>0</v>
      </c>
      <c r="K2">
        <f>BDH("TXG US Equity","BS_CASH_NEAR_CASH_ITEM","1993-06-18","2026-05-02","Per=Y","Days=T","Dir=V")</f>
        <v>0</v>
      </c>
      <c r="M2">
        <f>BDH("TXG US Equity","BS_CUR_ASSET_REPORT","1993-06-18","2026-05-02","Per=Y","Days=T","Dir=V")</f>
        <v>0</v>
      </c>
      <c r="O2">
        <f>BDH("TXG US Equity","BS_CUR_LIAB","1993-06-18","2026-05-02","Per=Y","Days=T","Dir=V")</f>
        <v>0</v>
      </c>
      <c r="Q2">
        <f>BDH("TXG US Equity","BS_SHAREHOLDER_EQY_ENDING_PERIOD","1993-06-18","2026-05-02","Per=Y","Days=T","Dir=V")</f>
        <v>0</v>
      </c>
      <c r="S2">
        <f>BDH("TXG US Equity","BS_ACCT_NOTE_RCV","1993-06-18","2026-05-02","Per=Y","Days=T","Dir=V")</f>
        <v>0</v>
      </c>
      <c r="U2">
        <f>BDH("TXG US Equity","BS_INVENTORIES","1993-06-18","2026-05-02","Per=Y","Days=T","Dir=V")</f>
        <v>0</v>
      </c>
      <c r="W2">
        <f>BDH("TXG US Equity","WORKING_CAPITAL","1993-06-18","2026-05-02","Per=Y","Days=T","Dir=V")</f>
        <v>0</v>
      </c>
      <c r="Y2">
        <f>BDH("TXG US Equity","SALES_REV_TURN","1993-06-18","2026-05-02","Per=Y","Days=T","Dir=V")</f>
        <v>0</v>
      </c>
      <c r="AA2">
        <f>BDH("TXG US Equity","EBIT","1993-06-18","2026-05-02","Per=Y","Days=T","Dir=V")</f>
        <v>0</v>
      </c>
      <c r="AC2">
        <f>BDH("TXG US Equity","EBITDA","1993-06-18","2026-05-02","Per=Y","Days=T","Dir=V")</f>
        <v>0</v>
      </c>
      <c r="AE2">
        <f>BDH("TXG US Equity","NET_INCOME","1993-06-18","2026-05-02","Per=Y","Days=T","Dir=V")</f>
        <v>0</v>
      </c>
      <c r="AG2">
        <f>BDH("TXG US Equity","IS_INT_EXPENSE","1993-06-18","2026-05-02","Per=Y","Days=T","Dir=V")</f>
        <v>0</v>
      </c>
      <c r="AI2">
        <f>BDH("TXG US Equity","IS_DEPR_EXP","1993-06-18","2026-05-02","Per=Y","Days=T","Dir=V")</f>
        <v>0</v>
      </c>
      <c r="AK2">
        <f>BDH("TXG US Equity","CF_CASH_FROM_OPER","1993-06-18","2026-05-02","Per=Y","Days=T","Dir=V")</f>
        <v>0</v>
      </c>
      <c r="AM2">
        <f>BDH("TXG US Equity","CAPITAL_EXPEND","1993-06-18","2026-05-02","Per=Y","Days=T","Dir=V")</f>
        <v>0</v>
      </c>
      <c r="AO2">
        <f>BDH("TXG US Equity","CF_FREE_CASH_FLOW","1993-06-18","2026-05-02","Per=Y","Days=T","Dir=V")</f>
        <v>0</v>
      </c>
      <c r="AQ2">
        <f>BDH("TXG US Equity","PX_LAST","1993-06-18","2026-05-02","Per=M","Days=T","Dir=V")</f>
        <v>0</v>
      </c>
      <c r="AS2">
        <f>BDH("TXG US Equity","CUR_MKT_CAP","1993-06-18","2026-05-02","Per=M","Days=T","Dir=V")</f>
        <v>0</v>
      </c>
      <c r="AU2">
        <f>BDH("TXG US Equity","EQY_SH_OUT","1993-06-18","2026-05-02","Per=M","Days=T","Dir=V")</f>
        <v>0</v>
      </c>
      <c r="AW2">
        <f>BDH("TXG US Equity","PX_VOLUME","1993-06-18","2026-05-02","Per=M","Days=T","Dir=V")</f>
        <v>0</v>
      </c>
      <c r="AY2">
        <f>BDH("TXG US Equity","TURNOVER","1993-06-18","2026-05-02","Per=M","Days=T","Dir=V")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BDH("TXMD US Equity","BS_TOT_ASSET","1993-06-18","2026-05-02","Per=Y","Days=T","Dir=V")</f>
        <v>0</v>
      </c>
      <c r="C2">
        <f>BDH("TXMD US Equity","BS_TOT_LIAB2","1993-06-18","2026-05-02","Per=Y","Days=T","Dir=V")</f>
        <v>0</v>
      </c>
      <c r="E2">
        <f>BDH("TXMD US Equity","SHORT_AND_LONG_TERM_DEBT","1993-06-18","2026-05-02","Per=Y","Days=T","Dir=V")</f>
        <v>0</v>
      </c>
      <c r="G2">
        <f>BDH("TXMD US Equity","BS_ST_BORROW","1993-06-18","2026-05-02","Per=Y","Days=T","Dir=V")</f>
        <v>0</v>
      </c>
      <c r="I2">
        <f>BDH("TXMD US Equity","BS_LT_BORROW","1993-06-18","2026-05-02","Per=Y","Days=T","Dir=V")</f>
        <v>0</v>
      </c>
      <c r="K2">
        <f>BDH("TXMD US Equity","BS_CASH_NEAR_CASH_ITEM","1993-06-18","2026-05-02","Per=Y","Days=T","Dir=V")</f>
        <v>0</v>
      </c>
      <c r="M2">
        <f>BDH("TXMD US Equity","BS_CUR_ASSET_REPORT","1993-06-18","2026-05-02","Per=Y","Days=T","Dir=V")</f>
        <v>0</v>
      </c>
      <c r="O2">
        <f>BDH("TXMD US Equity","BS_CUR_LIAB","1993-06-18","2026-05-02","Per=Y","Days=T","Dir=V")</f>
        <v>0</v>
      </c>
      <c r="Q2">
        <f>BDH("TXMD US Equity","BS_SHAREHOLDER_EQY_ENDING_PERIOD","1993-06-18","2026-05-02","Per=Y","Days=T","Dir=V")</f>
        <v>0</v>
      </c>
      <c r="S2">
        <f>BDH("TXMD US Equity","BS_ACCT_NOTE_RCV","1993-06-18","2026-05-02","Per=Y","Days=T","Dir=V")</f>
        <v>0</v>
      </c>
      <c r="U2">
        <f>BDH("TXMD US Equity","BS_INVENTORIES","1993-06-18","2026-05-02","Per=Y","Days=T","Dir=V")</f>
        <v>0</v>
      </c>
      <c r="W2">
        <f>BDH("TXMD US Equity","WORKING_CAPITAL","1993-06-18","2026-05-02","Per=Y","Days=T","Dir=V")</f>
        <v>0</v>
      </c>
      <c r="Y2">
        <f>BDH("TXMD US Equity","SALES_REV_TURN","1993-06-18","2026-05-02","Per=Y","Days=T","Dir=V")</f>
        <v>0</v>
      </c>
      <c r="AA2">
        <f>BDH("TXMD US Equity","EBIT","1993-06-18","2026-05-02","Per=Y","Days=T","Dir=V")</f>
        <v>0</v>
      </c>
      <c r="AC2">
        <f>BDH("TXMD US Equity","EBITDA","1993-06-18","2026-05-02","Per=Y","Days=T","Dir=V")</f>
        <v>0</v>
      </c>
      <c r="AE2">
        <f>BDH("TXMD US Equity","NET_INCOME","1993-06-18","2026-05-02","Per=Y","Days=T","Dir=V")</f>
        <v>0</v>
      </c>
      <c r="AG2">
        <f>BDH("TXMD US Equity","IS_INT_EXPENSE","1993-06-18","2026-05-02","Per=Y","Days=T","Dir=V")</f>
        <v>0</v>
      </c>
      <c r="AI2">
        <f>BDH("TXMD US Equity","IS_DEPR_EXP","1993-06-18","2026-05-02","Per=Y","Days=T","Dir=V")</f>
        <v>0</v>
      </c>
      <c r="AK2">
        <f>BDH("TXMD US Equity","CF_CASH_FROM_OPER","1993-06-18","2026-05-02","Per=Y","Days=T","Dir=V")</f>
        <v>0</v>
      </c>
      <c r="AM2">
        <f>BDH("TXMD US Equity","CAPITAL_EXPEND","1993-06-18","2026-05-02","Per=Y","Days=T","Dir=V")</f>
        <v>0</v>
      </c>
      <c r="AO2">
        <f>BDH("TXMD US Equity","CF_FREE_CASH_FLOW","1993-06-18","2026-05-02","Per=Y","Days=T","Dir=V")</f>
        <v>0</v>
      </c>
      <c r="AQ2">
        <f>BDH("TXMD US Equity","PX_LAST","1993-06-18","2026-05-02","Per=M","Days=T","Dir=V")</f>
        <v>0</v>
      </c>
      <c r="AS2">
        <f>BDH("TXMD US Equity","CUR_MKT_CAP","1993-06-18","2026-05-02","Per=M","Days=T","Dir=V")</f>
        <v>0</v>
      </c>
      <c r="AU2">
        <f>BDH("TXMD US Equity","EQY_SH_OUT","1993-06-18","2026-05-02","Per=M","Days=T","Dir=V")</f>
        <v>0</v>
      </c>
      <c r="AW2">
        <f>BDH("TXMD US Equity","PX_VOLUME","1993-06-18","2026-05-02","Per=M","Days=T","Dir=V")</f>
        <v>0</v>
      </c>
      <c r="AY2">
        <f>BDH("TXMD US Equity","TURNOVER","1993-06-18","2026-05-02","Per=M","Days=T","Dir=V")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BDH("TXN US Equity","BS_TOT_ASSET","1993-06-18","2026-05-02","Per=Y","Days=T","Dir=V")</f>
        <v>0</v>
      </c>
      <c r="C2">
        <f>BDH("TXN US Equity","BS_TOT_LIAB2","1993-06-18","2026-05-02","Per=Y","Days=T","Dir=V")</f>
        <v>0</v>
      </c>
      <c r="E2">
        <f>BDH("TXN US Equity","SHORT_AND_LONG_TERM_DEBT","1993-06-18","2026-05-02","Per=Y","Days=T","Dir=V")</f>
        <v>0</v>
      </c>
      <c r="G2">
        <f>BDH("TXN US Equity","BS_ST_BORROW","1993-06-18","2026-05-02","Per=Y","Days=T","Dir=V")</f>
        <v>0</v>
      </c>
      <c r="I2">
        <f>BDH("TXN US Equity","BS_LT_BORROW","1993-06-18","2026-05-02","Per=Y","Days=T","Dir=V")</f>
        <v>0</v>
      </c>
      <c r="K2">
        <f>BDH("TXN US Equity","BS_CASH_NEAR_CASH_ITEM","1993-06-18","2026-05-02","Per=Y","Days=T","Dir=V")</f>
        <v>0</v>
      </c>
      <c r="M2">
        <f>BDH("TXN US Equity","BS_CUR_ASSET_REPORT","1993-06-18","2026-05-02","Per=Y","Days=T","Dir=V")</f>
        <v>0</v>
      </c>
      <c r="O2">
        <f>BDH("TXN US Equity","BS_CUR_LIAB","1993-06-18","2026-05-02","Per=Y","Days=T","Dir=V")</f>
        <v>0</v>
      </c>
      <c r="Q2">
        <f>BDH("TXN US Equity","BS_SHAREHOLDER_EQY_ENDING_PERIOD","1993-06-18","2026-05-02","Per=Y","Days=T","Dir=V")</f>
        <v>0</v>
      </c>
      <c r="S2">
        <f>BDH("TXN US Equity","BS_ACCT_NOTE_RCV","1993-06-18","2026-05-02","Per=Y","Days=T","Dir=V")</f>
        <v>0</v>
      </c>
      <c r="U2">
        <f>BDH("TXN US Equity","BS_INVENTORIES","1993-06-18","2026-05-02","Per=Y","Days=T","Dir=V")</f>
        <v>0</v>
      </c>
      <c r="W2">
        <f>BDH("TXN US Equity","WORKING_CAPITAL","1993-06-18","2026-05-02","Per=Y","Days=T","Dir=V")</f>
        <v>0</v>
      </c>
      <c r="Y2">
        <f>BDH("TXN US Equity","SALES_REV_TURN","1993-06-18","2026-05-02","Per=Y","Days=T","Dir=V")</f>
        <v>0</v>
      </c>
      <c r="AA2">
        <f>BDH("TXN US Equity","EBIT","1993-06-18","2026-05-02","Per=Y","Days=T","Dir=V")</f>
        <v>0</v>
      </c>
      <c r="AC2">
        <f>BDH("TXN US Equity","EBITDA","1993-06-18","2026-05-02","Per=Y","Days=T","Dir=V")</f>
        <v>0</v>
      </c>
      <c r="AE2">
        <f>BDH("TXN US Equity","NET_INCOME","1993-06-18","2026-05-02","Per=Y","Days=T","Dir=V")</f>
        <v>0</v>
      </c>
      <c r="AG2">
        <f>BDH("TXN US Equity","IS_INT_EXPENSE","1993-06-18","2026-05-02","Per=Y","Days=T","Dir=V")</f>
        <v>0</v>
      </c>
      <c r="AI2">
        <f>BDH("TXN US Equity","IS_DEPR_EXP","1993-06-18","2026-05-02","Per=Y","Days=T","Dir=V")</f>
        <v>0</v>
      </c>
      <c r="AK2">
        <f>BDH("TXN US Equity","CF_CASH_FROM_OPER","1993-06-18","2026-05-02","Per=Y","Days=T","Dir=V")</f>
        <v>0</v>
      </c>
      <c r="AM2">
        <f>BDH("TXN US Equity","CAPITAL_EXPEND","1993-06-18","2026-05-02","Per=Y","Days=T","Dir=V")</f>
        <v>0</v>
      </c>
      <c r="AO2">
        <f>BDH("TXN US Equity","CF_FREE_CASH_FLOW","1993-06-18","2026-05-02","Per=Y","Days=T","Dir=V")</f>
        <v>0</v>
      </c>
      <c r="AQ2">
        <f>BDH("TXN US Equity","PX_LAST","1993-06-18","2026-05-02","Per=M","Days=T","Dir=V")</f>
        <v>0</v>
      </c>
      <c r="AS2">
        <f>BDH("TXN US Equity","CUR_MKT_CAP","1993-06-18","2026-05-02","Per=M","Days=T","Dir=V")</f>
        <v>0</v>
      </c>
      <c r="AU2">
        <f>BDH("TXN US Equity","EQY_SH_OUT","1993-06-18","2026-05-02","Per=M","Days=T","Dir=V")</f>
        <v>0</v>
      </c>
      <c r="AW2">
        <f>BDH("TXN US Equity","PX_VOLUME","1993-06-18","2026-05-02","Per=M","Days=T","Dir=V")</f>
        <v>0</v>
      </c>
      <c r="AY2">
        <f>BDH("TXN US Equity","TURNOVER","1993-06-18","2026-05-02","Per=M","Days=T","Dir=V")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BDH("TXNM US Equity","BS_TOT_ASSET","1993-06-18","2026-05-02","Per=Y","Days=T","Dir=V")</f>
        <v>0</v>
      </c>
      <c r="C2">
        <f>BDH("TXNM US Equity","BS_TOT_LIAB2","1993-06-18","2026-05-02","Per=Y","Days=T","Dir=V")</f>
        <v>0</v>
      </c>
      <c r="E2">
        <f>BDH("TXNM US Equity","SHORT_AND_LONG_TERM_DEBT","1993-06-18","2026-05-02","Per=Y","Days=T","Dir=V")</f>
        <v>0</v>
      </c>
      <c r="G2">
        <f>BDH("TXNM US Equity","BS_ST_BORROW","1993-06-18","2026-05-02","Per=Y","Days=T","Dir=V")</f>
        <v>0</v>
      </c>
      <c r="I2">
        <f>BDH("TXNM US Equity","BS_LT_BORROW","1993-06-18","2026-05-02","Per=Y","Days=T","Dir=V")</f>
        <v>0</v>
      </c>
      <c r="K2">
        <f>BDH("TXNM US Equity","BS_CASH_NEAR_CASH_ITEM","1993-06-18","2026-05-02","Per=Y","Days=T","Dir=V")</f>
        <v>0</v>
      </c>
      <c r="M2">
        <f>BDH("TXNM US Equity","BS_CUR_ASSET_REPORT","1993-06-18","2026-05-02","Per=Y","Days=T","Dir=V")</f>
        <v>0</v>
      </c>
      <c r="O2">
        <f>BDH("TXNM US Equity","BS_CUR_LIAB","1993-06-18","2026-05-02","Per=Y","Days=T","Dir=V")</f>
        <v>0</v>
      </c>
      <c r="Q2">
        <f>BDH("TXNM US Equity","BS_SHAREHOLDER_EQY_ENDING_PERIOD","1993-06-18","2026-05-02","Per=Y","Days=T","Dir=V")</f>
        <v>0</v>
      </c>
      <c r="S2">
        <f>BDH("TXNM US Equity","BS_ACCT_NOTE_RCV","1993-06-18","2026-05-02","Per=Y","Days=T","Dir=V")</f>
        <v>0</v>
      </c>
      <c r="U2">
        <f>BDH("TXNM US Equity","BS_INVENTORIES","1993-06-18","2026-05-02","Per=Y","Days=T","Dir=V")</f>
        <v>0</v>
      </c>
      <c r="W2">
        <f>BDH("TXNM US Equity","WORKING_CAPITAL","1993-06-18","2026-05-02","Per=Y","Days=T","Dir=V")</f>
        <v>0</v>
      </c>
      <c r="Y2">
        <f>BDH("TXNM US Equity","SALES_REV_TURN","1993-06-18","2026-05-02","Per=Y","Days=T","Dir=V")</f>
        <v>0</v>
      </c>
      <c r="AA2">
        <f>BDH("TXNM US Equity","EBIT","1993-06-18","2026-05-02","Per=Y","Days=T","Dir=V")</f>
        <v>0</v>
      </c>
      <c r="AC2">
        <f>BDH("TXNM US Equity","EBITDA","1993-06-18","2026-05-02","Per=Y","Days=T","Dir=V")</f>
        <v>0</v>
      </c>
      <c r="AE2">
        <f>BDH("TXNM US Equity","NET_INCOME","1993-06-18","2026-05-02","Per=Y","Days=T","Dir=V")</f>
        <v>0</v>
      </c>
      <c r="AG2">
        <f>BDH("TXNM US Equity","IS_INT_EXPENSE","1993-06-18","2026-05-02","Per=Y","Days=T","Dir=V")</f>
        <v>0</v>
      </c>
      <c r="AI2">
        <f>BDH("TXNM US Equity","IS_DEPR_EXP","1993-06-18","2026-05-02","Per=Y","Days=T","Dir=V")</f>
        <v>0</v>
      </c>
      <c r="AK2">
        <f>BDH("TXNM US Equity","CF_CASH_FROM_OPER","1993-06-18","2026-05-02","Per=Y","Days=T","Dir=V")</f>
        <v>0</v>
      </c>
      <c r="AM2">
        <f>BDH("TXNM US Equity","CAPITAL_EXPEND","1993-06-18","2026-05-02","Per=Y","Days=T","Dir=V")</f>
        <v>0</v>
      </c>
      <c r="AO2">
        <f>BDH("TXNM US Equity","CF_FREE_CASH_FLOW","1993-06-18","2026-05-02","Per=Y","Days=T","Dir=V")</f>
        <v>0</v>
      </c>
      <c r="AQ2">
        <f>BDH("TXNM US Equity","PX_LAST","1993-06-18","2026-05-02","Per=M","Days=T","Dir=V")</f>
        <v>0</v>
      </c>
      <c r="AS2">
        <f>BDH("TXNM US Equity","CUR_MKT_CAP","1993-06-18","2026-05-02","Per=M","Days=T","Dir=V")</f>
        <v>0</v>
      </c>
      <c r="AU2">
        <f>BDH("TXNM US Equity","EQY_SH_OUT","1993-06-18","2026-05-02","Per=M","Days=T","Dir=V")</f>
        <v>0</v>
      </c>
      <c r="AW2">
        <f>BDH("TXNM US Equity","PX_VOLUME","1993-06-18","2026-05-02","Per=M","Days=T","Dir=V")</f>
        <v>0</v>
      </c>
      <c r="AY2">
        <f>BDH("TXNM US Equity","TURNOVER","1993-06-18","2026-05-02","Per=M","Days=T","Dir=V")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BDH("TXO US Equity","BS_TOT_ASSET","1993-06-18","2026-05-02","Per=Y","Days=T","Dir=V")</f>
        <v>0</v>
      </c>
      <c r="C2">
        <f>BDH("TXO US Equity","BS_TOT_LIAB2","1993-06-18","2026-05-02","Per=Y","Days=T","Dir=V")</f>
        <v>0</v>
      </c>
      <c r="E2">
        <f>BDH("TXO US Equity","SHORT_AND_LONG_TERM_DEBT","1993-06-18","2026-05-02","Per=Y","Days=T","Dir=V")</f>
        <v>0</v>
      </c>
      <c r="G2">
        <f>BDH("TXO US Equity","BS_ST_BORROW","1993-06-18","2026-05-02","Per=Y","Days=T","Dir=V")</f>
        <v>0</v>
      </c>
      <c r="I2">
        <f>BDH("TXO US Equity","BS_LT_BORROW","1993-06-18","2026-05-02","Per=Y","Days=T","Dir=V")</f>
        <v>0</v>
      </c>
      <c r="K2">
        <f>BDH("TXO US Equity","BS_CASH_NEAR_CASH_ITEM","1993-06-18","2026-05-02","Per=Y","Days=T","Dir=V")</f>
        <v>0</v>
      </c>
      <c r="M2">
        <f>BDH("TXO US Equity","BS_CUR_ASSET_REPORT","1993-06-18","2026-05-02","Per=Y","Days=T","Dir=V")</f>
        <v>0</v>
      </c>
      <c r="O2">
        <f>BDH("TXO US Equity","BS_CUR_LIAB","1993-06-18","2026-05-02","Per=Y","Days=T","Dir=V")</f>
        <v>0</v>
      </c>
      <c r="Q2">
        <f>BDH("TXO US Equity","BS_SHAREHOLDER_EQY_ENDING_PERIOD","1993-06-18","2026-05-02","Per=Y","Days=T","Dir=V")</f>
        <v>0</v>
      </c>
      <c r="S2">
        <f>BDH("TXO US Equity","BS_ACCT_NOTE_RCV","1993-06-18","2026-05-02","Per=Y","Days=T","Dir=V")</f>
        <v>0</v>
      </c>
      <c r="U2">
        <f>BDH("TXO US Equity","BS_INVENTORIES","1993-06-18","2026-05-02","Per=Y","Days=T","Dir=V")</f>
        <v>0</v>
      </c>
      <c r="W2">
        <f>BDH("TXO US Equity","WORKING_CAPITAL","1993-06-18","2026-05-02","Per=Y","Days=T","Dir=V")</f>
        <v>0</v>
      </c>
      <c r="Y2">
        <f>BDH("TXO US Equity","SALES_REV_TURN","1993-06-18","2026-05-02","Per=Y","Days=T","Dir=V")</f>
        <v>0</v>
      </c>
      <c r="AA2">
        <f>BDH("TXO US Equity","EBIT","1993-06-18","2026-05-02","Per=Y","Days=T","Dir=V")</f>
        <v>0</v>
      </c>
      <c r="AC2">
        <f>BDH("TXO US Equity","EBITDA","1993-06-18","2026-05-02","Per=Y","Days=T","Dir=V")</f>
        <v>0</v>
      </c>
      <c r="AE2">
        <f>BDH("TXO US Equity","NET_INCOME","1993-06-18","2026-05-02","Per=Y","Days=T","Dir=V")</f>
        <v>0</v>
      </c>
      <c r="AG2">
        <f>BDH("TXO US Equity","IS_INT_EXPENSE","1993-06-18","2026-05-02","Per=Y","Days=T","Dir=V")</f>
        <v>0</v>
      </c>
      <c r="AI2">
        <f>BDH("TXO US Equity","IS_DEPR_EXP","1993-06-18","2026-05-02","Per=Y","Days=T","Dir=V")</f>
        <v>0</v>
      </c>
      <c r="AK2">
        <f>BDH("TXO US Equity","CF_CASH_FROM_OPER","1993-06-18","2026-05-02","Per=Y","Days=T","Dir=V")</f>
        <v>0</v>
      </c>
      <c r="AM2">
        <f>BDH("TXO US Equity","CAPITAL_EXPEND","1993-06-18","2026-05-02","Per=Y","Days=T","Dir=V")</f>
        <v>0</v>
      </c>
      <c r="AO2">
        <f>BDH("TXO US Equity","CF_FREE_CASH_FLOW","1993-06-18","2026-05-02","Per=Y","Days=T","Dir=V")</f>
        <v>0</v>
      </c>
      <c r="AQ2">
        <f>BDH("TXO US Equity","PX_LAST","1993-06-18","2026-05-02","Per=M","Days=T","Dir=V")</f>
        <v>0</v>
      </c>
      <c r="AS2">
        <f>BDH("TXO US Equity","CUR_MKT_CAP","1993-06-18","2026-05-02","Per=M","Days=T","Dir=V")</f>
        <v>0</v>
      </c>
      <c r="AU2">
        <f>BDH("TXO US Equity","EQY_SH_OUT","1993-06-18","2026-05-02","Per=M","Days=T","Dir=V")</f>
        <v>0</v>
      </c>
      <c r="AW2">
        <f>BDH("TXO US Equity","PX_VOLUME","1993-06-18","2026-05-02","Per=M","Days=T","Dir=V")</f>
        <v>0</v>
      </c>
      <c r="AY2">
        <f>BDH("TXO US Equity","TURNOVER","1993-06-18","2026-05-02","Per=M","Days=T","Dir=V")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BDH("TXRH US Equity","BS_TOT_ASSET","1993-06-18","2026-05-02","Per=Y","Days=T","Dir=V")</f>
        <v>0</v>
      </c>
      <c r="C2">
        <f>BDH("TXRH US Equity","BS_TOT_LIAB2","1993-06-18","2026-05-02","Per=Y","Days=T","Dir=V")</f>
        <v>0</v>
      </c>
      <c r="E2">
        <f>BDH("TXRH US Equity","SHORT_AND_LONG_TERM_DEBT","1993-06-18","2026-05-02","Per=Y","Days=T","Dir=V")</f>
        <v>0</v>
      </c>
      <c r="G2">
        <f>BDH("TXRH US Equity","BS_ST_BORROW","1993-06-18","2026-05-02","Per=Y","Days=T","Dir=V")</f>
        <v>0</v>
      </c>
      <c r="I2">
        <f>BDH("TXRH US Equity","BS_LT_BORROW","1993-06-18","2026-05-02","Per=Y","Days=T","Dir=V")</f>
        <v>0</v>
      </c>
      <c r="K2">
        <f>BDH("TXRH US Equity","BS_CASH_NEAR_CASH_ITEM","1993-06-18","2026-05-02","Per=Y","Days=T","Dir=V")</f>
        <v>0</v>
      </c>
      <c r="M2">
        <f>BDH("TXRH US Equity","BS_CUR_ASSET_REPORT","1993-06-18","2026-05-02","Per=Y","Days=T","Dir=V")</f>
        <v>0</v>
      </c>
      <c r="O2">
        <f>BDH("TXRH US Equity","BS_CUR_LIAB","1993-06-18","2026-05-02","Per=Y","Days=T","Dir=V")</f>
        <v>0</v>
      </c>
      <c r="Q2">
        <f>BDH("TXRH US Equity","BS_SHAREHOLDER_EQY_ENDING_PERIOD","1993-06-18","2026-05-02","Per=Y","Days=T","Dir=V")</f>
        <v>0</v>
      </c>
      <c r="S2">
        <f>BDH("TXRH US Equity","BS_ACCT_NOTE_RCV","1993-06-18","2026-05-02","Per=Y","Days=T","Dir=V")</f>
        <v>0</v>
      </c>
      <c r="U2">
        <f>BDH("TXRH US Equity","BS_INVENTORIES","1993-06-18","2026-05-02","Per=Y","Days=T","Dir=V")</f>
        <v>0</v>
      </c>
      <c r="W2">
        <f>BDH("TXRH US Equity","WORKING_CAPITAL","1993-06-18","2026-05-02","Per=Y","Days=T","Dir=V")</f>
        <v>0</v>
      </c>
      <c r="Y2">
        <f>BDH("TXRH US Equity","SALES_REV_TURN","1993-06-18","2026-05-02","Per=Y","Days=T","Dir=V")</f>
        <v>0</v>
      </c>
      <c r="AA2">
        <f>BDH("TXRH US Equity","EBIT","1993-06-18","2026-05-02","Per=Y","Days=T","Dir=V")</f>
        <v>0</v>
      </c>
      <c r="AC2">
        <f>BDH("TXRH US Equity","EBITDA","1993-06-18","2026-05-02","Per=Y","Days=T","Dir=V")</f>
        <v>0</v>
      </c>
      <c r="AE2">
        <f>BDH("TXRH US Equity","NET_INCOME","1993-06-18","2026-05-02","Per=Y","Days=T","Dir=V")</f>
        <v>0</v>
      </c>
      <c r="AG2">
        <f>BDH("TXRH US Equity","IS_INT_EXPENSE","1993-06-18","2026-05-02","Per=Y","Days=T","Dir=V")</f>
        <v>0</v>
      </c>
      <c r="AI2">
        <f>BDH("TXRH US Equity","IS_DEPR_EXP","1993-06-18","2026-05-02","Per=Y","Days=T","Dir=V")</f>
        <v>0</v>
      </c>
      <c r="AK2">
        <f>BDH("TXRH US Equity","CF_CASH_FROM_OPER","1993-06-18","2026-05-02","Per=Y","Days=T","Dir=V")</f>
        <v>0</v>
      </c>
      <c r="AM2">
        <f>BDH("TXRH US Equity","CAPITAL_EXPEND","1993-06-18","2026-05-02","Per=Y","Days=T","Dir=V")</f>
        <v>0</v>
      </c>
      <c r="AO2">
        <f>BDH("TXRH US Equity","CF_FREE_CASH_FLOW","1993-06-18","2026-05-02","Per=Y","Days=T","Dir=V")</f>
        <v>0</v>
      </c>
      <c r="AQ2">
        <f>BDH("TXRH US Equity","PX_LAST","1993-06-18","2026-05-02","Per=M","Days=T","Dir=V")</f>
        <v>0</v>
      </c>
      <c r="AS2">
        <f>BDH("TXRH US Equity","CUR_MKT_CAP","1993-06-18","2026-05-02","Per=M","Days=T","Dir=V")</f>
        <v>0</v>
      </c>
      <c r="AU2">
        <f>BDH("TXRH US Equity","EQY_SH_OUT","1993-06-18","2026-05-02","Per=M","Days=T","Dir=V")</f>
        <v>0</v>
      </c>
      <c r="AW2">
        <f>BDH("TXRH US Equity","PX_VOLUME","1993-06-18","2026-05-02","Per=M","Days=T","Dir=V")</f>
        <v>0</v>
      </c>
      <c r="AY2">
        <f>BDH("TXRH US Equity","TURNOVER","1993-06-18","2026-05-02","Per=M","Days=T","Dir=V")</f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BDH("TXT US Equity","BS_TOT_ASSET","1993-06-18","2026-05-02","Per=Y","Days=T","Dir=V")</f>
        <v>0</v>
      </c>
      <c r="C2">
        <f>BDH("TXT US Equity","BS_TOT_LIAB2","1993-06-18","2026-05-02","Per=Y","Days=T","Dir=V")</f>
        <v>0</v>
      </c>
      <c r="E2">
        <f>BDH("TXT US Equity","SHORT_AND_LONG_TERM_DEBT","1993-06-18","2026-05-02","Per=Y","Days=T","Dir=V")</f>
        <v>0</v>
      </c>
      <c r="G2">
        <f>BDH("TXT US Equity","BS_ST_BORROW","1993-06-18","2026-05-02","Per=Y","Days=T","Dir=V")</f>
        <v>0</v>
      </c>
      <c r="I2">
        <f>BDH("TXT US Equity","BS_LT_BORROW","1993-06-18","2026-05-02","Per=Y","Days=T","Dir=V")</f>
        <v>0</v>
      </c>
      <c r="K2">
        <f>BDH("TXT US Equity","BS_CASH_NEAR_CASH_ITEM","1993-06-18","2026-05-02","Per=Y","Days=T","Dir=V")</f>
        <v>0</v>
      </c>
      <c r="M2">
        <f>BDH("TXT US Equity","BS_CUR_ASSET_REPORT","1993-06-18","2026-05-02","Per=Y","Days=T","Dir=V")</f>
        <v>0</v>
      </c>
      <c r="O2">
        <f>BDH("TXT US Equity","BS_CUR_LIAB","1993-06-18","2026-05-02","Per=Y","Days=T","Dir=V")</f>
        <v>0</v>
      </c>
      <c r="Q2">
        <f>BDH("TXT US Equity","BS_SHAREHOLDER_EQY_ENDING_PERIOD","1993-06-18","2026-05-02","Per=Y","Days=T","Dir=V")</f>
        <v>0</v>
      </c>
      <c r="S2">
        <f>BDH("TXT US Equity","BS_ACCT_NOTE_RCV","1993-06-18","2026-05-02","Per=Y","Days=T","Dir=V")</f>
        <v>0</v>
      </c>
      <c r="U2">
        <f>BDH("TXT US Equity","BS_INVENTORIES","1993-06-18","2026-05-02","Per=Y","Days=T","Dir=V")</f>
        <v>0</v>
      </c>
      <c r="W2">
        <f>BDH("TXT US Equity","WORKING_CAPITAL","1993-06-18","2026-05-02","Per=Y","Days=T","Dir=V")</f>
        <v>0</v>
      </c>
      <c r="Y2">
        <f>BDH("TXT US Equity","SALES_REV_TURN","1993-06-18","2026-05-02","Per=Y","Days=T","Dir=V")</f>
        <v>0</v>
      </c>
      <c r="AA2">
        <f>BDH("TXT US Equity","EBIT","1993-06-18","2026-05-02","Per=Y","Days=T","Dir=V")</f>
        <v>0</v>
      </c>
      <c r="AC2">
        <f>BDH("TXT US Equity","EBITDA","1993-06-18","2026-05-02","Per=Y","Days=T","Dir=V")</f>
        <v>0</v>
      </c>
      <c r="AE2">
        <f>BDH("TXT US Equity","NET_INCOME","1993-06-18","2026-05-02","Per=Y","Days=T","Dir=V")</f>
        <v>0</v>
      </c>
      <c r="AG2">
        <f>BDH("TXT US Equity","IS_INT_EXPENSE","1993-06-18","2026-05-02","Per=Y","Days=T","Dir=V")</f>
        <v>0</v>
      </c>
      <c r="AI2">
        <f>BDH("TXT US Equity","IS_DEPR_EXP","1993-06-18","2026-05-02","Per=Y","Days=T","Dir=V")</f>
        <v>0</v>
      </c>
      <c r="AK2">
        <f>BDH("TXT US Equity","CF_CASH_FROM_OPER","1993-06-18","2026-05-02","Per=Y","Days=T","Dir=V")</f>
        <v>0</v>
      </c>
      <c r="AM2">
        <f>BDH("TXT US Equity","CAPITAL_EXPEND","1993-06-18","2026-05-02","Per=Y","Days=T","Dir=V")</f>
        <v>0</v>
      </c>
      <c r="AO2">
        <f>BDH("TXT US Equity","CF_FREE_CASH_FLOW","1993-06-18","2026-05-02","Per=Y","Days=T","Dir=V")</f>
        <v>0</v>
      </c>
      <c r="AQ2">
        <f>BDH("TXT US Equity","PX_LAST","1993-06-18","2026-05-02","Per=M","Days=T","Dir=V")</f>
        <v>0</v>
      </c>
      <c r="AS2">
        <f>BDH("TXT US Equity","CUR_MKT_CAP","1993-06-18","2026-05-02","Per=M","Days=T","Dir=V")</f>
        <v>0</v>
      </c>
      <c r="AU2">
        <f>BDH("TXT US Equity","EQY_SH_OUT","1993-06-18","2026-05-02","Per=M","Days=T","Dir=V")</f>
        <v>0</v>
      </c>
      <c r="AW2">
        <f>BDH("TXT US Equity","PX_VOLUME","1993-06-18","2026-05-02","Per=M","Days=T","Dir=V")</f>
        <v>0</v>
      </c>
      <c r="AY2">
        <f>BDH("TXT US Equity","TURNOVER","1993-06-18","2026-05-02","Per=M","Days=T","Dir=V")</f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BDH("TYGO US Equity","BS_TOT_ASSET","1993-06-18","2026-05-02","Per=Y","Days=T","Dir=V")</f>
        <v>0</v>
      </c>
      <c r="C2">
        <f>BDH("TYGO US Equity","BS_TOT_LIAB2","1993-06-18","2026-05-02","Per=Y","Days=T","Dir=V")</f>
        <v>0</v>
      </c>
      <c r="E2">
        <f>BDH("TYGO US Equity","SHORT_AND_LONG_TERM_DEBT","1993-06-18","2026-05-02","Per=Y","Days=T","Dir=V")</f>
        <v>0</v>
      </c>
      <c r="G2">
        <f>BDH("TYGO US Equity","BS_ST_BORROW","1993-06-18","2026-05-02","Per=Y","Days=T","Dir=V")</f>
        <v>0</v>
      </c>
      <c r="I2">
        <f>BDH("TYGO US Equity","BS_LT_BORROW","1993-06-18","2026-05-02","Per=Y","Days=T","Dir=V")</f>
        <v>0</v>
      </c>
      <c r="K2">
        <f>BDH("TYGO US Equity","BS_CASH_NEAR_CASH_ITEM","1993-06-18","2026-05-02","Per=Y","Days=T","Dir=V")</f>
        <v>0</v>
      </c>
      <c r="M2">
        <f>BDH("TYGO US Equity","BS_CUR_ASSET_REPORT","1993-06-18","2026-05-02","Per=Y","Days=T","Dir=V")</f>
        <v>0</v>
      </c>
      <c r="O2">
        <f>BDH("TYGO US Equity","BS_CUR_LIAB","1993-06-18","2026-05-02","Per=Y","Days=T","Dir=V")</f>
        <v>0</v>
      </c>
      <c r="Q2">
        <f>BDH("TYGO US Equity","BS_SHAREHOLDER_EQY_ENDING_PERIOD","1993-06-18","2026-05-02","Per=Y","Days=T","Dir=V")</f>
        <v>0</v>
      </c>
      <c r="S2">
        <f>BDH("TYGO US Equity","BS_ACCT_NOTE_RCV","1993-06-18","2026-05-02","Per=Y","Days=T","Dir=V")</f>
        <v>0</v>
      </c>
      <c r="U2">
        <f>BDH("TYGO US Equity","BS_INVENTORIES","1993-06-18","2026-05-02","Per=Y","Days=T","Dir=V")</f>
        <v>0</v>
      </c>
      <c r="W2">
        <f>BDH("TYGO US Equity","WORKING_CAPITAL","1993-06-18","2026-05-02","Per=Y","Days=T","Dir=V")</f>
        <v>0</v>
      </c>
      <c r="Y2">
        <f>BDH("TYGO US Equity","SALES_REV_TURN","1993-06-18","2026-05-02","Per=Y","Days=T","Dir=V")</f>
        <v>0</v>
      </c>
      <c r="AA2">
        <f>BDH("TYGO US Equity","EBIT","1993-06-18","2026-05-02","Per=Y","Days=T","Dir=V")</f>
        <v>0</v>
      </c>
      <c r="AC2">
        <f>BDH("TYGO US Equity","EBITDA","1993-06-18","2026-05-02","Per=Y","Days=T","Dir=V")</f>
        <v>0</v>
      </c>
      <c r="AE2">
        <f>BDH("TYGO US Equity","NET_INCOME","1993-06-18","2026-05-02","Per=Y","Days=T","Dir=V")</f>
        <v>0</v>
      </c>
      <c r="AG2">
        <f>BDH("TYGO US Equity","IS_INT_EXPENSE","1993-06-18","2026-05-02","Per=Y","Days=T","Dir=V")</f>
        <v>0</v>
      </c>
      <c r="AI2">
        <f>BDH("TYGO US Equity","IS_DEPR_EXP","1993-06-18","2026-05-02","Per=Y","Days=T","Dir=V")</f>
        <v>0</v>
      </c>
      <c r="AK2">
        <f>BDH("TYGO US Equity","CF_CASH_FROM_OPER","1993-06-18","2026-05-02","Per=Y","Days=T","Dir=V")</f>
        <v>0</v>
      </c>
      <c r="AM2">
        <f>BDH("TYGO US Equity","CAPITAL_EXPEND","1993-06-18","2026-05-02","Per=Y","Days=T","Dir=V")</f>
        <v>0</v>
      </c>
      <c r="AO2">
        <f>BDH("TYGO US Equity","CF_FREE_CASH_FLOW","1993-06-18","2026-05-02","Per=Y","Days=T","Dir=V")</f>
        <v>0</v>
      </c>
      <c r="AQ2">
        <f>BDH("TYGO US Equity","PX_LAST","1993-06-18","2026-05-02","Per=M","Days=T","Dir=V")</f>
        <v>0</v>
      </c>
      <c r="AS2">
        <f>BDH("TYGO US Equity","CUR_MKT_CAP","1993-06-18","2026-05-02","Per=M","Days=T","Dir=V")</f>
        <v>0</v>
      </c>
      <c r="AU2">
        <f>BDH("TYGO US Equity","EQY_SH_OUT","1993-06-18","2026-05-02","Per=M","Days=T","Dir=V")</f>
        <v>0</v>
      </c>
      <c r="AW2">
        <f>BDH("TYGO US Equity","PX_VOLUME","1993-06-18","2026-05-02","Per=M","Days=T","Dir=V")</f>
        <v>0</v>
      </c>
      <c r="AY2">
        <f>BDH("TYGO US Equity","TURNOVER","1993-06-18","2026-05-02","Per=M","Days=T","Dir=V")</f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BDH("TYL US Equity","BS_TOT_ASSET","1993-06-18","2026-05-02","Per=Y","Days=T","Dir=V")</f>
        <v>0</v>
      </c>
      <c r="C2">
        <f>BDH("TYL US Equity","BS_TOT_LIAB2","1993-06-18","2026-05-02","Per=Y","Days=T","Dir=V")</f>
        <v>0</v>
      </c>
      <c r="E2">
        <f>BDH("TYL US Equity","SHORT_AND_LONG_TERM_DEBT","1993-06-18","2026-05-02","Per=Y","Days=T","Dir=V")</f>
        <v>0</v>
      </c>
      <c r="G2">
        <f>BDH("TYL US Equity","BS_ST_BORROW","1993-06-18","2026-05-02","Per=Y","Days=T","Dir=V")</f>
        <v>0</v>
      </c>
      <c r="I2">
        <f>BDH("TYL US Equity","BS_LT_BORROW","1993-06-18","2026-05-02","Per=Y","Days=T","Dir=V")</f>
        <v>0</v>
      </c>
      <c r="K2">
        <f>BDH("TYL US Equity","BS_CASH_NEAR_CASH_ITEM","1993-06-18","2026-05-02","Per=Y","Days=T","Dir=V")</f>
        <v>0</v>
      </c>
      <c r="M2">
        <f>BDH("TYL US Equity","BS_CUR_ASSET_REPORT","1993-06-18","2026-05-02","Per=Y","Days=T","Dir=V")</f>
        <v>0</v>
      </c>
      <c r="O2">
        <f>BDH("TYL US Equity","BS_CUR_LIAB","1993-06-18","2026-05-02","Per=Y","Days=T","Dir=V")</f>
        <v>0</v>
      </c>
      <c r="Q2">
        <f>BDH("TYL US Equity","BS_SHAREHOLDER_EQY_ENDING_PERIOD","1993-06-18","2026-05-02","Per=Y","Days=T","Dir=V")</f>
        <v>0</v>
      </c>
      <c r="S2">
        <f>BDH("TYL US Equity","BS_ACCT_NOTE_RCV","1993-06-18","2026-05-02","Per=Y","Days=T","Dir=V")</f>
        <v>0</v>
      </c>
      <c r="U2">
        <f>BDH("TYL US Equity","BS_INVENTORIES","1993-06-18","2026-05-02","Per=Y","Days=T","Dir=V")</f>
        <v>0</v>
      </c>
      <c r="W2">
        <f>BDH("TYL US Equity","WORKING_CAPITAL","1993-06-18","2026-05-02","Per=Y","Days=T","Dir=V")</f>
        <v>0</v>
      </c>
      <c r="Y2">
        <f>BDH("TYL US Equity","SALES_REV_TURN","1993-06-18","2026-05-02","Per=Y","Days=T","Dir=V")</f>
        <v>0</v>
      </c>
      <c r="AA2">
        <f>BDH("TYL US Equity","EBIT","1993-06-18","2026-05-02","Per=Y","Days=T","Dir=V")</f>
        <v>0</v>
      </c>
      <c r="AC2">
        <f>BDH("TYL US Equity","EBITDA","1993-06-18","2026-05-02","Per=Y","Days=T","Dir=V")</f>
        <v>0</v>
      </c>
      <c r="AE2">
        <f>BDH("TYL US Equity","NET_INCOME","1993-06-18","2026-05-02","Per=Y","Days=T","Dir=V")</f>
        <v>0</v>
      </c>
      <c r="AG2">
        <f>BDH("TYL US Equity","IS_INT_EXPENSE","1993-06-18","2026-05-02","Per=Y","Days=T","Dir=V")</f>
        <v>0</v>
      </c>
      <c r="AI2">
        <f>BDH("TYL US Equity","IS_DEPR_EXP","1993-06-18","2026-05-02","Per=Y","Days=T","Dir=V")</f>
        <v>0</v>
      </c>
      <c r="AK2">
        <f>BDH("TYL US Equity","CF_CASH_FROM_OPER","1993-06-18","2026-05-02","Per=Y","Days=T","Dir=V")</f>
        <v>0</v>
      </c>
      <c r="AM2">
        <f>BDH("TYL US Equity","CAPITAL_EXPEND","1993-06-18","2026-05-02","Per=Y","Days=T","Dir=V")</f>
        <v>0</v>
      </c>
      <c r="AO2">
        <f>BDH("TYL US Equity","CF_FREE_CASH_FLOW","1993-06-18","2026-05-02","Per=Y","Days=T","Dir=V")</f>
        <v>0</v>
      </c>
      <c r="AQ2">
        <f>BDH("TYL US Equity","PX_LAST","1993-06-18","2026-05-02","Per=M","Days=T","Dir=V")</f>
        <v>0</v>
      </c>
      <c r="AS2">
        <f>BDH("TYL US Equity","CUR_MKT_CAP","1993-06-18","2026-05-02","Per=M","Days=T","Dir=V")</f>
        <v>0</v>
      </c>
      <c r="AU2">
        <f>BDH("TYL US Equity","EQY_SH_OUT","1993-06-18","2026-05-02","Per=M","Days=T","Dir=V")</f>
        <v>0</v>
      </c>
      <c r="AW2">
        <f>BDH("TYL US Equity","PX_VOLUME","1993-06-18","2026-05-02","Per=M","Days=T","Dir=V")</f>
        <v>0</v>
      </c>
      <c r="AY2">
        <f>BDH("TYL US Equity","TURNOVER","1993-06-18","2026-05-02","Per=M","Days=T","Dir=V")</f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BDH("TYRA US Equity","BS_TOT_ASSET","1993-06-18","2026-05-02","Per=Y","Days=T","Dir=V")</f>
        <v>0</v>
      </c>
      <c r="C2">
        <f>BDH("TYRA US Equity","BS_TOT_LIAB2","1993-06-18","2026-05-02","Per=Y","Days=T","Dir=V")</f>
        <v>0</v>
      </c>
      <c r="E2">
        <f>BDH("TYRA US Equity","SHORT_AND_LONG_TERM_DEBT","1993-06-18","2026-05-02","Per=Y","Days=T","Dir=V")</f>
        <v>0</v>
      </c>
      <c r="G2">
        <f>BDH("TYRA US Equity","BS_ST_BORROW","1993-06-18","2026-05-02","Per=Y","Days=T","Dir=V")</f>
        <v>0</v>
      </c>
      <c r="I2">
        <f>BDH("TYRA US Equity","BS_LT_BORROW","1993-06-18","2026-05-02","Per=Y","Days=T","Dir=V")</f>
        <v>0</v>
      </c>
      <c r="K2">
        <f>BDH("TYRA US Equity","BS_CASH_NEAR_CASH_ITEM","1993-06-18","2026-05-02","Per=Y","Days=T","Dir=V")</f>
        <v>0</v>
      </c>
      <c r="M2">
        <f>BDH("TYRA US Equity","BS_CUR_ASSET_REPORT","1993-06-18","2026-05-02","Per=Y","Days=T","Dir=V")</f>
        <v>0</v>
      </c>
      <c r="O2">
        <f>BDH("TYRA US Equity","BS_CUR_LIAB","1993-06-18","2026-05-02","Per=Y","Days=T","Dir=V")</f>
        <v>0</v>
      </c>
      <c r="Q2">
        <f>BDH("TYRA US Equity","BS_SHAREHOLDER_EQY_ENDING_PERIOD","1993-06-18","2026-05-02","Per=Y","Days=T","Dir=V")</f>
        <v>0</v>
      </c>
      <c r="S2">
        <f>BDH("TYRA US Equity","BS_ACCT_NOTE_RCV","1993-06-18","2026-05-02","Per=Y","Days=T","Dir=V")</f>
        <v>0</v>
      </c>
      <c r="U2">
        <f>BDH("TYRA US Equity","BS_INVENTORIES","1993-06-18","2026-05-02","Per=Y","Days=T","Dir=V")</f>
        <v>0</v>
      </c>
      <c r="W2">
        <f>BDH("TYRA US Equity","WORKING_CAPITAL","1993-06-18","2026-05-02","Per=Y","Days=T","Dir=V")</f>
        <v>0</v>
      </c>
      <c r="Y2">
        <f>BDH("TYRA US Equity","SALES_REV_TURN","1993-06-18","2026-05-02","Per=Y","Days=T","Dir=V")</f>
        <v>0</v>
      </c>
      <c r="AA2">
        <f>BDH("TYRA US Equity","EBIT","1993-06-18","2026-05-02","Per=Y","Days=T","Dir=V")</f>
        <v>0</v>
      </c>
      <c r="AC2">
        <f>BDH("TYRA US Equity","EBITDA","1993-06-18","2026-05-02","Per=Y","Days=T","Dir=V")</f>
        <v>0</v>
      </c>
      <c r="AE2">
        <f>BDH("TYRA US Equity","NET_INCOME","1993-06-18","2026-05-02","Per=Y","Days=T","Dir=V")</f>
        <v>0</v>
      </c>
      <c r="AG2">
        <f>BDH("TYRA US Equity","IS_INT_EXPENSE","1993-06-18","2026-05-02","Per=Y","Days=T","Dir=V")</f>
        <v>0</v>
      </c>
      <c r="AI2">
        <f>BDH("TYRA US Equity","IS_DEPR_EXP","1993-06-18","2026-05-02","Per=Y","Days=T","Dir=V")</f>
        <v>0</v>
      </c>
      <c r="AK2">
        <f>BDH("TYRA US Equity","CF_CASH_FROM_OPER","1993-06-18","2026-05-02","Per=Y","Days=T","Dir=V")</f>
        <v>0</v>
      </c>
      <c r="AM2">
        <f>BDH("TYRA US Equity","CAPITAL_EXPEND","1993-06-18","2026-05-02","Per=Y","Days=T","Dir=V")</f>
        <v>0</v>
      </c>
      <c r="AO2">
        <f>BDH("TYRA US Equity","CF_FREE_CASH_FLOW","1993-06-18","2026-05-02","Per=Y","Days=T","Dir=V")</f>
        <v>0</v>
      </c>
      <c r="AQ2">
        <f>BDH("TYRA US Equity","PX_LAST","1993-06-18","2026-05-02","Per=M","Days=T","Dir=V")</f>
        <v>0</v>
      </c>
      <c r="AS2">
        <f>BDH("TYRA US Equity","CUR_MKT_CAP","1993-06-18","2026-05-02","Per=M","Days=T","Dir=V")</f>
        <v>0</v>
      </c>
      <c r="AU2">
        <f>BDH("TYRA US Equity","EQY_SH_OUT","1993-06-18","2026-05-02","Per=M","Days=T","Dir=V")</f>
        <v>0</v>
      </c>
      <c r="AW2">
        <f>BDH("TYRA US Equity","PX_VOLUME","1993-06-18","2026-05-02","Per=M","Days=T","Dir=V")</f>
        <v>0</v>
      </c>
      <c r="AY2">
        <f>BDH("TYRA US Equity","TURNOVER","1993-06-18","2026-05-02","Per=M","Days=T","Dir=V")</f>
        <v>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BDH("TZOO US Equity","BS_TOT_ASSET","1993-06-18","2026-05-02","Per=Y","Days=T","Dir=V")</f>
        <v>0</v>
      </c>
      <c r="C2">
        <f>BDH("TZOO US Equity","BS_TOT_LIAB2","1993-06-18","2026-05-02","Per=Y","Days=T","Dir=V")</f>
        <v>0</v>
      </c>
      <c r="E2">
        <f>BDH("TZOO US Equity","SHORT_AND_LONG_TERM_DEBT","1993-06-18","2026-05-02","Per=Y","Days=T","Dir=V")</f>
        <v>0</v>
      </c>
      <c r="G2">
        <f>BDH("TZOO US Equity","BS_ST_BORROW","1993-06-18","2026-05-02","Per=Y","Days=T","Dir=V")</f>
        <v>0</v>
      </c>
      <c r="I2">
        <f>BDH("TZOO US Equity","BS_LT_BORROW","1993-06-18","2026-05-02","Per=Y","Days=T","Dir=V")</f>
        <v>0</v>
      </c>
      <c r="K2">
        <f>BDH("TZOO US Equity","BS_CASH_NEAR_CASH_ITEM","1993-06-18","2026-05-02","Per=Y","Days=T","Dir=V")</f>
        <v>0</v>
      </c>
      <c r="M2">
        <f>BDH("TZOO US Equity","BS_CUR_ASSET_REPORT","1993-06-18","2026-05-02","Per=Y","Days=T","Dir=V")</f>
        <v>0</v>
      </c>
      <c r="O2">
        <f>BDH("TZOO US Equity","BS_CUR_LIAB","1993-06-18","2026-05-02","Per=Y","Days=T","Dir=V")</f>
        <v>0</v>
      </c>
      <c r="Q2">
        <f>BDH("TZOO US Equity","BS_SHAREHOLDER_EQY_ENDING_PERIOD","1993-06-18","2026-05-02","Per=Y","Days=T","Dir=V")</f>
        <v>0</v>
      </c>
      <c r="S2">
        <f>BDH("TZOO US Equity","BS_ACCT_NOTE_RCV","1993-06-18","2026-05-02","Per=Y","Days=T","Dir=V")</f>
        <v>0</v>
      </c>
      <c r="U2">
        <f>BDH("TZOO US Equity","BS_INVENTORIES","1993-06-18","2026-05-02","Per=Y","Days=T","Dir=V")</f>
        <v>0</v>
      </c>
      <c r="W2">
        <f>BDH("TZOO US Equity","WORKING_CAPITAL","1993-06-18","2026-05-02","Per=Y","Days=T","Dir=V")</f>
        <v>0</v>
      </c>
      <c r="Y2">
        <f>BDH("TZOO US Equity","SALES_REV_TURN","1993-06-18","2026-05-02","Per=Y","Days=T","Dir=V")</f>
        <v>0</v>
      </c>
      <c r="AA2">
        <f>BDH("TZOO US Equity","EBIT","1993-06-18","2026-05-02","Per=Y","Days=T","Dir=V")</f>
        <v>0</v>
      </c>
      <c r="AC2">
        <f>BDH("TZOO US Equity","EBITDA","1993-06-18","2026-05-02","Per=Y","Days=T","Dir=V")</f>
        <v>0</v>
      </c>
      <c r="AE2">
        <f>BDH("TZOO US Equity","NET_INCOME","1993-06-18","2026-05-02","Per=Y","Days=T","Dir=V")</f>
        <v>0</v>
      </c>
      <c r="AG2">
        <f>BDH("TZOO US Equity","IS_INT_EXPENSE","1993-06-18","2026-05-02","Per=Y","Days=T","Dir=V")</f>
        <v>0</v>
      </c>
      <c r="AI2">
        <f>BDH("TZOO US Equity","IS_DEPR_EXP","1993-06-18","2026-05-02","Per=Y","Days=T","Dir=V")</f>
        <v>0</v>
      </c>
      <c r="AK2">
        <f>BDH("TZOO US Equity","CF_CASH_FROM_OPER","1993-06-18","2026-05-02","Per=Y","Days=T","Dir=V")</f>
        <v>0</v>
      </c>
      <c r="AM2">
        <f>BDH("TZOO US Equity","CAPITAL_EXPEND","1993-06-18","2026-05-02","Per=Y","Days=T","Dir=V")</f>
        <v>0</v>
      </c>
      <c r="AO2">
        <f>BDH("TZOO US Equity","CF_FREE_CASH_FLOW","1993-06-18","2026-05-02","Per=Y","Days=T","Dir=V")</f>
        <v>0</v>
      </c>
      <c r="AQ2">
        <f>BDH("TZOO US Equity","PX_LAST","1993-06-18","2026-05-02","Per=M","Days=T","Dir=V")</f>
        <v>0</v>
      </c>
      <c r="AS2">
        <f>BDH("TZOO US Equity","CUR_MKT_CAP","1993-06-18","2026-05-02","Per=M","Days=T","Dir=V")</f>
        <v>0</v>
      </c>
      <c r="AU2">
        <f>BDH("TZOO US Equity","EQY_SH_OUT","1993-06-18","2026-05-02","Per=M","Days=T","Dir=V")</f>
        <v>0</v>
      </c>
      <c r="AW2">
        <f>BDH("TZOO US Equity","PX_VOLUME","1993-06-18","2026-05-02","Per=M","Days=T","Dir=V")</f>
        <v>0</v>
      </c>
      <c r="AY2">
        <f>BDH("TZOO US Equity","TURNOVER","1993-06-18","2026-05-02","Per=M","Days=T","Dir=V")</f>
        <v>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 US Equity","BS_TOT_ASSET","1993-06-18","2026-05-02","Per=Y","Days=T","Dir=V")</f>
        <v>0</v>
      </c>
      <c r="C2">
        <f>BDH("U US Equity","BS_TOT_LIAB2","1993-06-18","2026-05-02","Per=Y","Days=T","Dir=V")</f>
        <v>0</v>
      </c>
      <c r="E2">
        <f>BDH("U US Equity","SHORT_AND_LONG_TERM_DEBT","1993-06-18","2026-05-02","Per=Y","Days=T","Dir=V")</f>
        <v>0</v>
      </c>
      <c r="G2">
        <f>BDH("U US Equity","BS_ST_BORROW","1993-06-18","2026-05-02","Per=Y","Days=T","Dir=V")</f>
        <v>0</v>
      </c>
      <c r="I2">
        <f>BDH("U US Equity","BS_LT_BORROW","1993-06-18","2026-05-02","Per=Y","Days=T","Dir=V")</f>
        <v>0</v>
      </c>
      <c r="K2">
        <f>BDH("U US Equity","BS_CASH_NEAR_CASH_ITEM","1993-06-18","2026-05-02","Per=Y","Days=T","Dir=V")</f>
        <v>0</v>
      </c>
      <c r="M2">
        <f>BDH("U US Equity","BS_CUR_ASSET_REPORT","1993-06-18","2026-05-02","Per=Y","Days=T","Dir=V")</f>
        <v>0</v>
      </c>
      <c r="O2">
        <f>BDH("U US Equity","BS_CUR_LIAB","1993-06-18","2026-05-02","Per=Y","Days=T","Dir=V")</f>
        <v>0</v>
      </c>
      <c r="Q2">
        <f>BDH("U US Equity","BS_SHAREHOLDER_EQY_ENDING_PERIOD","1993-06-18","2026-05-02","Per=Y","Days=T","Dir=V")</f>
        <v>0</v>
      </c>
      <c r="S2">
        <f>BDH("U US Equity","BS_ACCT_NOTE_RCV","1993-06-18","2026-05-02","Per=Y","Days=T","Dir=V")</f>
        <v>0</v>
      </c>
      <c r="U2">
        <f>BDH("U US Equity","BS_INVENTORIES","1993-06-18","2026-05-02","Per=Y","Days=T","Dir=V")</f>
        <v>0</v>
      </c>
      <c r="W2">
        <f>BDH("U US Equity","WORKING_CAPITAL","1993-06-18","2026-05-02","Per=Y","Days=T","Dir=V")</f>
        <v>0</v>
      </c>
      <c r="Y2">
        <f>BDH("U US Equity","SALES_REV_TURN","1993-06-18","2026-05-02","Per=Y","Days=T","Dir=V")</f>
        <v>0</v>
      </c>
      <c r="AA2">
        <f>BDH("U US Equity","EBIT","1993-06-18","2026-05-02","Per=Y","Days=T","Dir=V")</f>
        <v>0</v>
      </c>
      <c r="AC2">
        <f>BDH("U US Equity","EBITDA","1993-06-18","2026-05-02","Per=Y","Days=T","Dir=V")</f>
        <v>0</v>
      </c>
      <c r="AE2">
        <f>BDH("U US Equity","NET_INCOME","1993-06-18","2026-05-02","Per=Y","Days=T","Dir=V")</f>
        <v>0</v>
      </c>
      <c r="AG2">
        <f>BDH("U US Equity","IS_INT_EXPENSE","1993-06-18","2026-05-02","Per=Y","Days=T","Dir=V")</f>
        <v>0</v>
      </c>
      <c r="AI2">
        <f>BDH("U US Equity","IS_DEPR_EXP","1993-06-18","2026-05-02","Per=Y","Days=T","Dir=V")</f>
        <v>0</v>
      </c>
      <c r="AK2">
        <f>BDH("U US Equity","CF_CASH_FROM_OPER","1993-06-18","2026-05-02","Per=Y","Days=T","Dir=V")</f>
        <v>0</v>
      </c>
      <c r="AM2">
        <f>BDH("U US Equity","CAPITAL_EXPEND","1993-06-18","2026-05-02","Per=Y","Days=T","Dir=V")</f>
        <v>0</v>
      </c>
      <c r="AO2">
        <f>BDH("U US Equity","CF_FREE_CASH_FLOW","1993-06-18","2026-05-02","Per=Y","Days=T","Dir=V")</f>
        <v>0</v>
      </c>
      <c r="AQ2">
        <f>BDH("U US Equity","PX_LAST","1993-06-18","2026-05-02","Per=M","Days=T","Dir=V")</f>
        <v>0</v>
      </c>
      <c r="AS2">
        <f>BDH("U US Equity","CUR_MKT_CAP","1993-06-18","2026-05-02","Per=M","Days=T","Dir=V")</f>
        <v>0</v>
      </c>
      <c r="AU2">
        <f>BDH("U US Equity","EQY_SH_OUT","1993-06-18","2026-05-02","Per=M","Days=T","Dir=V")</f>
        <v>0</v>
      </c>
      <c r="AW2">
        <f>BDH("U US Equity","PX_VOLUME","1993-06-18","2026-05-02","Per=M","Days=T","Dir=V")</f>
        <v>0</v>
      </c>
      <c r="AY2">
        <f>BDH("U US Equity","TURNOVER","1993-06-18","2026-05-02","Per=M","Days=T","Dir=V")</f>
        <v>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 US Equity","BS_TOT_ASSET","1993-06-18","2026-05-02","Per=Y","Days=T","Dir=V")</f>
        <v>0</v>
      </c>
      <c r="C2">
        <f>BDH("UA US Equity","BS_TOT_LIAB2","1993-06-18","2026-05-02","Per=Y","Days=T","Dir=V")</f>
        <v>0</v>
      </c>
      <c r="E2">
        <f>BDH("UA US Equity","SHORT_AND_LONG_TERM_DEBT","1993-06-18","2026-05-02","Per=Y","Days=T","Dir=V")</f>
        <v>0</v>
      </c>
      <c r="G2">
        <f>BDH("UA US Equity","BS_ST_BORROW","1993-06-18","2026-05-02","Per=Y","Days=T","Dir=V")</f>
        <v>0</v>
      </c>
      <c r="I2">
        <f>BDH("UA US Equity","BS_LT_BORROW","1993-06-18","2026-05-02","Per=Y","Days=T","Dir=V")</f>
        <v>0</v>
      </c>
      <c r="K2">
        <f>BDH("UA US Equity","BS_CASH_NEAR_CASH_ITEM","1993-06-18","2026-05-02","Per=Y","Days=T","Dir=V")</f>
        <v>0</v>
      </c>
      <c r="M2">
        <f>BDH("UA US Equity","BS_CUR_ASSET_REPORT","1993-06-18","2026-05-02","Per=Y","Days=T","Dir=V")</f>
        <v>0</v>
      </c>
      <c r="O2">
        <f>BDH("UA US Equity","BS_CUR_LIAB","1993-06-18","2026-05-02","Per=Y","Days=T","Dir=V")</f>
        <v>0</v>
      </c>
      <c r="Q2">
        <f>BDH("UA US Equity","BS_SHAREHOLDER_EQY_ENDING_PERIOD","1993-06-18","2026-05-02","Per=Y","Days=T","Dir=V")</f>
        <v>0</v>
      </c>
      <c r="S2">
        <f>BDH("UA US Equity","BS_ACCT_NOTE_RCV","1993-06-18","2026-05-02","Per=Y","Days=T","Dir=V")</f>
        <v>0</v>
      </c>
      <c r="U2">
        <f>BDH("UA US Equity","BS_INVENTORIES","1993-06-18","2026-05-02","Per=Y","Days=T","Dir=V")</f>
        <v>0</v>
      </c>
      <c r="W2">
        <f>BDH("UA US Equity","WORKING_CAPITAL","1993-06-18","2026-05-02","Per=Y","Days=T","Dir=V")</f>
        <v>0</v>
      </c>
      <c r="Y2">
        <f>BDH("UA US Equity","SALES_REV_TURN","1993-06-18","2026-05-02","Per=Y","Days=T","Dir=V")</f>
        <v>0</v>
      </c>
      <c r="AA2">
        <f>BDH("UA US Equity","EBIT","1993-06-18","2026-05-02","Per=Y","Days=T","Dir=V")</f>
        <v>0</v>
      </c>
      <c r="AC2">
        <f>BDH("UA US Equity","EBITDA","1993-06-18","2026-05-02","Per=Y","Days=T","Dir=V")</f>
        <v>0</v>
      </c>
      <c r="AE2">
        <f>BDH("UA US Equity","NET_INCOME","1993-06-18","2026-05-02","Per=Y","Days=T","Dir=V")</f>
        <v>0</v>
      </c>
      <c r="AG2">
        <f>BDH("UA US Equity","IS_INT_EXPENSE","1993-06-18","2026-05-02","Per=Y","Days=T","Dir=V")</f>
        <v>0</v>
      </c>
      <c r="AI2">
        <f>BDH("UA US Equity","IS_DEPR_EXP","1993-06-18","2026-05-02","Per=Y","Days=T","Dir=V")</f>
        <v>0</v>
      </c>
      <c r="AK2">
        <f>BDH("UA US Equity","CF_CASH_FROM_OPER","1993-06-18","2026-05-02","Per=Y","Days=T","Dir=V")</f>
        <v>0</v>
      </c>
      <c r="AM2">
        <f>BDH("UA US Equity","CAPITAL_EXPEND","1993-06-18","2026-05-02","Per=Y","Days=T","Dir=V")</f>
        <v>0</v>
      </c>
      <c r="AO2">
        <f>BDH("UA US Equity","CF_FREE_CASH_FLOW","1993-06-18","2026-05-02","Per=Y","Days=T","Dir=V")</f>
        <v>0</v>
      </c>
      <c r="AQ2">
        <f>BDH("UA US Equity","PX_LAST","1993-06-18","2026-05-02","Per=M","Days=T","Dir=V")</f>
        <v>0</v>
      </c>
      <c r="AS2">
        <f>BDH("UA US Equity","CUR_MKT_CAP","1993-06-18","2026-05-02","Per=M","Days=T","Dir=V")</f>
        <v>0</v>
      </c>
      <c r="AU2">
        <f>BDH("UA US Equity","EQY_SH_OUT","1993-06-18","2026-05-02","Per=M","Days=T","Dir=V")</f>
        <v>0</v>
      </c>
      <c r="AW2">
        <f>BDH("UA US Equity","PX_VOLUME","1993-06-18","2026-05-02","Per=M","Days=T","Dir=V")</f>
        <v>0</v>
      </c>
      <c r="AY2">
        <f>BDH("UA US Equity","TURNOVER","1993-06-18","2026-05-02","Per=M","Days=T","Dir=V")</f>
        <v>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BDH("UAA US Equity","BS_TOT_ASSET","1993-06-18","2026-05-02","Per=Y","Days=T","Dir=V")</f>
        <v>0</v>
      </c>
      <c r="C2">
        <f>BDH("UAA US Equity","BS_TOT_LIAB2","1993-06-18","2026-05-02","Per=Y","Days=T","Dir=V")</f>
        <v>0</v>
      </c>
      <c r="E2">
        <f>BDH("UAA US Equity","SHORT_AND_LONG_TERM_DEBT","1993-06-18","2026-05-02","Per=Y","Days=T","Dir=V")</f>
        <v>0</v>
      </c>
      <c r="G2">
        <f>BDH("UAA US Equity","BS_ST_BORROW","1993-06-18","2026-05-02","Per=Y","Days=T","Dir=V")</f>
        <v>0</v>
      </c>
      <c r="I2">
        <f>BDH("UAA US Equity","BS_LT_BORROW","1993-06-18","2026-05-02","Per=Y","Days=T","Dir=V")</f>
        <v>0</v>
      </c>
      <c r="K2">
        <f>BDH("UAA US Equity","BS_CASH_NEAR_CASH_ITEM","1993-06-18","2026-05-02","Per=Y","Days=T","Dir=V")</f>
        <v>0</v>
      </c>
      <c r="M2">
        <f>BDH("UAA US Equity","BS_CUR_ASSET_REPORT","1993-06-18","2026-05-02","Per=Y","Days=T","Dir=V")</f>
        <v>0</v>
      </c>
      <c r="O2">
        <f>BDH("UAA US Equity","BS_CUR_LIAB","1993-06-18","2026-05-02","Per=Y","Days=T","Dir=V")</f>
        <v>0</v>
      </c>
      <c r="Q2">
        <f>BDH("UAA US Equity","BS_SHAREHOLDER_EQY_ENDING_PERIOD","1993-06-18","2026-05-02","Per=Y","Days=T","Dir=V")</f>
        <v>0</v>
      </c>
      <c r="S2">
        <f>BDH("UAA US Equity","BS_ACCT_NOTE_RCV","1993-06-18","2026-05-02","Per=Y","Days=T","Dir=V")</f>
        <v>0</v>
      </c>
      <c r="U2">
        <f>BDH("UAA US Equity","BS_INVENTORIES","1993-06-18","2026-05-02","Per=Y","Days=T","Dir=V")</f>
        <v>0</v>
      </c>
      <c r="W2">
        <f>BDH("UAA US Equity","WORKING_CAPITAL","1993-06-18","2026-05-02","Per=Y","Days=T","Dir=V")</f>
        <v>0</v>
      </c>
      <c r="Y2">
        <f>BDH("UAA US Equity","SALES_REV_TURN","1993-06-18","2026-05-02","Per=Y","Days=T","Dir=V")</f>
        <v>0</v>
      </c>
      <c r="AA2">
        <f>BDH("UAA US Equity","EBIT","1993-06-18","2026-05-02","Per=Y","Days=T","Dir=V")</f>
        <v>0</v>
      </c>
      <c r="AC2">
        <f>BDH("UAA US Equity","EBITDA","1993-06-18","2026-05-02","Per=Y","Days=T","Dir=V")</f>
        <v>0</v>
      </c>
      <c r="AE2">
        <f>BDH("UAA US Equity","NET_INCOME","1993-06-18","2026-05-02","Per=Y","Days=T","Dir=V")</f>
        <v>0</v>
      </c>
      <c r="AG2">
        <f>BDH("UAA US Equity","IS_INT_EXPENSE","1993-06-18","2026-05-02","Per=Y","Days=T","Dir=V")</f>
        <v>0</v>
      </c>
      <c r="AI2">
        <f>BDH("UAA US Equity","IS_DEPR_EXP","1993-06-18","2026-05-02","Per=Y","Days=T","Dir=V")</f>
        <v>0</v>
      </c>
      <c r="AK2">
        <f>BDH("UAA US Equity","CF_CASH_FROM_OPER","1993-06-18","2026-05-02","Per=Y","Days=T","Dir=V")</f>
        <v>0</v>
      </c>
      <c r="AM2">
        <f>BDH("UAA US Equity","CAPITAL_EXPEND","1993-06-18","2026-05-02","Per=Y","Days=T","Dir=V")</f>
        <v>0</v>
      </c>
      <c r="AO2">
        <f>BDH("UAA US Equity","CF_FREE_CASH_FLOW","1993-06-18","2026-05-02","Per=Y","Days=T","Dir=V")</f>
        <v>0</v>
      </c>
      <c r="AQ2">
        <f>BDH("UAA US Equity","PX_LAST","1993-06-18","2026-05-02","Per=M","Days=T","Dir=V")</f>
        <v>0</v>
      </c>
      <c r="AS2">
        <f>BDH("UAA US Equity","CUR_MKT_CAP","1993-06-18","2026-05-02","Per=M","Days=T","Dir=V")</f>
        <v>0</v>
      </c>
      <c r="AU2">
        <f>BDH("UAA US Equity","EQY_SH_OUT","1993-06-18","2026-05-02","Per=M","Days=T","Dir=V")</f>
        <v>0</v>
      </c>
      <c r="AW2">
        <f>BDH("UAA US Equity","PX_VOLUME","1993-06-18","2026-05-02","Per=M","Days=T","Dir=V")</f>
        <v>0</v>
      </c>
      <c r="AY2">
        <f>BDH("UAA US Equity","TURNOVER","1993-06-18","2026-05-02","Per=M","Days=T","Dir=V")</f>
        <v>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BDH("UAL US Equity","BS_TOT_ASSET","1993-06-18","2026-05-02","Per=Y","Days=T","Dir=V")</f>
        <v>0</v>
      </c>
      <c r="C2">
        <f>BDH("UAL US Equity","BS_TOT_LIAB2","1993-06-18","2026-05-02","Per=Y","Days=T","Dir=V")</f>
        <v>0</v>
      </c>
      <c r="E2">
        <f>BDH("UAL US Equity","SHORT_AND_LONG_TERM_DEBT","1993-06-18","2026-05-02","Per=Y","Days=T","Dir=V")</f>
        <v>0</v>
      </c>
      <c r="G2">
        <f>BDH("UAL US Equity","BS_ST_BORROW","1993-06-18","2026-05-02","Per=Y","Days=T","Dir=V")</f>
        <v>0</v>
      </c>
      <c r="I2">
        <f>BDH("UAL US Equity","BS_LT_BORROW","1993-06-18","2026-05-02","Per=Y","Days=T","Dir=V")</f>
        <v>0</v>
      </c>
      <c r="K2">
        <f>BDH("UAL US Equity","BS_CASH_NEAR_CASH_ITEM","1993-06-18","2026-05-02","Per=Y","Days=T","Dir=V")</f>
        <v>0</v>
      </c>
      <c r="M2">
        <f>BDH("UAL US Equity","BS_CUR_ASSET_REPORT","1993-06-18","2026-05-02","Per=Y","Days=T","Dir=V")</f>
        <v>0</v>
      </c>
      <c r="O2">
        <f>BDH("UAL US Equity","BS_CUR_LIAB","1993-06-18","2026-05-02","Per=Y","Days=T","Dir=V")</f>
        <v>0</v>
      </c>
      <c r="Q2">
        <f>BDH("UAL US Equity","BS_SHAREHOLDER_EQY_ENDING_PERIOD","1993-06-18","2026-05-02","Per=Y","Days=T","Dir=V")</f>
        <v>0</v>
      </c>
      <c r="S2">
        <f>BDH("UAL US Equity","BS_ACCT_NOTE_RCV","1993-06-18","2026-05-02","Per=Y","Days=T","Dir=V")</f>
        <v>0</v>
      </c>
      <c r="U2">
        <f>BDH("UAL US Equity","BS_INVENTORIES","1993-06-18","2026-05-02","Per=Y","Days=T","Dir=V")</f>
        <v>0</v>
      </c>
      <c r="W2">
        <f>BDH("UAL US Equity","WORKING_CAPITAL","1993-06-18","2026-05-02","Per=Y","Days=T","Dir=V")</f>
        <v>0</v>
      </c>
      <c r="Y2">
        <f>BDH("UAL US Equity","SALES_REV_TURN","1993-06-18","2026-05-02","Per=Y","Days=T","Dir=V")</f>
        <v>0</v>
      </c>
      <c r="AA2">
        <f>BDH("UAL US Equity","EBIT","1993-06-18","2026-05-02","Per=Y","Days=T","Dir=V")</f>
        <v>0</v>
      </c>
      <c r="AC2">
        <f>BDH("UAL US Equity","EBITDA","1993-06-18","2026-05-02","Per=Y","Days=T","Dir=V")</f>
        <v>0</v>
      </c>
      <c r="AE2">
        <f>BDH("UAL US Equity","NET_INCOME","1993-06-18","2026-05-02","Per=Y","Days=T","Dir=V")</f>
        <v>0</v>
      </c>
      <c r="AG2">
        <f>BDH("UAL US Equity","IS_INT_EXPENSE","1993-06-18","2026-05-02","Per=Y","Days=T","Dir=V")</f>
        <v>0</v>
      </c>
      <c r="AI2">
        <f>BDH("UAL US Equity","IS_DEPR_EXP","1993-06-18","2026-05-02","Per=Y","Days=T","Dir=V")</f>
        <v>0</v>
      </c>
      <c r="AK2">
        <f>BDH("UAL US Equity","CF_CASH_FROM_OPER","1993-06-18","2026-05-02","Per=Y","Days=T","Dir=V")</f>
        <v>0</v>
      </c>
      <c r="AM2">
        <f>BDH("UAL US Equity","CAPITAL_EXPEND","1993-06-18","2026-05-02","Per=Y","Days=T","Dir=V")</f>
        <v>0</v>
      </c>
      <c r="AO2">
        <f>BDH("UAL US Equity","CF_FREE_CASH_FLOW","1993-06-18","2026-05-02","Per=Y","Days=T","Dir=V")</f>
        <v>0</v>
      </c>
      <c r="AQ2">
        <f>BDH("UAL US Equity","PX_LAST","1993-06-18","2026-05-02","Per=M","Days=T","Dir=V")</f>
        <v>0</v>
      </c>
      <c r="AS2">
        <f>BDH("UAL US Equity","CUR_MKT_CAP","1993-06-18","2026-05-02","Per=M","Days=T","Dir=V")</f>
        <v>0</v>
      </c>
      <c r="AU2">
        <f>BDH("UAL US Equity","EQY_SH_OUT","1993-06-18","2026-05-02","Per=M","Days=T","Dir=V")</f>
        <v>0</v>
      </c>
      <c r="AW2">
        <f>BDH("UAL US Equity","PX_VOLUME","1993-06-18","2026-05-02","Per=M","Days=T","Dir=V")</f>
        <v>0</v>
      </c>
      <c r="AY2">
        <f>BDH("UAL US Equity","TURNOVER","1993-06-18","2026-05-02","Per=M","Days=T","Dir=V")</f>
        <v>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BDH("UAMY US Equity","BS_TOT_ASSET","1993-06-18","2026-05-02","Per=Y","Days=T","Dir=V")</f>
        <v>0</v>
      </c>
      <c r="C2">
        <f>BDH("UAMY US Equity","BS_TOT_LIAB2","1993-06-18","2026-05-02","Per=Y","Days=T","Dir=V")</f>
        <v>0</v>
      </c>
      <c r="E2">
        <f>BDH("UAMY US Equity","SHORT_AND_LONG_TERM_DEBT","1993-06-18","2026-05-02","Per=Y","Days=T","Dir=V")</f>
        <v>0</v>
      </c>
      <c r="G2">
        <f>BDH("UAMY US Equity","BS_ST_BORROW","1993-06-18","2026-05-02","Per=Y","Days=T","Dir=V")</f>
        <v>0</v>
      </c>
      <c r="I2">
        <f>BDH("UAMY US Equity","BS_LT_BORROW","1993-06-18","2026-05-02","Per=Y","Days=T","Dir=V")</f>
        <v>0</v>
      </c>
      <c r="K2">
        <f>BDH("UAMY US Equity","BS_CASH_NEAR_CASH_ITEM","1993-06-18","2026-05-02","Per=Y","Days=T","Dir=V")</f>
        <v>0</v>
      </c>
      <c r="M2">
        <f>BDH("UAMY US Equity","BS_CUR_ASSET_REPORT","1993-06-18","2026-05-02","Per=Y","Days=T","Dir=V")</f>
        <v>0</v>
      </c>
      <c r="O2">
        <f>BDH("UAMY US Equity","BS_CUR_LIAB","1993-06-18","2026-05-02","Per=Y","Days=T","Dir=V")</f>
        <v>0</v>
      </c>
      <c r="Q2">
        <f>BDH("UAMY US Equity","BS_SHAREHOLDER_EQY_ENDING_PERIOD","1993-06-18","2026-05-02","Per=Y","Days=T","Dir=V")</f>
        <v>0</v>
      </c>
      <c r="S2">
        <f>BDH("UAMY US Equity","BS_ACCT_NOTE_RCV","1993-06-18","2026-05-02","Per=Y","Days=T","Dir=V")</f>
        <v>0</v>
      </c>
      <c r="U2">
        <f>BDH("UAMY US Equity","BS_INVENTORIES","1993-06-18","2026-05-02","Per=Y","Days=T","Dir=V")</f>
        <v>0</v>
      </c>
      <c r="W2">
        <f>BDH("UAMY US Equity","WORKING_CAPITAL","1993-06-18","2026-05-02","Per=Y","Days=T","Dir=V")</f>
        <v>0</v>
      </c>
      <c r="Y2">
        <f>BDH("UAMY US Equity","SALES_REV_TURN","1993-06-18","2026-05-02","Per=Y","Days=T","Dir=V")</f>
        <v>0</v>
      </c>
      <c r="AA2">
        <f>BDH("UAMY US Equity","EBIT","1993-06-18","2026-05-02","Per=Y","Days=T","Dir=V")</f>
        <v>0</v>
      </c>
      <c r="AC2">
        <f>BDH("UAMY US Equity","EBITDA","1993-06-18","2026-05-02","Per=Y","Days=T","Dir=V")</f>
        <v>0</v>
      </c>
      <c r="AE2">
        <f>BDH("UAMY US Equity","NET_INCOME","1993-06-18","2026-05-02","Per=Y","Days=T","Dir=V")</f>
        <v>0</v>
      </c>
      <c r="AG2">
        <f>BDH("UAMY US Equity","IS_INT_EXPENSE","1993-06-18","2026-05-02","Per=Y","Days=T","Dir=V")</f>
        <v>0</v>
      </c>
      <c r="AI2">
        <f>BDH("UAMY US Equity","IS_DEPR_EXP","1993-06-18","2026-05-02","Per=Y","Days=T","Dir=V")</f>
        <v>0</v>
      </c>
      <c r="AK2">
        <f>BDH("UAMY US Equity","CF_CASH_FROM_OPER","1993-06-18","2026-05-02","Per=Y","Days=T","Dir=V")</f>
        <v>0</v>
      </c>
      <c r="AM2">
        <f>BDH("UAMY US Equity","CAPITAL_EXPEND","1993-06-18","2026-05-02","Per=Y","Days=T","Dir=V")</f>
        <v>0</v>
      </c>
      <c r="AO2">
        <f>BDH("UAMY US Equity","CF_FREE_CASH_FLOW","1993-06-18","2026-05-02","Per=Y","Days=T","Dir=V")</f>
        <v>0</v>
      </c>
      <c r="AQ2">
        <f>BDH("UAMY US Equity","PX_LAST","1993-06-18","2026-05-02","Per=M","Days=T","Dir=V")</f>
        <v>0</v>
      </c>
      <c r="AS2">
        <f>BDH("UAMY US Equity","CUR_MKT_CAP","1993-06-18","2026-05-02","Per=M","Days=T","Dir=V")</f>
        <v>0</v>
      </c>
      <c r="AU2">
        <f>BDH("UAMY US Equity","EQY_SH_OUT","1993-06-18","2026-05-02","Per=M","Days=T","Dir=V")</f>
        <v>0</v>
      </c>
      <c r="AW2">
        <f>BDH("UAMY US Equity","PX_VOLUME","1993-06-18","2026-05-02","Per=M","Days=T","Dir=V")</f>
        <v>0</v>
      </c>
      <c r="AY2">
        <f>BDH("UAMY US Equity","TURNOVER","1993-06-18","2026-05-02","Per=M","Days=T","Dir=V")</f>
        <v>0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BDH("UAN US Equity","BS_TOT_ASSET","1993-06-18","2026-05-02","Per=Y","Days=T","Dir=V")</f>
        <v>0</v>
      </c>
      <c r="C2">
        <f>BDH("UAN US Equity","BS_TOT_LIAB2","1993-06-18","2026-05-02","Per=Y","Days=T","Dir=V")</f>
        <v>0</v>
      </c>
      <c r="E2">
        <f>BDH("UAN US Equity","SHORT_AND_LONG_TERM_DEBT","1993-06-18","2026-05-02","Per=Y","Days=T","Dir=V")</f>
        <v>0</v>
      </c>
      <c r="G2">
        <f>BDH("UAN US Equity","BS_ST_BORROW","1993-06-18","2026-05-02","Per=Y","Days=T","Dir=V")</f>
        <v>0</v>
      </c>
      <c r="I2">
        <f>BDH("UAN US Equity","BS_LT_BORROW","1993-06-18","2026-05-02","Per=Y","Days=T","Dir=V")</f>
        <v>0</v>
      </c>
      <c r="K2">
        <f>BDH("UAN US Equity","BS_CASH_NEAR_CASH_ITEM","1993-06-18","2026-05-02","Per=Y","Days=T","Dir=V")</f>
        <v>0</v>
      </c>
      <c r="M2">
        <f>BDH("UAN US Equity","BS_CUR_ASSET_REPORT","1993-06-18","2026-05-02","Per=Y","Days=T","Dir=V")</f>
        <v>0</v>
      </c>
      <c r="O2">
        <f>BDH("UAN US Equity","BS_CUR_LIAB","1993-06-18","2026-05-02","Per=Y","Days=T","Dir=V")</f>
        <v>0</v>
      </c>
      <c r="Q2">
        <f>BDH("UAN US Equity","BS_SHAREHOLDER_EQY_ENDING_PERIOD","1993-06-18","2026-05-02","Per=Y","Days=T","Dir=V")</f>
        <v>0</v>
      </c>
      <c r="S2">
        <f>BDH("UAN US Equity","BS_ACCT_NOTE_RCV","1993-06-18","2026-05-02","Per=Y","Days=T","Dir=V")</f>
        <v>0</v>
      </c>
      <c r="U2">
        <f>BDH("UAN US Equity","BS_INVENTORIES","1993-06-18","2026-05-02","Per=Y","Days=T","Dir=V")</f>
        <v>0</v>
      </c>
      <c r="W2">
        <f>BDH("UAN US Equity","WORKING_CAPITAL","1993-06-18","2026-05-02","Per=Y","Days=T","Dir=V")</f>
        <v>0</v>
      </c>
      <c r="Y2">
        <f>BDH("UAN US Equity","SALES_REV_TURN","1993-06-18","2026-05-02","Per=Y","Days=T","Dir=V")</f>
        <v>0</v>
      </c>
      <c r="AA2">
        <f>BDH("UAN US Equity","EBIT","1993-06-18","2026-05-02","Per=Y","Days=T","Dir=V")</f>
        <v>0</v>
      </c>
      <c r="AC2">
        <f>BDH("UAN US Equity","EBITDA","1993-06-18","2026-05-02","Per=Y","Days=T","Dir=V")</f>
        <v>0</v>
      </c>
      <c r="AE2">
        <f>BDH("UAN US Equity","NET_INCOME","1993-06-18","2026-05-02","Per=Y","Days=T","Dir=V")</f>
        <v>0</v>
      </c>
      <c r="AG2">
        <f>BDH("UAN US Equity","IS_INT_EXPENSE","1993-06-18","2026-05-02","Per=Y","Days=T","Dir=V")</f>
        <v>0</v>
      </c>
      <c r="AI2">
        <f>BDH("UAN US Equity","IS_DEPR_EXP","1993-06-18","2026-05-02","Per=Y","Days=T","Dir=V")</f>
        <v>0</v>
      </c>
      <c r="AK2">
        <f>BDH("UAN US Equity","CF_CASH_FROM_OPER","1993-06-18","2026-05-02","Per=Y","Days=T","Dir=V")</f>
        <v>0</v>
      </c>
      <c r="AM2">
        <f>BDH("UAN US Equity","CAPITAL_EXPEND","1993-06-18","2026-05-02","Per=Y","Days=T","Dir=V")</f>
        <v>0</v>
      </c>
      <c r="AO2">
        <f>BDH("UAN US Equity","CF_FREE_CASH_FLOW","1993-06-18","2026-05-02","Per=Y","Days=T","Dir=V")</f>
        <v>0</v>
      </c>
      <c r="AQ2">
        <f>BDH("UAN US Equity","PX_LAST","1993-06-18","2026-05-02","Per=M","Days=T","Dir=V")</f>
        <v>0</v>
      </c>
      <c r="AS2">
        <f>BDH("UAN US Equity","CUR_MKT_CAP","1993-06-18","2026-05-02","Per=M","Days=T","Dir=V")</f>
        <v>0</v>
      </c>
      <c r="AU2">
        <f>BDH("UAN US Equity","EQY_SH_OUT","1993-06-18","2026-05-02","Per=M","Days=T","Dir=V")</f>
        <v>0</v>
      </c>
      <c r="AW2">
        <f>BDH("UAN US Equity","PX_VOLUME","1993-06-18","2026-05-02","Per=M","Days=T","Dir=V")</f>
        <v>0</v>
      </c>
      <c r="AY2">
        <f>BDH("UAN US Equity","TURNOVER","1993-06-18","2026-05-02","Per=M","Days=T","Dir=V")</f>
        <v>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BDH("UAVS US Equity","BS_TOT_ASSET","1993-06-18","2026-05-02","Per=Y","Days=T","Dir=V")</f>
        <v>0</v>
      </c>
      <c r="C2">
        <f>BDH("UAVS US Equity","BS_TOT_LIAB2","1993-06-18","2026-05-02","Per=Y","Days=T","Dir=V")</f>
        <v>0</v>
      </c>
      <c r="E2">
        <f>BDH("UAVS US Equity","SHORT_AND_LONG_TERM_DEBT","1993-06-18","2026-05-02","Per=Y","Days=T","Dir=V")</f>
        <v>0</v>
      </c>
      <c r="G2">
        <f>BDH("UAVS US Equity","BS_ST_BORROW","1993-06-18","2026-05-02","Per=Y","Days=T","Dir=V")</f>
        <v>0</v>
      </c>
      <c r="I2">
        <f>BDH("UAVS US Equity","BS_LT_BORROW","1993-06-18","2026-05-02","Per=Y","Days=T","Dir=V")</f>
        <v>0</v>
      </c>
      <c r="K2">
        <f>BDH("UAVS US Equity","BS_CASH_NEAR_CASH_ITEM","1993-06-18","2026-05-02","Per=Y","Days=T","Dir=V")</f>
        <v>0</v>
      </c>
      <c r="M2">
        <f>BDH("UAVS US Equity","BS_CUR_ASSET_REPORT","1993-06-18","2026-05-02","Per=Y","Days=T","Dir=V")</f>
        <v>0</v>
      </c>
      <c r="O2">
        <f>BDH("UAVS US Equity","BS_CUR_LIAB","1993-06-18","2026-05-02","Per=Y","Days=T","Dir=V")</f>
        <v>0</v>
      </c>
      <c r="Q2">
        <f>BDH("UAVS US Equity","BS_SHAREHOLDER_EQY_ENDING_PERIOD","1993-06-18","2026-05-02","Per=Y","Days=T","Dir=V")</f>
        <v>0</v>
      </c>
      <c r="S2">
        <f>BDH("UAVS US Equity","BS_ACCT_NOTE_RCV","1993-06-18","2026-05-02","Per=Y","Days=T","Dir=V")</f>
        <v>0</v>
      </c>
      <c r="U2">
        <f>BDH("UAVS US Equity","BS_INVENTORIES","1993-06-18","2026-05-02","Per=Y","Days=T","Dir=V")</f>
        <v>0</v>
      </c>
      <c r="W2">
        <f>BDH("UAVS US Equity","WORKING_CAPITAL","1993-06-18","2026-05-02","Per=Y","Days=T","Dir=V")</f>
        <v>0</v>
      </c>
      <c r="Y2">
        <f>BDH("UAVS US Equity","SALES_REV_TURN","1993-06-18","2026-05-02","Per=Y","Days=T","Dir=V")</f>
        <v>0</v>
      </c>
      <c r="AA2">
        <f>BDH("UAVS US Equity","EBIT","1993-06-18","2026-05-02","Per=Y","Days=T","Dir=V")</f>
        <v>0</v>
      </c>
      <c r="AC2">
        <f>BDH("UAVS US Equity","EBITDA","1993-06-18","2026-05-02","Per=Y","Days=T","Dir=V")</f>
        <v>0</v>
      </c>
      <c r="AE2">
        <f>BDH("UAVS US Equity","NET_INCOME","1993-06-18","2026-05-02","Per=Y","Days=T","Dir=V")</f>
        <v>0</v>
      </c>
      <c r="AG2">
        <f>BDH("UAVS US Equity","IS_INT_EXPENSE","1993-06-18","2026-05-02","Per=Y","Days=T","Dir=V")</f>
        <v>0</v>
      </c>
      <c r="AI2">
        <f>BDH("UAVS US Equity","IS_DEPR_EXP","1993-06-18","2026-05-02","Per=Y","Days=T","Dir=V")</f>
        <v>0</v>
      </c>
      <c r="AK2">
        <f>BDH("UAVS US Equity","CF_CASH_FROM_OPER","1993-06-18","2026-05-02","Per=Y","Days=T","Dir=V")</f>
        <v>0</v>
      </c>
      <c r="AM2">
        <f>BDH("UAVS US Equity","CAPITAL_EXPEND","1993-06-18","2026-05-02","Per=Y","Days=T","Dir=V")</f>
        <v>0</v>
      </c>
      <c r="AO2">
        <f>BDH("UAVS US Equity","CF_FREE_CASH_FLOW","1993-06-18","2026-05-02","Per=Y","Days=T","Dir=V")</f>
        <v>0</v>
      </c>
      <c r="AQ2">
        <f>BDH("UAVS US Equity","PX_LAST","1993-06-18","2026-05-02","Per=M","Days=T","Dir=V")</f>
        <v>0</v>
      </c>
      <c r="AS2">
        <f>BDH("UAVS US Equity","CUR_MKT_CAP","1993-06-18","2026-05-02","Per=M","Days=T","Dir=V")</f>
        <v>0</v>
      </c>
      <c r="AU2">
        <f>BDH("UAVS US Equity","EQY_SH_OUT","1993-06-18","2026-05-02","Per=M","Days=T","Dir=V")</f>
        <v>0</v>
      </c>
      <c r="AW2">
        <f>BDH("UAVS US Equity","PX_VOLUME","1993-06-18","2026-05-02","Per=M","Days=T","Dir=V")</f>
        <v>0</v>
      </c>
      <c r="AY2">
        <f>BDH("UAVS US Equity","TURNOVER","1993-06-18","2026-05-02","Per=M","Days=T","Dir=V")</f>
        <v>0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BDH("UBER US Equity","BS_TOT_ASSET","1993-06-18","2026-05-02","Per=Y","Days=T","Dir=V")</f>
        <v>0</v>
      </c>
      <c r="C2">
        <f>BDH("UBER US Equity","BS_TOT_LIAB2","1993-06-18","2026-05-02","Per=Y","Days=T","Dir=V")</f>
        <v>0</v>
      </c>
      <c r="E2">
        <f>BDH("UBER US Equity","SHORT_AND_LONG_TERM_DEBT","1993-06-18","2026-05-02","Per=Y","Days=T","Dir=V")</f>
        <v>0</v>
      </c>
      <c r="G2">
        <f>BDH("UBER US Equity","BS_ST_BORROW","1993-06-18","2026-05-02","Per=Y","Days=T","Dir=V")</f>
        <v>0</v>
      </c>
      <c r="I2">
        <f>BDH("UBER US Equity","BS_LT_BORROW","1993-06-18","2026-05-02","Per=Y","Days=T","Dir=V")</f>
        <v>0</v>
      </c>
      <c r="K2">
        <f>BDH("UBER US Equity","BS_CASH_NEAR_CASH_ITEM","1993-06-18","2026-05-02","Per=Y","Days=T","Dir=V")</f>
        <v>0</v>
      </c>
      <c r="M2">
        <f>BDH("UBER US Equity","BS_CUR_ASSET_REPORT","1993-06-18","2026-05-02","Per=Y","Days=T","Dir=V")</f>
        <v>0</v>
      </c>
      <c r="O2">
        <f>BDH("UBER US Equity","BS_CUR_LIAB","1993-06-18","2026-05-02","Per=Y","Days=T","Dir=V")</f>
        <v>0</v>
      </c>
      <c r="Q2">
        <f>BDH("UBER US Equity","BS_SHAREHOLDER_EQY_ENDING_PERIOD","1993-06-18","2026-05-02","Per=Y","Days=T","Dir=V")</f>
        <v>0</v>
      </c>
      <c r="S2">
        <f>BDH("UBER US Equity","BS_ACCT_NOTE_RCV","1993-06-18","2026-05-02","Per=Y","Days=T","Dir=V")</f>
        <v>0</v>
      </c>
      <c r="U2">
        <f>BDH("UBER US Equity","BS_INVENTORIES","1993-06-18","2026-05-02","Per=Y","Days=T","Dir=V")</f>
        <v>0</v>
      </c>
      <c r="W2">
        <f>BDH("UBER US Equity","WORKING_CAPITAL","1993-06-18","2026-05-02","Per=Y","Days=T","Dir=V")</f>
        <v>0</v>
      </c>
      <c r="Y2">
        <f>BDH("UBER US Equity","SALES_REV_TURN","1993-06-18","2026-05-02","Per=Y","Days=T","Dir=V")</f>
        <v>0</v>
      </c>
      <c r="AA2">
        <f>BDH("UBER US Equity","EBIT","1993-06-18","2026-05-02","Per=Y","Days=T","Dir=V")</f>
        <v>0</v>
      </c>
      <c r="AC2">
        <f>BDH("UBER US Equity","EBITDA","1993-06-18","2026-05-02","Per=Y","Days=T","Dir=V")</f>
        <v>0</v>
      </c>
      <c r="AE2">
        <f>BDH("UBER US Equity","NET_INCOME","1993-06-18","2026-05-02","Per=Y","Days=T","Dir=V")</f>
        <v>0</v>
      </c>
      <c r="AG2">
        <f>BDH("UBER US Equity","IS_INT_EXPENSE","1993-06-18","2026-05-02","Per=Y","Days=T","Dir=V")</f>
        <v>0</v>
      </c>
      <c r="AI2">
        <f>BDH("UBER US Equity","IS_DEPR_EXP","1993-06-18","2026-05-02","Per=Y","Days=T","Dir=V")</f>
        <v>0</v>
      </c>
      <c r="AK2">
        <f>BDH("UBER US Equity","CF_CASH_FROM_OPER","1993-06-18","2026-05-02","Per=Y","Days=T","Dir=V")</f>
        <v>0</v>
      </c>
      <c r="AM2">
        <f>BDH("UBER US Equity","CAPITAL_EXPEND","1993-06-18","2026-05-02","Per=Y","Days=T","Dir=V")</f>
        <v>0</v>
      </c>
      <c r="AO2">
        <f>BDH("UBER US Equity","CF_FREE_CASH_FLOW","1993-06-18","2026-05-02","Per=Y","Days=T","Dir=V")</f>
        <v>0</v>
      </c>
      <c r="AQ2">
        <f>BDH("UBER US Equity","PX_LAST","1993-06-18","2026-05-02","Per=M","Days=T","Dir=V")</f>
        <v>0</v>
      </c>
      <c r="AS2">
        <f>BDH("UBER US Equity","CUR_MKT_CAP","1993-06-18","2026-05-02","Per=M","Days=T","Dir=V")</f>
        <v>0</v>
      </c>
      <c r="AU2">
        <f>BDH("UBER US Equity","EQY_SH_OUT","1993-06-18","2026-05-02","Per=M","Days=T","Dir=V")</f>
        <v>0</v>
      </c>
      <c r="AW2">
        <f>BDH("UBER US Equity","PX_VOLUME","1993-06-18","2026-05-02","Per=M","Days=T","Dir=V")</f>
        <v>0</v>
      </c>
      <c r="AY2">
        <f>BDH("UBER US Equity","TURNOVER","1993-06-18","2026-05-02","Per=M","Days=T","Dir=V")</f>
        <v>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BDH("UCTT US Equity","BS_TOT_ASSET","1993-06-18","2026-05-02","Per=Y","Days=T","Dir=V")</f>
        <v>0</v>
      </c>
      <c r="C2">
        <f>BDH("UCTT US Equity","BS_TOT_LIAB2","1993-06-18","2026-05-02","Per=Y","Days=T","Dir=V")</f>
        <v>0</v>
      </c>
      <c r="E2">
        <f>BDH("UCTT US Equity","SHORT_AND_LONG_TERM_DEBT","1993-06-18","2026-05-02","Per=Y","Days=T","Dir=V")</f>
        <v>0</v>
      </c>
      <c r="G2">
        <f>BDH("UCTT US Equity","BS_ST_BORROW","1993-06-18","2026-05-02","Per=Y","Days=T","Dir=V")</f>
        <v>0</v>
      </c>
      <c r="I2">
        <f>BDH("UCTT US Equity","BS_LT_BORROW","1993-06-18","2026-05-02","Per=Y","Days=T","Dir=V")</f>
        <v>0</v>
      </c>
      <c r="K2">
        <f>BDH("UCTT US Equity","BS_CASH_NEAR_CASH_ITEM","1993-06-18","2026-05-02","Per=Y","Days=T","Dir=V")</f>
        <v>0</v>
      </c>
      <c r="M2">
        <f>BDH("UCTT US Equity","BS_CUR_ASSET_REPORT","1993-06-18","2026-05-02","Per=Y","Days=T","Dir=V")</f>
        <v>0</v>
      </c>
      <c r="O2">
        <f>BDH("UCTT US Equity","BS_CUR_LIAB","1993-06-18","2026-05-02","Per=Y","Days=T","Dir=V")</f>
        <v>0</v>
      </c>
      <c r="Q2">
        <f>BDH("UCTT US Equity","BS_SHAREHOLDER_EQY_ENDING_PERIOD","1993-06-18","2026-05-02","Per=Y","Days=T","Dir=V")</f>
        <v>0</v>
      </c>
      <c r="S2">
        <f>BDH("UCTT US Equity","BS_ACCT_NOTE_RCV","1993-06-18","2026-05-02","Per=Y","Days=T","Dir=V")</f>
        <v>0</v>
      </c>
      <c r="U2">
        <f>BDH("UCTT US Equity","BS_INVENTORIES","1993-06-18","2026-05-02","Per=Y","Days=T","Dir=V")</f>
        <v>0</v>
      </c>
      <c r="W2">
        <f>BDH("UCTT US Equity","WORKING_CAPITAL","1993-06-18","2026-05-02","Per=Y","Days=T","Dir=V")</f>
        <v>0</v>
      </c>
      <c r="Y2">
        <f>BDH("UCTT US Equity","SALES_REV_TURN","1993-06-18","2026-05-02","Per=Y","Days=T","Dir=V")</f>
        <v>0</v>
      </c>
      <c r="AA2">
        <f>BDH("UCTT US Equity","EBIT","1993-06-18","2026-05-02","Per=Y","Days=T","Dir=V")</f>
        <v>0</v>
      </c>
      <c r="AC2">
        <f>BDH("UCTT US Equity","EBITDA","1993-06-18","2026-05-02","Per=Y","Days=T","Dir=V")</f>
        <v>0</v>
      </c>
      <c r="AE2">
        <f>BDH("UCTT US Equity","NET_INCOME","1993-06-18","2026-05-02","Per=Y","Days=T","Dir=V")</f>
        <v>0</v>
      </c>
      <c r="AG2">
        <f>BDH("UCTT US Equity","IS_INT_EXPENSE","1993-06-18","2026-05-02","Per=Y","Days=T","Dir=V")</f>
        <v>0</v>
      </c>
      <c r="AI2">
        <f>BDH("UCTT US Equity","IS_DEPR_EXP","1993-06-18","2026-05-02","Per=Y","Days=T","Dir=V")</f>
        <v>0</v>
      </c>
      <c r="AK2">
        <f>BDH("UCTT US Equity","CF_CASH_FROM_OPER","1993-06-18","2026-05-02","Per=Y","Days=T","Dir=V")</f>
        <v>0</v>
      </c>
      <c r="AM2">
        <f>BDH("UCTT US Equity","CAPITAL_EXPEND","1993-06-18","2026-05-02","Per=Y","Days=T","Dir=V")</f>
        <v>0</v>
      </c>
      <c r="AO2">
        <f>BDH("UCTT US Equity","CF_FREE_CASH_FLOW","1993-06-18","2026-05-02","Per=Y","Days=T","Dir=V")</f>
        <v>0</v>
      </c>
      <c r="AQ2">
        <f>BDH("UCTT US Equity","PX_LAST","1993-06-18","2026-05-02","Per=M","Days=T","Dir=V")</f>
        <v>0</v>
      </c>
      <c r="AS2">
        <f>BDH("UCTT US Equity","CUR_MKT_CAP","1993-06-18","2026-05-02","Per=M","Days=T","Dir=V")</f>
        <v>0</v>
      </c>
      <c r="AU2">
        <f>BDH("UCTT US Equity","EQY_SH_OUT","1993-06-18","2026-05-02","Per=M","Days=T","Dir=V")</f>
        <v>0</v>
      </c>
      <c r="AW2">
        <f>BDH("UCTT US Equity","PX_VOLUME","1993-06-18","2026-05-02","Per=M","Days=T","Dir=V")</f>
        <v>0</v>
      </c>
      <c r="AY2">
        <f>BDH("UCTT US Equity","TURNOVER","1993-06-18","2026-05-02","Per=M","Days=T","Dir=V")</f>
        <v>0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BDH("UEIC US Equity","BS_TOT_ASSET","1993-06-18","2026-05-02","Per=Y","Days=T","Dir=V")</f>
        <v>0</v>
      </c>
      <c r="C2">
        <f>BDH("UEIC US Equity","BS_TOT_LIAB2","1993-06-18","2026-05-02","Per=Y","Days=T","Dir=V")</f>
        <v>0</v>
      </c>
      <c r="E2">
        <f>BDH("UEIC US Equity","SHORT_AND_LONG_TERM_DEBT","1993-06-18","2026-05-02","Per=Y","Days=T","Dir=V")</f>
        <v>0</v>
      </c>
      <c r="G2">
        <f>BDH("UEIC US Equity","BS_ST_BORROW","1993-06-18","2026-05-02","Per=Y","Days=T","Dir=V")</f>
        <v>0</v>
      </c>
      <c r="I2">
        <f>BDH("UEIC US Equity","BS_LT_BORROW","1993-06-18","2026-05-02","Per=Y","Days=T","Dir=V")</f>
        <v>0</v>
      </c>
      <c r="K2">
        <f>BDH("UEIC US Equity","BS_CASH_NEAR_CASH_ITEM","1993-06-18","2026-05-02","Per=Y","Days=T","Dir=V")</f>
        <v>0</v>
      </c>
      <c r="M2">
        <f>BDH("UEIC US Equity","BS_CUR_ASSET_REPORT","1993-06-18","2026-05-02","Per=Y","Days=T","Dir=V")</f>
        <v>0</v>
      </c>
      <c r="O2">
        <f>BDH("UEIC US Equity","BS_CUR_LIAB","1993-06-18","2026-05-02","Per=Y","Days=T","Dir=V")</f>
        <v>0</v>
      </c>
      <c r="Q2">
        <f>BDH("UEIC US Equity","BS_SHAREHOLDER_EQY_ENDING_PERIOD","1993-06-18","2026-05-02","Per=Y","Days=T","Dir=V")</f>
        <v>0</v>
      </c>
      <c r="S2">
        <f>BDH("UEIC US Equity","BS_ACCT_NOTE_RCV","1993-06-18","2026-05-02","Per=Y","Days=T","Dir=V")</f>
        <v>0</v>
      </c>
      <c r="U2">
        <f>BDH("UEIC US Equity","BS_INVENTORIES","1993-06-18","2026-05-02","Per=Y","Days=T","Dir=V")</f>
        <v>0</v>
      </c>
      <c r="W2">
        <f>BDH("UEIC US Equity","WORKING_CAPITAL","1993-06-18","2026-05-02","Per=Y","Days=T","Dir=V")</f>
        <v>0</v>
      </c>
      <c r="Y2">
        <f>BDH("UEIC US Equity","SALES_REV_TURN","1993-06-18","2026-05-02","Per=Y","Days=T","Dir=V")</f>
        <v>0</v>
      </c>
      <c r="AA2">
        <f>BDH("UEIC US Equity","EBIT","1993-06-18","2026-05-02","Per=Y","Days=T","Dir=V")</f>
        <v>0</v>
      </c>
      <c r="AC2">
        <f>BDH("UEIC US Equity","EBITDA","1993-06-18","2026-05-02","Per=Y","Days=T","Dir=V")</f>
        <v>0</v>
      </c>
      <c r="AE2">
        <f>BDH("UEIC US Equity","NET_INCOME","1993-06-18","2026-05-02","Per=Y","Days=T","Dir=V")</f>
        <v>0</v>
      </c>
      <c r="AG2">
        <f>BDH("UEIC US Equity","IS_INT_EXPENSE","1993-06-18","2026-05-02","Per=Y","Days=T","Dir=V")</f>
        <v>0</v>
      </c>
      <c r="AI2">
        <f>BDH("UEIC US Equity","IS_DEPR_EXP","1993-06-18","2026-05-02","Per=Y","Days=T","Dir=V")</f>
        <v>0</v>
      </c>
      <c r="AK2">
        <f>BDH("UEIC US Equity","CF_CASH_FROM_OPER","1993-06-18","2026-05-02","Per=Y","Days=T","Dir=V")</f>
        <v>0</v>
      </c>
      <c r="AM2">
        <f>BDH("UEIC US Equity","CAPITAL_EXPEND","1993-06-18","2026-05-02","Per=Y","Days=T","Dir=V")</f>
        <v>0</v>
      </c>
      <c r="AO2">
        <f>BDH("UEIC US Equity","CF_FREE_CASH_FLOW","1993-06-18","2026-05-02","Per=Y","Days=T","Dir=V")</f>
        <v>0</v>
      </c>
      <c r="AQ2">
        <f>BDH("UEIC US Equity","PX_LAST","1993-06-18","2026-05-02","Per=M","Days=T","Dir=V")</f>
        <v>0</v>
      </c>
      <c r="AS2">
        <f>BDH("UEIC US Equity","CUR_MKT_CAP","1993-06-18","2026-05-02","Per=M","Days=T","Dir=V")</f>
        <v>0</v>
      </c>
      <c r="AU2">
        <f>BDH("UEIC US Equity","EQY_SH_OUT","1993-06-18","2026-05-02","Per=M","Days=T","Dir=V")</f>
        <v>0</v>
      </c>
      <c r="AW2">
        <f>BDH("UEIC US Equity","PX_VOLUME","1993-06-18","2026-05-02","Per=M","Days=T","Dir=V")</f>
        <v>0</v>
      </c>
      <c r="AY2">
        <f>BDH("UEIC US Equity","TURNOVER","1993-06-18","2026-05-02","Per=M","Days=T","Dir=V")</f>
        <v>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BDH("UFI US Equity","BS_TOT_ASSET","1993-06-18","2026-05-02","Per=Y","Days=T","Dir=V")</f>
        <v>0</v>
      </c>
      <c r="C2">
        <f>BDH("UFI US Equity","BS_TOT_LIAB2","1993-06-18","2026-05-02","Per=Y","Days=T","Dir=V")</f>
        <v>0</v>
      </c>
      <c r="E2">
        <f>BDH("UFI US Equity","SHORT_AND_LONG_TERM_DEBT","1993-06-18","2026-05-02","Per=Y","Days=T","Dir=V")</f>
        <v>0</v>
      </c>
      <c r="G2">
        <f>BDH("UFI US Equity","BS_ST_BORROW","1993-06-18","2026-05-02","Per=Y","Days=T","Dir=V")</f>
        <v>0</v>
      </c>
      <c r="I2">
        <f>BDH("UFI US Equity","BS_LT_BORROW","1993-06-18","2026-05-02","Per=Y","Days=T","Dir=V")</f>
        <v>0</v>
      </c>
      <c r="K2">
        <f>BDH("UFI US Equity","BS_CASH_NEAR_CASH_ITEM","1993-06-18","2026-05-02","Per=Y","Days=T","Dir=V")</f>
        <v>0</v>
      </c>
      <c r="M2">
        <f>BDH("UFI US Equity","BS_CUR_ASSET_REPORT","1993-06-18","2026-05-02","Per=Y","Days=T","Dir=V")</f>
        <v>0</v>
      </c>
      <c r="O2">
        <f>BDH("UFI US Equity","BS_CUR_LIAB","1993-06-18","2026-05-02","Per=Y","Days=T","Dir=V")</f>
        <v>0</v>
      </c>
      <c r="Q2">
        <f>BDH("UFI US Equity","BS_SHAREHOLDER_EQY_ENDING_PERIOD","1993-06-18","2026-05-02","Per=Y","Days=T","Dir=V")</f>
        <v>0</v>
      </c>
      <c r="S2">
        <f>BDH("UFI US Equity","BS_ACCT_NOTE_RCV","1993-06-18","2026-05-02","Per=Y","Days=T","Dir=V")</f>
        <v>0</v>
      </c>
      <c r="U2">
        <f>BDH("UFI US Equity","BS_INVENTORIES","1993-06-18","2026-05-02","Per=Y","Days=T","Dir=V")</f>
        <v>0</v>
      </c>
      <c r="W2">
        <f>BDH("UFI US Equity","WORKING_CAPITAL","1993-06-18","2026-05-02","Per=Y","Days=T","Dir=V")</f>
        <v>0</v>
      </c>
      <c r="Y2">
        <f>BDH("UFI US Equity","SALES_REV_TURN","1993-06-18","2026-05-02","Per=Y","Days=T","Dir=V")</f>
        <v>0</v>
      </c>
      <c r="AA2">
        <f>BDH("UFI US Equity","EBIT","1993-06-18","2026-05-02","Per=Y","Days=T","Dir=V")</f>
        <v>0</v>
      </c>
      <c r="AC2">
        <f>BDH("UFI US Equity","EBITDA","1993-06-18","2026-05-02","Per=Y","Days=T","Dir=V")</f>
        <v>0</v>
      </c>
      <c r="AE2">
        <f>BDH("UFI US Equity","NET_INCOME","1993-06-18","2026-05-02","Per=Y","Days=T","Dir=V")</f>
        <v>0</v>
      </c>
      <c r="AG2">
        <f>BDH("UFI US Equity","IS_INT_EXPENSE","1993-06-18","2026-05-02","Per=Y","Days=T","Dir=V")</f>
        <v>0</v>
      </c>
      <c r="AI2">
        <f>BDH("UFI US Equity","IS_DEPR_EXP","1993-06-18","2026-05-02","Per=Y","Days=T","Dir=V")</f>
        <v>0</v>
      </c>
      <c r="AK2">
        <f>BDH("UFI US Equity","CF_CASH_FROM_OPER","1993-06-18","2026-05-02","Per=Y","Days=T","Dir=V")</f>
        <v>0</v>
      </c>
      <c r="AM2">
        <f>BDH("UFI US Equity","CAPITAL_EXPEND","1993-06-18","2026-05-02","Per=Y","Days=T","Dir=V")</f>
        <v>0</v>
      </c>
      <c r="AO2">
        <f>BDH("UFI US Equity","CF_FREE_CASH_FLOW","1993-06-18","2026-05-02","Per=Y","Days=T","Dir=V")</f>
        <v>0</v>
      </c>
      <c r="AQ2">
        <f>BDH("UFI US Equity","PX_LAST","1993-06-18","2026-05-02","Per=M","Days=T","Dir=V")</f>
        <v>0</v>
      </c>
      <c r="AS2">
        <f>BDH("UFI US Equity","CUR_MKT_CAP","1993-06-18","2026-05-02","Per=M","Days=T","Dir=V")</f>
        <v>0</v>
      </c>
      <c r="AU2">
        <f>BDH("UFI US Equity","EQY_SH_OUT","1993-06-18","2026-05-02","Per=M","Days=T","Dir=V")</f>
        <v>0</v>
      </c>
      <c r="AW2">
        <f>BDH("UFI US Equity","PX_VOLUME","1993-06-18","2026-05-02","Per=M","Days=T","Dir=V")</f>
        <v>0</v>
      </c>
      <c r="AY2">
        <f>BDH("UFI US Equity","TURNOVER","1993-06-18","2026-05-02","Per=M","Days=T","Dir=V")</f>
        <v>0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BDH("UFPI US Equity","BS_TOT_ASSET","1993-06-18","2026-05-02","Per=Y","Days=T","Dir=V")</f>
        <v>0</v>
      </c>
      <c r="C2">
        <f>BDH("UFPI US Equity","BS_TOT_LIAB2","1993-06-18","2026-05-02","Per=Y","Days=T","Dir=V")</f>
        <v>0</v>
      </c>
      <c r="E2">
        <f>BDH("UFPI US Equity","SHORT_AND_LONG_TERM_DEBT","1993-06-18","2026-05-02","Per=Y","Days=T","Dir=V")</f>
        <v>0</v>
      </c>
      <c r="G2">
        <f>BDH("UFPI US Equity","BS_ST_BORROW","1993-06-18","2026-05-02","Per=Y","Days=T","Dir=V")</f>
        <v>0</v>
      </c>
      <c r="I2">
        <f>BDH("UFPI US Equity","BS_LT_BORROW","1993-06-18","2026-05-02","Per=Y","Days=T","Dir=V")</f>
        <v>0</v>
      </c>
      <c r="K2">
        <f>BDH("UFPI US Equity","BS_CASH_NEAR_CASH_ITEM","1993-06-18","2026-05-02","Per=Y","Days=T","Dir=V")</f>
        <v>0</v>
      </c>
      <c r="M2">
        <f>BDH("UFPI US Equity","BS_CUR_ASSET_REPORT","1993-06-18","2026-05-02","Per=Y","Days=T","Dir=V")</f>
        <v>0</v>
      </c>
      <c r="O2">
        <f>BDH("UFPI US Equity","BS_CUR_LIAB","1993-06-18","2026-05-02","Per=Y","Days=T","Dir=V")</f>
        <v>0</v>
      </c>
      <c r="Q2">
        <f>BDH("UFPI US Equity","BS_SHAREHOLDER_EQY_ENDING_PERIOD","1993-06-18","2026-05-02","Per=Y","Days=T","Dir=V")</f>
        <v>0</v>
      </c>
      <c r="S2">
        <f>BDH("UFPI US Equity","BS_ACCT_NOTE_RCV","1993-06-18","2026-05-02","Per=Y","Days=T","Dir=V")</f>
        <v>0</v>
      </c>
      <c r="U2">
        <f>BDH("UFPI US Equity","BS_INVENTORIES","1993-06-18","2026-05-02","Per=Y","Days=T","Dir=V")</f>
        <v>0</v>
      </c>
      <c r="W2">
        <f>BDH("UFPI US Equity","WORKING_CAPITAL","1993-06-18","2026-05-02","Per=Y","Days=T","Dir=V")</f>
        <v>0</v>
      </c>
      <c r="Y2">
        <f>BDH("UFPI US Equity","SALES_REV_TURN","1993-06-18","2026-05-02","Per=Y","Days=T","Dir=V")</f>
        <v>0</v>
      </c>
      <c r="AA2">
        <f>BDH("UFPI US Equity","EBIT","1993-06-18","2026-05-02","Per=Y","Days=T","Dir=V")</f>
        <v>0</v>
      </c>
      <c r="AC2">
        <f>BDH("UFPI US Equity","EBITDA","1993-06-18","2026-05-02","Per=Y","Days=T","Dir=V")</f>
        <v>0</v>
      </c>
      <c r="AE2">
        <f>BDH("UFPI US Equity","NET_INCOME","1993-06-18","2026-05-02","Per=Y","Days=T","Dir=V")</f>
        <v>0</v>
      </c>
      <c r="AG2">
        <f>BDH("UFPI US Equity","IS_INT_EXPENSE","1993-06-18","2026-05-02","Per=Y","Days=T","Dir=V")</f>
        <v>0</v>
      </c>
      <c r="AI2">
        <f>BDH("UFPI US Equity","IS_DEPR_EXP","1993-06-18","2026-05-02","Per=Y","Days=T","Dir=V")</f>
        <v>0</v>
      </c>
      <c r="AK2">
        <f>BDH("UFPI US Equity","CF_CASH_FROM_OPER","1993-06-18","2026-05-02","Per=Y","Days=T","Dir=V")</f>
        <v>0</v>
      </c>
      <c r="AM2">
        <f>BDH("UFPI US Equity","CAPITAL_EXPEND","1993-06-18","2026-05-02","Per=Y","Days=T","Dir=V")</f>
        <v>0</v>
      </c>
      <c r="AO2">
        <f>BDH("UFPI US Equity","CF_FREE_CASH_FLOW","1993-06-18","2026-05-02","Per=Y","Days=T","Dir=V")</f>
        <v>0</v>
      </c>
      <c r="AQ2">
        <f>BDH("UFPI US Equity","PX_LAST","1993-06-18","2026-05-02","Per=M","Days=T","Dir=V")</f>
        <v>0</v>
      </c>
      <c r="AS2">
        <f>BDH("UFPI US Equity","CUR_MKT_CAP","1993-06-18","2026-05-02","Per=M","Days=T","Dir=V")</f>
        <v>0</v>
      </c>
      <c r="AU2">
        <f>BDH("UFPI US Equity","EQY_SH_OUT","1993-06-18","2026-05-02","Per=M","Days=T","Dir=V")</f>
        <v>0</v>
      </c>
      <c r="AW2">
        <f>BDH("UFPI US Equity","PX_VOLUME","1993-06-18","2026-05-02","Per=M","Days=T","Dir=V")</f>
        <v>0</v>
      </c>
      <c r="AY2">
        <f>BDH("UFPI US Equity","TURNOVER","1993-06-18","2026-05-02","Per=M","Days=T","Dir=V")</f>
        <v>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BDH("UFPT US Equity","BS_TOT_ASSET","1993-06-18","2026-05-02","Per=Y","Days=T","Dir=V")</f>
        <v>0</v>
      </c>
      <c r="C2">
        <f>BDH("UFPT US Equity","BS_TOT_LIAB2","1993-06-18","2026-05-02","Per=Y","Days=T","Dir=V")</f>
        <v>0</v>
      </c>
      <c r="E2">
        <f>BDH("UFPT US Equity","SHORT_AND_LONG_TERM_DEBT","1993-06-18","2026-05-02","Per=Y","Days=T","Dir=V")</f>
        <v>0</v>
      </c>
      <c r="G2">
        <f>BDH("UFPT US Equity","BS_ST_BORROW","1993-06-18","2026-05-02","Per=Y","Days=T","Dir=V")</f>
        <v>0</v>
      </c>
      <c r="I2">
        <f>BDH("UFPT US Equity","BS_LT_BORROW","1993-06-18","2026-05-02","Per=Y","Days=T","Dir=V")</f>
        <v>0</v>
      </c>
      <c r="K2">
        <f>BDH("UFPT US Equity","BS_CASH_NEAR_CASH_ITEM","1993-06-18","2026-05-02","Per=Y","Days=T","Dir=V")</f>
        <v>0</v>
      </c>
      <c r="M2">
        <f>BDH("UFPT US Equity","BS_CUR_ASSET_REPORT","1993-06-18","2026-05-02","Per=Y","Days=T","Dir=V")</f>
        <v>0</v>
      </c>
      <c r="O2">
        <f>BDH("UFPT US Equity","BS_CUR_LIAB","1993-06-18","2026-05-02","Per=Y","Days=T","Dir=V")</f>
        <v>0</v>
      </c>
      <c r="Q2">
        <f>BDH("UFPT US Equity","BS_SHAREHOLDER_EQY_ENDING_PERIOD","1993-06-18","2026-05-02","Per=Y","Days=T","Dir=V")</f>
        <v>0</v>
      </c>
      <c r="S2">
        <f>BDH("UFPT US Equity","BS_ACCT_NOTE_RCV","1993-06-18","2026-05-02","Per=Y","Days=T","Dir=V")</f>
        <v>0</v>
      </c>
      <c r="U2">
        <f>BDH("UFPT US Equity","BS_INVENTORIES","1993-06-18","2026-05-02","Per=Y","Days=T","Dir=V")</f>
        <v>0</v>
      </c>
      <c r="W2">
        <f>BDH("UFPT US Equity","WORKING_CAPITAL","1993-06-18","2026-05-02","Per=Y","Days=T","Dir=V")</f>
        <v>0</v>
      </c>
      <c r="Y2">
        <f>BDH("UFPT US Equity","SALES_REV_TURN","1993-06-18","2026-05-02","Per=Y","Days=T","Dir=V")</f>
        <v>0</v>
      </c>
      <c r="AA2">
        <f>BDH("UFPT US Equity","EBIT","1993-06-18","2026-05-02","Per=Y","Days=T","Dir=V")</f>
        <v>0</v>
      </c>
      <c r="AC2">
        <f>BDH("UFPT US Equity","EBITDA","1993-06-18","2026-05-02","Per=Y","Days=T","Dir=V")</f>
        <v>0</v>
      </c>
      <c r="AE2">
        <f>BDH("UFPT US Equity","NET_INCOME","1993-06-18","2026-05-02","Per=Y","Days=T","Dir=V")</f>
        <v>0</v>
      </c>
      <c r="AG2">
        <f>BDH("UFPT US Equity","IS_INT_EXPENSE","1993-06-18","2026-05-02","Per=Y","Days=T","Dir=V")</f>
        <v>0</v>
      </c>
      <c r="AI2">
        <f>BDH("UFPT US Equity","IS_DEPR_EXP","1993-06-18","2026-05-02","Per=Y","Days=T","Dir=V")</f>
        <v>0</v>
      </c>
      <c r="AK2">
        <f>BDH("UFPT US Equity","CF_CASH_FROM_OPER","1993-06-18","2026-05-02","Per=Y","Days=T","Dir=V")</f>
        <v>0</v>
      </c>
      <c r="AM2">
        <f>BDH("UFPT US Equity","CAPITAL_EXPEND","1993-06-18","2026-05-02","Per=Y","Days=T","Dir=V")</f>
        <v>0</v>
      </c>
      <c r="AO2">
        <f>BDH("UFPT US Equity","CF_FREE_CASH_FLOW","1993-06-18","2026-05-02","Per=Y","Days=T","Dir=V")</f>
        <v>0</v>
      </c>
      <c r="AQ2">
        <f>BDH("UFPT US Equity","PX_LAST","1993-06-18","2026-05-02","Per=M","Days=T","Dir=V")</f>
        <v>0</v>
      </c>
      <c r="AS2">
        <f>BDH("UFPT US Equity","CUR_MKT_CAP","1993-06-18","2026-05-02","Per=M","Days=T","Dir=V")</f>
        <v>0</v>
      </c>
      <c r="AU2">
        <f>BDH("UFPT US Equity","EQY_SH_OUT","1993-06-18","2026-05-02","Per=M","Days=T","Dir=V")</f>
        <v>0</v>
      </c>
      <c r="AW2">
        <f>BDH("UFPT US Equity","PX_VOLUME","1993-06-18","2026-05-02","Per=M","Days=T","Dir=V")</f>
        <v>0</v>
      </c>
      <c r="AY2">
        <f>BDH("UFPT US Equity","TURNOVER","1993-06-18","2026-05-02","Per=M","Days=T","Dir=V")</f>
        <v>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BDH("UG US Equity","BS_TOT_ASSET","1993-06-18","2026-05-02","Per=Y","Days=T","Dir=V")</f>
        <v>0</v>
      </c>
      <c r="C2">
        <f>BDH("UG US Equity","BS_TOT_LIAB2","1993-06-18","2026-05-02","Per=Y","Days=T","Dir=V")</f>
        <v>0</v>
      </c>
      <c r="E2">
        <f>BDH("UG US Equity","SHORT_AND_LONG_TERM_DEBT","1993-06-18","2026-05-02","Per=Y","Days=T","Dir=V")</f>
        <v>0</v>
      </c>
      <c r="G2">
        <f>BDH("UG US Equity","BS_ST_BORROW","1993-06-18","2026-05-02","Per=Y","Days=T","Dir=V")</f>
        <v>0</v>
      </c>
      <c r="I2">
        <f>BDH("UG US Equity","BS_LT_BORROW","1993-06-18","2026-05-02","Per=Y","Days=T","Dir=V")</f>
        <v>0</v>
      </c>
      <c r="K2">
        <f>BDH("UG US Equity","BS_CASH_NEAR_CASH_ITEM","1993-06-18","2026-05-02","Per=Y","Days=T","Dir=V")</f>
        <v>0</v>
      </c>
      <c r="M2">
        <f>BDH("UG US Equity","BS_CUR_ASSET_REPORT","1993-06-18","2026-05-02","Per=Y","Days=T","Dir=V")</f>
        <v>0</v>
      </c>
      <c r="O2">
        <f>BDH("UG US Equity","BS_CUR_LIAB","1993-06-18","2026-05-02","Per=Y","Days=T","Dir=V")</f>
        <v>0</v>
      </c>
      <c r="Q2">
        <f>BDH("UG US Equity","BS_SHAREHOLDER_EQY_ENDING_PERIOD","1993-06-18","2026-05-02","Per=Y","Days=T","Dir=V")</f>
        <v>0</v>
      </c>
      <c r="S2">
        <f>BDH("UG US Equity","BS_ACCT_NOTE_RCV","1993-06-18","2026-05-02","Per=Y","Days=T","Dir=V")</f>
        <v>0</v>
      </c>
      <c r="U2">
        <f>BDH("UG US Equity","BS_INVENTORIES","1993-06-18","2026-05-02","Per=Y","Days=T","Dir=V")</f>
        <v>0</v>
      </c>
      <c r="W2">
        <f>BDH("UG US Equity","WORKING_CAPITAL","1993-06-18","2026-05-02","Per=Y","Days=T","Dir=V")</f>
        <v>0</v>
      </c>
      <c r="Y2">
        <f>BDH("UG US Equity","SALES_REV_TURN","1993-06-18","2026-05-02","Per=Y","Days=T","Dir=V")</f>
        <v>0</v>
      </c>
      <c r="AA2">
        <f>BDH("UG US Equity","EBIT","1993-06-18","2026-05-02","Per=Y","Days=T","Dir=V")</f>
        <v>0</v>
      </c>
      <c r="AC2">
        <f>BDH("UG US Equity","EBITDA","1993-06-18","2026-05-02","Per=Y","Days=T","Dir=V")</f>
        <v>0</v>
      </c>
      <c r="AE2">
        <f>BDH("UG US Equity","NET_INCOME","1993-06-18","2026-05-02","Per=Y","Days=T","Dir=V")</f>
        <v>0</v>
      </c>
      <c r="AG2">
        <f>BDH("UG US Equity","IS_INT_EXPENSE","1993-06-18","2026-05-02","Per=Y","Days=T","Dir=V")</f>
        <v>0</v>
      </c>
      <c r="AI2">
        <f>BDH("UG US Equity","IS_DEPR_EXP","1993-06-18","2026-05-02","Per=Y","Days=T","Dir=V")</f>
        <v>0</v>
      </c>
      <c r="AK2">
        <f>BDH("UG US Equity","CF_CASH_FROM_OPER","1993-06-18","2026-05-02","Per=Y","Days=T","Dir=V")</f>
        <v>0</v>
      </c>
      <c r="AM2">
        <f>BDH("UG US Equity","CAPITAL_EXPEND","1993-06-18","2026-05-02","Per=Y","Days=T","Dir=V")</f>
        <v>0</v>
      </c>
      <c r="AO2">
        <f>BDH("UG US Equity","CF_FREE_CASH_FLOW","1993-06-18","2026-05-02","Per=Y","Days=T","Dir=V")</f>
        <v>0</v>
      </c>
      <c r="AQ2">
        <f>BDH("UG US Equity","PX_LAST","1993-06-18","2026-05-02","Per=M","Days=T","Dir=V")</f>
        <v>0</v>
      </c>
      <c r="AS2">
        <f>BDH("UG US Equity","CUR_MKT_CAP","1993-06-18","2026-05-02","Per=M","Days=T","Dir=V")</f>
        <v>0</v>
      </c>
      <c r="AU2">
        <f>BDH("UG US Equity","EQY_SH_OUT","1993-06-18","2026-05-02","Per=M","Days=T","Dir=V")</f>
        <v>0</v>
      </c>
      <c r="AW2">
        <f>BDH("UG US Equity","PX_VOLUME","1993-06-18","2026-05-02","Per=M","Days=T","Dir=V")</f>
        <v>0</v>
      </c>
      <c r="AY2">
        <f>BDH("UG US Equity","TURNOVER","1993-06-18","2026-05-02","Per=M","Days=T","Dir=V")</f>
        <v>0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BDH("UGI US Equity","BS_TOT_ASSET","1993-06-18","2026-05-02","Per=Y","Days=T","Dir=V")</f>
        <v>0</v>
      </c>
      <c r="C2">
        <f>BDH("UGI US Equity","BS_TOT_LIAB2","1993-06-18","2026-05-02","Per=Y","Days=T","Dir=V")</f>
        <v>0</v>
      </c>
      <c r="E2">
        <f>BDH("UGI US Equity","SHORT_AND_LONG_TERM_DEBT","1993-06-18","2026-05-02","Per=Y","Days=T","Dir=V")</f>
        <v>0</v>
      </c>
      <c r="G2">
        <f>BDH("UGI US Equity","BS_ST_BORROW","1993-06-18","2026-05-02","Per=Y","Days=T","Dir=V")</f>
        <v>0</v>
      </c>
      <c r="I2">
        <f>BDH("UGI US Equity","BS_LT_BORROW","1993-06-18","2026-05-02","Per=Y","Days=T","Dir=V")</f>
        <v>0</v>
      </c>
      <c r="K2">
        <f>BDH("UGI US Equity","BS_CASH_NEAR_CASH_ITEM","1993-06-18","2026-05-02","Per=Y","Days=T","Dir=V")</f>
        <v>0</v>
      </c>
      <c r="M2">
        <f>BDH("UGI US Equity","BS_CUR_ASSET_REPORT","1993-06-18","2026-05-02","Per=Y","Days=T","Dir=V")</f>
        <v>0</v>
      </c>
      <c r="O2">
        <f>BDH("UGI US Equity","BS_CUR_LIAB","1993-06-18","2026-05-02","Per=Y","Days=T","Dir=V")</f>
        <v>0</v>
      </c>
      <c r="Q2">
        <f>BDH("UGI US Equity","BS_SHAREHOLDER_EQY_ENDING_PERIOD","1993-06-18","2026-05-02","Per=Y","Days=T","Dir=V")</f>
        <v>0</v>
      </c>
      <c r="S2">
        <f>BDH("UGI US Equity","BS_ACCT_NOTE_RCV","1993-06-18","2026-05-02","Per=Y","Days=T","Dir=V")</f>
        <v>0</v>
      </c>
      <c r="U2">
        <f>BDH("UGI US Equity","BS_INVENTORIES","1993-06-18","2026-05-02","Per=Y","Days=T","Dir=V")</f>
        <v>0</v>
      </c>
      <c r="W2">
        <f>BDH("UGI US Equity","WORKING_CAPITAL","1993-06-18","2026-05-02","Per=Y","Days=T","Dir=V")</f>
        <v>0</v>
      </c>
      <c r="Y2">
        <f>BDH("UGI US Equity","SALES_REV_TURN","1993-06-18","2026-05-02","Per=Y","Days=T","Dir=V")</f>
        <v>0</v>
      </c>
      <c r="AA2">
        <f>BDH("UGI US Equity","EBIT","1993-06-18","2026-05-02","Per=Y","Days=T","Dir=V")</f>
        <v>0</v>
      </c>
      <c r="AC2">
        <f>BDH("UGI US Equity","EBITDA","1993-06-18","2026-05-02","Per=Y","Days=T","Dir=V")</f>
        <v>0</v>
      </c>
      <c r="AE2">
        <f>BDH("UGI US Equity","NET_INCOME","1993-06-18","2026-05-02","Per=Y","Days=T","Dir=V")</f>
        <v>0</v>
      </c>
      <c r="AG2">
        <f>BDH("UGI US Equity","IS_INT_EXPENSE","1993-06-18","2026-05-02","Per=Y","Days=T","Dir=V")</f>
        <v>0</v>
      </c>
      <c r="AI2">
        <f>BDH("UGI US Equity","IS_DEPR_EXP","1993-06-18","2026-05-02","Per=Y","Days=T","Dir=V")</f>
        <v>0</v>
      </c>
      <c r="AK2">
        <f>BDH("UGI US Equity","CF_CASH_FROM_OPER","1993-06-18","2026-05-02","Per=Y","Days=T","Dir=V")</f>
        <v>0</v>
      </c>
      <c r="AM2">
        <f>BDH("UGI US Equity","CAPITAL_EXPEND","1993-06-18","2026-05-02","Per=Y","Days=T","Dir=V")</f>
        <v>0</v>
      </c>
      <c r="AO2">
        <f>BDH("UGI US Equity","CF_FREE_CASH_FLOW","1993-06-18","2026-05-02","Per=Y","Days=T","Dir=V")</f>
        <v>0</v>
      </c>
      <c r="AQ2">
        <f>BDH("UGI US Equity","PX_LAST","1993-06-18","2026-05-02","Per=M","Days=T","Dir=V")</f>
        <v>0</v>
      </c>
      <c r="AS2">
        <f>BDH("UGI US Equity","CUR_MKT_CAP","1993-06-18","2026-05-02","Per=M","Days=T","Dir=V")</f>
        <v>0</v>
      </c>
      <c r="AU2">
        <f>BDH("UGI US Equity","EQY_SH_OUT","1993-06-18","2026-05-02","Per=M","Days=T","Dir=V")</f>
        <v>0</v>
      </c>
      <c r="AW2">
        <f>BDH("UGI US Equity","PX_VOLUME","1993-06-18","2026-05-02","Per=M","Days=T","Dir=V")</f>
        <v>0</v>
      </c>
      <c r="AY2">
        <f>BDH("UGI US Equity","TURNOVER","1993-06-18","2026-05-02","Per=M","Days=T","Dir=V")</f>
        <v>0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BDH("UHAL US Equity","BS_TOT_ASSET","1993-06-18","2026-05-02","Per=Y","Days=T","Dir=V")</f>
        <v>0</v>
      </c>
      <c r="C2">
        <f>BDH("UHAL US Equity","BS_TOT_LIAB2","1993-06-18","2026-05-02","Per=Y","Days=T","Dir=V")</f>
        <v>0</v>
      </c>
      <c r="E2">
        <f>BDH("UHAL US Equity","SHORT_AND_LONG_TERM_DEBT","1993-06-18","2026-05-02","Per=Y","Days=T","Dir=V")</f>
        <v>0</v>
      </c>
      <c r="G2">
        <f>BDH("UHAL US Equity","BS_ST_BORROW","1993-06-18","2026-05-02","Per=Y","Days=T","Dir=V")</f>
        <v>0</v>
      </c>
      <c r="I2">
        <f>BDH("UHAL US Equity","BS_LT_BORROW","1993-06-18","2026-05-02","Per=Y","Days=T","Dir=V")</f>
        <v>0</v>
      </c>
      <c r="K2">
        <f>BDH("UHAL US Equity","BS_CASH_NEAR_CASH_ITEM","1993-06-18","2026-05-02","Per=Y","Days=T","Dir=V")</f>
        <v>0</v>
      </c>
      <c r="M2">
        <f>BDH("UHAL US Equity","BS_CUR_ASSET_REPORT","1993-06-18","2026-05-02","Per=Y","Days=T","Dir=V")</f>
        <v>0</v>
      </c>
      <c r="O2">
        <f>BDH("UHAL US Equity","BS_CUR_LIAB","1993-06-18","2026-05-02","Per=Y","Days=T","Dir=V")</f>
        <v>0</v>
      </c>
      <c r="Q2">
        <f>BDH("UHAL US Equity","BS_SHAREHOLDER_EQY_ENDING_PERIOD","1993-06-18","2026-05-02","Per=Y","Days=T","Dir=V")</f>
        <v>0</v>
      </c>
      <c r="S2">
        <f>BDH("UHAL US Equity","BS_ACCT_NOTE_RCV","1993-06-18","2026-05-02","Per=Y","Days=T","Dir=V")</f>
        <v>0</v>
      </c>
      <c r="U2">
        <f>BDH("UHAL US Equity","BS_INVENTORIES","1993-06-18","2026-05-02","Per=Y","Days=T","Dir=V")</f>
        <v>0</v>
      </c>
      <c r="W2">
        <f>BDH("UHAL US Equity","WORKING_CAPITAL","1993-06-18","2026-05-02","Per=Y","Days=T","Dir=V")</f>
        <v>0</v>
      </c>
      <c r="Y2">
        <f>BDH("UHAL US Equity","SALES_REV_TURN","1993-06-18","2026-05-02","Per=Y","Days=T","Dir=V")</f>
        <v>0</v>
      </c>
      <c r="AA2">
        <f>BDH("UHAL US Equity","EBIT","1993-06-18","2026-05-02","Per=Y","Days=T","Dir=V")</f>
        <v>0</v>
      </c>
      <c r="AC2">
        <f>BDH("UHAL US Equity","EBITDA","1993-06-18","2026-05-02","Per=Y","Days=T","Dir=V")</f>
        <v>0</v>
      </c>
      <c r="AE2">
        <f>BDH("UHAL US Equity","NET_INCOME","1993-06-18","2026-05-02","Per=Y","Days=T","Dir=V")</f>
        <v>0</v>
      </c>
      <c r="AG2">
        <f>BDH("UHAL US Equity","IS_INT_EXPENSE","1993-06-18","2026-05-02","Per=Y","Days=T","Dir=V")</f>
        <v>0</v>
      </c>
      <c r="AI2">
        <f>BDH("UHAL US Equity","IS_DEPR_EXP","1993-06-18","2026-05-02","Per=Y","Days=T","Dir=V")</f>
        <v>0</v>
      </c>
      <c r="AK2">
        <f>BDH("UHAL US Equity","CF_CASH_FROM_OPER","1993-06-18","2026-05-02","Per=Y","Days=T","Dir=V")</f>
        <v>0</v>
      </c>
      <c r="AM2">
        <f>BDH("UHAL US Equity","CAPITAL_EXPEND","1993-06-18","2026-05-02","Per=Y","Days=T","Dir=V")</f>
        <v>0</v>
      </c>
      <c r="AO2">
        <f>BDH("UHAL US Equity","CF_FREE_CASH_FLOW","1993-06-18","2026-05-02","Per=Y","Days=T","Dir=V")</f>
        <v>0</v>
      </c>
      <c r="AQ2">
        <f>BDH("UHAL US Equity","PX_LAST","1993-06-18","2026-05-02","Per=M","Days=T","Dir=V")</f>
        <v>0</v>
      </c>
      <c r="AS2">
        <f>BDH("UHAL US Equity","CUR_MKT_CAP","1993-06-18","2026-05-02","Per=M","Days=T","Dir=V")</f>
        <v>0</v>
      </c>
      <c r="AU2">
        <f>BDH("UHAL US Equity","EQY_SH_OUT","1993-06-18","2026-05-02","Per=M","Days=T","Dir=V")</f>
        <v>0</v>
      </c>
      <c r="AW2">
        <f>BDH("UHAL US Equity","PX_VOLUME","1993-06-18","2026-05-02","Per=M","Days=T","Dir=V")</f>
        <v>0</v>
      </c>
      <c r="AY2">
        <f>BDH("UHAL US Equity","TURNOVER","1993-06-18","2026-05-02","Per=M","Days=T","Dir=V")</f>
        <v>0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BDH("UHS US Equity","BS_TOT_ASSET","1993-06-18","2026-05-02","Per=Y","Days=T","Dir=V")</f>
        <v>0</v>
      </c>
      <c r="C2">
        <f>BDH("UHS US Equity","BS_TOT_LIAB2","1993-06-18","2026-05-02","Per=Y","Days=T","Dir=V")</f>
        <v>0</v>
      </c>
      <c r="E2">
        <f>BDH("UHS US Equity","SHORT_AND_LONG_TERM_DEBT","1993-06-18","2026-05-02","Per=Y","Days=T","Dir=V")</f>
        <v>0</v>
      </c>
      <c r="G2">
        <f>BDH("UHS US Equity","BS_ST_BORROW","1993-06-18","2026-05-02","Per=Y","Days=T","Dir=V")</f>
        <v>0</v>
      </c>
      <c r="I2">
        <f>BDH("UHS US Equity","BS_LT_BORROW","1993-06-18","2026-05-02","Per=Y","Days=T","Dir=V")</f>
        <v>0</v>
      </c>
      <c r="K2">
        <f>BDH("UHS US Equity","BS_CASH_NEAR_CASH_ITEM","1993-06-18","2026-05-02","Per=Y","Days=T","Dir=V")</f>
        <v>0</v>
      </c>
      <c r="M2">
        <f>BDH("UHS US Equity","BS_CUR_ASSET_REPORT","1993-06-18","2026-05-02","Per=Y","Days=T","Dir=V")</f>
        <v>0</v>
      </c>
      <c r="O2">
        <f>BDH("UHS US Equity","BS_CUR_LIAB","1993-06-18","2026-05-02","Per=Y","Days=T","Dir=V")</f>
        <v>0</v>
      </c>
      <c r="Q2">
        <f>BDH("UHS US Equity","BS_SHAREHOLDER_EQY_ENDING_PERIOD","1993-06-18","2026-05-02","Per=Y","Days=T","Dir=V")</f>
        <v>0</v>
      </c>
      <c r="S2">
        <f>BDH("UHS US Equity","BS_ACCT_NOTE_RCV","1993-06-18","2026-05-02","Per=Y","Days=T","Dir=V")</f>
        <v>0</v>
      </c>
      <c r="U2">
        <f>BDH("UHS US Equity","BS_INVENTORIES","1993-06-18","2026-05-02","Per=Y","Days=T","Dir=V")</f>
        <v>0</v>
      </c>
      <c r="W2">
        <f>BDH("UHS US Equity","WORKING_CAPITAL","1993-06-18","2026-05-02","Per=Y","Days=T","Dir=V")</f>
        <v>0</v>
      </c>
      <c r="Y2">
        <f>BDH("UHS US Equity","SALES_REV_TURN","1993-06-18","2026-05-02","Per=Y","Days=T","Dir=V")</f>
        <v>0</v>
      </c>
      <c r="AA2">
        <f>BDH("UHS US Equity","EBIT","1993-06-18","2026-05-02","Per=Y","Days=T","Dir=V")</f>
        <v>0</v>
      </c>
      <c r="AC2">
        <f>BDH("UHS US Equity","EBITDA","1993-06-18","2026-05-02","Per=Y","Days=T","Dir=V")</f>
        <v>0</v>
      </c>
      <c r="AE2">
        <f>BDH("UHS US Equity","NET_INCOME","1993-06-18","2026-05-02","Per=Y","Days=T","Dir=V")</f>
        <v>0</v>
      </c>
      <c r="AG2">
        <f>BDH("UHS US Equity","IS_INT_EXPENSE","1993-06-18","2026-05-02","Per=Y","Days=T","Dir=V")</f>
        <v>0</v>
      </c>
      <c r="AI2">
        <f>BDH("UHS US Equity","IS_DEPR_EXP","1993-06-18","2026-05-02","Per=Y","Days=T","Dir=V")</f>
        <v>0</v>
      </c>
      <c r="AK2">
        <f>BDH("UHS US Equity","CF_CASH_FROM_OPER","1993-06-18","2026-05-02","Per=Y","Days=T","Dir=V")</f>
        <v>0</v>
      </c>
      <c r="AM2">
        <f>BDH("UHS US Equity","CAPITAL_EXPEND","1993-06-18","2026-05-02","Per=Y","Days=T","Dir=V")</f>
        <v>0</v>
      </c>
      <c r="AO2">
        <f>BDH("UHS US Equity","CF_FREE_CASH_FLOW","1993-06-18","2026-05-02","Per=Y","Days=T","Dir=V")</f>
        <v>0</v>
      </c>
      <c r="AQ2">
        <f>BDH("UHS US Equity","PX_LAST","1993-06-18","2026-05-02","Per=M","Days=T","Dir=V")</f>
        <v>0</v>
      </c>
      <c r="AS2">
        <f>BDH("UHS US Equity","CUR_MKT_CAP","1993-06-18","2026-05-02","Per=M","Days=T","Dir=V")</f>
        <v>0</v>
      </c>
      <c r="AU2">
        <f>BDH("UHS US Equity","EQY_SH_OUT","1993-06-18","2026-05-02","Per=M","Days=T","Dir=V")</f>
        <v>0</v>
      </c>
      <c r="AW2">
        <f>BDH("UHS US Equity","PX_VOLUME","1993-06-18","2026-05-02","Per=M","Days=T","Dir=V")</f>
        <v>0</v>
      </c>
      <c r="AY2">
        <f>BDH("UHS US Equity","TURNOVER","1993-06-18","2026-05-02","Per=M","Days=T","Dir=V")</f>
        <v>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BDH("UI US Equity","BS_TOT_ASSET","1993-06-18","2026-05-02","Per=Y","Days=T","Dir=V")</f>
        <v>0</v>
      </c>
      <c r="C2">
        <f>BDH("UI US Equity","BS_TOT_LIAB2","1993-06-18","2026-05-02","Per=Y","Days=T","Dir=V")</f>
        <v>0</v>
      </c>
      <c r="E2">
        <f>BDH("UI US Equity","SHORT_AND_LONG_TERM_DEBT","1993-06-18","2026-05-02","Per=Y","Days=T","Dir=V")</f>
        <v>0</v>
      </c>
      <c r="G2">
        <f>BDH("UI US Equity","BS_ST_BORROW","1993-06-18","2026-05-02","Per=Y","Days=T","Dir=V")</f>
        <v>0</v>
      </c>
      <c r="I2">
        <f>BDH("UI US Equity","BS_LT_BORROW","1993-06-18","2026-05-02","Per=Y","Days=T","Dir=V")</f>
        <v>0</v>
      </c>
      <c r="K2">
        <f>BDH("UI US Equity","BS_CASH_NEAR_CASH_ITEM","1993-06-18","2026-05-02","Per=Y","Days=T","Dir=V")</f>
        <v>0</v>
      </c>
      <c r="M2">
        <f>BDH("UI US Equity","BS_CUR_ASSET_REPORT","1993-06-18","2026-05-02","Per=Y","Days=T","Dir=V")</f>
        <v>0</v>
      </c>
      <c r="O2">
        <f>BDH("UI US Equity","BS_CUR_LIAB","1993-06-18","2026-05-02","Per=Y","Days=T","Dir=V")</f>
        <v>0</v>
      </c>
      <c r="Q2">
        <f>BDH("UI US Equity","BS_SHAREHOLDER_EQY_ENDING_PERIOD","1993-06-18","2026-05-02","Per=Y","Days=T","Dir=V")</f>
        <v>0</v>
      </c>
      <c r="S2">
        <f>BDH("UI US Equity","BS_ACCT_NOTE_RCV","1993-06-18","2026-05-02","Per=Y","Days=T","Dir=V")</f>
        <v>0</v>
      </c>
      <c r="U2">
        <f>BDH("UI US Equity","BS_INVENTORIES","1993-06-18","2026-05-02","Per=Y","Days=T","Dir=V")</f>
        <v>0</v>
      </c>
      <c r="W2">
        <f>BDH("UI US Equity","WORKING_CAPITAL","1993-06-18","2026-05-02","Per=Y","Days=T","Dir=V")</f>
        <v>0</v>
      </c>
      <c r="Y2">
        <f>BDH("UI US Equity","SALES_REV_TURN","1993-06-18","2026-05-02","Per=Y","Days=T","Dir=V")</f>
        <v>0</v>
      </c>
      <c r="AA2">
        <f>BDH("UI US Equity","EBIT","1993-06-18","2026-05-02","Per=Y","Days=T","Dir=V")</f>
        <v>0</v>
      </c>
      <c r="AC2">
        <f>BDH("UI US Equity","EBITDA","1993-06-18","2026-05-02","Per=Y","Days=T","Dir=V")</f>
        <v>0</v>
      </c>
      <c r="AE2">
        <f>BDH("UI US Equity","NET_INCOME","1993-06-18","2026-05-02","Per=Y","Days=T","Dir=V")</f>
        <v>0</v>
      </c>
      <c r="AG2">
        <f>BDH("UI US Equity","IS_INT_EXPENSE","1993-06-18","2026-05-02","Per=Y","Days=T","Dir=V")</f>
        <v>0</v>
      </c>
      <c r="AI2">
        <f>BDH("UI US Equity","IS_DEPR_EXP","1993-06-18","2026-05-02","Per=Y","Days=T","Dir=V")</f>
        <v>0</v>
      </c>
      <c r="AK2">
        <f>BDH("UI US Equity","CF_CASH_FROM_OPER","1993-06-18","2026-05-02","Per=Y","Days=T","Dir=V")</f>
        <v>0</v>
      </c>
      <c r="AM2">
        <f>BDH("UI US Equity","CAPITAL_EXPEND","1993-06-18","2026-05-02","Per=Y","Days=T","Dir=V")</f>
        <v>0</v>
      </c>
      <c r="AO2">
        <f>BDH("UI US Equity","CF_FREE_CASH_FLOW","1993-06-18","2026-05-02","Per=Y","Days=T","Dir=V")</f>
        <v>0</v>
      </c>
      <c r="AQ2">
        <f>BDH("UI US Equity","PX_LAST","1993-06-18","2026-05-02","Per=M","Days=T","Dir=V")</f>
        <v>0</v>
      </c>
      <c r="AS2">
        <f>BDH("UI US Equity","CUR_MKT_CAP","1993-06-18","2026-05-02","Per=M","Days=T","Dir=V")</f>
        <v>0</v>
      </c>
      <c r="AU2">
        <f>BDH("UI US Equity","EQY_SH_OUT","1993-06-18","2026-05-02","Per=M","Days=T","Dir=V")</f>
        <v>0</v>
      </c>
      <c r="AW2">
        <f>BDH("UI US Equity","PX_VOLUME","1993-06-18","2026-05-02","Per=M","Days=T","Dir=V")</f>
        <v>0</v>
      </c>
      <c r="AY2">
        <f>BDH("UI US Equity","TURNOVER","1993-06-18","2026-05-02","Per=M","Days=T","Dir=V")</f>
        <v>0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BDH("UIS US Equity","BS_TOT_ASSET","1993-06-18","2026-05-02","Per=Y","Days=T","Dir=V")</f>
        <v>0</v>
      </c>
      <c r="C2">
        <f>BDH("UIS US Equity","BS_TOT_LIAB2","1993-06-18","2026-05-02","Per=Y","Days=T","Dir=V")</f>
        <v>0</v>
      </c>
      <c r="E2">
        <f>BDH("UIS US Equity","SHORT_AND_LONG_TERM_DEBT","1993-06-18","2026-05-02","Per=Y","Days=T","Dir=V")</f>
        <v>0</v>
      </c>
      <c r="G2">
        <f>BDH("UIS US Equity","BS_ST_BORROW","1993-06-18","2026-05-02","Per=Y","Days=T","Dir=V")</f>
        <v>0</v>
      </c>
      <c r="I2">
        <f>BDH("UIS US Equity","BS_LT_BORROW","1993-06-18","2026-05-02","Per=Y","Days=T","Dir=V")</f>
        <v>0</v>
      </c>
      <c r="K2">
        <f>BDH("UIS US Equity","BS_CASH_NEAR_CASH_ITEM","1993-06-18","2026-05-02","Per=Y","Days=T","Dir=V")</f>
        <v>0</v>
      </c>
      <c r="M2">
        <f>BDH("UIS US Equity","BS_CUR_ASSET_REPORT","1993-06-18","2026-05-02","Per=Y","Days=T","Dir=V")</f>
        <v>0</v>
      </c>
      <c r="O2">
        <f>BDH("UIS US Equity","BS_CUR_LIAB","1993-06-18","2026-05-02","Per=Y","Days=T","Dir=V")</f>
        <v>0</v>
      </c>
      <c r="Q2">
        <f>BDH("UIS US Equity","BS_SHAREHOLDER_EQY_ENDING_PERIOD","1993-06-18","2026-05-02","Per=Y","Days=T","Dir=V")</f>
        <v>0</v>
      </c>
      <c r="S2">
        <f>BDH("UIS US Equity","BS_ACCT_NOTE_RCV","1993-06-18","2026-05-02","Per=Y","Days=T","Dir=V")</f>
        <v>0</v>
      </c>
      <c r="U2">
        <f>BDH("UIS US Equity","BS_INVENTORIES","1993-06-18","2026-05-02","Per=Y","Days=T","Dir=V")</f>
        <v>0</v>
      </c>
      <c r="W2">
        <f>BDH("UIS US Equity","WORKING_CAPITAL","1993-06-18","2026-05-02","Per=Y","Days=T","Dir=V")</f>
        <v>0</v>
      </c>
      <c r="Y2">
        <f>BDH("UIS US Equity","SALES_REV_TURN","1993-06-18","2026-05-02","Per=Y","Days=T","Dir=V")</f>
        <v>0</v>
      </c>
      <c r="AA2">
        <f>BDH("UIS US Equity","EBIT","1993-06-18","2026-05-02","Per=Y","Days=T","Dir=V")</f>
        <v>0</v>
      </c>
      <c r="AC2">
        <f>BDH("UIS US Equity","EBITDA","1993-06-18","2026-05-02","Per=Y","Days=T","Dir=V")</f>
        <v>0</v>
      </c>
      <c r="AE2">
        <f>BDH("UIS US Equity","NET_INCOME","1993-06-18","2026-05-02","Per=Y","Days=T","Dir=V")</f>
        <v>0</v>
      </c>
      <c r="AG2">
        <f>BDH("UIS US Equity","IS_INT_EXPENSE","1993-06-18","2026-05-02","Per=Y","Days=T","Dir=V")</f>
        <v>0</v>
      </c>
      <c r="AI2">
        <f>BDH("UIS US Equity","IS_DEPR_EXP","1993-06-18","2026-05-02","Per=Y","Days=T","Dir=V")</f>
        <v>0</v>
      </c>
      <c r="AK2">
        <f>BDH("UIS US Equity","CF_CASH_FROM_OPER","1993-06-18","2026-05-02","Per=Y","Days=T","Dir=V")</f>
        <v>0</v>
      </c>
      <c r="AM2">
        <f>BDH("UIS US Equity","CAPITAL_EXPEND","1993-06-18","2026-05-02","Per=Y","Days=T","Dir=V")</f>
        <v>0</v>
      </c>
      <c r="AO2">
        <f>BDH("UIS US Equity","CF_FREE_CASH_FLOW","1993-06-18","2026-05-02","Per=Y","Days=T","Dir=V")</f>
        <v>0</v>
      </c>
      <c r="AQ2">
        <f>BDH("UIS US Equity","PX_LAST","1993-06-18","2026-05-02","Per=M","Days=T","Dir=V")</f>
        <v>0</v>
      </c>
      <c r="AS2">
        <f>BDH("UIS US Equity","CUR_MKT_CAP","1993-06-18","2026-05-02","Per=M","Days=T","Dir=V")</f>
        <v>0</v>
      </c>
      <c r="AU2">
        <f>BDH("UIS US Equity","EQY_SH_OUT","1993-06-18","2026-05-02","Per=M","Days=T","Dir=V")</f>
        <v>0</v>
      </c>
      <c r="AW2">
        <f>BDH("UIS US Equity","PX_VOLUME","1993-06-18","2026-05-02","Per=M","Days=T","Dir=V")</f>
        <v>0</v>
      </c>
      <c r="AY2">
        <f>BDH("UIS US Equity","TURNOVER","1993-06-18","2026-05-02","Per=M","Days=T","Dir=V")</f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BDH("UK US Equity","BS_TOT_ASSET","1993-06-18","2026-05-02","Per=Y","Days=T","Dir=V")</f>
        <v>0</v>
      </c>
      <c r="C2">
        <f>BDH("UK US Equity","BS_TOT_LIAB2","1993-06-18","2026-05-02","Per=Y","Days=T","Dir=V")</f>
        <v>0</v>
      </c>
      <c r="E2">
        <f>BDH("UK US Equity","SHORT_AND_LONG_TERM_DEBT","1993-06-18","2026-05-02","Per=Y","Days=T","Dir=V")</f>
        <v>0</v>
      </c>
      <c r="G2">
        <f>BDH("UK US Equity","BS_ST_BORROW","1993-06-18","2026-05-02","Per=Y","Days=T","Dir=V")</f>
        <v>0</v>
      </c>
      <c r="I2">
        <f>BDH("UK US Equity","BS_LT_BORROW","1993-06-18","2026-05-02","Per=Y","Days=T","Dir=V")</f>
        <v>0</v>
      </c>
      <c r="K2">
        <f>BDH("UK US Equity","BS_CASH_NEAR_CASH_ITEM","1993-06-18","2026-05-02","Per=Y","Days=T","Dir=V")</f>
        <v>0</v>
      </c>
      <c r="M2">
        <f>BDH("UK US Equity","BS_CUR_ASSET_REPORT","1993-06-18","2026-05-02","Per=Y","Days=T","Dir=V")</f>
        <v>0</v>
      </c>
      <c r="O2">
        <f>BDH("UK US Equity","BS_CUR_LIAB","1993-06-18","2026-05-02","Per=Y","Days=T","Dir=V")</f>
        <v>0</v>
      </c>
      <c r="Q2">
        <f>BDH("UK US Equity","BS_SHAREHOLDER_EQY_ENDING_PERIOD","1993-06-18","2026-05-02","Per=Y","Days=T","Dir=V")</f>
        <v>0</v>
      </c>
      <c r="S2">
        <f>BDH("UK US Equity","BS_ACCT_NOTE_RCV","1993-06-18","2026-05-02","Per=Y","Days=T","Dir=V")</f>
        <v>0</v>
      </c>
      <c r="U2">
        <f>BDH("UK US Equity","BS_INVENTORIES","1993-06-18","2026-05-02","Per=Y","Days=T","Dir=V")</f>
        <v>0</v>
      </c>
      <c r="W2">
        <f>BDH("UK US Equity","WORKING_CAPITAL","1993-06-18","2026-05-02","Per=Y","Days=T","Dir=V")</f>
        <v>0</v>
      </c>
      <c r="Y2">
        <f>BDH("UK US Equity","SALES_REV_TURN","1993-06-18","2026-05-02","Per=Y","Days=T","Dir=V")</f>
        <v>0</v>
      </c>
      <c r="AA2">
        <f>BDH("UK US Equity","EBIT","1993-06-18","2026-05-02","Per=Y","Days=T","Dir=V")</f>
        <v>0</v>
      </c>
      <c r="AC2">
        <f>BDH("UK US Equity","EBITDA","1993-06-18","2026-05-02","Per=Y","Days=T","Dir=V")</f>
        <v>0</v>
      </c>
      <c r="AE2">
        <f>BDH("UK US Equity","NET_INCOME","1993-06-18","2026-05-02","Per=Y","Days=T","Dir=V")</f>
        <v>0</v>
      </c>
      <c r="AG2">
        <f>BDH("UK US Equity","IS_INT_EXPENSE","1993-06-18","2026-05-02","Per=Y","Days=T","Dir=V")</f>
        <v>0</v>
      </c>
      <c r="AI2">
        <f>BDH("UK US Equity","IS_DEPR_EXP","1993-06-18","2026-05-02","Per=Y","Days=T","Dir=V")</f>
        <v>0</v>
      </c>
      <c r="AK2">
        <f>BDH("UK US Equity","CF_CASH_FROM_OPER","1993-06-18","2026-05-02","Per=Y","Days=T","Dir=V")</f>
        <v>0</v>
      </c>
      <c r="AM2">
        <f>BDH("UK US Equity","CAPITAL_EXPEND","1993-06-18","2026-05-02","Per=Y","Days=T","Dir=V")</f>
        <v>0</v>
      </c>
      <c r="AO2">
        <f>BDH("UK US Equity","CF_FREE_CASH_FLOW","1993-06-18","2026-05-02","Per=Y","Days=T","Dir=V")</f>
        <v>0</v>
      </c>
      <c r="AQ2">
        <f>BDH("UK US Equity","PX_LAST","1993-06-18","2026-05-02","Per=M","Days=T","Dir=V")</f>
        <v>0</v>
      </c>
      <c r="AS2">
        <f>BDH("UK US Equity","CUR_MKT_CAP","1993-06-18","2026-05-02","Per=M","Days=T","Dir=V")</f>
        <v>0</v>
      </c>
      <c r="AU2">
        <f>BDH("UK US Equity","EQY_SH_OUT","1993-06-18","2026-05-02","Per=M","Days=T","Dir=V")</f>
        <v>0</v>
      </c>
      <c r="AW2">
        <f>BDH("UK US Equity","PX_VOLUME","1993-06-18","2026-05-02","Per=M","Days=T","Dir=V")</f>
        <v>0</v>
      </c>
      <c r="AY2">
        <f>BDH("UK US Equity","TURNOVER","1993-06-18","2026-05-02","Per=M","Days=T","Dir=V")</f>
        <v>0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BDH("ULCC US Equity","BS_TOT_ASSET","1993-06-18","2026-05-02","Per=Y","Days=T","Dir=V")</f>
        <v>0</v>
      </c>
      <c r="C2">
        <f>BDH("ULCC US Equity","BS_TOT_LIAB2","1993-06-18","2026-05-02","Per=Y","Days=T","Dir=V")</f>
        <v>0</v>
      </c>
      <c r="E2">
        <f>BDH("ULCC US Equity","SHORT_AND_LONG_TERM_DEBT","1993-06-18","2026-05-02","Per=Y","Days=T","Dir=V")</f>
        <v>0</v>
      </c>
      <c r="G2">
        <f>BDH("ULCC US Equity","BS_ST_BORROW","1993-06-18","2026-05-02","Per=Y","Days=T","Dir=V")</f>
        <v>0</v>
      </c>
      <c r="I2">
        <f>BDH("ULCC US Equity","BS_LT_BORROW","1993-06-18","2026-05-02","Per=Y","Days=T","Dir=V")</f>
        <v>0</v>
      </c>
      <c r="K2">
        <f>BDH("ULCC US Equity","BS_CASH_NEAR_CASH_ITEM","1993-06-18","2026-05-02","Per=Y","Days=T","Dir=V")</f>
        <v>0</v>
      </c>
      <c r="M2">
        <f>BDH("ULCC US Equity","BS_CUR_ASSET_REPORT","1993-06-18","2026-05-02","Per=Y","Days=T","Dir=V")</f>
        <v>0</v>
      </c>
      <c r="O2">
        <f>BDH("ULCC US Equity","BS_CUR_LIAB","1993-06-18","2026-05-02","Per=Y","Days=T","Dir=V")</f>
        <v>0</v>
      </c>
      <c r="Q2">
        <f>BDH("ULCC US Equity","BS_SHAREHOLDER_EQY_ENDING_PERIOD","1993-06-18","2026-05-02","Per=Y","Days=T","Dir=V")</f>
        <v>0</v>
      </c>
      <c r="S2">
        <f>BDH("ULCC US Equity","BS_ACCT_NOTE_RCV","1993-06-18","2026-05-02","Per=Y","Days=T","Dir=V")</f>
        <v>0</v>
      </c>
      <c r="U2">
        <f>BDH("ULCC US Equity","BS_INVENTORIES","1993-06-18","2026-05-02","Per=Y","Days=T","Dir=V")</f>
        <v>0</v>
      </c>
      <c r="W2">
        <f>BDH("ULCC US Equity","WORKING_CAPITAL","1993-06-18","2026-05-02","Per=Y","Days=T","Dir=V")</f>
        <v>0</v>
      </c>
      <c r="Y2">
        <f>BDH("ULCC US Equity","SALES_REV_TURN","1993-06-18","2026-05-02","Per=Y","Days=T","Dir=V")</f>
        <v>0</v>
      </c>
      <c r="AA2">
        <f>BDH("ULCC US Equity","EBIT","1993-06-18","2026-05-02","Per=Y","Days=T","Dir=V")</f>
        <v>0</v>
      </c>
      <c r="AC2">
        <f>BDH("ULCC US Equity","EBITDA","1993-06-18","2026-05-02","Per=Y","Days=T","Dir=V")</f>
        <v>0</v>
      </c>
      <c r="AE2">
        <f>BDH("ULCC US Equity","NET_INCOME","1993-06-18","2026-05-02","Per=Y","Days=T","Dir=V")</f>
        <v>0</v>
      </c>
      <c r="AG2">
        <f>BDH("ULCC US Equity","IS_INT_EXPENSE","1993-06-18","2026-05-02","Per=Y","Days=T","Dir=V")</f>
        <v>0</v>
      </c>
      <c r="AI2">
        <f>BDH("ULCC US Equity","IS_DEPR_EXP","1993-06-18","2026-05-02","Per=Y","Days=T","Dir=V")</f>
        <v>0</v>
      </c>
      <c r="AK2">
        <f>BDH("ULCC US Equity","CF_CASH_FROM_OPER","1993-06-18","2026-05-02","Per=Y","Days=T","Dir=V")</f>
        <v>0</v>
      </c>
      <c r="AM2">
        <f>BDH("ULCC US Equity","CAPITAL_EXPEND","1993-06-18","2026-05-02","Per=Y","Days=T","Dir=V")</f>
        <v>0</v>
      </c>
      <c r="AO2">
        <f>BDH("ULCC US Equity","CF_FREE_CASH_FLOW","1993-06-18","2026-05-02","Per=Y","Days=T","Dir=V")</f>
        <v>0</v>
      </c>
      <c r="AQ2">
        <f>BDH("ULCC US Equity","PX_LAST","1993-06-18","2026-05-02","Per=M","Days=T","Dir=V")</f>
        <v>0</v>
      </c>
      <c r="AS2">
        <f>BDH("ULCC US Equity","CUR_MKT_CAP","1993-06-18","2026-05-02","Per=M","Days=T","Dir=V")</f>
        <v>0</v>
      </c>
      <c r="AU2">
        <f>BDH("ULCC US Equity","EQY_SH_OUT","1993-06-18","2026-05-02","Per=M","Days=T","Dir=V")</f>
        <v>0</v>
      </c>
      <c r="AW2">
        <f>BDH("ULCC US Equity","PX_VOLUME","1993-06-18","2026-05-02","Per=M","Days=T","Dir=V")</f>
        <v>0</v>
      </c>
      <c r="AY2">
        <f>BDH("ULCC US Equity","TURNOVER","1993-06-18","2026-05-02","Per=M","Days=T","Dir=V")</f>
        <v>0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BDH("ULH US Equity","BS_TOT_ASSET","1993-06-18","2026-05-02","Per=Y","Days=T","Dir=V")</f>
        <v>0</v>
      </c>
      <c r="C2">
        <f>BDH("ULH US Equity","BS_TOT_LIAB2","1993-06-18","2026-05-02","Per=Y","Days=T","Dir=V")</f>
        <v>0</v>
      </c>
      <c r="E2">
        <f>BDH("ULH US Equity","SHORT_AND_LONG_TERM_DEBT","1993-06-18","2026-05-02","Per=Y","Days=T","Dir=V")</f>
        <v>0</v>
      </c>
      <c r="G2">
        <f>BDH("ULH US Equity","BS_ST_BORROW","1993-06-18","2026-05-02","Per=Y","Days=T","Dir=V")</f>
        <v>0</v>
      </c>
      <c r="I2">
        <f>BDH("ULH US Equity","BS_LT_BORROW","1993-06-18","2026-05-02","Per=Y","Days=T","Dir=V")</f>
        <v>0</v>
      </c>
      <c r="K2">
        <f>BDH("ULH US Equity","BS_CASH_NEAR_CASH_ITEM","1993-06-18","2026-05-02","Per=Y","Days=T","Dir=V")</f>
        <v>0</v>
      </c>
      <c r="M2">
        <f>BDH("ULH US Equity","BS_CUR_ASSET_REPORT","1993-06-18","2026-05-02","Per=Y","Days=T","Dir=V")</f>
        <v>0</v>
      </c>
      <c r="O2">
        <f>BDH("ULH US Equity","BS_CUR_LIAB","1993-06-18","2026-05-02","Per=Y","Days=T","Dir=V")</f>
        <v>0</v>
      </c>
      <c r="Q2">
        <f>BDH("ULH US Equity","BS_SHAREHOLDER_EQY_ENDING_PERIOD","1993-06-18","2026-05-02","Per=Y","Days=T","Dir=V")</f>
        <v>0</v>
      </c>
      <c r="S2">
        <f>BDH("ULH US Equity","BS_ACCT_NOTE_RCV","1993-06-18","2026-05-02","Per=Y","Days=T","Dir=V")</f>
        <v>0</v>
      </c>
      <c r="U2">
        <f>BDH("ULH US Equity","BS_INVENTORIES","1993-06-18","2026-05-02","Per=Y","Days=T","Dir=V")</f>
        <v>0</v>
      </c>
      <c r="W2">
        <f>BDH("ULH US Equity","WORKING_CAPITAL","1993-06-18","2026-05-02","Per=Y","Days=T","Dir=V")</f>
        <v>0</v>
      </c>
      <c r="Y2">
        <f>BDH("ULH US Equity","SALES_REV_TURN","1993-06-18","2026-05-02","Per=Y","Days=T","Dir=V")</f>
        <v>0</v>
      </c>
      <c r="AA2">
        <f>BDH("ULH US Equity","EBIT","1993-06-18","2026-05-02","Per=Y","Days=T","Dir=V")</f>
        <v>0</v>
      </c>
      <c r="AC2">
        <f>BDH("ULH US Equity","EBITDA","1993-06-18","2026-05-02","Per=Y","Days=T","Dir=V")</f>
        <v>0</v>
      </c>
      <c r="AE2">
        <f>BDH("ULH US Equity","NET_INCOME","1993-06-18","2026-05-02","Per=Y","Days=T","Dir=V")</f>
        <v>0</v>
      </c>
      <c r="AG2">
        <f>BDH("ULH US Equity","IS_INT_EXPENSE","1993-06-18","2026-05-02","Per=Y","Days=T","Dir=V")</f>
        <v>0</v>
      </c>
      <c r="AI2">
        <f>BDH("ULH US Equity","IS_DEPR_EXP","1993-06-18","2026-05-02","Per=Y","Days=T","Dir=V")</f>
        <v>0</v>
      </c>
      <c r="AK2">
        <f>BDH("ULH US Equity","CF_CASH_FROM_OPER","1993-06-18","2026-05-02","Per=Y","Days=T","Dir=V")</f>
        <v>0</v>
      </c>
      <c r="AM2">
        <f>BDH("ULH US Equity","CAPITAL_EXPEND","1993-06-18","2026-05-02","Per=Y","Days=T","Dir=V")</f>
        <v>0</v>
      </c>
      <c r="AO2">
        <f>BDH("ULH US Equity","CF_FREE_CASH_FLOW","1993-06-18","2026-05-02","Per=Y","Days=T","Dir=V")</f>
        <v>0</v>
      </c>
      <c r="AQ2">
        <f>BDH("ULH US Equity","PX_LAST","1993-06-18","2026-05-02","Per=M","Days=T","Dir=V")</f>
        <v>0</v>
      </c>
      <c r="AS2">
        <f>BDH("ULH US Equity","CUR_MKT_CAP","1993-06-18","2026-05-02","Per=M","Days=T","Dir=V")</f>
        <v>0</v>
      </c>
      <c r="AU2">
        <f>BDH("ULH US Equity","EQY_SH_OUT","1993-06-18","2026-05-02","Per=M","Days=T","Dir=V")</f>
        <v>0</v>
      </c>
      <c r="AW2">
        <f>BDH("ULH US Equity","PX_VOLUME","1993-06-18","2026-05-02","Per=M","Days=T","Dir=V")</f>
        <v>0</v>
      </c>
      <c r="AY2">
        <f>BDH("ULH US Equity","TURNOVER","1993-06-18","2026-05-02","Per=M","Days=T","Dir=V")</f>
        <v>0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BDH("ULS US Equity","BS_TOT_ASSET","1993-06-18","2026-05-02","Per=Y","Days=T","Dir=V")</f>
        <v>0</v>
      </c>
      <c r="C2">
        <f>BDH("ULS US Equity","BS_TOT_LIAB2","1993-06-18","2026-05-02","Per=Y","Days=T","Dir=V")</f>
        <v>0</v>
      </c>
      <c r="E2">
        <f>BDH("ULS US Equity","SHORT_AND_LONG_TERM_DEBT","1993-06-18","2026-05-02","Per=Y","Days=T","Dir=V")</f>
        <v>0</v>
      </c>
      <c r="G2">
        <f>BDH("ULS US Equity","BS_ST_BORROW","1993-06-18","2026-05-02","Per=Y","Days=T","Dir=V")</f>
        <v>0</v>
      </c>
      <c r="I2">
        <f>BDH("ULS US Equity","BS_LT_BORROW","1993-06-18","2026-05-02","Per=Y","Days=T","Dir=V")</f>
        <v>0</v>
      </c>
      <c r="K2">
        <f>BDH("ULS US Equity","BS_CASH_NEAR_CASH_ITEM","1993-06-18","2026-05-02","Per=Y","Days=T","Dir=V")</f>
        <v>0</v>
      </c>
      <c r="M2">
        <f>BDH("ULS US Equity","BS_CUR_ASSET_REPORT","1993-06-18","2026-05-02","Per=Y","Days=T","Dir=V")</f>
        <v>0</v>
      </c>
      <c r="O2">
        <f>BDH("ULS US Equity","BS_CUR_LIAB","1993-06-18","2026-05-02","Per=Y","Days=T","Dir=V")</f>
        <v>0</v>
      </c>
      <c r="Q2">
        <f>BDH("ULS US Equity","BS_SHAREHOLDER_EQY_ENDING_PERIOD","1993-06-18","2026-05-02","Per=Y","Days=T","Dir=V")</f>
        <v>0</v>
      </c>
      <c r="S2">
        <f>BDH("ULS US Equity","BS_ACCT_NOTE_RCV","1993-06-18","2026-05-02","Per=Y","Days=T","Dir=V")</f>
        <v>0</v>
      </c>
      <c r="U2">
        <f>BDH("ULS US Equity","BS_INVENTORIES","1993-06-18","2026-05-02","Per=Y","Days=T","Dir=V")</f>
        <v>0</v>
      </c>
      <c r="W2">
        <f>BDH("ULS US Equity","WORKING_CAPITAL","1993-06-18","2026-05-02","Per=Y","Days=T","Dir=V")</f>
        <v>0</v>
      </c>
      <c r="Y2">
        <f>BDH("ULS US Equity","SALES_REV_TURN","1993-06-18","2026-05-02","Per=Y","Days=T","Dir=V")</f>
        <v>0</v>
      </c>
      <c r="AA2">
        <f>BDH("ULS US Equity","EBIT","1993-06-18","2026-05-02","Per=Y","Days=T","Dir=V")</f>
        <v>0</v>
      </c>
      <c r="AC2">
        <f>BDH("ULS US Equity","EBITDA","1993-06-18","2026-05-02","Per=Y","Days=T","Dir=V")</f>
        <v>0</v>
      </c>
      <c r="AE2">
        <f>BDH("ULS US Equity","NET_INCOME","1993-06-18","2026-05-02","Per=Y","Days=T","Dir=V")</f>
        <v>0</v>
      </c>
      <c r="AG2">
        <f>BDH("ULS US Equity","IS_INT_EXPENSE","1993-06-18","2026-05-02","Per=Y","Days=T","Dir=V")</f>
        <v>0</v>
      </c>
      <c r="AI2">
        <f>BDH("ULS US Equity","IS_DEPR_EXP","1993-06-18","2026-05-02","Per=Y","Days=T","Dir=V")</f>
        <v>0</v>
      </c>
      <c r="AK2">
        <f>BDH("ULS US Equity","CF_CASH_FROM_OPER","1993-06-18","2026-05-02","Per=Y","Days=T","Dir=V")</f>
        <v>0</v>
      </c>
      <c r="AM2">
        <f>BDH("ULS US Equity","CAPITAL_EXPEND","1993-06-18","2026-05-02","Per=Y","Days=T","Dir=V")</f>
        <v>0</v>
      </c>
      <c r="AO2">
        <f>BDH("ULS US Equity","CF_FREE_CASH_FLOW","1993-06-18","2026-05-02","Per=Y","Days=T","Dir=V")</f>
        <v>0</v>
      </c>
      <c r="AQ2">
        <f>BDH("ULS US Equity","PX_LAST","1993-06-18","2026-05-02","Per=M","Days=T","Dir=V")</f>
        <v>0</v>
      </c>
      <c r="AS2">
        <f>BDH("ULS US Equity","CUR_MKT_CAP","1993-06-18","2026-05-02","Per=M","Days=T","Dir=V")</f>
        <v>0</v>
      </c>
      <c r="AU2">
        <f>BDH("ULS US Equity","EQY_SH_OUT","1993-06-18","2026-05-02","Per=M","Days=T","Dir=V")</f>
        <v>0</v>
      </c>
      <c r="AW2">
        <f>BDH("ULS US Equity","PX_VOLUME","1993-06-18","2026-05-02","Per=M","Days=T","Dir=V")</f>
        <v>0</v>
      </c>
      <c r="AY2">
        <f>BDH("ULS US Equity","TURNOVER","1993-06-18","2026-05-02","Per=M","Days=T","Dir=V")</f>
        <v>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BDH("ULTA US Equity","BS_TOT_ASSET","1993-06-18","2026-05-02","Per=Y","Days=T","Dir=V")</f>
        <v>0</v>
      </c>
      <c r="C2">
        <f>BDH("ULTA US Equity","BS_TOT_LIAB2","1993-06-18","2026-05-02","Per=Y","Days=T","Dir=V")</f>
        <v>0</v>
      </c>
      <c r="E2">
        <f>BDH("ULTA US Equity","SHORT_AND_LONG_TERM_DEBT","1993-06-18","2026-05-02","Per=Y","Days=T","Dir=V")</f>
        <v>0</v>
      </c>
      <c r="G2">
        <f>BDH("ULTA US Equity","BS_ST_BORROW","1993-06-18","2026-05-02","Per=Y","Days=T","Dir=V")</f>
        <v>0</v>
      </c>
      <c r="I2">
        <f>BDH("ULTA US Equity","BS_LT_BORROW","1993-06-18","2026-05-02","Per=Y","Days=T","Dir=V")</f>
        <v>0</v>
      </c>
      <c r="K2">
        <f>BDH("ULTA US Equity","BS_CASH_NEAR_CASH_ITEM","1993-06-18","2026-05-02","Per=Y","Days=T","Dir=V")</f>
        <v>0</v>
      </c>
      <c r="M2">
        <f>BDH("ULTA US Equity","BS_CUR_ASSET_REPORT","1993-06-18","2026-05-02","Per=Y","Days=T","Dir=V")</f>
        <v>0</v>
      </c>
      <c r="O2">
        <f>BDH("ULTA US Equity","BS_CUR_LIAB","1993-06-18","2026-05-02","Per=Y","Days=T","Dir=V")</f>
        <v>0</v>
      </c>
      <c r="Q2">
        <f>BDH("ULTA US Equity","BS_SHAREHOLDER_EQY_ENDING_PERIOD","1993-06-18","2026-05-02","Per=Y","Days=T","Dir=V")</f>
        <v>0</v>
      </c>
      <c r="S2">
        <f>BDH("ULTA US Equity","BS_ACCT_NOTE_RCV","1993-06-18","2026-05-02","Per=Y","Days=T","Dir=V")</f>
        <v>0</v>
      </c>
      <c r="U2">
        <f>BDH("ULTA US Equity","BS_INVENTORIES","1993-06-18","2026-05-02","Per=Y","Days=T","Dir=V")</f>
        <v>0</v>
      </c>
      <c r="W2">
        <f>BDH("ULTA US Equity","WORKING_CAPITAL","1993-06-18","2026-05-02","Per=Y","Days=T","Dir=V")</f>
        <v>0</v>
      </c>
      <c r="Y2">
        <f>BDH("ULTA US Equity","SALES_REV_TURN","1993-06-18","2026-05-02","Per=Y","Days=T","Dir=V")</f>
        <v>0</v>
      </c>
      <c r="AA2">
        <f>BDH("ULTA US Equity","EBIT","1993-06-18","2026-05-02","Per=Y","Days=T","Dir=V")</f>
        <v>0</v>
      </c>
      <c r="AC2">
        <f>BDH("ULTA US Equity","EBITDA","1993-06-18","2026-05-02","Per=Y","Days=T","Dir=V")</f>
        <v>0</v>
      </c>
      <c r="AE2">
        <f>BDH("ULTA US Equity","NET_INCOME","1993-06-18","2026-05-02","Per=Y","Days=T","Dir=V")</f>
        <v>0</v>
      </c>
      <c r="AG2">
        <f>BDH("ULTA US Equity","IS_INT_EXPENSE","1993-06-18","2026-05-02","Per=Y","Days=T","Dir=V")</f>
        <v>0</v>
      </c>
      <c r="AI2">
        <f>BDH("ULTA US Equity","IS_DEPR_EXP","1993-06-18","2026-05-02","Per=Y","Days=T","Dir=V")</f>
        <v>0</v>
      </c>
      <c r="AK2">
        <f>BDH("ULTA US Equity","CF_CASH_FROM_OPER","1993-06-18","2026-05-02","Per=Y","Days=T","Dir=V")</f>
        <v>0</v>
      </c>
      <c r="AM2">
        <f>BDH("ULTA US Equity","CAPITAL_EXPEND","1993-06-18","2026-05-02","Per=Y","Days=T","Dir=V")</f>
        <v>0</v>
      </c>
      <c r="AO2">
        <f>BDH("ULTA US Equity","CF_FREE_CASH_FLOW","1993-06-18","2026-05-02","Per=Y","Days=T","Dir=V")</f>
        <v>0</v>
      </c>
      <c r="AQ2">
        <f>BDH("ULTA US Equity","PX_LAST","1993-06-18","2026-05-02","Per=M","Days=T","Dir=V")</f>
        <v>0</v>
      </c>
      <c r="AS2">
        <f>BDH("ULTA US Equity","CUR_MKT_CAP","1993-06-18","2026-05-02","Per=M","Days=T","Dir=V")</f>
        <v>0</v>
      </c>
      <c r="AU2">
        <f>BDH("ULTA US Equity","EQY_SH_OUT","1993-06-18","2026-05-02","Per=M","Days=T","Dir=V")</f>
        <v>0</v>
      </c>
      <c r="AW2">
        <f>BDH("ULTA US Equity","PX_VOLUME","1993-06-18","2026-05-02","Per=M","Days=T","Dir=V")</f>
        <v>0</v>
      </c>
      <c r="AY2">
        <f>BDH("ULTA US Equity","TURNOVER","1993-06-18","2026-05-02","Per=M","Days=T","Dir=V")</f>
        <v>0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BDH("UMAC US Equity","BS_TOT_ASSET","1993-06-18","2026-05-02","Per=Y","Days=T","Dir=V")</f>
        <v>0</v>
      </c>
      <c r="C2">
        <f>BDH("UMAC US Equity","BS_TOT_LIAB2","1993-06-18","2026-05-02","Per=Y","Days=T","Dir=V")</f>
        <v>0</v>
      </c>
      <c r="E2">
        <f>BDH("UMAC US Equity","SHORT_AND_LONG_TERM_DEBT","1993-06-18","2026-05-02","Per=Y","Days=T","Dir=V")</f>
        <v>0</v>
      </c>
      <c r="G2">
        <f>BDH("UMAC US Equity","BS_ST_BORROW","1993-06-18","2026-05-02","Per=Y","Days=T","Dir=V")</f>
        <v>0</v>
      </c>
      <c r="I2">
        <f>BDH("UMAC US Equity","BS_LT_BORROW","1993-06-18","2026-05-02","Per=Y","Days=T","Dir=V")</f>
        <v>0</v>
      </c>
      <c r="K2">
        <f>BDH("UMAC US Equity","BS_CASH_NEAR_CASH_ITEM","1993-06-18","2026-05-02","Per=Y","Days=T","Dir=V")</f>
        <v>0</v>
      </c>
      <c r="M2">
        <f>BDH("UMAC US Equity","BS_CUR_ASSET_REPORT","1993-06-18","2026-05-02","Per=Y","Days=T","Dir=V")</f>
        <v>0</v>
      </c>
      <c r="O2">
        <f>BDH("UMAC US Equity","BS_CUR_LIAB","1993-06-18","2026-05-02","Per=Y","Days=T","Dir=V")</f>
        <v>0</v>
      </c>
      <c r="Q2">
        <f>BDH("UMAC US Equity","BS_SHAREHOLDER_EQY_ENDING_PERIOD","1993-06-18","2026-05-02","Per=Y","Days=T","Dir=V")</f>
        <v>0</v>
      </c>
      <c r="S2">
        <f>BDH("UMAC US Equity","BS_ACCT_NOTE_RCV","1993-06-18","2026-05-02","Per=Y","Days=T","Dir=V")</f>
        <v>0</v>
      </c>
      <c r="U2">
        <f>BDH("UMAC US Equity","BS_INVENTORIES","1993-06-18","2026-05-02","Per=Y","Days=T","Dir=V")</f>
        <v>0</v>
      </c>
      <c r="W2">
        <f>BDH("UMAC US Equity","WORKING_CAPITAL","1993-06-18","2026-05-02","Per=Y","Days=T","Dir=V")</f>
        <v>0</v>
      </c>
      <c r="Y2">
        <f>BDH("UMAC US Equity","SALES_REV_TURN","1993-06-18","2026-05-02","Per=Y","Days=T","Dir=V")</f>
        <v>0</v>
      </c>
      <c r="AA2">
        <f>BDH("UMAC US Equity","EBIT","1993-06-18","2026-05-02","Per=Y","Days=T","Dir=V")</f>
        <v>0</v>
      </c>
      <c r="AC2">
        <f>BDH("UMAC US Equity","EBITDA","1993-06-18","2026-05-02","Per=Y","Days=T","Dir=V")</f>
        <v>0</v>
      </c>
      <c r="AE2">
        <f>BDH("UMAC US Equity","NET_INCOME","1993-06-18","2026-05-02","Per=Y","Days=T","Dir=V")</f>
        <v>0</v>
      </c>
      <c r="AG2">
        <f>BDH("UMAC US Equity","IS_INT_EXPENSE","1993-06-18","2026-05-02","Per=Y","Days=T","Dir=V")</f>
        <v>0</v>
      </c>
      <c r="AI2">
        <f>BDH("UMAC US Equity","IS_DEPR_EXP","1993-06-18","2026-05-02","Per=Y","Days=T","Dir=V")</f>
        <v>0</v>
      </c>
      <c r="AK2">
        <f>BDH("UMAC US Equity","CF_CASH_FROM_OPER","1993-06-18","2026-05-02","Per=Y","Days=T","Dir=V")</f>
        <v>0</v>
      </c>
      <c r="AM2">
        <f>BDH("UMAC US Equity","CAPITAL_EXPEND","1993-06-18","2026-05-02","Per=Y","Days=T","Dir=V")</f>
        <v>0</v>
      </c>
      <c r="AO2">
        <f>BDH("UMAC US Equity","CF_FREE_CASH_FLOW","1993-06-18","2026-05-02","Per=Y","Days=T","Dir=V")</f>
        <v>0</v>
      </c>
      <c r="AQ2">
        <f>BDH("UMAC US Equity","PX_LAST","1993-06-18","2026-05-02","Per=M","Days=T","Dir=V")</f>
        <v>0</v>
      </c>
      <c r="AS2">
        <f>BDH("UMAC US Equity","CUR_MKT_CAP","1993-06-18","2026-05-02","Per=M","Days=T","Dir=V")</f>
        <v>0</v>
      </c>
      <c r="AU2">
        <f>BDH("UMAC US Equity","EQY_SH_OUT","1993-06-18","2026-05-02","Per=M","Days=T","Dir=V")</f>
        <v>0</v>
      </c>
      <c r="AW2">
        <f>BDH("UMAC US Equity","PX_VOLUME","1993-06-18","2026-05-02","Per=M","Days=T","Dir=V")</f>
        <v>0</v>
      </c>
      <c r="AY2">
        <f>BDH("UMAC US Equity","TURNOVER","1993-06-18","2026-05-02","Per=M","Days=T","Dir=V")</f>
        <v>0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BDH("UNCY US Equity","BS_TOT_ASSET","1993-06-18","2026-05-02","Per=Y","Days=T","Dir=V")</f>
        <v>0</v>
      </c>
      <c r="C2">
        <f>BDH("UNCY US Equity","BS_TOT_LIAB2","1993-06-18","2026-05-02","Per=Y","Days=T","Dir=V")</f>
        <v>0</v>
      </c>
      <c r="E2">
        <f>BDH("UNCY US Equity","SHORT_AND_LONG_TERM_DEBT","1993-06-18","2026-05-02","Per=Y","Days=T","Dir=V")</f>
        <v>0</v>
      </c>
      <c r="G2">
        <f>BDH("UNCY US Equity","BS_ST_BORROW","1993-06-18","2026-05-02","Per=Y","Days=T","Dir=V")</f>
        <v>0</v>
      </c>
      <c r="I2">
        <f>BDH("UNCY US Equity","BS_LT_BORROW","1993-06-18","2026-05-02","Per=Y","Days=T","Dir=V")</f>
        <v>0</v>
      </c>
      <c r="K2">
        <f>BDH("UNCY US Equity","BS_CASH_NEAR_CASH_ITEM","1993-06-18","2026-05-02","Per=Y","Days=T","Dir=V")</f>
        <v>0</v>
      </c>
      <c r="M2">
        <f>BDH("UNCY US Equity","BS_CUR_ASSET_REPORT","1993-06-18","2026-05-02","Per=Y","Days=T","Dir=V")</f>
        <v>0</v>
      </c>
      <c r="O2">
        <f>BDH("UNCY US Equity","BS_CUR_LIAB","1993-06-18","2026-05-02","Per=Y","Days=T","Dir=V")</f>
        <v>0</v>
      </c>
      <c r="Q2">
        <f>BDH("UNCY US Equity","BS_SHAREHOLDER_EQY_ENDING_PERIOD","1993-06-18","2026-05-02","Per=Y","Days=T","Dir=V")</f>
        <v>0</v>
      </c>
      <c r="S2">
        <f>BDH("UNCY US Equity","BS_ACCT_NOTE_RCV","1993-06-18","2026-05-02","Per=Y","Days=T","Dir=V")</f>
        <v>0</v>
      </c>
      <c r="U2">
        <f>BDH("UNCY US Equity","BS_INVENTORIES","1993-06-18","2026-05-02","Per=Y","Days=T","Dir=V")</f>
        <v>0</v>
      </c>
      <c r="W2">
        <f>BDH("UNCY US Equity","WORKING_CAPITAL","1993-06-18","2026-05-02","Per=Y","Days=T","Dir=V")</f>
        <v>0</v>
      </c>
      <c r="Y2">
        <f>BDH("UNCY US Equity","SALES_REV_TURN","1993-06-18","2026-05-02","Per=Y","Days=T","Dir=V")</f>
        <v>0</v>
      </c>
      <c r="AA2">
        <f>BDH("UNCY US Equity","EBIT","1993-06-18","2026-05-02","Per=Y","Days=T","Dir=V")</f>
        <v>0</v>
      </c>
      <c r="AC2">
        <f>BDH("UNCY US Equity","EBITDA","1993-06-18","2026-05-02","Per=Y","Days=T","Dir=V")</f>
        <v>0</v>
      </c>
      <c r="AE2">
        <f>BDH("UNCY US Equity","NET_INCOME","1993-06-18","2026-05-02","Per=Y","Days=T","Dir=V")</f>
        <v>0</v>
      </c>
      <c r="AG2">
        <f>BDH("UNCY US Equity","IS_INT_EXPENSE","1993-06-18","2026-05-02","Per=Y","Days=T","Dir=V")</f>
        <v>0</v>
      </c>
      <c r="AI2">
        <f>BDH("UNCY US Equity","IS_DEPR_EXP","1993-06-18","2026-05-02","Per=Y","Days=T","Dir=V")</f>
        <v>0</v>
      </c>
      <c r="AK2">
        <f>BDH("UNCY US Equity","CF_CASH_FROM_OPER","1993-06-18","2026-05-02","Per=Y","Days=T","Dir=V")</f>
        <v>0</v>
      </c>
      <c r="AM2">
        <f>BDH("UNCY US Equity","CAPITAL_EXPEND","1993-06-18","2026-05-02","Per=Y","Days=T","Dir=V")</f>
        <v>0</v>
      </c>
      <c r="AO2">
        <f>BDH("UNCY US Equity","CF_FREE_CASH_FLOW","1993-06-18","2026-05-02","Per=Y","Days=T","Dir=V")</f>
        <v>0</v>
      </c>
      <c r="AQ2">
        <f>BDH("UNCY US Equity","PX_LAST","1993-06-18","2026-05-02","Per=M","Days=T","Dir=V")</f>
        <v>0</v>
      </c>
      <c r="AS2">
        <f>BDH("UNCY US Equity","CUR_MKT_CAP","1993-06-18","2026-05-02","Per=M","Days=T","Dir=V")</f>
        <v>0</v>
      </c>
      <c r="AU2">
        <f>BDH("UNCY US Equity","EQY_SH_OUT","1993-06-18","2026-05-02","Per=M","Days=T","Dir=V")</f>
        <v>0</v>
      </c>
      <c r="AW2">
        <f>BDH("UNCY US Equity","PX_VOLUME","1993-06-18","2026-05-02","Per=M","Days=T","Dir=V")</f>
        <v>0</v>
      </c>
      <c r="AY2">
        <f>BDH("UNCY US Equity","TURNOVER","1993-06-18","2026-05-02","Per=M","Days=T","Dir=V")</f>
        <v>0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BDH("UNF US Equity","BS_TOT_ASSET","1993-06-18","2026-05-02","Per=Y","Days=T","Dir=V")</f>
        <v>0</v>
      </c>
      <c r="C2">
        <f>BDH("UNF US Equity","BS_TOT_LIAB2","1993-06-18","2026-05-02","Per=Y","Days=T","Dir=V")</f>
        <v>0</v>
      </c>
      <c r="E2">
        <f>BDH("UNF US Equity","SHORT_AND_LONG_TERM_DEBT","1993-06-18","2026-05-02","Per=Y","Days=T","Dir=V")</f>
        <v>0</v>
      </c>
      <c r="G2">
        <f>BDH("UNF US Equity","BS_ST_BORROW","1993-06-18","2026-05-02","Per=Y","Days=T","Dir=V")</f>
        <v>0</v>
      </c>
      <c r="I2">
        <f>BDH("UNF US Equity","BS_LT_BORROW","1993-06-18","2026-05-02","Per=Y","Days=T","Dir=V")</f>
        <v>0</v>
      </c>
      <c r="K2">
        <f>BDH("UNF US Equity","BS_CASH_NEAR_CASH_ITEM","1993-06-18","2026-05-02","Per=Y","Days=T","Dir=V")</f>
        <v>0</v>
      </c>
      <c r="M2">
        <f>BDH("UNF US Equity","BS_CUR_ASSET_REPORT","1993-06-18","2026-05-02","Per=Y","Days=T","Dir=V")</f>
        <v>0</v>
      </c>
      <c r="O2">
        <f>BDH("UNF US Equity","BS_CUR_LIAB","1993-06-18","2026-05-02","Per=Y","Days=T","Dir=V")</f>
        <v>0</v>
      </c>
      <c r="Q2">
        <f>BDH("UNF US Equity","BS_SHAREHOLDER_EQY_ENDING_PERIOD","1993-06-18","2026-05-02","Per=Y","Days=T","Dir=V")</f>
        <v>0</v>
      </c>
      <c r="S2">
        <f>BDH("UNF US Equity","BS_ACCT_NOTE_RCV","1993-06-18","2026-05-02","Per=Y","Days=T","Dir=V")</f>
        <v>0</v>
      </c>
      <c r="U2">
        <f>BDH("UNF US Equity","BS_INVENTORIES","1993-06-18","2026-05-02","Per=Y","Days=T","Dir=V")</f>
        <v>0</v>
      </c>
      <c r="W2">
        <f>BDH("UNF US Equity","WORKING_CAPITAL","1993-06-18","2026-05-02","Per=Y","Days=T","Dir=V")</f>
        <v>0</v>
      </c>
      <c r="Y2">
        <f>BDH("UNF US Equity","SALES_REV_TURN","1993-06-18","2026-05-02","Per=Y","Days=T","Dir=V")</f>
        <v>0</v>
      </c>
      <c r="AA2">
        <f>BDH("UNF US Equity","EBIT","1993-06-18","2026-05-02","Per=Y","Days=T","Dir=V")</f>
        <v>0</v>
      </c>
      <c r="AC2">
        <f>BDH("UNF US Equity","EBITDA","1993-06-18","2026-05-02","Per=Y","Days=T","Dir=V")</f>
        <v>0</v>
      </c>
      <c r="AE2">
        <f>BDH("UNF US Equity","NET_INCOME","1993-06-18","2026-05-02","Per=Y","Days=T","Dir=V")</f>
        <v>0</v>
      </c>
      <c r="AG2">
        <f>BDH("UNF US Equity","IS_INT_EXPENSE","1993-06-18","2026-05-02","Per=Y","Days=T","Dir=V")</f>
        <v>0</v>
      </c>
      <c r="AI2">
        <f>BDH("UNF US Equity","IS_DEPR_EXP","1993-06-18","2026-05-02","Per=Y","Days=T","Dir=V")</f>
        <v>0</v>
      </c>
      <c r="AK2">
        <f>BDH("UNF US Equity","CF_CASH_FROM_OPER","1993-06-18","2026-05-02","Per=Y","Days=T","Dir=V")</f>
        <v>0</v>
      </c>
      <c r="AM2">
        <f>BDH("UNF US Equity","CAPITAL_EXPEND","1993-06-18","2026-05-02","Per=Y","Days=T","Dir=V")</f>
        <v>0</v>
      </c>
      <c r="AO2">
        <f>BDH("UNF US Equity","CF_FREE_CASH_FLOW","1993-06-18","2026-05-02","Per=Y","Days=T","Dir=V")</f>
        <v>0</v>
      </c>
      <c r="AQ2">
        <f>BDH("UNF US Equity","PX_LAST","1993-06-18","2026-05-02","Per=M","Days=T","Dir=V")</f>
        <v>0</v>
      </c>
      <c r="AS2">
        <f>BDH("UNF US Equity","CUR_MKT_CAP","1993-06-18","2026-05-02","Per=M","Days=T","Dir=V")</f>
        <v>0</v>
      </c>
      <c r="AU2">
        <f>BDH("UNF US Equity","EQY_SH_OUT","1993-06-18","2026-05-02","Per=M","Days=T","Dir=V")</f>
        <v>0</v>
      </c>
      <c r="AW2">
        <f>BDH("UNF US Equity","PX_VOLUME","1993-06-18","2026-05-02","Per=M","Days=T","Dir=V")</f>
        <v>0</v>
      </c>
      <c r="AY2">
        <f>BDH("UNF US Equity","TURNOVER","1993-06-18","2026-05-02","Per=M","Days=T","Dir=V")</f>
        <v>0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BDH("UNFI US Equity","BS_TOT_ASSET","1993-06-18","2026-05-02","Per=Y","Days=T","Dir=V")</f>
        <v>0</v>
      </c>
      <c r="C2">
        <f>BDH("UNFI US Equity","BS_TOT_LIAB2","1993-06-18","2026-05-02","Per=Y","Days=T","Dir=V")</f>
        <v>0</v>
      </c>
      <c r="E2">
        <f>BDH("UNFI US Equity","SHORT_AND_LONG_TERM_DEBT","1993-06-18","2026-05-02","Per=Y","Days=T","Dir=V")</f>
        <v>0</v>
      </c>
      <c r="G2">
        <f>BDH("UNFI US Equity","BS_ST_BORROW","1993-06-18","2026-05-02","Per=Y","Days=T","Dir=V")</f>
        <v>0</v>
      </c>
      <c r="I2">
        <f>BDH("UNFI US Equity","BS_LT_BORROW","1993-06-18","2026-05-02","Per=Y","Days=T","Dir=V")</f>
        <v>0</v>
      </c>
      <c r="K2">
        <f>BDH("UNFI US Equity","BS_CASH_NEAR_CASH_ITEM","1993-06-18","2026-05-02","Per=Y","Days=T","Dir=V")</f>
        <v>0</v>
      </c>
      <c r="M2">
        <f>BDH("UNFI US Equity","BS_CUR_ASSET_REPORT","1993-06-18","2026-05-02","Per=Y","Days=T","Dir=V")</f>
        <v>0</v>
      </c>
      <c r="O2">
        <f>BDH("UNFI US Equity","BS_CUR_LIAB","1993-06-18","2026-05-02","Per=Y","Days=T","Dir=V")</f>
        <v>0</v>
      </c>
      <c r="Q2">
        <f>BDH("UNFI US Equity","BS_SHAREHOLDER_EQY_ENDING_PERIOD","1993-06-18","2026-05-02","Per=Y","Days=T","Dir=V")</f>
        <v>0</v>
      </c>
      <c r="S2">
        <f>BDH("UNFI US Equity","BS_ACCT_NOTE_RCV","1993-06-18","2026-05-02","Per=Y","Days=T","Dir=V")</f>
        <v>0</v>
      </c>
      <c r="U2">
        <f>BDH("UNFI US Equity","BS_INVENTORIES","1993-06-18","2026-05-02","Per=Y","Days=T","Dir=V")</f>
        <v>0</v>
      </c>
      <c r="W2">
        <f>BDH("UNFI US Equity","WORKING_CAPITAL","1993-06-18","2026-05-02","Per=Y","Days=T","Dir=V")</f>
        <v>0</v>
      </c>
      <c r="Y2">
        <f>BDH("UNFI US Equity","SALES_REV_TURN","1993-06-18","2026-05-02","Per=Y","Days=T","Dir=V")</f>
        <v>0</v>
      </c>
      <c r="AA2">
        <f>BDH("UNFI US Equity","EBIT","1993-06-18","2026-05-02","Per=Y","Days=T","Dir=V")</f>
        <v>0</v>
      </c>
      <c r="AC2">
        <f>BDH("UNFI US Equity","EBITDA","1993-06-18","2026-05-02","Per=Y","Days=T","Dir=V")</f>
        <v>0</v>
      </c>
      <c r="AE2">
        <f>BDH("UNFI US Equity","NET_INCOME","1993-06-18","2026-05-02","Per=Y","Days=T","Dir=V")</f>
        <v>0</v>
      </c>
      <c r="AG2">
        <f>BDH("UNFI US Equity","IS_INT_EXPENSE","1993-06-18","2026-05-02","Per=Y","Days=T","Dir=V")</f>
        <v>0</v>
      </c>
      <c r="AI2">
        <f>BDH("UNFI US Equity","IS_DEPR_EXP","1993-06-18","2026-05-02","Per=Y","Days=T","Dir=V")</f>
        <v>0</v>
      </c>
      <c r="AK2">
        <f>BDH("UNFI US Equity","CF_CASH_FROM_OPER","1993-06-18","2026-05-02","Per=Y","Days=T","Dir=V")</f>
        <v>0</v>
      </c>
      <c r="AM2">
        <f>BDH("UNFI US Equity","CAPITAL_EXPEND","1993-06-18","2026-05-02","Per=Y","Days=T","Dir=V")</f>
        <v>0</v>
      </c>
      <c r="AO2">
        <f>BDH("UNFI US Equity","CF_FREE_CASH_FLOW","1993-06-18","2026-05-02","Per=Y","Days=T","Dir=V")</f>
        <v>0</v>
      </c>
      <c r="AQ2">
        <f>BDH("UNFI US Equity","PX_LAST","1993-06-18","2026-05-02","Per=M","Days=T","Dir=V")</f>
        <v>0</v>
      </c>
      <c r="AS2">
        <f>BDH("UNFI US Equity","CUR_MKT_CAP","1993-06-18","2026-05-02","Per=M","Days=T","Dir=V")</f>
        <v>0</v>
      </c>
      <c r="AU2">
        <f>BDH("UNFI US Equity","EQY_SH_OUT","1993-06-18","2026-05-02","Per=M","Days=T","Dir=V")</f>
        <v>0</v>
      </c>
      <c r="AW2">
        <f>BDH("UNFI US Equity","PX_VOLUME","1993-06-18","2026-05-02","Per=M","Days=T","Dir=V")</f>
        <v>0</v>
      </c>
      <c r="AY2">
        <f>BDH("UNFI US Equity","TURNOVER","1993-06-18","2026-05-02","Per=M","Days=T","Dir=V")</f>
        <v>0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BDH("UNH US Equity","BS_TOT_ASSET","1993-06-18","2026-05-02","Per=Y","Days=T","Dir=V")</f>
        <v>0</v>
      </c>
      <c r="C2">
        <f>BDH("UNH US Equity","BS_TOT_LIAB2","1993-06-18","2026-05-02","Per=Y","Days=T","Dir=V")</f>
        <v>0</v>
      </c>
      <c r="E2">
        <f>BDH("UNH US Equity","SHORT_AND_LONG_TERM_DEBT","1993-06-18","2026-05-02","Per=Y","Days=T","Dir=V")</f>
        <v>0</v>
      </c>
      <c r="G2">
        <f>BDH("UNH US Equity","BS_ST_BORROW","1993-06-18","2026-05-02","Per=Y","Days=T","Dir=V")</f>
        <v>0</v>
      </c>
      <c r="I2">
        <f>BDH("UNH US Equity","BS_LT_BORROW","1993-06-18","2026-05-02","Per=Y","Days=T","Dir=V")</f>
        <v>0</v>
      </c>
      <c r="K2">
        <f>BDH("UNH US Equity","BS_CASH_NEAR_CASH_ITEM","1993-06-18","2026-05-02","Per=Y","Days=T","Dir=V")</f>
        <v>0</v>
      </c>
      <c r="M2">
        <f>BDH("UNH US Equity","BS_CUR_ASSET_REPORT","1993-06-18","2026-05-02","Per=Y","Days=T","Dir=V")</f>
        <v>0</v>
      </c>
      <c r="O2">
        <f>BDH("UNH US Equity","BS_CUR_LIAB","1993-06-18","2026-05-02","Per=Y","Days=T","Dir=V")</f>
        <v>0</v>
      </c>
      <c r="Q2">
        <f>BDH("UNH US Equity","BS_SHAREHOLDER_EQY_ENDING_PERIOD","1993-06-18","2026-05-02","Per=Y","Days=T","Dir=V")</f>
        <v>0</v>
      </c>
      <c r="S2">
        <f>BDH("UNH US Equity","BS_ACCT_NOTE_RCV","1993-06-18","2026-05-02","Per=Y","Days=T","Dir=V")</f>
        <v>0</v>
      </c>
      <c r="U2">
        <f>BDH("UNH US Equity","BS_INVENTORIES","1993-06-18","2026-05-02","Per=Y","Days=T","Dir=V")</f>
        <v>0</v>
      </c>
      <c r="W2">
        <f>BDH("UNH US Equity","WORKING_CAPITAL","1993-06-18","2026-05-02","Per=Y","Days=T","Dir=V")</f>
        <v>0</v>
      </c>
      <c r="Y2">
        <f>BDH("UNH US Equity","SALES_REV_TURN","1993-06-18","2026-05-02","Per=Y","Days=T","Dir=V")</f>
        <v>0</v>
      </c>
      <c r="AA2">
        <f>BDH("UNH US Equity","EBIT","1993-06-18","2026-05-02","Per=Y","Days=T","Dir=V")</f>
        <v>0</v>
      </c>
      <c r="AC2">
        <f>BDH("UNH US Equity","EBITDA","1993-06-18","2026-05-02","Per=Y","Days=T","Dir=V")</f>
        <v>0</v>
      </c>
      <c r="AE2">
        <f>BDH("UNH US Equity","NET_INCOME","1993-06-18","2026-05-02","Per=Y","Days=T","Dir=V")</f>
        <v>0</v>
      </c>
      <c r="AG2">
        <f>BDH("UNH US Equity","IS_INT_EXPENSE","1993-06-18","2026-05-02","Per=Y","Days=T","Dir=V")</f>
        <v>0</v>
      </c>
      <c r="AI2">
        <f>BDH("UNH US Equity","IS_DEPR_EXP","1993-06-18","2026-05-02","Per=Y","Days=T","Dir=V")</f>
        <v>0</v>
      </c>
      <c r="AK2">
        <f>BDH("UNH US Equity","CF_CASH_FROM_OPER","1993-06-18","2026-05-02","Per=Y","Days=T","Dir=V")</f>
        <v>0</v>
      </c>
      <c r="AM2">
        <f>BDH("UNH US Equity","CAPITAL_EXPEND","1993-06-18","2026-05-02","Per=Y","Days=T","Dir=V")</f>
        <v>0</v>
      </c>
      <c r="AO2">
        <f>BDH("UNH US Equity","CF_FREE_CASH_FLOW","1993-06-18","2026-05-02","Per=Y","Days=T","Dir=V")</f>
        <v>0</v>
      </c>
      <c r="AQ2">
        <f>BDH("UNH US Equity","PX_LAST","1993-06-18","2026-05-02","Per=M","Days=T","Dir=V")</f>
        <v>0</v>
      </c>
      <c r="AS2">
        <f>BDH("UNH US Equity","CUR_MKT_CAP","1993-06-18","2026-05-02","Per=M","Days=T","Dir=V")</f>
        <v>0</v>
      </c>
      <c r="AU2">
        <f>BDH("UNH US Equity","EQY_SH_OUT","1993-06-18","2026-05-02","Per=M","Days=T","Dir=V")</f>
        <v>0</v>
      </c>
      <c r="AW2">
        <f>BDH("UNH US Equity","PX_VOLUME","1993-06-18","2026-05-02","Per=M","Days=T","Dir=V")</f>
        <v>0</v>
      </c>
      <c r="AY2">
        <f>BDH("UNH US Equity","TURNOVER","1993-06-18","2026-05-02","Per=M","Days=T","Dir=V")</f>
        <v>0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BDH("UNP US Equity","BS_TOT_ASSET","1993-06-18","2026-05-02","Per=Y","Days=T","Dir=V")</f>
        <v>0</v>
      </c>
      <c r="C2">
        <f>BDH("UNP US Equity","BS_TOT_LIAB2","1993-06-18","2026-05-02","Per=Y","Days=T","Dir=V")</f>
        <v>0</v>
      </c>
      <c r="E2">
        <f>BDH("UNP US Equity","SHORT_AND_LONG_TERM_DEBT","1993-06-18","2026-05-02","Per=Y","Days=T","Dir=V")</f>
        <v>0</v>
      </c>
      <c r="G2">
        <f>BDH("UNP US Equity","BS_ST_BORROW","1993-06-18","2026-05-02","Per=Y","Days=T","Dir=V")</f>
        <v>0</v>
      </c>
      <c r="I2">
        <f>BDH("UNP US Equity","BS_LT_BORROW","1993-06-18","2026-05-02","Per=Y","Days=T","Dir=V")</f>
        <v>0</v>
      </c>
      <c r="K2">
        <f>BDH("UNP US Equity","BS_CASH_NEAR_CASH_ITEM","1993-06-18","2026-05-02","Per=Y","Days=T","Dir=V")</f>
        <v>0</v>
      </c>
      <c r="M2">
        <f>BDH("UNP US Equity","BS_CUR_ASSET_REPORT","1993-06-18","2026-05-02","Per=Y","Days=T","Dir=V")</f>
        <v>0</v>
      </c>
      <c r="O2">
        <f>BDH("UNP US Equity","BS_CUR_LIAB","1993-06-18","2026-05-02","Per=Y","Days=T","Dir=V")</f>
        <v>0</v>
      </c>
      <c r="Q2">
        <f>BDH("UNP US Equity","BS_SHAREHOLDER_EQY_ENDING_PERIOD","1993-06-18","2026-05-02","Per=Y","Days=T","Dir=V")</f>
        <v>0</v>
      </c>
      <c r="S2">
        <f>BDH("UNP US Equity","BS_ACCT_NOTE_RCV","1993-06-18","2026-05-02","Per=Y","Days=T","Dir=V")</f>
        <v>0</v>
      </c>
      <c r="U2">
        <f>BDH("UNP US Equity","BS_INVENTORIES","1993-06-18","2026-05-02","Per=Y","Days=T","Dir=V")</f>
        <v>0</v>
      </c>
      <c r="W2">
        <f>BDH("UNP US Equity","WORKING_CAPITAL","1993-06-18","2026-05-02","Per=Y","Days=T","Dir=V")</f>
        <v>0</v>
      </c>
      <c r="Y2">
        <f>BDH("UNP US Equity","SALES_REV_TURN","1993-06-18","2026-05-02","Per=Y","Days=T","Dir=V")</f>
        <v>0</v>
      </c>
      <c r="AA2">
        <f>BDH("UNP US Equity","EBIT","1993-06-18","2026-05-02","Per=Y","Days=T","Dir=V")</f>
        <v>0</v>
      </c>
      <c r="AC2">
        <f>BDH("UNP US Equity","EBITDA","1993-06-18","2026-05-02","Per=Y","Days=T","Dir=V")</f>
        <v>0</v>
      </c>
      <c r="AE2">
        <f>BDH("UNP US Equity","NET_INCOME","1993-06-18","2026-05-02","Per=Y","Days=T","Dir=V")</f>
        <v>0</v>
      </c>
      <c r="AG2">
        <f>BDH("UNP US Equity","IS_INT_EXPENSE","1993-06-18","2026-05-02","Per=Y","Days=T","Dir=V")</f>
        <v>0</v>
      </c>
      <c r="AI2">
        <f>BDH("UNP US Equity","IS_DEPR_EXP","1993-06-18","2026-05-02","Per=Y","Days=T","Dir=V")</f>
        <v>0</v>
      </c>
      <c r="AK2">
        <f>BDH("UNP US Equity","CF_CASH_FROM_OPER","1993-06-18","2026-05-02","Per=Y","Days=T","Dir=V")</f>
        <v>0</v>
      </c>
      <c r="AM2">
        <f>BDH("UNP US Equity","CAPITAL_EXPEND","1993-06-18","2026-05-02","Per=Y","Days=T","Dir=V")</f>
        <v>0</v>
      </c>
      <c r="AO2">
        <f>BDH("UNP US Equity","CF_FREE_CASH_FLOW","1993-06-18","2026-05-02","Per=Y","Days=T","Dir=V")</f>
        <v>0</v>
      </c>
      <c r="AQ2">
        <f>BDH("UNP US Equity","PX_LAST","1993-06-18","2026-05-02","Per=M","Days=T","Dir=V")</f>
        <v>0</v>
      </c>
      <c r="AS2">
        <f>BDH("UNP US Equity","CUR_MKT_CAP","1993-06-18","2026-05-02","Per=M","Days=T","Dir=V")</f>
        <v>0</v>
      </c>
      <c r="AU2">
        <f>BDH("UNP US Equity","EQY_SH_OUT","1993-06-18","2026-05-02","Per=M","Days=T","Dir=V")</f>
        <v>0</v>
      </c>
      <c r="AW2">
        <f>BDH("UNP US Equity","PX_VOLUME","1993-06-18","2026-05-02","Per=M","Days=T","Dir=V")</f>
        <v>0</v>
      </c>
      <c r="AY2">
        <f>BDH("UNP US Equity","TURNOVER","1993-06-18","2026-05-02","Per=M","Days=T","Dir=V")</f>
        <v>0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BDH("UONE US Equity","BS_TOT_ASSET","1993-06-18","2026-05-02","Per=Y","Days=T","Dir=V")</f>
        <v>0</v>
      </c>
      <c r="C2">
        <f>BDH("UONE US Equity","BS_TOT_LIAB2","1993-06-18","2026-05-02","Per=Y","Days=T","Dir=V")</f>
        <v>0</v>
      </c>
      <c r="E2">
        <f>BDH("UONE US Equity","SHORT_AND_LONG_TERM_DEBT","1993-06-18","2026-05-02","Per=Y","Days=T","Dir=V")</f>
        <v>0</v>
      </c>
      <c r="G2">
        <f>BDH("UONE US Equity","BS_ST_BORROW","1993-06-18","2026-05-02","Per=Y","Days=T","Dir=V")</f>
        <v>0</v>
      </c>
      <c r="I2">
        <f>BDH("UONE US Equity","BS_LT_BORROW","1993-06-18","2026-05-02","Per=Y","Days=T","Dir=V")</f>
        <v>0</v>
      </c>
      <c r="K2">
        <f>BDH("UONE US Equity","BS_CASH_NEAR_CASH_ITEM","1993-06-18","2026-05-02","Per=Y","Days=T","Dir=V")</f>
        <v>0</v>
      </c>
      <c r="M2">
        <f>BDH("UONE US Equity","BS_CUR_ASSET_REPORT","1993-06-18","2026-05-02","Per=Y","Days=T","Dir=V")</f>
        <v>0</v>
      </c>
      <c r="O2">
        <f>BDH("UONE US Equity","BS_CUR_LIAB","1993-06-18","2026-05-02","Per=Y","Days=T","Dir=V")</f>
        <v>0</v>
      </c>
      <c r="Q2">
        <f>BDH("UONE US Equity","BS_SHAREHOLDER_EQY_ENDING_PERIOD","1993-06-18","2026-05-02","Per=Y","Days=T","Dir=V")</f>
        <v>0</v>
      </c>
      <c r="S2">
        <f>BDH("UONE US Equity","BS_ACCT_NOTE_RCV","1993-06-18","2026-05-02","Per=Y","Days=T","Dir=V")</f>
        <v>0</v>
      </c>
      <c r="U2">
        <f>BDH("UONE US Equity","BS_INVENTORIES","1993-06-18","2026-05-02","Per=Y","Days=T","Dir=V")</f>
        <v>0</v>
      </c>
      <c r="W2">
        <f>BDH("UONE US Equity","WORKING_CAPITAL","1993-06-18","2026-05-02","Per=Y","Days=T","Dir=V")</f>
        <v>0</v>
      </c>
      <c r="Y2">
        <f>BDH("UONE US Equity","SALES_REV_TURN","1993-06-18","2026-05-02","Per=Y","Days=T","Dir=V")</f>
        <v>0</v>
      </c>
      <c r="AA2">
        <f>BDH("UONE US Equity","EBIT","1993-06-18","2026-05-02","Per=Y","Days=T","Dir=V")</f>
        <v>0</v>
      </c>
      <c r="AC2">
        <f>BDH("UONE US Equity","EBITDA","1993-06-18","2026-05-02","Per=Y","Days=T","Dir=V")</f>
        <v>0</v>
      </c>
      <c r="AE2">
        <f>BDH("UONE US Equity","NET_INCOME","1993-06-18","2026-05-02","Per=Y","Days=T","Dir=V")</f>
        <v>0</v>
      </c>
      <c r="AG2">
        <f>BDH("UONE US Equity","IS_INT_EXPENSE","1993-06-18","2026-05-02","Per=Y","Days=T","Dir=V")</f>
        <v>0</v>
      </c>
      <c r="AI2">
        <f>BDH("UONE US Equity","IS_DEPR_EXP","1993-06-18","2026-05-02","Per=Y","Days=T","Dir=V")</f>
        <v>0</v>
      </c>
      <c r="AK2">
        <f>BDH("UONE US Equity","CF_CASH_FROM_OPER","1993-06-18","2026-05-02","Per=Y","Days=T","Dir=V")</f>
        <v>0</v>
      </c>
      <c r="AM2">
        <f>BDH("UONE US Equity","CAPITAL_EXPEND","1993-06-18","2026-05-02","Per=Y","Days=T","Dir=V")</f>
        <v>0</v>
      </c>
      <c r="AO2">
        <f>BDH("UONE US Equity","CF_FREE_CASH_FLOW","1993-06-18","2026-05-02","Per=Y","Days=T","Dir=V")</f>
        <v>0</v>
      </c>
      <c r="AQ2">
        <f>BDH("UONE US Equity","PX_LAST","1993-06-18","2026-05-02","Per=M","Days=T","Dir=V")</f>
        <v>0</v>
      </c>
      <c r="AS2">
        <f>BDH("UONE US Equity","CUR_MKT_CAP","1993-06-18","2026-05-02","Per=M","Days=T","Dir=V")</f>
        <v>0</v>
      </c>
      <c r="AU2">
        <f>BDH("UONE US Equity","EQY_SH_OUT","1993-06-18","2026-05-02","Per=M","Days=T","Dir=V")</f>
        <v>0</v>
      </c>
      <c r="AW2">
        <f>BDH("UONE US Equity","PX_VOLUME","1993-06-18","2026-05-02","Per=M","Days=T","Dir=V")</f>
        <v>0</v>
      </c>
      <c r="AY2">
        <f>BDH("UONE US Equity","TURNOVER","1993-06-18","2026-05-02","Per=M","Days=T","Dir=V")</f>
        <v>0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BDH("UONEK US Equity","BS_TOT_ASSET","1993-06-18","2026-05-02","Per=Y","Days=T","Dir=V")</f>
        <v>0</v>
      </c>
      <c r="C2">
        <f>BDH("UONEK US Equity","BS_TOT_LIAB2","1993-06-18","2026-05-02","Per=Y","Days=T","Dir=V")</f>
        <v>0</v>
      </c>
      <c r="E2">
        <f>BDH("UONEK US Equity","SHORT_AND_LONG_TERM_DEBT","1993-06-18","2026-05-02","Per=Y","Days=T","Dir=V")</f>
        <v>0</v>
      </c>
      <c r="G2">
        <f>BDH("UONEK US Equity","BS_ST_BORROW","1993-06-18","2026-05-02","Per=Y","Days=T","Dir=V")</f>
        <v>0</v>
      </c>
      <c r="I2">
        <f>BDH("UONEK US Equity","BS_LT_BORROW","1993-06-18","2026-05-02","Per=Y","Days=T","Dir=V")</f>
        <v>0</v>
      </c>
      <c r="K2">
        <f>BDH("UONEK US Equity","BS_CASH_NEAR_CASH_ITEM","1993-06-18","2026-05-02","Per=Y","Days=T","Dir=V")</f>
        <v>0</v>
      </c>
      <c r="M2">
        <f>BDH("UONEK US Equity","BS_CUR_ASSET_REPORT","1993-06-18","2026-05-02","Per=Y","Days=T","Dir=V")</f>
        <v>0</v>
      </c>
      <c r="O2">
        <f>BDH("UONEK US Equity","BS_CUR_LIAB","1993-06-18","2026-05-02","Per=Y","Days=T","Dir=V")</f>
        <v>0</v>
      </c>
      <c r="Q2">
        <f>BDH("UONEK US Equity","BS_SHAREHOLDER_EQY_ENDING_PERIOD","1993-06-18","2026-05-02","Per=Y","Days=T","Dir=V")</f>
        <v>0</v>
      </c>
      <c r="S2">
        <f>BDH("UONEK US Equity","BS_ACCT_NOTE_RCV","1993-06-18","2026-05-02","Per=Y","Days=T","Dir=V")</f>
        <v>0</v>
      </c>
      <c r="U2">
        <f>BDH("UONEK US Equity","BS_INVENTORIES","1993-06-18","2026-05-02","Per=Y","Days=T","Dir=V")</f>
        <v>0</v>
      </c>
      <c r="W2">
        <f>BDH("UONEK US Equity","WORKING_CAPITAL","1993-06-18","2026-05-02","Per=Y","Days=T","Dir=V")</f>
        <v>0</v>
      </c>
      <c r="Y2">
        <f>BDH("UONEK US Equity","SALES_REV_TURN","1993-06-18","2026-05-02","Per=Y","Days=T","Dir=V")</f>
        <v>0</v>
      </c>
      <c r="AA2">
        <f>BDH("UONEK US Equity","EBIT","1993-06-18","2026-05-02","Per=Y","Days=T","Dir=V")</f>
        <v>0</v>
      </c>
      <c r="AC2">
        <f>BDH("UONEK US Equity","EBITDA","1993-06-18","2026-05-02","Per=Y","Days=T","Dir=V")</f>
        <v>0</v>
      </c>
      <c r="AE2">
        <f>BDH("UONEK US Equity","NET_INCOME","1993-06-18","2026-05-02","Per=Y","Days=T","Dir=V")</f>
        <v>0</v>
      </c>
      <c r="AG2">
        <f>BDH("UONEK US Equity","IS_INT_EXPENSE","1993-06-18","2026-05-02","Per=Y","Days=T","Dir=V")</f>
        <v>0</v>
      </c>
      <c r="AI2">
        <f>BDH("UONEK US Equity","IS_DEPR_EXP","1993-06-18","2026-05-02","Per=Y","Days=T","Dir=V")</f>
        <v>0</v>
      </c>
      <c r="AK2">
        <f>BDH("UONEK US Equity","CF_CASH_FROM_OPER","1993-06-18","2026-05-02","Per=Y","Days=T","Dir=V")</f>
        <v>0</v>
      </c>
      <c r="AM2">
        <f>BDH("UONEK US Equity","CAPITAL_EXPEND","1993-06-18","2026-05-02","Per=Y","Days=T","Dir=V")</f>
        <v>0</v>
      </c>
      <c r="AO2">
        <f>BDH("UONEK US Equity","CF_FREE_CASH_FLOW","1993-06-18","2026-05-02","Per=Y","Days=T","Dir=V")</f>
        <v>0</v>
      </c>
      <c r="AQ2">
        <f>BDH("UONEK US Equity","PX_LAST","1993-06-18","2026-05-02","Per=M","Days=T","Dir=V")</f>
        <v>0</v>
      </c>
      <c r="AS2">
        <f>BDH("UONEK US Equity","CUR_MKT_CAP","1993-06-18","2026-05-02","Per=M","Days=T","Dir=V")</f>
        <v>0</v>
      </c>
      <c r="AU2">
        <f>BDH("UONEK US Equity","EQY_SH_OUT","1993-06-18","2026-05-02","Per=M","Days=T","Dir=V")</f>
        <v>0</v>
      </c>
      <c r="AW2">
        <f>BDH("UONEK US Equity","PX_VOLUME","1993-06-18","2026-05-02","Per=M","Days=T","Dir=V")</f>
        <v>0</v>
      </c>
      <c r="AY2">
        <f>BDH("UONEK US Equity","TURNOVER","1993-06-18","2026-05-02","Per=M","Days=T","Dir=V")</f>
        <v>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BDH("UPB US Equity","BS_TOT_ASSET","1993-06-18","2026-05-02","Per=Y","Days=T","Dir=V")</f>
        <v>0</v>
      </c>
      <c r="C2">
        <f>BDH("UPB US Equity","BS_TOT_LIAB2","1993-06-18","2026-05-02","Per=Y","Days=T","Dir=V")</f>
        <v>0</v>
      </c>
      <c r="E2">
        <f>BDH("UPB US Equity","SHORT_AND_LONG_TERM_DEBT","1993-06-18","2026-05-02","Per=Y","Days=T","Dir=V")</f>
        <v>0</v>
      </c>
      <c r="G2">
        <f>BDH("UPB US Equity","BS_ST_BORROW","1993-06-18","2026-05-02","Per=Y","Days=T","Dir=V")</f>
        <v>0</v>
      </c>
      <c r="I2">
        <f>BDH("UPB US Equity","BS_LT_BORROW","1993-06-18","2026-05-02","Per=Y","Days=T","Dir=V")</f>
        <v>0</v>
      </c>
      <c r="K2">
        <f>BDH("UPB US Equity","BS_CASH_NEAR_CASH_ITEM","1993-06-18","2026-05-02","Per=Y","Days=T","Dir=V")</f>
        <v>0</v>
      </c>
      <c r="M2">
        <f>BDH("UPB US Equity","BS_CUR_ASSET_REPORT","1993-06-18","2026-05-02","Per=Y","Days=T","Dir=V")</f>
        <v>0</v>
      </c>
      <c r="O2">
        <f>BDH("UPB US Equity","BS_CUR_LIAB","1993-06-18","2026-05-02","Per=Y","Days=T","Dir=V")</f>
        <v>0</v>
      </c>
      <c r="Q2">
        <f>BDH("UPB US Equity","BS_SHAREHOLDER_EQY_ENDING_PERIOD","1993-06-18","2026-05-02","Per=Y","Days=T","Dir=V")</f>
        <v>0</v>
      </c>
      <c r="S2">
        <f>BDH("UPB US Equity","BS_ACCT_NOTE_RCV","1993-06-18","2026-05-02","Per=Y","Days=T","Dir=V")</f>
        <v>0</v>
      </c>
      <c r="U2">
        <f>BDH("UPB US Equity","BS_INVENTORIES","1993-06-18","2026-05-02","Per=Y","Days=T","Dir=V")</f>
        <v>0</v>
      </c>
      <c r="W2">
        <f>BDH("UPB US Equity","WORKING_CAPITAL","1993-06-18","2026-05-02","Per=Y","Days=T","Dir=V")</f>
        <v>0</v>
      </c>
      <c r="Y2">
        <f>BDH("UPB US Equity","SALES_REV_TURN","1993-06-18","2026-05-02","Per=Y","Days=T","Dir=V")</f>
        <v>0</v>
      </c>
      <c r="AA2">
        <f>BDH("UPB US Equity","EBIT","1993-06-18","2026-05-02","Per=Y","Days=T","Dir=V")</f>
        <v>0</v>
      </c>
      <c r="AC2">
        <f>BDH("UPB US Equity","EBITDA","1993-06-18","2026-05-02","Per=Y","Days=T","Dir=V")</f>
        <v>0</v>
      </c>
      <c r="AE2">
        <f>BDH("UPB US Equity","NET_INCOME","1993-06-18","2026-05-02","Per=Y","Days=T","Dir=V")</f>
        <v>0</v>
      </c>
      <c r="AG2">
        <f>BDH("UPB US Equity","IS_INT_EXPENSE","1993-06-18","2026-05-02","Per=Y","Days=T","Dir=V")</f>
        <v>0</v>
      </c>
      <c r="AI2">
        <f>BDH("UPB US Equity","IS_DEPR_EXP","1993-06-18","2026-05-02","Per=Y","Days=T","Dir=V")</f>
        <v>0</v>
      </c>
      <c r="AK2">
        <f>BDH("UPB US Equity","CF_CASH_FROM_OPER","1993-06-18","2026-05-02","Per=Y","Days=T","Dir=V")</f>
        <v>0</v>
      </c>
      <c r="AM2">
        <f>BDH("UPB US Equity","CAPITAL_EXPEND","1993-06-18","2026-05-02","Per=Y","Days=T","Dir=V")</f>
        <v>0</v>
      </c>
      <c r="AO2">
        <f>BDH("UPB US Equity","CF_FREE_CASH_FLOW","1993-06-18","2026-05-02","Per=Y","Days=T","Dir=V")</f>
        <v>0</v>
      </c>
      <c r="AQ2">
        <f>BDH("UPB US Equity","PX_LAST","1993-06-18","2026-05-02","Per=M","Days=T","Dir=V")</f>
        <v>0</v>
      </c>
      <c r="AS2">
        <f>BDH("UPB US Equity","CUR_MKT_CAP","1993-06-18","2026-05-02","Per=M","Days=T","Dir=V")</f>
        <v>0</v>
      </c>
      <c r="AU2">
        <f>BDH("UPB US Equity","EQY_SH_OUT","1993-06-18","2026-05-02","Per=M","Days=T","Dir=V")</f>
        <v>0</v>
      </c>
      <c r="AW2">
        <f>BDH("UPB US Equity","PX_VOLUME","1993-06-18","2026-05-02","Per=M","Days=T","Dir=V")</f>
        <v>0</v>
      </c>
      <c r="AY2">
        <f>BDH("UPB US Equity","TURNOVER","1993-06-18","2026-05-02","Per=M","Days=T","Dir=V")</f>
        <v>0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BDH("UPBD US Equity","BS_TOT_ASSET","1993-06-18","2026-05-02","Per=Y","Days=T","Dir=V")</f>
        <v>0</v>
      </c>
      <c r="C2">
        <f>BDH("UPBD US Equity","BS_TOT_LIAB2","1993-06-18","2026-05-02","Per=Y","Days=T","Dir=V")</f>
        <v>0</v>
      </c>
      <c r="E2">
        <f>BDH("UPBD US Equity","SHORT_AND_LONG_TERM_DEBT","1993-06-18","2026-05-02","Per=Y","Days=T","Dir=V")</f>
        <v>0</v>
      </c>
      <c r="G2">
        <f>BDH("UPBD US Equity","BS_ST_BORROW","1993-06-18","2026-05-02","Per=Y","Days=T","Dir=V")</f>
        <v>0</v>
      </c>
      <c r="I2">
        <f>BDH("UPBD US Equity","BS_LT_BORROW","1993-06-18","2026-05-02","Per=Y","Days=T","Dir=V")</f>
        <v>0</v>
      </c>
      <c r="K2">
        <f>BDH("UPBD US Equity","BS_CASH_NEAR_CASH_ITEM","1993-06-18","2026-05-02","Per=Y","Days=T","Dir=V")</f>
        <v>0</v>
      </c>
      <c r="M2">
        <f>BDH("UPBD US Equity","BS_CUR_ASSET_REPORT","1993-06-18","2026-05-02","Per=Y","Days=T","Dir=V")</f>
        <v>0</v>
      </c>
      <c r="O2">
        <f>BDH("UPBD US Equity","BS_CUR_LIAB","1993-06-18","2026-05-02","Per=Y","Days=T","Dir=V")</f>
        <v>0</v>
      </c>
      <c r="Q2">
        <f>BDH("UPBD US Equity","BS_SHAREHOLDER_EQY_ENDING_PERIOD","1993-06-18","2026-05-02","Per=Y","Days=T","Dir=V")</f>
        <v>0</v>
      </c>
      <c r="S2">
        <f>BDH("UPBD US Equity","BS_ACCT_NOTE_RCV","1993-06-18","2026-05-02","Per=Y","Days=T","Dir=V")</f>
        <v>0</v>
      </c>
      <c r="U2">
        <f>BDH("UPBD US Equity","BS_INVENTORIES","1993-06-18","2026-05-02","Per=Y","Days=T","Dir=V")</f>
        <v>0</v>
      </c>
      <c r="W2">
        <f>BDH("UPBD US Equity","WORKING_CAPITAL","1993-06-18","2026-05-02","Per=Y","Days=T","Dir=V")</f>
        <v>0</v>
      </c>
      <c r="Y2">
        <f>BDH("UPBD US Equity","SALES_REV_TURN","1993-06-18","2026-05-02","Per=Y","Days=T","Dir=V")</f>
        <v>0</v>
      </c>
      <c r="AA2">
        <f>BDH("UPBD US Equity","EBIT","1993-06-18","2026-05-02","Per=Y","Days=T","Dir=V")</f>
        <v>0</v>
      </c>
      <c r="AC2">
        <f>BDH("UPBD US Equity","EBITDA","1993-06-18","2026-05-02","Per=Y","Days=T","Dir=V")</f>
        <v>0</v>
      </c>
      <c r="AE2">
        <f>BDH("UPBD US Equity","NET_INCOME","1993-06-18","2026-05-02","Per=Y","Days=T","Dir=V")</f>
        <v>0</v>
      </c>
      <c r="AG2">
        <f>BDH("UPBD US Equity","IS_INT_EXPENSE","1993-06-18","2026-05-02","Per=Y","Days=T","Dir=V")</f>
        <v>0</v>
      </c>
      <c r="AI2">
        <f>BDH("UPBD US Equity","IS_DEPR_EXP","1993-06-18","2026-05-02","Per=Y","Days=T","Dir=V")</f>
        <v>0</v>
      </c>
      <c r="AK2">
        <f>BDH("UPBD US Equity","CF_CASH_FROM_OPER","1993-06-18","2026-05-02","Per=Y","Days=T","Dir=V")</f>
        <v>0</v>
      </c>
      <c r="AM2">
        <f>BDH("UPBD US Equity","CAPITAL_EXPEND","1993-06-18","2026-05-02","Per=Y","Days=T","Dir=V")</f>
        <v>0</v>
      </c>
      <c r="AO2">
        <f>BDH("UPBD US Equity","CF_FREE_CASH_FLOW","1993-06-18","2026-05-02","Per=Y","Days=T","Dir=V")</f>
        <v>0</v>
      </c>
      <c r="AQ2">
        <f>BDH("UPBD US Equity","PX_LAST","1993-06-18","2026-05-02","Per=M","Days=T","Dir=V")</f>
        <v>0</v>
      </c>
      <c r="AS2">
        <f>BDH("UPBD US Equity","CUR_MKT_CAP","1993-06-18","2026-05-02","Per=M","Days=T","Dir=V")</f>
        <v>0</v>
      </c>
      <c r="AU2">
        <f>BDH("UPBD US Equity","EQY_SH_OUT","1993-06-18","2026-05-02","Per=M","Days=T","Dir=V")</f>
        <v>0</v>
      </c>
      <c r="AW2">
        <f>BDH("UPBD US Equity","PX_VOLUME","1993-06-18","2026-05-02","Per=M","Days=T","Dir=V")</f>
        <v>0</v>
      </c>
      <c r="AY2">
        <f>BDH("UPBD US Equity","TURNOVER","1993-06-18","2026-05-02","Per=M","Days=T","Dir=V")</f>
        <v>0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BDH("UPLD US Equity","BS_TOT_ASSET","1993-06-18","2026-05-02","Per=Y","Days=T","Dir=V")</f>
        <v>0</v>
      </c>
      <c r="C2">
        <f>BDH("UPLD US Equity","BS_TOT_LIAB2","1993-06-18","2026-05-02","Per=Y","Days=T","Dir=V")</f>
        <v>0</v>
      </c>
      <c r="E2">
        <f>BDH("UPLD US Equity","SHORT_AND_LONG_TERM_DEBT","1993-06-18","2026-05-02","Per=Y","Days=T","Dir=V")</f>
        <v>0</v>
      </c>
      <c r="G2">
        <f>BDH("UPLD US Equity","BS_ST_BORROW","1993-06-18","2026-05-02","Per=Y","Days=T","Dir=V")</f>
        <v>0</v>
      </c>
      <c r="I2">
        <f>BDH("UPLD US Equity","BS_LT_BORROW","1993-06-18","2026-05-02","Per=Y","Days=T","Dir=V")</f>
        <v>0</v>
      </c>
      <c r="K2">
        <f>BDH("UPLD US Equity","BS_CASH_NEAR_CASH_ITEM","1993-06-18","2026-05-02","Per=Y","Days=T","Dir=V")</f>
        <v>0</v>
      </c>
      <c r="M2">
        <f>BDH("UPLD US Equity","BS_CUR_ASSET_REPORT","1993-06-18","2026-05-02","Per=Y","Days=T","Dir=V")</f>
        <v>0</v>
      </c>
      <c r="O2">
        <f>BDH("UPLD US Equity","BS_CUR_LIAB","1993-06-18","2026-05-02","Per=Y","Days=T","Dir=V")</f>
        <v>0</v>
      </c>
      <c r="Q2">
        <f>BDH("UPLD US Equity","BS_SHAREHOLDER_EQY_ENDING_PERIOD","1993-06-18","2026-05-02","Per=Y","Days=T","Dir=V")</f>
        <v>0</v>
      </c>
      <c r="S2">
        <f>BDH("UPLD US Equity","BS_ACCT_NOTE_RCV","1993-06-18","2026-05-02","Per=Y","Days=T","Dir=V")</f>
        <v>0</v>
      </c>
      <c r="U2">
        <f>BDH("UPLD US Equity","BS_INVENTORIES","1993-06-18","2026-05-02","Per=Y","Days=T","Dir=V")</f>
        <v>0</v>
      </c>
      <c r="W2">
        <f>BDH("UPLD US Equity","WORKING_CAPITAL","1993-06-18","2026-05-02","Per=Y","Days=T","Dir=V")</f>
        <v>0</v>
      </c>
      <c r="Y2">
        <f>BDH("UPLD US Equity","SALES_REV_TURN","1993-06-18","2026-05-02","Per=Y","Days=T","Dir=V")</f>
        <v>0</v>
      </c>
      <c r="AA2">
        <f>BDH("UPLD US Equity","EBIT","1993-06-18","2026-05-02","Per=Y","Days=T","Dir=V")</f>
        <v>0</v>
      </c>
      <c r="AC2">
        <f>BDH("UPLD US Equity","EBITDA","1993-06-18","2026-05-02","Per=Y","Days=T","Dir=V")</f>
        <v>0</v>
      </c>
      <c r="AE2">
        <f>BDH("UPLD US Equity","NET_INCOME","1993-06-18","2026-05-02","Per=Y","Days=T","Dir=V")</f>
        <v>0</v>
      </c>
      <c r="AG2">
        <f>BDH("UPLD US Equity","IS_INT_EXPENSE","1993-06-18","2026-05-02","Per=Y","Days=T","Dir=V")</f>
        <v>0</v>
      </c>
      <c r="AI2">
        <f>BDH("UPLD US Equity","IS_DEPR_EXP","1993-06-18","2026-05-02","Per=Y","Days=T","Dir=V")</f>
        <v>0</v>
      </c>
      <c r="AK2">
        <f>BDH("UPLD US Equity","CF_CASH_FROM_OPER","1993-06-18","2026-05-02","Per=Y","Days=T","Dir=V")</f>
        <v>0</v>
      </c>
      <c r="AM2">
        <f>BDH("UPLD US Equity","CAPITAL_EXPEND","1993-06-18","2026-05-02","Per=Y","Days=T","Dir=V")</f>
        <v>0</v>
      </c>
      <c r="AO2">
        <f>BDH("UPLD US Equity","CF_FREE_CASH_FLOW","1993-06-18","2026-05-02","Per=Y","Days=T","Dir=V")</f>
        <v>0</v>
      </c>
      <c r="AQ2">
        <f>BDH("UPLD US Equity","PX_LAST","1993-06-18","2026-05-02","Per=M","Days=T","Dir=V")</f>
        <v>0</v>
      </c>
      <c r="AS2">
        <f>BDH("UPLD US Equity","CUR_MKT_CAP","1993-06-18","2026-05-02","Per=M","Days=T","Dir=V")</f>
        <v>0</v>
      </c>
      <c r="AU2">
        <f>BDH("UPLD US Equity","EQY_SH_OUT","1993-06-18","2026-05-02","Per=M","Days=T","Dir=V")</f>
        <v>0</v>
      </c>
      <c r="AW2">
        <f>BDH("UPLD US Equity","PX_VOLUME","1993-06-18","2026-05-02","Per=M","Days=T","Dir=V")</f>
        <v>0</v>
      </c>
      <c r="AY2">
        <f>BDH("UPLD US Equity","TURNOVER","1993-06-18","2026-05-02","Per=M","Days=T","Dir=V")</f>
        <v>0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BDH("UPS US Equity","BS_TOT_ASSET","1993-06-18","2026-05-02","Per=Y","Days=T","Dir=V")</f>
        <v>0</v>
      </c>
      <c r="C2">
        <f>BDH("UPS US Equity","BS_TOT_LIAB2","1993-06-18","2026-05-02","Per=Y","Days=T","Dir=V")</f>
        <v>0</v>
      </c>
      <c r="E2">
        <f>BDH("UPS US Equity","SHORT_AND_LONG_TERM_DEBT","1993-06-18","2026-05-02","Per=Y","Days=T","Dir=V")</f>
        <v>0</v>
      </c>
      <c r="G2">
        <f>BDH("UPS US Equity","BS_ST_BORROW","1993-06-18","2026-05-02","Per=Y","Days=T","Dir=V")</f>
        <v>0</v>
      </c>
      <c r="I2">
        <f>BDH("UPS US Equity","BS_LT_BORROW","1993-06-18","2026-05-02","Per=Y","Days=T","Dir=V")</f>
        <v>0</v>
      </c>
      <c r="K2">
        <f>BDH("UPS US Equity","BS_CASH_NEAR_CASH_ITEM","1993-06-18","2026-05-02","Per=Y","Days=T","Dir=V")</f>
        <v>0</v>
      </c>
      <c r="M2">
        <f>BDH("UPS US Equity","BS_CUR_ASSET_REPORT","1993-06-18","2026-05-02","Per=Y","Days=T","Dir=V")</f>
        <v>0</v>
      </c>
      <c r="O2">
        <f>BDH("UPS US Equity","BS_CUR_LIAB","1993-06-18","2026-05-02","Per=Y","Days=T","Dir=V")</f>
        <v>0</v>
      </c>
      <c r="Q2">
        <f>BDH("UPS US Equity","BS_SHAREHOLDER_EQY_ENDING_PERIOD","1993-06-18","2026-05-02","Per=Y","Days=T","Dir=V")</f>
        <v>0</v>
      </c>
      <c r="S2">
        <f>BDH("UPS US Equity","BS_ACCT_NOTE_RCV","1993-06-18","2026-05-02","Per=Y","Days=T","Dir=V")</f>
        <v>0</v>
      </c>
      <c r="U2">
        <f>BDH("UPS US Equity","BS_INVENTORIES","1993-06-18","2026-05-02","Per=Y","Days=T","Dir=V")</f>
        <v>0</v>
      </c>
      <c r="W2">
        <f>BDH("UPS US Equity","WORKING_CAPITAL","1993-06-18","2026-05-02","Per=Y","Days=T","Dir=V")</f>
        <v>0</v>
      </c>
      <c r="Y2">
        <f>BDH("UPS US Equity","SALES_REV_TURN","1993-06-18","2026-05-02","Per=Y","Days=T","Dir=V")</f>
        <v>0</v>
      </c>
      <c r="AA2">
        <f>BDH("UPS US Equity","EBIT","1993-06-18","2026-05-02","Per=Y","Days=T","Dir=V")</f>
        <v>0</v>
      </c>
      <c r="AC2">
        <f>BDH("UPS US Equity","EBITDA","1993-06-18","2026-05-02","Per=Y","Days=T","Dir=V")</f>
        <v>0</v>
      </c>
      <c r="AE2">
        <f>BDH("UPS US Equity","NET_INCOME","1993-06-18","2026-05-02","Per=Y","Days=T","Dir=V")</f>
        <v>0</v>
      </c>
      <c r="AG2">
        <f>BDH("UPS US Equity","IS_INT_EXPENSE","1993-06-18","2026-05-02","Per=Y","Days=T","Dir=V")</f>
        <v>0</v>
      </c>
      <c r="AI2">
        <f>BDH("UPS US Equity","IS_DEPR_EXP","1993-06-18","2026-05-02","Per=Y","Days=T","Dir=V")</f>
        <v>0</v>
      </c>
      <c r="AK2">
        <f>BDH("UPS US Equity","CF_CASH_FROM_OPER","1993-06-18","2026-05-02","Per=Y","Days=T","Dir=V")</f>
        <v>0</v>
      </c>
      <c r="AM2">
        <f>BDH("UPS US Equity","CAPITAL_EXPEND","1993-06-18","2026-05-02","Per=Y","Days=T","Dir=V")</f>
        <v>0</v>
      </c>
      <c r="AO2">
        <f>BDH("UPS US Equity","CF_FREE_CASH_FLOW","1993-06-18","2026-05-02","Per=Y","Days=T","Dir=V")</f>
        <v>0</v>
      </c>
      <c r="AQ2">
        <f>BDH("UPS US Equity","PX_LAST","1993-06-18","2026-05-02","Per=M","Days=T","Dir=V")</f>
        <v>0</v>
      </c>
      <c r="AS2">
        <f>BDH("UPS US Equity","CUR_MKT_CAP","1993-06-18","2026-05-02","Per=M","Days=T","Dir=V")</f>
        <v>0</v>
      </c>
      <c r="AU2">
        <f>BDH("UPS US Equity","EQY_SH_OUT","1993-06-18","2026-05-02","Per=M","Days=T","Dir=V")</f>
        <v>0</v>
      </c>
      <c r="AW2">
        <f>BDH("UPS US Equity","PX_VOLUME","1993-06-18","2026-05-02","Per=M","Days=T","Dir=V")</f>
        <v>0</v>
      </c>
      <c r="AY2">
        <f>BDH("UPS US Equity","TURNOVER","1993-06-18","2026-05-02","Per=M","Days=T","Dir=V")</f>
        <v>0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BDH("UPWK US Equity","BS_TOT_ASSET","1993-06-18","2026-05-02","Per=Y","Days=T","Dir=V")</f>
        <v>0</v>
      </c>
      <c r="C2">
        <f>BDH("UPWK US Equity","BS_TOT_LIAB2","1993-06-18","2026-05-02","Per=Y","Days=T","Dir=V")</f>
        <v>0</v>
      </c>
      <c r="E2">
        <f>BDH("UPWK US Equity","SHORT_AND_LONG_TERM_DEBT","1993-06-18","2026-05-02","Per=Y","Days=T","Dir=V")</f>
        <v>0</v>
      </c>
      <c r="G2">
        <f>BDH("UPWK US Equity","BS_ST_BORROW","1993-06-18","2026-05-02","Per=Y","Days=T","Dir=V")</f>
        <v>0</v>
      </c>
      <c r="I2">
        <f>BDH("UPWK US Equity","BS_LT_BORROW","1993-06-18","2026-05-02","Per=Y","Days=T","Dir=V")</f>
        <v>0</v>
      </c>
      <c r="K2">
        <f>BDH("UPWK US Equity","BS_CASH_NEAR_CASH_ITEM","1993-06-18","2026-05-02","Per=Y","Days=T","Dir=V")</f>
        <v>0</v>
      </c>
      <c r="M2">
        <f>BDH("UPWK US Equity","BS_CUR_ASSET_REPORT","1993-06-18","2026-05-02","Per=Y","Days=T","Dir=V")</f>
        <v>0</v>
      </c>
      <c r="O2">
        <f>BDH("UPWK US Equity","BS_CUR_LIAB","1993-06-18","2026-05-02","Per=Y","Days=T","Dir=V")</f>
        <v>0</v>
      </c>
      <c r="Q2">
        <f>BDH("UPWK US Equity","BS_SHAREHOLDER_EQY_ENDING_PERIOD","1993-06-18","2026-05-02","Per=Y","Days=T","Dir=V")</f>
        <v>0</v>
      </c>
      <c r="S2">
        <f>BDH("UPWK US Equity","BS_ACCT_NOTE_RCV","1993-06-18","2026-05-02","Per=Y","Days=T","Dir=V")</f>
        <v>0</v>
      </c>
      <c r="U2">
        <f>BDH("UPWK US Equity","BS_INVENTORIES","1993-06-18","2026-05-02","Per=Y","Days=T","Dir=V")</f>
        <v>0</v>
      </c>
      <c r="W2">
        <f>BDH("UPWK US Equity","WORKING_CAPITAL","1993-06-18","2026-05-02","Per=Y","Days=T","Dir=V")</f>
        <v>0</v>
      </c>
      <c r="Y2">
        <f>BDH("UPWK US Equity","SALES_REV_TURN","1993-06-18","2026-05-02","Per=Y","Days=T","Dir=V")</f>
        <v>0</v>
      </c>
      <c r="AA2">
        <f>BDH("UPWK US Equity","EBIT","1993-06-18","2026-05-02","Per=Y","Days=T","Dir=V")</f>
        <v>0</v>
      </c>
      <c r="AC2">
        <f>BDH("UPWK US Equity","EBITDA","1993-06-18","2026-05-02","Per=Y","Days=T","Dir=V")</f>
        <v>0</v>
      </c>
      <c r="AE2">
        <f>BDH("UPWK US Equity","NET_INCOME","1993-06-18","2026-05-02","Per=Y","Days=T","Dir=V")</f>
        <v>0</v>
      </c>
      <c r="AG2">
        <f>BDH("UPWK US Equity","IS_INT_EXPENSE","1993-06-18","2026-05-02","Per=Y","Days=T","Dir=V")</f>
        <v>0</v>
      </c>
      <c r="AI2">
        <f>BDH("UPWK US Equity","IS_DEPR_EXP","1993-06-18","2026-05-02","Per=Y","Days=T","Dir=V")</f>
        <v>0</v>
      </c>
      <c r="AK2">
        <f>BDH("UPWK US Equity","CF_CASH_FROM_OPER","1993-06-18","2026-05-02","Per=Y","Days=T","Dir=V")</f>
        <v>0</v>
      </c>
      <c r="AM2">
        <f>BDH("UPWK US Equity","CAPITAL_EXPEND","1993-06-18","2026-05-02","Per=Y","Days=T","Dir=V")</f>
        <v>0</v>
      </c>
      <c r="AO2">
        <f>BDH("UPWK US Equity","CF_FREE_CASH_FLOW","1993-06-18","2026-05-02","Per=Y","Days=T","Dir=V")</f>
        <v>0</v>
      </c>
      <c r="AQ2">
        <f>BDH("UPWK US Equity","PX_LAST","1993-06-18","2026-05-02","Per=M","Days=T","Dir=V")</f>
        <v>0</v>
      </c>
      <c r="AS2">
        <f>BDH("UPWK US Equity","CUR_MKT_CAP","1993-06-18","2026-05-02","Per=M","Days=T","Dir=V")</f>
        <v>0</v>
      </c>
      <c r="AU2">
        <f>BDH("UPWK US Equity","EQY_SH_OUT","1993-06-18","2026-05-02","Per=M","Days=T","Dir=V")</f>
        <v>0</v>
      </c>
      <c r="AW2">
        <f>BDH("UPWK US Equity","PX_VOLUME","1993-06-18","2026-05-02","Per=M","Days=T","Dir=V")</f>
        <v>0</v>
      </c>
      <c r="AY2">
        <f>BDH("UPWK US Equity","TURNOVER","1993-06-18","2026-05-02","Per=M","Days=T","Dir=V")</f>
        <v>0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BDH("URBN US Equity","BS_TOT_ASSET","1993-06-18","2026-05-02","Per=Y","Days=T","Dir=V")</f>
        <v>0</v>
      </c>
      <c r="C2">
        <f>BDH("URBN US Equity","BS_TOT_LIAB2","1993-06-18","2026-05-02","Per=Y","Days=T","Dir=V")</f>
        <v>0</v>
      </c>
      <c r="E2">
        <f>BDH("URBN US Equity","SHORT_AND_LONG_TERM_DEBT","1993-06-18","2026-05-02","Per=Y","Days=T","Dir=V")</f>
        <v>0</v>
      </c>
      <c r="G2">
        <f>BDH("URBN US Equity","BS_ST_BORROW","1993-06-18","2026-05-02","Per=Y","Days=T","Dir=V")</f>
        <v>0</v>
      </c>
      <c r="I2">
        <f>BDH("URBN US Equity","BS_LT_BORROW","1993-06-18","2026-05-02","Per=Y","Days=T","Dir=V")</f>
        <v>0</v>
      </c>
      <c r="K2">
        <f>BDH("URBN US Equity","BS_CASH_NEAR_CASH_ITEM","1993-06-18","2026-05-02","Per=Y","Days=T","Dir=V")</f>
        <v>0</v>
      </c>
      <c r="M2">
        <f>BDH("URBN US Equity","BS_CUR_ASSET_REPORT","1993-06-18","2026-05-02","Per=Y","Days=T","Dir=V")</f>
        <v>0</v>
      </c>
      <c r="O2">
        <f>BDH("URBN US Equity","BS_CUR_LIAB","1993-06-18","2026-05-02","Per=Y","Days=T","Dir=V")</f>
        <v>0</v>
      </c>
      <c r="Q2">
        <f>BDH("URBN US Equity","BS_SHAREHOLDER_EQY_ENDING_PERIOD","1993-06-18","2026-05-02","Per=Y","Days=T","Dir=V")</f>
        <v>0</v>
      </c>
      <c r="S2">
        <f>BDH("URBN US Equity","BS_ACCT_NOTE_RCV","1993-06-18","2026-05-02","Per=Y","Days=T","Dir=V")</f>
        <v>0</v>
      </c>
      <c r="U2">
        <f>BDH("URBN US Equity","BS_INVENTORIES","1993-06-18","2026-05-02","Per=Y","Days=T","Dir=V")</f>
        <v>0</v>
      </c>
      <c r="W2">
        <f>BDH("URBN US Equity","WORKING_CAPITAL","1993-06-18","2026-05-02","Per=Y","Days=T","Dir=V")</f>
        <v>0</v>
      </c>
      <c r="Y2">
        <f>BDH("URBN US Equity","SALES_REV_TURN","1993-06-18","2026-05-02","Per=Y","Days=T","Dir=V")</f>
        <v>0</v>
      </c>
      <c r="AA2">
        <f>BDH("URBN US Equity","EBIT","1993-06-18","2026-05-02","Per=Y","Days=T","Dir=V")</f>
        <v>0</v>
      </c>
      <c r="AC2">
        <f>BDH("URBN US Equity","EBITDA","1993-06-18","2026-05-02","Per=Y","Days=T","Dir=V")</f>
        <v>0</v>
      </c>
      <c r="AE2">
        <f>BDH("URBN US Equity","NET_INCOME","1993-06-18","2026-05-02","Per=Y","Days=T","Dir=V")</f>
        <v>0</v>
      </c>
      <c r="AG2">
        <f>BDH("URBN US Equity","IS_INT_EXPENSE","1993-06-18","2026-05-02","Per=Y","Days=T","Dir=V")</f>
        <v>0</v>
      </c>
      <c r="AI2">
        <f>BDH("URBN US Equity","IS_DEPR_EXP","1993-06-18","2026-05-02","Per=Y","Days=T","Dir=V")</f>
        <v>0</v>
      </c>
      <c r="AK2">
        <f>BDH("URBN US Equity","CF_CASH_FROM_OPER","1993-06-18","2026-05-02","Per=Y","Days=T","Dir=V")</f>
        <v>0</v>
      </c>
      <c r="AM2">
        <f>BDH("URBN US Equity","CAPITAL_EXPEND","1993-06-18","2026-05-02","Per=Y","Days=T","Dir=V")</f>
        <v>0</v>
      </c>
      <c r="AO2">
        <f>BDH("URBN US Equity","CF_FREE_CASH_FLOW","1993-06-18","2026-05-02","Per=Y","Days=T","Dir=V")</f>
        <v>0</v>
      </c>
      <c r="AQ2">
        <f>BDH("URBN US Equity","PX_LAST","1993-06-18","2026-05-02","Per=M","Days=T","Dir=V")</f>
        <v>0</v>
      </c>
      <c r="AS2">
        <f>BDH("URBN US Equity","CUR_MKT_CAP","1993-06-18","2026-05-02","Per=M","Days=T","Dir=V")</f>
        <v>0</v>
      </c>
      <c r="AU2">
        <f>BDH("URBN US Equity","EQY_SH_OUT","1993-06-18","2026-05-02","Per=M","Days=T","Dir=V")</f>
        <v>0</v>
      </c>
      <c r="AW2">
        <f>BDH("URBN US Equity","PX_VOLUME","1993-06-18","2026-05-02","Per=M","Days=T","Dir=V")</f>
        <v>0</v>
      </c>
      <c r="AY2">
        <f>BDH("URBN US Equity","TURNOVER","1993-06-18","2026-05-02","Per=M","Days=T","Dir=V")</f>
        <v>0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BDH("URI US Equity","BS_TOT_ASSET","1993-06-18","2026-05-02","Per=Y","Days=T","Dir=V")</f>
        <v>0</v>
      </c>
      <c r="C2">
        <f>BDH("URI US Equity","BS_TOT_LIAB2","1993-06-18","2026-05-02","Per=Y","Days=T","Dir=V")</f>
        <v>0</v>
      </c>
      <c r="E2">
        <f>BDH("URI US Equity","SHORT_AND_LONG_TERM_DEBT","1993-06-18","2026-05-02","Per=Y","Days=T","Dir=V")</f>
        <v>0</v>
      </c>
      <c r="G2">
        <f>BDH("URI US Equity","BS_ST_BORROW","1993-06-18","2026-05-02","Per=Y","Days=T","Dir=V")</f>
        <v>0</v>
      </c>
      <c r="I2">
        <f>BDH("URI US Equity","BS_LT_BORROW","1993-06-18","2026-05-02","Per=Y","Days=T","Dir=V")</f>
        <v>0</v>
      </c>
      <c r="K2">
        <f>BDH("URI US Equity","BS_CASH_NEAR_CASH_ITEM","1993-06-18","2026-05-02","Per=Y","Days=T","Dir=V")</f>
        <v>0</v>
      </c>
      <c r="M2">
        <f>BDH("URI US Equity","BS_CUR_ASSET_REPORT","1993-06-18","2026-05-02","Per=Y","Days=T","Dir=V")</f>
        <v>0</v>
      </c>
      <c r="O2">
        <f>BDH("URI US Equity","BS_CUR_LIAB","1993-06-18","2026-05-02","Per=Y","Days=T","Dir=V")</f>
        <v>0</v>
      </c>
      <c r="Q2">
        <f>BDH("URI US Equity","BS_SHAREHOLDER_EQY_ENDING_PERIOD","1993-06-18","2026-05-02","Per=Y","Days=T","Dir=V")</f>
        <v>0</v>
      </c>
      <c r="S2">
        <f>BDH("URI US Equity","BS_ACCT_NOTE_RCV","1993-06-18","2026-05-02","Per=Y","Days=T","Dir=V")</f>
        <v>0</v>
      </c>
      <c r="U2">
        <f>BDH("URI US Equity","BS_INVENTORIES","1993-06-18","2026-05-02","Per=Y","Days=T","Dir=V")</f>
        <v>0</v>
      </c>
      <c r="W2">
        <f>BDH("URI US Equity","WORKING_CAPITAL","1993-06-18","2026-05-02","Per=Y","Days=T","Dir=V")</f>
        <v>0</v>
      </c>
      <c r="Y2">
        <f>BDH("URI US Equity","SALES_REV_TURN","1993-06-18","2026-05-02","Per=Y","Days=T","Dir=V")</f>
        <v>0</v>
      </c>
      <c r="AA2">
        <f>BDH("URI US Equity","EBIT","1993-06-18","2026-05-02","Per=Y","Days=T","Dir=V")</f>
        <v>0</v>
      </c>
      <c r="AC2">
        <f>BDH("URI US Equity","EBITDA","1993-06-18","2026-05-02","Per=Y","Days=T","Dir=V")</f>
        <v>0</v>
      </c>
      <c r="AE2">
        <f>BDH("URI US Equity","NET_INCOME","1993-06-18","2026-05-02","Per=Y","Days=T","Dir=V")</f>
        <v>0</v>
      </c>
      <c r="AG2">
        <f>BDH("URI US Equity","IS_INT_EXPENSE","1993-06-18","2026-05-02","Per=Y","Days=T","Dir=V")</f>
        <v>0</v>
      </c>
      <c r="AI2">
        <f>BDH("URI US Equity","IS_DEPR_EXP","1993-06-18","2026-05-02","Per=Y","Days=T","Dir=V")</f>
        <v>0</v>
      </c>
      <c r="AK2">
        <f>BDH("URI US Equity","CF_CASH_FROM_OPER","1993-06-18","2026-05-02","Per=Y","Days=T","Dir=V")</f>
        <v>0</v>
      </c>
      <c r="AM2">
        <f>BDH("URI US Equity","CAPITAL_EXPEND","1993-06-18","2026-05-02","Per=Y","Days=T","Dir=V")</f>
        <v>0</v>
      </c>
      <c r="AO2">
        <f>BDH("URI US Equity","CF_FREE_CASH_FLOW","1993-06-18","2026-05-02","Per=Y","Days=T","Dir=V")</f>
        <v>0</v>
      </c>
      <c r="AQ2">
        <f>BDH("URI US Equity","PX_LAST","1993-06-18","2026-05-02","Per=M","Days=T","Dir=V")</f>
        <v>0</v>
      </c>
      <c r="AS2">
        <f>BDH("URI US Equity","CUR_MKT_CAP","1993-06-18","2026-05-02","Per=M","Days=T","Dir=V")</f>
        <v>0</v>
      </c>
      <c r="AU2">
        <f>BDH("URI US Equity","EQY_SH_OUT","1993-06-18","2026-05-02","Per=M","Days=T","Dir=V")</f>
        <v>0</v>
      </c>
      <c r="AW2">
        <f>BDH("URI US Equity","PX_VOLUME","1993-06-18","2026-05-02","Per=M","Days=T","Dir=V")</f>
        <v>0</v>
      </c>
      <c r="AY2">
        <f>BDH("URI US Equity","TURNOVER","1993-06-18","2026-05-02","Per=M","Days=T","Dir=V")</f>
        <v>0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BDH("USAC US Equity","BS_TOT_ASSET","1993-06-18","2026-05-02","Per=Y","Days=T","Dir=V")</f>
        <v>0</v>
      </c>
      <c r="C2">
        <f>BDH("USAC US Equity","BS_TOT_LIAB2","1993-06-18","2026-05-02","Per=Y","Days=T","Dir=V")</f>
        <v>0</v>
      </c>
      <c r="E2">
        <f>BDH("USAC US Equity","SHORT_AND_LONG_TERM_DEBT","1993-06-18","2026-05-02","Per=Y","Days=T","Dir=V")</f>
        <v>0</v>
      </c>
      <c r="G2">
        <f>BDH("USAC US Equity","BS_ST_BORROW","1993-06-18","2026-05-02","Per=Y","Days=T","Dir=V")</f>
        <v>0</v>
      </c>
      <c r="I2">
        <f>BDH("USAC US Equity","BS_LT_BORROW","1993-06-18","2026-05-02","Per=Y","Days=T","Dir=V")</f>
        <v>0</v>
      </c>
      <c r="K2">
        <f>BDH("USAC US Equity","BS_CASH_NEAR_CASH_ITEM","1993-06-18","2026-05-02","Per=Y","Days=T","Dir=V")</f>
        <v>0</v>
      </c>
      <c r="M2">
        <f>BDH("USAC US Equity","BS_CUR_ASSET_REPORT","1993-06-18","2026-05-02","Per=Y","Days=T","Dir=V")</f>
        <v>0</v>
      </c>
      <c r="O2">
        <f>BDH("USAC US Equity","BS_CUR_LIAB","1993-06-18","2026-05-02","Per=Y","Days=T","Dir=V")</f>
        <v>0</v>
      </c>
      <c r="Q2">
        <f>BDH("USAC US Equity","BS_SHAREHOLDER_EQY_ENDING_PERIOD","1993-06-18","2026-05-02","Per=Y","Days=T","Dir=V")</f>
        <v>0</v>
      </c>
      <c r="S2">
        <f>BDH("USAC US Equity","BS_ACCT_NOTE_RCV","1993-06-18","2026-05-02","Per=Y","Days=T","Dir=V")</f>
        <v>0</v>
      </c>
      <c r="U2">
        <f>BDH("USAC US Equity","BS_INVENTORIES","1993-06-18","2026-05-02","Per=Y","Days=T","Dir=V")</f>
        <v>0</v>
      </c>
      <c r="W2">
        <f>BDH("USAC US Equity","WORKING_CAPITAL","1993-06-18","2026-05-02","Per=Y","Days=T","Dir=V")</f>
        <v>0</v>
      </c>
      <c r="Y2">
        <f>BDH("USAC US Equity","SALES_REV_TURN","1993-06-18","2026-05-02","Per=Y","Days=T","Dir=V")</f>
        <v>0</v>
      </c>
      <c r="AA2">
        <f>BDH("USAC US Equity","EBIT","1993-06-18","2026-05-02","Per=Y","Days=T","Dir=V")</f>
        <v>0</v>
      </c>
      <c r="AC2">
        <f>BDH("USAC US Equity","EBITDA","1993-06-18","2026-05-02","Per=Y","Days=T","Dir=V")</f>
        <v>0</v>
      </c>
      <c r="AE2">
        <f>BDH("USAC US Equity","NET_INCOME","1993-06-18","2026-05-02","Per=Y","Days=T","Dir=V")</f>
        <v>0</v>
      </c>
      <c r="AG2">
        <f>BDH("USAC US Equity","IS_INT_EXPENSE","1993-06-18","2026-05-02","Per=Y","Days=T","Dir=V")</f>
        <v>0</v>
      </c>
      <c r="AI2">
        <f>BDH("USAC US Equity","IS_DEPR_EXP","1993-06-18","2026-05-02","Per=Y","Days=T","Dir=V")</f>
        <v>0</v>
      </c>
      <c r="AK2">
        <f>BDH("USAC US Equity","CF_CASH_FROM_OPER","1993-06-18","2026-05-02","Per=Y","Days=T","Dir=V")</f>
        <v>0</v>
      </c>
      <c r="AM2">
        <f>BDH("USAC US Equity","CAPITAL_EXPEND","1993-06-18","2026-05-02","Per=Y","Days=T","Dir=V")</f>
        <v>0</v>
      </c>
      <c r="AO2">
        <f>BDH("USAC US Equity","CF_FREE_CASH_FLOW","1993-06-18","2026-05-02","Per=Y","Days=T","Dir=V")</f>
        <v>0</v>
      </c>
      <c r="AQ2">
        <f>BDH("USAC US Equity","PX_LAST","1993-06-18","2026-05-02","Per=M","Days=T","Dir=V")</f>
        <v>0</v>
      </c>
      <c r="AS2">
        <f>BDH("USAC US Equity","CUR_MKT_CAP","1993-06-18","2026-05-02","Per=M","Days=T","Dir=V")</f>
        <v>0</v>
      </c>
      <c r="AU2">
        <f>BDH("USAC US Equity","EQY_SH_OUT","1993-06-18","2026-05-02","Per=M","Days=T","Dir=V")</f>
        <v>0</v>
      </c>
      <c r="AW2">
        <f>BDH("USAC US Equity","PX_VOLUME","1993-06-18","2026-05-02","Per=M","Days=T","Dir=V")</f>
        <v>0</v>
      </c>
      <c r="AY2">
        <f>BDH("USAC US Equity","TURNOVER","1993-06-18","2026-05-02","Per=M","Days=T","Dir=V")</f>
        <v>0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BDH("USAR US Equity","BS_TOT_ASSET","1993-06-18","2026-05-02","Per=Y","Days=T","Dir=V")</f>
        <v>0</v>
      </c>
      <c r="C2">
        <f>BDH("USAR US Equity","BS_TOT_LIAB2","1993-06-18","2026-05-02","Per=Y","Days=T","Dir=V")</f>
        <v>0</v>
      </c>
      <c r="E2">
        <f>BDH("USAR US Equity","SHORT_AND_LONG_TERM_DEBT","1993-06-18","2026-05-02","Per=Y","Days=T","Dir=V")</f>
        <v>0</v>
      </c>
      <c r="G2">
        <f>BDH("USAR US Equity","BS_ST_BORROW","1993-06-18","2026-05-02","Per=Y","Days=T","Dir=V")</f>
        <v>0</v>
      </c>
      <c r="I2">
        <f>BDH("USAR US Equity","BS_LT_BORROW","1993-06-18","2026-05-02","Per=Y","Days=T","Dir=V")</f>
        <v>0</v>
      </c>
      <c r="K2">
        <f>BDH("USAR US Equity","BS_CASH_NEAR_CASH_ITEM","1993-06-18","2026-05-02","Per=Y","Days=T","Dir=V")</f>
        <v>0</v>
      </c>
      <c r="M2">
        <f>BDH("USAR US Equity","BS_CUR_ASSET_REPORT","1993-06-18","2026-05-02","Per=Y","Days=T","Dir=V")</f>
        <v>0</v>
      </c>
      <c r="O2">
        <f>BDH("USAR US Equity","BS_CUR_LIAB","1993-06-18","2026-05-02","Per=Y","Days=T","Dir=V")</f>
        <v>0</v>
      </c>
      <c r="Q2">
        <f>BDH("USAR US Equity","BS_SHAREHOLDER_EQY_ENDING_PERIOD","1993-06-18","2026-05-02","Per=Y","Days=T","Dir=V")</f>
        <v>0</v>
      </c>
      <c r="S2">
        <f>BDH("USAR US Equity","BS_ACCT_NOTE_RCV","1993-06-18","2026-05-02","Per=Y","Days=T","Dir=V")</f>
        <v>0</v>
      </c>
      <c r="U2">
        <f>BDH("USAR US Equity","BS_INVENTORIES","1993-06-18","2026-05-02","Per=Y","Days=T","Dir=V")</f>
        <v>0</v>
      </c>
      <c r="W2">
        <f>BDH("USAR US Equity","WORKING_CAPITAL","1993-06-18","2026-05-02","Per=Y","Days=T","Dir=V")</f>
        <v>0</v>
      </c>
      <c r="Y2">
        <f>BDH("USAR US Equity","SALES_REV_TURN","1993-06-18","2026-05-02","Per=Y","Days=T","Dir=V")</f>
        <v>0</v>
      </c>
      <c r="AA2">
        <f>BDH("USAR US Equity","EBIT","1993-06-18","2026-05-02","Per=Y","Days=T","Dir=V")</f>
        <v>0</v>
      </c>
      <c r="AC2">
        <f>BDH("USAR US Equity","EBITDA","1993-06-18","2026-05-02","Per=Y","Days=T","Dir=V")</f>
        <v>0</v>
      </c>
      <c r="AE2">
        <f>BDH("USAR US Equity","NET_INCOME","1993-06-18","2026-05-02","Per=Y","Days=T","Dir=V")</f>
        <v>0</v>
      </c>
      <c r="AG2">
        <f>BDH("USAR US Equity","IS_INT_EXPENSE","1993-06-18","2026-05-02","Per=Y","Days=T","Dir=V")</f>
        <v>0</v>
      </c>
      <c r="AI2">
        <f>BDH("USAR US Equity","IS_DEPR_EXP","1993-06-18","2026-05-02","Per=Y","Days=T","Dir=V")</f>
        <v>0</v>
      </c>
      <c r="AK2">
        <f>BDH("USAR US Equity","CF_CASH_FROM_OPER","1993-06-18","2026-05-02","Per=Y","Days=T","Dir=V")</f>
        <v>0</v>
      </c>
      <c r="AM2">
        <f>BDH("USAR US Equity","CAPITAL_EXPEND","1993-06-18","2026-05-02","Per=Y","Days=T","Dir=V")</f>
        <v>0</v>
      </c>
      <c r="AO2">
        <f>BDH("USAR US Equity","CF_FREE_CASH_FLOW","1993-06-18","2026-05-02","Per=Y","Days=T","Dir=V")</f>
        <v>0</v>
      </c>
      <c r="AQ2">
        <f>BDH("USAR US Equity","PX_LAST","1993-06-18","2026-05-02","Per=M","Days=T","Dir=V")</f>
        <v>0</v>
      </c>
      <c r="AS2">
        <f>BDH("USAR US Equity","CUR_MKT_CAP","1993-06-18","2026-05-02","Per=M","Days=T","Dir=V")</f>
        <v>0</v>
      </c>
      <c r="AU2">
        <f>BDH("USAR US Equity","EQY_SH_OUT","1993-06-18","2026-05-02","Per=M","Days=T","Dir=V")</f>
        <v>0</v>
      </c>
      <c r="AW2">
        <f>BDH("USAR US Equity","PX_VOLUME","1993-06-18","2026-05-02","Per=M","Days=T","Dir=V")</f>
        <v>0</v>
      </c>
      <c r="AY2">
        <f>BDH("USAR US Equity","TURNOVER","1993-06-18","2026-05-02","Per=M","Days=T","Dir=V")</f>
        <v>0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BDH("USAU US Equity","BS_TOT_ASSET","1993-06-18","2026-05-02","Per=Y","Days=T","Dir=V")</f>
        <v>0</v>
      </c>
      <c r="C2">
        <f>BDH("USAU US Equity","BS_TOT_LIAB2","1993-06-18","2026-05-02","Per=Y","Days=T","Dir=V")</f>
        <v>0</v>
      </c>
      <c r="E2">
        <f>BDH("USAU US Equity","SHORT_AND_LONG_TERM_DEBT","1993-06-18","2026-05-02","Per=Y","Days=T","Dir=V")</f>
        <v>0</v>
      </c>
      <c r="G2">
        <f>BDH("USAU US Equity","BS_ST_BORROW","1993-06-18","2026-05-02","Per=Y","Days=T","Dir=V")</f>
        <v>0</v>
      </c>
      <c r="I2">
        <f>BDH("USAU US Equity","BS_LT_BORROW","1993-06-18","2026-05-02","Per=Y","Days=T","Dir=V")</f>
        <v>0</v>
      </c>
      <c r="K2">
        <f>BDH("USAU US Equity","BS_CASH_NEAR_CASH_ITEM","1993-06-18","2026-05-02","Per=Y","Days=T","Dir=V")</f>
        <v>0</v>
      </c>
      <c r="M2">
        <f>BDH("USAU US Equity","BS_CUR_ASSET_REPORT","1993-06-18","2026-05-02","Per=Y","Days=T","Dir=V")</f>
        <v>0</v>
      </c>
      <c r="O2">
        <f>BDH("USAU US Equity","BS_CUR_LIAB","1993-06-18","2026-05-02","Per=Y","Days=T","Dir=V")</f>
        <v>0</v>
      </c>
      <c r="Q2">
        <f>BDH("USAU US Equity","BS_SHAREHOLDER_EQY_ENDING_PERIOD","1993-06-18","2026-05-02","Per=Y","Days=T","Dir=V")</f>
        <v>0</v>
      </c>
      <c r="S2">
        <f>BDH("USAU US Equity","BS_ACCT_NOTE_RCV","1993-06-18","2026-05-02","Per=Y","Days=T","Dir=V")</f>
        <v>0</v>
      </c>
      <c r="U2">
        <f>BDH("USAU US Equity","BS_INVENTORIES","1993-06-18","2026-05-02","Per=Y","Days=T","Dir=V")</f>
        <v>0</v>
      </c>
      <c r="W2">
        <f>BDH("USAU US Equity","WORKING_CAPITAL","1993-06-18","2026-05-02","Per=Y","Days=T","Dir=V")</f>
        <v>0</v>
      </c>
      <c r="Y2">
        <f>BDH("USAU US Equity","SALES_REV_TURN","1993-06-18","2026-05-02","Per=Y","Days=T","Dir=V")</f>
        <v>0</v>
      </c>
      <c r="AA2">
        <f>BDH("USAU US Equity","EBIT","1993-06-18","2026-05-02","Per=Y","Days=T","Dir=V")</f>
        <v>0</v>
      </c>
      <c r="AC2">
        <f>BDH("USAU US Equity","EBITDA","1993-06-18","2026-05-02","Per=Y","Days=T","Dir=V")</f>
        <v>0</v>
      </c>
      <c r="AE2">
        <f>BDH("USAU US Equity","NET_INCOME","1993-06-18","2026-05-02","Per=Y","Days=T","Dir=V")</f>
        <v>0</v>
      </c>
      <c r="AG2">
        <f>BDH("USAU US Equity","IS_INT_EXPENSE","1993-06-18","2026-05-02","Per=Y","Days=T","Dir=V")</f>
        <v>0</v>
      </c>
      <c r="AI2">
        <f>BDH("USAU US Equity","IS_DEPR_EXP","1993-06-18","2026-05-02","Per=Y","Days=T","Dir=V")</f>
        <v>0</v>
      </c>
      <c r="AK2">
        <f>BDH("USAU US Equity","CF_CASH_FROM_OPER","1993-06-18","2026-05-02","Per=Y","Days=T","Dir=V")</f>
        <v>0</v>
      </c>
      <c r="AM2">
        <f>BDH("USAU US Equity","CAPITAL_EXPEND","1993-06-18","2026-05-02","Per=Y","Days=T","Dir=V")</f>
        <v>0</v>
      </c>
      <c r="AO2">
        <f>BDH("USAU US Equity","CF_FREE_CASH_FLOW","1993-06-18","2026-05-02","Per=Y","Days=T","Dir=V")</f>
        <v>0</v>
      </c>
      <c r="AQ2">
        <f>BDH("USAU US Equity","PX_LAST","1993-06-18","2026-05-02","Per=M","Days=T","Dir=V")</f>
        <v>0</v>
      </c>
      <c r="AS2">
        <f>BDH("USAU US Equity","CUR_MKT_CAP","1993-06-18","2026-05-02","Per=M","Days=T","Dir=V")</f>
        <v>0</v>
      </c>
      <c r="AU2">
        <f>BDH("USAU US Equity","EQY_SH_OUT","1993-06-18","2026-05-02","Per=M","Days=T","Dir=V")</f>
        <v>0</v>
      </c>
      <c r="AW2">
        <f>BDH("USAU US Equity","PX_VOLUME","1993-06-18","2026-05-02","Per=M","Days=T","Dir=V")</f>
        <v>0</v>
      </c>
      <c r="AY2">
        <f>BDH("USAU US Equity","TURNOVER","1993-06-18","2026-05-02","Per=M","Days=T","Dir=V")</f>
        <v>0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BDH("USFD US Equity","BS_TOT_ASSET","1993-06-18","2026-05-02","Per=Y","Days=T","Dir=V")</f>
        <v>0</v>
      </c>
      <c r="C2">
        <f>BDH("USFD US Equity","BS_TOT_LIAB2","1993-06-18","2026-05-02","Per=Y","Days=T","Dir=V")</f>
        <v>0</v>
      </c>
      <c r="E2">
        <f>BDH("USFD US Equity","SHORT_AND_LONG_TERM_DEBT","1993-06-18","2026-05-02","Per=Y","Days=T","Dir=V")</f>
        <v>0</v>
      </c>
      <c r="G2">
        <f>BDH("USFD US Equity","BS_ST_BORROW","1993-06-18","2026-05-02","Per=Y","Days=T","Dir=V")</f>
        <v>0</v>
      </c>
      <c r="I2">
        <f>BDH("USFD US Equity","BS_LT_BORROW","1993-06-18","2026-05-02","Per=Y","Days=T","Dir=V")</f>
        <v>0</v>
      </c>
      <c r="K2">
        <f>BDH("USFD US Equity","BS_CASH_NEAR_CASH_ITEM","1993-06-18","2026-05-02","Per=Y","Days=T","Dir=V")</f>
        <v>0</v>
      </c>
      <c r="M2">
        <f>BDH("USFD US Equity","BS_CUR_ASSET_REPORT","1993-06-18","2026-05-02","Per=Y","Days=T","Dir=V")</f>
        <v>0</v>
      </c>
      <c r="O2">
        <f>BDH("USFD US Equity","BS_CUR_LIAB","1993-06-18","2026-05-02","Per=Y","Days=T","Dir=V")</f>
        <v>0</v>
      </c>
      <c r="Q2">
        <f>BDH("USFD US Equity","BS_SHAREHOLDER_EQY_ENDING_PERIOD","1993-06-18","2026-05-02","Per=Y","Days=T","Dir=V")</f>
        <v>0</v>
      </c>
      <c r="S2">
        <f>BDH("USFD US Equity","BS_ACCT_NOTE_RCV","1993-06-18","2026-05-02","Per=Y","Days=T","Dir=V")</f>
        <v>0</v>
      </c>
      <c r="U2">
        <f>BDH("USFD US Equity","BS_INVENTORIES","1993-06-18","2026-05-02","Per=Y","Days=T","Dir=V")</f>
        <v>0</v>
      </c>
      <c r="W2">
        <f>BDH("USFD US Equity","WORKING_CAPITAL","1993-06-18","2026-05-02","Per=Y","Days=T","Dir=V")</f>
        <v>0</v>
      </c>
      <c r="Y2">
        <f>BDH("USFD US Equity","SALES_REV_TURN","1993-06-18","2026-05-02","Per=Y","Days=T","Dir=V")</f>
        <v>0</v>
      </c>
      <c r="AA2">
        <f>BDH("USFD US Equity","EBIT","1993-06-18","2026-05-02","Per=Y","Days=T","Dir=V")</f>
        <v>0</v>
      </c>
      <c r="AC2">
        <f>BDH("USFD US Equity","EBITDA","1993-06-18","2026-05-02","Per=Y","Days=T","Dir=V")</f>
        <v>0</v>
      </c>
      <c r="AE2">
        <f>BDH("USFD US Equity","NET_INCOME","1993-06-18","2026-05-02","Per=Y","Days=T","Dir=V")</f>
        <v>0</v>
      </c>
      <c r="AG2">
        <f>BDH("USFD US Equity","IS_INT_EXPENSE","1993-06-18","2026-05-02","Per=Y","Days=T","Dir=V")</f>
        <v>0</v>
      </c>
      <c r="AI2">
        <f>BDH("USFD US Equity","IS_DEPR_EXP","1993-06-18","2026-05-02","Per=Y","Days=T","Dir=V")</f>
        <v>0</v>
      </c>
      <c r="AK2">
        <f>BDH("USFD US Equity","CF_CASH_FROM_OPER","1993-06-18","2026-05-02","Per=Y","Days=T","Dir=V")</f>
        <v>0</v>
      </c>
      <c r="AM2">
        <f>BDH("USFD US Equity","CAPITAL_EXPEND","1993-06-18","2026-05-02","Per=Y","Days=T","Dir=V")</f>
        <v>0</v>
      </c>
      <c r="AO2">
        <f>BDH("USFD US Equity","CF_FREE_CASH_FLOW","1993-06-18","2026-05-02","Per=Y","Days=T","Dir=V")</f>
        <v>0</v>
      </c>
      <c r="AQ2">
        <f>BDH("USFD US Equity","PX_LAST","1993-06-18","2026-05-02","Per=M","Days=T","Dir=V")</f>
        <v>0</v>
      </c>
      <c r="AS2">
        <f>BDH("USFD US Equity","CUR_MKT_CAP","1993-06-18","2026-05-02","Per=M","Days=T","Dir=V")</f>
        <v>0</v>
      </c>
      <c r="AU2">
        <f>BDH("USFD US Equity","EQY_SH_OUT","1993-06-18","2026-05-02","Per=M","Days=T","Dir=V")</f>
        <v>0</v>
      </c>
      <c r="AW2">
        <f>BDH("USFD US Equity","PX_VOLUME","1993-06-18","2026-05-02","Per=M","Days=T","Dir=V")</f>
        <v>0</v>
      </c>
      <c r="AY2">
        <f>BDH("USFD US Equity","TURNOVER","1993-06-18","2026-05-02","Per=M","Days=T","Dir=V")</f>
        <v>0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BDH("USGO US Equity","BS_TOT_ASSET","1993-06-18","2026-05-02","Per=Y","Days=T","Dir=V")</f>
        <v>0</v>
      </c>
      <c r="C2">
        <f>BDH("USGO US Equity","BS_TOT_LIAB2","1993-06-18","2026-05-02","Per=Y","Days=T","Dir=V")</f>
        <v>0</v>
      </c>
      <c r="E2">
        <f>BDH("USGO US Equity","SHORT_AND_LONG_TERM_DEBT","1993-06-18","2026-05-02","Per=Y","Days=T","Dir=V")</f>
        <v>0</v>
      </c>
      <c r="G2">
        <f>BDH("USGO US Equity","BS_ST_BORROW","1993-06-18","2026-05-02","Per=Y","Days=T","Dir=V")</f>
        <v>0</v>
      </c>
      <c r="I2">
        <f>BDH("USGO US Equity","BS_LT_BORROW","1993-06-18","2026-05-02","Per=Y","Days=T","Dir=V")</f>
        <v>0</v>
      </c>
      <c r="K2">
        <f>BDH("USGO US Equity","BS_CASH_NEAR_CASH_ITEM","1993-06-18","2026-05-02","Per=Y","Days=T","Dir=V")</f>
        <v>0</v>
      </c>
      <c r="M2">
        <f>BDH("USGO US Equity","BS_CUR_ASSET_REPORT","1993-06-18","2026-05-02","Per=Y","Days=T","Dir=V")</f>
        <v>0</v>
      </c>
      <c r="O2">
        <f>BDH("USGO US Equity","BS_CUR_LIAB","1993-06-18","2026-05-02","Per=Y","Days=T","Dir=V")</f>
        <v>0</v>
      </c>
      <c r="Q2">
        <f>BDH("USGO US Equity","BS_SHAREHOLDER_EQY_ENDING_PERIOD","1993-06-18","2026-05-02","Per=Y","Days=T","Dir=V")</f>
        <v>0</v>
      </c>
      <c r="S2">
        <f>BDH("USGO US Equity","BS_ACCT_NOTE_RCV","1993-06-18","2026-05-02","Per=Y","Days=T","Dir=V")</f>
        <v>0</v>
      </c>
      <c r="U2">
        <f>BDH("USGO US Equity","BS_INVENTORIES","1993-06-18","2026-05-02","Per=Y","Days=T","Dir=V")</f>
        <v>0</v>
      </c>
      <c r="W2">
        <f>BDH("USGO US Equity","WORKING_CAPITAL","1993-06-18","2026-05-02","Per=Y","Days=T","Dir=V")</f>
        <v>0</v>
      </c>
      <c r="Y2">
        <f>BDH("USGO US Equity","SALES_REV_TURN","1993-06-18","2026-05-02","Per=Y","Days=T","Dir=V")</f>
        <v>0</v>
      </c>
      <c r="AA2">
        <f>BDH("USGO US Equity","EBIT","1993-06-18","2026-05-02","Per=Y","Days=T","Dir=V")</f>
        <v>0</v>
      </c>
      <c r="AC2">
        <f>BDH("USGO US Equity","EBITDA","1993-06-18","2026-05-02","Per=Y","Days=T","Dir=V")</f>
        <v>0</v>
      </c>
      <c r="AE2">
        <f>BDH("USGO US Equity","NET_INCOME","1993-06-18","2026-05-02","Per=Y","Days=T","Dir=V")</f>
        <v>0</v>
      </c>
      <c r="AG2">
        <f>BDH("USGO US Equity","IS_INT_EXPENSE","1993-06-18","2026-05-02","Per=Y","Days=T","Dir=V")</f>
        <v>0</v>
      </c>
      <c r="AI2">
        <f>BDH("USGO US Equity","IS_DEPR_EXP","1993-06-18","2026-05-02","Per=Y","Days=T","Dir=V")</f>
        <v>0</v>
      </c>
      <c r="AK2">
        <f>BDH("USGO US Equity","CF_CASH_FROM_OPER","1993-06-18","2026-05-02","Per=Y","Days=T","Dir=V")</f>
        <v>0</v>
      </c>
      <c r="AM2">
        <f>BDH("USGO US Equity","CAPITAL_EXPEND","1993-06-18","2026-05-02","Per=Y","Days=T","Dir=V")</f>
        <v>0</v>
      </c>
      <c r="AO2">
        <f>BDH("USGO US Equity","CF_FREE_CASH_FLOW","1993-06-18","2026-05-02","Per=Y","Days=T","Dir=V")</f>
        <v>0</v>
      </c>
      <c r="AQ2">
        <f>BDH("USGO US Equity","PX_LAST","1993-06-18","2026-05-02","Per=M","Days=T","Dir=V")</f>
        <v>0</v>
      </c>
      <c r="AS2">
        <f>BDH("USGO US Equity","CUR_MKT_CAP","1993-06-18","2026-05-02","Per=M","Days=T","Dir=V")</f>
        <v>0</v>
      </c>
      <c r="AU2">
        <f>BDH("USGO US Equity","EQY_SH_OUT","1993-06-18","2026-05-02","Per=M","Days=T","Dir=V")</f>
        <v>0</v>
      </c>
      <c r="AW2">
        <f>BDH("USGO US Equity","PX_VOLUME","1993-06-18","2026-05-02","Per=M","Days=T","Dir=V")</f>
        <v>0</v>
      </c>
      <c r="AY2">
        <f>BDH("USGO US Equity","TURNOVER","1993-06-18","2026-05-02","Per=M","Days=T","Dir=V")</f>
        <v>0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BDH("USLM US Equity","BS_TOT_ASSET","1993-06-18","2026-05-02","Per=Y","Days=T","Dir=V")</f>
        <v>0</v>
      </c>
      <c r="C2">
        <f>BDH("USLM US Equity","BS_TOT_LIAB2","1993-06-18","2026-05-02","Per=Y","Days=T","Dir=V")</f>
        <v>0</v>
      </c>
      <c r="E2">
        <f>BDH("USLM US Equity","SHORT_AND_LONG_TERM_DEBT","1993-06-18","2026-05-02","Per=Y","Days=T","Dir=V")</f>
        <v>0</v>
      </c>
      <c r="G2">
        <f>BDH("USLM US Equity","BS_ST_BORROW","1993-06-18","2026-05-02","Per=Y","Days=T","Dir=V")</f>
        <v>0</v>
      </c>
      <c r="I2">
        <f>BDH("USLM US Equity","BS_LT_BORROW","1993-06-18","2026-05-02","Per=Y","Days=T","Dir=V")</f>
        <v>0</v>
      </c>
      <c r="K2">
        <f>BDH("USLM US Equity","BS_CASH_NEAR_CASH_ITEM","1993-06-18","2026-05-02","Per=Y","Days=T","Dir=V")</f>
        <v>0</v>
      </c>
      <c r="M2">
        <f>BDH("USLM US Equity","BS_CUR_ASSET_REPORT","1993-06-18","2026-05-02","Per=Y","Days=T","Dir=V")</f>
        <v>0</v>
      </c>
      <c r="O2">
        <f>BDH("USLM US Equity","BS_CUR_LIAB","1993-06-18","2026-05-02","Per=Y","Days=T","Dir=V")</f>
        <v>0</v>
      </c>
      <c r="Q2">
        <f>BDH("USLM US Equity","BS_SHAREHOLDER_EQY_ENDING_PERIOD","1993-06-18","2026-05-02","Per=Y","Days=T","Dir=V")</f>
        <v>0</v>
      </c>
      <c r="S2">
        <f>BDH("USLM US Equity","BS_ACCT_NOTE_RCV","1993-06-18","2026-05-02","Per=Y","Days=T","Dir=V")</f>
        <v>0</v>
      </c>
      <c r="U2">
        <f>BDH("USLM US Equity","BS_INVENTORIES","1993-06-18","2026-05-02","Per=Y","Days=T","Dir=V")</f>
        <v>0</v>
      </c>
      <c r="W2">
        <f>BDH("USLM US Equity","WORKING_CAPITAL","1993-06-18","2026-05-02","Per=Y","Days=T","Dir=V")</f>
        <v>0</v>
      </c>
      <c r="Y2">
        <f>BDH("USLM US Equity","SALES_REV_TURN","1993-06-18","2026-05-02","Per=Y","Days=T","Dir=V")</f>
        <v>0</v>
      </c>
      <c r="AA2">
        <f>BDH("USLM US Equity","EBIT","1993-06-18","2026-05-02","Per=Y","Days=T","Dir=V")</f>
        <v>0</v>
      </c>
      <c r="AC2">
        <f>BDH("USLM US Equity","EBITDA","1993-06-18","2026-05-02","Per=Y","Days=T","Dir=V")</f>
        <v>0</v>
      </c>
      <c r="AE2">
        <f>BDH("USLM US Equity","NET_INCOME","1993-06-18","2026-05-02","Per=Y","Days=T","Dir=V")</f>
        <v>0</v>
      </c>
      <c r="AG2">
        <f>BDH("USLM US Equity","IS_INT_EXPENSE","1993-06-18","2026-05-02","Per=Y","Days=T","Dir=V")</f>
        <v>0</v>
      </c>
      <c r="AI2">
        <f>BDH("USLM US Equity","IS_DEPR_EXP","1993-06-18","2026-05-02","Per=Y","Days=T","Dir=V")</f>
        <v>0</v>
      </c>
      <c r="AK2">
        <f>BDH("USLM US Equity","CF_CASH_FROM_OPER","1993-06-18","2026-05-02","Per=Y","Days=T","Dir=V")</f>
        <v>0</v>
      </c>
      <c r="AM2">
        <f>BDH("USLM US Equity","CAPITAL_EXPEND","1993-06-18","2026-05-02","Per=Y","Days=T","Dir=V")</f>
        <v>0</v>
      </c>
      <c r="AO2">
        <f>BDH("USLM US Equity","CF_FREE_CASH_FLOW","1993-06-18","2026-05-02","Per=Y","Days=T","Dir=V")</f>
        <v>0</v>
      </c>
      <c r="AQ2">
        <f>BDH("USLM US Equity","PX_LAST","1993-06-18","2026-05-02","Per=M","Days=T","Dir=V")</f>
        <v>0</v>
      </c>
      <c r="AS2">
        <f>BDH("USLM US Equity","CUR_MKT_CAP","1993-06-18","2026-05-02","Per=M","Days=T","Dir=V")</f>
        <v>0</v>
      </c>
      <c r="AU2">
        <f>BDH("USLM US Equity","EQY_SH_OUT","1993-06-18","2026-05-02","Per=M","Days=T","Dir=V")</f>
        <v>0</v>
      </c>
      <c r="AW2">
        <f>BDH("USLM US Equity","PX_VOLUME","1993-06-18","2026-05-02","Per=M","Days=T","Dir=V")</f>
        <v>0</v>
      </c>
      <c r="AY2">
        <f>BDH("USLM US Equity","TURNOVER","1993-06-18","2026-05-02","Per=M","Days=T","Dir=V")</f>
        <v>0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BDH("USNA US Equity","BS_TOT_ASSET","1993-06-18","2026-05-02","Per=Y","Days=T","Dir=V")</f>
        <v>0</v>
      </c>
      <c r="C2">
        <f>BDH("USNA US Equity","BS_TOT_LIAB2","1993-06-18","2026-05-02","Per=Y","Days=T","Dir=V")</f>
        <v>0</v>
      </c>
      <c r="E2">
        <f>BDH("USNA US Equity","SHORT_AND_LONG_TERM_DEBT","1993-06-18","2026-05-02","Per=Y","Days=T","Dir=V")</f>
        <v>0</v>
      </c>
      <c r="G2">
        <f>BDH("USNA US Equity","BS_ST_BORROW","1993-06-18","2026-05-02","Per=Y","Days=T","Dir=V")</f>
        <v>0</v>
      </c>
      <c r="I2">
        <f>BDH("USNA US Equity","BS_LT_BORROW","1993-06-18","2026-05-02","Per=Y","Days=T","Dir=V")</f>
        <v>0</v>
      </c>
      <c r="K2">
        <f>BDH("USNA US Equity","BS_CASH_NEAR_CASH_ITEM","1993-06-18","2026-05-02","Per=Y","Days=T","Dir=V")</f>
        <v>0</v>
      </c>
      <c r="M2">
        <f>BDH("USNA US Equity","BS_CUR_ASSET_REPORT","1993-06-18","2026-05-02","Per=Y","Days=T","Dir=V")</f>
        <v>0</v>
      </c>
      <c r="O2">
        <f>BDH("USNA US Equity","BS_CUR_LIAB","1993-06-18","2026-05-02","Per=Y","Days=T","Dir=V")</f>
        <v>0</v>
      </c>
      <c r="Q2">
        <f>BDH("USNA US Equity","BS_SHAREHOLDER_EQY_ENDING_PERIOD","1993-06-18","2026-05-02","Per=Y","Days=T","Dir=V")</f>
        <v>0</v>
      </c>
      <c r="S2">
        <f>BDH("USNA US Equity","BS_ACCT_NOTE_RCV","1993-06-18","2026-05-02","Per=Y","Days=T","Dir=V")</f>
        <v>0</v>
      </c>
      <c r="U2">
        <f>BDH("USNA US Equity","BS_INVENTORIES","1993-06-18","2026-05-02","Per=Y","Days=T","Dir=V")</f>
        <v>0</v>
      </c>
      <c r="W2">
        <f>BDH("USNA US Equity","WORKING_CAPITAL","1993-06-18","2026-05-02","Per=Y","Days=T","Dir=V")</f>
        <v>0</v>
      </c>
      <c r="Y2">
        <f>BDH("USNA US Equity","SALES_REV_TURN","1993-06-18","2026-05-02","Per=Y","Days=T","Dir=V")</f>
        <v>0</v>
      </c>
      <c r="AA2">
        <f>BDH("USNA US Equity","EBIT","1993-06-18","2026-05-02","Per=Y","Days=T","Dir=V")</f>
        <v>0</v>
      </c>
      <c r="AC2">
        <f>BDH("USNA US Equity","EBITDA","1993-06-18","2026-05-02","Per=Y","Days=T","Dir=V")</f>
        <v>0</v>
      </c>
      <c r="AE2">
        <f>BDH("USNA US Equity","NET_INCOME","1993-06-18","2026-05-02","Per=Y","Days=T","Dir=V")</f>
        <v>0</v>
      </c>
      <c r="AG2">
        <f>BDH("USNA US Equity","IS_INT_EXPENSE","1993-06-18","2026-05-02","Per=Y","Days=T","Dir=V")</f>
        <v>0</v>
      </c>
      <c r="AI2">
        <f>BDH("USNA US Equity","IS_DEPR_EXP","1993-06-18","2026-05-02","Per=Y","Days=T","Dir=V")</f>
        <v>0</v>
      </c>
      <c r="AK2">
        <f>BDH("USNA US Equity","CF_CASH_FROM_OPER","1993-06-18","2026-05-02","Per=Y","Days=T","Dir=V")</f>
        <v>0</v>
      </c>
      <c r="AM2">
        <f>BDH("USNA US Equity","CAPITAL_EXPEND","1993-06-18","2026-05-02","Per=Y","Days=T","Dir=V")</f>
        <v>0</v>
      </c>
      <c r="AO2">
        <f>BDH("USNA US Equity","CF_FREE_CASH_FLOW","1993-06-18","2026-05-02","Per=Y","Days=T","Dir=V")</f>
        <v>0</v>
      </c>
      <c r="AQ2">
        <f>BDH("USNA US Equity","PX_LAST","1993-06-18","2026-05-02","Per=M","Days=T","Dir=V")</f>
        <v>0</v>
      </c>
      <c r="AS2">
        <f>BDH("USNA US Equity","CUR_MKT_CAP","1993-06-18","2026-05-02","Per=M","Days=T","Dir=V")</f>
        <v>0</v>
      </c>
      <c r="AU2">
        <f>BDH("USNA US Equity","EQY_SH_OUT","1993-06-18","2026-05-02","Per=M","Days=T","Dir=V")</f>
        <v>0</v>
      </c>
      <c r="AW2">
        <f>BDH("USNA US Equity","PX_VOLUME","1993-06-18","2026-05-02","Per=M","Days=T","Dir=V")</f>
        <v>0</v>
      </c>
      <c r="AY2">
        <f>BDH("USNA US Equity","TURNOVER","1993-06-18","2026-05-02","Per=M","Days=T","Dir=V")</f>
        <v>0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BDH("USPH US Equity","BS_TOT_ASSET","1993-06-18","2026-05-02","Per=Y","Days=T","Dir=V")</f>
        <v>0</v>
      </c>
      <c r="C2">
        <f>BDH("USPH US Equity","BS_TOT_LIAB2","1993-06-18","2026-05-02","Per=Y","Days=T","Dir=V")</f>
        <v>0</v>
      </c>
      <c r="E2">
        <f>BDH("USPH US Equity","SHORT_AND_LONG_TERM_DEBT","1993-06-18","2026-05-02","Per=Y","Days=T","Dir=V")</f>
        <v>0</v>
      </c>
      <c r="G2">
        <f>BDH("USPH US Equity","BS_ST_BORROW","1993-06-18","2026-05-02","Per=Y","Days=T","Dir=V")</f>
        <v>0</v>
      </c>
      <c r="I2">
        <f>BDH("USPH US Equity","BS_LT_BORROW","1993-06-18","2026-05-02","Per=Y","Days=T","Dir=V")</f>
        <v>0</v>
      </c>
      <c r="K2">
        <f>BDH("USPH US Equity","BS_CASH_NEAR_CASH_ITEM","1993-06-18","2026-05-02","Per=Y","Days=T","Dir=V")</f>
        <v>0</v>
      </c>
      <c r="M2">
        <f>BDH("USPH US Equity","BS_CUR_ASSET_REPORT","1993-06-18","2026-05-02","Per=Y","Days=T","Dir=V")</f>
        <v>0</v>
      </c>
      <c r="O2">
        <f>BDH("USPH US Equity","BS_CUR_LIAB","1993-06-18","2026-05-02","Per=Y","Days=T","Dir=V")</f>
        <v>0</v>
      </c>
      <c r="Q2">
        <f>BDH("USPH US Equity","BS_SHAREHOLDER_EQY_ENDING_PERIOD","1993-06-18","2026-05-02","Per=Y","Days=T","Dir=V")</f>
        <v>0</v>
      </c>
      <c r="S2">
        <f>BDH("USPH US Equity","BS_ACCT_NOTE_RCV","1993-06-18","2026-05-02","Per=Y","Days=T","Dir=V")</f>
        <v>0</v>
      </c>
      <c r="U2">
        <f>BDH("USPH US Equity","BS_INVENTORIES","1993-06-18","2026-05-02","Per=Y","Days=T","Dir=V")</f>
        <v>0</v>
      </c>
      <c r="W2">
        <f>BDH("USPH US Equity","WORKING_CAPITAL","1993-06-18","2026-05-02","Per=Y","Days=T","Dir=V")</f>
        <v>0</v>
      </c>
      <c r="Y2">
        <f>BDH("USPH US Equity","SALES_REV_TURN","1993-06-18","2026-05-02","Per=Y","Days=T","Dir=V")</f>
        <v>0</v>
      </c>
      <c r="AA2">
        <f>BDH("USPH US Equity","EBIT","1993-06-18","2026-05-02","Per=Y","Days=T","Dir=V")</f>
        <v>0</v>
      </c>
      <c r="AC2">
        <f>BDH("USPH US Equity","EBITDA","1993-06-18","2026-05-02","Per=Y","Days=T","Dir=V")</f>
        <v>0</v>
      </c>
      <c r="AE2">
        <f>BDH("USPH US Equity","NET_INCOME","1993-06-18","2026-05-02","Per=Y","Days=T","Dir=V")</f>
        <v>0</v>
      </c>
      <c r="AG2">
        <f>BDH("USPH US Equity","IS_INT_EXPENSE","1993-06-18","2026-05-02","Per=Y","Days=T","Dir=V")</f>
        <v>0</v>
      </c>
      <c r="AI2">
        <f>BDH("USPH US Equity","IS_DEPR_EXP","1993-06-18","2026-05-02","Per=Y","Days=T","Dir=V")</f>
        <v>0</v>
      </c>
      <c r="AK2">
        <f>BDH("USPH US Equity","CF_CASH_FROM_OPER","1993-06-18","2026-05-02","Per=Y","Days=T","Dir=V")</f>
        <v>0</v>
      </c>
      <c r="AM2">
        <f>BDH("USPH US Equity","CAPITAL_EXPEND","1993-06-18","2026-05-02","Per=Y","Days=T","Dir=V")</f>
        <v>0</v>
      </c>
      <c r="AO2">
        <f>BDH("USPH US Equity","CF_FREE_CASH_FLOW","1993-06-18","2026-05-02","Per=Y","Days=T","Dir=V")</f>
        <v>0</v>
      </c>
      <c r="AQ2">
        <f>BDH("USPH US Equity","PX_LAST","1993-06-18","2026-05-02","Per=M","Days=T","Dir=V")</f>
        <v>0</v>
      </c>
      <c r="AS2">
        <f>BDH("USPH US Equity","CUR_MKT_CAP","1993-06-18","2026-05-02","Per=M","Days=T","Dir=V")</f>
        <v>0</v>
      </c>
      <c r="AU2">
        <f>BDH("USPH US Equity","EQY_SH_OUT","1993-06-18","2026-05-02","Per=M","Days=T","Dir=V")</f>
        <v>0</v>
      </c>
      <c r="AW2">
        <f>BDH("USPH US Equity","PX_VOLUME","1993-06-18","2026-05-02","Per=M","Days=T","Dir=V")</f>
        <v>0</v>
      </c>
      <c r="AY2">
        <f>BDH("USPH US Equity","TURNOVER","1993-06-18","2026-05-02","Per=M","Days=T","Dir=V")</f>
        <v>0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BDH("UTHR US Equity","BS_TOT_ASSET","1993-06-18","2026-05-02","Per=Y","Days=T","Dir=V")</f>
        <v>0</v>
      </c>
      <c r="C2">
        <f>BDH("UTHR US Equity","BS_TOT_LIAB2","1993-06-18","2026-05-02","Per=Y","Days=T","Dir=V")</f>
        <v>0</v>
      </c>
      <c r="E2">
        <f>BDH("UTHR US Equity","SHORT_AND_LONG_TERM_DEBT","1993-06-18","2026-05-02","Per=Y","Days=T","Dir=V")</f>
        <v>0</v>
      </c>
      <c r="G2">
        <f>BDH("UTHR US Equity","BS_ST_BORROW","1993-06-18","2026-05-02","Per=Y","Days=T","Dir=V")</f>
        <v>0</v>
      </c>
      <c r="I2">
        <f>BDH("UTHR US Equity","BS_LT_BORROW","1993-06-18","2026-05-02","Per=Y","Days=T","Dir=V")</f>
        <v>0</v>
      </c>
      <c r="K2">
        <f>BDH("UTHR US Equity","BS_CASH_NEAR_CASH_ITEM","1993-06-18","2026-05-02","Per=Y","Days=T","Dir=V")</f>
        <v>0</v>
      </c>
      <c r="M2">
        <f>BDH("UTHR US Equity","BS_CUR_ASSET_REPORT","1993-06-18","2026-05-02","Per=Y","Days=T","Dir=V")</f>
        <v>0</v>
      </c>
      <c r="O2">
        <f>BDH("UTHR US Equity","BS_CUR_LIAB","1993-06-18","2026-05-02","Per=Y","Days=T","Dir=V")</f>
        <v>0</v>
      </c>
      <c r="Q2">
        <f>BDH("UTHR US Equity","BS_SHAREHOLDER_EQY_ENDING_PERIOD","1993-06-18","2026-05-02","Per=Y","Days=T","Dir=V")</f>
        <v>0</v>
      </c>
      <c r="S2">
        <f>BDH("UTHR US Equity","BS_ACCT_NOTE_RCV","1993-06-18","2026-05-02","Per=Y","Days=T","Dir=V")</f>
        <v>0</v>
      </c>
      <c r="U2">
        <f>BDH("UTHR US Equity","BS_INVENTORIES","1993-06-18","2026-05-02","Per=Y","Days=T","Dir=V")</f>
        <v>0</v>
      </c>
      <c r="W2">
        <f>BDH("UTHR US Equity","WORKING_CAPITAL","1993-06-18","2026-05-02","Per=Y","Days=T","Dir=V")</f>
        <v>0</v>
      </c>
      <c r="Y2">
        <f>BDH("UTHR US Equity","SALES_REV_TURN","1993-06-18","2026-05-02","Per=Y","Days=T","Dir=V")</f>
        <v>0</v>
      </c>
      <c r="AA2">
        <f>BDH("UTHR US Equity","EBIT","1993-06-18","2026-05-02","Per=Y","Days=T","Dir=V")</f>
        <v>0</v>
      </c>
      <c r="AC2">
        <f>BDH("UTHR US Equity","EBITDA","1993-06-18","2026-05-02","Per=Y","Days=T","Dir=V")</f>
        <v>0</v>
      </c>
      <c r="AE2">
        <f>BDH("UTHR US Equity","NET_INCOME","1993-06-18","2026-05-02","Per=Y","Days=T","Dir=V")</f>
        <v>0</v>
      </c>
      <c r="AG2">
        <f>BDH("UTHR US Equity","IS_INT_EXPENSE","1993-06-18","2026-05-02","Per=Y","Days=T","Dir=V")</f>
        <v>0</v>
      </c>
      <c r="AI2">
        <f>BDH("UTHR US Equity","IS_DEPR_EXP","1993-06-18","2026-05-02","Per=Y","Days=T","Dir=V")</f>
        <v>0</v>
      </c>
      <c r="AK2">
        <f>BDH("UTHR US Equity","CF_CASH_FROM_OPER","1993-06-18","2026-05-02","Per=Y","Days=T","Dir=V")</f>
        <v>0</v>
      </c>
      <c r="AM2">
        <f>BDH("UTHR US Equity","CAPITAL_EXPEND","1993-06-18","2026-05-02","Per=Y","Days=T","Dir=V")</f>
        <v>0</v>
      </c>
      <c r="AO2">
        <f>BDH("UTHR US Equity","CF_FREE_CASH_FLOW","1993-06-18","2026-05-02","Per=Y","Days=T","Dir=V")</f>
        <v>0</v>
      </c>
      <c r="AQ2">
        <f>BDH("UTHR US Equity","PX_LAST","1993-06-18","2026-05-02","Per=M","Days=T","Dir=V")</f>
        <v>0</v>
      </c>
      <c r="AS2">
        <f>BDH("UTHR US Equity","CUR_MKT_CAP","1993-06-18","2026-05-02","Per=M","Days=T","Dir=V")</f>
        <v>0</v>
      </c>
      <c r="AU2">
        <f>BDH("UTHR US Equity","EQY_SH_OUT","1993-06-18","2026-05-02","Per=M","Days=T","Dir=V")</f>
        <v>0</v>
      </c>
      <c r="AW2">
        <f>BDH("UTHR US Equity","PX_VOLUME","1993-06-18","2026-05-02","Per=M","Days=T","Dir=V")</f>
        <v>0</v>
      </c>
      <c r="AY2">
        <f>BDH("UTHR US Equity","TURNOVER","1993-06-18","2026-05-02","Per=M","Days=T","Dir=V")</f>
        <v>0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BDH("UTL US Equity","BS_TOT_ASSET","1993-06-18","2026-05-02","Per=Y","Days=T","Dir=V")</f>
        <v>0</v>
      </c>
      <c r="C2">
        <f>BDH("UTL US Equity","BS_TOT_LIAB2","1993-06-18","2026-05-02","Per=Y","Days=T","Dir=V")</f>
        <v>0</v>
      </c>
      <c r="E2">
        <f>BDH("UTL US Equity","SHORT_AND_LONG_TERM_DEBT","1993-06-18","2026-05-02","Per=Y","Days=T","Dir=V")</f>
        <v>0</v>
      </c>
      <c r="G2">
        <f>BDH("UTL US Equity","BS_ST_BORROW","1993-06-18","2026-05-02","Per=Y","Days=T","Dir=V")</f>
        <v>0</v>
      </c>
      <c r="I2">
        <f>BDH("UTL US Equity","BS_LT_BORROW","1993-06-18","2026-05-02","Per=Y","Days=T","Dir=V")</f>
        <v>0</v>
      </c>
      <c r="K2">
        <f>BDH("UTL US Equity","BS_CASH_NEAR_CASH_ITEM","1993-06-18","2026-05-02","Per=Y","Days=T","Dir=V")</f>
        <v>0</v>
      </c>
      <c r="M2">
        <f>BDH("UTL US Equity","BS_CUR_ASSET_REPORT","1993-06-18","2026-05-02","Per=Y","Days=T","Dir=V")</f>
        <v>0</v>
      </c>
      <c r="O2">
        <f>BDH("UTL US Equity","BS_CUR_LIAB","1993-06-18","2026-05-02","Per=Y","Days=T","Dir=V")</f>
        <v>0</v>
      </c>
      <c r="Q2">
        <f>BDH("UTL US Equity","BS_SHAREHOLDER_EQY_ENDING_PERIOD","1993-06-18","2026-05-02","Per=Y","Days=T","Dir=V")</f>
        <v>0</v>
      </c>
      <c r="S2">
        <f>BDH("UTL US Equity","BS_ACCT_NOTE_RCV","1993-06-18","2026-05-02","Per=Y","Days=T","Dir=V")</f>
        <v>0</v>
      </c>
      <c r="U2">
        <f>BDH("UTL US Equity","BS_INVENTORIES","1993-06-18","2026-05-02","Per=Y","Days=T","Dir=V")</f>
        <v>0</v>
      </c>
      <c r="W2">
        <f>BDH("UTL US Equity","WORKING_CAPITAL","1993-06-18","2026-05-02","Per=Y","Days=T","Dir=V")</f>
        <v>0</v>
      </c>
      <c r="Y2">
        <f>BDH("UTL US Equity","SALES_REV_TURN","1993-06-18","2026-05-02","Per=Y","Days=T","Dir=V")</f>
        <v>0</v>
      </c>
      <c r="AA2">
        <f>BDH("UTL US Equity","EBIT","1993-06-18","2026-05-02","Per=Y","Days=T","Dir=V")</f>
        <v>0</v>
      </c>
      <c r="AC2">
        <f>BDH("UTL US Equity","EBITDA","1993-06-18","2026-05-02","Per=Y","Days=T","Dir=V")</f>
        <v>0</v>
      </c>
      <c r="AE2">
        <f>BDH("UTL US Equity","NET_INCOME","1993-06-18","2026-05-02","Per=Y","Days=T","Dir=V")</f>
        <v>0</v>
      </c>
      <c r="AG2">
        <f>BDH("UTL US Equity","IS_INT_EXPENSE","1993-06-18","2026-05-02","Per=Y","Days=T","Dir=V")</f>
        <v>0</v>
      </c>
      <c r="AI2">
        <f>BDH("UTL US Equity","IS_DEPR_EXP","1993-06-18","2026-05-02","Per=Y","Days=T","Dir=V")</f>
        <v>0</v>
      </c>
      <c r="AK2">
        <f>BDH("UTL US Equity","CF_CASH_FROM_OPER","1993-06-18","2026-05-02","Per=Y","Days=T","Dir=V")</f>
        <v>0</v>
      </c>
      <c r="AM2">
        <f>BDH("UTL US Equity","CAPITAL_EXPEND","1993-06-18","2026-05-02","Per=Y","Days=T","Dir=V")</f>
        <v>0</v>
      </c>
      <c r="AO2">
        <f>BDH("UTL US Equity","CF_FREE_CASH_FLOW","1993-06-18","2026-05-02","Per=Y","Days=T","Dir=V")</f>
        <v>0</v>
      </c>
      <c r="AQ2">
        <f>BDH("UTL US Equity","PX_LAST","1993-06-18","2026-05-02","Per=M","Days=T","Dir=V")</f>
        <v>0</v>
      </c>
      <c r="AS2">
        <f>BDH("UTL US Equity","CUR_MKT_CAP","1993-06-18","2026-05-02","Per=M","Days=T","Dir=V")</f>
        <v>0</v>
      </c>
      <c r="AU2">
        <f>BDH("UTL US Equity","EQY_SH_OUT","1993-06-18","2026-05-02","Per=M","Days=T","Dir=V")</f>
        <v>0</v>
      </c>
      <c r="AW2">
        <f>BDH("UTL US Equity","PX_VOLUME","1993-06-18","2026-05-02","Per=M","Days=T","Dir=V")</f>
        <v>0</v>
      </c>
      <c r="AY2">
        <f>BDH("UTL US Equity","TURNOVER","1993-06-18","2026-05-02","Per=M","Days=T","Dir=V")</f>
        <v>0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BDH("UTMD US Equity","BS_TOT_ASSET","1993-06-18","2026-05-02","Per=Y","Days=T","Dir=V")</f>
        <v>0</v>
      </c>
      <c r="C2">
        <f>BDH("UTMD US Equity","BS_TOT_LIAB2","1993-06-18","2026-05-02","Per=Y","Days=T","Dir=V")</f>
        <v>0</v>
      </c>
      <c r="E2">
        <f>BDH("UTMD US Equity","SHORT_AND_LONG_TERM_DEBT","1993-06-18","2026-05-02","Per=Y","Days=T","Dir=V")</f>
        <v>0</v>
      </c>
      <c r="G2">
        <f>BDH("UTMD US Equity","BS_ST_BORROW","1993-06-18","2026-05-02","Per=Y","Days=T","Dir=V")</f>
        <v>0</v>
      </c>
      <c r="I2">
        <f>BDH("UTMD US Equity","BS_LT_BORROW","1993-06-18","2026-05-02","Per=Y","Days=T","Dir=V")</f>
        <v>0</v>
      </c>
      <c r="K2">
        <f>BDH("UTMD US Equity","BS_CASH_NEAR_CASH_ITEM","1993-06-18","2026-05-02","Per=Y","Days=T","Dir=V")</f>
        <v>0</v>
      </c>
      <c r="M2">
        <f>BDH("UTMD US Equity","BS_CUR_ASSET_REPORT","1993-06-18","2026-05-02","Per=Y","Days=T","Dir=V")</f>
        <v>0</v>
      </c>
      <c r="O2">
        <f>BDH("UTMD US Equity","BS_CUR_LIAB","1993-06-18","2026-05-02","Per=Y","Days=T","Dir=V")</f>
        <v>0</v>
      </c>
      <c r="Q2">
        <f>BDH("UTMD US Equity","BS_SHAREHOLDER_EQY_ENDING_PERIOD","1993-06-18","2026-05-02","Per=Y","Days=T","Dir=V")</f>
        <v>0</v>
      </c>
      <c r="S2">
        <f>BDH("UTMD US Equity","BS_ACCT_NOTE_RCV","1993-06-18","2026-05-02","Per=Y","Days=T","Dir=V")</f>
        <v>0</v>
      </c>
      <c r="U2">
        <f>BDH("UTMD US Equity","BS_INVENTORIES","1993-06-18","2026-05-02","Per=Y","Days=T","Dir=V")</f>
        <v>0</v>
      </c>
      <c r="W2">
        <f>BDH("UTMD US Equity","WORKING_CAPITAL","1993-06-18","2026-05-02","Per=Y","Days=T","Dir=V")</f>
        <v>0</v>
      </c>
      <c r="Y2">
        <f>BDH("UTMD US Equity","SALES_REV_TURN","1993-06-18","2026-05-02","Per=Y","Days=T","Dir=V")</f>
        <v>0</v>
      </c>
      <c r="AA2">
        <f>BDH("UTMD US Equity","EBIT","1993-06-18","2026-05-02","Per=Y","Days=T","Dir=V")</f>
        <v>0</v>
      </c>
      <c r="AC2">
        <f>BDH("UTMD US Equity","EBITDA","1993-06-18","2026-05-02","Per=Y","Days=T","Dir=V")</f>
        <v>0</v>
      </c>
      <c r="AE2">
        <f>BDH("UTMD US Equity","NET_INCOME","1993-06-18","2026-05-02","Per=Y","Days=T","Dir=V")</f>
        <v>0</v>
      </c>
      <c r="AG2">
        <f>BDH("UTMD US Equity","IS_INT_EXPENSE","1993-06-18","2026-05-02","Per=Y","Days=T","Dir=V")</f>
        <v>0</v>
      </c>
      <c r="AI2">
        <f>BDH("UTMD US Equity","IS_DEPR_EXP","1993-06-18","2026-05-02","Per=Y","Days=T","Dir=V")</f>
        <v>0</v>
      </c>
      <c r="AK2">
        <f>BDH("UTMD US Equity","CF_CASH_FROM_OPER","1993-06-18","2026-05-02","Per=Y","Days=T","Dir=V")</f>
        <v>0</v>
      </c>
      <c r="AM2">
        <f>BDH("UTMD US Equity","CAPITAL_EXPEND","1993-06-18","2026-05-02","Per=Y","Days=T","Dir=V")</f>
        <v>0</v>
      </c>
      <c r="AO2">
        <f>BDH("UTMD US Equity","CF_FREE_CASH_FLOW","1993-06-18","2026-05-02","Per=Y","Days=T","Dir=V")</f>
        <v>0</v>
      </c>
      <c r="AQ2">
        <f>BDH("UTMD US Equity","PX_LAST","1993-06-18","2026-05-02","Per=M","Days=T","Dir=V")</f>
        <v>0</v>
      </c>
      <c r="AS2">
        <f>BDH("UTMD US Equity","CUR_MKT_CAP","1993-06-18","2026-05-02","Per=M","Days=T","Dir=V")</f>
        <v>0</v>
      </c>
      <c r="AU2">
        <f>BDH("UTMD US Equity","EQY_SH_OUT","1993-06-18","2026-05-02","Per=M","Days=T","Dir=V")</f>
        <v>0</v>
      </c>
      <c r="AW2">
        <f>BDH("UTMD US Equity","PX_VOLUME","1993-06-18","2026-05-02","Per=M","Days=T","Dir=V")</f>
        <v>0</v>
      </c>
      <c r="AY2">
        <f>BDH("UTMD US Equity","TURNOVER","1993-06-18","2026-05-02","Per=M","Days=T","Dir=V")</f>
        <v>0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BDH("UTZ US Equity","BS_TOT_ASSET","1993-06-18","2026-05-02","Per=Y","Days=T","Dir=V")</f>
        <v>0</v>
      </c>
      <c r="C2">
        <f>BDH("UTZ US Equity","BS_TOT_LIAB2","1993-06-18","2026-05-02","Per=Y","Days=T","Dir=V")</f>
        <v>0</v>
      </c>
      <c r="E2">
        <f>BDH("UTZ US Equity","SHORT_AND_LONG_TERM_DEBT","1993-06-18","2026-05-02","Per=Y","Days=T","Dir=V")</f>
        <v>0</v>
      </c>
      <c r="G2">
        <f>BDH("UTZ US Equity","BS_ST_BORROW","1993-06-18","2026-05-02","Per=Y","Days=T","Dir=V")</f>
        <v>0</v>
      </c>
      <c r="I2">
        <f>BDH("UTZ US Equity","BS_LT_BORROW","1993-06-18","2026-05-02","Per=Y","Days=T","Dir=V")</f>
        <v>0</v>
      </c>
      <c r="K2">
        <f>BDH("UTZ US Equity","BS_CASH_NEAR_CASH_ITEM","1993-06-18","2026-05-02","Per=Y","Days=T","Dir=V")</f>
        <v>0</v>
      </c>
      <c r="M2">
        <f>BDH("UTZ US Equity","BS_CUR_ASSET_REPORT","1993-06-18","2026-05-02","Per=Y","Days=T","Dir=V")</f>
        <v>0</v>
      </c>
      <c r="O2">
        <f>BDH("UTZ US Equity","BS_CUR_LIAB","1993-06-18","2026-05-02","Per=Y","Days=T","Dir=V")</f>
        <v>0</v>
      </c>
      <c r="Q2">
        <f>BDH("UTZ US Equity","BS_SHAREHOLDER_EQY_ENDING_PERIOD","1993-06-18","2026-05-02","Per=Y","Days=T","Dir=V")</f>
        <v>0</v>
      </c>
      <c r="S2">
        <f>BDH("UTZ US Equity","BS_ACCT_NOTE_RCV","1993-06-18","2026-05-02","Per=Y","Days=T","Dir=V")</f>
        <v>0</v>
      </c>
      <c r="U2">
        <f>BDH("UTZ US Equity","BS_INVENTORIES","1993-06-18","2026-05-02","Per=Y","Days=T","Dir=V")</f>
        <v>0</v>
      </c>
      <c r="W2">
        <f>BDH("UTZ US Equity","WORKING_CAPITAL","1993-06-18","2026-05-02","Per=Y","Days=T","Dir=V")</f>
        <v>0</v>
      </c>
      <c r="Y2">
        <f>BDH("UTZ US Equity","SALES_REV_TURN","1993-06-18","2026-05-02","Per=Y","Days=T","Dir=V")</f>
        <v>0</v>
      </c>
      <c r="AA2">
        <f>BDH("UTZ US Equity","EBIT","1993-06-18","2026-05-02","Per=Y","Days=T","Dir=V")</f>
        <v>0</v>
      </c>
      <c r="AC2">
        <f>BDH("UTZ US Equity","EBITDA","1993-06-18","2026-05-02","Per=Y","Days=T","Dir=V")</f>
        <v>0</v>
      </c>
      <c r="AE2">
        <f>BDH("UTZ US Equity","NET_INCOME","1993-06-18","2026-05-02","Per=Y","Days=T","Dir=V")</f>
        <v>0</v>
      </c>
      <c r="AG2">
        <f>BDH("UTZ US Equity","IS_INT_EXPENSE","1993-06-18","2026-05-02","Per=Y","Days=T","Dir=V")</f>
        <v>0</v>
      </c>
      <c r="AI2">
        <f>BDH("UTZ US Equity","IS_DEPR_EXP","1993-06-18","2026-05-02","Per=Y","Days=T","Dir=V")</f>
        <v>0</v>
      </c>
      <c r="AK2">
        <f>BDH("UTZ US Equity","CF_CASH_FROM_OPER","1993-06-18","2026-05-02","Per=Y","Days=T","Dir=V")</f>
        <v>0</v>
      </c>
      <c r="AM2">
        <f>BDH("UTZ US Equity","CAPITAL_EXPEND","1993-06-18","2026-05-02","Per=Y","Days=T","Dir=V")</f>
        <v>0</v>
      </c>
      <c r="AO2">
        <f>BDH("UTZ US Equity","CF_FREE_CASH_FLOW","1993-06-18","2026-05-02","Per=Y","Days=T","Dir=V")</f>
        <v>0</v>
      </c>
      <c r="AQ2">
        <f>BDH("UTZ US Equity","PX_LAST","1993-06-18","2026-05-02","Per=M","Days=T","Dir=V")</f>
        <v>0</v>
      </c>
      <c r="AS2">
        <f>BDH("UTZ US Equity","CUR_MKT_CAP","1993-06-18","2026-05-02","Per=M","Days=T","Dir=V")</f>
        <v>0</v>
      </c>
      <c r="AU2">
        <f>BDH("UTZ US Equity","EQY_SH_OUT","1993-06-18","2026-05-02","Per=M","Days=T","Dir=V")</f>
        <v>0</v>
      </c>
      <c r="AW2">
        <f>BDH("UTZ US Equity","PX_VOLUME","1993-06-18","2026-05-02","Per=M","Days=T","Dir=V")</f>
        <v>0</v>
      </c>
      <c r="AY2">
        <f>BDH("UTZ US Equity","TURNOVER","1993-06-18","2026-05-02","Per=M","Days=T","Dir=V")</f>
        <v>0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BDH("UUU US Equity","BS_TOT_ASSET","1993-06-18","2026-05-02","Per=Y","Days=T","Dir=V")</f>
        <v>0</v>
      </c>
      <c r="C2">
        <f>BDH("UUU US Equity","BS_TOT_LIAB2","1993-06-18","2026-05-02","Per=Y","Days=T","Dir=V")</f>
        <v>0</v>
      </c>
      <c r="E2">
        <f>BDH("UUU US Equity","SHORT_AND_LONG_TERM_DEBT","1993-06-18","2026-05-02","Per=Y","Days=T","Dir=V")</f>
        <v>0</v>
      </c>
      <c r="G2">
        <f>BDH("UUU US Equity","BS_ST_BORROW","1993-06-18","2026-05-02","Per=Y","Days=T","Dir=V")</f>
        <v>0</v>
      </c>
      <c r="I2">
        <f>BDH("UUU US Equity","BS_LT_BORROW","1993-06-18","2026-05-02","Per=Y","Days=T","Dir=V")</f>
        <v>0</v>
      </c>
      <c r="K2">
        <f>BDH("UUU US Equity","BS_CASH_NEAR_CASH_ITEM","1993-06-18","2026-05-02","Per=Y","Days=T","Dir=V")</f>
        <v>0</v>
      </c>
      <c r="M2">
        <f>BDH("UUU US Equity","BS_CUR_ASSET_REPORT","1993-06-18","2026-05-02","Per=Y","Days=T","Dir=V")</f>
        <v>0</v>
      </c>
      <c r="O2">
        <f>BDH("UUU US Equity","BS_CUR_LIAB","1993-06-18","2026-05-02","Per=Y","Days=T","Dir=V")</f>
        <v>0</v>
      </c>
      <c r="Q2">
        <f>BDH("UUU US Equity","BS_SHAREHOLDER_EQY_ENDING_PERIOD","1993-06-18","2026-05-02","Per=Y","Days=T","Dir=V")</f>
        <v>0</v>
      </c>
      <c r="S2">
        <f>BDH("UUU US Equity","BS_ACCT_NOTE_RCV","1993-06-18","2026-05-02","Per=Y","Days=T","Dir=V")</f>
        <v>0</v>
      </c>
      <c r="U2">
        <f>BDH("UUU US Equity","BS_INVENTORIES","1993-06-18","2026-05-02","Per=Y","Days=T","Dir=V")</f>
        <v>0</v>
      </c>
      <c r="W2">
        <f>BDH("UUU US Equity","WORKING_CAPITAL","1993-06-18","2026-05-02","Per=Y","Days=T","Dir=V")</f>
        <v>0</v>
      </c>
      <c r="Y2">
        <f>BDH("UUU US Equity","SALES_REV_TURN","1993-06-18","2026-05-02","Per=Y","Days=T","Dir=V")</f>
        <v>0</v>
      </c>
      <c r="AA2">
        <f>BDH("UUU US Equity","EBIT","1993-06-18","2026-05-02","Per=Y","Days=T","Dir=V")</f>
        <v>0</v>
      </c>
      <c r="AC2">
        <f>BDH("UUU US Equity","EBITDA","1993-06-18","2026-05-02","Per=Y","Days=T","Dir=V")</f>
        <v>0</v>
      </c>
      <c r="AE2">
        <f>BDH("UUU US Equity","NET_INCOME","1993-06-18","2026-05-02","Per=Y","Days=T","Dir=V")</f>
        <v>0</v>
      </c>
      <c r="AG2">
        <f>BDH("UUU US Equity","IS_INT_EXPENSE","1993-06-18","2026-05-02","Per=Y","Days=T","Dir=V")</f>
        <v>0</v>
      </c>
      <c r="AI2">
        <f>BDH("UUU US Equity","IS_DEPR_EXP","1993-06-18","2026-05-02","Per=Y","Days=T","Dir=V")</f>
        <v>0</v>
      </c>
      <c r="AK2">
        <f>BDH("UUU US Equity","CF_CASH_FROM_OPER","1993-06-18","2026-05-02","Per=Y","Days=T","Dir=V")</f>
        <v>0</v>
      </c>
      <c r="AM2">
        <f>BDH("UUU US Equity","CAPITAL_EXPEND","1993-06-18","2026-05-02","Per=Y","Days=T","Dir=V")</f>
        <v>0</v>
      </c>
      <c r="AO2">
        <f>BDH("UUU US Equity","CF_FREE_CASH_FLOW","1993-06-18","2026-05-02","Per=Y","Days=T","Dir=V")</f>
        <v>0</v>
      </c>
      <c r="AQ2">
        <f>BDH("UUU US Equity","PX_LAST","1993-06-18","2026-05-02","Per=M","Days=T","Dir=V")</f>
        <v>0</v>
      </c>
      <c r="AS2">
        <f>BDH("UUU US Equity","CUR_MKT_CAP","1993-06-18","2026-05-02","Per=M","Days=T","Dir=V")</f>
        <v>0</v>
      </c>
      <c r="AU2">
        <f>BDH("UUU US Equity","EQY_SH_OUT","1993-06-18","2026-05-02","Per=M","Days=T","Dir=V")</f>
        <v>0</v>
      </c>
      <c r="AW2">
        <f>BDH("UUU US Equity","PX_VOLUME","1993-06-18","2026-05-02","Per=M","Days=T","Dir=V")</f>
        <v>0</v>
      </c>
      <c r="AY2">
        <f>BDH("UUU US Equity","TURNOVER","1993-06-18","2026-05-02","Per=M","Days=T","Dir=V")</f>
        <v>0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BDH("UVV US Equity","BS_TOT_ASSET","1993-06-18","2026-05-02","Per=Y","Days=T","Dir=V")</f>
        <v>0</v>
      </c>
      <c r="C2">
        <f>BDH("UVV US Equity","BS_TOT_LIAB2","1993-06-18","2026-05-02","Per=Y","Days=T","Dir=V")</f>
        <v>0</v>
      </c>
      <c r="E2">
        <f>BDH("UVV US Equity","SHORT_AND_LONG_TERM_DEBT","1993-06-18","2026-05-02","Per=Y","Days=T","Dir=V")</f>
        <v>0</v>
      </c>
      <c r="G2">
        <f>BDH("UVV US Equity","BS_ST_BORROW","1993-06-18","2026-05-02","Per=Y","Days=T","Dir=V")</f>
        <v>0</v>
      </c>
      <c r="I2">
        <f>BDH("UVV US Equity","BS_LT_BORROW","1993-06-18","2026-05-02","Per=Y","Days=T","Dir=V")</f>
        <v>0</v>
      </c>
      <c r="K2">
        <f>BDH("UVV US Equity","BS_CASH_NEAR_CASH_ITEM","1993-06-18","2026-05-02","Per=Y","Days=T","Dir=V")</f>
        <v>0</v>
      </c>
      <c r="M2">
        <f>BDH("UVV US Equity","BS_CUR_ASSET_REPORT","1993-06-18","2026-05-02","Per=Y","Days=T","Dir=V")</f>
        <v>0</v>
      </c>
      <c r="O2">
        <f>BDH("UVV US Equity","BS_CUR_LIAB","1993-06-18","2026-05-02","Per=Y","Days=T","Dir=V")</f>
        <v>0</v>
      </c>
      <c r="Q2">
        <f>BDH("UVV US Equity","BS_SHAREHOLDER_EQY_ENDING_PERIOD","1993-06-18","2026-05-02","Per=Y","Days=T","Dir=V")</f>
        <v>0</v>
      </c>
      <c r="S2">
        <f>BDH("UVV US Equity","BS_ACCT_NOTE_RCV","1993-06-18","2026-05-02","Per=Y","Days=T","Dir=V")</f>
        <v>0</v>
      </c>
      <c r="U2">
        <f>BDH("UVV US Equity","BS_INVENTORIES","1993-06-18","2026-05-02","Per=Y","Days=T","Dir=V")</f>
        <v>0</v>
      </c>
      <c r="W2">
        <f>BDH("UVV US Equity","WORKING_CAPITAL","1993-06-18","2026-05-02","Per=Y","Days=T","Dir=V")</f>
        <v>0</v>
      </c>
      <c r="Y2">
        <f>BDH("UVV US Equity","SALES_REV_TURN","1993-06-18","2026-05-02","Per=Y","Days=T","Dir=V")</f>
        <v>0</v>
      </c>
      <c r="AA2">
        <f>BDH("UVV US Equity","EBIT","1993-06-18","2026-05-02","Per=Y","Days=T","Dir=V")</f>
        <v>0</v>
      </c>
      <c r="AC2">
        <f>BDH("UVV US Equity","EBITDA","1993-06-18","2026-05-02","Per=Y","Days=T","Dir=V")</f>
        <v>0</v>
      </c>
      <c r="AE2">
        <f>BDH("UVV US Equity","NET_INCOME","1993-06-18","2026-05-02","Per=Y","Days=T","Dir=V")</f>
        <v>0</v>
      </c>
      <c r="AG2">
        <f>BDH("UVV US Equity","IS_INT_EXPENSE","1993-06-18","2026-05-02","Per=Y","Days=T","Dir=V")</f>
        <v>0</v>
      </c>
      <c r="AI2">
        <f>BDH("UVV US Equity","IS_DEPR_EXP","1993-06-18","2026-05-02","Per=Y","Days=T","Dir=V")</f>
        <v>0</v>
      </c>
      <c r="AK2">
        <f>BDH("UVV US Equity","CF_CASH_FROM_OPER","1993-06-18","2026-05-02","Per=Y","Days=T","Dir=V")</f>
        <v>0</v>
      </c>
      <c r="AM2">
        <f>BDH("UVV US Equity","CAPITAL_EXPEND","1993-06-18","2026-05-02","Per=Y","Days=T","Dir=V")</f>
        <v>0</v>
      </c>
      <c r="AO2">
        <f>BDH("UVV US Equity","CF_FREE_CASH_FLOW","1993-06-18","2026-05-02","Per=Y","Days=T","Dir=V")</f>
        <v>0</v>
      </c>
      <c r="AQ2">
        <f>BDH("UVV US Equity","PX_LAST","1993-06-18","2026-05-02","Per=M","Days=T","Dir=V")</f>
        <v>0</v>
      </c>
      <c r="AS2">
        <f>BDH("UVV US Equity","CUR_MKT_CAP","1993-06-18","2026-05-02","Per=M","Days=T","Dir=V")</f>
        <v>0</v>
      </c>
      <c r="AU2">
        <f>BDH("UVV US Equity","EQY_SH_OUT","1993-06-18","2026-05-02","Per=M","Days=T","Dir=V")</f>
        <v>0</v>
      </c>
      <c r="AW2">
        <f>BDH("UVV US Equity","PX_VOLUME","1993-06-18","2026-05-02","Per=M","Days=T","Dir=V")</f>
        <v>0</v>
      </c>
      <c r="AY2">
        <f>BDH("UVV US Equity","TURNOVER","1993-06-18","2026-05-02","Per=M","Days=T","Dir=V")</f>
        <v>0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BDH("UZD US Equity","BS_TOT_ASSET","1993-06-18","2026-05-02","Per=Y","Days=T","Dir=V")</f>
        <v>0</v>
      </c>
      <c r="C2">
        <f>BDH("UZD US Equity","BS_TOT_LIAB2","1993-06-18","2026-05-02","Per=Y","Days=T","Dir=V")</f>
        <v>0</v>
      </c>
      <c r="E2">
        <f>BDH("UZD US Equity","SHORT_AND_LONG_TERM_DEBT","1993-06-18","2026-05-02","Per=Y","Days=T","Dir=V")</f>
        <v>0</v>
      </c>
      <c r="G2">
        <f>BDH("UZD US Equity","BS_ST_BORROW","1993-06-18","2026-05-02","Per=Y","Days=T","Dir=V")</f>
        <v>0</v>
      </c>
      <c r="I2">
        <f>BDH("UZD US Equity","BS_LT_BORROW","1993-06-18","2026-05-02","Per=Y","Days=T","Dir=V")</f>
        <v>0</v>
      </c>
      <c r="K2">
        <f>BDH("UZD US Equity","BS_CASH_NEAR_CASH_ITEM","1993-06-18","2026-05-02","Per=Y","Days=T","Dir=V")</f>
        <v>0</v>
      </c>
      <c r="M2">
        <f>BDH("UZD US Equity","BS_CUR_ASSET_REPORT","1993-06-18","2026-05-02","Per=Y","Days=T","Dir=V")</f>
        <v>0</v>
      </c>
      <c r="O2">
        <f>BDH("UZD US Equity","BS_CUR_LIAB","1993-06-18","2026-05-02","Per=Y","Days=T","Dir=V")</f>
        <v>0</v>
      </c>
      <c r="Q2">
        <f>BDH("UZD US Equity","BS_SHAREHOLDER_EQY_ENDING_PERIOD","1993-06-18","2026-05-02","Per=Y","Days=T","Dir=V")</f>
        <v>0</v>
      </c>
      <c r="S2">
        <f>BDH("UZD US Equity","BS_ACCT_NOTE_RCV","1993-06-18","2026-05-02","Per=Y","Days=T","Dir=V")</f>
        <v>0</v>
      </c>
      <c r="U2">
        <f>BDH("UZD US Equity","BS_INVENTORIES","1993-06-18","2026-05-02","Per=Y","Days=T","Dir=V")</f>
        <v>0</v>
      </c>
      <c r="W2">
        <f>BDH("UZD US Equity","WORKING_CAPITAL","1993-06-18","2026-05-02","Per=Y","Days=T","Dir=V")</f>
        <v>0</v>
      </c>
      <c r="Y2">
        <f>BDH("UZD US Equity","SALES_REV_TURN","1993-06-18","2026-05-02","Per=Y","Days=T","Dir=V")</f>
        <v>0</v>
      </c>
      <c r="AA2">
        <f>BDH("UZD US Equity","EBIT","1993-06-18","2026-05-02","Per=Y","Days=T","Dir=V")</f>
        <v>0</v>
      </c>
      <c r="AC2">
        <f>BDH("UZD US Equity","EBITDA","1993-06-18","2026-05-02","Per=Y","Days=T","Dir=V")</f>
        <v>0</v>
      </c>
      <c r="AE2">
        <f>BDH("UZD US Equity","NET_INCOME","1993-06-18","2026-05-02","Per=Y","Days=T","Dir=V")</f>
        <v>0</v>
      </c>
      <c r="AG2">
        <f>BDH("UZD US Equity","IS_INT_EXPENSE","1993-06-18","2026-05-02","Per=Y","Days=T","Dir=V")</f>
        <v>0</v>
      </c>
      <c r="AI2">
        <f>BDH("UZD US Equity","IS_DEPR_EXP","1993-06-18","2026-05-02","Per=Y","Days=T","Dir=V")</f>
        <v>0</v>
      </c>
      <c r="AK2">
        <f>BDH("UZD US Equity","CF_CASH_FROM_OPER","1993-06-18","2026-05-02","Per=Y","Days=T","Dir=V")</f>
        <v>0</v>
      </c>
      <c r="AM2">
        <f>BDH("UZD US Equity","CAPITAL_EXPEND","1993-06-18","2026-05-02","Per=Y","Days=T","Dir=V")</f>
        <v>0</v>
      </c>
      <c r="AO2">
        <f>BDH("UZD US Equity","CF_FREE_CASH_FLOW","1993-06-18","2026-05-02","Per=Y","Days=T","Dir=V")</f>
        <v>0</v>
      </c>
      <c r="AQ2">
        <f>BDH("UZD US Equity","PX_LAST","1993-06-18","2026-05-02","Per=M","Days=T","Dir=V")</f>
        <v>0</v>
      </c>
      <c r="AS2">
        <f>BDH("UZD US Equity","CUR_MKT_CAP","1993-06-18","2026-05-02","Per=M","Days=T","Dir=V")</f>
        <v>0</v>
      </c>
      <c r="AU2">
        <f>BDH("UZD US Equity","EQY_SH_OUT","1993-06-18","2026-05-02","Per=M","Days=T","Dir=V")</f>
        <v>0</v>
      </c>
      <c r="AW2">
        <f>BDH("UZD US Equity","PX_VOLUME","1993-06-18","2026-05-02","Per=M","Days=T","Dir=V")</f>
        <v>0</v>
      </c>
      <c r="AY2">
        <f>BDH("UZD US Equity","TURNOVER","1993-06-18","2026-05-02","Per=M","Days=T","Dir=V")</f>
        <v>0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BDH("UZE US Equity","BS_TOT_ASSET","1993-06-18","2026-05-02","Per=Y","Days=T","Dir=V")</f>
        <v>0</v>
      </c>
      <c r="C2">
        <f>BDH("UZE US Equity","BS_TOT_LIAB2","1993-06-18","2026-05-02","Per=Y","Days=T","Dir=V")</f>
        <v>0</v>
      </c>
      <c r="E2">
        <f>BDH("UZE US Equity","SHORT_AND_LONG_TERM_DEBT","1993-06-18","2026-05-02","Per=Y","Days=T","Dir=V")</f>
        <v>0</v>
      </c>
      <c r="G2">
        <f>BDH("UZE US Equity","BS_ST_BORROW","1993-06-18","2026-05-02","Per=Y","Days=T","Dir=V")</f>
        <v>0</v>
      </c>
      <c r="I2">
        <f>BDH("UZE US Equity","BS_LT_BORROW","1993-06-18","2026-05-02","Per=Y","Days=T","Dir=V")</f>
        <v>0</v>
      </c>
      <c r="K2">
        <f>BDH("UZE US Equity","BS_CASH_NEAR_CASH_ITEM","1993-06-18","2026-05-02","Per=Y","Days=T","Dir=V")</f>
        <v>0</v>
      </c>
      <c r="M2">
        <f>BDH("UZE US Equity","BS_CUR_ASSET_REPORT","1993-06-18","2026-05-02","Per=Y","Days=T","Dir=V")</f>
        <v>0</v>
      </c>
      <c r="O2">
        <f>BDH("UZE US Equity","BS_CUR_LIAB","1993-06-18","2026-05-02","Per=Y","Days=T","Dir=V")</f>
        <v>0</v>
      </c>
      <c r="Q2">
        <f>BDH("UZE US Equity","BS_SHAREHOLDER_EQY_ENDING_PERIOD","1993-06-18","2026-05-02","Per=Y","Days=T","Dir=V")</f>
        <v>0</v>
      </c>
      <c r="S2">
        <f>BDH("UZE US Equity","BS_ACCT_NOTE_RCV","1993-06-18","2026-05-02","Per=Y","Days=T","Dir=V")</f>
        <v>0</v>
      </c>
      <c r="U2">
        <f>BDH("UZE US Equity","BS_INVENTORIES","1993-06-18","2026-05-02","Per=Y","Days=T","Dir=V")</f>
        <v>0</v>
      </c>
      <c r="W2">
        <f>BDH("UZE US Equity","WORKING_CAPITAL","1993-06-18","2026-05-02","Per=Y","Days=T","Dir=V")</f>
        <v>0</v>
      </c>
      <c r="Y2">
        <f>BDH("UZE US Equity","SALES_REV_TURN","1993-06-18","2026-05-02","Per=Y","Days=T","Dir=V")</f>
        <v>0</v>
      </c>
      <c r="AA2">
        <f>BDH("UZE US Equity","EBIT","1993-06-18","2026-05-02","Per=Y","Days=T","Dir=V")</f>
        <v>0</v>
      </c>
      <c r="AC2">
        <f>BDH("UZE US Equity","EBITDA","1993-06-18","2026-05-02","Per=Y","Days=T","Dir=V")</f>
        <v>0</v>
      </c>
      <c r="AE2">
        <f>BDH("UZE US Equity","NET_INCOME","1993-06-18","2026-05-02","Per=Y","Days=T","Dir=V")</f>
        <v>0</v>
      </c>
      <c r="AG2">
        <f>BDH("UZE US Equity","IS_INT_EXPENSE","1993-06-18","2026-05-02","Per=Y","Days=T","Dir=V")</f>
        <v>0</v>
      </c>
      <c r="AI2">
        <f>BDH("UZE US Equity","IS_DEPR_EXP","1993-06-18","2026-05-02","Per=Y","Days=T","Dir=V")</f>
        <v>0</v>
      </c>
      <c r="AK2">
        <f>BDH("UZE US Equity","CF_CASH_FROM_OPER","1993-06-18","2026-05-02","Per=Y","Days=T","Dir=V")</f>
        <v>0</v>
      </c>
      <c r="AM2">
        <f>BDH("UZE US Equity","CAPITAL_EXPEND","1993-06-18","2026-05-02","Per=Y","Days=T","Dir=V")</f>
        <v>0</v>
      </c>
      <c r="AO2">
        <f>BDH("UZE US Equity","CF_FREE_CASH_FLOW","1993-06-18","2026-05-02","Per=Y","Days=T","Dir=V")</f>
        <v>0</v>
      </c>
      <c r="AQ2">
        <f>BDH("UZE US Equity","PX_LAST","1993-06-18","2026-05-02","Per=M","Days=T","Dir=V")</f>
        <v>0</v>
      </c>
      <c r="AS2">
        <f>BDH("UZE US Equity","CUR_MKT_CAP","1993-06-18","2026-05-02","Per=M","Days=T","Dir=V")</f>
        <v>0</v>
      </c>
      <c r="AU2">
        <f>BDH("UZE US Equity","EQY_SH_OUT","1993-06-18","2026-05-02","Per=M","Days=T","Dir=V")</f>
        <v>0</v>
      </c>
      <c r="AW2">
        <f>BDH("UZE US Equity","PX_VOLUME","1993-06-18","2026-05-02","Per=M","Days=T","Dir=V")</f>
        <v>0</v>
      </c>
      <c r="AY2">
        <f>BDH("UZE US Equity","TURNOVER","1993-06-18","2026-05-02","Per=M","Days=T","Dir=V")</f>
        <v>0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BDH("UZF US Equity","BS_TOT_ASSET","1993-06-18","2026-05-02","Per=Y","Days=T","Dir=V")</f>
        <v>0</v>
      </c>
      <c r="C2">
        <f>BDH("UZF US Equity","BS_TOT_LIAB2","1993-06-18","2026-05-02","Per=Y","Days=T","Dir=V")</f>
        <v>0</v>
      </c>
      <c r="E2">
        <f>BDH("UZF US Equity","SHORT_AND_LONG_TERM_DEBT","1993-06-18","2026-05-02","Per=Y","Days=T","Dir=V")</f>
        <v>0</v>
      </c>
      <c r="G2">
        <f>BDH("UZF US Equity","BS_ST_BORROW","1993-06-18","2026-05-02","Per=Y","Days=T","Dir=V")</f>
        <v>0</v>
      </c>
      <c r="I2">
        <f>BDH("UZF US Equity","BS_LT_BORROW","1993-06-18","2026-05-02","Per=Y","Days=T","Dir=V")</f>
        <v>0</v>
      </c>
      <c r="K2">
        <f>BDH("UZF US Equity","BS_CASH_NEAR_CASH_ITEM","1993-06-18","2026-05-02","Per=Y","Days=T","Dir=V")</f>
        <v>0</v>
      </c>
      <c r="M2">
        <f>BDH("UZF US Equity","BS_CUR_ASSET_REPORT","1993-06-18","2026-05-02","Per=Y","Days=T","Dir=V")</f>
        <v>0</v>
      </c>
      <c r="O2">
        <f>BDH("UZF US Equity","BS_CUR_LIAB","1993-06-18","2026-05-02","Per=Y","Days=T","Dir=V")</f>
        <v>0</v>
      </c>
      <c r="Q2">
        <f>BDH("UZF US Equity","BS_SHAREHOLDER_EQY_ENDING_PERIOD","1993-06-18","2026-05-02","Per=Y","Days=T","Dir=V")</f>
        <v>0</v>
      </c>
      <c r="S2">
        <f>BDH("UZF US Equity","BS_ACCT_NOTE_RCV","1993-06-18","2026-05-02","Per=Y","Days=T","Dir=V")</f>
        <v>0</v>
      </c>
      <c r="U2">
        <f>BDH("UZF US Equity","BS_INVENTORIES","1993-06-18","2026-05-02","Per=Y","Days=T","Dir=V")</f>
        <v>0</v>
      </c>
      <c r="W2">
        <f>BDH("UZF US Equity","WORKING_CAPITAL","1993-06-18","2026-05-02","Per=Y","Days=T","Dir=V")</f>
        <v>0</v>
      </c>
      <c r="Y2">
        <f>BDH("UZF US Equity","SALES_REV_TURN","1993-06-18","2026-05-02","Per=Y","Days=T","Dir=V")</f>
        <v>0</v>
      </c>
      <c r="AA2">
        <f>BDH("UZF US Equity","EBIT","1993-06-18","2026-05-02","Per=Y","Days=T","Dir=V")</f>
        <v>0</v>
      </c>
      <c r="AC2">
        <f>BDH("UZF US Equity","EBITDA","1993-06-18","2026-05-02","Per=Y","Days=T","Dir=V")</f>
        <v>0</v>
      </c>
      <c r="AE2">
        <f>BDH("UZF US Equity","NET_INCOME","1993-06-18","2026-05-02","Per=Y","Days=T","Dir=V")</f>
        <v>0</v>
      </c>
      <c r="AG2">
        <f>BDH("UZF US Equity","IS_INT_EXPENSE","1993-06-18","2026-05-02","Per=Y","Days=T","Dir=V")</f>
        <v>0</v>
      </c>
      <c r="AI2">
        <f>BDH("UZF US Equity","IS_DEPR_EXP","1993-06-18","2026-05-02","Per=Y","Days=T","Dir=V")</f>
        <v>0</v>
      </c>
      <c r="AK2">
        <f>BDH("UZF US Equity","CF_CASH_FROM_OPER","1993-06-18","2026-05-02","Per=Y","Days=T","Dir=V")</f>
        <v>0</v>
      </c>
      <c r="AM2">
        <f>BDH("UZF US Equity","CAPITAL_EXPEND","1993-06-18","2026-05-02","Per=Y","Days=T","Dir=V")</f>
        <v>0</v>
      </c>
      <c r="AO2">
        <f>BDH("UZF US Equity","CF_FREE_CASH_FLOW","1993-06-18","2026-05-02","Per=Y","Days=T","Dir=V")</f>
        <v>0</v>
      </c>
      <c r="AQ2">
        <f>BDH("UZF US Equity","PX_LAST","1993-06-18","2026-05-02","Per=M","Days=T","Dir=V")</f>
        <v>0</v>
      </c>
      <c r="AS2">
        <f>BDH("UZF US Equity","CUR_MKT_CAP","1993-06-18","2026-05-02","Per=M","Days=T","Dir=V")</f>
        <v>0</v>
      </c>
      <c r="AU2">
        <f>BDH("UZF US Equity","EQY_SH_OUT","1993-06-18","2026-05-02","Per=M","Days=T","Dir=V")</f>
        <v>0</v>
      </c>
      <c r="AW2">
        <f>BDH("UZF US Equity","PX_VOLUME","1993-06-18","2026-05-02","Per=M","Days=T","Dir=V")</f>
        <v>0</v>
      </c>
      <c r="AY2">
        <f>BDH("UZF US Equity","TURNOVER","1993-06-18","2026-05-02","Per=M","Days=T","Dir=V")</f>
        <v>0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 US Equity","BS_TOT_ASSET","1993-06-18","2026-05-02","Per=Y","Days=T","Dir=V")</f>
        <v>0</v>
      </c>
      <c r="C2">
        <f>BDH("V US Equity","BS_TOT_LIAB2","1993-06-18","2026-05-02","Per=Y","Days=T","Dir=V")</f>
        <v>0</v>
      </c>
      <c r="E2">
        <f>BDH("V US Equity","SHORT_AND_LONG_TERM_DEBT","1993-06-18","2026-05-02","Per=Y","Days=T","Dir=V")</f>
        <v>0</v>
      </c>
      <c r="G2">
        <f>BDH("V US Equity","BS_ST_BORROW","1993-06-18","2026-05-02","Per=Y","Days=T","Dir=V")</f>
        <v>0</v>
      </c>
      <c r="I2">
        <f>BDH("V US Equity","BS_LT_BORROW","1993-06-18","2026-05-02","Per=Y","Days=T","Dir=V")</f>
        <v>0</v>
      </c>
      <c r="K2">
        <f>BDH("V US Equity","BS_CASH_NEAR_CASH_ITEM","1993-06-18","2026-05-02","Per=Y","Days=T","Dir=V")</f>
        <v>0</v>
      </c>
      <c r="M2">
        <f>BDH("V US Equity","BS_CUR_ASSET_REPORT","1993-06-18","2026-05-02","Per=Y","Days=T","Dir=V")</f>
        <v>0</v>
      </c>
      <c r="O2">
        <f>BDH("V US Equity","BS_CUR_LIAB","1993-06-18","2026-05-02","Per=Y","Days=T","Dir=V")</f>
        <v>0</v>
      </c>
      <c r="Q2">
        <f>BDH("V US Equity","BS_SHAREHOLDER_EQY_ENDING_PERIOD","1993-06-18","2026-05-02","Per=Y","Days=T","Dir=V")</f>
        <v>0</v>
      </c>
      <c r="S2">
        <f>BDH("V US Equity","BS_ACCT_NOTE_RCV","1993-06-18","2026-05-02","Per=Y","Days=T","Dir=V")</f>
        <v>0</v>
      </c>
      <c r="U2">
        <f>BDH("V US Equity","BS_INVENTORIES","1993-06-18","2026-05-02","Per=Y","Days=T","Dir=V")</f>
        <v>0</v>
      </c>
      <c r="W2">
        <f>BDH("V US Equity","WORKING_CAPITAL","1993-06-18","2026-05-02","Per=Y","Days=T","Dir=V")</f>
        <v>0</v>
      </c>
      <c r="Y2">
        <f>BDH("V US Equity","SALES_REV_TURN","1993-06-18","2026-05-02","Per=Y","Days=T","Dir=V")</f>
        <v>0</v>
      </c>
      <c r="AA2">
        <f>BDH("V US Equity","EBIT","1993-06-18","2026-05-02","Per=Y","Days=T","Dir=V")</f>
        <v>0</v>
      </c>
      <c r="AC2">
        <f>BDH("V US Equity","EBITDA","1993-06-18","2026-05-02","Per=Y","Days=T","Dir=V")</f>
        <v>0</v>
      </c>
      <c r="AE2">
        <f>BDH("V US Equity","NET_INCOME","1993-06-18","2026-05-02","Per=Y","Days=T","Dir=V")</f>
        <v>0</v>
      </c>
      <c r="AG2">
        <f>BDH("V US Equity","IS_INT_EXPENSE","1993-06-18","2026-05-02","Per=Y","Days=T","Dir=V")</f>
        <v>0</v>
      </c>
      <c r="AI2">
        <f>BDH("V US Equity","IS_DEPR_EXP","1993-06-18","2026-05-02","Per=Y","Days=T","Dir=V")</f>
        <v>0</v>
      </c>
      <c r="AK2">
        <f>BDH("V US Equity","CF_CASH_FROM_OPER","1993-06-18","2026-05-02","Per=Y","Days=T","Dir=V")</f>
        <v>0</v>
      </c>
      <c r="AM2">
        <f>BDH("V US Equity","CAPITAL_EXPEND","1993-06-18","2026-05-02","Per=Y","Days=T","Dir=V")</f>
        <v>0</v>
      </c>
      <c r="AO2">
        <f>BDH("V US Equity","CF_FREE_CASH_FLOW","1993-06-18","2026-05-02","Per=Y","Days=T","Dir=V")</f>
        <v>0</v>
      </c>
      <c r="AQ2">
        <f>BDH("V US Equity","PX_LAST","1993-06-18","2026-05-02","Per=M","Days=T","Dir=V")</f>
        <v>0</v>
      </c>
      <c r="AS2">
        <f>BDH("V US Equity","CUR_MKT_CAP","1993-06-18","2026-05-02","Per=M","Days=T","Dir=V")</f>
        <v>0</v>
      </c>
      <c r="AU2">
        <f>BDH("V US Equity","EQY_SH_OUT","1993-06-18","2026-05-02","Per=M","Days=T","Dir=V")</f>
        <v>0</v>
      </c>
      <c r="AW2">
        <f>BDH("V US Equity","PX_VOLUME","1993-06-18","2026-05-02","Per=M","Days=T","Dir=V")</f>
        <v>0</v>
      </c>
      <c r="AY2">
        <f>BDH("V US Equity","TURNOVER","1993-06-18","2026-05-02","Per=M","Days=T","Dir=V")</f>
        <v>0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BDH("VAL US Equity","BS_TOT_ASSET","1993-06-18","2026-05-02","Per=Y","Days=T","Dir=V")</f>
        <v>0</v>
      </c>
      <c r="C2">
        <f>BDH("VAL US Equity","BS_TOT_LIAB2","1993-06-18","2026-05-02","Per=Y","Days=T","Dir=V")</f>
        <v>0</v>
      </c>
      <c r="E2">
        <f>BDH("VAL US Equity","SHORT_AND_LONG_TERM_DEBT","1993-06-18","2026-05-02","Per=Y","Days=T","Dir=V")</f>
        <v>0</v>
      </c>
      <c r="G2">
        <f>BDH("VAL US Equity","BS_ST_BORROW","1993-06-18","2026-05-02","Per=Y","Days=T","Dir=V")</f>
        <v>0</v>
      </c>
      <c r="I2">
        <f>BDH("VAL US Equity","BS_LT_BORROW","1993-06-18","2026-05-02","Per=Y","Days=T","Dir=V")</f>
        <v>0</v>
      </c>
      <c r="K2">
        <f>BDH("VAL US Equity","BS_CASH_NEAR_CASH_ITEM","1993-06-18","2026-05-02","Per=Y","Days=T","Dir=V")</f>
        <v>0</v>
      </c>
      <c r="M2">
        <f>BDH("VAL US Equity","BS_CUR_ASSET_REPORT","1993-06-18","2026-05-02","Per=Y","Days=T","Dir=V")</f>
        <v>0</v>
      </c>
      <c r="O2">
        <f>BDH("VAL US Equity","BS_CUR_LIAB","1993-06-18","2026-05-02","Per=Y","Days=T","Dir=V")</f>
        <v>0</v>
      </c>
      <c r="Q2">
        <f>BDH("VAL US Equity","BS_SHAREHOLDER_EQY_ENDING_PERIOD","1993-06-18","2026-05-02","Per=Y","Days=T","Dir=V")</f>
        <v>0</v>
      </c>
      <c r="S2">
        <f>BDH("VAL US Equity","BS_ACCT_NOTE_RCV","1993-06-18","2026-05-02","Per=Y","Days=T","Dir=V")</f>
        <v>0</v>
      </c>
      <c r="U2">
        <f>BDH("VAL US Equity","BS_INVENTORIES","1993-06-18","2026-05-02","Per=Y","Days=T","Dir=V")</f>
        <v>0</v>
      </c>
      <c r="W2">
        <f>BDH("VAL US Equity","WORKING_CAPITAL","1993-06-18","2026-05-02","Per=Y","Days=T","Dir=V")</f>
        <v>0</v>
      </c>
      <c r="Y2">
        <f>BDH("VAL US Equity","SALES_REV_TURN","1993-06-18","2026-05-02","Per=Y","Days=T","Dir=V")</f>
        <v>0</v>
      </c>
      <c r="AA2">
        <f>BDH("VAL US Equity","EBIT","1993-06-18","2026-05-02","Per=Y","Days=T","Dir=V")</f>
        <v>0</v>
      </c>
      <c r="AC2">
        <f>BDH("VAL US Equity","EBITDA","1993-06-18","2026-05-02","Per=Y","Days=T","Dir=V")</f>
        <v>0</v>
      </c>
      <c r="AE2">
        <f>BDH("VAL US Equity","NET_INCOME","1993-06-18","2026-05-02","Per=Y","Days=T","Dir=V")</f>
        <v>0</v>
      </c>
      <c r="AG2">
        <f>BDH("VAL US Equity","IS_INT_EXPENSE","1993-06-18","2026-05-02","Per=Y","Days=T","Dir=V")</f>
        <v>0</v>
      </c>
      <c r="AI2">
        <f>BDH("VAL US Equity","IS_DEPR_EXP","1993-06-18","2026-05-02","Per=Y","Days=T","Dir=V")</f>
        <v>0</v>
      </c>
      <c r="AK2">
        <f>BDH("VAL US Equity","CF_CASH_FROM_OPER","1993-06-18","2026-05-02","Per=Y","Days=T","Dir=V")</f>
        <v>0</v>
      </c>
      <c r="AM2">
        <f>BDH("VAL US Equity","CAPITAL_EXPEND","1993-06-18","2026-05-02","Per=Y","Days=T","Dir=V")</f>
        <v>0</v>
      </c>
      <c r="AO2">
        <f>BDH("VAL US Equity","CF_FREE_CASH_FLOW","1993-06-18","2026-05-02","Per=Y","Days=T","Dir=V")</f>
        <v>0</v>
      </c>
      <c r="AQ2">
        <f>BDH("VAL US Equity","PX_LAST","1993-06-18","2026-05-02","Per=M","Days=T","Dir=V")</f>
        <v>0</v>
      </c>
      <c r="AS2">
        <f>BDH("VAL US Equity","CUR_MKT_CAP","1993-06-18","2026-05-02","Per=M","Days=T","Dir=V")</f>
        <v>0</v>
      </c>
      <c r="AU2">
        <f>BDH("VAL US Equity","EQY_SH_OUT","1993-06-18","2026-05-02","Per=M","Days=T","Dir=V")</f>
        <v>0</v>
      </c>
      <c r="AW2">
        <f>BDH("VAL US Equity","PX_VOLUME","1993-06-18","2026-05-02","Per=M","Days=T","Dir=V")</f>
        <v>0</v>
      </c>
      <c r="AY2">
        <f>BDH("VAL US Equity","TURNOVER","1993-06-18","2026-05-02","Per=M","Days=T","Dir=V")</f>
        <v>0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BDH("VANI US Equity","BS_TOT_ASSET","1993-06-18","2026-05-02","Per=Y","Days=T","Dir=V")</f>
        <v>0</v>
      </c>
      <c r="C2">
        <f>BDH("VANI US Equity","BS_TOT_LIAB2","1993-06-18","2026-05-02","Per=Y","Days=T","Dir=V")</f>
        <v>0</v>
      </c>
      <c r="E2">
        <f>BDH("VANI US Equity","SHORT_AND_LONG_TERM_DEBT","1993-06-18","2026-05-02","Per=Y","Days=T","Dir=V")</f>
        <v>0</v>
      </c>
      <c r="G2">
        <f>BDH("VANI US Equity","BS_ST_BORROW","1993-06-18","2026-05-02","Per=Y","Days=T","Dir=V")</f>
        <v>0</v>
      </c>
      <c r="I2">
        <f>BDH("VANI US Equity","BS_LT_BORROW","1993-06-18","2026-05-02","Per=Y","Days=T","Dir=V")</f>
        <v>0</v>
      </c>
      <c r="K2">
        <f>BDH("VANI US Equity","BS_CASH_NEAR_CASH_ITEM","1993-06-18","2026-05-02","Per=Y","Days=T","Dir=V")</f>
        <v>0</v>
      </c>
      <c r="M2">
        <f>BDH("VANI US Equity","BS_CUR_ASSET_REPORT","1993-06-18","2026-05-02","Per=Y","Days=T","Dir=V")</f>
        <v>0</v>
      </c>
      <c r="O2">
        <f>BDH("VANI US Equity","BS_CUR_LIAB","1993-06-18","2026-05-02","Per=Y","Days=T","Dir=V")</f>
        <v>0</v>
      </c>
      <c r="Q2">
        <f>BDH("VANI US Equity","BS_SHAREHOLDER_EQY_ENDING_PERIOD","1993-06-18","2026-05-02","Per=Y","Days=T","Dir=V")</f>
        <v>0</v>
      </c>
      <c r="S2">
        <f>BDH("VANI US Equity","BS_ACCT_NOTE_RCV","1993-06-18","2026-05-02","Per=Y","Days=T","Dir=V")</f>
        <v>0</v>
      </c>
      <c r="U2">
        <f>BDH("VANI US Equity","BS_INVENTORIES","1993-06-18","2026-05-02","Per=Y","Days=T","Dir=V")</f>
        <v>0</v>
      </c>
      <c r="W2">
        <f>BDH("VANI US Equity","WORKING_CAPITAL","1993-06-18","2026-05-02","Per=Y","Days=T","Dir=V")</f>
        <v>0</v>
      </c>
      <c r="Y2">
        <f>BDH("VANI US Equity","SALES_REV_TURN","1993-06-18","2026-05-02","Per=Y","Days=T","Dir=V")</f>
        <v>0</v>
      </c>
      <c r="AA2">
        <f>BDH("VANI US Equity","EBIT","1993-06-18","2026-05-02","Per=Y","Days=T","Dir=V")</f>
        <v>0</v>
      </c>
      <c r="AC2">
        <f>BDH("VANI US Equity","EBITDA","1993-06-18","2026-05-02","Per=Y","Days=T","Dir=V")</f>
        <v>0</v>
      </c>
      <c r="AE2">
        <f>BDH("VANI US Equity","NET_INCOME","1993-06-18","2026-05-02","Per=Y","Days=T","Dir=V")</f>
        <v>0</v>
      </c>
      <c r="AG2">
        <f>BDH("VANI US Equity","IS_INT_EXPENSE","1993-06-18","2026-05-02","Per=Y","Days=T","Dir=V")</f>
        <v>0</v>
      </c>
      <c r="AI2">
        <f>BDH("VANI US Equity","IS_DEPR_EXP","1993-06-18","2026-05-02","Per=Y","Days=T","Dir=V")</f>
        <v>0</v>
      </c>
      <c r="AK2">
        <f>BDH("VANI US Equity","CF_CASH_FROM_OPER","1993-06-18","2026-05-02","Per=Y","Days=T","Dir=V")</f>
        <v>0</v>
      </c>
      <c r="AM2">
        <f>BDH("VANI US Equity","CAPITAL_EXPEND","1993-06-18","2026-05-02","Per=Y","Days=T","Dir=V")</f>
        <v>0</v>
      </c>
      <c r="AO2">
        <f>BDH("VANI US Equity","CF_FREE_CASH_FLOW","1993-06-18","2026-05-02","Per=Y","Days=T","Dir=V")</f>
        <v>0</v>
      </c>
      <c r="AQ2">
        <f>BDH("VANI US Equity","PX_LAST","1993-06-18","2026-05-02","Per=M","Days=T","Dir=V")</f>
        <v>0</v>
      </c>
      <c r="AS2">
        <f>BDH("VANI US Equity","CUR_MKT_CAP","1993-06-18","2026-05-02","Per=M","Days=T","Dir=V")</f>
        <v>0</v>
      </c>
      <c r="AU2">
        <f>BDH("VANI US Equity","EQY_SH_OUT","1993-06-18","2026-05-02","Per=M","Days=T","Dir=V")</f>
        <v>0</v>
      </c>
      <c r="AW2">
        <f>BDH("VANI US Equity","PX_VOLUME","1993-06-18","2026-05-02","Per=M","Days=T","Dir=V")</f>
        <v>0</v>
      </c>
      <c r="AY2">
        <f>BDH("VANI US Equity","TURNOVER","1993-06-18","2026-05-02","Per=M","Days=T","Dir=V")</f>
        <v>0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BDH("VATE US Equity","BS_TOT_ASSET","1993-06-18","2026-05-02","Per=Y","Days=T","Dir=V")</f>
        <v>0</v>
      </c>
      <c r="C2">
        <f>BDH("VATE US Equity","BS_TOT_LIAB2","1993-06-18","2026-05-02","Per=Y","Days=T","Dir=V")</f>
        <v>0</v>
      </c>
      <c r="E2">
        <f>BDH("VATE US Equity","SHORT_AND_LONG_TERM_DEBT","1993-06-18","2026-05-02","Per=Y","Days=T","Dir=V")</f>
        <v>0</v>
      </c>
      <c r="G2">
        <f>BDH("VATE US Equity","BS_ST_BORROW","1993-06-18","2026-05-02","Per=Y","Days=T","Dir=V")</f>
        <v>0</v>
      </c>
      <c r="I2">
        <f>BDH("VATE US Equity","BS_LT_BORROW","1993-06-18","2026-05-02","Per=Y","Days=T","Dir=V")</f>
        <v>0</v>
      </c>
      <c r="K2">
        <f>BDH("VATE US Equity","BS_CASH_NEAR_CASH_ITEM","1993-06-18","2026-05-02","Per=Y","Days=T","Dir=V")</f>
        <v>0</v>
      </c>
      <c r="M2">
        <f>BDH("VATE US Equity","BS_CUR_ASSET_REPORT","1993-06-18","2026-05-02","Per=Y","Days=T","Dir=V")</f>
        <v>0</v>
      </c>
      <c r="O2">
        <f>BDH("VATE US Equity","BS_CUR_LIAB","1993-06-18","2026-05-02","Per=Y","Days=T","Dir=V")</f>
        <v>0</v>
      </c>
      <c r="Q2">
        <f>BDH("VATE US Equity","BS_SHAREHOLDER_EQY_ENDING_PERIOD","1993-06-18","2026-05-02","Per=Y","Days=T","Dir=V")</f>
        <v>0</v>
      </c>
      <c r="S2">
        <f>BDH("VATE US Equity","BS_ACCT_NOTE_RCV","1993-06-18","2026-05-02","Per=Y","Days=T","Dir=V")</f>
        <v>0</v>
      </c>
      <c r="U2">
        <f>BDH("VATE US Equity","BS_INVENTORIES","1993-06-18","2026-05-02","Per=Y","Days=T","Dir=V")</f>
        <v>0</v>
      </c>
      <c r="W2">
        <f>BDH("VATE US Equity","WORKING_CAPITAL","1993-06-18","2026-05-02","Per=Y","Days=T","Dir=V")</f>
        <v>0</v>
      </c>
      <c r="Y2">
        <f>BDH("VATE US Equity","SALES_REV_TURN","1993-06-18","2026-05-02","Per=Y","Days=T","Dir=V")</f>
        <v>0</v>
      </c>
      <c r="AA2">
        <f>BDH("VATE US Equity","EBIT","1993-06-18","2026-05-02","Per=Y","Days=T","Dir=V")</f>
        <v>0</v>
      </c>
      <c r="AC2">
        <f>BDH("VATE US Equity","EBITDA","1993-06-18","2026-05-02","Per=Y","Days=T","Dir=V")</f>
        <v>0</v>
      </c>
      <c r="AE2">
        <f>BDH("VATE US Equity","NET_INCOME","1993-06-18","2026-05-02","Per=Y","Days=T","Dir=V")</f>
        <v>0</v>
      </c>
      <c r="AG2">
        <f>BDH("VATE US Equity","IS_INT_EXPENSE","1993-06-18","2026-05-02","Per=Y","Days=T","Dir=V")</f>
        <v>0</v>
      </c>
      <c r="AI2">
        <f>BDH("VATE US Equity","IS_DEPR_EXP","1993-06-18","2026-05-02","Per=Y","Days=T","Dir=V")</f>
        <v>0</v>
      </c>
      <c r="AK2">
        <f>BDH("VATE US Equity","CF_CASH_FROM_OPER","1993-06-18","2026-05-02","Per=Y","Days=T","Dir=V")</f>
        <v>0</v>
      </c>
      <c r="AM2">
        <f>BDH("VATE US Equity","CAPITAL_EXPEND","1993-06-18","2026-05-02","Per=Y","Days=T","Dir=V")</f>
        <v>0</v>
      </c>
      <c r="AO2">
        <f>BDH("VATE US Equity","CF_FREE_CASH_FLOW","1993-06-18","2026-05-02","Per=Y","Days=T","Dir=V")</f>
        <v>0</v>
      </c>
      <c r="AQ2">
        <f>BDH("VATE US Equity","PX_LAST","1993-06-18","2026-05-02","Per=M","Days=T","Dir=V")</f>
        <v>0</v>
      </c>
      <c r="AS2">
        <f>BDH("VATE US Equity","CUR_MKT_CAP","1993-06-18","2026-05-02","Per=M","Days=T","Dir=V")</f>
        <v>0</v>
      </c>
      <c r="AU2">
        <f>BDH("VATE US Equity","EQY_SH_OUT","1993-06-18","2026-05-02","Per=M","Days=T","Dir=V")</f>
        <v>0</v>
      </c>
      <c r="AW2">
        <f>BDH("VATE US Equity","PX_VOLUME","1993-06-18","2026-05-02","Per=M","Days=T","Dir=V")</f>
        <v>0</v>
      </c>
      <c r="AY2">
        <f>BDH("VATE US Equity","TURNOVER","1993-06-18","2026-05-02","Per=M","Days=T","Dir=V")</f>
        <v>0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BDH("VBIO US Equity","BS_TOT_ASSET","1993-06-18","2026-05-02","Per=Y","Days=T","Dir=V")</f>
        <v>0</v>
      </c>
      <c r="C2">
        <f>BDH("VBIO US Equity","BS_TOT_LIAB2","1993-06-18","2026-05-02","Per=Y","Days=T","Dir=V")</f>
        <v>0</v>
      </c>
      <c r="E2">
        <f>BDH("VBIO US Equity","SHORT_AND_LONG_TERM_DEBT","1993-06-18","2026-05-02","Per=Y","Days=T","Dir=V")</f>
        <v>0</v>
      </c>
      <c r="G2">
        <f>BDH("VBIO US Equity","BS_ST_BORROW","1993-06-18","2026-05-02","Per=Y","Days=T","Dir=V")</f>
        <v>0</v>
      </c>
      <c r="I2">
        <f>BDH("VBIO US Equity","BS_LT_BORROW","1993-06-18","2026-05-02","Per=Y","Days=T","Dir=V")</f>
        <v>0</v>
      </c>
      <c r="K2">
        <f>BDH("VBIO US Equity","BS_CASH_NEAR_CASH_ITEM","1993-06-18","2026-05-02","Per=Y","Days=T","Dir=V")</f>
        <v>0</v>
      </c>
      <c r="M2">
        <f>BDH("VBIO US Equity","BS_CUR_ASSET_REPORT","1993-06-18","2026-05-02","Per=Y","Days=T","Dir=V")</f>
        <v>0</v>
      </c>
      <c r="O2">
        <f>BDH("VBIO US Equity","BS_CUR_LIAB","1993-06-18","2026-05-02","Per=Y","Days=T","Dir=V")</f>
        <v>0</v>
      </c>
      <c r="Q2">
        <f>BDH("VBIO US Equity","BS_SHAREHOLDER_EQY_ENDING_PERIOD","1993-06-18","2026-05-02","Per=Y","Days=T","Dir=V")</f>
        <v>0</v>
      </c>
      <c r="S2">
        <f>BDH("VBIO US Equity","BS_ACCT_NOTE_RCV","1993-06-18","2026-05-02","Per=Y","Days=T","Dir=V")</f>
        <v>0</v>
      </c>
      <c r="U2">
        <f>BDH("VBIO US Equity","BS_INVENTORIES","1993-06-18","2026-05-02","Per=Y","Days=T","Dir=V")</f>
        <v>0</v>
      </c>
      <c r="W2">
        <f>BDH("VBIO US Equity","WORKING_CAPITAL","1993-06-18","2026-05-02","Per=Y","Days=T","Dir=V")</f>
        <v>0</v>
      </c>
      <c r="Y2">
        <f>BDH("VBIO US Equity","SALES_REV_TURN","1993-06-18","2026-05-02","Per=Y","Days=T","Dir=V")</f>
        <v>0</v>
      </c>
      <c r="AA2">
        <f>BDH("VBIO US Equity","EBIT","1993-06-18","2026-05-02","Per=Y","Days=T","Dir=V")</f>
        <v>0</v>
      </c>
      <c r="AC2">
        <f>BDH("VBIO US Equity","EBITDA","1993-06-18","2026-05-02","Per=Y","Days=T","Dir=V")</f>
        <v>0</v>
      </c>
      <c r="AE2">
        <f>BDH("VBIO US Equity","NET_INCOME","1993-06-18","2026-05-02","Per=Y","Days=T","Dir=V")</f>
        <v>0</v>
      </c>
      <c r="AG2">
        <f>BDH("VBIO US Equity","IS_INT_EXPENSE","1993-06-18","2026-05-02","Per=Y","Days=T","Dir=V")</f>
        <v>0</v>
      </c>
      <c r="AI2">
        <f>BDH("VBIO US Equity","IS_DEPR_EXP","1993-06-18","2026-05-02","Per=Y","Days=T","Dir=V")</f>
        <v>0</v>
      </c>
      <c r="AK2">
        <f>BDH("VBIO US Equity","CF_CASH_FROM_OPER","1993-06-18","2026-05-02","Per=Y","Days=T","Dir=V")</f>
        <v>0</v>
      </c>
      <c r="AM2">
        <f>BDH("VBIO US Equity","CAPITAL_EXPEND","1993-06-18","2026-05-02","Per=Y","Days=T","Dir=V")</f>
        <v>0</v>
      </c>
      <c r="AO2">
        <f>BDH("VBIO US Equity","CF_FREE_CASH_FLOW","1993-06-18","2026-05-02","Per=Y","Days=T","Dir=V")</f>
        <v>0</v>
      </c>
      <c r="AQ2">
        <f>BDH("VBIO US Equity","PX_LAST","1993-06-18","2026-05-02","Per=M","Days=T","Dir=V")</f>
        <v>0</v>
      </c>
      <c r="AS2">
        <f>BDH("VBIO US Equity","CUR_MKT_CAP","1993-06-18","2026-05-02","Per=M","Days=T","Dir=V")</f>
        <v>0</v>
      </c>
      <c r="AU2">
        <f>BDH("VBIO US Equity","EQY_SH_OUT","1993-06-18","2026-05-02","Per=M","Days=T","Dir=V")</f>
        <v>0</v>
      </c>
      <c r="AW2">
        <f>BDH("VBIO US Equity","PX_VOLUME","1993-06-18","2026-05-02","Per=M","Days=T","Dir=V")</f>
        <v>0</v>
      </c>
      <c r="AY2">
        <f>BDH("VBIO US Equity","TURNOVER","1993-06-18","2026-05-02","Per=M","Days=T","Dir=V")</f>
        <v>0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BDH("VC US Equity","BS_TOT_ASSET","1993-06-18","2026-05-02","Per=Y","Days=T","Dir=V")</f>
        <v>0</v>
      </c>
      <c r="C2">
        <f>BDH("VC US Equity","BS_TOT_LIAB2","1993-06-18","2026-05-02","Per=Y","Days=T","Dir=V")</f>
        <v>0</v>
      </c>
      <c r="E2">
        <f>BDH("VC US Equity","SHORT_AND_LONG_TERM_DEBT","1993-06-18","2026-05-02","Per=Y","Days=T","Dir=V")</f>
        <v>0</v>
      </c>
      <c r="G2">
        <f>BDH("VC US Equity","BS_ST_BORROW","1993-06-18","2026-05-02","Per=Y","Days=T","Dir=V")</f>
        <v>0</v>
      </c>
      <c r="I2">
        <f>BDH("VC US Equity","BS_LT_BORROW","1993-06-18","2026-05-02","Per=Y","Days=T","Dir=V")</f>
        <v>0</v>
      </c>
      <c r="K2">
        <f>BDH("VC US Equity","BS_CASH_NEAR_CASH_ITEM","1993-06-18","2026-05-02","Per=Y","Days=T","Dir=V")</f>
        <v>0</v>
      </c>
      <c r="M2">
        <f>BDH("VC US Equity","BS_CUR_ASSET_REPORT","1993-06-18","2026-05-02","Per=Y","Days=T","Dir=V")</f>
        <v>0</v>
      </c>
      <c r="O2">
        <f>BDH("VC US Equity","BS_CUR_LIAB","1993-06-18","2026-05-02","Per=Y","Days=T","Dir=V")</f>
        <v>0</v>
      </c>
      <c r="Q2">
        <f>BDH("VC US Equity","BS_SHAREHOLDER_EQY_ENDING_PERIOD","1993-06-18","2026-05-02","Per=Y","Days=T","Dir=V")</f>
        <v>0</v>
      </c>
      <c r="S2">
        <f>BDH("VC US Equity","BS_ACCT_NOTE_RCV","1993-06-18","2026-05-02","Per=Y","Days=T","Dir=V")</f>
        <v>0</v>
      </c>
      <c r="U2">
        <f>BDH("VC US Equity","BS_INVENTORIES","1993-06-18","2026-05-02","Per=Y","Days=T","Dir=V")</f>
        <v>0</v>
      </c>
      <c r="W2">
        <f>BDH("VC US Equity","WORKING_CAPITAL","1993-06-18","2026-05-02","Per=Y","Days=T","Dir=V")</f>
        <v>0</v>
      </c>
      <c r="Y2">
        <f>BDH("VC US Equity","SALES_REV_TURN","1993-06-18","2026-05-02","Per=Y","Days=T","Dir=V")</f>
        <v>0</v>
      </c>
      <c r="AA2">
        <f>BDH("VC US Equity","EBIT","1993-06-18","2026-05-02","Per=Y","Days=T","Dir=V")</f>
        <v>0</v>
      </c>
      <c r="AC2">
        <f>BDH("VC US Equity","EBITDA","1993-06-18","2026-05-02","Per=Y","Days=T","Dir=V")</f>
        <v>0</v>
      </c>
      <c r="AE2">
        <f>BDH("VC US Equity","NET_INCOME","1993-06-18","2026-05-02","Per=Y","Days=T","Dir=V")</f>
        <v>0</v>
      </c>
      <c r="AG2">
        <f>BDH("VC US Equity","IS_INT_EXPENSE","1993-06-18","2026-05-02","Per=Y","Days=T","Dir=V")</f>
        <v>0</v>
      </c>
      <c r="AI2">
        <f>BDH("VC US Equity","IS_DEPR_EXP","1993-06-18","2026-05-02","Per=Y","Days=T","Dir=V")</f>
        <v>0</v>
      </c>
      <c r="AK2">
        <f>BDH("VC US Equity","CF_CASH_FROM_OPER","1993-06-18","2026-05-02","Per=Y","Days=T","Dir=V")</f>
        <v>0</v>
      </c>
      <c r="AM2">
        <f>BDH("VC US Equity","CAPITAL_EXPEND","1993-06-18","2026-05-02","Per=Y","Days=T","Dir=V")</f>
        <v>0</v>
      </c>
      <c r="AO2">
        <f>BDH("VC US Equity","CF_FREE_CASH_FLOW","1993-06-18","2026-05-02","Per=Y","Days=T","Dir=V")</f>
        <v>0</v>
      </c>
      <c r="AQ2">
        <f>BDH("VC US Equity","PX_LAST","1993-06-18","2026-05-02","Per=M","Days=T","Dir=V")</f>
        <v>0</v>
      </c>
      <c r="AS2">
        <f>BDH("VC US Equity","CUR_MKT_CAP","1993-06-18","2026-05-02","Per=M","Days=T","Dir=V")</f>
        <v>0</v>
      </c>
      <c r="AU2">
        <f>BDH("VC US Equity","EQY_SH_OUT","1993-06-18","2026-05-02","Per=M","Days=T","Dir=V")</f>
        <v>0</v>
      </c>
      <c r="AW2">
        <f>BDH("VC US Equity","PX_VOLUME","1993-06-18","2026-05-02","Per=M","Days=T","Dir=V")</f>
        <v>0</v>
      </c>
      <c r="AY2">
        <f>BDH("VC US Equity","TURNOVER","1993-06-18","2026-05-02","Per=M","Days=T","Dir=V")</f>
        <v>0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BDH("VCEL US Equity","BS_TOT_ASSET","1993-06-18","2026-05-02","Per=Y","Days=T","Dir=V")</f>
        <v>0</v>
      </c>
      <c r="C2">
        <f>BDH("VCEL US Equity","BS_TOT_LIAB2","1993-06-18","2026-05-02","Per=Y","Days=T","Dir=V")</f>
        <v>0</v>
      </c>
      <c r="E2">
        <f>BDH("VCEL US Equity","SHORT_AND_LONG_TERM_DEBT","1993-06-18","2026-05-02","Per=Y","Days=T","Dir=V")</f>
        <v>0</v>
      </c>
      <c r="G2">
        <f>BDH("VCEL US Equity","BS_ST_BORROW","1993-06-18","2026-05-02","Per=Y","Days=T","Dir=V")</f>
        <v>0</v>
      </c>
      <c r="I2">
        <f>BDH("VCEL US Equity","BS_LT_BORROW","1993-06-18","2026-05-02","Per=Y","Days=T","Dir=V")</f>
        <v>0</v>
      </c>
      <c r="K2">
        <f>BDH("VCEL US Equity","BS_CASH_NEAR_CASH_ITEM","1993-06-18","2026-05-02","Per=Y","Days=T","Dir=V")</f>
        <v>0</v>
      </c>
      <c r="M2">
        <f>BDH("VCEL US Equity","BS_CUR_ASSET_REPORT","1993-06-18","2026-05-02","Per=Y","Days=T","Dir=V")</f>
        <v>0</v>
      </c>
      <c r="O2">
        <f>BDH("VCEL US Equity","BS_CUR_LIAB","1993-06-18","2026-05-02","Per=Y","Days=T","Dir=V")</f>
        <v>0</v>
      </c>
      <c r="Q2">
        <f>BDH("VCEL US Equity","BS_SHAREHOLDER_EQY_ENDING_PERIOD","1993-06-18","2026-05-02","Per=Y","Days=T","Dir=V")</f>
        <v>0</v>
      </c>
      <c r="S2">
        <f>BDH("VCEL US Equity","BS_ACCT_NOTE_RCV","1993-06-18","2026-05-02","Per=Y","Days=T","Dir=V")</f>
        <v>0</v>
      </c>
      <c r="U2">
        <f>BDH("VCEL US Equity","BS_INVENTORIES","1993-06-18","2026-05-02","Per=Y","Days=T","Dir=V")</f>
        <v>0</v>
      </c>
      <c r="W2">
        <f>BDH("VCEL US Equity","WORKING_CAPITAL","1993-06-18","2026-05-02","Per=Y","Days=T","Dir=V")</f>
        <v>0</v>
      </c>
      <c r="Y2">
        <f>BDH("VCEL US Equity","SALES_REV_TURN","1993-06-18","2026-05-02","Per=Y","Days=T","Dir=V")</f>
        <v>0</v>
      </c>
      <c r="AA2">
        <f>BDH("VCEL US Equity","EBIT","1993-06-18","2026-05-02","Per=Y","Days=T","Dir=V")</f>
        <v>0</v>
      </c>
      <c r="AC2">
        <f>BDH("VCEL US Equity","EBITDA","1993-06-18","2026-05-02","Per=Y","Days=T","Dir=V")</f>
        <v>0</v>
      </c>
      <c r="AE2">
        <f>BDH("VCEL US Equity","NET_INCOME","1993-06-18","2026-05-02","Per=Y","Days=T","Dir=V")</f>
        <v>0</v>
      </c>
      <c r="AG2">
        <f>BDH("VCEL US Equity","IS_INT_EXPENSE","1993-06-18","2026-05-02","Per=Y","Days=T","Dir=V")</f>
        <v>0</v>
      </c>
      <c r="AI2">
        <f>BDH("VCEL US Equity","IS_DEPR_EXP","1993-06-18","2026-05-02","Per=Y","Days=T","Dir=V")</f>
        <v>0</v>
      </c>
      <c r="AK2">
        <f>BDH("VCEL US Equity","CF_CASH_FROM_OPER","1993-06-18","2026-05-02","Per=Y","Days=T","Dir=V")</f>
        <v>0</v>
      </c>
      <c r="AM2">
        <f>BDH("VCEL US Equity","CAPITAL_EXPEND","1993-06-18","2026-05-02","Per=Y","Days=T","Dir=V")</f>
        <v>0</v>
      </c>
      <c r="AO2">
        <f>BDH("VCEL US Equity","CF_FREE_CASH_FLOW","1993-06-18","2026-05-02","Per=Y","Days=T","Dir=V")</f>
        <v>0</v>
      </c>
      <c r="AQ2">
        <f>BDH("VCEL US Equity","PX_LAST","1993-06-18","2026-05-02","Per=M","Days=T","Dir=V")</f>
        <v>0</v>
      </c>
      <c r="AS2">
        <f>BDH("VCEL US Equity","CUR_MKT_CAP","1993-06-18","2026-05-02","Per=M","Days=T","Dir=V")</f>
        <v>0</v>
      </c>
      <c r="AU2">
        <f>BDH("VCEL US Equity","EQY_SH_OUT","1993-06-18","2026-05-02","Per=M","Days=T","Dir=V")</f>
        <v>0</v>
      </c>
      <c r="AW2">
        <f>BDH("VCEL US Equity","PX_VOLUME","1993-06-18","2026-05-02","Per=M","Days=T","Dir=V")</f>
        <v>0</v>
      </c>
      <c r="AY2">
        <f>BDH("VCEL US Equity","TURNOVER","1993-06-18","2026-05-02","Per=M","Days=T","Dir=V")</f>
        <v>0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BDH("VCYT US Equity","BS_TOT_ASSET","1993-06-18","2026-05-02","Per=Y","Days=T","Dir=V")</f>
        <v>0</v>
      </c>
      <c r="C2">
        <f>BDH("VCYT US Equity","BS_TOT_LIAB2","1993-06-18","2026-05-02","Per=Y","Days=T","Dir=V")</f>
        <v>0</v>
      </c>
      <c r="E2">
        <f>BDH("VCYT US Equity","SHORT_AND_LONG_TERM_DEBT","1993-06-18","2026-05-02","Per=Y","Days=T","Dir=V")</f>
        <v>0</v>
      </c>
      <c r="G2">
        <f>BDH("VCYT US Equity","BS_ST_BORROW","1993-06-18","2026-05-02","Per=Y","Days=T","Dir=V")</f>
        <v>0</v>
      </c>
      <c r="I2">
        <f>BDH("VCYT US Equity","BS_LT_BORROW","1993-06-18","2026-05-02","Per=Y","Days=T","Dir=V")</f>
        <v>0</v>
      </c>
      <c r="K2">
        <f>BDH("VCYT US Equity","BS_CASH_NEAR_CASH_ITEM","1993-06-18","2026-05-02","Per=Y","Days=T","Dir=V")</f>
        <v>0</v>
      </c>
      <c r="M2">
        <f>BDH("VCYT US Equity","BS_CUR_ASSET_REPORT","1993-06-18","2026-05-02","Per=Y","Days=T","Dir=V")</f>
        <v>0</v>
      </c>
      <c r="O2">
        <f>BDH("VCYT US Equity","BS_CUR_LIAB","1993-06-18","2026-05-02","Per=Y","Days=T","Dir=V")</f>
        <v>0</v>
      </c>
      <c r="Q2">
        <f>BDH("VCYT US Equity","BS_SHAREHOLDER_EQY_ENDING_PERIOD","1993-06-18","2026-05-02","Per=Y","Days=T","Dir=V")</f>
        <v>0</v>
      </c>
      <c r="S2">
        <f>BDH("VCYT US Equity","BS_ACCT_NOTE_RCV","1993-06-18","2026-05-02","Per=Y","Days=T","Dir=V")</f>
        <v>0</v>
      </c>
      <c r="U2">
        <f>BDH("VCYT US Equity","BS_INVENTORIES","1993-06-18","2026-05-02","Per=Y","Days=T","Dir=V")</f>
        <v>0</v>
      </c>
      <c r="W2">
        <f>BDH("VCYT US Equity","WORKING_CAPITAL","1993-06-18","2026-05-02","Per=Y","Days=T","Dir=V")</f>
        <v>0</v>
      </c>
      <c r="Y2">
        <f>BDH("VCYT US Equity","SALES_REV_TURN","1993-06-18","2026-05-02","Per=Y","Days=T","Dir=V")</f>
        <v>0</v>
      </c>
      <c r="AA2">
        <f>BDH("VCYT US Equity","EBIT","1993-06-18","2026-05-02","Per=Y","Days=T","Dir=V")</f>
        <v>0</v>
      </c>
      <c r="AC2">
        <f>BDH("VCYT US Equity","EBITDA","1993-06-18","2026-05-02","Per=Y","Days=T","Dir=V")</f>
        <v>0</v>
      </c>
      <c r="AE2">
        <f>BDH("VCYT US Equity","NET_INCOME","1993-06-18","2026-05-02","Per=Y","Days=T","Dir=V")</f>
        <v>0</v>
      </c>
      <c r="AG2">
        <f>BDH("VCYT US Equity","IS_INT_EXPENSE","1993-06-18","2026-05-02","Per=Y","Days=T","Dir=V")</f>
        <v>0</v>
      </c>
      <c r="AI2">
        <f>BDH("VCYT US Equity","IS_DEPR_EXP","1993-06-18","2026-05-02","Per=Y","Days=T","Dir=V")</f>
        <v>0</v>
      </c>
      <c r="AK2">
        <f>BDH("VCYT US Equity","CF_CASH_FROM_OPER","1993-06-18","2026-05-02","Per=Y","Days=T","Dir=V")</f>
        <v>0</v>
      </c>
      <c r="AM2">
        <f>BDH("VCYT US Equity","CAPITAL_EXPEND","1993-06-18","2026-05-02","Per=Y","Days=T","Dir=V")</f>
        <v>0</v>
      </c>
      <c r="AO2">
        <f>BDH("VCYT US Equity","CF_FREE_CASH_FLOW","1993-06-18","2026-05-02","Per=Y","Days=T","Dir=V")</f>
        <v>0</v>
      </c>
      <c r="AQ2">
        <f>BDH("VCYT US Equity","PX_LAST","1993-06-18","2026-05-02","Per=M","Days=T","Dir=V")</f>
        <v>0</v>
      </c>
      <c r="AS2">
        <f>BDH("VCYT US Equity","CUR_MKT_CAP","1993-06-18","2026-05-02","Per=M","Days=T","Dir=V")</f>
        <v>0</v>
      </c>
      <c r="AU2">
        <f>BDH("VCYT US Equity","EQY_SH_OUT","1993-06-18","2026-05-02","Per=M","Days=T","Dir=V")</f>
        <v>0</v>
      </c>
      <c r="AW2">
        <f>BDH("VCYT US Equity","PX_VOLUME","1993-06-18","2026-05-02","Per=M","Days=T","Dir=V")</f>
        <v>0</v>
      </c>
      <c r="AY2">
        <f>BDH("VCYT US Equity","TURNOVER","1993-06-18","2026-05-02","Per=M","Days=T","Dir=V")</f>
        <v>0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BDH("VECO US Equity","BS_TOT_ASSET","1993-06-18","2026-05-02","Per=Y","Days=T","Dir=V")</f>
        <v>0</v>
      </c>
      <c r="C2">
        <f>BDH("VECO US Equity","BS_TOT_LIAB2","1993-06-18","2026-05-02","Per=Y","Days=T","Dir=V")</f>
        <v>0</v>
      </c>
      <c r="E2">
        <f>BDH("VECO US Equity","SHORT_AND_LONG_TERM_DEBT","1993-06-18","2026-05-02","Per=Y","Days=T","Dir=V")</f>
        <v>0</v>
      </c>
      <c r="G2">
        <f>BDH("VECO US Equity","BS_ST_BORROW","1993-06-18","2026-05-02","Per=Y","Days=T","Dir=V")</f>
        <v>0</v>
      </c>
      <c r="I2">
        <f>BDH("VECO US Equity","BS_LT_BORROW","1993-06-18","2026-05-02","Per=Y","Days=T","Dir=V")</f>
        <v>0</v>
      </c>
      <c r="K2">
        <f>BDH("VECO US Equity","BS_CASH_NEAR_CASH_ITEM","1993-06-18","2026-05-02","Per=Y","Days=T","Dir=V")</f>
        <v>0</v>
      </c>
      <c r="M2">
        <f>BDH("VECO US Equity","BS_CUR_ASSET_REPORT","1993-06-18","2026-05-02","Per=Y","Days=T","Dir=V")</f>
        <v>0</v>
      </c>
      <c r="O2">
        <f>BDH("VECO US Equity","BS_CUR_LIAB","1993-06-18","2026-05-02","Per=Y","Days=T","Dir=V")</f>
        <v>0</v>
      </c>
      <c r="Q2">
        <f>BDH("VECO US Equity","BS_SHAREHOLDER_EQY_ENDING_PERIOD","1993-06-18","2026-05-02","Per=Y","Days=T","Dir=V")</f>
        <v>0</v>
      </c>
      <c r="S2">
        <f>BDH("VECO US Equity","BS_ACCT_NOTE_RCV","1993-06-18","2026-05-02","Per=Y","Days=T","Dir=V")</f>
        <v>0</v>
      </c>
      <c r="U2">
        <f>BDH("VECO US Equity","BS_INVENTORIES","1993-06-18","2026-05-02","Per=Y","Days=T","Dir=V")</f>
        <v>0</v>
      </c>
      <c r="W2">
        <f>BDH("VECO US Equity","WORKING_CAPITAL","1993-06-18","2026-05-02","Per=Y","Days=T","Dir=V")</f>
        <v>0</v>
      </c>
      <c r="Y2">
        <f>BDH("VECO US Equity","SALES_REV_TURN","1993-06-18","2026-05-02","Per=Y","Days=T","Dir=V")</f>
        <v>0</v>
      </c>
      <c r="AA2">
        <f>BDH("VECO US Equity","EBIT","1993-06-18","2026-05-02","Per=Y","Days=T","Dir=V")</f>
        <v>0</v>
      </c>
      <c r="AC2">
        <f>BDH("VECO US Equity","EBITDA","1993-06-18","2026-05-02","Per=Y","Days=T","Dir=V")</f>
        <v>0</v>
      </c>
      <c r="AE2">
        <f>BDH("VECO US Equity","NET_INCOME","1993-06-18","2026-05-02","Per=Y","Days=T","Dir=V")</f>
        <v>0</v>
      </c>
      <c r="AG2">
        <f>BDH("VECO US Equity","IS_INT_EXPENSE","1993-06-18","2026-05-02","Per=Y","Days=T","Dir=V")</f>
        <v>0</v>
      </c>
      <c r="AI2">
        <f>BDH("VECO US Equity","IS_DEPR_EXP","1993-06-18","2026-05-02","Per=Y","Days=T","Dir=V")</f>
        <v>0</v>
      </c>
      <c r="AK2">
        <f>BDH("VECO US Equity","CF_CASH_FROM_OPER","1993-06-18","2026-05-02","Per=Y","Days=T","Dir=V")</f>
        <v>0</v>
      </c>
      <c r="AM2">
        <f>BDH("VECO US Equity","CAPITAL_EXPEND","1993-06-18","2026-05-02","Per=Y","Days=T","Dir=V")</f>
        <v>0</v>
      </c>
      <c r="AO2">
        <f>BDH("VECO US Equity","CF_FREE_CASH_FLOW","1993-06-18","2026-05-02","Per=Y","Days=T","Dir=V")</f>
        <v>0</v>
      </c>
      <c r="AQ2">
        <f>BDH("VECO US Equity","PX_LAST","1993-06-18","2026-05-02","Per=M","Days=T","Dir=V")</f>
        <v>0</v>
      </c>
      <c r="AS2">
        <f>BDH("VECO US Equity","CUR_MKT_CAP","1993-06-18","2026-05-02","Per=M","Days=T","Dir=V")</f>
        <v>0</v>
      </c>
      <c r="AU2">
        <f>BDH("VECO US Equity","EQY_SH_OUT","1993-06-18","2026-05-02","Per=M","Days=T","Dir=V")</f>
        <v>0</v>
      </c>
      <c r="AW2">
        <f>BDH("VECO US Equity","PX_VOLUME","1993-06-18","2026-05-02","Per=M","Days=T","Dir=V")</f>
        <v>0</v>
      </c>
      <c r="AY2">
        <f>BDH("VECO US Equity","TURNOVER","1993-06-18","2026-05-02","Per=M","Days=T","Dir=V")</f>
        <v>0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BDH("VEEA US Equity","BS_TOT_ASSET","1993-06-18","2026-05-02","Per=Y","Days=T","Dir=V")</f>
        <v>0</v>
      </c>
      <c r="C2">
        <f>BDH("VEEA US Equity","BS_TOT_LIAB2","1993-06-18","2026-05-02","Per=Y","Days=T","Dir=V")</f>
        <v>0</v>
      </c>
      <c r="E2">
        <f>BDH("VEEA US Equity","SHORT_AND_LONG_TERM_DEBT","1993-06-18","2026-05-02","Per=Y","Days=T","Dir=V")</f>
        <v>0</v>
      </c>
      <c r="G2">
        <f>BDH("VEEA US Equity","BS_ST_BORROW","1993-06-18","2026-05-02","Per=Y","Days=T","Dir=V")</f>
        <v>0</v>
      </c>
      <c r="I2">
        <f>BDH("VEEA US Equity","BS_LT_BORROW","1993-06-18","2026-05-02","Per=Y","Days=T","Dir=V")</f>
        <v>0</v>
      </c>
      <c r="K2">
        <f>BDH("VEEA US Equity","BS_CASH_NEAR_CASH_ITEM","1993-06-18","2026-05-02","Per=Y","Days=T","Dir=V")</f>
        <v>0</v>
      </c>
      <c r="M2">
        <f>BDH("VEEA US Equity","BS_CUR_ASSET_REPORT","1993-06-18","2026-05-02","Per=Y","Days=T","Dir=V")</f>
        <v>0</v>
      </c>
      <c r="O2">
        <f>BDH("VEEA US Equity","BS_CUR_LIAB","1993-06-18","2026-05-02","Per=Y","Days=T","Dir=V")</f>
        <v>0</v>
      </c>
      <c r="Q2">
        <f>BDH("VEEA US Equity","BS_SHAREHOLDER_EQY_ENDING_PERIOD","1993-06-18","2026-05-02","Per=Y","Days=T","Dir=V")</f>
        <v>0</v>
      </c>
      <c r="S2">
        <f>BDH("VEEA US Equity","BS_ACCT_NOTE_RCV","1993-06-18","2026-05-02","Per=Y","Days=T","Dir=V")</f>
        <v>0</v>
      </c>
      <c r="U2">
        <f>BDH("VEEA US Equity","BS_INVENTORIES","1993-06-18","2026-05-02","Per=Y","Days=T","Dir=V")</f>
        <v>0</v>
      </c>
      <c r="W2">
        <f>BDH("VEEA US Equity","WORKING_CAPITAL","1993-06-18","2026-05-02","Per=Y","Days=T","Dir=V")</f>
        <v>0</v>
      </c>
      <c r="Y2">
        <f>BDH("VEEA US Equity","SALES_REV_TURN","1993-06-18","2026-05-02","Per=Y","Days=T","Dir=V")</f>
        <v>0</v>
      </c>
      <c r="AA2">
        <f>BDH("VEEA US Equity","EBIT","1993-06-18","2026-05-02","Per=Y","Days=T","Dir=V")</f>
        <v>0</v>
      </c>
      <c r="AC2">
        <f>BDH("VEEA US Equity","EBITDA","1993-06-18","2026-05-02","Per=Y","Days=T","Dir=V")</f>
        <v>0</v>
      </c>
      <c r="AE2">
        <f>BDH("VEEA US Equity","NET_INCOME","1993-06-18","2026-05-02","Per=Y","Days=T","Dir=V")</f>
        <v>0</v>
      </c>
      <c r="AG2">
        <f>BDH("VEEA US Equity","IS_INT_EXPENSE","1993-06-18","2026-05-02","Per=Y","Days=T","Dir=V")</f>
        <v>0</v>
      </c>
      <c r="AI2">
        <f>BDH("VEEA US Equity","IS_DEPR_EXP","1993-06-18","2026-05-02","Per=Y","Days=T","Dir=V")</f>
        <v>0</v>
      </c>
      <c r="AK2">
        <f>BDH("VEEA US Equity","CF_CASH_FROM_OPER","1993-06-18","2026-05-02","Per=Y","Days=T","Dir=V")</f>
        <v>0</v>
      </c>
      <c r="AM2">
        <f>BDH("VEEA US Equity","CAPITAL_EXPEND","1993-06-18","2026-05-02","Per=Y","Days=T","Dir=V")</f>
        <v>0</v>
      </c>
      <c r="AO2">
        <f>BDH("VEEA US Equity","CF_FREE_CASH_FLOW","1993-06-18","2026-05-02","Per=Y","Days=T","Dir=V")</f>
        <v>0</v>
      </c>
      <c r="AQ2">
        <f>BDH("VEEA US Equity","PX_LAST","1993-06-18","2026-05-02","Per=M","Days=T","Dir=V")</f>
        <v>0</v>
      </c>
      <c r="AS2">
        <f>BDH("VEEA US Equity","CUR_MKT_CAP","1993-06-18","2026-05-02","Per=M","Days=T","Dir=V")</f>
        <v>0</v>
      </c>
      <c r="AU2">
        <f>BDH("VEEA US Equity","EQY_SH_OUT","1993-06-18","2026-05-02","Per=M","Days=T","Dir=V")</f>
        <v>0</v>
      </c>
      <c r="AW2">
        <f>BDH("VEEA US Equity","PX_VOLUME","1993-06-18","2026-05-02","Per=M","Days=T","Dir=V")</f>
        <v>0</v>
      </c>
      <c r="AY2">
        <f>BDH("VEEA US Equity","TURNOVER","1993-06-18","2026-05-02","Per=M","Days=T","Dir=V")</f>
        <v>0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BDH("VEEAW US Equity","BS_TOT_ASSET","1993-06-18","2026-05-02","Per=Y","Days=T","Dir=V")</f>
        <v>0</v>
      </c>
      <c r="C2">
        <f>BDH("VEEAW US Equity","BS_TOT_LIAB2","1993-06-18","2026-05-02","Per=Y","Days=T","Dir=V")</f>
        <v>0</v>
      </c>
      <c r="E2">
        <f>BDH("VEEAW US Equity","SHORT_AND_LONG_TERM_DEBT","1993-06-18","2026-05-02","Per=Y","Days=T","Dir=V")</f>
        <v>0</v>
      </c>
      <c r="G2">
        <f>BDH("VEEAW US Equity","BS_ST_BORROW","1993-06-18","2026-05-02","Per=Y","Days=T","Dir=V")</f>
        <v>0</v>
      </c>
      <c r="I2">
        <f>BDH("VEEAW US Equity","BS_LT_BORROW","1993-06-18","2026-05-02","Per=Y","Days=T","Dir=V")</f>
        <v>0</v>
      </c>
      <c r="K2">
        <f>BDH("VEEAW US Equity","BS_CASH_NEAR_CASH_ITEM","1993-06-18","2026-05-02","Per=Y","Days=T","Dir=V")</f>
        <v>0</v>
      </c>
      <c r="M2">
        <f>BDH("VEEAW US Equity","BS_CUR_ASSET_REPORT","1993-06-18","2026-05-02","Per=Y","Days=T","Dir=V")</f>
        <v>0</v>
      </c>
      <c r="O2">
        <f>BDH("VEEAW US Equity","BS_CUR_LIAB","1993-06-18","2026-05-02","Per=Y","Days=T","Dir=V")</f>
        <v>0</v>
      </c>
      <c r="Q2">
        <f>BDH("VEEAW US Equity","BS_SHAREHOLDER_EQY_ENDING_PERIOD","1993-06-18","2026-05-02","Per=Y","Days=T","Dir=V")</f>
        <v>0</v>
      </c>
      <c r="S2">
        <f>BDH("VEEAW US Equity","BS_ACCT_NOTE_RCV","1993-06-18","2026-05-02","Per=Y","Days=T","Dir=V")</f>
        <v>0</v>
      </c>
      <c r="U2">
        <f>BDH("VEEAW US Equity","BS_INVENTORIES","1993-06-18","2026-05-02","Per=Y","Days=T","Dir=V")</f>
        <v>0</v>
      </c>
      <c r="W2">
        <f>BDH("VEEAW US Equity","WORKING_CAPITAL","1993-06-18","2026-05-02","Per=Y","Days=T","Dir=V")</f>
        <v>0</v>
      </c>
      <c r="Y2">
        <f>BDH("VEEAW US Equity","SALES_REV_TURN","1993-06-18","2026-05-02","Per=Y","Days=T","Dir=V")</f>
        <v>0</v>
      </c>
      <c r="AA2">
        <f>BDH("VEEAW US Equity","EBIT","1993-06-18","2026-05-02","Per=Y","Days=T","Dir=V")</f>
        <v>0</v>
      </c>
      <c r="AC2">
        <f>BDH("VEEAW US Equity","EBITDA","1993-06-18","2026-05-02","Per=Y","Days=T","Dir=V")</f>
        <v>0</v>
      </c>
      <c r="AE2">
        <f>BDH("VEEAW US Equity","NET_INCOME","1993-06-18","2026-05-02","Per=Y","Days=T","Dir=V")</f>
        <v>0</v>
      </c>
      <c r="AG2">
        <f>BDH("VEEAW US Equity","IS_INT_EXPENSE","1993-06-18","2026-05-02","Per=Y","Days=T","Dir=V")</f>
        <v>0</v>
      </c>
      <c r="AI2">
        <f>BDH("VEEAW US Equity","IS_DEPR_EXP","1993-06-18","2026-05-02","Per=Y","Days=T","Dir=V")</f>
        <v>0</v>
      </c>
      <c r="AK2">
        <f>BDH("VEEAW US Equity","CF_CASH_FROM_OPER","1993-06-18","2026-05-02","Per=Y","Days=T","Dir=V")</f>
        <v>0</v>
      </c>
      <c r="AM2">
        <f>BDH("VEEAW US Equity","CAPITAL_EXPEND","1993-06-18","2026-05-02","Per=Y","Days=T","Dir=V")</f>
        <v>0</v>
      </c>
      <c r="AO2">
        <f>BDH("VEEAW US Equity","CF_FREE_CASH_FLOW","1993-06-18","2026-05-02","Per=Y","Days=T","Dir=V")</f>
        <v>0</v>
      </c>
      <c r="AQ2">
        <f>BDH("VEEAW US Equity","PX_LAST","1993-06-18","2026-05-02","Per=M","Days=T","Dir=V")</f>
        <v>0</v>
      </c>
      <c r="AS2">
        <f>BDH("VEEAW US Equity","CUR_MKT_CAP","1993-06-18","2026-05-02","Per=M","Days=T","Dir=V")</f>
        <v>0</v>
      </c>
      <c r="AU2">
        <f>BDH("VEEAW US Equity","EQY_SH_OUT","1993-06-18","2026-05-02","Per=M","Days=T","Dir=V")</f>
        <v>0</v>
      </c>
      <c r="AW2">
        <f>BDH("VEEAW US Equity","PX_VOLUME","1993-06-18","2026-05-02","Per=M","Days=T","Dir=V")</f>
        <v>0</v>
      </c>
      <c r="AY2">
        <f>BDH("VEEAW US Equity","TURNOVER","1993-06-18","2026-05-02","Per=M","Days=T","Dir=V")</f>
        <v>0</v>
      </c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BDH("VEEE US Equity","BS_TOT_ASSET","1993-06-18","2026-05-02","Per=Y","Days=T","Dir=V")</f>
        <v>0</v>
      </c>
      <c r="C2">
        <f>BDH("VEEE US Equity","BS_TOT_LIAB2","1993-06-18","2026-05-02","Per=Y","Days=T","Dir=V")</f>
        <v>0</v>
      </c>
      <c r="E2">
        <f>BDH("VEEE US Equity","SHORT_AND_LONG_TERM_DEBT","1993-06-18","2026-05-02","Per=Y","Days=T","Dir=V")</f>
        <v>0</v>
      </c>
      <c r="G2">
        <f>BDH("VEEE US Equity","BS_ST_BORROW","1993-06-18","2026-05-02","Per=Y","Days=T","Dir=V")</f>
        <v>0</v>
      </c>
      <c r="I2">
        <f>BDH("VEEE US Equity","BS_LT_BORROW","1993-06-18","2026-05-02","Per=Y","Days=T","Dir=V")</f>
        <v>0</v>
      </c>
      <c r="K2">
        <f>BDH("VEEE US Equity","BS_CASH_NEAR_CASH_ITEM","1993-06-18","2026-05-02","Per=Y","Days=T","Dir=V")</f>
        <v>0</v>
      </c>
      <c r="M2">
        <f>BDH("VEEE US Equity","BS_CUR_ASSET_REPORT","1993-06-18","2026-05-02","Per=Y","Days=T","Dir=V")</f>
        <v>0</v>
      </c>
      <c r="O2">
        <f>BDH("VEEE US Equity","BS_CUR_LIAB","1993-06-18","2026-05-02","Per=Y","Days=T","Dir=V")</f>
        <v>0</v>
      </c>
      <c r="Q2">
        <f>BDH("VEEE US Equity","BS_SHAREHOLDER_EQY_ENDING_PERIOD","1993-06-18","2026-05-02","Per=Y","Days=T","Dir=V")</f>
        <v>0</v>
      </c>
      <c r="S2">
        <f>BDH("VEEE US Equity","BS_ACCT_NOTE_RCV","1993-06-18","2026-05-02","Per=Y","Days=T","Dir=V")</f>
        <v>0</v>
      </c>
      <c r="U2">
        <f>BDH("VEEE US Equity","BS_INVENTORIES","1993-06-18","2026-05-02","Per=Y","Days=T","Dir=V")</f>
        <v>0</v>
      </c>
      <c r="W2">
        <f>BDH("VEEE US Equity","WORKING_CAPITAL","1993-06-18","2026-05-02","Per=Y","Days=T","Dir=V")</f>
        <v>0</v>
      </c>
      <c r="Y2">
        <f>BDH("VEEE US Equity","SALES_REV_TURN","1993-06-18","2026-05-02","Per=Y","Days=T","Dir=V")</f>
        <v>0</v>
      </c>
      <c r="AA2">
        <f>BDH("VEEE US Equity","EBIT","1993-06-18","2026-05-02","Per=Y","Days=T","Dir=V")</f>
        <v>0</v>
      </c>
      <c r="AC2">
        <f>BDH("VEEE US Equity","EBITDA","1993-06-18","2026-05-02","Per=Y","Days=T","Dir=V")</f>
        <v>0</v>
      </c>
      <c r="AE2">
        <f>BDH("VEEE US Equity","NET_INCOME","1993-06-18","2026-05-02","Per=Y","Days=T","Dir=V")</f>
        <v>0</v>
      </c>
      <c r="AG2">
        <f>BDH("VEEE US Equity","IS_INT_EXPENSE","1993-06-18","2026-05-02","Per=Y","Days=T","Dir=V")</f>
        <v>0</v>
      </c>
      <c r="AI2">
        <f>BDH("VEEE US Equity","IS_DEPR_EXP","1993-06-18","2026-05-02","Per=Y","Days=T","Dir=V")</f>
        <v>0</v>
      </c>
      <c r="AK2">
        <f>BDH("VEEE US Equity","CF_CASH_FROM_OPER","1993-06-18","2026-05-02","Per=Y","Days=T","Dir=V")</f>
        <v>0</v>
      </c>
      <c r="AM2">
        <f>BDH("VEEE US Equity","CAPITAL_EXPEND","1993-06-18","2026-05-02","Per=Y","Days=T","Dir=V")</f>
        <v>0</v>
      </c>
      <c r="AO2">
        <f>BDH("VEEE US Equity","CF_FREE_CASH_FLOW","1993-06-18","2026-05-02","Per=Y","Days=T","Dir=V")</f>
        <v>0</v>
      </c>
      <c r="AQ2">
        <f>BDH("VEEE US Equity","PX_LAST","1993-06-18","2026-05-02","Per=M","Days=T","Dir=V")</f>
        <v>0</v>
      </c>
      <c r="AS2">
        <f>BDH("VEEE US Equity","CUR_MKT_CAP","1993-06-18","2026-05-02","Per=M","Days=T","Dir=V")</f>
        <v>0</v>
      </c>
      <c r="AU2">
        <f>BDH("VEEE US Equity","EQY_SH_OUT","1993-06-18","2026-05-02","Per=M","Days=T","Dir=V")</f>
        <v>0</v>
      </c>
      <c r="AW2">
        <f>BDH("VEEE US Equity","PX_VOLUME","1993-06-18","2026-05-02","Per=M","Days=T","Dir=V")</f>
        <v>0</v>
      </c>
      <c r="AY2">
        <f>BDH("VEEE US Equity","TURNOVER","1993-06-18","2026-05-02","Per=M","Days=T","Dir=V")</f>
        <v>0</v>
      </c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BDH("VEEV US Equity","BS_TOT_ASSET","1993-06-18","2026-05-02","Per=Y","Days=T","Dir=V")</f>
        <v>0</v>
      </c>
      <c r="C2">
        <f>BDH("VEEV US Equity","BS_TOT_LIAB2","1993-06-18","2026-05-02","Per=Y","Days=T","Dir=V")</f>
        <v>0</v>
      </c>
      <c r="E2">
        <f>BDH("VEEV US Equity","SHORT_AND_LONG_TERM_DEBT","1993-06-18","2026-05-02","Per=Y","Days=T","Dir=V")</f>
        <v>0</v>
      </c>
      <c r="G2">
        <f>BDH("VEEV US Equity","BS_ST_BORROW","1993-06-18","2026-05-02","Per=Y","Days=T","Dir=V")</f>
        <v>0</v>
      </c>
      <c r="I2">
        <f>BDH("VEEV US Equity","BS_LT_BORROW","1993-06-18","2026-05-02","Per=Y","Days=T","Dir=V")</f>
        <v>0</v>
      </c>
      <c r="K2">
        <f>BDH("VEEV US Equity","BS_CASH_NEAR_CASH_ITEM","1993-06-18","2026-05-02","Per=Y","Days=T","Dir=V")</f>
        <v>0</v>
      </c>
      <c r="M2">
        <f>BDH("VEEV US Equity","BS_CUR_ASSET_REPORT","1993-06-18","2026-05-02","Per=Y","Days=T","Dir=V")</f>
        <v>0</v>
      </c>
      <c r="O2">
        <f>BDH("VEEV US Equity","BS_CUR_LIAB","1993-06-18","2026-05-02","Per=Y","Days=T","Dir=V")</f>
        <v>0</v>
      </c>
      <c r="Q2">
        <f>BDH("VEEV US Equity","BS_SHAREHOLDER_EQY_ENDING_PERIOD","1993-06-18","2026-05-02","Per=Y","Days=T","Dir=V")</f>
        <v>0</v>
      </c>
      <c r="S2">
        <f>BDH("VEEV US Equity","BS_ACCT_NOTE_RCV","1993-06-18","2026-05-02","Per=Y","Days=T","Dir=V")</f>
        <v>0</v>
      </c>
      <c r="U2">
        <f>BDH("VEEV US Equity","BS_INVENTORIES","1993-06-18","2026-05-02","Per=Y","Days=T","Dir=V")</f>
        <v>0</v>
      </c>
      <c r="W2">
        <f>BDH("VEEV US Equity","WORKING_CAPITAL","1993-06-18","2026-05-02","Per=Y","Days=T","Dir=V")</f>
        <v>0</v>
      </c>
      <c r="Y2">
        <f>BDH("VEEV US Equity","SALES_REV_TURN","1993-06-18","2026-05-02","Per=Y","Days=T","Dir=V")</f>
        <v>0</v>
      </c>
      <c r="AA2">
        <f>BDH("VEEV US Equity","EBIT","1993-06-18","2026-05-02","Per=Y","Days=T","Dir=V")</f>
        <v>0</v>
      </c>
      <c r="AC2">
        <f>BDH("VEEV US Equity","EBITDA","1993-06-18","2026-05-02","Per=Y","Days=T","Dir=V")</f>
        <v>0</v>
      </c>
      <c r="AE2">
        <f>BDH("VEEV US Equity","NET_INCOME","1993-06-18","2026-05-02","Per=Y","Days=T","Dir=V")</f>
        <v>0</v>
      </c>
      <c r="AG2">
        <f>BDH("VEEV US Equity","IS_INT_EXPENSE","1993-06-18","2026-05-02","Per=Y","Days=T","Dir=V")</f>
        <v>0</v>
      </c>
      <c r="AI2">
        <f>BDH("VEEV US Equity","IS_DEPR_EXP","1993-06-18","2026-05-02","Per=Y","Days=T","Dir=V")</f>
        <v>0</v>
      </c>
      <c r="AK2">
        <f>BDH("VEEV US Equity","CF_CASH_FROM_OPER","1993-06-18","2026-05-02","Per=Y","Days=T","Dir=V")</f>
        <v>0</v>
      </c>
      <c r="AM2">
        <f>BDH("VEEV US Equity","CAPITAL_EXPEND","1993-06-18","2026-05-02","Per=Y","Days=T","Dir=V")</f>
        <v>0</v>
      </c>
      <c r="AO2">
        <f>BDH("VEEV US Equity","CF_FREE_CASH_FLOW","1993-06-18","2026-05-02","Per=Y","Days=T","Dir=V")</f>
        <v>0</v>
      </c>
      <c r="AQ2">
        <f>BDH("VEEV US Equity","PX_LAST","1993-06-18","2026-05-02","Per=M","Days=T","Dir=V")</f>
        <v>0</v>
      </c>
      <c r="AS2">
        <f>BDH("VEEV US Equity","CUR_MKT_CAP","1993-06-18","2026-05-02","Per=M","Days=T","Dir=V")</f>
        <v>0</v>
      </c>
      <c r="AU2">
        <f>BDH("VEEV US Equity","EQY_SH_OUT","1993-06-18","2026-05-02","Per=M","Days=T","Dir=V")</f>
        <v>0</v>
      </c>
      <c r="AW2">
        <f>BDH("VEEV US Equity","PX_VOLUME","1993-06-18","2026-05-02","Per=M","Days=T","Dir=V")</f>
        <v>0</v>
      </c>
      <c r="AY2">
        <f>BDH("VEEV US Equity","TURNOVER","1993-06-18","2026-05-02","Per=M","Days=T","Dir=V")</f>
        <v>0</v>
      </c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BDH("VELO US Equity","BS_TOT_ASSET","1993-06-18","2026-05-02","Per=Y","Days=T","Dir=V")</f>
        <v>0</v>
      </c>
      <c r="C2">
        <f>BDH("VELO US Equity","BS_TOT_LIAB2","1993-06-18","2026-05-02","Per=Y","Days=T","Dir=V")</f>
        <v>0</v>
      </c>
      <c r="E2">
        <f>BDH("VELO US Equity","SHORT_AND_LONG_TERM_DEBT","1993-06-18","2026-05-02","Per=Y","Days=T","Dir=V")</f>
        <v>0</v>
      </c>
      <c r="G2">
        <f>BDH("VELO US Equity","BS_ST_BORROW","1993-06-18","2026-05-02","Per=Y","Days=T","Dir=V")</f>
        <v>0</v>
      </c>
      <c r="I2">
        <f>BDH("VELO US Equity","BS_LT_BORROW","1993-06-18","2026-05-02","Per=Y","Days=T","Dir=V")</f>
        <v>0</v>
      </c>
      <c r="K2">
        <f>BDH("VELO US Equity","BS_CASH_NEAR_CASH_ITEM","1993-06-18","2026-05-02","Per=Y","Days=T","Dir=V")</f>
        <v>0</v>
      </c>
      <c r="M2">
        <f>BDH("VELO US Equity","BS_CUR_ASSET_REPORT","1993-06-18","2026-05-02","Per=Y","Days=T","Dir=V")</f>
        <v>0</v>
      </c>
      <c r="O2">
        <f>BDH("VELO US Equity","BS_CUR_LIAB","1993-06-18","2026-05-02","Per=Y","Days=T","Dir=V")</f>
        <v>0</v>
      </c>
      <c r="Q2">
        <f>BDH("VELO US Equity","BS_SHAREHOLDER_EQY_ENDING_PERIOD","1993-06-18","2026-05-02","Per=Y","Days=T","Dir=V")</f>
        <v>0</v>
      </c>
      <c r="S2">
        <f>BDH("VELO US Equity","BS_ACCT_NOTE_RCV","1993-06-18","2026-05-02","Per=Y","Days=T","Dir=V")</f>
        <v>0</v>
      </c>
      <c r="U2">
        <f>BDH("VELO US Equity","BS_INVENTORIES","1993-06-18","2026-05-02","Per=Y","Days=T","Dir=V")</f>
        <v>0</v>
      </c>
      <c r="W2">
        <f>BDH("VELO US Equity","WORKING_CAPITAL","1993-06-18","2026-05-02","Per=Y","Days=T","Dir=V")</f>
        <v>0</v>
      </c>
      <c r="Y2">
        <f>BDH("VELO US Equity","SALES_REV_TURN","1993-06-18","2026-05-02","Per=Y","Days=T","Dir=V")</f>
        <v>0</v>
      </c>
      <c r="AA2">
        <f>BDH("VELO US Equity","EBIT","1993-06-18","2026-05-02","Per=Y","Days=T","Dir=V")</f>
        <v>0</v>
      </c>
      <c r="AC2">
        <f>BDH("VELO US Equity","EBITDA","1993-06-18","2026-05-02","Per=Y","Days=T","Dir=V")</f>
        <v>0</v>
      </c>
      <c r="AE2">
        <f>BDH("VELO US Equity","NET_INCOME","1993-06-18","2026-05-02","Per=Y","Days=T","Dir=V")</f>
        <v>0</v>
      </c>
      <c r="AG2">
        <f>BDH("VELO US Equity","IS_INT_EXPENSE","1993-06-18","2026-05-02","Per=Y","Days=T","Dir=V")</f>
        <v>0</v>
      </c>
      <c r="AI2">
        <f>BDH("VELO US Equity","IS_DEPR_EXP","1993-06-18","2026-05-02","Per=Y","Days=T","Dir=V")</f>
        <v>0</v>
      </c>
      <c r="AK2">
        <f>BDH("VELO US Equity","CF_CASH_FROM_OPER","1993-06-18","2026-05-02","Per=Y","Days=T","Dir=V")</f>
        <v>0</v>
      </c>
      <c r="AM2">
        <f>BDH("VELO US Equity","CAPITAL_EXPEND","1993-06-18","2026-05-02","Per=Y","Days=T","Dir=V")</f>
        <v>0</v>
      </c>
      <c r="AO2">
        <f>BDH("VELO US Equity","CF_FREE_CASH_FLOW","1993-06-18","2026-05-02","Per=Y","Days=T","Dir=V")</f>
        <v>0</v>
      </c>
      <c r="AQ2">
        <f>BDH("VELO US Equity","PX_LAST","1993-06-18","2026-05-02","Per=M","Days=T","Dir=V")</f>
        <v>0</v>
      </c>
      <c r="AS2">
        <f>BDH("VELO US Equity","CUR_MKT_CAP","1993-06-18","2026-05-02","Per=M","Days=T","Dir=V")</f>
        <v>0</v>
      </c>
      <c r="AU2">
        <f>BDH("VELO US Equity","EQY_SH_OUT","1993-06-18","2026-05-02","Per=M","Days=T","Dir=V")</f>
        <v>0</v>
      </c>
      <c r="AW2">
        <f>BDH("VELO US Equity","PX_VOLUME","1993-06-18","2026-05-02","Per=M","Days=T","Dir=V")</f>
        <v>0</v>
      </c>
      <c r="AY2">
        <f>BDH("VELO US Equity","TURNOVER","1993-06-18","2026-05-02","Per=M","Days=T","Dir=V")</f>
        <v>0</v>
      </c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BDH("VENU US Equity","BS_TOT_ASSET","1993-06-18","2026-05-02","Per=Y","Days=T","Dir=V")</f>
        <v>0</v>
      </c>
      <c r="C2">
        <f>BDH("VENU US Equity","BS_TOT_LIAB2","1993-06-18","2026-05-02","Per=Y","Days=T","Dir=V")</f>
        <v>0</v>
      </c>
      <c r="E2">
        <f>BDH("VENU US Equity","SHORT_AND_LONG_TERM_DEBT","1993-06-18","2026-05-02","Per=Y","Days=T","Dir=V")</f>
        <v>0</v>
      </c>
      <c r="G2">
        <f>BDH("VENU US Equity","BS_ST_BORROW","1993-06-18","2026-05-02","Per=Y","Days=T","Dir=V")</f>
        <v>0</v>
      </c>
      <c r="I2">
        <f>BDH("VENU US Equity","BS_LT_BORROW","1993-06-18","2026-05-02","Per=Y","Days=T","Dir=V")</f>
        <v>0</v>
      </c>
      <c r="K2">
        <f>BDH("VENU US Equity","BS_CASH_NEAR_CASH_ITEM","1993-06-18","2026-05-02","Per=Y","Days=T","Dir=V")</f>
        <v>0</v>
      </c>
      <c r="M2">
        <f>BDH("VENU US Equity","BS_CUR_ASSET_REPORT","1993-06-18","2026-05-02","Per=Y","Days=T","Dir=V")</f>
        <v>0</v>
      </c>
      <c r="O2">
        <f>BDH("VENU US Equity","BS_CUR_LIAB","1993-06-18","2026-05-02","Per=Y","Days=T","Dir=V")</f>
        <v>0</v>
      </c>
      <c r="Q2">
        <f>BDH("VENU US Equity","BS_SHAREHOLDER_EQY_ENDING_PERIOD","1993-06-18","2026-05-02","Per=Y","Days=T","Dir=V")</f>
        <v>0</v>
      </c>
      <c r="S2">
        <f>BDH("VENU US Equity","BS_ACCT_NOTE_RCV","1993-06-18","2026-05-02","Per=Y","Days=T","Dir=V")</f>
        <v>0</v>
      </c>
      <c r="U2">
        <f>BDH("VENU US Equity","BS_INVENTORIES","1993-06-18","2026-05-02","Per=Y","Days=T","Dir=V")</f>
        <v>0</v>
      </c>
      <c r="W2">
        <f>BDH("VENU US Equity","WORKING_CAPITAL","1993-06-18","2026-05-02","Per=Y","Days=T","Dir=V")</f>
        <v>0</v>
      </c>
      <c r="Y2">
        <f>BDH("VENU US Equity","SALES_REV_TURN","1993-06-18","2026-05-02","Per=Y","Days=T","Dir=V")</f>
        <v>0</v>
      </c>
      <c r="AA2">
        <f>BDH("VENU US Equity","EBIT","1993-06-18","2026-05-02","Per=Y","Days=T","Dir=V")</f>
        <v>0</v>
      </c>
      <c r="AC2">
        <f>BDH("VENU US Equity","EBITDA","1993-06-18","2026-05-02","Per=Y","Days=T","Dir=V")</f>
        <v>0</v>
      </c>
      <c r="AE2">
        <f>BDH("VENU US Equity","NET_INCOME","1993-06-18","2026-05-02","Per=Y","Days=T","Dir=V")</f>
        <v>0</v>
      </c>
      <c r="AG2">
        <f>BDH("VENU US Equity","IS_INT_EXPENSE","1993-06-18","2026-05-02","Per=Y","Days=T","Dir=V")</f>
        <v>0</v>
      </c>
      <c r="AI2">
        <f>BDH("VENU US Equity","IS_DEPR_EXP","1993-06-18","2026-05-02","Per=Y","Days=T","Dir=V")</f>
        <v>0</v>
      </c>
      <c r="AK2">
        <f>BDH("VENU US Equity","CF_CASH_FROM_OPER","1993-06-18","2026-05-02","Per=Y","Days=T","Dir=V")</f>
        <v>0</v>
      </c>
      <c r="AM2">
        <f>BDH("VENU US Equity","CAPITAL_EXPEND","1993-06-18","2026-05-02","Per=Y","Days=T","Dir=V")</f>
        <v>0</v>
      </c>
      <c r="AO2">
        <f>BDH("VENU US Equity","CF_FREE_CASH_FLOW","1993-06-18","2026-05-02","Per=Y","Days=T","Dir=V")</f>
        <v>0</v>
      </c>
      <c r="AQ2">
        <f>BDH("VENU US Equity","PX_LAST","1993-06-18","2026-05-02","Per=M","Days=T","Dir=V")</f>
        <v>0</v>
      </c>
      <c r="AS2">
        <f>BDH("VENU US Equity","CUR_MKT_CAP","1993-06-18","2026-05-02","Per=M","Days=T","Dir=V")</f>
        <v>0</v>
      </c>
      <c r="AU2">
        <f>BDH("VENU US Equity","EQY_SH_OUT","1993-06-18","2026-05-02","Per=M","Days=T","Dir=V")</f>
        <v>0</v>
      </c>
      <c r="AW2">
        <f>BDH("VENU US Equity","PX_VOLUME","1993-06-18","2026-05-02","Per=M","Days=T","Dir=V")</f>
        <v>0</v>
      </c>
      <c r="AY2">
        <f>BDH("VENU US Equity","TURNOVER","1993-06-18","2026-05-02","Per=M","Days=T","Dir=V")</f>
        <v>0</v>
      </c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BDH("VERA US Equity","BS_TOT_ASSET","1993-06-18","2026-05-02","Per=Y","Days=T","Dir=V")</f>
        <v>0</v>
      </c>
      <c r="C2">
        <f>BDH("VERA US Equity","BS_TOT_LIAB2","1993-06-18","2026-05-02","Per=Y","Days=T","Dir=V")</f>
        <v>0</v>
      </c>
      <c r="E2">
        <f>BDH("VERA US Equity","SHORT_AND_LONG_TERM_DEBT","1993-06-18","2026-05-02","Per=Y","Days=T","Dir=V")</f>
        <v>0</v>
      </c>
      <c r="G2">
        <f>BDH("VERA US Equity","BS_ST_BORROW","1993-06-18","2026-05-02","Per=Y","Days=T","Dir=V")</f>
        <v>0</v>
      </c>
      <c r="I2">
        <f>BDH("VERA US Equity","BS_LT_BORROW","1993-06-18","2026-05-02","Per=Y","Days=T","Dir=V")</f>
        <v>0</v>
      </c>
      <c r="K2">
        <f>BDH("VERA US Equity","BS_CASH_NEAR_CASH_ITEM","1993-06-18","2026-05-02","Per=Y","Days=T","Dir=V")</f>
        <v>0</v>
      </c>
      <c r="M2">
        <f>BDH("VERA US Equity","BS_CUR_ASSET_REPORT","1993-06-18","2026-05-02","Per=Y","Days=T","Dir=V")</f>
        <v>0</v>
      </c>
      <c r="O2">
        <f>BDH("VERA US Equity","BS_CUR_LIAB","1993-06-18","2026-05-02","Per=Y","Days=T","Dir=V")</f>
        <v>0</v>
      </c>
      <c r="Q2">
        <f>BDH("VERA US Equity","BS_SHAREHOLDER_EQY_ENDING_PERIOD","1993-06-18","2026-05-02","Per=Y","Days=T","Dir=V")</f>
        <v>0</v>
      </c>
      <c r="S2">
        <f>BDH("VERA US Equity","BS_ACCT_NOTE_RCV","1993-06-18","2026-05-02","Per=Y","Days=T","Dir=V")</f>
        <v>0</v>
      </c>
      <c r="U2">
        <f>BDH("VERA US Equity","BS_INVENTORIES","1993-06-18","2026-05-02","Per=Y","Days=T","Dir=V")</f>
        <v>0</v>
      </c>
      <c r="W2">
        <f>BDH("VERA US Equity","WORKING_CAPITAL","1993-06-18","2026-05-02","Per=Y","Days=T","Dir=V")</f>
        <v>0</v>
      </c>
      <c r="Y2">
        <f>BDH("VERA US Equity","SALES_REV_TURN","1993-06-18","2026-05-02","Per=Y","Days=T","Dir=V")</f>
        <v>0</v>
      </c>
      <c r="AA2">
        <f>BDH("VERA US Equity","EBIT","1993-06-18","2026-05-02","Per=Y","Days=T","Dir=V")</f>
        <v>0</v>
      </c>
      <c r="AC2">
        <f>BDH("VERA US Equity","EBITDA","1993-06-18","2026-05-02","Per=Y","Days=T","Dir=V")</f>
        <v>0</v>
      </c>
      <c r="AE2">
        <f>BDH("VERA US Equity","NET_INCOME","1993-06-18","2026-05-02","Per=Y","Days=T","Dir=V")</f>
        <v>0</v>
      </c>
      <c r="AG2">
        <f>BDH("VERA US Equity","IS_INT_EXPENSE","1993-06-18","2026-05-02","Per=Y","Days=T","Dir=V")</f>
        <v>0</v>
      </c>
      <c r="AI2">
        <f>BDH("VERA US Equity","IS_DEPR_EXP","1993-06-18","2026-05-02","Per=Y","Days=T","Dir=V")</f>
        <v>0</v>
      </c>
      <c r="AK2">
        <f>BDH("VERA US Equity","CF_CASH_FROM_OPER","1993-06-18","2026-05-02","Per=Y","Days=T","Dir=V")</f>
        <v>0</v>
      </c>
      <c r="AM2">
        <f>BDH("VERA US Equity","CAPITAL_EXPEND","1993-06-18","2026-05-02","Per=Y","Days=T","Dir=V")</f>
        <v>0</v>
      </c>
      <c r="AO2">
        <f>BDH("VERA US Equity","CF_FREE_CASH_FLOW","1993-06-18","2026-05-02","Per=Y","Days=T","Dir=V")</f>
        <v>0</v>
      </c>
      <c r="AQ2">
        <f>BDH("VERA US Equity","PX_LAST","1993-06-18","2026-05-02","Per=M","Days=T","Dir=V")</f>
        <v>0</v>
      </c>
      <c r="AS2">
        <f>BDH("VERA US Equity","CUR_MKT_CAP","1993-06-18","2026-05-02","Per=M","Days=T","Dir=V")</f>
        <v>0</v>
      </c>
      <c r="AU2">
        <f>BDH("VERA US Equity","EQY_SH_OUT","1993-06-18","2026-05-02","Per=M","Days=T","Dir=V")</f>
        <v>0</v>
      </c>
      <c r="AW2">
        <f>BDH("VERA US Equity","PX_VOLUME","1993-06-18","2026-05-02","Per=M","Days=T","Dir=V")</f>
        <v>0</v>
      </c>
      <c r="AY2">
        <f>BDH("VERA US Equity","TURNOVER","1993-06-18","2026-05-02","Per=M","Days=T","Dir=V")</f>
        <v>0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BDH("VERI US Equity","BS_TOT_ASSET","1993-06-18","2026-05-02","Per=Y","Days=T","Dir=V")</f>
        <v>0</v>
      </c>
      <c r="C2">
        <f>BDH("VERI US Equity","BS_TOT_LIAB2","1993-06-18","2026-05-02","Per=Y","Days=T","Dir=V")</f>
        <v>0</v>
      </c>
      <c r="E2">
        <f>BDH("VERI US Equity","SHORT_AND_LONG_TERM_DEBT","1993-06-18","2026-05-02","Per=Y","Days=T","Dir=V")</f>
        <v>0</v>
      </c>
      <c r="G2">
        <f>BDH("VERI US Equity","BS_ST_BORROW","1993-06-18","2026-05-02","Per=Y","Days=T","Dir=V")</f>
        <v>0</v>
      </c>
      <c r="I2">
        <f>BDH("VERI US Equity","BS_LT_BORROW","1993-06-18","2026-05-02","Per=Y","Days=T","Dir=V")</f>
        <v>0</v>
      </c>
      <c r="K2">
        <f>BDH("VERI US Equity","BS_CASH_NEAR_CASH_ITEM","1993-06-18","2026-05-02","Per=Y","Days=T","Dir=V")</f>
        <v>0</v>
      </c>
      <c r="M2">
        <f>BDH("VERI US Equity","BS_CUR_ASSET_REPORT","1993-06-18","2026-05-02","Per=Y","Days=T","Dir=V")</f>
        <v>0</v>
      </c>
      <c r="O2">
        <f>BDH("VERI US Equity","BS_CUR_LIAB","1993-06-18","2026-05-02","Per=Y","Days=T","Dir=V")</f>
        <v>0</v>
      </c>
      <c r="Q2">
        <f>BDH("VERI US Equity","BS_SHAREHOLDER_EQY_ENDING_PERIOD","1993-06-18","2026-05-02","Per=Y","Days=T","Dir=V")</f>
        <v>0</v>
      </c>
      <c r="S2">
        <f>BDH("VERI US Equity","BS_ACCT_NOTE_RCV","1993-06-18","2026-05-02","Per=Y","Days=T","Dir=V")</f>
        <v>0</v>
      </c>
      <c r="U2">
        <f>BDH("VERI US Equity","BS_INVENTORIES","1993-06-18","2026-05-02","Per=Y","Days=T","Dir=V")</f>
        <v>0</v>
      </c>
      <c r="W2">
        <f>BDH("VERI US Equity","WORKING_CAPITAL","1993-06-18","2026-05-02","Per=Y","Days=T","Dir=V")</f>
        <v>0</v>
      </c>
      <c r="Y2">
        <f>BDH("VERI US Equity","SALES_REV_TURN","1993-06-18","2026-05-02","Per=Y","Days=T","Dir=V")</f>
        <v>0</v>
      </c>
      <c r="AA2">
        <f>BDH("VERI US Equity","EBIT","1993-06-18","2026-05-02","Per=Y","Days=T","Dir=V")</f>
        <v>0</v>
      </c>
      <c r="AC2">
        <f>BDH("VERI US Equity","EBITDA","1993-06-18","2026-05-02","Per=Y","Days=T","Dir=V")</f>
        <v>0</v>
      </c>
      <c r="AE2">
        <f>BDH("VERI US Equity","NET_INCOME","1993-06-18","2026-05-02","Per=Y","Days=T","Dir=V")</f>
        <v>0</v>
      </c>
      <c r="AG2">
        <f>BDH("VERI US Equity","IS_INT_EXPENSE","1993-06-18","2026-05-02","Per=Y","Days=T","Dir=V")</f>
        <v>0</v>
      </c>
      <c r="AI2">
        <f>BDH("VERI US Equity","IS_DEPR_EXP","1993-06-18","2026-05-02","Per=Y","Days=T","Dir=V")</f>
        <v>0</v>
      </c>
      <c r="AK2">
        <f>BDH("VERI US Equity","CF_CASH_FROM_OPER","1993-06-18","2026-05-02","Per=Y","Days=T","Dir=V")</f>
        <v>0</v>
      </c>
      <c r="AM2">
        <f>BDH("VERI US Equity","CAPITAL_EXPEND","1993-06-18","2026-05-02","Per=Y","Days=T","Dir=V")</f>
        <v>0</v>
      </c>
      <c r="AO2">
        <f>BDH("VERI US Equity","CF_FREE_CASH_FLOW","1993-06-18","2026-05-02","Per=Y","Days=T","Dir=V")</f>
        <v>0</v>
      </c>
      <c r="AQ2">
        <f>BDH("VERI US Equity","PX_LAST","1993-06-18","2026-05-02","Per=M","Days=T","Dir=V")</f>
        <v>0</v>
      </c>
      <c r="AS2">
        <f>BDH("VERI US Equity","CUR_MKT_CAP","1993-06-18","2026-05-02","Per=M","Days=T","Dir=V")</f>
        <v>0</v>
      </c>
      <c r="AU2">
        <f>BDH("VERI US Equity","EQY_SH_OUT","1993-06-18","2026-05-02","Per=M","Days=T","Dir=V")</f>
        <v>0</v>
      </c>
      <c r="AW2">
        <f>BDH("VERI US Equity","PX_VOLUME","1993-06-18","2026-05-02","Per=M","Days=T","Dir=V")</f>
        <v>0</v>
      </c>
      <c r="AY2">
        <f>BDH("VERI US Equity","TURNOVER","1993-06-18","2026-05-02","Per=M","Days=T","Dir=V")</f>
        <v>0</v>
      </c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BDH("VERU US Equity","BS_TOT_ASSET","1993-06-18","2026-05-02","Per=Y","Days=T","Dir=V")</f>
        <v>0</v>
      </c>
      <c r="C2">
        <f>BDH("VERU US Equity","BS_TOT_LIAB2","1993-06-18","2026-05-02","Per=Y","Days=T","Dir=V")</f>
        <v>0</v>
      </c>
      <c r="E2">
        <f>BDH("VERU US Equity","SHORT_AND_LONG_TERM_DEBT","1993-06-18","2026-05-02","Per=Y","Days=T","Dir=V")</f>
        <v>0</v>
      </c>
      <c r="G2">
        <f>BDH("VERU US Equity","BS_ST_BORROW","1993-06-18","2026-05-02","Per=Y","Days=T","Dir=V")</f>
        <v>0</v>
      </c>
      <c r="I2">
        <f>BDH("VERU US Equity","BS_LT_BORROW","1993-06-18","2026-05-02","Per=Y","Days=T","Dir=V")</f>
        <v>0</v>
      </c>
      <c r="K2">
        <f>BDH("VERU US Equity","BS_CASH_NEAR_CASH_ITEM","1993-06-18","2026-05-02","Per=Y","Days=T","Dir=V")</f>
        <v>0</v>
      </c>
      <c r="M2">
        <f>BDH("VERU US Equity","BS_CUR_ASSET_REPORT","1993-06-18","2026-05-02","Per=Y","Days=T","Dir=V")</f>
        <v>0</v>
      </c>
      <c r="O2">
        <f>BDH("VERU US Equity","BS_CUR_LIAB","1993-06-18","2026-05-02","Per=Y","Days=T","Dir=V")</f>
        <v>0</v>
      </c>
      <c r="Q2">
        <f>BDH("VERU US Equity","BS_SHAREHOLDER_EQY_ENDING_PERIOD","1993-06-18","2026-05-02","Per=Y","Days=T","Dir=V")</f>
        <v>0</v>
      </c>
      <c r="S2">
        <f>BDH("VERU US Equity","BS_ACCT_NOTE_RCV","1993-06-18","2026-05-02","Per=Y","Days=T","Dir=V")</f>
        <v>0</v>
      </c>
      <c r="U2">
        <f>BDH("VERU US Equity","BS_INVENTORIES","1993-06-18","2026-05-02","Per=Y","Days=T","Dir=V")</f>
        <v>0</v>
      </c>
      <c r="W2">
        <f>BDH("VERU US Equity","WORKING_CAPITAL","1993-06-18","2026-05-02","Per=Y","Days=T","Dir=V")</f>
        <v>0</v>
      </c>
      <c r="Y2">
        <f>BDH("VERU US Equity","SALES_REV_TURN","1993-06-18","2026-05-02","Per=Y","Days=T","Dir=V")</f>
        <v>0</v>
      </c>
      <c r="AA2">
        <f>BDH("VERU US Equity","EBIT","1993-06-18","2026-05-02","Per=Y","Days=T","Dir=V")</f>
        <v>0</v>
      </c>
      <c r="AC2">
        <f>BDH("VERU US Equity","EBITDA","1993-06-18","2026-05-02","Per=Y","Days=T","Dir=V")</f>
        <v>0</v>
      </c>
      <c r="AE2">
        <f>BDH("VERU US Equity","NET_INCOME","1993-06-18","2026-05-02","Per=Y","Days=T","Dir=V")</f>
        <v>0</v>
      </c>
      <c r="AG2">
        <f>BDH("VERU US Equity","IS_INT_EXPENSE","1993-06-18","2026-05-02","Per=Y","Days=T","Dir=V")</f>
        <v>0</v>
      </c>
      <c r="AI2">
        <f>BDH("VERU US Equity","IS_DEPR_EXP","1993-06-18","2026-05-02","Per=Y","Days=T","Dir=V")</f>
        <v>0</v>
      </c>
      <c r="AK2">
        <f>BDH("VERU US Equity","CF_CASH_FROM_OPER","1993-06-18","2026-05-02","Per=Y","Days=T","Dir=V")</f>
        <v>0</v>
      </c>
      <c r="AM2">
        <f>BDH("VERU US Equity","CAPITAL_EXPEND","1993-06-18","2026-05-02","Per=Y","Days=T","Dir=V")</f>
        <v>0</v>
      </c>
      <c r="AO2">
        <f>BDH("VERU US Equity","CF_FREE_CASH_FLOW","1993-06-18","2026-05-02","Per=Y","Days=T","Dir=V")</f>
        <v>0</v>
      </c>
      <c r="AQ2">
        <f>BDH("VERU US Equity","PX_LAST","1993-06-18","2026-05-02","Per=M","Days=T","Dir=V")</f>
        <v>0</v>
      </c>
      <c r="AS2">
        <f>BDH("VERU US Equity","CUR_MKT_CAP","1993-06-18","2026-05-02","Per=M","Days=T","Dir=V")</f>
        <v>0</v>
      </c>
      <c r="AU2">
        <f>BDH("VERU US Equity","EQY_SH_OUT","1993-06-18","2026-05-02","Per=M","Days=T","Dir=V")</f>
        <v>0</v>
      </c>
      <c r="AW2">
        <f>BDH("VERU US Equity","PX_VOLUME","1993-06-18","2026-05-02","Per=M","Days=T","Dir=V")</f>
        <v>0</v>
      </c>
      <c r="AY2">
        <f>BDH("VERU US Equity","TURNOVER","1993-06-18","2026-05-02","Per=M","Days=T","Dir=V")</f>
        <v>0</v>
      </c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BDH("VERX US Equity","BS_TOT_ASSET","1993-06-18","2026-05-02","Per=Y","Days=T","Dir=V")</f>
        <v>0</v>
      </c>
      <c r="C2">
        <f>BDH("VERX US Equity","BS_TOT_LIAB2","1993-06-18","2026-05-02","Per=Y","Days=T","Dir=V")</f>
        <v>0</v>
      </c>
      <c r="E2">
        <f>BDH("VERX US Equity","SHORT_AND_LONG_TERM_DEBT","1993-06-18","2026-05-02","Per=Y","Days=T","Dir=V")</f>
        <v>0</v>
      </c>
      <c r="G2">
        <f>BDH("VERX US Equity","BS_ST_BORROW","1993-06-18","2026-05-02","Per=Y","Days=T","Dir=V")</f>
        <v>0</v>
      </c>
      <c r="I2">
        <f>BDH("VERX US Equity","BS_LT_BORROW","1993-06-18","2026-05-02","Per=Y","Days=T","Dir=V")</f>
        <v>0</v>
      </c>
      <c r="K2">
        <f>BDH("VERX US Equity","BS_CASH_NEAR_CASH_ITEM","1993-06-18","2026-05-02","Per=Y","Days=T","Dir=V")</f>
        <v>0</v>
      </c>
      <c r="M2">
        <f>BDH("VERX US Equity","BS_CUR_ASSET_REPORT","1993-06-18","2026-05-02","Per=Y","Days=T","Dir=V")</f>
        <v>0</v>
      </c>
      <c r="O2">
        <f>BDH("VERX US Equity","BS_CUR_LIAB","1993-06-18","2026-05-02","Per=Y","Days=T","Dir=V")</f>
        <v>0</v>
      </c>
      <c r="Q2">
        <f>BDH("VERX US Equity","BS_SHAREHOLDER_EQY_ENDING_PERIOD","1993-06-18","2026-05-02","Per=Y","Days=T","Dir=V")</f>
        <v>0</v>
      </c>
      <c r="S2">
        <f>BDH("VERX US Equity","BS_ACCT_NOTE_RCV","1993-06-18","2026-05-02","Per=Y","Days=T","Dir=V")</f>
        <v>0</v>
      </c>
      <c r="U2">
        <f>BDH("VERX US Equity","BS_INVENTORIES","1993-06-18","2026-05-02","Per=Y","Days=T","Dir=V")</f>
        <v>0</v>
      </c>
      <c r="W2">
        <f>BDH("VERX US Equity","WORKING_CAPITAL","1993-06-18","2026-05-02","Per=Y","Days=T","Dir=V")</f>
        <v>0</v>
      </c>
      <c r="Y2">
        <f>BDH("VERX US Equity","SALES_REV_TURN","1993-06-18","2026-05-02","Per=Y","Days=T","Dir=V")</f>
        <v>0</v>
      </c>
      <c r="AA2">
        <f>BDH("VERX US Equity","EBIT","1993-06-18","2026-05-02","Per=Y","Days=T","Dir=V")</f>
        <v>0</v>
      </c>
      <c r="AC2">
        <f>BDH("VERX US Equity","EBITDA","1993-06-18","2026-05-02","Per=Y","Days=T","Dir=V")</f>
        <v>0</v>
      </c>
      <c r="AE2">
        <f>BDH("VERX US Equity","NET_INCOME","1993-06-18","2026-05-02","Per=Y","Days=T","Dir=V")</f>
        <v>0</v>
      </c>
      <c r="AG2">
        <f>BDH("VERX US Equity","IS_INT_EXPENSE","1993-06-18","2026-05-02","Per=Y","Days=T","Dir=V")</f>
        <v>0</v>
      </c>
      <c r="AI2">
        <f>BDH("VERX US Equity","IS_DEPR_EXP","1993-06-18","2026-05-02","Per=Y","Days=T","Dir=V")</f>
        <v>0</v>
      </c>
      <c r="AK2">
        <f>BDH("VERX US Equity","CF_CASH_FROM_OPER","1993-06-18","2026-05-02","Per=Y","Days=T","Dir=V")</f>
        <v>0</v>
      </c>
      <c r="AM2">
        <f>BDH("VERX US Equity","CAPITAL_EXPEND","1993-06-18","2026-05-02","Per=Y","Days=T","Dir=V")</f>
        <v>0</v>
      </c>
      <c r="AO2">
        <f>BDH("VERX US Equity","CF_FREE_CASH_FLOW","1993-06-18","2026-05-02","Per=Y","Days=T","Dir=V")</f>
        <v>0</v>
      </c>
      <c r="AQ2">
        <f>BDH("VERX US Equity","PX_LAST","1993-06-18","2026-05-02","Per=M","Days=T","Dir=V")</f>
        <v>0</v>
      </c>
      <c r="AS2">
        <f>BDH("VERX US Equity","CUR_MKT_CAP","1993-06-18","2026-05-02","Per=M","Days=T","Dir=V")</f>
        <v>0</v>
      </c>
      <c r="AU2">
        <f>BDH("VERX US Equity","EQY_SH_OUT","1993-06-18","2026-05-02","Per=M","Days=T","Dir=V")</f>
        <v>0</v>
      </c>
      <c r="AW2">
        <f>BDH("VERX US Equity","PX_VOLUME","1993-06-18","2026-05-02","Per=M","Days=T","Dir=V")</f>
        <v>0</v>
      </c>
      <c r="AY2">
        <f>BDH("VERX US Equity","TURNOVER","1993-06-18","2026-05-02","Per=M","Days=T","Dir=V")</f>
        <v>0</v>
      </c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BDH("VFC US Equity","BS_TOT_ASSET","1993-06-18","2026-05-02","Per=Y","Days=T","Dir=V")</f>
        <v>0</v>
      </c>
      <c r="C2">
        <f>BDH("VFC US Equity","BS_TOT_LIAB2","1993-06-18","2026-05-02","Per=Y","Days=T","Dir=V")</f>
        <v>0</v>
      </c>
      <c r="E2">
        <f>BDH("VFC US Equity","SHORT_AND_LONG_TERM_DEBT","1993-06-18","2026-05-02","Per=Y","Days=T","Dir=V")</f>
        <v>0</v>
      </c>
      <c r="G2">
        <f>BDH("VFC US Equity","BS_ST_BORROW","1993-06-18","2026-05-02","Per=Y","Days=T","Dir=V")</f>
        <v>0</v>
      </c>
      <c r="I2">
        <f>BDH("VFC US Equity","BS_LT_BORROW","1993-06-18","2026-05-02","Per=Y","Days=T","Dir=V")</f>
        <v>0</v>
      </c>
      <c r="K2">
        <f>BDH("VFC US Equity","BS_CASH_NEAR_CASH_ITEM","1993-06-18","2026-05-02","Per=Y","Days=T","Dir=V")</f>
        <v>0</v>
      </c>
      <c r="M2">
        <f>BDH("VFC US Equity","BS_CUR_ASSET_REPORT","1993-06-18","2026-05-02","Per=Y","Days=T","Dir=V")</f>
        <v>0</v>
      </c>
      <c r="O2">
        <f>BDH("VFC US Equity","BS_CUR_LIAB","1993-06-18","2026-05-02","Per=Y","Days=T","Dir=V")</f>
        <v>0</v>
      </c>
      <c r="Q2">
        <f>BDH("VFC US Equity","BS_SHAREHOLDER_EQY_ENDING_PERIOD","1993-06-18","2026-05-02","Per=Y","Days=T","Dir=V")</f>
        <v>0</v>
      </c>
      <c r="S2">
        <f>BDH("VFC US Equity","BS_ACCT_NOTE_RCV","1993-06-18","2026-05-02","Per=Y","Days=T","Dir=V")</f>
        <v>0</v>
      </c>
      <c r="U2">
        <f>BDH("VFC US Equity","BS_INVENTORIES","1993-06-18","2026-05-02","Per=Y","Days=T","Dir=V")</f>
        <v>0</v>
      </c>
      <c r="W2">
        <f>BDH("VFC US Equity","WORKING_CAPITAL","1993-06-18","2026-05-02","Per=Y","Days=T","Dir=V")</f>
        <v>0</v>
      </c>
      <c r="Y2">
        <f>BDH("VFC US Equity","SALES_REV_TURN","1993-06-18","2026-05-02","Per=Y","Days=T","Dir=V")</f>
        <v>0</v>
      </c>
      <c r="AA2">
        <f>BDH("VFC US Equity","EBIT","1993-06-18","2026-05-02","Per=Y","Days=T","Dir=V")</f>
        <v>0</v>
      </c>
      <c r="AC2">
        <f>BDH("VFC US Equity","EBITDA","1993-06-18","2026-05-02","Per=Y","Days=T","Dir=V")</f>
        <v>0</v>
      </c>
      <c r="AE2">
        <f>BDH("VFC US Equity","NET_INCOME","1993-06-18","2026-05-02","Per=Y","Days=T","Dir=V")</f>
        <v>0</v>
      </c>
      <c r="AG2">
        <f>BDH("VFC US Equity","IS_INT_EXPENSE","1993-06-18","2026-05-02","Per=Y","Days=T","Dir=V")</f>
        <v>0</v>
      </c>
      <c r="AI2">
        <f>BDH("VFC US Equity","IS_DEPR_EXP","1993-06-18","2026-05-02","Per=Y","Days=T","Dir=V")</f>
        <v>0</v>
      </c>
      <c r="AK2">
        <f>BDH("VFC US Equity","CF_CASH_FROM_OPER","1993-06-18","2026-05-02","Per=Y","Days=T","Dir=V")</f>
        <v>0</v>
      </c>
      <c r="AM2">
        <f>BDH("VFC US Equity","CAPITAL_EXPEND","1993-06-18","2026-05-02","Per=Y","Days=T","Dir=V")</f>
        <v>0</v>
      </c>
      <c r="AO2">
        <f>BDH("VFC US Equity","CF_FREE_CASH_FLOW","1993-06-18","2026-05-02","Per=Y","Days=T","Dir=V")</f>
        <v>0</v>
      </c>
      <c r="AQ2">
        <f>BDH("VFC US Equity","PX_LAST","1993-06-18","2026-05-02","Per=M","Days=T","Dir=V")</f>
        <v>0</v>
      </c>
      <c r="AS2">
        <f>BDH("VFC US Equity","CUR_MKT_CAP","1993-06-18","2026-05-02","Per=M","Days=T","Dir=V")</f>
        <v>0</v>
      </c>
      <c r="AU2">
        <f>BDH("VFC US Equity","EQY_SH_OUT","1993-06-18","2026-05-02","Per=M","Days=T","Dir=V")</f>
        <v>0</v>
      </c>
      <c r="AW2">
        <f>BDH("VFC US Equity","PX_VOLUME","1993-06-18","2026-05-02","Per=M","Days=T","Dir=V")</f>
        <v>0</v>
      </c>
      <c r="AY2">
        <f>BDH("VFC US Equity","TURNOVER","1993-06-18","2026-05-02","Per=M","Days=T","Dir=V")</f>
        <v>0</v>
      </c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BDH("VG US Equity","BS_TOT_ASSET","1993-06-18","2026-05-02","Per=Y","Days=T","Dir=V")</f>
        <v>0</v>
      </c>
      <c r="C2">
        <f>BDH("VG US Equity","BS_TOT_LIAB2","1993-06-18","2026-05-02","Per=Y","Days=T","Dir=V")</f>
        <v>0</v>
      </c>
      <c r="E2">
        <f>BDH("VG US Equity","SHORT_AND_LONG_TERM_DEBT","1993-06-18","2026-05-02","Per=Y","Days=T","Dir=V")</f>
        <v>0</v>
      </c>
      <c r="G2">
        <f>BDH("VG US Equity","BS_ST_BORROW","1993-06-18","2026-05-02","Per=Y","Days=T","Dir=V")</f>
        <v>0</v>
      </c>
      <c r="I2">
        <f>BDH("VG US Equity","BS_LT_BORROW","1993-06-18","2026-05-02","Per=Y","Days=T","Dir=V")</f>
        <v>0</v>
      </c>
      <c r="K2">
        <f>BDH("VG US Equity","BS_CASH_NEAR_CASH_ITEM","1993-06-18","2026-05-02","Per=Y","Days=T","Dir=V")</f>
        <v>0</v>
      </c>
      <c r="M2">
        <f>BDH("VG US Equity","BS_CUR_ASSET_REPORT","1993-06-18","2026-05-02","Per=Y","Days=T","Dir=V")</f>
        <v>0</v>
      </c>
      <c r="O2">
        <f>BDH("VG US Equity","BS_CUR_LIAB","1993-06-18","2026-05-02","Per=Y","Days=T","Dir=V")</f>
        <v>0</v>
      </c>
      <c r="Q2">
        <f>BDH("VG US Equity","BS_SHAREHOLDER_EQY_ENDING_PERIOD","1993-06-18","2026-05-02","Per=Y","Days=T","Dir=V")</f>
        <v>0</v>
      </c>
      <c r="S2">
        <f>BDH("VG US Equity","BS_ACCT_NOTE_RCV","1993-06-18","2026-05-02","Per=Y","Days=T","Dir=V")</f>
        <v>0</v>
      </c>
      <c r="U2">
        <f>BDH("VG US Equity","BS_INVENTORIES","1993-06-18","2026-05-02","Per=Y","Days=T","Dir=V")</f>
        <v>0</v>
      </c>
      <c r="W2">
        <f>BDH("VG US Equity","WORKING_CAPITAL","1993-06-18","2026-05-02","Per=Y","Days=T","Dir=V")</f>
        <v>0</v>
      </c>
      <c r="Y2">
        <f>BDH("VG US Equity","SALES_REV_TURN","1993-06-18","2026-05-02","Per=Y","Days=T","Dir=V")</f>
        <v>0</v>
      </c>
      <c r="AA2">
        <f>BDH("VG US Equity","EBIT","1993-06-18","2026-05-02","Per=Y","Days=T","Dir=V")</f>
        <v>0</v>
      </c>
      <c r="AC2">
        <f>BDH("VG US Equity","EBITDA","1993-06-18","2026-05-02","Per=Y","Days=T","Dir=V")</f>
        <v>0</v>
      </c>
      <c r="AE2">
        <f>BDH("VG US Equity","NET_INCOME","1993-06-18","2026-05-02","Per=Y","Days=T","Dir=V")</f>
        <v>0</v>
      </c>
      <c r="AG2">
        <f>BDH("VG US Equity","IS_INT_EXPENSE","1993-06-18","2026-05-02","Per=Y","Days=T","Dir=V")</f>
        <v>0</v>
      </c>
      <c r="AI2">
        <f>BDH("VG US Equity","IS_DEPR_EXP","1993-06-18","2026-05-02","Per=Y","Days=T","Dir=V")</f>
        <v>0</v>
      </c>
      <c r="AK2">
        <f>BDH("VG US Equity","CF_CASH_FROM_OPER","1993-06-18","2026-05-02","Per=Y","Days=T","Dir=V")</f>
        <v>0</v>
      </c>
      <c r="AM2">
        <f>BDH("VG US Equity","CAPITAL_EXPEND","1993-06-18","2026-05-02","Per=Y","Days=T","Dir=V")</f>
        <v>0</v>
      </c>
      <c r="AO2">
        <f>BDH("VG US Equity","CF_FREE_CASH_FLOW","1993-06-18","2026-05-02","Per=Y","Days=T","Dir=V")</f>
        <v>0</v>
      </c>
      <c r="AQ2">
        <f>BDH("VG US Equity","PX_LAST","1993-06-18","2026-05-02","Per=M","Days=T","Dir=V")</f>
        <v>0</v>
      </c>
      <c r="AS2">
        <f>BDH("VG US Equity","CUR_MKT_CAP","1993-06-18","2026-05-02","Per=M","Days=T","Dir=V")</f>
        <v>0</v>
      </c>
      <c r="AU2">
        <f>BDH("VG US Equity","EQY_SH_OUT","1993-06-18","2026-05-02","Per=M","Days=T","Dir=V")</f>
        <v>0</v>
      </c>
      <c r="AW2">
        <f>BDH("VG US Equity","PX_VOLUME","1993-06-18","2026-05-02","Per=M","Days=T","Dir=V")</f>
        <v>0</v>
      </c>
      <c r="AY2">
        <f>BDH("VG US Equity","TURNOVER","1993-06-18","2026-05-02","Per=M","Days=T","Dir=V")</f>
        <v>0</v>
      </c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BDH("VGAS US Equity","BS_TOT_ASSET","1993-06-18","2026-05-02","Per=Y","Days=T","Dir=V")</f>
        <v>0</v>
      </c>
      <c r="C2">
        <f>BDH("VGAS US Equity","BS_TOT_LIAB2","1993-06-18","2026-05-02","Per=Y","Days=T","Dir=V")</f>
        <v>0</v>
      </c>
      <c r="E2">
        <f>BDH("VGAS US Equity","SHORT_AND_LONG_TERM_DEBT","1993-06-18","2026-05-02","Per=Y","Days=T","Dir=V")</f>
        <v>0</v>
      </c>
      <c r="G2">
        <f>BDH("VGAS US Equity","BS_ST_BORROW","1993-06-18","2026-05-02","Per=Y","Days=T","Dir=V")</f>
        <v>0</v>
      </c>
      <c r="I2">
        <f>BDH("VGAS US Equity","BS_LT_BORROW","1993-06-18","2026-05-02","Per=Y","Days=T","Dir=V")</f>
        <v>0</v>
      </c>
      <c r="K2">
        <f>BDH("VGAS US Equity","BS_CASH_NEAR_CASH_ITEM","1993-06-18","2026-05-02","Per=Y","Days=T","Dir=V")</f>
        <v>0</v>
      </c>
      <c r="M2">
        <f>BDH("VGAS US Equity","BS_CUR_ASSET_REPORT","1993-06-18","2026-05-02","Per=Y","Days=T","Dir=V")</f>
        <v>0</v>
      </c>
      <c r="O2">
        <f>BDH("VGAS US Equity","BS_CUR_LIAB","1993-06-18","2026-05-02","Per=Y","Days=T","Dir=V")</f>
        <v>0</v>
      </c>
      <c r="Q2">
        <f>BDH("VGAS US Equity","BS_SHAREHOLDER_EQY_ENDING_PERIOD","1993-06-18","2026-05-02","Per=Y","Days=T","Dir=V")</f>
        <v>0</v>
      </c>
      <c r="S2">
        <f>BDH("VGAS US Equity","BS_ACCT_NOTE_RCV","1993-06-18","2026-05-02","Per=Y","Days=T","Dir=V")</f>
        <v>0</v>
      </c>
      <c r="U2">
        <f>BDH("VGAS US Equity","BS_INVENTORIES","1993-06-18","2026-05-02","Per=Y","Days=T","Dir=V")</f>
        <v>0</v>
      </c>
      <c r="W2">
        <f>BDH("VGAS US Equity","WORKING_CAPITAL","1993-06-18","2026-05-02","Per=Y","Days=T","Dir=V")</f>
        <v>0</v>
      </c>
      <c r="Y2">
        <f>BDH("VGAS US Equity","SALES_REV_TURN","1993-06-18","2026-05-02","Per=Y","Days=T","Dir=V")</f>
        <v>0</v>
      </c>
      <c r="AA2">
        <f>BDH("VGAS US Equity","EBIT","1993-06-18","2026-05-02","Per=Y","Days=T","Dir=V")</f>
        <v>0</v>
      </c>
      <c r="AC2">
        <f>BDH("VGAS US Equity","EBITDA","1993-06-18","2026-05-02","Per=Y","Days=T","Dir=V")</f>
        <v>0</v>
      </c>
      <c r="AE2">
        <f>BDH("VGAS US Equity","NET_INCOME","1993-06-18","2026-05-02","Per=Y","Days=T","Dir=V")</f>
        <v>0</v>
      </c>
      <c r="AG2">
        <f>BDH("VGAS US Equity","IS_INT_EXPENSE","1993-06-18","2026-05-02","Per=Y","Days=T","Dir=V")</f>
        <v>0</v>
      </c>
      <c r="AI2">
        <f>BDH("VGAS US Equity","IS_DEPR_EXP","1993-06-18","2026-05-02","Per=Y","Days=T","Dir=V")</f>
        <v>0</v>
      </c>
      <c r="AK2">
        <f>BDH("VGAS US Equity","CF_CASH_FROM_OPER","1993-06-18","2026-05-02","Per=Y","Days=T","Dir=V")</f>
        <v>0</v>
      </c>
      <c r="AM2">
        <f>BDH("VGAS US Equity","CAPITAL_EXPEND","1993-06-18","2026-05-02","Per=Y","Days=T","Dir=V")</f>
        <v>0</v>
      </c>
      <c r="AO2">
        <f>BDH("VGAS US Equity","CF_FREE_CASH_FLOW","1993-06-18","2026-05-02","Per=Y","Days=T","Dir=V")</f>
        <v>0</v>
      </c>
      <c r="AQ2">
        <f>BDH("VGAS US Equity","PX_LAST","1993-06-18","2026-05-02","Per=M","Days=T","Dir=V")</f>
        <v>0</v>
      </c>
      <c r="AS2">
        <f>BDH("VGAS US Equity","CUR_MKT_CAP","1993-06-18","2026-05-02","Per=M","Days=T","Dir=V")</f>
        <v>0</v>
      </c>
      <c r="AU2">
        <f>BDH("VGAS US Equity","EQY_SH_OUT","1993-06-18","2026-05-02","Per=M","Days=T","Dir=V")</f>
        <v>0</v>
      </c>
      <c r="AW2">
        <f>BDH("VGAS US Equity","PX_VOLUME","1993-06-18","2026-05-02","Per=M","Days=T","Dir=V")</f>
        <v>0</v>
      </c>
      <c r="AY2">
        <f>BDH("VGAS US Equity","TURNOVER","1993-06-18","2026-05-02","Per=M","Days=T","Dir=V")</f>
        <v>0</v>
      </c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BDH("VGASW US Equity","BS_TOT_ASSET","1993-06-18","2026-05-02","Per=Y","Days=T","Dir=V")</f>
        <v>0</v>
      </c>
      <c r="C2">
        <f>BDH("VGASW US Equity","BS_TOT_LIAB2","1993-06-18","2026-05-02","Per=Y","Days=T","Dir=V")</f>
        <v>0</v>
      </c>
      <c r="E2">
        <f>BDH("VGASW US Equity","SHORT_AND_LONG_TERM_DEBT","1993-06-18","2026-05-02","Per=Y","Days=T","Dir=V")</f>
        <v>0</v>
      </c>
      <c r="G2">
        <f>BDH("VGASW US Equity","BS_ST_BORROW","1993-06-18","2026-05-02","Per=Y","Days=T","Dir=V")</f>
        <v>0</v>
      </c>
      <c r="I2">
        <f>BDH("VGASW US Equity","BS_LT_BORROW","1993-06-18","2026-05-02","Per=Y","Days=T","Dir=V")</f>
        <v>0</v>
      </c>
      <c r="K2">
        <f>BDH("VGASW US Equity","BS_CASH_NEAR_CASH_ITEM","1993-06-18","2026-05-02","Per=Y","Days=T","Dir=V")</f>
        <v>0</v>
      </c>
      <c r="M2">
        <f>BDH("VGASW US Equity","BS_CUR_ASSET_REPORT","1993-06-18","2026-05-02","Per=Y","Days=T","Dir=V")</f>
        <v>0</v>
      </c>
      <c r="O2">
        <f>BDH("VGASW US Equity","BS_CUR_LIAB","1993-06-18","2026-05-02","Per=Y","Days=T","Dir=V")</f>
        <v>0</v>
      </c>
      <c r="Q2">
        <f>BDH("VGASW US Equity","BS_SHAREHOLDER_EQY_ENDING_PERIOD","1993-06-18","2026-05-02","Per=Y","Days=T","Dir=V")</f>
        <v>0</v>
      </c>
      <c r="S2">
        <f>BDH("VGASW US Equity","BS_ACCT_NOTE_RCV","1993-06-18","2026-05-02","Per=Y","Days=T","Dir=V")</f>
        <v>0</v>
      </c>
      <c r="U2">
        <f>BDH("VGASW US Equity","BS_INVENTORIES","1993-06-18","2026-05-02","Per=Y","Days=T","Dir=V")</f>
        <v>0</v>
      </c>
      <c r="W2">
        <f>BDH("VGASW US Equity","WORKING_CAPITAL","1993-06-18","2026-05-02","Per=Y","Days=T","Dir=V")</f>
        <v>0</v>
      </c>
      <c r="Y2">
        <f>BDH("VGASW US Equity","SALES_REV_TURN","1993-06-18","2026-05-02","Per=Y","Days=T","Dir=V")</f>
        <v>0</v>
      </c>
      <c r="AA2">
        <f>BDH("VGASW US Equity","EBIT","1993-06-18","2026-05-02","Per=Y","Days=T","Dir=V")</f>
        <v>0</v>
      </c>
      <c r="AC2">
        <f>BDH("VGASW US Equity","EBITDA","1993-06-18","2026-05-02","Per=Y","Days=T","Dir=V")</f>
        <v>0</v>
      </c>
      <c r="AE2">
        <f>BDH("VGASW US Equity","NET_INCOME","1993-06-18","2026-05-02","Per=Y","Days=T","Dir=V")</f>
        <v>0</v>
      </c>
      <c r="AG2">
        <f>BDH("VGASW US Equity","IS_INT_EXPENSE","1993-06-18","2026-05-02","Per=Y","Days=T","Dir=V")</f>
        <v>0</v>
      </c>
      <c r="AI2">
        <f>BDH("VGASW US Equity","IS_DEPR_EXP","1993-06-18","2026-05-02","Per=Y","Days=T","Dir=V")</f>
        <v>0</v>
      </c>
      <c r="AK2">
        <f>BDH("VGASW US Equity","CF_CASH_FROM_OPER","1993-06-18","2026-05-02","Per=Y","Days=T","Dir=V")</f>
        <v>0</v>
      </c>
      <c r="AM2">
        <f>BDH("VGASW US Equity","CAPITAL_EXPEND","1993-06-18","2026-05-02","Per=Y","Days=T","Dir=V")</f>
        <v>0</v>
      </c>
      <c r="AO2">
        <f>BDH("VGASW US Equity","CF_FREE_CASH_FLOW","1993-06-18","2026-05-02","Per=Y","Days=T","Dir=V")</f>
        <v>0</v>
      </c>
      <c r="AQ2">
        <f>BDH("VGASW US Equity","PX_LAST","1993-06-18","2026-05-02","Per=M","Days=T","Dir=V")</f>
        <v>0</v>
      </c>
      <c r="AS2">
        <f>BDH("VGASW US Equity","CUR_MKT_CAP","1993-06-18","2026-05-02","Per=M","Days=T","Dir=V")</f>
        <v>0</v>
      </c>
      <c r="AU2">
        <f>BDH("VGASW US Equity","EQY_SH_OUT","1993-06-18","2026-05-02","Per=M","Days=T","Dir=V")</f>
        <v>0</v>
      </c>
      <c r="AW2">
        <f>BDH("VGASW US Equity","PX_VOLUME","1993-06-18","2026-05-02","Per=M","Days=T","Dir=V")</f>
        <v>0</v>
      </c>
      <c r="AY2">
        <f>BDH("VGASW US Equity","TURNOVER","1993-06-18","2026-05-02","Per=M","Days=T","Dir=V")</f>
        <v>0</v>
      </c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BDH("VGZ US Equity","BS_TOT_ASSET","1993-06-18","2026-05-02","Per=Y","Days=T","Dir=V")</f>
        <v>0</v>
      </c>
      <c r="C2">
        <f>BDH("VGZ US Equity","BS_TOT_LIAB2","1993-06-18","2026-05-02","Per=Y","Days=T","Dir=V")</f>
        <v>0</v>
      </c>
      <c r="E2">
        <f>BDH("VGZ US Equity","SHORT_AND_LONG_TERM_DEBT","1993-06-18","2026-05-02","Per=Y","Days=T","Dir=V")</f>
        <v>0</v>
      </c>
      <c r="G2">
        <f>BDH("VGZ US Equity","BS_ST_BORROW","1993-06-18","2026-05-02","Per=Y","Days=T","Dir=V")</f>
        <v>0</v>
      </c>
      <c r="I2">
        <f>BDH("VGZ US Equity","BS_LT_BORROW","1993-06-18","2026-05-02","Per=Y","Days=T","Dir=V")</f>
        <v>0</v>
      </c>
      <c r="K2">
        <f>BDH("VGZ US Equity","BS_CASH_NEAR_CASH_ITEM","1993-06-18","2026-05-02","Per=Y","Days=T","Dir=V")</f>
        <v>0</v>
      </c>
      <c r="M2">
        <f>BDH("VGZ US Equity","BS_CUR_ASSET_REPORT","1993-06-18","2026-05-02","Per=Y","Days=T","Dir=V")</f>
        <v>0</v>
      </c>
      <c r="O2">
        <f>BDH("VGZ US Equity","BS_CUR_LIAB","1993-06-18","2026-05-02","Per=Y","Days=T","Dir=V")</f>
        <v>0</v>
      </c>
      <c r="Q2">
        <f>BDH("VGZ US Equity","BS_SHAREHOLDER_EQY_ENDING_PERIOD","1993-06-18","2026-05-02","Per=Y","Days=T","Dir=V")</f>
        <v>0</v>
      </c>
      <c r="S2">
        <f>BDH("VGZ US Equity","BS_ACCT_NOTE_RCV","1993-06-18","2026-05-02","Per=Y","Days=T","Dir=V")</f>
        <v>0</v>
      </c>
      <c r="U2">
        <f>BDH("VGZ US Equity","BS_INVENTORIES","1993-06-18","2026-05-02","Per=Y","Days=T","Dir=V")</f>
        <v>0</v>
      </c>
      <c r="W2">
        <f>BDH("VGZ US Equity","WORKING_CAPITAL","1993-06-18","2026-05-02","Per=Y","Days=T","Dir=V")</f>
        <v>0</v>
      </c>
      <c r="Y2">
        <f>BDH("VGZ US Equity","SALES_REV_TURN","1993-06-18","2026-05-02","Per=Y","Days=T","Dir=V")</f>
        <v>0</v>
      </c>
      <c r="AA2">
        <f>BDH("VGZ US Equity","EBIT","1993-06-18","2026-05-02","Per=Y","Days=T","Dir=V")</f>
        <v>0</v>
      </c>
      <c r="AC2">
        <f>BDH("VGZ US Equity","EBITDA","1993-06-18","2026-05-02","Per=Y","Days=T","Dir=V")</f>
        <v>0</v>
      </c>
      <c r="AE2">
        <f>BDH("VGZ US Equity","NET_INCOME","1993-06-18","2026-05-02","Per=Y","Days=T","Dir=V")</f>
        <v>0</v>
      </c>
      <c r="AG2">
        <f>BDH("VGZ US Equity","IS_INT_EXPENSE","1993-06-18","2026-05-02","Per=Y","Days=T","Dir=V")</f>
        <v>0</v>
      </c>
      <c r="AI2">
        <f>BDH("VGZ US Equity","IS_DEPR_EXP","1993-06-18","2026-05-02","Per=Y","Days=T","Dir=V")</f>
        <v>0</v>
      </c>
      <c r="AK2">
        <f>BDH("VGZ US Equity","CF_CASH_FROM_OPER","1993-06-18","2026-05-02","Per=Y","Days=T","Dir=V")</f>
        <v>0</v>
      </c>
      <c r="AM2">
        <f>BDH("VGZ US Equity","CAPITAL_EXPEND","1993-06-18","2026-05-02","Per=Y","Days=T","Dir=V")</f>
        <v>0</v>
      </c>
      <c r="AO2">
        <f>BDH("VGZ US Equity","CF_FREE_CASH_FLOW","1993-06-18","2026-05-02","Per=Y","Days=T","Dir=V")</f>
        <v>0</v>
      </c>
      <c r="AQ2">
        <f>BDH("VGZ US Equity","PX_LAST","1993-06-18","2026-05-02","Per=M","Days=T","Dir=V")</f>
        <v>0</v>
      </c>
      <c r="AS2">
        <f>BDH("VGZ US Equity","CUR_MKT_CAP","1993-06-18","2026-05-02","Per=M","Days=T","Dir=V")</f>
        <v>0</v>
      </c>
      <c r="AU2">
        <f>BDH("VGZ US Equity","EQY_SH_OUT","1993-06-18","2026-05-02","Per=M","Days=T","Dir=V")</f>
        <v>0</v>
      </c>
      <c r="AW2">
        <f>BDH("VGZ US Equity","PX_VOLUME","1993-06-18","2026-05-02","Per=M","Days=T","Dir=V")</f>
        <v>0</v>
      </c>
      <c r="AY2">
        <f>BDH("VGZ US Equity","TURNOVER","1993-06-18","2026-05-02","Per=M","Days=T","Dir=V")</f>
        <v>0</v>
      </c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BDH("VHI US Equity","BS_TOT_ASSET","1993-06-18","2026-05-02","Per=Y","Days=T","Dir=V")</f>
        <v>0</v>
      </c>
      <c r="C2">
        <f>BDH("VHI US Equity","BS_TOT_LIAB2","1993-06-18","2026-05-02","Per=Y","Days=T","Dir=V")</f>
        <v>0</v>
      </c>
      <c r="E2">
        <f>BDH("VHI US Equity","SHORT_AND_LONG_TERM_DEBT","1993-06-18","2026-05-02","Per=Y","Days=T","Dir=V")</f>
        <v>0</v>
      </c>
      <c r="G2">
        <f>BDH("VHI US Equity","BS_ST_BORROW","1993-06-18","2026-05-02","Per=Y","Days=T","Dir=V")</f>
        <v>0</v>
      </c>
      <c r="I2">
        <f>BDH("VHI US Equity","BS_LT_BORROW","1993-06-18","2026-05-02","Per=Y","Days=T","Dir=V")</f>
        <v>0</v>
      </c>
      <c r="K2">
        <f>BDH("VHI US Equity","BS_CASH_NEAR_CASH_ITEM","1993-06-18","2026-05-02","Per=Y","Days=T","Dir=V")</f>
        <v>0</v>
      </c>
      <c r="M2">
        <f>BDH("VHI US Equity","BS_CUR_ASSET_REPORT","1993-06-18","2026-05-02","Per=Y","Days=T","Dir=V")</f>
        <v>0</v>
      </c>
      <c r="O2">
        <f>BDH("VHI US Equity","BS_CUR_LIAB","1993-06-18","2026-05-02","Per=Y","Days=T","Dir=V")</f>
        <v>0</v>
      </c>
      <c r="Q2">
        <f>BDH("VHI US Equity","BS_SHAREHOLDER_EQY_ENDING_PERIOD","1993-06-18","2026-05-02","Per=Y","Days=T","Dir=V")</f>
        <v>0</v>
      </c>
      <c r="S2">
        <f>BDH("VHI US Equity","BS_ACCT_NOTE_RCV","1993-06-18","2026-05-02","Per=Y","Days=T","Dir=V")</f>
        <v>0</v>
      </c>
      <c r="U2">
        <f>BDH("VHI US Equity","BS_INVENTORIES","1993-06-18","2026-05-02","Per=Y","Days=T","Dir=V")</f>
        <v>0</v>
      </c>
      <c r="W2">
        <f>BDH("VHI US Equity","WORKING_CAPITAL","1993-06-18","2026-05-02","Per=Y","Days=T","Dir=V")</f>
        <v>0</v>
      </c>
      <c r="Y2">
        <f>BDH("VHI US Equity","SALES_REV_TURN","1993-06-18","2026-05-02","Per=Y","Days=T","Dir=V")</f>
        <v>0</v>
      </c>
      <c r="AA2">
        <f>BDH("VHI US Equity","EBIT","1993-06-18","2026-05-02","Per=Y","Days=T","Dir=V")</f>
        <v>0</v>
      </c>
      <c r="AC2">
        <f>BDH("VHI US Equity","EBITDA","1993-06-18","2026-05-02","Per=Y","Days=T","Dir=V")</f>
        <v>0</v>
      </c>
      <c r="AE2">
        <f>BDH("VHI US Equity","NET_INCOME","1993-06-18","2026-05-02","Per=Y","Days=T","Dir=V")</f>
        <v>0</v>
      </c>
      <c r="AG2">
        <f>BDH("VHI US Equity","IS_INT_EXPENSE","1993-06-18","2026-05-02","Per=Y","Days=T","Dir=V")</f>
        <v>0</v>
      </c>
      <c r="AI2">
        <f>BDH("VHI US Equity","IS_DEPR_EXP","1993-06-18","2026-05-02","Per=Y","Days=T","Dir=V")</f>
        <v>0</v>
      </c>
      <c r="AK2">
        <f>BDH("VHI US Equity","CF_CASH_FROM_OPER","1993-06-18","2026-05-02","Per=Y","Days=T","Dir=V")</f>
        <v>0</v>
      </c>
      <c r="AM2">
        <f>BDH("VHI US Equity","CAPITAL_EXPEND","1993-06-18","2026-05-02","Per=Y","Days=T","Dir=V")</f>
        <v>0</v>
      </c>
      <c r="AO2">
        <f>BDH("VHI US Equity","CF_FREE_CASH_FLOW","1993-06-18","2026-05-02","Per=Y","Days=T","Dir=V")</f>
        <v>0</v>
      </c>
      <c r="AQ2">
        <f>BDH("VHI US Equity","PX_LAST","1993-06-18","2026-05-02","Per=M","Days=T","Dir=V")</f>
        <v>0</v>
      </c>
      <c r="AS2">
        <f>BDH("VHI US Equity","CUR_MKT_CAP","1993-06-18","2026-05-02","Per=M","Days=T","Dir=V")</f>
        <v>0</v>
      </c>
      <c r="AU2">
        <f>BDH("VHI US Equity","EQY_SH_OUT","1993-06-18","2026-05-02","Per=M","Days=T","Dir=V")</f>
        <v>0</v>
      </c>
      <c r="AW2">
        <f>BDH("VHI US Equity","PX_VOLUME","1993-06-18","2026-05-02","Per=M","Days=T","Dir=V")</f>
        <v>0</v>
      </c>
      <c r="AY2">
        <f>BDH("VHI US Equity","TURNOVER","1993-06-18","2026-05-02","Per=M","Days=T","Dir=V")</f>
        <v>0</v>
      </c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BDH("VHUB US Equity","BS_TOT_ASSET","1993-06-18","2026-05-02","Per=Y","Days=T","Dir=V")</f>
        <v>0</v>
      </c>
      <c r="C2">
        <f>BDH("VHUB US Equity","BS_TOT_LIAB2","1993-06-18","2026-05-02","Per=Y","Days=T","Dir=V")</f>
        <v>0</v>
      </c>
      <c r="E2">
        <f>BDH("VHUB US Equity","SHORT_AND_LONG_TERM_DEBT","1993-06-18","2026-05-02","Per=Y","Days=T","Dir=V")</f>
        <v>0</v>
      </c>
      <c r="G2">
        <f>BDH("VHUB US Equity","BS_ST_BORROW","1993-06-18","2026-05-02","Per=Y","Days=T","Dir=V")</f>
        <v>0</v>
      </c>
      <c r="I2">
        <f>BDH("VHUB US Equity","BS_LT_BORROW","1993-06-18","2026-05-02","Per=Y","Days=T","Dir=V")</f>
        <v>0</v>
      </c>
      <c r="K2">
        <f>BDH("VHUB US Equity","BS_CASH_NEAR_CASH_ITEM","1993-06-18","2026-05-02","Per=Y","Days=T","Dir=V")</f>
        <v>0</v>
      </c>
      <c r="M2">
        <f>BDH("VHUB US Equity","BS_CUR_ASSET_REPORT","1993-06-18","2026-05-02","Per=Y","Days=T","Dir=V")</f>
        <v>0</v>
      </c>
      <c r="O2">
        <f>BDH("VHUB US Equity","BS_CUR_LIAB","1993-06-18","2026-05-02","Per=Y","Days=T","Dir=V")</f>
        <v>0</v>
      </c>
      <c r="Q2">
        <f>BDH("VHUB US Equity","BS_SHAREHOLDER_EQY_ENDING_PERIOD","1993-06-18","2026-05-02","Per=Y","Days=T","Dir=V")</f>
        <v>0</v>
      </c>
      <c r="S2">
        <f>BDH("VHUB US Equity","BS_ACCT_NOTE_RCV","1993-06-18","2026-05-02","Per=Y","Days=T","Dir=V")</f>
        <v>0</v>
      </c>
      <c r="U2">
        <f>BDH("VHUB US Equity","BS_INVENTORIES","1993-06-18","2026-05-02","Per=Y","Days=T","Dir=V")</f>
        <v>0</v>
      </c>
      <c r="W2">
        <f>BDH("VHUB US Equity","WORKING_CAPITAL","1993-06-18","2026-05-02","Per=Y","Days=T","Dir=V")</f>
        <v>0</v>
      </c>
      <c r="Y2">
        <f>BDH("VHUB US Equity","SALES_REV_TURN","1993-06-18","2026-05-02","Per=Y","Days=T","Dir=V")</f>
        <v>0</v>
      </c>
      <c r="AA2">
        <f>BDH("VHUB US Equity","EBIT","1993-06-18","2026-05-02","Per=Y","Days=T","Dir=V")</f>
        <v>0</v>
      </c>
      <c r="AC2">
        <f>BDH("VHUB US Equity","EBITDA","1993-06-18","2026-05-02","Per=Y","Days=T","Dir=V")</f>
        <v>0</v>
      </c>
      <c r="AE2">
        <f>BDH("VHUB US Equity","NET_INCOME","1993-06-18","2026-05-02","Per=Y","Days=T","Dir=V")</f>
        <v>0</v>
      </c>
      <c r="AG2">
        <f>BDH("VHUB US Equity","IS_INT_EXPENSE","1993-06-18","2026-05-02","Per=Y","Days=T","Dir=V")</f>
        <v>0</v>
      </c>
      <c r="AI2">
        <f>BDH("VHUB US Equity","IS_DEPR_EXP","1993-06-18","2026-05-02","Per=Y","Days=T","Dir=V")</f>
        <v>0</v>
      </c>
      <c r="AK2">
        <f>BDH("VHUB US Equity","CF_CASH_FROM_OPER","1993-06-18","2026-05-02","Per=Y","Days=T","Dir=V")</f>
        <v>0</v>
      </c>
      <c r="AM2">
        <f>BDH("VHUB US Equity","CAPITAL_EXPEND","1993-06-18","2026-05-02","Per=Y","Days=T","Dir=V")</f>
        <v>0</v>
      </c>
      <c r="AO2">
        <f>BDH("VHUB US Equity","CF_FREE_CASH_FLOW","1993-06-18","2026-05-02","Per=Y","Days=T","Dir=V")</f>
        <v>0</v>
      </c>
      <c r="AQ2">
        <f>BDH("VHUB US Equity","PX_LAST","1993-06-18","2026-05-02","Per=M","Days=T","Dir=V")</f>
        <v>0</v>
      </c>
      <c r="AS2">
        <f>BDH("VHUB US Equity","CUR_MKT_CAP","1993-06-18","2026-05-02","Per=M","Days=T","Dir=V")</f>
        <v>0</v>
      </c>
      <c r="AU2">
        <f>BDH("VHUB US Equity","EQY_SH_OUT","1993-06-18","2026-05-02","Per=M","Days=T","Dir=V")</f>
        <v>0</v>
      </c>
      <c r="AW2">
        <f>BDH("VHUB US Equity","PX_VOLUME","1993-06-18","2026-05-02","Per=M","Days=T","Dir=V")</f>
        <v>0</v>
      </c>
      <c r="AY2">
        <f>BDH("VHUB US Equity","TURNOVER","1993-06-18","2026-05-02","Per=M","Days=T","Dir=V")</f>
        <v>0</v>
      </c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BDH("VIA US Equity","BS_TOT_ASSET","1993-06-18","2026-05-02","Per=Y","Days=T","Dir=V")</f>
        <v>0</v>
      </c>
      <c r="C2">
        <f>BDH("VIA US Equity","BS_TOT_LIAB2","1993-06-18","2026-05-02","Per=Y","Days=T","Dir=V")</f>
        <v>0</v>
      </c>
      <c r="E2">
        <f>BDH("VIA US Equity","SHORT_AND_LONG_TERM_DEBT","1993-06-18","2026-05-02","Per=Y","Days=T","Dir=V")</f>
        <v>0</v>
      </c>
      <c r="G2">
        <f>BDH("VIA US Equity","BS_ST_BORROW","1993-06-18","2026-05-02","Per=Y","Days=T","Dir=V")</f>
        <v>0</v>
      </c>
      <c r="I2">
        <f>BDH("VIA US Equity","BS_LT_BORROW","1993-06-18","2026-05-02","Per=Y","Days=T","Dir=V")</f>
        <v>0</v>
      </c>
      <c r="K2">
        <f>BDH("VIA US Equity","BS_CASH_NEAR_CASH_ITEM","1993-06-18","2026-05-02","Per=Y","Days=T","Dir=V")</f>
        <v>0</v>
      </c>
      <c r="M2">
        <f>BDH("VIA US Equity","BS_CUR_ASSET_REPORT","1993-06-18","2026-05-02","Per=Y","Days=T","Dir=V")</f>
        <v>0</v>
      </c>
      <c r="O2">
        <f>BDH("VIA US Equity","BS_CUR_LIAB","1993-06-18","2026-05-02","Per=Y","Days=T","Dir=V")</f>
        <v>0</v>
      </c>
      <c r="Q2">
        <f>BDH("VIA US Equity","BS_SHAREHOLDER_EQY_ENDING_PERIOD","1993-06-18","2026-05-02","Per=Y","Days=T","Dir=V")</f>
        <v>0</v>
      </c>
      <c r="S2">
        <f>BDH("VIA US Equity","BS_ACCT_NOTE_RCV","1993-06-18","2026-05-02","Per=Y","Days=T","Dir=V")</f>
        <v>0</v>
      </c>
      <c r="U2">
        <f>BDH("VIA US Equity","BS_INVENTORIES","1993-06-18","2026-05-02","Per=Y","Days=T","Dir=V")</f>
        <v>0</v>
      </c>
      <c r="W2">
        <f>BDH("VIA US Equity","WORKING_CAPITAL","1993-06-18","2026-05-02","Per=Y","Days=T","Dir=V")</f>
        <v>0</v>
      </c>
      <c r="Y2">
        <f>BDH("VIA US Equity","SALES_REV_TURN","1993-06-18","2026-05-02","Per=Y","Days=T","Dir=V")</f>
        <v>0</v>
      </c>
      <c r="AA2">
        <f>BDH("VIA US Equity","EBIT","1993-06-18","2026-05-02","Per=Y","Days=T","Dir=V")</f>
        <v>0</v>
      </c>
      <c r="AC2">
        <f>BDH("VIA US Equity","EBITDA","1993-06-18","2026-05-02","Per=Y","Days=T","Dir=V")</f>
        <v>0</v>
      </c>
      <c r="AE2">
        <f>BDH("VIA US Equity","NET_INCOME","1993-06-18","2026-05-02","Per=Y","Days=T","Dir=V")</f>
        <v>0</v>
      </c>
      <c r="AG2">
        <f>BDH("VIA US Equity","IS_INT_EXPENSE","1993-06-18","2026-05-02","Per=Y","Days=T","Dir=V")</f>
        <v>0</v>
      </c>
      <c r="AI2">
        <f>BDH("VIA US Equity","IS_DEPR_EXP","1993-06-18","2026-05-02","Per=Y","Days=T","Dir=V")</f>
        <v>0</v>
      </c>
      <c r="AK2">
        <f>BDH("VIA US Equity","CF_CASH_FROM_OPER","1993-06-18","2026-05-02","Per=Y","Days=T","Dir=V")</f>
        <v>0</v>
      </c>
      <c r="AM2">
        <f>BDH("VIA US Equity","CAPITAL_EXPEND","1993-06-18","2026-05-02","Per=Y","Days=T","Dir=V")</f>
        <v>0</v>
      </c>
      <c r="AO2">
        <f>BDH("VIA US Equity","CF_FREE_CASH_FLOW","1993-06-18","2026-05-02","Per=Y","Days=T","Dir=V")</f>
        <v>0</v>
      </c>
      <c r="AQ2">
        <f>BDH("VIA US Equity","PX_LAST","1993-06-18","2026-05-02","Per=M","Days=T","Dir=V")</f>
        <v>0</v>
      </c>
      <c r="AS2">
        <f>BDH("VIA US Equity","CUR_MKT_CAP","1993-06-18","2026-05-02","Per=M","Days=T","Dir=V")</f>
        <v>0</v>
      </c>
      <c r="AU2">
        <f>BDH("VIA US Equity","EQY_SH_OUT","1993-06-18","2026-05-02","Per=M","Days=T","Dir=V")</f>
        <v>0</v>
      </c>
      <c r="AW2">
        <f>BDH("VIA US Equity","PX_VOLUME","1993-06-18","2026-05-02","Per=M","Days=T","Dir=V")</f>
        <v>0</v>
      </c>
      <c r="AY2">
        <f>BDH("VIA US Equity","TURNOVER","1993-06-18","2026-05-02","Per=M","Days=T","Dir=V")</f>
        <v>0</v>
      </c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BDH("VIAV US Equity","BS_TOT_ASSET","1993-06-18","2026-05-02","Per=Y","Days=T","Dir=V")</f>
        <v>0</v>
      </c>
      <c r="C2">
        <f>BDH("VIAV US Equity","BS_TOT_LIAB2","1993-06-18","2026-05-02","Per=Y","Days=T","Dir=V")</f>
        <v>0</v>
      </c>
      <c r="E2">
        <f>BDH("VIAV US Equity","SHORT_AND_LONG_TERM_DEBT","1993-06-18","2026-05-02","Per=Y","Days=T","Dir=V")</f>
        <v>0</v>
      </c>
      <c r="G2">
        <f>BDH("VIAV US Equity","BS_ST_BORROW","1993-06-18","2026-05-02","Per=Y","Days=T","Dir=V")</f>
        <v>0</v>
      </c>
      <c r="I2">
        <f>BDH("VIAV US Equity","BS_LT_BORROW","1993-06-18","2026-05-02","Per=Y","Days=T","Dir=V")</f>
        <v>0</v>
      </c>
      <c r="K2">
        <f>BDH("VIAV US Equity","BS_CASH_NEAR_CASH_ITEM","1993-06-18","2026-05-02","Per=Y","Days=T","Dir=V")</f>
        <v>0</v>
      </c>
      <c r="M2">
        <f>BDH("VIAV US Equity","BS_CUR_ASSET_REPORT","1993-06-18","2026-05-02","Per=Y","Days=T","Dir=V")</f>
        <v>0</v>
      </c>
      <c r="O2">
        <f>BDH("VIAV US Equity","BS_CUR_LIAB","1993-06-18","2026-05-02","Per=Y","Days=T","Dir=V")</f>
        <v>0</v>
      </c>
      <c r="Q2">
        <f>BDH("VIAV US Equity","BS_SHAREHOLDER_EQY_ENDING_PERIOD","1993-06-18","2026-05-02","Per=Y","Days=T","Dir=V")</f>
        <v>0</v>
      </c>
      <c r="S2">
        <f>BDH("VIAV US Equity","BS_ACCT_NOTE_RCV","1993-06-18","2026-05-02","Per=Y","Days=T","Dir=V")</f>
        <v>0</v>
      </c>
      <c r="U2">
        <f>BDH("VIAV US Equity","BS_INVENTORIES","1993-06-18","2026-05-02","Per=Y","Days=T","Dir=V")</f>
        <v>0</v>
      </c>
      <c r="W2">
        <f>BDH("VIAV US Equity","WORKING_CAPITAL","1993-06-18","2026-05-02","Per=Y","Days=T","Dir=V")</f>
        <v>0</v>
      </c>
      <c r="Y2">
        <f>BDH("VIAV US Equity","SALES_REV_TURN","1993-06-18","2026-05-02","Per=Y","Days=T","Dir=V")</f>
        <v>0</v>
      </c>
      <c r="AA2">
        <f>BDH("VIAV US Equity","EBIT","1993-06-18","2026-05-02","Per=Y","Days=T","Dir=V")</f>
        <v>0</v>
      </c>
      <c r="AC2">
        <f>BDH("VIAV US Equity","EBITDA","1993-06-18","2026-05-02","Per=Y","Days=T","Dir=V")</f>
        <v>0</v>
      </c>
      <c r="AE2">
        <f>BDH("VIAV US Equity","NET_INCOME","1993-06-18","2026-05-02","Per=Y","Days=T","Dir=V")</f>
        <v>0</v>
      </c>
      <c r="AG2">
        <f>BDH("VIAV US Equity","IS_INT_EXPENSE","1993-06-18","2026-05-02","Per=Y","Days=T","Dir=V")</f>
        <v>0</v>
      </c>
      <c r="AI2">
        <f>BDH("VIAV US Equity","IS_DEPR_EXP","1993-06-18","2026-05-02","Per=Y","Days=T","Dir=V")</f>
        <v>0</v>
      </c>
      <c r="AK2">
        <f>BDH("VIAV US Equity","CF_CASH_FROM_OPER","1993-06-18","2026-05-02","Per=Y","Days=T","Dir=V")</f>
        <v>0</v>
      </c>
      <c r="AM2">
        <f>BDH("VIAV US Equity","CAPITAL_EXPEND","1993-06-18","2026-05-02","Per=Y","Days=T","Dir=V")</f>
        <v>0</v>
      </c>
      <c r="AO2">
        <f>BDH("VIAV US Equity","CF_FREE_CASH_FLOW","1993-06-18","2026-05-02","Per=Y","Days=T","Dir=V")</f>
        <v>0</v>
      </c>
      <c r="AQ2">
        <f>BDH("VIAV US Equity","PX_LAST","1993-06-18","2026-05-02","Per=M","Days=T","Dir=V")</f>
        <v>0</v>
      </c>
      <c r="AS2">
        <f>BDH("VIAV US Equity","CUR_MKT_CAP","1993-06-18","2026-05-02","Per=M","Days=T","Dir=V")</f>
        <v>0</v>
      </c>
      <c r="AU2">
        <f>BDH("VIAV US Equity","EQY_SH_OUT","1993-06-18","2026-05-02","Per=M","Days=T","Dir=V")</f>
        <v>0</v>
      </c>
      <c r="AW2">
        <f>BDH("VIAV US Equity","PX_VOLUME","1993-06-18","2026-05-02","Per=M","Days=T","Dir=V")</f>
        <v>0</v>
      </c>
      <c r="AY2">
        <f>BDH("VIAV US Equity","TURNOVER","1993-06-18","2026-05-02","Per=M","Days=T","Dir=V")</f>
        <v>0</v>
      </c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BDH("VICR US Equity","BS_TOT_ASSET","1993-06-18","2026-05-02","Per=Y","Days=T","Dir=V")</f>
        <v>0</v>
      </c>
      <c r="C2">
        <f>BDH("VICR US Equity","BS_TOT_LIAB2","1993-06-18","2026-05-02","Per=Y","Days=T","Dir=V")</f>
        <v>0</v>
      </c>
      <c r="E2">
        <f>BDH("VICR US Equity","SHORT_AND_LONG_TERM_DEBT","1993-06-18","2026-05-02","Per=Y","Days=T","Dir=V")</f>
        <v>0</v>
      </c>
      <c r="G2">
        <f>BDH("VICR US Equity","BS_ST_BORROW","1993-06-18","2026-05-02","Per=Y","Days=T","Dir=V")</f>
        <v>0</v>
      </c>
      <c r="I2">
        <f>BDH("VICR US Equity","BS_LT_BORROW","1993-06-18","2026-05-02","Per=Y","Days=T","Dir=V")</f>
        <v>0</v>
      </c>
      <c r="K2">
        <f>BDH("VICR US Equity","BS_CASH_NEAR_CASH_ITEM","1993-06-18","2026-05-02","Per=Y","Days=T","Dir=V")</f>
        <v>0</v>
      </c>
      <c r="M2">
        <f>BDH("VICR US Equity","BS_CUR_ASSET_REPORT","1993-06-18","2026-05-02","Per=Y","Days=T","Dir=V")</f>
        <v>0</v>
      </c>
      <c r="O2">
        <f>BDH("VICR US Equity","BS_CUR_LIAB","1993-06-18","2026-05-02","Per=Y","Days=T","Dir=V")</f>
        <v>0</v>
      </c>
      <c r="Q2">
        <f>BDH("VICR US Equity","BS_SHAREHOLDER_EQY_ENDING_PERIOD","1993-06-18","2026-05-02","Per=Y","Days=T","Dir=V")</f>
        <v>0</v>
      </c>
      <c r="S2">
        <f>BDH("VICR US Equity","BS_ACCT_NOTE_RCV","1993-06-18","2026-05-02","Per=Y","Days=T","Dir=V")</f>
        <v>0</v>
      </c>
      <c r="U2">
        <f>BDH("VICR US Equity","BS_INVENTORIES","1993-06-18","2026-05-02","Per=Y","Days=T","Dir=V")</f>
        <v>0</v>
      </c>
      <c r="W2">
        <f>BDH("VICR US Equity","WORKING_CAPITAL","1993-06-18","2026-05-02","Per=Y","Days=T","Dir=V")</f>
        <v>0</v>
      </c>
      <c r="Y2">
        <f>BDH("VICR US Equity","SALES_REV_TURN","1993-06-18","2026-05-02","Per=Y","Days=T","Dir=V")</f>
        <v>0</v>
      </c>
      <c r="AA2">
        <f>BDH("VICR US Equity","EBIT","1993-06-18","2026-05-02","Per=Y","Days=T","Dir=V")</f>
        <v>0</v>
      </c>
      <c r="AC2">
        <f>BDH("VICR US Equity","EBITDA","1993-06-18","2026-05-02","Per=Y","Days=T","Dir=V")</f>
        <v>0</v>
      </c>
      <c r="AE2">
        <f>BDH("VICR US Equity","NET_INCOME","1993-06-18","2026-05-02","Per=Y","Days=T","Dir=V")</f>
        <v>0</v>
      </c>
      <c r="AG2">
        <f>BDH("VICR US Equity","IS_INT_EXPENSE","1993-06-18","2026-05-02","Per=Y","Days=T","Dir=V")</f>
        <v>0</v>
      </c>
      <c r="AI2">
        <f>BDH("VICR US Equity","IS_DEPR_EXP","1993-06-18","2026-05-02","Per=Y","Days=T","Dir=V")</f>
        <v>0</v>
      </c>
      <c r="AK2">
        <f>BDH("VICR US Equity","CF_CASH_FROM_OPER","1993-06-18","2026-05-02","Per=Y","Days=T","Dir=V")</f>
        <v>0</v>
      </c>
      <c r="AM2">
        <f>BDH("VICR US Equity","CAPITAL_EXPEND","1993-06-18","2026-05-02","Per=Y","Days=T","Dir=V")</f>
        <v>0</v>
      </c>
      <c r="AO2">
        <f>BDH("VICR US Equity","CF_FREE_CASH_FLOW","1993-06-18","2026-05-02","Per=Y","Days=T","Dir=V")</f>
        <v>0</v>
      </c>
      <c r="AQ2">
        <f>BDH("VICR US Equity","PX_LAST","1993-06-18","2026-05-02","Per=M","Days=T","Dir=V")</f>
        <v>0</v>
      </c>
      <c r="AS2">
        <f>BDH("VICR US Equity","CUR_MKT_CAP","1993-06-18","2026-05-02","Per=M","Days=T","Dir=V")</f>
        <v>0</v>
      </c>
      <c r="AU2">
        <f>BDH("VICR US Equity","EQY_SH_OUT","1993-06-18","2026-05-02","Per=M","Days=T","Dir=V")</f>
        <v>0</v>
      </c>
      <c r="AW2">
        <f>BDH("VICR US Equity","PX_VOLUME","1993-06-18","2026-05-02","Per=M","Days=T","Dir=V")</f>
        <v>0</v>
      </c>
      <c r="AY2">
        <f>BDH("VICR US Equity","TURNOVER","1993-06-18","2026-05-02","Per=M","Days=T","Dir=V")</f>
        <v>0</v>
      </c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BDH("VIK US Equity","BS_TOT_ASSET","1993-06-18","2026-05-02","Per=Y","Days=T","Dir=V")</f>
        <v>0</v>
      </c>
      <c r="C2">
        <f>BDH("VIK US Equity","BS_TOT_LIAB2","1993-06-18","2026-05-02","Per=Y","Days=T","Dir=V")</f>
        <v>0</v>
      </c>
      <c r="E2">
        <f>BDH("VIK US Equity","SHORT_AND_LONG_TERM_DEBT","1993-06-18","2026-05-02","Per=Y","Days=T","Dir=V")</f>
        <v>0</v>
      </c>
      <c r="G2">
        <f>BDH("VIK US Equity","BS_ST_BORROW","1993-06-18","2026-05-02","Per=Y","Days=T","Dir=V")</f>
        <v>0</v>
      </c>
      <c r="I2">
        <f>BDH("VIK US Equity","BS_LT_BORROW","1993-06-18","2026-05-02","Per=Y","Days=T","Dir=V")</f>
        <v>0</v>
      </c>
      <c r="K2">
        <f>BDH("VIK US Equity","BS_CASH_NEAR_CASH_ITEM","1993-06-18","2026-05-02","Per=Y","Days=T","Dir=V")</f>
        <v>0</v>
      </c>
      <c r="M2">
        <f>BDH("VIK US Equity","BS_CUR_ASSET_REPORT","1993-06-18","2026-05-02","Per=Y","Days=T","Dir=V")</f>
        <v>0</v>
      </c>
      <c r="O2">
        <f>BDH("VIK US Equity","BS_CUR_LIAB","1993-06-18","2026-05-02","Per=Y","Days=T","Dir=V")</f>
        <v>0</v>
      </c>
      <c r="Q2">
        <f>BDH("VIK US Equity","BS_SHAREHOLDER_EQY_ENDING_PERIOD","1993-06-18","2026-05-02","Per=Y","Days=T","Dir=V")</f>
        <v>0</v>
      </c>
      <c r="S2">
        <f>BDH("VIK US Equity","BS_ACCT_NOTE_RCV","1993-06-18","2026-05-02","Per=Y","Days=T","Dir=V")</f>
        <v>0</v>
      </c>
      <c r="U2">
        <f>BDH("VIK US Equity","BS_INVENTORIES","1993-06-18","2026-05-02","Per=Y","Days=T","Dir=V")</f>
        <v>0</v>
      </c>
      <c r="W2">
        <f>BDH("VIK US Equity","WORKING_CAPITAL","1993-06-18","2026-05-02","Per=Y","Days=T","Dir=V")</f>
        <v>0</v>
      </c>
      <c r="Y2">
        <f>BDH("VIK US Equity","SALES_REV_TURN","1993-06-18","2026-05-02","Per=Y","Days=T","Dir=V")</f>
        <v>0</v>
      </c>
      <c r="AA2">
        <f>BDH("VIK US Equity","EBIT","1993-06-18","2026-05-02","Per=Y","Days=T","Dir=V")</f>
        <v>0</v>
      </c>
      <c r="AC2">
        <f>BDH("VIK US Equity","EBITDA","1993-06-18","2026-05-02","Per=Y","Days=T","Dir=V")</f>
        <v>0</v>
      </c>
      <c r="AE2">
        <f>BDH("VIK US Equity","NET_INCOME","1993-06-18","2026-05-02","Per=Y","Days=T","Dir=V")</f>
        <v>0</v>
      </c>
      <c r="AG2">
        <f>BDH("VIK US Equity","IS_INT_EXPENSE","1993-06-18","2026-05-02","Per=Y","Days=T","Dir=V")</f>
        <v>0</v>
      </c>
      <c r="AI2">
        <f>BDH("VIK US Equity","IS_DEPR_EXP","1993-06-18","2026-05-02","Per=Y","Days=T","Dir=V")</f>
        <v>0</v>
      </c>
      <c r="AK2">
        <f>BDH("VIK US Equity","CF_CASH_FROM_OPER","1993-06-18","2026-05-02","Per=Y","Days=T","Dir=V")</f>
        <v>0</v>
      </c>
      <c r="AM2">
        <f>BDH("VIK US Equity","CAPITAL_EXPEND","1993-06-18","2026-05-02","Per=Y","Days=T","Dir=V")</f>
        <v>0</v>
      </c>
      <c r="AO2">
        <f>BDH("VIK US Equity","CF_FREE_CASH_FLOW","1993-06-18","2026-05-02","Per=Y","Days=T","Dir=V")</f>
        <v>0</v>
      </c>
      <c r="AQ2">
        <f>BDH("VIK US Equity","PX_LAST","1993-06-18","2026-05-02","Per=M","Days=T","Dir=V")</f>
        <v>0</v>
      </c>
      <c r="AS2">
        <f>BDH("VIK US Equity","CUR_MKT_CAP","1993-06-18","2026-05-02","Per=M","Days=T","Dir=V")</f>
        <v>0</v>
      </c>
      <c r="AU2">
        <f>BDH("VIK US Equity","EQY_SH_OUT","1993-06-18","2026-05-02","Per=M","Days=T","Dir=V")</f>
        <v>0</v>
      </c>
      <c r="AW2">
        <f>BDH("VIK US Equity","PX_VOLUME","1993-06-18","2026-05-02","Per=M","Days=T","Dir=V")</f>
        <v>0</v>
      </c>
      <c r="AY2">
        <f>BDH("VIK US Equity","TURNOVER","1993-06-18","2026-05-02","Per=M","Days=T","Dir=V")</f>
        <v>0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BDH("VIR US Equity","BS_TOT_ASSET","1993-06-18","2026-05-02","Per=Y","Days=T","Dir=V")</f>
        <v>0</v>
      </c>
      <c r="C2">
        <f>BDH("VIR US Equity","BS_TOT_LIAB2","1993-06-18","2026-05-02","Per=Y","Days=T","Dir=V")</f>
        <v>0</v>
      </c>
      <c r="E2">
        <f>BDH("VIR US Equity","SHORT_AND_LONG_TERM_DEBT","1993-06-18","2026-05-02","Per=Y","Days=T","Dir=V")</f>
        <v>0</v>
      </c>
      <c r="G2">
        <f>BDH("VIR US Equity","BS_ST_BORROW","1993-06-18","2026-05-02","Per=Y","Days=T","Dir=V")</f>
        <v>0</v>
      </c>
      <c r="I2">
        <f>BDH("VIR US Equity","BS_LT_BORROW","1993-06-18","2026-05-02","Per=Y","Days=T","Dir=V")</f>
        <v>0</v>
      </c>
      <c r="K2">
        <f>BDH("VIR US Equity","BS_CASH_NEAR_CASH_ITEM","1993-06-18","2026-05-02","Per=Y","Days=T","Dir=V")</f>
        <v>0</v>
      </c>
      <c r="M2">
        <f>BDH("VIR US Equity","BS_CUR_ASSET_REPORT","1993-06-18","2026-05-02","Per=Y","Days=T","Dir=V")</f>
        <v>0</v>
      </c>
      <c r="O2">
        <f>BDH("VIR US Equity","BS_CUR_LIAB","1993-06-18","2026-05-02","Per=Y","Days=T","Dir=V")</f>
        <v>0</v>
      </c>
      <c r="Q2">
        <f>BDH("VIR US Equity","BS_SHAREHOLDER_EQY_ENDING_PERIOD","1993-06-18","2026-05-02","Per=Y","Days=T","Dir=V")</f>
        <v>0</v>
      </c>
      <c r="S2">
        <f>BDH("VIR US Equity","BS_ACCT_NOTE_RCV","1993-06-18","2026-05-02","Per=Y","Days=T","Dir=V")</f>
        <v>0</v>
      </c>
      <c r="U2">
        <f>BDH("VIR US Equity","BS_INVENTORIES","1993-06-18","2026-05-02","Per=Y","Days=T","Dir=V")</f>
        <v>0</v>
      </c>
      <c r="W2">
        <f>BDH("VIR US Equity","WORKING_CAPITAL","1993-06-18","2026-05-02","Per=Y","Days=T","Dir=V")</f>
        <v>0</v>
      </c>
      <c r="Y2">
        <f>BDH("VIR US Equity","SALES_REV_TURN","1993-06-18","2026-05-02","Per=Y","Days=T","Dir=V")</f>
        <v>0</v>
      </c>
      <c r="AA2">
        <f>BDH("VIR US Equity","EBIT","1993-06-18","2026-05-02","Per=Y","Days=T","Dir=V")</f>
        <v>0</v>
      </c>
      <c r="AC2">
        <f>BDH("VIR US Equity","EBITDA","1993-06-18","2026-05-02","Per=Y","Days=T","Dir=V")</f>
        <v>0</v>
      </c>
      <c r="AE2">
        <f>BDH("VIR US Equity","NET_INCOME","1993-06-18","2026-05-02","Per=Y","Days=T","Dir=V")</f>
        <v>0</v>
      </c>
      <c r="AG2">
        <f>BDH("VIR US Equity","IS_INT_EXPENSE","1993-06-18","2026-05-02","Per=Y","Days=T","Dir=V")</f>
        <v>0</v>
      </c>
      <c r="AI2">
        <f>BDH("VIR US Equity","IS_DEPR_EXP","1993-06-18","2026-05-02","Per=Y","Days=T","Dir=V")</f>
        <v>0</v>
      </c>
      <c r="AK2">
        <f>BDH("VIR US Equity","CF_CASH_FROM_OPER","1993-06-18","2026-05-02","Per=Y","Days=T","Dir=V")</f>
        <v>0</v>
      </c>
      <c r="AM2">
        <f>BDH("VIR US Equity","CAPITAL_EXPEND","1993-06-18","2026-05-02","Per=Y","Days=T","Dir=V")</f>
        <v>0</v>
      </c>
      <c r="AO2">
        <f>BDH("VIR US Equity","CF_FREE_CASH_FLOW","1993-06-18","2026-05-02","Per=Y","Days=T","Dir=V")</f>
        <v>0</v>
      </c>
      <c r="AQ2">
        <f>BDH("VIR US Equity","PX_LAST","1993-06-18","2026-05-02","Per=M","Days=T","Dir=V")</f>
        <v>0</v>
      </c>
      <c r="AS2">
        <f>BDH("VIR US Equity","CUR_MKT_CAP","1993-06-18","2026-05-02","Per=M","Days=T","Dir=V")</f>
        <v>0</v>
      </c>
      <c r="AU2">
        <f>BDH("VIR US Equity","EQY_SH_OUT","1993-06-18","2026-05-02","Per=M","Days=T","Dir=V")</f>
        <v>0</v>
      </c>
      <c r="AW2">
        <f>BDH("VIR US Equity","PX_VOLUME","1993-06-18","2026-05-02","Per=M","Days=T","Dir=V")</f>
        <v>0</v>
      </c>
      <c r="AY2">
        <f>BDH("VIR US Equity","TURNOVER","1993-06-18","2026-05-02","Per=M","Days=T","Dir=V")</f>
        <v>0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BDH("VIRC US Equity","BS_TOT_ASSET","1993-06-18","2026-05-02","Per=Y","Days=T","Dir=V")</f>
        <v>0</v>
      </c>
      <c r="C2">
        <f>BDH("VIRC US Equity","BS_TOT_LIAB2","1993-06-18","2026-05-02","Per=Y","Days=T","Dir=V")</f>
        <v>0</v>
      </c>
      <c r="E2">
        <f>BDH("VIRC US Equity","SHORT_AND_LONG_TERM_DEBT","1993-06-18","2026-05-02","Per=Y","Days=T","Dir=V")</f>
        <v>0</v>
      </c>
      <c r="G2">
        <f>BDH("VIRC US Equity","BS_ST_BORROW","1993-06-18","2026-05-02","Per=Y","Days=T","Dir=V")</f>
        <v>0</v>
      </c>
      <c r="I2">
        <f>BDH("VIRC US Equity","BS_LT_BORROW","1993-06-18","2026-05-02","Per=Y","Days=T","Dir=V")</f>
        <v>0</v>
      </c>
      <c r="K2">
        <f>BDH("VIRC US Equity","BS_CASH_NEAR_CASH_ITEM","1993-06-18","2026-05-02","Per=Y","Days=T","Dir=V")</f>
        <v>0</v>
      </c>
      <c r="M2">
        <f>BDH("VIRC US Equity","BS_CUR_ASSET_REPORT","1993-06-18","2026-05-02","Per=Y","Days=T","Dir=V")</f>
        <v>0</v>
      </c>
      <c r="O2">
        <f>BDH("VIRC US Equity","BS_CUR_LIAB","1993-06-18","2026-05-02","Per=Y","Days=T","Dir=V")</f>
        <v>0</v>
      </c>
      <c r="Q2">
        <f>BDH("VIRC US Equity","BS_SHAREHOLDER_EQY_ENDING_PERIOD","1993-06-18","2026-05-02","Per=Y","Days=T","Dir=V")</f>
        <v>0</v>
      </c>
      <c r="S2">
        <f>BDH("VIRC US Equity","BS_ACCT_NOTE_RCV","1993-06-18","2026-05-02","Per=Y","Days=T","Dir=V")</f>
        <v>0</v>
      </c>
      <c r="U2">
        <f>BDH("VIRC US Equity","BS_INVENTORIES","1993-06-18","2026-05-02","Per=Y","Days=T","Dir=V")</f>
        <v>0</v>
      </c>
      <c r="W2">
        <f>BDH("VIRC US Equity","WORKING_CAPITAL","1993-06-18","2026-05-02","Per=Y","Days=T","Dir=V")</f>
        <v>0</v>
      </c>
      <c r="Y2">
        <f>BDH("VIRC US Equity","SALES_REV_TURN","1993-06-18","2026-05-02","Per=Y","Days=T","Dir=V")</f>
        <v>0</v>
      </c>
      <c r="AA2">
        <f>BDH("VIRC US Equity","EBIT","1993-06-18","2026-05-02","Per=Y","Days=T","Dir=V")</f>
        <v>0</v>
      </c>
      <c r="AC2">
        <f>BDH("VIRC US Equity","EBITDA","1993-06-18","2026-05-02","Per=Y","Days=T","Dir=V")</f>
        <v>0</v>
      </c>
      <c r="AE2">
        <f>BDH("VIRC US Equity","NET_INCOME","1993-06-18","2026-05-02","Per=Y","Days=T","Dir=V")</f>
        <v>0</v>
      </c>
      <c r="AG2">
        <f>BDH("VIRC US Equity","IS_INT_EXPENSE","1993-06-18","2026-05-02","Per=Y","Days=T","Dir=V")</f>
        <v>0</v>
      </c>
      <c r="AI2">
        <f>BDH("VIRC US Equity","IS_DEPR_EXP","1993-06-18","2026-05-02","Per=Y","Days=T","Dir=V")</f>
        <v>0</v>
      </c>
      <c r="AK2">
        <f>BDH("VIRC US Equity","CF_CASH_FROM_OPER","1993-06-18","2026-05-02","Per=Y","Days=T","Dir=V")</f>
        <v>0</v>
      </c>
      <c r="AM2">
        <f>BDH("VIRC US Equity","CAPITAL_EXPEND","1993-06-18","2026-05-02","Per=Y","Days=T","Dir=V")</f>
        <v>0</v>
      </c>
      <c r="AO2">
        <f>BDH("VIRC US Equity","CF_FREE_CASH_FLOW","1993-06-18","2026-05-02","Per=Y","Days=T","Dir=V")</f>
        <v>0</v>
      </c>
      <c r="AQ2">
        <f>BDH("VIRC US Equity","PX_LAST","1993-06-18","2026-05-02","Per=M","Days=T","Dir=V")</f>
        <v>0</v>
      </c>
      <c r="AS2">
        <f>BDH("VIRC US Equity","CUR_MKT_CAP","1993-06-18","2026-05-02","Per=M","Days=T","Dir=V")</f>
        <v>0</v>
      </c>
      <c r="AU2">
        <f>BDH("VIRC US Equity","EQY_SH_OUT","1993-06-18","2026-05-02","Per=M","Days=T","Dir=V")</f>
        <v>0</v>
      </c>
      <c r="AW2">
        <f>BDH("VIRC US Equity","PX_VOLUME","1993-06-18","2026-05-02","Per=M","Days=T","Dir=V")</f>
        <v>0</v>
      </c>
      <c r="AY2">
        <f>BDH("VIRC US Equity","TURNOVER","1993-06-18","2026-05-02","Per=M","Days=T","Dir=V")</f>
        <v>0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BDH("VISN US Equity","BS_TOT_ASSET","1993-06-18","2026-05-02","Per=Y","Days=T","Dir=V")</f>
        <v>0</v>
      </c>
      <c r="C2">
        <f>BDH("VISN US Equity","BS_TOT_LIAB2","1993-06-18","2026-05-02","Per=Y","Days=T","Dir=V")</f>
        <v>0</v>
      </c>
      <c r="E2">
        <f>BDH("VISN US Equity","SHORT_AND_LONG_TERM_DEBT","1993-06-18","2026-05-02","Per=Y","Days=T","Dir=V")</f>
        <v>0</v>
      </c>
      <c r="G2">
        <f>BDH("VISN US Equity","BS_ST_BORROW","1993-06-18","2026-05-02","Per=Y","Days=T","Dir=V")</f>
        <v>0</v>
      </c>
      <c r="I2">
        <f>BDH("VISN US Equity","BS_LT_BORROW","1993-06-18","2026-05-02","Per=Y","Days=T","Dir=V")</f>
        <v>0</v>
      </c>
      <c r="K2">
        <f>BDH("VISN US Equity","BS_CASH_NEAR_CASH_ITEM","1993-06-18","2026-05-02","Per=Y","Days=T","Dir=V")</f>
        <v>0</v>
      </c>
      <c r="M2">
        <f>BDH("VISN US Equity","BS_CUR_ASSET_REPORT","1993-06-18","2026-05-02","Per=Y","Days=T","Dir=V")</f>
        <v>0</v>
      </c>
      <c r="O2">
        <f>BDH("VISN US Equity","BS_CUR_LIAB","1993-06-18","2026-05-02","Per=Y","Days=T","Dir=V")</f>
        <v>0</v>
      </c>
      <c r="Q2">
        <f>BDH("VISN US Equity","BS_SHAREHOLDER_EQY_ENDING_PERIOD","1993-06-18","2026-05-02","Per=Y","Days=T","Dir=V")</f>
        <v>0</v>
      </c>
      <c r="S2">
        <f>BDH("VISN US Equity","BS_ACCT_NOTE_RCV","1993-06-18","2026-05-02","Per=Y","Days=T","Dir=V")</f>
        <v>0</v>
      </c>
      <c r="U2">
        <f>BDH("VISN US Equity","BS_INVENTORIES","1993-06-18","2026-05-02","Per=Y","Days=T","Dir=V")</f>
        <v>0</v>
      </c>
      <c r="W2">
        <f>BDH("VISN US Equity","WORKING_CAPITAL","1993-06-18","2026-05-02","Per=Y","Days=T","Dir=V")</f>
        <v>0</v>
      </c>
      <c r="Y2">
        <f>BDH("VISN US Equity","SALES_REV_TURN","1993-06-18","2026-05-02","Per=Y","Days=T","Dir=V")</f>
        <v>0</v>
      </c>
      <c r="AA2">
        <f>BDH("VISN US Equity","EBIT","1993-06-18","2026-05-02","Per=Y","Days=T","Dir=V")</f>
        <v>0</v>
      </c>
      <c r="AC2">
        <f>BDH("VISN US Equity","EBITDA","1993-06-18","2026-05-02","Per=Y","Days=T","Dir=V")</f>
        <v>0</v>
      </c>
      <c r="AE2">
        <f>BDH("VISN US Equity","NET_INCOME","1993-06-18","2026-05-02","Per=Y","Days=T","Dir=V")</f>
        <v>0</v>
      </c>
      <c r="AG2">
        <f>BDH("VISN US Equity","IS_INT_EXPENSE","1993-06-18","2026-05-02","Per=Y","Days=T","Dir=V")</f>
        <v>0</v>
      </c>
      <c r="AI2">
        <f>BDH("VISN US Equity","IS_DEPR_EXP","1993-06-18","2026-05-02","Per=Y","Days=T","Dir=V")</f>
        <v>0</v>
      </c>
      <c r="AK2">
        <f>BDH("VISN US Equity","CF_CASH_FROM_OPER","1993-06-18","2026-05-02","Per=Y","Days=T","Dir=V")</f>
        <v>0</v>
      </c>
      <c r="AM2">
        <f>BDH("VISN US Equity","CAPITAL_EXPEND","1993-06-18","2026-05-02","Per=Y","Days=T","Dir=V")</f>
        <v>0</v>
      </c>
      <c r="AO2">
        <f>BDH("VISN US Equity","CF_FREE_CASH_FLOW","1993-06-18","2026-05-02","Per=Y","Days=T","Dir=V")</f>
        <v>0</v>
      </c>
      <c r="AQ2">
        <f>BDH("VISN US Equity","PX_LAST","1993-06-18","2026-05-02","Per=M","Days=T","Dir=V")</f>
        <v>0</v>
      </c>
      <c r="AS2">
        <f>BDH("VISN US Equity","CUR_MKT_CAP","1993-06-18","2026-05-02","Per=M","Days=T","Dir=V")</f>
        <v>0</v>
      </c>
      <c r="AU2">
        <f>BDH("VISN US Equity","EQY_SH_OUT","1993-06-18","2026-05-02","Per=M","Days=T","Dir=V")</f>
        <v>0</v>
      </c>
      <c r="AW2">
        <f>BDH("VISN US Equity","PX_VOLUME","1993-06-18","2026-05-02","Per=M","Days=T","Dir=V")</f>
        <v>0</v>
      </c>
      <c r="AY2">
        <f>BDH("VISN US Equity","TURNOVER","1993-06-18","2026-05-02","Per=M","Days=T","Dir=V")</f>
        <v>0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BDH("VITL US Equity","BS_TOT_ASSET","1993-06-18","2026-05-02","Per=Y","Days=T","Dir=V")</f>
        <v>0</v>
      </c>
      <c r="C2">
        <f>BDH("VITL US Equity","BS_TOT_LIAB2","1993-06-18","2026-05-02","Per=Y","Days=T","Dir=V")</f>
        <v>0</v>
      </c>
      <c r="E2">
        <f>BDH("VITL US Equity","SHORT_AND_LONG_TERM_DEBT","1993-06-18","2026-05-02","Per=Y","Days=T","Dir=V")</f>
        <v>0</v>
      </c>
      <c r="G2">
        <f>BDH("VITL US Equity","BS_ST_BORROW","1993-06-18","2026-05-02","Per=Y","Days=T","Dir=V")</f>
        <v>0</v>
      </c>
      <c r="I2">
        <f>BDH("VITL US Equity","BS_LT_BORROW","1993-06-18","2026-05-02","Per=Y","Days=T","Dir=V")</f>
        <v>0</v>
      </c>
      <c r="K2">
        <f>BDH("VITL US Equity","BS_CASH_NEAR_CASH_ITEM","1993-06-18","2026-05-02","Per=Y","Days=T","Dir=V")</f>
        <v>0</v>
      </c>
      <c r="M2">
        <f>BDH("VITL US Equity","BS_CUR_ASSET_REPORT","1993-06-18","2026-05-02","Per=Y","Days=T","Dir=V")</f>
        <v>0</v>
      </c>
      <c r="O2">
        <f>BDH("VITL US Equity","BS_CUR_LIAB","1993-06-18","2026-05-02","Per=Y","Days=T","Dir=V")</f>
        <v>0</v>
      </c>
      <c r="Q2">
        <f>BDH("VITL US Equity","BS_SHAREHOLDER_EQY_ENDING_PERIOD","1993-06-18","2026-05-02","Per=Y","Days=T","Dir=V")</f>
        <v>0</v>
      </c>
      <c r="S2">
        <f>BDH("VITL US Equity","BS_ACCT_NOTE_RCV","1993-06-18","2026-05-02","Per=Y","Days=T","Dir=V")</f>
        <v>0</v>
      </c>
      <c r="U2">
        <f>BDH("VITL US Equity","BS_INVENTORIES","1993-06-18","2026-05-02","Per=Y","Days=T","Dir=V")</f>
        <v>0</v>
      </c>
      <c r="W2">
        <f>BDH("VITL US Equity","WORKING_CAPITAL","1993-06-18","2026-05-02","Per=Y","Days=T","Dir=V")</f>
        <v>0</v>
      </c>
      <c r="Y2">
        <f>BDH("VITL US Equity","SALES_REV_TURN","1993-06-18","2026-05-02","Per=Y","Days=T","Dir=V")</f>
        <v>0</v>
      </c>
      <c r="AA2">
        <f>BDH("VITL US Equity","EBIT","1993-06-18","2026-05-02","Per=Y","Days=T","Dir=V")</f>
        <v>0</v>
      </c>
      <c r="AC2">
        <f>BDH("VITL US Equity","EBITDA","1993-06-18","2026-05-02","Per=Y","Days=T","Dir=V")</f>
        <v>0</v>
      </c>
      <c r="AE2">
        <f>BDH("VITL US Equity","NET_INCOME","1993-06-18","2026-05-02","Per=Y","Days=T","Dir=V")</f>
        <v>0</v>
      </c>
      <c r="AG2">
        <f>BDH("VITL US Equity","IS_INT_EXPENSE","1993-06-18","2026-05-02","Per=Y","Days=T","Dir=V")</f>
        <v>0</v>
      </c>
      <c r="AI2">
        <f>BDH("VITL US Equity","IS_DEPR_EXP","1993-06-18","2026-05-02","Per=Y","Days=T","Dir=V")</f>
        <v>0</v>
      </c>
      <c r="AK2">
        <f>BDH("VITL US Equity","CF_CASH_FROM_OPER","1993-06-18","2026-05-02","Per=Y","Days=T","Dir=V")</f>
        <v>0</v>
      </c>
      <c r="AM2">
        <f>BDH("VITL US Equity","CAPITAL_EXPEND","1993-06-18","2026-05-02","Per=Y","Days=T","Dir=V")</f>
        <v>0</v>
      </c>
      <c r="AO2">
        <f>BDH("VITL US Equity","CF_FREE_CASH_FLOW","1993-06-18","2026-05-02","Per=Y","Days=T","Dir=V")</f>
        <v>0</v>
      </c>
      <c r="AQ2">
        <f>BDH("VITL US Equity","PX_LAST","1993-06-18","2026-05-02","Per=M","Days=T","Dir=V")</f>
        <v>0</v>
      </c>
      <c r="AS2">
        <f>BDH("VITL US Equity","CUR_MKT_CAP","1993-06-18","2026-05-02","Per=M","Days=T","Dir=V")</f>
        <v>0</v>
      </c>
      <c r="AU2">
        <f>BDH("VITL US Equity","EQY_SH_OUT","1993-06-18","2026-05-02","Per=M","Days=T","Dir=V")</f>
        <v>0</v>
      </c>
      <c r="AW2">
        <f>BDH("VITL US Equity","PX_VOLUME","1993-06-18","2026-05-02","Per=M","Days=T","Dir=V")</f>
        <v>0</v>
      </c>
      <c r="AY2">
        <f>BDH("VITL US Equity","TURNOVER","1993-06-18","2026-05-02","Per=M","Days=T","Dir=V")</f>
        <v>0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BDH("VIVK US Equity","BS_TOT_ASSET","1993-06-18","2026-05-02","Per=Y","Days=T","Dir=V")</f>
        <v>0</v>
      </c>
      <c r="C2">
        <f>BDH("VIVK US Equity","BS_TOT_LIAB2","1993-06-18","2026-05-02","Per=Y","Days=T","Dir=V")</f>
        <v>0</v>
      </c>
      <c r="E2">
        <f>BDH("VIVK US Equity","SHORT_AND_LONG_TERM_DEBT","1993-06-18","2026-05-02","Per=Y","Days=T","Dir=V")</f>
        <v>0</v>
      </c>
      <c r="G2">
        <f>BDH("VIVK US Equity","BS_ST_BORROW","1993-06-18","2026-05-02","Per=Y","Days=T","Dir=V")</f>
        <v>0</v>
      </c>
      <c r="I2">
        <f>BDH("VIVK US Equity","BS_LT_BORROW","1993-06-18","2026-05-02","Per=Y","Days=T","Dir=V")</f>
        <v>0</v>
      </c>
      <c r="K2">
        <f>BDH("VIVK US Equity","BS_CASH_NEAR_CASH_ITEM","1993-06-18","2026-05-02","Per=Y","Days=T","Dir=V")</f>
        <v>0</v>
      </c>
      <c r="M2">
        <f>BDH("VIVK US Equity","BS_CUR_ASSET_REPORT","1993-06-18","2026-05-02","Per=Y","Days=T","Dir=V")</f>
        <v>0</v>
      </c>
      <c r="O2">
        <f>BDH("VIVK US Equity","BS_CUR_LIAB","1993-06-18","2026-05-02","Per=Y","Days=T","Dir=V")</f>
        <v>0</v>
      </c>
      <c r="Q2">
        <f>BDH("VIVK US Equity","BS_SHAREHOLDER_EQY_ENDING_PERIOD","1993-06-18","2026-05-02","Per=Y","Days=T","Dir=V")</f>
        <v>0</v>
      </c>
      <c r="S2">
        <f>BDH("VIVK US Equity","BS_ACCT_NOTE_RCV","1993-06-18","2026-05-02","Per=Y","Days=T","Dir=V")</f>
        <v>0</v>
      </c>
      <c r="U2">
        <f>BDH("VIVK US Equity","BS_INVENTORIES","1993-06-18","2026-05-02","Per=Y","Days=T","Dir=V")</f>
        <v>0</v>
      </c>
      <c r="W2">
        <f>BDH("VIVK US Equity","WORKING_CAPITAL","1993-06-18","2026-05-02","Per=Y","Days=T","Dir=V")</f>
        <v>0</v>
      </c>
      <c r="Y2">
        <f>BDH("VIVK US Equity","SALES_REV_TURN","1993-06-18","2026-05-02","Per=Y","Days=T","Dir=V")</f>
        <v>0</v>
      </c>
      <c r="AA2">
        <f>BDH("VIVK US Equity","EBIT","1993-06-18","2026-05-02","Per=Y","Days=T","Dir=V")</f>
        <v>0</v>
      </c>
      <c r="AC2">
        <f>BDH("VIVK US Equity","EBITDA","1993-06-18","2026-05-02","Per=Y","Days=T","Dir=V")</f>
        <v>0</v>
      </c>
      <c r="AE2">
        <f>BDH("VIVK US Equity","NET_INCOME","1993-06-18","2026-05-02","Per=Y","Days=T","Dir=V")</f>
        <v>0</v>
      </c>
      <c r="AG2">
        <f>BDH("VIVK US Equity","IS_INT_EXPENSE","1993-06-18","2026-05-02","Per=Y","Days=T","Dir=V")</f>
        <v>0</v>
      </c>
      <c r="AI2">
        <f>BDH("VIVK US Equity","IS_DEPR_EXP","1993-06-18","2026-05-02","Per=Y","Days=T","Dir=V")</f>
        <v>0</v>
      </c>
      <c r="AK2">
        <f>BDH("VIVK US Equity","CF_CASH_FROM_OPER","1993-06-18","2026-05-02","Per=Y","Days=T","Dir=V")</f>
        <v>0</v>
      </c>
      <c r="AM2">
        <f>BDH("VIVK US Equity","CAPITAL_EXPEND","1993-06-18","2026-05-02","Per=Y","Days=T","Dir=V")</f>
        <v>0</v>
      </c>
      <c r="AO2">
        <f>BDH("VIVK US Equity","CF_FREE_CASH_FLOW","1993-06-18","2026-05-02","Per=Y","Days=T","Dir=V")</f>
        <v>0</v>
      </c>
      <c r="AQ2">
        <f>BDH("VIVK US Equity","PX_LAST","1993-06-18","2026-05-02","Per=M","Days=T","Dir=V")</f>
        <v>0</v>
      </c>
      <c r="AS2">
        <f>BDH("VIVK US Equity","CUR_MKT_CAP","1993-06-18","2026-05-02","Per=M","Days=T","Dir=V")</f>
        <v>0</v>
      </c>
      <c r="AU2">
        <f>BDH("VIVK US Equity","EQY_SH_OUT","1993-06-18","2026-05-02","Per=M","Days=T","Dir=V")</f>
        <v>0</v>
      </c>
      <c r="AW2">
        <f>BDH("VIVK US Equity","PX_VOLUME","1993-06-18","2026-05-02","Per=M","Days=T","Dir=V")</f>
        <v>0</v>
      </c>
      <c r="AY2">
        <f>BDH("VIVK US Equity","TURNOVER","1993-06-18","2026-05-02","Per=M","Days=T","Dir=V")</f>
        <v>0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BDH("VIVS US Equity","BS_TOT_ASSET","1993-06-18","2026-05-02","Per=Y","Days=T","Dir=V")</f>
        <v>0</v>
      </c>
      <c r="C2">
        <f>BDH("VIVS US Equity","BS_TOT_LIAB2","1993-06-18","2026-05-02","Per=Y","Days=T","Dir=V")</f>
        <v>0</v>
      </c>
      <c r="E2">
        <f>BDH("VIVS US Equity","SHORT_AND_LONG_TERM_DEBT","1993-06-18","2026-05-02","Per=Y","Days=T","Dir=V")</f>
        <v>0</v>
      </c>
      <c r="G2">
        <f>BDH("VIVS US Equity","BS_ST_BORROW","1993-06-18","2026-05-02","Per=Y","Days=T","Dir=V")</f>
        <v>0</v>
      </c>
      <c r="I2">
        <f>BDH("VIVS US Equity","BS_LT_BORROW","1993-06-18","2026-05-02","Per=Y","Days=T","Dir=V")</f>
        <v>0</v>
      </c>
      <c r="K2">
        <f>BDH("VIVS US Equity","BS_CASH_NEAR_CASH_ITEM","1993-06-18","2026-05-02","Per=Y","Days=T","Dir=V")</f>
        <v>0</v>
      </c>
      <c r="M2">
        <f>BDH("VIVS US Equity","BS_CUR_ASSET_REPORT","1993-06-18","2026-05-02","Per=Y","Days=T","Dir=V")</f>
        <v>0</v>
      </c>
      <c r="O2">
        <f>BDH("VIVS US Equity","BS_CUR_LIAB","1993-06-18","2026-05-02","Per=Y","Days=T","Dir=V")</f>
        <v>0</v>
      </c>
      <c r="Q2">
        <f>BDH("VIVS US Equity","BS_SHAREHOLDER_EQY_ENDING_PERIOD","1993-06-18","2026-05-02","Per=Y","Days=T","Dir=V")</f>
        <v>0</v>
      </c>
      <c r="S2">
        <f>BDH("VIVS US Equity","BS_ACCT_NOTE_RCV","1993-06-18","2026-05-02","Per=Y","Days=T","Dir=V")</f>
        <v>0</v>
      </c>
      <c r="U2">
        <f>BDH("VIVS US Equity","BS_INVENTORIES","1993-06-18","2026-05-02","Per=Y","Days=T","Dir=V")</f>
        <v>0</v>
      </c>
      <c r="W2">
        <f>BDH("VIVS US Equity","WORKING_CAPITAL","1993-06-18","2026-05-02","Per=Y","Days=T","Dir=V")</f>
        <v>0</v>
      </c>
      <c r="Y2">
        <f>BDH("VIVS US Equity","SALES_REV_TURN","1993-06-18","2026-05-02","Per=Y","Days=T","Dir=V")</f>
        <v>0</v>
      </c>
      <c r="AA2">
        <f>BDH("VIVS US Equity","EBIT","1993-06-18","2026-05-02","Per=Y","Days=T","Dir=V")</f>
        <v>0</v>
      </c>
      <c r="AC2">
        <f>BDH("VIVS US Equity","EBITDA","1993-06-18","2026-05-02","Per=Y","Days=T","Dir=V")</f>
        <v>0</v>
      </c>
      <c r="AE2">
        <f>BDH("VIVS US Equity","NET_INCOME","1993-06-18","2026-05-02","Per=Y","Days=T","Dir=V")</f>
        <v>0</v>
      </c>
      <c r="AG2">
        <f>BDH("VIVS US Equity","IS_INT_EXPENSE","1993-06-18","2026-05-02","Per=Y","Days=T","Dir=V")</f>
        <v>0</v>
      </c>
      <c r="AI2">
        <f>BDH("VIVS US Equity","IS_DEPR_EXP","1993-06-18","2026-05-02","Per=Y","Days=T","Dir=V")</f>
        <v>0</v>
      </c>
      <c r="AK2">
        <f>BDH("VIVS US Equity","CF_CASH_FROM_OPER","1993-06-18","2026-05-02","Per=Y","Days=T","Dir=V")</f>
        <v>0</v>
      </c>
      <c r="AM2">
        <f>BDH("VIVS US Equity","CAPITAL_EXPEND","1993-06-18","2026-05-02","Per=Y","Days=T","Dir=V")</f>
        <v>0</v>
      </c>
      <c r="AO2">
        <f>BDH("VIVS US Equity","CF_FREE_CASH_FLOW","1993-06-18","2026-05-02","Per=Y","Days=T","Dir=V")</f>
        <v>0</v>
      </c>
      <c r="AQ2">
        <f>BDH("VIVS US Equity","PX_LAST","1993-06-18","2026-05-02","Per=M","Days=T","Dir=V")</f>
        <v>0</v>
      </c>
      <c r="AS2">
        <f>BDH("VIVS US Equity","CUR_MKT_CAP","1993-06-18","2026-05-02","Per=M","Days=T","Dir=V")</f>
        <v>0</v>
      </c>
      <c r="AU2">
        <f>BDH("VIVS US Equity","EQY_SH_OUT","1993-06-18","2026-05-02","Per=M","Days=T","Dir=V")</f>
        <v>0</v>
      </c>
      <c r="AW2">
        <f>BDH("VIVS US Equity","PX_VOLUME","1993-06-18","2026-05-02","Per=M","Days=T","Dir=V")</f>
        <v>0</v>
      </c>
      <c r="AY2">
        <f>BDH("VIVS US Equity","TURNOVER","1993-06-18","2026-05-02","Per=M","Days=T","Dir=V")</f>
        <v>0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BDH("VKTX US Equity","BS_TOT_ASSET","1993-06-18","2026-05-02","Per=Y","Days=T","Dir=V")</f>
        <v>0</v>
      </c>
      <c r="C2">
        <f>BDH("VKTX US Equity","BS_TOT_LIAB2","1993-06-18","2026-05-02","Per=Y","Days=T","Dir=V")</f>
        <v>0</v>
      </c>
      <c r="E2">
        <f>BDH("VKTX US Equity","SHORT_AND_LONG_TERM_DEBT","1993-06-18","2026-05-02","Per=Y","Days=T","Dir=V")</f>
        <v>0</v>
      </c>
      <c r="G2">
        <f>BDH("VKTX US Equity","BS_ST_BORROW","1993-06-18","2026-05-02","Per=Y","Days=T","Dir=V")</f>
        <v>0</v>
      </c>
      <c r="I2">
        <f>BDH("VKTX US Equity","BS_LT_BORROW","1993-06-18","2026-05-02","Per=Y","Days=T","Dir=V")</f>
        <v>0</v>
      </c>
      <c r="K2">
        <f>BDH("VKTX US Equity","BS_CASH_NEAR_CASH_ITEM","1993-06-18","2026-05-02","Per=Y","Days=T","Dir=V")</f>
        <v>0</v>
      </c>
      <c r="M2">
        <f>BDH("VKTX US Equity","BS_CUR_ASSET_REPORT","1993-06-18","2026-05-02","Per=Y","Days=T","Dir=V")</f>
        <v>0</v>
      </c>
      <c r="O2">
        <f>BDH("VKTX US Equity","BS_CUR_LIAB","1993-06-18","2026-05-02","Per=Y","Days=T","Dir=V")</f>
        <v>0</v>
      </c>
      <c r="Q2">
        <f>BDH("VKTX US Equity","BS_SHAREHOLDER_EQY_ENDING_PERIOD","1993-06-18","2026-05-02","Per=Y","Days=T","Dir=V")</f>
        <v>0</v>
      </c>
      <c r="S2">
        <f>BDH("VKTX US Equity","BS_ACCT_NOTE_RCV","1993-06-18","2026-05-02","Per=Y","Days=T","Dir=V")</f>
        <v>0</v>
      </c>
      <c r="U2">
        <f>BDH("VKTX US Equity","BS_INVENTORIES","1993-06-18","2026-05-02","Per=Y","Days=T","Dir=V")</f>
        <v>0</v>
      </c>
      <c r="W2">
        <f>BDH("VKTX US Equity","WORKING_CAPITAL","1993-06-18","2026-05-02","Per=Y","Days=T","Dir=V")</f>
        <v>0</v>
      </c>
      <c r="Y2">
        <f>BDH("VKTX US Equity","SALES_REV_TURN","1993-06-18","2026-05-02","Per=Y","Days=T","Dir=V")</f>
        <v>0</v>
      </c>
      <c r="AA2">
        <f>BDH("VKTX US Equity","EBIT","1993-06-18","2026-05-02","Per=Y","Days=T","Dir=V")</f>
        <v>0</v>
      </c>
      <c r="AC2">
        <f>BDH("VKTX US Equity","EBITDA","1993-06-18","2026-05-02","Per=Y","Days=T","Dir=V")</f>
        <v>0</v>
      </c>
      <c r="AE2">
        <f>BDH("VKTX US Equity","NET_INCOME","1993-06-18","2026-05-02","Per=Y","Days=T","Dir=V")</f>
        <v>0</v>
      </c>
      <c r="AG2">
        <f>BDH("VKTX US Equity","IS_INT_EXPENSE","1993-06-18","2026-05-02","Per=Y","Days=T","Dir=V")</f>
        <v>0</v>
      </c>
      <c r="AI2">
        <f>BDH("VKTX US Equity","IS_DEPR_EXP","1993-06-18","2026-05-02","Per=Y","Days=T","Dir=V")</f>
        <v>0</v>
      </c>
      <c r="AK2">
        <f>BDH("VKTX US Equity","CF_CASH_FROM_OPER","1993-06-18","2026-05-02","Per=Y","Days=T","Dir=V")</f>
        <v>0</v>
      </c>
      <c r="AM2">
        <f>BDH("VKTX US Equity","CAPITAL_EXPEND","1993-06-18","2026-05-02","Per=Y","Days=T","Dir=V")</f>
        <v>0</v>
      </c>
      <c r="AO2">
        <f>BDH("VKTX US Equity","CF_FREE_CASH_FLOW","1993-06-18","2026-05-02","Per=Y","Days=T","Dir=V")</f>
        <v>0</v>
      </c>
      <c r="AQ2">
        <f>BDH("VKTX US Equity","PX_LAST","1993-06-18","2026-05-02","Per=M","Days=T","Dir=V")</f>
        <v>0</v>
      </c>
      <c r="AS2">
        <f>BDH("VKTX US Equity","CUR_MKT_CAP","1993-06-18","2026-05-02","Per=M","Days=T","Dir=V")</f>
        <v>0</v>
      </c>
      <c r="AU2">
        <f>BDH("VKTX US Equity","EQY_SH_OUT","1993-06-18","2026-05-02","Per=M","Days=T","Dir=V")</f>
        <v>0</v>
      </c>
      <c r="AW2">
        <f>BDH("VKTX US Equity","PX_VOLUME","1993-06-18","2026-05-02","Per=M","Days=T","Dir=V")</f>
        <v>0</v>
      </c>
      <c r="AY2">
        <f>BDH("VKTX US Equity","TURNOVER","1993-06-18","2026-05-02","Per=M","Days=T","Dir=V")</f>
        <v>0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BDH("VLGEA US Equity","BS_TOT_ASSET","1993-06-18","2026-05-02","Per=Y","Days=T","Dir=V")</f>
        <v>0</v>
      </c>
      <c r="C2">
        <f>BDH("VLGEA US Equity","BS_TOT_LIAB2","1993-06-18","2026-05-02","Per=Y","Days=T","Dir=V")</f>
        <v>0</v>
      </c>
      <c r="E2">
        <f>BDH("VLGEA US Equity","SHORT_AND_LONG_TERM_DEBT","1993-06-18","2026-05-02","Per=Y","Days=T","Dir=V")</f>
        <v>0</v>
      </c>
      <c r="G2">
        <f>BDH("VLGEA US Equity","BS_ST_BORROW","1993-06-18","2026-05-02","Per=Y","Days=T","Dir=V")</f>
        <v>0</v>
      </c>
      <c r="I2">
        <f>BDH("VLGEA US Equity","BS_LT_BORROW","1993-06-18","2026-05-02","Per=Y","Days=T","Dir=V")</f>
        <v>0</v>
      </c>
      <c r="K2">
        <f>BDH("VLGEA US Equity","BS_CASH_NEAR_CASH_ITEM","1993-06-18","2026-05-02","Per=Y","Days=T","Dir=V")</f>
        <v>0</v>
      </c>
      <c r="M2">
        <f>BDH("VLGEA US Equity","BS_CUR_ASSET_REPORT","1993-06-18","2026-05-02","Per=Y","Days=T","Dir=V")</f>
        <v>0</v>
      </c>
      <c r="O2">
        <f>BDH("VLGEA US Equity","BS_CUR_LIAB","1993-06-18","2026-05-02","Per=Y","Days=T","Dir=V")</f>
        <v>0</v>
      </c>
      <c r="Q2">
        <f>BDH("VLGEA US Equity","BS_SHAREHOLDER_EQY_ENDING_PERIOD","1993-06-18","2026-05-02","Per=Y","Days=T","Dir=V")</f>
        <v>0</v>
      </c>
      <c r="S2">
        <f>BDH("VLGEA US Equity","BS_ACCT_NOTE_RCV","1993-06-18","2026-05-02","Per=Y","Days=T","Dir=V")</f>
        <v>0</v>
      </c>
      <c r="U2">
        <f>BDH("VLGEA US Equity","BS_INVENTORIES","1993-06-18","2026-05-02","Per=Y","Days=T","Dir=V")</f>
        <v>0</v>
      </c>
      <c r="W2">
        <f>BDH("VLGEA US Equity","WORKING_CAPITAL","1993-06-18","2026-05-02","Per=Y","Days=T","Dir=V")</f>
        <v>0</v>
      </c>
      <c r="Y2">
        <f>BDH("VLGEA US Equity","SALES_REV_TURN","1993-06-18","2026-05-02","Per=Y","Days=T","Dir=V")</f>
        <v>0</v>
      </c>
      <c r="AA2">
        <f>BDH("VLGEA US Equity","EBIT","1993-06-18","2026-05-02","Per=Y","Days=T","Dir=V")</f>
        <v>0</v>
      </c>
      <c r="AC2">
        <f>BDH("VLGEA US Equity","EBITDA","1993-06-18","2026-05-02","Per=Y","Days=T","Dir=V")</f>
        <v>0</v>
      </c>
      <c r="AE2">
        <f>BDH("VLGEA US Equity","NET_INCOME","1993-06-18","2026-05-02","Per=Y","Days=T","Dir=V")</f>
        <v>0</v>
      </c>
      <c r="AG2">
        <f>BDH("VLGEA US Equity","IS_INT_EXPENSE","1993-06-18","2026-05-02","Per=Y","Days=T","Dir=V")</f>
        <v>0</v>
      </c>
      <c r="AI2">
        <f>BDH("VLGEA US Equity","IS_DEPR_EXP","1993-06-18","2026-05-02","Per=Y","Days=T","Dir=V")</f>
        <v>0</v>
      </c>
      <c r="AK2">
        <f>BDH("VLGEA US Equity","CF_CASH_FROM_OPER","1993-06-18","2026-05-02","Per=Y","Days=T","Dir=V")</f>
        <v>0</v>
      </c>
      <c r="AM2">
        <f>BDH("VLGEA US Equity","CAPITAL_EXPEND","1993-06-18","2026-05-02","Per=Y","Days=T","Dir=V")</f>
        <v>0</v>
      </c>
      <c r="AO2">
        <f>BDH("VLGEA US Equity","CF_FREE_CASH_FLOW","1993-06-18","2026-05-02","Per=Y","Days=T","Dir=V")</f>
        <v>0</v>
      </c>
      <c r="AQ2">
        <f>BDH("VLGEA US Equity","PX_LAST","1993-06-18","2026-05-02","Per=M","Days=T","Dir=V")</f>
        <v>0</v>
      </c>
      <c r="AS2">
        <f>BDH("VLGEA US Equity","CUR_MKT_CAP","1993-06-18","2026-05-02","Per=M","Days=T","Dir=V")</f>
        <v>0</v>
      </c>
      <c r="AU2">
        <f>BDH("VLGEA US Equity","EQY_SH_OUT","1993-06-18","2026-05-02","Per=M","Days=T","Dir=V")</f>
        <v>0</v>
      </c>
      <c r="AW2">
        <f>BDH("VLGEA US Equity","PX_VOLUME","1993-06-18","2026-05-02","Per=M","Days=T","Dir=V")</f>
        <v>0</v>
      </c>
      <c r="AY2">
        <f>BDH("VLGEA US Equity","TURNOVER","1993-06-18","2026-05-02","Per=M","Days=T","Dir=V")</f>
        <v>0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BDH("VLO US Equity","BS_TOT_ASSET","1993-06-18","2026-05-02","Per=Y","Days=T","Dir=V")</f>
        <v>0</v>
      </c>
      <c r="C2">
        <f>BDH("VLO US Equity","BS_TOT_LIAB2","1993-06-18","2026-05-02","Per=Y","Days=T","Dir=V")</f>
        <v>0</v>
      </c>
      <c r="E2">
        <f>BDH("VLO US Equity","SHORT_AND_LONG_TERM_DEBT","1993-06-18","2026-05-02","Per=Y","Days=T","Dir=V")</f>
        <v>0</v>
      </c>
      <c r="G2">
        <f>BDH("VLO US Equity","BS_ST_BORROW","1993-06-18","2026-05-02","Per=Y","Days=T","Dir=V")</f>
        <v>0</v>
      </c>
      <c r="I2">
        <f>BDH("VLO US Equity","BS_LT_BORROW","1993-06-18","2026-05-02","Per=Y","Days=T","Dir=V")</f>
        <v>0</v>
      </c>
      <c r="K2">
        <f>BDH("VLO US Equity","BS_CASH_NEAR_CASH_ITEM","1993-06-18","2026-05-02","Per=Y","Days=T","Dir=V")</f>
        <v>0</v>
      </c>
      <c r="M2">
        <f>BDH("VLO US Equity","BS_CUR_ASSET_REPORT","1993-06-18","2026-05-02","Per=Y","Days=T","Dir=V")</f>
        <v>0</v>
      </c>
      <c r="O2">
        <f>BDH("VLO US Equity","BS_CUR_LIAB","1993-06-18","2026-05-02","Per=Y","Days=T","Dir=V")</f>
        <v>0</v>
      </c>
      <c r="Q2">
        <f>BDH("VLO US Equity","BS_SHAREHOLDER_EQY_ENDING_PERIOD","1993-06-18","2026-05-02","Per=Y","Days=T","Dir=V")</f>
        <v>0</v>
      </c>
      <c r="S2">
        <f>BDH("VLO US Equity","BS_ACCT_NOTE_RCV","1993-06-18","2026-05-02","Per=Y","Days=T","Dir=V")</f>
        <v>0</v>
      </c>
      <c r="U2">
        <f>BDH("VLO US Equity","BS_INVENTORIES","1993-06-18","2026-05-02","Per=Y","Days=T","Dir=V")</f>
        <v>0</v>
      </c>
      <c r="W2">
        <f>BDH("VLO US Equity","WORKING_CAPITAL","1993-06-18","2026-05-02","Per=Y","Days=T","Dir=V")</f>
        <v>0</v>
      </c>
      <c r="Y2">
        <f>BDH("VLO US Equity","SALES_REV_TURN","1993-06-18","2026-05-02","Per=Y","Days=T","Dir=V")</f>
        <v>0</v>
      </c>
      <c r="AA2">
        <f>BDH("VLO US Equity","EBIT","1993-06-18","2026-05-02","Per=Y","Days=T","Dir=V")</f>
        <v>0</v>
      </c>
      <c r="AC2">
        <f>BDH("VLO US Equity","EBITDA","1993-06-18","2026-05-02","Per=Y","Days=T","Dir=V")</f>
        <v>0</v>
      </c>
      <c r="AE2">
        <f>BDH("VLO US Equity","NET_INCOME","1993-06-18","2026-05-02","Per=Y","Days=T","Dir=V")</f>
        <v>0</v>
      </c>
      <c r="AG2">
        <f>BDH("VLO US Equity","IS_INT_EXPENSE","1993-06-18","2026-05-02","Per=Y","Days=T","Dir=V")</f>
        <v>0</v>
      </c>
      <c r="AI2">
        <f>BDH("VLO US Equity","IS_DEPR_EXP","1993-06-18","2026-05-02","Per=Y","Days=T","Dir=V")</f>
        <v>0</v>
      </c>
      <c r="AK2">
        <f>BDH("VLO US Equity","CF_CASH_FROM_OPER","1993-06-18","2026-05-02","Per=Y","Days=T","Dir=V")</f>
        <v>0</v>
      </c>
      <c r="AM2">
        <f>BDH("VLO US Equity","CAPITAL_EXPEND","1993-06-18","2026-05-02","Per=Y","Days=T","Dir=V")</f>
        <v>0</v>
      </c>
      <c r="AO2">
        <f>BDH("VLO US Equity","CF_FREE_CASH_FLOW","1993-06-18","2026-05-02","Per=Y","Days=T","Dir=V")</f>
        <v>0</v>
      </c>
      <c r="AQ2">
        <f>BDH("VLO US Equity","PX_LAST","1993-06-18","2026-05-02","Per=M","Days=T","Dir=V")</f>
        <v>0</v>
      </c>
      <c r="AS2">
        <f>BDH("VLO US Equity","CUR_MKT_CAP","1993-06-18","2026-05-02","Per=M","Days=T","Dir=V")</f>
        <v>0</v>
      </c>
      <c r="AU2">
        <f>BDH("VLO US Equity","EQY_SH_OUT","1993-06-18","2026-05-02","Per=M","Days=T","Dir=V")</f>
        <v>0</v>
      </c>
      <c r="AW2">
        <f>BDH("VLO US Equity","PX_VOLUME","1993-06-18","2026-05-02","Per=M","Days=T","Dir=V")</f>
        <v>0</v>
      </c>
      <c r="AY2">
        <f>BDH("VLO US Equity","TURNOVER","1993-06-18","2026-05-02","Per=M","Days=T","Dir=V")</f>
        <v>0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BDH("VLTO US Equity","BS_TOT_ASSET","1993-06-18","2026-05-02","Per=Y","Days=T","Dir=V")</f>
        <v>0</v>
      </c>
      <c r="C2">
        <f>BDH("VLTO US Equity","BS_TOT_LIAB2","1993-06-18","2026-05-02","Per=Y","Days=T","Dir=V")</f>
        <v>0</v>
      </c>
      <c r="E2">
        <f>BDH("VLTO US Equity","SHORT_AND_LONG_TERM_DEBT","1993-06-18","2026-05-02","Per=Y","Days=T","Dir=V")</f>
        <v>0</v>
      </c>
      <c r="G2">
        <f>BDH("VLTO US Equity","BS_ST_BORROW","1993-06-18","2026-05-02","Per=Y","Days=T","Dir=V")</f>
        <v>0</v>
      </c>
      <c r="I2">
        <f>BDH("VLTO US Equity","BS_LT_BORROW","1993-06-18","2026-05-02","Per=Y","Days=T","Dir=V")</f>
        <v>0</v>
      </c>
      <c r="K2">
        <f>BDH("VLTO US Equity","BS_CASH_NEAR_CASH_ITEM","1993-06-18","2026-05-02","Per=Y","Days=T","Dir=V")</f>
        <v>0</v>
      </c>
      <c r="M2">
        <f>BDH("VLTO US Equity","BS_CUR_ASSET_REPORT","1993-06-18","2026-05-02","Per=Y","Days=T","Dir=V")</f>
        <v>0</v>
      </c>
      <c r="O2">
        <f>BDH("VLTO US Equity","BS_CUR_LIAB","1993-06-18","2026-05-02","Per=Y","Days=T","Dir=V")</f>
        <v>0</v>
      </c>
      <c r="Q2">
        <f>BDH("VLTO US Equity","BS_SHAREHOLDER_EQY_ENDING_PERIOD","1993-06-18","2026-05-02","Per=Y","Days=T","Dir=V")</f>
        <v>0</v>
      </c>
      <c r="S2">
        <f>BDH("VLTO US Equity","BS_ACCT_NOTE_RCV","1993-06-18","2026-05-02","Per=Y","Days=T","Dir=V")</f>
        <v>0</v>
      </c>
      <c r="U2">
        <f>BDH("VLTO US Equity","BS_INVENTORIES","1993-06-18","2026-05-02","Per=Y","Days=T","Dir=V")</f>
        <v>0</v>
      </c>
      <c r="W2">
        <f>BDH("VLTO US Equity","WORKING_CAPITAL","1993-06-18","2026-05-02","Per=Y","Days=T","Dir=V")</f>
        <v>0</v>
      </c>
      <c r="Y2">
        <f>BDH("VLTO US Equity","SALES_REV_TURN","1993-06-18","2026-05-02","Per=Y","Days=T","Dir=V")</f>
        <v>0</v>
      </c>
      <c r="AA2">
        <f>BDH("VLTO US Equity","EBIT","1993-06-18","2026-05-02","Per=Y","Days=T","Dir=V")</f>
        <v>0</v>
      </c>
      <c r="AC2">
        <f>BDH("VLTO US Equity","EBITDA","1993-06-18","2026-05-02","Per=Y","Days=T","Dir=V")</f>
        <v>0</v>
      </c>
      <c r="AE2">
        <f>BDH("VLTO US Equity","NET_INCOME","1993-06-18","2026-05-02","Per=Y","Days=T","Dir=V")</f>
        <v>0</v>
      </c>
      <c r="AG2">
        <f>BDH("VLTO US Equity","IS_INT_EXPENSE","1993-06-18","2026-05-02","Per=Y","Days=T","Dir=V")</f>
        <v>0</v>
      </c>
      <c r="AI2">
        <f>BDH("VLTO US Equity","IS_DEPR_EXP","1993-06-18","2026-05-02","Per=Y","Days=T","Dir=V")</f>
        <v>0</v>
      </c>
      <c r="AK2">
        <f>BDH("VLTO US Equity","CF_CASH_FROM_OPER","1993-06-18","2026-05-02","Per=Y","Days=T","Dir=V")</f>
        <v>0</v>
      </c>
      <c r="AM2">
        <f>BDH("VLTO US Equity","CAPITAL_EXPEND","1993-06-18","2026-05-02","Per=Y","Days=T","Dir=V")</f>
        <v>0</v>
      </c>
      <c r="AO2">
        <f>BDH("VLTO US Equity","CF_FREE_CASH_FLOW","1993-06-18","2026-05-02","Per=Y","Days=T","Dir=V")</f>
        <v>0</v>
      </c>
      <c r="AQ2">
        <f>BDH("VLTO US Equity","PX_LAST","1993-06-18","2026-05-02","Per=M","Days=T","Dir=V")</f>
        <v>0</v>
      </c>
      <c r="AS2">
        <f>BDH("VLTO US Equity","CUR_MKT_CAP","1993-06-18","2026-05-02","Per=M","Days=T","Dir=V")</f>
        <v>0</v>
      </c>
      <c r="AU2">
        <f>BDH("VLTO US Equity","EQY_SH_OUT","1993-06-18","2026-05-02","Per=M","Days=T","Dir=V")</f>
        <v>0</v>
      </c>
      <c r="AW2">
        <f>BDH("VLTO US Equity","PX_VOLUME","1993-06-18","2026-05-02","Per=M","Days=T","Dir=V")</f>
        <v>0</v>
      </c>
      <c r="AY2">
        <f>BDH("VLTO US Equity","TURNOVER","1993-06-18","2026-05-02","Per=M","Days=T","Dir=V")</f>
        <v>0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BDH("VMC US Equity","BS_TOT_ASSET","1993-06-18","2026-05-02","Per=Y","Days=T","Dir=V")</f>
        <v>0</v>
      </c>
      <c r="C2">
        <f>BDH("VMC US Equity","BS_TOT_LIAB2","1993-06-18","2026-05-02","Per=Y","Days=T","Dir=V")</f>
        <v>0</v>
      </c>
      <c r="E2">
        <f>BDH("VMC US Equity","SHORT_AND_LONG_TERM_DEBT","1993-06-18","2026-05-02","Per=Y","Days=T","Dir=V")</f>
        <v>0</v>
      </c>
      <c r="G2">
        <f>BDH("VMC US Equity","BS_ST_BORROW","1993-06-18","2026-05-02","Per=Y","Days=T","Dir=V")</f>
        <v>0</v>
      </c>
      <c r="I2">
        <f>BDH("VMC US Equity","BS_LT_BORROW","1993-06-18","2026-05-02","Per=Y","Days=T","Dir=V")</f>
        <v>0</v>
      </c>
      <c r="K2">
        <f>BDH("VMC US Equity","BS_CASH_NEAR_CASH_ITEM","1993-06-18","2026-05-02","Per=Y","Days=T","Dir=V")</f>
        <v>0</v>
      </c>
      <c r="M2">
        <f>BDH("VMC US Equity","BS_CUR_ASSET_REPORT","1993-06-18","2026-05-02","Per=Y","Days=T","Dir=V")</f>
        <v>0</v>
      </c>
      <c r="O2">
        <f>BDH("VMC US Equity","BS_CUR_LIAB","1993-06-18","2026-05-02","Per=Y","Days=T","Dir=V")</f>
        <v>0</v>
      </c>
      <c r="Q2">
        <f>BDH("VMC US Equity","BS_SHAREHOLDER_EQY_ENDING_PERIOD","1993-06-18","2026-05-02","Per=Y","Days=T","Dir=V")</f>
        <v>0</v>
      </c>
      <c r="S2">
        <f>BDH("VMC US Equity","BS_ACCT_NOTE_RCV","1993-06-18","2026-05-02","Per=Y","Days=T","Dir=V")</f>
        <v>0</v>
      </c>
      <c r="U2">
        <f>BDH("VMC US Equity","BS_INVENTORIES","1993-06-18","2026-05-02","Per=Y","Days=T","Dir=V")</f>
        <v>0</v>
      </c>
      <c r="W2">
        <f>BDH("VMC US Equity","WORKING_CAPITAL","1993-06-18","2026-05-02","Per=Y","Days=T","Dir=V")</f>
        <v>0</v>
      </c>
      <c r="Y2">
        <f>BDH("VMC US Equity","SALES_REV_TURN","1993-06-18","2026-05-02","Per=Y","Days=T","Dir=V")</f>
        <v>0</v>
      </c>
      <c r="AA2">
        <f>BDH("VMC US Equity","EBIT","1993-06-18","2026-05-02","Per=Y","Days=T","Dir=V")</f>
        <v>0</v>
      </c>
      <c r="AC2">
        <f>BDH("VMC US Equity","EBITDA","1993-06-18","2026-05-02","Per=Y","Days=T","Dir=V")</f>
        <v>0</v>
      </c>
      <c r="AE2">
        <f>BDH("VMC US Equity","NET_INCOME","1993-06-18","2026-05-02","Per=Y","Days=T","Dir=V")</f>
        <v>0</v>
      </c>
      <c r="AG2">
        <f>BDH("VMC US Equity","IS_INT_EXPENSE","1993-06-18","2026-05-02","Per=Y","Days=T","Dir=V")</f>
        <v>0</v>
      </c>
      <c r="AI2">
        <f>BDH("VMC US Equity","IS_DEPR_EXP","1993-06-18","2026-05-02","Per=Y","Days=T","Dir=V")</f>
        <v>0</v>
      </c>
      <c r="AK2">
        <f>BDH("VMC US Equity","CF_CASH_FROM_OPER","1993-06-18","2026-05-02","Per=Y","Days=T","Dir=V")</f>
        <v>0</v>
      </c>
      <c r="AM2">
        <f>BDH("VMC US Equity","CAPITAL_EXPEND","1993-06-18","2026-05-02","Per=Y","Days=T","Dir=V")</f>
        <v>0</v>
      </c>
      <c r="AO2">
        <f>BDH("VMC US Equity","CF_FREE_CASH_FLOW","1993-06-18","2026-05-02","Per=Y","Days=T","Dir=V")</f>
        <v>0</v>
      </c>
      <c r="AQ2">
        <f>BDH("VMC US Equity","PX_LAST","1993-06-18","2026-05-02","Per=M","Days=T","Dir=V")</f>
        <v>0</v>
      </c>
      <c r="AS2">
        <f>BDH("VMC US Equity","CUR_MKT_CAP","1993-06-18","2026-05-02","Per=M","Days=T","Dir=V")</f>
        <v>0</v>
      </c>
      <c r="AU2">
        <f>BDH("VMC US Equity","EQY_SH_OUT","1993-06-18","2026-05-02","Per=M","Days=T","Dir=V")</f>
        <v>0</v>
      </c>
      <c r="AW2">
        <f>BDH("VMC US Equity","PX_VOLUME","1993-06-18","2026-05-02","Per=M","Days=T","Dir=V")</f>
        <v>0</v>
      </c>
      <c r="AY2">
        <f>BDH("VMC US Equity","TURNOVER","1993-06-18","2026-05-02","Per=M","Days=T","Dir=V")</f>
        <v>0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BDH("VMD US Equity","BS_TOT_ASSET","1993-06-18","2026-05-02","Per=Y","Days=T","Dir=V")</f>
        <v>0</v>
      </c>
      <c r="C2">
        <f>BDH("VMD US Equity","BS_TOT_LIAB2","1993-06-18","2026-05-02","Per=Y","Days=T","Dir=V")</f>
        <v>0</v>
      </c>
      <c r="E2">
        <f>BDH("VMD US Equity","SHORT_AND_LONG_TERM_DEBT","1993-06-18","2026-05-02","Per=Y","Days=T","Dir=V")</f>
        <v>0</v>
      </c>
      <c r="G2">
        <f>BDH("VMD US Equity","BS_ST_BORROW","1993-06-18","2026-05-02","Per=Y","Days=T","Dir=V")</f>
        <v>0</v>
      </c>
      <c r="I2">
        <f>BDH("VMD US Equity","BS_LT_BORROW","1993-06-18","2026-05-02","Per=Y","Days=T","Dir=V")</f>
        <v>0</v>
      </c>
      <c r="K2">
        <f>BDH("VMD US Equity","BS_CASH_NEAR_CASH_ITEM","1993-06-18","2026-05-02","Per=Y","Days=T","Dir=V")</f>
        <v>0</v>
      </c>
      <c r="M2">
        <f>BDH("VMD US Equity","BS_CUR_ASSET_REPORT","1993-06-18","2026-05-02","Per=Y","Days=T","Dir=V")</f>
        <v>0</v>
      </c>
      <c r="O2">
        <f>BDH("VMD US Equity","BS_CUR_LIAB","1993-06-18","2026-05-02","Per=Y","Days=T","Dir=V")</f>
        <v>0</v>
      </c>
      <c r="Q2">
        <f>BDH("VMD US Equity","BS_SHAREHOLDER_EQY_ENDING_PERIOD","1993-06-18","2026-05-02","Per=Y","Days=T","Dir=V")</f>
        <v>0</v>
      </c>
      <c r="S2">
        <f>BDH("VMD US Equity","BS_ACCT_NOTE_RCV","1993-06-18","2026-05-02","Per=Y","Days=T","Dir=V")</f>
        <v>0</v>
      </c>
      <c r="U2">
        <f>BDH("VMD US Equity","BS_INVENTORIES","1993-06-18","2026-05-02","Per=Y","Days=T","Dir=V")</f>
        <v>0</v>
      </c>
      <c r="W2">
        <f>BDH("VMD US Equity","WORKING_CAPITAL","1993-06-18","2026-05-02","Per=Y","Days=T","Dir=V")</f>
        <v>0</v>
      </c>
      <c r="Y2">
        <f>BDH("VMD US Equity","SALES_REV_TURN","1993-06-18","2026-05-02","Per=Y","Days=T","Dir=V")</f>
        <v>0</v>
      </c>
      <c r="AA2">
        <f>BDH("VMD US Equity","EBIT","1993-06-18","2026-05-02","Per=Y","Days=T","Dir=V")</f>
        <v>0</v>
      </c>
      <c r="AC2">
        <f>BDH("VMD US Equity","EBITDA","1993-06-18","2026-05-02","Per=Y","Days=T","Dir=V")</f>
        <v>0</v>
      </c>
      <c r="AE2">
        <f>BDH("VMD US Equity","NET_INCOME","1993-06-18","2026-05-02","Per=Y","Days=T","Dir=V")</f>
        <v>0</v>
      </c>
      <c r="AG2">
        <f>BDH("VMD US Equity","IS_INT_EXPENSE","1993-06-18","2026-05-02","Per=Y","Days=T","Dir=V")</f>
        <v>0</v>
      </c>
      <c r="AI2">
        <f>BDH("VMD US Equity","IS_DEPR_EXP","1993-06-18","2026-05-02","Per=Y","Days=T","Dir=V")</f>
        <v>0</v>
      </c>
      <c r="AK2">
        <f>BDH("VMD US Equity","CF_CASH_FROM_OPER","1993-06-18","2026-05-02","Per=Y","Days=T","Dir=V")</f>
        <v>0</v>
      </c>
      <c r="AM2">
        <f>BDH("VMD US Equity","CAPITAL_EXPEND","1993-06-18","2026-05-02","Per=Y","Days=T","Dir=V")</f>
        <v>0</v>
      </c>
      <c r="AO2">
        <f>BDH("VMD US Equity","CF_FREE_CASH_FLOW","1993-06-18","2026-05-02","Per=Y","Days=T","Dir=V")</f>
        <v>0</v>
      </c>
      <c r="AQ2">
        <f>BDH("VMD US Equity","PX_LAST","1993-06-18","2026-05-02","Per=M","Days=T","Dir=V")</f>
        <v>0</v>
      </c>
      <c r="AS2">
        <f>BDH("VMD US Equity","CUR_MKT_CAP","1993-06-18","2026-05-02","Per=M","Days=T","Dir=V")</f>
        <v>0</v>
      </c>
      <c r="AU2">
        <f>BDH("VMD US Equity","EQY_SH_OUT","1993-06-18","2026-05-02","Per=M","Days=T","Dir=V")</f>
        <v>0</v>
      </c>
      <c r="AW2">
        <f>BDH("VMD US Equity","PX_VOLUME","1993-06-18","2026-05-02","Per=M","Days=T","Dir=V")</f>
        <v>0</v>
      </c>
      <c r="AY2">
        <f>BDH("VMD US Equity","TURNOVER","1993-06-18","2026-05-02","Per=M","Days=T","Dir=V")</f>
        <v>0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BDH("VMI US Equity","BS_TOT_ASSET","1993-06-18","2026-05-02","Per=Y","Days=T","Dir=V")</f>
        <v>0</v>
      </c>
      <c r="C2">
        <f>BDH("VMI US Equity","BS_TOT_LIAB2","1993-06-18","2026-05-02","Per=Y","Days=T","Dir=V")</f>
        <v>0</v>
      </c>
      <c r="E2">
        <f>BDH("VMI US Equity","SHORT_AND_LONG_TERM_DEBT","1993-06-18","2026-05-02","Per=Y","Days=T","Dir=V")</f>
        <v>0</v>
      </c>
      <c r="G2">
        <f>BDH("VMI US Equity","BS_ST_BORROW","1993-06-18","2026-05-02","Per=Y","Days=T","Dir=V")</f>
        <v>0</v>
      </c>
      <c r="I2">
        <f>BDH("VMI US Equity","BS_LT_BORROW","1993-06-18","2026-05-02","Per=Y","Days=T","Dir=V")</f>
        <v>0</v>
      </c>
      <c r="K2">
        <f>BDH("VMI US Equity","BS_CASH_NEAR_CASH_ITEM","1993-06-18","2026-05-02","Per=Y","Days=T","Dir=V")</f>
        <v>0</v>
      </c>
      <c r="M2">
        <f>BDH("VMI US Equity","BS_CUR_ASSET_REPORT","1993-06-18","2026-05-02","Per=Y","Days=T","Dir=V")</f>
        <v>0</v>
      </c>
      <c r="O2">
        <f>BDH("VMI US Equity","BS_CUR_LIAB","1993-06-18","2026-05-02","Per=Y","Days=T","Dir=V")</f>
        <v>0</v>
      </c>
      <c r="Q2">
        <f>BDH("VMI US Equity","BS_SHAREHOLDER_EQY_ENDING_PERIOD","1993-06-18","2026-05-02","Per=Y","Days=T","Dir=V")</f>
        <v>0</v>
      </c>
      <c r="S2">
        <f>BDH("VMI US Equity","BS_ACCT_NOTE_RCV","1993-06-18","2026-05-02","Per=Y","Days=T","Dir=V")</f>
        <v>0</v>
      </c>
      <c r="U2">
        <f>BDH("VMI US Equity","BS_INVENTORIES","1993-06-18","2026-05-02","Per=Y","Days=T","Dir=V")</f>
        <v>0</v>
      </c>
      <c r="W2">
        <f>BDH("VMI US Equity","WORKING_CAPITAL","1993-06-18","2026-05-02","Per=Y","Days=T","Dir=V")</f>
        <v>0</v>
      </c>
      <c r="Y2">
        <f>BDH("VMI US Equity","SALES_REV_TURN","1993-06-18","2026-05-02","Per=Y","Days=T","Dir=V")</f>
        <v>0</v>
      </c>
      <c r="AA2">
        <f>BDH("VMI US Equity","EBIT","1993-06-18","2026-05-02","Per=Y","Days=T","Dir=V")</f>
        <v>0</v>
      </c>
      <c r="AC2">
        <f>BDH("VMI US Equity","EBITDA","1993-06-18","2026-05-02","Per=Y","Days=T","Dir=V")</f>
        <v>0</v>
      </c>
      <c r="AE2">
        <f>BDH("VMI US Equity","NET_INCOME","1993-06-18","2026-05-02","Per=Y","Days=T","Dir=V")</f>
        <v>0</v>
      </c>
      <c r="AG2">
        <f>BDH("VMI US Equity","IS_INT_EXPENSE","1993-06-18","2026-05-02","Per=Y","Days=T","Dir=V")</f>
        <v>0</v>
      </c>
      <c r="AI2">
        <f>BDH("VMI US Equity","IS_DEPR_EXP","1993-06-18","2026-05-02","Per=Y","Days=T","Dir=V")</f>
        <v>0</v>
      </c>
      <c r="AK2">
        <f>BDH("VMI US Equity","CF_CASH_FROM_OPER","1993-06-18","2026-05-02","Per=Y","Days=T","Dir=V")</f>
        <v>0</v>
      </c>
      <c r="AM2">
        <f>BDH("VMI US Equity","CAPITAL_EXPEND","1993-06-18","2026-05-02","Per=Y","Days=T","Dir=V")</f>
        <v>0</v>
      </c>
      <c r="AO2">
        <f>BDH("VMI US Equity","CF_FREE_CASH_FLOW","1993-06-18","2026-05-02","Per=Y","Days=T","Dir=V")</f>
        <v>0</v>
      </c>
      <c r="AQ2">
        <f>BDH("VMI US Equity","PX_LAST","1993-06-18","2026-05-02","Per=M","Days=T","Dir=V")</f>
        <v>0</v>
      </c>
      <c r="AS2">
        <f>BDH("VMI US Equity","CUR_MKT_CAP","1993-06-18","2026-05-02","Per=M","Days=T","Dir=V")</f>
        <v>0</v>
      </c>
      <c r="AU2">
        <f>BDH("VMI US Equity","EQY_SH_OUT","1993-06-18","2026-05-02","Per=M","Days=T","Dir=V")</f>
        <v>0</v>
      </c>
      <c r="AW2">
        <f>BDH("VMI US Equity","PX_VOLUME","1993-06-18","2026-05-02","Per=M","Days=T","Dir=V")</f>
        <v>0</v>
      </c>
      <c r="AY2">
        <f>BDH("VMI US Equity","TURNOVER","1993-06-18","2026-05-02","Per=M","Days=T","Dir=V")</f>
        <v>0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BDH("VNCE US Equity","BS_TOT_ASSET","1993-06-18","2026-05-02","Per=Y","Days=T","Dir=V")</f>
        <v>0</v>
      </c>
      <c r="C2">
        <f>BDH("VNCE US Equity","BS_TOT_LIAB2","1993-06-18","2026-05-02","Per=Y","Days=T","Dir=V")</f>
        <v>0</v>
      </c>
      <c r="E2">
        <f>BDH("VNCE US Equity","SHORT_AND_LONG_TERM_DEBT","1993-06-18","2026-05-02","Per=Y","Days=T","Dir=V")</f>
        <v>0</v>
      </c>
      <c r="G2">
        <f>BDH("VNCE US Equity","BS_ST_BORROW","1993-06-18","2026-05-02","Per=Y","Days=T","Dir=V")</f>
        <v>0</v>
      </c>
      <c r="I2">
        <f>BDH("VNCE US Equity","BS_LT_BORROW","1993-06-18","2026-05-02","Per=Y","Days=T","Dir=V")</f>
        <v>0</v>
      </c>
      <c r="K2">
        <f>BDH("VNCE US Equity","BS_CASH_NEAR_CASH_ITEM","1993-06-18","2026-05-02","Per=Y","Days=T","Dir=V")</f>
        <v>0</v>
      </c>
      <c r="M2">
        <f>BDH("VNCE US Equity","BS_CUR_ASSET_REPORT","1993-06-18","2026-05-02","Per=Y","Days=T","Dir=V")</f>
        <v>0</v>
      </c>
      <c r="O2">
        <f>BDH("VNCE US Equity","BS_CUR_LIAB","1993-06-18","2026-05-02","Per=Y","Days=T","Dir=V")</f>
        <v>0</v>
      </c>
      <c r="Q2">
        <f>BDH("VNCE US Equity","BS_SHAREHOLDER_EQY_ENDING_PERIOD","1993-06-18","2026-05-02","Per=Y","Days=T","Dir=V")</f>
        <v>0</v>
      </c>
      <c r="S2">
        <f>BDH("VNCE US Equity","BS_ACCT_NOTE_RCV","1993-06-18","2026-05-02","Per=Y","Days=T","Dir=V")</f>
        <v>0</v>
      </c>
      <c r="U2">
        <f>BDH("VNCE US Equity","BS_INVENTORIES","1993-06-18","2026-05-02","Per=Y","Days=T","Dir=V")</f>
        <v>0</v>
      </c>
      <c r="W2">
        <f>BDH("VNCE US Equity","WORKING_CAPITAL","1993-06-18","2026-05-02","Per=Y","Days=T","Dir=V")</f>
        <v>0</v>
      </c>
      <c r="Y2">
        <f>BDH("VNCE US Equity","SALES_REV_TURN","1993-06-18","2026-05-02","Per=Y","Days=T","Dir=V")</f>
        <v>0</v>
      </c>
      <c r="AA2">
        <f>BDH("VNCE US Equity","EBIT","1993-06-18","2026-05-02","Per=Y","Days=T","Dir=V")</f>
        <v>0</v>
      </c>
      <c r="AC2">
        <f>BDH("VNCE US Equity","EBITDA","1993-06-18","2026-05-02","Per=Y","Days=T","Dir=V")</f>
        <v>0</v>
      </c>
      <c r="AE2">
        <f>BDH("VNCE US Equity","NET_INCOME","1993-06-18","2026-05-02","Per=Y","Days=T","Dir=V")</f>
        <v>0</v>
      </c>
      <c r="AG2">
        <f>BDH("VNCE US Equity","IS_INT_EXPENSE","1993-06-18","2026-05-02","Per=Y","Days=T","Dir=V")</f>
        <v>0</v>
      </c>
      <c r="AI2">
        <f>BDH("VNCE US Equity","IS_DEPR_EXP","1993-06-18","2026-05-02","Per=Y","Days=T","Dir=V")</f>
        <v>0</v>
      </c>
      <c r="AK2">
        <f>BDH("VNCE US Equity","CF_CASH_FROM_OPER","1993-06-18","2026-05-02","Per=Y","Days=T","Dir=V")</f>
        <v>0</v>
      </c>
      <c r="AM2">
        <f>BDH("VNCE US Equity","CAPITAL_EXPEND","1993-06-18","2026-05-02","Per=Y","Days=T","Dir=V")</f>
        <v>0</v>
      </c>
      <c r="AO2">
        <f>BDH("VNCE US Equity","CF_FREE_CASH_FLOW","1993-06-18","2026-05-02","Per=Y","Days=T","Dir=V")</f>
        <v>0</v>
      </c>
      <c r="AQ2">
        <f>BDH("VNCE US Equity","PX_LAST","1993-06-18","2026-05-02","Per=M","Days=T","Dir=V")</f>
        <v>0</v>
      </c>
      <c r="AS2">
        <f>BDH("VNCE US Equity","CUR_MKT_CAP","1993-06-18","2026-05-02","Per=M","Days=T","Dir=V")</f>
        <v>0</v>
      </c>
      <c r="AU2">
        <f>BDH("VNCE US Equity","EQY_SH_OUT","1993-06-18","2026-05-02","Per=M","Days=T","Dir=V")</f>
        <v>0</v>
      </c>
      <c r="AW2">
        <f>BDH("VNCE US Equity","PX_VOLUME","1993-06-18","2026-05-02","Per=M","Days=T","Dir=V")</f>
        <v>0</v>
      </c>
      <c r="AY2">
        <f>BDH("VNCE US Equity","TURNOVER","1993-06-18","2026-05-02","Per=M","Days=T","Dir=V")</f>
        <v>0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BDH("VNDA US Equity","BS_TOT_ASSET","1993-06-18","2026-05-02","Per=Y","Days=T","Dir=V")</f>
        <v>0</v>
      </c>
      <c r="C2">
        <f>BDH("VNDA US Equity","BS_TOT_LIAB2","1993-06-18","2026-05-02","Per=Y","Days=T","Dir=V")</f>
        <v>0</v>
      </c>
      <c r="E2">
        <f>BDH("VNDA US Equity","SHORT_AND_LONG_TERM_DEBT","1993-06-18","2026-05-02","Per=Y","Days=T","Dir=V")</f>
        <v>0</v>
      </c>
      <c r="G2">
        <f>BDH("VNDA US Equity","BS_ST_BORROW","1993-06-18","2026-05-02","Per=Y","Days=T","Dir=V")</f>
        <v>0</v>
      </c>
      <c r="I2">
        <f>BDH("VNDA US Equity","BS_LT_BORROW","1993-06-18","2026-05-02","Per=Y","Days=T","Dir=V")</f>
        <v>0</v>
      </c>
      <c r="K2">
        <f>BDH("VNDA US Equity","BS_CASH_NEAR_CASH_ITEM","1993-06-18","2026-05-02","Per=Y","Days=T","Dir=V")</f>
        <v>0</v>
      </c>
      <c r="M2">
        <f>BDH("VNDA US Equity","BS_CUR_ASSET_REPORT","1993-06-18","2026-05-02","Per=Y","Days=T","Dir=V")</f>
        <v>0</v>
      </c>
      <c r="O2">
        <f>BDH("VNDA US Equity","BS_CUR_LIAB","1993-06-18","2026-05-02","Per=Y","Days=T","Dir=V")</f>
        <v>0</v>
      </c>
      <c r="Q2">
        <f>BDH("VNDA US Equity","BS_SHAREHOLDER_EQY_ENDING_PERIOD","1993-06-18","2026-05-02","Per=Y","Days=T","Dir=V")</f>
        <v>0</v>
      </c>
      <c r="S2">
        <f>BDH("VNDA US Equity","BS_ACCT_NOTE_RCV","1993-06-18","2026-05-02","Per=Y","Days=T","Dir=V")</f>
        <v>0</v>
      </c>
      <c r="U2">
        <f>BDH("VNDA US Equity","BS_INVENTORIES","1993-06-18","2026-05-02","Per=Y","Days=T","Dir=V")</f>
        <v>0</v>
      </c>
      <c r="W2">
        <f>BDH("VNDA US Equity","WORKING_CAPITAL","1993-06-18","2026-05-02","Per=Y","Days=T","Dir=V")</f>
        <v>0</v>
      </c>
      <c r="Y2">
        <f>BDH("VNDA US Equity","SALES_REV_TURN","1993-06-18","2026-05-02","Per=Y","Days=T","Dir=V")</f>
        <v>0</v>
      </c>
      <c r="AA2">
        <f>BDH("VNDA US Equity","EBIT","1993-06-18","2026-05-02","Per=Y","Days=T","Dir=V")</f>
        <v>0</v>
      </c>
      <c r="AC2">
        <f>BDH("VNDA US Equity","EBITDA","1993-06-18","2026-05-02","Per=Y","Days=T","Dir=V")</f>
        <v>0</v>
      </c>
      <c r="AE2">
        <f>BDH("VNDA US Equity","NET_INCOME","1993-06-18","2026-05-02","Per=Y","Days=T","Dir=V")</f>
        <v>0</v>
      </c>
      <c r="AG2">
        <f>BDH("VNDA US Equity","IS_INT_EXPENSE","1993-06-18","2026-05-02","Per=Y","Days=T","Dir=V")</f>
        <v>0</v>
      </c>
      <c r="AI2">
        <f>BDH("VNDA US Equity","IS_DEPR_EXP","1993-06-18","2026-05-02","Per=Y","Days=T","Dir=V")</f>
        <v>0</v>
      </c>
      <c r="AK2">
        <f>BDH("VNDA US Equity","CF_CASH_FROM_OPER","1993-06-18","2026-05-02","Per=Y","Days=T","Dir=V")</f>
        <v>0</v>
      </c>
      <c r="AM2">
        <f>BDH("VNDA US Equity","CAPITAL_EXPEND","1993-06-18","2026-05-02","Per=Y","Days=T","Dir=V")</f>
        <v>0</v>
      </c>
      <c r="AO2">
        <f>BDH("VNDA US Equity","CF_FREE_CASH_FLOW","1993-06-18","2026-05-02","Per=Y","Days=T","Dir=V")</f>
        <v>0</v>
      </c>
      <c r="AQ2">
        <f>BDH("VNDA US Equity","PX_LAST","1993-06-18","2026-05-02","Per=M","Days=T","Dir=V")</f>
        <v>0</v>
      </c>
      <c r="AS2">
        <f>BDH("VNDA US Equity","CUR_MKT_CAP","1993-06-18","2026-05-02","Per=M","Days=T","Dir=V")</f>
        <v>0</v>
      </c>
      <c r="AU2">
        <f>BDH("VNDA US Equity","EQY_SH_OUT","1993-06-18","2026-05-02","Per=M","Days=T","Dir=V")</f>
        <v>0</v>
      </c>
      <c r="AW2">
        <f>BDH("VNDA US Equity","PX_VOLUME","1993-06-18","2026-05-02","Per=M","Days=T","Dir=V")</f>
        <v>0</v>
      </c>
      <c r="AY2">
        <f>BDH("VNDA US Equity","TURNOVER","1993-06-18","2026-05-02","Per=M","Days=T","Dir=V")</f>
        <v>0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BDH("VNOM US Equity","BS_TOT_ASSET","1993-06-18","2026-05-02","Per=Y","Days=T","Dir=V")</f>
        <v>0</v>
      </c>
      <c r="C2">
        <f>BDH("VNOM US Equity","BS_TOT_LIAB2","1993-06-18","2026-05-02","Per=Y","Days=T","Dir=V")</f>
        <v>0</v>
      </c>
      <c r="E2">
        <f>BDH("VNOM US Equity","SHORT_AND_LONG_TERM_DEBT","1993-06-18","2026-05-02","Per=Y","Days=T","Dir=V")</f>
        <v>0</v>
      </c>
      <c r="G2">
        <f>BDH("VNOM US Equity","BS_ST_BORROW","1993-06-18","2026-05-02","Per=Y","Days=T","Dir=V")</f>
        <v>0</v>
      </c>
      <c r="I2">
        <f>BDH("VNOM US Equity","BS_LT_BORROW","1993-06-18","2026-05-02","Per=Y","Days=T","Dir=V")</f>
        <v>0</v>
      </c>
      <c r="K2">
        <f>BDH("VNOM US Equity","BS_CASH_NEAR_CASH_ITEM","1993-06-18","2026-05-02","Per=Y","Days=T","Dir=V")</f>
        <v>0</v>
      </c>
      <c r="M2">
        <f>BDH("VNOM US Equity","BS_CUR_ASSET_REPORT","1993-06-18","2026-05-02","Per=Y","Days=T","Dir=V")</f>
        <v>0</v>
      </c>
      <c r="O2">
        <f>BDH("VNOM US Equity","BS_CUR_LIAB","1993-06-18","2026-05-02","Per=Y","Days=T","Dir=V")</f>
        <v>0</v>
      </c>
      <c r="Q2">
        <f>BDH("VNOM US Equity","BS_SHAREHOLDER_EQY_ENDING_PERIOD","1993-06-18","2026-05-02","Per=Y","Days=T","Dir=V")</f>
        <v>0</v>
      </c>
      <c r="S2">
        <f>BDH("VNOM US Equity","BS_ACCT_NOTE_RCV","1993-06-18","2026-05-02","Per=Y","Days=T","Dir=V")</f>
        <v>0</v>
      </c>
      <c r="U2">
        <f>BDH("VNOM US Equity","BS_INVENTORIES","1993-06-18","2026-05-02","Per=Y","Days=T","Dir=V")</f>
        <v>0</v>
      </c>
      <c r="W2">
        <f>BDH("VNOM US Equity","WORKING_CAPITAL","1993-06-18","2026-05-02","Per=Y","Days=T","Dir=V")</f>
        <v>0</v>
      </c>
      <c r="Y2">
        <f>BDH("VNOM US Equity","SALES_REV_TURN","1993-06-18","2026-05-02","Per=Y","Days=T","Dir=V")</f>
        <v>0</v>
      </c>
      <c r="AA2">
        <f>BDH("VNOM US Equity","EBIT","1993-06-18","2026-05-02","Per=Y","Days=T","Dir=V")</f>
        <v>0</v>
      </c>
      <c r="AC2">
        <f>BDH("VNOM US Equity","EBITDA","1993-06-18","2026-05-02","Per=Y","Days=T","Dir=V")</f>
        <v>0</v>
      </c>
      <c r="AE2">
        <f>BDH("VNOM US Equity","NET_INCOME","1993-06-18","2026-05-02","Per=Y","Days=T","Dir=V")</f>
        <v>0</v>
      </c>
      <c r="AG2">
        <f>BDH("VNOM US Equity","IS_INT_EXPENSE","1993-06-18","2026-05-02","Per=Y","Days=T","Dir=V")</f>
        <v>0</v>
      </c>
      <c r="AI2">
        <f>BDH("VNOM US Equity","IS_DEPR_EXP","1993-06-18","2026-05-02","Per=Y","Days=T","Dir=V")</f>
        <v>0</v>
      </c>
      <c r="AK2">
        <f>BDH("VNOM US Equity","CF_CASH_FROM_OPER","1993-06-18","2026-05-02","Per=Y","Days=T","Dir=V")</f>
        <v>0</v>
      </c>
      <c r="AM2">
        <f>BDH("VNOM US Equity","CAPITAL_EXPEND","1993-06-18","2026-05-02","Per=Y","Days=T","Dir=V")</f>
        <v>0</v>
      </c>
      <c r="AO2">
        <f>BDH("VNOM US Equity","CF_FREE_CASH_FLOW","1993-06-18","2026-05-02","Per=Y","Days=T","Dir=V")</f>
        <v>0</v>
      </c>
      <c r="AQ2">
        <f>BDH("VNOM US Equity","PX_LAST","1993-06-18","2026-05-02","Per=M","Days=T","Dir=V")</f>
        <v>0</v>
      </c>
      <c r="AS2">
        <f>BDH("VNOM US Equity","CUR_MKT_CAP","1993-06-18","2026-05-02","Per=M","Days=T","Dir=V")</f>
        <v>0</v>
      </c>
      <c r="AU2">
        <f>BDH("VNOM US Equity","EQY_SH_OUT","1993-06-18","2026-05-02","Per=M","Days=T","Dir=V")</f>
        <v>0</v>
      </c>
      <c r="AW2">
        <f>BDH("VNOM US Equity","PX_VOLUME","1993-06-18","2026-05-02","Per=M","Days=T","Dir=V")</f>
        <v>0</v>
      </c>
      <c r="AY2">
        <f>BDH("VNOM US Equity","TURNOVER","1993-06-18","2026-05-02","Per=M","Days=T","Dir=V")</f>
        <v>0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BDH("VNT US Equity","BS_TOT_ASSET","1993-06-18","2026-05-02","Per=Y","Days=T","Dir=V")</f>
        <v>0</v>
      </c>
      <c r="C2">
        <f>BDH("VNT US Equity","BS_TOT_LIAB2","1993-06-18","2026-05-02","Per=Y","Days=T","Dir=V")</f>
        <v>0</v>
      </c>
      <c r="E2">
        <f>BDH("VNT US Equity","SHORT_AND_LONG_TERM_DEBT","1993-06-18","2026-05-02","Per=Y","Days=T","Dir=V")</f>
        <v>0</v>
      </c>
      <c r="G2">
        <f>BDH("VNT US Equity","BS_ST_BORROW","1993-06-18","2026-05-02","Per=Y","Days=T","Dir=V")</f>
        <v>0</v>
      </c>
      <c r="I2">
        <f>BDH("VNT US Equity","BS_LT_BORROW","1993-06-18","2026-05-02","Per=Y","Days=T","Dir=V")</f>
        <v>0</v>
      </c>
      <c r="K2">
        <f>BDH("VNT US Equity","BS_CASH_NEAR_CASH_ITEM","1993-06-18","2026-05-02","Per=Y","Days=T","Dir=V")</f>
        <v>0</v>
      </c>
      <c r="M2">
        <f>BDH("VNT US Equity","BS_CUR_ASSET_REPORT","1993-06-18","2026-05-02","Per=Y","Days=T","Dir=V")</f>
        <v>0</v>
      </c>
      <c r="O2">
        <f>BDH("VNT US Equity","BS_CUR_LIAB","1993-06-18","2026-05-02","Per=Y","Days=T","Dir=V")</f>
        <v>0</v>
      </c>
      <c r="Q2">
        <f>BDH("VNT US Equity","BS_SHAREHOLDER_EQY_ENDING_PERIOD","1993-06-18","2026-05-02","Per=Y","Days=T","Dir=V")</f>
        <v>0</v>
      </c>
      <c r="S2">
        <f>BDH("VNT US Equity","BS_ACCT_NOTE_RCV","1993-06-18","2026-05-02","Per=Y","Days=T","Dir=V")</f>
        <v>0</v>
      </c>
      <c r="U2">
        <f>BDH("VNT US Equity","BS_INVENTORIES","1993-06-18","2026-05-02","Per=Y","Days=T","Dir=V")</f>
        <v>0</v>
      </c>
      <c r="W2">
        <f>BDH("VNT US Equity","WORKING_CAPITAL","1993-06-18","2026-05-02","Per=Y","Days=T","Dir=V")</f>
        <v>0</v>
      </c>
      <c r="Y2">
        <f>BDH("VNT US Equity","SALES_REV_TURN","1993-06-18","2026-05-02","Per=Y","Days=T","Dir=V")</f>
        <v>0</v>
      </c>
      <c r="AA2">
        <f>BDH("VNT US Equity","EBIT","1993-06-18","2026-05-02","Per=Y","Days=T","Dir=V")</f>
        <v>0</v>
      </c>
      <c r="AC2">
        <f>BDH("VNT US Equity","EBITDA","1993-06-18","2026-05-02","Per=Y","Days=T","Dir=V")</f>
        <v>0</v>
      </c>
      <c r="AE2">
        <f>BDH("VNT US Equity","NET_INCOME","1993-06-18","2026-05-02","Per=Y","Days=T","Dir=V")</f>
        <v>0</v>
      </c>
      <c r="AG2">
        <f>BDH("VNT US Equity","IS_INT_EXPENSE","1993-06-18","2026-05-02","Per=Y","Days=T","Dir=V")</f>
        <v>0</v>
      </c>
      <c r="AI2">
        <f>BDH("VNT US Equity","IS_DEPR_EXP","1993-06-18","2026-05-02","Per=Y","Days=T","Dir=V")</f>
        <v>0</v>
      </c>
      <c r="AK2">
        <f>BDH("VNT US Equity","CF_CASH_FROM_OPER","1993-06-18","2026-05-02","Per=Y","Days=T","Dir=V")</f>
        <v>0</v>
      </c>
      <c r="AM2">
        <f>BDH("VNT US Equity","CAPITAL_EXPEND","1993-06-18","2026-05-02","Per=Y","Days=T","Dir=V")</f>
        <v>0</v>
      </c>
      <c r="AO2">
        <f>BDH("VNT US Equity","CF_FREE_CASH_FLOW","1993-06-18","2026-05-02","Per=Y","Days=T","Dir=V")</f>
        <v>0</v>
      </c>
      <c r="AQ2">
        <f>BDH("VNT US Equity","PX_LAST","1993-06-18","2026-05-02","Per=M","Days=T","Dir=V")</f>
        <v>0</v>
      </c>
      <c r="AS2">
        <f>BDH("VNT US Equity","CUR_MKT_CAP","1993-06-18","2026-05-02","Per=M","Days=T","Dir=V")</f>
        <v>0</v>
      </c>
      <c r="AU2">
        <f>BDH("VNT US Equity","EQY_SH_OUT","1993-06-18","2026-05-02","Per=M","Days=T","Dir=V")</f>
        <v>0</v>
      </c>
      <c r="AW2">
        <f>BDH("VNT US Equity","PX_VOLUME","1993-06-18","2026-05-02","Per=M","Days=T","Dir=V")</f>
        <v>0</v>
      </c>
      <c r="AY2">
        <f>BDH("VNT US Equity","TURNOVER","1993-06-18","2026-05-02","Per=M","Days=T","Dir=V")</f>
        <v>0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BDH("VOC US Equity","BS_TOT_ASSET","1993-06-18","2026-05-02","Per=Y","Days=T","Dir=V")</f>
        <v>0</v>
      </c>
      <c r="C2">
        <f>BDH("VOC US Equity","BS_TOT_LIAB2","1993-06-18","2026-05-02","Per=Y","Days=T","Dir=V")</f>
        <v>0</v>
      </c>
      <c r="E2">
        <f>BDH("VOC US Equity","SHORT_AND_LONG_TERM_DEBT","1993-06-18","2026-05-02","Per=Y","Days=T","Dir=V")</f>
        <v>0</v>
      </c>
      <c r="G2">
        <f>BDH("VOC US Equity","BS_ST_BORROW","1993-06-18","2026-05-02","Per=Y","Days=T","Dir=V")</f>
        <v>0</v>
      </c>
      <c r="I2">
        <f>BDH("VOC US Equity","BS_LT_BORROW","1993-06-18","2026-05-02","Per=Y","Days=T","Dir=V")</f>
        <v>0</v>
      </c>
      <c r="K2">
        <f>BDH("VOC US Equity","BS_CASH_NEAR_CASH_ITEM","1993-06-18","2026-05-02","Per=Y","Days=T","Dir=V")</f>
        <v>0</v>
      </c>
      <c r="M2">
        <f>BDH("VOC US Equity","BS_CUR_ASSET_REPORT","1993-06-18","2026-05-02","Per=Y","Days=T","Dir=V")</f>
        <v>0</v>
      </c>
      <c r="O2">
        <f>BDH("VOC US Equity","BS_CUR_LIAB","1993-06-18","2026-05-02","Per=Y","Days=T","Dir=V")</f>
        <v>0</v>
      </c>
      <c r="Q2">
        <f>BDH("VOC US Equity","BS_SHAREHOLDER_EQY_ENDING_PERIOD","1993-06-18","2026-05-02","Per=Y","Days=T","Dir=V")</f>
        <v>0</v>
      </c>
      <c r="S2">
        <f>BDH("VOC US Equity","BS_ACCT_NOTE_RCV","1993-06-18","2026-05-02","Per=Y","Days=T","Dir=V")</f>
        <v>0</v>
      </c>
      <c r="U2">
        <f>BDH("VOC US Equity","BS_INVENTORIES","1993-06-18","2026-05-02","Per=Y","Days=T","Dir=V")</f>
        <v>0</v>
      </c>
      <c r="W2">
        <f>BDH("VOC US Equity","WORKING_CAPITAL","1993-06-18","2026-05-02","Per=Y","Days=T","Dir=V")</f>
        <v>0</v>
      </c>
      <c r="Y2">
        <f>BDH("VOC US Equity","SALES_REV_TURN","1993-06-18","2026-05-02","Per=Y","Days=T","Dir=V")</f>
        <v>0</v>
      </c>
      <c r="AA2">
        <f>BDH("VOC US Equity","EBIT","1993-06-18","2026-05-02","Per=Y","Days=T","Dir=V")</f>
        <v>0</v>
      </c>
      <c r="AC2">
        <f>BDH("VOC US Equity","EBITDA","1993-06-18","2026-05-02","Per=Y","Days=T","Dir=V")</f>
        <v>0</v>
      </c>
      <c r="AE2">
        <f>BDH("VOC US Equity","NET_INCOME","1993-06-18","2026-05-02","Per=Y","Days=T","Dir=V")</f>
        <v>0</v>
      </c>
      <c r="AG2">
        <f>BDH("VOC US Equity","IS_INT_EXPENSE","1993-06-18","2026-05-02","Per=Y","Days=T","Dir=V")</f>
        <v>0</v>
      </c>
      <c r="AI2">
        <f>BDH("VOC US Equity","IS_DEPR_EXP","1993-06-18","2026-05-02","Per=Y","Days=T","Dir=V")</f>
        <v>0</v>
      </c>
      <c r="AK2">
        <f>BDH("VOC US Equity","CF_CASH_FROM_OPER","1993-06-18","2026-05-02","Per=Y","Days=T","Dir=V")</f>
        <v>0</v>
      </c>
      <c r="AM2">
        <f>BDH("VOC US Equity","CAPITAL_EXPEND","1993-06-18","2026-05-02","Per=Y","Days=T","Dir=V")</f>
        <v>0</v>
      </c>
      <c r="AO2">
        <f>BDH("VOC US Equity","CF_FREE_CASH_FLOW","1993-06-18","2026-05-02","Per=Y","Days=T","Dir=V")</f>
        <v>0</v>
      </c>
      <c r="AQ2">
        <f>BDH("VOC US Equity","PX_LAST","1993-06-18","2026-05-02","Per=M","Days=T","Dir=V")</f>
        <v>0</v>
      </c>
      <c r="AS2">
        <f>BDH("VOC US Equity","CUR_MKT_CAP","1993-06-18","2026-05-02","Per=M","Days=T","Dir=V")</f>
        <v>0</v>
      </c>
      <c r="AU2">
        <f>BDH("VOC US Equity","EQY_SH_OUT","1993-06-18","2026-05-02","Per=M","Days=T","Dir=V")</f>
        <v>0</v>
      </c>
      <c r="AW2">
        <f>BDH("VOC US Equity","PX_VOLUME","1993-06-18","2026-05-02","Per=M","Days=T","Dir=V")</f>
        <v>0</v>
      </c>
      <c r="AY2">
        <f>BDH("VOC US Equity","TURNOVER","1993-06-18","2026-05-02","Per=M","Days=T","Dir=V")</f>
        <v>0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BDH("VOGX US Equity","BS_TOT_ASSET","1993-06-18","2026-05-02","Per=Y","Days=T","Dir=V")</f>
        <v>0</v>
      </c>
      <c r="C2">
        <f>BDH("VOGX US Equity","BS_TOT_LIAB2","1993-06-18","2026-05-02","Per=Y","Days=T","Dir=V")</f>
        <v>0</v>
      </c>
      <c r="E2">
        <f>BDH("VOGX US Equity","SHORT_AND_LONG_TERM_DEBT","1993-06-18","2026-05-02","Per=Y","Days=T","Dir=V")</f>
        <v>0</v>
      </c>
      <c r="G2">
        <f>BDH("VOGX US Equity","BS_ST_BORROW","1993-06-18","2026-05-02","Per=Y","Days=T","Dir=V")</f>
        <v>0</v>
      </c>
      <c r="I2">
        <f>BDH("VOGX US Equity","BS_LT_BORROW","1993-06-18","2026-05-02","Per=Y","Days=T","Dir=V")</f>
        <v>0</v>
      </c>
      <c r="K2">
        <f>BDH("VOGX US Equity","BS_CASH_NEAR_CASH_ITEM","1993-06-18","2026-05-02","Per=Y","Days=T","Dir=V")</f>
        <v>0</v>
      </c>
      <c r="M2">
        <f>BDH("VOGX US Equity","BS_CUR_ASSET_REPORT","1993-06-18","2026-05-02","Per=Y","Days=T","Dir=V")</f>
        <v>0</v>
      </c>
      <c r="O2">
        <f>BDH("VOGX US Equity","BS_CUR_LIAB","1993-06-18","2026-05-02","Per=Y","Days=T","Dir=V")</f>
        <v>0</v>
      </c>
      <c r="Q2">
        <f>BDH("VOGX US Equity","BS_SHAREHOLDER_EQY_ENDING_PERIOD","1993-06-18","2026-05-02","Per=Y","Days=T","Dir=V")</f>
        <v>0</v>
      </c>
      <c r="S2">
        <f>BDH("VOGX US Equity","BS_ACCT_NOTE_RCV","1993-06-18","2026-05-02","Per=Y","Days=T","Dir=V")</f>
        <v>0</v>
      </c>
      <c r="U2">
        <f>BDH("VOGX US Equity","BS_INVENTORIES","1993-06-18","2026-05-02","Per=Y","Days=T","Dir=V")</f>
        <v>0</v>
      </c>
      <c r="W2">
        <f>BDH("VOGX US Equity","WORKING_CAPITAL","1993-06-18","2026-05-02","Per=Y","Days=T","Dir=V")</f>
        <v>0</v>
      </c>
      <c r="Y2">
        <f>BDH("VOGX US Equity","SALES_REV_TURN","1993-06-18","2026-05-02","Per=Y","Days=T","Dir=V")</f>
        <v>0</v>
      </c>
      <c r="AA2">
        <f>BDH("VOGX US Equity","EBIT","1993-06-18","2026-05-02","Per=Y","Days=T","Dir=V")</f>
        <v>0</v>
      </c>
      <c r="AC2">
        <f>BDH("VOGX US Equity","EBITDA","1993-06-18","2026-05-02","Per=Y","Days=T","Dir=V")</f>
        <v>0</v>
      </c>
      <c r="AE2">
        <f>BDH("VOGX US Equity","NET_INCOME","1993-06-18","2026-05-02","Per=Y","Days=T","Dir=V")</f>
        <v>0</v>
      </c>
      <c r="AG2">
        <f>BDH("VOGX US Equity","IS_INT_EXPENSE","1993-06-18","2026-05-02","Per=Y","Days=T","Dir=V")</f>
        <v>0</v>
      </c>
      <c r="AI2">
        <f>BDH("VOGX US Equity","IS_DEPR_EXP","1993-06-18","2026-05-02","Per=Y","Days=T","Dir=V")</f>
        <v>0</v>
      </c>
      <c r="AK2">
        <f>BDH("VOGX US Equity","CF_CASH_FROM_OPER","1993-06-18","2026-05-02","Per=Y","Days=T","Dir=V")</f>
        <v>0</v>
      </c>
      <c r="AM2">
        <f>BDH("VOGX US Equity","CAPITAL_EXPEND","1993-06-18","2026-05-02","Per=Y","Days=T","Dir=V")</f>
        <v>0</v>
      </c>
      <c r="AO2">
        <f>BDH("VOGX US Equity","CF_FREE_CASH_FLOW","1993-06-18","2026-05-02","Per=Y","Days=T","Dir=V")</f>
        <v>0</v>
      </c>
      <c r="AQ2">
        <f>BDH("VOGX US Equity","PX_LAST","1993-06-18","2026-05-02","Per=M","Days=T","Dir=V")</f>
        <v>0</v>
      </c>
      <c r="AS2">
        <f>BDH("VOGX US Equity","CUR_MKT_CAP","1993-06-18","2026-05-02","Per=M","Days=T","Dir=V")</f>
        <v>0</v>
      </c>
      <c r="AU2">
        <f>BDH("VOGX US Equity","EQY_SH_OUT","1993-06-18","2026-05-02","Per=M","Days=T","Dir=V")</f>
        <v>0</v>
      </c>
      <c r="AW2">
        <f>BDH("VOGX US Equity","PX_VOLUME","1993-06-18","2026-05-02","Per=M","Days=T","Dir=V")</f>
        <v>0</v>
      </c>
      <c r="AY2">
        <f>BDH("VOGX US Equity","TURNOVER","1993-06-18","2026-05-02","Per=M","Days=T","Dir=V")</f>
        <v>0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BDH("VOR US Equity","BS_TOT_ASSET","1993-06-18","2026-05-02","Per=Y","Days=T","Dir=V")</f>
        <v>0</v>
      </c>
      <c r="C2">
        <f>BDH("VOR US Equity","BS_TOT_LIAB2","1993-06-18","2026-05-02","Per=Y","Days=T","Dir=V")</f>
        <v>0</v>
      </c>
      <c r="E2">
        <f>BDH("VOR US Equity","SHORT_AND_LONG_TERM_DEBT","1993-06-18","2026-05-02","Per=Y","Days=T","Dir=V")</f>
        <v>0</v>
      </c>
      <c r="G2">
        <f>BDH("VOR US Equity","BS_ST_BORROW","1993-06-18","2026-05-02","Per=Y","Days=T","Dir=V")</f>
        <v>0</v>
      </c>
      <c r="I2">
        <f>BDH("VOR US Equity","BS_LT_BORROW","1993-06-18","2026-05-02","Per=Y","Days=T","Dir=V")</f>
        <v>0</v>
      </c>
      <c r="K2">
        <f>BDH("VOR US Equity","BS_CASH_NEAR_CASH_ITEM","1993-06-18","2026-05-02","Per=Y","Days=T","Dir=V")</f>
        <v>0</v>
      </c>
      <c r="M2">
        <f>BDH("VOR US Equity","BS_CUR_ASSET_REPORT","1993-06-18","2026-05-02","Per=Y","Days=T","Dir=V")</f>
        <v>0</v>
      </c>
      <c r="O2">
        <f>BDH("VOR US Equity","BS_CUR_LIAB","1993-06-18","2026-05-02","Per=Y","Days=T","Dir=V")</f>
        <v>0</v>
      </c>
      <c r="Q2">
        <f>BDH("VOR US Equity","BS_SHAREHOLDER_EQY_ENDING_PERIOD","1993-06-18","2026-05-02","Per=Y","Days=T","Dir=V")</f>
        <v>0</v>
      </c>
      <c r="S2">
        <f>BDH("VOR US Equity","BS_ACCT_NOTE_RCV","1993-06-18","2026-05-02","Per=Y","Days=T","Dir=V")</f>
        <v>0</v>
      </c>
      <c r="U2">
        <f>BDH("VOR US Equity","BS_INVENTORIES","1993-06-18","2026-05-02","Per=Y","Days=T","Dir=V")</f>
        <v>0</v>
      </c>
      <c r="W2">
        <f>BDH("VOR US Equity","WORKING_CAPITAL","1993-06-18","2026-05-02","Per=Y","Days=T","Dir=V")</f>
        <v>0</v>
      </c>
      <c r="Y2">
        <f>BDH("VOR US Equity","SALES_REV_TURN","1993-06-18","2026-05-02","Per=Y","Days=T","Dir=V")</f>
        <v>0</v>
      </c>
      <c r="AA2">
        <f>BDH("VOR US Equity","EBIT","1993-06-18","2026-05-02","Per=Y","Days=T","Dir=V")</f>
        <v>0</v>
      </c>
      <c r="AC2">
        <f>BDH("VOR US Equity","EBITDA","1993-06-18","2026-05-02","Per=Y","Days=T","Dir=V")</f>
        <v>0</v>
      </c>
      <c r="AE2">
        <f>BDH("VOR US Equity","NET_INCOME","1993-06-18","2026-05-02","Per=Y","Days=T","Dir=V")</f>
        <v>0</v>
      </c>
      <c r="AG2">
        <f>BDH("VOR US Equity","IS_INT_EXPENSE","1993-06-18","2026-05-02","Per=Y","Days=T","Dir=V")</f>
        <v>0</v>
      </c>
      <c r="AI2">
        <f>BDH("VOR US Equity","IS_DEPR_EXP","1993-06-18","2026-05-02","Per=Y","Days=T","Dir=V")</f>
        <v>0</v>
      </c>
      <c r="AK2">
        <f>BDH("VOR US Equity","CF_CASH_FROM_OPER","1993-06-18","2026-05-02","Per=Y","Days=T","Dir=V")</f>
        <v>0</v>
      </c>
      <c r="AM2">
        <f>BDH("VOR US Equity","CAPITAL_EXPEND","1993-06-18","2026-05-02","Per=Y","Days=T","Dir=V")</f>
        <v>0</v>
      </c>
      <c r="AO2">
        <f>BDH("VOR US Equity","CF_FREE_CASH_FLOW","1993-06-18","2026-05-02","Per=Y","Days=T","Dir=V")</f>
        <v>0</v>
      </c>
      <c r="AQ2">
        <f>BDH("VOR US Equity","PX_LAST","1993-06-18","2026-05-02","Per=M","Days=T","Dir=V")</f>
        <v>0</v>
      </c>
      <c r="AS2">
        <f>BDH("VOR US Equity","CUR_MKT_CAP","1993-06-18","2026-05-02","Per=M","Days=T","Dir=V")</f>
        <v>0</v>
      </c>
      <c r="AU2">
        <f>BDH("VOR US Equity","EQY_SH_OUT","1993-06-18","2026-05-02","Per=M","Days=T","Dir=V")</f>
        <v>0</v>
      </c>
      <c r="AW2">
        <f>BDH("VOR US Equity","PX_VOLUME","1993-06-18","2026-05-02","Per=M","Days=T","Dir=V")</f>
        <v>0</v>
      </c>
      <c r="AY2">
        <f>BDH("VOR US Equity","TURNOVER","1993-06-18","2026-05-02","Per=M","Days=T","Dir=V")</f>
        <v>0</v>
      </c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BDH("VOYG US Equity","BS_TOT_ASSET","1993-06-18","2026-05-02","Per=Y","Days=T","Dir=V")</f>
        <v>0</v>
      </c>
      <c r="C2">
        <f>BDH("VOYG US Equity","BS_TOT_LIAB2","1993-06-18","2026-05-02","Per=Y","Days=T","Dir=V")</f>
        <v>0</v>
      </c>
      <c r="E2">
        <f>BDH("VOYG US Equity","SHORT_AND_LONG_TERM_DEBT","1993-06-18","2026-05-02","Per=Y","Days=T","Dir=V")</f>
        <v>0</v>
      </c>
      <c r="G2">
        <f>BDH("VOYG US Equity","BS_ST_BORROW","1993-06-18","2026-05-02","Per=Y","Days=T","Dir=V")</f>
        <v>0</v>
      </c>
      <c r="I2">
        <f>BDH("VOYG US Equity","BS_LT_BORROW","1993-06-18","2026-05-02","Per=Y","Days=T","Dir=V")</f>
        <v>0</v>
      </c>
      <c r="K2">
        <f>BDH("VOYG US Equity","BS_CASH_NEAR_CASH_ITEM","1993-06-18","2026-05-02","Per=Y","Days=T","Dir=V")</f>
        <v>0</v>
      </c>
      <c r="M2">
        <f>BDH("VOYG US Equity","BS_CUR_ASSET_REPORT","1993-06-18","2026-05-02","Per=Y","Days=T","Dir=V")</f>
        <v>0</v>
      </c>
      <c r="O2">
        <f>BDH("VOYG US Equity","BS_CUR_LIAB","1993-06-18","2026-05-02","Per=Y","Days=T","Dir=V")</f>
        <v>0</v>
      </c>
      <c r="Q2">
        <f>BDH("VOYG US Equity","BS_SHAREHOLDER_EQY_ENDING_PERIOD","1993-06-18","2026-05-02","Per=Y","Days=T","Dir=V")</f>
        <v>0</v>
      </c>
      <c r="S2">
        <f>BDH("VOYG US Equity","BS_ACCT_NOTE_RCV","1993-06-18","2026-05-02","Per=Y","Days=T","Dir=V")</f>
        <v>0</v>
      </c>
      <c r="U2">
        <f>BDH("VOYG US Equity","BS_INVENTORIES","1993-06-18","2026-05-02","Per=Y","Days=T","Dir=V")</f>
        <v>0</v>
      </c>
      <c r="W2">
        <f>BDH("VOYG US Equity","WORKING_CAPITAL","1993-06-18","2026-05-02","Per=Y","Days=T","Dir=V")</f>
        <v>0</v>
      </c>
      <c r="Y2">
        <f>BDH("VOYG US Equity","SALES_REV_TURN","1993-06-18","2026-05-02","Per=Y","Days=T","Dir=V")</f>
        <v>0</v>
      </c>
      <c r="AA2">
        <f>BDH("VOYG US Equity","EBIT","1993-06-18","2026-05-02","Per=Y","Days=T","Dir=V")</f>
        <v>0</v>
      </c>
      <c r="AC2">
        <f>BDH("VOYG US Equity","EBITDA","1993-06-18","2026-05-02","Per=Y","Days=T","Dir=V")</f>
        <v>0</v>
      </c>
      <c r="AE2">
        <f>BDH("VOYG US Equity","NET_INCOME","1993-06-18","2026-05-02","Per=Y","Days=T","Dir=V")</f>
        <v>0</v>
      </c>
      <c r="AG2">
        <f>BDH("VOYG US Equity","IS_INT_EXPENSE","1993-06-18","2026-05-02","Per=Y","Days=T","Dir=V")</f>
        <v>0</v>
      </c>
      <c r="AI2">
        <f>BDH("VOYG US Equity","IS_DEPR_EXP","1993-06-18","2026-05-02","Per=Y","Days=T","Dir=V")</f>
        <v>0</v>
      </c>
      <c r="AK2">
        <f>BDH("VOYG US Equity","CF_CASH_FROM_OPER","1993-06-18","2026-05-02","Per=Y","Days=T","Dir=V")</f>
        <v>0</v>
      </c>
      <c r="AM2">
        <f>BDH("VOYG US Equity","CAPITAL_EXPEND","1993-06-18","2026-05-02","Per=Y","Days=T","Dir=V")</f>
        <v>0</v>
      </c>
      <c r="AO2">
        <f>BDH("VOYG US Equity","CF_FREE_CASH_FLOW","1993-06-18","2026-05-02","Per=Y","Days=T","Dir=V")</f>
        <v>0</v>
      </c>
      <c r="AQ2">
        <f>BDH("VOYG US Equity","PX_LAST","1993-06-18","2026-05-02","Per=M","Days=T","Dir=V")</f>
        <v>0</v>
      </c>
      <c r="AS2">
        <f>BDH("VOYG US Equity","CUR_MKT_CAP","1993-06-18","2026-05-02","Per=M","Days=T","Dir=V")</f>
        <v>0</v>
      </c>
      <c r="AU2">
        <f>BDH("VOYG US Equity","EQY_SH_OUT","1993-06-18","2026-05-02","Per=M","Days=T","Dir=V")</f>
        <v>0</v>
      </c>
      <c r="AW2">
        <f>BDH("VOYG US Equity","PX_VOLUME","1993-06-18","2026-05-02","Per=M","Days=T","Dir=V")</f>
        <v>0</v>
      </c>
      <c r="AY2">
        <f>BDH("VOYG US Equity","TURNOVER","1993-06-18","2026-05-02","Per=M","Days=T","Dir=V")</f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BDH("VPG US Equity","BS_TOT_ASSET","1993-06-18","2026-05-02","Per=Y","Days=T","Dir=V")</f>
        <v>0</v>
      </c>
      <c r="C2">
        <f>BDH("VPG US Equity","BS_TOT_LIAB2","1993-06-18","2026-05-02","Per=Y","Days=T","Dir=V")</f>
        <v>0</v>
      </c>
      <c r="E2">
        <f>BDH("VPG US Equity","SHORT_AND_LONG_TERM_DEBT","1993-06-18","2026-05-02","Per=Y","Days=T","Dir=V")</f>
        <v>0</v>
      </c>
      <c r="G2">
        <f>BDH("VPG US Equity","BS_ST_BORROW","1993-06-18","2026-05-02","Per=Y","Days=T","Dir=V")</f>
        <v>0</v>
      </c>
      <c r="I2">
        <f>BDH("VPG US Equity","BS_LT_BORROW","1993-06-18","2026-05-02","Per=Y","Days=T","Dir=V")</f>
        <v>0</v>
      </c>
      <c r="K2">
        <f>BDH("VPG US Equity","BS_CASH_NEAR_CASH_ITEM","1993-06-18","2026-05-02","Per=Y","Days=T","Dir=V")</f>
        <v>0</v>
      </c>
      <c r="M2">
        <f>BDH("VPG US Equity","BS_CUR_ASSET_REPORT","1993-06-18","2026-05-02","Per=Y","Days=T","Dir=V")</f>
        <v>0</v>
      </c>
      <c r="O2">
        <f>BDH("VPG US Equity","BS_CUR_LIAB","1993-06-18","2026-05-02","Per=Y","Days=T","Dir=V")</f>
        <v>0</v>
      </c>
      <c r="Q2">
        <f>BDH("VPG US Equity","BS_SHAREHOLDER_EQY_ENDING_PERIOD","1993-06-18","2026-05-02","Per=Y","Days=T","Dir=V")</f>
        <v>0</v>
      </c>
      <c r="S2">
        <f>BDH("VPG US Equity","BS_ACCT_NOTE_RCV","1993-06-18","2026-05-02","Per=Y","Days=T","Dir=V")</f>
        <v>0</v>
      </c>
      <c r="U2">
        <f>BDH("VPG US Equity","BS_INVENTORIES","1993-06-18","2026-05-02","Per=Y","Days=T","Dir=V")</f>
        <v>0</v>
      </c>
      <c r="W2">
        <f>BDH("VPG US Equity","WORKING_CAPITAL","1993-06-18","2026-05-02","Per=Y","Days=T","Dir=V")</f>
        <v>0</v>
      </c>
      <c r="Y2">
        <f>BDH("VPG US Equity","SALES_REV_TURN","1993-06-18","2026-05-02","Per=Y","Days=T","Dir=V")</f>
        <v>0</v>
      </c>
      <c r="AA2">
        <f>BDH("VPG US Equity","EBIT","1993-06-18","2026-05-02","Per=Y","Days=T","Dir=V")</f>
        <v>0</v>
      </c>
      <c r="AC2">
        <f>BDH("VPG US Equity","EBITDA","1993-06-18","2026-05-02","Per=Y","Days=T","Dir=V")</f>
        <v>0</v>
      </c>
      <c r="AE2">
        <f>BDH("VPG US Equity","NET_INCOME","1993-06-18","2026-05-02","Per=Y","Days=T","Dir=V")</f>
        <v>0</v>
      </c>
      <c r="AG2">
        <f>BDH("VPG US Equity","IS_INT_EXPENSE","1993-06-18","2026-05-02","Per=Y","Days=T","Dir=V")</f>
        <v>0</v>
      </c>
      <c r="AI2">
        <f>BDH("VPG US Equity","IS_DEPR_EXP","1993-06-18","2026-05-02","Per=Y","Days=T","Dir=V")</f>
        <v>0</v>
      </c>
      <c r="AK2">
        <f>BDH("VPG US Equity","CF_CASH_FROM_OPER","1993-06-18","2026-05-02","Per=Y","Days=T","Dir=V")</f>
        <v>0</v>
      </c>
      <c r="AM2">
        <f>BDH("VPG US Equity","CAPITAL_EXPEND","1993-06-18","2026-05-02","Per=Y","Days=T","Dir=V")</f>
        <v>0</v>
      </c>
      <c r="AO2">
        <f>BDH("VPG US Equity","CF_FREE_CASH_FLOW","1993-06-18","2026-05-02","Per=Y","Days=T","Dir=V")</f>
        <v>0</v>
      </c>
      <c r="AQ2">
        <f>BDH("VPG US Equity","PX_LAST","1993-06-18","2026-05-02","Per=M","Days=T","Dir=V")</f>
        <v>0</v>
      </c>
      <c r="AS2">
        <f>BDH("VPG US Equity","CUR_MKT_CAP","1993-06-18","2026-05-02","Per=M","Days=T","Dir=V")</f>
        <v>0</v>
      </c>
      <c r="AU2">
        <f>BDH("VPG US Equity","EQY_SH_OUT","1993-06-18","2026-05-02","Per=M","Days=T","Dir=V")</f>
        <v>0</v>
      </c>
      <c r="AW2">
        <f>BDH("VPG US Equity","PX_VOLUME","1993-06-18","2026-05-02","Per=M","Days=T","Dir=V")</f>
        <v>0</v>
      </c>
      <c r="AY2">
        <f>BDH("VPG US Equity","TURNOVER","1993-06-18","2026-05-02","Per=M","Days=T","Dir=V")</f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BDH("VRA US Equity","BS_TOT_ASSET","1993-06-18","2026-05-02","Per=Y","Days=T","Dir=V")</f>
        <v>0</v>
      </c>
      <c r="C2">
        <f>BDH("VRA US Equity","BS_TOT_LIAB2","1993-06-18","2026-05-02","Per=Y","Days=T","Dir=V")</f>
        <v>0</v>
      </c>
      <c r="E2">
        <f>BDH("VRA US Equity","SHORT_AND_LONG_TERM_DEBT","1993-06-18","2026-05-02","Per=Y","Days=T","Dir=V")</f>
        <v>0</v>
      </c>
      <c r="G2">
        <f>BDH("VRA US Equity","BS_ST_BORROW","1993-06-18","2026-05-02","Per=Y","Days=T","Dir=V")</f>
        <v>0</v>
      </c>
      <c r="I2">
        <f>BDH("VRA US Equity","BS_LT_BORROW","1993-06-18","2026-05-02","Per=Y","Days=T","Dir=V")</f>
        <v>0</v>
      </c>
      <c r="K2">
        <f>BDH("VRA US Equity","BS_CASH_NEAR_CASH_ITEM","1993-06-18","2026-05-02","Per=Y","Days=T","Dir=V")</f>
        <v>0</v>
      </c>
      <c r="M2">
        <f>BDH("VRA US Equity","BS_CUR_ASSET_REPORT","1993-06-18","2026-05-02","Per=Y","Days=T","Dir=V")</f>
        <v>0</v>
      </c>
      <c r="O2">
        <f>BDH("VRA US Equity","BS_CUR_LIAB","1993-06-18","2026-05-02","Per=Y","Days=T","Dir=V")</f>
        <v>0</v>
      </c>
      <c r="Q2">
        <f>BDH("VRA US Equity","BS_SHAREHOLDER_EQY_ENDING_PERIOD","1993-06-18","2026-05-02","Per=Y","Days=T","Dir=V")</f>
        <v>0</v>
      </c>
      <c r="S2">
        <f>BDH("VRA US Equity","BS_ACCT_NOTE_RCV","1993-06-18","2026-05-02","Per=Y","Days=T","Dir=V")</f>
        <v>0</v>
      </c>
      <c r="U2">
        <f>BDH("VRA US Equity","BS_INVENTORIES","1993-06-18","2026-05-02","Per=Y","Days=T","Dir=V")</f>
        <v>0</v>
      </c>
      <c r="W2">
        <f>BDH("VRA US Equity","WORKING_CAPITAL","1993-06-18","2026-05-02","Per=Y","Days=T","Dir=V")</f>
        <v>0</v>
      </c>
      <c r="Y2">
        <f>BDH("VRA US Equity","SALES_REV_TURN","1993-06-18","2026-05-02","Per=Y","Days=T","Dir=V")</f>
        <v>0</v>
      </c>
      <c r="AA2">
        <f>BDH("VRA US Equity","EBIT","1993-06-18","2026-05-02","Per=Y","Days=T","Dir=V")</f>
        <v>0</v>
      </c>
      <c r="AC2">
        <f>BDH("VRA US Equity","EBITDA","1993-06-18","2026-05-02","Per=Y","Days=T","Dir=V")</f>
        <v>0</v>
      </c>
      <c r="AE2">
        <f>BDH("VRA US Equity","NET_INCOME","1993-06-18","2026-05-02","Per=Y","Days=T","Dir=V")</f>
        <v>0</v>
      </c>
      <c r="AG2">
        <f>BDH("VRA US Equity","IS_INT_EXPENSE","1993-06-18","2026-05-02","Per=Y","Days=T","Dir=V")</f>
        <v>0</v>
      </c>
      <c r="AI2">
        <f>BDH("VRA US Equity","IS_DEPR_EXP","1993-06-18","2026-05-02","Per=Y","Days=T","Dir=V")</f>
        <v>0</v>
      </c>
      <c r="AK2">
        <f>BDH("VRA US Equity","CF_CASH_FROM_OPER","1993-06-18","2026-05-02","Per=Y","Days=T","Dir=V")</f>
        <v>0</v>
      </c>
      <c r="AM2">
        <f>BDH("VRA US Equity","CAPITAL_EXPEND","1993-06-18","2026-05-02","Per=Y","Days=T","Dir=V")</f>
        <v>0</v>
      </c>
      <c r="AO2">
        <f>BDH("VRA US Equity","CF_FREE_CASH_FLOW","1993-06-18","2026-05-02","Per=Y","Days=T","Dir=V")</f>
        <v>0</v>
      </c>
      <c r="AQ2">
        <f>BDH("VRA US Equity","PX_LAST","1993-06-18","2026-05-02","Per=M","Days=T","Dir=V")</f>
        <v>0</v>
      </c>
      <c r="AS2">
        <f>BDH("VRA US Equity","CUR_MKT_CAP","1993-06-18","2026-05-02","Per=M","Days=T","Dir=V")</f>
        <v>0</v>
      </c>
      <c r="AU2">
        <f>BDH("VRA US Equity","EQY_SH_OUT","1993-06-18","2026-05-02","Per=M","Days=T","Dir=V")</f>
        <v>0</v>
      </c>
      <c r="AW2">
        <f>BDH("VRA US Equity","PX_VOLUME","1993-06-18","2026-05-02","Per=M","Days=T","Dir=V")</f>
        <v>0</v>
      </c>
      <c r="AY2">
        <f>BDH("VRA US Equity","TURNOVER","1993-06-18","2026-05-02","Per=M","Days=T","Dir=V")</f>
        <v>0</v>
      </c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BDH("VRCA US Equity","BS_TOT_ASSET","1993-06-18","2026-05-02","Per=Y","Days=T","Dir=V")</f>
        <v>0</v>
      </c>
      <c r="C2">
        <f>BDH("VRCA US Equity","BS_TOT_LIAB2","1993-06-18","2026-05-02","Per=Y","Days=T","Dir=V")</f>
        <v>0</v>
      </c>
      <c r="E2">
        <f>BDH("VRCA US Equity","SHORT_AND_LONG_TERM_DEBT","1993-06-18","2026-05-02","Per=Y","Days=T","Dir=V")</f>
        <v>0</v>
      </c>
      <c r="G2">
        <f>BDH("VRCA US Equity","BS_ST_BORROW","1993-06-18","2026-05-02","Per=Y","Days=T","Dir=V")</f>
        <v>0</v>
      </c>
      <c r="I2">
        <f>BDH("VRCA US Equity","BS_LT_BORROW","1993-06-18","2026-05-02","Per=Y","Days=T","Dir=V")</f>
        <v>0</v>
      </c>
      <c r="K2">
        <f>BDH("VRCA US Equity","BS_CASH_NEAR_CASH_ITEM","1993-06-18","2026-05-02","Per=Y","Days=T","Dir=V")</f>
        <v>0</v>
      </c>
      <c r="M2">
        <f>BDH("VRCA US Equity","BS_CUR_ASSET_REPORT","1993-06-18","2026-05-02","Per=Y","Days=T","Dir=V")</f>
        <v>0</v>
      </c>
      <c r="O2">
        <f>BDH("VRCA US Equity","BS_CUR_LIAB","1993-06-18","2026-05-02","Per=Y","Days=T","Dir=V")</f>
        <v>0</v>
      </c>
      <c r="Q2">
        <f>BDH("VRCA US Equity","BS_SHAREHOLDER_EQY_ENDING_PERIOD","1993-06-18","2026-05-02","Per=Y","Days=T","Dir=V")</f>
        <v>0</v>
      </c>
      <c r="S2">
        <f>BDH("VRCA US Equity","BS_ACCT_NOTE_RCV","1993-06-18","2026-05-02","Per=Y","Days=T","Dir=V")</f>
        <v>0</v>
      </c>
      <c r="U2">
        <f>BDH("VRCA US Equity","BS_INVENTORIES","1993-06-18","2026-05-02","Per=Y","Days=T","Dir=V")</f>
        <v>0</v>
      </c>
      <c r="W2">
        <f>BDH("VRCA US Equity","WORKING_CAPITAL","1993-06-18","2026-05-02","Per=Y","Days=T","Dir=V")</f>
        <v>0</v>
      </c>
      <c r="Y2">
        <f>BDH("VRCA US Equity","SALES_REV_TURN","1993-06-18","2026-05-02","Per=Y","Days=T","Dir=V")</f>
        <v>0</v>
      </c>
      <c r="AA2">
        <f>BDH("VRCA US Equity","EBIT","1993-06-18","2026-05-02","Per=Y","Days=T","Dir=V")</f>
        <v>0</v>
      </c>
      <c r="AC2">
        <f>BDH("VRCA US Equity","EBITDA","1993-06-18","2026-05-02","Per=Y","Days=T","Dir=V")</f>
        <v>0</v>
      </c>
      <c r="AE2">
        <f>BDH("VRCA US Equity","NET_INCOME","1993-06-18","2026-05-02","Per=Y","Days=T","Dir=V")</f>
        <v>0</v>
      </c>
      <c r="AG2">
        <f>BDH("VRCA US Equity","IS_INT_EXPENSE","1993-06-18","2026-05-02","Per=Y","Days=T","Dir=V")</f>
        <v>0</v>
      </c>
      <c r="AI2">
        <f>BDH("VRCA US Equity","IS_DEPR_EXP","1993-06-18","2026-05-02","Per=Y","Days=T","Dir=V")</f>
        <v>0</v>
      </c>
      <c r="AK2">
        <f>BDH("VRCA US Equity","CF_CASH_FROM_OPER","1993-06-18","2026-05-02","Per=Y","Days=T","Dir=V")</f>
        <v>0</v>
      </c>
      <c r="AM2">
        <f>BDH("VRCA US Equity","CAPITAL_EXPEND","1993-06-18","2026-05-02","Per=Y","Days=T","Dir=V")</f>
        <v>0</v>
      </c>
      <c r="AO2">
        <f>BDH("VRCA US Equity","CF_FREE_CASH_FLOW","1993-06-18","2026-05-02","Per=Y","Days=T","Dir=V")</f>
        <v>0</v>
      </c>
      <c r="AQ2">
        <f>BDH("VRCA US Equity","PX_LAST","1993-06-18","2026-05-02","Per=M","Days=T","Dir=V")</f>
        <v>0</v>
      </c>
      <c r="AS2">
        <f>BDH("VRCA US Equity","CUR_MKT_CAP","1993-06-18","2026-05-02","Per=M","Days=T","Dir=V")</f>
        <v>0</v>
      </c>
      <c r="AU2">
        <f>BDH("VRCA US Equity","EQY_SH_OUT","1993-06-18","2026-05-02","Per=M","Days=T","Dir=V")</f>
        <v>0</v>
      </c>
      <c r="AW2">
        <f>BDH("VRCA US Equity","PX_VOLUME","1993-06-18","2026-05-02","Per=M","Days=T","Dir=V")</f>
        <v>0</v>
      </c>
      <c r="AY2">
        <f>BDH("VRCA US Equity","TURNOVER","1993-06-18","2026-05-02","Per=M","Days=T","Dir=V")</f>
        <v>0</v>
      </c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BDH("VRDN US Equity","BS_TOT_ASSET","1993-06-18","2026-05-02","Per=Y","Days=T","Dir=V")</f>
        <v>0</v>
      </c>
      <c r="C2">
        <f>BDH("VRDN US Equity","BS_TOT_LIAB2","1993-06-18","2026-05-02","Per=Y","Days=T","Dir=V")</f>
        <v>0</v>
      </c>
      <c r="E2">
        <f>BDH("VRDN US Equity","SHORT_AND_LONG_TERM_DEBT","1993-06-18","2026-05-02","Per=Y","Days=T","Dir=V")</f>
        <v>0</v>
      </c>
      <c r="G2">
        <f>BDH("VRDN US Equity","BS_ST_BORROW","1993-06-18","2026-05-02","Per=Y","Days=T","Dir=V")</f>
        <v>0</v>
      </c>
      <c r="I2">
        <f>BDH("VRDN US Equity","BS_LT_BORROW","1993-06-18","2026-05-02","Per=Y","Days=T","Dir=V")</f>
        <v>0</v>
      </c>
      <c r="K2">
        <f>BDH("VRDN US Equity","BS_CASH_NEAR_CASH_ITEM","1993-06-18","2026-05-02","Per=Y","Days=T","Dir=V")</f>
        <v>0</v>
      </c>
      <c r="M2">
        <f>BDH("VRDN US Equity","BS_CUR_ASSET_REPORT","1993-06-18","2026-05-02","Per=Y","Days=T","Dir=V")</f>
        <v>0</v>
      </c>
      <c r="O2">
        <f>BDH("VRDN US Equity","BS_CUR_LIAB","1993-06-18","2026-05-02","Per=Y","Days=T","Dir=V")</f>
        <v>0</v>
      </c>
      <c r="Q2">
        <f>BDH("VRDN US Equity","BS_SHAREHOLDER_EQY_ENDING_PERIOD","1993-06-18","2026-05-02","Per=Y","Days=T","Dir=V")</f>
        <v>0</v>
      </c>
      <c r="S2">
        <f>BDH("VRDN US Equity","BS_ACCT_NOTE_RCV","1993-06-18","2026-05-02","Per=Y","Days=T","Dir=V")</f>
        <v>0</v>
      </c>
      <c r="U2">
        <f>BDH("VRDN US Equity","BS_INVENTORIES","1993-06-18","2026-05-02","Per=Y","Days=T","Dir=V")</f>
        <v>0</v>
      </c>
      <c r="W2">
        <f>BDH("VRDN US Equity","WORKING_CAPITAL","1993-06-18","2026-05-02","Per=Y","Days=T","Dir=V")</f>
        <v>0</v>
      </c>
      <c r="Y2">
        <f>BDH("VRDN US Equity","SALES_REV_TURN","1993-06-18","2026-05-02","Per=Y","Days=T","Dir=V")</f>
        <v>0</v>
      </c>
      <c r="AA2">
        <f>BDH("VRDN US Equity","EBIT","1993-06-18","2026-05-02","Per=Y","Days=T","Dir=V")</f>
        <v>0</v>
      </c>
      <c r="AC2">
        <f>BDH("VRDN US Equity","EBITDA","1993-06-18","2026-05-02","Per=Y","Days=T","Dir=V")</f>
        <v>0</v>
      </c>
      <c r="AE2">
        <f>BDH("VRDN US Equity","NET_INCOME","1993-06-18","2026-05-02","Per=Y","Days=T","Dir=V")</f>
        <v>0</v>
      </c>
      <c r="AG2">
        <f>BDH("VRDN US Equity","IS_INT_EXPENSE","1993-06-18","2026-05-02","Per=Y","Days=T","Dir=V")</f>
        <v>0</v>
      </c>
      <c r="AI2">
        <f>BDH("VRDN US Equity","IS_DEPR_EXP","1993-06-18","2026-05-02","Per=Y","Days=T","Dir=V")</f>
        <v>0</v>
      </c>
      <c r="AK2">
        <f>BDH("VRDN US Equity","CF_CASH_FROM_OPER","1993-06-18","2026-05-02","Per=Y","Days=T","Dir=V")</f>
        <v>0</v>
      </c>
      <c r="AM2">
        <f>BDH("VRDN US Equity","CAPITAL_EXPEND","1993-06-18","2026-05-02","Per=Y","Days=T","Dir=V")</f>
        <v>0</v>
      </c>
      <c r="AO2">
        <f>BDH("VRDN US Equity","CF_FREE_CASH_FLOW","1993-06-18","2026-05-02","Per=Y","Days=T","Dir=V")</f>
        <v>0</v>
      </c>
      <c r="AQ2">
        <f>BDH("VRDN US Equity","PX_LAST","1993-06-18","2026-05-02","Per=M","Days=T","Dir=V")</f>
        <v>0</v>
      </c>
      <c r="AS2">
        <f>BDH("VRDN US Equity","CUR_MKT_CAP","1993-06-18","2026-05-02","Per=M","Days=T","Dir=V")</f>
        <v>0</v>
      </c>
      <c r="AU2">
        <f>BDH("VRDN US Equity","EQY_SH_OUT","1993-06-18","2026-05-02","Per=M","Days=T","Dir=V")</f>
        <v>0</v>
      </c>
      <c r="AW2">
        <f>BDH("VRDN US Equity","PX_VOLUME","1993-06-18","2026-05-02","Per=M","Days=T","Dir=V")</f>
        <v>0</v>
      </c>
      <c r="AY2">
        <f>BDH("VRDN US Equity","TURNOVER","1993-06-18","2026-05-02","Per=M","Days=T","Dir=V")</f>
        <v>0</v>
      </c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BDH("VREX US Equity","BS_TOT_ASSET","1993-06-18","2026-05-02","Per=Y","Days=T","Dir=V")</f>
        <v>0</v>
      </c>
      <c r="C2">
        <f>BDH("VREX US Equity","BS_TOT_LIAB2","1993-06-18","2026-05-02","Per=Y","Days=T","Dir=V")</f>
        <v>0</v>
      </c>
      <c r="E2">
        <f>BDH("VREX US Equity","SHORT_AND_LONG_TERM_DEBT","1993-06-18","2026-05-02","Per=Y","Days=T","Dir=V")</f>
        <v>0</v>
      </c>
      <c r="G2">
        <f>BDH("VREX US Equity","BS_ST_BORROW","1993-06-18","2026-05-02","Per=Y","Days=T","Dir=V")</f>
        <v>0</v>
      </c>
      <c r="I2">
        <f>BDH("VREX US Equity","BS_LT_BORROW","1993-06-18","2026-05-02","Per=Y","Days=T","Dir=V")</f>
        <v>0</v>
      </c>
      <c r="K2">
        <f>BDH("VREX US Equity","BS_CASH_NEAR_CASH_ITEM","1993-06-18","2026-05-02","Per=Y","Days=T","Dir=V")</f>
        <v>0</v>
      </c>
      <c r="M2">
        <f>BDH("VREX US Equity","BS_CUR_ASSET_REPORT","1993-06-18","2026-05-02","Per=Y","Days=T","Dir=V")</f>
        <v>0</v>
      </c>
      <c r="O2">
        <f>BDH("VREX US Equity","BS_CUR_LIAB","1993-06-18","2026-05-02","Per=Y","Days=T","Dir=V")</f>
        <v>0</v>
      </c>
      <c r="Q2">
        <f>BDH("VREX US Equity","BS_SHAREHOLDER_EQY_ENDING_PERIOD","1993-06-18","2026-05-02","Per=Y","Days=T","Dir=V")</f>
        <v>0</v>
      </c>
      <c r="S2">
        <f>BDH("VREX US Equity","BS_ACCT_NOTE_RCV","1993-06-18","2026-05-02","Per=Y","Days=T","Dir=V")</f>
        <v>0</v>
      </c>
      <c r="U2">
        <f>BDH("VREX US Equity","BS_INVENTORIES","1993-06-18","2026-05-02","Per=Y","Days=T","Dir=V")</f>
        <v>0</v>
      </c>
      <c r="W2">
        <f>BDH("VREX US Equity","WORKING_CAPITAL","1993-06-18","2026-05-02","Per=Y","Days=T","Dir=V")</f>
        <v>0</v>
      </c>
      <c r="Y2">
        <f>BDH("VREX US Equity","SALES_REV_TURN","1993-06-18","2026-05-02","Per=Y","Days=T","Dir=V")</f>
        <v>0</v>
      </c>
      <c r="AA2">
        <f>BDH("VREX US Equity","EBIT","1993-06-18","2026-05-02","Per=Y","Days=T","Dir=V")</f>
        <v>0</v>
      </c>
      <c r="AC2">
        <f>BDH("VREX US Equity","EBITDA","1993-06-18","2026-05-02","Per=Y","Days=T","Dir=V")</f>
        <v>0</v>
      </c>
      <c r="AE2">
        <f>BDH("VREX US Equity","NET_INCOME","1993-06-18","2026-05-02","Per=Y","Days=T","Dir=V")</f>
        <v>0</v>
      </c>
      <c r="AG2">
        <f>BDH("VREX US Equity","IS_INT_EXPENSE","1993-06-18","2026-05-02","Per=Y","Days=T","Dir=V")</f>
        <v>0</v>
      </c>
      <c r="AI2">
        <f>BDH("VREX US Equity","IS_DEPR_EXP","1993-06-18","2026-05-02","Per=Y","Days=T","Dir=V")</f>
        <v>0</v>
      </c>
      <c r="AK2">
        <f>BDH("VREX US Equity","CF_CASH_FROM_OPER","1993-06-18","2026-05-02","Per=Y","Days=T","Dir=V")</f>
        <v>0</v>
      </c>
      <c r="AM2">
        <f>BDH("VREX US Equity","CAPITAL_EXPEND","1993-06-18","2026-05-02","Per=Y","Days=T","Dir=V")</f>
        <v>0</v>
      </c>
      <c r="AO2">
        <f>BDH("VREX US Equity","CF_FREE_CASH_FLOW","1993-06-18","2026-05-02","Per=Y","Days=T","Dir=V")</f>
        <v>0</v>
      </c>
      <c r="AQ2">
        <f>BDH("VREX US Equity","PX_LAST","1993-06-18","2026-05-02","Per=M","Days=T","Dir=V")</f>
        <v>0</v>
      </c>
      <c r="AS2">
        <f>BDH("VREX US Equity","CUR_MKT_CAP","1993-06-18","2026-05-02","Per=M","Days=T","Dir=V")</f>
        <v>0</v>
      </c>
      <c r="AU2">
        <f>BDH("VREX US Equity","EQY_SH_OUT","1993-06-18","2026-05-02","Per=M","Days=T","Dir=V")</f>
        <v>0</v>
      </c>
      <c r="AW2">
        <f>BDH("VREX US Equity","PX_VOLUME","1993-06-18","2026-05-02","Per=M","Days=T","Dir=V")</f>
        <v>0</v>
      </c>
      <c r="AY2">
        <f>BDH("VREX US Equity","TURNOVER","1993-06-18","2026-05-02","Per=M","Days=T","Dir=V")</f>
        <v>0</v>
      </c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BDH("VRM US Equity","BS_TOT_ASSET","1993-06-18","2026-05-02","Per=Y","Days=T","Dir=V")</f>
        <v>0</v>
      </c>
      <c r="C2">
        <f>BDH("VRM US Equity","BS_TOT_LIAB2","1993-06-18","2026-05-02","Per=Y","Days=T","Dir=V")</f>
        <v>0</v>
      </c>
      <c r="E2">
        <f>BDH("VRM US Equity","SHORT_AND_LONG_TERM_DEBT","1993-06-18","2026-05-02","Per=Y","Days=T","Dir=V")</f>
        <v>0</v>
      </c>
      <c r="G2">
        <f>BDH("VRM US Equity","BS_ST_BORROW","1993-06-18","2026-05-02","Per=Y","Days=T","Dir=V")</f>
        <v>0</v>
      </c>
      <c r="I2">
        <f>BDH("VRM US Equity","BS_LT_BORROW","1993-06-18","2026-05-02","Per=Y","Days=T","Dir=V")</f>
        <v>0</v>
      </c>
      <c r="K2">
        <f>BDH("VRM US Equity","BS_CASH_NEAR_CASH_ITEM","1993-06-18","2026-05-02","Per=Y","Days=T","Dir=V")</f>
        <v>0</v>
      </c>
      <c r="M2">
        <f>BDH("VRM US Equity","BS_CUR_ASSET_REPORT","1993-06-18","2026-05-02","Per=Y","Days=T","Dir=V")</f>
        <v>0</v>
      </c>
      <c r="O2">
        <f>BDH("VRM US Equity","BS_CUR_LIAB","1993-06-18","2026-05-02","Per=Y","Days=T","Dir=V")</f>
        <v>0</v>
      </c>
      <c r="Q2">
        <f>BDH("VRM US Equity","BS_SHAREHOLDER_EQY_ENDING_PERIOD","1993-06-18","2026-05-02","Per=Y","Days=T","Dir=V")</f>
        <v>0</v>
      </c>
      <c r="S2">
        <f>BDH("VRM US Equity","BS_ACCT_NOTE_RCV","1993-06-18","2026-05-02","Per=Y","Days=T","Dir=V")</f>
        <v>0</v>
      </c>
      <c r="U2">
        <f>BDH("VRM US Equity","BS_INVENTORIES","1993-06-18","2026-05-02","Per=Y","Days=T","Dir=V")</f>
        <v>0</v>
      </c>
      <c r="W2">
        <f>BDH("VRM US Equity","WORKING_CAPITAL","1993-06-18","2026-05-02","Per=Y","Days=T","Dir=V")</f>
        <v>0</v>
      </c>
      <c r="Y2">
        <f>BDH("VRM US Equity","SALES_REV_TURN","1993-06-18","2026-05-02","Per=Y","Days=T","Dir=V")</f>
        <v>0</v>
      </c>
      <c r="AA2">
        <f>BDH("VRM US Equity","EBIT","1993-06-18","2026-05-02","Per=Y","Days=T","Dir=V")</f>
        <v>0</v>
      </c>
      <c r="AC2">
        <f>BDH("VRM US Equity","EBITDA","1993-06-18","2026-05-02","Per=Y","Days=T","Dir=V")</f>
        <v>0</v>
      </c>
      <c r="AE2">
        <f>BDH("VRM US Equity","NET_INCOME","1993-06-18","2026-05-02","Per=Y","Days=T","Dir=V")</f>
        <v>0</v>
      </c>
      <c r="AG2">
        <f>BDH("VRM US Equity","IS_INT_EXPENSE","1993-06-18","2026-05-02","Per=Y","Days=T","Dir=V")</f>
        <v>0</v>
      </c>
      <c r="AI2">
        <f>BDH("VRM US Equity","IS_DEPR_EXP","1993-06-18","2026-05-02","Per=Y","Days=T","Dir=V")</f>
        <v>0</v>
      </c>
      <c r="AK2">
        <f>BDH("VRM US Equity","CF_CASH_FROM_OPER","1993-06-18","2026-05-02","Per=Y","Days=T","Dir=V")</f>
        <v>0</v>
      </c>
      <c r="AM2">
        <f>BDH("VRM US Equity","CAPITAL_EXPEND","1993-06-18","2026-05-02","Per=Y","Days=T","Dir=V")</f>
        <v>0</v>
      </c>
      <c r="AO2">
        <f>BDH("VRM US Equity","CF_FREE_CASH_FLOW","1993-06-18","2026-05-02","Per=Y","Days=T","Dir=V")</f>
        <v>0</v>
      </c>
      <c r="AQ2">
        <f>BDH("VRM US Equity","PX_LAST","1993-06-18","2026-05-02","Per=M","Days=T","Dir=V")</f>
        <v>0</v>
      </c>
      <c r="AS2">
        <f>BDH("VRM US Equity","CUR_MKT_CAP","1993-06-18","2026-05-02","Per=M","Days=T","Dir=V")</f>
        <v>0</v>
      </c>
      <c r="AU2">
        <f>BDH("VRM US Equity","EQY_SH_OUT","1993-06-18","2026-05-02","Per=M","Days=T","Dir=V")</f>
        <v>0</v>
      </c>
      <c r="AW2">
        <f>BDH("VRM US Equity","PX_VOLUME","1993-06-18","2026-05-02","Per=M","Days=T","Dir=V")</f>
        <v>0</v>
      </c>
      <c r="AY2">
        <f>BDH("VRM US Equity","TURNOVER","1993-06-18","2026-05-02","Per=M","Days=T","Dir=V")</f>
        <v>0</v>
      </c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BDH("VRME US Equity","BS_TOT_ASSET","1993-06-18","2026-05-02","Per=Y","Days=T","Dir=V")</f>
        <v>0</v>
      </c>
      <c r="C2">
        <f>BDH("VRME US Equity","BS_TOT_LIAB2","1993-06-18","2026-05-02","Per=Y","Days=T","Dir=V")</f>
        <v>0</v>
      </c>
      <c r="E2">
        <f>BDH("VRME US Equity","SHORT_AND_LONG_TERM_DEBT","1993-06-18","2026-05-02","Per=Y","Days=T","Dir=V")</f>
        <v>0</v>
      </c>
      <c r="G2">
        <f>BDH("VRME US Equity","BS_ST_BORROW","1993-06-18","2026-05-02","Per=Y","Days=T","Dir=V")</f>
        <v>0</v>
      </c>
      <c r="I2">
        <f>BDH("VRME US Equity","BS_LT_BORROW","1993-06-18","2026-05-02","Per=Y","Days=T","Dir=V")</f>
        <v>0</v>
      </c>
      <c r="K2">
        <f>BDH("VRME US Equity","BS_CASH_NEAR_CASH_ITEM","1993-06-18","2026-05-02","Per=Y","Days=T","Dir=V")</f>
        <v>0</v>
      </c>
      <c r="M2">
        <f>BDH("VRME US Equity","BS_CUR_ASSET_REPORT","1993-06-18","2026-05-02","Per=Y","Days=T","Dir=V")</f>
        <v>0</v>
      </c>
      <c r="O2">
        <f>BDH("VRME US Equity","BS_CUR_LIAB","1993-06-18","2026-05-02","Per=Y","Days=T","Dir=V")</f>
        <v>0</v>
      </c>
      <c r="Q2">
        <f>BDH("VRME US Equity","BS_SHAREHOLDER_EQY_ENDING_PERIOD","1993-06-18","2026-05-02","Per=Y","Days=T","Dir=V")</f>
        <v>0</v>
      </c>
      <c r="S2">
        <f>BDH("VRME US Equity","BS_ACCT_NOTE_RCV","1993-06-18","2026-05-02","Per=Y","Days=T","Dir=V")</f>
        <v>0</v>
      </c>
      <c r="U2">
        <f>BDH("VRME US Equity","BS_INVENTORIES","1993-06-18","2026-05-02","Per=Y","Days=T","Dir=V")</f>
        <v>0</v>
      </c>
      <c r="W2">
        <f>BDH("VRME US Equity","WORKING_CAPITAL","1993-06-18","2026-05-02","Per=Y","Days=T","Dir=V")</f>
        <v>0</v>
      </c>
      <c r="Y2">
        <f>BDH("VRME US Equity","SALES_REV_TURN","1993-06-18","2026-05-02","Per=Y","Days=T","Dir=V")</f>
        <v>0</v>
      </c>
      <c r="AA2">
        <f>BDH("VRME US Equity","EBIT","1993-06-18","2026-05-02","Per=Y","Days=T","Dir=V")</f>
        <v>0</v>
      </c>
      <c r="AC2">
        <f>BDH("VRME US Equity","EBITDA","1993-06-18","2026-05-02","Per=Y","Days=T","Dir=V")</f>
        <v>0</v>
      </c>
      <c r="AE2">
        <f>BDH("VRME US Equity","NET_INCOME","1993-06-18","2026-05-02","Per=Y","Days=T","Dir=V")</f>
        <v>0</v>
      </c>
      <c r="AG2">
        <f>BDH("VRME US Equity","IS_INT_EXPENSE","1993-06-18","2026-05-02","Per=Y","Days=T","Dir=V")</f>
        <v>0</v>
      </c>
      <c r="AI2">
        <f>BDH("VRME US Equity","IS_DEPR_EXP","1993-06-18","2026-05-02","Per=Y","Days=T","Dir=V")</f>
        <v>0</v>
      </c>
      <c r="AK2">
        <f>BDH("VRME US Equity","CF_CASH_FROM_OPER","1993-06-18","2026-05-02","Per=Y","Days=T","Dir=V")</f>
        <v>0</v>
      </c>
      <c r="AM2">
        <f>BDH("VRME US Equity","CAPITAL_EXPEND","1993-06-18","2026-05-02","Per=Y","Days=T","Dir=V")</f>
        <v>0</v>
      </c>
      <c r="AO2">
        <f>BDH("VRME US Equity","CF_FREE_CASH_FLOW","1993-06-18","2026-05-02","Per=Y","Days=T","Dir=V")</f>
        <v>0</v>
      </c>
      <c r="AQ2">
        <f>BDH("VRME US Equity","PX_LAST","1993-06-18","2026-05-02","Per=M","Days=T","Dir=V")</f>
        <v>0</v>
      </c>
      <c r="AS2">
        <f>BDH("VRME US Equity","CUR_MKT_CAP","1993-06-18","2026-05-02","Per=M","Days=T","Dir=V")</f>
        <v>0</v>
      </c>
      <c r="AU2">
        <f>BDH("VRME US Equity","EQY_SH_OUT","1993-06-18","2026-05-02","Per=M","Days=T","Dir=V")</f>
        <v>0</v>
      </c>
      <c r="AW2">
        <f>BDH("VRME US Equity","PX_VOLUME","1993-06-18","2026-05-02","Per=M","Days=T","Dir=V")</f>
        <v>0</v>
      </c>
      <c r="AY2">
        <f>BDH("VRME US Equity","TURNOVER","1993-06-18","2026-05-02","Per=M","Days=T","Dir=V")</f>
        <v>0</v>
      </c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BDH("VRNS US Equity","BS_TOT_ASSET","1993-06-18","2026-05-02","Per=Y","Days=T","Dir=V")</f>
        <v>0</v>
      </c>
      <c r="C2">
        <f>BDH("VRNS US Equity","BS_TOT_LIAB2","1993-06-18","2026-05-02","Per=Y","Days=T","Dir=V")</f>
        <v>0</v>
      </c>
      <c r="E2">
        <f>BDH("VRNS US Equity","SHORT_AND_LONG_TERM_DEBT","1993-06-18","2026-05-02","Per=Y","Days=T","Dir=V")</f>
        <v>0</v>
      </c>
      <c r="G2">
        <f>BDH("VRNS US Equity","BS_ST_BORROW","1993-06-18","2026-05-02","Per=Y","Days=T","Dir=V")</f>
        <v>0</v>
      </c>
      <c r="I2">
        <f>BDH("VRNS US Equity","BS_LT_BORROW","1993-06-18","2026-05-02","Per=Y","Days=T","Dir=V")</f>
        <v>0</v>
      </c>
      <c r="K2">
        <f>BDH("VRNS US Equity","BS_CASH_NEAR_CASH_ITEM","1993-06-18","2026-05-02","Per=Y","Days=T","Dir=V")</f>
        <v>0</v>
      </c>
      <c r="M2">
        <f>BDH("VRNS US Equity","BS_CUR_ASSET_REPORT","1993-06-18","2026-05-02","Per=Y","Days=T","Dir=V")</f>
        <v>0</v>
      </c>
      <c r="O2">
        <f>BDH("VRNS US Equity","BS_CUR_LIAB","1993-06-18","2026-05-02","Per=Y","Days=T","Dir=V")</f>
        <v>0</v>
      </c>
      <c r="Q2">
        <f>BDH("VRNS US Equity","BS_SHAREHOLDER_EQY_ENDING_PERIOD","1993-06-18","2026-05-02","Per=Y","Days=T","Dir=V")</f>
        <v>0</v>
      </c>
      <c r="S2">
        <f>BDH("VRNS US Equity","BS_ACCT_NOTE_RCV","1993-06-18","2026-05-02","Per=Y","Days=T","Dir=V")</f>
        <v>0</v>
      </c>
      <c r="U2">
        <f>BDH("VRNS US Equity","BS_INVENTORIES","1993-06-18","2026-05-02","Per=Y","Days=T","Dir=V")</f>
        <v>0</v>
      </c>
      <c r="W2">
        <f>BDH("VRNS US Equity","WORKING_CAPITAL","1993-06-18","2026-05-02","Per=Y","Days=T","Dir=V")</f>
        <v>0</v>
      </c>
      <c r="Y2">
        <f>BDH("VRNS US Equity","SALES_REV_TURN","1993-06-18","2026-05-02","Per=Y","Days=T","Dir=V")</f>
        <v>0</v>
      </c>
      <c r="AA2">
        <f>BDH("VRNS US Equity","EBIT","1993-06-18","2026-05-02","Per=Y","Days=T","Dir=V")</f>
        <v>0</v>
      </c>
      <c r="AC2">
        <f>BDH("VRNS US Equity","EBITDA","1993-06-18","2026-05-02","Per=Y","Days=T","Dir=V")</f>
        <v>0</v>
      </c>
      <c r="AE2">
        <f>BDH("VRNS US Equity","NET_INCOME","1993-06-18","2026-05-02","Per=Y","Days=T","Dir=V")</f>
        <v>0</v>
      </c>
      <c r="AG2">
        <f>BDH("VRNS US Equity","IS_INT_EXPENSE","1993-06-18","2026-05-02","Per=Y","Days=T","Dir=V")</f>
        <v>0</v>
      </c>
      <c r="AI2">
        <f>BDH("VRNS US Equity","IS_DEPR_EXP","1993-06-18","2026-05-02","Per=Y","Days=T","Dir=V")</f>
        <v>0</v>
      </c>
      <c r="AK2">
        <f>BDH("VRNS US Equity","CF_CASH_FROM_OPER","1993-06-18","2026-05-02","Per=Y","Days=T","Dir=V")</f>
        <v>0</v>
      </c>
      <c r="AM2">
        <f>BDH("VRNS US Equity","CAPITAL_EXPEND","1993-06-18","2026-05-02","Per=Y","Days=T","Dir=V")</f>
        <v>0</v>
      </c>
      <c r="AO2">
        <f>BDH("VRNS US Equity","CF_FREE_CASH_FLOW","1993-06-18","2026-05-02","Per=Y","Days=T","Dir=V")</f>
        <v>0</v>
      </c>
      <c r="AQ2">
        <f>BDH("VRNS US Equity","PX_LAST","1993-06-18","2026-05-02","Per=M","Days=T","Dir=V")</f>
        <v>0</v>
      </c>
      <c r="AS2">
        <f>BDH("VRNS US Equity","CUR_MKT_CAP","1993-06-18","2026-05-02","Per=M","Days=T","Dir=V")</f>
        <v>0</v>
      </c>
      <c r="AU2">
        <f>BDH("VRNS US Equity","EQY_SH_OUT","1993-06-18","2026-05-02","Per=M","Days=T","Dir=V")</f>
        <v>0</v>
      </c>
      <c r="AW2">
        <f>BDH("VRNS US Equity","PX_VOLUME","1993-06-18","2026-05-02","Per=M","Days=T","Dir=V")</f>
        <v>0</v>
      </c>
      <c r="AY2">
        <f>BDH("VRNS US Equity","TURNOVER","1993-06-18","2026-05-02","Per=M","Days=T","Dir=V")</f>
        <v>0</v>
      </c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BDH("VRRM US Equity","BS_TOT_ASSET","1993-06-18","2026-05-02","Per=Y","Days=T","Dir=V")</f>
        <v>0</v>
      </c>
      <c r="C2">
        <f>BDH("VRRM US Equity","BS_TOT_LIAB2","1993-06-18","2026-05-02","Per=Y","Days=T","Dir=V")</f>
        <v>0</v>
      </c>
      <c r="E2">
        <f>BDH("VRRM US Equity","SHORT_AND_LONG_TERM_DEBT","1993-06-18","2026-05-02","Per=Y","Days=T","Dir=V")</f>
        <v>0</v>
      </c>
      <c r="G2">
        <f>BDH("VRRM US Equity","BS_ST_BORROW","1993-06-18","2026-05-02","Per=Y","Days=T","Dir=V")</f>
        <v>0</v>
      </c>
      <c r="I2">
        <f>BDH("VRRM US Equity","BS_LT_BORROW","1993-06-18","2026-05-02","Per=Y","Days=T","Dir=V")</f>
        <v>0</v>
      </c>
      <c r="K2">
        <f>BDH("VRRM US Equity","BS_CASH_NEAR_CASH_ITEM","1993-06-18","2026-05-02","Per=Y","Days=T","Dir=V")</f>
        <v>0</v>
      </c>
      <c r="M2">
        <f>BDH("VRRM US Equity","BS_CUR_ASSET_REPORT","1993-06-18","2026-05-02","Per=Y","Days=T","Dir=V")</f>
        <v>0</v>
      </c>
      <c r="O2">
        <f>BDH("VRRM US Equity","BS_CUR_LIAB","1993-06-18","2026-05-02","Per=Y","Days=T","Dir=V")</f>
        <v>0</v>
      </c>
      <c r="Q2">
        <f>BDH("VRRM US Equity","BS_SHAREHOLDER_EQY_ENDING_PERIOD","1993-06-18","2026-05-02","Per=Y","Days=T","Dir=V")</f>
        <v>0</v>
      </c>
      <c r="S2">
        <f>BDH("VRRM US Equity","BS_ACCT_NOTE_RCV","1993-06-18","2026-05-02","Per=Y","Days=T","Dir=V")</f>
        <v>0</v>
      </c>
      <c r="U2">
        <f>BDH("VRRM US Equity","BS_INVENTORIES","1993-06-18","2026-05-02","Per=Y","Days=T","Dir=V")</f>
        <v>0</v>
      </c>
      <c r="W2">
        <f>BDH("VRRM US Equity","WORKING_CAPITAL","1993-06-18","2026-05-02","Per=Y","Days=T","Dir=V")</f>
        <v>0</v>
      </c>
      <c r="Y2">
        <f>BDH("VRRM US Equity","SALES_REV_TURN","1993-06-18","2026-05-02","Per=Y","Days=T","Dir=V")</f>
        <v>0</v>
      </c>
      <c r="AA2">
        <f>BDH("VRRM US Equity","EBIT","1993-06-18","2026-05-02","Per=Y","Days=T","Dir=V")</f>
        <v>0</v>
      </c>
      <c r="AC2">
        <f>BDH("VRRM US Equity","EBITDA","1993-06-18","2026-05-02","Per=Y","Days=T","Dir=V")</f>
        <v>0</v>
      </c>
      <c r="AE2">
        <f>BDH("VRRM US Equity","NET_INCOME","1993-06-18","2026-05-02","Per=Y","Days=T","Dir=V")</f>
        <v>0</v>
      </c>
      <c r="AG2">
        <f>BDH("VRRM US Equity","IS_INT_EXPENSE","1993-06-18","2026-05-02","Per=Y","Days=T","Dir=V")</f>
        <v>0</v>
      </c>
      <c r="AI2">
        <f>BDH("VRRM US Equity","IS_DEPR_EXP","1993-06-18","2026-05-02","Per=Y","Days=T","Dir=V")</f>
        <v>0</v>
      </c>
      <c r="AK2">
        <f>BDH("VRRM US Equity","CF_CASH_FROM_OPER","1993-06-18","2026-05-02","Per=Y","Days=T","Dir=V")</f>
        <v>0</v>
      </c>
      <c r="AM2">
        <f>BDH("VRRM US Equity","CAPITAL_EXPEND","1993-06-18","2026-05-02","Per=Y","Days=T","Dir=V")</f>
        <v>0</v>
      </c>
      <c r="AO2">
        <f>BDH("VRRM US Equity","CF_FREE_CASH_FLOW","1993-06-18","2026-05-02","Per=Y","Days=T","Dir=V")</f>
        <v>0</v>
      </c>
      <c r="AQ2">
        <f>BDH("VRRM US Equity","PX_LAST","1993-06-18","2026-05-02","Per=M","Days=T","Dir=V")</f>
        <v>0</v>
      </c>
      <c r="AS2">
        <f>BDH("VRRM US Equity","CUR_MKT_CAP","1993-06-18","2026-05-02","Per=M","Days=T","Dir=V")</f>
        <v>0</v>
      </c>
      <c r="AU2">
        <f>BDH("VRRM US Equity","EQY_SH_OUT","1993-06-18","2026-05-02","Per=M","Days=T","Dir=V")</f>
        <v>0</v>
      </c>
      <c r="AW2">
        <f>BDH("VRRM US Equity","PX_VOLUME","1993-06-18","2026-05-02","Per=M","Days=T","Dir=V")</f>
        <v>0</v>
      </c>
      <c r="AY2">
        <f>BDH("VRRM US Equity","TURNOVER","1993-06-18","2026-05-02","Per=M","Days=T","Dir=V")</f>
        <v>0</v>
      </c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BDH("VRSK US Equity","BS_TOT_ASSET","1993-06-18","2026-05-02","Per=Y","Days=T","Dir=V")</f>
        <v>0</v>
      </c>
      <c r="C2">
        <f>BDH("VRSK US Equity","BS_TOT_LIAB2","1993-06-18","2026-05-02","Per=Y","Days=T","Dir=V")</f>
        <v>0</v>
      </c>
      <c r="E2">
        <f>BDH("VRSK US Equity","SHORT_AND_LONG_TERM_DEBT","1993-06-18","2026-05-02","Per=Y","Days=T","Dir=V")</f>
        <v>0</v>
      </c>
      <c r="G2">
        <f>BDH("VRSK US Equity","BS_ST_BORROW","1993-06-18","2026-05-02","Per=Y","Days=T","Dir=V")</f>
        <v>0</v>
      </c>
      <c r="I2">
        <f>BDH("VRSK US Equity","BS_LT_BORROW","1993-06-18","2026-05-02","Per=Y","Days=T","Dir=V")</f>
        <v>0</v>
      </c>
      <c r="K2">
        <f>BDH("VRSK US Equity","BS_CASH_NEAR_CASH_ITEM","1993-06-18","2026-05-02","Per=Y","Days=T","Dir=V")</f>
        <v>0</v>
      </c>
      <c r="M2">
        <f>BDH("VRSK US Equity","BS_CUR_ASSET_REPORT","1993-06-18","2026-05-02","Per=Y","Days=T","Dir=V")</f>
        <v>0</v>
      </c>
      <c r="O2">
        <f>BDH("VRSK US Equity","BS_CUR_LIAB","1993-06-18","2026-05-02","Per=Y","Days=T","Dir=V")</f>
        <v>0</v>
      </c>
      <c r="Q2">
        <f>BDH("VRSK US Equity","BS_SHAREHOLDER_EQY_ENDING_PERIOD","1993-06-18","2026-05-02","Per=Y","Days=T","Dir=V")</f>
        <v>0</v>
      </c>
      <c r="S2">
        <f>BDH("VRSK US Equity","BS_ACCT_NOTE_RCV","1993-06-18","2026-05-02","Per=Y","Days=T","Dir=V")</f>
        <v>0</v>
      </c>
      <c r="U2">
        <f>BDH("VRSK US Equity","BS_INVENTORIES","1993-06-18","2026-05-02","Per=Y","Days=T","Dir=V")</f>
        <v>0</v>
      </c>
      <c r="W2">
        <f>BDH("VRSK US Equity","WORKING_CAPITAL","1993-06-18","2026-05-02","Per=Y","Days=T","Dir=V")</f>
        <v>0</v>
      </c>
      <c r="Y2">
        <f>BDH("VRSK US Equity","SALES_REV_TURN","1993-06-18","2026-05-02","Per=Y","Days=T","Dir=V")</f>
        <v>0</v>
      </c>
      <c r="AA2">
        <f>BDH("VRSK US Equity","EBIT","1993-06-18","2026-05-02","Per=Y","Days=T","Dir=V")</f>
        <v>0</v>
      </c>
      <c r="AC2">
        <f>BDH("VRSK US Equity","EBITDA","1993-06-18","2026-05-02","Per=Y","Days=T","Dir=V")</f>
        <v>0</v>
      </c>
      <c r="AE2">
        <f>BDH("VRSK US Equity","NET_INCOME","1993-06-18","2026-05-02","Per=Y","Days=T","Dir=V")</f>
        <v>0</v>
      </c>
      <c r="AG2">
        <f>BDH("VRSK US Equity","IS_INT_EXPENSE","1993-06-18","2026-05-02","Per=Y","Days=T","Dir=V")</f>
        <v>0</v>
      </c>
      <c r="AI2">
        <f>BDH("VRSK US Equity","IS_DEPR_EXP","1993-06-18","2026-05-02","Per=Y","Days=T","Dir=V")</f>
        <v>0</v>
      </c>
      <c r="AK2">
        <f>BDH("VRSK US Equity","CF_CASH_FROM_OPER","1993-06-18","2026-05-02","Per=Y","Days=T","Dir=V")</f>
        <v>0</v>
      </c>
      <c r="AM2">
        <f>BDH("VRSK US Equity","CAPITAL_EXPEND","1993-06-18","2026-05-02","Per=Y","Days=T","Dir=V")</f>
        <v>0</v>
      </c>
      <c r="AO2">
        <f>BDH("VRSK US Equity","CF_FREE_CASH_FLOW","1993-06-18","2026-05-02","Per=Y","Days=T","Dir=V")</f>
        <v>0</v>
      </c>
      <c r="AQ2">
        <f>BDH("VRSK US Equity","PX_LAST","1993-06-18","2026-05-02","Per=M","Days=T","Dir=V")</f>
        <v>0</v>
      </c>
      <c r="AS2">
        <f>BDH("VRSK US Equity","CUR_MKT_CAP","1993-06-18","2026-05-02","Per=M","Days=T","Dir=V")</f>
        <v>0</v>
      </c>
      <c r="AU2">
        <f>BDH("VRSK US Equity","EQY_SH_OUT","1993-06-18","2026-05-02","Per=M","Days=T","Dir=V")</f>
        <v>0</v>
      </c>
      <c r="AW2">
        <f>BDH("VRSK US Equity","PX_VOLUME","1993-06-18","2026-05-02","Per=M","Days=T","Dir=V")</f>
        <v>0</v>
      </c>
      <c r="AY2">
        <f>BDH("VRSK US Equity","TURNOVER","1993-06-18","2026-05-02","Per=M","Days=T","Dir=V")</f>
        <v>0</v>
      </c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BDH("VRSN US Equity","BS_TOT_ASSET","1993-06-18","2026-05-02","Per=Y","Days=T","Dir=V")</f>
        <v>0</v>
      </c>
      <c r="C2">
        <f>BDH("VRSN US Equity","BS_TOT_LIAB2","1993-06-18","2026-05-02","Per=Y","Days=T","Dir=V")</f>
        <v>0</v>
      </c>
      <c r="E2">
        <f>BDH("VRSN US Equity","SHORT_AND_LONG_TERM_DEBT","1993-06-18","2026-05-02","Per=Y","Days=T","Dir=V")</f>
        <v>0</v>
      </c>
      <c r="G2">
        <f>BDH("VRSN US Equity","BS_ST_BORROW","1993-06-18","2026-05-02","Per=Y","Days=T","Dir=V")</f>
        <v>0</v>
      </c>
      <c r="I2">
        <f>BDH("VRSN US Equity","BS_LT_BORROW","1993-06-18","2026-05-02","Per=Y","Days=T","Dir=V")</f>
        <v>0</v>
      </c>
      <c r="K2">
        <f>BDH("VRSN US Equity","BS_CASH_NEAR_CASH_ITEM","1993-06-18","2026-05-02","Per=Y","Days=T","Dir=V")</f>
        <v>0</v>
      </c>
      <c r="M2">
        <f>BDH("VRSN US Equity","BS_CUR_ASSET_REPORT","1993-06-18","2026-05-02","Per=Y","Days=T","Dir=V")</f>
        <v>0</v>
      </c>
      <c r="O2">
        <f>BDH("VRSN US Equity","BS_CUR_LIAB","1993-06-18","2026-05-02","Per=Y","Days=T","Dir=V")</f>
        <v>0</v>
      </c>
      <c r="Q2">
        <f>BDH("VRSN US Equity","BS_SHAREHOLDER_EQY_ENDING_PERIOD","1993-06-18","2026-05-02","Per=Y","Days=T","Dir=V")</f>
        <v>0</v>
      </c>
      <c r="S2">
        <f>BDH("VRSN US Equity","BS_ACCT_NOTE_RCV","1993-06-18","2026-05-02","Per=Y","Days=T","Dir=V")</f>
        <v>0</v>
      </c>
      <c r="U2">
        <f>BDH("VRSN US Equity","BS_INVENTORIES","1993-06-18","2026-05-02","Per=Y","Days=T","Dir=V")</f>
        <v>0</v>
      </c>
      <c r="W2">
        <f>BDH("VRSN US Equity","WORKING_CAPITAL","1993-06-18","2026-05-02","Per=Y","Days=T","Dir=V")</f>
        <v>0</v>
      </c>
      <c r="Y2">
        <f>BDH("VRSN US Equity","SALES_REV_TURN","1993-06-18","2026-05-02","Per=Y","Days=T","Dir=V")</f>
        <v>0</v>
      </c>
      <c r="AA2">
        <f>BDH("VRSN US Equity","EBIT","1993-06-18","2026-05-02","Per=Y","Days=T","Dir=V")</f>
        <v>0</v>
      </c>
      <c r="AC2">
        <f>BDH("VRSN US Equity","EBITDA","1993-06-18","2026-05-02","Per=Y","Days=T","Dir=V")</f>
        <v>0</v>
      </c>
      <c r="AE2">
        <f>BDH("VRSN US Equity","NET_INCOME","1993-06-18","2026-05-02","Per=Y","Days=T","Dir=V")</f>
        <v>0</v>
      </c>
      <c r="AG2">
        <f>BDH("VRSN US Equity","IS_INT_EXPENSE","1993-06-18","2026-05-02","Per=Y","Days=T","Dir=V")</f>
        <v>0</v>
      </c>
      <c r="AI2">
        <f>BDH("VRSN US Equity","IS_DEPR_EXP","1993-06-18","2026-05-02","Per=Y","Days=T","Dir=V")</f>
        <v>0</v>
      </c>
      <c r="AK2">
        <f>BDH("VRSN US Equity","CF_CASH_FROM_OPER","1993-06-18","2026-05-02","Per=Y","Days=T","Dir=V")</f>
        <v>0</v>
      </c>
      <c r="AM2">
        <f>BDH("VRSN US Equity","CAPITAL_EXPEND","1993-06-18","2026-05-02","Per=Y","Days=T","Dir=V")</f>
        <v>0</v>
      </c>
      <c r="AO2">
        <f>BDH("VRSN US Equity","CF_FREE_CASH_FLOW","1993-06-18","2026-05-02","Per=Y","Days=T","Dir=V")</f>
        <v>0</v>
      </c>
      <c r="AQ2">
        <f>BDH("VRSN US Equity","PX_LAST","1993-06-18","2026-05-02","Per=M","Days=T","Dir=V")</f>
        <v>0</v>
      </c>
      <c r="AS2">
        <f>BDH("VRSN US Equity","CUR_MKT_CAP","1993-06-18","2026-05-02","Per=M","Days=T","Dir=V")</f>
        <v>0</v>
      </c>
      <c r="AU2">
        <f>BDH("VRSN US Equity","EQY_SH_OUT","1993-06-18","2026-05-02","Per=M","Days=T","Dir=V")</f>
        <v>0</v>
      </c>
      <c r="AW2">
        <f>BDH("VRSN US Equity","PX_VOLUME","1993-06-18","2026-05-02","Per=M","Days=T","Dir=V")</f>
        <v>0</v>
      </c>
      <c r="AY2">
        <f>BDH("VRSN US Equity","TURNOVER","1993-06-18","2026-05-02","Per=M","Days=T","Dir=V")</f>
        <v>0</v>
      </c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BDH("VRT US Equity","BS_TOT_ASSET","1993-06-18","2026-05-02","Per=Y","Days=T","Dir=V")</f>
        <v>0</v>
      </c>
      <c r="C2">
        <f>BDH("VRT US Equity","BS_TOT_LIAB2","1993-06-18","2026-05-02","Per=Y","Days=T","Dir=V")</f>
        <v>0</v>
      </c>
      <c r="E2">
        <f>BDH("VRT US Equity","SHORT_AND_LONG_TERM_DEBT","1993-06-18","2026-05-02","Per=Y","Days=T","Dir=V")</f>
        <v>0</v>
      </c>
      <c r="G2">
        <f>BDH("VRT US Equity","BS_ST_BORROW","1993-06-18","2026-05-02","Per=Y","Days=T","Dir=V")</f>
        <v>0</v>
      </c>
      <c r="I2">
        <f>BDH("VRT US Equity","BS_LT_BORROW","1993-06-18","2026-05-02","Per=Y","Days=T","Dir=V")</f>
        <v>0</v>
      </c>
      <c r="K2">
        <f>BDH("VRT US Equity","BS_CASH_NEAR_CASH_ITEM","1993-06-18","2026-05-02","Per=Y","Days=T","Dir=V")</f>
        <v>0</v>
      </c>
      <c r="M2">
        <f>BDH("VRT US Equity","BS_CUR_ASSET_REPORT","1993-06-18","2026-05-02","Per=Y","Days=T","Dir=V")</f>
        <v>0</v>
      </c>
      <c r="O2">
        <f>BDH("VRT US Equity","BS_CUR_LIAB","1993-06-18","2026-05-02","Per=Y","Days=T","Dir=V")</f>
        <v>0</v>
      </c>
      <c r="Q2">
        <f>BDH("VRT US Equity","BS_SHAREHOLDER_EQY_ENDING_PERIOD","1993-06-18","2026-05-02","Per=Y","Days=T","Dir=V")</f>
        <v>0</v>
      </c>
      <c r="S2">
        <f>BDH("VRT US Equity","BS_ACCT_NOTE_RCV","1993-06-18","2026-05-02","Per=Y","Days=T","Dir=V")</f>
        <v>0</v>
      </c>
      <c r="U2">
        <f>BDH("VRT US Equity","BS_INVENTORIES","1993-06-18","2026-05-02","Per=Y","Days=T","Dir=V")</f>
        <v>0</v>
      </c>
      <c r="W2">
        <f>BDH("VRT US Equity","WORKING_CAPITAL","1993-06-18","2026-05-02","Per=Y","Days=T","Dir=V")</f>
        <v>0</v>
      </c>
      <c r="Y2">
        <f>BDH("VRT US Equity","SALES_REV_TURN","1993-06-18","2026-05-02","Per=Y","Days=T","Dir=V")</f>
        <v>0</v>
      </c>
      <c r="AA2">
        <f>BDH("VRT US Equity","EBIT","1993-06-18","2026-05-02","Per=Y","Days=T","Dir=V")</f>
        <v>0</v>
      </c>
      <c r="AC2">
        <f>BDH("VRT US Equity","EBITDA","1993-06-18","2026-05-02","Per=Y","Days=T","Dir=V")</f>
        <v>0</v>
      </c>
      <c r="AE2">
        <f>BDH("VRT US Equity","NET_INCOME","1993-06-18","2026-05-02","Per=Y","Days=T","Dir=V")</f>
        <v>0</v>
      </c>
      <c r="AG2">
        <f>BDH("VRT US Equity","IS_INT_EXPENSE","1993-06-18","2026-05-02","Per=Y","Days=T","Dir=V")</f>
        <v>0</v>
      </c>
      <c r="AI2">
        <f>BDH("VRT US Equity","IS_DEPR_EXP","1993-06-18","2026-05-02","Per=Y","Days=T","Dir=V")</f>
        <v>0</v>
      </c>
      <c r="AK2">
        <f>BDH("VRT US Equity","CF_CASH_FROM_OPER","1993-06-18","2026-05-02","Per=Y","Days=T","Dir=V")</f>
        <v>0</v>
      </c>
      <c r="AM2">
        <f>BDH("VRT US Equity","CAPITAL_EXPEND","1993-06-18","2026-05-02","Per=Y","Days=T","Dir=V")</f>
        <v>0</v>
      </c>
      <c r="AO2">
        <f>BDH("VRT US Equity","CF_FREE_CASH_FLOW","1993-06-18","2026-05-02","Per=Y","Days=T","Dir=V")</f>
        <v>0</v>
      </c>
      <c r="AQ2">
        <f>BDH("VRT US Equity","PX_LAST","1993-06-18","2026-05-02","Per=M","Days=T","Dir=V")</f>
        <v>0</v>
      </c>
      <c r="AS2">
        <f>BDH("VRT US Equity","CUR_MKT_CAP","1993-06-18","2026-05-02","Per=M","Days=T","Dir=V")</f>
        <v>0</v>
      </c>
      <c r="AU2">
        <f>BDH("VRT US Equity","EQY_SH_OUT","1993-06-18","2026-05-02","Per=M","Days=T","Dir=V")</f>
        <v>0</v>
      </c>
      <c r="AW2">
        <f>BDH("VRT US Equity","PX_VOLUME","1993-06-18","2026-05-02","Per=M","Days=T","Dir=V")</f>
        <v>0</v>
      </c>
      <c r="AY2">
        <f>BDH("VRT US Equity","TURNOVER","1993-06-18","2026-05-02","Per=M","Days=T","Dir=V")</f>
        <v>0</v>
      </c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BDH("VRTX US Equity","BS_TOT_ASSET","1993-06-18","2026-05-02","Per=Y","Days=T","Dir=V")</f>
        <v>0</v>
      </c>
      <c r="C2">
        <f>BDH("VRTX US Equity","BS_TOT_LIAB2","1993-06-18","2026-05-02","Per=Y","Days=T","Dir=V")</f>
        <v>0</v>
      </c>
      <c r="E2">
        <f>BDH("VRTX US Equity","SHORT_AND_LONG_TERM_DEBT","1993-06-18","2026-05-02","Per=Y","Days=T","Dir=V")</f>
        <v>0</v>
      </c>
      <c r="G2">
        <f>BDH("VRTX US Equity","BS_ST_BORROW","1993-06-18","2026-05-02","Per=Y","Days=T","Dir=V")</f>
        <v>0</v>
      </c>
      <c r="I2">
        <f>BDH("VRTX US Equity","BS_LT_BORROW","1993-06-18","2026-05-02","Per=Y","Days=T","Dir=V")</f>
        <v>0</v>
      </c>
      <c r="K2">
        <f>BDH("VRTX US Equity","BS_CASH_NEAR_CASH_ITEM","1993-06-18","2026-05-02","Per=Y","Days=T","Dir=V")</f>
        <v>0</v>
      </c>
      <c r="M2">
        <f>BDH("VRTX US Equity","BS_CUR_ASSET_REPORT","1993-06-18","2026-05-02","Per=Y","Days=T","Dir=V")</f>
        <v>0</v>
      </c>
      <c r="O2">
        <f>BDH("VRTX US Equity","BS_CUR_LIAB","1993-06-18","2026-05-02","Per=Y","Days=T","Dir=V")</f>
        <v>0</v>
      </c>
      <c r="Q2">
        <f>BDH("VRTX US Equity","BS_SHAREHOLDER_EQY_ENDING_PERIOD","1993-06-18","2026-05-02","Per=Y","Days=T","Dir=V")</f>
        <v>0</v>
      </c>
      <c r="S2">
        <f>BDH("VRTX US Equity","BS_ACCT_NOTE_RCV","1993-06-18","2026-05-02","Per=Y","Days=T","Dir=V")</f>
        <v>0</v>
      </c>
      <c r="U2">
        <f>BDH("VRTX US Equity","BS_INVENTORIES","1993-06-18","2026-05-02","Per=Y","Days=T","Dir=V")</f>
        <v>0</v>
      </c>
      <c r="W2">
        <f>BDH("VRTX US Equity","WORKING_CAPITAL","1993-06-18","2026-05-02","Per=Y","Days=T","Dir=V")</f>
        <v>0</v>
      </c>
      <c r="Y2">
        <f>BDH("VRTX US Equity","SALES_REV_TURN","1993-06-18","2026-05-02","Per=Y","Days=T","Dir=V")</f>
        <v>0</v>
      </c>
      <c r="AA2">
        <f>BDH("VRTX US Equity","EBIT","1993-06-18","2026-05-02","Per=Y","Days=T","Dir=V")</f>
        <v>0</v>
      </c>
      <c r="AC2">
        <f>BDH("VRTX US Equity","EBITDA","1993-06-18","2026-05-02","Per=Y","Days=T","Dir=V")</f>
        <v>0</v>
      </c>
      <c r="AE2">
        <f>BDH("VRTX US Equity","NET_INCOME","1993-06-18","2026-05-02","Per=Y","Days=T","Dir=V")</f>
        <v>0</v>
      </c>
      <c r="AG2">
        <f>BDH("VRTX US Equity","IS_INT_EXPENSE","1993-06-18","2026-05-02","Per=Y","Days=T","Dir=V")</f>
        <v>0</v>
      </c>
      <c r="AI2">
        <f>BDH("VRTX US Equity","IS_DEPR_EXP","1993-06-18","2026-05-02","Per=Y","Days=T","Dir=V")</f>
        <v>0</v>
      </c>
      <c r="AK2">
        <f>BDH("VRTX US Equity","CF_CASH_FROM_OPER","1993-06-18","2026-05-02","Per=Y","Days=T","Dir=V")</f>
        <v>0</v>
      </c>
      <c r="AM2">
        <f>BDH("VRTX US Equity","CAPITAL_EXPEND","1993-06-18","2026-05-02","Per=Y","Days=T","Dir=V")</f>
        <v>0</v>
      </c>
      <c r="AO2">
        <f>BDH("VRTX US Equity","CF_FREE_CASH_FLOW","1993-06-18","2026-05-02","Per=Y","Days=T","Dir=V")</f>
        <v>0</v>
      </c>
      <c r="AQ2">
        <f>BDH("VRTX US Equity","PX_LAST","1993-06-18","2026-05-02","Per=M","Days=T","Dir=V")</f>
        <v>0</v>
      </c>
      <c r="AS2">
        <f>BDH("VRTX US Equity","CUR_MKT_CAP","1993-06-18","2026-05-02","Per=M","Days=T","Dir=V")</f>
        <v>0</v>
      </c>
      <c r="AU2">
        <f>BDH("VRTX US Equity","EQY_SH_OUT","1993-06-18","2026-05-02","Per=M","Days=T","Dir=V")</f>
        <v>0</v>
      </c>
      <c r="AW2">
        <f>BDH("VRTX US Equity","PX_VOLUME","1993-06-18","2026-05-02","Per=M","Days=T","Dir=V")</f>
        <v>0</v>
      </c>
      <c r="AY2">
        <f>BDH("VRTX US Equity","TURNOVER","1993-06-18","2026-05-02","Per=M","Days=T","Dir=V")</f>
        <v>0</v>
      </c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BDH("VSAT US Equity","BS_TOT_ASSET","1993-06-18","2026-05-02","Per=Y","Days=T","Dir=V")</f>
        <v>0</v>
      </c>
      <c r="C2">
        <f>BDH("VSAT US Equity","BS_TOT_LIAB2","1993-06-18","2026-05-02","Per=Y","Days=T","Dir=V")</f>
        <v>0</v>
      </c>
      <c r="E2">
        <f>BDH("VSAT US Equity","SHORT_AND_LONG_TERM_DEBT","1993-06-18","2026-05-02","Per=Y","Days=T","Dir=V")</f>
        <v>0</v>
      </c>
      <c r="G2">
        <f>BDH("VSAT US Equity","BS_ST_BORROW","1993-06-18","2026-05-02","Per=Y","Days=T","Dir=V")</f>
        <v>0</v>
      </c>
      <c r="I2">
        <f>BDH("VSAT US Equity","BS_LT_BORROW","1993-06-18","2026-05-02","Per=Y","Days=T","Dir=V")</f>
        <v>0</v>
      </c>
      <c r="K2">
        <f>BDH("VSAT US Equity","BS_CASH_NEAR_CASH_ITEM","1993-06-18","2026-05-02","Per=Y","Days=T","Dir=V")</f>
        <v>0</v>
      </c>
      <c r="M2">
        <f>BDH("VSAT US Equity","BS_CUR_ASSET_REPORT","1993-06-18","2026-05-02","Per=Y","Days=T","Dir=V")</f>
        <v>0</v>
      </c>
      <c r="O2">
        <f>BDH("VSAT US Equity","BS_CUR_LIAB","1993-06-18","2026-05-02","Per=Y","Days=T","Dir=V")</f>
        <v>0</v>
      </c>
      <c r="Q2">
        <f>BDH("VSAT US Equity","BS_SHAREHOLDER_EQY_ENDING_PERIOD","1993-06-18","2026-05-02","Per=Y","Days=T","Dir=V")</f>
        <v>0</v>
      </c>
      <c r="S2">
        <f>BDH("VSAT US Equity","BS_ACCT_NOTE_RCV","1993-06-18","2026-05-02","Per=Y","Days=T","Dir=V")</f>
        <v>0</v>
      </c>
      <c r="U2">
        <f>BDH("VSAT US Equity","BS_INVENTORIES","1993-06-18","2026-05-02","Per=Y","Days=T","Dir=V")</f>
        <v>0</v>
      </c>
      <c r="W2">
        <f>BDH("VSAT US Equity","WORKING_CAPITAL","1993-06-18","2026-05-02","Per=Y","Days=T","Dir=V")</f>
        <v>0</v>
      </c>
      <c r="Y2">
        <f>BDH("VSAT US Equity","SALES_REV_TURN","1993-06-18","2026-05-02","Per=Y","Days=T","Dir=V")</f>
        <v>0</v>
      </c>
      <c r="AA2">
        <f>BDH("VSAT US Equity","EBIT","1993-06-18","2026-05-02","Per=Y","Days=T","Dir=V")</f>
        <v>0</v>
      </c>
      <c r="AC2">
        <f>BDH("VSAT US Equity","EBITDA","1993-06-18","2026-05-02","Per=Y","Days=T","Dir=V")</f>
        <v>0</v>
      </c>
      <c r="AE2">
        <f>BDH("VSAT US Equity","NET_INCOME","1993-06-18","2026-05-02","Per=Y","Days=T","Dir=V")</f>
        <v>0</v>
      </c>
      <c r="AG2">
        <f>BDH("VSAT US Equity","IS_INT_EXPENSE","1993-06-18","2026-05-02","Per=Y","Days=T","Dir=V")</f>
        <v>0</v>
      </c>
      <c r="AI2">
        <f>BDH("VSAT US Equity","IS_DEPR_EXP","1993-06-18","2026-05-02","Per=Y","Days=T","Dir=V")</f>
        <v>0</v>
      </c>
      <c r="AK2">
        <f>BDH("VSAT US Equity","CF_CASH_FROM_OPER","1993-06-18","2026-05-02","Per=Y","Days=T","Dir=V")</f>
        <v>0</v>
      </c>
      <c r="AM2">
        <f>BDH("VSAT US Equity","CAPITAL_EXPEND","1993-06-18","2026-05-02","Per=Y","Days=T","Dir=V")</f>
        <v>0</v>
      </c>
      <c r="AO2">
        <f>BDH("VSAT US Equity","CF_FREE_CASH_FLOW","1993-06-18","2026-05-02","Per=Y","Days=T","Dir=V")</f>
        <v>0</v>
      </c>
      <c r="AQ2">
        <f>BDH("VSAT US Equity","PX_LAST","1993-06-18","2026-05-02","Per=M","Days=T","Dir=V")</f>
        <v>0</v>
      </c>
      <c r="AS2">
        <f>BDH("VSAT US Equity","CUR_MKT_CAP","1993-06-18","2026-05-02","Per=M","Days=T","Dir=V")</f>
        <v>0</v>
      </c>
      <c r="AU2">
        <f>BDH("VSAT US Equity","EQY_SH_OUT","1993-06-18","2026-05-02","Per=M","Days=T","Dir=V")</f>
        <v>0</v>
      </c>
      <c r="AW2">
        <f>BDH("VSAT US Equity","PX_VOLUME","1993-06-18","2026-05-02","Per=M","Days=T","Dir=V")</f>
        <v>0</v>
      </c>
      <c r="AY2">
        <f>BDH("VSAT US Equity","TURNOVER","1993-06-18","2026-05-02","Per=M","Days=T","Dir=V")</f>
        <v>0</v>
      </c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BDH("VSEC US Equity","BS_TOT_ASSET","1993-06-18","2026-05-02","Per=Y","Days=T","Dir=V")</f>
        <v>0</v>
      </c>
      <c r="C2">
        <f>BDH("VSEC US Equity","BS_TOT_LIAB2","1993-06-18","2026-05-02","Per=Y","Days=T","Dir=V")</f>
        <v>0</v>
      </c>
      <c r="E2">
        <f>BDH("VSEC US Equity","SHORT_AND_LONG_TERM_DEBT","1993-06-18","2026-05-02","Per=Y","Days=T","Dir=V")</f>
        <v>0</v>
      </c>
      <c r="G2">
        <f>BDH("VSEC US Equity","BS_ST_BORROW","1993-06-18","2026-05-02","Per=Y","Days=T","Dir=V")</f>
        <v>0</v>
      </c>
      <c r="I2">
        <f>BDH("VSEC US Equity","BS_LT_BORROW","1993-06-18","2026-05-02","Per=Y","Days=T","Dir=V")</f>
        <v>0</v>
      </c>
      <c r="K2">
        <f>BDH("VSEC US Equity","BS_CASH_NEAR_CASH_ITEM","1993-06-18","2026-05-02","Per=Y","Days=T","Dir=V")</f>
        <v>0</v>
      </c>
      <c r="M2">
        <f>BDH("VSEC US Equity","BS_CUR_ASSET_REPORT","1993-06-18","2026-05-02","Per=Y","Days=T","Dir=V")</f>
        <v>0</v>
      </c>
      <c r="O2">
        <f>BDH("VSEC US Equity","BS_CUR_LIAB","1993-06-18","2026-05-02","Per=Y","Days=T","Dir=V")</f>
        <v>0</v>
      </c>
      <c r="Q2">
        <f>BDH("VSEC US Equity","BS_SHAREHOLDER_EQY_ENDING_PERIOD","1993-06-18","2026-05-02","Per=Y","Days=T","Dir=V")</f>
        <v>0</v>
      </c>
      <c r="S2">
        <f>BDH("VSEC US Equity","BS_ACCT_NOTE_RCV","1993-06-18","2026-05-02","Per=Y","Days=T","Dir=V")</f>
        <v>0</v>
      </c>
      <c r="U2">
        <f>BDH("VSEC US Equity","BS_INVENTORIES","1993-06-18","2026-05-02","Per=Y","Days=T","Dir=V")</f>
        <v>0</v>
      </c>
      <c r="W2">
        <f>BDH("VSEC US Equity","WORKING_CAPITAL","1993-06-18","2026-05-02","Per=Y","Days=T","Dir=V")</f>
        <v>0</v>
      </c>
      <c r="Y2">
        <f>BDH("VSEC US Equity","SALES_REV_TURN","1993-06-18","2026-05-02","Per=Y","Days=T","Dir=V")</f>
        <v>0</v>
      </c>
      <c r="AA2">
        <f>BDH("VSEC US Equity","EBIT","1993-06-18","2026-05-02","Per=Y","Days=T","Dir=V")</f>
        <v>0</v>
      </c>
      <c r="AC2">
        <f>BDH("VSEC US Equity","EBITDA","1993-06-18","2026-05-02","Per=Y","Days=T","Dir=V")</f>
        <v>0</v>
      </c>
      <c r="AE2">
        <f>BDH("VSEC US Equity","NET_INCOME","1993-06-18","2026-05-02","Per=Y","Days=T","Dir=V")</f>
        <v>0</v>
      </c>
      <c r="AG2">
        <f>BDH("VSEC US Equity","IS_INT_EXPENSE","1993-06-18","2026-05-02","Per=Y","Days=T","Dir=V")</f>
        <v>0</v>
      </c>
      <c r="AI2">
        <f>BDH("VSEC US Equity","IS_DEPR_EXP","1993-06-18","2026-05-02","Per=Y","Days=T","Dir=V")</f>
        <v>0</v>
      </c>
      <c r="AK2">
        <f>BDH("VSEC US Equity","CF_CASH_FROM_OPER","1993-06-18","2026-05-02","Per=Y","Days=T","Dir=V")</f>
        <v>0</v>
      </c>
      <c r="AM2">
        <f>BDH("VSEC US Equity","CAPITAL_EXPEND","1993-06-18","2026-05-02","Per=Y","Days=T","Dir=V")</f>
        <v>0</v>
      </c>
      <c r="AO2">
        <f>BDH("VSEC US Equity","CF_FREE_CASH_FLOW","1993-06-18","2026-05-02","Per=Y","Days=T","Dir=V")</f>
        <v>0</v>
      </c>
      <c r="AQ2">
        <f>BDH("VSEC US Equity","PX_LAST","1993-06-18","2026-05-02","Per=M","Days=T","Dir=V")</f>
        <v>0</v>
      </c>
      <c r="AS2">
        <f>BDH("VSEC US Equity","CUR_MKT_CAP","1993-06-18","2026-05-02","Per=M","Days=T","Dir=V")</f>
        <v>0</v>
      </c>
      <c r="AU2">
        <f>BDH("VSEC US Equity","EQY_SH_OUT","1993-06-18","2026-05-02","Per=M","Days=T","Dir=V")</f>
        <v>0</v>
      </c>
      <c r="AW2">
        <f>BDH("VSEC US Equity","PX_VOLUME","1993-06-18","2026-05-02","Per=M","Days=T","Dir=V")</f>
        <v>0</v>
      </c>
      <c r="AY2">
        <f>BDH("VSEC US Equity","TURNOVER","1993-06-18","2026-05-02","Per=M","Days=T","Dir=V")</f>
        <v>0</v>
      </c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BDH("VSH US Equity","BS_TOT_ASSET","1993-06-18","2026-05-02","Per=Y","Days=T","Dir=V")</f>
        <v>0</v>
      </c>
      <c r="C2">
        <f>BDH("VSH US Equity","BS_TOT_LIAB2","1993-06-18","2026-05-02","Per=Y","Days=T","Dir=V")</f>
        <v>0</v>
      </c>
      <c r="E2">
        <f>BDH("VSH US Equity","SHORT_AND_LONG_TERM_DEBT","1993-06-18","2026-05-02","Per=Y","Days=T","Dir=V")</f>
        <v>0</v>
      </c>
      <c r="G2">
        <f>BDH("VSH US Equity","BS_ST_BORROW","1993-06-18","2026-05-02","Per=Y","Days=T","Dir=V")</f>
        <v>0</v>
      </c>
      <c r="I2">
        <f>BDH("VSH US Equity","BS_LT_BORROW","1993-06-18","2026-05-02","Per=Y","Days=T","Dir=V")</f>
        <v>0</v>
      </c>
      <c r="K2">
        <f>BDH("VSH US Equity","BS_CASH_NEAR_CASH_ITEM","1993-06-18","2026-05-02","Per=Y","Days=T","Dir=V")</f>
        <v>0</v>
      </c>
      <c r="M2">
        <f>BDH("VSH US Equity","BS_CUR_ASSET_REPORT","1993-06-18","2026-05-02","Per=Y","Days=T","Dir=V")</f>
        <v>0</v>
      </c>
      <c r="O2">
        <f>BDH("VSH US Equity","BS_CUR_LIAB","1993-06-18","2026-05-02","Per=Y","Days=T","Dir=V")</f>
        <v>0</v>
      </c>
      <c r="Q2">
        <f>BDH("VSH US Equity","BS_SHAREHOLDER_EQY_ENDING_PERIOD","1993-06-18","2026-05-02","Per=Y","Days=T","Dir=V")</f>
        <v>0</v>
      </c>
      <c r="S2">
        <f>BDH("VSH US Equity","BS_ACCT_NOTE_RCV","1993-06-18","2026-05-02","Per=Y","Days=T","Dir=V")</f>
        <v>0</v>
      </c>
      <c r="U2">
        <f>BDH("VSH US Equity","BS_INVENTORIES","1993-06-18","2026-05-02","Per=Y","Days=T","Dir=V")</f>
        <v>0</v>
      </c>
      <c r="W2">
        <f>BDH("VSH US Equity","WORKING_CAPITAL","1993-06-18","2026-05-02","Per=Y","Days=T","Dir=V")</f>
        <v>0</v>
      </c>
      <c r="Y2">
        <f>BDH("VSH US Equity","SALES_REV_TURN","1993-06-18","2026-05-02","Per=Y","Days=T","Dir=V")</f>
        <v>0</v>
      </c>
      <c r="AA2">
        <f>BDH("VSH US Equity","EBIT","1993-06-18","2026-05-02","Per=Y","Days=T","Dir=V")</f>
        <v>0</v>
      </c>
      <c r="AC2">
        <f>BDH("VSH US Equity","EBITDA","1993-06-18","2026-05-02","Per=Y","Days=T","Dir=V")</f>
        <v>0</v>
      </c>
      <c r="AE2">
        <f>BDH("VSH US Equity","NET_INCOME","1993-06-18","2026-05-02","Per=Y","Days=T","Dir=V")</f>
        <v>0</v>
      </c>
      <c r="AG2">
        <f>BDH("VSH US Equity","IS_INT_EXPENSE","1993-06-18","2026-05-02","Per=Y","Days=T","Dir=V")</f>
        <v>0</v>
      </c>
      <c r="AI2">
        <f>BDH("VSH US Equity","IS_DEPR_EXP","1993-06-18","2026-05-02","Per=Y","Days=T","Dir=V")</f>
        <v>0</v>
      </c>
      <c r="AK2">
        <f>BDH("VSH US Equity","CF_CASH_FROM_OPER","1993-06-18","2026-05-02","Per=Y","Days=T","Dir=V")</f>
        <v>0</v>
      </c>
      <c r="AM2">
        <f>BDH("VSH US Equity","CAPITAL_EXPEND","1993-06-18","2026-05-02","Per=Y","Days=T","Dir=V")</f>
        <v>0</v>
      </c>
      <c r="AO2">
        <f>BDH("VSH US Equity","CF_FREE_CASH_FLOW","1993-06-18","2026-05-02","Per=Y","Days=T","Dir=V")</f>
        <v>0</v>
      </c>
      <c r="AQ2">
        <f>BDH("VSH US Equity","PX_LAST","1993-06-18","2026-05-02","Per=M","Days=T","Dir=V")</f>
        <v>0</v>
      </c>
      <c r="AS2">
        <f>BDH("VSH US Equity","CUR_MKT_CAP","1993-06-18","2026-05-02","Per=M","Days=T","Dir=V")</f>
        <v>0</v>
      </c>
      <c r="AU2">
        <f>BDH("VSH US Equity","EQY_SH_OUT","1993-06-18","2026-05-02","Per=M","Days=T","Dir=V")</f>
        <v>0</v>
      </c>
      <c r="AW2">
        <f>BDH("VSH US Equity","PX_VOLUME","1993-06-18","2026-05-02","Per=M","Days=T","Dir=V")</f>
        <v>0</v>
      </c>
      <c r="AY2">
        <f>BDH("VSH US Equity","TURNOVER","1993-06-18","2026-05-02","Per=M","Days=T","Dir=V")</f>
        <v>0</v>
      </c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BDH("VSNT US Equity","BS_TOT_ASSET","1993-06-18","2026-05-02","Per=Y","Days=T","Dir=V")</f>
        <v>0</v>
      </c>
      <c r="C2">
        <f>BDH("VSNT US Equity","BS_TOT_LIAB2","1993-06-18","2026-05-02","Per=Y","Days=T","Dir=V")</f>
        <v>0</v>
      </c>
      <c r="E2">
        <f>BDH("VSNT US Equity","SHORT_AND_LONG_TERM_DEBT","1993-06-18","2026-05-02","Per=Y","Days=T","Dir=V")</f>
        <v>0</v>
      </c>
      <c r="G2">
        <f>BDH("VSNT US Equity","BS_ST_BORROW","1993-06-18","2026-05-02","Per=Y","Days=T","Dir=V")</f>
        <v>0</v>
      </c>
      <c r="I2">
        <f>BDH("VSNT US Equity","BS_LT_BORROW","1993-06-18","2026-05-02","Per=Y","Days=T","Dir=V")</f>
        <v>0</v>
      </c>
      <c r="K2">
        <f>BDH("VSNT US Equity","BS_CASH_NEAR_CASH_ITEM","1993-06-18","2026-05-02","Per=Y","Days=T","Dir=V")</f>
        <v>0</v>
      </c>
      <c r="M2">
        <f>BDH("VSNT US Equity","BS_CUR_ASSET_REPORT","1993-06-18","2026-05-02","Per=Y","Days=T","Dir=V")</f>
        <v>0</v>
      </c>
      <c r="O2">
        <f>BDH("VSNT US Equity","BS_CUR_LIAB","1993-06-18","2026-05-02","Per=Y","Days=T","Dir=V")</f>
        <v>0</v>
      </c>
      <c r="Q2">
        <f>BDH("VSNT US Equity","BS_SHAREHOLDER_EQY_ENDING_PERIOD","1993-06-18","2026-05-02","Per=Y","Days=T","Dir=V")</f>
        <v>0</v>
      </c>
      <c r="S2">
        <f>BDH("VSNT US Equity","BS_ACCT_NOTE_RCV","1993-06-18","2026-05-02","Per=Y","Days=T","Dir=V")</f>
        <v>0</v>
      </c>
      <c r="U2">
        <f>BDH("VSNT US Equity","BS_INVENTORIES","1993-06-18","2026-05-02","Per=Y","Days=T","Dir=V")</f>
        <v>0</v>
      </c>
      <c r="W2">
        <f>BDH("VSNT US Equity","WORKING_CAPITAL","1993-06-18","2026-05-02","Per=Y","Days=T","Dir=V")</f>
        <v>0</v>
      </c>
      <c r="Y2">
        <f>BDH("VSNT US Equity","SALES_REV_TURN","1993-06-18","2026-05-02","Per=Y","Days=T","Dir=V")</f>
        <v>0</v>
      </c>
      <c r="AA2">
        <f>BDH("VSNT US Equity","EBIT","1993-06-18","2026-05-02","Per=Y","Days=T","Dir=V")</f>
        <v>0</v>
      </c>
      <c r="AC2">
        <f>BDH("VSNT US Equity","EBITDA","1993-06-18","2026-05-02","Per=Y","Days=T","Dir=V")</f>
        <v>0</v>
      </c>
      <c r="AE2">
        <f>BDH("VSNT US Equity","NET_INCOME","1993-06-18","2026-05-02","Per=Y","Days=T","Dir=V")</f>
        <v>0</v>
      </c>
      <c r="AG2">
        <f>BDH("VSNT US Equity","IS_INT_EXPENSE","1993-06-18","2026-05-02","Per=Y","Days=T","Dir=V")</f>
        <v>0</v>
      </c>
      <c r="AI2">
        <f>BDH("VSNT US Equity","IS_DEPR_EXP","1993-06-18","2026-05-02","Per=Y","Days=T","Dir=V")</f>
        <v>0</v>
      </c>
      <c r="AK2">
        <f>BDH("VSNT US Equity","CF_CASH_FROM_OPER","1993-06-18","2026-05-02","Per=Y","Days=T","Dir=V")</f>
        <v>0</v>
      </c>
      <c r="AM2">
        <f>BDH("VSNT US Equity","CAPITAL_EXPEND","1993-06-18","2026-05-02","Per=Y","Days=T","Dir=V")</f>
        <v>0</v>
      </c>
      <c r="AO2">
        <f>BDH("VSNT US Equity","CF_FREE_CASH_FLOW","1993-06-18","2026-05-02","Per=Y","Days=T","Dir=V")</f>
        <v>0</v>
      </c>
      <c r="AQ2">
        <f>BDH("VSNT US Equity","PX_LAST","1993-06-18","2026-05-02","Per=M","Days=T","Dir=V")</f>
        <v>0</v>
      </c>
      <c r="AS2">
        <f>BDH("VSNT US Equity","CUR_MKT_CAP","1993-06-18","2026-05-02","Per=M","Days=T","Dir=V")</f>
        <v>0</v>
      </c>
      <c r="AU2">
        <f>BDH("VSNT US Equity","EQY_SH_OUT","1993-06-18","2026-05-02","Per=M","Days=T","Dir=V")</f>
        <v>0</v>
      </c>
      <c r="AW2">
        <f>BDH("VSNT US Equity","PX_VOLUME","1993-06-18","2026-05-02","Per=M","Days=T","Dir=V")</f>
        <v>0</v>
      </c>
      <c r="AY2">
        <f>BDH("VSNT US Equity","TURNOVER","1993-06-18","2026-05-02","Per=M","Days=T","Dir=V")</f>
        <v>0</v>
      </c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BDH("VST US Equity","BS_TOT_ASSET","1993-06-18","2026-05-02","Per=Y","Days=T","Dir=V")</f>
        <v>0</v>
      </c>
      <c r="C2">
        <f>BDH("VST US Equity","BS_TOT_LIAB2","1993-06-18","2026-05-02","Per=Y","Days=T","Dir=V")</f>
        <v>0</v>
      </c>
      <c r="E2">
        <f>BDH("VST US Equity","SHORT_AND_LONG_TERM_DEBT","1993-06-18","2026-05-02","Per=Y","Days=T","Dir=V")</f>
        <v>0</v>
      </c>
      <c r="G2">
        <f>BDH("VST US Equity","BS_ST_BORROW","1993-06-18","2026-05-02","Per=Y","Days=T","Dir=V")</f>
        <v>0</v>
      </c>
      <c r="I2">
        <f>BDH("VST US Equity","BS_LT_BORROW","1993-06-18","2026-05-02","Per=Y","Days=T","Dir=V")</f>
        <v>0</v>
      </c>
      <c r="K2">
        <f>BDH("VST US Equity","BS_CASH_NEAR_CASH_ITEM","1993-06-18","2026-05-02","Per=Y","Days=T","Dir=V")</f>
        <v>0</v>
      </c>
      <c r="M2">
        <f>BDH("VST US Equity","BS_CUR_ASSET_REPORT","1993-06-18","2026-05-02","Per=Y","Days=T","Dir=V")</f>
        <v>0</v>
      </c>
      <c r="O2">
        <f>BDH("VST US Equity","BS_CUR_LIAB","1993-06-18","2026-05-02","Per=Y","Days=T","Dir=V")</f>
        <v>0</v>
      </c>
      <c r="Q2">
        <f>BDH("VST US Equity","BS_SHAREHOLDER_EQY_ENDING_PERIOD","1993-06-18","2026-05-02","Per=Y","Days=T","Dir=V")</f>
        <v>0</v>
      </c>
      <c r="S2">
        <f>BDH("VST US Equity","BS_ACCT_NOTE_RCV","1993-06-18","2026-05-02","Per=Y","Days=T","Dir=V")</f>
        <v>0</v>
      </c>
      <c r="U2">
        <f>BDH("VST US Equity","BS_INVENTORIES","1993-06-18","2026-05-02","Per=Y","Days=T","Dir=V")</f>
        <v>0</v>
      </c>
      <c r="W2">
        <f>BDH("VST US Equity","WORKING_CAPITAL","1993-06-18","2026-05-02","Per=Y","Days=T","Dir=V")</f>
        <v>0</v>
      </c>
      <c r="Y2">
        <f>BDH("VST US Equity","SALES_REV_TURN","1993-06-18","2026-05-02","Per=Y","Days=T","Dir=V")</f>
        <v>0</v>
      </c>
      <c r="AA2">
        <f>BDH("VST US Equity","EBIT","1993-06-18","2026-05-02","Per=Y","Days=T","Dir=V")</f>
        <v>0</v>
      </c>
      <c r="AC2">
        <f>BDH("VST US Equity","EBITDA","1993-06-18","2026-05-02","Per=Y","Days=T","Dir=V")</f>
        <v>0</v>
      </c>
      <c r="AE2">
        <f>BDH("VST US Equity","NET_INCOME","1993-06-18","2026-05-02","Per=Y","Days=T","Dir=V")</f>
        <v>0</v>
      </c>
      <c r="AG2">
        <f>BDH("VST US Equity","IS_INT_EXPENSE","1993-06-18","2026-05-02","Per=Y","Days=T","Dir=V")</f>
        <v>0</v>
      </c>
      <c r="AI2">
        <f>BDH("VST US Equity","IS_DEPR_EXP","1993-06-18","2026-05-02","Per=Y","Days=T","Dir=V")</f>
        <v>0</v>
      </c>
      <c r="AK2">
        <f>BDH("VST US Equity","CF_CASH_FROM_OPER","1993-06-18","2026-05-02","Per=Y","Days=T","Dir=V")</f>
        <v>0</v>
      </c>
      <c r="AM2">
        <f>BDH("VST US Equity","CAPITAL_EXPEND","1993-06-18","2026-05-02","Per=Y","Days=T","Dir=V")</f>
        <v>0</v>
      </c>
      <c r="AO2">
        <f>BDH("VST US Equity","CF_FREE_CASH_FLOW","1993-06-18","2026-05-02","Per=Y","Days=T","Dir=V")</f>
        <v>0</v>
      </c>
      <c r="AQ2">
        <f>BDH("VST US Equity","PX_LAST","1993-06-18","2026-05-02","Per=M","Days=T","Dir=V")</f>
        <v>0</v>
      </c>
      <c r="AS2">
        <f>BDH("VST US Equity","CUR_MKT_CAP","1993-06-18","2026-05-02","Per=M","Days=T","Dir=V")</f>
        <v>0</v>
      </c>
      <c r="AU2">
        <f>BDH("VST US Equity","EQY_SH_OUT","1993-06-18","2026-05-02","Per=M","Days=T","Dir=V")</f>
        <v>0</v>
      </c>
      <c r="AW2">
        <f>BDH("VST US Equity","PX_VOLUME","1993-06-18","2026-05-02","Per=M","Days=T","Dir=V")</f>
        <v>0</v>
      </c>
      <c r="AY2">
        <f>BDH("VST US Equity","TURNOVER","1993-06-18","2026-05-02","Per=M","Days=T","Dir=V")</f>
        <v>0</v>
      </c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BDH("VSTM US Equity","BS_TOT_ASSET","1993-06-18","2026-05-02","Per=Y","Days=T","Dir=V")</f>
        <v>0</v>
      </c>
      <c r="C2">
        <f>BDH("VSTM US Equity","BS_TOT_LIAB2","1993-06-18","2026-05-02","Per=Y","Days=T","Dir=V")</f>
        <v>0</v>
      </c>
      <c r="E2">
        <f>BDH("VSTM US Equity","SHORT_AND_LONG_TERM_DEBT","1993-06-18","2026-05-02","Per=Y","Days=T","Dir=V")</f>
        <v>0</v>
      </c>
      <c r="G2">
        <f>BDH("VSTM US Equity","BS_ST_BORROW","1993-06-18","2026-05-02","Per=Y","Days=T","Dir=V")</f>
        <v>0</v>
      </c>
      <c r="I2">
        <f>BDH("VSTM US Equity","BS_LT_BORROW","1993-06-18","2026-05-02","Per=Y","Days=T","Dir=V")</f>
        <v>0</v>
      </c>
      <c r="K2">
        <f>BDH("VSTM US Equity","BS_CASH_NEAR_CASH_ITEM","1993-06-18","2026-05-02","Per=Y","Days=T","Dir=V")</f>
        <v>0</v>
      </c>
      <c r="M2">
        <f>BDH("VSTM US Equity","BS_CUR_ASSET_REPORT","1993-06-18","2026-05-02","Per=Y","Days=T","Dir=V")</f>
        <v>0</v>
      </c>
      <c r="O2">
        <f>BDH("VSTM US Equity","BS_CUR_LIAB","1993-06-18","2026-05-02","Per=Y","Days=T","Dir=V")</f>
        <v>0</v>
      </c>
      <c r="Q2">
        <f>BDH("VSTM US Equity","BS_SHAREHOLDER_EQY_ENDING_PERIOD","1993-06-18","2026-05-02","Per=Y","Days=T","Dir=V")</f>
        <v>0</v>
      </c>
      <c r="S2">
        <f>BDH("VSTM US Equity","BS_ACCT_NOTE_RCV","1993-06-18","2026-05-02","Per=Y","Days=T","Dir=V")</f>
        <v>0</v>
      </c>
      <c r="U2">
        <f>BDH("VSTM US Equity","BS_INVENTORIES","1993-06-18","2026-05-02","Per=Y","Days=T","Dir=V")</f>
        <v>0</v>
      </c>
      <c r="W2">
        <f>BDH("VSTM US Equity","WORKING_CAPITAL","1993-06-18","2026-05-02","Per=Y","Days=T","Dir=V")</f>
        <v>0</v>
      </c>
      <c r="Y2">
        <f>BDH("VSTM US Equity","SALES_REV_TURN","1993-06-18","2026-05-02","Per=Y","Days=T","Dir=V")</f>
        <v>0</v>
      </c>
      <c r="AA2">
        <f>BDH("VSTM US Equity","EBIT","1993-06-18","2026-05-02","Per=Y","Days=T","Dir=V")</f>
        <v>0</v>
      </c>
      <c r="AC2">
        <f>BDH("VSTM US Equity","EBITDA","1993-06-18","2026-05-02","Per=Y","Days=T","Dir=V")</f>
        <v>0</v>
      </c>
      <c r="AE2">
        <f>BDH("VSTM US Equity","NET_INCOME","1993-06-18","2026-05-02","Per=Y","Days=T","Dir=V")</f>
        <v>0</v>
      </c>
      <c r="AG2">
        <f>BDH("VSTM US Equity","IS_INT_EXPENSE","1993-06-18","2026-05-02","Per=Y","Days=T","Dir=V")</f>
        <v>0</v>
      </c>
      <c r="AI2">
        <f>BDH("VSTM US Equity","IS_DEPR_EXP","1993-06-18","2026-05-02","Per=Y","Days=T","Dir=V")</f>
        <v>0</v>
      </c>
      <c r="AK2">
        <f>BDH("VSTM US Equity","CF_CASH_FROM_OPER","1993-06-18","2026-05-02","Per=Y","Days=T","Dir=V")</f>
        <v>0</v>
      </c>
      <c r="AM2">
        <f>BDH("VSTM US Equity","CAPITAL_EXPEND","1993-06-18","2026-05-02","Per=Y","Days=T","Dir=V")</f>
        <v>0</v>
      </c>
      <c r="AO2">
        <f>BDH("VSTM US Equity","CF_FREE_CASH_FLOW","1993-06-18","2026-05-02","Per=Y","Days=T","Dir=V")</f>
        <v>0</v>
      </c>
      <c r="AQ2">
        <f>BDH("VSTM US Equity","PX_LAST","1993-06-18","2026-05-02","Per=M","Days=T","Dir=V")</f>
        <v>0</v>
      </c>
      <c r="AS2">
        <f>BDH("VSTM US Equity","CUR_MKT_CAP","1993-06-18","2026-05-02","Per=M","Days=T","Dir=V")</f>
        <v>0</v>
      </c>
      <c r="AU2">
        <f>BDH("VSTM US Equity","EQY_SH_OUT","1993-06-18","2026-05-02","Per=M","Days=T","Dir=V")</f>
        <v>0</v>
      </c>
      <c r="AW2">
        <f>BDH("VSTM US Equity","PX_VOLUME","1993-06-18","2026-05-02","Per=M","Days=T","Dir=V")</f>
        <v>0</v>
      </c>
      <c r="AY2">
        <f>BDH("VSTM US Equity","TURNOVER","1993-06-18","2026-05-02","Per=M","Days=T","Dir=V")</f>
        <v>0</v>
      </c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BDH("VSTS US Equity","BS_TOT_ASSET","1993-06-18","2026-05-02","Per=Y","Days=T","Dir=V")</f>
        <v>0</v>
      </c>
      <c r="C2">
        <f>BDH("VSTS US Equity","BS_TOT_LIAB2","1993-06-18","2026-05-02","Per=Y","Days=T","Dir=V")</f>
        <v>0</v>
      </c>
      <c r="E2">
        <f>BDH("VSTS US Equity","SHORT_AND_LONG_TERM_DEBT","1993-06-18","2026-05-02","Per=Y","Days=T","Dir=V")</f>
        <v>0</v>
      </c>
      <c r="G2">
        <f>BDH("VSTS US Equity","BS_ST_BORROW","1993-06-18","2026-05-02","Per=Y","Days=T","Dir=V")</f>
        <v>0</v>
      </c>
      <c r="I2">
        <f>BDH("VSTS US Equity","BS_LT_BORROW","1993-06-18","2026-05-02","Per=Y","Days=T","Dir=V")</f>
        <v>0</v>
      </c>
      <c r="K2">
        <f>BDH("VSTS US Equity","BS_CASH_NEAR_CASH_ITEM","1993-06-18","2026-05-02","Per=Y","Days=T","Dir=V")</f>
        <v>0</v>
      </c>
      <c r="M2">
        <f>BDH("VSTS US Equity","BS_CUR_ASSET_REPORT","1993-06-18","2026-05-02","Per=Y","Days=T","Dir=V")</f>
        <v>0</v>
      </c>
      <c r="O2">
        <f>BDH("VSTS US Equity","BS_CUR_LIAB","1993-06-18","2026-05-02","Per=Y","Days=T","Dir=V")</f>
        <v>0</v>
      </c>
      <c r="Q2">
        <f>BDH("VSTS US Equity","BS_SHAREHOLDER_EQY_ENDING_PERIOD","1993-06-18","2026-05-02","Per=Y","Days=T","Dir=V")</f>
        <v>0</v>
      </c>
      <c r="S2">
        <f>BDH("VSTS US Equity","BS_ACCT_NOTE_RCV","1993-06-18","2026-05-02","Per=Y","Days=T","Dir=V")</f>
        <v>0</v>
      </c>
      <c r="U2">
        <f>BDH("VSTS US Equity","BS_INVENTORIES","1993-06-18","2026-05-02","Per=Y","Days=T","Dir=V")</f>
        <v>0</v>
      </c>
      <c r="W2">
        <f>BDH("VSTS US Equity","WORKING_CAPITAL","1993-06-18","2026-05-02","Per=Y","Days=T","Dir=V")</f>
        <v>0</v>
      </c>
      <c r="Y2">
        <f>BDH("VSTS US Equity","SALES_REV_TURN","1993-06-18","2026-05-02","Per=Y","Days=T","Dir=V")</f>
        <v>0</v>
      </c>
      <c r="AA2">
        <f>BDH("VSTS US Equity","EBIT","1993-06-18","2026-05-02","Per=Y","Days=T","Dir=V")</f>
        <v>0</v>
      </c>
      <c r="AC2">
        <f>BDH("VSTS US Equity","EBITDA","1993-06-18","2026-05-02","Per=Y","Days=T","Dir=V")</f>
        <v>0</v>
      </c>
      <c r="AE2">
        <f>BDH("VSTS US Equity","NET_INCOME","1993-06-18","2026-05-02","Per=Y","Days=T","Dir=V")</f>
        <v>0</v>
      </c>
      <c r="AG2">
        <f>BDH("VSTS US Equity","IS_INT_EXPENSE","1993-06-18","2026-05-02","Per=Y","Days=T","Dir=V")</f>
        <v>0</v>
      </c>
      <c r="AI2">
        <f>BDH("VSTS US Equity","IS_DEPR_EXP","1993-06-18","2026-05-02","Per=Y","Days=T","Dir=V")</f>
        <v>0</v>
      </c>
      <c r="AK2">
        <f>BDH("VSTS US Equity","CF_CASH_FROM_OPER","1993-06-18","2026-05-02","Per=Y","Days=T","Dir=V")</f>
        <v>0</v>
      </c>
      <c r="AM2">
        <f>BDH("VSTS US Equity","CAPITAL_EXPEND","1993-06-18","2026-05-02","Per=Y","Days=T","Dir=V")</f>
        <v>0</v>
      </c>
      <c r="AO2">
        <f>BDH("VSTS US Equity","CF_FREE_CASH_FLOW","1993-06-18","2026-05-02","Per=Y","Days=T","Dir=V")</f>
        <v>0</v>
      </c>
      <c r="AQ2">
        <f>BDH("VSTS US Equity","PX_LAST","1993-06-18","2026-05-02","Per=M","Days=T","Dir=V")</f>
        <v>0</v>
      </c>
      <c r="AS2">
        <f>BDH("VSTS US Equity","CUR_MKT_CAP","1993-06-18","2026-05-02","Per=M","Days=T","Dir=V")</f>
        <v>0</v>
      </c>
      <c r="AU2">
        <f>BDH("VSTS US Equity","EQY_SH_OUT","1993-06-18","2026-05-02","Per=M","Days=T","Dir=V")</f>
        <v>0</v>
      </c>
      <c r="AW2">
        <f>BDH("VSTS US Equity","PX_VOLUME","1993-06-18","2026-05-02","Per=M","Days=T","Dir=V")</f>
        <v>0</v>
      </c>
      <c r="AY2">
        <f>BDH("VSTS US Equity","TURNOVER","1993-06-18","2026-05-02","Per=M","Days=T","Dir=V")</f>
        <v>0</v>
      </c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BDH("VSXY US Equity","BS_TOT_ASSET","1993-06-18","2026-05-02","Per=Y","Days=T","Dir=V")</f>
        <v>0</v>
      </c>
      <c r="C2">
        <f>BDH("VSXY US Equity","BS_TOT_LIAB2","1993-06-18","2026-05-02","Per=Y","Days=T","Dir=V")</f>
        <v>0</v>
      </c>
      <c r="E2">
        <f>BDH("VSXY US Equity","SHORT_AND_LONG_TERM_DEBT","1993-06-18","2026-05-02","Per=Y","Days=T","Dir=V")</f>
        <v>0</v>
      </c>
      <c r="G2">
        <f>BDH("VSXY US Equity","BS_ST_BORROW","1993-06-18","2026-05-02","Per=Y","Days=T","Dir=V")</f>
        <v>0</v>
      </c>
      <c r="I2">
        <f>BDH("VSXY US Equity","BS_LT_BORROW","1993-06-18","2026-05-02","Per=Y","Days=T","Dir=V")</f>
        <v>0</v>
      </c>
      <c r="K2">
        <f>BDH("VSXY US Equity","BS_CASH_NEAR_CASH_ITEM","1993-06-18","2026-05-02","Per=Y","Days=T","Dir=V")</f>
        <v>0</v>
      </c>
      <c r="M2">
        <f>BDH("VSXY US Equity","BS_CUR_ASSET_REPORT","1993-06-18","2026-05-02","Per=Y","Days=T","Dir=V")</f>
        <v>0</v>
      </c>
      <c r="O2">
        <f>BDH("VSXY US Equity","BS_CUR_LIAB","1993-06-18","2026-05-02","Per=Y","Days=T","Dir=V")</f>
        <v>0</v>
      </c>
      <c r="Q2">
        <f>BDH("VSXY US Equity","BS_SHAREHOLDER_EQY_ENDING_PERIOD","1993-06-18","2026-05-02","Per=Y","Days=T","Dir=V")</f>
        <v>0</v>
      </c>
      <c r="S2">
        <f>BDH("VSXY US Equity","BS_ACCT_NOTE_RCV","1993-06-18","2026-05-02","Per=Y","Days=T","Dir=V")</f>
        <v>0</v>
      </c>
      <c r="U2">
        <f>BDH("VSXY US Equity","BS_INVENTORIES","1993-06-18","2026-05-02","Per=Y","Days=T","Dir=V")</f>
        <v>0</v>
      </c>
      <c r="W2">
        <f>BDH("VSXY US Equity","WORKING_CAPITAL","1993-06-18","2026-05-02","Per=Y","Days=T","Dir=V")</f>
        <v>0</v>
      </c>
      <c r="Y2">
        <f>BDH("VSXY US Equity","SALES_REV_TURN","1993-06-18","2026-05-02","Per=Y","Days=T","Dir=V")</f>
        <v>0</v>
      </c>
      <c r="AA2">
        <f>BDH("VSXY US Equity","EBIT","1993-06-18","2026-05-02","Per=Y","Days=T","Dir=V")</f>
        <v>0</v>
      </c>
      <c r="AC2">
        <f>BDH("VSXY US Equity","EBITDA","1993-06-18","2026-05-02","Per=Y","Days=T","Dir=V")</f>
        <v>0</v>
      </c>
      <c r="AE2">
        <f>BDH("VSXY US Equity","NET_INCOME","1993-06-18","2026-05-02","Per=Y","Days=T","Dir=V")</f>
        <v>0</v>
      </c>
      <c r="AG2">
        <f>BDH("VSXY US Equity","IS_INT_EXPENSE","1993-06-18","2026-05-02","Per=Y","Days=T","Dir=V")</f>
        <v>0</v>
      </c>
      <c r="AI2">
        <f>BDH("VSXY US Equity","IS_DEPR_EXP","1993-06-18","2026-05-02","Per=Y","Days=T","Dir=V")</f>
        <v>0</v>
      </c>
      <c r="AK2">
        <f>BDH("VSXY US Equity","CF_CASH_FROM_OPER","1993-06-18","2026-05-02","Per=Y","Days=T","Dir=V")</f>
        <v>0</v>
      </c>
      <c r="AM2">
        <f>BDH("VSXY US Equity","CAPITAL_EXPEND","1993-06-18","2026-05-02","Per=Y","Days=T","Dir=V")</f>
        <v>0</v>
      </c>
      <c r="AO2">
        <f>BDH("VSXY US Equity","CF_FREE_CASH_FLOW","1993-06-18","2026-05-02","Per=Y","Days=T","Dir=V")</f>
        <v>0</v>
      </c>
      <c r="AQ2">
        <f>BDH("VSXY US Equity","PX_LAST","1993-06-18","2026-05-02","Per=M","Days=T","Dir=V")</f>
        <v>0</v>
      </c>
      <c r="AS2">
        <f>BDH("VSXY US Equity","CUR_MKT_CAP","1993-06-18","2026-05-02","Per=M","Days=T","Dir=V")</f>
        <v>0</v>
      </c>
      <c r="AU2">
        <f>BDH("VSXY US Equity","EQY_SH_OUT","1993-06-18","2026-05-02","Per=M","Days=T","Dir=V")</f>
        <v>0</v>
      </c>
      <c r="AW2">
        <f>BDH("VSXY US Equity","PX_VOLUME","1993-06-18","2026-05-02","Per=M","Days=T","Dir=V")</f>
        <v>0</v>
      </c>
      <c r="AY2">
        <f>BDH("VSXY US Equity","TURNOVER","1993-06-18","2026-05-02","Per=M","Days=T","Dir=V")</f>
        <v>0</v>
      </c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BDH("VTGN US Equity","BS_TOT_ASSET","1993-06-18","2026-05-02","Per=Y","Days=T","Dir=V")</f>
        <v>0</v>
      </c>
      <c r="C2">
        <f>BDH("VTGN US Equity","BS_TOT_LIAB2","1993-06-18","2026-05-02","Per=Y","Days=T","Dir=V")</f>
        <v>0</v>
      </c>
      <c r="E2">
        <f>BDH("VTGN US Equity","SHORT_AND_LONG_TERM_DEBT","1993-06-18","2026-05-02","Per=Y","Days=T","Dir=V")</f>
        <v>0</v>
      </c>
      <c r="G2">
        <f>BDH("VTGN US Equity","BS_ST_BORROW","1993-06-18","2026-05-02","Per=Y","Days=T","Dir=V")</f>
        <v>0</v>
      </c>
      <c r="I2">
        <f>BDH("VTGN US Equity","BS_LT_BORROW","1993-06-18","2026-05-02","Per=Y","Days=T","Dir=V")</f>
        <v>0</v>
      </c>
      <c r="K2">
        <f>BDH("VTGN US Equity","BS_CASH_NEAR_CASH_ITEM","1993-06-18","2026-05-02","Per=Y","Days=T","Dir=V")</f>
        <v>0</v>
      </c>
      <c r="M2">
        <f>BDH("VTGN US Equity","BS_CUR_ASSET_REPORT","1993-06-18","2026-05-02","Per=Y","Days=T","Dir=V")</f>
        <v>0</v>
      </c>
      <c r="O2">
        <f>BDH("VTGN US Equity","BS_CUR_LIAB","1993-06-18","2026-05-02","Per=Y","Days=T","Dir=V")</f>
        <v>0</v>
      </c>
      <c r="Q2">
        <f>BDH("VTGN US Equity","BS_SHAREHOLDER_EQY_ENDING_PERIOD","1993-06-18","2026-05-02","Per=Y","Days=T","Dir=V")</f>
        <v>0</v>
      </c>
      <c r="S2">
        <f>BDH("VTGN US Equity","BS_ACCT_NOTE_RCV","1993-06-18","2026-05-02","Per=Y","Days=T","Dir=V")</f>
        <v>0</v>
      </c>
      <c r="U2">
        <f>BDH("VTGN US Equity","BS_INVENTORIES","1993-06-18","2026-05-02","Per=Y","Days=T","Dir=V")</f>
        <v>0</v>
      </c>
      <c r="W2">
        <f>BDH("VTGN US Equity","WORKING_CAPITAL","1993-06-18","2026-05-02","Per=Y","Days=T","Dir=V")</f>
        <v>0</v>
      </c>
      <c r="Y2">
        <f>BDH("VTGN US Equity","SALES_REV_TURN","1993-06-18","2026-05-02","Per=Y","Days=T","Dir=V")</f>
        <v>0</v>
      </c>
      <c r="AA2">
        <f>BDH("VTGN US Equity","EBIT","1993-06-18","2026-05-02","Per=Y","Days=T","Dir=V")</f>
        <v>0</v>
      </c>
      <c r="AC2">
        <f>BDH("VTGN US Equity","EBITDA","1993-06-18","2026-05-02","Per=Y","Days=T","Dir=V")</f>
        <v>0</v>
      </c>
      <c r="AE2">
        <f>BDH("VTGN US Equity","NET_INCOME","1993-06-18","2026-05-02","Per=Y","Days=T","Dir=V")</f>
        <v>0</v>
      </c>
      <c r="AG2">
        <f>BDH("VTGN US Equity","IS_INT_EXPENSE","1993-06-18","2026-05-02","Per=Y","Days=T","Dir=V")</f>
        <v>0</v>
      </c>
      <c r="AI2">
        <f>BDH("VTGN US Equity","IS_DEPR_EXP","1993-06-18","2026-05-02","Per=Y","Days=T","Dir=V")</f>
        <v>0</v>
      </c>
      <c r="AK2">
        <f>BDH("VTGN US Equity","CF_CASH_FROM_OPER","1993-06-18","2026-05-02","Per=Y","Days=T","Dir=V")</f>
        <v>0</v>
      </c>
      <c r="AM2">
        <f>BDH("VTGN US Equity","CAPITAL_EXPEND","1993-06-18","2026-05-02","Per=Y","Days=T","Dir=V")</f>
        <v>0</v>
      </c>
      <c r="AO2">
        <f>BDH("VTGN US Equity","CF_FREE_CASH_FLOW","1993-06-18","2026-05-02","Per=Y","Days=T","Dir=V")</f>
        <v>0</v>
      </c>
      <c r="AQ2">
        <f>BDH("VTGN US Equity","PX_LAST","1993-06-18","2026-05-02","Per=M","Days=T","Dir=V")</f>
        <v>0</v>
      </c>
      <c r="AS2">
        <f>BDH("VTGN US Equity","CUR_MKT_CAP","1993-06-18","2026-05-02","Per=M","Days=T","Dir=V")</f>
        <v>0</v>
      </c>
      <c r="AU2">
        <f>BDH("VTGN US Equity","EQY_SH_OUT","1993-06-18","2026-05-02","Per=M","Days=T","Dir=V")</f>
        <v>0</v>
      </c>
      <c r="AW2">
        <f>BDH("VTGN US Equity","PX_VOLUME","1993-06-18","2026-05-02","Per=M","Days=T","Dir=V")</f>
        <v>0</v>
      </c>
      <c r="AY2">
        <f>BDH("VTGN US Equity","TURNOVER","1993-06-18","2026-05-02","Per=M","Days=T","Dir=V")</f>
        <v>0</v>
      </c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BDH("VTIX US Equity","BS_TOT_ASSET","1993-06-18","2026-05-02","Per=Y","Days=T","Dir=V")</f>
        <v>0</v>
      </c>
      <c r="C2">
        <f>BDH("VTIX US Equity","BS_TOT_LIAB2","1993-06-18","2026-05-02","Per=Y","Days=T","Dir=V")</f>
        <v>0</v>
      </c>
      <c r="E2">
        <f>BDH("VTIX US Equity","SHORT_AND_LONG_TERM_DEBT","1993-06-18","2026-05-02","Per=Y","Days=T","Dir=V")</f>
        <v>0</v>
      </c>
      <c r="G2">
        <f>BDH("VTIX US Equity","BS_ST_BORROW","1993-06-18","2026-05-02","Per=Y","Days=T","Dir=V")</f>
        <v>0</v>
      </c>
      <c r="I2">
        <f>BDH("VTIX US Equity","BS_LT_BORROW","1993-06-18","2026-05-02","Per=Y","Days=T","Dir=V")</f>
        <v>0</v>
      </c>
      <c r="K2">
        <f>BDH("VTIX US Equity","BS_CASH_NEAR_CASH_ITEM","1993-06-18","2026-05-02","Per=Y","Days=T","Dir=V")</f>
        <v>0</v>
      </c>
      <c r="M2">
        <f>BDH("VTIX US Equity","BS_CUR_ASSET_REPORT","1993-06-18","2026-05-02","Per=Y","Days=T","Dir=V")</f>
        <v>0</v>
      </c>
      <c r="O2">
        <f>BDH("VTIX US Equity","BS_CUR_LIAB","1993-06-18","2026-05-02","Per=Y","Days=T","Dir=V")</f>
        <v>0</v>
      </c>
      <c r="Q2">
        <f>BDH("VTIX US Equity","BS_SHAREHOLDER_EQY_ENDING_PERIOD","1993-06-18","2026-05-02","Per=Y","Days=T","Dir=V")</f>
        <v>0</v>
      </c>
      <c r="S2">
        <f>BDH("VTIX US Equity","BS_ACCT_NOTE_RCV","1993-06-18","2026-05-02","Per=Y","Days=T","Dir=V")</f>
        <v>0</v>
      </c>
      <c r="U2">
        <f>BDH("VTIX US Equity","BS_INVENTORIES","1993-06-18","2026-05-02","Per=Y","Days=T","Dir=V")</f>
        <v>0</v>
      </c>
      <c r="W2">
        <f>BDH("VTIX US Equity","WORKING_CAPITAL","1993-06-18","2026-05-02","Per=Y","Days=T","Dir=V")</f>
        <v>0</v>
      </c>
      <c r="Y2">
        <f>BDH("VTIX US Equity","SALES_REV_TURN","1993-06-18","2026-05-02","Per=Y","Days=T","Dir=V")</f>
        <v>0</v>
      </c>
      <c r="AA2">
        <f>BDH("VTIX US Equity","EBIT","1993-06-18","2026-05-02","Per=Y","Days=T","Dir=V")</f>
        <v>0</v>
      </c>
      <c r="AC2">
        <f>BDH("VTIX US Equity","EBITDA","1993-06-18","2026-05-02","Per=Y","Days=T","Dir=V")</f>
        <v>0</v>
      </c>
      <c r="AE2">
        <f>BDH("VTIX US Equity","NET_INCOME","1993-06-18","2026-05-02","Per=Y","Days=T","Dir=V")</f>
        <v>0</v>
      </c>
      <c r="AG2">
        <f>BDH("VTIX US Equity","IS_INT_EXPENSE","1993-06-18","2026-05-02","Per=Y","Days=T","Dir=V")</f>
        <v>0</v>
      </c>
      <c r="AI2">
        <f>BDH("VTIX US Equity","IS_DEPR_EXP","1993-06-18","2026-05-02","Per=Y","Days=T","Dir=V")</f>
        <v>0</v>
      </c>
      <c r="AK2">
        <f>BDH("VTIX US Equity","CF_CASH_FROM_OPER","1993-06-18","2026-05-02","Per=Y","Days=T","Dir=V")</f>
        <v>0</v>
      </c>
      <c r="AM2">
        <f>BDH("VTIX US Equity","CAPITAL_EXPEND","1993-06-18","2026-05-02","Per=Y","Days=T","Dir=V")</f>
        <v>0</v>
      </c>
      <c r="AO2">
        <f>BDH("VTIX US Equity","CF_FREE_CASH_FLOW","1993-06-18","2026-05-02","Per=Y","Days=T","Dir=V")</f>
        <v>0</v>
      </c>
      <c r="AQ2">
        <f>BDH("VTIX US Equity","PX_LAST","1993-06-18","2026-05-02","Per=M","Days=T","Dir=V")</f>
        <v>0</v>
      </c>
      <c r="AS2">
        <f>BDH("VTIX US Equity","CUR_MKT_CAP","1993-06-18","2026-05-02","Per=M","Days=T","Dir=V")</f>
        <v>0</v>
      </c>
      <c r="AU2">
        <f>BDH("VTIX US Equity","EQY_SH_OUT","1993-06-18","2026-05-02","Per=M","Days=T","Dir=V")</f>
        <v>0</v>
      </c>
      <c r="AW2">
        <f>BDH("VTIX US Equity","PX_VOLUME","1993-06-18","2026-05-02","Per=M","Days=T","Dir=V")</f>
        <v>0</v>
      </c>
      <c r="AY2">
        <f>BDH("VTIX US Equity","TURNOVER","1993-06-18","2026-05-02","Per=M","Days=T","Dir=V")</f>
        <v>0</v>
      </c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BDH("VTOL US Equity","BS_TOT_ASSET","1993-06-18","2026-05-02","Per=Y","Days=T","Dir=V")</f>
        <v>0</v>
      </c>
      <c r="C2">
        <f>BDH("VTOL US Equity","BS_TOT_LIAB2","1993-06-18","2026-05-02","Per=Y","Days=T","Dir=V")</f>
        <v>0</v>
      </c>
      <c r="E2">
        <f>BDH("VTOL US Equity","SHORT_AND_LONG_TERM_DEBT","1993-06-18","2026-05-02","Per=Y","Days=T","Dir=V")</f>
        <v>0</v>
      </c>
      <c r="G2">
        <f>BDH("VTOL US Equity","BS_ST_BORROW","1993-06-18","2026-05-02","Per=Y","Days=T","Dir=V")</f>
        <v>0</v>
      </c>
      <c r="I2">
        <f>BDH("VTOL US Equity","BS_LT_BORROW","1993-06-18","2026-05-02","Per=Y","Days=T","Dir=V")</f>
        <v>0</v>
      </c>
      <c r="K2">
        <f>BDH("VTOL US Equity","BS_CASH_NEAR_CASH_ITEM","1993-06-18","2026-05-02","Per=Y","Days=T","Dir=V")</f>
        <v>0</v>
      </c>
      <c r="M2">
        <f>BDH("VTOL US Equity","BS_CUR_ASSET_REPORT","1993-06-18","2026-05-02","Per=Y","Days=T","Dir=V")</f>
        <v>0</v>
      </c>
      <c r="O2">
        <f>BDH("VTOL US Equity","BS_CUR_LIAB","1993-06-18","2026-05-02","Per=Y","Days=T","Dir=V")</f>
        <v>0</v>
      </c>
      <c r="Q2">
        <f>BDH("VTOL US Equity","BS_SHAREHOLDER_EQY_ENDING_PERIOD","1993-06-18","2026-05-02","Per=Y","Days=T","Dir=V")</f>
        <v>0</v>
      </c>
      <c r="S2">
        <f>BDH("VTOL US Equity","BS_ACCT_NOTE_RCV","1993-06-18","2026-05-02","Per=Y","Days=T","Dir=V")</f>
        <v>0</v>
      </c>
      <c r="U2">
        <f>BDH("VTOL US Equity","BS_INVENTORIES","1993-06-18","2026-05-02","Per=Y","Days=T","Dir=V")</f>
        <v>0</v>
      </c>
      <c r="W2">
        <f>BDH("VTOL US Equity","WORKING_CAPITAL","1993-06-18","2026-05-02","Per=Y","Days=T","Dir=V")</f>
        <v>0</v>
      </c>
      <c r="Y2">
        <f>BDH("VTOL US Equity","SALES_REV_TURN","1993-06-18","2026-05-02","Per=Y","Days=T","Dir=V")</f>
        <v>0</v>
      </c>
      <c r="AA2">
        <f>BDH("VTOL US Equity","EBIT","1993-06-18","2026-05-02","Per=Y","Days=T","Dir=V")</f>
        <v>0</v>
      </c>
      <c r="AC2">
        <f>BDH("VTOL US Equity","EBITDA","1993-06-18","2026-05-02","Per=Y","Days=T","Dir=V")</f>
        <v>0</v>
      </c>
      <c r="AE2">
        <f>BDH("VTOL US Equity","NET_INCOME","1993-06-18","2026-05-02","Per=Y","Days=T","Dir=V")</f>
        <v>0</v>
      </c>
      <c r="AG2">
        <f>BDH("VTOL US Equity","IS_INT_EXPENSE","1993-06-18","2026-05-02","Per=Y","Days=T","Dir=V")</f>
        <v>0</v>
      </c>
      <c r="AI2">
        <f>BDH("VTOL US Equity","IS_DEPR_EXP","1993-06-18","2026-05-02","Per=Y","Days=T","Dir=V")</f>
        <v>0</v>
      </c>
      <c r="AK2">
        <f>BDH("VTOL US Equity","CF_CASH_FROM_OPER","1993-06-18","2026-05-02","Per=Y","Days=T","Dir=V")</f>
        <v>0</v>
      </c>
      <c r="AM2">
        <f>BDH("VTOL US Equity","CAPITAL_EXPEND","1993-06-18","2026-05-02","Per=Y","Days=T","Dir=V")</f>
        <v>0</v>
      </c>
      <c r="AO2">
        <f>BDH("VTOL US Equity","CF_FREE_CASH_FLOW","1993-06-18","2026-05-02","Per=Y","Days=T","Dir=V")</f>
        <v>0</v>
      </c>
      <c r="AQ2">
        <f>BDH("VTOL US Equity","PX_LAST","1993-06-18","2026-05-02","Per=M","Days=T","Dir=V")</f>
        <v>0</v>
      </c>
      <c r="AS2">
        <f>BDH("VTOL US Equity","CUR_MKT_CAP","1993-06-18","2026-05-02","Per=M","Days=T","Dir=V")</f>
        <v>0</v>
      </c>
      <c r="AU2">
        <f>BDH("VTOL US Equity","EQY_SH_OUT","1993-06-18","2026-05-02","Per=M","Days=T","Dir=V")</f>
        <v>0</v>
      </c>
      <c r="AW2">
        <f>BDH("VTOL US Equity","PX_VOLUME","1993-06-18","2026-05-02","Per=M","Days=T","Dir=V")</f>
        <v>0</v>
      </c>
      <c r="AY2">
        <f>BDH("VTOL US Equity","TURNOVER","1993-06-18","2026-05-02","Per=M","Days=T","Dir=V")</f>
        <v>0</v>
      </c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BDH("VTRS US Equity","BS_TOT_ASSET","1993-06-18","2026-05-02","Per=Y","Days=T","Dir=V")</f>
        <v>0</v>
      </c>
      <c r="C2">
        <f>BDH("VTRS US Equity","BS_TOT_LIAB2","1993-06-18","2026-05-02","Per=Y","Days=T","Dir=V")</f>
        <v>0</v>
      </c>
      <c r="E2">
        <f>BDH("VTRS US Equity","SHORT_AND_LONG_TERM_DEBT","1993-06-18","2026-05-02","Per=Y","Days=T","Dir=V")</f>
        <v>0</v>
      </c>
      <c r="G2">
        <f>BDH("VTRS US Equity","BS_ST_BORROW","1993-06-18","2026-05-02","Per=Y","Days=T","Dir=V")</f>
        <v>0</v>
      </c>
      <c r="I2">
        <f>BDH("VTRS US Equity","BS_LT_BORROW","1993-06-18","2026-05-02","Per=Y","Days=T","Dir=V")</f>
        <v>0</v>
      </c>
      <c r="K2">
        <f>BDH("VTRS US Equity","BS_CASH_NEAR_CASH_ITEM","1993-06-18","2026-05-02","Per=Y","Days=T","Dir=V")</f>
        <v>0</v>
      </c>
      <c r="M2">
        <f>BDH("VTRS US Equity","BS_CUR_ASSET_REPORT","1993-06-18","2026-05-02","Per=Y","Days=T","Dir=V")</f>
        <v>0</v>
      </c>
      <c r="O2">
        <f>BDH("VTRS US Equity","BS_CUR_LIAB","1993-06-18","2026-05-02","Per=Y","Days=T","Dir=V")</f>
        <v>0</v>
      </c>
      <c r="Q2">
        <f>BDH("VTRS US Equity","BS_SHAREHOLDER_EQY_ENDING_PERIOD","1993-06-18","2026-05-02","Per=Y","Days=T","Dir=V")</f>
        <v>0</v>
      </c>
      <c r="S2">
        <f>BDH("VTRS US Equity","BS_ACCT_NOTE_RCV","1993-06-18","2026-05-02","Per=Y","Days=T","Dir=V")</f>
        <v>0</v>
      </c>
      <c r="U2">
        <f>BDH("VTRS US Equity","BS_INVENTORIES","1993-06-18","2026-05-02","Per=Y","Days=T","Dir=V")</f>
        <v>0</v>
      </c>
      <c r="W2">
        <f>BDH("VTRS US Equity","WORKING_CAPITAL","1993-06-18","2026-05-02","Per=Y","Days=T","Dir=V")</f>
        <v>0</v>
      </c>
      <c r="Y2">
        <f>BDH("VTRS US Equity","SALES_REV_TURN","1993-06-18","2026-05-02","Per=Y","Days=T","Dir=V")</f>
        <v>0</v>
      </c>
      <c r="AA2">
        <f>BDH("VTRS US Equity","EBIT","1993-06-18","2026-05-02","Per=Y","Days=T","Dir=V")</f>
        <v>0</v>
      </c>
      <c r="AC2">
        <f>BDH("VTRS US Equity","EBITDA","1993-06-18","2026-05-02","Per=Y","Days=T","Dir=V")</f>
        <v>0</v>
      </c>
      <c r="AE2">
        <f>BDH("VTRS US Equity","NET_INCOME","1993-06-18","2026-05-02","Per=Y","Days=T","Dir=V")</f>
        <v>0</v>
      </c>
      <c r="AG2">
        <f>BDH("VTRS US Equity","IS_INT_EXPENSE","1993-06-18","2026-05-02","Per=Y","Days=T","Dir=V")</f>
        <v>0</v>
      </c>
      <c r="AI2">
        <f>BDH("VTRS US Equity","IS_DEPR_EXP","1993-06-18","2026-05-02","Per=Y","Days=T","Dir=V")</f>
        <v>0</v>
      </c>
      <c r="AK2">
        <f>BDH("VTRS US Equity","CF_CASH_FROM_OPER","1993-06-18","2026-05-02","Per=Y","Days=T","Dir=V")</f>
        <v>0</v>
      </c>
      <c r="AM2">
        <f>BDH("VTRS US Equity","CAPITAL_EXPEND","1993-06-18","2026-05-02","Per=Y","Days=T","Dir=V")</f>
        <v>0</v>
      </c>
      <c r="AO2">
        <f>BDH("VTRS US Equity","CF_FREE_CASH_FLOW","1993-06-18","2026-05-02","Per=Y","Days=T","Dir=V")</f>
        <v>0</v>
      </c>
      <c r="AQ2">
        <f>BDH("VTRS US Equity","PX_LAST","1993-06-18","2026-05-02","Per=M","Days=T","Dir=V")</f>
        <v>0</v>
      </c>
      <c r="AS2">
        <f>BDH("VTRS US Equity","CUR_MKT_CAP","1993-06-18","2026-05-02","Per=M","Days=T","Dir=V")</f>
        <v>0</v>
      </c>
      <c r="AU2">
        <f>BDH("VTRS US Equity","EQY_SH_OUT","1993-06-18","2026-05-02","Per=M","Days=T","Dir=V")</f>
        <v>0</v>
      </c>
      <c r="AW2">
        <f>BDH("VTRS US Equity","PX_VOLUME","1993-06-18","2026-05-02","Per=M","Days=T","Dir=V")</f>
        <v>0</v>
      </c>
      <c r="AY2">
        <f>BDH("VTRS US Equity","TURNOVER","1993-06-18","2026-05-02","Per=M","Days=T","Dir=V")</f>
        <v>0</v>
      </c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BDH("VTS US Equity","BS_TOT_ASSET","1993-06-18","2026-05-02","Per=Y","Days=T","Dir=V")</f>
        <v>0</v>
      </c>
      <c r="C2">
        <f>BDH("VTS US Equity","BS_TOT_LIAB2","1993-06-18","2026-05-02","Per=Y","Days=T","Dir=V")</f>
        <v>0</v>
      </c>
      <c r="E2">
        <f>BDH("VTS US Equity","SHORT_AND_LONG_TERM_DEBT","1993-06-18","2026-05-02","Per=Y","Days=T","Dir=V")</f>
        <v>0</v>
      </c>
      <c r="G2">
        <f>BDH("VTS US Equity","BS_ST_BORROW","1993-06-18","2026-05-02","Per=Y","Days=T","Dir=V")</f>
        <v>0</v>
      </c>
      <c r="I2">
        <f>BDH("VTS US Equity","BS_LT_BORROW","1993-06-18","2026-05-02","Per=Y","Days=T","Dir=V")</f>
        <v>0</v>
      </c>
      <c r="K2">
        <f>BDH("VTS US Equity","BS_CASH_NEAR_CASH_ITEM","1993-06-18","2026-05-02","Per=Y","Days=T","Dir=V")</f>
        <v>0</v>
      </c>
      <c r="M2">
        <f>BDH("VTS US Equity","BS_CUR_ASSET_REPORT","1993-06-18","2026-05-02","Per=Y","Days=T","Dir=V")</f>
        <v>0</v>
      </c>
      <c r="O2">
        <f>BDH("VTS US Equity","BS_CUR_LIAB","1993-06-18","2026-05-02","Per=Y","Days=T","Dir=V")</f>
        <v>0</v>
      </c>
      <c r="Q2">
        <f>BDH("VTS US Equity","BS_SHAREHOLDER_EQY_ENDING_PERIOD","1993-06-18","2026-05-02","Per=Y","Days=T","Dir=V")</f>
        <v>0</v>
      </c>
      <c r="S2">
        <f>BDH("VTS US Equity","BS_ACCT_NOTE_RCV","1993-06-18","2026-05-02","Per=Y","Days=T","Dir=V")</f>
        <v>0</v>
      </c>
      <c r="U2">
        <f>BDH("VTS US Equity","BS_INVENTORIES","1993-06-18","2026-05-02","Per=Y","Days=T","Dir=V")</f>
        <v>0</v>
      </c>
      <c r="W2">
        <f>BDH("VTS US Equity","WORKING_CAPITAL","1993-06-18","2026-05-02","Per=Y","Days=T","Dir=V")</f>
        <v>0</v>
      </c>
      <c r="Y2">
        <f>BDH("VTS US Equity","SALES_REV_TURN","1993-06-18","2026-05-02","Per=Y","Days=T","Dir=V")</f>
        <v>0</v>
      </c>
      <c r="AA2">
        <f>BDH("VTS US Equity","EBIT","1993-06-18","2026-05-02","Per=Y","Days=T","Dir=V")</f>
        <v>0</v>
      </c>
      <c r="AC2">
        <f>BDH("VTS US Equity","EBITDA","1993-06-18","2026-05-02","Per=Y","Days=T","Dir=V")</f>
        <v>0</v>
      </c>
      <c r="AE2">
        <f>BDH("VTS US Equity","NET_INCOME","1993-06-18","2026-05-02","Per=Y","Days=T","Dir=V")</f>
        <v>0</v>
      </c>
      <c r="AG2">
        <f>BDH("VTS US Equity","IS_INT_EXPENSE","1993-06-18","2026-05-02","Per=Y","Days=T","Dir=V")</f>
        <v>0</v>
      </c>
      <c r="AI2">
        <f>BDH("VTS US Equity","IS_DEPR_EXP","1993-06-18","2026-05-02","Per=Y","Days=T","Dir=V")</f>
        <v>0</v>
      </c>
      <c r="AK2">
        <f>BDH("VTS US Equity","CF_CASH_FROM_OPER","1993-06-18","2026-05-02","Per=Y","Days=T","Dir=V")</f>
        <v>0</v>
      </c>
      <c r="AM2">
        <f>BDH("VTS US Equity","CAPITAL_EXPEND","1993-06-18","2026-05-02","Per=Y","Days=T","Dir=V")</f>
        <v>0</v>
      </c>
      <c r="AO2">
        <f>BDH("VTS US Equity","CF_FREE_CASH_FLOW","1993-06-18","2026-05-02","Per=Y","Days=T","Dir=V")</f>
        <v>0</v>
      </c>
      <c r="AQ2">
        <f>BDH("VTS US Equity","PX_LAST","1993-06-18","2026-05-02","Per=M","Days=T","Dir=V")</f>
        <v>0</v>
      </c>
      <c r="AS2">
        <f>BDH("VTS US Equity","CUR_MKT_CAP","1993-06-18","2026-05-02","Per=M","Days=T","Dir=V")</f>
        <v>0</v>
      </c>
      <c r="AU2">
        <f>BDH("VTS US Equity","EQY_SH_OUT","1993-06-18","2026-05-02","Per=M","Days=T","Dir=V")</f>
        <v>0</v>
      </c>
      <c r="AW2">
        <f>BDH("VTS US Equity","PX_VOLUME","1993-06-18","2026-05-02","Per=M","Days=T","Dir=V")</f>
        <v>0</v>
      </c>
      <c r="AY2">
        <f>BDH("VTS US Equity","TURNOVER","1993-06-18","2026-05-02","Per=M","Days=T","Dir=V")</f>
        <v>0</v>
      </c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BDH("VTSI US Equity","BS_TOT_ASSET","1993-06-18","2026-05-02","Per=Y","Days=T","Dir=V")</f>
        <v>0</v>
      </c>
      <c r="C2">
        <f>BDH("VTSI US Equity","BS_TOT_LIAB2","1993-06-18","2026-05-02","Per=Y","Days=T","Dir=V")</f>
        <v>0</v>
      </c>
      <c r="E2">
        <f>BDH("VTSI US Equity","SHORT_AND_LONG_TERM_DEBT","1993-06-18","2026-05-02","Per=Y","Days=T","Dir=V")</f>
        <v>0</v>
      </c>
      <c r="G2">
        <f>BDH("VTSI US Equity","BS_ST_BORROW","1993-06-18","2026-05-02","Per=Y","Days=T","Dir=V")</f>
        <v>0</v>
      </c>
      <c r="I2">
        <f>BDH("VTSI US Equity","BS_LT_BORROW","1993-06-18","2026-05-02","Per=Y","Days=T","Dir=V")</f>
        <v>0</v>
      </c>
      <c r="K2">
        <f>BDH("VTSI US Equity","BS_CASH_NEAR_CASH_ITEM","1993-06-18","2026-05-02","Per=Y","Days=T","Dir=V")</f>
        <v>0</v>
      </c>
      <c r="M2">
        <f>BDH("VTSI US Equity","BS_CUR_ASSET_REPORT","1993-06-18","2026-05-02","Per=Y","Days=T","Dir=V")</f>
        <v>0</v>
      </c>
      <c r="O2">
        <f>BDH("VTSI US Equity","BS_CUR_LIAB","1993-06-18","2026-05-02","Per=Y","Days=T","Dir=V")</f>
        <v>0</v>
      </c>
      <c r="Q2">
        <f>BDH("VTSI US Equity","BS_SHAREHOLDER_EQY_ENDING_PERIOD","1993-06-18","2026-05-02","Per=Y","Days=T","Dir=V")</f>
        <v>0</v>
      </c>
      <c r="S2">
        <f>BDH("VTSI US Equity","BS_ACCT_NOTE_RCV","1993-06-18","2026-05-02","Per=Y","Days=T","Dir=V")</f>
        <v>0</v>
      </c>
      <c r="U2">
        <f>BDH("VTSI US Equity","BS_INVENTORIES","1993-06-18","2026-05-02","Per=Y","Days=T","Dir=V")</f>
        <v>0</v>
      </c>
      <c r="W2">
        <f>BDH("VTSI US Equity","WORKING_CAPITAL","1993-06-18","2026-05-02","Per=Y","Days=T","Dir=V")</f>
        <v>0</v>
      </c>
      <c r="Y2">
        <f>BDH("VTSI US Equity","SALES_REV_TURN","1993-06-18","2026-05-02","Per=Y","Days=T","Dir=V")</f>
        <v>0</v>
      </c>
      <c r="AA2">
        <f>BDH("VTSI US Equity","EBIT","1993-06-18","2026-05-02","Per=Y","Days=T","Dir=V")</f>
        <v>0</v>
      </c>
      <c r="AC2">
        <f>BDH("VTSI US Equity","EBITDA","1993-06-18","2026-05-02","Per=Y","Days=T","Dir=V")</f>
        <v>0</v>
      </c>
      <c r="AE2">
        <f>BDH("VTSI US Equity","NET_INCOME","1993-06-18","2026-05-02","Per=Y","Days=T","Dir=V")</f>
        <v>0</v>
      </c>
      <c r="AG2">
        <f>BDH("VTSI US Equity","IS_INT_EXPENSE","1993-06-18","2026-05-02","Per=Y","Days=T","Dir=V")</f>
        <v>0</v>
      </c>
      <c r="AI2">
        <f>BDH("VTSI US Equity","IS_DEPR_EXP","1993-06-18","2026-05-02","Per=Y","Days=T","Dir=V")</f>
        <v>0</v>
      </c>
      <c r="AK2">
        <f>BDH("VTSI US Equity","CF_CASH_FROM_OPER","1993-06-18","2026-05-02","Per=Y","Days=T","Dir=V")</f>
        <v>0</v>
      </c>
      <c r="AM2">
        <f>BDH("VTSI US Equity","CAPITAL_EXPEND","1993-06-18","2026-05-02","Per=Y","Days=T","Dir=V")</f>
        <v>0</v>
      </c>
      <c r="AO2">
        <f>BDH("VTSI US Equity","CF_FREE_CASH_FLOW","1993-06-18","2026-05-02","Per=Y","Days=T","Dir=V")</f>
        <v>0</v>
      </c>
      <c r="AQ2">
        <f>BDH("VTSI US Equity","PX_LAST","1993-06-18","2026-05-02","Per=M","Days=T","Dir=V")</f>
        <v>0</v>
      </c>
      <c r="AS2">
        <f>BDH("VTSI US Equity","CUR_MKT_CAP","1993-06-18","2026-05-02","Per=M","Days=T","Dir=V")</f>
        <v>0</v>
      </c>
      <c r="AU2">
        <f>BDH("VTSI US Equity","EQY_SH_OUT","1993-06-18","2026-05-02","Per=M","Days=T","Dir=V")</f>
        <v>0</v>
      </c>
      <c r="AW2">
        <f>BDH("VTSI US Equity","PX_VOLUME","1993-06-18","2026-05-02","Per=M","Days=T","Dir=V")</f>
        <v>0</v>
      </c>
      <c r="AY2">
        <f>BDH("VTSI US Equity","TURNOVER","1993-06-18","2026-05-02","Per=M","Days=T","Dir=V")</f>
        <v>0</v>
      </c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BDH("VTVT US Equity","BS_TOT_ASSET","1993-06-18","2026-05-02","Per=Y","Days=T","Dir=V")</f>
        <v>0</v>
      </c>
      <c r="C2">
        <f>BDH("VTVT US Equity","BS_TOT_LIAB2","1993-06-18","2026-05-02","Per=Y","Days=T","Dir=V")</f>
        <v>0</v>
      </c>
      <c r="E2">
        <f>BDH("VTVT US Equity","SHORT_AND_LONG_TERM_DEBT","1993-06-18","2026-05-02","Per=Y","Days=T","Dir=V")</f>
        <v>0</v>
      </c>
      <c r="G2">
        <f>BDH("VTVT US Equity","BS_ST_BORROW","1993-06-18","2026-05-02","Per=Y","Days=T","Dir=V")</f>
        <v>0</v>
      </c>
      <c r="I2">
        <f>BDH("VTVT US Equity","BS_LT_BORROW","1993-06-18","2026-05-02","Per=Y","Days=T","Dir=V")</f>
        <v>0</v>
      </c>
      <c r="K2">
        <f>BDH("VTVT US Equity","BS_CASH_NEAR_CASH_ITEM","1993-06-18","2026-05-02","Per=Y","Days=T","Dir=V")</f>
        <v>0</v>
      </c>
      <c r="M2">
        <f>BDH("VTVT US Equity","BS_CUR_ASSET_REPORT","1993-06-18","2026-05-02","Per=Y","Days=T","Dir=V")</f>
        <v>0</v>
      </c>
      <c r="O2">
        <f>BDH("VTVT US Equity","BS_CUR_LIAB","1993-06-18","2026-05-02","Per=Y","Days=T","Dir=V")</f>
        <v>0</v>
      </c>
      <c r="Q2">
        <f>BDH("VTVT US Equity","BS_SHAREHOLDER_EQY_ENDING_PERIOD","1993-06-18","2026-05-02","Per=Y","Days=T","Dir=V")</f>
        <v>0</v>
      </c>
      <c r="S2">
        <f>BDH("VTVT US Equity","BS_ACCT_NOTE_RCV","1993-06-18","2026-05-02","Per=Y","Days=T","Dir=V")</f>
        <v>0</v>
      </c>
      <c r="U2">
        <f>BDH("VTVT US Equity","BS_INVENTORIES","1993-06-18","2026-05-02","Per=Y","Days=T","Dir=V")</f>
        <v>0</v>
      </c>
      <c r="W2">
        <f>BDH("VTVT US Equity","WORKING_CAPITAL","1993-06-18","2026-05-02","Per=Y","Days=T","Dir=V")</f>
        <v>0</v>
      </c>
      <c r="Y2">
        <f>BDH("VTVT US Equity","SALES_REV_TURN","1993-06-18","2026-05-02","Per=Y","Days=T","Dir=V")</f>
        <v>0</v>
      </c>
      <c r="AA2">
        <f>BDH("VTVT US Equity","EBIT","1993-06-18","2026-05-02","Per=Y","Days=T","Dir=V")</f>
        <v>0</v>
      </c>
      <c r="AC2">
        <f>BDH("VTVT US Equity","EBITDA","1993-06-18","2026-05-02","Per=Y","Days=T","Dir=V")</f>
        <v>0</v>
      </c>
      <c r="AE2">
        <f>BDH("VTVT US Equity","NET_INCOME","1993-06-18","2026-05-02","Per=Y","Days=T","Dir=V")</f>
        <v>0</v>
      </c>
      <c r="AG2">
        <f>BDH("VTVT US Equity","IS_INT_EXPENSE","1993-06-18","2026-05-02","Per=Y","Days=T","Dir=V")</f>
        <v>0</v>
      </c>
      <c r="AI2">
        <f>BDH("VTVT US Equity","IS_DEPR_EXP","1993-06-18","2026-05-02","Per=Y","Days=T","Dir=V")</f>
        <v>0</v>
      </c>
      <c r="AK2">
        <f>BDH("VTVT US Equity","CF_CASH_FROM_OPER","1993-06-18","2026-05-02","Per=Y","Days=T","Dir=V")</f>
        <v>0</v>
      </c>
      <c r="AM2">
        <f>BDH("VTVT US Equity","CAPITAL_EXPEND","1993-06-18","2026-05-02","Per=Y","Days=T","Dir=V")</f>
        <v>0</v>
      </c>
      <c r="AO2">
        <f>BDH("VTVT US Equity","CF_FREE_CASH_FLOW","1993-06-18","2026-05-02","Per=Y","Days=T","Dir=V")</f>
        <v>0</v>
      </c>
      <c r="AQ2">
        <f>BDH("VTVT US Equity","PX_LAST","1993-06-18","2026-05-02","Per=M","Days=T","Dir=V")</f>
        <v>0</v>
      </c>
      <c r="AS2">
        <f>BDH("VTVT US Equity","CUR_MKT_CAP","1993-06-18","2026-05-02","Per=M","Days=T","Dir=V")</f>
        <v>0</v>
      </c>
      <c r="AU2">
        <f>BDH("VTVT US Equity","EQY_SH_OUT","1993-06-18","2026-05-02","Per=M","Days=T","Dir=V")</f>
        <v>0</v>
      </c>
      <c r="AW2">
        <f>BDH("VTVT US Equity","PX_VOLUME","1993-06-18","2026-05-02","Per=M","Days=T","Dir=V")</f>
        <v>0</v>
      </c>
      <c r="AY2">
        <f>BDH("VTVT US Equity","TURNOVER","1993-06-18","2026-05-02","Per=M","Days=T","Dir=V")</f>
        <v>0</v>
      </c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BDH("VUZI US Equity","BS_TOT_ASSET","1993-06-18","2026-05-02","Per=Y","Days=T","Dir=V")</f>
        <v>0</v>
      </c>
      <c r="C2">
        <f>BDH("VUZI US Equity","BS_TOT_LIAB2","1993-06-18","2026-05-02","Per=Y","Days=T","Dir=V")</f>
        <v>0</v>
      </c>
      <c r="E2">
        <f>BDH("VUZI US Equity","SHORT_AND_LONG_TERM_DEBT","1993-06-18","2026-05-02","Per=Y","Days=T","Dir=V")</f>
        <v>0</v>
      </c>
      <c r="G2">
        <f>BDH("VUZI US Equity","BS_ST_BORROW","1993-06-18","2026-05-02","Per=Y","Days=T","Dir=V")</f>
        <v>0</v>
      </c>
      <c r="I2">
        <f>BDH("VUZI US Equity","BS_LT_BORROW","1993-06-18","2026-05-02","Per=Y","Days=T","Dir=V")</f>
        <v>0</v>
      </c>
      <c r="K2">
        <f>BDH("VUZI US Equity","BS_CASH_NEAR_CASH_ITEM","1993-06-18","2026-05-02","Per=Y","Days=T","Dir=V")</f>
        <v>0</v>
      </c>
      <c r="M2">
        <f>BDH("VUZI US Equity","BS_CUR_ASSET_REPORT","1993-06-18","2026-05-02","Per=Y","Days=T","Dir=V")</f>
        <v>0</v>
      </c>
      <c r="O2">
        <f>BDH("VUZI US Equity","BS_CUR_LIAB","1993-06-18","2026-05-02","Per=Y","Days=T","Dir=V")</f>
        <v>0</v>
      </c>
      <c r="Q2">
        <f>BDH("VUZI US Equity","BS_SHAREHOLDER_EQY_ENDING_PERIOD","1993-06-18","2026-05-02","Per=Y","Days=T","Dir=V")</f>
        <v>0</v>
      </c>
      <c r="S2">
        <f>BDH("VUZI US Equity","BS_ACCT_NOTE_RCV","1993-06-18","2026-05-02","Per=Y","Days=T","Dir=V")</f>
        <v>0</v>
      </c>
      <c r="U2">
        <f>BDH("VUZI US Equity","BS_INVENTORIES","1993-06-18","2026-05-02","Per=Y","Days=T","Dir=V")</f>
        <v>0</v>
      </c>
      <c r="W2">
        <f>BDH("VUZI US Equity","WORKING_CAPITAL","1993-06-18","2026-05-02","Per=Y","Days=T","Dir=V")</f>
        <v>0</v>
      </c>
      <c r="Y2">
        <f>BDH("VUZI US Equity","SALES_REV_TURN","1993-06-18","2026-05-02","Per=Y","Days=T","Dir=V")</f>
        <v>0</v>
      </c>
      <c r="AA2">
        <f>BDH("VUZI US Equity","EBIT","1993-06-18","2026-05-02","Per=Y","Days=T","Dir=V")</f>
        <v>0</v>
      </c>
      <c r="AC2">
        <f>BDH("VUZI US Equity","EBITDA","1993-06-18","2026-05-02","Per=Y","Days=T","Dir=V")</f>
        <v>0</v>
      </c>
      <c r="AE2">
        <f>BDH("VUZI US Equity","NET_INCOME","1993-06-18","2026-05-02","Per=Y","Days=T","Dir=V")</f>
        <v>0</v>
      </c>
      <c r="AG2">
        <f>BDH("VUZI US Equity","IS_INT_EXPENSE","1993-06-18","2026-05-02","Per=Y","Days=T","Dir=V")</f>
        <v>0</v>
      </c>
      <c r="AI2">
        <f>BDH("VUZI US Equity","IS_DEPR_EXP","1993-06-18","2026-05-02","Per=Y","Days=T","Dir=V")</f>
        <v>0</v>
      </c>
      <c r="AK2">
        <f>BDH("VUZI US Equity","CF_CASH_FROM_OPER","1993-06-18","2026-05-02","Per=Y","Days=T","Dir=V")</f>
        <v>0</v>
      </c>
      <c r="AM2">
        <f>BDH("VUZI US Equity","CAPITAL_EXPEND","1993-06-18","2026-05-02","Per=Y","Days=T","Dir=V")</f>
        <v>0</v>
      </c>
      <c r="AO2">
        <f>BDH("VUZI US Equity","CF_FREE_CASH_FLOW","1993-06-18","2026-05-02","Per=Y","Days=T","Dir=V")</f>
        <v>0</v>
      </c>
      <c r="AQ2">
        <f>BDH("VUZI US Equity","PX_LAST","1993-06-18","2026-05-02","Per=M","Days=T","Dir=V")</f>
        <v>0</v>
      </c>
      <c r="AS2">
        <f>BDH("VUZI US Equity","CUR_MKT_CAP","1993-06-18","2026-05-02","Per=M","Days=T","Dir=V")</f>
        <v>0</v>
      </c>
      <c r="AU2">
        <f>BDH("VUZI US Equity","EQY_SH_OUT","1993-06-18","2026-05-02","Per=M","Days=T","Dir=V")</f>
        <v>0</v>
      </c>
      <c r="AW2">
        <f>BDH("VUZI US Equity","PX_VOLUME","1993-06-18","2026-05-02","Per=M","Days=T","Dir=V")</f>
        <v>0</v>
      </c>
      <c r="AY2">
        <f>BDH("VUZI US Equity","TURNOVER","1993-06-18","2026-05-02","Per=M","Days=T","Dir=V")</f>
        <v>0</v>
      </c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BDH("VVOS US Equity","BS_TOT_ASSET","1993-06-18","2026-05-02","Per=Y","Days=T","Dir=V")</f>
        <v>0</v>
      </c>
      <c r="C2">
        <f>BDH("VVOS US Equity","BS_TOT_LIAB2","1993-06-18","2026-05-02","Per=Y","Days=T","Dir=V")</f>
        <v>0</v>
      </c>
      <c r="E2">
        <f>BDH("VVOS US Equity","SHORT_AND_LONG_TERM_DEBT","1993-06-18","2026-05-02","Per=Y","Days=T","Dir=V")</f>
        <v>0</v>
      </c>
      <c r="G2">
        <f>BDH("VVOS US Equity","BS_ST_BORROW","1993-06-18","2026-05-02","Per=Y","Days=T","Dir=V")</f>
        <v>0</v>
      </c>
      <c r="I2">
        <f>BDH("VVOS US Equity","BS_LT_BORROW","1993-06-18","2026-05-02","Per=Y","Days=T","Dir=V")</f>
        <v>0</v>
      </c>
      <c r="K2">
        <f>BDH("VVOS US Equity","BS_CASH_NEAR_CASH_ITEM","1993-06-18","2026-05-02","Per=Y","Days=T","Dir=V")</f>
        <v>0</v>
      </c>
      <c r="M2">
        <f>BDH("VVOS US Equity","BS_CUR_ASSET_REPORT","1993-06-18","2026-05-02","Per=Y","Days=T","Dir=V")</f>
        <v>0</v>
      </c>
      <c r="O2">
        <f>BDH("VVOS US Equity","BS_CUR_LIAB","1993-06-18","2026-05-02","Per=Y","Days=T","Dir=V")</f>
        <v>0</v>
      </c>
      <c r="Q2">
        <f>BDH("VVOS US Equity","BS_SHAREHOLDER_EQY_ENDING_PERIOD","1993-06-18","2026-05-02","Per=Y","Days=T","Dir=V")</f>
        <v>0</v>
      </c>
      <c r="S2">
        <f>BDH("VVOS US Equity","BS_ACCT_NOTE_RCV","1993-06-18","2026-05-02","Per=Y","Days=T","Dir=V")</f>
        <v>0</v>
      </c>
      <c r="U2">
        <f>BDH("VVOS US Equity","BS_INVENTORIES","1993-06-18","2026-05-02","Per=Y","Days=T","Dir=V")</f>
        <v>0</v>
      </c>
      <c r="W2">
        <f>BDH("VVOS US Equity","WORKING_CAPITAL","1993-06-18","2026-05-02","Per=Y","Days=T","Dir=V")</f>
        <v>0</v>
      </c>
      <c r="Y2">
        <f>BDH("VVOS US Equity","SALES_REV_TURN","1993-06-18","2026-05-02","Per=Y","Days=T","Dir=V")</f>
        <v>0</v>
      </c>
      <c r="AA2">
        <f>BDH("VVOS US Equity","EBIT","1993-06-18","2026-05-02","Per=Y","Days=T","Dir=V")</f>
        <v>0</v>
      </c>
      <c r="AC2">
        <f>BDH("VVOS US Equity","EBITDA","1993-06-18","2026-05-02","Per=Y","Days=T","Dir=V")</f>
        <v>0</v>
      </c>
      <c r="AE2">
        <f>BDH("VVOS US Equity","NET_INCOME","1993-06-18","2026-05-02","Per=Y","Days=T","Dir=V")</f>
        <v>0</v>
      </c>
      <c r="AG2">
        <f>BDH("VVOS US Equity","IS_INT_EXPENSE","1993-06-18","2026-05-02","Per=Y","Days=T","Dir=V")</f>
        <v>0</v>
      </c>
      <c r="AI2">
        <f>BDH("VVOS US Equity","IS_DEPR_EXP","1993-06-18","2026-05-02","Per=Y","Days=T","Dir=V")</f>
        <v>0</v>
      </c>
      <c r="AK2">
        <f>BDH("VVOS US Equity","CF_CASH_FROM_OPER","1993-06-18","2026-05-02","Per=Y","Days=T","Dir=V")</f>
        <v>0</v>
      </c>
      <c r="AM2">
        <f>BDH("VVOS US Equity","CAPITAL_EXPEND","1993-06-18","2026-05-02","Per=Y","Days=T","Dir=V")</f>
        <v>0</v>
      </c>
      <c r="AO2">
        <f>BDH("VVOS US Equity","CF_FREE_CASH_FLOW","1993-06-18","2026-05-02","Per=Y","Days=T","Dir=V")</f>
        <v>0</v>
      </c>
      <c r="AQ2">
        <f>BDH("VVOS US Equity","PX_LAST","1993-06-18","2026-05-02","Per=M","Days=T","Dir=V")</f>
        <v>0</v>
      </c>
      <c r="AS2">
        <f>BDH("VVOS US Equity","CUR_MKT_CAP","1993-06-18","2026-05-02","Per=M","Days=T","Dir=V")</f>
        <v>0</v>
      </c>
      <c r="AU2">
        <f>BDH("VVOS US Equity","EQY_SH_OUT","1993-06-18","2026-05-02","Per=M","Days=T","Dir=V")</f>
        <v>0</v>
      </c>
      <c r="AW2">
        <f>BDH("VVOS US Equity","PX_VOLUME","1993-06-18","2026-05-02","Per=M","Days=T","Dir=V")</f>
        <v>0</v>
      </c>
      <c r="AY2">
        <f>BDH("VVOS US Equity","TURNOVER","1993-06-18","2026-05-02","Per=M","Days=T","Dir=V")</f>
        <v>0</v>
      </c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BDH("VVV US Equity","BS_TOT_ASSET","1993-06-18","2026-05-02","Per=Y","Days=T","Dir=V")</f>
        <v>0</v>
      </c>
      <c r="C2">
        <f>BDH("VVV US Equity","BS_TOT_LIAB2","1993-06-18","2026-05-02","Per=Y","Days=T","Dir=V")</f>
        <v>0</v>
      </c>
      <c r="E2">
        <f>BDH("VVV US Equity","SHORT_AND_LONG_TERM_DEBT","1993-06-18","2026-05-02","Per=Y","Days=T","Dir=V")</f>
        <v>0</v>
      </c>
      <c r="G2">
        <f>BDH("VVV US Equity","BS_ST_BORROW","1993-06-18","2026-05-02","Per=Y","Days=T","Dir=V")</f>
        <v>0</v>
      </c>
      <c r="I2">
        <f>BDH("VVV US Equity","BS_LT_BORROW","1993-06-18","2026-05-02","Per=Y","Days=T","Dir=V")</f>
        <v>0</v>
      </c>
      <c r="K2">
        <f>BDH("VVV US Equity","BS_CASH_NEAR_CASH_ITEM","1993-06-18","2026-05-02","Per=Y","Days=T","Dir=V")</f>
        <v>0</v>
      </c>
      <c r="M2">
        <f>BDH("VVV US Equity","BS_CUR_ASSET_REPORT","1993-06-18","2026-05-02","Per=Y","Days=T","Dir=V")</f>
        <v>0</v>
      </c>
      <c r="O2">
        <f>BDH("VVV US Equity","BS_CUR_LIAB","1993-06-18","2026-05-02","Per=Y","Days=T","Dir=V")</f>
        <v>0</v>
      </c>
      <c r="Q2">
        <f>BDH("VVV US Equity","BS_SHAREHOLDER_EQY_ENDING_PERIOD","1993-06-18","2026-05-02","Per=Y","Days=T","Dir=V")</f>
        <v>0</v>
      </c>
      <c r="S2">
        <f>BDH("VVV US Equity","BS_ACCT_NOTE_RCV","1993-06-18","2026-05-02","Per=Y","Days=T","Dir=V")</f>
        <v>0</v>
      </c>
      <c r="U2">
        <f>BDH("VVV US Equity","BS_INVENTORIES","1993-06-18","2026-05-02","Per=Y","Days=T","Dir=V")</f>
        <v>0</v>
      </c>
      <c r="W2">
        <f>BDH("VVV US Equity","WORKING_CAPITAL","1993-06-18","2026-05-02","Per=Y","Days=T","Dir=V")</f>
        <v>0</v>
      </c>
      <c r="Y2">
        <f>BDH("VVV US Equity","SALES_REV_TURN","1993-06-18","2026-05-02","Per=Y","Days=T","Dir=V")</f>
        <v>0</v>
      </c>
      <c r="AA2">
        <f>BDH("VVV US Equity","EBIT","1993-06-18","2026-05-02","Per=Y","Days=T","Dir=V")</f>
        <v>0</v>
      </c>
      <c r="AC2">
        <f>BDH("VVV US Equity","EBITDA","1993-06-18","2026-05-02","Per=Y","Days=T","Dir=V")</f>
        <v>0</v>
      </c>
      <c r="AE2">
        <f>BDH("VVV US Equity","NET_INCOME","1993-06-18","2026-05-02","Per=Y","Days=T","Dir=V")</f>
        <v>0</v>
      </c>
      <c r="AG2">
        <f>BDH("VVV US Equity","IS_INT_EXPENSE","1993-06-18","2026-05-02","Per=Y","Days=T","Dir=V")</f>
        <v>0</v>
      </c>
      <c r="AI2">
        <f>BDH("VVV US Equity","IS_DEPR_EXP","1993-06-18","2026-05-02","Per=Y","Days=T","Dir=V")</f>
        <v>0</v>
      </c>
      <c r="AK2">
        <f>BDH("VVV US Equity","CF_CASH_FROM_OPER","1993-06-18","2026-05-02","Per=Y","Days=T","Dir=V")</f>
        <v>0</v>
      </c>
      <c r="AM2">
        <f>BDH("VVV US Equity","CAPITAL_EXPEND","1993-06-18","2026-05-02","Per=Y","Days=T","Dir=V")</f>
        <v>0</v>
      </c>
      <c r="AO2">
        <f>BDH("VVV US Equity","CF_FREE_CASH_FLOW","1993-06-18","2026-05-02","Per=Y","Days=T","Dir=V")</f>
        <v>0</v>
      </c>
      <c r="AQ2">
        <f>BDH("VVV US Equity","PX_LAST","1993-06-18","2026-05-02","Per=M","Days=T","Dir=V")</f>
        <v>0</v>
      </c>
      <c r="AS2">
        <f>BDH("VVV US Equity","CUR_MKT_CAP","1993-06-18","2026-05-02","Per=M","Days=T","Dir=V")</f>
        <v>0</v>
      </c>
      <c r="AU2">
        <f>BDH("VVV US Equity","EQY_SH_OUT","1993-06-18","2026-05-02","Per=M","Days=T","Dir=V")</f>
        <v>0</v>
      </c>
      <c r="AW2">
        <f>BDH("VVV US Equity","PX_VOLUME","1993-06-18","2026-05-02","Per=M","Days=T","Dir=V")</f>
        <v>0</v>
      </c>
      <c r="AY2">
        <f>BDH("VVV US Equity","TURNOVER","1993-06-18","2026-05-02","Per=M","Days=T","Dir=V")</f>
        <v>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BDH("VVX US Equity","BS_TOT_ASSET","1993-06-18","2026-05-02","Per=Y","Days=T","Dir=V")</f>
        <v>0</v>
      </c>
      <c r="C2">
        <f>BDH("VVX US Equity","BS_TOT_LIAB2","1993-06-18","2026-05-02","Per=Y","Days=T","Dir=V")</f>
        <v>0</v>
      </c>
      <c r="E2">
        <f>BDH("VVX US Equity","SHORT_AND_LONG_TERM_DEBT","1993-06-18","2026-05-02","Per=Y","Days=T","Dir=V")</f>
        <v>0</v>
      </c>
      <c r="G2">
        <f>BDH("VVX US Equity","BS_ST_BORROW","1993-06-18","2026-05-02","Per=Y","Days=T","Dir=V")</f>
        <v>0</v>
      </c>
      <c r="I2">
        <f>BDH("VVX US Equity","BS_LT_BORROW","1993-06-18","2026-05-02","Per=Y","Days=T","Dir=V")</f>
        <v>0</v>
      </c>
      <c r="K2">
        <f>BDH("VVX US Equity","BS_CASH_NEAR_CASH_ITEM","1993-06-18","2026-05-02","Per=Y","Days=T","Dir=V")</f>
        <v>0</v>
      </c>
      <c r="M2">
        <f>BDH("VVX US Equity","BS_CUR_ASSET_REPORT","1993-06-18","2026-05-02","Per=Y","Days=T","Dir=V")</f>
        <v>0</v>
      </c>
      <c r="O2">
        <f>BDH("VVX US Equity","BS_CUR_LIAB","1993-06-18","2026-05-02","Per=Y","Days=T","Dir=V")</f>
        <v>0</v>
      </c>
      <c r="Q2">
        <f>BDH("VVX US Equity","BS_SHAREHOLDER_EQY_ENDING_PERIOD","1993-06-18","2026-05-02","Per=Y","Days=T","Dir=V")</f>
        <v>0</v>
      </c>
      <c r="S2">
        <f>BDH("VVX US Equity","BS_ACCT_NOTE_RCV","1993-06-18","2026-05-02","Per=Y","Days=T","Dir=V")</f>
        <v>0</v>
      </c>
      <c r="U2">
        <f>BDH("VVX US Equity","BS_INVENTORIES","1993-06-18","2026-05-02","Per=Y","Days=T","Dir=V")</f>
        <v>0</v>
      </c>
      <c r="W2">
        <f>BDH("VVX US Equity","WORKING_CAPITAL","1993-06-18","2026-05-02","Per=Y","Days=T","Dir=V")</f>
        <v>0</v>
      </c>
      <c r="Y2">
        <f>BDH("VVX US Equity","SALES_REV_TURN","1993-06-18","2026-05-02","Per=Y","Days=T","Dir=V")</f>
        <v>0</v>
      </c>
      <c r="AA2">
        <f>BDH("VVX US Equity","EBIT","1993-06-18","2026-05-02","Per=Y","Days=T","Dir=V")</f>
        <v>0</v>
      </c>
      <c r="AC2">
        <f>BDH("VVX US Equity","EBITDA","1993-06-18","2026-05-02","Per=Y","Days=T","Dir=V")</f>
        <v>0</v>
      </c>
      <c r="AE2">
        <f>BDH("VVX US Equity","NET_INCOME","1993-06-18","2026-05-02","Per=Y","Days=T","Dir=V")</f>
        <v>0</v>
      </c>
      <c r="AG2">
        <f>BDH("VVX US Equity","IS_INT_EXPENSE","1993-06-18","2026-05-02","Per=Y","Days=T","Dir=V")</f>
        <v>0</v>
      </c>
      <c r="AI2">
        <f>BDH("VVX US Equity","IS_DEPR_EXP","1993-06-18","2026-05-02","Per=Y","Days=T","Dir=V")</f>
        <v>0</v>
      </c>
      <c r="AK2">
        <f>BDH("VVX US Equity","CF_CASH_FROM_OPER","1993-06-18","2026-05-02","Per=Y","Days=T","Dir=V")</f>
        <v>0</v>
      </c>
      <c r="AM2">
        <f>BDH("VVX US Equity","CAPITAL_EXPEND","1993-06-18","2026-05-02","Per=Y","Days=T","Dir=V")</f>
        <v>0</v>
      </c>
      <c r="AO2">
        <f>BDH("VVX US Equity","CF_FREE_CASH_FLOW","1993-06-18","2026-05-02","Per=Y","Days=T","Dir=V")</f>
        <v>0</v>
      </c>
      <c r="AQ2">
        <f>BDH("VVX US Equity","PX_LAST","1993-06-18","2026-05-02","Per=M","Days=T","Dir=V")</f>
        <v>0</v>
      </c>
      <c r="AS2">
        <f>BDH("VVX US Equity","CUR_MKT_CAP","1993-06-18","2026-05-02","Per=M","Days=T","Dir=V")</f>
        <v>0</v>
      </c>
      <c r="AU2">
        <f>BDH("VVX US Equity","EQY_SH_OUT","1993-06-18","2026-05-02","Per=M","Days=T","Dir=V")</f>
        <v>0</v>
      </c>
      <c r="AW2">
        <f>BDH("VVX US Equity","PX_VOLUME","1993-06-18","2026-05-02","Per=M","Days=T","Dir=V")</f>
        <v>0</v>
      </c>
      <c r="AY2">
        <f>BDH("VVX US Equity","TURNOVER","1993-06-18","2026-05-02","Per=M","Days=T","Dir=V")</f>
        <v>0</v>
      </c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BDH("VWAV US Equity","BS_TOT_ASSET","1993-06-18","2026-05-02","Per=Y","Days=T","Dir=V")</f>
        <v>0</v>
      </c>
      <c r="C2">
        <f>BDH("VWAV US Equity","BS_TOT_LIAB2","1993-06-18","2026-05-02","Per=Y","Days=T","Dir=V")</f>
        <v>0</v>
      </c>
      <c r="E2">
        <f>BDH("VWAV US Equity","SHORT_AND_LONG_TERM_DEBT","1993-06-18","2026-05-02","Per=Y","Days=T","Dir=V")</f>
        <v>0</v>
      </c>
      <c r="G2">
        <f>BDH("VWAV US Equity","BS_ST_BORROW","1993-06-18","2026-05-02","Per=Y","Days=T","Dir=V")</f>
        <v>0</v>
      </c>
      <c r="I2">
        <f>BDH("VWAV US Equity","BS_LT_BORROW","1993-06-18","2026-05-02","Per=Y","Days=T","Dir=V")</f>
        <v>0</v>
      </c>
      <c r="K2">
        <f>BDH("VWAV US Equity","BS_CASH_NEAR_CASH_ITEM","1993-06-18","2026-05-02","Per=Y","Days=T","Dir=V")</f>
        <v>0</v>
      </c>
      <c r="M2">
        <f>BDH("VWAV US Equity","BS_CUR_ASSET_REPORT","1993-06-18","2026-05-02","Per=Y","Days=T","Dir=V")</f>
        <v>0</v>
      </c>
      <c r="O2">
        <f>BDH("VWAV US Equity","BS_CUR_LIAB","1993-06-18","2026-05-02","Per=Y","Days=T","Dir=V")</f>
        <v>0</v>
      </c>
      <c r="Q2">
        <f>BDH("VWAV US Equity","BS_SHAREHOLDER_EQY_ENDING_PERIOD","1993-06-18","2026-05-02","Per=Y","Days=T","Dir=V")</f>
        <v>0</v>
      </c>
      <c r="S2">
        <f>BDH("VWAV US Equity","BS_ACCT_NOTE_RCV","1993-06-18","2026-05-02","Per=Y","Days=T","Dir=V")</f>
        <v>0</v>
      </c>
      <c r="U2">
        <f>BDH("VWAV US Equity","BS_INVENTORIES","1993-06-18","2026-05-02","Per=Y","Days=T","Dir=V")</f>
        <v>0</v>
      </c>
      <c r="W2">
        <f>BDH("VWAV US Equity","WORKING_CAPITAL","1993-06-18","2026-05-02","Per=Y","Days=T","Dir=V")</f>
        <v>0</v>
      </c>
      <c r="Y2">
        <f>BDH("VWAV US Equity","SALES_REV_TURN","1993-06-18","2026-05-02","Per=Y","Days=T","Dir=V")</f>
        <v>0</v>
      </c>
      <c r="AA2">
        <f>BDH("VWAV US Equity","EBIT","1993-06-18","2026-05-02","Per=Y","Days=T","Dir=V")</f>
        <v>0</v>
      </c>
      <c r="AC2">
        <f>BDH("VWAV US Equity","EBITDA","1993-06-18","2026-05-02","Per=Y","Days=T","Dir=V")</f>
        <v>0</v>
      </c>
      <c r="AE2">
        <f>BDH("VWAV US Equity","NET_INCOME","1993-06-18","2026-05-02","Per=Y","Days=T","Dir=V")</f>
        <v>0</v>
      </c>
      <c r="AG2">
        <f>BDH("VWAV US Equity","IS_INT_EXPENSE","1993-06-18","2026-05-02","Per=Y","Days=T","Dir=V")</f>
        <v>0</v>
      </c>
      <c r="AI2">
        <f>BDH("VWAV US Equity","IS_DEPR_EXP","1993-06-18","2026-05-02","Per=Y","Days=T","Dir=V")</f>
        <v>0</v>
      </c>
      <c r="AK2">
        <f>BDH("VWAV US Equity","CF_CASH_FROM_OPER","1993-06-18","2026-05-02","Per=Y","Days=T","Dir=V")</f>
        <v>0</v>
      </c>
      <c r="AM2">
        <f>BDH("VWAV US Equity","CAPITAL_EXPEND","1993-06-18","2026-05-02","Per=Y","Days=T","Dir=V")</f>
        <v>0</v>
      </c>
      <c r="AO2">
        <f>BDH("VWAV US Equity","CF_FREE_CASH_FLOW","1993-06-18","2026-05-02","Per=Y","Days=T","Dir=V")</f>
        <v>0</v>
      </c>
      <c r="AQ2">
        <f>BDH("VWAV US Equity","PX_LAST","1993-06-18","2026-05-02","Per=M","Days=T","Dir=V")</f>
        <v>0</v>
      </c>
      <c r="AS2">
        <f>BDH("VWAV US Equity","CUR_MKT_CAP","1993-06-18","2026-05-02","Per=M","Days=T","Dir=V")</f>
        <v>0</v>
      </c>
      <c r="AU2">
        <f>BDH("VWAV US Equity","EQY_SH_OUT","1993-06-18","2026-05-02","Per=M","Days=T","Dir=V")</f>
        <v>0</v>
      </c>
      <c r="AW2">
        <f>BDH("VWAV US Equity","PX_VOLUME","1993-06-18","2026-05-02","Per=M","Days=T","Dir=V")</f>
        <v>0</v>
      </c>
      <c r="AY2">
        <f>BDH("VWAV US Equity","TURNOVER","1993-06-18","2026-05-02","Per=M","Days=T","Dir=V")</f>
        <v>0</v>
      </c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BDH("VWAVW US Equity","BS_TOT_ASSET","1993-06-18","2026-05-02","Per=Y","Days=T","Dir=V")</f>
        <v>0</v>
      </c>
      <c r="C2">
        <f>BDH("VWAVW US Equity","BS_TOT_LIAB2","1993-06-18","2026-05-02","Per=Y","Days=T","Dir=V")</f>
        <v>0</v>
      </c>
      <c r="E2">
        <f>BDH("VWAVW US Equity","SHORT_AND_LONG_TERM_DEBT","1993-06-18","2026-05-02","Per=Y","Days=T","Dir=V")</f>
        <v>0</v>
      </c>
      <c r="G2">
        <f>BDH("VWAVW US Equity","BS_ST_BORROW","1993-06-18","2026-05-02","Per=Y","Days=T","Dir=V")</f>
        <v>0</v>
      </c>
      <c r="I2">
        <f>BDH("VWAVW US Equity","BS_LT_BORROW","1993-06-18","2026-05-02","Per=Y","Days=T","Dir=V")</f>
        <v>0</v>
      </c>
      <c r="K2">
        <f>BDH("VWAVW US Equity","BS_CASH_NEAR_CASH_ITEM","1993-06-18","2026-05-02","Per=Y","Days=T","Dir=V")</f>
        <v>0</v>
      </c>
      <c r="M2">
        <f>BDH("VWAVW US Equity","BS_CUR_ASSET_REPORT","1993-06-18","2026-05-02","Per=Y","Days=T","Dir=V")</f>
        <v>0</v>
      </c>
      <c r="O2">
        <f>BDH("VWAVW US Equity","BS_CUR_LIAB","1993-06-18","2026-05-02","Per=Y","Days=T","Dir=V")</f>
        <v>0</v>
      </c>
      <c r="Q2">
        <f>BDH("VWAVW US Equity","BS_SHAREHOLDER_EQY_ENDING_PERIOD","1993-06-18","2026-05-02","Per=Y","Days=T","Dir=V")</f>
        <v>0</v>
      </c>
      <c r="S2">
        <f>BDH("VWAVW US Equity","BS_ACCT_NOTE_RCV","1993-06-18","2026-05-02","Per=Y","Days=T","Dir=V")</f>
        <v>0</v>
      </c>
      <c r="U2">
        <f>BDH("VWAVW US Equity","BS_INVENTORIES","1993-06-18","2026-05-02","Per=Y","Days=T","Dir=V")</f>
        <v>0</v>
      </c>
      <c r="W2">
        <f>BDH("VWAVW US Equity","WORKING_CAPITAL","1993-06-18","2026-05-02","Per=Y","Days=T","Dir=V")</f>
        <v>0</v>
      </c>
      <c r="Y2">
        <f>BDH("VWAVW US Equity","SALES_REV_TURN","1993-06-18","2026-05-02","Per=Y","Days=T","Dir=V")</f>
        <v>0</v>
      </c>
      <c r="AA2">
        <f>BDH("VWAVW US Equity","EBIT","1993-06-18","2026-05-02","Per=Y","Days=T","Dir=V")</f>
        <v>0</v>
      </c>
      <c r="AC2">
        <f>BDH("VWAVW US Equity","EBITDA","1993-06-18","2026-05-02","Per=Y","Days=T","Dir=V")</f>
        <v>0</v>
      </c>
      <c r="AE2">
        <f>BDH("VWAVW US Equity","NET_INCOME","1993-06-18","2026-05-02","Per=Y","Days=T","Dir=V")</f>
        <v>0</v>
      </c>
      <c r="AG2">
        <f>BDH("VWAVW US Equity","IS_INT_EXPENSE","1993-06-18","2026-05-02","Per=Y","Days=T","Dir=V")</f>
        <v>0</v>
      </c>
      <c r="AI2">
        <f>BDH("VWAVW US Equity","IS_DEPR_EXP","1993-06-18","2026-05-02","Per=Y","Days=T","Dir=V")</f>
        <v>0</v>
      </c>
      <c r="AK2">
        <f>BDH("VWAVW US Equity","CF_CASH_FROM_OPER","1993-06-18","2026-05-02","Per=Y","Days=T","Dir=V")</f>
        <v>0</v>
      </c>
      <c r="AM2">
        <f>BDH("VWAVW US Equity","CAPITAL_EXPEND","1993-06-18","2026-05-02","Per=Y","Days=T","Dir=V")</f>
        <v>0</v>
      </c>
      <c r="AO2">
        <f>BDH("VWAVW US Equity","CF_FREE_CASH_FLOW","1993-06-18","2026-05-02","Per=Y","Days=T","Dir=V")</f>
        <v>0</v>
      </c>
      <c r="AQ2">
        <f>BDH("VWAVW US Equity","PX_LAST","1993-06-18","2026-05-02","Per=M","Days=T","Dir=V")</f>
        <v>0</v>
      </c>
      <c r="AS2">
        <f>BDH("VWAVW US Equity","CUR_MKT_CAP","1993-06-18","2026-05-02","Per=M","Days=T","Dir=V")</f>
        <v>0</v>
      </c>
      <c r="AU2">
        <f>BDH("VWAVW US Equity","EQY_SH_OUT","1993-06-18","2026-05-02","Per=M","Days=T","Dir=V")</f>
        <v>0</v>
      </c>
      <c r="AW2">
        <f>BDH("VWAVW US Equity","PX_VOLUME","1993-06-18","2026-05-02","Per=M","Days=T","Dir=V")</f>
        <v>0</v>
      </c>
      <c r="AY2">
        <f>BDH("VWAVW US Equity","TURNOVER","1993-06-18","2026-05-02","Per=M","Days=T","Dir=V")</f>
        <v>0</v>
      </c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BDH("VYGR US Equity","BS_TOT_ASSET","1993-06-18","2026-05-02","Per=Y","Days=T","Dir=V")</f>
        <v>0</v>
      </c>
      <c r="C2">
        <f>BDH("VYGR US Equity","BS_TOT_LIAB2","1993-06-18","2026-05-02","Per=Y","Days=T","Dir=V")</f>
        <v>0</v>
      </c>
      <c r="E2">
        <f>BDH("VYGR US Equity","SHORT_AND_LONG_TERM_DEBT","1993-06-18","2026-05-02","Per=Y","Days=T","Dir=V")</f>
        <v>0</v>
      </c>
      <c r="G2">
        <f>BDH("VYGR US Equity","BS_ST_BORROW","1993-06-18","2026-05-02","Per=Y","Days=T","Dir=V")</f>
        <v>0</v>
      </c>
      <c r="I2">
        <f>BDH("VYGR US Equity","BS_LT_BORROW","1993-06-18","2026-05-02","Per=Y","Days=T","Dir=V")</f>
        <v>0</v>
      </c>
      <c r="K2">
        <f>BDH("VYGR US Equity","BS_CASH_NEAR_CASH_ITEM","1993-06-18","2026-05-02","Per=Y","Days=T","Dir=V")</f>
        <v>0</v>
      </c>
      <c r="M2">
        <f>BDH("VYGR US Equity","BS_CUR_ASSET_REPORT","1993-06-18","2026-05-02","Per=Y","Days=T","Dir=V")</f>
        <v>0</v>
      </c>
      <c r="O2">
        <f>BDH("VYGR US Equity","BS_CUR_LIAB","1993-06-18","2026-05-02","Per=Y","Days=T","Dir=V")</f>
        <v>0</v>
      </c>
      <c r="Q2">
        <f>BDH("VYGR US Equity","BS_SHAREHOLDER_EQY_ENDING_PERIOD","1993-06-18","2026-05-02","Per=Y","Days=T","Dir=V")</f>
        <v>0</v>
      </c>
      <c r="S2">
        <f>BDH("VYGR US Equity","BS_ACCT_NOTE_RCV","1993-06-18","2026-05-02","Per=Y","Days=T","Dir=V")</f>
        <v>0</v>
      </c>
      <c r="U2">
        <f>BDH("VYGR US Equity","BS_INVENTORIES","1993-06-18","2026-05-02","Per=Y","Days=T","Dir=V")</f>
        <v>0</v>
      </c>
      <c r="W2">
        <f>BDH("VYGR US Equity","WORKING_CAPITAL","1993-06-18","2026-05-02","Per=Y","Days=T","Dir=V")</f>
        <v>0</v>
      </c>
      <c r="Y2">
        <f>BDH("VYGR US Equity","SALES_REV_TURN","1993-06-18","2026-05-02","Per=Y","Days=T","Dir=V")</f>
        <v>0</v>
      </c>
      <c r="AA2">
        <f>BDH("VYGR US Equity","EBIT","1993-06-18","2026-05-02","Per=Y","Days=T","Dir=V")</f>
        <v>0</v>
      </c>
      <c r="AC2">
        <f>BDH("VYGR US Equity","EBITDA","1993-06-18","2026-05-02","Per=Y","Days=T","Dir=V")</f>
        <v>0</v>
      </c>
      <c r="AE2">
        <f>BDH("VYGR US Equity","NET_INCOME","1993-06-18","2026-05-02","Per=Y","Days=T","Dir=V")</f>
        <v>0</v>
      </c>
      <c r="AG2">
        <f>BDH("VYGR US Equity","IS_INT_EXPENSE","1993-06-18","2026-05-02","Per=Y","Days=T","Dir=V")</f>
        <v>0</v>
      </c>
      <c r="AI2">
        <f>BDH("VYGR US Equity","IS_DEPR_EXP","1993-06-18","2026-05-02","Per=Y","Days=T","Dir=V")</f>
        <v>0</v>
      </c>
      <c r="AK2">
        <f>BDH("VYGR US Equity","CF_CASH_FROM_OPER","1993-06-18","2026-05-02","Per=Y","Days=T","Dir=V")</f>
        <v>0</v>
      </c>
      <c r="AM2">
        <f>BDH("VYGR US Equity","CAPITAL_EXPEND","1993-06-18","2026-05-02","Per=Y","Days=T","Dir=V")</f>
        <v>0</v>
      </c>
      <c r="AO2">
        <f>BDH("VYGR US Equity","CF_FREE_CASH_FLOW","1993-06-18","2026-05-02","Per=Y","Days=T","Dir=V")</f>
        <v>0</v>
      </c>
      <c r="AQ2">
        <f>BDH("VYGR US Equity","PX_LAST","1993-06-18","2026-05-02","Per=M","Days=T","Dir=V")</f>
        <v>0</v>
      </c>
      <c r="AS2">
        <f>BDH("VYGR US Equity","CUR_MKT_CAP","1993-06-18","2026-05-02","Per=M","Days=T","Dir=V")</f>
        <v>0</v>
      </c>
      <c r="AU2">
        <f>BDH("VYGR US Equity","EQY_SH_OUT","1993-06-18","2026-05-02","Per=M","Days=T","Dir=V")</f>
        <v>0</v>
      </c>
      <c r="AW2">
        <f>BDH("VYGR US Equity","PX_VOLUME","1993-06-18","2026-05-02","Per=M","Days=T","Dir=V")</f>
        <v>0</v>
      </c>
      <c r="AY2">
        <f>BDH("VYGR US Equity","TURNOVER","1993-06-18","2026-05-02","Per=M","Days=T","Dir=V")</f>
        <v>0</v>
      </c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BDH("VZ US Equity","BS_TOT_ASSET","1993-06-18","2026-05-02","Per=Y","Days=T","Dir=V")</f>
        <v>0</v>
      </c>
      <c r="C2">
        <f>BDH("VZ US Equity","BS_TOT_LIAB2","1993-06-18","2026-05-02","Per=Y","Days=T","Dir=V")</f>
        <v>0</v>
      </c>
      <c r="E2">
        <f>BDH("VZ US Equity","SHORT_AND_LONG_TERM_DEBT","1993-06-18","2026-05-02","Per=Y","Days=T","Dir=V")</f>
        <v>0</v>
      </c>
      <c r="G2">
        <f>BDH("VZ US Equity","BS_ST_BORROW","1993-06-18","2026-05-02","Per=Y","Days=T","Dir=V")</f>
        <v>0</v>
      </c>
      <c r="I2">
        <f>BDH("VZ US Equity","BS_LT_BORROW","1993-06-18","2026-05-02","Per=Y","Days=T","Dir=V")</f>
        <v>0</v>
      </c>
      <c r="K2">
        <f>BDH("VZ US Equity","BS_CASH_NEAR_CASH_ITEM","1993-06-18","2026-05-02","Per=Y","Days=T","Dir=V")</f>
        <v>0</v>
      </c>
      <c r="M2">
        <f>BDH("VZ US Equity","BS_CUR_ASSET_REPORT","1993-06-18","2026-05-02","Per=Y","Days=T","Dir=V")</f>
        <v>0</v>
      </c>
      <c r="O2">
        <f>BDH("VZ US Equity","BS_CUR_LIAB","1993-06-18","2026-05-02","Per=Y","Days=T","Dir=V")</f>
        <v>0</v>
      </c>
      <c r="Q2">
        <f>BDH("VZ US Equity","BS_SHAREHOLDER_EQY_ENDING_PERIOD","1993-06-18","2026-05-02","Per=Y","Days=T","Dir=V")</f>
        <v>0</v>
      </c>
      <c r="S2">
        <f>BDH("VZ US Equity","BS_ACCT_NOTE_RCV","1993-06-18","2026-05-02","Per=Y","Days=T","Dir=V")</f>
        <v>0</v>
      </c>
      <c r="U2">
        <f>BDH("VZ US Equity","BS_INVENTORIES","1993-06-18","2026-05-02","Per=Y","Days=T","Dir=V")</f>
        <v>0</v>
      </c>
      <c r="W2">
        <f>BDH("VZ US Equity","WORKING_CAPITAL","1993-06-18","2026-05-02","Per=Y","Days=T","Dir=V")</f>
        <v>0</v>
      </c>
      <c r="Y2">
        <f>BDH("VZ US Equity","SALES_REV_TURN","1993-06-18","2026-05-02","Per=Y","Days=T","Dir=V")</f>
        <v>0</v>
      </c>
      <c r="AA2">
        <f>BDH("VZ US Equity","EBIT","1993-06-18","2026-05-02","Per=Y","Days=T","Dir=V")</f>
        <v>0</v>
      </c>
      <c r="AC2">
        <f>BDH("VZ US Equity","EBITDA","1993-06-18","2026-05-02","Per=Y","Days=T","Dir=V")</f>
        <v>0</v>
      </c>
      <c r="AE2">
        <f>BDH("VZ US Equity","NET_INCOME","1993-06-18","2026-05-02","Per=Y","Days=T","Dir=V")</f>
        <v>0</v>
      </c>
      <c r="AG2">
        <f>BDH("VZ US Equity","IS_INT_EXPENSE","1993-06-18","2026-05-02","Per=Y","Days=T","Dir=V")</f>
        <v>0</v>
      </c>
      <c r="AI2">
        <f>BDH("VZ US Equity","IS_DEPR_EXP","1993-06-18","2026-05-02","Per=Y","Days=T","Dir=V")</f>
        <v>0</v>
      </c>
      <c r="AK2">
        <f>BDH("VZ US Equity","CF_CASH_FROM_OPER","1993-06-18","2026-05-02","Per=Y","Days=T","Dir=V")</f>
        <v>0</v>
      </c>
      <c r="AM2">
        <f>BDH("VZ US Equity","CAPITAL_EXPEND","1993-06-18","2026-05-02","Per=Y","Days=T","Dir=V")</f>
        <v>0</v>
      </c>
      <c r="AO2">
        <f>BDH("VZ US Equity","CF_FREE_CASH_FLOW","1993-06-18","2026-05-02","Per=Y","Days=T","Dir=V")</f>
        <v>0</v>
      </c>
      <c r="AQ2">
        <f>BDH("VZ US Equity","PX_LAST","1993-06-18","2026-05-02","Per=M","Days=T","Dir=V")</f>
        <v>0</v>
      </c>
      <c r="AS2">
        <f>BDH("VZ US Equity","CUR_MKT_CAP","1993-06-18","2026-05-02","Per=M","Days=T","Dir=V")</f>
        <v>0</v>
      </c>
      <c r="AU2">
        <f>BDH("VZ US Equity","EQY_SH_OUT","1993-06-18","2026-05-02","Per=M","Days=T","Dir=V")</f>
        <v>0</v>
      </c>
      <c r="AW2">
        <f>BDH("VZ US Equity","PX_VOLUME","1993-06-18","2026-05-02","Per=M","Days=T","Dir=V")</f>
        <v>0</v>
      </c>
      <c r="AY2">
        <f>BDH("VZ US Equity","TURNOVER","1993-06-18","2026-05-02","Per=M","Days=T","Dir=V")</f>
        <v>0</v>
      </c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 US Equity","BS_TOT_ASSET","1993-06-18","2026-05-02","Per=Y","Days=T","Dir=V")</f>
        <v>0</v>
      </c>
      <c r="C2">
        <f>BDH("W US Equity","BS_TOT_LIAB2","1993-06-18","2026-05-02","Per=Y","Days=T","Dir=V")</f>
        <v>0</v>
      </c>
      <c r="E2">
        <f>BDH("W US Equity","SHORT_AND_LONG_TERM_DEBT","1993-06-18","2026-05-02","Per=Y","Days=T","Dir=V")</f>
        <v>0</v>
      </c>
      <c r="G2">
        <f>BDH("W US Equity","BS_ST_BORROW","1993-06-18","2026-05-02","Per=Y","Days=T","Dir=V")</f>
        <v>0</v>
      </c>
      <c r="I2">
        <f>BDH("W US Equity","BS_LT_BORROW","1993-06-18","2026-05-02","Per=Y","Days=T","Dir=V")</f>
        <v>0</v>
      </c>
      <c r="K2">
        <f>BDH("W US Equity","BS_CASH_NEAR_CASH_ITEM","1993-06-18","2026-05-02","Per=Y","Days=T","Dir=V")</f>
        <v>0</v>
      </c>
      <c r="M2">
        <f>BDH("W US Equity","BS_CUR_ASSET_REPORT","1993-06-18","2026-05-02","Per=Y","Days=T","Dir=V")</f>
        <v>0</v>
      </c>
      <c r="O2">
        <f>BDH("W US Equity","BS_CUR_LIAB","1993-06-18","2026-05-02","Per=Y","Days=T","Dir=V")</f>
        <v>0</v>
      </c>
      <c r="Q2">
        <f>BDH("W US Equity","BS_SHAREHOLDER_EQY_ENDING_PERIOD","1993-06-18","2026-05-02","Per=Y","Days=T","Dir=V")</f>
        <v>0</v>
      </c>
      <c r="S2">
        <f>BDH("W US Equity","BS_ACCT_NOTE_RCV","1993-06-18","2026-05-02","Per=Y","Days=T","Dir=V")</f>
        <v>0</v>
      </c>
      <c r="U2">
        <f>BDH("W US Equity","BS_INVENTORIES","1993-06-18","2026-05-02","Per=Y","Days=T","Dir=V")</f>
        <v>0</v>
      </c>
      <c r="W2">
        <f>BDH("W US Equity","WORKING_CAPITAL","1993-06-18","2026-05-02","Per=Y","Days=T","Dir=V")</f>
        <v>0</v>
      </c>
      <c r="Y2">
        <f>BDH("W US Equity","SALES_REV_TURN","1993-06-18","2026-05-02","Per=Y","Days=T","Dir=V")</f>
        <v>0</v>
      </c>
      <c r="AA2">
        <f>BDH("W US Equity","EBIT","1993-06-18","2026-05-02","Per=Y","Days=T","Dir=V")</f>
        <v>0</v>
      </c>
      <c r="AC2">
        <f>BDH("W US Equity","EBITDA","1993-06-18","2026-05-02","Per=Y","Days=T","Dir=V")</f>
        <v>0</v>
      </c>
      <c r="AE2">
        <f>BDH("W US Equity","NET_INCOME","1993-06-18","2026-05-02","Per=Y","Days=T","Dir=V")</f>
        <v>0</v>
      </c>
      <c r="AG2">
        <f>BDH("W US Equity","IS_INT_EXPENSE","1993-06-18","2026-05-02","Per=Y","Days=T","Dir=V")</f>
        <v>0</v>
      </c>
      <c r="AI2">
        <f>BDH("W US Equity","IS_DEPR_EXP","1993-06-18","2026-05-02","Per=Y","Days=T","Dir=V")</f>
        <v>0</v>
      </c>
      <c r="AK2">
        <f>BDH("W US Equity","CF_CASH_FROM_OPER","1993-06-18","2026-05-02","Per=Y","Days=T","Dir=V")</f>
        <v>0</v>
      </c>
      <c r="AM2">
        <f>BDH("W US Equity","CAPITAL_EXPEND","1993-06-18","2026-05-02","Per=Y","Days=T","Dir=V")</f>
        <v>0</v>
      </c>
      <c r="AO2">
        <f>BDH("W US Equity","CF_FREE_CASH_FLOW","1993-06-18","2026-05-02","Per=Y","Days=T","Dir=V")</f>
        <v>0</v>
      </c>
      <c r="AQ2">
        <f>BDH("W US Equity","PX_LAST","1993-06-18","2026-05-02","Per=M","Days=T","Dir=V")</f>
        <v>0</v>
      </c>
      <c r="AS2">
        <f>BDH("W US Equity","CUR_MKT_CAP","1993-06-18","2026-05-02","Per=M","Days=T","Dir=V")</f>
        <v>0</v>
      </c>
      <c r="AU2">
        <f>BDH("W US Equity","EQY_SH_OUT","1993-06-18","2026-05-02","Per=M","Days=T","Dir=V")</f>
        <v>0</v>
      </c>
      <c r="AW2">
        <f>BDH("W US Equity","PX_VOLUME","1993-06-18","2026-05-02","Per=M","Days=T","Dir=V")</f>
        <v>0</v>
      </c>
      <c r="AY2">
        <f>BDH("W US Equity","TURNOVER","1993-06-18","2026-05-02","Per=M","Days=T","Dir=V")</f>
        <v>0</v>
      </c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BDH("WAB US Equity","BS_TOT_ASSET","1993-06-18","2026-05-02","Per=Y","Days=T","Dir=V")</f>
        <v>0</v>
      </c>
      <c r="C2">
        <f>BDH("WAB US Equity","BS_TOT_LIAB2","1993-06-18","2026-05-02","Per=Y","Days=T","Dir=V")</f>
        <v>0</v>
      </c>
      <c r="E2">
        <f>BDH("WAB US Equity","SHORT_AND_LONG_TERM_DEBT","1993-06-18","2026-05-02","Per=Y","Days=T","Dir=V")</f>
        <v>0</v>
      </c>
      <c r="G2">
        <f>BDH("WAB US Equity","BS_ST_BORROW","1993-06-18","2026-05-02","Per=Y","Days=T","Dir=V")</f>
        <v>0</v>
      </c>
      <c r="I2">
        <f>BDH("WAB US Equity","BS_LT_BORROW","1993-06-18","2026-05-02","Per=Y","Days=T","Dir=V")</f>
        <v>0</v>
      </c>
      <c r="K2">
        <f>BDH("WAB US Equity","BS_CASH_NEAR_CASH_ITEM","1993-06-18","2026-05-02","Per=Y","Days=T","Dir=V")</f>
        <v>0</v>
      </c>
      <c r="M2">
        <f>BDH("WAB US Equity","BS_CUR_ASSET_REPORT","1993-06-18","2026-05-02","Per=Y","Days=T","Dir=V")</f>
        <v>0</v>
      </c>
      <c r="O2">
        <f>BDH("WAB US Equity","BS_CUR_LIAB","1993-06-18","2026-05-02","Per=Y","Days=T","Dir=V")</f>
        <v>0</v>
      </c>
      <c r="Q2">
        <f>BDH("WAB US Equity","BS_SHAREHOLDER_EQY_ENDING_PERIOD","1993-06-18","2026-05-02","Per=Y","Days=T","Dir=V")</f>
        <v>0</v>
      </c>
      <c r="S2">
        <f>BDH("WAB US Equity","BS_ACCT_NOTE_RCV","1993-06-18","2026-05-02","Per=Y","Days=T","Dir=V")</f>
        <v>0</v>
      </c>
      <c r="U2">
        <f>BDH("WAB US Equity","BS_INVENTORIES","1993-06-18","2026-05-02","Per=Y","Days=T","Dir=V")</f>
        <v>0</v>
      </c>
      <c r="W2">
        <f>BDH("WAB US Equity","WORKING_CAPITAL","1993-06-18","2026-05-02","Per=Y","Days=T","Dir=V")</f>
        <v>0</v>
      </c>
      <c r="Y2">
        <f>BDH("WAB US Equity","SALES_REV_TURN","1993-06-18","2026-05-02","Per=Y","Days=T","Dir=V")</f>
        <v>0</v>
      </c>
      <c r="AA2">
        <f>BDH("WAB US Equity","EBIT","1993-06-18","2026-05-02","Per=Y","Days=T","Dir=V")</f>
        <v>0</v>
      </c>
      <c r="AC2">
        <f>BDH("WAB US Equity","EBITDA","1993-06-18","2026-05-02","Per=Y","Days=T","Dir=V")</f>
        <v>0</v>
      </c>
      <c r="AE2">
        <f>BDH("WAB US Equity","NET_INCOME","1993-06-18","2026-05-02","Per=Y","Days=T","Dir=V")</f>
        <v>0</v>
      </c>
      <c r="AG2">
        <f>BDH("WAB US Equity","IS_INT_EXPENSE","1993-06-18","2026-05-02","Per=Y","Days=T","Dir=V")</f>
        <v>0</v>
      </c>
      <c r="AI2">
        <f>BDH("WAB US Equity","IS_DEPR_EXP","1993-06-18","2026-05-02","Per=Y","Days=T","Dir=V")</f>
        <v>0</v>
      </c>
      <c r="AK2">
        <f>BDH("WAB US Equity","CF_CASH_FROM_OPER","1993-06-18","2026-05-02","Per=Y","Days=T","Dir=V")</f>
        <v>0</v>
      </c>
      <c r="AM2">
        <f>BDH("WAB US Equity","CAPITAL_EXPEND","1993-06-18","2026-05-02","Per=Y","Days=T","Dir=V")</f>
        <v>0</v>
      </c>
      <c r="AO2">
        <f>BDH("WAB US Equity","CF_FREE_CASH_FLOW","1993-06-18","2026-05-02","Per=Y","Days=T","Dir=V")</f>
        <v>0</v>
      </c>
      <c r="AQ2">
        <f>BDH("WAB US Equity","PX_LAST","1993-06-18","2026-05-02","Per=M","Days=T","Dir=V")</f>
        <v>0</v>
      </c>
      <c r="AS2">
        <f>BDH("WAB US Equity","CUR_MKT_CAP","1993-06-18","2026-05-02","Per=M","Days=T","Dir=V")</f>
        <v>0</v>
      </c>
      <c r="AU2">
        <f>BDH("WAB US Equity","EQY_SH_OUT","1993-06-18","2026-05-02","Per=M","Days=T","Dir=V")</f>
        <v>0</v>
      </c>
      <c r="AW2">
        <f>BDH("WAB US Equity","PX_VOLUME","1993-06-18","2026-05-02","Per=M","Days=T","Dir=V")</f>
        <v>0</v>
      </c>
      <c r="AY2">
        <f>BDH("WAB US Equity","TURNOVER","1993-06-18","2026-05-02","Per=M","Days=T","Dir=V")</f>
        <v>0</v>
      </c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BDH("WALD US Equity","BS_TOT_ASSET","1993-06-18","2026-05-02","Per=Y","Days=T","Dir=V")</f>
        <v>0</v>
      </c>
      <c r="C2">
        <f>BDH("WALD US Equity","BS_TOT_LIAB2","1993-06-18","2026-05-02","Per=Y","Days=T","Dir=V")</f>
        <v>0</v>
      </c>
      <c r="E2">
        <f>BDH("WALD US Equity","SHORT_AND_LONG_TERM_DEBT","1993-06-18","2026-05-02","Per=Y","Days=T","Dir=V")</f>
        <v>0</v>
      </c>
      <c r="G2">
        <f>BDH("WALD US Equity","BS_ST_BORROW","1993-06-18","2026-05-02","Per=Y","Days=T","Dir=V")</f>
        <v>0</v>
      </c>
      <c r="I2">
        <f>BDH("WALD US Equity","BS_LT_BORROW","1993-06-18","2026-05-02","Per=Y","Days=T","Dir=V")</f>
        <v>0</v>
      </c>
      <c r="K2">
        <f>BDH("WALD US Equity","BS_CASH_NEAR_CASH_ITEM","1993-06-18","2026-05-02","Per=Y","Days=T","Dir=V")</f>
        <v>0</v>
      </c>
      <c r="M2">
        <f>BDH("WALD US Equity","BS_CUR_ASSET_REPORT","1993-06-18","2026-05-02","Per=Y","Days=T","Dir=V")</f>
        <v>0</v>
      </c>
      <c r="O2">
        <f>BDH("WALD US Equity","BS_CUR_LIAB","1993-06-18","2026-05-02","Per=Y","Days=T","Dir=V")</f>
        <v>0</v>
      </c>
      <c r="Q2">
        <f>BDH("WALD US Equity","BS_SHAREHOLDER_EQY_ENDING_PERIOD","1993-06-18","2026-05-02","Per=Y","Days=T","Dir=V")</f>
        <v>0</v>
      </c>
      <c r="S2">
        <f>BDH("WALD US Equity","BS_ACCT_NOTE_RCV","1993-06-18","2026-05-02","Per=Y","Days=T","Dir=V")</f>
        <v>0</v>
      </c>
      <c r="U2">
        <f>BDH("WALD US Equity","BS_INVENTORIES","1993-06-18","2026-05-02","Per=Y","Days=T","Dir=V")</f>
        <v>0</v>
      </c>
      <c r="W2">
        <f>BDH("WALD US Equity","WORKING_CAPITAL","1993-06-18","2026-05-02","Per=Y","Days=T","Dir=V")</f>
        <v>0</v>
      </c>
      <c r="Y2">
        <f>BDH("WALD US Equity","SALES_REV_TURN","1993-06-18","2026-05-02","Per=Y","Days=T","Dir=V")</f>
        <v>0</v>
      </c>
      <c r="AA2">
        <f>BDH("WALD US Equity","EBIT","1993-06-18","2026-05-02","Per=Y","Days=T","Dir=V")</f>
        <v>0</v>
      </c>
      <c r="AC2">
        <f>BDH("WALD US Equity","EBITDA","1993-06-18","2026-05-02","Per=Y","Days=T","Dir=V")</f>
        <v>0</v>
      </c>
      <c r="AE2">
        <f>BDH("WALD US Equity","NET_INCOME","1993-06-18","2026-05-02","Per=Y","Days=T","Dir=V")</f>
        <v>0</v>
      </c>
      <c r="AG2">
        <f>BDH("WALD US Equity","IS_INT_EXPENSE","1993-06-18","2026-05-02","Per=Y","Days=T","Dir=V")</f>
        <v>0</v>
      </c>
      <c r="AI2">
        <f>BDH("WALD US Equity","IS_DEPR_EXP","1993-06-18","2026-05-02","Per=Y","Days=T","Dir=V")</f>
        <v>0</v>
      </c>
      <c r="AK2">
        <f>BDH("WALD US Equity","CF_CASH_FROM_OPER","1993-06-18","2026-05-02","Per=Y","Days=T","Dir=V")</f>
        <v>0</v>
      </c>
      <c r="AM2">
        <f>BDH("WALD US Equity","CAPITAL_EXPEND","1993-06-18","2026-05-02","Per=Y","Days=T","Dir=V")</f>
        <v>0</v>
      </c>
      <c r="AO2">
        <f>BDH("WALD US Equity","CF_FREE_CASH_FLOW","1993-06-18","2026-05-02","Per=Y","Days=T","Dir=V")</f>
        <v>0</v>
      </c>
      <c r="AQ2">
        <f>BDH("WALD US Equity","PX_LAST","1993-06-18","2026-05-02","Per=M","Days=T","Dir=V")</f>
        <v>0</v>
      </c>
      <c r="AS2">
        <f>BDH("WALD US Equity","CUR_MKT_CAP","1993-06-18","2026-05-02","Per=M","Days=T","Dir=V")</f>
        <v>0</v>
      </c>
      <c r="AU2">
        <f>BDH("WALD US Equity","EQY_SH_OUT","1993-06-18","2026-05-02","Per=M","Days=T","Dir=V")</f>
        <v>0</v>
      </c>
      <c r="AW2">
        <f>BDH("WALD US Equity","PX_VOLUME","1993-06-18","2026-05-02","Per=M","Days=T","Dir=V")</f>
        <v>0</v>
      </c>
      <c r="AY2">
        <f>BDH("WALD US Equity","TURNOVER","1993-06-18","2026-05-02","Per=M","Days=T","Dir=V")</f>
        <v>0</v>
      </c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BDH("WALDW US Equity","BS_TOT_ASSET","1993-06-18","2026-05-02","Per=Y","Days=T","Dir=V")</f>
        <v>0</v>
      </c>
      <c r="C2">
        <f>BDH("WALDW US Equity","BS_TOT_LIAB2","1993-06-18","2026-05-02","Per=Y","Days=T","Dir=V")</f>
        <v>0</v>
      </c>
      <c r="E2">
        <f>BDH("WALDW US Equity","SHORT_AND_LONG_TERM_DEBT","1993-06-18","2026-05-02","Per=Y","Days=T","Dir=V")</f>
        <v>0</v>
      </c>
      <c r="G2">
        <f>BDH("WALDW US Equity","BS_ST_BORROW","1993-06-18","2026-05-02","Per=Y","Days=T","Dir=V")</f>
        <v>0</v>
      </c>
      <c r="I2">
        <f>BDH("WALDW US Equity","BS_LT_BORROW","1993-06-18","2026-05-02","Per=Y","Days=T","Dir=V")</f>
        <v>0</v>
      </c>
      <c r="K2">
        <f>BDH("WALDW US Equity","BS_CASH_NEAR_CASH_ITEM","1993-06-18","2026-05-02","Per=Y","Days=T","Dir=V")</f>
        <v>0</v>
      </c>
      <c r="M2">
        <f>BDH("WALDW US Equity","BS_CUR_ASSET_REPORT","1993-06-18","2026-05-02","Per=Y","Days=T","Dir=V")</f>
        <v>0</v>
      </c>
      <c r="O2">
        <f>BDH("WALDW US Equity","BS_CUR_LIAB","1993-06-18","2026-05-02","Per=Y","Days=T","Dir=V")</f>
        <v>0</v>
      </c>
      <c r="Q2">
        <f>BDH("WALDW US Equity","BS_SHAREHOLDER_EQY_ENDING_PERIOD","1993-06-18","2026-05-02","Per=Y","Days=T","Dir=V")</f>
        <v>0</v>
      </c>
      <c r="S2">
        <f>BDH("WALDW US Equity","BS_ACCT_NOTE_RCV","1993-06-18","2026-05-02","Per=Y","Days=T","Dir=V")</f>
        <v>0</v>
      </c>
      <c r="U2">
        <f>BDH("WALDW US Equity","BS_INVENTORIES","1993-06-18","2026-05-02","Per=Y","Days=T","Dir=V")</f>
        <v>0</v>
      </c>
      <c r="W2">
        <f>BDH("WALDW US Equity","WORKING_CAPITAL","1993-06-18","2026-05-02","Per=Y","Days=T","Dir=V")</f>
        <v>0</v>
      </c>
      <c r="Y2">
        <f>BDH("WALDW US Equity","SALES_REV_TURN","1993-06-18","2026-05-02","Per=Y","Days=T","Dir=V")</f>
        <v>0</v>
      </c>
      <c r="AA2">
        <f>BDH("WALDW US Equity","EBIT","1993-06-18","2026-05-02","Per=Y","Days=T","Dir=V")</f>
        <v>0</v>
      </c>
      <c r="AC2">
        <f>BDH("WALDW US Equity","EBITDA","1993-06-18","2026-05-02","Per=Y","Days=T","Dir=V")</f>
        <v>0</v>
      </c>
      <c r="AE2">
        <f>BDH("WALDW US Equity","NET_INCOME","1993-06-18","2026-05-02","Per=Y","Days=T","Dir=V")</f>
        <v>0</v>
      </c>
      <c r="AG2">
        <f>BDH("WALDW US Equity","IS_INT_EXPENSE","1993-06-18","2026-05-02","Per=Y","Days=T","Dir=V")</f>
        <v>0</v>
      </c>
      <c r="AI2">
        <f>BDH("WALDW US Equity","IS_DEPR_EXP","1993-06-18","2026-05-02","Per=Y","Days=T","Dir=V")</f>
        <v>0</v>
      </c>
      <c r="AK2">
        <f>BDH("WALDW US Equity","CF_CASH_FROM_OPER","1993-06-18","2026-05-02","Per=Y","Days=T","Dir=V")</f>
        <v>0</v>
      </c>
      <c r="AM2">
        <f>BDH("WALDW US Equity","CAPITAL_EXPEND","1993-06-18","2026-05-02","Per=Y","Days=T","Dir=V")</f>
        <v>0</v>
      </c>
      <c r="AO2">
        <f>BDH("WALDW US Equity","CF_FREE_CASH_FLOW","1993-06-18","2026-05-02","Per=Y","Days=T","Dir=V")</f>
        <v>0</v>
      </c>
      <c r="AQ2">
        <f>BDH("WALDW US Equity","PX_LAST","1993-06-18","2026-05-02","Per=M","Days=T","Dir=V")</f>
        <v>0</v>
      </c>
      <c r="AS2">
        <f>BDH("WALDW US Equity","CUR_MKT_CAP","1993-06-18","2026-05-02","Per=M","Days=T","Dir=V")</f>
        <v>0</v>
      </c>
      <c r="AU2">
        <f>BDH("WALDW US Equity","EQY_SH_OUT","1993-06-18","2026-05-02","Per=M","Days=T","Dir=V")</f>
        <v>0</v>
      </c>
      <c r="AW2">
        <f>BDH("WALDW US Equity","PX_VOLUME","1993-06-18","2026-05-02","Per=M","Days=T","Dir=V")</f>
        <v>0</v>
      </c>
      <c r="AY2">
        <f>BDH("WALDW US Equity","TURNOVER","1993-06-18","2026-05-02","Per=M","Days=T","Dir=V")</f>
        <v>0</v>
      </c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BDH("WAT US Equity","BS_TOT_ASSET","1993-06-18","2026-05-02","Per=Y","Days=T","Dir=V")</f>
        <v>0</v>
      </c>
      <c r="C2">
        <f>BDH("WAT US Equity","BS_TOT_LIAB2","1993-06-18","2026-05-02","Per=Y","Days=T","Dir=V")</f>
        <v>0</v>
      </c>
      <c r="E2">
        <f>BDH("WAT US Equity","SHORT_AND_LONG_TERM_DEBT","1993-06-18","2026-05-02","Per=Y","Days=T","Dir=V")</f>
        <v>0</v>
      </c>
      <c r="G2">
        <f>BDH("WAT US Equity","BS_ST_BORROW","1993-06-18","2026-05-02","Per=Y","Days=T","Dir=V")</f>
        <v>0</v>
      </c>
      <c r="I2">
        <f>BDH("WAT US Equity","BS_LT_BORROW","1993-06-18","2026-05-02","Per=Y","Days=T","Dir=V")</f>
        <v>0</v>
      </c>
      <c r="K2">
        <f>BDH("WAT US Equity","BS_CASH_NEAR_CASH_ITEM","1993-06-18","2026-05-02","Per=Y","Days=T","Dir=V")</f>
        <v>0</v>
      </c>
      <c r="M2">
        <f>BDH("WAT US Equity","BS_CUR_ASSET_REPORT","1993-06-18","2026-05-02","Per=Y","Days=T","Dir=V")</f>
        <v>0</v>
      </c>
      <c r="O2">
        <f>BDH("WAT US Equity","BS_CUR_LIAB","1993-06-18","2026-05-02","Per=Y","Days=T","Dir=V")</f>
        <v>0</v>
      </c>
      <c r="Q2">
        <f>BDH("WAT US Equity","BS_SHAREHOLDER_EQY_ENDING_PERIOD","1993-06-18","2026-05-02","Per=Y","Days=T","Dir=V")</f>
        <v>0</v>
      </c>
      <c r="S2">
        <f>BDH("WAT US Equity","BS_ACCT_NOTE_RCV","1993-06-18","2026-05-02","Per=Y","Days=T","Dir=V")</f>
        <v>0</v>
      </c>
      <c r="U2">
        <f>BDH("WAT US Equity","BS_INVENTORIES","1993-06-18","2026-05-02","Per=Y","Days=T","Dir=V")</f>
        <v>0</v>
      </c>
      <c r="W2">
        <f>BDH("WAT US Equity","WORKING_CAPITAL","1993-06-18","2026-05-02","Per=Y","Days=T","Dir=V")</f>
        <v>0</v>
      </c>
      <c r="Y2">
        <f>BDH("WAT US Equity","SALES_REV_TURN","1993-06-18","2026-05-02","Per=Y","Days=T","Dir=V")</f>
        <v>0</v>
      </c>
      <c r="AA2">
        <f>BDH("WAT US Equity","EBIT","1993-06-18","2026-05-02","Per=Y","Days=T","Dir=V")</f>
        <v>0</v>
      </c>
      <c r="AC2">
        <f>BDH("WAT US Equity","EBITDA","1993-06-18","2026-05-02","Per=Y","Days=T","Dir=V")</f>
        <v>0</v>
      </c>
      <c r="AE2">
        <f>BDH("WAT US Equity","NET_INCOME","1993-06-18","2026-05-02","Per=Y","Days=T","Dir=V")</f>
        <v>0</v>
      </c>
      <c r="AG2">
        <f>BDH("WAT US Equity","IS_INT_EXPENSE","1993-06-18","2026-05-02","Per=Y","Days=T","Dir=V")</f>
        <v>0</v>
      </c>
      <c r="AI2">
        <f>BDH("WAT US Equity","IS_DEPR_EXP","1993-06-18","2026-05-02","Per=Y","Days=T","Dir=V")</f>
        <v>0</v>
      </c>
      <c r="AK2">
        <f>BDH("WAT US Equity","CF_CASH_FROM_OPER","1993-06-18","2026-05-02","Per=Y","Days=T","Dir=V")</f>
        <v>0</v>
      </c>
      <c r="AM2">
        <f>BDH("WAT US Equity","CAPITAL_EXPEND","1993-06-18","2026-05-02","Per=Y","Days=T","Dir=V")</f>
        <v>0</v>
      </c>
      <c r="AO2">
        <f>BDH("WAT US Equity","CF_FREE_CASH_FLOW","1993-06-18","2026-05-02","Per=Y","Days=T","Dir=V")</f>
        <v>0</v>
      </c>
      <c r="AQ2">
        <f>BDH("WAT US Equity","PX_LAST","1993-06-18","2026-05-02","Per=M","Days=T","Dir=V")</f>
        <v>0</v>
      </c>
      <c r="AS2">
        <f>BDH("WAT US Equity","CUR_MKT_CAP","1993-06-18","2026-05-02","Per=M","Days=T","Dir=V")</f>
        <v>0</v>
      </c>
      <c r="AU2">
        <f>BDH("WAT US Equity","EQY_SH_OUT","1993-06-18","2026-05-02","Per=M","Days=T","Dir=V")</f>
        <v>0</v>
      </c>
      <c r="AW2">
        <f>BDH("WAT US Equity","PX_VOLUME","1993-06-18","2026-05-02","Per=M","Days=T","Dir=V")</f>
        <v>0</v>
      </c>
      <c r="AY2">
        <f>BDH("WAT US Equity","TURNOVER","1993-06-18","2026-05-02","Per=M","Days=T","Dir=V")</f>
        <v>0</v>
      </c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BDH("WATT US Equity","BS_TOT_ASSET","1993-06-18","2026-05-02","Per=Y","Days=T","Dir=V")</f>
        <v>0</v>
      </c>
      <c r="C2">
        <f>BDH("WATT US Equity","BS_TOT_LIAB2","1993-06-18","2026-05-02","Per=Y","Days=T","Dir=V")</f>
        <v>0</v>
      </c>
      <c r="E2">
        <f>BDH("WATT US Equity","SHORT_AND_LONG_TERM_DEBT","1993-06-18","2026-05-02","Per=Y","Days=T","Dir=V")</f>
        <v>0</v>
      </c>
      <c r="G2">
        <f>BDH("WATT US Equity","BS_ST_BORROW","1993-06-18","2026-05-02","Per=Y","Days=T","Dir=V")</f>
        <v>0</v>
      </c>
      <c r="I2">
        <f>BDH("WATT US Equity","BS_LT_BORROW","1993-06-18","2026-05-02","Per=Y","Days=T","Dir=V")</f>
        <v>0</v>
      </c>
      <c r="K2">
        <f>BDH("WATT US Equity","BS_CASH_NEAR_CASH_ITEM","1993-06-18","2026-05-02","Per=Y","Days=T","Dir=V")</f>
        <v>0</v>
      </c>
      <c r="M2">
        <f>BDH("WATT US Equity","BS_CUR_ASSET_REPORT","1993-06-18","2026-05-02","Per=Y","Days=T","Dir=V")</f>
        <v>0</v>
      </c>
      <c r="O2">
        <f>BDH("WATT US Equity","BS_CUR_LIAB","1993-06-18","2026-05-02","Per=Y","Days=T","Dir=V")</f>
        <v>0</v>
      </c>
      <c r="Q2">
        <f>BDH("WATT US Equity","BS_SHAREHOLDER_EQY_ENDING_PERIOD","1993-06-18","2026-05-02","Per=Y","Days=T","Dir=V")</f>
        <v>0</v>
      </c>
      <c r="S2">
        <f>BDH("WATT US Equity","BS_ACCT_NOTE_RCV","1993-06-18","2026-05-02","Per=Y","Days=T","Dir=V")</f>
        <v>0</v>
      </c>
      <c r="U2">
        <f>BDH("WATT US Equity","BS_INVENTORIES","1993-06-18","2026-05-02","Per=Y","Days=T","Dir=V")</f>
        <v>0</v>
      </c>
      <c r="W2">
        <f>BDH("WATT US Equity","WORKING_CAPITAL","1993-06-18","2026-05-02","Per=Y","Days=T","Dir=V")</f>
        <v>0</v>
      </c>
      <c r="Y2">
        <f>BDH("WATT US Equity","SALES_REV_TURN","1993-06-18","2026-05-02","Per=Y","Days=T","Dir=V")</f>
        <v>0</v>
      </c>
      <c r="AA2">
        <f>BDH("WATT US Equity","EBIT","1993-06-18","2026-05-02","Per=Y","Days=T","Dir=V")</f>
        <v>0</v>
      </c>
      <c r="AC2">
        <f>BDH("WATT US Equity","EBITDA","1993-06-18","2026-05-02","Per=Y","Days=T","Dir=V")</f>
        <v>0</v>
      </c>
      <c r="AE2">
        <f>BDH("WATT US Equity","NET_INCOME","1993-06-18","2026-05-02","Per=Y","Days=T","Dir=V")</f>
        <v>0</v>
      </c>
      <c r="AG2">
        <f>BDH("WATT US Equity","IS_INT_EXPENSE","1993-06-18","2026-05-02","Per=Y","Days=T","Dir=V")</f>
        <v>0</v>
      </c>
      <c r="AI2">
        <f>BDH("WATT US Equity","IS_DEPR_EXP","1993-06-18","2026-05-02","Per=Y","Days=T","Dir=V")</f>
        <v>0</v>
      </c>
      <c r="AK2">
        <f>BDH("WATT US Equity","CF_CASH_FROM_OPER","1993-06-18","2026-05-02","Per=Y","Days=T","Dir=V")</f>
        <v>0</v>
      </c>
      <c r="AM2">
        <f>BDH("WATT US Equity","CAPITAL_EXPEND","1993-06-18","2026-05-02","Per=Y","Days=T","Dir=V")</f>
        <v>0</v>
      </c>
      <c r="AO2">
        <f>BDH("WATT US Equity","CF_FREE_CASH_FLOW","1993-06-18","2026-05-02","Per=Y","Days=T","Dir=V")</f>
        <v>0</v>
      </c>
      <c r="AQ2">
        <f>BDH("WATT US Equity","PX_LAST","1993-06-18","2026-05-02","Per=M","Days=T","Dir=V")</f>
        <v>0</v>
      </c>
      <c r="AS2">
        <f>BDH("WATT US Equity","CUR_MKT_CAP","1993-06-18","2026-05-02","Per=M","Days=T","Dir=V")</f>
        <v>0</v>
      </c>
      <c r="AU2">
        <f>BDH("WATT US Equity","EQY_SH_OUT","1993-06-18","2026-05-02","Per=M","Days=T","Dir=V")</f>
        <v>0</v>
      </c>
      <c r="AW2">
        <f>BDH("WATT US Equity","PX_VOLUME","1993-06-18","2026-05-02","Per=M","Days=T","Dir=V")</f>
        <v>0</v>
      </c>
      <c r="AY2">
        <f>BDH("WATT US Equity","TURNOVER","1993-06-18","2026-05-02","Per=M","Days=T","Dir=V")</f>
        <v>0</v>
      </c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BDH("WAY US Equity","BS_TOT_ASSET","1993-06-18","2026-05-02","Per=Y","Days=T","Dir=V")</f>
        <v>0</v>
      </c>
      <c r="C2">
        <f>BDH("WAY US Equity","BS_TOT_LIAB2","1993-06-18","2026-05-02","Per=Y","Days=T","Dir=V")</f>
        <v>0</v>
      </c>
      <c r="E2">
        <f>BDH("WAY US Equity","SHORT_AND_LONG_TERM_DEBT","1993-06-18","2026-05-02","Per=Y","Days=T","Dir=V")</f>
        <v>0</v>
      </c>
      <c r="G2">
        <f>BDH("WAY US Equity","BS_ST_BORROW","1993-06-18","2026-05-02","Per=Y","Days=T","Dir=V")</f>
        <v>0</v>
      </c>
      <c r="I2">
        <f>BDH("WAY US Equity","BS_LT_BORROW","1993-06-18","2026-05-02","Per=Y","Days=T","Dir=V")</f>
        <v>0</v>
      </c>
      <c r="K2">
        <f>BDH("WAY US Equity","BS_CASH_NEAR_CASH_ITEM","1993-06-18","2026-05-02","Per=Y","Days=T","Dir=V")</f>
        <v>0</v>
      </c>
      <c r="M2">
        <f>BDH("WAY US Equity","BS_CUR_ASSET_REPORT","1993-06-18","2026-05-02","Per=Y","Days=T","Dir=V")</f>
        <v>0</v>
      </c>
      <c r="O2">
        <f>BDH("WAY US Equity","BS_CUR_LIAB","1993-06-18","2026-05-02","Per=Y","Days=T","Dir=V")</f>
        <v>0</v>
      </c>
      <c r="Q2">
        <f>BDH("WAY US Equity","BS_SHAREHOLDER_EQY_ENDING_PERIOD","1993-06-18","2026-05-02","Per=Y","Days=T","Dir=V")</f>
        <v>0</v>
      </c>
      <c r="S2">
        <f>BDH("WAY US Equity","BS_ACCT_NOTE_RCV","1993-06-18","2026-05-02","Per=Y","Days=T","Dir=V")</f>
        <v>0</v>
      </c>
      <c r="U2">
        <f>BDH("WAY US Equity","BS_INVENTORIES","1993-06-18","2026-05-02","Per=Y","Days=T","Dir=V")</f>
        <v>0</v>
      </c>
      <c r="W2">
        <f>BDH("WAY US Equity","WORKING_CAPITAL","1993-06-18","2026-05-02","Per=Y","Days=T","Dir=V")</f>
        <v>0</v>
      </c>
      <c r="Y2">
        <f>BDH("WAY US Equity","SALES_REV_TURN","1993-06-18","2026-05-02","Per=Y","Days=T","Dir=V")</f>
        <v>0</v>
      </c>
      <c r="AA2">
        <f>BDH("WAY US Equity","EBIT","1993-06-18","2026-05-02","Per=Y","Days=T","Dir=V")</f>
        <v>0</v>
      </c>
      <c r="AC2">
        <f>BDH("WAY US Equity","EBITDA","1993-06-18","2026-05-02","Per=Y","Days=T","Dir=V")</f>
        <v>0</v>
      </c>
      <c r="AE2">
        <f>BDH("WAY US Equity","NET_INCOME","1993-06-18","2026-05-02","Per=Y","Days=T","Dir=V")</f>
        <v>0</v>
      </c>
      <c r="AG2">
        <f>BDH("WAY US Equity","IS_INT_EXPENSE","1993-06-18","2026-05-02","Per=Y","Days=T","Dir=V")</f>
        <v>0</v>
      </c>
      <c r="AI2">
        <f>BDH("WAY US Equity","IS_DEPR_EXP","1993-06-18","2026-05-02","Per=Y","Days=T","Dir=V")</f>
        <v>0</v>
      </c>
      <c r="AK2">
        <f>BDH("WAY US Equity","CF_CASH_FROM_OPER","1993-06-18","2026-05-02","Per=Y","Days=T","Dir=V")</f>
        <v>0</v>
      </c>
      <c r="AM2">
        <f>BDH("WAY US Equity","CAPITAL_EXPEND","1993-06-18","2026-05-02","Per=Y","Days=T","Dir=V")</f>
        <v>0</v>
      </c>
      <c r="AO2">
        <f>BDH("WAY US Equity","CF_FREE_CASH_FLOW","1993-06-18","2026-05-02","Per=Y","Days=T","Dir=V")</f>
        <v>0</v>
      </c>
      <c r="AQ2">
        <f>BDH("WAY US Equity","PX_LAST","1993-06-18","2026-05-02","Per=M","Days=T","Dir=V")</f>
        <v>0</v>
      </c>
      <c r="AS2">
        <f>BDH("WAY US Equity","CUR_MKT_CAP","1993-06-18","2026-05-02","Per=M","Days=T","Dir=V")</f>
        <v>0</v>
      </c>
      <c r="AU2">
        <f>BDH("WAY US Equity","EQY_SH_OUT","1993-06-18","2026-05-02","Per=M","Days=T","Dir=V")</f>
        <v>0</v>
      </c>
      <c r="AW2">
        <f>BDH("WAY US Equity","PX_VOLUME","1993-06-18","2026-05-02","Per=M","Days=T","Dir=V")</f>
        <v>0</v>
      </c>
      <c r="AY2">
        <f>BDH("WAY US Equity","TURNOVER","1993-06-18","2026-05-02","Per=M","Days=T","Dir=V")</f>
        <v>0</v>
      </c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BDH("WBD US Equity","BS_TOT_ASSET","1993-06-18","2026-05-02","Per=Y","Days=T","Dir=V")</f>
        <v>0</v>
      </c>
      <c r="C2">
        <f>BDH("WBD US Equity","BS_TOT_LIAB2","1993-06-18","2026-05-02","Per=Y","Days=T","Dir=V")</f>
        <v>0</v>
      </c>
      <c r="E2">
        <f>BDH("WBD US Equity","SHORT_AND_LONG_TERM_DEBT","1993-06-18","2026-05-02","Per=Y","Days=T","Dir=V")</f>
        <v>0</v>
      </c>
      <c r="G2">
        <f>BDH("WBD US Equity","BS_ST_BORROW","1993-06-18","2026-05-02","Per=Y","Days=T","Dir=V")</f>
        <v>0</v>
      </c>
      <c r="I2">
        <f>BDH("WBD US Equity","BS_LT_BORROW","1993-06-18","2026-05-02","Per=Y","Days=T","Dir=V")</f>
        <v>0</v>
      </c>
      <c r="K2">
        <f>BDH("WBD US Equity","BS_CASH_NEAR_CASH_ITEM","1993-06-18","2026-05-02","Per=Y","Days=T","Dir=V")</f>
        <v>0</v>
      </c>
      <c r="M2">
        <f>BDH("WBD US Equity","BS_CUR_ASSET_REPORT","1993-06-18","2026-05-02","Per=Y","Days=T","Dir=V")</f>
        <v>0</v>
      </c>
      <c r="O2">
        <f>BDH("WBD US Equity","BS_CUR_LIAB","1993-06-18","2026-05-02","Per=Y","Days=T","Dir=V")</f>
        <v>0</v>
      </c>
      <c r="Q2">
        <f>BDH("WBD US Equity","BS_SHAREHOLDER_EQY_ENDING_PERIOD","1993-06-18","2026-05-02","Per=Y","Days=T","Dir=V")</f>
        <v>0</v>
      </c>
      <c r="S2">
        <f>BDH("WBD US Equity","BS_ACCT_NOTE_RCV","1993-06-18","2026-05-02","Per=Y","Days=T","Dir=V")</f>
        <v>0</v>
      </c>
      <c r="U2">
        <f>BDH("WBD US Equity","BS_INVENTORIES","1993-06-18","2026-05-02","Per=Y","Days=T","Dir=V")</f>
        <v>0</v>
      </c>
      <c r="W2">
        <f>BDH("WBD US Equity","WORKING_CAPITAL","1993-06-18","2026-05-02","Per=Y","Days=T","Dir=V")</f>
        <v>0</v>
      </c>
      <c r="Y2">
        <f>BDH("WBD US Equity","SALES_REV_TURN","1993-06-18","2026-05-02","Per=Y","Days=T","Dir=V")</f>
        <v>0</v>
      </c>
      <c r="AA2">
        <f>BDH("WBD US Equity","EBIT","1993-06-18","2026-05-02","Per=Y","Days=T","Dir=V")</f>
        <v>0</v>
      </c>
      <c r="AC2">
        <f>BDH("WBD US Equity","EBITDA","1993-06-18","2026-05-02","Per=Y","Days=T","Dir=V")</f>
        <v>0</v>
      </c>
      <c r="AE2">
        <f>BDH("WBD US Equity","NET_INCOME","1993-06-18","2026-05-02","Per=Y","Days=T","Dir=V")</f>
        <v>0</v>
      </c>
      <c r="AG2">
        <f>BDH("WBD US Equity","IS_INT_EXPENSE","1993-06-18","2026-05-02","Per=Y","Days=T","Dir=V")</f>
        <v>0</v>
      </c>
      <c r="AI2">
        <f>BDH("WBD US Equity","IS_DEPR_EXP","1993-06-18","2026-05-02","Per=Y","Days=T","Dir=V")</f>
        <v>0</v>
      </c>
      <c r="AK2">
        <f>BDH("WBD US Equity","CF_CASH_FROM_OPER","1993-06-18","2026-05-02","Per=Y","Days=T","Dir=V")</f>
        <v>0</v>
      </c>
      <c r="AM2">
        <f>BDH("WBD US Equity","CAPITAL_EXPEND","1993-06-18","2026-05-02","Per=Y","Days=T","Dir=V")</f>
        <v>0</v>
      </c>
      <c r="AO2">
        <f>BDH("WBD US Equity","CF_FREE_CASH_FLOW","1993-06-18","2026-05-02","Per=Y","Days=T","Dir=V")</f>
        <v>0</v>
      </c>
      <c r="AQ2">
        <f>BDH("WBD US Equity","PX_LAST","1993-06-18","2026-05-02","Per=M","Days=T","Dir=V")</f>
        <v>0</v>
      </c>
      <c r="AS2">
        <f>BDH("WBD US Equity","CUR_MKT_CAP","1993-06-18","2026-05-02","Per=M","Days=T","Dir=V")</f>
        <v>0</v>
      </c>
      <c r="AU2">
        <f>BDH("WBD US Equity","EQY_SH_OUT","1993-06-18","2026-05-02","Per=M","Days=T","Dir=V")</f>
        <v>0</v>
      </c>
      <c r="AW2">
        <f>BDH("WBD US Equity","PX_VOLUME","1993-06-18","2026-05-02","Per=M","Days=T","Dir=V")</f>
        <v>0</v>
      </c>
      <c r="AY2">
        <f>BDH("WBD US Equity","TURNOVER","1993-06-18","2026-05-02","Per=M","Days=T","Dir=V")</f>
        <v>0</v>
      </c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BDH("WBTN US Equity","BS_TOT_ASSET","1993-06-18","2026-05-02","Per=Y","Days=T","Dir=V")</f>
        <v>0</v>
      </c>
      <c r="C2">
        <f>BDH("WBTN US Equity","BS_TOT_LIAB2","1993-06-18","2026-05-02","Per=Y","Days=T","Dir=V")</f>
        <v>0</v>
      </c>
      <c r="E2">
        <f>BDH("WBTN US Equity","SHORT_AND_LONG_TERM_DEBT","1993-06-18","2026-05-02","Per=Y","Days=T","Dir=V")</f>
        <v>0</v>
      </c>
      <c r="G2">
        <f>BDH("WBTN US Equity","BS_ST_BORROW","1993-06-18","2026-05-02","Per=Y","Days=T","Dir=V")</f>
        <v>0</v>
      </c>
      <c r="I2">
        <f>BDH("WBTN US Equity","BS_LT_BORROW","1993-06-18","2026-05-02","Per=Y","Days=T","Dir=V")</f>
        <v>0</v>
      </c>
      <c r="K2">
        <f>BDH("WBTN US Equity","BS_CASH_NEAR_CASH_ITEM","1993-06-18","2026-05-02","Per=Y","Days=T","Dir=V")</f>
        <v>0</v>
      </c>
      <c r="M2">
        <f>BDH("WBTN US Equity","BS_CUR_ASSET_REPORT","1993-06-18","2026-05-02","Per=Y","Days=T","Dir=V")</f>
        <v>0</v>
      </c>
      <c r="O2">
        <f>BDH("WBTN US Equity","BS_CUR_LIAB","1993-06-18","2026-05-02","Per=Y","Days=T","Dir=V")</f>
        <v>0</v>
      </c>
      <c r="Q2">
        <f>BDH("WBTN US Equity","BS_SHAREHOLDER_EQY_ENDING_PERIOD","1993-06-18","2026-05-02","Per=Y","Days=T","Dir=V")</f>
        <v>0</v>
      </c>
      <c r="S2">
        <f>BDH("WBTN US Equity","BS_ACCT_NOTE_RCV","1993-06-18","2026-05-02","Per=Y","Days=T","Dir=V")</f>
        <v>0</v>
      </c>
      <c r="U2">
        <f>BDH("WBTN US Equity","BS_INVENTORIES","1993-06-18","2026-05-02","Per=Y","Days=T","Dir=V")</f>
        <v>0</v>
      </c>
      <c r="W2">
        <f>BDH("WBTN US Equity","WORKING_CAPITAL","1993-06-18","2026-05-02","Per=Y","Days=T","Dir=V")</f>
        <v>0</v>
      </c>
      <c r="Y2">
        <f>BDH("WBTN US Equity","SALES_REV_TURN","1993-06-18","2026-05-02","Per=Y","Days=T","Dir=V")</f>
        <v>0</v>
      </c>
      <c r="AA2">
        <f>BDH("WBTN US Equity","EBIT","1993-06-18","2026-05-02","Per=Y","Days=T","Dir=V")</f>
        <v>0</v>
      </c>
      <c r="AC2">
        <f>BDH("WBTN US Equity","EBITDA","1993-06-18","2026-05-02","Per=Y","Days=T","Dir=V")</f>
        <v>0</v>
      </c>
      <c r="AE2">
        <f>BDH("WBTN US Equity","NET_INCOME","1993-06-18","2026-05-02","Per=Y","Days=T","Dir=V")</f>
        <v>0</v>
      </c>
      <c r="AG2">
        <f>BDH("WBTN US Equity","IS_INT_EXPENSE","1993-06-18","2026-05-02","Per=Y","Days=T","Dir=V")</f>
        <v>0</v>
      </c>
      <c r="AI2">
        <f>BDH("WBTN US Equity","IS_DEPR_EXP","1993-06-18","2026-05-02","Per=Y","Days=T","Dir=V")</f>
        <v>0</v>
      </c>
      <c r="AK2">
        <f>BDH("WBTN US Equity","CF_CASH_FROM_OPER","1993-06-18","2026-05-02","Per=Y","Days=T","Dir=V")</f>
        <v>0</v>
      </c>
      <c r="AM2">
        <f>BDH("WBTN US Equity","CAPITAL_EXPEND","1993-06-18","2026-05-02","Per=Y","Days=T","Dir=V")</f>
        <v>0</v>
      </c>
      <c r="AO2">
        <f>BDH("WBTN US Equity","CF_FREE_CASH_FLOW","1993-06-18","2026-05-02","Per=Y","Days=T","Dir=V")</f>
        <v>0</v>
      </c>
      <c r="AQ2">
        <f>BDH("WBTN US Equity","PX_LAST","1993-06-18","2026-05-02","Per=M","Days=T","Dir=V")</f>
        <v>0</v>
      </c>
      <c r="AS2">
        <f>BDH("WBTN US Equity","CUR_MKT_CAP","1993-06-18","2026-05-02","Per=M","Days=T","Dir=V")</f>
        <v>0</v>
      </c>
      <c r="AU2">
        <f>BDH("WBTN US Equity","EQY_SH_OUT","1993-06-18","2026-05-02","Per=M","Days=T","Dir=V")</f>
        <v>0</v>
      </c>
      <c r="AW2">
        <f>BDH("WBTN US Equity","PX_VOLUME","1993-06-18","2026-05-02","Per=M","Days=T","Dir=V")</f>
        <v>0</v>
      </c>
      <c r="AY2">
        <f>BDH("WBTN US Equity","TURNOVER","1993-06-18","2026-05-02","Per=M","Days=T","Dir=V")</f>
        <v>0</v>
      </c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BDH("WCC US Equity","BS_TOT_ASSET","1993-06-18","2026-05-02","Per=Y","Days=T","Dir=V")</f>
        <v>0</v>
      </c>
      <c r="C2">
        <f>BDH("WCC US Equity","BS_TOT_LIAB2","1993-06-18","2026-05-02","Per=Y","Days=T","Dir=V")</f>
        <v>0</v>
      </c>
      <c r="E2">
        <f>BDH("WCC US Equity","SHORT_AND_LONG_TERM_DEBT","1993-06-18","2026-05-02","Per=Y","Days=T","Dir=V")</f>
        <v>0</v>
      </c>
      <c r="G2">
        <f>BDH("WCC US Equity","BS_ST_BORROW","1993-06-18","2026-05-02","Per=Y","Days=T","Dir=V")</f>
        <v>0</v>
      </c>
      <c r="I2">
        <f>BDH("WCC US Equity","BS_LT_BORROW","1993-06-18","2026-05-02","Per=Y","Days=T","Dir=V")</f>
        <v>0</v>
      </c>
      <c r="K2">
        <f>BDH("WCC US Equity","BS_CASH_NEAR_CASH_ITEM","1993-06-18","2026-05-02","Per=Y","Days=T","Dir=V")</f>
        <v>0</v>
      </c>
      <c r="M2">
        <f>BDH("WCC US Equity","BS_CUR_ASSET_REPORT","1993-06-18","2026-05-02","Per=Y","Days=T","Dir=V")</f>
        <v>0</v>
      </c>
      <c r="O2">
        <f>BDH("WCC US Equity","BS_CUR_LIAB","1993-06-18","2026-05-02","Per=Y","Days=T","Dir=V")</f>
        <v>0</v>
      </c>
      <c r="Q2">
        <f>BDH("WCC US Equity","BS_SHAREHOLDER_EQY_ENDING_PERIOD","1993-06-18","2026-05-02","Per=Y","Days=T","Dir=V")</f>
        <v>0</v>
      </c>
      <c r="S2">
        <f>BDH("WCC US Equity","BS_ACCT_NOTE_RCV","1993-06-18","2026-05-02","Per=Y","Days=T","Dir=V")</f>
        <v>0</v>
      </c>
      <c r="U2">
        <f>BDH("WCC US Equity","BS_INVENTORIES","1993-06-18","2026-05-02","Per=Y","Days=T","Dir=V")</f>
        <v>0</v>
      </c>
      <c r="W2">
        <f>BDH("WCC US Equity","WORKING_CAPITAL","1993-06-18","2026-05-02","Per=Y","Days=T","Dir=V")</f>
        <v>0</v>
      </c>
      <c r="Y2">
        <f>BDH("WCC US Equity","SALES_REV_TURN","1993-06-18","2026-05-02","Per=Y","Days=T","Dir=V")</f>
        <v>0</v>
      </c>
      <c r="AA2">
        <f>BDH("WCC US Equity","EBIT","1993-06-18","2026-05-02","Per=Y","Days=T","Dir=V")</f>
        <v>0</v>
      </c>
      <c r="AC2">
        <f>BDH("WCC US Equity","EBITDA","1993-06-18","2026-05-02","Per=Y","Days=T","Dir=V")</f>
        <v>0</v>
      </c>
      <c r="AE2">
        <f>BDH("WCC US Equity","NET_INCOME","1993-06-18","2026-05-02","Per=Y","Days=T","Dir=V")</f>
        <v>0</v>
      </c>
      <c r="AG2">
        <f>BDH("WCC US Equity","IS_INT_EXPENSE","1993-06-18","2026-05-02","Per=Y","Days=T","Dir=V")</f>
        <v>0</v>
      </c>
      <c r="AI2">
        <f>BDH("WCC US Equity","IS_DEPR_EXP","1993-06-18","2026-05-02","Per=Y","Days=T","Dir=V")</f>
        <v>0</v>
      </c>
      <c r="AK2">
        <f>BDH("WCC US Equity","CF_CASH_FROM_OPER","1993-06-18","2026-05-02","Per=Y","Days=T","Dir=V")</f>
        <v>0</v>
      </c>
      <c r="AM2">
        <f>BDH("WCC US Equity","CAPITAL_EXPEND","1993-06-18","2026-05-02","Per=Y","Days=T","Dir=V")</f>
        <v>0</v>
      </c>
      <c r="AO2">
        <f>BDH("WCC US Equity","CF_FREE_CASH_FLOW","1993-06-18","2026-05-02","Per=Y","Days=T","Dir=V")</f>
        <v>0</v>
      </c>
      <c r="AQ2">
        <f>BDH("WCC US Equity","PX_LAST","1993-06-18","2026-05-02","Per=M","Days=T","Dir=V")</f>
        <v>0</v>
      </c>
      <c r="AS2">
        <f>BDH("WCC US Equity","CUR_MKT_CAP","1993-06-18","2026-05-02","Per=M","Days=T","Dir=V")</f>
        <v>0</v>
      </c>
      <c r="AU2">
        <f>BDH("WCC US Equity","EQY_SH_OUT","1993-06-18","2026-05-02","Per=M","Days=T","Dir=V")</f>
        <v>0</v>
      </c>
      <c r="AW2">
        <f>BDH("WCC US Equity","PX_VOLUME","1993-06-18","2026-05-02","Per=M","Days=T","Dir=V")</f>
        <v>0</v>
      </c>
      <c r="AY2">
        <f>BDH("WCC US Equity","TURNOVER","1993-06-18","2026-05-02","Per=M","Days=T","Dir=V")</f>
        <v>0</v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BDH("WDAY US Equity","BS_TOT_ASSET","1993-06-18","2026-05-02","Per=Y","Days=T","Dir=V")</f>
        <v>0</v>
      </c>
      <c r="C2">
        <f>BDH("WDAY US Equity","BS_TOT_LIAB2","1993-06-18","2026-05-02","Per=Y","Days=T","Dir=V")</f>
        <v>0</v>
      </c>
      <c r="E2">
        <f>BDH("WDAY US Equity","SHORT_AND_LONG_TERM_DEBT","1993-06-18","2026-05-02","Per=Y","Days=T","Dir=V")</f>
        <v>0</v>
      </c>
      <c r="G2">
        <f>BDH("WDAY US Equity","BS_ST_BORROW","1993-06-18","2026-05-02","Per=Y","Days=T","Dir=V")</f>
        <v>0</v>
      </c>
      <c r="I2">
        <f>BDH("WDAY US Equity","BS_LT_BORROW","1993-06-18","2026-05-02","Per=Y","Days=T","Dir=V")</f>
        <v>0</v>
      </c>
      <c r="K2">
        <f>BDH("WDAY US Equity","BS_CASH_NEAR_CASH_ITEM","1993-06-18","2026-05-02","Per=Y","Days=T","Dir=V")</f>
        <v>0</v>
      </c>
      <c r="M2">
        <f>BDH("WDAY US Equity","BS_CUR_ASSET_REPORT","1993-06-18","2026-05-02","Per=Y","Days=T","Dir=V")</f>
        <v>0</v>
      </c>
      <c r="O2">
        <f>BDH("WDAY US Equity","BS_CUR_LIAB","1993-06-18","2026-05-02","Per=Y","Days=T","Dir=V")</f>
        <v>0</v>
      </c>
      <c r="Q2">
        <f>BDH("WDAY US Equity","BS_SHAREHOLDER_EQY_ENDING_PERIOD","1993-06-18","2026-05-02","Per=Y","Days=T","Dir=V")</f>
        <v>0</v>
      </c>
      <c r="S2">
        <f>BDH("WDAY US Equity","BS_ACCT_NOTE_RCV","1993-06-18","2026-05-02","Per=Y","Days=T","Dir=V")</f>
        <v>0</v>
      </c>
      <c r="U2">
        <f>BDH("WDAY US Equity","BS_INVENTORIES","1993-06-18","2026-05-02","Per=Y","Days=T","Dir=V")</f>
        <v>0</v>
      </c>
      <c r="W2">
        <f>BDH("WDAY US Equity","WORKING_CAPITAL","1993-06-18","2026-05-02","Per=Y","Days=T","Dir=V")</f>
        <v>0</v>
      </c>
      <c r="Y2">
        <f>BDH("WDAY US Equity","SALES_REV_TURN","1993-06-18","2026-05-02","Per=Y","Days=T","Dir=V")</f>
        <v>0</v>
      </c>
      <c r="AA2">
        <f>BDH("WDAY US Equity","EBIT","1993-06-18","2026-05-02","Per=Y","Days=T","Dir=V")</f>
        <v>0</v>
      </c>
      <c r="AC2">
        <f>BDH("WDAY US Equity","EBITDA","1993-06-18","2026-05-02","Per=Y","Days=T","Dir=V")</f>
        <v>0</v>
      </c>
      <c r="AE2">
        <f>BDH("WDAY US Equity","NET_INCOME","1993-06-18","2026-05-02","Per=Y","Days=T","Dir=V")</f>
        <v>0</v>
      </c>
      <c r="AG2">
        <f>BDH("WDAY US Equity","IS_INT_EXPENSE","1993-06-18","2026-05-02","Per=Y","Days=T","Dir=V")</f>
        <v>0</v>
      </c>
      <c r="AI2">
        <f>BDH("WDAY US Equity","IS_DEPR_EXP","1993-06-18","2026-05-02","Per=Y","Days=T","Dir=V")</f>
        <v>0</v>
      </c>
      <c r="AK2">
        <f>BDH("WDAY US Equity","CF_CASH_FROM_OPER","1993-06-18","2026-05-02","Per=Y","Days=T","Dir=V")</f>
        <v>0</v>
      </c>
      <c r="AM2">
        <f>BDH("WDAY US Equity","CAPITAL_EXPEND","1993-06-18","2026-05-02","Per=Y","Days=T","Dir=V")</f>
        <v>0</v>
      </c>
      <c r="AO2">
        <f>BDH("WDAY US Equity","CF_FREE_CASH_FLOW","1993-06-18","2026-05-02","Per=Y","Days=T","Dir=V")</f>
        <v>0</v>
      </c>
      <c r="AQ2">
        <f>BDH("WDAY US Equity","PX_LAST","1993-06-18","2026-05-02","Per=M","Days=T","Dir=V")</f>
        <v>0</v>
      </c>
      <c r="AS2">
        <f>BDH("WDAY US Equity","CUR_MKT_CAP","1993-06-18","2026-05-02","Per=M","Days=T","Dir=V")</f>
        <v>0</v>
      </c>
      <c r="AU2">
        <f>BDH("WDAY US Equity","EQY_SH_OUT","1993-06-18","2026-05-02","Per=M","Days=T","Dir=V")</f>
        <v>0</v>
      </c>
      <c r="AW2">
        <f>BDH("WDAY US Equity","PX_VOLUME","1993-06-18","2026-05-02","Per=M","Days=T","Dir=V")</f>
        <v>0</v>
      </c>
      <c r="AY2">
        <f>BDH("WDAY US Equity","TURNOVER","1993-06-18","2026-05-02","Per=M","Days=T","Dir=V")</f>
        <v>0</v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BDH("WDC US Equity","BS_TOT_ASSET","1993-06-18","2026-05-02","Per=Y","Days=T","Dir=V")</f>
        <v>0</v>
      </c>
      <c r="C2">
        <f>BDH("WDC US Equity","BS_TOT_LIAB2","1993-06-18","2026-05-02","Per=Y","Days=T","Dir=V")</f>
        <v>0</v>
      </c>
      <c r="E2">
        <f>BDH("WDC US Equity","SHORT_AND_LONG_TERM_DEBT","1993-06-18","2026-05-02","Per=Y","Days=T","Dir=V")</f>
        <v>0</v>
      </c>
      <c r="G2">
        <f>BDH("WDC US Equity","BS_ST_BORROW","1993-06-18","2026-05-02","Per=Y","Days=T","Dir=V")</f>
        <v>0</v>
      </c>
      <c r="I2">
        <f>BDH("WDC US Equity","BS_LT_BORROW","1993-06-18","2026-05-02","Per=Y","Days=T","Dir=V")</f>
        <v>0</v>
      </c>
      <c r="K2">
        <f>BDH("WDC US Equity","BS_CASH_NEAR_CASH_ITEM","1993-06-18","2026-05-02","Per=Y","Days=T","Dir=V")</f>
        <v>0</v>
      </c>
      <c r="M2">
        <f>BDH("WDC US Equity","BS_CUR_ASSET_REPORT","1993-06-18","2026-05-02","Per=Y","Days=T","Dir=V")</f>
        <v>0</v>
      </c>
      <c r="O2">
        <f>BDH("WDC US Equity","BS_CUR_LIAB","1993-06-18","2026-05-02","Per=Y","Days=T","Dir=V")</f>
        <v>0</v>
      </c>
      <c r="Q2">
        <f>BDH("WDC US Equity","BS_SHAREHOLDER_EQY_ENDING_PERIOD","1993-06-18","2026-05-02","Per=Y","Days=T","Dir=V")</f>
        <v>0</v>
      </c>
      <c r="S2">
        <f>BDH("WDC US Equity","BS_ACCT_NOTE_RCV","1993-06-18","2026-05-02","Per=Y","Days=T","Dir=V")</f>
        <v>0</v>
      </c>
      <c r="U2">
        <f>BDH("WDC US Equity","BS_INVENTORIES","1993-06-18","2026-05-02","Per=Y","Days=T","Dir=V")</f>
        <v>0</v>
      </c>
      <c r="W2">
        <f>BDH("WDC US Equity","WORKING_CAPITAL","1993-06-18","2026-05-02","Per=Y","Days=T","Dir=V")</f>
        <v>0</v>
      </c>
      <c r="Y2">
        <f>BDH("WDC US Equity","SALES_REV_TURN","1993-06-18","2026-05-02","Per=Y","Days=T","Dir=V")</f>
        <v>0</v>
      </c>
      <c r="AA2">
        <f>BDH("WDC US Equity","EBIT","1993-06-18","2026-05-02","Per=Y","Days=T","Dir=V")</f>
        <v>0</v>
      </c>
      <c r="AC2">
        <f>BDH("WDC US Equity","EBITDA","1993-06-18","2026-05-02","Per=Y","Days=T","Dir=V")</f>
        <v>0</v>
      </c>
      <c r="AE2">
        <f>BDH("WDC US Equity","NET_INCOME","1993-06-18","2026-05-02","Per=Y","Days=T","Dir=V")</f>
        <v>0</v>
      </c>
      <c r="AG2">
        <f>BDH("WDC US Equity","IS_INT_EXPENSE","1993-06-18","2026-05-02","Per=Y","Days=T","Dir=V")</f>
        <v>0</v>
      </c>
      <c r="AI2">
        <f>BDH("WDC US Equity","IS_DEPR_EXP","1993-06-18","2026-05-02","Per=Y","Days=T","Dir=V")</f>
        <v>0</v>
      </c>
      <c r="AK2">
        <f>BDH("WDC US Equity","CF_CASH_FROM_OPER","1993-06-18","2026-05-02","Per=Y","Days=T","Dir=V")</f>
        <v>0</v>
      </c>
      <c r="AM2">
        <f>BDH("WDC US Equity","CAPITAL_EXPEND","1993-06-18","2026-05-02","Per=Y","Days=T","Dir=V")</f>
        <v>0</v>
      </c>
      <c r="AO2">
        <f>BDH("WDC US Equity","CF_FREE_CASH_FLOW","1993-06-18","2026-05-02","Per=Y","Days=T","Dir=V")</f>
        <v>0</v>
      </c>
      <c r="AQ2">
        <f>BDH("WDC US Equity","PX_LAST","1993-06-18","2026-05-02","Per=M","Days=T","Dir=V")</f>
        <v>0</v>
      </c>
      <c r="AS2">
        <f>BDH("WDC US Equity","CUR_MKT_CAP","1993-06-18","2026-05-02","Per=M","Days=T","Dir=V")</f>
        <v>0</v>
      </c>
      <c r="AU2">
        <f>BDH("WDC US Equity","EQY_SH_OUT","1993-06-18","2026-05-02","Per=M","Days=T","Dir=V")</f>
        <v>0</v>
      </c>
      <c r="AW2">
        <f>BDH("WDC US Equity","PX_VOLUME","1993-06-18","2026-05-02","Per=M","Days=T","Dir=V")</f>
        <v>0</v>
      </c>
      <c r="AY2">
        <f>BDH("WDC US Equity","TURNOVER","1993-06-18","2026-05-02","Per=M","Days=T","Dir=V")</f>
        <v>0</v>
      </c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BDH("WDFC US Equity","BS_TOT_ASSET","1993-06-18","2026-05-02","Per=Y","Days=T","Dir=V")</f>
        <v>0</v>
      </c>
      <c r="C2">
        <f>BDH("WDFC US Equity","BS_TOT_LIAB2","1993-06-18","2026-05-02","Per=Y","Days=T","Dir=V")</f>
        <v>0</v>
      </c>
      <c r="E2">
        <f>BDH("WDFC US Equity","SHORT_AND_LONG_TERM_DEBT","1993-06-18","2026-05-02","Per=Y","Days=T","Dir=V")</f>
        <v>0</v>
      </c>
      <c r="G2">
        <f>BDH("WDFC US Equity","BS_ST_BORROW","1993-06-18","2026-05-02","Per=Y","Days=T","Dir=V")</f>
        <v>0</v>
      </c>
      <c r="I2">
        <f>BDH("WDFC US Equity","BS_LT_BORROW","1993-06-18","2026-05-02","Per=Y","Days=T","Dir=V")</f>
        <v>0</v>
      </c>
      <c r="K2">
        <f>BDH("WDFC US Equity","BS_CASH_NEAR_CASH_ITEM","1993-06-18","2026-05-02","Per=Y","Days=T","Dir=V")</f>
        <v>0</v>
      </c>
      <c r="M2">
        <f>BDH("WDFC US Equity","BS_CUR_ASSET_REPORT","1993-06-18","2026-05-02","Per=Y","Days=T","Dir=V")</f>
        <v>0</v>
      </c>
      <c r="O2">
        <f>BDH("WDFC US Equity","BS_CUR_LIAB","1993-06-18","2026-05-02","Per=Y","Days=T","Dir=V")</f>
        <v>0</v>
      </c>
      <c r="Q2">
        <f>BDH("WDFC US Equity","BS_SHAREHOLDER_EQY_ENDING_PERIOD","1993-06-18","2026-05-02","Per=Y","Days=T","Dir=V")</f>
        <v>0</v>
      </c>
      <c r="S2">
        <f>BDH("WDFC US Equity","BS_ACCT_NOTE_RCV","1993-06-18","2026-05-02","Per=Y","Days=T","Dir=V")</f>
        <v>0</v>
      </c>
      <c r="U2">
        <f>BDH("WDFC US Equity","BS_INVENTORIES","1993-06-18","2026-05-02","Per=Y","Days=T","Dir=V")</f>
        <v>0</v>
      </c>
      <c r="W2">
        <f>BDH("WDFC US Equity","WORKING_CAPITAL","1993-06-18","2026-05-02","Per=Y","Days=T","Dir=V")</f>
        <v>0</v>
      </c>
      <c r="Y2">
        <f>BDH("WDFC US Equity","SALES_REV_TURN","1993-06-18","2026-05-02","Per=Y","Days=T","Dir=V")</f>
        <v>0</v>
      </c>
      <c r="AA2">
        <f>BDH("WDFC US Equity","EBIT","1993-06-18","2026-05-02","Per=Y","Days=T","Dir=V")</f>
        <v>0</v>
      </c>
      <c r="AC2">
        <f>BDH("WDFC US Equity","EBITDA","1993-06-18","2026-05-02","Per=Y","Days=T","Dir=V")</f>
        <v>0</v>
      </c>
      <c r="AE2">
        <f>BDH("WDFC US Equity","NET_INCOME","1993-06-18","2026-05-02","Per=Y","Days=T","Dir=V")</f>
        <v>0</v>
      </c>
      <c r="AG2">
        <f>BDH("WDFC US Equity","IS_INT_EXPENSE","1993-06-18","2026-05-02","Per=Y","Days=T","Dir=V")</f>
        <v>0</v>
      </c>
      <c r="AI2">
        <f>BDH("WDFC US Equity","IS_DEPR_EXP","1993-06-18","2026-05-02","Per=Y","Days=T","Dir=V")</f>
        <v>0</v>
      </c>
      <c r="AK2">
        <f>BDH("WDFC US Equity","CF_CASH_FROM_OPER","1993-06-18","2026-05-02","Per=Y","Days=T","Dir=V")</f>
        <v>0</v>
      </c>
      <c r="AM2">
        <f>BDH("WDFC US Equity","CAPITAL_EXPEND","1993-06-18","2026-05-02","Per=Y","Days=T","Dir=V")</f>
        <v>0</v>
      </c>
      <c r="AO2">
        <f>BDH("WDFC US Equity","CF_FREE_CASH_FLOW","1993-06-18","2026-05-02","Per=Y","Days=T","Dir=V")</f>
        <v>0</v>
      </c>
      <c r="AQ2">
        <f>BDH("WDFC US Equity","PX_LAST","1993-06-18","2026-05-02","Per=M","Days=T","Dir=V")</f>
        <v>0</v>
      </c>
      <c r="AS2">
        <f>BDH("WDFC US Equity","CUR_MKT_CAP","1993-06-18","2026-05-02","Per=M","Days=T","Dir=V")</f>
        <v>0</v>
      </c>
      <c r="AU2">
        <f>BDH("WDFC US Equity","EQY_SH_OUT","1993-06-18","2026-05-02","Per=M","Days=T","Dir=V")</f>
        <v>0</v>
      </c>
      <c r="AW2">
        <f>BDH("WDFC US Equity","PX_VOLUME","1993-06-18","2026-05-02","Per=M","Days=T","Dir=V")</f>
        <v>0</v>
      </c>
      <c r="AY2">
        <f>BDH("WDFC US Equity","TURNOVER","1993-06-18","2026-05-02","Per=M","Days=T","Dir=V")</f>
        <v>0</v>
      </c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BDH("WEAV US Equity","BS_TOT_ASSET","1993-06-18","2026-05-02","Per=Y","Days=T","Dir=V")</f>
        <v>0</v>
      </c>
      <c r="C2">
        <f>BDH("WEAV US Equity","BS_TOT_LIAB2","1993-06-18","2026-05-02","Per=Y","Days=T","Dir=V")</f>
        <v>0</v>
      </c>
      <c r="E2">
        <f>BDH("WEAV US Equity","SHORT_AND_LONG_TERM_DEBT","1993-06-18","2026-05-02","Per=Y","Days=T","Dir=V")</f>
        <v>0</v>
      </c>
      <c r="G2">
        <f>BDH("WEAV US Equity","BS_ST_BORROW","1993-06-18","2026-05-02","Per=Y","Days=T","Dir=V")</f>
        <v>0</v>
      </c>
      <c r="I2">
        <f>BDH("WEAV US Equity","BS_LT_BORROW","1993-06-18","2026-05-02","Per=Y","Days=T","Dir=V")</f>
        <v>0</v>
      </c>
      <c r="K2">
        <f>BDH("WEAV US Equity","BS_CASH_NEAR_CASH_ITEM","1993-06-18","2026-05-02","Per=Y","Days=T","Dir=V")</f>
        <v>0</v>
      </c>
      <c r="M2">
        <f>BDH("WEAV US Equity","BS_CUR_ASSET_REPORT","1993-06-18","2026-05-02","Per=Y","Days=T","Dir=V")</f>
        <v>0</v>
      </c>
      <c r="O2">
        <f>BDH("WEAV US Equity","BS_CUR_LIAB","1993-06-18","2026-05-02","Per=Y","Days=T","Dir=V")</f>
        <v>0</v>
      </c>
      <c r="Q2">
        <f>BDH("WEAV US Equity","BS_SHAREHOLDER_EQY_ENDING_PERIOD","1993-06-18","2026-05-02","Per=Y","Days=T","Dir=V")</f>
        <v>0</v>
      </c>
      <c r="S2">
        <f>BDH("WEAV US Equity","BS_ACCT_NOTE_RCV","1993-06-18","2026-05-02","Per=Y","Days=T","Dir=V")</f>
        <v>0</v>
      </c>
      <c r="U2">
        <f>BDH("WEAV US Equity","BS_INVENTORIES","1993-06-18","2026-05-02","Per=Y","Days=T","Dir=V")</f>
        <v>0</v>
      </c>
      <c r="W2">
        <f>BDH("WEAV US Equity","WORKING_CAPITAL","1993-06-18","2026-05-02","Per=Y","Days=T","Dir=V")</f>
        <v>0</v>
      </c>
      <c r="Y2">
        <f>BDH("WEAV US Equity","SALES_REV_TURN","1993-06-18","2026-05-02","Per=Y","Days=T","Dir=V")</f>
        <v>0</v>
      </c>
      <c r="AA2">
        <f>BDH("WEAV US Equity","EBIT","1993-06-18","2026-05-02","Per=Y","Days=T","Dir=V")</f>
        <v>0</v>
      </c>
      <c r="AC2">
        <f>BDH("WEAV US Equity","EBITDA","1993-06-18","2026-05-02","Per=Y","Days=T","Dir=V")</f>
        <v>0</v>
      </c>
      <c r="AE2">
        <f>BDH("WEAV US Equity","NET_INCOME","1993-06-18","2026-05-02","Per=Y","Days=T","Dir=V")</f>
        <v>0</v>
      </c>
      <c r="AG2">
        <f>BDH("WEAV US Equity","IS_INT_EXPENSE","1993-06-18","2026-05-02","Per=Y","Days=T","Dir=V")</f>
        <v>0</v>
      </c>
      <c r="AI2">
        <f>BDH("WEAV US Equity","IS_DEPR_EXP","1993-06-18","2026-05-02","Per=Y","Days=T","Dir=V")</f>
        <v>0</v>
      </c>
      <c r="AK2">
        <f>BDH("WEAV US Equity","CF_CASH_FROM_OPER","1993-06-18","2026-05-02","Per=Y","Days=T","Dir=V")</f>
        <v>0</v>
      </c>
      <c r="AM2">
        <f>BDH("WEAV US Equity","CAPITAL_EXPEND","1993-06-18","2026-05-02","Per=Y","Days=T","Dir=V")</f>
        <v>0</v>
      </c>
      <c r="AO2">
        <f>BDH("WEAV US Equity","CF_FREE_CASH_FLOW","1993-06-18","2026-05-02","Per=Y","Days=T","Dir=V")</f>
        <v>0</v>
      </c>
      <c r="AQ2">
        <f>BDH("WEAV US Equity","PX_LAST","1993-06-18","2026-05-02","Per=M","Days=T","Dir=V")</f>
        <v>0</v>
      </c>
      <c r="AS2">
        <f>BDH("WEAV US Equity","CUR_MKT_CAP","1993-06-18","2026-05-02","Per=M","Days=T","Dir=V")</f>
        <v>0</v>
      </c>
      <c r="AU2">
        <f>BDH("WEAV US Equity","EQY_SH_OUT","1993-06-18","2026-05-02","Per=M","Days=T","Dir=V")</f>
        <v>0</v>
      </c>
      <c r="AW2">
        <f>BDH("WEAV US Equity","PX_VOLUME","1993-06-18","2026-05-02","Per=M","Days=T","Dir=V")</f>
        <v>0</v>
      </c>
      <c r="AY2">
        <f>BDH("WEAV US Equity","TURNOVER","1993-06-18","2026-05-02","Per=M","Days=T","Dir=V")</f>
        <v>0</v>
      </c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BDH("WEC US Equity","BS_TOT_ASSET","1993-06-18","2026-05-02","Per=Y","Days=T","Dir=V")</f>
        <v>0</v>
      </c>
      <c r="C2">
        <f>BDH("WEC US Equity","BS_TOT_LIAB2","1993-06-18","2026-05-02","Per=Y","Days=T","Dir=V")</f>
        <v>0</v>
      </c>
      <c r="E2">
        <f>BDH("WEC US Equity","SHORT_AND_LONG_TERM_DEBT","1993-06-18","2026-05-02","Per=Y","Days=T","Dir=V")</f>
        <v>0</v>
      </c>
      <c r="G2">
        <f>BDH("WEC US Equity","BS_ST_BORROW","1993-06-18","2026-05-02","Per=Y","Days=T","Dir=V")</f>
        <v>0</v>
      </c>
      <c r="I2">
        <f>BDH("WEC US Equity","BS_LT_BORROW","1993-06-18","2026-05-02","Per=Y","Days=T","Dir=V")</f>
        <v>0</v>
      </c>
      <c r="K2">
        <f>BDH("WEC US Equity","BS_CASH_NEAR_CASH_ITEM","1993-06-18","2026-05-02","Per=Y","Days=T","Dir=V")</f>
        <v>0</v>
      </c>
      <c r="M2">
        <f>BDH("WEC US Equity","BS_CUR_ASSET_REPORT","1993-06-18","2026-05-02","Per=Y","Days=T","Dir=V")</f>
        <v>0</v>
      </c>
      <c r="O2">
        <f>BDH("WEC US Equity","BS_CUR_LIAB","1993-06-18","2026-05-02","Per=Y","Days=T","Dir=V")</f>
        <v>0</v>
      </c>
      <c r="Q2">
        <f>BDH("WEC US Equity","BS_SHAREHOLDER_EQY_ENDING_PERIOD","1993-06-18","2026-05-02","Per=Y","Days=T","Dir=V")</f>
        <v>0</v>
      </c>
      <c r="S2">
        <f>BDH("WEC US Equity","BS_ACCT_NOTE_RCV","1993-06-18","2026-05-02","Per=Y","Days=T","Dir=V")</f>
        <v>0</v>
      </c>
      <c r="U2">
        <f>BDH("WEC US Equity","BS_INVENTORIES","1993-06-18","2026-05-02","Per=Y","Days=T","Dir=V")</f>
        <v>0</v>
      </c>
      <c r="W2">
        <f>BDH("WEC US Equity","WORKING_CAPITAL","1993-06-18","2026-05-02","Per=Y","Days=T","Dir=V")</f>
        <v>0</v>
      </c>
      <c r="Y2">
        <f>BDH("WEC US Equity","SALES_REV_TURN","1993-06-18","2026-05-02","Per=Y","Days=T","Dir=V")</f>
        <v>0</v>
      </c>
      <c r="AA2">
        <f>BDH("WEC US Equity","EBIT","1993-06-18","2026-05-02","Per=Y","Days=T","Dir=V")</f>
        <v>0</v>
      </c>
      <c r="AC2">
        <f>BDH("WEC US Equity","EBITDA","1993-06-18","2026-05-02","Per=Y","Days=T","Dir=V")</f>
        <v>0</v>
      </c>
      <c r="AE2">
        <f>BDH("WEC US Equity","NET_INCOME","1993-06-18","2026-05-02","Per=Y","Days=T","Dir=V")</f>
        <v>0</v>
      </c>
      <c r="AG2">
        <f>BDH("WEC US Equity","IS_INT_EXPENSE","1993-06-18","2026-05-02","Per=Y","Days=T","Dir=V")</f>
        <v>0</v>
      </c>
      <c r="AI2">
        <f>BDH("WEC US Equity","IS_DEPR_EXP","1993-06-18","2026-05-02","Per=Y","Days=T","Dir=V")</f>
        <v>0</v>
      </c>
      <c r="AK2">
        <f>BDH("WEC US Equity","CF_CASH_FROM_OPER","1993-06-18","2026-05-02","Per=Y","Days=T","Dir=V")</f>
        <v>0</v>
      </c>
      <c r="AM2">
        <f>BDH("WEC US Equity","CAPITAL_EXPEND","1993-06-18","2026-05-02","Per=Y","Days=T","Dir=V")</f>
        <v>0</v>
      </c>
      <c r="AO2">
        <f>BDH("WEC US Equity","CF_FREE_CASH_FLOW","1993-06-18","2026-05-02","Per=Y","Days=T","Dir=V")</f>
        <v>0</v>
      </c>
      <c r="AQ2">
        <f>BDH("WEC US Equity","PX_LAST","1993-06-18","2026-05-02","Per=M","Days=T","Dir=V")</f>
        <v>0</v>
      </c>
      <c r="AS2">
        <f>BDH("WEC US Equity","CUR_MKT_CAP","1993-06-18","2026-05-02","Per=M","Days=T","Dir=V")</f>
        <v>0</v>
      </c>
      <c r="AU2">
        <f>BDH("WEC US Equity","EQY_SH_OUT","1993-06-18","2026-05-02","Per=M","Days=T","Dir=V")</f>
        <v>0</v>
      </c>
      <c r="AW2">
        <f>BDH("WEC US Equity","PX_VOLUME","1993-06-18","2026-05-02","Per=M","Days=T","Dir=V")</f>
        <v>0</v>
      </c>
      <c r="AY2">
        <f>BDH("WEC US Equity","TURNOVER","1993-06-18","2026-05-02","Per=M","Days=T","Dir=V")</f>
        <v>0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BDH("WEN US Equity","BS_TOT_ASSET","1993-06-18","2026-05-02","Per=Y","Days=T","Dir=V")</f>
        <v>0</v>
      </c>
      <c r="C2">
        <f>BDH("WEN US Equity","BS_TOT_LIAB2","1993-06-18","2026-05-02","Per=Y","Days=T","Dir=V")</f>
        <v>0</v>
      </c>
      <c r="E2">
        <f>BDH("WEN US Equity","SHORT_AND_LONG_TERM_DEBT","1993-06-18","2026-05-02","Per=Y","Days=T","Dir=V")</f>
        <v>0</v>
      </c>
      <c r="G2">
        <f>BDH("WEN US Equity","BS_ST_BORROW","1993-06-18","2026-05-02","Per=Y","Days=T","Dir=V")</f>
        <v>0</v>
      </c>
      <c r="I2">
        <f>BDH("WEN US Equity","BS_LT_BORROW","1993-06-18","2026-05-02","Per=Y","Days=T","Dir=V")</f>
        <v>0</v>
      </c>
      <c r="K2">
        <f>BDH("WEN US Equity","BS_CASH_NEAR_CASH_ITEM","1993-06-18","2026-05-02","Per=Y","Days=T","Dir=V")</f>
        <v>0</v>
      </c>
      <c r="M2">
        <f>BDH("WEN US Equity","BS_CUR_ASSET_REPORT","1993-06-18","2026-05-02","Per=Y","Days=T","Dir=V")</f>
        <v>0</v>
      </c>
      <c r="O2">
        <f>BDH("WEN US Equity","BS_CUR_LIAB","1993-06-18","2026-05-02","Per=Y","Days=T","Dir=V")</f>
        <v>0</v>
      </c>
      <c r="Q2">
        <f>BDH("WEN US Equity","BS_SHAREHOLDER_EQY_ENDING_PERIOD","1993-06-18","2026-05-02","Per=Y","Days=T","Dir=V")</f>
        <v>0</v>
      </c>
      <c r="S2">
        <f>BDH("WEN US Equity","BS_ACCT_NOTE_RCV","1993-06-18","2026-05-02","Per=Y","Days=T","Dir=V")</f>
        <v>0</v>
      </c>
      <c r="U2">
        <f>BDH("WEN US Equity","BS_INVENTORIES","1993-06-18","2026-05-02","Per=Y","Days=T","Dir=V")</f>
        <v>0</v>
      </c>
      <c r="W2">
        <f>BDH("WEN US Equity","WORKING_CAPITAL","1993-06-18","2026-05-02","Per=Y","Days=T","Dir=V")</f>
        <v>0</v>
      </c>
      <c r="Y2">
        <f>BDH("WEN US Equity","SALES_REV_TURN","1993-06-18","2026-05-02","Per=Y","Days=T","Dir=V")</f>
        <v>0</v>
      </c>
      <c r="AA2">
        <f>BDH("WEN US Equity","EBIT","1993-06-18","2026-05-02","Per=Y","Days=T","Dir=V")</f>
        <v>0</v>
      </c>
      <c r="AC2">
        <f>BDH("WEN US Equity","EBITDA","1993-06-18","2026-05-02","Per=Y","Days=T","Dir=V")</f>
        <v>0</v>
      </c>
      <c r="AE2">
        <f>BDH("WEN US Equity","NET_INCOME","1993-06-18","2026-05-02","Per=Y","Days=T","Dir=V")</f>
        <v>0</v>
      </c>
      <c r="AG2">
        <f>BDH("WEN US Equity","IS_INT_EXPENSE","1993-06-18","2026-05-02","Per=Y","Days=T","Dir=V")</f>
        <v>0</v>
      </c>
      <c r="AI2">
        <f>BDH("WEN US Equity","IS_DEPR_EXP","1993-06-18","2026-05-02","Per=Y","Days=T","Dir=V")</f>
        <v>0</v>
      </c>
      <c r="AK2">
        <f>BDH("WEN US Equity","CF_CASH_FROM_OPER","1993-06-18","2026-05-02","Per=Y","Days=T","Dir=V")</f>
        <v>0</v>
      </c>
      <c r="AM2">
        <f>BDH("WEN US Equity","CAPITAL_EXPEND","1993-06-18","2026-05-02","Per=Y","Days=T","Dir=V")</f>
        <v>0</v>
      </c>
      <c r="AO2">
        <f>BDH("WEN US Equity","CF_FREE_CASH_FLOW","1993-06-18","2026-05-02","Per=Y","Days=T","Dir=V")</f>
        <v>0</v>
      </c>
      <c r="AQ2">
        <f>BDH("WEN US Equity","PX_LAST","1993-06-18","2026-05-02","Per=M","Days=T","Dir=V")</f>
        <v>0</v>
      </c>
      <c r="AS2">
        <f>BDH("WEN US Equity","CUR_MKT_CAP","1993-06-18","2026-05-02","Per=M","Days=T","Dir=V")</f>
        <v>0</v>
      </c>
      <c r="AU2">
        <f>BDH("WEN US Equity","EQY_SH_OUT","1993-06-18","2026-05-02","Per=M","Days=T","Dir=V")</f>
        <v>0</v>
      </c>
      <c r="AW2">
        <f>BDH("WEN US Equity","PX_VOLUME","1993-06-18","2026-05-02","Per=M","Days=T","Dir=V")</f>
        <v>0</v>
      </c>
      <c r="AY2">
        <f>BDH("WEN US Equity","TURNOVER","1993-06-18","2026-05-02","Per=M","Days=T","Dir=V")</f>
        <v>0</v>
      </c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BDH("WERN US Equity","BS_TOT_ASSET","1993-06-18","2026-05-02","Per=Y","Days=T","Dir=V")</f>
        <v>0</v>
      </c>
      <c r="C2">
        <f>BDH("WERN US Equity","BS_TOT_LIAB2","1993-06-18","2026-05-02","Per=Y","Days=T","Dir=V")</f>
        <v>0</v>
      </c>
      <c r="E2">
        <f>BDH("WERN US Equity","SHORT_AND_LONG_TERM_DEBT","1993-06-18","2026-05-02","Per=Y","Days=T","Dir=V")</f>
        <v>0</v>
      </c>
      <c r="G2">
        <f>BDH("WERN US Equity","BS_ST_BORROW","1993-06-18","2026-05-02","Per=Y","Days=T","Dir=V")</f>
        <v>0</v>
      </c>
      <c r="I2">
        <f>BDH("WERN US Equity","BS_LT_BORROW","1993-06-18","2026-05-02","Per=Y","Days=T","Dir=V")</f>
        <v>0</v>
      </c>
      <c r="K2">
        <f>BDH("WERN US Equity","BS_CASH_NEAR_CASH_ITEM","1993-06-18","2026-05-02","Per=Y","Days=T","Dir=V")</f>
        <v>0</v>
      </c>
      <c r="M2">
        <f>BDH("WERN US Equity","BS_CUR_ASSET_REPORT","1993-06-18","2026-05-02","Per=Y","Days=T","Dir=V")</f>
        <v>0</v>
      </c>
      <c r="O2">
        <f>BDH("WERN US Equity","BS_CUR_LIAB","1993-06-18","2026-05-02","Per=Y","Days=T","Dir=V")</f>
        <v>0</v>
      </c>
      <c r="Q2">
        <f>BDH("WERN US Equity","BS_SHAREHOLDER_EQY_ENDING_PERIOD","1993-06-18","2026-05-02","Per=Y","Days=T","Dir=V")</f>
        <v>0</v>
      </c>
      <c r="S2">
        <f>BDH("WERN US Equity","BS_ACCT_NOTE_RCV","1993-06-18","2026-05-02","Per=Y","Days=T","Dir=V")</f>
        <v>0</v>
      </c>
      <c r="U2">
        <f>BDH("WERN US Equity","BS_INVENTORIES","1993-06-18","2026-05-02","Per=Y","Days=T","Dir=V")</f>
        <v>0</v>
      </c>
      <c r="W2">
        <f>BDH("WERN US Equity","WORKING_CAPITAL","1993-06-18","2026-05-02","Per=Y","Days=T","Dir=V")</f>
        <v>0</v>
      </c>
      <c r="Y2">
        <f>BDH("WERN US Equity","SALES_REV_TURN","1993-06-18","2026-05-02","Per=Y","Days=T","Dir=V")</f>
        <v>0</v>
      </c>
      <c r="AA2">
        <f>BDH("WERN US Equity","EBIT","1993-06-18","2026-05-02","Per=Y","Days=T","Dir=V")</f>
        <v>0</v>
      </c>
      <c r="AC2">
        <f>BDH("WERN US Equity","EBITDA","1993-06-18","2026-05-02","Per=Y","Days=T","Dir=V")</f>
        <v>0</v>
      </c>
      <c r="AE2">
        <f>BDH("WERN US Equity","NET_INCOME","1993-06-18","2026-05-02","Per=Y","Days=T","Dir=V")</f>
        <v>0</v>
      </c>
      <c r="AG2">
        <f>BDH("WERN US Equity","IS_INT_EXPENSE","1993-06-18","2026-05-02","Per=Y","Days=T","Dir=V")</f>
        <v>0</v>
      </c>
      <c r="AI2">
        <f>BDH("WERN US Equity","IS_DEPR_EXP","1993-06-18","2026-05-02","Per=Y","Days=T","Dir=V")</f>
        <v>0</v>
      </c>
      <c r="AK2">
        <f>BDH("WERN US Equity","CF_CASH_FROM_OPER","1993-06-18","2026-05-02","Per=Y","Days=T","Dir=V")</f>
        <v>0</v>
      </c>
      <c r="AM2">
        <f>BDH("WERN US Equity","CAPITAL_EXPEND","1993-06-18","2026-05-02","Per=Y","Days=T","Dir=V")</f>
        <v>0</v>
      </c>
      <c r="AO2">
        <f>BDH("WERN US Equity","CF_FREE_CASH_FLOW","1993-06-18","2026-05-02","Per=Y","Days=T","Dir=V")</f>
        <v>0</v>
      </c>
      <c r="AQ2">
        <f>BDH("WERN US Equity","PX_LAST","1993-06-18","2026-05-02","Per=M","Days=T","Dir=V")</f>
        <v>0</v>
      </c>
      <c r="AS2">
        <f>BDH("WERN US Equity","CUR_MKT_CAP","1993-06-18","2026-05-02","Per=M","Days=T","Dir=V")</f>
        <v>0</v>
      </c>
      <c r="AU2">
        <f>BDH("WERN US Equity","EQY_SH_OUT","1993-06-18","2026-05-02","Per=M","Days=T","Dir=V")</f>
        <v>0</v>
      </c>
      <c r="AW2">
        <f>BDH("WERN US Equity","PX_VOLUME","1993-06-18","2026-05-02","Per=M","Days=T","Dir=V")</f>
        <v>0</v>
      </c>
      <c r="AY2">
        <f>BDH("WERN US Equity","TURNOVER","1993-06-18","2026-05-02","Per=M","Days=T","Dir=V")</f>
        <v>0</v>
      </c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BDH("WES US Equity","BS_TOT_ASSET","1993-06-18","2026-05-02","Per=Y","Days=T","Dir=V")</f>
        <v>0</v>
      </c>
      <c r="C2">
        <f>BDH("WES US Equity","BS_TOT_LIAB2","1993-06-18","2026-05-02","Per=Y","Days=T","Dir=V")</f>
        <v>0</v>
      </c>
      <c r="E2">
        <f>BDH("WES US Equity","SHORT_AND_LONG_TERM_DEBT","1993-06-18","2026-05-02","Per=Y","Days=T","Dir=V")</f>
        <v>0</v>
      </c>
      <c r="G2">
        <f>BDH("WES US Equity","BS_ST_BORROW","1993-06-18","2026-05-02","Per=Y","Days=T","Dir=V")</f>
        <v>0</v>
      </c>
      <c r="I2">
        <f>BDH("WES US Equity","BS_LT_BORROW","1993-06-18","2026-05-02","Per=Y","Days=T","Dir=V")</f>
        <v>0</v>
      </c>
      <c r="K2">
        <f>BDH("WES US Equity","BS_CASH_NEAR_CASH_ITEM","1993-06-18","2026-05-02","Per=Y","Days=T","Dir=V")</f>
        <v>0</v>
      </c>
      <c r="M2">
        <f>BDH("WES US Equity","BS_CUR_ASSET_REPORT","1993-06-18","2026-05-02","Per=Y","Days=T","Dir=V")</f>
        <v>0</v>
      </c>
      <c r="O2">
        <f>BDH("WES US Equity","BS_CUR_LIAB","1993-06-18","2026-05-02","Per=Y","Days=T","Dir=V")</f>
        <v>0</v>
      </c>
      <c r="Q2">
        <f>BDH("WES US Equity","BS_SHAREHOLDER_EQY_ENDING_PERIOD","1993-06-18","2026-05-02","Per=Y","Days=T","Dir=V")</f>
        <v>0</v>
      </c>
      <c r="S2">
        <f>BDH("WES US Equity","BS_ACCT_NOTE_RCV","1993-06-18","2026-05-02","Per=Y","Days=T","Dir=V")</f>
        <v>0</v>
      </c>
      <c r="U2">
        <f>BDH("WES US Equity","BS_INVENTORIES","1993-06-18","2026-05-02","Per=Y","Days=T","Dir=V")</f>
        <v>0</v>
      </c>
      <c r="W2">
        <f>BDH("WES US Equity","WORKING_CAPITAL","1993-06-18","2026-05-02","Per=Y","Days=T","Dir=V")</f>
        <v>0</v>
      </c>
      <c r="Y2">
        <f>BDH("WES US Equity","SALES_REV_TURN","1993-06-18","2026-05-02","Per=Y","Days=T","Dir=V")</f>
        <v>0</v>
      </c>
      <c r="AA2">
        <f>BDH("WES US Equity","EBIT","1993-06-18","2026-05-02","Per=Y","Days=T","Dir=V")</f>
        <v>0</v>
      </c>
      <c r="AC2">
        <f>BDH("WES US Equity","EBITDA","1993-06-18","2026-05-02","Per=Y","Days=T","Dir=V")</f>
        <v>0</v>
      </c>
      <c r="AE2">
        <f>BDH("WES US Equity","NET_INCOME","1993-06-18","2026-05-02","Per=Y","Days=T","Dir=V")</f>
        <v>0</v>
      </c>
      <c r="AG2">
        <f>BDH("WES US Equity","IS_INT_EXPENSE","1993-06-18","2026-05-02","Per=Y","Days=T","Dir=V")</f>
        <v>0</v>
      </c>
      <c r="AI2">
        <f>BDH("WES US Equity","IS_DEPR_EXP","1993-06-18","2026-05-02","Per=Y","Days=T","Dir=V")</f>
        <v>0</v>
      </c>
      <c r="AK2">
        <f>BDH("WES US Equity","CF_CASH_FROM_OPER","1993-06-18","2026-05-02","Per=Y","Days=T","Dir=V")</f>
        <v>0</v>
      </c>
      <c r="AM2">
        <f>BDH("WES US Equity","CAPITAL_EXPEND","1993-06-18","2026-05-02","Per=Y","Days=T","Dir=V")</f>
        <v>0</v>
      </c>
      <c r="AO2">
        <f>BDH("WES US Equity","CF_FREE_CASH_FLOW","1993-06-18","2026-05-02","Per=Y","Days=T","Dir=V")</f>
        <v>0</v>
      </c>
      <c r="AQ2">
        <f>BDH("WES US Equity","PX_LAST","1993-06-18","2026-05-02","Per=M","Days=T","Dir=V")</f>
        <v>0</v>
      </c>
      <c r="AS2">
        <f>BDH("WES US Equity","CUR_MKT_CAP","1993-06-18","2026-05-02","Per=M","Days=T","Dir=V")</f>
        <v>0</v>
      </c>
      <c r="AU2">
        <f>BDH("WES US Equity","EQY_SH_OUT","1993-06-18","2026-05-02","Per=M","Days=T","Dir=V")</f>
        <v>0</v>
      </c>
      <c r="AW2">
        <f>BDH("WES US Equity","PX_VOLUME","1993-06-18","2026-05-02","Per=M","Days=T","Dir=V")</f>
        <v>0</v>
      </c>
      <c r="AY2">
        <f>BDH("WES US Equity","TURNOVER","1993-06-18","2026-05-02","Per=M","Days=T","Dir=V")</f>
        <v>0</v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BDH("WEST US Equity","BS_TOT_ASSET","1993-06-18","2026-05-02","Per=Y","Days=T","Dir=V")</f>
        <v>0</v>
      </c>
      <c r="C2">
        <f>BDH("WEST US Equity","BS_TOT_LIAB2","1993-06-18","2026-05-02","Per=Y","Days=T","Dir=V")</f>
        <v>0</v>
      </c>
      <c r="E2">
        <f>BDH("WEST US Equity","SHORT_AND_LONG_TERM_DEBT","1993-06-18","2026-05-02","Per=Y","Days=T","Dir=V")</f>
        <v>0</v>
      </c>
      <c r="G2">
        <f>BDH("WEST US Equity","BS_ST_BORROW","1993-06-18","2026-05-02","Per=Y","Days=T","Dir=V")</f>
        <v>0</v>
      </c>
      <c r="I2">
        <f>BDH("WEST US Equity","BS_LT_BORROW","1993-06-18","2026-05-02","Per=Y","Days=T","Dir=V")</f>
        <v>0</v>
      </c>
      <c r="K2">
        <f>BDH("WEST US Equity","BS_CASH_NEAR_CASH_ITEM","1993-06-18","2026-05-02","Per=Y","Days=T","Dir=V")</f>
        <v>0</v>
      </c>
      <c r="M2">
        <f>BDH("WEST US Equity","BS_CUR_ASSET_REPORT","1993-06-18","2026-05-02","Per=Y","Days=T","Dir=V")</f>
        <v>0</v>
      </c>
      <c r="O2">
        <f>BDH("WEST US Equity","BS_CUR_LIAB","1993-06-18","2026-05-02","Per=Y","Days=T","Dir=V")</f>
        <v>0</v>
      </c>
      <c r="Q2">
        <f>BDH("WEST US Equity","BS_SHAREHOLDER_EQY_ENDING_PERIOD","1993-06-18","2026-05-02","Per=Y","Days=T","Dir=V")</f>
        <v>0</v>
      </c>
      <c r="S2">
        <f>BDH("WEST US Equity","BS_ACCT_NOTE_RCV","1993-06-18","2026-05-02","Per=Y","Days=T","Dir=V")</f>
        <v>0</v>
      </c>
      <c r="U2">
        <f>BDH("WEST US Equity","BS_INVENTORIES","1993-06-18","2026-05-02","Per=Y","Days=T","Dir=V")</f>
        <v>0</v>
      </c>
      <c r="W2">
        <f>BDH("WEST US Equity","WORKING_CAPITAL","1993-06-18","2026-05-02","Per=Y","Days=T","Dir=V")</f>
        <v>0</v>
      </c>
      <c r="Y2">
        <f>BDH("WEST US Equity","SALES_REV_TURN","1993-06-18","2026-05-02","Per=Y","Days=T","Dir=V")</f>
        <v>0</v>
      </c>
      <c r="AA2">
        <f>BDH("WEST US Equity","EBIT","1993-06-18","2026-05-02","Per=Y","Days=T","Dir=V")</f>
        <v>0</v>
      </c>
      <c r="AC2">
        <f>BDH("WEST US Equity","EBITDA","1993-06-18","2026-05-02","Per=Y","Days=T","Dir=V")</f>
        <v>0</v>
      </c>
      <c r="AE2">
        <f>BDH("WEST US Equity","NET_INCOME","1993-06-18","2026-05-02","Per=Y","Days=T","Dir=V")</f>
        <v>0</v>
      </c>
      <c r="AG2">
        <f>BDH("WEST US Equity","IS_INT_EXPENSE","1993-06-18","2026-05-02","Per=Y","Days=T","Dir=V")</f>
        <v>0</v>
      </c>
      <c r="AI2">
        <f>BDH("WEST US Equity","IS_DEPR_EXP","1993-06-18","2026-05-02","Per=Y","Days=T","Dir=V")</f>
        <v>0</v>
      </c>
      <c r="AK2">
        <f>BDH("WEST US Equity","CF_CASH_FROM_OPER","1993-06-18","2026-05-02","Per=Y","Days=T","Dir=V")</f>
        <v>0</v>
      </c>
      <c r="AM2">
        <f>BDH("WEST US Equity","CAPITAL_EXPEND","1993-06-18","2026-05-02","Per=Y","Days=T","Dir=V")</f>
        <v>0</v>
      </c>
      <c r="AO2">
        <f>BDH("WEST US Equity","CF_FREE_CASH_FLOW","1993-06-18","2026-05-02","Per=Y","Days=T","Dir=V")</f>
        <v>0</v>
      </c>
      <c r="AQ2">
        <f>BDH("WEST US Equity","PX_LAST","1993-06-18","2026-05-02","Per=M","Days=T","Dir=V")</f>
        <v>0</v>
      </c>
      <c r="AS2">
        <f>BDH("WEST US Equity","CUR_MKT_CAP","1993-06-18","2026-05-02","Per=M","Days=T","Dir=V")</f>
        <v>0</v>
      </c>
      <c r="AU2">
        <f>BDH("WEST US Equity","EQY_SH_OUT","1993-06-18","2026-05-02","Per=M","Days=T","Dir=V")</f>
        <v>0</v>
      </c>
      <c r="AW2">
        <f>BDH("WEST US Equity","PX_VOLUME","1993-06-18","2026-05-02","Per=M","Days=T","Dir=V")</f>
        <v>0</v>
      </c>
      <c r="AY2">
        <f>BDH("WEST US Equity","TURNOVER","1993-06-18","2026-05-02","Per=M","Days=T","Dir=V")</f>
        <v>0</v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BDH("WEX US Equity","BS_TOT_ASSET","1993-06-18","2026-05-02","Per=Y","Days=T","Dir=V")</f>
        <v>0</v>
      </c>
      <c r="C2">
        <f>BDH("WEX US Equity","BS_TOT_LIAB2","1993-06-18","2026-05-02","Per=Y","Days=T","Dir=V")</f>
        <v>0</v>
      </c>
      <c r="E2">
        <f>BDH("WEX US Equity","SHORT_AND_LONG_TERM_DEBT","1993-06-18","2026-05-02","Per=Y","Days=T","Dir=V")</f>
        <v>0</v>
      </c>
      <c r="G2">
        <f>BDH("WEX US Equity","BS_ST_BORROW","1993-06-18","2026-05-02","Per=Y","Days=T","Dir=V")</f>
        <v>0</v>
      </c>
      <c r="I2">
        <f>BDH("WEX US Equity","BS_LT_BORROW","1993-06-18","2026-05-02","Per=Y","Days=T","Dir=V")</f>
        <v>0</v>
      </c>
      <c r="K2">
        <f>BDH("WEX US Equity","BS_CASH_NEAR_CASH_ITEM","1993-06-18","2026-05-02","Per=Y","Days=T","Dir=V")</f>
        <v>0</v>
      </c>
      <c r="M2">
        <f>BDH("WEX US Equity","BS_CUR_ASSET_REPORT","1993-06-18","2026-05-02","Per=Y","Days=T","Dir=V")</f>
        <v>0</v>
      </c>
      <c r="O2">
        <f>BDH("WEX US Equity","BS_CUR_LIAB","1993-06-18","2026-05-02","Per=Y","Days=T","Dir=V")</f>
        <v>0</v>
      </c>
      <c r="Q2">
        <f>BDH("WEX US Equity","BS_SHAREHOLDER_EQY_ENDING_PERIOD","1993-06-18","2026-05-02","Per=Y","Days=T","Dir=V")</f>
        <v>0</v>
      </c>
      <c r="S2">
        <f>BDH("WEX US Equity","BS_ACCT_NOTE_RCV","1993-06-18","2026-05-02","Per=Y","Days=T","Dir=V")</f>
        <v>0</v>
      </c>
      <c r="U2">
        <f>BDH("WEX US Equity","BS_INVENTORIES","1993-06-18","2026-05-02","Per=Y","Days=T","Dir=V")</f>
        <v>0</v>
      </c>
      <c r="W2">
        <f>BDH("WEX US Equity","WORKING_CAPITAL","1993-06-18","2026-05-02","Per=Y","Days=T","Dir=V")</f>
        <v>0</v>
      </c>
      <c r="Y2">
        <f>BDH("WEX US Equity","SALES_REV_TURN","1993-06-18","2026-05-02","Per=Y","Days=T","Dir=V")</f>
        <v>0</v>
      </c>
      <c r="AA2">
        <f>BDH("WEX US Equity","EBIT","1993-06-18","2026-05-02","Per=Y","Days=T","Dir=V")</f>
        <v>0</v>
      </c>
      <c r="AC2">
        <f>BDH("WEX US Equity","EBITDA","1993-06-18","2026-05-02","Per=Y","Days=T","Dir=V")</f>
        <v>0</v>
      </c>
      <c r="AE2">
        <f>BDH("WEX US Equity","NET_INCOME","1993-06-18","2026-05-02","Per=Y","Days=T","Dir=V")</f>
        <v>0</v>
      </c>
      <c r="AG2">
        <f>BDH("WEX US Equity","IS_INT_EXPENSE","1993-06-18","2026-05-02","Per=Y","Days=T","Dir=V")</f>
        <v>0</v>
      </c>
      <c r="AI2">
        <f>BDH("WEX US Equity","IS_DEPR_EXP","1993-06-18","2026-05-02","Per=Y","Days=T","Dir=V")</f>
        <v>0</v>
      </c>
      <c r="AK2">
        <f>BDH("WEX US Equity","CF_CASH_FROM_OPER","1993-06-18","2026-05-02","Per=Y","Days=T","Dir=V")</f>
        <v>0</v>
      </c>
      <c r="AM2">
        <f>BDH("WEX US Equity","CAPITAL_EXPEND","1993-06-18","2026-05-02","Per=Y","Days=T","Dir=V")</f>
        <v>0</v>
      </c>
      <c r="AO2">
        <f>BDH("WEX US Equity","CF_FREE_CASH_FLOW","1993-06-18","2026-05-02","Per=Y","Days=T","Dir=V")</f>
        <v>0</v>
      </c>
      <c r="AQ2">
        <f>BDH("WEX US Equity","PX_LAST","1993-06-18","2026-05-02","Per=M","Days=T","Dir=V")</f>
        <v>0</v>
      </c>
      <c r="AS2">
        <f>BDH("WEX US Equity","CUR_MKT_CAP","1993-06-18","2026-05-02","Per=M","Days=T","Dir=V")</f>
        <v>0</v>
      </c>
      <c r="AU2">
        <f>BDH("WEX US Equity","EQY_SH_OUT","1993-06-18","2026-05-02","Per=M","Days=T","Dir=V")</f>
        <v>0</v>
      </c>
      <c r="AW2">
        <f>BDH("WEX US Equity","PX_VOLUME","1993-06-18","2026-05-02","Per=M","Days=T","Dir=V")</f>
        <v>0</v>
      </c>
      <c r="AY2">
        <f>BDH("WEX US Equity","TURNOVER","1993-06-18","2026-05-02","Per=M","Days=T","Dir=V")</f>
        <v>0</v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BDH("WEYS US Equity","BS_TOT_ASSET","1993-06-18","2026-05-02","Per=Y","Days=T","Dir=V")</f>
        <v>0</v>
      </c>
      <c r="C2">
        <f>BDH("WEYS US Equity","BS_TOT_LIAB2","1993-06-18","2026-05-02","Per=Y","Days=T","Dir=V")</f>
        <v>0</v>
      </c>
      <c r="E2">
        <f>BDH("WEYS US Equity","SHORT_AND_LONG_TERM_DEBT","1993-06-18","2026-05-02","Per=Y","Days=T","Dir=V")</f>
        <v>0</v>
      </c>
      <c r="G2">
        <f>BDH("WEYS US Equity","BS_ST_BORROW","1993-06-18","2026-05-02","Per=Y","Days=T","Dir=V")</f>
        <v>0</v>
      </c>
      <c r="I2">
        <f>BDH("WEYS US Equity","BS_LT_BORROW","1993-06-18","2026-05-02","Per=Y","Days=T","Dir=V")</f>
        <v>0</v>
      </c>
      <c r="K2">
        <f>BDH("WEYS US Equity","BS_CASH_NEAR_CASH_ITEM","1993-06-18","2026-05-02","Per=Y","Days=T","Dir=V")</f>
        <v>0</v>
      </c>
      <c r="M2">
        <f>BDH("WEYS US Equity","BS_CUR_ASSET_REPORT","1993-06-18","2026-05-02","Per=Y","Days=T","Dir=V")</f>
        <v>0</v>
      </c>
      <c r="O2">
        <f>BDH("WEYS US Equity","BS_CUR_LIAB","1993-06-18","2026-05-02","Per=Y","Days=T","Dir=V")</f>
        <v>0</v>
      </c>
      <c r="Q2">
        <f>BDH("WEYS US Equity","BS_SHAREHOLDER_EQY_ENDING_PERIOD","1993-06-18","2026-05-02","Per=Y","Days=T","Dir=V")</f>
        <v>0</v>
      </c>
      <c r="S2">
        <f>BDH("WEYS US Equity","BS_ACCT_NOTE_RCV","1993-06-18","2026-05-02","Per=Y","Days=T","Dir=V")</f>
        <v>0</v>
      </c>
      <c r="U2">
        <f>BDH("WEYS US Equity","BS_INVENTORIES","1993-06-18","2026-05-02","Per=Y","Days=T","Dir=V")</f>
        <v>0</v>
      </c>
      <c r="W2">
        <f>BDH("WEYS US Equity","WORKING_CAPITAL","1993-06-18","2026-05-02","Per=Y","Days=T","Dir=V")</f>
        <v>0</v>
      </c>
      <c r="Y2">
        <f>BDH("WEYS US Equity","SALES_REV_TURN","1993-06-18","2026-05-02","Per=Y","Days=T","Dir=V")</f>
        <v>0</v>
      </c>
      <c r="AA2">
        <f>BDH("WEYS US Equity","EBIT","1993-06-18","2026-05-02","Per=Y","Days=T","Dir=V")</f>
        <v>0</v>
      </c>
      <c r="AC2">
        <f>BDH("WEYS US Equity","EBITDA","1993-06-18","2026-05-02","Per=Y","Days=T","Dir=V")</f>
        <v>0</v>
      </c>
      <c r="AE2">
        <f>BDH("WEYS US Equity","NET_INCOME","1993-06-18","2026-05-02","Per=Y","Days=T","Dir=V")</f>
        <v>0</v>
      </c>
      <c r="AG2">
        <f>BDH("WEYS US Equity","IS_INT_EXPENSE","1993-06-18","2026-05-02","Per=Y","Days=T","Dir=V")</f>
        <v>0</v>
      </c>
      <c r="AI2">
        <f>BDH("WEYS US Equity","IS_DEPR_EXP","1993-06-18","2026-05-02","Per=Y","Days=T","Dir=V")</f>
        <v>0</v>
      </c>
      <c r="AK2">
        <f>BDH("WEYS US Equity","CF_CASH_FROM_OPER","1993-06-18","2026-05-02","Per=Y","Days=T","Dir=V")</f>
        <v>0</v>
      </c>
      <c r="AM2">
        <f>BDH("WEYS US Equity","CAPITAL_EXPEND","1993-06-18","2026-05-02","Per=Y","Days=T","Dir=V")</f>
        <v>0</v>
      </c>
      <c r="AO2">
        <f>BDH("WEYS US Equity","CF_FREE_CASH_FLOW","1993-06-18","2026-05-02","Per=Y","Days=T","Dir=V")</f>
        <v>0</v>
      </c>
      <c r="AQ2">
        <f>BDH("WEYS US Equity","PX_LAST","1993-06-18","2026-05-02","Per=M","Days=T","Dir=V")</f>
        <v>0</v>
      </c>
      <c r="AS2">
        <f>BDH("WEYS US Equity","CUR_MKT_CAP","1993-06-18","2026-05-02","Per=M","Days=T","Dir=V")</f>
        <v>0</v>
      </c>
      <c r="AU2">
        <f>BDH("WEYS US Equity","EQY_SH_OUT","1993-06-18","2026-05-02","Per=M","Days=T","Dir=V")</f>
        <v>0</v>
      </c>
      <c r="AW2">
        <f>BDH("WEYS US Equity","PX_VOLUME","1993-06-18","2026-05-02","Per=M","Days=T","Dir=V")</f>
        <v>0</v>
      </c>
      <c r="AY2">
        <f>BDH("WEYS US Equity","TURNOVER","1993-06-18","2026-05-02","Per=M","Days=T","Dir=V")</f>
        <v>0</v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BDH("WFCF US Equity","BS_TOT_ASSET","1993-06-18","2026-05-02","Per=Y","Days=T","Dir=V")</f>
        <v>0</v>
      </c>
      <c r="C2">
        <f>BDH("WFCF US Equity","BS_TOT_LIAB2","1993-06-18","2026-05-02","Per=Y","Days=T","Dir=V")</f>
        <v>0</v>
      </c>
      <c r="E2">
        <f>BDH("WFCF US Equity","SHORT_AND_LONG_TERM_DEBT","1993-06-18","2026-05-02","Per=Y","Days=T","Dir=V")</f>
        <v>0</v>
      </c>
      <c r="G2">
        <f>BDH("WFCF US Equity","BS_ST_BORROW","1993-06-18","2026-05-02","Per=Y","Days=T","Dir=V")</f>
        <v>0</v>
      </c>
      <c r="I2">
        <f>BDH("WFCF US Equity","BS_LT_BORROW","1993-06-18","2026-05-02","Per=Y","Days=T","Dir=V")</f>
        <v>0</v>
      </c>
      <c r="K2">
        <f>BDH("WFCF US Equity","BS_CASH_NEAR_CASH_ITEM","1993-06-18","2026-05-02","Per=Y","Days=T","Dir=V")</f>
        <v>0</v>
      </c>
      <c r="M2">
        <f>BDH("WFCF US Equity","BS_CUR_ASSET_REPORT","1993-06-18","2026-05-02","Per=Y","Days=T","Dir=V")</f>
        <v>0</v>
      </c>
      <c r="O2">
        <f>BDH("WFCF US Equity","BS_CUR_LIAB","1993-06-18","2026-05-02","Per=Y","Days=T","Dir=V")</f>
        <v>0</v>
      </c>
      <c r="Q2">
        <f>BDH("WFCF US Equity","BS_SHAREHOLDER_EQY_ENDING_PERIOD","1993-06-18","2026-05-02","Per=Y","Days=T","Dir=V")</f>
        <v>0</v>
      </c>
      <c r="S2">
        <f>BDH("WFCF US Equity","BS_ACCT_NOTE_RCV","1993-06-18","2026-05-02","Per=Y","Days=T","Dir=V")</f>
        <v>0</v>
      </c>
      <c r="U2">
        <f>BDH("WFCF US Equity","BS_INVENTORIES","1993-06-18","2026-05-02","Per=Y","Days=T","Dir=V")</f>
        <v>0</v>
      </c>
      <c r="W2">
        <f>BDH("WFCF US Equity","WORKING_CAPITAL","1993-06-18","2026-05-02","Per=Y","Days=T","Dir=V")</f>
        <v>0</v>
      </c>
      <c r="Y2">
        <f>BDH("WFCF US Equity","SALES_REV_TURN","1993-06-18","2026-05-02","Per=Y","Days=T","Dir=V")</f>
        <v>0</v>
      </c>
      <c r="AA2">
        <f>BDH("WFCF US Equity","EBIT","1993-06-18","2026-05-02","Per=Y","Days=T","Dir=V")</f>
        <v>0</v>
      </c>
      <c r="AC2">
        <f>BDH("WFCF US Equity","EBITDA","1993-06-18","2026-05-02","Per=Y","Days=T","Dir=V")</f>
        <v>0</v>
      </c>
      <c r="AE2">
        <f>BDH("WFCF US Equity","NET_INCOME","1993-06-18","2026-05-02","Per=Y","Days=T","Dir=V")</f>
        <v>0</v>
      </c>
      <c r="AG2">
        <f>BDH("WFCF US Equity","IS_INT_EXPENSE","1993-06-18","2026-05-02","Per=Y","Days=T","Dir=V")</f>
        <v>0</v>
      </c>
      <c r="AI2">
        <f>BDH("WFCF US Equity","IS_DEPR_EXP","1993-06-18","2026-05-02","Per=Y","Days=T","Dir=V")</f>
        <v>0</v>
      </c>
      <c r="AK2">
        <f>BDH("WFCF US Equity","CF_CASH_FROM_OPER","1993-06-18","2026-05-02","Per=Y","Days=T","Dir=V")</f>
        <v>0</v>
      </c>
      <c r="AM2">
        <f>BDH("WFCF US Equity","CAPITAL_EXPEND","1993-06-18","2026-05-02","Per=Y","Days=T","Dir=V")</f>
        <v>0</v>
      </c>
      <c r="AO2">
        <f>BDH("WFCF US Equity","CF_FREE_CASH_FLOW","1993-06-18","2026-05-02","Per=Y","Days=T","Dir=V")</f>
        <v>0</v>
      </c>
      <c r="AQ2">
        <f>BDH("WFCF US Equity","PX_LAST","1993-06-18","2026-05-02","Per=M","Days=T","Dir=V")</f>
        <v>0</v>
      </c>
      <c r="AS2">
        <f>BDH("WFCF US Equity","CUR_MKT_CAP","1993-06-18","2026-05-02","Per=M","Days=T","Dir=V")</f>
        <v>0</v>
      </c>
      <c r="AU2">
        <f>BDH("WFCF US Equity","EQY_SH_OUT","1993-06-18","2026-05-02","Per=M","Days=T","Dir=V")</f>
        <v>0</v>
      </c>
      <c r="AW2">
        <f>BDH("WFCF US Equity","PX_VOLUME","1993-06-18","2026-05-02","Per=M","Days=T","Dir=V")</f>
        <v>0</v>
      </c>
      <c r="AY2">
        <f>BDH("WFCF US Equity","TURNOVER","1993-06-18","2026-05-02","Per=M","Days=T","Dir=V")</f>
        <v>0</v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BDH("WFRD US Equity","BS_TOT_ASSET","1993-06-18","2026-05-02","Per=Y","Days=T","Dir=V")</f>
        <v>0</v>
      </c>
      <c r="C2">
        <f>BDH("WFRD US Equity","BS_TOT_LIAB2","1993-06-18","2026-05-02","Per=Y","Days=T","Dir=V")</f>
        <v>0</v>
      </c>
      <c r="E2">
        <f>BDH("WFRD US Equity","SHORT_AND_LONG_TERM_DEBT","1993-06-18","2026-05-02","Per=Y","Days=T","Dir=V")</f>
        <v>0</v>
      </c>
      <c r="G2">
        <f>BDH("WFRD US Equity","BS_ST_BORROW","1993-06-18","2026-05-02","Per=Y","Days=T","Dir=V")</f>
        <v>0</v>
      </c>
      <c r="I2">
        <f>BDH("WFRD US Equity","BS_LT_BORROW","1993-06-18","2026-05-02","Per=Y","Days=T","Dir=V")</f>
        <v>0</v>
      </c>
      <c r="K2">
        <f>BDH("WFRD US Equity","BS_CASH_NEAR_CASH_ITEM","1993-06-18","2026-05-02","Per=Y","Days=T","Dir=V")</f>
        <v>0</v>
      </c>
      <c r="M2">
        <f>BDH("WFRD US Equity","BS_CUR_ASSET_REPORT","1993-06-18","2026-05-02","Per=Y","Days=T","Dir=V")</f>
        <v>0</v>
      </c>
      <c r="O2">
        <f>BDH("WFRD US Equity","BS_CUR_LIAB","1993-06-18","2026-05-02","Per=Y","Days=T","Dir=V")</f>
        <v>0</v>
      </c>
      <c r="Q2">
        <f>BDH("WFRD US Equity","BS_SHAREHOLDER_EQY_ENDING_PERIOD","1993-06-18","2026-05-02","Per=Y","Days=T","Dir=V")</f>
        <v>0</v>
      </c>
      <c r="S2">
        <f>BDH("WFRD US Equity","BS_ACCT_NOTE_RCV","1993-06-18","2026-05-02","Per=Y","Days=T","Dir=V")</f>
        <v>0</v>
      </c>
      <c r="U2">
        <f>BDH("WFRD US Equity","BS_INVENTORIES","1993-06-18","2026-05-02","Per=Y","Days=T","Dir=V")</f>
        <v>0</v>
      </c>
      <c r="W2">
        <f>BDH("WFRD US Equity","WORKING_CAPITAL","1993-06-18","2026-05-02","Per=Y","Days=T","Dir=V")</f>
        <v>0</v>
      </c>
      <c r="Y2">
        <f>BDH("WFRD US Equity","SALES_REV_TURN","1993-06-18","2026-05-02","Per=Y","Days=T","Dir=V")</f>
        <v>0</v>
      </c>
      <c r="AA2">
        <f>BDH("WFRD US Equity","EBIT","1993-06-18","2026-05-02","Per=Y","Days=T","Dir=V")</f>
        <v>0</v>
      </c>
      <c r="AC2">
        <f>BDH("WFRD US Equity","EBITDA","1993-06-18","2026-05-02","Per=Y","Days=T","Dir=V")</f>
        <v>0</v>
      </c>
      <c r="AE2">
        <f>BDH("WFRD US Equity","NET_INCOME","1993-06-18","2026-05-02","Per=Y","Days=T","Dir=V")</f>
        <v>0</v>
      </c>
      <c r="AG2">
        <f>BDH("WFRD US Equity","IS_INT_EXPENSE","1993-06-18","2026-05-02","Per=Y","Days=T","Dir=V")</f>
        <v>0</v>
      </c>
      <c r="AI2">
        <f>BDH("WFRD US Equity","IS_DEPR_EXP","1993-06-18","2026-05-02","Per=Y","Days=T","Dir=V")</f>
        <v>0</v>
      </c>
      <c r="AK2">
        <f>BDH("WFRD US Equity","CF_CASH_FROM_OPER","1993-06-18","2026-05-02","Per=Y","Days=T","Dir=V")</f>
        <v>0</v>
      </c>
      <c r="AM2">
        <f>BDH("WFRD US Equity","CAPITAL_EXPEND","1993-06-18","2026-05-02","Per=Y","Days=T","Dir=V")</f>
        <v>0</v>
      </c>
      <c r="AO2">
        <f>BDH("WFRD US Equity","CF_FREE_CASH_FLOW","1993-06-18","2026-05-02","Per=Y","Days=T","Dir=V")</f>
        <v>0</v>
      </c>
      <c r="AQ2">
        <f>BDH("WFRD US Equity","PX_LAST","1993-06-18","2026-05-02","Per=M","Days=T","Dir=V")</f>
        <v>0</v>
      </c>
      <c r="AS2">
        <f>BDH("WFRD US Equity","CUR_MKT_CAP","1993-06-18","2026-05-02","Per=M","Days=T","Dir=V")</f>
        <v>0</v>
      </c>
      <c r="AU2">
        <f>BDH("WFRD US Equity","EQY_SH_OUT","1993-06-18","2026-05-02","Per=M","Days=T","Dir=V")</f>
        <v>0</v>
      </c>
      <c r="AW2">
        <f>BDH("WFRD US Equity","PX_VOLUME","1993-06-18","2026-05-02","Per=M","Days=T","Dir=V")</f>
        <v>0</v>
      </c>
      <c r="AY2">
        <f>BDH("WFRD US Equity","TURNOVER","1993-06-18","2026-05-02","Per=M","Days=T","Dir=V")</f>
        <v>0</v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BDH("WGO US Equity","BS_TOT_ASSET","1993-06-18","2026-05-02","Per=Y","Days=T","Dir=V")</f>
        <v>0</v>
      </c>
      <c r="C2">
        <f>BDH("WGO US Equity","BS_TOT_LIAB2","1993-06-18","2026-05-02","Per=Y","Days=T","Dir=V")</f>
        <v>0</v>
      </c>
      <c r="E2">
        <f>BDH("WGO US Equity","SHORT_AND_LONG_TERM_DEBT","1993-06-18","2026-05-02","Per=Y","Days=T","Dir=V")</f>
        <v>0</v>
      </c>
      <c r="G2">
        <f>BDH("WGO US Equity","BS_ST_BORROW","1993-06-18","2026-05-02","Per=Y","Days=T","Dir=V")</f>
        <v>0</v>
      </c>
      <c r="I2">
        <f>BDH("WGO US Equity","BS_LT_BORROW","1993-06-18","2026-05-02","Per=Y","Days=T","Dir=V")</f>
        <v>0</v>
      </c>
      <c r="K2">
        <f>BDH("WGO US Equity","BS_CASH_NEAR_CASH_ITEM","1993-06-18","2026-05-02","Per=Y","Days=T","Dir=V")</f>
        <v>0</v>
      </c>
      <c r="M2">
        <f>BDH("WGO US Equity","BS_CUR_ASSET_REPORT","1993-06-18","2026-05-02","Per=Y","Days=T","Dir=V")</f>
        <v>0</v>
      </c>
      <c r="O2">
        <f>BDH("WGO US Equity","BS_CUR_LIAB","1993-06-18","2026-05-02","Per=Y","Days=T","Dir=V")</f>
        <v>0</v>
      </c>
      <c r="Q2">
        <f>BDH("WGO US Equity","BS_SHAREHOLDER_EQY_ENDING_PERIOD","1993-06-18","2026-05-02","Per=Y","Days=T","Dir=V")</f>
        <v>0</v>
      </c>
      <c r="S2">
        <f>BDH("WGO US Equity","BS_ACCT_NOTE_RCV","1993-06-18","2026-05-02","Per=Y","Days=T","Dir=V")</f>
        <v>0</v>
      </c>
      <c r="U2">
        <f>BDH("WGO US Equity","BS_INVENTORIES","1993-06-18","2026-05-02","Per=Y","Days=T","Dir=V")</f>
        <v>0</v>
      </c>
      <c r="W2">
        <f>BDH("WGO US Equity","WORKING_CAPITAL","1993-06-18","2026-05-02","Per=Y","Days=T","Dir=V")</f>
        <v>0</v>
      </c>
      <c r="Y2">
        <f>BDH("WGO US Equity","SALES_REV_TURN","1993-06-18","2026-05-02","Per=Y","Days=T","Dir=V")</f>
        <v>0</v>
      </c>
      <c r="AA2">
        <f>BDH("WGO US Equity","EBIT","1993-06-18","2026-05-02","Per=Y","Days=T","Dir=V")</f>
        <v>0</v>
      </c>
      <c r="AC2">
        <f>BDH("WGO US Equity","EBITDA","1993-06-18","2026-05-02","Per=Y","Days=T","Dir=V")</f>
        <v>0</v>
      </c>
      <c r="AE2">
        <f>BDH("WGO US Equity","NET_INCOME","1993-06-18","2026-05-02","Per=Y","Days=T","Dir=V")</f>
        <v>0</v>
      </c>
      <c r="AG2">
        <f>BDH("WGO US Equity","IS_INT_EXPENSE","1993-06-18","2026-05-02","Per=Y","Days=T","Dir=V")</f>
        <v>0</v>
      </c>
      <c r="AI2">
        <f>BDH("WGO US Equity","IS_DEPR_EXP","1993-06-18","2026-05-02","Per=Y","Days=T","Dir=V")</f>
        <v>0</v>
      </c>
      <c r="AK2">
        <f>BDH("WGO US Equity","CF_CASH_FROM_OPER","1993-06-18","2026-05-02","Per=Y","Days=T","Dir=V")</f>
        <v>0</v>
      </c>
      <c r="AM2">
        <f>BDH("WGO US Equity","CAPITAL_EXPEND","1993-06-18","2026-05-02","Per=Y","Days=T","Dir=V")</f>
        <v>0</v>
      </c>
      <c r="AO2">
        <f>BDH("WGO US Equity","CF_FREE_CASH_FLOW","1993-06-18","2026-05-02","Per=Y","Days=T","Dir=V")</f>
        <v>0</v>
      </c>
      <c r="AQ2">
        <f>BDH("WGO US Equity","PX_LAST","1993-06-18","2026-05-02","Per=M","Days=T","Dir=V")</f>
        <v>0</v>
      </c>
      <c r="AS2">
        <f>BDH("WGO US Equity","CUR_MKT_CAP","1993-06-18","2026-05-02","Per=M","Days=T","Dir=V")</f>
        <v>0</v>
      </c>
      <c r="AU2">
        <f>BDH("WGO US Equity","EQY_SH_OUT","1993-06-18","2026-05-02","Per=M","Days=T","Dir=V")</f>
        <v>0</v>
      </c>
      <c r="AW2">
        <f>BDH("WGO US Equity","PX_VOLUME","1993-06-18","2026-05-02","Per=M","Days=T","Dir=V")</f>
        <v>0</v>
      </c>
      <c r="AY2">
        <f>BDH("WGO US Equity","TURNOVER","1993-06-18","2026-05-02","Per=M","Days=T","Dir=V")</f>
        <v>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BDH("WGS US Equity","BS_TOT_ASSET","1993-06-18","2026-05-02","Per=Y","Days=T","Dir=V")</f>
        <v>0</v>
      </c>
      <c r="C2">
        <f>BDH("WGS US Equity","BS_TOT_LIAB2","1993-06-18","2026-05-02","Per=Y","Days=T","Dir=V")</f>
        <v>0</v>
      </c>
      <c r="E2">
        <f>BDH("WGS US Equity","SHORT_AND_LONG_TERM_DEBT","1993-06-18","2026-05-02","Per=Y","Days=T","Dir=V")</f>
        <v>0</v>
      </c>
      <c r="G2">
        <f>BDH("WGS US Equity","BS_ST_BORROW","1993-06-18","2026-05-02","Per=Y","Days=T","Dir=V")</f>
        <v>0</v>
      </c>
      <c r="I2">
        <f>BDH("WGS US Equity","BS_LT_BORROW","1993-06-18","2026-05-02","Per=Y","Days=T","Dir=V")</f>
        <v>0</v>
      </c>
      <c r="K2">
        <f>BDH("WGS US Equity","BS_CASH_NEAR_CASH_ITEM","1993-06-18","2026-05-02","Per=Y","Days=T","Dir=V")</f>
        <v>0</v>
      </c>
      <c r="M2">
        <f>BDH("WGS US Equity","BS_CUR_ASSET_REPORT","1993-06-18","2026-05-02","Per=Y","Days=T","Dir=V")</f>
        <v>0</v>
      </c>
      <c r="O2">
        <f>BDH("WGS US Equity","BS_CUR_LIAB","1993-06-18","2026-05-02","Per=Y","Days=T","Dir=V")</f>
        <v>0</v>
      </c>
      <c r="Q2">
        <f>BDH("WGS US Equity","BS_SHAREHOLDER_EQY_ENDING_PERIOD","1993-06-18","2026-05-02","Per=Y","Days=T","Dir=V")</f>
        <v>0</v>
      </c>
      <c r="S2">
        <f>BDH("WGS US Equity","BS_ACCT_NOTE_RCV","1993-06-18","2026-05-02","Per=Y","Days=T","Dir=V")</f>
        <v>0</v>
      </c>
      <c r="U2">
        <f>BDH("WGS US Equity","BS_INVENTORIES","1993-06-18","2026-05-02","Per=Y","Days=T","Dir=V")</f>
        <v>0</v>
      </c>
      <c r="W2">
        <f>BDH("WGS US Equity","WORKING_CAPITAL","1993-06-18","2026-05-02","Per=Y","Days=T","Dir=V")</f>
        <v>0</v>
      </c>
      <c r="Y2">
        <f>BDH("WGS US Equity","SALES_REV_TURN","1993-06-18","2026-05-02","Per=Y","Days=T","Dir=V")</f>
        <v>0</v>
      </c>
      <c r="AA2">
        <f>BDH("WGS US Equity","EBIT","1993-06-18","2026-05-02","Per=Y","Days=T","Dir=V")</f>
        <v>0</v>
      </c>
      <c r="AC2">
        <f>BDH("WGS US Equity","EBITDA","1993-06-18","2026-05-02","Per=Y","Days=T","Dir=V")</f>
        <v>0</v>
      </c>
      <c r="AE2">
        <f>BDH("WGS US Equity","NET_INCOME","1993-06-18","2026-05-02","Per=Y","Days=T","Dir=V")</f>
        <v>0</v>
      </c>
      <c r="AG2">
        <f>BDH("WGS US Equity","IS_INT_EXPENSE","1993-06-18","2026-05-02","Per=Y","Days=T","Dir=V")</f>
        <v>0</v>
      </c>
      <c r="AI2">
        <f>BDH("WGS US Equity","IS_DEPR_EXP","1993-06-18","2026-05-02","Per=Y","Days=T","Dir=V")</f>
        <v>0</v>
      </c>
      <c r="AK2">
        <f>BDH("WGS US Equity","CF_CASH_FROM_OPER","1993-06-18","2026-05-02","Per=Y","Days=T","Dir=V")</f>
        <v>0</v>
      </c>
      <c r="AM2">
        <f>BDH("WGS US Equity","CAPITAL_EXPEND","1993-06-18","2026-05-02","Per=Y","Days=T","Dir=V")</f>
        <v>0</v>
      </c>
      <c r="AO2">
        <f>BDH("WGS US Equity","CF_FREE_CASH_FLOW","1993-06-18","2026-05-02","Per=Y","Days=T","Dir=V")</f>
        <v>0</v>
      </c>
      <c r="AQ2">
        <f>BDH("WGS US Equity","PX_LAST","1993-06-18","2026-05-02","Per=M","Days=T","Dir=V")</f>
        <v>0</v>
      </c>
      <c r="AS2">
        <f>BDH("WGS US Equity","CUR_MKT_CAP","1993-06-18","2026-05-02","Per=M","Days=T","Dir=V")</f>
        <v>0</v>
      </c>
      <c r="AU2">
        <f>BDH("WGS US Equity","EQY_SH_OUT","1993-06-18","2026-05-02","Per=M","Days=T","Dir=V")</f>
        <v>0</v>
      </c>
      <c r="AW2">
        <f>BDH("WGS US Equity","PX_VOLUME","1993-06-18","2026-05-02","Per=M","Days=T","Dir=V")</f>
        <v>0</v>
      </c>
      <c r="AY2">
        <f>BDH("WGS US Equity","TURNOVER","1993-06-18","2026-05-02","Per=M","Days=T","Dir=V")</f>
        <v>0</v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BDH("WH US Equity","BS_TOT_ASSET","1993-06-18","2026-05-02","Per=Y","Days=T","Dir=V")</f>
        <v>0</v>
      </c>
      <c r="C2">
        <f>BDH("WH US Equity","BS_TOT_LIAB2","1993-06-18","2026-05-02","Per=Y","Days=T","Dir=V")</f>
        <v>0</v>
      </c>
      <c r="E2">
        <f>BDH("WH US Equity","SHORT_AND_LONG_TERM_DEBT","1993-06-18","2026-05-02","Per=Y","Days=T","Dir=V")</f>
        <v>0</v>
      </c>
      <c r="G2">
        <f>BDH("WH US Equity","BS_ST_BORROW","1993-06-18","2026-05-02","Per=Y","Days=T","Dir=V")</f>
        <v>0</v>
      </c>
      <c r="I2">
        <f>BDH("WH US Equity","BS_LT_BORROW","1993-06-18","2026-05-02","Per=Y","Days=T","Dir=V")</f>
        <v>0</v>
      </c>
      <c r="K2">
        <f>BDH("WH US Equity","BS_CASH_NEAR_CASH_ITEM","1993-06-18","2026-05-02","Per=Y","Days=T","Dir=V")</f>
        <v>0</v>
      </c>
      <c r="M2">
        <f>BDH("WH US Equity","BS_CUR_ASSET_REPORT","1993-06-18","2026-05-02","Per=Y","Days=T","Dir=V")</f>
        <v>0</v>
      </c>
      <c r="O2">
        <f>BDH("WH US Equity","BS_CUR_LIAB","1993-06-18","2026-05-02","Per=Y","Days=T","Dir=V")</f>
        <v>0</v>
      </c>
      <c r="Q2">
        <f>BDH("WH US Equity","BS_SHAREHOLDER_EQY_ENDING_PERIOD","1993-06-18","2026-05-02","Per=Y","Days=T","Dir=V")</f>
        <v>0</v>
      </c>
      <c r="S2">
        <f>BDH("WH US Equity","BS_ACCT_NOTE_RCV","1993-06-18","2026-05-02","Per=Y","Days=T","Dir=V")</f>
        <v>0</v>
      </c>
      <c r="U2">
        <f>BDH("WH US Equity","BS_INVENTORIES","1993-06-18","2026-05-02","Per=Y","Days=T","Dir=V")</f>
        <v>0</v>
      </c>
      <c r="W2">
        <f>BDH("WH US Equity","WORKING_CAPITAL","1993-06-18","2026-05-02","Per=Y","Days=T","Dir=V")</f>
        <v>0</v>
      </c>
      <c r="Y2">
        <f>BDH("WH US Equity","SALES_REV_TURN","1993-06-18","2026-05-02","Per=Y","Days=T","Dir=V")</f>
        <v>0</v>
      </c>
      <c r="AA2">
        <f>BDH("WH US Equity","EBIT","1993-06-18","2026-05-02","Per=Y","Days=T","Dir=V")</f>
        <v>0</v>
      </c>
      <c r="AC2">
        <f>BDH("WH US Equity","EBITDA","1993-06-18","2026-05-02","Per=Y","Days=T","Dir=V")</f>
        <v>0</v>
      </c>
      <c r="AE2">
        <f>BDH("WH US Equity","NET_INCOME","1993-06-18","2026-05-02","Per=Y","Days=T","Dir=V")</f>
        <v>0</v>
      </c>
      <c r="AG2">
        <f>BDH("WH US Equity","IS_INT_EXPENSE","1993-06-18","2026-05-02","Per=Y","Days=T","Dir=V")</f>
        <v>0</v>
      </c>
      <c r="AI2">
        <f>BDH("WH US Equity","IS_DEPR_EXP","1993-06-18","2026-05-02","Per=Y","Days=T","Dir=V")</f>
        <v>0</v>
      </c>
      <c r="AK2">
        <f>BDH("WH US Equity","CF_CASH_FROM_OPER","1993-06-18","2026-05-02","Per=Y","Days=T","Dir=V")</f>
        <v>0</v>
      </c>
      <c r="AM2">
        <f>BDH("WH US Equity","CAPITAL_EXPEND","1993-06-18","2026-05-02","Per=Y","Days=T","Dir=V")</f>
        <v>0</v>
      </c>
      <c r="AO2">
        <f>BDH("WH US Equity","CF_FREE_CASH_FLOW","1993-06-18","2026-05-02","Per=Y","Days=T","Dir=V")</f>
        <v>0</v>
      </c>
      <c r="AQ2">
        <f>BDH("WH US Equity","PX_LAST","1993-06-18","2026-05-02","Per=M","Days=T","Dir=V")</f>
        <v>0</v>
      </c>
      <c r="AS2">
        <f>BDH("WH US Equity","CUR_MKT_CAP","1993-06-18","2026-05-02","Per=M","Days=T","Dir=V")</f>
        <v>0</v>
      </c>
      <c r="AU2">
        <f>BDH("WH US Equity","EQY_SH_OUT","1993-06-18","2026-05-02","Per=M","Days=T","Dir=V")</f>
        <v>0</v>
      </c>
      <c r="AW2">
        <f>BDH("WH US Equity","PX_VOLUME","1993-06-18","2026-05-02","Per=M","Days=T","Dir=V")</f>
        <v>0</v>
      </c>
      <c r="AY2">
        <f>BDH("WH US Equity","TURNOVER","1993-06-18","2026-05-02","Per=M","Days=T","Dir=V")</f>
        <v>0</v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BDH("WHD US Equity","BS_TOT_ASSET","1993-06-18","2026-05-02","Per=Y","Days=T","Dir=V")</f>
        <v>0</v>
      </c>
      <c r="C2">
        <f>BDH("WHD US Equity","BS_TOT_LIAB2","1993-06-18","2026-05-02","Per=Y","Days=T","Dir=V")</f>
        <v>0</v>
      </c>
      <c r="E2">
        <f>BDH("WHD US Equity","SHORT_AND_LONG_TERM_DEBT","1993-06-18","2026-05-02","Per=Y","Days=T","Dir=V")</f>
        <v>0</v>
      </c>
      <c r="G2">
        <f>BDH("WHD US Equity","BS_ST_BORROW","1993-06-18","2026-05-02","Per=Y","Days=T","Dir=V")</f>
        <v>0</v>
      </c>
      <c r="I2">
        <f>BDH("WHD US Equity","BS_LT_BORROW","1993-06-18","2026-05-02","Per=Y","Days=T","Dir=V")</f>
        <v>0</v>
      </c>
      <c r="K2">
        <f>BDH("WHD US Equity","BS_CASH_NEAR_CASH_ITEM","1993-06-18","2026-05-02","Per=Y","Days=T","Dir=V")</f>
        <v>0</v>
      </c>
      <c r="M2">
        <f>BDH("WHD US Equity","BS_CUR_ASSET_REPORT","1993-06-18","2026-05-02","Per=Y","Days=T","Dir=V")</f>
        <v>0</v>
      </c>
      <c r="O2">
        <f>BDH("WHD US Equity","BS_CUR_LIAB","1993-06-18","2026-05-02","Per=Y","Days=T","Dir=V")</f>
        <v>0</v>
      </c>
      <c r="Q2">
        <f>BDH("WHD US Equity","BS_SHAREHOLDER_EQY_ENDING_PERIOD","1993-06-18","2026-05-02","Per=Y","Days=T","Dir=V")</f>
        <v>0</v>
      </c>
      <c r="S2">
        <f>BDH("WHD US Equity","BS_ACCT_NOTE_RCV","1993-06-18","2026-05-02","Per=Y","Days=T","Dir=V")</f>
        <v>0</v>
      </c>
      <c r="U2">
        <f>BDH("WHD US Equity","BS_INVENTORIES","1993-06-18","2026-05-02","Per=Y","Days=T","Dir=V")</f>
        <v>0</v>
      </c>
      <c r="W2">
        <f>BDH("WHD US Equity","WORKING_CAPITAL","1993-06-18","2026-05-02","Per=Y","Days=T","Dir=V")</f>
        <v>0</v>
      </c>
      <c r="Y2">
        <f>BDH("WHD US Equity","SALES_REV_TURN","1993-06-18","2026-05-02","Per=Y","Days=T","Dir=V")</f>
        <v>0</v>
      </c>
      <c r="AA2">
        <f>BDH("WHD US Equity","EBIT","1993-06-18","2026-05-02","Per=Y","Days=T","Dir=V")</f>
        <v>0</v>
      </c>
      <c r="AC2">
        <f>BDH("WHD US Equity","EBITDA","1993-06-18","2026-05-02","Per=Y","Days=T","Dir=V")</f>
        <v>0</v>
      </c>
      <c r="AE2">
        <f>BDH("WHD US Equity","NET_INCOME","1993-06-18","2026-05-02","Per=Y","Days=T","Dir=V")</f>
        <v>0</v>
      </c>
      <c r="AG2">
        <f>BDH("WHD US Equity","IS_INT_EXPENSE","1993-06-18","2026-05-02","Per=Y","Days=T","Dir=V")</f>
        <v>0</v>
      </c>
      <c r="AI2">
        <f>BDH("WHD US Equity","IS_DEPR_EXP","1993-06-18","2026-05-02","Per=Y","Days=T","Dir=V")</f>
        <v>0</v>
      </c>
      <c r="AK2">
        <f>BDH("WHD US Equity","CF_CASH_FROM_OPER","1993-06-18","2026-05-02","Per=Y","Days=T","Dir=V")</f>
        <v>0</v>
      </c>
      <c r="AM2">
        <f>BDH("WHD US Equity","CAPITAL_EXPEND","1993-06-18","2026-05-02","Per=Y","Days=T","Dir=V")</f>
        <v>0</v>
      </c>
      <c r="AO2">
        <f>BDH("WHD US Equity","CF_FREE_CASH_FLOW","1993-06-18","2026-05-02","Per=Y","Days=T","Dir=V")</f>
        <v>0</v>
      </c>
      <c r="AQ2">
        <f>BDH("WHD US Equity","PX_LAST","1993-06-18","2026-05-02","Per=M","Days=T","Dir=V")</f>
        <v>0</v>
      </c>
      <c r="AS2">
        <f>BDH("WHD US Equity","CUR_MKT_CAP","1993-06-18","2026-05-02","Per=M","Days=T","Dir=V")</f>
        <v>0</v>
      </c>
      <c r="AU2">
        <f>BDH("WHD US Equity","EQY_SH_OUT","1993-06-18","2026-05-02","Per=M","Days=T","Dir=V")</f>
        <v>0</v>
      </c>
      <c r="AW2">
        <f>BDH("WHD US Equity","PX_VOLUME","1993-06-18","2026-05-02","Per=M","Days=T","Dir=V")</f>
        <v>0</v>
      </c>
      <c r="AY2">
        <f>BDH("WHD US Equity","TURNOVER","1993-06-18","2026-05-02","Per=M","Days=T","Dir=V")</f>
        <v>0</v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BDH("WHR US Equity","BS_TOT_ASSET","1993-06-18","2026-05-02","Per=Y","Days=T","Dir=V")</f>
        <v>0</v>
      </c>
      <c r="C2">
        <f>BDH("WHR US Equity","BS_TOT_LIAB2","1993-06-18","2026-05-02","Per=Y","Days=T","Dir=V")</f>
        <v>0</v>
      </c>
      <c r="E2">
        <f>BDH("WHR US Equity","SHORT_AND_LONG_TERM_DEBT","1993-06-18","2026-05-02","Per=Y","Days=T","Dir=V")</f>
        <v>0</v>
      </c>
      <c r="G2">
        <f>BDH("WHR US Equity","BS_ST_BORROW","1993-06-18","2026-05-02","Per=Y","Days=T","Dir=V")</f>
        <v>0</v>
      </c>
      <c r="I2">
        <f>BDH("WHR US Equity","BS_LT_BORROW","1993-06-18","2026-05-02","Per=Y","Days=T","Dir=V")</f>
        <v>0</v>
      </c>
      <c r="K2">
        <f>BDH("WHR US Equity","BS_CASH_NEAR_CASH_ITEM","1993-06-18","2026-05-02","Per=Y","Days=T","Dir=V")</f>
        <v>0</v>
      </c>
      <c r="M2">
        <f>BDH("WHR US Equity","BS_CUR_ASSET_REPORT","1993-06-18","2026-05-02","Per=Y","Days=T","Dir=V")</f>
        <v>0</v>
      </c>
      <c r="O2">
        <f>BDH("WHR US Equity","BS_CUR_LIAB","1993-06-18","2026-05-02","Per=Y","Days=T","Dir=V")</f>
        <v>0</v>
      </c>
      <c r="Q2">
        <f>BDH("WHR US Equity","BS_SHAREHOLDER_EQY_ENDING_PERIOD","1993-06-18","2026-05-02","Per=Y","Days=T","Dir=V")</f>
        <v>0</v>
      </c>
      <c r="S2">
        <f>BDH("WHR US Equity","BS_ACCT_NOTE_RCV","1993-06-18","2026-05-02","Per=Y","Days=T","Dir=V")</f>
        <v>0</v>
      </c>
      <c r="U2">
        <f>BDH("WHR US Equity","BS_INVENTORIES","1993-06-18","2026-05-02","Per=Y","Days=T","Dir=V")</f>
        <v>0</v>
      </c>
      <c r="W2">
        <f>BDH("WHR US Equity","WORKING_CAPITAL","1993-06-18","2026-05-02","Per=Y","Days=T","Dir=V")</f>
        <v>0</v>
      </c>
      <c r="Y2">
        <f>BDH("WHR US Equity","SALES_REV_TURN","1993-06-18","2026-05-02","Per=Y","Days=T","Dir=V")</f>
        <v>0</v>
      </c>
      <c r="AA2">
        <f>BDH("WHR US Equity","EBIT","1993-06-18","2026-05-02","Per=Y","Days=T","Dir=V")</f>
        <v>0</v>
      </c>
      <c r="AC2">
        <f>BDH("WHR US Equity","EBITDA","1993-06-18","2026-05-02","Per=Y","Days=T","Dir=V")</f>
        <v>0</v>
      </c>
      <c r="AE2">
        <f>BDH("WHR US Equity","NET_INCOME","1993-06-18","2026-05-02","Per=Y","Days=T","Dir=V")</f>
        <v>0</v>
      </c>
      <c r="AG2">
        <f>BDH("WHR US Equity","IS_INT_EXPENSE","1993-06-18","2026-05-02","Per=Y","Days=T","Dir=V")</f>
        <v>0</v>
      </c>
      <c r="AI2">
        <f>BDH("WHR US Equity","IS_DEPR_EXP","1993-06-18","2026-05-02","Per=Y","Days=T","Dir=V")</f>
        <v>0</v>
      </c>
      <c r="AK2">
        <f>BDH("WHR US Equity","CF_CASH_FROM_OPER","1993-06-18","2026-05-02","Per=Y","Days=T","Dir=V")</f>
        <v>0</v>
      </c>
      <c r="AM2">
        <f>BDH("WHR US Equity","CAPITAL_EXPEND","1993-06-18","2026-05-02","Per=Y","Days=T","Dir=V")</f>
        <v>0</v>
      </c>
      <c r="AO2">
        <f>BDH("WHR US Equity","CF_FREE_CASH_FLOW","1993-06-18","2026-05-02","Per=Y","Days=T","Dir=V")</f>
        <v>0</v>
      </c>
      <c r="AQ2">
        <f>BDH("WHR US Equity","PX_LAST","1993-06-18","2026-05-02","Per=M","Days=T","Dir=V")</f>
        <v>0</v>
      </c>
      <c r="AS2">
        <f>BDH("WHR US Equity","CUR_MKT_CAP","1993-06-18","2026-05-02","Per=M","Days=T","Dir=V")</f>
        <v>0</v>
      </c>
      <c r="AU2">
        <f>BDH("WHR US Equity","EQY_SH_OUT","1993-06-18","2026-05-02","Per=M","Days=T","Dir=V")</f>
        <v>0</v>
      </c>
      <c r="AW2">
        <f>BDH("WHR US Equity","PX_VOLUME","1993-06-18","2026-05-02","Per=M","Days=T","Dir=V")</f>
        <v>0</v>
      </c>
      <c r="AY2">
        <f>BDH("WHR US Equity","TURNOVER","1993-06-18","2026-05-02","Per=M","Days=T","Dir=V")</f>
        <v>0</v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BDH("WHWK US Equity","BS_TOT_ASSET","1993-06-18","2026-05-02","Per=Y","Days=T","Dir=V")</f>
        <v>0</v>
      </c>
      <c r="C2">
        <f>BDH("WHWK US Equity","BS_TOT_LIAB2","1993-06-18","2026-05-02","Per=Y","Days=T","Dir=V")</f>
        <v>0</v>
      </c>
      <c r="E2">
        <f>BDH("WHWK US Equity","SHORT_AND_LONG_TERM_DEBT","1993-06-18","2026-05-02","Per=Y","Days=T","Dir=V")</f>
        <v>0</v>
      </c>
      <c r="G2">
        <f>BDH("WHWK US Equity","BS_ST_BORROW","1993-06-18","2026-05-02","Per=Y","Days=T","Dir=V")</f>
        <v>0</v>
      </c>
      <c r="I2">
        <f>BDH("WHWK US Equity","BS_LT_BORROW","1993-06-18","2026-05-02","Per=Y","Days=T","Dir=V")</f>
        <v>0</v>
      </c>
      <c r="K2">
        <f>BDH("WHWK US Equity","BS_CASH_NEAR_CASH_ITEM","1993-06-18","2026-05-02","Per=Y","Days=T","Dir=V")</f>
        <v>0</v>
      </c>
      <c r="M2">
        <f>BDH("WHWK US Equity","BS_CUR_ASSET_REPORT","1993-06-18","2026-05-02","Per=Y","Days=T","Dir=V")</f>
        <v>0</v>
      </c>
      <c r="O2">
        <f>BDH("WHWK US Equity","BS_CUR_LIAB","1993-06-18","2026-05-02","Per=Y","Days=T","Dir=V")</f>
        <v>0</v>
      </c>
      <c r="Q2">
        <f>BDH("WHWK US Equity","BS_SHAREHOLDER_EQY_ENDING_PERIOD","1993-06-18","2026-05-02","Per=Y","Days=T","Dir=V")</f>
        <v>0</v>
      </c>
      <c r="S2">
        <f>BDH("WHWK US Equity","BS_ACCT_NOTE_RCV","1993-06-18","2026-05-02","Per=Y","Days=T","Dir=V")</f>
        <v>0</v>
      </c>
      <c r="U2">
        <f>BDH("WHWK US Equity","BS_INVENTORIES","1993-06-18","2026-05-02","Per=Y","Days=T","Dir=V")</f>
        <v>0</v>
      </c>
      <c r="W2">
        <f>BDH("WHWK US Equity","WORKING_CAPITAL","1993-06-18","2026-05-02","Per=Y","Days=T","Dir=V")</f>
        <v>0</v>
      </c>
      <c r="Y2">
        <f>BDH("WHWK US Equity","SALES_REV_TURN","1993-06-18","2026-05-02","Per=Y","Days=T","Dir=V")</f>
        <v>0</v>
      </c>
      <c r="AA2">
        <f>BDH("WHWK US Equity","EBIT","1993-06-18","2026-05-02","Per=Y","Days=T","Dir=V")</f>
        <v>0</v>
      </c>
      <c r="AC2">
        <f>BDH("WHWK US Equity","EBITDA","1993-06-18","2026-05-02","Per=Y","Days=T","Dir=V")</f>
        <v>0</v>
      </c>
      <c r="AE2">
        <f>BDH("WHWK US Equity","NET_INCOME","1993-06-18","2026-05-02","Per=Y","Days=T","Dir=V")</f>
        <v>0</v>
      </c>
      <c r="AG2">
        <f>BDH("WHWK US Equity","IS_INT_EXPENSE","1993-06-18","2026-05-02","Per=Y","Days=T","Dir=V")</f>
        <v>0</v>
      </c>
      <c r="AI2">
        <f>BDH("WHWK US Equity","IS_DEPR_EXP","1993-06-18","2026-05-02","Per=Y","Days=T","Dir=V")</f>
        <v>0</v>
      </c>
      <c r="AK2">
        <f>BDH("WHWK US Equity","CF_CASH_FROM_OPER","1993-06-18","2026-05-02","Per=Y","Days=T","Dir=V")</f>
        <v>0</v>
      </c>
      <c r="AM2">
        <f>BDH("WHWK US Equity","CAPITAL_EXPEND","1993-06-18","2026-05-02","Per=Y","Days=T","Dir=V")</f>
        <v>0</v>
      </c>
      <c r="AO2">
        <f>BDH("WHWK US Equity","CF_FREE_CASH_FLOW","1993-06-18","2026-05-02","Per=Y","Days=T","Dir=V")</f>
        <v>0</v>
      </c>
      <c r="AQ2">
        <f>BDH("WHWK US Equity","PX_LAST","1993-06-18","2026-05-02","Per=M","Days=T","Dir=V")</f>
        <v>0</v>
      </c>
      <c r="AS2">
        <f>BDH("WHWK US Equity","CUR_MKT_CAP","1993-06-18","2026-05-02","Per=M","Days=T","Dir=V")</f>
        <v>0</v>
      </c>
      <c r="AU2">
        <f>BDH("WHWK US Equity","EQY_SH_OUT","1993-06-18","2026-05-02","Per=M","Days=T","Dir=V")</f>
        <v>0</v>
      </c>
      <c r="AW2">
        <f>BDH("WHWK US Equity","PX_VOLUME","1993-06-18","2026-05-02","Per=M","Days=T","Dir=V")</f>
        <v>0</v>
      </c>
      <c r="AY2">
        <f>BDH("WHWK US Equity","TURNOVER","1993-06-18","2026-05-02","Per=M","Days=T","Dir=V")</f>
        <v>0</v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BDH("WINA US Equity","BS_TOT_ASSET","1993-06-18","2026-05-02","Per=Y","Days=T","Dir=V")</f>
        <v>0</v>
      </c>
      <c r="C2">
        <f>BDH("WINA US Equity","BS_TOT_LIAB2","1993-06-18","2026-05-02","Per=Y","Days=T","Dir=V")</f>
        <v>0</v>
      </c>
      <c r="E2">
        <f>BDH("WINA US Equity","SHORT_AND_LONG_TERM_DEBT","1993-06-18","2026-05-02","Per=Y","Days=T","Dir=V")</f>
        <v>0</v>
      </c>
      <c r="G2">
        <f>BDH("WINA US Equity","BS_ST_BORROW","1993-06-18","2026-05-02","Per=Y","Days=T","Dir=V")</f>
        <v>0</v>
      </c>
      <c r="I2">
        <f>BDH("WINA US Equity","BS_LT_BORROW","1993-06-18","2026-05-02","Per=Y","Days=T","Dir=V")</f>
        <v>0</v>
      </c>
      <c r="K2">
        <f>BDH("WINA US Equity","BS_CASH_NEAR_CASH_ITEM","1993-06-18","2026-05-02","Per=Y","Days=T","Dir=V")</f>
        <v>0</v>
      </c>
      <c r="M2">
        <f>BDH("WINA US Equity","BS_CUR_ASSET_REPORT","1993-06-18","2026-05-02","Per=Y","Days=T","Dir=V")</f>
        <v>0</v>
      </c>
      <c r="O2">
        <f>BDH("WINA US Equity","BS_CUR_LIAB","1993-06-18","2026-05-02","Per=Y","Days=T","Dir=V")</f>
        <v>0</v>
      </c>
      <c r="Q2">
        <f>BDH("WINA US Equity","BS_SHAREHOLDER_EQY_ENDING_PERIOD","1993-06-18","2026-05-02","Per=Y","Days=T","Dir=V")</f>
        <v>0</v>
      </c>
      <c r="S2">
        <f>BDH("WINA US Equity","BS_ACCT_NOTE_RCV","1993-06-18","2026-05-02","Per=Y","Days=T","Dir=V")</f>
        <v>0</v>
      </c>
      <c r="U2">
        <f>BDH("WINA US Equity","BS_INVENTORIES","1993-06-18","2026-05-02","Per=Y","Days=T","Dir=V")</f>
        <v>0</v>
      </c>
      <c r="W2">
        <f>BDH("WINA US Equity","WORKING_CAPITAL","1993-06-18","2026-05-02","Per=Y","Days=T","Dir=V")</f>
        <v>0</v>
      </c>
      <c r="Y2">
        <f>BDH("WINA US Equity","SALES_REV_TURN","1993-06-18","2026-05-02","Per=Y","Days=T","Dir=V")</f>
        <v>0</v>
      </c>
      <c r="AA2">
        <f>BDH("WINA US Equity","EBIT","1993-06-18","2026-05-02","Per=Y","Days=T","Dir=V")</f>
        <v>0</v>
      </c>
      <c r="AC2">
        <f>BDH("WINA US Equity","EBITDA","1993-06-18","2026-05-02","Per=Y","Days=T","Dir=V")</f>
        <v>0</v>
      </c>
      <c r="AE2">
        <f>BDH("WINA US Equity","NET_INCOME","1993-06-18","2026-05-02","Per=Y","Days=T","Dir=V")</f>
        <v>0</v>
      </c>
      <c r="AG2">
        <f>BDH("WINA US Equity","IS_INT_EXPENSE","1993-06-18","2026-05-02","Per=Y","Days=T","Dir=V")</f>
        <v>0</v>
      </c>
      <c r="AI2">
        <f>BDH("WINA US Equity","IS_DEPR_EXP","1993-06-18","2026-05-02","Per=Y","Days=T","Dir=V")</f>
        <v>0</v>
      </c>
      <c r="AK2">
        <f>BDH("WINA US Equity","CF_CASH_FROM_OPER","1993-06-18","2026-05-02","Per=Y","Days=T","Dir=V")</f>
        <v>0</v>
      </c>
      <c r="AM2">
        <f>BDH("WINA US Equity","CAPITAL_EXPEND","1993-06-18","2026-05-02","Per=Y","Days=T","Dir=V")</f>
        <v>0</v>
      </c>
      <c r="AO2">
        <f>BDH("WINA US Equity","CF_FREE_CASH_FLOW","1993-06-18","2026-05-02","Per=Y","Days=T","Dir=V")</f>
        <v>0</v>
      </c>
      <c r="AQ2">
        <f>BDH("WINA US Equity","PX_LAST","1993-06-18","2026-05-02","Per=M","Days=T","Dir=V")</f>
        <v>0</v>
      </c>
      <c r="AS2">
        <f>BDH("WINA US Equity","CUR_MKT_CAP","1993-06-18","2026-05-02","Per=M","Days=T","Dir=V")</f>
        <v>0</v>
      </c>
      <c r="AU2">
        <f>BDH("WINA US Equity","EQY_SH_OUT","1993-06-18","2026-05-02","Per=M","Days=T","Dir=V")</f>
        <v>0</v>
      </c>
      <c r="AW2">
        <f>BDH("WINA US Equity","PX_VOLUME","1993-06-18","2026-05-02","Per=M","Days=T","Dir=V")</f>
        <v>0</v>
      </c>
      <c r="AY2">
        <f>BDH("WINA US Equity","TURNOVER","1993-06-18","2026-05-02","Per=M","Days=T","Dir=V")</f>
        <v>0</v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BDH("WING US Equity","BS_TOT_ASSET","1993-06-18","2026-05-02","Per=Y","Days=T","Dir=V")</f>
        <v>0</v>
      </c>
      <c r="C2">
        <f>BDH("WING US Equity","BS_TOT_LIAB2","1993-06-18","2026-05-02","Per=Y","Days=T","Dir=V")</f>
        <v>0</v>
      </c>
      <c r="E2">
        <f>BDH("WING US Equity","SHORT_AND_LONG_TERM_DEBT","1993-06-18","2026-05-02","Per=Y","Days=T","Dir=V")</f>
        <v>0</v>
      </c>
      <c r="G2">
        <f>BDH("WING US Equity","BS_ST_BORROW","1993-06-18","2026-05-02","Per=Y","Days=T","Dir=V")</f>
        <v>0</v>
      </c>
      <c r="I2">
        <f>BDH("WING US Equity","BS_LT_BORROW","1993-06-18","2026-05-02","Per=Y","Days=T","Dir=V")</f>
        <v>0</v>
      </c>
      <c r="K2">
        <f>BDH("WING US Equity","BS_CASH_NEAR_CASH_ITEM","1993-06-18","2026-05-02","Per=Y","Days=T","Dir=V")</f>
        <v>0</v>
      </c>
      <c r="M2">
        <f>BDH("WING US Equity","BS_CUR_ASSET_REPORT","1993-06-18","2026-05-02","Per=Y","Days=T","Dir=V")</f>
        <v>0</v>
      </c>
      <c r="O2">
        <f>BDH("WING US Equity","BS_CUR_LIAB","1993-06-18","2026-05-02","Per=Y","Days=T","Dir=V")</f>
        <v>0</v>
      </c>
      <c r="Q2">
        <f>BDH("WING US Equity","BS_SHAREHOLDER_EQY_ENDING_PERIOD","1993-06-18","2026-05-02","Per=Y","Days=T","Dir=V")</f>
        <v>0</v>
      </c>
      <c r="S2">
        <f>BDH("WING US Equity","BS_ACCT_NOTE_RCV","1993-06-18","2026-05-02","Per=Y","Days=T","Dir=V")</f>
        <v>0</v>
      </c>
      <c r="U2">
        <f>BDH("WING US Equity","BS_INVENTORIES","1993-06-18","2026-05-02","Per=Y","Days=T","Dir=V")</f>
        <v>0</v>
      </c>
      <c r="W2">
        <f>BDH("WING US Equity","WORKING_CAPITAL","1993-06-18","2026-05-02","Per=Y","Days=T","Dir=V")</f>
        <v>0</v>
      </c>
      <c r="Y2">
        <f>BDH("WING US Equity","SALES_REV_TURN","1993-06-18","2026-05-02","Per=Y","Days=T","Dir=V")</f>
        <v>0</v>
      </c>
      <c r="AA2">
        <f>BDH("WING US Equity","EBIT","1993-06-18","2026-05-02","Per=Y","Days=T","Dir=V")</f>
        <v>0</v>
      </c>
      <c r="AC2">
        <f>BDH("WING US Equity","EBITDA","1993-06-18","2026-05-02","Per=Y","Days=T","Dir=V")</f>
        <v>0</v>
      </c>
      <c r="AE2">
        <f>BDH("WING US Equity","NET_INCOME","1993-06-18","2026-05-02","Per=Y","Days=T","Dir=V")</f>
        <v>0</v>
      </c>
      <c r="AG2">
        <f>BDH("WING US Equity","IS_INT_EXPENSE","1993-06-18","2026-05-02","Per=Y","Days=T","Dir=V")</f>
        <v>0</v>
      </c>
      <c r="AI2">
        <f>BDH("WING US Equity","IS_DEPR_EXP","1993-06-18","2026-05-02","Per=Y","Days=T","Dir=V")</f>
        <v>0</v>
      </c>
      <c r="AK2">
        <f>BDH("WING US Equity","CF_CASH_FROM_OPER","1993-06-18","2026-05-02","Per=Y","Days=T","Dir=V")</f>
        <v>0</v>
      </c>
      <c r="AM2">
        <f>BDH("WING US Equity","CAPITAL_EXPEND","1993-06-18","2026-05-02","Per=Y","Days=T","Dir=V")</f>
        <v>0</v>
      </c>
      <c r="AO2">
        <f>BDH("WING US Equity","CF_FREE_CASH_FLOW","1993-06-18","2026-05-02","Per=Y","Days=T","Dir=V")</f>
        <v>0</v>
      </c>
      <c r="AQ2">
        <f>BDH("WING US Equity","PX_LAST","1993-06-18","2026-05-02","Per=M","Days=T","Dir=V")</f>
        <v>0</v>
      </c>
      <c r="AS2">
        <f>BDH("WING US Equity","CUR_MKT_CAP","1993-06-18","2026-05-02","Per=M","Days=T","Dir=V")</f>
        <v>0</v>
      </c>
      <c r="AU2">
        <f>BDH("WING US Equity","EQY_SH_OUT","1993-06-18","2026-05-02","Per=M","Days=T","Dir=V")</f>
        <v>0</v>
      </c>
      <c r="AW2">
        <f>BDH("WING US Equity","PX_VOLUME","1993-06-18","2026-05-02","Per=M","Days=T","Dir=V")</f>
        <v>0</v>
      </c>
      <c r="AY2">
        <f>BDH("WING US Equity","TURNOVER","1993-06-18","2026-05-02","Per=M","Days=T","Dir=V")</f>
        <v>0</v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BDH("WK US Equity","BS_TOT_ASSET","1993-06-18","2026-05-02","Per=Y","Days=T","Dir=V")</f>
        <v>0</v>
      </c>
      <c r="C2">
        <f>BDH("WK US Equity","BS_TOT_LIAB2","1993-06-18","2026-05-02","Per=Y","Days=T","Dir=V")</f>
        <v>0</v>
      </c>
      <c r="E2">
        <f>BDH("WK US Equity","SHORT_AND_LONG_TERM_DEBT","1993-06-18","2026-05-02","Per=Y","Days=T","Dir=V")</f>
        <v>0</v>
      </c>
      <c r="G2">
        <f>BDH("WK US Equity","BS_ST_BORROW","1993-06-18","2026-05-02","Per=Y","Days=T","Dir=V")</f>
        <v>0</v>
      </c>
      <c r="I2">
        <f>BDH("WK US Equity","BS_LT_BORROW","1993-06-18","2026-05-02","Per=Y","Days=T","Dir=V")</f>
        <v>0</v>
      </c>
      <c r="K2">
        <f>BDH("WK US Equity","BS_CASH_NEAR_CASH_ITEM","1993-06-18","2026-05-02","Per=Y","Days=T","Dir=V")</f>
        <v>0</v>
      </c>
      <c r="M2">
        <f>BDH("WK US Equity","BS_CUR_ASSET_REPORT","1993-06-18","2026-05-02","Per=Y","Days=T","Dir=V")</f>
        <v>0</v>
      </c>
      <c r="O2">
        <f>BDH("WK US Equity","BS_CUR_LIAB","1993-06-18","2026-05-02","Per=Y","Days=T","Dir=V")</f>
        <v>0</v>
      </c>
      <c r="Q2">
        <f>BDH("WK US Equity","BS_SHAREHOLDER_EQY_ENDING_PERIOD","1993-06-18","2026-05-02","Per=Y","Days=T","Dir=V")</f>
        <v>0</v>
      </c>
      <c r="S2">
        <f>BDH("WK US Equity","BS_ACCT_NOTE_RCV","1993-06-18","2026-05-02","Per=Y","Days=T","Dir=V")</f>
        <v>0</v>
      </c>
      <c r="U2">
        <f>BDH("WK US Equity","BS_INVENTORIES","1993-06-18","2026-05-02","Per=Y","Days=T","Dir=V")</f>
        <v>0</v>
      </c>
      <c r="W2">
        <f>BDH("WK US Equity","WORKING_CAPITAL","1993-06-18","2026-05-02","Per=Y","Days=T","Dir=V")</f>
        <v>0</v>
      </c>
      <c r="Y2">
        <f>BDH("WK US Equity","SALES_REV_TURN","1993-06-18","2026-05-02","Per=Y","Days=T","Dir=V")</f>
        <v>0</v>
      </c>
      <c r="AA2">
        <f>BDH("WK US Equity","EBIT","1993-06-18","2026-05-02","Per=Y","Days=T","Dir=V")</f>
        <v>0</v>
      </c>
      <c r="AC2">
        <f>BDH("WK US Equity","EBITDA","1993-06-18","2026-05-02","Per=Y","Days=T","Dir=V")</f>
        <v>0</v>
      </c>
      <c r="AE2">
        <f>BDH("WK US Equity","NET_INCOME","1993-06-18","2026-05-02","Per=Y","Days=T","Dir=V")</f>
        <v>0</v>
      </c>
      <c r="AG2">
        <f>BDH("WK US Equity","IS_INT_EXPENSE","1993-06-18","2026-05-02","Per=Y","Days=T","Dir=V")</f>
        <v>0</v>
      </c>
      <c r="AI2">
        <f>BDH("WK US Equity","IS_DEPR_EXP","1993-06-18","2026-05-02","Per=Y","Days=T","Dir=V")</f>
        <v>0</v>
      </c>
      <c r="AK2">
        <f>BDH("WK US Equity","CF_CASH_FROM_OPER","1993-06-18","2026-05-02","Per=Y","Days=T","Dir=V")</f>
        <v>0</v>
      </c>
      <c r="AM2">
        <f>BDH("WK US Equity","CAPITAL_EXPEND","1993-06-18","2026-05-02","Per=Y","Days=T","Dir=V")</f>
        <v>0</v>
      </c>
      <c r="AO2">
        <f>BDH("WK US Equity","CF_FREE_CASH_FLOW","1993-06-18","2026-05-02","Per=Y","Days=T","Dir=V")</f>
        <v>0</v>
      </c>
      <c r="AQ2">
        <f>BDH("WK US Equity","PX_LAST","1993-06-18","2026-05-02","Per=M","Days=T","Dir=V")</f>
        <v>0</v>
      </c>
      <c r="AS2">
        <f>BDH("WK US Equity","CUR_MKT_CAP","1993-06-18","2026-05-02","Per=M","Days=T","Dir=V")</f>
        <v>0</v>
      </c>
      <c r="AU2">
        <f>BDH("WK US Equity","EQY_SH_OUT","1993-06-18","2026-05-02","Per=M","Days=T","Dir=V")</f>
        <v>0</v>
      </c>
      <c r="AW2">
        <f>BDH("WK US Equity","PX_VOLUME","1993-06-18","2026-05-02","Per=M","Days=T","Dir=V")</f>
        <v>0</v>
      </c>
      <c r="AY2">
        <f>BDH("WK US Equity","TURNOVER","1993-06-18","2026-05-02","Per=M","Days=T","Dir=V")</f>
        <v>0</v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BDH("WKC US Equity","BS_TOT_ASSET","1993-06-18","2026-05-02","Per=Y","Days=T","Dir=V")</f>
        <v>0</v>
      </c>
      <c r="C2">
        <f>BDH("WKC US Equity","BS_TOT_LIAB2","1993-06-18","2026-05-02","Per=Y","Days=T","Dir=V")</f>
        <v>0</v>
      </c>
      <c r="E2">
        <f>BDH("WKC US Equity","SHORT_AND_LONG_TERM_DEBT","1993-06-18","2026-05-02","Per=Y","Days=T","Dir=V")</f>
        <v>0</v>
      </c>
      <c r="G2">
        <f>BDH("WKC US Equity","BS_ST_BORROW","1993-06-18","2026-05-02","Per=Y","Days=T","Dir=V")</f>
        <v>0</v>
      </c>
      <c r="I2">
        <f>BDH("WKC US Equity","BS_LT_BORROW","1993-06-18","2026-05-02","Per=Y","Days=T","Dir=V")</f>
        <v>0</v>
      </c>
      <c r="K2">
        <f>BDH("WKC US Equity","BS_CASH_NEAR_CASH_ITEM","1993-06-18","2026-05-02","Per=Y","Days=T","Dir=V")</f>
        <v>0</v>
      </c>
      <c r="M2">
        <f>BDH("WKC US Equity","BS_CUR_ASSET_REPORT","1993-06-18","2026-05-02","Per=Y","Days=T","Dir=V")</f>
        <v>0</v>
      </c>
      <c r="O2">
        <f>BDH("WKC US Equity","BS_CUR_LIAB","1993-06-18","2026-05-02","Per=Y","Days=T","Dir=V")</f>
        <v>0</v>
      </c>
      <c r="Q2">
        <f>BDH("WKC US Equity","BS_SHAREHOLDER_EQY_ENDING_PERIOD","1993-06-18","2026-05-02","Per=Y","Days=T","Dir=V")</f>
        <v>0</v>
      </c>
      <c r="S2">
        <f>BDH("WKC US Equity","BS_ACCT_NOTE_RCV","1993-06-18","2026-05-02","Per=Y","Days=T","Dir=V")</f>
        <v>0</v>
      </c>
      <c r="U2">
        <f>BDH("WKC US Equity","BS_INVENTORIES","1993-06-18","2026-05-02","Per=Y","Days=T","Dir=V")</f>
        <v>0</v>
      </c>
      <c r="W2">
        <f>BDH("WKC US Equity","WORKING_CAPITAL","1993-06-18","2026-05-02","Per=Y","Days=T","Dir=V")</f>
        <v>0</v>
      </c>
      <c r="Y2">
        <f>BDH("WKC US Equity","SALES_REV_TURN","1993-06-18","2026-05-02","Per=Y","Days=T","Dir=V")</f>
        <v>0</v>
      </c>
      <c r="AA2">
        <f>BDH("WKC US Equity","EBIT","1993-06-18","2026-05-02","Per=Y","Days=T","Dir=V")</f>
        <v>0</v>
      </c>
      <c r="AC2">
        <f>BDH("WKC US Equity","EBITDA","1993-06-18","2026-05-02","Per=Y","Days=T","Dir=V")</f>
        <v>0</v>
      </c>
      <c r="AE2">
        <f>BDH("WKC US Equity","NET_INCOME","1993-06-18","2026-05-02","Per=Y","Days=T","Dir=V")</f>
        <v>0</v>
      </c>
      <c r="AG2">
        <f>BDH("WKC US Equity","IS_INT_EXPENSE","1993-06-18","2026-05-02","Per=Y","Days=T","Dir=V")</f>
        <v>0</v>
      </c>
      <c r="AI2">
        <f>BDH("WKC US Equity","IS_DEPR_EXP","1993-06-18","2026-05-02","Per=Y","Days=T","Dir=V")</f>
        <v>0</v>
      </c>
      <c r="AK2">
        <f>BDH("WKC US Equity","CF_CASH_FROM_OPER","1993-06-18","2026-05-02","Per=Y","Days=T","Dir=V")</f>
        <v>0</v>
      </c>
      <c r="AM2">
        <f>BDH("WKC US Equity","CAPITAL_EXPEND","1993-06-18","2026-05-02","Per=Y","Days=T","Dir=V")</f>
        <v>0</v>
      </c>
      <c r="AO2">
        <f>BDH("WKC US Equity","CF_FREE_CASH_FLOW","1993-06-18","2026-05-02","Per=Y","Days=T","Dir=V")</f>
        <v>0</v>
      </c>
      <c r="AQ2">
        <f>BDH("WKC US Equity","PX_LAST","1993-06-18","2026-05-02","Per=M","Days=T","Dir=V")</f>
        <v>0</v>
      </c>
      <c r="AS2">
        <f>BDH("WKC US Equity","CUR_MKT_CAP","1993-06-18","2026-05-02","Per=M","Days=T","Dir=V")</f>
        <v>0</v>
      </c>
      <c r="AU2">
        <f>BDH("WKC US Equity","EQY_SH_OUT","1993-06-18","2026-05-02","Per=M","Days=T","Dir=V")</f>
        <v>0</v>
      </c>
      <c r="AW2">
        <f>BDH("WKC US Equity","PX_VOLUME","1993-06-18","2026-05-02","Per=M","Days=T","Dir=V")</f>
        <v>0</v>
      </c>
      <c r="AY2">
        <f>BDH("WKC US Equity","TURNOVER","1993-06-18","2026-05-02","Per=M","Days=T","Dir=V")</f>
        <v>0</v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BDH("WKHS US Equity","BS_TOT_ASSET","1993-06-18","2026-05-02","Per=Y","Days=T","Dir=V")</f>
        <v>0</v>
      </c>
      <c r="C2">
        <f>BDH("WKHS US Equity","BS_TOT_LIAB2","1993-06-18","2026-05-02","Per=Y","Days=T","Dir=V")</f>
        <v>0</v>
      </c>
      <c r="E2">
        <f>BDH("WKHS US Equity","SHORT_AND_LONG_TERM_DEBT","1993-06-18","2026-05-02","Per=Y","Days=T","Dir=V")</f>
        <v>0</v>
      </c>
      <c r="G2">
        <f>BDH("WKHS US Equity","BS_ST_BORROW","1993-06-18","2026-05-02","Per=Y","Days=T","Dir=V")</f>
        <v>0</v>
      </c>
      <c r="I2">
        <f>BDH("WKHS US Equity","BS_LT_BORROW","1993-06-18","2026-05-02","Per=Y","Days=T","Dir=V")</f>
        <v>0</v>
      </c>
      <c r="K2">
        <f>BDH("WKHS US Equity","BS_CASH_NEAR_CASH_ITEM","1993-06-18","2026-05-02","Per=Y","Days=T","Dir=V")</f>
        <v>0</v>
      </c>
      <c r="M2">
        <f>BDH("WKHS US Equity","BS_CUR_ASSET_REPORT","1993-06-18","2026-05-02","Per=Y","Days=T","Dir=V")</f>
        <v>0</v>
      </c>
      <c r="O2">
        <f>BDH("WKHS US Equity","BS_CUR_LIAB","1993-06-18","2026-05-02","Per=Y","Days=T","Dir=V")</f>
        <v>0</v>
      </c>
      <c r="Q2">
        <f>BDH("WKHS US Equity","BS_SHAREHOLDER_EQY_ENDING_PERIOD","1993-06-18","2026-05-02","Per=Y","Days=T","Dir=V")</f>
        <v>0</v>
      </c>
      <c r="S2">
        <f>BDH("WKHS US Equity","BS_ACCT_NOTE_RCV","1993-06-18","2026-05-02","Per=Y","Days=T","Dir=V")</f>
        <v>0</v>
      </c>
      <c r="U2">
        <f>BDH("WKHS US Equity","BS_INVENTORIES","1993-06-18","2026-05-02","Per=Y","Days=T","Dir=V")</f>
        <v>0</v>
      </c>
      <c r="W2">
        <f>BDH("WKHS US Equity","WORKING_CAPITAL","1993-06-18","2026-05-02","Per=Y","Days=T","Dir=V")</f>
        <v>0</v>
      </c>
      <c r="Y2">
        <f>BDH("WKHS US Equity","SALES_REV_TURN","1993-06-18","2026-05-02","Per=Y","Days=T","Dir=V")</f>
        <v>0</v>
      </c>
      <c r="AA2">
        <f>BDH("WKHS US Equity","EBIT","1993-06-18","2026-05-02","Per=Y","Days=T","Dir=V")</f>
        <v>0</v>
      </c>
      <c r="AC2">
        <f>BDH("WKHS US Equity","EBITDA","1993-06-18","2026-05-02","Per=Y","Days=T","Dir=V")</f>
        <v>0</v>
      </c>
      <c r="AE2">
        <f>BDH("WKHS US Equity","NET_INCOME","1993-06-18","2026-05-02","Per=Y","Days=T","Dir=V")</f>
        <v>0</v>
      </c>
      <c r="AG2">
        <f>BDH("WKHS US Equity","IS_INT_EXPENSE","1993-06-18","2026-05-02","Per=Y","Days=T","Dir=V")</f>
        <v>0</v>
      </c>
      <c r="AI2">
        <f>BDH("WKHS US Equity","IS_DEPR_EXP","1993-06-18","2026-05-02","Per=Y","Days=T","Dir=V")</f>
        <v>0</v>
      </c>
      <c r="AK2">
        <f>BDH("WKHS US Equity","CF_CASH_FROM_OPER","1993-06-18","2026-05-02","Per=Y","Days=T","Dir=V")</f>
        <v>0</v>
      </c>
      <c r="AM2">
        <f>BDH("WKHS US Equity","CAPITAL_EXPEND","1993-06-18","2026-05-02","Per=Y","Days=T","Dir=V")</f>
        <v>0</v>
      </c>
      <c r="AO2">
        <f>BDH("WKHS US Equity","CF_FREE_CASH_FLOW","1993-06-18","2026-05-02","Per=Y","Days=T","Dir=V")</f>
        <v>0</v>
      </c>
      <c r="AQ2">
        <f>BDH("WKHS US Equity","PX_LAST","1993-06-18","2026-05-02","Per=M","Days=T","Dir=V")</f>
        <v>0</v>
      </c>
      <c r="AS2">
        <f>BDH("WKHS US Equity","CUR_MKT_CAP","1993-06-18","2026-05-02","Per=M","Days=T","Dir=V")</f>
        <v>0</v>
      </c>
      <c r="AU2">
        <f>BDH("WKHS US Equity","EQY_SH_OUT","1993-06-18","2026-05-02","Per=M","Days=T","Dir=V")</f>
        <v>0</v>
      </c>
      <c r="AW2">
        <f>BDH("WKHS US Equity","PX_VOLUME","1993-06-18","2026-05-02","Per=M","Days=T","Dir=V")</f>
        <v>0</v>
      </c>
      <c r="AY2">
        <f>BDH("WKHS US Equity","TURNOVER","1993-06-18","2026-05-02","Per=M","Days=T","Dir=V")</f>
        <v>0</v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BDH("WLDN US Equity","BS_TOT_ASSET","1993-06-18","2026-05-02","Per=Y","Days=T","Dir=V")</f>
        <v>0</v>
      </c>
      <c r="C2">
        <f>BDH("WLDN US Equity","BS_TOT_LIAB2","1993-06-18","2026-05-02","Per=Y","Days=T","Dir=V")</f>
        <v>0</v>
      </c>
      <c r="E2">
        <f>BDH("WLDN US Equity","SHORT_AND_LONG_TERM_DEBT","1993-06-18","2026-05-02","Per=Y","Days=T","Dir=V")</f>
        <v>0</v>
      </c>
      <c r="G2">
        <f>BDH("WLDN US Equity","BS_ST_BORROW","1993-06-18","2026-05-02","Per=Y","Days=T","Dir=V")</f>
        <v>0</v>
      </c>
      <c r="I2">
        <f>BDH("WLDN US Equity","BS_LT_BORROW","1993-06-18","2026-05-02","Per=Y","Days=T","Dir=V")</f>
        <v>0</v>
      </c>
      <c r="K2">
        <f>BDH("WLDN US Equity","BS_CASH_NEAR_CASH_ITEM","1993-06-18","2026-05-02","Per=Y","Days=T","Dir=V")</f>
        <v>0</v>
      </c>
      <c r="M2">
        <f>BDH("WLDN US Equity","BS_CUR_ASSET_REPORT","1993-06-18","2026-05-02","Per=Y","Days=T","Dir=V")</f>
        <v>0</v>
      </c>
      <c r="O2">
        <f>BDH("WLDN US Equity","BS_CUR_LIAB","1993-06-18","2026-05-02","Per=Y","Days=T","Dir=V")</f>
        <v>0</v>
      </c>
      <c r="Q2">
        <f>BDH("WLDN US Equity","BS_SHAREHOLDER_EQY_ENDING_PERIOD","1993-06-18","2026-05-02","Per=Y","Days=T","Dir=V")</f>
        <v>0</v>
      </c>
      <c r="S2">
        <f>BDH("WLDN US Equity","BS_ACCT_NOTE_RCV","1993-06-18","2026-05-02","Per=Y","Days=T","Dir=V")</f>
        <v>0</v>
      </c>
      <c r="U2">
        <f>BDH("WLDN US Equity","BS_INVENTORIES","1993-06-18","2026-05-02","Per=Y","Days=T","Dir=V")</f>
        <v>0</v>
      </c>
      <c r="W2">
        <f>BDH("WLDN US Equity","WORKING_CAPITAL","1993-06-18","2026-05-02","Per=Y","Days=T","Dir=V")</f>
        <v>0</v>
      </c>
      <c r="Y2">
        <f>BDH("WLDN US Equity","SALES_REV_TURN","1993-06-18","2026-05-02","Per=Y","Days=T","Dir=V")</f>
        <v>0</v>
      </c>
      <c r="AA2">
        <f>BDH("WLDN US Equity","EBIT","1993-06-18","2026-05-02","Per=Y","Days=T","Dir=V")</f>
        <v>0</v>
      </c>
      <c r="AC2">
        <f>BDH("WLDN US Equity","EBITDA","1993-06-18","2026-05-02","Per=Y","Days=T","Dir=V")</f>
        <v>0</v>
      </c>
      <c r="AE2">
        <f>BDH("WLDN US Equity","NET_INCOME","1993-06-18","2026-05-02","Per=Y","Days=T","Dir=V")</f>
        <v>0</v>
      </c>
      <c r="AG2">
        <f>BDH("WLDN US Equity","IS_INT_EXPENSE","1993-06-18","2026-05-02","Per=Y","Days=T","Dir=V")</f>
        <v>0</v>
      </c>
      <c r="AI2">
        <f>BDH("WLDN US Equity","IS_DEPR_EXP","1993-06-18","2026-05-02","Per=Y","Days=T","Dir=V")</f>
        <v>0</v>
      </c>
      <c r="AK2">
        <f>BDH("WLDN US Equity","CF_CASH_FROM_OPER","1993-06-18","2026-05-02","Per=Y","Days=T","Dir=V")</f>
        <v>0</v>
      </c>
      <c r="AM2">
        <f>BDH("WLDN US Equity","CAPITAL_EXPEND","1993-06-18","2026-05-02","Per=Y","Days=T","Dir=V")</f>
        <v>0</v>
      </c>
      <c r="AO2">
        <f>BDH("WLDN US Equity","CF_FREE_CASH_FLOW","1993-06-18","2026-05-02","Per=Y","Days=T","Dir=V")</f>
        <v>0</v>
      </c>
      <c r="AQ2">
        <f>BDH("WLDN US Equity","PX_LAST","1993-06-18","2026-05-02","Per=M","Days=T","Dir=V")</f>
        <v>0</v>
      </c>
      <c r="AS2">
        <f>BDH("WLDN US Equity","CUR_MKT_CAP","1993-06-18","2026-05-02","Per=M","Days=T","Dir=V")</f>
        <v>0</v>
      </c>
      <c r="AU2">
        <f>BDH("WLDN US Equity","EQY_SH_OUT","1993-06-18","2026-05-02","Per=M","Days=T","Dir=V")</f>
        <v>0</v>
      </c>
      <c r="AW2">
        <f>BDH("WLDN US Equity","PX_VOLUME","1993-06-18","2026-05-02","Per=M","Days=T","Dir=V")</f>
        <v>0</v>
      </c>
      <c r="AY2">
        <f>BDH("WLDN US Equity","TURNOVER","1993-06-18","2026-05-02","Per=M","Days=T","Dir=V")</f>
        <v>0</v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BDH("WLFC US Equity","BS_TOT_ASSET","1993-06-18","2026-05-02","Per=Y","Days=T","Dir=V")</f>
        <v>0</v>
      </c>
      <c r="C2">
        <f>BDH("WLFC US Equity","BS_TOT_LIAB2","1993-06-18","2026-05-02","Per=Y","Days=T","Dir=V")</f>
        <v>0</v>
      </c>
      <c r="E2">
        <f>BDH("WLFC US Equity","SHORT_AND_LONG_TERM_DEBT","1993-06-18","2026-05-02","Per=Y","Days=T","Dir=V")</f>
        <v>0</v>
      </c>
      <c r="G2">
        <f>BDH("WLFC US Equity","BS_ST_BORROW","1993-06-18","2026-05-02","Per=Y","Days=T","Dir=V")</f>
        <v>0</v>
      </c>
      <c r="I2">
        <f>BDH("WLFC US Equity","BS_LT_BORROW","1993-06-18","2026-05-02","Per=Y","Days=T","Dir=V")</f>
        <v>0</v>
      </c>
      <c r="K2">
        <f>BDH("WLFC US Equity","BS_CASH_NEAR_CASH_ITEM","1993-06-18","2026-05-02","Per=Y","Days=T","Dir=V")</f>
        <v>0</v>
      </c>
      <c r="M2">
        <f>BDH("WLFC US Equity","BS_CUR_ASSET_REPORT","1993-06-18","2026-05-02","Per=Y","Days=T","Dir=V")</f>
        <v>0</v>
      </c>
      <c r="O2">
        <f>BDH("WLFC US Equity","BS_CUR_LIAB","1993-06-18","2026-05-02","Per=Y","Days=T","Dir=V")</f>
        <v>0</v>
      </c>
      <c r="Q2">
        <f>BDH("WLFC US Equity","BS_SHAREHOLDER_EQY_ENDING_PERIOD","1993-06-18","2026-05-02","Per=Y","Days=T","Dir=V")</f>
        <v>0</v>
      </c>
      <c r="S2">
        <f>BDH("WLFC US Equity","BS_ACCT_NOTE_RCV","1993-06-18","2026-05-02","Per=Y","Days=T","Dir=V")</f>
        <v>0</v>
      </c>
      <c r="U2">
        <f>BDH("WLFC US Equity","BS_INVENTORIES","1993-06-18","2026-05-02","Per=Y","Days=T","Dir=V")</f>
        <v>0</v>
      </c>
      <c r="W2">
        <f>BDH("WLFC US Equity","WORKING_CAPITAL","1993-06-18","2026-05-02","Per=Y","Days=T","Dir=V")</f>
        <v>0</v>
      </c>
      <c r="Y2">
        <f>BDH("WLFC US Equity","SALES_REV_TURN","1993-06-18","2026-05-02","Per=Y","Days=T","Dir=V")</f>
        <v>0</v>
      </c>
      <c r="AA2">
        <f>BDH("WLFC US Equity","EBIT","1993-06-18","2026-05-02","Per=Y","Days=T","Dir=V")</f>
        <v>0</v>
      </c>
      <c r="AC2">
        <f>BDH("WLFC US Equity","EBITDA","1993-06-18","2026-05-02","Per=Y","Days=T","Dir=V")</f>
        <v>0</v>
      </c>
      <c r="AE2">
        <f>BDH("WLFC US Equity","NET_INCOME","1993-06-18","2026-05-02","Per=Y","Days=T","Dir=V")</f>
        <v>0</v>
      </c>
      <c r="AG2">
        <f>BDH("WLFC US Equity","IS_INT_EXPENSE","1993-06-18","2026-05-02","Per=Y","Days=T","Dir=V")</f>
        <v>0</v>
      </c>
      <c r="AI2">
        <f>BDH("WLFC US Equity","IS_DEPR_EXP","1993-06-18","2026-05-02","Per=Y","Days=T","Dir=V")</f>
        <v>0</v>
      </c>
      <c r="AK2">
        <f>BDH("WLFC US Equity","CF_CASH_FROM_OPER","1993-06-18","2026-05-02","Per=Y","Days=T","Dir=V")</f>
        <v>0</v>
      </c>
      <c r="AM2">
        <f>BDH("WLFC US Equity","CAPITAL_EXPEND","1993-06-18","2026-05-02","Per=Y","Days=T","Dir=V")</f>
        <v>0</v>
      </c>
      <c r="AO2">
        <f>BDH("WLFC US Equity","CF_FREE_CASH_FLOW","1993-06-18","2026-05-02","Per=Y","Days=T","Dir=V")</f>
        <v>0</v>
      </c>
      <c r="AQ2">
        <f>BDH("WLFC US Equity","PX_LAST","1993-06-18","2026-05-02","Per=M","Days=T","Dir=V")</f>
        <v>0</v>
      </c>
      <c r="AS2">
        <f>BDH("WLFC US Equity","CUR_MKT_CAP","1993-06-18","2026-05-02","Per=M","Days=T","Dir=V")</f>
        <v>0</v>
      </c>
      <c r="AU2">
        <f>BDH("WLFC US Equity","EQY_SH_OUT","1993-06-18","2026-05-02","Per=M","Days=T","Dir=V")</f>
        <v>0</v>
      </c>
      <c r="AW2">
        <f>BDH("WLFC US Equity","PX_VOLUME","1993-06-18","2026-05-02","Per=M","Days=T","Dir=V")</f>
        <v>0</v>
      </c>
      <c r="AY2">
        <f>BDH("WLFC US Equity","TURNOVER","1993-06-18","2026-05-02","Per=M","Days=T","Dir=V")</f>
        <v>0</v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BDH("WLK US Equity","BS_TOT_ASSET","1993-06-18","2026-05-02","Per=Y","Days=T","Dir=V")</f>
        <v>0</v>
      </c>
      <c r="C2">
        <f>BDH("WLK US Equity","BS_TOT_LIAB2","1993-06-18","2026-05-02","Per=Y","Days=T","Dir=V")</f>
        <v>0</v>
      </c>
      <c r="E2">
        <f>BDH("WLK US Equity","SHORT_AND_LONG_TERM_DEBT","1993-06-18","2026-05-02","Per=Y","Days=T","Dir=V")</f>
        <v>0</v>
      </c>
      <c r="G2">
        <f>BDH("WLK US Equity","BS_ST_BORROW","1993-06-18","2026-05-02","Per=Y","Days=T","Dir=V")</f>
        <v>0</v>
      </c>
      <c r="I2">
        <f>BDH("WLK US Equity","BS_LT_BORROW","1993-06-18","2026-05-02","Per=Y","Days=T","Dir=V")</f>
        <v>0</v>
      </c>
      <c r="K2">
        <f>BDH("WLK US Equity","BS_CASH_NEAR_CASH_ITEM","1993-06-18","2026-05-02","Per=Y","Days=T","Dir=V")</f>
        <v>0</v>
      </c>
      <c r="M2">
        <f>BDH("WLK US Equity","BS_CUR_ASSET_REPORT","1993-06-18","2026-05-02","Per=Y","Days=T","Dir=V")</f>
        <v>0</v>
      </c>
      <c r="O2">
        <f>BDH("WLK US Equity","BS_CUR_LIAB","1993-06-18","2026-05-02","Per=Y","Days=T","Dir=V")</f>
        <v>0</v>
      </c>
      <c r="Q2">
        <f>BDH("WLK US Equity","BS_SHAREHOLDER_EQY_ENDING_PERIOD","1993-06-18","2026-05-02","Per=Y","Days=T","Dir=V")</f>
        <v>0</v>
      </c>
      <c r="S2">
        <f>BDH("WLK US Equity","BS_ACCT_NOTE_RCV","1993-06-18","2026-05-02","Per=Y","Days=T","Dir=V")</f>
        <v>0</v>
      </c>
      <c r="U2">
        <f>BDH("WLK US Equity","BS_INVENTORIES","1993-06-18","2026-05-02","Per=Y","Days=T","Dir=V")</f>
        <v>0</v>
      </c>
      <c r="W2">
        <f>BDH("WLK US Equity","WORKING_CAPITAL","1993-06-18","2026-05-02","Per=Y","Days=T","Dir=V")</f>
        <v>0</v>
      </c>
      <c r="Y2">
        <f>BDH("WLK US Equity","SALES_REV_TURN","1993-06-18","2026-05-02","Per=Y","Days=T","Dir=V")</f>
        <v>0</v>
      </c>
      <c r="AA2">
        <f>BDH("WLK US Equity","EBIT","1993-06-18","2026-05-02","Per=Y","Days=T","Dir=V")</f>
        <v>0</v>
      </c>
      <c r="AC2">
        <f>BDH("WLK US Equity","EBITDA","1993-06-18","2026-05-02","Per=Y","Days=T","Dir=V")</f>
        <v>0</v>
      </c>
      <c r="AE2">
        <f>BDH("WLK US Equity","NET_INCOME","1993-06-18","2026-05-02","Per=Y","Days=T","Dir=V")</f>
        <v>0</v>
      </c>
      <c r="AG2">
        <f>BDH("WLK US Equity","IS_INT_EXPENSE","1993-06-18","2026-05-02","Per=Y","Days=T","Dir=V")</f>
        <v>0</v>
      </c>
      <c r="AI2">
        <f>BDH("WLK US Equity","IS_DEPR_EXP","1993-06-18","2026-05-02","Per=Y","Days=T","Dir=V")</f>
        <v>0</v>
      </c>
      <c r="AK2">
        <f>BDH("WLK US Equity","CF_CASH_FROM_OPER","1993-06-18","2026-05-02","Per=Y","Days=T","Dir=V")</f>
        <v>0</v>
      </c>
      <c r="AM2">
        <f>BDH("WLK US Equity","CAPITAL_EXPEND","1993-06-18","2026-05-02","Per=Y","Days=T","Dir=V")</f>
        <v>0</v>
      </c>
      <c r="AO2">
        <f>BDH("WLK US Equity","CF_FREE_CASH_FLOW","1993-06-18","2026-05-02","Per=Y","Days=T","Dir=V")</f>
        <v>0</v>
      </c>
      <c r="AQ2">
        <f>BDH("WLK US Equity","PX_LAST","1993-06-18","2026-05-02","Per=M","Days=T","Dir=V")</f>
        <v>0</v>
      </c>
      <c r="AS2">
        <f>BDH("WLK US Equity","CUR_MKT_CAP","1993-06-18","2026-05-02","Per=M","Days=T","Dir=V")</f>
        <v>0</v>
      </c>
      <c r="AU2">
        <f>BDH("WLK US Equity","EQY_SH_OUT","1993-06-18","2026-05-02","Per=M","Days=T","Dir=V")</f>
        <v>0</v>
      </c>
      <c r="AW2">
        <f>BDH("WLK US Equity","PX_VOLUME","1993-06-18","2026-05-02","Per=M","Days=T","Dir=V")</f>
        <v>0</v>
      </c>
      <c r="AY2">
        <f>BDH("WLK US Equity","TURNOVER","1993-06-18","2026-05-02","Per=M","Days=T","Dir=V")</f>
        <v>0</v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BDH("WLKP US Equity","BS_TOT_ASSET","1993-06-18","2026-05-02","Per=Y","Days=T","Dir=V")</f>
        <v>0</v>
      </c>
      <c r="C2">
        <f>BDH("WLKP US Equity","BS_TOT_LIAB2","1993-06-18","2026-05-02","Per=Y","Days=T","Dir=V")</f>
        <v>0</v>
      </c>
      <c r="E2">
        <f>BDH("WLKP US Equity","SHORT_AND_LONG_TERM_DEBT","1993-06-18","2026-05-02","Per=Y","Days=T","Dir=V")</f>
        <v>0</v>
      </c>
      <c r="G2">
        <f>BDH("WLKP US Equity","BS_ST_BORROW","1993-06-18","2026-05-02","Per=Y","Days=T","Dir=V")</f>
        <v>0</v>
      </c>
      <c r="I2">
        <f>BDH("WLKP US Equity","BS_LT_BORROW","1993-06-18","2026-05-02","Per=Y","Days=T","Dir=V")</f>
        <v>0</v>
      </c>
      <c r="K2">
        <f>BDH("WLKP US Equity","BS_CASH_NEAR_CASH_ITEM","1993-06-18","2026-05-02","Per=Y","Days=T","Dir=V")</f>
        <v>0</v>
      </c>
      <c r="M2">
        <f>BDH("WLKP US Equity","BS_CUR_ASSET_REPORT","1993-06-18","2026-05-02","Per=Y","Days=T","Dir=V")</f>
        <v>0</v>
      </c>
      <c r="O2">
        <f>BDH("WLKP US Equity","BS_CUR_LIAB","1993-06-18","2026-05-02","Per=Y","Days=T","Dir=V")</f>
        <v>0</v>
      </c>
      <c r="Q2">
        <f>BDH("WLKP US Equity","BS_SHAREHOLDER_EQY_ENDING_PERIOD","1993-06-18","2026-05-02","Per=Y","Days=T","Dir=V")</f>
        <v>0</v>
      </c>
      <c r="S2">
        <f>BDH("WLKP US Equity","BS_ACCT_NOTE_RCV","1993-06-18","2026-05-02","Per=Y","Days=T","Dir=V")</f>
        <v>0</v>
      </c>
      <c r="U2">
        <f>BDH("WLKP US Equity","BS_INVENTORIES","1993-06-18","2026-05-02","Per=Y","Days=T","Dir=V")</f>
        <v>0</v>
      </c>
      <c r="W2">
        <f>BDH("WLKP US Equity","WORKING_CAPITAL","1993-06-18","2026-05-02","Per=Y","Days=T","Dir=V")</f>
        <v>0</v>
      </c>
      <c r="Y2">
        <f>BDH("WLKP US Equity","SALES_REV_TURN","1993-06-18","2026-05-02","Per=Y","Days=T","Dir=V")</f>
        <v>0</v>
      </c>
      <c r="AA2">
        <f>BDH("WLKP US Equity","EBIT","1993-06-18","2026-05-02","Per=Y","Days=T","Dir=V")</f>
        <v>0</v>
      </c>
      <c r="AC2">
        <f>BDH("WLKP US Equity","EBITDA","1993-06-18","2026-05-02","Per=Y","Days=T","Dir=V")</f>
        <v>0</v>
      </c>
      <c r="AE2">
        <f>BDH("WLKP US Equity","NET_INCOME","1993-06-18","2026-05-02","Per=Y","Days=T","Dir=V")</f>
        <v>0</v>
      </c>
      <c r="AG2">
        <f>BDH("WLKP US Equity","IS_INT_EXPENSE","1993-06-18","2026-05-02","Per=Y","Days=T","Dir=V")</f>
        <v>0</v>
      </c>
      <c r="AI2">
        <f>BDH("WLKP US Equity","IS_DEPR_EXP","1993-06-18","2026-05-02","Per=Y","Days=T","Dir=V")</f>
        <v>0</v>
      </c>
      <c r="AK2">
        <f>BDH("WLKP US Equity","CF_CASH_FROM_OPER","1993-06-18","2026-05-02","Per=Y","Days=T","Dir=V")</f>
        <v>0</v>
      </c>
      <c r="AM2">
        <f>BDH("WLKP US Equity","CAPITAL_EXPEND","1993-06-18","2026-05-02","Per=Y","Days=T","Dir=V")</f>
        <v>0</v>
      </c>
      <c r="AO2">
        <f>BDH("WLKP US Equity","CF_FREE_CASH_FLOW","1993-06-18","2026-05-02","Per=Y","Days=T","Dir=V")</f>
        <v>0</v>
      </c>
      <c r="AQ2">
        <f>BDH("WLKP US Equity","PX_LAST","1993-06-18","2026-05-02","Per=M","Days=T","Dir=V")</f>
        <v>0</v>
      </c>
      <c r="AS2">
        <f>BDH("WLKP US Equity","CUR_MKT_CAP","1993-06-18","2026-05-02","Per=M","Days=T","Dir=V")</f>
        <v>0</v>
      </c>
      <c r="AU2">
        <f>BDH("WLKP US Equity","EQY_SH_OUT","1993-06-18","2026-05-02","Per=M","Days=T","Dir=V")</f>
        <v>0</v>
      </c>
      <c r="AW2">
        <f>BDH("WLKP US Equity","PX_VOLUME","1993-06-18","2026-05-02","Per=M","Days=T","Dir=V")</f>
        <v>0</v>
      </c>
      <c r="AY2">
        <f>BDH("WLKP US Equity","TURNOVER","1993-06-18","2026-05-02","Per=M","Days=T","Dir=V")</f>
        <v>0</v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BDH("WLY US Equity","BS_TOT_ASSET","1993-06-18","2026-05-02","Per=Y","Days=T","Dir=V")</f>
        <v>0</v>
      </c>
      <c r="C2">
        <f>BDH("WLY US Equity","BS_TOT_LIAB2","1993-06-18","2026-05-02","Per=Y","Days=T","Dir=V")</f>
        <v>0</v>
      </c>
      <c r="E2">
        <f>BDH("WLY US Equity","SHORT_AND_LONG_TERM_DEBT","1993-06-18","2026-05-02","Per=Y","Days=T","Dir=V")</f>
        <v>0</v>
      </c>
      <c r="G2">
        <f>BDH("WLY US Equity","BS_ST_BORROW","1993-06-18","2026-05-02","Per=Y","Days=T","Dir=V")</f>
        <v>0</v>
      </c>
      <c r="I2">
        <f>BDH("WLY US Equity","BS_LT_BORROW","1993-06-18","2026-05-02","Per=Y","Days=T","Dir=V")</f>
        <v>0</v>
      </c>
      <c r="K2">
        <f>BDH("WLY US Equity","BS_CASH_NEAR_CASH_ITEM","1993-06-18","2026-05-02","Per=Y","Days=T","Dir=V")</f>
        <v>0</v>
      </c>
      <c r="M2">
        <f>BDH("WLY US Equity","BS_CUR_ASSET_REPORT","1993-06-18","2026-05-02","Per=Y","Days=T","Dir=V")</f>
        <v>0</v>
      </c>
      <c r="O2">
        <f>BDH("WLY US Equity","BS_CUR_LIAB","1993-06-18","2026-05-02","Per=Y","Days=T","Dir=V")</f>
        <v>0</v>
      </c>
      <c r="Q2">
        <f>BDH("WLY US Equity","BS_SHAREHOLDER_EQY_ENDING_PERIOD","1993-06-18","2026-05-02","Per=Y","Days=T","Dir=V")</f>
        <v>0</v>
      </c>
      <c r="S2">
        <f>BDH("WLY US Equity","BS_ACCT_NOTE_RCV","1993-06-18","2026-05-02","Per=Y","Days=T","Dir=V")</f>
        <v>0</v>
      </c>
      <c r="U2">
        <f>BDH("WLY US Equity","BS_INVENTORIES","1993-06-18","2026-05-02","Per=Y","Days=T","Dir=V")</f>
        <v>0</v>
      </c>
      <c r="W2">
        <f>BDH("WLY US Equity","WORKING_CAPITAL","1993-06-18","2026-05-02","Per=Y","Days=T","Dir=V")</f>
        <v>0</v>
      </c>
      <c r="Y2">
        <f>BDH("WLY US Equity","SALES_REV_TURN","1993-06-18","2026-05-02","Per=Y","Days=T","Dir=V")</f>
        <v>0</v>
      </c>
      <c r="AA2">
        <f>BDH("WLY US Equity","EBIT","1993-06-18","2026-05-02","Per=Y","Days=T","Dir=V")</f>
        <v>0</v>
      </c>
      <c r="AC2">
        <f>BDH("WLY US Equity","EBITDA","1993-06-18","2026-05-02","Per=Y","Days=T","Dir=V")</f>
        <v>0</v>
      </c>
      <c r="AE2">
        <f>BDH("WLY US Equity","NET_INCOME","1993-06-18","2026-05-02","Per=Y","Days=T","Dir=V")</f>
        <v>0</v>
      </c>
      <c r="AG2">
        <f>BDH("WLY US Equity","IS_INT_EXPENSE","1993-06-18","2026-05-02","Per=Y","Days=T","Dir=V")</f>
        <v>0</v>
      </c>
      <c r="AI2">
        <f>BDH("WLY US Equity","IS_DEPR_EXP","1993-06-18","2026-05-02","Per=Y","Days=T","Dir=V")</f>
        <v>0</v>
      </c>
      <c r="AK2">
        <f>BDH("WLY US Equity","CF_CASH_FROM_OPER","1993-06-18","2026-05-02","Per=Y","Days=T","Dir=V")</f>
        <v>0</v>
      </c>
      <c r="AM2">
        <f>BDH("WLY US Equity","CAPITAL_EXPEND","1993-06-18","2026-05-02","Per=Y","Days=T","Dir=V")</f>
        <v>0</v>
      </c>
      <c r="AO2">
        <f>BDH("WLY US Equity","CF_FREE_CASH_FLOW","1993-06-18","2026-05-02","Per=Y","Days=T","Dir=V")</f>
        <v>0</v>
      </c>
      <c r="AQ2">
        <f>BDH("WLY US Equity","PX_LAST","1993-06-18","2026-05-02","Per=M","Days=T","Dir=V")</f>
        <v>0</v>
      </c>
      <c r="AS2">
        <f>BDH("WLY US Equity","CUR_MKT_CAP","1993-06-18","2026-05-02","Per=M","Days=T","Dir=V")</f>
        <v>0</v>
      </c>
      <c r="AU2">
        <f>BDH("WLY US Equity","EQY_SH_OUT","1993-06-18","2026-05-02","Per=M","Days=T","Dir=V")</f>
        <v>0</v>
      </c>
      <c r="AW2">
        <f>BDH("WLY US Equity","PX_VOLUME","1993-06-18","2026-05-02","Per=M","Days=T","Dir=V")</f>
        <v>0</v>
      </c>
      <c r="AY2">
        <f>BDH("WLY US Equity","TURNOVER","1993-06-18","2026-05-02","Per=M","Days=T","Dir=V")</f>
        <v>0</v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BDH("WLYB US Equity","BS_TOT_ASSET","1993-06-18","2026-05-02","Per=Y","Days=T","Dir=V")</f>
        <v>0</v>
      </c>
      <c r="C2">
        <f>BDH("WLYB US Equity","BS_TOT_LIAB2","1993-06-18","2026-05-02","Per=Y","Days=T","Dir=V")</f>
        <v>0</v>
      </c>
      <c r="E2">
        <f>BDH("WLYB US Equity","SHORT_AND_LONG_TERM_DEBT","1993-06-18","2026-05-02","Per=Y","Days=T","Dir=V")</f>
        <v>0</v>
      </c>
      <c r="G2">
        <f>BDH("WLYB US Equity","BS_ST_BORROW","1993-06-18","2026-05-02","Per=Y","Days=T","Dir=V")</f>
        <v>0</v>
      </c>
      <c r="I2">
        <f>BDH("WLYB US Equity","BS_LT_BORROW","1993-06-18","2026-05-02","Per=Y","Days=T","Dir=V")</f>
        <v>0</v>
      </c>
      <c r="K2">
        <f>BDH("WLYB US Equity","BS_CASH_NEAR_CASH_ITEM","1993-06-18","2026-05-02","Per=Y","Days=T","Dir=V")</f>
        <v>0</v>
      </c>
      <c r="M2">
        <f>BDH("WLYB US Equity","BS_CUR_ASSET_REPORT","1993-06-18","2026-05-02","Per=Y","Days=T","Dir=V")</f>
        <v>0</v>
      </c>
      <c r="O2">
        <f>BDH("WLYB US Equity","BS_CUR_LIAB","1993-06-18","2026-05-02","Per=Y","Days=T","Dir=V")</f>
        <v>0</v>
      </c>
      <c r="Q2">
        <f>BDH("WLYB US Equity","BS_SHAREHOLDER_EQY_ENDING_PERIOD","1993-06-18","2026-05-02","Per=Y","Days=T","Dir=V")</f>
        <v>0</v>
      </c>
      <c r="S2">
        <f>BDH("WLYB US Equity","BS_ACCT_NOTE_RCV","1993-06-18","2026-05-02","Per=Y","Days=T","Dir=V")</f>
        <v>0</v>
      </c>
      <c r="U2">
        <f>BDH("WLYB US Equity","BS_INVENTORIES","1993-06-18","2026-05-02","Per=Y","Days=T","Dir=V")</f>
        <v>0</v>
      </c>
      <c r="W2">
        <f>BDH("WLYB US Equity","WORKING_CAPITAL","1993-06-18","2026-05-02","Per=Y","Days=T","Dir=V")</f>
        <v>0</v>
      </c>
      <c r="Y2">
        <f>BDH("WLYB US Equity","SALES_REV_TURN","1993-06-18","2026-05-02","Per=Y","Days=T","Dir=V")</f>
        <v>0</v>
      </c>
      <c r="AA2">
        <f>BDH("WLYB US Equity","EBIT","1993-06-18","2026-05-02","Per=Y","Days=T","Dir=V")</f>
        <v>0</v>
      </c>
      <c r="AC2">
        <f>BDH("WLYB US Equity","EBITDA","1993-06-18","2026-05-02","Per=Y","Days=T","Dir=V")</f>
        <v>0</v>
      </c>
      <c r="AE2">
        <f>BDH("WLYB US Equity","NET_INCOME","1993-06-18","2026-05-02","Per=Y","Days=T","Dir=V")</f>
        <v>0</v>
      </c>
      <c r="AG2">
        <f>BDH("WLYB US Equity","IS_INT_EXPENSE","1993-06-18","2026-05-02","Per=Y","Days=T","Dir=V")</f>
        <v>0</v>
      </c>
      <c r="AI2">
        <f>BDH("WLYB US Equity","IS_DEPR_EXP","1993-06-18","2026-05-02","Per=Y","Days=T","Dir=V")</f>
        <v>0</v>
      </c>
      <c r="AK2">
        <f>BDH("WLYB US Equity","CF_CASH_FROM_OPER","1993-06-18","2026-05-02","Per=Y","Days=T","Dir=V")</f>
        <v>0</v>
      </c>
      <c r="AM2">
        <f>BDH("WLYB US Equity","CAPITAL_EXPEND","1993-06-18","2026-05-02","Per=Y","Days=T","Dir=V")</f>
        <v>0</v>
      </c>
      <c r="AO2">
        <f>BDH("WLYB US Equity","CF_FREE_CASH_FLOW","1993-06-18","2026-05-02","Per=Y","Days=T","Dir=V")</f>
        <v>0</v>
      </c>
      <c r="AQ2">
        <f>BDH("WLYB US Equity","PX_LAST","1993-06-18","2026-05-02","Per=M","Days=T","Dir=V")</f>
        <v>0</v>
      </c>
      <c r="AS2">
        <f>BDH("WLYB US Equity","CUR_MKT_CAP","1993-06-18","2026-05-02","Per=M","Days=T","Dir=V")</f>
        <v>0</v>
      </c>
      <c r="AU2">
        <f>BDH("WLYB US Equity","EQY_SH_OUT","1993-06-18","2026-05-02","Per=M","Days=T","Dir=V")</f>
        <v>0</v>
      </c>
      <c r="AW2">
        <f>BDH("WLYB US Equity","PX_VOLUME","1993-06-18","2026-05-02","Per=M","Days=T","Dir=V")</f>
        <v>0</v>
      </c>
      <c r="AY2">
        <f>BDH("WLYB US Equity","TURNOVER","1993-06-18","2026-05-02","Per=M","Days=T","Dir=V")</f>
        <v>0</v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 US Equity","BS_TOT_ASSET","1993-06-18","2026-05-02","Per=Y","Days=T","Dir=V")</f>
        <v>0</v>
      </c>
      <c r="C2">
        <f>BDH("WM US Equity","BS_TOT_LIAB2","1993-06-18","2026-05-02","Per=Y","Days=T","Dir=V")</f>
        <v>0</v>
      </c>
      <c r="E2">
        <f>BDH("WM US Equity","SHORT_AND_LONG_TERM_DEBT","1993-06-18","2026-05-02","Per=Y","Days=T","Dir=V")</f>
        <v>0</v>
      </c>
      <c r="G2">
        <f>BDH("WM US Equity","BS_ST_BORROW","1993-06-18","2026-05-02","Per=Y","Days=T","Dir=V")</f>
        <v>0</v>
      </c>
      <c r="I2">
        <f>BDH("WM US Equity","BS_LT_BORROW","1993-06-18","2026-05-02","Per=Y","Days=T","Dir=V")</f>
        <v>0</v>
      </c>
      <c r="K2">
        <f>BDH("WM US Equity","BS_CASH_NEAR_CASH_ITEM","1993-06-18","2026-05-02","Per=Y","Days=T","Dir=V")</f>
        <v>0</v>
      </c>
      <c r="M2">
        <f>BDH("WM US Equity","BS_CUR_ASSET_REPORT","1993-06-18","2026-05-02","Per=Y","Days=T","Dir=V")</f>
        <v>0</v>
      </c>
      <c r="O2">
        <f>BDH("WM US Equity","BS_CUR_LIAB","1993-06-18","2026-05-02","Per=Y","Days=T","Dir=V")</f>
        <v>0</v>
      </c>
      <c r="Q2">
        <f>BDH("WM US Equity","BS_SHAREHOLDER_EQY_ENDING_PERIOD","1993-06-18","2026-05-02","Per=Y","Days=T","Dir=V")</f>
        <v>0</v>
      </c>
      <c r="S2">
        <f>BDH("WM US Equity","BS_ACCT_NOTE_RCV","1993-06-18","2026-05-02","Per=Y","Days=T","Dir=V")</f>
        <v>0</v>
      </c>
      <c r="U2">
        <f>BDH("WM US Equity","BS_INVENTORIES","1993-06-18","2026-05-02","Per=Y","Days=T","Dir=V")</f>
        <v>0</v>
      </c>
      <c r="W2">
        <f>BDH("WM US Equity","WORKING_CAPITAL","1993-06-18","2026-05-02","Per=Y","Days=T","Dir=V")</f>
        <v>0</v>
      </c>
      <c r="Y2">
        <f>BDH("WM US Equity","SALES_REV_TURN","1993-06-18","2026-05-02","Per=Y","Days=T","Dir=V")</f>
        <v>0</v>
      </c>
      <c r="AA2">
        <f>BDH("WM US Equity","EBIT","1993-06-18","2026-05-02","Per=Y","Days=T","Dir=V")</f>
        <v>0</v>
      </c>
      <c r="AC2">
        <f>BDH("WM US Equity","EBITDA","1993-06-18","2026-05-02","Per=Y","Days=T","Dir=V")</f>
        <v>0</v>
      </c>
      <c r="AE2">
        <f>BDH("WM US Equity","NET_INCOME","1993-06-18","2026-05-02","Per=Y","Days=T","Dir=V")</f>
        <v>0</v>
      </c>
      <c r="AG2">
        <f>BDH("WM US Equity","IS_INT_EXPENSE","1993-06-18","2026-05-02","Per=Y","Days=T","Dir=V")</f>
        <v>0</v>
      </c>
      <c r="AI2">
        <f>BDH("WM US Equity","IS_DEPR_EXP","1993-06-18","2026-05-02","Per=Y","Days=T","Dir=V")</f>
        <v>0</v>
      </c>
      <c r="AK2">
        <f>BDH("WM US Equity","CF_CASH_FROM_OPER","1993-06-18","2026-05-02","Per=Y","Days=T","Dir=V")</f>
        <v>0</v>
      </c>
      <c r="AM2">
        <f>BDH("WM US Equity","CAPITAL_EXPEND","1993-06-18","2026-05-02","Per=Y","Days=T","Dir=V")</f>
        <v>0</v>
      </c>
      <c r="AO2">
        <f>BDH("WM US Equity","CF_FREE_CASH_FLOW","1993-06-18","2026-05-02","Per=Y","Days=T","Dir=V")</f>
        <v>0</v>
      </c>
      <c r="AQ2">
        <f>BDH("WM US Equity","PX_LAST","1993-06-18","2026-05-02","Per=M","Days=T","Dir=V")</f>
        <v>0</v>
      </c>
      <c r="AS2">
        <f>BDH("WM US Equity","CUR_MKT_CAP","1993-06-18","2026-05-02","Per=M","Days=T","Dir=V")</f>
        <v>0</v>
      </c>
      <c r="AU2">
        <f>BDH("WM US Equity","EQY_SH_OUT","1993-06-18","2026-05-02","Per=M","Days=T","Dir=V")</f>
        <v>0</v>
      </c>
      <c r="AW2">
        <f>BDH("WM US Equity","PX_VOLUME","1993-06-18","2026-05-02","Per=M","Days=T","Dir=V")</f>
        <v>0</v>
      </c>
      <c r="AY2">
        <f>BDH("WM US Equity","TURNOVER","1993-06-18","2026-05-02","Per=M","Days=T","Dir=V")</f>
        <v>0</v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BDH("WMB US Equity","BS_TOT_ASSET","1993-06-18","2026-05-02","Per=Y","Days=T","Dir=V")</f>
        <v>0</v>
      </c>
      <c r="C2">
        <f>BDH("WMB US Equity","BS_TOT_LIAB2","1993-06-18","2026-05-02","Per=Y","Days=T","Dir=V")</f>
        <v>0</v>
      </c>
      <c r="E2">
        <f>BDH("WMB US Equity","SHORT_AND_LONG_TERM_DEBT","1993-06-18","2026-05-02","Per=Y","Days=T","Dir=V")</f>
        <v>0</v>
      </c>
      <c r="G2">
        <f>BDH("WMB US Equity","BS_ST_BORROW","1993-06-18","2026-05-02","Per=Y","Days=T","Dir=V")</f>
        <v>0</v>
      </c>
      <c r="I2">
        <f>BDH("WMB US Equity","BS_LT_BORROW","1993-06-18","2026-05-02","Per=Y","Days=T","Dir=V")</f>
        <v>0</v>
      </c>
      <c r="K2">
        <f>BDH("WMB US Equity","BS_CASH_NEAR_CASH_ITEM","1993-06-18","2026-05-02","Per=Y","Days=T","Dir=V")</f>
        <v>0</v>
      </c>
      <c r="M2">
        <f>BDH("WMB US Equity","BS_CUR_ASSET_REPORT","1993-06-18","2026-05-02","Per=Y","Days=T","Dir=V")</f>
        <v>0</v>
      </c>
      <c r="O2">
        <f>BDH("WMB US Equity","BS_CUR_LIAB","1993-06-18","2026-05-02","Per=Y","Days=T","Dir=V")</f>
        <v>0</v>
      </c>
      <c r="Q2">
        <f>BDH("WMB US Equity","BS_SHAREHOLDER_EQY_ENDING_PERIOD","1993-06-18","2026-05-02","Per=Y","Days=T","Dir=V")</f>
        <v>0</v>
      </c>
      <c r="S2">
        <f>BDH("WMB US Equity","BS_ACCT_NOTE_RCV","1993-06-18","2026-05-02","Per=Y","Days=T","Dir=V")</f>
        <v>0</v>
      </c>
      <c r="U2">
        <f>BDH("WMB US Equity","BS_INVENTORIES","1993-06-18","2026-05-02","Per=Y","Days=T","Dir=V")</f>
        <v>0</v>
      </c>
      <c r="W2">
        <f>BDH("WMB US Equity","WORKING_CAPITAL","1993-06-18","2026-05-02","Per=Y","Days=T","Dir=V")</f>
        <v>0</v>
      </c>
      <c r="Y2">
        <f>BDH("WMB US Equity","SALES_REV_TURN","1993-06-18","2026-05-02","Per=Y","Days=T","Dir=V")</f>
        <v>0</v>
      </c>
      <c r="AA2">
        <f>BDH("WMB US Equity","EBIT","1993-06-18","2026-05-02","Per=Y","Days=T","Dir=V")</f>
        <v>0</v>
      </c>
      <c r="AC2">
        <f>BDH("WMB US Equity","EBITDA","1993-06-18","2026-05-02","Per=Y","Days=T","Dir=V")</f>
        <v>0</v>
      </c>
      <c r="AE2">
        <f>BDH("WMB US Equity","NET_INCOME","1993-06-18","2026-05-02","Per=Y","Days=T","Dir=V")</f>
        <v>0</v>
      </c>
      <c r="AG2">
        <f>BDH("WMB US Equity","IS_INT_EXPENSE","1993-06-18","2026-05-02","Per=Y","Days=T","Dir=V")</f>
        <v>0</v>
      </c>
      <c r="AI2">
        <f>BDH("WMB US Equity","IS_DEPR_EXP","1993-06-18","2026-05-02","Per=Y","Days=T","Dir=V")</f>
        <v>0</v>
      </c>
      <c r="AK2">
        <f>BDH("WMB US Equity","CF_CASH_FROM_OPER","1993-06-18","2026-05-02","Per=Y","Days=T","Dir=V")</f>
        <v>0</v>
      </c>
      <c r="AM2">
        <f>BDH("WMB US Equity","CAPITAL_EXPEND","1993-06-18","2026-05-02","Per=Y","Days=T","Dir=V")</f>
        <v>0</v>
      </c>
      <c r="AO2">
        <f>BDH("WMB US Equity","CF_FREE_CASH_FLOW","1993-06-18","2026-05-02","Per=Y","Days=T","Dir=V")</f>
        <v>0</v>
      </c>
      <c r="AQ2">
        <f>BDH("WMB US Equity","PX_LAST","1993-06-18","2026-05-02","Per=M","Days=T","Dir=V")</f>
        <v>0</v>
      </c>
      <c r="AS2">
        <f>BDH("WMB US Equity","CUR_MKT_CAP","1993-06-18","2026-05-02","Per=M","Days=T","Dir=V")</f>
        <v>0</v>
      </c>
      <c r="AU2">
        <f>BDH("WMB US Equity","EQY_SH_OUT","1993-06-18","2026-05-02","Per=M","Days=T","Dir=V")</f>
        <v>0</v>
      </c>
      <c r="AW2">
        <f>BDH("WMB US Equity","PX_VOLUME","1993-06-18","2026-05-02","Per=M","Days=T","Dir=V")</f>
        <v>0</v>
      </c>
      <c r="AY2">
        <f>BDH("WMB US Equity","TURNOVER","1993-06-18","2026-05-02","Per=M","Days=T","Dir=V")</f>
        <v>0</v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BDH("WMG US Equity","BS_TOT_ASSET","1993-06-18","2026-05-02","Per=Y","Days=T","Dir=V")</f>
        <v>0</v>
      </c>
      <c r="C2">
        <f>BDH("WMG US Equity","BS_TOT_LIAB2","1993-06-18","2026-05-02","Per=Y","Days=T","Dir=V")</f>
        <v>0</v>
      </c>
      <c r="E2">
        <f>BDH("WMG US Equity","SHORT_AND_LONG_TERM_DEBT","1993-06-18","2026-05-02","Per=Y","Days=T","Dir=V")</f>
        <v>0</v>
      </c>
      <c r="G2">
        <f>BDH("WMG US Equity","BS_ST_BORROW","1993-06-18","2026-05-02","Per=Y","Days=T","Dir=V")</f>
        <v>0</v>
      </c>
      <c r="I2">
        <f>BDH("WMG US Equity","BS_LT_BORROW","1993-06-18","2026-05-02","Per=Y","Days=T","Dir=V")</f>
        <v>0</v>
      </c>
      <c r="K2">
        <f>BDH("WMG US Equity","BS_CASH_NEAR_CASH_ITEM","1993-06-18","2026-05-02","Per=Y","Days=T","Dir=V")</f>
        <v>0</v>
      </c>
      <c r="M2">
        <f>BDH("WMG US Equity","BS_CUR_ASSET_REPORT","1993-06-18","2026-05-02","Per=Y","Days=T","Dir=V")</f>
        <v>0</v>
      </c>
      <c r="O2">
        <f>BDH("WMG US Equity","BS_CUR_LIAB","1993-06-18","2026-05-02","Per=Y","Days=T","Dir=V")</f>
        <v>0</v>
      </c>
      <c r="Q2">
        <f>BDH("WMG US Equity","BS_SHAREHOLDER_EQY_ENDING_PERIOD","1993-06-18","2026-05-02","Per=Y","Days=T","Dir=V")</f>
        <v>0</v>
      </c>
      <c r="S2">
        <f>BDH("WMG US Equity","BS_ACCT_NOTE_RCV","1993-06-18","2026-05-02","Per=Y","Days=T","Dir=V")</f>
        <v>0</v>
      </c>
      <c r="U2">
        <f>BDH("WMG US Equity","BS_INVENTORIES","1993-06-18","2026-05-02","Per=Y","Days=T","Dir=V")</f>
        <v>0</v>
      </c>
      <c r="W2">
        <f>BDH("WMG US Equity","WORKING_CAPITAL","1993-06-18","2026-05-02","Per=Y","Days=T","Dir=V")</f>
        <v>0</v>
      </c>
      <c r="Y2">
        <f>BDH("WMG US Equity","SALES_REV_TURN","1993-06-18","2026-05-02","Per=Y","Days=T","Dir=V")</f>
        <v>0</v>
      </c>
      <c r="AA2">
        <f>BDH("WMG US Equity","EBIT","1993-06-18","2026-05-02","Per=Y","Days=T","Dir=V")</f>
        <v>0</v>
      </c>
      <c r="AC2">
        <f>BDH("WMG US Equity","EBITDA","1993-06-18","2026-05-02","Per=Y","Days=T","Dir=V")</f>
        <v>0</v>
      </c>
      <c r="AE2">
        <f>BDH("WMG US Equity","NET_INCOME","1993-06-18","2026-05-02","Per=Y","Days=T","Dir=V")</f>
        <v>0</v>
      </c>
      <c r="AG2">
        <f>BDH("WMG US Equity","IS_INT_EXPENSE","1993-06-18","2026-05-02","Per=Y","Days=T","Dir=V")</f>
        <v>0</v>
      </c>
      <c r="AI2">
        <f>BDH("WMG US Equity","IS_DEPR_EXP","1993-06-18","2026-05-02","Per=Y","Days=T","Dir=V")</f>
        <v>0</v>
      </c>
      <c r="AK2">
        <f>BDH("WMG US Equity","CF_CASH_FROM_OPER","1993-06-18","2026-05-02","Per=Y","Days=T","Dir=V")</f>
        <v>0</v>
      </c>
      <c r="AM2">
        <f>BDH("WMG US Equity","CAPITAL_EXPEND","1993-06-18","2026-05-02","Per=Y","Days=T","Dir=V")</f>
        <v>0</v>
      </c>
      <c r="AO2">
        <f>BDH("WMG US Equity","CF_FREE_CASH_FLOW","1993-06-18","2026-05-02","Per=Y","Days=T","Dir=V")</f>
        <v>0</v>
      </c>
      <c r="AQ2">
        <f>BDH("WMG US Equity","PX_LAST","1993-06-18","2026-05-02","Per=M","Days=T","Dir=V")</f>
        <v>0</v>
      </c>
      <c r="AS2">
        <f>BDH("WMG US Equity","CUR_MKT_CAP","1993-06-18","2026-05-02","Per=M","Days=T","Dir=V")</f>
        <v>0</v>
      </c>
      <c r="AU2">
        <f>BDH("WMG US Equity","EQY_SH_OUT","1993-06-18","2026-05-02","Per=M","Days=T","Dir=V")</f>
        <v>0</v>
      </c>
      <c r="AW2">
        <f>BDH("WMG US Equity","PX_VOLUME","1993-06-18","2026-05-02","Per=M","Days=T","Dir=V")</f>
        <v>0</v>
      </c>
      <c r="AY2">
        <f>BDH("WMG US Equity","TURNOVER","1993-06-18","2026-05-02","Per=M","Days=T","Dir=V")</f>
        <v>0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BDH("WMK US Equity","BS_TOT_ASSET","1993-06-18","2026-05-02","Per=Y","Days=T","Dir=V")</f>
        <v>0</v>
      </c>
      <c r="C2">
        <f>BDH("WMK US Equity","BS_TOT_LIAB2","1993-06-18","2026-05-02","Per=Y","Days=T","Dir=V")</f>
        <v>0</v>
      </c>
      <c r="E2">
        <f>BDH("WMK US Equity","SHORT_AND_LONG_TERM_DEBT","1993-06-18","2026-05-02","Per=Y","Days=T","Dir=V")</f>
        <v>0</v>
      </c>
      <c r="G2">
        <f>BDH("WMK US Equity","BS_ST_BORROW","1993-06-18","2026-05-02","Per=Y","Days=T","Dir=V")</f>
        <v>0</v>
      </c>
      <c r="I2">
        <f>BDH("WMK US Equity","BS_LT_BORROW","1993-06-18","2026-05-02","Per=Y","Days=T","Dir=V")</f>
        <v>0</v>
      </c>
      <c r="K2">
        <f>BDH("WMK US Equity","BS_CASH_NEAR_CASH_ITEM","1993-06-18","2026-05-02","Per=Y","Days=T","Dir=V")</f>
        <v>0</v>
      </c>
      <c r="M2">
        <f>BDH("WMK US Equity","BS_CUR_ASSET_REPORT","1993-06-18","2026-05-02","Per=Y","Days=T","Dir=V")</f>
        <v>0</v>
      </c>
      <c r="O2">
        <f>BDH("WMK US Equity","BS_CUR_LIAB","1993-06-18","2026-05-02","Per=Y","Days=T","Dir=V")</f>
        <v>0</v>
      </c>
      <c r="Q2">
        <f>BDH("WMK US Equity","BS_SHAREHOLDER_EQY_ENDING_PERIOD","1993-06-18","2026-05-02","Per=Y","Days=T","Dir=V")</f>
        <v>0</v>
      </c>
      <c r="S2">
        <f>BDH("WMK US Equity","BS_ACCT_NOTE_RCV","1993-06-18","2026-05-02","Per=Y","Days=T","Dir=V")</f>
        <v>0</v>
      </c>
      <c r="U2">
        <f>BDH("WMK US Equity","BS_INVENTORIES","1993-06-18","2026-05-02","Per=Y","Days=T","Dir=V")</f>
        <v>0</v>
      </c>
      <c r="W2">
        <f>BDH("WMK US Equity","WORKING_CAPITAL","1993-06-18","2026-05-02","Per=Y","Days=T","Dir=V")</f>
        <v>0</v>
      </c>
      <c r="Y2">
        <f>BDH("WMK US Equity","SALES_REV_TURN","1993-06-18","2026-05-02","Per=Y","Days=T","Dir=V")</f>
        <v>0</v>
      </c>
      <c r="AA2">
        <f>BDH("WMK US Equity","EBIT","1993-06-18","2026-05-02","Per=Y","Days=T","Dir=V")</f>
        <v>0</v>
      </c>
      <c r="AC2">
        <f>BDH("WMK US Equity","EBITDA","1993-06-18","2026-05-02","Per=Y","Days=T","Dir=V")</f>
        <v>0</v>
      </c>
      <c r="AE2">
        <f>BDH("WMK US Equity","NET_INCOME","1993-06-18","2026-05-02","Per=Y","Days=T","Dir=V")</f>
        <v>0</v>
      </c>
      <c r="AG2">
        <f>BDH("WMK US Equity","IS_INT_EXPENSE","1993-06-18","2026-05-02","Per=Y","Days=T","Dir=V")</f>
        <v>0</v>
      </c>
      <c r="AI2">
        <f>BDH("WMK US Equity","IS_DEPR_EXP","1993-06-18","2026-05-02","Per=Y","Days=T","Dir=V")</f>
        <v>0</v>
      </c>
      <c r="AK2">
        <f>BDH("WMK US Equity","CF_CASH_FROM_OPER","1993-06-18","2026-05-02","Per=Y","Days=T","Dir=V")</f>
        <v>0</v>
      </c>
      <c r="AM2">
        <f>BDH("WMK US Equity","CAPITAL_EXPEND","1993-06-18","2026-05-02","Per=Y","Days=T","Dir=V")</f>
        <v>0</v>
      </c>
      <c r="AO2">
        <f>BDH("WMK US Equity","CF_FREE_CASH_FLOW","1993-06-18","2026-05-02","Per=Y","Days=T","Dir=V")</f>
        <v>0</v>
      </c>
      <c r="AQ2">
        <f>BDH("WMK US Equity","PX_LAST","1993-06-18","2026-05-02","Per=M","Days=T","Dir=V")</f>
        <v>0</v>
      </c>
      <c r="AS2">
        <f>BDH("WMK US Equity","CUR_MKT_CAP","1993-06-18","2026-05-02","Per=M","Days=T","Dir=V")</f>
        <v>0</v>
      </c>
      <c r="AU2">
        <f>BDH("WMK US Equity","EQY_SH_OUT","1993-06-18","2026-05-02","Per=M","Days=T","Dir=V")</f>
        <v>0</v>
      </c>
      <c r="AW2">
        <f>BDH("WMK US Equity","PX_VOLUME","1993-06-18","2026-05-02","Per=M","Days=T","Dir=V")</f>
        <v>0</v>
      </c>
      <c r="AY2">
        <f>BDH("WMK US Equity","TURNOVER","1993-06-18","2026-05-02","Per=M","Days=T","Dir=V")</f>
        <v>0</v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BDH("WMS US Equity","BS_TOT_ASSET","1993-06-18","2026-05-02","Per=Y","Days=T","Dir=V")</f>
        <v>0</v>
      </c>
      <c r="C2">
        <f>BDH("WMS US Equity","BS_TOT_LIAB2","1993-06-18","2026-05-02","Per=Y","Days=T","Dir=V")</f>
        <v>0</v>
      </c>
      <c r="E2">
        <f>BDH("WMS US Equity","SHORT_AND_LONG_TERM_DEBT","1993-06-18","2026-05-02","Per=Y","Days=T","Dir=V")</f>
        <v>0</v>
      </c>
      <c r="G2">
        <f>BDH("WMS US Equity","BS_ST_BORROW","1993-06-18","2026-05-02","Per=Y","Days=T","Dir=V")</f>
        <v>0</v>
      </c>
      <c r="I2">
        <f>BDH("WMS US Equity","BS_LT_BORROW","1993-06-18","2026-05-02","Per=Y","Days=T","Dir=V")</f>
        <v>0</v>
      </c>
      <c r="K2">
        <f>BDH("WMS US Equity","BS_CASH_NEAR_CASH_ITEM","1993-06-18","2026-05-02","Per=Y","Days=T","Dir=V")</f>
        <v>0</v>
      </c>
      <c r="M2">
        <f>BDH("WMS US Equity","BS_CUR_ASSET_REPORT","1993-06-18","2026-05-02","Per=Y","Days=T","Dir=V")</f>
        <v>0</v>
      </c>
      <c r="O2">
        <f>BDH("WMS US Equity","BS_CUR_LIAB","1993-06-18","2026-05-02","Per=Y","Days=T","Dir=V")</f>
        <v>0</v>
      </c>
      <c r="Q2">
        <f>BDH("WMS US Equity","BS_SHAREHOLDER_EQY_ENDING_PERIOD","1993-06-18","2026-05-02","Per=Y","Days=T","Dir=V")</f>
        <v>0</v>
      </c>
      <c r="S2">
        <f>BDH("WMS US Equity","BS_ACCT_NOTE_RCV","1993-06-18","2026-05-02","Per=Y","Days=T","Dir=V")</f>
        <v>0</v>
      </c>
      <c r="U2">
        <f>BDH("WMS US Equity","BS_INVENTORIES","1993-06-18","2026-05-02","Per=Y","Days=T","Dir=V")</f>
        <v>0</v>
      </c>
      <c r="W2">
        <f>BDH("WMS US Equity","WORKING_CAPITAL","1993-06-18","2026-05-02","Per=Y","Days=T","Dir=V")</f>
        <v>0</v>
      </c>
      <c r="Y2">
        <f>BDH("WMS US Equity","SALES_REV_TURN","1993-06-18","2026-05-02","Per=Y","Days=T","Dir=V")</f>
        <v>0</v>
      </c>
      <c r="AA2">
        <f>BDH("WMS US Equity","EBIT","1993-06-18","2026-05-02","Per=Y","Days=T","Dir=V")</f>
        <v>0</v>
      </c>
      <c r="AC2">
        <f>BDH("WMS US Equity","EBITDA","1993-06-18","2026-05-02","Per=Y","Days=T","Dir=V")</f>
        <v>0</v>
      </c>
      <c r="AE2">
        <f>BDH("WMS US Equity","NET_INCOME","1993-06-18","2026-05-02","Per=Y","Days=T","Dir=V")</f>
        <v>0</v>
      </c>
      <c r="AG2">
        <f>BDH("WMS US Equity","IS_INT_EXPENSE","1993-06-18","2026-05-02","Per=Y","Days=T","Dir=V")</f>
        <v>0</v>
      </c>
      <c r="AI2">
        <f>BDH("WMS US Equity","IS_DEPR_EXP","1993-06-18","2026-05-02","Per=Y","Days=T","Dir=V")</f>
        <v>0</v>
      </c>
      <c r="AK2">
        <f>BDH("WMS US Equity","CF_CASH_FROM_OPER","1993-06-18","2026-05-02","Per=Y","Days=T","Dir=V")</f>
        <v>0</v>
      </c>
      <c r="AM2">
        <f>BDH("WMS US Equity","CAPITAL_EXPEND","1993-06-18","2026-05-02","Per=Y","Days=T","Dir=V")</f>
        <v>0</v>
      </c>
      <c r="AO2">
        <f>BDH("WMS US Equity","CF_FREE_CASH_FLOW","1993-06-18","2026-05-02","Per=Y","Days=T","Dir=V")</f>
        <v>0</v>
      </c>
      <c r="AQ2">
        <f>BDH("WMS US Equity","PX_LAST","1993-06-18","2026-05-02","Per=M","Days=T","Dir=V")</f>
        <v>0</v>
      </c>
      <c r="AS2">
        <f>BDH("WMS US Equity","CUR_MKT_CAP","1993-06-18","2026-05-02","Per=M","Days=T","Dir=V")</f>
        <v>0</v>
      </c>
      <c r="AU2">
        <f>BDH("WMS US Equity","EQY_SH_OUT","1993-06-18","2026-05-02","Per=M","Days=T","Dir=V")</f>
        <v>0</v>
      </c>
      <c r="AW2">
        <f>BDH("WMS US Equity","PX_VOLUME","1993-06-18","2026-05-02","Per=M","Days=T","Dir=V")</f>
        <v>0</v>
      </c>
      <c r="AY2">
        <f>BDH("WMS US Equity","TURNOVER","1993-06-18","2026-05-02","Per=M","Days=T","Dir=V")</f>
        <v>0</v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BDH("WMT US Equity","BS_TOT_ASSET","1993-06-18","2026-05-02","Per=Y","Days=T","Dir=V")</f>
        <v>0</v>
      </c>
      <c r="C2">
        <f>BDH("WMT US Equity","BS_TOT_LIAB2","1993-06-18","2026-05-02","Per=Y","Days=T","Dir=V")</f>
        <v>0</v>
      </c>
      <c r="E2">
        <f>BDH("WMT US Equity","SHORT_AND_LONG_TERM_DEBT","1993-06-18","2026-05-02","Per=Y","Days=T","Dir=V")</f>
        <v>0</v>
      </c>
      <c r="G2">
        <f>BDH("WMT US Equity","BS_ST_BORROW","1993-06-18","2026-05-02","Per=Y","Days=T","Dir=V")</f>
        <v>0</v>
      </c>
      <c r="I2">
        <f>BDH("WMT US Equity","BS_LT_BORROW","1993-06-18","2026-05-02","Per=Y","Days=T","Dir=V")</f>
        <v>0</v>
      </c>
      <c r="K2">
        <f>BDH("WMT US Equity","BS_CASH_NEAR_CASH_ITEM","1993-06-18","2026-05-02","Per=Y","Days=T","Dir=V")</f>
        <v>0</v>
      </c>
      <c r="M2">
        <f>BDH("WMT US Equity","BS_CUR_ASSET_REPORT","1993-06-18","2026-05-02","Per=Y","Days=T","Dir=V")</f>
        <v>0</v>
      </c>
      <c r="O2">
        <f>BDH("WMT US Equity","BS_CUR_LIAB","1993-06-18","2026-05-02","Per=Y","Days=T","Dir=V")</f>
        <v>0</v>
      </c>
      <c r="Q2">
        <f>BDH("WMT US Equity","BS_SHAREHOLDER_EQY_ENDING_PERIOD","1993-06-18","2026-05-02","Per=Y","Days=T","Dir=V")</f>
        <v>0</v>
      </c>
      <c r="S2">
        <f>BDH("WMT US Equity","BS_ACCT_NOTE_RCV","1993-06-18","2026-05-02","Per=Y","Days=T","Dir=V")</f>
        <v>0</v>
      </c>
      <c r="U2">
        <f>BDH("WMT US Equity","BS_INVENTORIES","1993-06-18","2026-05-02","Per=Y","Days=T","Dir=V")</f>
        <v>0</v>
      </c>
      <c r="W2">
        <f>BDH("WMT US Equity","WORKING_CAPITAL","1993-06-18","2026-05-02","Per=Y","Days=T","Dir=V")</f>
        <v>0</v>
      </c>
      <c r="Y2">
        <f>BDH("WMT US Equity","SALES_REV_TURN","1993-06-18","2026-05-02","Per=Y","Days=T","Dir=V")</f>
        <v>0</v>
      </c>
      <c r="AA2">
        <f>BDH("WMT US Equity","EBIT","1993-06-18","2026-05-02","Per=Y","Days=T","Dir=V")</f>
        <v>0</v>
      </c>
      <c r="AC2">
        <f>BDH("WMT US Equity","EBITDA","1993-06-18","2026-05-02","Per=Y","Days=T","Dir=V")</f>
        <v>0</v>
      </c>
      <c r="AE2">
        <f>BDH("WMT US Equity","NET_INCOME","1993-06-18","2026-05-02","Per=Y","Days=T","Dir=V")</f>
        <v>0</v>
      </c>
      <c r="AG2">
        <f>BDH("WMT US Equity","IS_INT_EXPENSE","1993-06-18","2026-05-02","Per=Y","Days=T","Dir=V")</f>
        <v>0</v>
      </c>
      <c r="AI2">
        <f>BDH("WMT US Equity","IS_DEPR_EXP","1993-06-18","2026-05-02","Per=Y","Days=T","Dir=V")</f>
        <v>0</v>
      </c>
      <c r="AK2">
        <f>BDH("WMT US Equity","CF_CASH_FROM_OPER","1993-06-18","2026-05-02","Per=Y","Days=T","Dir=V")</f>
        <v>0</v>
      </c>
      <c r="AM2">
        <f>BDH("WMT US Equity","CAPITAL_EXPEND","1993-06-18","2026-05-02","Per=Y","Days=T","Dir=V")</f>
        <v>0</v>
      </c>
      <c r="AO2">
        <f>BDH("WMT US Equity","CF_FREE_CASH_FLOW","1993-06-18","2026-05-02","Per=Y","Days=T","Dir=V")</f>
        <v>0</v>
      </c>
      <c r="AQ2">
        <f>BDH("WMT US Equity","PX_LAST","1993-06-18","2026-05-02","Per=M","Days=T","Dir=V")</f>
        <v>0</v>
      </c>
      <c r="AS2">
        <f>BDH("WMT US Equity","CUR_MKT_CAP","1993-06-18","2026-05-02","Per=M","Days=T","Dir=V")</f>
        <v>0</v>
      </c>
      <c r="AU2">
        <f>BDH("WMT US Equity","EQY_SH_OUT","1993-06-18","2026-05-02","Per=M","Days=T","Dir=V")</f>
        <v>0</v>
      </c>
      <c r="AW2">
        <f>BDH("WMT US Equity","PX_VOLUME","1993-06-18","2026-05-02","Per=M","Days=T","Dir=V")</f>
        <v>0</v>
      </c>
      <c r="AY2">
        <f>BDH("WMT US Equity","TURNOVER","1993-06-18","2026-05-02","Per=M","Days=T","Dir=V")</f>
        <v>0</v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BDH("WNC US Equity","BS_TOT_ASSET","1993-06-18","2026-05-02","Per=Y","Days=T","Dir=V")</f>
        <v>0</v>
      </c>
      <c r="C2">
        <f>BDH("WNC US Equity","BS_TOT_LIAB2","1993-06-18","2026-05-02","Per=Y","Days=T","Dir=V")</f>
        <v>0</v>
      </c>
      <c r="E2">
        <f>BDH("WNC US Equity","SHORT_AND_LONG_TERM_DEBT","1993-06-18","2026-05-02","Per=Y","Days=T","Dir=V")</f>
        <v>0</v>
      </c>
      <c r="G2">
        <f>BDH("WNC US Equity","BS_ST_BORROW","1993-06-18","2026-05-02","Per=Y","Days=T","Dir=V")</f>
        <v>0</v>
      </c>
      <c r="I2">
        <f>BDH("WNC US Equity","BS_LT_BORROW","1993-06-18","2026-05-02","Per=Y","Days=T","Dir=V")</f>
        <v>0</v>
      </c>
      <c r="K2">
        <f>BDH("WNC US Equity","BS_CASH_NEAR_CASH_ITEM","1993-06-18","2026-05-02","Per=Y","Days=T","Dir=V")</f>
        <v>0</v>
      </c>
      <c r="M2">
        <f>BDH("WNC US Equity","BS_CUR_ASSET_REPORT","1993-06-18","2026-05-02","Per=Y","Days=T","Dir=V")</f>
        <v>0</v>
      </c>
      <c r="O2">
        <f>BDH("WNC US Equity","BS_CUR_LIAB","1993-06-18","2026-05-02","Per=Y","Days=T","Dir=V")</f>
        <v>0</v>
      </c>
      <c r="Q2">
        <f>BDH("WNC US Equity","BS_SHAREHOLDER_EQY_ENDING_PERIOD","1993-06-18","2026-05-02","Per=Y","Days=T","Dir=V")</f>
        <v>0</v>
      </c>
      <c r="S2">
        <f>BDH("WNC US Equity","BS_ACCT_NOTE_RCV","1993-06-18","2026-05-02","Per=Y","Days=T","Dir=V")</f>
        <v>0</v>
      </c>
      <c r="U2">
        <f>BDH("WNC US Equity","BS_INVENTORIES","1993-06-18","2026-05-02","Per=Y","Days=T","Dir=V")</f>
        <v>0</v>
      </c>
      <c r="W2">
        <f>BDH("WNC US Equity","WORKING_CAPITAL","1993-06-18","2026-05-02","Per=Y","Days=T","Dir=V")</f>
        <v>0</v>
      </c>
      <c r="Y2">
        <f>BDH("WNC US Equity","SALES_REV_TURN","1993-06-18","2026-05-02","Per=Y","Days=T","Dir=V")</f>
        <v>0</v>
      </c>
      <c r="AA2">
        <f>BDH("WNC US Equity","EBIT","1993-06-18","2026-05-02","Per=Y","Days=T","Dir=V")</f>
        <v>0</v>
      </c>
      <c r="AC2">
        <f>BDH("WNC US Equity","EBITDA","1993-06-18","2026-05-02","Per=Y","Days=T","Dir=V")</f>
        <v>0</v>
      </c>
      <c r="AE2">
        <f>BDH("WNC US Equity","NET_INCOME","1993-06-18","2026-05-02","Per=Y","Days=T","Dir=V")</f>
        <v>0</v>
      </c>
      <c r="AG2">
        <f>BDH("WNC US Equity","IS_INT_EXPENSE","1993-06-18","2026-05-02","Per=Y","Days=T","Dir=V")</f>
        <v>0</v>
      </c>
      <c r="AI2">
        <f>BDH("WNC US Equity","IS_DEPR_EXP","1993-06-18","2026-05-02","Per=Y","Days=T","Dir=V")</f>
        <v>0</v>
      </c>
      <c r="AK2">
        <f>BDH("WNC US Equity","CF_CASH_FROM_OPER","1993-06-18","2026-05-02","Per=Y","Days=T","Dir=V")</f>
        <v>0</v>
      </c>
      <c r="AM2">
        <f>BDH("WNC US Equity","CAPITAL_EXPEND","1993-06-18","2026-05-02","Per=Y","Days=T","Dir=V")</f>
        <v>0</v>
      </c>
      <c r="AO2">
        <f>BDH("WNC US Equity","CF_FREE_CASH_FLOW","1993-06-18","2026-05-02","Per=Y","Days=T","Dir=V")</f>
        <v>0</v>
      </c>
      <c r="AQ2">
        <f>BDH("WNC US Equity","PX_LAST","1993-06-18","2026-05-02","Per=M","Days=T","Dir=V")</f>
        <v>0</v>
      </c>
      <c r="AS2">
        <f>BDH("WNC US Equity","CUR_MKT_CAP","1993-06-18","2026-05-02","Per=M","Days=T","Dir=V")</f>
        <v>0</v>
      </c>
      <c r="AU2">
        <f>BDH("WNC US Equity","EQY_SH_OUT","1993-06-18","2026-05-02","Per=M","Days=T","Dir=V")</f>
        <v>0</v>
      </c>
      <c r="AW2">
        <f>BDH("WNC US Equity","PX_VOLUME","1993-06-18","2026-05-02","Per=M","Days=T","Dir=V")</f>
        <v>0</v>
      </c>
      <c r="AY2">
        <f>BDH("WNC US Equity","TURNOVER","1993-06-18","2026-05-02","Per=M","Days=T","Dir=V")</f>
        <v>0</v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BDH("WOLF US Equity","BS_TOT_ASSET","1993-06-18","2026-05-02","Per=Y","Days=T","Dir=V")</f>
        <v>0</v>
      </c>
      <c r="C2">
        <f>BDH("WOLF US Equity","BS_TOT_LIAB2","1993-06-18","2026-05-02","Per=Y","Days=T","Dir=V")</f>
        <v>0</v>
      </c>
      <c r="E2">
        <f>BDH("WOLF US Equity","SHORT_AND_LONG_TERM_DEBT","1993-06-18","2026-05-02","Per=Y","Days=T","Dir=V")</f>
        <v>0</v>
      </c>
      <c r="G2">
        <f>BDH("WOLF US Equity","BS_ST_BORROW","1993-06-18","2026-05-02","Per=Y","Days=T","Dir=V")</f>
        <v>0</v>
      </c>
      <c r="I2">
        <f>BDH("WOLF US Equity","BS_LT_BORROW","1993-06-18","2026-05-02","Per=Y","Days=T","Dir=V")</f>
        <v>0</v>
      </c>
      <c r="K2">
        <f>BDH("WOLF US Equity","BS_CASH_NEAR_CASH_ITEM","1993-06-18","2026-05-02","Per=Y","Days=T","Dir=V")</f>
        <v>0</v>
      </c>
      <c r="M2">
        <f>BDH("WOLF US Equity","BS_CUR_ASSET_REPORT","1993-06-18","2026-05-02","Per=Y","Days=T","Dir=V")</f>
        <v>0</v>
      </c>
      <c r="O2">
        <f>BDH("WOLF US Equity","BS_CUR_LIAB","1993-06-18","2026-05-02","Per=Y","Days=T","Dir=V")</f>
        <v>0</v>
      </c>
      <c r="Q2">
        <f>BDH("WOLF US Equity","BS_SHAREHOLDER_EQY_ENDING_PERIOD","1993-06-18","2026-05-02","Per=Y","Days=T","Dir=V")</f>
        <v>0</v>
      </c>
      <c r="S2">
        <f>BDH("WOLF US Equity","BS_ACCT_NOTE_RCV","1993-06-18","2026-05-02","Per=Y","Days=T","Dir=V")</f>
        <v>0</v>
      </c>
      <c r="U2">
        <f>BDH("WOLF US Equity","BS_INVENTORIES","1993-06-18","2026-05-02","Per=Y","Days=T","Dir=V")</f>
        <v>0</v>
      </c>
      <c r="W2">
        <f>BDH("WOLF US Equity","WORKING_CAPITAL","1993-06-18","2026-05-02","Per=Y","Days=T","Dir=V")</f>
        <v>0</v>
      </c>
      <c r="Y2">
        <f>BDH("WOLF US Equity","SALES_REV_TURN","1993-06-18","2026-05-02","Per=Y","Days=T","Dir=V")</f>
        <v>0</v>
      </c>
      <c r="AA2">
        <f>BDH("WOLF US Equity","EBIT","1993-06-18","2026-05-02","Per=Y","Days=T","Dir=V")</f>
        <v>0</v>
      </c>
      <c r="AC2">
        <f>BDH("WOLF US Equity","EBITDA","1993-06-18","2026-05-02","Per=Y","Days=T","Dir=V")</f>
        <v>0</v>
      </c>
      <c r="AE2">
        <f>BDH("WOLF US Equity","NET_INCOME","1993-06-18","2026-05-02","Per=Y","Days=T","Dir=V")</f>
        <v>0</v>
      </c>
      <c r="AG2">
        <f>BDH("WOLF US Equity","IS_INT_EXPENSE","1993-06-18","2026-05-02","Per=Y","Days=T","Dir=V")</f>
        <v>0</v>
      </c>
      <c r="AI2">
        <f>BDH("WOLF US Equity","IS_DEPR_EXP","1993-06-18","2026-05-02","Per=Y","Days=T","Dir=V")</f>
        <v>0</v>
      </c>
      <c r="AK2">
        <f>BDH("WOLF US Equity","CF_CASH_FROM_OPER","1993-06-18","2026-05-02","Per=Y","Days=T","Dir=V")</f>
        <v>0</v>
      </c>
      <c r="AM2">
        <f>BDH("WOLF US Equity","CAPITAL_EXPEND","1993-06-18","2026-05-02","Per=Y","Days=T","Dir=V")</f>
        <v>0</v>
      </c>
      <c r="AO2">
        <f>BDH("WOLF US Equity","CF_FREE_CASH_FLOW","1993-06-18","2026-05-02","Per=Y","Days=T","Dir=V")</f>
        <v>0</v>
      </c>
      <c r="AQ2">
        <f>BDH("WOLF US Equity","PX_LAST","1993-06-18","2026-05-02","Per=M","Days=T","Dir=V")</f>
        <v>0</v>
      </c>
      <c r="AS2">
        <f>BDH("WOLF US Equity","CUR_MKT_CAP","1993-06-18","2026-05-02","Per=M","Days=T","Dir=V")</f>
        <v>0</v>
      </c>
      <c r="AU2">
        <f>BDH("WOLF US Equity","EQY_SH_OUT","1993-06-18","2026-05-02","Per=M","Days=T","Dir=V")</f>
        <v>0</v>
      </c>
      <c r="AW2">
        <f>BDH("WOLF US Equity","PX_VOLUME","1993-06-18","2026-05-02","Per=M","Days=T","Dir=V")</f>
        <v>0</v>
      </c>
      <c r="AY2">
        <f>BDH("WOLF US Equity","TURNOVER","1993-06-18","2026-05-02","Per=M","Days=T","Dir=V")</f>
        <v>0</v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BDH("WOOF US Equity","BS_TOT_ASSET","1993-06-18","2026-05-02","Per=Y","Days=T","Dir=V")</f>
        <v>0</v>
      </c>
      <c r="C2">
        <f>BDH("WOOF US Equity","BS_TOT_LIAB2","1993-06-18","2026-05-02","Per=Y","Days=T","Dir=V")</f>
        <v>0</v>
      </c>
      <c r="E2">
        <f>BDH("WOOF US Equity","SHORT_AND_LONG_TERM_DEBT","1993-06-18","2026-05-02","Per=Y","Days=T","Dir=V")</f>
        <v>0</v>
      </c>
      <c r="G2">
        <f>BDH("WOOF US Equity","BS_ST_BORROW","1993-06-18","2026-05-02","Per=Y","Days=T","Dir=V")</f>
        <v>0</v>
      </c>
      <c r="I2">
        <f>BDH("WOOF US Equity","BS_LT_BORROW","1993-06-18","2026-05-02","Per=Y","Days=T","Dir=V")</f>
        <v>0</v>
      </c>
      <c r="K2">
        <f>BDH("WOOF US Equity","BS_CASH_NEAR_CASH_ITEM","1993-06-18","2026-05-02","Per=Y","Days=T","Dir=V")</f>
        <v>0</v>
      </c>
      <c r="M2">
        <f>BDH("WOOF US Equity","BS_CUR_ASSET_REPORT","1993-06-18","2026-05-02","Per=Y","Days=T","Dir=V")</f>
        <v>0</v>
      </c>
      <c r="O2">
        <f>BDH("WOOF US Equity","BS_CUR_LIAB","1993-06-18","2026-05-02","Per=Y","Days=T","Dir=V")</f>
        <v>0</v>
      </c>
      <c r="Q2">
        <f>BDH("WOOF US Equity","BS_SHAREHOLDER_EQY_ENDING_PERIOD","1993-06-18","2026-05-02","Per=Y","Days=T","Dir=V")</f>
        <v>0</v>
      </c>
      <c r="S2">
        <f>BDH("WOOF US Equity","BS_ACCT_NOTE_RCV","1993-06-18","2026-05-02","Per=Y","Days=T","Dir=V")</f>
        <v>0</v>
      </c>
      <c r="U2">
        <f>BDH("WOOF US Equity","BS_INVENTORIES","1993-06-18","2026-05-02","Per=Y","Days=T","Dir=V")</f>
        <v>0</v>
      </c>
      <c r="W2">
        <f>BDH("WOOF US Equity","WORKING_CAPITAL","1993-06-18","2026-05-02","Per=Y","Days=T","Dir=V")</f>
        <v>0</v>
      </c>
      <c r="Y2">
        <f>BDH("WOOF US Equity","SALES_REV_TURN","1993-06-18","2026-05-02","Per=Y","Days=T","Dir=V")</f>
        <v>0</v>
      </c>
      <c r="AA2">
        <f>BDH("WOOF US Equity","EBIT","1993-06-18","2026-05-02","Per=Y","Days=T","Dir=V")</f>
        <v>0</v>
      </c>
      <c r="AC2">
        <f>BDH("WOOF US Equity","EBITDA","1993-06-18","2026-05-02","Per=Y","Days=T","Dir=V")</f>
        <v>0</v>
      </c>
      <c r="AE2">
        <f>BDH("WOOF US Equity","NET_INCOME","1993-06-18","2026-05-02","Per=Y","Days=T","Dir=V")</f>
        <v>0</v>
      </c>
      <c r="AG2">
        <f>BDH("WOOF US Equity","IS_INT_EXPENSE","1993-06-18","2026-05-02","Per=Y","Days=T","Dir=V")</f>
        <v>0</v>
      </c>
      <c r="AI2">
        <f>BDH("WOOF US Equity","IS_DEPR_EXP","1993-06-18","2026-05-02","Per=Y","Days=T","Dir=V")</f>
        <v>0</v>
      </c>
      <c r="AK2">
        <f>BDH("WOOF US Equity","CF_CASH_FROM_OPER","1993-06-18","2026-05-02","Per=Y","Days=T","Dir=V")</f>
        <v>0</v>
      </c>
      <c r="AM2">
        <f>BDH("WOOF US Equity","CAPITAL_EXPEND","1993-06-18","2026-05-02","Per=Y","Days=T","Dir=V")</f>
        <v>0</v>
      </c>
      <c r="AO2">
        <f>BDH("WOOF US Equity","CF_FREE_CASH_FLOW","1993-06-18","2026-05-02","Per=Y","Days=T","Dir=V")</f>
        <v>0</v>
      </c>
      <c r="AQ2">
        <f>BDH("WOOF US Equity","PX_LAST","1993-06-18","2026-05-02","Per=M","Days=T","Dir=V")</f>
        <v>0</v>
      </c>
      <c r="AS2">
        <f>BDH("WOOF US Equity","CUR_MKT_CAP","1993-06-18","2026-05-02","Per=M","Days=T","Dir=V")</f>
        <v>0</v>
      </c>
      <c r="AU2">
        <f>BDH("WOOF US Equity","EQY_SH_OUT","1993-06-18","2026-05-02","Per=M","Days=T","Dir=V")</f>
        <v>0</v>
      </c>
      <c r="AW2">
        <f>BDH("WOOF US Equity","PX_VOLUME","1993-06-18","2026-05-02","Per=M","Days=T","Dir=V")</f>
        <v>0</v>
      </c>
      <c r="AY2">
        <f>BDH("WOOF US Equity","TURNOVER","1993-06-18","2026-05-02","Per=M","Days=T","Dir=V")</f>
        <v>0</v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BDH("WOR US Equity","BS_TOT_ASSET","1993-06-18","2026-05-02","Per=Y","Days=T","Dir=V")</f>
        <v>0</v>
      </c>
      <c r="C2">
        <f>BDH("WOR US Equity","BS_TOT_LIAB2","1993-06-18","2026-05-02","Per=Y","Days=T","Dir=V")</f>
        <v>0</v>
      </c>
      <c r="E2">
        <f>BDH("WOR US Equity","SHORT_AND_LONG_TERM_DEBT","1993-06-18","2026-05-02","Per=Y","Days=T","Dir=V")</f>
        <v>0</v>
      </c>
      <c r="G2">
        <f>BDH("WOR US Equity","BS_ST_BORROW","1993-06-18","2026-05-02","Per=Y","Days=T","Dir=V")</f>
        <v>0</v>
      </c>
      <c r="I2">
        <f>BDH("WOR US Equity","BS_LT_BORROW","1993-06-18","2026-05-02","Per=Y","Days=T","Dir=V")</f>
        <v>0</v>
      </c>
      <c r="K2">
        <f>BDH("WOR US Equity","BS_CASH_NEAR_CASH_ITEM","1993-06-18","2026-05-02","Per=Y","Days=T","Dir=V")</f>
        <v>0</v>
      </c>
      <c r="M2">
        <f>BDH("WOR US Equity","BS_CUR_ASSET_REPORT","1993-06-18","2026-05-02","Per=Y","Days=T","Dir=V")</f>
        <v>0</v>
      </c>
      <c r="O2">
        <f>BDH("WOR US Equity","BS_CUR_LIAB","1993-06-18","2026-05-02","Per=Y","Days=T","Dir=V")</f>
        <v>0</v>
      </c>
      <c r="Q2">
        <f>BDH("WOR US Equity","BS_SHAREHOLDER_EQY_ENDING_PERIOD","1993-06-18","2026-05-02","Per=Y","Days=T","Dir=V")</f>
        <v>0</v>
      </c>
      <c r="S2">
        <f>BDH("WOR US Equity","BS_ACCT_NOTE_RCV","1993-06-18","2026-05-02","Per=Y","Days=T","Dir=V")</f>
        <v>0</v>
      </c>
      <c r="U2">
        <f>BDH("WOR US Equity","BS_INVENTORIES","1993-06-18","2026-05-02","Per=Y","Days=T","Dir=V")</f>
        <v>0</v>
      </c>
      <c r="W2">
        <f>BDH("WOR US Equity","WORKING_CAPITAL","1993-06-18","2026-05-02","Per=Y","Days=T","Dir=V")</f>
        <v>0</v>
      </c>
      <c r="Y2">
        <f>BDH("WOR US Equity","SALES_REV_TURN","1993-06-18","2026-05-02","Per=Y","Days=T","Dir=V")</f>
        <v>0</v>
      </c>
      <c r="AA2">
        <f>BDH("WOR US Equity","EBIT","1993-06-18","2026-05-02","Per=Y","Days=T","Dir=V")</f>
        <v>0</v>
      </c>
      <c r="AC2">
        <f>BDH("WOR US Equity","EBITDA","1993-06-18","2026-05-02","Per=Y","Days=T","Dir=V")</f>
        <v>0</v>
      </c>
      <c r="AE2">
        <f>BDH("WOR US Equity","NET_INCOME","1993-06-18","2026-05-02","Per=Y","Days=T","Dir=V")</f>
        <v>0</v>
      </c>
      <c r="AG2">
        <f>BDH("WOR US Equity","IS_INT_EXPENSE","1993-06-18","2026-05-02","Per=Y","Days=T","Dir=V")</f>
        <v>0</v>
      </c>
      <c r="AI2">
        <f>BDH("WOR US Equity","IS_DEPR_EXP","1993-06-18","2026-05-02","Per=Y","Days=T","Dir=V")</f>
        <v>0</v>
      </c>
      <c r="AK2">
        <f>BDH("WOR US Equity","CF_CASH_FROM_OPER","1993-06-18","2026-05-02","Per=Y","Days=T","Dir=V")</f>
        <v>0</v>
      </c>
      <c r="AM2">
        <f>BDH("WOR US Equity","CAPITAL_EXPEND","1993-06-18","2026-05-02","Per=Y","Days=T","Dir=V")</f>
        <v>0</v>
      </c>
      <c r="AO2">
        <f>BDH("WOR US Equity","CF_FREE_CASH_FLOW","1993-06-18","2026-05-02","Per=Y","Days=T","Dir=V")</f>
        <v>0</v>
      </c>
      <c r="AQ2">
        <f>BDH("WOR US Equity","PX_LAST","1993-06-18","2026-05-02","Per=M","Days=T","Dir=V")</f>
        <v>0</v>
      </c>
      <c r="AS2">
        <f>BDH("WOR US Equity","CUR_MKT_CAP","1993-06-18","2026-05-02","Per=M","Days=T","Dir=V")</f>
        <v>0</v>
      </c>
      <c r="AU2">
        <f>BDH("WOR US Equity","EQY_SH_OUT","1993-06-18","2026-05-02","Per=M","Days=T","Dir=V")</f>
        <v>0</v>
      </c>
      <c r="AW2">
        <f>BDH("WOR US Equity","PX_VOLUME","1993-06-18","2026-05-02","Per=M","Days=T","Dir=V")</f>
        <v>0</v>
      </c>
      <c r="AY2">
        <f>BDH("WOR US Equity","TURNOVER","1993-06-18","2026-05-02","Per=M","Days=T","Dir=V")</f>
        <v>0</v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BDH("WRAP US Equity","BS_TOT_ASSET","1993-06-18","2026-05-02","Per=Y","Days=T","Dir=V")</f>
        <v>0</v>
      </c>
      <c r="C2">
        <f>BDH("WRAP US Equity","BS_TOT_LIAB2","1993-06-18","2026-05-02","Per=Y","Days=T","Dir=V")</f>
        <v>0</v>
      </c>
      <c r="E2">
        <f>BDH("WRAP US Equity","SHORT_AND_LONG_TERM_DEBT","1993-06-18","2026-05-02","Per=Y","Days=T","Dir=V")</f>
        <v>0</v>
      </c>
      <c r="G2">
        <f>BDH("WRAP US Equity","BS_ST_BORROW","1993-06-18","2026-05-02","Per=Y","Days=T","Dir=V")</f>
        <v>0</v>
      </c>
      <c r="I2">
        <f>BDH("WRAP US Equity","BS_LT_BORROW","1993-06-18","2026-05-02","Per=Y","Days=T","Dir=V")</f>
        <v>0</v>
      </c>
      <c r="K2">
        <f>BDH("WRAP US Equity","BS_CASH_NEAR_CASH_ITEM","1993-06-18","2026-05-02","Per=Y","Days=T","Dir=V")</f>
        <v>0</v>
      </c>
      <c r="M2">
        <f>BDH("WRAP US Equity","BS_CUR_ASSET_REPORT","1993-06-18","2026-05-02","Per=Y","Days=T","Dir=V")</f>
        <v>0</v>
      </c>
      <c r="O2">
        <f>BDH("WRAP US Equity","BS_CUR_LIAB","1993-06-18","2026-05-02","Per=Y","Days=T","Dir=V")</f>
        <v>0</v>
      </c>
      <c r="Q2">
        <f>BDH("WRAP US Equity","BS_SHAREHOLDER_EQY_ENDING_PERIOD","1993-06-18","2026-05-02","Per=Y","Days=T","Dir=V")</f>
        <v>0</v>
      </c>
      <c r="S2">
        <f>BDH("WRAP US Equity","BS_ACCT_NOTE_RCV","1993-06-18","2026-05-02","Per=Y","Days=T","Dir=V")</f>
        <v>0</v>
      </c>
      <c r="U2">
        <f>BDH("WRAP US Equity","BS_INVENTORIES","1993-06-18","2026-05-02","Per=Y","Days=T","Dir=V")</f>
        <v>0</v>
      </c>
      <c r="W2">
        <f>BDH("WRAP US Equity","WORKING_CAPITAL","1993-06-18","2026-05-02","Per=Y","Days=T","Dir=V")</f>
        <v>0</v>
      </c>
      <c r="Y2">
        <f>BDH("WRAP US Equity","SALES_REV_TURN","1993-06-18","2026-05-02","Per=Y","Days=T","Dir=V")</f>
        <v>0</v>
      </c>
      <c r="AA2">
        <f>BDH("WRAP US Equity","EBIT","1993-06-18","2026-05-02","Per=Y","Days=T","Dir=V")</f>
        <v>0</v>
      </c>
      <c r="AC2">
        <f>BDH("WRAP US Equity","EBITDA","1993-06-18","2026-05-02","Per=Y","Days=T","Dir=V")</f>
        <v>0</v>
      </c>
      <c r="AE2">
        <f>BDH("WRAP US Equity","NET_INCOME","1993-06-18","2026-05-02","Per=Y","Days=T","Dir=V")</f>
        <v>0</v>
      </c>
      <c r="AG2">
        <f>BDH("WRAP US Equity","IS_INT_EXPENSE","1993-06-18","2026-05-02","Per=Y","Days=T","Dir=V")</f>
        <v>0</v>
      </c>
      <c r="AI2">
        <f>BDH("WRAP US Equity","IS_DEPR_EXP","1993-06-18","2026-05-02","Per=Y","Days=T","Dir=V")</f>
        <v>0</v>
      </c>
      <c r="AK2">
        <f>BDH("WRAP US Equity","CF_CASH_FROM_OPER","1993-06-18","2026-05-02","Per=Y","Days=T","Dir=V")</f>
        <v>0</v>
      </c>
      <c r="AM2">
        <f>BDH("WRAP US Equity","CAPITAL_EXPEND","1993-06-18","2026-05-02","Per=Y","Days=T","Dir=V")</f>
        <v>0</v>
      </c>
      <c r="AO2">
        <f>BDH("WRAP US Equity","CF_FREE_CASH_FLOW","1993-06-18","2026-05-02","Per=Y","Days=T","Dir=V")</f>
        <v>0</v>
      </c>
      <c r="AQ2">
        <f>BDH("WRAP US Equity","PX_LAST","1993-06-18","2026-05-02","Per=M","Days=T","Dir=V")</f>
        <v>0</v>
      </c>
      <c r="AS2">
        <f>BDH("WRAP US Equity","CUR_MKT_CAP","1993-06-18","2026-05-02","Per=M","Days=T","Dir=V")</f>
        <v>0</v>
      </c>
      <c r="AU2">
        <f>BDH("WRAP US Equity","EQY_SH_OUT","1993-06-18","2026-05-02","Per=M","Days=T","Dir=V")</f>
        <v>0</v>
      </c>
      <c r="AW2">
        <f>BDH("WRAP US Equity","PX_VOLUME","1993-06-18","2026-05-02","Per=M","Days=T","Dir=V")</f>
        <v>0</v>
      </c>
      <c r="AY2">
        <f>BDH("WRAP US Equity","TURNOVER","1993-06-18","2026-05-02","Per=M","Days=T","Dir=V")</f>
        <v>0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BDH("WRBY US Equity","BS_TOT_ASSET","1993-06-18","2026-05-02","Per=Y","Days=T","Dir=V")</f>
        <v>0</v>
      </c>
      <c r="C2">
        <f>BDH("WRBY US Equity","BS_TOT_LIAB2","1993-06-18","2026-05-02","Per=Y","Days=T","Dir=V")</f>
        <v>0</v>
      </c>
      <c r="E2">
        <f>BDH("WRBY US Equity","SHORT_AND_LONG_TERM_DEBT","1993-06-18","2026-05-02","Per=Y","Days=T","Dir=V")</f>
        <v>0</v>
      </c>
      <c r="G2">
        <f>BDH("WRBY US Equity","BS_ST_BORROW","1993-06-18","2026-05-02","Per=Y","Days=T","Dir=V")</f>
        <v>0</v>
      </c>
      <c r="I2">
        <f>BDH("WRBY US Equity","BS_LT_BORROW","1993-06-18","2026-05-02","Per=Y","Days=T","Dir=V")</f>
        <v>0</v>
      </c>
      <c r="K2">
        <f>BDH("WRBY US Equity","BS_CASH_NEAR_CASH_ITEM","1993-06-18","2026-05-02","Per=Y","Days=T","Dir=V")</f>
        <v>0</v>
      </c>
      <c r="M2">
        <f>BDH("WRBY US Equity","BS_CUR_ASSET_REPORT","1993-06-18","2026-05-02","Per=Y","Days=T","Dir=V")</f>
        <v>0</v>
      </c>
      <c r="O2">
        <f>BDH("WRBY US Equity","BS_CUR_LIAB","1993-06-18","2026-05-02","Per=Y","Days=T","Dir=V")</f>
        <v>0</v>
      </c>
      <c r="Q2">
        <f>BDH("WRBY US Equity","BS_SHAREHOLDER_EQY_ENDING_PERIOD","1993-06-18","2026-05-02","Per=Y","Days=T","Dir=V")</f>
        <v>0</v>
      </c>
      <c r="S2">
        <f>BDH("WRBY US Equity","BS_ACCT_NOTE_RCV","1993-06-18","2026-05-02","Per=Y","Days=T","Dir=V")</f>
        <v>0</v>
      </c>
      <c r="U2">
        <f>BDH("WRBY US Equity","BS_INVENTORIES","1993-06-18","2026-05-02","Per=Y","Days=T","Dir=V")</f>
        <v>0</v>
      </c>
      <c r="W2">
        <f>BDH("WRBY US Equity","WORKING_CAPITAL","1993-06-18","2026-05-02","Per=Y","Days=T","Dir=V")</f>
        <v>0</v>
      </c>
      <c r="Y2">
        <f>BDH("WRBY US Equity","SALES_REV_TURN","1993-06-18","2026-05-02","Per=Y","Days=T","Dir=V")</f>
        <v>0</v>
      </c>
      <c r="AA2">
        <f>BDH("WRBY US Equity","EBIT","1993-06-18","2026-05-02","Per=Y","Days=T","Dir=V")</f>
        <v>0</v>
      </c>
      <c r="AC2">
        <f>BDH("WRBY US Equity","EBITDA","1993-06-18","2026-05-02","Per=Y","Days=T","Dir=V")</f>
        <v>0</v>
      </c>
      <c r="AE2">
        <f>BDH("WRBY US Equity","NET_INCOME","1993-06-18","2026-05-02","Per=Y","Days=T","Dir=V")</f>
        <v>0</v>
      </c>
      <c r="AG2">
        <f>BDH("WRBY US Equity","IS_INT_EXPENSE","1993-06-18","2026-05-02","Per=Y","Days=T","Dir=V")</f>
        <v>0</v>
      </c>
      <c r="AI2">
        <f>BDH("WRBY US Equity","IS_DEPR_EXP","1993-06-18","2026-05-02","Per=Y","Days=T","Dir=V")</f>
        <v>0</v>
      </c>
      <c r="AK2">
        <f>BDH("WRBY US Equity","CF_CASH_FROM_OPER","1993-06-18","2026-05-02","Per=Y","Days=T","Dir=V")</f>
        <v>0</v>
      </c>
      <c r="AM2">
        <f>BDH("WRBY US Equity","CAPITAL_EXPEND","1993-06-18","2026-05-02","Per=Y","Days=T","Dir=V")</f>
        <v>0</v>
      </c>
      <c r="AO2">
        <f>BDH("WRBY US Equity","CF_FREE_CASH_FLOW","1993-06-18","2026-05-02","Per=Y","Days=T","Dir=V")</f>
        <v>0</v>
      </c>
      <c r="AQ2">
        <f>BDH("WRBY US Equity","PX_LAST","1993-06-18","2026-05-02","Per=M","Days=T","Dir=V")</f>
        <v>0</v>
      </c>
      <c r="AS2">
        <f>BDH("WRBY US Equity","CUR_MKT_CAP","1993-06-18","2026-05-02","Per=M","Days=T","Dir=V")</f>
        <v>0</v>
      </c>
      <c r="AU2">
        <f>BDH("WRBY US Equity","EQY_SH_OUT","1993-06-18","2026-05-02","Per=M","Days=T","Dir=V")</f>
        <v>0</v>
      </c>
      <c r="AW2">
        <f>BDH("WRBY US Equity","PX_VOLUME","1993-06-18","2026-05-02","Per=M","Days=T","Dir=V")</f>
        <v>0</v>
      </c>
      <c r="AY2">
        <f>BDH("WRBY US Equity","TURNOVER","1993-06-18","2026-05-02","Per=M","Days=T","Dir=V")</f>
        <v>0</v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BDH("WS US Equity","BS_TOT_ASSET","1993-06-18","2026-05-02","Per=Y","Days=T","Dir=V")</f>
        <v>0</v>
      </c>
      <c r="C2">
        <f>BDH("WS US Equity","BS_TOT_LIAB2","1993-06-18","2026-05-02","Per=Y","Days=T","Dir=V")</f>
        <v>0</v>
      </c>
      <c r="E2">
        <f>BDH("WS US Equity","SHORT_AND_LONG_TERM_DEBT","1993-06-18","2026-05-02","Per=Y","Days=T","Dir=V")</f>
        <v>0</v>
      </c>
      <c r="G2">
        <f>BDH("WS US Equity","BS_ST_BORROW","1993-06-18","2026-05-02","Per=Y","Days=T","Dir=V")</f>
        <v>0</v>
      </c>
      <c r="I2">
        <f>BDH("WS US Equity","BS_LT_BORROW","1993-06-18","2026-05-02","Per=Y","Days=T","Dir=V")</f>
        <v>0</v>
      </c>
      <c r="K2">
        <f>BDH("WS US Equity","BS_CASH_NEAR_CASH_ITEM","1993-06-18","2026-05-02","Per=Y","Days=T","Dir=V")</f>
        <v>0</v>
      </c>
      <c r="M2">
        <f>BDH("WS US Equity","BS_CUR_ASSET_REPORT","1993-06-18","2026-05-02","Per=Y","Days=T","Dir=V")</f>
        <v>0</v>
      </c>
      <c r="O2">
        <f>BDH("WS US Equity","BS_CUR_LIAB","1993-06-18","2026-05-02","Per=Y","Days=T","Dir=V")</f>
        <v>0</v>
      </c>
      <c r="Q2">
        <f>BDH("WS US Equity","BS_SHAREHOLDER_EQY_ENDING_PERIOD","1993-06-18","2026-05-02","Per=Y","Days=T","Dir=V")</f>
        <v>0</v>
      </c>
      <c r="S2">
        <f>BDH("WS US Equity","BS_ACCT_NOTE_RCV","1993-06-18","2026-05-02","Per=Y","Days=T","Dir=V")</f>
        <v>0</v>
      </c>
      <c r="U2">
        <f>BDH("WS US Equity","BS_INVENTORIES","1993-06-18","2026-05-02","Per=Y","Days=T","Dir=V")</f>
        <v>0</v>
      </c>
      <c r="W2">
        <f>BDH("WS US Equity","WORKING_CAPITAL","1993-06-18","2026-05-02","Per=Y","Days=T","Dir=V")</f>
        <v>0</v>
      </c>
      <c r="Y2">
        <f>BDH("WS US Equity","SALES_REV_TURN","1993-06-18","2026-05-02","Per=Y","Days=T","Dir=V")</f>
        <v>0</v>
      </c>
      <c r="AA2">
        <f>BDH("WS US Equity","EBIT","1993-06-18","2026-05-02","Per=Y","Days=T","Dir=V")</f>
        <v>0</v>
      </c>
      <c r="AC2">
        <f>BDH("WS US Equity","EBITDA","1993-06-18","2026-05-02","Per=Y","Days=T","Dir=V")</f>
        <v>0</v>
      </c>
      <c r="AE2">
        <f>BDH("WS US Equity","NET_INCOME","1993-06-18","2026-05-02","Per=Y","Days=T","Dir=V")</f>
        <v>0</v>
      </c>
      <c r="AG2">
        <f>BDH("WS US Equity","IS_INT_EXPENSE","1993-06-18","2026-05-02","Per=Y","Days=T","Dir=V")</f>
        <v>0</v>
      </c>
      <c r="AI2">
        <f>BDH("WS US Equity","IS_DEPR_EXP","1993-06-18","2026-05-02","Per=Y","Days=T","Dir=V")</f>
        <v>0</v>
      </c>
      <c r="AK2">
        <f>BDH("WS US Equity","CF_CASH_FROM_OPER","1993-06-18","2026-05-02","Per=Y","Days=T","Dir=V")</f>
        <v>0</v>
      </c>
      <c r="AM2">
        <f>BDH("WS US Equity","CAPITAL_EXPEND","1993-06-18","2026-05-02","Per=Y","Days=T","Dir=V")</f>
        <v>0</v>
      </c>
      <c r="AO2">
        <f>BDH("WS US Equity","CF_FREE_CASH_FLOW","1993-06-18","2026-05-02","Per=Y","Days=T","Dir=V")</f>
        <v>0</v>
      </c>
      <c r="AQ2">
        <f>BDH("WS US Equity","PX_LAST","1993-06-18","2026-05-02","Per=M","Days=T","Dir=V")</f>
        <v>0</v>
      </c>
      <c r="AS2">
        <f>BDH("WS US Equity","CUR_MKT_CAP","1993-06-18","2026-05-02","Per=M","Days=T","Dir=V")</f>
        <v>0</v>
      </c>
      <c r="AU2">
        <f>BDH("WS US Equity","EQY_SH_OUT","1993-06-18","2026-05-02","Per=M","Days=T","Dir=V")</f>
        <v>0</v>
      </c>
      <c r="AW2">
        <f>BDH("WS US Equity","PX_VOLUME","1993-06-18","2026-05-02","Per=M","Days=T","Dir=V")</f>
        <v>0</v>
      </c>
      <c r="AY2">
        <f>BDH("WS US Equity","TURNOVER","1993-06-18","2026-05-02","Per=M","Days=T","Dir=V")</f>
        <v>0</v>
      </c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BDH("WSC US Equity","BS_TOT_ASSET","1993-06-18","2026-05-02","Per=Y","Days=T","Dir=V")</f>
        <v>0</v>
      </c>
      <c r="C2">
        <f>BDH("WSC US Equity","BS_TOT_LIAB2","1993-06-18","2026-05-02","Per=Y","Days=T","Dir=V")</f>
        <v>0</v>
      </c>
      <c r="E2">
        <f>BDH("WSC US Equity","SHORT_AND_LONG_TERM_DEBT","1993-06-18","2026-05-02","Per=Y","Days=T","Dir=V")</f>
        <v>0</v>
      </c>
      <c r="G2">
        <f>BDH("WSC US Equity","BS_ST_BORROW","1993-06-18","2026-05-02","Per=Y","Days=T","Dir=V")</f>
        <v>0</v>
      </c>
      <c r="I2">
        <f>BDH("WSC US Equity","BS_LT_BORROW","1993-06-18","2026-05-02","Per=Y","Days=T","Dir=V")</f>
        <v>0</v>
      </c>
      <c r="K2">
        <f>BDH("WSC US Equity","BS_CASH_NEAR_CASH_ITEM","1993-06-18","2026-05-02","Per=Y","Days=T","Dir=V")</f>
        <v>0</v>
      </c>
      <c r="M2">
        <f>BDH("WSC US Equity","BS_CUR_ASSET_REPORT","1993-06-18","2026-05-02","Per=Y","Days=T","Dir=V")</f>
        <v>0</v>
      </c>
      <c r="O2">
        <f>BDH("WSC US Equity","BS_CUR_LIAB","1993-06-18","2026-05-02","Per=Y","Days=T","Dir=V")</f>
        <v>0</v>
      </c>
      <c r="Q2">
        <f>BDH("WSC US Equity","BS_SHAREHOLDER_EQY_ENDING_PERIOD","1993-06-18","2026-05-02","Per=Y","Days=T","Dir=V")</f>
        <v>0</v>
      </c>
      <c r="S2">
        <f>BDH("WSC US Equity","BS_ACCT_NOTE_RCV","1993-06-18","2026-05-02","Per=Y","Days=T","Dir=V")</f>
        <v>0</v>
      </c>
      <c r="U2">
        <f>BDH("WSC US Equity","BS_INVENTORIES","1993-06-18","2026-05-02","Per=Y","Days=T","Dir=V")</f>
        <v>0</v>
      </c>
      <c r="W2">
        <f>BDH("WSC US Equity","WORKING_CAPITAL","1993-06-18","2026-05-02","Per=Y","Days=T","Dir=V")</f>
        <v>0</v>
      </c>
      <c r="Y2">
        <f>BDH("WSC US Equity","SALES_REV_TURN","1993-06-18","2026-05-02","Per=Y","Days=T","Dir=V")</f>
        <v>0</v>
      </c>
      <c r="AA2">
        <f>BDH("WSC US Equity","EBIT","1993-06-18","2026-05-02","Per=Y","Days=T","Dir=V")</f>
        <v>0</v>
      </c>
      <c r="AC2">
        <f>BDH("WSC US Equity","EBITDA","1993-06-18","2026-05-02","Per=Y","Days=T","Dir=V")</f>
        <v>0</v>
      </c>
      <c r="AE2">
        <f>BDH("WSC US Equity","NET_INCOME","1993-06-18","2026-05-02","Per=Y","Days=T","Dir=V")</f>
        <v>0</v>
      </c>
      <c r="AG2">
        <f>BDH("WSC US Equity","IS_INT_EXPENSE","1993-06-18","2026-05-02","Per=Y","Days=T","Dir=V")</f>
        <v>0</v>
      </c>
      <c r="AI2">
        <f>BDH("WSC US Equity","IS_DEPR_EXP","1993-06-18","2026-05-02","Per=Y","Days=T","Dir=V")</f>
        <v>0</v>
      </c>
      <c r="AK2">
        <f>BDH("WSC US Equity","CF_CASH_FROM_OPER","1993-06-18","2026-05-02","Per=Y","Days=T","Dir=V")</f>
        <v>0</v>
      </c>
      <c r="AM2">
        <f>BDH("WSC US Equity","CAPITAL_EXPEND","1993-06-18","2026-05-02","Per=Y","Days=T","Dir=V")</f>
        <v>0</v>
      </c>
      <c r="AO2">
        <f>BDH("WSC US Equity","CF_FREE_CASH_FLOW","1993-06-18","2026-05-02","Per=Y","Days=T","Dir=V")</f>
        <v>0</v>
      </c>
      <c r="AQ2">
        <f>BDH("WSC US Equity","PX_LAST","1993-06-18","2026-05-02","Per=M","Days=T","Dir=V")</f>
        <v>0</v>
      </c>
      <c r="AS2">
        <f>BDH("WSC US Equity","CUR_MKT_CAP","1993-06-18","2026-05-02","Per=M","Days=T","Dir=V")</f>
        <v>0</v>
      </c>
      <c r="AU2">
        <f>BDH("WSC US Equity","EQY_SH_OUT","1993-06-18","2026-05-02","Per=M","Days=T","Dir=V")</f>
        <v>0</v>
      </c>
      <c r="AW2">
        <f>BDH("WSC US Equity","PX_VOLUME","1993-06-18","2026-05-02","Per=M","Days=T","Dir=V")</f>
        <v>0</v>
      </c>
      <c r="AY2">
        <f>BDH("WSC US Equity","TURNOVER","1993-06-18","2026-05-02","Per=M","Days=T","Dir=V")</f>
        <v>0</v>
      </c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BDH("WSM US Equity","BS_TOT_ASSET","1993-06-18","2026-05-02","Per=Y","Days=T","Dir=V")</f>
        <v>0</v>
      </c>
      <c r="C2">
        <f>BDH("WSM US Equity","BS_TOT_LIAB2","1993-06-18","2026-05-02","Per=Y","Days=T","Dir=V")</f>
        <v>0</v>
      </c>
      <c r="E2">
        <f>BDH("WSM US Equity","SHORT_AND_LONG_TERM_DEBT","1993-06-18","2026-05-02","Per=Y","Days=T","Dir=V")</f>
        <v>0</v>
      </c>
      <c r="G2">
        <f>BDH("WSM US Equity","BS_ST_BORROW","1993-06-18","2026-05-02","Per=Y","Days=T","Dir=V")</f>
        <v>0</v>
      </c>
      <c r="I2">
        <f>BDH("WSM US Equity","BS_LT_BORROW","1993-06-18","2026-05-02","Per=Y","Days=T","Dir=V")</f>
        <v>0</v>
      </c>
      <c r="K2">
        <f>BDH("WSM US Equity","BS_CASH_NEAR_CASH_ITEM","1993-06-18","2026-05-02","Per=Y","Days=T","Dir=V")</f>
        <v>0</v>
      </c>
      <c r="M2">
        <f>BDH("WSM US Equity","BS_CUR_ASSET_REPORT","1993-06-18","2026-05-02","Per=Y","Days=T","Dir=V")</f>
        <v>0</v>
      </c>
      <c r="O2">
        <f>BDH("WSM US Equity","BS_CUR_LIAB","1993-06-18","2026-05-02","Per=Y","Days=T","Dir=V")</f>
        <v>0</v>
      </c>
      <c r="Q2">
        <f>BDH("WSM US Equity","BS_SHAREHOLDER_EQY_ENDING_PERIOD","1993-06-18","2026-05-02","Per=Y","Days=T","Dir=V")</f>
        <v>0</v>
      </c>
      <c r="S2">
        <f>BDH("WSM US Equity","BS_ACCT_NOTE_RCV","1993-06-18","2026-05-02","Per=Y","Days=T","Dir=V")</f>
        <v>0</v>
      </c>
      <c r="U2">
        <f>BDH("WSM US Equity","BS_INVENTORIES","1993-06-18","2026-05-02","Per=Y","Days=T","Dir=V")</f>
        <v>0</v>
      </c>
      <c r="W2">
        <f>BDH("WSM US Equity","WORKING_CAPITAL","1993-06-18","2026-05-02","Per=Y","Days=T","Dir=V")</f>
        <v>0</v>
      </c>
      <c r="Y2">
        <f>BDH("WSM US Equity","SALES_REV_TURN","1993-06-18","2026-05-02","Per=Y","Days=T","Dir=V")</f>
        <v>0</v>
      </c>
      <c r="AA2">
        <f>BDH("WSM US Equity","EBIT","1993-06-18","2026-05-02","Per=Y","Days=T","Dir=V")</f>
        <v>0</v>
      </c>
      <c r="AC2">
        <f>BDH("WSM US Equity","EBITDA","1993-06-18","2026-05-02","Per=Y","Days=T","Dir=V")</f>
        <v>0</v>
      </c>
      <c r="AE2">
        <f>BDH("WSM US Equity","NET_INCOME","1993-06-18","2026-05-02","Per=Y","Days=T","Dir=V")</f>
        <v>0</v>
      </c>
      <c r="AG2">
        <f>BDH("WSM US Equity","IS_INT_EXPENSE","1993-06-18","2026-05-02","Per=Y","Days=T","Dir=V")</f>
        <v>0</v>
      </c>
      <c r="AI2">
        <f>BDH("WSM US Equity","IS_DEPR_EXP","1993-06-18","2026-05-02","Per=Y","Days=T","Dir=V")</f>
        <v>0</v>
      </c>
      <c r="AK2">
        <f>BDH("WSM US Equity","CF_CASH_FROM_OPER","1993-06-18","2026-05-02","Per=Y","Days=T","Dir=V")</f>
        <v>0</v>
      </c>
      <c r="AM2">
        <f>BDH("WSM US Equity","CAPITAL_EXPEND","1993-06-18","2026-05-02","Per=Y","Days=T","Dir=V")</f>
        <v>0</v>
      </c>
      <c r="AO2">
        <f>BDH("WSM US Equity","CF_FREE_CASH_FLOW","1993-06-18","2026-05-02","Per=Y","Days=T","Dir=V")</f>
        <v>0</v>
      </c>
      <c r="AQ2">
        <f>BDH("WSM US Equity","PX_LAST","1993-06-18","2026-05-02","Per=M","Days=T","Dir=V")</f>
        <v>0</v>
      </c>
      <c r="AS2">
        <f>BDH("WSM US Equity","CUR_MKT_CAP","1993-06-18","2026-05-02","Per=M","Days=T","Dir=V")</f>
        <v>0</v>
      </c>
      <c r="AU2">
        <f>BDH("WSM US Equity","EQY_SH_OUT","1993-06-18","2026-05-02","Per=M","Days=T","Dir=V")</f>
        <v>0</v>
      </c>
      <c r="AW2">
        <f>BDH("WSM US Equity","PX_VOLUME","1993-06-18","2026-05-02","Per=M","Days=T","Dir=V")</f>
        <v>0</v>
      </c>
      <c r="AY2">
        <f>BDH("WSM US Equity","TURNOVER","1993-06-18","2026-05-02","Per=M","Days=T","Dir=V")</f>
        <v>0</v>
      </c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BDH("WSO US Equity","BS_TOT_ASSET","1993-06-18","2026-05-02","Per=Y","Days=T","Dir=V")</f>
        <v>0</v>
      </c>
      <c r="C2">
        <f>BDH("WSO US Equity","BS_TOT_LIAB2","1993-06-18","2026-05-02","Per=Y","Days=T","Dir=V")</f>
        <v>0</v>
      </c>
      <c r="E2">
        <f>BDH("WSO US Equity","SHORT_AND_LONG_TERM_DEBT","1993-06-18","2026-05-02","Per=Y","Days=T","Dir=V")</f>
        <v>0</v>
      </c>
      <c r="G2">
        <f>BDH("WSO US Equity","BS_ST_BORROW","1993-06-18","2026-05-02","Per=Y","Days=T","Dir=V")</f>
        <v>0</v>
      </c>
      <c r="I2">
        <f>BDH("WSO US Equity","BS_LT_BORROW","1993-06-18","2026-05-02","Per=Y","Days=T","Dir=V")</f>
        <v>0</v>
      </c>
      <c r="K2">
        <f>BDH("WSO US Equity","BS_CASH_NEAR_CASH_ITEM","1993-06-18","2026-05-02","Per=Y","Days=T","Dir=V")</f>
        <v>0</v>
      </c>
      <c r="M2">
        <f>BDH("WSO US Equity","BS_CUR_ASSET_REPORT","1993-06-18","2026-05-02","Per=Y","Days=T","Dir=V")</f>
        <v>0</v>
      </c>
      <c r="O2">
        <f>BDH("WSO US Equity","BS_CUR_LIAB","1993-06-18","2026-05-02","Per=Y","Days=T","Dir=V")</f>
        <v>0</v>
      </c>
      <c r="Q2">
        <f>BDH("WSO US Equity","BS_SHAREHOLDER_EQY_ENDING_PERIOD","1993-06-18","2026-05-02","Per=Y","Days=T","Dir=V")</f>
        <v>0</v>
      </c>
      <c r="S2">
        <f>BDH("WSO US Equity","BS_ACCT_NOTE_RCV","1993-06-18","2026-05-02","Per=Y","Days=T","Dir=V")</f>
        <v>0</v>
      </c>
      <c r="U2">
        <f>BDH("WSO US Equity","BS_INVENTORIES","1993-06-18","2026-05-02","Per=Y","Days=T","Dir=V")</f>
        <v>0</v>
      </c>
      <c r="W2">
        <f>BDH("WSO US Equity","WORKING_CAPITAL","1993-06-18","2026-05-02","Per=Y","Days=T","Dir=V")</f>
        <v>0</v>
      </c>
      <c r="Y2">
        <f>BDH("WSO US Equity","SALES_REV_TURN","1993-06-18","2026-05-02","Per=Y","Days=T","Dir=V")</f>
        <v>0</v>
      </c>
      <c r="AA2">
        <f>BDH("WSO US Equity","EBIT","1993-06-18","2026-05-02","Per=Y","Days=T","Dir=V")</f>
        <v>0</v>
      </c>
      <c r="AC2">
        <f>BDH("WSO US Equity","EBITDA","1993-06-18","2026-05-02","Per=Y","Days=T","Dir=V")</f>
        <v>0</v>
      </c>
      <c r="AE2">
        <f>BDH("WSO US Equity","NET_INCOME","1993-06-18","2026-05-02","Per=Y","Days=T","Dir=V")</f>
        <v>0</v>
      </c>
      <c r="AG2">
        <f>BDH("WSO US Equity","IS_INT_EXPENSE","1993-06-18","2026-05-02","Per=Y","Days=T","Dir=V")</f>
        <v>0</v>
      </c>
      <c r="AI2">
        <f>BDH("WSO US Equity","IS_DEPR_EXP","1993-06-18","2026-05-02","Per=Y","Days=T","Dir=V")</f>
        <v>0</v>
      </c>
      <c r="AK2">
        <f>BDH("WSO US Equity","CF_CASH_FROM_OPER","1993-06-18","2026-05-02","Per=Y","Days=T","Dir=V")</f>
        <v>0</v>
      </c>
      <c r="AM2">
        <f>BDH("WSO US Equity","CAPITAL_EXPEND","1993-06-18","2026-05-02","Per=Y","Days=T","Dir=V")</f>
        <v>0</v>
      </c>
      <c r="AO2">
        <f>BDH("WSO US Equity","CF_FREE_CASH_FLOW","1993-06-18","2026-05-02","Per=Y","Days=T","Dir=V")</f>
        <v>0</v>
      </c>
      <c r="AQ2">
        <f>BDH("WSO US Equity","PX_LAST","1993-06-18","2026-05-02","Per=M","Days=T","Dir=V")</f>
        <v>0</v>
      </c>
      <c r="AS2">
        <f>BDH("WSO US Equity","CUR_MKT_CAP","1993-06-18","2026-05-02","Per=M","Days=T","Dir=V")</f>
        <v>0</v>
      </c>
      <c r="AU2">
        <f>BDH("WSO US Equity","EQY_SH_OUT","1993-06-18","2026-05-02","Per=M","Days=T","Dir=V")</f>
        <v>0</v>
      </c>
      <c r="AW2">
        <f>BDH("WSO US Equity","PX_VOLUME","1993-06-18","2026-05-02","Per=M","Days=T","Dir=V")</f>
        <v>0</v>
      </c>
      <c r="AY2">
        <f>BDH("WSO US Equity","TURNOVER","1993-06-18","2026-05-02","Per=M","Days=T","Dir=V")</f>
        <v>0</v>
      </c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BDH("WST US Equity","BS_TOT_ASSET","1993-06-18","2026-05-02","Per=Y","Days=T","Dir=V")</f>
        <v>0</v>
      </c>
      <c r="C2">
        <f>BDH("WST US Equity","BS_TOT_LIAB2","1993-06-18","2026-05-02","Per=Y","Days=T","Dir=V")</f>
        <v>0</v>
      </c>
      <c r="E2">
        <f>BDH("WST US Equity","SHORT_AND_LONG_TERM_DEBT","1993-06-18","2026-05-02","Per=Y","Days=T","Dir=V")</f>
        <v>0</v>
      </c>
      <c r="G2">
        <f>BDH("WST US Equity","BS_ST_BORROW","1993-06-18","2026-05-02","Per=Y","Days=T","Dir=V")</f>
        <v>0</v>
      </c>
      <c r="I2">
        <f>BDH("WST US Equity","BS_LT_BORROW","1993-06-18","2026-05-02","Per=Y","Days=T","Dir=V")</f>
        <v>0</v>
      </c>
      <c r="K2">
        <f>BDH("WST US Equity","BS_CASH_NEAR_CASH_ITEM","1993-06-18","2026-05-02","Per=Y","Days=T","Dir=V")</f>
        <v>0</v>
      </c>
      <c r="M2">
        <f>BDH("WST US Equity","BS_CUR_ASSET_REPORT","1993-06-18","2026-05-02","Per=Y","Days=T","Dir=V")</f>
        <v>0</v>
      </c>
      <c r="O2">
        <f>BDH("WST US Equity","BS_CUR_LIAB","1993-06-18","2026-05-02","Per=Y","Days=T","Dir=V")</f>
        <v>0</v>
      </c>
      <c r="Q2">
        <f>BDH("WST US Equity","BS_SHAREHOLDER_EQY_ENDING_PERIOD","1993-06-18","2026-05-02","Per=Y","Days=T","Dir=V")</f>
        <v>0</v>
      </c>
      <c r="S2">
        <f>BDH("WST US Equity","BS_ACCT_NOTE_RCV","1993-06-18","2026-05-02","Per=Y","Days=T","Dir=V")</f>
        <v>0</v>
      </c>
      <c r="U2">
        <f>BDH("WST US Equity","BS_INVENTORIES","1993-06-18","2026-05-02","Per=Y","Days=T","Dir=V")</f>
        <v>0</v>
      </c>
      <c r="W2">
        <f>BDH("WST US Equity","WORKING_CAPITAL","1993-06-18","2026-05-02","Per=Y","Days=T","Dir=V")</f>
        <v>0</v>
      </c>
      <c r="Y2">
        <f>BDH("WST US Equity","SALES_REV_TURN","1993-06-18","2026-05-02","Per=Y","Days=T","Dir=V")</f>
        <v>0</v>
      </c>
      <c r="AA2">
        <f>BDH("WST US Equity","EBIT","1993-06-18","2026-05-02","Per=Y","Days=T","Dir=V")</f>
        <v>0</v>
      </c>
      <c r="AC2">
        <f>BDH("WST US Equity","EBITDA","1993-06-18","2026-05-02","Per=Y","Days=T","Dir=V")</f>
        <v>0</v>
      </c>
      <c r="AE2">
        <f>BDH("WST US Equity","NET_INCOME","1993-06-18","2026-05-02","Per=Y","Days=T","Dir=V")</f>
        <v>0</v>
      </c>
      <c r="AG2">
        <f>BDH("WST US Equity","IS_INT_EXPENSE","1993-06-18","2026-05-02","Per=Y","Days=T","Dir=V")</f>
        <v>0</v>
      </c>
      <c r="AI2">
        <f>BDH("WST US Equity","IS_DEPR_EXP","1993-06-18","2026-05-02","Per=Y","Days=T","Dir=V")</f>
        <v>0</v>
      </c>
      <c r="AK2">
        <f>BDH("WST US Equity","CF_CASH_FROM_OPER","1993-06-18","2026-05-02","Per=Y","Days=T","Dir=V")</f>
        <v>0</v>
      </c>
      <c r="AM2">
        <f>BDH("WST US Equity","CAPITAL_EXPEND","1993-06-18","2026-05-02","Per=Y","Days=T","Dir=V")</f>
        <v>0</v>
      </c>
      <c r="AO2">
        <f>BDH("WST US Equity","CF_FREE_CASH_FLOW","1993-06-18","2026-05-02","Per=Y","Days=T","Dir=V")</f>
        <v>0</v>
      </c>
      <c r="AQ2">
        <f>BDH("WST US Equity","PX_LAST","1993-06-18","2026-05-02","Per=M","Days=T","Dir=V")</f>
        <v>0</v>
      </c>
      <c r="AS2">
        <f>BDH("WST US Equity","CUR_MKT_CAP","1993-06-18","2026-05-02","Per=M","Days=T","Dir=V")</f>
        <v>0</v>
      </c>
      <c r="AU2">
        <f>BDH("WST US Equity","EQY_SH_OUT","1993-06-18","2026-05-02","Per=M","Days=T","Dir=V")</f>
        <v>0</v>
      </c>
      <c r="AW2">
        <f>BDH("WST US Equity","PX_VOLUME","1993-06-18","2026-05-02","Per=M","Days=T","Dir=V")</f>
        <v>0</v>
      </c>
      <c r="AY2">
        <f>BDH("WST US Equity","TURNOVER","1993-06-18","2026-05-02","Per=M","Days=T","Dir=V")</f>
        <v>0</v>
      </c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BDH("WTI US Equity","BS_TOT_ASSET","1993-06-18","2026-05-02","Per=Y","Days=T","Dir=V")</f>
        <v>0</v>
      </c>
      <c r="C2">
        <f>BDH("WTI US Equity","BS_TOT_LIAB2","1993-06-18","2026-05-02","Per=Y","Days=T","Dir=V")</f>
        <v>0</v>
      </c>
      <c r="E2">
        <f>BDH("WTI US Equity","SHORT_AND_LONG_TERM_DEBT","1993-06-18","2026-05-02","Per=Y","Days=T","Dir=V")</f>
        <v>0</v>
      </c>
      <c r="G2">
        <f>BDH("WTI US Equity","BS_ST_BORROW","1993-06-18","2026-05-02","Per=Y","Days=T","Dir=V")</f>
        <v>0</v>
      </c>
      <c r="I2">
        <f>BDH("WTI US Equity","BS_LT_BORROW","1993-06-18","2026-05-02","Per=Y","Days=T","Dir=V")</f>
        <v>0</v>
      </c>
      <c r="K2">
        <f>BDH("WTI US Equity","BS_CASH_NEAR_CASH_ITEM","1993-06-18","2026-05-02","Per=Y","Days=T","Dir=V")</f>
        <v>0</v>
      </c>
      <c r="M2">
        <f>BDH("WTI US Equity","BS_CUR_ASSET_REPORT","1993-06-18","2026-05-02","Per=Y","Days=T","Dir=V")</f>
        <v>0</v>
      </c>
      <c r="O2">
        <f>BDH("WTI US Equity","BS_CUR_LIAB","1993-06-18","2026-05-02","Per=Y","Days=T","Dir=V")</f>
        <v>0</v>
      </c>
      <c r="Q2">
        <f>BDH("WTI US Equity","BS_SHAREHOLDER_EQY_ENDING_PERIOD","1993-06-18","2026-05-02","Per=Y","Days=T","Dir=V")</f>
        <v>0</v>
      </c>
      <c r="S2">
        <f>BDH("WTI US Equity","BS_ACCT_NOTE_RCV","1993-06-18","2026-05-02","Per=Y","Days=T","Dir=V")</f>
        <v>0</v>
      </c>
      <c r="U2">
        <f>BDH("WTI US Equity","BS_INVENTORIES","1993-06-18","2026-05-02","Per=Y","Days=T","Dir=V")</f>
        <v>0</v>
      </c>
      <c r="W2">
        <f>BDH("WTI US Equity","WORKING_CAPITAL","1993-06-18","2026-05-02","Per=Y","Days=T","Dir=V")</f>
        <v>0</v>
      </c>
      <c r="Y2">
        <f>BDH("WTI US Equity","SALES_REV_TURN","1993-06-18","2026-05-02","Per=Y","Days=T","Dir=V")</f>
        <v>0</v>
      </c>
      <c r="AA2">
        <f>BDH("WTI US Equity","EBIT","1993-06-18","2026-05-02","Per=Y","Days=T","Dir=V")</f>
        <v>0</v>
      </c>
      <c r="AC2">
        <f>BDH("WTI US Equity","EBITDA","1993-06-18","2026-05-02","Per=Y","Days=T","Dir=V")</f>
        <v>0</v>
      </c>
      <c r="AE2">
        <f>BDH("WTI US Equity","NET_INCOME","1993-06-18","2026-05-02","Per=Y","Days=T","Dir=V")</f>
        <v>0</v>
      </c>
      <c r="AG2">
        <f>BDH("WTI US Equity","IS_INT_EXPENSE","1993-06-18","2026-05-02","Per=Y","Days=T","Dir=V")</f>
        <v>0</v>
      </c>
      <c r="AI2">
        <f>BDH("WTI US Equity","IS_DEPR_EXP","1993-06-18","2026-05-02","Per=Y","Days=T","Dir=V")</f>
        <v>0</v>
      </c>
      <c r="AK2">
        <f>BDH("WTI US Equity","CF_CASH_FROM_OPER","1993-06-18","2026-05-02","Per=Y","Days=T","Dir=V")</f>
        <v>0</v>
      </c>
      <c r="AM2">
        <f>BDH("WTI US Equity","CAPITAL_EXPEND","1993-06-18","2026-05-02","Per=Y","Days=T","Dir=V")</f>
        <v>0</v>
      </c>
      <c r="AO2">
        <f>BDH("WTI US Equity","CF_FREE_CASH_FLOW","1993-06-18","2026-05-02","Per=Y","Days=T","Dir=V")</f>
        <v>0</v>
      </c>
      <c r="AQ2">
        <f>BDH("WTI US Equity","PX_LAST","1993-06-18","2026-05-02","Per=M","Days=T","Dir=V")</f>
        <v>0</v>
      </c>
      <c r="AS2">
        <f>BDH("WTI US Equity","CUR_MKT_CAP","1993-06-18","2026-05-02","Per=M","Days=T","Dir=V")</f>
        <v>0</v>
      </c>
      <c r="AU2">
        <f>BDH("WTI US Equity","EQY_SH_OUT","1993-06-18","2026-05-02","Per=M","Days=T","Dir=V")</f>
        <v>0</v>
      </c>
      <c r="AW2">
        <f>BDH("WTI US Equity","PX_VOLUME","1993-06-18","2026-05-02","Per=M","Days=T","Dir=V")</f>
        <v>0</v>
      </c>
      <c r="AY2">
        <f>BDH("WTI US Equity","TURNOVER","1993-06-18","2026-05-02","Per=M","Days=T","Dir=V")</f>
        <v>0</v>
      </c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BDH("WTRG US Equity","BS_TOT_ASSET","1993-06-18","2026-05-02","Per=Y","Days=T","Dir=V")</f>
        <v>0</v>
      </c>
      <c r="C2">
        <f>BDH("WTRG US Equity","BS_TOT_LIAB2","1993-06-18","2026-05-02","Per=Y","Days=T","Dir=V")</f>
        <v>0</v>
      </c>
      <c r="E2">
        <f>BDH("WTRG US Equity","SHORT_AND_LONG_TERM_DEBT","1993-06-18","2026-05-02","Per=Y","Days=T","Dir=V")</f>
        <v>0</v>
      </c>
      <c r="G2">
        <f>BDH("WTRG US Equity","BS_ST_BORROW","1993-06-18","2026-05-02","Per=Y","Days=T","Dir=V")</f>
        <v>0</v>
      </c>
      <c r="I2">
        <f>BDH("WTRG US Equity","BS_LT_BORROW","1993-06-18","2026-05-02","Per=Y","Days=T","Dir=V")</f>
        <v>0</v>
      </c>
      <c r="K2">
        <f>BDH("WTRG US Equity","BS_CASH_NEAR_CASH_ITEM","1993-06-18","2026-05-02","Per=Y","Days=T","Dir=V")</f>
        <v>0</v>
      </c>
      <c r="M2">
        <f>BDH("WTRG US Equity","BS_CUR_ASSET_REPORT","1993-06-18","2026-05-02","Per=Y","Days=T","Dir=V")</f>
        <v>0</v>
      </c>
      <c r="O2">
        <f>BDH("WTRG US Equity","BS_CUR_LIAB","1993-06-18","2026-05-02","Per=Y","Days=T","Dir=V")</f>
        <v>0</v>
      </c>
      <c r="Q2">
        <f>BDH("WTRG US Equity","BS_SHAREHOLDER_EQY_ENDING_PERIOD","1993-06-18","2026-05-02","Per=Y","Days=T","Dir=V")</f>
        <v>0</v>
      </c>
      <c r="S2">
        <f>BDH("WTRG US Equity","BS_ACCT_NOTE_RCV","1993-06-18","2026-05-02","Per=Y","Days=T","Dir=V")</f>
        <v>0</v>
      </c>
      <c r="U2">
        <f>BDH("WTRG US Equity","BS_INVENTORIES","1993-06-18","2026-05-02","Per=Y","Days=T","Dir=V")</f>
        <v>0</v>
      </c>
      <c r="W2">
        <f>BDH("WTRG US Equity","WORKING_CAPITAL","1993-06-18","2026-05-02","Per=Y","Days=T","Dir=V")</f>
        <v>0</v>
      </c>
      <c r="Y2">
        <f>BDH("WTRG US Equity","SALES_REV_TURN","1993-06-18","2026-05-02","Per=Y","Days=T","Dir=V")</f>
        <v>0</v>
      </c>
      <c r="AA2">
        <f>BDH("WTRG US Equity","EBIT","1993-06-18","2026-05-02","Per=Y","Days=T","Dir=V")</f>
        <v>0</v>
      </c>
      <c r="AC2">
        <f>BDH("WTRG US Equity","EBITDA","1993-06-18","2026-05-02","Per=Y","Days=T","Dir=V")</f>
        <v>0</v>
      </c>
      <c r="AE2">
        <f>BDH("WTRG US Equity","NET_INCOME","1993-06-18","2026-05-02","Per=Y","Days=T","Dir=V")</f>
        <v>0</v>
      </c>
      <c r="AG2">
        <f>BDH("WTRG US Equity","IS_INT_EXPENSE","1993-06-18","2026-05-02","Per=Y","Days=T","Dir=V")</f>
        <v>0</v>
      </c>
      <c r="AI2">
        <f>BDH("WTRG US Equity","IS_DEPR_EXP","1993-06-18","2026-05-02","Per=Y","Days=T","Dir=V")</f>
        <v>0</v>
      </c>
      <c r="AK2">
        <f>BDH("WTRG US Equity","CF_CASH_FROM_OPER","1993-06-18","2026-05-02","Per=Y","Days=T","Dir=V")</f>
        <v>0</v>
      </c>
      <c r="AM2">
        <f>BDH("WTRG US Equity","CAPITAL_EXPEND","1993-06-18","2026-05-02","Per=Y","Days=T","Dir=V")</f>
        <v>0</v>
      </c>
      <c r="AO2">
        <f>BDH("WTRG US Equity","CF_FREE_CASH_FLOW","1993-06-18","2026-05-02","Per=Y","Days=T","Dir=V")</f>
        <v>0</v>
      </c>
      <c r="AQ2">
        <f>BDH("WTRG US Equity","PX_LAST","1993-06-18","2026-05-02","Per=M","Days=T","Dir=V")</f>
        <v>0</v>
      </c>
      <c r="AS2">
        <f>BDH("WTRG US Equity","CUR_MKT_CAP","1993-06-18","2026-05-02","Per=M","Days=T","Dir=V")</f>
        <v>0</v>
      </c>
      <c r="AU2">
        <f>BDH("WTRG US Equity","EQY_SH_OUT","1993-06-18","2026-05-02","Per=M","Days=T","Dir=V")</f>
        <v>0</v>
      </c>
      <c r="AW2">
        <f>BDH("WTRG US Equity","PX_VOLUME","1993-06-18","2026-05-02","Per=M","Days=T","Dir=V")</f>
        <v>0</v>
      </c>
      <c r="AY2">
        <f>BDH("WTRG US Equity","TURNOVER","1993-06-18","2026-05-02","Per=M","Days=T","Dir=V")</f>
        <v>0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BDH("WTS US Equity","BS_TOT_ASSET","1993-06-18","2026-05-02","Per=Y","Days=T","Dir=V")</f>
        <v>0</v>
      </c>
      <c r="C2">
        <f>BDH("WTS US Equity","BS_TOT_LIAB2","1993-06-18","2026-05-02","Per=Y","Days=T","Dir=V")</f>
        <v>0</v>
      </c>
      <c r="E2">
        <f>BDH("WTS US Equity","SHORT_AND_LONG_TERM_DEBT","1993-06-18","2026-05-02","Per=Y","Days=T","Dir=V")</f>
        <v>0</v>
      </c>
      <c r="G2">
        <f>BDH("WTS US Equity","BS_ST_BORROW","1993-06-18","2026-05-02","Per=Y","Days=T","Dir=V")</f>
        <v>0</v>
      </c>
      <c r="I2">
        <f>BDH("WTS US Equity","BS_LT_BORROW","1993-06-18","2026-05-02","Per=Y","Days=T","Dir=V")</f>
        <v>0</v>
      </c>
      <c r="K2">
        <f>BDH("WTS US Equity","BS_CASH_NEAR_CASH_ITEM","1993-06-18","2026-05-02","Per=Y","Days=T","Dir=V")</f>
        <v>0</v>
      </c>
      <c r="M2">
        <f>BDH("WTS US Equity","BS_CUR_ASSET_REPORT","1993-06-18","2026-05-02","Per=Y","Days=T","Dir=V")</f>
        <v>0</v>
      </c>
      <c r="O2">
        <f>BDH("WTS US Equity","BS_CUR_LIAB","1993-06-18","2026-05-02","Per=Y","Days=T","Dir=V")</f>
        <v>0</v>
      </c>
      <c r="Q2">
        <f>BDH("WTS US Equity","BS_SHAREHOLDER_EQY_ENDING_PERIOD","1993-06-18","2026-05-02","Per=Y","Days=T","Dir=V")</f>
        <v>0</v>
      </c>
      <c r="S2">
        <f>BDH("WTS US Equity","BS_ACCT_NOTE_RCV","1993-06-18","2026-05-02","Per=Y","Days=T","Dir=V")</f>
        <v>0</v>
      </c>
      <c r="U2">
        <f>BDH("WTS US Equity","BS_INVENTORIES","1993-06-18","2026-05-02","Per=Y","Days=T","Dir=V")</f>
        <v>0</v>
      </c>
      <c r="W2">
        <f>BDH("WTS US Equity","WORKING_CAPITAL","1993-06-18","2026-05-02","Per=Y","Days=T","Dir=V")</f>
        <v>0</v>
      </c>
      <c r="Y2">
        <f>BDH("WTS US Equity","SALES_REV_TURN","1993-06-18","2026-05-02","Per=Y","Days=T","Dir=V")</f>
        <v>0</v>
      </c>
      <c r="AA2">
        <f>BDH("WTS US Equity","EBIT","1993-06-18","2026-05-02","Per=Y","Days=T","Dir=V")</f>
        <v>0</v>
      </c>
      <c r="AC2">
        <f>BDH("WTS US Equity","EBITDA","1993-06-18","2026-05-02","Per=Y","Days=T","Dir=V")</f>
        <v>0</v>
      </c>
      <c r="AE2">
        <f>BDH("WTS US Equity","NET_INCOME","1993-06-18","2026-05-02","Per=Y","Days=T","Dir=V")</f>
        <v>0</v>
      </c>
      <c r="AG2">
        <f>BDH("WTS US Equity","IS_INT_EXPENSE","1993-06-18","2026-05-02","Per=Y","Days=T","Dir=V")</f>
        <v>0</v>
      </c>
      <c r="AI2">
        <f>BDH("WTS US Equity","IS_DEPR_EXP","1993-06-18","2026-05-02","Per=Y","Days=T","Dir=V")</f>
        <v>0</v>
      </c>
      <c r="AK2">
        <f>BDH("WTS US Equity","CF_CASH_FROM_OPER","1993-06-18","2026-05-02","Per=Y","Days=T","Dir=V")</f>
        <v>0</v>
      </c>
      <c r="AM2">
        <f>BDH("WTS US Equity","CAPITAL_EXPEND","1993-06-18","2026-05-02","Per=Y","Days=T","Dir=V")</f>
        <v>0</v>
      </c>
      <c r="AO2">
        <f>BDH("WTS US Equity","CF_FREE_CASH_FLOW","1993-06-18","2026-05-02","Per=Y","Days=T","Dir=V")</f>
        <v>0</v>
      </c>
      <c r="AQ2">
        <f>BDH("WTS US Equity","PX_LAST","1993-06-18","2026-05-02","Per=M","Days=T","Dir=V")</f>
        <v>0</v>
      </c>
      <c r="AS2">
        <f>BDH("WTS US Equity","CUR_MKT_CAP","1993-06-18","2026-05-02","Per=M","Days=T","Dir=V")</f>
        <v>0</v>
      </c>
      <c r="AU2">
        <f>BDH("WTS US Equity","EQY_SH_OUT","1993-06-18","2026-05-02","Per=M","Days=T","Dir=V")</f>
        <v>0</v>
      </c>
      <c r="AW2">
        <f>BDH("WTS US Equity","PX_VOLUME","1993-06-18","2026-05-02","Per=M","Days=T","Dir=V")</f>
        <v>0</v>
      </c>
      <c r="AY2">
        <f>BDH("WTS US Equity","TURNOVER","1993-06-18","2026-05-02","Per=M","Days=T","Dir=V")</f>
        <v>0</v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BDH("WTTR US Equity","BS_TOT_ASSET","1993-06-18","2026-05-02","Per=Y","Days=T","Dir=V")</f>
        <v>0</v>
      </c>
      <c r="C2">
        <f>BDH("WTTR US Equity","BS_TOT_LIAB2","1993-06-18","2026-05-02","Per=Y","Days=T","Dir=V")</f>
        <v>0</v>
      </c>
      <c r="E2">
        <f>BDH("WTTR US Equity","SHORT_AND_LONG_TERM_DEBT","1993-06-18","2026-05-02","Per=Y","Days=T","Dir=V")</f>
        <v>0</v>
      </c>
      <c r="G2">
        <f>BDH("WTTR US Equity","BS_ST_BORROW","1993-06-18","2026-05-02","Per=Y","Days=T","Dir=V")</f>
        <v>0</v>
      </c>
      <c r="I2">
        <f>BDH("WTTR US Equity","BS_LT_BORROW","1993-06-18","2026-05-02","Per=Y","Days=T","Dir=V")</f>
        <v>0</v>
      </c>
      <c r="K2">
        <f>BDH("WTTR US Equity","BS_CASH_NEAR_CASH_ITEM","1993-06-18","2026-05-02","Per=Y","Days=T","Dir=V")</f>
        <v>0</v>
      </c>
      <c r="M2">
        <f>BDH("WTTR US Equity","BS_CUR_ASSET_REPORT","1993-06-18","2026-05-02","Per=Y","Days=T","Dir=V")</f>
        <v>0</v>
      </c>
      <c r="O2">
        <f>BDH("WTTR US Equity","BS_CUR_LIAB","1993-06-18","2026-05-02","Per=Y","Days=T","Dir=V")</f>
        <v>0</v>
      </c>
      <c r="Q2">
        <f>BDH("WTTR US Equity","BS_SHAREHOLDER_EQY_ENDING_PERIOD","1993-06-18","2026-05-02","Per=Y","Days=T","Dir=V")</f>
        <v>0</v>
      </c>
      <c r="S2">
        <f>BDH("WTTR US Equity","BS_ACCT_NOTE_RCV","1993-06-18","2026-05-02","Per=Y","Days=T","Dir=V")</f>
        <v>0</v>
      </c>
      <c r="U2">
        <f>BDH("WTTR US Equity","BS_INVENTORIES","1993-06-18","2026-05-02","Per=Y","Days=T","Dir=V")</f>
        <v>0</v>
      </c>
      <c r="W2">
        <f>BDH("WTTR US Equity","WORKING_CAPITAL","1993-06-18","2026-05-02","Per=Y","Days=T","Dir=V")</f>
        <v>0</v>
      </c>
      <c r="Y2">
        <f>BDH("WTTR US Equity","SALES_REV_TURN","1993-06-18","2026-05-02","Per=Y","Days=T","Dir=V")</f>
        <v>0</v>
      </c>
      <c r="AA2">
        <f>BDH("WTTR US Equity","EBIT","1993-06-18","2026-05-02","Per=Y","Days=T","Dir=V")</f>
        <v>0</v>
      </c>
      <c r="AC2">
        <f>BDH("WTTR US Equity","EBITDA","1993-06-18","2026-05-02","Per=Y","Days=T","Dir=V")</f>
        <v>0</v>
      </c>
      <c r="AE2">
        <f>BDH("WTTR US Equity","NET_INCOME","1993-06-18","2026-05-02","Per=Y","Days=T","Dir=V")</f>
        <v>0</v>
      </c>
      <c r="AG2">
        <f>BDH("WTTR US Equity","IS_INT_EXPENSE","1993-06-18","2026-05-02","Per=Y","Days=T","Dir=V")</f>
        <v>0</v>
      </c>
      <c r="AI2">
        <f>BDH("WTTR US Equity","IS_DEPR_EXP","1993-06-18","2026-05-02","Per=Y","Days=T","Dir=V")</f>
        <v>0</v>
      </c>
      <c r="AK2">
        <f>BDH("WTTR US Equity","CF_CASH_FROM_OPER","1993-06-18","2026-05-02","Per=Y","Days=T","Dir=V")</f>
        <v>0</v>
      </c>
      <c r="AM2">
        <f>BDH("WTTR US Equity","CAPITAL_EXPEND","1993-06-18","2026-05-02","Per=Y","Days=T","Dir=V")</f>
        <v>0</v>
      </c>
      <c r="AO2">
        <f>BDH("WTTR US Equity","CF_FREE_CASH_FLOW","1993-06-18","2026-05-02","Per=Y","Days=T","Dir=V")</f>
        <v>0</v>
      </c>
      <c r="AQ2">
        <f>BDH("WTTR US Equity","PX_LAST","1993-06-18","2026-05-02","Per=M","Days=T","Dir=V")</f>
        <v>0</v>
      </c>
      <c r="AS2">
        <f>BDH("WTTR US Equity","CUR_MKT_CAP","1993-06-18","2026-05-02","Per=M","Days=T","Dir=V")</f>
        <v>0</v>
      </c>
      <c r="AU2">
        <f>BDH("WTTR US Equity","EQY_SH_OUT","1993-06-18","2026-05-02","Per=M","Days=T","Dir=V")</f>
        <v>0</v>
      </c>
      <c r="AW2">
        <f>BDH("WTTR US Equity","PX_VOLUME","1993-06-18","2026-05-02","Per=M","Days=T","Dir=V")</f>
        <v>0</v>
      </c>
      <c r="AY2">
        <f>BDH("WTTR US Equity","TURNOVER","1993-06-18","2026-05-02","Per=M","Days=T","Dir=V")</f>
        <v>0</v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BDH("WU US Equity","BS_TOT_ASSET","1993-06-18","2026-05-02","Per=Y","Days=T","Dir=V")</f>
        <v>0</v>
      </c>
      <c r="C2">
        <f>BDH("WU US Equity","BS_TOT_LIAB2","1993-06-18","2026-05-02","Per=Y","Days=T","Dir=V")</f>
        <v>0</v>
      </c>
      <c r="E2">
        <f>BDH("WU US Equity","SHORT_AND_LONG_TERM_DEBT","1993-06-18","2026-05-02","Per=Y","Days=T","Dir=V")</f>
        <v>0</v>
      </c>
      <c r="G2">
        <f>BDH("WU US Equity","BS_ST_BORROW","1993-06-18","2026-05-02","Per=Y","Days=T","Dir=V")</f>
        <v>0</v>
      </c>
      <c r="I2">
        <f>BDH("WU US Equity","BS_LT_BORROW","1993-06-18","2026-05-02","Per=Y","Days=T","Dir=V")</f>
        <v>0</v>
      </c>
      <c r="K2">
        <f>BDH("WU US Equity","BS_CASH_NEAR_CASH_ITEM","1993-06-18","2026-05-02","Per=Y","Days=T","Dir=V")</f>
        <v>0</v>
      </c>
      <c r="M2">
        <f>BDH("WU US Equity","BS_CUR_ASSET_REPORT","1993-06-18","2026-05-02","Per=Y","Days=T","Dir=V")</f>
        <v>0</v>
      </c>
      <c r="O2">
        <f>BDH("WU US Equity","BS_CUR_LIAB","1993-06-18","2026-05-02","Per=Y","Days=T","Dir=V")</f>
        <v>0</v>
      </c>
      <c r="Q2">
        <f>BDH("WU US Equity","BS_SHAREHOLDER_EQY_ENDING_PERIOD","1993-06-18","2026-05-02","Per=Y","Days=T","Dir=V")</f>
        <v>0</v>
      </c>
      <c r="S2">
        <f>BDH("WU US Equity","BS_ACCT_NOTE_RCV","1993-06-18","2026-05-02","Per=Y","Days=T","Dir=V")</f>
        <v>0</v>
      </c>
      <c r="U2">
        <f>BDH("WU US Equity","BS_INVENTORIES","1993-06-18","2026-05-02","Per=Y","Days=T","Dir=V")</f>
        <v>0</v>
      </c>
      <c r="W2">
        <f>BDH("WU US Equity","WORKING_CAPITAL","1993-06-18","2026-05-02","Per=Y","Days=T","Dir=V")</f>
        <v>0</v>
      </c>
      <c r="Y2">
        <f>BDH("WU US Equity","SALES_REV_TURN","1993-06-18","2026-05-02","Per=Y","Days=T","Dir=V")</f>
        <v>0</v>
      </c>
      <c r="AA2">
        <f>BDH("WU US Equity","EBIT","1993-06-18","2026-05-02","Per=Y","Days=T","Dir=V")</f>
        <v>0</v>
      </c>
      <c r="AC2">
        <f>BDH("WU US Equity","EBITDA","1993-06-18","2026-05-02","Per=Y","Days=T","Dir=V")</f>
        <v>0</v>
      </c>
      <c r="AE2">
        <f>BDH("WU US Equity","NET_INCOME","1993-06-18","2026-05-02","Per=Y","Days=T","Dir=V")</f>
        <v>0</v>
      </c>
      <c r="AG2">
        <f>BDH("WU US Equity","IS_INT_EXPENSE","1993-06-18","2026-05-02","Per=Y","Days=T","Dir=V")</f>
        <v>0</v>
      </c>
      <c r="AI2">
        <f>BDH("WU US Equity","IS_DEPR_EXP","1993-06-18","2026-05-02","Per=Y","Days=T","Dir=V")</f>
        <v>0</v>
      </c>
      <c r="AK2">
        <f>BDH("WU US Equity","CF_CASH_FROM_OPER","1993-06-18","2026-05-02","Per=Y","Days=T","Dir=V")</f>
        <v>0</v>
      </c>
      <c r="AM2">
        <f>BDH("WU US Equity","CAPITAL_EXPEND","1993-06-18","2026-05-02","Per=Y","Days=T","Dir=V")</f>
        <v>0</v>
      </c>
      <c r="AO2">
        <f>BDH("WU US Equity","CF_FREE_CASH_FLOW","1993-06-18","2026-05-02","Per=Y","Days=T","Dir=V")</f>
        <v>0</v>
      </c>
      <c r="AQ2">
        <f>BDH("WU US Equity","PX_LAST","1993-06-18","2026-05-02","Per=M","Days=T","Dir=V")</f>
        <v>0</v>
      </c>
      <c r="AS2">
        <f>BDH("WU US Equity","CUR_MKT_CAP","1993-06-18","2026-05-02","Per=M","Days=T","Dir=V")</f>
        <v>0</v>
      </c>
      <c r="AU2">
        <f>BDH("WU US Equity","EQY_SH_OUT","1993-06-18","2026-05-02","Per=M","Days=T","Dir=V")</f>
        <v>0</v>
      </c>
      <c r="AW2">
        <f>BDH("WU US Equity","PX_VOLUME","1993-06-18","2026-05-02","Per=M","Days=T","Dir=V")</f>
        <v>0</v>
      </c>
      <c r="AY2">
        <f>BDH("WU US Equity","TURNOVER","1993-06-18","2026-05-02","Per=M","Days=T","Dir=V")</f>
        <v>0</v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BDH("WVVI US Equity","BS_TOT_ASSET","1993-06-18","2026-05-02","Per=Y","Days=T","Dir=V")</f>
        <v>0</v>
      </c>
      <c r="C2">
        <f>BDH("WVVI US Equity","BS_TOT_LIAB2","1993-06-18","2026-05-02","Per=Y","Days=T","Dir=V")</f>
        <v>0</v>
      </c>
      <c r="E2">
        <f>BDH("WVVI US Equity","SHORT_AND_LONG_TERM_DEBT","1993-06-18","2026-05-02","Per=Y","Days=T","Dir=V")</f>
        <v>0</v>
      </c>
      <c r="G2">
        <f>BDH("WVVI US Equity","BS_ST_BORROW","1993-06-18","2026-05-02","Per=Y","Days=T","Dir=V")</f>
        <v>0</v>
      </c>
      <c r="I2">
        <f>BDH("WVVI US Equity","BS_LT_BORROW","1993-06-18","2026-05-02","Per=Y","Days=T","Dir=V")</f>
        <v>0</v>
      </c>
      <c r="K2">
        <f>BDH("WVVI US Equity","BS_CASH_NEAR_CASH_ITEM","1993-06-18","2026-05-02","Per=Y","Days=T","Dir=V")</f>
        <v>0</v>
      </c>
      <c r="M2">
        <f>BDH("WVVI US Equity","BS_CUR_ASSET_REPORT","1993-06-18","2026-05-02","Per=Y","Days=T","Dir=V")</f>
        <v>0</v>
      </c>
      <c r="O2">
        <f>BDH("WVVI US Equity","BS_CUR_LIAB","1993-06-18","2026-05-02","Per=Y","Days=T","Dir=V")</f>
        <v>0</v>
      </c>
      <c r="Q2">
        <f>BDH("WVVI US Equity","BS_SHAREHOLDER_EQY_ENDING_PERIOD","1993-06-18","2026-05-02","Per=Y","Days=T","Dir=V")</f>
        <v>0</v>
      </c>
      <c r="S2">
        <f>BDH("WVVI US Equity","BS_ACCT_NOTE_RCV","1993-06-18","2026-05-02","Per=Y","Days=T","Dir=V")</f>
        <v>0</v>
      </c>
      <c r="U2">
        <f>BDH("WVVI US Equity","BS_INVENTORIES","1993-06-18","2026-05-02","Per=Y","Days=T","Dir=V")</f>
        <v>0</v>
      </c>
      <c r="W2">
        <f>BDH("WVVI US Equity","WORKING_CAPITAL","1993-06-18","2026-05-02","Per=Y","Days=T","Dir=V")</f>
        <v>0</v>
      </c>
      <c r="Y2">
        <f>BDH("WVVI US Equity","SALES_REV_TURN","1993-06-18","2026-05-02","Per=Y","Days=T","Dir=V")</f>
        <v>0</v>
      </c>
      <c r="AA2">
        <f>BDH("WVVI US Equity","EBIT","1993-06-18","2026-05-02","Per=Y","Days=T","Dir=V")</f>
        <v>0</v>
      </c>
      <c r="AC2">
        <f>BDH("WVVI US Equity","EBITDA","1993-06-18","2026-05-02","Per=Y","Days=T","Dir=V")</f>
        <v>0</v>
      </c>
      <c r="AE2">
        <f>BDH("WVVI US Equity","NET_INCOME","1993-06-18","2026-05-02","Per=Y","Days=T","Dir=V")</f>
        <v>0</v>
      </c>
      <c r="AG2">
        <f>BDH("WVVI US Equity","IS_INT_EXPENSE","1993-06-18","2026-05-02","Per=Y","Days=T","Dir=V")</f>
        <v>0</v>
      </c>
      <c r="AI2">
        <f>BDH("WVVI US Equity","IS_DEPR_EXP","1993-06-18","2026-05-02","Per=Y","Days=T","Dir=V")</f>
        <v>0</v>
      </c>
      <c r="AK2">
        <f>BDH("WVVI US Equity","CF_CASH_FROM_OPER","1993-06-18","2026-05-02","Per=Y","Days=T","Dir=V")</f>
        <v>0</v>
      </c>
      <c r="AM2">
        <f>BDH("WVVI US Equity","CAPITAL_EXPEND","1993-06-18","2026-05-02","Per=Y","Days=T","Dir=V")</f>
        <v>0</v>
      </c>
      <c r="AO2">
        <f>BDH("WVVI US Equity","CF_FREE_CASH_FLOW","1993-06-18","2026-05-02","Per=Y","Days=T","Dir=V")</f>
        <v>0</v>
      </c>
      <c r="AQ2">
        <f>BDH("WVVI US Equity","PX_LAST","1993-06-18","2026-05-02","Per=M","Days=T","Dir=V")</f>
        <v>0</v>
      </c>
      <c r="AS2">
        <f>BDH("WVVI US Equity","CUR_MKT_CAP","1993-06-18","2026-05-02","Per=M","Days=T","Dir=V")</f>
        <v>0</v>
      </c>
      <c r="AU2">
        <f>BDH("WVVI US Equity","EQY_SH_OUT","1993-06-18","2026-05-02","Per=M","Days=T","Dir=V")</f>
        <v>0</v>
      </c>
      <c r="AW2">
        <f>BDH("WVVI US Equity","PX_VOLUME","1993-06-18","2026-05-02","Per=M","Days=T","Dir=V")</f>
        <v>0</v>
      </c>
      <c r="AY2">
        <f>BDH("WVVI US Equity","TURNOVER","1993-06-18","2026-05-02","Per=M","Days=T","Dir=V")</f>
        <v>0</v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BDH("WVVIP US Equity","BS_TOT_ASSET","1993-06-18","2026-05-02","Per=Y","Days=T","Dir=V")</f>
        <v>0</v>
      </c>
      <c r="C2">
        <f>BDH("WVVIP US Equity","BS_TOT_LIAB2","1993-06-18","2026-05-02","Per=Y","Days=T","Dir=V")</f>
        <v>0</v>
      </c>
      <c r="E2">
        <f>BDH("WVVIP US Equity","SHORT_AND_LONG_TERM_DEBT","1993-06-18","2026-05-02","Per=Y","Days=T","Dir=V")</f>
        <v>0</v>
      </c>
      <c r="G2">
        <f>BDH("WVVIP US Equity","BS_ST_BORROW","1993-06-18","2026-05-02","Per=Y","Days=T","Dir=V")</f>
        <v>0</v>
      </c>
      <c r="I2">
        <f>BDH("WVVIP US Equity","BS_LT_BORROW","1993-06-18","2026-05-02","Per=Y","Days=T","Dir=V")</f>
        <v>0</v>
      </c>
      <c r="K2">
        <f>BDH("WVVIP US Equity","BS_CASH_NEAR_CASH_ITEM","1993-06-18","2026-05-02","Per=Y","Days=T","Dir=V")</f>
        <v>0</v>
      </c>
      <c r="M2">
        <f>BDH("WVVIP US Equity","BS_CUR_ASSET_REPORT","1993-06-18","2026-05-02","Per=Y","Days=T","Dir=V")</f>
        <v>0</v>
      </c>
      <c r="O2">
        <f>BDH("WVVIP US Equity","BS_CUR_LIAB","1993-06-18","2026-05-02","Per=Y","Days=T","Dir=V")</f>
        <v>0</v>
      </c>
      <c r="Q2">
        <f>BDH("WVVIP US Equity","BS_SHAREHOLDER_EQY_ENDING_PERIOD","1993-06-18","2026-05-02","Per=Y","Days=T","Dir=V")</f>
        <v>0</v>
      </c>
      <c r="S2">
        <f>BDH("WVVIP US Equity","BS_ACCT_NOTE_RCV","1993-06-18","2026-05-02","Per=Y","Days=T","Dir=V")</f>
        <v>0</v>
      </c>
      <c r="U2">
        <f>BDH("WVVIP US Equity","BS_INVENTORIES","1993-06-18","2026-05-02","Per=Y","Days=T","Dir=V")</f>
        <v>0</v>
      </c>
      <c r="W2">
        <f>BDH("WVVIP US Equity","WORKING_CAPITAL","1993-06-18","2026-05-02","Per=Y","Days=T","Dir=V")</f>
        <v>0</v>
      </c>
      <c r="Y2">
        <f>BDH("WVVIP US Equity","SALES_REV_TURN","1993-06-18","2026-05-02","Per=Y","Days=T","Dir=V")</f>
        <v>0</v>
      </c>
      <c r="AA2">
        <f>BDH("WVVIP US Equity","EBIT","1993-06-18","2026-05-02","Per=Y","Days=T","Dir=V")</f>
        <v>0</v>
      </c>
      <c r="AC2">
        <f>BDH("WVVIP US Equity","EBITDA","1993-06-18","2026-05-02","Per=Y","Days=T","Dir=V")</f>
        <v>0</v>
      </c>
      <c r="AE2">
        <f>BDH("WVVIP US Equity","NET_INCOME","1993-06-18","2026-05-02","Per=Y","Days=T","Dir=V")</f>
        <v>0</v>
      </c>
      <c r="AG2">
        <f>BDH("WVVIP US Equity","IS_INT_EXPENSE","1993-06-18","2026-05-02","Per=Y","Days=T","Dir=V")</f>
        <v>0</v>
      </c>
      <c r="AI2">
        <f>BDH("WVVIP US Equity","IS_DEPR_EXP","1993-06-18","2026-05-02","Per=Y","Days=T","Dir=V")</f>
        <v>0</v>
      </c>
      <c r="AK2">
        <f>BDH("WVVIP US Equity","CF_CASH_FROM_OPER","1993-06-18","2026-05-02","Per=Y","Days=T","Dir=V")</f>
        <v>0</v>
      </c>
      <c r="AM2">
        <f>BDH("WVVIP US Equity","CAPITAL_EXPEND","1993-06-18","2026-05-02","Per=Y","Days=T","Dir=V")</f>
        <v>0</v>
      </c>
      <c r="AO2">
        <f>BDH("WVVIP US Equity","CF_FREE_CASH_FLOW","1993-06-18","2026-05-02","Per=Y","Days=T","Dir=V")</f>
        <v>0</v>
      </c>
      <c r="AQ2">
        <f>BDH("WVVIP US Equity","PX_LAST","1993-06-18","2026-05-02","Per=M","Days=T","Dir=V")</f>
        <v>0</v>
      </c>
      <c r="AS2">
        <f>BDH("WVVIP US Equity","CUR_MKT_CAP","1993-06-18","2026-05-02","Per=M","Days=T","Dir=V")</f>
        <v>0</v>
      </c>
      <c r="AU2">
        <f>BDH("WVVIP US Equity","EQY_SH_OUT","1993-06-18","2026-05-02","Per=M","Days=T","Dir=V")</f>
        <v>0</v>
      </c>
      <c r="AW2">
        <f>BDH("WVVIP US Equity","PX_VOLUME","1993-06-18","2026-05-02","Per=M","Days=T","Dir=V")</f>
        <v>0</v>
      </c>
      <c r="AY2">
        <f>BDH("WVVIP US Equity","TURNOVER","1993-06-18","2026-05-02","Per=M","Days=T","Dir=V")</f>
        <v>0</v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BDH("WW US Equity","BS_TOT_ASSET","1993-06-18","2026-05-02","Per=Y","Days=T","Dir=V")</f>
        <v>0</v>
      </c>
      <c r="C2">
        <f>BDH("WW US Equity","BS_TOT_LIAB2","1993-06-18","2026-05-02","Per=Y","Days=T","Dir=V")</f>
        <v>0</v>
      </c>
      <c r="E2">
        <f>BDH("WW US Equity","SHORT_AND_LONG_TERM_DEBT","1993-06-18","2026-05-02","Per=Y","Days=T","Dir=V")</f>
        <v>0</v>
      </c>
      <c r="G2">
        <f>BDH("WW US Equity","BS_ST_BORROW","1993-06-18","2026-05-02","Per=Y","Days=T","Dir=V")</f>
        <v>0</v>
      </c>
      <c r="I2">
        <f>BDH("WW US Equity","BS_LT_BORROW","1993-06-18","2026-05-02","Per=Y","Days=T","Dir=V")</f>
        <v>0</v>
      </c>
      <c r="K2">
        <f>BDH("WW US Equity","BS_CASH_NEAR_CASH_ITEM","1993-06-18","2026-05-02","Per=Y","Days=T","Dir=V")</f>
        <v>0</v>
      </c>
      <c r="M2">
        <f>BDH("WW US Equity","BS_CUR_ASSET_REPORT","1993-06-18","2026-05-02","Per=Y","Days=T","Dir=V")</f>
        <v>0</v>
      </c>
      <c r="O2">
        <f>BDH("WW US Equity","BS_CUR_LIAB","1993-06-18","2026-05-02","Per=Y","Days=T","Dir=V")</f>
        <v>0</v>
      </c>
      <c r="Q2">
        <f>BDH("WW US Equity","BS_SHAREHOLDER_EQY_ENDING_PERIOD","1993-06-18","2026-05-02","Per=Y","Days=T","Dir=V")</f>
        <v>0</v>
      </c>
      <c r="S2">
        <f>BDH("WW US Equity","BS_ACCT_NOTE_RCV","1993-06-18","2026-05-02","Per=Y","Days=T","Dir=V")</f>
        <v>0</v>
      </c>
      <c r="U2">
        <f>BDH("WW US Equity","BS_INVENTORIES","1993-06-18","2026-05-02","Per=Y","Days=T","Dir=V")</f>
        <v>0</v>
      </c>
      <c r="W2">
        <f>BDH("WW US Equity","WORKING_CAPITAL","1993-06-18","2026-05-02","Per=Y","Days=T","Dir=V")</f>
        <v>0</v>
      </c>
      <c r="Y2">
        <f>BDH("WW US Equity","SALES_REV_TURN","1993-06-18","2026-05-02","Per=Y","Days=T","Dir=V")</f>
        <v>0</v>
      </c>
      <c r="AA2">
        <f>BDH("WW US Equity","EBIT","1993-06-18","2026-05-02","Per=Y","Days=T","Dir=V")</f>
        <v>0</v>
      </c>
      <c r="AC2">
        <f>BDH("WW US Equity","EBITDA","1993-06-18","2026-05-02","Per=Y","Days=T","Dir=V")</f>
        <v>0</v>
      </c>
      <c r="AE2">
        <f>BDH("WW US Equity","NET_INCOME","1993-06-18","2026-05-02","Per=Y","Days=T","Dir=V")</f>
        <v>0</v>
      </c>
      <c r="AG2">
        <f>BDH("WW US Equity","IS_INT_EXPENSE","1993-06-18","2026-05-02","Per=Y","Days=T","Dir=V")</f>
        <v>0</v>
      </c>
      <c r="AI2">
        <f>BDH("WW US Equity","IS_DEPR_EXP","1993-06-18","2026-05-02","Per=Y","Days=T","Dir=V")</f>
        <v>0</v>
      </c>
      <c r="AK2">
        <f>BDH("WW US Equity","CF_CASH_FROM_OPER","1993-06-18","2026-05-02","Per=Y","Days=T","Dir=V")</f>
        <v>0</v>
      </c>
      <c r="AM2">
        <f>BDH("WW US Equity","CAPITAL_EXPEND","1993-06-18","2026-05-02","Per=Y","Days=T","Dir=V")</f>
        <v>0</v>
      </c>
      <c r="AO2">
        <f>BDH("WW US Equity","CF_FREE_CASH_FLOW","1993-06-18","2026-05-02","Per=Y","Days=T","Dir=V")</f>
        <v>0</v>
      </c>
      <c r="AQ2">
        <f>BDH("WW US Equity","PX_LAST","1993-06-18","2026-05-02","Per=M","Days=T","Dir=V")</f>
        <v>0</v>
      </c>
      <c r="AS2">
        <f>BDH("WW US Equity","CUR_MKT_CAP","1993-06-18","2026-05-02","Per=M","Days=T","Dir=V")</f>
        <v>0</v>
      </c>
      <c r="AU2">
        <f>BDH("WW US Equity","EQY_SH_OUT","1993-06-18","2026-05-02","Per=M","Days=T","Dir=V")</f>
        <v>0</v>
      </c>
      <c r="AW2">
        <f>BDH("WW US Equity","PX_VOLUME","1993-06-18","2026-05-02","Per=M","Days=T","Dir=V")</f>
        <v>0</v>
      </c>
      <c r="AY2">
        <f>BDH("WW US Equity","TURNOVER","1993-06-18","2026-05-02","Per=M","Days=T","Dir=V")</f>
        <v>0</v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BDH("WWD US Equity","BS_TOT_ASSET","1993-06-18","2026-05-02","Per=Y","Days=T","Dir=V")</f>
        <v>0</v>
      </c>
      <c r="C2">
        <f>BDH("WWD US Equity","BS_TOT_LIAB2","1993-06-18","2026-05-02","Per=Y","Days=T","Dir=V")</f>
        <v>0</v>
      </c>
      <c r="E2">
        <f>BDH("WWD US Equity","SHORT_AND_LONG_TERM_DEBT","1993-06-18","2026-05-02","Per=Y","Days=T","Dir=V")</f>
        <v>0</v>
      </c>
      <c r="G2">
        <f>BDH("WWD US Equity","BS_ST_BORROW","1993-06-18","2026-05-02","Per=Y","Days=T","Dir=V")</f>
        <v>0</v>
      </c>
      <c r="I2">
        <f>BDH("WWD US Equity","BS_LT_BORROW","1993-06-18","2026-05-02","Per=Y","Days=T","Dir=V")</f>
        <v>0</v>
      </c>
      <c r="K2">
        <f>BDH("WWD US Equity","BS_CASH_NEAR_CASH_ITEM","1993-06-18","2026-05-02","Per=Y","Days=T","Dir=V")</f>
        <v>0</v>
      </c>
      <c r="M2">
        <f>BDH("WWD US Equity","BS_CUR_ASSET_REPORT","1993-06-18","2026-05-02","Per=Y","Days=T","Dir=V")</f>
        <v>0</v>
      </c>
      <c r="O2">
        <f>BDH("WWD US Equity","BS_CUR_LIAB","1993-06-18","2026-05-02","Per=Y","Days=T","Dir=V")</f>
        <v>0</v>
      </c>
      <c r="Q2">
        <f>BDH("WWD US Equity","BS_SHAREHOLDER_EQY_ENDING_PERIOD","1993-06-18","2026-05-02","Per=Y","Days=T","Dir=V")</f>
        <v>0</v>
      </c>
      <c r="S2">
        <f>BDH("WWD US Equity","BS_ACCT_NOTE_RCV","1993-06-18","2026-05-02","Per=Y","Days=T","Dir=V")</f>
        <v>0</v>
      </c>
      <c r="U2">
        <f>BDH("WWD US Equity","BS_INVENTORIES","1993-06-18","2026-05-02","Per=Y","Days=T","Dir=V")</f>
        <v>0</v>
      </c>
      <c r="W2">
        <f>BDH("WWD US Equity","WORKING_CAPITAL","1993-06-18","2026-05-02","Per=Y","Days=T","Dir=V")</f>
        <v>0</v>
      </c>
      <c r="Y2">
        <f>BDH("WWD US Equity","SALES_REV_TURN","1993-06-18","2026-05-02","Per=Y","Days=T","Dir=V")</f>
        <v>0</v>
      </c>
      <c r="AA2">
        <f>BDH("WWD US Equity","EBIT","1993-06-18","2026-05-02","Per=Y","Days=T","Dir=V")</f>
        <v>0</v>
      </c>
      <c r="AC2">
        <f>BDH("WWD US Equity","EBITDA","1993-06-18","2026-05-02","Per=Y","Days=T","Dir=V")</f>
        <v>0</v>
      </c>
      <c r="AE2">
        <f>BDH("WWD US Equity","NET_INCOME","1993-06-18","2026-05-02","Per=Y","Days=T","Dir=V")</f>
        <v>0</v>
      </c>
      <c r="AG2">
        <f>BDH("WWD US Equity","IS_INT_EXPENSE","1993-06-18","2026-05-02","Per=Y","Days=T","Dir=V")</f>
        <v>0</v>
      </c>
      <c r="AI2">
        <f>BDH("WWD US Equity","IS_DEPR_EXP","1993-06-18","2026-05-02","Per=Y","Days=T","Dir=V")</f>
        <v>0</v>
      </c>
      <c r="AK2">
        <f>BDH("WWD US Equity","CF_CASH_FROM_OPER","1993-06-18","2026-05-02","Per=Y","Days=T","Dir=V")</f>
        <v>0</v>
      </c>
      <c r="AM2">
        <f>BDH("WWD US Equity","CAPITAL_EXPEND","1993-06-18","2026-05-02","Per=Y","Days=T","Dir=V")</f>
        <v>0</v>
      </c>
      <c r="AO2">
        <f>BDH("WWD US Equity","CF_FREE_CASH_FLOW","1993-06-18","2026-05-02","Per=Y","Days=T","Dir=V")</f>
        <v>0</v>
      </c>
      <c r="AQ2">
        <f>BDH("WWD US Equity","PX_LAST","1993-06-18","2026-05-02","Per=M","Days=T","Dir=V")</f>
        <v>0</v>
      </c>
      <c r="AS2">
        <f>BDH("WWD US Equity","CUR_MKT_CAP","1993-06-18","2026-05-02","Per=M","Days=T","Dir=V")</f>
        <v>0</v>
      </c>
      <c r="AU2">
        <f>BDH("WWD US Equity","EQY_SH_OUT","1993-06-18","2026-05-02","Per=M","Days=T","Dir=V")</f>
        <v>0</v>
      </c>
      <c r="AW2">
        <f>BDH("WWD US Equity","PX_VOLUME","1993-06-18","2026-05-02","Per=M","Days=T","Dir=V")</f>
        <v>0</v>
      </c>
      <c r="AY2">
        <f>BDH("WWD US Equity","TURNOVER","1993-06-18","2026-05-02","Per=M","Days=T","Dir=V")</f>
        <v>0</v>
      </c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BDH("WWR US Equity","BS_TOT_ASSET","1993-06-18","2026-05-02","Per=Y","Days=T","Dir=V")</f>
        <v>0</v>
      </c>
      <c r="C2">
        <f>BDH("WWR US Equity","BS_TOT_LIAB2","1993-06-18","2026-05-02","Per=Y","Days=T","Dir=V")</f>
        <v>0</v>
      </c>
      <c r="E2">
        <f>BDH("WWR US Equity","SHORT_AND_LONG_TERM_DEBT","1993-06-18","2026-05-02","Per=Y","Days=T","Dir=V")</f>
        <v>0</v>
      </c>
      <c r="G2">
        <f>BDH("WWR US Equity","BS_ST_BORROW","1993-06-18","2026-05-02","Per=Y","Days=T","Dir=V")</f>
        <v>0</v>
      </c>
      <c r="I2">
        <f>BDH("WWR US Equity","BS_LT_BORROW","1993-06-18","2026-05-02","Per=Y","Days=T","Dir=V")</f>
        <v>0</v>
      </c>
      <c r="K2">
        <f>BDH("WWR US Equity","BS_CASH_NEAR_CASH_ITEM","1993-06-18","2026-05-02","Per=Y","Days=T","Dir=V")</f>
        <v>0</v>
      </c>
      <c r="M2">
        <f>BDH("WWR US Equity","BS_CUR_ASSET_REPORT","1993-06-18","2026-05-02","Per=Y","Days=T","Dir=V")</f>
        <v>0</v>
      </c>
      <c r="O2">
        <f>BDH("WWR US Equity","BS_CUR_LIAB","1993-06-18","2026-05-02","Per=Y","Days=T","Dir=V")</f>
        <v>0</v>
      </c>
      <c r="Q2">
        <f>BDH("WWR US Equity","BS_SHAREHOLDER_EQY_ENDING_PERIOD","1993-06-18","2026-05-02","Per=Y","Days=T","Dir=V")</f>
        <v>0</v>
      </c>
      <c r="S2">
        <f>BDH("WWR US Equity","BS_ACCT_NOTE_RCV","1993-06-18","2026-05-02","Per=Y","Days=T","Dir=V")</f>
        <v>0</v>
      </c>
      <c r="U2">
        <f>BDH("WWR US Equity","BS_INVENTORIES","1993-06-18","2026-05-02","Per=Y","Days=T","Dir=V")</f>
        <v>0</v>
      </c>
      <c r="W2">
        <f>BDH("WWR US Equity","WORKING_CAPITAL","1993-06-18","2026-05-02","Per=Y","Days=T","Dir=V")</f>
        <v>0</v>
      </c>
      <c r="Y2">
        <f>BDH("WWR US Equity","SALES_REV_TURN","1993-06-18","2026-05-02","Per=Y","Days=T","Dir=V")</f>
        <v>0</v>
      </c>
      <c r="AA2">
        <f>BDH("WWR US Equity","EBIT","1993-06-18","2026-05-02","Per=Y","Days=T","Dir=V")</f>
        <v>0</v>
      </c>
      <c r="AC2">
        <f>BDH("WWR US Equity","EBITDA","1993-06-18","2026-05-02","Per=Y","Days=T","Dir=V")</f>
        <v>0</v>
      </c>
      <c r="AE2">
        <f>BDH("WWR US Equity","NET_INCOME","1993-06-18","2026-05-02","Per=Y","Days=T","Dir=V")</f>
        <v>0</v>
      </c>
      <c r="AG2">
        <f>BDH("WWR US Equity","IS_INT_EXPENSE","1993-06-18","2026-05-02","Per=Y","Days=T","Dir=V")</f>
        <v>0</v>
      </c>
      <c r="AI2">
        <f>BDH("WWR US Equity","IS_DEPR_EXP","1993-06-18","2026-05-02","Per=Y","Days=T","Dir=V")</f>
        <v>0</v>
      </c>
      <c r="AK2">
        <f>BDH("WWR US Equity","CF_CASH_FROM_OPER","1993-06-18","2026-05-02","Per=Y","Days=T","Dir=V")</f>
        <v>0</v>
      </c>
      <c r="AM2">
        <f>BDH("WWR US Equity","CAPITAL_EXPEND","1993-06-18","2026-05-02","Per=Y","Days=T","Dir=V")</f>
        <v>0</v>
      </c>
      <c r="AO2">
        <f>BDH("WWR US Equity","CF_FREE_CASH_FLOW","1993-06-18","2026-05-02","Per=Y","Days=T","Dir=V")</f>
        <v>0</v>
      </c>
      <c r="AQ2">
        <f>BDH("WWR US Equity","PX_LAST","1993-06-18","2026-05-02","Per=M","Days=T","Dir=V")</f>
        <v>0</v>
      </c>
      <c r="AS2">
        <f>BDH("WWR US Equity","CUR_MKT_CAP","1993-06-18","2026-05-02","Per=M","Days=T","Dir=V")</f>
        <v>0</v>
      </c>
      <c r="AU2">
        <f>BDH("WWR US Equity","EQY_SH_OUT","1993-06-18","2026-05-02","Per=M","Days=T","Dir=V")</f>
        <v>0</v>
      </c>
      <c r="AW2">
        <f>BDH("WWR US Equity","PX_VOLUME","1993-06-18","2026-05-02","Per=M","Days=T","Dir=V")</f>
        <v>0</v>
      </c>
      <c r="AY2">
        <f>BDH("WWR US Equity","TURNOVER","1993-06-18","2026-05-02","Per=M","Days=T","Dir=V")</f>
        <v>0</v>
      </c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BDH("WWW US Equity","BS_TOT_ASSET","1993-06-18","2026-05-02","Per=Y","Days=T","Dir=V")</f>
        <v>0</v>
      </c>
      <c r="C2">
        <f>BDH("WWW US Equity","BS_TOT_LIAB2","1993-06-18","2026-05-02","Per=Y","Days=T","Dir=V")</f>
        <v>0</v>
      </c>
      <c r="E2">
        <f>BDH("WWW US Equity","SHORT_AND_LONG_TERM_DEBT","1993-06-18","2026-05-02","Per=Y","Days=T","Dir=V")</f>
        <v>0</v>
      </c>
      <c r="G2">
        <f>BDH("WWW US Equity","BS_ST_BORROW","1993-06-18","2026-05-02","Per=Y","Days=T","Dir=V")</f>
        <v>0</v>
      </c>
      <c r="I2">
        <f>BDH("WWW US Equity","BS_LT_BORROW","1993-06-18","2026-05-02","Per=Y","Days=T","Dir=V")</f>
        <v>0</v>
      </c>
      <c r="K2">
        <f>BDH("WWW US Equity","BS_CASH_NEAR_CASH_ITEM","1993-06-18","2026-05-02","Per=Y","Days=T","Dir=V")</f>
        <v>0</v>
      </c>
      <c r="M2">
        <f>BDH("WWW US Equity","BS_CUR_ASSET_REPORT","1993-06-18","2026-05-02","Per=Y","Days=T","Dir=V")</f>
        <v>0</v>
      </c>
      <c r="O2">
        <f>BDH("WWW US Equity","BS_CUR_LIAB","1993-06-18","2026-05-02","Per=Y","Days=T","Dir=V")</f>
        <v>0</v>
      </c>
      <c r="Q2">
        <f>BDH("WWW US Equity","BS_SHAREHOLDER_EQY_ENDING_PERIOD","1993-06-18","2026-05-02","Per=Y","Days=T","Dir=V")</f>
        <v>0</v>
      </c>
      <c r="S2">
        <f>BDH("WWW US Equity","BS_ACCT_NOTE_RCV","1993-06-18","2026-05-02","Per=Y","Days=T","Dir=V")</f>
        <v>0</v>
      </c>
      <c r="U2">
        <f>BDH("WWW US Equity","BS_INVENTORIES","1993-06-18","2026-05-02","Per=Y","Days=T","Dir=V")</f>
        <v>0</v>
      </c>
      <c r="W2">
        <f>BDH("WWW US Equity","WORKING_CAPITAL","1993-06-18","2026-05-02","Per=Y","Days=T","Dir=V")</f>
        <v>0</v>
      </c>
      <c r="Y2">
        <f>BDH("WWW US Equity","SALES_REV_TURN","1993-06-18","2026-05-02","Per=Y","Days=T","Dir=V")</f>
        <v>0</v>
      </c>
      <c r="AA2">
        <f>BDH("WWW US Equity","EBIT","1993-06-18","2026-05-02","Per=Y","Days=T","Dir=V")</f>
        <v>0</v>
      </c>
      <c r="AC2">
        <f>BDH("WWW US Equity","EBITDA","1993-06-18","2026-05-02","Per=Y","Days=T","Dir=V")</f>
        <v>0</v>
      </c>
      <c r="AE2">
        <f>BDH("WWW US Equity","NET_INCOME","1993-06-18","2026-05-02","Per=Y","Days=T","Dir=V")</f>
        <v>0</v>
      </c>
      <c r="AG2">
        <f>BDH("WWW US Equity","IS_INT_EXPENSE","1993-06-18","2026-05-02","Per=Y","Days=T","Dir=V")</f>
        <v>0</v>
      </c>
      <c r="AI2">
        <f>BDH("WWW US Equity","IS_DEPR_EXP","1993-06-18","2026-05-02","Per=Y","Days=T","Dir=V")</f>
        <v>0</v>
      </c>
      <c r="AK2">
        <f>BDH("WWW US Equity","CF_CASH_FROM_OPER","1993-06-18","2026-05-02","Per=Y","Days=T","Dir=V")</f>
        <v>0</v>
      </c>
      <c r="AM2">
        <f>BDH("WWW US Equity","CAPITAL_EXPEND","1993-06-18","2026-05-02","Per=Y","Days=T","Dir=V")</f>
        <v>0</v>
      </c>
      <c r="AO2">
        <f>BDH("WWW US Equity","CF_FREE_CASH_FLOW","1993-06-18","2026-05-02","Per=Y","Days=T","Dir=V")</f>
        <v>0</v>
      </c>
      <c r="AQ2">
        <f>BDH("WWW US Equity","PX_LAST","1993-06-18","2026-05-02","Per=M","Days=T","Dir=V")</f>
        <v>0</v>
      </c>
      <c r="AS2">
        <f>BDH("WWW US Equity","CUR_MKT_CAP","1993-06-18","2026-05-02","Per=M","Days=T","Dir=V")</f>
        <v>0</v>
      </c>
      <c r="AU2">
        <f>BDH("WWW US Equity","EQY_SH_OUT","1993-06-18","2026-05-02","Per=M","Days=T","Dir=V")</f>
        <v>0</v>
      </c>
      <c r="AW2">
        <f>BDH("WWW US Equity","PX_VOLUME","1993-06-18","2026-05-02","Per=M","Days=T","Dir=V")</f>
        <v>0</v>
      </c>
      <c r="AY2">
        <f>BDH("WWW US Equity","TURNOVER","1993-06-18","2026-05-02","Per=M","Days=T","Dir=V")</f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BDH("WYNN US Equity","BS_TOT_ASSET","1993-06-18","2026-05-02","Per=Y","Days=T","Dir=V")</f>
        <v>0</v>
      </c>
      <c r="C2">
        <f>BDH("WYNN US Equity","BS_TOT_LIAB2","1993-06-18","2026-05-02","Per=Y","Days=T","Dir=V")</f>
        <v>0</v>
      </c>
      <c r="E2">
        <f>BDH("WYNN US Equity","SHORT_AND_LONG_TERM_DEBT","1993-06-18","2026-05-02","Per=Y","Days=T","Dir=V")</f>
        <v>0</v>
      </c>
      <c r="G2">
        <f>BDH("WYNN US Equity","BS_ST_BORROW","1993-06-18","2026-05-02","Per=Y","Days=T","Dir=V")</f>
        <v>0</v>
      </c>
      <c r="I2">
        <f>BDH("WYNN US Equity","BS_LT_BORROW","1993-06-18","2026-05-02","Per=Y","Days=T","Dir=V")</f>
        <v>0</v>
      </c>
      <c r="K2">
        <f>BDH("WYNN US Equity","BS_CASH_NEAR_CASH_ITEM","1993-06-18","2026-05-02","Per=Y","Days=T","Dir=V")</f>
        <v>0</v>
      </c>
      <c r="M2">
        <f>BDH("WYNN US Equity","BS_CUR_ASSET_REPORT","1993-06-18","2026-05-02","Per=Y","Days=T","Dir=V")</f>
        <v>0</v>
      </c>
      <c r="O2">
        <f>BDH("WYNN US Equity","BS_CUR_LIAB","1993-06-18","2026-05-02","Per=Y","Days=T","Dir=V")</f>
        <v>0</v>
      </c>
      <c r="Q2">
        <f>BDH("WYNN US Equity","BS_SHAREHOLDER_EQY_ENDING_PERIOD","1993-06-18","2026-05-02","Per=Y","Days=T","Dir=V")</f>
        <v>0</v>
      </c>
      <c r="S2">
        <f>BDH("WYNN US Equity","BS_ACCT_NOTE_RCV","1993-06-18","2026-05-02","Per=Y","Days=T","Dir=V")</f>
        <v>0</v>
      </c>
      <c r="U2">
        <f>BDH("WYNN US Equity","BS_INVENTORIES","1993-06-18","2026-05-02","Per=Y","Days=T","Dir=V")</f>
        <v>0</v>
      </c>
      <c r="W2">
        <f>BDH("WYNN US Equity","WORKING_CAPITAL","1993-06-18","2026-05-02","Per=Y","Days=T","Dir=V")</f>
        <v>0</v>
      </c>
      <c r="Y2">
        <f>BDH("WYNN US Equity","SALES_REV_TURN","1993-06-18","2026-05-02","Per=Y","Days=T","Dir=V")</f>
        <v>0</v>
      </c>
      <c r="AA2">
        <f>BDH("WYNN US Equity","EBIT","1993-06-18","2026-05-02","Per=Y","Days=T","Dir=V")</f>
        <v>0</v>
      </c>
      <c r="AC2">
        <f>BDH("WYNN US Equity","EBITDA","1993-06-18","2026-05-02","Per=Y","Days=T","Dir=V")</f>
        <v>0</v>
      </c>
      <c r="AE2">
        <f>BDH("WYNN US Equity","NET_INCOME","1993-06-18","2026-05-02","Per=Y","Days=T","Dir=V")</f>
        <v>0</v>
      </c>
      <c r="AG2">
        <f>BDH("WYNN US Equity","IS_INT_EXPENSE","1993-06-18","2026-05-02","Per=Y","Days=T","Dir=V")</f>
        <v>0</v>
      </c>
      <c r="AI2">
        <f>BDH("WYNN US Equity","IS_DEPR_EXP","1993-06-18","2026-05-02","Per=Y","Days=T","Dir=V")</f>
        <v>0</v>
      </c>
      <c r="AK2">
        <f>BDH("WYNN US Equity","CF_CASH_FROM_OPER","1993-06-18","2026-05-02","Per=Y","Days=T","Dir=V")</f>
        <v>0</v>
      </c>
      <c r="AM2">
        <f>BDH("WYNN US Equity","CAPITAL_EXPEND","1993-06-18","2026-05-02","Per=Y","Days=T","Dir=V")</f>
        <v>0</v>
      </c>
      <c r="AO2">
        <f>BDH("WYNN US Equity","CF_FREE_CASH_FLOW","1993-06-18","2026-05-02","Per=Y","Days=T","Dir=V")</f>
        <v>0</v>
      </c>
      <c r="AQ2">
        <f>BDH("WYNN US Equity","PX_LAST","1993-06-18","2026-05-02","Per=M","Days=T","Dir=V")</f>
        <v>0</v>
      </c>
      <c r="AS2">
        <f>BDH("WYNN US Equity","CUR_MKT_CAP","1993-06-18","2026-05-02","Per=M","Days=T","Dir=V")</f>
        <v>0</v>
      </c>
      <c r="AU2">
        <f>BDH("WYNN US Equity","EQY_SH_OUT","1993-06-18","2026-05-02","Per=M","Days=T","Dir=V")</f>
        <v>0</v>
      </c>
      <c r="AW2">
        <f>BDH("WYNN US Equity","PX_VOLUME","1993-06-18","2026-05-02","Per=M","Days=T","Dir=V")</f>
        <v>0</v>
      </c>
      <c r="AY2">
        <f>BDH("WYNN US Equity","TURNOVER","1993-06-18","2026-05-02","Per=M","Days=T","Dir=V")</f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BDH("WYY US Equity","BS_TOT_ASSET","1993-06-18","2026-05-02","Per=Y","Days=T","Dir=V")</f>
        <v>0</v>
      </c>
      <c r="C2">
        <f>BDH("WYY US Equity","BS_TOT_LIAB2","1993-06-18","2026-05-02","Per=Y","Days=T","Dir=V")</f>
        <v>0</v>
      </c>
      <c r="E2">
        <f>BDH("WYY US Equity","SHORT_AND_LONG_TERM_DEBT","1993-06-18","2026-05-02","Per=Y","Days=T","Dir=V")</f>
        <v>0</v>
      </c>
      <c r="G2">
        <f>BDH("WYY US Equity","BS_ST_BORROW","1993-06-18","2026-05-02","Per=Y","Days=T","Dir=V")</f>
        <v>0</v>
      </c>
      <c r="I2">
        <f>BDH("WYY US Equity","BS_LT_BORROW","1993-06-18","2026-05-02","Per=Y","Days=T","Dir=V")</f>
        <v>0</v>
      </c>
      <c r="K2">
        <f>BDH("WYY US Equity","BS_CASH_NEAR_CASH_ITEM","1993-06-18","2026-05-02","Per=Y","Days=T","Dir=V")</f>
        <v>0</v>
      </c>
      <c r="M2">
        <f>BDH("WYY US Equity","BS_CUR_ASSET_REPORT","1993-06-18","2026-05-02","Per=Y","Days=T","Dir=V")</f>
        <v>0</v>
      </c>
      <c r="O2">
        <f>BDH("WYY US Equity","BS_CUR_LIAB","1993-06-18","2026-05-02","Per=Y","Days=T","Dir=V")</f>
        <v>0</v>
      </c>
      <c r="Q2">
        <f>BDH("WYY US Equity","BS_SHAREHOLDER_EQY_ENDING_PERIOD","1993-06-18","2026-05-02","Per=Y","Days=T","Dir=V")</f>
        <v>0</v>
      </c>
      <c r="S2">
        <f>BDH("WYY US Equity","BS_ACCT_NOTE_RCV","1993-06-18","2026-05-02","Per=Y","Days=T","Dir=V")</f>
        <v>0</v>
      </c>
      <c r="U2">
        <f>BDH("WYY US Equity","BS_INVENTORIES","1993-06-18","2026-05-02","Per=Y","Days=T","Dir=V")</f>
        <v>0</v>
      </c>
      <c r="W2">
        <f>BDH("WYY US Equity","WORKING_CAPITAL","1993-06-18","2026-05-02","Per=Y","Days=T","Dir=V")</f>
        <v>0</v>
      </c>
      <c r="Y2">
        <f>BDH("WYY US Equity","SALES_REV_TURN","1993-06-18","2026-05-02","Per=Y","Days=T","Dir=V")</f>
        <v>0</v>
      </c>
      <c r="AA2">
        <f>BDH("WYY US Equity","EBIT","1993-06-18","2026-05-02","Per=Y","Days=T","Dir=V")</f>
        <v>0</v>
      </c>
      <c r="AC2">
        <f>BDH("WYY US Equity","EBITDA","1993-06-18","2026-05-02","Per=Y","Days=T","Dir=V")</f>
        <v>0</v>
      </c>
      <c r="AE2">
        <f>BDH("WYY US Equity","NET_INCOME","1993-06-18","2026-05-02","Per=Y","Days=T","Dir=V")</f>
        <v>0</v>
      </c>
      <c r="AG2">
        <f>BDH("WYY US Equity","IS_INT_EXPENSE","1993-06-18","2026-05-02","Per=Y","Days=T","Dir=V")</f>
        <v>0</v>
      </c>
      <c r="AI2">
        <f>BDH("WYY US Equity","IS_DEPR_EXP","1993-06-18","2026-05-02","Per=Y","Days=T","Dir=V")</f>
        <v>0</v>
      </c>
      <c r="AK2">
        <f>BDH("WYY US Equity","CF_CASH_FROM_OPER","1993-06-18","2026-05-02","Per=Y","Days=T","Dir=V")</f>
        <v>0</v>
      </c>
      <c r="AM2">
        <f>BDH("WYY US Equity","CAPITAL_EXPEND","1993-06-18","2026-05-02","Per=Y","Days=T","Dir=V")</f>
        <v>0</v>
      </c>
      <c r="AO2">
        <f>BDH("WYY US Equity","CF_FREE_CASH_FLOW","1993-06-18","2026-05-02","Per=Y","Days=T","Dir=V")</f>
        <v>0</v>
      </c>
      <c r="AQ2">
        <f>BDH("WYY US Equity","PX_LAST","1993-06-18","2026-05-02","Per=M","Days=T","Dir=V")</f>
        <v>0</v>
      </c>
      <c r="AS2">
        <f>BDH("WYY US Equity","CUR_MKT_CAP","1993-06-18","2026-05-02","Per=M","Days=T","Dir=V")</f>
        <v>0</v>
      </c>
      <c r="AU2">
        <f>BDH("WYY US Equity","EQY_SH_OUT","1993-06-18","2026-05-02","Per=M","Days=T","Dir=V")</f>
        <v>0</v>
      </c>
      <c r="AW2">
        <f>BDH("WYY US Equity","PX_VOLUME","1993-06-18","2026-05-02","Per=M","Days=T","Dir=V")</f>
        <v>0</v>
      </c>
      <c r="AY2">
        <f>BDH("WYY US Equity","TURNOVER","1993-06-18","2026-05-02","Per=M","Days=T","Dir=V")</f>
        <v>0</v>
      </c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:AZ2"/>
  <sheetViews>
    <sheetView workbookViewId="0"/>
  </sheetViews>
  <sheetFormatPr defaultRowHeight="15"/>
  <cols>
    <col min="1" max="52" width="16.7109375" customWidth="1"/>
  </cols>
  <sheetData>
    <row r="1" spans="1:52">
      <c r="A1" t="s">
        <v>1113</v>
      </c>
      <c r="B1" t="s">
        <v>1114</v>
      </c>
      <c r="C1" t="s">
        <v>1115</v>
      </c>
      <c r="D1" t="s">
        <v>1116</v>
      </c>
      <c r="E1" t="s">
        <v>1117</v>
      </c>
      <c r="F1" t="s">
        <v>1118</v>
      </c>
      <c r="G1" t="s">
        <v>1119</v>
      </c>
      <c r="H1" t="s">
        <v>1120</v>
      </c>
      <c r="I1" t="s">
        <v>1121</v>
      </c>
      <c r="J1" t="s">
        <v>1122</v>
      </c>
      <c r="K1" t="s">
        <v>1123</v>
      </c>
      <c r="L1" t="s">
        <v>1124</v>
      </c>
      <c r="M1" t="s">
        <v>1125</v>
      </c>
      <c r="N1" t="s">
        <v>1126</v>
      </c>
      <c r="O1" t="s">
        <v>1127</v>
      </c>
      <c r="P1" t="s">
        <v>1128</v>
      </c>
      <c r="Q1" t="s">
        <v>1129</v>
      </c>
      <c r="R1" t="s">
        <v>1130</v>
      </c>
      <c r="S1" t="s">
        <v>1131</v>
      </c>
      <c r="T1" t="s">
        <v>1132</v>
      </c>
      <c r="U1" t="s">
        <v>1133</v>
      </c>
      <c r="V1" t="s">
        <v>1134</v>
      </c>
      <c r="W1" t="s">
        <v>1135</v>
      </c>
      <c r="X1" t="s">
        <v>1136</v>
      </c>
      <c r="Y1" t="s">
        <v>1137</v>
      </c>
      <c r="Z1" t="s">
        <v>1138</v>
      </c>
      <c r="AA1" t="s">
        <v>1139</v>
      </c>
      <c r="AB1" t="s">
        <v>1140</v>
      </c>
      <c r="AC1" t="s">
        <v>1141</v>
      </c>
      <c r="AD1" t="s">
        <v>1142</v>
      </c>
      <c r="AE1" t="s">
        <v>1143</v>
      </c>
      <c r="AF1" t="s">
        <v>1144</v>
      </c>
      <c r="AG1" t="s">
        <v>1145</v>
      </c>
      <c r="AH1" t="s">
        <v>1146</v>
      </c>
      <c r="AI1" t="s">
        <v>1147</v>
      </c>
      <c r="AJ1" t="s">
        <v>1148</v>
      </c>
      <c r="AK1" t="s">
        <v>1149</v>
      </c>
      <c r="AL1" t="s">
        <v>1150</v>
      </c>
      <c r="AM1" t="s">
        <v>1151</v>
      </c>
      <c r="AN1" t="s">
        <v>1152</v>
      </c>
      <c r="AO1" t="s">
        <v>1153</v>
      </c>
      <c r="AP1" t="s">
        <v>1154</v>
      </c>
      <c r="AQ1" t="s">
        <v>1155</v>
      </c>
      <c r="AR1" t="s">
        <v>1156</v>
      </c>
      <c r="AS1" t="s">
        <v>1157</v>
      </c>
      <c r="AT1" t="s">
        <v>1158</v>
      </c>
      <c r="AU1" t="s">
        <v>1159</v>
      </c>
      <c r="AV1" t="s">
        <v>1160</v>
      </c>
      <c r="AW1" t="s">
        <v>1161</v>
      </c>
      <c r="AX1" t="s">
        <v>1162</v>
      </c>
      <c r="AY1" t="s">
        <v>1163</v>
      </c>
      <c r="AZ1" t="s">
        <v>1164</v>
      </c>
    </row>
    <row r="2" spans="1:52">
      <c r="A2">
        <f>BDH("XAIR US Equity","BS_TOT_ASSET","1993-06-18","2026-05-02","Per=Y","Days=T","Dir=V")</f>
        <v>0</v>
      </c>
      <c r="C2">
        <f>BDH("XAIR US Equity","BS_TOT_LIAB2","1993-06-18","2026-05-02","Per=Y","Days=T","Dir=V")</f>
        <v>0</v>
      </c>
      <c r="E2">
        <f>BDH("XAIR US Equity","SHORT_AND_LONG_TERM_DEBT","1993-06-18","2026-05-02","Per=Y","Days=T","Dir=V")</f>
        <v>0</v>
      </c>
      <c r="G2">
        <f>BDH("XAIR US Equity","BS_ST_BORROW","1993-06-18","2026-05-02","Per=Y","Days=T","Dir=V")</f>
        <v>0</v>
      </c>
      <c r="I2">
        <f>BDH("XAIR US Equity","BS_LT_BORROW","1993-06-18","2026-05-02","Per=Y","Days=T","Dir=V")</f>
        <v>0</v>
      </c>
      <c r="K2">
        <f>BDH("XAIR US Equity","BS_CASH_NEAR_CASH_ITEM","1993-06-18","2026-05-02","Per=Y","Days=T","Dir=V")</f>
        <v>0</v>
      </c>
      <c r="M2">
        <f>BDH("XAIR US Equity","BS_CUR_ASSET_REPORT","1993-06-18","2026-05-02","Per=Y","Days=T","Dir=V")</f>
        <v>0</v>
      </c>
      <c r="O2">
        <f>BDH("XAIR US Equity","BS_CUR_LIAB","1993-06-18","2026-05-02","Per=Y","Days=T","Dir=V")</f>
        <v>0</v>
      </c>
      <c r="Q2">
        <f>BDH("XAIR US Equity","BS_SHAREHOLDER_EQY_ENDING_PERIOD","1993-06-18","2026-05-02","Per=Y","Days=T","Dir=V")</f>
        <v>0</v>
      </c>
      <c r="S2">
        <f>BDH("XAIR US Equity","BS_ACCT_NOTE_RCV","1993-06-18","2026-05-02","Per=Y","Days=T","Dir=V")</f>
        <v>0</v>
      </c>
      <c r="U2">
        <f>BDH("XAIR US Equity","BS_INVENTORIES","1993-06-18","2026-05-02","Per=Y","Days=T","Dir=V")</f>
        <v>0</v>
      </c>
      <c r="W2">
        <f>BDH("XAIR US Equity","WORKING_CAPITAL","1993-06-18","2026-05-02","Per=Y","Days=T","Dir=V")</f>
        <v>0</v>
      </c>
      <c r="Y2">
        <f>BDH("XAIR US Equity","SALES_REV_TURN","1993-06-18","2026-05-02","Per=Y","Days=T","Dir=V")</f>
        <v>0</v>
      </c>
      <c r="AA2">
        <f>BDH("XAIR US Equity","EBIT","1993-06-18","2026-05-02","Per=Y","Days=T","Dir=V")</f>
        <v>0</v>
      </c>
      <c r="AC2">
        <f>BDH("XAIR US Equity","EBITDA","1993-06-18","2026-05-02","Per=Y","Days=T","Dir=V")</f>
        <v>0</v>
      </c>
      <c r="AE2">
        <f>BDH("XAIR US Equity","NET_INCOME","1993-06-18","2026-05-02","Per=Y","Days=T","Dir=V")</f>
        <v>0</v>
      </c>
      <c r="AG2">
        <f>BDH("XAIR US Equity","IS_INT_EXPENSE","1993-06-18","2026-05-02","Per=Y","Days=T","Dir=V")</f>
        <v>0</v>
      </c>
      <c r="AI2">
        <f>BDH("XAIR US Equity","IS_DEPR_EXP","1993-06-18","2026-05-02","Per=Y","Days=T","Dir=V")</f>
        <v>0</v>
      </c>
      <c r="AK2">
        <f>BDH("XAIR US Equity","CF_CASH_FROM_OPER","1993-06-18","2026-05-02","Per=Y","Days=T","Dir=V")</f>
        <v>0</v>
      </c>
      <c r="AM2">
        <f>BDH("XAIR US Equity","CAPITAL_EXPEND","1993-06-18","2026-05-02","Per=Y","Days=T","Dir=V")</f>
        <v>0</v>
      </c>
      <c r="AO2">
        <f>BDH("XAIR US Equity","CF_FREE_CASH_FLOW","1993-06-18","2026-05-02","Per=Y","Days=T","Dir=V")</f>
        <v>0</v>
      </c>
      <c r="AQ2">
        <f>BDH("XAIR US Equity","PX_LAST","1993-06-18","2026-05-02","Per=M","Days=T","Dir=V")</f>
        <v>0</v>
      </c>
      <c r="AS2">
        <f>BDH("XAIR US Equity","CUR_MKT_CAP","1993-06-18","2026-05-02","Per=M","Days=T","Dir=V")</f>
        <v>0</v>
      </c>
      <c r="AU2">
        <f>BDH("XAIR US Equity","EQY_SH_OUT","1993-06-18","2026-05-02","Per=M","Days=T","Dir=V")</f>
        <v>0</v>
      </c>
      <c r="AW2">
        <f>BDH("XAIR US Equity","PX_VOLUME","1993-06-18","2026-05-02","Per=M","Days=T","Dir=V")</f>
        <v>0</v>
      </c>
      <c r="AY2">
        <f>BDH("XAIR US Equity","TURNOVER","1993-06-18","2026-05-02","Per=M","Days=T","Dir=V")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251</vt:i4>
      </vt:variant>
    </vt:vector>
  </HeadingPairs>
  <TitlesOfParts>
    <vt:vector size="251" baseType="lpstr">
      <vt:lpstr>Security_List</vt:lpstr>
      <vt:lpstr>NB_2731_TSS Inc. Common Stock</vt:lpstr>
      <vt:lpstr>NB_2732_Titan America SA Common</vt:lpstr>
      <vt:lpstr>NB_2733_ServiceTitan Inc. Class</vt:lpstr>
      <vt:lpstr>NB_2734_Toro Company (The) Comm</vt:lpstr>
      <vt:lpstr>NB_2735_The Trade Desk Inc. Cla</vt:lpstr>
      <vt:lpstr>NB_2736_TTEC Holdings Inc. Comm</vt:lpstr>
      <vt:lpstr>NB_2737_Tetra Tech Inc. Common </vt:lpstr>
      <vt:lpstr>NB_2738_TechTarget Inc. Common </vt:lpstr>
      <vt:lpstr>NB_2739_Tetra Technologies Inc.</vt:lpstr>
      <vt:lpstr>NB_2740_TTM Technologies Inc. C</vt:lpstr>
      <vt:lpstr>NB_2741_Turn Therapeutics Inc. </vt:lpstr>
      <vt:lpstr>NB_2742_Take-Two Interactive So</vt:lpstr>
      <vt:lpstr>NB_2743_Bloomia Holdings Inc. C</vt:lpstr>
      <vt:lpstr>NB_2744_Mammoth Energy Services</vt:lpstr>
      <vt:lpstr>NB_2745_Tennessee Valley Author</vt:lpstr>
      <vt:lpstr>NB_2746_Tennessee Valley Author</vt:lpstr>
      <vt:lpstr>NB_2747_Tevogen Inc. Common Sto</vt:lpstr>
      <vt:lpstr>NB_2748_Tevogen Inc. Warrant</vt:lpstr>
      <vt:lpstr>NB_2749_Tvardi Therapeutics Inc</vt:lpstr>
      <vt:lpstr>NB_2750_Travere Therapeutics In</vt:lpstr>
      <vt:lpstr>NB_2751_TaoWeave Inc. Common St</vt:lpstr>
      <vt:lpstr>NB_2752_Titan International Inc</vt:lpstr>
      <vt:lpstr>NB_2753_Twin Disc Incorporated </vt:lpstr>
      <vt:lpstr>NB_2754_Twilio Inc. Class A Com</vt:lpstr>
      <vt:lpstr>NB_2755_Twist Bioscience Corpor</vt:lpstr>
      <vt:lpstr>NB_2756_10x Genomics Inc. Class</vt:lpstr>
      <vt:lpstr>NB_2757_TherapeuticsMD Inc. Com</vt:lpstr>
      <vt:lpstr>NB_2758_Texas Instruments Incor</vt:lpstr>
      <vt:lpstr>NB_2759_TXNM Energy Inc. Common</vt:lpstr>
      <vt:lpstr>NB_2760_TXO Partners L.P. Commo</vt:lpstr>
      <vt:lpstr>NB_2761_Texas Roadhouse Inc. Co</vt:lpstr>
      <vt:lpstr>NB_2762_Textron Inc. Common Sto</vt:lpstr>
      <vt:lpstr>NB_2763_Tigo Energy Inc. Common</vt:lpstr>
      <vt:lpstr>NB_2764_Tyler Technologies Inc.</vt:lpstr>
      <vt:lpstr>NB_2765_Tyra Biosciences Inc. C</vt:lpstr>
      <vt:lpstr>NB_2766_Travelzoo Common Stock</vt:lpstr>
      <vt:lpstr>NB_2767_Unity Software Inc. Com</vt:lpstr>
      <vt:lpstr>NB_2768_Under Armour Inc. Class</vt:lpstr>
      <vt:lpstr>NB_2769_Under Armour Inc. Class</vt:lpstr>
      <vt:lpstr>NB_2770_United Airlines Holding</vt:lpstr>
      <vt:lpstr>NB_2771_United States Antimony </vt:lpstr>
      <vt:lpstr>NB_2772_CVR Partners LP Common </vt:lpstr>
      <vt:lpstr>NB_2773_AgEagle Aerial Systems </vt:lpstr>
      <vt:lpstr>NB_2774_Uber Technologies Inc. </vt:lpstr>
      <vt:lpstr>NB_2775_Ultra Clean Holdings In</vt:lpstr>
      <vt:lpstr>NB_2776_Universal Electronics I</vt:lpstr>
      <vt:lpstr>NB_2777_Unifi Inc. New Common S</vt:lpstr>
      <vt:lpstr>NB_2778_UFP Industries Inc. Com</vt:lpstr>
      <vt:lpstr>NB_2779_UFP Technologies Inc. C</vt:lpstr>
      <vt:lpstr>NB_2780_United-Guardian Inc. Co</vt:lpstr>
      <vt:lpstr>NB_2781_UGI Corporation Common </vt:lpstr>
      <vt:lpstr>NB_2782_U-Haul Holding Company </vt:lpstr>
      <vt:lpstr>NB_2783_Universal Health Servic</vt:lpstr>
      <vt:lpstr>NB_2784_Ubiquiti Inc. Common St</vt:lpstr>
      <vt:lpstr>NB_2785_Unisys Corporation New </vt:lpstr>
      <vt:lpstr>NB_2786_Ucommune International </vt:lpstr>
      <vt:lpstr>NB_2787_Frontier Group Holdings</vt:lpstr>
      <vt:lpstr>NB_2788_Universal Logistics Hol</vt:lpstr>
      <vt:lpstr>NB_2789_UL Solutions Inc. Class</vt:lpstr>
      <vt:lpstr>NB_2790_Ulta Beauty Inc. Common</vt:lpstr>
      <vt:lpstr>NB_2791_Unusual Machines Inc. C</vt:lpstr>
      <vt:lpstr>NB_2792_Unicycive Therapeutics </vt:lpstr>
      <vt:lpstr>NB_2793_Unifirst Corporation Co</vt:lpstr>
      <vt:lpstr>NB_2794_United Natural Foods In</vt:lpstr>
      <vt:lpstr>NB_2795_UnitedHealth Group Inco</vt:lpstr>
      <vt:lpstr>NB_2796_Union Pacific Corporati</vt:lpstr>
      <vt:lpstr>NB_2797_Urban One Inc. Class A </vt:lpstr>
      <vt:lpstr>NB_2798_Urban One Inc. Class D </vt:lpstr>
      <vt:lpstr>NB_2799_Upstream Bio Inc. Commo</vt:lpstr>
      <vt:lpstr>NB_2800_Upbound Group Inc. Comm</vt:lpstr>
      <vt:lpstr>NB_2801_Upland Software Inc. Co</vt:lpstr>
      <vt:lpstr>NB_2802_United Parcel Service I</vt:lpstr>
      <vt:lpstr>NB_2803_Upwork Inc. Common Stoc</vt:lpstr>
      <vt:lpstr>NB_2804_Urban Outfitters Inc. C</vt:lpstr>
      <vt:lpstr>NB_2805_United Rentals Inc. Com</vt:lpstr>
      <vt:lpstr>NB_2806_USA Compression Partner</vt:lpstr>
      <vt:lpstr>NB_2807_USA Rare Earth Inc. Cla</vt:lpstr>
      <vt:lpstr>NB_2808_U.S. Gold Corp. Common </vt:lpstr>
      <vt:lpstr>NB_2809_US Foods Holding Corp. </vt:lpstr>
      <vt:lpstr>NB_2810_U.S. GoldMining Inc. Co</vt:lpstr>
      <vt:lpstr>NB_2811_United States Lime &amp; Mi</vt:lpstr>
      <vt:lpstr>NB_2812_USANA Health Sciences I</vt:lpstr>
      <vt:lpstr>NB_2813_U.S. Physical Therapy I</vt:lpstr>
      <vt:lpstr>NB_2814_United Therapeutics Cor</vt:lpstr>
      <vt:lpstr>NB_2815_UNITIL Corporation Comm</vt:lpstr>
      <vt:lpstr>NB_2816_Utah Medical Products I</vt:lpstr>
      <vt:lpstr>NB_2817_Utz Brands Inc Class A </vt:lpstr>
      <vt:lpstr>NB_2818_Universal Safety Produc</vt:lpstr>
      <vt:lpstr>NB_2819_Universal Corporation C</vt:lpstr>
      <vt:lpstr>NB_2820_Array Digital Infrastru</vt:lpstr>
      <vt:lpstr>NB_2821_Array Digital Infrastru</vt:lpstr>
      <vt:lpstr>NB_2822_Array Digital Infrastru</vt:lpstr>
      <vt:lpstr>NB_2823_Visa Inc.</vt:lpstr>
      <vt:lpstr>NB_2824_Valaris Limited Common </vt:lpstr>
      <vt:lpstr>NB_2825_Vivani Medical Inc. Com</vt:lpstr>
      <vt:lpstr>NB_2826_INNOVATE Corp. Common S</vt:lpstr>
      <vt:lpstr>NB_2827_Valion Bio Inc. Common </vt:lpstr>
      <vt:lpstr>NB_2828_Visteon Corporation Com</vt:lpstr>
      <vt:lpstr>NB_2829_Vericel Corporation Com</vt:lpstr>
      <vt:lpstr>NB_2830_Veracyte Inc. Common St</vt:lpstr>
      <vt:lpstr>NB_2831_Veeco Instruments Inc. </vt:lpstr>
      <vt:lpstr>NB_2832_Veea Inc. Common Stock</vt:lpstr>
      <vt:lpstr>NB_2833_Veea Inc. Warrant</vt:lpstr>
      <vt:lpstr>NB_2834_Twin Vee PowerCats Co. </vt:lpstr>
      <vt:lpstr>NB_2835_Veeva Systems Inc. Clas</vt:lpstr>
      <vt:lpstr>NB_2836_Velo3D Inc. Common stoc</vt:lpstr>
      <vt:lpstr>NB_2837_Venu Holding Corporatio</vt:lpstr>
      <vt:lpstr>NB_2838_Vera Therapeutics Inc. </vt:lpstr>
      <vt:lpstr>NB_2839_Veritone Inc. Common St</vt:lpstr>
      <vt:lpstr>NB_2840_Veru Inc. Common Stock</vt:lpstr>
      <vt:lpstr>NB_2841_Vertex Inc. Class A Com</vt:lpstr>
      <vt:lpstr>NB_2842_V.F. Corporation Common</vt:lpstr>
      <vt:lpstr>NB_2843_Venture Global Inc. Cla</vt:lpstr>
      <vt:lpstr>NB_2844_Verde Clean Fuels Inc. </vt:lpstr>
      <vt:lpstr>NB_2845_Verde Clean Fuels Inc. </vt:lpstr>
      <vt:lpstr>NB_2846_Vista Gold Corp Common </vt:lpstr>
      <vt:lpstr>NB_2847_Valhi Inc. Common Stock</vt:lpstr>
      <vt:lpstr>NB_2848_VenHub Global Inc. Comm</vt:lpstr>
      <vt:lpstr>NB_2849_Via Transportation Inc.</vt:lpstr>
      <vt:lpstr>NB_2850_Viavi Solutions Inc. Co</vt:lpstr>
      <vt:lpstr>NB_2851_Vicor Corporation Commo</vt:lpstr>
      <vt:lpstr>NB_2852_Viking Holdings Ltd Ord</vt:lpstr>
      <vt:lpstr>NB_2853_Vir Biotechnology Inc. </vt:lpstr>
      <vt:lpstr>NB_2854_Virco Manufacturing Cor</vt:lpstr>
      <vt:lpstr>NB_2855_Vistance Networks Inc. </vt:lpstr>
      <vt:lpstr>NB_2856_Vital Farms Inc. Common</vt:lpstr>
      <vt:lpstr>NB_2857_Vivakor Inc. Common Sto</vt:lpstr>
      <vt:lpstr>NB_2858_VivoSim Labs Inc. Commo</vt:lpstr>
      <vt:lpstr>NB_2859_Viking Therapeutics Inc</vt:lpstr>
      <vt:lpstr>NB_2860_Village Super Market In</vt:lpstr>
      <vt:lpstr>NB_2861_Valero Energy Corporati</vt:lpstr>
      <vt:lpstr>NB_2862_Veralto Corp Common Sto</vt:lpstr>
      <vt:lpstr>NB_2863_Vulcan Materials Compan</vt:lpstr>
      <vt:lpstr>NB_2864_Viemed Healthcare Inc. </vt:lpstr>
      <vt:lpstr>NB_2865_Valmont Industries Inc.</vt:lpstr>
      <vt:lpstr>NB_2866_Vince Holding Corp. Com</vt:lpstr>
      <vt:lpstr>NB_2867_Vanda Pharmaceuticals I</vt:lpstr>
      <vt:lpstr>NB_2868_Viper Energy Inc. Class</vt:lpstr>
      <vt:lpstr>NB_2869_Vontier Corporation Com</vt:lpstr>
      <vt:lpstr>NB_2870_VOC Energy Trust Units </vt:lpstr>
      <vt:lpstr>NB_2871_Vogenx Inc Common Stock</vt:lpstr>
      <vt:lpstr>NB_2872_Vor Biopharma Inc. Comm</vt:lpstr>
      <vt:lpstr>NB_2873_Voyager Technologies In</vt:lpstr>
      <vt:lpstr>NB_2874_Vishay Precision Group </vt:lpstr>
      <vt:lpstr>NB_2875_Vera Bradley Inc. Commo</vt:lpstr>
      <vt:lpstr>NB_2876_Verrica Pharmaceuticals</vt:lpstr>
      <vt:lpstr>NB_2877_Viridian Therapeutics I</vt:lpstr>
      <vt:lpstr>NB_2878_Varex Imaging Corporati</vt:lpstr>
      <vt:lpstr>NB_2879_Vroom Inc. Common Stock</vt:lpstr>
      <vt:lpstr>NB_2880_VerifyMe Inc. Common St</vt:lpstr>
      <vt:lpstr>NB_2881_Varonis Systems Inc. Co</vt:lpstr>
      <vt:lpstr>NB_2882_Verra Mobility Corporat</vt:lpstr>
      <vt:lpstr>NB_2883_Verisk Analytics Inc. C</vt:lpstr>
      <vt:lpstr>NB_2884_VeriSign Inc. Common St</vt:lpstr>
      <vt:lpstr>NB_2885_Vertiv Holdings LLC Cla</vt:lpstr>
      <vt:lpstr>NB_2886_Vertex Pharmaceuticals </vt:lpstr>
      <vt:lpstr>NB_2887_ViaSat Inc. Common Stoc</vt:lpstr>
      <vt:lpstr>NB_2888_VSE Corporation Common </vt:lpstr>
      <vt:lpstr>NB_2889_Vishay Intertechnology </vt:lpstr>
      <vt:lpstr>NB_2890_Versant Media Group Inc</vt:lpstr>
      <vt:lpstr>NB_2891_Vistra Corp. Common Sto</vt:lpstr>
      <vt:lpstr>NB_2892_Verastem Inc. Common St</vt:lpstr>
      <vt:lpstr>NB_2893_Vestis Corporation Comm</vt:lpstr>
      <vt:lpstr>NB_2894_Victorias Secret &amp; Co. </vt:lpstr>
      <vt:lpstr>NB_2895_Vistagen Therapeutics I</vt:lpstr>
      <vt:lpstr>NB_2896_Virtuix Holdings Inc. C</vt:lpstr>
      <vt:lpstr>NB_2897_Bristow Group Inc. Comm</vt:lpstr>
      <vt:lpstr>NB_2898_Viatris Inc. Common Sto</vt:lpstr>
      <vt:lpstr>NB_2899_Vitesse Energy Inc. Com</vt:lpstr>
      <vt:lpstr>NB_2900_VirTra Inc. Common Stoc</vt:lpstr>
      <vt:lpstr>NB_2901_vTv Therapeutics Inc. C</vt:lpstr>
      <vt:lpstr>NB_2902_Vuzix Corporation Commo</vt:lpstr>
      <vt:lpstr>NB_2903_Vivos Therapeutics Inc.</vt:lpstr>
      <vt:lpstr>NB_2904_Valvoline Inc. Common S</vt:lpstr>
      <vt:lpstr>NB_2905_V2X Inc. Common Stock</vt:lpstr>
      <vt:lpstr>NB_2906_VisionWave Holdings Inc</vt:lpstr>
      <vt:lpstr>NB_2907_VisionWave Holdings Inc</vt:lpstr>
      <vt:lpstr>NB_2908_Voyager Therapeutics In</vt:lpstr>
      <vt:lpstr>NB_2909_Verizon Communications </vt:lpstr>
      <vt:lpstr>NB_2910_Wayfair Inc. Class A Co</vt:lpstr>
      <vt:lpstr>NB_2911_Westinghouse Air Brake </vt:lpstr>
      <vt:lpstr>NB_2912_Waldencast plc Class A </vt:lpstr>
      <vt:lpstr>NB_2913_Waldencast plc Warrant</vt:lpstr>
      <vt:lpstr>NB_2914_Waters Corporation Comm</vt:lpstr>
      <vt:lpstr>NB_2915_Energous Corporation Co</vt:lpstr>
      <vt:lpstr>NB_2916_Waystar Holding Corp. C</vt:lpstr>
      <vt:lpstr>NB_2917_Warner Bros. Discovery </vt:lpstr>
      <vt:lpstr>NB_2918_WEBTOON Entertainment I</vt:lpstr>
      <vt:lpstr>NB_2919_WESCO International Inc</vt:lpstr>
      <vt:lpstr>NB_2920_Workday Inc. Class A Co</vt:lpstr>
      <vt:lpstr>NB_2921_Western Digital Corpora</vt:lpstr>
      <vt:lpstr>NB_2922_WD-40 Company Common St</vt:lpstr>
      <vt:lpstr>NB_2923_Weave Communications In</vt:lpstr>
      <vt:lpstr>NB_2924_WEC Energy Group Inc. C</vt:lpstr>
      <vt:lpstr>NB_2925_Wendy's Company (The) C</vt:lpstr>
      <vt:lpstr>NB_2926_Werner Enterprises Inc.</vt:lpstr>
      <vt:lpstr>NB_2927_Western Midstream Partn</vt:lpstr>
      <vt:lpstr>NB_2928_Westrock Coffee Company</vt:lpstr>
      <vt:lpstr>NB_2929_WEX Inc. common stock</vt:lpstr>
      <vt:lpstr>NB_2930_Weyco Group Inc. Common</vt:lpstr>
      <vt:lpstr>NB_2931_Where Food Comes From I</vt:lpstr>
      <vt:lpstr>NB_2932_Weatherford Internation</vt:lpstr>
      <vt:lpstr>NB_2933_Winnebago Industries In</vt:lpstr>
      <vt:lpstr>NB_2934_GeneDx Holdings Corp. C</vt:lpstr>
      <vt:lpstr>NB_2935_Wyndham Hotels &amp; Resort</vt:lpstr>
      <vt:lpstr>NB_2936_Cactus Inc. Class A Com</vt:lpstr>
      <vt:lpstr>NB_2937_Whirlpool Corporation C</vt:lpstr>
      <vt:lpstr>NB_2938_Whitehawk Therapeutics </vt:lpstr>
      <vt:lpstr>NB_2939_Winmark Corporation Com</vt:lpstr>
      <vt:lpstr>NB_2940_Wingstop Inc. Common St</vt:lpstr>
      <vt:lpstr>NB_2941_Workiva Inc. Class A Co</vt:lpstr>
      <vt:lpstr>NB_2942_World Kinect Corporatio</vt:lpstr>
      <vt:lpstr>NB_2943_Workhorse Group Inc. Co</vt:lpstr>
      <vt:lpstr>NB_2944_Willdan Group Inc. Comm</vt:lpstr>
      <vt:lpstr>NB_2945_Willis Lease Finance Co</vt:lpstr>
      <vt:lpstr>NB_2946_Westlake Corporation Co</vt:lpstr>
      <vt:lpstr>NB_2947_Westlake Chemical Partn</vt:lpstr>
      <vt:lpstr>NB_2948_John Wiley &amp; Sons Inc. </vt:lpstr>
      <vt:lpstr>NB_2949_John Wiley &amp; Sons Inc. </vt:lpstr>
      <vt:lpstr>NB_2950_Waste Management Inc. C</vt:lpstr>
      <vt:lpstr>NB_2951_Williams Companies Inc.</vt:lpstr>
      <vt:lpstr>NB_2952_Warner Music Group Corp</vt:lpstr>
      <vt:lpstr>NB_2953_Weis Markets Inc. Commo</vt:lpstr>
      <vt:lpstr>NB_2954_Advanced Drainage Syste</vt:lpstr>
      <vt:lpstr>NB_2955_Walmart Inc. Common Sto</vt:lpstr>
      <vt:lpstr>NB_2956_Wabash National Corpora</vt:lpstr>
      <vt:lpstr>NB_2957_Wolfspeed Inc. Common S</vt:lpstr>
      <vt:lpstr>NB_2958_Petco Health and Wellne</vt:lpstr>
      <vt:lpstr>NB_2959_Worthington Enterprises</vt:lpstr>
      <vt:lpstr>NB_2960_Wrap Technologies Inc. </vt:lpstr>
      <vt:lpstr>NB_2961_Warby Parker Inc. Class</vt:lpstr>
      <vt:lpstr>NB_2962_Worthington Steel Inc. </vt:lpstr>
      <vt:lpstr>NB_2963_WillScot Holdings Corpo</vt:lpstr>
      <vt:lpstr>NB_2964_Williams-Sonoma Inc. Co</vt:lpstr>
      <vt:lpstr>NB_2965_Watsco Inc. Common Stoc</vt:lpstr>
      <vt:lpstr>NB_2966_West Pharmaceutical Ser</vt:lpstr>
      <vt:lpstr>NB_2967_W&amp;T Offshore Inc. Commo</vt:lpstr>
      <vt:lpstr>NB_2968_Essential Utilities Inc</vt:lpstr>
      <vt:lpstr>NB_2969_Watts Water Technologie</vt:lpstr>
      <vt:lpstr>NB_2970_Select Water Solutions </vt:lpstr>
      <vt:lpstr>NB_2971_Western Union Company (</vt:lpstr>
      <vt:lpstr>NB_2972_Willamette Valley Viney</vt:lpstr>
      <vt:lpstr>NB_2973_Willamette Valley Viney</vt:lpstr>
      <vt:lpstr>NB_2974_WW International Inc.  </vt:lpstr>
      <vt:lpstr>NB_2975_Woodward Inc. Common St</vt:lpstr>
      <vt:lpstr>NB_2976_Westwater Resources Inc</vt:lpstr>
      <vt:lpstr>NB_2977_Wolverine World Wide In</vt:lpstr>
      <vt:lpstr>NB_2978_Wynn Resorts Limited Co</vt:lpstr>
      <vt:lpstr>NB_2979_WidePoint Corporation C</vt:lpstr>
      <vt:lpstr>NB_2980_Beyond Air Inc. Common 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2026-10-04T16:23:40Z</dcterms:created>
  <dcterms:modified xsi:type="dcterms:W3CDTF">2026-10-04T16:23:40Z</dcterms:modified>
</cp:coreProperties>
</file>